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drawings/drawing7.xml" ContentType="application/vnd.openxmlformats-officedocument.drawing+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drawings/drawing9.xml" ContentType="application/vnd.openxmlformats-officedocument.drawing+xml"/>
  <Override PartName="/xl/comments11.xml" ContentType="application/vnd.openxmlformats-officedocument.spreadsheetml.comments+xml"/>
  <Override PartName="/xl/drawings/drawing10.xml" ContentType="application/vnd.openxmlformats-officedocument.drawing+xml"/>
  <Override PartName="/xl/comments1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showInkAnnotation="0"/>
  <mc:AlternateContent xmlns:mc="http://schemas.openxmlformats.org/markup-compatibility/2006">
    <mc:Choice Requires="x15">
      <x15ac:absPath xmlns:x15ac="http://schemas.microsoft.com/office/spreadsheetml/2010/11/ac" url="E:\広島市\庶務係\共済　予算書\共済　予算資料　編成日程表　財源率表含む\共済概要・組合員数・標準報酬・掛金\7・8\☆R7・R8   短期 標準報酬\"/>
    </mc:Choice>
  </mc:AlternateContent>
  <xr:revisionPtr revIDLastSave="0" documentId="13_ncr:1_{997FE18F-CD1B-4996-92E0-9F80853EB528}" xr6:coauthVersionLast="47" xr6:coauthVersionMax="47" xr10:uidLastSave="{00000000-0000-0000-0000-000000000000}"/>
  <bookViews>
    <workbookView xWindow="-120" yWindow="-120" windowWidth="19440" windowHeight="14880" tabRatio="684" firstSheet="7" activeTab="11" xr2:uid="{00000000-000D-0000-FFFF-FFFF00000000}"/>
  </bookViews>
  <sheets>
    <sheet name="簡略版（短期・保健・介護）" sheetId="29" state="hidden" r:id="rId1"/>
    <sheet name="短期" sheetId="1" state="hidden" r:id="rId2"/>
    <sheet name="R5財調・特財計算書(R6試算）" sheetId="77" state="hidden" r:id="rId3"/>
    <sheet name="R5財調・特財計算書(R7試算）" sheetId="84" state="hidden" r:id="rId4"/>
    <sheet name="R5財調・特財計算書(R8試算）" sheetId="85" state="hidden" r:id="rId5"/>
    <sheet name="保健" sheetId="2" state="hidden" r:id="rId6"/>
    <sheet name="介護" sheetId="21" state="hidden" r:id="rId7"/>
    <sheet name="R7掛金（短期）" sheetId="80" r:id="rId8"/>
    <sheet name="R8掛金（短期）" sheetId="78" r:id="rId9"/>
    <sheet name="R5掛金（介護）" sheetId="86" state="hidden" r:id="rId10"/>
    <sheet name="R6掛金（介護）" sheetId="87" state="hidden" r:id="rId11"/>
    <sheet name="R7短期" sheetId="81" r:id="rId12"/>
    <sheet name="R8短期" sheetId="79" r:id="rId13"/>
    <sheet name="R5介護" sheetId="88" state="hidden" r:id="rId14"/>
    <sheet name="R6介護" sheetId="89" state="hidden" r:id="rId15"/>
    <sheet name="DB_使い方" sheetId="90" r:id="rId22"/>
    <sheet name="DB_設定" sheetId="91" r:id="rId23"/>
    <sheet name="DB_集計" sheetId="92" r:id="rId24"/>
    <sheet name="DB_取得" sheetId="93" r:id="rId25"/>
    <sheet name="DB_喪失" sheetId="94" r:id="rId26"/>
    <sheet name="DB_定年R8" sheetId="95" r:id="rId27"/>
    <sheet name="DB_定年R7" sheetId="96" r:id="rId28"/>
  </sheets>
  <externalReferences>
    <externalReference r:id="rId16"/>
    <externalReference r:id="rId17"/>
  </externalReferences>
  <definedNames>
    <definedName name="Act_1" localSheetId="3">#REF!</definedName>
    <definedName name="Act_1" localSheetId="4">#REF!</definedName>
    <definedName name="Act_1">#REF!</definedName>
    <definedName name="_xlnm.Database">[1]台帳!$A$1:$BO$102</definedName>
    <definedName name="_xlnm.Print_Area" localSheetId="13">'R5介護'!$A$1:$AH$44,'R5介護'!$A$67:$AI$119</definedName>
    <definedName name="_xlnm.Print_Area" localSheetId="9">'R5掛金（介護）'!$A$1:$N$48</definedName>
    <definedName name="_xlnm.Print_Area" localSheetId="2">'R5財調・特財計算書(R6試算）'!$A$1:$I$93</definedName>
    <definedName name="_xlnm.Print_Area" localSheetId="3">'R5財調・特財計算書(R7試算）'!$A$1:$I$93</definedName>
    <definedName name="_xlnm.Print_Area" localSheetId="4">'R5財調・特財計算書(R8試算）'!$A$1:$I$93</definedName>
    <definedName name="_xlnm.Print_Area" localSheetId="14">'R6介護'!$A$1:$AG$118</definedName>
    <definedName name="_xlnm.Print_Area" localSheetId="10">'R6掛金（介護）'!$A$1:$N$48</definedName>
    <definedName name="_xlnm.Print_Area" localSheetId="7">'R7掛金（短期）'!$A$1:$Q$151</definedName>
    <definedName name="_xlnm.Print_Area" localSheetId="11">'R7短期'!$A$1:$AG$116</definedName>
    <definedName name="_xlnm.Print_Area" localSheetId="8">'R8掛金（短期）'!$A$1:$Q$151</definedName>
    <definedName name="_xlnm.Print_Area" localSheetId="12">'R8短期'!$A$1:$AG$100</definedName>
    <definedName name="_xlnm.Print_Area" localSheetId="0">'簡略版（短期・保健・介護）'!$A$1:$X$57</definedName>
    <definedName name="_xlnm.Print_Area" localSheetId="1">'短期'!$A$1:$L$41</definedName>
    <definedName name="_xlnm.Print_Area" localSheetId="5">'保健'!$A$1:$L$43</definedName>
    <definedName name="クリア８">[1]台帳!$AF$65:$AK$103,[1]台帳!$AX$65:$BA$103</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KYOSAI</author>
    <author>CN734410</author>
    <author>setupuser</author>
  </authors>
  <commentList>
    <comment ref="G3" authorId="0" shapeId="0" xr:uid="{00000000-0006-0000-0100-000001000000}">
      <text>
        <r>
          <rPr>
            <b/>
            <sz val="9"/>
            <color indexed="81"/>
            <rFont val="MS P ゴシック"/>
            <family val="3"/>
            <charset val="128"/>
          </rPr>
          <t>R5予算書ベース</t>
        </r>
      </text>
    </comment>
    <comment ref="F5" authorId="0" shapeId="0" xr:uid="{00000000-0006-0000-0100-000002000000}">
      <text>
        <r>
          <rPr>
            <b/>
            <sz val="9"/>
            <color indexed="81"/>
            <rFont val="MS P ゴシック"/>
            <family val="3"/>
            <charset val="128"/>
          </rPr>
          <t>33.76(定款の掛金率）短期33.11+財調等0.65+育介2.35</t>
        </r>
      </text>
    </comment>
    <comment ref="G7" authorId="0" shapeId="0" xr:uid="{00000000-0006-0000-0100-000003000000}">
      <text>
        <r>
          <rPr>
            <b/>
            <sz val="9"/>
            <color indexed="81"/>
            <rFont val="MS P ゴシック"/>
            <family val="3"/>
            <charset val="128"/>
          </rPr>
          <t>庶務係試算</t>
        </r>
      </text>
    </comment>
    <comment ref="H7" authorId="0" shapeId="0" xr:uid="{00000000-0006-0000-0100-000004000000}">
      <text>
        <r>
          <rPr>
            <b/>
            <sz val="9"/>
            <color indexed="81"/>
            <rFont val="MS P ゴシック"/>
            <family val="3"/>
            <charset val="128"/>
          </rPr>
          <t>庶務係試算表</t>
        </r>
      </text>
    </comment>
    <comment ref="C8" authorId="1" shapeId="0" xr:uid="{00000000-0006-0000-0100-000005000000}">
      <text>
        <r>
          <rPr>
            <sz val="9"/>
            <color indexed="81"/>
            <rFont val="ＭＳ Ｐゴシック"/>
            <family val="3"/>
            <charset val="128"/>
          </rPr>
          <t>◆連合会拠出金（育児・介護休業手当金拠出金）分を差引く</t>
        </r>
      </text>
    </comment>
    <comment ref="G8" authorId="0" shapeId="0" xr:uid="{00000000-0006-0000-0100-000006000000}">
      <text>
        <r>
          <rPr>
            <b/>
            <sz val="9"/>
            <color indexed="81"/>
            <rFont val="MS P ゴシック"/>
            <family val="3"/>
            <charset val="128"/>
          </rPr>
          <t>庶務係試算</t>
        </r>
      </text>
    </comment>
    <comment ref="H8" authorId="0" shapeId="0" xr:uid="{00000000-0006-0000-0100-000007000000}">
      <text>
        <r>
          <rPr>
            <b/>
            <sz val="9"/>
            <color indexed="81"/>
            <rFont val="MS P ゴシック"/>
            <family val="3"/>
            <charset val="128"/>
          </rPr>
          <t>庶務係試算表</t>
        </r>
      </text>
    </comment>
    <comment ref="G11" authorId="0" shapeId="0" xr:uid="{00000000-0006-0000-0100-000008000000}">
      <text>
        <r>
          <rPr>
            <b/>
            <sz val="9"/>
            <color indexed="81"/>
            <rFont val="MS P ゴシック"/>
            <family val="3"/>
            <charset val="128"/>
          </rPr>
          <t>予算額</t>
        </r>
      </text>
    </comment>
    <comment ref="G13" authorId="0" shapeId="0" xr:uid="{00000000-0006-0000-0100-000009000000}">
      <text>
        <r>
          <rPr>
            <b/>
            <sz val="9"/>
            <color indexed="81"/>
            <rFont val="MS P ゴシック"/>
            <family val="3"/>
            <charset val="128"/>
          </rPr>
          <t>12月決見</t>
        </r>
      </text>
    </comment>
    <comment ref="G15" authorId="0" shapeId="0" xr:uid="{00000000-0006-0000-0100-00000A000000}">
      <text>
        <r>
          <rPr>
            <b/>
            <sz val="9"/>
            <color indexed="81"/>
            <rFont val="MS P ゴシック"/>
            <family val="3"/>
            <charset val="128"/>
          </rPr>
          <t>12月決見</t>
        </r>
      </text>
    </comment>
    <comment ref="G16" authorId="0" shapeId="0" xr:uid="{00000000-0006-0000-0100-00000B000000}">
      <text>
        <r>
          <rPr>
            <b/>
            <sz val="9"/>
            <color indexed="81"/>
            <rFont val="MS P ゴシック"/>
            <family val="3"/>
            <charset val="128"/>
          </rPr>
          <t>R4決算書</t>
        </r>
      </text>
    </comment>
    <comment ref="C17" authorId="1" shapeId="0" xr:uid="{00000000-0006-0000-0100-00000C000000}">
      <text>
        <r>
          <rPr>
            <sz val="9"/>
            <color indexed="81"/>
            <rFont val="ＭＳ Ｐゴシック"/>
            <family val="3"/>
            <charset val="128"/>
          </rPr>
          <t>調整負担金除く。</t>
        </r>
      </text>
    </comment>
    <comment ref="G19" authorId="0" shapeId="0" xr:uid="{00000000-0006-0000-0100-00000D000000}">
      <text>
        <r>
          <rPr>
            <b/>
            <sz val="9"/>
            <color indexed="81"/>
            <rFont val="MS P ゴシック"/>
            <family val="3"/>
            <charset val="128"/>
          </rPr>
          <t>12月決見</t>
        </r>
      </text>
    </comment>
    <comment ref="H19" authorId="0" shapeId="0" xr:uid="{00000000-0006-0000-0100-00000E000000}">
      <text>
        <r>
          <rPr>
            <b/>
            <sz val="9"/>
            <color indexed="81"/>
            <rFont val="MS P ゴシック"/>
            <family val="3"/>
            <charset val="128"/>
          </rPr>
          <t>診療報酬増踏まえた額</t>
        </r>
      </text>
    </comment>
    <comment ref="G20" authorId="0" shapeId="0" xr:uid="{00000000-0006-0000-0100-00000F000000}">
      <text>
        <r>
          <rPr>
            <b/>
            <sz val="9"/>
            <color indexed="81"/>
            <rFont val="MS P ゴシック"/>
            <family val="3"/>
            <charset val="128"/>
          </rPr>
          <t>12月決見</t>
        </r>
      </text>
    </comment>
    <comment ref="G21" authorId="0" shapeId="0" xr:uid="{00000000-0006-0000-0100-000010000000}">
      <text>
        <r>
          <rPr>
            <b/>
            <sz val="9"/>
            <color indexed="81"/>
            <rFont val="MS P ゴシック"/>
            <family val="3"/>
            <charset val="128"/>
          </rPr>
          <t>12月決見</t>
        </r>
      </text>
    </comment>
    <comment ref="G22" authorId="0" shapeId="0" xr:uid="{00000000-0006-0000-0100-000011000000}">
      <text>
        <r>
          <rPr>
            <b/>
            <sz val="9"/>
            <color indexed="81"/>
            <rFont val="MS P ゴシック"/>
            <family val="3"/>
            <charset val="128"/>
          </rPr>
          <t>12月決見</t>
        </r>
      </text>
    </comment>
    <comment ref="D24" authorId="0" shapeId="0" xr:uid="{00000000-0006-0000-0100-000012000000}">
      <text>
        <r>
          <rPr>
            <sz val="9"/>
            <color indexed="81"/>
            <rFont val="MS P ゴシック"/>
            <family val="3"/>
            <charset val="128"/>
          </rPr>
          <t>退職者給付拠出金58,463-雑収入7,107,311</t>
        </r>
      </text>
    </comment>
    <comment ref="E24" authorId="0" shapeId="0" xr:uid="{00000000-0006-0000-0100-000013000000}">
      <text>
        <r>
          <rPr>
            <sz val="9"/>
            <color indexed="81"/>
            <rFont val="MS P ゴシック"/>
            <family val="3"/>
            <charset val="128"/>
          </rPr>
          <t>退職者給付拠出金56,356-雑収入3,530,993</t>
        </r>
      </text>
    </comment>
    <comment ref="F24" authorId="0" shapeId="0" xr:uid="{00000000-0006-0000-0100-000014000000}">
      <text>
        <r>
          <rPr>
            <sz val="9"/>
            <color indexed="81"/>
            <rFont val="MS P ゴシック"/>
            <family val="3"/>
            <charset val="128"/>
          </rPr>
          <t>退職者給付拠出金0-雑収入2,827,099</t>
        </r>
      </text>
    </comment>
    <comment ref="G24" authorId="0" shapeId="0" xr:uid="{00000000-0006-0000-0100-000015000000}">
      <text>
        <r>
          <rPr>
            <sz val="9"/>
            <color indexed="81"/>
            <rFont val="MS P ゴシック"/>
            <family val="3"/>
            <charset val="128"/>
          </rPr>
          <t>退職者給付拠出金24,208-雑収入1,374,137</t>
        </r>
      </text>
    </comment>
    <comment ref="H25" authorId="0" shapeId="0" xr:uid="{00000000-0006-0000-0100-000016000000}">
      <text>
        <r>
          <rPr>
            <sz val="9"/>
            <color indexed="81"/>
            <rFont val="MS P ゴシック"/>
            <family val="3"/>
            <charset val="128"/>
          </rPr>
          <t>R6.1.18申請額</t>
        </r>
      </text>
    </comment>
    <comment ref="G30" authorId="0" shapeId="0" xr:uid="{00000000-0006-0000-0100-000017000000}">
      <text>
        <r>
          <rPr>
            <b/>
            <sz val="9"/>
            <color indexed="81"/>
            <rFont val="MS P ゴシック"/>
            <family val="3"/>
            <charset val="128"/>
          </rPr>
          <t>予算額</t>
        </r>
      </text>
    </comment>
    <comment ref="C33" authorId="2" shapeId="0" xr:uid="{00000000-0006-0000-0100-000018000000}">
      <text>
        <r>
          <rPr>
            <sz val="9"/>
            <color indexed="81"/>
            <rFont val="ＭＳ Ｐゴシック"/>
            <family val="3"/>
            <charset val="128"/>
          </rPr>
          <t xml:space="preserve">連合会払込金
</t>
        </r>
      </text>
    </comment>
    <comment ref="G33" authorId="0" shapeId="0" xr:uid="{00000000-0006-0000-0100-000019000000}">
      <text>
        <r>
          <rPr>
            <b/>
            <sz val="9"/>
            <color indexed="81"/>
            <rFont val="MS P ゴシック"/>
            <family val="3"/>
            <charset val="128"/>
          </rPr>
          <t>予算額</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全国市町村職員共済組合連合会</author>
    <author>KYOSAI</author>
  </authors>
  <commentList>
    <comment ref="A3" authorId="0" shapeId="0" xr:uid="{00000000-0006-0000-0200-000001000000}">
      <text>
        <r>
          <rPr>
            <b/>
            <sz val="9"/>
            <color indexed="81"/>
            <rFont val="ＭＳ Ｐゴシック"/>
            <family val="3"/>
            <charset val="128"/>
          </rPr>
          <t xml:space="preserve">「1.　法定給付等」
表（一）「1　短期経理の収支状況」及び令和4年度予算書と一致しているか確認
</t>
        </r>
        <r>
          <rPr>
            <b/>
            <sz val="9"/>
            <color indexed="10"/>
            <rFont val="ＭＳ Ｐゴシック"/>
            <family val="3"/>
            <charset val="128"/>
          </rPr>
          <t>※「育児・介護休業手当金拠出金」については、本計算書上は公的負担金を含むため、表（一）「1　短期経理の収支状況」とは一致しない</t>
        </r>
      </text>
    </comment>
    <comment ref="H12" authorId="1" shapeId="0" xr:uid="{00000000-0006-0000-0200-000002000000}">
      <text>
        <r>
          <rPr>
            <sz val="9"/>
            <color indexed="81"/>
            <rFont val="MS P ゴシック"/>
            <family val="3"/>
            <charset val="128"/>
          </rPr>
          <t>広島市メモ
出産育児交付金
7,980</t>
        </r>
      </text>
    </comment>
    <comment ref="H13" authorId="0" shapeId="0" xr:uid="{00000000-0006-0000-0200-000003000000}">
      <text>
        <r>
          <rPr>
            <b/>
            <sz val="9"/>
            <color indexed="81"/>
            <rFont val="ＭＳ Ｐゴシック"/>
            <family val="3"/>
            <charset val="128"/>
          </rPr>
          <t>「育児・介護休業手当金拠出金」については、</t>
        </r>
        <r>
          <rPr>
            <b/>
            <sz val="9"/>
            <color indexed="10"/>
            <rFont val="ＭＳ Ｐゴシック"/>
            <family val="3"/>
            <charset val="128"/>
          </rPr>
          <t>公的負担金を含める
※このため、表(一）「1　短期経理の収支状況」とは一致しない</t>
        </r>
      </text>
    </comment>
    <comment ref="H16" authorId="0" shapeId="0" xr:uid="{00000000-0006-0000-0200-000004000000}">
      <text>
        <r>
          <rPr>
            <b/>
            <sz val="9"/>
            <color indexed="81"/>
            <rFont val="ＭＳ Ｐゴシック"/>
            <family val="3"/>
            <charset val="128"/>
          </rPr>
          <t xml:space="preserve">令和4年度に調整交付金等を受けた場合のみ、値をプラスで入力
</t>
        </r>
        <r>
          <rPr>
            <b/>
            <sz val="9"/>
            <color indexed="10"/>
            <rFont val="ＭＳ Ｐゴシック"/>
            <family val="3"/>
            <charset val="128"/>
          </rPr>
          <t>※令和4年度に調整交付金等を受けていない組合は計上出来ないので注意</t>
        </r>
      </text>
    </comment>
    <comment ref="A19" authorId="0" shapeId="0" xr:uid="{00000000-0006-0000-0200-000005000000}">
      <text>
        <r>
          <rPr>
            <b/>
            <sz val="9"/>
            <color indexed="81"/>
            <rFont val="ＭＳ Ｐゴシック"/>
            <family val="3"/>
            <charset val="128"/>
          </rPr>
          <t>「2.　附加給付等」
表（一）「1　短期経理の収支状況」及び令和5年度予算書と一致しているか確認</t>
        </r>
      </text>
    </comment>
    <comment ref="H20" authorId="0" shapeId="0" xr:uid="{00000000-0006-0000-0200-000006000000}">
      <text>
        <r>
          <rPr>
            <b/>
            <sz val="9"/>
            <color indexed="81"/>
            <rFont val="ＭＳ Ｐゴシック"/>
            <family val="3"/>
            <charset val="128"/>
          </rPr>
          <t>値をプラスで入力:</t>
        </r>
        <r>
          <rPr>
            <sz val="9"/>
            <color indexed="81"/>
            <rFont val="ＭＳ Ｐゴシック"/>
            <family val="3"/>
            <charset val="128"/>
          </rPr>
          <t xml:space="preserve">
</t>
        </r>
      </text>
    </comment>
    <comment ref="A27" authorId="0" shapeId="0" xr:uid="{00000000-0006-0000-0200-000007000000}">
      <text>
        <r>
          <rPr>
            <b/>
            <sz val="9"/>
            <color indexed="81"/>
            <rFont val="ＭＳ Ｐゴシック"/>
            <family val="3"/>
            <charset val="128"/>
          </rPr>
          <t>「3.　掛金・負担金以外の収入等」
表（一）「1　短期経理の収支状況」及び令和4年度予算書と一致しているか確認</t>
        </r>
      </text>
    </comment>
    <comment ref="H28" authorId="0" shapeId="0" xr:uid="{00000000-0006-0000-0200-000008000000}">
      <text>
        <r>
          <rPr>
            <b/>
            <sz val="9"/>
            <color indexed="81"/>
            <rFont val="ＭＳ Ｐゴシック"/>
            <family val="3"/>
            <charset val="128"/>
          </rPr>
          <t xml:space="preserve">令和5年度に連合会返還金がある場合、令和4年度利益剰余金から令和5年度連合会返還金を除した額を入力
</t>
        </r>
        <r>
          <rPr>
            <b/>
            <sz val="9"/>
            <color indexed="10"/>
            <rFont val="ＭＳ Ｐゴシック"/>
            <family val="3"/>
            <charset val="128"/>
          </rPr>
          <t>※令和4年度に調整交付金等を受けていない組合で、「前年度欠損金（法定給付分）」がある場合は、マイナスで入力</t>
        </r>
      </text>
    </comment>
    <comment ref="H35" authorId="1" shapeId="0" xr:uid="{00000000-0006-0000-0200-000009000000}">
      <text>
        <r>
          <rPr>
            <sz val="9"/>
            <color indexed="81"/>
            <rFont val="MS P ゴシック"/>
            <family val="3"/>
            <charset val="128"/>
          </rPr>
          <t>広島市メモ
R6掛金（短期）より</t>
        </r>
      </text>
    </comment>
    <comment ref="H41" authorId="0" shapeId="0" xr:uid="{00000000-0006-0000-0200-00000A000000}">
      <text>
        <r>
          <rPr>
            <b/>
            <sz val="9"/>
            <color indexed="81"/>
            <rFont val="ＭＳ Ｐゴシック"/>
            <family val="3"/>
            <charset val="128"/>
          </rPr>
          <t>表（一）「3　標準報酬等合計額総額」の「標準報酬月額総額（年額）①」の「令和5年度（予算）」と一致しているか確認</t>
        </r>
      </text>
    </comment>
    <comment ref="H42" authorId="0" shapeId="0" xr:uid="{00000000-0006-0000-0200-00000B000000}">
      <text>
        <r>
          <rPr>
            <b/>
            <sz val="9"/>
            <color indexed="81"/>
            <rFont val="ＭＳ Ｐゴシック"/>
            <family val="3"/>
            <charset val="128"/>
          </rPr>
          <t>表（一）「3　標準報酬等合計額総額」の
「掛金・負担金免除対象者の標準報酬月額③」の「令和5年度（予算）」と一致しているか確認</t>
        </r>
      </text>
    </comment>
    <comment ref="H45" authorId="0" shapeId="0" xr:uid="{00000000-0006-0000-0200-00000C000000}">
      <text>
        <r>
          <rPr>
            <b/>
            <sz val="9"/>
            <color indexed="81"/>
            <rFont val="ＭＳ Ｐゴシック"/>
            <family val="3"/>
            <charset val="128"/>
          </rPr>
          <t>表（一）「3　標準報酬等合計額総額」の
「標準期末手当等総額（年額）⑤」の
「令和5年度（予算）」と一致しているか確認</t>
        </r>
      </text>
    </comment>
    <comment ref="H46" authorId="0" shapeId="0" xr:uid="{00000000-0006-0000-0200-00000D000000}">
      <text>
        <r>
          <rPr>
            <b/>
            <sz val="9"/>
            <color indexed="81"/>
            <rFont val="ＭＳ Ｐゴシック"/>
            <family val="3"/>
            <charset val="128"/>
          </rPr>
          <t>表（一）「3　標準報酬等合計額総額」の
「掛金・免除対象者の標準期末手当等額⑥」の「令和5年度（予算）」と一致しているか確認</t>
        </r>
      </text>
    </comment>
    <comment ref="G54" authorId="0" shapeId="0" xr:uid="{00000000-0006-0000-0200-00000E000000}">
      <text>
        <r>
          <rPr>
            <b/>
            <sz val="9"/>
            <color indexed="10"/>
            <rFont val="ＭＳ Ｐゴシック"/>
            <family val="3"/>
            <charset val="128"/>
          </rPr>
          <t>左の計算結果の財源率以上であり、財源率÷2の値に小数第3位以降の端数が生じない、直近上位の財源率を入力</t>
        </r>
      </text>
    </comment>
    <comment ref="F61" authorId="0" shapeId="0" xr:uid="{00000000-0006-0000-0200-00000F000000}">
      <text>
        <r>
          <rPr>
            <sz val="9"/>
            <color indexed="81"/>
            <rFont val="ＭＳ Ｐゴシック"/>
            <family val="3"/>
            <charset val="128"/>
          </rPr>
          <t>前年度非財調組合であり、かつ、前年度欠損金がある場合、当該欠損金を除いて算出される。</t>
        </r>
      </text>
    </comment>
    <comment ref="E90" authorId="0" shapeId="0" xr:uid="{00000000-0006-0000-0200-000010000000}">
      <text>
        <r>
          <rPr>
            <b/>
            <sz val="9"/>
            <color indexed="81"/>
            <rFont val="ＭＳ Ｐゴシック"/>
            <family val="3"/>
            <charset val="128"/>
          </rPr>
          <t>表（一）の（二）「1　財源率等の改正事項」の「令和4年度予定」「附則」欄の率と一致しているか確認</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全国市町村職員共済組合連合会</author>
    <author>KYOSAI</author>
  </authors>
  <commentList>
    <comment ref="A3" authorId="0" shapeId="0" xr:uid="{00000000-0006-0000-0300-000001000000}">
      <text>
        <r>
          <rPr>
            <b/>
            <sz val="9"/>
            <color indexed="81"/>
            <rFont val="ＭＳ Ｐゴシック"/>
            <family val="3"/>
            <charset val="128"/>
          </rPr>
          <t xml:space="preserve">「1.　法定給付等」
表（一）「1　短期経理の収支状況」及び令和4年度予算書と一致しているか確認
</t>
        </r>
        <r>
          <rPr>
            <b/>
            <sz val="9"/>
            <color indexed="10"/>
            <rFont val="ＭＳ Ｐゴシック"/>
            <family val="3"/>
            <charset val="128"/>
          </rPr>
          <t>※「育児・介護休業手当金拠出金」については、本計算書上は公的負担金を含むため、表（一）「1　短期経理の収支状況」とは一致しない</t>
        </r>
      </text>
    </comment>
    <comment ref="H12" authorId="1" shapeId="0" xr:uid="{00000000-0006-0000-0300-000002000000}">
      <text>
        <r>
          <rPr>
            <sz val="9"/>
            <color indexed="81"/>
            <rFont val="MS P ゴシック"/>
            <family val="3"/>
            <charset val="128"/>
          </rPr>
          <t>広島市メモ
出産育児交付金
7,980</t>
        </r>
      </text>
    </comment>
    <comment ref="H13" authorId="0" shapeId="0" xr:uid="{00000000-0006-0000-0300-000003000000}">
      <text>
        <r>
          <rPr>
            <b/>
            <sz val="9"/>
            <color indexed="81"/>
            <rFont val="ＭＳ Ｐゴシック"/>
            <family val="3"/>
            <charset val="128"/>
          </rPr>
          <t>「育児・介護休業手当金拠出金」については、</t>
        </r>
        <r>
          <rPr>
            <b/>
            <sz val="9"/>
            <color indexed="10"/>
            <rFont val="ＭＳ Ｐゴシック"/>
            <family val="3"/>
            <charset val="128"/>
          </rPr>
          <t>公的負担金を含める
※このため、表(一）「1　短期経理の収支状況」とは一致しない</t>
        </r>
      </text>
    </comment>
    <comment ref="H16" authorId="0" shapeId="0" xr:uid="{00000000-0006-0000-0300-000004000000}">
      <text>
        <r>
          <rPr>
            <b/>
            <sz val="9"/>
            <color indexed="81"/>
            <rFont val="ＭＳ Ｐゴシック"/>
            <family val="3"/>
            <charset val="128"/>
          </rPr>
          <t xml:space="preserve">令和4年度に調整交付金等を受けた場合のみ、値をプラスで入力
</t>
        </r>
        <r>
          <rPr>
            <b/>
            <sz val="9"/>
            <color indexed="10"/>
            <rFont val="ＭＳ Ｐゴシック"/>
            <family val="3"/>
            <charset val="128"/>
          </rPr>
          <t>※令和4年度に調整交付金等を受けていない組合は計上出来ないので注意</t>
        </r>
      </text>
    </comment>
    <comment ref="A19" authorId="0" shapeId="0" xr:uid="{00000000-0006-0000-0300-000005000000}">
      <text>
        <r>
          <rPr>
            <b/>
            <sz val="9"/>
            <color indexed="81"/>
            <rFont val="ＭＳ Ｐゴシック"/>
            <family val="3"/>
            <charset val="128"/>
          </rPr>
          <t>「2.　附加給付等」
表（一）「1　短期経理の収支状況」及び令和5年度予算書と一致しているか確認</t>
        </r>
      </text>
    </comment>
    <comment ref="H20" authorId="0" shapeId="0" xr:uid="{00000000-0006-0000-0300-000006000000}">
      <text>
        <r>
          <rPr>
            <b/>
            <sz val="9"/>
            <color indexed="81"/>
            <rFont val="ＭＳ Ｐゴシック"/>
            <family val="3"/>
            <charset val="128"/>
          </rPr>
          <t>値をプラスで入力:</t>
        </r>
        <r>
          <rPr>
            <sz val="9"/>
            <color indexed="81"/>
            <rFont val="ＭＳ Ｐゴシック"/>
            <family val="3"/>
            <charset val="128"/>
          </rPr>
          <t xml:space="preserve">
</t>
        </r>
      </text>
    </comment>
    <comment ref="A27" authorId="0" shapeId="0" xr:uid="{00000000-0006-0000-0300-000007000000}">
      <text>
        <r>
          <rPr>
            <b/>
            <sz val="9"/>
            <color indexed="81"/>
            <rFont val="ＭＳ Ｐゴシック"/>
            <family val="3"/>
            <charset val="128"/>
          </rPr>
          <t>「3.　掛金・負担金以外の収入等」
表（一）「1　短期経理の収支状況」及び令和4年度予算書と一致しているか確認</t>
        </r>
      </text>
    </comment>
    <comment ref="H28" authorId="0" shapeId="0" xr:uid="{00000000-0006-0000-0300-000008000000}">
      <text>
        <r>
          <rPr>
            <b/>
            <sz val="9"/>
            <color indexed="81"/>
            <rFont val="ＭＳ Ｐゴシック"/>
            <family val="3"/>
            <charset val="128"/>
          </rPr>
          <t xml:space="preserve">令和5年度に連合会返還金がある場合、令和4年度利益剰余金から令和5年度連合会返還金を除した額を入力
</t>
        </r>
        <r>
          <rPr>
            <b/>
            <sz val="9"/>
            <color indexed="10"/>
            <rFont val="ＭＳ Ｐゴシック"/>
            <family val="3"/>
            <charset val="128"/>
          </rPr>
          <t>※令和4年度に調整交付金等を受けていない組合で、「前年度欠損金（法定給付分）」がある場合は、マイナスで入力</t>
        </r>
      </text>
    </comment>
    <comment ref="H35" authorId="1" shapeId="0" xr:uid="{00000000-0006-0000-0300-000009000000}">
      <text>
        <r>
          <rPr>
            <sz val="9"/>
            <color indexed="81"/>
            <rFont val="MS P ゴシック"/>
            <family val="3"/>
            <charset val="128"/>
          </rPr>
          <t>広島市メモ
R6掛金（短期）より</t>
        </r>
      </text>
    </comment>
    <comment ref="H41" authorId="0" shapeId="0" xr:uid="{00000000-0006-0000-0300-00000A000000}">
      <text>
        <r>
          <rPr>
            <b/>
            <sz val="9"/>
            <color indexed="81"/>
            <rFont val="ＭＳ Ｐゴシック"/>
            <family val="3"/>
            <charset val="128"/>
          </rPr>
          <t>表（一）「3　標準報酬等合計額総額」の「標準報酬月額総額（年額）①」の「令和5年度（予算）」と一致しているか確認</t>
        </r>
      </text>
    </comment>
    <comment ref="H42" authorId="0" shapeId="0" xr:uid="{00000000-0006-0000-0300-00000B000000}">
      <text>
        <r>
          <rPr>
            <b/>
            <sz val="9"/>
            <color indexed="81"/>
            <rFont val="ＭＳ Ｐゴシック"/>
            <family val="3"/>
            <charset val="128"/>
          </rPr>
          <t>表（一）「3　標準報酬等合計額総額」の
「掛金・負担金免除対象者の標準報酬月額③」の「令和5年度（予算）」と一致しているか確認</t>
        </r>
      </text>
    </comment>
    <comment ref="H45" authorId="0" shapeId="0" xr:uid="{00000000-0006-0000-0300-00000C000000}">
      <text>
        <r>
          <rPr>
            <b/>
            <sz val="9"/>
            <color indexed="81"/>
            <rFont val="ＭＳ Ｐゴシック"/>
            <family val="3"/>
            <charset val="128"/>
          </rPr>
          <t>表（一）「3　標準報酬等合計額総額」の
「標準期末手当等総額（年額）⑤」の
「令和5年度（予算）」と一致しているか確認</t>
        </r>
      </text>
    </comment>
    <comment ref="H46" authorId="0" shapeId="0" xr:uid="{00000000-0006-0000-0300-00000D000000}">
      <text>
        <r>
          <rPr>
            <b/>
            <sz val="9"/>
            <color indexed="81"/>
            <rFont val="ＭＳ Ｐゴシック"/>
            <family val="3"/>
            <charset val="128"/>
          </rPr>
          <t>表（一）「3　標準報酬等合計額総額」の
「掛金・免除対象者の標準期末手当等額⑥」の「令和5年度（予算）」と一致しているか確認</t>
        </r>
      </text>
    </comment>
    <comment ref="G54" authorId="0" shapeId="0" xr:uid="{00000000-0006-0000-0300-00000E000000}">
      <text>
        <r>
          <rPr>
            <b/>
            <sz val="9"/>
            <color indexed="10"/>
            <rFont val="ＭＳ Ｐゴシック"/>
            <family val="3"/>
            <charset val="128"/>
          </rPr>
          <t>左の計算結果の財源率以上であり、財源率÷2の値に小数第3位以降の端数が生じない、直近上位の財源率を入力</t>
        </r>
      </text>
    </comment>
    <comment ref="F61" authorId="0" shapeId="0" xr:uid="{00000000-0006-0000-0300-00000F000000}">
      <text>
        <r>
          <rPr>
            <sz val="9"/>
            <color indexed="81"/>
            <rFont val="ＭＳ Ｐゴシック"/>
            <family val="3"/>
            <charset val="128"/>
          </rPr>
          <t>前年度非財調組合であり、かつ、前年度欠損金がある場合、当該欠損金を除いて算出される。</t>
        </r>
      </text>
    </comment>
    <comment ref="E90" authorId="0" shapeId="0" xr:uid="{00000000-0006-0000-0300-000010000000}">
      <text>
        <r>
          <rPr>
            <b/>
            <sz val="9"/>
            <color indexed="81"/>
            <rFont val="ＭＳ Ｐゴシック"/>
            <family val="3"/>
            <charset val="128"/>
          </rPr>
          <t>表（一）の（二）「1　財源率等の改正事項」の「令和4年度予定」「附則」欄の率と一致しているか確認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全国市町村職員共済組合連合会</author>
    <author>KYOSAI</author>
  </authors>
  <commentList>
    <comment ref="A3" authorId="0" shapeId="0" xr:uid="{00000000-0006-0000-0400-000001000000}">
      <text>
        <r>
          <rPr>
            <b/>
            <sz val="9"/>
            <color indexed="81"/>
            <rFont val="ＭＳ Ｐゴシック"/>
            <family val="3"/>
            <charset val="128"/>
          </rPr>
          <t xml:space="preserve">「1.　法定給付等」
表（一）「1　短期経理の収支状況」及び令和4年度予算書と一致しているか確認
</t>
        </r>
        <r>
          <rPr>
            <b/>
            <sz val="9"/>
            <color indexed="10"/>
            <rFont val="ＭＳ Ｐゴシック"/>
            <family val="3"/>
            <charset val="128"/>
          </rPr>
          <t>※「育児・介護休業手当金拠出金」については、本計算書上は公的負担金を含むため、表（一）「1　短期経理の収支状況」とは一致しない</t>
        </r>
      </text>
    </comment>
    <comment ref="H12" authorId="1" shapeId="0" xr:uid="{00000000-0006-0000-0400-000002000000}">
      <text>
        <r>
          <rPr>
            <sz val="9"/>
            <color indexed="81"/>
            <rFont val="MS P ゴシック"/>
            <family val="3"/>
            <charset val="128"/>
          </rPr>
          <t>広島市メモ
出産育児交付金
7,980</t>
        </r>
      </text>
    </comment>
    <comment ref="H13" authorId="0" shapeId="0" xr:uid="{00000000-0006-0000-0400-000003000000}">
      <text>
        <r>
          <rPr>
            <b/>
            <sz val="9"/>
            <color indexed="81"/>
            <rFont val="ＭＳ Ｐゴシック"/>
            <family val="3"/>
            <charset val="128"/>
          </rPr>
          <t>「育児・介護休業手当金拠出金」については、</t>
        </r>
        <r>
          <rPr>
            <b/>
            <sz val="9"/>
            <color indexed="10"/>
            <rFont val="ＭＳ Ｐゴシック"/>
            <family val="3"/>
            <charset val="128"/>
          </rPr>
          <t>公的負担金を含める
※このため、表(一）「1　短期経理の収支状況」とは一致しない</t>
        </r>
      </text>
    </comment>
    <comment ref="H16" authorId="0" shapeId="0" xr:uid="{00000000-0006-0000-0400-000004000000}">
      <text>
        <r>
          <rPr>
            <b/>
            <sz val="9"/>
            <color indexed="81"/>
            <rFont val="ＭＳ Ｐゴシック"/>
            <family val="3"/>
            <charset val="128"/>
          </rPr>
          <t xml:space="preserve">令和4年度に調整交付金等を受けた場合のみ、値をプラスで入力
</t>
        </r>
        <r>
          <rPr>
            <b/>
            <sz val="9"/>
            <color indexed="10"/>
            <rFont val="ＭＳ Ｐゴシック"/>
            <family val="3"/>
            <charset val="128"/>
          </rPr>
          <t>※令和4年度に調整交付金等を受けていない組合は計上出来ないので注意</t>
        </r>
      </text>
    </comment>
    <comment ref="A19" authorId="0" shapeId="0" xr:uid="{00000000-0006-0000-0400-000005000000}">
      <text>
        <r>
          <rPr>
            <b/>
            <sz val="9"/>
            <color indexed="81"/>
            <rFont val="ＭＳ Ｐゴシック"/>
            <family val="3"/>
            <charset val="128"/>
          </rPr>
          <t>「2.　附加給付等」
表（一）「1　短期経理の収支状況」及び令和5年度予算書と一致しているか確認</t>
        </r>
      </text>
    </comment>
    <comment ref="H20" authorId="0" shapeId="0" xr:uid="{00000000-0006-0000-0400-000006000000}">
      <text>
        <r>
          <rPr>
            <b/>
            <sz val="9"/>
            <color indexed="81"/>
            <rFont val="ＭＳ Ｐゴシック"/>
            <family val="3"/>
            <charset val="128"/>
          </rPr>
          <t>値をプラスで入力:</t>
        </r>
        <r>
          <rPr>
            <sz val="9"/>
            <color indexed="81"/>
            <rFont val="ＭＳ Ｐゴシック"/>
            <family val="3"/>
            <charset val="128"/>
          </rPr>
          <t xml:space="preserve">
</t>
        </r>
      </text>
    </comment>
    <comment ref="A27" authorId="0" shapeId="0" xr:uid="{00000000-0006-0000-0400-000007000000}">
      <text>
        <r>
          <rPr>
            <b/>
            <sz val="9"/>
            <color indexed="81"/>
            <rFont val="ＭＳ Ｐゴシック"/>
            <family val="3"/>
            <charset val="128"/>
          </rPr>
          <t>「3.　掛金・負担金以外の収入等」
表（一）「1　短期経理の収支状況」及び令和4年度予算書と一致しているか確認</t>
        </r>
      </text>
    </comment>
    <comment ref="H28" authorId="0" shapeId="0" xr:uid="{00000000-0006-0000-0400-000008000000}">
      <text>
        <r>
          <rPr>
            <b/>
            <sz val="9"/>
            <color indexed="81"/>
            <rFont val="ＭＳ Ｐゴシック"/>
            <family val="3"/>
            <charset val="128"/>
          </rPr>
          <t xml:space="preserve">令和5年度に連合会返還金がある場合、令和4年度利益剰余金から令和5年度連合会返還金を除した額を入力
</t>
        </r>
        <r>
          <rPr>
            <b/>
            <sz val="9"/>
            <color indexed="10"/>
            <rFont val="ＭＳ Ｐゴシック"/>
            <family val="3"/>
            <charset val="128"/>
          </rPr>
          <t>※令和4年度に調整交付金等を受けていない組合で、「前年度欠損金（法定給付分）」がある場合は、マイナスで入力</t>
        </r>
      </text>
    </comment>
    <comment ref="H35" authorId="1" shapeId="0" xr:uid="{00000000-0006-0000-0400-000009000000}">
      <text>
        <r>
          <rPr>
            <sz val="9"/>
            <color indexed="81"/>
            <rFont val="MS P ゴシック"/>
            <family val="3"/>
            <charset val="128"/>
          </rPr>
          <t>広島市メモ
R6掛金（短期）より</t>
        </r>
      </text>
    </comment>
    <comment ref="H41" authorId="0" shapeId="0" xr:uid="{00000000-0006-0000-0400-00000A000000}">
      <text>
        <r>
          <rPr>
            <b/>
            <sz val="9"/>
            <color indexed="81"/>
            <rFont val="ＭＳ Ｐゴシック"/>
            <family val="3"/>
            <charset val="128"/>
          </rPr>
          <t>表（一）「3　標準報酬等合計額総額」の「標準報酬月額総額（年額）①」の「令和5年度（予算）」と一致しているか確認</t>
        </r>
      </text>
    </comment>
    <comment ref="H42" authorId="0" shapeId="0" xr:uid="{00000000-0006-0000-0400-00000B000000}">
      <text>
        <r>
          <rPr>
            <b/>
            <sz val="9"/>
            <color indexed="81"/>
            <rFont val="ＭＳ Ｐゴシック"/>
            <family val="3"/>
            <charset val="128"/>
          </rPr>
          <t>表（一）「3　標準報酬等合計額総額」の
「掛金・負担金免除対象者の標準報酬月額③」の「令和5年度（予算）」と一致しているか確認</t>
        </r>
      </text>
    </comment>
    <comment ref="H45" authorId="0" shapeId="0" xr:uid="{00000000-0006-0000-0400-00000C000000}">
      <text>
        <r>
          <rPr>
            <b/>
            <sz val="9"/>
            <color indexed="81"/>
            <rFont val="ＭＳ Ｐゴシック"/>
            <family val="3"/>
            <charset val="128"/>
          </rPr>
          <t>表（一）「3　標準報酬等合計額総額」の
「標準期末手当等総額（年額）⑤」の
「令和5年度（予算）」と一致しているか確認</t>
        </r>
      </text>
    </comment>
    <comment ref="H46" authorId="0" shapeId="0" xr:uid="{00000000-0006-0000-0400-00000D000000}">
      <text>
        <r>
          <rPr>
            <b/>
            <sz val="9"/>
            <color indexed="81"/>
            <rFont val="ＭＳ Ｐゴシック"/>
            <family val="3"/>
            <charset val="128"/>
          </rPr>
          <t>表（一）「3　標準報酬等合計額総額」の
「掛金・免除対象者の標準期末手当等額⑥」の「令和5年度（予算）」と一致しているか確認</t>
        </r>
      </text>
    </comment>
    <comment ref="G54" authorId="0" shapeId="0" xr:uid="{00000000-0006-0000-0400-00000E000000}">
      <text>
        <r>
          <rPr>
            <b/>
            <sz val="9"/>
            <color indexed="10"/>
            <rFont val="ＭＳ Ｐゴシック"/>
            <family val="3"/>
            <charset val="128"/>
          </rPr>
          <t>左の計算結果の財源率以上であり、財源率÷2の値に小数第3位以降の端数が生じない、直近上位の財源率を入力</t>
        </r>
      </text>
    </comment>
    <comment ref="F61" authorId="0" shapeId="0" xr:uid="{00000000-0006-0000-0400-00000F000000}">
      <text>
        <r>
          <rPr>
            <sz val="9"/>
            <color indexed="81"/>
            <rFont val="ＭＳ Ｐゴシック"/>
            <family val="3"/>
            <charset val="128"/>
          </rPr>
          <t>前年度非財調組合であり、かつ、前年度欠損金がある場合、当該欠損金を除いて算出される。</t>
        </r>
      </text>
    </comment>
    <comment ref="E90" authorId="0" shapeId="0" xr:uid="{00000000-0006-0000-0400-000010000000}">
      <text>
        <r>
          <rPr>
            <b/>
            <sz val="9"/>
            <color indexed="81"/>
            <rFont val="ＭＳ Ｐゴシック"/>
            <family val="3"/>
            <charset val="128"/>
          </rPr>
          <t>表（一）の（二）「1　財源率等の改正事項」の「令和4年度予定」「附則」欄の率と一致しているか確認</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KYOSAI</author>
  </authors>
  <commentList>
    <comment ref="G3" authorId="0" shapeId="0" xr:uid="{00000000-0006-0000-0500-000001000000}">
      <text>
        <r>
          <rPr>
            <b/>
            <sz val="9"/>
            <color indexed="81"/>
            <rFont val="MS P ゴシック"/>
            <family val="3"/>
            <charset val="128"/>
          </rPr>
          <t>R5予算書ベース</t>
        </r>
      </text>
    </comment>
    <comment ref="G7" authorId="0" shapeId="0" xr:uid="{00000000-0006-0000-0500-000002000000}">
      <text>
        <r>
          <rPr>
            <b/>
            <sz val="9"/>
            <color indexed="81"/>
            <rFont val="MS P ゴシック"/>
            <family val="3"/>
            <charset val="128"/>
          </rPr>
          <t>R5予算額</t>
        </r>
      </text>
    </comment>
    <comment ref="G8" authorId="0" shapeId="0" xr:uid="{00000000-0006-0000-0500-000003000000}">
      <text>
        <r>
          <rPr>
            <b/>
            <sz val="9"/>
            <color indexed="81"/>
            <rFont val="MS P ゴシック"/>
            <family val="3"/>
            <charset val="128"/>
          </rPr>
          <t>R5予算額</t>
        </r>
      </text>
    </comment>
    <comment ref="G10" authorId="0" shapeId="0" xr:uid="{00000000-0006-0000-0500-000004000000}">
      <text>
        <r>
          <rPr>
            <b/>
            <sz val="9"/>
            <color indexed="81"/>
            <rFont val="MS P ゴシック"/>
            <family val="3"/>
            <charset val="128"/>
          </rPr>
          <t>12/14時点</t>
        </r>
      </text>
    </comment>
    <comment ref="F20" authorId="0" shapeId="0" xr:uid="{00000000-0006-0000-0500-000005000000}">
      <text>
        <r>
          <rPr>
            <b/>
            <sz val="9"/>
            <color indexed="81"/>
            <rFont val="MS P ゴシック"/>
            <family val="3"/>
            <charset val="128"/>
          </rPr>
          <t>家族健診補助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KYOSAI</author>
  </authors>
  <commentList>
    <comment ref="F3" authorId="0" shapeId="0" xr:uid="{00000000-0006-0000-0600-000001000000}">
      <text>
        <r>
          <rPr>
            <b/>
            <sz val="9"/>
            <color indexed="81"/>
            <rFont val="MS P ゴシック"/>
            <family val="3"/>
            <charset val="128"/>
          </rPr>
          <t>R5予算書ベース</t>
        </r>
      </text>
    </comment>
    <comment ref="G11" authorId="0" shapeId="0" xr:uid="{00000000-0006-0000-0600-000002000000}">
      <text>
        <r>
          <rPr>
            <b/>
            <sz val="9"/>
            <color indexed="81"/>
            <rFont val="MS P ゴシック"/>
            <family val="3"/>
            <charset val="128"/>
          </rPr>
          <t>R5.12.22
連合会試算表より</t>
        </r>
      </text>
    </comment>
    <comment ref="D14" authorId="0" shapeId="0" xr:uid="{00000000-0006-0000-0600-000003000000}">
      <text>
        <r>
          <rPr>
            <sz val="9"/>
            <color indexed="81"/>
            <rFont val="MS P ゴシック"/>
            <family val="3"/>
            <charset val="128"/>
          </rPr>
          <t>R2決算の2,031千円を短期経理で計上しており、R3で訂正したため、合わない。</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Administrator</author>
    <author>setupuser</author>
  </authors>
  <commentList>
    <comment ref="E75" authorId="0" shapeId="0" xr:uid="{182524CF-289F-4EC1-81CC-EC2D3EA6D76B}">
      <text>
        <r>
          <rPr>
            <b/>
            <sz val="9"/>
            <color indexed="81"/>
            <rFont val="MS P ゴシック"/>
            <family val="3"/>
            <charset val="128"/>
          </rPr>
          <t>端数調整しています</t>
        </r>
      </text>
    </comment>
    <comment ref="M94" authorId="0" shapeId="0" xr:uid="{32DC4583-EE8A-461D-BF64-4CB81E230190}">
      <text>
        <r>
          <rPr>
            <b/>
            <sz val="9"/>
            <color indexed="81"/>
            <rFont val="MS P ゴシック"/>
            <family val="3"/>
            <charset val="128"/>
          </rPr>
          <t>端数調整しています</t>
        </r>
      </text>
    </comment>
    <comment ref="D95" authorId="0" shapeId="0" xr:uid="{30CD61C5-BA7B-473A-92C5-F1276BC27BC7}">
      <text>
        <r>
          <rPr>
            <b/>
            <sz val="9"/>
            <color indexed="81"/>
            <rFont val="MS P ゴシック"/>
            <family val="3"/>
            <charset val="128"/>
          </rPr>
          <t>端数調整しています</t>
        </r>
      </text>
    </comment>
    <comment ref="D104" authorId="0" shapeId="0" xr:uid="{1FD4CFDF-14AF-4ACC-8660-C04B2672F07F}">
      <text>
        <r>
          <rPr>
            <b/>
            <sz val="9"/>
            <color indexed="81"/>
            <rFont val="MS P ゴシック"/>
            <family val="3"/>
            <charset val="128"/>
          </rPr>
          <t>端数調整しています</t>
        </r>
      </text>
    </comment>
    <comment ref="M104" authorId="0" shapeId="0" xr:uid="{1B381654-F5D5-4625-A758-E42080C4FEC9}">
      <text>
        <r>
          <rPr>
            <b/>
            <sz val="9"/>
            <color indexed="81"/>
            <rFont val="MS P ゴシック"/>
            <family val="3"/>
            <charset val="128"/>
          </rPr>
          <t>端数調整しています</t>
        </r>
      </text>
    </comment>
    <comment ref="L109" authorId="0" shapeId="0" xr:uid="{B962CAD3-063C-4F55-B9A1-70DD5A496C25}">
      <text>
        <r>
          <rPr>
            <b/>
            <sz val="9"/>
            <color indexed="81"/>
            <rFont val="MS P ゴシック"/>
            <family val="3"/>
            <charset val="128"/>
          </rPr>
          <t>端数調整しています</t>
        </r>
      </text>
    </comment>
    <comment ref="F116" authorId="1" shapeId="0" xr:uid="{00000000-0006-0000-0700-000001000000}">
      <text>
        <r>
          <rPr>
            <sz val="9"/>
            <color indexed="81"/>
            <rFont val="ＭＳ Ｐゴシック"/>
            <family val="3"/>
            <charset val="128"/>
          </rPr>
          <t>ラウンドアップ</t>
        </r>
      </text>
    </comment>
    <comment ref="P124" authorId="0" shapeId="0" xr:uid="{DE52A038-ABE9-4095-81DC-C978DDEB855D}">
      <text>
        <r>
          <rPr>
            <b/>
            <sz val="9"/>
            <color indexed="81"/>
            <rFont val="MS P ゴシック"/>
            <family val="3"/>
            <charset val="128"/>
          </rPr>
          <t>端数調整しています</t>
        </r>
      </text>
    </comment>
    <comment ref="P126" authorId="0" shapeId="0" xr:uid="{C9B124C5-C30B-4B47-8868-3E3871DC1DF0}">
      <text>
        <r>
          <rPr>
            <b/>
            <sz val="9"/>
            <color indexed="81"/>
            <rFont val="MS P ゴシック"/>
            <family val="3"/>
            <charset val="128"/>
          </rPr>
          <t>端数調整しています</t>
        </r>
      </text>
    </comment>
    <comment ref="N127" authorId="0" shapeId="0" xr:uid="{D64BF690-87AC-4D18-9373-5AAB5F3D1C25}">
      <text>
        <r>
          <rPr>
            <b/>
            <sz val="9"/>
            <color indexed="81"/>
            <rFont val="MS P ゴシック"/>
            <family val="3"/>
            <charset val="128"/>
          </rPr>
          <t>端数調整しています</t>
        </r>
      </text>
    </comment>
    <comment ref="P128" authorId="0" shapeId="0" xr:uid="{6B8622C9-737B-4E0C-B36E-5ADD7D81C104}">
      <text>
        <r>
          <rPr>
            <b/>
            <sz val="9"/>
            <color indexed="81"/>
            <rFont val="MS P ゴシック"/>
            <family val="3"/>
            <charset val="128"/>
          </rPr>
          <t>端数調整しています</t>
        </r>
      </text>
    </comment>
    <comment ref="J129" authorId="0" shapeId="0" xr:uid="{3F264E70-199A-43DB-92A7-84A2F60917EB}">
      <text>
        <r>
          <rPr>
            <b/>
            <sz val="9"/>
            <color indexed="81"/>
            <rFont val="MS P ゴシック"/>
            <family val="3"/>
            <charset val="128"/>
          </rPr>
          <t>端数調整しています</t>
        </r>
      </text>
    </comment>
    <comment ref="D130" authorId="0" shapeId="0" xr:uid="{68541CD8-AA57-43DB-ABC3-43AB326336F9}">
      <text>
        <r>
          <rPr>
            <b/>
            <sz val="9"/>
            <color indexed="81"/>
            <rFont val="MS P ゴシック"/>
            <family val="3"/>
            <charset val="128"/>
          </rPr>
          <t>端数調整しています</t>
        </r>
      </text>
    </comment>
    <comment ref="D134" authorId="0" shapeId="0" xr:uid="{3685919C-B731-4F48-AA42-73DCBDA607BA}">
      <text>
        <r>
          <rPr>
            <b/>
            <sz val="9"/>
            <color indexed="81"/>
            <rFont val="MS P ゴシック"/>
            <family val="3"/>
            <charset val="128"/>
          </rPr>
          <t>端数調整しています</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E71" authorId="0" shapeId="0" xr:uid="{6D03E5D0-C2AE-42D5-8DBE-BDEEEEF16D7C}">
      <text>
        <r>
          <rPr>
            <b/>
            <sz val="9"/>
            <color indexed="81"/>
            <rFont val="MS P ゴシック"/>
            <family val="3"/>
            <charset val="128"/>
          </rPr>
          <t>端数調整しています</t>
        </r>
      </text>
    </comment>
    <comment ref="I75" authorId="0" shapeId="0" xr:uid="{3F994AA3-604D-4AA8-8A29-F156F362C180}">
      <text>
        <r>
          <rPr>
            <b/>
            <sz val="9"/>
            <color indexed="81"/>
            <rFont val="MS P ゴシック"/>
            <family val="3"/>
            <charset val="128"/>
          </rPr>
          <t>端数調整しています</t>
        </r>
      </text>
    </comment>
    <comment ref="D90" authorId="0" shapeId="0" xr:uid="{4CD06667-6547-496E-BCB1-D73D0EF9824F}">
      <text>
        <r>
          <rPr>
            <b/>
            <sz val="9"/>
            <color indexed="81"/>
            <rFont val="MS P ゴシック"/>
            <family val="3"/>
            <charset val="128"/>
          </rPr>
          <t>端数調整しています</t>
        </r>
      </text>
    </comment>
    <comment ref="H91" authorId="0" shapeId="0" xr:uid="{00DDADAA-39D1-4B00-BED5-1A90FF4C884F}">
      <text>
        <r>
          <rPr>
            <b/>
            <sz val="9"/>
            <color indexed="81"/>
            <rFont val="MS P ゴシック"/>
            <family val="3"/>
            <charset val="128"/>
          </rPr>
          <t>端数調整しています</t>
        </r>
      </text>
    </comment>
    <comment ref="D102" authorId="0" shapeId="0" xr:uid="{BDBB85DC-1E1A-4150-A585-62F89C46C6E6}">
      <text>
        <r>
          <rPr>
            <b/>
            <sz val="9"/>
            <color indexed="81"/>
            <rFont val="MS P ゴシック"/>
            <family val="3"/>
            <charset val="128"/>
          </rPr>
          <t>端数調整しています</t>
        </r>
      </text>
    </comment>
    <comment ref="D105" authorId="0" shapeId="0" xr:uid="{B6ABA6E8-63B5-4519-A1FA-CAC5F018A7B0}">
      <text>
        <r>
          <rPr>
            <b/>
            <sz val="9"/>
            <color indexed="81"/>
            <rFont val="MS P ゴシック"/>
            <family val="3"/>
            <charset val="128"/>
          </rPr>
          <t>端数調整しています</t>
        </r>
      </text>
    </comment>
    <comment ref="D113" authorId="0" shapeId="0" xr:uid="{CA801EFD-93C8-454B-8057-1CC9373FB533}">
      <text>
        <r>
          <rPr>
            <b/>
            <sz val="9"/>
            <color indexed="81"/>
            <rFont val="MS P ゴシック"/>
            <family val="3"/>
            <charset val="128"/>
          </rPr>
          <t>端数調整しています</t>
        </r>
      </text>
    </comment>
    <comment ref="F119" authorId="0" shapeId="0" xr:uid="{9D73AAB4-1AC1-4646-816F-C0431D8F3ACB}">
      <text>
        <r>
          <rPr>
            <b/>
            <sz val="9"/>
            <color indexed="81"/>
            <rFont val="MS P ゴシック"/>
            <family val="3"/>
            <charset val="128"/>
          </rPr>
          <t>ラウンドダウン</t>
        </r>
      </text>
    </comment>
    <comment ref="P126" authorId="0" shapeId="0" xr:uid="{CD730166-4D54-47AA-A511-B7BAE13A0451}">
      <text>
        <r>
          <rPr>
            <b/>
            <sz val="9"/>
            <color indexed="81"/>
            <rFont val="MS P ゴシック"/>
            <family val="3"/>
            <charset val="128"/>
          </rPr>
          <t>端数調整しています</t>
        </r>
      </text>
    </comment>
    <comment ref="N127" authorId="0" shapeId="0" xr:uid="{6FA19899-D683-411D-B766-DE9FD9700B42}">
      <text>
        <r>
          <rPr>
            <b/>
            <sz val="9"/>
            <color indexed="81"/>
            <rFont val="MS P ゴシック"/>
            <family val="3"/>
            <charset val="128"/>
          </rPr>
          <t>端数調整しています</t>
        </r>
      </text>
    </comment>
    <comment ref="P128" authorId="0" shapeId="0" xr:uid="{F2589D7B-2B51-40B3-9283-F6ECFF1EDE16}">
      <text>
        <r>
          <rPr>
            <b/>
            <sz val="9"/>
            <color indexed="81"/>
            <rFont val="MS P ゴシック"/>
            <family val="3"/>
            <charset val="128"/>
          </rPr>
          <t>端数調整しています</t>
        </r>
      </text>
    </comment>
    <comment ref="D130" authorId="0" shapeId="0" xr:uid="{8E9A76AD-A52D-4480-898E-2E35787CE5B3}">
      <text>
        <r>
          <rPr>
            <b/>
            <sz val="9"/>
            <color indexed="81"/>
            <rFont val="MS P ゴシック"/>
            <family val="3"/>
            <charset val="128"/>
          </rPr>
          <t>端数調整しています</t>
        </r>
      </text>
    </comment>
    <comment ref="M133" authorId="0" shapeId="0" xr:uid="{F47F4CF1-7DBE-437A-9439-CF97912D415B}">
      <text>
        <r>
          <rPr>
            <b/>
            <sz val="9"/>
            <color indexed="81"/>
            <rFont val="MS P ゴシック"/>
            <family val="3"/>
            <charset val="128"/>
          </rPr>
          <t>端数調整しています</t>
        </r>
      </text>
    </comment>
    <comment ref="D134" authorId="0" shapeId="0" xr:uid="{01ABB66F-2144-4238-961A-DECA7D0882FC}">
      <text>
        <r>
          <rPr>
            <b/>
            <sz val="9"/>
            <color indexed="81"/>
            <rFont val="MS P ゴシック"/>
            <family val="3"/>
            <charset val="128"/>
          </rPr>
          <t>端数調整しています</t>
        </r>
      </text>
    </comment>
    <comment ref="F134" authorId="0" shapeId="0" xr:uid="{E15A08DB-39DF-42CD-8006-248C3C9AB6BE}">
      <text>
        <r>
          <rPr>
            <b/>
            <sz val="9"/>
            <color indexed="81"/>
            <rFont val="MS P ゴシック"/>
            <family val="3"/>
            <charset val="128"/>
          </rPr>
          <t>端数調整しています</t>
        </r>
      </text>
    </comment>
    <comment ref="N145" authorId="0" shapeId="0" xr:uid="{7D36429E-068B-44A0-9B14-FBC25F17B9B1}">
      <text>
        <r>
          <rPr>
            <b/>
            <sz val="9"/>
            <color indexed="81"/>
            <rFont val="MS P ゴシック"/>
            <family val="3"/>
            <charset val="128"/>
          </rPr>
          <t>ラウンドダウン</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Administrator</author>
  </authors>
  <commentList>
    <comment ref="C2" authorId="0" shapeId="0" xr:uid="{00000000-0006-0000-0D00-000002000000}">
      <text>
        <r>
          <rPr>
            <sz val="9"/>
            <color indexed="81"/>
            <rFont val="ＭＳ Ｐゴシック"/>
            <family val="3"/>
            <charset val="128"/>
          </rPr>
          <t xml:space="preserve">事業報告総括表の中で自動集計したものをコピー
</t>
        </r>
      </text>
    </comment>
    <comment ref="AA6" authorId="1" shapeId="0" xr:uid="{180E5DCD-2B51-4C61-B007-A5A06860B949}">
      <text>
        <r>
          <rPr>
            <b/>
            <sz val="9"/>
            <color indexed="81"/>
            <rFont val="MS P ゴシック"/>
            <family val="3"/>
            <charset val="128"/>
          </rPr>
          <t>(継続）岡田　256,000円
（～R7.10）大江　1,081,000円
（R7.10～）宮永　327,000円</t>
        </r>
      </text>
    </comment>
    <comment ref="AF13" authorId="2" shapeId="0" xr:uid="{21C5A072-4A23-43CF-9665-25C997CD7694}">
      <text>
        <r>
          <rPr>
            <b/>
            <sz val="9"/>
            <color indexed="81"/>
            <rFont val="MS P ゴシック"/>
            <family val="3"/>
            <charset val="128"/>
          </rPr>
          <t>年間上限額5,730,000円のため</t>
        </r>
      </text>
    </comment>
    <comment ref="E20" authorId="2" shapeId="0" xr:uid="{2947683F-99A0-4D06-B6A1-845EB4E4F965}">
      <text>
        <r>
          <rPr>
            <b/>
            <sz val="9"/>
            <color indexed="81"/>
            <rFont val="MS P ゴシック"/>
            <family val="3"/>
            <charset val="128"/>
          </rPr>
          <t>手入力</t>
        </r>
      </text>
    </comment>
    <comment ref="M30" authorId="0" shapeId="0" xr:uid="{00000000-0006-0000-0D00-000003000000}">
      <text>
        <r>
          <rPr>
            <b/>
            <sz val="9"/>
            <color indexed="81"/>
            <rFont val="ＭＳ Ｐゴシック"/>
            <family val="3"/>
            <charset val="128"/>
          </rPr>
          <t>保健医療係が見込む数字</t>
        </r>
      </text>
    </comment>
    <comment ref="X85" authorId="1" shapeId="0" xr:uid="{00000000-0006-0000-0D00-000004000000}">
      <text>
        <r>
          <rPr>
            <b/>
            <sz val="9"/>
            <color indexed="81"/>
            <rFont val="MS P ゴシック"/>
            <family val="3"/>
            <charset val="128"/>
          </rPr>
          <t>任意継続は基幹データではなく、総括表から参照</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Administrator</author>
  </authors>
  <commentList>
    <comment ref="Y2" authorId="0" shapeId="0" xr:uid="{00000000-0006-0000-0E00-000001000000}">
      <text>
        <r>
          <rPr>
            <sz val="10"/>
            <color indexed="81"/>
            <rFont val="ＭＳ Ｐゴシック"/>
            <family val="3"/>
            <charset val="128"/>
          </rPr>
          <t>●前年度実績を、今年度の支給率と人数見込みで按分。
　　6月分：前年6月より算定。12月分・3月分：前年12月より算定。
　　　例：〈R3.6月分＝Ｒ2.6実績/2.6支給率/2.6人数⋇R3.6支給率⋇R3.6人数見込み〉
●市長・特別職は別表より（庶務係→掛金負担金月例報告→月例報告総括表等→Ｒ2年度月例報告等→Ｒ2市長・特別職）</t>
        </r>
      </text>
    </comment>
    <comment ref="D26" authorId="1" shapeId="0" xr:uid="{B6AF082B-4349-4D49-9A83-7EDA697458C2}">
      <text>
        <r>
          <rPr>
            <sz val="8"/>
            <color indexed="81"/>
            <rFont val="MS P ゴシック"/>
            <family val="3"/>
            <charset val="128"/>
          </rPr>
          <t>人数は①に含まれているため足さない</t>
        </r>
      </text>
    </comment>
    <comment ref="E26" authorId="1" shapeId="0" xr:uid="{35DD0528-0444-4B22-82EB-6E3D01AD27D5}">
      <text>
        <r>
          <rPr>
            <sz val="8"/>
            <color indexed="81"/>
            <rFont val="MS P ゴシック"/>
            <family val="3"/>
            <charset val="128"/>
          </rPr>
          <t>定年延長者の３割分（①に定年前の満額が計上されており、４月に７割給となるため、差額の３割を引く）</t>
        </r>
      </text>
    </comment>
    <comment ref="S26" authorId="1" shapeId="0" xr:uid="{73A9EBA1-DA1C-4DEA-8A9E-706FDF76E1DE}">
      <text>
        <r>
          <rPr>
            <sz val="8"/>
            <color indexed="81"/>
            <rFont val="MS P ゴシック"/>
            <family val="3"/>
            <charset val="128"/>
          </rPr>
          <t>人数は①に含まれているため足さない</t>
        </r>
      </text>
    </comment>
    <comment ref="T26" authorId="1" shapeId="0" xr:uid="{5EE51065-29B1-4AE1-B5BE-D8BB4F89DDBC}">
      <text>
        <r>
          <rPr>
            <sz val="8"/>
            <color indexed="81"/>
            <rFont val="MS P ゴシック"/>
            <family val="3"/>
            <charset val="128"/>
          </rPr>
          <t>定年延長者の３割分（①に定年前の満額が計上されており、４月に７割給となるため、差額の３割を引く）</t>
        </r>
      </text>
    </comment>
    <comment ref="D28" authorId="1" shapeId="0" xr:uid="{00000000-0006-0000-0E00-00000B000000}">
      <text>
        <r>
          <rPr>
            <sz val="9"/>
            <color indexed="81"/>
            <rFont val="MS P ゴシック"/>
            <family val="3"/>
            <charset val="128"/>
          </rPr>
          <t>市予算要求時に病院機構から聴取した人数</t>
        </r>
      </text>
    </comment>
    <comment ref="AC33" authorId="0" shapeId="0" xr:uid="{00000000-0006-0000-0E00-00000C000000}">
      <text>
        <r>
          <rPr>
            <b/>
            <sz val="9"/>
            <color indexed="81"/>
            <rFont val="ＭＳ Ｐゴシック"/>
            <family val="3"/>
            <charset val="128"/>
          </rPr>
          <t>保健医療係が見込む数字</t>
        </r>
      </text>
    </comment>
    <comment ref="D36" authorId="1" shapeId="0" xr:uid="{C64E2B93-01CA-4F4C-8F70-3169A960EBE1}">
      <text>
        <r>
          <rPr>
            <sz val="8"/>
            <color indexed="81"/>
            <rFont val="MS P ゴシック"/>
            <family val="3"/>
            <charset val="128"/>
          </rPr>
          <t>人数は①に含まれているため足さない</t>
        </r>
      </text>
    </comment>
    <comment ref="E36" authorId="1" shapeId="0" xr:uid="{A59DCE60-6805-43BC-8AEA-19588DD0EE55}">
      <text>
        <r>
          <rPr>
            <sz val="8"/>
            <color indexed="81"/>
            <rFont val="MS P ゴシック"/>
            <family val="3"/>
            <charset val="128"/>
          </rPr>
          <t>定年延長者の３割分（①に定年前の満額が計上されており、４月に７割給となるため、差額の３割を引く）</t>
        </r>
      </text>
    </comment>
    <comment ref="D37" authorId="2" shapeId="0" xr:uid="{9C47C0B8-F95C-4FC3-8D25-F857D40ECDAA}">
      <text>
        <r>
          <rPr>
            <sz val="9"/>
            <color indexed="81"/>
            <rFont val="MS P ゴシック"/>
            <family val="3"/>
            <charset val="128"/>
          </rPr>
          <t>再フル含む</t>
        </r>
      </text>
    </comment>
    <comment ref="D39" authorId="2" shapeId="0" xr:uid="{73AFBB3C-670E-4672-BAEE-6C503639C568}">
      <text>
        <r>
          <rPr>
            <sz val="9"/>
            <color indexed="81"/>
            <rFont val="MS P ゴシック"/>
            <family val="3"/>
            <charset val="128"/>
          </rPr>
          <t>市予算要求時に市人事課から聴取した人数</t>
        </r>
      </text>
    </comment>
    <comment ref="E39" authorId="2" shapeId="0" xr:uid="{086564E1-7F96-4068-8BC1-68A1469FE1DA}">
      <text>
        <r>
          <rPr>
            <sz val="9"/>
            <color indexed="81"/>
            <rFont val="MS P ゴシック"/>
            <family val="3"/>
            <charset val="128"/>
          </rPr>
          <t>R5.4に定年後再任用の平均標準報酬302,419円を人数にかけたもの</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s>
  <commentList>
    <comment ref="C2" authorId="0" shapeId="0" xr:uid="{00000000-0006-0000-1000-000001000000}">
      <text>
        <r>
          <rPr>
            <sz val="9"/>
            <color indexed="81"/>
            <rFont val="ＭＳ Ｐゴシック"/>
            <family val="3"/>
            <charset val="128"/>
          </rPr>
          <t>事業報告総括表の中で自動集計したものをコピー</t>
        </r>
      </text>
    </comment>
    <comment ref="U86" authorId="1" shapeId="0" xr:uid="{00000000-0006-0000-1000-000002000000}">
      <text>
        <r>
          <rPr>
            <sz val="9"/>
            <color indexed="81"/>
            <rFont val="MS P ゴシック"/>
            <family val="3"/>
            <charset val="128"/>
          </rPr>
          <t>該当者なしを確認</t>
        </r>
      </text>
    </comment>
    <comment ref="W89" authorId="1" shapeId="0" xr:uid="{00000000-0006-0000-1000-000003000000}">
      <text>
        <r>
          <rPr>
            <b/>
            <sz val="9"/>
            <color indexed="81"/>
            <rFont val="MS P ゴシック"/>
            <family val="3"/>
            <charset val="128"/>
          </rPr>
          <t>任継は総括表から転記</t>
        </r>
      </text>
    </comment>
    <comment ref="Y95" authorId="1" shapeId="0" xr:uid="{00000000-0006-0000-1000-000004000000}">
      <text>
        <r>
          <rPr>
            <sz val="9"/>
            <color indexed="81"/>
            <rFont val="MS P ゴシック"/>
            <family val="3"/>
            <charset val="128"/>
          </rPr>
          <t>R4.10月の実績値は適用拡大時による大幅増のため、この実績値は用いず、R4.11～R5.9月の平均値とする</t>
        </r>
        <r>
          <rPr>
            <b/>
            <sz val="9"/>
            <color indexed="81"/>
            <rFont val="MS P ゴシック"/>
            <family val="3"/>
            <charset val="128"/>
          </rPr>
          <t xml:space="preserv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s>
  <commentList>
    <comment ref="Y2" authorId="0" shapeId="0" xr:uid="{00000000-0006-0000-1100-000001000000}">
      <text>
        <r>
          <rPr>
            <sz val="10"/>
            <color indexed="81"/>
            <rFont val="ＭＳ Ｐゴシック"/>
            <family val="3"/>
            <charset val="128"/>
          </rPr>
          <t xml:space="preserve">●前年度実績を、今年度の支給率と人数見込みで按分。
　　6月分：前年6月より算定。12月分・3月分：前年12月より算定。
　　　例：〈R6.6月分＝Ｒ5.6実績/Ｒ5.6支給率/Ｒ6.6人数⋇R6.6支給率⋇R6.6人数見込み〉
</t>
        </r>
      </text>
    </comment>
    <comment ref="D26" authorId="1" shapeId="0" xr:uid="{00000000-0006-0000-1100-000002000000}">
      <text>
        <r>
          <rPr>
            <sz val="8"/>
            <color indexed="81"/>
            <rFont val="MS P ゴシック"/>
            <family val="3"/>
            <charset val="128"/>
          </rPr>
          <t>人数は①に含まれているため足さない</t>
        </r>
      </text>
    </comment>
    <comment ref="E26" authorId="1" shapeId="0" xr:uid="{00000000-0006-0000-1100-000003000000}">
      <text>
        <r>
          <rPr>
            <sz val="8"/>
            <color indexed="81"/>
            <rFont val="MS P ゴシック"/>
            <family val="3"/>
            <charset val="128"/>
          </rPr>
          <t>定年延長者の３割分（①に定年前の満額が計上されており、４月に７割給となるため、差額の３割を引く）</t>
        </r>
      </text>
    </comment>
    <comment ref="N26" authorId="1" shapeId="0" xr:uid="{00000000-0006-0000-1100-000004000000}">
      <text>
        <r>
          <rPr>
            <sz val="8"/>
            <color indexed="81"/>
            <rFont val="MS P ゴシック"/>
            <family val="3"/>
            <charset val="128"/>
          </rPr>
          <t>該当者なし</t>
        </r>
      </text>
    </comment>
    <comment ref="D29" authorId="1" shapeId="0" xr:uid="{00000000-0006-0000-1100-000005000000}">
      <text>
        <r>
          <rPr>
            <sz val="8"/>
            <color indexed="81"/>
            <rFont val="MS P ゴシック"/>
            <family val="3"/>
            <charset val="128"/>
          </rPr>
          <t>定年延長により０人の見込み（市予算要求時に人事課に確認）</t>
        </r>
      </text>
    </comment>
    <comment ref="E40" authorId="1" shapeId="0" xr:uid="{00000000-0006-0000-1100-000006000000}">
      <text>
        <r>
          <rPr>
            <sz val="9"/>
            <color indexed="81"/>
            <rFont val="MS P ゴシック"/>
            <family val="3"/>
            <charset val="128"/>
          </rPr>
          <t>特定消防　R5.3平均報酬×8人</t>
        </r>
      </text>
    </comment>
  </commentList>
</comments>
</file>

<file path=xl/sharedStrings.xml><?xml version="1.0" encoding="utf-8"?>
<sst xmlns="http://schemas.openxmlformats.org/spreadsheetml/2006/main" count="3373" uniqueCount="691">
  <si>
    <t>区分</t>
    <rPh sb="0" eb="2">
      <t>クブン</t>
    </rPh>
    <phoneticPr fontId="3"/>
  </si>
  <si>
    <t>掛金（任継含む。）</t>
    <rPh sb="0" eb="1">
      <t>カ</t>
    </rPh>
    <rPh sb="1" eb="2">
      <t>キン</t>
    </rPh>
    <rPh sb="3" eb="5">
      <t>ニンケイ</t>
    </rPh>
    <rPh sb="5" eb="6">
      <t>フク</t>
    </rPh>
    <phoneticPr fontId="3"/>
  </si>
  <si>
    <t>負担金</t>
    <rPh sb="0" eb="3">
      <t>フタンキン</t>
    </rPh>
    <phoneticPr fontId="3"/>
  </si>
  <si>
    <t>掛金</t>
    <rPh sb="0" eb="2">
      <t>カケキン</t>
    </rPh>
    <phoneticPr fontId="3"/>
  </si>
  <si>
    <t>収入</t>
    <rPh sb="0" eb="2">
      <t>シュウニュウ</t>
    </rPh>
    <phoneticPr fontId="3"/>
  </si>
  <si>
    <t>その他収入</t>
    <rPh sb="2" eb="3">
      <t>タ</t>
    </rPh>
    <rPh sb="3" eb="5">
      <t>シュウニュウ</t>
    </rPh>
    <phoneticPr fontId="3"/>
  </si>
  <si>
    <t>短期利息・短期配当金</t>
    <rPh sb="0" eb="2">
      <t>タンキ</t>
    </rPh>
    <rPh sb="2" eb="4">
      <t>リソク</t>
    </rPh>
    <rPh sb="5" eb="7">
      <t>タンキ</t>
    </rPh>
    <rPh sb="7" eb="10">
      <t>ハイトウキン</t>
    </rPh>
    <phoneticPr fontId="3"/>
  </si>
  <si>
    <t>高額医療交付金</t>
    <rPh sb="0" eb="2">
      <t>コウガク</t>
    </rPh>
    <rPh sb="2" eb="4">
      <t>イリョウ</t>
    </rPh>
    <rPh sb="4" eb="7">
      <t>コウフキン</t>
    </rPh>
    <phoneticPr fontId="3"/>
  </si>
  <si>
    <t>補助金</t>
    <rPh sb="0" eb="3">
      <t>ホジョキン</t>
    </rPh>
    <phoneticPr fontId="3"/>
  </si>
  <si>
    <t>賠償金</t>
    <rPh sb="0" eb="3">
      <t>バイショウキン</t>
    </rPh>
    <phoneticPr fontId="3"/>
  </si>
  <si>
    <t>雑収入</t>
    <rPh sb="0" eb="1">
      <t>ザツ</t>
    </rPh>
    <rPh sb="1" eb="3">
      <t>シュウニュウ</t>
    </rPh>
    <phoneticPr fontId="3"/>
  </si>
  <si>
    <t>前期損益修正益</t>
    <rPh sb="0" eb="2">
      <t>ゼンキ</t>
    </rPh>
    <rPh sb="2" eb="4">
      <t>ソンエキ</t>
    </rPh>
    <rPh sb="4" eb="6">
      <t>シュウセイ</t>
    </rPh>
    <rPh sb="6" eb="7">
      <t>エキ</t>
    </rPh>
    <phoneticPr fontId="3"/>
  </si>
  <si>
    <t>計（Ａ）</t>
    <rPh sb="0" eb="1">
      <t>ケイ</t>
    </rPh>
    <phoneticPr fontId="3"/>
  </si>
  <si>
    <t>支出</t>
    <rPh sb="0" eb="2">
      <t>シシュツ</t>
    </rPh>
    <phoneticPr fontId="3"/>
  </si>
  <si>
    <t>医療費</t>
    <rPh sb="0" eb="2">
      <t>イリョウ</t>
    </rPh>
    <rPh sb="2" eb="3">
      <t>ヒ</t>
    </rPh>
    <phoneticPr fontId="3"/>
  </si>
  <si>
    <t>保健給付</t>
    <rPh sb="0" eb="2">
      <t>ホケン</t>
    </rPh>
    <rPh sb="2" eb="4">
      <t>キュウフ</t>
    </rPh>
    <phoneticPr fontId="3"/>
  </si>
  <si>
    <t>一部負担金払戻金</t>
    <rPh sb="0" eb="2">
      <t>イチブ</t>
    </rPh>
    <rPh sb="2" eb="4">
      <t>フタン</t>
    </rPh>
    <rPh sb="4" eb="5">
      <t>キン</t>
    </rPh>
    <rPh sb="5" eb="7">
      <t>ハライモドシ</t>
    </rPh>
    <rPh sb="7" eb="8">
      <t>キン</t>
    </rPh>
    <phoneticPr fontId="3"/>
  </si>
  <si>
    <t>附加給付</t>
    <rPh sb="0" eb="2">
      <t>フカ</t>
    </rPh>
    <rPh sb="2" eb="4">
      <t>キュウフ</t>
    </rPh>
    <phoneticPr fontId="3"/>
  </si>
  <si>
    <t>退職者給付拠出金</t>
    <rPh sb="0" eb="3">
      <t>タイショクシャ</t>
    </rPh>
    <rPh sb="3" eb="5">
      <t>キュウフ</t>
    </rPh>
    <rPh sb="5" eb="8">
      <t>キョシュツキン</t>
    </rPh>
    <phoneticPr fontId="3"/>
  </si>
  <si>
    <t>前期高齢者納付金</t>
    <rPh sb="0" eb="2">
      <t>ゼンキ</t>
    </rPh>
    <rPh sb="2" eb="5">
      <t>コウレイシャ</t>
    </rPh>
    <rPh sb="5" eb="8">
      <t>ノウフキン</t>
    </rPh>
    <phoneticPr fontId="3"/>
  </si>
  <si>
    <t>後期高齢者支援金</t>
    <rPh sb="0" eb="2">
      <t>コウキ</t>
    </rPh>
    <rPh sb="2" eb="5">
      <t>コウレイシャ</t>
    </rPh>
    <rPh sb="5" eb="8">
      <t>シエンキン</t>
    </rPh>
    <phoneticPr fontId="3"/>
  </si>
  <si>
    <t>病床転換支援金</t>
    <rPh sb="0" eb="2">
      <t>ビョウショウ</t>
    </rPh>
    <rPh sb="2" eb="4">
      <t>テンカン</t>
    </rPh>
    <rPh sb="4" eb="6">
      <t>シエン</t>
    </rPh>
    <rPh sb="6" eb="7">
      <t>キン</t>
    </rPh>
    <phoneticPr fontId="3"/>
  </si>
  <si>
    <t>業務経理へ繰入</t>
    <rPh sb="0" eb="2">
      <t>ギョウム</t>
    </rPh>
    <rPh sb="2" eb="4">
      <t>ケイリ</t>
    </rPh>
    <rPh sb="5" eb="7">
      <t>クリイレ</t>
    </rPh>
    <phoneticPr fontId="3"/>
  </si>
  <si>
    <t>前期損益修正損</t>
    <rPh sb="0" eb="2">
      <t>ゼンキ</t>
    </rPh>
    <rPh sb="2" eb="4">
      <t>ソンエキ</t>
    </rPh>
    <rPh sb="4" eb="6">
      <t>シュウセイ</t>
    </rPh>
    <rPh sb="6" eb="7">
      <t>ソン</t>
    </rPh>
    <phoneticPr fontId="3"/>
  </si>
  <si>
    <t>次年度繰越支払準備金</t>
    <rPh sb="0" eb="3">
      <t>ジネンド</t>
    </rPh>
    <rPh sb="3" eb="5">
      <t>クリコシ</t>
    </rPh>
    <rPh sb="5" eb="7">
      <t>シハライ</t>
    </rPh>
    <rPh sb="7" eb="10">
      <t>ジュンビキン</t>
    </rPh>
    <phoneticPr fontId="3"/>
  </si>
  <si>
    <t>計（Ｂ）</t>
    <rPh sb="0" eb="1">
      <t>ケイ</t>
    </rPh>
    <phoneticPr fontId="3"/>
  </si>
  <si>
    <t>当期収支差(A)-(B)</t>
    <rPh sb="0" eb="2">
      <t>トウキ</t>
    </rPh>
    <rPh sb="2" eb="4">
      <t>シュウシ</t>
    </rPh>
    <rPh sb="4" eb="5">
      <t>サ</t>
    </rPh>
    <phoneticPr fontId="3"/>
  </si>
  <si>
    <t>年度末累計剰余金（C）</t>
    <rPh sb="0" eb="3">
      <t>ネンドマツ</t>
    </rPh>
    <rPh sb="3" eb="5">
      <t>ルイケイ</t>
    </rPh>
    <rPh sb="5" eb="8">
      <t>ジョウヨキン</t>
    </rPh>
    <phoneticPr fontId="3"/>
  </si>
  <si>
    <t>欠損金補てん積立金（D）</t>
    <rPh sb="0" eb="3">
      <t>ケッソンキン</t>
    </rPh>
    <rPh sb="3" eb="4">
      <t>ホ</t>
    </rPh>
    <rPh sb="6" eb="8">
      <t>ツミタテ</t>
    </rPh>
    <rPh sb="8" eb="9">
      <t>キン</t>
    </rPh>
    <phoneticPr fontId="3"/>
  </si>
  <si>
    <t>実質累計剰余金（C）-（D)</t>
    <rPh sb="0" eb="2">
      <t>ジッシツ</t>
    </rPh>
    <rPh sb="2" eb="4">
      <t>ルイケイ</t>
    </rPh>
    <rPh sb="4" eb="7">
      <t>ジョウヨキン</t>
    </rPh>
    <phoneticPr fontId="3"/>
  </si>
  <si>
    <t>休業給付（育児・介護除く）</t>
    <rPh sb="0" eb="2">
      <t>キュウギョウ</t>
    </rPh>
    <rPh sb="2" eb="4">
      <t>キュウフ</t>
    </rPh>
    <rPh sb="5" eb="7">
      <t>イクジ</t>
    </rPh>
    <rPh sb="8" eb="10">
      <t>カイゴ</t>
    </rPh>
    <rPh sb="10" eb="11">
      <t>ノゾ</t>
    </rPh>
    <phoneticPr fontId="3"/>
  </si>
  <si>
    <t>R5</t>
    <phoneticPr fontId="2"/>
  </si>
  <si>
    <t>２　保健事業分について</t>
    <rPh sb="2" eb="4">
      <t>ホケン</t>
    </rPh>
    <rPh sb="4" eb="6">
      <t>ジギョウ</t>
    </rPh>
    <rPh sb="6" eb="7">
      <t>ブン</t>
    </rPh>
    <phoneticPr fontId="3"/>
  </si>
  <si>
    <t>施設収入</t>
    <rPh sb="0" eb="2">
      <t>シセツ</t>
    </rPh>
    <rPh sb="2" eb="4">
      <t>シュウニュウ</t>
    </rPh>
    <phoneticPr fontId="3"/>
  </si>
  <si>
    <t>その他負担金</t>
    <rPh sb="2" eb="3">
      <t>タ</t>
    </rPh>
    <rPh sb="3" eb="6">
      <t>フタンキン</t>
    </rPh>
    <phoneticPr fontId="3"/>
  </si>
  <si>
    <t>連合会交付金</t>
    <rPh sb="0" eb="3">
      <t>レンゴウカイ</t>
    </rPh>
    <rPh sb="3" eb="6">
      <t>コウフキン</t>
    </rPh>
    <phoneticPr fontId="3"/>
  </si>
  <si>
    <t>利息及び配当金</t>
    <rPh sb="0" eb="2">
      <t>リソク</t>
    </rPh>
    <rPh sb="2" eb="3">
      <t>オヨ</t>
    </rPh>
    <rPh sb="4" eb="6">
      <t>ハイトウ</t>
    </rPh>
    <rPh sb="6" eb="7">
      <t>キン</t>
    </rPh>
    <phoneticPr fontId="3"/>
  </si>
  <si>
    <t>健　　診</t>
    <rPh sb="0" eb="1">
      <t>ケン</t>
    </rPh>
    <rPh sb="3" eb="4">
      <t>ミ</t>
    </rPh>
    <phoneticPr fontId="3"/>
  </si>
  <si>
    <t>婦人科健診</t>
    <rPh sb="0" eb="3">
      <t>フジンカ</t>
    </rPh>
    <rPh sb="3" eb="5">
      <t>ケンシン</t>
    </rPh>
    <phoneticPr fontId="3"/>
  </si>
  <si>
    <t>被扶養者人間ドック</t>
    <rPh sb="0" eb="4">
      <t>ヒフヨウシャ</t>
    </rPh>
    <rPh sb="4" eb="6">
      <t>ニンゲン</t>
    </rPh>
    <phoneticPr fontId="3"/>
  </si>
  <si>
    <t>特定健診</t>
    <rPh sb="0" eb="2">
      <t>トクテイ</t>
    </rPh>
    <rPh sb="2" eb="4">
      <t>ケンシン</t>
    </rPh>
    <phoneticPr fontId="3"/>
  </si>
  <si>
    <t>特定健康診査</t>
    <rPh sb="0" eb="2">
      <t>トクテイ</t>
    </rPh>
    <rPh sb="2" eb="4">
      <t>ケンコウ</t>
    </rPh>
    <rPh sb="4" eb="6">
      <t>シンサ</t>
    </rPh>
    <phoneticPr fontId="3"/>
  </si>
  <si>
    <t>特定保健指導</t>
    <rPh sb="0" eb="2">
      <t>トクテイ</t>
    </rPh>
    <rPh sb="2" eb="4">
      <t>ホケン</t>
    </rPh>
    <rPh sb="4" eb="6">
      <t>シドウ</t>
    </rPh>
    <phoneticPr fontId="3"/>
  </si>
  <si>
    <t>健康相談事業</t>
    <rPh sb="0" eb="2">
      <t>ケンコウ</t>
    </rPh>
    <rPh sb="2" eb="4">
      <t>ソウダン</t>
    </rPh>
    <rPh sb="4" eb="6">
      <t>ジギョウ</t>
    </rPh>
    <phoneticPr fontId="3"/>
  </si>
  <si>
    <t>健康相談室運営</t>
    <rPh sb="0" eb="2">
      <t>ケンコウ</t>
    </rPh>
    <rPh sb="2" eb="4">
      <t>ソウダン</t>
    </rPh>
    <rPh sb="4" eb="5">
      <t>シツ</t>
    </rPh>
    <rPh sb="5" eb="7">
      <t>ウンエイ</t>
    </rPh>
    <phoneticPr fontId="3"/>
  </si>
  <si>
    <t>電話健康相談</t>
    <rPh sb="0" eb="2">
      <t>デンワ</t>
    </rPh>
    <rPh sb="2" eb="4">
      <t>ケンコウ</t>
    </rPh>
    <rPh sb="4" eb="6">
      <t>ソウダン</t>
    </rPh>
    <phoneticPr fontId="3"/>
  </si>
  <si>
    <t>育児冊子の配付</t>
    <rPh sb="0" eb="2">
      <t>イクジ</t>
    </rPh>
    <rPh sb="2" eb="4">
      <t>サッシ</t>
    </rPh>
    <rPh sb="5" eb="7">
      <t>ハイフ</t>
    </rPh>
    <phoneticPr fontId="3"/>
  </si>
  <si>
    <t>その他事業</t>
    <rPh sb="3" eb="5">
      <t>ジギョウ</t>
    </rPh>
    <phoneticPr fontId="3"/>
  </si>
  <si>
    <t>産業マッサージ利用助成</t>
    <rPh sb="0" eb="2">
      <t>サンギョウ</t>
    </rPh>
    <phoneticPr fontId="3"/>
  </si>
  <si>
    <t>直営保養所コテージ湯の山事業</t>
    <rPh sb="0" eb="2">
      <t>チョクエイ</t>
    </rPh>
    <rPh sb="2" eb="4">
      <t>ホヨウ</t>
    </rPh>
    <rPh sb="4" eb="5">
      <t>ジョ</t>
    </rPh>
    <rPh sb="9" eb="10">
      <t>ユ</t>
    </rPh>
    <rPh sb="11" eb="12">
      <t>ヤマ</t>
    </rPh>
    <phoneticPr fontId="3"/>
  </si>
  <si>
    <t>保健室運営</t>
    <rPh sb="0" eb="3">
      <t>ホケンシツ</t>
    </rPh>
    <rPh sb="3" eb="5">
      <t>ウンエイ</t>
    </rPh>
    <phoneticPr fontId="3"/>
  </si>
  <si>
    <t>データヘルス計画関連</t>
    <rPh sb="6" eb="8">
      <t>ケイカク</t>
    </rPh>
    <rPh sb="8" eb="10">
      <t>カンレン</t>
    </rPh>
    <phoneticPr fontId="3"/>
  </si>
  <si>
    <t>会員制福利厚生制度</t>
    <rPh sb="0" eb="2">
      <t>カイイン</t>
    </rPh>
    <rPh sb="2" eb="3">
      <t>セイ</t>
    </rPh>
    <rPh sb="3" eb="5">
      <t>フクリ</t>
    </rPh>
    <rPh sb="5" eb="7">
      <t>コウセイ</t>
    </rPh>
    <rPh sb="7" eb="9">
      <t>セイド</t>
    </rPh>
    <phoneticPr fontId="3"/>
  </si>
  <si>
    <t>予防接種助成</t>
    <rPh sb="0" eb="2">
      <t>ヨボウ</t>
    </rPh>
    <rPh sb="2" eb="4">
      <t>セッシュ</t>
    </rPh>
    <rPh sb="4" eb="6">
      <t>ジョセイ</t>
    </rPh>
    <phoneticPr fontId="3"/>
  </si>
  <si>
    <t>その他事業等</t>
    <rPh sb="3" eb="5">
      <t>ジギョウ</t>
    </rPh>
    <rPh sb="5" eb="6">
      <t>トウ</t>
    </rPh>
    <phoneticPr fontId="3"/>
  </si>
  <si>
    <t>別途積立金(E)</t>
    <rPh sb="0" eb="2">
      <t>ベット</t>
    </rPh>
    <rPh sb="2" eb="4">
      <t>ツミタテ</t>
    </rPh>
    <rPh sb="4" eb="5">
      <t>キン</t>
    </rPh>
    <phoneticPr fontId="3"/>
  </si>
  <si>
    <t>実質累計剰余金（C）-（D）-（E)</t>
    <rPh sb="0" eb="2">
      <t>ジッシツ</t>
    </rPh>
    <rPh sb="2" eb="4">
      <t>ルイケイ</t>
    </rPh>
    <rPh sb="4" eb="7">
      <t>ジョウヨキン</t>
    </rPh>
    <phoneticPr fontId="3"/>
  </si>
  <si>
    <t>組合員人間ドック・脳ドック</t>
    <rPh sb="0" eb="3">
      <t>クミアイイン</t>
    </rPh>
    <rPh sb="3" eb="5">
      <t>ニンゲン</t>
    </rPh>
    <rPh sb="9" eb="10">
      <t>ノウ</t>
    </rPh>
    <phoneticPr fontId="3"/>
  </si>
  <si>
    <t>その他収入</t>
    <phoneticPr fontId="3"/>
  </si>
  <si>
    <t>健康表彰事業</t>
    <phoneticPr fontId="3"/>
  </si>
  <si>
    <t>納付金</t>
    <phoneticPr fontId="2"/>
  </si>
  <si>
    <t>その他支出</t>
    <phoneticPr fontId="2"/>
  </si>
  <si>
    <t>5月</t>
  </si>
  <si>
    <t>6月</t>
  </si>
  <si>
    <t>7月</t>
  </si>
  <si>
    <t>8月</t>
  </si>
  <si>
    <t>9月</t>
  </si>
  <si>
    <t>10月</t>
  </si>
  <si>
    <t>11月</t>
  </si>
  <si>
    <t>12月</t>
  </si>
  <si>
    <t>1月</t>
  </si>
  <si>
    <t>2月</t>
  </si>
  <si>
    <t>3月</t>
  </si>
  <si>
    <t>R2決算</t>
    <rPh sb="2" eb="4">
      <t>ケッサン</t>
    </rPh>
    <phoneticPr fontId="2"/>
  </si>
  <si>
    <t>特別職</t>
    <rPh sb="0" eb="2">
      <t>トクベツ</t>
    </rPh>
    <rPh sb="2" eb="3">
      <t>ショク</t>
    </rPh>
    <phoneticPr fontId="3"/>
  </si>
  <si>
    <t>任意継続</t>
    <rPh sb="0" eb="2">
      <t>ニンイ</t>
    </rPh>
    <rPh sb="2" eb="4">
      <t>ケイゾク</t>
    </rPh>
    <phoneticPr fontId="3"/>
  </si>
  <si>
    <t>病院理事長</t>
    <rPh sb="0" eb="2">
      <t>ビョウイン</t>
    </rPh>
    <rPh sb="2" eb="5">
      <t>リジチョウ</t>
    </rPh>
    <phoneticPr fontId="3"/>
  </si>
  <si>
    <t>病院職員</t>
    <rPh sb="0" eb="2">
      <t>ビョウイン</t>
    </rPh>
    <rPh sb="2" eb="4">
      <t>ショクイン</t>
    </rPh>
    <phoneticPr fontId="3"/>
  </si>
  <si>
    <t>計</t>
    <rPh sb="0" eb="1">
      <t>ケイ</t>
    </rPh>
    <phoneticPr fontId="3"/>
  </si>
  <si>
    <t>市長</t>
    <rPh sb="0" eb="2">
      <t>シチョウ</t>
    </rPh>
    <phoneticPr fontId="3"/>
  </si>
  <si>
    <t>一般組合員</t>
    <rPh sb="0" eb="2">
      <t>イッパン</t>
    </rPh>
    <rPh sb="2" eb="5">
      <t>クミアイイン</t>
    </rPh>
    <phoneticPr fontId="3"/>
  </si>
  <si>
    <t>標準報酬月額</t>
    <rPh sb="0" eb="2">
      <t>ヒョウジュン</t>
    </rPh>
    <rPh sb="2" eb="4">
      <t>ホウシュウ</t>
    </rPh>
    <rPh sb="4" eb="6">
      <t>ゲツガク</t>
    </rPh>
    <phoneticPr fontId="3"/>
  </si>
  <si>
    <t>率　‰</t>
    <rPh sb="0" eb="1">
      <t>リツ</t>
    </rPh>
    <phoneticPr fontId="3"/>
  </si>
  <si>
    <t>公的</t>
    <rPh sb="0" eb="2">
      <t>コウテキ</t>
    </rPh>
    <phoneticPr fontId="3"/>
  </si>
  <si>
    <t>合計</t>
    <rPh sb="0" eb="2">
      <t>ゴウケイ</t>
    </rPh>
    <phoneticPr fontId="3"/>
  </si>
  <si>
    <t>期末負担金</t>
    <rPh sb="0" eb="2">
      <t>キマツ</t>
    </rPh>
    <rPh sb="2" eb="5">
      <t>フタンキン</t>
    </rPh>
    <phoneticPr fontId="3"/>
  </si>
  <si>
    <t>期末掛金</t>
    <rPh sb="0" eb="2">
      <t>キマツ</t>
    </rPh>
    <rPh sb="2" eb="4">
      <t>カケキン</t>
    </rPh>
    <phoneticPr fontId="3"/>
  </si>
  <si>
    <t>（保健+休業+附加+一部）/6</t>
    <rPh sb="1" eb="3">
      <t>ホケン</t>
    </rPh>
    <rPh sb="4" eb="6">
      <t>キュウギョウ</t>
    </rPh>
    <rPh sb="7" eb="9">
      <t>フカ</t>
    </rPh>
    <rPh sb="10" eb="12">
      <t>イチブ</t>
    </rPh>
    <phoneticPr fontId="2"/>
  </si>
  <si>
    <t>＝</t>
    <phoneticPr fontId="2"/>
  </si>
  <si>
    <t>　下半期（R4.10～）における組合員の増加</t>
    <rPh sb="1" eb="4">
      <t>シモハンキ</t>
    </rPh>
    <phoneticPr fontId="2"/>
  </si>
  <si>
    <t>□R4</t>
    <phoneticPr fontId="2"/>
  </si>
  <si>
    <t>□R5</t>
    <phoneticPr fontId="2"/>
  </si>
  <si>
    <t>■適用拡大に伴う支出額の増加率の算出方法（人数増加）</t>
    <rPh sb="1" eb="3">
      <t>テキヨウ</t>
    </rPh>
    <rPh sb="3" eb="5">
      <t>カクダイ</t>
    </rPh>
    <rPh sb="6" eb="7">
      <t>トモナ</t>
    </rPh>
    <rPh sb="8" eb="10">
      <t>シシュツ</t>
    </rPh>
    <rPh sb="10" eb="11">
      <t>ガク</t>
    </rPh>
    <rPh sb="12" eb="14">
      <t>ゾウカ</t>
    </rPh>
    <rPh sb="14" eb="15">
      <t>リツ</t>
    </rPh>
    <rPh sb="16" eb="18">
      <t>サンシュツ</t>
    </rPh>
    <rPh sb="18" eb="20">
      <t>ホウホウ</t>
    </rPh>
    <rPh sb="21" eb="23">
      <t>ニンズウ</t>
    </rPh>
    <rPh sb="23" eb="25">
      <t>ゾウカ</t>
    </rPh>
    <phoneticPr fontId="2"/>
  </si>
  <si>
    <t>　年間を通して組合員増加</t>
    <rPh sb="1" eb="3">
      <t>ネンカン</t>
    </rPh>
    <rPh sb="4" eb="5">
      <t>トオ</t>
    </rPh>
    <rPh sb="7" eb="10">
      <t>クミアイイン</t>
    </rPh>
    <rPh sb="10" eb="12">
      <t>ゾウカ</t>
    </rPh>
    <phoneticPr fontId="2"/>
  </si>
  <si>
    <t>　R2年度決算をベースにR4年10月からの組合員の増加率を考慮して算出。</t>
    <rPh sb="3" eb="5">
      <t>ネンド</t>
    </rPh>
    <rPh sb="5" eb="7">
      <t>ケッサン</t>
    </rPh>
    <rPh sb="14" eb="15">
      <t>ネン</t>
    </rPh>
    <rPh sb="17" eb="18">
      <t>ツキ</t>
    </rPh>
    <rPh sb="21" eb="24">
      <t>クミアイイン</t>
    </rPh>
    <rPh sb="25" eb="27">
      <t>ゾウカ</t>
    </rPh>
    <rPh sb="27" eb="28">
      <t>リツ</t>
    </rPh>
    <rPh sb="29" eb="31">
      <t>コウリョ</t>
    </rPh>
    <rPh sb="33" eb="35">
      <t>サンシュツ</t>
    </rPh>
    <phoneticPr fontId="2"/>
  </si>
  <si>
    <t>・R2組合員の平均人数…</t>
    <rPh sb="3" eb="6">
      <t>クミアイイン</t>
    </rPh>
    <rPh sb="7" eb="9">
      <t>ヘイキン</t>
    </rPh>
    <rPh sb="9" eb="11">
      <t>ニンズウ</t>
    </rPh>
    <phoneticPr fontId="2"/>
  </si>
  <si>
    <t>・R4新規加入者…</t>
    <rPh sb="3" eb="5">
      <t>シンキ</t>
    </rPh>
    <rPh sb="5" eb="8">
      <t>カニュウシャ</t>
    </rPh>
    <phoneticPr fontId="2"/>
  </si>
  <si>
    <t>　Ⓐ</t>
    <phoneticPr fontId="2"/>
  </si>
  <si>
    <t>　Ⓑ</t>
    <phoneticPr fontId="2"/>
  </si>
  <si>
    <t>上半期の支出額（R2決算額/2）+下半期の支出額（R2決算額/2）×（Ⓐ+Ⓑ）/Ⓐ</t>
    <rPh sb="0" eb="3">
      <t>カミハンキ</t>
    </rPh>
    <rPh sb="4" eb="6">
      <t>シシュツ</t>
    </rPh>
    <rPh sb="6" eb="7">
      <t>ガク</t>
    </rPh>
    <rPh sb="10" eb="12">
      <t>ケッサン</t>
    </rPh>
    <rPh sb="12" eb="13">
      <t>ガク</t>
    </rPh>
    <rPh sb="17" eb="20">
      <t>シモハンキ</t>
    </rPh>
    <rPh sb="21" eb="23">
      <t>シシュツ</t>
    </rPh>
    <rPh sb="23" eb="24">
      <t>ガク</t>
    </rPh>
    <rPh sb="27" eb="29">
      <t>ケッサン</t>
    </rPh>
    <rPh sb="29" eb="30">
      <t>ガク</t>
    </rPh>
    <phoneticPr fontId="2"/>
  </si>
  <si>
    <t>年間の支出額（R2決算額）×（Ⓐ+Ⓑ）/Ⓐ</t>
    <rPh sb="0" eb="2">
      <t>ネンカン</t>
    </rPh>
    <rPh sb="3" eb="5">
      <t>シシュツ</t>
    </rPh>
    <rPh sb="5" eb="6">
      <t>ガク</t>
    </rPh>
    <phoneticPr fontId="2"/>
  </si>
  <si>
    <t>（参考）（Ⓐ+Ⓑ）/Ⓐ＝</t>
    <rPh sb="1" eb="3">
      <t>サンコウ</t>
    </rPh>
    <phoneticPr fontId="2"/>
  </si>
  <si>
    <t>保健給付+休業給付+付加給付+一部負担金払戻金</t>
    <rPh sb="0" eb="2">
      <t>ホケン</t>
    </rPh>
    <rPh sb="2" eb="4">
      <t>キュウフ</t>
    </rPh>
    <rPh sb="5" eb="7">
      <t>キュウギョウ</t>
    </rPh>
    <rPh sb="7" eb="9">
      <t>キュウフ</t>
    </rPh>
    <rPh sb="10" eb="12">
      <t>フカ</t>
    </rPh>
    <rPh sb="12" eb="14">
      <t>キュウフ</t>
    </rPh>
    <rPh sb="15" eb="17">
      <t>イチブ</t>
    </rPh>
    <rPh sb="17" eb="20">
      <t>フタンキン</t>
    </rPh>
    <rPh sb="20" eb="23">
      <t>ハライモドシキン</t>
    </rPh>
    <phoneticPr fontId="2"/>
  </si>
  <si>
    <t>※</t>
    <phoneticPr fontId="2"/>
  </si>
  <si>
    <t>（※2年前+※前年+※本年）/3×10/100</t>
    <rPh sb="3" eb="5">
      <t>ネンマエ</t>
    </rPh>
    <rPh sb="7" eb="9">
      <t>ゼンネン</t>
    </rPh>
    <rPh sb="11" eb="13">
      <t>ホンネン</t>
    </rPh>
    <phoneticPr fontId="2"/>
  </si>
  <si>
    <t>（公的負担なし）</t>
    <rPh sb="1" eb="3">
      <t>コウテキ</t>
    </rPh>
    <rPh sb="3" eb="5">
      <t>フタン</t>
    </rPh>
    <phoneticPr fontId="3"/>
  </si>
  <si>
    <t>３　介護事業分について</t>
    <rPh sb="2" eb="4">
      <t>カイゴ</t>
    </rPh>
    <rPh sb="4" eb="6">
      <t>ジギョウ</t>
    </rPh>
    <rPh sb="6" eb="7">
      <t>ブン</t>
    </rPh>
    <phoneticPr fontId="3"/>
  </si>
  <si>
    <t>掛金率</t>
    <rPh sb="0" eb="2">
      <t>カケキン</t>
    </rPh>
    <rPh sb="2" eb="3">
      <t>リツ</t>
    </rPh>
    <phoneticPr fontId="2"/>
  </si>
  <si>
    <t>収入</t>
    <rPh sb="0" eb="2">
      <t>シュウニュウ</t>
    </rPh>
    <phoneticPr fontId="2"/>
  </si>
  <si>
    <t>支出</t>
    <rPh sb="0" eb="2">
      <t>シシュツ</t>
    </rPh>
    <phoneticPr fontId="2"/>
  </si>
  <si>
    <t>計（Ｂ）</t>
    <rPh sb="0" eb="1">
      <t>ケイ</t>
    </rPh>
    <phoneticPr fontId="2"/>
  </si>
  <si>
    <t>介護納付金</t>
    <rPh sb="0" eb="2">
      <t>カイゴ</t>
    </rPh>
    <rPh sb="2" eb="5">
      <t>ノウフキン</t>
    </rPh>
    <phoneticPr fontId="2"/>
  </si>
  <si>
    <t>介護任意継続掛金還付金</t>
    <rPh sb="0" eb="2">
      <t>カイゴ</t>
    </rPh>
    <rPh sb="2" eb="4">
      <t>ニンイ</t>
    </rPh>
    <rPh sb="4" eb="6">
      <t>ケイゾク</t>
    </rPh>
    <rPh sb="6" eb="8">
      <t>カケキン</t>
    </rPh>
    <rPh sb="8" eb="11">
      <t>カンプキン</t>
    </rPh>
    <phoneticPr fontId="2"/>
  </si>
  <si>
    <t>専従</t>
    <rPh sb="0" eb="2">
      <t>センジュウ</t>
    </rPh>
    <phoneticPr fontId="3"/>
  </si>
  <si>
    <t>備　考</t>
    <rPh sb="0" eb="1">
      <t>ビ</t>
    </rPh>
    <rPh sb="2" eb="3">
      <t>コウ</t>
    </rPh>
    <phoneticPr fontId="3"/>
  </si>
  <si>
    <t>備　考</t>
    <rPh sb="0" eb="1">
      <t>ビ</t>
    </rPh>
    <rPh sb="2" eb="3">
      <t>コウ</t>
    </rPh>
    <phoneticPr fontId="2"/>
  </si>
  <si>
    <t>H27までは2.0</t>
    <phoneticPr fontId="3"/>
  </si>
  <si>
    <t>前年からの上昇幅</t>
    <rPh sb="0" eb="2">
      <t>ゼンネン</t>
    </rPh>
    <rPh sb="5" eb="7">
      <t>ジョウショウ</t>
    </rPh>
    <rPh sb="7" eb="8">
      <t>ハバ</t>
    </rPh>
    <phoneticPr fontId="2"/>
  </si>
  <si>
    <t>前年からの上昇幅</t>
    <phoneticPr fontId="2"/>
  </si>
  <si>
    <t>掛金・
負担金</t>
    <rPh sb="0" eb="2">
      <t>カケキン</t>
    </rPh>
    <rPh sb="4" eb="7">
      <t>フタンキン</t>
    </rPh>
    <phoneticPr fontId="3"/>
  </si>
  <si>
    <t>掛金・負担金</t>
    <rPh sb="0" eb="2">
      <t>カケキン</t>
    </rPh>
    <rPh sb="3" eb="6">
      <t>フタンキン</t>
    </rPh>
    <phoneticPr fontId="2"/>
  </si>
  <si>
    <t>医療費</t>
    <rPh sb="0" eb="3">
      <t>イリョウヒ</t>
    </rPh>
    <phoneticPr fontId="2"/>
  </si>
  <si>
    <t>納付金</t>
    <rPh sb="0" eb="3">
      <t>ノウフキン</t>
    </rPh>
    <phoneticPr fontId="2"/>
  </si>
  <si>
    <t>掛金率</t>
    <phoneticPr fontId="2"/>
  </si>
  <si>
    <t>収入</t>
    <phoneticPr fontId="3"/>
  </si>
  <si>
    <t>健診</t>
    <rPh sb="0" eb="2">
      <t>ケンシン</t>
    </rPh>
    <phoneticPr fontId="2"/>
  </si>
  <si>
    <t>R8</t>
  </si>
  <si>
    <t>R8</t>
    <phoneticPr fontId="2"/>
  </si>
  <si>
    <t>R3決算</t>
    <rPh sb="2" eb="4">
      <t>ケッサン</t>
    </rPh>
    <phoneticPr fontId="2"/>
  </si>
  <si>
    <t>その他収入</t>
    <rPh sb="2" eb="3">
      <t>タ</t>
    </rPh>
    <rPh sb="3" eb="5">
      <t>シュウニュウ</t>
    </rPh>
    <phoneticPr fontId="2"/>
  </si>
  <si>
    <t>連合会払込金・連合会拠出金</t>
    <rPh sb="0" eb="3">
      <t>レンゴウカイ</t>
    </rPh>
    <rPh sb="3" eb="5">
      <t>ハライコミ</t>
    </rPh>
    <rPh sb="5" eb="6">
      <t>キン</t>
    </rPh>
    <rPh sb="7" eb="10">
      <t>レンゴウカイ</t>
    </rPh>
    <rPh sb="10" eb="13">
      <t>キョシュツキン</t>
    </rPh>
    <phoneticPr fontId="3"/>
  </si>
  <si>
    <t>前年度繰越支払準備金</t>
    <rPh sb="0" eb="3">
      <t>ゼンネンド</t>
    </rPh>
    <rPh sb="3" eb="5">
      <t>クリコシ</t>
    </rPh>
    <rPh sb="5" eb="7">
      <t>シハライ</t>
    </rPh>
    <rPh sb="7" eb="10">
      <t>ジュンビキン</t>
    </rPh>
    <phoneticPr fontId="3"/>
  </si>
  <si>
    <t>コテージ浄化槽保守点検</t>
    <rPh sb="4" eb="7">
      <t>ジョウカソウ</t>
    </rPh>
    <rPh sb="7" eb="9">
      <t>ホシュ</t>
    </rPh>
    <rPh sb="9" eb="11">
      <t>テンケン</t>
    </rPh>
    <phoneticPr fontId="1"/>
  </si>
  <si>
    <t>斜体：見込み</t>
    <rPh sb="0" eb="2">
      <t>シャタイ</t>
    </rPh>
    <rPh sb="3" eb="5">
      <t>ミコ</t>
    </rPh>
    <phoneticPr fontId="2"/>
  </si>
  <si>
    <t>赤字：決算/確定額</t>
    <rPh sb="0" eb="2">
      <t>アカジ</t>
    </rPh>
    <rPh sb="3" eb="5">
      <t>ケッサン</t>
    </rPh>
    <rPh sb="6" eb="8">
      <t>カクテイ</t>
    </rPh>
    <rPh sb="8" eb="9">
      <t>ガク</t>
    </rPh>
    <phoneticPr fontId="2"/>
  </si>
  <si>
    <r>
      <t>掛金</t>
    </r>
    <r>
      <rPr>
        <sz val="11"/>
        <rFont val="ＭＳ ゴシック"/>
        <family val="3"/>
        <charset val="128"/>
      </rPr>
      <t>（任継含む。）</t>
    </r>
    <rPh sb="0" eb="1">
      <t>カ</t>
    </rPh>
    <rPh sb="1" eb="2">
      <t>キン</t>
    </rPh>
    <rPh sb="3" eb="5">
      <t>ニンケイ</t>
    </rPh>
    <rPh sb="5" eb="6">
      <t>フク</t>
    </rPh>
    <phoneticPr fontId="3"/>
  </si>
  <si>
    <t>短期・保健　掛金負担金</t>
    <rPh sb="0" eb="2">
      <t>タンキ</t>
    </rPh>
    <rPh sb="3" eb="5">
      <t>ホケン</t>
    </rPh>
    <rPh sb="6" eb="8">
      <t>カケキン</t>
    </rPh>
    <rPh sb="8" eb="11">
      <t>フタンキン</t>
    </rPh>
    <phoneticPr fontId="3"/>
  </si>
  <si>
    <t>区　分</t>
    <rPh sb="0" eb="1">
      <t>ク</t>
    </rPh>
    <rPh sb="2" eb="3">
      <t>ブン</t>
    </rPh>
    <phoneticPr fontId="3"/>
  </si>
  <si>
    <t>標準期末手当等</t>
    <rPh sb="0" eb="2">
      <t>ヒョウジュン</t>
    </rPh>
    <rPh sb="2" eb="4">
      <t>キマツ</t>
    </rPh>
    <rPh sb="4" eb="7">
      <t>テアテトウ</t>
    </rPh>
    <phoneticPr fontId="3"/>
  </si>
  <si>
    <t>標準報酬月額計</t>
    <rPh sb="0" eb="2">
      <t>ヒョウジュン</t>
    </rPh>
    <rPh sb="2" eb="4">
      <t>ホウシュウ</t>
    </rPh>
    <rPh sb="4" eb="6">
      <t>ゲツガク</t>
    </rPh>
    <rPh sb="6" eb="7">
      <t>ケイ</t>
    </rPh>
    <phoneticPr fontId="3"/>
  </si>
  <si>
    <t>標準期末手当等計</t>
    <rPh sb="0" eb="2">
      <t>ヒョウジュン</t>
    </rPh>
    <rPh sb="2" eb="4">
      <t>キマツ</t>
    </rPh>
    <rPh sb="4" eb="6">
      <t>テアテ</t>
    </rPh>
    <rPh sb="6" eb="7">
      <t>トウ</t>
    </rPh>
    <rPh sb="7" eb="8">
      <t>ケイ</t>
    </rPh>
    <phoneticPr fontId="3"/>
  </si>
  <si>
    <t>短期</t>
    <rPh sb="0" eb="2">
      <t>タンキ</t>
    </rPh>
    <phoneticPr fontId="3"/>
  </si>
  <si>
    <t>育介</t>
    <rPh sb="0" eb="1">
      <t>イク</t>
    </rPh>
    <rPh sb="1" eb="2">
      <t>カイ</t>
    </rPh>
    <phoneticPr fontId="3"/>
  </si>
  <si>
    <t>財調</t>
    <rPh sb="0" eb="1">
      <t>ザイ</t>
    </rPh>
    <rPh sb="1" eb="2">
      <t>チョウ</t>
    </rPh>
    <phoneticPr fontId="3"/>
  </si>
  <si>
    <t>特財</t>
    <rPh sb="0" eb="1">
      <t>トク</t>
    </rPh>
    <rPh sb="1" eb="2">
      <t>ザイ</t>
    </rPh>
    <phoneticPr fontId="3"/>
  </si>
  <si>
    <t>災害</t>
    <rPh sb="0" eb="2">
      <t>サイガイ</t>
    </rPh>
    <phoneticPr fontId="3"/>
  </si>
  <si>
    <t xml:space="preserve"> </t>
    <phoneticPr fontId="3"/>
  </si>
  <si>
    <t>保健</t>
    <rPh sb="0" eb="2">
      <t>ホケン</t>
    </rPh>
    <phoneticPr fontId="3"/>
  </si>
  <si>
    <t>分担</t>
    <rPh sb="0" eb="2">
      <t>ブンタン</t>
    </rPh>
    <phoneticPr fontId="3"/>
  </si>
  <si>
    <t>(病院以外）</t>
    <rPh sb="1" eb="3">
      <t>ビョウイン</t>
    </rPh>
    <rPh sb="3" eb="5">
      <t>イガイ</t>
    </rPh>
    <phoneticPr fontId="3"/>
  </si>
  <si>
    <t>(病院職員）</t>
    <rPh sb="1" eb="3">
      <t>ビョウイン</t>
    </rPh>
    <rPh sb="3" eb="5">
      <t>ショクイン</t>
    </rPh>
    <phoneticPr fontId="3"/>
  </si>
  <si>
    <t>(専従以外）</t>
    <rPh sb="1" eb="3">
      <t>センジュウ</t>
    </rPh>
    <rPh sb="3" eb="5">
      <t>イガイ</t>
    </rPh>
    <phoneticPr fontId="3"/>
  </si>
  <si>
    <t>職員団体</t>
    <rPh sb="0" eb="2">
      <t>ショクイン</t>
    </rPh>
    <rPh sb="2" eb="4">
      <t>ダンタイ</t>
    </rPh>
    <phoneticPr fontId="3"/>
  </si>
  <si>
    <t>市職労等</t>
    <rPh sb="0" eb="1">
      <t>シ</t>
    </rPh>
    <rPh sb="1" eb="2">
      <t>ショク</t>
    </rPh>
    <rPh sb="3" eb="4">
      <t>トウ</t>
    </rPh>
    <phoneticPr fontId="3"/>
  </si>
  <si>
    <t>（公的負担あり）</t>
    <rPh sb="1" eb="3">
      <t>コウテキ</t>
    </rPh>
    <rPh sb="3" eb="5">
      <t>フタン</t>
    </rPh>
    <phoneticPr fontId="3"/>
  </si>
  <si>
    <t>病院労組</t>
    <rPh sb="0" eb="2">
      <t>ビョウイン</t>
    </rPh>
    <rPh sb="2" eb="4">
      <t>ロウソ</t>
    </rPh>
    <phoneticPr fontId="3"/>
  </si>
  <si>
    <t>うち病院労組年額</t>
    <rPh sb="2" eb="4">
      <t>ビョウイン</t>
    </rPh>
    <rPh sb="4" eb="6">
      <t>ロウソ</t>
    </rPh>
    <rPh sb="6" eb="8">
      <t>ネンガク</t>
    </rPh>
    <phoneticPr fontId="3"/>
  </si>
  <si>
    <t>還付見込額</t>
    <rPh sb="0" eb="2">
      <t>カンプ</t>
    </rPh>
    <rPh sb="2" eb="4">
      <t>ミコ</t>
    </rPh>
    <rPh sb="4" eb="5">
      <t>ガク</t>
    </rPh>
    <phoneticPr fontId="3"/>
  </si>
  <si>
    <t>前年度と同額を見込む</t>
    <rPh sb="0" eb="3">
      <t>ゼンネンド</t>
    </rPh>
    <rPh sb="4" eb="6">
      <t>ドウガク</t>
    </rPh>
    <rPh sb="7" eb="9">
      <t>ミコ</t>
    </rPh>
    <phoneticPr fontId="3"/>
  </si>
  <si>
    <r>
      <t xml:space="preserve">合計
</t>
    </r>
    <r>
      <rPr>
        <sz val="9"/>
        <rFont val="ＭＳ Ｐゴシック"/>
        <family val="3"/>
        <charset val="128"/>
      </rPr>
      <t>（免除前）</t>
    </r>
    <rPh sb="0" eb="2">
      <t>ゴウケイ</t>
    </rPh>
    <rPh sb="4" eb="6">
      <t>メンジョ</t>
    </rPh>
    <rPh sb="6" eb="7">
      <t>マエ</t>
    </rPh>
    <phoneticPr fontId="3"/>
  </si>
  <si>
    <t>標準期末計</t>
    <rPh sb="0" eb="2">
      <t>ヒョウジュン</t>
    </rPh>
    <rPh sb="2" eb="4">
      <t>キマツ</t>
    </rPh>
    <rPh sb="4" eb="5">
      <t>ケイ</t>
    </rPh>
    <phoneticPr fontId="3"/>
  </si>
  <si>
    <t>免除額
（特財、公的負担は免除なし）</t>
    <rPh sb="0" eb="2">
      <t>メンジョ</t>
    </rPh>
    <rPh sb="2" eb="3">
      <t>ガク</t>
    </rPh>
    <rPh sb="5" eb="6">
      <t>トク</t>
    </rPh>
    <rPh sb="6" eb="7">
      <t>ザイ</t>
    </rPh>
    <rPh sb="8" eb="10">
      <t>コウテキ</t>
    </rPh>
    <rPh sb="10" eb="12">
      <t>フタン</t>
    </rPh>
    <rPh sb="13" eb="15">
      <t>メンジョ</t>
    </rPh>
    <phoneticPr fontId="3"/>
  </si>
  <si>
    <t>①短期分</t>
    <rPh sb="1" eb="3">
      <t>タンキ</t>
    </rPh>
    <rPh sb="3" eb="4">
      <t>ネンブン</t>
    </rPh>
    <phoneticPr fontId="3"/>
  </si>
  <si>
    <t>免除標準報酬額</t>
    <rPh sb="0" eb="2">
      <t>メンジョ</t>
    </rPh>
    <rPh sb="2" eb="4">
      <t>ヒョウジュン</t>
    </rPh>
    <rPh sb="4" eb="6">
      <t>ホウシュウ</t>
    </rPh>
    <rPh sb="6" eb="7">
      <t>ガク</t>
    </rPh>
    <phoneticPr fontId="3"/>
  </si>
  <si>
    <t>免除標準期末額</t>
    <rPh sb="0" eb="2">
      <t>メンジョ</t>
    </rPh>
    <rPh sb="2" eb="4">
      <t>ヒョウジュン</t>
    </rPh>
    <rPh sb="4" eb="6">
      <t>キマツ</t>
    </rPh>
    <rPh sb="6" eb="7">
      <t>ガク</t>
    </rPh>
    <phoneticPr fontId="3"/>
  </si>
  <si>
    <t>②育介分</t>
    <rPh sb="1" eb="2">
      <t>イク</t>
    </rPh>
    <rPh sb="2" eb="3">
      <t>カイ</t>
    </rPh>
    <rPh sb="3" eb="4">
      <t>プン</t>
    </rPh>
    <phoneticPr fontId="3"/>
  </si>
  <si>
    <t>③財調分</t>
    <rPh sb="1" eb="2">
      <t>ザイ</t>
    </rPh>
    <rPh sb="2" eb="3">
      <t>チョウ</t>
    </rPh>
    <rPh sb="3" eb="4">
      <t>ブン</t>
    </rPh>
    <phoneticPr fontId="3"/>
  </si>
  <si>
    <t>④災害分</t>
    <rPh sb="1" eb="3">
      <t>サイガイ</t>
    </rPh>
    <rPh sb="3" eb="4">
      <t>ブン</t>
    </rPh>
    <phoneticPr fontId="3"/>
  </si>
  <si>
    <t>⑤保健分</t>
    <rPh sb="1" eb="3">
      <t>ホケン</t>
    </rPh>
    <rPh sb="3" eb="4">
      <t>ブン</t>
    </rPh>
    <phoneticPr fontId="3"/>
  </si>
  <si>
    <t>月額免除負担合計</t>
    <rPh sb="0" eb="2">
      <t>ゲツガク</t>
    </rPh>
    <rPh sb="2" eb="4">
      <t>メンジョ</t>
    </rPh>
    <rPh sb="4" eb="6">
      <t>フタン</t>
    </rPh>
    <rPh sb="6" eb="8">
      <t>ゴウケイ</t>
    </rPh>
    <phoneticPr fontId="3"/>
  </si>
  <si>
    <t>期末免除負担合計</t>
    <rPh sb="0" eb="2">
      <t>キマツ</t>
    </rPh>
    <rPh sb="2" eb="4">
      <t>メンジョ</t>
    </rPh>
    <rPh sb="4" eb="6">
      <t>フタン</t>
    </rPh>
    <rPh sb="6" eb="8">
      <t>ゴウケイ</t>
    </rPh>
    <phoneticPr fontId="3"/>
  </si>
  <si>
    <t>⑥分担分</t>
    <rPh sb="1" eb="3">
      <t>ブンタン</t>
    </rPh>
    <rPh sb="3" eb="4">
      <t>ブン</t>
    </rPh>
    <phoneticPr fontId="3"/>
  </si>
  <si>
    <r>
      <t xml:space="preserve">合計
内訳
</t>
    </r>
    <r>
      <rPr>
        <sz val="9"/>
        <rFont val="ＭＳ Ｐゴシック"/>
        <family val="3"/>
        <charset val="128"/>
      </rPr>
      <t>(免除後）</t>
    </r>
    <rPh sb="0" eb="2">
      <t>ゴウケイ</t>
    </rPh>
    <rPh sb="3" eb="5">
      <t>ウチワケ</t>
    </rPh>
    <rPh sb="7" eb="9">
      <t>メンジョ</t>
    </rPh>
    <rPh sb="9" eb="10">
      <t>ゴ</t>
    </rPh>
    <phoneticPr fontId="3"/>
  </si>
  <si>
    <t>月例負担金</t>
    <rPh sb="0" eb="2">
      <t>ゲツレイ</t>
    </rPh>
    <rPh sb="2" eb="5">
      <t>フタンキン</t>
    </rPh>
    <phoneticPr fontId="3"/>
  </si>
  <si>
    <t>月例掛金</t>
    <rPh sb="0" eb="2">
      <t>ゲツレイ</t>
    </rPh>
    <rPh sb="2" eb="4">
      <t>カケキン</t>
    </rPh>
    <phoneticPr fontId="3"/>
  </si>
  <si>
    <t>短保別</t>
    <rPh sb="0" eb="1">
      <t>タン</t>
    </rPh>
    <rPh sb="1" eb="2">
      <t>タモツ</t>
    </rPh>
    <rPh sb="2" eb="3">
      <t>ベツ</t>
    </rPh>
    <phoneticPr fontId="3"/>
  </si>
  <si>
    <t>短期分負担金</t>
    <rPh sb="0" eb="2">
      <t>タンキ</t>
    </rPh>
    <rPh sb="2" eb="3">
      <t>ブン</t>
    </rPh>
    <rPh sb="3" eb="6">
      <t>フタンキン</t>
    </rPh>
    <phoneticPr fontId="3"/>
  </si>
  <si>
    <t>保健分負担金</t>
    <rPh sb="0" eb="2">
      <t>ホケン</t>
    </rPh>
    <rPh sb="2" eb="3">
      <t>ブン</t>
    </rPh>
    <rPh sb="3" eb="6">
      <t>フタンキン</t>
    </rPh>
    <phoneticPr fontId="3"/>
  </si>
  <si>
    <t>短期分掛金</t>
    <rPh sb="0" eb="2">
      <t>タンキ</t>
    </rPh>
    <rPh sb="2" eb="3">
      <t>ブン</t>
    </rPh>
    <rPh sb="3" eb="5">
      <t>カケキン</t>
    </rPh>
    <phoneticPr fontId="3"/>
  </si>
  <si>
    <t>保健分掛金</t>
    <rPh sb="0" eb="2">
      <t>ホケン</t>
    </rPh>
    <rPh sb="2" eb="3">
      <t>ブン</t>
    </rPh>
    <rPh sb="3" eb="5">
      <t>カケキン</t>
    </rPh>
    <phoneticPr fontId="3"/>
  </si>
  <si>
    <t>短期負担金</t>
    <rPh sb="0" eb="2">
      <t>タンキ</t>
    </rPh>
    <rPh sb="2" eb="5">
      <t>フタンキン</t>
    </rPh>
    <phoneticPr fontId="3"/>
  </si>
  <si>
    <t>短期掛金</t>
    <rPh sb="0" eb="2">
      <t>タンキ</t>
    </rPh>
    <rPh sb="2" eb="4">
      <t>カケキン</t>
    </rPh>
    <phoneticPr fontId="3"/>
  </si>
  <si>
    <t>[負担金]</t>
    <rPh sb="1" eb="4">
      <t>フタンキン</t>
    </rPh>
    <phoneticPr fontId="3"/>
  </si>
  <si>
    <t>総計</t>
    <rPh sb="0" eb="2">
      <t>ソウケイ</t>
    </rPh>
    <phoneticPr fontId="3"/>
  </si>
  <si>
    <t>[掛金]</t>
    <rPh sb="1" eb="3">
      <t>カケキン</t>
    </rPh>
    <phoneticPr fontId="3"/>
  </si>
  <si>
    <t>１ 地方公共団体負担金</t>
    <rPh sb="2" eb="8">
      <t>チホウコウキョウダンタイ</t>
    </rPh>
    <rPh sb="8" eb="11">
      <t>フタンキン</t>
    </rPh>
    <phoneticPr fontId="3"/>
  </si>
  <si>
    <t>月額分</t>
    <rPh sb="0" eb="2">
      <t>ゲツガク</t>
    </rPh>
    <rPh sb="2" eb="3">
      <t>ブン</t>
    </rPh>
    <phoneticPr fontId="3"/>
  </si>
  <si>
    <t>(1) 市長組合員</t>
    <rPh sb="4" eb="6">
      <t>シチョウ</t>
    </rPh>
    <rPh sb="6" eb="9">
      <t>クミアイイン</t>
    </rPh>
    <phoneticPr fontId="3"/>
  </si>
  <si>
    <t xml:space="preserve">  ① 標準報酬月額</t>
    <rPh sb="4" eb="6">
      <t>ヒョウジュン</t>
    </rPh>
    <rPh sb="6" eb="8">
      <t>ホウシュウ</t>
    </rPh>
    <rPh sb="8" eb="10">
      <t>ゲツガク</t>
    </rPh>
    <phoneticPr fontId="3"/>
  </si>
  <si>
    <t>期末分</t>
    <rPh sb="0" eb="2">
      <t>キマツ</t>
    </rPh>
    <rPh sb="2" eb="3">
      <t>ブン</t>
    </rPh>
    <phoneticPr fontId="3"/>
  </si>
  <si>
    <t xml:space="preserve">  ② 標準期末手当等</t>
    <rPh sb="4" eb="6">
      <t>ヒョウジュン</t>
    </rPh>
    <rPh sb="6" eb="8">
      <t>キマツ</t>
    </rPh>
    <rPh sb="8" eb="10">
      <t>テアテ</t>
    </rPh>
    <rPh sb="10" eb="11">
      <t>トウ</t>
    </rPh>
    <phoneticPr fontId="3"/>
  </si>
  <si>
    <t>(2) 一般組合員（特別職）</t>
    <rPh sb="4" eb="6">
      <t>イッパン</t>
    </rPh>
    <rPh sb="6" eb="9">
      <t>クミアイイン</t>
    </rPh>
    <rPh sb="10" eb="13">
      <t>トクベツショク</t>
    </rPh>
    <phoneticPr fontId="3"/>
  </si>
  <si>
    <r>
      <t>(2) 一般組合員</t>
    </r>
    <r>
      <rPr>
        <sz val="9"/>
        <rFont val="ＭＳ 明朝"/>
        <family val="1"/>
        <charset val="128"/>
      </rPr>
      <t>（特別職）</t>
    </r>
    <rPh sb="4" eb="6">
      <t>イッパン</t>
    </rPh>
    <rPh sb="6" eb="9">
      <t>クミアイイン</t>
    </rPh>
    <rPh sb="10" eb="13">
      <t>トクベツショク</t>
    </rPh>
    <phoneticPr fontId="3"/>
  </si>
  <si>
    <t>※赤字は、端数を調整したところ</t>
    <rPh sb="1" eb="3">
      <t>アカジ</t>
    </rPh>
    <rPh sb="5" eb="7">
      <t>ハスウ</t>
    </rPh>
    <rPh sb="8" eb="10">
      <t>チョウセイ</t>
    </rPh>
    <phoneticPr fontId="3"/>
  </si>
  <si>
    <r>
      <t>(3) 一般組合員</t>
    </r>
    <r>
      <rPr>
        <sz val="8"/>
        <color indexed="8"/>
        <rFont val="ＭＳ 明朝"/>
        <family val="1"/>
        <charset val="128"/>
      </rPr>
      <t>（専従除く)</t>
    </r>
    <rPh sb="4" eb="6">
      <t>イッパン</t>
    </rPh>
    <rPh sb="6" eb="9">
      <t>クミアイイン</t>
    </rPh>
    <rPh sb="10" eb="12">
      <t>センジュウ</t>
    </rPh>
    <rPh sb="12" eb="13">
      <t>ノゾ</t>
    </rPh>
    <phoneticPr fontId="3"/>
  </si>
  <si>
    <t>(3) 一般組合員（一般職）</t>
    <rPh sb="4" eb="6">
      <t>イッパン</t>
    </rPh>
    <rPh sb="6" eb="9">
      <t>クミアイイン</t>
    </rPh>
    <rPh sb="10" eb="12">
      <t>イッパン</t>
    </rPh>
    <rPh sb="12" eb="13">
      <t>ショク</t>
    </rPh>
    <phoneticPr fontId="3"/>
  </si>
  <si>
    <t xml:space="preserve">  育休・産休者負担金免除</t>
    <rPh sb="2" eb="3">
      <t>イク</t>
    </rPh>
    <rPh sb="3" eb="4">
      <t>キュウ</t>
    </rPh>
    <rPh sb="5" eb="7">
      <t>サンキュウ</t>
    </rPh>
    <rPh sb="7" eb="8">
      <t>シャ</t>
    </rPh>
    <rPh sb="8" eb="11">
      <t>フタンキン</t>
    </rPh>
    <rPh sb="11" eb="13">
      <t>メンジョ</t>
    </rPh>
    <phoneticPr fontId="3"/>
  </si>
  <si>
    <t xml:space="preserve">  育休・産休者掛金免除</t>
    <rPh sb="2" eb="3">
      <t>イク</t>
    </rPh>
    <rPh sb="3" eb="4">
      <t>キュウ</t>
    </rPh>
    <rPh sb="5" eb="7">
      <t>サンキュウ</t>
    </rPh>
    <rPh sb="7" eb="8">
      <t>シャ</t>
    </rPh>
    <rPh sb="8" eb="10">
      <t>カケガネ</t>
    </rPh>
    <rPh sb="10" eb="12">
      <t>メンジョ</t>
    </rPh>
    <phoneticPr fontId="3"/>
  </si>
  <si>
    <t>２  職員団体負担金</t>
    <rPh sb="3" eb="7">
      <t>ショクインダンタイ</t>
    </rPh>
    <rPh sb="7" eb="10">
      <t>フタンキン</t>
    </rPh>
    <phoneticPr fontId="3"/>
  </si>
  <si>
    <t>[任意継続掛金]</t>
    <rPh sb="1" eb="3">
      <t>ニンイ</t>
    </rPh>
    <rPh sb="3" eb="5">
      <t>ケイゾク</t>
    </rPh>
    <rPh sb="5" eb="7">
      <t>カケキン</t>
    </rPh>
    <phoneticPr fontId="3"/>
  </si>
  <si>
    <t>連合会への支出</t>
    <rPh sb="0" eb="3">
      <t>レンゴウカイ</t>
    </rPh>
    <rPh sb="5" eb="7">
      <t>シシュツ</t>
    </rPh>
    <phoneticPr fontId="3"/>
  </si>
  <si>
    <t>３ 公的負担金</t>
    <rPh sb="2" eb="4">
      <t>コウテキ</t>
    </rPh>
    <rPh sb="4" eb="7">
      <t>フタンキン</t>
    </rPh>
    <phoneticPr fontId="3"/>
  </si>
  <si>
    <t>連合会払込金</t>
    <rPh sb="0" eb="3">
      <t>レンゴウカイ</t>
    </rPh>
    <rPh sb="3" eb="6">
      <t>ハライコミキン</t>
    </rPh>
    <phoneticPr fontId="3"/>
  </si>
  <si>
    <t>災害給付積立金払込金</t>
    <rPh sb="0" eb="2">
      <t>サイガイ</t>
    </rPh>
    <rPh sb="2" eb="4">
      <t>キュウフ</t>
    </rPh>
    <rPh sb="4" eb="6">
      <t>ツミタテ</t>
    </rPh>
    <rPh sb="6" eb="7">
      <t>キン</t>
    </rPh>
    <rPh sb="7" eb="10">
      <t>ハライコミキン</t>
    </rPh>
    <phoneticPr fontId="3"/>
  </si>
  <si>
    <t>財政調整事業払込金</t>
    <rPh sb="0" eb="2">
      <t>ザイセイ</t>
    </rPh>
    <rPh sb="2" eb="4">
      <t>チョウセイ</t>
    </rPh>
    <rPh sb="4" eb="6">
      <t>ジギョウ</t>
    </rPh>
    <rPh sb="6" eb="9">
      <t>ハライコミキン</t>
    </rPh>
    <phoneticPr fontId="3"/>
  </si>
  <si>
    <t>連合会拠出金</t>
    <rPh sb="0" eb="3">
      <t>レンゴウカイ</t>
    </rPh>
    <rPh sb="3" eb="6">
      <t>キョシュツキン</t>
    </rPh>
    <phoneticPr fontId="3"/>
  </si>
  <si>
    <t>特別財政調整拠出金</t>
    <rPh sb="0" eb="2">
      <t>トクベツ</t>
    </rPh>
    <rPh sb="2" eb="4">
      <t>ザイセイ</t>
    </rPh>
    <rPh sb="4" eb="6">
      <t>チョウセイ</t>
    </rPh>
    <rPh sb="6" eb="9">
      <t>キョシュツキン</t>
    </rPh>
    <phoneticPr fontId="3"/>
  </si>
  <si>
    <t>育・介休業手当金拠出金</t>
    <rPh sb="0" eb="1">
      <t>イク</t>
    </rPh>
    <rPh sb="2" eb="3">
      <t>スケ</t>
    </rPh>
    <rPh sb="3" eb="5">
      <t>キュウギョウ</t>
    </rPh>
    <rPh sb="5" eb="7">
      <t>テアテ</t>
    </rPh>
    <rPh sb="7" eb="8">
      <t>キン</t>
    </rPh>
    <rPh sb="8" eb="11">
      <t>キョシュツキン</t>
    </rPh>
    <phoneticPr fontId="3"/>
  </si>
  <si>
    <r>
      <t>(3) 一般組合員</t>
    </r>
    <r>
      <rPr>
        <sz val="8"/>
        <color indexed="8"/>
        <rFont val="ＭＳ 明朝"/>
        <family val="1"/>
        <charset val="128"/>
      </rPr>
      <t>（専従職員除く)</t>
    </r>
    <rPh sb="4" eb="6">
      <t>イッパン</t>
    </rPh>
    <rPh sb="6" eb="9">
      <t>クミアイイン</t>
    </rPh>
    <rPh sb="10" eb="12">
      <t>センジュウ</t>
    </rPh>
    <rPh sb="12" eb="14">
      <t>ショクイン</t>
    </rPh>
    <rPh sb="14" eb="15">
      <t>ノゾ</t>
    </rPh>
    <phoneticPr fontId="3"/>
  </si>
  <si>
    <t>賞与分</t>
    <rPh sb="0" eb="2">
      <t>ショウヨ</t>
    </rPh>
    <rPh sb="2" eb="3">
      <t>ブン</t>
    </rPh>
    <phoneticPr fontId="3"/>
  </si>
  <si>
    <t>短期・保健
掛金負担金 総計</t>
    <rPh sb="0" eb="2">
      <t>タンキ</t>
    </rPh>
    <rPh sb="3" eb="5">
      <t>ホケン</t>
    </rPh>
    <rPh sb="6" eb="8">
      <t>カケキン</t>
    </rPh>
    <rPh sb="8" eb="11">
      <t>フタンキン</t>
    </rPh>
    <rPh sb="12" eb="14">
      <t>ソウケイ</t>
    </rPh>
    <phoneticPr fontId="3"/>
  </si>
  <si>
    <t>(4) 専従分</t>
    <rPh sb="4" eb="6">
      <t>センジュウ</t>
    </rPh>
    <rPh sb="6" eb="7">
      <t>ブン</t>
    </rPh>
    <phoneticPr fontId="3"/>
  </si>
  <si>
    <t>保健事業分担金</t>
    <rPh sb="0" eb="2">
      <t>ホケン</t>
    </rPh>
    <rPh sb="2" eb="4">
      <t>ジギョウ</t>
    </rPh>
    <rPh sb="4" eb="7">
      <t>ブンタンキン</t>
    </rPh>
    <phoneticPr fontId="3"/>
  </si>
  <si>
    <t>月例分</t>
    <rPh sb="0" eb="2">
      <t>ゲツレイ</t>
    </rPh>
    <rPh sb="2" eb="3">
      <t>ブン</t>
    </rPh>
    <phoneticPr fontId="3"/>
  </si>
  <si>
    <t>調整負担金</t>
    <rPh sb="0" eb="2">
      <t>チョウセイ</t>
    </rPh>
    <rPh sb="2" eb="5">
      <t>フタンキン</t>
    </rPh>
    <phoneticPr fontId="3"/>
  </si>
  <si>
    <t>月額分（任継含む）</t>
    <rPh sb="0" eb="2">
      <t>ゲツガク</t>
    </rPh>
    <rPh sb="2" eb="3">
      <t>ブン</t>
    </rPh>
    <rPh sb="4" eb="6">
      <t>ニンケイ</t>
    </rPh>
    <rPh sb="6" eb="7">
      <t>フク</t>
    </rPh>
    <phoneticPr fontId="3"/>
  </si>
  <si>
    <t xml:space="preserve">  育休・産休取得者負担金免除</t>
    <rPh sb="2" eb="3">
      <t>イク</t>
    </rPh>
    <rPh sb="3" eb="4">
      <t>キュウ</t>
    </rPh>
    <rPh sb="5" eb="7">
      <t>サンキュウ</t>
    </rPh>
    <rPh sb="7" eb="10">
      <t>シュトクシャ</t>
    </rPh>
    <rPh sb="10" eb="13">
      <t>フタンキン</t>
    </rPh>
    <rPh sb="13" eb="15">
      <t>メンジョ</t>
    </rPh>
    <phoneticPr fontId="3"/>
  </si>
  <si>
    <t xml:space="preserve">  育休・産休取得者掛金免除</t>
    <rPh sb="2" eb="3">
      <t>イク</t>
    </rPh>
    <rPh sb="3" eb="4">
      <t>キュウ</t>
    </rPh>
    <rPh sb="5" eb="7">
      <t>サンキュウ</t>
    </rPh>
    <rPh sb="7" eb="10">
      <t>シュトクシャ</t>
    </rPh>
    <rPh sb="10" eb="12">
      <t>カケガネ</t>
    </rPh>
    <rPh sb="12" eb="14">
      <t>メンジョ</t>
    </rPh>
    <phoneticPr fontId="3"/>
  </si>
  <si>
    <t>短期人数・標準報酬等　見込み　</t>
    <rPh sb="0" eb="2">
      <t>タンキ</t>
    </rPh>
    <rPh sb="1" eb="2">
      <t>ネンド</t>
    </rPh>
    <rPh sb="2" eb="4">
      <t>ニンズウ</t>
    </rPh>
    <rPh sb="5" eb="7">
      <t>ヒョウジュン</t>
    </rPh>
    <rPh sb="7" eb="9">
      <t>ホウシュウ</t>
    </rPh>
    <rPh sb="9" eb="10">
      <t>トウ</t>
    </rPh>
    <rPh sb="11" eb="13">
      <t>ミコ</t>
    </rPh>
    <phoneticPr fontId="3"/>
  </si>
  <si>
    <t>（単位：人、円）</t>
  </si>
  <si>
    <t>人数・標準報酬総額
（免除者込）</t>
    <rPh sb="0" eb="2">
      <t>ニンズウ</t>
    </rPh>
    <rPh sb="3" eb="5">
      <t>ヒョウジュン</t>
    </rPh>
    <rPh sb="5" eb="7">
      <t>ホウシュウ</t>
    </rPh>
    <rPh sb="7" eb="9">
      <t>ソウガク</t>
    </rPh>
    <rPh sb="11" eb="13">
      <t>メンジョ</t>
    </rPh>
    <rPh sb="13" eb="14">
      <t>シャ</t>
    </rPh>
    <rPh sb="14" eb="15">
      <t>コミ</t>
    </rPh>
    <phoneticPr fontId="3"/>
  </si>
  <si>
    <t>一般組合員</t>
    <rPh sb="0" eb="2">
      <t>イッパン</t>
    </rPh>
    <rPh sb="2" eb="4">
      <t>クミアイ</t>
    </rPh>
    <rPh sb="4" eb="5">
      <t>イン</t>
    </rPh>
    <phoneticPr fontId="3"/>
  </si>
  <si>
    <t>市長</t>
    <rPh sb="0" eb="1">
      <t>シ</t>
    </rPh>
    <rPh sb="1" eb="2">
      <t>チョウ</t>
    </rPh>
    <phoneticPr fontId="3"/>
  </si>
  <si>
    <t>特定消防</t>
    <rPh sb="0" eb="2">
      <t>トクテイ</t>
    </rPh>
    <rPh sb="2" eb="4">
      <t>ショウボウ</t>
    </rPh>
    <phoneticPr fontId="3"/>
  </si>
  <si>
    <r>
      <t>標準期末手当等総額</t>
    </r>
    <r>
      <rPr>
        <sz val="9"/>
        <rFont val="ＭＳ Ｐゴシック"/>
        <family val="3"/>
        <charset val="128"/>
      </rPr>
      <t>（免除者込）</t>
    </r>
    <rPh sb="0" eb="2">
      <t>ヒョウジュン</t>
    </rPh>
    <rPh sb="2" eb="4">
      <t>キマツ</t>
    </rPh>
    <rPh sb="4" eb="6">
      <t>テアテ</t>
    </rPh>
    <rPh sb="6" eb="7">
      <t>トウ</t>
    </rPh>
    <rPh sb="7" eb="9">
      <t>ソウガク</t>
    </rPh>
    <rPh sb="10" eb="12">
      <t>メンジョ</t>
    </rPh>
    <rPh sb="12" eb="13">
      <t>シャ</t>
    </rPh>
    <rPh sb="13" eb="14">
      <t>コ</t>
    </rPh>
    <phoneticPr fontId="3"/>
  </si>
  <si>
    <t>職員団体専従</t>
    <rPh sb="0" eb="2">
      <t>ショクイン</t>
    </rPh>
    <rPh sb="2" eb="4">
      <t>ダンタイ</t>
    </rPh>
    <rPh sb="4" eb="6">
      <t>センジュウ</t>
    </rPh>
    <phoneticPr fontId="3"/>
  </si>
  <si>
    <t>病院職員のみ</t>
    <rPh sb="0" eb="2">
      <t>ビョウイン</t>
    </rPh>
    <rPh sb="2" eb="4">
      <t>ショクイン</t>
    </rPh>
    <phoneticPr fontId="3"/>
  </si>
  <si>
    <t>専従・病院除く</t>
    <rPh sb="0" eb="2">
      <t>センジュウ</t>
    </rPh>
    <rPh sb="3" eb="5">
      <t>ビョウイン</t>
    </rPh>
    <rPh sb="5" eb="6">
      <t>ノゾ</t>
    </rPh>
    <phoneticPr fontId="3"/>
  </si>
  <si>
    <t>病院以外</t>
    <rPh sb="0" eb="2">
      <t>ビョウイン</t>
    </rPh>
    <rPh sb="2" eb="4">
      <t>イガイ</t>
    </rPh>
    <phoneticPr fontId="3"/>
  </si>
  <si>
    <t>病院理事長・副理事長</t>
    <rPh sb="0" eb="2">
      <t>ビョウイン</t>
    </rPh>
    <rPh sb="2" eb="5">
      <t>リジチョウ</t>
    </rPh>
    <rPh sb="6" eb="10">
      <t>フクリジチョウ</t>
    </rPh>
    <phoneticPr fontId="3"/>
  </si>
  <si>
    <t>人数</t>
    <rPh sb="0" eb="2">
      <t>ニンズウ</t>
    </rPh>
    <phoneticPr fontId="3"/>
  </si>
  <si>
    <t>標準報酬月額総額</t>
    <rPh sb="0" eb="2">
      <t>ヒョウジュン</t>
    </rPh>
    <rPh sb="2" eb="4">
      <t>ホウシュウ</t>
    </rPh>
    <rPh sb="4" eb="6">
      <t>ゲツガク</t>
    </rPh>
    <rPh sb="6" eb="8">
      <t>ソウガク</t>
    </rPh>
    <phoneticPr fontId="3"/>
  </si>
  <si>
    <t>標準報酬</t>
    <rPh sb="0" eb="2">
      <t>ヒョウジュン</t>
    </rPh>
    <rPh sb="2" eb="4">
      <t>ホウシュウ</t>
    </rPh>
    <phoneticPr fontId="3"/>
  </si>
  <si>
    <t>4月</t>
    <rPh sb="1" eb="2">
      <t>ガツ</t>
    </rPh>
    <phoneticPr fontId="3"/>
  </si>
  <si>
    <t>賞与支給率</t>
    <rPh sb="0" eb="2">
      <t>ショウヨ</t>
    </rPh>
    <rPh sb="2" eb="4">
      <t>シキュウ</t>
    </rPh>
    <rPh sb="4" eb="5">
      <t>リツ</t>
    </rPh>
    <phoneticPr fontId="3"/>
  </si>
  <si>
    <t>3月対前年</t>
    <rPh sb="1" eb="2">
      <t>ガツ</t>
    </rPh>
    <rPh sb="2" eb="3">
      <t>タイ</t>
    </rPh>
    <rPh sb="3" eb="5">
      <t>ゼンネン</t>
    </rPh>
    <phoneticPr fontId="3"/>
  </si>
  <si>
    <t>特別職合計</t>
    <rPh sb="0" eb="2">
      <t>トクベツ</t>
    </rPh>
    <rPh sb="2" eb="3">
      <t>ショク</t>
    </rPh>
    <rPh sb="3" eb="5">
      <t>ゴウケイ</t>
    </rPh>
    <phoneticPr fontId="3"/>
  </si>
  <si>
    <t>年間総額対前年</t>
    <rPh sb="0" eb="2">
      <t>ネンカン</t>
    </rPh>
    <rPh sb="2" eb="3">
      <t>ソウ</t>
    </rPh>
    <rPh sb="3" eb="4">
      <t>ガク</t>
    </rPh>
    <rPh sb="4" eb="5">
      <t>タイ</t>
    </rPh>
    <rPh sb="5" eb="7">
      <t>ゼンネン</t>
    </rPh>
    <phoneticPr fontId="3"/>
  </si>
  <si>
    <t>3月平均</t>
    <rPh sb="1" eb="2">
      <t>ガツ</t>
    </rPh>
    <rPh sb="2" eb="4">
      <t>ヘイキン</t>
    </rPh>
    <phoneticPr fontId="3"/>
  </si>
  <si>
    <t>病</t>
    <rPh sb="0" eb="1">
      <t>ヤマイ</t>
    </rPh>
    <phoneticPr fontId="3"/>
  </si>
  <si>
    <t>3月平均</t>
  </si>
  <si>
    <t>1人当たり年間平均</t>
    <rPh sb="0" eb="2">
      <t>ヒトリ</t>
    </rPh>
    <rPh sb="2" eb="3">
      <t>ア</t>
    </rPh>
    <rPh sb="5" eb="7">
      <t>ネンカン</t>
    </rPh>
    <rPh sb="7" eb="9">
      <t>ヘイキン</t>
    </rPh>
    <phoneticPr fontId="3"/>
  </si>
  <si>
    <t>うち、病院労組年額</t>
    <rPh sb="3" eb="5">
      <t>ビョウイン</t>
    </rPh>
    <rPh sb="5" eb="7">
      <t>ロウソ</t>
    </rPh>
    <rPh sb="7" eb="9">
      <t>ネンガク</t>
    </rPh>
    <phoneticPr fontId="3"/>
  </si>
  <si>
    <t>3月人数対前年</t>
    <rPh sb="2" eb="4">
      <t>ニンズウ</t>
    </rPh>
    <rPh sb="4" eb="5">
      <t>タイ</t>
    </rPh>
    <rPh sb="5" eb="7">
      <t>ゼンネン</t>
    </rPh>
    <phoneticPr fontId="3"/>
  </si>
  <si>
    <t>年間平均人数</t>
    <rPh sb="0" eb="2">
      <t>ネンカン</t>
    </rPh>
    <rPh sb="2" eb="4">
      <t>ヘイキン</t>
    </rPh>
    <rPh sb="4" eb="6">
      <t>ニンズ</t>
    </rPh>
    <phoneticPr fontId="3"/>
  </si>
  <si>
    <t>予算書</t>
    <rPh sb="0" eb="2">
      <t>ヨサン</t>
    </rPh>
    <rPh sb="2" eb="3">
      <t>ショ</t>
    </rPh>
    <phoneticPr fontId="3"/>
  </si>
  <si>
    <t>一般組合員：一般職+特別職</t>
    <rPh sb="0" eb="2">
      <t>イッパン</t>
    </rPh>
    <rPh sb="2" eb="4">
      <t>クミアイ</t>
    </rPh>
    <rPh sb="4" eb="5">
      <t>イン</t>
    </rPh>
    <rPh sb="6" eb="8">
      <t>イッパン</t>
    </rPh>
    <rPh sb="8" eb="9">
      <t>ショク</t>
    </rPh>
    <rPh sb="10" eb="12">
      <t>トクベツ</t>
    </rPh>
    <rPh sb="12" eb="13">
      <t>ショク</t>
    </rPh>
    <phoneticPr fontId="3"/>
  </si>
  <si>
    <t>人</t>
    <rPh sb="0" eb="1">
      <t>ニン</t>
    </rPh>
    <phoneticPr fontId="3"/>
  </si>
  <si>
    <t>円</t>
    <rPh sb="0" eb="1">
      <t>エン</t>
    </rPh>
    <phoneticPr fontId="3"/>
  </si>
  <si>
    <t>平均</t>
    <rPh sb="0" eb="2">
      <t>ヘイキン</t>
    </rPh>
    <phoneticPr fontId="3"/>
  </si>
  <si>
    <t>全組合員年間総額対前年</t>
    <rPh sb="0" eb="1">
      <t>ゼン</t>
    </rPh>
    <rPh sb="1" eb="4">
      <t>クミアイイン</t>
    </rPh>
    <rPh sb="4" eb="6">
      <t>ネンカン</t>
    </rPh>
    <rPh sb="6" eb="7">
      <t>ソウ</t>
    </rPh>
    <rPh sb="7" eb="8">
      <t>ガク</t>
    </rPh>
    <rPh sb="8" eb="9">
      <t>タイ</t>
    </rPh>
    <rPh sb="9" eb="11">
      <t>ゼンネン</t>
    </rPh>
    <phoneticPr fontId="3"/>
  </si>
  <si>
    <t>一般組合員平均</t>
    <rPh sb="0" eb="2">
      <t>イッパン</t>
    </rPh>
    <rPh sb="2" eb="4">
      <t>クミアイ</t>
    </rPh>
    <rPh sb="4" eb="5">
      <t>イン</t>
    </rPh>
    <rPh sb="5" eb="7">
      <t>ヘイキン</t>
    </rPh>
    <phoneticPr fontId="3"/>
  </si>
  <si>
    <t>予算書用一般</t>
    <rPh sb="0" eb="2">
      <t>ヨサン</t>
    </rPh>
    <rPh sb="2" eb="3">
      <t>ショ</t>
    </rPh>
    <rPh sb="3" eb="4">
      <t>ヨウ</t>
    </rPh>
    <rPh sb="4" eb="6">
      <t>イッパン</t>
    </rPh>
    <phoneticPr fontId="3"/>
  </si>
  <si>
    <t>総計より任継を除く</t>
    <rPh sb="0" eb="2">
      <t>ソウケイ</t>
    </rPh>
    <rPh sb="4" eb="6">
      <t>ニンケイ</t>
    </rPh>
    <rPh sb="7" eb="8">
      <t>ノゾ</t>
    </rPh>
    <phoneticPr fontId="3"/>
  </si>
  <si>
    <t>①病院機構</t>
    <rPh sb="1" eb="3">
      <t>ビョウイン</t>
    </rPh>
    <rPh sb="3" eb="5">
      <t>キコウ</t>
    </rPh>
    <phoneticPr fontId="3"/>
  </si>
  <si>
    <t>③特定消防</t>
    <rPh sb="1" eb="3">
      <t>トクテイ</t>
    </rPh>
    <rPh sb="3" eb="5">
      <t>ショウボウ</t>
    </rPh>
    <phoneticPr fontId="3"/>
  </si>
  <si>
    <t>★掛金免除者推計（産休・育休）</t>
    <rPh sb="1" eb="3">
      <t>カケキン</t>
    </rPh>
    <rPh sb="3" eb="6">
      <t>メンジョシャ</t>
    </rPh>
    <rPh sb="6" eb="8">
      <t>スイケイ</t>
    </rPh>
    <rPh sb="9" eb="11">
      <t>サンキュウ</t>
    </rPh>
    <rPh sb="12" eb="14">
      <t>イクキュウ</t>
    </rPh>
    <phoneticPr fontId="3"/>
  </si>
  <si>
    <t>（円）</t>
    <rPh sb="1" eb="2">
      <t>エン</t>
    </rPh>
    <phoneticPr fontId="3"/>
  </si>
  <si>
    <t>標準期末手当等総額</t>
    <rPh sb="0" eb="2">
      <t>ヒョウジュン</t>
    </rPh>
    <rPh sb="2" eb="4">
      <t>キマツ</t>
    </rPh>
    <rPh sb="4" eb="6">
      <t>テアテ</t>
    </rPh>
    <rPh sb="6" eb="7">
      <t>トウ</t>
    </rPh>
    <rPh sb="7" eb="9">
      <t>ソウガク</t>
    </rPh>
    <phoneticPr fontId="3"/>
  </si>
  <si>
    <t>3月定年退　</t>
    <rPh sb="1" eb="2">
      <t>ガツ</t>
    </rPh>
    <rPh sb="2" eb="4">
      <t>テイネン</t>
    </rPh>
    <rPh sb="4" eb="5">
      <t>タイ</t>
    </rPh>
    <phoneticPr fontId="3"/>
  </si>
  <si>
    <t>基幹データ抽出</t>
    <rPh sb="0" eb="2">
      <t>キカン</t>
    </rPh>
    <rPh sb="5" eb="7">
      <t>チュウシュツ</t>
    </rPh>
    <phoneticPr fontId="3"/>
  </si>
  <si>
    <t>6月</t>
    <rPh sb="1" eb="2">
      <t>ガツ</t>
    </rPh>
    <phoneticPr fontId="3"/>
  </si>
  <si>
    <t>3月普通退</t>
    <rPh sb="1" eb="2">
      <t>ガツ</t>
    </rPh>
    <rPh sb="2" eb="4">
      <t>フツウ</t>
    </rPh>
    <rPh sb="4" eb="5">
      <t>タイ</t>
    </rPh>
    <phoneticPr fontId="3"/>
  </si>
  <si>
    <t>③</t>
    <phoneticPr fontId="3"/>
  </si>
  <si>
    <t>12月</t>
    <rPh sb="2" eb="3">
      <t>ガツ</t>
    </rPh>
    <phoneticPr fontId="3"/>
  </si>
  <si>
    <t>4月新採</t>
    <rPh sb="1" eb="2">
      <t>ガツ</t>
    </rPh>
    <rPh sb="2" eb="3">
      <t>シン</t>
    </rPh>
    <phoneticPr fontId="3"/>
  </si>
  <si>
    <t>3月</t>
    <rPh sb="1" eb="2">
      <t>ガツ</t>
    </rPh>
    <phoneticPr fontId="3"/>
  </si>
  <si>
    <t>4月再任用　　</t>
    <rPh sb="1" eb="2">
      <t>ガツ</t>
    </rPh>
    <rPh sb="2" eb="5">
      <t>サイニンヨウ</t>
    </rPh>
    <phoneticPr fontId="3"/>
  </si>
  <si>
    <t>4月再任用</t>
    <rPh sb="1" eb="2">
      <t>ガツ</t>
    </rPh>
    <rPh sb="2" eb="5">
      <t>サイニンヨウ</t>
    </rPh>
    <phoneticPr fontId="3"/>
  </si>
  <si>
    <t>年間総額</t>
    <rPh sb="0" eb="2">
      <t>ネンカン</t>
    </rPh>
    <rPh sb="2" eb="4">
      <t>ソウガク</t>
    </rPh>
    <phoneticPr fontId="3"/>
  </si>
  <si>
    <t>4月標準報酬随時・定時改定</t>
    <rPh sb="1" eb="2">
      <t>ガツ</t>
    </rPh>
    <rPh sb="2" eb="4">
      <t>ヒョウジュン</t>
    </rPh>
    <rPh sb="4" eb="6">
      <t>ホウシュウ</t>
    </rPh>
    <rPh sb="6" eb="8">
      <t>ズイジ</t>
    </rPh>
    <rPh sb="9" eb="11">
      <t>テ</t>
    </rPh>
    <phoneticPr fontId="3"/>
  </si>
  <si>
    <t>4月1日現在</t>
    <rPh sb="1" eb="2">
      <t>ガツ</t>
    </rPh>
    <rPh sb="3" eb="4">
      <t>ニチ</t>
    </rPh>
    <rPh sb="4" eb="6">
      <t>ゲンザイ</t>
    </rPh>
    <phoneticPr fontId="3"/>
  </si>
  <si>
    <t>★拠出金等の標準報酬・標準期末に対する割合（概況に載る）</t>
    <rPh sb="1" eb="3">
      <t>キョシュツ</t>
    </rPh>
    <rPh sb="3" eb="4">
      <t>キン</t>
    </rPh>
    <rPh sb="4" eb="5">
      <t>ナド</t>
    </rPh>
    <rPh sb="6" eb="8">
      <t>ヒョウジュン</t>
    </rPh>
    <rPh sb="8" eb="10">
      <t>ホウシュウ</t>
    </rPh>
    <rPh sb="11" eb="13">
      <t>ヒョウジュン</t>
    </rPh>
    <rPh sb="13" eb="15">
      <t>キマツ</t>
    </rPh>
    <rPh sb="16" eb="17">
      <t>タイ</t>
    </rPh>
    <rPh sb="19" eb="21">
      <t>ワリアイ</t>
    </rPh>
    <rPh sb="22" eb="24">
      <t>ガイキョウ</t>
    </rPh>
    <rPh sb="25" eb="26">
      <t>ノ</t>
    </rPh>
    <phoneticPr fontId="3"/>
  </si>
  <si>
    <t>5月以降は前年・前々年度実績と同数の加入・脱退および標準報酬改定額を見込む</t>
    <rPh sb="1" eb="2">
      <t>ガツ</t>
    </rPh>
    <rPh sb="2" eb="4">
      <t>イコウ</t>
    </rPh>
    <rPh sb="5" eb="7">
      <t>ゼンネン</t>
    </rPh>
    <rPh sb="8" eb="10">
      <t>ゼンゼン</t>
    </rPh>
    <rPh sb="10" eb="12">
      <t>ネンド</t>
    </rPh>
    <rPh sb="12" eb="14">
      <t>ジッセキ</t>
    </rPh>
    <rPh sb="15" eb="17">
      <t>ドウスウ</t>
    </rPh>
    <rPh sb="18" eb="20">
      <t>カニュウ</t>
    </rPh>
    <rPh sb="21" eb="23">
      <t>ダッタイ</t>
    </rPh>
    <rPh sb="26" eb="28">
      <t>ヒョウジュン</t>
    </rPh>
    <rPh sb="28" eb="30">
      <t>ホウシュウ</t>
    </rPh>
    <rPh sb="30" eb="32">
      <t>カイテイ</t>
    </rPh>
    <rPh sb="32" eb="33">
      <t>ガク</t>
    </rPh>
    <rPh sb="34" eb="36">
      <t>ミコ</t>
    </rPh>
    <phoneticPr fontId="3"/>
  </si>
  <si>
    <t>区　　　分</t>
    <rPh sb="0" eb="1">
      <t>ク</t>
    </rPh>
    <rPh sb="4" eb="5">
      <t>ブン</t>
    </rPh>
    <phoneticPr fontId="3"/>
  </si>
  <si>
    <t>推計</t>
    <rPh sb="0" eb="2">
      <t>スイケイ</t>
    </rPh>
    <phoneticPr fontId="3"/>
  </si>
  <si>
    <t>(単位:千円、‰）</t>
    <rPh sb="1" eb="3">
      <t>タンイ</t>
    </rPh>
    <rPh sb="4" eb="6">
      <t>センエン</t>
    </rPh>
    <phoneticPr fontId="3"/>
  </si>
  <si>
    <t>額</t>
    <rPh sb="0" eb="1">
      <t>ガク</t>
    </rPh>
    <phoneticPr fontId="3"/>
  </si>
  <si>
    <t>割合</t>
    <rPh sb="0" eb="2">
      <t>ワリアイ</t>
    </rPh>
    <phoneticPr fontId="3"/>
  </si>
  <si>
    <t>3月末脱退　</t>
    <rPh sb="1" eb="2">
      <t>ガツ</t>
    </rPh>
    <rPh sb="2" eb="3">
      <t>スエ</t>
    </rPh>
    <rPh sb="3" eb="5">
      <t>ダッタイ</t>
    </rPh>
    <phoneticPr fontId="3"/>
  </si>
  <si>
    <t>4月加入</t>
    <rPh sb="1" eb="2">
      <t>ガツ</t>
    </rPh>
    <rPh sb="2" eb="4">
      <t>カニュウ</t>
    </rPh>
    <phoneticPr fontId="3"/>
  </si>
  <si>
    <t>病床転換</t>
    <rPh sb="0" eb="2">
      <t>ビョウショウ</t>
    </rPh>
    <phoneticPr fontId="3"/>
  </si>
  <si>
    <t>支援金</t>
    <rPh sb="0" eb="3">
      <t>シエンキン</t>
    </rPh>
    <phoneticPr fontId="3"/>
  </si>
  <si>
    <t>特定消防より</t>
    <rPh sb="0" eb="2">
      <t>トクテイ</t>
    </rPh>
    <rPh sb="2" eb="4">
      <t>ショウボウ</t>
    </rPh>
    <phoneticPr fontId="3"/>
  </si>
  <si>
    <t>消防一般組合員の定年分、特定消防より異動</t>
    <rPh sb="0" eb="2">
      <t>ショウボウ</t>
    </rPh>
    <rPh sb="2" eb="4">
      <t>イッパン</t>
    </rPh>
    <rPh sb="4" eb="7">
      <t>クミアイイン</t>
    </rPh>
    <rPh sb="8" eb="10">
      <t>テイネン</t>
    </rPh>
    <rPh sb="10" eb="11">
      <t>ブン</t>
    </rPh>
    <rPh sb="12" eb="14">
      <t>トクテイ</t>
    </rPh>
    <rPh sb="14" eb="16">
      <t>ショウボウ</t>
    </rPh>
    <rPh sb="18" eb="20">
      <t>イドウ</t>
    </rPh>
    <phoneticPr fontId="3"/>
  </si>
  <si>
    <t>5月以降は前年・前々年度実績と同数の加入・脱退を見込む</t>
    <rPh sb="1" eb="2">
      <t>ガツ</t>
    </rPh>
    <rPh sb="2" eb="4">
      <t>イコウ</t>
    </rPh>
    <rPh sb="5" eb="7">
      <t>ゼンネン</t>
    </rPh>
    <rPh sb="8" eb="10">
      <t>ゼンゼン</t>
    </rPh>
    <rPh sb="10" eb="12">
      <t>ネンド</t>
    </rPh>
    <rPh sb="12" eb="14">
      <t>ジッセキ</t>
    </rPh>
    <rPh sb="15" eb="17">
      <t>ドウスウ</t>
    </rPh>
    <rPh sb="18" eb="20">
      <t>カニュウ</t>
    </rPh>
    <rPh sb="21" eb="23">
      <t>ダッタイ</t>
    </rPh>
    <rPh sb="24" eb="26">
      <t>ミコ</t>
    </rPh>
    <phoneticPr fontId="3"/>
  </si>
  <si>
    <t>老人保健</t>
    <rPh sb="0" eb="2">
      <t>ロウジン</t>
    </rPh>
    <rPh sb="2" eb="4">
      <t>ホケン</t>
    </rPh>
    <phoneticPr fontId="3"/>
  </si>
  <si>
    <t>拠出金</t>
    <rPh sb="0" eb="3">
      <t>キョシュツキン</t>
    </rPh>
    <phoneticPr fontId="3"/>
  </si>
  <si>
    <t>退職者給付</t>
    <rPh sb="0" eb="3">
      <t>タイショクシャ</t>
    </rPh>
    <rPh sb="3" eb="5">
      <t>キュウフ</t>
    </rPh>
    <phoneticPr fontId="3"/>
  </si>
  <si>
    <t>年間標準報酬等合計額の総額</t>
    <rPh sb="0" eb="2">
      <t>ネンカン</t>
    </rPh>
    <rPh sb="2" eb="4">
      <t>ヒョウジュン</t>
    </rPh>
    <rPh sb="4" eb="6">
      <t>ホウシュウ</t>
    </rPh>
    <rPh sb="6" eb="7">
      <t>トウ</t>
    </rPh>
    <rPh sb="7" eb="8">
      <t>ゴウ</t>
    </rPh>
    <rPh sb="8" eb="9">
      <t>ケイ</t>
    </rPh>
    <rPh sb="9" eb="10">
      <t>ガク</t>
    </rPh>
    <rPh sb="11" eb="13">
      <t>ソウガク</t>
    </rPh>
    <phoneticPr fontId="3"/>
  </si>
  <si>
    <t>5月以降は各月の40歳到達者及び前年・前々年度実績と同数の加入・脱退を見込む</t>
    <rPh sb="1" eb="2">
      <t>ガツ</t>
    </rPh>
    <rPh sb="2" eb="4">
      <t>イコウ</t>
    </rPh>
    <rPh sb="5" eb="7">
      <t>カクツキ</t>
    </rPh>
    <rPh sb="10" eb="11">
      <t>サイ</t>
    </rPh>
    <rPh sb="11" eb="13">
      <t>トウタツ</t>
    </rPh>
    <rPh sb="13" eb="14">
      <t>シャ</t>
    </rPh>
    <rPh sb="14" eb="15">
      <t>オヨ</t>
    </rPh>
    <rPh sb="16" eb="18">
      <t>ゼンネン</t>
    </rPh>
    <rPh sb="19" eb="21">
      <t>ゼンゼン</t>
    </rPh>
    <rPh sb="21" eb="23">
      <t>ネンド</t>
    </rPh>
    <rPh sb="23" eb="25">
      <t>ジッセキ</t>
    </rPh>
    <rPh sb="26" eb="28">
      <t>ドウスウ</t>
    </rPh>
    <rPh sb="29" eb="31">
      <t>カニュウ</t>
    </rPh>
    <rPh sb="32" eb="34">
      <t>ダッタイ</t>
    </rPh>
    <rPh sb="35" eb="37">
      <t>ミコ</t>
    </rPh>
    <phoneticPr fontId="3"/>
  </si>
  <si>
    <t>合　　　計</t>
    <rPh sb="0" eb="1">
      <t>ゴウ</t>
    </rPh>
    <rPh sb="4" eb="5">
      <t>ケイ</t>
    </rPh>
    <phoneticPr fontId="3"/>
  </si>
  <si>
    <t>★標準報酬　随時改定・定時決定額</t>
    <rPh sb="1" eb="3">
      <t>ヒョウジュン</t>
    </rPh>
    <rPh sb="3" eb="5">
      <t>ホウシュウ</t>
    </rPh>
    <rPh sb="6" eb="8">
      <t>ズイジ</t>
    </rPh>
    <rPh sb="8" eb="10">
      <t>カイテイ</t>
    </rPh>
    <rPh sb="11" eb="13">
      <t>テイジ</t>
    </rPh>
    <rPh sb="13" eb="15">
      <t>ケッテイ</t>
    </rPh>
    <rPh sb="15" eb="16">
      <t>ガク</t>
    </rPh>
    <phoneticPr fontId="3"/>
  </si>
  <si>
    <t>【短期】</t>
    <rPh sb="1" eb="3">
      <t>タンキ</t>
    </rPh>
    <phoneticPr fontId="3"/>
  </si>
  <si>
    <t>随時改定</t>
    <rPh sb="0" eb="2">
      <t>ズイジ</t>
    </rPh>
    <rPh sb="2" eb="4">
      <t>カイテイ</t>
    </rPh>
    <phoneticPr fontId="3"/>
  </si>
  <si>
    <t>定時決定</t>
    <rPh sb="0" eb="2">
      <t>テイジ</t>
    </rPh>
    <rPh sb="2" eb="4">
      <t>ケッテイ</t>
    </rPh>
    <phoneticPr fontId="3"/>
  </si>
  <si>
    <t>給与改定はないものと仮定</t>
    <rPh sb="0" eb="4">
      <t>キュウヨカイテイ</t>
    </rPh>
    <rPh sb="10" eb="12">
      <t>カテイ</t>
    </rPh>
    <phoneticPr fontId="3"/>
  </si>
  <si>
    <t>人数・標準報酬総額
（任継除く）</t>
    <rPh sb="0" eb="2">
      <t>ニンズウ</t>
    </rPh>
    <rPh sb="3" eb="5">
      <t>ヒョウジュン</t>
    </rPh>
    <rPh sb="5" eb="7">
      <t>ホウシュウ</t>
    </rPh>
    <rPh sb="7" eb="9">
      <t>ソウガク</t>
    </rPh>
    <rPh sb="11" eb="13">
      <t>ニンケイ</t>
    </rPh>
    <rPh sb="13" eb="14">
      <t>ノゾ</t>
    </rPh>
    <phoneticPr fontId="3"/>
  </si>
  <si>
    <t>★脱退者　人数・標準報酬</t>
    <rPh sb="1" eb="3">
      <t>ダッタイ</t>
    </rPh>
    <rPh sb="3" eb="4">
      <t>シャ</t>
    </rPh>
    <rPh sb="5" eb="7">
      <t>ニンズウ</t>
    </rPh>
    <rPh sb="8" eb="10">
      <t>ヒョウジュン</t>
    </rPh>
    <rPh sb="10" eb="12">
      <t>ホウシュウ</t>
    </rPh>
    <phoneticPr fontId="3"/>
  </si>
  <si>
    <t>年額</t>
    <rPh sb="0" eb="2">
      <t>ネンガク</t>
    </rPh>
    <phoneticPr fontId="3"/>
  </si>
  <si>
    <t>一般</t>
    <rPh sb="0" eb="2">
      <t>イッパン</t>
    </rPh>
    <phoneticPr fontId="3"/>
  </si>
  <si>
    <t>（6月差額）</t>
  </si>
  <si>
    <t>（12月差額）</t>
  </si>
  <si>
    <t>一般組合員3月平均</t>
    <rPh sb="0" eb="2">
      <t>イッパン</t>
    </rPh>
    <rPh sb="2" eb="5">
      <t>クミアイイン</t>
    </rPh>
    <rPh sb="6" eb="7">
      <t>ガツ</t>
    </rPh>
    <rPh sb="7" eb="9">
      <t>ヘイキン</t>
    </rPh>
    <phoneticPr fontId="3"/>
  </si>
  <si>
    <t>★中途採用者　人数・標準報酬</t>
    <rPh sb="1" eb="3">
      <t>チュウト</t>
    </rPh>
    <rPh sb="3" eb="5">
      <t>サイヨウ</t>
    </rPh>
    <rPh sb="5" eb="6">
      <t>シャ</t>
    </rPh>
    <rPh sb="7" eb="9">
      <t>ニンズウ</t>
    </rPh>
    <rPh sb="10" eb="12">
      <t>ヒョウジュン</t>
    </rPh>
    <rPh sb="12" eb="14">
      <t>ホウシュウ</t>
    </rPh>
    <phoneticPr fontId="3"/>
  </si>
  <si>
    <t>短期</t>
    <rPh sb="0" eb="2">
      <t>タンキ</t>
    </rPh>
    <phoneticPr fontId="2"/>
  </si>
  <si>
    <t>介護</t>
    <rPh sb="0" eb="2">
      <t>カイゴ</t>
    </rPh>
    <phoneticPr fontId="2"/>
  </si>
  <si>
    <t>短期のみ</t>
    <rPh sb="0" eb="2">
      <t>タンキ</t>
    </rPh>
    <phoneticPr fontId="2"/>
  </si>
  <si>
    <t>介護あり</t>
    <rPh sb="0" eb="2">
      <t>カイゴ</t>
    </rPh>
    <phoneticPr fontId="2"/>
  </si>
  <si>
    <t>平均標準報酬月額
（15万円）</t>
    <rPh sb="0" eb="2">
      <t>ヘイキン</t>
    </rPh>
    <rPh sb="2" eb="4">
      <t>ヒョウジュン</t>
    </rPh>
    <rPh sb="4" eb="6">
      <t>ホウシュウ</t>
    </rPh>
    <rPh sb="6" eb="8">
      <t>ゲツガク</t>
    </rPh>
    <rPh sb="13" eb="14">
      <t>エン</t>
    </rPh>
    <phoneticPr fontId="2"/>
  </si>
  <si>
    <t>(参考）協会けんぽ
掛金率</t>
    <rPh sb="1" eb="3">
      <t>サンコウ</t>
    </rPh>
    <rPh sb="4" eb="6">
      <t>キョウカイ</t>
    </rPh>
    <rPh sb="10" eb="12">
      <t>カケキン</t>
    </rPh>
    <rPh sb="12" eb="13">
      <t>リツ</t>
    </rPh>
    <phoneticPr fontId="2"/>
  </si>
  <si>
    <t>(参考)
協会けんぽ</t>
    <rPh sb="1" eb="3">
      <t>サンコウ</t>
    </rPh>
    <rPh sb="5" eb="7">
      <t>キョウカイ</t>
    </rPh>
    <phoneticPr fontId="2"/>
  </si>
  <si>
    <t>協会けんぽと比較　
R5→　</t>
    <rPh sb="0" eb="2">
      <t>キョウカイ</t>
    </rPh>
    <rPh sb="6" eb="8">
      <t>ヒカク</t>
    </rPh>
    <phoneticPr fontId="2"/>
  </si>
  <si>
    <t>協会けんぽと比較
R6→</t>
    <rPh sb="0" eb="2">
      <t>キョウカイ</t>
    </rPh>
    <rPh sb="6" eb="8">
      <t>ヒカク</t>
    </rPh>
    <phoneticPr fontId="2"/>
  </si>
  <si>
    <t>１　短期給付事業分について</t>
    <rPh sb="2" eb="4">
      <t>タンキ</t>
    </rPh>
    <rPh sb="4" eb="6">
      <t>キュウフ</t>
    </rPh>
    <rPh sb="6" eb="8">
      <t>ジギョウ</t>
    </rPh>
    <rPh sb="8" eb="9">
      <t>ブン</t>
    </rPh>
    <phoneticPr fontId="3"/>
  </si>
  <si>
    <t>年度末累計剰余金（C)</t>
    <rPh sb="0" eb="3">
      <t>ネンドマツ</t>
    </rPh>
    <rPh sb="3" eb="5">
      <t>ルイケイ</t>
    </rPh>
    <rPh sb="5" eb="8">
      <t>ジョウヨキン</t>
    </rPh>
    <phoneticPr fontId="3"/>
  </si>
  <si>
    <t>積立金（C）-（D)-（E)</t>
    <rPh sb="0" eb="2">
      <t>ツミタテ</t>
    </rPh>
    <rPh sb="2" eb="3">
      <t>キン</t>
    </rPh>
    <phoneticPr fontId="3"/>
  </si>
  <si>
    <t>実質累計剰余金（D）-（D）</t>
    <rPh sb="0" eb="2">
      <t>ジッシツ</t>
    </rPh>
    <rPh sb="2" eb="4">
      <t>ルイケイ</t>
    </rPh>
    <rPh sb="4" eb="7">
      <t>ジョウヨキン</t>
    </rPh>
    <phoneticPr fontId="3"/>
  </si>
  <si>
    <t>広島市職員共済組合</t>
    <rPh sb="0" eb="3">
      <t>ヒロシマシ</t>
    </rPh>
    <rPh sb="3" eb="5">
      <t>ショクイン</t>
    </rPh>
    <rPh sb="5" eb="7">
      <t>キョウサイ</t>
    </rPh>
    <rPh sb="7" eb="9">
      <t>クミアイ</t>
    </rPh>
    <phoneticPr fontId="2"/>
  </si>
  <si>
    <t>年度末累計剰余金</t>
    <rPh sb="0" eb="3">
      <t>ネンドマツ</t>
    </rPh>
    <rPh sb="3" eb="5">
      <t>ルイケイ</t>
    </rPh>
    <rPh sb="5" eb="8">
      <t>ジョウヨキン</t>
    </rPh>
    <phoneticPr fontId="3"/>
  </si>
  <si>
    <t>R6年度</t>
    <rPh sb="2" eb="3">
      <t>ネン</t>
    </rPh>
    <rPh sb="3" eb="4">
      <t>ド</t>
    </rPh>
    <phoneticPr fontId="2"/>
  </si>
  <si>
    <t>R7年度</t>
    <rPh sb="2" eb="3">
      <t>ネン</t>
    </rPh>
    <rPh sb="3" eb="4">
      <t>ド</t>
    </rPh>
    <phoneticPr fontId="2"/>
  </si>
  <si>
    <t>(</t>
    <phoneticPr fontId="2"/>
  </si>
  <si>
    <t>)</t>
    <phoneticPr fontId="2"/>
  </si>
  <si>
    <t>掛金率 ‰ 　（前年比較）</t>
    <rPh sb="0" eb="2">
      <t>カケキン</t>
    </rPh>
    <rPh sb="2" eb="3">
      <t>リツ</t>
    </rPh>
    <rPh sb="8" eb="10">
      <t>ゼンネン</t>
    </rPh>
    <rPh sb="10" eb="12">
      <t>ヒカク</t>
    </rPh>
    <phoneticPr fontId="2"/>
  </si>
  <si>
    <t>(金額の単位は千円）</t>
    <phoneticPr fontId="2"/>
  </si>
  <si>
    <t>年度末実質累計剰余金</t>
    <rPh sb="0" eb="1">
      <t>ネン</t>
    </rPh>
    <rPh sb="1" eb="2">
      <t>ド</t>
    </rPh>
    <rPh sb="3" eb="5">
      <t>ジッシツ</t>
    </rPh>
    <rPh sb="5" eb="7">
      <t>ルイケイ</t>
    </rPh>
    <rPh sb="7" eb="10">
      <t>ジョウヨキン</t>
    </rPh>
    <phoneticPr fontId="3"/>
  </si>
  <si>
    <t>収入　(Ａ)</t>
    <rPh sb="0" eb="2">
      <t>シュウニュウ</t>
    </rPh>
    <phoneticPr fontId="2"/>
  </si>
  <si>
    <t>　</t>
    <phoneticPr fontId="3"/>
  </si>
  <si>
    <t>支出　（B）</t>
    <rPh sb="0" eb="2">
      <t>シシュツ</t>
    </rPh>
    <phoneticPr fontId="2"/>
  </si>
  <si>
    <t xml:space="preserve"> </t>
    <phoneticPr fontId="2"/>
  </si>
  <si>
    <t>掛金率</t>
    <rPh sb="0" eb="2">
      <t>カケキン</t>
    </rPh>
    <rPh sb="2" eb="3">
      <t>リツ</t>
    </rPh>
    <phoneticPr fontId="2"/>
  </si>
  <si>
    <t>区　分</t>
    <rPh sb="0" eb="1">
      <t>ク</t>
    </rPh>
    <rPh sb="2" eb="3">
      <t>ブン</t>
    </rPh>
    <phoneticPr fontId="2"/>
  </si>
  <si>
    <t>1　課題</t>
    <rPh sb="2" eb="4">
      <t>カダイ</t>
    </rPh>
    <phoneticPr fontId="2"/>
  </si>
  <si>
    <t>２　掛金率の引上げ案</t>
    <rPh sb="2" eb="4">
      <t>カケキン</t>
    </rPh>
    <rPh sb="4" eb="5">
      <t>リツ</t>
    </rPh>
    <rPh sb="6" eb="7">
      <t>ヒ</t>
    </rPh>
    <rPh sb="7" eb="8">
      <t>ア</t>
    </rPh>
    <rPh sb="9" eb="10">
      <t>アン</t>
    </rPh>
    <phoneticPr fontId="2"/>
  </si>
  <si>
    <t>①　短期給付事業分について（介護納付金分は除く。）</t>
    <rPh sb="2" eb="4">
      <t>タンキ</t>
    </rPh>
    <rPh sb="4" eb="6">
      <t>キュウフ</t>
    </rPh>
    <rPh sb="6" eb="8">
      <t>ジギョウ</t>
    </rPh>
    <rPh sb="8" eb="9">
      <t>ブン</t>
    </rPh>
    <phoneticPr fontId="3"/>
  </si>
  <si>
    <t>②　保健事業分について</t>
    <rPh sb="2" eb="4">
      <t>ホケン</t>
    </rPh>
    <rPh sb="4" eb="6">
      <t>ジギョウ</t>
    </rPh>
    <rPh sb="6" eb="7">
      <t>ブン</t>
    </rPh>
    <phoneticPr fontId="3"/>
  </si>
  <si>
    <t>③　介護事業分について</t>
    <rPh sb="2" eb="4">
      <t>カイゴ</t>
    </rPh>
    <rPh sb="4" eb="6">
      <t>ジギョウ</t>
    </rPh>
    <rPh sb="6" eb="7">
      <t>ブン</t>
    </rPh>
    <phoneticPr fontId="3"/>
  </si>
  <si>
    <t>④　掛金</t>
    <rPh sb="2" eb="4">
      <t>カケキン</t>
    </rPh>
    <phoneticPr fontId="2"/>
  </si>
  <si>
    <t>(      )内は対前年度比較</t>
    <rPh sb="8" eb="9">
      <t>ナイ</t>
    </rPh>
    <rPh sb="10" eb="11">
      <t>タイ</t>
    </rPh>
    <rPh sb="11" eb="14">
      <t>ゼンネンド</t>
    </rPh>
    <rPh sb="14" eb="16">
      <t>ヒカク</t>
    </rPh>
    <phoneticPr fontId="2"/>
  </si>
  <si>
    <r>
      <rPr>
        <sz val="20"/>
        <rFont val="ＭＳ Ｐ明朝"/>
        <family val="1"/>
        <charset val="128"/>
      </rPr>
      <t xml:space="preserve">収入(Ａ) </t>
    </r>
    <r>
      <rPr>
        <sz val="20"/>
        <rFont val="ＭＳ Ｐゴシック"/>
        <family val="3"/>
        <charset val="128"/>
      </rPr>
      <t>　掛金・負担金</t>
    </r>
    <rPh sb="7" eb="9">
      <t>カケキン</t>
    </rPh>
    <rPh sb="10" eb="13">
      <t>フタンキン</t>
    </rPh>
    <phoneticPr fontId="3"/>
  </si>
  <si>
    <r>
      <rPr>
        <sz val="20"/>
        <rFont val="ＭＳ Ｐ明朝"/>
        <family val="1"/>
        <charset val="128"/>
      </rPr>
      <t>支出（B)</t>
    </r>
    <r>
      <rPr>
        <sz val="20"/>
        <rFont val="ＭＳ Ｐゴシック"/>
        <family val="3"/>
        <charset val="128"/>
      </rPr>
      <t>　介護納付金等</t>
    </r>
    <rPh sb="7" eb="9">
      <t>カイゴ</t>
    </rPh>
    <rPh sb="9" eb="12">
      <t>ノウフキントウ</t>
    </rPh>
    <phoneticPr fontId="2"/>
  </si>
  <si>
    <t>不動産取得に伴う積立金等</t>
    <rPh sb="0" eb="3">
      <t>フドウサン</t>
    </rPh>
    <rPh sb="3" eb="5">
      <t>シュトク</t>
    </rPh>
    <rPh sb="6" eb="7">
      <t>トモナ</t>
    </rPh>
    <rPh sb="8" eb="10">
      <t>ツミタテ</t>
    </rPh>
    <rPh sb="10" eb="11">
      <t>キン</t>
    </rPh>
    <rPh sb="11" eb="12">
      <t>トウ</t>
    </rPh>
    <phoneticPr fontId="3"/>
  </si>
  <si>
    <t>R4決算</t>
    <rPh sb="2" eb="4">
      <t>ケッサン</t>
    </rPh>
    <phoneticPr fontId="2"/>
  </si>
  <si>
    <t>R6</t>
    <phoneticPr fontId="2"/>
  </si>
  <si>
    <t>R7</t>
    <phoneticPr fontId="2"/>
  </si>
  <si>
    <t>R9</t>
    <phoneticPr fontId="2"/>
  </si>
  <si>
    <t>R2決算</t>
    <phoneticPr fontId="3"/>
  </si>
  <si>
    <t>R3決算</t>
    <phoneticPr fontId="3"/>
  </si>
  <si>
    <t>R7</t>
    <phoneticPr fontId="3"/>
  </si>
  <si>
    <t>R8</t>
    <phoneticPr fontId="3"/>
  </si>
  <si>
    <t>R3決算</t>
    <phoneticPr fontId="3"/>
  </si>
  <si>
    <t>R8</t>
    <phoneticPr fontId="2"/>
  </si>
  <si>
    <t>⑥</t>
    <phoneticPr fontId="3"/>
  </si>
  <si>
    <t>前期高齢者</t>
    <phoneticPr fontId="3"/>
  </si>
  <si>
    <t>納付金</t>
    <phoneticPr fontId="3"/>
  </si>
  <si>
    <t>短期組合員</t>
    <rPh sb="0" eb="2">
      <t>タンキ</t>
    </rPh>
    <rPh sb="2" eb="5">
      <t>クミアイイン</t>
    </rPh>
    <phoneticPr fontId="3"/>
  </si>
  <si>
    <t>①-②-③+④+⑤+⑥</t>
    <phoneticPr fontId="3"/>
  </si>
  <si>
    <t>短期組合員</t>
    <rPh sb="0" eb="2">
      <t>タンキ</t>
    </rPh>
    <rPh sb="2" eb="4">
      <t>クミアイ</t>
    </rPh>
    <rPh sb="4" eb="5">
      <t>イン</t>
    </rPh>
    <phoneticPr fontId="3"/>
  </si>
  <si>
    <t>赤字：決算・確定額</t>
    <rPh sb="0" eb="2">
      <t>アカジ</t>
    </rPh>
    <rPh sb="3" eb="5">
      <t>ケッサン</t>
    </rPh>
    <rPh sb="6" eb="8">
      <t>カクテイ</t>
    </rPh>
    <rPh sb="8" eb="9">
      <t>ガク</t>
    </rPh>
    <phoneticPr fontId="2"/>
  </si>
  <si>
    <t>R5決算見込</t>
    <rPh sb="2" eb="4">
      <t>ケッサン</t>
    </rPh>
    <rPh sb="4" eb="6">
      <t>ミコ</t>
    </rPh>
    <phoneticPr fontId="2"/>
  </si>
  <si>
    <t>R8年度</t>
    <rPh sb="2" eb="3">
      <t>ネン</t>
    </rPh>
    <rPh sb="3" eb="4">
      <t>ド</t>
    </rPh>
    <phoneticPr fontId="2"/>
  </si>
  <si>
    <t>R5決算見込</t>
    <phoneticPr fontId="2"/>
  </si>
  <si>
    <t>その他：前年同額等</t>
    <rPh sb="2" eb="3">
      <t>タ</t>
    </rPh>
    <rPh sb="4" eb="6">
      <t>ゼンネン</t>
    </rPh>
    <rPh sb="6" eb="8">
      <t>ドウガク</t>
    </rPh>
    <rPh sb="8" eb="9">
      <t>トウ</t>
    </rPh>
    <phoneticPr fontId="2"/>
  </si>
  <si>
    <t>５．　令和5年度短期財源率、調整交付金及び特別調整交付金計算書</t>
    <rPh sb="3" eb="4">
      <t>レイ</t>
    </rPh>
    <rPh sb="4" eb="5">
      <t>ワ</t>
    </rPh>
    <rPh sb="6" eb="8">
      <t>ネンド</t>
    </rPh>
    <rPh sb="8" eb="10">
      <t>タンキ</t>
    </rPh>
    <rPh sb="10" eb="12">
      <t>ザイゲン</t>
    </rPh>
    <rPh sb="12" eb="13">
      <t>リツ</t>
    </rPh>
    <rPh sb="14" eb="16">
      <t>チョウセイ</t>
    </rPh>
    <rPh sb="16" eb="19">
      <t>コウフキン</t>
    </rPh>
    <rPh sb="19" eb="20">
      <t>オヨ</t>
    </rPh>
    <rPh sb="21" eb="23">
      <t>トクベツ</t>
    </rPh>
    <rPh sb="23" eb="25">
      <t>チョウセイ</t>
    </rPh>
    <rPh sb="25" eb="28">
      <t>コウフキン</t>
    </rPh>
    <rPh sb="28" eb="31">
      <t>ケイサンショ</t>
    </rPh>
    <phoneticPr fontId="3"/>
  </si>
  <si>
    <t>１．法定給付等</t>
    <rPh sb="2" eb="4">
      <t>ホウテイ</t>
    </rPh>
    <rPh sb="4" eb="7">
      <t>キュウフトウ</t>
    </rPh>
    <phoneticPr fontId="3"/>
  </si>
  <si>
    <t>千円</t>
    <rPh sb="0" eb="2">
      <t>センエン</t>
    </rPh>
    <phoneticPr fontId="3"/>
  </si>
  <si>
    <t>休業給付（育児・介護休業を除く）</t>
    <rPh sb="0" eb="2">
      <t>キュウギョウ</t>
    </rPh>
    <rPh sb="2" eb="4">
      <t>キュウフ</t>
    </rPh>
    <rPh sb="5" eb="7">
      <t>イクジ</t>
    </rPh>
    <rPh sb="8" eb="10">
      <t>カイゴ</t>
    </rPh>
    <rPh sb="10" eb="12">
      <t>キュウギョウ</t>
    </rPh>
    <rPh sb="13" eb="14">
      <t>ノゾ</t>
    </rPh>
    <phoneticPr fontId="3"/>
  </si>
  <si>
    <t>一部負担金返還金</t>
    <rPh sb="0" eb="2">
      <t>イチブ</t>
    </rPh>
    <rPh sb="2" eb="4">
      <t>フタン</t>
    </rPh>
    <rPh sb="4" eb="5">
      <t>キン</t>
    </rPh>
    <rPh sb="5" eb="7">
      <t>ヘンカン</t>
    </rPh>
    <rPh sb="7" eb="8">
      <t>キン</t>
    </rPh>
    <phoneticPr fontId="3"/>
  </si>
  <si>
    <t>短期任意継続掛金還付金</t>
    <rPh sb="0" eb="2">
      <t>タンキ</t>
    </rPh>
    <rPh sb="2" eb="4">
      <t>ニンイ</t>
    </rPh>
    <rPh sb="4" eb="6">
      <t>ケイゾク</t>
    </rPh>
    <rPh sb="6" eb="8">
      <t>カケキン</t>
    </rPh>
    <rPh sb="8" eb="11">
      <t>カンプキン</t>
    </rPh>
    <phoneticPr fontId="3"/>
  </si>
  <si>
    <t>育児・介護休業手当金拠出金</t>
    <rPh sb="0" eb="2">
      <t>イクジ</t>
    </rPh>
    <rPh sb="3" eb="5">
      <t>カイゴ</t>
    </rPh>
    <rPh sb="5" eb="7">
      <t>キュウギョウ</t>
    </rPh>
    <rPh sb="7" eb="9">
      <t>テアテ</t>
    </rPh>
    <rPh sb="9" eb="10">
      <t>キン</t>
    </rPh>
    <rPh sb="10" eb="13">
      <t>キョシュツキン</t>
    </rPh>
    <phoneticPr fontId="3"/>
  </si>
  <si>
    <t>支払準備金増減額（法定給付分）</t>
    <rPh sb="0" eb="2">
      <t>シハライ</t>
    </rPh>
    <rPh sb="2" eb="5">
      <t>ジュンビキン</t>
    </rPh>
    <rPh sb="5" eb="8">
      <t>ゾウゲンガク</t>
    </rPh>
    <rPh sb="9" eb="11">
      <t>ホウテイ</t>
    </rPh>
    <rPh sb="11" eb="13">
      <t>キュウフ</t>
    </rPh>
    <rPh sb="13" eb="14">
      <t>ブン</t>
    </rPh>
    <phoneticPr fontId="3"/>
  </si>
  <si>
    <t>前年度欠損金（法定給付分）</t>
    <rPh sb="0" eb="3">
      <t>ゼンネンド</t>
    </rPh>
    <rPh sb="3" eb="6">
      <t>ケッソンキン</t>
    </rPh>
    <rPh sb="7" eb="9">
      <t>ホウテイ</t>
    </rPh>
    <rPh sb="9" eb="11">
      <t>キュウフ</t>
    </rPh>
    <rPh sb="11" eb="12">
      <t>ブン</t>
    </rPh>
    <phoneticPr fontId="3"/>
  </si>
  <si>
    <t>千円　（Ａ）</t>
    <rPh sb="0" eb="2">
      <t>センエン</t>
    </rPh>
    <phoneticPr fontId="3"/>
  </si>
  <si>
    <t>２．附加給付等</t>
    <rPh sb="2" eb="4">
      <t>フカ</t>
    </rPh>
    <rPh sb="4" eb="6">
      <t>キュウフ</t>
    </rPh>
    <rPh sb="6" eb="7">
      <t>トウ</t>
    </rPh>
    <phoneticPr fontId="3"/>
  </si>
  <si>
    <t>前年度欠損金（附加給付・一部負担金払戻金分）</t>
    <rPh sb="0" eb="3">
      <t>ゼンネンド</t>
    </rPh>
    <rPh sb="3" eb="6">
      <t>ケッソンキン</t>
    </rPh>
    <rPh sb="7" eb="9">
      <t>フカ</t>
    </rPh>
    <rPh sb="9" eb="11">
      <t>キュウフ</t>
    </rPh>
    <rPh sb="12" eb="14">
      <t>イチブ</t>
    </rPh>
    <rPh sb="14" eb="17">
      <t>フタンキン</t>
    </rPh>
    <rPh sb="17" eb="20">
      <t>ハライモドシキン</t>
    </rPh>
    <rPh sb="20" eb="21">
      <t>ブン</t>
    </rPh>
    <phoneticPr fontId="3"/>
  </si>
  <si>
    <t>附加給付（災害を除く）</t>
    <rPh sb="0" eb="2">
      <t>フカ</t>
    </rPh>
    <rPh sb="2" eb="4">
      <t>キュウフ</t>
    </rPh>
    <rPh sb="5" eb="7">
      <t>サイガイ</t>
    </rPh>
    <rPh sb="8" eb="9">
      <t>ノゾ</t>
    </rPh>
    <phoneticPr fontId="3"/>
  </si>
  <si>
    <t>一部負担金払戻金</t>
    <rPh sb="0" eb="2">
      <t>イチブ</t>
    </rPh>
    <rPh sb="2" eb="5">
      <t>フタンキン</t>
    </rPh>
    <rPh sb="5" eb="8">
      <t>ハライモドシキン</t>
    </rPh>
    <phoneticPr fontId="3"/>
  </si>
  <si>
    <t>支払準備金増減額（附加給付・一部負担金払戻金分）</t>
    <rPh sb="0" eb="2">
      <t>シハライ</t>
    </rPh>
    <rPh sb="2" eb="4">
      <t>ジュンビ</t>
    </rPh>
    <rPh sb="4" eb="5">
      <t>キン</t>
    </rPh>
    <rPh sb="5" eb="7">
      <t>ゾウゲン</t>
    </rPh>
    <rPh sb="7" eb="8">
      <t>ガク</t>
    </rPh>
    <rPh sb="9" eb="11">
      <t>フカ</t>
    </rPh>
    <rPh sb="11" eb="13">
      <t>キュウフ</t>
    </rPh>
    <rPh sb="14" eb="16">
      <t>イチブ</t>
    </rPh>
    <rPh sb="16" eb="19">
      <t>フタンキン</t>
    </rPh>
    <rPh sb="19" eb="22">
      <t>ハライモドシキン</t>
    </rPh>
    <rPh sb="22" eb="23">
      <t>ブン</t>
    </rPh>
    <phoneticPr fontId="3"/>
  </si>
  <si>
    <t>支払利息</t>
    <rPh sb="0" eb="2">
      <t>シハライ</t>
    </rPh>
    <rPh sb="2" eb="4">
      <t>リソク</t>
    </rPh>
    <phoneticPr fontId="3"/>
  </si>
  <si>
    <t>千円　（Ｂ）</t>
    <rPh sb="0" eb="2">
      <t>センエン</t>
    </rPh>
    <phoneticPr fontId="3"/>
  </si>
  <si>
    <t>３．掛金・負担金以外の収入等</t>
    <rPh sb="2" eb="4">
      <t>カケキン</t>
    </rPh>
    <rPh sb="5" eb="7">
      <t>フタン</t>
    </rPh>
    <rPh sb="7" eb="8">
      <t>キン</t>
    </rPh>
    <rPh sb="8" eb="10">
      <t>イガイ</t>
    </rPh>
    <rPh sb="11" eb="14">
      <t>シュウニュウトウ</t>
    </rPh>
    <phoneticPr fontId="3"/>
  </si>
  <si>
    <t>前年度の欠損金補てん積立金及び短期積立金の合算額</t>
    <rPh sb="0" eb="3">
      <t>ゼンネンド</t>
    </rPh>
    <rPh sb="4" eb="6">
      <t>ケッソン</t>
    </rPh>
    <rPh sb="6" eb="7">
      <t>キン</t>
    </rPh>
    <rPh sb="7" eb="8">
      <t>ホ</t>
    </rPh>
    <rPh sb="10" eb="12">
      <t>ツミタテ</t>
    </rPh>
    <rPh sb="12" eb="13">
      <t>キン</t>
    </rPh>
    <rPh sb="13" eb="14">
      <t>オヨ</t>
    </rPh>
    <phoneticPr fontId="3"/>
  </si>
  <si>
    <t>補助金（高齢者医療支援金等負担助成金）</t>
    <rPh sb="0" eb="3">
      <t>ホジョキン</t>
    </rPh>
    <rPh sb="4" eb="7">
      <t>コウレイシャ</t>
    </rPh>
    <rPh sb="7" eb="9">
      <t>イリョウ</t>
    </rPh>
    <rPh sb="9" eb="11">
      <t>シエン</t>
    </rPh>
    <rPh sb="11" eb="12">
      <t>キン</t>
    </rPh>
    <rPh sb="12" eb="13">
      <t>トウ</t>
    </rPh>
    <rPh sb="13" eb="15">
      <t>フタン</t>
    </rPh>
    <rPh sb="15" eb="17">
      <t>ジョセイ</t>
    </rPh>
    <rPh sb="17" eb="18">
      <t>キン</t>
    </rPh>
    <phoneticPr fontId="3"/>
  </si>
  <si>
    <t>短期利息及び短期配当金</t>
    <rPh sb="0" eb="2">
      <t>タンキ</t>
    </rPh>
    <rPh sb="2" eb="4">
      <t>リソク</t>
    </rPh>
    <rPh sb="4" eb="5">
      <t>オヨ</t>
    </rPh>
    <rPh sb="6" eb="8">
      <t>タンキ</t>
    </rPh>
    <rPh sb="8" eb="11">
      <t>ハイトウキン</t>
    </rPh>
    <phoneticPr fontId="3"/>
  </si>
  <si>
    <t>償還差益</t>
    <rPh sb="0" eb="2">
      <t>ショウカン</t>
    </rPh>
    <rPh sb="2" eb="4">
      <t>サエキ</t>
    </rPh>
    <phoneticPr fontId="3"/>
  </si>
  <si>
    <t>雑収入</t>
    <rPh sb="0" eb="3">
      <t>ザツシュウニュウ</t>
    </rPh>
    <phoneticPr fontId="3"/>
  </si>
  <si>
    <t>公的負担</t>
    <rPh sb="0" eb="2">
      <t>コウテキ</t>
    </rPh>
    <rPh sb="2" eb="4">
      <t>フタン</t>
    </rPh>
    <phoneticPr fontId="3"/>
  </si>
  <si>
    <t>その他の収入</t>
    <rPh sb="2" eb="3">
      <t>タ</t>
    </rPh>
    <rPh sb="4" eb="6">
      <t>シュウニュウ</t>
    </rPh>
    <phoneticPr fontId="3"/>
  </si>
  <si>
    <t>千円　（Ｃ）</t>
    <rPh sb="0" eb="2">
      <t>センエン</t>
    </rPh>
    <phoneticPr fontId="3"/>
  </si>
  <si>
    <t>４．令和5年度短期標準報酬等合計額総額の見込額（③＋⑥）</t>
    <rPh sb="2" eb="3">
      <t>レイ</t>
    </rPh>
    <rPh sb="3" eb="4">
      <t>ワ</t>
    </rPh>
    <rPh sb="5" eb="6">
      <t>ネン</t>
    </rPh>
    <rPh sb="6" eb="7">
      <t>ド</t>
    </rPh>
    <rPh sb="7" eb="9">
      <t>タンキ</t>
    </rPh>
    <rPh sb="9" eb="11">
      <t>ヒョウジュン</t>
    </rPh>
    <rPh sb="11" eb="13">
      <t>ホウシュウ</t>
    </rPh>
    <rPh sb="13" eb="14">
      <t>トウ</t>
    </rPh>
    <rPh sb="14" eb="16">
      <t>ゴウケイ</t>
    </rPh>
    <rPh sb="16" eb="17">
      <t>ガク</t>
    </rPh>
    <rPh sb="17" eb="19">
      <t>ソウガク</t>
    </rPh>
    <rPh sb="20" eb="22">
      <t>ミコミ</t>
    </rPh>
    <rPh sb="22" eb="23">
      <t>ガク</t>
    </rPh>
    <phoneticPr fontId="3"/>
  </si>
  <si>
    <t>千円　（Ｄ）</t>
    <rPh sb="0" eb="2">
      <t>センエン</t>
    </rPh>
    <phoneticPr fontId="3"/>
  </si>
  <si>
    <t>千円　①</t>
    <rPh sb="0" eb="2">
      <t>センエン</t>
    </rPh>
    <phoneticPr fontId="3"/>
  </si>
  <si>
    <t>掛金・負担金免除者の標準報酬月額総額</t>
    <rPh sb="0" eb="2">
      <t>カケキン</t>
    </rPh>
    <rPh sb="3" eb="6">
      <t>フタンキン</t>
    </rPh>
    <rPh sb="6" eb="8">
      <t>メンジョ</t>
    </rPh>
    <rPh sb="8" eb="9">
      <t>シャ</t>
    </rPh>
    <rPh sb="10" eb="12">
      <t>ヒョウジュン</t>
    </rPh>
    <rPh sb="12" eb="14">
      <t>ホウシュウ</t>
    </rPh>
    <rPh sb="14" eb="16">
      <t>ゲツガク</t>
    </rPh>
    <rPh sb="16" eb="18">
      <t>ソウガク</t>
    </rPh>
    <phoneticPr fontId="3"/>
  </si>
  <si>
    <t>千円　②</t>
    <rPh sb="0" eb="2">
      <t>センエン</t>
    </rPh>
    <phoneticPr fontId="3"/>
  </si>
  <si>
    <t>①－②＝</t>
    <phoneticPr fontId="3"/>
  </si>
  <si>
    <t>千円　③</t>
    <rPh sb="0" eb="2">
      <t>センエン</t>
    </rPh>
    <phoneticPr fontId="3"/>
  </si>
  <si>
    <t>標準期末手当等総額</t>
    <rPh sb="0" eb="2">
      <t>ヒョウジュン</t>
    </rPh>
    <rPh sb="2" eb="4">
      <t>キマツ</t>
    </rPh>
    <rPh sb="4" eb="7">
      <t>テアテトウ</t>
    </rPh>
    <rPh sb="7" eb="9">
      <t>ソウガク</t>
    </rPh>
    <phoneticPr fontId="3"/>
  </si>
  <si>
    <t>千円　④</t>
    <rPh sb="0" eb="2">
      <t>センエン</t>
    </rPh>
    <phoneticPr fontId="3"/>
  </si>
  <si>
    <t>掛金・負担金免除者の標準期末手当等総額</t>
    <rPh sb="0" eb="2">
      <t>カケキン</t>
    </rPh>
    <rPh sb="3" eb="6">
      <t>フタンキン</t>
    </rPh>
    <rPh sb="6" eb="8">
      <t>メンジョ</t>
    </rPh>
    <rPh sb="8" eb="9">
      <t>シャ</t>
    </rPh>
    <rPh sb="10" eb="12">
      <t>ヒョウジュン</t>
    </rPh>
    <rPh sb="12" eb="14">
      <t>キマツ</t>
    </rPh>
    <rPh sb="14" eb="16">
      <t>テアテ</t>
    </rPh>
    <rPh sb="16" eb="17">
      <t>トウ</t>
    </rPh>
    <rPh sb="17" eb="19">
      <t>ソウガク</t>
    </rPh>
    <phoneticPr fontId="3"/>
  </si>
  <si>
    <t>千円　⑤</t>
    <rPh sb="0" eb="2">
      <t>センエン</t>
    </rPh>
    <phoneticPr fontId="3"/>
  </si>
  <si>
    <t>④－⑤＝</t>
    <phoneticPr fontId="3"/>
  </si>
  <si>
    <t>千円　⑥</t>
    <rPh sb="0" eb="2">
      <t>センエン</t>
    </rPh>
    <phoneticPr fontId="3"/>
  </si>
  <si>
    <t>５．短期標準報酬等合計額総額により算定した財源率</t>
    <rPh sb="8" eb="9">
      <t>トウ</t>
    </rPh>
    <rPh sb="9" eb="11">
      <t>ゴウケイ</t>
    </rPh>
    <rPh sb="11" eb="12">
      <t>ガク</t>
    </rPh>
    <phoneticPr fontId="3"/>
  </si>
  <si>
    <t>+</t>
    <phoneticPr fontId="3"/>
  </si>
  <si>
    <t>－</t>
    <phoneticPr fontId="3"/>
  </si>
  <si>
    <t>×１，０００</t>
    <phoneticPr fontId="3"/>
  </si>
  <si>
    <t>＝</t>
    <phoneticPr fontId="3"/>
  </si>
  <si>
    <t>‰</t>
    <phoneticPr fontId="3"/>
  </si>
  <si>
    <t>≒</t>
    <phoneticPr fontId="3"/>
  </si>
  <si>
    <t>‰　（Ｅ）</t>
    <phoneticPr fontId="3"/>
  </si>
  <si>
    <t>６．調整交付金率及び額</t>
    <rPh sb="2" eb="4">
      <t>チョウセイ</t>
    </rPh>
    <rPh sb="4" eb="7">
      <t>コウフキン</t>
    </rPh>
    <rPh sb="7" eb="8">
      <t>リツ</t>
    </rPh>
    <rPh sb="8" eb="9">
      <t>オヨ</t>
    </rPh>
    <rPh sb="10" eb="11">
      <t>ガク</t>
    </rPh>
    <phoneticPr fontId="3"/>
  </si>
  <si>
    <t>　　所要財源率</t>
    <rPh sb="2" eb="4">
      <t>ショヨウ</t>
    </rPh>
    <rPh sb="4" eb="6">
      <t>ザイゲン</t>
    </rPh>
    <rPh sb="6" eb="7">
      <t>リツ</t>
    </rPh>
    <phoneticPr fontId="3"/>
  </si>
  <si>
    <t>×１，０００　</t>
    <phoneticPr fontId="3"/>
  </si>
  <si>
    <t>‰　（Ｆ）</t>
    <phoneticPr fontId="3"/>
  </si>
  <si>
    <t>※小数点第３位以下切り上げ</t>
    <rPh sb="1" eb="4">
      <t>ショウスウテン</t>
    </rPh>
    <rPh sb="4" eb="5">
      <t>ダイ</t>
    </rPh>
    <rPh sb="6" eb="7">
      <t>イ</t>
    </rPh>
    <rPh sb="7" eb="9">
      <t>イカ</t>
    </rPh>
    <rPh sb="9" eb="10">
      <t>キ</t>
    </rPh>
    <rPh sb="11" eb="12">
      <t>ア</t>
    </rPh>
    <phoneticPr fontId="3"/>
  </si>
  <si>
    <t>　　調整基準率</t>
    <rPh sb="2" eb="4">
      <t>チョウセイ</t>
    </rPh>
    <rPh sb="4" eb="6">
      <t>キジュン</t>
    </rPh>
    <rPh sb="6" eb="7">
      <t>リツ</t>
    </rPh>
    <phoneticPr fontId="3"/>
  </si>
  <si>
    <t>所要掛金の率〔（Ｆ）×１／２〕＝</t>
    <rPh sb="0" eb="2">
      <t>ショヨウ</t>
    </rPh>
    <rPh sb="2" eb="4">
      <t>カケキン</t>
    </rPh>
    <rPh sb="5" eb="6">
      <t>リツ</t>
    </rPh>
    <phoneticPr fontId="3"/>
  </si>
  <si>
    <t>‰　（G）</t>
    <phoneticPr fontId="3"/>
  </si>
  <si>
    <t>調整交付金率</t>
    <rPh sb="0" eb="2">
      <t>チョウセイ</t>
    </rPh>
    <rPh sb="2" eb="5">
      <t>コウフキン</t>
    </rPh>
    <rPh sb="5" eb="6">
      <t>リツ</t>
    </rPh>
    <phoneticPr fontId="3"/>
  </si>
  <si>
    <t>調整交付金額</t>
    <rPh sb="0" eb="2">
      <t>チョウセイ</t>
    </rPh>
    <rPh sb="2" eb="4">
      <t>コウフ</t>
    </rPh>
    <rPh sb="4" eb="6">
      <t>キンガク</t>
    </rPh>
    <phoneticPr fontId="3"/>
  </si>
  <si>
    <t>船員組合員の標準報酬等合計額</t>
    <rPh sb="0" eb="2">
      <t>センイン</t>
    </rPh>
    <rPh sb="2" eb="5">
      <t>クミアイイン</t>
    </rPh>
    <rPh sb="6" eb="8">
      <t>ヒョウジュン</t>
    </rPh>
    <rPh sb="8" eb="10">
      <t>ホウシュウ</t>
    </rPh>
    <rPh sb="10" eb="11">
      <t>トウ</t>
    </rPh>
    <rPh sb="11" eb="13">
      <t>ゴウケイ</t>
    </rPh>
    <rPh sb="13" eb="14">
      <t>ガク</t>
    </rPh>
    <phoneticPr fontId="3"/>
  </si>
  <si>
    <t>（</t>
    <phoneticPr fontId="3"/>
  </si>
  <si>
    <t>千円  (D)</t>
    <rPh sb="0" eb="2">
      <t>センエン</t>
    </rPh>
    <phoneticPr fontId="3"/>
  </si>
  <si>
    <t>千円）</t>
    <rPh sb="0" eb="2">
      <t>センエン</t>
    </rPh>
    <phoneticPr fontId="3"/>
  </si>
  <si>
    <t>×</t>
    <phoneticPr fontId="3"/>
  </si>
  <si>
    <t>／１，０００</t>
    <phoneticPr fontId="3"/>
  </si>
  <si>
    <t>７．特別調整交付金率及び額</t>
    <rPh sb="2" eb="4">
      <t>トクベツ</t>
    </rPh>
    <rPh sb="4" eb="6">
      <t>チョウセイ</t>
    </rPh>
    <rPh sb="6" eb="9">
      <t>コウフキン</t>
    </rPh>
    <rPh sb="9" eb="10">
      <t>リツ</t>
    </rPh>
    <rPh sb="10" eb="11">
      <t>オヨ</t>
    </rPh>
    <rPh sb="12" eb="13">
      <t>ガク</t>
    </rPh>
    <phoneticPr fontId="3"/>
  </si>
  <si>
    <t>　　特別調整基準率</t>
    <rPh sb="2" eb="4">
      <t>トクベツ</t>
    </rPh>
    <rPh sb="4" eb="6">
      <t>チョウセイ</t>
    </rPh>
    <rPh sb="6" eb="8">
      <t>キジュン</t>
    </rPh>
    <rPh sb="8" eb="9">
      <t>リツ</t>
    </rPh>
    <phoneticPr fontId="3"/>
  </si>
  <si>
    <t>特別調整交付金率</t>
    <rPh sb="0" eb="2">
      <t>トクベツ</t>
    </rPh>
    <rPh sb="2" eb="4">
      <t>チョウセイ</t>
    </rPh>
    <rPh sb="4" eb="7">
      <t>コウフキン</t>
    </rPh>
    <rPh sb="7" eb="8">
      <t>リツ</t>
    </rPh>
    <phoneticPr fontId="3"/>
  </si>
  <si>
    <t>特別調整交付金額</t>
    <rPh sb="0" eb="2">
      <t>トクベツ</t>
    </rPh>
    <rPh sb="2" eb="4">
      <t>チョウセイ</t>
    </rPh>
    <rPh sb="4" eb="6">
      <t>コウフ</t>
    </rPh>
    <rPh sb="6" eb="8">
      <t>キンガク</t>
    </rPh>
    <phoneticPr fontId="3"/>
  </si>
  <si>
    <r>
      <t>千円</t>
    </r>
    <r>
      <rPr>
        <sz val="11"/>
        <color theme="1"/>
        <rFont val="游ゴシック"/>
        <family val="2"/>
        <charset val="128"/>
        <scheme val="minor"/>
      </rPr>
      <t xml:space="preserve"> </t>
    </r>
    <r>
      <rPr>
        <sz val="11"/>
        <color theme="1"/>
        <rFont val="游ゴシック"/>
        <family val="2"/>
        <charset val="128"/>
        <scheme val="minor"/>
      </rPr>
      <t>(</t>
    </r>
    <r>
      <rPr>
        <sz val="11"/>
        <color theme="1"/>
        <rFont val="游ゴシック"/>
        <family val="2"/>
        <charset val="128"/>
        <scheme val="minor"/>
      </rPr>
      <t>D)</t>
    </r>
    <r>
      <rPr>
        <sz val="11"/>
        <color theme="1"/>
        <rFont val="游ゴシック"/>
        <family val="2"/>
        <charset val="128"/>
        <scheme val="minor"/>
      </rPr>
      <t>×</t>
    </r>
    <rPh sb="0" eb="2">
      <t>センエン</t>
    </rPh>
    <phoneticPr fontId="3"/>
  </si>
  <si>
    <t>／１，０００　</t>
    <phoneticPr fontId="3"/>
  </si>
  <si>
    <t>【財源率内訳】</t>
    <rPh sb="1" eb="3">
      <t>ザイゲン</t>
    </rPh>
    <rPh sb="3" eb="4">
      <t>リツ</t>
    </rPh>
    <rPh sb="4" eb="6">
      <t>ウチワケ</t>
    </rPh>
    <phoneticPr fontId="3"/>
  </si>
  <si>
    <t>財源率</t>
    <rPh sb="0" eb="2">
      <t>ザイゲン</t>
    </rPh>
    <rPh sb="2" eb="3">
      <t>リツ</t>
    </rPh>
    <phoneticPr fontId="3"/>
  </si>
  <si>
    <t>負担金率</t>
    <rPh sb="0" eb="3">
      <t>フタンキン</t>
    </rPh>
    <rPh sb="3" eb="4">
      <t>リツ</t>
    </rPh>
    <phoneticPr fontId="3"/>
  </si>
  <si>
    <t>掛金率</t>
    <rPh sb="0" eb="2">
      <t>カケキン</t>
    </rPh>
    <rPh sb="2" eb="3">
      <t>リツ</t>
    </rPh>
    <phoneticPr fontId="3"/>
  </si>
  <si>
    <t>出産育児交付金</t>
    <rPh sb="0" eb="2">
      <t>シュッサン</t>
    </rPh>
    <rPh sb="2" eb="4">
      <t>イクジ</t>
    </rPh>
    <rPh sb="4" eb="7">
      <t>コウフキン</t>
    </rPh>
    <phoneticPr fontId="2"/>
  </si>
  <si>
    <t xml:space="preserve"> </t>
    <phoneticPr fontId="3"/>
  </si>
  <si>
    <t xml:space="preserve"> </t>
    <phoneticPr fontId="3"/>
  </si>
  <si>
    <t xml:space="preserve"> </t>
    <phoneticPr fontId="3"/>
  </si>
  <si>
    <t>1+2</t>
    <phoneticPr fontId="3"/>
  </si>
  <si>
    <t>令和6年度</t>
    <rPh sb="0" eb="2">
      <t>レイワ</t>
    </rPh>
    <rPh sb="3" eb="5">
      <t>ネンド</t>
    </rPh>
    <phoneticPr fontId="3"/>
  </si>
  <si>
    <t>6月短期組合員数合計</t>
    <rPh sb="1" eb="2">
      <t>ガツ</t>
    </rPh>
    <rPh sb="2" eb="4">
      <t>タンキ</t>
    </rPh>
    <rPh sb="4" eb="7">
      <t>クミアイイン</t>
    </rPh>
    <rPh sb="7" eb="8">
      <t>スウ</t>
    </rPh>
    <rPh sb="8" eb="10">
      <t>ゴウケイ</t>
    </rPh>
    <phoneticPr fontId="3"/>
  </si>
  <si>
    <t>12月短期組合員数合計</t>
    <rPh sb="2" eb="3">
      <t>ガツ</t>
    </rPh>
    <rPh sb="3" eb="5">
      <t>タンキ</t>
    </rPh>
    <rPh sb="5" eb="8">
      <t>クミアイイン</t>
    </rPh>
    <rPh sb="8" eb="9">
      <t>スウ</t>
    </rPh>
    <rPh sb="9" eb="11">
      <t>ゴウケイ</t>
    </rPh>
    <phoneticPr fontId="3"/>
  </si>
  <si>
    <t>3月短期組合員数合計</t>
    <rPh sb="1" eb="2">
      <t>ガツ</t>
    </rPh>
    <rPh sb="2" eb="4">
      <t>タンキ</t>
    </rPh>
    <rPh sb="4" eb="7">
      <t>クミアイイン</t>
    </rPh>
    <rPh sb="7" eb="8">
      <t>スウ</t>
    </rPh>
    <rPh sb="8" eb="10">
      <t>ゴウケイ</t>
    </rPh>
    <phoneticPr fontId="3"/>
  </si>
  <si>
    <t>R5年度予想：主に基幹システム抽出のエクセルデータを参考</t>
    <rPh sb="2" eb="4">
      <t>ネンド</t>
    </rPh>
    <rPh sb="4" eb="6">
      <t>ヨソウ</t>
    </rPh>
    <phoneticPr fontId="3"/>
  </si>
  <si>
    <t>②病院機構（短期組合員）</t>
    <rPh sb="1" eb="3">
      <t>ビョウイン</t>
    </rPh>
    <rPh sb="3" eb="5">
      <t>キコウ</t>
    </rPh>
    <rPh sb="6" eb="8">
      <t>タンキ</t>
    </rPh>
    <rPh sb="8" eb="11">
      <t>クミアイイン</t>
    </rPh>
    <phoneticPr fontId="3"/>
  </si>
  <si>
    <t>①</t>
    <phoneticPr fontId="3"/>
  </si>
  <si>
    <t>①</t>
    <phoneticPr fontId="3"/>
  </si>
  <si>
    <t>（21人）</t>
    <rPh sb="3" eb="4">
      <t>ニン</t>
    </rPh>
    <phoneticPr fontId="3"/>
  </si>
  <si>
    <t>②</t>
    <phoneticPr fontId="3"/>
  </si>
  <si>
    <t>（15人）</t>
    <rPh sb="3" eb="4">
      <t>ニン</t>
    </rPh>
    <phoneticPr fontId="3"/>
  </si>
  <si>
    <t>③</t>
    <phoneticPr fontId="3"/>
  </si>
  <si>
    <t>③</t>
    <phoneticPr fontId="3"/>
  </si>
  <si>
    <t>④</t>
    <phoneticPr fontId="3"/>
  </si>
  <si>
    <t>4月採用</t>
    <rPh sb="1" eb="2">
      <t>ガツ</t>
    </rPh>
    <rPh sb="2" eb="4">
      <t>サイヨウ</t>
    </rPh>
    <phoneticPr fontId="3"/>
  </si>
  <si>
    <t>④</t>
    <phoneticPr fontId="3"/>
  </si>
  <si>
    <t>⑤</t>
    <phoneticPr fontId="3"/>
  </si>
  <si>
    <t>⑤</t>
    <phoneticPr fontId="3"/>
  </si>
  <si>
    <t>⑥</t>
    <phoneticPr fontId="3"/>
  </si>
  <si>
    <t>①-②-③+④+⑤+⑥</t>
    <phoneticPr fontId="3"/>
  </si>
  <si>
    <t>④専従・病院以外の一般</t>
    <rPh sb="1" eb="3">
      <t>センジュウ</t>
    </rPh>
    <rPh sb="4" eb="6">
      <t>ビョウイン</t>
    </rPh>
    <rPh sb="6" eb="8">
      <t>イガイ</t>
    </rPh>
    <rPh sb="9" eb="11">
      <t>イッパン</t>
    </rPh>
    <phoneticPr fontId="3"/>
  </si>
  <si>
    <t>⑤専従・病院以外の短期組合員</t>
    <rPh sb="1" eb="3">
      <t>センジュウ</t>
    </rPh>
    <rPh sb="4" eb="6">
      <t>ビョウイン</t>
    </rPh>
    <rPh sb="6" eb="8">
      <t>イガイ</t>
    </rPh>
    <rPh sb="9" eb="11">
      <t>タンキ</t>
    </rPh>
    <rPh sb="11" eb="14">
      <t>クミアイイン</t>
    </rPh>
    <phoneticPr fontId="3"/>
  </si>
  <si>
    <t>⑥任意継続</t>
    <rPh sb="1" eb="3">
      <t>ニンイ</t>
    </rPh>
    <rPh sb="3" eb="5">
      <t>ケイゾク</t>
    </rPh>
    <phoneticPr fontId="3"/>
  </si>
  <si>
    <t>①</t>
    <phoneticPr fontId="3"/>
  </si>
  <si>
    <t>後期高齢者</t>
    <phoneticPr fontId="3"/>
  </si>
  <si>
    <t>（172人）</t>
    <rPh sb="4" eb="5">
      <t>ニン</t>
    </rPh>
    <phoneticPr fontId="3"/>
  </si>
  <si>
    <t>②</t>
    <phoneticPr fontId="3"/>
  </si>
  <si>
    <t>②</t>
    <phoneticPr fontId="3"/>
  </si>
  <si>
    <t>支援金</t>
    <phoneticPr fontId="3"/>
  </si>
  <si>
    <t>③</t>
    <phoneticPr fontId="3"/>
  </si>
  <si>
    <t>④</t>
    <phoneticPr fontId="3"/>
  </si>
  <si>
    <t xml:space="preserve">①-②+③ </t>
    <phoneticPr fontId="3"/>
  </si>
  <si>
    <t>⑤</t>
    <phoneticPr fontId="3"/>
  </si>
  <si>
    <t>⑥</t>
    <phoneticPr fontId="3"/>
  </si>
  <si>
    <t>⑦</t>
    <phoneticPr fontId="3"/>
  </si>
  <si>
    <t>①-②-③+④+⑤+⑥+⑦</t>
    <phoneticPr fontId="3"/>
  </si>
  <si>
    <t xml:space="preserve"> </t>
    <phoneticPr fontId="3"/>
  </si>
  <si>
    <t xml:space="preserve"> </t>
    <phoneticPr fontId="3"/>
  </si>
  <si>
    <t>★短期任継還付額</t>
    <rPh sb="1" eb="3">
      <t>タンキ</t>
    </rPh>
    <rPh sb="3" eb="4">
      <t>ニン</t>
    </rPh>
    <rPh sb="5" eb="7">
      <t>カンプ</t>
    </rPh>
    <rPh sb="7" eb="8">
      <t>ガク</t>
    </rPh>
    <phoneticPr fontId="3"/>
  </si>
  <si>
    <t>還付額</t>
    <rPh sb="0" eb="2">
      <t>カンプ</t>
    </rPh>
    <rPh sb="2" eb="3">
      <t>ガク</t>
    </rPh>
    <phoneticPr fontId="3"/>
  </si>
  <si>
    <t>４月</t>
    <rPh sb="1" eb="2">
      <t>ガツ</t>
    </rPh>
    <phoneticPr fontId="3"/>
  </si>
  <si>
    <t>５月</t>
  </si>
  <si>
    <t>６月</t>
  </si>
  <si>
    <t>７月</t>
  </si>
  <si>
    <t>８月</t>
  </si>
  <si>
    <t>９月</t>
  </si>
  <si>
    <t>１０月</t>
  </si>
  <si>
    <t>１１月</t>
  </si>
  <si>
    <t>１２月</t>
  </si>
  <si>
    <t>１月</t>
  </si>
  <si>
    <t>２月</t>
  </si>
  <si>
    <t>３月</t>
  </si>
  <si>
    <t>年度計</t>
    <rPh sb="0" eb="2">
      <t>ネンド</t>
    </rPh>
    <rPh sb="2" eb="3">
      <t>ケイ</t>
    </rPh>
    <phoneticPr fontId="3"/>
  </si>
  <si>
    <r>
      <t xml:space="preserve">合計
</t>
    </r>
    <r>
      <rPr>
        <sz val="9"/>
        <rFont val="ＭＳ Ｐゴシック"/>
        <family val="3"/>
        <charset val="128"/>
      </rPr>
      <t>(免除前)</t>
    </r>
    <rPh sb="0" eb="2">
      <t>ゴウケイ</t>
    </rPh>
    <rPh sb="4" eb="6">
      <t>メンジョ</t>
    </rPh>
    <rPh sb="6" eb="7">
      <t>マエ</t>
    </rPh>
    <phoneticPr fontId="3"/>
  </si>
  <si>
    <t>任継</t>
    <rPh sb="0" eb="1">
      <t>ニン</t>
    </rPh>
    <phoneticPr fontId="3"/>
  </si>
  <si>
    <t>※赤字は、便宜上＋－1を調整したところ</t>
    <rPh sb="1" eb="3">
      <t>アカジ</t>
    </rPh>
    <rPh sb="5" eb="7">
      <t>ベンギ</t>
    </rPh>
    <rPh sb="7" eb="8">
      <t>ジョウ</t>
    </rPh>
    <rPh sb="12" eb="14">
      <t>チョウセイ</t>
    </rPh>
    <phoneticPr fontId="3"/>
  </si>
  <si>
    <t>短期経理</t>
    <rPh sb="0" eb="2">
      <t>タンキ</t>
    </rPh>
    <rPh sb="2" eb="4">
      <t>ケイリ</t>
    </rPh>
    <phoneticPr fontId="3"/>
  </si>
  <si>
    <t>収入の内容</t>
    <rPh sb="0" eb="2">
      <t>シュウニュウ</t>
    </rPh>
    <rPh sb="3" eb="5">
      <t>ナイヨウ</t>
    </rPh>
    <phoneticPr fontId="3"/>
  </si>
  <si>
    <t>R4.4～R4.12収入実績</t>
    <rPh sb="10" eb="12">
      <t>シュウニュウ</t>
    </rPh>
    <rPh sb="12" eb="14">
      <t>ジッセキ</t>
    </rPh>
    <phoneticPr fontId="3"/>
  </si>
  <si>
    <t>R4.1～3月収入見込</t>
    <rPh sb="6" eb="7">
      <t>ガツ</t>
    </rPh>
    <rPh sb="7" eb="9">
      <t>シュウニュウ</t>
    </rPh>
    <rPh sb="9" eb="11">
      <t>ミコ</t>
    </rPh>
    <phoneticPr fontId="3"/>
  </si>
  <si>
    <t>4年度計</t>
    <rPh sb="1" eb="3">
      <t>ネンド</t>
    </rPh>
    <rPh sb="3" eb="4">
      <t>ケイ</t>
    </rPh>
    <phoneticPr fontId="3"/>
  </si>
  <si>
    <t>掛金負担金（公的・調整含む）</t>
    <rPh sb="0" eb="2">
      <t>カケキン</t>
    </rPh>
    <rPh sb="2" eb="5">
      <t>フタンキン</t>
    </rPh>
    <rPh sb="6" eb="8">
      <t>コウテキ</t>
    </rPh>
    <rPh sb="9" eb="11">
      <t>チョウセイ</t>
    </rPh>
    <rPh sb="11" eb="12">
      <t>フク</t>
    </rPh>
    <phoneticPr fontId="3"/>
  </si>
  <si>
    <t>支出の内容</t>
    <rPh sb="0" eb="2">
      <t>シシュツ</t>
    </rPh>
    <rPh sb="3" eb="5">
      <t>ナイヨウ</t>
    </rPh>
    <phoneticPr fontId="3"/>
  </si>
  <si>
    <t>保健経理</t>
    <rPh sb="0" eb="2">
      <t>ホケン</t>
    </rPh>
    <rPh sb="2" eb="4">
      <t>ケイリ</t>
    </rPh>
    <phoneticPr fontId="3"/>
  </si>
  <si>
    <t>連合会分担金</t>
    <rPh sb="0" eb="3">
      <t>レンゴウカイ</t>
    </rPh>
    <rPh sb="3" eb="6">
      <t>ブンタンキン</t>
    </rPh>
    <phoneticPr fontId="3"/>
  </si>
  <si>
    <t>保健事業に係る分担金</t>
    <rPh sb="0" eb="2">
      <t>ホケン</t>
    </rPh>
    <rPh sb="2" eb="4">
      <t>ジギョウ</t>
    </rPh>
    <rPh sb="5" eb="6">
      <t>カカ</t>
    </rPh>
    <rPh sb="7" eb="10">
      <t>ブンタンキン</t>
    </rPh>
    <phoneticPr fontId="3"/>
  </si>
  <si>
    <t>掛金負担金</t>
    <rPh sb="0" eb="2">
      <t>カケキン</t>
    </rPh>
    <rPh sb="2" eb="5">
      <t>フタンキン</t>
    </rPh>
    <phoneticPr fontId="3"/>
  </si>
  <si>
    <t>平均給料改定率</t>
    <rPh sb="0" eb="2">
      <t>ヘイキン</t>
    </rPh>
    <rPh sb="2" eb="4">
      <t>キュウリョウ</t>
    </rPh>
    <rPh sb="4" eb="6">
      <t>カイテイ</t>
    </rPh>
    <rPh sb="6" eb="7">
      <t>リツ</t>
    </rPh>
    <phoneticPr fontId="3"/>
  </si>
  <si>
    <t>（12月差額）</t>
    <phoneticPr fontId="3"/>
  </si>
  <si>
    <t>↑うち、病院労組</t>
    <rPh sb="4" eb="6">
      <t>ビョウイン</t>
    </rPh>
    <rPh sb="6" eb="8">
      <t>ロウソ</t>
    </rPh>
    <phoneticPr fontId="3"/>
  </si>
  <si>
    <t>●6月・12月は各任命権者からの報告書より実績。</t>
    <rPh sb="2" eb="3">
      <t>ガツ</t>
    </rPh>
    <rPh sb="8" eb="9">
      <t>カク</t>
    </rPh>
    <rPh sb="9" eb="12">
      <t>ニンメイケン</t>
    </rPh>
    <rPh sb="12" eb="13">
      <t>シャ</t>
    </rPh>
    <rPh sb="16" eb="18">
      <t>ホウコク</t>
    </rPh>
    <rPh sb="18" eb="19">
      <t>ショ</t>
    </rPh>
    <rPh sb="21" eb="23">
      <t>ジッセキ</t>
    </rPh>
    <phoneticPr fontId="3"/>
  </si>
  <si>
    <t>●市長・特別職は別表より。</t>
    <phoneticPr fontId="3"/>
  </si>
  <si>
    <t>★拠出金等の対標準報酬・標準期末（概況に載る）</t>
    <rPh sb="1" eb="3">
      <t>キョシュツ</t>
    </rPh>
    <rPh sb="3" eb="4">
      <t>キン</t>
    </rPh>
    <rPh sb="4" eb="5">
      <t>ナド</t>
    </rPh>
    <rPh sb="6" eb="7">
      <t>タイ</t>
    </rPh>
    <rPh sb="7" eb="9">
      <t>ヒョウジュン</t>
    </rPh>
    <rPh sb="9" eb="11">
      <t>ホウシュウ</t>
    </rPh>
    <rPh sb="12" eb="14">
      <t>ヒョウジュン</t>
    </rPh>
    <rPh sb="14" eb="16">
      <t>キマツ</t>
    </rPh>
    <rPh sb="17" eb="19">
      <t>ガイキョウ</t>
    </rPh>
    <rPh sb="20" eb="21">
      <t>ノ</t>
    </rPh>
    <phoneticPr fontId="3"/>
  </si>
  <si>
    <t>標準報酬月額
年間総額</t>
    <rPh sb="0" eb="2">
      <t>ヒョウジュン</t>
    </rPh>
    <rPh sb="2" eb="4">
      <t>ホウシュウ</t>
    </rPh>
    <rPh sb="4" eb="6">
      <t>ゲツガク</t>
    </rPh>
    <rPh sb="7" eb="9">
      <t>ネンカン</t>
    </rPh>
    <rPh sb="9" eb="11">
      <t>ソウガク</t>
    </rPh>
    <phoneticPr fontId="3"/>
  </si>
  <si>
    <t>前期高齢者</t>
    <phoneticPr fontId="3"/>
  </si>
  <si>
    <t>後期高齢者</t>
    <phoneticPr fontId="3"/>
  </si>
  <si>
    <t>支援金</t>
    <phoneticPr fontId="3"/>
  </si>
  <si>
    <t>免除者</t>
    <rPh sb="0" eb="3">
      <t>メンジョシャ</t>
    </rPh>
    <phoneticPr fontId="3"/>
  </si>
  <si>
    <t>賞与</t>
    <rPh sb="0" eb="2">
      <t>ショウヨ</t>
    </rPh>
    <phoneticPr fontId="3"/>
  </si>
  <si>
    <t>基幹システム出力帳票（※）の数字を利用した掛金免除者分の数字を使う場合はここ</t>
    <rPh sb="0" eb="2">
      <t>キカン</t>
    </rPh>
    <rPh sb="6" eb="8">
      <t>シュツリョク</t>
    </rPh>
    <rPh sb="8" eb="10">
      <t>チョウヒョウ</t>
    </rPh>
    <rPh sb="14" eb="16">
      <t>スウジ</t>
    </rPh>
    <rPh sb="17" eb="19">
      <t>リヨウ</t>
    </rPh>
    <rPh sb="21" eb="23">
      <t>カケキン</t>
    </rPh>
    <rPh sb="23" eb="26">
      <t>メンジョシャ</t>
    </rPh>
    <rPh sb="26" eb="27">
      <t>ブン</t>
    </rPh>
    <rPh sb="28" eb="30">
      <t>スウジ</t>
    </rPh>
    <rPh sb="31" eb="32">
      <t>ツカ</t>
    </rPh>
    <rPh sb="33" eb="35">
      <t>バアイ</t>
    </rPh>
    <phoneticPr fontId="3"/>
  </si>
  <si>
    <t>4介護　賞与実績</t>
    <rPh sb="1" eb="3">
      <t>カイゴ</t>
    </rPh>
    <rPh sb="4" eb="6">
      <t>ショウヨ</t>
    </rPh>
    <rPh sb="6" eb="8">
      <t>ジッセキ</t>
    </rPh>
    <phoneticPr fontId="3"/>
  </si>
  <si>
    <t>％</t>
    <phoneticPr fontId="3"/>
  </si>
  <si>
    <t>5月</t>
    <rPh sb="1" eb="2">
      <t>ガツ</t>
    </rPh>
    <phoneticPr fontId="3"/>
  </si>
  <si>
    <t>（※）基幹システム</t>
    <rPh sb="3" eb="5">
      <t>キカン</t>
    </rPh>
    <phoneticPr fontId="3"/>
  </si>
  <si>
    <t>→諸統計・集計</t>
    <rPh sb="1" eb="2">
      <t>ショ</t>
    </rPh>
    <rPh sb="2" eb="4">
      <t>トウケイ</t>
    </rPh>
    <rPh sb="5" eb="7">
      <t>シュウケイ</t>
    </rPh>
    <phoneticPr fontId="3"/>
  </si>
  <si>
    <t>→事業報告書作成処理</t>
    <rPh sb="1" eb="3">
      <t>ジギョウ</t>
    </rPh>
    <rPh sb="3" eb="5">
      <t>ホウコク</t>
    </rPh>
    <rPh sb="5" eb="6">
      <t>ショ</t>
    </rPh>
    <rPh sb="6" eb="8">
      <t>サクセイ</t>
    </rPh>
    <rPh sb="8" eb="10">
      <t>ショリ</t>
    </rPh>
    <phoneticPr fontId="3"/>
  </si>
  <si>
    <t>→組合員数、被扶養者数、標準報酬の月額及び標準期末手当等の額集計表</t>
    <rPh sb="1" eb="4">
      <t>クミアイイン</t>
    </rPh>
    <rPh sb="4" eb="5">
      <t>スウ</t>
    </rPh>
    <rPh sb="6" eb="10">
      <t>ヒフヨウシャ</t>
    </rPh>
    <rPh sb="10" eb="11">
      <t>スウ</t>
    </rPh>
    <rPh sb="12" eb="14">
      <t>ヒョウジュン</t>
    </rPh>
    <rPh sb="14" eb="16">
      <t>ホウシュウ</t>
    </rPh>
    <rPh sb="17" eb="19">
      <t>ゲツガク</t>
    </rPh>
    <rPh sb="19" eb="20">
      <t>オヨ</t>
    </rPh>
    <rPh sb="21" eb="23">
      <t>ヒョウジュン</t>
    </rPh>
    <rPh sb="23" eb="25">
      <t>キマツ</t>
    </rPh>
    <rPh sb="25" eb="27">
      <t>テアテ</t>
    </rPh>
    <rPh sb="27" eb="28">
      <t>トウ</t>
    </rPh>
    <rPh sb="29" eb="30">
      <t>ガク</t>
    </rPh>
    <rPh sb="30" eb="32">
      <t>シュウケイ</t>
    </rPh>
    <rPh sb="32" eb="33">
      <t>ヒョウ</t>
    </rPh>
    <phoneticPr fontId="3"/>
  </si>
  <si>
    <t>5介護　差額賞与のための数値（4差額賞与実績÷4改定前賞与実績÷平均給料改定率0.261%）</t>
    <rPh sb="1" eb="3">
      <t>カイゴ</t>
    </rPh>
    <rPh sb="4" eb="6">
      <t>サガク</t>
    </rPh>
    <rPh sb="6" eb="8">
      <t>ショウヨ</t>
    </rPh>
    <rPh sb="12" eb="14">
      <t>スウチ</t>
    </rPh>
    <rPh sb="32" eb="34">
      <t>ヘイキン</t>
    </rPh>
    <rPh sb="34" eb="36">
      <t>キュウリョウ</t>
    </rPh>
    <phoneticPr fontId="3"/>
  </si>
  <si>
    <t>6月差額</t>
    <rPh sb="1" eb="2">
      <t>ガツ</t>
    </rPh>
    <rPh sb="2" eb="4">
      <t>サガク</t>
    </rPh>
    <phoneticPr fontId="3"/>
  </si>
  <si>
    <t>12月差額</t>
    <rPh sb="2" eb="3">
      <t>ガツ</t>
    </rPh>
    <rPh sb="3" eb="5">
      <t>サガク</t>
    </rPh>
    <phoneticPr fontId="3"/>
  </si>
  <si>
    <t>（月例報告総括表からの実績集計）</t>
    <rPh sb="1" eb="3">
      <t>ゲツレイ</t>
    </rPh>
    <rPh sb="3" eb="5">
      <t>ホウコク</t>
    </rPh>
    <rPh sb="5" eb="7">
      <t>ソウカツ</t>
    </rPh>
    <rPh sb="7" eb="8">
      <t>ヒョウ</t>
    </rPh>
    <rPh sb="11" eb="13">
      <t>ジッセキ</t>
    </rPh>
    <rPh sb="13" eb="15">
      <t>シュウケイ</t>
    </rPh>
    <phoneticPr fontId="3"/>
  </si>
  <si>
    <t>―</t>
  </si>
  <si>
    <t>前年実績</t>
    <rPh sb="0" eb="2">
      <t>ゼンネン</t>
    </rPh>
    <rPh sb="2" eb="4">
      <t>ジッセキ</t>
    </rPh>
    <phoneticPr fontId="3"/>
  </si>
  <si>
    <r>
      <t>負担金</t>
    </r>
    <r>
      <rPr>
        <sz val="11"/>
        <rFont val="ＭＳ ゴシック"/>
        <family val="3"/>
        <charset val="128"/>
      </rPr>
      <t>（公的負担金除く。）</t>
    </r>
    <rPh sb="0" eb="3">
      <t>フタンキン</t>
    </rPh>
    <rPh sb="4" eb="6">
      <t>コウテキ</t>
    </rPh>
    <rPh sb="6" eb="9">
      <t>フタンキン</t>
    </rPh>
    <rPh sb="9" eb="10">
      <t>ノゾ</t>
    </rPh>
    <phoneticPr fontId="3"/>
  </si>
  <si>
    <t>R3年度</t>
    <rPh sb="2" eb="4">
      <t>ネンド</t>
    </rPh>
    <phoneticPr fontId="3"/>
  </si>
  <si>
    <t>介護　掛金負担金</t>
    <rPh sb="0" eb="2">
      <t>カイゴ</t>
    </rPh>
    <rPh sb="3" eb="5">
      <t>カケキン</t>
    </rPh>
    <rPh sb="5" eb="8">
      <t>フタンキン</t>
    </rPh>
    <phoneticPr fontId="3"/>
  </si>
  <si>
    <t>標準期末手当等（差額分含む）</t>
    <rPh sb="0" eb="2">
      <t>ヒョウジュン</t>
    </rPh>
    <rPh sb="2" eb="4">
      <t>キマツ</t>
    </rPh>
    <rPh sb="4" eb="7">
      <t>テアテトウ</t>
    </rPh>
    <rPh sb="8" eb="10">
      <t>サガク</t>
    </rPh>
    <rPh sb="10" eb="11">
      <t>ブン</t>
    </rPh>
    <rPh sb="11" eb="12">
      <t>フク</t>
    </rPh>
    <phoneticPr fontId="3"/>
  </si>
  <si>
    <t>（専従除く）</t>
    <rPh sb="1" eb="3">
      <t>センジュウ</t>
    </rPh>
    <rPh sb="3" eb="4">
      <t>ノゾ</t>
    </rPh>
    <phoneticPr fontId="3"/>
  </si>
  <si>
    <t>還付額実績
(R3.4～9+R2.10～3）</t>
    <rPh sb="0" eb="2">
      <t>カンプ</t>
    </rPh>
    <rPh sb="2" eb="3">
      <t>ガク</t>
    </rPh>
    <rPh sb="3" eb="5">
      <t>ジッセキ</t>
    </rPh>
    <phoneticPr fontId="3"/>
  </si>
  <si>
    <t>合計（免除前）</t>
    <rPh sb="0" eb="2">
      <t>ゴウケイ</t>
    </rPh>
    <rPh sb="3" eb="5">
      <t>メンジョ</t>
    </rPh>
    <rPh sb="5" eb="6">
      <t>マエ</t>
    </rPh>
    <phoneticPr fontId="3"/>
  </si>
  <si>
    <t>免除額</t>
    <rPh sb="0" eb="2">
      <t>メンジョ</t>
    </rPh>
    <rPh sb="2" eb="3">
      <t>ガク</t>
    </rPh>
    <phoneticPr fontId="3"/>
  </si>
  <si>
    <t>合計(免除後）</t>
    <rPh sb="0" eb="2">
      <t>ゴウケイ</t>
    </rPh>
    <rPh sb="3" eb="5">
      <t>メンジョ</t>
    </rPh>
    <rPh sb="5" eb="6">
      <t>ゴ</t>
    </rPh>
    <phoneticPr fontId="3"/>
  </si>
  <si>
    <t>負担金計</t>
    <rPh sb="0" eb="3">
      <t>フタンキン</t>
    </rPh>
    <rPh sb="3" eb="4">
      <t>ケイ</t>
    </rPh>
    <phoneticPr fontId="3"/>
  </si>
  <si>
    <t>掛金　計</t>
    <rPh sb="0" eb="2">
      <t>カケキン</t>
    </rPh>
    <rPh sb="3" eb="4">
      <t>ケイ</t>
    </rPh>
    <phoneticPr fontId="3"/>
  </si>
  <si>
    <t>任継</t>
    <rPh sb="0" eb="2">
      <t>ニンケイ</t>
    </rPh>
    <phoneticPr fontId="3"/>
  </si>
  <si>
    <t>任継以外</t>
    <rPh sb="0" eb="2">
      <t>ニンケイ</t>
    </rPh>
    <rPh sb="2" eb="4">
      <t>イガイ</t>
    </rPh>
    <phoneticPr fontId="3"/>
  </si>
  <si>
    <t>介護負担金</t>
    <rPh sb="0" eb="2">
      <t>カイゴ</t>
    </rPh>
    <rPh sb="2" eb="5">
      <t>フタンキン</t>
    </rPh>
    <phoneticPr fontId="3"/>
  </si>
  <si>
    <t>介護掛金</t>
    <rPh sb="0" eb="2">
      <t>カイゴ</t>
    </rPh>
    <rPh sb="2" eb="4">
      <t>カケキン</t>
    </rPh>
    <phoneticPr fontId="3"/>
  </si>
  <si>
    <t>任継掛金</t>
    <rPh sb="0" eb="2">
      <t>ニンケイ</t>
    </rPh>
    <rPh sb="2" eb="4">
      <t>カケガネ</t>
    </rPh>
    <phoneticPr fontId="3"/>
  </si>
  <si>
    <t>介護
掛金負担金</t>
    <rPh sb="0" eb="1">
      <t>カイ</t>
    </rPh>
    <rPh sb="1" eb="2">
      <t>ゴ</t>
    </rPh>
    <rPh sb="3" eb="5">
      <t>カケキン</t>
    </rPh>
    <rPh sb="5" eb="8">
      <t>フタンキン</t>
    </rPh>
    <phoneticPr fontId="3"/>
  </si>
  <si>
    <t>(3) 一般組合員（専従除く)</t>
    <rPh sb="4" eb="6">
      <t>イッパン</t>
    </rPh>
    <rPh sb="6" eb="9">
      <t>クミアイイン</t>
    </rPh>
    <rPh sb="10" eb="12">
      <t>センジュウ</t>
    </rPh>
    <rPh sb="12" eb="13">
      <t>ノゾ</t>
    </rPh>
    <phoneticPr fontId="3"/>
  </si>
  <si>
    <t>↓</t>
    <phoneticPr fontId="3"/>
  </si>
  <si>
    <t>6賞与（実績）</t>
    <rPh sb="1" eb="3">
      <t>ショウヨ</t>
    </rPh>
    <rPh sb="4" eb="6">
      <t>ジッセキ</t>
    </rPh>
    <phoneticPr fontId="3"/>
  </si>
  <si>
    <t>12賞与</t>
    <rPh sb="2" eb="4">
      <t>ショウヨ</t>
    </rPh>
    <phoneticPr fontId="3"/>
  </si>
  <si>
    <t xml:space="preserve">  育休・産休負担金免除</t>
    <rPh sb="2" eb="3">
      <t>イク</t>
    </rPh>
    <rPh sb="3" eb="4">
      <t>キュウ</t>
    </rPh>
    <rPh sb="5" eb="7">
      <t>サンキュウ</t>
    </rPh>
    <rPh sb="7" eb="10">
      <t>フタンキン</t>
    </rPh>
    <rPh sb="10" eb="12">
      <t>メンジョ</t>
    </rPh>
    <phoneticPr fontId="3"/>
  </si>
  <si>
    <t xml:space="preserve">  育休・産休掛金免除</t>
    <rPh sb="2" eb="3">
      <t>イク</t>
    </rPh>
    <rPh sb="3" eb="4">
      <t>キュウ</t>
    </rPh>
    <rPh sb="5" eb="7">
      <t>サンキュウ</t>
    </rPh>
    <rPh sb="7" eb="9">
      <t>カケガネ</t>
    </rPh>
    <rPh sb="9" eb="11">
      <t>メンジョ</t>
    </rPh>
    <phoneticPr fontId="3"/>
  </si>
  <si>
    <t>3賞与</t>
    <rPh sb="1" eb="3">
      <t>ショウヨ</t>
    </rPh>
    <phoneticPr fontId="3"/>
  </si>
  <si>
    <t>月例</t>
    <rPh sb="0" eb="2">
      <t>ゲツレイ</t>
    </rPh>
    <phoneticPr fontId="3"/>
  </si>
  <si>
    <t>R４年度</t>
    <rPh sb="2" eb="4">
      <t>ネンド</t>
    </rPh>
    <phoneticPr fontId="3"/>
  </si>
  <si>
    <t>還付額
（前年度見込と同額とする）</t>
    <rPh sb="0" eb="2">
      <t>カンプ</t>
    </rPh>
    <rPh sb="2" eb="3">
      <t>ガク</t>
    </rPh>
    <rPh sb="5" eb="7">
      <t>ゼンネン</t>
    </rPh>
    <rPh sb="7" eb="8">
      <t>ド</t>
    </rPh>
    <rPh sb="8" eb="10">
      <t>ミコミ</t>
    </rPh>
    <rPh sb="11" eb="13">
      <t>ドウガク</t>
    </rPh>
    <phoneticPr fontId="3"/>
  </si>
  <si>
    <r>
      <t>(3) 一般組合員</t>
    </r>
    <r>
      <rPr>
        <sz val="9"/>
        <color indexed="8"/>
        <rFont val="ＭＳ 明朝"/>
        <family val="1"/>
        <charset val="128"/>
      </rPr>
      <t>(専従除く)</t>
    </r>
    <rPh sb="4" eb="6">
      <t>イッパン</t>
    </rPh>
    <rPh sb="6" eb="9">
      <t>クミアイイン</t>
    </rPh>
    <rPh sb="10" eb="12">
      <t>センジュウ</t>
    </rPh>
    <rPh sb="12" eb="13">
      <t>ノゾ</t>
    </rPh>
    <phoneticPr fontId="3"/>
  </si>
  <si>
    <t>6賞与</t>
    <rPh sb="1" eb="3">
      <t>ショウヨ</t>
    </rPh>
    <phoneticPr fontId="3"/>
  </si>
  <si>
    <t>１　令和５年度　介護人数・標準報酬等　見込み　</t>
    <rPh sb="2" eb="4">
      <t>レイワ</t>
    </rPh>
    <rPh sb="5" eb="7">
      <t>ネンド</t>
    </rPh>
    <rPh sb="7" eb="9">
      <t>ヘイネンド</t>
    </rPh>
    <rPh sb="8" eb="10">
      <t>カイゴ</t>
    </rPh>
    <rPh sb="10" eb="12">
      <t>ニンズウ</t>
    </rPh>
    <rPh sb="13" eb="15">
      <t>ヒョウジュン</t>
    </rPh>
    <rPh sb="15" eb="17">
      <t>ホウシュウ</t>
    </rPh>
    <rPh sb="17" eb="18">
      <t>トウ</t>
    </rPh>
    <rPh sb="19" eb="21">
      <t>ミコ</t>
    </rPh>
    <phoneticPr fontId="3"/>
  </si>
  <si>
    <t>※2年度給与遡及改定平均改定率</t>
    <rPh sb="2" eb="4">
      <t>ネンド</t>
    </rPh>
    <rPh sb="4" eb="6">
      <t>キュウヨ</t>
    </rPh>
    <rPh sb="6" eb="8">
      <t>ソキュウ</t>
    </rPh>
    <rPh sb="8" eb="10">
      <t>カイテイ</t>
    </rPh>
    <rPh sb="10" eb="12">
      <t>ヘイキン</t>
    </rPh>
    <rPh sb="12" eb="14">
      <t>カイテイ</t>
    </rPh>
    <rPh sb="14" eb="15">
      <t>リツ</t>
    </rPh>
    <phoneticPr fontId="3"/>
  </si>
  <si>
    <t>人数・標準報酬月額総額
（免除者込）</t>
    <rPh sb="0" eb="2">
      <t>ニンズウ</t>
    </rPh>
    <rPh sb="3" eb="5">
      <t>ヒョウジュン</t>
    </rPh>
    <rPh sb="5" eb="7">
      <t>ホウシュウ</t>
    </rPh>
    <rPh sb="7" eb="9">
      <t>ゲツガク</t>
    </rPh>
    <rPh sb="9" eb="11">
      <t>ソウガク</t>
    </rPh>
    <rPh sb="13" eb="15">
      <t>メンジョ</t>
    </rPh>
    <rPh sb="15" eb="16">
      <t>シャ</t>
    </rPh>
    <rPh sb="16" eb="17">
      <t>コミ</t>
    </rPh>
    <phoneticPr fontId="3"/>
  </si>
  <si>
    <t>賞与支給率
（再任用）</t>
    <rPh sb="7" eb="8">
      <t>サイ</t>
    </rPh>
    <rPh sb="8" eb="10">
      <t>ニンヨウ</t>
    </rPh>
    <phoneticPr fontId="3"/>
  </si>
  <si>
    <t>賞与支給率
（再任用）</t>
    <phoneticPr fontId="3"/>
  </si>
  <si>
    <t>※9月までは月例報告より実績数字。</t>
    <rPh sb="2" eb="3">
      <t>ガツ</t>
    </rPh>
    <rPh sb="6" eb="8">
      <t>ゲツレイ</t>
    </rPh>
    <rPh sb="8" eb="10">
      <t>ホウコク</t>
    </rPh>
    <rPh sb="12" eb="14">
      <t>ジッセキ</t>
    </rPh>
    <rPh sb="14" eb="16">
      <t>スウジ</t>
    </rPh>
    <phoneticPr fontId="3"/>
  </si>
  <si>
    <t>※10月～は、（基幹システム抽出の40歳到達者）+（中途採用昨年実績）-（脱退者昨年実績）。</t>
    <rPh sb="3" eb="4">
      <t>ガツ</t>
    </rPh>
    <rPh sb="8" eb="10">
      <t>キカン</t>
    </rPh>
    <rPh sb="14" eb="16">
      <t>チュウシュツ</t>
    </rPh>
    <rPh sb="19" eb="20">
      <t>サイ</t>
    </rPh>
    <rPh sb="20" eb="22">
      <t>トウタツ</t>
    </rPh>
    <rPh sb="22" eb="23">
      <t>シャ</t>
    </rPh>
    <rPh sb="26" eb="28">
      <t>チュウト</t>
    </rPh>
    <rPh sb="28" eb="30">
      <t>サイヨウ</t>
    </rPh>
    <rPh sb="30" eb="32">
      <t>サクネン</t>
    </rPh>
    <rPh sb="32" eb="34">
      <t>ジッセキ</t>
    </rPh>
    <rPh sb="37" eb="40">
      <t>ダッタイシャ</t>
    </rPh>
    <rPh sb="40" eb="42">
      <t>サクネン</t>
    </rPh>
    <rPh sb="42" eb="44">
      <t>ジッセキ</t>
    </rPh>
    <phoneticPr fontId="3"/>
  </si>
  <si>
    <t>一般（病院）</t>
    <rPh sb="0" eb="2">
      <t>イッパン</t>
    </rPh>
    <rPh sb="3" eb="5">
      <t>ビョウイン</t>
    </rPh>
    <phoneticPr fontId="3"/>
  </si>
  <si>
    <t>一般（病院・専従以外）</t>
    <rPh sb="0" eb="2">
      <t>イッパン</t>
    </rPh>
    <rPh sb="3" eb="5">
      <t>ビョウイン</t>
    </rPh>
    <rPh sb="6" eb="8">
      <t>センジュウ</t>
    </rPh>
    <rPh sb="8" eb="10">
      <t>イガイ</t>
    </rPh>
    <phoneticPr fontId="3"/>
  </si>
  <si>
    <t>短期（病院）</t>
    <rPh sb="0" eb="2">
      <t>タンキ</t>
    </rPh>
    <rPh sb="3" eb="5">
      <t>ビョウイン</t>
    </rPh>
    <phoneticPr fontId="3"/>
  </si>
  <si>
    <t>短期（病院以外）</t>
    <rPh sb="0" eb="2">
      <t>タンキ</t>
    </rPh>
    <rPh sb="3" eb="5">
      <t>ビョウイン</t>
    </rPh>
    <rPh sb="5" eb="7">
      <t>イガイ</t>
    </rPh>
    <phoneticPr fontId="3"/>
  </si>
  <si>
    <t>40歳到達者　計</t>
    <rPh sb="2" eb="3">
      <t>サイ</t>
    </rPh>
    <rPh sb="3" eb="5">
      <t>トウタツ</t>
    </rPh>
    <rPh sb="5" eb="6">
      <t>シャ</t>
    </rPh>
    <rPh sb="7" eb="8">
      <t>ケイ</t>
    </rPh>
    <phoneticPr fontId="3"/>
  </si>
  <si>
    <t>40歳到達者見込
人数・標準報酬</t>
    <rPh sb="2" eb="3">
      <t>サイ</t>
    </rPh>
    <rPh sb="3" eb="5">
      <t>トウタツ</t>
    </rPh>
    <rPh sb="5" eb="6">
      <t>シャ</t>
    </rPh>
    <rPh sb="6" eb="8">
      <t>ミコ</t>
    </rPh>
    <rPh sb="9" eb="11">
      <t>ニンズウ</t>
    </rPh>
    <rPh sb="12" eb="14">
      <t>ヒョウジュン</t>
    </rPh>
    <rPh sb="14" eb="16">
      <t>ホウシュウ</t>
    </rPh>
    <phoneticPr fontId="3"/>
  </si>
  <si>
    <t>●6月賞与額は実績。12月は6月と支給率が同率のため、【6月一人当たり平均×12月人数見込み】とした。</t>
    <phoneticPr fontId="3"/>
  </si>
  <si>
    <t>１１月</t>
    <rPh sb="2" eb="3">
      <t>ガツ</t>
    </rPh>
    <phoneticPr fontId="3"/>
  </si>
  <si>
    <t xml:space="preserve"> ●3月は、6月実績を6月と3月の支給率と人数見込みで按分。
　例〈12月分＝6月賞与実績/6支給率/6人数⋇12支給率⋇12人数〉
</t>
    <phoneticPr fontId="3"/>
  </si>
  <si>
    <t>１２月</t>
    <rPh sb="2" eb="3">
      <t>ガツ</t>
    </rPh>
    <phoneticPr fontId="3"/>
  </si>
  <si>
    <t xml:space="preserve"> ●市長・特別職は別表より。</t>
    <phoneticPr fontId="3"/>
  </si>
  <si>
    <t>人</t>
    <rPh sb="0" eb="1">
      <t>ヒト</t>
    </rPh>
    <phoneticPr fontId="3"/>
  </si>
  <si>
    <t>★掛金免除者推計（40歳以上の産休・育休）</t>
    <rPh sb="1" eb="3">
      <t>カケキン</t>
    </rPh>
    <rPh sb="3" eb="6">
      <t>メンジョシャ</t>
    </rPh>
    <rPh sb="6" eb="8">
      <t>スイケイ</t>
    </rPh>
    <rPh sb="11" eb="12">
      <t>サイ</t>
    </rPh>
    <rPh sb="12" eb="14">
      <t>イジョウ</t>
    </rPh>
    <rPh sb="15" eb="17">
      <t>サンキュウ</t>
    </rPh>
    <rPh sb="18" eb="20">
      <t>イクキュウ</t>
    </rPh>
    <phoneticPr fontId="3"/>
  </si>
  <si>
    <t>標準期末手当等</t>
    <rPh sb="0" eb="2">
      <t>ヒョウジュン</t>
    </rPh>
    <rPh sb="2" eb="4">
      <t>キマツ</t>
    </rPh>
    <rPh sb="4" eb="6">
      <t>テアテ</t>
    </rPh>
    <rPh sb="6" eb="7">
      <t>トウ</t>
    </rPh>
    <phoneticPr fontId="3"/>
  </si>
  <si>
    <t>※基幹システムから出力した「組合員数、被扶養者数、標準報酬の月額及び標準期末手当等の額集計表」より。</t>
    <rPh sb="1" eb="3">
      <t>キカン</t>
    </rPh>
    <rPh sb="9" eb="11">
      <t>シュツリョク</t>
    </rPh>
    <rPh sb="14" eb="17">
      <t>クミアイイン</t>
    </rPh>
    <rPh sb="17" eb="18">
      <t>スウ</t>
    </rPh>
    <rPh sb="19" eb="23">
      <t>ヒフヨウシャ</t>
    </rPh>
    <rPh sb="23" eb="24">
      <t>スウ</t>
    </rPh>
    <rPh sb="25" eb="27">
      <t>ヒョウジュン</t>
    </rPh>
    <rPh sb="27" eb="29">
      <t>ホウシュウ</t>
    </rPh>
    <rPh sb="30" eb="32">
      <t>ゲツガク</t>
    </rPh>
    <rPh sb="32" eb="33">
      <t>オヨ</t>
    </rPh>
    <rPh sb="34" eb="36">
      <t>ヒョウジュン</t>
    </rPh>
    <rPh sb="36" eb="38">
      <t>キマツ</t>
    </rPh>
    <rPh sb="38" eb="40">
      <t>テアテ</t>
    </rPh>
    <rPh sb="40" eb="41">
      <t>トウ</t>
    </rPh>
    <rPh sb="42" eb="43">
      <t>ガク</t>
    </rPh>
    <rPh sb="43" eb="45">
      <t>シュウケイ</t>
    </rPh>
    <rPh sb="45" eb="46">
      <t>ヒョウ</t>
    </rPh>
    <phoneticPr fontId="3"/>
  </si>
  <si>
    <t>※4～9月標準報酬は実績。10～3月は9月と同じ額とした。賞与は、前年度と同額とした。</t>
    <phoneticPr fontId="3"/>
  </si>
  <si>
    <t>29介護　賞与実績</t>
    <rPh sb="2" eb="4">
      <t>カイゴ</t>
    </rPh>
    <rPh sb="5" eb="7">
      <t>ショウヨ</t>
    </rPh>
    <rPh sb="7" eb="9">
      <t>ジッセキ</t>
    </rPh>
    <phoneticPr fontId="3"/>
  </si>
  <si>
    <t>給与改定率</t>
    <rPh sb="0" eb="2">
      <t>キュウヨ</t>
    </rPh>
    <rPh sb="2" eb="4">
      <t>カイテイ</t>
    </rPh>
    <rPh sb="4" eb="5">
      <t>リツ</t>
    </rPh>
    <phoneticPr fontId="3"/>
  </si>
  <si>
    <t>％</t>
    <phoneticPr fontId="3"/>
  </si>
  <si>
    <t>30介護　差額賞与のための数値（29差額賞与実績÷29改定前賞与実績÷給与改定率0.12%）</t>
    <rPh sb="2" eb="4">
      <t>カイゴ</t>
    </rPh>
    <rPh sb="5" eb="7">
      <t>サガク</t>
    </rPh>
    <rPh sb="7" eb="9">
      <t>ショウヨ</t>
    </rPh>
    <rPh sb="13" eb="15">
      <t>スウチ</t>
    </rPh>
    <phoneticPr fontId="3"/>
  </si>
  <si>
    <t>令和</t>
    <rPh sb="0" eb="2">
      <t>レイワ</t>
    </rPh>
    <phoneticPr fontId="3"/>
  </si>
  <si>
    <t>年度　【介護】</t>
    <rPh sb="0" eb="2">
      <t>ネンド</t>
    </rPh>
    <rPh sb="4" eb="6">
      <t>カイゴ</t>
    </rPh>
    <phoneticPr fontId="3"/>
  </si>
  <si>
    <t>（基幹データより新規採用者のうち40歳以上の者）</t>
    <rPh sb="1" eb="3">
      <t>キカン</t>
    </rPh>
    <rPh sb="8" eb="10">
      <t>シンキ</t>
    </rPh>
    <rPh sb="10" eb="12">
      <t>サイヨウ</t>
    </rPh>
    <rPh sb="12" eb="13">
      <t>シャ</t>
    </rPh>
    <rPh sb="18" eb="19">
      <t>サイ</t>
    </rPh>
    <rPh sb="19" eb="21">
      <t>イジョウ</t>
    </rPh>
    <rPh sb="22" eb="23">
      <t>モノ</t>
    </rPh>
    <phoneticPr fontId="3"/>
  </si>
  <si>
    <t>人数・標準報酬月額総額
（任継除く）</t>
    <rPh sb="0" eb="2">
      <t>ニンズウ</t>
    </rPh>
    <rPh sb="3" eb="5">
      <t>ヒョウジュン</t>
    </rPh>
    <rPh sb="5" eb="7">
      <t>ホウシュウ</t>
    </rPh>
    <rPh sb="7" eb="9">
      <t>ゲツガク</t>
    </rPh>
    <rPh sb="9" eb="11">
      <t>ソウガク</t>
    </rPh>
    <rPh sb="13" eb="15">
      <t>ニンケイ</t>
    </rPh>
    <rPh sb="15" eb="16">
      <t>ノゾ</t>
    </rPh>
    <phoneticPr fontId="3"/>
  </si>
  <si>
    <t>9月までは今年度実績</t>
    <rPh sb="1" eb="2">
      <t>ガツ</t>
    </rPh>
    <rPh sb="5" eb="8">
      <t>コンネンド</t>
    </rPh>
    <rPh sb="8" eb="10">
      <t>ジッセキ</t>
    </rPh>
    <phoneticPr fontId="3"/>
  </si>
  <si>
    <t>10月以降は前年度実績</t>
    <rPh sb="2" eb="3">
      <t>ガツ</t>
    </rPh>
    <rPh sb="3" eb="5">
      <t>イコウ</t>
    </rPh>
    <rPh sb="6" eb="9">
      <t>ゼンネンド</t>
    </rPh>
    <rPh sb="9" eb="11">
      <t>ジッセキ</t>
    </rPh>
    <phoneticPr fontId="3"/>
  </si>
  <si>
    <r>
      <t>介護人数・標準報酬等見込み　　　</t>
    </r>
    <r>
      <rPr>
        <sz val="9"/>
        <rFont val="ＭＳ Ｐゴシック"/>
        <family val="3"/>
        <charset val="128"/>
      </rPr>
      <t>（単位：人、円）</t>
    </r>
    <rPh sb="0" eb="2">
      <t>カイゴ</t>
    </rPh>
    <rPh sb="2" eb="4">
      <t>ニンズウ</t>
    </rPh>
    <rPh sb="5" eb="7">
      <t>ヒョウジュン</t>
    </rPh>
    <rPh sb="7" eb="9">
      <t>ホウシュウ</t>
    </rPh>
    <rPh sb="9" eb="10">
      <t>トウ</t>
    </rPh>
    <rPh sb="10" eb="12">
      <t>ミコ</t>
    </rPh>
    <rPh sb="17" eb="19">
      <t>タンイ</t>
    </rPh>
    <rPh sb="20" eb="21">
      <t>ニン</t>
    </rPh>
    <rPh sb="22" eb="23">
      <t>エン</t>
    </rPh>
    <phoneticPr fontId="3"/>
  </si>
  <si>
    <t>R6.3月予想</t>
    <rPh sb="4" eb="5">
      <t>ガツ</t>
    </rPh>
    <rPh sb="5" eb="7">
      <t>ヨソウ</t>
    </rPh>
    <phoneticPr fontId="3"/>
  </si>
  <si>
    <t>①</t>
    <phoneticPr fontId="3"/>
  </si>
  <si>
    <r>
      <t>R</t>
    </r>
    <r>
      <rPr>
        <sz val="9"/>
        <color indexed="10"/>
        <rFont val="ＭＳ Ｐゴシック"/>
        <family val="3"/>
        <charset val="128"/>
      </rPr>
      <t>5</t>
    </r>
    <r>
      <rPr>
        <sz val="9"/>
        <rFont val="ＭＳ Ｐゴシック"/>
        <family val="3"/>
        <charset val="128"/>
      </rPr>
      <t>.3平均標準報酬月額◆</t>
    </r>
    <rPh sb="4" eb="6">
      <t>ヘイキン</t>
    </rPh>
    <rPh sb="6" eb="8">
      <t>ヒョウジュン</t>
    </rPh>
    <rPh sb="8" eb="10">
      <t>ホウシュウ</t>
    </rPh>
    <rPh sb="10" eb="12">
      <t>ゲツガク</t>
    </rPh>
    <phoneticPr fontId="3"/>
  </si>
  <si>
    <t>R4.3月予想</t>
    <rPh sb="4" eb="5">
      <t>ガツ</t>
    </rPh>
    <rPh sb="5" eb="7">
      <t>ヨソウ</t>
    </rPh>
    <phoneticPr fontId="3"/>
  </si>
  <si>
    <t>4月定年延長　</t>
    <rPh sb="1" eb="2">
      <t>ガツ</t>
    </rPh>
    <rPh sb="2" eb="4">
      <t>テイネン</t>
    </rPh>
    <rPh sb="4" eb="6">
      <t>エンチョウ</t>
    </rPh>
    <phoneticPr fontId="3"/>
  </si>
  <si>
    <t>②</t>
    <phoneticPr fontId="3"/>
  </si>
  <si>
    <t>③</t>
    <phoneticPr fontId="3"/>
  </si>
  <si>
    <r>
      <rPr>
        <sz val="9"/>
        <color indexed="10"/>
        <rFont val="ＭＳ Ｐゴシック"/>
        <family val="3"/>
        <charset val="128"/>
      </rPr>
      <t>5</t>
    </r>
    <r>
      <rPr>
        <sz val="9"/>
        <rFont val="ＭＳ Ｐゴシック"/>
        <family val="3"/>
        <charset val="128"/>
      </rPr>
      <t>.3退職実績と同数・同額</t>
    </r>
    <rPh sb="3" eb="5">
      <t>タイショク</t>
    </rPh>
    <rPh sb="5" eb="7">
      <t>ジッセキ</t>
    </rPh>
    <rPh sb="8" eb="10">
      <t>ドウスウ</t>
    </rPh>
    <rPh sb="11" eb="13">
      <t>ドウガク</t>
    </rPh>
    <phoneticPr fontId="3"/>
  </si>
  <si>
    <t>3月普退・一般へ</t>
    <rPh sb="1" eb="2">
      <t>ガツ</t>
    </rPh>
    <rPh sb="2" eb="3">
      <t>フ</t>
    </rPh>
    <rPh sb="3" eb="4">
      <t>タイ</t>
    </rPh>
    <rPh sb="5" eb="7">
      <t>イッパン</t>
    </rPh>
    <phoneticPr fontId="3"/>
  </si>
  <si>
    <t>Ｒ5.3普通退3+R5.3一般の定年予定8（その分特定から一般へ昇格）。</t>
    <rPh sb="4" eb="6">
      <t>フツウ</t>
    </rPh>
    <rPh sb="6" eb="7">
      <t>タイ</t>
    </rPh>
    <rPh sb="13" eb="15">
      <t>イッパン</t>
    </rPh>
    <rPh sb="16" eb="18">
      <t>テイネン</t>
    </rPh>
    <rPh sb="18" eb="20">
      <t>ヨテイ</t>
    </rPh>
    <rPh sb="24" eb="25">
      <t>ブン</t>
    </rPh>
    <rPh sb="25" eb="27">
      <t>トクテイ</t>
    </rPh>
    <rPh sb="29" eb="31">
      <t>イッパン</t>
    </rPh>
    <rPh sb="32" eb="34">
      <t>ショウカク</t>
    </rPh>
    <phoneticPr fontId="3"/>
  </si>
  <si>
    <t>④</t>
    <phoneticPr fontId="3"/>
  </si>
  <si>
    <r>
      <rPr>
        <sz val="9"/>
        <color indexed="10"/>
        <rFont val="ＭＳ Ｐゴシック"/>
        <family val="3"/>
        <charset val="128"/>
      </rPr>
      <t>5</t>
    </r>
    <r>
      <rPr>
        <sz val="9"/>
        <rFont val="ＭＳ Ｐゴシック"/>
        <family val="3"/>
        <charset val="128"/>
      </rPr>
      <t>.4実績と同数・同額</t>
    </r>
    <rPh sb="3" eb="5">
      <t>ジッセキ</t>
    </rPh>
    <rPh sb="6" eb="8">
      <t>ドウスウ</t>
    </rPh>
    <rPh sb="9" eb="11">
      <t>ドウガク</t>
    </rPh>
    <phoneticPr fontId="3"/>
  </si>
  <si>
    <t>⑤</t>
    <phoneticPr fontId="3"/>
  </si>
  <si>
    <t>3.4再任用と同数・同額</t>
    <rPh sb="3" eb="6">
      <t>サイニンヨウ</t>
    </rPh>
    <rPh sb="7" eb="9">
      <t>ドウスウ</t>
    </rPh>
    <rPh sb="10" eb="12">
      <t>ドウガク</t>
    </rPh>
    <phoneticPr fontId="3"/>
  </si>
  <si>
    <t>⑥</t>
    <phoneticPr fontId="3"/>
  </si>
  <si>
    <r>
      <rPr>
        <sz val="9"/>
        <color indexed="10"/>
        <rFont val="ＭＳ Ｐゴシック"/>
        <family val="3"/>
        <charset val="128"/>
      </rPr>
      <t>5</t>
    </r>
    <r>
      <rPr>
        <sz val="9"/>
        <rFont val="ＭＳ Ｐゴシック"/>
        <family val="3"/>
        <charset val="128"/>
      </rPr>
      <t>.4と同額</t>
    </r>
    <rPh sb="4" eb="6">
      <t>ドウガク</t>
    </rPh>
    <phoneticPr fontId="3"/>
  </si>
  <si>
    <t>標準報酬月額総額（年額）</t>
    <rPh sb="0" eb="2">
      <t>ヒョウジュン</t>
    </rPh>
    <rPh sb="2" eb="4">
      <t>ホウシュウ</t>
    </rPh>
    <rPh sb="4" eb="6">
      <t>ゲツガク</t>
    </rPh>
    <rPh sb="6" eb="8">
      <t>ソウガク</t>
    </rPh>
    <rPh sb="9" eb="11">
      <t>ネンガク</t>
    </rPh>
    <phoneticPr fontId="3"/>
  </si>
  <si>
    <t>4月40歳到達者</t>
    <rPh sb="1" eb="2">
      <t>ガツ</t>
    </rPh>
    <rPh sb="4" eb="5">
      <t>サイ</t>
    </rPh>
    <rPh sb="5" eb="7">
      <t>トウタツ</t>
    </rPh>
    <rPh sb="7" eb="8">
      <t>シャ</t>
    </rPh>
    <phoneticPr fontId="3"/>
  </si>
  <si>
    <t>⑦</t>
    <phoneticPr fontId="3"/>
  </si>
  <si>
    <t>基幹データより。各月予定者を足していく</t>
    <rPh sb="0" eb="2">
      <t>キカン</t>
    </rPh>
    <rPh sb="8" eb="10">
      <t>カクツキ</t>
    </rPh>
    <rPh sb="10" eb="12">
      <t>ヨテイ</t>
    </rPh>
    <rPh sb="12" eb="13">
      <t>シャ</t>
    </rPh>
    <rPh sb="14" eb="15">
      <t>タ</t>
    </rPh>
    <phoneticPr fontId="3"/>
  </si>
  <si>
    <t>4月40歳到達者</t>
  </si>
  <si>
    <t>①-②-③+④+⑤+⑥＋⑦</t>
    <phoneticPr fontId="3"/>
  </si>
  <si>
    <t>①-②-③+④+⑤+⑥+⑦</t>
    <phoneticPr fontId="3"/>
  </si>
  <si>
    <t>消防の一般組合員　8人、4,720,000円含む</t>
    <rPh sb="0" eb="2">
      <t>ショウボウ</t>
    </rPh>
    <rPh sb="3" eb="5">
      <t>イッパン</t>
    </rPh>
    <rPh sb="5" eb="8">
      <t>クミアイイン</t>
    </rPh>
    <rPh sb="10" eb="11">
      <t>ニン</t>
    </rPh>
    <rPh sb="21" eb="22">
      <t>エン</t>
    </rPh>
    <rPh sb="22" eb="23">
      <t>フク</t>
    </rPh>
    <phoneticPr fontId="3"/>
  </si>
  <si>
    <t xml:space="preserve">①-②+③ </t>
    <phoneticPr fontId="3"/>
  </si>
  <si>
    <t>※前年度と同額を見込む</t>
    <rPh sb="1" eb="4">
      <t>ゼンネンド</t>
    </rPh>
    <rPh sb="5" eb="7">
      <t>ドウガク</t>
    </rPh>
    <rPh sb="8" eb="10">
      <t>ミコ</t>
    </rPh>
    <phoneticPr fontId="3"/>
  </si>
  <si>
    <t>4月再任用　　</t>
  </si>
  <si>
    <t>⑧</t>
    <phoneticPr fontId="3"/>
  </si>
  <si>
    <t>4月40歳到達者</t>
    <phoneticPr fontId="3"/>
  </si>
  <si>
    <t>①-②-③+④+⑤+⑥+⑦+⑧</t>
    <phoneticPr fontId="3"/>
  </si>
  <si>
    <t>4月1日現在</t>
    <phoneticPr fontId="3"/>
  </si>
  <si>
    <t>平成</t>
    <rPh sb="0" eb="2">
      <t>ヘイセイ</t>
    </rPh>
    <phoneticPr fontId="3"/>
  </si>
  <si>
    <t>各月40歳到達予定者（基幹システムで抽出）</t>
    <rPh sb="0" eb="2">
      <t>カクツキ</t>
    </rPh>
    <rPh sb="4" eb="5">
      <t>サイ</t>
    </rPh>
    <rPh sb="5" eb="7">
      <t>トウタツ</t>
    </rPh>
    <rPh sb="7" eb="9">
      <t>ヨテイ</t>
    </rPh>
    <rPh sb="9" eb="10">
      <t>シャ</t>
    </rPh>
    <phoneticPr fontId="3"/>
  </si>
  <si>
    <t>2024/1/</t>
    <phoneticPr fontId="2"/>
  </si>
  <si>
    <t>令和６年度　掛金率の引上げ（案）</t>
    <rPh sb="0" eb="2">
      <t>レイワ</t>
    </rPh>
    <rPh sb="3" eb="4">
      <t>ネン</t>
    </rPh>
    <rPh sb="4" eb="5">
      <t>ド</t>
    </rPh>
    <rPh sb="6" eb="8">
      <t>カケキン</t>
    </rPh>
    <rPh sb="8" eb="9">
      <t>リツ</t>
    </rPh>
    <rPh sb="10" eb="11">
      <t>ヒ</t>
    </rPh>
    <rPh sb="11" eb="12">
      <t>ア</t>
    </rPh>
    <rPh sb="14" eb="15">
      <t>アン</t>
    </rPh>
    <phoneticPr fontId="2"/>
  </si>
  <si>
    <t>①</t>
    <phoneticPr fontId="2"/>
  </si>
  <si>
    <t>②</t>
    <phoneticPr fontId="2"/>
  </si>
  <si>
    <t>国民健康保険への高齢者納付金の増（令和5年度比：令和６年度14億円増、令和７年度16億円増見込み)への対応。</t>
    <rPh sb="0" eb="2">
      <t>コクミン</t>
    </rPh>
    <rPh sb="2" eb="4">
      <t>ケンコウ</t>
    </rPh>
    <rPh sb="4" eb="6">
      <t>ホケン</t>
    </rPh>
    <rPh sb="8" eb="11">
      <t>コウレイシャ</t>
    </rPh>
    <rPh sb="11" eb="14">
      <t>ノウフキン</t>
    </rPh>
    <rPh sb="15" eb="16">
      <t>ゾウ</t>
    </rPh>
    <rPh sb="17" eb="19">
      <t>レイワ</t>
    </rPh>
    <rPh sb="20" eb="22">
      <t>ネンド</t>
    </rPh>
    <rPh sb="22" eb="23">
      <t>ヒ</t>
    </rPh>
    <rPh sb="24" eb="26">
      <t>レイワ</t>
    </rPh>
    <rPh sb="27" eb="28">
      <t>ネン</t>
    </rPh>
    <rPh sb="28" eb="29">
      <t>ド</t>
    </rPh>
    <rPh sb="31" eb="33">
      <t>オクエン</t>
    </rPh>
    <rPh sb="33" eb="34">
      <t>ゾウ</t>
    </rPh>
    <rPh sb="35" eb="37">
      <t>レイワ</t>
    </rPh>
    <rPh sb="38" eb="39">
      <t>ネン</t>
    </rPh>
    <rPh sb="39" eb="40">
      <t>ド</t>
    </rPh>
    <rPh sb="42" eb="44">
      <t>オクエン</t>
    </rPh>
    <rPh sb="44" eb="45">
      <t>ゾウ</t>
    </rPh>
    <rPh sb="45" eb="47">
      <t>ミコ</t>
    </rPh>
    <rPh sb="51" eb="53">
      <t>タイオウ</t>
    </rPh>
    <phoneticPr fontId="2"/>
  </si>
  <si>
    <t>・</t>
    <phoneticPr fontId="2"/>
  </si>
  <si>
    <t>剰余金を充当しつつ、掛金率の引上げを行い、調整交付金についても検討する。</t>
    <rPh sb="0" eb="3">
      <t>ジョウヨキン</t>
    </rPh>
    <rPh sb="4" eb="6">
      <t>ジュウトウ</t>
    </rPh>
    <rPh sb="10" eb="13">
      <t>カケキンリツ</t>
    </rPh>
    <rPh sb="14" eb="16">
      <t>ヒキア</t>
    </rPh>
    <rPh sb="18" eb="19">
      <t>オコナ</t>
    </rPh>
    <rPh sb="21" eb="26">
      <t>チョウセイコウフキン</t>
    </rPh>
    <rPh sb="31" eb="33">
      <t>ケントウ</t>
    </rPh>
    <phoneticPr fontId="2"/>
  </si>
  <si>
    <t>剰余金は、欠損金補てん積立金が満額積める程度とする。</t>
    <rPh sb="0" eb="3">
      <t>ジョウヨキン</t>
    </rPh>
    <rPh sb="5" eb="8">
      <t>ケッソンキン</t>
    </rPh>
    <rPh sb="8" eb="9">
      <t>ホ</t>
    </rPh>
    <rPh sb="11" eb="14">
      <t>ツミタテキン</t>
    </rPh>
    <rPh sb="15" eb="17">
      <t>マンガク</t>
    </rPh>
    <rPh sb="17" eb="18">
      <t>ツ</t>
    </rPh>
    <rPh sb="20" eb="22">
      <t>テイド</t>
    </rPh>
    <phoneticPr fontId="2"/>
  </si>
  <si>
    <t>短期+保健</t>
    <rPh sb="3" eb="5">
      <t>ホケン</t>
    </rPh>
    <phoneticPr fontId="2"/>
  </si>
  <si>
    <t>介護</t>
    <rPh sb="0" eb="2">
      <t>カイゴ</t>
    </rPh>
    <phoneticPr fontId="2"/>
  </si>
  <si>
    <t>介護なし</t>
    <rPh sb="0" eb="2">
      <t>カイゴ</t>
    </rPh>
    <phoneticPr fontId="2"/>
  </si>
  <si>
    <t>介護あり</t>
    <rPh sb="0" eb="2">
      <t>カイゴ</t>
    </rPh>
    <phoneticPr fontId="2"/>
  </si>
  <si>
    <t>(</t>
  </si>
  <si>
    <t>)</t>
  </si>
  <si>
    <r>
      <t>一般職</t>
    </r>
    <r>
      <rPr>
        <sz val="18"/>
        <rFont val="ＭＳ Ｐゴシック"/>
        <family val="3"/>
        <charset val="128"/>
      </rPr>
      <t xml:space="preserve">
平均標準報酬月額
（44万円）</t>
    </r>
    <rPh sb="4" eb="6">
      <t>ヘイキン</t>
    </rPh>
    <rPh sb="6" eb="8">
      <t>ヒョウジュン</t>
    </rPh>
    <rPh sb="8" eb="10">
      <t>ホウシュウ</t>
    </rPh>
    <rPh sb="10" eb="12">
      <t>ゲツガク</t>
    </rPh>
    <rPh sb="17" eb="18">
      <t>エン</t>
    </rPh>
    <phoneticPr fontId="2"/>
  </si>
  <si>
    <r>
      <t>会計年度任用職員</t>
    </r>
    <r>
      <rPr>
        <sz val="18"/>
        <rFont val="ＭＳ Ｐゴシック"/>
        <family val="3"/>
        <charset val="128"/>
      </rPr>
      <t xml:space="preserve">
平均標準報酬月額
（15万円）</t>
    </r>
    <rPh sb="4" eb="6">
      <t>ニンヨウ</t>
    </rPh>
    <rPh sb="6" eb="8">
      <t>ショクイン</t>
    </rPh>
    <rPh sb="9" eb="11">
      <t>ヘイキン</t>
    </rPh>
    <rPh sb="11" eb="13">
      <t>ヒョウジュン</t>
    </rPh>
    <rPh sb="13" eb="15">
      <t>ホウシュウ</t>
    </rPh>
    <rPh sb="15" eb="17">
      <t>ゲツガク</t>
    </rPh>
    <rPh sb="22" eb="23">
      <t>エン</t>
    </rPh>
    <phoneticPr fontId="2"/>
  </si>
  <si>
    <t>令和４年10月の適用拡大に伴う、医療費・納付金等の増に対する対応。</t>
    <rPh sb="20" eb="23">
      <t>ノウフキン</t>
    </rPh>
    <rPh sb="23" eb="24">
      <t>ナド</t>
    </rPh>
    <phoneticPr fontId="2"/>
  </si>
  <si>
    <t>特定消防</t>
    <rPh sb="0" eb="2">
      <t>トクテイ</t>
    </rPh>
    <rPh sb="2" eb="4">
      <t>ショウボウ</t>
    </rPh>
    <phoneticPr fontId="2"/>
  </si>
  <si>
    <t>短期組合員</t>
    <rPh sb="0" eb="2">
      <t>タンキ</t>
    </rPh>
    <rPh sb="2" eb="5">
      <t>クミアイイン</t>
    </rPh>
    <phoneticPr fontId="2"/>
  </si>
  <si>
    <t>（病院以外）</t>
    <rPh sb="1" eb="3">
      <t>ビョウイン</t>
    </rPh>
    <rPh sb="3" eb="5">
      <t>イガイ</t>
    </rPh>
    <phoneticPr fontId="2"/>
  </si>
  <si>
    <t>（病院職員）</t>
    <rPh sb="1" eb="3">
      <t>ビョウイン</t>
    </rPh>
    <rPh sb="3" eb="5">
      <t>ショクイン</t>
    </rPh>
    <phoneticPr fontId="2"/>
  </si>
  <si>
    <t>令和7年度</t>
    <rPh sb="0" eb="2">
      <t>レイワ</t>
    </rPh>
    <rPh sb="3" eb="5">
      <t>ネンド</t>
    </rPh>
    <phoneticPr fontId="3"/>
  </si>
  <si>
    <t>R7年度</t>
    <rPh sb="2" eb="4">
      <t>ネンド</t>
    </rPh>
    <phoneticPr fontId="3"/>
  </si>
  <si>
    <t>※基幹システム出力帳票より</t>
    <rPh sb="1" eb="3">
      <t>キカン</t>
    </rPh>
    <rPh sb="7" eb="9">
      <t>シュツリョク</t>
    </rPh>
    <rPh sb="9" eb="11">
      <t>チョウヒョウ</t>
    </rPh>
    <phoneticPr fontId="3"/>
  </si>
  <si>
    <t>※基幹システム出力帳票より</t>
    <phoneticPr fontId="3"/>
  </si>
  <si>
    <t>賞与支給率
（正規・会年）</t>
    <rPh sb="0" eb="2">
      <t>ショウヨ</t>
    </rPh>
    <rPh sb="2" eb="4">
      <t>シキュウ</t>
    </rPh>
    <rPh sb="4" eb="5">
      <t>リツ</t>
    </rPh>
    <rPh sb="7" eb="9">
      <t>セイキ</t>
    </rPh>
    <rPh sb="10" eb="11">
      <t>エ</t>
    </rPh>
    <rPh sb="11" eb="12">
      <t>ネン</t>
    </rPh>
    <phoneticPr fontId="3"/>
  </si>
  <si>
    <t>賞与支給率
（再任用）　</t>
    <rPh sb="7" eb="8">
      <t>サイ</t>
    </rPh>
    <rPh sb="8" eb="10">
      <t>ニンヨウ</t>
    </rPh>
    <phoneticPr fontId="3"/>
  </si>
  <si>
    <t>賞与支給率
（再任用）　</t>
    <phoneticPr fontId="3"/>
  </si>
  <si>
    <t>賞与支給率
（正規・会年）</t>
    <rPh sb="0" eb="2">
      <t>ショウヨ</t>
    </rPh>
    <rPh sb="2" eb="4">
      <t>シキュウ</t>
    </rPh>
    <rPh sb="4" eb="5">
      <t>リツ</t>
    </rPh>
    <phoneticPr fontId="3"/>
  </si>
  <si>
    <t>賞与支給率
（再任用）
（正規・会年）　</t>
    <rPh sb="0" eb="2">
      <t>ショウヨ</t>
    </rPh>
    <rPh sb="2" eb="4">
      <t>シキュウ</t>
    </rPh>
    <rPh sb="4" eb="5">
      <t>リツ</t>
    </rPh>
    <phoneticPr fontId="3"/>
  </si>
  <si>
    <t>4月再任用</t>
    <rPh sb="1" eb="2">
      <t>ガツ</t>
    </rPh>
    <rPh sb="2" eb="3">
      <t>サイ</t>
    </rPh>
    <rPh sb="3" eb="5">
      <t>ニンヨウ</t>
    </rPh>
    <phoneticPr fontId="2"/>
  </si>
  <si>
    <t>人数・標準報酬総額</t>
    <rPh sb="0" eb="2">
      <t>ニンズウ</t>
    </rPh>
    <rPh sb="3" eb="5">
      <t>ヒョウジュン</t>
    </rPh>
    <rPh sb="5" eb="7">
      <t>ホウシュウ</t>
    </rPh>
    <rPh sb="7" eb="9">
      <t>ソウガク</t>
    </rPh>
    <phoneticPr fontId="3"/>
  </si>
  <si>
    <t>令和8年度</t>
    <rPh sb="0" eb="2">
      <t>レイワ</t>
    </rPh>
    <rPh sb="3" eb="5">
      <t>ネンド</t>
    </rPh>
    <phoneticPr fontId="3"/>
  </si>
  <si>
    <t>R8年度予想：主に基幹システム抽出のエクセルデータを参考</t>
    <rPh sb="2" eb="3">
      <t>ネン</t>
    </rPh>
    <rPh sb="3" eb="4">
      <t>ド</t>
    </rPh>
    <rPh sb="4" eb="6">
      <t>ヨソウ</t>
    </rPh>
    <phoneticPr fontId="3"/>
  </si>
  <si>
    <r>
      <t>R</t>
    </r>
    <r>
      <rPr>
        <sz val="11"/>
        <color rgb="FFFF0000"/>
        <rFont val="ＭＳ Ｐゴシック"/>
        <family val="3"/>
        <charset val="128"/>
      </rPr>
      <t>8</t>
    </r>
    <r>
      <rPr>
        <sz val="11"/>
        <color theme="1"/>
        <rFont val="游ゴシック"/>
        <family val="2"/>
        <charset val="128"/>
        <scheme val="minor"/>
      </rPr>
      <t>.3月予想</t>
    </r>
    <rPh sb="4" eb="5">
      <t>ガツ</t>
    </rPh>
    <rPh sb="5" eb="7">
      <t>ヨソウ</t>
    </rPh>
    <phoneticPr fontId="3"/>
  </si>
  <si>
    <t>R8.3平均標準報酬月額◆</t>
    <rPh sb="4" eb="6">
      <t>ヘイキン</t>
    </rPh>
    <rPh sb="6" eb="8">
      <t>ヒョウジュン</t>
    </rPh>
    <rPh sb="8" eb="10">
      <t>ホウシュウ</t>
    </rPh>
    <rPh sb="10" eb="12">
      <t>ゲツガク</t>
    </rPh>
    <phoneticPr fontId="3"/>
  </si>
  <si>
    <t>R7.3退職実績人数・標準報酬</t>
    <rPh sb="4" eb="6">
      <t>タイショク</t>
    </rPh>
    <rPh sb="6" eb="8">
      <t>ジッセキ</t>
    </rPh>
    <rPh sb="8" eb="10">
      <t>ニンズウ</t>
    </rPh>
    <rPh sb="11" eb="13">
      <t>ヒョウジュン</t>
    </rPh>
    <rPh sb="13" eb="15">
      <t>ホウシュウ</t>
    </rPh>
    <phoneticPr fontId="3"/>
  </si>
  <si>
    <r>
      <t>R</t>
    </r>
    <r>
      <rPr>
        <sz val="9"/>
        <color rgb="FFFF0000"/>
        <rFont val="ＭＳ Ｐゴシック"/>
        <family val="3"/>
        <charset val="128"/>
      </rPr>
      <t>7</t>
    </r>
    <r>
      <rPr>
        <sz val="9"/>
        <rFont val="ＭＳ Ｐゴシック"/>
        <family val="3"/>
        <charset val="128"/>
      </rPr>
      <t>.4と同額</t>
    </r>
    <rPh sb="5" eb="7">
      <t>ドウガク</t>
    </rPh>
    <phoneticPr fontId="3"/>
  </si>
  <si>
    <r>
      <t>人事課採用予定数×R</t>
    </r>
    <r>
      <rPr>
        <sz val="9"/>
        <color rgb="FFFF0000"/>
        <rFont val="ＭＳ Ｐゴシック"/>
        <family val="3"/>
        <charset val="128"/>
      </rPr>
      <t>7</t>
    </r>
    <r>
      <rPr>
        <sz val="9"/>
        <rFont val="ＭＳ Ｐゴシック"/>
        <family val="3"/>
        <charset val="128"/>
      </rPr>
      <t>.4採用平均標準報酬</t>
    </r>
    <rPh sb="0" eb="3">
      <t>ジンジカ</t>
    </rPh>
    <rPh sb="3" eb="5">
      <t>サイヨウ</t>
    </rPh>
    <rPh sb="5" eb="8">
      <t>ヨテイスウ</t>
    </rPh>
    <rPh sb="13" eb="15">
      <t>サイヨウ</t>
    </rPh>
    <rPh sb="15" eb="17">
      <t>ヒョウジュン</t>
    </rPh>
    <rPh sb="17" eb="19">
      <t>ホウシュウ</t>
    </rPh>
    <phoneticPr fontId="3"/>
  </si>
  <si>
    <t>R7.4実績</t>
    <rPh sb="4" eb="6">
      <t>ジッセキ</t>
    </rPh>
    <phoneticPr fontId="3"/>
  </si>
  <si>
    <t>4月～9月　今年度実績</t>
    <rPh sb="1" eb="2">
      <t>ガツ</t>
    </rPh>
    <rPh sb="4" eb="5">
      <t>ガツ</t>
    </rPh>
    <rPh sb="6" eb="9">
      <t>コンネンド</t>
    </rPh>
    <rPh sb="9" eb="11">
      <t>ジッセキ</t>
    </rPh>
    <phoneticPr fontId="2"/>
  </si>
  <si>
    <t>10月～3月　前年度実績</t>
    <phoneticPr fontId="2"/>
  </si>
  <si>
    <t>7.4～12月計</t>
    <rPh sb="6" eb="7">
      <t>ガツ</t>
    </rPh>
    <rPh sb="7" eb="8">
      <t>ケイ</t>
    </rPh>
    <phoneticPr fontId="3"/>
  </si>
  <si>
    <r>
      <t>8.1</t>
    </r>
    <r>
      <rPr>
        <sz val="11"/>
        <rFont val="ＭＳ Ｐゴシック"/>
        <family val="3"/>
        <charset val="128"/>
      </rPr>
      <t>～8.3月計</t>
    </r>
    <rPh sb="7" eb="8">
      <t>ガツ</t>
    </rPh>
    <rPh sb="8" eb="9">
      <t>ケイ</t>
    </rPh>
    <phoneticPr fontId="3"/>
  </si>
  <si>
    <t>R7.3月：19,350人→Ｒ8.3月：19,592人→+242人。</t>
    <rPh sb="4" eb="5">
      <t>ガツ</t>
    </rPh>
    <rPh sb="18" eb="19">
      <t>ガツ</t>
    </rPh>
    <rPh sb="26" eb="27">
      <t>ニン</t>
    </rPh>
    <rPh sb="32" eb="33">
      <t>ニン</t>
    </rPh>
    <phoneticPr fontId="3"/>
  </si>
  <si>
    <t>（28人）</t>
    <phoneticPr fontId="2"/>
  </si>
  <si>
    <t>（11人）</t>
    <phoneticPr fontId="2"/>
  </si>
  <si>
    <t>（141人）</t>
    <phoneticPr fontId="2"/>
  </si>
  <si>
    <t>病院予定数×R7.4採用平均標準報酬【442282円】</t>
    <rPh sb="0" eb="2">
      <t>ビョウイン</t>
    </rPh>
    <rPh sb="2" eb="5">
      <t>ヨテイスウ</t>
    </rPh>
    <rPh sb="10" eb="12">
      <t>サイヨウ</t>
    </rPh>
    <rPh sb="12" eb="14">
      <t>ヘイキン</t>
    </rPh>
    <rPh sb="14" eb="16">
      <t>ヒョウジュン</t>
    </rPh>
    <rPh sb="16" eb="18">
      <t>ホウシュウ</t>
    </rPh>
    <rPh sb="25" eb="26">
      <t>エン</t>
    </rPh>
    <phoneticPr fontId="3"/>
  </si>
  <si>
    <t>人事課予定数×R7.4採用平均標準報酬【260,377円】</t>
    <rPh sb="0" eb="3">
      <t>ジンジカ</t>
    </rPh>
    <rPh sb="27" eb="28">
      <t>エン</t>
    </rPh>
    <phoneticPr fontId="2"/>
  </si>
  <si>
    <t>※9月までは月例報告より実績数字。10～3月は前年度と同数の、加入脱退者を見込む。</t>
    <rPh sb="2" eb="3">
      <t>ガツ</t>
    </rPh>
    <rPh sb="6" eb="8">
      <t>ゲツレイ</t>
    </rPh>
    <rPh sb="8" eb="10">
      <t>ホウコク</t>
    </rPh>
    <rPh sb="12" eb="14">
      <t>ジッセキ</t>
    </rPh>
    <rPh sb="14" eb="16">
      <t>スウジ</t>
    </rPh>
    <rPh sb="21" eb="22">
      <t>ガツ</t>
    </rPh>
    <rPh sb="23" eb="24">
      <t>ゼン</t>
    </rPh>
    <rPh sb="24" eb="26">
      <t>ネンド</t>
    </rPh>
    <rPh sb="27" eb="28">
      <t>ドウ</t>
    </rPh>
    <rPh sb="31" eb="33">
      <t>カニュウ</t>
    </rPh>
    <rPh sb="33" eb="35">
      <t>ダッタイ</t>
    </rPh>
    <rPh sb="35" eb="36">
      <t>シャ</t>
    </rPh>
    <rPh sb="37" eb="39">
      <t>ミコ</t>
    </rPh>
    <phoneticPr fontId="3"/>
  </si>
  <si>
    <t>R8年度</t>
    <rPh sb="2" eb="4">
      <t>ネンド</t>
    </rPh>
    <phoneticPr fontId="3"/>
  </si>
  <si>
    <t xml:space="preserve">●3月は、12月実績を12月と3月の支給率と標準報酬見込みで按分。
　例〈3月分＝12月賞与実績/12支給率/12人数⋇3支給率⋇3標準報酬〉
</t>
    <rPh sb="2" eb="3">
      <t>ガツ</t>
    </rPh>
    <rPh sb="7" eb="8">
      <t>ガツ</t>
    </rPh>
    <rPh sb="8" eb="10">
      <t>ジッセキ</t>
    </rPh>
    <rPh sb="13" eb="14">
      <t>ガツ</t>
    </rPh>
    <rPh sb="16" eb="17">
      <t>ガツ</t>
    </rPh>
    <rPh sb="18" eb="20">
      <t>シキュウ</t>
    </rPh>
    <rPh sb="20" eb="21">
      <t>リツ</t>
    </rPh>
    <rPh sb="22" eb="26">
      <t>ヒョウジュンホウシュウ</t>
    </rPh>
    <rPh sb="26" eb="28">
      <t>ミコ</t>
    </rPh>
    <rPh sb="30" eb="32">
      <t>アンブン</t>
    </rPh>
    <rPh sb="35" eb="36">
      <t>レイ</t>
    </rPh>
    <rPh sb="38" eb="39">
      <t>ガツ</t>
    </rPh>
    <rPh sb="39" eb="40">
      <t>ブン</t>
    </rPh>
    <rPh sb="43" eb="44">
      <t>ガツ</t>
    </rPh>
    <rPh sb="44" eb="46">
      <t>ショウヨ</t>
    </rPh>
    <rPh sb="46" eb="48">
      <t>ジッセキ</t>
    </rPh>
    <rPh sb="51" eb="53">
      <t>シキュウ</t>
    </rPh>
    <rPh sb="53" eb="54">
      <t>リツ</t>
    </rPh>
    <rPh sb="57" eb="59">
      <t>ニンズウ</t>
    </rPh>
    <rPh sb="61" eb="63">
      <t>シキュウ</t>
    </rPh>
    <rPh sb="63" eb="64">
      <t>リツ</t>
    </rPh>
    <rPh sb="66" eb="70">
      <t>ヒョウジュンホウシュウ</t>
    </rPh>
    <phoneticPr fontId="3"/>
  </si>
  <si>
    <t>R7.9まで実績</t>
    <rPh sb="6" eb="8">
      <t>ジッセキ</t>
    </rPh>
    <phoneticPr fontId="3"/>
  </si>
  <si>
    <t>R6.10月～R7.3月実績</t>
    <rPh sb="5" eb="6">
      <t>ガツ</t>
    </rPh>
    <rPh sb="11" eb="12">
      <t>ガツ</t>
    </rPh>
    <rPh sb="12" eb="14">
      <t>ジッセキ</t>
    </rPh>
    <phoneticPr fontId="3"/>
  </si>
  <si>
    <t>（R6.10～R7.9月実績を見込む）</t>
    <rPh sb="11" eb="12">
      <t>ガツ</t>
    </rPh>
    <rPh sb="12" eb="14">
      <t>ジッセキ</t>
    </rPh>
    <rPh sb="15" eb="17">
      <t>ミコ</t>
    </rPh>
    <phoneticPr fontId="3"/>
  </si>
  <si>
    <t>（12月病院労組）</t>
    <rPh sb="3" eb="4">
      <t>ガツ</t>
    </rPh>
    <rPh sb="4" eb="6">
      <t>ビョウイン</t>
    </rPh>
    <rPh sb="6" eb="8">
      <t>ロウソ</t>
    </rPh>
    <phoneticPr fontId="3"/>
  </si>
  <si>
    <t>（差額6・12病院労組）</t>
    <rPh sb="1" eb="3">
      <t>サガク</t>
    </rPh>
    <rPh sb="7" eb="9">
      <t>ビョウイン</t>
    </rPh>
    <rPh sb="9" eb="11">
      <t>ロウソ</t>
    </rPh>
    <phoneticPr fontId="3"/>
  </si>
  <si>
    <t>（6月病院労組）</t>
    <rPh sb="2" eb="3">
      <t>ガツ</t>
    </rPh>
    <rPh sb="3" eb="5">
      <t>ビョウイン</t>
    </rPh>
    <rPh sb="5" eb="7">
      <t>ロウソ</t>
    </rPh>
    <phoneticPr fontId="3"/>
  </si>
  <si>
    <t>（3月病院労組）</t>
    <rPh sb="2" eb="3">
      <t>ガツ</t>
    </rPh>
    <rPh sb="3" eb="5">
      <t>ビョウイン</t>
    </rPh>
    <rPh sb="5" eb="7">
      <t>ロウソ</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</si>
</sst>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5">
    <numFmt numFmtId="176" formatCode="#,##0;&quot;▲ &quot;#,##0"/>
    <numFmt numFmtId="177" formatCode="0.00_ "/>
    <numFmt numFmtId="178" formatCode="#,##0_ "/>
    <numFmt numFmtId="179" formatCode="#,##0_);[Red]\(#,##0\)"/>
    <numFmt numFmtId="180" formatCode="#,##0.00;&quot;▲ &quot;#,##0.00"/>
    <numFmt numFmtId="181" formatCode="0.00_);[Red]\(0.00\)"/>
    <numFmt numFmtId="182" formatCode="0.0000_);[Red]\(0.0000\)"/>
    <numFmt numFmtId="183" formatCode="0.0_);[Red]\(0.0\)"/>
    <numFmt numFmtId="184" formatCode="0.00;&quot;▲ &quot;0.00"/>
    <numFmt numFmtId="185" formatCode="0.0_ "/>
    <numFmt numFmtId="186" formatCode="#,##0.000;[Red]\-#,##0.000"/>
    <numFmt numFmtId="187" formatCode="#,##0&quot;人&quot;"/>
    <numFmt numFmtId="188" formatCode="#,##0.0;[Red]\-#,##0.0"/>
    <numFmt numFmtId="189" formatCode="0.000_);[Red]\(0.000\)"/>
    <numFmt numFmtId="190" formatCode="#,##0;&quot;△ &quot;#,##0"/>
    <numFmt numFmtId="191" formatCode="[$-411]ge\.m&quot;月&quot;"/>
    <numFmt numFmtId="192" formatCode="[$-411]ge&quot;年度&quot;"/>
    <numFmt numFmtId="193" formatCode="0.00\ &quot;％&quot;"/>
    <numFmt numFmtId="194" formatCode="#,##0.000_ "/>
    <numFmt numFmtId="195" formatCode="#,##0.00_ "/>
    <numFmt numFmtId="196" formatCode="#,##0.0_ "/>
    <numFmt numFmtId="197" formatCode="&quot;×&quot;#"/>
    <numFmt numFmtId="198" formatCode="&quot;×&quot;#&quot;＝&quot;"/>
    <numFmt numFmtId="199" formatCode="#\ &quot;人&quot;"/>
    <numFmt numFmtId="200" formatCode="m/d;@"/>
    <numFmt numFmtId="201" formatCode="#\ &quot;人（月平均）&quot;"/>
    <numFmt numFmtId="202" formatCode="0.0"/>
    <numFmt numFmtId="203" formatCode="#,##0.00\‰"/>
    <numFmt numFmtId="204" formatCode="#,##0&quot;円&quot;"/>
    <numFmt numFmtId="205" formatCode="0.0000_ "/>
    <numFmt numFmtId="206" formatCode="0.000_ "/>
    <numFmt numFmtId="207" formatCode="0.000"/>
    <numFmt numFmtId="208" formatCode="#,##0.000"/>
    <numFmt numFmtId="209" formatCode="#\ &quot;年度&quot;"/>
    <numFmt numFmtId="210" formatCode="0.000\ &quot;％&quot;"/>
    <numFmt numFmtId="211" formatCode="#,##0.000000000_ "/>
    <numFmt numFmtId="212" formatCode="0.0000000"/>
    <numFmt numFmtId="213" formatCode="#,##0.0000;&quot;▲ &quot;#,##0.0000"/>
    <numFmt numFmtId="214" formatCode="#\ &quot;×&quot;"/>
    <numFmt numFmtId="215" formatCode="&quot;＝&quot;#"/>
    <numFmt numFmtId="216" formatCode="#\ &quot;＝&quot;"/>
    <numFmt numFmtId="217" formatCode="#,##0.00_ \‰"/>
    <numFmt numFmtId="218" formatCode="0.0000"/>
    <numFmt numFmtId="219" formatCode="#,##0;[Red]-#,##0"/>
    <numFmt numFmtId="220" formatCode="0.0%"/>
  </numFmts>
  <fonts count="129">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6"/>
      <name val="ＭＳ Ｐゴシック"/>
      <family val="3"/>
      <charset val="128"/>
    </font>
    <font>
      <sz val="11"/>
      <name val="ＭＳ Ｐゴシック"/>
      <family val="3"/>
      <charset val="128"/>
    </font>
    <font>
      <sz val="11"/>
      <color theme="1"/>
      <name val="ＭＳ ゴシック"/>
      <family val="3"/>
      <charset val="128"/>
    </font>
    <font>
      <sz val="11"/>
      <name val="ＭＳ ゴシック"/>
      <family val="3"/>
      <charset val="128"/>
    </font>
    <font>
      <b/>
      <sz val="11"/>
      <color theme="1"/>
      <name val="ＭＳ ゴシック"/>
      <family val="3"/>
      <charset val="128"/>
    </font>
    <font>
      <sz val="10"/>
      <color theme="1"/>
      <name val="ＭＳ ゴシック"/>
      <family val="3"/>
      <charset val="128"/>
    </font>
    <font>
      <sz val="9"/>
      <color theme="1"/>
      <name val="ＭＳ ゴシック"/>
      <family val="3"/>
      <charset val="128"/>
    </font>
    <font>
      <sz val="9"/>
      <name val="ＭＳ ゴシック"/>
      <family val="3"/>
      <charset val="128"/>
    </font>
    <font>
      <sz val="9"/>
      <color rgb="FF0000FF"/>
      <name val="ＭＳ ゴシック"/>
      <family val="3"/>
      <charset val="128"/>
    </font>
    <font>
      <sz val="9"/>
      <color indexed="81"/>
      <name val="ＭＳ Ｐゴシック"/>
      <family val="3"/>
      <charset val="128"/>
    </font>
    <font>
      <b/>
      <sz val="9"/>
      <color indexed="81"/>
      <name val="ＭＳ Ｐゴシック"/>
      <family val="3"/>
      <charset val="128"/>
    </font>
    <font>
      <sz val="11"/>
      <color theme="1"/>
      <name val="游ゴシック"/>
      <family val="3"/>
      <charset val="128"/>
      <scheme val="minor"/>
    </font>
    <font>
      <sz val="10"/>
      <color theme="1"/>
      <name val="游ゴシック"/>
      <family val="3"/>
      <charset val="128"/>
      <scheme val="minor"/>
    </font>
    <font>
      <sz val="9"/>
      <color indexed="81"/>
      <name val="MS P ゴシック"/>
      <family val="3"/>
      <charset val="128"/>
    </font>
    <font>
      <b/>
      <sz val="9"/>
      <color indexed="81"/>
      <name val="MS P ゴシック"/>
      <family val="3"/>
      <charset val="128"/>
    </font>
    <font>
      <sz val="10"/>
      <name val="ＭＳ 明朝"/>
      <family val="1"/>
      <charset val="128"/>
    </font>
    <font>
      <sz val="9"/>
      <color indexed="10"/>
      <name val="ＭＳ Ｐゴシック"/>
      <family val="3"/>
      <charset val="128"/>
    </font>
    <font>
      <b/>
      <sz val="11"/>
      <color rgb="FFFF0000"/>
      <name val="ＭＳ ゴシック"/>
      <family val="3"/>
      <charset val="128"/>
    </font>
    <font>
      <b/>
      <sz val="11"/>
      <name val="ＭＳ ゴシック"/>
      <family val="3"/>
      <charset val="128"/>
    </font>
    <font>
      <sz val="10"/>
      <name val="ＭＳ Ｐゴシック"/>
      <family val="3"/>
      <charset val="128"/>
    </font>
    <font>
      <sz val="9"/>
      <name val="ＭＳ Ｐゴシック"/>
      <family val="3"/>
      <charset val="128"/>
    </font>
    <font>
      <sz val="11"/>
      <color rgb="FF0000FF"/>
      <name val="ＭＳ Ｐゴシック"/>
      <family val="3"/>
      <charset val="128"/>
    </font>
    <font>
      <sz val="11"/>
      <color indexed="12"/>
      <name val="ＭＳ Ｐゴシック"/>
      <family val="3"/>
      <charset val="128"/>
    </font>
    <font>
      <sz val="10"/>
      <color rgb="FFFF0000"/>
      <name val="ＭＳ Ｐゴシック"/>
      <family val="3"/>
      <charset val="128"/>
    </font>
    <font>
      <b/>
      <sz val="11"/>
      <name val="ＭＳ Ｐゴシック"/>
      <family val="3"/>
      <charset val="128"/>
    </font>
    <font>
      <b/>
      <sz val="11"/>
      <color rgb="FF0000FF"/>
      <name val="ＭＳ Ｐゴシック"/>
      <family val="3"/>
      <charset val="128"/>
    </font>
    <font>
      <b/>
      <sz val="11"/>
      <color indexed="12"/>
      <name val="ＭＳ Ｐゴシック"/>
      <family val="3"/>
      <charset val="128"/>
    </font>
    <font>
      <sz val="11"/>
      <name val="ＭＳ 明朝"/>
      <family val="1"/>
      <charset val="128"/>
    </font>
    <font>
      <sz val="11"/>
      <color indexed="10"/>
      <name val="ＭＳ Ｐゴシック"/>
      <family val="3"/>
      <charset val="128"/>
    </font>
    <font>
      <sz val="11"/>
      <color rgb="FFFF0000"/>
      <name val="ＭＳ Ｐゴシック"/>
      <family val="3"/>
      <charset val="128"/>
    </font>
    <font>
      <sz val="10"/>
      <color indexed="81"/>
      <name val="ＭＳ Ｐゴシック"/>
      <family val="3"/>
      <charset val="128"/>
    </font>
    <font>
      <sz val="14"/>
      <name val="ＭＳ Ｐゴシック"/>
      <family val="3"/>
      <charset val="128"/>
    </font>
    <font>
      <b/>
      <sz val="9"/>
      <name val="ＭＳ Ｐゴシック"/>
      <family val="3"/>
      <charset val="128"/>
    </font>
    <font>
      <sz val="11"/>
      <color rgb="FFFF0000"/>
      <name val="ＭＳ ゴシック"/>
      <family val="3"/>
      <charset val="128"/>
    </font>
    <font>
      <sz val="16"/>
      <color theme="1"/>
      <name val="游ゴシック"/>
      <family val="3"/>
      <charset val="128"/>
      <scheme val="minor"/>
    </font>
    <font>
      <sz val="16"/>
      <color theme="1"/>
      <name val="ＭＳ ゴシック"/>
      <family val="3"/>
      <charset val="128"/>
    </font>
    <font>
      <sz val="16"/>
      <name val="ＭＳ ゴシック"/>
      <family val="3"/>
      <charset val="128"/>
    </font>
    <font>
      <sz val="16"/>
      <color rgb="FFFF0000"/>
      <name val="ＭＳ ゴシック"/>
      <family val="3"/>
      <charset val="128"/>
    </font>
    <font>
      <sz val="16"/>
      <color rgb="FF0070C0"/>
      <name val="ＭＳ ゴシック"/>
      <family val="3"/>
      <charset val="128"/>
    </font>
    <font>
      <sz val="16"/>
      <color rgb="FF0000FF"/>
      <name val="ＭＳ ゴシック"/>
      <family val="3"/>
      <charset val="128"/>
    </font>
    <font>
      <sz val="16"/>
      <color rgb="FF002060"/>
      <name val="ＭＳ ゴシック"/>
      <family val="3"/>
      <charset val="128"/>
    </font>
    <font>
      <sz val="16"/>
      <color theme="1"/>
      <name val="游ゴシック"/>
      <family val="2"/>
      <charset val="128"/>
      <scheme val="minor"/>
    </font>
    <font>
      <b/>
      <sz val="16"/>
      <color theme="1"/>
      <name val="ＭＳ ゴシック"/>
      <family val="3"/>
      <charset val="128"/>
    </font>
    <font>
      <b/>
      <sz val="18"/>
      <color theme="1"/>
      <name val="ＭＳ ゴシック"/>
      <family val="3"/>
      <charset val="128"/>
    </font>
    <font>
      <b/>
      <u/>
      <sz val="14"/>
      <color theme="1"/>
      <name val="ＭＳ ゴシック"/>
      <family val="3"/>
      <charset val="128"/>
    </font>
    <font>
      <i/>
      <sz val="16"/>
      <color theme="1"/>
      <name val="ＭＳ ゴシック"/>
      <family val="3"/>
      <charset val="128"/>
    </font>
    <font>
      <i/>
      <sz val="11"/>
      <color theme="1"/>
      <name val="游ゴシック"/>
      <family val="3"/>
      <charset val="128"/>
      <scheme val="minor"/>
    </font>
    <font>
      <u/>
      <sz val="16"/>
      <color rgb="FFFF0000"/>
      <name val="ＭＳ ゴシック"/>
      <family val="3"/>
      <charset val="128"/>
    </font>
    <font>
      <u/>
      <sz val="16"/>
      <color theme="1"/>
      <name val="ＭＳ ゴシック"/>
      <family val="3"/>
      <charset val="128"/>
    </font>
    <font>
      <u/>
      <sz val="11"/>
      <color rgb="FFFF0000"/>
      <name val="游ゴシック"/>
      <family val="2"/>
      <charset val="128"/>
      <scheme val="minor"/>
    </font>
    <font>
      <sz val="16"/>
      <color indexed="10"/>
      <name val="ＭＳ Ｐゴシック"/>
      <family val="3"/>
      <charset val="128"/>
    </font>
    <font>
      <sz val="16"/>
      <name val="ＭＳ Ｐゴシック"/>
      <family val="3"/>
      <charset val="128"/>
    </font>
    <font>
      <sz val="8"/>
      <name val="ＭＳ Ｐゴシック"/>
      <family val="3"/>
      <charset val="128"/>
    </font>
    <font>
      <sz val="9"/>
      <color rgb="FF0000FF"/>
      <name val="ＭＳ Ｐゴシック"/>
      <family val="3"/>
      <charset val="128"/>
    </font>
    <font>
      <sz val="9"/>
      <color indexed="12"/>
      <name val="ＭＳ Ｐゴシック"/>
      <family val="3"/>
      <charset val="128"/>
    </font>
    <font>
      <sz val="9"/>
      <color rgb="FFFF0000"/>
      <name val="ＭＳ Ｐゴシック"/>
      <family val="3"/>
      <charset val="128"/>
    </font>
    <font>
      <sz val="8"/>
      <color indexed="10"/>
      <name val="ＭＳ Ｐゴシック"/>
      <family val="3"/>
      <charset val="128"/>
    </font>
    <font>
      <sz val="8"/>
      <color indexed="12"/>
      <name val="ＭＳ Ｐゴシック"/>
      <family val="3"/>
      <charset val="128"/>
    </font>
    <font>
      <sz val="10"/>
      <color indexed="12"/>
      <name val="ＭＳ Ｐゴシック"/>
      <family val="3"/>
      <charset val="128"/>
    </font>
    <font>
      <sz val="10"/>
      <color indexed="8"/>
      <name val="ＭＳ 明朝"/>
      <family val="1"/>
      <charset val="128"/>
    </font>
    <font>
      <sz val="9"/>
      <color indexed="12"/>
      <name val="ＭＳ 明朝"/>
      <family val="1"/>
      <charset val="128"/>
    </font>
    <font>
      <sz val="11"/>
      <color indexed="8"/>
      <name val="ＭＳ Ｐゴシック"/>
      <family val="3"/>
      <charset val="128"/>
    </font>
    <font>
      <sz val="10"/>
      <color indexed="12"/>
      <name val="ＭＳ 明朝"/>
      <family val="1"/>
      <charset val="128"/>
    </font>
    <font>
      <sz val="9"/>
      <color rgb="FF0000FF"/>
      <name val="ＭＳ 明朝"/>
      <family val="1"/>
      <charset val="128"/>
    </font>
    <font>
      <sz val="9"/>
      <name val="ＭＳ 明朝"/>
      <family val="1"/>
      <charset val="128"/>
    </font>
    <font>
      <sz val="10"/>
      <color rgb="FF0000FF"/>
      <name val="ＭＳ 明朝"/>
      <family val="1"/>
      <charset val="128"/>
    </font>
    <font>
      <sz val="9"/>
      <color indexed="8"/>
      <name val="ＭＳ 明朝"/>
      <family val="1"/>
      <charset val="128"/>
    </font>
    <font>
      <sz val="8"/>
      <color indexed="8"/>
      <name val="ＭＳ 明朝"/>
      <family val="1"/>
      <charset val="128"/>
    </font>
    <font>
      <b/>
      <sz val="10"/>
      <name val="ＭＳ 明朝"/>
      <family val="1"/>
      <charset val="128"/>
    </font>
    <font>
      <sz val="9"/>
      <color rgb="FFFF0000"/>
      <name val="ＭＳ 明朝"/>
      <family val="1"/>
      <charset val="128"/>
    </font>
    <font>
      <sz val="11"/>
      <color indexed="8"/>
      <name val="ＭＳ 明朝"/>
      <family val="1"/>
      <charset val="128"/>
    </font>
    <font>
      <sz val="12"/>
      <name val="ＭＳ Ｐゴシック"/>
      <family val="3"/>
      <charset val="128"/>
    </font>
    <font>
      <sz val="11"/>
      <color theme="1"/>
      <name val="ＭＳ Ｐゴシック"/>
      <family val="3"/>
      <charset val="128"/>
    </font>
    <font>
      <sz val="11"/>
      <color rgb="FFC00000"/>
      <name val="ＭＳ Ｐゴシック"/>
      <family val="3"/>
      <charset val="128"/>
    </font>
    <font>
      <b/>
      <sz val="9"/>
      <color rgb="FF0000FF"/>
      <name val="ＭＳ Ｐゴシック"/>
      <family val="3"/>
      <charset val="128"/>
    </font>
    <font>
      <sz val="11"/>
      <color theme="5" tint="-0.499984740745262"/>
      <name val="ＭＳ Ｐゴシック"/>
      <family val="3"/>
      <charset val="128"/>
    </font>
    <font>
      <i/>
      <sz val="16"/>
      <color rgb="FFFF0000"/>
      <name val="ＭＳ ゴシック"/>
      <family val="3"/>
      <charset val="128"/>
    </font>
    <font>
      <sz val="18"/>
      <name val="ＭＳ Ｐゴシック"/>
      <family val="3"/>
      <charset val="128"/>
    </font>
    <font>
      <sz val="18"/>
      <name val="ＭＳ Ｐ明朝"/>
      <family val="1"/>
      <charset val="128"/>
    </font>
    <font>
      <b/>
      <sz val="22"/>
      <name val="ＭＳ Ｐゴシック"/>
      <family val="3"/>
      <charset val="128"/>
    </font>
    <font>
      <sz val="20"/>
      <name val="ＭＳ Ｐ明朝"/>
      <family val="1"/>
      <charset val="128"/>
    </font>
    <font>
      <sz val="20"/>
      <name val="ＭＳ Ｐゴシック"/>
      <family val="3"/>
      <charset val="128"/>
    </font>
    <font>
      <b/>
      <sz val="20"/>
      <name val="ＭＳ Ｐゴシック"/>
      <family val="3"/>
      <charset val="128"/>
    </font>
    <font>
      <sz val="20"/>
      <name val="ＭＳ Ｐゴシック"/>
      <family val="1"/>
      <charset val="128"/>
    </font>
    <font>
      <b/>
      <sz val="14"/>
      <name val="ＭＳ Ｐゴシック"/>
      <family val="3"/>
      <charset val="128"/>
    </font>
    <font>
      <b/>
      <sz val="9"/>
      <color indexed="10"/>
      <name val="ＭＳ Ｐゴシック"/>
      <family val="3"/>
      <charset val="128"/>
    </font>
    <font>
      <sz val="8"/>
      <color indexed="81"/>
      <name val="MS P ゴシック"/>
      <family val="3"/>
      <charset val="128"/>
    </font>
    <font>
      <sz val="11"/>
      <color rgb="FF002060"/>
      <name val="ＭＳ Ｐゴシック"/>
      <family val="3"/>
      <charset val="128"/>
    </font>
    <font>
      <sz val="10"/>
      <name val="ＭＳ ゴシック"/>
      <family val="3"/>
      <charset val="128"/>
    </font>
    <font>
      <sz val="10"/>
      <color rgb="FF0000FF"/>
      <name val="ＭＳ ゴシック"/>
      <family val="3"/>
      <charset val="128"/>
    </font>
    <font>
      <sz val="10"/>
      <color indexed="12"/>
      <name val="ＭＳ ゴシック"/>
      <family val="3"/>
      <charset val="128"/>
    </font>
    <font>
      <b/>
      <sz val="10"/>
      <name val="ＭＳ ゴシック"/>
      <family val="3"/>
      <charset val="128"/>
    </font>
    <font>
      <sz val="10"/>
      <color theme="7" tint="-0.249977111117893"/>
      <name val="ＭＳ ゴシック"/>
      <family val="3"/>
      <charset val="128"/>
    </font>
    <font>
      <b/>
      <sz val="11"/>
      <color rgb="FFFF0000"/>
      <name val="ＭＳ Ｐゴシック"/>
      <family val="3"/>
      <charset val="128"/>
    </font>
    <font>
      <sz val="10"/>
      <color rgb="FF0000FF"/>
      <name val="ＭＳ Ｐゴシック"/>
      <family val="3"/>
      <charset val="128"/>
    </font>
    <font>
      <sz val="9"/>
      <color rgb="FFC00000"/>
      <name val="ＭＳ Ｐゴシック"/>
      <family val="3"/>
      <charset val="128"/>
    </font>
    <font>
      <b/>
      <sz val="9"/>
      <name val="ＭＳ 明朝"/>
      <family val="1"/>
      <charset val="128"/>
    </font>
    <font>
      <sz val="8"/>
      <name val="ＭＳ 明朝"/>
      <family val="1"/>
      <charset val="128"/>
    </font>
    <font>
      <sz val="9"/>
      <color indexed="8"/>
      <name val="ＭＳ Ｐゴシック"/>
      <family val="3"/>
      <charset val="128"/>
    </font>
    <font>
      <b/>
      <sz val="9"/>
      <color theme="5" tint="-0.249977111117893"/>
      <name val="ＭＳ Ｐゴシック"/>
      <family val="3"/>
      <charset val="128"/>
    </font>
    <font>
      <sz val="11"/>
      <color theme="5" tint="-0.249977111117893"/>
      <name val="ＭＳ Ｐゴシック"/>
      <family val="3"/>
      <charset val="128"/>
    </font>
    <font>
      <sz val="9"/>
      <color theme="5" tint="-0.249977111117893"/>
      <name val="ＭＳ Ｐゴシック"/>
      <family val="3"/>
      <charset val="128"/>
    </font>
    <font>
      <sz val="8"/>
      <color rgb="FFFF0000"/>
      <name val="ＭＳ Ｐゴシック"/>
      <family val="3"/>
      <charset val="128"/>
    </font>
    <font>
      <b/>
      <sz val="9"/>
      <color rgb="FFFF0000"/>
      <name val="ＭＳ Ｐゴシック"/>
      <family val="3"/>
      <charset val="128"/>
    </font>
    <font>
      <sz val="11"/>
      <color indexed="12"/>
      <name val="ＭＳ 明朝"/>
      <family val="1"/>
      <charset val="128"/>
    </font>
    <font>
      <sz val="11"/>
      <color rgb="FF0000FF"/>
      <name val="ＭＳ 明朝"/>
      <family val="1"/>
      <charset val="128"/>
    </font>
    <font>
      <b/>
      <sz val="11"/>
      <color theme="5" tint="-0.499984740745262"/>
      <name val="ＭＳ Ｐゴシック"/>
      <family val="3"/>
      <charset val="128"/>
    </font>
    <font>
      <strike/>
      <sz val="9"/>
      <name val="ＭＳ Ｐゴシック"/>
      <family val="3"/>
      <charset val="128"/>
    </font>
    <font>
      <strike/>
      <sz val="9"/>
      <color rgb="FF0000FF"/>
      <name val="ＭＳ Ｐゴシック"/>
      <family val="3"/>
      <charset val="128"/>
    </font>
    <font>
      <sz val="8.5"/>
      <name val="ＭＳ Ｐゴシック"/>
      <family val="3"/>
      <charset val="128"/>
    </font>
    <font>
      <sz val="20"/>
      <color theme="1"/>
      <name val="游ゴシック"/>
      <family val="2"/>
      <charset val="128"/>
      <scheme val="minor"/>
    </font>
    <font>
      <sz val="18"/>
      <color theme="1"/>
      <name val="ＭＳ Ｐゴシック"/>
      <family val="3"/>
      <charset val="128"/>
    </font>
    <font>
      <b/>
      <sz val="24"/>
      <color theme="1"/>
      <name val="ＭＳ Ｐゴシック"/>
      <family val="3"/>
      <charset val="128"/>
    </font>
    <font>
      <sz val="20"/>
      <color theme="1"/>
      <name val="ＭＳ Ｐゴシック"/>
      <family val="3"/>
      <charset val="128"/>
    </font>
    <font>
      <sz val="20"/>
      <color theme="1"/>
      <name val="ＭＳ Ｐ明朝"/>
      <family val="1"/>
      <charset val="128"/>
    </font>
    <font>
      <b/>
      <sz val="20"/>
      <color theme="1"/>
      <name val="ＭＳ Ｐ明朝"/>
      <family val="1"/>
      <charset val="128"/>
    </font>
    <font>
      <b/>
      <sz val="20"/>
      <color theme="1"/>
      <name val="ＭＳ Ｐゴシック"/>
      <family val="3"/>
      <charset val="128"/>
    </font>
    <font>
      <u/>
      <sz val="20"/>
      <color theme="1"/>
      <name val="ＭＳ Ｐゴシック"/>
      <family val="3"/>
      <charset val="128"/>
    </font>
    <font>
      <b/>
      <sz val="9"/>
      <color indexed="12"/>
      <name val="ＭＳ Ｐゴシック"/>
      <family val="3"/>
      <charset val="128"/>
    </font>
    <font>
      <sz val="11"/>
      <color rgb="FFFFC000"/>
      <name val="ＭＳ Ｐゴシック"/>
      <family val="3"/>
      <charset val="128"/>
    </font>
    <font>
      <sz val="11"/>
      <name val="游ゴシック"/>
      <family val="2"/>
      <charset val="128"/>
      <scheme val="minor"/>
    </font>
    <font>
      <sz val="16"/>
      <color rgb="FFFF0000"/>
      <name val="ＭＳ Ｐゴシック"/>
      <family val="3"/>
      <charset val="128"/>
    </font>
    <font>
      <sz val="10"/>
      <color rgb="FFFF0000"/>
      <name val="ＭＳ 明朝"/>
      <family val="1"/>
      <charset val="128"/>
    </font>
    <font>
      <name val="Calibri"/>
      <family val="2"/>
      <color theme="1"/>
      <sz val="11"/>
      <scheme val="minor"/>
    </font>
    <font>
      <b val="1"/>
    </font>
    <font>
      <b val="1"/>
      <sz val="14"/>
    </font>
  </fonts>
  <fills count="34">
    <fill>
      <patternFill patternType="none"/>
    </fill>
    <fill>
      <patternFill patternType="gray125"/>
    </fill>
    <fill>
      <patternFill patternType="solid">
        <fgColor theme="0" tint="-0.14999847407452621"/>
        <bgColor indexed="64"/>
      </patternFill>
    </fill>
    <fill>
      <patternFill patternType="solid">
        <fgColor rgb="FFFFFFCC"/>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66FFFF"/>
        <bgColor indexed="64"/>
      </patternFill>
    </fill>
    <fill>
      <patternFill patternType="solid">
        <fgColor indexed="9"/>
        <bgColor indexed="64"/>
      </patternFill>
    </fill>
    <fill>
      <patternFill patternType="solid">
        <fgColor indexed="42"/>
        <bgColor indexed="64"/>
      </patternFill>
    </fill>
    <fill>
      <patternFill patternType="solid">
        <fgColor rgb="FFFFC000"/>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CCFFCC"/>
        <bgColor indexed="64"/>
      </patternFill>
    </fill>
    <fill>
      <patternFill patternType="solid">
        <fgColor indexed="4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indexed="26"/>
        <bgColor indexed="64"/>
      </patternFill>
    </fill>
    <fill>
      <patternFill patternType="solid">
        <fgColor indexed="27"/>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2"/>
        <bgColor indexed="64"/>
      </patternFill>
    </fill>
    <fill>
      <patternFill patternType="solid">
        <fgColor indexed="52"/>
        <bgColor indexed="64"/>
      </patternFill>
    </fill>
    <fill>
      <patternFill patternType="solid">
        <fgColor rgb="FFFFFFFF"/>
        <bgColor rgb="FF000000"/>
      </patternFill>
    </fill>
    <fill>
      <patternFill patternType="solid">
        <fgColor theme="3" tint="0.79998168889431442"/>
        <bgColor indexed="64"/>
      </patternFill>
    </fill>
    <fill>
      <patternFill/>
    </fill>
    <fill>
      <patternFill patternType="gray125"/>
    </fill>
    <fill>
      <patternFill patternType="solid">
        <fgColor rgb="00D9E1F2"/>
      </patternFill>
    </fill>
    <fill>
      <patternFill patternType="solid">
        <fgColor rgb="00FFF2CC"/>
      </patternFill>
    </fill>
    <fill>
      <patternFill patternType="solid">
        <fgColor rgb="FFFFC000"/>
        <bgColor indexed="64"/>
      </patternFill>
    </fill>
  </fills>
  <borders count="230">
    <border>
      <left/>
      <right/>
      <top/>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medium">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bottom/>
      <diagonal/>
    </border>
    <border>
      <left style="medium">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diagonal/>
    </border>
    <border>
      <left/>
      <right/>
      <top style="thin">
        <color indexed="64"/>
      </top>
      <bottom/>
      <diagonal/>
    </border>
    <border>
      <left style="thin">
        <color indexed="64"/>
      </left>
      <right/>
      <top/>
      <bottom style="double">
        <color indexed="64"/>
      </bottom>
      <diagonal/>
    </border>
    <border>
      <left/>
      <right/>
      <top/>
      <bottom style="double">
        <color indexed="64"/>
      </bottom>
      <diagonal/>
    </border>
    <border>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style="hair">
        <color indexed="64"/>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double">
        <color indexed="64"/>
      </top>
      <bottom style="hair">
        <color indexed="64"/>
      </bottom>
      <diagonal/>
    </border>
    <border>
      <left/>
      <right/>
      <top style="double">
        <color indexed="64"/>
      </top>
      <bottom style="hair">
        <color indexed="64"/>
      </bottom>
      <diagonal/>
    </border>
    <border>
      <left/>
      <right style="thin">
        <color indexed="64"/>
      </right>
      <top style="double">
        <color indexed="64"/>
      </top>
      <bottom style="hair">
        <color indexed="64"/>
      </bottom>
      <diagonal/>
    </border>
    <border>
      <left style="thin">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right/>
      <top style="thin">
        <color indexed="64"/>
      </top>
      <bottom style="hair">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thin">
        <color indexed="64"/>
      </bottom>
      <diagonal/>
    </border>
    <border>
      <left/>
      <right/>
      <top/>
      <bottom style="thick">
        <color indexed="64"/>
      </bottom>
      <diagonal/>
    </border>
    <border>
      <left style="thick">
        <color indexed="64"/>
      </left>
      <right/>
      <top style="thick">
        <color indexed="64"/>
      </top>
      <bottom/>
      <diagonal/>
    </border>
    <border>
      <left style="thick">
        <color indexed="64"/>
      </left>
      <right/>
      <top/>
      <bottom/>
      <diagonal/>
    </border>
    <border>
      <left style="thick">
        <color indexed="64"/>
      </left>
      <right/>
      <top/>
      <bottom style="thick">
        <color indexed="64"/>
      </bottom>
      <diagonal/>
    </border>
    <border>
      <left style="thick">
        <color indexed="64"/>
      </left>
      <right/>
      <top style="thin">
        <color indexed="64"/>
      </top>
      <bottom style="thick">
        <color indexed="64"/>
      </bottom>
      <diagonal/>
    </border>
    <border>
      <left style="thin">
        <color indexed="64"/>
      </left>
      <right/>
      <top/>
      <bottom style="thick">
        <color indexed="64"/>
      </bottom>
      <diagonal/>
    </border>
    <border>
      <left/>
      <right style="thick">
        <color indexed="64"/>
      </right>
      <top/>
      <bottom style="thick">
        <color indexed="64"/>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right style="thick">
        <color indexed="64"/>
      </right>
      <top style="thick">
        <color indexed="64"/>
      </top>
      <bottom/>
      <diagonal/>
    </border>
    <border>
      <left/>
      <right style="thick">
        <color indexed="64"/>
      </right>
      <top style="thin">
        <color indexed="64"/>
      </top>
      <bottom style="thick">
        <color indexed="64"/>
      </bottom>
      <diagonal/>
    </border>
    <border>
      <left/>
      <right style="thin">
        <color indexed="64"/>
      </right>
      <top style="thick">
        <color indexed="64"/>
      </top>
      <bottom/>
      <diagonal/>
    </border>
    <border>
      <left style="thick">
        <color indexed="64"/>
      </left>
      <right/>
      <top style="thick">
        <color indexed="64"/>
      </top>
      <bottom style="thick">
        <color indexed="64"/>
      </bottom>
      <diagonal/>
    </border>
    <border>
      <left/>
      <right style="thick">
        <color indexed="64"/>
      </right>
      <top style="thick">
        <color indexed="64"/>
      </top>
      <bottom style="thick">
        <color indexed="64"/>
      </bottom>
      <diagonal/>
    </border>
    <border>
      <left/>
      <right/>
      <top style="thick">
        <color indexed="64"/>
      </top>
      <bottom style="thick">
        <color indexed="64"/>
      </bottom>
      <diagonal/>
    </border>
    <border>
      <left/>
      <right style="thin">
        <color indexed="64"/>
      </right>
      <top style="thick">
        <color indexed="64"/>
      </top>
      <bottom style="thick">
        <color indexed="64"/>
      </bottom>
      <diagonal/>
    </border>
    <border>
      <left/>
      <right/>
      <top/>
      <bottom style="dotted">
        <color indexed="64"/>
      </bottom>
      <diagonal/>
    </border>
    <border>
      <left style="thick">
        <color indexed="64"/>
      </left>
      <right/>
      <top style="thin">
        <color indexed="64"/>
      </top>
      <bottom/>
      <diagonal/>
    </border>
    <border>
      <left/>
      <right style="medium">
        <color indexed="64"/>
      </right>
      <top/>
      <bottom style="double">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medium">
        <color indexed="64"/>
      </left>
      <right/>
      <top/>
      <bottom style="double">
        <color indexed="64"/>
      </bottom>
      <diagonal/>
    </border>
    <border>
      <left style="medium">
        <color indexed="64"/>
      </left>
      <right/>
      <top style="double">
        <color indexed="64"/>
      </top>
      <bottom style="hair">
        <color indexed="64"/>
      </bottom>
      <diagonal/>
    </border>
    <border>
      <left/>
      <right style="medium">
        <color indexed="64"/>
      </right>
      <top style="double">
        <color indexed="64"/>
      </top>
      <bottom style="hair">
        <color indexed="64"/>
      </bottom>
      <diagonal/>
    </border>
    <border>
      <left style="thin">
        <color indexed="64"/>
      </left>
      <right/>
      <top style="medium">
        <color indexed="64"/>
      </top>
      <bottom/>
      <diagonal/>
    </border>
    <border>
      <left style="thin">
        <color indexed="64"/>
      </left>
      <right style="thick">
        <color indexed="64"/>
      </right>
      <top/>
      <bottom style="thin">
        <color indexed="64"/>
      </bottom>
      <diagonal/>
    </border>
    <border>
      <left/>
      <right style="thin">
        <color indexed="64"/>
      </right>
      <top/>
      <bottom style="thick">
        <color indexed="64"/>
      </bottom>
      <diagonal/>
    </border>
    <border>
      <left style="thick">
        <color indexed="64"/>
      </left>
      <right style="thin">
        <color indexed="64"/>
      </right>
      <top/>
      <bottom style="thin">
        <color indexed="64"/>
      </bottom>
      <diagonal/>
    </border>
    <border>
      <left style="thick">
        <color indexed="64"/>
      </left>
      <right style="thick">
        <color indexed="64"/>
      </right>
      <top/>
      <bottom style="thin">
        <color indexed="64"/>
      </bottom>
      <diagonal/>
    </border>
    <border>
      <left style="thick">
        <color indexed="64"/>
      </left>
      <right style="thick">
        <color indexed="64"/>
      </right>
      <top/>
      <bottom/>
      <diagonal/>
    </border>
    <border>
      <left style="thick">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ck">
        <color indexed="64"/>
      </right>
      <top style="thin">
        <color indexed="64"/>
      </top>
      <bottom/>
      <diagonal/>
    </border>
    <border>
      <left style="thick">
        <color indexed="64"/>
      </left>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style="thick">
        <color indexed="64"/>
      </right>
      <top/>
      <bottom/>
      <diagonal/>
    </border>
    <border>
      <left/>
      <right/>
      <top style="dotted">
        <color indexed="64"/>
      </top>
      <bottom style="thick">
        <color indexed="64"/>
      </bottom>
      <diagonal/>
    </border>
    <border>
      <left/>
      <right style="thin">
        <color indexed="64"/>
      </right>
      <top style="dotted">
        <color indexed="64"/>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style="medium">
        <color indexed="64"/>
      </right>
      <top style="medium">
        <color indexed="64"/>
      </top>
      <bottom/>
      <diagonal/>
    </border>
    <border>
      <left/>
      <right style="dotted">
        <color indexed="64"/>
      </right>
      <top style="thin">
        <color indexed="64"/>
      </top>
      <bottom/>
      <diagonal/>
    </border>
    <border>
      <left style="thin">
        <color indexed="64"/>
      </left>
      <right style="dotted">
        <color indexed="64"/>
      </right>
      <top style="thin">
        <color indexed="64"/>
      </top>
      <bottom/>
      <diagonal/>
    </border>
    <border>
      <left style="medium">
        <color indexed="64"/>
      </left>
      <right style="medium">
        <color indexed="64"/>
      </right>
      <top/>
      <bottom style="thin">
        <color indexed="64"/>
      </bottom>
      <diagonal/>
    </border>
    <border>
      <left style="dotted">
        <color indexed="64"/>
      </left>
      <right style="thin">
        <color indexed="64"/>
      </right>
      <top style="thin">
        <color indexed="64"/>
      </top>
      <bottom/>
      <diagonal/>
    </border>
    <border>
      <left style="dotted">
        <color indexed="64"/>
      </left>
      <right/>
      <top style="thin">
        <color indexed="64"/>
      </top>
      <bottom/>
      <diagonal/>
    </border>
    <border>
      <left/>
      <right style="dotted">
        <color indexed="64"/>
      </right>
      <top/>
      <bottom/>
      <diagonal/>
    </border>
    <border>
      <left style="dotted">
        <color indexed="64"/>
      </left>
      <right style="thin">
        <color indexed="64"/>
      </right>
      <top/>
      <bottom/>
      <diagonal/>
    </border>
    <border>
      <left style="thin">
        <color indexed="64"/>
      </left>
      <right style="dotted">
        <color indexed="64"/>
      </right>
      <top/>
      <bottom/>
      <diagonal/>
    </border>
    <border>
      <left style="dotted">
        <color indexed="64"/>
      </left>
      <right/>
      <top/>
      <bottom/>
      <diagonal/>
    </border>
    <border>
      <left style="dotted">
        <color indexed="64"/>
      </left>
      <right style="medium">
        <color indexed="64"/>
      </right>
      <top/>
      <bottom/>
      <diagonal/>
    </border>
    <border>
      <left style="medium">
        <color indexed="64"/>
      </left>
      <right style="dotted">
        <color indexed="64"/>
      </right>
      <top/>
      <bottom/>
      <diagonal/>
    </border>
    <border>
      <left style="thin">
        <color indexed="64"/>
      </left>
      <right style="hair">
        <color indexed="64"/>
      </right>
      <top style="thin">
        <color indexed="64"/>
      </top>
      <bottom/>
      <diagonal/>
    </border>
    <border>
      <left/>
      <right/>
      <top style="hair">
        <color indexed="64"/>
      </top>
      <bottom style="thin">
        <color indexed="64"/>
      </bottom>
      <diagonal/>
    </border>
    <border>
      <left style="thin">
        <color indexed="64"/>
      </left>
      <right style="hair">
        <color indexed="64"/>
      </right>
      <top/>
      <bottom style="thin">
        <color indexed="64"/>
      </bottom>
      <diagonal/>
    </border>
    <border>
      <left/>
      <right/>
      <top style="thin">
        <color rgb="FF00B050"/>
      </top>
      <bottom/>
      <diagonal/>
    </border>
    <border>
      <left style="medium">
        <color indexed="64"/>
      </left>
      <right style="dotted">
        <color indexed="64"/>
      </right>
      <top style="thin">
        <color indexed="64"/>
      </top>
      <bottom/>
      <diagonal/>
    </border>
    <border>
      <left style="dotted">
        <color indexed="64"/>
      </left>
      <right style="medium">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dotted">
        <color indexed="64"/>
      </right>
      <top/>
      <bottom style="medium">
        <color indexed="64"/>
      </bottom>
      <diagonal/>
    </border>
    <border>
      <left style="medium">
        <color indexed="64"/>
      </left>
      <right style="dotted">
        <color indexed="64"/>
      </right>
      <top style="medium">
        <color indexed="64"/>
      </top>
      <bottom style="medium">
        <color indexed="64"/>
      </bottom>
      <diagonal/>
    </border>
    <border>
      <left/>
      <right style="dotted">
        <color indexed="64"/>
      </right>
      <top/>
      <bottom style="medium">
        <color indexed="64"/>
      </bottom>
      <diagonal/>
    </border>
    <border>
      <left/>
      <right style="dotted">
        <color indexed="64"/>
      </right>
      <top style="medium">
        <color indexed="64"/>
      </top>
      <bottom style="medium">
        <color indexed="64"/>
      </bottom>
      <diagonal/>
    </border>
    <border>
      <left style="thin">
        <color indexed="64"/>
      </left>
      <right style="dotted">
        <color indexed="64"/>
      </right>
      <top style="medium">
        <color indexed="64"/>
      </top>
      <bottom style="medium">
        <color indexed="64"/>
      </bottom>
      <diagonal/>
    </border>
    <border>
      <left style="medium">
        <color indexed="64"/>
      </left>
      <right/>
      <top style="medium">
        <color indexed="64"/>
      </top>
      <bottom style="hair">
        <color indexed="64"/>
      </bottom>
      <diagonal/>
    </border>
    <border>
      <left/>
      <right style="medium">
        <color indexed="64"/>
      </right>
      <top style="medium">
        <color indexed="64"/>
      </top>
      <bottom style="hair">
        <color indexed="64"/>
      </bottom>
      <diagonal/>
    </border>
    <border>
      <left style="hair">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right/>
      <top style="hair">
        <color indexed="64"/>
      </top>
      <bottom style="thick">
        <color indexed="64"/>
      </bottom>
      <diagonal/>
    </border>
    <border>
      <left style="thin">
        <color indexed="64"/>
      </left>
      <right/>
      <top/>
      <bottom style="hair">
        <color indexed="64"/>
      </bottom>
      <diagonal/>
    </border>
    <border>
      <left/>
      <right/>
      <top style="hair">
        <color indexed="64"/>
      </top>
      <bottom/>
      <diagonal/>
    </border>
    <border>
      <left/>
      <right style="thin">
        <color indexed="64"/>
      </right>
      <top style="hair">
        <color indexed="64"/>
      </top>
      <bottom/>
      <diagonal/>
    </border>
    <border>
      <left style="thin">
        <color indexed="64"/>
      </left>
      <right/>
      <top style="hair">
        <color indexed="64"/>
      </top>
      <bottom/>
      <diagonal/>
    </border>
    <border>
      <left/>
      <right/>
      <top style="thick">
        <color indexed="64"/>
      </top>
      <bottom style="hair">
        <color indexed="64"/>
      </bottom>
      <diagonal/>
    </border>
    <border>
      <left/>
      <right style="thin">
        <color indexed="64"/>
      </right>
      <top style="thick">
        <color indexed="64"/>
      </top>
      <bottom style="hair">
        <color indexed="64"/>
      </bottom>
      <diagonal/>
    </border>
    <border>
      <left style="thin">
        <color indexed="64"/>
      </left>
      <right/>
      <top style="thick">
        <color indexed="64"/>
      </top>
      <bottom/>
      <diagonal/>
    </border>
    <border>
      <left/>
      <right/>
      <top style="thick">
        <color indexed="64"/>
      </top>
      <bottom/>
      <diagonal/>
    </border>
    <border>
      <left style="thin">
        <color indexed="64"/>
      </left>
      <right/>
      <top style="thick">
        <color indexed="64"/>
      </top>
      <bottom style="hair">
        <color indexed="64"/>
      </bottom>
      <diagonal/>
    </border>
    <border>
      <left style="thin">
        <color indexed="64"/>
      </left>
      <right/>
      <top style="hair">
        <color indexed="64"/>
      </top>
      <bottom style="thick">
        <color indexed="64"/>
      </bottom>
      <diagonal/>
    </border>
    <border>
      <left/>
      <right style="thin">
        <color indexed="64"/>
      </right>
      <top style="hair">
        <color indexed="64"/>
      </top>
      <bottom style="thick">
        <color indexed="64"/>
      </bottom>
      <diagonal/>
    </border>
    <border>
      <left style="medium">
        <color indexed="64"/>
      </left>
      <right style="medium">
        <color indexed="64"/>
      </right>
      <top/>
      <bottom style="medium">
        <color indexed="64"/>
      </bottom>
      <diagonal/>
    </border>
    <border>
      <left style="hair">
        <color indexed="64"/>
      </left>
      <right style="thin">
        <color indexed="64"/>
      </right>
      <top style="thin">
        <color indexed="64"/>
      </top>
      <bottom/>
      <diagonal/>
    </border>
    <border>
      <left/>
      <right style="hair">
        <color indexed="64"/>
      </right>
      <top style="thin">
        <color indexed="64"/>
      </top>
      <bottom/>
      <diagonal/>
    </border>
    <border>
      <left style="hair">
        <color indexed="64"/>
      </left>
      <right style="thin">
        <color indexed="64"/>
      </right>
      <top/>
      <bottom/>
      <diagonal/>
    </border>
    <border>
      <left/>
      <right style="hair">
        <color indexed="64"/>
      </right>
      <top/>
      <bottom/>
      <diagonal/>
    </border>
    <border>
      <left style="hair">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thick">
        <color indexed="64"/>
      </left>
      <right style="thick">
        <color indexed="64"/>
      </right>
      <top style="thin">
        <color indexed="64"/>
      </top>
      <bottom/>
      <diagonal/>
    </border>
    <border>
      <left style="hair">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medium">
        <color indexed="64"/>
      </top>
      <bottom style="medium">
        <color indexed="64"/>
      </bottom>
      <diagonal/>
    </border>
    <border>
      <left style="dashed">
        <color indexed="64"/>
      </left>
      <right style="thin">
        <color indexed="64"/>
      </right>
      <top style="thin">
        <color indexed="64"/>
      </top>
      <bottom/>
      <diagonal/>
    </border>
    <border>
      <left/>
      <right style="dashed">
        <color indexed="64"/>
      </right>
      <top style="thin">
        <color indexed="64"/>
      </top>
      <bottom/>
      <diagonal/>
    </border>
    <border>
      <left style="dashed">
        <color indexed="64"/>
      </left>
      <right style="thin">
        <color indexed="64"/>
      </right>
      <top/>
      <bottom/>
      <diagonal/>
    </border>
    <border>
      <left/>
      <right style="dashed">
        <color indexed="64"/>
      </right>
      <top/>
      <bottom/>
      <diagonal/>
    </border>
    <border>
      <left style="medium">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dashed">
        <color indexed="64"/>
      </left>
      <right style="thin">
        <color indexed="64"/>
      </right>
      <top style="medium">
        <color indexed="64"/>
      </top>
      <bottom style="medium">
        <color indexed="64"/>
      </bottom>
      <diagonal/>
    </border>
    <border>
      <left/>
      <right style="dashed">
        <color indexed="64"/>
      </right>
      <top style="medium">
        <color indexed="64"/>
      </top>
      <bottom style="medium">
        <color indexed="64"/>
      </bottom>
      <diagonal/>
    </border>
    <border>
      <left/>
      <right style="thick">
        <color indexed="64"/>
      </right>
      <top style="medium">
        <color indexed="64"/>
      </top>
      <bottom/>
      <diagonal/>
    </border>
    <border>
      <left style="thick">
        <color indexed="64"/>
      </left>
      <right/>
      <top style="medium">
        <color indexed="64"/>
      </top>
      <bottom style="thick">
        <color indexed="64"/>
      </bottom>
      <diagonal/>
    </border>
    <border>
      <left/>
      <right/>
      <top style="medium">
        <color indexed="64"/>
      </top>
      <bottom style="thick">
        <color indexed="64"/>
      </bottom>
      <diagonal/>
    </border>
    <border>
      <left/>
      <right style="thick">
        <color indexed="64"/>
      </right>
      <top style="medium">
        <color indexed="64"/>
      </top>
      <bottom style="thick">
        <color indexed="64"/>
      </bottom>
      <diagonal/>
    </border>
    <border>
      <left/>
      <right style="medium">
        <color indexed="64"/>
      </right>
      <top style="medium">
        <color indexed="64"/>
      </top>
      <bottom style="thick">
        <color indexed="64"/>
      </bottom>
      <diagonal/>
    </border>
    <border>
      <left style="medium">
        <color indexed="64"/>
      </left>
      <right/>
      <top/>
      <bottom style="thick">
        <color indexed="64"/>
      </bottom>
      <diagonal/>
    </border>
    <border>
      <left/>
      <right style="medium">
        <color indexed="64"/>
      </right>
      <top style="thin">
        <color indexed="64"/>
      </top>
      <bottom style="thick">
        <color indexed="64"/>
      </bottom>
      <diagonal/>
    </border>
    <border>
      <left style="medium">
        <color indexed="64"/>
      </left>
      <right style="thin">
        <color indexed="64"/>
      </right>
      <top/>
      <bottom style="thick">
        <color indexed="64"/>
      </bottom>
      <diagonal/>
    </border>
    <border>
      <left/>
      <right style="medium">
        <color indexed="64"/>
      </right>
      <top/>
      <bottom style="thick">
        <color indexed="64"/>
      </bottom>
      <diagonal/>
    </border>
    <border>
      <left style="medium">
        <color indexed="64"/>
      </left>
      <right/>
      <top style="thick">
        <color indexed="64"/>
      </top>
      <bottom/>
      <diagonal/>
    </border>
    <border>
      <left style="medium">
        <color indexed="64"/>
      </left>
      <right/>
      <top style="thin">
        <color indexed="64"/>
      </top>
      <bottom style="thick">
        <color indexed="64"/>
      </bottom>
      <diagonal/>
    </border>
    <border>
      <left/>
      <right/>
      <top style="thin">
        <color indexed="64"/>
      </top>
      <bottom style="thick">
        <color indexed="64"/>
      </bottom>
      <diagonal/>
    </border>
    <border>
      <left/>
      <right style="thin">
        <color indexed="64"/>
      </right>
      <top style="thin">
        <color indexed="64"/>
      </top>
      <bottom style="thick">
        <color indexed="64"/>
      </bottom>
      <diagonal/>
    </border>
    <border>
      <left/>
      <right style="medium">
        <color indexed="64"/>
      </right>
      <top style="thick">
        <color indexed="64"/>
      </top>
      <bottom/>
      <diagonal/>
    </border>
    <border>
      <left style="medium">
        <color indexed="64"/>
      </left>
      <right/>
      <top style="thick">
        <color indexed="64"/>
      </top>
      <bottom style="medium">
        <color indexed="64"/>
      </bottom>
      <diagonal/>
    </border>
    <border>
      <left/>
      <right style="thick">
        <color indexed="64"/>
      </right>
      <top style="thick">
        <color indexed="64"/>
      </top>
      <bottom style="medium">
        <color indexed="64"/>
      </bottom>
      <diagonal/>
    </border>
    <border>
      <left style="thick">
        <color indexed="64"/>
      </left>
      <right/>
      <top style="thick">
        <color indexed="64"/>
      </top>
      <bottom style="medium">
        <color indexed="64"/>
      </bottom>
      <diagonal/>
    </border>
    <border>
      <left/>
      <right/>
      <top style="thick">
        <color indexed="64"/>
      </top>
      <bottom style="medium">
        <color indexed="64"/>
      </bottom>
      <diagonal/>
    </border>
    <border>
      <left/>
      <right style="medium">
        <color indexed="64"/>
      </right>
      <top style="thick">
        <color indexed="64"/>
      </top>
      <bottom style="medium">
        <color indexed="64"/>
      </bottom>
      <diagonal/>
    </border>
    <border>
      <left style="thin">
        <color indexed="64"/>
      </left>
      <right style="hair">
        <color indexed="64"/>
      </right>
      <top style="thin">
        <color indexed="64"/>
      </top>
      <bottom style="thin">
        <color indexed="64"/>
      </bottom>
      <diagonal/>
    </border>
    <border>
      <left style="hair">
        <color indexed="64"/>
      </left>
      <right/>
      <top/>
      <bottom/>
      <diagonal/>
    </border>
    <border>
      <left style="thin">
        <color indexed="64"/>
      </left>
      <right style="hair">
        <color indexed="64"/>
      </right>
      <top/>
      <bottom/>
      <diagonal/>
    </border>
    <border>
      <left style="thin">
        <color indexed="64"/>
      </left>
      <right style="hair">
        <color indexed="64"/>
      </right>
      <top style="medium">
        <color indexed="64"/>
      </top>
      <bottom style="medium">
        <color indexed="64"/>
      </bottom>
      <diagonal/>
    </border>
    <border>
      <left style="dotted">
        <color indexed="64"/>
      </left>
      <right style="medium">
        <color indexed="64"/>
      </right>
      <top style="thin">
        <color indexed="64"/>
      </top>
      <bottom/>
      <diagonal/>
    </border>
    <border>
      <left style="thin">
        <color indexed="64"/>
      </left>
      <right style="thin">
        <color indexed="64"/>
      </right>
      <top style="thick">
        <color indexed="64"/>
      </top>
      <bottom style="hair">
        <color indexed="64"/>
      </bottom>
      <diagonal/>
    </border>
    <border>
      <left style="thin">
        <color indexed="64"/>
      </left>
      <right style="thin">
        <color indexed="64"/>
      </right>
      <top style="hair">
        <color indexed="64"/>
      </top>
      <bottom style="thick">
        <color indexed="64"/>
      </bottom>
      <diagonal/>
    </border>
    <border>
      <left style="hair">
        <color indexed="64"/>
      </left>
      <right style="medium">
        <color indexed="64"/>
      </right>
      <top style="medium">
        <color indexed="64"/>
      </top>
      <bottom/>
      <diagonal/>
    </border>
    <border>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right/>
      <top/>
      <bottom/>
      <diagonal/>
    </border>
    <border>
      <left style="thin">
        <color rgb="00999999"/>
      </left>
      <right style="thin">
        <color rgb="00999999"/>
      </right>
      <top style="thin">
        <color rgb="00999999"/>
      </top>
      <bottom style="thin">
        <color rgb="00999999"/>
      </bottom>
    </border>
  </borders>
  <cellStyleXfs count="7">
    <xf numFmtId="0" fontId="0" fillId="0" borderId="0">
      <alignment vertical="center"/>
    </xf>
    <xf numFmtId="38" fontId="1" fillId="0" borderId="0" applyFont="0" applyFill="0" applyBorder="0" applyAlignment="0" applyProtection="0">
      <alignment vertical="center"/>
    </xf>
    <xf numFmtId="38" fontId="4" fillId="0" borderId="0" applyFont="0" applyFill="0" applyBorder="0" applyAlignment="0" applyProtection="0"/>
    <xf numFmtId="0" fontId="4" fillId="0" borderId="0"/>
    <xf numFmtId="0" fontId="4"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2922">
    <xf numFmtId="0" fontId="0" fillId="0" borderId="0" xfId="0">
      <alignment vertical="center"/>
    </xf>
    <xf numFmtId="38" fontId="5" fillId="0" borderId="0" xfId="1" applyFont="1" applyFill="1">
      <alignment vertical="center"/>
    </xf>
    <xf numFmtId="38" fontId="6" fillId="0" borderId="0" xfId="1" applyFont="1" applyFill="1">
      <alignment vertical="center"/>
    </xf>
    <xf numFmtId="38" fontId="8" fillId="0" borderId="0" xfId="1" applyFont="1" applyFill="1">
      <alignment vertical="center"/>
    </xf>
    <xf numFmtId="38" fontId="10" fillId="0" borderId="0" xfId="2" applyFont="1" applyFill="1" applyBorder="1" applyAlignment="1">
      <alignment vertical="center" shrinkToFit="1"/>
    </xf>
    <xf numFmtId="0" fontId="5" fillId="0" borderId="0" xfId="0" applyFont="1">
      <alignment vertical="center"/>
    </xf>
    <xf numFmtId="0" fontId="9" fillId="0" borderId="0" xfId="0" applyFont="1">
      <alignment vertical="center"/>
    </xf>
    <xf numFmtId="38" fontId="14" fillId="0" borderId="0" xfId="1" applyFont="1" applyFill="1">
      <alignment vertical="center"/>
    </xf>
    <xf numFmtId="38" fontId="15" fillId="0" borderId="0" xfId="1" applyFont="1" applyFill="1" applyBorder="1">
      <alignment vertical="center"/>
    </xf>
    <xf numFmtId="38" fontId="15" fillId="0" borderId="0" xfId="1" applyFont="1" applyFill="1">
      <alignment vertical="center"/>
    </xf>
    <xf numFmtId="0" fontId="7" fillId="0" borderId="0" xfId="0" applyFont="1" applyAlignment="1">
      <alignment horizontal="left" vertical="center"/>
    </xf>
    <xf numFmtId="0" fontId="7" fillId="0" borderId="0" xfId="0" applyFont="1" applyAlignment="1">
      <alignment vertical="center"/>
    </xf>
    <xf numFmtId="38" fontId="14" fillId="0" borderId="0" xfId="1" applyFont="1" applyFill="1" applyAlignment="1">
      <alignment vertical="center" shrinkToFit="1"/>
    </xf>
    <xf numFmtId="38" fontId="10" fillId="4" borderId="0" xfId="2" applyFont="1" applyFill="1" applyBorder="1" applyAlignment="1">
      <alignment vertical="center"/>
    </xf>
    <xf numFmtId="38" fontId="10" fillId="4" borderId="0" xfId="2" applyFont="1" applyFill="1" applyBorder="1" applyAlignment="1">
      <alignment vertical="center" shrinkToFit="1"/>
    </xf>
    <xf numFmtId="0" fontId="4" fillId="0" borderId="0" xfId="4" applyBorder="1">
      <alignment vertical="center"/>
    </xf>
    <xf numFmtId="0" fontId="4" fillId="0" borderId="0" xfId="4">
      <alignment vertical="center"/>
    </xf>
    <xf numFmtId="179" fontId="24" fillId="4" borderId="0" xfId="4" applyNumberFormat="1" applyFont="1" applyFill="1" applyBorder="1" applyAlignment="1">
      <alignment vertical="center" shrinkToFit="1"/>
    </xf>
    <xf numFmtId="0" fontId="22" fillId="0" borderId="69" xfId="4" applyFont="1" applyBorder="1" applyAlignment="1">
      <alignment horizontal="center" vertical="center" shrinkToFit="1"/>
    </xf>
    <xf numFmtId="0" fontId="4" fillId="0" borderId="0" xfId="4" applyFont="1" applyFill="1" applyBorder="1">
      <alignment vertical="center"/>
    </xf>
    <xf numFmtId="0" fontId="4" fillId="0" borderId="110" xfId="4" applyFont="1" applyBorder="1">
      <alignment vertical="center"/>
    </xf>
    <xf numFmtId="0" fontId="4" fillId="0" borderId="0" xfId="4" applyFont="1">
      <alignment vertical="center"/>
    </xf>
    <xf numFmtId="178" fontId="4" fillId="0" borderId="0" xfId="4" applyNumberFormat="1">
      <alignment vertical="center"/>
    </xf>
    <xf numFmtId="0" fontId="4" fillId="0" borderId="0" xfId="4" applyFill="1">
      <alignment vertical="center"/>
    </xf>
    <xf numFmtId="186" fontId="6" fillId="0" borderId="0" xfId="1" applyNumberFormat="1" applyFont="1" applyFill="1" applyAlignment="1">
      <alignment horizontal="left" vertical="center"/>
    </xf>
    <xf numFmtId="38" fontId="21" fillId="0" borderId="0" xfId="1" applyFont="1" applyFill="1">
      <alignment vertical="center"/>
    </xf>
    <xf numFmtId="38" fontId="7" fillId="0" borderId="0" xfId="1" applyFont="1" applyFill="1">
      <alignment vertical="center"/>
    </xf>
    <xf numFmtId="187" fontId="0" fillId="0" borderId="0" xfId="0" applyNumberFormat="1">
      <alignment vertical="center"/>
    </xf>
    <xf numFmtId="38" fontId="6" fillId="8" borderId="0" xfId="1" applyFont="1" applyFill="1" applyAlignment="1">
      <alignment horizontal="right" vertical="center"/>
    </xf>
    <xf numFmtId="0" fontId="0" fillId="8" borderId="0" xfId="0" applyFill="1">
      <alignment vertical="center"/>
    </xf>
    <xf numFmtId="0" fontId="4" fillId="4" borderId="0" xfId="4" applyFill="1" applyBorder="1">
      <alignment vertical="center"/>
    </xf>
    <xf numFmtId="0" fontId="4" fillId="0" borderId="0" xfId="4" applyFill="1" applyBorder="1">
      <alignment vertical="center"/>
    </xf>
    <xf numFmtId="0" fontId="23" fillId="4" borderId="0" xfId="4" applyFont="1" applyFill="1" applyBorder="1">
      <alignment vertical="center"/>
    </xf>
    <xf numFmtId="0" fontId="36" fillId="0" borderId="0" xfId="0" applyFont="1">
      <alignment vertical="center"/>
    </xf>
    <xf numFmtId="38" fontId="40" fillId="0" borderId="63" xfId="1" applyFont="1" applyFill="1" applyBorder="1" applyAlignment="1">
      <alignment horizontal="left" vertical="center" shrinkToFit="1"/>
    </xf>
    <xf numFmtId="38" fontId="39" fillId="0" borderId="18" xfId="1" applyFont="1" applyFill="1" applyBorder="1" applyAlignment="1">
      <alignment vertical="center" shrinkToFit="1"/>
    </xf>
    <xf numFmtId="38" fontId="40" fillId="0" borderId="64" xfId="1" applyFont="1" applyFill="1" applyBorder="1" applyAlignment="1">
      <alignment vertical="center" shrinkToFit="1"/>
    </xf>
    <xf numFmtId="38" fontId="39" fillId="0" borderId="0" xfId="2" applyFont="1" applyFill="1" applyBorder="1" applyAlignment="1">
      <alignment vertical="center" shrinkToFit="1"/>
    </xf>
    <xf numFmtId="0" fontId="44" fillId="0" borderId="0" xfId="0" applyFont="1">
      <alignment vertical="center"/>
    </xf>
    <xf numFmtId="38" fontId="5" fillId="0" borderId="0" xfId="1" applyFont="1" applyFill="1" applyAlignment="1">
      <alignment vertical="center" shrinkToFit="1"/>
    </xf>
    <xf numFmtId="38" fontId="6" fillId="0" borderId="0" xfId="1" applyFont="1" applyFill="1" applyAlignment="1">
      <alignment vertical="center" shrinkToFit="1"/>
    </xf>
    <xf numFmtId="0" fontId="0" fillId="0" borderId="0" xfId="0" applyAlignment="1">
      <alignment vertical="center" shrinkToFit="1"/>
    </xf>
    <xf numFmtId="0" fontId="9" fillId="0" borderId="0" xfId="0" applyFont="1" applyAlignment="1">
      <alignment vertical="center" shrinkToFit="1"/>
    </xf>
    <xf numFmtId="0" fontId="7" fillId="0" borderId="0" xfId="0" applyFont="1" applyAlignment="1">
      <alignment horizontal="left" vertical="top" shrinkToFit="1"/>
    </xf>
    <xf numFmtId="38" fontId="0" fillId="0" borderId="0" xfId="0" applyNumberFormat="1" applyAlignment="1">
      <alignment vertical="center" shrinkToFit="1"/>
    </xf>
    <xf numFmtId="0" fontId="38" fillId="0" borderId="84" xfId="0" applyFont="1" applyFill="1" applyBorder="1" applyAlignment="1">
      <alignment horizontal="center" vertical="center" shrinkToFit="1"/>
    </xf>
    <xf numFmtId="0" fontId="38" fillId="0" borderId="87" xfId="0" applyFont="1" applyFill="1" applyBorder="1" applyAlignment="1">
      <alignment horizontal="center" vertical="center" shrinkToFit="1"/>
    </xf>
    <xf numFmtId="0" fontId="38" fillId="0" borderId="88" xfId="0" applyFont="1" applyFill="1" applyBorder="1" applyAlignment="1">
      <alignment horizontal="center" vertical="center" shrinkToFit="1"/>
    </xf>
    <xf numFmtId="184" fontId="38" fillId="0" borderId="27" xfId="0" applyNumberFormat="1" applyFont="1" applyFill="1" applyBorder="1" applyAlignment="1">
      <alignment horizontal="center" vertical="center" shrinkToFit="1"/>
    </xf>
    <xf numFmtId="184" fontId="38" fillId="0" borderId="32" xfId="0" applyNumberFormat="1" applyFont="1" applyFill="1" applyBorder="1" applyAlignment="1">
      <alignment horizontal="center" vertical="center" shrinkToFit="1"/>
    </xf>
    <xf numFmtId="184" fontId="38" fillId="0" borderId="0" xfId="0" applyNumberFormat="1" applyFont="1" applyFill="1" applyBorder="1" applyAlignment="1">
      <alignment horizontal="center" vertical="center" shrinkToFit="1"/>
    </xf>
    <xf numFmtId="0" fontId="38" fillId="0" borderId="66" xfId="0" applyFont="1" applyFill="1" applyBorder="1" applyAlignment="1">
      <alignment horizontal="center" vertical="center" shrinkToFit="1"/>
    </xf>
    <xf numFmtId="38" fontId="39" fillId="0" borderId="14" xfId="1" applyFont="1" applyFill="1" applyBorder="1" applyAlignment="1">
      <alignment vertical="center" shrinkToFit="1"/>
    </xf>
    <xf numFmtId="38" fontId="41" fillId="0" borderId="62" xfId="1" applyFont="1" applyFill="1" applyBorder="1" applyAlignment="1">
      <alignment vertical="center" shrinkToFit="1"/>
    </xf>
    <xf numFmtId="38" fontId="39" fillId="0" borderId="10" xfId="1" applyFont="1" applyFill="1" applyBorder="1" applyAlignment="1">
      <alignment vertical="center" shrinkToFit="1"/>
    </xf>
    <xf numFmtId="38" fontId="40" fillId="0" borderId="60" xfId="1" applyFont="1" applyFill="1" applyBorder="1" applyAlignment="1">
      <alignment vertical="center" shrinkToFit="1"/>
    </xf>
    <xf numFmtId="38" fontId="39" fillId="0" borderId="15" xfId="1" applyFont="1" applyFill="1" applyBorder="1" applyAlignment="1">
      <alignment vertical="center" shrinkToFit="1"/>
    </xf>
    <xf numFmtId="38" fontId="39" fillId="0" borderId="12" xfId="1" applyFont="1" applyFill="1" applyBorder="1" applyAlignment="1">
      <alignment vertical="center" shrinkToFit="1"/>
    </xf>
    <xf numFmtId="38" fontId="40" fillId="0" borderId="63" xfId="1" applyFont="1" applyFill="1" applyBorder="1" applyAlignment="1">
      <alignment vertical="center" shrinkToFit="1"/>
    </xf>
    <xf numFmtId="38" fontId="39" fillId="0" borderId="16" xfId="1" applyFont="1" applyFill="1" applyBorder="1" applyAlignment="1">
      <alignment vertical="center" shrinkToFit="1"/>
    </xf>
    <xf numFmtId="38" fontId="38" fillId="2" borderId="17" xfId="1" applyFont="1" applyFill="1" applyBorder="1" applyAlignment="1">
      <alignment horizontal="center" vertical="center" textRotation="255" shrinkToFit="1"/>
    </xf>
    <xf numFmtId="38" fontId="39" fillId="2" borderId="14" xfId="1" applyFont="1" applyFill="1" applyBorder="1" applyAlignment="1">
      <alignment horizontal="center" vertical="center" shrinkToFit="1"/>
    </xf>
    <xf numFmtId="38" fontId="41" fillId="2" borderId="65" xfId="1" applyFont="1" applyFill="1" applyBorder="1" applyAlignment="1">
      <alignment vertical="center" shrinkToFit="1"/>
    </xf>
    <xf numFmtId="38" fontId="40" fillId="0" borderId="67" xfId="1" applyFont="1" applyFill="1" applyBorder="1" applyAlignment="1">
      <alignment vertical="center" shrinkToFit="1"/>
    </xf>
    <xf numFmtId="38" fontId="39" fillId="0" borderId="8" xfId="1" applyFont="1" applyFill="1" applyBorder="1" applyAlignment="1">
      <alignment vertical="center" shrinkToFit="1"/>
    </xf>
    <xf numFmtId="38" fontId="40" fillId="0" borderId="65" xfId="1" applyFont="1" applyFill="1" applyBorder="1" applyAlignment="1">
      <alignment vertical="center" shrinkToFit="1"/>
    </xf>
    <xf numFmtId="38" fontId="39" fillId="0" borderId="64" xfId="1" applyFont="1" applyFill="1" applyBorder="1" applyAlignment="1">
      <alignment vertical="center" shrinkToFit="1"/>
    </xf>
    <xf numFmtId="38" fontId="39" fillId="4" borderId="16" xfId="1" applyFont="1" applyFill="1" applyBorder="1" applyAlignment="1">
      <alignment vertical="center" shrinkToFit="1"/>
    </xf>
    <xf numFmtId="38" fontId="40" fillId="0" borderId="61" xfId="1" applyFont="1" applyFill="1" applyBorder="1" applyAlignment="1">
      <alignment vertical="center" shrinkToFit="1"/>
    </xf>
    <xf numFmtId="38" fontId="42" fillId="0" borderId="31" xfId="1" applyFont="1" applyFill="1" applyBorder="1" applyAlignment="1">
      <alignment vertical="center" shrinkToFit="1"/>
    </xf>
    <xf numFmtId="38" fontId="42" fillId="0" borderId="34" xfId="1" applyFont="1" applyFill="1" applyBorder="1" applyAlignment="1">
      <alignment vertical="center" shrinkToFit="1"/>
    </xf>
    <xf numFmtId="38" fontId="42" fillId="0" borderId="62" xfId="1" applyFont="1" applyFill="1" applyBorder="1" applyAlignment="1">
      <alignment vertical="center" shrinkToFit="1"/>
    </xf>
    <xf numFmtId="38" fontId="42" fillId="2" borderId="34" xfId="1" applyFont="1" applyFill="1" applyBorder="1" applyAlignment="1">
      <alignment vertical="center" shrinkToFit="1"/>
    </xf>
    <xf numFmtId="38" fontId="42" fillId="2" borderId="62" xfId="1" applyFont="1" applyFill="1" applyBorder="1" applyAlignment="1">
      <alignment vertical="center" shrinkToFit="1"/>
    </xf>
    <xf numFmtId="176" fontId="43" fillId="5" borderId="37" xfId="1" applyNumberFormat="1" applyFont="1" applyFill="1" applyBorder="1" applyAlignment="1">
      <alignment vertical="center" shrinkToFit="1"/>
    </xf>
    <xf numFmtId="176" fontId="43" fillId="5" borderId="61" xfId="1" applyNumberFormat="1" applyFont="1" applyFill="1" applyBorder="1" applyAlignment="1">
      <alignment vertical="center" shrinkToFit="1"/>
    </xf>
    <xf numFmtId="176" fontId="39" fillId="0" borderId="38" xfId="1" applyNumberFormat="1" applyFont="1" applyFill="1" applyBorder="1" applyAlignment="1">
      <alignment vertical="center" shrinkToFit="1"/>
    </xf>
    <xf numFmtId="38" fontId="42" fillId="0" borderId="0" xfId="2" applyFont="1" applyFill="1" applyBorder="1" applyAlignment="1">
      <alignment vertical="center" shrinkToFit="1"/>
    </xf>
    <xf numFmtId="0" fontId="44" fillId="0" borderId="0" xfId="0" applyFont="1" applyAlignment="1">
      <alignment vertical="center" shrinkToFit="1"/>
    </xf>
    <xf numFmtId="0" fontId="38" fillId="0" borderId="0" xfId="0" applyFont="1" applyAlignment="1">
      <alignment vertical="center" shrinkToFit="1"/>
    </xf>
    <xf numFmtId="38" fontId="38" fillId="0" borderId="24" xfId="0" applyNumberFormat="1" applyFont="1" applyBorder="1" applyAlignment="1">
      <alignment vertical="center" shrinkToFit="1"/>
    </xf>
    <xf numFmtId="38" fontId="11" fillId="0" borderId="0" xfId="2" applyFont="1" applyFill="1" applyBorder="1" applyAlignment="1">
      <alignment vertical="center" shrinkToFit="1"/>
    </xf>
    <xf numFmtId="187" fontId="0" fillId="0" borderId="0" xfId="0" applyNumberFormat="1" applyAlignment="1">
      <alignment vertical="center" shrinkToFit="1"/>
    </xf>
    <xf numFmtId="38" fontId="21" fillId="0" borderId="0" xfId="1" applyFont="1" applyFill="1" applyAlignment="1">
      <alignment vertical="center" shrinkToFit="1"/>
    </xf>
    <xf numFmtId="38" fontId="7" fillId="0" borderId="0" xfId="1" applyFont="1" applyFill="1" applyAlignment="1">
      <alignment vertical="center" shrinkToFit="1"/>
    </xf>
    <xf numFmtId="186" fontId="6" fillId="0" borderId="0" xfId="1" applyNumberFormat="1" applyFont="1" applyFill="1" applyAlignment="1">
      <alignment horizontal="left" vertical="center" shrinkToFit="1"/>
    </xf>
    <xf numFmtId="38" fontId="6" fillId="8" borderId="0" xfId="1" applyFont="1" applyFill="1" applyAlignment="1">
      <alignment horizontal="right" vertical="center" shrinkToFit="1"/>
    </xf>
    <xf numFmtId="0" fontId="0" fillId="8" borderId="0" xfId="0" applyFill="1" applyAlignment="1">
      <alignment vertical="center" shrinkToFit="1"/>
    </xf>
    <xf numFmtId="0" fontId="45" fillId="0" borderId="0" xfId="0" applyFont="1" applyAlignment="1">
      <alignment horizontal="left" vertical="center"/>
    </xf>
    <xf numFmtId="0" fontId="46" fillId="0" borderId="0" xfId="0" applyFont="1" applyAlignment="1">
      <alignment horizontal="left" vertical="center"/>
    </xf>
    <xf numFmtId="38" fontId="39" fillId="0" borderId="23" xfId="1" applyFont="1" applyFill="1" applyBorder="1" applyAlignment="1">
      <alignment vertical="center" shrinkToFit="1"/>
    </xf>
    <xf numFmtId="38" fontId="39" fillId="0" borderId="24" xfId="1" applyFont="1" applyFill="1" applyBorder="1" applyAlignment="1">
      <alignment vertical="center" shrinkToFit="1"/>
    </xf>
    <xf numFmtId="38" fontId="39" fillId="0" borderId="24" xfId="1" applyFont="1" applyFill="1" applyBorder="1" applyAlignment="1">
      <alignment horizontal="left" vertical="center" shrinkToFit="1"/>
    </xf>
    <xf numFmtId="38" fontId="39" fillId="0" borderId="35" xfId="1" applyFont="1" applyFill="1" applyBorder="1" applyAlignment="1">
      <alignment vertical="center" shrinkToFit="1"/>
    </xf>
    <xf numFmtId="38" fontId="39" fillId="0" borderId="40" xfId="1" applyFont="1" applyFill="1" applyBorder="1" applyAlignment="1">
      <alignment vertical="center" shrinkToFit="1"/>
    </xf>
    <xf numFmtId="38" fontId="39" fillId="0" borderId="17" xfId="1" applyFont="1" applyFill="1" applyBorder="1" applyAlignment="1">
      <alignment vertical="center" shrinkToFit="1"/>
    </xf>
    <xf numFmtId="38" fontId="39" fillId="0" borderId="9" xfId="1" applyFont="1" applyFill="1" applyBorder="1" applyAlignment="1">
      <alignment vertical="center" shrinkToFit="1"/>
    </xf>
    <xf numFmtId="0" fontId="38" fillId="0" borderId="89" xfId="0" applyFont="1" applyFill="1" applyBorder="1" applyAlignment="1">
      <alignment horizontal="center" vertical="center" shrinkToFit="1"/>
    </xf>
    <xf numFmtId="0" fontId="38" fillId="0" borderId="119" xfId="0" applyFont="1" applyFill="1" applyBorder="1" applyAlignment="1">
      <alignment horizontal="center" vertical="center" shrinkToFit="1"/>
    </xf>
    <xf numFmtId="184" fontId="38" fillId="0" borderId="91" xfId="0" applyNumberFormat="1" applyFont="1" applyFill="1" applyBorder="1" applyAlignment="1">
      <alignment horizontal="center" vertical="center" shrinkToFit="1"/>
    </xf>
    <xf numFmtId="0" fontId="38" fillId="0" borderId="30" xfId="0" applyFont="1" applyFill="1" applyBorder="1" applyAlignment="1">
      <alignment horizontal="center" vertical="center" shrinkToFit="1"/>
    </xf>
    <xf numFmtId="38" fontId="40" fillId="0" borderId="49" xfId="1" applyFont="1" applyFill="1" applyBorder="1" applyAlignment="1">
      <alignment vertical="center" shrinkToFit="1"/>
    </xf>
    <xf numFmtId="38" fontId="40" fillId="0" borderId="51" xfId="1" applyFont="1" applyFill="1" applyBorder="1" applyAlignment="1">
      <alignment vertical="center" shrinkToFit="1"/>
    </xf>
    <xf numFmtId="38" fontId="40" fillId="0" borderId="54" xfId="1" applyFont="1" applyFill="1" applyBorder="1" applyAlignment="1">
      <alignment vertical="center" shrinkToFit="1"/>
    </xf>
    <xf numFmtId="38" fontId="40" fillId="0" borderId="50" xfId="1" applyFont="1" applyFill="1" applyBorder="1" applyAlignment="1">
      <alignment vertical="center" shrinkToFit="1"/>
    </xf>
    <xf numFmtId="38" fontId="42" fillId="0" borderId="92" xfId="1" applyFont="1" applyFill="1" applyBorder="1" applyAlignment="1">
      <alignment vertical="center" shrinkToFit="1"/>
    </xf>
    <xf numFmtId="38" fontId="42" fillId="0" borderId="25" xfId="1" applyFont="1" applyFill="1" applyBorder="1" applyAlignment="1">
      <alignment vertical="center" shrinkToFit="1"/>
    </xf>
    <xf numFmtId="38" fontId="42" fillId="0" borderId="37" xfId="1" applyFont="1" applyFill="1" applyBorder="1" applyAlignment="1">
      <alignment vertical="center" shrinkToFit="1"/>
    </xf>
    <xf numFmtId="38" fontId="42" fillId="2" borderId="91" xfId="1" applyFont="1" applyFill="1" applyBorder="1" applyAlignment="1">
      <alignment vertical="center" shrinkToFit="1"/>
    </xf>
    <xf numFmtId="38" fontId="42" fillId="2" borderId="36" xfId="1" applyFont="1" applyFill="1" applyBorder="1" applyAlignment="1">
      <alignment vertical="center" shrinkToFit="1"/>
    </xf>
    <xf numFmtId="38" fontId="42" fillId="2" borderId="47" xfId="1" applyFont="1" applyFill="1" applyBorder="1" applyAlignment="1">
      <alignment vertical="center" shrinkToFit="1"/>
    </xf>
    <xf numFmtId="38" fontId="40" fillId="2" borderId="30" xfId="1" applyFont="1" applyFill="1" applyBorder="1" applyAlignment="1">
      <alignment vertical="center" shrinkToFit="1"/>
    </xf>
    <xf numFmtId="38" fontId="42" fillId="0" borderId="91" xfId="1" applyFont="1" applyFill="1" applyBorder="1" applyAlignment="1">
      <alignment vertical="center" shrinkToFit="1"/>
    </xf>
    <xf numFmtId="38" fontId="42" fillId="0" borderId="36" xfId="1" applyFont="1" applyFill="1" applyBorder="1" applyAlignment="1">
      <alignment vertical="center" shrinkToFit="1"/>
    </xf>
    <xf numFmtId="38" fontId="42" fillId="0" borderId="47" xfId="1" applyFont="1" applyFill="1" applyBorder="1" applyAlignment="1">
      <alignment vertical="center" shrinkToFit="1"/>
    </xf>
    <xf numFmtId="176" fontId="42" fillId="7" borderId="32" xfId="1" applyNumberFormat="1" applyFont="1" applyFill="1" applyBorder="1" applyAlignment="1">
      <alignment vertical="center" shrinkToFit="1"/>
    </xf>
    <xf numFmtId="176" fontId="42" fillId="7" borderId="27" xfId="1" applyNumberFormat="1" applyFont="1" applyFill="1" applyBorder="1" applyAlignment="1">
      <alignment vertical="center" shrinkToFit="1"/>
    </xf>
    <xf numFmtId="176" fontId="42" fillId="0" borderId="23" xfId="1" applyNumberFormat="1" applyFont="1" applyFill="1" applyBorder="1" applyAlignment="1">
      <alignment vertical="center" shrinkToFit="1"/>
    </xf>
    <xf numFmtId="176" fontId="42" fillId="0" borderId="38" xfId="1" applyNumberFormat="1" applyFont="1" applyFill="1" applyBorder="1" applyAlignment="1">
      <alignment vertical="center" shrinkToFit="1"/>
    </xf>
    <xf numFmtId="38" fontId="42" fillId="0" borderId="12" xfId="1" applyFont="1" applyFill="1" applyBorder="1" applyAlignment="1">
      <alignment vertical="center" shrinkToFit="1"/>
    </xf>
    <xf numFmtId="38" fontId="42" fillId="0" borderId="24" xfId="1" applyFont="1" applyFill="1" applyBorder="1" applyAlignment="1">
      <alignment vertical="center" shrinkToFit="1"/>
    </xf>
    <xf numFmtId="38" fontId="42" fillId="0" borderId="39" xfId="1" applyFont="1" applyFill="1" applyBorder="1" applyAlignment="1">
      <alignment vertical="center" shrinkToFit="1"/>
    </xf>
    <xf numFmtId="38" fontId="42" fillId="0" borderId="35" xfId="1" applyFont="1" applyFill="1" applyBorder="1" applyAlignment="1">
      <alignment vertical="center" shrinkToFit="1"/>
    </xf>
    <xf numFmtId="176" fontId="42" fillId="7" borderId="25" xfId="1" applyNumberFormat="1" applyFont="1" applyFill="1" applyBorder="1" applyAlignment="1">
      <alignment vertical="center" shrinkToFit="1"/>
    </xf>
    <xf numFmtId="176" fontId="42" fillId="7" borderId="37" xfId="1" applyNumberFormat="1" applyFont="1" applyFill="1" applyBorder="1" applyAlignment="1">
      <alignment vertical="center" shrinkToFit="1"/>
    </xf>
    <xf numFmtId="0" fontId="5" fillId="0" borderId="0" xfId="0" applyFont="1" applyAlignment="1">
      <alignment vertical="center" shrinkToFit="1"/>
    </xf>
    <xf numFmtId="188" fontId="38" fillId="0" borderId="87" xfId="1" applyNumberFormat="1" applyFont="1" applyFill="1" applyBorder="1" applyAlignment="1">
      <alignment horizontal="center" vertical="center" shrinkToFit="1"/>
    </xf>
    <xf numFmtId="188" fontId="38" fillId="0" borderId="87" xfId="0" applyNumberFormat="1" applyFont="1" applyBorder="1" applyAlignment="1">
      <alignment horizontal="center" vertical="center" shrinkToFit="1"/>
    </xf>
    <xf numFmtId="188" fontId="38" fillId="0" borderId="85" xfId="0" applyNumberFormat="1" applyFont="1" applyBorder="1" applyAlignment="1">
      <alignment horizontal="center" vertical="center" shrinkToFit="1"/>
    </xf>
    <xf numFmtId="0" fontId="40" fillId="0" borderId="88" xfId="0" applyFont="1" applyBorder="1" applyAlignment="1">
      <alignment horizontal="center" vertical="center" shrinkToFit="1"/>
    </xf>
    <xf numFmtId="188" fontId="38" fillId="0" borderId="33" xfId="1" applyNumberFormat="1" applyFont="1" applyFill="1" applyBorder="1" applyAlignment="1">
      <alignment horizontal="center" vertical="center" shrinkToFit="1"/>
    </xf>
    <xf numFmtId="188" fontId="38" fillId="0" borderId="45" xfId="1" applyNumberFormat="1" applyFont="1" applyFill="1" applyBorder="1" applyAlignment="1">
      <alignment horizontal="center" vertical="center" shrinkToFit="1"/>
    </xf>
    <xf numFmtId="0" fontId="40" fillId="0" borderId="66" xfId="0" applyFont="1" applyBorder="1" applyAlignment="1">
      <alignment horizontal="center" vertical="center" shrinkToFit="1"/>
    </xf>
    <xf numFmtId="38" fontId="39" fillId="0" borderId="25" xfId="1" applyFont="1" applyFill="1" applyBorder="1" applyAlignment="1">
      <alignment vertical="center" shrinkToFit="1"/>
    </xf>
    <xf numFmtId="38" fontId="39" fillId="2" borderId="14" xfId="5" applyFont="1" applyFill="1" applyBorder="1" applyAlignment="1">
      <alignment horizontal="center" vertical="center" shrinkToFit="1"/>
    </xf>
    <xf numFmtId="38" fontId="40" fillId="2" borderId="65" xfId="1" applyFont="1" applyFill="1" applyBorder="1" applyAlignment="1">
      <alignment vertical="center" shrinkToFit="1"/>
    </xf>
    <xf numFmtId="38" fontId="39" fillId="0" borderId="38" xfId="1" applyFont="1" applyFill="1" applyBorder="1" applyAlignment="1">
      <alignment vertical="center" shrinkToFit="1"/>
    </xf>
    <xf numFmtId="38" fontId="39" fillId="0" borderId="39" xfId="1" applyFont="1" applyFill="1" applyBorder="1" applyAlignment="1">
      <alignment vertical="center" shrinkToFit="1"/>
    </xf>
    <xf numFmtId="176" fontId="40" fillId="7" borderId="66" xfId="1" applyNumberFormat="1" applyFont="1" applyFill="1" applyBorder="1" applyAlignment="1">
      <alignment vertical="center" shrinkToFit="1"/>
    </xf>
    <xf numFmtId="176" fontId="40" fillId="0" borderId="60" xfId="1" applyNumberFormat="1" applyFont="1" applyFill="1" applyBorder="1" applyAlignment="1">
      <alignment vertical="center" shrinkToFit="1"/>
    </xf>
    <xf numFmtId="176" fontId="40" fillId="7" borderId="61" xfId="1" applyNumberFormat="1" applyFont="1" applyFill="1" applyBorder="1" applyAlignment="1">
      <alignment vertical="center" shrinkToFit="1"/>
    </xf>
    <xf numFmtId="0" fontId="36" fillId="0" borderId="0" xfId="0" applyFont="1" applyAlignment="1">
      <alignment vertical="center" shrinkToFit="1"/>
    </xf>
    <xf numFmtId="38" fontId="37" fillId="0" borderId="0" xfId="1" applyFont="1" applyFill="1">
      <alignment vertical="center"/>
    </xf>
    <xf numFmtId="0" fontId="40" fillId="0" borderId="0" xfId="0" applyFont="1">
      <alignment vertical="center"/>
    </xf>
    <xf numFmtId="176" fontId="0" fillId="0" borderId="0" xfId="0" applyNumberFormat="1" applyAlignment="1">
      <alignment vertical="center" shrinkToFit="1"/>
    </xf>
    <xf numFmtId="176" fontId="5" fillId="0" borderId="0" xfId="0" applyNumberFormat="1" applyFont="1">
      <alignment vertical="center"/>
    </xf>
    <xf numFmtId="176" fontId="5" fillId="0" borderId="0" xfId="0" applyNumberFormat="1" applyFont="1" applyAlignment="1">
      <alignment vertical="center" shrinkToFit="1"/>
    </xf>
    <xf numFmtId="177" fontId="38" fillId="0" borderId="85" xfId="0" applyNumberFormat="1" applyFont="1" applyFill="1" applyBorder="1" applyAlignment="1">
      <alignment horizontal="center" vertical="center" shrinkToFit="1"/>
    </xf>
    <xf numFmtId="177" fontId="38" fillId="0" borderId="84" xfId="0" applyNumberFormat="1" applyFont="1" applyFill="1" applyBorder="1" applyAlignment="1">
      <alignment horizontal="center" vertical="center" shrinkToFit="1"/>
    </xf>
    <xf numFmtId="185" fontId="38" fillId="0" borderId="85" xfId="0" applyNumberFormat="1" applyFont="1" applyFill="1" applyBorder="1" applyAlignment="1">
      <alignment horizontal="center" vertical="center" shrinkToFit="1"/>
    </xf>
    <xf numFmtId="185" fontId="38" fillId="0" borderId="87" xfId="0" applyNumberFormat="1" applyFont="1" applyFill="1" applyBorder="1" applyAlignment="1">
      <alignment horizontal="center" vertical="center" shrinkToFit="1"/>
    </xf>
    <xf numFmtId="0" fontId="47" fillId="0" borderId="0" xfId="0" applyFont="1" applyAlignment="1">
      <alignment horizontal="center" vertical="center" shrinkToFit="1"/>
    </xf>
    <xf numFmtId="38" fontId="39" fillId="2" borderId="14" xfId="1" applyFont="1" applyFill="1" applyBorder="1" applyAlignment="1">
      <alignment horizontal="center" vertical="center" shrinkToFit="1"/>
    </xf>
    <xf numFmtId="38" fontId="38" fillId="3" borderId="23" xfId="1" applyFont="1" applyFill="1" applyBorder="1" applyAlignment="1">
      <alignment vertical="center" shrinkToFit="1"/>
    </xf>
    <xf numFmtId="38" fontId="38" fillId="3" borderId="38" xfId="1" applyFont="1" applyFill="1" applyBorder="1" applyAlignment="1">
      <alignment vertical="center" shrinkToFit="1"/>
    </xf>
    <xf numFmtId="38" fontId="38" fillId="3" borderId="24" xfId="1" applyFont="1" applyFill="1" applyBorder="1" applyAlignment="1">
      <alignment vertical="center" shrinkToFit="1"/>
    </xf>
    <xf numFmtId="38" fontId="38" fillId="3" borderId="39" xfId="1" applyFont="1" applyFill="1" applyBorder="1" applyAlignment="1">
      <alignment vertical="center" shrinkToFit="1"/>
    </xf>
    <xf numFmtId="38" fontId="38" fillId="3" borderId="45" xfId="1" applyFont="1" applyFill="1" applyBorder="1" applyAlignment="1">
      <alignment vertical="center" shrinkToFit="1"/>
    </xf>
    <xf numFmtId="38" fontId="38" fillId="3" borderId="33" xfId="1" applyFont="1" applyFill="1" applyBorder="1" applyAlignment="1">
      <alignment vertical="center" shrinkToFit="1"/>
    </xf>
    <xf numFmtId="38" fontId="38" fillId="3" borderId="22" xfId="1" applyFont="1" applyFill="1" applyBorder="1" applyAlignment="1">
      <alignment vertical="center" shrinkToFit="1"/>
    </xf>
    <xf numFmtId="38" fontId="38" fillId="3" borderId="7" xfId="1" applyFont="1" applyFill="1" applyBorder="1" applyAlignment="1">
      <alignment vertical="center" shrinkToFit="1"/>
    </xf>
    <xf numFmtId="38" fontId="38" fillId="3" borderId="5" xfId="1" applyFont="1" applyFill="1" applyBorder="1" applyAlignment="1">
      <alignment vertical="center" shrinkToFit="1"/>
    </xf>
    <xf numFmtId="38" fontId="39" fillId="0" borderId="4" xfId="1" applyFont="1" applyFill="1" applyBorder="1" applyAlignment="1">
      <alignment vertical="center" shrinkToFit="1"/>
    </xf>
    <xf numFmtId="38" fontId="38" fillId="3" borderId="35" xfId="1" applyFont="1" applyFill="1" applyBorder="1" applyAlignment="1">
      <alignment vertical="center" shrinkToFit="1"/>
    </xf>
    <xf numFmtId="38" fontId="38" fillId="3" borderId="46" xfId="1" applyFont="1" applyFill="1" applyBorder="1" applyAlignment="1">
      <alignment vertical="center" shrinkToFit="1"/>
    </xf>
    <xf numFmtId="38" fontId="38" fillId="3" borderId="25" xfId="1" applyFont="1" applyFill="1" applyBorder="1" applyAlignment="1">
      <alignment vertical="center" shrinkToFit="1"/>
    </xf>
    <xf numFmtId="38" fontId="38" fillId="3" borderId="9" xfId="1" applyFont="1" applyFill="1" applyBorder="1" applyAlignment="1">
      <alignment vertical="center" shrinkToFit="1"/>
    </xf>
    <xf numFmtId="38" fontId="38" fillId="3" borderId="37" xfId="1" applyFont="1" applyFill="1" applyBorder="1" applyAlignment="1">
      <alignment vertical="center" shrinkToFit="1"/>
    </xf>
    <xf numFmtId="38" fontId="38" fillId="3" borderId="47" xfId="1" applyFont="1" applyFill="1" applyBorder="1" applyAlignment="1">
      <alignment vertical="center" shrinkToFit="1"/>
    </xf>
    <xf numFmtId="38" fontId="42" fillId="2" borderId="31" xfId="1" applyFont="1" applyFill="1" applyBorder="1" applyAlignment="1">
      <alignment vertical="center" shrinkToFit="1"/>
    </xf>
    <xf numFmtId="188" fontId="38" fillId="0" borderId="86" xfId="1" applyNumberFormat="1" applyFont="1" applyFill="1" applyBorder="1" applyAlignment="1">
      <alignment horizontal="center" vertical="center" shrinkToFit="1"/>
    </xf>
    <xf numFmtId="188" fontId="38" fillId="0" borderId="41" xfId="1" applyNumberFormat="1" applyFont="1" applyFill="1" applyBorder="1" applyAlignment="1">
      <alignment horizontal="center" vertical="center" shrinkToFit="1"/>
    </xf>
    <xf numFmtId="38" fontId="42" fillId="2" borderId="43" xfId="1" applyFont="1" applyFill="1" applyBorder="1" applyAlignment="1">
      <alignment vertical="center" shrinkToFit="1"/>
    </xf>
    <xf numFmtId="176" fontId="42" fillId="7" borderId="41" xfId="1" applyNumberFormat="1" applyFont="1" applyFill="1" applyBorder="1" applyAlignment="1">
      <alignment vertical="center" shrinkToFit="1"/>
    </xf>
    <xf numFmtId="176" fontId="42" fillId="0" borderId="94" xfId="1" applyNumberFormat="1" applyFont="1" applyFill="1" applyBorder="1" applyAlignment="1">
      <alignment vertical="center" shrinkToFit="1"/>
    </xf>
    <xf numFmtId="38" fontId="42" fillId="0" borderId="26" xfId="1" applyFont="1" applyFill="1" applyBorder="1" applyAlignment="1">
      <alignment vertical="center" shrinkToFit="1"/>
    </xf>
    <xf numFmtId="176" fontId="42" fillId="7" borderId="40" xfId="1" applyNumberFormat="1" applyFont="1" applyFill="1" applyBorder="1" applyAlignment="1">
      <alignment vertical="center" shrinkToFit="1"/>
    </xf>
    <xf numFmtId="188" fontId="38" fillId="0" borderId="84" xfId="0" applyNumberFormat="1" applyFont="1" applyBorder="1" applyAlignment="1">
      <alignment horizontal="center" vertical="center" shrinkToFit="1"/>
    </xf>
    <xf numFmtId="0" fontId="20" fillId="0" borderId="0" xfId="0" applyFont="1" applyAlignment="1">
      <alignment vertical="center" shrinkToFit="1"/>
    </xf>
    <xf numFmtId="38" fontId="39" fillId="0" borderId="43" xfId="1" applyFont="1" applyFill="1" applyBorder="1" applyAlignment="1">
      <alignment vertical="center" shrinkToFit="1"/>
    </xf>
    <xf numFmtId="38" fontId="40" fillId="0" borderId="30" xfId="1" applyFont="1" applyFill="1" applyBorder="1" applyAlignment="1">
      <alignment vertical="center" shrinkToFit="1"/>
    </xf>
    <xf numFmtId="3" fontId="38" fillId="3" borderId="46" xfId="1" applyNumberFormat="1" applyFont="1" applyFill="1" applyBorder="1" applyAlignment="1">
      <alignment vertical="center" shrinkToFit="1"/>
    </xf>
    <xf numFmtId="38" fontId="48" fillId="3" borderId="39" xfId="1" applyFont="1" applyFill="1" applyBorder="1" applyAlignment="1">
      <alignment vertical="center" shrinkToFit="1"/>
    </xf>
    <xf numFmtId="38" fontId="49" fillId="0" borderId="0" xfId="0" applyNumberFormat="1" applyFont="1" applyAlignment="1">
      <alignment vertical="center" shrinkToFit="1"/>
    </xf>
    <xf numFmtId="38" fontId="50" fillId="3" borderId="38" xfId="1" applyNumberFormat="1" applyFont="1" applyFill="1" applyBorder="1" applyAlignment="1">
      <alignment vertical="center" shrinkToFit="1"/>
    </xf>
    <xf numFmtId="38" fontId="50" fillId="3" borderId="39" xfId="1" applyNumberFormat="1" applyFont="1" applyFill="1" applyBorder="1" applyAlignment="1">
      <alignment vertical="center" shrinkToFit="1"/>
    </xf>
    <xf numFmtId="38" fontId="50" fillId="3" borderId="38" xfId="1" applyFont="1" applyFill="1" applyBorder="1" applyAlignment="1">
      <alignment vertical="center" shrinkToFit="1"/>
    </xf>
    <xf numFmtId="38" fontId="50" fillId="3" borderId="39" xfId="1" applyFont="1" applyFill="1" applyBorder="1" applyAlignment="1">
      <alignment vertical="center" shrinkToFit="1"/>
    </xf>
    <xf numFmtId="38" fontId="50" fillId="3" borderId="45" xfId="1" applyFont="1" applyFill="1" applyBorder="1" applyAlignment="1">
      <alignment vertical="center" shrinkToFit="1"/>
    </xf>
    <xf numFmtId="38" fontId="50" fillId="3" borderId="27" xfId="1" applyFont="1" applyFill="1" applyBorder="1" applyAlignment="1">
      <alignment vertical="center" shrinkToFit="1"/>
    </xf>
    <xf numFmtId="38" fontId="50" fillId="3" borderId="46" xfId="1" applyFont="1" applyFill="1" applyBorder="1" applyAlignment="1">
      <alignment vertical="center" shrinkToFit="1"/>
    </xf>
    <xf numFmtId="38" fontId="50" fillId="3" borderId="24" xfId="1" applyFont="1" applyFill="1" applyBorder="1" applyAlignment="1">
      <alignment vertical="center" shrinkToFit="1"/>
    </xf>
    <xf numFmtId="38" fontId="50" fillId="3" borderId="47" xfId="1" applyFont="1" applyFill="1" applyBorder="1" applyAlignment="1">
      <alignment vertical="center" shrinkToFit="1"/>
    </xf>
    <xf numFmtId="38" fontId="50" fillId="3" borderId="36" xfId="1" applyFont="1" applyFill="1" applyBorder="1" applyAlignment="1">
      <alignment vertical="center" shrinkToFit="1"/>
    </xf>
    <xf numFmtId="38" fontId="50" fillId="3" borderId="37" xfId="1" applyFont="1" applyFill="1" applyBorder="1" applyAlignment="1">
      <alignment vertical="center" shrinkToFit="1"/>
    </xf>
    <xf numFmtId="38" fontId="52" fillId="0" borderId="0" xfId="0" applyNumberFormat="1" applyFont="1" applyAlignment="1">
      <alignment vertical="center" shrinkToFit="1"/>
    </xf>
    <xf numFmtId="38" fontId="50" fillId="3" borderId="10" xfId="1" applyFont="1" applyFill="1" applyBorder="1" applyAlignment="1">
      <alignment vertical="center" shrinkToFit="1"/>
    </xf>
    <xf numFmtId="38" fontId="50" fillId="3" borderId="23" xfId="1" applyFont="1" applyFill="1" applyBorder="1" applyAlignment="1">
      <alignment vertical="center" shrinkToFit="1"/>
    </xf>
    <xf numFmtId="38" fontId="50" fillId="3" borderId="12" xfId="1" applyFont="1" applyFill="1" applyBorder="1" applyAlignment="1">
      <alignment vertical="center" shrinkToFit="1"/>
    </xf>
    <xf numFmtId="38" fontId="50" fillId="3" borderId="15" xfId="1" applyFont="1" applyFill="1" applyBorder="1" applyAlignment="1">
      <alignment vertical="center" shrinkToFit="1"/>
    </xf>
    <xf numFmtId="38" fontId="50" fillId="3" borderId="33" xfId="1" applyFont="1" applyFill="1" applyBorder="1" applyAlignment="1">
      <alignment vertical="center" shrinkToFit="1"/>
    </xf>
    <xf numFmtId="38" fontId="48" fillId="3" borderId="23" xfId="1" applyFont="1" applyFill="1" applyBorder="1" applyAlignment="1">
      <alignment vertical="center" shrinkToFit="1"/>
    </xf>
    <xf numFmtId="38" fontId="48" fillId="3" borderId="24" xfId="1" applyFont="1" applyFill="1" applyBorder="1" applyAlignment="1">
      <alignment vertical="center" shrinkToFit="1"/>
    </xf>
    <xf numFmtId="38" fontId="48" fillId="3" borderId="33" xfId="1" applyFont="1" applyFill="1" applyBorder="1" applyAlignment="1">
      <alignment vertical="center" shrinkToFit="1"/>
    </xf>
    <xf numFmtId="38" fontId="48" fillId="3" borderId="25" xfId="1" applyFont="1" applyFill="1" applyBorder="1" applyAlignment="1">
      <alignment vertical="center" shrinkToFit="1"/>
    </xf>
    <xf numFmtId="38" fontId="42" fillId="3" borderId="24" xfId="1" applyFont="1" applyFill="1" applyBorder="1" applyAlignment="1">
      <alignment vertical="center" shrinkToFit="1"/>
    </xf>
    <xf numFmtId="38" fontId="42" fillId="3" borderId="39" xfId="1" applyFont="1" applyFill="1" applyBorder="1" applyAlignment="1">
      <alignment vertical="center" shrinkToFit="1"/>
    </xf>
    <xf numFmtId="38" fontId="50" fillId="3" borderId="32" xfId="1" applyFont="1" applyFill="1" applyBorder="1" applyAlignment="1">
      <alignment vertical="center" shrinkToFit="1"/>
    </xf>
    <xf numFmtId="38" fontId="42" fillId="3" borderId="27" xfId="1" applyFont="1" applyFill="1" applyBorder="1" applyAlignment="1">
      <alignment vertical="center" shrinkToFit="1"/>
    </xf>
    <xf numFmtId="38" fontId="48" fillId="3" borderId="38" xfId="1" applyFont="1" applyFill="1" applyBorder="1" applyAlignment="1">
      <alignment vertical="center" shrinkToFit="1"/>
    </xf>
    <xf numFmtId="38" fontId="48" fillId="3" borderId="35" xfId="1" applyFont="1" applyFill="1" applyBorder="1" applyAlignment="1">
      <alignment vertical="center" shrinkToFit="1"/>
    </xf>
    <xf numFmtId="38" fontId="50" fillId="3" borderId="35" xfId="1" applyFont="1" applyFill="1" applyBorder="1" applyAlignment="1">
      <alignment vertical="center" shrinkToFit="1"/>
    </xf>
    <xf numFmtId="38" fontId="50" fillId="3" borderId="25" xfId="1" applyFont="1" applyFill="1" applyBorder="1" applyAlignment="1">
      <alignment vertical="center" shrinkToFit="1"/>
    </xf>
    <xf numFmtId="38" fontId="51" fillId="3" borderId="25" xfId="1" applyFont="1" applyFill="1" applyBorder="1" applyAlignment="1">
      <alignment vertical="center" shrinkToFit="1"/>
    </xf>
    <xf numFmtId="38" fontId="48" fillId="3" borderId="46" xfId="1" applyFont="1" applyFill="1" applyBorder="1" applyAlignment="1">
      <alignment vertical="center" shrinkToFit="1"/>
    </xf>
    <xf numFmtId="38" fontId="50" fillId="3" borderId="94" xfId="1" applyFont="1" applyFill="1" applyBorder="1" applyAlignment="1">
      <alignment vertical="center" shrinkToFit="1"/>
    </xf>
    <xf numFmtId="38" fontId="50" fillId="3" borderId="42" xfId="1" applyFont="1" applyFill="1" applyBorder="1" applyAlignment="1">
      <alignment vertical="center" shrinkToFit="1"/>
    </xf>
    <xf numFmtId="0" fontId="53" fillId="0" borderId="0" xfId="4" applyFont="1" applyBorder="1" applyAlignment="1">
      <alignment horizontal="left" vertical="center"/>
    </xf>
    <xf numFmtId="0" fontId="54" fillId="0" borderId="95" xfId="4" applyFont="1" applyBorder="1" applyAlignment="1">
      <alignment horizontal="left" vertical="center"/>
    </xf>
    <xf numFmtId="0" fontId="54" fillId="0" borderId="0" xfId="4" applyFont="1">
      <alignment vertical="center"/>
    </xf>
    <xf numFmtId="0" fontId="54" fillId="0" borderId="95" xfId="4" applyFont="1" applyBorder="1">
      <alignment vertical="center"/>
    </xf>
    <xf numFmtId="0" fontId="4" fillId="0" borderId="99" xfId="4" applyBorder="1" applyAlignment="1">
      <alignment horizontal="center" vertical="center" shrinkToFit="1"/>
    </xf>
    <xf numFmtId="0" fontId="4" fillId="0" borderId="95" xfId="4" applyBorder="1" applyAlignment="1">
      <alignment horizontal="center" vertical="center" shrinkToFit="1"/>
    </xf>
    <xf numFmtId="0" fontId="55" fillId="0" borderId="95" xfId="4" applyFont="1" applyBorder="1" applyAlignment="1">
      <alignment horizontal="center" vertical="center" shrinkToFit="1"/>
    </xf>
    <xf numFmtId="0" fontId="23" fillId="0" borderId="95" xfId="4" applyFont="1" applyBorder="1" applyAlignment="1">
      <alignment horizontal="center" vertical="center" shrinkToFit="1"/>
    </xf>
    <xf numFmtId="0" fontId="4" fillId="0" borderId="100" xfId="4" applyBorder="1" applyAlignment="1">
      <alignment horizontal="center" vertical="center" shrinkToFit="1"/>
    </xf>
    <xf numFmtId="0" fontId="23" fillId="0" borderId="101" xfId="4" applyFont="1" applyBorder="1" applyAlignment="1">
      <alignment horizontal="center" vertical="center" shrinkToFit="1"/>
    </xf>
    <xf numFmtId="0" fontId="4" fillId="0" borderId="98" xfId="4" applyBorder="1" applyAlignment="1">
      <alignment horizontal="center" vertical="center" shrinkToFit="1"/>
    </xf>
    <xf numFmtId="0" fontId="23" fillId="0" borderId="122" xfId="4" applyFont="1" applyFill="1" applyBorder="1" applyAlignment="1">
      <alignment horizontal="center" vertical="center" shrinkToFit="1"/>
    </xf>
    <xf numFmtId="0" fontId="23" fillId="0" borderId="106" xfId="4" applyFont="1" applyFill="1" applyBorder="1" applyAlignment="1">
      <alignment horizontal="center" vertical="center" shrinkToFit="1"/>
    </xf>
    <xf numFmtId="0" fontId="4" fillId="0" borderId="0" xfId="4" applyAlignment="1">
      <alignment vertical="center" shrinkToFit="1"/>
    </xf>
    <xf numFmtId="0" fontId="55" fillId="0" borderId="97" xfId="4" applyFont="1" applyBorder="1" applyAlignment="1">
      <alignment horizontal="center" vertical="center" shrinkToFit="1"/>
    </xf>
    <xf numFmtId="179" fontId="56" fillId="0" borderId="97" xfId="4" applyNumberFormat="1" applyFont="1" applyBorder="1" applyAlignment="1">
      <alignment vertical="center" shrinkToFit="1"/>
    </xf>
    <xf numFmtId="181" fontId="57" fillId="0" borderId="69" xfId="4" applyNumberFormat="1" applyFont="1" applyFill="1" applyBorder="1" applyAlignment="1">
      <alignment vertical="center" shrinkToFit="1"/>
    </xf>
    <xf numFmtId="178" fontId="57" fillId="0" borderId="0" xfId="4" applyNumberFormat="1" applyFont="1" applyBorder="1" applyAlignment="1">
      <alignment vertical="center" shrinkToFit="1"/>
    </xf>
    <xf numFmtId="179" fontId="56" fillId="0" borderId="27" xfId="4" applyNumberFormat="1" applyFont="1" applyBorder="1" applyAlignment="1">
      <alignment vertical="center" shrinkToFit="1"/>
    </xf>
    <xf numFmtId="0" fontId="4" fillId="0" borderId="0" xfId="4" applyBorder="1" applyAlignment="1">
      <alignment vertical="center" shrinkToFit="1"/>
    </xf>
    <xf numFmtId="179" fontId="57" fillId="0" borderId="97" xfId="4" applyNumberFormat="1" applyFont="1" applyBorder="1" applyAlignment="1">
      <alignment vertical="center" shrinkToFit="1"/>
    </xf>
    <xf numFmtId="0" fontId="55" fillId="0" borderId="0" xfId="4" applyFont="1" applyBorder="1" applyAlignment="1">
      <alignment vertical="center" shrinkToFit="1"/>
    </xf>
    <xf numFmtId="178" fontId="57" fillId="0" borderId="107" xfId="4" applyNumberFormat="1" applyFont="1" applyBorder="1" applyAlignment="1">
      <alignment vertical="center" shrinkToFit="1"/>
    </xf>
    <xf numFmtId="179" fontId="57" fillId="0" borderId="0" xfId="4" applyNumberFormat="1" applyFont="1" applyBorder="1" applyAlignment="1">
      <alignment vertical="center" shrinkToFit="1"/>
    </xf>
    <xf numFmtId="178" fontId="57" fillId="0" borderId="102" xfId="4" applyNumberFormat="1" applyFont="1" applyBorder="1" applyAlignment="1">
      <alignment vertical="center" shrinkToFit="1"/>
    </xf>
    <xf numFmtId="0" fontId="55" fillId="0" borderId="0" xfId="4" applyFont="1" applyBorder="1" applyAlignment="1">
      <alignment horizontal="center" vertical="center"/>
    </xf>
    <xf numFmtId="181" fontId="56" fillId="0" borderId="0" xfId="4" applyNumberFormat="1" applyFont="1" applyFill="1" applyBorder="1" applyAlignment="1">
      <alignment vertical="center" shrinkToFit="1"/>
    </xf>
    <xf numFmtId="181" fontId="57" fillId="0" borderId="0" xfId="4" applyNumberFormat="1" applyFont="1" applyFill="1" applyBorder="1" applyAlignment="1">
      <alignment vertical="center" shrinkToFit="1"/>
    </xf>
    <xf numFmtId="178" fontId="57" fillId="0" borderId="41" xfId="4" applyNumberFormat="1" applyFont="1" applyBorder="1" applyAlignment="1">
      <alignment vertical="center" shrinkToFit="1"/>
    </xf>
    <xf numFmtId="183" fontId="56" fillId="0" borderId="0" xfId="4" applyNumberFormat="1" applyFont="1" applyFill="1" applyBorder="1" applyAlignment="1">
      <alignment vertical="center" shrinkToFit="1"/>
    </xf>
    <xf numFmtId="0" fontId="55" fillId="0" borderId="0" xfId="4" applyFont="1" applyBorder="1" applyAlignment="1">
      <alignment horizontal="center" vertical="center" wrapText="1"/>
    </xf>
    <xf numFmtId="179" fontId="56" fillId="0" borderId="0" xfId="4" applyNumberFormat="1" applyFont="1" applyBorder="1" applyAlignment="1">
      <alignment vertical="center" shrinkToFit="1"/>
    </xf>
    <xf numFmtId="183" fontId="57" fillId="0" borderId="0" xfId="4" applyNumberFormat="1" applyFont="1" applyFill="1" applyBorder="1" applyAlignment="1">
      <alignment vertical="center" shrinkToFit="1"/>
    </xf>
    <xf numFmtId="182" fontId="56" fillId="0" borderId="0" xfId="4" applyNumberFormat="1" applyFont="1" applyFill="1" applyBorder="1" applyAlignment="1">
      <alignment vertical="center" shrinkToFit="1"/>
    </xf>
    <xf numFmtId="182" fontId="57" fillId="0" borderId="0" xfId="4" applyNumberFormat="1" applyFont="1" applyFill="1" applyBorder="1" applyAlignment="1">
      <alignment vertical="center" shrinkToFit="1"/>
    </xf>
    <xf numFmtId="0" fontId="59" fillId="0" borderId="123" xfId="4" applyFont="1" applyBorder="1" applyAlignment="1">
      <alignment horizontal="center" vertical="center" shrinkToFit="1"/>
    </xf>
    <xf numFmtId="179" fontId="56" fillId="10" borderId="103" xfId="4" applyNumberFormat="1" applyFont="1" applyFill="1" applyBorder="1" applyAlignment="1">
      <alignment vertical="center" shrinkToFit="1"/>
    </xf>
    <xf numFmtId="0" fontId="55" fillId="0" borderId="5" xfId="4" applyFont="1" applyBorder="1" applyAlignment="1">
      <alignment horizontal="center" vertical="center" wrapText="1"/>
    </xf>
    <xf numFmtId="178" fontId="57" fillId="0" borderId="6" xfId="4" applyNumberFormat="1" applyFont="1" applyBorder="1" applyAlignment="1">
      <alignment vertical="center" shrinkToFit="1"/>
    </xf>
    <xf numFmtId="179" fontId="56" fillId="10" borderId="5" xfId="4" applyNumberFormat="1" applyFont="1" applyFill="1" applyBorder="1" applyAlignment="1">
      <alignment vertical="center" shrinkToFit="1"/>
    </xf>
    <xf numFmtId="179" fontId="57" fillId="10" borderId="103" xfId="4" applyNumberFormat="1" applyFont="1" applyFill="1" applyBorder="1" applyAlignment="1">
      <alignment vertical="center" shrinkToFit="1"/>
    </xf>
    <xf numFmtId="179" fontId="57" fillId="10" borderId="5" xfId="4" applyNumberFormat="1" applyFont="1" applyFill="1" applyBorder="1" applyAlignment="1">
      <alignment vertical="center" shrinkToFit="1"/>
    </xf>
    <xf numFmtId="178" fontId="57" fillId="0" borderId="104" xfId="4" applyNumberFormat="1" applyFont="1" applyBorder="1" applyAlignment="1">
      <alignment vertical="center" shrinkToFit="1"/>
    </xf>
    <xf numFmtId="0" fontId="55" fillId="13" borderId="0" xfId="4" applyFont="1" applyFill="1" applyBorder="1" applyAlignment="1">
      <alignment horizontal="center" vertical="center"/>
    </xf>
    <xf numFmtId="181" fontId="56" fillId="13" borderId="0" xfId="4" applyNumberFormat="1" applyFont="1" applyFill="1" applyBorder="1" applyAlignment="1">
      <alignment vertical="center" shrinkToFit="1"/>
    </xf>
    <xf numFmtId="178" fontId="57" fillId="13" borderId="41" xfId="4" applyNumberFormat="1" applyFont="1" applyFill="1" applyBorder="1" applyAlignment="1">
      <alignment vertical="center" shrinkToFit="1"/>
    </xf>
    <xf numFmtId="179" fontId="56" fillId="13" borderId="0" xfId="4" applyNumberFormat="1" applyFont="1" applyFill="1" applyBorder="1" applyAlignment="1">
      <alignment vertical="center" shrinkToFit="1"/>
    </xf>
    <xf numFmtId="178" fontId="57" fillId="13" borderId="0" xfId="4" applyNumberFormat="1" applyFont="1" applyFill="1" applyBorder="1" applyAlignment="1">
      <alignment vertical="center" shrinkToFit="1"/>
    </xf>
    <xf numFmtId="0" fontId="59" fillId="0" borderId="124" xfId="4" applyFont="1" applyBorder="1" applyAlignment="1">
      <alignment horizontal="center" vertical="center" shrinkToFit="1"/>
    </xf>
    <xf numFmtId="0" fontId="55" fillId="0" borderId="125" xfId="4" applyFont="1" applyBorder="1" applyAlignment="1">
      <alignment horizontal="center" vertical="center" shrinkToFit="1"/>
    </xf>
    <xf numFmtId="0" fontId="4" fillId="0" borderId="0" xfId="4" applyFont="1" applyAlignment="1">
      <alignment vertical="center" shrinkToFit="1"/>
    </xf>
    <xf numFmtId="179" fontId="4" fillId="4" borderId="0" xfId="4" applyNumberFormat="1" applyFont="1" applyFill="1" applyBorder="1" applyAlignment="1">
      <alignment horizontal="left" vertical="center" shrinkToFit="1"/>
    </xf>
    <xf numFmtId="179" fontId="24" fillId="4" borderId="0" xfId="4" applyNumberFormat="1" applyFont="1" applyFill="1" applyBorder="1" applyAlignment="1">
      <alignment horizontal="right" vertical="center" shrinkToFit="1"/>
    </xf>
    <xf numFmtId="0" fontId="55" fillId="14" borderId="0" xfId="4" applyFont="1" applyFill="1" applyBorder="1" applyAlignment="1">
      <alignment horizontal="center" vertical="center"/>
    </xf>
    <xf numFmtId="181" fontId="56" fillId="14" borderId="0" xfId="4" applyNumberFormat="1" applyFont="1" applyFill="1" applyBorder="1" applyAlignment="1">
      <alignment vertical="center" shrinkToFit="1"/>
    </xf>
    <xf numFmtId="178" fontId="57" fillId="14" borderId="41" xfId="4" applyNumberFormat="1" applyFont="1" applyFill="1" applyBorder="1" applyAlignment="1">
      <alignment vertical="center" shrinkToFit="1"/>
    </xf>
    <xf numFmtId="178" fontId="57" fillId="14" borderId="0" xfId="4" applyNumberFormat="1" applyFont="1" applyFill="1" applyBorder="1" applyAlignment="1">
      <alignment vertical="center" shrinkToFit="1"/>
    </xf>
    <xf numFmtId="179" fontId="55" fillId="0" borderId="27" xfId="4" applyNumberFormat="1" applyFont="1" applyBorder="1" applyAlignment="1">
      <alignment horizontal="left" vertical="center" shrinkToFit="1"/>
    </xf>
    <xf numFmtId="179" fontId="23" fillId="0" borderId="0" xfId="4" applyNumberFormat="1" applyFont="1" applyBorder="1" applyAlignment="1">
      <alignment horizontal="left" vertical="center" shrinkToFit="1"/>
    </xf>
    <xf numFmtId="0" fontId="4" fillId="0" borderId="0" xfId="4" applyFont="1" applyBorder="1" applyAlignment="1">
      <alignment horizontal="left" vertical="center" shrinkToFit="1"/>
    </xf>
    <xf numFmtId="38" fontId="24" fillId="0" borderId="5" xfId="4" applyNumberFormat="1" applyFont="1" applyBorder="1" applyAlignment="1">
      <alignment vertical="center" shrinkToFit="1"/>
    </xf>
    <xf numFmtId="179" fontId="56" fillId="4" borderId="97" xfId="4" applyNumberFormat="1" applyFont="1" applyFill="1" applyBorder="1" applyAlignment="1">
      <alignment vertical="center" shrinkToFit="1"/>
    </xf>
    <xf numFmtId="181" fontId="57" fillId="4" borderId="69" xfId="4" applyNumberFormat="1" applyFont="1" applyFill="1" applyBorder="1" applyAlignment="1">
      <alignment vertical="center" shrinkToFit="1"/>
    </xf>
    <xf numFmtId="178" fontId="57" fillId="4" borderId="41" xfId="4" applyNumberFormat="1" applyFont="1" applyFill="1" applyBorder="1" applyAlignment="1">
      <alignment vertical="center" shrinkToFit="1"/>
    </xf>
    <xf numFmtId="179" fontId="56" fillId="4" borderId="0" xfId="4" applyNumberFormat="1" applyFont="1" applyFill="1" applyBorder="1" applyAlignment="1">
      <alignment vertical="center" shrinkToFit="1"/>
    </xf>
    <xf numFmtId="0" fontId="4" fillId="4" borderId="0" xfId="4" applyFill="1" applyBorder="1" applyAlignment="1">
      <alignment vertical="center" shrinkToFit="1"/>
    </xf>
    <xf numFmtId="178" fontId="57" fillId="4" borderId="0" xfId="4" applyNumberFormat="1" applyFont="1" applyFill="1" applyBorder="1" applyAlignment="1">
      <alignment vertical="center" shrinkToFit="1"/>
    </xf>
    <xf numFmtId="179" fontId="57" fillId="4" borderId="0" xfId="4" applyNumberFormat="1" applyFont="1" applyFill="1" applyBorder="1" applyAlignment="1">
      <alignment vertical="center" shrinkToFit="1"/>
    </xf>
    <xf numFmtId="0" fontId="55" fillId="4" borderId="0" xfId="4" applyFont="1" applyFill="1" applyBorder="1" applyAlignment="1">
      <alignment vertical="center" shrinkToFit="1"/>
    </xf>
    <xf numFmtId="178" fontId="57" fillId="4" borderId="102" xfId="4" applyNumberFormat="1" applyFont="1" applyFill="1" applyBorder="1" applyAlignment="1">
      <alignment vertical="center" shrinkToFit="1"/>
    </xf>
    <xf numFmtId="0" fontId="55" fillId="0" borderId="97" xfId="4" applyFont="1" applyBorder="1" applyAlignment="1">
      <alignment horizontal="center" vertical="center"/>
    </xf>
    <xf numFmtId="0" fontId="55" fillId="4" borderId="0" xfId="4" applyFont="1" applyFill="1" applyBorder="1" applyAlignment="1">
      <alignment horizontal="center" vertical="center"/>
    </xf>
    <xf numFmtId="181" fontId="56" fillId="4" borderId="0" xfId="4" applyNumberFormat="1" applyFont="1" applyFill="1" applyBorder="1" applyAlignment="1">
      <alignment vertical="center" shrinkToFit="1"/>
    </xf>
    <xf numFmtId="179" fontId="23" fillId="0" borderId="97" xfId="4" applyNumberFormat="1" applyFont="1" applyBorder="1" applyAlignment="1">
      <alignment vertical="center" shrinkToFit="1"/>
    </xf>
    <xf numFmtId="0" fontId="55" fillId="4" borderId="0" xfId="4" applyFont="1" applyFill="1" applyBorder="1" applyAlignment="1">
      <alignment horizontal="center" vertical="center" shrinkToFit="1"/>
    </xf>
    <xf numFmtId="181" fontId="57" fillId="4" borderId="0" xfId="4" applyNumberFormat="1" applyFont="1" applyFill="1" applyBorder="1" applyAlignment="1">
      <alignment vertical="center" shrinkToFit="1"/>
    </xf>
    <xf numFmtId="183" fontId="56" fillId="4" borderId="0" xfId="4" applyNumberFormat="1" applyFont="1" applyFill="1" applyBorder="1" applyAlignment="1">
      <alignment vertical="center" shrinkToFit="1"/>
    </xf>
    <xf numFmtId="183" fontId="57" fillId="4" borderId="0" xfId="4" applyNumberFormat="1" applyFont="1" applyFill="1" applyBorder="1" applyAlignment="1">
      <alignment vertical="center" shrinkToFit="1"/>
    </xf>
    <xf numFmtId="0" fontId="55" fillId="4" borderId="0" xfId="4" applyFont="1" applyFill="1" applyBorder="1" applyAlignment="1">
      <alignment horizontal="center" vertical="center" wrapText="1"/>
    </xf>
    <xf numFmtId="183" fontId="23" fillId="4" borderId="0" xfId="4" applyNumberFormat="1" applyFont="1" applyFill="1" applyBorder="1" applyAlignment="1">
      <alignment vertical="center" shrinkToFit="1"/>
    </xf>
    <xf numFmtId="182" fontId="56" fillId="4" borderId="0" xfId="4" applyNumberFormat="1" applyFont="1" applyFill="1" applyBorder="1" applyAlignment="1">
      <alignment vertical="center" shrinkToFit="1"/>
    </xf>
    <xf numFmtId="189" fontId="57" fillId="0" borderId="0" xfId="4" applyNumberFormat="1" applyFont="1" applyFill="1" applyBorder="1" applyAlignment="1">
      <alignment vertical="center" shrinkToFit="1"/>
    </xf>
    <xf numFmtId="0" fontId="59" fillId="0" borderId="123" xfId="4" applyFont="1" applyBorder="1" applyAlignment="1">
      <alignment horizontal="center" vertical="center"/>
    </xf>
    <xf numFmtId="179" fontId="56" fillId="16" borderId="98" xfId="4" applyNumberFormat="1" applyFont="1" applyFill="1" applyBorder="1" applyAlignment="1">
      <alignment vertical="center" shrinkToFit="1"/>
    </xf>
    <xf numFmtId="0" fontId="55" fillId="4" borderId="95" xfId="4" applyFont="1" applyFill="1" applyBorder="1" applyAlignment="1">
      <alignment horizontal="center" vertical="center" wrapText="1"/>
    </xf>
    <xf numFmtId="182" fontId="56" fillId="4" borderId="95" xfId="4" applyNumberFormat="1" applyFont="1" applyFill="1" applyBorder="1" applyAlignment="1">
      <alignment vertical="center" shrinkToFit="1"/>
    </xf>
    <xf numFmtId="178" fontId="57" fillId="4" borderId="122" xfId="4" applyNumberFormat="1" applyFont="1" applyFill="1" applyBorder="1" applyAlignment="1">
      <alignment vertical="center" shrinkToFit="1"/>
    </xf>
    <xf numFmtId="179" fontId="56" fillId="4" borderId="95" xfId="4" applyNumberFormat="1" applyFont="1" applyFill="1" applyBorder="1" applyAlignment="1">
      <alignment vertical="center" shrinkToFit="1"/>
    </xf>
    <xf numFmtId="178" fontId="57" fillId="4" borderId="101" xfId="4" applyNumberFormat="1" applyFont="1" applyFill="1" applyBorder="1" applyAlignment="1">
      <alignment vertical="center" shrinkToFit="1"/>
    </xf>
    <xf numFmtId="179" fontId="57" fillId="10" borderId="98" xfId="4" applyNumberFormat="1" applyFont="1" applyFill="1" applyBorder="1" applyAlignment="1">
      <alignment vertical="center" shrinkToFit="1"/>
    </xf>
    <xf numFmtId="0" fontId="55" fillId="0" borderId="95" xfId="4" applyFont="1" applyBorder="1" applyAlignment="1">
      <alignment horizontal="center" vertical="center" wrapText="1"/>
    </xf>
    <xf numFmtId="189" fontId="57" fillId="0" borderId="95" xfId="4" applyNumberFormat="1" applyFont="1" applyFill="1" applyBorder="1" applyAlignment="1">
      <alignment vertical="center" shrinkToFit="1"/>
    </xf>
    <xf numFmtId="178" fontId="57" fillId="0" borderId="122" xfId="4" applyNumberFormat="1" applyFont="1" applyBorder="1" applyAlignment="1">
      <alignment vertical="center" shrinkToFit="1"/>
    </xf>
    <xf numFmtId="179" fontId="57" fillId="4" borderId="95" xfId="4" applyNumberFormat="1" applyFont="1" applyFill="1" applyBorder="1" applyAlignment="1">
      <alignment vertical="center" shrinkToFit="1"/>
    </xf>
    <xf numFmtId="0" fontId="55" fillId="4" borderId="95" xfId="4" applyFont="1" applyFill="1" applyBorder="1" applyAlignment="1">
      <alignment horizontal="center" vertical="center" shrinkToFit="1"/>
    </xf>
    <xf numFmtId="183" fontId="23" fillId="4" borderId="95" xfId="4" applyNumberFormat="1" applyFont="1" applyFill="1" applyBorder="1" applyAlignment="1">
      <alignment vertical="center" shrinkToFit="1"/>
    </xf>
    <xf numFmtId="179" fontId="19" fillId="0" borderId="97" xfId="4" applyNumberFormat="1" applyFont="1" applyBorder="1" applyAlignment="1">
      <alignment vertical="center" shrinkToFit="1"/>
    </xf>
    <xf numFmtId="0" fontId="55" fillId="0" borderId="0" xfId="4" applyFont="1" applyBorder="1" applyAlignment="1">
      <alignment vertical="center" wrapText="1"/>
    </xf>
    <xf numFmtId="179" fontId="19" fillId="0" borderId="0" xfId="4" applyNumberFormat="1" applyFont="1" applyBorder="1" applyAlignment="1">
      <alignment vertical="center" shrinkToFit="1"/>
    </xf>
    <xf numFmtId="179" fontId="59" fillId="0" borderId="97" xfId="4" applyNumberFormat="1" applyFont="1" applyBorder="1" applyAlignment="1">
      <alignment vertical="center" shrinkToFit="1"/>
    </xf>
    <xf numFmtId="179" fontId="59" fillId="0" borderId="0" xfId="4" applyNumberFormat="1" applyFont="1" applyBorder="1" applyAlignment="1">
      <alignment vertical="center" shrinkToFit="1"/>
    </xf>
    <xf numFmtId="179" fontId="60" fillId="10" borderId="103" xfId="4" applyNumberFormat="1" applyFont="1" applyFill="1" applyBorder="1">
      <alignment vertical="center"/>
    </xf>
    <xf numFmtId="0" fontId="23" fillId="0" borderId="5" xfId="4" applyFont="1" applyBorder="1" applyAlignment="1">
      <alignment vertical="center" wrapText="1"/>
    </xf>
    <xf numFmtId="179" fontId="60" fillId="10" borderId="5" xfId="4" applyNumberFormat="1" applyFont="1" applyFill="1" applyBorder="1" applyAlignment="1">
      <alignment vertical="center" shrinkToFit="1"/>
    </xf>
    <xf numFmtId="179" fontId="60" fillId="10" borderId="103" xfId="4" applyNumberFormat="1" applyFont="1" applyFill="1" applyBorder="1" applyAlignment="1">
      <alignment vertical="center" shrinkToFit="1"/>
    </xf>
    <xf numFmtId="0" fontId="23" fillId="0" borderId="5" xfId="4" applyFont="1" applyBorder="1" applyAlignment="1">
      <alignment vertical="center" shrinkToFit="1"/>
    </xf>
    <xf numFmtId="179" fontId="55" fillId="9" borderId="126" xfId="4" applyNumberFormat="1" applyFont="1" applyFill="1" applyBorder="1" applyAlignment="1">
      <alignment horizontal="center" vertical="center"/>
    </xf>
    <xf numFmtId="178" fontId="22" fillId="9" borderId="35" xfId="4" applyNumberFormat="1" applyFont="1" applyFill="1" applyBorder="1" applyAlignment="1">
      <alignment vertical="center" shrinkToFit="1"/>
    </xf>
    <xf numFmtId="179" fontId="55" fillId="9" borderId="127" xfId="4" applyNumberFormat="1" applyFont="1" applyFill="1" applyBorder="1" applyAlignment="1">
      <alignment horizontal="center" vertical="center"/>
    </xf>
    <xf numFmtId="179" fontId="55" fillId="9" borderId="130" xfId="4" applyNumberFormat="1" applyFont="1" applyFill="1" applyBorder="1" applyAlignment="1">
      <alignment horizontal="center" vertical="center"/>
    </xf>
    <xf numFmtId="178" fontId="61" fillId="9" borderId="32" xfId="4" applyNumberFormat="1" applyFont="1" applyFill="1" applyBorder="1" applyAlignment="1">
      <alignment vertical="center" shrinkToFit="1"/>
    </xf>
    <xf numFmtId="179" fontId="55" fillId="9" borderId="131" xfId="4" applyNumberFormat="1" applyFont="1" applyFill="1" applyBorder="1" applyAlignment="1">
      <alignment horizontal="center" vertical="center"/>
    </xf>
    <xf numFmtId="179" fontId="55" fillId="9" borderId="112" xfId="4" applyNumberFormat="1" applyFont="1" applyFill="1" applyBorder="1" applyAlignment="1">
      <alignment horizontal="center" vertical="center"/>
    </xf>
    <xf numFmtId="178" fontId="22" fillId="9" borderId="32" xfId="4" applyNumberFormat="1" applyFont="1" applyFill="1" applyBorder="1" applyAlignment="1">
      <alignment vertical="center" shrinkToFit="1"/>
    </xf>
    <xf numFmtId="179" fontId="55" fillId="9" borderId="98" xfId="4" applyNumberFormat="1" applyFont="1" applyFill="1" applyBorder="1" applyAlignment="1">
      <alignment horizontal="center" vertical="center"/>
    </xf>
    <xf numFmtId="178" fontId="61" fillId="9" borderId="136" xfId="4" applyNumberFormat="1" applyFont="1" applyFill="1" applyBorder="1" applyAlignment="1">
      <alignment vertical="center" shrinkToFit="1"/>
    </xf>
    <xf numFmtId="179" fontId="55" fillId="9" borderId="95" xfId="4" applyNumberFormat="1" applyFont="1" applyFill="1" applyBorder="1" applyAlignment="1">
      <alignment horizontal="center" vertical="center"/>
    </xf>
    <xf numFmtId="179" fontId="55" fillId="9" borderId="134" xfId="4" applyNumberFormat="1" applyFont="1" applyFill="1" applyBorder="1" applyAlignment="1">
      <alignment horizontal="center" vertical="center"/>
    </xf>
    <xf numFmtId="179" fontId="55" fillId="0" borderId="97" xfId="4" applyNumberFormat="1" applyFont="1" applyFill="1" applyBorder="1">
      <alignment vertical="center"/>
    </xf>
    <xf numFmtId="38" fontId="57" fillId="0" borderId="0" xfId="4" applyNumberFormat="1" applyFont="1" applyBorder="1" applyAlignment="1">
      <alignment horizontal="left" vertical="center" wrapText="1"/>
    </xf>
    <xf numFmtId="178" fontId="57" fillId="9" borderId="107" xfId="4" applyNumberFormat="1" applyFont="1" applyFill="1" applyBorder="1" applyAlignment="1">
      <alignment horizontal="right" vertical="center" shrinkToFit="1"/>
    </xf>
    <xf numFmtId="179" fontId="23" fillId="0" borderId="0" xfId="4" applyNumberFormat="1" applyFont="1" applyFill="1" applyBorder="1" applyAlignment="1">
      <alignment vertical="center" shrinkToFit="1"/>
    </xf>
    <xf numFmtId="38" fontId="57" fillId="0" borderId="0" xfId="4" applyNumberFormat="1" applyFont="1" applyBorder="1" applyAlignment="1">
      <alignment horizontal="left" vertical="center" shrinkToFit="1"/>
    </xf>
    <xf numFmtId="179" fontId="55" fillId="0" borderId="97" xfId="4" applyNumberFormat="1" applyFont="1" applyFill="1" applyBorder="1" applyAlignment="1">
      <alignment vertical="center" shrinkToFit="1"/>
    </xf>
    <xf numFmtId="178" fontId="57" fillId="9" borderId="105" xfId="4" applyNumberFormat="1" applyFont="1" applyFill="1" applyBorder="1" applyAlignment="1">
      <alignment horizontal="right" vertical="center" shrinkToFit="1"/>
    </xf>
    <xf numFmtId="178" fontId="57" fillId="9" borderId="41" xfId="4" applyNumberFormat="1" applyFont="1" applyFill="1" applyBorder="1" applyAlignment="1">
      <alignment horizontal="right" vertical="center" shrinkToFit="1"/>
    </xf>
    <xf numFmtId="178" fontId="57" fillId="9" borderId="102" xfId="4" applyNumberFormat="1" applyFont="1" applyFill="1" applyBorder="1" applyAlignment="1">
      <alignment horizontal="right" vertical="center" shrinkToFit="1"/>
    </xf>
    <xf numFmtId="179" fontId="23" fillId="0" borderId="97" xfId="4" applyNumberFormat="1" applyFont="1" applyBorder="1">
      <alignment vertical="center"/>
    </xf>
    <xf numFmtId="0" fontId="4" fillId="0" borderId="0" xfId="4" applyBorder="1" applyAlignment="1">
      <alignment vertical="center" wrapText="1"/>
    </xf>
    <xf numFmtId="178" fontId="57" fillId="0" borderId="41" xfId="4" applyNumberFormat="1" applyFont="1" applyBorder="1" applyAlignment="1">
      <alignment horizontal="right" vertical="center" shrinkToFit="1"/>
    </xf>
    <xf numFmtId="179" fontId="23" fillId="0" borderId="0" xfId="4" applyNumberFormat="1" applyFont="1" applyBorder="1" applyAlignment="1">
      <alignment vertical="center" shrinkToFit="1"/>
    </xf>
    <xf numFmtId="0" fontId="23" fillId="0" borderId="0" xfId="4" applyFont="1" applyBorder="1" applyAlignment="1">
      <alignment vertical="center" shrinkToFit="1"/>
    </xf>
    <xf numFmtId="178" fontId="57" fillId="0" borderId="102" xfId="4" applyNumberFormat="1" applyFont="1" applyBorder="1" applyAlignment="1">
      <alignment horizontal="right" vertical="center" shrinkToFit="1"/>
    </xf>
    <xf numFmtId="0" fontId="4" fillId="0" borderId="96" xfId="4" applyFont="1" applyFill="1" applyBorder="1" applyAlignment="1">
      <alignment horizontal="center" vertical="center"/>
    </xf>
    <xf numFmtId="179" fontId="4" fillId="0" borderId="108" xfId="4" applyNumberFormat="1" applyFont="1" applyBorder="1" applyAlignment="1">
      <alignment horizontal="center" vertical="center"/>
    </xf>
    <xf numFmtId="179" fontId="4" fillId="0" borderId="110" xfId="4" applyNumberFormat="1" applyFont="1" applyBorder="1" applyAlignment="1">
      <alignment horizontal="center" vertical="center" shrinkToFit="1"/>
    </xf>
    <xf numFmtId="0" fontId="4" fillId="0" borderId="110" xfId="4" applyFont="1" applyBorder="1" applyAlignment="1">
      <alignment vertical="center" shrinkToFit="1"/>
    </xf>
    <xf numFmtId="0" fontId="4" fillId="0" borderId="28" xfId="4" applyBorder="1" applyAlignment="1">
      <alignment horizontal="center" vertical="center"/>
    </xf>
    <xf numFmtId="0" fontId="27" fillId="0" borderId="110" xfId="4" applyFont="1" applyBorder="1" applyAlignment="1">
      <alignment vertical="center"/>
    </xf>
    <xf numFmtId="0" fontId="27" fillId="0" borderId="108" xfId="4" applyFont="1" applyBorder="1" applyAlignment="1">
      <alignment vertical="center"/>
    </xf>
    <xf numFmtId="190" fontId="27" fillId="0" borderId="0" xfId="4" applyNumberFormat="1" applyFont="1">
      <alignment vertical="center"/>
    </xf>
    <xf numFmtId="190" fontId="24" fillId="0" borderId="0" xfId="4" applyNumberFormat="1" applyFont="1">
      <alignment vertical="center"/>
    </xf>
    <xf numFmtId="190" fontId="4" fillId="0" borderId="0" xfId="4" applyNumberFormat="1">
      <alignment vertical="center"/>
    </xf>
    <xf numFmtId="190" fontId="27" fillId="11" borderId="46" xfId="4" applyNumberFormat="1" applyFont="1" applyFill="1" applyBorder="1" applyAlignment="1">
      <alignment vertical="center"/>
    </xf>
    <xf numFmtId="190" fontId="4" fillId="11" borderId="69" xfId="4" applyNumberFormat="1" applyFill="1" applyBorder="1" applyAlignment="1">
      <alignment vertical="center"/>
    </xf>
    <xf numFmtId="190" fontId="4" fillId="0" borderId="0" xfId="4" applyNumberFormat="1" applyAlignment="1">
      <alignment horizontal="center" vertical="center"/>
    </xf>
    <xf numFmtId="190" fontId="24" fillId="0" borderId="0" xfId="4" applyNumberFormat="1" applyFont="1" applyAlignment="1">
      <alignment horizontal="left" vertical="center"/>
    </xf>
    <xf numFmtId="190" fontId="4" fillId="11" borderId="69" xfId="4" applyNumberFormat="1" applyFill="1" applyBorder="1" applyAlignment="1">
      <alignment horizontal="right" vertical="center"/>
    </xf>
    <xf numFmtId="190" fontId="57" fillId="11" borderId="42" xfId="4" applyNumberFormat="1" applyFont="1" applyFill="1" applyBorder="1" applyAlignment="1">
      <alignment horizontal="right" vertical="center" shrinkToFit="1"/>
    </xf>
    <xf numFmtId="190" fontId="4" fillId="0" borderId="0" xfId="4" applyNumberFormat="1" applyAlignment="1">
      <alignment vertical="center"/>
    </xf>
    <xf numFmtId="190" fontId="32" fillId="0" borderId="0" xfId="4" applyNumberFormat="1" applyFont="1" applyAlignment="1">
      <alignment vertical="center" wrapText="1"/>
    </xf>
    <xf numFmtId="190" fontId="62" fillId="17" borderId="27" xfId="4" applyNumberFormat="1" applyFont="1" applyFill="1" applyBorder="1" applyAlignment="1">
      <alignment vertical="center"/>
    </xf>
    <xf numFmtId="190" fontId="62" fillId="17" borderId="0" xfId="4" applyNumberFormat="1" applyFont="1" applyFill="1" applyBorder="1" applyAlignment="1">
      <alignment vertical="center"/>
    </xf>
    <xf numFmtId="190" fontId="4" fillId="0" borderId="0" xfId="4" applyNumberFormat="1" applyAlignment="1">
      <alignment horizontal="left" vertical="center"/>
    </xf>
    <xf numFmtId="190" fontId="18" fillId="0" borderId="0" xfId="4" applyNumberFormat="1" applyFont="1" applyBorder="1" applyAlignment="1" applyProtection="1">
      <alignment horizontal="right" vertical="center"/>
      <protection locked="0"/>
    </xf>
    <xf numFmtId="190" fontId="62" fillId="0" borderId="27" xfId="4" applyNumberFormat="1" applyFont="1" applyBorder="1" applyAlignment="1">
      <alignment vertical="center"/>
    </xf>
    <xf numFmtId="190" fontId="62" fillId="0" borderId="0" xfId="4" applyNumberFormat="1" applyFont="1" applyBorder="1" applyAlignment="1">
      <alignment vertical="center"/>
    </xf>
    <xf numFmtId="190" fontId="64" fillId="0" borderId="0" xfId="4" applyNumberFormat="1" applyFont="1" applyBorder="1" applyAlignment="1">
      <alignment vertical="center"/>
    </xf>
    <xf numFmtId="190" fontId="62" fillId="0" borderId="27" xfId="4" applyNumberFormat="1" applyFont="1" applyBorder="1" applyAlignment="1">
      <alignment horizontal="left" vertical="center"/>
    </xf>
    <xf numFmtId="190" fontId="64" fillId="0" borderId="0" xfId="4" applyNumberFormat="1" applyFont="1" applyBorder="1" applyAlignment="1">
      <alignment horizontal="left" vertical="center"/>
    </xf>
    <xf numFmtId="190" fontId="4" fillId="0" borderId="0" xfId="4" applyNumberFormat="1" applyBorder="1" applyAlignment="1">
      <alignment horizontal="left" vertical="center"/>
    </xf>
    <xf numFmtId="190" fontId="32" fillId="0" borderId="0" xfId="4" applyNumberFormat="1" applyFont="1" applyAlignment="1">
      <alignment horizontal="left" vertical="center" wrapText="1"/>
    </xf>
    <xf numFmtId="190" fontId="62" fillId="0" borderId="27" xfId="4" applyNumberFormat="1" applyFont="1" applyBorder="1" applyAlignment="1" applyProtection="1">
      <alignment horizontal="left" vertical="center"/>
      <protection locked="0"/>
    </xf>
    <xf numFmtId="190" fontId="18" fillId="0" borderId="27" xfId="4" applyNumberFormat="1" applyFont="1" applyBorder="1" applyAlignment="1" applyProtection="1">
      <alignment horizontal="left" vertical="center"/>
      <protection locked="0"/>
    </xf>
    <xf numFmtId="190" fontId="18" fillId="0" borderId="0" xfId="4" applyNumberFormat="1" applyFont="1" applyBorder="1" applyAlignment="1" applyProtection="1">
      <alignment horizontal="left" vertical="center"/>
      <protection locked="0"/>
    </xf>
    <xf numFmtId="190" fontId="67" fillId="0" borderId="27" xfId="4" applyNumberFormat="1" applyFont="1" applyBorder="1" applyAlignment="1" applyProtection="1">
      <alignment horizontal="center" vertical="center"/>
      <protection locked="0"/>
    </xf>
    <xf numFmtId="190" fontId="67" fillId="0" borderId="0" xfId="4" applyNumberFormat="1" applyFont="1" applyBorder="1" applyAlignment="1" applyProtection="1">
      <alignment horizontal="center" vertical="center"/>
      <protection locked="0"/>
    </xf>
    <xf numFmtId="190" fontId="62" fillId="0" borderId="0" xfId="4" applyNumberFormat="1" applyFont="1" applyBorder="1" applyAlignment="1">
      <alignment horizontal="left" vertical="center"/>
    </xf>
    <xf numFmtId="190" fontId="24" fillId="0" borderId="0" xfId="4" applyNumberFormat="1" applyFont="1" applyAlignment="1">
      <alignment vertical="center"/>
    </xf>
    <xf numFmtId="190" fontId="32" fillId="0" borderId="0" xfId="4" applyNumberFormat="1" applyFont="1" applyAlignment="1">
      <alignment vertical="center"/>
    </xf>
    <xf numFmtId="190" fontId="4" fillId="0" borderId="0" xfId="4" applyNumberFormat="1" applyBorder="1" applyAlignment="1">
      <alignment vertical="center"/>
    </xf>
    <xf numFmtId="190" fontId="69" fillId="0" borderId="27" xfId="4" applyNumberFormat="1" applyFont="1" applyBorder="1" applyAlignment="1">
      <alignment horizontal="left" vertical="top"/>
    </xf>
    <xf numFmtId="190" fontId="69" fillId="0" borderId="0" xfId="4" applyNumberFormat="1" applyFont="1" applyBorder="1" applyAlignment="1">
      <alignment horizontal="left" vertical="top"/>
    </xf>
    <xf numFmtId="190" fontId="32" fillId="0" borderId="0" xfId="4" applyNumberFormat="1" applyFont="1" applyAlignment="1">
      <alignment vertical="top" wrapText="1"/>
    </xf>
    <xf numFmtId="190" fontId="63" fillId="0" borderId="6" xfId="4" applyNumberFormat="1" applyFont="1" applyBorder="1" applyAlignment="1" applyProtection="1">
      <alignment horizontal="right" vertical="center" shrinkToFit="1"/>
      <protection locked="0"/>
    </xf>
    <xf numFmtId="190" fontId="70" fillId="17" borderId="0" xfId="4" applyNumberFormat="1" applyFont="1" applyFill="1" applyBorder="1" applyAlignment="1">
      <alignment horizontal="left" vertical="center"/>
    </xf>
    <xf numFmtId="190" fontId="27" fillId="11" borderId="39" xfId="4" applyNumberFormat="1" applyFont="1" applyFill="1" applyBorder="1" applyAlignment="1">
      <alignment horizontal="left" vertical="center"/>
    </xf>
    <xf numFmtId="190" fontId="4" fillId="11" borderId="7" xfId="4" applyNumberFormat="1" applyFill="1" applyBorder="1" applyAlignment="1">
      <alignment vertical="center"/>
    </xf>
    <xf numFmtId="190" fontId="4" fillId="0" borderId="0" xfId="4" applyNumberFormat="1" applyAlignment="1">
      <alignment horizontal="right" vertical="center"/>
    </xf>
    <xf numFmtId="49" fontId="62" fillId="0" borderId="27" xfId="4" applyNumberFormat="1" applyFont="1" applyBorder="1" applyAlignment="1" applyProtection="1">
      <alignment horizontal="left" vertical="center"/>
      <protection locked="0"/>
    </xf>
    <xf numFmtId="0" fontId="64" fillId="0" borderId="0" xfId="4" applyFont="1" applyBorder="1" applyAlignment="1">
      <alignment horizontal="left" vertical="center"/>
    </xf>
    <xf numFmtId="0" fontId="64" fillId="0" borderId="0" xfId="4" applyFont="1" applyBorder="1" applyAlignment="1">
      <alignment vertical="center"/>
    </xf>
    <xf numFmtId="0" fontId="4" fillId="0" borderId="0" xfId="4" applyAlignment="1">
      <alignment vertical="center"/>
    </xf>
    <xf numFmtId="0" fontId="27" fillId="0" borderId="0" xfId="4" applyFont="1" applyAlignment="1">
      <alignment vertical="center"/>
    </xf>
    <xf numFmtId="190" fontId="24" fillId="0" borderId="0" xfId="4" applyNumberFormat="1" applyFont="1" applyAlignment="1">
      <alignment horizontal="center" vertical="center"/>
    </xf>
    <xf numFmtId="0" fontId="4" fillId="0" borderId="0" xfId="4" applyAlignment="1">
      <alignment horizontal="right" vertical="center"/>
    </xf>
    <xf numFmtId="190" fontId="71" fillId="11" borderId="46" xfId="4" applyNumberFormat="1" applyFont="1" applyFill="1" applyBorder="1" applyAlignment="1">
      <alignment horizontal="left" vertical="center" shrinkToFit="1"/>
    </xf>
    <xf numFmtId="190" fontId="18" fillId="11" borderId="69" xfId="4" applyNumberFormat="1" applyFont="1" applyFill="1" applyBorder="1" applyAlignment="1">
      <alignment horizontal="left" vertical="center"/>
    </xf>
    <xf numFmtId="190" fontId="68" fillId="11" borderId="69" xfId="4" applyNumberFormat="1" applyFont="1" applyFill="1" applyBorder="1" applyAlignment="1">
      <alignment horizontal="left" vertical="center" shrinkToFit="1"/>
    </xf>
    <xf numFmtId="190" fontId="68" fillId="0" borderId="0" xfId="4" applyNumberFormat="1" applyFont="1" applyFill="1" applyBorder="1" applyAlignment="1" applyProtection="1">
      <alignment horizontal="right" vertical="center" shrinkToFit="1"/>
      <protection locked="0"/>
    </xf>
    <xf numFmtId="0" fontId="62" fillId="0" borderId="27" xfId="4" applyFont="1" applyBorder="1" applyAlignment="1">
      <alignment horizontal="left" vertical="center"/>
    </xf>
    <xf numFmtId="190" fontId="18" fillId="0" borderId="27" xfId="4" applyNumberFormat="1" applyFont="1" applyFill="1" applyBorder="1" applyAlignment="1">
      <alignment horizontal="left" vertical="center"/>
    </xf>
    <xf numFmtId="190" fontId="18" fillId="0" borderId="0" xfId="4" applyNumberFormat="1" applyFont="1" applyFill="1" applyBorder="1" applyAlignment="1">
      <alignment horizontal="left" vertical="center"/>
    </xf>
    <xf numFmtId="0" fontId="64" fillId="0" borderId="27" xfId="4" applyFont="1" applyBorder="1" applyAlignment="1">
      <alignment horizontal="left" vertical="center"/>
    </xf>
    <xf numFmtId="190" fontId="71" fillId="11" borderId="27" xfId="4" applyNumberFormat="1" applyFont="1" applyFill="1" applyBorder="1" applyAlignment="1">
      <alignment horizontal="left" vertical="center"/>
    </xf>
    <xf numFmtId="190" fontId="18" fillId="11" borderId="0" xfId="4" applyNumberFormat="1" applyFont="1" applyFill="1" applyBorder="1" applyAlignment="1">
      <alignment horizontal="left" vertical="center"/>
    </xf>
    <xf numFmtId="190" fontId="68" fillId="11" borderId="0" xfId="4" applyNumberFormat="1" applyFont="1" applyFill="1" applyBorder="1" applyAlignment="1">
      <alignment horizontal="left" vertical="center" shrinkToFit="1"/>
    </xf>
    <xf numFmtId="190" fontId="68" fillId="0" borderId="5" xfId="4" applyNumberFormat="1" applyFont="1" applyFill="1" applyBorder="1" applyAlignment="1" applyProtection="1">
      <alignment horizontal="right" vertical="center" shrinkToFit="1"/>
      <protection locked="0"/>
    </xf>
    <xf numFmtId="190" fontId="18" fillId="0" borderId="0" xfId="4" applyNumberFormat="1" applyFont="1" applyFill="1" applyBorder="1" applyAlignment="1">
      <alignment horizontal="left" vertical="center" shrinkToFit="1"/>
    </xf>
    <xf numFmtId="0" fontId="64" fillId="0" borderId="27" xfId="4" applyFont="1" applyBorder="1" applyAlignment="1">
      <alignment vertical="center"/>
    </xf>
    <xf numFmtId="190" fontId="27" fillId="4" borderId="0" xfId="4" applyNumberFormat="1" applyFont="1" applyFill="1" applyBorder="1" applyAlignment="1">
      <alignment vertical="center" wrapText="1" shrinkToFit="1"/>
    </xf>
    <xf numFmtId="191" fontId="28" fillId="0" borderId="1" xfId="4" applyNumberFormat="1" applyFont="1" applyBorder="1" applyAlignment="1">
      <alignment vertical="center" shrinkToFit="1"/>
    </xf>
    <xf numFmtId="190" fontId="27" fillId="0" borderId="29" xfId="4" applyNumberFormat="1" applyFont="1" applyBorder="1" applyAlignment="1">
      <alignment horizontal="left" vertical="center" shrinkToFit="1"/>
    </xf>
    <xf numFmtId="0" fontId="4" fillId="4" borderId="0" xfId="4" applyFill="1" applyBorder="1" applyAlignment="1">
      <alignment vertical="center"/>
    </xf>
    <xf numFmtId="191" fontId="28" fillId="0" borderId="59" xfId="4" applyNumberFormat="1" applyFont="1" applyBorder="1" applyAlignment="1">
      <alignment vertical="center" shrinkToFit="1"/>
    </xf>
    <xf numFmtId="190" fontId="27" fillId="0" borderId="55" xfId="4" applyNumberFormat="1" applyFont="1" applyBorder="1" applyAlignment="1">
      <alignment horizontal="left" vertical="center" shrinkToFit="1"/>
    </xf>
    <xf numFmtId="191" fontId="28" fillId="0" borderId="11" xfId="4" applyNumberFormat="1" applyFont="1" applyBorder="1" applyAlignment="1">
      <alignment vertical="center" shrinkToFit="1"/>
    </xf>
    <xf numFmtId="190" fontId="27" fillId="0" borderId="53" xfId="4" applyNumberFormat="1" applyFont="1" applyBorder="1" applyAlignment="1">
      <alignment horizontal="left" vertical="center" shrinkToFit="1"/>
    </xf>
    <xf numFmtId="49" fontId="62" fillId="0" borderId="45" xfId="4" applyNumberFormat="1" applyFont="1" applyBorder="1" applyAlignment="1" applyProtection="1">
      <alignment horizontal="left" vertical="center"/>
      <protection locked="0"/>
    </xf>
    <xf numFmtId="0" fontId="64" fillId="0" borderId="5" xfId="4" applyFont="1" applyBorder="1" applyAlignment="1">
      <alignment horizontal="left" vertical="center"/>
    </xf>
    <xf numFmtId="0" fontId="64" fillId="0" borderId="5" xfId="4" applyFont="1" applyBorder="1" applyAlignment="1">
      <alignment vertical="center"/>
    </xf>
    <xf numFmtId="190" fontId="27" fillId="11" borderId="39" xfId="4" applyNumberFormat="1" applyFont="1" applyFill="1" applyBorder="1">
      <alignment vertical="center"/>
    </xf>
    <xf numFmtId="190" fontId="4" fillId="11" borderId="7" xfId="4" applyNumberFormat="1" applyFill="1" applyBorder="1">
      <alignment vertical="center"/>
    </xf>
    <xf numFmtId="190" fontId="4" fillId="11" borderId="26" xfId="4" applyNumberFormat="1" applyFill="1" applyBorder="1">
      <alignment vertical="center"/>
    </xf>
    <xf numFmtId="190" fontId="28" fillId="0" borderId="0" xfId="4" applyNumberFormat="1" applyFont="1" applyBorder="1" applyAlignment="1">
      <alignment vertical="center" shrinkToFit="1"/>
    </xf>
    <xf numFmtId="0" fontId="64" fillId="0" borderId="0" xfId="4" applyFont="1" applyAlignment="1">
      <alignment vertical="center"/>
    </xf>
    <xf numFmtId="0" fontId="73" fillId="0" borderId="0" xfId="4" applyFont="1" applyAlignment="1">
      <alignment vertical="center" shrinkToFit="1"/>
    </xf>
    <xf numFmtId="0" fontId="30" fillId="0" borderId="0" xfId="4" applyFont="1" applyAlignment="1">
      <alignment vertical="center" shrinkToFit="1"/>
    </xf>
    <xf numFmtId="192" fontId="28" fillId="0" borderId="59" xfId="4" applyNumberFormat="1" applyFont="1" applyBorder="1" applyAlignment="1">
      <alignment vertical="center" shrinkToFit="1"/>
    </xf>
    <xf numFmtId="0" fontId="4" fillId="0" borderId="0" xfId="4" applyBorder="1" applyAlignment="1">
      <alignment vertical="center"/>
    </xf>
    <xf numFmtId="190" fontId="62" fillId="11" borderId="39" xfId="4" applyNumberFormat="1" applyFont="1" applyFill="1" applyBorder="1" applyAlignment="1">
      <alignment vertical="center"/>
    </xf>
    <xf numFmtId="190" fontId="62" fillId="11" borderId="7" xfId="4" applyNumberFormat="1" applyFont="1" applyFill="1" applyBorder="1" applyAlignment="1">
      <alignment vertical="center"/>
    </xf>
    <xf numFmtId="190" fontId="28" fillId="0" borderId="0" xfId="4" applyNumberFormat="1" applyFont="1" applyBorder="1" applyAlignment="1">
      <alignment horizontal="left" vertical="center" shrinkToFit="1"/>
    </xf>
    <xf numFmtId="190" fontId="4" fillId="0" borderId="0" xfId="4" applyNumberFormat="1" applyAlignment="1">
      <alignment horizontal="left" vertical="center" shrinkToFit="1"/>
    </xf>
    <xf numFmtId="190" fontId="24" fillId="0" borderId="27" xfId="4" applyNumberFormat="1" applyFont="1" applyBorder="1" applyAlignment="1">
      <alignment vertical="center" shrinkToFit="1"/>
    </xf>
    <xf numFmtId="190" fontId="24" fillId="0" borderId="0" xfId="4" applyNumberFormat="1" applyFont="1" applyBorder="1" applyAlignment="1">
      <alignment vertical="center" shrinkToFit="1"/>
    </xf>
    <xf numFmtId="190" fontId="24" fillId="0" borderId="0" xfId="4" applyNumberFormat="1" applyFont="1" applyBorder="1" applyAlignment="1">
      <alignment horizontal="left" vertical="center" shrinkToFit="1"/>
    </xf>
    <xf numFmtId="0" fontId="4" fillId="0" borderId="0" xfId="4" applyAlignment="1">
      <alignment horizontal="left" vertical="center" shrinkToFit="1"/>
    </xf>
    <xf numFmtId="190" fontId="24" fillId="0" borderId="0" xfId="4" applyNumberFormat="1" applyFont="1" applyAlignment="1">
      <alignment vertical="center" shrinkToFit="1"/>
    </xf>
    <xf numFmtId="190" fontId="4" fillId="0" borderId="0" xfId="4" applyNumberFormat="1" applyAlignment="1">
      <alignment vertical="center" shrinkToFit="1"/>
    </xf>
    <xf numFmtId="190" fontId="27" fillId="11" borderId="39" xfId="4" applyNumberFormat="1" applyFont="1" applyFill="1" applyBorder="1" applyAlignment="1">
      <alignment vertical="center"/>
    </xf>
    <xf numFmtId="0" fontId="4" fillId="0" borderId="0" xfId="4" applyAlignment="1">
      <alignment horizontal="right" vertical="center" shrinkToFit="1"/>
    </xf>
    <xf numFmtId="0" fontId="74" fillId="0" borderId="0" xfId="4" applyFont="1" applyAlignment="1">
      <alignment vertical="center"/>
    </xf>
    <xf numFmtId="0" fontId="23" fillId="0" borderId="0" xfId="4" applyFont="1" applyAlignment="1">
      <alignment vertical="center" shrinkToFit="1"/>
    </xf>
    <xf numFmtId="0" fontId="22" fillId="0" borderId="0" xfId="4" applyFont="1" applyAlignment="1"/>
    <xf numFmtId="0" fontId="4" fillId="0" borderId="0" xfId="4" applyAlignment="1"/>
    <xf numFmtId="193" fontId="26" fillId="0" borderId="0" xfId="4" applyNumberFormat="1" applyFont="1" applyAlignment="1">
      <alignment horizontal="left"/>
    </xf>
    <xf numFmtId="38" fontId="0" fillId="0" borderId="0" xfId="5" applyFont="1" applyAlignment="1">
      <alignment vertical="center" shrinkToFit="1"/>
    </xf>
    <xf numFmtId="0" fontId="59" fillId="0" borderId="0" xfId="4" applyFont="1" applyAlignment="1">
      <alignment vertical="center" shrinkToFit="1"/>
    </xf>
    <xf numFmtId="0" fontId="23" fillId="0" borderId="0" xfId="4" applyFont="1" applyFill="1" applyBorder="1" applyAlignment="1">
      <alignment horizontal="center" vertical="center" shrinkToFit="1"/>
    </xf>
    <xf numFmtId="0" fontId="22" fillId="0" borderId="58" xfId="4" applyFont="1" applyBorder="1" applyAlignment="1">
      <alignment horizontal="center" vertical="center" shrinkToFit="1"/>
    </xf>
    <xf numFmtId="0" fontId="22" fillId="0" borderId="53" xfId="4" applyFont="1" applyBorder="1" applyAlignment="1">
      <alignment horizontal="center" vertical="center" shrinkToFit="1"/>
    </xf>
    <xf numFmtId="0" fontId="22" fillId="0" borderId="139" xfId="4" applyFont="1" applyBorder="1" applyAlignment="1">
      <alignment horizontal="center" vertical="center" shrinkToFit="1"/>
    </xf>
    <xf numFmtId="0" fontId="22" fillId="0" borderId="140" xfId="4" applyFont="1" applyBorder="1" applyAlignment="1">
      <alignment horizontal="center" vertical="center" shrinkToFit="1"/>
    </xf>
    <xf numFmtId="0" fontId="23" fillId="0" borderId="27" xfId="4" applyFont="1" applyFill="1" applyBorder="1" applyAlignment="1">
      <alignment horizontal="center" vertical="center" shrinkToFit="1"/>
    </xf>
    <xf numFmtId="38" fontId="25" fillId="0" borderId="16" xfId="5" applyFont="1" applyBorder="1" applyAlignment="1">
      <alignment horizontal="right" vertical="center" shrinkToFit="1"/>
    </xf>
    <xf numFmtId="38" fontId="25" fillId="0" borderId="55" xfId="5" applyFont="1" applyBorder="1" applyAlignment="1">
      <alignment horizontal="right" vertical="center" shrinkToFit="1"/>
    </xf>
    <xf numFmtId="38" fontId="24" fillId="9" borderId="139" xfId="5" applyFont="1" applyFill="1" applyBorder="1" applyAlignment="1">
      <alignment vertical="center" shrinkToFit="1"/>
    </xf>
    <xf numFmtId="38" fontId="24" fillId="0" borderId="142" xfId="5" applyFont="1" applyFill="1" applyBorder="1" applyAlignment="1">
      <alignment vertical="center" shrinkToFit="1"/>
    </xf>
    <xf numFmtId="38" fontId="24" fillId="0" borderId="140" xfId="5" applyFont="1" applyFill="1" applyBorder="1" applyAlignment="1">
      <alignment vertical="center" shrinkToFit="1"/>
    </xf>
    <xf numFmtId="38" fontId="24" fillId="0" borderId="42" xfId="5" applyFont="1" applyFill="1" applyBorder="1" applyAlignment="1">
      <alignment vertical="center" shrinkToFit="1"/>
    </xf>
    <xf numFmtId="38" fontId="24" fillId="0" borderId="139" xfId="5" applyFont="1" applyFill="1" applyBorder="1" applyAlignment="1">
      <alignment vertical="center" shrinkToFit="1"/>
    </xf>
    <xf numFmtId="38" fontId="24" fillId="0" borderId="69" xfId="5" applyFont="1" applyFill="1" applyBorder="1" applyAlignment="1">
      <alignment vertical="center" shrinkToFit="1"/>
    </xf>
    <xf numFmtId="38" fontId="24" fillId="9" borderId="143" xfId="5" applyFont="1" applyFill="1" applyBorder="1" applyAlignment="1">
      <alignment vertical="center" shrinkToFit="1"/>
    </xf>
    <xf numFmtId="178" fontId="23" fillId="0" borderId="57" xfId="4" applyNumberFormat="1" applyFont="1" applyBorder="1" applyAlignment="1">
      <alignment horizontal="right" vertical="center" shrinkToFit="1"/>
    </xf>
    <xf numFmtId="178" fontId="4" fillId="0" borderId="42" xfId="4" applyNumberFormat="1" applyBorder="1" applyAlignment="1">
      <alignment vertical="center" shrinkToFit="1"/>
    </xf>
    <xf numFmtId="178" fontId="4" fillId="0" borderId="35" xfId="4" applyNumberFormat="1" applyBorder="1" applyAlignment="1">
      <alignment vertical="center" shrinkToFit="1"/>
    </xf>
    <xf numFmtId="178" fontId="4" fillId="0" borderId="27" xfId="4" applyNumberFormat="1" applyBorder="1" applyAlignment="1">
      <alignment vertical="center" shrinkToFit="1"/>
    </xf>
    <xf numFmtId="38" fontId="25" fillId="0" borderId="58" xfId="5" applyFont="1" applyBorder="1" applyAlignment="1">
      <alignment horizontal="right" vertical="center" shrinkToFit="1"/>
    </xf>
    <xf numFmtId="38" fontId="25" fillId="0" borderId="53" xfId="5" applyFont="1" applyBorder="1" applyAlignment="1">
      <alignment horizontal="right" vertical="center" shrinkToFit="1"/>
    </xf>
    <xf numFmtId="38" fontId="24" fillId="9" borderId="144" xfId="5" applyFont="1" applyFill="1" applyBorder="1" applyAlignment="1">
      <alignment vertical="center" shrinkToFit="1"/>
    </xf>
    <xf numFmtId="38" fontId="24" fillId="0" borderId="145" xfId="5" applyFont="1" applyFill="1" applyBorder="1" applyAlignment="1">
      <alignment vertical="center" shrinkToFit="1"/>
    </xf>
    <xf numFmtId="38" fontId="24" fillId="0" borderId="146" xfId="5" applyFont="1" applyFill="1" applyBorder="1" applyAlignment="1">
      <alignment vertical="center" shrinkToFit="1"/>
    </xf>
    <xf numFmtId="38" fontId="24" fillId="0" borderId="41" xfId="5" applyFont="1" applyFill="1" applyBorder="1" applyAlignment="1">
      <alignment vertical="center" shrinkToFit="1"/>
    </xf>
    <xf numFmtId="38" fontId="24" fillId="0" borderId="0" xfId="5" applyFont="1" applyFill="1" applyBorder="1" applyAlignment="1">
      <alignment vertical="center" shrinkToFit="1"/>
    </xf>
    <xf numFmtId="38" fontId="24" fillId="9" borderId="147" xfId="5" applyFont="1" applyFill="1" applyBorder="1" applyAlignment="1">
      <alignment vertical="center" shrinkToFit="1"/>
    </xf>
    <xf numFmtId="178" fontId="58" fillId="0" borderId="57" xfId="4" applyNumberFormat="1" applyFont="1" applyBorder="1" applyAlignment="1">
      <alignment horizontal="right" shrinkToFit="1"/>
    </xf>
    <xf numFmtId="194" fontId="58" fillId="0" borderId="32" xfId="4" applyNumberFormat="1" applyFont="1" applyBorder="1" applyAlignment="1">
      <alignment horizontal="center" shrinkToFit="1"/>
    </xf>
    <xf numFmtId="178" fontId="4" fillId="0" borderId="41" xfId="4" applyNumberFormat="1" applyBorder="1" applyAlignment="1">
      <alignment vertical="center" shrinkToFit="1"/>
    </xf>
    <xf numFmtId="178" fontId="4" fillId="0" borderId="32" xfId="4" applyNumberFormat="1" applyBorder="1" applyAlignment="1">
      <alignment vertical="center" shrinkToFit="1"/>
    </xf>
    <xf numFmtId="178" fontId="25" fillId="9" borderId="56" xfId="4" applyNumberFormat="1" applyFont="1" applyFill="1" applyBorder="1" applyAlignment="1">
      <alignment horizontal="right" vertical="center" shrinkToFit="1"/>
    </xf>
    <xf numFmtId="178" fontId="24" fillId="9" borderId="24" xfId="4" applyNumberFormat="1" applyFont="1" applyFill="1" applyBorder="1" applyAlignment="1">
      <alignment horizontal="right" vertical="center" shrinkToFit="1"/>
    </xf>
    <xf numFmtId="189" fontId="4" fillId="9" borderId="27" xfId="4" applyNumberFormat="1" applyFill="1" applyBorder="1" applyAlignment="1">
      <alignment horizontal="center" vertical="center" shrinkToFit="1"/>
    </xf>
    <xf numFmtId="0" fontId="4" fillId="0" borderId="0" xfId="4" applyAlignment="1">
      <alignment horizontal="center" vertical="center" shrinkToFit="1"/>
    </xf>
    <xf numFmtId="178" fontId="24" fillId="9" borderId="57" xfId="4" applyNumberFormat="1" applyFont="1" applyFill="1" applyBorder="1" applyAlignment="1">
      <alignment vertical="center" shrinkToFit="1"/>
    </xf>
    <xf numFmtId="178" fontId="24" fillId="9" borderId="32" xfId="4" applyNumberFormat="1" applyFont="1" applyFill="1" applyBorder="1" applyAlignment="1">
      <alignment horizontal="right" vertical="center" shrinkToFit="1"/>
    </xf>
    <xf numFmtId="38" fontId="0" fillId="0" borderId="41" xfId="5" applyFont="1" applyFill="1" applyBorder="1" applyAlignment="1">
      <alignment horizontal="right" vertical="center" shrinkToFit="1"/>
    </xf>
    <xf numFmtId="178" fontId="4" fillId="0" borderId="42" xfId="4" applyNumberFormat="1" applyFont="1" applyFill="1" applyBorder="1" applyAlignment="1">
      <alignment vertical="center" shrinkToFit="1"/>
    </xf>
    <xf numFmtId="178" fontId="24" fillId="0" borderId="41" xfId="4" applyNumberFormat="1" applyFont="1" applyFill="1" applyBorder="1" applyAlignment="1">
      <alignment vertical="center" shrinkToFit="1"/>
    </xf>
    <xf numFmtId="189" fontId="4" fillId="9" borderId="27" xfId="4" applyNumberFormat="1" applyFill="1" applyBorder="1" applyAlignment="1">
      <alignment vertical="center" shrinkToFit="1"/>
    </xf>
    <xf numFmtId="178" fontId="4" fillId="9" borderId="41" xfId="4" applyNumberFormat="1" applyFont="1" applyFill="1" applyBorder="1" applyAlignment="1">
      <alignment vertical="center" shrinkToFit="1"/>
    </xf>
    <xf numFmtId="0" fontId="23" fillId="0" borderId="32" xfId="4" applyFont="1" applyBorder="1" applyAlignment="1">
      <alignment horizontal="right" vertical="top" shrinkToFit="1"/>
    </xf>
    <xf numFmtId="0" fontId="23" fillId="0" borderId="41" xfId="4" applyFont="1" applyFill="1" applyBorder="1" applyAlignment="1">
      <alignment horizontal="right" vertical="top" shrinkToFit="1"/>
    </xf>
    <xf numFmtId="194" fontId="23" fillId="0" borderId="41" xfId="4" applyNumberFormat="1" applyFont="1" applyFill="1" applyBorder="1" applyAlignment="1">
      <alignment horizontal="right" vertical="top" shrinkToFit="1"/>
    </xf>
    <xf numFmtId="178" fontId="4" fillId="9" borderId="32" xfId="4" applyNumberFormat="1" applyFont="1" applyFill="1" applyBorder="1" applyAlignment="1">
      <alignment vertical="center" shrinkToFit="1"/>
    </xf>
    <xf numFmtId="38" fontId="24" fillId="9" borderId="148" xfId="5" applyFont="1" applyFill="1" applyBorder="1" applyAlignment="1">
      <alignment vertical="center" shrinkToFit="1"/>
    </xf>
    <xf numFmtId="38" fontId="23" fillId="0" borderId="58" xfId="5" applyFont="1" applyFill="1" applyBorder="1" applyAlignment="1">
      <alignment horizontal="left" vertical="center" shrinkToFit="1"/>
    </xf>
    <xf numFmtId="38" fontId="23" fillId="0" borderId="41" xfId="5" applyFont="1" applyFill="1" applyBorder="1" applyAlignment="1">
      <alignment horizontal="left" vertical="center" shrinkToFit="1"/>
    </xf>
    <xf numFmtId="194" fontId="4" fillId="9" borderId="32" xfId="4" applyNumberFormat="1" applyFont="1" applyFill="1" applyBorder="1" applyAlignment="1">
      <alignment vertical="center" shrinkToFit="1"/>
    </xf>
    <xf numFmtId="194" fontId="4" fillId="0" borderId="41" xfId="4" applyNumberFormat="1" applyFont="1" applyFill="1" applyBorder="1" applyAlignment="1">
      <alignment vertical="center" shrinkToFit="1"/>
    </xf>
    <xf numFmtId="178" fontId="4" fillId="0" borderId="41" xfId="4" applyNumberFormat="1" applyFont="1" applyFill="1" applyBorder="1" applyAlignment="1">
      <alignment vertical="center" shrinkToFit="1"/>
    </xf>
    <xf numFmtId="38" fontId="23" fillId="0" borderId="32" xfId="5" applyFont="1" applyFill="1" applyBorder="1" applyAlignment="1">
      <alignment horizontal="left" vertical="center" shrinkToFit="1"/>
    </xf>
    <xf numFmtId="38" fontId="24" fillId="9" borderId="0" xfId="5" applyFont="1" applyFill="1" applyBorder="1" applyAlignment="1">
      <alignment horizontal="right" vertical="center" shrinkToFit="1"/>
    </xf>
    <xf numFmtId="38" fontId="24" fillId="9" borderId="149" xfId="5" applyFont="1" applyFill="1" applyBorder="1" applyAlignment="1">
      <alignment vertical="center" shrinkToFit="1"/>
    </xf>
    <xf numFmtId="194" fontId="58" fillId="0" borderId="41" xfId="4" applyNumberFormat="1" applyFont="1" applyBorder="1" applyAlignment="1">
      <alignment horizontal="center" shrinkToFit="1"/>
    </xf>
    <xf numFmtId="38" fontId="24" fillId="0" borderId="149" xfId="5" applyFont="1" applyFill="1" applyBorder="1" applyAlignment="1">
      <alignment vertical="center" shrinkToFit="1"/>
    </xf>
    <xf numFmtId="38" fontId="24" fillId="9" borderId="146" xfId="5" applyFont="1" applyFill="1" applyBorder="1" applyAlignment="1">
      <alignment vertical="center" shrinkToFit="1"/>
    </xf>
    <xf numFmtId="38" fontId="24" fillId="9" borderId="0" xfId="5" applyFont="1" applyFill="1" applyBorder="1" applyAlignment="1">
      <alignment vertical="center" shrinkToFit="1"/>
    </xf>
    <xf numFmtId="38" fontId="24" fillId="9" borderId="41" xfId="5" applyFont="1" applyFill="1" applyBorder="1" applyAlignment="1">
      <alignment vertical="center" shrinkToFit="1"/>
    </xf>
    <xf numFmtId="178" fontId="24" fillId="0" borderId="57" xfId="4" applyNumberFormat="1" applyFont="1" applyBorder="1" applyAlignment="1">
      <alignment vertical="center" shrinkToFit="1"/>
    </xf>
    <xf numFmtId="178" fontId="24" fillId="9" borderId="41" xfId="4" applyNumberFormat="1" applyFont="1" applyFill="1" applyBorder="1" applyAlignment="1">
      <alignment horizontal="right" vertical="center" shrinkToFit="1"/>
    </xf>
    <xf numFmtId="38" fontId="24" fillId="0" borderId="32" xfId="5" applyFont="1" applyFill="1" applyBorder="1" applyAlignment="1">
      <alignment horizontal="right" vertical="center" shrinkToFit="1"/>
    </xf>
    <xf numFmtId="196" fontId="58" fillId="0" borderId="41" xfId="4" applyNumberFormat="1" applyFont="1" applyBorder="1" applyAlignment="1">
      <alignment horizontal="center" shrinkToFit="1"/>
    </xf>
    <xf numFmtId="178" fontId="23" fillId="0" borderId="32" xfId="4" applyNumberFormat="1" applyFont="1" applyBorder="1" applyAlignment="1">
      <alignment horizontal="right" vertical="top" shrinkToFit="1"/>
    </xf>
    <xf numFmtId="196" fontId="58" fillId="0" borderId="33" xfId="4" applyNumberFormat="1" applyFont="1" applyBorder="1" applyAlignment="1">
      <alignment horizontal="center" shrinkToFit="1"/>
    </xf>
    <xf numFmtId="0" fontId="27" fillId="19" borderId="66" xfId="4" applyFont="1" applyFill="1" applyBorder="1" applyAlignment="1">
      <alignment horizontal="center" vertical="center" shrinkToFit="1"/>
    </xf>
    <xf numFmtId="38" fontId="29" fillId="19" borderId="58" xfId="5" applyFont="1" applyFill="1" applyBorder="1" applyAlignment="1">
      <alignment horizontal="right" vertical="center" shrinkToFit="1"/>
    </xf>
    <xf numFmtId="38" fontId="29" fillId="19" borderId="53" xfId="5" applyFont="1" applyFill="1" applyBorder="1" applyAlignment="1">
      <alignment horizontal="right" vertical="center" shrinkToFit="1"/>
    </xf>
    <xf numFmtId="38" fontId="28" fillId="19" borderId="149" xfId="5" applyFont="1" applyFill="1" applyBorder="1" applyAlignment="1">
      <alignment vertical="center" shrinkToFit="1"/>
    </xf>
    <xf numFmtId="38" fontId="28" fillId="19" borderId="145" xfId="5" applyFont="1" applyFill="1" applyBorder="1" applyAlignment="1">
      <alignment vertical="center" shrinkToFit="1"/>
    </xf>
    <xf numFmtId="38" fontId="28" fillId="19" borderId="146" xfId="5" applyFont="1" applyFill="1" applyBorder="1" applyAlignment="1">
      <alignment vertical="center" shrinkToFit="1"/>
    </xf>
    <xf numFmtId="38" fontId="28" fillId="19" borderId="41" xfId="5" applyFont="1" applyFill="1" applyBorder="1" applyAlignment="1">
      <alignment vertical="center" shrinkToFit="1"/>
    </xf>
    <xf numFmtId="38" fontId="28" fillId="19" borderId="0" xfId="5" applyFont="1" applyFill="1" applyBorder="1" applyAlignment="1">
      <alignment vertical="center" shrinkToFit="1"/>
    </xf>
    <xf numFmtId="178" fontId="25" fillId="4" borderId="56" xfId="4" applyNumberFormat="1" applyFont="1" applyFill="1" applyBorder="1" applyAlignment="1">
      <alignment horizontal="right" vertical="center" shrinkToFit="1"/>
    </xf>
    <xf numFmtId="178" fontId="24" fillId="9" borderId="26" xfId="4" applyNumberFormat="1" applyFont="1" applyFill="1" applyBorder="1" applyAlignment="1">
      <alignment horizontal="right" vertical="center" shrinkToFit="1"/>
    </xf>
    <xf numFmtId="189" fontId="4" fillId="9" borderId="27" xfId="4" applyNumberFormat="1" applyFont="1" applyFill="1" applyBorder="1" applyAlignment="1">
      <alignment horizontal="center" vertical="center" shrinkToFit="1"/>
    </xf>
    <xf numFmtId="0" fontId="27" fillId="0" borderId="28" xfId="4" applyFont="1" applyBorder="1" applyAlignment="1">
      <alignment horizontal="center" vertical="center" shrinkToFit="1"/>
    </xf>
    <xf numFmtId="178" fontId="29" fillId="0" borderId="28" xfId="4" applyNumberFormat="1" applyFont="1" applyBorder="1" applyAlignment="1">
      <alignment horizontal="right" vertical="center" shrinkToFit="1"/>
    </xf>
    <xf numFmtId="178" fontId="29" fillId="0" borderId="19" xfId="4" applyNumberFormat="1" applyFont="1" applyBorder="1" applyAlignment="1">
      <alignment horizontal="right" vertical="center" shrinkToFit="1"/>
    </xf>
    <xf numFmtId="178" fontId="29" fillId="0" borderId="14" xfId="4" applyNumberFormat="1" applyFont="1" applyBorder="1" applyAlignment="1">
      <alignment horizontal="right" vertical="center" shrinkToFit="1"/>
    </xf>
    <xf numFmtId="178" fontId="29" fillId="0" borderId="31" xfId="4" applyNumberFormat="1" applyFont="1" applyBorder="1" applyAlignment="1">
      <alignment horizontal="right" vertical="center" shrinkToFit="1"/>
    </xf>
    <xf numFmtId="189" fontId="25" fillId="0" borderId="0" xfId="4" applyNumberFormat="1" applyFont="1" applyBorder="1" applyAlignment="1">
      <alignment vertical="center" shrinkToFit="1"/>
    </xf>
    <xf numFmtId="38" fontId="23" fillId="0" borderId="0" xfId="5" applyFont="1" applyAlignment="1">
      <alignment vertical="center" shrinkToFit="1"/>
    </xf>
    <xf numFmtId="0" fontId="4" fillId="0" borderId="0" xfId="4" applyFont="1" applyBorder="1" applyAlignment="1">
      <alignment horizontal="center" vertical="center" shrinkToFit="1"/>
    </xf>
    <xf numFmtId="38" fontId="4" fillId="0" borderId="0" xfId="5" applyFont="1" applyBorder="1" applyAlignment="1">
      <alignment vertical="center" shrinkToFit="1"/>
    </xf>
    <xf numFmtId="176" fontId="25" fillId="0" borderId="0" xfId="5" applyNumberFormat="1" applyFont="1" applyBorder="1" applyAlignment="1">
      <alignment vertical="center" shrinkToFit="1"/>
    </xf>
    <xf numFmtId="38" fontId="25" fillId="0" borderId="0" xfId="5" applyFont="1" applyBorder="1" applyAlignment="1">
      <alignment vertical="center" shrinkToFit="1"/>
    </xf>
    <xf numFmtId="178" fontId="4" fillId="0" borderId="0" xfId="4" applyNumberFormat="1" applyFont="1" applyBorder="1" applyAlignment="1">
      <alignment horizontal="right" vertical="center" shrinkToFit="1"/>
    </xf>
    <xf numFmtId="176" fontId="25" fillId="0" borderId="0" xfId="4" applyNumberFormat="1" applyFont="1" applyBorder="1" applyAlignment="1">
      <alignment horizontal="right" vertical="center" shrinkToFit="1"/>
    </xf>
    <xf numFmtId="176" fontId="24" fillId="0" borderId="0" xfId="5" applyNumberFormat="1" applyFont="1" applyAlignment="1">
      <alignment horizontal="right" vertical="center" shrinkToFit="1"/>
    </xf>
    <xf numFmtId="176" fontId="24" fillId="0" borderId="0" xfId="5" applyNumberFormat="1" applyFont="1" applyAlignment="1">
      <alignment vertical="center" shrinkToFit="1"/>
    </xf>
    <xf numFmtId="38" fontId="23" fillId="0" borderId="0" xfId="5" applyFont="1" applyAlignment="1">
      <alignment vertical="center"/>
    </xf>
    <xf numFmtId="38" fontId="4" fillId="0" borderId="0" xfId="5" applyFont="1" applyAlignment="1">
      <alignment vertical="center" shrinkToFit="1"/>
    </xf>
    <xf numFmtId="176" fontId="23" fillId="0" borderId="0" xfId="4" applyNumberFormat="1" applyFont="1" applyAlignment="1">
      <alignment shrinkToFit="1"/>
    </xf>
    <xf numFmtId="0" fontId="23" fillId="0" borderId="0" xfId="4" applyFont="1" applyFill="1" applyAlignment="1">
      <alignment vertical="center"/>
    </xf>
    <xf numFmtId="0" fontId="23" fillId="0" borderId="0" xfId="4" applyFont="1" applyFill="1" applyAlignment="1">
      <alignment vertical="center" shrinkToFit="1"/>
    </xf>
    <xf numFmtId="38" fontId="24" fillId="0" borderId="0" xfId="5" applyFont="1" applyFill="1" applyAlignment="1">
      <alignment vertical="center" shrinkToFit="1"/>
    </xf>
    <xf numFmtId="0" fontId="4" fillId="0" borderId="0" xfId="4" applyFont="1" applyFill="1" applyAlignment="1">
      <alignment vertical="center" shrinkToFit="1"/>
    </xf>
    <xf numFmtId="38" fontId="24" fillId="0" borderId="0" xfId="5" applyFont="1" applyAlignment="1">
      <alignment vertical="center" shrinkToFit="1"/>
    </xf>
    <xf numFmtId="176" fontId="56" fillId="0" borderId="0" xfId="5" applyNumberFormat="1" applyFont="1" applyAlignment="1">
      <alignment vertical="top" shrinkToFit="1"/>
    </xf>
    <xf numFmtId="176" fontId="23" fillId="0" borderId="0" xfId="4" applyNumberFormat="1" applyFont="1" applyBorder="1" applyAlignment="1">
      <alignment horizontal="right" vertical="center" shrinkToFit="1"/>
    </xf>
    <xf numFmtId="176" fontId="24" fillId="0" borderId="0" xfId="4" applyNumberFormat="1" applyFont="1" applyAlignment="1">
      <alignment horizontal="right" vertical="center" shrinkToFit="1"/>
    </xf>
    <xf numFmtId="38" fontId="4" fillId="0" borderId="90" xfId="5" applyFont="1" applyBorder="1" applyAlignment="1">
      <alignment vertical="center" shrinkToFit="1"/>
    </xf>
    <xf numFmtId="38" fontId="56" fillId="0" borderId="90" xfId="5" applyFont="1" applyBorder="1" applyAlignment="1">
      <alignment horizontal="center" vertical="center" shrinkToFit="1"/>
    </xf>
    <xf numFmtId="0" fontId="23" fillId="0" borderId="90" xfId="4" applyFont="1" applyBorder="1" applyAlignment="1">
      <alignment horizontal="right" vertical="center" shrinkToFit="1"/>
    </xf>
    <xf numFmtId="0" fontId="23" fillId="0" borderId="83" xfId="4" applyFont="1" applyBorder="1" applyAlignment="1">
      <alignment horizontal="left" vertical="center" shrinkToFit="1"/>
    </xf>
    <xf numFmtId="38" fontId="56" fillId="0" borderId="69" xfId="4" applyNumberFormat="1" applyFont="1" applyBorder="1" applyAlignment="1">
      <alignment vertical="center" shrinkToFit="1"/>
    </xf>
    <xf numFmtId="38" fontId="23" fillId="0" borderId="83" xfId="4" applyNumberFormat="1" applyFont="1" applyBorder="1" applyAlignment="1">
      <alignment horizontal="center" vertical="center" shrinkToFit="1"/>
    </xf>
    <xf numFmtId="38" fontId="23" fillId="0" borderId="0" xfId="5" applyFont="1" applyAlignment="1">
      <alignment horizontal="right" vertical="top" shrinkToFit="1"/>
    </xf>
    <xf numFmtId="178" fontId="4" fillId="0" borderId="39" xfId="4" applyNumberFormat="1" applyFont="1" applyBorder="1" applyAlignment="1">
      <alignment horizontal="right" vertical="center" shrinkToFit="1"/>
    </xf>
    <xf numFmtId="176" fontId="0" fillId="0" borderId="0" xfId="5" applyNumberFormat="1" applyFont="1" applyAlignment="1">
      <alignment vertical="center" shrinkToFit="1"/>
    </xf>
    <xf numFmtId="38" fontId="4" fillId="0" borderId="5" xfId="5" applyFont="1" applyBorder="1" applyAlignment="1">
      <alignment horizontal="right" vertical="center" shrinkToFit="1"/>
    </xf>
    <xf numFmtId="38" fontId="56" fillId="0" borderId="151" xfId="5" applyFont="1" applyBorder="1" applyAlignment="1">
      <alignment horizontal="center" vertical="center" shrinkToFit="1"/>
    </xf>
    <xf numFmtId="0" fontId="23" fillId="0" borderId="5" xfId="4" applyFont="1" applyBorder="1" applyAlignment="1">
      <alignment horizontal="right" vertical="center" shrinkToFit="1"/>
    </xf>
    <xf numFmtId="0" fontId="23" fillId="0" borderId="6" xfId="4" applyFont="1" applyBorder="1" applyAlignment="1">
      <alignment horizontal="left" vertical="center" shrinkToFit="1"/>
    </xf>
    <xf numFmtId="38" fontId="56" fillId="0" borderId="151" xfId="4" applyNumberFormat="1" applyFont="1" applyBorder="1" applyAlignment="1">
      <alignment vertical="center" shrinkToFit="1"/>
    </xf>
    <xf numFmtId="38" fontId="4" fillId="0" borderId="0" xfId="4" applyNumberFormat="1" applyFont="1" applyBorder="1" applyAlignment="1">
      <alignment vertical="center" shrinkToFit="1"/>
    </xf>
    <xf numFmtId="0" fontId="4" fillId="0" borderId="0" xfId="4" applyNumberFormat="1" applyFont="1" applyBorder="1" applyAlignment="1">
      <alignment vertical="center" shrinkToFit="1"/>
    </xf>
    <xf numFmtId="38" fontId="0" fillId="0" borderId="0" xfId="5" applyFont="1" applyAlignment="1">
      <alignment horizontal="left" vertical="center"/>
    </xf>
    <xf numFmtId="197" fontId="0" fillId="0" borderId="0" xfId="5" applyNumberFormat="1" applyFont="1" applyAlignment="1">
      <alignment horizontal="left" vertical="center" shrinkToFit="1"/>
    </xf>
    <xf numFmtId="198" fontId="24" fillId="0" borderId="0" xfId="5" applyNumberFormat="1" applyFont="1" applyAlignment="1">
      <alignment horizontal="left" vertical="center" shrinkToFit="1"/>
    </xf>
    <xf numFmtId="38" fontId="23" fillId="0" borderId="0" xfId="5" applyFont="1" applyAlignment="1">
      <alignment vertical="top" wrapText="1" shrinkToFit="1"/>
    </xf>
    <xf numFmtId="38" fontId="4" fillId="0" borderId="0" xfId="4" applyNumberFormat="1" applyFont="1" applyAlignment="1">
      <alignment vertical="center" shrinkToFit="1"/>
    </xf>
    <xf numFmtId="0" fontId="27" fillId="0" borderId="0" xfId="4" applyFont="1">
      <alignment vertical="center"/>
    </xf>
    <xf numFmtId="0" fontId="4" fillId="0" borderId="0" xfId="4" applyNumberFormat="1">
      <alignment vertical="center"/>
    </xf>
    <xf numFmtId="38" fontId="4" fillId="0" borderId="0" xfId="4" applyNumberFormat="1" applyAlignment="1">
      <alignment vertical="center" shrinkToFit="1"/>
    </xf>
    <xf numFmtId="0" fontId="4" fillId="0" borderId="0" xfId="4" applyNumberFormat="1" applyAlignment="1">
      <alignment vertical="center" shrinkToFit="1"/>
    </xf>
    <xf numFmtId="0" fontId="4" fillId="0" borderId="0" xfId="4" applyNumberFormat="1" applyBorder="1" applyAlignment="1">
      <alignment vertical="center" shrinkToFit="1"/>
    </xf>
    <xf numFmtId="0" fontId="23" fillId="9" borderId="0" xfId="4" applyFont="1" applyFill="1" applyBorder="1" applyAlignment="1">
      <alignment vertical="center" wrapText="1"/>
    </xf>
    <xf numFmtId="38" fontId="22" fillId="9" borderId="0" xfId="5" applyFont="1" applyFill="1" applyBorder="1" applyAlignment="1">
      <alignment vertical="center" wrapText="1"/>
    </xf>
    <xf numFmtId="0" fontId="27" fillId="0" borderId="0" xfId="4" applyFont="1" applyFill="1">
      <alignment vertical="center"/>
    </xf>
    <xf numFmtId="49" fontId="4" fillId="0" borderId="0" xfId="4" applyNumberFormat="1" applyFill="1">
      <alignment vertical="center"/>
    </xf>
    <xf numFmtId="178" fontId="4" fillId="0" borderId="0" xfId="4" applyNumberFormat="1" applyFont="1" applyFill="1" applyAlignment="1">
      <alignment vertical="center" shrinkToFit="1"/>
    </xf>
    <xf numFmtId="0" fontId="23" fillId="0" borderId="0" xfId="4" applyNumberFormat="1" applyFont="1" applyFill="1" applyAlignment="1">
      <alignment vertical="center" shrinkToFit="1"/>
    </xf>
    <xf numFmtId="0" fontId="23" fillId="0" borderId="0" xfId="5" applyNumberFormat="1" applyFont="1" applyFill="1">
      <alignment vertical="center"/>
    </xf>
    <xf numFmtId="0" fontId="23" fillId="0" borderId="0" xfId="4" applyNumberFormat="1" applyFont="1" applyFill="1">
      <alignment vertical="center"/>
    </xf>
    <xf numFmtId="178" fontId="4" fillId="0" borderId="0" xfId="4" applyNumberFormat="1" applyFont="1" applyFill="1" applyAlignment="1">
      <alignment horizontal="right" vertical="center" shrinkToFit="1"/>
    </xf>
    <xf numFmtId="49" fontId="27" fillId="0" borderId="0" xfId="4" applyNumberFormat="1" applyFont="1" applyFill="1">
      <alignment vertical="center"/>
    </xf>
    <xf numFmtId="0" fontId="23" fillId="0" borderId="0" xfId="4" applyNumberFormat="1" applyFont="1">
      <alignment vertical="center"/>
    </xf>
    <xf numFmtId="176" fontId="71" fillId="0" borderId="0" xfId="4" applyNumberFormat="1" applyFont="1" applyAlignment="1">
      <alignment horizontal="left" vertical="center"/>
    </xf>
    <xf numFmtId="176" fontId="4" fillId="0" borderId="0" xfId="4" applyNumberFormat="1" applyFont="1" applyAlignment="1">
      <alignment vertical="center" shrinkToFit="1"/>
    </xf>
    <xf numFmtId="176" fontId="22" fillId="0" borderId="0" xfId="4" applyNumberFormat="1" applyFont="1" applyAlignment="1">
      <alignment horizontal="right" vertical="center" shrinkToFit="1"/>
    </xf>
    <xf numFmtId="176" fontId="4" fillId="0" borderId="0" xfId="4" applyNumberFormat="1" applyAlignment="1">
      <alignment vertical="center" shrinkToFit="1"/>
    </xf>
    <xf numFmtId="0" fontId="67" fillId="0" borderId="0" xfId="4" applyFont="1" applyAlignment="1">
      <alignment vertical="center"/>
    </xf>
    <xf numFmtId="0" fontId="4" fillId="0" borderId="0" xfId="4" applyFill="1" applyAlignment="1">
      <alignment horizontal="left" vertical="center"/>
    </xf>
    <xf numFmtId="178" fontId="4" fillId="0" borderId="0" xfId="4" applyNumberFormat="1" applyFont="1" applyFill="1">
      <alignment vertical="center"/>
    </xf>
    <xf numFmtId="199" fontId="24" fillId="0" borderId="0" xfId="4" applyNumberFormat="1" applyFont="1" applyFill="1" applyAlignment="1">
      <alignment vertical="center"/>
    </xf>
    <xf numFmtId="38" fontId="56" fillId="0" borderId="0" xfId="5" applyFont="1" applyAlignment="1">
      <alignment horizontal="left" vertical="center" shrinkToFit="1"/>
    </xf>
    <xf numFmtId="0" fontId="24" fillId="0" borderId="0" xfId="4" applyFont="1" applyAlignment="1">
      <alignment horizontal="left" vertical="center"/>
    </xf>
    <xf numFmtId="199" fontId="24" fillId="0" borderId="0" xfId="4" applyNumberFormat="1" applyFont="1" applyBorder="1">
      <alignment vertical="center"/>
    </xf>
    <xf numFmtId="38" fontId="56" fillId="0" borderId="0" xfId="5" applyFont="1" applyAlignment="1">
      <alignment horizontal="left" vertical="center"/>
    </xf>
    <xf numFmtId="176" fontId="4" fillId="9" borderId="19" xfId="4" applyNumberFormat="1" applyFont="1" applyFill="1" applyBorder="1" applyAlignment="1">
      <alignment horizontal="center" vertical="center" shrinkToFit="1"/>
    </xf>
    <xf numFmtId="0" fontId="4" fillId="0" borderId="0" xfId="4" applyFill="1" applyAlignment="1">
      <alignment vertical="center"/>
    </xf>
    <xf numFmtId="199" fontId="4" fillId="0" borderId="0" xfId="4" applyNumberFormat="1" applyFont="1" applyFill="1" applyAlignment="1">
      <alignment vertical="center" shrinkToFit="1"/>
    </xf>
    <xf numFmtId="49" fontId="4" fillId="0" borderId="0" xfId="4" applyNumberFormat="1">
      <alignment vertical="center"/>
    </xf>
    <xf numFmtId="176" fontId="23" fillId="0" borderId="0" xfId="4" applyNumberFormat="1" applyFont="1">
      <alignment vertical="center"/>
    </xf>
    <xf numFmtId="0" fontId="23" fillId="0" borderId="0" xfId="4" applyNumberFormat="1" applyFont="1" applyBorder="1" applyAlignment="1">
      <alignment vertical="center" wrapText="1"/>
    </xf>
    <xf numFmtId="176" fontId="4" fillId="0" borderId="0" xfId="4" applyNumberFormat="1">
      <alignment vertical="center"/>
    </xf>
    <xf numFmtId="176" fontId="4" fillId="9" borderId="15" xfId="4" applyNumberFormat="1" applyFont="1" applyFill="1" applyBorder="1" applyAlignment="1">
      <alignment horizontal="center" vertical="center" shrinkToFit="1"/>
    </xf>
    <xf numFmtId="199" fontId="4" fillId="0" borderId="0" xfId="4" applyNumberFormat="1" applyFont="1" applyFill="1" applyAlignment="1">
      <alignment vertical="center" wrapText="1"/>
    </xf>
    <xf numFmtId="199" fontId="4" fillId="0" borderId="0" xfId="4" applyNumberFormat="1" applyFont="1" applyFill="1" applyBorder="1">
      <alignment vertical="center"/>
    </xf>
    <xf numFmtId="176" fontId="4" fillId="9" borderId="12" xfId="4" applyNumberFormat="1" applyFont="1" applyFill="1" applyBorder="1" applyAlignment="1">
      <alignment horizontal="center" vertical="center" shrinkToFit="1"/>
    </xf>
    <xf numFmtId="178" fontId="25" fillId="0" borderId="0" xfId="4" applyNumberFormat="1" applyFont="1" applyBorder="1" applyAlignment="1">
      <alignment horizontal="right" vertical="center" shrinkToFit="1"/>
    </xf>
    <xf numFmtId="178" fontId="4" fillId="0" borderId="0" xfId="4" applyNumberFormat="1" applyFont="1" applyFill="1" applyBorder="1">
      <alignment vertical="center"/>
    </xf>
    <xf numFmtId="0" fontId="4" fillId="0" borderId="0" xfId="4" applyFill="1" applyBorder="1" applyAlignment="1">
      <alignment horizontal="left" vertical="center"/>
    </xf>
    <xf numFmtId="176" fontId="56" fillId="0" borderId="0" xfId="4" applyNumberFormat="1" applyFont="1">
      <alignment vertical="center"/>
    </xf>
    <xf numFmtId="176" fontId="4" fillId="9" borderId="16" xfId="4" applyNumberFormat="1" applyFont="1" applyFill="1" applyBorder="1" applyAlignment="1">
      <alignment horizontal="center" vertical="center" shrinkToFit="1"/>
    </xf>
    <xf numFmtId="178" fontId="55" fillId="0" borderId="0" xfId="4" applyNumberFormat="1" applyFont="1" applyFill="1" applyBorder="1" applyAlignment="1">
      <alignment horizontal="left" vertical="center"/>
    </xf>
    <xf numFmtId="0" fontId="4" fillId="0" borderId="0" xfId="4" applyNumberFormat="1" applyAlignment="1">
      <alignment horizontal="right" vertical="center" shrinkToFit="1"/>
    </xf>
    <xf numFmtId="178" fontId="4" fillId="4" borderId="0" xfId="4" applyNumberFormat="1" applyFont="1" applyFill="1" applyBorder="1" applyAlignment="1">
      <alignment horizontal="right" vertical="center"/>
    </xf>
    <xf numFmtId="199" fontId="22" fillId="4" borderId="0" xfId="4" applyNumberFormat="1" applyFont="1" applyFill="1" applyBorder="1" applyAlignment="1">
      <alignment horizontal="right" vertical="center"/>
    </xf>
    <xf numFmtId="176" fontId="4" fillId="0" borderId="0" xfId="4" applyNumberFormat="1" applyBorder="1" applyAlignment="1">
      <alignment vertical="center" shrinkToFit="1"/>
    </xf>
    <xf numFmtId="176" fontId="67" fillId="0" borderId="0" xfId="4" applyNumberFormat="1" applyFont="1" applyBorder="1" applyAlignment="1">
      <alignment horizontal="right" vertical="center"/>
    </xf>
    <xf numFmtId="176" fontId="66" fillId="0" borderId="0" xfId="4" applyNumberFormat="1" applyFont="1" applyBorder="1" applyAlignment="1">
      <alignment vertical="center"/>
    </xf>
    <xf numFmtId="176" fontId="4" fillId="0" borderId="0" xfId="4" applyNumberFormat="1" applyBorder="1">
      <alignment vertical="center"/>
    </xf>
    <xf numFmtId="200" fontId="4" fillId="4" borderId="0" xfId="4" applyNumberFormat="1" applyFill="1" applyBorder="1" applyAlignment="1">
      <alignment horizontal="left" vertical="center"/>
    </xf>
    <xf numFmtId="0" fontId="4" fillId="4" borderId="0" xfId="4" applyFill="1">
      <alignment vertical="center"/>
    </xf>
    <xf numFmtId="199" fontId="28" fillId="4" borderId="28" xfId="4" applyNumberFormat="1" applyFont="1" applyFill="1" applyBorder="1" applyAlignment="1">
      <alignment vertical="center" wrapText="1"/>
    </xf>
    <xf numFmtId="0" fontId="23" fillId="0" borderId="0" xfId="4" applyNumberFormat="1" applyFont="1" applyBorder="1">
      <alignment vertical="center"/>
    </xf>
    <xf numFmtId="200" fontId="4" fillId="0" borderId="0" xfId="4" applyNumberFormat="1" applyBorder="1" applyAlignment="1">
      <alignment horizontal="left" vertical="center"/>
    </xf>
    <xf numFmtId="199" fontId="28" fillId="0" borderId="28" xfId="4" applyNumberFormat="1" applyFont="1" applyBorder="1">
      <alignment vertical="center"/>
    </xf>
    <xf numFmtId="0" fontId="23" fillId="0" borderId="0" xfId="4" applyNumberFormat="1" applyFont="1" applyBorder="1" applyAlignment="1">
      <alignment vertical="center"/>
    </xf>
    <xf numFmtId="176" fontId="71" fillId="0" borderId="0" xfId="4" applyNumberFormat="1" applyFont="1" applyAlignment="1">
      <alignment vertical="center"/>
    </xf>
    <xf numFmtId="176" fontId="67" fillId="0" borderId="0" xfId="4" applyNumberFormat="1" applyFont="1" applyAlignment="1">
      <alignment vertical="center"/>
    </xf>
    <xf numFmtId="176" fontId="23" fillId="4" borderId="0" xfId="4" applyNumberFormat="1" applyFont="1" applyFill="1" applyBorder="1" applyAlignment="1">
      <alignment vertical="center"/>
    </xf>
    <xf numFmtId="201" fontId="22" fillId="4" borderId="0" xfId="4" applyNumberFormat="1" applyFont="1" applyFill="1" applyBorder="1" applyAlignment="1">
      <alignment horizontal="right" vertical="center" shrinkToFit="1"/>
    </xf>
    <xf numFmtId="178" fontId="24" fillId="4" borderId="2" xfId="4" applyNumberFormat="1" applyFont="1" applyFill="1" applyBorder="1" applyAlignment="1">
      <alignment vertical="center" shrinkToFit="1"/>
    </xf>
    <xf numFmtId="178" fontId="24" fillId="0" borderId="0" xfId="4" applyNumberFormat="1" applyFont="1" applyFill="1" applyBorder="1" applyAlignment="1">
      <alignment horizontal="right" vertical="center" shrinkToFit="1"/>
    </xf>
    <xf numFmtId="176" fontId="67" fillId="4" borderId="24" xfId="4" applyNumberFormat="1" applyFont="1" applyFill="1" applyBorder="1" applyAlignment="1">
      <alignment horizontal="center" vertical="center"/>
    </xf>
    <xf numFmtId="176" fontId="67" fillId="4" borderId="26" xfId="4" applyNumberFormat="1" applyFont="1" applyFill="1" applyBorder="1" applyAlignment="1">
      <alignment vertical="center" shrinkToFit="1"/>
    </xf>
    <xf numFmtId="176" fontId="67" fillId="4" borderId="0" xfId="4" applyNumberFormat="1" applyFont="1" applyFill="1" applyBorder="1" applyAlignment="1">
      <alignment vertical="center"/>
    </xf>
    <xf numFmtId="176" fontId="4" fillId="4" borderId="0" xfId="4" applyNumberFormat="1" applyFill="1" applyBorder="1">
      <alignment vertical="center"/>
    </xf>
    <xf numFmtId="176" fontId="67" fillId="4" borderId="81" xfId="4" applyNumberFormat="1" applyFont="1" applyFill="1" applyBorder="1" applyAlignment="1">
      <alignment horizontal="center" vertical="center"/>
    </xf>
    <xf numFmtId="176" fontId="4" fillId="4" borderId="0" xfId="4" applyNumberFormat="1" applyFill="1">
      <alignment vertical="center"/>
    </xf>
    <xf numFmtId="0" fontId="27" fillId="4" borderId="0" xfId="4" applyFont="1" applyFill="1">
      <alignment vertical="center"/>
    </xf>
    <xf numFmtId="49" fontId="4" fillId="4" borderId="0" xfId="4" applyNumberFormat="1" applyFill="1">
      <alignment vertical="center"/>
    </xf>
    <xf numFmtId="178" fontId="4" fillId="4" borderId="0" xfId="4" applyNumberFormat="1" applyFont="1" applyFill="1" applyAlignment="1">
      <alignment vertical="center" shrinkToFit="1"/>
    </xf>
    <xf numFmtId="49" fontId="4" fillId="0" borderId="0" xfId="4" applyNumberFormat="1" applyFont="1" applyFill="1">
      <alignment vertical="center"/>
    </xf>
    <xf numFmtId="176" fontId="67" fillId="4" borderId="33" xfId="4" applyNumberFormat="1" applyFont="1" applyFill="1" applyBorder="1" applyAlignment="1">
      <alignment horizontal="right" vertical="center"/>
    </xf>
    <xf numFmtId="0" fontId="24" fillId="4" borderId="0" xfId="4" applyFont="1" applyFill="1" applyAlignment="1">
      <alignment horizontal="left" vertical="center"/>
    </xf>
    <xf numFmtId="178" fontId="4" fillId="4" borderId="0" xfId="4" applyNumberFormat="1" applyFont="1" applyFill="1">
      <alignment vertical="center"/>
    </xf>
    <xf numFmtId="199" fontId="24" fillId="4" borderId="0" xfId="4" applyNumberFormat="1" applyFont="1" applyFill="1" applyAlignment="1">
      <alignment vertical="center" shrinkToFit="1"/>
    </xf>
    <xf numFmtId="176" fontId="23" fillId="0" borderId="0" xfId="4" applyNumberFormat="1" applyFont="1" applyFill="1" applyBorder="1" applyAlignment="1">
      <alignment vertical="center" wrapText="1"/>
    </xf>
    <xf numFmtId="0" fontId="23" fillId="0" borderId="0" xfId="4" applyNumberFormat="1" applyFont="1" applyFill="1" applyBorder="1" applyAlignment="1">
      <alignment vertical="center" wrapText="1"/>
    </xf>
    <xf numFmtId="199" fontId="28" fillId="0" borderId="28" xfId="4" applyNumberFormat="1" applyFont="1" applyFill="1" applyBorder="1" applyAlignment="1">
      <alignment vertical="center" wrapText="1"/>
    </xf>
    <xf numFmtId="176" fontId="4" fillId="0" borderId="0" xfId="4" applyNumberFormat="1" applyFill="1" applyBorder="1" applyAlignment="1">
      <alignment horizontal="left" vertical="center"/>
    </xf>
    <xf numFmtId="176" fontId="4" fillId="0" borderId="0" xfId="4" applyNumberFormat="1" applyFill="1" applyBorder="1" applyAlignment="1">
      <alignment horizontal="left" vertical="center" shrinkToFit="1"/>
    </xf>
    <xf numFmtId="49" fontId="76" fillId="4" borderId="0" xfId="5" applyNumberFormat="1" applyFont="1" applyFill="1" applyAlignment="1">
      <alignment horizontal="right" vertical="center"/>
    </xf>
    <xf numFmtId="0" fontId="76" fillId="4" borderId="0" xfId="5" applyNumberFormat="1" applyFont="1" applyFill="1" applyAlignment="1">
      <alignment horizontal="right" vertical="center"/>
    </xf>
    <xf numFmtId="176" fontId="4" fillId="4" borderId="0" xfId="4" applyNumberFormat="1" applyFill="1" applyBorder="1" applyAlignment="1">
      <alignment vertical="center" shrinkToFit="1"/>
    </xf>
    <xf numFmtId="199" fontId="28" fillId="0" borderId="28" xfId="4" applyNumberFormat="1" applyFont="1" applyFill="1" applyBorder="1" applyAlignment="1">
      <alignment vertical="center" shrinkToFit="1"/>
    </xf>
    <xf numFmtId="49" fontId="4" fillId="0" borderId="0" xfId="4" applyNumberFormat="1" applyAlignment="1">
      <alignment vertical="center" shrinkToFit="1"/>
    </xf>
    <xf numFmtId="0" fontId="4" fillId="4" borderId="0" xfId="4" applyNumberFormat="1" applyFill="1" applyBorder="1" applyAlignment="1">
      <alignment vertical="center" shrinkToFit="1"/>
    </xf>
    <xf numFmtId="178" fontId="4" fillId="0" borderId="0" xfId="4" applyNumberFormat="1" applyFont="1" applyBorder="1" applyAlignment="1">
      <alignment horizontal="right" vertical="center"/>
    </xf>
    <xf numFmtId="201" fontId="22" fillId="0" borderId="0" xfId="4" applyNumberFormat="1" applyFont="1" applyBorder="1" applyAlignment="1">
      <alignment horizontal="right" vertical="center" shrinkToFit="1"/>
    </xf>
    <xf numFmtId="0" fontId="32" fillId="4" borderId="0" xfId="4" applyNumberFormat="1" applyFont="1" applyFill="1" applyAlignment="1">
      <alignment vertical="center" shrinkToFit="1"/>
    </xf>
    <xf numFmtId="176" fontId="4" fillId="4" borderId="0" xfId="4" applyNumberFormat="1" applyFill="1" applyAlignment="1">
      <alignment vertical="center" shrinkToFit="1"/>
    </xf>
    <xf numFmtId="176" fontId="4" fillId="4" borderId="0" xfId="5" applyNumberFormat="1" applyFont="1" applyFill="1" applyBorder="1" applyAlignment="1">
      <alignment vertical="center" shrinkToFit="1"/>
    </xf>
    <xf numFmtId="0" fontId="4" fillId="0" borderId="153" xfId="4" applyBorder="1" applyAlignment="1"/>
    <xf numFmtId="0" fontId="22" fillId="0" borderId="154" xfId="4" applyFont="1" applyBorder="1" applyAlignment="1">
      <alignment horizontal="center" vertical="center" shrinkToFit="1"/>
    </xf>
    <xf numFmtId="0" fontId="22" fillId="0" borderId="155" xfId="4" applyFont="1" applyBorder="1" applyAlignment="1">
      <alignment horizontal="center" vertical="center" shrinkToFit="1"/>
    </xf>
    <xf numFmtId="0" fontId="22" fillId="0" borderId="156" xfId="4" applyFont="1" applyBorder="1" applyAlignment="1">
      <alignment horizontal="center" vertical="center" shrinkToFit="1"/>
    </xf>
    <xf numFmtId="176" fontId="24" fillId="0" borderId="154" xfId="2" applyNumberFormat="1" applyFont="1" applyBorder="1" applyAlignment="1">
      <alignment horizontal="right" vertical="center" shrinkToFit="1"/>
    </xf>
    <xf numFmtId="176" fontId="24" fillId="0" borderId="55" xfId="2" applyNumberFormat="1" applyFont="1" applyBorder="1" applyAlignment="1">
      <alignment horizontal="right" vertical="center" shrinkToFit="1"/>
    </xf>
    <xf numFmtId="176" fontId="24" fillId="0" borderId="69" xfId="2" applyNumberFormat="1" applyFont="1" applyBorder="1" applyAlignment="1">
      <alignment horizontal="right" vertical="center" shrinkToFit="1"/>
    </xf>
    <xf numFmtId="176" fontId="24" fillId="0" borderId="42" xfId="2" applyNumberFormat="1" applyFont="1" applyFill="1" applyBorder="1" applyAlignment="1">
      <alignment horizontal="right" vertical="center" shrinkToFit="1"/>
    </xf>
    <xf numFmtId="176" fontId="24" fillId="0" borderId="139" xfId="2" applyNumberFormat="1" applyFont="1" applyFill="1" applyBorder="1" applyAlignment="1">
      <alignment horizontal="right" vertical="center" shrinkToFit="1"/>
    </xf>
    <xf numFmtId="176" fontId="24" fillId="0" borderId="142" xfId="2" applyNumberFormat="1" applyFont="1" applyFill="1" applyBorder="1" applyAlignment="1">
      <alignment horizontal="right" vertical="center" shrinkToFit="1"/>
    </xf>
    <xf numFmtId="176" fontId="24" fillId="0" borderId="140" xfId="2" applyNumberFormat="1" applyFont="1" applyFill="1" applyBorder="1" applyAlignment="1">
      <alignment horizontal="right" vertical="center" shrinkToFit="1"/>
    </xf>
    <xf numFmtId="176" fontId="24" fillId="0" borderId="69" xfId="2" applyNumberFormat="1" applyFont="1" applyFill="1" applyBorder="1" applyAlignment="1">
      <alignment horizontal="right" vertical="center" shrinkToFit="1"/>
    </xf>
    <xf numFmtId="176" fontId="24" fillId="9" borderId="142" xfId="2" applyNumberFormat="1" applyFont="1" applyFill="1" applyBorder="1" applyAlignment="1">
      <alignment horizontal="right" vertical="center" shrinkToFit="1"/>
    </xf>
    <xf numFmtId="176" fontId="24" fillId="0" borderId="149" xfId="2" applyNumberFormat="1" applyFont="1" applyBorder="1" applyAlignment="1">
      <alignment horizontal="right" vertical="center" shrinkToFit="1"/>
    </xf>
    <xf numFmtId="176" fontId="24" fillId="0" borderId="53" xfId="2" applyNumberFormat="1" applyFont="1" applyBorder="1" applyAlignment="1">
      <alignment horizontal="right" vertical="center" shrinkToFit="1"/>
    </xf>
    <xf numFmtId="176" fontId="24" fillId="9" borderId="0" xfId="2" applyNumberFormat="1" applyFont="1" applyFill="1" applyBorder="1" applyAlignment="1">
      <alignment horizontal="right" vertical="center" shrinkToFit="1"/>
    </xf>
    <xf numFmtId="176" fontId="24" fillId="0" borderId="41" xfId="2" applyNumberFormat="1" applyFont="1" applyFill="1" applyBorder="1" applyAlignment="1">
      <alignment horizontal="right" vertical="center" shrinkToFit="1"/>
    </xf>
    <xf numFmtId="176" fontId="24" fillId="0" borderId="144" xfId="2" applyNumberFormat="1" applyFont="1" applyFill="1" applyBorder="1" applyAlignment="1">
      <alignment horizontal="right" vertical="center" shrinkToFit="1"/>
    </xf>
    <xf numFmtId="176" fontId="24" fillId="0" borderId="145" xfId="2" applyNumberFormat="1" applyFont="1" applyFill="1" applyBorder="1" applyAlignment="1">
      <alignment horizontal="right" vertical="center" shrinkToFit="1"/>
    </xf>
    <xf numFmtId="176" fontId="24" fillId="0" borderId="146" xfId="2" applyNumberFormat="1" applyFont="1" applyFill="1" applyBorder="1" applyAlignment="1">
      <alignment horizontal="right" vertical="center" shrinkToFit="1"/>
    </xf>
    <xf numFmtId="176" fontId="24" fillId="0" borderId="0" xfId="2" applyNumberFormat="1" applyFont="1" applyFill="1" applyBorder="1" applyAlignment="1">
      <alignment horizontal="right" vertical="center" shrinkToFit="1"/>
    </xf>
    <xf numFmtId="176" fontId="24" fillId="9" borderId="145" xfId="2" applyNumberFormat="1" applyFont="1" applyFill="1" applyBorder="1" applyAlignment="1">
      <alignment horizontal="right" vertical="center" shrinkToFit="1"/>
    </xf>
    <xf numFmtId="176" fontId="24" fillId="9" borderId="41" xfId="2" applyNumberFormat="1" applyFont="1" applyFill="1" applyBorder="1" applyAlignment="1">
      <alignment horizontal="right" vertical="center" shrinkToFit="1"/>
    </xf>
    <xf numFmtId="0" fontId="4" fillId="12" borderId="66" xfId="4" applyFont="1" applyFill="1" applyBorder="1" applyAlignment="1">
      <alignment horizontal="center" vertical="center" shrinkToFit="1"/>
    </xf>
    <xf numFmtId="176" fontId="24" fillId="12" borderId="149" xfId="2" applyNumberFormat="1" applyFont="1" applyFill="1" applyBorder="1" applyAlignment="1">
      <alignment horizontal="right" vertical="center" shrinkToFit="1"/>
    </xf>
    <xf numFmtId="176" fontId="24" fillId="12" borderId="53" xfId="2" applyNumberFormat="1" applyFont="1" applyFill="1" applyBorder="1" applyAlignment="1">
      <alignment horizontal="right" vertical="center" shrinkToFit="1"/>
    </xf>
    <xf numFmtId="176" fontId="24" fillId="12" borderId="17" xfId="2" applyNumberFormat="1" applyFont="1" applyFill="1" applyBorder="1" applyAlignment="1">
      <alignment horizontal="right" vertical="center" shrinkToFit="1"/>
    </xf>
    <xf numFmtId="176" fontId="24" fillId="12" borderId="43" xfId="2" applyNumberFormat="1" applyFont="1" applyFill="1" applyBorder="1" applyAlignment="1">
      <alignment horizontal="right" vertical="center" shrinkToFit="1"/>
    </xf>
    <xf numFmtId="176" fontId="24" fillId="12" borderId="144" xfId="2" applyNumberFormat="1" applyFont="1" applyFill="1" applyBorder="1" applyAlignment="1">
      <alignment horizontal="right" vertical="center" shrinkToFit="1"/>
    </xf>
    <xf numFmtId="176" fontId="24" fillId="12" borderId="41" xfId="2" applyNumberFormat="1" applyFont="1" applyFill="1" applyBorder="1" applyAlignment="1">
      <alignment horizontal="right" vertical="center" shrinkToFit="1"/>
    </xf>
    <xf numFmtId="176" fontId="24" fillId="12" borderId="146" xfId="2" applyNumberFormat="1" applyFont="1" applyFill="1" applyBorder="1" applyAlignment="1">
      <alignment horizontal="right" vertical="center" shrinkToFit="1"/>
    </xf>
    <xf numFmtId="176" fontId="24" fillId="12" borderId="157" xfId="2" applyNumberFormat="1" applyFont="1" applyFill="1" applyBorder="1" applyAlignment="1">
      <alignment horizontal="right" vertical="center" shrinkToFit="1"/>
    </xf>
    <xf numFmtId="176" fontId="24" fillId="12" borderId="0" xfId="2" applyNumberFormat="1" applyFont="1" applyFill="1" applyBorder="1" applyAlignment="1">
      <alignment horizontal="right" vertical="center" shrinkToFit="1"/>
    </xf>
    <xf numFmtId="0" fontId="4" fillId="4" borderId="0" xfId="4" applyFont="1" applyFill="1" applyAlignment="1"/>
    <xf numFmtId="0" fontId="4" fillId="4" borderId="28" xfId="4" applyFill="1" applyBorder="1" applyAlignment="1">
      <alignment horizontal="center" vertical="center" shrinkToFit="1"/>
    </xf>
    <xf numFmtId="176" fontId="24" fillId="4" borderId="158" xfId="2" applyNumberFormat="1" applyFont="1" applyFill="1" applyBorder="1" applyAlignment="1">
      <alignment horizontal="right" vertical="center" shrinkToFit="1"/>
    </xf>
    <xf numFmtId="176" fontId="24" fillId="4" borderId="52" xfId="2" applyNumberFormat="1" applyFont="1" applyFill="1" applyBorder="1" applyAlignment="1">
      <alignment horizontal="right" vertical="center" shrinkToFit="1"/>
    </xf>
    <xf numFmtId="176" fontId="24" fillId="4" borderId="159" xfId="2" applyNumberFormat="1" applyFont="1" applyFill="1" applyBorder="1" applyAlignment="1">
      <alignment horizontal="right" vertical="center" shrinkToFit="1"/>
    </xf>
    <xf numFmtId="176" fontId="24" fillId="4" borderId="43" xfId="2" applyNumberFormat="1" applyFont="1" applyFill="1" applyBorder="1" applyAlignment="1">
      <alignment horizontal="right" vertical="center" shrinkToFit="1"/>
    </xf>
    <xf numFmtId="176" fontId="24" fillId="4" borderId="160" xfId="2" applyNumberFormat="1" applyFont="1" applyFill="1" applyBorder="1" applyAlignment="1">
      <alignment horizontal="right" vertical="center" shrinkToFit="1"/>
    </xf>
    <xf numFmtId="176" fontId="24" fillId="4" borderId="14" xfId="2" applyNumberFormat="1" applyFont="1" applyFill="1" applyBorder="1" applyAlignment="1">
      <alignment horizontal="right" vertical="center" shrinkToFit="1"/>
    </xf>
    <xf numFmtId="176" fontId="24" fillId="4" borderId="161" xfId="2" applyNumberFormat="1" applyFont="1" applyFill="1" applyBorder="1" applyAlignment="1">
      <alignment horizontal="right" vertical="center" shrinkToFit="1"/>
    </xf>
    <xf numFmtId="176" fontId="24" fillId="4" borderId="20" xfId="2" applyNumberFormat="1" applyFont="1" applyFill="1" applyBorder="1" applyAlignment="1">
      <alignment horizontal="right" vertical="center" shrinkToFit="1"/>
    </xf>
    <xf numFmtId="0" fontId="4" fillId="4" borderId="0" xfId="4" applyFill="1" applyAlignment="1"/>
    <xf numFmtId="0" fontId="4" fillId="4" borderId="153" xfId="4" applyFill="1" applyBorder="1" applyAlignment="1"/>
    <xf numFmtId="0" fontId="22" fillId="4" borderId="154" xfId="4" applyFont="1" applyFill="1" applyBorder="1" applyAlignment="1">
      <alignment horizontal="center" vertical="center" shrinkToFit="1"/>
    </xf>
    <xf numFmtId="0" fontId="22" fillId="4" borderId="155" xfId="4" applyFont="1" applyFill="1" applyBorder="1" applyAlignment="1">
      <alignment horizontal="center" vertical="center" shrinkToFit="1"/>
    </xf>
    <xf numFmtId="0" fontId="22" fillId="4" borderId="156" xfId="4" applyFont="1" applyFill="1" applyBorder="1" applyAlignment="1">
      <alignment horizontal="center" vertical="center" shrinkToFit="1"/>
    </xf>
    <xf numFmtId="0" fontId="22" fillId="4" borderId="139" xfId="4" applyFont="1" applyFill="1" applyBorder="1" applyAlignment="1">
      <alignment horizontal="center" vertical="center" shrinkToFit="1"/>
    </xf>
    <xf numFmtId="0" fontId="22" fillId="4" borderId="140" xfId="4" applyFont="1" applyFill="1" applyBorder="1" applyAlignment="1">
      <alignment horizontal="center" vertical="center" shrinkToFit="1"/>
    </xf>
    <xf numFmtId="0" fontId="22" fillId="4" borderId="55" xfId="4" applyFont="1" applyFill="1" applyBorder="1" applyAlignment="1">
      <alignment horizontal="center" vertical="center" shrinkToFit="1"/>
    </xf>
    <xf numFmtId="176" fontId="24" fillId="4" borderId="154" xfId="2" applyNumberFormat="1" applyFont="1" applyFill="1" applyBorder="1" applyAlignment="1">
      <alignment horizontal="right" vertical="center" shrinkToFit="1"/>
    </xf>
    <xf numFmtId="176" fontId="24" fillId="4" borderId="55" xfId="2" applyNumberFormat="1" applyFont="1" applyFill="1" applyBorder="1" applyAlignment="1">
      <alignment horizontal="right" vertical="center" shrinkToFit="1"/>
    </xf>
    <xf numFmtId="176" fontId="24" fillId="4" borderId="59" xfId="2" applyNumberFormat="1" applyFont="1" applyFill="1" applyBorder="1" applyAlignment="1">
      <alignment horizontal="right" vertical="center" shrinkToFit="1"/>
    </xf>
    <xf numFmtId="176" fontId="24" fillId="4" borderId="42" xfId="2" applyNumberFormat="1" applyFont="1" applyFill="1" applyBorder="1" applyAlignment="1">
      <alignment horizontal="right" vertical="center" shrinkToFit="1"/>
    </xf>
    <xf numFmtId="176" fontId="24" fillId="4" borderId="139" xfId="2" applyNumberFormat="1" applyFont="1" applyFill="1" applyBorder="1" applyAlignment="1">
      <alignment horizontal="right" vertical="center" shrinkToFit="1"/>
    </xf>
    <xf numFmtId="176" fontId="24" fillId="4" borderId="142" xfId="2" applyNumberFormat="1" applyFont="1" applyFill="1" applyBorder="1" applyAlignment="1">
      <alignment horizontal="right" vertical="center" shrinkToFit="1"/>
    </xf>
    <xf numFmtId="176" fontId="24" fillId="4" borderId="140" xfId="2" applyNumberFormat="1" applyFont="1" applyFill="1" applyBorder="1" applyAlignment="1">
      <alignment horizontal="right" vertical="center" shrinkToFit="1"/>
    </xf>
    <xf numFmtId="176" fontId="24" fillId="4" borderId="69" xfId="2" applyNumberFormat="1" applyFont="1" applyFill="1" applyBorder="1" applyAlignment="1">
      <alignment horizontal="right" vertical="center" shrinkToFit="1"/>
    </xf>
    <xf numFmtId="176" fontId="24" fillId="4" borderId="149" xfId="2" applyNumberFormat="1" applyFont="1" applyFill="1" applyBorder="1" applyAlignment="1">
      <alignment horizontal="right" vertical="center" shrinkToFit="1"/>
    </xf>
    <xf numFmtId="176" fontId="24" fillId="4" borderId="53" xfId="2" applyNumberFormat="1" applyFont="1" applyFill="1" applyBorder="1" applyAlignment="1">
      <alignment horizontal="right" vertical="center" shrinkToFit="1"/>
    </xf>
    <xf numFmtId="176" fontId="24" fillId="4" borderId="11" xfId="2" applyNumberFormat="1" applyFont="1" applyFill="1" applyBorder="1" applyAlignment="1">
      <alignment horizontal="right" vertical="center" shrinkToFit="1"/>
    </xf>
    <xf numFmtId="176" fontId="24" fillId="4" borderId="41" xfId="2" applyNumberFormat="1" applyFont="1" applyFill="1" applyBorder="1" applyAlignment="1">
      <alignment horizontal="right" vertical="center" shrinkToFit="1"/>
    </xf>
    <xf numFmtId="176" fontId="24" fillId="4" borderId="144" xfId="2" applyNumberFormat="1" applyFont="1" applyFill="1" applyBorder="1" applyAlignment="1">
      <alignment horizontal="right" vertical="center" shrinkToFit="1"/>
    </xf>
    <xf numFmtId="176" fontId="24" fillId="4" borderId="145" xfId="2" applyNumberFormat="1" applyFont="1" applyFill="1" applyBorder="1" applyAlignment="1">
      <alignment horizontal="right" vertical="center" shrinkToFit="1"/>
    </xf>
    <xf numFmtId="176" fontId="24" fillId="4" borderId="146" xfId="2" applyNumberFormat="1" applyFont="1" applyFill="1" applyBorder="1" applyAlignment="1">
      <alignment horizontal="right" vertical="center" shrinkToFit="1"/>
    </xf>
    <xf numFmtId="176" fontId="24" fillId="4" borderId="0" xfId="2" applyNumberFormat="1" applyFont="1" applyFill="1" applyBorder="1" applyAlignment="1">
      <alignment horizontal="right" vertical="center" shrinkToFit="1"/>
    </xf>
    <xf numFmtId="0" fontId="4" fillId="4" borderId="0" xfId="4" applyFill="1" applyBorder="1" applyAlignment="1"/>
    <xf numFmtId="176" fontId="24" fillId="4" borderId="13" xfId="2" applyNumberFormat="1" applyFont="1" applyFill="1" applyBorder="1" applyAlignment="1">
      <alignment horizontal="right" vertical="center" shrinkToFit="1"/>
    </xf>
    <xf numFmtId="176" fontId="24" fillId="4" borderId="164" xfId="2" applyNumberFormat="1" applyFont="1" applyFill="1" applyBorder="1" applyAlignment="1">
      <alignment horizontal="right" vertical="center" shrinkToFit="1"/>
    </xf>
    <xf numFmtId="0" fontId="4" fillId="4" borderId="66" xfId="4" applyFont="1" applyFill="1" applyBorder="1" applyAlignment="1">
      <alignment horizontal="center" vertical="center" shrinkToFit="1"/>
    </xf>
    <xf numFmtId="176" fontId="24" fillId="4" borderId="157" xfId="2" applyNumberFormat="1" applyFont="1" applyFill="1" applyBorder="1" applyAlignment="1">
      <alignment horizontal="right" vertical="center" shrinkToFit="1"/>
    </xf>
    <xf numFmtId="176" fontId="24" fillId="4" borderId="165" xfId="2" applyNumberFormat="1" applyFont="1" applyFill="1" applyBorder="1" applyAlignment="1">
      <alignment horizontal="right" vertical="center" shrinkToFit="1"/>
    </xf>
    <xf numFmtId="0" fontId="4" fillId="4" borderId="5" xfId="4" applyFill="1" applyBorder="1" applyAlignment="1"/>
    <xf numFmtId="0" fontId="4" fillId="4" borderId="0" xfId="4" applyFill="1" applyAlignment="1">
      <alignment vertical="center"/>
    </xf>
    <xf numFmtId="176" fontId="24" fillId="4" borderId="17" xfId="2" applyNumberFormat="1" applyFont="1" applyFill="1" applyBorder="1" applyAlignment="1">
      <alignment horizontal="right" vertical="center" shrinkToFit="1"/>
    </xf>
    <xf numFmtId="0" fontId="4" fillId="4" borderId="0" xfId="4" applyFill="1" applyAlignment="1">
      <alignment vertical="center" shrinkToFit="1"/>
    </xf>
    <xf numFmtId="38" fontId="4" fillId="4" borderId="0" xfId="5" applyFont="1" applyFill="1" applyAlignment="1">
      <alignment vertical="center" shrinkToFit="1"/>
    </xf>
    <xf numFmtId="0" fontId="4" fillId="4" borderId="0" xfId="4" applyFont="1" applyFill="1" applyAlignment="1">
      <alignment vertical="center" shrinkToFit="1"/>
    </xf>
    <xf numFmtId="178" fontId="25" fillId="0" borderId="41" xfId="4" applyNumberFormat="1" applyFont="1" applyBorder="1" applyAlignment="1">
      <alignment vertical="center" shrinkToFit="1"/>
    </xf>
    <xf numFmtId="179" fontId="25" fillId="10" borderId="103" xfId="4" applyNumberFormat="1" applyFont="1" applyFill="1" applyBorder="1" applyAlignment="1">
      <alignment vertical="center" shrinkToFit="1"/>
    </xf>
    <xf numFmtId="179" fontId="25" fillId="10" borderId="5" xfId="4" applyNumberFormat="1" applyFont="1" applyFill="1" applyBorder="1" applyAlignment="1">
      <alignment vertical="center" shrinkToFit="1"/>
    </xf>
    <xf numFmtId="0" fontId="4" fillId="4" borderId="0" xfId="4" applyFill="1" applyAlignment="1">
      <alignment horizontal="left" vertical="center"/>
    </xf>
    <xf numFmtId="0" fontId="4" fillId="0" borderId="0" xfId="4" applyNumberFormat="1" applyFill="1" applyAlignment="1">
      <alignment vertical="center" shrinkToFit="1"/>
    </xf>
    <xf numFmtId="0" fontId="67" fillId="0" borderId="0" xfId="4" applyFont="1" applyBorder="1" applyAlignment="1">
      <alignment horizontal="right" vertical="center"/>
    </xf>
    <xf numFmtId="176" fontId="76" fillId="4" borderId="0" xfId="5" applyNumberFormat="1" applyFont="1" applyFill="1" applyAlignment="1">
      <alignment horizontal="right" vertical="center"/>
    </xf>
    <xf numFmtId="0" fontId="4" fillId="4" borderId="0" xfId="4" applyFill="1" applyAlignment="1">
      <alignment horizontal="right" vertical="center"/>
    </xf>
    <xf numFmtId="176" fontId="78" fillId="0" borderId="69" xfId="2" applyNumberFormat="1" applyFont="1" applyFill="1" applyBorder="1" applyAlignment="1">
      <alignment horizontal="right" vertical="center" shrinkToFit="1"/>
    </xf>
    <xf numFmtId="176" fontId="78" fillId="0" borderId="42" xfId="2" applyNumberFormat="1" applyFont="1" applyFill="1" applyBorder="1" applyAlignment="1">
      <alignment horizontal="right" vertical="center" shrinkToFit="1"/>
    </xf>
    <xf numFmtId="176" fontId="78" fillId="0" borderId="139" xfId="2" applyNumberFormat="1" applyFont="1" applyFill="1" applyBorder="1" applyAlignment="1">
      <alignment horizontal="right" vertical="center" shrinkToFit="1"/>
    </xf>
    <xf numFmtId="176" fontId="78" fillId="0" borderId="142" xfId="2" applyNumberFormat="1" applyFont="1" applyFill="1" applyBorder="1" applyAlignment="1">
      <alignment horizontal="right" vertical="center" shrinkToFit="1"/>
    </xf>
    <xf numFmtId="176" fontId="78" fillId="0" borderId="140" xfId="2" applyNumberFormat="1" applyFont="1" applyFill="1" applyBorder="1" applyAlignment="1">
      <alignment horizontal="right" vertical="center" shrinkToFit="1"/>
    </xf>
    <xf numFmtId="176" fontId="78" fillId="0" borderId="0" xfId="2" applyNumberFormat="1" applyFont="1" applyFill="1" applyBorder="1" applyAlignment="1">
      <alignment horizontal="right" vertical="center" shrinkToFit="1"/>
    </xf>
    <xf numFmtId="176" fontId="78" fillId="0" borderId="41" xfId="2" applyNumberFormat="1" applyFont="1" applyFill="1" applyBorder="1" applyAlignment="1">
      <alignment horizontal="right" vertical="center" shrinkToFit="1"/>
    </xf>
    <xf numFmtId="176" fontId="78" fillId="0" borderId="144" xfId="2" applyNumberFormat="1" applyFont="1" applyFill="1" applyBorder="1" applyAlignment="1">
      <alignment horizontal="right" vertical="center" shrinkToFit="1"/>
    </xf>
    <xf numFmtId="176" fontId="78" fillId="0" borderId="145" xfId="2" applyNumberFormat="1" applyFont="1" applyFill="1" applyBorder="1" applyAlignment="1">
      <alignment horizontal="right" vertical="center" shrinkToFit="1"/>
    </xf>
    <xf numFmtId="176" fontId="78" fillId="0" borderId="146" xfId="2" applyNumberFormat="1" applyFont="1" applyFill="1" applyBorder="1" applyAlignment="1">
      <alignment horizontal="right" vertical="center" shrinkToFit="1"/>
    </xf>
    <xf numFmtId="38" fontId="4" fillId="0" borderId="81" xfId="1" applyFont="1" applyFill="1" applyBorder="1" applyAlignment="1">
      <alignment horizontal="center" vertical="top"/>
    </xf>
    <xf numFmtId="203" fontId="34" fillId="0" borderId="80" xfId="1" applyNumberFormat="1" applyFont="1" applyFill="1" applyBorder="1" applyAlignment="1">
      <alignment vertical="top"/>
    </xf>
    <xf numFmtId="38" fontId="34" fillId="0" borderId="81" xfId="1" applyFont="1" applyFill="1" applyBorder="1" applyAlignment="1">
      <alignment vertical="top"/>
    </xf>
    <xf numFmtId="38" fontId="4" fillId="0" borderId="80" xfId="1" applyFont="1" applyFill="1" applyBorder="1" applyAlignment="1">
      <alignment horizontal="center" vertical="top"/>
    </xf>
    <xf numFmtId="38" fontId="34" fillId="0" borderId="80" xfId="1" applyFont="1" applyFill="1" applyBorder="1" applyAlignment="1">
      <alignment vertical="top"/>
    </xf>
    <xf numFmtId="38" fontId="38" fillId="6" borderId="39" xfId="1" applyFont="1" applyFill="1" applyBorder="1" applyAlignment="1">
      <alignment vertical="center" shrinkToFit="1"/>
    </xf>
    <xf numFmtId="38" fontId="38" fillId="6" borderId="24" xfId="1" applyFont="1" applyFill="1" applyBorder="1" applyAlignment="1">
      <alignment vertical="center" shrinkToFit="1"/>
    </xf>
    <xf numFmtId="176" fontId="39" fillId="0" borderId="60" xfId="1" applyNumberFormat="1" applyFont="1" applyFill="1" applyBorder="1" applyAlignment="1">
      <alignment vertical="center" shrinkToFit="1"/>
    </xf>
    <xf numFmtId="176" fontId="39" fillId="0" borderId="27" xfId="1" applyNumberFormat="1" applyFont="1" applyFill="1" applyBorder="1" applyAlignment="1">
      <alignment vertical="center" shrinkToFit="1"/>
    </xf>
    <xf numFmtId="176" fontId="39" fillId="0" borderId="32" xfId="1" applyNumberFormat="1" applyFont="1" applyFill="1" applyBorder="1" applyAlignment="1">
      <alignment vertical="center" shrinkToFit="1"/>
    </xf>
    <xf numFmtId="176" fontId="40" fillId="0" borderId="66" xfId="1" applyNumberFormat="1" applyFont="1" applyFill="1" applyBorder="1" applyAlignment="1">
      <alignment vertical="center" shrinkToFit="1"/>
    </xf>
    <xf numFmtId="176" fontId="39" fillId="5" borderId="34" xfId="1" applyNumberFormat="1" applyFont="1" applyFill="1" applyBorder="1" applyAlignment="1">
      <alignment vertical="center" shrinkToFit="1"/>
    </xf>
    <xf numFmtId="176" fontId="39" fillId="5" borderId="62" xfId="1" applyNumberFormat="1" applyFont="1" applyFill="1" applyBorder="1" applyAlignment="1">
      <alignment vertical="center" shrinkToFit="1"/>
    </xf>
    <xf numFmtId="176" fontId="42" fillId="0" borderId="15" xfId="1" applyNumberFormat="1" applyFont="1" applyFill="1" applyBorder="1" applyAlignment="1">
      <alignment vertical="center" shrinkToFit="1"/>
    </xf>
    <xf numFmtId="176" fontId="42" fillId="0" borderId="33" xfId="1" applyNumberFormat="1" applyFont="1" applyFill="1" applyBorder="1" applyAlignment="1">
      <alignment vertical="center" shrinkToFit="1"/>
    </xf>
    <xf numFmtId="176" fontId="40" fillId="0" borderId="54" xfId="1" applyNumberFormat="1" applyFont="1" applyFill="1" applyBorder="1" applyAlignment="1">
      <alignment vertical="center" shrinkToFit="1"/>
    </xf>
    <xf numFmtId="176" fontId="42" fillId="7" borderId="19" xfId="1" applyNumberFormat="1" applyFont="1" applyFill="1" applyBorder="1" applyAlignment="1">
      <alignment vertical="center" shrinkToFit="1"/>
    </xf>
    <xf numFmtId="176" fontId="42" fillId="7" borderId="31" xfId="1" applyNumberFormat="1" applyFont="1" applyFill="1" applyBorder="1" applyAlignment="1">
      <alignment vertical="center" shrinkToFit="1"/>
    </xf>
    <xf numFmtId="176" fontId="42" fillId="7" borderId="34" xfId="1" applyNumberFormat="1" applyFont="1" applyFill="1" applyBorder="1" applyAlignment="1">
      <alignment vertical="center" shrinkToFit="1"/>
    </xf>
    <xf numFmtId="176" fontId="40" fillId="7" borderId="52" xfId="1" applyNumberFormat="1" applyFont="1" applyFill="1" applyBorder="1" applyAlignment="1">
      <alignment vertical="center" shrinkToFit="1"/>
    </xf>
    <xf numFmtId="38" fontId="40" fillId="0" borderId="35" xfId="1" applyFont="1" applyFill="1" applyBorder="1" applyAlignment="1">
      <alignment vertical="center" shrinkToFit="1"/>
    </xf>
    <xf numFmtId="176" fontId="42" fillId="5" borderId="31" xfId="1" applyNumberFormat="1" applyFont="1" applyFill="1" applyBorder="1" applyAlignment="1">
      <alignment vertical="center" shrinkToFit="1"/>
    </xf>
    <xf numFmtId="176" fontId="40" fillId="5" borderId="62" xfId="1" applyNumberFormat="1" applyFont="1" applyFill="1" applyBorder="1" applyAlignment="1">
      <alignment vertical="center" shrinkToFit="1"/>
    </xf>
    <xf numFmtId="38" fontId="42" fillId="6" borderId="24" xfId="1" applyFont="1" applyFill="1" applyBorder="1" applyAlignment="1">
      <alignment vertical="center" shrinkToFit="1"/>
    </xf>
    <xf numFmtId="38" fontId="42" fillId="6" borderId="35" xfId="1" applyFont="1" applyFill="1" applyBorder="1" applyAlignment="1">
      <alignment vertical="center" shrinkToFit="1"/>
    </xf>
    <xf numFmtId="38" fontId="79" fillId="6" borderId="39" xfId="1" applyFont="1" applyFill="1" applyBorder="1" applyAlignment="1">
      <alignment vertical="center" shrinkToFit="1"/>
    </xf>
    <xf numFmtId="176" fontId="80" fillId="0" borderId="0" xfId="1" applyNumberFormat="1" applyFont="1" applyFill="1" applyBorder="1">
      <alignment vertical="center"/>
    </xf>
    <xf numFmtId="38" fontId="80" fillId="0" borderId="0" xfId="1" applyFont="1" applyFill="1">
      <alignment vertical="center"/>
    </xf>
    <xf numFmtId="38" fontId="80" fillId="0" borderId="0" xfId="1" applyFont="1" applyFill="1" applyAlignment="1">
      <alignment vertical="center" shrinkToFit="1"/>
    </xf>
    <xf numFmtId="38" fontId="74" fillId="0" borderId="24" xfId="1" applyFont="1" applyFill="1" applyBorder="1" applyAlignment="1">
      <alignment vertical="center" textRotation="255"/>
    </xf>
    <xf numFmtId="203" fontId="34" fillId="0" borderId="76" xfId="1" applyNumberFormat="1" applyFont="1" applyFill="1" applyBorder="1" applyAlignment="1">
      <alignment vertical="top"/>
    </xf>
    <xf numFmtId="203" fontId="34" fillId="0" borderId="32" xfId="1" applyNumberFormat="1" applyFont="1" applyFill="1" applyBorder="1" applyAlignment="1">
      <alignment horizontal="right" vertical="top"/>
    </xf>
    <xf numFmtId="203" fontId="34" fillId="0" borderId="33" xfId="1" applyNumberFormat="1" applyFont="1" applyFill="1" applyBorder="1" applyAlignment="1">
      <alignment horizontal="right" vertical="top"/>
    </xf>
    <xf numFmtId="38" fontId="34" fillId="0" borderId="32" xfId="1" applyFont="1" applyFill="1" applyBorder="1" applyAlignment="1">
      <alignment horizontal="right" vertical="top"/>
    </xf>
    <xf numFmtId="38" fontId="34" fillId="0" borderId="33" xfId="1" applyFont="1" applyFill="1" applyBorder="1" applyAlignment="1">
      <alignment horizontal="right" vertical="top"/>
    </xf>
    <xf numFmtId="38" fontId="80" fillId="0" borderId="0" xfId="2" applyFont="1" applyFill="1" applyBorder="1" applyAlignment="1">
      <alignment horizontal="center" vertical="center" shrinkToFit="1"/>
    </xf>
    <xf numFmtId="203" fontId="34" fillId="0" borderId="32" xfId="1" applyNumberFormat="1" applyFont="1" applyFill="1" applyBorder="1" applyAlignment="1">
      <alignment horizontal="right" vertical="top" wrapText="1"/>
    </xf>
    <xf numFmtId="203" fontId="34" fillId="0" borderId="32" xfId="1" applyNumberFormat="1" applyFont="1" applyFill="1" applyBorder="1" applyAlignment="1">
      <alignment vertical="top"/>
    </xf>
    <xf numFmtId="38" fontId="34" fillId="0" borderId="32" xfId="1" applyFont="1" applyFill="1" applyBorder="1" applyAlignment="1">
      <alignment horizontal="right" vertical="top" wrapText="1"/>
    </xf>
    <xf numFmtId="38" fontId="74" fillId="0" borderId="33" xfId="1" applyFont="1" applyFill="1" applyBorder="1" applyAlignment="1">
      <alignment vertical="center" textRotation="255"/>
    </xf>
    <xf numFmtId="38" fontId="4" fillId="0" borderId="76" xfId="1" applyFont="1" applyFill="1" applyBorder="1" applyAlignment="1">
      <alignment horizontal="center" vertical="top"/>
    </xf>
    <xf numFmtId="0" fontId="80" fillId="0" borderId="0" xfId="0" applyFont="1">
      <alignment vertical="center"/>
    </xf>
    <xf numFmtId="0" fontId="80" fillId="0" borderId="0" xfId="0" applyFont="1" applyAlignment="1">
      <alignment horizontal="right" vertical="center"/>
    </xf>
    <xf numFmtId="0" fontId="80" fillId="4" borderId="0" xfId="0" applyFont="1" applyFill="1">
      <alignment vertical="center"/>
    </xf>
    <xf numFmtId="0" fontId="80" fillId="0" borderId="0" xfId="0" applyFont="1" applyAlignment="1">
      <alignment vertical="center" shrinkToFit="1"/>
    </xf>
    <xf numFmtId="0" fontId="81" fillId="4" borderId="0" xfId="0" applyFont="1" applyFill="1" applyAlignment="1">
      <alignment vertical="center" shrinkToFit="1"/>
    </xf>
    <xf numFmtId="195" fontId="34" fillId="0" borderId="76" xfId="0" applyNumberFormat="1" applyFont="1" applyBorder="1">
      <alignment vertical="center"/>
    </xf>
    <xf numFmtId="195" fontId="34" fillId="0" borderId="0" xfId="0" applyNumberFormat="1" applyFont="1" applyBorder="1">
      <alignment vertical="center"/>
    </xf>
    <xf numFmtId="195" fontId="34" fillId="0" borderId="80" xfId="0" applyNumberFormat="1" applyFont="1" applyBorder="1">
      <alignment vertical="center"/>
    </xf>
    <xf numFmtId="3" fontId="34" fillId="0" borderId="81" xfId="0" applyNumberFormat="1" applyFont="1" applyBorder="1">
      <alignment vertical="center"/>
    </xf>
    <xf numFmtId="3" fontId="34" fillId="0" borderId="32" xfId="0" applyNumberFormat="1" applyFont="1" applyBorder="1">
      <alignment vertical="center"/>
    </xf>
    <xf numFmtId="38" fontId="34" fillId="0" borderId="81" xfId="0" applyNumberFormat="1" applyFont="1" applyBorder="1">
      <alignment vertical="center"/>
    </xf>
    <xf numFmtId="38" fontId="34" fillId="0" borderId="0" xfId="0" applyNumberFormat="1" applyFont="1" applyBorder="1">
      <alignment vertical="center"/>
    </xf>
    <xf numFmtId="3" fontId="34" fillId="0" borderId="80" xfId="0" applyNumberFormat="1" applyFont="1" applyBorder="1">
      <alignment vertical="center"/>
    </xf>
    <xf numFmtId="3" fontId="34" fillId="0" borderId="33" xfId="0" applyNumberFormat="1" applyFont="1" applyBorder="1">
      <alignment vertical="center"/>
    </xf>
    <xf numFmtId="38" fontId="34" fillId="0" borderId="80" xfId="0" applyNumberFormat="1" applyFont="1" applyBorder="1">
      <alignment vertical="center"/>
    </xf>
    <xf numFmtId="38" fontId="80" fillId="0" borderId="0" xfId="1" applyFont="1" applyFill="1" applyAlignment="1">
      <alignment horizontal="center" vertical="center"/>
    </xf>
    <xf numFmtId="38" fontId="80" fillId="0" borderId="0" xfId="1" applyFont="1" applyFill="1" applyAlignment="1">
      <alignment horizontal="left" vertical="center"/>
    </xf>
    <xf numFmtId="38" fontId="82" fillId="0" borderId="0" xfId="1" applyFont="1" applyFill="1" applyAlignment="1">
      <alignment horizontal="left" vertical="center"/>
    </xf>
    <xf numFmtId="203" fontId="84" fillId="2" borderId="82" xfId="0" applyNumberFormat="1" applyFont="1" applyFill="1" applyBorder="1" applyAlignment="1">
      <alignment vertical="center" shrinkToFit="1"/>
    </xf>
    <xf numFmtId="203" fontId="84" fillId="2" borderId="90" xfId="0" applyNumberFormat="1" applyFont="1" applyFill="1" applyBorder="1" applyAlignment="1">
      <alignment vertical="center" shrinkToFit="1"/>
    </xf>
    <xf numFmtId="203" fontId="84" fillId="2" borderId="69" xfId="0" applyNumberFormat="1" applyFont="1" applyFill="1" applyBorder="1" applyAlignment="1">
      <alignment vertical="center" shrinkToFit="1"/>
    </xf>
    <xf numFmtId="203" fontId="83" fillId="2" borderId="90" xfId="1" applyNumberFormat="1" applyFont="1" applyFill="1" applyBorder="1" applyAlignment="1">
      <alignment vertical="center" shrinkToFit="1"/>
    </xf>
    <xf numFmtId="203" fontId="83" fillId="2" borderId="83" xfId="1" applyNumberFormat="1" applyFont="1" applyFill="1" applyBorder="1" applyAlignment="1">
      <alignment vertical="center" shrinkToFit="1"/>
    </xf>
    <xf numFmtId="203" fontId="84" fillId="2" borderId="90" xfId="1" applyNumberFormat="1" applyFont="1" applyFill="1" applyBorder="1" applyAlignment="1">
      <alignment vertical="center" shrinkToFit="1"/>
    </xf>
    <xf numFmtId="203" fontId="84" fillId="2" borderId="83" xfId="1" applyNumberFormat="1" applyFont="1" applyFill="1" applyBorder="1" applyAlignment="1">
      <alignment vertical="center" shrinkToFit="1"/>
    </xf>
    <xf numFmtId="203" fontId="84" fillId="2" borderId="170" xfId="0" applyNumberFormat="1" applyFont="1" applyFill="1" applyBorder="1" applyAlignment="1">
      <alignment vertical="center" shrinkToFit="1"/>
    </xf>
    <xf numFmtId="203" fontId="84" fillId="2" borderId="168" xfId="0" applyNumberFormat="1" applyFont="1" applyFill="1" applyBorder="1" applyAlignment="1">
      <alignment vertical="center" shrinkToFit="1"/>
    </xf>
    <xf numFmtId="203" fontId="84" fillId="2" borderId="166" xfId="0" applyNumberFormat="1" applyFont="1" applyFill="1" applyBorder="1" applyAlignment="1">
      <alignment vertical="center" shrinkToFit="1"/>
    </xf>
    <xf numFmtId="203" fontId="84" fillId="2" borderId="176" xfId="0" applyNumberFormat="1" applyFont="1" applyFill="1" applyBorder="1" applyAlignment="1">
      <alignment vertical="center" shrinkToFit="1"/>
    </xf>
    <xf numFmtId="203" fontId="83" fillId="2" borderId="168" xfId="1" applyNumberFormat="1" applyFont="1" applyFill="1" applyBorder="1" applyAlignment="1">
      <alignment vertical="center" shrinkToFit="1"/>
    </xf>
    <xf numFmtId="203" fontId="83" fillId="2" borderId="169" xfId="1" applyNumberFormat="1" applyFont="1" applyFill="1" applyBorder="1" applyAlignment="1">
      <alignment vertical="center" shrinkToFit="1"/>
    </xf>
    <xf numFmtId="203" fontId="84" fillId="2" borderId="168" xfId="1" applyNumberFormat="1" applyFont="1" applyFill="1" applyBorder="1" applyAlignment="1">
      <alignment vertical="center" shrinkToFit="1"/>
    </xf>
    <xf numFmtId="203" fontId="84" fillId="2" borderId="169" xfId="1" applyNumberFormat="1" applyFont="1" applyFill="1" applyBorder="1" applyAlignment="1">
      <alignment vertical="center" shrinkToFit="1"/>
    </xf>
    <xf numFmtId="178" fontId="84" fillId="2" borderId="171" xfId="0" applyNumberFormat="1" applyFont="1" applyFill="1" applyBorder="1" applyAlignment="1">
      <alignment vertical="center" shrinkToFit="1"/>
    </xf>
    <xf numFmtId="38" fontId="83" fillId="2" borderId="171" xfId="1" applyFont="1" applyFill="1" applyBorder="1" applyAlignment="1">
      <alignment vertical="center" shrinkToFit="1"/>
    </xf>
    <xf numFmtId="38" fontId="83" fillId="2" borderId="172" xfId="1" applyFont="1" applyFill="1" applyBorder="1" applyAlignment="1">
      <alignment vertical="center" shrinkToFit="1"/>
    </xf>
    <xf numFmtId="38" fontId="84" fillId="2" borderId="171" xfId="1" applyFont="1" applyFill="1" applyBorder="1" applyAlignment="1">
      <alignment vertical="center" shrinkToFit="1"/>
    </xf>
    <xf numFmtId="38" fontId="84" fillId="2" borderId="172" xfId="1" applyFont="1" applyFill="1" applyBorder="1" applyAlignment="1">
      <alignment vertical="center" shrinkToFit="1"/>
    </xf>
    <xf numFmtId="178" fontId="84" fillId="2" borderId="166" xfId="0" applyNumberFormat="1" applyFont="1" applyFill="1" applyBorder="1" applyAlignment="1">
      <alignment vertical="center" shrinkToFit="1"/>
    </xf>
    <xf numFmtId="38" fontId="83" fillId="2" borderId="166" xfId="1" applyFont="1" applyFill="1" applyBorder="1" applyAlignment="1">
      <alignment vertical="center" shrinkToFit="1"/>
    </xf>
    <xf numFmtId="38" fontId="83" fillId="2" borderId="177" xfId="1" applyFont="1" applyFill="1" applyBorder="1" applyAlignment="1">
      <alignment vertical="center" shrinkToFit="1"/>
    </xf>
    <xf numFmtId="38" fontId="84" fillId="2" borderId="166" xfId="1" applyFont="1" applyFill="1" applyBorder="1" applyAlignment="1">
      <alignment vertical="center" shrinkToFit="1"/>
    </xf>
    <xf numFmtId="38" fontId="84" fillId="2" borderId="177" xfId="1" applyFont="1" applyFill="1" applyBorder="1" applyAlignment="1">
      <alignment vertical="center" shrinkToFit="1"/>
    </xf>
    <xf numFmtId="178" fontId="84" fillId="2" borderId="151" xfId="0" applyNumberFormat="1" applyFont="1" applyFill="1" applyBorder="1" applyAlignment="1">
      <alignment vertical="center" shrinkToFit="1"/>
    </xf>
    <xf numFmtId="38" fontId="83" fillId="2" borderId="151" xfId="1" applyFont="1" applyFill="1" applyBorder="1" applyAlignment="1">
      <alignment vertical="center" shrinkToFit="1"/>
    </xf>
    <xf numFmtId="38" fontId="83" fillId="2" borderId="79" xfId="1" applyFont="1" applyFill="1" applyBorder="1" applyAlignment="1">
      <alignment vertical="center" shrinkToFit="1"/>
    </xf>
    <xf numFmtId="38" fontId="84" fillId="2" borderId="151" xfId="1" applyFont="1" applyFill="1" applyBorder="1" applyAlignment="1">
      <alignment vertical="center" shrinkToFit="1"/>
    </xf>
    <xf numFmtId="38" fontId="84" fillId="2" borderId="79" xfId="1" applyFont="1" applyFill="1" applyBorder="1" applyAlignment="1">
      <alignment vertical="center" shrinkToFit="1"/>
    </xf>
    <xf numFmtId="38" fontId="84" fillId="0" borderId="0" xfId="1" applyFont="1" applyFill="1" applyAlignment="1">
      <alignment horizontal="left"/>
    </xf>
    <xf numFmtId="38" fontId="84" fillId="0" borderId="0" xfId="1" applyFont="1" applyFill="1">
      <alignment vertical="center"/>
    </xf>
    <xf numFmtId="0" fontId="84" fillId="0" borderId="0" xfId="0" applyFont="1">
      <alignment vertical="center"/>
    </xf>
    <xf numFmtId="0" fontId="84" fillId="0" borderId="0" xfId="0" applyFont="1" applyAlignment="1">
      <alignment horizontal="right" vertical="center"/>
    </xf>
    <xf numFmtId="0" fontId="84" fillId="0" borderId="0" xfId="0" applyFont="1" applyAlignment="1">
      <alignment horizontal="right"/>
    </xf>
    <xf numFmtId="0" fontId="84" fillId="0" borderId="0" xfId="0" applyFont="1" applyAlignment="1">
      <alignment horizontal="left" vertical="center"/>
    </xf>
    <xf numFmtId="38" fontId="84" fillId="0" borderId="0" xfId="1" applyFont="1" applyFill="1" applyAlignment="1">
      <alignment vertical="center" shrinkToFit="1"/>
    </xf>
    <xf numFmtId="0" fontId="84" fillId="0" borderId="0" xfId="0" applyFont="1" applyAlignment="1">
      <alignment vertical="center" shrinkToFit="1"/>
    </xf>
    <xf numFmtId="0" fontId="84" fillId="0" borderId="0" xfId="0" applyFont="1" applyBorder="1">
      <alignment vertical="center"/>
    </xf>
    <xf numFmtId="188" fontId="84" fillId="0" borderId="31" xfId="1" applyNumberFormat="1" applyFont="1" applyFill="1" applyBorder="1" applyAlignment="1">
      <alignment horizontal="center" vertical="center" shrinkToFit="1"/>
    </xf>
    <xf numFmtId="188" fontId="84" fillId="0" borderId="31" xfId="0" applyNumberFormat="1" applyFont="1" applyBorder="1" applyAlignment="1">
      <alignment horizontal="center" vertical="center" shrinkToFit="1"/>
    </xf>
    <xf numFmtId="188" fontId="84" fillId="0" borderId="34" xfId="0" applyNumberFormat="1" applyFont="1" applyBorder="1" applyAlignment="1">
      <alignment horizontal="center" vertical="center" shrinkToFit="1"/>
    </xf>
    <xf numFmtId="0" fontId="83" fillId="0" borderId="20" xfId="0" applyFont="1" applyFill="1" applyBorder="1" applyAlignment="1">
      <alignment horizontal="center" vertical="center"/>
    </xf>
    <xf numFmtId="188" fontId="84" fillId="2" borderId="34" xfId="0" applyNumberFormat="1" applyFont="1" applyFill="1" applyBorder="1" applyAlignment="1">
      <alignment horizontal="center" vertical="center" shrinkToFit="1"/>
    </xf>
    <xf numFmtId="0" fontId="83" fillId="2" borderId="20" xfId="0" applyFont="1" applyFill="1" applyBorder="1" applyAlignment="1">
      <alignment horizontal="center" vertical="center"/>
    </xf>
    <xf numFmtId="177" fontId="84" fillId="2" borderId="20" xfId="0" applyNumberFormat="1" applyFont="1" applyFill="1" applyBorder="1" applyAlignment="1">
      <alignment horizontal="center" vertical="center"/>
    </xf>
    <xf numFmtId="0" fontId="83" fillId="2" borderId="14" xfId="0" applyFont="1" applyFill="1" applyBorder="1" applyAlignment="1">
      <alignment horizontal="center" vertical="center"/>
    </xf>
    <xf numFmtId="38" fontId="84" fillId="0" borderId="31" xfId="1" applyFont="1" applyFill="1" applyBorder="1" applyAlignment="1">
      <alignment vertical="center" shrinkToFit="1"/>
    </xf>
    <xf numFmtId="176" fontId="83" fillId="4" borderId="32" xfId="1" applyNumberFormat="1" applyFont="1" applyFill="1" applyBorder="1" applyAlignment="1">
      <alignment vertical="center" shrinkToFit="1"/>
    </xf>
    <xf numFmtId="176" fontId="84" fillId="0" borderId="31" xfId="1" applyNumberFormat="1" applyFont="1" applyFill="1" applyBorder="1" applyAlignment="1">
      <alignment vertical="center" shrinkToFit="1"/>
    </xf>
    <xf numFmtId="38" fontId="84" fillId="0" borderId="0" xfId="1" applyFont="1" applyFill="1" applyBorder="1" applyAlignment="1">
      <alignment vertical="center" shrinkToFit="1"/>
    </xf>
    <xf numFmtId="0" fontId="85" fillId="0" borderId="0" xfId="0" applyFont="1" applyAlignment="1">
      <alignment horizontal="left" vertical="center" shrinkToFit="1"/>
    </xf>
    <xf numFmtId="0" fontId="84" fillId="0" borderId="0" xfId="0" applyFont="1" applyBorder="1" applyAlignment="1">
      <alignment horizontal="center" vertical="center" wrapText="1"/>
    </xf>
    <xf numFmtId="0" fontId="84" fillId="4" borderId="31" xfId="0" applyFont="1" applyFill="1" applyBorder="1" applyAlignment="1">
      <alignment horizontal="center" vertical="center" shrinkToFit="1"/>
    </xf>
    <xf numFmtId="0" fontId="84" fillId="4" borderId="34" xfId="0" applyFont="1" applyFill="1" applyBorder="1" applyAlignment="1">
      <alignment horizontal="center" vertical="center" shrinkToFit="1"/>
    </xf>
    <xf numFmtId="0" fontId="84" fillId="0" borderId="20" xfId="0" applyFont="1" applyFill="1" applyBorder="1" applyAlignment="1">
      <alignment horizontal="center" vertical="center"/>
    </xf>
    <xf numFmtId="0" fontId="84" fillId="2" borderId="34" xfId="0" applyFont="1" applyFill="1" applyBorder="1" applyAlignment="1">
      <alignment horizontal="center" vertical="center" shrinkToFit="1"/>
    </xf>
    <xf numFmtId="0" fontId="84" fillId="2" borderId="20" xfId="0" applyFont="1" applyFill="1" applyBorder="1" applyAlignment="1">
      <alignment horizontal="center" vertical="center"/>
    </xf>
    <xf numFmtId="0" fontId="84" fillId="2" borderId="14" xfId="0" applyFont="1" applyFill="1" applyBorder="1" applyAlignment="1">
      <alignment horizontal="center" vertical="center"/>
    </xf>
    <xf numFmtId="202" fontId="84" fillId="2" borderId="34" xfId="0" applyNumberFormat="1" applyFont="1" applyFill="1" applyBorder="1" applyAlignment="1">
      <alignment horizontal="center" vertical="center" shrinkToFit="1"/>
    </xf>
    <xf numFmtId="38" fontId="84" fillId="4" borderId="81" xfId="1" applyFont="1" applyFill="1" applyBorder="1" applyAlignment="1">
      <alignment vertical="center" shrinkToFit="1"/>
    </xf>
    <xf numFmtId="176" fontId="84" fillId="4" borderId="31" xfId="1" applyNumberFormat="1" applyFont="1" applyFill="1" applyBorder="1" applyAlignment="1">
      <alignment vertical="center" shrinkToFit="1"/>
    </xf>
    <xf numFmtId="176" fontId="84" fillId="0" borderId="33" xfId="1" applyNumberFormat="1" applyFont="1" applyFill="1" applyBorder="1" applyAlignment="1">
      <alignment vertical="center" shrinkToFit="1"/>
    </xf>
    <xf numFmtId="38" fontId="84" fillId="0" borderId="35" xfId="1" applyFont="1" applyFill="1" applyBorder="1" applyAlignment="1">
      <alignment vertical="center" shrinkToFit="1"/>
    </xf>
    <xf numFmtId="38" fontId="83" fillId="0" borderId="35" xfId="1" applyFont="1" applyFill="1" applyBorder="1" applyAlignment="1">
      <alignment vertical="center" shrinkToFit="1"/>
    </xf>
    <xf numFmtId="0" fontId="84" fillId="0" borderId="0" xfId="0" applyFont="1" applyBorder="1" applyAlignment="1">
      <alignment horizontal="left" vertical="top"/>
    </xf>
    <xf numFmtId="38" fontId="84" fillId="0" borderId="0" xfId="1" applyFont="1" applyFill="1" applyBorder="1">
      <alignment vertical="center"/>
    </xf>
    <xf numFmtId="14" fontId="84" fillId="0" borderId="0" xfId="0" applyNumberFormat="1" applyFont="1">
      <alignment vertical="center"/>
    </xf>
    <xf numFmtId="0" fontId="83" fillId="0" borderId="0" xfId="0" applyFont="1" applyAlignment="1">
      <alignment vertical="center"/>
    </xf>
    <xf numFmtId="0" fontId="83" fillId="0" borderId="0" xfId="0" applyFont="1" applyAlignment="1">
      <alignment horizontal="right" vertical="center"/>
    </xf>
    <xf numFmtId="0" fontId="85" fillId="0" borderId="0" xfId="0" applyFont="1" applyBorder="1" applyAlignment="1">
      <alignment horizontal="left" vertical="top"/>
    </xf>
    <xf numFmtId="0" fontId="84" fillId="0" borderId="34" xfId="0" applyFont="1" applyFill="1" applyBorder="1" applyAlignment="1">
      <alignment horizontal="center" vertical="center"/>
    </xf>
    <xf numFmtId="0" fontId="84" fillId="2" borderId="34" xfId="0" applyFont="1" applyFill="1" applyBorder="1" applyAlignment="1">
      <alignment horizontal="center" vertical="center"/>
    </xf>
    <xf numFmtId="38" fontId="84" fillId="4" borderId="27" xfId="1" applyFont="1" applyFill="1" applyBorder="1" applyAlignment="1">
      <alignment vertical="center" textRotation="255" shrinkToFit="1"/>
    </xf>
    <xf numFmtId="38" fontId="84" fillId="4" borderId="82" xfId="1" applyFont="1" applyFill="1" applyBorder="1">
      <alignment vertical="center"/>
    </xf>
    <xf numFmtId="38" fontId="83" fillId="4" borderId="120" xfId="1" applyFont="1" applyFill="1" applyBorder="1">
      <alignment vertical="center"/>
    </xf>
    <xf numFmtId="176" fontId="83" fillId="4" borderId="34" xfId="1" applyNumberFormat="1" applyFont="1" applyFill="1" applyBorder="1">
      <alignment vertical="center"/>
    </xf>
    <xf numFmtId="176" fontId="84" fillId="0" borderId="34" xfId="1" applyNumberFormat="1" applyFont="1" applyFill="1" applyBorder="1">
      <alignment vertical="center"/>
    </xf>
    <xf numFmtId="177" fontId="84" fillId="0" borderId="20" xfId="0" applyNumberFormat="1" applyFont="1" applyFill="1" applyBorder="1" applyAlignment="1">
      <alignment horizontal="right" vertical="center" shrinkToFit="1"/>
    </xf>
    <xf numFmtId="38" fontId="38" fillId="6" borderId="38" xfId="1" applyFont="1" applyFill="1" applyBorder="1" applyAlignment="1">
      <alignment vertical="center" shrinkToFit="1"/>
    </xf>
    <xf numFmtId="38" fontId="38" fillId="6" borderId="23" xfId="1" applyFont="1" applyFill="1" applyBorder="1" applyAlignment="1">
      <alignment vertical="center" shrinkToFit="1"/>
    </xf>
    <xf numFmtId="204" fontId="84" fillId="2" borderId="175" xfId="1" applyNumberFormat="1" applyFont="1" applyFill="1" applyBorder="1" applyAlignment="1">
      <alignment vertical="center" shrinkToFit="1"/>
    </xf>
    <xf numFmtId="204" fontId="84" fillId="2" borderId="176" xfId="1" applyNumberFormat="1" applyFont="1" applyFill="1" applyBorder="1" applyAlignment="1">
      <alignment vertical="center" shrinkToFit="1"/>
    </xf>
    <xf numFmtId="204" fontId="84" fillId="2" borderId="78" xfId="1" applyNumberFormat="1" applyFont="1" applyFill="1" applyBorder="1" applyAlignment="1">
      <alignment vertical="center" shrinkToFit="1"/>
    </xf>
    <xf numFmtId="204" fontId="84" fillId="2" borderId="171" xfId="0" applyNumberFormat="1" applyFont="1" applyFill="1" applyBorder="1" applyAlignment="1">
      <alignment vertical="center" shrinkToFit="1"/>
    </xf>
    <xf numFmtId="204" fontId="84" fillId="2" borderId="166" xfId="0" applyNumberFormat="1" applyFont="1" applyFill="1" applyBorder="1" applyAlignment="1">
      <alignment vertical="center" shrinkToFit="1"/>
    </xf>
    <xf numFmtId="204" fontId="84" fillId="2" borderId="151" xfId="0" applyNumberFormat="1" applyFont="1" applyFill="1" applyBorder="1" applyAlignment="1">
      <alignment vertical="center" shrinkToFit="1"/>
    </xf>
    <xf numFmtId="38" fontId="83" fillId="0" borderId="27" xfId="0" applyNumberFormat="1" applyFont="1" applyFill="1" applyBorder="1" applyAlignment="1">
      <alignment horizontal="right" vertical="center"/>
    </xf>
    <xf numFmtId="38" fontId="83" fillId="0" borderId="120" xfId="0" applyNumberFormat="1" applyFont="1" applyFill="1" applyBorder="1" applyAlignment="1">
      <alignment horizontal="right" vertical="center"/>
    </xf>
    <xf numFmtId="38" fontId="84" fillId="4" borderId="45" xfId="1" applyFont="1" applyFill="1" applyBorder="1" applyAlignment="1">
      <alignment horizontal="center" vertical="center" textRotation="255" shrinkToFit="1"/>
    </xf>
    <xf numFmtId="38" fontId="48" fillId="3" borderId="7" xfId="1" applyFont="1" applyFill="1" applyBorder="1" applyAlignment="1">
      <alignment vertical="center" shrinkToFit="1"/>
    </xf>
    <xf numFmtId="194" fontId="58" fillId="0" borderId="58" xfId="4" applyNumberFormat="1" applyFont="1" applyFill="1" applyBorder="1" applyAlignment="1">
      <alignment horizontal="left" shrinkToFit="1"/>
    </xf>
    <xf numFmtId="178" fontId="4" fillId="0" borderId="16" xfId="4" applyNumberFormat="1" applyFont="1" applyFill="1" applyBorder="1" applyAlignment="1">
      <alignment horizontal="right" vertical="center" shrinkToFit="1"/>
    </xf>
    <xf numFmtId="178" fontId="23" fillId="0" borderId="58" xfId="4" applyNumberFormat="1" applyFont="1" applyFill="1" applyBorder="1" applyAlignment="1">
      <alignment horizontal="left" vertical="center" shrinkToFit="1"/>
    </xf>
    <xf numFmtId="178" fontId="4" fillId="0" borderId="58" xfId="4" applyNumberFormat="1" applyFont="1" applyFill="1" applyBorder="1" applyAlignment="1">
      <alignment horizontal="right" vertical="center" shrinkToFit="1"/>
    </xf>
    <xf numFmtId="195" fontId="58" fillId="0" borderId="58" xfId="4" applyNumberFormat="1" applyFont="1" applyFill="1" applyBorder="1" applyAlignment="1">
      <alignment horizontal="left" shrinkToFit="1"/>
    </xf>
    <xf numFmtId="176" fontId="67" fillId="0" borderId="35" xfId="4" applyNumberFormat="1" applyFont="1" applyFill="1" applyBorder="1" applyAlignment="1">
      <alignment vertical="center" wrapText="1"/>
    </xf>
    <xf numFmtId="176" fontId="67" fillId="0" borderId="81" xfId="4" applyNumberFormat="1" applyFont="1" applyFill="1" applyBorder="1" applyAlignment="1">
      <alignment horizontal="center" vertical="center"/>
    </xf>
    <xf numFmtId="176" fontId="67" fillId="0" borderId="33" xfId="4" applyNumberFormat="1" applyFont="1" applyFill="1" applyBorder="1" applyAlignment="1">
      <alignment vertical="distributed"/>
    </xf>
    <xf numFmtId="176" fontId="67" fillId="0" borderId="33" xfId="4" applyNumberFormat="1" applyFont="1" applyFill="1" applyBorder="1" applyAlignment="1">
      <alignment horizontal="right" vertical="center"/>
    </xf>
    <xf numFmtId="176" fontId="67" fillId="0" borderId="35" xfId="4" applyNumberFormat="1" applyFont="1" applyFill="1" applyBorder="1" applyAlignment="1">
      <alignment vertical="distributed"/>
    </xf>
    <xf numFmtId="38" fontId="50" fillId="3" borderId="7" xfId="1" applyFont="1" applyFill="1" applyBorder="1" applyAlignment="1">
      <alignment vertical="center" shrinkToFit="1"/>
    </xf>
    <xf numFmtId="176" fontId="50" fillId="3" borderId="27" xfId="1" applyNumberFormat="1" applyFont="1" applyFill="1" applyBorder="1" applyAlignment="1">
      <alignment vertical="center" shrinkToFit="1"/>
    </xf>
    <xf numFmtId="3" fontId="50" fillId="3" borderId="35" xfId="1" applyNumberFormat="1" applyFont="1" applyFill="1" applyBorder="1" applyAlignment="1">
      <alignment vertical="center" shrinkToFit="1"/>
    </xf>
    <xf numFmtId="38" fontId="84" fillId="4" borderId="35" xfId="1" applyFont="1" applyFill="1" applyBorder="1">
      <alignment vertical="center"/>
    </xf>
    <xf numFmtId="3" fontId="38" fillId="3" borderId="69" xfId="1" applyNumberFormat="1" applyFont="1" applyFill="1" applyBorder="1" applyAlignment="1">
      <alignment vertical="center" shrinkToFit="1"/>
    </xf>
    <xf numFmtId="38" fontId="79" fillId="3" borderId="24" xfId="1" applyFont="1" applyFill="1" applyBorder="1" applyAlignment="1">
      <alignment vertical="center" shrinkToFit="1"/>
    </xf>
    <xf numFmtId="38" fontId="79" fillId="3" borderId="23" xfId="1" applyFont="1" applyFill="1" applyBorder="1" applyAlignment="1">
      <alignment vertical="center" shrinkToFit="1"/>
    </xf>
    <xf numFmtId="0" fontId="87" fillId="0" borderId="0" xfId="3" applyFont="1"/>
    <xf numFmtId="0" fontId="4" fillId="0" borderId="0" xfId="3"/>
    <xf numFmtId="190" fontId="4" fillId="0" borderId="138" xfId="3" applyNumberFormat="1" applyFill="1" applyBorder="1"/>
    <xf numFmtId="190" fontId="4" fillId="0" borderId="57" xfId="3" applyNumberFormat="1" applyFill="1" applyBorder="1"/>
    <xf numFmtId="0" fontId="4" fillId="0" borderId="0" xfId="3" applyFont="1"/>
    <xf numFmtId="190" fontId="4" fillId="20" borderId="57" xfId="3" applyNumberFormat="1" applyFill="1" applyBorder="1"/>
    <xf numFmtId="0" fontId="31" fillId="0" borderId="0" xfId="3" applyFont="1"/>
    <xf numFmtId="0" fontId="4" fillId="0" borderId="0" xfId="3" applyBorder="1"/>
    <xf numFmtId="0" fontId="31" fillId="0" borderId="5" xfId="3" applyFont="1" applyBorder="1"/>
    <xf numFmtId="0" fontId="4" fillId="0" borderId="5" xfId="3" applyBorder="1"/>
    <xf numFmtId="190" fontId="4" fillId="20" borderId="178" xfId="3" applyNumberFormat="1" applyFill="1" applyBorder="1"/>
    <xf numFmtId="178" fontId="31" fillId="0" borderId="0" xfId="3" applyNumberFormat="1" applyFont="1"/>
    <xf numFmtId="0" fontId="4" fillId="0" borderId="0" xfId="3" applyFill="1" applyBorder="1"/>
    <xf numFmtId="190" fontId="4" fillId="20" borderId="138" xfId="3" applyNumberFormat="1" applyFill="1" applyBorder="1"/>
    <xf numFmtId="0" fontId="4" fillId="0" borderId="5" xfId="3" applyFont="1" applyBorder="1"/>
    <xf numFmtId="0" fontId="4" fillId="0" borderId="0" xfId="3" applyFont="1" applyFill="1"/>
    <xf numFmtId="0" fontId="4" fillId="0" borderId="0" xfId="3" applyFill="1"/>
    <xf numFmtId="178" fontId="31" fillId="0" borderId="0" xfId="3" applyNumberFormat="1" applyFont="1" applyFill="1" applyBorder="1"/>
    <xf numFmtId="178" fontId="4" fillId="0" borderId="138" xfId="3" applyNumberFormat="1" applyFill="1" applyBorder="1"/>
    <xf numFmtId="178" fontId="4" fillId="0" borderId="178" xfId="3" applyNumberFormat="1" applyFill="1" applyBorder="1"/>
    <xf numFmtId="178" fontId="31" fillId="0" borderId="5" xfId="3" applyNumberFormat="1" applyFont="1" applyFill="1" applyBorder="1"/>
    <xf numFmtId="0" fontId="4" fillId="0" borderId="5" xfId="3" applyBorder="1" applyAlignment="1">
      <alignment horizontal="center" vertical="center"/>
    </xf>
    <xf numFmtId="0" fontId="4" fillId="0" borderId="0" xfId="3" applyAlignment="1">
      <alignment horizontal="center" vertical="center"/>
    </xf>
    <xf numFmtId="205" fontId="31" fillId="0" borderId="5" xfId="3" applyNumberFormat="1" applyFont="1" applyFill="1" applyBorder="1"/>
    <xf numFmtId="0" fontId="4" fillId="0" borderId="5" xfId="3" applyFont="1" applyBorder="1" applyAlignment="1">
      <alignment horizontal="left" vertical="center"/>
    </xf>
    <xf numFmtId="2" fontId="4" fillId="20" borderId="28" xfId="3" applyNumberFormat="1" applyFont="1" applyFill="1" applyBorder="1"/>
    <xf numFmtId="0" fontId="4" fillId="0" borderId="5" xfId="3" applyBorder="1" applyAlignment="1">
      <alignment horizontal="left" vertical="center"/>
    </xf>
    <xf numFmtId="205" fontId="31" fillId="0" borderId="0" xfId="3" applyNumberFormat="1" applyFont="1" applyFill="1" applyBorder="1"/>
    <xf numFmtId="0" fontId="4" fillId="0" borderId="0" xfId="3" applyFont="1" applyBorder="1" applyAlignment="1">
      <alignment horizontal="left" vertical="center"/>
    </xf>
    <xf numFmtId="2" fontId="4" fillId="0" borderId="0" xfId="3" applyNumberFormat="1" applyFont="1" applyFill="1" applyBorder="1"/>
    <xf numFmtId="0" fontId="4" fillId="0" borderId="0" xfId="3" applyBorder="1" applyAlignment="1">
      <alignment horizontal="left" vertical="center"/>
    </xf>
    <xf numFmtId="0" fontId="27" fillId="0" borderId="0" xfId="3" applyFont="1"/>
    <xf numFmtId="178" fontId="31" fillId="0" borderId="5" xfId="3" applyNumberFormat="1" applyFont="1" applyBorder="1"/>
    <xf numFmtId="205" fontId="31" fillId="0" borderId="0" xfId="3" applyNumberFormat="1" applyFont="1" applyFill="1"/>
    <xf numFmtId="177" fontId="31" fillId="0" borderId="5" xfId="3" applyNumberFormat="1" applyFont="1" applyFill="1" applyBorder="1"/>
    <xf numFmtId="0" fontId="4" fillId="0" borderId="0" xfId="3" applyFont="1" applyAlignment="1">
      <alignment horizontal="right" vertical="center"/>
    </xf>
    <xf numFmtId="177" fontId="27" fillId="21" borderId="28" xfId="3" applyNumberFormat="1" applyFont="1" applyFill="1" applyBorder="1"/>
    <xf numFmtId="206" fontId="31" fillId="0" borderId="0" xfId="3" applyNumberFormat="1" applyFont="1"/>
    <xf numFmtId="2" fontId="31" fillId="0" borderId="0" xfId="3" applyNumberFormat="1" applyFont="1" applyFill="1"/>
    <xf numFmtId="206" fontId="31" fillId="0" borderId="0" xfId="3" applyNumberFormat="1" applyFont="1" applyFill="1"/>
    <xf numFmtId="0" fontId="3" fillId="0" borderId="0" xfId="3" applyFont="1"/>
    <xf numFmtId="0" fontId="4" fillId="0" borderId="0" xfId="3" applyAlignment="1">
      <alignment horizontal="right" vertical="center"/>
    </xf>
    <xf numFmtId="178" fontId="4" fillId="20" borderId="28" xfId="3" applyNumberFormat="1" applyFill="1" applyBorder="1"/>
    <xf numFmtId="178" fontId="31" fillId="0" borderId="0" xfId="3" applyNumberFormat="1" applyFont="1" applyFill="1"/>
    <xf numFmtId="207" fontId="31" fillId="0" borderId="0" xfId="3" applyNumberFormat="1" applyFont="1" applyFill="1"/>
    <xf numFmtId="0" fontId="55" fillId="0" borderId="0" xfId="3" applyFont="1"/>
    <xf numFmtId="40" fontId="31" fillId="0" borderId="0" xfId="3" applyNumberFormat="1" applyFont="1"/>
    <xf numFmtId="40" fontId="31" fillId="0" borderId="0" xfId="3" applyNumberFormat="1" applyFont="1" applyFill="1"/>
    <xf numFmtId="208" fontId="31" fillId="0" borderId="0" xfId="3" applyNumberFormat="1" applyFont="1" applyFill="1"/>
    <xf numFmtId="186" fontId="31" fillId="0" borderId="0" xfId="3" applyNumberFormat="1" applyFont="1" applyFill="1"/>
    <xf numFmtId="38" fontId="48" fillId="3" borderId="45" xfId="1" applyFont="1" applyFill="1" applyBorder="1" applyAlignment="1">
      <alignment vertical="center" shrinkToFit="1"/>
    </xf>
    <xf numFmtId="190" fontId="63" fillId="0" borderId="41" xfId="4" applyNumberFormat="1" applyFont="1" applyBorder="1" applyAlignment="1">
      <alignment horizontal="right" vertical="center" shrinkToFit="1"/>
    </xf>
    <xf numFmtId="190" fontId="63" fillId="0" borderId="41" xfId="4" applyNumberFormat="1" applyFont="1" applyBorder="1" applyAlignment="1" applyProtection="1">
      <alignment horizontal="right" vertical="center" shrinkToFit="1"/>
      <protection locked="0"/>
    </xf>
    <xf numFmtId="190" fontId="18" fillId="0" borderId="27" xfId="4" applyNumberFormat="1" applyFont="1" applyBorder="1" applyAlignment="1">
      <alignment horizontal="left" vertical="center"/>
    </xf>
    <xf numFmtId="190" fontId="18" fillId="0" borderId="0" xfId="4" applyNumberFormat="1" applyFont="1" applyBorder="1" applyAlignment="1">
      <alignment horizontal="left" vertical="center"/>
    </xf>
    <xf numFmtId="190" fontId="65" fillId="0" borderId="0" xfId="4" applyNumberFormat="1" applyFont="1" applyBorder="1" applyAlignment="1">
      <alignment horizontal="right" vertical="center" shrinkToFit="1"/>
    </xf>
    <xf numFmtId="190" fontId="18" fillId="0" borderId="0" xfId="4" applyNumberFormat="1" applyFont="1" applyFill="1" applyBorder="1" applyAlignment="1" applyProtection="1">
      <alignment horizontal="right" vertical="center" shrinkToFit="1"/>
      <protection locked="0"/>
    </xf>
    <xf numFmtId="0" fontId="4" fillId="0" borderId="5" xfId="4" applyFont="1" applyBorder="1" applyAlignment="1">
      <alignment horizontal="center" vertical="center" shrinkToFit="1"/>
    </xf>
    <xf numFmtId="0" fontId="4" fillId="4" borderId="67" xfId="4" applyFill="1" applyBorder="1" applyAlignment="1">
      <alignment horizontal="center" vertical="center" shrinkToFit="1"/>
    </xf>
    <xf numFmtId="0" fontId="4" fillId="4" borderId="66" xfId="4" applyFill="1" applyBorder="1" applyAlignment="1">
      <alignment horizontal="center" vertical="center" shrinkToFit="1"/>
    </xf>
    <xf numFmtId="0" fontId="22" fillId="4" borderId="69" xfId="4" applyFont="1" applyFill="1" applyBorder="1" applyAlignment="1">
      <alignment horizontal="center" vertical="center" shrinkToFit="1"/>
    </xf>
    <xf numFmtId="0" fontId="22" fillId="4" borderId="42" xfId="4" applyFont="1" applyFill="1" applyBorder="1" applyAlignment="1">
      <alignment horizontal="center" vertical="center" shrinkToFit="1"/>
    </xf>
    <xf numFmtId="0" fontId="4" fillId="0" borderId="67" xfId="4" applyBorder="1" applyAlignment="1">
      <alignment horizontal="center" vertical="center" shrinkToFit="1"/>
    </xf>
    <xf numFmtId="0" fontId="4" fillId="0" borderId="66" xfId="4" applyBorder="1" applyAlignment="1">
      <alignment horizontal="center" vertical="center" shrinkToFit="1"/>
    </xf>
    <xf numFmtId="0" fontId="22" fillId="0" borderId="42" xfId="4" applyFont="1" applyBorder="1" applyAlignment="1">
      <alignment horizontal="center" vertical="center" shrinkToFit="1"/>
    </xf>
    <xf numFmtId="176" fontId="4" fillId="0" borderId="0" xfId="4" applyNumberFormat="1" applyFont="1" applyFill="1" applyAlignment="1">
      <alignment horizontal="right" vertical="center" shrinkToFit="1"/>
    </xf>
    <xf numFmtId="176" fontId="24" fillId="0" borderId="0" xfId="4" applyNumberFormat="1" applyFont="1" applyFill="1" applyAlignment="1">
      <alignment horizontal="right" vertical="center" shrinkToFit="1"/>
    </xf>
    <xf numFmtId="176" fontId="56" fillId="0" borderId="0" xfId="4" applyNumberFormat="1" applyFont="1" applyBorder="1" applyAlignment="1">
      <alignment horizontal="left" vertical="center"/>
    </xf>
    <xf numFmtId="178" fontId="24" fillId="4" borderId="0" xfId="4" applyNumberFormat="1" applyFont="1" applyFill="1" applyBorder="1" applyAlignment="1">
      <alignment horizontal="right" vertical="center" shrinkToFit="1"/>
    </xf>
    <xf numFmtId="176" fontId="24" fillId="4" borderId="0" xfId="4" applyNumberFormat="1" applyFont="1" applyFill="1" applyBorder="1" applyAlignment="1">
      <alignment horizontal="right" vertical="center" shrinkToFit="1"/>
    </xf>
    <xf numFmtId="176" fontId="4" fillId="0" borderId="0" xfId="4" applyNumberFormat="1" applyFont="1" applyFill="1" applyBorder="1" applyAlignment="1">
      <alignment horizontal="right" vertical="center" shrinkToFit="1"/>
    </xf>
    <xf numFmtId="178" fontId="25" fillId="0" borderId="0" xfId="4" applyNumberFormat="1" applyFont="1" applyBorder="1" applyAlignment="1">
      <alignment horizontal="left" vertical="center" shrinkToFit="1"/>
    </xf>
    <xf numFmtId="38" fontId="29" fillId="0" borderId="52" xfId="5" applyFont="1" applyBorder="1" applyAlignment="1">
      <alignment vertical="center" shrinkToFit="1"/>
    </xf>
    <xf numFmtId="0" fontId="4" fillId="0" borderId="0" xfId="4" applyFont="1" applyAlignment="1">
      <alignment horizontal="center" vertical="center" shrinkToFit="1"/>
    </xf>
    <xf numFmtId="176" fontId="24" fillId="0" borderId="0" xfId="5" applyNumberFormat="1" applyFont="1" applyAlignment="1">
      <alignment horizontal="left" vertical="center" shrinkToFit="1"/>
    </xf>
    <xf numFmtId="0" fontId="22" fillId="0" borderId="55" xfId="4" applyFont="1" applyBorder="1" applyAlignment="1">
      <alignment horizontal="center" vertical="center" shrinkToFit="1"/>
    </xf>
    <xf numFmtId="38" fontId="29" fillId="0" borderId="93" xfId="5" applyFont="1" applyBorder="1" applyAlignment="1">
      <alignment vertical="center" shrinkToFit="1"/>
    </xf>
    <xf numFmtId="0" fontId="23" fillId="0" borderId="6" xfId="4" applyFont="1" applyBorder="1" applyAlignment="1">
      <alignment horizontal="center" vertical="center" shrinkToFit="1"/>
    </xf>
    <xf numFmtId="38" fontId="24" fillId="0" borderId="41" xfId="5" applyFont="1" applyFill="1" applyBorder="1" applyAlignment="1">
      <alignment horizontal="right" vertical="center" shrinkToFit="1"/>
    </xf>
    <xf numFmtId="0" fontId="74" fillId="0" borderId="0" xfId="4" applyFont="1" applyAlignment="1">
      <alignment horizontal="left" vertical="center"/>
    </xf>
    <xf numFmtId="38" fontId="39" fillId="0" borderId="13" xfId="1" applyFont="1" applyFill="1" applyBorder="1" applyAlignment="1">
      <alignment vertical="center" shrinkToFit="1"/>
    </xf>
    <xf numFmtId="38" fontId="48" fillId="3" borderId="17" xfId="1" applyFont="1" applyFill="1" applyBorder="1" applyAlignment="1">
      <alignment vertical="center" shrinkToFit="1"/>
    </xf>
    <xf numFmtId="0" fontId="22" fillId="0" borderId="39" xfId="4" applyFont="1" applyBorder="1" applyAlignment="1">
      <alignment horizontal="center" vertical="center" shrinkToFit="1"/>
    </xf>
    <xf numFmtId="0" fontId="22" fillId="0" borderId="179" xfId="4" applyFont="1" applyBorder="1" applyAlignment="1">
      <alignment horizontal="center" vertical="center" shrinkToFit="1"/>
    </xf>
    <xf numFmtId="0" fontId="22" fillId="0" borderId="180" xfId="4" applyFont="1" applyBorder="1" applyAlignment="1">
      <alignment horizontal="center" vertical="center" shrinkToFit="1"/>
    </xf>
    <xf numFmtId="38" fontId="24" fillId="0" borderId="27" xfId="5" applyFont="1" applyFill="1" applyBorder="1" applyAlignment="1">
      <alignment vertical="center" shrinkToFit="1"/>
    </xf>
    <xf numFmtId="38" fontId="24" fillId="0" borderId="181" xfId="5" applyFont="1" applyFill="1" applyBorder="1" applyAlignment="1">
      <alignment vertical="center" shrinkToFit="1"/>
    </xf>
    <xf numFmtId="38" fontId="24" fillId="0" borderId="182" xfId="5" applyFont="1" applyFill="1" applyBorder="1" applyAlignment="1">
      <alignment vertical="center" shrinkToFit="1"/>
    </xf>
    <xf numFmtId="38" fontId="24" fillId="9" borderId="27" xfId="5" applyFont="1" applyFill="1" applyBorder="1" applyAlignment="1">
      <alignment vertical="center" shrinkToFit="1"/>
    </xf>
    <xf numFmtId="38" fontId="24" fillId="9" borderId="181" xfId="5" applyFont="1" applyFill="1" applyBorder="1" applyAlignment="1">
      <alignment vertical="center" shrinkToFit="1"/>
    </xf>
    <xf numFmtId="38" fontId="24" fillId="9" borderId="182" xfId="5" applyFont="1" applyFill="1" applyBorder="1" applyAlignment="1">
      <alignment vertical="center" shrinkToFit="1"/>
    </xf>
    <xf numFmtId="178" fontId="23" fillId="0" borderId="32" xfId="4" applyNumberFormat="1" applyFont="1" applyBorder="1" applyAlignment="1">
      <alignment horizontal="right" vertical="center" shrinkToFit="1"/>
    </xf>
    <xf numFmtId="38" fontId="28" fillId="19" borderId="27" xfId="5" applyFont="1" applyFill="1" applyBorder="1" applyAlignment="1">
      <alignment vertical="center" shrinkToFit="1"/>
    </xf>
    <xf numFmtId="38" fontId="28" fillId="19" borderId="181" xfId="5" applyFont="1" applyFill="1" applyBorder="1" applyAlignment="1">
      <alignment vertical="center" shrinkToFit="1"/>
    </xf>
    <xf numFmtId="38" fontId="28" fillId="19" borderId="182" xfId="5" applyFont="1" applyFill="1" applyBorder="1" applyAlignment="1">
      <alignment vertical="center" shrinkToFit="1"/>
    </xf>
    <xf numFmtId="38" fontId="32" fillId="0" borderId="0" xfId="5" applyNumberFormat="1" applyFont="1" applyBorder="1" applyAlignment="1">
      <alignment vertical="center" shrinkToFit="1"/>
    </xf>
    <xf numFmtId="38" fontId="32" fillId="0" borderId="0" xfId="5" applyFont="1" applyAlignment="1">
      <alignment vertical="center" shrinkToFit="1"/>
    </xf>
    <xf numFmtId="38" fontId="56" fillId="0" borderId="5" xfId="4" applyNumberFormat="1" applyFont="1" applyBorder="1" applyAlignment="1">
      <alignment vertical="center" shrinkToFit="1"/>
    </xf>
    <xf numFmtId="178" fontId="32" fillId="0" borderId="0" xfId="4" applyNumberFormat="1" applyFont="1" applyFill="1" applyAlignment="1">
      <alignment horizontal="right" vertical="center" shrinkToFit="1"/>
    </xf>
    <xf numFmtId="38" fontId="58" fillId="0" borderId="0" xfId="5" applyFont="1" applyAlignment="1">
      <alignment horizontal="right" vertical="center"/>
    </xf>
    <xf numFmtId="0" fontId="32" fillId="0" borderId="0" xfId="4" applyNumberFormat="1" applyFont="1" applyFill="1" applyAlignment="1">
      <alignment horizontal="right" vertical="center" shrinkToFit="1"/>
    </xf>
    <xf numFmtId="199" fontId="32" fillId="0" borderId="0" xfId="4" applyNumberFormat="1" applyFont="1" applyFill="1" applyAlignment="1">
      <alignment vertical="center" shrinkToFit="1"/>
    </xf>
    <xf numFmtId="199" fontId="32" fillId="0" borderId="0" xfId="4" applyNumberFormat="1" applyFont="1" applyFill="1" applyAlignment="1">
      <alignment vertical="center" wrapText="1"/>
    </xf>
    <xf numFmtId="199" fontId="32" fillId="0" borderId="0" xfId="4" applyNumberFormat="1" applyFont="1" applyFill="1" applyBorder="1">
      <alignment vertical="center"/>
    </xf>
    <xf numFmtId="176" fontId="4" fillId="0" borderId="0" xfId="4" applyNumberFormat="1" applyFill="1" applyAlignment="1">
      <alignment vertical="center" shrinkToFit="1"/>
    </xf>
    <xf numFmtId="176" fontId="28" fillId="0" borderId="0" xfId="4" applyNumberFormat="1" applyFont="1" applyFill="1" applyBorder="1" applyAlignment="1">
      <alignment horizontal="right" vertical="center" shrinkToFit="1"/>
    </xf>
    <xf numFmtId="200" fontId="22" fillId="0" borderId="0" xfId="4" applyNumberFormat="1" applyFont="1" applyBorder="1" applyAlignment="1">
      <alignment horizontal="left" vertical="center"/>
    </xf>
    <xf numFmtId="176" fontId="67" fillId="4" borderId="0" xfId="4" applyNumberFormat="1" applyFont="1" applyFill="1" applyBorder="1" applyAlignment="1">
      <alignment vertical="center" shrinkToFit="1"/>
    </xf>
    <xf numFmtId="176" fontId="67" fillId="6" borderId="0" xfId="4" applyNumberFormat="1" applyFont="1" applyFill="1" applyBorder="1" applyAlignment="1">
      <alignment horizontal="right" vertical="center"/>
    </xf>
    <xf numFmtId="178" fontId="32" fillId="0" borderId="0" xfId="4" applyNumberFormat="1" applyFont="1" applyFill="1" applyAlignment="1">
      <alignment vertical="center" shrinkToFit="1"/>
    </xf>
    <xf numFmtId="178" fontId="58" fillId="0" borderId="0" xfId="4" applyNumberFormat="1" applyFont="1" applyFill="1" applyAlignment="1">
      <alignment vertical="center" shrinkToFit="1"/>
    </xf>
    <xf numFmtId="180" fontId="66" fillId="0" borderId="0" xfId="4" applyNumberFormat="1" applyFont="1" applyFill="1" applyBorder="1" applyAlignment="1">
      <alignment horizontal="right" vertical="center"/>
    </xf>
    <xf numFmtId="176" fontId="24" fillId="0" borderId="0" xfId="4" applyNumberFormat="1" applyFont="1" applyAlignment="1">
      <alignment horizontal="left" vertical="center"/>
    </xf>
    <xf numFmtId="176" fontId="58" fillId="0" borderId="0" xfId="4" applyNumberFormat="1" applyFont="1">
      <alignment vertical="center"/>
    </xf>
    <xf numFmtId="0" fontId="22" fillId="0" borderId="0" xfId="4" applyFont="1" applyAlignment="1">
      <alignment vertical="center"/>
    </xf>
    <xf numFmtId="200" fontId="23" fillId="0" borderId="0" xfId="4" applyNumberFormat="1" applyFont="1" applyBorder="1" applyAlignment="1">
      <alignment horizontal="left" vertical="center"/>
    </xf>
    <xf numFmtId="176" fontId="63" fillId="4" borderId="0" xfId="4" applyNumberFormat="1" applyFont="1" applyFill="1" applyBorder="1" applyAlignment="1">
      <alignment horizontal="right" vertical="center"/>
    </xf>
    <xf numFmtId="180" fontId="66" fillId="4" borderId="0" xfId="4" applyNumberFormat="1" applyFont="1" applyFill="1" applyBorder="1" applyAlignment="1">
      <alignment horizontal="right" vertical="center"/>
    </xf>
    <xf numFmtId="176" fontId="24" fillId="0" borderId="46" xfId="2" applyNumberFormat="1" applyFont="1" applyFill="1" applyBorder="1" applyAlignment="1">
      <alignment horizontal="right" vertical="center" shrinkToFit="1"/>
    </xf>
    <xf numFmtId="176" fontId="24" fillId="0" borderId="179" xfId="2" applyNumberFormat="1" applyFont="1" applyFill="1" applyBorder="1" applyAlignment="1">
      <alignment horizontal="right" vertical="center" shrinkToFit="1"/>
    </xf>
    <xf numFmtId="176" fontId="24" fillId="0" borderId="180" xfId="2" applyNumberFormat="1" applyFont="1" applyFill="1" applyBorder="1" applyAlignment="1">
      <alignment horizontal="right" vertical="center" shrinkToFit="1"/>
    </xf>
    <xf numFmtId="176" fontId="24" fillId="0" borderId="27" xfId="2" applyNumberFormat="1" applyFont="1" applyFill="1" applyBorder="1" applyAlignment="1">
      <alignment horizontal="right" vertical="center" shrinkToFit="1"/>
    </xf>
    <xf numFmtId="176" fontId="24" fillId="0" borderId="181" xfId="2" applyNumberFormat="1" applyFont="1" applyFill="1" applyBorder="1" applyAlignment="1">
      <alignment horizontal="right" vertical="center" shrinkToFit="1"/>
    </xf>
    <xf numFmtId="176" fontId="24" fillId="0" borderId="182" xfId="2" applyNumberFormat="1" applyFont="1" applyFill="1" applyBorder="1" applyAlignment="1">
      <alignment horizontal="right" vertical="center" shrinkToFit="1"/>
    </xf>
    <xf numFmtId="176" fontId="24" fillId="12" borderId="27" xfId="2" applyNumberFormat="1" applyFont="1" applyFill="1" applyBorder="1" applyAlignment="1">
      <alignment horizontal="right" vertical="center" shrinkToFit="1"/>
    </xf>
    <xf numFmtId="176" fontId="24" fillId="12" borderId="181" xfId="2" applyNumberFormat="1" applyFont="1" applyFill="1" applyBorder="1" applyAlignment="1">
      <alignment horizontal="right" vertical="center" shrinkToFit="1"/>
    </xf>
    <xf numFmtId="176" fontId="24" fillId="12" borderId="182" xfId="2" applyNumberFormat="1" applyFont="1" applyFill="1" applyBorder="1" applyAlignment="1">
      <alignment horizontal="right" vertical="center" shrinkToFit="1"/>
    </xf>
    <xf numFmtId="176" fontId="24" fillId="4" borderId="34" xfId="2" applyNumberFormat="1" applyFont="1" applyFill="1" applyBorder="1" applyAlignment="1">
      <alignment horizontal="right" vertical="center" shrinkToFit="1"/>
    </xf>
    <xf numFmtId="176" fontId="24" fillId="4" borderId="183" xfId="2" applyNumberFormat="1" applyFont="1" applyFill="1" applyBorder="1" applyAlignment="1">
      <alignment horizontal="right" vertical="center" shrinkToFit="1"/>
    </xf>
    <xf numFmtId="176" fontId="24" fillId="4" borderId="184" xfId="2" applyNumberFormat="1" applyFont="1" applyFill="1" applyBorder="1" applyAlignment="1">
      <alignment horizontal="right" vertical="center" shrinkToFit="1"/>
    </xf>
    <xf numFmtId="176" fontId="24" fillId="4" borderId="46" xfId="2" applyNumberFormat="1" applyFont="1" applyFill="1" applyBorder="1" applyAlignment="1">
      <alignment horizontal="right" vertical="center" shrinkToFit="1"/>
    </xf>
    <xf numFmtId="176" fontId="24" fillId="4" borderId="179" xfId="2" applyNumberFormat="1" applyFont="1" applyFill="1" applyBorder="1" applyAlignment="1">
      <alignment horizontal="right" vertical="center" shrinkToFit="1"/>
    </xf>
    <xf numFmtId="176" fontId="24" fillId="4" borderId="180" xfId="2" applyNumberFormat="1" applyFont="1" applyFill="1" applyBorder="1" applyAlignment="1">
      <alignment horizontal="right" vertical="center" shrinkToFit="1"/>
    </xf>
    <xf numFmtId="176" fontId="24" fillId="4" borderId="27" xfId="2" applyNumberFormat="1" applyFont="1" applyFill="1" applyBorder="1" applyAlignment="1">
      <alignment horizontal="right" vertical="center" shrinkToFit="1"/>
    </xf>
    <xf numFmtId="176" fontId="24" fillId="4" borderId="181" xfId="2" applyNumberFormat="1" applyFont="1" applyFill="1" applyBorder="1" applyAlignment="1">
      <alignment horizontal="right" vertical="center" shrinkToFit="1"/>
    </xf>
    <xf numFmtId="176" fontId="24" fillId="4" borderId="182" xfId="2" applyNumberFormat="1" applyFont="1" applyFill="1" applyBorder="1" applyAlignment="1">
      <alignment horizontal="right" vertical="center" shrinkToFit="1"/>
    </xf>
    <xf numFmtId="179" fontId="56" fillId="0" borderId="27" xfId="4" applyNumberFormat="1" applyFont="1" applyBorder="1" applyAlignment="1">
      <alignment horizontal="right" vertical="center" shrinkToFit="1"/>
    </xf>
    <xf numFmtId="0" fontId="55" fillId="0" borderId="123" xfId="4" applyFont="1" applyBorder="1" applyAlignment="1">
      <alignment horizontal="center" vertical="center" shrinkToFit="1"/>
    </xf>
    <xf numFmtId="0" fontId="4" fillId="0" borderId="185" xfId="4" applyFont="1" applyBorder="1" applyAlignment="1">
      <alignment horizontal="center" vertical="center" shrinkToFit="1"/>
    </xf>
    <xf numFmtId="0" fontId="4" fillId="0" borderId="0" xfId="4" applyFont="1" applyBorder="1" applyAlignment="1">
      <alignment vertical="center" shrinkToFit="1"/>
    </xf>
    <xf numFmtId="181" fontId="25" fillId="0" borderId="69" xfId="4" applyNumberFormat="1" applyFont="1" applyFill="1" applyBorder="1" applyAlignment="1">
      <alignment vertical="center" shrinkToFit="1"/>
    </xf>
    <xf numFmtId="179" fontId="24" fillId="0" borderId="0" xfId="4" applyNumberFormat="1" applyFont="1" applyBorder="1" applyAlignment="1">
      <alignment vertical="center" shrinkToFit="1"/>
    </xf>
    <xf numFmtId="178" fontId="25" fillId="0" borderId="0" xfId="4" applyNumberFormat="1" applyFont="1" applyBorder="1" applyAlignment="1">
      <alignment vertical="center" shrinkToFit="1"/>
    </xf>
    <xf numFmtId="179" fontId="25" fillId="0" borderId="97" xfId="4" applyNumberFormat="1" applyFont="1" applyBorder="1" applyAlignment="1">
      <alignment vertical="center" shrinkToFit="1"/>
    </xf>
    <xf numFmtId="179" fontId="25" fillId="0" borderId="0" xfId="4" applyNumberFormat="1" applyFont="1" applyBorder="1" applyAlignment="1">
      <alignment vertical="center" shrinkToFit="1"/>
    </xf>
    <xf numFmtId="178" fontId="25" fillId="0" borderId="102" xfId="4" applyNumberFormat="1" applyFont="1" applyBorder="1" applyAlignment="1">
      <alignment vertical="center" shrinkToFit="1"/>
    </xf>
    <xf numFmtId="0" fontId="4" fillId="0" borderId="125" xfId="4" applyFont="1" applyBorder="1" applyAlignment="1">
      <alignment horizontal="center" vertical="center" shrinkToFit="1"/>
    </xf>
    <xf numFmtId="181" fontId="24" fillId="0" borderId="0" xfId="4" applyNumberFormat="1" applyFont="1" applyFill="1" applyBorder="1" applyAlignment="1">
      <alignment vertical="center" shrinkToFit="1"/>
    </xf>
    <xf numFmtId="181" fontId="25" fillId="0" borderId="0" xfId="4" applyNumberFormat="1" applyFont="1" applyFill="1" applyBorder="1" applyAlignment="1">
      <alignment vertical="center" shrinkToFit="1"/>
    </xf>
    <xf numFmtId="0" fontId="4" fillId="0" borderId="97" xfId="4" applyFont="1" applyBorder="1" applyAlignment="1">
      <alignment horizontal="center" vertical="center" shrinkToFit="1"/>
    </xf>
    <xf numFmtId="179" fontId="4" fillId="4" borderId="97" xfId="4" applyNumberFormat="1" applyFont="1" applyFill="1" applyBorder="1" applyAlignment="1">
      <alignment horizontal="left" vertical="center" shrinkToFit="1"/>
    </xf>
    <xf numFmtId="179" fontId="24" fillId="4" borderId="97" xfId="4" applyNumberFormat="1" applyFont="1" applyFill="1" applyBorder="1" applyAlignment="1">
      <alignment horizontal="right" vertical="center" shrinkToFit="1"/>
    </xf>
    <xf numFmtId="0" fontId="4" fillId="14" borderId="0" xfId="4" applyFont="1" applyFill="1" applyBorder="1" applyAlignment="1">
      <alignment horizontal="center" vertical="center" shrinkToFit="1"/>
    </xf>
    <xf numFmtId="181" fontId="24" fillId="14" borderId="0" xfId="4" applyNumberFormat="1" applyFont="1" applyFill="1" applyBorder="1" applyAlignment="1">
      <alignment vertical="center" shrinkToFit="1"/>
    </xf>
    <xf numFmtId="178" fontId="25" fillId="14" borderId="41" xfId="4" applyNumberFormat="1" applyFont="1" applyFill="1" applyBorder="1" applyAlignment="1">
      <alignment vertical="center" shrinkToFit="1"/>
    </xf>
    <xf numFmtId="178" fontId="25" fillId="14" borderId="0" xfId="4" applyNumberFormat="1" applyFont="1" applyFill="1" applyBorder="1" applyAlignment="1">
      <alignment vertical="center" shrinkToFit="1"/>
    </xf>
    <xf numFmtId="0" fontId="90" fillId="4" borderId="24" xfId="4" applyFont="1" applyFill="1" applyBorder="1" applyAlignment="1">
      <alignment horizontal="center" vertical="center" shrinkToFit="1"/>
    </xf>
    <xf numFmtId="183" fontId="24" fillId="0" borderId="0" xfId="4" applyNumberFormat="1" applyFont="1" applyFill="1" applyBorder="1" applyAlignment="1">
      <alignment vertical="center" shrinkToFit="1"/>
    </xf>
    <xf numFmtId="179" fontId="4" fillId="0" borderId="27" xfId="4" applyNumberFormat="1" applyFont="1" applyBorder="1" applyAlignment="1">
      <alignment horizontal="left" vertical="center" shrinkToFit="1"/>
    </xf>
    <xf numFmtId="179" fontId="4" fillId="0" borderId="0" xfId="4" applyNumberFormat="1" applyFont="1" applyBorder="1" applyAlignment="1">
      <alignment horizontal="left" vertical="center" shrinkToFit="1"/>
    </xf>
    <xf numFmtId="183" fontId="25" fillId="0" borderId="0" xfId="4" applyNumberFormat="1" applyFont="1" applyFill="1" applyBorder="1" applyAlignment="1">
      <alignment vertical="center" shrinkToFit="1"/>
    </xf>
    <xf numFmtId="0" fontId="4" fillId="0" borderId="97" xfId="4" applyFont="1" applyBorder="1" applyAlignment="1">
      <alignment horizontal="left" vertical="center" shrinkToFit="1"/>
    </xf>
    <xf numFmtId="182" fontId="24" fillId="0" borderId="0" xfId="4" applyNumberFormat="1" applyFont="1" applyFill="1" applyBorder="1" applyAlignment="1">
      <alignment vertical="center" shrinkToFit="1"/>
    </xf>
    <xf numFmtId="182" fontId="25" fillId="0" borderId="0" xfId="4" applyNumberFormat="1" applyFont="1" applyFill="1" applyBorder="1" applyAlignment="1">
      <alignment vertical="center" shrinkToFit="1"/>
    </xf>
    <xf numFmtId="0" fontId="31" fillId="0" borderId="124" xfId="4" applyFont="1" applyBorder="1" applyAlignment="1">
      <alignment horizontal="center" vertical="center" shrinkToFit="1"/>
    </xf>
    <xf numFmtId="38" fontId="24" fillId="0" borderId="103" xfId="4" applyNumberFormat="1" applyFont="1" applyBorder="1" applyAlignment="1">
      <alignment vertical="center" shrinkToFit="1"/>
    </xf>
    <xf numFmtId="182" fontId="24" fillId="0" borderId="5" xfId="4" applyNumberFormat="1" applyFont="1" applyFill="1" applyBorder="1" applyAlignment="1">
      <alignment vertical="center" shrinkToFit="1"/>
    </xf>
    <xf numFmtId="178" fontId="25" fillId="0" borderId="6" xfId="4" applyNumberFormat="1" applyFont="1" applyBorder="1" applyAlignment="1">
      <alignment vertical="center" shrinkToFit="1"/>
    </xf>
    <xf numFmtId="179" fontId="24" fillId="10" borderId="5" xfId="4" applyNumberFormat="1" applyFont="1" applyFill="1" applyBorder="1" applyAlignment="1">
      <alignment vertical="center" shrinkToFit="1"/>
    </xf>
    <xf numFmtId="178" fontId="25" fillId="0" borderId="104" xfId="4" applyNumberFormat="1" applyFont="1" applyBorder="1" applyAlignment="1">
      <alignment vertical="center" shrinkToFit="1"/>
    </xf>
    <xf numFmtId="0" fontId="4" fillId="4" borderId="0" xfId="4" applyFont="1" applyFill="1" applyAlignment="1">
      <alignment vertical="center"/>
    </xf>
    <xf numFmtId="190" fontId="90" fillId="22" borderId="24" xfId="4" applyNumberFormat="1" applyFont="1" applyFill="1" applyBorder="1">
      <alignment vertical="center"/>
    </xf>
    <xf numFmtId="0" fontId="4" fillId="0" borderId="0" xfId="4" applyFill="1" applyAlignment="1">
      <alignment vertical="center" shrinkToFit="1"/>
    </xf>
    <xf numFmtId="0" fontId="4" fillId="18" borderId="28" xfId="4" applyFill="1" applyBorder="1" applyAlignment="1">
      <alignment horizontal="center" vertical="center"/>
    </xf>
    <xf numFmtId="0" fontId="27" fillId="18" borderId="110" xfId="4" applyFont="1" applyFill="1" applyBorder="1" applyAlignment="1">
      <alignment vertical="center"/>
    </xf>
    <xf numFmtId="0" fontId="27" fillId="18" borderId="108" xfId="4" applyFont="1" applyFill="1" applyBorder="1" applyAlignment="1">
      <alignment vertical="center"/>
    </xf>
    <xf numFmtId="190" fontId="24" fillId="0" borderId="41" xfId="4" applyNumberFormat="1" applyFont="1" applyBorder="1" applyAlignment="1">
      <alignment horizontal="left" vertical="center" shrinkToFit="1"/>
    </xf>
    <xf numFmtId="190" fontId="24" fillId="0" borderId="0" xfId="4" applyNumberFormat="1" applyFont="1" applyAlignment="1">
      <alignment horizontal="left" vertical="center" wrapText="1"/>
    </xf>
    <xf numFmtId="190" fontId="24" fillId="0" borderId="41" xfId="4" applyNumberFormat="1" applyFont="1" applyBorder="1" applyAlignment="1">
      <alignment horizontal="center" vertical="center" shrinkToFit="1"/>
    </xf>
    <xf numFmtId="190" fontId="24" fillId="0" borderId="0" xfId="4" applyNumberFormat="1" applyFont="1" applyAlignment="1">
      <alignment vertical="center" wrapText="1"/>
    </xf>
    <xf numFmtId="190" fontId="91" fillId="0" borderId="0" xfId="4" applyNumberFormat="1" applyFont="1" applyAlignment="1">
      <alignment vertical="center"/>
    </xf>
    <xf numFmtId="190" fontId="91" fillId="0" borderId="24" xfId="4" applyNumberFormat="1" applyFont="1" applyBorder="1" applyAlignment="1">
      <alignment vertical="center" shrinkToFit="1"/>
    </xf>
    <xf numFmtId="0" fontId="91" fillId="0" borderId="24" xfId="4" applyFont="1" applyBorder="1" applyAlignment="1">
      <alignment vertical="center" shrinkToFit="1"/>
    </xf>
    <xf numFmtId="0" fontId="91" fillId="0" borderId="24" xfId="4" applyFont="1" applyBorder="1" applyAlignment="1">
      <alignment horizontal="center" vertical="center" shrinkToFit="1"/>
    </xf>
    <xf numFmtId="190" fontId="92" fillId="11" borderId="24" xfId="4" applyNumberFormat="1" applyFont="1" applyFill="1" applyBorder="1" applyAlignment="1">
      <alignment horizontal="right" vertical="center" shrinkToFit="1"/>
    </xf>
    <xf numFmtId="190" fontId="93" fillId="11" borderId="24" xfId="4" applyNumberFormat="1" applyFont="1" applyFill="1" applyBorder="1" applyAlignment="1" applyProtection="1">
      <alignment vertical="center" shrinkToFit="1"/>
      <protection locked="0"/>
    </xf>
    <xf numFmtId="190" fontId="91" fillId="6" borderId="32" xfId="4" applyNumberFormat="1" applyFont="1" applyFill="1" applyBorder="1" applyAlignment="1" applyProtection="1">
      <alignment horizontal="right" vertical="center" shrinkToFit="1"/>
      <protection locked="0"/>
    </xf>
    <xf numFmtId="190" fontId="93" fillId="0" borderId="32" xfId="4" applyNumberFormat="1" applyFont="1" applyBorder="1" applyAlignment="1">
      <alignment vertical="center" shrinkToFit="1"/>
    </xf>
    <xf numFmtId="190" fontId="92" fillId="0" borderId="32" xfId="4" applyNumberFormat="1" applyFont="1" applyBorder="1" applyAlignment="1">
      <alignment vertical="center" shrinkToFit="1"/>
    </xf>
    <xf numFmtId="0" fontId="91" fillId="0" borderId="45" xfId="4" applyFont="1" applyBorder="1" applyAlignment="1">
      <alignment horizontal="left" vertical="center" shrinkToFit="1"/>
    </xf>
    <xf numFmtId="190" fontId="91" fillId="0" borderId="5" xfId="4" applyNumberFormat="1" applyFont="1" applyBorder="1" applyAlignment="1">
      <alignment horizontal="left" vertical="center" shrinkToFit="1"/>
    </xf>
    <xf numFmtId="190" fontId="91" fillId="0" borderId="6" xfId="4" applyNumberFormat="1" applyFont="1" applyBorder="1" applyAlignment="1">
      <alignment horizontal="left" vertical="center" shrinkToFit="1"/>
    </xf>
    <xf numFmtId="190" fontId="91" fillId="6" borderId="33" xfId="4" applyNumberFormat="1" applyFont="1" applyFill="1" applyBorder="1" applyAlignment="1">
      <alignment vertical="center" shrinkToFit="1"/>
    </xf>
    <xf numFmtId="190" fontId="93" fillId="0" borderId="33" xfId="4" applyNumberFormat="1" applyFont="1" applyBorder="1" applyAlignment="1">
      <alignment vertical="center" shrinkToFit="1"/>
    </xf>
    <xf numFmtId="190" fontId="92" fillId="0" borderId="33" xfId="4" applyNumberFormat="1" applyFont="1" applyBorder="1" applyAlignment="1">
      <alignment vertical="center" shrinkToFit="1"/>
    </xf>
    <xf numFmtId="190" fontId="91" fillId="0" borderId="0" xfId="4" applyNumberFormat="1" applyFont="1" applyBorder="1" applyAlignment="1">
      <alignment vertical="center" shrinkToFit="1"/>
    </xf>
    <xf numFmtId="190" fontId="93" fillId="0" borderId="0" xfId="4" applyNumberFormat="1" applyFont="1" applyBorder="1" applyAlignment="1">
      <alignment vertical="center" shrinkToFit="1"/>
    </xf>
    <xf numFmtId="190" fontId="92" fillId="0" borderId="0" xfId="4" applyNumberFormat="1" applyFont="1" applyBorder="1" applyAlignment="1">
      <alignment vertical="center" shrinkToFit="1"/>
    </xf>
    <xf numFmtId="190" fontId="91" fillId="0" borderId="0" xfId="4" applyNumberFormat="1" applyFont="1" applyAlignment="1">
      <alignment vertical="center" shrinkToFit="1"/>
    </xf>
    <xf numFmtId="190" fontId="27" fillId="11" borderId="46" xfId="4" applyNumberFormat="1" applyFont="1" applyFill="1" applyBorder="1" applyAlignment="1">
      <alignment horizontal="left" vertical="center"/>
    </xf>
    <xf numFmtId="190" fontId="92" fillId="0" borderId="26" xfId="4" applyNumberFormat="1" applyFont="1" applyBorder="1" applyAlignment="1">
      <alignment horizontal="center" vertical="center" shrinkToFit="1"/>
    </xf>
    <xf numFmtId="0" fontId="92" fillId="0" borderId="26" xfId="4" applyFont="1" applyBorder="1" applyAlignment="1">
      <alignment horizontal="center" vertical="center" shrinkToFit="1"/>
    </xf>
    <xf numFmtId="190" fontId="94" fillId="11" borderId="46" xfId="4" applyNumberFormat="1" applyFont="1" applyFill="1" applyBorder="1" applyAlignment="1">
      <alignment horizontal="left" vertical="center" shrinkToFit="1"/>
    </xf>
    <xf numFmtId="190" fontId="91" fillId="11" borderId="69" xfId="4" applyNumberFormat="1" applyFont="1" applyFill="1" applyBorder="1" applyAlignment="1">
      <alignment horizontal="left" vertical="center" shrinkToFit="1"/>
    </xf>
    <xf numFmtId="190" fontId="91" fillId="11" borderId="35" xfId="4" applyNumberFormat="1" applyFont="1" applyFill="1" applyBorder="1" applyAlignment="1">
      <alignment horizontal="left" vertical="center" shrinkToFit="1"/>
    </xf>
    <xf numFmtId="190" fontId="93" fillId="11" borderId="35" xfId="4" applyNumberFormat="1" applyFont="1" applyFill="1" applyBorder="1" applyAlignment="1" applyProtection="1">
      <alignment vertical="center" shrinkToFit="1"/>
      <protection locked="0"/>
    </xf>
    <xf numFmtId="190" fontId="93" fillId="11" borderId="42" xfId="4" applyNumberFormat="1" applyFont="1" applyFill="1" applyBorder="1" applyAlignment="1" applyProtection="1">
      <alignment vertical="center" shrinkToFit="1"/>
      <protection locked="0"/>
    </xf>
    <xf numFmtId="190" fontId="93" fillId="0" borderId="41" xfId="4" applyNumberFormat="1" applyFont="1" applyBorder="1" applyAlignment="1">
      <alignment vertical="center" shrinkToFit="1"/>
    </xf>
    <xf numFmtId="190" fontId="91" fillId="0" borderId="27" xfId="4" applyNumberFormat="1" applyFont="1" applyFill="1" applyBorder="1" applyAlignment="1">
      <alignment horizontal="left" vertical="center" shrinkToFit="1"/>
    </xf>
    <xf numFmtId="190" fontId="91" fillId="0" borderId="0" xfId="4" applyNumberFormat="1" applyFont="1" applyFill="1" applyBorder="1" applyAlignment="1">
      <alignment horizontal="left" vertical="center" shrinkToFit="1"/>
    </xf>
    <xf numFmtId="190" fontId="91" fillId="0" borderId="32" xfId="4" applyNumberFormat="1" applyFont="1" applyFill="1" applyBorder="1" applyAlignment="1" applyProtection="1">
      <alignment horizontal="right" vertical="center" shrinkToFit="1"/>
      <protection locked="0"/>
    </xf>
    <xf numFmtId="190" fontId="94" fillId="11" borderId="27" xfId="4" applyNumberFormat="1" applyFont="1" applyFill="1" applyBorder="1" applyAlignment="1">
      <alignment horizontal="left" vertical="center" shrinkToFit="1"/>
    </xf>
    <xf numFmtId="190" fontId="91" fillId="11" borderId="0" xfId="4" applyNumberFormat="1" applyFont="1" applyFill="1" applyBorder="1" applyAlignment="1">
      <alignment horizontal="left" vertical="center" shrinkToFit="1"/>
    </xf>
    <xf numFmtId="190" fontId="91" fillId="11" borderId="32" xfId="4" applyNumberFormat="1" applyFont="1" applyFill="1" applyBorder="1" applyAlignment="1">
      <alignment horizontal="left" vertical="center" shrinkToFit="1"/>
    </xf>
    <xf numFmtId="190" fontId="91" fillId="6" borderId="33" xfId="4" applyNumberFormat="1" applyFont="1" applyFill="1" applyBorder="1" applyAlignment="1" applyProtection="1">
      <alignment horizontal="right" vertical="center" shrinkToFit="1"/>
      <protection locked="0"/>
    </xf>
    <xf numFmtId="190" fontId="93" fillId="0" borderId="6" xfId="4" applyNumberFormat="1" applyFont="1" applyBorder="1" applyAlignment="1">
      <alignment vertical="center" shrinkToFit="1"/>
    </xf>
    <xf numFmtId="0" fontId="91" fillId="0" borderId="0" xfId="4" applyFont="1" applyAlignment="1">
      <alignment vertical="center" shrinkToFit="1"/>
    </xf>
    <xf numFmtId="38" fontId="95" fillId="0" borderId="0" xfId="5" applyFont="1" applyAlignment="1">
      <alignment vertical="center" shrinkToFit="1"/>
    </xf>
    <xf numFmtId="0" fontId="95" fillId="0" borderId="0" xfId="4" applyFont="1" applyAlignment="1">
      <alignment vertical="center" shrinkToFit="1"/>
    </xf>
    <xf numFmtId="191" fontId="96" fillId="0" borderId="2" xfId="4" applyNumberFormat="1" applyFont="1" applyBorder="1" applyAlignment="1">
      <alignment vertical="center" shrinkToFit="1"/>
    </xf>
    <xf numFmtId="191" fontId="28" fillId="0" borderId="0" xfId="4" applyNumberFormat="1" applyFont="1" applyBorder="1" applyAlignment="1">
      <alignment vertical="center" shrinkToFit="1"/>
    </xf>
    <xf numFmtId="192" fontId="28" fillId="0" borderId="69" xfId="4" applyNumberFormat="1" applyFont="1" applyBorder="1" applyAlignment="1">
      <alignment vertical="center" shrinkToFit="1"/>
    </xf>
    <xf numFmtId="190" fontId="92" fillId="0" borderId="24" xfId="4" applyNumberFormat="1" applyFont="1" applyBorder="1" applyAlignment="1">
      <alignment horizontal="center" vertical="center" shrinkToFit="1"/>
    </xf>
    <xf numFmtId="190" fontId="91" fillId="11" borderId="46" xfId="4" applyNumberFormat="1" applyFont="1" applyFill="1" applyBorder="1" applyAlignment="1">
      <alignment horizontal="left" vertical="center" shrinkToFit="1"/>
    </xf>
    <xf numFmtId="190" fontId="24" fillId="0" borderId="41" xfId="4" applyNumberFormat="1" applyFont="1" applyBorder="1" applyAlignment="1">
      <alignment horizontal="right" vertical="center" shrinkToFit="1"/>
    </xf>
    <xf numFmtId="190" fontId="91" fillId="11" borderId="39" xfId="4" applyNumberFormat="1" applyFont="1" applyFill="1" applyBorder="1" applyAlignment="1">
      <alignment vertical="center" shrinkToFit="1"/>
    </xf>
    <xf numFmtId="190" fontId="91" fillId="11" borderId="7" xfId="4" applyNumberFormat="1" applyFont="1" applyFill="1" applyBorder="1" applyAlignment="1">
      <alignment vertical="center" shrinkToFit="1"/>
    </xf>
    <xf numFmtId="190" fontId="91" fillId="11" borderId="26" xfId="4" applyNumberFormat="1" applyFont="1" applyFill="1" applyBorder="1" applyAlignment="1">
      <alignment vertical="center" shrinkToFit="1"/>
    </xf>
    <xf numFmtId="190" fontId="93" fillId="11" borderId="24" xfId="4" applyNumberFormat="1" applyFont="1" applyFill="1" applyBorder="1" applyAlignment="1" applyProtection="1">
      <alignment horizontal="right" vertical="center" shrinkToFit="1"/>
      <protection locked="0"/>
    </xf>
    <xf numFmtId="190" fontId="93" fillId="11" borderId="26" xfId="4" applyNumberFormat="1" applyFont="1" applyFill="1" applyBorder="1" applyAlignment="1" applyProtection="1">
      <alignment vertical="center" shrinkToFit="1"/>
      <protection locked="0"/>
    </xf>
    <xf numFmtId="190" fontId="92" fillId="0" borderId="41" xfId="4" applyNumberFormat="1" applyFont="1" applyBorder="1" applyAlignment="1">
      <alignment vertical="center" shrinkToFit="1"/>
    </xf>
    <xf numFmtId="190" fontId="92" fillId="0" borderId="6" xfId="4" applyNumberFormat="1" applyFont="1" applyBorder="1" applyAlignment="1">
      <alignment vertical="center" shrinkToFit="1"/>
    </xf>
    <xf numFmtId="190" fontId="22" fillId="0" borderId="0" xfId="4" applyNumberFormat="1" applyFont="1" applyAlignment="1">
      <alignment vertical="center"/>
    </xf>
    <xf numFmtId="0" fontId="22" fillId="0" borderId="0" xfId="4" applyFont="1">
      <alignment vertical="center"/>
    </xf>
    <xf numFmtId="209" fontId="97" fillId="0" borderId="0" xfId="4" applyNumberFormat="1" applyFont="1" applyAlignment="1">
      <alignment horizontal="center" shrinkToFit="1"/>
    </xf>
    <xf numFmtId="210" fontId="26" fillId="0" borderId="0" xfId="4" applyNumberFormat="1" applyFont="1" applyFill="1" applyAlignment="1">
      <alignment horizontal="left" shrinkToFit="1"/>
    </xf>
    <xf numFmtId="10" fontId="0" fillId="0" borderId="0" xfId="6" applyNumberFormat="1" applyFont="1" applyAlignment="1">
      <alignment vertical="center" shrinkToFit="1"/>
    </xf>
    <xf numFmtId="38" fontId="32" fillId="0" borderId="139" xfId="5" applyFont="1" applyFill="1" applyBorder="1" applyAlignment="1">
      <alignment vertical="center" shrinkToFit="1"/>
    </xf>
    <xf numFmtId="38" fontId="32" fillId="0" borderId="142" xfId="5" applyFont="1" applyFill="1" applyBorder="1" applyAlignment="1">
      <alignment vertical="center" shrinkToFit="1"/>
    </xf>
    <xf numFmtId="38" fontId="32" fillId="0" borderId="140" xfId="5" applyFont="1" applyFill="1" applyBorder="1" applyAlignment="1">
      <alignment vertical="center" shrinkToFit="1"/>
    </xf>
    <xf numFmtId="38" fontId="32" fillId="0" borderId="42" xfId="5" applyFont="1" applyFill="1" applyBorder="1" applyAlignment="1">
      <alignment vertical="center" shrinkToFit="1"/>
    </xf>
    <xf numFmtId="38" fontId="32" fillId="0" borderId="69" xfId="5" applyFont="1" applyFill="1" applyBorder="1" applyAlignment="1">
      <alignment vertical="center" shrinkToFit="1"/>
    </xf>
    <xf numFmtId="194" fontId="58" fillId="0" borderId="58" xfId="4" applyNumberFormat="1" applyFont="1" applyBorder="1" applyAlignment="1">
      <alignment horizontal="left" shrinkToFit="1"/>
    </xf>
    <xf numFmtId="38" fontId="32" fillId="0" borderId="144" xfId="5" applyFont="1" applyFill="1" applyBorder="1" applyAlignment="1">
      <alignment vertical="center" shrinkToFit="1"/>
    </xf>
    <xf numFmtId="38" fontId="32" fillId="0" borderId="145" xfId="5" applyFont="1" applyFill="1" applyBorder="1" applyAlignment="1">
      <alignment vertical="center" shrinkToFit="1"/>
    </xf>
    <xf numFmtId="38" fontId="32" fillId="0" borderId="146" xfId="5" applyFont="1" applyFill="1" applyBorder="1" applyAlignment="1">
      <alignment vertical="center" shrinkToFit="1"/>
    </xf>
    <xf numFmtId="38" fontId="32" fillId="0" borderId="41" xfId="5" applyFont="1" applyFill="1" applyBorder="1" applyAlignment="1">
      <alignment vertical="center" shrinkToFit="1"/>
    </xf>
    <xf numFmtId="38" fontId="32" fillId="0" borderId="0" xfId="5" applyFont="1" applyFill="1" applyBorder="1" applyAlignment="1">
      <alignment vertical="center" shrinkToFit="1"/>
    </xf>
    <xf numFmtId="178" fontId="24" fillId="9" borderId="57" xfId="4" applyNumberFormat="1" applyFont="1" applyFill="1" applyBorder="1" applyAlignment="1">
      <alignment horizontal="right" vertical="center" shrinkToFit="1"/>
    </xf>
    <xf numFmtId="178" fontId="4" fillId="4" borderId="41" xfId="4" applyNumberFormat="1" applyFont="1" applyFill="1" applyBorder="1" applyAlignment="1">
      <alignment vertical="center" shrinkToFit="1"/>
    </xf>
    <xf numFmtId="0" fontId="23" fillId="0" borderId="41" xfId="4" applyFont="1" applyBorder="1" applyAlignment="1">
      <alignment horizontal="right" vertical="top" shrinkToFit="1"/>
    </xf>
    <xf numFmtId="194" fontId="23" fillId="9" borderId="41" xfId="4" applyNumberFormat="1" applyFont="1" applyFill="1" applyBorder="1" applyAlignment="1">
      <alignment horizontal="right" vertical="top" shrinkToFit="1"/>
    </xf>
    <xf numFmtId="194" fontId="4" fillId="9" borderId="41" xfId="4" applyNumberFormat="1" applyFont="1" applyFill="1" applyBorder="1" applyAlignment="1">
      <alignment vertical="center" shrinkToFit="1"/>
    </xf>
    <xf numFmtId="38" fontId="25" fillId="0" borderId="53" xfId="5" applyFont="1" applyFill="1" applyBorder="1" applyAlignment="1">
      <alignment horizontal="right" vertical="center" shrinkToFit="1"/>
    </xf>
    <xf numFmtId="178" fontId="24" fillId="0" borderId="57" xfId="4" applyNumberFormat="1" applyFont="1" applyBorder="1" applyAlignment="1">
      <alignment horizontal="right" vertical="center" shrinkToFit="1"/>
    </xf>
    <xf numFmtId="178" fontId="23" fillId="0" borderId="41" xfId="4" applyNumberFormat="1" applyFont="1" applyBorder="1" applyAlignment="1">
      <alignment horizontal="right" vertical="top" shrinkToFit="1"/>
    </xf>
    <xf numFmtId="178" fontId="4" fillId="0" borderId="41" xfId="4" applyNumberFormat="1" applyFont="1" applyBorder="1" applyAlignment="1">
      <alignment vertical="center" shrinkToFit="1"/>
    </xf>
    <xf numFmtId="0" fontId="27" fillId="4" borderId="66" xfId="4" applyFont="1" applyFill="1" applyBorder="1" applyAlignment="1">
      <alignment horizontal="center" vertical="center" shrinkToFit="1"/>
    </xf>
    <xf numFmtId="38" fontId="29" fillId="4" borderId="58" xfId="5" applyFont="1" applyFill="1" applyBorder="1" applyAlignment="1">
      <alignment horizontal="right" vertical="center" shrinkToFit="1"/>
    </xf>
    <xf numFmtId="38" fontId="29" fillId="4" borderId="53" xfId="5" applyFont="1" applyFill="1" applyBorder="1" applyAlignment="1">
      <alignment horizontal="right" vertical="center" shrinkToFit="1"/>
    </xf>
    <xf numFmtId="38" fontId="28" fillId="9" borderId="149" xfId="5" applyFont="1" applyFill="1" applyBorder="1" applyAlignment="1">
      <alignment vertical="center" shrinkToFit="1"/>
    </xf>
    <xf numFmtId="38" fontId="28" fillId="9" borderId="41" xfId="5" applyFont="1" applyFill="1" applyBorder="1" applyAlignment="1">
      <alignment vertical="center" shrinkToFit="1"/>
    </xf>
    <xf numFmtId="38" fontId="28" fillId="4" borderId="146" xfId="5" applyFont="1" applyFill="1" applyBorder="1" applyAlignment="1">
      <alignment vertical="center" shrinkToFit="1"/>
    </xf>
    <xf numFmtId="38" fontId="28" fillId="9" borderId="146" xfId="5" applyFont="1" applyFill="1" applyBorder="1" applyAlignment="1">
      <alignment vertical="center" shrinkToFit="1"/>
    </xf>
    <xf numFmtId="38" fontId="28" fillId="9" borderId="0" xfId="5" applyFont="1" applyFill="1" applyBorder="1" applyAlignment="1">
      <alignment vertical="center" shrinkToFit="1"/>
    </xf>
    <xf numFmtId="178" fontId="24" fillId="4" borderId="16" xfId="4" applyNumberFormat="1" applyFont="1" applyFill="1" applyBorder="1" applyAlignment="1">
      <alignment horizontal="right" vertical="center" shrinkToFit="1"/>
    </xf>
    <xf numFmtId="178" fontId="24" fillId="4" borderId="42" xfId="4" applyNumberFormat="1" applyFont="1" applyFill="1" applyBorder="1" applyAlignment="1">
      <alignment horizontal="right" vertical="center" shrinkToFit="1"/>
    </xf>
    <xf numFmtId="178" fontId="24" fillId="4" borderId="35" xfId="4" applyNumberFormat="1" applyFont="1" applyFill="1" applyBorder="1" applyAlignment="1">
      <alignment horizontal="right" vertical="center" shrinkToFit="1"/>
    </xf>
    <xf numFmtId="0" fontId="27" fillId="0" borderId="0" xfId="4" applyFont="1" applyAlignment="1">
      <alignment vertical="center" shrinkToFit="1"/>
    </xf>
    <xf numFmtId="0" fontId="27" fillId="23" borderId="28" xfId="4" applyFont="1" applyFill="1" applyBorder="1" applyAlignment="1">
      <alignment horizontal="center" vertical="center" shrinkToFit="1"/>
    </xf>
    <xf numFmtId="38" fontId="29" fillId="23" borderId="19" xfId="5" applyFont="1" applyFill="1" applyBorder="1" applyAlignment="1">
      <alignment vertical="center" shrinkToFit="1"/>
    </xf>
    <xf numFmtId="38" fontId="29" fillId="23" borderId="52" xfId="5" applyFont="1" applyFill="1" applyBorder="1" applyAlignment="1">
      <alignment vertical="center" shrinkToFit="1"/>
    </xf>
    <xf numFmtId="178" fontId="29" fillId="23" borderId="28" xfId="4" applyNumberFormat="1" applyFont="1" applyFill="1" applyBorder="1" applyAlignment="1">
      <alignment horizontal="right" vertical="center" shrinkToFit="1"/>
    </xf>
    <xf numFmtId="178" fontId="29" fillId="23" borderId="19" xfId="4" applyNumberFormat="1" applyFont="1" applyFill="1" applyBorder="1" applyAlignment="1">
      <alignment horizontal="right" vertical="center" shrinkToFit="1"/>
    </xf>
    <xf numFmtId="178" fontId="29" fillId="23" borderId="14" xfId="4" applyNumberFormat="1" applyFont="1" applyFill="1" applyBorder="1" applyAlignment="1">
      <alignment horizontal="right" vertical="center" shrinkToFit="1"/>
    </xf>
    <xf numFmtId="178" fontId="29" fillId="23" borderId="31" xfId="4" applyNumberFormat="1" applyFont="1" applyFill="1" applyBorder="1" applyAlignment="1">
      <alignment horizontal="right" vertical="center" shrinkToFit="1"/>
    </xf>
    <xf numFmtId="178" fontId="29" fillId="23" borderId="62" xfId="4" applyNumberFormat="1" applyFont="1" applyFill="1" applyBorder="1" applyAlignment="1">
      <alignment horizontal="right" vertical="center" shrinkToFit="1"/>
    </xf>
    <xf numFmtId="189" fontId="29" fillId="0" borderId="0" xfId="4" applyNumberFormat="1" applyFont="1" applyBorder="1" applyAlignment="1">
      <alignment vertical="center" shrinkToFit="1"/>
    </xf>
    <xf numFmtId="0" fontId="23" fillId="0" borderId="0" xfId="4" applyFont="1" applyAlignment="1">
      <alignment horizontal="right" vertical="center" shrinkToFit="1"/>
    </xf>
    <xf numFmtId="38" fontId="56" fillId="0" borderId="0" xfId="5" applyFont="1" applyBorder="1" applyAlignment="1">
      <alignment horizontal="right" vertical="center" shrinkToFit="1"/>
    </xf>
    <xf numFmtId="38" fontId="56" fillId="0" borderId="0" xfId="5" applyFont="1" applyAlignment="1">
      <alignment vertical="center" shrinkToFit="1"/>
    </xf>
    <xf numFmtId="0" fontId="23" fillId="0" borderId="0" xfId="4" applyFont="1" applyAlignment="1">
      <alignment shrinkToFit="1"/>
    </xf>
    <xf numFmtId="0" fontId="23" fillId="0" borderId="0" xfId="4" applyFont="1" applyBorder="1" applyAlignment="1">
      <alignment horizontal="center" shrinkToFit="1"/>
    </xf>
    <xf numFmtId="0" fontId="23" fillId="0" borderId="69" xfId="4" applyFont="1" applyBorder="1" applyAlignment="1">
      <alignment horizontal="left" vertical="center" shrinkToFit="1"/>
    </xf>
    <xf numFmtId="38" fontId="56" fillId="0" borderId="0" xfId="5" applyFont="1" applyAlignment="1">
      <alignment vertical="top" shrinkToFit="1"/>
    </xf>
    <xf numFmtId="38" fontId="23" fillId="0" borderId="0" xfId="5" applyFont="1" applyAlignment="1">
      <alignment horizontal="right" vertical="center" shrinkToFit="1"/>
    </xf>
    <xf numFmtId="38" fontId="98" fillId="0" borderId="0" xfId="5" applyFont="1" applyAlignment="1">
      <alignment vertical="top" shrinkToFit="1"/>
    </xf>
    <xf numFmtId="0" fontId="23" fillId="0" borderId="5" xfId="4" applyFont="1" applyBorder="1" applyAlignment="1">
      <alignment horizontal="left" vertical="center" shrinkToFit="1"/>
    </xf>
    <xf numFmtId="0" fontId="4" fillId="0" borderId="0" xfId="4" applyFont="1" applyAlignment="1">
      <alignment wrapText="1"/>
    </xf>
    <xf numFmtId="38" fontId="23" fillId="0" borderId="0" xfId="5" applyFont="1" applyBorder="1" applyAlignment="1">
      <alignment vertical="center" shrinkToFit="1"/>
    </xf>
    <xf numFmtId="0" fontId="23" fillId="0" borderId="0" xfId="4" applyFont="1" applyFill="1" applyBorder="1" applyAlignment="1">
      <alignment horizontal="left" vertical="center" indent="2"/>
    </xf>
    <xf numFmtId="0" fontId="23" fillId="0" borderId="0" xfId="4" applyFont="1" applyFill="1" applyAlignment="1">
      <alignment horizontal="left" vertical="center"/>
    </xf>
    <xf numFmtId="38" fontId="56" fillId="0" borderId="0" xfId="5" applyFont="1" applyAlignment="1">
      <alignment shrinkToFit="1"/>
    </xf>
    <xf numFmtId="38" fontId="23" fillId="0" borderId="0" xfId="5" applyFont="1" applyAlignment="1">
      <alignment shrinkToFit="1"/>
    </xf>
    <xf numFmtId="0" fontId="23" fillId="0" borderId="0" xfId="4" applyFont="1" applyAlignment="1">
      <alignment vertical="center"/>
    </xf>
    <xf numFmtId="38" fontId="56" fillId="0" borderId="0" xfId="5" applyFont="1" applyAlignment="1">
      <alignment vertical="center"/>
    </xf>
    <xf numFmtId="0" fontId="23" fillId="0" borderId="0" xfId="4" applyFont="1" applyFill="1" applyAlignment="1">
      <alignment horizontal="right" shrinkToFit="1"/>
    </xf>
    <xf numFmtId="38" fontId="56" fillId="0" borderId="0" xfId="5" applyFont="1" applyAlignment="1"/>
    <xf numFmtId="38" fontId="23" fillId="0" borderId="0" xfId="5" applyFont="1" applyAlignment="1"/>
    <xf numFmtId="0" fontId="23" fillId="0" borderId="0" xfId="4" applyFont="1" applyFill="1" applyAlignment="1">
      <alignment horizontal="right"/>
    </xf>
    <xf numFmtId="211" fontId="23" fillId="0" borderId="0" xfId="4" applyNumberFormat="1" applyFont="1" applyAlignment="1">
      <alignment vertical="center"/>
    </xf>
    <xf numFmtId="0" fontId="23" fillId="0" borderId="0" xfId="4" applyFont="1" applyFill="1" applyAlignment="1">
      <alignment vertical="top"/>
    </xf>
    <xf numFmtId="178" fontId="23" fillId="0" borderId="0" xfId="4" applyNumberFormat="1" applyFont="1" applyAlignment="1">
      <alignment vertical="center"/>
    </xf>
    <xf numFmtId="0" fontId="23" fillId="0" borderId="0" xfId="4" applyFont="1" applyFill="1" applyBorder="1" applyAlignment="1">
      <alignment vertical="center"/>
    </xf>
    <xf numFmtId="0" fontId="4" fillId="0" borderId="0" xfId="4" applyFont="1" applyAlignment="1">
      <alignment horizontal="left" vertical="top"/>
    </xf>
    <xf numFmtId="0" fontId="4" fillId="0" borderId="0" xfId="4" applyFont="1" applyAlignment="1">
      <alignment horizontal="left" vertical="top" wrapText="1"/>
    </xf>
    <xf numFmtId="0" fontId="71" fillId="0" borderId="0" xfId="4" applyFont="1" applyAlignment="1"/>
    <xf numFmtId="0" fontId="97" fillId="0" borderId="0" xfId="4" applyFont="1" applyAlignment="1">
      <alignment horizontal="right" shrinkToFit="1"/>
    </xf>
    <xf numFmtId="0" fontId="22" fillId="0" borderId="0" xfId="4" applyFont="1" applyAlignment="1">
      <alignment horizontal="right" shrinkToFit="1"/>
    </xf>
    <xf numFmtId="178" fontId="23" fillId="0" borderId="0" xfId="4" applyNumberFormat="1" applyFont="1" applyFill="1" applyBorder="1" applyAlignment="1">
      <alignment vertical="center"/>
    </xf>
    <xf numFmtId="0" fontId="99" fillId="0" borderId="0" xfId="4" applyFont="1" applyAlignment="1">
      <alignment vertical="center"/>
    </xf>
    <xf numFmtId="0" fontId="100" fillId="0" borderId="0" xfId="4" applyFont="1" applyBorder="1" applyAlignment="1">
      <alignment vertical="center"/>
    </xf>
    <xf numFmtId="212" fontId="56" fillId="0" borderId="0" xfId="4" applyNumberFormat="1" applyFont="1" applyAlignment="1">
      <alignment vertical="center"/>
    </xf>
    <xf numFmtId="0" fontId="31" fillId="4" borderId="0" xfId="4" applyFont="1" applyFill="1" applyAlignment="1">
      <alignment vertical="center"/>
    </xf>
    <xf numFmtId="178" fontId="23" fillId="4" borderId="0" xfId="4" applyNumberFormat="1" applyFont="1" applyFill="1" applyBorder="1" applyAlignment="1">
      <alignment vertical="center"/>
    </xf>
    <xf numFmtId="0" fontId="4" fillId="4" borderId="0" xfId="4" applyFill="1" applyAlignment="1">
      <alignment horizontal="center" vertical="center"/>
    </xf>
    <xf numFmtId="178" fontId="57" fillId="4" borderId="0" xfId="4" applyNumberFormat="1" applyFont="1" applyFill="1" applyBorder="1" applyAlignment="1">
      <alignment vertical="center"/>
    </xf>
    <xf numFmtId="38" fontId="4" fillId="4" borderId="0" xfId="5" applyNumberFormat="1" applyFont="1" applyFill="1" applyAlignment="1">
      <alignment vertical="center" shrinkToFit="1"/>
    </xf>
    <xf numFmtId="178" fontId="101" fillId="4" borderId="0" xfId="4" applyNumberFormat="1" applyFont="1" applyFill="1" applyBorder="1" applyAlignment="1">
      <alignment vertical="center"/>
    </xf>
    <xf numFmtId="0" fontId="31" fillId="4" borderId="0" xfId="4" applyFont="1" applyFill="1" applyBorder="1" applyAlignment="1">
      <alignment vertical="center"/>
    </xf>
    <xf numFmtId="178" fontId="101" fillId="4" borderId="0" xfId="4" applyNumberFormat="1" applyFont="1" applyFill="1" applyBorder="1" applyAlignment="1">
      <alignment horizontal="right" vertical="center"/>
    </xf>
    <xf numFmtId="0" fontId="27" fillId="4" borderId="0" xfId="4" applyFont="1" applyFill="1" applyAlignment="1">
      <alignment vertical="center" shrinkToFit="1"/>
    </xf>
    <xf numFmtId="0" fontId="67" fillId="0" borderId="0" xfId="4" applyFont="1" applyBorder="1" applyAlignment="1">
      <alignment horizontal="center" vertical="center"/>
    </xf>
    <xf numFmtId="0" fontId="67" fillId="0" borderId="69" xfId="4" applyFont="1" applyBorder="1" applyAlignment="1">
      <alignment horizontal="right" vertical="center"/>
    </xf>
    <xf numFmtId="180" fontId="66" fillId="0" borderId="0" xfId="4" applyNumberFormat="1" applyFont="1" applyBorder="1" applyAlignment="1">
      <alignment horizontal="right" vertical="center"/>
    </xf>
    <xf numFmtId="38" fontId="56" fillId="0" borderId="0" xfId="4" applyNumberFormat="1" applyFont="1" applyBorder="1" applyAlignment="1">
      <alignment horizontal="right" vertical="center"/>
    </xf>
    <xf numFmtId="38" fontId="56" fillId="0" borderId="0" xfId="4" applyNumberFormat="1" applyFont="1" applyAlignment="1">
      <alignment horizontal="right" vertical="center"/>
    </xf>
    <xf numFmtId="0" fontId="4" fillId="4" borderId="0" xfId="4" applyFill="1" applyBorder="1" applyAlignment="1">
      <alignment horizontal="right" vertical="center"/>
    </xf>
    <xf numFmtId="38" fontId="4" fillId="4" borderId="0" xfId="5" applyFont="1" applyFill="1" applyAlignment="1">
      <alignment vertical="center"/>
    </xf>
    <xf numFmtId="0" fontId="22" fillId="0" borderId="0" xfId="4" applyFont="1" applyBorder="1" applyAlignment="1">
      <alignment vertical="top" wrapText="1"/>
    </xf>
    <xf numFmtId="0" fontId="22" fillId="4" borderId="0" xfId="4" applyFont="1" applyFill="1" applyAlignment="1">
      <alignment vertical="center"/>
    </xf>
    <xf numFmtId="38" fontId="4" fillId="4" borderId="0" xfId="5" applyFont="1" applyFill="1" applyAlignment="1">
      <alignment horizontal="right" vertical="center"/>
    </xf>
    <xf numFmtId="38" fontId="4" fillId="4" borderId="0" xfId="5" applyFont="1" applyFill="1" applyAlignment="1">
      <alignment horizontal="left" vertical="center" indent="1"/>
    </xf>
    <xf numFmtId="38" fontId="0" fillId="0" borderId="0" xfId="5" applyFont="1" applyAlignment="1">
      <alignment horizontal="left" vertical="center" indent="1"/>
    </xf>
    <xf numFmtId="0" fontId="22" fillId="0" borderId="0" xfId="4" applyFont="1" applyAlignment="1">
      <alignment vertical="top" wrapText="1"/>
    </xf>
    <xf numFmtId="178" fontId="25" fillId="0" borderId="56" xfId="4" applyNumberFormat="1" applyFont="1" applyFill="1" applyBorder="1" applyAlignment="1">
      <alignment horizontal="right" vertical="center" shrinkToFit="1"/>
    </xf>
    <xf numFmtId="178" fontId="103" fillId="0" borderId="12" xfId="4" applyNumberFormat="1" applyFont="1" applyFill="1" applyBorder="1" applyAlignment="1">
      <alignment vertical="center" shrinkToFit="1"/>
    </xf>
    <xf numFmtId="178" fontId="103" fillId="0" borderId="24" xfId="4" applyNumberFormat="1" applyFont="1" applyFill="1" applyBorder="1" applyAlignment="1">
      <alignment vertical="center" shrinkToFit="1"/>
    </xf>
    <xf numFmtId="0" fontId="22" fillId="0" borderId="0" xfId="4" applyFont="1" applyAlignment="1">
      <alignment vertical="center" shrinkToFit="1"/>
    </xf>
    <xf numFmtId="178" fontId="24" fillId="0" borderId="57" xfId="4" applyNumberFormat="1" applyFont="1" applyFill="1" applyBorder="1" applyAlignment="1">
      <alignment vertical="center" shrinkToFit="1"/>
    </xf>
    <xf numFmtId="178" fontId="103" fillId="0" borderId="41" xfId="4" applyNumberFormat="1" applyFont="1" applyFill="1" applyBorder="1" applyAlignment="1">
      <alignment horizontal="right" vertical="center" shrinkToFit="1"/>
    </xf>
    <xf numFmtId="178" fontId="103" fillId="0" borderId="35" xfId="4" applyNumberFormat="1" applyFont="1" applyFill="1" applyBorder="1" applyAlignment="1">
      <alignment vertical="center" shrinkToFit="1"/>
    </xf>
    <xf numFmtId="178" fontId="103" fillId="0" borderId="41" xfId="4" applyNumberFormat="1" applyFont="1" applyFill="1" applyBorder="1" applyAlignment="1">
      <alignment vertical="center" shrinkToFit="1"/>
    </xf>
    <xf numFmtId="38" fontId="103" fillId="0" borderId="41" xfId="2" applyFont="1" applyFill="1" applyBorder="1" applyAlignment="1">
      <alignment horizontal="right" vertical="center" shrinkToFit="1"/>
    </xf>
    <xf numFmtId="0" fontId="26" fillId="0" borderId="57" xfId="4" applyFont="1" applyFill="1" applyBorder="1" applyAlignment="1">
      <alignment horizontal="right" vertical="top" shrinkToFit="1"/>
    </xf>
    <xf numFmtId="178" fontId="103" fillId="0" borderId="58" xfId="4" applyNumberFormat="1" applyFont="1" applyFill="1" applyBorder="1" applyAlignment="1">
      <alignment vertical="center" shrinkToFit="1"/>
    </xf>
    <xf numFmtId="178" fontId="103" fillId="0" borderId="32" xfId="4" applyNumberFormat="1" applyFont="1" applyFill="1" applyBorder="1" applyAlignment="1">
      <alignment vertical="center" shrinkToFit="1"/>
    </xf>
    <xf numFmtId="194" fontId="104" fillId="0" borderId="32" xfId="4" applyNumberFormat="1" applyFont="1" applyFill="1" applyBorder="1" applyAlignment="1">
      <alignment horizontal="right" vertical="top" shrinkToFit="1"/>
    </xf>
    <xf numFmtId="194" fontId="104" fillId="0" borderId="41" xfId="4" applyNumberFormat="1" applyFont="1" applyFill="1" applyBorder="1" applyAlignment="1">
      <alignment horizontal="right" vertical="top" shrinkToFit="1"/>
    </xf>
    <xf numFmtId="178" fontId="4" fillId="0" borderId="57" xfId="4" applyNumberFormat="1" applyFill="1" applyBorder="1" applyAlignment="1">
      <alignment vertical="center" shrinkToFit="1"/>
    </xf>
    <xf numFmtId="0" fontId="104" fillId="0" borderId="0" xfId="4" applyFont="1" applyFill="1" applyBorder="1" applyAlignment="1">
      <alignment horizontal="center" vertical="center" shrinkToFit="1"/>
    </xf>
    <xf numFmtId="194" fontId="103" fillId="0" borderId="32" xfId="4" applyNumberFormat="1" applyFont="1" applyFill="1" applyBorder="1" applyAlignment="1">
      <alignment vertical="center" shrinkToFit="1"/>
    </xf>
    <xf numFmtId="38" fontId="0" fillId="0" borderId="0" xfId="5" applyFont="1" applyFill="1" applyBorder="1" applyAlignment="1">
      <alignment horizontal="left" vertical="center" indent="1"/>
    </xf>
    <xf numFmtId="178" fontId="58" fillId="0" borderId="57" xfId="4" applyNumberFormat="1" applyFont="1" applyFill="1" applyBorder="1" applyAlignment="1">
      <alignment horizontal="center" shrinkToFit="1"/>
    </xf>
    <xf numFmtId="194" fontId="104" fillId="0" borderId="58" xfId="4" applyNumberFormat="1" applyFont="1" applyFill="1" applyBorder="1" applyAlignment="1">
      <alignment horizontal="center" shrinkToFit="1"/>
    </xf>
    <xf numFmtId="178" fontId="25" fillId="0" borderId="56" xfId="4" applyNumberFormat="1" applyFont="1" applyFill="1" applyBorder="1" applyAlignment="1">
      <alignment vertical="center" shrinkToFit="1"/>
    </xf>
    <xf numFmtId="178" fontId="103" fillId="0" borderId="26" xfId="4" applyNumberFormat="1" applyFont="1" applyFill="1" applyBorder="1" applyAlignment="1">
      <alignment vertical="center" shrinkToFit="1"/>
    </xf>
    <xf numFmtId="38" fontId="103" fillId="0" borderId="32" xfId="2" applyFont="1" applyFill="1" applyBorder="1" applyAlignment="1">
      <alignment horizontal="right" vertical="center" shrinkToFit="1"/>
    </xf>
    <xf numFmtId="38" fontId="24" fillId="0" borderId="24" xfId="5" applyFont="1" applyBorder="1" applyAlignment="1">
      <alignment vertical="center" shrinkToFit="1"/>
    </xf>
    <xf numFmtId="178" fontId="103" fillId="0" borderId="33" xfId="4" applyNumberFormat="1" applyFont="1" applyFill="1" applyBorder="1" applyAlignment="1">
      <alignment vertical="center" shrinkToFit="1"/>
    </xf>
    <xf numFmtId="178" fontId="24" fillId="0" borderId="56" xfId="4" applyNumberFormat="1" applyFont="1" applyFill="1" applyBorder="1" applyAlignment="1">
      <alignment vertical="center" shrinkToFit="1"/>
    </xf>
    <xf numFmtId="178" fontId="29" fillId="0" borderId="28" xfId="4" applyNumberFormat="1" applyFont="1" applyFill="1" applyBorder="1" applyAlignment="1">
      <alignment horizontal="right" vertical="center" shrinkToFit="1"/>
    </xf>
    <xf numFmtId="178" fontId="25" fillId="0" borderId="19" xfId="4" applyNumberFormat="1" applyFont="1" applyFill="1" applyBorder="1" applyAlignment="1">
      <alignment horizontal="right" vertical="center" shrinkToFit="1"/>
    </xf>
    <xf numFmtId="178" fontId="25" fillId="0" borderId="31" xfId="4" applyNumberFormat="1" applyFont="1" applyFill="1" applyBorder="1" applyAlignment="1">
      <alignment horizontal="right" vertical="center" shrinkToFit="1"/>
    </xf>
    <xf numFmtId="0" fontId="24" fillId="4" borderId="0" xfId="4" applyFont="1" applyFill="1" applyAlignment="1">
      <alignment vertical="center"/>
    </xf>
    <xf numFmtId="0" fontId="4" fillId="15" borderId="0" xfId="4" applyFill="1" applyAlignment="1"/>
    <xf numFmtId="0" fontId="22" fillId="0" borderId="188" xfId="4" applyFont="1" applyBorder="1" applyAlignment="1">
      <alignment horizontal="center" vertical="center" shrinkToFit="1"/>
    </xf>
    <xf numFmtId="0" fontId="4" fillId="15" borderId="67" xfId="4" applyFill="1" applyBorder="1" applyAlignment="1">
      <alignment horizontal="center" vertical="center" shrinkToFit="1"/>
    </xf>
    <xf numFmtId="176" fontId="24" fillId="15" borderId="154" xfId="2" applyNumberFormat="1" applyFont="1" applyFill="1" applyBorder="1" applyAlignment="1">
      <alignment horizontal="right" vertical="center" shrinkToFit="1"/>
    </xf>
    <xf numFmtId="176" fontId="32" fillId="15" borderId="55" xfId="2" applyNumberFormat="1" applyFont="1" applyFill="1" applyBorder="1" applyAlignment="1">
      <alignment horizontal="right" vertical="center" shrinkToFit="1"/>
    </xf>
    <xf numFmtId="176" fontId="32" fillId="15" borderId="69" xfId="2" applyNumberFormat="1" applyFont="1" applyFill="1" applyBorder="1" applyAlignment="1">
      <alignment horizontal="right" vertical="center" shrinkToFit="1"/>
    </xf>
    <xf numFmtId="176" fontId="32" fillId="15" borderId="41" xfId="2" applyNumberFormat="1" applyFont="1" applyFill="1" applyBorder="1" applyAlignment="1">
      <alignment horizontal="right" vertical="center" shrinkToFit="1"/>
    </xf>
    <xf numFmtId="176" fontId="32" fillId="15" borderId="139" xfId="2" applyNumberFormat="1" applyFont="1" applyFill="1" applyBorder="1" applyAlignment="1">
      <alignment horizontal="right" vertical="center" shrinkToFit="1"/>
    </xf>
    <xf numFmtId="176" fontId="32" fillId="15" borderId="142" xfId="2" applyNumberFormat="1" applyFont="1" applyFill="1" applyBorder="1" applyAlignment="1">
      <alignment horizontal="right" vertical="center" shrinkToFit="1"/>
    </xf>
    <xf numFmtId="176" fontId="32" fillId="15" borderId="140" xfId="2" applyNumberFormat="1" applyFont="1" applyFill="1" applyBorder="1" applyAlignment="1">
      <alignment horizontal="right" vertical="center" shrinkToFit="1"/>
    </xf>
    <xf numFmtId="176" fontId="32" fillId="15" borderId="42" xfId="2" applyNumberFormat="1" applyFont="1" applyFill="1" applyBorder="1" applyAlignment="1">
      <alignment horizontal="right" vertical="center" shrinkToFit="1"/>
    </xf>
    <xf numFmtId="176" fontId="32" fillId="15" borderId="46" xfId="2" applyNumberFormat="1" applyFont="1" applyFill="1" applyBorder="1" applyAlignment="1">
      <alignment horizontal="right" vertical="center" shrinkToFit="1"/>
    </xf>
    <xf numFmtId="176" fontId="32" fillId="24" borderId="140" xfId="2" applyNumberFormat="1" applyFont="1" applyFill="1" applyBorder="1" applyAlignment="1">
      <alignment horizontal="right" vertical="center" shrinkToFit="1"/>
    </xf>
    <xf numFmtId="176" fontId="32" fillId="24" borderId="42" xfId="2" applyNumberFormat="1" applyFont="1" applyFill="1" applyBorder="1" applyAlignment="1">
      <alignment horizontal="right" vertical="center" shrinkToFit="1"/>
    </xf>
    <xf numFmtId="176" fontId="78" fillId="24" borderId="140" xfId="2" applyNumberFormat="1" applyFont="1" applyFill="1" applyBorder="1" applyAlignment="1">
      <alignment horizontal="right" vertical="center" shrinkToFit="1"/>
    </xf>
    <xf numFmtId="176" fontId="32" fillId="24" borderId="142" xfId="2" applyNumberFormat="1" applyFont="1" applyFill="1" applyBorder="1" applyAlignment="1">
      <alignment horizontal="right" vertical="center" shrinkToFit="1"/>
    </xf>
    <xf numFmtId="176" fontId="78" fillId="9" borderId="0" xfId="2" applyNumberFormat="1" applyFont="1" applyFill="1" applyBorder="1" applyAlignment="1">
      <alignment horizontal="right" vertical="center" shrinkToFit="1"/>
    </xf>
    <xf numFmtId="176" fontId="78" fillId="0" borderId="27" xfId="2" applyNumberFormat="1" applyFont="1" applyFill="1" applyBorder="1" applyAlignment="1">
      <alignment horizontal="right" vertical="center" shrinkToFit="1"/>
    </xf>
    <xf numFmtId="176" fontId="32" fillId="0" borderId="145" xfId="2" applyNumberFormat="1" applyFont="1" applyFill="1" applyBorder="1" applyAlignment="1">
      <alignment horizontal="right" vertical="center" shrinkToFit="1"/>
    </xf>
    <xf numFmtId="0" fontId="4" fillId="0" borderId="0" xfId="4" applyBorder="1" applyAlignment="1"/>
    <xf numFmtId="0" fontId="4" fillId="15" borderId="66" xfId="4" applyFill="1" applyBorder="1" applyAlignment="1">
      <alignment horizontal="center" vertical="center" shrinkToFit="1"/>
    </xf>
    <xf numFmtId="176" fontId="32" fillId="15" borderId="149" xfId="2" applyNumberFormat="1" applyFont="1" applyFill="1" applyBorder="1" applyAlignment="1">
      <alignment horizontal="right" vertical="center" shrinkToFit="1"/>
    </xf>
    <xf numFmtId="176" fontId="32" fillId="15" borderId="53" xfId="2" applyNumberFormat="1" applyFont="1" applyFill="1" applyBorder="1" applyAlignment="1">
      <alignment horizontal="right" vertical="center" shrinkToFit="1"/>
    </xf>
    <xf numFmtId="176" fontId="32" fillId="15" borderId="0" xfId="2" applyNumberFormat="1" applyFont="1" applyFill="1" applyBorder="1" applyAlignment="1">
      <alignment horizontal="right" vertical="center" shrinkToFit="1"/>
    </xf>
    <xf numFmtId="176" fontId="32" fillId="15" borderId="144" xfId="2" applyNumberFormat="1" applyFont="1" applyFill="1" applyBorder="1" applyAlignment="1">
      <alignment horizontal="right" vertical="center" shrinkToFit="1"/>
    </xf>
    <xf numFmtId="176" fontId="32" fillId="15" borderId="145" xfId="2" applyNumberFormat="1" applyFont="1" applyFill="1" applyBorder="1" applyAlignment="1">
      <alignment horizontal="right" vertical="center" shrinkToFit="1"/>
    </xf>
    <xf numFmtId="176" fontId="32" fillId="15" borderId="146" xfId="2" applyNumberFormat="1" applyFont="1" applyFill="1" applyBorder="1" applyAlignment="1">
      <alignment horizontal="right" vertical="center" shrinkToFit="1"/>
    </xf>
    <xf numFmtId="176" fontId="32" fillId="15" borderId="27" xfId="2" applyNumberFormat="1" applyFont="1" applyFill="1" applyBorder="1" applyAlignment="1">
      <alignment horizontal="right" vertical="center" shrinkToFit="1"/>
    </xf>
    <xf numFmtId="176" fontId="32" fillId="24" borderId="146" xfId="2" applyNumberFormat="1" applyFont="1" applyFill="1" applyBorder="1" applyAlignment="1">
      <alignment horizontal="right" vertical="center" shrinkToFit="1"/>
    </xf>
    <xf numFmtId="176" fontId="32" fillId="24" borderId="41" xfId="2" applyNumberFormat="1" applyFont="1" applyFill="1" applyBorder="1" applyAlignment="1">
      <alignment horizontal="right" vertical="center" shrinkToFit="1"/>
    </xf>
    <xf numFmtId="176" fontId="78" fillId="24" borderId="146" xfId="2" applyNumberFormat="1" applyFont="1" applyFill="1" applyBorder="1" applyAlignment="1">
      <alignment horizontal="right" vertical="center" shrinkToFit="1"/>
    </xf>
    <xf numFmtId="176" fontId="32" fillId="24" borderId="145" xfId="2" applyNumberFormat="1" applyFont="1" applyFill="1" applyBorder="1" applyAlignment="1">
      <alignment horizontal="right" vertical="center" shrinkToFit="1"/>
    </xf>
    <xf numFmtId="176" fontId="32" fillId="0" borderId="41" xfId="2" applyNumberFormat="1" applyFont="1" applyFill="1" applyBorder="1" applyAlignment="1">
      <alignment horizontal="right" vertical="center" shrinkToFit="1"/>
    </xf>
    <xf numFmtId="176" fontId="32" fillId="0" borderId="144" xfId="2" applyNumberFormat="1" applyFont="1" applyFill="1" applyBorder="1" applyAlignment="1">
      <alignment horizontal="right" vertical="center" shrinkToFit="1"/>
    </xf>
    <xf numFmtId="176" fontId="32" fillId="0" borderId="146" xfId="2" applyNumberFormat="1" applyFont="1" applyFill="1" applyBorder="1" applyAlignment="1">
      <alignment horizontal="right" vertical="center" shrinkToFit="1"/>
    </xf>
    <xf numFmtId="176" fontId="32" fillId="0" borderId="0" xfId="2" applyNumberFormat="1" applyFont="1" applyFill="1" applyBorder="1" applyAlignment="1">
      <alignment horizontal="right" vertical="center" shrinkToFit="1"/>
    </xf>
    <xf numFmtId="176" fontId="32" fillId="0" borderId="27" xfId="2" applyNumberFormat="1" applyFont="1" applyFill="1" applyBorder="1" applyAlignment="1">
      <alignment horizontal="right" vertical="center" shrinkToFit="1"/>
    </xf>
    <xf numFmtId="176" fontId="32" fillId="9" borderId="41" xfId="2" applyNumberFormat="1" applyFont="1" applyFill="1" applyBorder="1" applyAlignment="1">
      <alignment horizontal="right" vertical="center" shrinkToFit="1"/>
    </xf>
    <xf numFmtId="176" fontId="78" fillId="4" borderId="0" xfId="2" applyNumberFormat="1" applyFont="1" applyFill="1" applyBorder="1" applyAlignment="1">
      <alignment horizontal="right" vertical="center" shrinkToFit="1"/>
    </xf>
    <xf numFmtId="176" fontId="78" fillId="4" borderId="41" xfId="2" applyNumberFormat="1" applyFont="1" applyFill="1" applyBorder="1" applyAlignment="1">
      <alignment horizontal="right" vertical="center" shrinkToFit="1"/>
    </xf>
    <xf numFmtId="176" fontId="78" fillId="4" borderId="144" xfId="2" applyNumberFormat="1" applyFont="1" applyFill="1" applyBorder="1" applyAlignment="1">
      <alignment horizontal="right" vertical="center" shrinkToFit="1"/>
    </xf>
    <xf numFmtId="176" fontId="78" fillId="4" borderId="146" xfId="2" applyNumberFormat="1" applyFont="1" applyFill="1" applyBorder="1" applyAlignment="1">
      <alignment horizontal="right" vertical="center" shrinkToFit="1"/>
    </xf>
    <xf numFmtId="176" fontId="78" fillId="4" borderId="27" xfId="2" applyNumberFormat="1" applyFont="1" applyFill="1" applyBorder="1" applyAlignment="1">
      <alignment horizontal="right" vertical="center" shrinkToFit="1"/>
    </xf>
    <xf numFmtId="176" fontId="78" fillId="4" borderId="145" xfId="2" applyNumberFormat="1" applyFont="1" applyFill="1" applyBorder="1" applyAlignment="1">
      <alignment horizontal="right" vertical="center" shrinkToFit="1"/>
    </xf>
    <xf numFmtId="176" fontId="32" fillId="4" borderId="41" xfId="2" applyNumberFormat="1" applyFont="1" applyFill="1" applyBorder="1" applyAlignment="1">
      <alignment horizontal="right" vertical="center" shrinkToFit="1"/>
    </xf>
    <xf numFmtId="0" fontId="4" fillId="0" borderId="0" xfId="4" applyFont="1" applyAlignment="1"/>
    <xf numFmtId="176" fontId="32" fillId="4" borderId="149" xfId="2" applyNumberFormat="1" applyFont="1" applyFill="1" applyBorder="1" applyAlignment="1">
      <alignment horizontal="right" vertical="center" shrinkToFit="1"/>
    </xf>
    <xf numFmtId="176" fontId="32" fillId="4" borderId="53" xfId="2" applyNumberFormat="1" applyFont="1" applyFill="1" applyBorder="1" applyAlignment="1">
      <alignment horizontal="right" vertical="center" shrinkToFit="1"/>
    </xf>
    <xf numFmtId="176" fontId="32" fillId="4" borderId="17" xfId="2" applyNumberFormat="1" applyFont="1" applyFill="1" applyBorder="1" applyAlignment="1">
      <alignment horizontal="right" vertical="center" shrinkToFit="1"/>
    </xf>
    <xf numFmtId="176" fontId="32" fillId="0" borderId="43" xfId="2" applyNumberFormat="1" applyFont="1" applyFill="1" applyBorder="1" applyAlignment="1">
      <alignment horizontal="right" vertical="center" shrinkToFit="1"/>
    </xf>
    <xf numFmtId="176" fontId="32" fillId="0" borderId="157" xfId="2" applyNumberFormat="1" applyFont="1" applyFill="1" applyBorder="1" applyAlignment="1">
      <alignment horizontal="right" vertical="center" shrinkToFit="1"/>
    </xf>
    <xf numFmtId="0" fontId="4" fillId="0" borderId="28" xfId="4" applyBorder="1" applyAlignment="1">
      <alignment horizontal="center" vertical="center" shrinkToFit="1"/>
    </xf>
    <xf numFmtId="176" fontId="24" fillId="0" borderId="158" xfId="2" applyNumberFormat="1" applyFont="1" applyBorder="1" applyAlignment="1">
      <alignment horizontal="right" vertical="center" shrinkToFit="1"/>
    </xf>
    <xf numFmtId="176" fontId="24" fillId="0" borderId="52" xfId="2" applyNumberFormat="1" applyFont="1" applyBorder="1" applyAlignment="1">
      <alignment horizontal="right" vertical="center" shrinkToFit="1"/>
    </xf>
    <xf numFmtId="176" fontId="24" fillId="0" borderId="159" xfId="2" applyNumberFormat="1" applyFont="1" applyBorder="1" applyAlignment="1">
      <alignment horizontal="right" vertical="center" shrinkToFit="1"/>
    </xf>
    <xf numFmtId="176" fontId="24" fillId="0" borderId="43" xfId="2" applyNumberFormat="1" applyFont="1" applyBorder="1" applyAlignment="1">
      <alignment horizontal="right" vertical="center" shrinkToFit="1"/>
    </xf>
    <xf numFmtId="176" fontId="24" fillId="0" borderId="160" xfId="2" applyNumberFormat="1" applyFont="1" applyBorder="1" applyAlignment="1">
      <alignment horizontal="right" vertical="center" shrinkToFit="1"/>
    </xf>
    <xf numFmtId="176" fontId="24" fillId="0" borderId="14" xfId="2" applyNumberFormat="1" applyFont="1" applyBorder="1" applyAlignment="1">
      <alignment horizontal="right" vertical="center" shrinkToFit="1"/>
    </xf>
    <xf numFmtId="176" fontId="24" fillId="0" borderId="161" xfId="2" applyNumberFormat="1" applyFont="1" applyBorder="1" applyAlignment="1">
      <alignment horizontal="right" vertical="center" shrinkToFit="1"/>
    </xf>
    <xf numFmtId="176" fontId="24" fillId="0" borderId="20" xfId="2" applyNumberFormat="1" applyFont="1" applyBorder="1" applyAlignment="1">
      <alignment horizontal="right" vertical="center" shrinkToFit="1"/>
    </xf>
    <xf numFmtId="176" fontId="24" fillId="0" borderId="34" xfId="2" applyNumberFormat="1" applyFont="1" applyBorder="1" applyAlignment="1">
      <alignment horizontal="right" vertical="center" shrinkToFit="1"/>
    </xf>
    <xf numFmtId="176" fontId="24" fillId="0" borderId="189" xfId="2" applyNumberFormat="1" applyFont="1" applyBorder="1" applyAlignment="1">
      <alignment horizontal="right" vertical="center" shrinkToFit="1"/>
    </xf>
    <xf numFmtId="176" fontId="78" fillId="0" borderId="59" xfId="2" applyNumberFormat="1" applyFont="1" applyBorder="1" applyAlignment="1">
      <alignment horizontal="right" vertical="center" shrinkToFit="1"/>
    </xf>
    <xf numFmtId="176" fontId="78" fillId="0" borderId="55" xfId="2" applyNumberFormat="1" applyFont="1" applyFill="1" applyBorder="1" applyAlignment="1">
      <alignment horizontal="right" vertical="center" shrinkToFit="1"/>
    </xf>
    <xf numFmtId="176" fontId="78" fillId="9" borderId="11" xfId="2" applyNumberFormat="1" applyFont="1" applyFill="1" applyBorder="1" applyAlignment="1">
      <alignment horizontal="right" vertical="center" shrinkToFit="1"/>
    </xf>
    <xf numFmtId="176" fontId="78" fillId="0" borderId="53" xfId="2" applyNumberFormat="1" applyFont="1" applyFill="1" applyBorder="1" applyAlignment="1">
      <alignment horizontal="right" vertical="center" shrinkToFit="1"/>
    </xf>
    <xf numFmtId="0" fontId="4" fillId="23" borderId="66" xfId="4" applyFill="1" applyBorder="1" applyAlignment="1">
      <alignment horizontal="center" vertical="center" shrinkToFit="1"/>
    </xf>
    <xf numFmtId="176" fontId="24" fillId="23" borderId="149" xfId="2" applyNumberFormat="1" applyFont="1" applyFill="1" applyBorder="1" applyAlignment="1">
      <alignment horizontal="right" vertical="center" shrinkToFit="1"/>
    </xf>
    <xf numFmtId="176" fontId="24" fillId="23" borderId="53" xfId="2" applyNumberFormat="1" applyFont="1" applyFill="1" applyBorder="1" applyAlignment="1">
      <alignment horizontal="right" vertical="center" shrinkToFit="1"/>
    </xf>
    <xf numFmtId="176" fontId="32" fillId="23" borderId="144" xfId="2" applyNumberFormat="1" applyFont="1" applyFill="1" applyBorder="1" applyAlignment="1">
      <alignment horizontal="right" vertical="center" shrinkToFit="1"/>
    </xf>
    <xf numFmtId="176" fontId="32" fillId="23" borderId="41" xfId="2" applyNumberFormat="1" applyFont="1" applyFill="1" applyBorder="1" applyAlignment="1">
      <alignment horizontal="right" vertical="center" shrinkToFit="1"/>
    </xf>
    <xf numFmtId="176" fontId="32" fillId="23" borderId="146" xfId="2" applyNumberFormat="1" applyFont="1" applyFill="1" applyBorder="1" applyAlignment="1">
      <alignment horizontal="right" vertical="center" shrinkToFit="1"/>
    </xf>
    <xf numFmtId="176" fontId="32" fillId="23" borderId="0" xfId="2" applyNumberFormat="1" applyFont="1" applyFill="1" applyBorder="1" applyAlignment="1">
      <alignment horizontal="right" vertical="center" shrinkToFit="1"/>
    </xf>
    <xf numFmtId="0" fontId="4" fillId="23" borderId="66" xfId="4" applyFont="1" applyFill="1" applyBorder="1" applyAlignment="1">
      <alignment horizontal="center" vertical="center" shrinkToFit="1"/>
    </xf>
    <xf numFmtId="176" fontId="24" fillId="0" borderId="165" xfId="2" applyNumberFormat="1" applyFont="1" applyBorder="1" applyAlignment="1">
      <alignment horizontal="right" vertical="center" shrinkToFit="1"/>
    </xf>
    <xf numFmtId="176" fontId="24" fillId="0" borderId="196" xfId="2" applyNumberFormat="1" applyFont="1" applyBorder="1" applyAlignment="1">
      <alignment horizontal="right" vertical="center" shrinkToFit="1"/>
    </xf>
    <xf numFmtId="176" fontId="24" fillId="0" borderId="197" xfId="2" applyNumberFormat="1" applyFont="1" applyBorder="1" applyAlignment="1">
      <alignment horizontal="right" vertical="center" shrinkToFit="1"/>
    </xf>
    <xf numFmtId="176" fontId="32" fillId="0" borderId="11" xfId="2" applyNumberFormat="1" applyFont="1" applyFill="1" applyBorder="1" applyAlignment="1">
      <alignment horizontal="right" vertical="center" shrinkToFit="1"/>
    </xf>
    <xf numFmtId="176" fontId="32" fillId="0" borderId="53" xfId="2" applyNumberFormat="1" applyFont="1" applyFill="1" applyBorder="1" applyAlignment="1">
      <alignment horizontal="right" vertical="center" shrinkToFit="1"/>
    </xf>
    <xf numFmtId="176" fontId="32" fillId="23" borderId="53" xfId="2" applyNumberFormat="1" applyFont="1" applyFill="1" applyBorder="1" applyAlignment="1">
      <alignment horizontal="right" vertical="center" shrinkToFit="1"/>
    </xf>
    <xf numFmtId="176" fontId="24" fillId="25" borderId="149" xfId="2" applyNumberFormat="1" applyFont="1" applyFill="1" applyBorder="1" applyAlignment="1">
      <alignment horizontal="right" vertical="center" shrinkToFit="1"/>
    </xf>
    <xf numFmtId="176" fontId="24" fillId="25" borderId="53" xfId="2" applyNumberFormat="1" applyFont="1" applyFill="1" applyBorder="1" applyAlignment="1">
      <alignment horizontal="right" vertical="center" shrinkToFit="1"/>
    </xf>
    <xf numFmtId="176" fontId="32" fillId="23" borderId="157" xfId="2" applyNumberFormat="1" applyFont="1" applyFill="1" applyBorder="1" applyAlignment="1">
      <alignment horizontal="right" vertical="center" shrinkToFit="1"/>
    </xf>
    <xf numFmtId="181" fontId="58" fillId="0" borderId="0" xfId="4" applyNumberFormat="1" applyFont="1" applyFill="1" applyBorder="1" applyAlignment="1">
      <alignment vertical="center" shrinkToFit="1"/>
    </xf>
    <xf numFmtId="183" fontId="58" fillId="0" borderId="0" xfId="4" applyNumberFormat="1" applyFont="1" applyFill="1" applyBorder="1" applyAlignment="1">
      <alignment vertical="center" shrinkToFit="1"/>
    </xf>
    <xf numFmtId="182" fontId="58" fillId="0" borderId="5" xfId="4" applyNumberFormat="1" applyFont="1" applyFill="1" applyBorder="1" applyAlignment="1">
      <alignment vertical="center" shrinkToFit="1"/>
    </xf>
    <xf numFmtId="0" fontId="105" fillId="0" borderId="97" xfId="4" applyFont="1" applyBorder="1" applyAlignment="1">
      <alignment horizontal="center" vertical="center" shrinkToFit="1"/>
    </xf>
    <xf numFmtId="181" fontId="106" fillId="0" borderId="0" xfId="4" applyNumberFormat="1" applyFont="1" applyFill="1" applyBorder="1" applyAlignment="1">
      <alignment vertical="center" shrinkToFit="1"/>
    </xf>
    <xf numFmtId="182" fontId="58" fillId="6" borderId="0" xfId="4" applyNumberFormat="1" applyFont="1" applyFill="1" applyBorder="1" applyAlignment="1">
      <alignment vertical="center" shrinkToFit="1"/>
    </xf>
    <xf numFmtId="181" fontId="58" fillId="6" borderId="0" xfId="4" applyNumberFormat="1" applyFont="1" applyFill="1" applyBorder="1" applyAlignment="1">
      <alignment vertical="center" shrinkToFit="1"/>
    </xf>
    <xf numFmtId="38" fontId="39" fillId="6" borderId="12" xfId="1" applyFont="1" applyFill="1" applyBorder="1" applyAlignment="1">
      <alignment vertical="center" shrinkToFit="1"/>
    </xf>
    <xf numFmtId="0" fontId="4" fillId="0" borderId="67" xfId="4" applyBorder="1" applyAlignment="1">
      <alignment horizontal="center" vertical="center" shrinkToFit="1"/>
    </xf>
    <xf numFmtId="0" fontId="4" fillId="0" borderId="66" xfId="4" applyBorder="1" applyAlignment="1">
      <alignment horizontal="center" vertical="center" shrinkToFit="1"/>
    </xf>
    <xf numFmtId="0" fontId="22" fillId="0" borderId="69" xfId="4" applyFont="1" applyBorder="1" applyAlignment="1">
      <alignment horizontal="center" vertical="center" shrinkToFit="1"/>
    </xf>
    <xf numFmtId="0" fontId="22" fillId="0" borderId="42" xfId="4" applyFont="1" applyBorder="1" applyAlignment="1">
      <alignment horizontal="center" vertical="center" shrinkToFit="1"/>
    </xf>
    <xf numFmtId="0" fontId="4" fillId="0" borderId="28" xfId="4" applyBorder="1" applyAlignment="1">
      <alignment horizontal="center" vertical="center" shrinkToFit="1"/>
    </xf>
    <xf numFmtId="0" fontId="22" fillId="0" borderId="55" xfId="4" applyFont="1" applyBorder="1" applyAlignment="1">
      <alignment horizontal="center" vertical="center" shrinkToFit="1"/>
    </xf>
    <xf numFmtId="0" fontId="4" fillId="4" borderId="67" xfId="4" applyFill="1" applyBorder="1" applyAlignment="1">
      <alignment horizontal="center" vertical="center" shrinkToFit="1"/>
    </xf>
    <xf numFmtId="0" fontId="4" fillId="4" borderId="66" xfId="4" applyFill="1" applyBorder="1" applyAlignment="1">
      <alignment horizontal="center" vertical="center" shrinkToFit="1"/>
    </xf>
    <xf numFmtId="0" fontId="4" fillId="4" borderId="42" xfId="4" applyFill="1" applyBorder="1" applyAlignment="1">
      <alignment horizontal="center" vertical="center" shrinkToFit="1"/>
    </xf>
    <xf numFmtId="0" fontId="22" fillId="4" borderId="42" xfId="4" applyFont="1" applyFill="1" applyBorder="1" applyAlignment="1">
      <alignment horizontal="center" vertical="center" shrinkToFit="1"/>
    </xf>
    <xf numFmtId="0" fontId="22" fillId="4" borderId="69" xfId="4" applyFont="1" applyFill="1" applyBorder="1" applyAlignment="1">
      <alignment horizontal="center" vertical="center" shrinkToFit="1"/>
    </xf>
    <xf numFmtId="176" fontId="23" fillId="0" borderId="0" xfId="4" applyNumberFormat="1" applyFont="1" applyAlignment="1">
      <alignment vertical="center" shrinkToFit="1"/>
    </xf>
    <xf numFmtId="176" fontId="56" fillId="0" borderId="0" xfId="4" applyNumberFormat="1" applyFont="1" applyBorder="1" applyAlignment="1">
      <alignment horizontal="left" vertical="center"/>
    </xf>
    <xf numFmtId="178" fontId="24" fillId="4" borderId="0" xfId="4" applyNumberFormat="1" applyFont="1" applyFill="1" applyBorder="1" applyAlignment="1">
      <alignment horizontal="right" vertical="center" shrinkToFit="1"/>
    </xf>
    <xf numFmtId="0" fontId="4" fillId="0" borderId="0" xfId="4" applyFont="1" applyAlignment="1">
      <alignment horizontal="center" vertical="center" shrinkToFit="1"/>
    </xf>
    <xf numFmtId="38" fontId="29" fillId="0" borderId="52" xfId="5" applyFont="1" applyBorder="1" applyAlignment="1">
      <alignment vertical="center" shrinkToFit="1"/>
    </xf>
    <xf numFmtId="176" fontId="24" fillId="0" borderId="0" xfId="5" applyNumberFormat="1" applyFont="1" applyAlignment="1">
      <alignment horizontal="left" vertical="center" shrinkToFit="1"/>
    </xf>
    <xf numFmtId="0" fontId="54" fillId="0" borderId="0" xfId="4" applyFont="1" applyBorder="1">
      <alignment vertical="center"/>
    </xf>
    <xf numFmtId="0" fontId="4" fillId="0" borderId="99" xfId="4" applyFont="1" applyBorder="1" applyAlignment="1">
      <alignment horizontal="center" vertical="center" shrinkToFit="1"/>
    </xf>
    <xf numFmtId="0" fontId="4" fillId="0" borderId="95" xfId="4" applyFont="1" applyBorder="1" applyAlignment="1">
      <alignment horizontal="center" vertical="center" shrinkToFit="1"/>
    </xf>
    <xf numFmtId="0" fontId="4" fillId="0" borderId="100" xfId="4" applyFont="1" applyBorder="1" applyAlignment="1">
      <alignment horizontal="center" vertical="center" shrinkToFit="1"/>
    </xf>
    <xf numFmtId="0" fontId="4" fillId="0" borderId="101" xfId="4" applyFont="1" applyBorder="1" applyAlignment="1">
      <alignment horizontal="center" vertical="center" shrinkToFit="1"/>
    </xf>
    <xf numFmtId="0" fontId="4" fillId="0" borderId="98" xfId="4" applyFont="1" applyBorder="1" applyAlignment="1">
      <alignment horizontal="center" vertical="center" shrinkToFit="1"/>
    </xf>
    <xf numFmtId="0" fontId="4" fillId="0" borderId="122" xfId="4" applyFont="1" applyFill="1" applyBorder="1" applyAlignment="1">
      <alignment horizontal="center" vertical="center" shrinkToFit="1"/>
    </xf>
    <xf numFmtId="0" fontId="4" fillId="0" borderId="204" xfId="4" applyFont="1" applyFill="1" applyBorder="1" applyAlignment="1">
      <alignment horizontal="center" vertical="center" shrinkToFit="1"/>
    </xf>
    <xf numFmtId="0" fontId="4" fillId="4" borderId="11" xfId="4" applyFont="1" applyFill="1" applyBorder="1" applyAlignment="1">
      <alignment horizontal="center" vertical="center" shrinkToFit="1"/>
    </xf>
    <xf numFmtId="0" fontId="4" fillId="4" borderId="27" xfId="4" applyFont="1" applyFill="1" applyBorder="1" applyAlignment="1">
      <alignment horizontal="center" vertical="center" shrinkToFit="1"/>
    </xf>
    <xf numFmtId="179" fontId="24" fillId="4" borderId="97" xfId="4" applyNumberFormat="1" applyFont="1" applyFill="1" applyBorder="1" applyAlignment="1">
      <alignment vertical="center" shrinkToFit="1"/>
    </xf>
    <xf numFmtId="183" fontId="4" fillId="4" borderId="69" xfId="4" applyNumberFormat="1" applyFont="1" applyFill="1" applyBorder="1" applyAlignment="1">
      <alignment vertical="center" shrinkToFit="1"/>
    </xf>
    <xf numFmtId="178" fontId="25" fillId="4" borderId="107" xfId="4" applyNumberFormat="1" applyFont="1" applyFill="1" applyBorder="1" applyAlignment="1">
      <alignment vertical="center" shrinkToFit="1"/>
    </xf>
    <xf numFmtId="183" fontId="25" fillId="4" borderId="69" xfId="4" applyNumberFormat="1" applyFont="1" applyFill="1" applyBorder="1" applyAlignment="1">
      <alignment vertical="center" shrinkToFit="1"/>
    </xf>
    <xf numFmtId="178" fontId="25" fillId="4" borderId="0" xfId="4" applyNumberFormat="1" applyFont="1" applyFill="1" applyBorder="1" applyAlignment="1">
      <alignment vertical="center" shrinkToFit="1"/>
    </xf>
    <xf numFmtId="179" fontId="25" fillId="4" borderId="97" xfId="4" applyNumberFormat="1" applyFont="1" applyFill="1" applyBorder="1" applyAlignment="1">
      <alignment vertical="center" shrinkToFit="1"/>
    </xf>
    <xf numFmtId="179" fontId="25" fillId="4" borderId="0" xfId="4" applyNumberFormat="1" applyFont="1" applyFill="1" applyBorder="1" applyAlignment="1">
      <alignment vertical="center" shrinkToFit="1"/>
    </xf>
    <xf numFmtId="178" fontId="25" fillId="4" borderId="53" xfId="4" applyNumberFormat="1" applyFont="1" applyFill="1" applyBorder="1" applyAlignment="1">
      <alignment vertical="center" shrinkToFit="1"/>
    </xf>
    <xf numFmtId="183" fontId="4" fillId="4" borderId="0" xfId="4" applyNumberFormat="1" applyFont="1" applyFill="1" applyBorder="1" applyAlignment="1">
      <alignment vertical="center" shrinkToFit="1"/>
    </xf>
    <xf numFmtId="178" fontId="25" fillId="4" borderId="41" xfId="4" applyNumberFormat="1" applyFont="1" applyFill="1" applyBorder="1" applyAlignment="1">
      <alignment vertical="center" shrinkToFit="1"/>
    </xf>
    <xf numFmtId="189" fontId="25" fillId="4" borderId="0" xfId="4" applyNumberFormat="1" applyFont="1" applyFill="1" applyBorder="1" applyAlignment="1">
      <alignment vertical="center" shrinkToFit="1"/>
    </xf>
    <xf numFmtId="181" fontId="25" fillId="4" borderId="0" xfId="4" applyNumberFormat="1" applyFont="1" applyFill="1" applyBorder="1" applyAlignment="1">
      <alignment vertical="center" shrinkToFit="1"/>
    </xf>
    <xf numFmtId="0" fontId="31" fillId="4" borderId="15" xfId="4" applyFont="1" applyFill="1" applyBorder="1" applyAlignment="1">
      <alignment horizontal="center" vertical="center" shrinkToFit="1"/>
    </xf>
    <xf numFmtId="0" fontId="4" fillId="4" borderId="121" xfId="4" applyFont="1" applyFill="1" applyBorder="1" applyAlignment="1">
      <alignment horizontal="center" vertical="center" shrinkToFit="1"/>
    </xf>
    <xf numFmtId="179" fontId="24" fillId="4" borderId="103" xfId="4" applyNumberFormat="1" applyFont="1" applyFill="1" applyBorder="1" applyAlignment="1">
      <alignment vertical="center" shrinkToFit="1"/>
    </xf>
    <xf numFmtId="183" fontId="4" fillId="4" borderId="5" xfId="4" applyNumberFormat="1" applyFont="1" applyFill="1" applyBorder="1" applyAlignment="1">
      <alignment vertical="center" shrinkToFit="1"/>
    </xf>
    <xf numFmtId="178" fontId="25" fillId="4" borderId="6" xfId="4" applyNumberFormat="1" applyFont="1" applyFill="1" applyBorder="1" applyAlignment="1">
      <alignment vertical="center" shrinkToFit="1"/>
    </xf>
    <xf numFmtId="179" fontId="24" fillId="4" borderId="5" xfId="4" applyNumberFormat="1" applyFont="1" applyFill="1" applyBorder="1" applyAlignment="1">
      <alignment vertical="center" shrinkToFit="1"/>
    </xf>
    <xf numFmtId="183" fontId="24" fillId="4" borderId="5" xfId="4" applyNumberFormat="1" applyFont="1" applyFill="1" applyBorder="1" applyAlignment="1">
      <alignment vertical="center" shrinkToFit="1"/>
    </xf>
    <xf numFmtId="178" fontId="25" fillId="4" borderId="104" xfId="4" applyNumberFormat="1" applyFont="1" applyFill="1" applyBorder="1" applyAlignment="1">
      <alignment vertical="center" shrinkToFit="1"/>
    </xf>
    <xf numFmtId="179" fontId="25" fillId="4" borderId="103" xfId="4" applyNumberFormat="1" applyFont="1" applyFill="1" applyBorder="1" applyAlignment="1">
      <alignment vertical="center" shrinkToFit="1"/>
    </xf>
    <xf numFmtId="179" fontId="25" fillId="4" borderId="45" xfId="4" applyNumberFormat="1" applyFont="1" applyFill="1" applyBorder="1" applyAlignment="1">
      <alignment vertical="center" shrinkToFit="1"/>
    </xf>
    <xf numFmtId="178" fontId="25" fillId="4" borderId="54" xfId="4" applyNumberFormat="1" applyFont="1" applyFill="1" applyBorder="1" applyAlignment="1">
      <alignment vertical="center" shrinkToFit="1"/>
    </xf>
    <xf numFmtId="183" fontId="25" fillId="4" borderId="0" xfId="4" applyNumberFormat="1" applyFont="1" applyFill="1" applyBorder="1" applyAlignment="1">
      <alignment vertical="center" shrinkToFit="1"/>
    </xf>
    <xf numFmtId="183" fontId="24" fillId="4" borderId="0" xfId="4" applyNumberFormat="1" applyFont="1" applyFill="1" applyBorder="1" applyAlignment="1">
      <alignment vertical="center" shrinkToFit="1"/>
    </xf>
    <xf numFmtId="179" fontId="25" fillId="4" borderId="5" xfId="4" applyNumberFormat="1" applyFont="1" applyFill="1" applyBorder="1" applyAlignment="1">
      <alignment vertical="center" shrinkToFit="1"/>
    </xf>
    <xf numFmtId="0" fontId="31" fillId="4" borderId="58" xfId="4" applyFont="1" applyFill="1" applyBorder="1" applyAlignment="1">
      <alignment horizontal="center" vertical="center" shrinkToFit="1"/>
    </xf>
    <xf numFmtId="0" fontId="4" fillId="6" borderId="11" xfId="4" applyFont="1" applyFill="1" applyBorder="1" applyAlignment="1">
      <alignment horizontal="center" vertical="center" shrinkToFit="1"/>
    </xf>
    <xf numFmtId="0" fontId="4" fillId="4" borderId="15" xfId="4" applyFont="1" applyFill="1" applyBorder="1" applyAlignment="1">
      <alignment vertical="center" shrinkToFit="1"/>
    </xf>
    <xf numFmtId="0" fontId="4" fillId="4" borderId="104" xfId="4" applyFont="1" applyFill="1" applyBorder="1" applyAlignment="1">
      <alignment horizontal="center" vertical="center" shrinkToFit="1"/>
    </xf>
    <xf numFmtId="0" fontId="4" fillId="4" borderId="58" xfId="4" applyFont="1" applyFill="1" applyBorder="1" applyAlignment="1">
      <alignment horizontal="center" vertical="center" shrinkToFit="1"/>
    </xf>
    <xf numFmtId="0" fontId="4" fillId="4" borderId="102" xfId="4" applyFont="1" applyFill="1" applyBorder="1" applyAlignment="1">
      <alignment horizontal="center" vertical="center" shrinkToFit="1"/>
    </xf>
    <xf numFmtId="183" fontId="24" fillId="4" borderId="69" xfId="4" applyNumberFormat="1" applyFont="1" applyFill="1" applyBorder="1" applyAlignment="1">
      <alignment vertical="center" shrinkToFit="1"/>
    </xf>
    <xf numFmtId="179" fontId="24" fillId="4" borderId="27" xfId="4" applyNumberFormat="1" applyFont="1" applyFill="1" applyBorder="1" applyAlignment="1">
      <alignment vertical="center" shrinkToFit="1"/>
    </xf>
    <xf numFmtId="178" fontId="25" fillId="4" borderId="102" xfId="4" applyNumberFormat="1" applyFont="1" applyFill="1" applyBorder="1" applyAlignment="1">
      <alignment vertical="center" shrinkToFit="1"/>
    </xf>
    <xf numFmtId="0" fontId="31" fillId="4" borderId="205" xfId="4" applyFont="1" applyFill="1" applyBorder="1" applyAlignment="1">
      <alignment horizontal="center" vertical="center" shrinkToFit="1"/>
    </xf>
    <xf numFmtId="179" fontId="24" fillId="4" borderId="98" xfId="4" applyNumberFormat="1" applyFont="1" applyFill="1" applyBorder="1" applyAlignment="1">
      <alignment vertical="center" shrinkToFit="1"/>
    </xf>
    <xf numFmtId="183" fontId="24" fillId="4" borderId="95" xfId="4" applyNumberFormat="1" applyFont="1" applyFill="1" applyBorder="1" applyAlignment="1">
      <alignment vertical="center" shrinkToFit="1"/>
    </xf>
    <xf numFmtId="178" fontId="25" fillId="4" borderId="122" xfId="4" applyNumberFormat="1" applyFont="1" applyFill="1" applyBorder="1" applyAlignment="1">
      <alignment vertical="center" shrinkToFit="1"/>
    </xf>
    <xf numFmtId="179" fontId="24" fillId="4" borderId="100" xfId="4" applyNumberFormat="1" applyFont="1" applyFill="1" applyBorder="1" applyAlignment="1">
      <alignment vertical="center" shrinkToFit="1"/>
    </xf>
    <xf numFmtId="178" fontId="25" fillId="4" borderId="95" xfId="4" applyNumberFormat="1" applyFont="1" applyFill="1" applyBorder="1" applyAlignment="1">
      <alignment vertical="center" shrinkToFit="1"/>
    </xf>
    <xf numFmtId="176" fontId="32" fillId="4" borderId="122" xfId="4" applyNumberFormat="1" applyFont="1" applyFill="1" applyBorder="1" applyAlignment="1">
      <alignment vertical="center" shrinkToFit="1"/>
    </xf>
    <xf numFmtId="179" fontId="25" fillId="4" borderId="100" xfId="4" applyNumberFormat="1" applyFont="1" applyFill="1" applyBorder="1" applyAlignment="1">
      <alignment vertical="center" shrinkToFit="1"/>
    </xf>
    <xf numFmtId="183" fontId="4" fillId="4" borderId="95" xfId="4" applyNumberFormat="1" applyFont="1" applyFill="1" applyBorder="1" applyAlignment="1">
      <alignment vertical="center" shrinkToFit="1"/>
    </xf>
    <xf numFmtId="178" fontId="25" fillId="4" borderId="206" xfId="4" applyNumberFormat="1" applyFont="1" applyFill="1" applyBorder="1" applyAlignment="1">
      <alignment vertical="center" shrinkToFit="1"/>
    </xf>
    <xf numFmtId="179" fontId="31" fillId="0" borderId="97" xfId="4" applyNumberFormat="1" applyFont="1" applyBorder="1" applyAlignment="1">
      <alignment vertical="center" shrinkToFit="1"/>
    </xf>
    <xf numFmtId="179" fontId="31" fillId="0" borderId="0" xfId="4" applyNumberFormat="1" applyFont="1" applyBorder="1" applyAlignment="1">
      <alignment vertical="center" shrinkToFit="1"/>
    </xf>
    <xf numFmtId="178" fontId="25" fillId="0" borderId="53" xfId="4" applyNumberFormat="1" applyFont="1" applyBorder="1" applyAlignment="1">
      <alignment vertical="center" shrinkToFit="1"/>
    </xf>
    <xf numFmtId="178" fontId="25" fillId="16" borderId="6" xfId="4" applyNumberFormat="1" applyFont="1" applyFill="1" applyBorder="1" applyAlignment="1">
      <alignment vertical="center" shrinkToFit="1"/>
    </xf>
    <xf numFmtId="178" fontId="25" fillId="16" borderId="54" xfId="4" applyNumberFormat="1" applyFont="1" applyFill="1" applyBorder="1" applyAlignment="1">
      <alignment vertical="center" shrinkToFit="1"/>
    </xf>
    <xf numFmtId="179" fontId="4" fillId="4" borderId="99" xfId="4" applyNumberFormat="1" applyFont="1" applyFill="1" applyBorder="1" applyAlignment="1">
      <alignment horizontal="center" vertical="center" shrinkToFit="1"/>
    </xf>
    <xf numFmtId="38" fontId="25" fillId="4" borderId="209" xfId="4" applyNumberFormat="1" applyFont="1" applyFill="1" applyBorder="1" applyAlignment="1">
      <alignment horizontal="right" vertical="center" shrinkToFit="1"/>
    </xf>
    <xf numFmtId="178" fontId="25" fillId="4" borderId="42" xfId="4" applyNumberFormat="1" applyFont="1" applyFill="1" applyBorder="1" applyAlignment="1">
      <alignment horizontal="right" vertical="center" shrinkToFit="1"/>
    </xf>
    <xf numFmtId="179" fontId="4" fillId="4" borderId="209" xfId="4" applyNumberFormat="1" applyFont="1" applyFill="1" applyBorder="1" applyAlignment="1">
      <alignment horizontal="center" vertical="center" shrinkToFit="1"/>
    </xf>
    <xf numFmtId="178" fontId="25" fillId="4" borderId="210" xfId="4" applyNumberFormat="1" applyFont="1" applyFill="1" applyBorder="1" applyAlignment="1">
      <alignment horizontal="right" vertical="center" shrinkToFit="1"/>
    </xf>
    <xf numFmtId="178" fontId="25" fillId="4" borderId="55" xfId="4" applyNumberFormat="1" applyFont="1" applyFill="1" applyBorder="1" applyAlignment="1">
      <alignment horizontal="right" vertical="center" shrinkToFit="1"/>
    </xf>
    <xf numFmtId="179" fontId="4" fillId="9" borderId="97" xfId="4" applyNumberFormat="1" applyFont="1" applyFill="1" applyBorder="1" applyAlignment="1">
      <alignment horizontal="center" vertical="center" shrinkToFit="1"/>
    </xf>
    <xf numFmtId="178" fontId="25" fillId="9" borderId="107" xfId="4" applyNumberFormat="1" applyFont="1" applyFill="1" applyBorder="1" applyAlignment="1">
      <alignment horizontal="right" vertical="center" shrinkToFit="1"/>
    </xf>
    <xf numFmtId="179" fontId="4" fillId="9" borderId="0" xfId="4" applyNumberFormat="1" applyFont="1" applyFill="1" applyBorder="1" applyAlignment="1">
      <alignment horizontal="center" vertical="center" shrinkToFit="1"/>
    </xf>
    <xf numFmtId="178" fontId="25" fillId="9" borderId="41" xfId="4" applyNumberFormat="1" applyFont="1" applyFill="1" applyBorder="1" applyAlignment="1">
      <alignment horizontal="right" vertical="center" shrinkToFit="1"/>
    </xf>
    <xf numFmtId="178" fontId="25" fillId="9" borderId="211" xfId="4" applyNumberFormat="1" applyFont="1" applyFill="1" applyBorder="1" applyAlignment="1">
      <alignment horizontal="right" vertical="center" shrinkToFit="1"/>
    </xf>
    <xf numFmtId="0" fontId="27" fillId="18" borderId="214" xfId="4" applyFont="1" applyFill="1" applyBorder="1" applyAlignment="1">
      <alignment horizontal="center" vertical="center" shrinkToFit="1"/>
    </xf>
    <xf numFmtId="179" fontId="27" fillId="18" borderId="212" xfId="4" applyNumberFormat="1" applyFont="1" applyFill="1" applyBorder="1" applyAlignment="1">
      <alignment vertical="center" shrinkToFit="1"/>
    </xf>
    <xf numFmtId="179" fontId="29" fillId="18" borderId="215" xfId="4" applyNumberFormat="1" applyFont="1" applyFill="1" applyBorder="1" applyAlignment="1">
      <alignment vertical="center" shrinkToFit="1"/>
    </xf>
    <xf numFmtId="179" fontId="27" fillId="18" borderId="215" xfId="4" applyNumberFormat="1" applyFont="1" applyFill="1" applyBorder="1" applyAlignment="1">
      <alignment vertical="center" shrinkToFit="1"/>
    </xf>
    <xf numFmtId="179" fontId="29" fillId="18" borderId="216" xfId="4" applyNumberFormat="1" applyFont="1" applyFill="1" applyBorder="1" applyAlignment="1">
      <alignment vertical="center" shrinkToFit="1"/>
    </xf>
    <xf numFmtId="0" fontId="27" fillId="0" borderId="0" xfId="4" applyFont="1" applyBorder="1" applyAlignment="1">
      <alignment horizontal="center" vertical="center"/>
    </xf>
    <xf numFmtId="178" fontId="29" fillId="0" borderId="0" xfId="4" applyNumberFormat="1" applyFont="1" applyBorder="1" applyAlignment="1">
      <alignment horizontal="center" vertical="center" shrinkToFit="1"/>
    </xf>
    <xf numFmtId="0" fontId="27" fillId="0" borderId="0" xfId="4" applyFont="1" applyBorder="1" applyAlignment="1">
      <alignment horizontal="center" vertical="center" shrinkToFit="1"/>
    </xf>
    <xf numFmtId="179" fontId="29" fillId="0" borderId="0" xfId="4" applyNumberFormat="1" applyFont="1" applyBorder="1" applyAlignment="1">
      <alignment horizontal="center" vertical="center" shrinkToFit="1"/>
    </xf>
    <xf numFmtId="190" fontId="4" fillId="0" borderId="0" xfId="4" applyNumberFormat="1" applyFont="1">
      <alignment vertical="center"/>
    </xf>
    <xf numFmtId="190" fontId="4" fillId="0" borderId="0" xfId="4" applyNumberFormat="1" applyFont="1" applyAlignment="1">
      <alignment vertical="center"/>
    </xf>
    <xf numFmtId="190" fontId="27" fillId="26" borderId="46" xfId="4" applyNumberFormat="1" applyFont="1" applyFill="1" applyBorder="1" applyAlignment="1">
      <alignment vertical="center"/>
    </xf>
    <xf numFmtId="190" fontId="4" fillId="26" borderId="69" xfId="4" applyNumberFormat="1" applyFont="1" applyFill="1" applyBorder="1" applyAlignment="1">
      <alignment horizontal="right" vertical="center"/>
    </xf>
    <xf numFmtId="190" fontId="25" fillId="26" borderId="42" xfId="4" applyNumberFormat="1" applyFont="1" applyFill="1" applyBorder="1" applyAlignment="1">
      <alignment vertical="center" shrinkToFit="1"/>
    </xf>
    <xf numFmtId="190" fontId="25" fillId="26" borderId="35" xfId="4" applyNumberFormat="1" applyFont="1" applyFill="1" applyBorder="1" applyAlignment="1">
      <alignment vertical="center" shrinkToFit="1"/>
    </xf>
    <xf numFmtId="190" fontId="4" fillId="0" borderId="0" xfId="4" applyNumberFormat="1" applyFont="1" applyAlignment="1">
      <alignment vertical="center" shrinkToFit="1"/>
    </xf>
    <xf numFmtId="190" fontId="4" fillId="26" borderId="69" xfId="4" applyNumberFormat="1" applyFont="1" applyFill="1" applyBorder="1" applyAlignment="1">
      <alignment vertical="center"/>
    </xf>
    <xf numFmtId="190" fontId="25" fillId="26" borderId="42" xfId="4" applyNumberFormat="1" applyFont="1" applyFill="1" applyBorder="1" applyAlignment="1">
      <alignment horizontal="right" vertical="center" shrinkToFit="1"/>
    </xf>
    <xf numFmtId="190" fontId="25" fillId="26" borderId="35" xfId="4" applyNumberFormat="1" applyFont="1" applyFill="1" applyBorder="1" applyAlignment="1">
      <alignment horizontal="right" vertical="center" shrinkToFit="1"/>
    </xf>
    <xf numFmtId="190" fontId="4" fillId="0" borderId="0" xfId="4" applyNumberFormat="1" applyFont="1" applyBorder="1" applyAlignment="1">
      <alignment vertical="center"/>
    </xf>
    <xf numFmtId="190" fontId="73" fillId="17" borderId="27" xfId="4" applyNumberFormat="1" applyFont="1" applyFill="1" applyBorder="1" applyAlignment="1">
      <alignment vertical="center"/>
    </xf>
    <xf numFmtId="190" fontId="73" fillId="17" borderId="0" xfId="4" applyNumberFormat="1" applyFont="1" applyFill="1" applyBorder="1" applyAlignment="1">
      <alignment vertical="center"/>
    </xf>
    <xf numFmtId="190" fontId="107" fillId="17" borderId="41" xfId="4" applyNumberFormat="1" applyFont="1" applyFill="1" applyBorder="1" applyAlignment="1">
      <alignment horizontal="right" vertical="center" shrinkToFit="1"/>
    </xf>
    <xf numFmtId="190" fontId="107" fillId="17" borderId="32" xfId="4" applyNumberFormat="1" applyFont="1" applyFill="1" applyBorder="1" applyAlignment="1">
      <alignment horizontal="right" vertical="center" shrinkToFit="1"/>
    </xf>
    <xf numFmtId="190" fontId="107" fillId="0" borderId="41" xfId="4" applyNumberFormat="1" applyFont="1" applyBorder="1" applyAlignment="1">
      <alignment horizontal="right" vertical="center" shrinkToFit="1"/>
    </xf>
    <xf numFmtId="190" fontId="107" fillId="0" borderId="32" xfId="4" applyNumberFormat="1" applyFont="1" applyBorder="1" applyAlignment="1">
      <alignment horizontal="right" vertical="center" shrinkToFit="1"/>
    </xf>
    <xf numFmtId="190" fontId="73" fillId="0" borderId="27" xfId="4" applyNumberFormat="1" applyFont="1" applyBorder="1" applyAlignment="1">
      <alignment vertical="center"/>
    </xf>
    <xf numFmtId="190" fontId="73" fillId="0" borderId="27" xfId="4" applyNumberFormat="1" applyFont="1" applyBorder="1" applyAlignment="1">
      <alignment horizontal="left" vertical="center"/>
    </xf>
    <xf numFmtId="190" fontId="107" fillId="0" borderId="41" xfId="4" applyNumberFormat="1" applyFont="1" applyBorder="1" applyAlignment="1" applyProtection="1">
      <alignment horizontal="right" vertical="center" shrinkToFit="1"/>
      <protection locked="0"/>
    </xf>
    <xf numFmtId="190" fontId="107" fillId="0" borderId="32" xfId="4" applyNumberFormat="1" applyFont="1" applyBorder="1" applyAlignment="1">
      <alignment vertical="center" shrinkToFit="1"/>
    </xf>
    <xf numFmtId="190" fontId="4" fillId="0" borderId="0" xfId="4" applyNumberFormat="1" applyFont="1" applyBorder="1" applyAlignment="1">
      <alignment horizontal="left" vertical="center"/>
    </xf>
    <xf numFmtId="190" fontId="73" fillId="0" borderId="27" xfId="4" applyNumberFormat="1" applyFont="1" applyBorder="1" applyAlignment="1" applyProtection="1">
      <alignment horizontal="left" vertical="center"/>
      <protection locked="0"/>
    </xf>
    <xf numFmtId="190" fontId="30" fillId="0" borderId="0" xfId="4" applyNumberFormat="1" applyFont="1" applyBorder="1" applyAlignment="1" applyProtection="1">
      <alignment horizontal="left" vertical="center"/>
      <protection locked="0"/>
    </xf>
    <xf numFmtId="190" fontId="30" fillId="0" borderId="27" xfId="4" applyNumberFormat="1" applyFont="1" applyBorder="1" applyAlignment="1" applyProtection="1">
      <alignment horizontal="center" vertical="center"/>
      <protection locked="0"/>
    </xf>
    <xf numFmtId="190" fontId="30" fillId="0" borderId="0" xfId="4" applyNumberFormat="1" applyFont="1" applyBorder="1" applyAlignment="1" applyProtection="1">
      <alignment horizontal="center" vertical="center"/>
      <protection locked="0"/>
    </xf>
    <xf numFmtId="190" fontId="107" fillId="0" borderId="32" xfId="4" applyNumberFormat="1" applyFont="1" applyBorder="1" applyAlignment="1" applyProtection="1">
      <alignment horizontal="right" vertical="center" shrinkToFit="1"/>
      <protection locked="0"/>
    </xf>
    <xf numFmtId="190" fontId="73" fillId="0" borderId="0" xfId="4" applyNumberFormat="1" applyFont="1" applyBorder="1" applyAlignment="1">
      <alignment horizontal="left" vertical="center"/>
    </xf>
    <xf numFmtId="190" fontId="30" fillId="0" borderId="27" xfId="4" applyNumberFormat="1" applyFont="1" applyBorder="1" applyAlignment="1">
      <alignment horizontal="left" vertical="center"/>
    </xf>
    <xf numFmtId="190" fontId="30" fillId="0" borderId="0" xfId="4" applyNumberFormat="1" applyFont="1" applyBorder="1" applyAlignment="1">
      <alignment horizontal="left" vertical="center"/>
    </xf>
    <xf numFmtId="190" fontId="4" fillId="0" borderId="0" xfId="4" applyNumberFormat="1" applyFont="1" applyBorder="1" applyAlignment="1">
      <alignment vertical="center" shrinkToFit="1"/>
    </xf>
    <xf numFmtId="190" fontId="73" fillId="0" borderId="27" xfId="4" applyNumberFormat="1" applyFont="1" applyBorder="1" applyAlignment="1">
      <alignment horizontal="left" vertical="top"/>
    </xf>
    <xf numFmtId="190" fontId="73" fillId="0" borderId="0" xfId="4" applyNumberFormat="1" applyFont="1" applyBorder="1" applyAlignment="1">
      <alignment horizontal="left" vertical="top"/>
    </xf>
    <xf numFmtId="190" fontId="107" fillId="0" borderId="41" xfId="4" applyNumberFormat="1" applyFont="1" applyBorder="1" applyAlignment="1">
      <alignment horizontal="center" vertical="top" shrinkToFit="1"/>
    </xf>
    <xf numFmtId="190" fontId="107" fillId="0" borderId="32" xfId="4" applyNumberFormat="1" applyFont="1" applyBorder="1" applyAlignment="1">
      <alignment horizontal="center" vertical="top" shrinkToFit="1"/>
    </xf>
    <xf numFmtId="190" fontId="72" fillId="0" borderId="0" xfId="4" applyNumberFormat="1" applyFont="1" applyBorder="1" applyAlignment="1">
      <alignment horizontal="right" vertical="center" shrinkToFit="1"/>
    </xf>
    <xf numFmtId="190" fontId="27" fillId="0" borderId="1" xfId="4" applyNumberFormat="1" applyFont="1" applyBorder="1" applyAlignment="1">
      <alignment horizontal="left" vertical="center" shrinkToFit="1"/>
    </xf>
    <xf numFmtId="190" fontId="96" fillId="0" borderId="29" xfId="4" applyNumberFormat="1" applyFont="1" applyBorder="1" applyAlignment="1">
      <alignment vertical="center" shrinkToFit="1"/>
    </xf>
    <xf numFmtId="190" fontId="27" fillId="0" borderId="11" xfId="4" applyNumberFormat="1" applyFont="1" applyBorder="1" applyAlignment="1">
      <alignment horizontal="left" vertical="center" shrinkToFit="1"/>
    </xf>
    <xf numFmtId="190" fontId="28" fillId="0" borderId="53" xfId="4" applyNumberFormat="1" applyFont="1" applyFill="1" applyBorder="1" applyAlignment="1">
      <alignment vertical="center" shrinkToFit="1"/>
    </xf>
    <xf numFmtId="190" fontId="30" fillId="0" borderId="45" xfId="4" applyNumberFormat="1" applyFont="1" applyBorder="1" applyAlignment="1">
      <alignment horizontal="left" vertical="center"/>
    </xf>
    <xf numFmtId="190" fontId="30" fillId="0" borderId="5" xfId="4" applyNumberFormat="1" applyFont="1" applyBorder="1" applyAlignment="1">
      <alignment horizontal="left" vertical="center"/>
    </xf>
    <xf numFmtId="190" fontId="107" fillId="0" borderId="6" xfId="4" applyNumberFormat="1" applyFont="1" applyBorder="1" applyAlignment="1" applyProtection="1">
      <alignment horizontal="right" vertical="center" shrinkToFit="1"/>
      <protection locked="0"/>
    </xf>
    <xf numFmtId="190" fontId="107" fillId="0" borderId="33" xfId="4" applyNumberFormat="1" applyFont="1" applyBorder="1" applyAlignment="1">
      <alignment vertical="center" shrinkToFit="1"/>
    </xf>
    <xf numFmtId="190" fontId="107" fillId="0" borderId="0" xfId="4" applyNumberFormat="1" applyFont="1" applyBorder="1" applyAlignment="1">
      <alignment vertical="center" shrinkToFit="1"/>
    </xf>
    <xf numFmtId="190" fontId="107" fillId="0" borderId="41" xfId="4" applyNumberFormat="1" applyFont="1" applyBorder="1" applyAlignment="1">
      <alignment horizontal="left" vertical="center" shrinkToFit="1"/>
    </xf>
    <xf numFmtId="190" fontId="107" fillId="0" borderId="32" xfId="4" applyNumberFormat="1" applyFont="1" applyBorder="1" applyAlignment="1">
      <alignment horizontal="left" vertical="center" shrinkToFit="1"/>
    </xf>
    <xf numFmtId="190" fontId="28" fillId="0" borderId="53" xfId="4" applyNumberFormat="1" applyFont="1" applyBorder="1" applyAlignment="1">
      <alignment vertical="center" shrinkToFit="1"/>
    </xf>
    <xf numFmtId="190" fontId="73" fillId="17" borderId="0" xfId="4" applyNumberFormat="1" applyFont="1" applyFill="1" applyBorder="1" applyAlignment="1">
      <alignment horizontal="left" vertical="center"/>
    </xf>
    <xf numFmtId="190" fontId="27" fillId="26" borderId="24" xfId="4" applyNumberFormat="1" applyFont="1" applyFill="1" applyBorder="1" applyAlignment="1">
      <alignment vertical="center"/>
    </xf>
    <xf numFmtId="190" fontId="4" fillId="26" borderId="39" xfId="4" applyNumberFormat="1" applyFont="1" applyFill="1" applyBorder="1" applyAlignment="1">
      <alignment vertical="center"/>
    </xf>
    <xf numFmtId="190" fontId="25" fillId="26" borderId="26" xfId="4" applyNumberFormat="1" applyFont="1" applyFill="1" applyBorder="1" applyAlignment="1">
      <alignment horizontal="right" vertical="center" shrinkToFit="1"/>
    </xf>
    <xf numFmtId="190" fontId="25" fillId="26" borderId="24" xfId="4" applyNumberFormat="1" applyFont="1" applyFill="1" applyBorder="1" applyAlignment="1">
      <alignment horizontal="right" vertical="center" shrinkToFit="1"/>
    </xf>
    <xf numFmtId="190" fontId="25" fillId="4" borderId="0" xfId="4" applyNumberFormat="1" applyFont="1" applyFill="1" applyBorder="1" applyAlignment="1">
      <alignment horizontal="right" vertical="center" shrinkToFit="1"/>
    </xf>
    <xf numFmtId="190" fontId="27" fillId="0" borderId="13" xfId="4" applyNumberFormat="1" applyFont="1" applyBorder="1" applyAlignment="1">
      <alignment horizontal="left" vertical="center" shrinkToFit="1"/>
    </xf>
    <xf numFmtId="190" fontId="28" fillId="0" borderId="30" xfId="4" applyNumberFormat="1" applyFont="1" applyBorder="1" applyAlignment="1">
      <alignment vertical="center" shrinkToFit="1"/>
    </xf>
    <xf numFmtId="190" fontId="108" fillId="0" borderId="32" xfId="4" applyNumberFormat="1" applyFont="1" applyBorder="1" applyAlignment="1">
      <alignment horizontal="right" vertical="center" shrinkToFit="1"/>
    </xf>
    <xf numFmtId="0" fontId="4" fillId="0" borderId="0" xfId="4" applyFont="1" applyAlignment="1">
      <alignment vertical="center"/>
    </xf>
    <xf numFmtId="0" fontId="4" fillId="0" borderId="0" xfId="4" applyFont="1" applyBorder="1" applyAlignment="1">
      <alignment vertical="center"/>
    </xf>
    <xf numFmtId="49" fontId="73" fillId="0" borderId="45" xfId="4" applyNumberFormat="1" applyFont="1" applyBorder="1" applyAlignment="1" applyProtection="1">
      <alignment horizontal="left" vertical="center"/>
      <protection locked="0"/>
    </xf>
    <xf numFmtId="190" fontId="107" fillId="0" borderId="6" xfId="4" applyNumberFormat="1" applyFont="1" applyBorder="1" applyAlignment="1">
      <alignment horizontal="right" vertical="center" shrinkToFit="1"/>
    </xf>
    <xf numFmtId="190" fontId="107" fillId="0" borderId="33" xfId="4" applyNumberFormat="1" applyFont="1" applyBorder="1" applyAlignment="1">
      <alignment horizontal="right" vertical="center" shrinkToFit="1"/>
    </xf>
    <xf numFmtId="0" fontId="73" fillId="0" borderId="0" xfId="4" applyFont="1" applyAlignment="1">
      <alignment vertical="center"/>
    </xf>
    <xf numFmtId="0" fontId="30" fillId="0" borderId="0" xfId="4" applyFont="1" applyAlignment="1">
      <alignment vertical="center"/>
    </xf>
    <xf numFmtId="176" fontId="24" fillId="4" borderId="122" xfId="4" applyNumberFormat="1" applyFont="1" applyFill="1" applyBorder="1" applyAlignment="1">
      <alignment vertical="center" shrinkToFit="1"/>
    </xf>
    <xf numFmtId="190" fontId="108" fillId="0" borderId="32" xfId="4" applyNumberFormat="1" applyFont="1" applyBorder="1" applyAlignment="1" applyProtection="1">
      <alignment horizontal="right" vertical="center" shrinkToFit="1"/>
      <protection locked="0"/>
    </xf>
    <xf numFmtId="49" fontId="32" fillId="0" borderId="0" xfId="4" applyNumberFormat="1" applyFont="1" applyAlignment="1">
      <alignment vertical="center"/>
    </xf>
    <xf numFmtId="190" fontId="28" fillId="0" borderId="29" xfId="4" applyNumberFormat="1" applyFont="1" applyBorder="1" applyAlignment="1">
      <alignment vertical="center" shrinkToFit="1"/>
    </xf>
    <xf numFmtId="0" fontId="34" fillId="0" borderId="0" xfId="4" applyFont="1" applyAlignment="1">
      <alignment vertical="center" shrinkToFit="1"/>
    </xf>
    <xf numFmtId="14" fontId="4" fillId="0" borderId="0" xfId="4" applyNumberFormat="1" applyAlignment="1">
      <alignment vertical="center" shrinkToFit="1"/>
    </xf>
    <xf numFmtId="38" fontId="32" fillId="9" borderId="139" xfId="5" applyFont="1" applyFill="1" applyBorder="1" applyAlignment="1">
      <alignment vertical="center" shrinkToFit="1"/>
    </xf>
    <xf numFmtId="38" fontId="32" fillId="0" borderId="140" xfId="2" applyFont="1" applyFill="1" applyBorder="1" applyAlignment="1">
      <alignment horizontal="right" vertical="center" shrinkToFit="1"/>
    </xf>
    <xf numFmtId="38" fontId="32" fillId="0" borderId="142" xfId="2" applyFont="1" applyFill="1" applyBorder="1" applyAlignment="1">
      <alignment horizontal="right" vertical="center" shrinkToFit="1"/>
    </xf>
    <xf numFmtId="38" fontId="32" fillId="9" borderId="143" xfId="5" applyFont="1" applyFill="1" applyBorder="1" applyAlignment="1">
      <alignment vertical="center" shrinkToFit="1"/>
    </xf>
    <xf numFmtId="178" fontId="58" fillId="0" borderId="57" xfId="4" applyNumberFormat="1" applyFont="1" applyBorder="1" applyAlignment="1">
      <alignment horizontal="right" wrapText="1" shrinkToFit="1"/>
    </xf>
    <xf numFmtId="38" fontId="32" fillId="9" borderId="144" xfId="5" applyFont="1" applyFill="1" applyBorder="1" applyAlignment="1">
      <alignment vertical="center" shrinkToFit="1"/>
    </xf>
    <xf numFmtId="38" fontId="32" fillId="0" borderId="146" xfId="2" applyFont="1" applyFill="1" applyBorder="1" applyAlignment="1">
      <alignment horizontal="right" vertical="center" shrinkToFit="1"/>
    </xf>
    <xf numFmtId="38" fontId="32" fillId="0" borderId="145" xfId="2" applyFont="1" applyFill="1" applyBorder="1" applyAlignment="1">
      <alignment horizontal="right" vertical="center" shrinkToFit="1"/>
    </xf>
    <xf numFmtId="38" fontId="32" fillId="0" borderId="144" xfId="2" applyFont="1" applyFill="1" applyBorder="1" applyAlignment="1">
      <alignment horizontal="right" vertical="center" shrinkToFit="1"/>
    </xf>
    <xf numFmtId="38" fontId="32" fillId="9" borderId="147" xfId="5" applyFont="1" applyFill="1" applyBorder="1" applyAlignment="1">
      <alignment vertical="center" shrinkToFit="1"/>
    </xf>
    <xf numFmtId="178" fontId="32" fillId="9" borderId="12" xfId="4" applyNumberFormat="1" applyFont="1" applyFill="1" applyBorder="1" applyAlignment="1">
      <alignment horizontal="right" vertical="center" shrinkToFit="1"/>
    </xf>
    <xf numFmtId="178" fontId="32" fillId="9" borderId="26" xfId="4" applyNumberFormat="1" applyFont="1" applyFill="1" applyBorder="1" applyAlignment="1">
      <alignment horizontal="right" vertical="center" shrinkToFit="1"/>
    </xf>
    <xf numFmtId="178" fontId="32" fillId="9" borderId="24" xfId="4" applyNumberFormat="1" applyFont="1" applyFill="1" applyBorder="1" applyAlignment="1">
      <alignment horizontal="right" vertical="center" shrinkToFit="1"/>
    </xf>
    <xf numFmtId="178" fontId="4" fillId="9" borderId="16" xfId="4" applyNumberFormat="1" applyFont="1" applyFill="1" applyBorder="1" applyAlignment="1">
      <alignment horizontal="right" vertical="center" shrinkToFit="1"/>
    </xf>
    <xf numFmtId="38" fontId="4" fillId="0" borderId="41" xfId="5" applyFont="1" applyFill="1" applyBorder="1" applyAlignment="1">
      <alignment horizontal="right" vertical="center" shrinkToFit="1"/>
    </xf>
    <xf numFmtId="178" fontId="4" fillId="9" borderId="42" xfId="4" applyNumberFormat="1" applyFont="1" applyFill="1" applyBorder="1" applyAlignment="1">
      <alignment vertical="center" shrinkToFit="1"/>
    </xf>
    <xf numFmtId="178" fontId="23" fillId="9" borderId="58" xfId="4" applyNumberFormat="1" applyFont="1" applyFill="1" applyBorder="1" applyAlignment="1">
      <alignment horizontal="left" vertical="center" shrinkToFit="1"/>
    </xf>
    <xf numFmtId="38" fontId="32" fillId="9" borderId="148" xfId="5" applyFont="1" applyFill="1" applyBorder="1" applyAlignment="1">
      <alignment vertical="center" shrinkToFit="1"/>
    </xf>
    <xf numFmtId="38" fontId="24" fillId="0" borderId="41" xfId="2" applyFont="1" applyFill="1" applyBorder="1" applyAlignment="1">
      <alignment horizontal="right" vertical="center" shrinkToFit="1"/>
    </xf>
    <xf numFmtId="38" fontId="24" fillId="0" borderId="144" xfId="2" applyFont="1" applyFill="1" applyBorder="1" applyAlignment="1">
      <alignment horizontal="right" vertical="center" shrinkToFit="1"/>
    </xf>
    <xf numFmtId="38" fontId="24" fillId="0" borderId="146" xfId="2" applyFont="1" applyFill="1" applyBorder="1" applyAlignment="1">
      <alignment horizontal="right" vertical="center" shrinkToFit="1"/>
    </xf>
    <xf numFmtId="178" fontId="4" fillId="0" borderId="24" xfId="4" applyNumberFormat="1" applyFont="1" applyFill="1" applyBorder="1" applyAlignment="1">
      <alignment horizontal="right" vertical="center" shrinkToFit="1"/>
    </xf>
    <xf numFmtId="38" fontId="28" fillId="0" borderId="146" xfId="2" applyFont="1" applyFill="1" applyBorder="1" applyAlignment="1">
      <alignment horizontal="right" vertical="center" shrinkToFit="1"/>
    </xf>
    <xf numFmtId="38" fontId="28" fillId="0" borderId="41" xfId="2" applyFont="1" applyFill="1" applyBorder="1" applyAlignment="1">
      <alignment horizontal="right" vertical="center" shrinkToFit="1"/>
    </xf>
    <xf numFmtId="178" fontId="24" fillId="4" borderId="92" xfId="4" applyNumberFormat="1" applyFont="1" applyFill="1" applyBorder="1" applyAlignment="1">
      <alignment horizontal="right" vertical="center" shrinkToFit="1"/>
    </xf>
    <xf numFmtId="178" fontId="24" fillId="4" borderId="24" xfId="4" applyNumberFormat="1" applyFont="1" applyFill="1" applyBorder="1" applyAlignment="1">
      <alignment horizontal="right" vertical="center" shrinkToFit="1"/>
    </xf>
    <xf numFmtId="178" fontId="4" fillId="0" borderId="26" xfId="4" applyNumberFormat="1" applyFont="1" applyFill="1" applyBorder="1" applyAlignment="1">
      <alignment horizontal="right" vertical="center" shrinkToFit="1"/>
    </xf>
    <xf numFmtId="178" fontId="24" fillId="4" borderId="26" xfId="4" applyNumberFormat="1" applyFont="1" applyFill="1" applyBorder="1" applyAlignment="1">
      <alignment horizontal="right" vertical="center" shrinkToFit="1"/>
    </xf>
    <xf numFmtId="176" fontId="56" fillId="0" borderId="0" xfId="5" applyNumberFormat="1" applyFont="1" applyBorder="1" applyAlignment="1">
      <alignment horizontal="right" vertical="center" shrinkToFit="1"/>
    </xf>
    <xf numFmtId="0" fontId="23" fillId="0" borderId="0" xfId="4" applyFont="1" applyAlignment="1"/>
    <xf numFmtId="176" fontId="56" fillId="0" borderId="0" xfId="5" applyNumberFormat="1" applyFont="1" applyAlignment="1">
      <alignment vertical="center" shrinkToFit="1"/>
    </xf>
    <xf numFmtId="38" fontId="23" fillId="0" borderId="0" xfId="5" applyFont="1" applyAlignment="1">
      <alignment vertical="top" shrinkToFit="1"/>
    </xf>
    <xf numFmtId="176" fontId="23" fillId="0" borderId="0" xfId="5" applyNumberFormat="1" applyFont="1" applyAlignment="1">
      <alignment vertical="center" shrinkToFit="1"/>
    </xf>
    <xf numFmtId="0" fontId="23" fillId="0" borderId="0" xfId="4" applyFont="1" applyAlignment="1">
      <alignment horizontal="right" shrinkToFit="1"/>
    </xf>
    <xf numFmtId="0" fontId="4" fillId="0" borderId="0" xfId="4" applyFont="1" applyAlignment="1">
      <alignment vertical="center" wrapText="1"/>
    </xf>
    <xf numFmtId="0" fontId="23" fillId="0" borderId="0" xfId="4" applyFont="1" applyAlignment="1">
      <alignment horizontal="right"/>
    </xf>
    <xf numFmtId="0" fontId="4" fillId="0" borderId="0" xfId="4" applyFont="1" applyAlignment="1">
      <alignment vertical="top" wrapText="1"/>
    </xf>
    <xf numFmtId="0" fontId="23" fillId="0" borderId="0" xfId="4" applyFont="1" applyAlignment="1">
      <alignment vertical="top"/>
    </xf>
    <xf numFmtId="0" fontId="23" fillId="0" borderId="39" xfId="4" applyFont="1" applyFill="1" applyBorder="1" applyAlignment="1">
      <alignment horizontal="center" vertical="center"/>
    </xf>
    <xf numFmtId="176" fontId="4" fillId="0" borderId="217" xfId="5" applyNumberFormat="1" applyFont="1" applyFill="1" applyBorder="1" applyAlignment="1">
      <alignment horizontal="right" vertical="center"/>
    </xf>
    <xf numFmtId="176" fontId="4" fillId="0" borderId="26" xfId="5" applyNumberFormat="1" applyFont="1" applyFill="1" applyBorder="1" applyAlignment="1">
      <alignment horizontal="right" vertical="center"/>
    </xf>
    <xf numFmtId="176" fontId="4" fillId="0" borderId="7" xfId="5" applyNumberFormat="1" applyFont="1" applyFill="1" applyBorder="1" applyAlignment="1">
      <alignment horizontal="right" vertical="center"/>
    </xf>
    <xf numFmtId="0" fontId="23" fillId="4" borderId="39" xfId="4" applyFont="1" applyFill="1" applyBorder="1" applyAlignment="1">
      <alignment horizontal="center" vertical="center"/>
    </xf>
    <xf numFmtId="176" fontId="4" fillId="0" borderId="13" xfId="5" applyNumberFormat="1" applyFont="1" applyBorder="1" applyAlignment="1">
      <alignment horizontal="right" vertical="center" shrinkToFit="1"/>
    </xf>
    <xf numFmtId="176" fontId="4" fillId="0" borderId="164" xfId="5" applyNumberFormat="1" applyFont="1" applyBorder="1" applyAlignment="1">
      <alignment horizontal="right" vertical="center" shrinkToFit="1"/>
    </xf>
    <xf numFmtId="176" fontId="4" fillId="0" borderId="11" xfId="5" applyNumberFormat="1" applyFont="1" applyBorder="1" applyAlignment="1">
      <alignment horizontal="right" vertical="center" shrinkToFit="1"/>
    </xf>
    <xf numFmtId="176" fontId="4" fillId="0" borderId="218" xfId="5" applyNumberFormat="1" applyFont="1" applyBorder="1" applyAlignment="1">
      <alignment horizontal="right" vertical="center" shrinkToFit="1"/>
    </xf>
    <xf numFmtId="0" fontId="23" fillId="0" borderId="0" xfId="4" applyFont="1" applyAlignment="1">
      <alignment horizontal="right" vertical="center"/>
    </xf>
    <xf numFmtId="0" fontId="55" fillId="0" borderId="0" xfId="4" applyFont="1" applyAlignment="1">
      <alignment vertical="center" shrinkToFit="1"/>
    </xf>
    <xf numFmtId="0" fontId="35" fillId="4" borderId="0" xfId="4" applyFont="1" applyFill="1" applyBorder="1" applyAlignment="1">
      <alignment vertical="center"/>
    </xf>
    <xf numFmtId="38" fontId="27" fillId="4" borderId="0" xfId="5" applyFont="1" applyFill="1" applyBorder="1" applyAlignment="1">
      <alignment horizontal="right" vertical="center"/>
    </xf>
    <xf numFmtId="178" fontId="23" fillId="4" borderId="0" xfId="4" applyNumberFormat="1" applyFont="1" applyFill="1" applyBorder="1" applyAlignment="1">
      <alignment horizontal="center" vertical="center"/>
    </xf>
    <xf numFmtId="0" fontId="4" fillId="0" borderId="0" xfId="4" applyBorder="1" applyAlignment="1">
      <alignment horizontal="center" vertical="center" shrinkToFit="1"/>
    </xf>
    <xf numFmtId="38" fontId="0" fillId="0" borderId="0" xfId="5" applyFont="1" applyBorder="1" applyAlignment="1">
      <alignment vertical="center" shrinkToFit="1"/>
    </xf>
    <xf numFmtId="178" fontId="23" fillId="0" borderId="0" xfId="4" applyNumberFormat="1" applyFont="1" applyFill="1" applyBorder="1" applyAlignment="1">
      <alignment horizontal="left" vertical="center" indent="1"/>
    </xf>
    <xf numFmtId="178" fontId="23" fillId="0" borderId="0" xfId="4" applyNumberFormat="1" applyFont="1" applyFill="1" applyBorder="1" applyAlignment="1">
      <alignment vertical="center" wrapText="1"/>
    </xf>
    <xf numFmtId="178" fontId="23" fillId="0" borderId="0" xfId="4" applyNumberFormat="1" applyFont="1" applyFill="1" applyBorder="1" applyAlignment="1">
      <alignment horizontal="left" vertical="center" wrapText="1" indent="1"/>
    </xf>
    <xf numFmtId="0" fontId="4" fillId="4" borderId="0" xfId="4" applyFill="1" applyBorder="1" applyAlignment="1">
      <alignment horizontal="left" vertical="center" indent="1"/>
    </xf>
    <xf numFmtId="0" fontId="23" fillId="4" borderId="32" xfId="4" applyFont="1" applyFill="1" applyBorder="1" applyAlignment="1">
      <alignment horizontal="center" vertical="center" shrinkToFit="1"/>
    </xf>
    <xf numFmtId="0" fontId="4" fillId="0" borderId="0" xfId="4" applyBorder="1" applyAlignment="1">
      <alignment horizontal="left" vertical="center" indent="1"/>
    </xf>
    <xf numFmtId="0" fontId="23" fillId="4" borderId="33" xfId="4" applyFont="1" applyFill="1" applyBorder="1" applyAlignment="1">
      <alignment horizontal="center" vertical="center" shrinkToFit="1"/>
    </xf>
    <xf numFmtId="178" fontId="103" fillId="9" borderId="12" xfId="4" applyNumberFormat="1" applyFont="1" applyFill="1" applyBorder="1" applyAlignment="1">
      <alignment vertical="center" shrinkToFit="1"/>
    </xf>
    <xf numFmtId="178" fontId="103" fillId="9" borderId="24" xfId="4" applyNumberFormat="1" applyFont="1" applyFill="1" applyBorder="1" applyAlignment="1">
      <alignment vertical="center" shrinkToFit="1"/>
    </xf>
    <xf numFmtId="178" fontId="103" fillId="9" borderId="41" xfId="4" applyNumberFormat="1" applyFont="1" applyFill="1" applyBorder="1" applyAlignment="1">
      <alignment horizontal="right" vertical="center" shrinkToFit="1"/>
    </xf>
    <xf numFmtId="178" fontId="103" fillId="9" borderId="35" xfId="4" applyNumberFormat="1" applyFont="1" applyFill="1" applyBorder="1" applyAlignment="1">
      <alignment vertical="center" shrinkToFit="1"/>
    </xf>
    <xf numFmtId="178" fontId="103" fillId="9" borderId="41" xfId="4" applyNumberFormat="1" applyFont="1" applyFill="1" applyBorder="1" applyAlignment="1">
      <alignment vertical="center" shrinkToFit="1"/>
    </xf>
    <xf numFmtId="0" fontId="26" fillId="0" borderId="57" xfId="4" applyFont="1" applyBorder="1" applyAlignment="1">
      <alignment horizontal="right" vertical="top" shrinkToFit="1"/>
    </xf>
    <xf numFmtId="178" fontId="103" fillId="9" borderId="58" xfId="4" applyNumberFormat="1" applyFont="1" applyFill="1" applyBorder="1" applyAlignment="1">
      <alignment vertical="center" shrinkToFit="1"/>
    </xf>
    <xf numFmtId="178" fontId="103" fillId="9" borderId="32" xfId="4" applyNumberFormat="1" applyFont="1" applyFill="1" applyBorder="1" applyAlignment="1">
      <alignment vertical="center" shrinkToFit="1"/>
    </xf>
    <xf numFmtId="194" fontId="104" fillId="9" borderId="32" xfId="4" applyNumberFormat="1" applyFont="1" applyFill="1" applyBorder="1" applyAlignment="1">
      <alignment horizontal="right" vertical="top" shrinkToFit="1"/>
    </xf>
    <xf numFmtId="194" fontId="104" fillId="9" borderId="41" xfId="4" applyNumberFormat="1" applyFont="1" applyFill="1" applyBorder="1" applyAlignment="1">
      <alignment horizontal="right" vertical="top" shrinkToFit="1"/>
    </xf>
    <xf numFmtId="178" fontId="4" fillId="9" borderId="57" xfId="4" applyNumberFormat="1" applyFill="1" applyBorder="1" applyAlignment="1">
      <alignment vertical="center" shrinkToFit="1"/>
    </xf>
    <xf numFmtId="194" fontId="103" fillId="9" borderId="32" xfId="4" applyNumberFormat="1" applyFont="1" applyFill="1" applyBorder="1" applyAlignment="1">
      <alignment vertical="center" shrinkToFit="1"/>
    </xf>
    <xf numFmtId="178" fontId="4" fillId="0" borderId="0" xfId="4" applyNumberFormat="1" applyFont="1" applyFill="1" applyBorder="1" applyAlignment="1">
      <alignment horizontal="left" vertical="center" indent="1"/>
    </xf>
    <xf numFmtId="38" fontId="24" fillId="0" borderId="0" xfId="5" applyFont="1" applyBorder="1" applyAlignment="1">
      <alignment vertical="center" shrinkToFit="1"/>
    </xf>
    <xf numFmtId="38" fontId="76" fillId="0" borderId="0" xfId="5" applyFont="1" applyBorder="1" applyAlignment="1">
      <alignment vertical="center" shrinkToFit="1"/>
    </xf>
    <xf numFmtId="178" fontId="58" fillId="0" borderId="57" xfId="4" applyNumberFormat="1" applyFont="1" applyBorder="1" applyAlignment="1">
      <alignment horizontal="center" shrinkToFit="1"/>
    </xf>
    <xf numFmtId="194" fontId="104" fillId="0" borderId="58" xfId="4" applyNumberFormat="1" applyFont="1" applyBorder="1" applyAlignment="1">
      <alignment horizontal="center" shrinkToFit="1"/>
    </xf>
    <xf numFmtId="178" fontId="25" fillId="9" borderId="56" xfId="4" applyNumberFormat="1" applyFont="1" applyFill="1" applyBorder="1" applyAlignment="1">
      <alignment vertical="center" shrinkToFit="1"/>
    </xf>
    <xf numFmtId="178" fontId="103" fillId="9" borderId="26" xfId="4" applyNumberFormat="1" applyFont="1" applyFill="1" applyBorder="1" applyAlignment="1">
      <alignment vertical="center" shrinkToFit="1"/>
    </xf>
    <xf numFmtId="178" fontId="103" fillId="0" borderId="33" xfId="4" applyNumberFormat="1" applyFont="1" applyBorder="1" applyAlignment="1">
      <alignment vertical="center" shrinkToFit="1"/>
    </xf>
    <xf numFmtId="178" fontId="103" fillId="0" borderId="32" xfId="4" applyNumberFormat="1" applyFont="1" applyBorder="1" applyAlignment="1">
      <alignment vertical="center" shrinkToFit="1"/>
    </xf>
    <xf numFmtId="178" fontId="103" fillId="0" borderId="41" xfId="4" applyNumberFormat="1" applyFont="1" applyBorder="1" applyAlignment="1">
      <alignment vertical="center" shrinkToFit="1"/>
    </xf>
    <xf numFmtId="178" fontId="24" fillId="4" borderId="56" xfId="4" applyNumberFormat="1" applyFont="1" applyFill="1" applyBorder="1" applyAlignment="1">
      <alignment vertical="center" shrinkToFit="1"/>
    </xf>
    <xf numFmtId="178" fontId="103" fillId="4" borderId="12" xfId="4" applyNumberFormat="1" applyFont="1" applyFill="1" applyBorder="1" applyAlignment="1">
      <alignment vertical="center" shrinkToFit="1"/>
    </xf>
    <xf numFmtId="178" fontId="103" fillId="4" borderId="26" xfId="4" applyNumberFormat="1" applyFont="1" applyFill="1" applyBorder="1" applyAlignment="1">
      <alignment vertical="center" shrinkToFit="1"/>
    </xf>
    <xf numFmtId="178" fontId="103" fillId="4" borderId="24" xfId="4" applyNumberFormat="1" applyFont="1" applyFill="1" applyBorder="1" applyAlignment="1">
      <alignment vertical="center" shrinkToFit="1"/>
    </xf>
    <xf numFmtId="178" fontId="25" fillId="0" borderId="19" xfId="4" applyNumberFormat="1" applyFont="1" applyBorder="1" applyAlignment="1">
      <alignment horizontal="right" vertical="center" shrinkToFit="1"/>
    </xf>
    <xf numFmtId="178" fontId="25" fillId="0" borderId="31" xfId="4" applyNumberFormat="1" applyFont="1" applyBorder="1" applyAlignment="1">
      <alignment horizontal="right" vertical="center" shrinkToFit="1"/>
    </xf>
    <xf numFmtId="0" fontId="4" fillId="0" borderId="0" xfId="4" applyFont="1" applyAlignment="1">
      <alignment horizontal="center" vertical="center"/>
    </xf>
    <xf numFmtId="0" fontId="4" fillId="0" borderId="0" xfId="4" applyAlignment="1">
      <alignment horizontal="left" vertical="center"/>
    </xf>
    <xf numFmtId="176" fontId="24" fillId="15" borderId="55" xfId="2" applyNumberFormat="1" applyFont="1" applyFill="1" applyBorder="1" applyAlignment="1">
      <alignment horizontal="right" vertical="center" shrinkToFit="1"/>
    </xf>
    <xf numFmtId="176" fontId="78" fillId="15" borderId="69" xfId="2" applyNumberFormat="1" applyFont="1" applyFill="1" applyBorder="1" applyAlignment="1">
      <alignment horizontal="right" vertical="center" shrinkToFit="1"/>
    </xf>
    <xf numFmtId="176" fontId="32" fillId="15" borderId="150" xfId="2" applyNumberFormat="1" applyFont="1" applyFill="1" applyBorder="1" applyAlignment="1">
      <alignment horizontal="right" vertical="center" shrinkToFit="1"/>
    </xf>
    <xf numFmtId="176" fontId="32" fillId="15" borderId="179" xfId="2" applyNumberFormat="1" applyFont="1" applyFill="1" applyBorder="1" applyAlignment="1">
      <alignment horizontal="right" vertical="center" shrinkToFit="1"/>
    </xf>
    <xf numFmtId="176" fontId="32" fillId="0" borderId="219" xfId="2" applyNumberFormat="1" applyFont="1" applyFill="1" applyBorder="1" applyAlignment="1">
      <alignment horizontal="right" vertical="center" shrinkToFit="1"/>
    </xf>
    <xf numFmtId="176" fontId="32" fillId="0" borderId="181" xfId="2" applyNumberFormat="1" applyFont="1" applyFill="1" applyBorder="1" applyAlignment="1">
      <alignment horizontal="right" vertical="center" shrinkToFit="1"/>
    </xf>
    <xf numFmtId="176" fontId="32" fillId="9" borderId="145" xfId="2" applyNumberFormat="1" applyFont="1" applyFill="1" applyBorder="1" applyAlignment="1">
      <alignment horizontal="right" vertical="center" shrinkToFit="1"/>
    </xf>
    <xf numFmtId="176" fontId="24" fillId="15" borderId="149" xfId="2" applyNumberFormat="1" applyFont="1" applyFill="1" applyBorder="1" applyAlignment="1">
      <alignment horizontal="right" vertical="center" shrinkToFit="1"/>
    </xf>
    <xf numFmtId="176" fontId="24" fillId="15" borderId="53" xfId="2" applyNumberFormat="1" applyFont="1" applyFill="1" applyBorder="1" applyAlignment="1">
      <alignment horizontal="right" vertical="center" shrinkToFit="1"/>
    </xf>
    <xf numFmtId="176" fontId="78" fillId="15" borderId="0" xfId="2" applyNumberFormat="1" applyFont="1" applyFill="1" applyBorder="1" applyAlignment="1">
      <alignment horizontal="right" vertical="center" shrinkToFit="1"/>
    </xf>
    <xf numFmtId="176" fontId="32" fillId="15" borderId="219" xfId="2" applyNumberFormat="1" applyFont="1" applyFill="1" applyBorder="1" applyAlignment="1">
      <alignment horizontal="right" vertical="center" shrinkToFit="1"/>
    </xf>
    <xf numFmtId="176" fontId="32" fillId="15" borderId="181" xfId="2" applyNumberFormat="1" applyFont="1" applyFill="1" applyBorder="1" applyAlignment="1">
      <alignment horizontal="right" vertical="center" shrinkToFit="1"/>
    </xf>
    <xf numFmtId="176" fontId="78" fillId="0" borderId="219" xfId="2" applyNumberFormat="1" applyFont="1" applyFill="1" applyBorder="1" applyAlignment="1">
      <alignment horizontal="right" vertical="center" shrinkToFit="1"/>
    </xf>
    <xf numFmtId="176" fontId="78" fillId="0" borderId="181" xfId="2" applyNumberFormat="1" applyFont="1" applyFill="1" applyBorder="1" applyAlignment="1">
      <alignment horizontal="right" vertical="center" shrinkToFit="1"/>
    </xf>
    <xf numFmtId="176" fontId="78" fillId="9" borderId="41" xfId="2" applyNumberFormat="1" applyFont="1" applyFill="1" applyBorder="1" applyAlignment="1">
      <alignment horizontal="right" vertical="center" shrinkToFit="1"/>
    </xf>
    <xf numFmtId="176" fontId="78" fillId="4" borderId="219" xfId="2" applyNumberFormat="1" applyFont="1" applyFill="1" applyBorder="1" applyAlignment="1">
      <alignment horizontal="right" vertical="center" shrinkToFit="1"/>
    </xf>
    <xf numFmtId="176" fontId="78" fillId="4" borderId="181" xfId="2" applyNumberFormat="1" applyFont="1" applyFill="1" applyBorder="1" applyAlignment="1">
      <alignment horizontal="right" vertical="center" shrinkToFit="1"/>
    </xf>
    <xf numFmtId="176" fontId="28" fillId="4" borderId="149" xfId="2" applyNumberFormat="1" applyFont="1" applyFill="1" applyBorder="1" applyAlignment="1">
      <alignment horizontal="right" vertical="center" shrinkToFit="1"/>
    </xf>
    <xf numFmtId="176" fontId="28" fillId="4" borderId="53" xfId="2" applyNumberFormat="1" applyFont="1" applyFill="1" applyBorder="1" applyAlignment="1">
      <alignment horizontal="right" vertical="center" shrinkToFit="1"/>
    </xf>
    <xf numFmtId="176" fontId="109" fillId="4" borderId="17" xfId="2" applyNumberFormat="1" applyFont="1" applyFill="1" applyBorder="1" applyAlignment="1">
      <alignment horizontal="right" vertical="center" shrinkToFit="1"/>
    </xf>
    <xf numFmtId="176" fontId="78" fillId="4" borderId="43" xfId="2" applyNumberFormat="1" applyFont="1" applyFill="1" applyBorder="1" applyAlignment="1">
      <alignment horizontal="right" vertical="center" shrinkToFit="1"/>
    </xf>
    <xf numFmtId="176" fontId="109" fillId="4" borderId="144" xfId="2" applyNumberFormat="1" applyFont="1" applyFill="1" applyBorder="1" applyAlignment="1">
      <alignment horizontal="right" vertical="center" shrinkToFit="1"/>
    </xf>
    <xf numFmtId="176" fontId="109" fillId="4" borderId="41" xfId="2" applyNumberFormat="1" applyFont="1" applyFill="1" applyBorder="1" applyAlignment="1">
      <alignment horizontal="right" vertical="center" shrinkToFit="1"/>
    </xf>
    <xf numFmtId="176" fontId="109" fillId="4" borderId="146" xfId="2" applyNumberFormat="1" applyFont="1" applyFill="1" applyBorder="1" applyAlignment="1">
      <alignment horizontal="right" vertical="center" shrinkToFit="1"/>
    </xf>
    <xf numFmtId="176" fontId="78" fillId="4" borderId="157" xfId="2" applyNumberFormat="1" applyFont="1" applyFill="1" applyBorder="1" applyAlignment="1">
      <alignment horizontal="right" vertical="center" shrinkToFit="1"/>
    </xf>
    <xf numFmtId="176" fontId="109" fillId="4" borderId="0" xfId="2" applyNumberFormat="1" applyFont="1" applyFill="1" applyBorder="1" applyAlignment="1">
      <alignment horizontal="right" vertical="center" shrinkToFit="1"/>
    </xf>
    <xf numFmtId="176" fontId="109" fillId="4" borderId="219" xfId="2" applyNumberFormat="1" applyFont="1" applyFill="1" applyBorder="1" applyAlignment="1">
      <alignment horizontal="right" vertical="center" shrinkToFit="1"/>
    </xf>
    <xf numFmtId="176" fontId="109" fillId="4" borderId="181" xfId="2" applyNumberFormat="1" applyFont="1" applyFill="1" applyBorder="1" applyAlignment="1">
      <alignment horizontal="right" vertical="center" shrinkToFit="1"/>
    </xf>
    <xf numFmtId="176" fontId="24" fillId="0" borderId="220" xfId="2" applyNumberFormat="1" applyFont="1" applyBorder="1" applyAlignment="1">
      <alignment horizontal="right" vertical="center" shrinkToFit="1"/>
    </xf>
    <xf numFmtId="176" fontId="24" fillId="0" borderId="183" xfId="2" applyNumberFormat="1" applyFont="1" applyBorder="1" applyAlignment="1">
      <alignment horizontal="right" vertical="center" shrinkToFit="1"/>
    </xf>
    <xf numFmtId="0" fontId="4" fillId="0" borderId="153" xfId="4" applyFill="1" applyBorder="1" applyAlignment="1"/>
    <xf numFmtId="0" fontId="4" fillId="0" borderId="0" xfId="4" applyFill="1" applyAlignment="1"/>
    <xf numFmtId="0" fontId="24" fillId="0" borderId="0" xfId="4" applyFont="1" applyAlignment="1">
      <alignment horizontal="center" vertical="center"/>
    </xf>
    <xf numFmtId="176" fontId="24" fillId="0" borderId="221" xfId="2" applyNumberFormat="1" applyFont="1" applyBorder="1" applyAlignment="1">
      <alignment horizontal="right" vertical="center" shrinkToFit="1"/>
    </xf>
    <xf numFmtId="176" fontId="78" fillId="0" borderId="154" xfId="2" applyNumberFormat="1" applyFont="1" applyBorder="1" applyAlignment="1">
      <alignment horizontal="right" vertical="center" shrinkToFit="1"/>
    </xf>
    <xf numFmtId="176" fontId="78" fillId="0" borderId="150" xfId="2" applyNumberFormat="1" applyFont="1" applyFill="1" applyBorder="1" applyAlignment="1">
      <alignment horizontal="right" vertical="center" shrinkToFit="1"/>
    </xf>
    <xf numFmtId="176" fontId="78" fillId="0" borderId="179" xfId="2" applyNumberFormat="1" applyFont="1" applyFill="1" applyBorder="1" applyAlignment="1">
      <alignment horizontal="right" vertical="center" shrinkToFit="1"/>
    </xf>
    <xf numFmtId="176" fontId="78" fillId="9" borderId="142" xfId="2" applyNumberFormat="1" applyFont="1" applyFill="1" applyBorder="1" applyAlignment="1">
      <alignment horizontal="right" vertical="center" shrinkToFit="1"/>
    </xf>
    <xf numFmtId="176" fontId="78" fillId="9" borderId="149" xfId="2" applyNumberFormat="1" applyFont="1" applyFill="1" applyBorder="1" applyAlignment="1">
      <alignment horizontal="right" vertical="center" shrinkToFit="1"/>
    </xf>
    <xf numFmtId="176" fontId="78" fillId="9" borderId="145" xfId="2" applyNumberFormat="1" applyFont="1" applyFill="1" applyBorder="1" applyAlignment="1">
      <alignment horizontal="right" vertical="center" shrinkToFit="1"/>
    </xf>
    <xf numFmtId="0" fontId="4" fillId="0" borderId="66" xfId="4" applyFill="1" applyBorder="1" applyAlignment="1">
      <alignment horizontal="center" vertical="center" shrinkToFit="1"/>
    </xf>
    <xf numFmtId="176" fontId="24" fillId="0" borderId="149" xfId="2" applyNumberFormat="1" applyFont="1" applyFill="1" applyBorder="1" applyAlignment="1">
      <alignment horizontal="right" vertical="center" shrinkToFit="1"/>
    </xf>
    <xf numFmtId="176" fontId="24" fillId="0" borderId="53" xfId="2" applyNumberFormat="1" applyFont="1" applyFill="1" applyBorder="1" applyAlignment="1">
      <alignment horizontal="right" vertical="center" shrinkToFit="1"/>
    </xf>
    <xf numFmtId="176" fontId="78" fillId="0" borderId="149" xfId="2" applyNumberFormat="1" applyFont="1" applyFill="1" applyBorder="1" applyAlignment="1">
      <alignment horizontal="right" vertical="center" shrinkToFit="1"/>
    </xf>
    <xf numFmtId="176" fontId="78" fillId="23" borderId="149" xfId="2" applyNumberFormat="1" applyFont="1" applyFill="1" applyBorder="1" applyAlignment="1">
      <alignment horizontal="right" vertical="center" shrinkToFit="1"/>
    </xf>
    <xf numFmtId="176" fontId="78" fillId="23" borderId="41" xfId="2" applyNumberFormat="1" applyFont="1" applyFill="1" applyBorder="1" applyAlignment="1">
      <alignment horizontal="right" vertical="center" shrinkToFit="1"/>
    </xf>
    <xf numFmtId="176" fontId="78" fillId="23" borderId="0" xfId="2" applyNumberFormat="1" applyFont="1" applyFill="1" applyBorder="1" applyAlignment="1">
      <alignment horizontal="right" vertical="center" shrinkToFit="1"/>
    </xf>
    <xf numFmtId="176" fontId="78" fillId="23" borderId="181" xfId="2" applyNumberFormat="1" applyFont="1" applyFill="1" applyBorder="1" applyAlignment="1">
      <alignment horizontal="right" vertical="center" shrinkToFit="1"/>
    </xf>
    <xf numFmtId="176" fontId="78" fillId="23" borderId="144" xfId="2" applyNumberFormat="1" applyFont="1" applyFill="1" applyBorder="1" applyAlignment="1">
      <alignment horizontal="right" vertical="center" shrinkToFit="1"/>
    </xf>
    <xf numFmtId="176" fontId="78" fillId="23" borderId="146" xfId="2" applyNumberFormat="1" applyFont="1" applyFill="1" applyBorder="1" applyAlignment="1">
      <alignment horizontal="right" vertical="center" shrinkToFit="1"/>
    </xf>
    <xf numFmtId="176" fontId="78" fillId="23" borderId="219" xfId="2" applyNumberFormat="1" applyFont="1" applyFill="1" applyBorder="1" applyAlignment="1">
      <alignment horizontal="right" vertical="center" shrinkToFit="1"/>
    </xf>
    <xf numFmtId="176" fontId="78" fillId="23" borderId="53" xfId="2" applyNumberFormat="1" applyFont="1" applyFill="1" applyBorder="1" applyAlignment="1">
      <alignment horizontal="right" vertical="center" shrinkToFit="1"/>
    </xf>
    <xf numFmtId="0" fontId="27" fillId="23" borderId="66" xfId="4" applyFont="1" applyFill="1" applyBorder="1" applyAlignment="1">
      <alignment horizontal="center" vertical="center" shrinkToFit="1"/>
    </xf>
    <xf numFmtId="176" fontId="109" fillId="23" borderId="165" xfId="2" applyNumberFormat="1" applyFont="1" applyFill="1" applyBorder="1" applyAlignment="1">
      <alignment horizontal="right" vertical="center" shrinkToFit="1"/>
    </xf>
    <xf numFmtId="176" fontId="78" fillId="23" borderId="43" xfId="2" applyNumberFormat="1" applyFont="1" applyFill="1" applyBorder="1" applyAlignment="1">
      <alignment horizontal="right" vertical="center" shrinkToFit="1"/>
    </xf>
    <xf numFmtId="176" fontId="78" fillId="23" borderId="157" xfId="2" applyNumberFormat="1" applyFont="1" applyFill="1" applyBorder="1" applyAlignment="1">
      <alignment horizontal="right" vertical="center" shrinkToFit="1"/>
    </xf>
    <xf numFmtId="176" fontId="78" fillId="4" borderId="139" xfId="2" applyNumberFormat="1" applyFont="1" applyFill="1" applyBorder="1" applyAlignment="1">
      <alignment horizontal="right" vertical="center" shrinkToFit="1"/>
    </xf>
    <xf numFmtId="176" fontId="78" fillId="4" borderId="142" xfId="2" applyNumberFormat="1" applyFont="1" applyFill="1" applyBorder="1" applyAlignment="1">
      <alignment horizontal="right" vertical="center" shrinkToFit="1"/>
    </xf>
    <xf numFmtId="176" fontId="78" fillId="4" borderId="140" xfId="2" applyNumberFormat="1" applyFont="1" applyFill="1" applyBorder="1" applyAlignment="1">
      <alignment horizontal="right" vertical="center" shrinkToFit="1"/>
    </xf>
    <xf numFmtId="176" fontId="78" fillId="4" borderId="42" xfId="2" applyNumberFormat="1" applyFont="1" applyFill="1" applyBorder="1" applyAlignment="1">
      <alignment horizontal="right" vertical="center" shrinkToFit="1"/>
    </xf>
    <xf numFmtId="176" fontId="32" fillId="9" borderId="11" xfId="2" applyNumberFormat="1" applyFont="1" applyFill="1" applyBorder="1" applyAlignment="1">
      <alignment horizontal="right" vertical="center" shrinkToFit="1"/>
    </xf>
    <xf numFmtId="176" fontId="32" fillId="4" borderId="144" xfId="2" applyNumberFormat="1" applyFont="1" applyFill="1" applyBorder="1" applyAlignment="1">
      <alignment horizontal="right" vertical="center" shrinkToFit="1"/>
    </xf>
    <xf numFmtId="176" fontId="32" fillId="4" borderId="145" xfId="2" applyNumberFormat="1" applyFont="1" applyFill="1" applyBorder="1" applyAlignment="1">
      <alignment horizontal="right" vertical="center" shrinkToFit="1"/>
    </xf>
    <xf numFmtId="176" fontId="32" fillId="4" borderId="146" xfId="2" applyNumberFormat="1" applyFont="1" applyFill="1" applyBorder="1" applyAlignment="1">
      <alignment horizontal="right" vertical="center" shrinkToFit="1"/>
    </xf>
    <xf numFmtId="0" fontId="24" fillId="0" borderId="0" xfId="4" applyFont="1" applyAlignment="1"/>
    <xf numFmtId="176" fontId="78" fillId="23" borderId="11" xfId="2" applyNumberFormat="1" applyFont="1" applyFill="1" applyBorder="1" applyAlignment="1">
      <alignment horizontal="right" vertical="center" shrinkToFit="1"/>
    </xf>
    <xf numFmtId="176" fontId="32" fillId="23" borderId="219" xfId="2" applyNumberFormat="1" applyFont="1" applyFill="1" applyBorder="1" applyAlignment="1">
      <alignment horizontal="right" vertical="center" shrinkToFit="1"/>
    </xf>
    <xf numFmtId="176" fontId="32" fillId="23" borderId="181" xfId="2" applyNumberFormat="1" applyFont="1" applyFill="1" applyBorder="1" applyAlignment="1">
      <alignment horizontal="right" vertical="center" shrinkToFit="1"/>
    </xf>
    <xf numFmtId="0" fontId="24" fillId="4" borderId="0" xfId="4" applyFont="1" applyFill="1" applyAlignment="1"/>
    <xf numFmtId="176" fontId="78" fillId="23" borderId="13" xfId="2" applyNumberFormat="1" applyFont="1" applyFill="1" applyBorder="1" applyAlignment="1">
      <alignment horizontal="right" vertical="center" shrinkToFit="1"/>
    </xf>
    <xf numFmtId="38" fontId="24" fillId="0" borderId="150" xfId="5" applyFont="1" applyFill="1" applyBorder="1" applyAlignment="1">
      <alignment vertical="center" shrinkToFit="1"/>
    </xf>
    <xf numFmtId="38" fontId="24" fillId="0" borderId="179" xfId="5" applyFont="1" applyFill="1" applyBorder="1" applyAlignment="1">
      <alignment vertical="center" shrinkToFit="1"/>
    </xf>
    <xf numFmtId="38" fontId="24" fillId="0" borderId="180" xfId="5" applyFont="1" applyFill="1" applyBorder="1" applyAlignment="1">
      <alignment vertical="center" shrinkToFit="1"/>
    </xf>
    <xf numFmtId="38" fontId="24" fillId="0" borderId="219" xfId="5" applyFont="1" applyFill="1" applyBorder="1" applyAlignment="1">
      <alignment vertical="center" shrinkToFit="1"/>
    </xf>
    <xf numFmtId="178" fontId="24" fillId="27" borderId="18" xfId="4" applyNumberFormat="1" applyFont="1" applyFill="1" applyBorder="1" applyAlignment="1">
      <alignment horizontal="right" vertical="center" shrinkToFit="1"/>
    </xf>
    <xf numFmtId="178" fontId="24" fillId="27" borderId="24" xfId="4" applyNumberFormat="1" applyFont="1" applyFill="1" applyBorder="1" applyAlignment="1">
      <alignment horizontal="right" vertical="center" shrinkToFit="1"/>
    </xf>
    <xf numFmtId="178" fontId="4" fillId="9" borderId="24" xfId="4" applyNumberFormat="1" applyFont="1" applyFill="1" applyBorder="1" applyAlignment="1">
      <alignment horizontal="right" vertical="center" shrinkToFit="1"/>
    </xf>
    <xf numFmtId="178" fontId="4" fillId="9" borderId="26" xfId="4" applyNumberFormat="1" applyFont="1" applyFill="1" applyBorder="1" applyAlignment="1">
      <alignment horizontal="right" vertical="center" shrinkToFit="1"/>
    </xf>
    <xf numFmtId="38" fontId="24" fillId="9" borderId="219" xfId="5" applyFont="1" applyFill="1" applyBorder="1" applyAlignment="1">
      <alignment vertical="center" shrinkToFit="1"/>
    </xf>
    <xf numFmtId="38" fontId="28" fillId="19" borderId="219" xfId="5" applyFont="1" applyFill="1" applyBorder="1" applyAlignment="1">
      <alignment vertical="center" shrinkToFit="1"/>
    </xf>
    <xf numFmtId="178" fontId="24" fillId="27" borderId="92" xfId="4" applyNumberFormat="1" applyFont="1" applyFill="1" applyBorder="1" applyAlignment="1">
      <alignment horizontal="right" vertical="center" shrinkToFit="1"/>
    </xf>
    <xf numFmtId="178" fontId="24" fillId="27" borderId="42" xfId="4" applyNumberFormat="1" applyFont="1" applyFill="1" applyBorder="1" applyAlignment="1">
      <alignment horizontal="right" vertical="center" shrinkToFit="1"/>
    </xf>
    <xf numFmtId="38" fontId="29" fillId="0" borderId="19" xfId="5" applyFont="1" applyBorder="1" applyAlignment="1">
      <alignment vertical="center" shrinkToFit="1"/>
    </xf>
    <xf numFmtId="178" fontId="29" fillId="0" borderId="14" xfId="4" applyNumberFormat="1" applyFont="1" applyFill="1" applyBorder="1" applyAlignment="1">
      <alignment horizontal="right" vertical="center" shrinkToFit="1"/>
    </xf>
    <xf numFmtId="176" fontId="25" fillId="0" borderId="0" xfId="4" applyNumberFormat="1" applyFont="1" applyFill="1" applyBorder="1" applyAlignment="1">
      <alignment horizontal="right" vertical="center" shrinkToFit="1"/>
    </xf>
    <xf numFmtId="176" fontId="32" fillId="0" borderId="0" xfId="5" applyNumberFormat="1" applyFont="1" applyAlignment="1">
      <alignment vertical="center" shrinkToFit="1"/>
    </xf>
    <xf numFmtId="178" fontId="23" fillId="0" borderId="0" xfId="4" applyNumberFormat="1" applyFont="1" applyBorder="1" applyAlignment="1">
      <alignment horizontal="right" vertical="center" shrinkToFit="1"/>
    </xf>
    <xf numFmtId="214" fontId="24" fillId="0" borderId="0" xfId="4" applyNumberFormat="1" applyFont="1" applyAlignment="1">
      <alignment horizontal="center" vertical="center" shrinkToFit="1"/>
    </xf>
    <xf numFmtId="38" fontId="24" fillId="0" borderId="0" xfId="4" applyNumberFormat="1" applyFont="1" applyAlignment="1">
      <alignment horizontal="center" vertical="center" shrinkToFit="1"/>
    </xf>
    <xf numFmtId="215" fontId="24" fillId="0" borderId="0" xfId="4" applyNumberFormat="1" applyFont="1" applyAlignment="1">
      <alignment vertical="center" shrinkToFit="1"/>
    </xf>
    <xf numFmtId="216" fontId="24" fillId="0" borderId="0" xfId="5" applyNumberFormat="1" applyFont="1" applyAlignment="1">
      <alignment horizontal="left" vertical="center" shrinkToFit="1"/>
    </xf>
    <xf numFmtId="38" fontId="24" fillId="0" borderId="0" xfId="5" applyFont="1" applyAlignment="1">
      <alignment horizontal="right" vertical="center" shrinkToFit="1"/>
    </xf>
    <xf numFmtId="0" fontId="4" fillId="0" borderId="0" xfId="4" applyNumberFormat="1" applyFont="1" applyAlignment="1">
      <alignment vertical="center" shrinkToFit="1"/>
    </xf>
    <xf numFmtId="38" fontId="56" fillId="0" borderId="0" xfId="5" applyFont="1" applyFill="1" applyAlignment="1">
      <alignment horizontal="left" vertical="center" shrinkToFit="1"/>
    </xf>
    <xf numFmtId="0" fontId="24" fillId="0" borderId="0" xfId="4" applyFont="1" applyFill="1" applyAlignment="1">
      <alignment horizontal="left" vertical="center"/>
    </xf>
    <xf numFmtId="176" fontId="23" fillId="0" borderId="0" xfId="4" applyNumberFormat="1" applyFont="1" applyFill="1">
      <alignment vertical="center"/>
    </xf>
    <xf numFmtId="176" fontId="58" fillId="0" borderId="0" xfId="4" applyNumberFormat="1" applyFont="1" applyBorder="1" applyAlignment="1">
      <alignment vertical="center"/>
    </xf>
    <xf numFmtId="0" fontId="4" fillId="4" borderId="0" xfId="4" applyFill="1" applyBorder="1" applyAlignment="1">
      <alignment horizontal="left" vertical="center"/>
    </xf>
    <xf numFmtId="178" fontId="4" fillId="4" borderId="0" xfId="4" applyNumberFormat="1" applyFont="1" applyFill="1" applyBorder="1">
      <alignment vertical="center"/>
    </xf>
    <xf numFmtId="176" fontId="4" fillId="0" borderId="0" xfId="4" applyNumberFormat="1" applyFill="1">
      <alignment vertical="center"/>
    </xf>
    <xf numFmtId="176" fontId="110" fillId="0" borderId="0" xfId="4" applyNumberFormat="1" applyFont="1" applyFill="1">
      <alignment vertical="center"/>
    </xf>
    <xf numFmtId="178" fontId="55" fillId="4" borderId="0" xfId="4" applyNumberFormat="1" applyFont="1" applyFill="1" applyBorder="1" applyAlignment="1">
      <alignment horizontal="left" vertical="center"/>
    </xf>
    <xf numFmtId="176" fontId="111" fillId="0" borderId="0" xfId="4" applyNumberFormat="1" applyFont="1">
      <alignment vertical="center"/>
    </xf>
    <xf numFmtId="0" fontId="71" fillId="0" borderId="0" xfId="4" applyFont="1" applyAlignment="1">
      <alignment vertical="center"/>
    </xf>
    <xf numFmtId="0" fontId="22" fillId="0" borderId="0" xfId="4" applyFont="1" applyAlignment="1">
      <alignment horizontal="right" vertical="center" shrinkToFit="1"/>
    </xf>
    <xf numFmtId="0" fontId="23" fillId="0" borderId="0" xfId="4" applyFont="1" applyFill="1" applyBorder="1">
      <alignment vertical="center"/>
    </xf>
    <xf numFmtId="178" fontId="4" fillId="0" borderId="0" xfId="4" applyNumberFormat="1" applyFont="1" applyFill="1" applyBorder="1" applyAlignment="1">
      <alignment horizontal="right" vertical="center"/>
    </xf>
    <xf numFmtId="199" fontId="22" fillId="0" borderId="0" xfId="4" applyNumberFormat="1" applyFont="1" applyFill="1" applyBorder="1" applyAlignment="1">
      <alignment horizontal="right" vertical="center"/>
    </xf>
    <xf numFmtId="199" fontId="24" fillId="0" borderId="0" xfId="4" applyNumberFormat="1" applyFont="1" applyFill="1" applyAlignment="1">
      <alignment vertical="center" wrapText="1"/>
    </xf>
    <xf numFmtId="200" fontId="4" fillId="0" borderId="0" xfId="4" applyNumberFormat="1" applyFill="1" applyBorder="1" applyAlignment="1">
      <alignment horizontal="left" vertical="center"/>
    </xf>
    <xf numFmtId="0" fontId="23" fillId="0" borderId="0" xfId="4" applyNumberFormat="1" applyFont="1" applyFill="1" applyBorder="1">
      <alignment vertical="center"/>
    </xf>
    <xf numFmtId="176" fontId="23" fillId="0" borderId="0" xfId="4" applyNumberFormat="1" applyFont="1" applyFill="1" applyBorder="1" applyAlignment="1">
      <alignment vertical="center"/>
    </xf>
    <xf numFmtId="201" fontId="22" fillId="0" borderId="0" xfId="4" applyNumberFormat="1" applyFont="1" applyFill="1" applyBorder="1" applyAlignment="1">
      <alignment horizontal="right" vertical="center" shrinkToFit="1"/>
    </xf>
    <xf numFmtId="178" fontId="24" fillId="0" borderId="2" xfId="4" applyNumberFormat="1" applyFont="1" applyFill="1" applyBorder="1" applyAlignment="1">
      <alignment vertical="center" shrinkToFit="1"/>
    </xf>
    <xf numFmtId="176" fontId="3" fillId="0" borderId="0" xfId="4" applyNumberFormat="1" applyFont="1" applyFill="1" applyBorder="1" applyAlignment="1">
      <alignment vertical="center"/>
    </xf>
    <xf numFmtId="199" fontId="24" fillId="0" borderId="0" xfId="4" applyNumberFormat="1" applyFont="1" applyFill="1" applyBorder="1">
      <alignment vertical="center"/>
    </xf>
    <xf numFmtId="0" fontId="67" fillId="0" borderId="0" xfId="4" applyFont="1" applyBorder="1" applyAlignment="1">
      <alignment vertical="center"/>
    </xf>
    <xf numFmtId="176" fontId="23" fillId="0" borderId="0" xfId="4" applyNumberFormat="1" applyFont="1" applyBorder="1" applyAlignment="1">
      <alignment vertical="center" wrapText="1"/>
    </xf>
    <xf numFmtId="199" fontId="24" fillId="4" borderId="0" xfId="4" applyNumberFormat="1" applyFont="1" applyFill="1" applyAlignment="1">
      <alignment vertical="center" wrapText="1"/>
    </xf>
    <xf numFmtId="176" fontId="4" fillId="4" borderId="0" xfId="4" applyNumberFormat="1" applyFill="1" applyBorder="1" applyAlignment="1">
      <alignment horizontal="left" vertical="center"/>
    </xf>
    <xf numFmtId="176" fontId="4" fillId="4" borderId="0" xfId="4" applyNumberFormat="1" applyFill="1" applyBorder="1" applyAlignment="1">
      <alignment horizontal="left" vertical="center" shrinkToFit="1"/>
    </xf>
    <xf numFmtId="176" fontId="55" fillId="0" borderId="0" xfId="4" applyNumberFormat="1" applyFont="1" applyBorder="1" applyAlignment="1">
      <alignment vertical="center"/>
    </xf>
    <xf numFmtId="0" fontId="4" fillId="0" borderId="0" xfId="4" applyNumberFormat="1" applyAlignment="1">
      <alignment vertical="center"/>
    </xf>
    <xf numFmtId="180" fontId="66" fillId="0" borderId="0" xfId="4" applyNumberFormat="1" applyFont="1" applyBorder="1" applyAlignment="1">
      <alignment vertical="center"/>
    </xf>
    <xf numFmtId="0" fontId="4" fillId="4" borderId="0" xfId="4" applyFont="1" applyFill="1" applyBorder="1">
      <alignment vertical="center"/>
    </xf>
    <xf numFmtId="199" fontId="75" fillId="0" borderId="0" xfId="4" applyNumberFormat="1" applyFont="1" applyFill="1" applyAlignment="1">
      <alignment vertical="center" wrapText="1"/>
    </xf>
    <xf numFmtId="0" fontId="56" fillId="0" borderId="0" xfId="4" applyFont="1" applyAlignment="1">
      <alignment vertical="center" shrinkToFit="1"/>
    </xf>
    <xf numFmtId="176" fontId="23" fillId="4" borderId="0" xfId="4" applyNumberFormat="1" applyFont="1" applyFill="1" applyBorder="1">
      <alignment vertical="center"/>
    </xf>
    <xf numFmtId="176" fontId="24" fillId="0" borderId="219" xfId="2" applyNumberFormat="1" applyFont="1" applyFill="1" applyBorder="1" applyAlignment="1">
      <alignment horizontal="right" vertical="center" shrinkToFit="1"/>
    </xf>
    <xf numFmtId="176" fontId="24" fillId="4" borderId="219" xfId="2" applyNumberFormat="1" applyFont="1" applyFill="1" applyBorder="1" applyAlignment="1">
      <alignment horizontal="right" vertical="center" shrinkToFit="1"/>
    </xf>
    <xf numFmtId="176" fontId="24" fillId="4" borderId="220" xfId="2" applyNumberFormat="1" applyFont="1" applyFill="1" applyBorder="1" applyAlignment="1">
      <alignment horizontal="right" vertical="center" shrinkToFit="1"/>
    </xf>
    <xf numFmtId="0" fontId="24" fillId="4" borderId="0" xfId="4" applyFont="1" applyFill="1" applyAlignment="1">
      <alignment horizontal="center" vertical="center"/>
    </xf>
    <xf numFmtId="0" fontId="24" fillId="4" borderId="5" xfId="4" applyFont="1" applyFill="1" applyBorder="1" applyAlignment="1"/>
    <xf numFmtId="0" fontId="4" fillId="4" borderId="17" xfId="4" applyFill="1" applyBorder="1" applyAlignment="1"/>
    <xf numFmtId="176" fontId="78" fillId="4" borderId="69" xfId="2" applyNumberFormat="1" applyFont="1" applyFill="1" applyBorder="1" applyAlignment="1">
      <alignment horizontal="right" vertical="center" shrinkToFit="1"/>
    </xf>
    <xf numFmtId="176" fontId="32" fillId="4" borderId="139" xfId="2" applyNumberFormat="1" applyFont="1" applyFill="1" applyBorder="1" applyAlignment="1">
      <alignment horizontal="right" vertical="center" shrinkToFit="1"/>
    </xf>
    <xf numFmtId="176" fontId="32" fillId="4" borderId="142" xfId="2" applyNumberFormat="1" applyFont="1" applyFill="1" applyBorder="1" applyAlignment="1">
      <alignment horizontal="right" vertical="center" shrinkToFit="1"/>
    </xf>
    <xf numFmtId="176" fontId="32" fillId="4" borderId="140" xfId="2" applyNumberFormat="1" applyFont="1" applyFill="1" applyBorder="1" applyAlignment="1">
      <alignment horizontal="right" vertical="center" shrinkToFit="1"/>
    </xf>
    <xf numFmtId="176" fontId="78" fillId="4" borderId="150" xfId="2" applyNumberFormat="1" applyFont="1" applyFill="1" applyBorder="1" applyAlignment="1">
      <alignment horizontal="right" vertical="center" shrinkToFit="1"/>
    </xf>
    <xf numFmtId="176" fontId="78" fillId="4" borderId="179" xfId="2" applyNumberFormat="1" applyFont="1" applyFill="1" applyBorder="1" applyAlignment="1">
      <alignment horizontal="right" vertical="center" shrinkToFit="1"/>
    </xf>
    <xf numFmtId="176" fontId="32" fillId="4" borderId="69" xfId="2" applyNumberFormat="1" applyFont="1" applyFill="1" applyBorder="1" applyAlignment="1">
      <alignment horizontal="right" vertical="center" shrinkToFit="1"/>
    </xf>
    <xf numFmtId="176" fontId="32" fillId="4" borderId="42" xfId="2" applyNumberFormat="1" applyFont="1" applyFill="1" applyBorder="1" applyAlignment="1">
      <alignment horizontal="right" vertical="center" shrinkToFit="1"/>
    </xf>
    <xf numFmtId="176" fontId="32" fillId="4" borderId="0" xfId="2" applyNumberFormat="1" applyFont="1" applyFill="1" applyBorder="1" applyAlignment="1">
      <alignment horizontal="right" vertical="center" shrinkToFit="1"/>
    </xf>
    <xf numFmtId="176" fontId="32" fillId="4" borderId="219" xfId="2" applyNumberFormat="1" applyFont="1" applyFill="1" applyBorder="1" applyAlignment="1">
      <alignment horizontal="right" vertical="center" shrinkToFit="1"/>
    </xf>
    <xf numFmtId="176" fontId="32" fillId="4" borderId="181" xfId="2" applyNumberFormat="1" applyFont="1" applyFill="1" applyBorder="1" applyAlignment="1">
      <alignment horizontal="right" vertical="center" shrinkToFit="1"/>
    </xf>
    <xf numFmtId="176" fontId="78" fillId="4" borderId="17" xfId="2" applyNumberFormat="1" applyFont="1" applyFill="1" applyBorder="1" applyAlignment="1">
      <alignment horizontal="right" vertical="center" shrinkToFit="1"/>
    </xf>
    <xf numFmtId="176" fontId="32" fillId="4" borderId="157" xfId="2" applyNumberFormat="1" applyFont="1" applyFill="1" applyBorder="1" applyAlignment="1">
      <alignment horizontal="right" vertical="center" shrinkToFit="1"/>
    </xf>
    <xf numFmtId="38" fontId="48" fillId="3" borderId="22" xfId="1" applyFont="1" applyFill="1" applyBorder="1" applyAlignment="1">
      <alignment vertical="center" shrinkToFit="1"/>
    </xf>
    <xf numFmtId="38" fontId="48" fillId="3" borderId="5" xfId="1" applyFont="1" applyFill="1" applyBorder="1" applyAlignment="1">
      <alignment vertical="center" shrinkToFit="1"/>
    </xf>
    <xf numFmtId="38" fontId="48" fillId="3" borderId="9" xfId="1" applyFont="1" applyFill="1" applyBorder="1" applyAlignment="1">
      <alignment vertical="center" shrinkToFit="1"/>
    </xf>
    <xf numFmtId="203" fontId="83" fillId="4" borderId="176" xfId="0" applyNumberFormat="1" applyFont="1" applyFill="1" applyBorder="1" applyAlignment="1">
      <alignment horizontal="center" vertical="center" shrinkToFit="1"/>
    </xf>
    <xf numFmtId="204" fontId="83" fillId="4" borderId="175" xfId="1" applyNumberFormat="1" applyFont="1" applyFill="1" applyBorder="1" applyAlignment="1">
      <alignment horizontal="center" vertical="center" shrinkToFit="1"/>
    </xf>
    <xf numFmtId="204" fontId="83" fillId="4" borderId="78" xfId="1" applyNumberFormat="1" applyFont="1" applyFill="1" applyBorder="1" applyAlignment="1">
      <alignment horizontal="center" vertical="center" shrinkToFit="1"/>
    </xf>
    <xf numFmtId="203" fontId="83" fillId="4" borderId="82" xfId="0" applyNumberFormat="1" applyFont="1" applyFill="1" applyBorder="1" applyAlignment="1">
      <alignment horizontal="center" vertical="center" shrinkToFit="1"/>
    </xf>
    <xf numFmtId="204" fontId="83" fillId="4" borderId="176" xfId="1" applyNumberFormat="1" applyFont="1" applyFill="1" applyBorder="1" applyAlignment="1">
      <alignment horizontal="center" vertical="center" shrinkToFit="1"/>
    </xf>
    <xf numFmtId="176" fontId="84" fillId="0" borderId="27" xfId="1" applyNumberFormat="1" applyFont="1" applyFill="1" applyBorder="1" applyAlignment="1">
      <alignment vertical="center" shrinkToFit="1"/>
    </xf>
    <xf numFmtId="176" fontId="85" fillId="7" borderId="34" xfId="1" applyNumberFormat="1" applyFont="1" applyFill="1" applyBorder="1" applyAlignment="1">
      <alignment vertical="center" shrinkToFit="1"/>
    </xf>
    <xf numFmtId="38" fontId="84" fillId="0" borderId="24" xfId="1" applyFont="1" applyFill="1" applyBorder="1" applyAlignment="1">
      <alignment horizontal="center" vertical="center" shrinkToFit="1"/>
    </xf>
    <xf numFmtId="203" fontId="83" fillId="4" borderId="90" xfId="0" applyNumberFormat="1" applyFont="1" applyFill="1" applyBorder="1" applyAlignment="1">
      <alignment vertical="center" shrinkToFit="1"/>
    </xf>
    <xf numFmtId="203" fontId="83" fillId="4" borderId="83" xfId="0" applyNumberFormat="1" applyFont="1" applyFill="1" applyBorder="1" applyAlignment="1">
      <alignment vertical="center" shrinkToFit="1"/>
    </xf>
    <xf numFmtId="203" fontId="83" fillId="4" borderId="166" xfId="0" applyNumberFormat="1" applyFont="1" applyFill="1" applyBorder="1" applyAlignment="1">
      <alignment vertical="center" shrinkToFit="1"/>
    </xf>
    <xf numFmtId="204" fontId="83" fillId="4" borderId="171" xfId="1" applyNumberFormat="1" applyFont="1" applyFill="1" applyBorder="1" applyAlignment="1">
      <alignment vertical="center" shrinkToFit="1"/>
    </xf>
    <xf numFmtId="204" fontId="83" fillId="4" borderId="166" xfId="1" applyNumberFormat="1" applyFont="1" applyFill="1" applyBorder="1" applyAlignment="1">
      <alignment vertical="center" shrinkToFit="1"/>
    </xf>
    <xf numFmtId="204" fontId="83" fillId="4" borderId="151" xfId="1" applyNumberFormat="1" applyFont="1" applyFill="1" applyBorder="1" applyAlignment="1">
      <alignment vertical="center" shrinkToFit="1"/>
    </xf>
    <xf numFmtId="217" fontId="83" fillId="0" borderId="81" xfId="1" applyNumberFormat="1" applyFont="1" applyFill="1" applyBorder="1" applyAlignment="1">
      <alignment horizontal="center" vertical="center" shrinkToFit="1"/>
    </xf>
    <xf numFmtId="203" fontId="83" fillId="0" borderId="223" xfId="1" applyNumberFormat="1" applyFont="1" applyFill="1" applyBorder="1" applyAlignment="1">
      <alignment horizontal="center" vertical="center" shrinkToFit="1"/>
    </xf>
    <xf numFmtId="204" fontId="83" fillId="0" borderId="223" xfId="1" applyNumberFormat="1" applyFont="1" applyFill="1" applyBorder="1" applyAlignment="1">
      <alignment horizontal="center" vertical="center" shrinkToFit="1"/>
    </xf>
    <xf numFmtId="204" fontId="83" fillId="0" borderId="222" xfId="1" applyNumberFormat="1" applyFont="1" applyFill="1" applyBorder="1" applyAlignment="1">
      <alignment horizontal="center" vertical="center" shrinkToFit="1"/>
    </xf>
    <xf numFmtId="204" fontId="83" fillId="0" borderId="80" xfId="1" applyNumberFormat="1" applyFont="1" applyFill="1" applyBorder="1" applyAlignment="1">
      <alignment horizontal="center" vertical="center" shrinkToFit="1"/>
    </xf>
    <xf numFmtId="177" fontId="84" fillId="0" borderId="20" xfId="0" applyNumberFormat="1" applyFont="1" applyFill="1" applyBorder="1" applyAlignment="1">
      <alignment horizontal="center" vertical="center" shrinkToFit="1"/>
    </xf>
    <xf numFmtId="38" fontId="114" fillId="0" borderId="0" xfId="1" applyFont="1" applyFill="1">
      <alignment vertical="center"/>
    </xf>
    <xf numFmtId="0" fontId="114" fillId="0" borderId="0" xfId="0" applyFont="1">
      <alignment vertical="center"/>
    </xf>
    <xf numFmtId="58" fontId="114" fillId="0" borderId="0" xfId="0" applyNumberFormat="1" applyFont="1" applyAlignment="1">
      <alignment vertical="center"/>
    </xf>
    <xf numFmtId="0" fontId="114" fillId="0" borderId="0" xfId="0" applyFont="1" applyAlignment="1">
      <alignment horizontal="right" vertical="center"/>
    </xf>
    <xf numFmtId="38" fontId="116" fillId="0" borderId="0" xfId="1" applyFont="1" applyFill="1" applyAlignment="1">
      <alignment horizontal="left" vertical="center"/>
    </xf>
    <xf numFmtId="38" fontId="117" fillId="0" borderId="0" xfId="1" applyFont="1" applyFill="1" applyAlignment="1">
      <alignment horizontal="left" vertical="center"/>
    </xf>
    <xf numFmtId="38" fontId="118" fillId="0" borderId="0" xfId="1" applyFont="1" applyFill="1" applyAlignment="1">
      <alignment horizontal="left" vertical="center"/>
    </xf>
    <xf numFmtId="0" fontId="117" fillId="0" borderId="0" xfId="0" applyFont="1" applyAlignment="1">
      <alignment horizontal="center" vertical="center"/>
    </xf>
    <xf numFmtId="38" fontId="117" fillId="0" borderId="0" xfId="1" applyFont="1" applyFill="1" applyAlignment="1">
      <alignment horizontal="center" vertical="center"/>
    </xf>
    <xf numFmtId="38" fontId="119" fillId="0" borderId="0" xfId="1" applyFont="1" applyFill="1" applyAlignment="1">
      <alignment horizontal="left" vertical="center"/>
    </xf>
    <xf numFmtId="0" fontId="117" fillId="0" borderId="0" xfId="0" applyFont="1" applyAlignment="1">
      <alignment horizontal="center" vertical="top"/>
    </xf>
    <xf numFmtId="38" fontId="120" fillId="0" borderId="0" xfId="1" applyFont="1" applyFill="1" applyAlignment="1">
      <alignment horizontal="left" vertical="center"/>
    </xf>
    <xf numFmtId="181" fontId="121" fillId="0" borderId="0" xfId="4" applyNumberFormat="1" applyFont="1" applyFill="1" applyBorder="1" applyAlignment="1">
      <alignment vertical="center" shrinkToFit="1"/>
    </xf>
    <xf numFmtId="0" fontId="23" fillId="0" borderId="0" xfId="4" applyFont="1" applyFill="1" applyBorder="1" applyAlignment="1">
      <alignment horizontal="left" vertical="center" indent="2"/>
    </xf>
    <xf numFmtId="38" fontId="24" fillId="9" borderId="47" xfId="5" applyFont="1" applyFill="1" applyBorder="1" applyAlignment="1">
      <alignment vertical="center" shrinkToFit="1"/>
    </xf>
    <xf numFmtId="38" fontId="24" fillId="9" borderId="186" xfId="5" applyFont="1" applyFill="1" applyBorder="1" applyAlignment="1">
      <alignment vertical="center" shrinkToFit="1"/>
    </xf>
    <xf numFmtId="38" fontId="24" fillId="9" borderId="187" xfId="5" applyFont="1" applyFill="1" applyBorder="1" applyAlignment="1">
      <alignment vertical="center" shrinkToFit="1"/>
    </xf>
    <xf numFmtId="0" fontId="32" fillId="4" borderId="0" xfId="4" applyFont="1" applyFill="1" applyAlignment="1"/>
    <xf numFmtId="0" fontId="32" fillId="0" borderId="0" xfId="4" applyFont="1" applyAlignment="1"/>
    <xf numFmtId="178" fontId="32" fillId="0" borderId="16" xfId="4" applyNumberFormat="1" applyFont="1" applyFill="1" applyBorder="1" applyAlignment="1">
      <alignment horizontal="right" vertical="center" shrinkToFit="1"/>
    </xf>
    <xf numFmtId="178" fontId="32" fillId="0" borderId="41" xfId="4" applyNumberFormat="1" applyFont="1" applyFill="1" applyBorder="1" applyAlignment="1">
      <alignment horizontal="right" vertical="center" shrinkToFit="1"/>
    </xf>
    <xf numFmtId="38" fontId="32" fillId="0" borderId="41" xfId="5" applyFont="1" applyFill="1" applyBorder="1" applyAlignment="1">
      <alignment horizontal="right" vertical="center" shrinkToFit="1"/>
    </xf>
    <xf numFmtId="178" fontId="32" fillId="0" borderId="42" xfId="4" applyNumberFormat="1" applyFont="1" applyFill="1" applyBorder="1" applyAlignment="1">
      <alignment vertical="center" shrinkToFit="1"/>
    </xf>
    <xf numFmtId="178" fontId="32" fillId="0" borderId="41" xfId="4" applyNumberFormat="1" applyFont="1" applyFill="1" applyBorder="1" applyAlignment="1">
      <alignment vertical="center" shrinkToFit="1"/>
    </xf>
    <xf numFmtId="178" fontId="32" fillId="0" borderId="58" xfId="4" applyNumberFormat="1" applyFont="1" applyFill="1" applyBorder="1" applyAlignment="1">
      <alignment horizontal="right" vertical="center" shrinkToFit="1"/>
    </xf>
    <xf numFmtId="178" fontId="58" fillId="0" borderId="57" xfId="4" applyNumberFormat="1" applyFont="1" applyFill="1" applyBorder="1" applyAlignment="1">
      <alignment horizontal="right" wrapText="1" shrinkToFit="1"/>
    </xf>
    <xf numFmtId="178" fontId="105" fillId="0" borderId="57" xfId="4" applyNumberFormat="1" applyFont="1" applyBorder="1" applyAlignment="1">
      <alignment horizontal="right" wrapText="1" shrinkToFit="1"/>
    </xf>
    <xf numFmtId="195" fontId="58" fillId="0" borderId="58" xfId="4" applyNumberFormat="1" applyFont="1" applyBorder="1" applyAlignment="1">
      <alignment horizontal="left" shrinkToFit="1"/>
    </xf>
    <xf numFmtId="0" fontId="23" fillId="0" borderId="0" xfId="4" applyFont="1" applyBorder="1" applyAlignment="1">
      <alignment vertical="center"/>
    </xf>
    <xf numFmtId="38" fontId="58" fillId="0" borderId="0" xfId="4" applyNumberFormat="1" applyFont="1" applyAlignment="1">
      <alignment vertical="center" shrinkToFit="1"/>
    </xf>
    <xf numFmtId="176" fontId="32" fillId="0" borderId="0" xfId="4" applyNumberFormat="1" applyFont="1" applyFill="1" applyBorder="1" applyAlignment="1">
      <alignment horizontal="right" vertical="center" shrinkToFit="1"/>
    </xf>
    <xf numFmtId="176" fontId="23" fillId="0" borderId="0" xfId="4" applyNumberFormat="1" applyFont="1" applyFill="1" applyAlignment="1">
      <alignment horizontal="left" vertical="center" shrinkToFit="1"/>
    </xf>
    <xf numFmtId="199" fontId="32" fillId="0" borderId="0" xfId="4" applyNumberFormat="1" applyFont="1" applyFill="1" applyAlignment="1">
      <alignment horizontal="right" vertical="center" wrapText="1"/>
    </xf>
    <xf numFmtId="0" fontId="32" fillId="0" borderId="0" xfId="4" applyFont="1" applyFill="1" applyBorder="1">
      <alignment vertical="center"/>
    </xf>
    <xf numFmtId="0" fontId="58" fillId="0" borderId="0" xfId="4" applyFont="1" applyFill="1" applyBorder="1">
      <alignment vertical="center"/>
    </xf>
    <xf numFmtId="199" fontId="32" fillId="0" borderId="0" xfId="4" applyNumberFormat="1" applyFont="1" applyFill="1" applyBorder="1" applyAlignment="1">
      <alignment horizontal="right" vertical="center"/>
    </xf>
    <xf numFmtId="176" fontId="24" fillId="2" borderId="154" xfId="2" applyNumberFormat="1" applyFont="1" applyFill="1" applyBorder="1" applyAlignment="1">
      <alignment horizontal="right" vertical="center" shrinkToFit="1"/>
    </xf>
    <xf numFmtId="176" fontId="24" fillId="2" borderId="55" xfId="2" applyNumberFormat="1" applyFont="1" applyFill="1" applyBorder="1" applyAlignment="1">
      <alignment horizontal="right" vertical="center" shrinkToFit="1"/>
    </xf>
    <xf numFmtId="176" fontId="122" fillId="2" borderId="59" xfId="2" applyNumberFormat="1" applyFont="1" applyFill="1" applyBorder="1" applyAlignment="1">
      <alignment horizontal="right" vertical="center" shrinkToFit="1"/>
    </xf>
    <xf numFmtId="176" fontId="122" fillId="2" borderId="42" xfId="2" applyNumberFormat="1" applyFont="1" applyFill="1" applyBorder="1" applyAlignment="1">
      <alignment horizontal="right" vertical="center" shrinkToFit="1"/>
    </xf>
    <xf numFmtId="176" fontId="122" fillId="2" borderId="139" xfId="2" applyNumberFormat="1" applyFont="1" applyFill="1" applyBorder="1" applyAlignment="1">
      <alignment horizontal="right" vertical="center" shrinkToFit="1"/>
    </xf>
    <xf numFmtId="176" fontId="122" fillId="2" borderId="142" xfId="2" applyNumberFormat="1" applyFont="1" applyFill="1" applyBorder="1" applyAlignment="1">
      <alignment horizontal="right" vertical="center" shrinkToFit="1"/>
    </xf>
    <xf numFmtId="176" fontId="122" fillId="2" borderId="140" xfId="2" applyNumberFormat="1" applyFont="1" applyFill="1" applyBorder="1" applyAlignment="1">
      <alignment horizontal="right" vertical="center" shrinkToFit="1"/>
    </xf>
    <xf numFmtId="176" fontId="122" fillId="2" borderId="69" xfId="2" applyNumberFormat="1" applyFont="1" applyFill="1" applyBorder="1" applyAlignment="1">
      <alignment horizontal="right" vertical="center" shrinkToFit="1"/>
    </xf>
    <xf numFmtId="176" fontId="122" fillId="2" borderId="46" xfId="2" applyNumberFormat="1" applyFont="1" applyFill="1" applyBorder="1" applyAlignment="1">
      <alignment horizontal="right" vertical="center" shrinkToFit="1"/>
    </xf>
    <xf numFmtId="176" fontId="122" fillId="2" borderId="190" xfId="2" applyNumberFormat="1" applyFont="1" applyFill="1" applyBorder="1" applyAlignment="1">
      <alignment horizontal="right" vertical="center" shrinkToFit="1"/>
    </xf>
    <xf numFmtId="176" fontId="122" fillId="2" borderId="191" xfId="2" applyNumberFormat="1" applyFont="1" applyFill="1" applyBorder="1" applyAlignment="1">
      <alignment horizontal="right" vertical="center" shrinkToFit="1"/>
    </xf>
    <xf numFmtId="176" fontId="122" fillId="2" borderId="55" xfId="2" applyNumberFormat="1" applyFont="1" applyFill="1" applyBorder="1" applyAlignment="1">
      <alignment horizontal="right" vertical="center" shrinkToFit="1"/>
    </xf>
    <xf numFmtId="176" fontId="78" fillId="2" borderId="59" xfId="2" applyNumberFormat="1" applyFont="1" applyFill="1" applyBorder="1" applyAlignment="1">
      <alignment horizontal="right" vertical="center" shrinkToFit="1"/>
    </xf>
    <xf numFmtId="176" fontId="78" fillId="2" borderId="42" xfId="2" applyNumberFormat="1" applyFont="1" applyFill="1" applyBorder="1" applyAlignment="1">
      <alignment horizontal="right" vertical="center" shrinkToFit="1"/>
    </xf>
    <xf numFmtId="176" fontId="78" fillId="2" borderId="139" xfId="2" applyNumberFormat="1" applyFont="1" applyFill="1" applyBorder="1" applyAlignment="1">
      <alignment horizontal="right" vertical="center" shrinkToFit="1"/>
    </xf>
    <xf numFmtId="176" fontId="78" fillId="2" borderId="142" xfId="2" applyNumberFormat="1" applyFont="1" applyFill="1" applyBorder="1" applyAlignment="1">
      <alignment horizontal="right" vertical="center" shrinkToFit="1"/>
    </xf>
    <xf numFmtId="176" fontId="78" fillId="2" borderId="140" xfId="2" applyNumberFormat="1" applyFont="1" applyFill="1" applyBorder="1" applyAlignment="1">
      <alignment horizontal="right" vertical="center" shrinkToFit="1"/>
    </xf>
    <xf numFmtId="176" fontId="78" fillId="2" borderId="69" xfId="2" applyNumberFormat="1" applyFont="1" applyFill="1" applyBorder="1" applyAlignment="1">
      <alignment horizontal="right" vertical="center" shrinkToFit="1"/>
    </xf>
    <xf numFmtId="176" fontId="78" fillId="2" borderId="46" xfId="2" applyNumberFormat="1" applyFont="1" applyFill="1" applyBorder="1" applyAlignment="1">
      <alignment horizontal="right" vertical="center" shrinkToFit="1"/>
    </xf>
    <xf numFmtId="176" fontId="78" fillId="2" borderId="190" xfId="2" applyNumberFormat="1" applyFont="1" applyFill="1" applyBorder="1" applyAlignment="1">
      <alignment horizontal="right" vertical="center" shrinkToFit="1"/>
    </xf>
    <xf numFmtId="176" fontId="78" fillId="2" borderId="191" xfId="2" applyNumberFormat="1" applyFont="1" applyFill="1" applyBorder="1" applyAlignment="1">
      <alignment horizontal="right" vertical="center" shrinkToFit="1"/>
    </xf>
    <xf numFmtId="176" fontId="78" fillId="2" borderId="55" xfId="2" applyNumberFormat="1" applyFont="1" applyFill="1" applyBorder="1" applyAlignment="1">
      <alignment horizontal="right" vertical="center" shrinkToFit="1"/>
    </xf>
    <xf numFmtId="178" fontId="24" fillId="0" borderId="12" xfId="4" applyNumberFormat="1" applyFont="1" applyFill="1" applyBorder="1" applyAlignment="1">
      <alignment horizontal="right" vertical="center" shrinkToFit="1"/>
    </xf>
    <xf numFmtId="178" fontId="24" fillId="0" borderId="24" xfId="4" applyNumberFormat="1" applyFont="1" applyFill="1" applyBorder="1" applyAlignment="1">
      <alignment horizontal="right" vertical="center" shrinkToFit="1"/>
    </xf>
    <xf numFmtId="178" fontId="23" fillId="9" borderId="41" xfId="4" applyNumberFormat="1" applyFont="1" applyFill="1" applyBorder="1" applyAlignment="1">
      <alignment horizontal="right" vertical="center" shrinkToFit="1"/>
    </xf>
    <xf numFmtId="176" fontId="56" fillId="0" borderId="0" xfId="4" applyNumberFormat="1" applyFont="1" applyFill="1" applyAlignment="1">
      <alignment horizontal="left" vertical="center" shrinkToFit="1"/>
    </xf>
    <xf numFmtId="38" fontId="4" fillId="0" borderId="139" xfId="5" applyFont="1" applyFill="1" applyBorder="1" applyAlignment="1">
      <alignment vertical="center" shrinkToFit="1"/>
    </xf>
    <xf numFmtId="38" fontId="4" fillId="0" borderId="142" xfId="5" applyFont="1" applyFill="1" applyBorder="1" applyAlignment="1">
      <alignment vertical="center" shrinkToFit="1"/>
    </xf>
    <xf numFmtId="38" fontId="4" fillId="0" borderId="140" xfId="5" applyFont="1" applyFill="1" applyBorder="1" applyAlignment="1">
      <alignment vertical="center" shrinkToFit="1"/>
    </xf>
    <xf numFmtId="38" fontId="4" fillId="0" borderId="42" xfId="5" applyFont="1" applyFill="1" applyBorder="1" applyAlignment="1">
      <alignment vertical="center" shrinkToFit="1"/>
    </xf>
    <xf numFmtId="38" fontId="4" fillId="0" borderId="69" xfId="5" applyFont="1" applyFill="1" applyBorder="1" applyAlignment="1">
      <alignment vertical="center" shrinkToFit="1"/>
    </xf>
    <xf numFmtId="38" fontId="4" fillId="0" borderId="46" xfId="5" applyFont="1" applyFill="1" applyBorder="1" applyAlignment="1">
      <alignment vertical="center" shrinkToFit="1"/>
    </xf>
    <xf numFmtId="38" fontId="4" fillId="0" borderId="179" xfId="5" applyFont="1" applyFill="1" applyBorder="1" applyAlignment="1">
      <alignment vertical="center" shrinkToFit="1"/>
    </xf>
    <xf numFmtId="38" fontId="4" fillId="0" borderId="180" xfId="5" applyFont="1" applyFill="1" applyBorder="1" applyAlignment="1">
      <alignment vertical="center" shrinkToFit="1"/>
    </xf>
    <xf numFmtId="38" fontId="4" fillId="0" borderId="143" xfId="5" applyFont="1" applyFill="1" applyBorder="1" applyAlignment="1">
      <alignment vertical="center" shrinkToFit="1"/>
    </xf>
    <xf numFmtId="38" fontId="4" fillId="0" borderId="144" xfId="5" applyFont="1" applyFill="1" applyBorder="1" applyAlignment="1">
      <alignment vertical="center" shrinkToFit="1"/>
    </xf>
    <xf numFmtId="38" fontId="4" fillId="0" borderId="145" xfId="5" applyFont="1" applyFill="1" applyBorder="1" applyAlignment="1">
      <alignment vertical="center" shrinkToFit="1"/>
    </xf>
    <xf numFmtId="38" fontId="4" fillId="0" borderId="146" xfId="5" applyFont="1" applyFill="1" applyBorder="1" applyAlignment="1">
      <alignment vertical="center" shrinkToFit="1"/>
    </xf>
    <xf numFmtId="38" fontId="4" fillId="0" borderId="41" xfId="5" applyFont="1" applyFill="1" applyBorder="1" applyAlignment="1">
      <alignment vertical="center" shrinkToFit="1"/>
    </xf>
    <xf numFmtId="38" fontId="4" fillId="0" borderId="0" xfId="5" applyFont="1" applyFill="1" applyBorder="1" applyAlignment="1">
      <alignment vertical="center" shrinkToFit="1"/>
    </xf>
    <xf numFmtId="38" fontId="4" fillId="0" borderId="27" xfId="5" applyFont="1" applyFill="1" applyBorder="1" applyAlignment="1">
      <alignment vertical="center" shrinkToFit="1"/>
    </xf>
    <xf numFmtId="38" fontId="4" fillId="0" borderId="181" xfId="5" applyFont="1" applyFill="1" applyBorder="1" applyAlignment="1">
      <alignment vertical="center" shrinkToFit="1"/>
    </xf>
    <xf numFmtId="38" fontId="4" fillId="0" borderId="182" xfId="5" applyFont="1" applyFill="1" applyBorder="1" applyAlignment="1">
      <alignment vertical="center" shrinkToFit="1"/>
    </xf>
    <xf numFmtId="38" fontId="4" fillId="0" borderId="147" xfId="5" applyFont="1" applyFill="1" applyBorder="1" applyAlignment="1">
      <alignment vertical="center" shrinkToFit="1"/>
    </xf>
    <xf numFmtId="38" fontId="4" fillId="0" borderId="148" xfId="5" applyFont="1" applyFill="1" applyBorder="1" applyAlignment="1">
      <alignment vertical="center" shrinkToFit="1"/>
    </xf>
    <xf numFmtId="38" fontId="4" fillId="0" borderId="0" xfId="5" applyFont="1" applyFill="1" applyAlignment="1">
      <alignment vertical="center"/>
    </xf>
    <xf numFmtId="38" fontId="4" fillId="0" borderId="0" xfId="5" applyFont="1" applyFill="1" applyAlignment="1">
      <alignment horizontal="right" vertical="center"/>
    </xf>
    <xf numFmtId="38" fontId="4" fillId="0" borderId="0" xfId="5" applyFont="1" applyFill="1" applyAlignment="1">
      <alignment vertical="center" shrinkToFit="1"/>
    </xf>
    <xf numFmtId="38" fontId="123" fillId="0" borderId="0" xfId="5" applyFont="1" applyFill="1" applyAlignment="1">
      <alignment vertical="center" shrinkToFit="1"/>
    </xf>
    <xf numFmtId="176" fontId="4" fillId="0" borderId="144" xfId="2" applyNumberFormat="1" applyFont="1" applyFill="1" applyBorder="1" applyAlignment="1">
      <alignment horizontal="right" vertical="center" shrinkToFit="1"/>
    </xf>
    <xf numFmtId="176" fontId="4" fillId="0" borderId="41" xfId="2" applyNumberFormat="1" applyFont="1" applyFill="1" applyBorder="1" applyAlignment="1">
      <alignment horizontal="right" vertical="center" shrinkToFit="1"/>
    </xf>
    <xf numFmtId="176" fontId="4" fillId="0" borderId="146" xfId="2" applyNumberFormat="1" applyFont="1" applyFill="1" applyBorder="1" applyAlignment="1">
      <alignment horizontal="right" vertical="center" shrinkToFit="1"/>
    </xf>
    <xf numFmtId="176" fontId="4" fillId="0" borderId="0" xfId="2" applyNumberFormat="1" applyFont="1" applyFill="1" applyBorder="1" applyAlignment="1">
      <alignment horizontal="right" vertical="center" shrinkToFit="1"/>
    </xf>
    <xf numFmtId="176" fontId="4" fillId="0" borderId="27" xfId="2" applyNumberFormat="1" applyFont="1" applyFill="1" applyBorder="1" applyAlignment="1">
      <alignment horizontal="right" vertical="center" shrinkToFit="1"/>
    </xf>
    <xf numFmtId="176" fontId="4" fillId="0" borderId="192" xfId="2" applyNumberFormat="1" applyFont="1" applyFill="1" applyBorder="1" applyAlignment="1">
      <alignment horizontal="right" vertical="center" shrinkToFit="1"/>
    </xf>
    <xf numFmtId="176" fontId="4" fillId="0" borderId="193" xfId="2" applyNumberFormat="1" applyFont="1" applyFill="1" applyBorder="1" applyAlignment="1">
      <alignment horizontal="right" vertical="center" shrinkToFit="1"/>
    </xf>
    <xf numFmtId="176" fontId="4" fillId="0" borderId="53" xfId="2" applyNumberFormat="1" applyFont="1" applyFill="1" applyBorder="1" applyAlignment="1">
      <alignment horizontal="right" vertical="center" shrinkToFit="1"/>
    </xf>
    <xf numFmtId="176" fontId="4" fillId="25" borderId="41" xfId="2" applyNumberFormat="1" applyFont="1" applyFill="1" applyBorder="1" applyAlignment="1">
      <alignment horizontal="right" vertical="center" shrinkToFit="1"/>
    </xf>
    <xf numFmtId="176" fontId="4" fillId="25" borderId="144" xfId="2" applyNumberFormat="1" applyFont="1" applyFill="1" applyBorder="1" applyAlignment="1">
      <alignment horizontal="right" vertical="center" shrinkToFit="1"/>
    </xf>
    <xf numFmtId="176" fontId="4" fillId="25" borderId="146" xfId="2" applyNumberFormat="1" applyFont="1" applyFill="1" applyBorder="1" applyAlignment="1">
      <alignment horizontal="right" vertical="center" shrinkToFit="1"/>
    </xf>
    <xf numFmtId="176" fontId="4" fillId="25" borderId="0" xfId="2" applyNumberFormat="1" applyFont="1" applyFill="1" applyBorder="1" applyAlignment="1">
      <alignment horizontal="right" vertical="center" shrinkToFit="1"/>
    </xf>
    <xf numFmtId="176" fontId="4" fillId="25" borderId="27" xfId="2" applyNumberFormat="1" applyFont="1" applyFill="1" applyBorder="1" applyAlignment="1">
      <alignment horizontal="right" vertical="center" shrinkToFit="1"/>
    </xf>
    <xf numFmtId="176" fontId="4" fillId="25" borderId="192" xfId="2" applyNumberFormat="1" applyFont="1" applyFill="1" applyBorder="1" applyAlignment="1">
      <alignment horizontal="right" vertical="center" shrinkToFit="1"/>
    </xf>
    <xf numFmtId="176" fontId="4" fillId="25" borderId="193" xfId="2" applyNumberFormat="1" applyFont="1" applyFill="1" applyBorder="1" applyAlignment="1">
      <alignment horizontal="right" vertical="center" shrinkToFit="1"/>
    </xf>
    <xf numFmtId="176" fontId="4" fillId="25" borderId="53" xfId="2" applyNumberFormat="1" applyFont="1" applyFill="1" applyBorder="1" applyAlignment="1">
      <alignment horizontal="right" vertical="center" shrinkToFit="1"/>
    </xf>
    <xf numFmtId="176" fontId="24" fillId="25" borderId="194" xfId="2" applyNumberFormat="1" applyFont="1" applyFill="1" applyBorder="1" applyAlignment="1">
      <alignment horizontal="right" shrinkToFit="1"/>
    </xf>
    <xf numFmtId="176" fontId="24" fillId="25" borderId="195" xfId="2" applyNumberFormat="1" applyFont="1" applyFill="1" applyBorder="1" applyAlignment="1">
      <alignment horizontal="right" shrinkToFit="1"/>
    </xf>
    <xf numFmtId="176" fontId="4" fillId="25" borderId="157" xfId="2" applyNumberFormat="1" applyFont="1" applyFill="1" applyBorder="1" applyAlignment="1">
      <alignment horizontal="right" vertical="center" shrinkToFit="1"/>
    </xf>
    <xf numFmtId="176" fontId="4" fillId="25" borderId="11" xfId="2" applyNumberFormat="1" applyFont="1" applyFill="1" applyBorder="1" applyAlignment="1">
      <alignment horizontal="right" vertical="center" shrinkToFit="1"/>
    </xf>
    <xf numFmtId="176" fontId="4" fillId="25" borderId="13" xfId="2" applyNumberFormat="1" applyFont="1" applyFill="1" applyBorder="1" applyAlignment="1">
      <alignment horizontal="right" vertical="center" shrinkToFit="1"/>
    </xf>
    <xf numFmtId="176" fontId="4" fillId="25" borderId="43" xfId="2" applyNumberFormat="1" applyFont="1" applyFill="1" applyBorder="1" applyAlignment="1">
      <alignment horizontal="right" vertical="center" shrinkToFit="1"/>
    </xf>
    <xf numFmtId="0" fontId="4" fillId="25" borderId="66" xfId="4" applyFill="1" applyBorder="1" applyAlignment="1">
      <alignment horizontal="center" vertical="center" shrinkToFit="1"/>
    </xf>
    <xf numFmtId="0" fontId="4" fillId="25" borderId="66" xfId="4" applyFont="1" applyFill="1" applyBorder="1" applyAlignment="1">
      <alignment horizontal="center" vertical="center" shrinkToFit="1"/>
    </xf>
    <xf numFmtId="176" fontId="24" fillId="25" borderId="1" xfId="2" applyNumberFormat="1" applyFont="1" applyFill="1" applyBorder="1" applyAlignment="1">
      <alignment horizontal="right" shrinkToFit="1"/>
    </xf>
    <xf numFmtId="176" fontId="24" fillId="25" borderId="224" xfId="2" applyNumberFormat="1" applyFont="1" applyFill="1" applyBorder="1" applyAlignment="1">
      <alignment horizontal="right" shrinkToFit="1"/>
    </xf>
    <xf numFmtId="0" fontId="4" fillId="24" borderId="66" xfId="4" applyFill="1" applyBorder="1" applyAlignment="1">
      <alignment horizontal="center" vertical="center" shrinkToFit="1"/>
    </xf>
    <xf numFmtId="176" fontId="32" fillId="24" borderId="149" xfId="2" applyNumberFormat="1" applyFont="1" applyFill="1" applyBorder="1" applyAlignment="1">
      <alignment horizontal="right" vertical="center" shrinkToFit="1"/>
    </xf>
    <xf numFmtId="176" fontId="32" fillId="24" borderId="53" xfId="2" applyNumberFormat="1" applyFont="1" applyFill="1" applyBorder="1" applyAlignment="1">
      <alignment horizontal="right" vertical="center" shrinkToFit="1"/>
    </xf>
    <xf numFmtId="176" fontId="32" fillId="24" borderId="0" xfId="2" applyNumberFormat="1" applyFont="1" applyFill="1" applyBorder="1" applyAlignment="1">
      <alignment horizontal="right" vertical="center" shrinkToFit="1"/>
    </xf>
    <xf numFmtId="176" fontId="32" fillId="24" borderId="144" xfId="2" applyNumberFormat="1" applyFont="1" applyFill="1" applyBorder="1" applyAlignment="1">
      <alignment horizontal="right" vertical="center" shrinkToFit="1"/>
    </xf>
    <xf numFmtId="176" fontId="32" fillId="24" borderId="27" xfId="2" applyNumberFormat="1" applyFont="1" applyFill="1" applyBorder="1" applyAlignment="1">
      <alignment horizontal="right" vertical="center" shrinkToFit="1"/>
    </xf>
    <xf numFmtId="176" fontId="4" fillId="0" borderId="145" xfId="2" applyNumberFormat="1" applyFont="1" applyFill="1" applyBorder="1" applyAlignment="1">
      <alignment horizontal="right" vertical="center" shrinkToFit="1"/>
    </xf>
    <xf numFmtId="176" fontId="4" fillId="0" borderId="139" xfId="2" applyNumberFormat="1" applyFont="1" applyFill="1" applyBorder="1" applyAlignment="1">
      <alignment horizontal="right" vertical="center" shrinkToFit="1"/>
    </xf>
    <xf numFmtId="176" fontId="4" fillId="0" borderId="142" xfId="2" applyNumberFormat="1" applyFont="1" applyFill="1" applyBorder="1" applyAlignment="1">
      <alignment horizontal="right" vertical="center" shrinkToFit="1"/>
    </xf>
    <xf numFmtId="176" fontId="4" fillId="0" borderId="11" xfId="2" applyNumberFormat="1" applyFont="1" applyFill="1" applyBorder="1" applyAlignment="1">
      <alignment horizontal="right" vertical="center" shrinkToFit="1"/>
    </xf>
    <xf numFmtId="178" fontId="25" fillId="9" borderId="18" xfId="4" applyNumberFormat="1" applyFont="1" applyFill="1" applyBorder="1" applyAlignment="1">
      <alignment horizontal="right" vertical="center" shrinkToFit="1"/>
    </xf>
    <xf numFmtId="178" fontId="24" fillId="0" borderId="227" xfId="4" applyNumberFormat="1" applyFont="1" applyFill="1" applyBorder="1" applyAlignment="1">
      <alignment horizontal="right" vertical="center" shrinkToFit="1"/>
    </xf>
    <xf numFmtId="178" fontId="24" fillId="0" borderId="77" xfId="4" applyNumberFormat="1" applyFont="1" applyFill="1" applyBorder="1" applyAlignment="1">
      <alignment horizontal="right" vertical="center" shrinkToFit="1"/>
    </xf>
    <xf numFmtId="178" fontId="24" fillId="0" borderId="226" xfId="4" applyNumberFormat="1" applyFont="1" applyFill="1" applyBorder="1" applyAlignment="1">
      <alignment horizontal="right" vertical="center" shrinkToFit="1"/>
    </xf>
    <xf numFmtId="178" fontId="24" fillId="0" borderId="225" xfId="4" applyNumberFormat="1" applyFont="1" applyFill="1" applyBorder="1" applyAlignment="1">
      <alignment horizontal="right" vertical="center" shrinkToFit="1"/>
    </xf>
    <xf numFmtId="178" fontId="4" fillId="0" borderId="12" xfId="4" applyNumberFormat="1" applyFont="1" applyFill="1" applyBorder="1" applyAlignment="1">
      <alignment horizontal="right" vertical="center" shrinkToFit="1"/>
    </xf>
    <xf numFmtId="178" fontId="4" fillId="0" borderId="41" xfId="4" applyNumberFormat="1" applyFont="1" applyFill="1" applyBorder="1" applyAlignment="1">
      <alignment horizontal="right" vertical="center" shrinkToFit="1"/>
    </xf>
    <xf numFmtId="176" fontId="4" fillId="0" borderId="0" xfId="4" applyNumberFormat="1" applyFont="1" applyFill="1" applyAlignment="1">
      <alignment horizontal="right" vertical="center" shrinkToFit="1"/>
    </xf>
    <xf numFmtId="199" fontId="4" fillId="0" borderId="0" xfId="4" applyNumberFormat="1" applyFont="1" applyFill="1" applyAlignment="1">
      <alignment horizontal="right" vertical="center" wrapText="1"/>
    </xf>
    <xf numFmtId="199" fontId="4" fillId="0" borderId="0" xfId="4" applyNumberFormat="1" applyFont="1" applyFill="1" applyBorder="1" applyAlignment="1">
      <alignment horizontal="right" vertical="center"/>
    </xf>
    <xf numFmtId="199" fontId="4" fillId="0" borderId="0" xfId="4" applyNumberFormat="1" applyFont="1" applyFill="1" applyAlignment="1">
      <alignment horizontal="right" vertical="center" shrinkToFit="1"/>
    </xf>
    <xf numFmtId="190" fontId="72" fillId="0" borderId="41" xfId="4" applyNumberFormat="1" applyFont="1" applyBorder="1" applyAlignment="1">
      <alignment horizontal="right" vertical="center" shrinkToFit="1"/>
    </xf>
    <xf numFmtId="0" fontId="124" fillId="0" borderId="95" xfId="4" applyFont="1" applyBorder="1" applyAlignment="1">
      <alignment horizontal="left" vertical="center"/>
    </xf>
    <xf numFmtId="178" fontId="56" fillId="0" borderId="41" xfId="4" applyNumberFormat="1" applyFont="1" applyBorder="1" applyAlignment="1">
      <alignment vertical="center" shrinkToFit="1"/>
    </xf>
    <xf numFmtId="178" fontId="56" fillId="0" borderId="0" xfId="4" applyNumberFormat="1" applyFont="1" applyBorder="1" applyAlignment="1">
      <alignment vertical="center" shrinkToFit="1"/>
    </xf>
    <xf numFmtId="178" fontId="4" fillId="4" borderId="35" xfId="4" applyNumberFormat="1" applyFill="1" applyBorder="1" applyAlignment="1">
      <alignment horizontal="right" vertical="center" shrinkToFit="1"/>
    </xf>
    <xf numFmtId="190" fontId="66" fillId="0" borderId="41" xfId="4" applyNumberFormat="1" applyFont="1" applyBorder="1" applyAlignment="1" applyProtection="1">
      <alignment horizontal="right" vertical="center" shrinkToFit="1"/>
      <protection locked="0"/>
    </xf>
    <xf numFmtId="190" fontId="66" fillId="0" borderId="41" xfId="4" applyNumberFormat="1" applyFont="1" applyBorder="1" applyAlignment="1">
      <alignment horizontal="right" vertical="center" shrinkToFit="1"/>
    </xf>
    <xf numFmtId="178" fontId="56" fillId="0" borderId="6" xfId="4" applyNumberFormat="1" applyFont="1" applyBorder="1" applyAlignment="1">
      <alignment vertical="center" shrinkToFit="1"/>
    </xf>
    <xf numFmtId="178" fontId="56" fillId="0" borderId="102" xfId="4" applyNumberFormat="1" applyFont="1" applyBorder="1" applyAlignment="1">
      <alignment vertical="center" shrinkToFit="1"/>
    </xf>
    <xf numFmtId="190" fontId="58" fillId="11" borderId="42" xfId="4" applyNumberFormat="1" applyFont="1" applyFill="1" applyBorder="1" applyAlignment="1">
      <alignment horizontal="right" vertical="center" shrinkToFit="1"/>
    </xf>
    <xf numFmtId="38" fontId="4" fillId="0" borderId="24" xfId="5" applyFont="1" applyFill="1" applyBorder="1" applyAlignment="1">
      <alignment vertical="center" shrinkToFit="1"/>
    </xf>
    <xf numFmtId="38" fontId="4" fillId="0" borderId="24" xfId="5" applyFont="1" applyFill="1" applyBorder="1">
      <alignment vertical="center"/>
    </xf>
    <xf numFmtId="38" fontId="24" fillId="22" borderId="24" xfId="5" applyFont="1" applyFill="1" applyBorder="1">
      <alignment vertical="center"/>
    </xf>
    <xf numFmtId="0" fontId="4" fillId="4" borderId="24" xfId="4" applyFont="1" applyFill="1" applyBorder="1" applyAlignment="1">
      <alignment vertical="center" shrinkToFit="1"/>
    </xf>
    <xf numFmtId="0" fontId="4" fillId="0" borderId="24" xfId="4" applyFont="1" applyBorder="1" applyAlignment="1">
      <alignment vertical="center" shrinkToFit="1"/>
    </xf>
    <xf numFmtId="0" fontId="4" fillId="0" borderId="24" xfId="4" applyFont="1" applyFill="1" applyBorder="1" applyAlignment="1">
      <alignment vertical="center" shrinkToFit="1"/>
    </xf>
    <xf numFmtId="0" fontId="4" fillId="0" borderId="24" xfId="4" applyFont="1" applyBorder="1">
      <alignment vertical="center"/>
    </xf>
    <xf numFmtId="178" fontId="23" fillId="28" borderId="57" xfId="0" applyNumberFormat="1" applyFont="1" applyFill="1" applyBorder="1" applyAlignment="1">
      <alignment horizontal="right" vertical="center" shrinkToFit="1"/>
    </xf>
    <xf numFmtId="194" fontId="58" fillId="0" borderId="11" xfId="4" applyNumberFormat="1" applyFont="1" applyBorder="1" applyAlignment="1">
      <alignment horizontal="left" shrinkToFit="1"/>
    </xf>
    <xf numFmtId="178" fontId="23" fillId="28" borderId="24" xfId="0" applyNumberFormat="1" applyFont="1" applyFill="1" applyBorder="1" applyAlignment="1">
      <alignment horizontal="right" vertical="center" shrinkToFit="1"/>
    </xf>
    <xf numFmtId="178" fontId="58" fillId="0" borderId="11" xfId="4" applyNumberFormat="1" applyFont="1" applyFill="1" applyBorder="1" applyAlignment="1">
      <alignment horizontal="right" vertical="center" shrinkToFit="1"/>
    </xf>
    <xf numFmtId="38" fontId="58" fillId="0" borderId="41" xfId="5" applyFont="1" applyFill="1" applyBorder="1" applyAlignment="1">
      <alignment horizontal="right" vertical="center" shrinkToFit="1"/>
    </xf>
    <xf numFmtId="178" fontId="58" fillId="0" borderId="41" xfId="4" applyNumberFormat="1" applyFont="1" applyFill="1" applyBorder="1" applyAlignment="1">
      <alignment horizontal="right" shrinkToFit="1"/>
    </xf>
    <xf numFmtId="38" fontId="58" fillId="0" borderId="58" xfId="5" applyFont="1" applyFill="1" applyBorder="1" applyAlignment="1">
      <alignment horizontal="right" vertical="center" shrinkToFit="1"/>
    </xf>
    <xf numFmtId="179" fontId="24" fillId="15" borderId="0" xfId="4" applyNumberFormat="1" applyFont="1" applyFill="1" applyBorder="1" applyAlignment="1">
      <alignment horizontal="right" vertical="center" shrinkToFit="1"/>
    </xf>
    <xf numFmtId="179" fontId="56" fillId="15" borderId="0" xfId="4" applyNumberFormat="1" applyFont="1" applyFill="1" applyBorder="1" applyAlignment="1">
      <alignment horizontal="right" vertical="center" shrinkToFit="1"/>
    </xf>
    <xf numFmtId="178" fontId="4" fillId="0" borderId="0" xfId="4" applyNumberFormat="1" applyAlignment="1">
      <alignment vertical="center"/>
    </xf>
    <xf numFmtId="178" fontId="58" fillId="0" borderId="41" xfId="4" applyNumberFormat="1" applyFont="1" applyBorder="1" applyAlignment="1">
      <alignment vertical="center" shrinkToFit="1"/>
    </xf>
    <xf numFmtId="190" fontId="68" fillId="11" borderId="69" xfId="4" applyNumberFormat="1" applyFont="1" applyFill="1" applyBorder="1" applyAlignment="1">
      <alignment horizontal="right" vertical="center" shrinkToFit="1"/>
    </xf>
    <xf numFmtId="190" fontId="68" fillId="11" borderId="0" xfId="4" applyNumberFormat="1" applyFont="1" applyFill="1" applyBorder="1" applyAlignment="1">
      <alignment horizontal="right" vertical="center" shrinkToFit="1"/>
    </xf>
    <xf numFmtId="38" fontId="80" fillId="4" borderId="39" xfId="1" applyFont="1" applyFill="1" applyBorder="1" applyAlignment="1">
      <alignment horizontal="center" vertical="center" shrinkToFit="1"/>
    </xf>
    <xf numFmtId="38" fontId="80" fillId="4" borderId="7" xfId="1" applyFont="1" applyFill="1" applyBorder="1" applyAlignment="1">
      <alignment horizontal="center" vertical="center" shrinkToFit="1"/>
    </xf>
    <xf numFmtId="38" fontId="80" fillId="4" borderId="26" xfId="1" applyFont="1" applyFill="1" applyBorder="1" applyAlignment="1">
      <alignment horizontal="center" vertical="center" shrinkToFit="1"/>
    </xf>
    <xf numFmtId="0" fontId="84" fillId="2" borderId="39" xfId="0" applyFont="1" applyFill="1" applyBorder="1" applyAlignment="1">
      <alignment horizontal="center" vertical="center" shrinkToFit="1"/>
    </xf>
    <xf numFmtId="0" fontId="84" fillId="2" borderId="7" xfId="0" applyFont="1" applyFill="1" applyBorder="1" applyAlignment="1">
      <alignment horizontal="center" vertical="center" shrinkToFit="1"/>
    </xf>
    <xf numFmtId="0" fontId="84" fillId="2" borderId="26" xfId="0" applyFont="1" applyFill="1" applyBorder="1" applyAlignment="1">
      <alignment horizontal="center" vertical="center" shrinkToFit="1"/>
    </xf>
    <xf numFmtId="38" fontId="84" fillId="2" borderId="39" xfId="1" applyFont="1" applyFill="1" applyBorder="1" applyAlignment="1">
      <alignment horizontal="center" vertical="center" shrinkToFit="1"/>
    </xf>
    <xf numFmtId="38" fontId="84" fillId="2" borderId="7" xfId="1" applyFont="1" applyFill="1" applyBorder="1" applyAlignment="1">
      <alignment horizontal="center" vertical="center" shrinkToFit="1"/>
    </xf>
    <xf numFmtId="38" fontId="84" fillId="2" borderId="26" xfId="1" applyFont="1" applyFill="1" applyBorder="1" applyAlignment="1">
      <alignment horizontal="center" vertical="center" shrinkToFit="1"/>
    </xf>
    <xf numFmtId="38" fontId="34" fillId="0" borderId="0" xfId="1" applyFont="1" applyFill="1" applyAlignment="1">
      <alignment horizontal="center" vertical="center"/>
    </xf>
    <xf numFmtId="176" fontId="83" fillId="0" borderId="38" xfId="1" applyNumberFormat="1" applyFont="1" applyFill="1" applyBorder="1" applyAlignment="1">
      <alignment horizontal="right" vertical="center" shrinkToFit="1"/>
    </xf>
    <xf numFmtId="176" fontId="83" fillId="0" borderId="22" xfId="1" applyNumberFormat="1" applyFont="1" applyFill="1" applyBorder="1" applyAlignment="1">
      <alignment horizontal="right" vertical="center" shrinkToFit="1"/>
    </xf>
    <xf numFmtId="176" fontId="83" fillId="0" borderId="94" xfId="1" applyNumberFormat="1" applyFont="1" applyFill="1" applyBorder="1" applyAlignment="1">
      <alignment horizontal="right" vertical="center" shrinkToFit="1"/>
    </xf>
    <xf numFmtId="0" fontId="0" fillId="0" borderId="22" xfId="0" applyBorder="1" applyAlignment="1">
      <alignment horizontal="right" vertical="center" shrinkToFit="1"/>
    </xf>
    <xf numFmtId="0" fontId="0" fillId="0" borderId="94" xfId="0" applyBorder="1" applyAlignment="1">
      <alignment horizontal="right" vertical="center" shrinkToFit="1"/>
    </xf>
    <xf numFmtId="176" fontId="83" fillId="4" borderId="34" xfId="1" applyNumberFormat="1" applyFont="1" applyFill="1" applyBorder="1" applyAlignment="1">
      <alignment horizontal="right" vertical="center"/>
    </xf>
    <xf numFmtId="176" fontId="83" fillId="4" borderId="20" xfId="1" applyNumberFormat="1" applyFont="1" applyFill="1" applyBorder="1" applyAlignment="1">
      <alignment horizontal="right" vertical="center"/>
    </xf>
    <xf numFmtId="176" fontId="83" fillId="4" borderId="14" xfId="1" applyNumberFormat="1" applyFont="1" applyFill="1" applyBorder="1" applyAlignment="1">
      <alignment horizontal="right" vertical="center"/>
    </xf>
    <xf numFmtId="176" fontId="84" fillId="2" borderId="34" xfId="1" applyNumberFormat="1" applyFont="1" applyFill="1" applyBorder="1" applyAlignment="1">
      <alignment horizontal="right" vertical="center"/>
    </xf>
    <xf numFmtId="176" fontId="84" fillId="2" borderId="20" xfId="1" applyNumberFormat="1" applyFont="1" applyFill="1" applyBorder="1" applyAlignment="1">
      <alignment horizontal="right" vertical="center"/>
    </xf>
    <xf numFmtId="176" fontId="84" fillId="2" borderId="14" xfId="1" applyNumberFormat="1" applyFont="1" applyFill="1" applyBorder="1" applyAlignment="1">
      <alignment horizontal="right" vertical="center"/>
    </xf>
    <xf numFmtId="176" fontId="84" fillId="2" borderId="31" xfId="1" applyNumberFormat="1" applyFont="1" applyFill="1" applyBorder="1" applyAlignment="1">
      <alignment horizontal="right" vertical="center"/>
    </xf>
    <xf numFmtId="176" fontId="84" fillId="2" borderId="62" xfId="1" applyNumberFormat="1" applyFont="1" applyFill="1" applyBorder="1" applyAlignment="1">
      <alignment horizontal="right" vertical="center"/>
    </xf>
    <xf numFmtId="38" fontId="83" fillId="0" borderId="27" xfId="0" applyNumberFormat="1" applyFont="1" applyFill="1" applyBorder="1" applyAlignment="1">
      <alignment horizontal="right" vertical="center"/>
    </xf>
    <xf numFmtId="38" fontId="83" fillId="0" borderId="0" xfId="0" applyNumberFormat="1" applyFont="1" applyFill="1" applyBorder="1" applyAlignment="1">
      <alignment horizontal="right" vertical="center"/>
    </xf>
    <xf numFmtId="38" fontId="83" fillId="0" borderId="41" xfId="0" applyNumberFormat="1" applyFont="1" applyFill="1" applyBorder="1" applyAlignment="1">
      <alignment horizontal="right" vertical="center"/>
    </xf>
    <xf numFmtId="0" fontId="84" fillId="2" borderId="46" xfId="0" applyFont="1" applyFill="1" applyBorder="1" applyAlignment="1">
      <alignment horizontal="center" vertical="center" wrapText="1"/>
    </xf>
    <xf numFmtId="0" fontId="84" fillId="2" borderId="69" xfId="0" applyFont="1" applyFill="1" applyBorder="1" applyAlignment="1">
      <alignment horizontal="center" vertical="center" wrapText="1"/>
    </xf>
    <xf numFmtId="0" fontId="84" fillId="2" borderId="42" xfId="0" applyFont="1" applyFill="1" applyBorder="1" applyAlignment="1">
      <alignment horizontal="center" vertical="center" wrapText="1"/>
    </xf>
    <xf numFmtId="0" fontId="84" fillId="2" borderId="27" xfId="0" applyFont="1" applyFill="1" applyBorder="1" applyAlignment="1">
      <alignment horizontal="center" vertical="center" wrapText="1"/>
    </xf>
    <xf numFmtId="0" fontId="84" fillId="2" borderId="0" xfId="0" applyFont="1" applyFill="1" applyBorder="1" applyAlignment="1">
      <alignment horizontal="center" vertical="center" wrapText="1"/>
    </xf>
    <xf numFmtId="0" fontId="84" fillId="2" borderId="41" xfId="0" applyFont="1" applyFill="1" applyBorder="1" applyAlignment="1">
      <alignment horizontal="center" vertical="center" wrapText="1"/>
    </xf>
    <xf numFmtId="0" fontId="84" fillId="2" borderId="35" xfId="0" applyFont="1" applyFill="1" applyBorder="1" applyAlignment="1">
      <alignment horizontal="center" vertical="center" wrapText="1"/>
    </xf>
    <xf numFmtId="0" fontId="84" fillId="2" borderId="32" xfId="0" applyFont="1" applyFill="1" applyBorder="1" applyAlignment="1">
      <alignment horizontal="center" vertical="center" wrapText="1"/>
    </xf>
    <xf numFmtId="38" fontId="84" fillId="2" borderId="34" xfId="1" applyFont="1" applyFill="1" applyBorder="1" applyAlignment="1">
      <alignment horizontal="right" vertical="center" shrinkToFit="1"/>
    </xf>
    <xf numFmtId="38" fontId="84" fillId="2" borderId="20" xfId="1" applyFont="1" applyFill="1" applyBorder="1" applyAlignment="1">
      <alignment horizontal="right" vertical="center" shrinkToFit="1"/>
    </xf>
    <xf numFmtId="38" fontId="84" fillId="2" borderId="14" xfId="1" applyFont="1" applyFill="1" applyBorder="1" applyAlignment="1">
      <alignment horizontal="right" vertical="center" shrinkToFit="1"/>
    </xf>
    <xf numFmtId="176" fontId="83" fillId="4" borderId="27" xfId="1" applyNumberFormat="1" applyFont="1" applyFill="1" applyBorder="1" applyAlignment="1">
      <alignment horizontal="right" vertical="center" shrinkToFit="1"/>
    </xf>
    <xf numFmtId="176" fontId="83" fillId="4" borderId="0" xfId="1" applyNumberFormat="1" applyFont="1" applyFill="1" applyBorder="1" applyAlignment="1">
      <alignment horizontal="right" vertical="center" shrinkToFit="1"/>
    </xf>
    <xf numFmtId="176" fontId="83" fillId="4" borderId="41" xfId="1" applyNumberFormat="1" applyFont="1" applyFill="1" applyBorder="1" applyAlignment="1">
      <alignment horizontal="right" vertical="center" shrinkToFit="1"/>
    </xf>
    <xf numFmtId="176" fontId="84" fillId="2" borderId="34" xfId="1" applyNumberFormat="1" applyFont="1" applyFill="1" applyBorder="1" applyAlignment="1">
      <alignment horizontal="right" vertical="center" shrinkToFit="1"/>
    </xf>
    <xf numFmtId="176" fontId="84" fillId="2" borderId="20" xfId="1" applyNumberFormat="1" applyFont="1" applyFill="1" applyBorder="1" applyAlignment="1">
      <alignment horizontal="right" vertical="center" shrinkToFit="1"/>
    </xf>
    <xf numFmtId="176" fontId="84" fillId="2" borderId="52" xfId="1" applyNumberFormat="1" applyFont="1" applyFill="1" applyBorder="1" applyAlignment="1">
      <alignment horizontal="right" vertical="center" shrinkToFit="1"/>
    </xf>
    <xf numFmtId="38" fontId="84" fillId="4" borderId="82" xfId="1" applyFont="1" applyFill="1" applyBorder="1" applyAlignment="1">
      <alignment horizontal="right" vertical="center" shrinkToFit="1"/>
    </xf>
    <xf numFmtId="38" fontId="84" fillId="4" borderId="90" xfId="1" applyFont="1" applyFill="1" applyBorder="1" applyAlignment="1">
      <alignment horizontal="right" vertical="center" shrinkToFit="1"/>
    </xf>
    <xf numFmtId="38" fontId="84" fillId="4" borderId="83" xfId="1" applyFont="1" applyFill="1" applyBorder="1" applyAlignment="1">
      <alignment horizontal="right" vertical="center" shrinkToFit="1"/>
    </xf>
    <xf numFmtId="0" fontId="84" fillId="0" borderId="46" xfId="0" applyFont="1" applyBorder="1" applyAlignment="1">
      <alignment horizontal="center" vertical="center" wrapText="1"/>
    </xf>
    <xf numFmtId="0" fontId="84" fillId="0" borderId="69" xfId="0" applyFont="1" applyBorder="1" applyAlignment="1">
      <alignment horizontal="center" vertical="center" wrapText="1"/>
    </xf>
    <xf numFmtId="0" fontId="84" fillId="0" borderId="27" xfId="0" applyFont="1" applyBorder="1" applyAlignment="1">
      <alignment horizontal="center" vertical="center" wrapText="1"/>
    </xf>
    <xf numFmtId="0" fontId="84" fillId="0" borderId="0" xfId="0" applyFont="1" applyBorder="1" applyAlignment="1">
      <alignment horizontal="center" vertical="center" wrapText="1"/>
    </xf>
    <xf numFmtId="176" fontId="84" fillId="2" borderId="14" xfId="1" applyNumberFormat="1" applyFont="1" applyFill="1" applyBorder="1" applyAlignment="1">
      <alignment horizontal="right" vertical="center" shrinkToFit="1"/>
    </xf>
    <xf numFmtId="38" fontId="84" fillId="2" borderId="82" xfId="1" applyFont="1" applyFill="1" applyBorder="1" applyAlignment="1">
      <alignment horizontal="right" vertical="center" shrinkToFit="1"/>
    </xf>
    <xf numFmtId="38" fontId="84" fillId="2" borderId="90" xfId="1" applyFont="1" applyFill="1" applyBorder="1" applyAlignment="1">
      <alignment horizontal="right" vertical="center" shrinkToFit="1"/>
    </xf>
    <xf numFmtId="38" fontId="84" fillId="2" borderId="83" xfId="1" applyFont="1" applyFill="1" applyBorder="1" applyAlignment="1">
      <alignment horizontal="right" vertical="center" shrinkToFit="1"/>
    </xf>
    <xf numFmtId="176" fontId="83" fillId="4" borderId="34" xfId="1" applyNumberFormat="1" applyFont="1" applyFill="1" applyBorder="1" applyAlignment="1">
      <alignment horizontal="right" vertical="center" shrinkToFit="1"/>
    </xf>
    <xf numFmtId="176" fontId="83" fillId="4" borderId="20" xfId="1" applyNumberFormat="1" applyFont="1" applyFill="1" applyBorder="1" applyAlignment="1">
      <alignment horizontal="right" vertical="center" shrinkToFit="1"/>
    </xf>
    <xf numFmtId="176" fontId="83" fillId="4" borderId="14" xfId="1" applyNumberFormat="1" applyFont="1" applyFill="1" applyBorder="1" applyAlignment="1">
      <alignment horizontal="right" vertical="center" shrinkToFit="1"/>
    </xf>
    <xf numFmtId="38" fontId="83" fillId="0" borderId="46" xfId="1" applyFont="1" applyFill="1" applyBorder="1" applyAlignment="1">
      <alignment horizontal="right" vertical="center" shrinkToFit="1"/>
    </xf>
    <xf numFmtId="38" fontId="83" fillId="0" borderId="69" xfId="1" applyFont="1" applyFill="1" applyBorder="1" applyAlignment="1">
      <alignment horizontal="right" vertical="center" shrinkToFit="1"/>
    </xf>
    <xf numFmtId="38" fontId="83" fillId="0" borderId="42" xfId="1" applyFont="1" applyFill="1" applyBorder="1" applyAlignment="1">
      <alignment horizontal="right" vertical="center" shrinkToFit="1"/>
    </xf>
    <xf numFmtId="38" fontId="83" fillId="0" borderId="38" xfId="0" applyNumberFormat="1" applyFont="1" applyFill="1" applyBorder="1" applyAlignment="1">
      <alignment horizontal="right" vertical="center"/>
    </xf>
    <xf numFmtId="38" fontId="83" fillId="0" borderId="22" xfId="0" applyNumberFormat="1" applyFont="1" applyFill="1" applyBorder="1" applyAlignment="1">
      <alignment horizontal="right" vertical="center"/>
    </xf>
    <xf numFmtId="38" fontId="83" fillId="0" borderId="94" xfId="0" applyNumberFormat="1" applyFont="1" applyFill="1" applyBorder="1" applyAlignment="1">
      <alignment horizontal="right" vertical="center"/>
    </xf>
    <xf numFmtId="38" fontId="84" fillId="0" borderId="39" xfId="1" applyFont="1" applyFill="1" applyBorder="1" applyAlignment="1">
      <alignment horizontal="center" vertical="center" shrinkToFit="1"/>
    </xf>
    <xf numFmtId="38" fontId="84" fillId="0" borderId="7" xfId="1" applyFont="1" applyFill="1" applyBorder="1" applyAlignment="1">
      <alignment horizontal="center" vertical="center" shrinkToFit="1"/>
    </xf>
    <xf numFmtId="38" fontId="84" fillId="0" borderId="26" xfId="1" applyFont="1" applyFill="1" applyBorder="1" applyAlignment="1">
      <alignment horizontal="center" vertical="center" shrinkToFit="1"/>
    </xf>
    <xf numFmtId="38" fontId="84" fillId="0" borderId="46" xfId="1" applyFont="1" applyFill="1" applyBorder="1" applyAlignment="1">
      <alignment horizontal="center" vertical="center" shrinkToFit="1"/>
    </xf>
    <xf numFmtId="38" fontId="84" fillId="0" borderId="69" xfId="1" applyFont="1" applyFill="1" applyBorder="1" applyAlignment="1">
      <alignment horizontal="center" vertical="center" shrinkToFit="1"/>
    </xf>
    <xf numFmtId="38" fontId="84" fillId="0" borderId="100" xfId="1" applyFont="1" applyFill="1" applyBorder="1" applyAlignment="1">
      <alignment horizontal="center" vertical="center" shrinkToFit="1"/>
    </xf>
    <xf numFmtId="38" fontId="84" fillId="0" borderId="95" xfId="1" applyFont="1" applyFill="1" applyBorder="1" applyAlignment="1">
      <alignment horizontal="center" vertical="center" shrinkToFit="1"/>
    </xf>
    <xf numFmtId="38" fontId="83" fillId="4" borderId="120" xfId="1" applyFont="1" applyFill="1" applyBorder="1" applyAlignment="1">
      <alignment horizontal="center" vertical="center" shrinkToFit="1"/>
    </xf>
    <xf numFmtId="38" fontId="83" fillId="4" borderId="2" xfId="1" applyFont="1" applyFill="1" applyBorder="1" applyAlignment="1">
      <alignment horizontal="center" vertical="center" shrinkToFit="1"/>
    </xf>
    <xf numFmtId="38" fontId="83" fillId="4" borderId="3" xfId="1" applyFont="1" applyFill="1" applyBorder="1" applyAlignment="1">
      <alignment horizontal="center" vertical="center" shrinkToFit="1"/>
    </xf>
    <xf numFmtId="176" fontId="84" fillId="0" borderId="34" xfId="1" applyNumberFormat="1" applyFont="1" applyFill="1" applyBorder="1" applyAlignment="1">
      <alignment horizontal="right" vertical="center" shrinkToFit="1"/>
    </xf>
    <xf numFmtId="176" fontId="84" fillId="0" borderId="20" xfId="1" applyNumberFormat="1" applyFont="1" applyFill="1" applyBorder="1" applyAlignment="1">
      <alignment horizontal="right" vertical="center" shrinkToFit="1"/>
    </xf>
    <xf numFmtId="176" fontId="84" fillId="0" borderId="14" xfId="1" applyNumberFormat="1" applyFont="1" applyFill="1" applyBorder="1" applyAlignment="1">
      <alignment horizontal="right" vertical="center" shrinkToFit="1"/>
    </xf>
    <xf numFmtId="176" fontId="85" fillId="7" borderId="34" xfId="1" applyNumberFormat="1" applyFont="1" applyFill="1" applyBorder="1" applyAlignment="1">
      <alignment horizontal="right" vertical="center" shrinkToFit="1"/>
    </xf>
    <xf numFmtId="0" fontId="113" fillId="0" borderId="20" xfId="0" applyFont="1" applyBorder="1" applyAlignment="1">
      <alignment horizontal="right" vertical="center" shrinkToFit="1"/>
    </xf>
    <xf numFmtId="0" fontId="113" fillId="0" borderId="14" xfId="0" applyFont="1" applyBorder="1" applyAlignment="1">
      <alignment horizontal="right" vertical="center" shrinkToFit="1"/>
    </xf>
    <xf numFmtId="176" fontId="85" fillId="7" borderId="20" xfId="1" applyNumberFormat="1" applyFont="1" applyFill="1" applyBorder="1" applyAlignment="1">
      <alignment horizontal="right" vertical="center" shrinkToFit="1"/>
    </xf>
    <xf numFmtId="0" fontId="113" fillId="0" borderId="52" xfId="0" applyFont="1" applyBorder="1" applyAlignment="1">
      <alignment horizontal="right" vertical="center" shrinkToFit="1"/>
    </xf>
    <xf numFmtId="38" fontId="84" fillId="2" borderId="82" xfId="1" applyFont="1" applyFill="1" applyBorder="1" applyAlignment="1">
      <alignment horizontal="right" vertical="center"/>
    </xf>
    <xf numFmtId="38" fontId="84" fillId="2" borderId="90" xfId="1" applyFont="1" applyFill="1" applyBorder="1" applyAlignment="1">
      <alignment horizontal="right" vertical="center"/>
    </xf>
    <xf numFmtId="38" fontId="84" fillId="2" borderId="83" xfId="1" applyFont="1" applyFill="1" applyBorder="1" applyAlignment="1">
      <alignment horizontal="right" vertical="center"/>
    </xf>
    <xf numFmtId="38" fontId="84" fillId="4" borderId="82" xfId="1" applyFont="1" applyFill="1" applyBorder="1" applyAlignment="1">
      <alignment vertical="center"/>
    </xf>
    <xf numFmtId="38" fontId="84" fillId="4" borderId="90" xfId="1" applyFont="1" applyFill="1" applyBorder="1" applyAlignment="1">
      <alignment vertical="center"/>
    </xf>
    <xf numFmtId="0" fontId="84" fillId="0" borderId="83" xfId="0" applyFont="1" applyBorder="1" applyAlignment="1">
      <alignment vertical="center"/>
    </xf>
    <xf numFmtId="38" fontId="83" fillId="0" borderId="120" xfId="0" applyNumberFormat="1" applyFont="1" applyFill="1" applyBorder="1" applyAlignment="1">
      <alignment horizontal="right" vertical="center"/>
    </xf>
    <xf numFmtId="38" fontId="83" fillId="0" borderId="2" xfId="0" applyNumberFormat="1" applyFont="1" applyFill="1" applyBorder="1" applyAlignment="1">
      <alignment horizontal="right" vertical="center"/>
    </xf>
    <xf numFmtId="38" fontId="83" fillId="0" borderId="3" xfId="0" applyNumberFormat="1" applyFont="1" applyFill="1" applyBorder="1" applyAlignment="1">
      <alignment horizontal="right" vertical="center"/>
    </xf>
    <xf numFmtId="38" fontId="115" fillId="0" borderId="0" xfId="1" applyFont="1" applyFill="1" applyAlignment="1">
      <alignment horizontal="center" vertical="center"/>
    </xf>
    <xf numFmtId="38" fontId="83" fillId="4" borderId="120" xfId="1" applyFont="1" applyFill="1" applyBorder="1" applyAlignment="1">
      <alignment horizontal="right" vertical="center"/>
    </xf>
    <xf numFmtId="38" fontId="83" fillId="4" borderId="2" xfId="1" applyFont="1" applyFill="1" applyBorder="1" applyAlignment="1">
      <alignment horizontal="right" vertical="center"/>
    </xf>
    <xf numFmtId="38" fontId="83" fillId="4" borderId="3" xfId="1" applyFont="1" applyFill="1" applyBorder="1" applyAlignment="1">
      <alignment horizontal="right" vertical="center"/>
    </xf>
    <xf numFmtId="38" fontId="84" fillId="2" borderId="46" xfId="1" applyFont="1" applyFill="1" applyBorder="1" applyAlignment="1">
      <alignment horizontal="right" vertical="center"/>
    </xf>
    <xf numFmtId="38" fontId="84" fillId="2" borderId="69" xfId="1" applyFont="1" applyFill="1" applyBorder="1" applyAlignment="1">
      <alignment horizontal="right" vertical="center"/>
    </xf>
    <xf numFmtId="38" fontId="84" fillId="2" borderId="42" xfId="1" applyFont="1" applyFill="1" applyBorder="1" applyAlignment="1">
      <alignment horizontal="right" vertical="center"/>
    </xf>
    <xf numFmtId="38" fontId="84" fillId="0" borderId="35" xfId="1" applyFont="1" applyFill="1" applyBorder="1" applyAlignment="1">
      <alignment horizontal="center" vertical="center" shrinkToFit="1"/>
    </xf>
    <xf numFmtId="38" fontId="84" fillId="0" borderId="32" xfId="1" applyFont="1" applyFill="1" applyBorder="1" applyAlignment="1">
      <alignment horizontal="center" vertical="center" shrinkToFit="1"/>
    </xf>
    <xf numFmtId="38" fontId="84" fillId="4" borderId="34" xfId="1" applyFont="1" applyFill="1" applyBorder="1" applyAlignment="1">
      <alignment horizontal="center" vertical="center" shrinkToFit="1"/>
    </xf>
    <xf numFmtId="38" fontId="84" fillId="4" borderId="20" xfId="1" applyFont="1" applyFill="1" applyBorder="1" applyAlignment="1">
      <alignment horizontal="center" vertical="center" shrinkToFit="1"/>
    </xf>
    <xf numFmtId="38" fontId="84" fillId="4" borderId="14" xfId="1" applyFont="1" applyFill="1" applyBorder="1" applyAlignment="1">
      <alignment horizontal="center" vertical="center" shrinkToFit="1"/>
    </xf>
    <xf numFmtId="38" fontId="84" fillId="2" borderId="82" xfId="1" applyFont="1" applyFill="1" applyBorder="1" applyAlignment="1">
      <alignment horizontal="center" vertical="center" shrinkToFit="1"/>
    </xf>
    <xf numFmtId="38" fontId="84" fillId="2" borderId="90" xfId="1" applyFont="1" applyFill="1" applyBorder="1" applyAlignment="1">
      <alignment horizontal="center" vertical="center" shrinkToFit="1"/>
    </xf>
    <xf numFmtId="38" fontId="84" fillId="2" borderId="83" xfId="1" applyFont="1" applyFill="1" applyBorder="1" applyAlignment="1">
      <alignment horizontal="center" vertical="center" shrinkToFit="1"/>
    </xf>
    <xf numFmtId="38" fontId="84" fillId="4" borderId="46" xfId="1" applyFont="1" applyFill="1" applyBorder="1" applyAlignment="1">
      <alignment horizontal="right" vertical="center"/>
    </xf>
    <xf numFmtId="38" fontId="84" fillId="4" borderId="69" xfId="1" applyFont="1" applyFill="1" applyBorder="1" applyAlignment="1">
      <alignment horizontal="right" vertical="center"/>
    </xf>
    <xf numFmtId="38" fontId="84" fillId="4" borderId="42" xfId="1" applyFont="1" applyFill="1" applyBorder="1" applyAlignment="1">
      <alignment horizontal="right" vertical="center"/>
    </xf>
    <xf numFmtId="38" fontId="84" fillId="4" borderId="82" xfId="1" applyFont="1" applyFill="1" applyBorder="1" applyAlignment="1">
      <alignment horizontal="right" vertical="center"/>
    </xf>
    <xf numFmtId="38" fontId="84" fillId="4" borderId="90" xfId="1" applyFont="1" applyFill="1" applyBorder="1" applyAlignment="1">
      <alignment horizontal="right" vertical="center"/>
    </xf>
    <xf numFmtId="38" fontId="84" fillId="4" borderId="83" xfId="1" applyFont="1" applyFill="1" applyBorder="1" applyAlignment="1">
      <alignment horizontal="right" vertical="center"/>
    </xf>
    <xf numFmtId="38" fontId="84" fillId="2" borderId="81" xfId="1" applyFont="1" applyFill="1" applyBorder="1" applyAlignment="1">
      <alignment horizontal="right" vertical="center"/>
    </xf>
    <xf numFmtId="38" fontId="84" fillId="2" borderId="35" xfId="1" applyFont="1" applyFill="1" applyBorder="1" applyAlignment="1">
      <alignment horizontal="right" vertical="center"/>
    </xf>
    <xf numFmtId="38" fontId="83" fillId="4" borderId="38" xfId="1" applyFont="1" applyFill="1" applyBorder="1" applyAlignment="1">
      <alignment horizontal="right" vertical="center"/>
    </xf>
    <xf numFmtId="38" fontId="83" fillId="4" borderId="22" xfId="1" applyFont="1" applyFill="1" applyBorder="1" applyAlignment="1">
      <alignment horizontal="right" vertical="center"/>
    </xf>
    <xf numFmtId="38" fontId="83" fillId="4" borderId="94" xfId="1" applyFont="1" applyFill="1" applyBorder="1" applyAlignment="1">
      <alignment horizontal="right" vertical="center"/>
    </xf>
    <xf numFmtId="38" fontId="84" fillId="4" borderId="167" xfId="1" applyFont="1" applyFill="1" applyBorder="1" applyAlignment="1">
      <alignment horizontal="center" vertical="center" textRotation="255" shrinkToFit="1"/>
    </xf>
    <xf numFmtId="38" fontId="84" fillId="4" borderId="77" xfId="1" applyFont="1" applyFill="1" applyBorder="1" applyAlignment="1">
      <alignment horizontal="center" vertical="center" textRotation="255" shrinkToFit="1"/>
    </xf>
    <xf numFmtId="38" fontId="84" fillId="2" borderId="46" xfId="1" applyFont="1" applyFill="1" applyBorder="1" applyAlignment="1">
      <alignment horizontal="center" vertical="center" shrinkToFit="1"/>
    </xf>
    <xf numFmtId="38" fontId="84" fillId="2" borderId="69" xfId="1" applyFont="1" applyFill="1" applyBorder="1" applyAlignment="1">
      <alignment horizontal="center" vertical="center" shrinkToFit="1"/>
    </xf>
    <xf numFmtId="38" fontId="84" fillId="2" borderId="42" xfId="1" applyFont="1" applyFill="1" applyBorder="1" applyAlignment="1">
      <alignment horizontal="center" vertical="center" shrinkToFit="1"/>
    </xf>
    <xf numFmtId="0" fontId="84" fillId="0" borderId="35" xfId="0" applyFont="1" applyBorder="1" applyAlignment="1">
      <alignment horizontal="center" vertical="center" wrapText="1"/>
    </xf>
    <xf numFmtId="0" fontId="84" fillId="0" borderId="32" xfId="0" applyFont="1" applyBorder="1" applyAlignment="1">
      <alignment horizontal="center" vertical="center"/>
    </xf>
    <xf numFmtId="38" fontId="84" fillId="2" borderId="34" xfId="1" applyFont="1" applyFill="1" applyBorder="1" applyAlignment="1">
      <alignment horizontal="center" vertical="center" shrinkToFit="1"/>
    </xf>
    <xf numFmtId="38" fontId="84" fillId="2" borderId="20" xfId="1" applyFont="1" applyFill="1" applyBorder="1" applyAlignment="1">
      <alignment horizontal="center" vertical="center" shrinkToFit="1"/>
    </xf>
    <xf numFmtId="38" fontId="84" fillId="2" borderId="14" xfId="1" applyFont="1" applyFill="1" applyBorder="1" applyAlignment="1">
      <alignment horizontal="center" vertical="center" shrinkToFit="1"/>
    </xf>
    <xf numFmtId="38" fontId="83" fillId="4" borderId="32" xfId="1" applyFont="1" applyFill="1" applyBorder="1" applyAlignment="1">
      <alignment horizontal="center" vertical="center" shrinkToFit="1"/>
    </xf>
    <xf numFmtId="38" fontId="84" fillId="2" borderId="81" xfId="1" applyFont="1" applyFill="1" applyBorder="1" applyAlignment="1">
      <alignment horizontal="center" vertical="center" shrinkToFit="1"/>
    </xf>
    <xf numFmtId="38" fontId="84" fillId="0" borderId="34" xfId="1" applyFont="1" applyFill="1" applyBorder="1" applyAlignment="1">
      <alignment horizontal="center" vertical="center" shrinkToFit="1"/>
    </xf>
    <xf numFmtId="38" fontId="84" fillId="0" borderId="20" xfId="1" applyFont="1" applyFill="1" applyBorder="1" applyAlignment="1">
      <alignment horizontal="center" vertical="center" shrinkToFit="1"/>
    </xf>
    <xf numFmtId="38" fontId="84" fillId="0" borderId="14" xfId="1" applyFont="1" applyFill="1" applyBorder="1" applyAlignment="1">
      <alignment horizontal="center" vertical="center" shrinkToFit="1"/>
    </xf>
    <xf numFmtId="38" fontId="83" fillId="4" borderId="31" xfId="1" applyFont="1" applyFill="1" applyBorder="1" applyAlignment="1">
      <alignment horizontal="center" vertical="center" shrinkToFit="1"/>
    </xf>
    <xf numFmtId="38" fontId="85" fillId="7" borderId="93" xfId="2" applyFont="1" applyFill="1" applyBorder="1" applyAlignment="1">
      <alignment horizontal="center" vertical="center" shrinkToFit="1"/>
    </xf>
    <xf numFmtId="38" fontId="85" fillId="7" borderId="20" xfId="2" applyFont="1" applyFill="1" applyBorder="1" applyAlignment="1">
      <alignment horizontal="center" vertical="center" shrinkToFit="1"/>
    </xf>
    <xf numFmtId="38" fontId="85" fillId="7" borderId="14" xfId="2" applyFont="1" applyFill="1" applyBorder="1" applyAlignment="1">
      <alignment horizontal="center" vertical="center" shrinkToFit="1"/>
    </xf>
    <xf numFmtId="38" fontId="84" fillId="0" borderId="27" xfId="2" applyFont="1" applyFill="1" applyBorder="1" applyAlignment="1">
      <alignment horizontal="center" vertical="center" shrinkToFit="1"/>
    </xf>
    <xf numFmtId="38" fontId="84" fillId="0" borderId="0" xfId="2" applyFont="1" applyFill="1" applyBorder="1" applyAlignment="1">
      <alignment horizontal="center" vertical="center" shrinkToFit="1"/>
    </xf>
    <xf numFmtId="38" fontId="84" fillId="0" borderId="41" xfId="2" applyFont="1" applyFill="1" applyBorder="1" applyAlignment="1">
      <alignment horizontal="center" vertical="center" shrinkToFit="1"/>
    </xf>
    <xf numFmtId="38" fontId="84" fillId="2" borderId="19" xfId="2" applyFont="1" applyFill="1" applyBorder="1" applyAlignment="1">
      <alignment horizontal="center" vertical="center" shrinkToFit="1"/>
    </xf>
    <xf numFmtId="38" fontId="84" fillId="2" borderId="31" xfId="2" applyFont="1" applyFill="1" applyBorder="1" applyAlignment="1">
      <alignment horizontal="center" vertical="center" shrinkToFit="1"/>
    </xf>
    <xf numFmtId="176" fontId="84" fillId="4" borderId="34" xfId="1" applyNumberFormat="1" applyFont="1" applyFill="1" applyBorder="1" applyAlignment="1">
      <alignment horizontal="right" vertical="center" shrinkToFit="1"/>
    </xf>
    <xf numFmtId="176" fontId="84" fillId="4" borderId="20" xfId="1" applyNumberFormat="1" applyFont="1" applyFill="1" applyBorder="1" applyAlignment="1">
      <alignment horizontal="right" vertical="center" shrinkToFit="1"/>
    </xf>
    <xf numFmtId="176" fontId="84" fillId="4" borderId="14" xfId="1" applyNumberFormat="1" applyFont="1" applyFill="1" applyBorder="1" applyAlignment="1">
      <alignment horizontal="right" vertical="center" shrinkToFit="1"/>
    </xf>
    <xf numFmtId="176" fontId="84" fillId="0" borderId="34" xfId="1" applyNumberFormat="1" applyFont="1" applyFill="1" applyBorder="1" applyAlignment="1">
      <alignment horizontal="right" vertical="center"/>
    </xf>
    <xf numFmtId="176" fontId="84" fillId="0" borderId="20" xfId="1" applyNumberFormat="1" applyFont="1" applyFill="1" applyBorder="1" applyAlignment="1">
      <alignment horizontal="right" vertical="center"/>
    </xf>
    <xf numFmtId="176" fontId="84" fillId="0" borderId="14" xfId="1" applyNumberFormat="1" applyFont="1" applyFill="1" applyBorder="1" applyAlignment="1">
      <alignment horizontal="right" vertical="center"/>
    </xf>
    <xf numFmtId="38" fontId="34" fillId="0" borderId="32" xfId="1" applyFont="1" applyFill="1" applyBorder="1" applyAlignment="1">
      <alignment horizontal="right" vertical="top" wrapText="1"/>
    </xf>
    <xf numFmtId="38" fontId="34" fillId="0" borderId="32" xfId="1" applyFont="1" applyFill="1" applyBorder="1" applyAlignment="1">
      <alignment horizontal="right" vertical="top"/>
    </xf>
    <xf numFmtId="38" fontId="34" fillId="0" borderId="33" xfId="1" applyFont="1" applyFill="1" applyBorder="1" applyAlignment="1">
      <alignment horizontal="right" vertical="top"/>
    </xf>
    <xf numFmtId="38" fontId="4" fillId="0" borderId="24" xfId="1" applyFont="1" applyFill="1" applyBorder="1" applyAlignment="1">
      <alignment horizontal="center" vertical="center" wrapText="1"/>
    </xf>
    <xf numFmtId="38" fontId="4" fillId="0" borderId="33" xfId="1" applyFont="1" applyFill="1" applyBorder="1" applyAlignment="1">
      <alignment horizontal="center" vertical="center" wrapText="1"/>
    </xf>
    <xf numFmtId="38" fontId="74" fillId="0" borderId="33" xfId="1" applyFont="1" applyFill="1" applyBorder="1" applyAlignment="1">
      <alignment horizontal="center" vertical="center" wrapText="1" shrinkToFit="1"/>
    </xf>
    <xf numFmtId="38" fontId="74" fillId="0" borderId="24" xfId="1" applyFont="1" applyFill="1" applyBorder="1" applyAlignment="1">
      <alignment horizontal="center" vertical="center" shrinkToFit="1"/>
    </xf>
    <xf numFmtId="203" fontId="34" fillId="0" borderId="32" xfId="1" applyNumberFormat="1" applyFont="1" applyFill="1" applyBorder="1" applyAlignment="1">
      <alignment horizontal="right" vertical="top" wrapText="1"/>
    </xf>
    <xf numFmtId="203" fontId="34" fillId="0" borderId="32" xfId="1" applyNumberFormat="1" applyFont="1" applyFill="1" applyBorder="1" applyAlignment="1">
      <alignment horizontal="right" vertical="top"/>
    </xf>
    <xf numFmtId="203" fontId="34" fillId="0" borderId="33" xfId="1" applyNumberFormat="1" applyFont="1" applyFill="1" applyBorder="1" applyAlignment="1">
      <alignment horizontal="right" vertical="top"/>
    </xf>
    <xf numFmtId="38" fontId="84" fillId="0" borderId="34" xfId="1" applyFont="1" applyFill="1" applyBorder="1" applyAlignment="1">
      <alignment horizontal="right" vertical="center" shrinkToFit="1"/>
    </xf>
    <xf numFmtId="38" fontId="84" fillId="0" borderId="20" xfId="1" applyFont="1" applyFill="1" applyBorder="1" applyAlignment="1">
      <alignment horizontal="right" vertical="center" shrinkToFit="1"/>
    </xf>
    <xf numFmtId="38" fontId="84" fillId="0" borderId="14" xfId="1" applyFont="1" applyFill="1" applyBorder="1" applyAlignment="1">
      <alignment horizontal="right" vertical="center" shrinkToFit="1"/>
    </xf>
    <xf numFmtId="38" fontId="84" fillId="0" borderId="173" xfId="1" applyFont="1" applyFill="1" applyBorder="1" applyAlignment="1">
      <alignment horizontal="center" vertical="center" wrapText="1" shrinkToFit="1"/>
    </xf>
    <xf numFmtId="38" fontId="84" fillId="0" borderId="174" xfId="1" applyFont="1" applyFill="1" applyBorder="1" applyAlignment="1">
      <alignment horizontal="center" vertical="center" wrapText="1" shrinkToFit="1"/>
    </xf>
    <xf numFmtId="38" fontId="84" fillId="0" borderId="45" xfId="1" applyFont="1" applyFill="1" applyBorder="1" applyAlignment="1">
      <alignment horizontal="center" vertical="center" wrapText="1" shrinkToFit="1"/>
    </xf>
    <xf numFmtId="38" fontId="84" fillId="0" borderId="5" xfId="1" applyFont="1" applyFill="1" applyBorder="1" applyAlignment="1">
      <alignment horizontal="center" vertical="center" wrapText="1" shrinkToFit="1"/>
    </xf>
    <xf numFmtId="38" fontId="84" fillId="0" borderId="100" xfId="1" applyFont="1" applyFill="1" applyBorder="1" applyAlignment="1">
      <alignment horizontal="center" vertical="center" wrapText="1" shrinkToFit="1"/>
    </xf>
    <xf numFmtId="38" fontId="84" fillId="0" borderId="95" xfId="1" applyFont="1" applyFill="1" applyBorder="1" applyAlignment="1">
      <alignment horizontal="center" vertical="center" wrapText="1" shrinkToFit="1"/>
    </xf>
    <xf numFmtId="38" fontId="84" fillId="0" borderId="82" xfId="1" applyFont="1" applyFill="1" applyBorder="1" applyAlignment="1">
      <alignment horizontal="center" vertical="center" shrinkToFit="1"/>
    </xf>
    <xf numFmtId="38" fontId="84" fillId="0" borderId="90" xfId="1" applyFont="1" applyFill="1" applyBorder="1" applyAlignment="1">
      <alignment horizontal="center" vertical="center" shrinkToFit="1"/>
    </xf>
    <xf numFmtId="38" fontId="84" fillId="0" borderId="176" xfId="1" applyFont="1" applyFill="1" applyBorder="1" applyAlignment="1">
      <alignment horizontal="center" vertical="center" shrinkToFit="1"/>
    </xf>
    <xf numFmtId="38" fontId="84" fillId="0" borderId="166" xfId="1" applyFont="1" applyFill="1" applyBorder="1" applyAlignment="1">
      <alignment horizontal="center" vertical="center" shrinkToFit="1"/>
    </xf>
    <xf numFmtId="38" fontId="84" fillId="0" borderId="175" xfId="1" applyFont="1" applyFill="1" applyBorder="1" applyAlignment="1">
      <alignment horizontal="center" vertical="center" wrapText="1" shrinkToFit="1"/>
    </xf>
    <xf numFmtId="38" fontId="84" fillId="0" borderId="171" xfId="1" applyFont="1" applyFill="1" applyBorder="1" applyAlignment="1">
      <alignment horizontal="center" vertical="center" wrapText="1" shrinkToFit="1"/>
    </xf>
    <xf numFmtId="38" fontId="84" fillId="0" borderId="176" xfId="1" applyFont="1" applyFill="1" applyBorder="1" applyAlignment="1">
      <alignment horizontal="center" vertical="center" wrapText="1" shrinkToFit="1"/>
    </xf>
    <xf numFmtId="38" fontId="84" fillId="0" borderId="166" xfId="1" applyFont="1" applyFill="1" applyBorder="1" applyAlignment="1">
      <alignment horizontal="center" vertical="center" wrapText="1" shrinkToFit="1"/>
    </xf>
    <xf numFmtId="38" fontId="84" fillId="0" borderId="78" xfId="1" applyFont="1" applyFill="1" applyBorder="1" applyAlignment="1">
      <alignment horizontal="center" vertical="center" wrapText="1" shrinkToFit="1"/>
    </xf>
    <xf numFmtId="38" fontId="84" fillId="0" borderId="151" xfId="1" applyFont="1" applyFill="1" applyBorder="1" applyAlignment="1">
      <alignment horizontal="center" vertical="center" wrapText="1" shrinkToFit="1"/>
    </xf>
    <xf numFmtId="58" fontId="114" fillId="0" borderId="0" xfId="0" applyNumberFormat="1" applyFont="1" applyAlignment="1">
      <alignment horizontal="distributed" vertical="center"/>
    </xf>
    <xf numFmtId="38" fontId="117" fillId="0" borderId="0" xfId="1" applyFont="1" applyFill="1" applyAlignment="1">
      <alignment horizontal="left" vertical="center" wrapText="1"/>
    </xf>
    <xf numFmtId="0" fontId="84" fillId="0" borderId="1" xfId="0" applyFont="1" applyBorder="1" applyAlignment="1">
      <alignment horizontal="center" vertical="center" wrapText="1"/>
    </xf>
    <xf numFmtId="0" fontId="84" fillId="0" borderId="2" xfId="0" applyFont="1" applyBorder="1" applyAlignment="1">
      <alignment horizontal="center" vertical="center" wrapText="1"/>
    </xf>
    <xf numFmtId="0" fontId="84" fillId="0" borderId="29" xfId="0" applyFont="1" applyBorder="1" applyAlignment="1">
      <alignment horizontal="center" vertical="center" wrapText="1"/>
    </xf>
    <xf numFmtId="0" fontId="84" fillId="0" borderId="20" xfId="0" applyFont="1" applyBorder="1" applyAlignment="1">
      <alignment horizontal="center" vertical="center" wrapText="1"/>
    </xf>
    <xf numFmtId="0" fontId="84" fillId="0" borderId="52" xfId="0" applyFont="1" applyBorder="1" applyAlignment="1">
      <alignment horizontal="center" vertical="center" wrapText="1"/>
    </xf>
    <xf numFmtId="38" fontId="83" fillId="4" borderId="34" xfId="1" applyFont="1" applyFill="1" applyBorder="1" applyAlignment="1">
      <alignment horizontal="center" vertical="center" shrinkToFit="1"/>
    </xf>
    <xf numFmtId="38" fontId="83" fillId="4" borderId="20" xfId="1" applyFont="1" applyFill="1" applyBorder="1" applyAlignment="1">
      <alignment horizontal="center" vertical="center" shrinkToFit="1"/>
    </xf>
    <xf numFmtId="38" fontId="83" fillId="4" borderId="14" xfId="1" applyFont="1" applyFill="1" applyBorder="1" applyAlignment="1">
      <alignment horizontal="center" vertical="center" shrinkToFit="1"/>
    </xf>
    <xf numFmtId="38" fontId="84" fillId="2" borderId="93" xfId="2" applyFont="1" applyFill="1" applyBorder="1" applyAlignment="1">
      <alignment horizontal="center" vertical="center" shrinkToFit="1"/>
    </xf>
    <xf numFmtId="38" fontId="84" fillId="2" borderId="20" xfId="2" applyFont="1" applyFill="1" applyBorder="1" applyAlignment="1">
      <alignment horizontal="center" vertical="center" shrinkToFit="1"/>
    </xf>
    <xf numFmtId="38" fontId="84" fillId="2" borderId="14" xfId="2" applyFont="1" applyFill="1" applyBorder="1" applyAlignment="1">
      <alignment horizontal="center" vertical="center" shrinkToFit="1"/>
    </xf>
    <xf numFmtId="38" fontId="86" fillId="2" borderId="34" xfId="1" applyFont="1" applyFill="1" applyBorder="1" applyAlignment="1">
      <alignment horizontal="center" vertical="center" shrinkToFit="1"/>
    </xf>
    <xf numFmtId="38" fontId="83" fillId="0" borderId="33" xfId="2" applyFont="1" applyFill="1" applyBorder="1" applyAlignment="1">
      <alignment horizontal="center" vertical="center" shrinkToFit="1"/>
    </xf>
    <xf numFmtId="38" fontId="83" fillId="0" borderId="35" xfId="2" applyFont="1" applyFill="1" applyBorder="1" applyAlignment="1">
      <alignment horizontal="center" vertical="center" shrinkToFit="1"/>
    </xf>
    <xf numFmtId="38" fontId="42" fillId="0" borderId="24" xfId="2" applyFont="1" applyFill="1" applyBorder="1" applyAlignment="1">
      <alignment horizontal="center" vertical="center" shrinkToFit="1"/>
    </xf>
    <xf numFmtId="0" fontId="38" fillId="0" borderId="68" xfId="0" applyFont="1" applyBorder="1" applyAlignment="1">
      <alignment horizontal="center" vertical="center" shrinkToFit="1"/>
    </xf>
    <xf numFmtId="0" fontId="38" fillId="0" borderId="73" xfId="0" applyFont="1" applyBorder="1" applyAlignment="1">
      <alignment horizontal="center" vertical="center" shrinkToFit="1"/>
    </xf>
    <xf numFmtId="38" fontId="39" fillId="0" borderId="68" xfId="1" applyFont="1" applyFill="1" applyBorder="1" applyAlignment="1">
      <alignment horizontal="left" vertical="center" shrinkToFit="1"/>
    </xf>
    <xf numFmtId="38" fontId="39" fillId="0" borderId="63" xfId="1" applyFont="1" applyFill="1" applyBorder="1" applyAlignment="1">
      <alignment horizontal="left" vertical="center" shrinkToFit="1"/>
    </xf>
    <xf numFmtId="38" fontId="38" fillId="2" borderId="1" xfId="1" applyFont="1" applyFill="1" applyBorder="1" applyAlignment="1">
      <alignment horizontal="center" vertical="center" textRotation="255" shrinkToFit="1"/>
    </xf>
    <xf numFmtId="38" fontId="38" fillId="2" borderId="11" xfId="1" applyFont="1" applyFill="1" applyBorder="1" applyAlignment="1">
      <alignment horizontal="center" vertical="center" textRotation="255" shrinkToFit="1"/>
    </xf>
    <xf numFmtId="38" fontId="38" fillId="2" borderId="13" xfId="1" applyFont="1" applyFill="1" applyBorder="1" applyAlignment="1">
      <alignment horizontal="center" vertical="center" textRotation="255" shrinkToFit="1"/>
    </xf>
    <xf numFmtId="38" fontId="38" fillId="0" borderId="1" xfId="1" applyFont="1" applyFill="1" applyBorder="1" applyAlignment="1">
      <alignment horizontal="center" vertical="center" textRotation="255" shrinkToFit="1"/>
    </xf>
    <xf numFmtId="38" fontId="38" fillId="0" borderId="11" xfId="1" applyFont="1" applyFill="1" applyBorder="1" applyAlignment="1">
      <alignment horizontal="center" vertical="center" textRotation="255" shrinkToFit="1"/>
    </xf>
    <xf numFmtId="38" fontId="38" fillId="0" borderId="13" xfId="1" applyFont="1" applyFill="1" applyBorder="1" applyAlignment="1">
      <alignment horizontal="center" vertical="center" textRotation="255" shrinkToFit="1"/>
    </xf>
    <xf numFmtId="38" fontId="38" fillId="4" borderId="11" xfId="1" applyFont="1" applyFill="1" applyBorder="1" applyAlignment="1">
      <alignment horizontal="center" vertical="center" textRotation="255" shrinkToFit="1"/>
    </xf>
    <xf numFmtId="38" fontId="38" fillId="4" borderId="13" xfId="1" applyFont="1" applyFill="1" applyBorder="1" applyAlignment="1">
      <alignment horizontal="center" vertical="center" textRotation="255" shrinkToFit="1"/>
    </xf>
    <xf numFmtId="38" fontId="38" fillId="0" borderId="44" xfId="1" applyFont="1" applyFill="1" applyBorder="1" applyAlignment="1">
      <alignment horizontal="center" vertical="center" shrinkToFit="1"/>
    </xf>
    <xf numFmtId="38" fontId="38" fillId="0" borderId="48" xfId="1" applyFont="1" applyFill="1" applyBorder="1" applyAlignment="1">
      <alignment horizontal="center" vertical="center" shrinkToFit="1"/>
    </xf>
    <xf numFmtId="38" fontId="38" fillId="0" borderId="74" xfId="1" applyFont="1" applyFill="1" applyBorder="1" applyAlignment="1">
      <alignment horizontal="center" vertical="center" shrinkToFit="1"/>
    </xf>
    <xf numFmtId="38" fontId="38" fillId="0" borderId="75" xfId="1" applyFont="1" applyFill="1" applyBorder="1" applyAlignment="1">
      <alignment horizontal="center" vertical="center" shrinkToFit="1"/>
    </xf>
    <xf numFmtId="38" fontId="38" fillId="0" borderId="1" xfId="1" applyFont="1" applyFill="1" applyBorder="1" applyAlignment="1">
      <alignment horizontal="center" vertical="center" textRotation="255" wrapText="1" shrinkToFit="1"/>
    </xf>
    <xf numFmtId="0" fontId="38" fillId="0" borderId="48" xfId="0" applyFont="1" applyBorder="1" applyAlignment="1">
      <alignment horizontal="center" vertical="center" shrinkToFit="1"/>
    </xf>
    <xf numFmtId="0" fontId="38" fillId="0" borderId="75" xfId="0" applyFont="1" applyBorder="1" applyAlignment="1">
      <alignment horizontal="center" vertical="center" shrinkToFit="1"/>
    </xf>
    <xf numFmtId="0" fontId="38" fillId="0" borderId="120" xfId="0" applyFont="1" applyBorder="1" applyAlignment="1">
      <alignment horizontal="center" vertical="center" shrinkToFit="1"/>
    </xf>
    <xf numFmtId="0" fontId="38" fillId="0" borderId="70" xfId="0" applyFont="1" applyBorder="1" applyAlignment="1">
      <alignment horizontal="center" vertical="center" shrinkToFit="1"/>
    </xf>
    <xf numFmtId="0" fontId="46" fillId="0" borderId="0" xfId="0" applyFont="1" applyAlignment="1">
      <alignment horizontal="left" vertical="top" shrinkToFit="1"/>
    </xf>
    <xf numFmtId="38" fontId="39" fillId="5" borderId="93" xfId="1" applyFont="1" applyFill="1" applyBorder="1" applyAlignment="1">
      <alignment horizontal="center" vertical="center" shrinkToFit="1"/>
    </xf>
    <xf numFmtId="38" fontId="39" fillId="5" borderId="20" xfId="1" applyFont="1" applyFill="1" applyBorder="1" applyAlignment="1">
      <alignment horizontal="center" vertical="center" shrinkToFit="1"/>
    </xf>
    <xf numFmtId="38" fontId="39" fillId="5" borderId="14" xfId="1" applyFont="1" applyFill="1" applyBorder="1" applyAlignment="1">
      <alignment horizontal="center" vertical="center" shrinkToFit="1"/>
    </xf>
    <xf numFmtId="38" fontId="39" fillId="5" borderId="93" xfId="2" applyFont="1" applyFill="1" applyBorder="1" applyAlignment="1">
      <alignment horizontal="center" vertical="center" shrinkToFit="1"/>
    </xf>
    <xf numFmtId="38" fontId="39" fillId="5" borderId="20" xfId="2" applyFont="1" applyFill="1" applyBorder="1" applyAlignment="1">
      <alignment horizontal="center" vertical="center" shrinkToFit="1"/>
    </xf>
    <xf numFmtId="38" fontId="39" fillId="5" borderId="14" xfId="2" applyFont="1" applyFill="1" applyBorder="1" applyAlignment="1">
      <alignment horizontal="center" vertical="center" shrinkToFit="1"/>
    </xf>
    <xf numFmtId="38" fontId="39" fillId="0" borderId="11" xfId="2" applyFont="1" applyFill="1" applyBorder="1" applyAlignment="1">
      <alignment horizontal="center" vertical="center" shrinkToFit="1"/>
    </xf>
    <xf numFmtId="38" fontId="39" fillId="0" borderId="0" xfId="2" applyFont="1" applyFill="1" applyBorder="1" applyAlignment="1">
      <alignment horizontal="center" vertical="center" shrinkToFit="1"/>
    </xf>
    <xf numFmtId="38" fontId="39" fillId="0" borderId="41" xfId="2" applyFont="1" applyFill="1" applyBorder="1" applyAlignment="1">
      <alignment horizontal="center" vertical="center" shrinkToFit="1"/>
    </xf>
    <xf numFmtId="38" fontId="39" fillId="0" borderId="21" xfId="2" applyFont="1" applyFill="1" applyBorder="1" applyAlignment="1">
      <alignment horizontal="center" vertical="center" shrinkToFit="1"/>
    </xf>
    <xf numFmtId="38" fontId="39" fillId="0" borderId="22" xfId="2" applyFont="1" applyFill="1" applyBorder="1" applyAlignment="1">
      <alignment horizontal="center" vertical="center" shrinkToFit="1"/>
    </xf>
    <xf numFmtId="38" fontId="39" fillId="0" borderId="94" xfId="2" applyFont="1" applyFill="1" applyBorder="1" applyAlignment="1">
      <alignment horizontal="center" vertical="center" shrinkToFit="1"/>
    </xf>
    <xf numFmtId="38" fontId="38" fillId="0" borderId="13" xfId="1" applyFont="1" applyFill="1" applyBorder="1" applyAlignment="1">
      <alignment horizontal="center" vertical="center" shrinkToFit="1"/>
    </xf>
    <xf numFmtId="38" fontId="38" fillId="0" borderId="17" xfId="1" applyFont="1" applyFill="1" applyBorder="1" applyAlignment="1">
      <alignment horizontal="center" vertical="center" shrinkToFit="1"/>
    </xf>
    <xf numFmtId="38" fontId="38" fillId="0" borderId="43" xfId="1" applyFont="1" applyFill="1" applyBorder="1" applyAlignment="1">
      <alignment horizontal="center" vertical="center" shrinkToFit="1"/>
    </xf>
    <xf numFmtId="0" fontId="38" fillId="0" borderId="2" xfId="0" applyFont="1" applyBorder="1" applyAlignment="1">
      <alignment horizontal="center" vertical="center" shrinkToFit="1"/>
    </xf>
    <xf numFmtId="0" fontId="38" fillId="0" borderId="71" xfId="0" applyFont="1" applyBorder="1" applyAlignment="1">
      <alignment horizontal="center" vertical="center" shrinkToFit="1"/>
    </xf>
    <xf numFmtId="38" fontId="38" fillId="0" borderId="118" xfId="1" applyFont="1" applyFill="1" applyBorder="1" applyAlignment="1">
      <alignment horizontal="center" vertical="center" shrinkToFit="1"/>
    </xf>
    <xf numFmtId="38" fontId="38" fillId="0" borderId="85" xfId="1" applyFont="1" applyFill="1" applyBorder="1" applyAlignment="1">
      <alignment horizontal="center" vertical="center" shrinkToFit="1"/>
    </xf>
    <xf numFmtId="38" fontId="38" fillId="0" borderId="86" xfId="1" applyFont="1" applyFill="1" applyBorder="1" applyAlignment="1">
      <alignment horizontal="center" vertical="center" shrinkToFit="1"/>
    </xf>
    <xf numFmtId="38" fontId="6" fillId="0" borderId="0" xfId="1" applyFont="1" applyFill="1" applyAlignment="1">
      <alignment horizontal="center" vertical="center" shrinkToFit="1"/>
    </xf>
    <xf numFmtId="38" fontId="5" fillId="0" borderId="0" xfId="1" applyFont="1" applyFill="1" applyAlignment="1">
      <alignment horizontal="center" vertical="center" shrinkToFit="1"/>
    </xf>
    <xf numFmtId="38" fontId="39" fillId="2" borderId="1" xfId="1" applyFont="1" applyFill="1" applyBorder="1" applyAlignment="1">
      <alignment horizontal="center" vertical="center" textRotation="255" shrinkToFit="1"/>
    </xf>
    <xf numFmtId="38" fontId="39" fillId="2" borderId="11" xfId="1" applyFont="1" applyFill="1" applyBorder="1" applyAlignment="1">
      <alignment horizontal="center" vertical="center" textRotation="255" shrinkToFit="1"/>
    </xf>
    <xf numFmtId="38" fontId="39" fillId="2" borderId="13" xfId="1" applyFont="1" applyFill="1" applyBorder="1" applyAlignment="1">
      <alignment horizontal="center" vertical="center" textRotation="255" shrinkToFit="1"/>
    </xf>
    <xf numFmtId="38" fontId="38" fillId="0" borderId="1" xfId="1" applyFont="1" applyFill="1" applyBorder="1" applyAlignment="1">
      <alignment horizontal="center" vertical="center" shrinkToFit="1"/>
    </xf>
    <xf numFmtId="38" fontId="38" fillId="0" borderId="2" xfId="1" applyFont="1" applyFill="1" applyBorder="1" applyAlignment="1">
      <alignment horizontal="center" vertical="center" shrinkToFit="1"/>
    </xf>
    <xf numFmtId="38" fontId="38" fillId="0" borderId="3" xfId="1" applyFont="1" applyFill="1" applyBorder="1" applyAlignment="1">
      <alignment horizontal="center" vertical="center" shrinkToFit="1"/>
    </xf>
    <xf numFmtId="38" fontId="38" fillId="0" borderId="4" xfId="1" applyFont="1" applyFill="1" applyBorder="1" applyAlignment="1">
      <alignment horizontal="center" vertical="center" shrinkToFit="1"/>
    </xf>
    <xf numFmtId="38" fontId="38" fillId="0" borderId="5" xfId="1" applyFont="1" applyFill="1" applyBorder="1" applyAlignment="1">
      <alignment horizontal="center" vertical="center" shrinkToFit="1"/>
    </xf>
    <xf numFmtId="38" fontId="38" fillId="0" borderId="6" xfId="1" applyFont="1" applyFill="1" applyBorder="1" applyAlignment="1">
      <alignment horizontal="center" vertical="center" shrinkToFit="1"/>
    </xf>
    <xf numFmtId="38" fontId="39" fillId="0" borderId="1" xfId="1" applyFont="1" applyFill="1" applyBorder="1" applyAlignment="1">
      <alignment horizontal="center" vertical="center" textRotation="255" wrapText="1" shrinkToFit="1"/>
    </xf>
    <xf numFmtId="38" fontId="39" fillId="0" borderId="11" xfId="1" applyFont="1" applyFill="1" applyBorder="1" applyAlignment="1">
      <alignment horizontal="center" vertical="center" textRotation="255" shrinkToFit="1"/>
    </xf>
    <xf numFmtId="38" fontId="39" fillId="0" borderId="13" xfId="1" applyFont="1" applyFill="1" applyBorder="1" applyAlignment="1">
      <alignment horizontal="center" vertical="center" textRotation="255" shrinkToFit="1"/>
    </xf>
    <xf numFmtId="38" fontId="39" fillId="0" borderId="44" xfId="1" applyFont="1" applyFill="1" applyBorder="1" applyAlignment="1">
      <alignment horizontal="center" vertical="center" textRotation="255" shrinkToFit="1"/>
    </xf>
    <xf numFmtId="38" fontId="39" fillId="0" borderId="58" xfId="1" applyFont="1" applyFill="1" applyBorder="1" applyAlignment="1">
      <alignment horizontal="center" vertical="center" textRotation="255" shrinkToFit="1"/>
    </xf>
    <xf numFmtId="38" fontId="39" fillId="2" borderId="17" xfId="1" applyFont="1" applyFill="1" applyBorder="1" applyAlignment="1">
      <alignment horizontal="center" vertical="center" shrinkToFit="1"/>
    </xf>
    <xf numFmtId="38" fontId="39" fillId="2" borderId="43" xfId="1" applyFont="1" applyFill="1" applyBorder="1" applyAlignment="1">
      <alignment horizontal="center" vertical="center" shrinkToFit="1"/>
    </xf>
    <xf numFmtId="38" fontId="40" fillId="0" borderId="68" xfId="1" applyFont="1" applyFill="1" applyBorder="1" applyAlignment="1">
      <alignment horizontal="center" vertical="center" shrinkToFit="1"/>
    </xf>
    <xf numFmtId="38" fontId="40" fillId="0" borderId="63" xfId="1" applyFont="1" applyFill="1" applyBorder="1" applyAlignment="1">
      <alignment horizontal="center" vertical="center" shrinkToFit="1"/>
    </xf>
    <xf numFmtId="0" fontId="47" fillId="0" borderId="0" xfId="0" applyFont="1" applyAlignment="1">
      <alignment horizontal="center" vertical="center" shrinkToFit="1"/>
    </xf>
    <xf numFmtId="38" fontId="39" fillId="7" borderId="93" xfId="1" applyFont="1" applyFill="1" applyBorder="1" applyAlignment="1">
      <alignment horizontal="center" vertical="center" shrinkToFit="1"/>
    </xf>
    <xf numFmtId="38" fontId="39" fillId="7" borderId="20" xfId="1" applyFont="1" applyFill="1" applyBorder="1" applyAlignment="1">
      <alignment horizontal="center" vertical="center" shrinkToFit="1"/>
    </xf>
    <xf numFmtId="38" fontId="39" fillId="7" borderId="52" xfId="1" applyFont="1" applyFill="1" applyBorder="1" applyAlignment="1">
      <alignment horizontal="center" vertical="center" shrinkToFit="1"/>
    </xf>
    <xf numFmtId="38" fontId="39" fillId="5" borderId="19" xfId="2" applyFont="1" applyFill="1" applyBorder="1" applyAlignment="1">
      <alignment horizontal="center" vertical="center" shrinkToFit="1"/>
    </xf>
    <xf numFmtId="38" fontId="39" fillId="5" borderId="31" xfId="2" applyFont="1" applyFill="1" applyBorder="1" applyAlignment="1">
      <alignment horizontal="center" vertical="center" shrinkToFit="1"/>
    </xf>
    <xf numFmtId="38" fontId="39" fillId="0" borderId="18" xfId="2" applyFont="1" applyFill="1" applyBorder="1" applyAlignment="1">
      <alignment horizontal="center" vertical="center" shrinkToFit="1"/>
    </xf>
    <xf numFmtId="38" fontId="39" fillId="0" borderId="7" xfId="2" applyFont="1" applyFill="1" applyBorder="1" applyAlignment="1">
      <alignment horizontal="center" vertical="center" shrinkToFit="1"/>
    </xf>
    <xf numFmtId="38" fontId="39" fillId="0" borderId="50" xfId="2" applyFont="1" applyFill="1" applyBorder="1" applyAlignment="1">
      <alignment horizontal="center" vertical="center" shrinkToFit="1"/>
    </xf>
    <xf numFmtId="38" fontId="39" fillId="0" borderId="35" xfId="2" applyFont="1" applyFill="1" applyBorder="1" applyAlignment="1">
      <alignment horizontal="center" vertical="center" shrinkToFit="1"/>
    </xf>
    <xf numFmtId="38" fontId="39" fillId="0" borderId="1" xfId="1" applyFont="1" applyFill="1" applyBorder="1" applyAlignment="1">
      <alignment horizontal="center" vertical="center" textRotation="255" shrinkToFit="1"/>
    </xf>
    <xf numFmtId="38" fontId="39" fillId="2" borderId="20" xfId="1" applyFont="1" applyFill="1" applyBorder="1" applyAlignment="1">
      <alignment horizontal="center" vertical="center" shrinkToFit="1"/>
    </xf>
    <xf numFmtId="38" fontId="39" fillId="2" borderId="14" xfId="1" applyFont="1" applyFill="1" applyBorder="1" applyAlignment="1">
      <alignment horizontal="center" vertical="center" shrinkToFit="1"/>
    </xf>
    <xf numFmtId="38" fontId="39" fillId="0" borderId="4" xfId="2" applyFont="1" applyFill="1" applyBorder="1" applyAlignment="1">
      <alignment horizontal="center" vertical="center" shrinkToFit="1"/>
    </xf>
    <xf numFmtId="38" fontId="39" fillId="0" borderId="5" xfId="2" applyFont="1" applyFill="1" applyBorder="1" applyAlignment="1">
      <alignment horizontal="center" vertical="center" shrinkToFit="1"/>
    </xf>
    <xf numFmtId="38" fontId="39" fillId="0" borderId="54" xfId="2" applyFont="1" applyFill="1" applyBorder="1" applyAlignment="1">
      <alignment horizontal="center" vertical="center" shrinkToFit="1"/>
    </xf>
    <xf numFmtId="0" fontId="40" fillId="0" borderId="29" xfId="0" applyFont="1" applyBorder="1" applyAlignment="1">
      <alignment horizontal="center" vertical="center" shrinkToFit="1"/>
    </xf>
    <xf numFmtId="0" fontId="40" fillId="0" borderId="114" xfId="0" applyFont="1" applyBorder="1" applyAlignment="1">
      <alignment horizontal="center" vertical="center" shrinkToFit="1"/>
    </xf>
    <xf numFmtId="0" fontId="40" fillId="0" borderId="68" xfId="0" applyFont="1" applyBorder="1" applyAlignment="1">
      <alignment horizontal="center" vertical="center" shrinkToFit="1"/>
    </xf>
    <xf numFmtId="0" fontId="40" fillId="0" borderId="73" xfId="0" applyFont="1" applyBorder="1" applyAlignment="1">
      <alignment horizontal="center" vertical="center" shrinkToFit="1"/>
    </xf>
    <xf numFmtId="38" fontId="38" fillId="0" borderId="117" xfId="1" applyFont="1" applyFill="1" applyBorder="1" applyAlignment="1">
      <alignment horizontal="center" vertical="center" shrinkToFit="1"/>
    </xf>
    <xf numFmtId="38" fontId="38" fillId="0" borderId="72" xfId="1" applyFont="1" applyFill="1" applyBorder="1" applyAlignment="1">
      <alignment horizontal="center" vertical="center" shrinkToFit="1"/>
    </xf>
    <xf numFmtId="38" fontId="39" fillId="7" borderId="14" xfId="1" applyFont="1" applyFill="1" applyBorder="1" applyAlignment="1">
      <alignment horizontal="center" vertical="center" shrinkToFit="1"/>
    </xf>
    <xf numFmtId="38" fontId="39" fillId="0" borderId="26" xfId="2" applyFont="1" applyFill="1" applyBorder="1" applyAlignment="1">
      <alignment horizontal="center" vertical="center" shrinkToFit="1"/>
    </xf>
    <xf numFmtId="38" fontId="39" fillId="7" borderId="8" xfId="2" applyFont="1" applyFill="1" applyBorder="1" applyAlignment="1">
      <alignment horizontal="center" vertical="center" shrinkToFit="1"/>
    </xf>
    <xf numFmtId="38" fontId="39" fillId="7" borderId="40" xfId="2" applyFont="1" applyFill="1" applyBorder="1" applyAlignment="1">
      <alignment horizontal="center" vertical="center" shrinkToFit="1"/>
    </xf>
    <xf numFmtId="190" fontId="63" fillId="0" borderId="0" xfId="4" applyNumberFormat="1" applyFont="1" applyBorder="1" applyAlignment="1">
      <alignment horizontal="right" vertical="center" shrinkToFit="1"/>
    </xf>
    <xf numFmtId="190" fontId="63" fillId="0" borderId="41" xfId="4" applyNumberFormat="1" applyFont="1" applyBorder="1" applyAlignment="1">
      <alignment horizontal="right" vertical="center" shrinkToFit="1"/>
    </xf>
    <xf numFmtId="190" fontId="63" fillId="0" borderId="27" xfId="4" applyNumberFormat="1" applyFont="1" applyBorder="1" applyAlignment="1">
      <alignment horizontal="right" vertical="center" shrinkToFit="1"/>
    </xf>
    <xf numFmtId="190" fontId="63" fillId="0" borderId="5" xfId="4" applyNumberFormat="1" applyFont="1" applyBorder="1" applyAlignment="1">
      <alignment horizontal="right" vertical="center" shrinkToFit="1"/>
    </xf>
    <xf numFmtId="190" fontId="63" fillId="0" borderId="6" xfId="4" applyNumberFormat="1" applyFont="1" applyBorder="1" applyAlignment="1">
      <alignment horizontal="right" vertical="center" shrinkToFit="1"/>
    </xf>
    <xf numFmtId="190" fontId="63" fillId="0" borderId="45" xfId="4" applyNumberFormat="1" applyFont="1" applyBorder="1" applyAlignment="1">
      <alignment horizontal="right" vertical="center" shrinkToFit="1"/>
    </xf>
    <xf numFmtId="190" fontId="63" fillId="17" borderId="0" xfId="4" applyNumberFormat="1" applyFont="1" applyFill="1" applyBorder="1" applyAlignment="1">
      <alignment horizontal="right" vertical="center" shrinkToFit="1"/>
    </xf>
    <xf numFmtId="190" fontId="63" fillId="17" borderId="41" xfId="4" applyNumberFormat="1" applyFont="1" applyFill="1" applyBorder="1" applyAlignment="1">
      <alignment horizontal="right" vertical="center" shrinkToFit="1"/>
    </xf>
    <xf numFmtId="190" fontId="63" fillId="17" borderId="27" xfId="4" applyNumberFormat="1" applyFont="1" applyFill="1" applyBorder="1" applyAlignment="1">
      <alignment horizontal="right" vertical="center" shrinkToFit="1"/>
    </xf>
    <xf numFmtId="190" fontId="57" fillId="11" borderId="7" xfId="4" applyNumberFormat="1" applyFont="1" applyFill="1" applyBorder="1" applyAlignment="1">
      <alignment horizontal="right" vertical="center" shrinkToFit="1"/>
    </xf>
    <xf numFmtId="190" fontId="57" fillId="11" borderId="26" xfId="4" applyNumberFormat="1" applyFont="1" applyFill="1" applyBorder="1" applyAlignment="1">
      <alignment horizontal="right" vertical="center" shrinkToFit="1"/>
    </xf>
    <xf numFmtId="190" fontId="61" fillId="11" borderId="39" xfId="4" applyNumberFormat="1" applyFont="1" applyFill="1" applyBorder="1" applyAlignment="1">
      <alignment horizontal="right" vertical="center" shrinkToFit="1"/>
    </xf>
    <xf numFmtId="190" fontId="61" fillId="11" borderId="26" xfId="4" applyNumberFormat="1" applyFont="1" applyFill="1" applyBorder="1" applyAlignment="1">
      <alignment horizontal="right" vertical="center" shrinkToFit="1"/>
    </xf>
    <xf numFmtId="190" fontId="63" fillId="0" borderId="0" xfId="4" applyNumberFormat="1" applyFont="1" applyBorder="1" applyAlignment="1" applyProtection="1">
      <alignment horizontal="right" vertical="center" shrinkToFit="1"/>
      <protection locked="0"/>
    </xf>
    <xf numFmtId="190" fontId="63" fillId="0" borderId="41" xfId="4" applyNumberFormat="1" applyFont="1" applyBorder="1" applyAlignment="1" applyProtection="1">
      <alignment horizontal="right" vertical="center" shrinkToFit="1"/>
      <protection locked="0"/>
    </xf>
    <xf numFmtId="190" fontId="63" fillId="0" borderId="27" xfId="4" applyNumberFormat="1" applyFont="1" applyBorder="1" applyAlignment="1" applyProtection="1">
      <alignment horizontal="right" vertical="center" shrinkToFit="1"/>
      <protection locked="0"/>
    </xf>
    <xf numFmtId="190" fontId="65" fillId="0" borderId="27" xfId="4" applyNumberFormat="1" applyFont="1" applyBorder="1" applyAlignment="1">
      <alignment horizontal="right" vertical="center" shrinkToFit="1"/>
    </xf>
    <xf numFmtId="190" fontId="65" fillId="0" borderId="41" xfId="4" applyNumberFormat="1" applyFont="1" applyBorder="1" applyAlignment="1">
      <alignment horizontal="right" vertical="center" shrinkToFit="1"/>
    </xf>
    <xf numFmtId="190" fontId="62" fillId="0" borderId="27" xfId="4" applyNumberFormat="1" applyFont="1" applyBorder="1" applyAlignment="1">
      <alignment horizontal="center" vertical="center" shrinkToFit="1"/>
    </xf>
    <xf numFmtId="190" fontId="62" fillId="0" borderId="0" xfId="4" applyNumberFormat="1" applyFont="1" applyBorder="1" applyAlignment="1">
      <alignment horizontal="center" vertical="center" shrinkToFit="1"/>
    </xf>
    <xf numFmtId="190" fontId="18" fillId="0" borderId="45" xfId="4" applyNumberFormat="1" applyFont="1" applyBorder="1" applyAlignment="1">
      <alignment horizontal="center" vertical="center" shrinkToFit="1"/>
    </xf>
    <xf numFmtId="190" fontId="18" fillId="0" borderId="5" xfId="4" applyNumberFormat="1" applyFont="1" applyBorder="1" applyAlignment="1">
      <alignment horizontal="center" vertical="center" shrinkToFit="1"/>
    </xf>
    <xf numFmtId="190" fontId="65" fillId="0" borderId="45" xfId="4" applyNumberFormat="1" applyFont="1" applyBorder="1" applyAlignment="1">
      <alignment horizontal="right" vertical="center" shrinkToFit="1"/>
    </xf>
    <xf numFmtId="190" fontId="65" fillId="0" borderId="6" xfId="4" applyNumberFormat="1" applyFont="1" applyBorder="1" applyAlignment="1">
      <alignment horizontal="right" vertical="center" shrinkToFit="1"/>
    </xf>
    <xf numFmtId="190" fontId="63" fillId="0" borderId="0" xfId="4" applyNumberFormat="1" applyFont="1" applyBorder="1" applyAlignment="1">
      <alignment horizontal="right" vertical="top" shrinkToFit="1"/>
    </xf>
    <xf numFmtId="190" fontId="63" fillId="0" borderId="41" xfId="4" applyNumberFormat="1" applyFont="1" applyBorder="1" applyAlignment="1">
      <alignment horizontal="right" vertical="top" shrinkToFit="1"/>
    </xf>
    <xf numFmtId="190" fontId="63" fillId="0" borderId="27" xfId="4" applyNumberFormat="1" applyFont="1" applyBorder="1" applyAlignment="1">
      <alignment horizontal="right" vertical="top" shrinkToFit="1"/>
    </xf>
    <xf numFmtId="190" fontId="65" fillId="0" borderId="27" xfId="4" applyNumberFormat="1" applyFont="1" applyBorder="1" applyAlignment="1" applyProtection="1">
      <alignment horizontal="right" vertical="center" shrinkToFit="1"/>
      <protection locked="0"/>
    </xf>
    <xf numFmtId="190" fontId="65" fillId="0" borderId="41" xfId="4" applyNumberFormat="1" applyFont="1" applyBorder="1" applyAlignment="1" applyProtection="1">
      <alignment horizontal="right" vertical="center" shrinkToFit="1"/>
      <protection locked="0"/>
    </xf>
    <xf numFmtId="190" fontId="66" fillId="0" borderId="27" xfId="4" applyNumberFormat="1" applyFont="1" applyBorder="1" applyAlignment="1" applyProtection="1">
      <alignment horizontal="right" vertical="center" shrinkToFit="1"/>
      <protection locked="0"/>
    </xf>
    <xf numFmtId="190" fontId="66" fillId="0" borderId="41" xfId="4" applyNumberFormat="1" applyFont="1" applyBorder="1" applyAlignment="1" applyProtection="1">
      <alignment horizontal="right" vertical="center" shrinkToFit="1"/>
      <protection locked="0"/>
    </xf>
    <xf numFmtId="190" fontId="66" fillId="0" borderId="27" xfId="4" applyNumberFormat="1" applyFont="1" applyBorder="1" applyAlignment="1">
      <alignment horizontal="right" vertical="center" shrinkToFit="1"/>
    </xf>
    <xf numFmtId="190" fontId="66" fillId="0" borderId="41" xfId="4" applyNumberFormat="1" applyFont="1" applyBorder="1" applyAlignment="1">
      <alignment horizontal="right" vertical="center" shrinkToFit="1"/>
    </xf>
    <xf numFmtId="190" fontId="68" fillId="0" borderId="27" xfId="4" applyNumberFormat="1" applyFont="1" applyBorder="1" applyAlignment="1">
      <alignment horizontal="right" vertical="center" shrinkToFit="1"/>
    </xf>
    <xf numFmtId="190" fontId="68" fillId="0" borderId="41" xfId="4" applyNumberFormat="1" applyFont="1" applyBorder="1" applyAlignment="1">
      <alignment horizontal="right" vertical="center" shrinkToFit="1"/>
    </xf>
    <xf numFmtId="190" fontId="68" fillId="0" borderId="27" xfId="4" applyNumberFormat="1" applyFont="1" applyBorder="1" applyAlignment="1" applyProtection="1">
      <alignment horizontal="right" vertical="center" shrinkToFit="1"/>
      <protection locked="0"/>
    </xf>
    <xf numFmtId="190" fontId="68" fillId="0" borderId="41" xfId="4" applyNumberFormat="1" applyFont="1" applyBorder="1" applyAlignment="1" applyProtection="1">
      <alignment horizontal="right" vertical="center" shrinkToFit="1"/>
      <protection locked="0"/>
    </xf>
    <xf numFmtId="190" fontId="18" fillId="0" borderId="27" xfId="4" applyNumberFormat="1" applyFont="1" applyBorder="1" applyAlignment="1">
      <alignment horizontal="left" vertical="center"/>
    </xf>
    <xf numFmtId="190" fontId="18" fillId="0" borderId="0" xfId="4" applyNumberFormat="1" applyFont="1" applyBorder="1" applyAlignment="1">
      <alignment horizontal="left" vertical="center"/>
    </xf>
    <xf numFmtId="190" fontId="91" fillId="0" borderId="46" xfId="4" applyNumberFormat="1" applyFont="1" applyFill="1" applyBorder="1" applyAlignment="1" applyProtection="1">
      <alignment horizontal="left" vertical="center" shrinkToFit="1"/>
      <protection locked="0"/>
    </xf>
    <xf numFmtId="190" fontId="91" fillId="0" borderId="69" xfId="4" applyNumberFormat="1" applyFont="1" applyFill="1" applyBorder="1" applyAlignment="1" applyProtection="1">
      <alignment horizontal="left" vertical="center" shrinkToFit="1"/>
      <protection locked="0"/>
    </xf>
    <xf numFmtId="190" fontId="91" fillId="0" borderId="42" xfId="4" applyNumberFormat="1" applyFont="1" applyFill="1" applyBorder="1" applyAlignment="1" applyProtection="1">
      <alignment horizontal="left" vertical="center" shrinkToFit="1"/>
      <protection locked="0"/>
    </xf>
    <xf numFmtId="190" fontId="25" fillId="11" borderId="69" xfId="4" applyNumberFormat="1" applyFont="1" applyFill="1" applyBorder="1" applyAlignment="1">
      <alignment horizontal="right" vertical="center" shrinkToFit="1"/>
    </xf>
    <xf numFmtId="190" fontId="25" fillId="11" borderId="42" xfId="4" applyNumberFormat="1" applyFont="1" applyFill="1" applyBorder="1" applyAlignment="1">
      <alignment horizontal="right" vertical="center" shrinkToFit="1"/>
    </xf>
    <xf numFmtId="190" fontId="25" fillId="11" borderId="46" xfId="4" applyNumberFormat="1" applyFont="1" applyFill="1" applyBorder="1" applyAlignment="1">
      <alignment horizontal="right" vertical="center" shrinkToFit="1"/>
    </xf>
    <xf numFmtId="190" fontId="61" fillId="11" borderId="46" xfId="4" applyNumberFormat="1" applyFont="1" applyFill="1" applyBorder="1" applyAlignment="1">
      <alignment horizontal="right" vertical="center" shrinkToFit="1"/>
    </xf>
    <xf numFmtId="190" fontId="61" fillId="11" borderId="42" xfId="4" applyNumberFormat="1" applyFont="1" applyFill="1" applyBorder="1" applyAlignment="1">
      <alignment horizontal="right" vertical="center" shrinkToFit="1"/>
    </xf>
    <xf numFmtId="190" fontId="72" fillId="17" borderId="0" xfId="4" applyNumberFormat="1" applyFont="1" applyFill="1" applyBorder="1" applyAlignment="1">
      <alignment horizontal="right" vertical="center" shrinkToFit="1"/>
    </xf>
    <xf numFmtId="190" fontId="72" fillId="17" borderId="41" xfId="4" applyNumberFormat="1" applyFont="1" applyFill="1" applyBorder="1" applyAlignment="1">
      <alignment horizontal="right" vertical="center" shrinkToFit="1"/>
    </xf>
    <xf numFmtId="190" fontId="91" fillId="0" borderId="39" xfId="4" applyNumberFormat="1" applyFont="1" applyBorder="1" applyAlignment="1">
      <alignment horizontal="center" vertical="center" shrinkToFit="1"/>
    </xf>
    <xf numFmtId="190" fontId="91" fillId="0" borderId="7" xfId="4" applyNumberFormat="1" applyFont="1" applyBorder="1" applyAlignment="1">
      <alignment horizontal="center" vertical="center" shrinkToFit="1"/>
    </xf>
    <xf numFmtId="190" fontId="91" fillId="0" borderId="26" xfId="4" applyNumberFormat="1" applyFont="1" applyBorder="1" applyAlignment="1">
      <alignment horizontal="center" vertical="center" shrinkToFit="1"/>
    </xf>
    <xf numFmtId="190" fontId="72" fillId="11" borderId="7" xfId="4" applyNumberFormat="1" applyFont="1" applyFill="1" applyBorder="1" applyAlignment="1">
      <alignment horizontal="right" vertical="center" shrinkToFit="1"/>
    </xf>
    <xf numFmtId="190" fontId="72" fillId="11" borderId="26" xfId="4" applyNumberFormat="1" applyFont="1" applyFill="1" applyBorder="1" applyAlignment="1">
      <alignment horizontal="right" vertical="center" shrinkToFit="1"/>
    </xf>
    <xf numFmtId="190" fontId="63" fillId="11" borderId="39" xfId="4" applyNumberFormat="1" applyFont="1" applyFill="1" applyBorder="1" applyAlignment="1">
      <alignment horizontal="right" vertical="center" shrinkToFit="1"/>
    </xf>
    <xf numFmtId="190" fontId="63" fillId="11" borderId="26" xfId="4" applyNumberFormat="1" applyFont="1" applyFill="1" applyBorder="1" applyAlignment="1">
      <alignment horizontal="right" vertical="center" shrinkToFit="1"/>
    </xf>
    <xf numFmtId="190" fontId="28" fillId="0" borderId="17" xfId="4" applyNumberFormat="1" applyFont="1" applyBorder="1" applyAlignment="1">
      <alignment horizontal="right" vertical="center" shrinkToFit="1"/>
    </xf>
    <xf numFmtId="190" fontId="28" fillId="0" borderId="30" xfId="4" applyNumberFormat="1" applyFont="1" applyBorder="1" applyAlignment="1">
      <alignment horizontal="right" vertical="center" shrinkToFit="1"/>
    </xf>
    <xf numFmtId="190" fontId="91" fillId="0" borderId="45" xfId="4" applyNumberFormat="1" applyFont="1" applyFill="1" applyBorder="1" applyAlignment="1" applyProtection="1">
      <alignment horizontal="left" vertical="center" shrinkToFit="1"/>
      <protection locked="0"/>
    </xf>
    <xf numFmtId="190" fontId="91" fillId="0" borderId="5" xfId="4" applyNumberFormat="1" applyFont="1" applyFill="1" applyBorder="1" applyAlignment="1" applyProtection="1">
      <alignment horizontal="left" vertical="center" shrinkToFit="1"/>
      <protection locked="0"/>
    </xf>
    <xf numFmtId="190" fontId="91" fillId="0" borderId="6" xfId="4" applyNumberFormat="1" applyFont="1" applyFill="1" applyBorder="1" applyAlignment="1" applyProtection="1">
      <alignment horizontal="left" vertical="center" shrinkToFit="1"/>
      <protection locked="0"/>
    </xf>
    <xf numFmtId="190" fontId="24" fillId="11" borderId="39" xfId="4" applyNumberFormat="1" applyFont="1" applyFill="1" applyBorder="1" applyAlignment="1">
      <alignment horizontal="right" vertical="center"/>
    </xf>
    <xf numFmtId="190" fontId="24" fillId="11" borderId="26" xfId="4" applyNumberFormat="1" applyFont="1" applyFill="1" applyBorder="1" applyAlignment="1">
      <alignment horizontal="right" vertical="center"/>
    </xf>
    <xf numFmtId="190" fontId="96" fillId="18" borderId="11" xfId="4" applyNumberFormat="1" applyFont="1" applyFill="1" applyBorder="1" applyAlignment="1">
      <alignment horizontal="center" vertical="center" shrinkToFit="1"/>
    </xf>
    <xf numFmtId="190" fontId="96" fillId="18" borderId="53" xfId="4" applyNumberFormat="1" applyFont="1" applyFill="1" applyBorder="1" applyAlignment="1">
      <alignment horizontal="center" vertical="center" shrinkToFit="1"/>
    </xf>
    <xf numFmtId="190" fontId="96" fillId="18" borderId="13" xfId="4" applyNumberFormat="1" applyFont="1" applyFill="1" applyBorder="1" applyAlignment="1">
      <alignment horizontal="center" vertical="center" shrinkToFit="1"/>
    </xf>
    <xf numFmtId="190" fontId="96" fillId="18" borderId="30" xfId="4" applyNumberFormat="1" applyFont="1" applyFill="1" applyBorder="1" applyAlignment="1">
      <alignment horizontal="center" vertical="center" shrinkToFit="1"/>
    </xf>
    <xf numFmtId="190" fontId="66" fillId="0" borderId="45" xfId="4" applyNumberFormat="1" applyFont="1" applyBorder="1" applyAlignment="1">
      <alignment horizontal="right" vertical="center" shrinkToFit="1"/>
    </xf>
    <xf numFmtId="190" fontId="66" fillId="0" borderId="6" xfId="4" applyNumberFormat="1" applyFont="1" applyBorder="1" applyAlignment="1">
      <alignment horizontal="right" vertical="center" shrinkToFit="1"/>
    </xf>
    <xf numFmtId="190" fontId="96" fillId="0" borderId="0" xfId="4" applyNumberFormat="1" applyFont="1" applyBorder="1" applyAlignment="1">
      <alignment horizontal="right" vertical="center" shrinkToFit="1"/>
    </xf>
    <xf numFmtId="190" fontId="96" fillId="0" borderId="53" xfId="4" applyNumberFormat="1" applyFont="1" applyBorder="1" applyAlignment="1">
      <alignment horizontal="right" vertical="center" shrinkToFit="1"/>
    </xf>
    <xf numFmtId="190" fontId="96" fillId="0" borderId="46" xfId="4" applyNumberFormat="1" applyFont="1" applyBorder="1" applyAlignment="1">
      <alignment horizontal="center" vertical="center" shrinkToFit="1"/>
    </xf>
    <xf numFmtId="190" fontId="96" fillId="0" borderId="69" xfId="4" applyNumberFormat="1" applyFont="1" applyBorder="1" applyAlignment="1">
      <alignment horizontal="center" vertical="center" shrinkToFit="1"/>
    </xf>
    <xf numFmtId="190" fontId="96" fillId="0" borderId="42" xfId="4" applyNumberFormat="1" applyFont="1" applyBorder="1" applyAlignment="1">
      <alignment horizontal="center" vertical="center" shrinkToFit="1"/>
    </xf>
    <xf numFmtId="190" fontId="96" fillId="0" borderId="45" xfId="4" applyNumberFormat="1" applyFont="1" applyBorder="1" applyAlignment="1">
      <alignment horizontal="center" vertical="center" shrinkToFit="1"/>
    </xf>
    <xf numFmtId="190" fontId="96" fillId="0" borderId="5" xfId="4" applyNumberFormat="1" applyFont="1" applyBorder="1" applyAlignment="1">
      <alignment horizontal="center" vertical="center" shrinkToFit="1"/>
    </xf>
    <xf numFmtId="190" fontId="96" fillId="0" borderId="6" xfId="4" applyNumberFormat="1" applyFont="1" applyBorder="1" applyAlignment="1">
      <alignment horizontal="center" vertical="center" shrinkToFit="1"/>
    </xf>
    <xf numFmtId="190" fontId="63" fillId="0" borderId="0" xfId="4" applyNumberFormat="1" applyFont="1" applyBorder="1" applyAlignment="1">
      <alignment horizontal="center" vertical="center" shrinkToFit="1"/>
    </xf>
    <xf numFmtId="190" fontId="63" fillId="0" borderId="41" xfId="4" applyNumberFormat="1" applyFont="1" applyBorder="1" applyAlignment="1">
      <alignment horizontal="center" vertical="center" shrinkToFit="1"/>
    </xf>
    <xf numFmtId="190" fontId="96" fillId="0" borderId="4" xfId="4" applyNumberFormat="1" applyFont="1" applyBorder="1" applyAlignment="1">
      <alignment horizontal="right" vertical="center" shrinkToFit="1"/>
    </xf>
    <xf numFmtId="190" fontId="96" fillId="0" borderId="54" xfId="4" applyNumberFormat="1" applyFont="1" applyBorder="1" applyAlignment="1">
      <alignment horizontal="right" vertical="center" shrinkToFit="1"/>
    </xf>
    <xf numFmtId="190" fontId="28" fillId="18" borderId="1" xfId="4" applyNumberFormat="1" applyFont="1" applyFill="1" applyBorder="1" applyAlignment="1">
      <alignment horizontal="center" wrapText="1" shrinkToFit="1"/>
    </xf>
    <xf numFmtId="190" fontId="28" fillId="18" borderId="29" xfId="4" applyNumberFormat="1" applyFont="1" applyFill="1" applyBorder="1" applyAlignment="1">
      <alignment horizontal="center" wrapText="1" shrinkToFit="1"/>
    </xf>
    <xf numFmtId="190" fontId="27" fillId="18" borderId="11" xfId="4" applyNumberFormat="1" applyFont="1" applyFill="1" applyBorder="1" applyAlignment="1">
      <alignment horizontal="center" vertical="center" wrapText="1" shrinkToFit="1"/>
    </xf>
    <xf numFmtId="190" fontId="27" fillId="18" borderId="53" xfId="4" applyNumberFormat="1" applyFont="1" applyFill="1" applyBorder="1" applyAlignment="1">
      <alignment horizontal="center" vertical="center" wrapText="1" shrinkToFit="1"/>
    </xf>
    <xf numFmtId="190" fontId="27" fillId="18" borderId="115" xfId="4" applyNumberFormat="1" applyFont="1" applyFill="1" applyBorder="1" applyAlignment="1">
      <alignment horizontal="center" vertical="center" wrapText="1" shrinkToFit="1"/>
    </xf>
    <xf numFmtId="190" fontId="27" fillId="18" borderId="116" xfId="4" applyNumberFormat="1" applyFont="1" applyFill="1" applyBorder="1" applyAlignment="1">
      <alignment horizontal="center" vertical="center" wrapText="1" shrinkToFit="1"/>
    </xf>
    <xf numFmtId="190" fontId="62" fillId="0" borderId="27" xfId="4" applyNumberFormat="1" applyFont="1" applyBorder="1" applyAlignment="1">
      <alignment horizontal="left" vertical="center" shrinkToFit="1"/>
    </xf>
    <xf numFmtId="190" fontId="62" fillId="0" borderId="0" xfId="4" applyNumberFormat="1" applyFont="1" applyBorder="1" applyAlignment="1">
      <alignment horizontal="left" vertical="center" shrinkToFit="1"/>
    </xf>
    <xf numFmtId="190" fontId="66" fillId="0" borderId="0" xfId="4" applyNumberFormat="1" applyFont="1" applyBorder="1" applyAlignment="1">
      <alignment horizontal="right" vertical="center" shrinkToFit="1"/>
    </xf>
    <xf numFmtId="190" fontId="91" fillId="0" borderId="27" xfId="4" applyNumberFormat="1" applyFont="1" applyFill="1" applyBorder="1" applyAlignment="1">
      <alignment horizontal="left" vertical="center" shrinkToFit="1"/>
    </xf>
    <xf numFmtId="190" fontId="91" fillId="0" borderId="0" xfId="4" applyNumberFormat="1" applyFont="1" applyFill="1" applyBorder="1" applyAlignment="1">
      <alignment horizontal="left" vertical="center" shrinkToFit="1"/>
    </xf>
    <xf numFmtId="190" fontId="91" fillId="0" borderId="41" xfId="4" applyNumberFormat="1" applyFont="1" applyFill="1" applyBorder="1" applyAlignment="1">
      <alignment horizontal="left" vertical="center" shrinkToFit="1"/>
    </xf>
    <xf numFmtId="190" fontId="18" fillId="0" borderId="45" xfId="4" applyNumberFormat="1" applyFont="1" applyFill="1" applyBorder="1" applyAlignment="1">
      <alignment horizontal="left" vertical="center" indent="1" shrinkToFit="1"/>
    </xf>
    <xf numFmtId="190" fontId="18" fillId="0" borderId="5" xfId="4" applyNumberFormat="1" applyFont="1" applyFill="1" applyBorder="1" applyAlignment="1">
      <alignment horizontal="left" vertical="center" indent="1" shrinkToFit="1"/>
    </xf>
    <xf numFmtId="190" fontId="65" fillId="0" borderId="5" xfId="4" applyNumberFormat="1" applyFont="1" applyBorder="1" applyAlignment="1">
      <alignment horizontal="right" vertical="center" shrinkToFit="1"/>
    </xf>
    <xf numFmtId="190" fontId="91" fillId="0" borderId="45" xfId="4" applyNumberFormat="1" applyFont="1" applyFill="1" applyBorder="1" applyAlignment="1">
      <alignment horizontal="left" vertical="center" shrinkToFit="1"/>
    </xf>
    <xf numFmtId="190" fontId="91" fillId="0" borderId="5" xfId="4" applyNumberFormat="1" applyFont="1" applyFill="1" applyBorder="1" applyAlignment="1">
      <alignment horizontal="left" vertical="center" shrinkToFit="1"/>
    </xf>
    <xf numFmtId="190" fontId="91" fillId="0" borderId="6" xfId="4" applyNumberFormat="1" applyFont="1" applyFill="1" applyBorder="1" applyAlignment="1">
      <alignment horizontal="left" vertical="center" shrinkToFit="1"/>
    </xf>
    <xf numFmtId="190" fontId="65" fillId="11" borderId="0" xfId="4" applyNumberFormat="1" applyFont="1" applyFill="1" applyBorder="1" applyAlignment="1" applyProtection="1">
      <alignment horizontal="right" vertical="center" shrinkToFit="1"/>
      <protection locked="0"/>
    </xf>
    <xf numFmtId="190" fontId="65" fillId="11" borderId="41" xfId="4" applyNumberFormat="1" applyFont="1" applyFill="1" applyBorder="1" applyAlignment="1" applyProtection="1">
      <alignment horizontal="right" vertical="center" shrinkToFit="1"/>
      <protection locked="0"/>
    </xf>
    <xf numFmtId="190" fontId="18" fillId="0" borderId="27" xfId="4" applyNumberFormat="1" applyFont="1" applyFill="1" applyBorder="1" applyAlignment="1">
      <alignment horizontal="left" vertical="center" indent="1" shrinkToFit="1"/>
    </xf>
    <xf numFmtId="190" fontId="18" fillId="0" borderId="0" xfId="4" applyNumberFormat="1" applyFont="1" applyFill="1" applyBorder="1" applyAlignment="1">
      <alignment horizontal="left" vertical="center" indent="1" shrinkToFit="1"/>
    </xf>
    <xf numFmtId="190" fontId="65" fillId="0" borderId="0" xfId="4" applyNumberFormat="1" applyFont="1" applyBorder="1" applyAlignment="1">
      <alignment horizontal="right" vertical="center" shrinkToFit="1"/>
    </xf>
    <xf numFmtId="190" fontId="18" fillId="0" borderId="27" xfId="4" applyNumberFormat="1" applyFont="1" applyFill="1" applyBorder="1" applyAlignment="1" applyProtection="1">
      <alignment horizontal="left" vertical="center" indent="1" shrinkToFit="1"/>
      <protection locked="0"/>
    </xf>
    <xf numFmtId="190" fontId="18" fillId="0" borderId="0" xfId="4" applyNumberFormat="1" applyFont="1" applyFill="1" applyBorder="1" applyAlignment="1" applyProtection="1">
      <alignment horizontal="left" vertical="center" indent="1" shrinkToFit="1"/>
      <protection locked="0"/>
    </xf>
    <xf numFmtId="190" fontId="91" fillId="0" borderId="27" xfId="4" applyNumberFormat="1" applyFont="1" applyFill="1" applyBorder="1" applyAlignment="1" applyProtection="1">
      <alignment horizontal="left" vertical="center" shrinkToFit="1"/>
      <protection locked="0"/>
    </xf>
    <xf numFmtId="190" fontId="91" fillId="0" borderId="0" xfId="4" applyNumberFormat="1" applyFont="1" applyFill="1" applyBorder="1" applyAlignment="1" applyProtection="1">
      <alignment horizontal="left" vertical="center" shrinkToFit="1"/>
      <protection locked="0"/>
    </xf>
    <xf numFmtId="190" fontId="91" fillId="0" borderId="41" xfId="4" applyNumberFormat="1" applyFont="1" applyFill="1" applyBorder="1" applyAlignment="1" applyProtection="1">
      <alignment horizontal="left" vertical="center" shrinkToFit="1"/>
      <protection locked="0"/>
    </xf>
    <xf numFmtId="190" fontId="72" fillId="0" borderId="27" xfId="4" applyNumberFormat="1" applyFont="1" applyBorder="1" applyAlignment="1">
      <alignment horizontal="right" vertical="center" shrinkToFit="1"/>
    </xf>
    <xf numFmtId="190" fontId="72" fillId="0" borderId="41" xfId="4" applyNumberFormat="1" applyFont="1" applyBorder="1" applyAlignment="1">
      <alignment horizontal="right" vertical="center" shrinkToFit="1"/>
    </xf>
    <xf numFmtId="190" fontId="18" fillId="0" borderId="0" xfId="4" applyNumberFormat="1" applyFont="1" applyFill="1" applyBorder="1" applyAlignment="1" applyProtection="1">
      <alignment horizontal="right" vertical="center" shrinkToFit="1"/>
      <protection locked="0"/>
    </xf>
    <xf numFmtId="190" fontId="18" fillId="0" borderId="41" xfId="4" applyNumberFormat="1" applyFont="1" applyFill="1" applyBorder="1" applyAlignment="1" applyProtection="1">
      <alignment horizontal="right" vertical="center" shrinkToFit="1"/>
      <protection locked="0"/>
    </xf>
    <xf numFmtId="190" fontId="65" fillId="11" borderId="69" xfId="4" applyNumberFormat="1" applyFont="1" applyFill="1" applyBorder="1" applyAlignment="1" applyProtection="1">
      <alignment horizontal="right" vertical="center" shrinkToFit="1"/>
      <protection locked="0"/>
    </xf>
    <xf numFmtId="190" fontId="65" fillId="11" borderId="42" xfId="4" applyNumberFormat="1" applyFont="1" applyFill="1" applyBorder="1" applyAlignment="1" applyProtection="1">
      <alignment horizontal="right" vertical="center" shrinkToFit="1"/>
      <protection locked="0"/>
    </xf>
    <xf numFmtId="190" fontId="58" fillId="11" borderId="69" xfId="4" applyNumberFormat="1" applyFont="1" applyFill="1" applyBorder="1" applyAlignment="1">
      <alignment horizontal="right" vertical="center" shrinkToFit="1"/>
    </xf>
    <xf numFmtId="190" fontId="58" fillId="11" borderId="42" xfId="4" applyNumberFormat="1" applyFont="1" applyFill="1" applyBorder="1" applyAlignment="1">
      <alignment horizontal="right" vertical="center" shrinkToFit="1"/>
    </xf>
    <xf numFmtId="190" fontId="66" fillId="0" borderId="0" xfId="4" applyNumberFormat="1" applyFont="1" applyBorder="1" applyAlignment="1" applyProtection="1">
      <alignment horizontal="right" vertical="center" shrinkToFit="1"/>
      <protection locked="0"/>
    </xf>
    <xf numFmtId="190" fontId="72" fillId="0" borderId="0" xfId="4" applyNumberFormat="1" applyFont="1" applyBorder="1" applyAlignment="1">
      <alignment horizontal="right" vertical="center" shrinkToFit="1"/>
    </xf>
    <xf numFmtId="190" fontId="32" fillId="0" borderId="0" xfId="4" applyNumberFormat="1" applyFont="1" applyAlignment="1">
      <alignment horizontal="left" vertical="top" wrapText="1"/>
    </xf>
    <xf numFmtId="190" fontId="91" fillId="11" borderId="39" xfId="4" applyNumberFormat="1" applyFont="1" applyFill="1" applyBorder="1" applyAlignment="1">
      <alignment horizontal="left" vertical="center" shrinkToFit="1"/>
    </xf>
    <xf numFmtId="190" fontId="91" fillId="11" borderId="7" xfId="4" applyNumberFormat="1" applyFont="1" applyFill="1" applyBorder="1" applyAlignment="1">
      <alignment horizontal="left" vertical="center" shrinkToFit="1"/>
    </xf>
    <xf numFmtId="190" fontId="91" fillId="11" borderId="26" xfId="4" applyNumberFormat="1" applyFont="1" applyFill="1" applyBorder="1" applyAlignment="1">
      <alignment horizontal="left" vertical="center" shrinkToFit="1"/>
    </xf>
    <xf numFmtId="178" fontId="28" fillId="18" borderId="110" xfId="4" applyNumberFormat="1" applyFont="1" applyFill="1" applyBorder="1" applyAlignment="1">
      <alignment horizontal="center" vertical="center"/>
    </xf>
    <xf numFmtId="0" fontId="28" fillId="18" borderId="110" xfId="4" applyFont="1" applyFill="1" applyBorder="1" applyAlignment="1">
      <alignment horizontal="center" vertical="center"/>
    </xf>
    <xf numFmtId="178" fontId="27" fillId="18" borderId="110" xfId="4" applyNumberFormat="1" applyFont="1" applyFill="1" applyBorder="1" applyAlignment="1">
      <alignment horizontal="center" vertical="center" shrinkToFit="1"/>
    </xf>
    <xf numFmtId="178" fontId="28" fillId="18" borderId="110" xfId="4" applyNumberFormat="1" applyFont="1" applyFill="1" applyBorder="1" applyAlignment="1">
      <alignment horizontal="center" vertical="center" shrinkToFit="1"/>
    </xf>
    <xf numFmtId="178" fontId="28" fillId="18" borderId="109" xfId="4" applyNumberFormat="1" applyFont="1" applyFill="1" applyBorder="1" applyAlignment="1">
      <alignment horizontal="center" vertical="center" shrinkToFit="1"/>
    </xf>
    <xf numFmtId="178" fontId="29" fillId="18" borderId="110" xfId="4" applyNumberFormat="1" applyFont="1" applyFill="1" applyBorder="1" applyAlignment="1">
      <alignment horizontal="center" vertical="center" shrinkToFit="1"/>
    </xf>
    <xf numFmtId="178" fontId="29" fillId="18" borderId="109" xfId="4" applyNumberFormat="1" applyFont="1" applyFill="1" applyBorder="1" applyAlignment="1">
      <alignment horizontal="center" vertical="center" shrinkToFit="1"/>
    </xf>
    <xf numFmtId="38" fontId="57" fillId="0" borderId="134" xfId="4" applyNumberFormat="1" applyFont="1" applyBorder="1" applyAlignment="1">
      <alignment horizontal="right" vertical="center" shrinkToFit="1"/>
    </xf>
    <xf numFmtId="38" fontId="57" fillId="0" borderId="135" xfId="4" applyNumberFormat="1" applyFont="1" applyBorder="1" applyAlignment="1">
      <alignment horizontal="right" vertical="center" shrinkToFit="1"/>
    </xf>
    <xf numFmtId="38" fontId="57" fillId="0" borderId="95" xfId="4" applyNumberFormat="1" applyFont="1" applyBorder="1" applyAlignment="1">
      <alignment horizontal="right" vertical="center" shrinkToFit="1"/>
    </xf>
    <xf numFmtId="38" fontId="57" fillId="0" borderId="122" xfId="4" applyNumberFormat="1" applyFont="1" applyBorder="1" applyAlignment="1">
      <alignment horizontal="right" vertical="center" shrinkToFit="1"/>
    </xf>
    <xf numFmtId="0" fontId="90" fillId="4" borderId="24" xfId="4" applyFont="1" applyFill="1" applyBorder="1" applyAlignment="1">
      <alignment horizontal="center" vertical="center" shrinkToFit="1"/>
    </xf>
    <xf numFmtId="179" fontId="105" fillId="0" borderId="97" xfId="4" applyNumberFormat="1" applyFont="1" applyBorder="1" applyAlignment="1">
      <alignment horizontal="left" vertical="center" wrapText="1" shrinkToFit="1"/>
    </xf>
    <xf numFmtId="0" fontId="22" fillId="0" borderId="96" xfId="4" applyFont="1" applyBorder="1" applyAlignment="1">
      <alignment horizontal="center" vertical="center" wrapText="1"/>
    </xf>
    <xf numFmtId="0" fontId="22" fillId="0" borderId="97" xfId="4" applyFont="1" applyBorder="1" applyAlignment="1">
      <alignment horizontal="center" vertical="center" wrapText="1"/>
    </xf>
    <xf numFmtId="178" fontId="25" fillId="0" borderId="110" xfId="4" applyNumberFormat="1" applyFont="1" applyBorder="1" applyAlignment="1">
      <alignment horizontal="right" vertical="center" shrinkToFit="1"/>
    </xf>
    <xf numFmtId="178" fontId="25" fillId="0" borderId="111" xfId="4" applyNumberFormat="1" applyFont="1" applyBorder="1" applyAlignment="1">
      <alignment horizontal="right" vertical="center" shrinkToFit="1"/>
    </xf>
    <xf numFmtId="179" fontId="25" fillId="0" borderId="110" xfId="4" applyNumberFormat="1" applyFont="1" applyBorder="1" applyAlignment="1">
      <alignment horizontal="right" vertical="center" shrinkToFit="1"/>
    </xf>
    <xf numFmtId="179" fontId="25" fillId="0" borderId="109" xfId="4" applyNumberFormat="1" applyFont="1" applyBorder="1" applyAlignment="1">
      <alignment horizontal="right" vertical="center" shrinkToFit="1"/>
    </xf>
    <xf numFmtId="38" fontId="57" fillId="0" borderId="131" xfId="4" applyNumberFormat="1" applyFont="1" applyBorder="1" applyAlignment="1">
      <alignment horizontal="right" vertical="center" shrinkToFit="1"/>
    </xf>
    <xf numFmtId="38" fontId="57" fillId="0" borderId="132" xfId="4" applyNumberFormat="1" applyFont="1" applyBorder="1" applyAlignment="1">
      <alignment horizontal="right" vertical="center" shrinkToFit="1"/>
    </xf>
    <xf numFmtId="0" fontId="22" fillId="0" borderId="97" xfId="4" applyFont="1" applyBorder="1" applyAlignment="1">
      <alignment horizontal="center" vertical="center"/>
    </xf>
    <xf numFmtId="0" fontId="22" fillId="0" borderId="103" xfId="4" applyFont="1" applyBorder="1" applyAlignment="1">
      <alignment horizontal="center" vertical="center"/>
    </xf>
    <xf numFmtId="0" fontId="22" fillId="0" borderId="113" xfId="4" applyFont="1" applyFill="1" applyBorder="1" applyAlignment="1">
      <alignment horizontal="center" vertical="center" wrapText="1"/>
    </xf>
    <xf numFmtId="0" fontId="22" fillId="0" borderId="97" xfId="4" applyFont="1" applyFill="1" applyBorder="1" applyAlignment="1">
      <alignment horizontal="center" vertical="center" wrapText="1"/>
    </xf>
    <xf numFmtId="0" fontId="22" fillId="0" borderId="98" xfId="4" applyFont="1" applyFill="1" applyBorder="1" applyAlignment="1">
      <alignment horizontal="center" vertical="center" wrapText="1"/>
    </xf>
    <xf numFmtId="38" fontId="57" fillId="0" borderId="127" xfId="4" applyNumberFormat="1" applyFont="1" applyBorder="1" applyAlignment="1">
      <alignment horizontal="right" vertical="center" shrinkToFit="1"/>
    </xf>
    <xf numFmtId="38" fontId="57" fillId="0" borderId="128" xfId="4" applyNumberFormat="1" applyFont="1" applyBorder="1" applyAlignment="1">
      <alignment horizontal="right" vertical="center" shrinkToFit="1"/>
    </xf>
    <xf numFmtId="178" fontId="61" fillId="9" borderId="35" xfId="4" applyNumberFormat="1" applyFont="1" applyFill="1" applyBorder="1" applyAlignment="1">
      <alignment horizontal="right" vertical="center" shrinkToFit="1"/>
    </xf>
    <xf numFmtId="178" fontId="61" fillId="9" borderId="32" xfId="4" applyNumberFormat="1" applyFont="1" applyFill="1" applyBorder="1" applyAlignment="1">
      <alignment horizontal="right" vertical="center" shrinkToFit="1"/>
    </xf>
    <xf numFmtId="178" fontId="61" fillId="9" borderId="136" xfId="4" applyNumberFormat="1" applyFont="1" applyFill="1" applyBorder="1" applyAlignment="1">
      <alignment horizontal="right" vertical="center" shrinkToFit="1"/>
    </xf>
    <xf numFmtId="178" fontId="61" fillId="9" borderId="129" xfId="4" applyNumberFormat="1" applyFont="1" applyFill="1" applyBorder="1" applyAlignment="1">
      <alignment horizontal="right" vertical="center" shrinkToFit="1"/>
    </xf>
    <xf numFmtId="178" fontId="61" fillId="9" borderId="133" xfId="4" applyNumberFormat="1" applyFont="1" applyFill="1" applyBorder="1" applyAlignment="1">
      <alignment horizontal="right" vertical="center" shrinkToFit="1"/>
    </xf>
    <xf numFmtId="178" fontId="61" fillId="9" borderId="137" xfId="4" applyNumberFormat="1" applyFont="1" applyFill="1" applyBorder="1" applyAlignment="1">
      <alignment horizontal="right" vertical="center" shrinkToFit="1"/>
    </xf>
    <xf numFmtId="0" fontId="4" fillId="0" borderId="96" xfId="4" applyBorder="1" applyAlignment="1">
      <alignment horizontal="center" vertical="center"/>
    </xf>
    <xf numFmtId="0" fontId="4" fillId="0" borderId="97" xfId="4" applyBorder="1" applyAlignment="1">
      <alignment horizontal="center" vertical="center"/>
    </xf>
    <xf numFmtId="0" fontId="4" fillId="0" borderId="98" xfId="4" applyBorder="1" applyAlignment="1">
      <alignment horizontal="center" vertical="center"/>
    </xf>
    <xf numFmtId="0" fontId="34" fillId="0" borderId="108" xfId="4" applyFont="1" applyBorder="1" applyAlignment="1">
      <alignment horizontal="center" vertical="center"/>
    </xf>
    <xf numFmtId="0" fontId="34" fillId="0" borderId="110" xfId="4" applyFont="1" applyBorder="1" applyAlignment="1">
      <alignment horizontal="center" vertical="center"/>
    </xf>
    <xf numFmtId="0" fontId="34" fillId="0" borderId="109" xfId="4" applyFont="1" applyBorder="1" applyAlignment="1">
      <alignment horizontal="center" vertical="center"/>
    </xf>
    <xf numFmtId="0" fontId="4" fillId="0" borderId="103" xfId="4" applyBorder="1" applyAlignment="1">
      <alignment horizontal="center" vertical="center"/>
    </xf>
    <xf numFmtId="0" fontId="4" fillId="0" borderId="5" xfId="4" applyBorder="1" applyAlignment="1">
      <alignment horizontal="center" vertical="center"/>
    </xf>
    <xf numFmtId="0" fontId="4" fillId="0" borderId="6" xfId="4" applyBorder="1" applyAlignment="1">
      <alignment horizontal="center" vertical="center"/>
    </xf>
    <xf numFmtId="0" fontId="4" fillId="0" borderId="33" xfId="4" applyBorder="1" applyAlignment="1">
      <alignment horizontal="center" vertical="center"/>
    </xf>
    <xf numFmtId="0" fontId="4" fillId="0" borderId="121" xfId="4" applyBorder="1" applyAlignment="1">
      <alignment horizontal="center" vertical="center"/>
    </xf>
    <xf numFmtId="0" fontId="4" fillId="0" borderId="104" xfId="4" applyBorder="1" applyAlignment="1">
      <alignment horizontal="center" vertical="center"/>
    </xf>
    <xf numFmtId="190" fontId="125" fillId="0" borderId="27" xfId="4" applyNumberFormat="1" applyFont="1" applyBorder="1" applyAlignment="1">
      <alignment horizontal="right" vertical="center" shrinkToFit="1"/>
    </xf>
    <xf numFmtId="190" fontId="125" fillId="0" borderId="41" xfId="4" applyNumberFormat="1" applyFont="1" applyBorder="1" applyAlignment="1">
      <alignment horizontal="right" vertical="center" shrinkToFit="1"/>
    </xf>
    <xf numFmtId="190" fontId="24" fillId="0" borderId="27" xfId="4" applyNumberFormat="1" applyFont="1" applyBorder="1" applyAlignment="1">
      <alignment horizontal="left" vertical="center" indent="1" shrinkToFit="1"/>
    </xf>
    <xf numFmtId="190" fontId="24" fillId="0" borderId="41" xfId="4" applyNumberFormat="1" applyFont="1" applyBorder="1" applyAlignment="1">
      <alignment horizontal="left" vertical="center" indent="1" shrinkToFit="1"/>
    </xf>
    <xf numFmtId="190" fontId="72" fillId="17" borderId="27" xfId="4" applyNumberFormat="1" applyFont="1" applyFill="1" applyBorder="1" applyAlignment="1">
      <alignment horizontal="right" vertical="center" shrinkToFit="1"/>
    </xf>
    <xf numFmtId="190" fontId="96" fillId="0" borderId="11" xfId="4" applyNumberFormat="1" applyFont="1" applyBorder="1" applyAlignment="1">
      <alignment horizontal="center" vertical="center" shrinkToFit="1"/>
    </xf>
    <xf numFmtId="190" fontId="96" fillId="0" borderId="53" xfId="4" applyNumberFormat="1" applyFont="1" applyBorder="1" applyAlignment="1">
      <alignment horizontal="center" vertical="center" shrinkToFit="1"/>
    </xf>
    <xf numFmtId="190" fontId="96" fillId="0" borderId="13" xfId="4" applyNumberFormat="1" applyFont="1" applyBorder="1" applyAlignment="1">
      <alignment horizontal="center" vertical="center" shrinkToFit="1"/>
    </xf>
    <xf numFmtId="190" fontId="96" fillId="0" borderId="30" xfId="4" applyNumberFormat="1" applyFont="1" applyBorder="1" applyAlignment="1">
      <alignment horizontal="center" vertical="center" shrinkToFit="1"/>
    </xf>
    <xf numFmtId="190" fontId="96" fillId="0" borderId="11" xfId="4" applyNumberFormat="1" applyFont="1" applyBorder="1" applyAlignment="1">
      <alignment horizontal="right" vertical="center" shrinkToFit="1"/>
    </xf>
    <xf numFmtId="190" fontId="28" fillId="0" borderId="46" xfId="4" applyNumberFormat="1" applyFont="1" applyBorder="1" applyAlignment="1">
      <alignment horizontal="center" vertical="center" shrinkToFit="1"/>
    </xf>
    <xf numFmtId="190" fontId="28" fillId="0" borderId="69" xfId="4" applyNumberFormat="1" applyFont="1" applyBorder="1" applyAlignment="1">
      <alignment horizontal="center" vertical="center" shrinkToFit="1"/>
    </xf>
    <xf numFmtId="190" fontId="28" fillId="0" borderId="42" xfId="4" applyNumberFormat="1" applyFont="1" applyBorder="1" applyAlignment="1">
      <alignment horizontal="center" vertical="center" shrinkToFit="1"/>
    </xf>
    <xf numFmtId="190" fontId="28" fillId="0" borderId="45" xfId="4" applyNumberFormat="1" applyFont="1" applyBorder="1" applyAlignment="1">
      <alignment horizontal="center" vertical="center" shrinkToFit="1"/>
    </xf>
    <xf numFmtId="190" fontId="28" fillId="0" borderId="5" xfId="4" applyNumberFormat="1" applyFont="1" applyBorder="1" applyAlignment="1">
      <alignment horizontal="center" vertical="center" shrinkToFit="1"/>
    </xf>
    <xf numFmtId="190" fontId="28" fillId="0" borderId="6" xfId="4" applyNumberFormat="1" applyFont="1" applyBorder="1" applyAlignment="1">
      <alignment horizontal="center" vertical="center" shrinkToFit="1"/>
    </xf>
    <xf numFmtId="190" fontId="28" fillId="0" borderId="13" xfId="4" applyNumberFormat="1" applyFont="1" applyBorder="1" applyAlignment="1">
      <alignment horizontal="right" vertical="center" shrinkToFit="1"/>
    </xf>
    <xf numFmtId="190" fontId="28" fillId="0" borderId="4" xfId="4" applyNumberFormat="1" applyFont="1" applyBorder="1" applyAlignment="1">
      <alignment horizontal="right" vertical="center" shrinkToFit="1"/>
    </xf>
    <xf numFmtId="190" fontId="28" fillId="0" borderId="54" xfId="4" applyNumberFormat="1" applyFont="1" applyBorder="1" applyAlignment="1">
      <alignment horizontal="right" vertical="center" shrinkToFit="1"/>
    </xf>
    <xf numFmtId="190" fontId="72" fillId="0" borderId="0" xfId="4" applyNumberFormat="1" applyFont="1" applyBorder="1" applyAlignment="1" applyProtection="1">
      <alignment horizontal="right" vertical="center" shrinkToFit="1"/>
      <protection locked="0"/>
    </xf>
    <xf numFmtId="190" fontId="72" fillId="0" borderId="41" xfId="4" applyNumberFormat="1" applyFont="1" applyBorder="1" applyAlignment="1" applyProtection="1">
      <alignment horizontal="right" vertical="center" shrinkToFit="1"/>
      <protection locked="0"/>
    </xf>
    <xf numFmtId="190" fontId="24" fillId="0" borderId="0" xfId="4" applyNumberFormat="1" applyFont="1" applyAlignment="1">
      <alignment horizontal="left" vertical="center" indent="1" shrinkToFit="1"/>
    </xf>
    <xf numFmtId="178" fontId="28" fillId="0" borderId="110" xfId="4" applyNumberFormat="1" applyFont="1" applyBorder="1" applyAlignment="1">
      <alignment horizontal="center" vertical="center"/>
    </xf>
    <xf numFmtId="0" fontId="28" fillId="0" borderId="110" xfId="4" applyFont="1" applyBorder="1" applyAlignment="1">
      <alignment horizontal="center" vertical="center"/>
    </xf>
    <xf numFmtId="178" fontId="27" fillId="0" borderId="110" xfId="4" applyNumberFormat="1" applyFont="1" applyBorder="1" applyAlignment="1">
      <alignment horizontal="center" vertical="center" shrinkToFit="1"/>
    </xf>
    <xf numFmtId="178" fontId="96" fillId="0" borderId="110" xfId="4" applyNumberFormat="1" applyFont="1" applyBorder="1" applyAlignment="1">
      <alignment horizontal="center" vertical="center" shrinkToFit="1"/>
    </xf>
    <xf numFmtId="178" fontId="96" fillId="0" borderId="109" xfId="4" applyNumberFormat="1" applyFont="1" applyBorder="1" applyAlignment="1">
      <alignment horizontal="center" vertical="center" shrinkToFit="1"/>
    </xf>
    <xf numFmtId="178" fontId="28" fillId="0" borderId="110" xfId="4" applyNumberFormat="1" applyFont="1" applyBorder="1" applyAlignment="1">
      <alignment horizontal="center" vertical="center" shrinkToFit="1"/>
    </xf>
    <xf numFmtId="178" fontId="28" fillId="0" borderId="109" xfId="4" applyNumberFormat="1" applyFont="1" applyBorder="1" applyAlignment="1">
      <alignment horizontal="center" vertical="center" shrinkToFit="1"/>
    </xf>
    <xf numFmtId="178" fontId="32" fillId="0" borderId="110" xfId="4" applyNumberFormat="1" applyFont="1" applyBorder="1" applyAlignment="1">
      <alignment horizontal="right" vertical="center" shrinkToFit="1"/>
    </xf>
    <xf numFmtId="178" fontId="32" fillId="0" borderId="111" xfId="4" applyNumberFormat="1" applyFont="1" applyBorder="1" applyAlignment="1">
      <alignment horizontal="right" vertical="center" shrinkToFit="1"/>
    </xf>
    <xf numFmtId="179" fontId="24" fillId="0" borderId="110" xfId="4" applyNumberFormat="1" applyFont="1" applyBorder="1" applyAlignment="1">
      <alignment horizontal="right" vertical="center" shrinkToFit="1"/>
    </xf>
    <xf numFmtId="179" fontId="24" fillId="0" borderId="109" xfId="4" applyNumberFormat="1" applyFont="1" applyBorder="1" applyAlignment="1">
      <alignment horizontal="right" vertical="center" shrinkToFit="1"/>
    </xf>
    <xf numFmtId="179" fontId="23" fillId="0" borderId="97" xfId="4" applyNumberFormat="1" applyFont="1" applyBorder="1" applyAlignment="1">
      <alignment horizontal="left" vertical="center" wrapText="1" shrinkToFit="1"/>
    </xf>
    <xf numFmtId="190" fontId="28" fillId="0" borderId="11" xfId="4" applyNumberFormat="1" applyFont="1" applyBorder="1" applyAlignment="1">
      <alignment horizontal="center" vertical="center" shrinkToFit="1"/>
    </xf>
    <xf numFmtId="190" fontId="28" fillId="0" borderId="53" xfId="4" applyNumberFormat="1" applyFont="1" applyBorder="1" applyAlignment="1">
      <alignment horizontal="center" vertical="center" shrinkToFit="1"/>
    </xf>
    <xf numFmtId="190" fontId="28" fillId="0" borderId="13" xfId="4" applyNumberFormat="1" applyFont="1" applyBorder="1" applyAlignment="1">
      <alignment horizontal="center" vertical="center" shrinkToFit="1"/>
    </xf>
    <xf numFmtId="190" fontId="28" fillId="0" borderId="30" xfId="4" applyNumberFormat="1" applyFont="1" applyBorder="1" applyAlignment="1">
      <alignment horizontal="center" vertical="center" shrinkToFit="1"/>
    </xf>
    <xf numFmtId="190" fontId="27" fillId="0" borderId="0" xfId="4" applyNumberFormat="1" applyFont="1" applyBorder="1" applyAlignment="1">
      <alignment horizontal="center" vertical="center" shrinkToFit="1"/>
    </xf>
    <xf numFmtId="190" fontId="27" fillId="0" borderId="0" xfId="4" applyNumberFormat="1" applyFont="1" applyAlignment="1">
      <alignment horizontal="left" vertical="center"/>
    </xf>
    <xf numFmtId="190" fontId="30" fillId="0" borderId="27" xfId="4" applyNumberFormat="1" applyFont="1" applyBorder="1" applyAlignment="1">
      <alignment horizontal="left" vertical="center"/>
    </xf>
    <xf numFmtId="190" fontId="30" fillId="0" borderId="0" xfId="4" applyNumberFormat="1" applyFont="1" applyBorder="1" applyAlignment="1">
      <alignment horizontal="left" vertical="center"/>
    </xf>
    <xf numFmtId="190" fontId="28" fillId="0" borderId="0" xfId="4" applyNumberFormat="1" applyFont="1" applyAlignment="1">
      <alignment horizontal="center" vertical="center"/>
    </xf>
    <xf numFmtId="190" fontId="28" fillId="0" borderId="1" xfId="4" applyNumberFormat="1" applyFont="1" applyBorder="1" applyAlignment="1">
      <alignment horizontal="center" vertical="center" shrinkToFit="1"/>
    </xf>
    <xf numFmtId="190" fontId="27" fillId="0" borderId="29" xfId="4" applyNumberFormat="1" applyFont="1" applyBorder="1" applyAlignment="1">
      <alignment horizontal="center" vertical="center" wrapText="1" shrinkToFit="1"/>
    </xf>
    <xf numFmtId="190" fontId="27" fillId="0" borderId="30" xfId="4" applyNumberFormat="1" applyFont="1" applyBorder="1" applyAlignment="1">
      <alignment horizontal="center" vertical="center" wrapText="1" shrinkToFit="1"/>
    </xf>
    <xf numFmtId="179" fontId="23" fillId="4" borderId="98" xfId="4" applyNumberFormat="1" applyFont="1" applyFill="1" applyBorder="1" applyAlignment="1">
      <alignment horizontal="left" vertical="center" wrapText="1" shrinkToFit="1"/>
    </xf>
    <xf numFmtId="179" fontId="23" fillId="4" borderId="95" xfId="4" applyNumberFormat="1" applyFont="1" applyFill="1" applyBorder="1" applyAlignment="1">
      <alignment horizontal="left" vertical="center" shrinkToFit="1"/>
    </xf>
    <xf numFmtId="0" fontId="4" fillId="0" borderId="207" xfId="4" applyFont="1" applyBorder="1" applyAlignment="1">
      <alignment horizontal="center" vertical="center" shrinkToFit="1"/>
    </xf>
    <xf numFmtId="0" fontId="4" fillId="0" borderId="105" xfId="4" applyFont="1" applyBorder="1" applyAlignment="1">
      <alignment horizontal="center" vertical="center" shrinkToFit="1"/>
    </xf>
    <xf numFmtId="0" fontId="4" fillId="0" borderId="4" xfId="4" applyFont="1" applyBorder="1" applyAlignment="1">
      <alignment horizontal="center" vertical="center" shrinkToFit="1"/>
    </xf>
    <xf numFmtId="0" fontId="4" fillId="0" borderId="104" xfId="4" applyFont="1" applyBorder="1" applyAlignment="1">
      <alignment horizontal="center" vertical="center" shrinkToFit="1"/>
    </xf>
    <xf numFmtId="0" fontId="4" fillId="4" borderId="208" xfId="4" applyFont="1" applyFill="1" applyBorder="1" applyAlignment="1">
      <alignment horizontal="center" vertical="center" shrinkToFit="1"/>
    </xf>
    <xf numFmtId="0" fontId="4" fillId="4" borderId="106" xfId="4" applyFont="1" applyFill="1" applyBorder="1" applyAlignment="1">
      <alignment horizontal="center" vertical="center" shrinkToFit="1"/>
    </xf>
    <xf numFmtId="0" fontId="4" fillId="0" borderId="203" xfId="4" applyFont="1" applyBorder="1" applyAlignment="1">
      <alignment horizontal="center" vertical="center" shrinkToFit="1"/>
    </xf>
    <xf numFmtId="0" fontId="4" fillId="0" borderId="101" xfId="4" applyFont="1" applyBorder="1" applyAlignment="1">
      <alignment horizontal="center" vertical="center" shrinkToFit="1"/>
    </xf>
    <xf numFmtId="0" fontId="27" fillId="18" borderId="212" xfId="4" applyFont="1" applyFill="1" applyBorder="1" applyAlignment="1">
      <alignment horizontal="center" vertical="center" shrinkToFit="1"/>
    </xf>
    <xf numFmtId="0" fontId="27" fillId="18" borderId="213" xfId="4" applyFont="1" applyFill="1" applyBorder="1" applyAlignment="1">
      <alignment horizontal="center" vertical="center" shrinkToFit="1"/>
    </xf>
    <xf numFmtId="0" fontId="27" fillId="18" borderId="214" xfId="4" applyFont="1" applyFill="1" applyBorder="1" applyAlignment="1">
      <alignment horizontal="center" vertical="center" shrinkToFit="1"/>
    </xf>
    <xf numFmtId="178" fontId="29" fillId="18" borderId="214" xfId="4" applyNumberFormat="1" applyFont="1" applyFill="1" applyBorder="1" applyAlignment="1">
      <alignment horizontal="center" vertical="center" shrinkToFit="1"/>
    </xf>
    <xf numFmtId="178" fontId="29" fillId="18" borderId="215" xfId="4" applyNumberFormat="1" applyFont="1" applyFill="1" applyBorder="1" applyAlignment="1">
      <alignment horizontal="center" vertical="center" shrinkToFit="1"/>
    </xf>
    <xf numFmtId="178" fontId="29" fillId="18" borderId="213" xfId="4" applyNumberFormat="1" applyFont="1" applyFill="1" applyBorder="1" applyAlignment="1">
      <alignment horizontal="center" vertical="center" shrinkToFit="1"/>
    </xf>
    <xf numFmtId="0" fontId="4" fillId="0" borderId="1" xfId="4" applyFont="1" applyBorder="1" applyAlignment="1">
      <alignment horizontal="center" vertical="center" shrinkToFit="1"/>
    </xf>
    <xf numFmtId="0" fontId="4" fillId="0" borderId="198" xfId="4" applyFont="1" applyBorder="1" applyAlignment="1">
      <alignment horizontal="center" vertical="center" shrinkToFit="1"/>
    </xf>
    <xf numFmtId="0" fontId="4" fillId="0" borderId="11" xfId="4" applyFont="1" applyBorder="1" applyAlignment="1">
      <alignment horizontal="center" vertical="center" shrinkToFit="1"/>
    </xf>
    <xf numFmtId="0" fontId="4" fillId="0" borderId="102" xfId="4" applyFont="1" applyBorder="1" applyAlignment="1">
      <alignment horizontal="center" vertical="center" shrinkToFit="1"/>
    </xf>
    <xf numFmtId="0" fontId="4" fillId="0" borderId="199" xfId="4" applyFont="1" applyBorder="1" applyAlignment="1">
      <alignment horizontal="center" vertical="center" shrinkToFit="1"/>
    </xf>
    <xf numFmtId="0" fontId="4" fillId="0" borderId="200" xfId="4" applyFont="1" applyBorder="1" applyAlignment="1">
      <alignment horizontal="center" vertical="center" shrinkToFit="1"/>
    </xf>
    <xf numFmtId="0" fontId="4" fillId="0" borderId="201" xfId="4" applyFont="1" applyBorder="1" applyAlignment="1">
      <alignment horizontal="center" vertical="center" shrinkToFit="1"/>
    </xf>
    <xf numFmtId="0" fontId="4" fillId="0" borderId="202" xfId="4" applyFont="1" applyBorder="1" applyAlignment="1">
      <alignment horizontal="center" vertical="center" shrinkToFit="1"/>
    </xf>
    <xf numFmtId="0" fontId="4" fillId="0" borderId="103" xfId="4" applyFont="1" applyBorder="1" applyAlignment="1">
      <alignment horizontal="center" vertical="center" shrinkToFit="1"/>
    </xf>
    <xf numFmtId="0" fontId="4" fillId="0" borderId="5" xfId="4" applyFont="1" applyBorder="1" applyAlignment="1">
      <alignment horizontal="center" vertical="center" shrinkToFit="1"/>
    </xf>
    <xf numFmtId="0" fontId="4" fillId="0" borderId="6" xfId="4" applyFont="1" applyBorder="1" applyAlignment="1">
      <alignment horizontal="center" vertical="center" shrinkToFit="1"/>
    </xf>
    <xf numFmtId="0" fontId="4" fillId="0" borderId="33" xfId="4" applyFont="1" applyBorder="1" applyAlignment="1">
      <alignment horizontal="center" vertical="center" shrinkToFit="1"/>
    </xf>
    <xf numFmtId="0" fontId="4" fillId="0" borderId="121" xfId="4" applyFont="1" applyBorder="1" applyAlignment="1">
      <alignment horizontal="center" vertical="center" shrinkToFit="1"/>
    </xf>
    <xf numFmtId="0" fontId="4" fillId="0" borderId="54" xfId="4" applyFont="1" applyBorder="1" applyAlignment="1">
      <alignment horizontal="center" vertical="center" shrinkToFit="1"/>
    </xf>
    <xf numFmtId="179" fontId="4" fillId="4" borderId="98" xfId="4" applyNumberFormat="1" applyFont="1" applyFill="1" applyBorder="1" applyAlignment="1">
      <alignment horizontal="left" vertical="top" wrapText="1" shrinkToFit="1"/>
    </xf>
    <xf numFmtId="179" fontId="4" fillId="4" borderId="95" xfId="4" applyNumberFormat="1" applyFont="1" applyFill="1" applyBorder="1" applyAlignment="1">
      <alignment horizontal="left" vertical="top" shrinkToFit="1"/>
    </xf>
    <xf numFmtId="0" fontId="4" fillId="0" borderId="67" xfId="4" applyBorder="1" applyAlignment="1">
      <alignment horizontal="center" vertical="center" shrinkToFit="1"/>
    </xf>
    <xf numFmtId="0" fontId="4" fillId="0" borderId="66" xfId="4" applyBorder="1" applyAlignment="1">
      <alignment horizontal="center" vertical="center" shrinkToFit="1"/>
    </xf>
    <xf numFmtId="0" fontId="4" fillId="0" borderId="63" xfId="4" applyBorder="1" applyAlignment="1">
      <alignment horizontal="center" vertical="center" shrinkToFit="1"/>
    </xf>
    <xf numFmtId="0" fontId="23" fillId="0" borderId="1" xfId="4" applyFont="1" applyBorder="1" applyAlignment="1">
      <alignment horizontal="center" vertical="center" wrapText="1"/>
    </xf>
    <xf numFmtId="0" fontId="23" fillId="0" borderId="29" xfId="4" applyFont="1" applyBorder="1" applyAlignment="1">
      <alignment horizontal="center" vertical="center" wrapText="1"/>
    </xf>
    <xf numFmtId="0" fontId="23" fillId="0" borderId="11" xfId="4" applyFont="1" applyBorder="1" applyAlignment="1">
      <alignment horizontal="center" vertical="center" wrapText="1"/>
    </xf>
    <xf numFmtId="0" fontId="23" fillId="0" borderId="53" xfId="4" applyFont="1" applyBorder="1" applyAlignment="1">
      <alignment horizontal="center" vertical="center" wrapText="1"/>
    </xf>
    <xf numFmtId="0" fontId="4" fillId="0" borderId="21" xfId="4" applyFont="1" applyBorder="1" applyAlignment="1">
      <alignment horizontal="center" vertical="center" shrinkToFit="1"/>
    </xf>
    <xf numFmtId="0" fontId="4" fillId="0" borderId="22" xfId="4" applyFont="1" applyBorder="1" applyAlignment="1">
      <alignment horizontal="center" vertical="center" shrinkToFit="1"/>
    </xf>
    <xf numFmtId="0" fontId="4" fillId="0" borderId="94" xfId="4" applyFont="1" applyBorder="1" applyAlignment="1">
      <alignment horizontal="center" vertical="center" shrinkToFit="1"/>
    </xf>
    <xf numFmtId="0" fontId="23" fillId="0" borderId="39" xfId="4" applyFont="1" applyBorder="1" applyAlignment="1">
      <alignment horizontal="center" vertical="center" shrinkToFit="1"/>
    </xf>
    <xf numFmtId="0" fontId="4" fillId="0" borderId="26" xfId="4" applyBorder="1" applyAlignment="1">
      <alignment horizontal="center" vertical="center" shrinkToFit="1"/>
    </xf>
    <xf numFmtId="0" fontId="4" fillId="0" borderId="38" xfId="4" applyBorder="1" applyAlignment="1">
      <alignment horizontal="center" vertical="center" shrinkToFit="1"/>
    </xf>
    <xf numFmtId="0" fontId="4" fillId="0" borderId="22" xfId="4" applyBorder="1" applyAlignment="1">
      <alignment horizontal="center" vertical="center" shrinkToFit="1"/>
    </xf>
    <xf numFmtId="0" fontId="4" fillId="0" borderId="94" xfId="4" applyBorder="1" applyAlignment="1">
      <alignment horizontal="center" vertical="center" shrinkToFit="1"/>
    </xf>
    <xf numFmtId="0" fontId="4" fillId="0" borderId="120" xfId="4" applyBorder="1" applyAlignment="1">
      <alignment horizontal="center" vertical="center" shrinkToFit="1"/>
    </xf>
    <xf numFmtId="0" fontId="4" fillId="0" borderId="3" xfId="4" applyBorder="1" applyAlignment="1">
      <alignment horizontal="center" vertical="center" shrinkToFit="1"/>
    </xf>
    <xf numFmtId="0" fontId="4" fillId="0" borderId="45" xfId="4" applyBorder="1" applyAlignment="1">
      <alignment horizontal="center" vertical="center" shrinkToFit="1"/>
    </xf>
    <xf numFmtId="0" fontId="4" fillId="0" borderId="6" xfId="4" applyBorder="1" applyAlignment="1">
      <alignment horizontal="center" vertical="center" shrinkToFit="1"/>
    </xf>
    <xf numFmtId="0" fontId="4" fillId="0" borderId="29" xfId="4" applyBorder="1" applyAlignment="1">
      <alignment horizontal="center" vertical="center" shrinkToFit="1"/>
    </xf>
    <xf numFmtId="0" fontId="4" fillId="0" borderId="54" xfId="4" applyBorder="1" applyAlignment="1">
      <alignment horizontal="center" vertical="center" shrinkToFit="1"/>
    </xf>
    <xf numFmtId="0" fontId="22" fillId="0" borderId="69" xfId="4" applyFont="1" applyBorder="1" applyAlignment="1">
      <alignment horizontal="center" vertical="center" shrinkToFit="1"/>
    </xf>
    <xf numFmtId="0" fontId="22" fillId="0" borderId="42" xfId="4" applyFont="1" applyBorder="1" applyAlignment="1">
      <alignment horizontal="center" vertical="center" shrinkToFit="1"/>
    </xf>
    <xf numFmtId="0" fontId="22" fillId="0" borderId="5" xfId="4" applyFont="1" applyBorder="1" applyAlignment="1">
      <alignment horizontal="center" vertical="center" shrinkToFit="1"/>
    </xf>
    <xf numFmtId="0" fontId="22" fillId="0" borderId="6" xfId="4" applyFont="1" applyBorder="1" applyAlignment="1">
      <alignment horizontal="center" vertical="center" shrinkToFit="1"/>
    </xf>
    <xf numFmtId="0" fontId="23" fillId="0" borderId="7" xfId="4" applyFont="1" applyBorder="1" applyAlignment="1">
      <alignment horizontal="center" vertical="center" shrinkToFit="1"/>
    </xf>
    <xf numFmtId="0" fontId="4" fillId="0" borderId="26" xfId="4" applyFont="1" applyBorder="1" applyAlignment="1">
      <alignment horizontal="center" vertical="center" shrinkToFit="1"/>
    </xf>
    <xf numFmtId="0" fontId="24" fillId="0" borderId="5" xfId="4" applyFont="1" applyBorder="1" applyAlignment="1">
      <alignment horizontal="center" vertical="center"/>
    </xf>
    <xf numFmtId="0" fontId="4" fillId="0" borderId="5" xfId="4" applyBorder="1" applyAlignment="1">
      <alignment horizontal="left" vertical="center"/>
    </xf>
    <xf numFmtId="176" fontId="4" fillId="25" borderId="1" xfId="2" applyNumberFormat="1" applyFont="1" applyFill="1" applyBorder="1" applyAlignment="1">
      <alignment horizontal="left" shrinkToFit="1"/>
    </xf>
    <xf numFmtId="176" fontId="4" fillId="25" borderId="29" xfId="2" applyNumberFormat="1" applyFont="1" applyFill="1" applyBorder="1" applyAlignment="1">
      <alignment horizontal="left" shrinkToFit="1"/>
    </xf>
    <xf numFmtId="176" fontId="0" fillId="25" borderId="162" xfId="2" applyNumberFormat="1" applyFont="1" applyFill="1" applyBorder="1" applyAlignment="1">
      <alignment horizontal="left" shrinkToFit="1"/>
    </xf>
    <xf numFmtId="0" fontId="0" fillId="0" borderId="163" xfId="0" applyBorder="1" applyAlignment="1">
      <alignment horizontal="left" shrinkToFit="1"/>
    </xf>
    <xf numFmtId="0" fontId="4" fillId="0" borderId="46" xfId="4" applyBorder="1" applyAlignment="1">
      <alignment horizontal="center" vertical="center" shrinkToFit="1"/>
    </xf>
    <xf numFmtId="0" fontId="4" fillId="0" borderId="42" xfId="4" applyBorder="1" applyAlignment="1">
      <alignment horizontal="center" vertical="center" shrinkToFit="1"/>
    </xf>
    <xf numFmtId="0" fontId="4" fillId="0" borderId="39" xfId="4" applyBorder="1" applyAlignment="1">
      <alignment horizontal="center" vertical="center" shrinkToFit="1"/>
    </xf>
    <xf numFmtId="0" fontId="4" fillId="0" borderId="7" xfId="4" applyBorder="1" applyAlignment="1">
      <alignment horizontal="center" vertical="center" shrinkToFit="1"/>
    </xf>
    <xf numFmtId="0" fontId="22" fillId="0" borderId="46" xfId="4" applyFont="1" applyBorder="1" applyAlignment="1">
      <alignment horizontal="center" vertical="center" shrinkToFit="1"/>
    </xf>
    <xf numFmtId="0" fontId="22" fillId="0" borderId="45" xfId="4" applyFont="1" applyBorder="1" applyAlignment="1">
      <alignment horizontal="center" vertical="center" shrinkToFit="1"/>
    </xf>
    <xf numFmtId="0" fontId="4" fillId="0" borderId="7" xfId="4" applyFont="1" applyBorder="1" applyAlignment="1">
      <alignment horizontal="center" vertical="center" shrinkToFit="1"/>
    </xf>
    <xf numFmtId="0" fontId="22" fillId="0" borderId="35" xfId="4" applyFont="1" applyFill="1" applyBorder="1" applyAlignment="1">
      <alignment horizontal="center" vertical="center" shrinkToFit="1"/>
    </xf>
    <xf numFmtId="0" fontId="22" fillId="0" borderId="32" xfId="4" applyFont="1" applyFill="1" applyBorder="1" applyAlignment="1">
      <alignment horizontal="center" vertical="center" shrinkToFit="1"/>
    </xf>
    <xf numFmtId="0" fontId="22" fillId="0" borderId="33" xfId="4" applyFont="1" applyFill="1" applyBorder="1" applyAlignment="1">
      <alignment horizontal="center" vertical="center" shrinkToFit="1"/>
    </xf>
    <xf numFmtId="0" fontId="23" fillId="0" borderId="16" xfId="4" applyFont="1" applyFill="1" applyBorder="1" applyAlignment="1">
      <alignment horizontal="center" vertical="center" shrinkToFit="1"/>
    </xf>
    <xf numFmtId="0" fontId="23" fillId="0" borderId="15" xfId="4" applyFont="1" applyFill="1" applyBorder="1" applyAlignment="1">
      <alignment horizontal="center" vertical="center" shrinkToFit="1"/>
    </xf>
    <xf numFmtId="0" fontId="23" fillId="0" borderId="35" xfId="4" applyFont="1" applyFill="1" applyBorder="1" applyAlignment="1">
      <alignment horizontal="center" vertical="center" shrinkToFit="1"/>
    </xf>
    <xf numFmtId="0" fontId="23" fillId="0" borderId="33" xfId="4" applyFont="1" applyFill="1" applyBorder="1" applyAlignment="1">
      <alignment horizontal="center" vertical="center" shrinkToFit="1"/>
    </xf>
    <xf numFmtId="0" fontId="22" fillId="0" borderId="0" xfId="4" applyFont="1" applyBorder="1" applyAlignment="1">
      <alignment horizontal="left" vertical="top" wrapText="1"/>
    </xf>
    <xf numFmtId="0" fontId="23" fillId="4" borderId="5" xfId="4" applyFont="1" applyFill="1" applyBorder="1" applyAlignment="1">
      <alignment horizontal="right" vertical="center"/>
    </xf>
    <xf numFmtId="0" fontId="22" fillId="0" borderId="138" xfId="4" applyFont="1" applyFill="1" applyBorder="1" applyAlignment="1">
      <alignment horizontal="center" vertical="center" wrapText="1" shrinkToFit="1"/>
    </xf>
    <xf numFmtId="0" fontId="22" fillId="0" borderId="57" xfId="4" applyFont="1" applyFill="1" applyBorder="1" applyAlignment="1">
      <alignment horizontal="center" vertical="center" wrapText="1" shrinkToFit="1"/>
    </xf>
    <xf numFmtId="0" fontId="22" fillId="0" borderId="141" xfId="4" applyFont="1" applyFill="1" applyBorder="1" applyAlignment="1">
      <alignment horizontal="center" vertical="center" wrapText="1" shrinkToFit="1"/>
    </xf>
    <xf numFmtId="0" fontId="4" fillId="0" borderId="18" xfId="4" applyFill="1" applyBorder="1" applyAlignment="1">
      <alignment horizontal="center" vertical="center" shrinkToFit="1"/>
    </xf>
    <xf numFmtId="0" fontId="4" fillId="0" borderId="7" xfId="4" applyFill="1" applyBorder="1" applyAlignment="1">
      <alignment horizontal="center" vertical="center" shrinkToFit="1"/>
    </xf>
    <xf numFmtId="0" fontId="4" fillId="0" borderId="26" xfId="4" applyFill="1" applyBorder="1" applyAlignment="1">
      <alignment horizontal="center" vertical="center" shrinkToFit="1"/>
    </xf>
    <xf numFmtId="0" fontId="4" fillId="0" borderId="46" xfId="4" applyFill="1" applyBorder="1" applyAlignment="1">
      <alignment horizontal="center" vertical="center" shrinkToFit="1"/>
    </xf>
    <xf numFmtId="0" fontId="4" fillId="0" borderId="42" xfId="4" applyFill="1" applyBorder="1" applyAlignment="1">
      <alignment horizontal="center" vertical="center" shrinkToFit="1"/>
    </xf>
    <xf numFmtId="0" fontId="102" fillId="0" borderId="27" xfId="4" applyFont="1" applyBorder="1" applyAlignment="1">
      <alignment horizontal="center" shrinkToFit="1"/>
    </xf>
    <xf numFmtId="0" fontId="102" fillId="0" borderId="0" xfId="4" applyFont="1" applyBorder="1" applyAlignment="1">
      <alignment horizontal="center" shrinkToFit="1"/>
    </xf>
    <xf numFmtId="0" fontId="67" fillId="0" borderId="45" xfId="4" applyFont="1" applyFill="1" applyBorder="1" applyAlignment="1">
      <alignment horizontal="center" vertical="distributed"/>
    </xf>
    <xf numFmtId="0" fontId="67" fillId="0" borderId="6" xfId="4" applyFont="1" applyFill="1" applyBorder="1" applyAlignment="1">
      <alignment horizontal="center" vertical="distributed"/>
    </xf>
    <xf numFmtId="0" fontId="67" fillId="0" borderId="24" xfId="4" applyFont="1" applyFill="1" applyBorder="1" applyAlignment="1">
      <alignment horizontal="right" vertical="center"/>
    </xf>
    <xf numFmtId="180" fontId="66" fillId="0" borderId="24" xfId="4" applyNumberFormat="1" applyFont="1" applyFill="1" applyBorder="1" applyAlignment="1">
      <alignment horizontal="right" vertical="center"/>
    </xf>
    <xf numFmtId="0" fontId="67" fillId="0" borderId="46" xfId="4" applyFont="1" applyBorder="1" applyAlignment="1">
      <alignment horizontal="center" vertical="center"/>
    </xf>
    <xf numFmtId="0" fontId="67" fillId="0" borderId="42" xfId="4" applyFont="1" applyBorder="1" applyAlignment="1">
      <alignment horizontal="center" vertical="center"/>
    </xf>
    <xf numFmtId="0" fontId="67" fillId="0" borderId="45" xfId="4" applyFont="1" applyBorder="1" applyAlignment="1">
      <alignment horizontal="center" vertical="center"/>
    </xf>
    <xf numFmtId="0" fontId="67" fillId="0" borderId="6" xfId="4" applyFont="1" applyBorder="1" applyAlignment="1">
      <alignment horizontal="center" vertical="center"/>
    </xf>
    <xf numFmtId="0" fontId="67" fillId="0" borderId="24" xfId="4" applyFont="1" applyBorder="1" applyAlignment="1">
      <alignment horizontal="center" vertical="center"/>
    </xf>
    <xf numFmtId="176" fontId="63" fillId="0" borderId="24" xfId="4" applyNumberFormat="1" applyFont="1" applyBorder="1" applyAlignment="1">
      <alignment horizontal="right" vertical="center"/>
    </xf>
    <xf numFmtId="0" fontId="67" fillId="0" borderId="24" xfId="4" applyFont="1" applyBorder="1" applyAlignment="1">
      <alignment horizontal="right" vertical="center"/>
    </xf>
    <xf numFmtId="180" fontId="66" fillId="0" borderId="24" xfId="4" applyNumberFormat="1" applyFont="1" applyBorder="1" applyAlignment="1">
      <alignment horizontal="right" vertical="center"/>
    </xf>
    <xf numFmtId="38" fontId="77" fillId="0" borderId="27" xfId="4" applyNumberFormat="1" applyFont="1" applyBorder="1" applyAlignment="1">
      <alignment horizontal="right" vertical="center" shrinkToFit="1"/>
    </xf>
    <xf numFmtId="38" fontId="77" fillId="0" borderId="0" xfId="4" applyNumberFormat="1" applyFont="1" applyBorder="1" applyAlignment="1">
      <alignment horizontal="right" vertical="center" shrinkToFit="1"/>
    </xf>
    <xf numFmtId="38" fontId="77" fillId="0" borderId="0" xfId="4" applyNumberFormat="1" applyFont="1" applyAlignment="1">
      <alignment horizontal="right" vertical="center" shrinkToFit="1"/>
    </xf>
    <xf numFmtId="176" fontId="67" fillId="6" borderId="24" xfId="4" applyNumberFormat="1" applyFont="1" applyFill="1" applyBorder="1" applyAlignment="1">
      <alignment horizontal="right" vertical="center"/>
    </xf>
    <xf numFmtId="0" fontId="4" fillId="0" borderId="28" xfId="4" applyBorder="1" applyAlignment="1">
      <alignment horizontal="center" vertical="center" shrinkToFit="1"/>
    </xf>
    <xf numFmtId="0" fontId="4" fillId="0" borderId="19" xfId="4" applyBorder="1" applyAlignment="1">
      <alignment horizontal="center" vertical="center" shrinkToFit="1"/>
    </xf>
    <xf numFmtId="38" fontId="24" fillId="0" borderId="20" xfId="4" applyNumberFormat="1" applyFont="1" applyBorder="1" applyAlignment="1">
      <alignment horizontal="right" vertical="center" shrinkToFit="1"/>
    </xf>
    <xf numFmtId="0" fontId="24" fillId="0" borderId="20" xfId="4" applyFont="1" applyBorder="1" applyAlignment="1">
      <alignment horizontal="right" vertical="center" shrinkToFit="1"/>
    </xf>
    <xf numFmtId="38" fontId="24" fillId="0" borderId="62" xfId="4" applyNumberFormat="1" applyFont="1" applyBorder="1" applyAlignment="1">
      <alignment horizontal="right" vertical="center" shrinkToFit="1"/>
    </xf>
    <xf numFmtId="0" fontId="24" fillId="0" borderId="28" xfId="4" applyFont="1" applyBorder="1" applyAlignment="1">
      <alignment horizontal="right" vertical="center" shrinkToFit="1"/>
    </xf>
    <xf numFmtId="0" fontId="24" fillId="0" borderId="62" xfId="4" applyFont="1" applyBorder="1" applyAlignment="1">
      <alignment horizontal="right" vertical="center" shrinkToFit="1"/>
    </xf>
    <xf numFmtId="213" fontId="66" fillId="0" borderId="24" xfId="4" applyNumberFormat="1" applyFont="1" applyFill="1" applyBorder="1" applyAlignment="1">
      <alignment horizontal="right" vertical="center"/>
    </xf>
    <xf numFmtId="0" fontId="67" fillId="0" borderId="46" xfId="4" applyFont="1" applyFill="1" applyBorder="1" applyAlignment="1">
      <alignment horizontal="center" vertical="distributed"/>
    </xf>
    <xf numFmtId="0" fontId="67" fillId="0" borderId="42" xfId="4" applyFont="1" applyFill="1" applyBorder="1" applyAlignment="1">
      <alignment horizontal="center" vertical="distributed"/>
    </xf>
    <xf numFmtId="0" fontId="67" fillId="0" borderId="24" xfId="4" applyFont="1" applyFill="1" applyBorder="1" applyAlignment="1">
      <alignment horizontal="center" vertical="center"/>
    </xf>
    <xf numFmtId="0" fontId="4" fillId="4" borderId="15" xfId="4" applyFont="1" applyFill="1" applyBorder="1" applyAlignment="1">
      <alignment horizontal="center" vertical="center" shrinkToFit="1"/>
    </xf>
    <xf numFmtId="0" fontId="4" fillId="4" borderId="33" xfId="4" applyFont="1" applyFill="1" applyBorder="1" applyAlignment="1">
      <alignment horizontal="center" vertical="center" shrinkToFit="1"/>
    </xf>
    <xf numFmtId="0" fontId="4" fillId="4" borderId="12" xfId="4" applyFont="1" applyFill="1" applyBorder="1" applyAlignment="1">
      <alignment horizontal="center" vertical="center" shrinkToFit="1"/>
    </xf>
    <xf numFmtId="0" fontId="4" fillId="4" borderId="24" xfId="4" applyFont="1" applyFill="1" applyBorder="1" applyAlignment="1">
      <alignment horizontal="center" vertical="center" shrinkToFit="1"/>
    </xf>
    <xf numFmtId="38" fontId="24" fillId="0" borderId="48" xfId="5" applyFont="1" applyFill="1" applyBorder="1" applyAlignment="1">
      <alignment horizontal="right" vertical="center" shrinkToFit="1"/>
    </xf>
    <xf numFmtId="38" fontId="24" fillId="0" borderId="32" xfId="5" applyFont="1" applyFill="1" applyBorder="1" applyAlignment="1">
      <alignment horizontal="right" vertical="center" shrinkToFit="1"/>
    </xf>
    <xf numFmtId="38" fontId="24" fillId="0" borderId="36" xfId="5" applyFont="1" applyFill="1" applyBorder="1" applyAlignment="1">
      <alignment horizontal="right" vertical="center" shrinkToFit="1"/>
    </xf>
    <xf numFmtId="38" fontId="24" fillId="0" borderId="33" xfId="5" applyFont="1" applyFill="1" applyBorder="1" applyAlignment="1">
      <alignment horizontal="right" vertical="center" shrinkToFit="1"/>
    </xf>
    <xf numFmtId="38" fontId="24" fillId="0" borderId="63" xfId="5" applyFont="1" applyFill="1" applyBorder="1" applyAlignment="1">
      <alignment horizontal="right" vertical="center" shrinkToFit="1"/>
    </xf>
    <xf numFmtId="38" fontId="24" fillId="0" borderId="24" xfId="5" applyFont="1" applyFill="1" applyBorder="1" applyAlignment="1">
      <alignment horizontal="right" vertical="center" shrinkToFit="1"/>
    </xf>
    <xf numFmtId="38" fontId="24" fillId="0" borderId="64" xfId="5" applyFont="1" applyFill="1" applyBorder="1" applyAlignment="1">
      <alignment horizontal="right" vertical="center" shrinkToFit="1"/>
    </xf>
    <xf numFmtId="0" fontId="67" fillId="0" borderId="46" xfId="4" applyFont="1" applyFill="1" applyBorder="1" applyAlignment="1">
      <alignment horizontal="center" vertical="center" wrapText="1"/>
    </xf>
    <xf numFmtId="0" fontId="67" fillId="0" borderId="42" xfId="4" applyFont="1" applyFill="1" applyBorder="1" applyAlignment="1">
      <alignment horizontal="center" vertical="center" wrapText="1"/>
    </xf>
    <xf numFmtId="0" fontId="4" fillId="4" borderId="92" xfId="4" applyFont="1" applyFill="1" applyBorder="1" applyAlignment="1">
      <alignment horizontal="center" vertical="center" shrinkToFit="1"/>
    </xf>
    <xf numFmtId="0" fontId="4" fillId="4" borderId="25" xfId="4" applyFont="1" applyFill="1" applyBorder="1" applyAlignment="1">
      <alignment horizontal="center" vertical="center" shrinkToFit="1"/>
    </xf>
    <xf numFmtId="38" fontId="24" fillId="0" borderId="25" xfId="5" applyFont="1" applyFill="1" applyBorder="1" applyAlignment="1">
      <alignment horizontal="right" vertical="center" shrinkToFit="1"/>
    </xf>
    <xf numFmtId="38" fontId="24" fillId="0" borderId="61" xfId="5" applyFont="1" applyFill="1" applyBorder="1" applyAlignment="1">
      <alignment horizontal="right" vertical="center" shrinkToFit="1"/>
    </xf>
    <xf numFmtId="0" fontId="4" fillId="0" borderId="0" xfId="4" applyFont="1" applyFill="1" applyAlignment="1">
      <alignment horizontal="left" vertical="top" wrapText="1"/>
    </xf>
    <xf numFmtId="0" fontId="4" fillId="9" borderId="1" xfId="4" applyFont="1" applyFill="1" applyBorder="1" applyAlignment="1">
      <alignment horizontal="center" vertical="center" shrinkToFit="1"/>
    </xf>
    <xf numFmtId="0" fontId="4" fillId="9" borderId="3" xfId="4" applyFont="1" applyFill="1" applyBorder="1" applyAlignment="1">
      <alignment horizontal="center" vertical="center" shrinkToFit="1"/>
    </xf>
    <xf numFmtId="0" fontId="4" fillId="9" borderId="13" xfId="4" applyFont="1" applyFill="1" applyBorder="1" applyAlignment="1">
      <alignment horizontal="center" vertical="center" shrinkToFit="1"/>
    </xf>
    <xf numFmtId="0" fontId="4" fillId="9" borderId="43" xfId="4" applyFont="1" applyFill="1" applyBorder="1" applyAlignment="1">
      <alignment horizontal="center" vertical="center" shrinkToFit="1"/>
    </xf>
    <xf numFmtId="38" fontId="0" fillId="9" borderId="48" xfId="5" applyFont="1" applyFill="1" applyBorder="1" applyAlignment="1">
      <alignment horizontal="center" vertical="center" wrapText="1" shrinkToFit="1"/>
    </xf>
    <xf numFmtId="38" fontId="0" fillId="9" borderId="36" xfId="5" applyFont="1" applyFill="1" applyBorder="1" applyAlignment="1">
      <alignment horizontal="center" vertical="center" shrinkToFit="1"/>
    </xf>
    <xf numFmtId="38" fontId="0" fillId="9" borderId="120" xfId="5" applyFont="1" applyFill="1" applyBorder="1" applyAlignment="1">
      <alignment horizontal="center" vertical="center" shrinkToFit="1"/>
    </xf>
    <xf numFmtId="38" fontId="0" fillId="9" borderId="2" xfId="5" applyFont="1" applyFill="1" applyBorder="1" applyAlignment="1">
      <alignment horizontal="center" vertical="center" shrinkToFit="1"/>
    </xf>
    <xf numFmtId="38" fontId="0" fillId="9" borderId="29" xfId="5" applyFont="1" applyFill="1" applyBorder="1" applyAlignment="1">
      <alignment horizontal="center" vertical="center" shrinkToFit="1"/>
    </xf>
    <xf numFmtId="38" fontId="0" fillId="9" borderId="47" xfId="5" applyFont="1" applyFill="1" applyBorder="1" applyAlignment="1">
      <alignment horizontal="center" vertical="center" shrinkToFit="1"/>
    </xf>
    <xf numFmtId="38" fontId="0" fillId="9" borderId="17" xfId="5" applyFont="1" applyFill="1" applyBorder="1" applyAlignment="1">
      <alignment horizontal="center" vertical="center" shrinkToFit="1"/>
    </xf>
    <xf numFmtId="38" fontId="0" fillId="9" borderId="30" xfId="5" applyFont="1" applyFill="1" applyBorder="1" applyAlignment="1">
      <alignment horizontal="center" vertical="center" shrinkToFit="1"/>
    </xf>
    <xf numFmtId="0" fontId="67" fillId="0" borderId="39" xfId="4" applyFont="1" applyBorder="1" applyAlignment="1">
      <alignment horizontal="center" vertical="center"/>
    </xf>
    <xf numFmtId="0" fontId="67" fillId="0" borderId="26" xfId="4" applyFont="1" applyBorder="1" applyAlignment="1">
      <alignment horizontal="center" vertical="center"/>
    </xf>
    <xf numFmtId="0" fontId="66" fillId="0" borderId="39" xfId="4" applyFont="1" applyBorder="1" applyAlignment="1">
      <alignment horizontal="right" vertical="center" shrinkToFit="1"/>
    </xf>
    <xf numFmtId="0" fontId="66" fillId="0" borderId="7" xfId="4" applyFont="1" applyBorder="1" applyAlignment="1">
      <alignment horizontal="right" vertical="center" shrinkToFit="1"/>
    </xf>
    <xf numFmtId="0" fontId="67" fillId="0" borderId="7" xfId="4" applyFont="1" applyBorder="1" applyAlignment="1">
      <alignment horizontal="left" vertical="center" shrinkToFit="1"/>
    </xf>
    <xf numFmtId="0" fontId="67" fillId="0" borderId="26" xfId="4" applyFont="1" applyBorder="1" applyAlignment="1">
      <alignment horizontal="left" vertical="center" shrinkToFit="1"/>
    </xf>
    <xf numFmtId="0" fontId="23" fillId="0" borderId="0" xfId="4" applyFont="1" applyAlignment="1">
      <alignment vertical="center" wrapText="1"/>
    </xf>
    <xf numFmtId="0" fontId="23" fillId="0" borderId="0" xfId="4" applyFont="1" applyFill="1" applyBorder="1" applyAlignment="1">
      <alignment horizontal="center" vertical="center" wrapText="1"/>
    </xf>
    <xf numFmtId="0" fontId="23" fillId="0" borderId="0" xfId="4" applyFont="1" applyFill="1" applyBorder="1" applyAlignment="1">
      <alignment horizontal="center" vertical="center"/>
    </xf>
    <xf numFmtId="0" fontId="4" fillId="0" borderId="0" xfId="4" applyFont="1" applyFill="1" applyBorder="1" applyAlignment="1">
      <alignment horizontal="center" vertical="center" shrinkToFit="1"/>
    </xf>
    <xf numFmtId="38" fontId="24" fillId="0" borderId="0" xfId="5" applyFont="1" applyFill="1" applyBorder="1" applyAlignment="1">
      <alignment horizontal="right" vertical="center"/>
    </xf>
    <xf numFmtId="38" fontId="0" fillId="0" borderId="151" xfId="5" applyFont="1" applyBorder="1" applyAlignment="1">
      <alignment horizontal="center" vertical="center" shrinkToFit="1"/>
    </xf>
    <xf numFmtId="38" fontId="56" fillId="0" borderId="151" xfId="4" applyNumberFormat="1" applyFont="1" applyBorder="1" applyAlignment="1">
      <alignment horizontal="center" vertical="center" shrinkToFit="1"/>
    </xf>
    <xf numFmtId="0" fontId="56" fillId="0" borderId="151" xfId="4" applyFont="1" applyBorder="1" applyAlignment="1">
      <alignment horizontal="center" vertical="center" shrinkToFit="1"/>
    </xf>
    <xf numFmtId="0" fontId="23" fillId="0" borderId="69" xfId="4" applyFont="1" applyFill="1" applyBorder="1" applyAlignment="1">
      <alignment horizontal="left" vertical="center" indent="2"/>
    </xf>
    <xf numFmtId="0" fontId="23" fillId="0" borderId="0" xfId="4" applyFont="1" applyFill="1" applyBorder="1" applyAlignment="1">
      <alignment horizontal="left" vertical="center" indent="2"/>
    </xf>
    <xf numFmtId="176" fontId="32" fillId="0" borderId="5" xfId="5" applyNumberFormat="1" applyFont="1" applyBorder="1" applyAlignment="1">
      <alignment horizontal="center" vertical="center" shrinkToFit="1"/>
    </xf>
    <xf numFmtId="38" fontId="58" fillId="0" borderId="0" xfId="5" applyFont="1" applyFill="1" applyAlignment="1">
      <alignment horizontal="center" vertical="top" shrinkToFit="1"/>
    </xf>
    <xf numFmtId="38" fontId="58" fillId="0" borderId="41" xfId="5" applyFont="1" applyFill="1" applyBorder="1" applyAlignment="1">
      <alignment horizontal="center" vertical="top" shrinkToFit="1"/>
    </xf>
    <xf numFmtId="38" fontId="0" fillId="0" borderId="46" xfId="5" applyFont="1" applyBorder="1" applyAlignment="1">
      <alignment horizontal="center" vertical="center" shrinkToFit="1"/>
    </xf>
    <xf numFmtId="38" fontId="0" fillId="0" borderId="42" xfId="5" applyFont="1" applyBorder="1" applyAlignment="1">
      <alignment horizontal="center" vertical="center" shrinkToFit="1"/>
    </xf>
    <xf numFmtId="38" fontId="0" fillId="0" borderId="45" xfId="5" applyFont="1" applyBorder="1" applyAlignment="1">
      <alignment horizontal="center" vertical="center" shrinkToFit="1"/>
    </xf>
    <xf numFmtId="38" fontId="0" fillId="0" borderId="6" xfId="5" applyFont="1" applyBorder="1" applyAlignment="1">
      <alignment horizontal="center" vertical="center" shrinkToFit="1"/>
    </xf>
    <xf numFmtId="38" fontId="0" fillId="0" borderId="90" xfId="5" applyFont="1" applyBorder="1" applyAlignment="1">
      <alignment horizontal="center" vertical="center" shrinkToFit="1"/>
    </xf>
    <xf numFmtId="38" fontId="4" fillId="0" borderId="90" xfId="5" applyFont="1" applyBorder="1" applyAlignment="1">
      <alignment horizontal="center" vertical="center" shrinkToFit="1"/>
    </xf>
    <xf numFmtId="38" fontId="56" fillId="0" borderId="90" xfId="4" applyNumberFormat="1" applyFont="1" applyBorder="1" applyAlignment="1">
      <alignment horizontal="center" vertical="center" shrinkToFit="1"/>
    </xf>
    <xf numFmtId="0" fontId="23" fillId="0" borderId="150" xfId="4" applyFont="1" applyBorder="1" applyAlignment="1">
      <alignment horizontal="center" vertical="center" shrinkToFit="1"/>
    </xf>
    <xf numFmtId="0" fontId="23" fillId="0" borderId="152" xfId="4" applyFont="1" applyBorder="1" applyAlignment="1">
      <alignment horizontal="center" vertical="center" shrinkToFit="1"/>
    </xf>
    <xf numFmtId="0" fontId="23" fillId="0" borderId="2" xfId="4" applyFont="1" applyBorder="1" applyAlignment="1">
      <alignment horizontal="center" shrinkToFit="1"/>
    </xf>
    <xf numFmtId="176" fontId="32" fillId="0" borderId="2" xfId="5" applyNumberFormat="1" applyFont="1" applyBorder="1" applyAlignment="1">
      <alignment horizontal="center" vertical="center" shrinkToFit="1"/>
    </xf>
    <xf numFmtId="0" fontId="31" fillId="0" borderId="41" xfId="4" applyFont="1" applyBorder="1" applyAlignment="1">
      <alignment horizontal="center" vertical="center" shrinkToFit="1"/>
    </xf>
    <xf numFmtId="38" fontId="29" fillId="23" borderId="93" xfId="5" applyFont="1" applyFill="1" applyBorder="1" applyAlignment="1">
      <alignment horizontal="right" vertical="center" shrinkToFit="1"/>
    </xf>
    <xf numFmtId="38" fontId="29" fillId="23" borderId="14" xfId="5" applyFont="1" applyFill="1" applyBorder="1" applyAlignment="1">
      <alignment horizontal="right" vertical="center" shrinkToFit="1"/>
    </xf>
    <xf numFmtId="38" fontId="29" fillId="23" borderId="34" xfId="5" applyFont="1" applyFill="1" applyBorder="1" applyAlignment="1">
      <alignment horizontal="right" vertical="center" shrinkToFit="1"/>
    </xf>
    <xf numFmtId="178" fontId="56" fillId="0" borderId="7" xfId="4" applyNumberFormat="1" applyFont="1" applyBorder="1" applyAlignment="1">
      <alignment horizontal="center" vertical="center" shrinkToFit="1"/>
    </xf>
    <xf numFmtId="178" fontId="56" fillId="0" borderId="26" xfId="4" applyNumberFormat="1" applyFont="1" applyBorder="1" applyAlignment="1">
      <alignment horizontal="center" vertical="center" shrinkToFit="1"/>
    </xf>
    <xf numFmtId="0" fontId="22" fillId="0" borderId="138" xfId="4" applyFont="1" applyBorder="1" applyAlignment="1">
      <alignment horizontal="center" vertical="center" wrapText="1" shrinkToFit="1"/>
    </xf>
    <xf numFmtId="0" fontId="22" fillId="0" borderId="57" xfId="4" applyFont="1" applyBorder="1" applyAlignment="1">
      <alignment horizontal="center" vertical="center" wrapText="1" shrinkToFit="1"/>
    </xf>
    <xf numFmtId="0" fontId="22" fillId="0" borderId="141" xfId="4" applyFont="1" applyBorder="1" applyAlignment="1">
      <alignment horizontal="center" vertical="center" wrapText="1" shrinkToFit="1"/>
    </xf>
    <xf numFmtId="0" fontId="4" fillId="0" borderId="18" xfId="4" applyBorder="1" applyAlignment="1">
      <alignment horizontal="center" vertical="center" shrinkToFit="1"/>
    </xf>
    <xf numFmtId="38" fontId="29" fillId="23" borderId="52" xfId="5" applyFont="1" applyFill="1" applyBorder="1" applyAlignment="1">
      <alignment horizontal="right" vertical="center" shrinkToFit="1"/>
    </xf>
    <xf numFmtId="0" fontId="22" fillId="0" borderId="35" xfId="4" applyFont="1" applyBorder="1" applyAlignment="1">
      <alignment horizontal="center" vertical="center" shrinkToFit="1"/>
    </xf>
    <xf numFmtId="0" fontId="22" fillId="0" borderId="32" xfId="4" applyFont="1" applyBorder="1" applyAlignment="1">
      <alignment horizontal="center" vertical="center" shrinkToFit="1"/>
    </xf>
    <xf numFmtId="0" fontId="22" fillId="0" borderId="33" xfId="4" applyFont="1" applyBorder="1" applyAlignment="1">
      <alignment horizontal="center" vertical="center" shrinkToFit="1"/>
    </xf>
    <xf numFmtId="0" fontId="74" fillId="0" borderId="17" xfId="4" applyFont="1" applyBorder="1" applyAlignment="1">
      <alignment horizontal="left" vertical="center" indent="1"/>
    </xf>
    <xf numFmtId="0" fontId="22" fillId="0" borderId="5" xfId="4" applyFont="1" applyFill="1" applyBorder="1" applyAlignment="1">
      <alignment horizontal="center" shrinkToFit="1"/>
    </xf>
    <xf numFmtId="0" fontId="23" fillId="0" borderId="4" xfId="4" applyFont="1" applyBorder="1" applyAlignment="1">
      <alignment horizontal="center" vertical="center" wrapText="1"/>
    </xf>
    <xf numFmtId="0" fontId="23" fillId="0" borderId="54" xfId="4" applyFont="1" applyBorder="1" applyAlignment="1">
      <alignment horizontal="center" vertical="center" wrapText="1"/>
    </xf>
    <xf numFmtId="0" fontId="4" fillId="0" borderId="18" xfId="4" applyFont="1" applyBorder="1" applyAlignment="1">
      <alignment horizontal="center" vertical="center" shrinkToFit="1"/>
    </xf>
    <xf numFmtId="0" fontId="22" fillId="0" borderId="55" xfId="4" applyFont="1" applyBorder="1" applyAlignment="1">
      <alignment horizontal="center" vertical="center" shrinkToFit="1"/>
    </xf>
    <xf numFmtId="0" fontId="22" fillId="0" borderId="54" xfId="4" applyFont="1" applyBorder="1" applyAlignment="1">
      <alignment horizontal="center" vertical="center" shrinkToFit="1"/>
    </xf>
    <xf numFmtId="0" fontId="23" fillId="0" borderId="16" xfId="4" applyFont="1" applyBorder="1" applyAlignment="1">
      <alignment horizontal="center" vertical="center" shrinkToFit="1"/>
    </xf>
    <xf numFmtId="0" fontId="23" fillId="0" borderId="15" xfId="4" applyFont="1" applyBorder="1" applyAlignment="1">
      <alignment horizontal="center" vertical="center" shrinkToFit="1"/>
    </xf>
    <xf numFmtId="0" fontId="23" fillId="0" borderId="35" xfId="4" applyFont="1" applyBorder="1" applyAlignment="1">
      <alignment horizontal="center" vertical="center" shrinkToFit="1"/>
    </xf>
    <xf numFmtId="0" fontId="23" fillId="0" borderId="33" xfId="4" applyFont="1" applyBorder="1" applyAlignment="1">
      <alignment horizontal="center" vertical="center" shrinkToFit="1"/>
    </xf>
    <xf numFmtId="0" fontId="23" fillId="0" borderId="35" xfId="4" applyFont="1" applyBorder="1" applyAlignment="1">
      <alignment horizontal="center" vertical="center" wrapText="1" shrinkToFit="1"/>
    </xf>
    <xf numFmtId="0" fontId="23" fillId="0" borderId="33" xfId="4" applyFont="1" applyBorder="1" applyAlignment="1">
      <alignment horizontal="center" vertical="center" wrapText="1" shrinkToFit="1"/>
    </xf>
    <xf numFmtId="0" fontId="23" fillId="0" borderId="18" xfId="4" applyFont="1" applyBorder="1" applyAlignment="1">
      <alignment horizontal="center" vertical="center" shrinkToFit="1"/>
    </xf>
    <xf numFmtId="0" fontId="4" fillId="4" borderId="67" xfId="4" applyFill="1" applyBorder="1" applyAlignment="1">
      <alignment horizontal="center" vertical="center" shrinkToFit="1"/>
    </xf>
    <xf numFmtId="0" fontId="4" fillId="4" borderId="66" xfId="4" applyFill="1" applyBorder="1" applyAlignment="1">
      <alignment horizontal="center" vertical="center" shrinkToFit="1"/>
    </xf>
    <xf numFmtId="0" fontId="4" fillId="4" borderId="63" xfId="4" applyFill="1" applyBorder="1" applyAlignment="1">
      <alignment horizontal="center" vertical="center" shrinkToFit="1"/>
    </xf>
    <xf numFmtId="0" fontId="23" fillId="4" borderId="1" xfId="4" applyFont="1" applyFill="1" applyBorder="1" applyAlignment="1">
      <alignment horizontal="center" vertical="center" wrapText="1"/>
    </xf>
    <xf numFmtId="0" fontId="23" fillId="4" borderId="29" xfId="4" applyFont="1" applyFill="1" applyBorder="1" applyAlignment="1">
      <alignment horizontal="center" vertical="center" wrapText="1"/>
    </xf>
    <xf numFmtId="0" fontId="23" fillId="4" borderId="11" xfId="4" applyFont="1" applyFill="1" applyBorder="1" applyAlignment="1">
      <alignment horizontal="center" vertical="center" wrapText="1"/>
    </xf>
    <xf numFmtId="0" fontId="23" fillId="4" borderId="53" xfId="4" applyFont="1" applyFill="1" applyBorder="1" applyAlignment="1">
      <alignment horizontal="center" vertical="center" wrapText="1"/>
    </xf>
    <xf numFmtId="0" fontId="4" fillId="4" borderId="7" xfId="4" applyFont="1" applyFill="1" applyBorder="1" applyAlignment="1">
      <alignment horizontal="center" vertical="center" shrinkToFit="1"/>
    </xf>
    <xf numFmtId="0" fontId="4" fillId="4" borderId="26" xfId="4" applyFont="1" applyFill="1" applyBorder="1" applyAlignment="1">
      <alignment horizontal="center" vertical="center" shrinkToFit="1"/>
    </xf>
    <xf numFmtId="0" fontId="4" fillId="4" borderId="39" xfId="4" applyFill="1" applyBorder="1" applyAlignment="1">
      <alignment horizontal="center" vertical="center" shrinkToFit="1"/>
    </xf>
    <xf numFmtId="0" fontId="4" fillId="4" borderId="7" xfId="4" applyFill="1" applyBorder="1" applyAlignment="1">
      <alignment horizontal="center" vertical="center" shrinkToFit="1"/>
    </xf>
    <xf numFmtId="0" fontId="4" fillId="4" borderId="26" xfId="4" applyFill="1" applyBorder="1" applyAlignment="1">
      <alignment horizontal="center" vertical="center" shrinkToFit="1"/>
    </xf>
    <xf numFmtId="0" fontId="4" fillId="4" borderId="46" xfId="4" applyFill="1" applyBorder="1" applyAlignment="1">
      <alignment horizontal="center" vertical="center" shrinkToFit="1"/>
    </xf>
    <xf numFmtId="0" fontId="4" fillId="4" borderId="42" xfId="4" applyFill="1" applyBorder="1" applyAlignment="1">
      <alignment horizontal="center" vertical="center" shrinkToFit="1"/>
    </xf>
    <xf numFmtId="0" fontId="4" fillId="4" borderId="45" xfId="4" applyFill="1" applyBorder="1" applyAlignment="1">
      <alignment horizontal="center" vertical="center" shrinkToFit="1"/>
    </xf>
    <xf numFmtId="0" fontId="4" fillId="4" borderId="6" xfId="4" applyFill="1" applyBorder="1" applyAlignment="1">
      <alignment horizontal="center" vertical="center" shrinkToFit="1"/>
    </xf>
    <xf numFmtId="0" fontId="22" fillId="4" borderId="46" xfId="4" applyFont="1" applyFill="1" applyBorder="1" applyAlignment="1">
      <alignment horizontal="center" vertical="center" shrinkToFit="1"/>
    </xf>
    <xf numFmtId="0" fontId="22" fillId="4" borderId="42" xfId="4" applyFont="1" applyFill="1" applyBorder="1" applyAlignment="1">
      <alignment horizontal="center" vertical="center" shrinkToFit="1"/>
    </xf>
    <xf numFmtId="0" fontId="22" fillId="4" borderId="45" xfId="4" applyFont="1" applyFill="1" applyBorder="1" applyAlignment="1">
      <alignment horizontal="center" vertical="center" shrinkToFit="1"/>
    </xf>
    <xf numFmtId="0" fontId="22" fillId="4" borderId="6" xfId="4" applyFont="1" applyFill="1" applyBorder="1" applyAlignment="1">
      <alignment horizontal="center" vertical="center" shrinkToFit="1"/>
    </xf>
    <xf numFmtId="0" fontId="23" fillId="4" borderId="7" xfId="4" applyFont="1" applyFill="1" applyBorder="1" applyAlignment="1">
      <alignment horizontal="center" vertical="center" shrinkToFit="1"/>
    </xf>
    <xf numFmtId="0" fontId="4" fillId="4" borderId="120" xfId="4" applyFill="1" applyBorder="1" applyAlignment="1">
      <alignment horizontal="center" vertical="center" shrinkToFit="1"/>
    </xf>
    <xf numFmtId="0" fontId="4" fillId="4" borderId="29" xfId="4" applyFill="1" applyBorder="1" applyAlignment="1">
      <alignment horizontal="center" vertical="center" shrinkToFit="1"/>
    </xf>
    <xf numFmtId="0" fontId="4" fillId="4" borderId="54" xfId="4" applyFill="1" applyBorder="1" applyAlignment="1">
      <alignment horizontal="center" vertical="center" shrinkToFit="1"/>
    </xf>
    <xf numFmtId="0" fontId="22" fillId="4" borderId="69" xfId="4" applyFont="1" applyFill="1" applyBorder="1" applyAlignment="1">
      <alignment horizontal="center" vertical="center" shrinkToFit="1"/>
    </xf>
    <xf numFmtId="0" fontId="22" fillId="4" borderId="5" xfId="4" applyFont="1" applyFill="1" applyBorder="1" applyAlignment="1">
      <alignment horizontal="center" vertical="center" shrinkToFit="1"/>
    </xf>
    <xf numFmtId="0" fontId="23" fillId="4" borderId="18" xfId="4" applyFont="1" applyFill="1" applyBorder="1" applyAlignment="1">
      <alignment horizontal="center" vertical="center" shrinkToFit="1"/>
    </xf>
    <xf numFmtId="0" fontId="23" fillId="4" borderId="39" xfId="4" applyFont="1" applyFill="1" applyBorder="1" applyAlignment="1">
      <alignment horizontal="center" vertical="center" shrinkToFit="1"/>
    </xf>
    <xf numFmtId="176" fontId="24" fillId="4" borderId="162" xfId="2" applyNumberFormat="1" applyFont="1" applyFill="1" applyBorder="1" applyAlignment="1">
      <alignment horizontal="center" vertical="center" shrinkToFit="1"/>
    </xf>
    <xf numFmtId="176" fontId="24" fillId="4" borderId="163" xfId="2" applyNumberFormat="1" applyFont="1" applyFill="1" applyBorder="1" applyAlignment="1">
      <alignment horizontal="center" vertical="center" shrinkToFit="1"/>
    </xf>
    <xf numFmtId="0" fontId="4" fillId="4" borderId="21" xfId="4" applyFont="1" applyFill="1" applyBorder="1" applyAlignment="1">
      <alignment horizontal="center" vertical="center" shrinkToFit="1"/>
    </xf>
    <xf numFmtId="0" fontId="4" fillId="4" borderId="22" xfId="4" applyFont="1" applyFill="1" applyBorder="1" applyAlignment="1">
      <alignment horizontal="center" vertical="center" shrinkToFit="1"/>
    </xf>
    <xf numFmtId="0" fontId="4" fillId="4" borderId="94" xfId="4" applyFont="1" applyFill="1" applyBorder="1" applyAlignment="1">
      <alignment horizontal="center" vertical="center" shrinkToFit="1"/>
    </xf>
    <xf numFmtId="0" fontId="4" fillId="4" borderId="38" xfId="4" applyFill="1" applyBorder="1" applyAlignment="1">
      <alignment horizontal="center" vertical="center" shrinkToFit="1"/>
    </xf>
    <xf numFmtId="0" fontId="4" fillId="4" borderId="22" xfId="4" applyFill="1" applyBorder="1" applyAlignment="1">
      <alignment horizontal="center" vertical="center" shrinkToFit="1"/>
    </xf>
    <xf numFmtId="0" fontId="4" fillId="4" borderId="94" xfId="4" applyFill="1" applyBorder="1" applyAlignment="1">
      <alignment horizontal="center" vertical="center" shrinkToFit="1"/>
    </xf>
    <xf numFmtId="0" fontId="4" fillId="4" borderId="3" xfId="4" applyFill="1" applyBorder="1" applyAlignment="1">
      <alignment horizontal="center" vertical="center" shrinkToFit="1"/>
    </xf>
    <xf numFmtId="176" fontId="28" fillId="0" borderId="93" xfId="5" applyNumberFormat="1" applyFont="1" applyFill="1" applyBorder="1" applyAlignment="1">
      <alignment horizontal="right" vertical="center" shrinkToFit="1"/>
    </xf>
    <xf numFmtId="176" fontId="28" fillId="0" borderId="52" xfId="5" applyNumberFormat="1" applyFont="1" applyFill="1" applyBorder="1" applyAlignment="1">
      <alignment horizontal="right" vertical="center" shrinkToFit="1"/>
    </xf>
    <xf numFmtId="180" fontId="66" fillId="0" borderId="78" xfId="4" applyNumberFormat="1" applyFont="1" applyFill="1" applyBorder="1" applyAlignment="1">
      <alignment horizontal="right" vertical="center"/>
    </xf>
    <xf numFmtId="180" fontId="66" fillId="0" borderId="79" xfId="4" applyNumberFormat="1" applyFont="1" applyFill="1" applyBorder="1" applyAlignment="1">
      <alignment horizontal="right" vertical="center"/>
    </xf>
    <xf numFmtId="176" fontId="35" fillId="4" borderId="27" xfId="4" applyNumberFormat="1" applyFont="1" applyFill="1" applyBorder="1" applyAlignment="1">
      <alignment horizontal="left" vertical="center" wrapText="1"/>
    </xf>
    <xf numFmtId="176" fontId="35" fillId="4" borderId="0" xfId="4" applyNumberFormat="1" applyFont="1" applyFill="1" applyAlignment="1">
      <alignment horizontal="left" vertical="center" wrapText="1"/>
    </xf>
    <xf numFmtId="176" fontId="67" fillId="4" borderId="35" xfId="4" applyNumberFormat="1" applyFont="1" applyFill="1" applyBorder="1" applyAlignment="1">
      <alignment horizontal="center" vertical="center"/>
    </xf>
    <xf numFmtId="176" fontId="67" fillId="4" borderId="33" xfId="4" applyNumberFormat="1" applyFont="1" applyFill="1" applyBorder="1" applyAlignment="1">
      <alignment horizontal="center" vertical="center"/>
    </xf>
    <xf numFmtId="176" fontId="63" fillId="4" borderId="46" xfId="4" applyNumberFormat="1" applyFont="1" applyFill="1" applyBorder="1" applyAlignment="1">
      <alignment horizontal="right" vertical="center"/>
    </xf>
    <xf numFmtId="176" fontId="63" fillId="4" borderId="42" xfId="4" applyNumberFormat="1" applyFont="1" applyFill="1" applyBorder="1" applyAlignment="1">
      <alignment horizontal="right" vertical="center"/>
    </xf>
    <xf numFmtId="180" fontId="66" fillId="4" borderId="78" xfId="4" applyNumberFormat="1" applyFont="1" applyFill="1" applyBorder="1" applyAlignment="1">
      <alignment horizontal="right" vertical="center"/>
    </xf>
    <xf numFmtId="180" fontId="66" fillId="4" borderId="79" xfId="4" applyNumberFormat="1" applyFont="1" applyFill="1" applyBorder="1" applyAlignment="1">
      <alignment horizontal="right" vertical="center"/>
    </xf>
    <xf numFmtId="176" fontId="77" fillId="4" borderId="27" xfId="4" applyNumberFormat="1" applyFont="1" applyFill="1" applyBorder="1" applyAlignment="1">
      <alignment horizontal="right" vertical="center" shrinkToFit="1"/>
    </xf>
    <xf numFmtId="176" fontId="77" fillId="4" borderId="0" xfId="4" applyNumberFormat="1" applyFont="1" applyFill="1" applyAlignment="1">
      <alignment horizontal="right" vertical="center" shrinkToFit="1"/>
    </xf>
    <xf numFmtId="176" fontId="32" fillId="0" borderId="0" xfId="4" applyNumberFormat="1" applyFont="1" applyFill="1" applyAlignment="1">
      <alignment horizontal="right" vertical="center" shrinkToFit="1"/>
    </xf>
    <xf numFmtId="176" fontId="56" fillId="0" borderId="0" xfId="4" applyNumberFormat="1" applyFont="1" applyAlignment="1">
      <alignment vertical="center" shrinkToFit="1"/>
    </xf>
    <xf numFmtId="176" fontId="24" fillId="4" borderId="0" xfId="5" applyNumberFormat="1" applyFont="1" applyFill="1" applyBorder="1" applyAlignment="1">
      <alignment horizontal="right" vertical="center" shrinkToFit="1"/>
    </xf>
    <xf numFmtId="0" fontId="56" fillId="0" borderId="0" xfId="4" applyFont="1" applyAlignment="1">
      <alignment horizontal="left" vertical="center" shrinkToFit="1"/>
    </xf>
    <xf numFmtId="176" fontId="67" fillId="6" borderId="82" xfId="4" applyNumberFormat="1" applyFont="1" applyFill="1" applyBorder="1" applyAlignment="1">
      <alignment horizontal="right" vertical="center"/>
    </xf>
    <xf numFmtId="176" fontId="67" fillId="6" borderId="83" xfId="4" applyNumberFormat="1" applyFont="1" applyFill="1" applyBorder="1" applyAlignment="1">
      <alignment horizontal="right" vertical="center"/>
    </xf>
    <xf numFmtId="176" fontId="4" fillId="0" borderId="0" xfId="5" applyNumberFormat="1" applyFont="1" applyFill="1" applyAlignment="1">
      <alignment horizontal="right" vertical="center" shrinkToFit="1"/>
    </xf>
    <xf numFmtId="176" fontId="23" fillId="0" borderId="0" xfId="4" applyNumberFormat="1" applyFont="1" applyAlignment="1">
      <alignment vertical="center" shrinkToFit="1"/>
    </xf>
    <xf numFmtId="176" fontId="4" fillId="0" borderId="0" xfId="4" applyNumberFormat="1" applyFont="1" applyFill="1" applyBorder="1" applyAlignment="1">
      <alignment horizontal="right" vertical="center" shrinkToFit="1"/>
    </xf>
    <xf numFmtId="176" fontId="28" fillId="0" borderId="93" xfId="4" applyNumberFormat="1" applyFont="1" applyFill="1" applyBorder="1" applyAlignment="1">
      <alignment horizontal="right" vertical="center" shrinkToFit="1"/>
    </xf>
    <xf numFmtId="176" fontId="28" fillId="0" borderId="52" xfId="4" applyNumberFormat="1" applyFont="1" applyFill="1" applyBorder="1" applyAlignment="1">
      <alignment horizontal="right" vertical="center" shrinkToFit="1"/>
    </xf>
    <xf numFmtId="176" fontId="23" fillId="0" borderId="0" xfId="4" applyNumberFormat="1" applyFont="1" applyBorder="1" applyAlignment="1">
      <alignment horizontal="left" vertical="center" shrinkToFit="1"/>
    </xf>
    <xf numFmtId="176" fontId="56" fillId="0" borderId="0" xfId="4" applyNumberFormat="1" applyFont="1" applyBorder="1" applyAlignment="1">
      <alignment horizontal="left" vertical="center"/>
    </xf>
    <xf numFmtId="176" fontId="4" fillId="0" borderId="0" xfId="4" applyNumberFormat="1" applyFont="1" applyFill="1" applyAlignment="1">
      <alignment horizontal="right" vertical="center" shrinkToFit="1"/>
    </xf>
    <xf numFmtId="176" fontId="66" fillId="4" borderId="39" xfId="4" applyNumberFormat="1" applyFont="1" applyFill="1" applyBorder="1" applyAlignment="1">
      <alignment horizontal="center" vertical="center" shrinkToFit="1"/>
    </xf>
    <xf numFmtId="176" fontId="66" fillId="4" borderId="7" xfId="4" applyNumberFormat="1" applyFont="1" applyFill="1" applyBorder="1" applyAlignment="1">
      <alignment horizontal="center" vertical="center" shrinkToFit="1"/>
    </xf>
    <xf numFmtId="178" fontId="24" fillId="4" borderId="0" xfId="4" applyNumberFormat="1" applyFont="1" applyFill="1" applyBorder="1" applyAlignment="1">
      <alignment horizontal="right" vertical="center" shrinkToFit="1"/>
    </xf>
    <xf numFmtId="176" fontId="24" fillId="4" borderId="0" xfId="5" applyNumberFormat="1" applyFont="1" applyFill="1" applyAlignment="1">
      <alignment horizontal="right" vertical="center" shrinkToFit="1"/>
    </xf>
    <xf numFmtId="0" fontId="56" fillId="0" borderId="0" xfId="4" applyNumberFormat="1" applyFont="1" applyAlignment="1">
      <alignment horizontal="left" vertical="center" shrinkToFit="1"/>
    </xf>
    <xf numFmtId="176" fontId="24" fillId="0" borderId="0" xfId="4" applyNumberFormat="1" applyFont="1" applyFill="1" applyAlignment="1">
      <alignment horizontal="right" vertical="center" shrinkToFit="1"/>
    </xf>
    <xf numFmtId="176" fontId="24" fillId="4" borderId="0" xfId="4" applyNumberFormat="1" applyFont="1" applyFill="1" applyBorder="1" applyAlignment="1">
      <alignment vertical="center" shrinkToFit="1"/>
    </xf>
    <xf numFmtId="0" fontId="23" fillId="0" borderId="0" xfId="4" applyFont="1" applyAlignment="1">
      <alignment horizontal="left" vertical="center" shrinkToFit="1"/>
    </xf>
    <xf numFmtId="176" fontId="24" fillId="4" borderId="0" xfId="4" applyNumberFormat="1" applyFont="1" applyFill="1" applyBorder="1" applyAlignment="1">
      <alignment horizontal="right" vertical="center" shrinkToFit="1"/>
    </xf>
    <xf numFmtId="176" fontId="28" fillId="4" borderId="93" xfId="4" applyNumberFormat="1" applyFont="1" applyFill="1" applyBorder="1" applyAlignment="1">
      <alignment vertical="center" shrinkToFit="1"/>
    </xf>
    <xf numFmtId="176" fontId="28" fillId="4" borderId="52" xfId="4" applyNumberFormat="1" applyFont="1" applyFill="1" applyBorder="1" applyAlignment="1">
      <alignment vertical="center" shrinkToFit="1"/>
    </xf>
    <xf numFmtId="176" fontId="24" fillId="0" borderId="39" xfId="5" applyNumberFormat="1" applyFont="1" applyFill="1" applyBorder="1" applyAlignment="1">
      <alignment horizontal="right" vertical="center" shrinkToFit="1"/>
    </xf>
    <xf numFmtId="176" fontId="24" fillId="0" borderId="7" xfId="5" applyNumberFormat="1" applyFont="1" applyFill="1" applyBorder="1" applyAlignment="1">
      <alignment horizontal="right" vertical="center" shrinkToFit="1"/>
    </xf>
    <xf numFmtId="176" fontId="24" fillId="0" borderId="50" xfId="5" applyNumberFormat="1" applyFont="1" applyFill="1" applyBorder="1" applyAlignment="1">
      <alignment horizontal="right" vertical="center" shrinkToFit="1"/>
    </xf>
    <xf numFmtId="176" fontId="4" fillId="0" borderId="0" xfId="4" applyNumberFormat="1" applyFont="1" applyFill="1" applyAlignment="1">
      <alignment vertical="center" shrinkToFit="1"/>
    </xf>
    <xf numFmtId="176" fontId="55" fillId="0" borderId="0" xfId="4" applyNumberFormat="1" applyFont="1" applyBorder="1" applyAlignment="1">
      <alignment horizontal="left" vertical="center"/>
    </xf>
    <xf numFmtId="176" fontId="24" fillId="0" borderId="46" xfId="5" applyNumberFormat="1" applyFont="1" applyFill="1" applyBorder="1" applyAlignment="1">
      <alignment horizontal="right" vertical="center" shrinkToFit="1"/>
    </xf>
    <xf numFmtId="176" fontId="24" fillId="0" borderId="69" xfId="5" applyNumberFormat="1" applyFont="1" applyFill="1" applyBorder="1" applyAlignment="1">
      <alignment horizontal="right" vertical="center" shrinkToFit="1"/>
    </xf>
    <xf numFmtId="176" fontId="24" fillId="0" borderId="55" xfId="5" applyNumberFormat="1" applyFont="1" applyFill="1" applyBorder="1" applyAlignment="1">
      <alignment horizontal="right" vertical="center" shrinkToFit="1"/>
    </xf>
    <xf numFmtId="176" fontId="32" fillId="0" borderId="0" xfId="4" applyNumberFormat="1" applyFont="1" applyFill="1" applyAlignment="1">
      <alignment vertical="center" shrinkToFit="1"/>
    </xf>
    <xf numFmtId="176" fontId="24" fillId="4" borderId="34" xfId="5" applyNumberFormat="1" applyFont="1" applyFill="1" applyBorder="1" applyAlignment="1">
      <alignment horizontal="right" vertical="center" shrinkToFit="1"/>
    </xf>
    <xf numFmtId="176" fontId="24" fillId="4" borderId="14" xfId="5" applyNumberFormat="1" applyFont="1" applyFill="1" applyBorder="1" applyAlignment="1">
      <alignment horizontal="right" vertical="center" shrinkToFit="1"/>
    </xf>
    <xf numFmtId="176" fontId="24" fillId="4" borderId="20" xfId="5" applyNumberFormat="1" applyFont="1" applyFill="1" applyBorder="1" applyAlignment="1">
      <alignment horizontal="right" vertical="center" shrinkToFit="1"/>
    </xf>
    <xf numFmtId="176" fontId="24" fillId="4" borderId="52" xfId="5" applyNumberFormat="1" applyFont="1" applyFill="1" applyBorder="1" applyAlignment="1">
      <alignment horizontal="right" vertical="center" shrinkToFit="1"/>
    </xf>
    <xf numFmtId="176" fontId="67" fillId="0" borderId="11" xfId="4" applyNumberFormat="1" applyFont="1" applyBorder="1" applyAlignment="1">
      <alignment horizontal="left" vertical="top" wrapText="1"/>
    </xf>
    <xf numFmtId="176" fontId="24" fillId="0" borderId="27" xfId="5" applyNumberFormat="1" applyFont="1" applyFill="1" applyBorder="1" applyAlignment="1">
      <alignment horizontal="right" vertical="center" shrinkToFit="1"/>
    </xf>
    <xf numFmtId="176" fontId="24" fillId="0" borderId="41" xfId="5" applyNumberFormat="1" applyFont="1" applyFill="1" applyBorder="1" applyAlignment="1">
      <alignment horizontal="right" vertical="center" shrinkToFit="1"/>
    </xf>
    <xf numFmtId="176" fontId="24" fillId="0" borderId="45" xfId="5" applyNumberFormat="1" applyFont="1" applyFill="1" applyBorder="1" applyAlignment="1">
      <alignment horizontal="right" vertical="center" shrinkToFit="1"/>
    </xf>
    <xf numFmtId="176" fontId="24" fillId="0" borderId="5" xfId="5" applyNumberFormat="1" applyFont="1" applyFill="1" applyBorder="1" applyAlignment="1">
      <alignment horizontal="right" vertical="center" shrinkToFit="1"/>
    </xf>
    <xf numFmtId="176" fontId="24" fillId="0" borderId="54" xfId="5" applyNumberFormat="1" applyFont="1" applyFill="1" applyBorder="1" applyAlignment="1">
      <alignment horizontal="right" vertical="center" shrinkToFit="1"/>
    </xf>
    <xf numFmtId="176" fontId="23" fillId="0" borderId="0" xfId="4" applyNumberFormat="1" applyFont="1" applyBorder="1" applyAlignment="1">
      <alignment horizontal="left" vertical="center"/>
    </xf>
    <xf numFmtId="176" fontId="4" fillId="0" borderId="0" xfId="4" applyNumberFormat="1" applyFill="1" applyAlignment="1">
      <alignment horizontal="left" vertical="center" shrinkToFit="1"/>
    </xf>
    <xf numFmtId="176" fontId="24" fillId="0" borderId="0" xfId="4" applyNumberFormat="1" applyFont="1" applyFill="1" applyAlignment="1">
      <alignment vertical="center" shrinkToFit="1"/>
    </xf>
    <xf numFmtId="0" fontId="23" fillId="0" borderId="0" xfId="4" applyNumberFormat="1" applyFont="1" applyAlignment="1">
      <alignment horizontal="left" vertical="center" shrinkToFit="1"/>
    </xf>
    <xf numFmtId="176" fontId="0" fillId="9" borderId="31" xfId="5" applyNumberFormat="1" applyFont="1" applyFill="1" applyBorder="1" applyAlignment="1">
      <alignment horizontal="center" vertical="center" shrinkToFit="1"/>
    </xf>
    <xf numFmtId="176" fontId="0" fillId="9" borderId="34" xfId="5" applyNumberFormat="1" applyFont="1" applyFill="1" applyBorder="1" applyAlignment="1">
      <alignment horizontal="center" vertical="center" shrinkToFit="1"/>
    </xf>
    <xf numFmtId="176" fontId="0" fillId="9" borderId="62" xfId="5" applyNumberFormat="1" applyFont="1" applyFill="1" applyBorder="1" applyAlignment="1">
      <alignment horizontal="center" vertical="center" shrinkToFit="1"/>
    </xf>
    <xf numFmtId="0" fontId="4" fillId="0" borderId="0" xfId="4" applyFont="1" applyAlignment="1">
      <alignment horizontal="center" vertical="center" shrinkToFit="1"/>
    </xf>
    <xf numFmtId="178" fontId="25" fillId="0" borderId="0" xfId="4" applyNumberFormat="1" applyFont="1" applyBorder="1" applyAlignment="1">
      <alignment horizontal="left" vertical="center" shrinkToFit="1"/>
    </xf>
    <xf numFmtId="38" fontId="29" fillId="0" borderId="34" xfId="5" applyFont="1" applyBorder="1" applyAlignment="1">
      <alignment vertical="center" shrinkToFit="1"/>
    </xf>
    <xf numFmtId="38" fontId="29" fillId="0" borderId="14" xfId="5" applyFont="1" applyBorder="1" applyAlignment="1">
      <alignment vertical="center" shrinkToFit="1"/>
    </xf>
    <xf numFmtId="38" fontId="29" fillId="0" borderId="52" xfId="5" applyFont="1" applyBorder="1" applyAlignment="1">
      <alignment vertical="center" shrinkToFit="1"/>
    </xf>
    <xf numFmtId="176" fontId="26" fillId="0" borderId="2" xfId="5" applyNumberFormat="1" applyFont="1" applyBorder="1" applyAlignment="1">
      <alignment horizontal="center" vertical="center" shrinkToFit="1"/>
    </xf>
    <xf numFmtId="176" fontId="32" fillId="0" borderId="0" xfId="5" applyNumberFormat="1" applyFont="1" applyBorder="1" applyAlignment="1">
      <alignment horizontal="center" vertical="center" shrinkToFit="1"/>
    </xf>
    <xf numFmtId="176" fontId="24" fillId="0" borderId="0" xfId="5" applyNumberFormat="1" applyFont="1" applyAlignment="1">
      <alignment horizontal="left" vertical="center" shrinkToFit="1"/>
    </xf>
    <xf numFmtId="176" fontId="26" fillId="0" borderId="5" xfId="5" applyNumberFormat="1" applyFont="1" applyBorder="1" applyAlignment="1">
      <alignment horizontal="center" vertical="center" shrinkToFit="1"/>
    </xf>
    <xf numFmtId="38" fontId="29" fillId="0" borderId="93" xfId="5" applyFont="1" applyBorder="1" applyAlignment="1">
      <alignment vertical="center" shrinkToFit="1"/>
    </xf>
    <xf numFmtId="38" fontId="29" fillId="0" borderId="20" xfId="5" applyFont="1" applyBorder="1" applyAlignment="1">
      <alignment vertical="center" shrinkToFit="1"/>
    </xf>
    <xf numFmtId="38" fontId="29" fillId="0" borderId="34" xfId="5" applyFont="1" applyBorder="1" applyAlignment="1">
      <alignment horizontal="right" vertical="center" shrinkToFit="1"/>
    </xf>
    <xf numFmtId="38" fontId="29" fillId="0" borderId="14" xfId="5" applyFont="1" applyBorder="1" applyAlignment="1">
      <alignment horizontal="right" vertical="center" shrinkToFit="1"/>
    </xf>
    <xf numFmtId="0" fontId="4" fillId="4" borderId="18" xfId="4" applyFill="1" applyBorder="1" applyAlignment="1">
      <alignment horizontal="center" vertical="center" shrinkToFit="1"/>
    </xf>
    <xf numFmtId="0" fontId="22" fillId="4" borderId="35" xfId="4" applyFont="1" applyFill="1" applyBorder="1" applyAlignment="1">
      <alignment horizontal="center" vertical="center" shrinkToFit="1"/>
    </xf>
    <xf numFmtId="0" fontId="22" fillId="4" borderId="32" xfId="4" applyFont="1" applyFill="1" applyBorder="1" applyAlignment="1">
      <alignment horizontal="center" vertical="center" shrinkToFit="1"/>
    </xf>
    <xf numFmtId="0" fontId="22" fillId="4" borderId="33" xfId="4" applyFont="1" applyFill="1" applyBorder="1" applyAlignment="1">
      <alignment horizontal="center" vertical="center" shrinkToFit="1"/>
    </xf>
    <xf numFmtId="0" fontId="23" fillId="4" borderId="16" xfId="4" applyFont="1" applyFill="1" applyBorder="1" applyAlignment="1">
      <alignment horizontal="center" vertical="center" shrinkToFit="1"/>
    </xf>
    <xf numFmtId="0" fontId="23" fillId="4" borderId="15" xfId="4" applyFont="1" applyFill="1" applyBorder="1" applyAlignment="1">
      <alignment horizontal="center" vertical="center" shrinkToFit="1"/>
    </xf>
    <xf numFmtId="0" fontId="23" fillId="4" borderId="35" xfId="4" applyFont="1" applyFill="1" applyBorder="1" applyAlignment="1">
      <alignment horizontal="center" vertical="center" shrinkToFit="1"/>
    </xf>
    <xf numFmtId="0" fontId="23" fillId="4" borderId="33" xfId="4" applyFont="1" applyFill="1" applyBorder="1" applyAlignment="1">
      <alignment horizontal="center" vertical="center" shrinkToFit="1"/>
    </xf>
    <xf numFmtId="0" fontId="4" fillId="4" borderId="35" xfId="4" applyFont="1" applyFill="1" applyBorder="1" applyAlignment="1">
      <alignment horizontal="center" vertical="center" shrinkToFit="1"/>
    </xf>
    <xf numFmtId="38" fontId="24" fillId="0" borderId="35" xfId="5" applyFont="1" applyBorder="1" applyAlignment="1">
      <alignment horizontal="right" vertical="center" shrinkToFit="1"/>
    </xf>
    <xf numFmtId="38" fontId="32" fillId="0" borderId="35" xfId="5" applyFont="1" applyFill="1" applyBorder="1" applyAlignment="1">
      <alignment horizontal="right" vertical="center" shrinkToFit="1"/>
    </xf>
    <xf numFmtId="0" fontId="4" fillId="23" borderId="19" xfId="4" applyFont="1" applyFill="1" applyBorder="1" applyAlignment="1">
      <alignment horizontal="center" vertical="center" shrinkToFit="1"/>
    </xf>
    <xf numFmtId="0" fontId="4" fillId="23" borderId="31" xfId="4" applyFont="1" applyFill="1" applyBorder="1" applyAlignment="1">
      <alignment horizontal="center" vertical="center" shrinkToFit="1"/>
    </xf>
    <xf numFmtId="38" fontId="24" fillId="23" borderId="31" xfId="5" applyFont="1" applyFill="1" applyBorder="1" applyAlignment="1">
      <alignment horizontal="right" vertical="center" shrinkToFit="1"/>
    </xf>
    <xf numFmtId="38" fontId="24" fillId="23" borderId="62" xfId="5" applyFont="1" applyFill="1" applyBorder="1" applyAlignment="1">
      <alignment horizontal="right" vertical="center" shrinkToFit="1"/>
    </xf>
    <xf numFmtId="38" fontId="24" fillId="0" borderId="24" xfId="5" applyFont="1" applyBorder="1" applyAlignment="1">
      <alignment horizontal="right" vertical="center" shrinkToFit="1"/>
    </xf>
    <xf numFmtId="38" fontId="75" fillId="0" borderId="24" xfId="5" applyFont="1" applyFill="1" applyBorder="1" applyAlignment="1">
      <alignment horizontal="right" vertical="center" shrinkToFit="1"/>
    </xf>
    <xf numFmtId="38" fontId="32" fillId="0" borderId="24" xfId="5" applyFont="1" applyFill="1" applyBorder="1" applyAlignment="1">
      <alignment horizontal="right" vertical="center" shrinkToFit="1"/>
    </xf>
    <xf numFmtId="178" fontId="23" fillId="0" borderId="27" xfId="4" applyNumberFormat="1" applyFont="1" applyFill="1" applyBorder="1" applyAlignment="1">
      <alignment horizontal="left" vertical="center" wrapText="1"/>
    </xf>
    <xf numFmtId="178" fontId="23" fillId="0" borderId="0" xfId="4" applyNumberFormat="1" applyFont="1" applyFill="1" applyBorder="1" applyAlignment="1">
      <alignment horizontal="left" vertical="center" wrapText="1"/>
    </xf>
    <xf numFmtId="38" fontId="32" fillId="0" borderId="24" xfId="5" applyFont="1" applyFill="1" applyBorder="1" applyAlignment="1">
      <alignment horizontal="center" vertical="center" shrinkToFit="1"/>
    </xf>
    <xf numFmtId="0" fontId="4" fillId="0" borderId="0" xfId="4" applyFont="1" applyAlignment="1">
      <alignment horizontal="center" vertical="top" wrapText="1"/>
    </xf>
    <xf numFmtId="0" fontId="4" fillId="0" borderId="0" xfId="4" applyFont="1" applyAlignment="1">
      <alignment horizontal="left" vertical="top" wrapText="1"/>
    </xf>
    <xf numFmtId="0" fontId="23" fillId="0" borderId="0" xfId="4" applyFont="1" applyAlignment="1">
      <alignment horizontal="right" vertical="center" wrapText="1"/>
    </xf>
    <xf numFmtId="0" fontId="4" fillId="23" borderId="24" xfId="4" applyFont="1" applyFill="1" applyBorder="1" applyAlignment="1">
      <alignment horizontal="center" vertical="center" shrinkToFit="1"/>
    </xf>
    <xf numFmtId="38" fontId="23" fillId="23" borderId="24" xfId="5" applyFont="1" applyFill="1" applyBorder="1" applyAlignment="1">
      <alignment horizontal="center" vertical="center" wrapText="1" shrinkToFit="1"/>
    </xf>
    <xf numFmtId="38" fontId="58" fillId="0" borderId="24" xfId="5" applyFont="1" applyFill="1" applyBorder="1" applyAlignment="1">
      <alignment horizontal="center" vertical="center" shrinkToFit="1"/>
    </xf>
    <xf numFmtId="0" fontId="23" fillId="4" borderId="46" xfId="4" applyFont="1" applyFill="1" applyBorder="1" applyAlignment="1">
      <alignment horizontal="center" vertical="center" wrapText="1"/>
    </xf>
    <xf numFmtId="0" fontId="23" fillId="4" borderId="69" xfId="4" applyFont="1" applyFill="1" applyBorder="1" applyAlignment="1">
      <alignment horizontal="center" vertical="center" wrapText="1"/>
    </xf>
    <xf numFmtId="0" fontId="23" fillId="4" borderId="27" xfId="4" applyFont="1" applyFill="1" applyBorder="1" applyAlignment="1">
      <alignment horizontal="center" vertical="center" wrapText="1"/>
    </xf>
    <xf numFmtId="0" fontId="23" fillId="4" borderId="0" xfId="4" applyFont="1" applyFill="1" applyBorder="1" applyAlignment="1">
      <alignment horizontal="center" vertical="center" wrapText="1"/>
    </xf>
    <xf numFmtId="0" fontId="23" fillId="4" borderId="45" xfId="4" applyFont="1" applyFill="1" applyBorder="1" applyAlignment="1">
      <alignment horizontal="center" vertical="center" wrapText="1"/>
    </xf>
    <xf numFmtId="0" fontId="23" fillId="4" borderId="5" xfId="4" applyFont="1" applyFill="1" applyBorder="1" applyAlignment="1">
      <alignment horizontal="center" vertical="center" wrapText="1"/>
    </xf>
    <xf numFmtId="176" fontId="24" fillId="0" borderId="1" xfId="5" applyNumberFormat="1" applyFont="1" applyBorder="1" applyAlignment="1">
      <alignment horizontal="center" vertical="center" shrinkToFit="1"/>
    </xf>
    <xf numFmtId="176" fontId="24" fillId="0" borderId="11" xfId="5" applyNumberFormat="1" applyFont="1" applyBorder="1" applyAlignment="1">
      <alignment horizontal="center" vertical="center" shrinkToFit="1"/>
    </xf>
    <xf numFmtId="176" fontId="24" fillId="0" borderId="29" xfId="5" applyNumberFormat="1" applyFont="1" applyBorder="1" applyAlignment="1">
      <alignment horizontal="center" vertical="center" shrinkToFit="1"/>
    </xf>
    <xf numFmtId="176" fontId="24" fillId="0" borderId="53" xfId="5" applyNumberFormat="1" applyFont="1" applyBorder="1" applyAlignment="1">
      <alignment horizontal="center" vertical="center" shrinkToFit="1"/>
    </xf>
    <xf numFmtId="176" fontId="24" fillId="0" borderId="0" xfId="5" applyNumberFormat="1" applyFont="1" applyBorder="1" applyAlignment="1">
      <alignment horizontal="center" vertical="center" shrinkToFit="1"/>
    </xf>
    <xf numFmtId="0" fontId="4" fillId="0" borderId="39" xfId="4" applyFont="1" applyBorder="1" applyAlignment="1">
      <alignment horizontal="center" vertical="center" shrinkToFit="1"/>
    </xf>
    <xf numFmtId="0" fontId="4" fillId="0" borderId="93" xfId="4" applyFont="1" applyBorder="1" applyAlignment="1">
      <alignment horizontal="center" vertical="center" shrinkToFit="1"/>
    </xf>
    <xf numFmtId="0" fontId="4" fillId="0" borderId="52" xfId="4" applyFont="1" applyBorder="1" applyAlignment="1">
      <alignment horizontal="center" vertical="center" shrinkToFit="1"/>
    </xf>
    <xf numFmtId="0" fontId="4" fillId="0" borderId="0" xfId="4" applyFont="1" applyBorder="1" applyAlignment="1">
      <alignment horizontal="center" vertical="center" shrinkToFit="1"/>
    </xf>
    <xf numFmtId="0" fontId="4" fillId="4" borderId="39" xfId="4" applyFont="1" applyFill="1" applyBorder="1" applyAlignment="1">
      <alignment horizontal="center" vertical="center"/>
    </xf>
    <xf numFmtId="0" fontId="4" fillId="4" borderId="7" xfId="4" applyFont="1" applyFill="1" applyBorder="1" applyAlignment="1">
      <alignment horizontal="center" vertical="center"/>
    </xf>
    <xf numFmtId="0" fontId="4" fillId="4" borderId="26" xfId="4" applyFont="1" applyFill="1" applyBorder="1" applyAlignment="1">
      <alignment horizontal="center" vertical="center"/>
    </xf>
    <xf numFmtId="0" fontId="4" fillId="4" borderId="39" xfId="4" applyFont="1" applyFill="1" applyBorder="1" applyAlignment="1">
      <alignment horizontal="center" vertical="center" shrinkToFit="1"/>
    </xf>
    <xf numFmtId="176" fontId="25" fillId="0" borderId="0" xfId="4" applyNumberFormat="1" applyFont="1" applyBorder="1" applyAlignment="1">
      <alignment horizontal="center" vertical="center" shrinkToFit="1"/>
    </xf>
    <xf numFmtId="0" fontId="22" fillId="0" borderId="27" xfId="4" applyFont="1" applyBorder="1" applyAlignment="1">
      <alignment horizontal="center" vertical="center" shrinkToFit="1"/>
    </xf>
    <xf numFmtId="0" fontId="22" fillId="0" borderId="41" xfId="4" applyFont="1" applyBorder="1" applyAlignment="1">
      <alignment horizontal="center" vertical="center" shrinkToFit="1"/>
    </xf>
    <xf numFmtId="0" fontId="22" fillId="0" borderId="46" xfId="4" applyFont="1" applyFill="1" applyBorder="1" applyAlignment="1">
      <alignment horizontal="center" vertical="center" shrinkToFit="1"/>
    </xf>
    <xf numFmtId="0" fontId="22" fillId="0" borderId="42" xfId="4" applyFont="1" applyFill="1" applyBorder="1" applyAlignment="1">
      <alignment horizontal="center" vertical="center" shrinkToFit="1"/>
    </xf>
    <xf numFmtId="0" fontId="22" fillId="0" borderId="45" xfId="4" applyFont="1" applyFill="1" applyBorder="1" applyAlignment="1">
      <alignment horizontal="center" vertical="center" shrinkToFit="1"/>
    </xf>
    <xf numFmtId="0" fontId="22" fillId="0" borderId="6" xfId="4" applyFont="1" applyFill="1" applyBorder="1" applyAlignment="1">
      <alignment horizontal="center" vertical="center" shrinkToFit="1"/>
    </xf>
    <xf numFmtId="0" fontId="4" fillId="0" borderId="0" xfId="4" applyNumberFormat="1" applyAlignment="1">
      <alignment horizontal="left" vertical="center" shrinkToFit="1"/>
    </xf>
    <xf numFmtId="0" fontId="112" fillId="4" borderId="0" xfId="4" applyFont="1" applyFill="1" applyBorder="1" applyAlignment="1">
      <alignment horizontal="left" vertical="center" shrinkToFit="1"/>
    </xf>
    <xf numFmtId="176" fontId="24" fillId="0" borderId="17" xfId="5" applyNumberFormat="1" applyFont="1" applyFill="1" applyBorder="1" applyAlignment="1">
      <alignment horizontal="right" vertical="center" shrinkToFit="1"/>
    </xf>
    <xf numFmtId="176" fontId="75" fillId="0" borderId="0" xfId="4" applyNumberFormat="1" applyFont="1" applyFill="1" applyAlignment="1">
      <alignment horizontal="right" vertical="center" shrinkToFit="1"/>
    </xf>
    <xf numFmtId="176" fontId="110" fillId="0" borderId="0" xfId="4" applyNumberFormat="1" applyFont="1" applyFill="1" applyAlignment="1">
      <alignment horizontal="left" vertical="center" shrinkToFit="1"/>
    </xf>
    <xf numFmtId="176" fontId="23" fillId="0" borderId="0" xfId="4" applyNumberFormat="1" applyFont="1" applyFill="1" applyAlignment="1">
      <alignment horizontal="left" vertical="center" shrinkToFit="1"/>
    </xf>
    <xf numFmtId="178" fontId="4" fillId="3" borderId="44" xfId="4" applyNumberFormat="1" applyFont="1" applyFill="1" applyBorder="1" applyAlignment="1">
      <alignment horizontal="center" vertical="center" shrinkToFit="1"/>
    </xf>
    <xf numFmtId="178" fontId="4" fillId="3" borderId="91" xfId="4" applyNumberFormat="1" applyFont="1" applyFill="1" applyBorder="1" applyAlignment="1">
      <alignment horizontal="center" vertical="center" shrinkToFit="1"/>
    </xf>
    <xf numFmtId="38" fontId="24" fillId="3" borderId="120" xfId="5" applyFont="1" applyFill="1" applyBorder="1" applyAlignment="1">
      <alignment horizontal="right" vertical="center" shrinkToFit="1"/>
    </xf>
    <xf numFmtId="38" fontId="24" fillId="3" borderId="2" xfId="5" applyFont="1" applyFill="1" applyBorder="1" applyAlignment="1">
      <alignment horizontal="right" vertical="center" shrinkToFit="1"/>
    </xf>
    <xf numFmtId="38" fontId="24" fillId="3" borderId="47" xfId="5" applyFont="1" applyFill="1" applyBorder="1" applyAlignment="1">
      <alignment horizontal="right" vertical="center" shrinkToFit="1"/>
    </xf>
    <xf numFmtId="38" fontId="24" fillId="3" borderId="17" xfId="5" applyFont="1" applyFill="1" applyBorder="1" applyAlignment="1">
      <alignment horizontal="right" vertical="center" shrinkToFit="1"/>
    </xf>
    <xf numFmtId="38" fontId="24" fillId="3" borderId="29" xfId="5" applyFont="1" applyFill="1" applyBorder="1" applyAlignment="1">
      <alignment horizontal="right" vertical="center" shrinkToFit="1"/>
    </xf>
    <xf numFmtId="38" fontId="24" fillId="3" borderId="30" xfId="5" applyFont="1" applyFill="1" applyBorder="1" applyAlignment="1">
      <alignment horizontal="right" vertical="center" shrinkToFit="1"/>
    </xf>
    <xf numFmtId="176" fontId="32" fillId="0" borderId="0" xfId="5" applyNumberFormat="1" applyFont="1" applyFill="1" applyAlignment="1">
      <alignment horizontal="right" vertical="center" shrinkToFit="1"/>
    </xf>
    <xf numFmtId="178" fontId="4" fillId="3" borderId="16" xfId="4" applyNumberFormat="1" applyFont="1" applyFill="1" applyBorder="1" applyAlignment="1">
      <alignment horizontal="center" vertical="center" shrinkToFit="1"/>
    </xf>
    <xf numFmtId="38" fontId="24" fillId="3" borderId="46" xfId="5" applyFont="1" applyFill="1" applyBorder="1" applyAlignment="1">
      <alignment horizontal="right" vertical="center" shrinkToFit="1"/>
    </xf>
    <xf numFmtId="38" fontId="24" fillId="3" borderId="69" xfId="5" applyFont="1" applyFill="1" applyBorder="1" applyAlignment="1">
      <alignment horizontal="right" vertical="center" shrinkToFit="1"/>
    </xf>
    <xf numFmtId="38" fontId="24" fillId="3" borderId="55" xfId="5" applyFont="1" applyFill="1" applyBorder="1" applyAlignment="1">
      <alignment horizontal="right" vertical="center" shrinkToFit="1"/>
    </xf>
    <xf numFmtId="176" fontId="28" fillId="0" borderId="93" xfId="4" applyNumberFormat="1" applyFont="1" applyFill="1" applyBorder="1" applyAlignment="1">
      <alignment vertical="center" shrinkToFit="1"/>
    </xf>
    <xf numFmtId="176" fontId="28" fillId="0" borderId="52" xfId="4" applyNumberFormat="1" applyFont="1" applyFill="1" applyBorder="1" applyAlignment="1">
      <alignment vertical="center" shrinkToFit="1"/>
    </xf>
    <xf numFmtId="178" fontId="4" fillId="3" borderId="15" xfId="4" applyNumberFormat="1" applyFont="1" applyFill="1" applyBorder="1" applyAlignment="1">
      <alignment horizontal="center" vertical="center" shrinkToFit="1"/>
    </xf>
    <xf numFmtId="38" fontId="24" fillId="3" borderId="42" xfId="5" applyFont="1" applyFill="1" applyBorder="1" applyAlignment="1">
      <alignment horizontal="right" vertical="center" shrinkToFit="1"/>
    </xf>
    <xf numFmtId="38" fontId="24" fillId="3" borderId="27" xfId="5" applyFont="1" applyFill="1" applyBorder="1" applyAlignment="1">
      <alignment horizontal="right" vertical="center" shrinkToFit="1"/>
    </xf>
    <xf numFmtId="38" fontId="24" fillId="3" borderId="41" xfId="5" applyFont="1" applyFill="1" applyBorder="1" applyAlignment="1">
      <alignment horizontal="right" vertical="center" shrinkToFit="1"/>
    </xf>
    <xf numFmtId="38" fontId="24" fillId="3" borderId="43" xfId="5" applyFont="1" applyFill="1" applyBorder="1" applyAlignment="1">
      <alignment horizontal="right" vertical="center" shrinkToFit="1"/>
    </xf>
    <xf numFmtId="38" fontId="24" fillId="3" borderId="45" xfId="5" applyFont="1" applyFill="1" applyBorder="1" applyAlignment="1">
      <alignment horizontal="right" vertical="center" shrinkToFit="1"/>
    </xf>
    <xf numFmtId="38" fontId="24" fillId="3" borderId="5" xfId="5" applyFont="1" applyFill="1" applyBorder="1" applyAlignment="1">
      <alignment horizontal="right" vertical="center" shrinkToFit="1"/>
    </xf>
    <xf numFmtId="38" fontId="24" fillId="3" borderId="54" xfId="5" applyFont="1" applyFill="1" applyBorder="1" applyAlignment="1">
      <alignment horizontal="right" vertical="center" shrinkToFit="1"/>
    </xf>
    <xf numFmtId="178" fontId="24" fillId="0" borderId="0" xfId="4" applyNumberFormat="1" applyFont="1" applyFill="1" applyBorder="1" applyAlignment="1">
      <alignment horizontal="right" vertical="center" shrinkToFit="1"/>
    </xf>
    <xf numFmtId="38" fontId="4" fillId="3" borderId="120" xfId="5" applyFont="1" applyFill="1" applyBorder="1" applyAlignment="1">
      <alignment horizontal="center" vertical="center" shrinkToFit="1"/>
    </xf>
    <xf numFmtId="38" fontId="4" fillId="3" borderId="2" xfId="5" applyFont="1" applyFill="1" applyBorder="1" applyAlignment="1">
      <alignment horizontal="center" vertical="center" shrinkToFit="1"/>
    </xf>
    <xf numFmtId="38" fontId="4" fillId="3" borderId="29" xfId="5" applyFont="1" applyFill="1" applyBorder="1" applyAlignment="1">
      <alignment horizontal="center" vertical="center" shrinkToFit="1"/>
    </xf>
    <xf numFmtId="38" fontId="4" fillId="3" borderId="45" xfId="5" applyFont="1" applyFill="1" applyBorder="1" applyAlignment="1">
      <alignment horizontal="center" vertical="center" shrinkToFit="1"/>
    </xf>
    <xf numFmtId="38" fontId="4" fillId="3" borderId="5" xfId="5" applyFont="1" applyFill="1" applyBorder="1" applyAlignment="1">
      <alignment horizontal="center" vertical="center" shrinkToFit="1"/>
    </xf>
    <xf numFmtId="38" fontId="4" fillId="3" borderId="54" xfId="5" applyFont="1" applyFill="1" applyBorder="1" applyAlignment="1">
      <alignment horizontal="center" vertical="center" shrinkToFit="1"/>
    </xf>
    <xf numFmtId="0" fontId="112" fillId="0" borderId="0" xfId="4" applyFont="1" applyFill="1" applyBorder="1" applyAlignment="1">
      <alignment horizontal="left" vertical="center" shrinkToFit="1"/>
    </xf>
    <xf numFmtId="176" fontId="24" fillId="0" borderId="17" xfId="4" applyNumberFormat="1" applyFont="1" applyFill="1" applyBorder="1" applyAlignment="1">
      <alignment vertical="center" shrinkToFit="1"/>
    </xf>
    <xf numFmtId="0" fontId="55" fillId="0" borderId="0" xfId="4" applyNumberFormat="1" applyFont="1" applyFill="1" applyAlignment="1">
      <alignment horizontal="left" vertical="center" shrinkToFit="1"/>
    </xf>
    <xf numFmtId="0" fontId="23" fillId="0" borderId="0" xfId="4" applyNumberFormat="1" applyFont="1" applyFill="1" applyAlignment="1">
      <alignment horizontal="left" vertical="center" shrinkToFit="1"/>
    </xf>
    <xf numFmtId="176" fontId="24" fillId="0" borderId="17" xfId="4" applyNumberFormat="1" applyFont="1" applyFill="1" applyBorder="1" applyAlignment="1">
      <alignment horizontal="right" vertical="center" shrinkToFit="1"/>
    </xf>
    <xf numFmtId="176" fontId="24" fillId="0" borderId="0" xfId="4" applyNumberFormat="1" applyFont="1" applyFill="1" applyBorder="1" applyAlignment="1">
      <alignment vertical="center" shrinkToFit="1"/>
    </xf>
    <xf numFmtId="0" fontId="4" fillId="3" borderId="44" xfId="4" applyFont="1" applyFill="1" applyBorder="1" applyAlignment="1">
      <alignment horizontal="center" vertical="center" shrinkToFit="1"/>
    </xf>
    <xf numFmtId="0" fontId="4" fillId="3" borderId="15" xfId="4" applyFont="1" applyFill="1" applyBorder="1" applyAlignment="1">
      <alignment horizontal="center" vertical="center" shrinkToFit="1"/>
    </xf>
    <xf numFmtId="38" fontId="4" fillId="3" borderId="3" xfId="5" applyFont="1" applyFill="1" applyBorder="1" applyAlignment="1">
      <alignment horizontal="center" vertical="center" shrinkToFit="1"/>
    </xf>
    <xf numFmtId="38" fontId="4" fillId="3" borderId="6" xfId="5" applyFont="1" applyFill="1" applyBorder="1" applyAlignment="1">
      <alignment horizontal="center" vertical="center" shrinkToFit="1"/>
    </xf>
    <xf numFmtId="176" fontId="23" fillId="0" borderId="0" xfId="4" applyNumberFormat="1" applyFont="1" applyFill="1" applyBorder="1" applyAlignment="1">
      <alignment horizontal="left" vertical="center"/>
    </xf>
    <xf numFmtId="176" fontId="4" fillId="4" borderId="0" xfId="4" applyNumberFormat="1" applyFill="1" applyAlignment="1">
      <alignment horizontal="left" vertical="center" shrinkToFit="1"/>
    </xf>
    <xf numFmtId="38" fontId="23" fillId="0" borderId="0" xfId="5" applyFont="1" applyAlignment="1">
      <alignment horizontal="left" vertical="top" wrapText="1" shrinkToFit="1"/>
    </xf>
    <xf numFmtId="0" fontId="23" fillId="0" borderId="0" xfId="4" applyFont="1" applyAlignment="1">
      <alignment horizontal="center" vertical="center" shrinkToFit="1"/>
    </xf>
    <xf numFmtId="38" fontId="24" fillId="0" borderId="0" xfId="5" applyFont="1" applyAlignment="1">
      <alignment horizontal="left" vertical="center" shrinkToFit="1"/>
    </xf>
    <xf numFmtId="38" fontId="23" fillId="0" borderId="0" xfId="5" applyFont="1" applyAlignment="1">
      <alignment horizontal="left" vertical="center" shrinkToFit="1"/>
    </xf>
    <xf numFmtId="0" fontId="74" fillId="0" borderId="0" xfId="4" applyFont="1" applyAlignment="1">
      <alignment horizontal="left" vertical="center"/>
    </xf>
    <xf numFmtId="0" fontId="22" fillId="0" borderId="55" xfId="4" applyFont="1" applyFill="1" applyBorder="1" applyAlignment="1">
      <alignment horizontal="center" vertical="center" shrinkToFit="1"/>
    </xf>
    <xf numFmtId="0" fontId="22" fillId="0" borderId="54" xfId="4" applyFont="1" applyFill="1" applyBorder="1" applyAlignment="1">
      <alignment horizontal="center" vertical="center" shrinkToFit="1"/>
    </xf>
    <xf numFmtId="0" fontId="126" fillId="29" borderId="228" pivotButton="0" quotePrefix="0" xfId="0" applyFont="1" applyFill="1" applyBorder="1" applyNumberFormat="1"/>
    <xf numFmtId="0" fontId="128" fillId="29" borderId="228" pivotButton="0" quotePrefix="0" xfId="0" applyFont="1" applyFill="1" applyBorder="1" applyNumberFormat="1"/>
    <xf numFmtId="0" fontId="127" fillId="29" borderId="228" pivotButton="0" quotePrefix="0" xfId="0" applyFont="1" applyFill="1" applyBorder="1" applyNumberFormat="1"/>
    <xf numFmtId="0" fontId="127" fillId="31" borderId="228" pivotButton="0" quotePrefix="0" xfId="0" applyFont="1" applyFill="1" applyBorder="1" applyNumberFormat="1"/>
    <xf numFmtId="49" fontId="126" fillId="32" borderId="228" pivotButton="0" quotePrefix="0" xfId="0" applyFont="1" applyFill="1" applyBorder="1" applyNumberFormat="1"/>
    <xf numFmtId="2" fontId="126" fillId="29" borderId="228" pivotButton="0" quotePrefix="0" xfId="0" applyFont="1" applyFill="1" applyBorder="1" applyNumberFormat="1"/>
    <xf numFmtId="0" fontId="126" fillId="32" borderId="228" pivotButton="0" quotePrefix="0" xfId="0" applyFont="1" applyFill="1" applyBorder="1" applyNumberFormat="1"/>
    <xf numFmtId="218" fontId="126" fillId="32" borderId="228" pivotButton="0" quotePrefix="0" xfId="0" applyFont="1" applyFill="1" applyBorder="1" applyNumberFormat="1"/>
    <xf numFmtId="0" fontId="127" fillId="31" borderId="229" applyAlignment="1" pivotButton="0" quotePrefix="0" xfId="0" applyFont="1" applyFill="1" applyBorder="1" applyNumberFormat="1">
      <alignment horizontal="center" vertical="center" wrapText="1"/>
    </xf>
    <xf numFmtId="0" fontId="126" fillId="29" borderId="229" pivotButton="0" quotePrefix="0" xfId="0" applyFont="1" applyFill="1" applyBorder="1" applyNumberFormat="1"/>
    <xf numFmtId="219" fontId="126" fillId="29" borderId="229" pivotButton="0" quotePrefix="0" xfId="0" applyFont="1" applyFill="1" applyBorder="1" applyNumberFormat="1"/>
    <xf numFmtId="3" fontId="126" fillId="29" borderId="228" pivotButton="0" quotePrefix="0" xfId="0" applyFont="1" applyFill="1" applyBorder="1" applyNumberFormat="1"/>
    <xf numFmtId="220" fontId="126" fillId="29" borderId="228" pivotButton="0" quotePrefix="0" xfId="0" applyFont="1" applyFill="1" applyBorder="1" applyNumberFormat="1"/>
  </cellXfs>
  <cellStyles count="7">
    <cellStyle name="パーセント 2" xfId="6" xr:uid="{00000000-0005-0000-0000-000000000000}"/>
    <cellStyle name="桁区切り" xfId="1" builtinId="6"/>
    <cellStyle name="桁区切り 2" xfId="2" xr:uid="{00000000-0005-0000-0000-000002000000}"/>
    <cellStyle name="桁区切り 3" xfId="5" xr:uid="{00000000-0005-0000-0000-000003000000}"/>
    <cellStyle name="標準" xfId="0" builtinId="0"/>
    <cellStyle name="標準 2" xfId="3" xr:uid="{00000000-0005-0000-0000-000005000000}"/>
    <cellStyle name="標準 3" xfId="4" xr:uid="{00000000-0005-0000-0000-000006000000}"/>
  </cellStyles>
  <dxfs count="1">
    <dxf>
      <font>
        <color rgb="009C0006"/>
      </font>
      <fill>
        <patternFill patternType="solid">
          <fgColor rgb="00FFC7CE"/>
          <bgColor rgb="00FFC7CE"/>
        </patternFill>
      </fill>
    </dxf>
  </dxfs>
  <tableStyles count="0" defaultTableStyle="TableStyleMedium2" defaultPivotStyle="PivotStyleLight16"/>
  <colors>
    <mruColors>
      <color rgb="FF0000FF"/>
      <color rgb="FF66FFFF"/>
      <color rgb="FF00CCFF"/>
      <color rgb="FFFFFF99"/>
      <color rgb="FFFFFF00"/>
      <color rgb="FF009900"/>
      <color rgb="FF00CC00"/>
      <color rgb="FFFFFFCC"/>
      <color rgb="FFFF99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16.xml"/><Relationship Id="rId23" Type="http://schemas.openxmlformats.org/officeDocument/2006/relationships/worksheet" Target="worksheets/sheet17.xml"/><Relationship Id="rId24" Type="http://schemas.openxmlformats.org/officeDocument/2006/relationships/worksheet" Target="worksheets/sheet18.xml"/><Relationship Id="rId25" Type="http://schemas.openxmlformats.org/officeDocument/2006/relationships/worksheet" Target="worksheets/sheet19.xml"/><Relationship Id="rId26" Type="http://schemas.openxmlformats.org/officeDocument/2006/relationships/worksheet" Target="worksheets/sheet20.xml"/><Relationship Id="rId27" Type="http://schemas.openxmlformats.org/officeDocument/2006/relationships/worksheet" Target="worksheets/sheet21.xml"/><Relationship Id="rId28" Type="http://schemas.openxmlformats.org/officeDocument/2006/relationships/worksheet" Target="worksheets/sheet22.xml"/></Relationships>
</file>

<file path=xl/drawings/drawing1.xml><?xml version="1.0" encoding="utf-8"?>
<xdr:wsDr xmlns:xdr="http://schemas.openxmlformats.org/drawingml/2006/spreadsheetDrawing" xmlns:a="http://schemas.openxmlformats.org/drawingml/2006/main">
  <xdr:twoCellAnchor>
    <xdr:from>
      <xdr:col>5</xdr:col>
      <xdr:colOff>1264226</xdr:colOff>
      <xdr:row>25</xdr:row>
      <xdr:rowOff>94293</xdr:rowOff>
    </xdr:from>
    <xdr:to>
      <xdr:col>6</xdr:col>
      <xdr:colOff>1569076</xdr:colOff>
      <xdr:row>26</xdr:row>
      <xdr:rowOff>103910</xdr:rowOff>
    </xdr:to>
    <xdr:sp macro="" textlink="">
      <xdr:nvSpPr>
        <xdr:cNvPr id="4" name="正方形/長方形 3">
          <a:extLst>
            <a:ext uri="{FF2B5EF4-FFF2-40B4-BE49-F238E27FC236}">
              <a16:creationId xmlns:a16="http://schemas.microsoft.com/office/drawing/2014/main" id="{7BC90D4F-C800-491E-AA36-F9ABBCDE0358}"/>
            </a:ext>
          </a:extLst>
        </xdr:cNvPr>
        <xdr:cNvSpPr/>
      </xdr:nvSpPr>
      <xdr:spPr>
        <a:xfrm>
          <a:off x="3844635" y="9307566"/>
          <a:ext cx="1880805" cy="355980"/>
        </a:xfrm>
        <a:prstGeom prst="rect">
          <a:avLst/>
        </a:prstGeom>
        <a:noFill/>
        <a:ln>
          <a:solidFill>
            <a:schemeClr val="tx1"/>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年</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10</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月適用拡大</a:t>
          </a:r>
        </a:p>
      </xdr:txBody>
    </xdr:sp>
    <xdr:clientData/>
  </xdr:twoCellAnchor>
  <xdr:twoCellAnchor>
    <xdr:from>
      <xdr:col>6</xdr:col>
      <xdr:colOff>1784260</xdr:colOff>
      <xdr:row>18</xdr:row>
      <xdr:rowOff>308747</xdr:rowOff>
    </xdr:from>
    <xdr:to>
      <xdr:col>7</xdr:col>
      <xdr:colOff>308556</xdr:colOff>
      <xdr:row>25</xdr:row>
      <xdr:rowOff>80684</xdr:rowOff>
    </xdr:to>
    <xdr:cxnSp macro="">
      <xdr:nvCxnSpPr>
        <xdr:cNvPr id="6" name="直線矢印コネクタ 5">
          <a:extLst>
            <a:ext uri="{FF2B5EF4-FFF2-40B4-BE49-F238E27FC236}">
              <a16:creationId xmlns:a16="http://schemas.microsoft.com/office/drawing/2014/main" id="{4CC819EB-BF3A-4F0D-AA36-21AA9532C3D9}"/>
            </a:ext>
          </a:extLst>
        </xdr:cNvPr>
        <xdr:cNvCxnSpPr/>
      </xdr:nvCxnSpPr>
      <xdr:spPr>
        <a:xfrm flipV="1">
          <a:off x="6560367" y="6772140"/>
          <a:ext cx="334046" cy="2996830"/>
        </a:xfrm>
        <a:prstGeom prst="straightConnector1">
          <a:avLst/>
        </a:prstGeom>
        <a:ln>
          <a:prstDash val="sys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707572</xdr:colOff>
      <xdr:row>25</xdr:row>
      <xdr:rowOff>107324</xdr:rowOff>
    </xdr:from>
    <xdr:to>
      <xdr:col>12</xdr:col>
      <xdr:colOff>630528</xdr:colOff>
      <xdr:row>27</xdr:row>
      <xdr:rowOff>134155</xdr:rowOff>
    </xdr:to>
    <xdr:sp macro="" textlink="">
      <xdr:nvSpPr>
        <xdr:cNvPr id="7" name="正方形/長方形 6">
          <a:extLst>
            <a:ext uri="{FF2B5EF4-FFF2-40B4-BE49-F238E27FC236}">
              <a16:creationId xmlns:a16="http://schemas.microsoft.com/office/drawing/2014/main" id="{3F7BAAFB-91EB-4C86-BE65-35589B1503E4}"/>
            </a:ext>
          </a:extLst>
        </xdr:cNvPr>
        <xdr:cNvSpPr/>
      </xdr:nvSpPr>
      <xdr:spPr>
        <a:xfrm>
          <a:off x="7293429" y="9795610"/>
          <a:ext cx="3460813" cy="380616"/>
        </a:xfrm>
        <a:prstGeom prst="rect">
          <a:avLst/>
        </a:prstGeom>
        <a:noFill/>
        <a:ln>
          <a:solidFill>
            <a:schemeClr val="tx1"/>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前期高齢者納付金</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17</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p>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R5</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p>
      </xdr:txBody>
    </xdr:sp>
    <xdr:clientData/>
  </xdr:twoCellAnchor>
  <xdr:twoCellAnchor>
    <xdr:from>
      <xdr:col>12</xdr:col>
      <xdr:colOff>747434</xdr:colOff>
      <xdr:row>25</xdr:row>
      <xdr:rowOff>134345</xdr:rowOff>
    </xdr:from>
    <xdr:to>
      <xdr:col>20</xdr:col>
      <xdr:colOff>207817</xdr:colOff>
      <xdr:row>27</xdr:row>
      <xdr:rowOff>147761</xdr:rowOff>
    </xdr:to>
    <xdr:sp macro="" textlink="">
      <xdr:nvSpPr>
        <xdr:cNvPr id="8" name="正方形/長方形 7">
          <a:extLst>
            <a:ext uri="{FF2B5EF4-FFF2-40B4-BE49-F238E27FC236}">
              <a16:creationId xmlns:a16="http://schemas.microsoft.com/office/drawing/2014/main" id="{7EDF97A8-147E-4531-873D-DDE5160FE167}"/>
            </a:ext>
          </a:extLst>
        </xdr:cNvPr>
        <xdr:cNvSpPr/>
      </xdr:nvSpPr>
      <xdr:spPr>
        <a:xfrm>
          <a:off x="10532207" y="9347618"/>
          <a:ext cx="3893837" cy="706143"/>
        </a:xfrm>
        <a:prstGeom prst="rect">
          <a:avLst/>
        </a:prstGeom>
        <a:noFill/>
        <a:ln>
          <a:solidFill>
            <a:schemeClr val="tx1"/>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前期高齢者納付金</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20</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億円増見込（対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endParaRPr kumimoji="1" lang="en-US" altLang="ja-JP" sz="1600">
            <a:solidFill>
              <a:sysClr val="windowText" lastClr="000000"/>
            </a:solidFill>
            <a:latin typeface="ＭＳ Ｐゴシック" panose="020B0600070205080204" pitchFamily="50" charset="-128"/>
            <a:ea typeface="ＭＳ Ｐゴシック" panose="020B0600070205080204" pitchFamily="50" charset="-128"/>
          </a:endParaRPr>
        </a:p>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16</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億円増見込（対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R5</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p>
      </xdr:txBody>
    </xdr:sp>
    <xdr:clientData/>
  </xdr:twoCellAnchor>
  <xdr:twoCellAnchor>
    <xdr:from>
      <xdr:col>11</xdr:col>
      <xdr:colOff>134156</xdr:colOff>
      <xdr:row>20</xdr:row>
      <xdr:rowOff>281725</xdr:rowOff>
    </xdr:from>
    <xdr:to>
      <xdr:col>12</xdr:col>
      <xdr:colOff>657359</xdr:colOff>
      <xdr:row>25</xdr:row>
      <xdr:rowOff>107325</xdr:rowOff>
    </xdr:to>
    <xdr:cxnSp macro="">
      <xdr:nvCxnSpPr>
        <xdr:cNvPr id="9" name="直線矢印コネクタ 8">
          <a:extLst>
            <a:ext uri="{FF2B5EF4-FFF2-40B4-BE49-F238E27FC236}">
              <a16:creationId xmlns:a16="http://schemas.microsoft.com/office/drawing/2014/main" id="{24D3EC6E-20B8-4BEA-A482-00C6561B26BE}"/>
            </a:ext>
          </a:extLst>
        </xdr:cNvPr>
        <xdr:cNvCxnSpPr/>
      </xdr:nvCxnSpPr>
      <xdr:spPr>
        <a:xfrm flipV="1">
          <a:off x="10128698" y="7687077"/>
          <a:ext cx="670774" cy="2092818"/>
        </a:xfrm>
        <a:prstGeom prst="straightConnector1">
          <a:avLst/>
        </a:prstGeom>
        <a:ln>
          <a:prstDash val="sys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228063</xdr:colOff>
      <xdr:row>20</xdr:row>
      <xdr:rowOff>254894</xdr:rowOff>
    </xdr:from>
    <xdr:to>
      <xdr:col>16</xdr:col>
      <xdr:colOff>630528</xdr:colOff>
      <xdr:row>25</xdr:row>
      <xdr:rowOff>120741</xdr:rowOff>
    </xdr:to>
    <xdr:cxnSp macro="">
      <xdr:nvCxnSpPr>
        <xdr:cNvPr id="11" name="直線矢印コネクタ 10">
          <a:extLst>
            <a:ext uri="{FF2B5EF4-FFF2-40B4-BE49-F238E27FC236}">
              <a16:creationId xmlns:a16="http://schemas.microsoft.com/office/drawing/2014/main" id="{6EE4BD96-C08D-493C-B64C-B216AE2C2679}"/>
            </a:ext>
          </a:extLst>
        </xdr:cNvPr>
        <xdr:cNvCxnSpPr/>
      </xdr:nvCxnSpPr>
      <xdr:spPr>
        <a:xfrm flipV="1">
          <a:off x="12476408" y="7660246"/>
          <a:ext cx="402465" cy="2133065"/>
        </a:xfrm>
        <a:prstGeom prst="straightConnector1">
          <a:avLst/>
        </a:prstGeom>
        <a:ln>
          <a:prstDash val="sysDash"/>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466725</xdr:colOff>
      <xdr:row>11</xdr:row>
      <xdr:rowOff>104775</xdr:rowOff>
    </xdr:from>
    <xdr:to>
      <xdr:col>6</xdr:col>
      <xdr:colOff>466725</xdr:colOff>
      <xdr:row>12</xdr:row>
      <xdr:rowOff>142875</xdr:rowOff>
    </xdr:to>
    <xdr:sp macro="" textlink="">
      <xdr:nvSpPr>
        <xdr:cNvPr id="2" name="線吹き出し 1 (枠付き) 1">
          <a:extLst>
            <a:ext uri="{FF2B5EF4-FFF2-40B4-BE49-F238E27FC236}">
              <a16:creationId xmlns:a16="http://schemas.microsoft.com/office/drawing/2014/main" id="{00000000-0008-0000-0200-000002000000}"/>
            </a:ext>
          </a:extLst>
        </xdr:cNvPr>
        <xdr:cNvSpPr/>
      </xdr:nvSpPr>
      <xdr:spPr>
        <a:xfrm>
          <a:off x="3629025" y="2514600"/>
          <a:ext cx="2952750" cy="257175"/>
        </a:xfrm>
        <a:prstGeom prst="borderCallout1">
          <a:avLst>
            <a:gd name="adj1" fmla="val 96528"/>
            <a:gd name="adj2" fmla="val 98611"/>
            <a:gd name="adj3" fmla="val 101389"/>
            <a:gd name="adj4" fmla="val 120040"/>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公的負担金率</a:t>
          </a:r>
          <a:r>
            <a:rPr kumimoji="1" lang="en-US" altLang="ja-JP" sz="1100">
              <a:solidFill>
                <a:schemeClr val="tx1"/>
              </a:solidFill>
            </a:rPr>
            <a:t>UP</a:t>
          </a:r>
          <a:r>
            <a:rPr kumimoji="1" lang="ja-JP" altLang="en-US" sz="1100">
              <a:solidFill>
                <a:schemeClr val="tx1"/>
              </a:solidFill>
            </a:rPr>
            <a:t>に伴い</a:t>
          </a:r>
          <a:r>
            <a:rPr kumimoji="1" lang="en-US" altLang="ja-JP" sz="1100">
              <a:solidFill>
                <a:schemeClr val="tx1"/>
              </a:solidFill>
            </a:rPr>
            <a:t>51,526</a:t>
          </a:r>
          <a:r>
            <a:rPr kumimoji="1" lang="ja-JP" altLang="en-US" sz="1100">
              <a:solidFill>
                <a:schemeClr val="tx1"/>
              </a:solidFill>
            </a:rPr>
            <a:t>千円増</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57150</xdr:colOff>
      <xdr:row>11</xdr:row>
      <xdr:rowOff>104775</xdr:rowOff>
    </xdr:from>
    <xdr:to>
      <xdr:col>6</xdr:col>
      <xdr:colOff>466725</xdr:colOff>
      <xdr:row>12</xdr:row>
      <xdr:rowOff>142875</xdr:rowOff>
    </xdr:to>
    <xdr:sp macro="" textlink="">
      <xdr:nvSpPr>
        <xdr:cNvPr id="2" name="線吹き出し 1 (枠付き) 1">
          <a:extLst>
            <a:ext uri="{FF2B5EF4-FFF2-40B4-BE49-F238E27FC236}">
              <a16:creationId xmlns:a16="http://schemas.microsoft.com/office/drawing/2014/main" id="{00000000-0008-0000-0300-000002000000}"/>
            </a:ext>
          </a:extLst>
        </xdr:cNvPr>
        <xdr:cNvSpPr/>
      </xdr:nvSpPr>
      <xdr:spPr>
        <a:xfrm>
          <a:off x="3219450" y="2514600"/>
          <a:ext cx="3362325" cy="257175"/>
        </a:xfrm>
        <a:prstGeom prst="borderCallout1">
          <a:avLst>
            <a:gd name="adj1" fmla="val 96528"/>
            <a:gd name="adj2" fmla="val 98611"/>
            <a:gd name="adj3" fmla="val 101389"/>
            <a:gd name="adj4" fmla="val 120040"/>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R6</a:t>
          </a:r>
          <a:r>
            <a:rPr kumimoji="1" lang="ja-JP" altLang="en-US" sz="1100">
              <a:solidFill>
                <a:schemeClr val="tx1"/>
              </a:solidFill>
            </a:rPr>
            <a:t>と同額（公的負担金率</a:t>
          </a:r>
          <a:r>
            <a:rPr kumimoji="1" lang="en-US" altLang="ja-JP" sz="1100">
              <a:solidFill>
                <a:schemeClr val="tx1"/>
              </a:solidFill>
            </a:rPr>
            <a:t>UP</a:t>
          </a:r>
          <a:r>
            <a:rPr kumimoji="1" lang="ja-JP" altLang="en-US" sz="1100">
              <a:solidFill>
                <a:schemeClr val="tx1"/>
              </a:solidFill>
            </a:rPr>
            <a:t>に伴い</a:t>
          </a:r>
          <a:r>
            <a:rPr kumimoji="1" lang="en-US" altLang="ja-JP" sz="1100">
              <a:solidFill>
                <a:schemeClr val="tx1"/>
              </a:solidFill>
            </a:rPr>
            <a:t>51,526</a:t>
          </a:r>
          <a:r>
            <a:rPr kumimoji="1" lang="ja-JP" altLang="en-US" sz="1100">
              <a:solidFill>
                <a:schemeClr val="tx1"/>
              </a:solidFill>
            </a:rPr>
            <a:t>千円増）</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57150</xdr:colOff>
      <xdr:row>11</xdr:row>
      <xdr:rowOff>104775</xdr:rowOff>
    </xdr:from>
    <xdr:to>
      <xdr:col>6</xdr:col>
      <xdr:colOff>466725</xdr:colOff>
      <xdr:row>12</xdr:row>
      <xdr:rowOff>142875</xdr:rowOff>
    </xdr:to>
    <xdr:sp macro="" textlink="">
      <xdr:nvSpPr>
        <xdr:cNvPr id="2" name="線吹き出し 1 (枠付き) 1">
          <a:extLst>
            <a:ext uri="{FF2B5EF4-FFF2-40B4-BE49-F238E27FC236}">
              <a16:creationId xmlns:a16="http://schemas.microsoft.com/office/drawing/2014/main" id="{00000000-0008-0000-0400-000002000000}"/>
            </a:ext>
          </a:extLst>
        </xdr:cNvPr>
        <xdr:cNvSpPr/>
      </xdr:nvSpPr>
      <xdr:spPr>
        <a:xfrm>
          <a:off x="3219450" y="2514600"/>
          <a:ext cx="3362325" cy="257175"/>
        </a:xfrm>
        <a:prstGeom prst="borderCallout1">
          <a:avLst>
            <a:gd name="adj1" fmla="val 96528"/>
            <a:gd name="adj2" fmla="val 98611"/>
            <a:gd name="adj3" fmla="val 101389"/>
            <a:gd name="adj4" fmla="val 120040"/>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R6</a:t>
          </a:r>
          <a:r>
            <a:rPr kumimoji="1" lang="ja-JP" altLang="en-US" sz="1100">
              <a:solidFill>
                <a:schemeClr val="tx1"/>
              </a:solidFill>
            </a:rPr>
            <a:t>と同額（公的負担金率</a:t>
          </a:r>
          <a:r>
            <a:rPr kumimoji="1" lang="en-US" altLang="ja-JP" sz="1100">
              <a:solidFill>
                <a:schemeClr val="tx1"/>
              </a:solidFill>
            </a:rPr>
            <a:t>UP</a:t>
          </a:r>
          <a:r>
            <a:rPr kumimoji="1" lang="ja-JP" altLang="en-US" sz="1100">
              <a:solidFill>
                <a:schemeClr val="tx1"/>
              </a:solidFill>
            </a:rPr>
            <a:t>に伴い</a:t>
          </a:r>
          <a:r>
            <a:rPr kumimoji="1" lang="en-US" altLang="ja-JP" sz="1100">
              <a:solidFill>
                <a:schemeClr val="tx1"/>
              </a:solidFill>
            </a:rPr>
            <a:t>51,526</a:t>
          </a:r>
          <a:r>
            <a:rPr kumimoji="1" lang="ja-JP" altLang="en-US" sz="1100">
              <a:solidFill>
                <a:schemeClr val="tx1"/>
              </a:solidFill>
            </a:rPr>
            <a:t>千円増）</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89648</xdr:colOff>
      <xdr:row>147</xdr:row>
      <xdr:rowOff>134471</xdr:rowOff>
    </xdr:from>
    <xdr:to>
      <xdr:col>16</xdr:col>
      <xdr:colOff>963706</xdr:colOff>
      <xdr:row>150</xdr:row>
      <xdr:rowOff>168088</xdr:rowOff>
    </xdr:to>
    <xdr:sp macro="" textlink="">
      <xdr:nvSpPr>
        <xdr:cNvPr id="2" name="円/楕円 2">
          <a:extLst>
            <a:ext uri="{FF2B5EF4-FFF2-40B4-BE49-F238E27FC236}">
              <a16:creationId xmlns:a16="http://schemas.microsoft.com/office/drawing/2014/main" id="{00000000-0008-0000-0700-000002000000}"/>
            </a:ext>
          </a:extLst>
        </xdr:cNvPr>
        <xdr:cNvSpPr/>
      </xdr:nvSpPr>
      <xdr:spPr bwMode="auto">
        <a:xfrm>
          <a:off x="10176623" y="32490896"/>
          <a:ext cx="874058" cy="833717"/>
        </a:xfrm>
        <a:prstGeom prst="ellipse">
          <a:avLst/>
        </a:prstGeom>
        <a:solidFill>
          <a:schemeClr val="accent4">
            <a:lumMod val="40000"/>
            <a:lumOff val="60000"/>
          </a:schemeClr>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lnSpc>
              <a:spcPts val="2400"/>
            </a:lnSpc>
          </a:pPr>
          <a:r>
            <a:rPr kumimoji="1" lang="en-US" altLang="ja-JP" sz="2000" b="1">
              <a:latin typeface="HG丸ｺﾞｼｯｸM-PRO" pitchFamily="50" charset="-128"/>
              <a:ea typeface="HG丸ｺﾞｼｯｸM-PRO" pitchFamily="50" charset="-128"/>
            </a:rPr>
            <a:t>R7</a:t>
          </a:r>
        </a:p>
        <a:p>
          <a:pPr algn="ctr">
            <a:lnSpc>
              <a:spcPts val="2400"/>
            </a:lnSpc>
          </a:pPr>
          <a:endParaRPr kumimoji="1" lang="ja-JP" altLang="en-US" sz="2000" b="1">
            <a:latin typeface="HG丸ｺﾞｼｯｸM-PRO" pitchFamily="50" charset="-128"/>
            <a:ea typeface="HG丸ｺﾞｼｯｸM-PRO" pitchFamily="50" charset="-128"/>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16</xdr:col>
      <xdr:colOff>246529</xdr:colOff>
      <xdr:row>148</xdr:row>
      <xdr:rowOff>22413</xdr:rowOff>
    </xdr:from>
    <xdr:to>
      <xdr:col>16</xdr:col>
      <xdr:colOff>1008530</xdr:colOff>
      <xdr:row>150</xdr:row>
      <xdr:rowOff>246530</xdr:rowOff>
    </xdr:to>
    <xdr:sp macro="" textlink="">
      <xdr:nvSpPr>
        <xdr:cNvPr id="2" name="円/楕円 2">
          <a:extLst>
            <a:ext uri="{FF2B5EF4-FFF2-40B4-BE49-F238E27FC236}">
              <a16:creationId xmlns:a16="http://schemas.microsoft.com/office/drawing/2014/main" id="{00000000-0008-0000-0800-000002000000}"/>
            </a:ext>
          </a:extLst>
        </xdr:cNvPr>
        <xdr:cNvSpPr/>
      </xdr:nvSpPr>
      <xdr:spPr bwMode="auto">
        <a:xfrm>
          <a:off x="10333504" y="32645538"/>
          <a:ext cx="762001" cy="757517"/>
        </a:xfrm>
        <a:prstGeom prst="ellipse">
          <a:avLst/>
        </a:prstGeom>
        <a:solidFill>
          <a:schemeClr val="accent4">
            <a:lumMod val="40000"/>
            <a:lumOff val="60000"/>
          </a:schemeClr>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lnSpc>
              <a:spcPts val="2400"/>
            </a:lnSpc>
          </a:pPr>
          <a:r>
            <a:rPr kumimoji="1" lang="en-US" altLang="ja-JP" sz="2000" b="1">
              <a:latin typeface="HG丸ｺﾞｼｯｸM-PRO" pitchFamily="50" charset="-128"/>
              <a:ea typeface="HG丸ｺﾞｼｯｸM-PRO" pitchFamily="50" charset="-128"/>
            </a:rPr>
            <a:t>R8</a:t>
          </a:r>
        </a:p>
        <a:p>
          <a:pPr algn="ctr">
            <a:lnSpc>
              <a:spcPts val="2400"/>
            </a:lnSpc>
          </a:pPr>
          <a:endParaRPr kumimoji="1" lang="ja-JP" altLang="en-US" sz="2000" b="1">
            <a:latin typeface="HG丸ｺﾞｼｯｸM-PRO" pitchFamily="50" charset="-128"/>
            <a:ea typeface="HG丸ｺﾞｼｯｸM-PRO" pitchFamily="50" charset="-128"/>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28</xdr:col>
      <xdr:colOff>347383</xdr:colOff>
      <xdr:row>33</xdr:row>
      <xdr:rowOff>145677</xdr:rowOff>
    </xdr:from>
    <xdr:to>
      <xdr:col>32</xdr:col>
      <xdr:colOff>509708</xdr:colOff>
      <xdr:row>37</xdr:row>
      <xdr:rowOff>190499</xdr:rowOff>
    </xdr:to>
    <xdr:sp macro="" textlink="">
      <xdr:nvSpPr>
        <xdr:cNvPr id="2" name="角丸四角形 1">
          <a:extLst>
            <a:ext uri="{FF2B5EF4-FFF2-40B4-BE49-F238E27FC236}">
              <a16:creationId xmlns:a16="http://schemas.microsoft.com/office/drawing/2014/main" id="{00000000-0008-0000-0D00-000002000000}"/>
            </a:ext>
          </a:extLst>
        </xdr:cNvPr>
        <xdr:cNvSpPr/>
      </xdr:nvSpPr>
      <xdr:spPr bwMode="auto">
        <a:xfrm>
          <a:off x="16997083" y="9756402"/>
          <a:ext cx="3438925" cy="806822"/>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令和７年度（短期）</a:t>
          </a:r>
          <a:endParaRPr kumimoji="1" lang="en-US" altLang="ja-JP" sz="1400" b="1">
            <a:latin typeface="ＭＳ ゴシック" pitchFamily="49" charset="-128"/>
            <a:ea typeface="ＭＳ ゴシック" pitchFamily="49" charset="-128"/>
          </a:endParaRPr>
        </a:p>
      </xdr:txBody>
    </xdr:sp>
    <xdr:clientData/>
  </xdr:twoCellAnchor>
  <xdr:twoCellAnchor>
    <xdr:from>
      <xdr:col>7</xdr:col>
      <xdr:colOff>818030</xdr:colOff>
      <xdr:row>72</xdr:row>
      <xdr:rowOff>22412</xdr:rowOff>
    </xdr:from>
    <xdr:to>
      <xdr:col>20</xdr:col>
      <xdr:colOff>302559</xdr:colOff>
      <xdr:row>74</xdr:row>
      <xdr:rowOff>235324</xdr:rowOff>
    </xdr:to>
    <xdr:sp macro="" textlink="">
      <xdr:nvSpPr>
        <xdr:cNvPr id="3" name="テキスト ボックス 2">
          <a:extLst>
            <a:ext uri="{FF2B5EF4-FFF2-40B4-BE49-F238E27FC236}">
              <a16:creationId xmlns:a16="http://schemas.microsoft.com/office/drawing/2014/main" id="{00000000-0008-0000-0D00-000003000000}"/>
            </a:ext>
          </a:extLst>
        </xdr:cNvPr>
        <xdr:cNvSpPr txBox="1"/>
      </xdr:nvSpPr>
      <xdr:spPr>
        <a:xfrm>
          <a:off x="4189880" y="16986437"/>
          <a:ext cx="6952129" cy="746312"/>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毎年、大きく変動がある月のみ、見込む。その他の月は年によって増減の傾向がバラバラのため見込まない。</a:t>
          </a:r>
        </a:p>
      </xdr:txBody>
    </xdr:sp>
    <xdr:clientData/>
  </xdr:twoCellAnchor>
  <xdr:twoCellAnchor>
    <xdr:from>
      <xdr:col>7</xdr:col>
      <xdr:colOff>838200</xdr:colOff>
      <xdr:row>44</xdr:row>
      <xdr:rowOff>104775</xdr:rowOff>
    </xdr:from>
    <xdr:to>
      <xdr:col>8</xdr:col>
      <xdr:colOff>333375</xdr:colOff>
      <xdr:row>46</xdr:row>
      <xdr:rowOff>85725</xdr:rowOff>
    </xdr:to>
    <xdr:sp macro="" textlink="">
      <xdr:nvSpPr>
        <xdr:cNvPr id="4" name="左矢印 1">
          <a:extLst>
            <a:ext uri="{FF2B5EF4-FFF2-40B4-BE49-F238E27FC236}">
              <a16:creationId xmlns:a16="http://schemas.microsoft.com/office/drawing/2014/main" id="{00000000-0008-0000-0D00-000004000000}"/>
            </a:ext>
          </a:extLst>
        </xdr:cNvPr>
        <xdr:cNvSpPr>
          <a:spLocks noChangeArrowheads="1"/>
        </xdr:cNvSpPr>
      </xdr:nvSpPr>
      <xdr:spPr bwMode="auto">
        <a:xfrm>
          <a:off x="4210050" y="11620500"/>
          <a:ext cx="447675" cy="285750"/>
        </a:xfrm>
        <a:prstGeom prst="leftArrow">
          <a:avLst>
            <a:gd name="adj1" fmla="val 50000"/>
            <a:gd name="adj2" fmla="val 52875"/>
          </a:avLst>
        </a:prstGeom>
        <a:solidFill>
          <a:srgbClr val="FFFFE1"/>
        </a:solidFill>
        <a:ln w="9525" algn="ctr">
          <a:solidFill>
            <a:srgbClr val="000000"/>
          </a:solidFill>
          <a:round/>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xdr:from>
      <xdr:col>25</xdr:col>
      <xdr:colOff>22410</xdr:colOff>
      <xdr:row>14</xdr:row>
      <xdr:rowOff>67235</xdr:rowOff>
    </xdr:from>
    <xdr:to>
      <xdr:col>25</xdr:col>
      <xdr:colOff>571499</xdr:colOff>
      <xdr:row>14</xdr:row>
      <xdr:rowOff>246530</xdr:rowOff>
    </xdr:to>
    <xdr:sp macro="" textlink="">
      <xdr:nvSpPr>
        <xdr:cNvPr id="5" name="テキスト ボックス 4">
          <a:extLst>
            <a:ext uri="{FF2B5EF4-FFF2-40B4-BE49-F238E27FC236}">
              <a16:creationId xmlns:a16="http://schemas.microsoft.com/office/drawing/2014/main" id="{E4D0B86B-7B37-4774-8DF3-929233158FB7}"/>
            </a:ext>
          </a:extLst>
        </xdr:cNvPr>
        <xdr:cNvSpPr txBox="1"/>
      </xdr:nvSpPr>
      <xdr:spPr>
        <a:xfrm>
          <a:off x="14108204" y="5266764"/>
          <a:ext cx="549089" cy="1792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000">
              <a:solidFill>
                <a:srgbClr val="FF0000"/>
              </a:solidFill>
              <a:latin typeface="ＭＳ ゴシック" panose="020B0609070205080204" pitchFamily="49" charset="-128"/>
              <a:ea typeface="ＭＳ ゴシック" panose="020B0609070205080204" pitchFamily="49" charset="-128"/>
            </a:rPr>
            <a:t>0.25</a:t>
          </a:r>
          <a:endParaRPr kumimoji="1" lang="ja-JP" altLang="en-US" sz="1000">
            <a:solidFill>
              <a:srgbClr val="FF0000"/>
            </a:solidFill>
            <a:latin typeface="ＭＳ ゴシック" panose="020B0609070205080204" pitchFamily="49" charset="-128"/>
            <a:ea typeface="ＭＳ ゴシック" panose="020B0609070205080204" pitchFamily="49" charset="-128"/>
          </a:endParaRPr>
        </a:p>
      </xdr:txBody>
    </xdr:sp>
    <xdr:clientData/>
  </xdr:twoCellAnchor>
  <xdr:twoCellAnchor>
    <xdr:from>
      <xdr:col>27</xdr:col>
      <xdr:colOff>728384</xdr:colOff>
      <xdr:row>8</xdr:row>
      <xdr:rowOff>352984</xdr:rowOff>
    </xdr:from>
    <xdr:to>
      <xdr:col>31</xdr:col>
      <xdr:colOff>537882</xdr:colOff>
      <xdr:row>11</xdr:row>
      <xdr:rowOff>347381</xdr:rowOff>
    </xdr:to>
    <xdr:sp macro="" textlink="">
      <xdr:nvSpPr>
        <xdr:cNvPr id="7" name="テキスト ボックス 6">
          <a:extLst>
            <a:ext uri="{FF2B5EF4-FFF2-40B4-BE49-F238E27FC236}">
              <a16:creationId xmlns:a16="http://schemas.microsoft.com/office/drawing/2014/main" id="{EA0A7D48-3875-49DE-9550-E352B59205B0}"/>
            </a:ext>
          </a:extLst>
        </xdr:cNvPr>
        <xdr:cNvSpPr txBox="1"/>
      </xdr:nvSpPr>
      <xdr:spPr>
        <a:xfrm>
          <a:off x="16315766" y="3199278"/>
          <a:ext cx="3473822" cy="11710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6</a:t>
          </a:r>
          <a:r>
            <a:rPr kumimoji="1" lang="ja-JP" altLang="en-US" sz="1100">
              <a:solidFill>
                <a:srgbClr val="FF0000"/>
              </a:solidFill>
            </a:rPr>
            <a:t>月賞与は</a:t>
          </a:r>
          <a:r>
            <a:rPr kumimoji="1" lang="en-US" altLang="ja-JP" sz="1100">
              <a:solidFill>
                <a:srgbClr val="FF0000"/>
              </a:solidFill>
            </a:rPr>
            <a:t>R7.6</a:t>
          </a:r>
          <a:r>
            <a:rPr kumimoji="1" lang="ja-JP" altLang="en-US" sz="1100">
              <a:solidFill>
                <a:srgbClr val="FF0000"/>
              </a:solidFill>
            </a:rPr>
            <a:t>実績額</a:t>
          </a:r>
          <a:endParaRPr kumimoji="1" lang="en-US" altLang="ja-JP" sz="1100">
            <a:solidFill>
              <a:srgbClr val="FF0000"/>
            </a:solidFill>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100">
              <a:solidFill>
                <a:srgbClr val="FF0000"/>
              </a:solidFill>
              <a:effectLst/>
              <a:latin typeface="+mn-lt"/>
              <a:ea typeface="+mn-ea"/>
              <a:cs typeface="+mn-cs"/>
            </a:rPr>
            <a:t>12</a:t>
          </a:r>
          <a:r>
            <a:rPr kumimoji="1" lang="ja-JP" altLang="ja-JP" sz="1100">
              <a:solidFill>
                <a:srgbClr val="FF0000"/>
              </a:solidFill>
              <a:effectLst/>
              <a:latin typeface="+mn-lt"/>
              <a:ea typeface="+mn-ea"/>
              <a:cs typeface="+mn-cs"/>
            </a:rPr>
            <a:t>月賞与は</a:t>
          </a:r>
          <a:r>
            <a:rPr kumimoji="1" lang="en-US" altLang="ja-JP" sz="1100">
              <a:solidFill>
                <a:srgbClr val="FF0000"/>
              </a:solidFill>
              <a:effectLst/>
              <a:latin typeface="+mn-lt"/>
              <a:ea typeface="+mn-ea"/>
              <a:cs typeface="+mn-cs"/>
            </a:rPr>
            <a:t>R7.6</a:t>
          </a:r>
          <a:r>
            <a:rPr kumimoji="1" lang="ja-JP" altLang="en-US" sz="1100">
              <a:solidFill>
                <a:srgbClr val="FF0000"/>
              </a:solidFill>
              <a:effectLst/>
              <a:latin typeface="+mn-lt"/>
              <a:ea typeface="+mn-ea"/>
              <a:cs typeface="+mn-cs"/>
            </a:rPr>
            <a:t>と同額</a:t>
          </a:r>
          <a:endParaRPr kumimoji="1" lang="en-US" altLang="ja-JP" sz="1100">
            <a:solidFill>
              <a:srgbClr val="FF0000"/>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rgbClr val="FF0000"/>
              </a:solidFill>
              <a:effectLst/>
              <a:uLnTx/>
              <a:uFillTx/>
              <a:latin typeface="+mn-lt"/>
              <a:ea typeface="+mn-ea"/>
              <a:cs typeface="+mn-cs"/>
            </a:rPr>
            <a:t>差額は</a:t>
          </a:r>
          <a:r>
            <a:rPr kumimoji="1" lang="en-US" altLang="ja-JP" sz="1100" b="0" i="0" u="none" strike="noStrike" kern="0" cap="none" spc="0" normalizeH="0" baseline="0" noProof="0">
              <a:ln>
                <a:noFill/>
              </a:ln>
              <a:solidFill>
                <a:srgbClr val="FF0000"/>
              </a:solidFill>
              <a:effectLst/>
              <a:uLnTx/>
              <a:uFillTx/>
              <a:latin typeface="+mn-lt"/>
              <a:ea typeface="+mn-ea"/>
              <a:cs typeface="+mn-cs"/>
            </a:rPr>
            <a:t>R6</a:t>
          </a:r>
          <a:r>
            <a:rPr kumimoji="1" lang="ja-JP" altLang="en-US" sz="1100" b="0" i="0" u="none" strike="noStrike" kern="0" cap="none" spc="0" normalizeH="0" baseline="0" noProof="0">
              <a:ln>
                <a:noFill/>
              </a:ln>
              <a:solidFill>
                <a:srgbClr val="FF0000"/>
              </a:solidFill>
              <a:effectLst/>
              <a:uLnTx/>
              <a:uFillTx/>
              <a:latin typeface="+mn-lt"/>
              <a:ea typeface="+mn-ea"/>
              <a:cs typeface="+mn-cs"/>
            </a:rPr>
            <a:t>実績額に</a:t>
          </a:r>
          <a:r>
            <a:rPr kumimoji="1" lang="en-US" altLang="ja-JP" sz="1100" b="0" i="0" u="none" strike="noStrike" kern="0" cap="none" spc="0" normalizeH="0" baseline="0" noProof="0">
              <a:ln>
                <a:noFill/>
              </a:ln>
              <a:solidFill>
                <a:srgbClr val="FF0000"/>
              </a:solidFill>
              <a:effectLst/>
              <a:uLnTx/>
              <a:uFillTx/>
              <a:latin typeface="+mn-lt"/>
              <a:ea typeface="+mn-ea"/>
              <a:cs typeface="+mn-cs"/>
            </a:rPr>
            <a:t>1/2</a:t>
          </a:r>
          <a:r>
            <a:rPr kumimoji="1" lang="ja-JP" altLang="en-US" sz="1100" b="0" i="0" u="none" strike="noStrike" kern="0" cap="none" spc="0" normalizeH="0" baseline="0" noProof="0">
              <a:ln>
                <a:noFill/>
              </a:ln>
              <a:solidFill>
                <a:srgbClr val="FF0000"/>
              </a:solidFill>
              <a:effectLst/>
              <a:uLnTx/>
              <a:uFillTx/>
              <a:latin typeface="+mn-lt"/>
              <a:ea typeface="+mn-ea"/>
              <a:cs typeface="+mn-cs"/>
            </a:rPr>
            <a:t>を乗じる</a:t>
          </a:r>
          <a:endParaRPr kumimoji="1" lang="en-US" altLang="ja-JP" sz="1100">
            <a:solidFill>
              <a:srgbClr val="FF0000"/>
            </a:solidFill>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rgbClr val="FF0000"/>
              </a:solidFill>
              <a:effectLst/>
              <a:uLnTx/>
              <a:uFillTx/>
              <a:latin typeface="+mn-lt"/>
              <a:ea typeface="+mn-ea"/>
              <a:cs typeface="+mn-cs"/>
            </a:rPr>
            <a:t>（</a:t>
          </a:r>
          <a:r>
            <a:rPr kumimoji="1" lang="en-US" altLang="ja-JP" sz="1100" b="0" i="0" u="none" strike="noStrike" kern="0" cap="none" spc="0" normalizeH="0" baseline="0" noProof="0">
              <a:ln>
                <a:noFill/>
              </a:ln>
              <a:solidFill>
                <a:srgbClr val="FF0000"/>
              </a:solidFill>
              <a:effectLst/>
              <a:uLnTx/>
              <a:uFillTx/>
              <a:latin typeface="+mn-lt"/>
              <a:ea typeface="+mn-ea"/>
              <a:cs typeface="+mn-cs"/>
            </a:rPr>
            <a:t>R6</a:t>
          </a:r>
          <a:r>
            <a:rPr kumimoji="1" lang="ja-JP" altLang="en-US" sz="1100" b="0" i="0" u="none" strike="noStrike" kern="0" cap="none" spc="0" normalizeH="0" baseline="0" noProof="0">
              <a:ln>
                <a:noFill/>
              </a:ln>
              <a:solidFill>
                <a:srgbClr val="FF0000"/>
              </a:solidFill>
              <a:effectLst/>
              <a:uLnTx/>
              <a:uFillTx/>
              <a:latin typeface="+mn-lt"/>
              <a:ea typeface="+mn-ea"/>
              <a:cs typeface="+mn-cs"/>
            </a:rPr>
            <a:t>差額は</a:t>
          </a:r>
          <a:r>
            <a:rPr kumimoji="1" lang="en-US" altLang="ja-JP" sz="1100" b="0" i="0" u="none" strike="noStrike" kern="0" cap="none" spc="0" normalizeH="0" baseline="0" noProof="0">
              <a:ln>
                <a:noFill/>
              </a:ln>
              <a:solidFill>
                <a:srgbClr val="FF0000"/>
              </a:solidFill>
              <a:effectLst/>
              <a:uLnTx/>
              <a:uFillTx/>
              <a:latin typeface="+mn-lt"/>
              <a:ea typeface="+mn-ea"/>
              <a:cs typeface="+mn-cs"/>
            </a:rPr>
            <a:t>0.1</a:t>
          </a:r>
          <a:r>
            <a:rPr kumimoji="1" lang="ja-JP" altLang="en-US" sz="1100" b="0" i="0" u="none" strike="noStrike" kern="0" cap="none" spc="0" normalizeH="0" baseline="0" noProof="0">
              <a:ln>
                <a:noFill/>
              </a:ln>
              <a:solidFill>
                <a:srgbClr val="FF0000"/>
              </a:solidFill>
              <a:effectLst/>
              <a:uLnTx/>
              <a:uFillTx/>
              <a:latin typeface="+mn-lt"/>
              <a:ea typeface="+mn-ea"/>
              <a:cs typeface="+mn-cs"/>
            </a:rPr>
            <a:t>月分、</a:t>
          </a:r>
          <a:r>
            <a:rPr kumimoji="1" lang="en-US" altLang="ja-JP" sz="1100" b="0" i="0" u="none" strike="noStrike" kern="0" cap="none" spc="0" normalizeH="0" baseline="0" noProof="0">
              <a:ln>
                <a:noFill/>
              </a:ln>
              <a:solidFill>
                <a:srgbClr val="FF0000"/>
              </a:solidFill>
              <a:effectLst/>
              <a:uLnTx/>
              <a:uFillTx/>
              <a:latin typeface="+mn-lt"/>
              <a:ea typeface="+mn-ea"/>
              <a:cs typeface="+mn-cs"/>
            </a:rPr>
            <a:t>R7</a:t>
          </a:r>
          <a:r>
            <a:rPr kumimoji="1" lang="ja-JP" altLang="en-US" sz="1100" b="0" i="0" u="none" strike="noStrike" kern="0" cap="none" spc="0" normalizeH="0" baseline="0" noProof="0">
              <a:ln>
                <a:noFill/>
              </a:ln>
              <a:solidFill>
                <a:srgbClr val="FF0000"/>
              </a:solidFill>
              <a:effectLst/>
              <a:uLnTx/>
              <a:uFillTx/>
              <a:latin typeface="+mn-lt"/>
              <a:ea typeface="+mn-ea"/>
              <a:cs typeface="+mn-cs"/>
            </a:rPr>
            <a:t>差額は</a:t>
          </a:r>
          <a:r>
            <a:rPr kumimoji="1" lang="en-US" altLang="ja-JP" sz="1100" b="0" i="0" u="none" strike="noStrike" kern="0" cap="none" spc="0" normalizeH="0" baseline="0" noProof="0">
              <a:ln>
                <a:noFill/>
              </a:ln>
              <a:solidFill>
                <a:srgbClr val="FF0000"/>
              </a:solidFill>
              <a:effectLst/>
              <a:uLnTx/>
              <a:uFillTx/>
              <a:latin typeface="+mn-lt"/>
              <a:ea typeface="+mn-ea"/>
              <a:cs typeface="+mn-cs"/>
            </a:rPr>
            <a:t>0.05</a:t>
          </a:r>
          <a:r>
            <a:rPr kumimoji="1" lang="ja-JP" altLang="en-US" sz="1100" b="0" i="0" u="none" strike="noStrike" kern="0" cap="none" spc="0" normalizeH="0" baseline="0" noProof="0">
              <a:ln>
                <a:noFill/>
              </a:ln>
              <a:solidFill>
                <a:srgbClr val="FF0000"/>
              </a:solidFill>
              <a:effectLst/>
              <a:uLnTx/>
              <a:uFillTx/>
              <a:latin typeface="+mn-lt"/>
              <a:ea typeface="+mn-ea"/>
              <a:cs typeface="+mn-cs"/>
            </a:rPr>
            <a:t>月分のため）</a:t>
          </a:r>
          <a:endParaRPr kumimoji="1" lang="en-US" altLang="ja-JP" sz="1100" b="0" i="0" u="none" strike="noStrike" kern="0" cap="none" spc="0" normalizeH="0" baseline="0" noProof="0">
            <a:ln>
              <a:noFill/>
            </a:ln>
            <a:solidFill>
              <a:srgbClr val="FF0000"/>
            </a:solidFill>
            <a:effectLst/>
            <a:uLnTx/>
            <a:uFillTx/>
            <a:latin typeface="+mn-lt"/>
            <a:ea typeface="+mn-ea"/>
            <a:cs typeface="+mn-cs"/>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22</xdr:col>
      <xdr:colOff>44824</xdr:colOff>
      <xdr:row>40</xdr:row>
      <xdr:rowOff>134470</xdr:rowOff>
    </xdr:from>
    <xdr:to>
      <xdr:col>25</xdr:col>
      <xdr:colOff>279187</xdr:colOff>
      <xdr:row>44</xdr:row>
      <xdr:rowOff>56028</xdr:rowOff>
    </xdr:to>
    <xdr:sp macro="" textlink="">
      <xdr:nvSpPr>
        <xdr:cNvPr id="2" name="角丸四角形 1">
          <a:extLst>
            <a:ext uri="{FF2B5EF4-FFF2-40B4-BE49-F238E27FC236}">
              <a16:creationId xmlns:a16="http://schemas.microsoft.com/office/drawing/2014/main" id="{00000000-0008-0000-0E00-000002000000}"/>
            </a:ext>
          </a:extLst>
        </xdr:cNvPr>
        <xdr:cNvSpPr/>
      </xdr:nvSpPr>
      <xdr:spPr bwMode="auto">
        <a:xfrm>
          <a:off x="12674974" y="10116670"/>
          <a:ext cx="2148888" cy="626408"/>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令和８年度（短期）</a:t>
          </a:r>
          <a:endParaRPr kumimoji="1" lang="en-US" altLang="ja-JP" sz="1400" b="1">
            <a:latin typeface="ＭＳ ゴシック" pitchFamily="49" charset="-128"/>
            <a:ea typeface="ＭＳ ゴシック" pitchFamily="49" charset="-128"/>
          </a:endParaRPr>
        </a:p>
      </xdr:txBody>
    </xdr:sp>
    <xdr:clientData/>
  </xdr:twoCellAnchor>
  <xdr:twoCellAnchor>
    <xdr:from>
      <xdr:col>7</xdr:col>
      <xdr:colOff>481853</xdr:colOff>
      <xdr:row>56</xdr:row>
      <xdr:rowOff>56030</xdr:rowOff>
    </xdr:from>
    <xdr:to>
      <xdr:col>20</xdr:col>
      <xdr:colOff>168089</xdr:colOff>
      <xdr:row>59</xdr:row>
      <xdr:rowOff>1</xdr:rowOff>
    </xdr:to>
    <xdr:sp macro="" textlink="">
      <xdr:nvSpPr>
        <xdr:cNvPr id="3" name="テキスト ボックス 2">
          <a:extLst>
            <a:ext uri="{FF2B5EF4-FFF2-40B4-BE49-F238E27FC236}">
              <a16:creationId xmlns:a16="http://schemas.microsoft.com/office/drawing/2014/main" id="{00000000-0008-0000-0E00-000003000000}"/>
            </a:ext>
          </a:extLst>
        </xdr:cNvPr>
        <xdr:cNvSpPr txBox="1"/>
      </xdr:nvSpPr>
      <xdr:spPr>
        <a:xfrm>
          <a:off x="3977528" y="13629155"/>
          <a:ext cx="7601511" cy="744071"/>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毎年、大きく変動がある月のみ、見込む。その他の月は年によって増減の傾向がバラバラのため見込まない。</a:t>
          </a:r>
        </a:p>
      </xdr:txBody>
    </xdr:sp>
    <xdr:clientData/>
  </xdr:twoCellAnchor>
  <xdr:twoCellAnchor>
    <xdr:from>
      <xdr:col>25</xdr:col>
      <xdr:colOff>22410</xdr:colOff>
      <xdr:row>14</xdr:row>
      <xdr:rowOff>67235</xdr:rowOff>
    </xdr:from>
    <xdr:to>
      <xdr:col>25</xdr:col>
      <xdr:colOff>571499</xdr:colOff>
      <xdr:row>14</xdr:row>
      <xdr:rowOff>246530</xdr:rowOff>
    </xdr:to>
    <xdr:sp macro="" textlink="">
      <xdr:nvSpPr>
        <xdr:cNvPr id="5" name="テキスト ボックス 4">
          <a:extLst>
            <a:ext uri="{FF2B5EF4-FFF2-40B4-BE49-F238E27FC236}">
              <a16:creationId xmlns:a16="http://schemas.microsoft.com/office/drawing/2014/main" id="{A13EA879-7CC6-4C37-90B2-4C0E8C193534}"/>
            </a:ext>
          </a:extLst>
        </xdr:cNvPr>
        <xdr:cNvSpPr txBox="1"/>
      </xdr:nvSpPr>
      <xdr:spPr>
        <a:xfrm>
          <a:off x="14081310" y="5258360"/>
          <a:ext cx="549089" cy="1792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000">
              <a:solidFill>
                <a:srgbClr val="FF0000"/>
              </a:solidFill>
              <a:latin typeface="ＭＳ ゴシック" panose="020B0609070205080204" pitchFamily="49" charset="-128"/>
              <a:ea typeface="ＭＳ ゴシック" panose="020B0609070205080204" pitchFamily="49" charset="-128"/>
            </a:rPr>
            <a:t>0.25</a:t>
          </a:r>
          <a:endParaRPr kumimoji="1" lang="ja-JP" altLang="en-US" sz="1000">
            <a:solidFill>
              <a:srgbClr val="FF0000"/>
            </a:solidFill>
            <a:latin typeface="ＭＳ ゴシック" panose="020B0609070205080204" pitchFamily="49" charset="-128"/>
            <a:ea typeface="ＭＳ ゴシック" panose="020B0609070205080204" pitchFamily="49" charset="-128"/>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11</xdr:col>
      <xdr:colOff>156882</xdr:colOff>
      <xdr:row>6</xdr:row>
      <xdr:rowOff>336176</xdr:rowOff>
    </xdr:from>
    <xdr:to>
      <xdr:col>11</xdr:col>
      <xdr:colOff>425823</xdr:colOff>
      <xdr:row>10</xdr:row>
      <xdr:rowOff>11206</xdr:rowOff>
    </xdr:to>
    <xdr:sp macro="" textlink="">
      <xdr:nvSpPr>
        <xdr:cNvPr id="2" name="テキスト ボックス 1">
          <a:extLst>
            <a:ext uri="{FF2B5EF4-FFF2-40B4-BE49-F238E27FC236}">
              <a16:creationId xmlns:a16="http://schemas.microsoft.com/office/drawing/2014/main" id="{00000000-0008-0000-1000-000002000000}"/>
            </a:ext>
          </a:extLst>
        </xdr:cNvPr>
        <xdr:cNvSpPr txBox="1"/>
      </xdr:nvSpPr>
      <xdr:spPr>
        <a:xfrm>
          <a:off x="6062382" y="2403101"/>
          <a:ext cx="268941" cy="1237130"/>
        </a:xfrm>
        <a:prstGeom prst="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ctr"/>
        <a:lstStyle/>
        <a:p>
          <a:pPr algn="ctr"/>
          <a:r>
            <a:rPr kumimoji="1" lang="en-US" altLang="ja-JP" sz="1100"/>
            <a:t>65</a:t>
          </a:r>
          <a:r>
            <a:rPr kumimoji="1" lang="ja-JP" altLang="en-US" sz="1100"/>
            <a:t>歳以上</a:t>
          </a:r>
        </a:p>
      </xdr:txBody>
    </xdr:sp>
    <xdr:clientData/>
  </xdr:twoCellAnchor>
  <xdr:twoCellAnchor>
    <xdr:from>
      <xdr:col>15</xdr:col>
      <xdr:colOff>179295</xdr:colOff>
      <xdr:row>6</xdr:row>
      <xdr:rowOff>358588</xdr:rowOff>
    </xdr:from>
    <xdr:to>
      <xdr:col>15</xdr:col>
      <xdr:colOff>448236</xdr:colOff>
      <xdr:row>10</xdr:row>
      <xdr:rowOff>33618</xdr:rowOff>
    </xdr:to>
    <xdr:sp macro="" textlink="">
      <xdr:nvSpPr>
        <xdr:cNvPr id="3" name="テキスト ボックス 2">
          <a:extLst>
            <a:ext uri="{FF2B5EF4-FFF2-40B4-BE49-F238E27FC236}">
              <a16:creationId xmlns:a16="http://schemas.microsoft.com/office/drawing/2014/main" id="{00000000-0008-0000-1000-000003000000}"/>
            </a:ext>
          </a:extLst>
        </xdr:cNvPr>
        <xdr:cNvSpPr txBox="1"/>
      </xdr:nvSpPr>
      <xdr:spPr>
        <a:xfrm>
          <a:off x="8618445" y="2425513"/>
          <a:ext cx="268941" cy="1237130"/>
        </a:xfrm>
        <a:prstGeom prst="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ctr"/>
        <a:lstStyle/>
        <a:p>
          <a:pPr algn="ctr"/>
          <a:r>
            <a:rPr kumimoji="1" lang="en-US" altLang="ja-JP" sz="1100"/>
            <a:t>65</a:t>
          </a:r>
          <a:r>
            <a:rPr kumimoji="1" lang="ja-JP" altLang="en-US" sz="1100"/>
            <a:t>歳以上</a:t>
          </a:r>
        </a:p>
      </xdr:txBody>
    </xdr:sp>
    <xdr:clientData/>
  </xdr:twoCellAnchor>
  <xdr:twoCellAnchor>
    <xdr:from>
      <xdr:col>24</xdr:col>
      <xdr:colOff>112059</xdr:colOff>
      <xdr:row>45</xdr:row>
      <xdr:rowOff>78441</xdr:rowOff>
    </xdr:from>
    <xdr:to>
      <xdr:col>33</xdr:col>
      <xdr:colOff>638736</xdr:colOff>
      <xdr:row>64</xdr:row>
      <xdr:rowOff>11206</xdr:rowOff>
    </xdr:to>
    <xdr:cxnSp macro="">
      <xdr:nvCxnSpPr>
        <xdr:cNvPr id="4" name="直線コネクタ 3">
          <a:extLst>
            <a:ext uri="{FF2B5EF4-FFF2-40B4-BE49-F238E27FC236}">
              <a16:creationId xmlns:a16="http://schemas.microsoft.com/office/drawing/2014/main" id="{00000000-0008-0000-1000-000004000000}"/>
            </a:ext>
          </a:extLst>
        </xdr:cNvPr>
        <xdr:cNvCxnSpPr/>
      </xdr:nvCxnSpPr>
      <xdr:spPr bwMode="auto">
        <a:xfrm flipH="1">
          <a:off x="14409084" y="11860866"/>
          <a:ext cx="7403727" cy="2828365"/>
        </a:xfrm>
        <a:prstGeom prst="line">
          <a:avLst/>
        </a:prstGeom>
        <a:ln>
          <a:headEnd type="none" w="med" len="med"/>
          <a:tailEnd type="none" w="med" len="med"/>
        </a:ln>
        <a:extLst>
          <a:ext uri="{53640926-AAD7-44D8-BBD7-CCE9431645EC}">
            <a14:shadowObscured xmlns:a14="http://schemas.microsoft.com/office/drawing/2010/main" val="1"/>
          </a:ext>
        </a:extLst>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459441</xdr:colOff>
      <xdr:row>51</xdr:row>
      <xdr:rowOff>134470</xdr:rowOff>
    </xdr:from>
    <xdr:to>
      <xdr:col>28</xdr:col>
      <xdr:colOff>588148</xdr:colOff>
      <xdr:row>55</xdr:row>
      <xdr:rowOff>67233</xdr:rowOff>
    </xdr:to>
    <xdr:sp macro="" textlink="">
      <xdr:nvSpPr>
        <xdr:cNvPr id="5" name="角丸四角形 4">
          <a:extLst>
            <a:ext uri="{FF2B5EF4-FFF2-40B4-BE49-F238E27FC236}">
              <a16:creationId xmlns:a16="http://schemas.microsoft.com/office/drawing/2014/main" id="{00000000-0008-0000-1000-000005000000}"/>
            </a:ext>
          </a:extLst>
        </xdr:cNvPr>
        <xdr:cNvSpPr/>
      </xdr:nvSpPr>
      <xdr:spPr bwMode="auto">
        <a:xfrm>
          <a:off x="16728141" y="12831295"/>
          <a:ext cx="1690807" cy="542363"/>
        </a:xfrm>
        <a:prstGeom prst="roundRect">
          <a:avLst/>
        </a:prstGeom>
        <a:solidFill>
          <a:schemeClr val="tx2">
            <a:lumMod val="40000"/>
            <a:lumOff val="60000"/>
          </a:schemeClr>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en-US" altLang="ja-JP" sz="1400" b="1">
              <a:latin typeface="ＭＳ ゴシック" pitchFamily="49" charset="-128"/>
              <a:ea typeface="ＭＳ ゴシック" pitchFamily="49" charset="-128"/>
            </a:rPr>
            <a:t>31</a:t>
          </a:r>
          <a:r>
            <a:rPr kumimoji="1" lang="ja-JP" altLang="en-US" sz="1400" b="1">
              <a:latin typeface="ＭＳ ゴシック" pitchFamily="49" charset="-128"/>
              <a:ea typeface="ＭＳ ゴシック" pitchFamily="49" charset="-128"/>
            </a:rPr>
            <a:t>年度は差額なし</a:t>
          </a:r>
        </a:p>
      </xdr:txBody>
    </xdr:sp>
    <xdr:clientData/>
  </xdr:twoCellAnchor>
  <xdr:twoCellAnchor>
    <xdr:from>
      <xdr:col>7</xdr:col>
      <xdr:colOff>134471</xdr:colOff>
      <xdr:row>77</xdr:row>
      <xdr:rowOff>11207</xdr:rowOff>
    </xdr:from>
    <xdr:to>
      <xdr:col>19</xdr:col>
      <xdr:colOff>291352</xdr:colOff>
      <xdr:row>79</xdr:row>
      <xdr:rowOff>195544</xdr:rowOff>
    </xdr:to>
    <xdr:sp macro="" textlink="">
      <xdr:nvSpPr>
        <xdr:cNvPr id="6" name="テキスト ボックス 5">
          <a:extLst>
            <a:ext uri="{FF2B5EF4-FFF2-40B4-BE49-F238E27FC236}">
              <a16:creationId xmlns:a16="http://schemas.microsoft.com/office/drawing/2014/main" id="{00000000-0008-0000-1000-000006000000}"/>
            </a:ext>
          </a:extLst>
        </xdr:cNvPr>
        <xdr:cNvSpPr txBox="1"/>
      </xdr:nvSpPr>
      <xdr:spPr>
        <a:xfrm>
          <a:off x="3506321" y="17318132"/>
          <a:ext cx="8129306" cy="603437"/>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毎年、大きく変動がある月のみ、見込む。その他の月は年によって増額減額の傾向がバラバラのため見込まない。</a:t>
          </a:r>
        </a:p>
      </xdr:txBody>
    </xdr:sp>
    <xdr:clientData/>
  </xdr:twoCellAnchor>
  <xdr:twoCellAnchor>
    <xdr:from>
      <xdr:col>28</xdr:col>
      <xdr:colOff>285750</xdr:colOff>
      <xdr:row>35</xdr:row>
      <xdr:rowOff>47625</xdr:rowOff>
    </xdr:from>
    <xdr:to>
      <xdr:col>33</xdr:col>
      <xdr:colOff>179735</xdr:colOff>
      <xdr:row>38</xdr:row>
      <xdr:rowOff>112059</xdr:rowOff>
    </xdr:to>
    <xdr:sp macro="" textlink="">
      <xdr:nvSpPr>
        <xdr:cNvPr id="7" name="角丸四角形 6">
          <a:extLst>
            <a:ext uri="{FF2B5EF4-FFF2-40B4-BE49-F238E27FC236}">
              <a16:creationId xmlns:a16="http://schemas.microsoft.com/office/drawing/2014/main" id="{00000000-0008-0000-1000-000007000000}"/>
            </a:ext>
          </a:extLst>
        </xdr:cNvPr>
        <xdr:cNvSpPr/>
      </xdr:nvSpPr>
      <xdr:spPr bwMode="auto">
        <a:xfrm>
          <a:off x="18116550" y="9963150"/>
          <a:ext cx="3237260" cy="635934"/>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令和６年度（介護）</a:t>
          </a:r>
          <a:endParaRPr kumimoji="1" lang="en-US" altLang="ja-JP" sz="1400" b="1">
            <a:latin typeface="ＭＳ ゴシック" pitchFamily="49" charset="-128"/>
            <a:ea typeface="ＭＳ ゴシック" pitchFamily="49" charset="-128"/>
          </a:endParaRPr>
        </a:p>
        <a:p>
          <a:pPr algn="ctr">
            <a:lnSpc>
              <a:spcPts val="1600"/>
            </a:lnSpc>
          </a:pPr>
          <a:r>
            <a:rPr kumimoji="1" lang="ja-JP" altLang="en-US" sz="1400" b="1">
              <a:latin typeface="ＭＳ ゴシック" pitchFamily="49" charset="-128"/>
              <a:ea typeface="ＭＳ ゴシック" pitchFamily="49" charset="-128"/>
            </a:rPr>
            <a:t>１０月照会回答用</a:t>
          </a:r>
          <a:endParaRPr kumimoji="1" lang="en-US" altLang="ja-JP" sz="1400" b="1">
            <a:latin typeface="ＭＳ ゴシック" pitchFamily="49" charset="-128"/>
            <a:ea typeface="ＭＳ ゴシック" pitchFamily="49" charset="-128"/>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28</xdr:col>
      <xdr:colOff>33617</xdr:colOff>
      <xdr:row>41</xdr:row>
      <xdr:rowOff>11205</xdr:rowOff>
    </xdr:from>
    <xdr:to>
      <xdr:col>32</xdr:col>
      <xdr:colOff>189540</xdr:colOff>
      <xdr:row>44</xdr:row>
      <xdr:rowOff>123264</xdr:rowOff>
    </xdr:to>
    <xdr:sp macro="" textlink="">
      <xdr:nvSpPr>
        <xdr:cNvPr id="2" name="角丸四角形 1">
          <a:extLst>
            <a:ext uri="{FF2B5EF4-FFF2-40B4-BE49-F238E27FC236}">
              <a16:creationId xmlns:a16="http://schemas.microsoft.com/office/drawing/2014/main" id="{00000000-0008-0000-1100-000002000000}"/>
            </a:ext>
          </a:extLst>
        </xdr:cNvPr>
        <xdr:cNvSpPr/>
      </xdr:nvSpPr>
      <xdr:spPr bwMode="auto">
        <a:xfrm>
          <a:off x="16445192" y="10907805"/>
          <a:ext cx="3251548" cy="845484"/>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令和６年度（介護）</a:t>
          </a:r>
          <a:endParaRPr kumimoji="1" lang="en-US" altLang="ja-JP" sz="1400" b="1">
            <a:latin typeface="ＭＳ ゴシック" pitchFamily="49" charset="-128"/>
            <a:ea typeface="ＭＳ ゴシック" pitchFamily="49" charset="-128"/>
          </a:endParaRPr>
        </a:p>
        <a:p>
          <a:pPr algn="ctr">
            <a:lnSpc>
              <a:spcPts val="1600"/>
            </a:lnSpc>
          </a:pPr>
          <a:r>
            <a:rPr kumimoji="1" lang="ja-JP" altLang="en-US" sz="1400" b="1">
              <a:latin typeface="ＭＳ ゴシック" pitchFamily="49" charset="-128"/>
              <a:ea typeface="ＭＳ ゴシック" pitchFamily="49" charset="-128"/>
            </a:rPr>
            <a:t>１０月照会回答用</a:t>
          </a:r>
          <a:endParaRPr kumimoji="1" lang="en-US" altLang="ja-JP" sz="1400" b="1">
            <a:latin typeface="ＭＳ ゴシック" pitchFamily="49" charset="-128"/>
            <a:ea typeface="ＭＳ ゴシック" pitchFamily="49" charset="-128"/>
          </a:endParaRPr>
        </a:p>
      </xdr:txBody>
    </xdr:sp>
    <xdr:clientData/>
  </xdr:twoCellAnchor>
  <xdr:twoCellAnchor>
    <xdr:from>
      <xdr:col>5</xdr:col>
      <xdr:colOff>95250</xdr:colOff>
      <xdr:row>58</xdr:row>
      <xdr:rowOff>0</xdr:rowOff>
    </xdr:from>
    <xdr:to>
      <xdr:col>19</xdr:col>
      <xdr:colOff>299756</xdr:colOff>
      <xdr:row>60</xdr:row>
      <xdr:rowOff>89087</xdr:rowOff>
    </xdr:to>
    <xdr:sp macro="" textlink="">
      <xdr:nvSpPr>
        <xdr:cNvPr id="3" name="テキスト ボックス 2">
          <a:extLst>
            <a:ext uri="{FF2B5EF4-FFF2-40B4-BE49-F238E27FC236}">
              <a16:creationId xmlns:a16="http://schemas.microsoft.com/office/drawing/2014/main" id="{00000000-0008-0000-1100-000003000000}"/>
            </a:ext>
          </a:extLst>
        </xdr:cNvPr>
        <xdr:cNvSpPr txBox="1"/>
      </xdr:nvSpPr>
      <xdr:spPr>
        <a:xfrm>
          <a:off x="2324100" y="15240000"/>
          <a:ext cx="8119781" cy="622487"/>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毎年、大きく変動がある月のみ、見込む。その他の月は年によって増額減額の傾向がバラバラのため見込まない。</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rengo12s\02-&#35506;&#20849;&#36890;\03-&#20445;&#20581;&#35506;\01%20&#30701;&#26399;&#38306;&#20418;&#12501;&#12457;&#12523;&#12480;\01%20&#28797;&#23475;&#32102;&#20184;&#38306;&#20418;\02%20&#28797;&#23475;&#20132;&#20184;&#37329;\&#24179;&#25104;24&#24180;&#24230;\241105&#28797;&#23475;&#20132;&#20184;&#36890;&#30693;&#26360;&#65288;&#26481;&#26085;&#26412;&#22823;&#38663;&#28797;&#65289;&#65288;&#29305;&#20363;&#6528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RSM03ST\users\&#9314;%20%20%20%20&#20849;&#28168;&#32068;&#21512;\&#9678;&#12288;&#23450;&#27454;&#22793;&#26356;&#20107;&#21069;&#21332;&#35696;&#36039;&#26009;&#20316;&#25104;&#38306;&#20418;\R5\20230220%20&#23450;&#27454;&#22793;&#26356;&#12398;&#20107;&#21069;&#21332;&#35696;&#12395;&#20418;&#12427;&#36039;&#26009;&#12395;&#12388;&#12356;&#12390;\&#20196;&#21644;5&#24180;&#24230;&#20107;&#21069;&#21332;&#35696;&#36039;&#26009;\01%20&#20381;&#38972;\02%20&#20196;&#21644;5&#24180;&#24230;&#23450;&#27454;&#22793;&#26356;&#20107;&#21069;&#21332;&#35696;&#36039;&#26009;&#65288;&#30701;&#26399;&#32076;&#29702;&#21450;&#12403;&#20445;&#20581;&#32076;&#29702;&#65289;&#12304;230202&#24046;&#26367;&#12360;&#1230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組合名"/>
      <sheetName val="文書番号名"/>
      <sheetName val="台帳"/>
      <sheetName val="通知（災害給付）"/>
      <sheetName val="通知（見舞品費）"/>
      <sheetName val="通知（特例見舞品）"/>
      <sheetName val="一覧（災害給付）"/>
      <sheetName val="一覧（見舞品費）"/>
      <sheetName val="一覧（特例見舞品）"/>
      <sheetName val="決裁伺"/>
      <sheetName val="集計用"/>
      <sheetName val="Module1"/>
    </sheetNames>
    <sheetDataSet>
      <sheetData sheetId="0"/>
      <sheetData sheetId="1"/>
      <sheetData sheetId="2">
        <row r="1">
          <cell r="A1" t="str">
            <v>職務執行者</v>
          </cell>
          <cell r="B1" t="str">
            <v>発遣
番号</v>
          </cell>
          <cell r="C1" t="str">
            <v xml:space="preserve">
請求日
年　月　日</v>
          </cell>
          <cell r="D1" t="str">
            <v>組合
番号</v>
          </cell>
          <cell r="E1" t="str">
            <v>組合名</v>
          </cell>
          <cell r="F1" t="str">
            <v>組合
番号</v>
          </cell>
          <cell r="G1" t="str">
            <v>組合名</v>
          </cell>
          <cell r="H1" t="str">
            <v>文書番号</v>
          </cell>
          <cell r="I1" t="str">
            <v>給付種別</v>
          </cell>
          <cell r="J1" t="str">
            <v>法定
火災
件数</v>
          </cell>
          <cell r="K1" t="str">
            <v>法定
火災
金額</v>
          </cell>
          <cell r="L1" t="str">
            <v>法定
風水件数</v>
          </cell>
          <cell r="M1" t="str">
            <v>法定
風水
金額</v>
          </cell>
          <cell r="N1" t="str">
            <v>法定
他
件数</v>
          </cell>
          <cell r="O1" t="str">
            <v>法定
他
金額</v>
          </cell>
          <cell r="P1" t="str">
            <v>法定
合計
件数</v>
          </cell>
          <cell r="Q1" t="str">
            <v>法定
合計
金額</v>
          </cell>
          <cell r="R1" t="str">
            <v>附加
火災
件数</v>
          </cell>
          <cell r="S1" t="str">
            <v>附加
火災
金額</v>
          </cell>
          <cell r="T1" t="str">
            <v>附加
風水
件数</v>
          </cell>
          <cell r="U1" t="str">
            <v>附加
風水
金額</v>
          </cell>
          <cell r="V1" t="str">
            <v>附加
他
件数</v>
          </cell>
          <cell r="W1" t="str">
            <v>附加
他
金額</v>
          </cell>
          <cell r="X1" t="str">
            <v>附加
合計
件数</v>
          </cell>
          <cell r="Y1" t="str">
            <v>附加
合計
金額</v>
          </cell>
          <cell r="Z1" t="str">
            <v>見舞金
合計
件数</v>
          </cell>
          <cell r="AA1" t="str">
            <v>見舞金
合計
金額</v>
          </cell>
          <cell r="AB1" t="str">
            <v>弔慰金
件数</v>
          </cell>
          <cell r="AC1" t="str">
            <v>弔慰金
金額</v>
          </cell>
          <cell r="AD1" t="str">
            <v>家族
弔慰金
件数</v>
          </cell>
          <cell r="AE1" t="str">
            <v>家族
弔慰金
金額</v>
          </cell>
          <cell r="AF1" t="str">
            <v>差額
法定
火災
件数</v>
          </cell>
          <cell r="AG1" t="str">
            <v>差額
法定
火災
金額</v>
          </cell>
          <cell r="AH1" t="str">
            <v>差額
法定
風水件数</v>
          </cell>
          <cell r="AI1" t="str">
            <v>差額
法定
風水
金額</v>
          </cell>
          <cell r="AJ1" t="str">
            <v>差額
法定
他
件数</v>
          </cell>
          <cell r="AK1" t="str">
            <v>差額
法定
他
金額</v>
          </cell>
          <cell r="AL1" t="str">
            <v>差額
法定
合計
件数</v>
          </cell>
          <cell r="AM1" t="str">
            <v>差額
法定
合計
金額</v>
          </cell>
          <cell r="AN1" t="str">
            <v>差額
附加
火災
件数</v>
          </cell>
          <cell r="AO1" t="str">
            <v>差額
附加
火災
件数</v>
          </cell>
          <cell r="AP1" t="str">
            <v>差額
附加
風水
件数</v>
          </cell>
          <cell r="AQ1" t="str">
            <v>差額
附加
風水
金額</v>
          </cell>
          <cell r="AR1" t="str">
            <v>差額
附加
他
件数</v>
          </cell>
          <cell r="AS1" t="str">
            <v>差額
附加
他
金額</v>
          </cell>
          <cell r="AT1" t="str">
            <v>差額
附加
合計
件数</v>
          </cell>
          <cell r="AU1" t="str">
            <v>差額
附加
合計
金額</v>
          </cell>
          <cell r="AV1" t="str">
            <v>差額
見舞金
合計
件数</v>
          </cell>
          <cell r="AW1" t="str">
            <v>差額
見舞金
合計
金額</v>
          </cell>
          <cell r="AX1" t="str">
            <v>差額
弔慰金
件数</v>
          </cell>
          <cell r="AY1" t="str">
            <v>差額
弔慰金
金額</v>
          </cell>
          <cell r="AZ1" t="str">
            <v>差額
家族
弔慰金
件数</v>
          </cell>
          <cell r="BA1" t="str">
            <v>差額
家族
弔慰金
金額</v>
          </cell>
          <cell r="BB1" t="str">
            <v>合計
件数</v>
          </cell>
          <cell r="BC1" t="str">
            <v>合計
金額</v>
          </cell>
          <cell r="BD1" t="str">
            <v>見舞品
件数</v>
          </cell>
          <cell r="BE1" t="str">
            <v>見舞品
金額</v>
          </cell>
          <cell r="BF1" t="str">
            <v>特例見舞品
件数</v>
          </cell>
          <cell r="BG1" t="str">
            <v>特例見舞品
金額</v>
          </cell>
          <cell r="BH1" t="str">
            <v>組合送金日</v>
          </cell>
          <cell r="BI1" t="str">
            <v>備考１</v>
          </cell>
          <cell r="BJ1" t="str">
            <v>備考２</v>
          </cell>
          <cell r="BK1" t="str">
            <v>文書発送日</v>
          </cell>
          <cell r="BL1" t="str">
            <v>チェック</v>
          </cell>
          <cell r="BM1" t="str">
            <v>チェック</v>
          </cell>
          <cell r="BN1" t="str">
            <v>備考１</v>
          </cell>
          <cell r="BO1" t="str">
            <v>備考２</v>
          </cell>
        </row>
        <row r="2">
          <cell r="B2" t="str">
            <v>３９６</v>
          </cell>
          <cell r="C2" t="str">
            <v>２４</v>
          </cell>
          <cell r="D2" t="str">
            <v>１０</v>
          </cell>
          <cell r="E2" t="str">
            <v>１０</v>
          </cell>
          <cell r="F2">
            <v>7</v>
          </cell>
          <cell r="G2" t="str">
            <v>福島県市町村職員共済組合</v>
          </cell>
          <cell r="H2" t="str">
            <v>２４福自共第１００６号</v>
          </cell>
          <cell r="I2">
            <v>1</v>
          </cell>
          <cell r="J2">
            <v>15</v>
          </cell>
          <cell r="K2">
            <v>6050648</v>
          </cell>
          <cell r="L2">
            <v>15</v>
          </cell>
          <cell r="M2">
            <v>6050648</v>
          </cell>
          <cell r="N2">
            <v>15</v>
          </cell>
          <cell r="O2">
            <v>6050648</v>
          </cell>
          <cell r="P2">
            <v>15</v>
          </cell>
          <cell r="Q2">
            <v>6050648</v>
          </cell>
          <cell r="R2">
            <v>23</v>
          </cell>
          <cell r="S2">
            <v>11537769</v>
          </cell>
          <cell r="T2">
            <v>0</v>
          </cell>
          <cell r="U2">
            <v>0</v>
          </cell>
          <cell r="V2">
            <v>23</v>
          </cell>
          <cell r="W2">
            <v>5487121</v>
          </cell>
          <cell r="X2">
            <v>23</v>
          </cell>
          <cell r="Y2">
            <v>5487121</v>
          </cell>
          <cell r="Z2">
            <v>23</v>
          </cell>
          <cell r="AA2">
            <v>11537769</v>
          </cell>
          <cell r="AB2">
            <v>38</v>
          </cell>
          <cell r="AC2">
            <v>11537769</v>
          </cell>
          <cell r="AD2" t="str">
            <v>２４</v>
          </cell>
          <cell r="AE2" t="str">
            <v>１１</v>
          </cell>
          <cell r="AF2">
            <v>0</v>
          </cell>
          <cell r="AG2">
            <v>0</v>
          </cell>
          <cell r="AH2" t="str">
            <v/>
          </cell>
          <cell r="AI2">
            <v>0</v>
          </cell>
          <cell r="AJ2">
            <v>0</v>
          </cell>
          <cell r="AK2">
            <v>0</v>
          </cell>
          <cell r="AL2">
            <v>0</v>
          </cell>
          <cell r="AM2">
            <v>0</v>
          </cell>
          <cell r="AN2">
            <v>0</v>
          </cell>
          <cell r="AO2">
            <v>38</v>
          </cell>
          <cell r="AP2">
            <v>11537769</v>
          </cell>
          <cell r="AQ2" t="str">
            <v>２４</v>
          </cell>
          <cell r="AR2" t="str">
            <v>１１</v>
          </cell>
          <cell r="AS2" t="str">
            <v>９</v>
          </cell>
          <cell r="AT2">
            <v>0</v>
          </cell>
          <cell r="AU2">
            <v>0</v>
          </cell>
          <cell r="AV2">
            <v>0</v>
          </cell>
          <cell r="AW2">
            <v>0</v>
          </cell>
          <cell r="AX2">
            <v>38</v>
          </cell>
          <cell r="AY2">
            <v>11537769</v>
          </cell>
          <cell r="AZ2" t="str">
            <v>２４</v>
          </cell>
          <cell r="BA2" t="str">
            <v>１１</v>
          </cell>
          <cell r="BB2">
            <v>38</v>
          </cell>
          <cell r="BC2">
            <v>11537769</v>
          </cell>
          <cell r="BD2" t="str">
            <v/>
          </cell>
          <cell r="BE2" t="str">
            <v>２４</v>
          </cell>
          <cell r="BF2" t="str">
            <v>１１</v>
          </cell>
          <cell r="BG2" t="str">
            <v>９</v>
          </cell>
          <cell r="BH2" t="str">
            <v>２４</v>
          </cell>
          <cell r="BI2" t="str">
            <v>１１</v>
          </cell>
          <cell r="BJ2" t="str">
            <v>９</v>
          </cell>
          <cell r="BK2" t="str">
            <v>平成２４年１１月６日</v>
          </cell>
          <cell r="BL2" t="str">
            <v/>
          </cell>
        </row>
        <row r="3">
          <cell r="B3" t="str">
            <v>３９７</v>
          </cell>
          <cell r="C3" t="str">
            <v>２４</v>
          </cell>
          <cell r="D3" t="str">
            <v>１０</v>
          </cell>
          <cell r="E3" t="str">
            <v>１０</v>
          </cell>
          <cell r="F3">
            <v>7</v>
          </cell>
          <cell r="G3" t="str">
            <v>福島県市町村職員共済組合</v>
          </cell>
          <cell r="H3" t="str">
            <v>２４福自共第１００６号</v>
          </cell>
          <cell r="I3">
            <v>2</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t="str">
            <v>２４</v>
          </cell>
          <cell r="AC3" t="str">
            <v>１１</v>
          </cell>
          <cell r="AD3" t="str">
            <v>９</v>
          </cell>
          <cell r="AE3" t="str">
            <v>平成２４年１１月６日</v>
          </cell>
          <cell r="AF3">
            <v>0</v>
          </cell>
          <cell r="AG3">
            <v>0</v>
          </cell>
          <cell r="AH3">
            <v>0</v>
          </cell>
          <cell r="AI3">
            <v>0</v>
          </cell>
          <cell r="AJ3">
            <v>0</v>
          </cell>
          <cell r="AK3">
            <v>0</v>
          </cell>
          <cell r="AL3">
            <v>0</v>
          </cell>
          <cell r="AM3">
            <v>0</v>
          </cell>
          <cell r="AN3">
            <v>0</v>
          </cell>
          <cell r="AO3">
            <v>0</v>
          </cell>
          <cell r="AP3">
            <v>23</v>
          </cell>
          <cell r="AQ3">
            <v>730000</v>
          </cell>
          <cell r="AR3" t="str">
            <v>２４</v>
          </cell>
          <cell r="AS3" t="str">
            <v>１１</v>
          </cell>
          <cell r="AT3">
            <v>0</v>
          </cell>
          <cell r="AU3">
            <v>0</v>
          </cell>
          <cell r="AV3">
            <v>0</v>
          </cell>
          <cell r="AW3">
            <v>0</v>
          </cell>
          <cell r="AX3">
            <v>0</v>
          </cell>
          <cell r="AY3">
            <v>0</v>
          </cell>
          <cell r="AZ3">
            <v>23</v>
          </cell>
          <cell r="BA3">
            <v>730000</v>
          </cell>
          <cell r="BB3">
            <v>0</v>
          </cell>
          <cell r="BC3">
            <v>0</v>
          </cell>
          <cell r="BD3">
            <v>23</v>
          </cell>
          <cell r="BE3">
            <v>730000</v>
          </cell>
          <cell r="BF3" t="str">
            <v/>
          </cell>
          <cell r="BG3" t="str">
            <v>２４</v>
          </cell>
          <cell r="BH3" t="str">
            <v>２４</v>
          </cell>
          <cell r="BI3" t="str">
            <v>１１</v>
          </cell>
          <cell r="BJ3" t="str">
            <v>９</v>
          </cell>
          <cell r="BK3" t="str">
            <v>平成２４年１１月６日</v>
          </cell>
          <cell r="BL3" t="str">
            <v/>
          </cell>
        </row>
        <row r="4">
          <cell r="B4" t="str">
            <v>３９８</v>
          </cell>
          <cell r="C4" t="str">
            <v>２４</v>
          </cell>
          <cell r="D4" t="str">
            <v>１０</v>
          </cell>
          <cell r="E4" t="str">
            <v>１０</v>
          </cell>
          <cell r="F4">
            <v>7</v>
          </cell>
          <cell r="G4" t="str">
            <v>福島県市町村職員共済組合</v>
          </cell>
          <cell r="H4" t="str">
            <v>２４福自共第１００６号</v>
          </cell>
          <cell r="I4">
            <v>3</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t="str">
            <v>２４</v>
          </cell>
          <cell r="AC4" t="str">
            <v>１１</v>
          </cell>
          <cell r="AD4" t="str">
            <v>９</v>
          </cell>
          <cell r="AE4" t="str">
            <v>平成２４年１１月６日</v>
          </cell>
          <cell r="AF4">
            <v>0</v>
          </cell>
          <cell r="AG4">
            <v>0</v>
          </cell>
          <cell r="AH4">
            <v>0</v>
          </cell>
          <cell r="AI4">
            <v>0</v>
          </cell>
          <cell r="AJ4">
            <v>0</v>
          </cell>
          <cell r="AK4">
            <v>0</v>
          </cell>
          <cell r="AL4">
            <v>0</v>
          </cell>
          <cell r="AM4">
            <v>0</v>
          </cell>
          <cell r="AN4">
            <v>0</v>
          </cell>
          <cell r="AO4">
            <v>0</v>
          </cell>
          <cell r="AP4">
            <v>23</v>
          </cell>
          <cell r="AQ4">
            <v>690000</v>
          </cell>
          <cell r="AR4" t="str">
            <v>２４</v>
          </cell>
          <cell r="AS4" t="str">
            <v>１１</v>
          </cell>
          <cell r="AT4">
            <v>0</v>
          </cell>
          <cell r="AU4">
            <v>0</v>
          </cell>
          <cell r="AV4">
            <v>0</v>
          </cell>
          <cell r="AW4">
            <v>0</v>
          </cell>
          <cell r="AX4">
            <v>0</v>
          </cell>
          <cell r="AY4">
            <v>0</v>
          </cell>
          <cell r="AZ4">
            <v>23</v>
          </cell>
          <cell r="BA4">
            <v>690000</v>
          </cell>
          <cell r="BB4">
            <v>0</v>
          </cell>
          <cell r="BC4">
            <v>0</v>
          </cell>
          <cell r="BD4" t="str">
            <v>９</v>
          </cell>
          <cell r="BE4" t="str">
            <v>平成２４年１１月６日</v>
          </cell>
          <cell r="BF4">
            <v>23</v>
          </cell>
          <cell r="BG4">
            <v>690000</v>
          </cell>
          <cell r="BH4" t="str">
            <v>２４</v>
          </cell>
          <cell r="BI4" t="str">
            <v>１１</v>
          </cell>
          <cell r="BJ4" t="str">
            <v>９</v>
          </cell>
          <cell r="BK4" t="str">
            <v>平成２４年１１月６日</v>
          </cell>
          <cell r="BL4" t="str">
            <v/>
          </cell>
        </row>
        <row r="5">
          <cell r="G5" t="e">
            <v>#N/A</v>
          </cell>
          <cell r="H5" t="e">
            <v>#N/A</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0</v>
          </cell>
          <cell r="AD5">
            <v>0</v>
          </cell>
          <cell r="AE5">
            <v>0</v>
          </cell>
          <cell r="AF5">
            <v>0</v>
          </cell>
          <cell r="AG5">
            <v>0</v>
          </cell>
          <cell r="AH5">
            <v>0</v>
          </cell>
          <cell r="AI5">
            <v>0</v>
          </cell>
          <cell r="AJ5">
            <v>0</v>
          </cell>
          <cell r="AK5">
            <v>0</v>
          </cell>
          <cell r="AL5">
            <v>0</v>
          </cell>
          <cell r="AM5">
            <v>0</v>
          </cell>
          <cell r="AN5">
            <v>0</v>
          </cell>
          <cell r="AO5">
            <v>0</v>
          </cell>
          <cell r="AP5">
            <v>0</v>
          </cell>
          <cell r="AQ5">
            <v>0</v>
          </cell>
          <cell r="AR5">
            <v>0</v>
          </cell>
          <cell r="AS5">
            <v>0</v>
          </cell>
          <cell r="AT5">
            <v>0</v>
          </cell>
          <cell r="AU5">
            <v>0</v>
          </cell>
          <cell r="AV5">
            <v>0</v>
          </cell>
          <cell r="AW5">
            <v>0</v>
          </cell>
          <cell r="AX5">
            <v>0</v>
          </cell>
          <cell r="AY5">
            <v>0</v>
          </cell>
          <cell r="AZ5" t="str">
            <v/>
          </cell>
          <cell r="BB5">
            <v>0</v>
          </cell>
          <cell r="BC5">
            <v>0</v>
          </cell>
          <cell r="BL5" t="str">
            <v/>
          </cell>
        </row>
        <row r="6">
          <cell r="G6" t="e">
            <v>#N/A</v>
          </cell>
          <cell r="H6" t="e">
            <v>#N/A</v>
          </cell>
          <cell r="I6">
            <v>0</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cell r="AN6">
            <v>0</v>
          </cell>
          <cell r="AO6">
            <v>0</v>
          </cell>
          <cell r="AP6">
            <v>0</v>
          </cell>
          <cell r="AQ6">
            <v>0</v>
          </cell>
          <cell r="AR6">
            <v>0</v>
          </cell>
          <cell r="AS6">
            <v>0</v>
          </cell>
          <cell r="AT6">
            <v>0</v>
          </cell>
          <cell r="AU6">
            <v>0</v>
          </cell>
          <cell r="AV6">
            <v>0</v>
          </cell>
          <cell r="AW6">
            <v>0</v>
          </cell>
          <cell r="AX6">
            <v>0</v>
          </cell>
          <cell r="AY6">
            <v>0</v>
          </cell>
          <cell r="AZ6" t="str">
            <v/>
          </cell>
          <cell r="BB6">
            <v>0</v>
          </cell>
          <cell r="BC6">
            <v>0</v>
          </cell>
          <cell r="BL6" t="str">
            <v/>
          </cell>
        </row>
        <row r="7">
          <cell r="G7" t="e">
            <v>#N/A</v>
          </cell>
          <cell r="H7" t="e">
            <v>#N/A</v>
          </cell>
          <cell r="I7">
            <v>0</v>
          </cell>
          <cell r="J7">
            <v>0</v>
          </cell>
          <cell r="K7">
            <v>0</v>
          </cell>
          <cell r="L7">
            <v>0</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cell r="AC7">
            <v>0</v>
          </cell>
          <cell r="AD7">
            <v>0</v>
          </cell>
          <cell r="AE7">
            <v>0</v>
          </cell>
          <cell r="AF7">
            <v>0</v>
          </cell>
          <cell r="AG7">
            <v>0</v>
          </cell>
          <cell r="AH7">
            <v>0</v>
          </cell>
          <cell r="AI7">
            <v>0</v>
          </cell>
          <cell r="AJ7">
            <v>0</v>
          </cell>
          <cell r="AK7">
            <v>0</v>
          </cell>
          <cell r="AL7">
            <v>0</v>
          </cell>
          <cell r="AM7">
            <v>0</v>
          </cell>
          <cell r="AN7">
            <v>0</v>
          </cell>
          <cell r="AO7">
            <v>0</v>
          </cell>
          <cell r="AP7">
            <v>0</v>
          </cell>
          <cell r="AQ7">
            <v>0</v>
          </cell>
          <cell r="AR7">
            <v>0</v>
          </cell>
          <cell r="AS7">
            <v>0</v>
          </cell>
          <cell r="AT7">
            <v>0</v>
          </cell>
          <cell r="AU7">
            <v>0</v>
          </cell>
          <cell r="AV7">
            <v>0</v>
          </cell>
          <cell r="AW7">
            <v>0</v>
          </cell>
          <cell r="AX7">
            <v>0</v>
          </cell>
          <cell r="AY7">
            <v>0</v>
          </cell>
          <cell r="AZ7" t="str">
            <v/>
          </cell>
          <cell r="BB7">
            <v>0</v>
          </cell>
          <cell r="BC7">
            <v>0</v>
          </cell>
          <cell r="BL7" t="str">
            <v/>
          </cell>
        </row>
        <row r="8">
          <cell r="G8" t="e">
            <v>#N/A</v>
          </cell>
          <cell r="H8" t="e">
            <v>#N/A</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t="str">
            <v/>
          </cell>
          <cell r="BB8">
            <v>0</v>
          </cell>
          <cell r="BC8">
            <v>0</v>
          </cell>
          <cell r="BL8" t="str">
            <v/>
          </cell>
        </row>
        <row r="9">
          <cell r="G9" t="e">
            <v>#N/A</v>
          </cell>
          <cell r="H9" t="e">
            <v>#N/A</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cell r="AH9">
            <v>0</v>
          </cell>
          <cell r="AI9">
            <v>0</v>
          </cell>
          <cell r="AJ9">
            <v>0</v>
          </cell>
          <cell r="AK9">
            <v>0</v>
          </cell>
          <cell r="AL9">
            <v>0</v>
          </cell>
          <cell r="AM9">
            <v>0</v>
          </cell>
          <cell r="AN9">
            <v>0</v>
          </cell>
          <cell r="AO9">
            <v>0</v>
          </cell>
          <cell r="AP9">
            <v>0</v>
          </cell>
          <cell r="AQ9">
            <v>0</v>
          </cell>
          <cell r="AR9">
            <v>0</v>
          </cell>
          <cell r="AS9">
            <v>0</v>
          </cell>
          <cell r="AT9">
            <v>0</v>
          </cell>
          <cell r="AU9">
            <v>0</v>
          </cell>
          <cell r="AV9">
            <v>0</v>
          </cell>
          <cell r="AW9">
            <v>0</v>
          </cell>
          <cell r="AX9">
            <v>0</v>
          </cell>
          <cell r="AY9">
            <v>0</v>
          </cell>
          <cell r="AZ9" t="str">
            <v/>
          </cell>
          <cell r="BB9">
            <v>0</v>
          </cell>
          <cell r="BC9">
            <v>0</v>
          </cell>
          <cell r="BL9" t="str">
            <v/>
          </cell>
        </row>
        <row r="10">
          <cell r="G10" t="e">
            <v>#N/A</v>
          </cell>
          <cell r="H10" t="e">
            <v>#N/A</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t="str">
            <v/>
          </cell>
          <cell r="BB10">
            <v>0</v>
          </cell>
          <cell r="BC10">
            <v>0</v>
          </cell>
          <cell r="BL10" t="str">
            <v/>
          </cell>
        </row>
        <row r="11">
          <cell r="G11" t="e">
            <v>#N/A</v>
          </cell>
          <cell r="H11" t="e">
            <v>#N/A</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t="str">
            <v/>
          </cell>
          <cell r="BB11">
            <v>0</v>
          </cell>
          <cell r="BC11">
            <v>0</v>
          </cell>
          <cell r="BL11" t="str">
            <v/>
          </cell>
        </row>
        <row r="12">
          <cell r="G12" t="e">
            <v>#N/A</v>
          </cell>
          <cell r="H12" t="e">
            <v>#N/A</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t="str">
            <v/>
          </cell>
          <cell r="BB12">
            <v>0</v>
          </cell>
          <cell r="BC12">
            <v>0</v>
          </cell>
          <cell r="BL12" t="str">
            <v/>
          </cell>
        </row>
        <row r="13">
          <cell r="G13" t="e">
            <v>#N/A</v>
          </cell>
          <cell r="H13" t="e">
            <v>#N/A</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0</v>
          </cell>
          <cell r="AD13">
            <v>0</v>
          </cell>
          <cell r="AE13">
            <v>0</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t="str">
            <v/>
          </cell>
          <cell r="BB13">
            <v>0</v>
          </cell>
          <cell r="BC13">
            <v>0</v>
          </cell>
          <cell r="BL13" t="str">
            <v/>
          </cell>
        </row>
        <row r="14">
          <cell r="G14" t="e">
            <v>#N/A</v>
          </cell>
          <cell r="H14" t="e">
            <v>#N/A</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t="str">
            <v/>
          </cell>
          <cell r="BB14">
            <v>0</v>
          </cell>
          <cell r="BC14">
            <v>0</v>
          </cell>
          <cell r="BL14" t="str">
            <v/>
          </cell>
        </row>
        <row r="15">
          <cell r="G15" t="e">
            <v>#N/A</v>
          </cell>
          <cell r="H15" t="e">
            <v>#N/A</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0</v>
          </cell>
          <cell r="AD15">
            <v>0</v>
          </cell>
          <cell r="AE15">
            <v>0</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t="str">
            <v/>
          </cell>
          <cell r="BB15">
            <v>0</v>
          </cell>
          <cell r="BC15">
            <v>0</v>
          </cell>
          <cell r="BL15" t="str">
            <v/>
          </cell>
        </row>
        <row r="16">
          <cell r="G16" t="e">
            <v>#N/A</v>
          </cell>
          <cell r="H16" t="e">
            <v>#N/A</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t="str">
            <v/>
          </cell>
          <cell r="BB16">
            <v>0</v>
          </cell>
          <cell r="BC16">
            <v>0</v>
          </cell>
          <cell r="BL16" t="str">
            <v/>
          </cell>
        </row>
        <row r="17">
          <cell r="G17" t="e">
            <v>#N/A</v>
          </cell>
          <cell r="H17" t="e">
            <v>#N/A</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t="str">
            <v/>
          </cell>
          <cell r="BB17">
            <v>0</v>
          </cell>
          <cell r="BC17">
            <v>0</v>
          </cell>
          <cell r="BL17" t="str">
            <v/>
          </cell>
        </row>
        <row r="18">
          <cell r="G18" t="e">
            <v>#N/A</v>
          </cell>
          <cell r="H18" t="e">
            <v>#N/A</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t="str">
            <v/>
          </cell>
          <cell r="BB18">
            <v>0</v>
          </cell>
          <cell r="BC18">
            <v>0</v>
          </cell>
          <cell r="BL18" t="str">
            <v/>
          </cell>
        </row>
        <row r="19">
          <cell r="G19" t="e">
            <v>#N/A</v>
          </cell>
          <cell r="H19" t="e">
            <v>#N/A</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v>
          </cell>
          <cell r="AE19">
            <v>0</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t="str">
            <v/>
          </cell>
          <cell r="BB19">
            <v>0</v>
          </cell>
          <cell r="BC19">
            <v>0</v>
          </cell>
          <cell r="BL19" t="str">
            <v/>
          </cell>
        </row>
        <row r="20">
          <cell r="G20" t="e">
            <v>#N/A</v>
          </cell>
          <cell r="H20" t="e">
            <v>#N/A</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t="str">
            <v/>
          </cell>
          <cell r="BB20">
            <v>0</v>
          </cell>
          <cell r="BC20">
            <v>0</v>
          </cell>
          <cell r="BL20" t="str">
            <v/>
          </cell>
        </row>
        <row r="21">
          <cell r="G21" t="e">
            <v>#N/A</v>
          </cell>
          <cell r="H21" t="e">
            <v>#N/A</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cell r="Z21">
            <v>0</v>
          </cell>
          <cell r="AA21">
            <v>0</v>
          </cell>
          <cell r="AB21">
            <v>0</v>
          </cell>
          <cell r="AC21">
            <v>0</v>
          </cell>
          <cell r="AD21">
            <v>0</v>
          </cell>
          <cell r="AE21">
            <v>0</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t="str">
            <v/>
          </cell>
          <cell r="BB21">
            <v>0</v>
          </cell>
          <cell r="BC21">
            <v>0</v>
          </cell>
          <cell r="BL21" t="str">
            <v/>
          </cell>
        </row>
        <row r="22">
          <cell r="G22" t="e">
            <v>#N/A</v>
          </cell>
          <cell r="H22" t="e">
            <v>#N/A</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0</v>
          </cell>
          <cell r="AD22">
            <v>0</v>
          </cell>
          <cell r="AE22">
            <v>0</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t="str">
            <v/>
          </cell>
          <cell r="BB22">
            <v>0</v>
          </cell>
          <cell r="BC22">
            <v>0</v>
          </cell>
          <cell r="BL22" t="str">
            <v/>
          </cell>
        </row>
        <row r="23">
          <cell r="G23" t="e">
            <v>#N/A</v>
          </cell>
          <cell r="H23" t="e">
            <v>#N/A</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0</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t="str">
            <v/>
          </cell>
          <cell r="BB23">
            <v>0</v>
          </cell>
          <cell r="BC23">
            <v>0</v>
          </cell>
          <cell r="BL23" t="str">
            <v/>
          </cell>
        </row>
        <row r="24">
          <cell r="G24" t="e">
            <v>#N/A</v>
          </cell>
          <cell r="H24" t="e">
            <v>#N/A</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t="str">
            <v/>
          </cell>
          <cell r="BB24">
            <v>0</v>
          </cell>
          <cell r="BC24">
            <v>0</v>
          </cell>
          <cell r="BL24" t="str">
            <v/>
          </cell>
        </row>
        <row r="25">
          <cell r="G25" t="e">
            <v>#N/A</v>
          </cell>
          <cell r="H25" t="e">
            <v>#N/A</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cell r="AN25">
            <v>0</v>
          </cell>
          <cell r="AO25">
            <v>0</v>
          </cell>
          <cell r="AP25">
            <v>0</v>
          </cell>
          <cell r="AQ25">
            <v>0</v>
          </cell>
          <cell r="AR25">
            <v>0</v>
          </cell>
          <cell r="AS25">
            <v>0</v>
          </cell>
          <cell r="AT25">
            <v>0</v>
          </cell>
          <cell r="AU25">
            <v>0</v>
          </cell>
          <cell r="AV25">
            <v>0</v>
          </cell>
          <cell r="AW25">
            <v>0</v>
          </cell>
          <cell r="AX25">
            <v>0</v>
          </cell>
          <cell r="AY25">
            <v>0</v>
          </cell>
          <cell r="AZ25" t="str">
            <v/>
          </cell>
          <cell r="BB25">
            <v>0</v>
          </cell>
          <cell r="BC25">
            <v>0</v>
          </cell>
          <cell r="BL25" t="str">
            <v/>
          </cell>
        </row>
        <row r="26">
          <cell r="G26" t="e">
            <v>#N/A</v>
          </cell>
          <cell r="H26" t="e">
            <v>#N/A</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t="str">
            <v/>
          </cell>
          <cell r="BB26">
            <v>0</v>
          </cell>
          <cell r="BC26">
            <v>0</v>
          </cell>
          <cell r="BL26" t="str">
            <v/>
          </cell>
        </row>
        <row r="27">
          <cell r="G27" t="e">
            <v>#N/A</v>
          </cell>
          <cell r="H27" t="e">
            <v>#N/A</v>
          </cell>
          <cell r="I27">
            <v>0</v>
          </cell>
          <cell r="J27">
            <v>0</v>
          </cell>
          <cell r="K27">
            <v>0</v>
          </cell>
          <cell r="L27">
            <v>0</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cell r="AH27">
            <v>0</v>
          </cell>
          <cell r="AI27">
            <v>0</v>
          </cell>
          <cell r="AJ27">
            <v>0</v>
          </cell>
          <cell r="AK27">
            <v>0</v>
          </cell>
          <cell r="AL27">
            <v>0</v>
          </cell>
          <cell r="AM27">
            <v>0</v>
          </cell>
          <cell r="AN27">
            <v>0</v>
          </cell>
          <cell r="AO27">
            <v>0</v>
          </cell>
          <cell r="AP27">
            <v>0</v>
          </cell>
          <cell r="AQ27">
            <v>0</v>
          </cell>
          <cell r="AR27">
            <v>0</v>
          </cell>
          <cell r="AS27">
            <v>0</v>
          </cell>
          <cell r="AT27">
            <v>0</v>
          </cell>
          <cell r="AU27">
            <v>0</v>
          </cell>
          <cell r="AV27">
            <v>0</v>
          </cell>
          <cell r="AW27">
            <v>0</v>
          </cell>
          <cell r="AX27">
            <v>0</v>
          </cell>
          <cell r="AY27">
            <v>0</v>
          </cell>
          <cell r="AZ27" t="str">
            <v/>
          </cell>
          <cell r="BB27">
            <v>0</v>
          </cell>
          <cell r="BC27">
            <v>0</v>
          </cell>
          <cell r="BL27" t="str">
            <v/>
          </cell>
        </row>
        <row r="28">
          <cell r="G28" t="e">
            <v>#N/A</v>
          </cell>
          <cell r="H28" t="e">
            <v>#N/A</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cell r="AN28">
            <v>0</v>
          </cell>
          <cell r="AO28">
            <v>0</v>
          </cell>
          <cell r="AP28">
            <v>0</v>
          </cell>
          <cell r="AQ28">
            <v>0</v>
          </cell>
          <cell r="AR28">
            <v>0</v>
          </cell>
          <cell r="AS28">
            <v>0</v>
          </cell>
          <cell r="AT28">
            <v>0</v>
          </cell>
          <cell r="AU28">
            <v>0</v>
          </cell>
          <cell r="AV28">
            <v>0</v>
          </cell>
          <cell r="AW28">
            <v>0</v>
          </cell>
          <cell r="AX28">
            <v>0</v>
          </cell>
          <cell r="AY28">
            <v>0</v>
          </cell>
          <cell r="AZ28" t="str">
            <v/>
          </cell>
          <cell r="BB28">
            <v>0</v>
          </cell>
          <cell r="BC28">
            <v>0</v>
          </cell>
          <cell r="BL28" t="str">
            <v/>
          </cell>
        </row>
        <row r="29">
          <cell r="G29" t="e">
            <v>#N/A</v>
          </cell>
          <cell r="H29" t="e">
            <v>#N/A</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t="str">
            <v/>
          </cell>
          <cell r="BB29">
            <v>0</v>
          </cell>
          <cell r="BC29">
            <v>0</v>
          </cell>
          <cell r="BL29" t="str">
            <v/>
          </cell>
        </row>
        <row r="30">
          <cell r="G30" t="e">
            <v>#N/A</v>
          </cell>
          <cell r="H30" t="e">
            <v>#N/A</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M30">
            <v>0</v>
          </cell>
          <cell r="AN30">
            <v>0</v>
          </cell>
          <cell r="AO30">
            <v>0</v>
          </cell>
          <cell r="AP30">
            <v>0</v>
          </cell>
          <cell r="AQ30">
            <v>0</v>
          </cell>
          <cell r="AR30">
            <v>0</v>
          </cell>
          <cell r="AS30">
            <v>0</v>
          </cell>
          <cell r="AT30">
            <v>0</v>
          </cell>
          <cell r="AU30">
            <v>0</v>
          </cell>
          <cell r="AV30">
            <v>0</v>
          </cell>
          <cell r="AW30">
            <v>0</v>
          </cell>
          <cell r="AX30">
            <v>0</v>
          </cell>
          <cell r="AY30">
            <v>0</v>
          </cell>
          <cell r="AZ30" t="str">
            <v/>
          </cell>
          <cell r="BB30">
            <v>0</v>
          </cell>
          <cell r="BC30">
            <v>0</v>
          </cell>
          <cell r="BL30" t="str">
            <v/>
          </cell>
        </row>
        <row r="31">
          <cell r="G31" t="e">
            <v>#N/A</v>
          </cell>
          <cell r="H31" t="e">
            <v>#N/A</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cell r="AF31">
            <v>0</v>
          </cell>
          <cell r="AG31">
            <v>0</v>
          </cell>
          <cell r="AH31">
            <v>0</v>
          </cell>
          <cell r="AI31">
            <v>0</v>
          </cell>
          <cell r="AJ31">
            <v>0</v>
          </cell>
          <cell r="AK31">
            <v>0</v>
          </cell>
          <cell r="AL31">
            <v>0</v>
          </cell>
          <cell r="AM31">
            <v>0</v>
          </cell>
          <cell r="AN31">
            <v>0</v>
          </cell>
          <cell r="AO31">
            <v>0</v>
          </cell>
          <cell r="AP31">
            <v>0</v>
          </cell>
          <cell r="AQ31">
            <v>0</v>
          </cell>
          <cell r="AR31">
            <v>0</v>
          </cell>
          <cell r="AS31">
            <v>0</v>
          </cell>
          <cell r="AT31">
            <v>0</v>
          </cell>
          <cell r="AU31">
            <v>0</v>
          </cell>
          <cell r="AV31">
            <v>0</v>
          </cell>
          <cell r="AW31">
            <v>0</v>
          </cell>
          <cell r="AX31">
            <v>0</v>
          </cell>
          <cell r="AY31">
            <v>0</v>
          </cell>
          <cell r="AZ31" t="str">
            <v/>
          </cell>
          <cell r="BB31">
            <v>0</v>
          </cell>
          <cell r="BC31">
            <v>0</v>
          </cell>
          <cell r="BL31" t="str">
            <v/>
          </cell>
        </row>
        <row r="32">
          <cell r="G32" t="e">
            <v>#N/A</v>
          </cell>
          <cell r="H32" t="e">
            <v>#N/A</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v>0</v>
          </cell>
          <cell r="AV32">
            <v>0</v>
          </cell>
          <cell r="AW32">
            <v>0</v>
          </cell>
          <cell r="AX32">
            <v>0</v>
          </cell>
          <cell r="AY32">
            <v>0</v>
          </cell>
          <cell r="AZ32" t="str">
            <v/>
          </cell>
          <cell r="BB32">
            <v>0</v>
          </cell>
          <cell r="BC32">
            <v>0</v>
          </cell>
          <cell r="BL32" t="str">
            <v/>
          </cell>
        </row>
        <row r="33">
          <cell r="G33" t="e">
            <v>#N/A</v>
          </cell>
          <cell r="H33" t="e">
            <v>#N/A</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t="str">
            <v/>
          </cell>
          <cell r="BB33">
            <v>0</v>
          </cell>
          <cell r="BC33">
            <v>0</v>
          </cell>
          <cell r="BL33" t="str">
            <v/>
          </cell>
        </row>
        <row r="34">
          <cell r="G34" t="e">
            <v>#N/A</v>
          </cell>
          <cell r="H34" t="e">
            <v>#N/A</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v>0</v>
          </cell>
          <cell r="AW34">
            <v>0</v>
          </cell>
          <cell r="AX34">
            <v>0</v>
          </cell>
          <cell r="AY34">
            <v>0</v>
          </cell>
          <cell r="AZ34" t="str">
            <v/>
          </cell>
          <cell r="BB34">
            <v>0</v>
          </cell>
          <cell r="BC34">
            <v>0</v>
          </cell>
          <cell r="BL34" t="str">
            <v/>
          </cell>
        </row>
        <row r="35">
          <cell r="G35" t="e">
            <v>#N/A</v>
          </cell>
          <cell r="H35" t="e">
            <v>#N/A</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t="str">
            <v/>
          </cell>
          <cell r="BB35">
            <v>0</v>
          </cell>
          <cell r="BC35">
            <v>0</v>
          </cell>
          <cell r="BL35" t="str">
            <v/>
          </cell>
        </row>
        <row r="36">
          <cell r="G36" t="e">
            <v>#N/A</v>
          </cell>
          <cell r="H36" t="e">
            <v>#N/A</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t="str">
            <v/>
          </cell>
          <cell r="BB36">
            <v>0</v>
          </cell>
          <cell r="BC36">
            <v>0</v>
          </cell>
          <cell r="BL36" t="str">
            <v/>
          </cell>
        </row>
        <row r="37">
          <cell r="G37" t="e">
            <v>#N/A</v>
          </cell>
          <cell r="H37" t="e">
            <v>#N/A</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t="str">
            <v/>
          </cell>
          <cell r="BB37">
            <v>0</v>
          </cell>
          <cell r="BC37">
            <v>0</v>
          </cell>
          <cell r="BL37" t="str">
            <v/>
          </cell>
        </row>
        <row r="38">
          <cell r="G38" t="e">
            <v>#N/A</v>
          </cell>
          <cell r="H38" t="e">
            <v>#N/A</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t="str">
            <v/>
          </cell>
          <cell r="BB38">
            <v>0</v>
          </cell>
          <cell r="BC38">
            <v>0</v>
          </cell>
          <cell r="BL38" t="str">
            <v/>
          </cell>
        </row>
        <row r="39">
          <cell r="G39" t="e">
            <v>#N/A</v>
          </cell>
          <cell r="H39" t="e">
            <v>#N/A</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t="str">
            <v/>
          </cell>
          <cell r="BB39">
            <v>0</v>
          </cell>
          <cell r="BC39">
            <v>0</v>
          </cell>
          <cell r="BL39" t="str">
            <v/>
          </cell>
        </row>
        <row r="40">
          <cell r="G40" t="e">
            <v>#N/A</v>
          </cell>
          <cell r="H40" t="e">
            <v>#N/A</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t="str">
            <v/>
          </cell>
          <cell r="BB40">
            <v>0</v>
          </cell>
          <cell r="BC40">
            <v>0</v>
          </cell>
          <cell r="BL40" t="str">
            <v/>
          </cell>
        </row>
        <row r="41">
          <cell r="G41" t="e">
            <v>#N/A</v>
          </cell>
          <cell r="H41" t="e">
            <v>#N/A</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t="str">
            <v/>
          </cell>
          <cell r="BB41">
            <v>0</v>
          </cell>
          <cell r="BC41">
            <v>0</v>
          </cell>
          <cell r="BL41" t="str">
            <v/>
          </cell>
        </row>
        <row r="42">
          <cell r="G42" t="e">
            <v>#N/A</v>
          </cell>
          <cell r="H42" t="e">
            <v>#N/A</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cell r="AY42">
            <v>0</v>
          </cell>
          <cell r="AZ42" t="str">
            <v/>
          </cell>
          <cell r="BB42">
            <v>0</v>
          </cell>
          <cell r="BC42">
            <v>0</v>
          </cell>
          <cell r="BL42" t="str">
            <v/>
          </cell>
        </row>
        <row r="43">
          <cell r="G43" t="e">
            <v>#N/A</v>
          </cell>
          <cell r="H43" t="e">
            <v>#N/A</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0</v>
          </cell>
          <cell r="AQ43">
            <v>0</v>
          </cell>
          <cell r="AR43">
            <v>0</v>
          </cell>
          <cell r="AS43">
            <v>0</v>
          </cell>
          <cell r="AT43">
            <v>0</v>
          </cell>
          <cell r="AU43">
            <v>0</v>
          </cell>
          <cell r="AV43">
            <v>0</v>
          </cell>
          <cell r="AW43">
            <v>0</v>
          </cell>
          <cell r="AX43">
            <v>0</v>
          </cell>
          <cell r="AY43">
            <v>0</v>
          </cell>
          <cell r="AZ43" t="str">
            <v/>
          </cell>
          <cell r="BB43">
            <v>0</v>
          </cell>
          <cell r="BC43">
            <v>0</v>
          </cell>
          <cell r="BL43" t="str">
            <v/>
          </cell>
        </row>
        <row r="44">
          <cell r="G44" t="e">
            <v>#N/A</v>
          </cell>
          <cell r="H44" t="e">
            <v>#N/A</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cell r="AY44">
            <v>0</v>
          </cell>
          <cell r="AZ44" t="str">
            <v/>
          </cell>
          <cell r="BB44">
            <v>0</v>
          </cell>
          <cell r="BC44">
            <v>0</v>
          </cell>
          <cell r="BL44" t="str">
            <v/>
          </cell>
        </row>
        <row r="45">
          <cell r="G45" t="e">
            <v>#N/A</v>
          </cell>
          <cell r="H45" t="e">
            <v>#N/A</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t="str">
            <v/>
          </cell>
          <cell r="BB45">
            <v>0</v>
          </cell>
          <cell r="BC45">
            <v>0</v>
          </cell>
          <cell r="BL45" t="str">
            <v/>
          </cell>
        </row>
        <row r="46">
          <cell r="G46" t="e">
            <v>#N/A</v>
          </cell>
          <cell r="H46" t="e">
            <v>#N/A</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0</v>
          </cell>
          <cell r="AQ46">
            <v>0</v>
          </cell>
          <cell r="AR46">
            <v>0</v>
          </cell>
          <cell r="AS46">
            <v>0</v>
          </cell>
          <cell r="AT46">
            <v>0</v>
          </cell>
          <cell r="AU46">
            <v>0</v>
          </cell>
          <cell r="AV46">
            <v>0</v>
          </cell>
          <cell r="AW46">
            <v>0</v>
          </cell>
          <cell r="AX46">
            <v>0</v>
          </cell>
          <cell r="AY46">
            <v>0</v>
          </cell>
          <cell r="AZ46" t="str">
            <v/>
          </cell>
          <cell r="BB46">
            <v>0</v>
          </cell>
          <cell r="BC46">
            <v>0</v>
          </cell>
          <cell r="BL46" t="str">
            <v/>
          </cell>
        </row>
        <row r="47">
          <cell r="G47" t="e">
            <v>#N/A</v>
          </cell>
          <cell r="H47" t="e">
            <v>#N/A</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t="str">
            <v/>
          </cell>
          <cell r="BB47">
            <v>0</v>
          </cell>
          <cell r="BC47">
            <v>0</v>
          </cell>
          <cell r="BL47" t="str">
            <v/>
          </cell>
        </row>
        <row r="48">
          <cell r="G48" t="e">
            <v>#N/A</v>
          </cell>
          <cell r="H48" t="e">
            <v>#N/A</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0</v>
          </cell>
          <cell r="AG48">
            <v>0</v>
          </cell>
          <cell r="AH48">
            <v>0</v>
          </cell>
          <cell r="AI48">
            <v>0</v>
          </cell>
          <cell r="AJ48">
            <v>0</v>
          </cell>
          <cell r="AK48">
            <v>0</v>
          </cell>
          <cell r="AL48">
            <v>0</v>
          </cell>
          <cell r="AM48">
            <v>0</v>
          </cell>
          <cell r="AN48">
            <v>0</v>
          </cell>
          <cell r="AO48">
            <v>0</v>
          </cell>
          <cell r="AP48">
            <v>0</v>
          </cell>
          <cell r="AQ48">
            <v>0</v>
          </cell>
          <cell r="AR48">
            <v>0</v>
          </cell>
          <cell r="AS48">
            <v>0</v>
          </cell>
          <cell r="AT48">
            <v>0</v>
          </cell>
          <cell r="AU48">
            <v>0</v>
          </cell>
          <cell r="AV48">
            <v>0</v>
          </cell>
          <cell r="AW48">
            <v>0</v>
          </cell>
          <cell r="AX48">
            <v>0</v>
          </cell>
          <cell r="AY48">
            <v>0</v>
          </cell>
          <cell r="AZ48" t="str">
            <v/>
          </cell>
          <cell r="BB48">
            <v>0</v>
          </cell>
          <cell r="BC48">
            <v>0</v>
          </cell>
          <cell r="BL48" t="str">
            <v/>
          </cell>
        </row>
        <row r="49">
          <cell r="G49" t="e">
            <v>#N/A</v>
          </cell>
          <cell r="H49" t="e">
            <v>#N/A</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0</v>
          </cell>
          <cell r="AQ49">
            <v>0</v>
          </cell>
          <cell r="AR49">
            <v>0</v>
          </cell>
          <cell r="AS49">
            <v>0</v>
          </cell>
          <cell r="AT49">
            <v>0</v>
          </cell>
          <cell r="AU49">
            <v>0</v>
          </cell>
          <cell r="AV49">
            <v>0</v>
          </cell>
          <cell r="AW49">
            <v>0</v>
          </cell>
          <cell r="AX49">
            <v>0</v>
          </cell>
          <cell r="AY49">
            <v>0</v>
          </cell>
          <cell r="AZ49" t="str">
            <v/>
          </cell>
          <cell r="BB49">
            <v>0</v>
          </cell>
          <cell r="BC49">
            <v>0</v>
          </cell>
          <cell r="BL49" t="str">
            <v/>
          </cell>
        </row>
        <row r="50">
          <cell r="G50" t="e">
            <v>#N/A</v>
          </cell>
          <cell r="H50" t="e">
            <v>#N/A</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cell r="AH50">
            <v>0</v>
          </cell>
          <cell r="AI50">
            <v>0</v>
          </cell>
          <cell r="AJ50">
            <v>0</v>
          </cell>
          <cell r="AK50">
            <v>0</v>
          </cell>
          <cell r="AL50">
            <v>0</v>
          </cell>
          <cell r="AM50">
            <v>0</v>
          </cell>
          <cell r="AN50">
            <v>0</v>
          </cell>
          <cell r="AO50">
            <v>0</v>
          </cell>
          <cell r="AP50">
            <v>0</v>
          </cell>
          <cell r="AQ50">
            <v>0</v>
          </cell>
          <cell r="AR50">
            <v>0</v>
          </cell>
          <cell r="AS50">
            <v>0</v>
          </cell>
          <cell r="AT50">
            <v>0</v>
          </cell>
          <cell r="AU50">
            <v>0</v>
          </cell>
          <cell r="AV50">
            <v>0</v>
          </cell>
          <cell r="AW50">
            <v>0</v>
          </cell>
          <cell r="AX50">
            <v>0</v>
          </cell>
          <cell r="AY50">
            <v>0</v>
          </cell>
          <cell r="AZ50" t="str">
            <v/>
          </cell>
          <cell r="BB50">
            <v>0</v>
          </cell>
          <cell r="BC50">
            <v>0</v>
          </cell>
          <cell r="BL50" t="str">
            <v/>
          </cell>
        </row>
        <row r="51">
          <cell r="G51" t="e">
            <v>#N/A</v>
          </cell>
          <cell r="H51" t="e">
            <v>#N/A</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0</v>
          </cell>
          <cell r="AQ51">
            <v>0</v>
          </cell>
          <cell r="AR51">
            <v>0</v>
          </cell>
          <cell r="AS51">
            <v>0</v>
          </cell>
          <cell r="AT51">
            <v>0</v>
          </cell>
          <cell r="AU51">
            <v>0</v>
          </cell>
          <cell r="AV51">
            <v>0</v>
          </cell>
          <cell r="AW51">
            <v>0</v>
          </cell>
          <cell r="AX51">
            <v>0</v>
          </cell>
          <cell r="AY51">
            <v>0</v>
          </cell>
          <cell r="AZ51" t="str">
            <v/>
          </cell>
          <cell r="BB51">
            <v>0</v>
          </cell>
          <cell r="BC51">
            <v>0</v>
          </cell>
          <cell r="BL51" t="str">
            <v/>
          </cell>
        </row>
        <row r="52">
          <cell r="G52" t="e">
            <v>#N/A</v>
          </cell>
          <cell r="H52" t="e">
            <v>#N/A</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t="str">
            <v/>
          </cell>
          <cell r="BB52">
            <v>0</v>
          </cell>
          <cell r="BC52">
            <v>0</v>
          </cell>
          <cell r="BL52" t="str">
            <v/>
          </cell>
        </row>
        <row r="53">
          <cell r="G53" t="e">
            <v>#N/A</v>
          </cell>
          <cell r="H53" t="e">
            <v>#N/A</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t="str">
            <v/>
          </cell>
          <cell r="BB53">
            <v>0</v>
          </cell>
          <cell r="BC53">
            <v>0</v>
          </cell>
          <cell r="BL53" t="str">
            <v/>
          </cell>
        </row>
        <row r="54">
          <cell r="G54" t="e">
            <v>#N/A</v>
          </cell>
          <cell r="H54" t="e">
            <v>#N/A</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t="str">
            <v/>
          </cell>
          <cell r="BB54">
            <v>0</v>
          </cell>
          <cell r="BC54">
            <v>0</v>
          </cell>
          <cell r="BL54" t="str">
            <v/>
          </cell>
        </row>
        <row r="55">
          <cell r="G55" t="e">
            <v>#N/A</v>
          </cell>
          <cell r="H55" t="e">
            <v>#N/A</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t="str">
            <v/>
          </cell>
          <cell r="BB55">
            <v>0</v>
          </cell>
          <cell r="BC55">
            <v>0</v>
          </cell>
          <cell r="BL55" t="str">
            <v/>
          </cell>
        </row>
        <row r="56">
          <cell r="G56" t="e">
            <v>#N/A</v>
          </cell>
          <cell r="H56" t="e">
            <v>#N/A</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t="str">
            <v/>
          </cell>
          <cell r="BB56">
            <v>0</v>
          </cell>
          <cell r="BC56">
            <v>0</v>
          </cell>
          <cell r="BL56" t="str">
            <v/>
          </cell>
        </row>
        <row r="57">
          <cell r="G57" t="e">
            <v>#N/A</v>
          </cell>
          <cell r="H57" t="e">
            <v>#N/A</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0</v>
          </cell>
          <cell r="AV57">
            <v>0</v>
          </cell>
          <cell r="AW57">
            <v>0</v>
          </cell>
          <cell r="AX57">
            <v>0</v>
          </cell>
          <cell r="AY57">
            <v>0</v>
          </cell>
          <cell r="AZ57" t="str">
            <v/>
          </cell>
          <cell r="BB57">
            <v>0</v>
          </cell>
          <cell r="BC57">
            <v>0</v>
          </cell>
          <cell r="BL57" t="str">
            <v/>
          </cell>
        </row>
        <row r="58">
          <cell r="G58" t="e">
            <v>#N/A</v>
          </cell>
          <cell r="H58" t="e">
            <v>#N/A</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t="str">
            <v/>
          </cell>
          <cell r="BB58">
            <v>0</v>
          </cell>
          <cell r="BC58">
            <v>0</v>
          </cell>
          <cell r="BL58" t="str">
            <v/>
          </cell>
        </row>
        <row r="59">
          <cell r="G59" t="e">
            <v>#N/A</v>
          </cell>
          <cell r="H59" t="e">
            <v>#N/A</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t="str">
            <v/>
          </cell>
          <cell r="BB59">
            <v>0</v>
          </cell>
          <cell r="BC59">
            <v>0</v>
          </cell>
          <cell r="BL59" t="str">
            <v/>
          </cell>
        </row>
        <row r="60">
          <cell r="G60" t="e">
            <v>#N/A</v>
          </cell>
          <cell r="H60" t="e">
            <v>#N/A</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cell r="AY60">
            <v>0</v>
          </cell>
          <cell r="AZ60" t="str">
            <v/>
          </cell>
          <cell r="BB60">
            <v>0</v>
          </cell>
          <cell r="BC60">
            <v>0</v>
          </cell>
          <cell r="BL60" t="str">
            <v/>
          </cell>
        </row>
        <row r="61">
          <cell r="G61" t="e">
            <v>#N/A</v>
          </cell>
          <cell r="H61" t="e">
            <v>#N/A</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0</v>
          </cell>
          <cell r="AQ61">
            <v>0</v>
          </cell>
          <cell r="AR61">
            <v>0</v>
          </cell>
          <cell r="AS61">
            <v>0</v>
          </cell>
          <cell r="AT61">
            <v>0</v>
          </cell>
          <cell r="AU61">
            <v>0</v>
          </cell>
          <cell r="AV61">
            <v>0</v>
          </cell>
          <cell r="AW61">
            <v>0</v>
          </cell>
          <cell r="AX61">
            <v>0</v>
          </cell>
          <cell r="AY61">
            <v>0</v>
          </cell>
          <cell r="AZ61" t="str">
            <v/>
          </cell>
          <cell r="BB61">
            <v>0</v>
          </cell>
          <cell r="BC61">
            <v>0</v>
          </cell>
          <cell r="BL61" t="str">
            <v/>
          </cell>
        </row>
        <row r="62">
          <cell r="G62" t="e">
            <v>#N/A</v>
          </cell>
          <cell r="H62" t="e">
            <v>#N/A</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cell r="AF62">
            <v>0</v>
          </cell>
          <cell r="AG62">
            <v>0</v>
          </cell>
          <cell r="AH62">
            <v>0</v>
          </cell>
          <cell r="AI62">
            <v>0</v>
          </cell>
          <cell r="AJ62">
            <v>0</v>
          </cell>
          <cell r="AK62">
            <v>0</v>
          </cell>
          <cell r="AL62">
            <v>0</v>
          </cell>
          <cell r="AM62">
            <v>0</v>
          </cell>
          <cell r="AN62">
            <v>0</v>
          </cell>
          <cell r="AO62">
            <v>0</v>
          </cell>
          <cell r="AP62">
            <v>0</v>
          </cell>
          <cell r="AQ62">
            <v>0</v>
          </cell>
          <cell r="AR62">
            <v>0</v>
          </cell>
          <cell r="AS62">
            <v>0</v>
          </cell>
          <cell r="AT62">
            <v>0</v>
          </cell>
          <cell r="AU62">
            <v>0</v>
          </cell>
          <cell r="AV62">
            <v>0</v>
          </cell>
          <cell r="AW62">
            <v>0</v>
          </cell>
          <cell r="AX62">
            <v>0</v>
          </cell>
          <cell r="AY62">
            <v>0</v>
          </cell>
          <cell r="AZ62" t="str">
            <v/>
          </cell>
          <cell r="BB62">
            <v>0</v>
          </cell>
          <cell r="BC62">
            <v>0</v>
          </cell>
          <cell r="BL62" t="str">
            <v/>
          </cell>
        </row>
        <row r="63">
          <cell r="G63" t="e">
            <v>#N/A</v>
          </cell>
          <cell r="H63" t="e">
            <v>#N/A</v>
          </cell>
          <cell r="I63">
            <v>0</v>
          </cell>
          <cell r="J63">
            <v>0</v>
          </cell>
          <cell r="K63">
            <v>0</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0</v>
          </cell>
          <cell r="AQ63">
            <v>0</v>
          </cell>
          <cell r="AR63">
            <v>0</v>
          </cell>
          <cell r="AS63">
            <v>0</v>
          </cell>
          <cell r="AT63">
            <v>0</v>
          </cell>
          <cell r="AU63">
            <v>0</v>
          </cell>
          <cell r="AV63">
            <v>0</v>
          </cell>
          <cell r="AW63">
            <v>0</v>
          </cell>
          <cell r="AX63">
            <v>0</v>
          </cell>
          <cell r="AY63">
            <v>0</v>
          </cell>
          <cell r="AZ63" t="str">
            <v/>
          </cell>
          <cell r="BB63">
            <v>0</v>
          </cell>
          <cell r="BC63">
            <v>0</v>
          </cell>
          <cell r="BL63" t="str">
            <v/>
          </cell>
        </row>
        <row r="64">
          <cell r="G64" t="e">
            <v>#N/A</v>
          </cell>
          <cell r="H64" t="e">
            <v>#N/A</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0</v>
          </cell>
          <cell r="AH64">
            <v>0</v>
          </cell>
          <cell r="AI64">
            <v>0</v>
          </cell>
          <cell r="AJ64">
            <v>0</v>
          </cell>
          <cell r="AK64">
            <v>0</v>
          </cell>
          <cell r="AL64">
            <v>0</v>
          </cell>
          <cell r="AM64">
            <v>0</v>
          </cell>
          <cell r="AN64">
            <v>0</v>
          </cell>
          <cell r="AO64">
            <v>0</v>
          </cell>
          <cell r="AP64">
            <v>0</v>
          </cell>
          <cell r="AQ64">
            <v>0</v>
          </cell>
          <cell r="AR64">
            <v>0</v>
          </cell>
          <cell r="AS64">
            <v>0</v>
          </cell>
          <cell r="AT64">
            <v>0</v>
          </cell>
          <cell r="AU64">
            <v>0</v>
          </cell>
          <cell r="AV64">
            <v>0</v>
          </cell>
          <cell r="AW64">
            <v>0</v>
          </cell>
          <cell r="AX64">
            <v>0</v>
          </cell>
          <cell r="AY64">
            <v>0</v>
          </cell>
          <cell r="AZ64" t="str">
            <v/>
          </cell>
          <cell r="BB64">
            <v>0</v>
          </cell>
          <cell r="BC64">
            <v>0</v>
          </cell>
          <cell r="BL64" t="str">
            <v/>
          </cell>
        </row>
        <row r="65">
          <cell r="G65" t="e">
            <v>#N/A</v>
          </cell>
          <cell r="H65" t="e">
            <v>#N/A</v>
          </cell>
          <cell r="I65">
            <v>0</v>
          </cell>
          <cell r="J65">
            <v>0</v>
          </cell>
          <cell r="K65">
            <v>0</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0</v>
          </cell>
          <cell r="AF65">
            <v>0</v>
          </cell>
          <cell r="AG65">
            <v>0</v>
          </cell>
          <cell r="AH65">
            <v>0</v>
          </cell>
          <cell r="AI65">
            <v>0</v>
          </cell>
          <cell r="AJ65">
            <v>0</v>
          </cell>
          <cell r="AK65">
            <v>0</v>
          </cell>
          <cell r="AL65">
            <v>0</v>
          </cell>
          <cell r="AM65">
            <v>0</v>
          </cell>
          <cell r="AN65">
            <v>0</v>
          </cell>
          <cell r="AO65">
            <v>0</v>
          </cell>
          <cell r="AP65">
            <v>0</v>
          </cell>
          <cell r="AQ65">
            <v>0</v>
          </cell>
          <cell r="AR65">
            <v>0</v>
          </cell>
          <cell r="AS65">
            <v>0</v>
          </cell>
          <cell r="AT65">
            <v>0</v>
          </cell>
          <cell r="AU65">
            <v>0</v>
          </cell>
          <cell r="AV65">
            <v>0</v>
          </cell>
          <cell r="AW65">
            <v>0</v>
          </cell>
          <cell r="AX65">
            <v>0</v>
          </cell>
          <cell r="AY65">
            <v>0</v>
          </cell>
          <cell r="AZ65" t="str">
            <v/>
          </cell>
          <cell r="BB65">
            <v>0</v>
          </cell>
          <cell r="BC65">
            <v>0</v>
          </cell>
          <cell r="BL65" t="str">
            <v/>
          </cell>
        </row>
        <row r="66">
          <cell r="G66" t="e">
            <v>#N/A</v>
          </cell>
          <cell r="H66" t="e">
            <v>#N/A</v>
          </cell>
          <cell r="I66">
            <v>0</v>
          </cell>
          <cell r="J66">
            <v>0</v>
          </cell>
          <cell r="K66">
            <v>0</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0</v>
          </cell>
          <cell r="AQ66">
            <v>0</v>
          </cell>
          <cell r="AR66">
            <v>0</v>
          </cell>
          <cell r="AS66">
            <v>0</v>
          </cell>
          <cell r="AT66">
            <v>0</v>
          </cell>
          <cell r="AU66">
            <v>0</v>
          </cell>
          <cell r="AV66">
            <v>0</v>
          </cell>
          <cell r="AW66">
            <v>0</v>
          </cell>
          <cell r="AX66">
            <v>0</v>
          </cell>
          <cell r="AY66">
            <v>0</v>
          </cell>
          <cell r="AZ66" t="str">
            <v/>
          </cell>
          <cell r="BB66">
            <v>0</v>
          </cell>
          <cell r="BC66">
            <v>0</v>
          </cell>
          <cell r="BL66" t="str">
            <v/>
          </cell>
        </row>
        <row r="67">
          <cell r="G67" t="e">
            <v>#N/A</v>
          </cell>
          <cell r="H67" t="e">
            <v>#N/A</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cell r="AY67">
            <v>0</v>
          </cell>
          <cell r="AZ67" t="str">
            <v/>
          </cell>
          <cell r="BB67">
            <v>0</v>
          </cell>
          <cell r="BC67">
            <v>0</v>
          </cell>
          <cell r="BL67" t="str">
            <v/>
          </cell>
        </row>
        <row r="68">
          <cell r="G68" t="e">
            <v>#N/A</v>
          </cell>
          <cell r="H68" t="e">
            <v>#N/A</v>
          </cell>
          <cell r="I68">
            <v>0</v>
          </cell>
          <cell r="J68">
            <v>0</v>
          </cell>
          <cell r="K68">
            <v>0</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cell r="AY68">
            <v>0</v>
          </cell>
          <cell r="AZ68" t="str">
            <v/>
          </cell>
          <cell r="BB68">
            <v>0</v>
          </cell>
          <cell r="BC68">
            <v>0</v>
          </cell>
          <cell r="BL68" t="str">
            <v/>
          </cell>
        </row>
        <row r="69">
          <cell r="G69" t="e">
            <v>#N/A</v>
          </cell>
          <cell r="H69" t="e">
            <v>#N/A</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0</v>
          </cell>
          <cell r="AQ69">
            <v>0</v>
          </cell>
          <cell r="AR69">
            <v>0</v>
          </cell>
          <cell r="AS69">
            <v>0</v>
          </cell>
          <cell r="AT69">
            <v>0</v>
          </cell>
          <cell r="AU69">
            <v>0</v>
          </cell>
          <cell r="AV69">
            <v>0</v>
          </cell>
          <cell r="AW69">
            <v>0</v>
          </cell>
          <cell r="AX69">
            <v>0</v>
          </cell>
          <cell r="AY69">
            <v>0</v>
          </cell>
          <cell r="AZ69" t="str">
            <v/>
          </cell>
          <cell r="BB69">
            <v>0</v>
          </cell>
          <cell r="BC69">
            <v>0</v>
          </cell>
          <cell r="BL69" t="str">
            <v/>
          </cell>
        </row>
        <row r="70">
          <cell r="G70" t="e">
            <v>#N/A</v>
          </cell>
          <cell r="H70" t="e">
            <v>#N/A</v>
          </cell>
          <cell r="I70">
            <v>0</v>
          </cell>
          <cell r="J70">
            <v>0</v>
          </cell>
          <cell r="K70">
            <v>0</v>
          </cell>
          <cell r="L70">
            <v>0</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0</v>
          </cell>
          <cell r="AD70">
            <v>0</v>
          </cell>
          <cell r="AE70">
            <v>0</v>
          </cell>
          <cell r="AF70">
            <v>0</v>
          </cell>
          <cell r="AG70">
            <v>0</v>
          </cell>
          <cell r="AH70">
            <v>0</v>
          </cell>
          <cell r="AI70">
            <v>0</v>
          </cell>
          <cell r="AJ70">
            <v>0</v>
          </cell>
          <cell r="AK70">
            <v>0</v>
          </cell>
          <cell r="AL70">
            <v>0</v>
          </cell>
          <cell r="AM70">
            <v>0</v>
          </cell>
          <cell r="AN70">
            <v>0</v>
          </cell>
          <cell r="AO70">
            <v>0</v>
          </cell>
          <cell r="AP70">
            <v>0</v>
          </cell>
          <cell r="AQ70">
            <v>0</v>
          </cell>
          <cell r="AR70">
            <v>0</v>
          </cell>
          <cell r="AS70">
            <v>0</v>
          </cell>
          <cell r="AT70">
            <v>0</v>
          </cell>
          <cell r="AU70">
            <v>0</v>
          </cell>
          <cell r="AV70">
            <v>0</v>
          </cell>
          <cell r="AW70">
            <v>0</v>
          </cell>
          <cell r="AX70">
            <v>0</v>
          </cell>
          <cell r="AY70">
            <v>0</v>
          </cell>
          <cell r="AZ70" t="str">
            <v/>
          </cell>
          <cell r="BB70">
            <v>0</v>
          </cell>
          <cell r="BC70">
            <v>0</v>
          </cell>
          <cell r="BL70" t="str">
            <v/>
          </cell>
        </row>
        <row r="71">
          <cell r="G71" t="e">
            <v>#N/A</v>
          </cell>
          <cell r="H71" t="e">
            <v>#N/A</v>
          </cell>
          <cell r="I71">
            <v>0</v>
          </cell>
          <cell r="J71">
            <v>0</v>
          </cell>
          <cell r="K71">
            <v>0</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0</v>
          </cell>
          <cell r="AQ71">
            <v>0</v>
          </cell>
          <cell r="AR71">
            <v>0</v>
          </cell>
          <cell r="AS71">
            <v>0</v>
          </cell>
          <cell r="AT71">
            <v>0</v>
          </cell>
          <cell r="AU71">
            <v>0</v>
          </cell>
          <cell r="AV71">
            <v>0</v>
          </cell>
          <cell r="AW71">
            <v>0</v>
          </cell>
          <cell r="AX71">
            <v>0</v>
          </cell>
          <cell r="AY71">
            <v>0</v>
          </cell>
          <cell r="AZ71" t="str">
            <v/>
          </cell>
          <cell r="BB71">
            <v>0</v>
          </cell>
          <cell r="BC71">
            <v>0</v>
          </cell>
          <cell r="BL71" t="str">
            <v/>
          </cell>
        </row>
        <row r="72">
          <cell r="G72" t="e">
            <v>#N/A</v>
          </cell>
          <cell r="H72" t="e">
            <v>#N/A</v>
          </cell>
          <cell r="I72">
            <v>0</v>
          </cell>
          <cell r="J72">
            <v>0</v>
          </cell>
          <cell r="K72">
            <v>0</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cell r="AY72">
            <v>0</v>
          </cell>
          <cell r="AZ72" t="str">
            <v/>
          </cell>
          <cell r="BB72">
            <v>0</v>
          </cell>
          <cell r="BC72">
            <v>0</v>
          </cell>
          <cell r="BL72" t="str">
            <v/>
          </cell>
        </row>
        <row r="73">
          <cell r="G73" t="e">
            <v>#N/A</v>
          </cell>
          <cell r="H73" t="e">
            <v>#N/A</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t="str">
            <v/>
          </cell>
          <cell r="BB73">
            <v>0</v>
          </cell>
          <cell r="BC73">
            <v>0</v>
          </cell>
          <cell r="BL73" t="str">
            <v/>
          </cell>
        </row>
        <row r="74">
          <cell r="G74" t="e">
            <v>#N/A</v>
          </cell>
          <cell r="H74" t="e">
            <v>#N/A</v>
          </cell>
          <cell r="I74">
            <v>0</v>
          </cell>
          <cell r="J74">
            <v>0</v>
          </cell>
          <cell r="K74">
            <v>0</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0</v>
          </cell>
          <cell r="AQ74">
            <v>0</v>
          </cell>
          <cell r="AR74">
            <v>0</v>
          </cell>
          <cell r="AS74">
            <v>0</v>
          </cell>
          <cell r="AT74">
            <v>0</v>
          </cell>
          <cell r="AU74">
            <v>0</v>
          </cell>
          <cell r="AV74">
            <v>0</v>
          </cell>
          <cell r="AW74">
            <v>0</v>
          </cell>
          <cell r="AX74">
            <v>0</v>
          </cell>
          <cell r="AY74">
            <v>0</v>
          </cell>
          <cell r="AZ74" t="str">
            <v/>
          </cell>
          <cell r="BB74">
            <v>0</v>
          </cell>
          <cell r="BC74">
            <v>0</v>
          </cell>
          <cell r="BL74" t="str">
            <v/>
          </cell>
        </row>
        <row r="75">
          <cell r="G75" t="e">
            <v>#N/A</v>
          </cell>
          <cell r="H75" t="e">
            <v>#N/A</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t="str">
            <v/>
          </cell>
          <cell r="BB75">
            <v>0</v>
          </cell>
          <cell r="BC75">
            <v>0</v>
          </cell>
          <cell r="BL75" t="str">
            <v/>
          </cell>
        </row>
        <row r="76">
          <cell r="G76" t="e">
            <v>#N/A</v>
          </cell>
          <cell r="H76" t="e">
            <v>#N/A</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t="str">
            <v/>
          </cell>
          <cell r="BB76">
            <v>0</v>
          </cell>
          <cell r="BC76">
            <v>0</v>
          </cell>
          <cell r="BL76" t="str">
            <v/>
          </cell>
        </row>
        <row r="77">
          <cell r="G77" t="e">
            <v>#N/A</v>
          </cell>
          <cell r="H77" t="e">
            <v>#N/A</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0</v>
          </cell>
          <cell r="AQ77">
            <v>0</v>
          </cell>
          <cell r="AR77">
            <v>0</v>
          </cell>
          <cell r="AS77">
            <v>0</v>
          </cell>
          <cell r="AT77">
            <v>0</v>
          </cell>
          <cell r="AU77">
            <v>0</v>
          </cell>
          <cell r="AV77">
            <v>0</v>
          </cell>
          <cell r="AW77">
            <v>0</v>
          </cell>
          <cell r="AX77">
            <v>0</v>
          </cell>
          <cell r="AY77">
            <v>0</v>
          </cell>
          <cell r="AZ77" t="str">
            <v/>
          </cell>
          <cell r="BB77">
            <v>0</v>
          </cell>
          <cell r="BC77">
            <v>0</v>
          </cell>
          <cell r="BL77" t="str">
            <v/>
          </cell>
        </row>
        <row r="78">
          <cell r="G78" t="e">
            <v>#N/A</v>
          </cell>
          <cell r="H78" t="e">
            <v>#N/A</v>
          </cell>
          <cell r="I78">
            <v>0</v>
          </cell>
          <cell r="J78">
            <v>0</v>
          </cell>
          <cell r="K78">
            <v>0</v>
          </cell>
          <cell r="L78">
            <v>0</v>
          </cell>
          <cell r="M78">
            <v>0</v>
          </cell>
          <cell r="N78">
            <v>0</v>
          </cell>
          <cell r="O78">
            <v>0</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0</v>
          </cell>
          <cell r="AQ78">
            <v>0</v>
          </cell>
          <cell r="AR78">
            <v>0</v>
          </cell>
          <cell r="AS78">
            <v>0</v>
          </cell>
          <cell r="AT78">
            <v>0</v>
          </cell>
          <cell r="AU78">
            <v>0</v>
          </cell>
          <cell r="AV78">
            <v>0</v>
          </cell>
          <cell r="AW78">
            <v>0</v>
          </cell>
          <cell r="AX78">
            <v>0</v>
          </cell>
          <cell r="AY78">
            <v>0</v>
          </cell>
          <cell r="AZ78" t="str">
            <v/>
          </cell>
          <cell r="BB78">
            <v>0</v>
          </cell>
          <cell r="BC78">
            <v>0</v>
          </cell>
          <cell r="BL78" t="str">
            <v/>
          </cell>
        </row>
        <row r="79">
          <cell r="G79" t="e">
            <v>#N/A</v>
          </cell>
          <cell r="H79" t="e">
            <v>#N/A</v>
          </cell>
          <cell r="I79">
            <v>0</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cell r="AY79">
            <v>0</v>
          </cell>
          <cell r="AZ79" t="str">
            <v/>
          </cell>
          <cell r="BB79">
            <v>0</v>
          </cell>
          <cell r="BC79">
            <v>0</v>
          </cell>
          <cell r="BL79" t="str">
            <v/>
          </cell>
        </row>
        <row r="80">
          <cell r="G80" t="e">
            <v>#N/A</v>
          </cell>
          <cell r="H80" t="e">
            <v>#N/A</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v>
          </cell>
          <cell r="AD80">
            <v>0</v>
          </cell>
          <cell r="AE80">
            <v>0</v>
          </cell>
          <cell r="AF80">
            <v>0</v>
          </cell>
          <cell r="AG80">
            <v>0</v>
          </cell>
          <cell r="AH80">
            <v>0</v>
          </cell>
          <cell r="AI80">
            <v>0</v>
          </cell>
          <cell r="AJ80">
            <v>0</v>
          </cell>
          <cell r="AK80">
            <v>0</v>
          </cell>
          <cell r="AL80">
            <v>0</v>
          </cell>
          <cell r="AM80">
            <v>0</v>
          </cell>
          <cell r="AN80">
            <v>0</v>
          </cell>
          <cell r="AO80">
            <v>0</v>
          </cell>
          <cell r="AP80">
            <v>0</v>
          </cell>
          <cell r="AQ80">
            <v>0</v>
          </cell>
          <cell r="AR80">
            <v>0</v>
          </cell>
          <cell r="AS80">
            <v>0</v>
          </cell>
          <cell r="AT80">
            <v>0</v>
          </cell>
          <cell r="AU80">
            <v>0</v>
          </cell>
          <cell r="AV80">
            <v>0</v>
          </cell>
          <cell r="AW80">
            <v>0</v>
          </cell>
          <cell r="AX80">
            <v>0</v>
          </cell>
          <cell r="AY80">
            <v>0</v>
          </cell>
          <cell r="AZ80" t="str">
            <v/>
          </cell>
          <cell r="BB80">
            <v>0</v>
          </cell>
          <cell r="BC80">
            <v>0</v>
          </cell>
          <cell r="BL80" t="str">
            <v/>
          </cell>
        </row>
        <row r="81">
          <cell r="G81" t="e">
            <v>#N/A</v>
          </cell>
          <cell r="H81" t="e">
            <v>#N/A</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0</v>
          </cell>
          <cell r="AX81">
            <v>0</v>
          </cell>
          <cell r="AY81">
            <v>0</v>
          </cell>
          <cell r="AZ81" t="str">
            <v/>
          </cell>
          <cell r="BB81">
            <v>0</v>
          </cell>
          <cell r="BC81">
            <v>0</v>
          </cell>
          <cell r="BL81" t="str">
            <v/>
          </cell>
        </row>
        <row r="82">
          <cell r="G82" t="e">
            <v>#N/A</v>
          </cell>
          <cell r="H82" t="e">
            <v>#N/A</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t="str">
            <v/>
          </cell>
          <cell r="BB82">
            <v>0</v>
          </cell>
          <cell r="BC82">
            <v>0</v>
          </cell>
          <cell r="BL82" t="str">
            <v/>
          </cell>
        </row>
        <row r="83">
          <cell r="G83" t="e">
            <v>#N/A</v>
          </cell>
          <cell r="H83" t="e">
            <v>#N/A</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cell r="AO83">
            <v>0</v>
          </cell>
          <cell r="AP83">
            <v>0</v>
          </cell>
          <cell r="AQ83">
            <v>0</v>
          </cell>
          <cell r="AR83">
            <v>0</v>
          </cell>
          <cell r="AS83">
            <v>0</v>
          </cell>
          <cell r="AT83">
            <v>0</v>
          </cell>
          <cell r="AU83">
            <v>0</v>
          </cell>
          <cell r="AV83">
            <v>0</v>
          </cell>
          <cell r="AW83">
            <v>0</v>
          </cell>
          <cell r="AX83">
            <v>0</v>
          </cell>
          <cell r="AY83">
            <v>0</v>
          </cell>
          <cell r="AZ83" t="str">
            <v/>
          </cell>
          <cell r="BB83">
            <v>0</v>
          </cell>
          <cell r="BC83">
            <v>0</v>
          </cell>
          <cell r="BL83" t="str">
            <v/>
          </cell>
        </row>
        <row r="84">
          <cell r="G84" t="e">
            <v>#N/A</v>
          </cell>
          <cell r="H84" t="e">
            <v>#N/A</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t="str">
            <v/>
          </cell>
          <cell r="BB84">
            <v>0</v>
          </cell>
          <cell r="BC84">
            <v>0</v>
          </cell>
          <cell r="BL84" t="str">
            <v/>
          </cell>
        </row>
        <row r="85">
          <cell r="G85" t="e">
            <v>#N/A</v>
          </cell>
          <cell r="H85" t="e">
            <v>#N/A</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t="str">
            <v/>
          </cell>
          <cell r="BB85">
            <v>0</v>
          </cell>
          <cell r="BC85">
            <v>0</v>
          </cell>
          <cell r="BL85" t="str">
            <v/>
          </cell>
        </row>
        <row r="86">
          <cell r="G86" t="e">
            <v>#N/A</v>
          </cell>
          <cell r="H86" t="e">
            <v>#N/A</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cell r="AH86">
            <v>0</v>
          </cell>
          <cell r="AI86">
            <v>0</v>
          </cell>
          <cell r="AJ86">
            <v>0</v>
          </cell>
          <cell r="AK86">
            <v>0</v>
          </cell>
          <cell r="AL86">
            <v>0</v>
          </cell>
          <cell r="AM86">
            <v>0</v>
          </cell>
          <cell r="AN86">
            <v>0</v>
          </cell>
          <cell r="AO86">
            <v>0</v>
          </cell>
          <cell r="AP86">
            <v>0</v>
          </cell>
          <cell r="AQ86">
            <v>0</v>
          </cell>
          <cell r="AR86">
            <v>0</v>
          </cell>
          <cell r="AS86">
            <v>0</v>
          </cell>
          <cell r="AT86">
            <v>0</v>
          </cell>
          <cell r="AU86">
            <v>0</v>
          </cell>
          <cell r="AV86">
            <v>0</v>
          </cell>
          <cell r="AW86">
            <v>0</v>
          </cell>
          <cell r="AX86">
            <v>0</v>
          </cell>
          <cell r="AY86">
            <v>0</v>
          </cell>
          <cell r="AZ86" t="str">
            <v/>
          </cell>
          <cell r="BB86">
            <v>0</v>
          </cell>
          <cell r="BC86">
            <v>0</v>
          </cell>
          <cell r="BL86" t="str">
            <v/>
          </cell>
        </row>
        <row r="87">
          <cell r="G87" t="e">
            <v>#N/A</v>
          </cell>
          <cell r="H87" t="e">
            <v>#N/A</v>
          </cell>
          <cell r="I87">
            <v>0</v>
          </cell>
          <cell r="J87">
            <v>0</v>
          </cell>
          <cell r="K87">
            <v>0</v>
          </cell>
          <cell r="L87">
            <v>0</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v>
          </cell>
          <cell r="AD87">
            <v>0</v>
          </cell>
          <cell r="AE87">
            <v>0</v>
          </cell>
          <cell r="AF87">
            <v>0</v>
          </cell>
          <cell r="AG87">
            <v>0</v>
          </cell>
          <cell r="AH87">
            <v>0</v>
          </cell>
          <cell r="AI87">
            <v>0</v>
          </cell>
          <cell r="AJ87">
            <v>0</v>
          </cell>
          <cell r="AK87">
            <v>0</v>
          </cell>
          <cell r="AL87">
            <v>0</v>
          </cell>
          <cell r="AM87">
            <v>0</v>
          </cell>
          <cell r="AN87">
            <v>0</v>
          </cell>
          <cell r="AO87">
            <v>0</v>
          </cell>
          <cell r="AP87">
            <v>0</v>
          </cell>
          <cell r="AQ87">
            <v>0</v>
          </cell>
          <cell r="AR87">
            <v>0</v>
          </cell>
          <cell r="AS87">
            <v>0</v>
          </cell>
          <cell r="AT87">
            <v>0</v>
          </cell>
          <cell r="AU87">
            <v>0</v>
          </cell>
          <cell r="AV87">
            <v>0</v>
          </cell>
          <cell r="AW87">
            <v>0</v>
          </cell>
          <cell r="AX87">
            <v>0</v>
          </cell>
          <cell r="AY87">
            <v>0</v>
          </cell>
          <cell r="AZ87" t="str">
            <v/>
          </cell>
          <cell r="BB87">
            <v>0</v>
          </cell>
          <cell r="BC87">
            <v>0</v>
          </cell>
          <cell r="BL87" t="str">
            <v/>
          </cell>
        </row>
        <row r="88">
          <cell r="G88" t="e">
            <v>#N/A</v>
          </cell>
          <cell r="H88" t="e">
            <v>#N/A</v>
          </cell>
          <cell r="I88">
            <v>0</v>
          </cell>
          <cell r="J88">
            <v>0</v>
          </cell>
          <cell r="K88">
            <v>0</v>
          </cell>
          <cell r="L88">
            <v>0</v>
          </cell>
          <cell r="M88">
            <v>0</v>
          </cell>
          <cell r="N88">
            <v>0</v>
          </cell>
          <cell r="O88">
            <v>0</v>
          </cell>
          <cell r="P88">
            <v>0</v>
          </cell>
          <cell r="Q88">
            <v>0</v>
          </cell>
          <cell r="R88">
            <v>0</v>
          </cell>
          <cell r="S88">
            <v>0</v>
          </cell>
          <cell r="T88">
            <v>0</v>
          </cell>
          <cell r="U88">
            <v>0</v>
          </cell>
          <cell r="V88">
            <v>0</v>
          </cell>
          <cell r="W88">
            <v>0</v>
          </cell>
          <cell r="X88">
            <v>0</v>
          </cell>
          <cell r="Y88">
            <v>0</v>
          </cell>
          <cell r="Z88">
            <v>0</v>
          </cell>
          <cell r="AA88">
            <v>0</v>
          </cell>
          <cell r="AB88">
            <v>0</v>
          </cell>
          <cell r="AC88">
            <v>0</v>
          </cell>
          <cell r="AD88">
            <v>0</v>
          </cell>
          <cell r="AE88">
            <v>0</v>
          </cell>
          <cell r="AF88">
            <v>0</v>
          </cell>
          <cell r="AG88">
            <v>0</v>
          </cell>
          <cell r="AH88">
            <v>0</v>
          </cell>
          <cell r="AI88">
            <v>0</v>
          </cell>
          <cell r="AJ88">
            <v>0</v>
          </cell>
          <cell r="AK88">
            <v>0</v>
          </cell>
          <cell r="AL88">
            <v>0</v>
          </cell>
          <cell r="AM88">
            <v>0</v>
          </cell>
          <cell r="AN88">
            <v>0</v>
          </cell>
          <cell r="AO88">
            <v>0</v>
          </cell>
          <cell r="AP88">
            <v>0</v>
          </cell>
          <cell r="AQ88">
            <v>0</v>
          </cell>
          <cell r="AR88">
            <v>0</v>
          </cell>
          <cell r="AS88">
            <v>0</v>
          </cell>
          <cell r="AT88">
            <v>0</v>
          </cell>
          <cell r="AU88">
            <v>0</v>
          </cell>
          <cell r="AV88">
            <v>0</v>
          </cell>
          <cell r="AW88">
            <v>0</v>
          </cell>
          <cell r="AX88">
            <v>0</v>
          </cell>
          <cell r="AY88">
            <v>0</v>
          </cell>
          <cell r="AZ88" t="str">
            <v/>
          </cell>
          <cell r="BB88">
            <v>0</v>
          </cell>
          <cell r="BC88">
            <v>0</v>
          </cell>
          <cell r="BL88" t="str">
            <v/>
          </cell>
        </row>
        <row r="89">
          <cell r="G89" t="e">
            <v>#N/A</v>
          </cell>
          <cell r="H89" t="e">
            <v>#N/A</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0</v>
          </cell>
          <cell r="AQ89">
            <v>0</v>
          </cell>
          <cell r="AR89">
            <v>0</v>
          </cell>
          <cell r="AS89">
            <v>0</v>
          </cell>
          <cell r="AT89">
            <v>0</v>
          </cell>
          <cell r="AU89">
            <v>0</v>
          </cell>
          <cell r="AV89">
            <v>0</v>
          </cell>
          <cell r="AW89">
            <v>0</v>
          </cell>
          <cell r="AX89">
            <v>0</v>
          </cell>
          <cell r="AY89">
            <v>0</v>
          </cell>
          <cell r="AZ89" t="str">
            <v/>
          </cell>
          <cell r="BB89">
            <v>0</v>
          </cell>
          <cell r="BC89">
            <v>0</v>
          </cell>
          <cell r="BL89" t="str">
            <v/>
          </cell>
        </row>
        <row r="90">
          <cell r="G90" t="e">
            <v>#N/A</v>
          </cell>
          <cell r="H90" t="e">
            <v>#N/A</v>
          </cell>
          <cell r="I90">
            <v>0</v>
          </cell>
          <cell r="J90">
            <v>0</v>
          </cell>
          <cell r="K90">
            <v>0</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0</v>
          </cell>
          <cell r="AQ90">
            <v>0</v>
          </cell>
          <cell r="AR90">
            <v>0</v>
          </cell>
          <cell r="AS90">
            <v>0</v>
          </cell>
          <cell r="AT90">
            <v>0</v>
          </cell>
          <cell r="AU90">
            <v>0</v>
          </cell>
          <cell r="AV90">
            <v>0</v>
          </cell>
          <cell r="AW90">
            <v>0</v>
          </cell>
          <cell r="AX90">
            <v>0</v>
          </cell>
          <cell r="AY90">
            <v>0</v>
          </cell>
          <cell r="AZ90" t="str">
            <v/>
          </cell>
          <cell r="BB90">
            <v>0</v>
          </cell>
          <cell r="BC90">
            <v>0</v>
          </cell>
          <cell r="BL90" t="str">
            <v/>
          </cell>
        </row>
        <row r="91">
          <cell r="G91" t="e">
            <v>#N/A</v>
          </cell>
          <cell r="H91" t="e">
            <v>#N/A</v>
          </cell>
          <cell r="I91">
            <v>0</v>
          </cell>
          <cell r="J91">
            <v>0</v>
          </cell>
          <cell r="K91">
            <v>0</v>
          </cell>
          <cell r="L91">
            <v>0</v>
          </cell>
          <cell r="M91">
            <v>0</v>
          </cell>
          <cell r="N91">
            <v>0</v>
          </cell>
          <cell r="O91">
            <v>0</v>
          </cell>
          <cell r="P91">
            <v>0</v>
          </cell>
          <cell r="Q91">
            <v>0</v>
          </cell>
          <cell r="R91">
            <v>0</v>
          </cell>
          <cell r="S91">
            <v>0</v>
          </cell>
          <cell r="T91">
            <v>0</v>
          </cell>
          <cell r="U91">
            <v>0</v>
          </cell>
          <cell r="V91">
            <v>0</v>
          </cell>
          <cell r="W91">
            <v>0</v>
          </cell>
          <cell r="X91">
            <v>0</v>
          </cell>
          <cell r="Y91">
            <v>0</v>
          </cell>
          <cell r="Z91">
            <v>0</v>
          </cell>
          <cell r="AA91">
            <v>0</v>
          </cell>
          <cell r="AB91">
            <v>0</v>
          </cell>
          <cell r="AC91">
            <v>0</v>
          </cell>
          <cell r="AD91">
            <v>0</v>
          </cell>
          <cell r="AE91">
            <v>0</v>
          </cell>
          <cell r="AF91">
            <v>0</v>
          </cell>
          <cell r="AG91">
            <v>0</v>
          </cell>
          <cell r="AH91">
            <v>0</v>
          </cell>
          <cell r="AI91">
            <v>0</v>
          </cell>
          <cell r="AJ91">
            <v>0</v>
          </cell>
          <cell r="AK91">
            <v>0</v>
          </cell>
          <cell r="AL91">
            <v>0</v>
          </cell>
          <cell r="AM91">
            <v>0</v>
          </cell>
          <cell r="AN91">
            <v>0</v>
          </cell>
          <cell r="AO91">
            <v>0</v>
          </cell>
          <cell r="AP91">
            <v>0</v>
          </cell>
          <cell r="AQ91">
            <v>0</v>
          </cell>
          <cell r="AR91">
            <v>0</v>
          </cell>
          <cell r="AS91">
            <v>0</v>
          </cell>
          <cell r="AT91">
            <v>0</v>
          </cell>
          <cell r="AU91">
            <v>0</v>
          </cell>
          <cell r="AV91">
            <v>0</v>
          </cell>
          <cell r="AW91">
            <v>0</v>
          </cell>
          <cell r="AX91">
            <v>0</v>
          </cell>
          <cell r="AY91">
            <v>0</v>
          </cell>
          <cell r="AZ91" t="str">
            <v/>
          </cell>
          <cell r="BB91">
            <v>0</v>
          </cell>
          <cell r="BC91">
            <v>0</v>
          </cell>
          <cell r="BL91" t="str">
            <v/>
          </cell>
        </row>
        <row r="92">
          <cell r="G92" t="e">
            <v>#N/A</v>
          </cell>
          <cell r="H92" t="e">
            <v>#N/A</v>
          </cell>
          <cell r="I92">
            <v>0</v>
          </cell>
          <cell r="J92">
            <v>0</v>
          </cell>
          <cell r="K92">
            <v>0</v>
          </cell>
          <cell r="L92">
            <v>0</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0</v>
          </cell>
          <cell r="AQ92">
            <v>0</v>
          </cell>
          <cell r="AR92">
            <v>0</v>
          </cell>
          <cell r="AS92">
            <v>0</v>
          </cell>
          <cell r="AT92">
            <v>0</v>
          </cell>
          <cell r="AU92">
            <v>0</v>
          </cell>
          <cell r="AV92">
            <v>0</v>
          </cell>
          <cell r="AW92">
            <v>0</v>
          </cell>
          <cell r="AX92">
            <v>0</v>
          </cell>
          <cell r="AY92">
            <v>0</v>
          </cell>
          <cell r="AZ92" t="str">
            <v/>
          </cell>
          <cell r="BB92">
            <v>0</v>
          </cell>
          <cell r="BC92">
            <v>0</v>
          </cell>
          <cell r="BL92" t="str">
            <v/>
          </cell>
        </row>
        <row r="93">
          <cell r="G93" t="e">
            <v>#N/A</v>
          </cell>
          <cell r="H93" t="e">
            <v>#N/A</v>
          </cell>
          <cell r="I93">
            <v>0</v>
          </cell>
          <cell r="J93">
            <v>0</v>
          </cell>
          <cell r="K93">
            <v>0</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0</v>
          </cell>
          <cell r="AQ93">
            <v>0</v>
          </cell>
          <cell r="AR93">
            <v>0</v>
          </cell>
          <cell r="AS93">
            <v>0</v>
          </cell>
          <cell r="AT93">
            <v>0</v>
          </cell>
          <cell r="AU93">
            <v>0</v>
          </cell>
          <cell r="AV93">
            <v>0</v>
          </cell>
          <cell r="AW93">
            <v>0</v>
          </cell>
          <cell r="AX93">
            <v>0</v>
          </cell>
          <cell r="AY93">
            <v>0</v>
          </cell>
          <cell r="AZ93" t="str">
            <v/>
          </cell>
          <cell r="BB93">
            <v>0</v>
          </cell>
          <cell r="BC93">
            <v>0</v>
          </cell>
          <cell r="BL93" t="str">
            <v/>
          </cell>
        </row>
        <row r="94">
          <cell r="G94" t="e">
            <v>#N/A</v>
          </cell>
          <cell r="H94" t="e">
            <v>#N/A</v>
          </cell>
          <cell r="I94">
            <v>0</v>
          </cell>
          <cell r="J94">
            <v>0</v>
          </cell>
          <cell r="K94">
            <v>0</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0</v>
          </cell>
          <cell r="AQ94">
            <v>0</v>
          </cell>
          <cell r="AR94">
            <v>0</v>
          </cell>
          <cell r="AS94">
            <v>0</v>
          </cell>
          <cell r="AT94">
            <v>0</v>
          </cell>
          <cell r="AU94">
            <v>0</v>
          </cell>
          <cell r="AV94">
            <v>0</v>
          </cell>
          <cell r="AW94">
            <v>0</v>
          </cell>
          <cell r="AX94">
            <v>0</v>
          </cell>
          <cell r="AY94">
            <v>0</v>
          </cell>
          <cell r="AZ94" t="str">
            <v/>
          </cell>
          <cell r="BB94">
            <v>0</v>
          </cell>
          <cell r="BC94">
            <v>0</v>
          </cell>
          <cell r="BL94" t="str">
            <v/>
          </cell>
        </row>
        <row r="95">
          <cell r="G95" t="e">
            <v>#N/A</v>
          </cell>
          <cell r="H95" t="e">
            <v>#N/A</v>
          </cell>
          <cell r="I95">
            <v>0</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0</v>
          </cell>
          <cell r="AQ95">
            <v>0</v>
          </cell>
          <cell r="AR95">
            <v>0</v>
          </cell>
          <cell r="AS95">
            <v>0</v>
          </cell>
          <cell r="AT95">
            <v>0</v>
          </cell>
          <cell r="AU95">
            <v>0</v>
          </cell>
          <cell r="AV95">
            <v>0</v>
          </cell>
          <cell r="AW95">
            <v>0</v>
          </cell>
          <cell r="AX95">
            <v>0</v>
          </cell>
          <cell r="AY95">
            <v>0</v>
          </cell>
          <cell r="AZ95" t="str">
            <v/>
          </cell>
          <cell r="BB95">
            <v>0</v>
          </cell>
          <cell r="BC95">
            <v>0</v>
          </cell>
          <cell r="BL95" t="str">
            <v/>
          </cell>
        </row>
        <row r="96">
          <cell r="G96" t="e">
            <v>#N/A</v>
          </cell>
          <cell r="H96" t="e">
            <v>#N/A</v>
          </cell>
          <cell r="I96">
            <v>0</v>
          </cell>
          <cell r="J96">
            <v>0</v>
          </cell>
          <cell r="K96">
            <v>0</v>
          </cell>
          <cell r="L96">
            <v>0</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0</v>
          </cell>
          <cell r="AQ96">
            <v>0</v>
          </cell>
          <cell r="AR96">
            <v>0</v>
          </cell>
          <cell r="AS96">
            <v>0</v>
          </cell>
          <cell r="AT96">
            <v>0</v>
          </cell>
          <cell r="AU96">
            <v>0</v>
          </cell>
          <cell r="AV96">
            <v>0</v>
          </cell>
          <cell r="AW96">
            <v>0</v>
          </cell>
          <cell r="AX96">
            <v>0</v>
          </cell>
          <cell r="AY96">
            <v>0</v>
          </cell>
          <cell r="AZ96" t="str">
            <v/>
          </cell>
          <cell r="BB96">
            <v>0</v>
          </cell>
          <cell r="BC96">
            <v>0</v>
          </cell>
          <cell r="BL96" t="str">
            <v/>
          </cell>
        </row>
        <row r="97">
          <cell r="G97" t="e">
            <v>#N/A</v>
          </cell>
          <cell r="H97" t="e">
            <v>#N/A</v>
          </cell>
          <cell r="I97">
            <v>0</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0</v>
          </cell>
          <cell r="AQ97">
            <v>0</v>
          </cell>
          <cell r="AR97">
            <v>0</v>
          </cell>
          <cell r="AS97">
            <v>0</v>
          </cell>
          <cell r="AT97">
            <v>0</v>
          </cell>
          <cell r="AU97">
            <v>0</v>
          </cell>
          <cell r="AV97">
            <v>0</v>
          </cell>
          <cell r="AW97">
            <v>0</v>
          </cell>
          <cell r="AX97">
            <v>0</v>
          </cell>
          <cell r="AY97">
            <v>0</v>
          </cell>
          <cell r="AZ97" t="str">
            <v/>
          </cell>
          <cell r="BB97">
            <v>0</v>
          </cell>
          <cell r="BC97">
            <v>0</v>
          </cell>
          <cell r="BL97" t="str">
            <v/>
          </cell>
        </row>
        <row r="98">
          <cell r="G98" t="e">
            <v>#N/A</v>
          </cell>
          <cell r="H98" t="e">
            <v>#N/A</v>
          </cell>
          <cell r="I98">
            <v>0</v>
          </cell>
          <cell r="J98">
            <v>0</v>
          </cell>
          <cell r="K98">
            <v>0</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0</v>
          </cell>
          <cell r="AH98">
            <v>0</v>
          </cell>
          <cell r="AI98">
            <v>0</v>
          </cell>
          <cell r="AJ98">
            <v>0</v>
          </cell>
          <cell r="AK98">
            <v>0</v>
          </cell>
          <cell r="AL98">
            <v>0</v>
          </cell>
          <cell r="AM98">
            <v>0</v>
          </cell>
          <cell r="AN98">
            <v>0</v>
          </cell>
          <cell r="AO98">
            <v>0</v>
          </cell>
          <cell r="AP98">
            <v>0</v>
          </cell>
          <cell r="AQ98">
            <v>0</v>
          </cell>
          <cell r="AR98">
            <v>0</v>
          </cell>
          <cell r="AS98">
            <v>0</v>
          </cell>
          <cell r="AT98">
            <v>0</v>
          </cell>
          <cell r="AU98">
            <v>0</v>
          </cell>
          <cell r="AV98">
            <v>0</v>
          </cell>
          <cell r="AW98">
            <v>0</v>
          </cell>
          <cell r="AX98">
            <v>0</v>
          </cell>
          <cell r="AY98">
            <v>0</v>
          </cell>
          <cell r="AZ98" t="str">
            <v/>
          </cell>
          <cell r="BB98">
            <v>0</v>
          </cell>
          <cell r="BC98">
            <v>0</v>
          </cell>
          <cell r="BL98" t="str">
            <v/>
          </cell>
        </row>
        <row r="99">
          <cell r="G99" t="e">
            <v>#N/A</v>
          </cell>
          <cell r="H99" t="e">
            <v>#N/A</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0</v>
          </cell>
          <cell r="AH99">
            <v>0</v>
          </cell>
          <cell r="AI99">
            <v>0</v>
          </cell>
          <cell r="AJ99">
            <v>0</v>
          </cell>
          <cell r="AK99">
            <v>0</v>
          </cell>
          <cell r="AL99">
            <v>0</v>
          </cell>
          <cell r="AM99">
            <v>0</v>
          </cell>
          <cell r="AN99">
            <v>0</v>
          </cell>
          <cell r="AO99">
            <v>0</v>
          </cell>
          <cell r="AP99">
            <v>0</v>
          </cell>
          <cell r="AQ99">
            <v>0</v>
          </cell>
          <cell r="AR99">
            <v>0</v>
          </cell>
          <cell r="AS99">
            <v>0</v>
          </cell>
          <cell r="AT99">
            <v>0</v>
          </cell>
          <cell r="AU99">
            <v>0</v>
          </cell>
          <cell r="AV99">
            <v>0</v>
          </cell>
          <cell r="AW99">
            <v>0</v>
          </cell>
          <cell r="AX99">
            <v>0</v>
          </cell>
          <cell r="AY99">
            <v>0</v>
          </cell>
          <cell r="AZ99" t="str">
            <v/>
          </cell>
          <cell r="BB99">
            <v>0</v>
          </cell>
          <cell r="BC99">
            <v>0</v>
          </cell>
          <cell r="BL99" t="str">
            <v/>
          </cell>
        </row>
        <row r="100">
          <cell r="G100" t="e">
            <v>#N/A</v>
          </cell>
          <cell r="H100" t="e">
            <v>#N/A</v>
          </cell>
          <cell r="I100">
            <v>0</v>
          </cell>
          <cell r="J100">
            <v>0</v>
          </cell>
          <cell r="K100">
            <v>0</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0</v>
          </cell>
          <cell r="AQ100">
            <v>0</v>
          </cell>
          <cell r="AR100">
            <v>0</v>
          </cell>
          <cell r="AS100">
            <v>0</v>
          </cell>
          <cell r="AT100">
            <v>0</v>
          </cell>
          <cell r="AU100">
            <v>0</v>
          </cell>
          <cell r="AV100">
            <v>0</v>
          </cell>
          <cell r="AW100">
            <v>0</v>
          </cell>
          <cell r="AX100">
            <v>0</v>
          </cell>
          <cell r="AY100">
            <v>0</v>
          </cell>
          <cell r="AZ100" t="str">
            <v/>
          </cell>
          <cell r="BB100">
            <v>0</v>
          </cell>
          <cell r="BC100">
            <v>0</v>
          </cell>
          <cell r="BL100" t="str">
            <v/>
          </cell>
        </row>
        <row r="101">
          <cell r="G101" t="e">
            <v>#N/A</v>
          </cell>
          <cell r="H101" t="e">
            <v>#N/A</v>
          </cell>
          <cell r="I101">
            <v>0</v>
          </cell>
          <cell r="J101">
            <v>0</v>
          </cell>
          <cell r="K101">
            <v>0</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0</v>
          </cell>
          <cell r="AQ101">
            <v>0</v>
          </cell>
          <cell r="AR101">
            <v>0</v>
          </cell>
          <cell r="AS101">
            <v>0</v>
          </cell>
          <cell r="AT101">
            <v>0</v>
          </cell>
          <cell r="AU101">
            <v>0</v>
          </cell>
          <cell r="AV101">
            <v>0</v>
          </cell>
          <cell r="AW101">
            <v>0</v>
          </cell>
          <cell r="AX101">
            <v>0</v>
          </cell>
          <cell r="AY101">
            <v>0</v>
          </cell>
          <cell r="AZ101" t="str">
            <v/>
          </cell>
          <cell r="BB101">
            <v>0</v>
          </cell>
          <cell r="BC101">
            <v>0</v>
          </cell>
          <cell r="BL101" t="str">
            <v/>
          </cell>
        </row>
        <row r="102">
          <cell r="I102" t="str">
            <v>計</v>
          </cell>
          <cell r="J102">
            <v>0</v>
          </cell>
          <cell r="K102">
            <v>0</v>
          </cell>
          <cell r="L102">
            <v>0</v>
          </cell>
          <cell r="M102">
            <v>0</v>
          </cell>
          <cell r="N102">
            <v>15</v>
          </cell>
          <cell r="O102">
            <v>6050648</v>
          </cell>
          <cell r="P102">
            <v>15</v>
          </cell>
          <cell r="Q102">
            <v>6050648</v>
          </cell>
          <cell r="R102">
            <v>0</v>
          </cell>
          <cell r="S102">
            <v>0</v>
          </cell>
          <cell r="T102">
            <v>0</v>
          </cell>
          <cell r="U102">
            <v>0</v>
          </cell>
          <cell r="V102">
            <v>23</v>
          </cell>
          <cell r="W102">
            <v>5487121</v>
          </cell>
          <cell r="X102">
            <v>23</v>
          </cell>
          <cell r="Y102">
            <v>5487121</v>
          </cell>
          <cell r="Z102">
            <v>23</v>
          </cell>
          <cell r="AA102">
            <v>11537769</v>
          </cell>
          <cell r="AB102">
            <v>0</v>
          </cell>
          <cell r="AC102">
            <v>0</v>
          </cell>
          <cell r="AD102">
            <v>0</v>
          </cell>
          <cell r="AE102">
            <v>0</v>
          </cell>
          <cell r="AF102">
            <v>0</v>
          </cell>
          <cell r="AG102">
            <v>0</v>
          </cell>
          <cell r="AH102">
            <v>0</v>
          </cell>
          <cell r="AI102">
            <v>0</v>
          </cell>
          <cell r="AJ102">
            <v>0</v>
          </cell>
          <cell r="AK102">
            <v>0</v>
          </cell>
          <cell r="AL102">
            <v>0</v>
          </cell>
          <cell r="AM102">
            <v>0</v>
          </cell>
          <cell r="AN102">
            <v>0</v>
          </cell>
          <cell r="AO102">
            <v>0</v>
          </cell>
          <cell r="AP102">
            <v>0</v>
          </cell>
          <cell r="AQ102">
            <v>0</v>
          </cell>
          <cell r="AR102">
            <v>0</v>
          </cell>
          <cell r="AS102">
            <v>0</v>
          </cell>
          <cell r="AT102">
            <v>0</v>
          </cell>
          <cell r="AU102">
            <v>0</v>
          </cell>
          <cell r="AV102">
            <v>0</v>
          </cell>
          <cell r="AW102">
            <v>0</v>
          </cell>
          <cell r="AX102">
            <v>0</v>
          </cell>
          <cell r="AY102">
            <v>0</v>
          </cell>
          <cell r="AZ102">
            <v>0</v>
          </cell>
          <cell r="BA102">
            <v>0</v>
          </cell>
          <cell r="BB102">
            <v>38</v>
          </cell>
          <cell r="BC102">
            <v>11537769</v>
          </cell>
          <cell r="BD102">
            <v>23</v>
          </cell>
          <cell r="BE102">
            <v>730000</v>
          </cell>
          <cell r="BF102">
            <v>23</v>
          </cell>
          <cell r="BG102">
            <v>690000</v>
          </cell>
          <cell r="BH102" t="str">
            <v/>
          </cell>
          <cell r="BI102" t="str">
            <v/>
          </cell>
          <cell r="BJ102" t="str">
            <v/>
          </cell>
          <cell r="BK102" t="str">
            <v/>
          </cell>
          <cell r="BL102" t="str">
            <v/>
          </cell>
        </row>
      </sheetData>
      <sheetData sheetId="3"/>
      <sheetData sheetId="4"/>
      <sheetData sheetId="5"/>
      <sheetData sheetId="6"/>
      <sheetData sheetId="7"/>
      <sheetData sheetId="8"/>
      <sheetData sheetId="9"/>
      <sheetData sheetId="10"/>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概要"/>
      <sheetName val="表(一)"/>
      <sheetName val="表(一)の(二)"/>
      <sheetName val="表(一)の(三)"/>
      <sheetName val="３年間の将来推計"/>
      <sheetName val="診療諸率"/>
      <sheetName val="介護財源率"/>
      <sheetName val="財調・特財計算書"/>
      <sheetName val="事前協議資料（保健経理）"/>
      <sheetName val="保健事業の内容"/>
      <sheetName val="特定健診等における実績、目標値及び実施費用"/>
      <sheetName val="チェック①"/>
      <sheetName val="チェック②"/>
    </sheetNames>
    <sheetDataSet>
      <sheetData sheetId="0"/>
      <sheetData sheetId="1">
        <row r="27">
          <cell r="Q27" t="str">
            <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6.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7.xml"/><Relationship Id="rId1" Type="http://schemas.openxmlformats.org/officeDocument/2006/relationships/printerSettings" Target="../printerSettings/printerSettings12.bin"/><Relationship Id="rId4" Type="http://schemas.openxmlformats.org/officeDocument/2006/relationships/comments" Target="../comments9.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8.xml"/><Relationship Id="rId1" Type="http://schemas.openxmlformats.org/officeDocument/2006/relationships/printerSettings" Target="../printerSettings/printerSettings13.bin"/><Relationship Id="rId4" Type="http://schemas.openxmlformats.org/officeDocument/2006/relationships/comments" Target="../comments10.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9.xml"/><Relationship Id="rId1" Type="http://schemas.openxmlformats.org/officeDocument/2006/relationships/printerSettings" Target="../printerSettings/printerSettings14.bin"/><Relationship Id="rId4" Type="http://schemas.openxmlformats.org/officeDocument/2006/relationships/comments" Target="../comments11.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0.xml"/><Relationship Id="rId1" Type="http://schemas.openxmlformats.org/officeDocument/2006/relationships/printerSettings" Target="../printerSettings/printerSettings15.bin"/><Relationship Id="rId4" Type="http://schemas.openxmlformats.org/officeDocument/2006/relationships/comments" Target="../comments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CCFF"/>
    <pageSetUpPr fitToPage="1"/>
  </sheetPr>
  <dimension ref="A1:X64"/>
  <sheetViews>
    <sheetView showGridLines="0" view="pageBreakPreview" zoomScale="55" zoomScaleNormal="70" zoomScaleSheetLayoutView="55" workbookViewId="0">
      <selection activeCell="Q19" sqref="Q19:T19"/>
    </sheetView>
  </sheetViews>
  <sheetFormatPr defaultColWidth="9" defaultRowHeight="21"/>
  <cols>
    <col min="1" max="1" width="4.25" style="799" customWidth="1"/>
    <col min="2" max="2" width="4.625" style="799" customWidth="1"/>
    <col min="3" max="3" width="3.625" style="799" customWidth="1"/>
    <col min="4" max="4" width="11.125" style="799" customWidth="1"/>
    <col min="5" max="5" width="10.25" style="799" customWidth="1"/>
    <col min="6" max="8" width="20.625" style="813" customWidth="1"/>
    <col min="9" max="9" width="11.125" style="813" customWidth="1"/>
    <col min="10" max="10" width="2" style="813" customWidth="1"/>
    <col min="11" max="11" width="14" style="813" customWidth="1"/>
    <col min="12" max="12" width="1.875" style="813" customWidth="1"/>
    <col min="13" max="13" width="11.125" style="813" customWidth="1"/>
    <col min="14" max="14" width="1.875" style="813" customWidth="1"/>
    <col min="15" max="15" width="14" style="813" customWidth="1"/>
    <col min="16" max="16" width="1.875" style="813" customWidth="1"/>
    <col min="17" max="17" width="11.125" style="813" customWidth="1"/>
    <col min="18" max="18" width="1.875" style="813" customWidth="1"/>
    <col min="19" max="19" width="14.625" style="813" bestFit="1" customWidth="1"/>
    <col min="20" max="20" width="1.875" style="813" customWidth="1"/>
    <col min="21" max="21" width="11.125" style="813" customWidth="1"/>
    <col min="22" max="22" width="1.875" style="813" customWidth="1"/>
    <col min="23" max="23" width="16" style="813" bestFit="1" customWidth="1"/>
    <col min="24" max="24" width="1.875" style="813" customWidth="1"/>
    <col min="25" max="25" width="4.5" style="813" customWidth="1"/>
    <col min="26" max="16384" width="9" style="813"/>
  </cols>
  <sheetData>
    <row r="1" spans="1:24" s="1824" customFormat="1">
      <c r="A1" s="1823"/>
      <c r="B1" s="1823"/>
      <c r="C1" s="1823"/>
      <c r="D1" s="1823"/>
      <c r="E1" s="1823"/>
      <c r="R1" s="1825"/>
      <c r="S1" s="1825"/>
      <c r="T1" s="1825"/>
      <c r="U1" s="2160" t="s">
        <v>631</v>
      </c>
      <c r="V1" s="2160"/>
      <c r="W1" s="2160"/>
      <c r="X1" s="2160"/>
    </row>
    <row r="2" spans="1:24" s="1824" customFormat="1">
      <c r="A2" s="1823"/>
      <c r="B2" s="1823"/>
      <c r="C2" s="1823"/>
      <c r="D2" s="1823"/>
      <c r="E2" s="1823"/>
      <c r="V2" s="1826"/>
      <c r="W2" s="1826"/>
      <c r="X2" s="1826" t="s">
        <v>318</v>
      </c>
    </row>
    <row r="3" spans="1:24" s="1824" customFormat="1" ht="34.5" customHeight="1">
      <c r="A3" s="2075" t="s">
        <v>632</v>
      </c>
      <c r="B3" s="2075"/>
      <c r="C3" s="2075"/>
      <c r="D3" s="2075"/>
      <c r="E3" s="2075"/>
      <c r="F3" s="2075"/>
      <c r="G3" s="2075"/>
      <c r="H3" s="2075"/>
      <c r="I3" s="2075"/>
      <c r="J3" s="2075"/>
      <c r="K3" s="2075"/>
      <c r="L3" s="2075"/>
      <c r="M3" s="2075"/>
      <c r="N3" s="2075"/>
      <c r="O3" s="2075"/>
      <c r="P3" s="2075"/>
      <c r="Q3" s="2075"/>
      <c r="R3" s="2075"/>
      <c r="S3" s="2075"/>
      <c r="T3" s="2075"/>
      <c r="U3" s="2075"/>
      <c r="V3" s="2075"/>
      <c r="W3" s="2075"/>
      <c r="X3" s="2075"/>
    </row>
    <row r="4" spans="1:24" s="1824" customFormat="1" ht="34.5" customHeight="1">
      <c r="A4" s="1827" t="s">
        <v>333</v>
      </c>
      <c r="B4" s="1827"/>
      <c r="C4" s="1828"/>
      <c r="D4" s="1829"/>
      <c r="E4" s="1829"/>
      <c r="F4" s="1829"/>
      <c r="G4" s="1829"/>
      <c r="H4" s="1829"/>
      <c r="I4" s="1829"/>
      <c r="J4" s="1829"/>
      <c r="K4" s="1829"/>
      <c r="L4" s="1829"/>
      <c r="M4" s="1829"/>
      <c r="N4" s="1829"/>
      <c r="O4" s="1829"/>
      <c r="P4" s="1829"/>
      <c r="Q4" s="1829"/>
      <c r="R4" s="1829"/>
      <c r="S4" s="1829"/>
      <c r="T4" s="1829"/>
      <c r="U4" s="1829"/>
      <c r="V4" s="1829"/>
      <c r="W4" s="1829"/>
      <c r="X4" s="1829"/>
    </row>
    <row r="5" spans="1:24" s="1824" customFormat="1" ht="29.25" customHeight="1">
      <c r="A5" s="1830" t="s">
        <v>633</v>
      </c>
      <c r="B5" s="2161" t="s">
        <v>647</v>
      </c>
      <c r="C5" s="2161"/>
      <c r="D5" s="2161"/>
      <c r="E5" s="2161"/>
      <c r="F5" s="2161"/>
      <c r="G5" s="2161"/>
      <c r="H5" s="2161"/>
      <c r="I5" s="2161"/>
      <c r="J5" s="2161"/>
      <c r="K5" s="2161"/>
      <c r="L5" s="2161"/>
      <c r="M5" s="2161"/>
      <c r="N5" s="2161"/>
      <c r="O5" s="2161"/>
      <c r="P5" s="2161"/>
      <c r="Q5" s="2161"/>
      <c r="R5" s="2161"/>
      <c r="S5" s="2161"/>
      <c r="T5" s="2161"/>
      <c r="U5" s="2161"/>
      <c r="V5" s="2161"/>
      <c r="W5" s="2161"/>
      <c r="X5" s="2161"/>
    </row>
    <row r="6" spans="1:24" s="1824" customFormat="1" ht="29.25" customHeight="1">
      <c r="A6" s="1831" t="s">
        <v>634</v>
      </c>
      <c r="B6" s="1828" t="s">
        <v>635</v>
      </c>
      <c r="C6" s="1828"/>
      <c r="D6" s="1829"/>
      <c r="E6" s="1829"/>
      <c r="F6" s="1829"/>
      <c r="G6" s="1829"/>
      <c r="H6" s="1829"/>
      <c r="I6" s="1829"/>
      <c r="J6" s="1829"/>
      <c r="K6" s="1829"/>
      <c r="L6" s="1829"/>
      <c r="M6" s="1829"/>
      <c r="N6" s="1829"/>
      <c r="O6" s="1829"/>
      <c r="P6" s="1829"/>
      <c r="Q6" s="1829"/>
      <c r="R6" s="1829"/>
      <c r="S6" s="1829"/>
      <c r="T6" s="1829"/>
      <c r="U6" s="1829"/>
      <c r="V6" s="1829"/>
      <c r="W6" s="1829"/>
      <c r="X6" s="1829"/>
    </row>
    <row r="7" spans="1:24" s="1824" customFormat="1" ht="23.25" customHeight="1">
      <c r="A7" s="1828"/>
      <c r="B7" s="1828"/>
      <c r="C7" s="1828"/>
      <c r="D7" s="1829"/>
      <c r="E7" s="1829"/>
      <c r="F7" s="1829"/>
      <c r="G7" s="1829"/>
      <c r="H7" s="1829"/>
      <c r="I7" s="1829"/>
      <c r="J7" s="1829"/>
      <c r="K7" s="1829"/>
      <c r="L7" s="1829"/>
      <c r="M7" s="1829"/>
      <c r="N7" s="1829"/>
      <c r="O7" s="1829"/>
      <c r="P7" s="1829"/>
      <c r="Q7" s="1829"/>
      <c r="R7" s="1829"/>
      <c r="S7" s="1829"/>
      <c r="T7" s="1829"/>
      <c r="U7" s="1829"/>
      <c r="V7" s="1829"/>
      <c r="W7" s="1829"/>
      <c r="X7" s="1829"/>
    </row>
    <row r="8" spans="1:24" s="1824" customFormat="1" ht="34.5" customHeight="1">
      <c r="A8" s="1827" t="s">
        <v>334</v>
      </c>
      <c r="B8" s="1827"/>
      <c r="C8" s="1827"/>
      <c r="D8" s="1832"/>
      <c r="E8" s="1829"/>
      <c r="F8" s="1829"/>
      <c r="G8" s="1829"/>
      <c r="H8" s="1829"/>
      <c r="I8" s="1829"/>
      <c r="J8" s="1829"/>
      <c r="K8" s="1829"/>
      <c r="L8" s="1829"/>
      <c r="M8" s="1829"/>
      <c r="N8" s="1829"/>
      <c r="O8" s="1829"/>
      <c r="P8" s="1829"/>
      <c r="Q8" s="1829"/>
      <c r="R8" s="1829"/>
      <c r="S8" s="1829"/>
      <c r="T8" s="1829"/>
      <c r="U8" s="1829"/>
      <c r="V8" s="1829"/>
      <c r="W8" s="1829"/>
      <c r="X8" s="1829"/>
    </row>
    <row r="9" spans="1:24" s="1824" customFormat="1" ht="24">
      <c r="A9" s="1833" t="s">
        <v>636</v>
      </c>
      <c r="B9" s="2161" t="s">
        <v>637</v>
      </c>
      <c r="C9" s="2161"/>
      <c r="D9" s="2161"/>
      <c r="E9" s="2161"/>
      <c r="F9" s="2161"/>
      <c r="G9" s="2161"/>
      <c r="H9" s="2161"/>
      <c r="I9" s="2161"/>
      <c r="J9" s="2161"/>
      <c r="K9" s="2161"/>
      <c r="L9" s="2161"/>
      <c r="M9" s="2161"/>
      <c r="N9" s="2161"/>
      <c r="O9" s="2161"/>
      <c r="P9" s="2161"/>
      <c r="Q9" s="2161"/>
      <c r="R9" s="2161"/>
      <c r="S9" s="2161"/>
      <c r="T9" s="2161"/>
      <c r="U9" s="2161"/>
      <c r="V9" s="2161"/>
      <c r="W9" s="2161"/>
      <c r="X9" s="2161"/>
    </row>
    <row r="10" spans="1:24" s="1824" customFormat="1" ht="34.5" customHeight="1">
      <c r="A10" s="1831" t="s">
        <v>636</v>
      </c>
      <c r="B10" s="1834" t="s">
        <v>638</v>
      </c>
      <c r="C10" s="1828"/>
      <c r="D10" s="1829"/>
      <c r="E10" s="1829"/>
      <c r="F10" s="1829"/>
      <c r="G10" s="1829"/>
      <c r="H10" s="1829"/>
      <c r="I10" s="1829"/>
      <c r="J10" s="1829"/>
      <c r="K10" s="1829"/>
      <c r="L10" s="1829"/>
      <c r="M10" s="1829"/>
      <c r="N10" s="1829"/>
      <c r="O10" s="1829"/>
      <c r="P10" s="1829"/>
      <c r="Q10" s="1829"/>
      <c r="R10" s="1829"/>
      <c r="S10" s="1829"/>
      <c r="T10" s="1829"/>
      <c r="U10" s="1829"/>
      <c r="V10" s="1829"/>
      <c r="W10" s="1829"/>
      <c r="X10" s="1829"/>
    </row>
    <row r="11" spans="1:24" ht="34.5" customHeight="1">
      <c r="A11" s="828"/>
      <c r="B11" s="829"/>
      <c r="C11" s="829"/>
      <c r="D11" s="830"/>
      <c r="E11" s="830"/>
      <c r="F11" s="830"/>
      <c r="G11" s="830"/>
      <c r="H11" s="830"/>
      <c r="I11" s="830"/>
      <c r="J11" s="830"/>
      <c r="K11" s="830"/>
      <c r="L11" s="830"/>
      <c r="M11" s="830"/>
      <c r="N11" s="830"/>
      <c r="O11" s="830"/>
      <c r="P11" s="830"/>
      <c r="Q11" s="830"/>
      <c r="R11" s="830"/>
      <c r="S11" s="830"/>
      <c r="T11" s="830"/>
      <c r="U11" s="830"/>
      <c r="V11" s="830"/>
      <c r="W11" s="830"/>
      <c r="X11" s="830"/>
    </row>
    <row r="12" spans="1:24" ht="27" customHeight="1">
      <c r="A12" s="896" t="s">
        <v>335</v>
      </c>
      <c r="B12" s="897"/>
      <c r="C12" s="897"/>
      <c r="D12" s="897"/>
      <c r="E12" s="897"/>
      <c r="F12" s="869"/>
      <c r="G12" s="869"/>
      <c r="H12" s="869"/>
      <c r="I12" s="869"/>
      <c r="J12" s="869"/>
      <c r="K12" s="869"/>
      <c r="L12" s="869"/>
      <c r="M12" s="869"/>
      <c r="N12" s="869"/>
      <c r="O12" s="869"/>
      <c r="P12" s="869"/>
      <c r="Q12" s="898"/>
      <c r="R12" s="898"/>
      <c r="S12" s="898"/>
      <c r="T12" s="898"/>
      <c r="U12" s="899"/>
      <c r="V12" s="899"/>
      <c r="W12" s="899"/>
      <c r="X12" s="900" t="s">
        <v>325</v>
      </c>
    </row>
    <row r="13" spans="1:24" ht="18.75" hidden="1" customHeight="1">
      <c r="A13" s="901"/>
      <c r="B13" s="897"/>
      <c r="C13" s="897"/>
      <c r="D13" s="897"/>
      <c r="E13" s="897"/>
      <c r="F13" s="869"/>
      <c r="G13" s="869"/>
      <c r="H13" s="869"/>
      <c r="I13" s="863"/>
      <c r="J13" s="863"/>
      <c r="K13" s="863"/>
      <c r="L13" s="863"/>
      <c r="M13" s="2162"/>
      <c r="N13" s="2163"/>
      <c r="O13" s="2163"/>
      <c r="P13" s="2163"/>
      <c r="Q13" s="2163"/>
      <c r="R13" s="2163"/>
      <c r="S13" s="2163"/>
      <c r="T13" s="2163"/>
      <c r="U13" s="2164"/>
      <c r="V13" s="883"/>
      <c r="W13" s="883"/>
      <c r="X13" s="869"/>
    </row>
    <row r="14" spans="1:24" ht="13.5" customHeight="1">
      <c r="A14" s="2082" t="s">
        <v>137</v>
      </c>
      <c r="B14" s="2082"/>
      <c r="C14" s="2082"/>
      <c r="D14" s="2082"/>
      <c r="E14" s="2082"/>
      <c r="F14" s="2106" t="s">
        <v>73</v>
      </c>
      <c r="G14" s="2106" t="s">
        <v>128</v>
      </c>
      <c r="H14" s="2106" t="s">
        <v>343</v>
      </c>
      <c r="I14" s="2031" t="s">
        <v>360</v>
      </c>
      <c r="J14" s="2032"/>
      <c r="K14" s="2032"/>
      <c r="L14" s="2032"/>
      <c r="M14" s="2011" t="s">
        <v>320</v>
      </c>
      <c r="N14" s="2012"/>
      <c r="O14" s="2012"/>
      <c r="P14" s="2013"/>
      <c r="Q14" s="2011" t="s">
        <v>321</v>
      </c>
      <c r="R14" s="2012"/>
      <c r="S14" s="2012"/>
      <c r="T14" s="2013"/>
      <c r="U14" s="2017" t="s">
        <v>361</v>
      </c>
      <c r="V14" s="2017"/>
      <c r="W14" s="2017"/>
      <c r="X14" s="2017"/>
    </row>
    <row r="15" spans="1:24" ht="13.5" customHeight="1" thickBot="1">
      <c r="A15" s="2083"/>
      <c r="B15" s="2083"/>
      <c r="C15" s="2083"/>
      <c r="D15" s="2083"/>
      <c r="E15" s="2083"/>
      <c r="F15" s="2107"/>
      <c r="G15" s="2107"/>
      <c r="H15" s="2107"/>
      <c r="I15" s="2033"/>
      <c r="J15" s="2034"/>
      <c r="K15" s="2034"/>
      <c r="L15" s="2034"/>
      <c r="M15" s="2014"/>
      <c r="N15" s="2015"/>
      <c r="O15" s="2015"/>
      <c r="P15" s="2016"/>
      <c r="Q15" s="2014"/>
      <c r="R15" s="2015"/>
      <c r="S15" s="2015"/>
      <c r="T15" s="2016"/>
      <c r="U15" s="2018"/>
      <c r="V15" s="2018"/>
      <c r="W15" s="2018"/>
      <c r="X15" s="2018"/>
    </row>
    <row r="16" spans="1:24" ht="36" customHeight="1" thickBot="1">
      <c r="A16" s="2084" t="s">
        <v>324</v>
      </c>
      <c r="B16" s="2085"/>
      <c r="C16" s="2085"/>
      <c r="D16" s="2085"/>
      <c r="E16" s="2086"/>
      <c r="F16" s="902">
        <f>'短期'!D5</f>
        <v>36.11</v>
      </c>
      <c r="G16" s="902">
        <f>'短期'!E5</f>
        <v>36.11</v>
      </c>
      <c r="H16" s="902">
        <f>'短期'!F5</f>
        <v>36.11</v>
      </c>
      <c r="I16" s="902">
        <f>'短期'!G5</f>
        <v>44.509999999999991</v>
      </c>
      <c r="J16" s="886" t="s">
        <v>322</v>
      </c>
      <c r="K16" s="909">
        <f>I16-H16</f>
        <v>8.3999999999999915</v>
      </c>
      <c r="L16" s="886" t="s">
        <v>323</v>
      </c>
      <c r="M16" s="903">
        <f>'短期'!H5</f>
        <v>52.910000000000004</v>
      </c>
      <c r="N16" s="888" t="s">
        <v>322</v>
      </c>
      <c r="O16" s="876">
        <f>M16-I16</f>
        <v>8.4000000000000128</v>
      </c>
      <c r="P16" s="889" t="s">
        <v>323</v>
      </c>
      <c r="Q16" s="903" t="e">
        <f>'短期'!I5</f>
        <v>#REF!</v>
      </c>
      <c r="R16" s="888" t="s">
        <v>322</v>
      </c>
      <c r="S16" s="876" t="e">
        <f>Q16-M16</f>
        <v>#REF!</v>
      </c>
      <c r="T16" s="889" t="s">
        <v>323</v>
      </c>
      <c r="U16" s="903" t="e">
        <f>'短期'!J5</f>
        <v>#REF!</v>
      </c>
      <c r="V16" s="888" t="s">
        <v>322</v>
      </c>
      <c r="W16" s="876" t="e">
        <f>U16-Q16</f>
        <v>#REF!</v>
      </c>
      <c r="X16" s="889" t="s">
        <v>323</v>
      </c>
    </row>
    <row r="17" spans="1:24" s="814" customFormat="1" ht="36" customHeight="1">
      <c r="A17" s="2055" t="s">
        <v>327</v>
      </c>
      <c r="B17" s="2056"/>
      <c r="C17" s="2056"/>
      <c r="D17" s="2056"/>
      <c r="E17" s="2057"/>
      <c r="F17" s="918">
        <f>'短期'!D18</f>
        <v>6004597</v>
      </c>
      <c r="G17" s="918">
        <f>'短期'!E18</f>
        <v>5951592</v>
      </c>
      <c r="H17" s="918">
        <f>'短期'!F18</f>
        <v>6558799.6840000004</v>
      </c>
      <c r="I17" s="2008">
        <f>'短期'!G18</f>
        <v>11296358</v>
      </c>
      <c r="J17" s="2009"/>
      <c r="K17" s="2009"/>
      <c r="L17" s="2010"/>
      <c r="M17" s="2008">
        <f>'短期'!H18</f>
        <v>11600189.333333334</v>
      </c>
      <c r="N17" s="2009"/>
      <c r="O17" s="2009"/>
      <c r="P17" s="2010"/>
      <c r="Q17" s="2008" t="e">
        <f>'短期'!I18</f>
        <v>#REF!</v>
      </c>
      <c r="R17" s="2009"/>
      <c r="S17" s="2009"/>
      <c r="T17" s="2010"/>
      <c r="U17" s="2008" t="e">
        <f>'短期'!J18</f>
        <v>#REF!</v>
      </c>
      <c r="V17" s="2009"/>
      <c r="W17" s="2009"/>
      <c r="X17" s="2010"/>
    </row>
    <row r="18" spans="1:24" ht="35.25" customHeight="1" thickBot="1">
      <c r="A18" s="904" t="s">
        <v>328</v>
      </c>
      <c r="B18" s="2087" t="s">
        <v>120</v>
      </c>
      <c r="C18" s="2088"/>
      <c r="D18" s="2088"/>
      <c r="E18" s="2089"/>
      <c r="F18" s="905">
        <f>'短期'!D9</f>
        <v>5413838</v>
      </c>
      <c r="G18" s="905">
        <f>'短期'!E9</f>
        <v>5408488</v>
      </c>
      <c r="H18" s="905">
        <f>'短期'!F9</f>
        <v>5960781.6840000004</v>
      </c>
      <c r="I18" s="2069">
        <f>'短期'!G9</f>
        <v>10574245</v>
      </c>
      <c r="J18" s="2070"/>
      <c r="K18" s="2070"/>
      <c r="L18" s="2071"/>
      <c r="M18" s="2066">
        <f>'短期'!H9</f>
        <v>10593141</v>
      </c>
      <c r="N18" s="2067"/>
      <c r="O18" s="2067"/>
      <c r="P18" s="2068"/>
      <c r="Q18" s="2066" t="e">
        <f>'短期'!I9</f>
        <v>#REF!</v>
      </c>
      <c r="R18" s="2067"/>
      <c r="S18" s="2067"/>
      <c r="T18" s="2068"/>
      <c r="U18" s="2096" t="e">
        <f>'短期'!J9</f>
        <v>#REF!</v>
      </c>
      <c r="V18" s="2096"/>
      <c r="W18" s="2096"/>
      <c r="X18" s="2096"/>
    </row>
    <row r="19" spans="1:24" ht="36" customHeight="1">
      <c r="A19" s="2055" t="s">
        <v>329</v>
      </c>
      <c r="B19" s="2056"/>
      <c r="C19" s="2056"/>
      <c r="D19" s="2056"/>
      <c r="E19" s="2057"/>
      <c r="F19" s="906">
        <f>'短期'!D35</f>
        <v>5793927</v>
      </c>
      <c r="G19" s="906">
        <f>'短期'!E35</f>
        <v>6111385</v>
      </c>
      <c r="H19" s="906">
        <f>'短期'!F35</f>
        <v>7121390.8379999995</v>
      </c>
      <c r="I19" s="2076">
        <f>'短期'!G35</f>
        <v>9749951.333333334</v>
      </c>
      <c r="J19" s="2077"/>
      <c r="K19" s="2077"/>
      <c r="L19" s="2078"/>
      <c r="M19" s="2076">
        <f>'短期'!H35</f>
        <v>11207995.833333334</v>
      </c>
      <c r="N19" s="2077"/>
      <c r="O19" s="2077"/>
      <c r="P19" s="2078"/>
      <c r="Q19" s="2076">
        <f>'短期'!I35</f>
        <v>11563929.833333334</v>
      </c>
      <c r="R19" s="2077"/>
      <c r="S19" s="2077"/>
      <c r="T19" s="2078"/>
      <c r="U19" s="2098">
        <f>'短期'!J35</f>
        <v>11034200.833333334</v>
      </c>
      <c r="V19" s="2099"/>
      <c r="W19" s="2099"/>
      <c r="X19" s="2100"/>
    </row>
    <row r="20" spans="1:24" ht="36" customHeight="1">
      <c r="A20" s="2101"/>
      <c r="B20" s="2103" t="s">
        <v>121</v>
      </c>
      <c r="C20" s="2104"/>
      <c r="D20" s="2104"/>
      <c r="E20" s="2105"/>
      <c r="F20" s="935">
        <f>'短期'!D23</f>
        <v>2891035</v>
      </c>
      <c r="G20" s="935">
        <f>'短期'!E23</f>
        <v>3135381</v>
      </c>
      <c r="H20" s="935">
        <f>'短期'!F23</f>
        <v>3847538</v>
      </c>
      <c r="I20" s="2090">
        <f>'短期'!G23</f>
        <v>5557148</v>
      </c>
      <c r="J20" s="2091"/>
      <c r="K20" s="2091"/>
      <c r="L20" s="2092"/>
      <c r="M20" s="2079">
        <f>'短期'!H23</f>
        <v>5581949</v>
      </c>
      <c r="N20" s="2080"/>
      <c r="O20" s="2080"/>
      <c r="P20" s="2081"/>
      <c r="Q20" s="2079">
        <f>'短期'!I23</f>
        <v>5581949</v>
      </c>
      <c r="R20" s="2080"/>
      <c r="S20" s="2080"/>
      <c r="T20" s="2081"/>
      <c r="U20" s="2097">
        <f>'短期'!J23</f>
        <v>5581949</v>
      </c>
      <c r="V20" s="2097"/>
      <c r="W20" s="2097"/>
      <c r="X20" s="2097"/>
    </row>
    <row r="21" spans="1:24" ht="35.25" customHeight="1" thickBot="1">
      <c r="A21" s="2102"/>
      <c r="B21" s="2087" t="s">
        <v>122</v>
      </c>
      <c r="C21" s="2088"/>
      <c r="D21" s="2088"/>
      <c r="E21" s="2089"/>
      <c r="F21" s="905">
        <f>'短期'!D29</f>
        <v>2311694</v>
      </c>
      <c r="G21" s="905">
        <f>'短期'!E29</f>
        <v>2340914</v>
      </c>
      <c r="H21" s="905">
        <f>'短期'!F29</f>
        <v>2514114</v>
      </c>
      <c r="I21" s="2093">
        <f>'短期'!G29</f>
        <v>3122359</v>
      </c>
      <c r="J21" s="2094"/>
      <c r="K21" s="2094"/>
      <c r="L21" s="2095"/>
      <c r="M21" s="2066">
        <f>'短期'!H29</f>
        <v>4551469</v>
      </c>
      <c r="N21" s="2067"/>
      <c r="O21" s="2067"/>
      <c r="P21" s="2068"/>
      <c r="Q21" s="2066">
        <f>'短期'!I29</f>
        <v>4907403</v>
      </c>
      <c r="R21" s="2067"/>
      <c r="S21" s="2067"/>
      <c r="T21" s="2068"/>
      <c r="U21" s="2096">
        <f>'短期'!J29</f>
        <v>4377674</v>
      </c>
      <c r="V21" s="2096"/>
      <c r="W21" s="2096"/>
      <c r="X21" s="2096"/>
    </row>
    <row r="22" spans="1:24" ht="36" customHeight="1" thickBot="1">
      <c r="A22" s="2167" t="s">
        <v>26</v>
      </c>
      <c r="B22" s="2168"/>
      <c r="C22" s="2168"/>
      <c r="D22" s="2168"/>
      <c r="E22" s="2169"/>
      <c r="F22" s="907">
        <f>F17-F19</f>
        <v>210670</v>
      </c>
      <c r="G22" s="907">
        <f t="shared" ref="G22:H22" si="0">G17-G19</f>
        <v>-159793</v>
      </c>
      <c r="H22" s="907">
        <f t="shared" si="0"/>
        <v>-562591.15399999917</v>
      </c>
      <c r="I22" s="2000">
        <f>I17-I19</f>
        <v>1546406.666666666</v>
      </c>
      <c r="J22" s="2001"/>
      <c r="K22" s="2001"/>
      <c r="L22" s="2002"/>
      <c r="M22" s="2000">
        <f>M17-M19</f>
        <v>392193.5</v>
      </c>
      <c r="N22" s="2001"/>
      <c r="O22" s="2001"/>
      <c r="P22" s="2002"/>
      <c r="Q22" s="2000" t="e">
        <f>Q17-Q19</f>
        <v>#REF!</v>
      </c>
      <c r="R22" s="2001"/>
      <c r="S22" s="2001"/>
      <c r="T22" s="2002"/>
      <c r="U22" s="2000" t="e">
        <f>U17-U19</f>
        <v>#REF!</v>
      </c>
      <c r="V22" s="2001"/>
      <c r="W22" s="2001"/>
      <c r="X22" s="2002"/>
    </row>
    <row r="23" spans="1:24" ht="36" customHeight="1" thickBot="1">
      <c r="A23" s="2170" t="s">
        <v>27</v>
      </c>
      <c r="B23" s="2171"/>
      <c r="C23" s="2171"/>
      <c r="D23" s="2171"/>
      <c r="E23" s="2172"/>
      <c r="F23" s="908">
        <f>'短期'!D37</f>
        <v>2708193</v>
      </c>
      <c r="G23" s="908">
        <f>'短期'!E37</f>
        <v>2548400</v>
      </c>
      <c r="H23" s="908">
        <f>'短期'!F37</f>
        <v>1985808.8460000008</v>
      </c>
      <c r="I23" s="2128">
        <f>H23+I22</f>
        <v>3532215.5126666669</v>
      </c>
      <c r="J23" s="2129"/>
      <c r="K23" s="2129"/>
      <c r="L23" s="2130"/>
      <c r="M23" s="2003">
        <f>I23+M22</f>
        <v>3924409.0126666669</v>
      </c>
      <c r="N23" s="2004"/>
      <c r="O23" s="2004"/>
      <c r="P23" s="2005"/>
      <c r="Q23" s="2003" t="e">
        <f>M23+Q22</f>
        <v>#REF!</v>
      </c>
      <c r="R23" s="2004"/>
      <c r="S23" s="2004"/>
      <c r="T23" s="2005"/>
      <c r="U23" s="2006" t="e">
        <f>Q23+U22</f>
        <v>#REF!</v>
      </c>
      <c r="V23" s="2006"/>
      <c r="W23" s="2006"/>
      <c r="X23" s="2007"/>
    </row>
    <row r="24" spans="1:24" ht="36" customHeight="1" thickBot="1">
      <c r="A24" s="2120" t="s">
        <v>28</v>
      </c>
      <c r="B24" s="2121"/>
      <c r="C24" s="2121"/>
      <c r="D24" s="2121"/>
      <c r="E24" s="2122"/>
      <c r="F24" s="1808">
        <f>'短期'!D38</f>
        <v>298587</v>
      </c>
      <c r="G24" s="1808">
        <f>'短期'!E38</f>
        <v>303577</v>
      </c>
      <c r="H24" s="1808">
        <f>'短期'!F38</f>
        <v>329131.8</v>
      </c>
      <c r="I24" s="2058">
        <f>'短期'!G38</f>
        <v>418002.23333333334</v>
      </c>
      <c r="J24" s="2059"/>
      <c r="K24" s="2059"/>
      <c r="L24" s="2060"/>
      <c r="M24" s="2058">
        <f>'短期'!H38</f>
        <v>499554.5</v>
      </c>
      <c r="N24" s="2062"/>
      <c r="O24" s="2062"/>
      <c r="P24" s="2063"/>
      <c r="Q24" s="2058">
        <f>'短期'!I38</f>
        <v>557368.19999999995</v>
      </c>
      <c r="R24" s="2059"/>
      <c r="S24" s="2059"/>
      <c r="T24" s="2060"/>
      <c r="U24" s="2058">
        <f>'短期'!J38</f>
        <v>558194.9</v>
      </c>
      <c r="V24" s="2062"/>
      <c r="W24" s="2062"/>
      <c r="X24" s="2063"/>
    </row>
    <row r="25" spans="1:24" ht="36" customHeight="1" thickBot="1">
      <c r="A25" s="2117" t="s">
        <v>29</v>
      </c>
      <c r="B25" s="2118"/>
      <c r="C25" s="2118"/>
      <c r="D25" s="2118"/>
      <c r="E25" s="2119"/>
      <c r="F25" s="1809">
        <f>F23-F24</f>
        <v>2409606</v>
      </c>
      <c r="G25" s="1809">
        <f>G23-G24</f>
        <v>2244823</v>
      </c>
      <c r="H25" s="1809">
        <f>H23-H24</f>
        <v>1656677.0460000008</v>
      </c>
      <c r="I25" s="2061">
        <f>I23-I24</f>
        <v>3114213.2793333335</v>
      </c>
      <c r="J25" s="2062"/>
      <c r="K25" s="2062"/>
      <c r="L25" s="2063"/>
      <c r="M25" s="2061">
        <f>M23-M24</f>
        <v>3424854.5126666669</v>
      </c>
      <c r="N25" s="2062"/>
      <c r="O25" s="2062"/>
      <c r="P25" s="2063"/>
      <c r="Q25" s="2061" t="e">
        <f>Q23-Q24</f>
        <v>#REF!</v>
      </c>
      <c r="R25" s="2062"/>
      <c r="S25" s="2062"/>
      <c r="T25" s="2063"/>
      <c r="U25" s="2064" t="e">
        <f>U23-U24</f>
        <v>#REF!</v>
      </c>
      <c r="V25" s="2062"/>
      <c r="W25" s="2062"/>
      <c r="X25" s="2065"/>
    </row>
    <row r="26" spans="1:24" ht="27.75" customHeight="1">
      <c r="A26" s="807"/>
      <c r="B26" s="807"/>
      <c r="C26" s="807"/>
      <c r="D26" s="807"/>
      <c r="E26" s="807"/>
      <c r="F26" s="798"/>
      <c r="G26" s="798"/>
      <c r="H26" s="798"/>
      <c r="I26" s="798"/>
      <c r="J26" s="798"/>
      <c r="K26" s="798"/>
      <c r="L26" s="798"/>
      <c r="M26" s="798"/>
      <c r="N26" s="798"/>
      <c r="O26" s="798"/>
      <c r="P26" s="798"/>
      <c r="Q26" s="798"/>
      <c r="R26" s="798"/>
      <c r="S26" s="798"/>
      <c r="T26" s="798"/>
      <c r="U26" s="798"/>
      <c r="V26" s="798"/>
      <c r="W26" s="798"/>
      <c r="X26" s="798"/>
    </row>
    <row r="27" spans="1:24" ht="27.75" customHeight="1">
      <c r="A27" s="807"/>
      <c r="B27" s="807"/>
      <c r="C27" s="807"/>
      <c r="D27" s="807"/>
      <c r="E27" s="807"/>
      <c r="F27" s="798"/>
      <c r="G27" s="798"/>
      <c r="H27" s="798"/>
      <c r="I27" s="798"/>
      <c r="J27" s="798"/>
      <c r="K27" s="798"/>
      <c r="L27" s="798"/>
      <c r="M27" s="798"/>
      <c r="N27" s="798"/>
      <c r="O27" s="798"/>
      <c r="P27" s="798"/>
      <c r="Q27" s="798"/>
      <c r="R27" s="798"/>
      <c r="S27" s="798"/>
      <c r="T27" s="798"/>
      <c r="U27" s="798"/>
      <c r="V27" s="798"/>
      <c r="W27" s="798"/>
      <c r="X27" s="798"/>
    </row>
    <row r="28" spans="1:24" ht="27" customHeight="1">
      <c r="A28" s="866" t="s">
        <v>336</v>
      </c>
      <c r="B28" s="881"/>
      <c r="C28" s="881"/>
      <c r="D28" s="881"/>
      <c r="E28" s="867"/>
      <c r="F28" s="863"/>
      <c r="G28" s="863"/>
      <c r="H28" s="863"/>
      <c r="I28" s="863"/>
      <c r="J28" s="863"/>
      <c r="K28" s="863"/>
      <c r="L28" s="863"/>
      <c r="M28" s="863"/>
      <c r="N28" s="863"/>
      <c r="O28" s="863"/>
      <c r="P28" s="863"/>
      <c r="Q28" s="863"/>
      <c r="R28" s="863"/>
      <c r="S28" s="863"/>
      <c r="T28" s="863"/>
      <c r="U28" s="863"/>
      <c r="V28" s="863"/>
      <c r="W28" s="863"/>
      <c r="X28" s="863"/>
    </row>
    <row r="29" spans="1:24" ht="19.5" hidden="1" customHeight="1">
      <c r="A29" s="882"/>
      <c r="B29" s="881"/>
      <c r="C29" s="881"/>
      <c r="D29" s="881"/>
      <c r="E29" s="867"/>
      <c r="F29" s="863"/>
      <c r="G29" s="863"/>
      <c r="H29" s="863"/>
      <c r="I29" s="863"/>
      <c r="J29" s="863"/>
      <c r="K29" s="863"/>
      <c r="L29" s="863"/>
      <c r="M29" s="2162"/>
      <c r="N29" s="2163"/>
      <c r="O29" s="2163"/>
      <c r="P29" s="2163"/>
      <c r="Q29" s="2165"/>
      <c r="R29" s="2165"/>
      <c r="S29" s="2165"/>
      <c r="T29" s="2165"/>
      <c r="U29" s="2166"/>
      <c r="V29" s="883"/>
      <c r="W29" s="883"/>
      <c r="X29" s="883"/>
    </row>
    <row r="30" spans="1:24" ht="13.5" customHeight="1">
      <c r="A30" s="2082" t="s">
        <v>137</v>
      </c>
      <c r="B30" s="2082"/>
      <c r="C30" s="2082"/>
      <c r="D30" s="2082"/>
      <c r="E30" s="2082"/>
      <c r="F30" s="2106" t="s">
        <v>73</v>
      </c>
      <c r="G30" s="2106" t="s">
        <v>128</v>
      </c>
      <c r="H30" s="2106" t="s">
        <v>343</v>
      </c>
      <c r="I30" s="2031" t="s">
        <v>360</v>
      </c>
      <c r="J30" s="2032"/>
      <c r="K30" s="2032"/>
      <c r="L30" s="2032"/>
      <c r="M30" s="2011" t="s">
        <v>320</v>
      </c>
      <c r="N30" s="2012"/>
      <c r="O30" s="2012"/>
      <c r="P30" s="2013"/>
      <c r="Q30" s="2011" t="s">
        <v>321</v>
      </c>
      <c r="R30" s="2012"/>
      <c r="S30" s="2012"/>
      <c r="T30" s="2013"/>
      <c r="U30" s="2017" t="s">
        <v>361</v>
      </c>
      <c r="V30" s="2017"/>
      <c r="W30" s="2017"/>
      <c r="X30" s="2017"/>
    </row>
    <row r="31" spans="1:24" ht="13.5" customHeight="1" thickBot="1">
      <c r="A31" s="2083"/>
      <c r="B31" s="2083"/>
      <c r="C31" s="2083"/>
      <c r="D31" s="2083"/>
      <c r="E31" s="2083"/>
      <c r="F31" s="2107"/>
      <c r="G31" s="2107"/>
      <c r="H31" s="2107"/>
      <c r="I31" s="2033"/>
      <c r="J31" s="2034"/>
      <c r="K31" s="2034"/>
      <c r="L31" s="2034"/>
      <c r="M31" s="2014"/>
      <c r="N31" s="2015"/>
      <c r="O31" s="2015"/>
      <c r="P31" s="2016"/>
      <c r="Q31" s="2014"/>
      <c r="R31" s="2015"/>
      <c r="S31" s="2015"/>
      <c r="T31" s="2016"/>
      <c r="U31" s="2018"/>
      <c r="V31" s="2018"/>
      <c r="W31" s="2018"/>
      <c r="X31" s="2018"/>
    </row>
    <row r="32" spans="1:24" s="815" customFormat="1" ht="36" customHeight="1" thickBot="1">
      <c r="A32" s="2113" t="s">
        <v>324</v>
      </c>
      <c r="B32" s="2114"/>
      <c r="C32" s="2114"/>
      <c r="D32" s="2114"/>
      <c r="E32" s="2115"/>
      <c r="F32" s="884">
        <f>'保健'!D5</f>
        <v>1.3</v>
      </c>
      <c r="G32" s="884">
        <f>'保健'!E5</f>
        <v>1.3</v>
      </c>
      <c r="H32" s="884">
        <f>'保健'!F5</f>
        <v>1.3</v>
      </c>
      <c r="I32" s="885">
        <f>'保健'!G5</f>
        <v>1.7</v>
      </c>
      <c r="J32" s="886" t="s">
        <v>322</v>
      </c>
      <c r="K32" s="1822">
        <f>I32-H32</f>
        <v>0.39999999999999991</v>
      </c>
      <c r="L32" s="886" t="s">
        <v>323</v>
      </c>
      <c r="M32" s="887">
        <f>'保健'!H5</f>
        <v>2.1</v>
      </c>
      <c r="N32" s="888" t="s">
        <v>322</v>
      </c>
      <c r="O32" s="876">
        <f>M32-I32</f>
        <v>0.40000000000000013</v>
      </c>
      <c r="P32" s="889" t="s">
        <v>323</v>
      </c>
      <c r="Q32" s="890">
        <f>'保健'!I5</f>
        <v>2.1</v>
      </c>
      <c r="R32" s="888" t="s">
        <v>322</v>
      </c>
      <c r="S32" s="876">
        <f>Q32-M32</f>
        <v>0</v>
      </c>
      <c r="T32" s="889" t="s">
        <v>323</v>
      </c>
      <c r="U32" s="890">
        <f>'保健'!J5</f>
        <v>2.1</v>
      </c>
      <c r="V32" s="888" t="s">
        <v>322</v>
      </c>
      <c r="W32" s="876">
        <f>U32-Q32</f>
        <v>0</v>
      </c>
      <c r="X32" s="889" t="s">
        <v>323</v>
      </c>
    </row>
    <row r="33" spans="1:24" s="815" customFormat="1" ht="36" customHeight="1">
      <c r="A33" s="2055" t="s">
        <v>327</v>
      </c>
      <c r="B33" s="2056"/>
      <c r="C33" s="2056"/>
      <c r="D33" s="2056"/>
      <c r="E33" s="2057"/>
      <c r="F33" s="918">
        <f>'保健'!D17</f>
        <v>314784</v>
      </c>
      <c r="G33" s="918">
        <f>'保健'!E17</f>
        <v>315439</v>
      </c>
      <c r="H33" s="918">
        <f>'保健'!F17</f>
        <v>362159</v>
      </c>
      <c r="I33" s="2008">
        <f>'保健'!G17</f>
        <v>640177</v>
      </c>
      <c r="J33" s="2009"/>
      <c r="K33" s="2009"/>
      <c r="L33" s="2010"/>
      <c r="M33" s="2008">
        <f>'保健'!H17</f>
        <v>641659</v>
      </c>
      <c r="N33" s="2009"/>
      <c r="O33" s="2009"/>
      <c r="P33" s="2010"/>
      <c r="Q33" s="2008">
        <f>'保健'!I17</f>
        <v>641659</v>
      </c>
      <c r="R33" s="2009"/>
      <c r="S33" s="2009"/>
      <c r="T33" s="2010"/>
      <c r="U33" s="2045">
        <f>'保健'!J17</f>
        <v>641659</v>
      </c>
      <c r="V33" s="2046"/>
      <c r="W33" s="2046"/>
      <c r="X33" s="2047"/>
    </row>
    <row r="34" spans="1:24" s="815" customFormat="1" ht="33.75" customHeight="1" thickBot="1">
      <c r="A34" s="920" t="s">
        <v>146</v>
      </c>
      <c r="B34" s="2112" t="s">
        <v>120</v>
      </c>
      <c r="C34" s="2112"/>
      <c r="D34" s="2112"/>
      <c r="E34" s="2112"/>
      <c r="F34" s="891">
        <f>'保健'!D9</f>
        <v>208474</v>
      </c>
      <c r="G34" s="891">
        <f>'保健'!E9</f>
        <v>208266</v>
      </c>
      <c r="H34" s="891">
        <f>'保健'!F9</f>
        <v>229674</v>
      </c>
      <c r="I34" s="2028">
        <f>'保健'!G9</f>
        <v>440682</v>
      </c>
      <c r="J34" s="2029"/>
      <c r="K34" s="2029"/>
      <c r="L34" s="2030"/>
      <c r="M34" s="2036">
        <f>'保健'!H9</f>
        <v>444425</v>
      </c>
      <c r="N34" s="2037"/>
      <c r="O34" s="2037"/>
      <c r="P34" s="2038"/>
      <c r="Q34" s="2036">
        <f>'保健'!I9</f>
        <v>444425</v>
      </c>
      <c r="R34" s="2037"/>
      <c r="S34" s="2037"/>
      <c r="T34" s="2038"/>
      <c r="U34" s="2036">
        <f>'保健'!J9</f>
        <v>444425</v>
      </c>
      <c r="V34" s="2037"/>
      <c r="W34" s="2037"/>
      <c r="X34" s="2038"/>
    </row>
    <row r="35" spans="1:24" s="815" customFormat="1" ht="36" customHeight="1">
      <c r="A35" s="2055" t="s">
        <v>329</v>
      </c>
      <c r="B35" s="2056"/>
      <c r="C35" s="2056"/>
      <c r="D35" s="2056"/>
      <c r="E35" s="2057"/>
      <c r="F35" s="919">
        <f>'保健'!D38</f>
        <v>353869</v>
      </c>
      <c r="G35" s="919">
        <f>'保健'!E38</f>
        <v>355485</v>
      </c>
      <c r="H35" s="919">
        <f>'保健'!F38</f>
        <v>438802</v>
      </c>
      <c r="I35" s="2072">
        <f>'保健'!G38</f>
        <v>620875</v>
      </c>
      <c r="J35" s="2073"/>
      <c r="K35" s="2073"/>
      <c r="L35" s="2074"/>
      <c r="M35" s="2072">
        <f>'保健'!H38</f>
        <v>646651</v>
      </c>
      <c r="N35" s="2073"/>
      <c r="O35" s="2073"/>
      <c r="P35" s="2074"/>
      <c r="Q35" s="2072">
        <f>'保健'!I38</f>
        <v>620370</v>
      </c>
      <c r="R35" s="2073"/>
      <c r="S35" s="2073"/>
      <c r="T35" s="2074"/>
      <c r="U35" s="2045">
        <f>'保健'!J38</f>
        <v>620370</v>
      </c>
      <c r="V35" s="2046"/>
      <c r="W35" s="2046"/>
      <c r="X35" s="2047"/>
    </row>
    <row r="36" spans="1:24" s="815" customFormat="1" ht="33.75" customHeight="1" thickBot="1">
      <c r="A36" s="920" t="s">
        <v>330</v>
      </c>
      <c r="B36" s="2112" t="s">
        <v>125</v>
      </c>
      <c r="C36" s="2112"/>
      <c r="D36" s="2112"/>
      <c r="E36" s="2112"/>
      <c r="F36" s="891">
        <f>'保健'!D21</f>
        <v>273334</v>
      </c>
      <c r="G36" s="891">
        <f>'保健'!E21</f>
        <v>281477</v>
      </c>
      <c r="H36" s="891">
        <f>'保健'!F21</f>
        <v>351942</v>
      </c>
      <c r="I36" s="2028">
        <f>'保健'!G21</f>
        <v>512071</v>
      </c>
      <c r="J36" s="2029"/>
      <c r="K36" s="2029"/>
      <c r="L36" s="2030"/>
      <c r="M36" s="2036">
        <f>'保健'!H21</f>
        <v>509692</v>
      </c>
      <c r="N36" s="2037"/>
      <c r="O36" s="2037"/>
      <c r="P36" s="2038"/>
      <c r="Q36" s="2036">
        <f>'保健'!I21</f>
        <v>509692</v>
      </c>
      <c r="R36" s="2037"/>
      <c r="S36" s="2037"/>
      <c r="T36" s="2038"/>
      <c r="U36" s="2036">
        <f>'保健'!J21</f>
        <v>509692</v>
      </c>
      <c r="V36" s="2037"/>
      <c r="W36" s="2037"/>
      <c r="X36" s="2038"/>
    </row>
    <row r="37" spans="1:24" s="815" customFormat="1" ht="36" customHeight="1" thickBot="1">
      <c r="A37" s="2116" t="s">
        <v>26</v>
      </c>
      <c r="B37" s="2116"/>
      <c r="C37" s="2116"/>
      <c r="D37" s="2116"/>
      <c r="E37" s="2116"/>
      <c r="F37" s="892">
        <f>F33-F35</f>
        <v>-39085</v>
      </c>
      <c r="G37" s="892">
        <f t="shared" ref="G37:H37" si="1">G33-G35</f>
        <v>-40046</v>
      </c>
      <c r="H37" s="892">
        <f t="shared" si="1"/>
        <v>-76643</v>
      </c>
      <c r="I37" s="2039">
        <f>I33-I35</f>
        <v>19302</v>
      </c>
      <c r="J37" s="2040"/>
      <c r="K37" s="2040"/>
      <c r="L37" s="2041"/>
      <c r="M37" s="2039">
        <f>M33-M35</f>
        <v>-4992</v>
      </c>
      <c r="N37" s="2040"/>
      <c r="O37" s="2040"/>
      <c r="P37" s="2041"/>
      <c r="Q37" s="2039">
        <f>Q33-Q35</f>
        <v>21289</v>
      </c>
      <c r="R37" s="2040"/>
      <c r="S37" s="2040"/>
      <c r="T37" s="2041"/>
      <c r="U37" s="2039">
        <f>U33-U35</f>
        <v>21289</v>
      </c>
      <c r="V37" s="2040"/>
      <c r="W37" s="2040"/>
      <c r="X37" s="2041"/>
    </row>
    <row r="38" spans="1:24" ht="36" customHeight="1">
      <c r="A38" s="2174" t="s">
        <v>27</v>
      </c>
      <c r="B38" s="2174"/>
      <c r="C38" s="2174"/>
      <c r="D38" s="2174"/>
      <c r="E38" s="2174"/>
      <c r="F38" s="893">
        <f>'保健'!D40</f>
        <v>482745</v>
      </c>
      <c r="G38" s="893">
        <f>'保健'!E40</f>
        <v>442699</v>
      </c>
      <c r="H38" s="893">
        <f>'保健'!F40</f>
        <v>366056</v>
      </c>
      <c r="I38" s="1995">
        <f>'保健'!G40</f>
        <v>385358</v>
      </c>
      <c r="J38" s="1996"/>
      <c r="K38" s="1996"/>
      <c r="L38" s="1997"/>
      <c r="M38" s="1995">
        <f>'保健'!H40</f>
        <v>380366</v>
      </c>
      <c r="N38" s="1998"/>
      <c r="O38" s="1998"/>
      <c r="P38" s="1999"/>
      <c r="Q38" s="1995">
        <f>'保健'!I40</f>
        <v>401655</v>
      </c>
      <c r="R38" s="1998"/>
      <c r="S38" s="1998"/>
      <c r="T38" s="1999"/>
      <c r="U38" s="1995">
        <f>'保健'!J40</f>
        <v>422944</v>
      </c>
      <c r="V38" s="1998"/>
      <c r="W38" s="1998"/>
      <c r="X38" s="1999"/>
    </row>
    <row r="39" spans="1:24" ht="36" customHeight="1" thickBot="1">
      <c r="A39" s="2175" t="s">
        <v>342</v>
      </c>
      <c r="B39" s="2175"/>
      <c r="C39" s="2175"/>
      <c r="D39" s="2175"/>
      <c r="E39" s="2175"/>
      <c r="F39" s="894">
        <v>23435</v>
      </c>
      <c r="G39" s="894">
        <v>23435</v>
      </c>
      <c r="H39" s="895">
        <f>'保健'!F41+'保健'!F42</f>
        <v>23435</v>
      </c>
      <c r="I39" s="2042">
        <f>'保健'!G41+'保健'!G42</f>
        <v>23435</v>
      </c>
      <c r="J39" s="2043"/>
      <c r="K39" s="2043"/>
      <c r="L39" s="2044"/>
      <c r="M39" s="2042">
        <f>'保健'!H41+'保健'!H42</f>
        <v>23435</v>
      </c>
      <c r="N39" s="2043"/>
      <c r="O39" s="2043"/>
      <c r="P39" s="2044"/>
      <c r="Q39" s="2042">
        <f>'保健'!I41+'保健'!I42</f>
        <v>0</v>
      </c>
      <c r="R39" s="2043"/>
      <c r="S39" s="2043"/>
      <c r="T39" s="2044"/>
      <c r="U39" s="2042">
        <f>'保健'!J41+'保健'!J42</f>
        <v>0</v>
      </c>
      <c r="V39" s="2043"/>
      <c r="W39" s="2043"/>
      <c r="X39" s="2044"/>
    </row>
    <row r="40" spans="1:24" s="815" customFormat="1" ht="36" customHeight="1" thickBot="1">
      <c r="A40" s="2123" t="s">
        <v>326</v>
      </c>
      <c r="B40" s="2124"/>
      <c r="C40" s="2124"/>
      <c r="D40" s="2124"/>
      <c r="E40" s="2124"/>
      <c r="F40" s="892">
        <f t="shared" ref="F40:G40" si="2">F38-F39</f>
        <v>459310</v>
      </c>
      <c r="G40" s="892">
        <f t="shared" si="2"/>
        <v>419264</v>
      </c>
      <c r="H40" s="892">
        <f>H38-H39</f>
        <v>342621</v>
      </c>
      <c r="I40" s="2125">
        <f>I38-I39</f>
        <v>361923</v>
      </c>
      <c r="J40" s="2126"/>
      <c r="K40" s="2126"/>
      <c r="L40" s="2127"/>
      <c r="M40" s="2025">
        <f>M38-M39</f>
        <v>356931</v>
      </c>
      <c r="N40" s="2026"/>
      <c r="O40" s="2026"/>
      <c r="P40" s="2035"/>
      <c r="Q40" s="2025">
        <f t="shared" ref="Q40:U40" si="3">Q38-Q39</f>
        <v>401655</v>
      </c>
      <c r="R40" s="2026"/>
      <c r="S40" s="2026"/>
      <c r="T40" s="2035"/>
      <c r="U40" s="2025">
        <f t="shared" si="3"/>
        <v>422944</v>
      </c>
      <c r="V40" s="2026"/>
      <c r="W40" s="2026"/>
      <c r="X40" s="2027"/>
    </row>
    <row r="41" spans="1:24">
      <c r="A41" s="800"/>
      <c r="B41" s="800"/>
      <c r="C41" s="800"/>
      <c r="D41" s="800"/>
      <c r="E41" s="800"/>
    </row>
    <row r="42" spans="1:24" ht="26.25" customHeight="1">
      <c r="A42" s="866" t="s">
        <v>337</v>
      </c>
      <c r="B42" s="867"/>
      <c r="C42" s="867"/>
      <c r="D42" s="867"/>
      <c r="E42" s="868"/>
      <c r="F42" s="863"/>
      <c r="G42" s="863"/>
      <c r="H42" s="863"/>
      <c r="I42" s="863"/>
      <c r="J42" s="863"/>
      <c r="K42" s="863"/>
      <c r="L42" s="863"/>
      <c r="M42" s="869"/>
      <c r="N42" s="869"/>
      <c r="O42" s="869"/>
      <c r="P42" s="869"/>
      <c r="Q42" s="869"/>
      <c r="R42" s="869"/>
      <c r="S42" s="869"/>
      <c r="T42" s="869"/>
      <c r="U42" s="869"/>
      <c r="V42" s="869"/>
      <c r="W42" s="869"/>
      <c r="X42" s="863"/>
    </row>
    <row r="43" spans="1:24" s="816" customFormat="1" ht="13.5" customHeight="1">
      <c r="A43" s="2082" t="s">
        <v>137</v>
      </c>
      <c r="B43" s="2082"/>
      <c r="C43" s="2082"/>
      <c r="D43" s="2082"/>
      <c r="E43" s="2082"/>
      <c r="F43" s="2106" t="s">
        <v>73</v>
      </c>
      <c r="G43" s="2106" t="s">
        <v>128</v>
      </c>
      <c r="H43" s="2106" t="s">
        <v>343</v>
      </c>
      <c r="I43" s="2031" t="s">
        <v>360</v>
      </c>
      <c r="J43" s="2032"/>
      <c r="K43" s="2032"/>
      <c r="L43" s="2032"/>
      <c r="M43" s="2011" t="s">
        <v>320</v>
      </c>
      <c r="N43" s="2012"/>
      <c r="O43" s="2012"/>
      <c r="P43" s="2013"/>
      <c r="Q43" s="2011" t="s">
        <v>321</v>
      </c>
      <c r="R43" s="2012"/>
      <c r="S43" s="2012"/>
      <c r="T43" s="2013"/>
      <c r="U43" s="2017" t="s">
        <v>361</v>
      </c>
      <c r="V43" s="2017"/>
      <c r="W43" s="2017"/>
      <c r="X43" s="2017"/>
    </row>
    <row r="44" spans="1:24" s="816" customFormat="1" ht="13.5" customHeight="1" thickBot="1">
      <c r="A44" s="2083"/>
      <c r="B44" s="2083"/>
      <c r="C44" s="2083"/>
      <c r="D44" s="2083"/>
      <c r="E44" s="2083"/>
      <c r="F44" s="2107"/>
      <c r="G44" s="2107"/>
      <c r="H44" s="2107"/>
      <c r="I44" s="2033"/>
      <c r="J44" s="2034"/>
      <c r="K44" s="2034"/>
      <c r="L44" s="2034"/>
      <c r="M44" s="2014"/>
      <c r="N44" s="2015"/>
      <c r="O44" s="2015"/>
      <c r="P44" s="2016"/>
      <c r="Q44" s="2014"/>
      <c r="R44" s="2015"/>
      <c r="S44" s="2015"/>
      <c r="T44" s="2016"/>
      <c r="U44" s="2018"/>
      <c r="V44" s="2018"/>
      <c r="W44" s="2018"/>
      <c r="X44" s="2018"/>
    </row>
    <row r="45" spans="1:24" s="816" customFormat="1" ht="36" customHeight="1" thickBot="1">
      <c r="A45" s="2108" t="s">
        <v>324</v>
      </c>
      <c r="B45" s="2109"/>
      <c r="C45" s="2109"/>
      <c r="D45" s="2109"/>
      <c r="E45" s="2110"/>
      <c r="F45" s="870">
        <f>'介護'!C5</f>
        <v>8</v>
      </c>
      <c r="G45" s="870">
        <f>'介護'!D5</f>
        <v>8</v>
      </c>
      <c r="H45" s="871">
        <f>'介護'!E5</f>
        <v>8.6999999999999993</v>
      </c>
      <c r="I45" s="872">
        <f>'介護'!F5</f>
        <v>8.9</v>
      </c>
      <c r="J45" s="873" t="s">
        <v>322</v>
      </c>
      <c r="K45" s="1822">
        <f>I45-H45</f>
        <v>0.20000000000000107</v>
      </c>
      <c r="L45" s="873" t="s">
        <v>323</v>
      </c>
      <c r="M45" s="874">
        <f>'介護'!G5</f>
        <v>8.4</v>
      </c>
      <c r="N45" s="875" t="s">
        <v>322</v>
      </c>
      <c r="O45" s="876">
        <f>M45-I45</f>
        <v>-0.5</v>
      </c>
      <c r="P45" s="877" t="s">
        <v>323</v>
      </c>
      <c r="Q45" s="874">
        <f>'介護'!H5</f>
        <v>8.4</v>
      </c>
      <c r="R45" s="875" t="s">
        <v>322</v>
      </c>
      <c r="S45" s="876">
        <f>Q45-M45</f>
        <v>0</v>
      </c>
      <c r="T45" s="877" t="s">
        <v>323</v>
      </c>
      <c r="U45" s="874">
        <f>'介護'!I5</f>
        <v>8.4</v>
      </c>
      <c r="V45" s="875" t="s">
        <v>322</v>
      </c>
      <c r="W45" s="876">
        <f>U45-Q45</f>
        <v>0</v>
      </c>
      <c r="X45" s="877" t="s">
        <v>323</v>
      </c>
    </row>
    <row r="46" spans="1:24" s="816" customFormat="1" ht="36" customHeight="1" thickBot="1">
      <c r="A46" s="2173" t="s">
        <v>340</v>
      </c>
      <c r="B46" s="2109"/>
      <c r="C46" s="2109"/>
      <c r="D46" s="2109"/>
      <c r="E46" s="2110"/>
      <c r="F46" s="878">
        <f>'介護'!C10</f>
        <v>800789.78700000001</v>
      </c>
      <c r="G46" s="878">
        <f>'介護'!D10</f>
        <v>787076.48699999996</v>
      </c>
      <c r="H46" s="878">
        <f>'介護'!E10</f>
        <v>938326.59899999993</v>
      </c>
      <c r="I46" s="2141">
        <f>'介護'!F10</f>
        <v>1035858</v>
      </c>
      <c r="J46" s="2142"/>
      <c r="K46" s="2142"/>
      <c r="L46" s="2143"/>
      <c r="M46" s="2019">
        <f>'介護'!G10</f>
        <v>969984</v>
      </c>
      <c r="N46" s="2020"/>
      <c r="O46" s="2020"/>
      <c r="P46" s="2021"/>
      <c r="Q46" s="2019">
        <f>'介護'!H10</f>
        <v>969984</v>
      </c>
      <c r="R46" s="2020"/>
      <c r="S46" s="2020"/>
      <c r="T46" s="2021"/>
      <c r="U46" s="2019">
        <f>'介護'!I10</f>
        <v>969984</v>
      </c>
      <c r="V46" s="2020"/>
      <c r="W46" s="2020"/>
      <c r="X46" s="2021"/>
    </row>
    <row r="47" spans="1:24" s="816" customFormat="1" ht="36" customHeight="1" thickBot="1">
      <c r="A47" s="2173" t="s">
        <v>341</v>
      </c>
      <c r="B47" s="2109"/>
      <c r="C47" s="2109"/>
      <c r="D47" s="2109"/>
      <c r="E47" s="2110"/>
      <c r="F47" s="878">
        <f>'介護'!C13</f>
        <v>816366</v>
      </c>
      <c r="G47" s="878">
        <f>'介護'!D13</f>
        <v>812546</v>
      </c>
      <c r="H47" s="878">
        <f>'介護'!E13</f>
        <v>974236</v>
      </c>
      <c r="I47" s="2141">
        <f>'介護'!F13</f>
        <v>1019311</v>
      </c>
      <c r="J47" s="2142"/>
      <c r="K47" s="2142"/>
      <c r="L47" s="2143"/>
      <c r="M47" s="2019">
        <f>'介護'!G13</f>
        <v>933307</v>
      </c>
      <c r="N47" s="2020"/>
      <c r="O47" s="2020"/>
      <c r="P47" s="2021"/>
      <c r="Q47" s="2019">
        <f>'介護'!H13</f>
        <v>933307</v>
      </c>
      <c r="R47" s="2020"/>
      <c r="S47" s="2020"/>
      <c r="T47" s="2021"/>
      <c r="U47" s="2019">
        <f>'介護'!I13</f>
        <v>933307</v>
      </c>
      <c r="V47" s="2020"/>
      <c r="W47" s="2020"/>
      <c r="X47" s="2021"/>
    </row>
    <row r="48" spans="1:24" s="817" customFormat="1" ht="36" customHeight="1" thickBot="1">
      <c r="A48" s="2111" t="s">
        <v>26</v>
      </c>
      <c r="B48" s="2111"/>
      <c r="C48" s="2111"/>
      <c r="D48" s="2111"/>
      <c r="E48" s="2111"/>
      <c r="F48" s="879">
        <f>'介護'!C14</f>
        <v>-15576.212999999989</v>
      </c>
      <c r="G48" s="879">
        <f>'介護'!D14</f>
        <v>-25469.513000000035</v>
      </c>
      <c r="H48" s="879">
        <f>H46-H47</f>
        <v>-35909.401000000071</v>
      </c>
      <c r="I48" s="2022">
        <f>I46-I47</f>
        <v>16547</v>
      </c>
      <c r="J48" s="2023"/>
      <c r="K48" s="2023"/>
      <c r="L48" s="2024"/>
      <c r="M48" s="2022">
        <f>M46-M47</f>
        <v>36677</v>
      </c>
      <c r="N48" s="2023"/>
      <c r="O48" s="2023"/>
      <c r="P48" s="2024"/>
      <c r="Q48" s="2022">
        <f>Q46-Q47</f>
        <v>36677</v>
      </c>
      <c r="R48" s="2023"/>
      <c r="S48" s="2023"/>
      <c r="T48" s="2024"/>
      <c r="U48" s="2022">
        <f>U46-U47</f>
        <v>36677</v>
      </c>
      <c r="V48" s="2023"/>
      <c r="W48" s="2023"/>
      <c r="X48" s="2024"/>
    </row>
    <row r="49" spans="1:24" s="816" customFormat="1" ht="36" customHeight="1" thickBot="1">
      <c r="A49" s="2123" t="s">
        <v>319</v>
      </c>
      <c r="B49" s="2124"/>
      <c r="C49" s="2124"/>
      <c r="D49" s="2124"/>
      <c r="E49" s="2124"/>
      <c r="F49" s="880">
        <f>'介護'!C15</f>
        <v>56791.787000000011</v>
      </c>
      <c r="G49" s="880">
        <f>'介護'!D15</f>
        <v>31322.273999999976</v>
      </c>
      <c r="H49" s="880">
        <f>'介護'!E15</f>
        <v>-4587.127000000095</v>
      </c>
      <c r="I49" s="2058">
        <f>'介護'!F15</f>
        <v>11959.872999999905</v>
      </c>
      <c r="J49" s="2059"/>
      <c r="K49" s="2059"/>
      <c r="L49" s="2060"/>
      <c r="M49" s="2025">
        <f>'介護'!G15</f>
        <v>48636.872999999905</v>
      </c>
      <c r="N49" s="2026"/>
      <c r="O49" s="2026"/>
      <c r="P49" s="2035"/>
      <c r="Q49" s="2025">
        <f>'介護'!H15</f>
        <v>85313.872999999905</v>
      </c>
      <c r="R49" s="2026"/>
      <c r="S49" s="2026"/>
      <c r="T49" s="2035"/>
      <c r="U49" s="2025">
        <f>'介護'!I15</f>
        <v>121990.87299999991</v>
      </c>
      <c r="V49" s="2026"/>
      <c r="W49" s="2026"/>
      <c r="X49" s="2027"/>
    </row>
    <row r="50" spans="1:24" s="863" customFormat="1" ht="45" customHeight="1">
      <c r="A50" s="861" t="s">
        <v>338</v>
      </c>
      <c r="B50" s="862"/>
      <c r="C50" s="862"/>
      <c r="D50" s="862"/>
      <c r="E50" s="862"/>
      <c r="W50" s="864"/>
      <c r="X50" s="865" t="s">
        <v>339</v>
      </c>
    </row>
    <row r="51" spans="1:24" ht="36" customHeight="1">
      <c r="A51" s="2048" t="s">
        <v>332</v>
      </c>
      <c r="B51" s="2049"/>
      <c r="C51" s="2049"/>
      <c r="D51" s="2049"/>
      <c r="E51" s="2049"/>
      <c r="F51" s="2049"/>
      <c r="G51" s="2050"/>
      <c r="H51" s="1810" t="s">
        <v>343</v>
      </c>
      <c r="I51" s="1985" t="s">
        <v>362</v>
      </c>
      <c r="J51" s="1986"/>
      <c r="K51" s="1986"/>
      <c r="L51" s="1987"/>
      <c r="M51" s="1988" t="s">
        <v>320</v>
      </c>
      <c r="N51" s="1989"/>
      <c r="O51" s="1989"/>
      <c r="P51" s="1990"/>
      <c r="Q51" s="1991" t="s">
        <v>321</v>
      </c>
      <c r="R51" s="1992"/>
      <c r="S51" s="1992"/>
      <c r="T51" s="1993"/>
      <c r="U51" s="1991" t="s">
        <v>361</v>
      </c>
      <c r="V51" s="1992"/>
      <c r="W51" s="1992"/>
      <c r="X51" s="1993"/>
    </row>
    <row r="52" spans="1:24" ht="36" customHeight="1">
      <c r="A52" s="2051" t="s">
        <v>331</v>
      </c>
      <c r="B52" s="2052"/>
      <c r="C52" s="2052"/>
      <c r="D52" s="2052"/>
      <c r="E52" s="2052"/>
      <c r="F52" s="2150" t="s">
        <v>639</v>
      </c>
      <c r="G52" s="2151"/>
      <c r="H52" s="1817">
        <f>H16+H32</f>
        <v>37.409999999999997</v>
      </c>
      <c r="I52" s="1806">
        <f>I16+I32</f>
        <v>46.209999999999994</v>
      </c>
      <c r="J52" s="1811" t="s">
        <v>643</v>
      </c>
      <c r="K52" s="1811">
        <f t="shared" ref="K52:K57" si="4">I52-H52</f>
        <v>8.7999999999999972</v>
      </c>
      <c r="L52" s="1812" t="s">
        <v>644</v>
      </c>
      <c r="M52" s="831">
        <f>M16+M32</f>
        <v>55.010000000000005</v>
      </c>
      <c r="N52" s="832" t="s">
        <v>322</v>
      </c>
      <c r="O52" s="833">
        <f t="shared" ref="O52:O53" si="5">M52-I52</f>
        <v>8.8000000000000114</v>
      </c>
      <c r="P52" s="832" t="s">
        <v>323</v>
      </c>
      <c r="Q52" s="831" t="e">
        <f>Q16+Q32</f>
        <v>#REF!</v>
      </c>
      <c r="R52" s="834" t="s">
        <v>322</v>
      </c>
      <c r="S52" s="833" t="e">
        <f t="shared" ref="S52:S57" si="6">Q52-M52</f>
        <v>#REF!</v>
      </c>
      <c r="T52" s="835" t="s">
        <v>323</v>
      </c>
      <c r="U52" s="831" t="e">
        <f>U16+U32</f>
        <v>#REF!</v>
      </c>
      <c r="V52" s="836" t="s">
        <v>322</v>
      </c>
      <c r="W52" s="833" t="e">
        <f t="shared" ref="W52:W57" si="7">U52-Q52</f>
        <v>#REF!</v>
      </c>
      <c r="X52" s="837" t="s">
        <v>323</v>
      </c>
    </row>
    <row r="53" spans="1:24" ht="36" customHeight="1" thickBot="1">
      <c r="A53" s="2053"/>
      <c r="B53" s="2054"/>
      <c r="C53" s="2054"/>
      <c r="D53" s="2054"/>
      <c r="E53" s="2054"/>
      <c r="F53" s="2152" t="s">
        <v>640</v>
      </c>
      <c r="G53" s="2153"/>
      <c r="H53" s="1818">
        <f>H45</f>
        <v>8.6999999999999993</v>
      </c>
      <c r="I53" s="1803">
        <f>I45</f>
        <v>8.9</v>
      </c>
      <c r="J53" s="1813" t="s">
        <v>643</v>
      </c>
      <c r="K53" s="1813">
        <f t="shared" si="4"/>
        <v>0.20000000000000107</v>
      </c>
      <c r="L53" s="1813" t="s">
        <v>644</v>
      </c>
      <c r="M53" s="838">
        <f>M45</f>
        <v>8.4</v>
      </c>
      <c r="N53" s="839" t="s">
        <v>322</v>
      </c>
      <c r="O53" s="840">
        <f t="shared" si="5"/>
        <v>-0.5</v>
      </c>
      <c r="P53" s="839" t="s">
        <v>323</v>
      </c>
      <c r="Q53" s="841">
        <f>Q45</f>
        <v>8.4</v>
      </c>
      <c r="R53" s="842" t="s">
        <v>322</v>
      </c>
      <c r="S53" s="840">
        <f t="shared" si="6"/>
        <v>0</v>
      </c>
      <c r="T53" s="843" t="s">
        <v>323</v>
      </c>
      <c r="U53" s="841">
        <f>U45</f>
        <v>8.4</v>
      </c>
      <c r="V53" s="844" t="s">
        <v>322</v>
      </c>
      <c r="W53" s="840">
        <f t="shared" si="7"/>
        <v>0</v>
      </c>
      <c r="X53" s="845" t="s">
        <v>323</v>
      </c>
    </row>
    <row r="54" spans="1:24" ht="36" customHeight="1" thickTop="1">
      <c r="A54" s="2144" t="s">
        <v>645</v>
      </c>
      <c r="B54" s="2145"/>
      <c r="C54" s="2145"/>
      <c r="D54" s="2145"/>
      <c r="E54" s="2145"/>
      <c r="F54" s="2154" t="s">
        <v>641</v>
      </c>
      <c r="G54" s="2155"/>
      <c r="H54" s="1804">
        <f>$A$63*H52/1000</f>
        <v>16460.399999999998</v>
      </c>
      <c r="I54" s="1804">
        <f>$A$63*I52/1000</f>
        <v>20332.399999999998</v>
      </c>
      <c r="J54" s="1814" t="s">
        <v>643</v>
      </c>
      <c r="K54" s="1814">
        <f t="shared" si="4"/>
        <v>3872</v>
      </c>
      <c r="L54" s="1814" t="s">
        <v>644</v>
      </c>
      <c r="M54" s="912">
        <f>$A$63*M52/1000</f>
        <v>24204.400000000005</v>
      </c>
      <c r="N54" s="846" t="s">
        <v>322</v>
      </c>
      <c r="O54" s="915">
        <f>M54-I54</f>
        <v>3872.0000000000073</v>
      </c>
      <c r="P54" s="846" t="s">
        <v>323</v>
      </c>
      <c r="Q54" s="912" t="e">
        <f>$A$63*Q52/1000</f>
        <v>#REF!</v>
      </c>
      <c r="R54" s="847" t="s">
        <v>322</v>
      </c>
      <c r="S54" s="915" t="e">
        <f t="shared" si="6"/>
        <v>#REF!</v>
      </c>
      <c r="T54" s="848" t="s">
        <v>323</v>
      </c>
      <c r="U54" s="912" t="e">
        <f>$A$63*U52/1000</f>
        <v>#REF!</v>
      </c>
      <c r="V54" s="849" t="s">
        <v>322</v>
      </c>
      <c r="W54" s="915" t="e">
        <f t="shared" si="7"/>
        <v>#REF!</v>
      </c>
      <c r="X54" s="850" t="s">
        <v>323</v>
      </c>
    </row>
    <row r="55" spans="1:24" ht="36" customHeight="1" thickBot="1">
      <c r="A55" s="2148"/>
      <c r="B55" s="2149"/>
      <c r="C55" s="2149"/>
      <c r="D55" s="2149"/>
      <c r="E55" s="2149"/>
      <c r="F55" s="2156" t="s">
        <v>642</v>
      </c>
      <c r="G55" s="2157"/>
      <c r="H55" s="1819">
        <f>$A$63*(H52+H53)/1000</f>
        <v>20288.400000000001</v>
      </c>
      <c r="I55" s="1807">
        <f>$A$63*(I52+I53)/1000</f>
        <v>24248.399999999998</v>
      </c>
      <c r="J55" s="1815" t="s">
        <v>643</v>
      </c>
      <c r="K55" s="1815">
        <f t="shared" si="4"/>
        <v>3959.9999999999964</v>
      </c>
      <c r="L55" s="1815" t="s">
        <v>644</v>
      </c>
      <c r="M55" s="913">
        <f>$A$63*(M52+M53)/1000</f>
        <v>27900.400000000001</v>
      </c>
      <c r="N55" s="851" t="s">
        <v>322</v>
      </c>
      <c r="O55" s="916">
        <f>M55-I55</f>
        <v>3652.0000000000036</v>
      </c>
      <c r="P55" s="851" t="s">
        <v>323</v>
      </c>
      <c r="Q55" s="913" t="e">
        <f>$A$63*(Q52+Q53)/1000</f>
        <v>#REF!</v>
      </c>
      <c r="R55" s="852" t="s">
        <v>322</v>
      </c>
      <c r="S55" s="916" t="e">
        <f t="shared" si="6"/>
        <v>#REF!</v>
      </c>
      <c r="T55" s="853" t="s">
        <v>323</v>
      </c>
      <c r="U55" s="913" t="e">
        <f>$A$63*(U52+U53)/1000</f>
        <v>#REF!</v>
      </c>
      <c r="V55" s="854" t="s">
        <v>322</v>
      </c>
      <c r="W55" s="916" t="e">
        <f t="shared" si="7"/>
        <v>#REF!</v>
      </c>
      <c r="X55" s="855" t="s">
        <v>323</v>
      </c>
    </row>
    <row r="56" spans="1:24" ht="36" customHeight="1" thickTop="1">
      <c r="A56" s="2144" t="s">
        <v>646</v>
      </c>
      <c r="B56" s="2145"/>
      <c r="C56" s="2145"/>
      <c r="D56" s="2145"/>
      <c r="E56" s="2145"/>
      <c r="F56" s="2154" t="s">
        <v>641</v>
      </c>
      <c r="G56" s="2155"/>
      <c r="H56" s="1820">
        <f>$A$64*H52/1000</f>
        <v>5611.4999999999991</v>
      </c>
      <c r="I56" s="1804">
        <f>$A$64*I52/1000</f>
        <v>6931.4999999999991</v>
      </c>
      <c r="J56" s="1814" t="s">
        <v>643</v>
      </c>
      <c r="K56" s="1814">
        <f t="shared" si="4"/>
        <v>1320</v>
      </c>
      <c r="L56" s="1814" t="s">
        <v>644</v>
      </c>
      <c r="M56" s="912">
        <f>$A$64*M52/1000</f>
        <v>8251.5000000000018</v>
      </c>
      <c r="N56" s="846" t="s">
        <v>322</v>
      </c>
      <c r="O56" s="915">
        <f>M56-I56</f>
        <v>1320.0000000000027</v>
      </c>
      <c r="P56" s="846" t="s">
        <v>323</v>
      </c>
      <c r="Q56" s="912" t="e">
        <f>$A$64*Q52/1000</f>
        <v>#REF!</v>
      </c>
      <c r="R56" s="847" t="s">
        <v>322</v>
      </c>
      <c r="S56" s="915" t="e">
        <f t="shared" si="6"/>
        <v>#REF!</v>
      </c>
      <c r="T56" s="848" t="s">
        <v>323</v>
      </c>
      <c r="U56" s="912" t="e">
        <f>$A$64*U52/1000</f>
        <v>#REF!</v>
      </c>
      <c r="V56" s="849" t="s">
        <v>322</v>
      </c>
      <c r="W56" s="915" t="e">
        <f t="shared" si="7"/>
        <v>#REF!</v>
      </c>
      <c r="X56" s="850" t="s">
        <v>323</v>
      </c>
    </row>
    <row r="57" spans="1:24" ht="36" customHeight="1">
      <c r="A57" s="2146"/>
      <c r="B57" s="2147"/>
      <c r="C57" s="2147"/>
      <c r="D57" s="2147"/>
      <c r="E57" s="2147"/>
      <c r="F57" s="2158" t="s">
        <v>642</v>
      </c>
      <c r="G57" s="2159"/>
      <c r="H57" s="1821">
        <f>$A$64*(H52+H53)/1000</f>
        <v>6916.5</v>
      </c>
      <c r="I57" s="1805">
        <f>$A$64*(I52+I53)/1000</f>
        <v>8266.4999999999982</v>
      </c>
      <c r="J57" s="1816" t="s">
        <v>643</v>
      </c>
      <c r="K57" s="1816">
        <f t="shared" si="4"/>
        <v>1349.9999999999982</v>
      </c>
      <c r="L57" s="1816" t="s">
        <v>644</v>
      </c>
      <c r="M57" s="914">
        <f>$A$64*(M52+M53)/1000</f>
        <v>9511.5</v>
      </c>
      <c r="N57" s="856" t="s">
        <v>322</v>
      </c>
      <c r="O57" s="917">
        <f>M57-I57</f>
        <v>1245.0000000000018</v>
      </c>
      <c r="P57" s="856" t="s">
        <v>323</v>
      </c>
      <c r="Q57" s="914" t="e">
        <f>$A$64*(Q52+Q53)/1000</f>
        <v>#REF!</v>
      </c>
      <c r="R57" s="857" t="s">
        <v>322</v>
      </c>
      <c r="S57" s="917" t="e">
        <f t="shared" si="6"/>
        <v>#REF!</v>
      </c>
      <c r="T57" s="858" t="s">
        <v>323</v>
      </c>
      <c r="U57" s="914" t="e">
        <f>$A$64*(U52+U53)/1000</f>
        <v>#REF!</v>
      </c>
      <c r="V57" s="859" t="s">
        <v>322</v>
      </c>
      <c r="W57" s="917" t="e">
        <f t="shared" si="7"/>
        <v>#REF!</v>
      </c>
      <c r="X57" s="860" t="s">
        <v>323</v>
      </c>
    </row>
    <row r="58" spans="1:24">
      <c r="B58" s="811"/>
      <c r="C58" s="2136" t="s">
        <v>311</v>
      </c>
      <c r="D58" s="2135" t="s">
        <v>310</v>
      </c>
      <c r="E58" s="812" t="s">
        <v>305</v>
      </c>
      <c r="F58" s="2135" t="s">
        <v>310</v>
      </c>
      <c r="G58" s="812" t="s">
        <v>305</v>
      </c>
      <c r="H58" s="802">
        <v>50.45</v>
      </c>
      <c r="I58" s="2138" t="s">
        <v>312</v>
      </c>
      <c r="J58" s="808"/>
      <c r="K58" s="808"/>
      <c r="L58" s="808"/>
      <c r="M58" s="802">
        <f>I52-H58</f>
        <v>-4.2400000000000091</v>
      </c>
      <c r="N58" s="809"/>
      <c r="O58" s="809"/>
      <c r="P58" s="809"/>
      <c r="Q58" s="2131" t="s">
        <v>313</v>
      </c>
      <c r="R58" s="810"/>
      <c r="S58" s="810"/>
      <c r="T58" s="810"/>
      <c r="U58" s="818" t="e">
        <f>Q52-H58</f>
        <v>#REF!</v>
      </c>
      <c r="V58" s="819"/>
      <c r="W58" s="819"/>
    </row>
    <row r="59" spans="1:24">
      <c r="B59" s="801"/>
      <c r="C59" s="2137"/>
      <c r="D59" s="2134"/>
      <c r="E59" s="775" t="s">
        <v>306</v>
      </c>
      <c r="F59" s="2134"/>
      <c r="G59" s="775" t="s">
        <v>306</v>
      </c>
      <c r="H59" s="773">
        <v>8.1999999999999993</v>
      </c>
      <c r="I59" s="2139"/>
      <c r="J59" s="803"/>
      <c r="K59" s="803"/>
      <c r="L59" s="803"/>
      <c r="M59" s="773">
        <f>I53-H59</f>
        <v>0.70000000000000107</v>
      </c>
      <c r="N59" s="809"/>
      <c r="O59" s="809"/>
      <c r="P59" s="809"/>
      <c r="Q59" s="2132"/>
      <c r="R59" s="805"/>
      <c r="S59" s="805"/>
      <c r="T59" s="805"/>
      <c r="U59" s="820">
        <f>Q53-H59</f>
        <v>0.20000000000000107</v>
      </c>
      <c r="V59" s="819"/>
      <c r="W59" s="819"/>
    </row>
    <row r="60" spans="1:24">
      <c r="B60" s="801"/>
      <c r="C60" s="2137"/>
      <c r="D60" s="2134" t="s">
        <v>309</v>
      </c>
      <c r="E60" s="772" t="s">
        <v>307</v>
      </c>
      <c r="F60" s="2134" t="s">
        <v>309</v>
      </c>
      <c r="G60" s="772" t="s">
        <v>307</v>
      </c>
      <c r="H60" s="774">
        <f>$A$64*H58/1000</f>
        <v>7567.5</v>
      </c>
      <c r="I60" s="2139"/>
      <c r="J60" s="803"/>
      <c r="K60" s="803"/>
      <c r="L60" s="803"/>
      <c r="M60" s="821">
        <f>I56-H60</f>
        <v>-636.00000000000091</v>
      </c>
      <c r="N60" s="822"/>
      <c r="O60" s="822"/>
      <c r="P60" s="822"/>
      <c r="Q60" s="2132"/>
      <c r="R60" s="805"/>
      <c r="S60" s="805"/>
      <c r="T60" s="805"/>
      <c r="U60" s="823" t="e">
        <f>Q56-H60</f>
        <v>#REF!</v>
      </c>
      <c r="V60" s="824"/>
      <c r="W60" s="824"/>
    </row>
    <row r="61" spans="1:24">
      <c r="B61" s="801"/>
      <c r="C61" s="2137"/>
      <c r="D61" s="2134"/>
      <c r="E61" s="775" t="s">
        <v>308</v>
      </c>
      <c r="F61" s="2134"/>
      <c r="G61" s="775" t="s">
        <v>308</v>
      </c>
      <c r="H61" s="776">
        <f>$A$64*(H58+H59)/1000</f>
        <v>8797.5</v>
      </c>
      <c r="I61" s="2140"/>
      <c r="J61" s="804"/>
      <c r="K61" s="804"/>
      <c r="L61" s="804"/>
      <c r="M61" s="825">
        <f>I57-H61</f>
        <v>-531.00000000000182</v>
      </c>
      <c r="N61" s="826"/>
      <c r="O61" s="826"/>
      <c r="P61" s="826"/>
      <c r="Q61" s="2133"/>
      <c r="R61" s="806"/>
      <c r="S61" s="806"/>
      <c r="T61" s="806"/>
      <c r="U61" s="827" t="e">
        <f>Q57-H61</f>
        <v>#REF!</v>
      </c>
      <c r="V61" s="824"/>
      <c r="W61" s="824"/>
    </row>
    <row r="63" spans="1:24">
      <c r="A63" s="1994">
        <v>440000</v>
      </c>
      <c r="B63" s="1994"/>
    </row>
    <row r="64" spans="1:24">
      <c r="A64" s="1994">
        <v>150000</v>
      </c>
      <c r="B64" s="1994"/>
    </row>
  </sheetData>
  <mergeCells count="162">
    <mergeCell ref="A56:E57"/>
    <mergeCell ref="A54:E55"/>
    <mergeCell ref="F52:G52"/>
    <mergeCell ref="F53:G53"/>
    <mergeCell ref="F54:G54"/>
    <mergeCell ref="F55:G55"/>
    <mergeCell ref="F56:G56"/>
    <mergeCell ref="F57:G57"/>
    <mergeCell ref="U1:X1"/>
    <mergeCell ref="B5:X5"/>
    <mergeCell ref="B9:X9"/>
    <mergeCell ref="A49:E49"/>
    <mergeCell ref="G43:G44"/>
    <mergeCell ref="H43:H44"/>
    <mergeCell ref="M13:U13"/>
    <mergeCell ref="M29:U29"/>
    <mergeCell ref="B34:E34"/>
    <mergeCell ref="A22:E22"/>
    <mergeCell ref="A23:E23"/>
    <mergeCell ref="G30:G31"/>
    <mergeCell ref="A46:E46"/>
    <mergeCell ref="A47:E47"/>
    <mergeCell ref="A38:E38"/>
    <mergeCell ref="A39:E39"/>
    <mergeCell ref="A40:E40"/>
    <mergeCell ref="I39:L39"/>
    <mergeCell ref="I40:L40"/>
    <mergeCell ref="M39:P39"/>
    <mergeCell ref="I23:L23"/>
    <mergeCell ref="M23:P23"/>
    <mergeCell ref="M36:P36"/>
    <mergeCell ref="M37:P37"/>
    <mergeCell ref="Q58:Q61"/>
    <mergeCell ref="F60:F61"/>
    <mergeCell ref="D58:D59"/>
    <mergeCell ref="D60:D61"/>
    <mergeCell ref="C58:C61"/>
    <mergeCell ref="F58:F59"/>
    <mergeCell ref="I58:I61"/>
    <mergeCell ref="I36:L36"/>
    <mergeCell ref="I37:L37"/>
    <mergeCell ref="I46:L46"/>
    <mergeCell ref="I47:L47"/>
    <mergeCell ref="I48:L48"/>
    <mergeCell ref="I49:L49"/>
    <mergeCell ref="M46:P46"/>
    <mergeCell ref="M47:P47"/>
    <mergeCell ref="M48:P48"/>
    <mergeCell ref="F14:F15"/>
    <mergeCell ref="G14:G15"/>
    <mergeCell ref="H14:H15"/>
    <mergeCell ref="I14:L15"/>
    <mergeCell ref="M14:P15"/>
    <mergeCell ref="Q14:T15"/>
    <mergeCell ref="A43:E44"/>
    <mergeCell ref="A45:E45"/>
    <mergeCell ref="A48:E48"/>
    <mergeCell ref="F43:F44"/>
    <mergeCell ref="B36:E36"/>
    <mergeCell ref="A32:E32"/>
    <mergeCell ref="A37:E37"/>
    <mergeCell ref="A25:E25"/>
    <mergeCell ref="A30:E31"/>
    <mergeCell ref="F30:F31"/>
    <mergeCell ref="M22:P22"/>
    <mergeCell ref="I22:L22"/>
    <mergeCell ref="H30:H31"/>
    <mergeCell ref="A24:E24"/>
    <mergeCell ref="I30:L31"/>
    <mergeCell ref="A33:E33"/>
    <mergeCell ref="I24:L24"/>
    <mergeCell ref="I25:L25"/>
    <mergeCell ref="A3:X3"/>
    <mergeCell ref="Q19:T19"/>
    <mergeCell ref="Q20:T20"/>
    <mergeCell ref="Q21:T21"/>
    <mergeCell ref="U14:X15"/>
    <mergeCell ref="A14:E15"/>
    <mergeCell ref="A16:E16"/>
    <mergeCell ref="B18:E18"/>
    <mergeCell ref="I19:L19"/>
    <mergeCell ref="I20:L20"/>
    <mergeCell ref="I21:L21"/>
    <mergeCell ref="U18:X18"/>
    <mergeCell ref="U20:X20"/>
    <mergeCell ref="U19:X19"/>
    <mergeCell ref="U21:X21"/>
    <mergeCell ref="Q18:T18"/>
    <mergeCell ref="M18:P18"/>
    <mergeCell ref="M19:P19"/>
    <mergeCell ref="M20:P20"/>
    <mergeCell ref="A20:A21"/>
    <mergeCell ref="B20:E20"/>
    <mergeCell ref="B21:E21"/>
    <mergeCell ref="I17:L17"/>
    <mergeCell ref="M17:P17"/>
    <mergeCell ref="M49:P49"/>
    <mergeCell ref="A51:G51"/>
    <mergeCell ref="A52:E53"/>
    <mergeCell ref="Q17:T17"/>
    <mergeCell ref="U17:X17"/>
    <mergeCell ref="A17:E17"/>
    <mergeCell ref="A19:E19"/>
    <mergeCell ref="Q24:T24"/>
    <mergeCell ref="Q25:T25"/>
    <mergeCell ref="U24:X24"/>
    <mergeCell ref="U25:X25"/>
    <mergeCell ref="M24:P24"/>
    <mergeCell ref="M25:P25"/>
    <mergeCell ref="M21:P21"/>
    <mergeCell ref="I18:L18"/>
    <mergeCell ref="A35:E35"/>
    <mergeCell ref="I35:L35"/>
    <mergeCell ref="M35:P35"/>
    <mergeCell ref="Q35:T35"/>
    <mergeCell ref="Q40:T40"/>
    <mergeCell ref="Q46:T46"/>
    <mergeCell ref="Q47:T47"/>
    <mergeCell ref="Q48:T48"/>
    <mergeCell ref="Q49:T49"/>
    <mergeCell ref="I43:L44"/>
    <mergeCell ref="M43:P44"/>
    <mergeCell ref="Q43:T44"/>
    <mergeCell ref="M40:P40"/>
    <mergeCell ref="Q36:T36"/>
    <mergeCell ref="Q37:T37"/>
    <mergeCell ref="Q39:T39"/>
    <mergeCell ref="U33:X33"/>
    <mergeCell ref="U39:X39"/>
    <mergeCell ref="U43:X44"/>
    <mergeCell ref="U40:X40"/>
    <mergeCell ref="U34:X34"/>
    <mergeCell ref="U36:X36"/>
    <mergeCell ref="U37:X37"/>
    <mergeCell ref="U35:X35"/>
    <mergeCell ref="M34:P34"/>
    <mergeCell ref="Q34:T34"/>
    <mergeCell ref="Q33:T33"/>
    <mergeCell ref="I51:L51"/>
    <mergeCell ref="M51:P51"/>
    <mergeCell ref="Q51:T51"/>
    <mergeCell ref="A64:B64"/>
    <mergeCell ref="I38:L38"/>
    <mergeCell ref="M38:P38"/>
    <mergeCell ref="Q38:T38"/>
    <mergeCell ref="U38:X38"/>
    <mergeCell ref="Q22:T22"/>
    <mergeCell ref="Q23:T23"/>
    <mergeCell ref="U22:X22"/>
    <mergeCell ref="U23:X23"/>
    <mergeCell ref="A63:B63"/>
    <mergeCell ref="I33:L33"/>
    <mergeCell ref="M33:P33"/>
    <mergeCell ref="M30:P31"/>
    <mergeCell ref="Q30:T31"/>
    <mergeCell ref="U30:X31"/>
    <mergeCell ref="U51:X51"/>
    <mergeCell ref="U46:X46"/>
    <mergeCell ref="U47:X47"/>
    <mergeCell ref="U48:X48"/>
    <mergeCell ref="U49:X49"/>
    <mergeCell ref="I34:L34"/>
  </mergeCells>
  <phoneticPr fontId="2"/>
  <pageMargins left="0.70866141732283472" right="0.11811023622047245" top="0.55118110236220474" bottom="0.55118110236220474" header="0.31496062992125984" footer="0.31496062992125984"/>
  <pageSetup paperSize="9" scale="40" orientation="portrait" cellComments="asDisplayed"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A1:M54"/>
  <sheetViews>
    <sheetView view="pageBreakPreview" zoomScale="80" zoomScaleNormal="100" zoomScaleSheetLayoutView="80" workbookViewId="0">
      <pane xSplit="3" ySplit="6" topLeftCell="D13" activePane="bottomRight" state="frozen"/>
      <selection activeCell="M18" sqref="M18:P18"/>
      <selection pane="topRight" activeCell="M18" sqref="M18:P18"/>
      <selection pane="bottomLeft" activeCell="M18" sqref="M18:P18"/>
      <selection pane="bottomRight" activeCell="M18" sqref="M18:P18"/>
    </sheetView>
  </sheetViews>
  <sheetFormatPr defaultColWidth="9" defaultRowHeight="18.75"/>
  <cols>
    <col min="1" max="2" width="6.125" style="39" customWidth="1"/>
    <col min="3" max="3" width="26.125" style="40" customWidth="1"/>
    <col min="4" max="11" width="18.375" style="41" customWidth="1"/>
    <col min="12" max="12" width="25.625" style="42" customWidth="1"/>
    <col min="13" max="16384" width="9" style="41"/>
  </cols>
  <sheetData>
    <row r="1" spans="1:12" ht="26.25" customHeight="1">
      <c r="A1" s="2198" t="s">
        <v>314</v>
      </c>
      <c r="B1" s="2198"/>
      <c r="C1" s="2198"/>
      <c r="D1" s="2198"/>
      <c r="E1" s="2198"/>
      <c r="F1" s="2198"/>
      <c r="G1" s="2198"/>
      <c r="H1" s="2198"/>
      <c r="I1" s="2198"/>
      <c r="J1" s="2198"/>
      <c r="K1" s="2198"/>
      <c r="L1" s="2198"/>
    </row>
    <row r="2" spans="1:12" ht="19.5" thickBot="1">
      <c r="A2" s="43"/>
      <c r="H2" s="195" t="s">
        <v>359</v>
      </c>
      <c r="I2" s="183" t="s">
        <v>133</v>
      </c>
      <c r="J2" s="44" t="s">
        <v>363</v>
      </c>
      <c r="K2" s="44"/>
    </row>
    <row r="3" spans="1:12">
      <c r="A3" s="2189" t="s">
        <v>0</v>
      </c>
      <c r="B3" s="2190"/>
      <c r="C3" s="2190"/>
      <c r="D3" s="2194" t="s">
        <v>73</v>
      </c>
      <c r="E3" s="2194" t="s">
        <v>128</v>
      </c>
      <c r="F3" s="2194" t="s">
        <v>343</v>
      </c>
      <c r="G3" s="2194" t="s">
        <v>31</v>
      </c>
      <c r="H3" s="2214" t="s">
        <v>344</v>
      </c>
      <c r="I3" s="2196" t="s">
        <v>345</v>
      </c>
      <c r="J3" s="2196" t="s">
        <v>127</v>
      </c>
      <c r="K3" s="2196" t="s">
        <v>346</v>
      </c>
      <c r="L3" s="2177" t="s">
        <v>115</v>
      </c>
    </row>
    <row r="4" spans="1:12" ht="19.5" thickBot="1">
      <c r="A4" s="2191"/>
      <c r="B4" s="2192"/>
      <c r="C4" s="2192"/>
      <c r="D4" s="2195"/>
      <c r="E4" s="2195"/>
      <c r="F4" s="2195"/>
      <c r="G4" s="2195"/>
      <c r="H4" s="2215"/>
      <c r="I4" s="2197"/>
      <c r="J4" s="2197"/>
      <c r="K4" s="2197"/>
      <c r="L4" s="2178"/>
    </row>
    <row r="5" spans="1:12" ht="36" customHeight="1" thickTop="1">
      <c r="A5" s="2216" t="s">
        <v>123</v>
      </c>
      <c r="B5" s="2217"/>
      <c r="C5" s="2218"/>
      <c r="D5" s="45">
        <v>36.11</v>
      </c>
      <c r="E5" s="45">
        <f>33.76+2.35</f>
        <v>36.11</v>
      </c>
      <c r="F5" s="45">
        <f>33.76+2.35</f>
        <v>36.11</v>
      </c>
      <c r="G5" s="46">
        <v>44.509999999999991</v>
      </c>
      <c r="H5" s="147">
        <f>'R8掛金（短期）'!L6+'R8掛金（短期）'!L7+'R8掛金（短期）'!L9+'R8掛金（短期）'!L11</f>
        <v>52.910000000000004</v>
      </c>
      <c r="I5" s="148" t="e">
        <f>#REF!+#REF!+#REF!+#REF!</f>
        <v>#REF!</v>
      </c>
      <c r="J5" s="148" t="e">
        <f>#REF!+#REF!+#REF!+#REF!</f>
        <v>#REF!</v>
      </c>
      <c r="K5" s="148" t="e">
        <f>J5</f>
        <v>#REF!</v>
      </c>
      <c r="L5" s="47"/>
    </row>
    <row r="6" spans="1:12" ht="29.25" customHeight="1" thickBot="1">
      <c r="A6" s="2211" t="s">
        <v>117</v>
      </c>
      <c r="B6" s="2212"/>
      <c r="C6" s="2213"/>
      <c r="D6" s="48">
        <v>-1.31</v>
      </c>
      <c r="E6" s="48">
        <f>E5-D5</f>
        <v>0</v>
      </c>
      <c r="F6" s="48">
        <f t="shared" ref="F6" si="0">F5-E5</f>
        <v>0</v>
      </c>
      <c r="G6" s="49">
        <f>G5-F5</f>
        <v>8.3999999999999915</v>
      </c>
      <c r="H6" s="50">
        <f>H5-G5</f>
        <v>8.4000000000000128</v>
      </c>
      <c r="I6" s="48" t="e">
        <f t="shared" ref="I6:K6" si="1">I5-H5</f>
        <v>#REF!</v>
      </c>
      <c r="J6" s="48" t="e">
        <f t="shared" si="1"/>
        <v>#REF!</v>
      </c>
      <c r="K6" s="48" t="e">
        <f t="shared" si="1"/>
        <v>#REF!</v>
      </c>
      <c r="L6" s="51"/>
    </row>
    <row r="7" spans="1:12" ht="28.5" customHeight="1">
      <c r="A7" s="2181"/>
      <c r="B7" s="2193" t="s">
        <v>119</v>
      </c>
      <c r="C7" s="54" t="s">
        <v>135</v>
      </c>
      <c r="D7" s="184">
        <v>2906435</v>
      </c>
      <c r="E7" s="184">
        <v>2907446</v>
      </c>
      <c r="F7" s="184">
        <f>ROUND((3168712756+36960048)/1000,3)</f>
        <v>3205672.804</v>
      </c>
      <c r="G7" s="201">
        <f>'R7掛金（短期）'!N94+'R7掛金（短期）'!N109</f>
        <v>5596704</v>
      </c>
      <c r="H7" s="201">
        <f>'R8掛金（短期）'!N94+'R8掛金（短期）'!N109</f>
        <v>5643783</v>
      </c>
      <c r="I7" s="153" t="e">
        <f>#REF!+#REF!</f>
        <v>#REF!</v>
      </c>
      <c r="J7" s="153" t="e">
        <f>#REF!+#REF!</f>
        <v>#REF!</v>
      </c>
      <c r="K7" s="153" t="e">
        <f t="shared" ref="K7:K8" si="2">J7</f>
        <v>#REF!</v>
      </c>
      <c r="L7" s="2179"/>
    </row>
    <row r="8" spans="1:12" ht="28.5" customHeight="1" thickBot="1">
      <c r="A8" s="2182"/>
      <c r="B8" s="2185"/>
      <c r="C8" s="57" t="s">
        <v>535</v>
      </c>
      <c r="D8" s="185">
        <f>2887890-3552-376935</f>
        <v>2507403</v>
      </c>
      <c r="E8" s="185">
        <f>2881073-3553-376478</f>
        <v>2501042</v>
      </c>
      <c r="F8" s="185">
        <f>ROUND((3174240962+3937918)/1000,3)-3938-419132</f>
        <v>2755108.88</v>
      </c>
      <c r="G8" s="202">
        <f>'R7掛金（短期）'!F94-'R7掛金（短期）'!F113:G113-'R7掛金（短期）'!N119</f>
        <v>4977541</v>
      </c>
      <c r="H8" s="202">
        <f>'R8掛金（短期）'!F94-'R8掛金（短期）'!F113-'R8掛金（短期）'!N119</f>
        <v>4949358</v>
      </c>
      <c r="I8" s="155" t="e">
        <f>#REF!-#REF!-#REF!</f>
        <v>#REF!</v>
      </c>
      <c r="J8" s="155" t="e">
        <f>#REF!-#REF!-#REF!</f>
        <v>#REF!</v>
      </c>
      <c r="K8" s="155" t="e">
        <f t="shared" si="2"/>
        <v>#REF!</v>
      </c>
      <c r="L8" s="2180"/>
    </row>
    <row r="9" spans="1:12" ht="28.5" customHeight="1" thickBot="1">
      <c r="A9" s="2182" t="s">
        <v>4</v>
      </c>
      <c r="B9" s="2186"/>
      <c r="C9" s="52"/>
      <c r="D9" s="70">
        <f>SUM(D7:D8)</f>
        <v>5413838</v>
      </c>
      <c r="E9" s="70">
        <f t="shared" ref="E9:K9" si="3">SUM(E7:E8)</f>
        <v>5408488</v>
      </c>
      <c r="F9" s="70">
        <f>SUM(F7:F8)</f>
        <v>5960781.6840000004</v>
      </c>
      <c r="G9" s="70">
        <f t="shared" si="3"/>
        <v>10574245</v>
      </c>
      <c r="H9" s="70">
        <f t="shared" si="3"/>
        <v>10593141</v>
      </c>
      <c r="I9" s="70" t="e">
        <f t="shared" si="3"/>
        <v>#REF!</v>
      </c>
      <c r="J9" s="70" t="e">
        <f t="shared" si="3"/>
        <v>#REF!</v>
      </c>
      <c r="K9" s="70" t="e">
        <f t="shared" si="3"/>
        <v>#REF!</v>
      </c>
      <c r="L9" s="53"/>
    </row>
    <row r="10" spans="1:12" ht="28.5" customHeight="1">
      <c r="A10" s="2182"/>
      <c r="B10" s="2184" t="s">
        <v>5</v>
      </c>
      <c r="C10" s="54" t="s">
        <v>6</v>
      </c>
      <c r="D10" s="186">
        <v>2570</v>
      </c>
      <c r="E10" s="186">
        <v>2310</v>
      </c>
      <c r="F10" s="186">
        <v>1334</v>
      </c>
      <c r="G10" s="201">
        <v>0</v>
      </c>
      <c r="H10" s="159">
        <f>G10</f>
        <v>0</v>
      </c>
      <c r="I10" s="154">
        <f>H10</f>
        <v>0</v>
      </c>
      <c r="J10" s="154">
        <f>I10</f>
        <v>0</v>
      </c>
      <c r="K10" s="154">
        <f>J10</f>
        <v>0</v>
      </c>
      <c r="L10" s="55"/>
    </row>
    <row r="11" spans="1:12" ht="28.5" customHeight="1">
      <c r="A11" s="2182"/>
      <c r="B11" s="2185"/>
      <c r="C11" s="56" t="s">
        <v>7</v>
      </c>
      <c r="D11" s="187">
        <v>62935</v>
      </c>
      <c r="E11" s="187">
        <v>47795</v>
      </c>
      <c r="F11" s="187">
        <v>72856</v>
      </c>
      <c r="G11" s="202">
        <v>73130</v>
      </c>
      <c r="H11" s="160">
        <f>G11</f>
        <v>73130</v>
      </c>
      <c r="I11" s="156">
        <f t="shared" ref="I11:I15" si="4">G11</f>
        <v>73130</v>
      </c>
      <c r="J11" s="156">
        <f t="shared" ref="J11:K15" si="5">I11</f>
        <v>73130</v>
      </c>
      <c r="K11" s="156">
        <f t="shared" si="5"/>
        <v>73130</v>
      </c>
      <c r="L11" s="36"/>
    </row>
    <row r="12" spans="1:12" ht="28.5" customHeight="1">
      <c r="A12" s="2182"/>
      <c r="B12" s="2185"/>
      <c r="C12" s="57" t="s">
        <v>8</v>
      </c>
      <c r="D12" s="187">
        <v>2031</v>
      </c>
      <c r="E12" s="187">
        <v>0</v>
      </c>
      <c r="F12" s="187">
        <v>0</v>
      </c>
      <c r="G12" s="155">
        <f t="shared" ref="G12" si="6">F12</f>
        <v>0</v>
      </c>
      <c r="H12" s="160">
        <f>G12</f>
        <v>0</v>
      </c>
      <c r="I12" s="156">
        <f t="shared" si="4"/>
        <v>0</v>
      </c>
      <c r="J12" s="156">
        <f t="shared" si="5"/>
        <v>0</v>
      </c>
      <c r="K12" s="156">
        <f t="shared" si="5"/>
        <v>0</v>
      </c>
      <c r="L12" s="36"/>
    </row>
    <row r="13" spans="1:12" ht="28.5" customHeight="1">
      <c r="A13" s="2182"/>
      <c r="B13" s="2185"/>
      <c r="C13" s="56" t="s">
        <v>9</v>
      </c>
      <c r="D13" s="188">
        <v>27</v>
      </c>
      <c r="E13" s="188">
        <v>8675</v>
      </c>
      <c r="F13" s="188">
        <v>1099</v>
      </c>
      <c r="G13" s="203">
        <v>401</v>
      </c>
      <c r="H13" s="161">
        <f>G13</f>
        <v>401</v>
      </c>
      <c r="I13" s="157">
        <f t="shared" si="4"/>
        <v>401</v>
      </c>
      <c r="J13" s="157">
        <f t="shared" si="5"/>
        <v>401</v>
      </c>
      <c r="K13" s="157">
        <f t="shared" si="5"/>
        <v>401</v>
      </c>
      <c r="L13" s="58"/>
    </row>
    <row r="14" spans="1:12" ht="28.5" customHeight="1">
      <c r="A14" s="2182"/>
      <c r="B14" s="2185"/>
      <c r="C14" s="57" t="s">
        <v>10</v>
      </c>
      <c r="D14" s="188">
        <v>0</v>
      </c>
      <c r="E14" s="188">
        <v>0</v>
      </c>
      <c r="F14" s="188">
        <v>0</v>
      </c>
      <c r="G14" s="203">
        <v>0</v>
      </c>
      <c r="H14" s="161">
        <f>G14</f>
        <v>0</v>
      </c>
      <c r="I14" s="157">
        <f>G14</f>
        <v>0</v>
      </c>
      <c r="J14" s="157">
        <f t="shared" si="5"/>
        <v>0</v>
      </c>
      <c r="K14" s="157">
        <f t="shared" si="5"/>
        <v>0</v>
      </c>
      <c r="L14" s="58"/>
    </row>
    <row r="15" spans="1:12" ht="28.5" customHeight="1">
      <c r="A15" s="2182"/>
      <c r="B15" s="2185"/>
      <c r="C15" s="59" t="s">
        <v>11</v>
      </c>
      <c r="D15" s="188">
        <v>9713</v>
      </c>
      <c r="E15" s="188">
        <v>2485</v>
      </c>
      <c r="F15" s="188">
        <v>166</v>
      </c>
      <c r="G15" s="203">
        <v>7326</v>
      </c>
      <c r="H15" s="161">
        <f>G15</f>
        <v>7326</v>
      </c>
      <c r="I15" s="157">
        <f t="shared" si="4"/>
        <v>7326</v>
      </c>
      <c r="J15" s="157">
        <f t="shared" si="5"/>
        <v>7326</v>
      </c>
      <c r="K15" s="157">
        <f t="shared" si="5"/>
        <v>7326</v>
      </c>
      <c r="L15" s="58"/>
    </row>
    <row r="16" spans="1:12" ht="28.5" customHeight="1" thickBot="1">
      <c r="A16" s="2182"/>
      <c r="B16" s="2185"/>
      <c r="C16" s="59" t="s">
        <v>131</v>
      </c>
      <c r="D16" s="189">
        <v>513483</v>
      </c>
      <c r="E16" s="189">
        <v>481839</v>
      </c>
      <c r="F16" s="189">
        <v>522563</v>
      </c>
      <c r="G16" s="207">
        <f>F32</f>
        <v>641256</v>
      </c>
      <c r="H16" s="208">
        <f>G32</f>
        <v>926191.33333333337</v>
      </c>
      <c r="I16" s="208">
        <f>H32</f>
        <v>930324.83333333337</v>
      </c>
      <c r="J16" s="208">
        <f>I32</f>
        <v>930324.83333333337</v>
      </c>
      <c r="K16" s="208">
        <f>J32</f>
        <v>930324.83333333337</v>
      </c>
      <c r="L16" s="68"/>
    </row>
    <row r="17" spans="1:13" ht="28.5" customHeight="1" thickBot="1">
      <c r="A17" s="2182"/>
      <c r="B17" s="2186"/>
      <c r="C17" s="52"/>
      <c r="D17" s="70">
        <f t="shared" ref="D17:K17" si="7">SUM(D10:D16)</f>
        <v>590759</v>
      </c>
      <c r="E17" s="70">
        <f t="shared" si="7"/>
        <v>543104</v>
      </c>
      <c r="F17" s="70">
        <f t="shared" si="7"/>
        <v>598018</v>
      </c>
      <c r="G17" s="70">
        <f t="shared" si="7"/>
        <v>722113</v>
      </c>
      <c r="H17" s="70">
        <f t="shared" si="7"/>
        <v>1007048.3333333334</v>
      </c>
      <c r="I17" s="70">
        <f t="shared" si="7"/>
        <v>1011181.8333333334</v>
      </c>
      <c r="J17" s="70">
        <f t="shared" si="7"/>
        <v>1011181.8333333334</v>
      </c>
      <c r="K17" s="70">
        <f t="shared" si="7"/>
        <v>1011181.8333333334</v>
      </c>
      <c r="L17" s="53"/>
    </row>
    <row r="18" spans="1:13" ht="28.5" customHeight="1" thickBot="1">
      <c r="A18" s="2183"/>
      <c r="B18" s="60"/>
      <c r="C18" s="61" t="s">
        <v>12</v>
      </c>
      <c r="D18" s="169">
        <f t="shared" ref="D18:K18" si="8">D9+D17</f>
        <v>6004597</v>
      </c>
      <c r="E18" s="169">
        <f t="shared" si="8"/>
        <v>5951592</v>
      </c>
      <c r="F18" s="169">
        <f t="shared" si="8"/>
        <v>6558799.6840000004</v>
      </c>
      <c r="G18" s="169">
        <f t="shared" si="8"/>
        <v>11296358</v>
      </c>
      <c r="H18" s="72">
        <f t="shared" si="8"/>
        <v>11600189.333333334</v>
      </c>
      <c r="I18" s="72" t="e">
        <f t="shared" si="8"/>
        <v>#REF!</v>
      </c>
      <c r="J18" s="72" t="e">
        <f t="shared" si="8"/>
        <v>#REF!</v>
      </c>
      <c r="K18" s="72" t="e">
        <f t="shared" si="8"/>
        <v>#REF!</v>
      </c>
      <c r="L18" s="62"/>
    </row>
    <row r="19" spans="1:13" ht="28.5" customHeight="1">
      <c r="A19" s="2181" t="s">
        <v>13</v>
      </c>
      <c r="B19" s="2184" t="s">
        <v>14</v>
      </c>
      <c r="C19" s="162" t="s">
        <v>15</v>
      </c>
      <c r="D19" s="188">
        <v>2768950</v>
      </c>
      <c r="E19" s="188">
        <v>3007986</v>
      </c>
      <c r="F19" s="188">
        <v>3701220</v>
      </c>
      <c r="G19" s="201">
        <v>5396291</v>
      </c>
      <c r="H19" s="1800">
        <v>5423156</v>
      </c>
      <c r="I19" s="154">
        <f>H19</f>
        <v>5423156</v>
      </c>
      <c r="J19" s="153">
        <f t="shared" ref="I19:K22" si="9">I19</f>
        <v>5423156</v>
      </c>
      <c r="K19" s="153">
        <f t="shared" si="9"/>
        <v>5423156</v>
      </c>
      <c r="L19" s="34"/>
    </row>
    <row r="20" spans="1:13" ht="28.5" customHeight="1">
      <c r="A20" s="2182"/>
      <c r="B20" s="2185"/>
      <c r="C20" s="35" t="s">
        <v>30</v>
      </c>
      <c r="D20" s="187">
        <v>32176</v>
      </c>
      <c r="E20" s="187">
        <v>36240</v>
      </c>
      <c r="F20" s="187">
        <v>42008</v>
      </c>
      <c r="G20" s="203">
        <f>56119+414</f>
        <v>56533</v>
      </c>
      <c r="H20" s="1801">
        <v>56536</v>
      </c>
      <c r="I20" s="157">
        <f t="shared" si="9"/>
        <v>56536</v>
      </c>
      <c r="J20" s="157">
        <f t="shared" si="9"/>
        <v>56536</v>
      </c>
      <c r="K20" s="157">
        <f t="shared" si="9"/>
        <v>56536</v>
      </c>
      <c r="L20" s="36"/>
    </row>
    <row r="21" spans="1:13" ht="28.5" customHeight="1">
      <c r="A21" s="2182"/>
      <c r="B21" s="2185"/>
      <c r="C21" s="35" t="s">
        <v>16</v>
      </c>
      <c r="D21" s="187">
        <v>44255</v>
      </c>
      <c r="E21" s="187">
        <v>39417</v>
      </c>
      <c r="F21" s="187">
        <v>55018</v>
      </c>
      <c r="G21" s="202">
        <v>65594</v>
      </c>
      <c r="H21" s="921">
        <v>65936</v>
      </c>
      <c r="I21" s="156">
        <f t="shared" si="9"/>
        <v>65936</v>
      </c>
      <c r="J21" s="155">
        <f t="shared" si="9"/>
        <v>65936</v>
      </c>
      <c r="K21" s="155">
        <f t="shared" si="9"/>
        <v>65936</v>
      </c>
      <c r="L21" s="34"/>
    </row>
    <row r="22" spans="1:13" ht="28.5" customHeight="1" thickBot="1">
      <c r="A22" s="2182"/>
      <c r="B22" s="2185"/>
      <c r="C22" s="64" t="s">
        <v>17</v>
      </c>
      <c r="D22" s="187">
        <v>45654</v>
      </c>
      <c r="E22" s="187">
        <v>51738</v>
      </c>
      <c r="F22" s="187">
        <v>49292</v>
      </c>
      <c r="G22" s="204">
        <v>38730</v>
      </c>
      <c r="H22" s="1802">
        <v>36321</v>
      </c>
      <c r="I22" s="167">
        <f t="shared" si="9"/>
        <v>36321</v>
      </c>
      <c r="J22" s="165">
        <f t="shared" si="9"/>
        <v>36321</v>
      </c>
      <c r="K22" s="165">
        <f t="shared" si="9"/>
        <v>36321</v>
      </c>
      <c r="L22" s="34"/>
    </row>
    <row r="23" spans="1:13" ht="28.5" customHeight="1" thickBot="1">
      <c r="A23" s="2182"/>
      <c r="B23" s="2186"/>
      <c r="C23" s="52"/>
      <c r="D23" s="69">
        <f>SUM(D19:D22)</f>
        <v>2891035</v>
      </c>
      <c r="E23" s="69">
        <f t="shared" ref="E23:K23" si="10">SUM(E19:E22)</f>
        <v>3135381</v>
      </c>
      <c r="F23" s="69">
        <f>SUM(F19:F22)</f>
        <v>3847538</v>
      </c>
      <c r="G23" s="69">
        <f t="shared" si="10"/>
        <v>5557148</v>
      </c>
      <c r="H23" s="70">
        <f t="shared" si="10"/>
        <v>5581949</v>
      </c>
      <c r="I23" s="70">
        <f t="shared" si="10"/>
        <v>5581949</v>
      </c>
      <c r="J23" s="70">
        <f t="shared" si="10"/>
        <v>5581949</v>
      </c>
      <c r="K23" s="70">
        <f t="shared" si="10"/>
        <v>5581949</v>
      </c>
      <c r="L23" s="53"/>
    </row>
    <row r="24" spans="1:13" ht="28.5" customHeight="1">
      <c r="A24" s="2182"/>
      <c r="B24" s="2185" t="s">
        <v>60</v>
      </c>
      <c r="C24" s="35" t="s">
        <v>18</v>
      </c>
      <c r="D24" s="190">
        <v>-7049</v>
      </c>
      <c r="E24" s="190">
        <v>-3475</v>
      </c>
      <c r="F24" s="190">
        <f>0-2827</f>
        <v>-2827</v>
      </c>
      <c r="G24" s="934">
        <f>24-1374</f>
        <v>-1350</v>
      </c>
      <c r="H24" s="936">
        <f>G24</f>
        <v>-1350</v>
      </c>
      <c r="I24" s="181">
        <f>H24</f>
        <v>-1350</v>
      </c>
      <c r="J24" s="181">
        <f>I24</f>
        <v>-1350</v>
      </c>
      <c r="K24" s="181">
        <f>J24</f>
        <v>-1350</v>
      </c>
      <c r="L24" s="63"/>
    </row>
    <row r="25" spans="1:13" ht="28.5" customHeight="1">
      <c r="A25" s="2182"/>
      <c r="B25" s="2185"/>
      <c r="C25" s="35" t="s">
        <v>19</v>
      </c>
      <c r="D25" s="187">
        <v>587646</v>
      </c>
      <c r="E25" s="187">
        <v>610319</v>
      </c>
      <c r="F25" s="187">
        <v>618376</v>
      </c>
      <c r="G25" s="191">
        <v>966889</v>
      </c>
      <c r="H25" s="921">
        <v>2260116</v>
      </c>
      <c r="I25" s="182">
        <v>2395558</v>
      </c>
      <c r="J25" s="182">
        <v>1614509</v>
      </c>
      <c r="K25" s="182">
        <f>J25</f>
        <v>1614509</v>
      </c>
      <c r="L25" s="36"/>
    </row>
    <row r="26" spans="1:13" ht="28.5" customHeight="1">
      <c r="A26" s="2182"/>
      <c r="B26" s="2185"/>
      <c r="C26" s="35" t="s">
        <v>20</v>
      </c>
      <c r="D26" s="187">
        <v>1731090</v>
      </c>
      <c r="E26" s="187">
        <v>1734065</v>
      </c>
      <c r="F26" s="187">
        <v>1898561</v>
      </c>
      <c r="G26" s="191">
        <v>2156818</v>
      </c>
      <c r="H26" s="921">
        <v>2284722</v>
      </c>
      <c r="I26" s="182">
        <v>2513194</v>
      </c>
      <c r="J26" s="182">
        <v>2764514</v>
      </c>
      <c r="K26" s="182">
        <f>J26*1.1</f>
        <v>3040965.4000000004</v>
      </c>
      <c r="L26" s="36"/>
    </row>
    <row r="27" spans="1:13" ht="28.5" customHeight="1">
      <c r="A27" s="2182"/>
      <c r="B27" s="2185"/>
      <c r="C27" s="35" t="s">
        <v>437</v>
      </c>
      <c r="D27" s="187">
        <v>0</v>
      </c>
      <c r="E27" s="187">
        <v>0</v>
      </c>
      <c r="F27" s="187">
        <v>0</v>
      </c>
      <c r="G27" s="191">
        <v>0</v>
      </c>
      <c r="H27" s="921">
        <v>7980</v>
      </c>
      <c r="I27" s="156"/>
      <c r="J27" s="156"/>
      <c r="K27" s="156"/>
      <c r="L27" s="36"/>
    </row>
    <row r="28" spans="1:13" ht="28.5" customHeight="1" thickBot="1">
      <c r="A28" s="2182"/>
      <c r="B28" s="2185"/>
      <c r="C28" s="1019" t="s">
        <v>21</v>
      </c>
      <c r="D28" s="192">
        <v>7</v>
      </c>
      <c r="E28" s="192">
        <v>5</v>
      </c>
      <c r="F28" s="192">
        <v>4</v>
      </c>
      <c r="G28" s="193">
        <v>2</v>
      </c>
      <c r="H28" s="1020">
        <v>1</v>
      </c>
      <c r="I28" s="168">
        <f t="shared" ref="I28" si="11">H28</f>
        <v>1</v>
      </c>
      <c r="J28" s="168">
        <f t="shared" ref="J28:K28" si="12">I28</f>
        <v>1</v>
      </c>
      <c r="K28" s="168">
        <f t="shared" si="12"/>
        <v>1</v>
      </c>
      <c r="L28" s="65"/>
    </row>
    <row r="29" spans="1:13" ht="28.5" customHeight="1" thickBot="1">
      <c r="A29" s="2182"/>
      <c r="B29" s="2186"/>
      <c r="C29" s="52"/>
      <c r="D29" s="70">
        <f>SUM(D24:D28)</f>
        <v>2311694</v>
      </c>
      <c r="E29" s="70">
        <f>SUM(E24:E28)</f>
        <v>2340914</v>
      </c>
      <c r="F29" s="70">
        <f>SUM(F24:F28)</f>
        <v>2514114</v>
      </c>
      <c r="G29" s="70">
        <f t="shared" ref="G29:H29" si="13">SUM(G24:G28)</f>
        <v>3122359</v>
      </c>
      <c r="H29" s="70">
        <f t="shared" si="13"/>
        <v>4551469</v>
      </c>
      <c r="I29" s="70">
        <f>SUM(I24:I28)</f>
        <v>4907403</v>
      </c>
      <c r="J29" s="70">
        <f>SUM(J24:J28)</f>
        <v>4377674</v>
      </c>
      <c r="K29" s="70">
        <f>SUM(K24:K28)</f>
        <v>4654125.4000000004</v>
      </c>
      <c r="L29" s="53"/>
    </row>
    <row r="30" spans="1:13" ht="28.5" customHeight="1">
      <c r="A30" s="2182"/>
      <c r="B30" s="2187" t="s">
        <v>61</v>
      </c>
      <c r="C30" s="57" t="s">
        <v>22</v>
      </c>
      <c r="D30" s="187">
        <v>5118</v>
      </c>
      <c r="E30" s="187">
        <v>6365</v>
      </c>
      <c r="F30" s="187">
        <v>7580</v>
      </c>
      <c r="G30" s="202">
        <v>10052</v>
      </c>
      <c r="H30" s="160">
        <f>G30</f>
        <v>10052</v>
      </c>
      <c r="I30" s="156">
        <f>H30</f>
        <v>10052</v>
      </c>
      <c r="J30" s="156">
        <f>I30</f>
        <v>10052</v>
      </c>
      <c r="K30" s="156">
        <f>J30</f>
        <v>10052</v>
      </c>
      <c r="L30" s="36"/>
    </row>
    <row r="31" spans="1:13" ht="28.5" customHeight="1">
      <c r="A31" s="2182"/>
      <c r="B31" s="2187"/>
      <c r="C31" s="57" t="s">
        <v>23</v>
      </c>
      <c r="D31" s="932">
        <v>5</v>
      </c>
      <c r="E31" s="191">
        <v>0</v>
      </c>
      <c r="F31" s="191">
        <v>0</v>
      </c>
      <c r="G31" s="202">
        <v>0</v>
      </c>
      <c r="H31" s="160">
        <v>0</v>
      </c>
      <c r="I31" s="156">
        <v>0</v>
      </c>
      <c r="J31" s="156">
        <v>0</v>
      </c>
      <c r="K31" s="156">
        <f>J31</f>
        <v>0</v>
      </c>
      <c r="L31" s="66"/>
    </row>
    <row r="32" spans="1:13" ht="28.5" customHeight="1">
      <c r="A32" s="2182"/>
      <c r="B32" s="2187"/>
      <c r="C32" s="1394" t="s">
        <v>24</v>
      </c>
      <c r="D32" s="187">
        <v>481839</v>
      </c>
      <c r="E32" s="187">
        <v>522563</v>
      </c>
      <c r="F32" s="187">
        <v>641256</v>
      </c>
      <c r="G32" s="205">
        <f>(G19+G20+G22+G21)/6</f>
        <v>926191.33333333337</v>
      </c>
      <c r="H32" s="206">
        <f>(H19+H20+H22+H21)/6</f>
        <v>930324.83333333337</v>
      </c>
      <c r="I32" s="206">
        <f>(I19+I20+I22+I21)/6</f>
        <v>930324.83333333337</v>
      </c>
      <c r="J32" s="206">
        <f>(J19+J20+J22+J21)/6</f>
        <v>930324.83333333337</v>
      </c>
      <c r="K32" s="206">
        <f>(K19+K20+K22+K21)/6</f>
        <v>930324.83333333337</v>
      </c>
      <c r="L32" s="36" t="s">
        <v>87</v>
      </c>
      <c r="M32" s="178" t="s">
        <v>132</v>
      </c>
    </row>
    <row r="33" spans="1:12" ht="28.5" customHeight="1" thickBot="1">
      <c r="A33" s="2182"/>
      <c r="B33" s="2187"/>
      <c r="C33" s="67" t="s">
        <v>130</v>
      </c>
      <c r="D33" s="194">
        <f>484723-3552-376935</f>
        <v>104236</v>
      </c>
      <c r="E33" s="194">
        <f>486194-1-3553-376478</f>
        <v>106162</v>
      </c>
      <c r="F33" s="194">
        <f>ROUND((114840409+419132429)/1000,3)-3938-419132</f>
        <v>110902.83799999999</v>
      </c>
      <c r="G33" s="204">
        <f>124411+9790</f>
        <v>134201</v>
      </c>
      <c r="H33" s="166">
        <f>G33</f>
        <v>134201</v>
      </c>
      <c r="I33" s="167">
        <f>H33</f>
        <v>134201</v>
      </c>
      <c r="J33" s="167">
        <f>I33</f>
        <v>134201</v>
      </c>
      <c r="K33" s="167">
        <f>J33</f>
        <v>134201</v>
      </c>
      <c r="L33" s="68"/>
    </row>
    <row r="34" spans="1:12" ht="28.5" customHeight="1" thickBot="1">
      <c r="A34" s="2182"/>
      <c r="B34" s="2188"/>
      <c r="C34" s="52"/>
      <c r="D34" s="69">
        <f>SUM(D30:D33)</f>
        <v>591198</v>
      </c>
      <c r="E34" s="69">
        <f>SUM(E30:E33)</f>
        <v>635090</v>
      </c>
      <c r="F34" s="69">
        <f>SUM(F30:F33)</f>
        <v>759738.83799999999</v>
      </c>
      <c r="G34" s="69">
        <f t="shared" ref="G34:H34" si="14">SUM(G30:G33)</f>
        <v>1070444.3333333335</v>
      </c>
      <c r="H34" s="70">
        <f t="shared" si="14"/>
        <v>1074577.8333333335</v>
      </c>
      <c r="I34" s="70">
        <f>SUM(I30:I33)</f>
        <v>1074577.8333333335</v>
      </c>
      <c r="J34" s="70">
        <f>SUM(J30:J33)</f>
        <v>1074577.8333333335</v>
      </c>
      <c r="K34" s="70">
        <f>SUM(K30:K33)</f>
        <v>1074577.8333333335</v>
      </c>
      <c r="L34" s="71"/>
    </row>
    <row r="35" spans="1:12" ht="28.5" customHeight="1" thickBot="1">
      <c r="A35" s="2183"/>
      <c r="B35" s="60"/>
      <c r="C35" s="61" t="s">
        <v>25</v>
      </c>
      <c r="D35" s="72">
        <f>D23+D29+D34</f>
        <v>5793927</v>
      </c>
      <c r="E35" s="72">
        <f>E23+E29+E34</f>
        <v>6111385</v>
      </c>
      <c r="F35" s="72">
        <f>F23+F29+F34</f>
        <v>7121390.8379999995</v>
      </c>
      <c r="G35" s="72">
        <f t="shared" ref="G35:H35" si="15">G23+G29+G34</f>
        <v>9749951.333333334</v>
      </c>
      <c r="H35" s="72">
        <f t="shared" si="15"/>
        <v>11207995.833333334</v>
      </c>
      <c r="I35" s="72">
        <f>I23+I29+I34</f>
        <v>11563929.833333334</v>
      </c>
      <c r="J35" s="72">
        <f>J23+J29+J34</f>
        <v>11034200.833333334</v>
      </c>
      <c r="K35" s="72">
        <f>K23+K29+K34</f>
        <v>11310652.233333334</v>
      </c>
      <c r="L35" s="73"/>
    </row>
    <row r="36" spans="1:12" ht="28.5" customHeight="1" thickBot="1">
      <c r="A36" s="2199" t="s">
        <v>26</v>
      </c>
      <c r="B36" s="2200"/>
      <c r="C36" s="2201"/>
      <c r="D36" s="74">
        <f>D18-D35</f>
        <v>210670</v>
      </c>
      <c r="E36" s="74">
        <f>E18-E35</f>
        <v>-159793</v>
      </c>
      <c r="F36" s="74">
        <f>F18-F35</f>
        <v>-562591.15399999917</v>
      </c>
      <c r="G36" s="74">
        <f t="shared" ref="G36:J36" si="16">G18-G35</f>
        <v>1546406.666666666</v>
      </c>
      <c r="H36" s="74">
        <f t="shared" si="16"/>
        <v>392193.5</v>
      </c>
      <c r="I36" s="74" t="e">
        <f t="shared" si="16"/>
        <v>#REF!</v>
      </c>
      <c r="J36" s="74" t="e">
        <f t="shared" si="16"/>
        <v>#REF!</v>
      </c>
      <c r="K36" s="74" t="e">
        <f>K18-K35</f>
        <v>#REF!</v>
      </c>
      <c r="L36" s="75"/>
    </row>
    <row r="37" spans="1:12" ht="28.5" customHeight="1">
      <c r="A37" s="2208" t="s">
        <v>27</v>
      </c>
      <c r="B37" s="2209"/>
      <c r="C37" s="2210"/>
      <c r="D37" s="76">
        <f>2497523+D36</f>
        <v>2708193</v>
      </c>
      <c r="E37" s="76">
        <f>D37+E36</f>
        <v>2548400</v>
      </c>
      <c r="F37" s="76">
        <f>E37+F36</f>
        <v>1985808.8460000008</v>
      </c>
      <c r="G37" s="76">
        <f t="shared" ref="G37:K37" si="17">F37+G36</f>
        <v>3532215.5126666669</v>
      </c>
      <c r="H37" s="76">
        <f>G37+H36</f>
        <v>3924409.0126666669</v>
      </c>
      <c r="I37" s="76" t="e">
        <f t="shared" si="17"/>
        <v>#REF!</v>
      </c>
      <c r="J37" s="76" t="e">
        <f t="shared" si="17"/>
        <v>#REF!</v>
      </c>
      <c r="K37" s="76" t="e">
        <f t="shared" si="17"/>
        <v>#REF!</v>
      </c>
      <c r="L37" s="779"/>
    </row>
    <row r="38" spans="1:12" ht="28.5" customHeight="1" thickBot="1">
      <c r="A38" s="2205" t="s">
        <v>28</v>
      </c>
      <c r="B38" s="2206"/>
      <c r="C38" s="2207"/>
      <c r="D38" s="933">
        <v>298587</v>
      </c>
      <c r="E38" s="933">
        <v>303577</v>
      </c>
      <c r="F38" s="780">
        <f>(D41+E41+F41)/3*10/100</f>
        <v>329131.8</v>
      </c>
      <c r="G38" s="780">
        <f t="shared" ref="G38:K38" si="18">(E41+F41+G41)/3*10/100</f>
        <v>418002.23333333334</v>
      </c>
      <c r="H38" s="780">
        <f>(F41+G41+H41)/3*10/100</f>
        <v>499554.5</v>
      </c>
      <c r="I38" s="780">
        <f t="shared" si="18"/>
        <v>557368.19999999995</v>
      </c>
      <c r="J38" s="781">
        <f t="shared" si="18"/>
        <v>558194.9</v>
      </c>
      <c r="K38" s="781">
        <f t="shared" si="18"/>
        <v>558194.9</v>
      </c>
      <c r="L38" s="782" t="s">
        <v>104</v>
      </c>
    </row>
    <row r="39" spans="1:12" ht="28.5" customHeight="1" thickBot="1">
      <c r="A39" s="2202" t="s">
        <v>317</v>
      </c>
      <c r="B39" s="2203"/>
      <c r="C39" s="2204"/>
      <c r="D39" s="783">
        <f>D37-D38</f>
        <v>2409606</v>
      </c>
      <c r="E39" s="783">
        <f>E37-E38</f>
        <v>2244823</v>
      </c>
      <c r="F39" s="783">
        <f>F37-F38</f>
        <v>1656677.0460000008</v>
      </c>
      <c r="G39" s="783">
        <f>G37-G38</f>
        <v>3114213.2793333335</v>
      </c>
      <c r="H39" s="783">
        <f t="shared" ref="H39:K39" si="19">H37-H38</f>
        <v>3424854.5126666669</v>
      </c>
      <c r="I39" s="783" t="e">
        <f>I37-I38</f>
        <v>#REF!</v>
      </c>
      <c r="J39" s="783" t="e">
        <f t="shared" si="19"/>
        <v>#REF!</v>
      </c>
      <c r="K39" s="783" t="e">
        <f t="shared" si="19"/>
        <v>#REF!</v>
      </c>
      <c r="L39" s="784"/>
    </row>
    <row r="40" spans="1:12" ht="23.1" customHeight="1">
      <c r="A40" s="77"/>
      <c r="B40" s="77"/>
      <c r="C40" s="37"/>
      <c r="D40" s="78"/>
      <c r="E40" s="78"/>
      <c r="F40" s="78"/>
      <c r="G40" s="78"/>
      <c r="H40" s="78"/>
      <c r="I40" s="78"/>
      <c r="J40" s="78"/>
      <c r="K40" s="78"/>
      <c r="L40" s="79"/>
    </row>
    <row r="41" spans="1:12" ht="23.1" customHeight="1">
      <c r="A41" s="2176" t="s">
        <v>102</v>
      </c>
      <c r="B41" s="2176"/>
      <c r="C41" s="2176"/>
      <c r="D41" s="80">
        <f t="shared" ref="D41:K41" si="20">D19+D20+D21+D22</f>
        <v>2891035</v>
      </c>
      <c r="E41" s="80">
        <f t="shared" si="20"/>
        <v>3135381</v>
      </c>
      <c r="F41" s="80">
        <f t="shared" si="20"/>
        <v>3847538</v>
      </c>
      <c r="G41" s="80">
        <f t="shared" si="20"/>
        <v>5557148</v>
      </c>
      <c r="H41" s="80">
        <f t="shared" si="20"/>
        <v>5581949</v>
      </c>
      <c r="I41" s="80">
        <f t="shared" si="20"/>
        <v>5581949</v>
      </c>
      <c r="J41" s="80">
        <f t="shared" si="20"/>
        <v>5581949</v>
      </c>
      <c r="K41" s="80">
        <f t="shared" si="20"/>
        <v>5581949</v>
      </c>
      <c r="L41" s="79" t="s">
        <v>103</v>
      </c>
    </row>
    <row r="42" spans="1:12" ht="36.75" customHeight="1">
      <c r="A42" s="81"/>
      <c r="B42" s="81"/>
      <c r="C42" s="4"/>
      <c r="D42" s="144">
        <f>D37-C37</f>
        <v>2708193</v>
      </c>
      <c r="E42" s="144">
        <f>E37-D37</f>
        <v>-159793</v>
      </c>
      <c r="F42" s="144">
        <f>F37-E37</f>
        <v>-562591.15399999917</v>
      </c>
      <c r="G42" s="144">
        <f>G37-F37</f>
        <v>1546406.666666666</v>
      </c>
    </row>
    <row r="43" spans="1:12">
      <c r="B43" s="2220" t="s">
        <v>92</v>
      </c>
      <c r="C43" s="2220"/>
      <c r="D43" s="2220"/>
      <c r="E43" s="2220"/>
    </row>
    <row r="44" spans="1:12">
      <c r="B44" s="2220" t="s">
        <v>94</v>
      </c>
      <c r="C44" s="2220"/>
      <c r="D44" s="2220"/>
    </row>
    <row r="45" spans="1:12">
      <c r="B45" s="2220" t="s">
        <v>95</v>
      </c>
      <c r="C45" s="2220"/>
      <c r="D45" s="82">
        <v>12352</v>
      </c>
      <c r="E45" s="41" t="s">
        <v>97</v>
      </c>
    </row>
    <row r="46" spans="1:12">
      <c r="B46" s="2220" t="s">
        <v>96</v>
      </c>
      <c r="C46" s="2220"/>
      <c r="D46" s="82">
        <v>7566</v>
      </c>
      <c r="E46" s="41" t="s">
        <v>98</v>
      </c>
    </row>
    <row r="47" spans="1:12">
      <c r="B47" s="83" t="s">
        <v>90</v>
      </c>
    </row>
    <row r="48" spans="1:12">
      <c r="B48" s="2219" t="s">
        <v>89</v>
      </c>
      <c r="C48" s="2219"/>
    </row>
    <row r="49" spans="2:4">
      <c r="B49" s="39" t="s">
        <v>88</v>
      </c>
      <c r="C49" s="2219" t="s">
        <v>99</v>
      </c>
      <c r="D49" s="2219"/>
    </row>
    <row r="50" spans="2:4">
      <c r="B50" s="84" t="s">
        <v>91</v>
      </c>
      <c r="C50" s="85"/>
    </row>
    <row r="51" spans="2:4">
      <c r="B51" s="2220" t="s">
        <v>93</v>
      </c>
      <c r="C51" s="2220"/>
    </row>
    <row r="52" spans="2:4">
      <c r="B52" s="39" t="s">
        <v>88</v>
      </c>
      <c r="C52" s="2219" t="s">
        <v>100</v>
      </c>
      <c r="D52" s="2219"/>
    </row>
    <row r="54" spans="2:4">
      <c r="C54" s="86" t="s">
        <v>101</v>
      </c>
      <c r="D54" s="87">
        <f>(D45+D46)/D45</f>
        <v>1.6125323834196892</v>
      </c>
    </row>
  </sheetData>
  <mergeCells count="35">
    <mergeCell ref="C49:D49"/>
    <mergeCell ref="B51:C51"/>
    <mergeCell ref="C52:D52"/>
    <mergeCell ref="B43:E43"/>
    <mergeCell ref="B44:D44"/>
    <mergeCell ref="B45:C45"/>
    <mergeCell ref="B46:C46"/>
    <mergeCell ref="B48:C48"/>
    <mergeCell ref="A1:L1"/>
    <mergeCell ref="A36:C36"/>
    <mergeCell ref="A39:C39"/>
    <mergeCell ref="A38:C38"/>
    <mergeCell ref="A37:C37"/>
    <mergeCell ref="F3:F4"/>
    <mergeCell ref="G3:G4"/>
    <mergeCell ref="A6:C6"/>
    <mergeCell ref="H3:H4"/>
    <mergeCell ref="A5:C5"/>
    <mergeCell ref="K3:K4"/>
    <mergeCell ref="A41:C41"/>
    <mergeCell ref="L3:L4"/>
    <mergeCell ref="L7:L8"/>
    <mergeCell ref="A19:A35"/>
    <mergeCell ref="B19:B23"/>
    <mergeCell ref="B24:B29"/>
    <mergeCell ref="B30:B34"/>
    <mergeCell ref="A3:C4"/>
    <mergeCell ref="A7:A8"/>
    <mergeCell ref="B7:B9"/>
    <mergeCell ref="A9:A18"/>
    <mergeCell ref="B10:B17"/>
    <mergeCell ref="E3:E4"/>
    <mergeCell ref="D3:D4"/>
    <mergeCell ref="I3:I4"/>
    <mergeCell ref="J3:J4"/>
  </mergeCells>
  <phoneticPr fontId="2"/>
  <pageMargins left="0.70866141732283472" right="0.11811023622047245" top="0.55118110236220474" bottom="0.55118110236220474" header="0.31496062992125984" footer="0.31496062992125984"/>
  <pageSetup paperSize="9" scale="40" orientation="portrait" cellComments="asDisplayed" r:id="rId1"/>
  <ignoredErrors>
    <ignoredError sqref="G29:H29" formula="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4"/>
  <sheetViews>
    <sheetView view="pageBreakPreview" zoomScaleNormal="55" zoomScaleSheetLayoutView="100" workbookViewId="0">
      <selection activeCell="M18" sqref="M18:P18"/>
    </sheetView>
  </sheetViews>
  <sheetFormatPr defaultRowHeight="13.5"/>
  <cols>
    <col min="1" max="1" width="6.625" style="940" customWidth="1"/>
    <col min="2" max="4" width="11.625" style="940" customWidth="1"/>
    <col min="5" max="5" width="27.125" style="940" customWidth="1"/>
    <col min="6" max="9" width="11.625" style="940" customWidth="1"/>
    <col min="10" max="10" width="8.125" style="940" customWidth="1"/>
    <col min="11" max="256" width="9" style="940"/>
    <col min="257" max="257" width="6.625" style="940" customWidth="1"/>
    <col min="258" max="260" width="11.625" style="940" customWidth="1"/>
    <col min="261" max="261" width="27.125" style="940" customWidth="1"/>
    <col min="262" max="265" width="11.625" style="940" customWidth="1"/>
    <col min="266" max="266" width="8.125" style="940" customWidth="1"/>
    <col min="267" max="512" width="9" style="940"/>
    <col min="513" max="513" width="6.625" style="940" customWidth="1"/>
    <col min="514" max="516" width="11.625" style="940" customWidth="1"/>
    <col min="517" max="517" width="27.125" style="940" customWidth="1"/>
    <col min="518" max="521" width="11.625" style="940" customWidth="1"/>
    <col min="522" max="522" width="8.125" style="940" customWidth="1"/>
    <col min="523" max="768" width="9" style="940"/>
    <col min="769" max="769" width="6.625" style="940" customWidth="1"/>
    <col min="770" max="772" width="11.625" style="940" customWidth="1"/>
    <col min="773" max="773" width="27.125" style="940" customWidth="1"/>
    <col min="774" max="777" width="11.625" style="940" customWidth="1"/>
    <col min="778" max="778" width="8.125" style="940" customWidth="1"/>
    <col min="779" max="1024" width="9" style="940"/>
    <col min="1025" max="1025" width="6.625" style="940" customWidth="1"/>
    <col min="1026" max="1028" width="11.625" style="940" customWidth="1"/>
    <col min="1029" max="1029" width="27.125" style="940" customWidth="1"/>
    <col min="1030" max="1033" width="11.625" style="940" customWidth="1"/>
    <col min="1034" max="1034" width="8.125" style="940" customWidth="1"/>
    <col min="1035" max="1280" width="9" style="940"/>
    <col min="1281" max="1281" width="6.625" style="940" customWidth="1"/>
    <col min="1282" max="1284" width="11.625" style="940" customWidth="1"/>
    <col min="1285" max="1285" width="27.125" style="940" customWidth="1"/>
    <col min="1286" max="1289" width="11.625" style="940" customWidth="1"/>
    <col min="1290" max="1290" width="8.125" style="940" customWidth="1"/>
    <col min="1291" max="1536" width="9" style="940"/>
    <col min="1537" max="1537" width="6.625" style="940" customWidth="1"/>
    <col min="1538" max="1540" width="11.625" style="940" customWidth="1"/>
    <col min="1541" max="1541" width="27.125" style="940" customWidth="1"/>
    <col min="1542" max="1545" width="11.625" style="940" customWidth="1"/>
    <col min="1546" max="1546" width="8.125" style="940" customWidth="1"/>
    <col min="1547" max="1792" width="9" style="940"/>
    <col min="1793" max="1793" width="6.625" style="940" customWidth="1"/>
    <col min="1794" max="1796" width="11.625" style="940" customWidth="1"/>
    <col min="1797" max="1797" width="27.125" style="940" customWidth="1"/>
    <col min="1798" max="1801" width="11.625" style="940" customWidth="1"/>
    <col min="1802" max="1802" width="8.125" style="940" customWidth="1"/>
    <col min="1803" max="2048" width="9" style="940"/>
    <col min="2049" max="2049" width="6.625" style="940" customWidth="1"/>
    <col min="2050" max="2052" width="11.625" style="940" customWidth="1"/>
    <col min="2053" max="2053" width="27.125" style="940" customWidth="1"/>
    <col min="2054" max="2057" width="11.625" style="940" customWidth="1"/>
    <col min="2058" max="2058" width="8.125" style="940" customWidth="1"/>
    <col min="2059" max="2304" width="9" style="940"/>
    <col min="2305" max="2305" width="6.625" style="940" customWidth="1"/>
    <col min="2306" max="2308" width="11.625" style="940" customWidth="1"/>
    <col min="2309" max="2309" width="27.125" style="940" customWidth="1"/>
    <col min="2310" max="2313" width="11.625" style="940" customWidth="1"/>
    <col min="2314" max="2314" width="8.125" style="940" customWidth="1"/>
    <col min="2315" max="2560" width="9" style="940"/>
    <col min="2561" max="2561" width="6.625" style="940" customWidth="1"/>
    <col min="2562" max="2564" width="11.625" style="940" customWidth="1"/>
    <col min="2565" max="2565" width="27.125" style="940" customWidth="1"/>
    <col min="2566" max="2569" width="11.625" style="940" customWidth="1"/>
    <col min="2570" max="2570" width="8.125" style="940" customWidth="1"/>
    <col min="2571" max="2816" width="9" style="940"/>
    <col min="2817" max="2817" width="6.625" style="940" customWidth="1"/>
    <col min="2818" max="2820" width="11.625" style="940" customWidth="1"/>
    <col min="2821" max="2821" width="27.125" style="940" customWidth="1"/>
    <col min="2822" max="2825" width="11.625" style="940" customWidth="1"/>
    <col min="2826" max="2826" width="8.125" style="940" customWidth="1"/>
    <col min="2827" max="3072" width="9" style="940"/>
    <col min="3073" max="3073" width="6.625" style="940" customWidth="1"/>
    <col min="3074" max="3076" width="11.625" style="940" customWidth="1"/>
    <col min="3077" max="3077" width="27.125" style="940" customWidth="1"/>
    <col min="3078" max="3081" width="11.625" style="940" customWidth="1"/>
    <col min="3082" max="3082" width="8.125" style="940" customWidth="1"/>
    <col min="3083" max="3328" width="9" style="940"/>
    <col min="3329" max="3329" width="6.625" style="940" customWidth="1"/>
    <col min="3330" max="3332" width="11.625" style="940" customWidth="1"/>
    <col min="3333" max="3333" width="27.125" style="940" customWidth="1"/>
    <col min="3334" max="3337" width="11.625" style="940" customWidth="1"/>
    <col min="3338" max="3338" width="8.125" style="940" customWidth="1"/>
    <col min="3339" max="3584" width="9" style="940"/>
    <col min="3585" max="3585" width="6.625" style="940" customWidth="1"/>
    <col min="3586" max="3588" width="11.625" style="940" customWidth="1"/>
    <col min="3589" max="3589" width="27.125" style="940" customWidth="1"/>
    <col min="3590" max="3593" width="11.625" style="940" customWidth="1"/>
    <col min="3594" max="3594" width="8.125" style="940" customWidth="1"/>
    <col min="3595" max="3840" width="9" style="940"/>
    <col min="3841" max="3841" width="6.625" style="940" customWidth="1"/>
    <col min="3842" max="3844" width="11.625" style="940" customWidth="1"/>
    <col min="3845" max="3845" width="27.125" style="940" customWidth="1"/>
    <col min="3846" max="3849" width="11.625" style="940" customWidth="1"/>
    <col min="3850" max="3850" width="8.125" style="940" customWidth="1"/>
    <col min="3851" max="4096" width="9" style="940"/>
    <col min="4097" max="4097" width="6.625" style="940" customWidth="1"/>
    <col min="4098" max="4100" width="11.625" style="940" customWidth="1"/>
    <col min="4101" max="4101" width="27.125" style="940" customWidth="1"/>
    <col min="4102" max="4105" width="11.625" style="940" customWidth="1"/>
    <col min="4106" max="4106" width="8.125" style="940" customWidth="1"/>
    <col min="4107" max="4352" width="9" style="940"/>
    <col min="4353" max="4353" width="6.625" style="940" customWidth="1"/>
    <col min="4354" max="4356" width="11.625" style="940" customWidth="1"/>
    <col min="4357" max="4357" width="27.125" style="940" customWidth="1"/>
    <col min="4358" max="4361" width="11.625" style="940" customWidth="1"/>
    <col min="4362" max="4362" width="8.125" style="940" customWidth="1"/>
    <col min="4363" max="4608" width="9" style="940"/>
    <col min="4609" max="4609" width="6.625" style="940" customWidth="1"/>
    <col min="4610" max="4612" width="11.625" style="940" customWidth="1"/>
    <col min="4613" max="4613" width="27.125" style="940" customWidth="1"/>
    <col min="4614" max="4617" width="11.625" style="940" customWidth="1"/>
    <col min="4618" max="4618" width="8.125" style="940" customWidth="1"/>
    <col min="4619" max="4864" width="9" style="940"/>
    <col min="4865" max="4865" width="6.625" style="940" customWidth="1"/>
    <col min="4866" max="4868" width="11.625" style="940" customWidth="1"/>
    <col min="4869" max="4869" width="27.125" style="940" customWidth="1"/>
    <col min="4870" max="4873" width="11.625" style="940" customWidth="1"/>
    <col min="4874" max="4874" width="8.125" style="940" customWidth="1"/>
    <col min="4875" max="5120" width="9" style="940"/>
    <col min="5121" max="5121" width="6.625" style="940" customWidth="1"/>
    <col min="5122" max="5124" width="11.625" style="940" customWidth="1"/>
    <col min="5125" max="5125" width="27.125" style="940" customWidth="1"/>
    <col min="5126" max="5129" width="11.625" style="940" customWidth="1"/>
    <col min="5130" max="5130" width="8.125" style="940" customWidth="1"/>
    <col min="5131" max="5376" width="9" style="940"/>
    <col min="5377" max="5377" width="6.625" style="940" customWidth="1"/>
    <col min="5378" max="5380" width="11.625" style="940" customWidth="1"/>
    <col min="5381" max="5381" width="27.125" style="940" customWidth="1"/>
    <col min="5382" max="5385" width="11.625" style="940" customWidth="1"/>
    <col min="5386" max="5386" width="8.125" style="940" customWidth="1"/>
    <col min="5387" max="5632" width="9" style="940"/>
    <col min="5633" max="5633" width="6.625" style="940" customWidth="1"/>
    <col min="5634" max="5636" width="11.625" style="940" customWidth="1"/>
    <col min="5637" max="5637" width="27.125" style="940" customWidth="1"/>
    <col min="5638" max="5641" width="11.625" style="940" customWidth="1"/>
    <col min="5642" max="5642" width="8.125" style="940" customWidth="1"/>
    <col min="5643" max="5888" width="9" style="940"/>
    <col min="5889" max="5889" width="6.625" style="940" customWidth="1"/>
    <col min="5890" max="5892" width="11.625" style="940" customWidth="1"/>
    <col min="5893" max="5893" width="27.125" style="940" customWidth="1"/>
    <col min="5894" max="5897" width="11.625" style="940" customWidth="1"/>
    <col min="5898" max="5898" width="8.125" style="940" customWidth="1"/>
    <col min="5899" max="6144" width="9" style="940"/>
    <col min="6145" max="6145" width="6.625" style="940" customWidth="1"/>
    <col min="6146" max="6148" width="11.625" style="940" customWidth="1"/>
    <col min="6149" max="6149" width="27.125" style="940" customWidth="1"/>
    <col min="6150" max="6153" width="11.625" style="940" customWidth="1"/>
    <col min="6154" max="6154" width="8.125" style="940" customWidth="1"/>
    <col min="6155" max="6400" width="9" style="940"/>
    <col min="6401" max="6401" width="6.625" style="940" customWidth="1"/>
    <col min="6402" max="6404" width="11.625" style="940" customWidth="1"/>
    <col min="6405" max="6405" width="27.125" style="940" customWidth="1"/>
    <col min="6406" max="6409" width="11.625" style="940" customWidth="1"/>
    <col min="6410" max="6410" width="8.125" style="940" customWidth="1"/>
    <col min="6411" max="6656" width="9" style="940"/>
    <col min="6657" max="6657" width="6.625" style="940" customWidth="1"/>
    <col min="6658" max="6660" width="11.625" style="940" customWidth="1"/>
    <col min="6661" max="6661" width="27.125" style="940" customWidth="1"/>
    <col min="6662" max="6665" width="11.625" style="940" customWidth="1"/>
    <col min="6666" max="6666" width="8.125" style="940" customWidth="1"/>
    <col min="6667" max="6912" width="9" style="940"/>
    <col min="6913" max="6913" width="6.625" style="940" customWidth="1"/>
    <col min="6914" max="6916" width="11.625" style="940" customWidth="1"/>
    <col min="6917" max="6917" width="27.125" style="940" customWidth="1"/>
    <col min="6918" max="6921" width="11.625" style="940" customWidth="1"/>
    <col min="6922" max="6922" width="8.125" style="940" customWidth="1"/>
    <col min="6923" max="7168" width="9" style="940"/>
    <col min="7169" max="7169" width="6.625" style="940" customWidth="1"/>
    <col min="7170" max="7172" width="11.625" style="940" customWidth="1"/>
    <col min="7173" max="7173" width="27.125" style="940" customWidth="1"/>
    <col min="7174" max="7177" width="11.625" style="940" customWidth="1"/>
    <col min="7178" max="7178" width="8.125" style="940" customWidth="1"/>
    <col min="7179" max="7424" width="9" style="940"/>
    <col min="7425" max="7425" width="6.625" style="940" customWidth="1"/>
    <col min="7426" max="7428" width="11.625" style="940" customWidth="1"/>
    <col min="7429" max="7429" width="27.125" style="940" customWidth="1"/>
    <col min="7430" max="7433" width="11.625" style="940" customWidth="1"/>
    <col min="7434" max="7434" width="8.125" style="940" customWidth="1"/>
    <col min="7435" max="7680" width="9" style="940"/>
    <col min="7681" max="7681" width="6.625" style="940" customWidth="1"/>
    <col min="7682" max="7684" width="11.625" style="940" customWidth="1"/>
    <col min="7685" max="7685" width="27.125" style="940" customWidth="1"/>
    <col min="7686" max="7689" width="11.625" style="940" customWidth="1"/>
    <col min="7690" max="7690" width="8.125" style="940" customWidth="1"/>
    <col min="7691" max="7936" width="9" style="940"/>
    <col min="7937" max="7937" width="6.625" style="940" customWidth="1"/>
    <col min="7938" max="7940" width="11.625" style="940" customWidth="1"/>
    <col min="7941" max="7941" width="27.125" style="940" customWidth="1"/>
    <col min="7942" max="7945" width="11.625" style="940" customWidth="1"/>
    <col min="7946" max="7946" width="8.125" style="940" customWidth="1"/>
    <col min="7947" max="8192" width="9" style="940"/>
    <col min="8193" max="8193" width="6.625" style="940" customWidth="1"/>
    <col min="8194" max="8196" width="11.625" style="940" customWidth="1"/>
    <col min="8197" max="8197" width="27.125" style="940" customWidth="1"/>
    <col min="8198" max="8201" width="11.625" style="940" customWidth="1"/>
    <col min="8202" max="8202" width="8.125" style="940" customWidth="1"/>
    <col min="8203" max="8448" width="9" style="940"/>
    <col min="8449" max="8449" width="6.625" style="940" customWidth="1"/>
    <col min="8450" max="8452" width="11.625" style="940" customWidth="1"/>
    <col min="8453" max="8453" width="27.125" style="940" customWidth="1"/>
    <col min="8454" max="8457" width="11.625" style="940" customWidth="1"/>
    <col min="8458" max="8458" width="8.125" style="940" customWidth="1"/>
    <col min="8459" max="8704" width="9" style="940"/>
    <col min="8705" max="8705" width="6.625" style="940" customWidth="1"/>
    <col min="8706" max="8708" width="11.625" style="940" customWidth="1"/>
    <col min="8709" max="8709" width="27.125" style="940" customWidth="1"/>
    <col min="8710" max="8713" width="11.625" style="940" customWidth="1"/>
    <col min="8714" max="8714" width="8.125" style="940" customWidth="1"/>
    <col min="8715" max="8960" width="9" style="940"/>
    <col min="8961" max="8961" width="6.625" style="940" customWidth="1"/>
    <col min="8962" max="8964" width="11.625" style="940" customWidth="1"/>
    <col min="8965" max="8965" width="27.125" style="940" customWidth="1"/>
    <col min="8966" max="8969" width="11.625" style="940" customWidth="1"/>
    <col min="8970" max="8970" width="8.125" style="940" customWidth="1"/>
    <col min="8971" max="9216" width="9" style="940"/>
    <col min="9217" max="9217" width="6.625" style="940" customWidth="1"/>
    <col min="9218" max="9220" width="11.625" style="940" customWidth="1"/>
    <col min="9221" max="9221" width="27.125" style="940" customWidth="1"/>
    <col min="9222" max="9225" width="11.625" style="940" customWidth="1"/>
    <col min="9226" max="9226" width="8.125" style="940" customWidth="1"/>
    <col min="9227" max="9472" width="9" style="940"/>
    <col min="9473" max="9473" width="6.625" style="940" customWidth="1"/>
    <col min="9474" max="9476" width="11.625" style="940" customWidth="1"/>
    <col min="9477" max="9477" width="27.125" style="940" customWidth="1"/>
    <col min="9478" max="9481" width="11.625" style="940" customWidth="1"/>
    <col min="9482" max="9482" width="8.125" style="940" customWidth="1"/>
    <col min="9483" max="9728" width="9" style="940"/>
    <col min="9729" max="9729" width="6.625" style="940" customWidth="1"/>
    <col min="9730" max="9732" width="11.625" style="940" customWidth="1"/>
    <col min="9733" max="9733" width="27.125" style="940" customWidth="1"/>
    <col min="9734" max="9737" width="11.625" style="940" customWidth="1"/>
    <col min="9738" max="9738" width="8.125" style="940" customWidth="1"/>
    <col min="9739" max="9984" width="9" style="940"/>
    <col min="9985" max="9985" width="6.625" style="940" customWidth="1"/>
    <col min="9986" max="9988" width="11.625" style="940" customWidth="1"/>
    <col min="9989" max="9989" width="27.125" style="940" customWidth="1"/>
    <col min="9990" max="9993" width="11.625" style="940" customWidth="1"/>
    <col min="9994" max="9994" width="8.125" style="940" customWidth="1"/>
    <col min="9995" max="10240" width="9" style="940"/>
    <col min="10241" max="10241" width="6.625" style="940" customWidth="1"/>
    <col min="10242" max="10244" width="11.625" style="940" customWidth="1"/>
    <col min="10245" max="10245" width="27.125" style="940" customWidth="1"/>
    <col min="10246" max="10249" width="11.625" style="940" customWidth="1"/>
    <col min="10250" max="10250" width="8.125" style="940" customWidth="1"/>
    <col min="10251" max="10496" width="9" style="940"/>
    <col min="10497" max="10497" width="6.625" style="940" customWidth="1"/>
    <col min="10498" max="10500" width="11.625" style="940" customWidth="1"/>
    <col min="10501" max="10501" width="27.125" style="940" customWidth="1"/>
    <col min="10502" max="10505" width="11.625" style="940" customWidth="1"/>
    <col min="10506" max="10506" width="8.125" style="940" customWidth="1"/>
    <col min="10507" max="10752" width="9" style="940"/>
    <col min="10753" max="10753" width="6.625" style="940" customWidth="1"/>
    <col min="10754" max="10756" width="11.625" style="940" customWidth="1"/>
    <col min="10757" max="10757" width="27.125" style="940" customWidth="1"/>
    <col min="10758" max="10761" width="11.625" style="940" customWidth="1"/>
    <col min="10762" max="10762" width="8.125" style="940" customWidth="1"/>
    <col min="10763" max="11008" width="9" style="940"/>
    <col min="11009" max="11009" width="6.625" style="940" customWidth="1"/>
    <col min="11010" max="11012" width="11.625" style="940" customWidth="1"/>
    <col min="11013" max="11013" width="27.125" style="940" customWidth="1"/>
    <col min="11014" max="11017" width="11.625" style="940" customWidth="1"/>
    <col min="11018" max="11018" width="8.125" style="940" customWidth="1"/>
    <col min="11019" max="11264" width="9" style="940"/>
    <col min="11265" max="11265" width="6.625" style="940" customWidth="1"/>
    <col min="11266" max="11268" width="11.625" style="940" customWidth="1"/>
    <col min="11269" max="11269" width="27.125" style="940" customWidth="1"/>
    <col min="11270" max="11273" width="11.625" style="940" customWidth="1"/>
    <col min="11274" max="11274" width="8.125" style="940" customWidth="1"/>
    <col min="11275" max="11520" width="9" style="940"/>
    <col min="11521" max="11521" width="6.625" style="940" customWidth="1"/>
    <col min="11522" max="11524" width="11.625" style="940" customWidth="1"/>
    <col min="11525" max="11525" width="27.125" style="940" customWidth="1"/>
    <col min="11526" max="11529" width="11.625" style="940" customWidth="1"/>
    <col min="11530" max="11530" width="8.125" style="940" customWidth="1"/>
    <col min="11531" max="11776" width="9" style="940"/>
    <col min="11777" max="11777" width="6.625" style="940" customWidth="1"/>
    <col min="11778" max="11780" width="11.625" style="940" customWidth="1"/>
    <col min="11781" max="11781" width="27.125" style="940" customWidth="1"/>
    <col min="11782" max="11785" width="11.625" style="940" customWidth="1"/>
    <col min="11786" max="11786" width="8.125" style="940" customWidth="1"/>
    <col min="11787" max="12032" width="9" style="940"/>
    <col min="12033" max="12033" width="6.625" style="940" customWidth="1"/>
    <col min="12034" max="12036" width="11.625" style="940" customWidth="1"/>
    <col min="12037" max="12037" width="27.125" style="940" customWidth="1"/>
    <col min="12038" max="12041" width="11.625" style="940" customWidth="1"/>
    <col min="12042" max="12042" width="8.125" style="940" customWidth="1"/>
    <col min="12043" max="12288" width="9" style="940"/>
    <col min="12289" max="12289" width="6.625" style="940" customWidth="1"/>
    <col min="12290" max="12292" width="11.625" style="940" customWidth="1"/>
    <col min="12293" max="12293" width="27.125" style="940" customWidth="1"/>
    <col min="12294" max="12297" width="11.625" style="940" customWidth="1"/>
    <col min="12298" max="12298" width="8.125" style="940" customWidth="1"/>
    <col min="12299" max="12544" width="9" style="940"/>
    <col min="12545" max="12545" width="6.625" style="940" customWidth="1"/>
    <col min="12546" max="12548" width="11.625" style="940" customWidth="1"/>
    <col min="12549" max="12549" width="27.125" style="940" customWidth="1"/>
    <col min="12550" max="12553" width="11.625" style="940" customWidth="1"/>
    <col min="12554" max="12554" width="8.125" style="940" customWidth="1"/>
    <col min="12555" max="12800" width="9" style="940"/>
    <col min="12801" max="12801" width="6.625" style="940" customWidth="1"/>
    <col min="12802" max="12804" width="11.625" style="940" customWidth="1"/>
    <col min="12805" max="12805" width="27.125" style="940" customWidth="1"/>
    <col min="12806" max="12809" width="11.625" style="940" customWidth="1"/>
    <col min="12810" max="12810" width="8.125" style="940" customWidth="1"/>
    <col min="12811" max="13056" width="9" style="940"/>
    <col min="13057" max="13057" width="6.625" style="940" customWidth="1"/>
    <col min="13058" max="13060" width="11.625" style="940" customWidth="1"/>
    <col min="13061" max="13061" width="27.125" style="940" customWidth="1"/>
    <col min="13062" max="13065" width="11.625" style="940" customWidth="1"/>
    <col min="13066" max="13066" width="8.125" style="940" customWidth="1"/>
    <col min="13067" max="13312" width="9" style="940"/>
    <col min="13313" max="13313" width="6.625" style="940" customWidth="1"/>
    <col min="13314" max="13316" width="11.625" style="940" customWidth="1"/>
    <col min="13317" max="13317" width="27.125" style="940" customWidth="1"/>
    <col min="13318" max="13321" width="11.625" style="940" customWidth="1"/>
    <col min="13322" max="13322" width="8.125" style="940" customWidth="1"/>
    <col min="13323" max="13568" width="9" style="940"/>
    <col min="13569" max="13569" width="6.625" style="940" customWidth="1"/>
    <col min="13570" max="13572" width="11.625" style="940" customWidth="1"/>
    <col min="13573" max="13573" width="27.125" style="940" customWidth="1"/>
    <col min="13574" max="13577" width="11.625" style="940" customWidth="1"/>
    <col min="13578" max="13578" width="8.125" style="940" customWidth="1"/>
    <col min="13579" max="13824" width="9" style="940"/>
    <col min="13825" max="13825" width="6.625" style="940" customWidth="1"/>
    <col min="13826" max="13828" width="11.625" style="940" customWidth="1"/>
    <col min="13829" max="13829" width="27.125" style="940" customWidth="1"/>
    <col min="13830" max="13833" width="11.625" style="940" customWidth="1"/>
    <col min="13834" max="13834" width="8.125" style="940" customWidth="1"/>
    <col min="13835" max="14080" width="9" style="940"/>
    <col min="14081" max="14081" width="6.625" style="940" customWidth="1"/>
    <col min="14082" max="14084" width="11.625" style="940" customWidth="1"/>
    <col min="14085" max="14085" width="27.125" style="940" customWidth="1"/>
    <col min="14086" max="14089" width="11.625" style="940" customWidth="1"/>
    <col min="14090" max="14090" width="8.125" style="940" customWidth="1"/>
    <col min="14091" max="14336" width="9" style="940"/>
    <col min="14337" max="14337" width="6.625" style="940" customWidth="1"/>
    <col min="14338" max="14340" width="11.625" style="940" customWidth="1"/>
    <col min="14341" max="14341" width="27.125" style="940" customWidth="1"/>
    <col min="14342" max="14345" width="11.625" style="940" customWidth="1"/>
    <col min="14346" max="14346" width="8.125" style="940" customWidth="1"/>
    <col min="14347" max="14592" width="9" style="940"/>
    <col min="14593" max="14593" width="6.625" style="940" customWidth="1"/>
    <col min="14594" max="14596" width="11.625" style="940" customWidth="1"/>
    <col min="14597" max="14597" width="27.125" style="940" customWidth="1"/>
    <col min="14598" max="14601" width="11.625" style="940" customWidth="1"/>
    <col min="14602" max="14602" width="8.125" style="940" customWidth="1"/>
    <col min="14603" max="14848" width="9" style="940"/>
    <col min="14849" max="14849" width="6.625" style="940" customWidth="1"/>
    <col min="14850" max="14852" width="11.625" style="940" customWidth="1"/>
    <col min="14853" max="14853" width="27.125" style="940" customWidth="1"/>
    <col min="14854" max="14857" width="11.625" style="940" customWidth="1"/>
    <col min="14858" max="14858" width="8.125" style="940" customWidth="1"/>
    <col min="14859" max="15104" width="9" style="940"/>
    <col min="15105" max="15105" width="6.625" style="940" customWidth="1"/>
    <col min="15106" max="15108" width="11.625" style="940" customWidth="1"/>
    <col min="15109" max="15109" width="27.125" style="940" customWidth="1"/>
    <col min="15110" max="15113" width="11.625" style="940" customWidth="1"/>
    <col min="15114" max="15114" width="8.125" style="940" customWidth="1"/>
    <col min="15115" max="15360" width="9" style="940"/>
    <col min="15361" max="15361" width="6.625" style="940" customWidth="1"/>
    <col min="15362" max="15364" width="11.625" style="940" customWidth="1"/>
    <col min="15365" max="15365" width="27.125" style="940" customWidth="1"/>
    <col min="15366" max="15369" width="11.625" style="940" customWidth="1"/>
    <col min="15370" max="15370" width="8.125" style="940" customWidth="1"/>
    <col min="15371" max="15616" width="9" style="940"/>
    <col min="15617" max="15617" width="6.625" style="940" customWidth="1"/>
    <col min="15618" max="15620" width="11.625" style="940" customWidth="1"/>
    <col min="15621" max="15621" width="27.125" style="940" customWidth="1"/>
    <col min="15622" max="15625" width="11.625" style="940" customWidth="1"/>
    <col min="15626" max="15626" width="8.125" style="940" customWidth="1"/>
    <col min="15627" max="15872" width="9" style="940"/>
    <col min="15873" max="15873" width="6.625" style="940" customWidth="1"/>
    <col min="15874" max="15876" width="11.625" style="940" customWidth="1"/>
    <col min="15877" max="15877" width="27.125" style="940" customWidth="1"/>
    <col min="15878" max="15881" width="11.625" style="940" customWidth="1"/>
    <col min="15882" max="15882" width="8.125" style="940" customWidth="1"/>
    <col min="15883" max="16128" width="9" style="940"/>
    <col min="16129" max="16129" width="6.625" style="940" customWidth="1"/>
    <col min="16130" max="16132" width="11.625" style="940" customWidth="1"/>
    <col min="16133" max="16133" width="27.125" style="940" customWidth="1"/>
    <col min="16134" max="16137" width="11.625" style="940" customWidth="1"/>
    <col min="16138" max="16138" width="8.125" style="940" customWidth="1"/>
    <col min="16139" max="16384" width="9" style="940"/>
  </cols>
  <sheetData>
    <row r="1" spans="1:10" ht="17.25">
      <c r="A1" s="939" t="s">
        <v>364</v>
      </c>
    </row>
    <row r="2" spans="1:10" ht="17.25" customHeight="1">
      <c r="A2" s="939"/>
    </row>
    <row r="3" spans="1:10" ht="17.25" customHeight="1" thickBot="1">
      <c r="A3" s="940" t="s">
        <v>365</v>
      </c>
    </row>
    <row r="4" spans="1:10" ht="17.25" customHeight="1">
      <c r="B4" s="940" t="s">
        <v>15</v>
      </c>
      <c r="H4" s="941">
        <f>'短期'!H19</f>
        <v>5423156</v>
      </c>
      <c r="I4" s="940" t="s">
        <v>366</v>
      </c>
    </row>
    <row r="5" spans="1:10" ht="17.25" customHeight="1">
      <c r="B5" s="940" t="s">
        <v>367</v>
      </c>
      <c r="H5" s="942">
        <f>'短期'!H20</f>
        <v>56536</v>
      </c>
      <c r="I5" s="940" t="s">
        <v>366</v>
      </c>
    </row>
    <row r="6" spans="1:10" ht="17.25" customHeight="1">
      <c r="B6" s="940" t="s">
        <v>18</v>
      </c>
      <c r="H6" s="942">
        <f>'短期'!H24</f>
        <v>-1350</v>
      </c>
      <c r="I6" s="940" t="s">
        <v>366</v>
      </c>
    </row>
    <row r="7" spans="1:10" ht="17.25" customHeight="1">
      <c r="B7" s="943" t="s">
        <v>19</v>
      </c>
      <c r="H7" s="942">
        <f>'短期'!H25</f>
        <v>2260116</v>
      </c>
      <c r="I7" s="940" t="s">
        <v>366</v>
      </c>
    </row>
    <row r="8" spans="1:10" ht="17.25" customHeight="1">
      <c r="B8" s="943" t="s">
        <v>20</v>
      </c>
      <c r="H8" s="942">
        <f>'短期'!H26</f>
        <v>2284722</v>
      </c>
      <c r="I8" s="940" t="s">
        <v>366</v>
      </c>
    </row>
    <row r="9" spans="1:10" ht="17.25" customHeight="1">
      <c r="B9" s="943" t="s">
        <v>21</v>
      </c>
      <c r="H9" s="942">
        <f>'短期'!H28</f>
        <v>1</v>
      </c>
      <c r="I9" s="940" t="s">
        <v>366</v>
      </c>
    </row>
    <row r="10" spans="1:10" ht="17.25" customHeight="1">
      <c r="B10" s="940" t="s">
        <v>368</v>
      </c>
      <c r="H10" s="942"/>
      <c r="I10" s="940" t="s">
        <v>366</v>
      </c>
    </row>
    <row r="11" spans="1:10" ht="17.25" customHeight="1">
      <c r="B11" s="940" t="s">
        <v>369</v>
      </c>
      <c r="H11" s="944"/>
      <c r="I11" s="940" t="s">
        <v>366</v>
      </c>
    </row>
    <row r="12" spans="1:10" ht="17.25" customHeight="1">
      <c r="B12" s="940" t="s">
        <v>202</v>
      </c>
      <c r="H12" s="942">
        <f>'短期'!H33+'短期'!H27</f>
        <v>142181</v>
      </c>
      <c r="I12" s="940" t="s">
        <v>366</v>
      </c>
    </row>
    <row r="13" spans="1:10" ht="17.25" customHeight="1">
      <c r="B13" s="945" t="s">
        <v>370</v>
      </c>
      <c r="C13" s="945"/>
      <c r="H13" s="944">
        <f>541725+51526</f>
        <v>593251</v>
      </c>
      <c r="I13" s="940" t="s">
        <v>366</v>
      </c>
    </row>
    <row r="14" spans="1:10" ht="17.25" customHeight="1">
      <c r="B14" s="943" t="s">
        <v>371</v>
      </c>
      <c r="H14" s="942">
        <f>'短期'!H32-'短期'!G32</f>
        <v>4133.5</v>
      </c>
      <c r="I14" s="940" t="s">
        <v>366</v>
      </c>
    </row>
    <row r="15" spans="1:10" ht="17.25" customHeight="1">
      <c r="B15" s="943" t="s">
        <v>22</v>
      </c>
      <c r="H15" s="942">
        <f>'短期'!H30</f>
        <v>10052</v>
      </c>
      <c r="I15" s="940" t="s">
        <v>366</v>
      </c>
    </row>
    <row r="16" spans="1:10" ht="17.25" customHeight="1" thickBot="1">
      <c r="A16" s="946"/>
      <c r="B16" s="947" t="s">
        <v>372</v>
      </c>
      <c r="C16" s="947"/>
      <c r="D16" s="948"/>
      <c r="E16" s="948"/>
      <c r="F16" s="948"/>
      <c r="G16" s="948"/>
      <c r="H16" s="949"/>
      <c r="I16" s="948" t="s">
        <v>366</v>
      </c>
      <c r="J16" s="946"/>
    </row>
    <row r="17" spans="1:10" ht="17.25" customHeight="1">
      <c r="B17" s="940" t="s">
        <v>78</v>
      </c>
      <c r="H17" s="950">
        <f>SUM(H4:H16)</f>
        <v>10772798.5</v>
      </c>
      <c r="I17" s="951" t="s">
        <v>373</v>
      </c>
    </row>
    <row r="18" spans="1:10" ht="17.25" customHeight="1"/>
    <row r="19" spans="1:10" ht="17.25" customHeight="1" thickBot="1">
      <c r="A19" s="940" t="s">
        <v>374</v>
      </c>
    </row>
    <row r="20" spans="1:10" ht="17.25" customHeight="1">
      <c r="B20" s="940" t="s">
        <v>375</v>
      </c>
      <c r="H20" s="952"/>
      <c r="I20" s="940" t="s">
        <v>366</v>
      </c>
    </row>
    <row r="21" spans="1:10" ht="17.25" customHeight="1">
      <c r="B21" s="940" t="s">
        <v>376</v>
      </c>
      <c r="H21" s="942">
        <f>'短期'!H22</f>
        <v>36321</v>
      </c>
      <c r="I21" s="940" t="s">
        <v>366</v>
      </c>
    </row>
    <row r="22" spans="1:10" ht="17.25" customHeight="1">
      <c r="B22" s="940" t="s">
        <v>377</v>
      </c>
      <c r="H22" s="942">
        <f>'短期'!H21</f>
        <v>65936</v>
      </c>
      <c r="I22" s="940" t="s">
        <v>366</v>
      </c>
    </row>
    <row r="23" spans="1:10" ht="17.25" customHeight="1">
      <c r="B23" s="946" t="s">
        <v>378</v>
      </c>
      <c r="C23" s="946"/>
      <c r="D23" s="946"/>
      <c r="E23" s="946"/>
      <c r="F23" s="946"/>
      <c r="G23" s="946"/>
      <c r="H23" s="942" t="str">
        <f>'[2]表(一)'!$Q$27</f>
        <v/>
      </c>
      <c r="I23" s="946" t="s">
        <v>366</v>
      </c>
      <c r="J23" s="946"/>
    </row>
    <row r="24" spans="1:10" ht="17.25" customHeight="1" thickBot="1">
      <c r="B24" s="953" t="s">
        <v>379</v>
      </c>
      <c r="C24" s="948"/>
      <c r="D24" s="948"/>
      <c r="E24" s="948"/>
      <c r="F24" s="948"/>
      <c r="G24" s="948"/>
      <c r="H24" s="949"/>
      <c r="I24" s="948" t="s">
        <v>366</v>
      </c>
      <c r="J24" s="946"/>
    </row>
    <row r="25" spans="1:10" ht="17.25" customHeight="1">
      <c r="B25" s="951" t="s">
        <v>78</v>
      </c>
      <c r="H25" s="950">
        <f>SUM(H20:H24)</f>
        <v>102257</v>
      </c>
      <c r="I25" s="951" t="s">
        <v>380</v>
      </c>
    </row>
    <row r="26" spans="1:10" ht="17.25" customHeight="1">
      <c r="B26" s="951"/>
      <c r="H26" s="950"/>
      <c r="I26" s="951"/>
    </row>
    <row r="27" spans="1:10" ht="17.25" customHeight="1" thickBot="1">
      <c r="A27" s="940" t="s">
        <v>381</v>
      </c>
    </row>
    <row r="28" spans="1:10" ht="17.25" customHeight="1">
      <c r="B28" s="943" t="s">
        <v>382</v>
      </c>
      <c r="H28" s="952">
        <f>'短期'!G38+'短期'!G39</f>
        <v>3532215.5126666669</v>
      </c>
      <c r="I28" s="940" t="s">
        <v>366</v>
      </c>
    </row>
    <row r="29" spans="1:10" ht="17.25" customHeight="1">
      <c r="B29" s="940" t="s">
        <v>7</v>
      </c>
      <c r="H29" s="942">
        <f>'短期'!H11</f>
        <v>73130</v>
      </c>
      <c r="I29" s="940" t="s">
        <v>366</v>
      </c>
    </row>
    <row r="30" spans="1:10" ht="17.25" customHeight="1">
      <c r="B30" s="943" t="s">
        <v>383</v>
      </c>
      <c r="H30" s="942">
        <v>0</v>
      </c>
      <c r="I30" s="940" t="s">
        <v>366</v>
      </c>
    </row>
    <row r="31" spans="1:10" ht="17.25" customHeight="1">
      <c r="B31" s="940" t="s">
        <v>384</v>
      </c>
      <c r="H31" s="944"/>
      <c r="I31" s="940" t="s">
        <v>366</v>
      </c>
    </row>
    <row r="32" spans="1:10" ht="17.25" customHeight="1">
      <c r="B32" s="940" t="s">
        <v>385</v>
      </c>
      <c r="H32" s="944"/>
      <c r="I32" s="940" t="s">
        <v>366</v>
      </c>
    </row>
    <row r="33" spans="1:10" ht="17.25" customHeight="1">
      <c r="B33" s="940" t="s">
        <v>9</v>
      </c>
      <c r="H33" s="944">
        <f>'短期'!H13</f>
        <v>401</v>
      </c>
      <c r="I33" s="940" t="s">
        <v>366</v>
      </c>
    </row>
    <row r="34" spans="1:10" ht="17.25" customHeight="1">
      <c r="B34" s="940" t="s">
        <v>386</v>
      </c>
      <c r="H34" s="944">
        <f>'短期'!H14</f>
        <v>0</v>
      </c>
      <c r="I34" s="940" t="s">
        <v>366</v>
      </c>
    </row>
    <row r="35" spans="1:10" ht="17.25" customHeight="1">
      <c r="B35" s="940" t="s">
        <v>387</v>
      </c>
      <c r="H35" s="942">
        <v>57327</v>
      </c>
      <c r="I35" s="940" t="s">
        <v>366</v>
      </c>
    </row>
    <row r="36" spans="1:10" ht="17.25" customHeight="1" thickBot="1">
      <c r="B36" s="948" t="s">
        <v>388</v>
      </c>
      <c r="C36" s="948"/>
      <c r="D36" s="948"/>
      <c r="E36" s="948"/>
      <c r="F36" s="948"/>
      <c r="G36" s="948"/>
      <c r="H36" s="949">
        <f>'短期'!H15</f>
        <v>7326</v>
      </c>
      <c r="I36" s="948" t="s">
        <v>366</v>
      </c>
      <c r="J36" s="946"/>
    </row>
    <row r="37" spans="1:10" ht="17.25" customHeight="1">
      <c r="H37" s="950">
        <f>SUM(H28:H36)</f>
        <v>3670399.5126666669</v>
      </c>
      <c r="I37" s="951" t="s">
        <v>389</v>
      </c>
    </row>
    <row r="38" spans="1:10" ht="17.25" customHeight="1">
      <c r="I38" s="951"/>
    </row>
    <row r="39" spans="1:10" ht="17.25" customHeight="1">
      <c r="A39" s="954" t="s">
        <v>390</v>
      </c>
      <c r="B39" s="955"/>
      <c r="C39" s="955"/>
      <c r="D39" s="955"/>
      <c r="E39" s="955"/>
      <c r="H39" s="956">
        <f>H43+H47</f>
        <v>98687901</v>
      </c>
      <c r="I39" s="940" t="s">
        <v>391</v>
      </c>
    </row>
    <row r="40" spans="1:10" ht="17.25" customHeight="1" thickBot="1"/>
    <row r="41" spans="1:10" ht="17.25" customHeight="1">
      <c r="B41" s="954" t="s">
        <v>231</v>
      </c>
      <c r="C41" s="955"/>
      <c r="D41" s="955"/>
      <c r="E41" s="955"/>
      <c r="H41" s="957">
        <v>79006216</v>
      </c>
      <c r="I41" s="940" t="s">
        <v>392</v>
      </c>
    </row>
    <row r="42" spans="1:10" ht="17.25" customHeight="1" thickBot="1">
      <c r="C42" s="943" t="s">
        <v>393</v>
      </c>
      <c r="H42" s="958">
        <v>2659553</v>
      </c>
      <c r="I42" s="940" t="s">
        <v>394</v>
      </c>
    </row>
    <row r="43" spans="1:10" ht="17.25" customHeight="1">
      <c r="C43" s="943" t="s">
        <v>395</v>
      </c>
      <c r="H43" s="950">
        <f>ROUNDDOWN(H41-H42,0)</f>
        <v>76346663</v>
      </c>
      <c r="I43" s="940" t="s">
        <v>396</v>
      </c>
    </row>
    <row r="44" spans="1:10" ht="17.25" customHeight="1" thickBot="1"/>
    <row r="45" spans="1:10" ht="17.25" customHeight="1">
      <c r="B45" s="954" t="s">
        <v>397</v>
      </c>
      <c r="C45" s="955"/>
      <c r="D45" s="955"/>
      <c r="E45" s="955"/>
      <c r="H45" s="957">
        <v>22600369</v>
      </c>
      <c r="I45" s="943" t="s">
        <v>398</v>
      </c>
    </row>
    <row r="46" spans="1:10" ht="17.25" customHeight="1" thickBot="1">
      <c r="C46" s="943" t="s">
        <v>399</v>
      </c>
      <c r="H46" s="958">
        <v>259131</v>
      </c>
      <c r="I46" s="943" t="s">
        <v>400</v>
      </c>
    </row>
    <row r="47" spans="1:10" ht="17.25" customHeight="1">
      <c r="C47" s="943" t="s">
        <v>401</v>
      </c>
      <c r="H47" s="950">
        <f>ROUNDDOWN((H45-H46),0)</f>
        <v>22341238</v>
      </c>
      <c r="I47" s="940" t="s">
        <v>402</v>
      </c>
    </row>
    <row r="48" spans="1:10" ht="17.25" customHeight="1"/>
    <row r="49" spans="1:10" ht="17.25" customHeight="1">
      <c r="A49" s="954" t="s">
        <v>403</v>
      </c>
      <c r="B49" s="955"/>
      <c r="C49" s="955"/>
      <c r="D49" s="955"/>
      <c r="E49" s="955"/>
    </row>
    <row r="50" spans="1:10" ht="17.25" customHeight="1"/>
    <row r="51" spans="1:10" ht="17.25" customHeight="1">
      <c r="B51" s="959">
        <f>H17</f>
        <v>10772798.5</v>
      </c>
      <c r="C51" s="948" t="s">
        <v>373</v>
      </c>
      <c r="D51" s="960" t="s">
        <v>404</v>
      </c>
      <c r="E51" s="959">
        <f>H25</f>
        <v>102257</v>
      </c>
      <c r="F51" s="948" t="s">
        <v>380</v>
      </c>
      <c r="G51" s="960" t="s">
        <v>405</v>
      </c>
      <c r="H51" s="959">
        <f>H37</f>
        <v>3670399.5126666669</v>
      </c>
      <c r="I51" s="948" t="s">
        <v>389</v>
      </c>
      <c r="J51" s="946"/>
    </row>
    <row r="52" spans="1:10" ht="17.25" customHeight="1">
      <c r="F52" s="956">
        <f>H39</f>
        <v>98687901</v>
      </c>
      <c r="G52" s="940" t="s">
        <v>391</v>
      </c>
    </row>
    <row r="53" spans="1:10" ht="17.25" customHeight="1" thickBot="1"/>
    <row r="54" spans="1:10" ht="17.25" customHeight="1" thickBot="1">
      <c r="B54" s="940" t="s">
        <v>406</v>
      </c>
      <c r="C54" s="961" t="s">
        <v>407</v>
      </c>
      <c r="D54" s="962">
        <f>(B51+E51-H51)/F52*1000</f>
        <v>73.004450538808541</v>
      </c>
      <c r="E54" s="963" t="s">
        <v>408</v>
      </c>
      <c r="F54" s="961" t="s">
        <v>409</v>
      </c>
      <c r="G54" s="964">
        <f>52.91*2</f>
        <v>105.82</v>
      </c>
      <c r="H54" s="965" t="s">
        <v>410</v>
      </c>
    </row>
    <row r="55" spans="1:10" ht="17.25" customHeight="1">
      <c r="C55" s="961"/>
      <c r="D55" s="966"/>
      <c r="E55" s="967"/>
      <c r="F55" s="961"/>
      <c r="G55" s="968"/>
      <c r="H55" s="969"/>
    </row>
    <row r="56" spans="1:10" ht="17.25" customHeight="1">
      <c r="C56" s="961"/>
      <c r="D56" s="966"/>
      <c r="E56" s="967"/>
      <c r="F56" s="961"/>
      <c r="G56" s="968"/>
      <c r="H56" s="969"/>
    </row>
    <row r="57" spans="1:10" ht="17.25" customHeight="1"/>
    <row r="58" spans="1:10" ht="17.25" customHeight="1">
      <c r="A58" s="940" t="s">
        <v>411</v>
      </c>
    </row>
    <row r="59" spans="1:10" ht="17.25" customHeight="1"/>
    <row r="60" spans="1:10" ht="17.25" customHeight="1">
      <c r="A60" s="970" t="s">
        <v>412</v>
      </c>
    </row>
    <row r="61" spans="1:10" ht="17.25" customHeight="1">
      <c r="B61" s="948"/>
      <c r="C61" s="971">
        <f>H17</f>
        <v>10772798.5</v>
      </c>
      <c r="D61" s="948" t="s">
        <v>373</v>
      </c>
      <c r="E61" s="960" t="s">
        <v>405</v>
      </c>
      <c r="F61" s="971">
        <f>IF(H28&lt;0,H37-H28,H37)</f>
        <v>3670399.5126666669</v>
      </c>
      <c r="G61" s="948" t="s">
        <v>389</v>
      </c>
      <c r="H61" s="948"/>
      <c r="I61" s="948"/>
    </row>
    <row r="62" spans="1:10" ht="17.25" customHeight="1">
      <c r="E62" s="950">
        <f>H39</f>
        <v>98687901</v>
      </c>
      <c r="F62" s="940" t="s">
        <v>391</v>
      </c>
    </row>
    <row r="63" spans="1:10" ht="17.25" customHeight="1"/>
    <row r="64" spans="1:10" ht="17.25" customHeight="1">
      <c r="B64" s="940" t="s">
        <v>413</v>
      </c>
      <c r="C64" s="961" t="s">
        <v>407</v>
      </c>
      <c r="D64" s="972">
        <f>(C61-F61)/E62*1000</f>
        <v>71.968285021416492</v>
      </c>
      <c r="E64" s="961" t="s">
        <v>409</v>
      </c>
      <c r="F64" s="973">
        <f>ROUNDUP(D64,2)</f>
        <v>71.97</v>
      </c>
      <c r="G64" s="965" t="s">
        <v>414</v>
      </c>
      <c r="H64" s="940" t="s">
        <v>415</v>
      </c>
    </row>
    <row r="65" spans="1:9" ht="17.25" customHeight="1"/>
    <row r="66" spans="1:9" ht="17.25" customHeight="1" thickBot="1">
      <c r="A66" s="970" t="s">
        <v>416</v>
      </c>
    </row>
    <row r="67" spans="1:9" ht="17.25" customHeight="1" thickBot="1">
      <c r="A67" s="974"/>
      <c r="B67" s="975">
        <v>50</v>
      </c>
      <c r="C67" s="970" t="s">
        <v>408</v>
      </c>
    </row>
    <row r="68" spans="1:9" ht="17.25" customHeight="1">
      <c r="B68" s="943"/>
    </row>
    <row r="69" spans="1:9" ht="17.25" customHeight="1">
      <c r="C69" s="954" t="s">
        <v>417</v>
      </c>
      <c r="D69" s="955"/>
      <c r="F69" s="976">
        <f>F64/2</f>
        <v>35.984999999999999</v>
      </c>
      <c r="G69" s="943" t="s">
        <v>418</v>
      </c>
      <c r="H69" s="977"/>
      <c r="I69" s="943"/>
    </row>
    <row r="70" spans="1:9" ht="17.25" customHeight="1">
      <c r="C70" s="955" t="s">
        <v>419</v>
      </c>
      <c r="D70" s="955"/>
    </row>
    <row r="71" spans="1:9" ht="17.25" customHeight="1">
      <c r="C71" s="954" t="str">
        <f>"（Ｇ）－調整基準率（"&amp;TEXT(B67,"0.00")&amp;"‰）＝"</f>
        <v>（Ｇ）－調整基準率（50.00‰）＝</v>
      </c>
      <c r="D71" s="955"/>
      <c r="F71" s="978">
        <f>IF((F69-B67)&gt;B80-B67,B80-B67,(F69-B67))</f>
        <v>-14.015000000000001</v>
      </c>
      <c r="G71" s="955" t="str">
        <f>"‰（上限"&amp;TEXT(B80-B67,"0.00")&amp;"‰）"</f>
        <v>‰（上限1.00‰）</v>
      </c>
    </row>
    <row r="72" spans="1:9" ht="17.25" customHeight="1" thickBot="1">
      <c r="C72" s="955" t="s">
        <v>420</v>
      </c>
      <c r="D72" s="955"/>
      <c r="F72" s="979" t="s">
        <v>421</v>
      </c>
    </row>
    <row r="73" spans="1:9" ht="17.25" customHeight="1" thickBot="1">
      <c r="B73" s="980" t="s">
        <v>422</v>
      </c>
      <c r="C73" s="950">
        <f>H39</f>
        <v>98687901</v>
      </c>
      <c r="D73" s="943" t="s">
        <v>423</v>
      </c>
      <c r="E73" s="961" t="s">
        <v>405</v>
      </c>
      <c r="F73" s="981"/>
      <c r="G73" s="940" t="s">
        <v>424</v>
      </c>
    </row>
    <row r="74" spans="1:9" ht="17.25" customHeight="1">
      <c r="B74" s="980" t="s">
        <v>425</v>
      </c>
      <c r="C74" s="978">
        <f>F71</f>
        <v>-14.015000000000001</v>
      </c>
      <c r="D74" s="940" t="s">
        <v>426</v>
      </c>
      <c r="E74" s="961" t="s">
        <v>407</v>
      </c>
      <c r="F74" s="982">
        <f>ROUNDDOWN((C73-F73)*F71/1000,0)</f>
        <v>-1383110</v>
      </c>
      <c r="G74" s="943" t="s">
        <v>366</v>
      </c>
    </row>
    <row r="75" spans="1:9" ht="17.25" customHeight="1"/>
    <row r="76" spans="1:9" ht="17.25" customHeight="1"/>
    <row r="77" spans="1:9" ht="17.25" customHeight="1">
      <c r="A77" s="940" t="s">
        <v>427</v>
      </c>
    </row>
    <row r="78" spans="1:9" ht="17.25" customHeight="1"/>
    <row r="79" spans="1:9" ht="17.25" customHeight="1" thickBot="1">
      <c r="A79" s="970" t="s">
        <v>428</v>
      </c>
    </row>
    <row r="80" spans="1:9" ht="17.25" customHeight="1" thickBot="1">
      <c r="A80" s="974"/>
      <c r="B80" s="975">
        <v>51</v>
      </c>
      <c r="C80" s="970" t="s">
        <v>408</v>
      </c>
    </row>
    <row r="81" spans="1:8" ht="17.25" customHeight="1"/>
    <row r="82" spans="1:8" ht="17.25" customHeight="1">
      <c r="B82" s="955" t="s">
        <v>429</v>
      </c>
      <c r="C82" s="955"/>
      <c r="D82" s="955"/>
    </row>
    <row r="83" spans="1:8" ht="17.25" customHeight="1">
      <c r="B83" s="954" t="str">
        <f>"（G）－特別調整基準率（"&amp;TEXT(B80,"0.00")&amp;"‰）"</f>
        <v>（G）－特別調整基準率（51.00‰）</v>
      </c>
      <c r="C83" s="955"/>
      <c r="D83" s="955"/>
      <c r="E83" s="961" t="s">
        <v>407</v>
      </c>
      <c r="F83" s="983">
        <f>IF((F69-B80)&lt;0,0,(F69-B80))</f>
        <v>0</v>
      </c>
      <c r="G83" s="940" t="s">
        <v>408</v>
      </c>
    </row>
    <row r="84" spans="1:8" ht="17.25" customHeight="1">
      <c r="B84" s="955" t="s">
        <v>430</v>
      </c>
      <c r="C84" s="955"/>
      <c r="D84" s="955"/>
    </row>
    <row r="85" spans="1:8" ht="17.25" customHeight="1">
      <c r="B85" s="950">
        <f>H39</f>
        <v>98687901</v>
      </c>
      <c r="C85" s="943" t="s">
        <v>431</v>
      </c>
      <c r="D85" s="983">
        <f>F83</f>
        <v>0</v>
      </c>
      <c r="E85" s="940" t="s">
        <v>432</v>
      </c>
      <c r="F85" s="961" t="s">
        <v>407</v>
      </c>
      <c r="G85" s="982">
        <f>ROUNDDOWN(B85*F83/1000,0)</f>
        <v>0</v>
      </c>
      <c r="H85" s="943" t="s">
        <v>366</v>
      </c>
    </row>
    <row r="86" spans="1:8" ht="17.25" customHeight="1"/>
    <row r="87" spans="1:8" ht="17.25" customHeight="1"/>
    <row r="88" spans="1:8" ht="17.25" customHeight="1">
      <c r="A88" s="940" t="s">
        <v>433</v>
      </c>
    </row>
    <row r="89" spans="1:8" ht="17.25" customHeight="1">
      <c r="B89" s="984"/>
      <c r="C89" s="943" t="s">
        <v>434</v>
      </c>
      <c r="E89" s="985">
        <f>G54</f>
        <v>105.82</v>
      </c>
      <c r="F89" s="940" t="s">
        <v>408</v>
      </c>
    </row>
    <row r="90" spans="1:8" ht="17.25" customHeight="1">
      <c r="C90" s="940" t="s">
        <v>435</v>
      </c>
      <c r="E90" s="986">
        <f>E89/2</f>
        <v>52.91</v>
      </c>
      <c r="F90" s="940" t="s">
        <v>408</v>
      </c>
    </row>
    <row r="91" spans="1:8" ht="17.25" customHeight="1">
      <c r="C91" s="940" t="s">
        <v>436</v>
      </c>
      <c r="E91" s="987">
        <f>E90-E92-E93</f>
        <v>66.924999999999997</v>
      </c>
      <c r="F91" s="940" t="s">
        <v>408</v>
      </c>
    </row>
    <row r="92" spans="1:8" ht="17.25" customHeight="1">
      <c r="C92" s="940" t="s">
        <v>419</v>
      </c>
      <c r="E92" s="988">
        <f>F71</f>
        <v>-14.015000000000001</v>
      </c>
      <c r="F92" s="940" t="s">
        <v>408</v>
      </c>
    </row>
    <row r="93" spans="1:8" ht="17.25" customHeight="1">
      <c r="C93" s="940" t="s">
        <v>429</v>
      </c>
      <c r="E93" s="988">
        <f>F83</f>
        <v>0</v>
      </c>
      <c r="F93" s="940" t="s">
        <v>408</v>
      </c>
    </row>
    <row r="94" spans="1:8">
      <c r="E94" s="955"/>
    </row>
  </sheetData>
  <phoneticPr fontId="2"/>
  <printOptions horizontalCentered="1"/>
  <pageMargins left="0.59055118110236227" right="0.39370078740157483" top="0.78740157480314965" bottom="0.78740157480314965" header="0.51181102362204722" footer="0.51181102362204722"/>
  <pageSetup paperSize="9" scale="71" orientation="portrait" cellComments="asDisplayed" horizontalDpi="300" verticalDpi="300" r:id="rId1"/>
  <headerFooter alignWithMargins="0"/>
  <rowBreaks count="1" manualBreakCount="1">
    <brk id="57" max="8" man="1"/>
  </rowBreak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4"/>
  <sheetViews>
    <sheetView view="pageBreakPreview" zoomScaleNormal="55" zoomScaleSheetLayoutView="100" workbookViewId="0">
      <selection activeCell="M18" sqref="M18:P18"/>
    </sheetView>
  </sheetViews>
  <sheetFormatPr defaultRowHeight="13.5"/>
  <cols>
    <col min="1" max="1" width="6.625" style="940" customWidth="1"/>
    <col min="2" max="4" width="11.625" style="940" customWidth="1"/>
    <col min="5" max="5" width="27.125" style="940" customWidth="1"/>
    <col min="6" max="9" width="11.625" style="940" customWidth="1"/>
    <col min="10" max="10" width="8.125" style="940" customWidth="1"/>
    <col min="11" max="256" width="9" style="940"/>
    <col min="257" max="257" width="6.625" style="940" customWidth="1"/>
    <col min="258" max="260" width="11.625" style="940" customWidth="1"/>
    <col min="261" max="261" width="27.125" style="940" customWidth="1"/>
    <col min="262" max="265" width="11.625" style="940" customWidth="1"/>
    <col min="266" max="266" width="8.125" style="940" customWidth="1"/>
    <col min="267" max="512" width="9" style="940"/>
    <col min="513" max="513" width="6.625" style="940" customWidth="1"/>
    <col min="514" max="516" width="11.625" style="940" customWidth="1"/>
    <col min="517" max="517" width="27.125" style="940" customWidth="1"/>
    <col min="518" max="521" width="11.625" style="940" customWidth="1"/>
    <col min="522" max="522" width="8.125" style="940" customWidth="1"/>
    <col min="523" max="768" width="9" style="940"/>
    <col min="769" max="769" width="6.625" style="940" customWidth="1"/>
    <col min="770" max="772" width="11.625" style="940" customWidth="1"/>
    <col min="773" max="773" width="27.125" style="940" customWidth="1"/>
    <col min="774" max="777" width="11.625" style="940" customWidth="1"/>
    <col min="778" max="778" width="8.125" style="940" customWidth="1"/>
    <col min="779" max="1024" width="9" style="940"/>
    <col min="1025" max="1025" width="6.625" style="940" customWidth="1"/>
    <col min="1026" max="1028" width="11.625" style="940" customWidth="1"/>
    <col min="1029" max="1029" width="27.125" style="940" customWidth="1"/>
    <col min="1030" max="1033" width="11.625" style="940" customWidth="1"/>
    <col min="1034" max="1034" width="8.125" style="940" customWidth="1"/>
    <col min="1035" max="1280" width="9" style="940"/>
    <col min="1281" max="1281" width="6.625" style="940" customWidth="1"/>
    <col min="1282" max="1284" width="11.625" style="940" customWidth="1"/>
    <col min="1285" max="1285" width="27.125" style="940" customWidth="1"/>
    <col min="1286" max="1289" width="11.625" style="940" customWidth="1"/>
    <col min="1290" max="1290" width="8.125" style="940" customWidth="1"/>
    <col min="1291" max="1536" width="9" style="940"/>
    <col min="1537" max="1537" width="6.625" style="940" customWidth="1"/>
    <col min="1538" max="1540" width="11.625" style="940" customWidth="1"/>
    <col min="1541" max="1541" width="27.125" style="940" customWidth="1"/>
    <col min="1542" max="1545" width="11.625" style="940" customWidth="1"/>
    <col min="1546" max="1546" width="8.125" style="940" customWidth="1"/>
    <col min="1547" max="1792" width="9" style="940"/>
    <col min="1793" max="1793" width="6.625" style="940" customWidth="1"/>
    <col min="1794" max="1796" width="11.625" style="940" customWidth="1"/>
    <col min="1797" max="1797" width="27.125" style="940" customWidth="1"/>
    <col min="1798" max="1801" width="11.625" style="940" customWidth="1"/>
    <col min="1802" max="1802" width="8.125" style="940" customWidth="1"/>
    <col min="1803" max="2048" width="9" style="940"/>
    <col min="2049" max="2049" width="6.625" style="940" customWidth="1"/>
    <col min="2050" max="2052" width="11.625" style="940" customWidth="1"/>
    <col min="2053" max="2053" width="27.125" style="940" customWidth="1"/>
    <col min="2054" max="2057" width="11.625" style="940" customWidth="1"/>
    <col min="2058" max="2058" width="8.125" style="940" customWidth="1"/>
    <col min="2059" max="2304" width="9" style="940"/>
    <col min="2305" max="2305" width="6.625" style="940" customWidth="1"/>
    <col min="2306" max="2308" width="11.625" style="940" customWidth="1"/>
    <col min="2309" max="2309" width="27.125" style="940" customWidth="1"/>
    <col min="2310" max="2313" width="11.625" style="940" customWidth="1"/>
    <col min="2314" max="2314" width="8.125" style="940" customWidth="1"/>
    <col min="2315" max="2560" width="9" style="940"/>
    <col min="2561" max="2561" width="6.625" style="940" customWidth="1"/>
    <col min="2562" max="2564" width="11.625" style="940" customWidth="1"/>
    <col min="2565" max="2565" width="27.125" style="940" customWidth="1"/>
    <col min="2566" max="2569" width="11.625" style="940" customWidth="1"/>
    <col min="2570" max="2570" width="8.125" style="940" customWidth="1"/>
    <col min="2571" max="2816" width="9" style="940"/>
    <col min="2817" max="2817" width="6.625" style="940" customWidth="1"/>
    <col min="2818" max="2820" width="11.625" style="940" customWidth="1"/>
    <col min="2821" max="2821" width="27.125" style="940" customWidth="1"/>
    <col min="2822" max="2825" width="11.625" style="940" customWidth="1"/>
    <col min="2826" max="2826" width="8.125" style="940" customWidth="1"/>
    <col min="2827" max="3072" width="9" style="940"/>
    <col min="3073" max="3073" width="6.625" style="940" customWidth="1"/>
    <col min="3074" max="3076" width="11.625" style="940" customWidth="1"/>
    <col min="3077" max="3077" width="27.125" style="940" customWidth="1"/>
    <col min="3078" max="3081" width="11.625" style="940" customWidth="1"/>
    <col min="3082" max="3082" width="8.125" style="940" customWidth="1"/>
    <col min="3083" max="3328" width="9" style="940"/>
    <col min="3329" max="3329" width="6.625" style="940" customWidth="1"/>
    <col min="3330" max="3332" width="11.625" style="940" customWidth="1"/>
    <col min="3333" max="3333" width="27.125" style="940" customWidth="1"/>
    <col min="3334" max="3337" width="11.625" style="940" customWidth="1"/>
    <col min="3338" max="3338" width="8.125" style="940" customWidth="1"/>
    <col min="3339" max="3584" width="9" style="940"/>
    <col min="3585" max="3585" width="6.625" style="940" customWidth="1"/>
    <col min="3586" max="3588" width="11.625" style="940" customWidth="1"/>
    <col min="3589" max="3589" width="27.125" style="940" customWidth="1"/>
    <col min="3590" max="3593" width="11.625" style="940" customWidth="1"/>
    <col min="3594" max="3594" width="8.125" style="940" customWidth="1"/>
    <col min="3595" max="3840" width="9" style="940"/>
    <col min="3841" max="3841" width="6.625" style="940" customWidth="1"/>
    <col min="3842" max="3844" width="11.625" style="940" customWidth="1"/>
    <col min="3845" max="3845" width="27.125" style="940" customWidth="1"/>
    <col min="3846" max="3849" width="11.625" style="940" customWidth="1"/>
    <col min="3850" max="3850" width="8.125" style="940" customWidth="1"/>
    <col min="3851" max="4096" width="9" style="940"/>
    <col min="4097" max="4097" width="6.625" style="940" customWidth="1"/>
    <col min="4098" max="4100" width="11.625" style="940" customWidth="1"/>
    <col min="4101" max="4101" width="27.125" style="940" customWidth="1"/>
    <col min="4102" max="4105" width="11.625" style="940" customWidth="1"/>
    <col min="4106" max="4106" width="8.125" style="940" customWidth="1"/>
    <col min="4107" max="4352" width="9" style="940"/>
    <col min="4353" max="4353" width="6.625" style="940" customWidth="1"/>
    <col min="4354" max="4356" width="11.625" style="940" customWidth="1"/>
    <col min="4357" max="4357" width="27.125" style="940" customWidth="1"/>
    <col min="4358" max="4361" width="11.625" style="940" customWidth="1"/>
    <col min="4362" max="4362" width="8.125" style="940" customWidth="1"/>
    <col min="4363" max="4608" width="9" style="940"/>
    <col min="4609" max="4609" width="6.625" style="940" customWidth="1"/>
    <col min="4610" max="4612" width="11.625" style="940" customWidth="1"/>
    <col min="4613" max="4613" width="27.125" style="940" customWidth="1"/>
    <col min="4614" max="4617" width="11.625" style="940" customWidth="1"/>
    <col min="4618" max="4618" width="8.125" style="940" customWidth="1"/>
    <col min="4619" max="4864" width="9" style="940"/>
    <col min="4865" max="4865" width="6.625" style="940" customWidth="1"/>
    <col min="4866" max="4868" width="11.625" style="940" customWidth="1"/>
    <col min="4869" max="4869" width="27.125" style="940" customWidth="1"/>
    <col min="4870" max="4873" width="11.625" style="940" customWidth="1"/>
    <col min="4874" max="4874" width="8.125" style="940" customWidth="1"/>
    <col min="4875" max="5120" width="9" style="940"/>
    <col min="5121" max="5121" width="6.625" style="940" customWidth="1"/>
    <col min="5122" max="5124" width="11.625" style="940" customWidth="1"/>
    <col min="5125" max="5125" width="27.125" style="940" customWidth="1"/>
    <col min="5126" max="5129" width="11.625" style="940" customWidth="1"/>
    <col min="5130" max="5130" width="8.125" style="940" customWidth="1"/>
    <col min="5131" max="5376" width="9" style="940"/>
    <col min="5377" max="5377" width="6.625" style="940" customWidth="1"/>
    <col min="5378" max="5380" width="11.625" style="940" customWidth="1"/>
    <col min="5381" max="5381" width="27.125" style="940" customWidth="1"/>
    <col min="5382" max="5385" width="11.625" style="940" customWidth="1"/>
    <col min="5386" max="5386" width="8.125" style="940" customWidth="1"/>
    <col min="5387" max="5632" width="9" style="940"/>
    <col min="5633" max="5633" width="6.625" style="940" customWidth="1"/>
    <col min="5634" max="5636" width="11.625" style="940" customWidth="1"/>
    <col min="5637" max="5637" width="27.125" style="940" customWidth="1"/>
    <col min="5638" max="5641" width="11.625" style="940" customWidth="1"/>
    <col min="5642" max="5642" width="8.125" style="940" customWidth="1"/>
    <col min="5643" max="5888" width="9" style="940"/>
    <col min="5889" max="5889" width="6.625" style="940" customWidth="1"/>
    <col min="5890" max="5892" width="11.625" style="940" customWidth="1"/>
    <col min="5893" max="5893" width="27.125" style="940" customWidth="1"/>
    <col min="5894" max="5897" width="11.625" style="940" customWidth="1"/>
    <col min="5898" max="5898" width="8.125" style="940" customWidth="1"/>
    <col min="5899" max="6144" width="9" style="940"/>
    <col min="6145" max="6145" width="6.625" style="940" customWidth="1"/>
    <col min="6146" max="6148" width="11.625" style="940" customWidth="1"/>
    <col min="6149" max="6149" width="27.125" style="940" customWidth="1"/>
    <col min="6150" max="6153" width="11.625" style="940" customWidth="1"/>
    <col min="6154" max="6154" width="8.125" style="940" customWidth="1"/>
    <col min="6155" max="6400" width="9" style="940"/>
    <col min="6401" max="6401" width="6.625" style="940" customWidth="1"/>
    <col min="6402" max="6404" width="11.625" style="940" customWidth="1"/>
    <col min="6405" max="6405" width="27.125" style="940" customWidth="1"/>
    <col min="6406" max="6409" width="11.625" style="940" customWidth="1"/>
    <col min="6410" max="6410" width="8.125" style="940" customWidth="1"/>
    <col min="6411" max="6656" width="9" style="940"/>
    <col min="6657" max="6657" width="6.625" style="940" customWidth="1"/>
    <col min="6658" max="6660" width="11.625" style="940" customWidth="1"/>
    <col min="6661" max="6661" width="27.125" style="940" customWidth="1"/>
    <col min="6662" max="6665" width="11.625" style="940" customWidth="1"/>
    <col min="6666" max="6666" width="8.125" style="940" customWidth="1"/>
    <col min="6667" max="6912" width="9" style="940"/>
    <col min="6913" max="6913" width="6.625" style="940" customWidth="1"/>
    <col min="6914" max="6916" width="11.625" style="940" customWidth="1"/>
    <col min="6917" max="6917" width="27.125" style="940" customWidth="1"/>
    <col min="6918" max="6921" width="11.625" style="940" customWidth="1"/>
    <col min="6922" max="6922" width="8.125" style="940" customWidth="1"/>
    <col min="6923" max="7168" width="9" style="940"/>
    <col min="7169" max="7169" width="6.625" style="940" customWidth="1"/>
    <col min="7170" max="7172" width="11.625" style="940" customWidth="1"/>
    <col min="7173" max="7173" width="27.125" style="940" customWidth="1"/>
    <col min="7174" max="7177" width="11.625" style="940" customWidth="1"/>
    <col min="7178" max="7178" width="8.125" style="940" customWidth="1"/>
    <col min="7179" max="7424" width="9" style="940"/>
    <col min="7425" max="7425" width="6.625" style="940" customWidth="1"/>
    <col min="7426" max="7428" width="11.625" style="940" customWidth="1"/>
    <col min="7429" max="7429" width="27.125" style="940" customWidth="1"/>
    <col min="7430" max="7433" width="11.625" style="940" customWidth="1"/>
    <col min="7434" max="7434" width="8.125" style="940" customWidth="1"/>
    <col min="7435" max="7680" width="9" style="940"/>
    <col min="7681" max="7681" width="6.625" style="940" customWidth="1"/>
    <col min="7682" max="7684" width="11.625" style="940" customWidth="1"/>
    <col min="7685" max="7685" width="27.125" style="940" customWidth="1"/>
    <col min="7686" max="7689" width="11.625" style="940" customWidth="1"/>
    <col min="7690" max="7690" width="8.125" style="940" customWidth="1"/>
    <col min="7691" max="7936" width="9" style="940"/>
    <col min="7937" max="7937" width="6.625" style="940" customWidth="1"/>
    <col min="7938" max="7940" width="11.625" style="940" customWidth="1"/>
    <col min="7941" max="7941" width="27.125" style="940" customWidth="1"/>
    <col min="7942" max="7945" width="11.625" style="940" customWidth="1"/>
    <col min="7946" max="7946" width="8.125" style="940" customWidth="1"/>
    <col min="7947" max="8192" width="9" style="940"/>
    <col min="8193" max="8193" width="6.625" style="940" customWidth="1"/>
    <col min="8194" max="8196" width="11.625" style="940" customWidth="1"/>
    <col min="8197" max="8197" width="27.125" style="940" customWidth="1"/>
    <col min="8198" max="8201" width="11.625" style="940" customWidth="1"/>
    <col min="8202" max="8202" width="8.125" style="940" customWidth="1"/>
    <col min="8203" max="8448" width="9" style="940"/>
    <col min="8449" max="8449" width="6.625" style="940" customWidth="1"/>
    <col min="8450" max="8452" width="11.625" style="940" customWidth="1"/>
    <col min="8453" max="8453" width="27.125" style="940" customWidth="1"/>
    <col min="8454" max="8457" width="11.625" style="940" customWidth="1"/>
    <col min="8458" max="8458" width="8.125" style="940" customWidth="1"/>
    <col min="8459" max="8704" width="9" style="940"/>
    <col min="8705" max="8705" width="6.625" style="940" customWidth="1"/>
    <col min="8706" max="8708" width="11.625" style="940" customWidth="1"/>
    <col min="8709" max="8709" width="27.125" style="940" customWidth="1"/>
    <col min="8710" max="8713" width="11.625" style="940" customWidth="1"/>
    <col min="8714" max="8714" width="8.125" style="940" customWidth="1"/>
    <col min="8715" max="8960" width="9" style="940"/>
    <col min="8961" max="8961" width="6.625" style="940" customWidth="1"/>
    <col min="8962" max="8964" width="11.625" style="940" customWidth="1"/>
    <col min="8965" max="8965" width="27.125" style="940" customWidth="1"/>
    <col min="8966" max="8969" width="11.625" style="940" customWidth="1"/>
    <col min="8970" max="8970" width="8.125" style="940" customWidth="1"/>
    <col min="8971" max="9216" width="9" style="940"/>
    <col min="9217" max="9217" width="6.625" style="940" customWidth="1"/>
    <col min="9218" max="9220" width="11.625" style="940" customWidth="1"/>
    <col min="9221" max="9221" width="27.125" style="940" customWidth="1"/>
    <col min="9222" max="9225" width="11.625" style="940" customWidth="1"/>
    <col min="9226" max="9226" width="8.125" style="940" customWidth="1"/>
    <col min="9227" max="9472" width="9" style="940"/>
    <col min="9473" max="9473" width="6.625" style="940" customWidth="1"/>
    <col min="9474" max="9476" width="11.625" style="940" customWidth="1"/>
    <col min="9477" max="9477" width="27.125" style="940" customWidth="1"/>
    <col min="9478" max="9481" width="11.625" style="940" customWidth="1"/>
    <col min="9482" max="9482" width="8.125" style="940" customWidth="1"/>
    <col min="9483" max="9728" width="9" style="940"/>
    <col min="9729" max="9729" width="6.625" style="940" customWidth="1"/>
    <col min="9730" max="9732" width="11.625" style="940" customWidth="1"/>
    <col min="9733" max="9733" width="27.125" style="940" customWidth="1"/>
    <col min="9734" max="9737" width="11.625" style="940" customWidth="1"/>
    <col min="9738" max="9738" width="8.125" style="940" customWidth="1"/>
    <col min="9739" max="9984" width="9" style="940"/>
    <col min="9985" max="9985" width="6.625" style="940" customWidth="1"/>
    <col min="9986" max="9988" width="11.625" style="940" customWidth="1"/>
    <col min="9989" max="9989" width="27.125" style="940" customWidth="1"/>
    <col min="9990" max="9993" width="11.625" style="940" customWidth="1"/>
    <col min="9994" max="9994" width="8.125" style="940" customWidth="1"/>
    <col min="9995" max="10240" width="9" style="940"/>
    <col min="10241" max="10241" width="6.625" style="940" customWidth="1"/>
    <col min="10242" max="10244" width="11.625" style="940" customWidth="1"/>
    <col min="10245" max="10245" width="27.125" style="940" customWidth="1"/>
    <col min="10246" max="10249" width="11.625" style="940" customWidth="1"/>
    <col min="10250" max="10250" width="8.125" style="940" customWidth="1"/>
    <col min="10251" max="10496" width="9" style="940"/>
    <col min="10497" max="10497" width="6.625" style="940" customWidth="1"/>
    <col min="10498" max="10500" width="11.625" style="940" customWidth="1"/>
    <col min="10501" max="10501" width="27.125" style="940" customWidth="1"/>
    <col min="10502" max="10505" width="11.625" style="940" customWidth="1"/>
    <col min="10506" max="10506" width="8.125" style="940" customWidth="1"/>
    <col min="10507" max="10752" width="9" style="940"/>
    <col min="10753" max="10753" width="6.625" style="940" customWidth="1"/>
    <col min="10754" max="10756" width="11.625" style="940" customWidth="1"/>
    <col min="10757" max="10757" width="27.125" style="940" customWidth="1"/>
    <col min="10758" max="10761" width="11.625" style="940" customWidth="1"/>
    <col min="10762" max="10762" width="8.125" style="940" customWidth="1"/>
    <col min="10763" max="11008" width="9" style="940"/>
    <col min="11009" max="11009" width="6.625" style="940" customWidth="1"/>
    <col min="11010" max="11012" width="11.625" style="940" customWidth="1"/>
    <col min="11013" max="11013" width="27.125" style="940" customWidth="1"/>
    <col min="11014" max="11017" width="11.625" style="940" customWidth="1"/>
    <col min="11018" max="11018" width="8.125" style="940" customWidth="1"/>
    <col min="11019" max="11264" width="9" style="940"/>
    <col min="11265" max="11265" width="6.625" style="940" customWidth="1"/>
    <col min="11266" max="11268" width="11.625" style="940" customWidth="1"/>
    <col min="11269" max="11269" width="27.125" style="940" customWidth="1"/>
    <col min="11270" max="11273" width="11.625" style="940" customWidth="1"/>
    <col min="11274" max="11274" width="8.125" style="940" customWidth="1"/>
    <col min="11275" max="11520" width="9" style="940"/>
    <col min="11521" max="11521" width="6.625" style="940" customWidth="1"/>
    <col min="11522" max="11524" width="11.625" style="940" customWidth="1"/>
    <col min="11525" max="11525" width="27.125" style="940" customWidth="1"/>
    <col min="11526" max="11529" width="11.625" style="940" customWidth="1"/>
    <col min="11530" max="11530" width="8.125" style="940" customWidth="1"/>
    <col min="11531" max="11776" width="9" style="940"/>
    <col min="11777" max="11777" width="6.625" style="940" customWidth="1"/>
    <col min="11778" max="11780" width="11.625" style="940" customWidth="1"/>
    <col min="11781" max="11781" width="27.125" style="940" customWidth="1"/>
    <col min="11782" max="11785" width="11.625" style="940" customWidth="1"/>
    <col min="11786" max="11786" width="8.125" style="940" customWidth="1"/>
    <col min="11787" max="12032" width="9" style="940"/>
    <col min="12033" max="12033" width="6.625" style="940" customWidth="1"/>
    <col min="12034" max="12036" width="11.625" style="940" customWidth="1"/>
    <col min="12037" max="12037" width="27.125" style="940" customWidth="1"/>
    <col min="12038" max="12041" width="11.625" style="940" customWidth="1"/>
    <col min="12042" max="12042" width="8.125" style="940" customWidth="1"/>
    <col min="12043" max="12288" width="9" style="940"/>
    <col min="12289" max="12289" width="6.625" style="940" customWidth="1"/>
    <col min="12290" max="12292" width="11.625" style="940" customWidth="1"/>
    <col min="12293" max="12293" width="27.125" style="940" customWidth="1"/>
    <col min="12294" max="12297" width="11.625" style="940" customWidth="1"/>
    <col min="12298" max="12298" width="8.125" style="940" customWidth="1"/>
    <col min="12299" max="12544" width="9" style="940"/>
    <col min="12545" max="12545" width="6.625" style="940" customWidth="1"/>
    <col min="12546" max="12548" width="11.625" style="940" customWidth="1"/>
    <col min="12549" max="12549" width="27.125" style="940" customWidth="1"/>
    <col min="12550" max="12553" width="11.625" style="940" customWidth="1"/>
    <col min="12554" max="12554" width="8.125" style="940" customWidth="1"/>
    <col min="12555" max="12800" width="9" style="940"/>
    <col min="12801" max="12801" width="6.625" style="940" customWidth="1"/>
    <col min="12802" max="12804" width="11.625" style="940" customWidth="1"/>
    <col min="12805" max="12805" width="27.125" style="940" customWidth="1"/>
    <col min="12806" max="12809" width="11.625" style="940" customWidth="1"/>
    <col min="12810" max="12810" width="8.125" style="940" customWidth="1"/>
    <col min="12811" max="13056" width="9" style="940"/>
    <col min="13057" max="13057" width="6.625" style="940" customWidth="1"/>
    <col min="13058" max="13060" width="11.625" style="940" customWidth="1"/>
    <col min="13061" max="13061" width="27.125" style="940" customWidth="1"/>
    <col min="13062" max="13065" width="11.625" style="940" customWidth="1"/>
    <col min="13066" max="13066" width="8.125" style="940" customWidth="1"/>
    <col min="13067" max="13312" width="9" style="940"/>
    <col min="13313" max="13313" width="6.625" style="940" customWidth="1"/>
    <col min="13314" max="13316" width="11.625" style="940" customWidth="1"/>
    <col min="13317" max="13317" width="27.125" style="940" customWidth="1"/>
    <col min="13318" max="13321" width="11.625" style="940" customWidth="1"/>
    <col min="13322" max="13322" width="8.125" style="940" customWidth="1"/>
    <col min="13323" max="13568" width="9" style="940"/>
    <col min="13569" max="13569" width="6.625" style="940" customWidth="1"/>
    <col min="13570" max="13572" width="11.625" style="940" customWidth="1"/>
    <col min="13573" max="13573" width="27.125" style="940" customWidth="1"/>
    <col min="13574" max="13577" width="11.625" style="940" customWidth="1"/>
    <col min="13578" max="13578" width="8.125" style="940" customWidth="1"/>
    <col min="13579" max="13824" width="9" style="940"/>
    <col min="13825" max="13825" width="6.625" style="940" customWidth="1"/>
    <col min="13826" max="13828" width="11.625" style="940" customWidth="1"/>
    <col min="13829" max="13829" width="27.125" style="940" customWidth="1"/>
    <col min="13830" max="13833" width="11.625" style="940" customWidth="1"/>
    <col min="13834" max="13834" width="8.125" style="940" customWidth="1"/>
    <col min="13835" max="14080" width="9" style="940"/>
    <col min="14081" max="14081" width="6.625" style="940" customWidth="1"/>
    <col min="14082" max="14084" width="11.625" style="940" customWidth="1"/>
    <col min="14085" max="14085" width="27.125" style="940" customWidth="1"/>
    <col min="14086" max="14089" width="11.625" style="940" customWidth="1"/>
    <col min="14090" max="14090" width="8.125" style="940" customWidth="1"/>
    <col min="14091" max="14336" width="9" style="940"/>
    <col min="14337" max="14337" width="6.625" style="940" customWidth="1"/>
    <col min="14338" max="14340" width="11.625" style="940" customWidth="1"/>
    <col min="14341" max="14341" width="27.125" style="940" customWidth="1"/>
    <col min="14342" max="14345" width="11.625" style="940" customWidth="1"/>
    <col min="14346" max="14346" width="8.125" style="940" customWidth="1"/>
    <col min="14347" max="14592" width="9" style="940"/>
    <col min="14593" max="14593" width="6.625" style="940" customWidth="1"/>
    <col min="14594" max="14596" width="11.625" style="940" customWidth="1"/>
    <col min="14597" max="14597" width="27.125" style="940" customWidth="1"/>
    <col min="14598" max="14601" width="11.625" style="940" customWidth="1"/>
    <col min="14602" max="14602" width="8.125" style="940" customWidth="1"/>
    <col min="14603" max="14848" width="9" style="940"/>
    <col min="14849" max="14849" width="6.625" style="940" customWidth="1"/>
    <col min="14850" max="14852" width="11.625" style="940" customWidth="1"/>
    <col min="14853" max="14853" width="27.125" style="940" customWidth="1"/>
    <col min="14854" max="14857" width="11.625" style="940" customWidth="1"/>
    <col min="14858" max="14858" width="8.125" style="940" customWidth="1"/>
    <col min="14859" max="15104" width="9" style="940"/>
    <col min="15105" max="15105" width="6.625" style="940" customWidth="1"/>
    <col min="15106" max="15108" width="11.625" style="940" customWidth="1"/>
    <col min="15109" max="15109" width="27.125" style="940" customWidth="1"/>
    <col min="15110" max="15113" width="11.625" style="940" customWidth="1"/>
    <col min="15114" max="15114" width="8.125" style="940" customWidth="1"/>
    <col min="15115" max="15360" width="9" style="940"/>
    <col min="15361" max="15361" width="6.625" style="940" customWidth="1"/>
    <col min="15362" max="15364" width="11.625" style="940" customWidth="1"/>
    <col min="15365" max="15365" width="27.125" style="940" customWidth="1"/>
    <col min="15366" max="15369" width="11.625" style="940" customWidth="1"/>
    <col min="15370" max="15370" width="8.125" style="940" customWidth="1"/>
    <col min="15371" max="15616" width="9" style="940"/>
    <col min="15617" max="15617" width="6.625" style="940" customWidth="1"/>
    <col min="15618" max="15620" width="11.625" style="940" customWidth="1"/>
    <col min="15621" max="15621" width="27.125" style="940" customWidth="1"/>
    <col min="15622" max="15625" width="11.625" style="940" customWidth="1"/>
    <col min="15626" max="15626" width="8.125" style="940" customWidth="1"/>
    <col min="15627" max="15872" width="9" style="940"/>
    <col min="15873" max="15873" width="6.625" style="940" customWidth="1"/>
    <col min="15874" max="15876" width="11.625" style="940" customWidth="1"/>
    <col min="15877" max="15877" width="27.125" style="940" customWidth="1"/>
    <col min="15878" max="15881" width="11.625" style="940" customWidth="1"/>
    <col min="15882" max="15882" width="8.125" style="940" customWidth="1"/>
    <col min="15883" max="16128" width="9" style="940"/>
    <col min="16129" max="16129" width="6.625" style="940" customWidth="1"/>
    <col min="16130" max="16132" width="11.625" style="940" customWidth="1"/>
    <col min="16133" max="16133" width="27.125" style="940" customWidth="1"/>
    <col min="16134" max="16137" width="11.625" style="940" customWidth="1"/>
    <col min="16138" max="16138" width="8.125" style="940" customWidth="1"/>
    <col min="16139" max="16384" width="9" style="940"/>
  </cols>
  <sheetData>
    <row r="1" spans="1:10" ht="17.25">
      <c r="A1" s="939" t="s">
        <v>364</v>
      </c>
    </row>
    <row r="2" spans="1:10" ht="17.25" customHeight="1">
      <c r="A2" s="939"/>
    </row>
    <row r="3" spans="1:10" ht="17.25" customHeight="1" thickBot="1">
      <c r="A3" s="940" t="s">
        <v>365</v>
      </c>
    </row>
    <row r="4" spans="1:10" ht="17.25" customHeight="1">
      <c r="B4" s="940" t="s">
        <v>15</v>
      </c>
      <c r="H4" s="941">
        <f>'短期'!I19</f>
        <v>5423156</v>
      </c>
      <c r="I4" s="940" t="s">
        <v>366</v>
      </c>
    </row>
    <row r="5" spans="1:10" ht="17.25" customHeight="1">
      <c r="B5" s="940" t="s">
        <v>367</v>
      </c>
      <c r="H5" s="942">
        <f>'短期'!I20</f>
        <v>56536</v>
      </c>
      <c r="I5" s="940" t="s">
        <v>366</v>
      </c>
    </row>
    <row r="6" spans="1:10" ht="17.25" customHeight="1">
      <c r="B6" s="940" t="s">
        <v>18</v>
      </c>
      <c r="H6" s="942">
        <f>'短期'!I24</f>
        <v>-1350</v>
      </c>
      <c r="I6" s="940" t="s">
        <v>366</v>
      </c>
    </row>
    <row r="7" spans="1:10" ht="17.25" customHeight="1">
      <c r="B7" s="943" t="s">
        <v>19</v>
      </c>
      <c r="H7" s="942">
        <f>'短期'!I25</f>
        <v>2395558</v>
      </c>
      <c r="I7" s="940" t="s">
        <v>366</v>
      </c>
    </row>
    <row r="8" spans="1:10" ht="17.25" customHeight="1">
      <c r="B8" s="943" t="s">
        <v>20</v>
      </c>
      <c r="H8" s="942">
        <f>'短期'!I26</f>
        <v>2513194</v>
      </c>
      <c r="I8" s="940" t="s">
        <v>366</v>
      </c>
    </row>
    <row r="9" spans="1:10" ht="17.25" customHeight="1">
      <c r="B9" s="943" t="s">
        <v>21</v>
      </c>
      <c r="H9" s="942">
        <f>'短期'!I28</f>
        <v>1</v>
      </c>
      <c r="I9" s="940" t="s">
        <v>366</v>
      </c>
    </row>
    <row r="10" spans="1:10" ht="17.25" customHeight="1">
      <c r="B10" s="940" t="s">
        <v>368</v>
      </c>
      <c r="H10" s="942"/>
      <c r="I10" s="940" t="s">
        <v>366</v>
      </c>
    </row>
    <row r="11" spans="1:10" ht="17.25" customHeight="1">
      <c r="B11" s="940" t="s">
        <v>369</v>
      </c>
      <c r="H11" s="944"/>
      <c r="I11" s="940" t="s">
        <v>366</v>
      </c>
    </row>
    <row r="12" spans="1:10" ht="17.25" customHeight="1">
      <c r="B12" s="940" t="s">
        <v>202</v>
      </c>
      <c r="H12" s="942">
        <f>'短期'!I33+'短期'!I27</f>
        <v>134201</v>
      </c>
      <c r="I12" s="940" t="s">
        <v>366</v>
      </c>
    </row>
    <row r="13" spans="1:10" ht="17.25" customHeight="1">
      <c r="B13" s="945" t="s">
        <v>370</v>
      </c>
      <c r="C13" s="945"/>
      <c r="H13" s="944">
        <f>541725+51526</f>
        <v>593251</v>
      </c>
      <c r="I13" s="940" t="s">
        <v>366</v>
      </c>
    </row>
    <row r="14" spans="1:10" ht="17.25" customHeight="1">
      <c r="B14" s="943" t="s">
        <v>371</v>
      </c>
      <c r="H14" s="942">
        <f>'短期'!I32-'短期'!I32</f>
        <v>0</v>
      </c>
      <c r="I14" s="940" t="s">
        <v>366</v>
      </c>
    </row>
    <row r="15" spans="1:10" ht="17.25" customHeight="1">
      <c r="B15" s="943" t="s">
        <v>22</v>
      </c>
      <c r="H15" s="942">
        <f>'短期'!I30</f>
        <v>10052</v>
      </c>
      <c r="I15" s="940" t="s">
        <v>366</v>
      </c>
    </row>
    <row r="16" spans="1:10" ht="17.25" customHeight="1" thickBot="1">
      <c r="A16" s="946"/>
      <c r="B16" s="947" t="s">
        <v>372</v>
      </c>
      <c r="C16" s="947"/>
      <c r="D16" s="948"/>
      <c r="E16" s="948"/>
      <c r="F16" s="948"/>
      <c r="G16" s="948"/>
      <c r="H16" s="949"/>
      <c r="I16" s="948" t="s">
        <v>366</v>
      </c>
      <c r="J16" s="946"/>
    </row>
    <row r="17" spans="1:10" ht="17.25" customHeight="1">
      <c r="B17" s="940" t="s">
        <v>78</v>
      </c>
      <c r="H17" s="950">
        <f>SUM(H4:H16)</f>
        <v>11124599</v>
      </c>
      <c r="I17" s="951" t="s">
        <v>373</v>
      </c>
    </row>
    <row r="18" spans="1:10" ht="17.25" customHeight="1"/>
    <row r="19" spans="1:10" ht="17.25" customHeight="1" thickBot="1">
      <c r="A19" s="940" t="s">
        <v>374</v>
      </c>
    </row>
    <row r="20" spans="1:10" ht="17.25" customHeight="1">
      <c r="B20" s="940" t="s">
        <v>375</v>
      </c>
      <c r="H20" s="952"/>
      <c r="I20" s="940" t="s">
        <v>366</v>
      </c>
    </row>
    <row r="21" spans="1:10" ht="17.25" customHeight="1">
      <c r="B21" s="940" t="s">
        <v>376</v>
      </c>
      <c r="H21" s="942">
        <f>'短期'!I22</f>
        <v>36321</v>
      </c>
      <c r="I21" s="940" t="s">
        <v>366</v>
      </c>
    </row>
    <row r="22" spans="1:10" ht="17.25" customHeight="1">
      <c r="B22" s="940" t="s">
        <v>377</v>
      </c>
      <c r="H22" s="942">
        <f>'短期'!I21</f>
        <v>65936</v>
      </c>
      <c r="I22" s="940" t="s">
        <v>366</v>
      </c>
    </row>
    <row r="23" spans="1:10" ht="17.25" customHeight="1">
      <c r="B23" s="946" t="s">
        <v>378</v>
      </c>
      <c r="C23" s="946"/>
      <c r="D23" s="946"/>
      <c r="E23" s="946"/>
      <c r="F23" s="946"/>
      <c r="G23" s="946"/>
      <c r="H23" s="942" t="str">
        <f>'[2]表(一)'!$Q$27</f>
        <v/>
      </c>
      <c r="I23" s="946" t="s">
        <v>366</v>
      </c>
      <c r="J23" s="946"/>
    </row>
    <row r="24" spans="1:10" ht="17.25" customHeight="1" thickBot="1">
      <c r="B24" s="953" t="s">
        <v>379</v>
      </c>
      <c r="C24" s="948"/>
      <c r="D24" s="948"/>
      <c r="E24" s="948"/>
      <c r="F24" s="948"/>
      <c r="G24" s="948"/>
      <c r="H24" s="949"/>
      <c r="I24" s="948" t="s">
        <v>366</v>
      </c>
      <c r="J24" s="946"/>
    </row>
    <row r="25" spans="1:10" ht="17.25" customHeight="1">
      <c r="B25" s="951" t="s">
        <v>78</v>
      </c>
      <c r="H25" s="950">
        <f>SUM(H20:H24)</f>
        <v>102257</v>
      </c>
      <c r="I25" s="951" t="s">
        <v>380</v>
      </c>
    </row>
    <row r="26" spans="1:10" ht="17.25" customHeight="1">
      <c r="B26" s="951"/>
      <c r="H26" s="950"/>
      <c r="I26" s="951"/>
    </row>
    <row r="27" spans="1:10" ht="17.25" customHeight="1" thickBot="1">
      <c r="A27" s="940" t="s">
        <v>381</v>
      </c>
    </row>
    <row r="28" spans="1:10" ht="17.25" customHeight="1">
      <c r="B28" s="943" t="s">
        <v>382</v>
      </c>
      <c r="H28" s="952">
        <f>'短期'!H38+'短期'!H39</f>
        <v>3924409.0126666669</v>
      </c>
      <c r="I28" s="940" t="s">
        <v>366</v>
      </c>
    </row>
    <row r="29" spans="1:10" ht="17.25" customHeight="1">
      <c r="B29" s="940" t="s">
        <v>7</v>
      </c>
      <c r="H29" s="942">
        <f>'短期'!I11</f>
        <v>73130</v>
      </c>
      <c r="I29" s="940" t="s">
        <v>366</v>
      </c>
    </row>
    <row r="30" spans="1:10" ht="17.25" customHeight="1">
      <c r="B30" s="943" t="s">
        <v>383</v>
      </c>
      <c r="H30" s="942">
        <v>0</v>
      </c>
      <c r="I30" s="940" t="s">
        <v>366</v>
      </c>
    </row>
    <row r="31" spans="1:10" ht="17.25" customHeight="1">
      <c r="B31" s="940" t="s">
        <v>384</v>
      </c>
      <c r="H31" s="944"/>
      <c r="I31" s="940" t="s">
        <v>366</v>
      </c>
    </row>
    <row r="32" spans="1:10" ht="17.25" customHeight="1">
      <c r="B32" s="940" t="s">
        <v>385</v>
      </c>
      <c r="H32" s="944"/>
      <c r="I32" s="940" t="s">
        <v>366</v>
      </c>
    </row>
    <row r="33" spans="1:10" ht="17.25" customHeight="1">
      <c r="B33" s="940" t="s">
        <v>9</v>
      </c>
      <c r="H33" s="944">
        <f>'短期'!I13</f>
        <v>401</v>
      </c>
      <c r="I33" s="940" t="s">
        <v>366</v>
      </c>
    </row>
    <row r="34" spans="1:10" ht="17.25" customHeight="1">
      <c r="B34" s="940" t="s">
        <v>386</v>
      </c>
      <c r="H34" s="944">
        <f>'短期'!I14</f>
        <v>0</v>
      </c>
      <c r="I34" s="940" t="s">
        <v>366</v>
      </c>
    </row>
    <row r="35" spans="1:10" ht="17.25" customHeight="1">
      <c r="B35" s="940" t="s">
        <v>387</v>
      </c>
      <c r="H35" s="942">
        <v>57327</v>
      </c>
      <c r="I35" s="940" t="s">
        <v>366</v>
      </c>
    </row>
    <row r="36" spans="1:10" ht="17.25" customHeight="1" thickBot="1">
      <c r="B36" s="948" t="s">
        <v>388</v>
      </c>
      <c r="C36" s="948"/>
      <c r="D36" s="948"/>
      <c r="E36" s="948"/>
      <c r="F36" s="948"/>
      <c r="G36" s="948"/>
      <c r="H36" s="949">
        <f>'短期'!I15</f>
        <v>7326</v>
      </c>
      <c r="I36" s="948" t="s">
        <v>366</v>
      </c>
      <c r="J36" s="946"/>
    </row>
    <row r="37" spans="1:10" ht="17.25" customHeight="1">
      <c r="H37" s="950">
        <f>SUM(H28:H36)</f>
        <v>4062593.0126666669</v>
      </c>
      <c r="I37" s="951" t="s">
        <v>389</v>
      </c>
    </row>
    <row r="38" spans="1:10" ht="17.25" customHeight="1">
      <c r="I38" s="951"/>
    </row>
    <row r="39" spans="1:10" ht="17.25" customHeight="1">
      <c r="A39" s="954" t="s">
        <v>390</v>
      </c>
      <c r="B39" s="955"/>
      <c r="C39" s="955"/>
      <c r="D39" s="955"/>
      <c r="E39" s="955"/>
      <c r="H39" s="956">
        <f>H43+H47</f>
        <v>98687901</v>
      </c>
      <c r="I39" s="940" t="s">
        <v>391</v>
      </c>
    </row>
    <row r="40" spans="1:10" ht="17.25" customHeight="1" thickBot="1"/>
    <row r="41" spans="1:10" ht="17.25" customHeight="1">
      <c r="B41" s="954" t="s">
        <v>231</v>
      </c>
      <c r="C41" s="955"/>
      <c r="D41" s="955"/>
      <c r="E41" s="955"/>
      <c r="H41" s="957">
        <v>79006216</v>
      </c>
      <c r="I41" s="940" t="s">
        <v>392</v>
      </c>
    </row>
    <row r="42" spans="1:10" ht="17.25" customHeight="1" thickBot="1">
      <c r="C42" s="943" t="s">
        <v>393</v>
      </c>
      <c r="H42" s="958">
        <v>2659553</v>
      </c>
      <c r="I42" s="940" t="s">
        <v>394</v>
      </c>
    </row>
    <row r="43" spans="1:10" ht="17.25" customHeight="1">
      <c r="C43" s="943" t="s">
        <v>395</v>
      </c>
      <c r="H43" s="950">
        <f>ROUNDDOWN(H41-H42,0)</f>
        <v>76346663</v>
      </c>
      <c r="I43" s="940" t="s">
        <v>396</v>
      </c>
    </row>
    <row r="44" spans="1:10" ht="17.25" customHeight="1" thickBot="1"/>
    <row r="45" spans="1:10" ht="17.25" customHeight="1">
      <c r="B45" s="954" t="s">
        <v>397</v>
      </c>
      <c r="C45" s="955"/>
      <c r="D45" s="955"/>
      <c r="E45" s="955"/>
      <c r="H45" s="957">
        <v>22600369</v>
      </c>
      <c r="I45" s="943" t="s">
        <v>398</v>
      </c>
    </row>
    <row r="46" spans="1:10" ht="17.25" customHeight="1" thickBot="1">
      <c r="C46" s="943" t="s">
        <v>399</v>
      </c>
      <c r="H46" s="958">
        <v>259131</v>
      </c>
      <c r="I46" s="943" t="s">
        <v>400</v>
      </c>
    </row>
    <row r="47" spans="1:10" ht="17.25" customHeight="1">
      <c r="C47" s="943" t="s">
        <v>401</v>
      </c>
      <c r="H47" s="950">
        <f>ROUNDDOWN((H45-H46),0)</f>
        <v>22341238</v>
      </c>
      <c r="I47" s="940" t="s">
        <v>402</v>
      </c>
    </row>
    <row r="48" spans="1:10" ht="17.25" customHeight="1"/>
    <row r="49" spans="1:10" ht="17.25" customHeight="1">
      <c r="A49" s="954" t="s">
        <v>403</v>
      </c>
      <c r="B49" s="955"/>
      <c r="C49" s="955"/>
      <c r="D49" s="955"/>
      <c r="E49" s="955"/>
    </row>
    <row r="50" spans="1:10" ht="17.25" customHeight="1"/>
    <row r="51" spans="1:10" ht="17.25" customHeight="1">
      <c r="B51" s="959">
        <f>H17</f>
        <v>11124599</v>
      </c>
      <c r="C51" s="948" t="s">
        <v>373</v>
      </c>
      <c r="D51" s="960" t="s">
        <v>404</v>
      </c>
      <c r="E51" s="959">
        <f>H25</f>
        <v>102257</v>
      </c>
      <c r="F51" s="948" t="s">
        <v>380</v>
      </c>
      <c r="G51" s="960" t="s">
        <v>405</v>
      </c>
      <c r="H51" s="959">
        <f>H37</f>
        <v>4062593.0126666669</v>
      </c>
      <c r="I51" s="948" t="s">
        <v>389</v>
      </c>
      <c r="J51" s="946"/>
    </row>
    <row r="52" spans="1:10" ht="17.25" customHeight="1">
      <c r="F52" s="956">
        <f>H39</f>
        <v>98687901</v>
      </c>
      <c r="G52" s="940" t="s">
        <v>391</v>
      </c>
    </row>
    <row r="53" spans="1:10" ht="17.25" customHeight="1" thickBot="1"/>
    <row r="54" spans="1:10" ht="17.25" customHeight="1" thickBot="1">
      <c r="B54" s="940" t="s">
        <v>406</v>
      </c>
      <c r="C54" s="961" t="s">
        <v>407</v>
      </c>
      <c r="D54" s="962">
        <f>(B51+E51-H51)/F52*1000</f>
        <v>72.595150112001406</v>
      </c>
      <c r="E54" s="963" t="s">
        <v>408</v>
      </c>
      <c r="F54" s="961" t="s">
        <v>409</v>
      </c>
      <c r="G54" s="964"/>
      <c r="H54" s="965" t="s">
        <v>410</v>
      </c>
    </row>
    <row r="55" spans="1:10" ht="17.25" customHeight="1">
      <c r="C55" s="961"/>
      <c r="D55" s="966"/>
      <c r="E55" s="967"/>
      <c r="F55" s="961"/>
      <c r="G55" s="968"/>
      <c r="H55" s="969"/>
    </row>
    <row r="56" spans="1:10" ht="17.25" customHeight="1">
      <c r="C56" s="961"/>
      <c r="D56" s="966"/>
      <c r="E56" s="967"/>
      <c r="F56" s="961"/>
      <c r="G56" s="968"/>
      <c r="H56" s="969"/>
    </row>
    <row r="57" spans="1:10" ht="17.25" customHeight="1"/>
    <row r="58" spans="1:10" ht="17.25" customHeight="1">
      <c r="A58" s="940" t="s">
        <v>411</v>
      </c>
    </row>
    <row r="59" spans="1:10" ht="17.25" customHeight="1"/>
    <row r="60" spans="1:10" ht="17.25" customHeight="1">
      <c r="A60" s="970" t="s">
        <v>412</v>
      </c>
    </row>
    <row r="61" spans="1:10" ht="17.25" customHeight="1">
      <c r="B61" s="948"/>
      <c r="C61" s="971">
        <f>H17</f>
        <v>11124599</v>
      </c>
      <c r="D61" s="948" t="s">
        <v>373</v>
      </c>
      <c r="E61" s="960" t="s">
        <v>405</v>
      </c>
      <c r="F61" s="971">
        <f>IF(H28&lt;0,H37-H28,H37)</f>
        <v>4062593.0126666669</v>
      </c>
      <c r="G61" s="948" t="s">
        <v>389</v>
      </c>
      <c r="H61" s="948"/>
      <c r="I61" s="948"/>
    </row>
    <row r="62" spans="1:10" ht="17.25" customHeight="1">
      <c r="E62" s="950">
        <f>H39</f>
        <v>98687901</v>
      </c>
      <c r="F62" s="940" t="s">
        <v>391</v>
      </c>
    </row>
    <row r="63" spans="1:10" ht="17.25" customHeight="1"/>
    <row r="64" spans="1:10" ht="17.25" customHeight="1">
      <c r="B64" s="940" t="s">
        <v>413</v>
      </c>
      <c r="C64" s="961" t="s">
        <v>407</v>
      </c>
      <c r="D64" s="972">
        <f>(C61-F61)/E62*1000</f>
        <v>71.558984594609356</v>
      </c>
      <c r="E64" s="961" t="s">
        <v>409</v>
      </c>
      <c r="F64" s="973">
        <f>ROUNDUP(D64,2)</f>
        <v>71.56</v>
      </c>
      <c r="G64" s="965" t="s">
        <v>414</v>
      </c>
      <c r="H64" s="940" t="s">
        <v>415</v>
      </c>
    </row>
    <row r="65" spans="1:9" ht="17.25" customHeight="1"/>
    <row r="66" spans="1:9" ht="17.25" customHeight="1" thickBot="1">
      <c r="A66" s="970" t="s">
        <v>416</v>
      </c>
    </row>
    <row r="67" spans="1:9" ht="17.25" customHeight="1" thickBot="1">
      <c r="A67" s="974"/>
      <c r="B67" s="975">
        <v>50</v>
      </c>
      <c r="C67" s="970" t="s">
        <v>408</v>
      </c>
    </row>
    <row r="68" spans="1:9" ht="17.25" customHeight="1">
      <c r="B68" s="943"/>
    </row>
    <row r="69" spans="1:9" ht="17.25" customHeight="1">
      <c r="C69" s="954" t="s">
        <v>417</v>
      </c>
      <c r="D69" s="955"/>
      <c r="F69" s="976">
        <f>F64/2</f>
        <v>35.78</v>
      </c>
      <c r="G69" s="943" t="s">
        <v>418</v>
      </c>
      <c r="H69" s="977"/>
      <c r="I69" s="943"/>
    </row>
    <row r="70" spans="1:9" ht="17.25" customHeight="1">
      <c r="C70" s="955" t="s">
        <v>419</v>
      </c>
      <c r="D70" s="955"/>
    </row>
    <row r="71" spans="1:9" ht="17.25" customHeight="1">
      <c r="C71" s="954" t="str">
        <f>"（Ｇ）－調整基準率（"&amp;TEXT(B67,"0.00")&amp;"‰）＝"</f>
        <v>（Ｇ）－調整基準率（50.00‰）＝</v>
      </c>
      <c r="D71" s="955"/>
      <c r="F71" s="978">
        <f>IF((F69-B67)&gt;B80-B67,B80-B67,(F69-B67))</f>
        <v>-14.219999999999999</v>
      </c>
      <c r="G71" s="955" t="str">
        <f>"‰（上限"&amp;TEXT(B80-B67,"0.00")&amp;"‰）"</f>
        <v>‰（上限1.00‰）</v>
      </c>
    </row>
    <row r="72" spans="1:9" ht="17.25" customHeight="1" thickBot="1">
      <c r="C72" s="955" t="s">
        <v>420</v>
      </c>
      <c r="D72" s="955"/>
      <c r="F72" s="979" t="s">
        <v>421</v>
      </c>
    </row>
    <row r="73" spans="1:9" ht="17.25" customHeight="1" thickBot="1">
      <c r="B73" s="980" t="s">
        <v>422</v>
      </c>
      <c r="C73" s="950">
        <f>H39</f>
        <v>98687901</v>
      </c>
      <c r="D73" s="943" t="s">
        <v>423</v>
      </c>
      <c r="E73" s="961" t="s">
        <v>405</v>
      </c>
      <c r="F73" s="981"/>
      <c r="G73" s="940" t="s">
        <v>424</v>
      </c>
    </row>
    <row r="74" spans="1:9" ht="17.25" customHeight="1">
      <c r="B74" s="980" t="s">
        <v>425</v>
      </c>
      <c r="C74" s="978">
        <f>F71</f>
        <v>-14.219999999999999</v>
      </c>
      <c r="D74" s="940" t="s">
        <v>426</v>
      </c>
      <c r="E74" s="961" t="s">
        <v>407</v>
      </c>
      <c r="F74" s="982">
        <f>ROUNDDOWN((C73-F73)*F71/1000,0)</f>
        <v>-1403341</v>
      </c>
      <c r="G74" s="943" t="s">
        <v>366</v>
      </c>
    </row>
    <row r="75" spans="1:9" ht="17.25" customHeight="1"/>
    <row r="76" spans="1:9" ht="17.25" customHeight="1"/>
    <row r="77" spans="1:9" ht="17.25" customHeight="1">
      <c r="A77" s="940" t="s">
        <v>427</v>
      </c>
    </row>
    <row r="78" spans="1:9" ht="17.25" customHeight="1"/>
    <row r="79" spans="1:9" ht="17.25" customHeight="1" thickBot="1">
      <c r="A79" s="970" t="s">
        <v>428</v>
      </c>
    </row>
    <row r="80" spans="1:9" ht="17.25" customHeight="1" thickBot="1">
      <c r="A80" s="974"/>
      <c r="B80" s="975">
        <v>51</v>
      </c>
      <c r="C80" s="970" t="s">
        <v>408</v>
      </c>
    </row>
    <row r="81" spans="1:8" ht="17.25" customHeight="1"/>
    <row r="82" spans="1:8" ht="17.25" customHeight="1">
      <c r="B82" s="955" t="s">
        <v>429</v>
      </c>
      <c r="C82" s="955"/>
      <c r="D82" s="955"/>
    </row>
    <row r="83" spans="1:8" ht="17.25" customHeight="1">
      <c r="B83" s="954" t="str">
        <f>"（G）－特別調整基準率（"&amp;TEXT(B80,"0.00")&amp;"‰）"</f>
        <v>（G）－特別調整基準率（51.00‰）</v>
      </c>
      <c r="C83" s="955"/>
      <c r="D83" s="955"/>
      <c r="E83" s="961" t="s">
        <v>407</v>
      </c>
      <c r="F83" s="983">
        <f>IF((F69-B80)&lt;0,0,(F69-B80))</f>
        <v>0</v>
      </c>
      <c r="G83" s="940" t="s">
        <v>408</v>
      </c>
    </row>
    <row r="84" spans="1:8" ht="17.25" customHeight="1">
      <c r="B84" s="955" t="s">
        <v>430</v>
      </c>
      <c r="C84" s="955"/>
      <c r="D84" s="955"/>
    </row>
    <row r="85" spans="1:8" ht="17.25" customHeight="1">
      <c r="B85" s="950">
        <f>H39</f>
        <v>98687901</v>
      </c>
      <c r="C85" s="943" t="s">
        <v>431</v>
      </c>
      <c r="D85" s="983">
        <f>F83</f>
        <v>0</v>
      </c>
      <c r="E85" s="940" t="s">
        <v>432</v>
      </c>
      <c r="F85" s="961" t="s">
        <v>407</v>
      </c>
      <c r="G85" s="982">
        <f>ROUNDDOWN(B85*F83/1000,0)</f>
        <v>0</v>
      </c>
      <c r="H85" s="943" t="s">
        <v>366</v>
      </c>
    </row>
    <row r="86" spans="1:8" ht="17.25" customHeight="1"/>
    <row r="87" spans="1:8" ht="17.25" customHeight="1"/>
    <row r="88" spans="1:8" ht="17.25" customHeight="1">
      <c r="A88" s="940" t="s">
        <v>433</v>
      </c>
    </row>
    <row r="89" spans="1:8" ht="17.25" customHeight="1">
      <c r="B89" s="984"/>
      <c r="C89" s="943" t="s">
        <v>434</v>
      </c>
      <c r="E89" s="985">
        <f>G54</f>
        <v>0</v>
      </c>
      <c r="F89" s="940" t="s">
        <v>408</v>
      </c>
    </row>
    <row r="90" spans="1:8" ht="17.25" customHeight="1">
      <c r="C90" s="940" t="s">
        <v>435</v>
      </c>
      <c r="E90" s="986">
        <f>E89/2</f>
        <v>0</v>
      </c>
      <c r="F90" s="940" t="s">
        <v>408</v>
      </c>
    </row>
    <row r="91" spans="1:8" ht="17.25" customHeight="1">
      <c r="C91" s="940" t="s">
        <v>436</v>
      </c>
      <c r="E91" s="987">
        <f>E90-E92-E93</f>
        <v>14.219999999999999</v>
      </c>
      <c r="F91" s="940" t="s">
        <v>408</v>
      </c>
    </row>
    <row r="92" spans="1:8" ht="17.25" customHeight="1">
      <c r="C92" s="940" t="s">
        <v>419</v>
      </c>
      <c r="E92" s="988">
        <f>F71</f>
        <v>-14.219999999999999</v>
      </c>
      <c r="F92" s="940" t="s">
        <v>408</v>
      </c>
    </row>
    <row r="93" spans="1:8" ht="17.25" customHeight="1">
      <c r="C93" s="940" t="s">
        <v>429</v>
      </c>
      <c r="E93" s="988">
        <f>F83</f>
        <v>0</v>
      </c>
      <c r="F93" s="940" t="s">
        <v>408</v>
      </c>
    </row>
    <row r="94" spans="1:8">
      <c r="E94" s="955"/>
    </row>
  </sheetData>
  <phoneticPr fontId="2"/>
  <printOptions horizontalCentered="1"/>
  <pageMargins left="0.59055118110236227" right="0.39370078740157483" top="0.78740157480314965" bottom="0.78740157480314965" header="0.51181102362204722" footer="0.51181102362204722"/>
  <pageSetup paperSize="9" scale="71" orientation="portrait" cellComments="asDisplayed" horizontalDpi="300" verticalDpi="300" r:id="rId1"/>
  <headerFooter alignWithMargins="0"/>
  <rowBreaks count="1" manualBreakCount="1">
    <brk id="57" max="8"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94"/>
  <sheetViews>
    <sheetView view="pageBreakPreview" zoomScaleNormal="55" zoomScaleSheetLayoutView="100" workbookViewId="0">
      <selection activeCell="M18" sqref="M18:P18"/>
    </sheetView>
  </sheetViews>
  <sheetFormatPr defaultRowHeight="13.5"/>
  <cols>
    <col min="1" max="1" width="6.625" style="940" customWidth="1"/>
    <col min="2" max="4" width="11.625" style="940" customWidth="1"/>
    <col min="5" max="5" width="27.125" style="940" customWidth="1"/>
    <col min="6" max="9" width="11.625" style="940" customWidth="1"/>
    <col min="10" max="10" width="8.125" style="940" customWidth="1"/>
    <col min="11" max="256" width="9" style="940"/>
    <col min="257" max="257" width="6.625" style="940" customWidth="1"/>
    <col min="258" max="260" width="11.625" style="940" customWidth="1"/>
    <col min="261" max="261" width="27.125" style="940" customWidth="1"/>
    <col min="262" max="265" width="11.625" style="940" customWidth="1"/>
    <col min="266" max="266" width="8.125" style="940" customWidth="1"/>
    <col min="267" max="512" width="9" style="940"/>
    <col min="513" max="513" width="6.625" style="940" customWidth="1"/>
    <col min="514" max="516" width="11.625" style="940" customWidth="1"/>
    <col min="517" max="517" width="27.125" style="940" customWidth="1"/>
    <col min="518" max="521" width="11.625" style="940" customWidth="1"/>
    <col min="522" max="522" width="8.125" style="940" customWidth="1"/>
    <col min="523" max="768" width="9" style="940"/>
    <col min="769" max="769" width="6.625" style="940" customWidth="1"/>
    <col min="770" max="772" width="11.625" style="940" customWidth="1"/>
    <col min="773" max="773" width="27.125" style="940" customWidth="1"/>
    <col min="774" max="777" width="11.625" style="940" customWidth="1"/>
    <col min="778" max="778" width="8.125" style="940" customWidth="1"/>
    <col min="779" max="1024" width="9" style="940"/>
    <col min="1025" max="1025" width="6.625" style="940" customWidth="1"/>
    <col min="1026" max="1028" width="11.625" style="940" customWidth="1"/>
    <col min="1029" max="1029" width="27.125" style="940" customWidth="1"/>
    <col min="1030" max="1033" width="11.625" style="940" customWidth="1"/>
    <col min="1034" max="1034" width="8.125" style="940" customWidth="1"/>
    <col min="1035" max="1280" width="9" style="940"/>
    <col min="1281" max="1281" width="6.625" style="940" customWidth="1"/>
    <col min="1282" max="1284" width="11.625" style="940" customWidth="1"/>
    <col min="1285" max="1285" width="27.125" style="940" customWidth="1"/>
    <col min="1286" max="1289" width="11.625" style="940" customWidth="1"/>
    <col min="1290" max="1290" width="8.125" style="940" customWidth="1"/>
    <col min="1291" max="1536" width="9" style="940"/>
    <col min="1537" max="1537" width="6.625" style="940" customWidth="1"/>
    <col min="1538" max="1540" width="11.625" style="940" customWidth="1"/>
    <col min="1541" max="1541" width="27.125" style="940" customWidth="1"/>
    <col min="1542" max="1545" width="11.625" style="940" customWidth="1"/>
    <col min="1546" max="1546" width="8.125" style="940" customWidth="1"/>
    <col min="1547" max="1792" width="9" style="940"/>
    <col min="1793" max="1793" width="6.625" style="940" customWidth="1"/>
    <col min="1794" max="1796" width="11.625" style="940" customWidth="1"/>
    <col min="1797" max="1797" width="27.125" style="940" customWidth="1"/>
    <col min="1798" max="1801" width="11.625" style="940" customWidth="1"/>
    <col min="1802" max="1802" width="8.125" style="940" customWidth="1"/>
    <col min="1803" max="2048" width="9" style="940"/>
    <col min="2049" max="2049" width="6.625" style="940" customWidth="1"/>
    <col min="2050" max="2052" width="11.625" style="940" customWidth="1"/>
    <col min="2053" max="2053" width="27.125" style="940" customWidth="1"/>
    <col min="2054" max="2057" width="11.625" style="940" customWidth="1"/>
    <col min="2058" max="2058" width="8.125" style="940" customWidth="1"/>
    <col min="2059" max="2304" width="9" style="940"/>
    <col min="2305" max="2305" width="6.625" style="940" customWidth="1"/>
    <col min="2306" max="2308" width="11.625" style="940" customWidth="1"/>
    <col min="2309" max="2309" width="27.125" style="940" customWidth="1"/>
    <col min="2310" max="2313" width="11.625" style="940" customWidth="1"/>
    <col min="2314" max="2314" width="8.125" style="940" customWidth="1"/>
    <col min="2315" max="2560" width="9" style="940"/>
    <col min="2561" max="2561" width="6.625" style="940" customWidth="1"/>
    <col min="2562" max="2564" width="11.625" style="940" customWidth="1"/>
    <col min="2565" max="2565" width="27.125" style="940" customWidth="1"/>
    <col min="2566" max="2569" width="11.625" style="940" customWidth="1"/>
    <col min="2570" max="2570" width="8.125" style="940" customWidth="1"/>
    <col min="2571" max="2816" width="9" style="940"/>
    <col min="2817" max="2817" width="6.625" style="940" customWidth="1"/>
    <col min="2818" max="2820" width="11.625" style="940" customWidth="1"/>
    <col min="2821" max="2821" width="27.125" style="940" customWidth="1"/>
    <col min="2822" max="2825" width="11.625" style="940" customWidth="1"/>
    <col min="2826" max="2826" width="8.125" style="940" customWidth="1"/>
    <col min="2827" max="3072" width="9" style="940"/>
    <col min="3073" max="3073" width="6.625" style="940" customWidth="1"/>
    <col min="3074" max="3076" width="11.625" style="940" customWidth="1"/>
    <col min="3077" max="3077" width="27.125" style="940" customWidth="1"/>
    <col min="3078" max="3081" width="11.625" style="940" customWidth="1"/>
    <col min="3082" max="3082" width="8.125" style="940" customWidth="1"/>
    <col min="3083" max="3328" width="9" style="940"/>
    <col min="3329" max="3329" width="6.625" style="940" customWidth="1"/>
    <col min="3330" max="3332" width="11.625" style="940" customWidth="1"/>
    <col min="3333" max="3333" width="27.125" style="940" customWidth="1"/>
    <col min="3334" max="3337" width="11.625" style="940" customWidth="1"/>
    <col min="3338" max="3338" width="8.125" style="940" customWidth="1"/>
    <col min="3339" max="3584" width="9" style="940"/>
    <col min="3585" max="3585" width="6.625" style="940" customWidth="1"/>
    <col min="3586" max="3588" width="11.625" style="940" customWidth="1"/>
    <col min="3589" max="3589" width="27.125" style="940" customWidth="1"/>
    <col min="3590" max="3593" width="11.625" style="940" customWidth="1"/>
    <col min="3594" max="3594" width="8.125" style="940" customWidth="1"/>
    <col min="3595" max="3840" width="9" style="940"/>
    <col min="3841" max="3841" width="6.625" style="940" customWidth="1"/>
    <col min="3842" max="3844" width="11.625" style="940" customWidth="1"/>
    <col min="3845" max="3845" width="27.125" style="940" customWidth="1"/>
    <col min="3846" max="3849" width="11.625" style="940" customWidth="1"/>
    <col min="3850" max="3850" width="8.125" style="940" customWidth="1"/>
    <col min="3851" max="4096" width="9" style="940"/>
    <col min="4097" max="4097" width="6.625" style="940" customWidth="1"/>
    <col min="4098" max="4100" width="11.625" style="940" customWidth="1"/>
    <col min="4101" max="4101" width="27.125" style="940" customWidth="1"/>
    <col min="4102" max="4105" width="11.625" style="940" customWidth="1"/>
    <col min="4106" max="4106" width="8.125" style="940" customWidth="1"/>
    <col min="4107" max="4352" width="9" style="940"/>
    <col min="4353" max="4353" width="6.625" style="940" customWidth="1"/>
    <col min="4354" max="4356" width="11.625" style="940" customWidth="1"/>
    <col min="4357" max="4357" width="27.125" style="940" customWidth="1"/>
    <col min="4358" max="4361" width="11.625" style="940" customWidth="1"/>
    <col min="4362" max="4362" width="8.125" style="940" customWidth="1"/>
    <col min="4363" max="4608" width="9" style="940"/>
    <col min="4609" max="4609" width="6.625" style="940" customWidth="1"/>
    <col min="4610" max="4612" width="11.625" style="940" customWidth="1"/>
    <col min="4613" max="4613" width="27.125" style="940" customWidth="1"/>
    <col min="4614" max="4617" width="11.625" style="940" customWidth="1"/>
    <col min="4618" max="4618" width="8.125" style="940" customWidth="1"/>
    <col min="4619" max="4864" width="9" style="940"/>
    <col min="4865" max="4865" width="6.625" style="940" customWidth="1"/>
    <col min="4866" max="4868" width="11.625" style="940" customWidth="1"/>
    <col min="4869" max="4869" width="27.125" style="940" customWidth="1"/>
    <col min="4870" max="4873" width="11.625" style="940" customWidth="1"/>
    <col min="4874" max="4874" width="8.125" style="940" customWidth="1"/>
    <col min="4875" max="5120" width="9" style="940"/>
    <col min="5121" max="5121" width="6.625" style="940" customWidth="1"/>
    <col min="5122" max="5124" width="11.625" style="940" customWidth="1"/>
    <col min="5125" max="5125" width="27.125" style="940" customWidth="1"/>
    <col min="5126" max="5129" width="11.625" style="940" customWidth="1"/>
    <col min="5130" max="5130" width="8.125" style="940" customWidth="1"/>
    <col min="5131" max="5376" width="9" style="940"/>
    <col min="5377" max="5377" width="6.625" style="940" customWidth="1"/>
    <col min="5378" max="5380" width="11.625" style="940" customWidth="1"/>
    <col min="5381" max="5381" width="27.125" style="940" customWidth="1"/>
    <col min="5382" max="5385" width="11.625" style="940" customWidth="1"/>
    <col min="5386" max="5386" width="8.125" style="940" customWidth="1"/>
    <col min="5387" max="5632" width="9" style="940"/>
    <col min="5633" max="5633" width="6.625" style="940" customWidth="1"/>
    <col min="5634" max="5636" width="11.625" style="940" customWidth="1"/>
    <col min="5637" max="5637" width="27.125" style="940" customWidth="1"/>
    <col min="5638" max="5641" width="11.625" style="940" customWidth="1"/>
    <col min="5642" max="5642" width="8.125" style="940" customWidth="1"/>
    <col min="5643" max="5888" width="9" style="940"/>
    <col min="5889" max="5889" width="6.625" style="940" customWidth="1"/>
    <col min="5890" max="5892" width="11.625" style="940" customWidth="1"/>
    <col min="5893" max="5893" width="27.125" style="940" customWidth="1"/>
    <col min="5894" max="5897" width="11.625" style="940" customWidth="1"/>
    <col min="5898" max="5898" width="8.125" style="940" customWidth="1"/>
    <col min="5899" max="6144" width="9" style="940"/>
    <col min="6145" max="6145" width="6.625" style="940" customWidth="1"/>
    <col min="6146" max="6148" width="11.625" style="940" customWidth="1"/>
    <col min="6149" max="6149" width="27.125" style="940" customWidth="1"/>
    <col min="6150" max="6153" width="11.625" style="940" customWidth="1"/>
    <col min="6154" max="6154" width="8.125" style="940" customWidth="1"/>
    <col min="6155" max="6400" width="9" style="940"/>
    <col min="6401" max="6401" width="6.625" style="940" customWidth="1"/>
    <col min="6402" max="6404" width="11.625" style="940" customWidth="1"/>
    <col min="6405" max="6405" width="27.125" style="940" customWidth="1"/>
    <col min="6406" max="6409" width="11.625" style="940" customWidth="1"/>
    <col min="6410" max="6410" width="8.125" style="940" customWidth="1"/>
    <col min="6411" max="6656" width="9" style="940"/>
    <col min="6657" max="6657" width="6.625" style="940" customWidth="1"/>
    <col min="6658" max="6660" width="11.625" style="940" customWidth="1"/>
    <col min="6661" max="6661" width="27.125" style="940" customWidth="1"/>
    <col min="6662" max="6665" width="11.625" style="940" customWidth="1"/>
    <col min="6666" max="6666" width="8.125" style="940" customWidth="1"/>
    <col min="6667" max="6912" width="9" style="940"/>
    <col min="6913" max="6913" width="6.625" style="940" customWidth="1"/>
    <col min="6914" max="6916" width="11.625" style="940" customWidth="1"/>
    <col min="6917" max="6917" width="27.125" style="940" customWidth="1"/>
    <col min="6918" max="6921" width="11.625" style="940" customWidth="1"/>
    <col min="6922" max="6922" width="8.125" style="940" customWidth="1"/>
    <col min="6923" max="7168" width="9" style="940"/>
    <col min="7169" max="7169" width="6.625" style="940" customWidth="1"/>
    <col min="7170" max="7172" width="11.625" style="940" customWidth="1"/>
    <col min="7173" max="7173" width="27.125" style="940" customWidth="1"/>
    <col min="7174" max="7177" width="11.625" style="940" customWidth="1"/>
    <col min="7178" max="7178" width="8.125" style="940" customWidth="1"/>
    <col min="7179" max="7424" width="9" style="940"/>
    <col min="7425" max="7425" width="6.625" style="940" customWidth="1"/>
    <col min="7426" max="7428" width="11.625" style="940" customWidth="1"/>
    <col min="7429" max="7429" width="27.125" style="940" customWidth="1"/>
    <col min="7430" max="7433" width="11.625" style="940" customWidth="1"/>
    <col min="7434" max="7434" width="8.125" style="940" customWidth="1"/>
    <col min="7435" max="7680" width="9" style="940"/>
    <col min="7681" max="7681" width="6.625" style="940" customWidth="1"/>
    <col min="7682" max="7684" width="11.625" style="940" customWidth="1"/>
    <col min="7685" max="7685" width="27.125" style="940" customWidth="1"/>
    <col min="7686" max="7689" width="11.625" style="940" customWidth="1"/>
    <col min="7690" max="7690" width="8.125" style="940" customWidth="1"/>
    <col min="7691" max="7936" width="9" style="940"/>
    <col min="7937" max="7937" width="6.625" style="940" customWidth="1"/>
    <col min="7938" max="7940" width="11.625" style="940" customWidth="1"/>
    <col min="7941" max="7941" width="27.125" style="940" customWidth="1"/>
    <col min="7942" max="7945" width="11.625" style="940" customWidth="1"/>
    <col min="7946" max="7946" width="8.125" style="940" customWidth="1"/>
    <col min="7947" max="8192" width="9" style="940"/>
    <col min="8193" max="8193" width="6.625" style="940" customWidth="1"/>
    <col min="8194" max="8196" width="11.625" style="940" customWidth="1"/>
    <col min="8197" max="8197" width="27.125" style="940" customWidth="1"/>
    <col min="8198" max="8201" width="11.625" style="940" customWidth="1"/>
    <col min="8202" max="8202" width="8.125" style="940" customWidth="1"/>
    <col min="8203" max="8448" width="9" style="940"/>
    <col min="8449" max="8449" width="6.625" style="940" customWidth="1"/>
    <col min="8450" max="8452" width="11.625" style="940" customWidth="1"/>
    <col min="8453" max="8453" width="27.125" style="940" customWidth="1"/>
    <col min="8454" max="8457" width="11.625" style="940" customWidth="1"/>
    <col min="8458" max="8458" width="8.125" style="940" customWidth="1"/>
    <col min="8459" max="8704" width="9" style="940"/>
    <col min="8705" max="8705" width="6.625" style="940" customWidth="1"/>
    <col min="8706" max="8708" width="11.625" style="940" customWidth="1"/>
    <col min="8709" max="8709" width="27.125" style="940" customWidth="1"/>
    <col min="8710" max="8713" width="11.625" style="940" customWidth="1"/>
    <col min="8714" max="8714" width="8.125" style="940" customWidth="1"/>
    <col min="8715" max="8960" width="9" style="940"/>
    <col min="8961" max="8961" width="6.625" style="940" customWidth="1"/>
    <col min="8962" max="8964" width="11.625" style="940" customWidth="1"/>
    <col min="8965" max="8965" width="27.125" style="940" customWidth="1"/>
    <col min="8966" max="8969" width="11.625" style="940" customWidth="1"/>
    <col min="8970" max="8970" width="8.125" style="940" customWidth="1"/>
    <col min="8971" max="9216" width="9" style="940"/>
    <col min="9217" max="9217" width="6.625" style="940" customWidth="1"/>
    <col min="9218" max="9220" width="11.625" style="940" customWidth="1"/>
    <col min="9221" max="9221" width="27.125" style="940" customWidth="1"/>
    <col min="9222" max="9225" width="11.625" style="940" customWidth="1"/>
    <col min="9226" max="9226" width="8.125" style="940" customWidth="1"/>
    <col min="9227" max="9472" width="9" style="940"/>
    <col min="9473" max="9473" width="6.625" style="940" customWidth="1"/>
    <col min="9474" max="9476" width="11.625" style="940" customWidth="1"/>
    <col min="9477" max="9477" width="27.125" style="940" customWidth="1"/>
    <col min="9478" max="9481" width="11.625" style="940" customWidth="1"/>
    <col min="9482" max="9482" width="8.125" style="940" customWidth="1"/>
    <col min="9483" max="9728" width="9" style="940"/>
    <col min="9729" max="9729" width="6.625" style="940" customWidth="1"/>
    <col min="9730" max="9732" width="11.625" style="940" customWidth="1"/>
    <col min="9733" max="9733" width="27.125" style="940" customWidth="1"/>
    <col min="9734" max="9737" width="11.625" style="940" customWidth="1"/>
    <col min="9738" max="9738" width="8.125" style="940" customWidth="1"/>
    <col min="9739" max="9984" width="9" style="940"/>
    <col min="9985" max="9985" width="6.625" style="940" customWidth="1"/>
    <col min="9986" max="9988" width="11.625" style="940" customWidth="1"/>
    <col min="9989" max="9989" width="27.125" style="940" customWidth="1"/>
    <col min="9990" max="9993" width="11.625" style="940" customWidth="1"/>
    <col min="9994" max="9994" width="8.125" style="940" customWidth="1"/>
    <col min="9995" max="10240" width="9" style="940"/>
    <col min="10241" max="10241" width="6.625" style="940" customWidth="1"/>
    <col min="10242" max="10244" width="11.625" style="940" customWidth="1"/>
    <col min="10245" max="10245" width="27.125" style="940" customWidth="1"/>
    <col min="10246" max="10249" width="11.625" style="940" customWidth="1"/>
    <col min="10250" max="10250" width="8.125" style="940" customWidth="1"/>
    <col min="10251" max="10496" width="9" style="940"/>
    <col min="10497" max="10497" width="6.625" style="940" customWidth="1"/>
    <col min="10498" max="10500" width="11.625" style="940" customWidth="1"/>
    <col min="10501" max="10501" width="27.125" style="940" customWidth="1"/>
    <col min="10502" max="10505" width="11.625" style="940" customWidth="1"/>
    <col min="10506" max="10506" width="8.125" style="940" customWidth="1"/>
    <col min="10507" max="10752" width="9" style="940"/>
    <col min="10753" max="10753" width="6.625" style="940" customWidth="1"/>
    <col min="10754" max="10756" width="11.625" style="940" customWidth="1"/>
    <col min="10757" max="10757" width="27.125" style="940" customWidth="1"/>
    <col min="10758" max="10761" width="11.625" style="940" customWidth="1"/>
    <col min="10762" max="10762" width="8.125" style="940" customWidth="1"/>
    <col min="10763" max="11008" width="9" style="940"/>
    <col min="11009" max="11009" width="6.625" style="940" customWidth="1"/>
    <col min="11010" max="11012" width="11.625" style="940" customWidth="1"/>
    <col min="11013" max="11013" width="27.125" style="940" customWidth="1"/>
    <col min="11014" max="11017" width="11.625" style="940" customWidth="1"/>
    <col min="11018" max="11018" width="8.125" style="940" customWidth="1"/>
    <col min="11019" max="11264" width="9" style="940"/>
    <col min="11265" max="11265" width="6.625" style="940" customWidth="1"/>
    <col min="11266" max="11268" width="11.625" style="940" customWidth="1"/>
    <col min="11269" max="11269" width="27.125" style="940" customWidth="1"/>
    <col min="11270" max="11273" width="11.625" style="940" customWidth="1"/>
    <col min="11274" max="11274" width="8.125" style="940" customWidth="1"/>
    <col min="11275" max="11520" width="9" style="940"/>
    <col min="11521" max="11521" width="6.625" style="940" customWidth="1"/>
    <col min="11522" max="11524" width="11.625" style="940" customWidth="1"/>
    <col min="11525" max="11525" width="27.125" style="940" customWidth="1"/>
    <col min="11526" max="11529" width="11.625" style="940" customWidth="1"/>
    <col min="11530" max="11530" width="8.125" style="940" customWidth="1"/>
    <col min="11531" max="11776" width="9" style="940"/>
    <col min="11777" max="11777" width="6.625" style="940" customWidth="1"/>
    <col min="11778" max="11780" width="11.625" style="940" customWidth="1"/>
    <col min="11781" max="11781" width="27.125" style="940" customWidth="1"/>
    <col min="11782" max="11785" width="11.625" style="940" customWidth="1"/>
    <col min="11786" max="11786" width="8.125" style="940" customWidth="1"/>
    <col min="11787" max="12032" width="9" style="940"/>
    <col min="12033" max="12033" width="6.625" style="940" customWidth="1"/>
    <col min="12034" max="12036" width="11.625" style="940" customWidth="1"/>
    <col min="12037" max="12037" width="27.125" style="940" customWidth="1"/>
    <col min="12038" max="12041" width="11.625" style="940" customWidth="1"/>
    <col min="12042" max="12042" width="8.125" style="940" customWidth="1"/>
    <col min="12043" max="12288" width="9" style="940"/>
    <col min="12289" max="12289" width="6.625" style="940" customWidth="1"/>
    <col min="12290" max="12292" width="11.625" style="940" customWidth="1"/>
    <col min="12293" max="12293" width="27.125" style="940" customWidth="1"/>
    <col min="12294" max="12297" width="11.625" style="940" customWidth="1"/>
    <col min="12298" max="12298" width="8.125" style="940" customWidth="1"/>
    <col min="12299" max="12544" width="9" style="940"/>
    <col min="12545" max="12545" width="6.625" style="940" customWidth="1"/>
    <col min="12546" max="12548" width="11.625" style="940" customWidth="1"/>
    <col min="12549" max="12549" width="27.125" style="940" customWidth="1"/>
    <col min="12550" max="12553" width="11.625" style="940" customWidth="1"/>
    <col min="12554" max="12554" width="8.125" style="940" customWidth="1"/>
    <col min="12555" max="12800" width="9" style="940"/>
    <col min="12801" max="12801" width="6.625" style="940" customWidth="1"/>
    <col min="12802" max="12804" width="11.625" style="940" customWidth="1"/>
    <col min="12805" max="12805" width="27.125" style="940" customWidth="1"/>
    <col min="12806" max="12809" width="11.625" style="940" customWidth="1"/>
    <col min="12810" max="12810" width="8.125" style="940" customWidth="1"/>
    <col min="12811" max="13056" width="9" style="940"/>
    <col min="13057" max="13057" width="6.625" style="940" customWidth="1"/>
    <col min="13058" max="13060" width="11.625" style="940" customWidth="1"/>
    <col min="13061" max="13061" width="27.125" style="940" customWidth="1"/>
    <col min="13062" max="13065" width="11.625" style="940" customWidth="1"/>
    <col min="13066" max="13066" width="8.125" style="940" customWidth="1"/>
    <col min="13067" max="13312" width="9" style="940"/>
    <col min="13313" max="13313" width="6.625" style="940" customWidth="1"/>
    <col min="13314" max="13316" width="11.625" style="940" customWidth="1"/>
    <col min="13317" max="13317" width="27.125" style="940" customWidth="1"/>
    <col min="13318" max="13321" width="11.625" style="940" customWidth="1"/>
    <col min="13322" max="13322" width="8.125" style="940" customWidth="1"/>
    <col min="13323" max="13568" width="9" style="940"/>
    <col min="13569" max="13569" width="6.625" style="940" customWidth="1"/>
    <col min="13570" max="13572" width="11.625" style="940" customWidth="1"/>
    <col min="13573" max="13573" width="27.125" style="940" customWidth="1"/>
    <col min="13574" max="13577" width="11.625" style="940" customWidth="1"/>
    <col min="13578" max="13578" width="8.125" style="940" customWidth="1"/>
    <col min="13579" max="13824" width="9" style="940"/>
    <col min="13825" max="13825" width="6.625" style="940" customWidth="1"/>
    <col min="13826" max="13828" width="11.625" style="940" customWidth="1"/>
    <col min="13829" max="13829" width="27.125" style="940" customWidth="1"/>
    <col min="13830" max="13833" width="11.625" style="940" customWidth="1"/>
    <col min="13834" max="13834" width="8.125" style="940" customWidth="1"/>
    <col min="13835" max="14080" width="9" style="940"/>
    <col min="14081" max="14081" width="6.625" style="940" customWidth="1"/>
    <col min="14082" max="14084" width="11.625" style="940" customWidth="1"/>
    <col min="14085" max="14085" width="27.125" style="940" customWidth="1"/>
    <col min="14086" max="14089" width="11.625" style="940" customWidth="1"/>
    <col min="14090" max="14090" width="8.125" style="940" customWidth="1"/>
    <col min="14091" max="14336" width="9" style="940"/>
    <col min="14337" max="14337" width="6.625" style="940" customWidth="1"/>
    <col min="14338" max="14340" width="11.625" style="940" customWidth="1"/>
    <col min="14341" max="14341" width="27.125" style="940" customWidth="1"/>
    <col min="14342" max="14345" width="11.625" style="940" customWidth="1"/>
    <col min="14346" max="14346" width="8.125" style="940" customWidth="1"/>
    <col min="14347" max="14592" width="9" style="940"/>
    <col min="14593" max="14593" width="6.625" style="940" customWidth="1"/>
    <col min="14594" max="14596" width="11.625" style="940" customWidth="1"/>
    <col min="14597" max="14597" width="27.125" style="940" customWidth="1"/>
    <col min="14598" max="14601" width="11.625" style="940" customWidth="1"/>
    <col min="14602" max="14602" width="8.125" style="940" customWidth="1"/>
    <col min="14603" max="14848" width="9" style="940"/>
    <col min="14849" max="14849" width="6.625" style="940" customWidth="1"/>
    <col min="14850" max="14852" width="11.625" style="940" customWidth="1"/>
    <col min="14853" max="14853" width="27.125" style="940" customWidth="1"/>
    <col min="14854" max="14857" width="11.625" style="940" customWidth="1"/>
    <col min="14858" max="14858" width="8.125" style="940" customWidth="1"/>
    <col min="14859" max="15104" width="9" style="940"/>
    <col min="15105" max="15105" width="6.625" style="940" customWidth="1"/>
    <col min="15106" max="15108" width="11.625" style="940" customWidth="1"/>
    <col min="15109" max="15109" width="27.125" style="940" customWidth="1"/>
    <col min="15110" max="15113" width="11.625" style="940" customWidth="1"/>
    <col min="15114" max="15114" width="8.125" style="940" customWidth="1"/>
    <col min="15115" max="15360" width="9" style="940"/>
    <col min="15361" max="15361" width="6.625" style="940" customWidth="1"/>
    <col min="15362" max="15364" width="11.625" style="940" customWidth="1"/>
    <col min="15365" max="15365" width="27.125" style="940" customWidth="1"/>
    <col min="15366" max="15369" width="11.625" style="940" customWidth="1"/>
    <col min="15370" max="15370" width="8.125" style="940" customWidth="1"/>
    <col min="15371" max="15616" width="9" style="940"/>
    <col min="15617" max="15617" width="6.625" style="940" customWidth="1"/>
    <col min="15618" max="15620" width="11.625" style="940" customWidth="1"/>
    <col min="15621" max="15621" width="27.125" style="940" customWidth="1"/>
    <col min="15622" max="15625" width="11.625" style="940" customWidth="1"/>
    <col min="15626" max="15626" width="8.125" style="940" customWidth="1"/>
    <col min="15627" max="15872" width="9" style="940"/>
    <col min="15873" max="15873" width="6.625" style="940" customWidth="1"/>
    <col min="15874" max="15876" width="11.625" style="940" customWidth="1"/>
    <col min="15877" max="15877" width="27.125" style="940" customWidth="1"/>
    <col min="15878" max="15881" width="11.625" style="940" customWidth="1"/>
    <col min="15882" max="15882" width="8.125" style="940" customWidth="1"/>
    <col min="15883" max="16128" width="9" style="940"/>
    <col min="16129" max="16129" width="6.625" style="940" customWidth="1"/>
    <col min="16130" max="16132" width="11.625" style="940" customWidth="1"/>
    <col min="16133" max="16133" width="27.125" style="940" customWidth="1"/>
    <col min="16134" max="16137" width="11.625" style="940" customWidth="1"/>
    <col min="16138" max="16138" width="8.125" style="940" customWidth="1"/>
    <col min="16139" max="16384" width="9" style="940"/>
  </cols>
  <sheetData>
    <row r="1" spans="1:10" ht="17.25">
      <c r="A1" s="939" t="s">
        <v>364</v>
      </c>
    </row>
    <row r="2" spans="1:10" ht="17.25" customHeight="1">
      <c r="A2" s="939"/>
    </row>
    <row r="3" spans="1:10" ht="17.25" customHeight="1" thickBot="1">
      <c r="A3" s="940" t="s">
        <v>365</v>
      </c>
    </row>
    <row r="4" spans="1:10" ht="17.25" customHeight="1">
      <c r="B4" s="940" t="s">
        <v>15</v>
      </c>
      <c r="H4" s="941">
        <f>'短期'!J19</f>
        <v>5423156</v>
      </c>
      <c r="I4" s="940" t="s">
        <v>366</v>
      </c>
    </row>
    <row r="5" spans="1:10" ht="17.25" customHeight="1">
      <c r="B5" s="940" t="s">
        <v>367</v>
      </c>
      <c r="H5" s="942">
        <f>'短期'!J20</f>
        <v>56536</v>
      </c>
      <c r="I5" s="940" t="s">
        <v>366</v>
      </c>
    </row>
    <row r="6" spans="1:10" ht="17.25" customHeight="1">
      <c r="B6" s="940" t="s">
        <v>18</v>
      </c>
      <c r="H6" s="942">
        <f>'短期'!J24</f>
        <v>-1350</v>
      </c>
      <c r="I6" s="940" t="s">
        <v>366</v>
      </c>
    </row>
    <row r="7" spans="1:10" ht="17.25" customHeight="1">
      <c r="B7" s="943" t="s">
        <v>19</v>
      </c>
      <c r="H7" s="942">
        <f>'短期'!J25</f>
        <v>1614509</v>
      </c>
      <c r="I7" s="940" t="s">
        <v>366</v>
      </c>
    </row>
    <row r="8" spans="1:10" ht="17.25" customHeight="1">
      <c r="B8" s="943" t="s">
        <v>20</v>
      </c>
      <c r="H8" s="942">
        <f>'短期'!J26</f>
        <v>2764514</v>
      </c>
      <c r="I8" s="940" t="s">
        <v>366</v>
      </c>
    </row>
    <row r="9" spans="1:10" ht="17.25" customHeight="1">
      <c r="B9" s="943" t="s">
        <v>21</v>
      </c>
      <c r="H9" s="942">
        <f>'短期'!J28</f>
        <v>1</v>
      </c>
      <c r="I9" s="940" t="s">
        <v>366</v>
      </c>
    </row>
    <row r="10" spans="1:10" ht="17.25" customHeight="1">
      <c r="B10" s="940" t="s">
        <v>368</v>
      </c>
      <c r="H10" s="942"/>
      <c r="I10" s="940" t="s">
        <v>366</v>
      </c>
    </row>
    <row r="11" spans="1:10" ht="17.25" customHeight="1">
      <c r="B11" s="940" t="s">
        <v>369</v>
      </c>
      <c r="H11" s="944"/>
      <c r="I11" s="940" t="s">
        <v>366</v>
      </c>
    </row>
    <row r="12" spans="1:10" ht="17.25" customHeight="1">
      <c r="B12" s="940" t="s">
        <v>202</v>
      </c>
      <c r="H12" s="942">
        <f>'短期'!J33+'短期'!J27</f>
        <v>134201</v>
      </c>
      <c r="I12" s="940" t="s">
        <v>366</v>
      </c>
    </row>
    <row r="13" spans="1:10" ht="17.25" customHeight="1">
      <c r="B13" s="945" t="s">
        <v>370</v>
      </c>
      <c r="C13" s="945"/>
      <c r="H13" s="944">
        <f>541725+51526</f>
        <v>593251</v>
      </c>
      <c r="I13" s="940" t="s">
        <v>366</v>
      </c>
    </row>
    <row r="14" spans="1:10" ht="17.25" customHeight="1">
      <c r="B14" s="943" t="s">
        <v>371</v>
      </c>
      <c r="H14" s="942">
        <f>'短期'!J32-'短期'!J32</f>
        <v>0</v>
      </c>
      <c r="I14" s="940" t="s">
        <v>366</v>
      </c>
    </row>
    <row r="15" spans="1:10" ht="17.25" customHeight="1">
      <c r="B15" s="943" t="s">
        <v>22</v>
      </c>
      <c r="H15" s="942">
        <f>'短期'!J30</f>
        <v>10052</v>
      </c>
      <c r="I15" s="940" t="s">
        <v>366</v>
      </c>
    </row>
    <row r="16" spans="1:10" ht="17.25" customHeight="1" thickBot="1">
      <c r="A16" s="946"/>
      <c r="B16" s="947" t="s">
        <v>372</v>
      </c>
      <c r="C16" s="947"/>
      <c r="D16" s="948"/>
      <c r="E16" s="948"/>
      <c r="F16" s="948"/>
      <c r="G16" s="948"/>
      <c r="H16" s="949"/>
      <c r="I16" s="948" t="s">
        <v>366</v>
      </c>
      <c r="J16" s="946"/>
    </row>
    <row r="17" spans="1:10" ht="17.25" customHeight="1">
      <c r="B17" s="940" t="s">
        <v>78</v>
      </c>
      <c r="H17" s="950">
        <f>SUM(H4:H16)</f>
        <v>10594870</v>
      </c>
      <c r="I17" s="951" t="s">
        <v>373</v>
      </c>
    </row>
    <row r="18" spans="1:10" ht="17.25" customHeight="1"/>
    <row r="19" spans="1:10" ht="17.25" customHeight="1" thickBot="1">
      <c r="A19" s="940" t="s">
        <v>374</v>
      </c>
    </row>
    <row r="20" spans="1:10" ht="17.25" customHeight="1">
      <c r="B20" s="940" t="s">
        <v>375</v>
      </c>
      <c r="H20" s="952"/>
      <c r="I20" s="940" t="s">
        <v>366</v>
      </c>
    </row>
    <row r="21" spans="1:10" ht="17.25" customHeight="1">
      <c r="B21" s="940" t="s">
        <v>376</v>
      </c>
      <c r="H21" s="942">
        <f>'短期'!J22</f>
        <v>36321</v>
      </c>
      <c r="I21" s="940" t="s">
        <v>366</v>
      </c>
    </row>
    <row r="22" spans="1:10" ht="17.25" customHeight="1">
      <c r="B22" s="940" t="s">
        <v>377</v>
      </c>
      <c r="H22" s="942">
        <f>'短期'!J21</f>
        <v>65936</v>
      </c>
      <c r="I22" s="940" t="s">
        <v>366</v>
      </c>
    </row>
    <row r="23" spans="1:10" ht="17.25" customHeight="1">
      <c r="B23" s="946" t="s">
        <v>378</v>
      </c>
      <c r="C23" s="946"/>
      <c r="D23" s="946"/>
      <c r="E23" s="946"/>
      <c r="F23" s="946"/>
      <c r="G23" s="946"/>
      <c r="H23" s="942" t="str">
        <f>'[2]表(一)'!$Q$27</f>
        <v/>
      </c>
      <c r="I23" s="946" t="s">
        <v>366</v>
      </c>
      <c r="J23" s="946"/>
    </row>
    <row r="24" spans="1:10" ht="17.25" customHeight="1" thickBot="1">
      <c r="B24" s="953" t="s">
        <v>379</v>
      </c>
      <c r="C24" s="948"/>
      <c r="D24" s="948"/>
      <c r="E24" s="948"/>
      <c r="F24" s="948"/>
      <c r="G24" s="948"/>
      <c r="H24" s="949"/>
      <c r="I24" s="948" t="s">
        <v>366</v>
      </c>
      <c r="J24" s="946"/>
    </row>
    <row r="25" spans="1:10" ht="17.25" customHeight="1">
      <c r="B25" s="951" t="s">
        <v>78</v>
      </c>
      <c r="H25" s="950">
        <f>SUM(H20:H24)</f>
        <v>102257</v>
      </c>
      <c r="I25" s="951" t="s">
        <v>380</v>
      </c>
    </row>
    <row r="26" spans="1:10" ht="17.25" customHeight="1">
      <c r="B26" s="951"/>
      <c r="H26" s="950"/>
      <c r="I26" s="951"/>
    </row>
    <row r="27" spans="1:10" ht="17.25" customHeight="1" thickBot="1">
      <c r="A27" s="940" t="s">
        <v>381</v>
      </c>
    </row>
    <row r="28" spans="1:10" ht="17.25" customHeight="1">
      <c r="B28" s="943" t="s">
        <v>382</v>
      </c>
      <c r="H28" s="952" t="e">
        <f>'短期'!I38+'短期'!I39</f>
        <v>#REF!</v>
      </c>
      <c r="I28" s="940" t="s">
        <v>366</v>
      </c>
    </row>
    <row r="29" spans="1:10" ht="17.25" customHeight="1">
      <c r="B29" s="940" t="s">
        <v>7</v>
      </c>
      <c r="H29" s="942">
        <f>'短期'!J11</f>
        <v>73130</v>
      </c>
      <c r="I29" s="940" t="s">
        <v>366</v>
      </c>
    </row>
    <row r="30" spans="1:10" ht="17.25" customHeight="1">
      <c r="B30" s="943" t="s">
        <v>383</v>
      </c>
      <c r="H30" s="942">
        <v>0</v>
      </c>
      <c r="I30" s="940" t="s">
        <v>366</v>
      </c>
    </row>
    <row r="31" spans="1:10" ht="17.25" customHeight="1">
      <c r="B31" s="940" t="s">
        <v>384</v>
      </c>
      <c r="H31" s="944"/>
      <c r="I31" s="940" t="s">
        <v>366</v>
      </c>
    </row>
    <row r="32" spans="1:10" ht="17.25" customHeight="1">
      <c r="B32" s="940" t="s">
        <v>385</v>
      </c>
      <c r="H32" s="944"/>
      <c r="I32" s="940" t="s">
        <v>366</v>
      </c>
    </row>
    <row r="33" spans="1:10" ht="17.25" customHeight="1">
      <c r="B33" s="940" t="s">
        <v>9</v>
      </c>
      <c r="H33" s="944">
        <f>'短期'!J13</f>
        <v>401</v>
      </c>
      <c r="I33" s="940" t="s">
        <v>366</v>
      </c>
    </row>
    <row r="34" spans="1:10" ht="17.25" customHeight="1">
      <c r="B34" s="940" t="s">
        <v>386</v>
      </c>
      <c r="H34" s="944">
        <f>'短期'!J14</f>
        <v>0</v>
      </c>
      <c r="I34" s="940" t="s">
        <v>366</v>
      </c>
    </row>
    <row r="35" spans="1:10" ht="17.25" customHeight="1">
      <c r="B35" s="940" t="s">
        <v>387</v>
      </c>
      <c r="H35" s="942">
        <v>57327</v>
      </c>
      <c r="I35" s="940" t="s">
        <v>366</v>
      </c>
    </row>
    <row r="36" spans="1:10" ht="17.25" customHeight="1" thickBot="1">
      <c r="B36" s="948" t="s">
        <v>388</v>
      </c>
      <c r="C36" s="948"/>
      <c r="D36" s="948"/>
      <c r="E36" s="948"/>
      <c r="F36" s="948"/>
      <c r="G36" s="948"/>
      <c r="H36" s="949">
        <f>'短期'!J15</f>
        <v>7326</v>
      </c>
      <c r="I36" s="948" t="s">
        <v>366</v>
      </c>
      <c r="J36" s="946"/>
    </row>
    <row r="37" spans="1:10" ht="17.25" customHeight="1">
      <c r="H37" s="950" t="e">
        <f>SUM(H28:H36)</f>
        <v>#REF!</v>
      </c>
      <c r="I37" s="951" t="s">
        <v>389</v>
      </c>
    </row>
    <row r="38" spans="1:10" ht="17.25" customHeight="1">
      <c r="I38" s="951"/>
    </row>
    <row r="39" spans="1:10" ht="17.25" customHeight="1">
      <c r="A39" s="954" t="s">
        <v>390</v>
      </c>
      <c r="B39" s="955"/>
      <c r="C39" s="955"/>
      <c r="D39" s="955"/>
      <c r="E39" s="955"/>
      <c r="H39" s="956">
        <f>H43+H47</f>
        <v>98687901</v>
      </c>
      <c r="I39" s="940" t="s">
        <v>391</v>
      </c>
    </row>
    <row r="40" spans="1:10" ht="17.25" customHeight="1" thickBot="1"/>
    <row r="41" spans="1:10" ht="17.25" customHeight="1">
      <c r="B41" s="954" t="s">
        <v>231</v>
      </c>
      <c r="C41" s="955"/>
      <c r="D41" s="955"/>
      <c r="E41" s="955"/>
      <c r="H41" s="957">
        <v>79006216</v>
      </c>
      <c r="I41" s="940" t="s">
        <v>392</v>
      </c>
    </row>
    <row r="42" spans="1:10" ht="17.25" customHeight="1" thickBot="1">
      <c r="C42" s="943" t="s">
        <v>393</v>
      </c>
      <c r="H42" s="958">
        <v>2659553</v>
      </c>
      <c r="I42" s="940" t="s">
        <v>394</v>
      </c>
    </row>
    <row r="43" spans="1:10" ht="17.25" customHeight="1">
      <c r="C43" s="943" t="s">
        <v>395</v>
      </c>
      <c r="H43" s="950">
        <f>ROUNDDOWN(H41-H42,0)</f>
        <v>76346663</v>
      </c>
      <c r="I43" s="940" t="s">
        <v>396</v>
      </c>
    </row>
    <row r="44" spans="1:10" ht="17.25" customHeight="1" thickBot="1"/>
    <row r="45" spans="1:10" ht="17.25" customHeight="1">
      <c r="B45" s="954" t="s">
        <v>397</v>
      </c>
      <c r="C45" s="955"/>
      <c r="D45" s="955"/>
      <c r="E45" s="955"/>
      <c r="H45" s="957">
        <v>22600369</v>
      </c>
      <c r="I45" s="943" t="s">
        <v>398</v>
      </c>
    </row>
    <row r="46" spans="1:10" ht="17.25" customHeight="1" thickBot="1">
      <c r="C46" s="943" t="s">
        <v>399</v>
      </c>
      <c r="H46" s="958">
        <v>259131</v>
      </c>
      <c r="I46" s="943" t="s">
        <v>400</v>
      </c>
    </row>
    <row r="47" spans="1:10" ht="17.25" customHeight="1">
      <c r="C47" s="943" t="s">
        <v>401</v>
      </c>
      <c r="H47" s="950">
        <f>ROUNDDOWN((H45-H46),0)</f>
        <v>22341238</v>
      </c>
      <c r="I47" s="940" t="s">
        <v>402</v>
      </c>
    </row>
    <row r="48" spans="1:10" ht="17.25" customHeight="1"/>
    <row r="49" spans="1:10" ht="17.25" customHeight="1">
      <c r="A49" s="954" t="s">
        <v>403</v>
      </c>
      <c r="B49" s="955"/>
      <c r="C49" s="955"/>
      <c r="D49" s="955"/>
      <c r="E49" s="955"/>
    </row>
    <row r="50" spans="1:10" ht="17.25" customHeight="1"/>
    <row r="51" spans="1:10" ht="17.25" customHeight="1">
      <c r="B51" s="959">
        <f>H17</f>
        <v>10594870</v>
      </c>
      <c r="C51" s="948" t="s">
        <v>373</v>
      </c>
      <c r="D51" s="960" t="s">
        <v>404</v>
      </c>
      <c r="E51" s="959">
        <f>H25</f>
        <v>102257</v>
      </c>
      <c r="F51" s="948" t="s">
        <v>380</v>
      </c>
      <c r="G51" s="960" t="s">
        <v>405</v>
      </c>
      <c r="H51" s="959" t="e">
        <f>H37</f>
        <v>#REF!</v>
      </c>
      <c r="I51" s="948" t="s">
        <v>389</v>
      </c>
      <c r="J51" s="946"/>
    </row>
    <row r="52" spans="1:10" ht="17.25" customHeight="1">
      <c r="F52" s="956">
        <f>H39</f>
        <v>98687901</v>
      </c>
      <c r="G52" s="940" t="s">
        <v>391</v>
      </c>
    </row>
    <row r="53" spans="1:10" ht="17.25" customHeight="1" thickBot="1"/>
    <row r="54" spans="1:10" ht="17.25" customHeight="1" thickBot="1">
      <c r="B54" s="940" t="s">
        <v>406</v>
      </c>
      <c r="C54" s="961" t="s">
        <v>407</v>
      </c>
      <c r="D54" s="962" t="e">
        <f>(B51+E51-H51)/F52*1000</f>
        <v>#REF!</v>
      </c>
      <c r="E54" s="963" t="s">
        <v>408</v>
      </c>
      <c r="F54" s="961" t="s">
        <v>409</v>
      </c>
      <c r="G54" s="964"/>
      <c r="H54" s="965" t="s">
        <v>410</v>
      </c>
    </row>
    <row r="55" spans="1:10" ht="17.25" customHeight="1">
      <c r="C55" s="961"/>
      <c r="D55" s="966"/>
      <c r="E55" s="967"/>
      <c r="F55" s="961"/>
      <c r="G55" s="968"/>
      <c r="H55" s="969"/>
    </row>
    <row r="56" spans="1:10" ht="17.25" customHeight="1">
      <c r="C56" s="961"/>
      <c r="D56" s="966"/>
      <c r="E56" s="967"/>
      <c r="F56" s="961"/>
      <c r="G56" s="968"/>
      <c r="H56" s="969"/>
    </row>
    <row r="57" spans="1:10" ht="17.25" customHeight="1"/>
    <row r="58" spans="1:10" ht="17.25" customHeight="1">
      <c r="A58" s="940" t="s">
        <v>411</v>
      </c>
    </row>
    <row r="59" spans="1:10" ht="17.25" customHeight="1"/>
    <row r="60" spans="1:10" ht="17.25" customHeight="1">
      <c r="A60" s="970" t="s">
        <v>412</v>
      </c>
    </row>
    <row r="61" spans="1:10" ht="17.25" customHeight="1">
      <c r="B61" s="948"/>
      <c r="C61" s="971">
        <f>H17</f>
        <v>10594870</v>
      </c>
      <c r="D61" s="948" t="s">
        <v>373</v>
      </c>
      <c r="E61" s="960" t="s">
        <v>405</v>
      </c>
      <c r="F61" s="971" t="e">
        <f>IF(H28&lt;0,H37-H28,H37)</f>
        <v>#REF!</v>
      </c>
      <c r="G61" s="948" t="s">
        <v>389</v>
      </c>
      <c r="H61" s="948"/>
      <c r="I61" s="948"/>
    </row>
    <row r="62" spans="1:10" ht="17.25" customHeight="1">
      <c r="E62" s="950">
        <f>H39</f>
        <v>98687901</v>
      </c>
      <c r="F62" s="940" t="s">
        <v>391</v>
      </c>
    </row>
    <row r="63" spans="1:10" ht="17.25" customHeight="1"/>
    <row r="64" spans="1:10" ht="17.25" customHeight="1">
      <c r="B64" s="940" t="s">
        <v>413</v>
      </c>
      <c r="C64" s="961" t="s">
        <v>407</v>
      </c>
      <c r="D64" s="972" t="e">
        <f>(C61-F61)/E62*1000</f>
        <v>#REF!</v>
      </c>
      <c r="E64" s="961" t="s">
        <v>409</v>
      </c>
      <c r="F64" s="973" t="e">
        <f>ROUNDUP(D64,2)</f>
        <v>#REF!</v>
      </c>
      <c r="G64" s="965" t="s">
        <v>414</v>
      </c>
      <c r="H64" s="940" t="s">
        <v>415</v>
      </c>
    </row>
    <row r="65" spans="1:9" ht="17.25" customHeight="1"/>
    <row r="66" spans="1:9" ht="17.25" customHeight="1" thickBot="1">
      <c r="A66" s="970" t="s">
        <v>416</v>
      </c>
    </row>
    <row r="67" spans="1:9" ht="17.25" customHeight="1" thickBot="1">
      <c r="A67" s="974"/>
      <c r="B67" s="975">
        <v>50</v>
      </c>
      <c r="C67" s="970" t="s">
        <v>408</v>
      </c>
    </row>
    <row r="68" spans="1:9" ht="17.25" customHeight="1">
      <c r="B68" s="943"/>
    </row>
    <row r="69" spans="1:9" ht="17.25" customHeight="1">
      <c r="C69" s="954" t="s">
        <v>417</v>
      </c>
      <c r="D69" s="955"/>
      <c r="F69" s="976" t="e">
        <f>F64/2</f>
        <v>#REF!</v>
      </c>
      <c r="G69" s="943" t="s">
        <v>418</v>
      </c>
      <c r="H69" s="977"/>
      <c r="I69" s="943"/>
    </row>
    <row r="70" spans="1:9" ht="17.25" customHeight="1">
      <c r="C70" s="955" t="s">
        <v>419</v>
      </c>
      <c r="D70" s="955"/>
    </row>
    <row r="71" spans="1:9" ht="17.25" customHeight="1">
      <c r="C71" s="954" t="str">
        <f>"（Ｇ）－調整基準率（"&amp;TEXT(B67,"0.00")&amp;"‰）＝"</f>
        <v>（Ｇ）－調整基準率（50.00‰）＝</v>
      </c>
      <c r="D71" s="955"/>
      <c r="F71" s="978" t="e">
        <f>IF((F69-B67)&gt;B80-B67,B80-B67,(F69-B67))</f>
        <v>#REF!</v>
      </c>
      <c r="G71" s="955" t="str">
        <f>"‰（上限"&amp;TEXT(B80-B67,"0.00")&amp;"‰）"</f>
        <v>‰（上限1.00‰）</v>
      </c>
    </row>
    <row r="72" spans="1:9" ht="17.25" customHeight="1" thickBot="1">
      <c r="C72" s="955" t="s">
        <v>420</v>
      </c>
      <c r="D72" s="955"/>
      <c r="F72" s="979" t="s">
        <v>421</v>
      </c>
    </row>
    <row r="73" spans="1:9" ht="17.25" customHeight="1" thickBot="1">
      <c r="B73" s="980" t="s">
        <v>422</v>
      </c>
      <c r="C73" s="950">
        <f>H39</f>
        <v>98687901</v>
      </c>
      <c r="D73" s="943" t="s">
        <v>423</v>
      </c>
      <c r="E73" s="961" t="s">
        <v>405</v>
      </c>
      <c r="F73" s="981"/>
      <c r="G73" s="940" t="s">
        <v>424</v>
      </c>
    </row>
    <row r="74" spans="1:9" ht="17.25" customHeight="1">
      <c r="B74" s="980" t="s">
        <v>425</v>
      </c>
      <c r="C74" s="978" t="e">
        <f>F71</f>
        <v>#REF!</v>
      </c>
      <c r="D74" s="940" t="s">
        <v>426</v>
      </c>
      <c r="E74" s="961" t="s">
        <v>407</v>
      </c>
      <c r="F74" s="982" t="e">
        <f>ROUNDDOWN((C73-F73)*F71/1000,0)</f>
        <v>#REF!</v>
      </c>
      <c r="G74" s="943" t="s">
        <v>366</v>
      </c>
    </row>
    <row r="75" spans="1:9" ht="17.25" customHeight="1"/>
    <row r="76" spans="1:9" ht="17.25" customHeight="1"/>
    <row r="77" spans="1:9" ht="17.25" customHeight="1">
      <c r="A77" s="940" t="s">
        <v>427</v>
      </c>
    </row>
    <row r="78" spans="1:9" ht="17.25" customHeight="1"/>
    <row r="79" spans="1:9" ht="17.25" customHeight="1" thickBot="1">
      <c r="A79" s="970" t="s">
        <v>428</v>
      </c>
    </row>
    <row r="80" spans="1:9" ht="17.25" customHeight="1" thickBot="1">
      <c r="A80" s="974"/>
      <c r="B80" s="975">
        <v>51</v>
      </c>
      <c r="C80" s="970" t="s">
        <v>408</v>
      </c>
    </row>
    <row r="81" spans="1:8" ht="17.25" customHeight="1"/>
    <row r="82" spans="1:8" ht="17.25" customHeight="1">
      <c r="B82" s="955" t="s">
        <v>429</v>
      </c>
      <c r="C82" s="955"/>
      <c r="D82" s="955"/>
    </row>
    <row r="83" spans="1:8" ht="17.25" customHeight="1">
      <c r="B83" s="954" t="str">
        <f>"（G）－特別調整基準率（"&amp;TEXT(B80,"0.00")&amp;"‰）"</f>
        <v>（G）－特別調整基準率（51.00‰）</v>
      </c>
      <c r="C83" s="955"/>
      <c r="D83" s="955"/>
      <c r="E83" s="961" t="s">
        <v>407</v>
      </c>
      <c r="F83" s="983" t="e">
        <f>IF((F69-B80)&lt;0,0,(F69-B80))</f>
        <v>#REF!</v>
      </c>
      <c r="G83" s="940" t="s">
        <v>408</v>
      </c>
    </row>
    <row r="84" spans="1:8" ht="17.25" customHeight="1">
      <c r="B84" s="955" t="s">
        <v>430</v>
      </c>
      <c r="C84" s="955"/>
      <c r="D84" s="955"/>
    </row>
    <row r="85" spans="1:8" ht="17.25" customHeight="1">
      <c r="B85" s="950">
        <f>H39</f>
        <v>98687901</v>
      </c>
      <c r="C85" s="943" t="s">
        <v>431</v>
      </c>
      <c r="D85" s="983" t="e">
        <f>F83</f>
        <v>#REF!</v>
      </c>
      <c r="E85" s="940" t="s">
        <v>432</v>
      </c>
      <c r="F85" s="961" t="s">
        <v>407</v>
      </c>
      <c r="G85" s="982" t="e">
        <f>ROUNDDOWN(B85*F83/1000,0)</f>
        <v>#REF!</v>
      </c>
      <c r="H85" s="943" t="s">
        <v>366</v>
      </c>
    </row>
    <row r="86" spans="1:8" ht="17.25" customHeight="1"/>
    <row r="87" spans="1:8" ht="17.25" customHeight="1"/>
    <row r="88" spans="1:8" ht="17.25" customHeight="1">
      <c r="A88" s="940" t="s">
        <v>433</v>
      </c>
    </row>
    <row r="89" spans="1:8" ht="17.25" customHeight="1">
      <c r="B89" s="984"/>
      <c r="C89" s="943" t="s">
        <v>434</v>
      </c>
      <c r="E89" s="985">
        <f>G54</f>
        <v>0</v>
      </c>
      <c r="F89" s="940" t="s">
        <v>408</v>
      </c>
    </row>
    <row r="90" spans="1:8" ht="17.25" customHeight="1">
      <c r="C90" s="940" t="s">
        <v>435</v>
      </c>
      <c r="E90" s="986">
        <f>E89/2</f>
        <v>0</v>
      </c>
      <c r="F90" s="940" t="s">
        <v>408</v>
      </c>
    </row>
    <row r="91" spans="1:8" ht="17.25" customHeight="1">
      <c r="C91" s="940" t="s">
        <v>436</v>
      </c>
      <c r="E91" s="987" t="e">
        <f>E90-E92-E93</f>
        <v>#REF!</v>
      </c>
      <c r="F91" s="940" t="s">
        <v>408</v>
      </c>
    </row>
    <row r="92" spans="1:8" ht="17.25" customHeight="1">
      <c r="C92" s="940" t="s">
        <v>419</v>
      </c>
      <c r="E92" s="988" t="e">
        <f>F71</f>
        <v>#REF!</v>
      </c>
      <c r="F92" s="940" t="s">
        <v>408</v>
      </c>
    </row>
    <row r="93" spans="1:8" ht="17.25" customHeight="1">
      <c r="C93" s="940" t="s">
        <v>429</v>
      </c>
      <c r="E93" s="988" t="e">
        <f>F83</f>
        <v>#REF!</v>
      </c>
      <c r="F93" s="940" t="s">
        <v>408</v>
      </c>
    </row>
    <row r="94" spans="1:8">
      <c r="E94" s="955"/>
    </row>
  </sheetData>
  <phoneticPr fontId="2"/>
  <printOptions horizontalCentered="1"/>
  <pageMargins left="0.59055118110236227" right="0.39370078740157483" top="0.78740157480314965" bottom="0.78740157480314965" header="0.51181102362204722" footer="0.51181102362204722"/>
  <pageSetup paperSize="9" scale="71" orientation="portrait" cellComments="asDisplayed" horizontalDpi="300" verticalDpi="300" r:id="rId1"/>
  <headerFooter alignWithMargins="0"/>
  <rowBreaks count="1" manualBreakCount="1">
    <brk id="57" max="8" man="1"/>
  </rowBreaks>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A1:L57"/>
  <sheetViews>
    <sheetView view="pageBreakPreview" zoomScale="87" zoomScaleNormal="100" zoomScaleSheetLayoutView="87" workbookViewId="0">
      <pane xSplit="3" ySplit="6" topLeftCell="E7" activePane="bottomRight" state="frozen"/>
      <selection activeCell="M18" sqref="M18:P18"/>
      <selection pane="topRight" activeCell="M18" sqref="M18:P18"/>
      <selection pane="bottomLeft" activeCell="M18" sqref="M18:P18"/>
      <selection pane="bottomRight" activeCell="M18" sqref="M18:P18"/>
    </sheetView>
  </sheetViews>
  <sheetFormatPr defaultRowHeight="18.75"/>
  <cols>
    <col min="1" max="2" width="6.125" style="7" customWidth="1"/>
    <col min="3" max="3" width="30.25" style="7" customWidth="1"/>
    <col min="4" max="11" width="18.375" customWidth="1"/>
    <col min="12" max="12" width="27" style="33" customWidth="1"/>
  </cols>
  <sheetData>
    <row r="1" spans="1:12" ht="21.75" thickBot="1">
      <c r="A1" s="89" t="s">
        <v>32</v>
      </c>
      <c r="B1" s="8"/>
      <c r="C1" s="9"/>
      <c r="J1" s="2239"/>
      <c r="K1" s="2239"/>
      <c r="L1" s="2239"/>
    </row>
    <row r="2" spans="1:12" ht="14.25" customHeight="1" thickBot="1">
      <c r="A2" s="10"/>
      <c r="B2" s="8"/>
      <c r="C2" s="9"/>
      <c r="F2" s="195" t="s">
        <v>134</v>
      </c>
      <c r="G2" s="183" t="s">
        <v>133</v>
      </c>
    </row>
    <row r="3" spans="1:12" s="5" customFormat="1" ht="18.75" customHeight="1">
      <c r="A3" s="2224" t="s">
        <v>0</v>
      </c>
      <c r="B3" s="2225"/>
      <c r="C3" s="2226"/>
      <c r="D3" s="2189" t="s">
        <v>347</v>
      </c>
      <c r="E3" s="2190" t="s">
        <v>348</v>
      </c>
      <c r="F3" s="2194" t="s">
        <v>343</v>
      </c>
      <c r="G3" s="2194" t="s">
        <v>31</v>
      </c>
      <c r="H3" s="2214" t="s">
        <v>344</v>
      </c>
      <c r="I3" s="2196" t="s">
        <v>349</v>
      </c>
      <c r="J3" s="2194" t="s">
        <v>350</v>
      </c>
      <c r="K3" s="2194" t="s">
        <v>126</v>
      </c>
      <c r="L3" s="2255" t="s">
        <v>114</v>
      </c>
    </row>
    <row r="4" spans="1:12" s="5" customFormat="1" ht="18.75" customHeight="1" thickBot="1">
      <c r="A4" s="2227"/>
      <c r="B4" s="2228"/>
      <c r="C4" s="2229"/>
      <c r="D4" s="2191"/>
      <c r="E4" s="2192"/>
      <c r="F4" s="2195"/>
      <c r="G4" s="2195"/>
      <c r="H4" s="2215"/>
      <c r="I4" s="2197"/>
      <c r="J4" s="2195"/>
      <c r="K4" s="2195"/>
      <c r="L4" s="2256"/>
    </row>
    <row r="5" spans="1:12" ht="36" customHeight="1" thickTop="1">
      <c r="A5" s="2216" t="s">
        <v>107</v>
      </c>
      <c r="B5" s="2217"/>
      <c r="C5" s="2217"/>
      <c r="D5" s="97">
        <v>1.3</v>
      </c>
      <c r="E5" s="45">
        <v>1.3</v>
      </c>
      <c r="F5" s="45">
        <v>1.3</v>
      </c>
      <c r="G5" s="46">
        <v>1.7</v>
      </c>
      <c r="H5" s="149">
        <f>'R8掛金（短期）'!L12+'R8掛金（短期）'!L13</f>
        <v>2.1</v>
      </c>
      <c r="I5" s="150">
        <f>H5</f>
        <v>2.1</v>
      </c>
      <c r="J5" s="150">
        <f>I5</f>
        <v>2.1</v>
      </c>
      <c r="K5" s="150">
        <f>J5</f>
        <v>2.1</v>
      </c>
      <c r="L5" s="98" t="s">
        <v>116</v>
      </c>
    </row>
    <row r="6" spans="1:12" ht="19.5" thickBot="1">
      <c r="A6" s="2211" t="s">
        <v>117</v>
      </c>
      <c r="B6" s="2212"/>
      <c r="C6" s="2212"/>
      <c r="D6" s="99">
        <f>D5-1.3</f>
        <v>0</v>
      </c>
      <c r="E6" s="48">
        <f>E5-D5</f>
        <v>0</v>
      </c>
      <c r="F6" s="48">
        <f>F5-E5</f>
        <v>0</v>
      </c>
      <c r="G6" s="49">
        <f>G5-F5</f>
        <v>0.39999999999999991</v>
      </c>
      <c r="H6" s="49">
        <f>H5-G5</f>
        <v>0.40000000000000013</v>
      </c>
      <c r="I6" s="49">
        <f t="shared" ref="I6:K6" si="0">I5-H5</f>
        <v>0</v>
      </c>
      <c r="J6" s="49">
        <f t="shared" si="0"/>
        <v>0</v>
      </c>
      <c r="K6" s="49">
        <f t="shared" si="0"/>
        <v>0</v>
      </c>
      <c r="L6" s="100"/>
    </row>
    <row r="7" spans="1:12" s="5" customFormat="1" ht="28.5" customHeight="1">
      <c r="A7" s="2221" t="s">
        <v>124</v>
      </c>
      <c r="B7" s="2230" t="s">
        <v>119</v>
      </c>
      <c r="C7" s="90" t="s">
        <v>1</v>
      </c>
      <c r="D7" s="196">
        <v>104634</v>
      </c>
      <c r="E7" s="197">
        <v>104672</v>
      </c>
      <c r="F7" s="197">
        <v>115398</v>
      </c>
      <c r="G7" s="201">
        <f>'R7掛金（短期）'!N133+'R7掛金（短期）'!N148</f>
        <v>222134</v>
      </c>
      <c r="H7" s="209">
        <f>'R8掛金（短期）'!N133+'R8掛金（短期）'!N148</f>
        <v>224002</v>
      </c>
      <c r="I7" s="209">
        <f t="shared" ref="I7:K8" si="1">H7</f>
        <v>224002</v>
      </c>
      <c r="J7" s="201">
        <f t="shared" si="1"/>
        <v>224002</v>
      </c>
      <c r="K7" s="201">
        <f t="shared" si="1"/>
        <v>224002</v>
      </c>
      <c r="L7" s="2237"/>
    </row>
    <row r="8" spans="1:12" s="5" customFormat="1" ht="28.5" customHeight="1">
      <c r="A8" s="2222"/>
      <c r="B8" s="2231"/>
      <c r="C8" s="91" t="s">
        <v>2</v>
      </c>
      <c r="D8" s="198">
        <f>103839+1</f>
        <v>103840</v>
      </c>
      <c r="E8" s="191">
        <v>103594</v>
      </c>
      <c r="F8" s="191">
        <v>114276</v>
      </c>
      <c r="G8" s="202">
        <f>'R7掛金（短期）'!F133</f>
        <v>218548</v>
      </c>
      <c r="H8" s="182">
        <f>'R8掛金（短期）'!F133</f>
        <v>220423</v>
      </c>
      <c r="I8" s="182">
        <f t="shared" si="1"/>
        <v>220423</v>
      </c>
      <c r="J8" s="202">
        <f t="shared" si="1"/>
        <v>220423</v>
      </c>
      <c r="K8" s="202">
        <f t="shared" si="1"/>
        <v>220423</v>
      </c>
      <c r="L8" s="2238"/>
    </row>
    <row r="9" spans="1:12" s="5" customFormat="1" ht="28.5" customHeight="1" thickBot="1">
      <c r="A9" s="2222"/>
      <c r="B9" s="2232"/>
      <c r="C9" s="179"/>
      <c r="D9" s="112">
        <f>SUM(D7:D8)</f>
        <v>208474</v>
      </c>
      <c r="E9" s="113">
        <f>SUM(E7:E8)</f>
        <v>208266</v>
      </c>
      <c r="F9" s="113">
        <f>SUM(F7:F8)</f>
        <v>229674</v>
      </c>
      <c r="G9" s="113">
        <f>SUM(G7:G8)</f>
        <v>440682</v>
      </c>
      <c r="H9" s="114">
        <f t="shared" ref="H9" si="2">SUM(H7:H8)</f>
        <v>444425</v>
      </c>
      <c r="I9" s="114">
        <f t="shared" ref="I9" si="3">SUM(I7:I8)</f>
        <v>444425</v>
      </c>
      <c r="J9" s="113">
        <f>SUM(J7:J8)</f>
        <v>444425</v>
      </c>
      <c r="K9" s="113">
        <f>SUM(K7:K8)</f>
        <v>444425</v>
      </c>
      <c r="L9" s="180"/>
    </row>
    <row r="10" spans="1:12" s="5" customFormat="1" ht="28.5" customHeight="1">
      <c r="A10" s="2222"/>
      <c r="B10" s="2233" t="s">
        <v>58</v>
      </c>
      <c r="C10" s="90" t="s">
        <v>33</v>
      </c>
      <c r="D10" s="196">
        <v>1139</v>
      </c>
      <c r="E10" s="197">
        <v>865</v>
      </c>
      <c r="F10" s="197">
        <v>1682</v>
      </c>
      <c r="G10" s="938">
        <v>2261</v>
      </c>
      <c r="H10" s="910">
        <v>0</v>
      </c>
      <c r="I10" s="910">
        <f>H10</f>
        <v>0</v>
      </c>
      <c r="J10" s="911">
        <f>I10</f>
        <v>0</v>
      </c>
      <c r="K10" s="911">
        <f>J10</f>
        <v>0</v>
      </c>
      <c r="L10" s="101"/>
    </row>
    <row r="11" spans="1:12" s="5" customFormat="1" ht="28.5" customHeight="1">
      <c r="A11" s="2222"/>
      <c r="B11" s="2234"/>
      <c r="C11" s="91" t="s">
        <v>10</v>
      </c>
      <c r="D11" s="199">
        <v>1000</v>
      </c>
      <c r="E11" s="200">
        <v>0</v>
      </c>
      <c r="F11" s="200">
        <v>0</v>
      </c>
      <c r="G11" s="158">
        <v>0</v>
      </c>
      <c r="H11" s="157">
        <v>0</v>
      </c>
      <c r="I11" s="157">
        <f>H11</f>
        <v>0</v>
      </c>
      <c r="J11" s="158">
        <v>0</v>
      </c>
      <c r="K11" s="158">
        <v>0</v>
      </c>
      <c r="L11" s="103"/>
    </row>
    <row r="12" spans="1:12" s="5" customFormat="1" ht="28.5" customHeight="1">
      <c r="A12" s="2222"/>
      <c r="B12" s="2234"/>
      <c r="C12" s="92" t="s">
        <v>34</v>
      </c>
      <c r="D12" s="198">
        <v>103820</v>
      </c>
      <c r="E12" s="191">
        <f>105851</f>
        <v>105851</v>
      </c>
      <c r="F12" s="191">
        <f>130656+1</f>
        <v>130657</v>
      </c>
      <c r="G12" s="202">
        <v>197234</v>
      </c>
      <c r="H12" s="156">
        <f>G12</f>
        <v>197234</v>
      </c>
      <c r="I12" s="156">
        <f>H12</f>
        <v>197234</v>
      </c>
      <c r="J12" s="155">
        <f>I12</f>
        <v>197234</v>
      </c>
      <c r="K12" s="155">
        <f>J12</f>
        <v>197234</v>
      </c>
      <c r="L12" s="104"/>
    </row>
    <row r="13" spans="1:12" s="5" customFormat="1" ht="28.5" customHeight="1">
      <c r="A13" s="2222"/>
      <c r="B13" s="2234"/>
      <c r="C13" s="92" t="s">
        <v>35</v>
      </c>
      <c r="D13" s="198">
        <v>0</v>
      </c>
      <c r="E13" s="191">
        <v>0</v>
      </c>
      <c r="F13" s="191">
        <v>0</v>
      </c>
      <c r="G13" s="155">
        <v>0</v>
      </c>
      <c r="H13" s="156">
        <v>0</v>
      </c>
      <c r="I13" s="156">
        <v>0</v>
      </c>
      <c r="J13" s="155">
        <v>0</v>
      </c>
      <c r="K13" s="155">
        <v>0</v>
      </c>
      <c r="L13" s="104"/>
    </row>
    <row r="14" spans="1:12" s="5" customFormat="1" ht="28.5" customHeight="1">
      <c r="A14" s="2222"/>
      <c r="B14" s="2234"/>
      <c r="C14" s="91" t="s">
        <v>36</v>
      </c>
      <c r="D14" s="199">
        <v>351</v>
      </c>
      <c r="E14" s="200">
        <f>307</f>
        <v>307</v>
      </c>
      <c r="F14" s="200">
        <v>146</v>
      </c>
      <c r="G14" s="203">
        <v>0</v>
      </c>
      <c r="H14" s="157">
        <f>G14</f>
        <v>0</v>
      </c>
      <c r="I14" s="157">
        <f>H14</f>
        <v>0</v>
      </c>
      <c r="J14" s="158">
        <f>I14</f>
        <v>0</v>
      </c>
      <c r="K14" s="158">
        <f>J14</f>
        <v>0</v>
      </c>
      <c r="L14" s="103"/>
    </row>
    <row r="15" spans="1:12" s="5" customFormat="1" ht="28.5" customHeight="1">
      <c r="A15" s="2222"/>
      <c r="B15" s="2234"/>
      <c r="C15" s="93" t="s">
        <v>11</v>
      </c>
      <c r="D15" s="199">
        <v>0</v>
      </c>
      <c r="E15" s="200">
        <v>150</v>
      </c>
      <c r="F15" s="200">
        <v>0</v>
      </c>
      <c r="G15" s="158">
        <v>0</v>
      </c>
      <c r="H15" s="157">
        <v>0</v>
      </c>
      <c r="I15" s="157">
        <v>0</v>
      </c>
      <c r="J15" s="158">
        <v>0</v>
      </c>
      <c r="K15" s="158">
        <v>0</v>
      </c>
      <c r="L15" s="103"/>
    </row>
    <row r="16" spans="1:12" s="5" customFormat="1" ht="28.5" customHeight="1" thickBot="1">
      <c r="A16" s="2222"/>
      <c r="B16" s="2232"/>
      <c r="C16" s="94"/>
      <c r="D16" s="105">
        <f>SUM(D10:D15)</f>
        <v>106310</v>
      </c>
      <c r="E16" s="106">
        <f>SUM(E10:E15)</f>
        <v>107173</v>
      </c>
      <c r="F16" s="106">
        <f>SUM(F10:F15)</f>
        <v>132485</v>
      </c>
      <c r="G16" s="106">
        <f t="shared" ref="G16:H16" si="4">SUM(G10:G15)</f>
        <v>199495</v>
      </c>
      <c r="H16" s="107">
        <f t="shared" si="4"/>
        <v>197234</v>
      </c>
      <c r="I16" s="107">
        <f t="shared" ref="I16" si="5">SUM(I10:I15)</f>
        <v>197234</v>
      </c>
      <c r="J16" s="106">
        <f>SUM(J10:J15)</f>
        <v>197234</v>
      </c>
      <c r="K16" s="106">
        <f>SUM(K10:K15)</f>
        <v>197234</v>
      </c>
      <c r="L16" s="102"/>
    </row>
    <row r="17" spans="1:12" s="5" customFormat="1" ht="28.5" customHeight="1" thickBot="1">
      <c r="A17" s="2223"/>
      <c r="B17" s="2235" t="s">
        <v>12</v>
      </c>
      <c r="C17" s="2236"/>
      <c r="D17" s="108">
        <f>D9+D16</f>
        <v>314784</v>
      </c>
      <c r="E17" s="109">
        <f>E9+E16</f>
        <v>315439</v>
      </c>
      <c r="F17" s="109">
        <f>F9+F16</f>
        <v>362159</v>
      </c>
      <c r="G17" s="109">
        <f t="shared" ref="G17" si="6">G9+G16</f>
        <v>640177</v>
      </c>
      <c r="H17" s="110">
        <f>H9+H16</f>
        <v>641659</v>
      </c>
      <c r="I17" s="110">
        <f t="shared" ref="I17" si="7">I9+I16</f>
        <v>641659</v>
      </c>
      <c r="J17" s="109">
        <f>J9+J16</f>
        <v>641659</v>
      </c>
      <c r="K17" s="109">
        <f>K9+K16</f>
        <v>641659</v>
      </c>
      <c r="L17" s="111"/>
    </row>
    <row r="18" spans="1:12" s="5" customFormat="1" ht="28.5" customHeight="1">
      <c r="A18" s="2221" t="s">
        <v>13</v>
      </c>
      <c r="B18" s="2249" t="s">
        <v>37</v>
      </c>
      <c r="C18" s="90" t="s">
        <v>57</v>
      </c>
      <c r="D18" s="199">
        <v>242197</v>
      </c>
      <c r="E18" s="200">
        <f>249333-1</f>
        <v>249332</v>
      </c>
      <c r="F18" s="200">
        <f>315255</f>
        <v>315255</v>
      </c>
      <c r="G18" s="203">
        <f>428914+39106+3</f>
        <v>468023</v>
      </c>
      <c r="H18" s="989">
        <f>422056+39140+8</f>
        <v>461204</v>
      </c>
      <c r="I18" s="157">
        <f t="shared" ref="I18:I20" si="8">H18</f>
        <v>461204</v>
      </c>
      <c r="J18" s="158">
        <f t="shared" ref="J18:K20" si="9">I18</f>
        <v>461204</v>
      </c>
      <c r="K18" s="158">
        <f t="shared" si="9"/>
        <v>461204</v>
      </c>
      <c r="L18" s="58"/>
    </row>
    <row r="19" spans="1:12" s="5" customFormat="1" ht="28.5" customHeight="1">
      <c r="A19" s="2222"/>
      <c r="B19" s="2231"/>
      <c r="C19" s="91" t="s">
        <v>38</v>
      </c>
      <c r="D19" s="199">
        <v>9649</v>
      </c>
      <c r="E19" s="200">
        <v>9739</v>
      </c>
      <c r="F19" s="200">
        <v>11250</v>
      </c>
      <c r="G19" s="203">
        <v>13263</v>
      </c>
      <c r="H19" s="989">
        <v>16188</v>
      </c>
      <c r="I19" s="157">
        <f t="shared" si="8"/>
        <v>16188</v>
      </c>
      <c r="J19" s="158">
        <f t="shared" si="9"/>
        <v>16188</v>
      </c>
      <c r="K19" s="158">
        <f t="shared" si="9"/>
        <v>16188</v>
      </c>
      <c r="L19" s="58"/>
    </row>
    <row r="20" spans="1:12" s="5" customFormat="1" ht="28.5" customHeight="1">
      <c r="A20" s="2222"/>
      <c r="B20" s="2231"/>
      <c r="C20" s="91" t="s">
        <v>39</v>
      </c>
      <c r="D20" s="199">
        <v>21488</v>
      </c>
      <c r="E20" s="200">
        <v>22406</v>
      </c>
      <c r="F20" s="200">
        <f>25465-29+1</f>
        <v>25437</v>
      </c>
      <c r="G20" s="203">
        <v>30785</v>
      </c>
      <c r="H20" s="989">
        <v>32300</v>
      </c>
      <c r="I20" s="157">
        <f t="shared" si="8"/>
        <v>32300</v>
      </c>
      <c r="J20" s="158">
        <f t="shared" si="9"/>
        <v>32300</v>
      </c>
      <c r="K20" s="158">
        <f t="shared" si="9"/>
        <v>32300</v>
      </c>
      <c r="L20" s="58"/>
    </row>
    <row r="21" spans="1:12" s="5" customFormat="1" ht="28.5" customHeight="1" thickBot="1">
      <c r="A21" s="2222"/>
      <c r="B21" s="2232"/>
      <c r="C21" s="94"/>
      <c r="D21" s="112">
        <f>SUM(D18:D20)</f>
        <v>273334</v>
      </c>
      <c r="E21" s="113">
        <f>SUM(E18:E20)</f>
        <v>281477</v>
      </c>
      <c r="F21" s="113">
        <f>SUM(F18:F20)</f>
        <v>351942</v>
      </c>
      <c r="G21" s="113">
        <f t="shared" ref="G21:H21" si="10">SUM(G18:G20)</f>
        <v>512071</v>
      </c>
      <c r="H21" s="114">
        <f t="shared" si="10"/>
        <v>509692</v>
      </c>
      <c r="I21" s="114">
        <f t="shared" ref="I21:J21" si="11">SUM(I18:I20)</f>
        <v>509692</v>
      </c>
      <c r="J21" s="113">
        <f t="shared" si="11"/>
        <v>509692</v>
      </c>
      <c r="K21" s="113">
        <f t="shared" ref="K21" si="12">SUM(K18:K20)</f>
        <v>509692</v>
      </c>
      <c r="L21" s="65"/>
    </row>
    <row r="22" spans="1:12" s="5" customFormat="1" ht="28.5" customHeight="1">
      <c r="A22" s="2222"/>
      <c r="B22" s="2249" t="s">
        <v>40</v>
      </c>
      <c r="C22" s="136" t="s">
        <v>41</v>
      </c>
      <c r="D22" s="196">
        <v>6727</v>
      </c>
      <c r="E22" s="186">
        <v>7020</v>
      </c>
      <c r="F22" s="186">
        <v>7423</v>
      </c>
      <c r="G22" s="201">
        <v>10525</v>
      </c>
      <c r="H22" s="209">
        <v>11781</v>
      </c>
      <c r="I22" s="154">
        <f>H22</f>
        <v>11781</v>
      </c>
      <c r="J22" s="154">
        <f>H22</f>
        <v>11781</v>
      </c>
      <c r="K22" s="154">
        <f>I22</f>
        <v>11781</v>
      </c>
      <c r="L22" s="55"/>
    </row>
    <row r="23" spans="1:12" s="5" customFormat="1" ht="28.5" customHeight="1">
      <c r="A23" s="2222"/>
      <c r="B23" s="2231"/>
      <c r="C23" s="137" t="s">
        <v>42</v>
      </c>
      <c r="D23" s="198">
        <v>3204</v>
      </c>
      <c r="E23" s="187">
        <v>2364</v>
      </c>
      <c r="F23" s="187">
        <v>10463</v>
      </c>
      <c r="G23" s="202">
        <v>15166</v>
      </c>
      <c r="H23" s="182">
        <v>19904</v>
      </c>
      <c r="I23" s="156">
        <f>H23</f>
        <v>19904</v>
      </c>
      <c r="J23" s="155">
        <f>H23</f>
        <v>19904</v>
      </c>
      <c r="K23" s="155">
        <f>I23</f>
        <v>19904</v>
      </c>
      <c r="L23" s="36"/>
    </row>
    <row r="24" spans="1:12" s="5" customFormat="1" ht="28.5" customHeight="1" thickBot="1">
      <c r="A24" s="2222"/>
      <c r="B24" s="2232"/>
      <c r="C24" s="95"/>
      <c r="D24" s="105">
        <f>SUM(D22:D23)</f>
        <v>9931</v>
      </c>
      <c r="E24" s="106">
        <f>SUM(E22:E23)</f>
        <v>9384</v>
      </c>
      <c r="F24" s="106">
        <f>SUM(F22:F23)</f>
        <v>17886</v>
      </c>
      <c r="G24" s="113">
        <f t="shared" ref="G24:H24" si="13">SUM(G22:G23)</f>
        <v>25691</v>
      </c>
      <c r="H24" s="114">
        <f t="shared" si="13"/>
        <v>31685</v>
      </c>
      <c r="I24" s="114">
        <f t="shared" ref="I24:J24" si="14">SUM(I22:I23)</f>
        <v>31685</v>
      </c>
      <c r="J24" s="113">
        <f t="shared" si="14"/>
        <v>31685</v>
      </c>
      <c r="K24" s="113">
        <f t="shared" ref="K24" si="15">SUM(K22:K23)</f>
        <v>31685</v>
      </c>
      <c r="L24" s="68"/>
    </row>
    <row r="25" spans="1:12" s="5" customFormat="1" ht="28.5" customHeight="1">
      <c r="A25" s="2222"/>
      <c r="B25" s="2249" t="s">
        <v>43</v>
      </c>
      <c r="C25" s="90" t="s">
        <v>44</v>
      </c>
      <c r="D25" s="196">
        <v>3519</v>
      </c>
      <c r="E25" s="197">
        <v>3521</v>
      </c>
      <c r="F25" s="197">
        <v>3043</v>
      </c>
      <c r="G25" s="201">
        <v>3016</v>
      </c>
      <c r="H25" s="209">
        <v>3531</v>
      </c>
      <c r="I25" s="154">
        <f t="shared" ref="H25:I27" si="16">H25</f>
        <v>3531</v>
      </c>
      <c r="J25" s="153">
        <f t="shared" ref="J25:K27" si="17">I25</f>
        <v>3531</v>
      </c>
      <c r="K25" s="153">
        <f t="shared" si="17"/>
        <v>3531</v>
      </c>
      <c r="L25" s="101"/>
    </row>
    <row r="26" spans="1:12" s="5" customFormat="1" ht="28.5" customHeight="1">
      <c r="A26" s="2222"/>
      <c r="B26" s="2231"/>
      <c r="C26" s="91" t="s">
        <v>45</v>
      </c>
      <c r="D26" s="198">
        <v>773</v>
      </c>
      <c r="E26" s="191">
        <v>777</v>
      </c>
      <c r="F26" s="191">
        <v>700</v>
      </c>
      <c r="G26" s="202">
        <v>700</v>
      </c>
      <c r="H26" s="182">
        <f t="shared" si="16"/>
        <v>700</v>
      </c>
      <c r="I26" s="156">
        <f t="shared" si="16"/>
        <v>700</v>
      </c>
      <c r="J26" s="155">
        <f t="shared" si="17"/>
        <v>700</v>
      </c>
      <c r="K26" s="155">
        <f t="shared" si="17"/>
        <v>700</v>
      </c>
      <c r="L26" s="104"/>
    </row>
    <row r="27" spans="1:12" s="5" customFormat="1" ht="28.5" customHeight="1">
      <c r="A27" s="2222"/>
      <c r="B27" s="2231"/>
      <c r="C27" s="91" t="s">
        <v>46</v>
      </c>
      <c r="D27" s="198">
        <v>1086</v>
      </c>
      <c r="E27" s="191">
        <v>1012</v>
      </c>
      <c r="F27" s="191">
        <v>1094</v>
      </c>
      <c r="G27" s="202">
        <v>1015</v>
      </c>
      <c r="H27" s="182">
        <v>271</v>
      </c>
      <c r="I27" s="156">
        <f t="shared" si="16"/>
        <v>271</v>
      </c>
      <c r="J27" s="156">
        <f t="shared" si="17"/>
        <v>271</v>
      </c>
      <c r="K27" s="155">
        <f t="shared" si="17"/>
        <v>271</v>
      </c>
      <c r="L27" s="104"/>
    </row>
    <row r="28" spans="1:12" s="5" customFormat="1" ht="28.5" customHeight="1" thickBot="1">
      <c r="A28" s="2222"/>
      <c r="B28" s="2232"/>
      <c r="C28" s="96"/>
      <c r="D28" s="105">
        <f>SUM(D25:D27)</f>
        <v>5378</v>
      </c>
      <c r="E28" s="106">
        <f>SUM(E25:E27)</f>
        <v>5310</v>
      </c>
      <c r="F28" s="106">
        <f>SUM(F25:F27)</f>
        <v>4837</v>
      </c>
      <c r="G28" s="106">
        <f t="shared" ref="G28:H28" si="18">SUM(G25:G27)</f>
        <v>4731</v>
      </c>
      <c r="H28" s="107">
        <f t="shared" si="18"/>
        <v>4502</v>
      </c>
      <c r="I28" s="107">
        <f t="shared" ref="I28:J28" si="19">SUM(I25:I27)</f>
        <v>4502</v>
      </c>
      <c r="J28" s="106">
        <f t="shared" si="19"/>
        <v>4502</v>
      </c>
      <c r="K28" s="106">
        <f t="shared" ref="K28" si="20">SUM(K25:K27)</f>
        <v>4502</v>
      </c>
      <c r="L28" s="102"/>
    </row>
    <row r="29" spans="1:12" s="5" customFormat="1" ht="28.5" customHeight="1">
      <c r="A29" s="2222"/>
      <c r="B29" s="2249" t="s">
        <v>47</v>
      </c>
      <c r="C29" s="90" t="s">
        <v>59</v>
      </c>
      <c r="D29" s="196">
        <v>5193</v>
      </c>
      <c r="E29" s="197">
        <v>7080</v>
      </c>
      <c r="F29" s="197">
        <v>6243</v>
      </c>
      <c r="G29" s="201">
        <v>4564</v>
      </c>
      <c r="H29" s="209">
        <v>8195</v>
      </c>
      <c r="I29" s="154">
        <f>H29</f>
        <v>8195</v>
      </c>
      <c r="J29" s="154">
        <f t="shared" ref="J29:K30" si="21">I29</f>
        <v>8195</v>
      </c>
      <c r="K29" s="153">
        <f t="shared" si="21"/>
        <v>8195</v>
      </c>
      <c r="L29" s="101"/>
    </row>
    <row r="30" spans="1:12" s="5" customFormat="1" ht="28.5" customHeight="1">
      <c r="A30" s="2222"/>
      <c r="B30" s="2231"/>
      <c r="C30" s="91" t="s">
        <v>48</v>
      </c>
      <c r="D30" s="198">
        <v>2316</v>
      </c>
      <c r="E30" s="191">
        <v>2314</v>
      </c>
      <c r="F30" s="191">
        <v>2477</v>
      </c>
      <c r="G30" s="202">
        <v>2289</v>
      </c>
      <c r="H30" s="182">
        <v>2763</v>
      </c>
      <c r="I30" s="156">
        <f>H30</f>
        <v>2763</v>
      </c>
      <c r="J30" s="156">
        <f t="shared" si="21"/>
        <v>2763</v>
      </c>
      <c r="K30" s="155">
        <f t="shared" si="21"/>
        <v>2763</v>
      </c>
      <c r="L30" s="104"/>
    </row>
    <row r="31" spans="1:12" s="5" customFormat="1" ht="28.5" customHeight="1">
      <c r="A31" s="2222"/>
      <c r="B31" s="2231"/>
      <c r="C31" s="91" t="s">
        <v>49</v>
      </c>
      <c r="D31" s="198">
        <v>5740</v>
      </c>
      <c r="E31" s="191">
        <v>5154</v>
      </c>
      <c r="F31" s="191">
        <v>6280</v>
      </c>
      <c r="G31" s="937">
        <v>8228</v>
      </c>
      <c r="H31" s="797">
        <v>26281</v>
      </c>
      <c r="I31" s="777">
        <v>0</v>
      </c>
      <c r="J31" s="778">
        <f>I31</f>
        <v>0</v>
      </c>
      <c r="K31" s="778">
        <f>J31</f>
        <v>0</v>
      </c>
      <c r="L31" s="104"/>
    </row>
    <row r="32" spans="1:12" s="5" customFormat="1" ht="28.5" customHeight="1">
      <c r="A32" s="2222"/>
      <c r="B32" s="2231"/>
      <c r="C32" s="91" t="s">
        <v>50</v>
      </c>
      <c r="D32" s="198">
        <v>3682</v>
      </c>
      <c r="E32" s="191">
        <v>3751</v>
      </c>
      <c r="F32" s="191">
        <v>3699</v>
      </c>
      <c r="G32" s="202">
        <v>3938</v>
      </c>
      <c r="H32" s="182">
        <v>4201</v>
      </c>
      <c r="I32" s="156">
        <f t="shared" ref="I32:I36" si="22">H32</f>
        <v>4201</v>
      </c>
      <c r="J32" s="156">
        <f t="shared" ref="J32:K33" si="23">I32</f>
        <v>4201</v>
      </c>
      <c r="K32" s="155">
        <f t="shared" si="23"/>
        <v>4201</v>
      </c>
      <c r="L32" s="104"/>
    </row>
    <row r="33" spans="1:12" s="5" customFormat="1" ht="28.5" customHeight="1">
      <c r="A33" s="2222"/>
      <c r="B33" s="2231"/>
      <c r="C33" s="91" t="s">
        <v>51</v>
      </c>
      <c r="D33" s="198">
        <v>6140</v>
      </c>
      <c r="E33" s="191">
        <v>4730</v>
      </c>
      <c r="F33" s="191">
        <f>4692-1</f>
        <v>4691</v>
      </c>
      <c r="G33" s="202">
        <v>6477</v>
      </c>
      <c r="H33" s="182">
        <v>5812</v>
      </c>
      <c r="I33" s="156">
        <f t="shared" si="22"/>
        <v>5812</v>
      </c>
      <c r="J33" s="156">
        <f t="shared" si="23"/>
        <v>5812</v>
      </c>
      <c r="K33" s="155">
        <f t="shared" si="23"/>
        <v>5812</v>
      </c>
      <c r="L33" s="104"/>
    </row>
    <row r="34" spans="1:12" s="5" customFormat="1" ht="28.5" customHeight="1">
      <c r="A34" s="2222"/>
      <c r="B34" s="2231"/>
      <c r="C34" s="91" t="s">
        <v>52</v>
      </c>
      <c r="D34" s="198">
        <v>22557</v>
      </c>
      <c r="E34" s="191">
        <v>23133</v>
      </c>
      <c r="F34" s="191">
        <v>27535</v>
      </c>
      <c r="G34" s="202">
        <v>34734</v>
      </c>
      <c r="H34" s="182">
        <v>34734</v>
      </c>
      <c r="I34" s="156">
        <f t="shared" si="22"/>
        <v>34734</v>
      </c>
      <c r="J34" s="155">
        <f t="shared" ref="J34:J36" si="24">I34</f>
        <v>34734</v>
      </c>
      <c r="K34" s="155">
        <f>J34</f>
        <v>34734</v>
      </c>
      <c r="L34" s="104"/>
    </row>
    <row r="35" spans="1:12" s="5" customFormat="1" ht="28.5" customHeight="1">
      <c r="A35" s="2222"/>
      <c r="B35" s="2231"/>
      <c r="C35" s="91" t="s">
        <v>53</v>
      </c>
      <c r="D35" s="198">
        <v>9839</v>
      </c>
      <c r="E35" s="191">
        <v>4976</v>
      </c>
      <c r="F35" s="191">
        <v>5724</v>
      </c>
      <c r="G35" s="202">
        <f>8921</f>
        <v>8921</v>
      </c>
      <c r="H35" s="182">
        <v>8921</v>
      </c>
      <c r="I35" s="156">
        <f t="shared" si="22"/>
        <v>8921</v>
      </c>
      <c r="J35" s="155">
        <f t="shared" si="24"/>
        <v>8921</v>
      </c>
      <c r="K35" s="155">
        <f>J35</f>
        <v>8921</v>
      </c>
      <c r="L35" s="104"/>
    </row>
    <row r="36" spans="1:12" s="5" customFormat="1" ht="28.5" customHeight="1">
      <c r="A36" s="2222"/>
      <c r="B36" s="2231"/>
      <c r="C36" s="91" t="s">
        <v>54</v>
      </c>
      <c r="D36" s="198">
        <f>9760-1</f>
        <v>9759</v>
      </c>
      <c r="E36" s="191">
        <f>7156+1020</f>
        <v>8176</v>
      </c>
      <c r="F36" s="191">
        <v>7488</v>
      </c>
      <c r="G36" s="202">
        <f>171+1215+4929+2916</f>
        <v>9231</v>
      </c>
      <c r="H36" s="182">
        <f>171+1215+524+4929+2916+110</f>
        <v>9865</v>
      </c>
      <c r="I36" s="156">
        <f t="shared" si="22"/>
        <v>9865</v>
      </c>
      <c r="J36" s="155">
        <f t="shared" si="24"/>
        <v>9865</v>
      </c>
      <c r="K36" s="155">
        <f>H36</f>
        <v>9865</v>
      </c>
      <c r="L36" s="104"/>
    </row>
    <row r="37" spans="1:12" s="5" customFormat="1" ht="28.5" customHeight="1" thickBot="1">
      <c r="A37" s="2222"/>
      <c r="B37" s="2232"/>
      <c r="C37" s="96"/>
      <c r="D37" s="105">
        <f t="shared" ref="D37:J37" si="25">SUM(D29:D36)</f>
        <v>65226</v>
      </c>
      <c r="E37" s="106">
        <f t="shared" si="25"/>
        <v>59314</v>
      </c>
      <c r="F37" s="106">
        <f t="shared" si="25"/>
        <v>64137</v>
      </c>
      <c r="G37" s="106">
        <f t="shared" si="25"/>
        <v>78382</v>
      </c>
      <c r="H37" s="107">
        <f t="shared" si="25"/>
        <v>100772</v>
      </c>
      <c r="I37" s="107">
        <f t="shared" si="25"/>
        <v>74491</v>
      </c>
      <c r="J37" s="106">
        <f t="shared" si="25"/>
        <v>74491</v>
      </c>
      <c r="K37" s="106">
        <f t="shared" ref="K37" si="26">SUM(K29:K36)</f>
        <v>74491</v>
      </c>
      <c r="L37" s="102"/>
    </row>
    <row r="38" spans="1:12" s="5" customFormat="1" ht="28.5" customHeight="1" thickBot="1">
      <c r="A38" s="2223"/>
      <c r="B38" s="2250" t="s">
        <v>25</v>
      </c>
      <c r="C38" s="2251"/>
      <c r="D38" s="108">
        <f>D21+D24+D28+D37</f>
        <v>353869</v>
      </c>
      <c r="E38" s="109">
        <f>E21+E24+E28+E37</f>
        <v>355485</v>
      </c>
      <c r="F38" s="109">
        <f t="shared" ref="F38:K38" si="27">F21+F24+F28+F37</f>
        <v>438802</v>
      </c>
      <c r="G38" s="109">
        <f>G21+G24+G28+G37</f>
        <v>620875</v>
      </c>
      <c r="H38" s="110">
        <f t="shared" si="27"/>
        <v>646651</v>
      </c>
      <c r="I38" s="110">
        <f>I21+I24+I28+I37</f>
        <v>620370</v>
      </c>
      <c r="J38" s="109">
        <f t="shared" si="27"/>
        <v>620370</v>
      </c>
      <c r="K38" s="109">
        <f t="shared" si="27"/>
        <v>620370</v>
      </c>
      <c r="L38" s="111"/>
    </row>
    <row r="39" spans="1:12" s="5" customFormat="1" ht="28.5" customHeight="1" thickBot="1">
      <c r="A39" s="2240" t="s">
        <v>26</v>
      </c>
      <c r="B39" s="2241"/>
      <c r="C39" s="2242"/>
      <c r="D39" s="788">
        <f>D17-D38</f>
        <v>-39085</v>
      </c>
      <c r="E39" s="789">
        <f>E17-E38</f>
        <v>-40046</v>
      </c>
      <c r="F39" s="789">
        <f>F17-F38</f>
        <v>-76643</v>
      </c>
      <c r="G39" s="789">
        <f>G17-G38</f>
        <v>19302</v>
      </c>
      <c r="H39" s="790">
        <f t="shared" ref="H39" si="28">H17-H38</f>
        <v>-4992</v>
      </c>
      <c r="I39" s="790">
        <f>I17-I38</f>
        <v>21289</v>
      </c>
      <c r="J39" s="789">
        <f>J17-J38</f>
        <v>21289</v>
      </c>
      <c r="K39" s="789">
        <f t="shared" ref="K39" si="29">K17-K38</f>
        <v>21289</v>
      </c>
      <c r="L39" s="791"/>
    </row>
    <row r="40" spans="1:12" s="5" customFormat="1" ht="28.5" customHeight="1">
      <c r="A40" s="2252" t="s">
        <v>315</v>
      </c>
      <c r="B40" s="2253"/>
      <c r="C40" s="2254"/>
      <c r="D40" s="785">
        <f>521829+1+D39</f>
        <v>482745</v>
      </c>
      <c r="E40" s="786">
        <f>D40+E39</f>
        <v>442699</v>
      </c>
      <c r="F40" s="786">
        <f t="shared" ref="F40" si="30">E40+F39</f>
        <v>366056</v>
      </c>
      <c r="G40" s="786">
        <f>F40+G39</f>
        <v>385358</v>
      </c>
      <c r="H40" s="786">
        <f>G40+H39</f>
        <v>380366</v>
      </c>
      <c r="I40" s="786">
        <f>H40+I39</f>
        <v>401655</v>
      </c>
      <c r="J40" s="786">
        <f>I40+J39</f>
        <v>422944</v>
      </c>
      <c r="K40" s="786">
        <f>K43+K41+K42</f>
        <v>444233</v>
      </c>
      <c r="L40" s="787"/>
    </row>
    <row r="41" spans="1:12" s="5" customFormat="1" ht="28.5" customHeight="1">
      <c r="A41" s="2245" t="s">
        <v>28</v>
      </c>
      <c r="B41" s="2246"/>
      <c r="C41" s="2247"/>
      <c r="D41" s="119">
        <v>1116</v>
      </c>
      <c r="E41" s="120">
        <v>1116</v>
      </c>
      <c r="F41" s="120">
        <v>1116</v>
      </c>
      <c r="G41" s="120">
        <v>1116</v>
      </c>
      <c r="H41" s="120">
        <v>1116</v>
      </c>
      <c r="I41" s="795">
        <v>0</v>
      </c>
      <c r="J41" s="795">
        <f t="shared" ref="J41:K41" si="31">I41</f>
        <v>0</v>
      </c>
      <c r="K41" s="795">
        <f t="shared" si="31"/>
        <v>0</v>
      </c>
      <c r="L41" s="104"/>
    </row>
    <row r="42" spans="1:12" s="5" customFormat="1" ht="28.5" customHeight="1" thickBot="1">
      <c r="A42" s="2248" t="s">
        <v>55</v>
      </c>
      <c r="B42" s="2248"/>
      <c r="C42" s="2248"/>
      <c r="D42" s="122">
        <v>22319</v>
      </c>
      <c r="E42" s="122">
        <v>22319</v>
      </c>
      <c r="F42" s="122">
        <v>22319</v>
      </c>
      <c r="G42" s="122">
        <v>22319</v>
      </c>
      <c r="H42" s="122">
        <v>22319</v>
      </c>
      <c r="I42" s="796">
        <v>0</v>
      </c>
      <c r="J42" s="796">
        <f t="shared" ref="J42:K42" si="32">I42</f>
        <v>0</v>
      </c>
      <c r="K42" s="796">
        <f t="shared" si="32"/>
        <v>0</v>
      </c>
      <c r="L42" s="792"/>
    </row>
    <row r="43" spans="1:12" s="5" customFormat="1" ht="28.5" customHeight="1" thickBot="1">
      <c r="A43" s="2243" t="s">
        <v>316</v>
      </c>
      <c r="B43" s="2244"/>
      <c r="C43" s="2244"/>
      <c r="D43" s="793">
        <f>D40-D41-D42</f>
        <v>459310</v>
      </c>
      <c r="E43" s="793">
        <f>E40-E41-E42</f>
        <v>419264</v>
      </c>
      <c r="F43" s="793">
        <f t="shared" ref="F43" si="33">F40-F41-F42</f>
        <v>342621</v>
      </c>
      <c r="G43" s="793">
        <f>G40-G41-G42</f>
        <v>361923</v>
      </c>
      <c r="H43" s="793">
        <f>H40-H41-H42</f>
        <v>356931</v>
      </c>
      <c r="I43" s="793">
        <f>I40-I41-I42</f>
        <v>401655</v>
      </c>
      <c r="J43" s="793">
        <f>J40-J41-J42</f>
        <v>422944</v>
      </c>
      <c r="K43" s="793">
        <f>J43+K39</f>
        <v>444233</v>
      </c>
      <c r="L43" s="794"/>
    </row>
    <row r="44" spans="1:12" s="5" customFormat="1" ht="18.75" customHeight="1">
      <c r="A44" s="13"/>
      <c r="B44" s="14"/>
      <c r="C44" s="14"/>
      <c r="E44" s="145">
        <f>E40-D40</f>
        <v>-40046</v>
      </c>
      <c r="F44" s="145">
        <f>F40-E40</f>
        <v>-76643</v>
      </c>
      <c r="L44" s="33"/>
    </row>
    <row r="45" spans="1:12">
      <c r="A45" s="1"/>
      <c r="B45" s="1" t="s">
        <v>92</v>
      </c>
      <c r="C45" s="2"/>
      <c r="L45" s="6"/>
    </row>
    <row r="46" spans="1:12">
      <c r="A46" s="1"/>
      <c r="B46" s="1" t="s">
        <v>94</v>
      </c>
      <c r="C46" s="2"/>
      <c r="L46" s="6"/>
    </row>
    <row r="47" spans="1:12">
      <c r="A47" s="1"/>
      <c r="B47" s="1" t="s">
        <v>95</v>
      </c>
      <c r="C47" s="2"/>
      <c r="D47" s="27">
        <v>12352</v>
      </c>
      <c r="E47" t="s">
        <v>97</v>
      </c>
      <c r="L47" s="6"/>
    </row>
    <row r="48" spans="1:12">
      <c r="A48" s="1"/>
      <c r="B48" s="1" t="s">
        <v>96</v>
      </c>
      <c r="C48" s="2"/>
      <c r="D48" s="27">
        <v>7566</v>
      </c>
      <c r="E48" t="s">
        <v>98</v>
      </c>
      <c r="L48" s="6"/>
    </row>
    <row r="49" spans="1:12">
      <c r="A49" s="1"/>
      <c r="B49" s="25" t="s">
        <v>90</v>
      </c>
      <c r="C49" s="2"/>
      <c r="L49" s="6"/>
    </row>
    <row r="50" spans="1:12">
      <c r="A50" s="1"/>
      <c r="B50" s="2" t="s">
        <v>89</v>
      </c>
      <c r="C50" s="2"/>
      <c r="L50" s="6"/>
    </row>
    <row r="51" spans="1:12">
      <c r="A51" s="1"/>
      <c r="B51" s="1" t="s">
        <v>88</v>
      </c>
      <c r="C51" s="2" t="s">
        <v>99</v>
      </c>
      <c r="L51" s="6"/>
    </row>
    <row r="52" spans="1:12">
      <c r="A52" s="1"/>
      <c r="B52" s="26" t="s">
        <v>91</v>
      </c>
      <c r="C52" s="24"/>
      <c r="L52" s="6"/>
    </row>
    <row r="53" spans="1:12">
      <c r="A53" s="1"/>
      <c r="B53" s="1" t="s">
        <v>93</v>
      </c>
      <c r="C53" s="2"/>
      <c r="L53" s="6"/>
    </row>
    <row r="54" spans="1:12">
      <c r="A54" s="1"/>
      <c r="B54" s="1" t="s">
        <v>88</v>
      </c>
      <c r="C54" s="2" t="s">
        <v>100</v>
      </c>
      <c r="L54" s="6"/>
    </row>
    <row r="55" spans="1:12">
      <c r="A55" s="1"/>
      <c r="B55" s="1"/>
      <c r="C55" s="2"/>
      <c r="L55" s="6"/>
    </row>
    <row r="56" spans="1:12">
      <c r="A56" s="1"/>
      <c r="B56" s="1"/>
      <c r="C56" s="28" t="s">
        <v>101</v>
      </c>
      <c r="D56" s="29">
        <f>(D47+D48)/D47</f>
        <v>1.6125323834196892</v>
      </c>
      <c r="L56" s="6"/>
    </row>
    <row r="57" spans="1:12">
      <c r="A57" s="1"/>
      <c r="B57" s="1"/>
      <c r="C57" s="2"/>
      <c r="L57" s="6"/>
    </row>
  </sheetData>
  <mergeCells count="29">
    <mergeCell ref="J1:L1"/>
    <mergeCell ref="A39:C39"/>
    <mergeCell ref="A43:C43"/>
    <mergeCell ref="A41:C41"/>
    <mergeCell ref="A42:C42"/>
    <mergeCell ref="B22:B24"/>
    <mergeCell ref="B25:B28"/>
    <mergeCell ref="B29:B37"/>
    <mergeCell ref="B38:C38"/>
    <mergeCell ref="A7:A17"/>
    <mergeCell ref="A5:C5"/>
    <mergeCell ref="A6:C6"/>
    <mergeCell ref="K3:K4"/>
    <mergeCell ref="A40:C40"/>
    <mergeCell ref="L3:L4"/>
    <mergeCell ref="B18:B21"/>
    <mergeCell ref="I3:I4"/>
    <mergeCell ref="J3:J4"/>
    <mergeCell ref="L7:L8"/>
    <mergeCell ref="E3:E4"/>
    <mergeCell ref="D3:D4"/>
    <mergeCell ref="F3:F4"/>
    <mergeCell ref="G3:G4"/>
    <mergeCell ref="H3:H4"/>
    <mergeCell ref="A18:A38"/>
    <mergeCell ref="A3:C4"/>
    <mergeCell ref="B7:B9"/>
    <mergeCell ref="B10:B16"/>
    <mergeCell ref="B17:C17"/>
  </mergeCells>
  <phoneticPr fontId="3"/>
  <pageMargins left="0.70866141732283472" right="0.11811023622047245" top="0.55118110236220474" bottom="0.55118110236220474" header="0.31496062992125984" footer="0.31496062992125984"/>
  <pageSetup paperSize="9" scale="39" orientation="portrait" cellComments="asDisplayed" r:id="rId1"/>
  <ignoredErrors>
    <ignoredError sqref="I21 J9 G28:J28" formula="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K25"/>
  <sheetViews>
    <sheetView zoomScale="85" zoomScaleNormal="85" workbookViewId="0">
      <pane xSplit="2" ySplit="6" topLeftCell="C7" activePane="bottomRight" state="frozen"/>
      <selection activeCell="M18" sqref="M18:P18"/>
      <selection pane="topRight" activeCell="M18" sqref="M18:P18"/>
      <selection pane="bottomLeft" activeCell="M18" sqref="M18:P18"/>
      <selection pane="bottomRight" activeCell="M18" sqref="M18:P18"/>
    </sheetView>
  </sheetViews>
  <sheetFormatPr defaultRowHeight="18.75"/>
  <cols>
    <col min="1" max="1" width="3.5" style="7" customWidth="1"/>
    <col min="2" max="2" width="26.5" style="7" customWidth="1"/>
    <col min="3" max="10" width="18.375" customWidth="1"/>
    <col min="11" max="11" width="10.375" style="33" customWidth="1"/>
  </cols>
  <sheetData>
    <row r="1" spans="1:11" s="38" customFormat="1" ht="25.5">
      <c r="A1" s="88" t="s">
        <v>106</v>
      </c>
      <c r="B1" s="142"/>
      <c r="H1" s="2239"/>
      <c r="I1" s="2239"/>
      <c r="J1" s="151"/>
      <c r="K1" s="143"/>
    </row>
    <row r="2" spans="1:11" ht="19.5" thickBot="1">
      <c r="A2" s="11"/>
      <c r="F2" s="195" t="s">
        <v>134</v>
      </c>
      <c r="G2" s="183" t="s">
        <v>133</v>
      </c>
    </row>
    <row r="3" spans="1:11" s="125" customFormat="1" ht="28.5" customHeight="1">
      <c r="A3" s="2224" t="s">
        <v>0</v>
      </c>
      <c r="B3" s="2226"/>
      <c r="C3" s="2226" t="s">
        <v>347</v>
      </c>
      <c r="D3" s="2190" t="s">
        <v>351</v>
      </c>
      <c r="E3" s="2194" t="s">
        <v>343</v>
      </c>
      <c r="F3" s="2194" t="s">
        <v>31</v>
      </c>
      <c r="G3" s="2214" t="s">
        <v>344</v>
      </c>
      <c r="H3" s="2194" t="s">
        <v>345</v>
      </c>
      <c r="I3" s="2196" t="s">
        <v>352</v>
      </c>
      <c r="J3" s="2196" t="s">
        <v>346</v>
      </c>
      <c r="K3" s="2257" t="s">
        <v>115</v>
      </c>
    </row>
    <row r="4" spans="1:11" s="125" customFormat="1" ht="28.5" customHeight="1" thickBot="1">
      <c r="A4" s="2259"/>
      <c r="B4" s="2260"/>
      <c r="C4" s="2260"/>
      <c r="D4" s="2192"/>
      <c r="E4" s="2195"/>
      <c r="F4" s="2195"/>
      <c r="G4" s="2215"/>
      <c r="H4" s="2195"/>
      <c r="I4" s="2197"/>
      <c r="J4" s="2197"/>
      <c r="K4" s="2258"/>
    </row>
    <row r="5" spans="1:11" s="125" customFormat="1" ht="28.5" customHeight="1" thickTop="1">
      <c r="A5" s="2216" t="s">
        <v>107</v>
      </c>
      <c r="B5" s="2218"/>
      <c r="C5" s="170">
        <v>8</v>
      </c>
      <c r="D5" s="126">
        <v>8</v>
      </c>
      <c r="E5" s="127">
        <v>8.6999999999999993</v>
      </c>
      <c r="F5" s="127">
        <v>8.9</v>
      </c>
      <c r="G5" s="128">
        <f>'R6掛金（介護）'!D5</f>
        <v>8.4</v>
      </c>
      <c r="H5" s="127">
        <f>G5</f>
        <v>8.4</v>
      </c>
      <c r="I5" s="177">
        <f>H5</f>
        <v>8.4</v>
      </c>
      <c r="J5" s="177">
        <f>I5</f>
        <v>8.4</v>
      </c>
      <c r="K5" s="129"/>
    </row>
    <row r="6" spans="1:11" s="125" customFormat="1" ht="28.5" customHeight="1" thickBot="1">
      <c r="A6" s="2211" t="s">
        <v>118</v>
      </c>
      <c r="B6" s="2213"/>
      <c r="C6" s="171">
        <f>C5-6.5</f>
        <v>1.5</v>
      </c>
      <c r="D6" s="130">
        <f>D5-C5</f>
        <v>0</v>
      </c>
      <c r="E6" s="130">
        <f t="shared" ref="E6:G6" si="0">E5-D5</f>
        <v>0.69999999999999929</v>
      </c>
      <c r="F6" s="130">
        <f t="shared" si="0"/>
        <v>0.20000000000000107</v>
      </c>
      <c r="G6" s="131">
        <f t="shared" si="0"/>
        <v>-0.5</v>
      </c>
      <c r="H6" s="130">
        <f t="shared" ref="H6" si="1">H5-G5</f>
        <v>0</v>
      </c>
      <c r="I6" s="131">
        <f t="shared" ref="I6:J6" si="2">I5-H5</f>
        <v>0</v>
      </c>
      <c r="J6" s="131">
        <f t="shared" si="2"/>
        <v>0</v>
      </c>
      <c r="K6" s="132"/>
    </row>
    <row r="7" spans="1:11" s="125" customFormat="1" ht="28.5" customHeight="1">
      <c r="A7" s="2221" t="s">
        <v>108</v>
      </c>
      <c r="B7" s="90" t="s">
        <v>1</v>
      </c>
      <c r="C7" s="215">
        <f>ROUND((397274580+4211207)/1000,3)</f>
        <v>401485.78700000001</v>
      </c>
      <c r="D7" s="197">
        <f>ROUND((390698293+5685194)/1000,3)+1</f>
        <v>396384.48700000002</v>
      </c>
      <c r="E7" s="197">
        <f>ROUND((465326497+6928102)/1000,3)-1</f>
        <v>472253.59899999999</v>
      </c>
      <c r="F7" s="201">
        <f>'R5掛金（介護）'!K30+'R5掛金（介護）'!K45</f>
        <v>520998</v>
      </c>
      <c r="G7" s="209">
        <f>'R6掛金（介護）'!K30+'R6掛金（介護）'!K45</f>
        <v>487367</v>
      </c>
      <c r="H7" s="153">
        <f t="shared" ref="H7:J8" si="3">G7</f>
        <v>487367</v>
      </c>
      <c r="I7" s="154">
        <f t="shared" si="3"/>
        <v>487367</v>
      </c>
      <c r="J7" s="154">
        <f t="shared" si="3"/>
        <v>487367</v>
      </c>
      <c r="K7" s="55"/>
    </row>
    <row r="8" spans="1:11" s="125" customFormat="1" ht="28.5" customHeight="1">
      <c r="A8" s="2222"/>
      <c r="B8" s="93" t="s">
        <v>2</v>
      </c>
      <c r="C8" s="216">
        <v>397273</v>
      </c>
      <c r="D8" s="211">
        <v>390692</v>
      </c>
      <c r="E8" s="211">
        <v>466073</v>
      </c>
      <c r="F8" s="210">
        <f>'R5掛金（介護）'!F30</f>
        <v>514860</v>
      </c>
      <c r="G8" s="214">
        <f>'R6掛金（介護）'!F30</f>
        <v>482617</v>
      </c>
      <c r="H8" s="163">
        <f t="shared" si="3"/>
        <v>482617</v>
      </c>
      <c r="I8" s="164">
        <f t="shared" si="3"/>
        <v>482617</v>
      </c>
      <c r="J8" s="164">
        <f t="shared" si="3"/>
        <v>482617</v>
      </c>
      <c r="K8" s="63"/>
    </row>
    <row r="9" spans="1:11" s="125" customFormat="1" ht="28.5" customHeight="1" thickBot="1">
      <c r="A9" s="2222"/>
      <c r="B9" s="133" t="s">
        <v>129</v>
      </c>
      <c r="C9" s="212">
        <v>2031</v>
      </c>
      <c r="D9" s="212"/>
      <c r="E9" s="213">
        <v>0</v>
      </c>
      <c r="F9" s="165">
        <v>0</v>
      </c>
      <c r="G9" s="165">
        <v>0</v>
      </c>
      <c r="H9" s="165">
        <v>0</v>
      </c>
      <c r="I9" s="165">
        <v>0</v>
      </c>
      <c r="J9" s="165">
        <v>0</v>
      </c>
      <c r="K9" s="68"/>
    </row>
    <row r="10" spans="1:11" s="125" customFormat="1" ht="28.5" customHeight="1" thickBot="1">
      <c r="A10" s="2223"/>
      <c r="B10" s="134" t="s">
        <v>12</v>
      </c>
      <c r="C10" s="172">
        <f>C7+C8+C9</f>
        <v>800789.78700000001</v>
      </c>
      <c r="D10" s="109">
        <f>D7+D8+D9</f>
        <v>787076.48699999996</v>
      </c>
      <c r="E10" s="109">
        <f>E7+E8</f>
        <v>938326.59899999993</v>
      </c>
      <c r="F10" s="109">
        <f t="shared" ref="F10" si="4">F7+F8</f>
        <v>1035858</v>
      </c>
      <c r="G10" s="110">
        <f>G7+G8</f>
        <v>969984</v>
      </c>
      <c r="H10" s="109">
        <f>H7+H8</f>
        <v>969984</v>
      </c>
      <c r="I10" s="110">
        <f>I7+I8</f>
        <v>969984</v>
      </c>
      <c r="J10" s="110">
        <f>J7+J8</f>
        <v>969984</v>
      </c>
      <c r="K10" s="135"/>
    </row>
    <row r="11" spans="1:11" s="125" customFormat="1" ht="28.5" customHeight="1">
      <c r="A11" s="2222" t="s">
        <v>109</v>
      </c>
      <c r="B11" s="90" t="s">
        <v>111</v>
      </c>
      <c r="C11" s="215">
        <v>816366</v>
      </c>
      <c r="D11" s="197">
        <v>812546</v>
      </c>
      <c r="E11" s="197">
        <v>974236</v>
      </c>
      <c r="F11" s="197">
        <v>1019311</v>
      </c>
      <c r="G11" s="201">
        <v>933307</v>
      </c>
      <c r="H11" s="153">
        <f>G11</f>
        <v>933307</v>
      </c>
      <c r="I11" s="154">
        <f>H11</f>
        <v>933307</v>
      </c>
      <c r="J11" s="154">
        <f>I11</f>
        <v>933307</v>
      </c>
      <c r="K11" s="55"/>
    </row>
    <row r="12" spans="1:11" s="125" customFormat="1" ht="28.5" customHeight="1" thickBot="1">
      <c r="A12" s="2222"/>
      <c r="B12" s="91" t="s">
        <v>112</v>
      </c>
      <c r="C12" s="165">
        <v>0</v>
      </c>
      <c r="D12" s="213">
        <v>0</v>
      </c>
      <c r="E12" s="213">
        <v>0</v>
      </c>
      <c r="F12" s="165">
        <v>0</v>
      </c>
      <c r="G12" s="167">
        <v>0</v>
      </c>
      <c r="H12" s="165">
        <v>0</v>
      </c>
      <c r="I12" s="167">
        <v>0</v>
      </c>
      <c r="J12" s="167">
        <v>0</v>
      </c>
      <c r="K12" s="68"/>
    </row>
    <row r="13" spans="1:11" s="125" customFormat="1" ht="28.5" customHeight="1" thickBot="1">
      <c r="A13" s="2223"/>
      <c r="B13" s="152" t="s">
        <v>110</v>
      </c>
      <c r="C13" s="172">
        <f>C11+C12</f>
        <v>816366</v>
      </c>
      <c r="D13" s="109">
        <f t="shared" ref="D13:F13" si="5">D11+D12</f>
        <v>812546</v>
      </c>
      <c r="E13" s="109">
        <f t="shared" si="5"/>
        <v>974236</v>
      </c>
      <c r="F13" s="109">
        <f t="shared" si="5"/>
        <v>1019311</v>
      </c>
      <c r="G13" s="110">
        <f>G11+G12</f>
        <v>933307</v>
      </c>
      <c r="H13" s="109">
        <f t="shared" ref="H13" si="6">H11+H12</f>
        <v>933307</v>
      </c>
      <c r="I13" s="110">
        <f>I11+I12</f>
        <v>933307</v>
      </c>
      <c r="J13" s="110">
        <f>J11+J12</f>
        <v>933307</v>
      </c>
      <c r="K13" s="135"/>
    </row>
    <row r="14" spans="1:11" s="125" customFormat="1" ht="28.5" customHeight="1" thickBot="1">
      <c r="A14" s="2240" t="s">
        <v>26</v>
      </c>
      <c r="B14" s="2261"/>
      <c r="C14" s="173">
        <f>C10-C13</f>
        <v>-15576.212999999989</v>
      </c>
      <c r="D14" s="115">
        <f>D10-D13</f>
        <v>-25469.513000000035</v>
      </c>
      <c r="E14" s="115">
        <f>E10-E13</f>
        <v>-35909.401000000071</v>
      </c>
      <c r="F14" s="115">
        <f>F10-F13</f>
        <v>16547</v>
      </c>
      <c r="G14" s="116">
        <f>G10-G13</f>
        <v>36677</v>
      </c>
      <c r="H14" s="115">
        <f t="shared" ref="H14" si="7">H10-H13</f>
        <v>36677</v>
      </c>
      <c r="I14" s="116">
        <f>I10-I13</f>
        <v>36677</v>
      </c>
      <c r="J14" s="116">
        <f>J10-J13</f>
        <v>36677</v>
      </c>
      <c r="K14" s="138"/>
    </row>
    <row r="15" spans="1:11" s="125" customFormat="1" ht="28.5" customHeight="1">
      <c r="A15" s="2208" t="s">
        <v>27</v>
      </c>
      <c r="B15" s="2210"/>
      <c r="C15" s="174">
        <f>72368+C14</f>
        <v>56791.787000000011</v>
      </c>
      <c r="D15" s="117">
        <f>C15+D14</f>
        <v>31322.273999999976</v>
      </c>
      <c r="E15" s="117">
        <f>D15+E14</f>
        <v>-4587.127000000095</v>
      </c>
      <c r="F15" s="117">
        <f>E15+F14</f>
        <v>11959.872999999905</v>
      </c>
      <c r="G15" s="118">
        <f>F15+G14</f>
        <v>48636.872999999905</v>
      </c>
      <c r="H15" s="117">
        <f t="shared" ref="H15" si="8">G15+H14</f>
        <v>85313.872999999905</v>
      </c>
      <c r="I15" s="118">
        <f>H15+I14</f>
        <v>121990.87299999991</v>
      </c>
      <c r="J15" s="118">
        <f>I15+J14</f>
        <v>158667.87299999991</v>
      </c>
      <c r="K15" s="139"/>
    </row>
    <row r="16" spans="1:11" s="125" customFormat="1" ht="28.5" customHeight="1">
      <c r="A16" s="2245" t="s">
        <v>28</v>
      </c>
      <c r="B16" s="2262"/>
      <c r="C16" s="175">
        <v>0</v>
      </c>
      <c r="D16" s="120">
        <v>0</v>
      </c>
      <c r="E16" s="120">
        <v>0</v>
      </c>
      <c r="F16" s="120">
        <v>0</v>
      </c>
      <c r="G16" s="121">
        <v>0</v>
      </c>
      <c r="H16" s="120">
        <v>0</v>
      </c>
      <c r="I16" s="121">
        <v>0</v>
      </c>
      <c r="J16" s="121">
        <v>0</v>
      </c>
      <c r="K16" s="36"/>
    </row>
    <row r="17" spans="1:11" s="125" customFormat="1" ht="28.5" customHeight="1" thickBot="1">
      <c r="A17" s="2263" t="s">
        <v>56</v>
      </c>
      <c r="B17" s="2264"/>
      <c r="C17" s="176">
        <f>C15-C16</f>
        <v>56791.787000000011</v>
      </c>
      <c r="D17" s="123">
        <f t="shared" ref="D17:G17" si="9">D15-D16</f>
        <v>31322.273999999976</v>
      </c>
      <c r="E17" s="123">
        <f t="shared" si="9"/>
        <v>-4587.127000000095</v>
      </c>
      <c r="F17" s="123">
        <f t="shared" si="9"/>
        <v>11959.872999999905</v>
      </c>
      <c r="G17" s="124">
        <f t="shared" si="9"/>
        <v>48636.872999999905</v>
      </c>
      <c r="H17" s="123">
        <f t="shared" ref="H17:I17" si="10">H15-H16</f>
        <v>85313.872999999905</v>
      </c>
      <c r="I17" s="124">
        <f t="shared" si="10"/>
        <v>121990.87299999991</v>
      </c>
      <c r="J17" s="124">
        <f t="shared" ref="J17" si="11">J15-J16</f>
        <v>158667.87299999991</v>
      </c>
      <c r="K17" s="140"/>
    </row>
    <row r="18" spans="1:11" s="125" customFormat="1" ht="28.5" customHeight="1">
      <c r="A18" s="14"/>
      <c r="B18" s="14"/>
      <c r="D18" s="146">
        <f>D17-C17</f>
        <v>-25469.513000000035</v>
      </c>
      <c r="K18" s="141"/>
    </row>
    <row r="19" spans="1:11" s="5" customFormat="1" ht="13.5">
      <c r="A19" s="3"/>
      <c r="B19" s="3"/>
      <c r="K19" s="33"/>
    </row>
    <row r="20" spans="1:11">
      <c r="A20" s="9"/>
      <c r="B20" s="9"/>
    </row>
    <row r="21" spans="1:11">
      <c r="A21" s="9"/>
      <c r="B21" s="9"/>
    </row>
    <row r="22" spans="1:11">
      <c r="A22" s="12"/>
      <c r="B22" s="12"/>
    </row>
    <row r="23" spans="1:11">
      <c r="A23" s="12"/>
      <c r="B23" s="12"/>
    </row>
    <row r="24" spans="1:11">
      <c r="A24" s="9"/>
    </row>
    <row r="25" spans="1:11">
      <c r="A25" s="9"/>
      <c r="B25" s="9"/>
    </row>
  </sheetData>
  <mergeCells count="19">
    <mergeCell ref="H1:I1"/>
    <mergeCell ref="A14:B14"/>
    <mergeCell ref="A15:B15"/>
    <mergeCell ref="A16:B16"/>
    <mergeCell ref="A17:B17"/>
    <mergeCell ref="A11:A13"/>
    <mergeCell ref="K3:K4"/>
    <mergeCell ref="A7:A10"/>
    <mergeCell ref="A3:B4"/>
    <mergeCell ref="C3:C4"/>
    <mergeCell ref="D3:D4"/>
    <mergeCell ref="E3:E4"/>
    <mergeCell ref="F3:F4"/>
    <mergeCell ref="G3:G4"/>
    <mergeCell ref="A5:B5"/>
    <mergeCell ref="A6:B6"/>
    <mergeCell ref="H3:H4"/>
    <mergeCell ref="I3:I4"/>
    <mergeCell ref="J3:J4"/>
  </mergeCells>
  <phoneticPr fontId="2"/>
  <pageMargins left="0.70866141732283472" right="0.11811023622047245" top="0.74803149606299213" bottom="0.74803149606299213" header="0.31496062992125984" footer="0.31496062992125984"/>
  <pageSetup paperSize="9" scale="67" orientation="landscape" cellComments="asDisplayed"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X151"/>
  <sheetViews>
    <sheetView view="pageBreakPreview" topLeftCell="A106" zoomScale="90" zoomScaleNormal="100" zoomScaleSheetLayoutView="90" workbookViewId="0">
      <selection activeCell="J125" sqref="J125"/>
    </sheetView>
  </sheetViews>
  <sheetFormatPr defaultRowHeight="13.5"/>
  <cols>
    <col min="1" max="1" width="7.5" style="16" customWidth="1"/>
    <col min="2" max="2" width="10.875" style="16" customWidth="1"/>
    <col min="3" max="3" width="3.75" style="16" customWidth="1"/>
    <col min="4" max="4" width="6.5" style="16" customWidth="1"/>
    <col min="5" max="5" width="13.5" style="16" customWidth="1"/>
    <col min="6" max="6" width="10.25" style="16" customWidth="1"/>
    <col min="7" max="7" width="4.125" style="16" customWidth="1"/>
    <col min="8" max="8" width="6.5" style="16" customWidth="1"/>
    <col min="9" max="9" width="13.5" style="16" customWidth="1"/>
    <col min="10" max="10" width="10.625" style="16" customWidth="1"/>
    <col min="11" max="11" width="3.75" style="16" customWidth="1"/>
    <col min="12" max="12" width="6.5" style="16" customWidth="1"/>
    <col min="13" max="13" width="13.5" style="16" customWidth="1"/>
    <col min="14" max="14" width="11.25" style="16" customWidth="1"/>
    <col min="15" max="15" width="3.75" style="16" customWidth="1"/>
    <col min="16" max="16" width="6.5" style="16" customWidth="1"/>
    <col min="17" max="17" width="13.5" style="16" customWidth="1"/>
    <col min="18" max="18" width="2.625" style="16" customWidth="1"/>
    <col min="19" max="20" width="10.125" style="16" customWidth="1"/>
    <col min="21" max="21" width="3.25" style="16" customWidth="1"/>
    <col min="22" max="24" width="16" style="16" customWidth="1"/>
    <col min="25" max="256" width="9" style="16"/>
    <col min="257" max="257" width="7.5" style="16" customWidth="1"/>
    <col min="258" max="258" width="10.875" style="16" customWidth="1"/>
    <col min="259" max="259" width="3.75" style="16" customWidth="1"/>
    <col min="260" max="260" width="6.5" style="16" customWidth="1"/>
    <col min="261" max="261" width="13.5" style="16" customWidth="1"/>
    <col min="262" max="262" width="10.25" style="16" customWidth="1"/>
    <col min="263" max="263" width="4.125" style="16" customWidth="1"/>
    <col min="264" max="264" width="6.5" style="16" customWidth="1"/>
    <col min="265" max="265" width="13.5" style="16" customWidth="1"/>
    <col min="266" max="266" width="10.625" style="16" customWidth="1"/>
    <col min="267" max="267" width="3.75" style="16" customWidth="1"/>
    <col min="268" max="268" width="6.5" style="16" customWidth="1"/>
    <col min="269" max="269" width="13.5" style="16" customWidth="1"/>
    <col min="270" max="270" width="11.25" style="16" customWidth="1"/>
    <col min="271" max="271" width="3.75" style="16" customWidth="1"/>
    <col min="272" max="272" width="6.5" style="16" customWidth="1"/>
    <col min="273" max="273" width="13.5" style="16" customWidth="1"/>
    <col min="274" max="274" width="2.625" style="16" customWidth="1"/>
    <col min="275" max="276" width="10.125" style="16" customWidth="1"/>
    <col min="277" max="277" width="3.25" style="16" customWidth="1"/>
    <col min="278" max="280" width="16" style="16" customWidth="1"/>
    <col min="281" max="512" width="9" style="16"/>
    <col min="513" max="513" width="7.5" style="16" customWidth="1"/>
    <col min="514" max="514" width="10.875" style="16" customWidth="1"/>
    <col min="515" max="515" width="3.75" style="16" customWidth="1"/>
    <col min="516" max="516" width="6.5" style="16" customWidth="1"/>
    <col min="517" max="517" width="13.5" style="16" customWidth="1"/>
    <col min="518" max="518" width="10.25" style="16" customWidth="1"/>
    <col min="519" max="519" width="4.125" style="16" customWidth="1"/>
    <col min="520" max="520" width="6.5" style="16" customWidth="1"/>
    <col min="521" max="521" width="13.5" style="16" customWidth="1"/>
    <col min="522" max="522" width="10.625" style="16" customWidth="1"/>
    <col min="523" max="523" width="3.75" style="16" customWidth="1"/>
    <col min="524" max="524" width="6.5" style="16" customWidth="1"/>
    <col min="525" max="525" width="13.5" style="16" customWidth="1"/>
    <col min="526" max="526" width="11.25" style="16" customWidth="1"/>
    <col min="527" max="527" width="3.75" style="16" customWidth="1"/>
    <col min="528" max="528" width="6.5" style="16" customWidth="1"/>
    <col min="529" max="529" width="13.5" style="16" customWidth="1"/>
    <col min="530" max="530" width="2.625" style="16" customWidth="1"/>
    <col min="531" max="532" width="10.125" style="16" customWidth="1"/>
    <col min="533" max="533" width="3.25" style="16" customWidth="1"/>
    <col min="534" max="536" width="16" style="16" customWidth="1"/>
    <col min="537" max="768" width="9" style="16"/>
    <col min="769" max="769" width="7.5" style="16" customWidth="1"/>
    <col min="770" max="770" width="10.875" style="16" customWidth="1"/>
    <col min="771" max="771" width="3.75" style="16" customWidth="1"/>
    <col min="772" max="772" width="6.5" style="16" customWidth="1"/>
    <col min="773" max="773" width="13.5" style="16" customWidth="1"/>
    <col min="774" max="774" width="10.25" style="16" customWidth="1"/>
    <col min="775" max="775" width="4.125" style="16" customWidth="1"/>
    <col min="776" max="776" width="6.5" style="16" customWidth="1"/>
    <col min="777" max="777" width="13.5" style="16" customWidth="1"/>
    <col min="778" max="778" width="10.625" style="16" customWidth="1"/>
    <col min="779" max="779" width="3.75" style="16" customWidth="1"/>
    <col min="780" max="780" width="6.5" style="16" customWidth="1"/>
    <col min="781" max="781" width="13.5" style="16" customWidth="1"/>
    <col min="782" max="782" width="11.25" style="16" customWidth="1"/>
    <col min="783" max="783" width="3.75" style="16" customWidth="1"/>
    <col min="784" max="784" width="6.5" style="16" customWidth="1"/>
    <col min="785" max="785" width="13.5" style="16" customWidth="1"/>
    <col min="786" max="786" width="2.625" style="16" customWidth="1"/>
    <col min="787" max="788" width="10.125" style="16" customWidth="1"/>
    <col min="789" max="789" width="3.25" style="16" customWidth="1"/>
    <col min="790" max="792" width="16" style="16" customWidth="1"/>
    <col min="793" max="1024" width="9" style="16"/>
    <col min="1025" max="1025" width="7.5" style="16" customWidth="1"/>
    <col min="1026" max="1026" width="10.875" style="16" customWidth="1"/>
    <col min="1027" max="1027" width="3.75" style="16" customWidth="1"/>
    <col min="1028" max="1028" width="6.5" style="16" customWidth="1"/>
    <col min="1029" max="1029" width="13.5" style="16" customWidth="1"/>
    <col min="1030" max="1030" width="10.25" style="16" customWidth="1"/>
    <col min="1031" max="1031" width="4.125" style="16" customWidth="1"/>
    <col min="1032" max="1032" width="6.5" style="16" customWidth="1"/>
    <col min="1033" max="1033" width="13.5" style="16" customWidth="1"/>
    <col min="1034" max="1034" width="10.625" style="16" customWidth="1"/>
    <col min="1035" max="1035" width="3.75" style="16" customWidth="1"/>
    <col min="1036" max="1036" width="6.5" style="16" customWidth="1"/>
    <col min="1037" max="1037" width="13.5" style="16" customWidth="1"/>
    <col min="1038" max="1038" width="11.25" style="16" customWidth="1"/>
    <col min="1039" max="1039" width="3.75" style="16" customWidth="1"/>
    <col min="1040" max="1040" width="6.5" style="16" customWidth="1"/>
    <col min="1041" max="1041" width="13.5" style="16" customWidth="1"/>
    <col min="1042" max="1042" width="2.625" style="16" customWidth="1"/>
    <col min="1043" max="1044" width="10.125" style="16" customWidth="1"/>
    <col min="1045" max="1045" width="3.25" style="16" customWidth="1"/>
    <col min="1046" max="1048" width="16" style="16" customWidth="1"/>
    <col min="1049" max="1280" width="9" style="16"/>
    <col min="1281" max="1281" width="7.5" style="16" customWidth="1"/>
    <col min="1282" max="1282" width="10.875" style="16" customWidth="1"/>
    <col min="1283" max="1283" width="3.75" style="16" customWidth="1"/>
    <col min="1284" max="1284" width="6.5" style="16" customWidth="1"/>
    <col min="1285" max="1285" width="13.5" style="16" customWidth="1"/>
    <col min="1286" max="1286" width="10.25" style="16" customWidth="1"/>
    <col min="1287" max="1287" width="4.125" style="16" customWidth="1"/>
    <col min="1288" max="1288" width="6.5" style="16" customWidth="1"/>
    <col min="1289" max="1289" width="13.5" style="16" customWidth="1"/>
    <col min="1290" max="1290" width="10.625" style="16" customWidth="1"/>
    <col min="1291" max="1291" width="3.75" style="16" customWidth="1"/>
    <col min="1292" max="1292" width="6.5" style="16" customWidth="1"/>
    <col min="1293" max="1293" width="13.5" style="16" customWidth="1"/>
    <col min="1294" max="1294" width="11.25" style="16" customWidth="1"/>
    <col min="1295" max="1295" width="3.75" style="16" customWidth="1"/>
    <col min="1296" max="1296" width="6.5" style="16" customWidth="1"/>
    <col min="1297" max="1297" width="13.5" style="16" customWidth="1"/>
    <col min="1298" max="1298" width="2.625" style="16" customWidth="1"/>
    <col min="1299" max="1300" width="10.125" style="16" customWidth="1"/>
    <col min="1301" max="1301" width="3.25" style="16" customWidth="1"/>
    <col min="1302" max="1304" width="16" style="16" customWidth="1"/>
    <col min="1305" max="1536" width="9" style="16"/>
    <col min="1537" max="1537" width="7.5" style="16" customWidth="1"/>
    <col min="1538" max="1538" width="10.875" style="16" customWidth="1"/>
    <col min="1539" max="1539" width="3.75" style="16" customWidth="1"/>
    <col min="1540" max="1540" width="6.5" style="16" customWidth="1"/>
    <col min="1541" max="1541" width="13.5" style="16" customWidth="1"/>
    <col min="1542" max="1542" width="10.25" style="16" customWidth="1"/>
    <col min="1543" max="1543" width="4.125" style="16" customWidth="1"/>
    <col min="1544" max="1544" width="6.5" style="16" customWidth="1"/>
    <col min="1545" max="1545" width="13.5" style="16" customWidth="1"/>
    <col min="1546" max="1546" width="10.625" style="16" customWidth="1"/>
    <col min="1547" max="1547" width="3.75" style="16" customWidth="1"/>
    <col min="1548" max="1548" width="6.5" style="16" customWidth="1"/>
    <col min="1549" max="1549" width="13.5" style="16" customWidth="1"/>
    <col min="1550" max="1550" width="11.25" style="16" customWidth="1"/>
    <col min="1551" max="1551" width="3.75" style="16" customWidth="1"/>
    <col min="1552" max="1552" width="6.5" style="16" customWidth="1"/>
    <col min="1553" max="1553" width="13.5" style="16" customWidth="1"/>
    <col min="1554" max="1554" width="2.625" style="16" customWidth="1"/>
    <col min="1555" max="1556" width="10.125" style="16" customWidth="1"/>
    <col min="1557" max="1557" width="3.25" style="16" customWidth="1"/>
    <col min="1558" max="1560" width="16" style="16" customWidth="1"/>
    <col min="1561" max="1792" width="9" style="16"/>
    <col min="1793" max="1793" width="7.5" style="16" customWidth="1"/>
    <col min="1794" max="1794" width="10.875" style="16" customWidth="1"/>
    <col min="1795" max="1795" width="3.75" style="16" customWidth="1"/>
    <col min="1796" max="1796" width="6.5" style="16" customWidth="1"/>
    <col min="1797" max="1797" width="13.5" style="16" customWidth="1"/>
    <col min="1798" max="1798" width="10.25" style="16" customWidth="1"/>
    <col min="1799" max="1799" width="4.125" style="16" customWidth="1"/>
    <col min="1800" max="1800" width="6.5" style="16" customWidth="1"/>
    <col min="1801" max="1801" width="13.5" style="16" customWidth="1"/>
    <col min="1802" max="1802" width="10.625" style="16" customWidth="1"/>
    <col min="1803" max="1803" width="3.75" style="16" customWidth="1"/>
    <col min="1804" max="1804" width="6.5" style="16" customWidth="1"/>
    <col min="1805" max="1805" width="13.5" style="16" customWidth="1"/>
    <col min="1806" max="1806" width="11.25" style="16" customWidth="1"/>
    <col min="1807" max="1807" width="3.75" style="16" customWidth="1"/>
    <col min="1808" max="1808" width="6.5" style="16" customWidth="1"/>
    <col min="1809" max="1809" width="13.5" style="16" customWidth="1"/>
    <col min="1810" max="1810" width="2.625" style="16" customWidth="1"/>
    <col min="1811" max="1812" width="10.125" style="16" customWidth="1"/>
    <col min="1813" max="1813" width="3.25" style="16" customWidth="1"/>
    <col min="1814" max="1816" width="16" style="16" customWidth="1"/>
    <col min="1817" max="2048" width="9" style="16"/>
    <col min="2049" max="2049" width="7.5" style="16" customWidth="1"/>
    <col min="2050" max="2050" width="10.875" style="16" customWidth="1"/>
    <col min="2051" max="2051" width="3.75" style="16" customWidth="1"/>
    <col min="2052" max="2052" width="6.5" style="16" customWidth="1"/>
    <col min="2053" max="2053" width="13.5" style="16" customWidth="1"/>
    <col min="2054" max="2054" width="10.25" style="16" customWidth="1"/>
    <col min="2055" max="2055" width="4.125" style="16" customWidth="1"/>
    <col min="2056" max="2056" width="6.5" style="16" customWidth="1"/>
    <col min="2057" max="2057" width="13.5" style="16" customWidth="1"/>
    <col min="2058" max="2058" width="10.625" style="16" customWidth="1"/>
    <col min="2059" max="2059" width="3.75" style="16" customWidth="1"/>
    <col min="2060" max="2060" width="6.5" style="16" customWidth="1"/>
    <col min="2061" max="2061" width="13.5" style="16" customWidth="1"/>
    <col min="2062" max="2062" width="11.25" style="16" customWidth="1"/>
    <col min="2063" max="2063" width="3.75" style="16" customWidth="1"/>
    <col min="2064" max="2064" width="6.5" style="16" customWidth="1"/>
    <col min="2065" max="2065" width="13.5" style="16" customWidth="1"/>
    <col min="2066" max="2066" width="2.625" style="16" customWidth="1"/>
    <col min="2067" max="2068" width="10.125" style="16" customWidth="1"/>
    <col min="2069" max="2069" width="3.25" style="16" customWidth="1"/>
    <col min="2070" max="2072" width="16" style="16" customWidth="1"/>
    <col min="2073" max="2304" width="9" style="16"/>
    <col min="2305" max="2305" width="7.5" style="16" customWidth="1"/>
    <col min="2306" max="2306" width="10.875" style="16" customWidth="1"/>
    <col min="2307" max="2307" width="3.75" style="16" customWidth="1"/>
    <col min="2308" max="2308" width="6.5" style="16" customWidth="1"/>
    <col min="2309" max="2309" width="13.5" style="16" customWidth="1"/>
    <col min="2310" max="2310" width="10.25" style="16" customWidth="1"/>
    <col min="2311" max="2311" width="4.125" style="16" customWidth="1"/>
    <col min="2312" max="2312" width="6.5" style="16" customWidth="1"/>
    <col min="2313" max="2313" width="13.5" style="16" customWidth="1"/>
    <col min="2314" max="2314" width="10.625" style="16" customWidth="1"/>
    <col min="2315" max="2315" width="3.75" style="16" customWidth="1"/>
    <col min="2316" max="2316" width="6.5" style="16" customWidth="1"/>
    <col min="2317" max="2317" width="13.5" style="16" customWidth="1"/>
    <col min="2318" max="2318" width="11.25" style="16" customWidth="1"/>
    <col min="2319" max="2319" width="3.75" style="16" customWidth="1"/>
    <col min="2320" max="2320" width="6.5" style="16" customWidth="1"/>
    <col min="2321" max="2321" width="13.5" style="16" customWidth="1"/>
    <col min="2322" max="2322" width="2.625" style="16" customWidth="1"/>
    <col min="2323" max="2324" width="10.125" style="16" customWidth="1"/>
    <col min="2325" max="2325" width="3.25" style="16" customWidth="1"/>
    <col min="2326" max="2328" width="16" style="16" customWidth="1"/>
    <col min="2329" max="2560" width="9" style="16"/>
    <col min="2561" max="2561" width="7.5" style="16" customWidth="1"/>
    <col min="2562" max="2562" width="10.875" style="16" customWidth="1"/>
    <col min="2563" max="2563" width="3.75" style="16" customWidth="1"/>
    <col min="2564" max="2564" width="6.5" style="16" customWidth="1"/>
    <col min="2565" max="2565" width="13.5" style="16" customWidth="1"/>
    <col min="2566" max="2566" width="10.25" style="16" customWidth="1"/>
    <col min="2567" max="2567" width="4.125" style="16" customWidth="1"/>
    <col min="2568" max="2568" width="6.5" style="16" customWidth="1"/>
    <col min="2569" max="2569" width="13.5" style="16" customWidth="1"/>
    <col min="2570" max="2570" width="10.625" style="16" customWidth="1"/>
    <col min="2571" max="2571" width="3.75" style="16" customWidth="1"/>
    <col min="2572" max="2572" width="6.5" style="16" customWidth="1"/>
    <col min="2573" max="2573" width="13.5" style="16" customWidth="1"/>
    <col min="2574" max="2574" width="11.25" style="16" customWidth="1"/>
    <col min="2575" max="2575" width="3.75" style="16" customWidth="1"/>
    <col min="2576" max="2576" width="6.5" style="16" customWidth="1"/>
    <col min="2577" max="2577" width="13.5" style="16" customWidth="1"/>
    <col min="2578" max="2578" width="2.625" style="16" customWidth="1"/>
    <col min="2579" max="2580" width="10.125" style="16" customWidth="1"/>
    <col min="2581" max="2581" width="3.25" style="16" customWidth="1"/>
    <col min="2582" max="2584" width="16" style="16" customWidth="1"/>
    <col min="2585" max="2816" width="9" style="16"/>
    <col min="2817" max="2817" width="7.5" style="16" customWidth="1"/>
    <col min="2818" max="2818" width="10.875" style="16" customWidth="1"/>
    <col min="2819" max="2819" width="3.75" style="16" customWidth="1"/>
    <col min="2820" max="2820" width="6.5" style="16" customWidth="1"/>
    <col min="2821" max="2821" width="13.5" style="16" customWidth="1"/>
    <col min="2822" max="2822" width="10.25" style="16" customWidth="1"/>
    <col min="2823" max="2823" width="4.125" style="16" customWidth="1"/>
    <col min="2824" max="2824" width="6.5" style="16" customWidth="1"/>
    <col min="2825" max="2825" width="13.5" style="16" customWidth="1"/>
    <col min="2826" max="2826" width="10.625" style="16" customWidth="1"/>
    <col min="2827" max="2827" width="3.75" style="16" customWidth="1"/>
    <col min="2828" max="2828" width="6.5" style="16" customWidth="1"/>
    <col min="2829" max="2829" width="13.5" style="16" customWidth="1"/>
    <col min="2830" max="2830" width="11.25" style="16" customWidth="1"/>
    <col min="2831" max="2831" width="3.75" style="16" customWidth="1"/>
    <col min="2832" max="2832" width="6.5" style="16" customWidth="1"/>
    <col min="2833" max="2833" width="13.5" style="16" customWidth="1"/>
    <col min="2834" max="2834" width="2.625" style="16" customWidth="1"/>
    <col min="2835" max="2836" width="10.125" style="16" customWidth="1"/>
    <col min="2837" max="2837" width="3.25" style="16" customWidth="1"/>
    <col min="2838" max="2840" width="16" style="16" customWidth="1"/>
    <col min="2841" max="3072" width="9" style="16"/>
    <col min="3073" max="3073" width="7.5" style="16" customWidth="1"/>
    <col min="3074" max="3074" width="10.875" style="16" customWidth="1"/>
    <col min="3075" max="3075" width="3.75" style="16" customWidth="1"/>
    <col min="3076" max="3076" width="6.5" style="16" customWidth="1"/>
    <col min="3077" max="3077" width="13.5" style="16" customWidth="1"/>
    <col min="3078" max="3078" width="10.25" style="16" customWidth="1"/>
    <col min="3079" max="3079" width="4.125" style="16" customWidth="1"/>
    <col min="3080" max="3080" width="6.5" style="16" customWidth="1"/>
    <col min="3081" max="3081" width="13.5" style="16" customWidth="1"/>
    <col min="3082" max="3082" width="10.625" style="16" customWidth="1"/>
    <col min="3083" max="3083" width="3.75" style="16" customWidth="1"/>
    <col min="3084" max="3084" width="6.5" style="16" customWidth="1"/>
    <col min="3085" max="3085" width="13.5" style="16" customWidth="1"/>
    <col min="3086" max="3086" width="11.25" style="16" customWidth="1"/>
    <col min="3087" max="3087" width="3.75" style="16" customWidth="1"/>
    <col min="3088" max="3088" width="6.5" style="16" customWidth="1"/>
    <col min="3089" max="3089" width="13.5" style="16" customWidth="1"/>
    <col min="3090" max="3090" width="2.625" style="16" customWidth="1"/>
    <col min="3091" max="3092" width="10.125" style="16" customWidth="1"/>
    <col min="3093" max="3093" width="3.25" style="16" customWidth="1"/>
    <col min="3094" max="3096" width="16" style="16" customWidth="1"/>
    <col min="3097" max="3328" width="9" style="16"/>
    <col min="3329" max="3329" width="7.5" style="16" customWidth="1"/>
    <col min="3330" max="3330" width="10.875" style="16" customWidth="1"/>
    <col min="3331" max="3331" width="3.75" style="16" customWidth="1"/>
    <col min="3332" max="3332" width="6.5" style="16" customWidth="1"/>
    <col min="3333" max="3333" width="13.5" style="16" customWidth="1"/>
    <col min="3334" max="3334" width="10.25" style="16" customWidth="1"/>
    <col min="3335" max="3335" width="4.125" style="16" customWidth="1"/>
    <col min="3336" max="3336" width="6.5" style="16" customWidth="1"/>
    <col min="3337" max="3337" width="13.5" style="16" customWidth="1"/>
    <col min="3338" max="3338" width="10.625" style="16" customWidth="1"/>
    <col min="3339" max="3339" width="3.75" style="16" customWidth="1"/>
    <col min="3340" max="3340" width="6.5" style="16" customWidth="1"/>
    <col min="3341" max="3341" width="13.5" style="16" customWidth="1"/>
    <col min="3342" max="3342" width="11.25" style="16" customWidth="1"/>
    <col min="3343" max="3343" width="3.75" style="16" customWidth="1"/>
    <col min="3344" max="3344" width="6.5" style="16" customWidth="1"/>
    <col min="3345" max="3345" width="13.5" style="16" customWidth="1"/>
    <col min="3346" max="3346" width="2.625" style="16" customWidth="1"/>
    <col min="3347" max="3348" width="10.125" style="16" customWidth="1"/>
    <col min="3349" max="3349" width="3.25" style="16" customWidth="1"/>
    <col min="3350" max="3352" width="16" style="16" customWidth="1"/>
    <col min="3353" max="3584" width="9" style="16"/>
    <col min="3585" max="3585" width="7.5" style="16" customWidth="1"/>
    <col min="3586" max="3586" width="10.875" style="16" customWidth="1"/>
    <col min="3587" max="3587" width="3.75" style="16" customWidth="1"/>
    <col min="3588" max="3588" width="6.5" style="16" customWidth="1"/>
    <col min="3589" max="3589" width="13.5" style="16" customWidth="1"/>
    <col min="3590" max="3590" width="10.25" style="16" customWidth="1"/>
    <col min="3591" max="3591" width="4.125" style="16" customWidth="1"/>
    <col min="3592" max="3592" width="6.5" style="16" customWidth="1"/>
    <col min="3593" max="3593" width="13.5" style="16" customWidth="1"/>
    <col min="3594" max="3594" width="10.625" style="16" customWidth="1"/>
    <col min="3595" max="3595" width="3.75" style="16" customWidth="1"/>
    <col min="3596" max="3596" width="6.5" style="16" customWidth="1"/>
    <col min="3597" max="3597" width="13.5" style="16" customWidth="1"/>
    <col min="3598" max="3598" width="11.25" style="16" customWidth="1"/>
    <col min="3599" max="3599" width="3.75" style="16" customWidth="1"/>
    <col min="3600" max="3600" width="6.5" style="16" customWidth="1"/>
    <col min="3601" max="3601" width="13.5" style="16" customWidth="1"/>
    <col min="3602" max="3602" width="2.625" style="16" customWidth="1"/>
    <col min="3603" max="3604" width="10.125" style="16" customWidth="1"/>
    <col min="3605" max="3605" width="3.25" style="16" customWidth="1"/>
    <col min="3606" max="3608" width="16" style="16" customWidth="1"/>
    <col min="3609" max="3840" width="9" style="16"/>
    <col min="3841" max="3841" width="7.5" style="16" customWidth="1"/>
    <col min="3842" max="3842" width="10.875" style="16" customWidth="1"/>
    <col min="3843" max="3843" width="3.75" style="16" customWidth="1"/>
    <col min="3844" max="3844" width="6.5" style="16" customWidth="1"/>
    <col min="3845" max="3845" width="13.5" style="16" customWidth="1"/>
    <col min="3846" max="3846" width="10.25" style="16" customWidth="1"/>
    <col min="3847" max="3847" width="4.125" style="16" customWidth="1"/>
    <col min="3848" max="3848" width="6.5" style="16" customWidth="1"/>
    <col min="3849" max="3849" width="13.5" style="16" customWidth="1"/>
    <col min="3850" max="3850" width="10.625" style="16" customWidth="1"/>
    <col min="3851" max="3851" width="3.75" style="16" customWidth="1"/>
    <col min="3852" max="3852" width="6.5" style="16" customWidth="1"/>
    <col min="3853" max="3853" width="13.5" style="16" customWidth="1"/>
    <col min="3854" max="3854" width="11.25" style="16" customWidth="1"/>
    <col min="3855" max="3855" width="3.75" style="16" customWidth="1"/>
    <col min="3856" max="3856" width="6.5" style="16" customWidth="1"/>
    <col min="3857" max="3857" width="13.5" style="16" customWidth="1"/>
    <col min="3858" max="3858" width="2.625" style="16" customWidth="1"/>
    <col min="3859" max="3860" width="10.125" style="16" customWidth="1"/>
    <col min="3861" max="3861" width="3.25" style="16" customWidth="1"/>
    <col min="3862" max="3864" width="16" style="16" customWidth="1"/>
    <col min="3865" max="4096" width="9" style="16"/>
    <col min="4097" max="4097" width="7.5" style="16" customWidth="1"/>
    <col min="4098" max="4098" width="10.875" style="16" customWidth="1"/>
    <col min="4099" max="4099" width="3.75" style="16" customWidth="1"/>
    <col min="4100" max="4100" width="6.5" style="16" customWidth="1"/>
    <col min="4101" max="4101" width="13.5" style="16" customWidth="1"/>
    <col min="4102" max="4102" width="10.25" style="16" customWidth="1"/>
    <col min="4103" max="4103" width="4.125" style="16" customWidth="1"/>
    <col min="4104" max="4104" width="6.5" style="16" customWidth="1"/>
    <col min="4105" max="4105" width="13.5" style="16" customWidth="1"/>
    <col min="4106" max="4106" width="10.625" style="16" customWidth="1"/>
    <col min="4107" max="4107" width="3.75" style="16" customWidth="1"/>
    <col min="4108" max="4108" width="6.5" style="16" customWidth="1"/>
    <col min="4109" max="4109" width="13.5" style="16" customWidth="1"/>
    <col min="4110" max="4110" width="11.25" style="16" customWidth="1"/>
    <col min="4111" max="4111" width="3.75" style="16" customWidth="1"/>
    <col min="4112" max="4112" width="6.5" style="16" customWidth="1"/>
    <col min="4113" max="4113" width="13.5" style="16" customWidth="1"/>
    <col min="4114" max="4114" width="2.625" style="16" customWidth="1"/>
    <col min="4115" max="4116" width="10.125" style="16" customWidth="1"/>
    <col min="4117" max="4117" width="3.25" style="16" customWidth="1"/>
    <col min="4118" max="4120" width="16" style="16" customWidth="1"/>
    <col min="4121" max="4352" width="9" style="16"/>
    <col min="4353" max="4353" width="7.5" style="16" customWidth="1"/>
    <col min="4354" max="4354" width="10.875" style="16" customWidth="1"/>
    <col min="4355" max="4355" width="3.75" style="16" customWidth="1"/>
    <col min="4356" max="4356" width="6.5" style="16" customWidth="1"/>
    <col min="4357" max="4357" width="13.5" style="16" customWidth="1"/>
    <col min="4358" max="4358" width="10.25" style="16" customWidth="1"/>
    <col min="4359" max="4359" width="4.125" style="16" customWidth="1"/>
    <col min="4360" max="4360" width="6.5" style="16" customWidth="1"/>
    <col min="4361" max="4361" width="13.5" style="16" customWidth="1"/>
    <col min="4362" max="4362" width="10.625" style="16" customWidth="1"/>
    <col min="4363" max="4363" width="3.75" style="16" customWidth="1"/>
    <col min="4364" max="4364" width="6.5" style="16" customWidth="1"/>
    <col min="4365" max="4365" width="13.5" style="16" customWidth="1"/>
    <col min="4366" max="4366" width="11.25" style="16" customWidth="1"/>
    <col min="4367" max="4367" width="3.75" style="16" customWidth="1"/>
    <col min="4368" max="4368" width="6.5" style="16" customWidth="1"/>
    <col min="4369" max="4369" width="13.5" style="16" customWidth="1"/>
    <col min="4370" max="4370" width="2.625" style="16" customWidth="1"/>
    <col min="4371" max="4372" width="10.125" style="16" customWidth="1"/>
    <col min="4373" max="4373" width="3.25" style="16" customWidth="1"/>
    <col min="4374" max="4376" width="16" style="16" customWidth="1"/>
    <col min="4377" max="4608" width="9" style="16"/>
    <col min="4609" max="4609" width="7.5" style="16" customWidth="1"/>
    <col min="4610" max="4610" width="10.875" style="16" customWidth="1"/>
    <col min="4611" max="4611" width="3.75" style="16" customWidth="1"/>
    <col min="4612" max="4612" width="6.5" style="16" customWidth="1"/>
    <col min="4613" max="4613" width="13.5" style="16" customWidth="1"/>
    <col min="4614" max="4614" width="10.25" style="16" customWidth="1"/>
    <col min="4615" max="4615" width="4.125" style="16" customWidth="1"/>
    <col min="4616" max="4616" width="6.5" style="16" customWidth="1"/>
    <col min="4617" max="4617" width="13.5" style="16" customWidth="1"/>
    <col min="4618" max="4618" width="10.625" style="16" customWidth="1"/>
    <col min="4619" max="4619" width="3.75" style="16" customWidth="1"/>
    <col min="4620" max="4620" width="6.5" style="16" customWidth="1"/>
    <col min="4621" max="4621" width="13.5" style="16" customWidth="1"/>
    <col min="4622" max="4622" width="11.25" style="16" customWidth="1"/>
    <col min="4623" max="4623" width="3.75" style="16" customWidth="1"/>
    <col min="4624" max="4624" width="6.5" style="16" customWidth="1"/>
    <col min="4625" max="4625" width="13.5" style="16" customWidth="1"/>
    <col min="4626" max="4626" width="2.625" style="16" customWidth="1"/>
    <col min="4627" max="4628" width="10.125" style="16" customWidth="1"/>
    <col min="4629" max="4629" width="3.25" style="16" customWidth="1"/>
    <col min="4630" max="4632" width="16" style="16" customWidth="1"/>
    <col min="4633" max="4864" width="9" style="16"/>
    <col min="4865" max="4865" width="7.5" style="16" customWidth="1"/>
    <col min="4866" max="4866" width="10.875" style="16" customWidth="1"/>
    <col min="4867" max="4867" width="3.75" style="16" customWidth="1"/>
    <col min="4868" max="4868" width="6.5" style="16" customWidth="1"/>
    <col min="4869" max="4869" width="13.5" style="16" customWidth="1"/>
    <col min="4870" max="4870" width="10.25" style="16" customWidth="1"/>
    <col min="4871" max="4871" width="4.125" style="16" customWidth="1"/>
    <col min="4872" max="4872" width="6.5" style="16" customWidth="1"/>
    <col min="4873" max="4873" width="13.5" style="16" customWidth="1"/>
    <col min="4874" max="4874" width="10.625" style="16" customWidth="1"/>
    <col min="4875" max="4875" width="3.75" style="16" customWidth="1"/>
    <col min="4876" max="4876" width="6.5" style="16" customWidth="1"/>
    <col min="4877" max="4877" width="13.5" style="16" customWidth="1"/>
    <col min="4878" max="4878" width="11.25" style="16" customWidth="1"/>
    <col min="4879" max="4879" width="3.75" style="16" customWidth="1"/>
    <col min="4880" max="4880" width="6.5" style="16" customWidth="1"/>
    <col min="4881" max="4881" width="13.5" style="16" customWidth="1"/>
    <col min="4882" max="4882" width="2.625" style="16" customWidth="1"/>
    <col min="4883" max="4884" width="10.125" style="16" customWidth="1"/>
    <col min="4885" max="4885" width="3.25" style="16" customWidth="1"/>
    <col min="4886" max="4888" width="16" style="16" customWidth="1"/>
    <col min="4889" max="5120" width="9" style="16"/>
    <col min="5121" max="5121" width="7.5" style="16" customWidth="1"/>
    <col min="5122" max="5122" width="10.875" style="16" customWidth="1"/>
    <col min="5123" max="5123" width="3.75" style="16" customWidth="1"/>
    <col min="5124" max="5124" width="6.5" style="16" customWidth="1"/>
    <col min="5125" max="5125" width="13.5" style="16" customWidth="1"/>
    <col min="5126" max="5126" width="10.25" style="16" customWidth="1"/>
    <col min="5127" max="5127" width="4.125" style="16" customWidth="1"/>
    <col min="5128" max="5128" width="6.5" style="16" customWidth="1"/>
    <col min="5129" max="5129" width="13.5" style="16" customWidth="1"/>
    <col min="5130" max="5130" width="10.625" style="16" customWidth="1"/>
    <col min="5131" max="5131" width="3.75" style="16" customWidth="1"/>
    <col min="5132" max="5132" width="6.5" style="16" customWidth="1"/>
    <col min="5133" max="5133" width="13.5" style="16" customWidth="1"/>
    <col min="5134" max="5134" width="11.25" style="16" customWidth="1"/>
    <col min="5135" max="5135" width="3.75" style="16" customWidth="1"/>
    <col min="5136" max="5136" width="6.5" style="16" customWidth="1"/>
    <col min="5137" max="5137" width="13.5" style="16" customWidth="1"/>
    <col min="5138" max="5138" width="2.625" style="16" customWidth="1"/>
    <col min="5139" max="5140" width="10.125" style="16" customWidth="1"/>
    <col min="5141" max="5141" width="3.25" style="16" customWidth="1"/>
    <col min="5142" max="5144" width="16" style="16" customWidth="1"/>
    <col min="5145" max="5376" width="9" style="16"/>
    <col min="5377" max="5377" width="7.5" style="16" customWidth="1"/>
    <col min="5378" max="5378" width="10.875" style="16" customWidth="1"/>
    <col min="5379" max="5379" width="3.75" style="16" customWidth="1"/>
    <col min="5380" max="5380" width="6.5" style="16" customWidth="1"/>
    <col min="5381" max="5381" width="13.5" style="16" customWidth="1"/>
    <col min="5382" max="5382" width="10.25" style="16" customWidth="1"/>
    <col min="5383" max="5383" width="4.125" style="16" customWidth="1"/>
    <col min="5384" max="5384" width="6.5" style="16" customWidth="1"/>
    <col min="5385" max="5385" width="13.5" style="16" customWidth="1"/>
    <col min="5386" max="5386" width="10.625" style="16" customWidth="1"/>
    <col min="5387" max="5387" width="3.75" style="16" customWidth="1"/>
    <col min="5388" max="5388" width="6.5" style="16" customWidth="1"/>
    <col min="5389" max="5389" width="13.5" style="16" customWidth="1"/>
    <col min="5390" max="5390" width="11.25" style="16" customWidth="1"/>
    <col min="5391" max="5391" width="3.75" style="16" customWidth="1"/>
    <col min="5392" max="5392" width="6.5" style="16" customWidth="1"/>
    <col min="5393" max="5393" width="13.5" style="16" customWidth="1"/>
    <col min="5394" max="5394" width="2.625" style="16" customWidth="1"/>
    <col min="5395" max="5396" width="10.125" style="16" customWidth="1"/>
    <col min="5397" max="5397" width="3.25" style="16" customWidth="1"/>
    <col min="5398" max="5400" width="16" style="16" customWidth="1"/>
    <col min="5401" max="5632" width="9" style="16"/>
    <col min="5633" max="5633" width="7.5" style="16" customWidth="1"/>
    <col min="5634" max="5634" width="10.875" style="16" customWidth="1"/>
    <col min="5635" max="5635" width="3.75" style="16" customWidth="1"/>
    <col min="5636" max="5636" width="6.5" style="16" customWidth="1"/>
    <col min="5637" max="5637" width="13.5" style="16" customWidth="1"/>
    <col min="5638" max="5638" width="10.25" style="16" customWidth="1"/>
    <col min="5639" max="5639" width="4.125" style="16" customWidth="1"/>
    <col min="5640" max="5640" width="6.5" style="16" customWidth="1"/>
    <col min="5641" max="5641" width="13.5" style="16" customWidth="1"/>
    <col min="5642" max="5642" width="10.625" style="16" customWidth="1"/>
    <col min="5643" max="5643" width="3.75" style="16" customWidth="1"/>
    <col min="5644" max="5644" width="6.5" style="16" customWidth="1"/>
    <col min="5645" max="5645" width="13.5" style="16" customWidth="1"/>
    <col min="5646" max="5646" width="11.25" style="16" customWidth="1"/>
    <col min="5647" max="5647" width="3.75" style="16" customWidth="1"/>
    <col min="5648" max="5648" width="6.5" style="16" customWidth="1"/>
    <col min="5649" max="5649" width="13.5" style="16" customWidth="1"/>
    <col min="5650" max="5650" width="2.625" style="16" customWidth="1"/>
    <col min="5651" max="5652" width="10.125" style="16" customWidth="1"/>
    <col min="5653" max="5653" width="3.25" style="16" customWidth="1"/>
    <col min="5654" max="5656" width="16" style="16" customWidth="1"/>
    <col min="5657" max="5888" width="9" style="16"/>
    <col min="5889" max="5889" width="7.5" style="16" customWidth="1"/>
    <col min="5890" max="5890" width="10.875" style="16" customWidth="1"/>
    <col min="5891" max="5891" width="3.75" style="16" customWidth="1"/>
    <col min="5892" max="5892" width="6.5" style="16" customWidth="1"/>
    <col min="5893" max="5893" width="13.5" style="16" customWidth="1"/>
    <col min="5894" max="5894" width="10.25" style="16" customWidth="1"/>
    <col min="5895" max="5895" width="4.125" style="16" customWidth="1"/>
    <col min="5896" max="5896" width="6.5" style="16" customWidth="1"/>
    <col min="5897" max="5897" width="13.5" style="16" customWidth="1"/>
    <col min="5898" max="5898" width="10.625" style="16" customWidth="1"/>
    <col min="5899" max="5899" width="3.75" style="16" customWidth="1"/>
    <col min="5900" max="5900" width="6.5" style="16" customWidth="1"/>
    <col min="5901" max="5901" width="13.5" style="16" customWidth="1"/>
    <col min="5902" max="5902" width="11.25" style="16" customWidth="1"/>
    <col min="5903" max="5903" width="3.75" style="16" customWidth="1"/>
    <col min="5904" max="5904" width="6.5" style="16" customWidth="1"/>
    <col min="5905" max="5905" width="13.5" style="16" customWidth="1"/>
    <col min="5906" max="5906" width="2.625" style="16" customWidth="1"/>
    <col min="5907" max="5908" width="10.125" style="16" customWidth="1"/>
    <col min="5909" max="5909" width="3.25" style="16" customWidth="1"/>
    <col min="5910" max="5912" width="16" style="16" customWidth="1"/>
    <col min="5913" max="6144" width="9" style="16"/>
    <col min="6145" max="6145" width="7.5" style="16" customWidth="1"/>
    <col min="6146" max="6146" width="10.875" style="16" customWidth="1"/>
    <col min="6147" max="6147" width="3.75" style="16" customWidth="1"/>
    <col min="6148" max="6148" width="6.5" style="16" customWidth="1"/>
    <col min="6149" max="6149" width="13.5" style="16" customWidth="1"/>
    <col min="6150" max="6150" width="10.25" style="16" customWidth="1"/>
    <col min="6151" max="6151" width="4.125" style="16" customWidth="1"/>
    <col min="6152" max="6152" width="6.5" style="16" customWidth="1"/>
    <col min="6153" max="6153" width="13.5" style="16" customWidth="1"/>
    <col min="6154" max="6154" width="10.625" style="16" customWidth="1"/>
    <col min="6155" max="6155" width="3.75" style="16" customWidth="1"/>
    <col min="6156" max="6156" width="6.5" style="16" customWidth="1"/>
    <col min="6157" max="6157" width="13.5" style="16" customWidth="1"/>
    <col min="6158" max="6158" width="11.25" style="16" customWidth="1"/>
    <col min="6159" max="6159" width="3.75" style="16" customWidth="1"/>
    <col min="6160" max="6160" width="6.5" style="16" customWidth="1"/>
    <col min="6161" max="6161" width="13.5" style="16" customWidth="1"/>
    <col min="6162" max="6162" width="2.625" style="16" customWidth="1"/>
    <col min="6163" max="6164" width="10.125" style="16" customWidth="1"/>
    <col min="6165" max="6165" width="3.25" style="16" customWidth="1"/>
    <col min="6166" max="6168" width="16" style="16" customWidth="1"/>
    <col min="6169" max="6400" width="9" style="16"/>
    <col min="6401" max="6401" width="7.5" style="16" customWidth="1"/>
    <col min="6402" max="6402" width="10.875" style="16" customWidth="1"/>
    <col min="6403" max="6403" width="3.75" style="16" customWidth="1"/>
    <col min="6404" max="6404" width="6.5" style="16" customWidth="1"/>
    <col min="6405" max="6405" width="13.5" style="16" customWidth="1"/>
    <col min="6406" max="6406" width="10.25" style="16" customWidth="1"/>
    <col min="6407" max="6407" width="4.125" style="16" customWidth="1"/>
    <col min="6408" max="6408" width="6.5" style="16" customWidth="1"/>
    <col min="6409" max="6409" width="13.5" style="16" customWidth="1"/>
    <col min="6410" max="6410" width="10.625" style="16" customWidth="1"/>
    <col min="6411" max="6411" width="3.75" style="16" customWidth="1"/>
    <col min="6412" max="6412" width="6.5" style="16" customWidth="1"/>
    <col min="6413" max="6413" width="13.5" style="16" customWidth="1"/>
    <col min="6414" max="6414" width="11.25" style="16" customWidth="1"/>
    <col min="6415" max="6415" width="3.75" style="16" customWidth="1"/>
    <col min="6416" max="6416" width="6.5" style="16" customWidth="1"/>
    <col min="6417" max="6417" width="13.5" style="16" customWidth="1"/>
    <col min="6418" max="6418" width="2.625" style="16" customWidth="1"/>
    <col min="6419" max="6420" width="10.125" style="16" customWidth="1"/>
    <col min="6421" max="6421" width="3.25" style="16" customWidth="1"/>
    <col min="6422" max="6424" width="16" style="16" customWidth="1"/>
    <col min="6425" max="6656" width="9" style="16"/>
    <col min="6657" max="6657" width="7.5" style="16" customWidth="1"/>
    <col min="6658" max="6658" width="10.875" style="16" customWidth="1"/>
    <col min="6659" max="6659" width="3.75" style="16" customWidth="1"/>
    <col min="6660" max="6660" width="6.5" style="16" customWidth="1"/>
    <col min="6661" max="6661" width="13.5" style="16" customWidth="1"/>
    <col min="6662" max="6662" width="10.25" style="16" customWidth="1"/>
    <col min="6663" max="6663" width="4.125" style="16" customWidth="1"/>
    <col min="6664" max="6664" width="6.5" style="16" customWidth="1"/>
    <col min="6665" max="6665" width="13.5" style="16" customWidth="1"/>
    <col min="6666" max="6666" width="10.625" style="16" customWidth="1"/>
    <col min="6667" max="6667" width="3.75" style="16" customWidth="1"/>
    <col min="6668" max="6668" width="6.5" style="16" customWidth="1"/>
    <col min="6669" max="6669" width="13.5" style="16" customWidth="1"/>
    <col min="6670" max="6670" width="11.25" style="16" customWidth="1"/>
    <col min="6671" max="6671" width="3.75" style="16" customWidth="1"/>
    <col min="6672" max="6672" width="6.5" style="16" customWidth="1"/>
    <col min="6673" max="6673" width="13.5" style="16" customWidth="1"/>
    <col min="6674" max="6674" width="2.625" style="16" customWidth="1"/>
    <col min="6675" max="6676" width="10.125" style="16" customWidth="1"/>
    <col min="6677" max="6677" width="3.25" style="16" customWidth="1"/>
    <col min="6678" max="6680" width="16" style="16" customWidth="1"/>
    <col min="6681" max="6912" width="9" style="16"/>
    <col min="6913" max="6913" width="7.5" style="16" customWidth="1"/>
    <col min="6914" max="6914" width="10.875" style="16" customWidth="1"/>
    <col min="6915" max="6915" width="3.75" style="16" customWidth="1"/>
    <col min="6916" max="6916" width="6.5" style="16" customWidth="1"/>
    <col min="6917" max="6917" width="13.5" style="16" customWidth="1"/>
    <col min="6918" max="6918" width="10.25" style="16" customWidth="1"/>
    <col min="6919" max="6919" width="4.125" style="16" customWidth="1"/>
    <col min="6920" max="6920" width="6.5" style="16" customWidth="1"/>
    <col min="6921" max="6921" width="13.5" style="16" customWidth="1"/>
    <col min="6922" max="6922" width="10.625" style="16" customWidth="1"/>
    <col min="6923" max="6923" width="3.75" style="16" customWidth="1"/>
    <col min="6924" max="6924" width="6.5" style="16" customWidth="1"/>
    <col min="6925" max="6925" width="13.5" style="16" customWidth="1"/>
    <col min="6926" max="6926" width="11.25" style="16" customWidth="1"/>
    <col min="6927" max="6927" width="3.75" style="16" customWidth="1"/>
    <col min="6928" max="6928" width="6.5" style="16" customWidth="1"/>
    <col min="6929" max="6929" width="13.5" style="16" customWidth="1"/>
    <col min="6930" max="6930" width="2.625" style="16" customWidth="1"/>
    <col min="6931" max="6932" width="10.125" style="16" customWidth="1"/>
    <col min="6933" max="6933" width="3.25" style="16" customWidth="1"/>
    <col min="6934" max="6936" width="16" style="16" customWidth="1"/>
    <col min="6937" max="7168" width="9" style="16"/>
    <col min="7169" max="7169" width="7.5" style="16" customWidth="1"/>
    <col min="7170" max="7170" width="10.875" style="16" customWidth="1"/>
    <col min="7171" max="7171" width="3.75" style="16" customWidth="1"/>
    <col min="7172" max="7172" width="6.5" style="16" customWidth="1"/>
    <col min="7173" max="7173" width="13.5" style="16" customWidth="1"/>
    <col min="7174" max="7174" width="10.25" style="16" customWidth="1"/>
    <col min="7175" max="7175" width="4.125" style="16" customWidth="1"/>
    <col min="7176" max="7176" width="6.5" style="16" customWidth="1"/>
    <col min="7177" max="7177" width="13.5" style="16" customWidth="1"/>
    <col min="7178" max="7178" width="10.625" style="16" customWidth="1"/>
    <col min="7179" max="7179" width="3.75" style="16" customWidth="1"/>
    <col min="7180" max="7180" width="6.5" style="16" customWidth="1"/>
    <col min="7181" max="7181" width="13.5" style="16" customWidth="1"/>
    <col min="7182" max="7182" width="11.25" style="16" customWidth="1"/>
    <col min="7183" max="7183" width="3.75" style="16" customWidth="1"/>
    <col min="7184" max="7184" width="6.5" style="16" customWidth="1"/>
    <col min="7185" max="7185" width="13.5" style="16" customWidth="1"/>
    <col min="7186" max="7186" width="2.625" style="16" customWidth="1"/>
    <col min="7187" max="7188" width="10.125" style="16" customWidth="1"/>
    <col min="7189" max="7189" width="3.25" style="16" customWidth="1"/>
    <col min="7190" max="7192" width="16" style="16" customWidth="1"/>
    <col min="7193" max="7424" width="9" style="16"/>
    <col min="7425" max="7425" width="7.5" style="16" customWidth="1"/>
    <col min="7426" max="7426" width="10.875" style="16" customWidth="1"/>
    <col min="7427" max="7427" width="3.75" style="16" customWidth="1"/>
    <col min="7428" max="7428" width="6.5" style="16" customWidth="1"/>
    <col min="7429" max="7429" width="13.5" style="16" customWidth="1"/>
    <col min="7430" max="7430" width="10.25" style="16" customWidth="1"/>
    <col min="7431" max="7431" width="4.125" style="16" customWidth="1"/>
    <col min="7432" max="7432" width="6.5" style="16" customWidth="1"/>
    <col min="7433" max="7433" width="13.5" style="16" customWidth="1"/>
    <col min="7434" max="7434" width="10.625" style="16" customWidth="1"/>
    <col min="7435" max="7435" width="3.75" style="16" customWidth="1"/>
    <col min="7436" max="7436" width="6.5" style="16" customWidth="1"/>
    <col min="7437" max="7437" width="13.5" style="16" customWidth="1"/>
    <col min="7438" max="7438" width="11.25" style="16" customWidth="1"/>
    <col min="7439" max="7439" width="3.75" style="16" customWidth="1"/>
    <col min="7440" max="7440" width="6.5" style="16" customWidth="1"/>
    <col min="7441" max="7441" width="13.5" style="16" customWidth="1"/>
    <col min="7442" max="7442" width="2.625" style="16" customWidth="1"/>
    <col min="7443" max="7444" width="10.125" style="16" customWidth="1"/>
    <col min="7445" max="7445" width="3.25" style="16" customWidth="1"/>
    <col min="7446" max="7448" width="16" style="16" customWidth="1"/>
    <col min="7449" max="7680" width="9" style="16"/>
    <col min="7681" max="7681" width="7.5" style="16" customWidth="1"/>
    <col min="7682" max="7682" width="10.875" style="16" customWidth="1"/>
    <col min="7683" max="7683" width="3.75" style="16" customWidth="1"/>
    <col min="7684" max="7684" width="6.5" style="16" customWidth="1"/>
    <col min="7685" max="7685" width="13.5" style="16" customWidth="1"/>
    <col min="7686" max="7686" width="10.25" style="16" customWidth="1"/>
    <col min="7687" max="7687" width="4.125" style="16" customWidth="1"/>
    <col min="7688" max="7688" width="6.5" style="16" customWidth="1"/>
    <col min="7689" max="7689" width="13.5" style="16" customWidth="1"/>
    <col min="7690" max="7690" width="10.625" style="16" customWidth="1"/>
    <col min="7691" max="7691" width="3.75" style="16" customWidth="1"/>
    <col min="7692" max="7692" width="6.5" style="16" customWidth="1"/>
    <col min="7693" max="7693" width="13.5" style="16" customWidth="1"/>
    <col min="7694" max="7694" width="11.25" style="16" customWidth="1"/>
    <col min="7695" max="7695" width="3.75" style="16" customWidth="1"/>
    <col min="7696" max="7696" width="6.5" style="16" customWidth="1"/>
    <col min="7697" max="7697" width="13.5" style="16" customWidth="1"/>
    <col min="7698" max="7698" width="2.625" style="16" customWidth="1"/>
    <col min="7699" max="7700" width="10.125" style="16" customWidth="1"/>
    <col min="7701" max="7701" width="3.25" style="16" customWidth="1"/>
    <col min="7702" max="7704" width="16" style="16" customWidth="1"/>
    <col min="7705" max="7936" width="9" style="16"/>
    <col min="7937" max="7937" width="7.5" style="16" customWidth="1"/>
    <col min="7938" max="7938" width="10.875" style="16" customWidth="1"/>
    <col min="7939" max="7939" width="3.75" style="16" customWidth="1"/>
    <col min="7940" max="7940" width="6.5" style="16" customWidth="1"/>
    <col min="7941" max="7941" width="13.5" style="16" customWidth="1"/>
    <col min="7942" max="7942" width="10.25" style="16" customWidth="1"/>
    <col min="7943" max="7943" width="4.125" style="16" customWidth="1"/>
    <col min="7944" max="7944" width="6.5" style="16" customWidth="1"/>
    <col min="7945" max="7945" width="13.5" style="16" customWidth="1"/>
    <col min="7946" max="7946" width="10.625" style="16" customWidth="1"/>
    <col min="7947" max="7947" width="3.75" style="16" customWidth="1"/>
    <col min="7948" max="7948" width="6.5" style="16" customWidth="1"/>
    <col min="7949" max="7949" width="13.5" style="16" customWidth="1"/>
    <col min="7950" max="7950" width="11.25" style="16" customWidth="1"/>
    <col min="7951" max="7951" width="3.75" style="16" customWidth="1"/>
    <col min="7952" max="7952" width="6.5" style="16" customWidth="1"/>
    <col min="7953" max="7953" width="13.5" style="16" customWidth="1"/>
    <col min="7954" max="7954" width="2.625" style="16" customWidth="1"/>
    <col min="7955" max="7956" width="10.125" style="16" customWidth="1"/>
    <col min="7957" max="7957" width="3.25" style="16" customWidth="1"/>
    <col min="7958" max="7960" width="16" style="16" customWidth="1"/>
    <col min="7961" max="8192" width="9" style="16"/>
    <col min="8193" max="8193" width="7.5" style="16" customWidth="1"/>
    <col min="8194" max="8194" width="10.875" style="16" customWidth="1"/>
    <col min="8195" max="8195" width="3.75" style="16" customWidth="1"/>
    <col min="8196" max="8196" width="6.5" style="16" customWidth="1"/>
    <col min="8197" max="8197" width="13.5" style="16" customWidth="1"/>
    <col min="8198" max="8198" width="10.25" style="16" customWidth="1"/>
    <col min="8199" max="8199" width="4.125" style="16" customWidth="1"/>
    <col min="8200" max="8200" width="6.5" style="16" customWidth="1"/>
    <col min="8201" max="8201" width="13.5" style="16" customWidth="1"/>
    <col min="8202" max="8202" width="10.625" style="16" customWidth="1"/>
    <col min="8203" max="8203" width="3.75" style="16" customWidth="1"/>
    <col min="8204" max="8204" width="6.5" style="16" customWidth="1"/>
    <col min="8205" max="8205" width="13.5" style="16" customWidth="1"/>
    <col min="8206" max="8206" width="11.25" style="16" customWidth="1"/>
    <col min="8207" max="8207" width="3.75" style="16" customWidth="1"/>
    <col min="8208" max="8208" width="6.5" style="16" customWidth="1"/>
    <col min="8209" max="8209" width="13.5" style="16" customWidth="1"/>
    <col min="8210" max="8210" width="2.625" style="16" customWidth="1"/>
    <col min="8211" max="8212" width="10.125" style="16" customWidth="1"/>
    <col min="8213" max="8213" width="3.25" style="16" customWidth="1"/>
    <col min="8214" max="8216" width="16" style="16" customWidth="1"/>
    <col min="8217" max="8448" width="9" style="16"/>
    <col min="8449" max="8449" width="7.5" style="16" customWidth="1"/>
    <col min="8450" max="8450" width="10.875" style="16" customWidth="1"/>
    <col min="8451" max="8451" width="3.75" style="16" customWidth="1"/>
    <col min="8452" max="8452" width="6.5" style="16" customWidth="1"/>
    <col min="8453" max="8453" width="13.5" style="16" customWidth="1"/>
    <col min="8454" max="8454" width="10.25" style="16" customWidth="1"/>
    <col min="8455" max="8455" width="4.125" style="16" customWidth="1"/>
    <col min="8456" max="8456" width="6.5" style="16" customWidth="1"/>
    <col min="8457" max="8457" width="13.5" style="16" customWidth="1"/>
    <col min="8458" max="8458" width="10.625" style="16" customWidth="1"/>
    <col min="8459" max="8459" width="3.75" style="16" customWidth="1"/>
    <col min="8460" max="8460" width="6.5" style="16" customWidth="1"/>
    <col min="8461" max="8461" width="13.5" style="16" customWidth="1"/>
    <col min="8462" max="8462" width="11.25" style="16" customWidth="1"/>
    <col min="8463" max="8463" width="3.75" style="16" customWidth="1"/>
    <col min="8464" max="8464" width="6.5" style="16" customWidth="1"/>
    <col min="8465" max="8465" width="13.5" style="16" customWidth="1"/>
    <col min="8466" max="8466" width="2.625" style="16" customWidth="1"/>
    <col min="8467" max="8468" width="10.125" style="16" customWidth="1"/>
    <col min="8469" max="8469" width="3.25" style="16" customWidth="1"/>
    <col min="8470" max="8472" width="16" style="16" customWidth="1"/>
    <col min="8473" max="8704" width="9" style="16"/>
    <col min="8705" max="8705" width="7.5" style="16" customWidth="1"/>
    <col min="8706" max="8706" width="10.875" style="16" customWidth="1"/>
    <col min="8707" max="8707" width="3.75" style="16" customWidth="1"/>
    <col min="8708" max="8708" width="6.5" style="16" customWidth="1"/>
    <col min="8709" max="8709" width="13.5" style="16" customWidth="1"/>
    <col min="8710" max="8710" width="10.25" style="16" customWidth="1"/>
    <col min="8711" max="8711" width="4.125" style="16" customWidth="1"/>
    <col min="8712" max="8712" width="6.5" style="16" customWidth="1"/>
    <col min="8713" max="8713" width="13.5" style="16" customWidth="1"/>
    <col min="8714" max="8714" width="10.625" style="16" customWidth="1"/>
    <col min="8715" max="8715" width="3.75" style="16" customWidth="1"/>
    <col min="8716" max="8716" width="6.5" style="16" customWidth="1"/>
    <col min="8717" max="8717" width="13.5" style="16" customWidth="1"/>
    <col min="8718" max="8718" width="11.25" style="16" customWidth="1"/>
    <col min="8719" max="8719" width="3.75" style="16" customWidth="1"/>
    <col min="8720" max="8720" width="6.5" style="16" customWidth="1"/>
    <col min="8721" max="8721" width="13.5" style="16" customWidth="1"/>
    <col min="8722" max="8722" width="2.625" style="16" customWidth="1"/>
    <col min="8723" max="8724" width="10.125" style="16" customWidth="1"/>
    <col min="8725" max="8725" width="3.25" style="16" customWidth="1"/>
    <col min="8726" max="8728" width="16" style="16" customWidth="1"/>
    <col min="8729" max="8960" width="9" style="16"/>
    <col min="8961" max="8961" width="7.5" style="16" customWidth="1"/>
    <col min="8962" max="8962" width="10.875" style="16" customWidth="1"/>
    <col min="8963" max="8963" width="3.75" style="16" customWidth="1"/>
    <col min="8964" max="8964" width="6.5" style="16" customWidth="1"/>
    <col min="8965" max="8965" width="13.5" style="16" customWidth="1"/>
    <col min="8966" max="8966" width="10.25" style="16" customWidth="1"/>
    <col min="8967" max="8967" width="4.125" style="16" customWidth="1"/>
    <col min="8968" max="8968" width="6.5" style="16" customWidth="1"/>
    <col min="8969" max="8969" width="13.5" style="16" customWidth="1"/>
    <col min="8970" max="8970" width="10.625" style="16" customWidth="1"/>
    <col min="8971" max="8971" width="3.75" style="16" customWidth="1"/>
    <col min="8972" max="8972" width="6.5" style="16" customWidth="1"/>
    <col min="8973" max="8973" width="13.5" style="16" customWidth="1"/>
    <col min="8974" max="8974" width="11.25" style="16" customWidth="1"/>
    <col min="8975" max="8975" width="3.75" style="16" customWidth="1"/>
    <col min="8976" max="8976" width="6.5" style="16" customWidth="1"/>
    <col min="8977" max="8977" width="13.5" style="16" customWidth="1"/>
    <col min="8978" max="8978" width="2.625" style="16" customWidth="1"/>
    <col min="8979" max="8980" width="10.125" style="16" customWidth="1"/>
    <col min="8981" max="8981" width="3.25" style="16" customWidth="1"/>
    <col min="8982" max="8984" width="16" style="16" customWidth="1"/>
    <col min="8985" max="9216" width="9" style="16"/>
    <col min="9217" max="9217" width="7.5" style="16" customWidth="1"/>
    <col min="9218" max="9218" width="10.875" style="16" customWidth="1"/>
    <col min="9219" max="9219" width="3.75" style="16" customWidth="1"/>
    <col min="9220" max="9220" width="6.5" style="16" customWidth="1"/>
    <col min="9221" max="9221" width="13.5" style="16" customWidth="1"/>
    <col min="9222" max="9222" width="10.25" style="16" customWidth="1"/>
    <col min="9223" max="9223" width="4.125" style="16" customWidth="1"/>
    <col min="9224" max="9224" width="6.5" style="16" customWidth="1"/>
    <col min="9225" max="9225" width="13.5" style="16" customWidth="1"/>
    <col min="9226" max="9226" width="10.625" style="16" customWidth="1"/>
    <col min="9227" max="9227" width="3.75" style="16" customWidth="1"/>
    <col min="9228" max="9228" width="6.5" style="16" customWidth="1"/>
    <col min="9229" max="9229" width="13.5" style="16" customWidth="1"/>
    <col min="9230" max="9230" width="11.25" style="16" customWidth="1"/>
    <col min="9231" max="9231" width="3.75" style="16" customWidth="1"/>
    <col min="9232" max="9232" width="6.5" style="16" customWidth="1"/>
    <col min="9233" max="9233" width="13.5" style="16" customWidth="1"/>
    <col min="9234" max="9234" width="2.625" style="16" customWidth="1"/>
    <col min="9235" max="9236" width="10.125" style="16" customWidth="1"/>
    <col min="9237" max="9237" width="3.25" style="16" customWidth="1"/>
    <col min="9238" max="9240" width="16" style="16" customWidth="1"/>
    <col min="9241" max="9472" width="9" style="16"/>
    <col min="9473" max="9473" width="7.5" style="16" customWidth="1"/>
    <col min="9474" max="9474" width="10.875" style="16" customWidth="1"/>
    <col min="9475" max="9475" width="3.75" style="16" customWidth="1"/>
    <col min="9476" max="9476" width="6.5" style="16" customWidth="1"/>
    <col min="9477" max="9477" width="13.5" style="16" customWidth="1"/>
    <col min="9478" max="9478" width="10.25" style="16" customWidth="1"/>
    <col min="9479" max="9479" width="4.125" style="16" customWidth="1"/>
    <col min="9480" max="9480" width="6.5" style="16" customWidth="1"/>
    <col min="9481" max="9481" width="13.5" style="16" customWidth="1"/>
    <col min="9482" max="9482" width="10.625" style="16" customWidth="1"/>
    <col min="9483" max="9483" width="3.75" style="16" customWidth="1"/>
    <col min="9484" max="9484" width="6.5" style="16" customWidth="1"/>
    <col min="9485" max="9485" width="13.5" style="16" customWidth="1"/>
    <col min="9486" max="9486" width="11.25" style="16" customWidth="1"/>
    <col min="9487" max="9487" width="3.75" style="16" customWidth="1"/>
    <col min="9488" max="9488" width="6.5" style="16" customWidth="1"/>
    <col min="9489" max="9489" width="13.5" style="16" customWidth="1"/>
    <col min="9490" max="9490" width="2.625" style="16" customWidth="1"/>
    <col min="9491" max="9492" width="10.125" style="16" customWidth="1"/>
    <col min="9493" max="9493" width="3.25" style="16" customWidth="1"/>
    <col min="9494" max="9496" width="16" style="16" customWidth="1"/>
    <col min="9497" max="9728" width="9" style="16"/>
    <col min="9729" max="9729" width="7.5" style="16" customWidth="1"/>
    <col min="9730" max="9730" width="10.875" style="16" customWidth="1"/>
    <col min="9731" max="9731" width="3.75" style="16" customWidth="1"/>
    <col min="9732" max="9732" width="6.5" style="16" customWidth="1"/>
    <col min="9733" max="9733" width="13.5" style="16" customWidth="1"/>
    <col min="9734" max="9734" width="10.25" style="16" customWidth="1"/>
    <col min="9735" max="9735" width="4.125" style="16" customWidth="1"/>
    <col min="9736" max="9736" width="6.5" style="16" customWidth="1"/>
    <col min="9737" max="9737" width="13.5" style="16" customWidth="1"/>
    <col min="9738" max="9738" width="10.625" style="16" customWidth="1"/>
    <col min="9739" max="9739" width="3.75" style="16" customWidth="1"/>
    <col min="9740" max="9740" width="6.5" style="16" customWidth="1"/>
    <col min="9741" max="9741" width="13.5" style="16" customWidth="1"/>
    <col min="9742" max="9742" width="11.25" style="16" customWidth="1"/>
    <col min="9743" max="9743" width="3.75" style="16" customWidth="1"/>
    <col min="9744" max="9744" width="6.5" style="16" customWidth="1"/>
    <col min="9745" max="9745" width="13.5" style="16" customWidth="1"/>
    <col min="9746" max="9746" width="2.625" style="16" customWidth="1"/>
    <col min="9747" max="9748" width="10.125" style="16" customWidth="1"/>
    <col min="9749" max="9749" width="3.25" style="16" customWidth="1"/>
    <col min="9750" max="9752" width="16" style="16" customWidth="1"/>
    <col min="9753" max="9984" width="9" style="16"/>
    <col min="9985" max="9985" width="7.5" style="16" customWidth="1"/>
    <col min="9986" max="9986" width="10.875" style="16" customWidth="1"/>
    <col min="9987" max="9987" width="3.75" style="16" customWidth="1"/>
    <col min="9988" max="9988" width="6.5" style="16" customWidth="1"/>
    <col min="9989" max="9989" width="13.5" style="16" customWidth="1"/>
    <col min="9990" max="9990" width="10.25" style="16" customWidth="1"/>
    <col min="9991" max="9991" width="4.125" style="16" customWidth="1"/>
    <col min="9992" max="9992" width="6.5" style="16" customWidth="1"/>
    <col min="9993" max="9993" width="13.5" style="16" customWidth="1"/>
    <col min="9994" max="9994" width="10.625" style="16" customWidth="1"/>
    <col min="9995" max="9995" width="3.75" style="16" customWidth="1"/>
    <col min="9996" max="9996" width="6.5" style="16" customWidth="1"/>
    <col min="9997" max="9997" width="13.5" style="16" customWidth="1"/>
    <col min="9998" max="9998" width="11.25" style="16" customWidth="1"/>
    <col min="9999" max="9999" width="3.75" style="16" customWidth="1"/>
    <col min="10000" max="10000" width="6.5" style="16" customWidth="1"/>
    <col min="10001" max="10001" width="13.5" style="16" customWidth="1"/>
    <col min="10002" max="10002" width="2.625" style="16" customWidth="1"/>
    <col min="10003" max="10004" width="10.125" style="16" customWidth="1"/>
    <col min="10005" max="10005" width="3.25" style="16" customWidth="1"/>
    <col min="10006" max="10008" width="16" style="16" customWidth="1"/>
    <col min="10009" max="10240" width="9" style="16"/>
    <col min="10241" max="10241" width="7.5" style="16" customWidth="1"/>
    <col min="10242" max="10242" width="10.875" style="16" customWidth="1"/>
    <col min="10243" max="10243" width="3.75" style="16" customWidth="1"/>
    <col min="10244" max="10244" width="6.5" style="16" customWidth="1"/>
    <col min="10245" max="10245" width="13.5" style="16" customWidth="1"/>
    <col min="10246" max="10246" width="10.25" style="16" customWidth="1"/>
    <col min="10247" max="10247" width="4.125" style="16" customWidth="1"/>
    <col min="10248" max="10248" width="6.5" style="16" customWidth="1"/>
    <col min="10249" max="10249" width="13.5" style="16" customWidth="1"/>
    <col min="10250" max="10250" width="10.625" style="16" customWidth="1"/>
    <col min="10251" max="10251" width="3.75" style="16" customWidth="1"/>
    <col min="10252" max="10252" width="6.5" style="16" customWidth="1"/>
    <col min="10253" max="10253" width="13.5" style="16" customWidth="1"/>
    <col min="10254" max="10254" width="11.25" style="16" customWidth="1"/>
    <col min="10255" max="10255" width="3.75" style="16" customWidth="1"/>
    <col min="10256" max="10256" width="6.5" style="16" customWidth="1"/>
    <col min="10257" max="10257" width="13.5" style="16" customWidth="1"/>
    <col min="10258" max="10258" width="2.625" style="16" customWidth="1"/>
    <col min="10259" max="10260" width="10.125" style="16" customWidth="1"/>
    <col min="10261" max="10261" width="3.25" style="16" customWidth="1"/>
    <col min="10262" max="10264" width="16" style="16" customWidth="1"/>
    <col min="10265" max="10496" width="9" style="16"/>
    <col min="10497" max="10497" width="7.5" style="16" customWidth="1"/>
    <col min="10498" max="10498" width="10.875" style="16" customWidth="1"/>
    <col min="10499" max="10499" width="3.75" style="16" customWidth="1"/>
    <col min="10500" max="10500" width="6.5" style="16" customWidth="1"/>
    <col min="10501" max="10501" width="13.5" style="16" customWidth="1"/>
    <col min="10502" max="10502" width="10.25" style="16" customWidth="1"/>
    <col min="10503" max="10503" width="4.125" style="16" customWidth="1"/>
    <col min="10504" max="10504" width="6.5" style="16" customWidth="1"/>
    <col min="10505" max="10505" width="13.5" style="16" customWidth="1"/>
    <col min="10506" max="10506" width="10.625" style="16" customWidth="1"/>
    <col min="10507" max="10507" width="3.75" style="16" customWidth="1"/>
    <col min="10508" max="10508" width="6.5" style="16" customWidth="1"/>
    <col min="10509" max="10509" width="13.5" style="16" customWidth="1"/>
    <col min="10510" max="10510" width="11.25" style="16" customWidth="1"/>
    <col min="10511" max="10511" width="3.75" style="16" customWidth="1"/>
    <col min="10512" max="10512" width="6.5" style="16" customWidth="1"/>
    <col min="10513" max="10513" width="13.5" style="16" customWidth="1"/>
    <col min="10514" max="10514" width="2.625" style="16" customWidth="1"/>
    <col min="10515" max="10516" width="10.125" style="16" customWidth="1"/>
    <col min="10517" max="10517" width="3.25" style="16" customWidth="1"/>
    <col min="10518" max="10520" width="16" style="16" customWidth="1"/>
    <col min="10521" max="10752" width="9" style="16"/>
    <col min="10753" max="10753" width="7.5" style="16" customWidth="1"/>
    <col min="10754" max="10754" width="10.875" style="16" customWidth="1"/>
    <col min="10755" max="10755" width="3.75" style="16" customWidth="1"/>
    <col min="10756" max="10756" width="6.5" style="16" customWidth="1"/>
    <col min="10757" max="10757" width="13.5" style="16" customWidth="1"/>
    <col min="10758" max="10758" width="10.25" style="16" customWidth="1"/>
    <col min="10759" max="10759" width="4.125" style="16" customWidth="1"/>
    <col min="10760" max="10760" width="6.5" style="16" customWidth="1"/>
    <col min="10761" max="10761" width="13.5" style="16" customWidth="1"/>
    <col min="10762" max="10762" width="10.625" style="16" customWidth="1"/>
    <col min="10763" max="10763" width="3.75" style="16" customWidth="1"/>
    <col min="10764" max="10764" width="6.5" style="16" customWidth="1"/>
    <col min="10765" max="10765" width="13.5" style="16" customWidth="1"/>
    <col min="10766" max="10766" width="11.25" style="16" customWidth="1"/>
    <col min="10767" max="10767" width="3.75" style="16" customWidth="1"/>
    <col min="10768" max="10768" width="6.5" style="16" customWidth="1"/>
    <col min="10769" max="10769" width="13.5" style="16" customWidth="1"/>
    <col min="10770" max="10770" width="2.625" style="16" customWidth="1"/>
    <col min="10771" max="10772" width="10.125" style="16" customWidth="1"/>
    <col min="10773" max="10773" width="3.25" style="16" customWidth="1"/>
    <col min="10774" max="10776" width="16" style="16" customWidth="1"/>
    <col min="10777" max="11008" width="9" style="16"/>
    <col min="11009" max="11009" width="7.5" style="16" customWidth="1"/>
    <col min="11010" max="11010" width="10.875" style="16" customWidth="1"/>
    <col min="11011" max="11011" width="3.75" style="16" customWidth="1"/>
    <col min="11012" max="11012" width="6.5" style="16" customWidth="1"/>
    <col min="11013" max="11013" width="13.5" style="16" customWidth="1"/>
    <col min="11014" max="11014" width="10.25" style="16" customWidth="1"/>
    <col min="11015" max="11015" width="4.125" style="16" customWidth="1"/>
    <col min="11016" max="11016" width="6.5" style="16" customWidth="1"/>
    <col min="11017" max="11017" width="13.5" style="16" customWidth="1"/>
    <col min="11018" max="11018" width="10.625" style="16" customWidth="1"/>
    <col min="11019" max="11019" width="3.75" style="16" customWidth="1"/>
    <col min="11020" max="11020" width="6.5" style="16" customWidth="1"/>
    <col min="11021" max="11021" width="13.5" style="16" customWidth="1"/>
    <col min="11022" max="11022" width="11.25" style="16" customWidth="1"/>
    <col min="11023" max="11023" width="3.75" style="16" customWidth="1"/>
    <col min="11024" max="11024" width="6.5" style="16" customWidth="1"/>
    <col min="11025" max="11025" width="13.5" style="16" customWidth="1"/>
    <col min="11026" max="11026" width="2.625" style="16" customWidth="1"/>
    <col min="11027" max="11028" width="10.125" style="16" customWidth="1"/>
    <col min="11029" max="11029" width="3.25" style="16" customWidth="1"/>
    <col min="11030" max="11032" width="16" style="16" customWidth="1"/>
    <col min="11033" max="11264" width="9" style="16"/>
    <col min="11265" max="11265" width="7.5" style="16" customWidth="1"/>
    <col min="11266" max="11266" width="10.875" style="16" customWidth="1"/>
    <col min="11267" max="11267" width="3.75" style="16" customWidth="1"/>
    <col min="11268" max="11268" width="6.5" style="16" customWidth="1"/>
    <col min="11269" max="11269" width="13.5" style="16" customWidth="1"/>
    <col min="11270" max="11270" width="10.25" style="16" customWidth="1"/>
    <col min="11271" max="11271" width="4.125" style="16" customWidth="1"/>
    <col min="11272" max="11272" width="6.5" style="16" customWidth="1"/>
    <col min="11273" max="11273" width="13.5" style="16" customWidth="1"/>
    <col min="11274" max="11274" width="10.625" style="16" customWidth="1"/>
    <col min="11275" max="11275" width="3.75" style="16" customWidth="1"/>
    <col min="11276" max="11276" width="6.5" style="16" customWidth="1"/>
    <col min="11277" max="11277" width="13.5" style="16" customWidth="1"/>
    <col min="11278" max="11278" width="11.25" style="16" customWidth="1"/>
    <col min="11279" max="11279" width="3.75" style="16" customWidth="1"/>
    <col min="11280" max="11280" width="6.5" style="16" customWidth="1"/>
    <col min="11281" max="11281" width="13.5" style="16" customWidth="1"/>
    <col min="11282" max="11282" width="2.625" style="16" customWidth="1"/>
    <col min="11283" max="11284" width="10.125" style="16" customWidth="1"/>
    <col min="11285" max="11285" width="3.25" style="16" customWidth="1"/>
    <col min="11286" max="11288" width="16" style="16" customWidth="1"/>
    <col min="11289" max="11520" width="9" style="16"/>
    <col min="11521" max="11521" width="7.5" style="16" customWidth="1"/>
    <col min="11522" max="11522" width="10.875" style="16" customWidth="1"/>
    <col min="11523" max="11523" width="3.75" style="16" customWidth="1"/>
    <col min="11524" max="11524" width="6.5" style="16" customWidth="1"/>
    <col min="11525" max="11525" width="13.5" style="16" customWidth="1"/>
    <col min="11526" max="11526" width="10.25" style="16" customWidth="1"/>
    <col min="11527" max="11527" width="4.125" style="16" customWidth="1"/>
    <col min="11528" max="11528" width="6.5" style="16" customWidth="1"/>
    <col min="11529" max="11529" width="13.5" style="16" customWidth="1"/>
    <col min="11530" max="11530" width="10.625" style="16" customWidth="1"/>
    <col min="11531" max="11531" width="3.75" style="16" customWidth="1"/>
    <col min="11532" max="11532" width="6.5" style="16" customWidth="1"/>
    <col min="11533" max="11533" width="13.5" style="16" customWidth="1"/>
    <col min="11534" max="11534" width="11.25" style="16" customWidth="1"/>
    <col min="11535" max="11535" width="3.75" style="16" customWidth="1"/>
    <col min="11536" max="11536" width="6.5" style="16" customWidth="1"/>
    <col min="11537" max="11537" width="13.5" style="16" customWidth="1"/>
    <col min="11538" max="11538" width="2.625" style="16" customWidth="1"/>
    <col min="11539" max="11540" width="10.125" style="16" customWidth="1"/>
    <col min="11541" max="11541" width="3.25" style="16" customWidth="1"/>
    <col min="11542" max="11544" width="16" style="16" customWidth="1"/>
    <col min="11545" max="11776" width="9" style="16"/>
    <col min="11777" max="11777" width="7.5" style="16" customWidth="1"/>
    <col min="11778" max="11778" width="10.875" style="16" customWidth="1"/>
    <col min="11779" max="11779" width="3.75" style="16" customWidth="1"/>
    <col min="11780" max="11780" width="6.5" style="16" customWidth="1"/>
    <col min="11781" max="11781" width="13.5" style="16" customWidth="1"/>
    <col min="11782" max="11782" width="10.25" style="16" customWidth="1"/>
    <col min="11783" max="11783" width="4.125" style="16" customWidth="1"/>
    <col min="11784" max="11784" width="6.5" style="16" customWidth="1"/>
    <col min="11785" max="11785" width="13.5" style="16" customWidth="1"/>
    <col min="11786" max="11786" width="10.625" style="16" customWidth="1"/>
    <col min="11787" max="11787" width="3.75" style="16" customWidth="1"/>
    <col min="11788" max="11788" width="6.5" style="16" customWidth="1"/>
    <col min="11789" max="11789" width="13.5" style="16" customWidth="1"/>
    <col min="11790" max="11790" width="11.25" style="16" customWidth="1"/>
    <col min="11791" max="11791" width="3.75" style="16" customWidth="1"/>
    <col min="11792" max="11792" width="6.5" style="16" customWidth="1"/>
    <col min="11793" max="11793" width="13.5" style="16" customWidth="1"/>
    <col min="11794" max="11794" width="2.625" style="16" customWidth="1"/>
    <col min="11795" max="11796" width="10.125" style="16" customWidth="1"/>
    <col min="11797" max="11797" width="3.25" style="16" customWidth="1"/>
    <col min="11798" max="11800" width="16" style="16" customWidth="1"/>
    <col min="11801" max="12032" width="9" style="16"/>
    <col min="12033" max="12033" width="7.5" style="16" customWidth="1"/>
    <col min="12034" max="12034" width="10.875" style="16" customWidth="1"/>
    <col min="12035" max="12035" width="3.75" style="16" customWidth="1"/>
    <col min="12036" max="12036" width="6.5" style="16" customWidth="1"/>
    <col min="12037" max="12037" width="13.5" style="16" customWidth="1"/>
    <col min="12038" max="12038" width="10.25" style="16" customWidth="1"/>
    <col min="12039" max="12039" width="4.125" style="16" customWidth="1"/>
    <col min="12040" max="12040" width="6.5" style="16" customWidth="1"/>
    <col min="12041" max="12041" width="13.5" style="16" customWidth="1"/>
    <col min="12042" max="12042" width="10.625" style="16" customWidth="1"/>
    <col min="12043" max="12043" width="3.75" style="16" customWidth="1"/>
    <col min="12044" max="12044" width="6.5" style="16" customWidth="1"/>
    <col min="12045" max="12045" width="13.5" style="16" customWidth="1"/>
    <col min="12046" max="12046" width="11.25" style="16" customWidth="1"/>
    <col min="12047" max="12047" width="3.75" style="16" customWidth="1"/>
    <col min="12048" max="12048" width="6.5" style="16" customWidth="1"/>
    <col min="12049" max="12049" width="13.5" style="16" customWidth="1"/>
    <col min="12050" max="12050" width="2.625" style="16" customWidth="1"/>
    <col min="12051" max="12052" width="10.125" style="16" customWidth="1"/>
    <col min="12053" max="12053" width="3.25" style="16" customWidth="1"/>
    <col min="12054" max="12056" width="16" style="16" customWidth="1"/>
    <col min="12057" max="12288" width="9" style="16"/>
    <col min="12289" max="12289" width="7.5" style="16" customWidth="1"/>
    <col min="12290" max="12290" width="10.875" style="16" customWidth="1"/>
    <col min="12291" max="12291" width="3.75" style="16" customWidth="1"/>
    <col min="12292" max="12292" width="6.5" style="16" customWidth="1"/>
    <col min="12293" max="12293" width="13.5" style="16" customWidth="1"/>
    <col min="12294" max="12294" width="10.25" style="16" customWidth="1"/>
    <col min="12295" max="12295" width="4.125" style="16" customWidth="1"/>
    <col min="12296" max="12296" width="6.5" style="16" customWidth="1"/>
    <col min="12297" max="12297" width="13.5" style="16" customWidth="1"/>
    <col min="12298" max="12298" width="10.625" style="16" customWidth="1"/>
    <col min="12299" max="12299" width="3.75" style="16" customWidth="1"/>
    <col min="12300" max="12300" width="6.5" style="16" customWidth="1"/>
    <col min="12301" max="12301" width="13.5" style="16" customWidth="1"/>
    <col min="12302" max="12302" width="11.25" style="16" customWidth="1"/>
    <col min="12303" max="12303" width="3.75" style="16" customWidth="1"/>
    <col min="12304" max="12304" width="6.5" style="16" customWidth="1"/>
    <col min="12305" max="12305" width="13.5" style="16" customWidth="1"/>
    <col min="12306" max="12306" width="2.625" style="16" customWidth="1"/>
    <col min="12307" max="12308" width="10.125" style="16" customWidth="1"/>
    <col min="12309" max="12309" width="3.25" style="16" customWidth="1"/>
    <col min="12310" max="12312" width="16" style="16" customWidth="1"/>
    <col min="12313" max="12544" width="9" style="16"/>
    <col min="12545" max="12545" width="7.5" style="16" customWidth="1"/>
    <col min="12546" max="12546" width="10.875" style="16" customWidth="1"/>
    <col min="12547" max="12547" width="3.75" style="16" customWidth="1"/>
    <col min="12548" max="12548" width="6.5" style="16" customWidth="1"/>
    <col min="12549" max="12549" width="13.5" style="16" customWidth="1"/>
    <col min="12550" max="12550" width="10.25" style="16" customWidth="1"/>
    <col min="12551" max="12551" width="4.125" style="16" customWidth="1"/>
    <col min="12552" max="12552" width="6.5" style="16" customWidth="1"/>
    <col min="12553" max="12553" width="13.5" style="16" customWidth="1"/>
    <col min="12554" max="12554" width="10.625" style="16" customWidth="1"/>
    <col min="12555" max="12555" width="3.75" style="16" customWidth="1"/>
    <col min="12556" max="12556" width="6.5" style="16" customWidth="1"/>
    <col min="12557" max="12557" width="13.5" style="16" customWidth="1"/>
    <col min="12558" max="12558" width="11.25" style="16" customWidth="1"/>
    <col min="12559" max="12559" width="3.75" style="16" customWidth="1"/>
    <col min="12560" max="12560" width="6.5" style="16" customWidth="1"/>
    <col min="12561" max="12561" width="13.5" style="16" customWidth="1"/>
    <col min="12562" max="12562" width="2.625" style="16" customWidth="1"/>
    <col min="12563" max="12564" width="10.125" style="16" customWidth="1"/>
    <col min="12565" max="12565" width="3.25" style="16" customWidth="1"/>
    <col min="12566" max="12568" width="16" style="16" customWidth="1"/>
    <col min="12569" max="12800" width="9" style="16"/>
    <col min="12801" max="12801" width="7.5" style="16" customWidth="1"/>
    <col min="12802" max="12802" width="10.875" style="16" customWidth="1"/>
    <col min="12803" max="12803" width="3.75" style="16" customWidth="1"/>
    <col min="12804" max="12804" width="6.5" style="16" customWidth="1"/>
    <col min="12805" max="12805" width="13.5" style="16" customWidth="1"/>
    <col min="12806" max="12806" width="10.25" style="16" customWidth="1"/>
    <col min="12807" max="12807" width="4.125" style="16" customWidth="1"/>
    <col min="12808" max="12808" width="6.5" style="16" customWidth="1"/>
    <col min="12809" max="12809" width="13.5" style="16" customWidth="1"/>
    <col min="12810" max="12810" width="10.625" style="16" customWidth="1"/>
    <col min="12811" max="12811" width="3.75" style="16" customWidth="1"/>
    <col min="12812" max="12812" width="6.5" style="16" customWidth="1"/>
    <col min="12813" max="12813" width="13.5" style="16" customWidth="1"/>
    <col min="12814" max="12814" width="11.25" style="16" customWidth="1"/>
    <col min="12815" max="12815" width="3.75" style="16" customWidth="1"/>
    <col min="12816" max="12816" width="6.5" style="16" customWidth="1"/>
    <col min="12817" max="12817" width="13.5" style="16" customWidth="1"/>
    <col min="12818" max="12818" width="2.625" style="16" customWidth="1"/>
    <col min="12819" max="12820" width="10.125" style="16" customWidth="1"/>
    <col min="12821" max="12821" width="3.25" style="16" customWidth="1"/>
    <col min="12822" max="12824" width="16" style="16" customWidth="1"/>
    <col min="12825" max="13056" width="9" style="16"/>
    <col min="13057" max="13057" width="7.5" style="16" customWidth="1"/>
    <col min="13058" max="13058" width="10.875" style="16" customWidth="1"/>
    <col min="13059" max="13059" width="3.75" style="16" customWidth="1"/>
    <col min="13060" max="13060" width="6.5" style="16" customWidth="1"/>
    <col min="13061" max="13061" width="13.5" style="16" customWidth="1"/>
    <col min="13062" max="13062" width="10.25" style="16" customWidth="1"/>
    <col min="13063" max="13063" width="4.125" style="16" customWidth="1"/>
    <col min="13064" max="13064" width="6.5" style="16" customWidth="1"/>
    <col min="13065" max="13065" width="13.5" style="16" customWidth="1"/>
    <col min="13066" max="13066" width="10.625" style="16" customWidth="1"/>
    <col min="13067" max="13067" width="3.75" style="16" customWidth="1"/>
    <col min="13068" max="13068" width="6.5" style="16" customWidth="1"/>
    <col min="13069" max="13069" width="13.5" style="16" customWidth="1"/>
    <col min="13070" max="13070" width="11.25" style="16" customWidth="1"/>
    <col min="13071" max="13071" width="3.75" style="16" customWidth="1"/>
    <col min="13072" max="13072" width="6.5" style="16" customWidth="1"/>
    <col min="13073" max="13073" width="13.5" style="16" customWidth="1"/>
    <col min="13074" max="13074" width="2.625" style="16" customWidth="1"/>
    <col min="13075" max="13076" width="10.125" style="16" customWidth="1"/>
    <col min="13077" max="13077" width="3.25" style="16" customWidth="1"/>
    <col min="13078" max="13080" width="16" style="16" customWidth="1"/>
    <col min="13081" max="13312" width="9" style="16"/>
    <col min="13313" max="13313" width="7.5" style="16" customWidth="1"/>
    <col min="13314" max="13314" width="10.875" style="16" customWidth="1"/>
    <col min="13315" max="13315" width="3.75" style="16" customWidth="1"/>
    <col min="13316" max="13316" width="6.5" style="16" customWidth="1"/>
    <col min="13317" max="13317" width="13.5" style="16" customWidth="1"/>
    <col min="13318" max="13318" width="10.25" style="16" customWidth="1"/>
    <col min="13319" max="13319" width="4.125" style="16" customWidth="1"/>
    <col min="13320" max="13320" width="6.5" style="16" customWidth="1"/>
    <col min="13321" max="13321" width="13.5" style="16" customWidth="1"/>
    <col min="13322" max="13322" width="10.625" style="16" customWidth="1"/>
    <col min="13323" max="13323" width="3.75" style="16" customWidth="1"/>
    <col min="13324" max="13324" width="6.5" style="16" customWidth="1"/>
    <col min="13325" max="13325" width="13.5" style="16" customWidth="1"/>
    <col min="13326" max="13326" width="11.25" style="16" customWidth="1"/>
    <col min="13327" max="13327" width="3.75" style="16" customWidth="1"/>
    <col min="13328" max="13328" width="6.5" style="16" customWidth="1"/>
    <col min="13329" max="13329" width="13.5" style="16" customWidth="1"/>
    <col min="13330" max="13330" width="2.625" style="16" customWidth="1"/>
    <col min="13331" max="13332" width="10.125" style="16" customWidth="1"/>
    <col min="13333" max="13333" width="3.25" style="16" customWidth="1"/>
    <col min="13334" max="13336" width="16" style="16" customWidth="1"/>
    <col min="13337" max="13568" width="9" style="16"/>
    <col min="13569" max="13569" width="7.5" style="16" customWidth="1"/>
    <col min="13570" max="13570" width="10.875" style="16" customWidth="1"/>
    <col min="13571" max="13571" width="3.75" style="16" customWidth="1"/>
    <col min="13572" max="13572" width="6.5" style="16" customWidth="1"/>
    <col min="13573" max="13573" width="13.5" style="16" customWidth="1"/>
    <col min="13574" max="13574" width="10.25" style="16" customWidth="1"/>
    <col min="13575" max="13575" width="4.125" style="16" customWidth="1"/>
    <col min="13576" max="13576" width="6.5" style="16" customWidth="1"/>
    <col min="13577" max="13577" width="13.5" style="16" customWidth="1"/>
    <col min="13578" max="13578" width="10.625" style="16" customWidth="1"/>
    <col min="13579" max="13579" width="3.75" style="16" customWidth="1"/>
    <col min="13580" max="13580" width="6.5" style="16" customWidth="1"/>
    <col min="13581" max="13581" width="13.5" style="16" customWidth="1"/>
    <col min="13582" max="13582" width="11.25" style="16" customWidth="1"/>
    <col min="13583" max="13583" width="3.75" style="16" customWidth="1"/>
    <col min="13584" max="13584" width="6.5" style="16" customWidth="1"/>
    <col min="13585" max="13585" width="13.5" style="16" customWidth="1"/>
    <col min="13586" max="13586" width="2.625" style="16" customWidth="1"/>
    <col min="13587" max="13588" width="10.125" style="16" customWidth="1"/>
    <col min="13589" max="13589" width="3.25" style="16" customWidth="1"/>
    <col min="13590" max="13592" width="16" style="16" customWidth="1"/>
    <col min="13593" max="13824" width="9" style="16"/>
    <col min="13825" max="13825" width="7.5" style="16" customWidth="1"/>
    <col min="13826" max="13826" width="10.875" style="16" customWidth="1"/>
    <col min="13827" max="13827" width="3.75" style="16" customWidth="1"/>
    <col min="13828" max="13828" width="6.5" style="16" customWidth="1"/>
    <col min="13829" max="13829" width="13.5" style="16" customWidth="1"/>
    <col min="13830" max="13830" width="10.25" style="16" customWidth="1"/>
    <col min="13831" max="13831" width="4.125" style="16" customWidth="1"/>
    <col min="13832" max="13832" width="6.5" style="16" customWidth="1"/>
    <col min="13833" max="13833" width="13.5" style="16" customWidth="1"/>
    <col min="13834" max="13834" width="10.625" style="16" customWidth="1"/>
    <col min="13835" max="13835" width="3.75" style="16" customWidth="1"/>
    <col min="13836" max="13836" width="6.5" style="16" customWidth="1"/>
    <col min="13837" max="13837" width="13.5" style="16" customWidth="1"/>
    <col min="13838" max="13838" width="11.25" style="16" customWidth="1"/>
    <col min="13839" max="13839" width="3.75" style="16" customWidth="1"/>
    <col min="13840" max="13840" width="6.5" style="16" customWidth="1"/>
    <col min="13841" max="13841" width="13.5" style="16" customWidth="1"/>
    <col min="13842" max="13842" width="2.625" style="16" customWidth="1"/>
    <col min="13843" max="13844" width="10.125" style="16" customWidth="1"/>
    <col min="13845" max="13845" width="3.25" style="16" customWidth="1"/>
    <col min="13846" max="13848" width="16" style="16" customWidth="1"/>
    <col min="13849" max="14080" width="9" style="16"/>
    <col min="14081" max="14081" width="7.5" style="16" customWidth="1"/>
    <col min="14082" max="14082" width="10.875" style="16" customWidth="1"/>
    <col min="14083" max="14083" width="3.75" style="16" customWidth="1"/>
    <col min="14084" max="14084" width="6.5" style="16" customWidth="1"/>
    <col min="14085" max="14085" width="13.5" style="16" customWidth="1"/>
    <col min="14086" max="14086" width="10.25" style="16" customWidth="1"/>
    <col min="14087" max="14087" width="4.125" style="16" customWidth="1"/>
    <col min="14088" max="14088" width="6.5" style="16" customWidth="1"/>
    <col min="14089" max="14089" width="13.5" style="16" customWidth="1"/>
    <col min="14090" max="14090" width="10.625" style="16" customWidth="1"/>
    <col min="14091" max="14091" width="3.75" style="16" customWidth="1"/>
    <col min="14092" max="14092" width="6.5" style="16" customWidth="1"/>
    <col min="14093" max="14093" width="13.5" style="16" customWidth="1"/>
    <col min="14094" max="14094" width="11.25" style="16" customWidth="1"/>
    <col min="14095" max="14095" width="3.75" style="16" customWidth="1"/>
    <col min="14096" max="14096" width="6.5" style="16" customWidth="1"/>
    <col min="14097" max="14097" width="13.5" style="16" customWidth="1"/>
    <col min="14098" max="14098" width="2.625" style="16" customWidth="1"/>
    <col min="14099" max="14100" width="10.125" style="16" customWidth="1"/>
    <col min="14101" max="14101" width="3.25" style="16" customWidth="1"/>
    <col min="14102" max="14104" width="16" style="16" customWidth="1"/>
    <col min="14105" max="14336" width="9" style="16"/>
    <col min="14337" max="14337" width="7.5" style="16" customWidth="1"/>
    <col min="14338" max="14338" width="10.875" style="16" customWidth="1"/>
    <col min="14339" max="14339" width="3.75" style="16" customWidth="1"/>
    <col min="14340" max="14340" width="6.5" style="16" customWidth="1"/>
    <col min="14341" max="14341" width="13.5" style="16" customWidth="1"/>
    <col min="14342" max="14342" width="10.25" style="16" customWidth="1"/>
    <col min="14343" max="14343" width="4.125" style="16" customWidth="1"/>
    <col min="14344" max="14344" width="6.5" style="16" customWidth="1"/>
    <col min="14345" max="14345" width="13.5" style="16" customWidth="1"/>
    <col min="14346" max="14346" width="10.625" style="16" customWidth="1"/>
    <col min="14347" max="14347" width="3.75" style="16" customWidth="1"/>
    <col min="14348" max="14348" width="6.5" style="16" customWidth="1"/>
    <col min="14349" max="14349" width="13.5" style="16" customWidth="1"/>
    <col min="14350" max="14350" width="11.25" style="16" customWidth="1"/>
    <col min="14351" max="14351" width="3.75" style="16" customWidth="1"/>
    <col min="14352" max="14352" width="6.5" style="16" customWidth="1"/>
    <col min="14353" max="14353" width="13.5" style="16" customWidth="1"/>
    <col min="14354" max="14354" width="2.625" style="16" customWidth="1"/>
    <col min="14355" max="14356" width="10.125" style="16" customWidth="1"/>
    <col min="14357" max="14357" width="3.25" style="16" customWidth="1"/>
    <col min="14358" max="14360" width="16" style="16" customWidth="1"/>
    <col min="14361" max="14592" width="9" style="16"/>
    <col min="14593" max="14593" width="7.5" style="16" customWidth="1"/>
    <col min="14594" max="14594" width="10.875" style="16" customWidth="1"/>
    <col min="14595" max="14595" width="3.75" style="16" customWidth="1"/>
    <col min="14596" max="14596" width="6.5" style="16" customWidth="1"/>
    <col min="14597" max="14597" width="13.5" style="16" customWidth="1"/>
    <col min="14598" max="14598" width="10.25" style="16" customWidth="1"/>
    <col min="14599" max="14599" width="4.125" style="16" customWidth="1"/>
    <col min="14600" max="14600" width="6.5" style="16" customWidth="1"/>
    <col min="14601" max="14601" width="13.5" style="16" customWidth="1"/>
    <col min="14602" max="14602" width="10.625" style="16" customWidth="1"/>
    <col min="14603" max="14603" width="3.75" style="16" customWidth="1"/>
    <col min="14604" max="14604" width="6.5" style="16" customWidth="1"/>
    <col min="14605" max="14605" width="13.5" style="16" customWidth="1"/>
    <col min="14606" max="14606" width="11.25" style="16" customWidth="1"/>
    <col min="14607" max="14607" width="3.75" style="16" customWidth="1"/>
    <col min="14608" max="14608" width="6.5" style="16" customWidth="1"/>
    <col min="14609" max="14609" width="13.5" style="16" customWidth="1"/>
    <col min="14610" max="14610" width="2.625" style="16" customWidth="1"/>
    <col min="14611" max="14612" width="10.125" style="16" customWidth="1"/>
    <col min="14613" max="14613" width="3.25" style="16" customWidth="1"/>
    <col min="14614" max="14616" width="16" style="16" customWidth="1"/>
    <col min="14617" max="14848" width="9" style="16"/>
    <col min="14849" max="14849" width="7.5" style="16" customWidth="1"/>
    <col min="14850" max="14850" width="10.875" style="16" customWidth="1"/>
    <col min="14851" max="14851" width="3.75" style="16" customWidth="1"/>
    <col min="14852" max="14852" width="6.5" style="16" customWidth="1"/>
    <col min="14853" max="14853" width="13.5" style="16" customWidth="1"/>
    <col min="14854" max="14854" width="10.25" style="16" customWidth="1"/>
    <col min="14855" max="14855" width="4.125" style="16" customWidth="1"/>
    <col min="14856" max="14856" width="6.5" style="16" customWidth="1"/>
    <col min="14857" max="14857" width="13.5" style="16" customWidth="1"/>
    <col min="14858" max="14858" width="10.625" style="16" customWidth="1"/>
    <col min="14859" max="14859" width="3.75" style="16" customWidth="1"/>
    <col min="14860" max="14860" width="6.5" style="16" customWidth="1"/>
    <col min="14861" max="14861" width="13.5" style="16" customWidth="1"/>
    <col min="14862" max="14862" width="11.25" style="16" customWidth="1"/>
    <col min="14863" max="14863" width="3.75" style="16" customWidth="1"/>
    <col min="14864" max="14864" width="6.5" style="16" customWidth="1"/>
    <col min="14865" max="14865" width="13.5" style="16" customWidth="1"/>
    <col min="14866" max="14866" width="2.625" style="16" customWidth="1"/>
    <col min="14867" max="14868" width="10.125" style="16" customWidth="1"/>
    <col min="14869" max="14869" width="3.25" style="16" customWidth="1"/>
    <col min="14870" max="14872" width="16" style="16" customWidth="1"/>
    <col min="14873" max="15104" width="9" style="16"/>
    <col min="15105" max="15105" width="7.5" style="16" customWidth="1"/>
    <col min="15106" max="15106" width="10.875" style="16" customWidth="1"/>
    <col min="15107" max="15107" width="3.75" style="16" customWidth="1"/>
    <col min="15108" max="15108" width="6.5" style="16" customWidth="1"/>
    <col min="15109" max="15109" width="13.5" style="16" customWidth="1"/>
    <col min="15110" max="15110" width="10.25" style="16" customWidth="1"/>
    <col min="15111" max="15111" width="4.125" style="16" customWidth="1"/>
    <col min="15112" max="15112" width="6.5" style="16" customWidth="1"/>
    <col min="15113" max="15113" width="13.5" style="16" customWidth="1"/>
    <col min="15114" max="15114" width="10.625" style="16" customWidth="1"/>
    <col min="15115" max="15115" width="3.75" style="16" customWidth="1"/>
    <col min="15116" max="15116" width="6.5" style="16" customWidth="1"/>
    <col min="15117" max="15117" width="13.5" style="16" customWidth="1"/>
    <col min="15118" max="15118" width="11.25" style="16" customWidth="1"/>
    <col min="15119" max="15119" width="3.75" style="16" customWidth="1"/>
    <col min="15120" max="15120" width="6.5" style="16" customWidth="1"/>
    <col min="15121" max="15121" width="13.5" style="16" customWidth="1"/>
    <col min="15122" max="15122" width="2.625" style="16" customWidth="1"/>
    <col min="15123" max="15124" width="10.125" style="16" customWidth="1"/>
    <col min="15125" max="15125" width="3.25" style="16" customWidth="1"/>
    <col min="15126" max="15128" width="16" style="16" customWidth="1"/>
    <col min="15129" max="15360" width="9" style="16"/>
    <col min="15361" max="15361" width="7.5" style="16" customWidth="1"/>
    <col min="15362" max="15362" width="10.875" style="16" customWidth="1"/>
    <col min="15363" max="15363" width="3.75" style="16" customWidth="1"/>
    <col min="15364" max="15364" width="6.5" style="16" customWidth="1"/>
    <col min="15365" max="15365" width="13.5" style="16" customWidth="1"/>
    <col min="15366" max="15366" width="10.25" style="16" customWidth="1"/>
    <col min="15367" max="15367" width="4.125" style="16" customWidth="1"/>
    <col min="15368" max="15368" width="6.5" style="16" customWidth="1"/>
    <col min="15369" max="15369" width="13.5" style="16" customWidth="1"/>
    <col min="15370" max="15370" width="10.625" style="16" customWidth="1"/>
    <col min="15371" max="15371" width="3.75" style="16" customWidth="1"/>
    <col min="15372" max="15372" width="6.5" style="16" customWidth="1"/>
    <col min="15373" max="15373" width="13.5" style="16" customWidth="1"/>
    <col min="15374" max="15374" width="11.25" style="16" customWidth="1"/>
    <col min="15375" max="15375" width="3.75" style="16" customWidth="1"/>
    <col min="15376" max="15376" width="6.5" style="16" customWidth="1"/>
    <col min="15377" max="15377" width="13.5" style="16" customWidth="1"/>
    <col min="15378" max="15378" width="2.625" style="16" customWidth="1"/>
    <col min="15379" max="15380" width="10.125" style="16" customWidth="1"/>
    <col min="15381" max="15381" width="3.25" style="16" customWidth="1"/>
    <col min="15382" max="15384" width="16" style="16" customWidth="1"/>
    <col min="15385" max="15616" width="9" style="16"/>
    <col min="15617" max="15617" width="7.5" style="16" customWidth="1"/>
    <col min="15618" max="15618" width="10.875" style="16" customWidth="1"/>
    <col min="15619" max="15619" width="3.75" style="16" customWidth="1"/>
    <col min="15620" max="15620" width="6.5" style="16" customWidth="1"/>
    <col min="15621" max="15621" width="13.5" style="16" customWidth="1"/>
    <col min="15622" max="15622" width="10.25" style="16" customWidth="1"/>
    <col min="15623" max="15623" width="4.125" style="16" customWidth="1"/>
    <col min="15624" max="15624" width="6.5" style="16" customWidth="1"/>
    <col min="15625" max="15625" width="13.5" style="16" customWidth="1"/>
    <col min="15626" max="15626" width="10.625" style="16" customWidth="1"/>
    <col min="15627" max="15627" width="3.75" style="16" customWidth="1"/>
    <col min="15628" max="15628" width="6.5" style="16" customWidth="1"/>
    <col min="15629" max="15629" width="13.5" style="16" customWidth="1"/>
    <col min="15630" max="15630" width="11.25" style="16" customWidth="1"/>
    <col min="15631" max="15631" width="3.75" style="16" customWidth="1"/>
    <col min="15632" max="15632" width="6.5" style="16" customWidth="1"/>
    <col min="15633" max="15633" width="13.5" style="16" customWidth="1"/>
    <col min="15634" max="15634" width="2.625" style="16" customWidth="1"/>
    <col min="15635" max="15636" width="10.125" style="16" customWidth="1"/>
    <col min="15637" max="15637" width="3.25" style="16" customWidth="1"/>
    <col min="15638" max="15640" width="16" style="16" customWidth="1"/>
    <col min="15641" max="15872" width="9" style="16"/>
    <col min="15873" max="15873" width="7.5" style="16" customWidth="1"/>
    <col min="15874" max="15874" width="10.875" style="16" customWidth="1"/>
    <col min="15875" max="15875" width="3.75" style="16" customWidth="1"/>
    <col min="15876" max="15876" width="6.5" style="16" customWidth="1"/>
    <col min="15877" max="15877" width="13.5" style="16" customWidth="1"/>
    <col min="15878" max="15878" width="10.25" style="16" customWidth="1"/>
    <col min="15879" max="15879" width="4.125" style="16" customWidth="1"/>
    <col min="15880" max="15880" width="6.5" style="16" customWidth="1"/>
    <col min="15881" max="15881" width="13.5" style="16" customWidth="1"/>
    <col min="15882" max="15882" width="10.625" style="16" customWidth="1"/>
    <col min="15883" max="15883" width="3.75" style="16" customWidth="1"/>
    <col min="15884" max="15884" width="6.5" style="16" customWidth="1"/>
    <col min="15885" max="15885" width="13.5" style="16" customWidth="1"/>
    <col min="15886" max="15886" width="11.25" style="16" customWidth="1"/>
    <col min="15887" max="15887" width="3.75" style="16" customWidth="1"/>
    <col min="15888" max="15888" width="6.5" style="16" customWidth="1"/>
    <col min="15889" max="15889" width="13.5" style="16" customWidth="1"/>
    <col min="15890" max="15890" width="2.625" style="16" customWidth="1"/>
    <col min="15891" max="15892" width="10.125" style="16" customWidth="1"/>
    <col min="15893" max="15893" width="3.25" style="16" customWidth="1"/>
    <col min="15894" max="15896" width="16" style="16" customWidth="1"/>
    <col min="15897" max="16128" width="9" style="16"/>
    <col min="16129" max="16129" width="7.5" style="16" customWidth="1"/>
    <col min="16130" max="16130" width="10.875" style="16" customWidth="1"/>
    <col min="16131" max="16131" width="3.75" style="16" customWidth="1"/>
    <col min="16132" max="16132" width="6.5" style="16" customWidth="1"/>
    <col min="16133" max="16133" width="13.5" style="16" customWidth="1"/>
    <col min="16134" max="16134" width="10.25" style="16" customWidth="1"/>
    <col min="16135" max="16135" width="4.125" style="16" customWidth="1"/>
    <col min="16136" max="16136" width="6.5" style="16" customWidth="1"/>
    <col min="16137" max="16137" width="13.5" style="16" customWidth="1"/>
    <col min="16138" max="16138" width="10.625" style="16" customWidth="1"/>
    <col min="16139" max="16139" width="3.75" style="16" customWidth="1"/>
    <col min="16140" max="16140" width="6.5" style="16" customWidth="1"/>
    <col min="16141" max="16141" width="13.5" style="16" customWidth="1"/>
    <col min="16142" max="16142" width="11.25" style="16" customWidth="1"/>
    <col min="16143" max="16143" width="3.75" style="16" customWidth="1"/>
    <col min="16144" max="16144" width="6.5" style="16" customWidth="1"/>
    <col min="16145" max="16145" width="13.5" style="16" customWidth="1"/>
    <col min="16146" max="16146" width="2.625" style="16" customWidth="1"/>
    <col min="16147" max="16148" width="10.125" style="16" customWidth="1"/>
    <col min="16149" max="16149" width="3.25" style="16" customWidth="1"/>
    <col min="16150" max="16152" width="16" style="16" customWidth="1"/>
    <col min="16153" max="16384" width="9" style="16"/>
  </cols>
  <sheetData>
    <row r="1" spans="1:18" s="219" customFormat="1" ht="19.5" thickBot="1">
      <c r="A1" s="1956" t="s">
        <v>653</v>
      </c>
      <c r="B1" s="218"/>
      <c r="C1" s="218" t="s">
        <v>136</v>
      </c>
      <c r="J1" s="220"/>
      <c r="K1" s="220"/>
      <c r="L1" s="220"/>
      <c r="M1" s="220"/>
      <c r="N1" s="220"/>
      <c r="O1" s="220"/>
      <c r="P1" s="220"/>
      <c r="Q1" s="220"/>
    </row>
    <row r="2" spans="1:18" ht="18.75" thickTop="1" thickBot="1">
      <c r="A2" s="2422" t="s">
        <v>137</v>
      </c>
      <c r="B2" s="2425" t="s">
        <v>2</v>
      </c>
      <c r="C2" s="2426"/>
      <c r="D2" s="2426"/>
      <c r="E2" s="2426"/>
      <c r="F2" s="2426"/>
      <c r="G2" s="2426"/>
      <c r="H2" s="2426"/>
      <c r="I2" s="2427"/>
      <c r="J2" s="2425" t="s">
        <v>3</v>
      </c>
      <c r="K2" s="2426"/>
      <c r="L2" s="2426"/>
      <c r="M2" s="2426"/>
      <c r="N2" s="2426"/>
      <c r="O2" s="2426"/>
      <c r="P2" s="2426"/>
      <c r="Q2" s="2427"/>
    </row>
    <row r="3" spans="1:18" ht="14.25" thickTop="1">
      <c r="A3" s="2423"/>
      <c r="B3" s="2428" t="s">
        <v>81</v>
      </c>
      <c r="C3" s="2429"/>
      <c r="D3" s="2429"/>
      <c r="E3" s="2430"/>
      <c r="F3" s="2431" t="s">
        <v>138</v>
      </c>
      <c r="G3" s="2431"/>
      <c r="H3" s="2431"/>
      <c r="I3" s="2432"/>
      <c r="J3" s="2428" t="s">
        <v>81</v>
      </c>
      <c r="K3" s="2429"/>
      <c r="L3" s="2429"/>
      <c r="M3" s="2430"/>
      <c r="N3" s="2429" t="s">
        <v>138</v>
      </c>
      <c r="O3" s="2429"/>
      <c r="P3" s="2429"/>
      <c r="Q3" s="2433"/>
    </row>
    <row r="4" spans="1:18" s="230" customFormat="1" ht="14.25" thickBot="1">
      <c r="A4" s="2424"/>
      <c r="B4" s="221" t="s">
        <v>139</v>
      </c>
      <c r="C4" s="222"/>
      <c r="D4" s="223" t="s">
        <v>82</v>
      </c>
      <c r="E4" s="224" t="s">
        <v>78</v>
      </c>
      <c r="F4" s="225" t="s">
        <v>140</v>
      </c>
      <c r="G4" s="222"/>
      <c r="H4" s="223" t="s">
        <v>82</v>
      </c>
      <c r="I4" s="226" t="s">
        <v>78</v>
      </c>
      <c r="J4" s="227" t="s">
        <v>139</v>
      </c>
      <c r="K4" s="223"/>
      <c r="L4" s="223" t="s">
        <v>82</v>
      </c>
      <c r="M4" s="228" t="s">
        <v>78</v>
      </c>
      <c r="N4" s="222" t="s">
        <v>140</v>
      </c>
      <c r="O4" s="223"/>
      <c r="P4" s="223" t="s">
        <v>82</v>
      </c>
      <c r="Q4" s="229" t="s">
        <v>78</v>
      </c>
    </row>
    <row r="5" spans="1:18" ht="15" customHeight="1" thickTop="1">
      <c r="A5" s="231" t="s">
        <v>79</v>
      </c>
      <c r="B5" s="232"/>
      <c r="C5" s="15"/>
      <c r="D5" s="233">
        <f>SUM(D6:D13)</f>
        <v>55.980000000000004</v>
      </c>
      <c r="E5" s="234">
        <f>ROUNDDOWN(B13*D5/1000,0)</f>
        <v>893440</v>
      </c>
      <c r="F5" s="235">
        <f>'R7短期'!AF7</f>
        <v>3400000</v>
      </c>
      <c r="G5" s="236"/>
      <c r="H5" s="233">
        <f>SUM(H6:H13)</f>
        <v>55.980000000000004</v>
      </c>
      <c r="I5" s="234">
        <f>ROUNDDOWN(F13*H5/1000,0)</f>
        <v>320765</v>
      </c>
      <c r="J5" s="237"/>
      <c r="K5" s="238"/>
      <c r="L5" s="233">
        <f>SUM(L6:L13)</f>
        <v>55.010000000000005</v>
      </c>
      <c r="M5" s="239">
        <f>SUM(M6:M13)</f>
        <v>877958.81386209372</v>
      </c>
      <c r="N5" s="240">
        <f>F5</f>
        <v>3400000</v>
      </c>
      <c r="O5" s="238"/>
      <c r="P5" s="233">
        <f>SUM(P6:P13)</f>
        <v>55.010000000000005</v>
      </c>
      <c r="Q5" s="241">
        <f>SUM(Q6:Q13)</f>
        <v>315206.90693104686</v>
      </c>
      <c r="R5" s="230"/>
    </row>
    <row r="6" spans="1:18" ht="15" customHeight="1">
      <c r="A6" s="231"/>
      <c r="B6" s="232"/>
      <c r="C6" s="242" t="s">
        <v>141</v>
      </c>
      <c r="D6" s="1393">
        <v>49.74</v>
      </c>
      <c r="E6" s="234">
        <f>E5*D6/D5</f>
        <v>793849.68917470518</v>
      </c>
      <c r="F6" s="235">
        <f>'R7短期'!AF13</f>
        <v>2330000</v>
      </c>
      <c r="G6" s="242" t="s">
        <v>141</v>
      </c>
      <c r="H6" s="243">
        <f>D6</f>
        <v>49.74</v>
      </c>
      <c r="I6" s="234">
        <f>I5*H6/H5</f>
        <v>285009.84458735265</v>
      </c>
      <c r="J6" s="237"/>
      <c r="K6" s="242" t="s">
        <v>141</v>
      </c>
      <c r="L6" s="244">
        <f>D6</f>
        <v>49.74</v>
      </c>
      <c r="M6" s="245">
        <f>E6</f>
        <v>793849.68917470518</v>
      </c>
      <c r="N6" s="240">
        <f>F6</f>
        <v>2330000</v>
      </c>
      <c r="O6" s="242" t="s">
        <v>141</v>
      </c>
      <c r="P6" s="244">
        <f>L6</f>
        <v>49.74</v>
      </c>
      <c r="Q6" s="241">
        <f>I6</f>
        <v>285009.84458735265</v>
      </c>
      <c r="R6" s="230"/>
    </row>
    <row r="7" spans="1:18" ht="15" customHeight="1">
      <c r="A7" s="231"/>
      <c r="B7" s="232"/>
      <c r="C7" s="242" t="s">
        <v>142</v>
      </c>
      <c r="D7" s="1391">
        <v>2.52</v>
      </c>
      <c r="E7" s="234">
        <f>E5*D7/D5</f>
        <v>40219.163987138258</v>
      </c>
      <c r="F7" s="235">
        <f>'R7短期'!AF16</f>
        <v>0</v>
      </c>
      <c r="G7" s="242" t="s">
        <v>142</v>
      </c>
      <c r="H7" s="243">
        <f t="shared" ref="H7:H12" si="0">D7</f>
        <v>2.52</v>
      </c>
      <c r="I7" s="234">
        <f>I5*H7/H5</f>
        <v>14439.581993569132</v>
      </c>
      <c r="J7" s="237"/>
      <c r="K7" s="242" t="s">
        <v>142</v>
      </c>
      <c r="L7" s="244">
        <f t="shared" ref="L7:L13" si="1">D7</f>
        <v>2.52</v>
      </c>
      <c r="M7" s="245">
        <f>E7</f>
        <v>40219.163987138258</v>
      </c>
      <c r="N7" s="240">
        <f>F7</f>
        <v>0</v>
      </c>
      <c r="O7" s="242" t="s">
        <v>142</v>
      </c>
      <c r="P7" s="244">
        <f t="shared" ref="P7:P13" si="2">L7</f>
        <v>2.52</v>
      </c>
      <c r="Q7" s="241">
        <f>I7</f>
        <v>14439.581993569132</v>
      </c>
      <c r="R7" s="230"/>
    </row>
    <row r="8" spans="1:18" ht="15" customHeight="1">
      <c r="A8" s="231"/>
      <c r="B8" s="232"/>
      <c r="C8" s="242" t="s">
        <v>83</v>
      </c>
      <c r="D8" s="1391">
        <v>0.87</v>
      </c>
      <c r="E8" s="234">
        <f>E5*D8/D5</f>
        <v>13885.18756698821</v>
      </c>
      <c r="F8" s="235">
        <f>'R7短期'!AF8</f>
        <v>0</v>
      </c>
      <c r="G8" s="242" t="s">
        <v>83</v>
      </c>
      <c r="H8" s="243">
        <f t="shared" si="0"/>
        <v>0.87</v>
      </c>
      <c r="I8" s="234">
        <f>I5*H8/H5</f>
        <v>4985.0937834941042</v>
      </c>
      <c r="J8" s="237"/>
      <c r="K8" s="242" t="s">
        <v>83</v>
      </c>
      <c r="L8" s="244"/>
      <c r="M8" s="245"/>
      <c r="N8" s="240">
        <f>F8</f>
        <v>0</v>
      </c>
      <c r="O8" s="242" t="s">
        <v>83</v>
      </c>
      <c r="P8" s="244"/>
      <c r="Q8" s="241"/>
      <c r="R8" s="230"/>
    </row>
    <row r="9" spans="1:18" ht="15" customHeight="1">
      <c r="A9" s="231"/>
      <c r="B9" s="232"/>
      <c r="C9" s="242" t="s">
        <v>143</v>
      </c>
      <c r="D9" s="1387">
        <v>0.55000000000000004</v>
      </c>
      <c r="E9" s="234">
        <f>E5*D9/D5</f>
        <v>8777.9921400500189</v>
      </c>
      <c r="F9" s="1075">
        <f>'R7短期'!AF14</f>
        <v>0</v>
      </c>
      <c r="G9" s="242" t="s">
        <v>143</v>
      </c>
      <c r="H9" s="243">
        <f t="shared" si="0"/>
        <v>0.55000000000000004</v>
      </c>
      <c r="I9" s="234">
        <f>I5*H9/H5</f>
        <v>3151.4960700250085</v>
      </c>
      <c r="J9" s="237"/>
      <c r="K9" s="242" t="s">
        <v>143</v>
      </c>
      <c r="L9" s="244">
        <f t="shared" si="1"/>
        <v>0.55000000000000004</v>
      </c>
      <c r="M9" s="245">
        <f>E9</f>
        <v>8777.9921400500189</v>
      </c>
      <c r="N9" s="240">
        <f>F9</f>
        <v>0</v>
      </c>
      <c r="O9" s="242" t="s">
        <v>143</v>
      </c>
      <c r="P9" s="244">
        <f t="shared" si="2"/>
        <v>0.55000000000000004</v>
      </c>
      <c r="Q9" s="241">
        <f>I9</f>
        <v>3151.4960700250085</v>
      </c>
      <c r="R9" s="230"/>
    </row>
    <row r="10" spans="1:18" ht="15" customHeight="1">
      <c r="A10" s="231"/>
      <c r="B10" s="232"/>
      <c r="C10" s="242" t="s">
        <v>144</v>
      </c>
      <c r="D10" s="1388">
        <v>0.1</v>
      </c>
      <c r="E10" s="234">
        <f>E5*D10/D5</f>
        <v>1595.9985709181849</v>
      </c>
      <c r="F10" s="235"/>
      <c r="G10" s="242" t="s">
        <v>144</v>
      </c>
      <c r="H10" s="246">
        <f t="shared" si="0"/>
        <v>0.1</v>
      </c>
      <c r="I10" s="234">
        <f>I5*H10/H5</f>
        <v>572.99928545909245</v>
      </c>
      <c r="J10" s="237"/>
      <c r="K10" s="242" t="s">
        <v>144</v>
      </c>
      <c r="L10" s="244"/>
      <c r="M10" s="245"/>
      <c r="N10" s="240"/>
      <c r="O10" s="242" t="s">
        <v>144</v>
      </c>
      <c r="P10" s="244"/>
      <c r="Q10" s="241"/>
      <c r="R10" s="230"/>
    </row>
    <row r="11" spans="1:18" ht="15" customHeight="1">
      <c r="A11" s="231"/>
      <c r="B11" s="232"/>
      <c r="C11" s="247" t="s">
        <v>145</v>
      </c>
      <c r="D11" s="1388">
        <v>0.1</v>
      </c>
      <c r="E11" s="245">
        <f>E5*D11/D5</f>
        <v>1595.9985709181849</v>
      </c>
      <c r="F11" s="248" t="s">
        <v>146</v>
      </c>
      <c r="G11" s="247" t="s">
        <v>145</v>
      </c>
      <c r="H11" s="246">
        <f t="shared" si="0"/>
        <v>0.1</v>
      </c>
      <c r="I11" s="245">
        <f>I5*H11/H5</f>
        <v>572.99928545909245</v>
      </c>
      <c r="J11" s="237"/>
      <c r="K11" s="247" t="s">
        <v>145</v>
      </c>
      <c r="L11" s="249">
        <f t="shared" si="1"/>
        <v>0.1</v>
      </c>
      <c r="M11" s="245">
        <f>E11</f>
        <v>1595.9985709181849</v>
      </c>
      <c r="N11" s="240"/>
      <c r="O11" s="247" t="s">
        <v>145</v>
      </c>
      <c r="P11" s="249">
        <f t="shared" si="2"/>
        <v>0.1</v>
      </c>
      <c r="Q11" s="241">
        <f>I11</f>
        <v>572.99928545909245</v>
      </c>
      <c r="R11" s="230"/>
    </row>
    <row r="12" spans="1:18" ht="15" customHeight="1">
      <c r="A12" s="231"/>
      <c r="B12" s="232"/>
      <c r="C12" s="242" t="s">
        <v>147</v>
      </c>
      <c r="D12" s="1392">
        <v>2.0880000000000001</v>
      </c>
      <c r="E12" s="245">
        <f>E5*D12/D5</f>
        <v>33324.450160771703</v>
      </c>
      <c r="F12" s="248"/>
      <c r="G12" s="242" t="s">
        <v>147</v>
      </c>
      <c r="H12" s="250">
        <f t="shared" si="0"/>
        <v>2.0880000000000001</v>
      </c>
      <c r="I12" s="245">
        <f>I5*H12/H5</f>
        <v>11964.225080385853</v>
      </c>
      <c r="J12" s="237"/>
      <c r="K12" s="242" t="s">
        <v>147</v>
      </c>
      <c r="L12" s="251">
        <f t="shared" si="1"/>
        <v>2.0880000000000001</v>
      </c>
      <c r="M12" s="245">
        <f>E12</f>
        <v>33324.450160771703</v>
      </c>
      <c r="N12" s="240"/>
      <c r="O12" s="242" t="s">
        <v>147</v>
      </c>
      <c r="P12" s="251">
        <f t="shared" si="2"/>
        <v>2.0880000000000001</v>
      </c>
      <c r="Q12" s="241">
        <f>I12</f>
        <v>11964.225080385853</v>
      </c>
      <c r="R12" s="230"/>
    </row>
    <row r="13" spans="1:18" ht="15" customHeight="1">
      <c r="A13" s="1076" t="s">
        <v>299</v>
      </c>
      <c r="B13" s="253">
        <f>'R7短期'!O17</f>
        <v>15960000</v>
      </c>
      <c r="C13" s="254" t="s">
        <v>148</v>
      </c>
      <c r="D13" s="1389">
        <v>1.2E-2</v>
      </c>
      <c r="E13" s="255">
        <f>E5-E6-E7-E8-E9-E10-E11-E12</f>
        <v>191.51982851025969</v>
      </c>
      <c r="F13" s="256">
        <f>SUM(F5:F12)</f>
        <v>5730000</v>
      </c>
      <c r="G13" s="254" t="s">
        <v>148</v>
      </c>
      <c r="H13" s="250">
        <f>D13</f>
        <v>1.2E-2</v>
      </c>
      <c r="I13" s="255">
        <f>I5-I6-I7-I8-I9-I10-I11-I12</f>
        <v>68.759914255066178</v>
      </c>
      <c r="J13" s="257">
        <f>B13</f>
        <v>15960000</v>
      </c>
      <c r="K13" s="254" t="s">
        <v>148</v>
      </c>
      <c r="L13" s="251">
        <f t="shared" si="1"/>
        <v>1.2E-2</v>
      </c>
      <c r="M13" s="255">
        <f>E13</f>
        <v>191.51982851025969</v>
      </c>
      <c r="N13" s="258">
        <f t="shared" ref="N13:N18" si="3">F13</f>
        <v>5730000</v>
      </c>
      <c r="O13" s="254" t="s">
        <v>148</v>
      </c>
      <c r="P13" s="251">
        <f t="shared" si="2"/>
        <v>1.2E-2</v>
      </c>
      <c r="Q13" s="259">
        <f>I13</f>
        <v>68.759914255066178</v>
      </c>
      <c r="R13" s="230"/>
    </row>
    <row r="14" spans="1:18" ht="15" customHeight="1">
      <c r="A14" s="231" t="s">
        <v>76</v>
      </c>
      <c r="B14" s="232"/>
      <c r="C14" s="15"/>
      <c r="D14" s="233">
        <f>SUM(D15:D22)</f>
        <v>55.110000000000007</v>
      </c>
      <c r="E14" s="245">
        <f>ROUNDDOWN(B22*D14/1000,0)</f>
        <v>1114324</v>
      </c>
      <c r="F14" s="248">
        <f>'R7短期'!AC7</f>
        <v>4294000</v>
      </c>
      <c r="G14" s="236"/>
      <c r="H14" s="233">
        <f>SUM(H15:H22)</f>
        <v>55.110000000000007</v>
      </c>
      <c r="I14" s="234">
        <f>ROUNDDOWN(F22*H14/1000,0)</f>
        <v>518309</v>
      </c>
      <c r="J14" s="237"/>
      <c r="K14" s="238"/>
      <c r="L14" s="233">
        <f>SUM(L15:L22)</f>
        <v>55.010000000000005</v>
      </c>
      <c r="M14" s="245">
        <f>SUM(M15:M22)</f>
        <v>1112302.0003629106</v>
      </c>
      <c r="N14" s="240">
        <f t="shared" si="3"/>
        <v>4294000</v>
      </c>
      <c r="O14" s="238"/>
      <c r="P14" s="233">
        <f>SUM(P15:P22)</f>
        <v>55.010000000000005</v>
      </c>
      <c r="Q14" s="241">
        <f>SUM(Q15:Q22)</f>
        <v>517368.50099800399</v>
      </c>
      <c r="R14" s="230"/>
    </row>
    <row r="15" spans="1:18" ht="15" customHeight="1">
      <c r="A15" s="231"/>
      <c r="B15" s="232"/>
      <c r="C15" s="242" t="s">
        <v>141</v>
      </c>
      <c r="D15" s="243">
        <f>D24</f>
        <v>49.74</v>
      </c>
      <c r="E15" s="245">
        <f>E14*D15/D14</f>
        <v>1005742.6194882961</v>
      </c>
      <c r="F15" s="248">
        <f>'R7短期'!AC13</f>
        <v>4294000</v>
      </c>
      <c r="G15" s="242" t="s">
        <v>141</v>
      </c>
      <c r="H15" s="243">
        <f>D15</f>
        <v>49.74</v>
      </c>
      <c r="I15" s="234">
        <f>I14*H15/H14</f>
        <v>467804.20359281433</v>
      </c>
      <c r="J15" s="237"/>
      <c r="K15" s="242" t="s">
        <v>141</v>
      </c>
      <c r="L15" s="244">
        <f>D15</f>
        <v>49.74</v>
      </c>
      <c r="M15" s="245">
        <f>E15</f>
        <v>1005742.6194882961</v>
      </c>
      <c r="N15" s="240">
        <f>F15</f>
        <v>4294000</v>
      </c>
      <c r="O15" s="242" t="s">
        <v>141</v>
      </c>
      <c r="P15" s="244">
        <f>L15</f>
        <v>49.74</v>
      </c>
      <c r="Q15" s="241">
        <f>I15</f>
        <v>467804.20359281433</v>
      </c>
      <c r="R15" s="230"/>
    </row>
    <row r="16" spans="1:18" ht="15" customHeight="1">
      <c r="A16" s="231"/>
      <c r="B16" s="232"/>
      <c r="C16" s="242" t="s">
        <v>142</v>
      </c>
      <c r="D16" s="243">
        <f>D25</f>
        <v>2.52</v>
      </c>
      <c r="E16" s="245">
        <f>E14*D16/D14</f>
        <v>50954.390854654324</v>
      </c>
      <c r="F16" s="248">
        <f>'R7短期'!AC16</f>
        <v>817000</v>
      </c>
      <c r="G16" s="242" t="s">
        <v>142</v>
      </c>
      <c r="H16" s="243">
        <f t="shared" ref="H16:H22" si="4">D16</f>
        <v>2.52</v>
      </c>
      <c r="I16" s="234">
        <f>I14*H16/H14</f>
        <v>23700.574850299396</v>
      </c>
      <c r="J16" s="237"/>
      <c r="K16" s="242" t="s">
        <v>142</v>
      </c>
      <c r="L16" s="244">
        <f>D16</f>
        <v>2.52</v>
      </c>
      <c r="M16" s="245">
        <f>E16</f>
        <v>50954.390854654324</v>
      </c>
      <c r="N16" s="240">
        <f t="shared" si="3"/>
        <v>817000</v>
      </c>
      <c r="O16" s="242" t="s">
        <v>142</v>
      </c>
      <c r="P16" s="244">
        <f>L16</f>
        <v>2.52</v>
      </c>
      <c r="Q16" s="241">
        <f>I16</f>
        <v>23700.574850299396</v>
      </c>
      <c r="R16" s="230"/>
    </row>
    <row r="17" spans="1:18" ht="15" customHeight="1">
      <c r="A17" s="231"/>
      <c r="B17" s="232"/>
      <c r="C17" s="260" t="s">
        <v>83</v>
      </c>
      <c r="D17" s="261"/>
      <c r="E17" s="262"/>
      <c r="F17" s="263">
        <f>'R7短期'!AC8</f>
        <v>0</v>
      </c>
      <c r="G17" s="260" t="s">
        <v>83</v>
      </c>
      <c r="H17" s="261"/>
      <c r="I17" s="264"/>
      <c r="J17" s="237"/>
      <c r="K17" s="242" t="s">
        <v>83</v>
      </c>
      <c r="L17" s="244"/>
      <c r="M17" s="245"/>
      <c r="N17" s="240">
        <f t="shared" si="3"/>
        <v>0</v>
      </c>
      <c r="O17" s="242" t="s">
        <v>83</v>
      </c>
      <c r="P17" s="244"/>
      <c r="Q17" s="241"/>
      <c r="R17" s="230"/>
    </row>
    <row r="18" spans="1:18" ht="15" customHeight="1">
      <c r="A18" s="231"/>
      <c r="B18" s="232"/>
      <c r="C18" s="242" t="s">
        <v>143</v>
      </c>
      <c r="D18" s="243">
        <f>D27</f>
        <v>0.55000000000000004</v>
      </c>
      <c r="E18" s="245">
        <f>E14*D18/D14</f>
        <v>11120.998003992016</v>
      </c>
      <c r="F18" s="248">
        <f>'R7短期'!AC14</f>
        <v>0</v>
      </c>
      <c r="G18" s="242" t="s">
        <v>143</v>
      </c>
      <c r="H18" s="243">
        <f>D18</f>
        <v>0.55000000000000004</v>
      </c>
      <c r="I18" s="234">
        <f>I14*H18/H14</f>
        <v>5172.7445109780438</v>
      </c>
      <c r="J18" s="237"/>
      <c r="K18" s="242" t="s">
        <v>143</v>
      </c>
      <c r="L18" s="244">
        <f>D18</f>
        <v>0.55000000000000004</v>
      </c>
      <c r="M18" s="245">
        <f>E18</f>
        <v>11120.998003992016</v>
      </c>
      <c r="N18" s="240">
        <f t="shared" si="3"/>
        <v>0</v>
      </c>
      <c r="O18" s="242" t="s">
        <v>143</v>
      </c>
      <c r="P18" s="244">
        <f>L18</f>
        <v>0.55000000000000004</v>
      </c>
      <c r="Q18" s="241">
        <f>I18</f>
        <v>5172.7445109780438</v>
      </c>
      <c r="R18" s="230"/>
    </row>
    <row r="19" spans="1:18" ht="15" customHeight="1">
      <c r="A19" s="231"/>
      <c r="B19" s="232"/>
      <c r="C19" s="242" t="s">
        <v>144</v>
      </c>
      <c r="D19" s="246">
        <f>D28</f>
        <v>0.1</v>
      </c>
      <c r="E19" s="245">
        <f>E14*D19/D14</f>
        <v>2021.9996370894573</v>
      </c>
      <c r="F19" s="248"/>
      <c r="G19" s="242" t="s">
        <v>144</v>
      </c>
      <c r="H19" s="246">
        <f t="shared" si="4"/>
        <v>0.1</v>
      </c>
      <c r="I19" s="234">
        <f>I14*H19/H14</f>
        <v>940.49900199600791</v>
      </c>
      <c r="J19" s="237"/>
      <c r="K19" s="242" t="s">
        <v>144</v>
      </c>
      <c r="L19" s="244"/>
      <c r="M19" s="245"/>
      <c r="N19" s="240"/>
      <c r="O19" s="242" t="s">
        <v>144</v>
      </c>
      <c r="P19" s="244"/>
      <c r="Q19" s="241"/>
      <c r="R19" s="230"/>
    </row>
    <row r="20" spans="1:18" ht="15" customHeight="1">
      <c r="A20" s="231"/>
      <c r="B20" s="232"/>
      <c r="C20" s="247" t="s">
        <v>145</v>
      </c>
      <c r="D20" s="246">
        <f>D29</f>
        <v>0.1</v>
      </c>
      <c r="E20" s="245">
        <f>E14*D20/D14</f>
        <v>2021.9996370894573</v>
      </c>
      <c r="F20" s="248" t="s">
        <v>478</v>
      </c>
      <c r="G20" s="247" t="s">
        <v>145</v>
      </c>
      <c r="H20" s="246">
        <f t="shared" si="4"/>
        <v>0.1</v>
      </c>
      <c r="I20" s="245">
        <f>I14*H20/H14</f>
        <v>940.49900199600791</v>
      </c>
      <c r="J20" s="237"/>
      <c r="K20" s="247" t="s">
        <v>145</v>
      </c>
      <c r="L20" s="249">
        <f t="shared" ref="L20:N27" si="5">D20</f>
        <v>0.1</v>
      </c>
      <c r="M20" s="245">
        <f t="shared" si="5"/>
        <v>2021.9996370894573</v>
      </c>
      <c r="N20" s="240"/>
      <c r="O20" s="247" t="s">
        <v>145</v>
      </c>
      <c r="P20" s="249">
        <f>L20</f>
        <v>0.1</v>
      </c>
      <c r="Q20" s="241">
        <f>I20</f>
        <v>940.49900199600791</v>
      </c>
      <c r="R20" s="230"/>
    </row>
    <row r="21" spans="1:18" ht="15" customHeight="1">
      <c r="A21" s="231"/>
      <c r="B21" s="232"/>
      <c r="C21" s="242" t="s">
        <v>147</v>
      </c>
      <c r="D21" s="250">
        <f>D30</f>
        <v>2.0880000000000001</v>
      </c>
      <c r="E21" s="245">
        <f>E14*D21/D14</f>
        <v>42219.352422427866</v>
      </c>
      <c r="F21" s="248"/>
      <c r="G21" s="242" t="s">
        <v>147</v>
      </c>
      <c r="H21" s="250">
        <f t="shared" si="4"/>
        <v>2.0880000000000001</v>
      </c>
      <c r="I21" s="245">
        <f>I14*H21/H14</f>
        <v>19637.619161676645</v>
      </c>
      <c r="J21" s="237"/>
      <c r="K21" s="242" t="s">
        <v>147</v>
      </c>
      <c r="L21" s="251">
        <f t="shared" si="5"/>
        <v>2.0880000000000001</v>
      </c>
      <c r="M21" s="245">
        <f t="shared" si="5"/>
        <v>42219.352422427866</v>
      </c>
      <c r="N21" s="240"/>
      <c r="O21" s="242" t="s">
        <v>147</v>
      </c>
      <c r="P21" s="251">
        <f>L21</f>
        <v>2.0880000000000001</v>
      </c>
      <c r="Q21" s="241">
        <f>I21</f>
        <v>19637.619161676645</v>
      </c>
      <c r="R21" s="230"/>
    </row>
    <row r="22" spans="1:18" ht="15" customHeight="1">
      <c r="A22" s="1076" t="s">
        <v>299</v>
      </c>
      <c r="B22" s="253">
        <f>'R7短期'!K17</f>
        <v>20220000</v>
      </c>
      <c r="C22" s="254" t="s">
        <v>148</v>
      </c>
      <c r="D22" s="250">
        <f>D31</f>
        <v>1.2E-2</v>
      </c>
      <c r="E22" s="255">
        <f>E14-E15-E16-E17-E18-E19-E20-E21</f>
        <v>242.63995645077375</v>
      </c>
      <c r="F22" s="256">
        <f>SUM(F14:F21)</f>
        <v>9405000</v>
      </c>
      <c r="G22" s="254" t="s">
        <v>148</v>
      </c>
      <c r="H22" s="250">
        <f t="shared" si="4"/>
        <v>1.2E-2</v>
      </c>
      <c r="I22" s="255">
        <f>I14-I15-I16-I17-I18-I19-I20-I21</f>
        <v>112.85988023956452</v>
      </c>
      <c r="J22" s="257">
        <f>B22</f>
        <v>20220000</v>
      </c>
      <c r="K22" s="254" t="s">
        <v>148</v>
      </c>
      <c r="L22" s="251">
        <f t="shared" si="5"/>
        <v>1.2E-2</v>
      </c>
      <c r="M22" s="255">
        <f t="shared" si="5"/>
        <v>242.63995645077375</v>
      </c>
      <c r="N22" s="258">
        <f t="shared" si="5"/>
        <v>9405000</v>
      </c>
      <c r="O22" s="254" t="s">
        <v>148</v>
      </c>
      <c r="P22" s="251">
        <f>L22</f>
        <v>1.2E-2</v>
      </c>
      <c r="Q22" s="259">
        <f>I22</f>
        <v>112.85988023956452</v>
      </c>
      <c r="R22" s="230"/>
    </row>
    <row r="23" spans="1:18" ht="15" customHeight="1">
      <c r="A23" s="231" t="s">
        <v>74</v>
      </c>
      <c r="B23" s="232"/>
      <c r="C23" s="15"/>
      <c r="D23" s="233">
        <f>SUM(D24:D31)</f>
        <v>55.980000000000004</v>
      </c>
      <c r="E23" s="245">
        <f>ROUNDDOWN(B31*D23/1000,0)</f>
        <v>3046431</v>
      </c>
      <c r="F23" s="248">
        <f>'R7短期'!AD7</f>
        <v>11218000</v>
      </c>
      <c r="G23" s="236"/>
      <c r="H23" s="233">
        <f>SUM(H24:H31)</f>
        <v>55.980000000000004</v>
      </c>
      <c r="I23" s="234">
        <f>ROUNDDOWN(F31*H23/1000,0)</f>
        <v>1375540</v>
      </c>
      <c r="J23" s="237"/>
      <c r="K23" s="238"/>
      <c r="L23" s="233">
        <f>SUM(L24:L31)</f>
        <v>55.010000000000005</v>
      </c>
      <c r="M23" s="1957">
        <f>SUM(M24:M31)</f>
        <v>2993643.6103965701</v>
      </c>
      <c r="N23" s="240">
        <f t="shared" si="5"/>
        <v>11218000</v>
      </c>
      <c r="O23" s="238"/>
      <c r="P23" s="233">
        <f>SUM(P24:P31)</f>
        <v>55.010000000000005</v>
      </c>
      <c r="Q23" s="241">
        <f>SUM(Q24:Q31)</f>
        <v>1351705.1697034654</v>
      </c>
      <c r="R23" s="230"/>
    </row>
    <row r="24" spans="1:18" ht="15" customHeight="1">
      <c r="A24" s="231" t="s">
        <v>149</v>
      </c>
      <c r="B24" s="232"/>
      <c r="C24" s="242" t="s">
        <v>141</v>
      </c>
      <c r="D24" s="243">
        <f t="shared" ref="D24:D31" si="6">D6</f>
        <v>49.74</v>
      </c>
      <c r="E24" s="1957">
        <f>E23*D24/D23</f>
        <v>2706850.2668810287</v>
      </c>
      <c r="F24" s="248">
        <f>'R7短期'!AD13</f>
        <v>11218000</v>
      </c>
      <c r="G24" s="242" t="s">
        <v>141</v>
      </c>
      <c r="H24" s="243">
        <f>D24</f>
        <v>49.74</v>
      </c>
      <c r="I24" s="234">
        <f>I23*H24/H23</f>
        <v>1222210.7824222937</v>
      </c>
      <c r="J24" s="237"/>
      <c r="K24" s="242" t="s">
        <v>141</v>
      </c>
      <c r="L24" s="244">
        <f>D24</f>
        <v>49.74</v>
      </c>
      <c r="M24" s="245">
        <f>E24</f>
        <v>2706850.2668810287</v>
      </c>
      <c r="N24" s="240">
        <f t="shared" si="5"/>
        <v>11218000</v>
      </c>
      <c r="O24" s="242" t="s">
        <v>141</v>
      </c>
      <c r="P24" s="244">
        <f>L24</f>
        <v>49.74</v>
      </c>
      <c r="Q24" s="241">
        <f>I24</f>
        <v>1222210.7824222937</v>
      </c>
      <c r="R24" s="230"/>
    </row>
    <row r="25" spans="1:18" ht="15" customHeight="1">
      <c r="A25" s="231"/>
      <c r="B25" s="232"/>
      <c r="C25" s="242" t="s">
        <v>142</v>
      </c>
      <c r="D25" s="243">
        <f t="shared" si="6"/>
        <v>2.52</v>
      </c>
      <c r="E25" s="245">
        <f>E23*D25/D23</f>
        <v>137138.3729903537</v>
      </c>
      <c r="F25" s="248">
        <f>'R7短期'!AD16</f>
        <v>2136000</v>
      </c>
      <c r="G25" s="242" t="s">
        <v>142</v>
      </c>
      <c r="H25" s="243">
        <f t="shared" ref="H25:H31" si="7">D25</f>
        <v>2.52</v>
      </c>
      <c r="I25" s="234">
        <f>I23*H25/H23</f>
        <v>61921.41479099678</v>
      </c>
      <c r="J25" s="237"/>
      <c r="K25" s="242" t="s">
        <v>142</v>
      </c>
      <c r="L25" s="244">
        <f>D25</f>
        <v>2.52</v>
      </c>
      <c r="M25" s="245">
        <f>E25</f>
        <v>137138.3729903537</v>
      </c>
      <c r="N25" s="240">
        <f t="shared" si="5"/>
        <v>2136000</v>
      </c>
      <c r="O25" s="242" t="s">
        <v>142</v>
      </c>
      <c r="P25" s="244">
        <f>L25</f>
        <v>2.52</v>
      </c>
      <c r="Q25" s="241">
        <f>I25</f>
        <v>61921.41479099678</v>
      </c>
      <c r="R25" s="230"/>
    </row>
    <row r="26" spans="1:18" ht="15" customHeight="1">
      <c r="A26" s="231"/>
      <c r="B26" s="232"/>
      <c r="C26" s="242" t="s">
        <v>83</v>
      </c>
      <c r="D26" s="243">
        <f t="shared" si="6"/>
        <v>0.87</v>
      </c>
      <c r="E26" s="245">
        <f>E23*D26/D23</f>
        <v>47345.390675241157</v>
      </c>
      <c r="F26" s="248">
        <f>'R7短期'!AD8</f>
        <v>0</v>
      </c>
      <c r="G26" s="242" t="s">
        <v>83</v>
      </c>
      <c r="H26" s="243">
        <f t="shared" si="7"/>
        <v>0.87</v>
      </c>
      <c r="I26" s="234">
        <f>I23*H26/H23</f>
        <v>21377.631296891745</v>
      </c>
      <c r="J26" s="237"/>
      <c r="K26" s="242" t="s">
        <v>83</v>
      </c>
      <c r="L26" s="244"/>
      <c r="M26" s="245"/>
      <c r="N26" s="240">
        <f t="shared" si="5"/>
        <v>0</v>
      </c>
      <c r="O26" s="242" t="s">
        <v>83</v>
      </c>
      <c r="P26" s="244"/>
      <c r="Q26" s="241"/>
      <c r="R26" s="230"/>
    </row>
    <row r="27" spans="1:18" ht="15" customHeight="1">
      <c r="A27" s="231"/>
      <c r="B27" s="232"/>
      <c r="C27" s="242" t="s">
        <v>143</v>
      </c>
      <c r="D27" s="243">
        <f t="shared" si="6"/>
        <v>0.55000000000000004</v>
      </c>
      <c r="E27" s="245">
        <f>E23*D27/D23</f>
        <v>29930.994105037513</v>
      </c>
      <c r="F27" s="248">
        <f>'R7短期'!AD14</f>
        <v>0</v>
      </c>
      <c r="G27" s="242" t="s">
        <v>143</v>
      </c>
      <c r="H27" s="243">
        <f t="shared" si="7"/>
        <v>0.55000000000000004</v>
      </c>
      <c r="I27" s="234">
        <f>I23*H27/H23</f>
        <v>13514.594498035014</v>
      </c>
      <c r="J27" s="237"/>
      <c r="K27" s="242" t="s">
        <v>143</v>
      </c>
      <c r="L27" s="244">
        <f>D27</f>
        <v>0.55000000000000004</v>
      </c>
      <c r="M27" s="245">
        <f>E27</f>
        <v>29930.994105037513</v>
      </c>
      <c r="N27" s="240">
        <f t="shared" si="5"/>
        <v>0</v>
      </c>
      <c r="O27" s="242" t="s">
        <v>143</v>
      </c>
      <c r="P27" s="244">
        <f>L27</f>
        <v>0.55000000000000004</v>
      </c>
      <c r="Q27" s="241">
        <f>I27</f>
        <v>13514.594498035014</v>
      </c>
      <c r="R27" s="230"/>
    </row>
    <row r="28" spans="1:18" ht="15" customHeight="1">
      <c r="A28" s="231"/>
      <c r="B28" s="232"/>
      <c r="C28" s="242" t="s">
        <v>144</v>
      </c>
      <c r="D28" s="246">
        <f t="shared" si="6"/>
        <v>0.1</v>
      </c>
      <c r="E28" s="245">
        <f>E23*D28/D23</f>
        <v>5441.9989281886392</v>
      </c>
      <c r="F28" s="248"/>
      <c r="G28" s="242" t="s">
        <v>144</v>
      </c>
      <c r="H28" s="246">
        <f t="shared" si="7"/>
        <v>0.1</v>
      </c>
      <c r="I28" s="234">
        <f>I23*H28/H23</f>
        <v>2457.1989996427292</v>
      </c>
      <c r="J28" s="237"/>
      <c r="K28" s="242" t="s">
        <v>144</v>
      </c>
      <c r="L28" s="244"/>
      <c r="M28" s="245"/>
      <c r="N28" s="240"/>
      <c r="O28" s="242" t="s">
        <v>144</v>
      </c>
      <c r="P28" s="244"/>
      <c r="Q28" s="241"/>
      <c r="R28" s="230"/>
    </row>
    <row r="29" spans="1:18" ht="15" customHeight="1">
      <c r="A29" s="231"/>
      <c r="B29" s="232"/>
      <c r="C29" s="247" t="s">
        <v>145</v>
      </c>
      <c r="D29" s="246">
        <f t="shared" si="6"/>
        <v>0.1</v>
      </c>
      <c r="E29" s="245">
        <f>E23*D29/D23</f>
        <v>5441.9989281886392</v>
      </c>
      <c r="F29" s="248" t="s">
        <v>479</v>
      </c>
      <c r="G29" s="247" t="s">
        <v>145</v>
      </c>
      <c r="H29" s="246">
        <f t="shared" si="7"/>
        <v>0.1</v>
      </c>
      <c r="I29" s="245">
        <f>I23*H29/H23</f>
        <v>2457.1989996427292</v>
      </c>
      <c r="J29" s="237"/>
      <c r="K29" s="247" t="s">
        <v>145</v>
      </c>
      <c r="L29" s="249">
        <f t="shared" ref="L29:N36" si="8">D29</f>
        <v>0.1</v>
      </c>
      <c r="M29" s="245">
        <f t="shared" si="8"/>
        <v>5441.9989281886392</v>
      </c>
      <c r="N29" s="240"/>
      <c r="O29" s="247" t="s">
        <v>145</v>
      </c>
      <c r="P29" s="249">
        <f>L29</f>
        <v>0.1</v>
      </c>
      <c r="Q29" s="241">
        <f>I29</f>
        <v>2457.1989996427292</v>
      </c>
      <c r="R29" s="230"/>
    </row>
    <row r="30" spans="1:18" ht="15" customHeight="1">
      <c r="A30" s="231"/>
      <c r="B30" s="232"/>
      <c r="C30" s="242" t="s">
        <v>147</v>
      </c>
      <c r="D30" s="250">
        <f t="shared" si="6"/>
        <v>2.0880000000000001</v>
      </c>
      <c r="E30" s="245">
        <f>E23*D30/D23</f>
        <v>113628.93762057877</v>
      </c>
      <c r="F30" s="248"/>
      <c r="G30" s="242" t="s">
        <v>147</v>
      </c>
      <c r="H30" s="250">
        <f t="shared" si="7"/>
        <v>2.0880000000000001</v>
      </c>
      <c r="I30" s="245">
        <f>I23*H30/H23</f>
        <v>51306.315112540193</v>
      </c>
      <c r="J30" s="237"/>
      <c r="K30" s="242" t="s">
        <v>147</v>
      </c>
      <c r="L30" s="251">
        <f t="shared" si="8"/>
        <v>2.0880000000000001</v>
      </c>
      <c r="M30" s="245">
        <f t="shared" si="8"/>
        <v>113628.93762057877</v>
      </c>
      <c r="N30" s="240"/>
      <c r="O30" s="242" t="s">
        <v>147</v>
      </c>
      <c r="P30" s="251">
        <f>L30</f>
        <v>2.0880000000000001</v>
      </c>
      <c r="Q30" s="241">
        <f>I30</f>
        <v>51306.315112540193</v>
      </c>
      <c r="R30" s="230"/>
    </row>
    <row r="31" spans="1:18" ht="15" customHeight="1">
      <c r="A31" s="1076" t="s">
        <v>299</v>
      </c>
      <c r="B31" s="253">
        <f>'R7短期'!M17</f>
        <v>54420000</v>
      </c>
      <c r="C31" s="254" t="s">
        <v>148</v>
      </c>
      <c r="D31" s="250">
        <f t="shared" si="6"/>
        <v>1.2E-2</v>
      </c>
      <c r="E31" s="1962">
        <f>E23-E24-E25-E26-E27-E28-E29-E30</f>
        <v>653.03987138293451</v>
      </c>
      <c r="F31" s="256">
        <f>SUM(F23:F30)</f>
        <v>24572000</v>
      </c>
      <c r="G31" s="254" t="s">
        <v>148</v>
      </c>
      <c r="H31" s="250">
        <f t="shared" si="7"/>
        <v>1.2E-2</v>
      </c>
      <c r="I31" s="255">
        <f>I23-I24-I25-I26-I27-I28-I29-I30</f>
        <v>294.86387995711993</v>
      </c>
      <c r="J31" s="257">
        <f>B31</f>
        <v>54420000</v>
      </c>
      <c r="K31" s="254" t="s">
        <v>148</v>
      </c>
      <c r="L31" s="251">
        <f t="shared" si="8"/>
        <v>1.2E-2</v>
      </c>
      <c r="M31" s="255">
        <f t="shared" si="8"/>
        <v>653.03987138293451</v>
      </c>
      <c r="N31" s="258">
        <f t="shared" si="8"/>
        <v>24572000</v>
      </c>
      <c r="O31" s="254" t="s">
        <v>148</v>
      </c>
      <c r="P31" s="251">
        <f>L31</f>
        <v>1.2E-2</v>
      </c>
      <c r="Q31" s="259">
        <f>I31</f>
        <v>294.86387995711993</v>
      </c>
      <c r="R31" s="230"/>
    </row>
    <row r="32" spans="1:18" ht="15" customHeight="1">
      <c r="A32" s="231" t="s">
        <v>80</v>
      </c>
      <c r="B32" s="232"/>
      <c r="C32" s="15"/>
      <c r="D32" s="233">
        <f>SUM(D33:D40)</f>
        <v>55.110000000000007</v>
      </c>
      <c r="E32" s="245">
        <f>ROUNDDOWN(B40*D32/1000,0)</f>
        <v>1200936288</v>
      </c>
      <c r="F32" s="248">
        <f>'R7短期'!AA7</f>
        <v>2273922000</v>
      </c>
      <c r="G32" s="236"/>
      <c r="H32" s="233">
        <f>SUM(H33:H40)</f>
        <v>55.110000000000007</v>
      </c>
      <c r="I32" s="234">
        <f>ROUNDDOWN(F40*H32/1000,0)</f>
        <v>277809510</v>
      </c>
      <c r="J32" s="237"/>
      <c r="K32" s="238"/>
      <c r="L32" s="233">
        <f>SUM(L33:L40)</f>
        <v>55.010000000000005</v>
      </c>
      <c r="M32" s="1957">
        <f>SUM(M33:M40)</f>
        <v>1198757125.8007619</v>
      </c>
      <c r="N32" s="240">
        <f t="shared" si="8"/>
        <v>2273922000</v>
      </c>
      <c r="O32" s="238"/>
      <c r="P32" s="233">
        <f>SUM(P33:P40)</f>
        <v>55.010000000000005</v>
      </c>
      <c r="Q32" s="241">
        <f>SUM(Q33:Q40)</f>
        <v>277305410</v>
      </c>
      <c r="R32" s="230"/>
    </row>
    <row r="33" spans="1:18" ht="15" customHeight="1">
      <c r="A33" s="231" t="s">
        <v>150</v>
      </c>
      <c r="B33" s="232"/>
      <c r="C33" s="242" t="s">
        <v>141</v>
      </c>
      <c r="D33" s="243">
        <f>D15</f>
        <v>49.74</v>
      </c>
      <c r="E33" s="245">
        <f>E32*D33/D32</f>
        <v>1083915277.9009254</v>
      </c>
      <c r="F33" s="248">
        <f>'R7短期'!AA13</f>
        <v>2273922000</v>
      </c>
      <c r="G33" s="242" t="s">
        <v>141</v>
      </c>
      <c r="H33" s="243">
        <f>D33</f>
        <v>49.74</v>
      </c>
      <c r="I33" s="234">
        <f>I32*H33/H32</f>
        <v>250739339.99999997</v>
      </c>
      <c r="J33" s="237"/>
      <c r="K33" s="242" t="s">
        <v>141</v>
      </c>
      <c r="L33" s="244">
        <f>D33</f>
        <v>49.74</v>
      </c>
      <c r="M33" s="245">
        <f>E33</f>
        <v>1083915277.9009254</v>
      </c>
      <c r="N33" s="240">
        <f t="shared" si="8"/>
        <v>2273922000</v>
      </c>
      <c r="O33" s="242" t="s">
        <v>141</v>
      </c>
      <c r="P33" s="244">
        <f>L33</f>
        <v>49.74</v>
      </c>
      <c r="Q33" s="241">
        <f>I33</f>
        <v>250739339.99999997</v>
      </c>
      <c r="R33" s="230"/>
    </row>
    <row r="34" spans="1:18" ht="15" customHeight="1">
      <c r="A34" s="1390" t="s">
        <v>649</v>
      </c>
      <c r="B34" s="232"/>
      <c r="C34" s="242" t="s">
        <v>142</v>
      </c>
      <c r="D34" s="243">
        <f>D16</f>
        <v>2.52</v>
      </c>
      <c r="E34" s="245">
        <f>E32*D34/D32</f>
        <v>54914887.42079477</v>
      </c>
      <c r="F34" s="248">
        <f>'R7短期'!AA16</f>
        <v>436564000</v>
      </c>
      <c r="G34" s="242" t="s">
        <v>142</v>
      </c>
      <c r="H34" s="243">
        <f t="shared" ref="H34:H40" si="9">D34</f>
        <v>2.52</v>
      </c>
      <c r="I34" s="234">
        <f>I32*H34/H32</f>
        <v>12703320</v>
      </c>
      <c r="J34" s="237"/>
      <c r="K34" s="242" t="s">
        <v>142</v>
      </c>
      <c r="L34" s="244">
        <f>D34</f>
        <v>2.52</v>
      </c>
      <c r="M34" s="245">
        <f>E34</f>
        <v>54914887.42079477</v>
      </c>
      <c r="N34" s="240">
        <f t="shared" si="8"/>
        <v>436564000</v>
      </c>
      <c r="O34" s="242" t="s">
        <v>142</v>
      </c>
      <c r="P34" s="244">
        <f>L34</f>
        <v>2.52</v>
      </c>
      <c r="Q34" s="241">
        <f>I34</f>
        <v>12703320</v>
      </c>
      <c r="R34" s="230"/>
    </row>
    <row r="35" spans="1:18" ht="15" customHeight="1">
      <c r="A35" s="1390" t="s">
        <v>651</v>
      </c>
      <c r="B35" s="232"/>
      <c r="C35" s="260" t="s">
        <v>83</v>
      </c>
      <c r="D35" s="261"/>
      <c r="E35" s="262"/>
      <c r="F35" s="263">
        <f>'R7短期'!AA8</f>
        <v>28296000</v>
      </c>
      <c r="G35" s="260" t="s">
        <v>83</v>
      </c>
      <c r="H35" s="261"/>
      <c r="I35" s="264"/>
      <c r="J35" s="237"/>
      <c r="K35" s="242" t="s">
        <v>83</v>
      </c>
      <c r="L35" s="244"/>
      <c r="M35" s="245"/>
      <c r="N35" s="240">
        <f t="shared" si="8"/>
        <v>28296000</v>
      </c>
      <c r="O35" s="242" t="s">
        <v>83</v>
      </c>
      <c r="P35" s="244"/>
      <c r="Q35" s="241"/>
      <c r="R35" s="230"/>
    </row>
    <row r="36" spans="1:18" ht="15" customHeight="1">
      <c r="A36" s="1390"/>
      <c r="B36" s="232"/>
      <c r="C36" s="242" t="s">
        <v>143</v>
      </c>
      <c r="D36" s="243">
        <f>D18</f>
        <v>0.55000000000000004</v>
      </c>
      <c r="E36" s="245">
        <f>E32*D36/D32</f>
        <v>11985392.095808383</v>
      </c>
      <c r="F36" s="248">
        <f>'R7短期'!AA14</f>
        <v>28296000</v>
      </c>
      <c r="G36" s="242" t="s">
        <v>143</v>
      </c>
      <c r="H36" s="243">
        <f>D36</f>
        <v>0.55000000000000004</v>
      </c>
      <c r="I36" s="234">
        <f>I32*H36/H32</f>
        <v>2772549.9999999995</v>
      </c>
      <c r="J36" s="237"/>
      <c r="K36" s="242" t="s">
        <v>143</v>
      </c>
      <c r="L36" s="244">
        <f>D36</f>
        <v>0.55000000000000004</v>
      </c>
      <c r="M36" s="245">
        <f>E36</f>
        <v>11985392.095808383</v>
      </c>
      <c r="N36" s="240">
        <f t="shared" si="8"/>
        <v>28296000</v>
      </c>
      <c r="O36" s="242" t="s">
        <v>143</v>
      </c>
      <c r="P36" s="244">
        <f>L36</f>
        <v>0.55000000000000004</v>
      </c>
      <c r="Q36" s="241">
        <f>I36</f>
        <v>2772549.9999999995</v>
      </c>
      <c r="R36" s="230"/>
    </row>
    <row r="37" spans="1:18" ht="15" customHeight="1">
      <c r="A37" s="231"/>
      <c r="B37" s="232"/>
      <c r="C37" s="242" t="s">
        <v>144</v>
      </c>
      <c r="D37" s="246">
        <f>D19</f>
        <v>0.1</v>
      </c>
      <c r="E37" s="245">
        <f>E32*D37/D32</f>
        <v>2179162.1992378877</v>
      </c>
      <c r="F37" s="248"/>
      <c r="G37" s="242" t="s">
        <v>144</v>
      </c>
      <c r="H37" s="246">
        <f t="shared" si="9"/>
        <v>0.1</v>
      </c>
      <c r="I37" s="234">
        <f>I32*H37/H32</f>
        <v>504099.99999999994</v>
      </c>
      <c r="J37" s="237"/>
      <c r="K37" s="242" t="s">
        <v>144</v>
      </c>
      <c r="L37" s="244"/>
      <c r="M37" s="245"/>
      <c r="N37" s="240"/>
      <c r="O37" s="242" t="s">
        <v>144</v>
      </c>
      <c r="P37" s="244"/>
      <c r="Q37" s="241"/>
      <c r="R37" s="230"/>
    </row>
    <row r="38" spans="1:18" ht="15" customHeight="1">
      <c r="A38" s="231"/>
      <c r="B38" s="232"/>
      <c r="C38" s="247" t="s">
        <v>145</v>
      </c>
      <c r="D38" s="246">
        <f>D20</f>
        <v>0.1</v>
      </c>
      <c r="E38" s="245">
        <f>E32*D38/D32</f>
        <v>2179162.1992378877</v>
      </c>
      <c r="F38" s="248" t="s">
        <v>146</v>
      </c>
      <c r="G38" s="247" t="s">
        <v>145</v>
      </c>
      <c r="H38" s="246">
        <f t="shared" si="9"/>
        <v>0.1</v>
      </c>
      <c r="I38" s="245">
        <f>I32*H38/H32</f>
        <v>504099.99999999994</v>
      </c>
      <c r="J38" s="237"/>
      <c r="K38" s="247" t="s">
        <v>145</v>
      </c>
      <c r="L38" s="249">
        <f t="shared" ref="L38:N45" si="10">D38</f>
        <v>0.1</v>
      </c>
      <c r="M38" s="245">
        <f t="shared" si="10"/>
        <v>2179162.1992378877</v>
      </c>
      <c r="N38" s="240"/>
      <c r="O38" s="247" t="s">
        <v>145</v>
      </c>
      <c r="P38" s="249">
        <f>L38</f>
        <v>0.1</v>
      </c>
      <c r="Q38" s="241">
        <f>I38</f>
        <v>504099.99999999994</v>
      </c>
      <c r="R38" s="230"/>
    </row>
    <row r="39" spans="1:18" ht="15" customHeight="1">
      <c r="A39" s="231"/>
      <c r="B39" s="232"/>
      <c r="C39" s="242" t="s">
        <v>147</v>
      </c>
      <c r="D39" s="250">
        <f>D21</f>
        <v>2.0880000000000001</v>
      </c>
      <c r="E39" s="245">
        <f>E32*D39/D32</f>
        <v>45500906.720087089</v>
      </c>
      <c r="F39" s="248"/>
      <c r="G39" s="242" t="s">
        <v>147</v>
      </c>
      <c r="H39" s="250">
        <f t="shared" si="9"/>
        <v>2.0880000000000001</v>
      </c>
      <c r="I39" s="245">
        <f>I32*H39/H32</f>
        <v>10525607.999999998</v>
      </c>
      <c r="J39" s="237"/>
      <c r="K39" s="242" t="s">
        <v>147</v>
      </c>
      <c r="L39" s="251">
        <f t="shared" si="10"/>
        <v>2.0880000000000001</v>
      </c>
      <c r="M39" s="245">
        <f t="shared" si="10"/>
        <v>45500906.720087089</v>
      </c>
      <c r="N39" s="240"/>
      <c r="O39" s="242" t="s">
        <v>147</v>
      </c>
      <c r="P39" s="251">
        <f>L39</f>
        <v>2.0880000000000001</v>
      </c>
      <c r="Q39" s="241">
        <f>I39</f>
        <v>10525607.999999998</v>
      </c>
      <c r="R39" s="230"/>
    </row>
    <row r="40" spans="1:18" ht="15" customHeight="1">
      <c r="A40" s="252"/>
      <c r="B40" s="253">
        <f>'R7短期'!G17+'R7短期'!Q17</f>
        <v>21791622000</v>
      </c>
      <c r="C40" s="254" t="s">
        <v>148</v>
      </c>
      <c r="D40" s="250">
        <f>D22</f>
        <v>1.2E-2</v>
      </c>
      <c r="E40" s="1962">
        <f>E32-E33-E34-E35-E36-E37-E38-E39</f>
        <v>261499.46390857548</v>
      </c>
      <c r="F40" s="256">
        <f>SUM(F32:F39)</f>
        <v>5041000000</v>
      </c>
      <c r="G40" s="254" t="s">
        <v>148</v>
      </c>
      <c r="H40" s="250">
        <f t="shared" si="9"/>
        <v>1.2E-2</v>
      </c>
      <c r="I40" s="255">
        <f>I32-I33-I34-I35-I36-I37-I38-I39</f>
        <v>60492.000000031665</v>
      </c>
      <c r="J40" s="257">
        <f>B40</f>
        <v>21791622000</v>
      </c>
      <c r="K40" s="254" t="s">
        <v>148</v>
      </c>
      <c r="L40" s="251">
        <f t="shared" si="10"/>
        <v>1.2E-2</v>
      </c>
      <c r="M40" s="255">
        <f t="shared" si="10"/>
        <v>261499.46390857548</v>
      </c>
      <c r="N40" s="258">
        <f t="shared" si="10"/>
        <v>5041000000</v>
      </c>
      <c r="O40" s="254" t="s">
        <v>148</v>
      </c>
      <c r="P40" s="251">
        <f>L40</f>
        <v>1.2E-2</v>
      </c>
      <c r="Q40" s="259">
        <f>I40</f>
        <v>60492.000000031665</v>
      </c>
      <c r="R40" s="230"/>
    </row>
    <row r="41" spans="1:18" ht="15" customHeight="1">
      <c r="A41" s="231" t="s">
        <v>80</v>
      </c>
      <c r="B41" s="232"/>
      <c r="C41" s="15"/>
      <c r="D41" s="233">
        <f>SUM(D42:D49)</f>
        <v>55.980000000000004</v>
      </c>
      <c r="E41" s="245">
        <f>ROUNDDOWN(B49*D41/1000,0)</f>
        <v>3342433351</v>
      </c>
      <c r="F41" s="248">
        <f>'R7短期'!AB7+'R7短期'!AG7+'R7短期'!AE7</f>
        <v>9092550000</v>
      </c>
      <c r="G41" s="236"/>
      <c r="H41" s="233">
        <f>SUM(H42:H49)</f>
        <v>55.980000000000004</v>
      </c>
      <c r="I41" s="234">
        <f>ROUNDDOWN(F49*H41/1000,0)</f>
        <v>1131716926</v>
      </c>
      <c r="J41" s="237"/>
      <c r="K41" s="238"/>
      <c r="L41" s="233">
        <f>SUM(L42:L49)</f>
        <v>55.010000000000005</v>
      </c>
      <c r="M41" s="1957">
        <f>SUM(M42:M49)</f>
        <v>3284516946.0255446</v>
      </c>
      <c r="N41" s="240">
        <f t="shared" si="10"/>
        <v>9092550000</v>
      </c>
      <c r="O41" s="238"/>
      <c r="P41" s="233">
        <f>SUM(P42:P49)</f>
        <v>55.010000000000005</v>
      </c>
      <c r="Q41" s="241">
        <f>SUM(Q42:Q49)</f>
        <v>1112106968.5469809</v>
      </c>
      <c r="R41" s="230"/>
    </row>
    <row r="42" spans="1:18" ht="15" customHeight="1">
      <c r="A42" s="231" t="s">
        <v>149</v>
      </c>
      <c r="B42" s="232"/>
      <c r="C42" s="242" t="s">
        <v>141</v>
      </c>
      <c r="D42" s="243">
        <f t="shared" ref="D42:D49" si="11">D24</f>
        <v>49.74</v>
      </c>
      <c r="E42" s="245">
        <f>E41*D42/D41</f>
        <v>2969857714.87567</v>
      </c>
      <c r="F42" s="248">
        <f>'R7短期'!AB13+'R7短期'!AG13+'R7短期'!AE13</f>
        <v>9092550000</v>
      </c>
      <c r="G42" s="242" t="s">
        <v>141</v>
      </c>
      <c r="H42" s="243">
        <f>D42</f>
        <v>49.74</v>
      </c>
      <c r="I42" s="1958">
        <f>I41*H42/H41</f>
        <v>1005566271.8692391</v>
      </c>
      <c r="J42" s="237"/>
      <c r="K42" s="242" t="s">
        <v>141</v>
      </c>
      <c r="L42" s="244">
        <f>D42</f>
        <v>49.74</v>
      </c>
      <c r="M42" s="245">
        <f>E42</f>
        <v>2969857714.87567</v>
      </c>
      <c r="N42" s="240">
        <f t="shared" si="10"/>
        <v>9092550000</v>
      </c>
      <c r="O42" s="242" t="s">
        <v>141</v>
      </c>
      <c r="P42" s="244">
        <f>L42</f>
        <v>49.74</v>
      </c>
      <c r="Q42" s="241">
        <f>I42</f>
        <v>1005566271.8692391</v>
      </c>
      <c r="R42" s="230"/>
    </row>
    <row r="43" spans="1:18" ht="15" customHeight="1">
      <c r="A43" s="231" t="s">
        <v>151</v>
      </c>
      <c r="B43" s="232"/>
      <c r="C43" s="242" t="s">
        <v>142</v>
      </c>
      <c r="D43" s="243">
        <f t="shared" si="11"/>
        <v>2.52</v>
      </c>
      <c r="E43" s="245">
        <f>E41*D43/D41</f>
        <v>150463237.66559485</v>
      </c>
      <c r="F43" s="248">
        <f>'R7短期'!AB16+'R7短期'!AG16+'R7短期'!AE16</f>
        <v>1757843000</v>
      </c>
      <c r="G43" s="242" t="s">
        <v>142</v>
      </c>
      <c r="H43" s="243">
        <f t="shared" ref="H43:H49" si="12">D43</f>
        <v>2.52</v>
      </c>
      <c r="I43" s="1958">
        <f>I41*H43/H41</f>
        <v>50945456.475884244</v>
      </c>
      <c r="J43" s="237"/>
      <c r="K43" s="242" t="s">
        <v>142</v>
      </c>
      <c r="L43" s="244">
        <f>D43</f>
        <v>2.52</v>
      </c>
      <c r="M43" s="245">
        <f>E43</f>
        <v>150463237.66559485</v>
      </c>
      <c r="N43" s="240">
        <f t="shared" si="10"/>
        <v>1757843000</v>
      </c>
      <c r="O43" s="242" t="s">
        <v>142</v>
      </c>
      <c r="P43" s="244">
        <f>L43</f>
        <v>2.52</v>
      </c>
      <c r="Q43" s="241">
        <f>I43</f>
        <v>50945456.475884244</v>
      </c>
      <c r="R43" s="230"/>
    </row>
    <row r="44" spans="1:18" ht="15" customHeight="1">
      <c r="A44" s="1390" t="s">
        <v>648</v>
      </c>
      <c r="B44" s="232"/>
      <c r="C44" s="242" t="s">
        <v>83</v>
      </c>
      <c r="D44" s="243">
        <f t="shared" si="11"/>
        <v>0.87</v>
      </c>
      <c r="E44" s="245">
        <f>E41*D44/D41</f>
        <v>51945641.575026788</v>
      </c>
      <c r="F44" s="248">
        <f>'R7短期'!AB8+'R7短期'!AG8+'R7短期'!AE8</f>
        <v>136750000</v>
      </c>
      <c r="G44" s="242" t="s">
        <v>83</v>
      </c>
      <c r="H44" s="243">
        <f t="shared" si="12"/>
        <v>0.87</v>
      </c>
      <c r="I44" s="1958">
        <f>I41*H44/H41</f>
        <v>17588312.354769558</v>
      </c>
      <c r="J44" s="237"/>
      <c r="K44" s="242" t="s">
        <v>83</v>
      </c>
      <c r="L44" s="244"/>
      <c r="M44" s="245"/>
      <c r="N44" s="240">
        <f t="shared" si="10"/>
        <v>136750000</v>
      </c>
      <c r="O44" s="242" t="s">
        <v>83</v>
      </c>
      <c r="P44" s="244"/>
      <c r="Q44" s="241"/>
      <c r="R44" s="230"/>
    </row>
    <row r="45" spans="1:18" ht="15" customHeight="1">
      <c r="A45" s="1390" t="s">
        <v>649</v>
      </c>
      <c r="B45" s="232"/>
      <c r="C45" s="242" t="s">
        <v>143</v>
      </c>
      <c r="D45" s="243">
        <f t="shared" si="11"/>
        <v>0.55000000000000004</v>
      </c>
      <c r="E45" s="245">
        <f>E41*D45/D41</f>
        <v>32839198.696856022</v>
      </c>
      <c r="F45" s="248">
        <f>'R7短期'!AB14+'R7短期'!AG14+'R7短期'!AE14</f>
        <v>136758000</v>
      </c>
      <c r="G45" s="242" t="s">
        <v>143</v>
      </c>
      <c r="H45" s="243">
        <f t="shared" si="12"/>
        <v>0.55000000000000004</v>
      </c>
      <c r="I45" s="1958">
        <f>I41*H45/H41</f>
        <v>11119048.040371561</v>
      </c>
      <c r="J45" s="237"/>
      <c r="K45" s="242" t="s">
        <v>143</v>
      </c>
      <c r="L45" s="244">
        <f>D45</f>
        <v>0.55000000000000004</v>
      </c>
      <c r="M45" s="245">
        <f>E45</f>
        <v>32839198.696856022</v>
      </c>
      <c r="N45" s="240">
        <f t="shared" si="10"/>
        <v>136758000</v>
      </c>
      <c r="O45" s="242" t="s">
        <v>143</v>
      </c>
      <c r="P45" s="244">
        <f>L45</f>
        <v>0.55000000000000004</v>
      </c>
      <c r="Q45" s="241">
        <f>I45</f>
        <v>11119048.040371561</v>
      </c>
      <c r="R45" s="230"/>
    </row>
    <row r="46" spans="1:18" ht="15" customHeight="1">
      <c r="A46" s="1390" t="s">
        <v>650</v>
      </c>
      <c r="B46" s="232"/>
      <c r="C46" s="242" t="s">
        <v>144</v>
      </c>
      <c r="D46" s="246">
        <f t="shared" si="11"/>
        <v>0.1</v>
      </c>
      <c r="E46" s="245">
        <f>E41*D46/D41</f>
        <v>5970763.3994283676</v>
      </c>
      <c r="F46" s="248"/>
      <c r="G46" s="242" t="s">
        <v>144</v>
      </c>
      <c r="H46" s="246">
        <f t="shared" si="12"/>
        <v>0.1</v>
      </c>
      <c r="I46" s="1958">
        <f>I41*H46/H41</f>
        <v>2021645.0982493749</v>
      </c>
      <c r="J46" s="237"/>
      <c r="K46" s="242" t="s">
        <v>144</v>
      </c>
      <c r="L46" s="244"/>
      <c r="M46" s="245"/>
      <c r="N46" s="240"/>
      <c r="O46" s="242" t="s">
        <v>144</v>
      </c>
      <c r="P46" s="244"/>
      <c r="Q46" s="241"/>
      <c r="R46" s="230"/>
    </row>
    <row r="47" spans="1:18" ht="15" customHeight="1">
      <c r="A47" s="231"/>
      <c r="B47" s="232"/>
      <c r="C47" s="247" t="s">
        <v>145</v>
      </c>
      <c r="D47" s="246">
        <f t="shared" si="11"/>
        <v>0.1</v>
      </c>
      <c r="E47" s="245">
        <f>E41*D47/D41</f>
        <v>5970763.3994283676</v>
      </c>
      <c r="F47" s="248" t="s">
        <v>146</v>
      </c>
      <c r="G47" s="247" t="s">
        <v>145</v>
      </c>
      <c r="H47" s="246">
        <f t="shared" si="12"/>
        <v>0.1</v>
      </c>
      <c r="I47" s="1957">
        <f>I41*H47/H41</f>
        <v>2021645.0982493749</v>
      </c>
      <c r="J47" s="237"/>
      <c r="K47" s="247" t="s">
        <v>145</v>
      </c>
      <c r="L47" s="249">
        <f t="shared" ref="L47:N54" si="13">D47</f>
        <v>0.1</v>
      </c>
      <c r="M47" s="245">
        <f t="shared" si="13"/>
        <v>5970763.3994283676</v>
      </c>
      <c r="N47" s="240"/>
      <c r="O47" s="247" t="s">
        <v>145</v>
      </c>
      <c r="P47" s="249">
        <f>L47</f>
        <v>0.1</v>
      </c>
      <c r="Q47" s="241">
        <f>I47</f>
        <v>2021645.0982493749</v>
      </c>
      <c r="R47" s="230"/>
    </row>
    <row r="48" spans="1:18" ht="15" customHeight="1">
      <c r="A48" s="231"/>
      <c r="B48" s="232"/>
      <c r="C48" s="242" t="s">
        <v>147</v>
      </c>
      <c r="D48" s="250">
        <f t="shared" si="11"/>
        <v>2.0880000000000001</v>
      </c>
      <c r="E48" s="245">
        <f>E41*D48/D41</f>
        <v>124669539.78006431</v>
      </c>
      <c r="F48" s="248"/>
      <c r="G48" s="242" t="s">
        <v>147</v>
      </c>
      <c r="H48" s="250">
        <f t="shared" si="12"/>
        <v>2.0880000000000001</v>
      </c>
      <c r="I48" s="1957">
        <f>I41*H48/H41</f>
        <v>42211949.651446939</v>
      </c>
      <c r="J48" s="237"/>
      <c r="K48" s="242" t="s">
        <v>147</v>
      </c>
      <c r="L48" s="251">
        <f t="shared" si="13"/>
        <v>2.0880000000000001</v>
      </c>
      <c r="M48" s="245">
        <f t="shared" si="13"/>
        <v>124669539.78006431</v>
      </c>
      <c r="N48" s="240"/>
      <c r="O48" s="242" t="s">
        <v>147</v>
      </c>
      <c r="P48" s="251">
        <f>L48</f>
        <v>2.0880000000000001</v>
      </c>
      <c r="Q48" s="241">
        <f>I48</f>
        <v>42211949.651446939</v>
      </c>
      <c r="R48" s="230"/>
    </row>
    <row r="49" spans="1:22" ht="15" customHeight="1">
      <c r="A49" s="252"/>
      <c r="B49" s="253">
        <f>'R7短期'!I17+'R7短期'!U17+'R7短期'!S17</f>
        <v>59707634000</v>
      </c>
      <c r="C49" s="254" t="s">
        <v>148</v>
      </c>
      <c r="D49" s="250">
        <f t="shared" si="11"/>
        <v>1.2E-2</v>
      </c>
      <c r="E49" s="1962">
        <f>E41-E42-E43-E44-E45-E46-E47-E48</f>
        <v>716491.6079313457</v>
      </c>
      <c r="F49" s="256">
        <f>SUM(F41:F48)</f>
        <v>20216451000</v>
      </c>
      <c r="G49" s="254" t="s">
        <v>148</v>
      </c>
      <c r="H49" s="250">
        <f t="shared" si="12"/>
        <v>1.2E-2</v>
      </c>
      <c r="I49" s="1962">
        <f>I41-I42-I43-I44-I45-I46-I47-I48</f>
        <v>242597.41178985685</v>
      </c>
      <c r="J49" s="257">
        <f>B49</f>
        <v>59707634000</v>
      </c>
      <c r="K49" s="254" t="s">
        <v>148</v>
      </c>
      <c r="L49" s="251">
        <f t="shared" si="13"/>
        <v>1.2E-2</v>
      </c>
      <c r="M49" s="255">
        <f t="shared" si="13"/>
        <v>716491.6079313457</v>
      </c>
      <c r="N49" s="258">
        <f t="shared" si="13"/>
        <v>20216451000</v>
      </c>
      <c r="O49" s="254" t="s">
        <v>148</v>
      </c>
      <c r="P49" s="251">
        <f>L49</f>
        <v>1.2E-2</v>
      </c>
      <c r="Q49" s="259">
        <f>I49</f>
        <v>242597.41178985685</v>
      </c>
      <c r="R49" s="230"/>
    </row>
    <row r="50" spans="1:22" s="267" customFormat="1" ht="15" customHeight="1">
      <c r="A50" s="1077" t="s">
        <v>152</v>
      </c>
      <c r="C50" s="1078"/>
      <c r="D50" s="1079">
        <f>SUM(D51:D58)</f>
        <v>55.980000000000004</v>
      </c>
      <c r="E50" s="754">
        <f>SUM(E51:E58)</f>
        <v>775186</v>
      </c>
      <c r="F50" s="1080">
        <f>'R7短期'!Z7</f>
        <v>2118000</v>
      </c>
      <c r="G50" s="1078"/>
      <c r="H50" s="1079">
        <f>SUM(H51:H58)</f>
        <v>55.980000000000004</v>
      </c>
      <c r="I50" s="1081">
        <f>SUM(I51:I58)</f>
        <v>259814</v>
      </c>
      <c r="J50" s="1082"/>
      <c r="K50" s="1078"/>
      <c r="L50" s="1079">
        <f>SUM(L51:L58)</f>
        <v>55.010000000000005</v>
      </c>
      <c r="M50" s="754">
        <f>SUM(M51:M58)</f>
        <v>769038</v>
      </c>
      <c r="N50" s="1083">
        <f t="shared" si="13"/>
        <v>2118000</v>
      </c>
      <c r="O50" s="1078"/>
      <c r="P50" s="1079">
        <f>SUM(P51:P58)</f>
        <v>55.010000000000005</v>
      </c>
      <c r="Q50" s="1084">
        <f>SUM(Q51:Q58)</f>
        <v>257060</v>
      </c>
      <c r="S50" s="16"/>
      <c r="T50" s="16"/>
      <c r="U50" s="16"/>
      <c r="V50" s="16"/>
    </row>
    <row r="51" spans="1:22" s="267" customFormat="1" ht="15" customHeight="1">
      <c r="A51" s="1085" t="s">
        <v>113</v>
      </c>
      <c r="B51" s="268" t="s">
        <v>153</v>
      </c>
      <c r="C51" s="540" t="s">
        <v>141</v>
      </c>
      <c r="D51" s="1086">
        <f t="shared" ref="D51:D58" si="14">D42</f>
        <v>49.74</v>
      </c>
      <c r="E51" s="754">
        <f>ROUNDDOWN(B58*D51/1000,0)</f>
        <v>695365</v>
      </c>
      <c r="F51" s="1080">
        <f>'R7短期'!Z13</f>
        <v>2118000</v>
      </c>
      <c r="G51" s="540" t="s">
        <v>141</v>
      </c>
      <c r="H51" s="1086">
        <f>D51</f>
        <v>49.74</v>
      </c>
      <c r="I51" s="1081">
        <f>ROUNDDOWN(F58*H51/1000,0)</f>
        <v>232435</v>
      </c>
      <c r="J51" s="1082"/>
      <c r="K51" s="540" t="s">
        <v>141</v>
      </c>
      <c r="L51" s="1087">
        <f>D51</f>
        <v>49.74</v>
      </c>
      <c r="M51" s="754">
        <f>E51</f>
        <v>695365</v>
      </c>
      <c r="N51" s="1083">
        <f t="shared" si="13"/>
        <v>2118000</v>
      </c>
      <c r="O51" s="540" t="s">
        <v>141</v>
      </c>
      <c r="P51" s="1087">
        <f>L51</f>
        <v>49.74</v>
      </c>
      <c r="Q51" s="1084">
        <f>I51</f>
        <v>232435</v>
      </c>
      <c r="S51" s="16"/>
      <c r="T51" s="16"/>
      <c r="U51" s="16"/>
      <c r="V51" s="16"/>
    </row>
    <row r="52" spans="1:22" s="267" customFormat="1" ht="15" customHeight="1">
      <c r="A52" s="1088"/>
      <c r="B52" s="1089" t="s">
        <v>154</v>
      </c>
      <c r="C52" s="540" t="s">
        <v>142</v>
      </c>
      <c r="D52" s="1086">
        <f t="shared" si="14"/>
        <v>2.52</v>
      </c>
      <c r="E52" s="754">
        <f>ROUNDDOWN(B58*D52/1000,0)</f>
        <v>35229</v>
      </c>
      <c r="F52" s="1080">
        <f>'R7短期'!Z16</f>
        <v>406000</v>
      </c>
      <c r="G52" s="540" t="s">
        <v>142</v>
      </c>
      <c r="H52" s="1086">
        <f t="shared" ref="H52:H58" si="15">D52</f>
        <v>2.52</v>
      </c>
      <c r="I52" s="1081">
        <f>ROUNDDOWN(F58*H52/1000,0)</f>
        <v>11775</v>
      </c>
      <c r="J52" s="1082"/>
      <c r="K52" s="540" t="s">
        <v>142</v>
      </c>
      <c r="L52" s="1087">
        <f>D52</f>
        <v>2.52</v>
      </c>
      <c r="M52" s="754">
        <f>E52</f>
        <v>35229</v>
      </c>
      <c r="N52" s="1083">
        <f t="shared" si="13"/>
        <v>406000</v>
      </c>
      <c r="O52" s="540" t="s">
        <v>142</v>
      </c>
      <c r="P52" s="1087">
        <f>L52</f>
        <v>2.52</v>
      </c>
      <c r="Q52" s="1084">
        <f>I52</f>
        <v>11775</v>
      </c>
      <c r="S52" s="16"/>
      <c r="T52" s="16"/>
      <c r="U52" s="16"/>
      <c r="V52" s="16"/>
    </row>
    <row r="53" spans="1:22" s="267" customFormat="1" ht="15" customHeight="1">
      <c r="A53" s="1088"/>
      <c r="B53" s="1090">
        <f>B58-B56</f>
        <v>5460000</v>
      </c>
      <c r="C53" s="1091" t="s">
        <v>83</v>
      </c>
      <c r="D53" s="1092">
        <f t="shared" si="14"/>
        <v>0.87</v>
      </c>
      <c r="E53" s="1093">
        <f>ROUNDDOWN(B53*D53/1000,0)</f>
        <v>4750</v>
      </c>
      <c r="F53" s="1080">
        <f>'R7短期'!Z8</f>
        <v>15000</v>
      </c>
      <c r="G53" s="1091" t="s">
        <v>83</v>
      </c>
      <c r="H53" s="1092">
        <f t="shared" si="15"/>
        <v>0.87</v>
      </c>
      <c r="I53" s="1094">
        <f>ROUNDDOWN((F58-F57)*H53/1000,0)</f>
        <v>2287</v>
      </c>
      <c r="J53" s="1082"/>
      <c r="K53" s="540" t="s">
        <v>83</v>
      </c>
      <c r="L53" s="1087"/>
      <c r="M53" s="754"/>
      <c r="N53" s="1083">
        <f t="shared" si="13"/>
        <v>15000</v>
      </c>
      <c r="O53" s="540" t="s">
        <v>83</v>
      </c>
      <c r="P53" s="1087"/>
      <c r="Q53" s="1084"/>
      <c r="S53" s="2399" t="s">
        <v>480</v>
      </c>
      <c r="T53" s="2399"/>
      <c r="U53" s="753"/>
      <c r="V53" s="753"/>
    </row>
    <row r="54" spans="1:22" s="267" customFormat="1" ht="15" customHeight="1">
      <c r="A54" s="1088"/>
      <c r="B54" s="1089" t="s">
        <v>155</v>
      </c>
      <c r="C54" s="540" t="s">
        <v>143</v>
      </c>
      <c r="D54" s="1086">
        <f t="shared" si="14"/>
        <v>0.55000000000000004</v>
      </c>
      <c r="E54" s="754">
        <f>ROUNDDOWN(B58*D54/1000,0)</f>
        <v>7689</v>
      </c>
      <c r="F54" s="1080">
        <f>'R7短期'!Z14</f>
        <v>16000</v>
      </c>
      <c r="G54" s="540" t="s">
        <v>143</v>
      </c>
      <c r="H54" s="1086">
        <f t="shared" si="15"/>
        <v>0.55000000000000004</v>
      </c>
      <c r="I54" s="1081">
        <f>ROUNDDOWN(F58*H54/1000,0)</f>
        <v>2570</v>
      </c>
      <c r="J54" s="1082"/>
      <c r="K54" s="540" t="s">
        <v>143</v>
      </c>
      <c r="L54" s="1087">
        <f>D54</f>
        <v>0.55000000000000004</v>
      </c>
      <c r="M54" s="754">
        <f>E54</f>
        <v>7689</v>
      </c>
      <c r="N54" s="1083">
        <f t="shared" si="13"/>
        <v>16000</v>
      </c>
      <c r="O54" s="540" t="s">
        <v>143</v>
      </c>
      <c r="P54" s="1087">
        <f>L54</f>
        <v>0.55000000000000004</v>
      </c>
      <c r="Q54" s="1084">
        <f>I54</f>
        <v>2570</v>
      </c>
      <c r="S54" s="1095" t="s">
        <v>137</v>
      </c>
      <c r="T54" s="1095" t="s">
        <v>481</v>
      </c>
      <c r="U54" s="753"/>
      <c r="V54" s="753"/>
    </row>
    <row r="55" spans="1:22" s="267" customFormat="1" ht="15" customHeight="1">
      <c r="A55" s="1085"/>
      <c r="B55" s="1089" t="s">
        <v>105</v>
      </c>
      <c r="C55" s="540" t="s">
        <v>144</v>
      </c>
      <c r="D55" s="1096">
        <f t="shared" si="14"/>
        <v>0.1</v>
      </c>
      <c r="E55" s="754">
        <f>ROUNDDOWN(B58*D55/1000,0)</f>
        <v>1398</v>
      </c>
      <c r="F55" s="1097" t="s">
        <v>156</v>
      </c>
      <c r="G55" s="540" t="s">
        <v>144</v>
      </c>
      <c r="H55" s="1096">
        <f t="shared" si="15"/>
        <v>0.1</v>
      </c>
      <c r="I55" s="1081">
        <f>ROUNDDOWN(F58*H55/1000,0)</f>
        <v>467</v>
      </c>
      <c r="J55" s="1082"/>
      <c r="K55" s="540" t="s">
        <v>144</v>
      </c>
      <c r="L55" s="1087"/>
      <c r="M55" s="754"/>
      <c r="N55" s="1083"/>
      <c r="O55" s="540" t="s">
        <v>144</v>
      </c>
      <c r="P55" s="1087"/>
      <c r="Q55" s="1084"/>
      <c r="S55" s="1968" t="s">
        <v>482</v>
      </c>
      <c r="T55" s="1965">
        <v>988541</v>
      </c>
      <c r="U55" s="753"/>
      <c r="V55" s="753"/>
    </row>
    <row r="56" spans="1:22" s="267" customFormat="1" ht="15" customHeight="1">
      <c r="A56" s="1085"/>
      <c r="B56" s="17">
        <f>'R7短期'!E20</f>
        <v>8520000</v>
      </c>
      <c r="C56" s="540" t="s">
        <v>145</v>
      </c>
      <c r="D56" s="1096">
        <f t="shared" si="14"/>
        <v>0.1</v>
      </c>
      <c r="E56" s="754">
        <f>ROUNDDOWN(B58*D56/1000,0)</f>
        <v>1398</v>
      </c>
      <c r="F56" s="1098" t="s">
        <v>105</v>
      </c>
      <c r="G56" s="540" t="s">
        <v>145</v>
      </c>
      <c r="H56" s="1096">
        <f t="shared" si="15"/>
        <v>0.1</v>
      </c>
      <c r="I56" s="754">
        <f>ROUNDDOWN(F58*H56/1000,0)</f>
        <v>467</v>
      </c>
      <c r="J56" s="1082"/>
      <c r="K56" s="540" t="s">
        <v>145</v>
      </c>
      <c r="L56" s="1099">
        <f t="shared" ref="L56:M58" si="16">D56</f>
        <v>0.1</v>
      </c>
      <c r="M56" s="754">
        <f t="shared" si="16"/>
        <v>1398</v>
      </c>
      <c r="N56" s="1083"/>
      <c r="O56" s="540" t="s">
        <v>145</v>
      </c>
      <c r="P56" s="1099">
        <f>L56</f>
        <v>0.1</v>
      </c>
      <c r="Q56" s="1084">
        <f>I56</f>
        <v>467</v>
      </c>
      <c r="S56" s="1968" t="s">
        <v>483</v>
      </c>
      <c r="T56" s="1965">
        <v>598357</v>
      </c>
      <c r="U56" s="753"/>
      <c r="V56" s="753"/>
    </row>
    <row r="57" spans="1:22" s="267" customFormat="1" ht="15" customHeight="1">
      <c r="A57" s="1085"/>
      <c r="B57" s="1100" t="s">
        <v>78</v>
      </c>
      <c r="C57" s="540" t="s">
        <v>147</v>
      </c>
      <c r="D57" s="1101">
        <f t="shared" si="14"/>
        <v>2.0880000000000001</v>
      </c>
      <c r="E57" s="754">
        <f>ROUNDDOWN(B58*D57/1000,0)</f>
        <v>29190</v>
      </c>
      <c r="F57" s="1979">
        <f>'R7短期'!Z20</f>
        <v>2044000</v>
      </c>
      <c r="G57" s="540" t="s">
        <v>147</v>
      </c>
      <c r="H57" s="1101">
        <f t="shared" si="15"/>
        <v>2.0880000000000001</v>
      </c>
      <c r="I57" s="754">
        <f>ROUNDDOWN(F58*H57/1000,0)</f>
        <v>9757</v>
      </c>
      <c r="J57" s="1082"/>
      <c r="K57" s="540" t="s">
        <v>147</v>
      </c>
      <c r="L57" s="1102">
        <f t="shared" si="16"/>
        <v>2.0880000000000001</v>
      </c>
      <c r="M57" s="754">
        <f t="shared" si="16"/>
        <v>29190</v>
      </c>
      <c r="N57" s="1083"/>
      <c r="O57" s="540" t="s">
        <v>147</v>
      </c>
      <c r="P57" s="1102">
        <f>L57</f>
        <v>2.0880000000000001</v>
      </c>
      <c r="Q57" s="1084">
        <f>I57</f>
        <v>9757</v>
      </c>
      <c r="S57" s="1968" t="s">
        <v>484</v>
      </c>
      <c r="T57" s="1965">
        <v>528448</v>
      </c>
      <c r="U57" s="753"/>
      <c r="V57" s="753"/>
    </row>
    <row r="58" spans="1:22" s="267" customFormat="1" ht="15" customHeight="1">
      <c r="A58" s="1103"/>
      <c r="B58" s="1104">
        <f>'R7短期'!E17</f>
        <v>13980000</v>
      </c>
      <c r="C58" s="996" t="s">
        <v>148</v>
      </c>
      <c r="D58" s="1105">
        <f t="shared" si="14"/>
        <v>1.2E-2</v>
      </c>
      <c r="E58" s="1106">
        <f>ROUNDDOWN(B58*D58/1000,0)</f>
        <v>167</v>
      </c>
      <c r="F58" s="1107">
        <f>SUM(F50:F54)</f>
        <v>4673000</v>
      </c>
      <c r="G58" s="996" t="s">
        <v>148</v>
      </c>
      <c r="H58" s="1101">
        <f t="shared" si="15"/>
        <v>1.2E-2</v>
      </c>
      <c r="I58" s="1106">
        <f>ROUNDDOWN(F58*H58/1000,0)</f>
        <v>56</v>
      </c>
      <c r="J58" s="755">
        <f>B58</f>
        <v>13980000</v>
      </c>
      <c r="K58" s="996" t="s">
        <v>148</v>
      </c>
      <c r="L58" s="1102">
        <f t="shared" si="16"/>
        <v>1.2E-2</v>
      </c>
      <c r="M58" s="1106">
        <f t="shared" si="16"/>
        <v>167</v>
      </c>
      <c r="N58" s="756">
        <f>F58</f>
        <v>4673000</v>
      </c>
      <c r="O58" s="996" t="s">
        <v>148</v>
      </c>
      <c r="P58" s="1102">
        <f>L58</f>
        <v>1.2E-2</v>
      </c>
      <c r="Q58" s="1108">
        <f>I58</f>
        <v>56</v>
      </c>
      <c r="S58" s="1968" t="s">
        <v>485</v>
      </c>
      <c r="T58" s="1965">
        <v>1134246</v>
      </c>
      <c r="U58" s="753"/>
      <c r="V58" s="753"/>
    </row>
    <row r="59" spans="1:22" ht="15" customHeight="1">
      <c r="A59" s="266" t="s">
        <v>75</v>
      </c>
      <c r="B59" s="281"/>
      <c r="C59" s="30"/>
      <c r="D59" s="292"/>
      <c r="E59" s="280"/>
      <c r="F59" s="281"/>
      <c r="G59" s="282"/>
      <c r="H59" s="279"/>
      <c r="I59" s="283"/>
      <c r="J59" s="237"/>
      <c r="K59" s="238"/>
      <c r="L59" s="233">
        <f>SUM(L60:L67)</f>
        <v>110.02000000000001</v>
      </c>
      <c r="M59" s="245">
        <f>ROUNDDOWN(J67*L59/1000,0)-J61</f>
        <v>93931687</v>
      </c>
      <c r="N59" s="284"/>
      <c r="O59" s="285"/>
      <c r="P59" s="279"/>
      <c r="Q59" s="286"/>
      <c r="R59" s="230"/>
      <c r="S59" s="1968" t="s">
        <v>486</v>
      </c>
      <c r="T59" s="1965">
        <v>453204</v>
      </c>
      <c r="U59" s="753"/>
      <c r="V59" s="753"/>
    </row>
    <row r="60" spans="1:22" ht="15" customHeight="1">
      <c r="A60" s="266"/>
      <c r="B60" s="281"/>
      <c r="C60" s="288"/>
      <c r="D60" s="289"/>
      <c r="E60" s="280"/>
      <c r="F60" s="281"/>
      <c r="G60" s="288"/>
      <c r="H60" s="289"/>
      <c r="I60" s="283"/>
      <c r="J60" s="290" t="s">
        <v>157</v>
      </c>
      <c r="K60" s="242" t="s">
        <v>141</v>
      </c>
      <c r="L60" s="244">
        <f>L51*2</f>
        <v>99.48</v>
      </c>
      <c r="M60" s="245">
        <f>M59*L60/L59</f>
        <v>84932959.668787494</v>
      </c>
      <c r="N60" s="284"/>
      <c r="O60" s="291"/>
      <c r="P60" s="292"/>
      <c r="Q60" s="286"/>
      <c r="R60" s="230"/>
      <c r="S60" s="1968" t="s">
        <v>487</v>
      </c>
      <c r="T60" s="1965">
        <v>848322</v>
      </c>
      <c r="U60" s="1109" t="s">
        <v>684</v>
      </c>
      <c r="V60" s="753"/>
    </row>
    <row r="61" spans="1:22" ht="15" customHeight="1">
      <c r="A61" s="231"/>
      <c r="B61" s="278"/>
      <c r="C61" s="288"/>
      <c r="D61" s="289"/>
      <c r="E61" s="280"/>
      <c r="F61" s="281"/>
      <c r="G61" s="288"/>
      <c r="H61" s="289"/>
      <c r="I61" s="283"/>
      <c r="J61" s="232">
        <f>T67</f>
        <v>6405452</v>
      </c>
      <c r="K61" s="242" t="s">
        <v>142</v>
      </c>
      <c r="L61" s="244">
        <f>L52*2</f>
        <v>5.04</v>
      </c>
      <c r="M61" s="245">
        <f>M59*L61/L59</f>
        <v>4302996.7504090164</v>
      </c>
      <c r="N61" s="284"/>
      <c r="O61" s="291"/>
      <c r="P61" s="292"/>
      <c r="Q61" s="286"/>
      <c r="R61" s="230"/>
      <c r="S61" s="1969" t="s">
        <v>488</v>
      </c>
      <c r="T61" s="1965">
        <v>467006</v>
      </c>
      <c r="U61" s="1109" t="s">
        <v>685</v>
      </c>
      <c r="V61" s="753"/>
    </row>
    <row r="62" spans="1:22" ht="15" customHeight="1">
      <c r="A62" s="231"/>
      <c r="B62" s="278"/>
      <c r="C62" s="288"/>
      <c r="D62" s="289"/>
      <c r="E62" s="280"/>
      <c r="F62" s="281"/>
      <c r="G62" s="288"/>
      <c r="H62" s="289"/>
      <c r="I62" s="283"/>
      <c r="J62" s="2400" t="s">
        <v>686</v>
      </c>
      <c r="K62" s="242" t="s">
        <v>83</v>
      </c>
      <c r="L62" s="244"/>
      <c r="M62" s="245"/>
      <c r="N62" s="284"/>
      <c r="O62" s="291"/>
      <c r="P62" s="292"/>
      <c r="Q62" s="286"/>
      <c r="R62" s="230"/>
      <c r="S62" s="1969" t="s">
        <v>489</v>
      </c>
      <c r="T62" s="1965">
        <v>281883</v>
      </c>
      <c r="V62" s="753"/>
    </row>
    <row r="63" spans="1:22" ht="15" customHeight="1">
      <c r="A63" s="231"/>
      <c r="B63" s="278"/>
      <c r="C63" s="288"/>
      <c r="D63" s="289"/>
      <c r="E63" s="280"/>
      <c r="F63" s="281"/>
      <c r="G63" s="288"/>
      <c r="H63" s="289"/>
      <c r="I63" s="283"/>
      <c r="J63" s="2400"/>
      <c r="K63" s="242" t="s">
        <v>143</v>
      </c>
      <c r="L63" s="249">
        <f>L54*2</f>
        <v>1.1000000000000001</v>
      </c>
      <c r="M63" s="245">
        <f>M59*L63/L59</f>
        <v>939146.116160698</v>
      </c>
      <c r="N63" s="284"/>
      <c r="O63" s="291"/>
      <c r="P63" s="292"/>
      <c r="Q63" s="286"/>
      <c r="R63" s="230"/>
      <c r="S63" s="1968" t="s">
        <v>490</v>
      </c>
      <c r="T63" s="1965">
        <v>330250</v>
      </c>
      <c r="V63" s="753"/>
    </row>
    <row r="64" spans="1:22" ht="15" customHeight="1">
      <c r="A64" s="231"/>
      <c r="B64" s="278"/>
      <c r="C64" s="288"/>
      <c r="D64" s="293"/>
      <c r="E64" s="280"/>
      <c r="F64" s="281"/>
      <c r="G64" s="288"/>
      <c r="H64" s="293"/>
      <c r="I64" s="283"/>
      <c r="J64" s="2400"/>
      <c r="K64" s="242" t="s">
        <v>144</v>
      </c>
      <c r="L64" s="244"/>
      <c r="M64" s="245"/>
      <c r="N64" s="284"/>
      <c r="O64" s="291"/>
      <c r="P64" s="294"/>
      <c r="Q64" s="286"/>
      <c r="R64" s="230"/>
      <c r="S64" s="1970" t="s">
        <v>491</v>
      </c>
      <c r="T64" s="1965">
        <v>231300</v>
      </c>
      <c r="V64" s="753"/>
    </row>
    <row r="65" spans="1:22" ht="15" customHeight="1">
      <c r="A65" s="231"/>
      <c r="B65" s="278"/>
      <c r="C65" s="295"/>
      <c r="D65" s="293"/>
      <c r="E65" s="280"/>
      <c r="F65" s="281"/>
      <c r="G65" s="295"/>
      <c r="H65" s="293"/>
      <c r="I65" s="283"/>
      <c r="J65" s="237"/>
      <c r="K65" s="247" t="s">
        <v>145</v>
      </c>
      <c r="L65" s="249">
        <f>L56*2</f>
        <v>0.2</v>
      </c>
      <c r="M65" s="245">
        <f>M59*L65/L59</f>
        <v>170753.83930194512</v>
      </c>
      <c r="N65" s="284"/>
      <c r="O65" s="291"/>
      <c r="P65" s="296"/>
      <c r="Q65" s="286"/>
      <c r="R65" s="230"/>
      <c r="S65" s="1969" t="s">
        <v>492</v>
      </c>
      <c r="T65" s="1965">
        <v>154621</v>
      </c>
      <c r="V65" s="753"/>
    </row>
    <row r="66" spans="1:22" ht="15" customHeight="1">
      <c r="A66" s="231"/>
      <c r="B66" s="278"/>
      <c r="C66" s="288"/>
      <c r="D66" s="297"/>
      <c r="E66" s="280"/>
      <c r="F66" s="281"/>
      <c r="G66" s="288"/>
      <c r="H66" s="297"/>
      <c r="I66" s="283"/>
      <c r="J66" s="237"/>
      <c r="K66" s="242" t="s">
        <v>147</v>
      </c>
      <c r="L66" s="298">
        <f>L57*2</f>
        <v>4.1760000000000002</v>
      </c>
      <c r="M66" s="245">
        <f>M59*L66/L59</f>
        <v>3565340.1646246132</v>
      </c>
      <c r="N66" s="284"/>
      <c r="O66" s="291"/>
      <c r="P66" s="296"/>
      <c r="Q66" s="286"/>
      <c r="R66" s="230"/>
      <c r="S66" s="1971" t="s">
        <v>493</v>
      </c>
      <c r="T66" s="1966">
        <v>389274</v>
      </c>
      <c r="U66" s="753"/>
      <c r="V66" s="753"/>
    </row>
    <row r="67" spans="1:22" ht="15" customHeight="1" thickBot="1">
      <c r="A67" s="299"/>
      <c r="B67" s="300">
        <f>'R7短期'!W17</f>
        <v>911990000</v>
      </c>
      <c r="C67" s="301"/>
      <c r="D67" s="302"/>
      <c r="E67" s="303"/>
      <c r="F67" s="304"/>
      <c r="G67" s="301"/>
      <c r="H67" s="302"/>
      <c r="I67" s="305"/>
      <c r="J67" s="306">
        <f>B67</f>
        <v>911990000</v>
      </c>
      <c r="K67" s="307" t="s">
        <v>148</v>
      </c>
      <c r="L67" s="308">
        <f>L58*2</f>
        <v>2.4E-2</v>
      </c>
      <c r="M67" s="309">
        <f>M59-M60-M61-M62-M63-M64-M65-M66</f>
        <v>20490.460716232657</v>
      </c>
      <c r="N67" s="310"/>
      <c r="O67" s="311"/>
      <c r="P67" s="312"/>
      <c r="Q67" s="305"/>
      <c r="R67" s="230"/>
      <c r="S67" s="1110" t="s">
        <v>494</v>
      </c>
      <c r="T67" s="1967">
        <f>SUM(T55:T66)</f>
        <v>6405452</v>
      </c>
      <c r="U67" s="753"/>
      <c r="V67" s="753"/>
    </row>
    <row r="68" spans="1:22" ht="15" customHeight="1" thickTop="1">
      <c r="A68" s="2401" t="s">
        <v>495</v>
      </c>
      <c r="B68" s="313"/>
      <c r="C68" s="314"/>
      <c r="D68" s="242" t="s">
        <v>141</v>
      </c>
      <c r="E68" s="1957">
        <f t="shared" ref="E68:E73" si="17">E6+E24+E15+E42+E33+E51</f>
        <v>4058974800.3521395</v>
      </c>
      <c r="F68" s="315"/>
      <c r="G68" s="314"/>
      <c r="H68" s="242" t="s">
        <v>141</v>
      </c>
      <c r="I68" s="1957">
        <f t="shared" ref="I68:I73" si="18">I6+I24+I15+I42+I33+I51</f>
        <v>1258513071.6998415</v>
      </c>
      <c r="J68" s="313"/>
      <c r="K68" s="238"/>
      <c r="L68" s="242" t="s">
        <v>141</v>
      </c>
      <c r="M68" s="1957">
        <f>M6+M24+M15+M42+M33+M51+M60</f>
        <v>4143907760.020927</v>
      </c>
      <c r="N68" s="315"/>
      <c r="O68" s="314"/>
      <c r="P68" s="242" t="s">
        <v>141</v>
      </c>
      <c r="Q68" s="1963">
        <f>Q6+Q24+Q15+Q42+Q33+Q51</f>
        <v>1258513071.6998415</v>
      </c>
      <c r="R68" s="230"/>
    </row>
    <row r="69" spans="1:22" ht="15" customHeight="1">
      <c r="A69" s="2402"/>
      <c r="B69" s="313"/>
      <c r="C69" s="314"/>
      <c r="D69" s="242" t="s">
        <v>142</v>
      </c>
      <c r="E69" s="1957">
        <f t="shared" si="17"/>
        <v>205641666.01422179</v>
      </c>
      <c r="F69" s="315"/>
      <c r="G69" s="314"/>
      <c r="H69" s="242" t="s">
        <v>142</v>
      </c>
      <c r="I69" s="1957">
        <f t="shared" si="18"/>
        <v>63760613.04751911</v>
      </c>
      <c r="J69" s="313"/>
      <c r="K69" s="238"/>
      <c r="L69" s="242" t="s">
        <v>142</v>
      </c>
      <c r="M69" s="1957">
        <f>M7+M25+M16+M43+M34+M52+M61</f>
        <v>209944662.76463079</v>
      </c>
      <c r="N69" s="315"/>
      <c r="O69" s="314"/>
      <c r="P69" s="242" t="s">
        <v>142</v>
      </c>
      <c r="Q69" s="1963">
        <f>Q7+Q25+Q16+Q43+Q34+Q52</f>
        <v>63760613.04751911</v>
      </c>
      <c r="R69" s="230"/>
    </row>
    <row r="70" spans="1:22" ht="15" customHeight="1">
      <c r="A70" s="2402"/>
      <c r="B70" s="313"/>
      <c r="C70" s="314"/>
      <c r="D70" s="288" t="s">
        <v>83</v>
      </c>
      <c r="E70" s="1957">
        <f t="shared" si="17"/>
        <v>52011622.153269015</v>
      </c>
      <c r="F70" s="315"/>
      <c r="G70" s="314"/>
      <c r="H70" s="288" t="s">
        <v>83</v>
      </c>
      <c r="I70" s="1957">
        <f t="shared" si="18"/>
        <v>17616962.079849944</v>
      </c>
      <c r="J70" s="313"/>
      <c r="K70" s="238"/>
      <c r="L70" s="288" t="s">
        <v>83</v>
      </c>
      <c r="M70" s="1957">
        <f t="shared" ref="M70:M72" si="19">M8+M26+M17+M44+M35+M53+M62</f>
        <v>0</v>
      </c>
      <c r="N70" s="315"/>
      <c r="O70" s="314"/>
      <c r="P70" s="288" t="s">
        <v>83</v>
      </c>
      <c r="Q70" s="1963">
        <f t="shared" ref="Q70:Q72" si="20">Q8+Q26+Q17+Q44+Q35+Q53</f>
        <v>0</v>
      </c>
      <c r="R70" s="230"/>
    </row>
    <row r="71" spans="1:22" ht="15" customHeight="1">
      <c r="A71" s="2402"/>
      <c r="B71" s="313"/>
      <c r="C71" s="314"/>
      <c r="D71" s="242" t="s">
        <v>143</v>
      </c>
      <c r="E71" s="1957">
        <f t="shared" si="17"/>
        <v>44882109.776913479</v>
      </c>
      <c r="F71" s="315"/>
      <c r="G71" s="314"/>
      <c r="H71" s="242" t="s">
        <v>143</v>
      </c>
      <c r="I71" s="1957">
        <f t="shared" si="18"/>
        <v>13916006.8754506</v>
      </c>
      <c r="J71" s="313"/>
      <c r="K71" s="238"/>
      <c r="L71" s="242" t="s">
        <v>143</v>
      </c>
      <c r="M71" s="1957">
        <f>M9+M27+M18+M45+M36+M54+M63</f>
        <v>45821255.893074177</v>
      </c>
      <c r="N71" s="315"/>
      <c r="O71" s="314"/>
      <c r="P71" s="242" t="s">
        <v>143</v>
      </c>
      <c r="Q71" s="1963">
        <f>Q9+Q27+Q18+Q45+Q36+Q54</f>
        <v>13916006.8754506</v>
      </c>
      <c r="R71" s="230"/>
    </row>
    <row r="72" spans="1:22" ht="15" customHeight="1">
      <c r="A72" s="2402"/>
      <c r="B72" s="313"/>
      <c r="C72" s="314"/>
      <c r="D72" s="242" t="s">
        <v>144</v>
      </c>
      <c r="E72" s="1957">
        <f t="shared" si="17"/>
        <v>8160383.5958024515</v>
      </c>
      <c r="F72" s="315"/>
      <c r="G72" s="314"/>
      <c r="H72" s="242" t="s">
        <v>144</v>
      </c>
      <c r="I72" s="1957">
        <f t="shared" si="18"/>
        <v>2530182.7955364725</v>
      </c>
      <c r="J72" s="313"/>
      <c r="K72" s="238"/>
      <c r="L72" s="242" t="s">
        <v>144</v>
      </c>
      <c r="M72" s="1957">
        <f t="shared" si="19"/>
        <v>0</v>
      </c>
      <c r="N72" s="315"/>
      <c r="O72" s="314"/>
      <c r="P72" s="242" t="s">
        <v>144</v>
      </c>
      <c r="Q72" s="1963">
        <f t="shared" si="20"/>
        <v>0</v>
      </c>
      <c r="R72" s="230"/>
    </row>
    <row r="73" spans="1:22" ht="15" customHeight="1">
      <c r="A73" s="2409"/>
      <c r="B73" s="316"/>
      <c r="C73" s="314"/>
      <c r="D73" s="247" t="s">
        <v>145</v>
      </c>
      <c r="E73" s="1957">
        <f t="shared" si="17"/>
        <v>8160383.5958024515</v>
      </c>
      <c r="F73" s="317"/>
      <c r="G73" s="314"/>
      <c r="H73" s="247" t="s">
        <v>145</v>
      </c>
      <c r="I73" s="1957">
        <f t="shared" si="18"/>
        <v>2530182.7955364725</v>
      </c>
      <c r="J73" s="316"/>
      <c r="K73" s="238"/>
      <c r="L73" s="247" t="s">
        <v>145</v>
      </c>
      <c r="M73" s="1957">
        <f>M11+M29+M20+M47+M38+M56+M65</f>
        <v>8331137.4351043962</v>
      </c>
      <c r="N73" s="317"/>
      <c r="O73" s="314"/>
      <c r="P73" s="247" t="s">
        <v>145</v>
      </c>
      <c r="Q73" s="1963">
        <f>Q11+Q29+Q20+Q47+Q38+Q56</f>
        <v>2530182.7955364725</v>
      </c>
      <c r="R73" s="230"/>
    </row>
    <row r="74" spans="1:22" ht="15" customHeight="1">
      <c r="A74" s="2409"/>
      <c r="B74" s="316" t="s">
        <v>139</v>
      </c>
      <c r="C74" s="314"/>
      <c r="D74" s="242" t="s">
        <v>147</v>
      </c>
      <c r="E74" s="1957">
        <f>E12+E30+E21+E48+E39+E57</f>
        <v>170388809.24035519</v>
      </c>
      <c r="F74" s="317" t="s">
        <v>160</v>
      </c>
      <c r="G74" s="314"/>
      <c r="H74" s="242" t="s">
        <v>147</v>
      </c>
      <c r="I74" s="1957">
        <f>I12+I30+I21+I48+I39+I57</f>
        <v>52830222.810801543</v>
      </c>
      <c r="J74" s="316" t="s">
        <v>139</v>
      </c>
      <c r="K74" s="238"/>
      <c r="L74" s="242" t="s">
        <v>147</v>
      </c>
      <c r="M74" s="245">
        <f>M12+M30+M21+M48+M39+M57+M66</f>
        <v>173954149.4049798</v>
      </c>
      <c r="N74" s="317" t="s">
        <v>160</v>
      </c>
      <c r="O74" s="314"/>
      <c r="P74" s="242" t="s">
        <v>147</v>
      </c>
      <c r="Q74" s="1963">
        <f>Q12+Q30+Q21+Q48+Q39+Q57</f>
        <v>52830222.810801543</v>
      </c>
      <c r="R74" s="230"/>
    </row>
    <row r="75" spans="1:22" ht="15" customHeight="1">
      <c r="A75" s="2410"/>
      <c r="B75" s="318">
        <f>B13+B31+B22+B49+B40+B58+B67</f>
        <v>82515826000</v>
      </c>
      <c r="C75" s="319"/>
      <c r="D75" s="254" t="s">
        <v>148</v>
      </c>
      <c r="E75" s="1982">
        <f>E13+E31+E22+E49+E40+E58+1</f>
        <v>979246.2714962652</v>
      </c>
      <c r="F75" s="320">
        <f>F13+F31+F22+F49+F40+F58</f>
        <v>25301831000</v>
      </c>
      <c r="G75" s="319"/>
      <c r="H75" s="254" t="s">
        <v>148</v>
      </c>
      <c r="I75" s="1957">
        <f>I13+I31+I22+I49+I40+I58</f>
        <v>303621.89546434022</v>
      </c>
      <c r="J75" s="321">
        <f>J13+J31+J22+J49+J40+J58+J67</f>
        <v>82515826000</v>
      </c>
      <c r="K75" s="322"/>
      <c r="L75" s="254" t="s">
        <v>148</v>
      </c>
      <c r="M75" s="245">
        <f>M13+M31+M22+M49+M40+M58+M67</f>
        <v>999735.73221249785</v>
      </c>
      <c r="N75" s="320">
        <f>N13+N31+N22+N49+N40+N58</f>
        <v>25301831000</v>
      </c>
      <c r="O75" s="319"/>
      <c r="P75" s="254" t="s">
        <v>148</v>
      </c>
      <c r="Q75" s="1963">
        <f>Q13+Q31+Q22+Q49+Q40+Q58</f>
        <v>303621.89546434022</v>
      </c>
      <c r="R75" s="230"/>
    </row>
    <row r="76" spans="1:22" ht="15" customHeight="1">
      <c r="A76" s="2411" t="s">
        <v>161</v>
      </c>
      <c r="B76" s="323" t="s">
        <v>162</v>
      </c>
      <c r="C76" s="2414">
        <f>ROUNDDOWN(E77*D6/1000,0)</f>
        <v>125340223</v>
      </c>
      <c r="D76" s="2415"/>
      <c r="E76" s="324" t="s">
        <v>163</v>
      </c>
      <c r="F76" s="325" t="s">
        <v>162</v>
      </c>
      <c r="G76" s="2414">
        <f>ROUNDDOWN(I77*H6/1000,0)</f>
        <v>15691527</v>
      </c>
      <c r="H76" s="2415"/>
      <c r="I76" s="324" t="s">
        <v>164</v>
      </c>
      <c r="J76" s="323" t="s">
        <v>162</v>
      </c>
      <c r="K76" s="2414">
        <f t="shared" ref="K76:K81" si="21">C76</f>
        <v>125340223</v>
      </c>
      <c r="L76" s="2415"/>
      <c r="M76" s="2416">
        <f>SUM(K76:L81)</f>
        <v>138620135</v>
      </c>
      <c r="N76" s="325" t="s">
        <v>162</v>
      </c>
      <c r="O76" s="2414">
        <f t="shared" ref="O76:O81" si="22">G76</f>
        <v>15691527</v>
      </c>
      <c r="P76" s="2415"/>
      <c r="Q76" s="2419">
        <f>SUM(O76:P81)</f>
        <v>17354057</v>
      </c>
      <c r="R76" s="230"/>
    </row>
    <row r="77" spans="1:22" ht="15" customHeight="1">
      <c r="A77" s="2412"/>
      <c r="B77" s="326" t="s">
        <v>165</v>
      </c>
      <c r="C77" s="2407">
        <f>ROUNDDOWN(E77*D7/1000,0)</f>
        <v>6350168</v>
      </c>
      <c r="D77" s="2408"/>
      <c r="E77" s="327">
        <f>'R7短期'!D37</f>
        <v>2519908000</v>
      </c>
      <c r="F77" s="328" t="s">
        <v>165</v>
      </c>
      <c r="G77" s="2407">
        <f>ROUNDDOWN(I77*H7/1000,0)</f>
        <v>794986</v>
      </c>
      <c r="H77" s="2408"/>
      <c r="I77" s="327">
        <f>'R7短期'!E37</f>
        <v>315471000</v>
      </c>
      <c r="J77" s="326" t="s">
        <v>165</v>
      </c>
      <c r="K77" s="2407">
        <f t="shared" si="21"/>
        <v>6350168</v>
      </c>
      <c r="L77" s="2408"/>
      <c r="M77" s="2417"/>
      <c r="N77" s="329" t="s">
        <v>165</v>
      </c>
      <c r="O77" s="2407">
        <f t="shared" si="22"/>
        <v>794986</v>
      </c>
      <c r="P77" s="2408"/>
      <c r="Q77" s="2420"/>
      <c r="R77" s="230"/>
    </row>
    <row r="78" spans="1:22" ht="15" customHeight="1">
      <c r="A78" s="2412"/>
      <c r="B78" s="326" t="s">
        <v>166</v>
      </c>
      <c r="C78" s="2407">
        <f>ROUNDDOWN(E77*D9/1000,0)</f>
        <v>1385949</v>
      </c>
      <c r="D78" s="2408"/>
      <c r="E78" s="327"/>
      <c r="F78" s="328" t="s">
        <v>166</v>
      </c>
      <c r="G78" s="2407">
        <f>ROUNDDOWN(I77*H9/1000,0)</f>
        <v>173509</v>
      </c>
      <c r="H78" s="2408"/>
      <c r="I78" s="327"/>
      <c r="J78" s="326" t="s">
        <v>166</v>
      </c>
      <c r="K78" s="2407">
        <f t="shared" si="21"/>
        <v>1385949</v>
      </c>
      <c r="L78" s="2408"/>
      <c r="M78" s="2417"/>
      <c r="N78" s="328" t="s">
        <v>166</v>
      </c>
      <c r="O78" s="2407">
        <f t="shared" si="22"/>
        <v>173509</v>
      </c>
      <c r="P78" s="2408"/>
      <c r="Q78" s="2420"/>
      <c r="R78" s="230"/>
    </row>
    <row r="79" spans="1:22" ht="15" customHeight="1">
      <c r="A79" s="2412"/>
      <c r="B79" s="326" t="s">
        <v>167</v>
      </c>
      <c r="C79" s="2407">
        <f>ROUNDDOWN(E77*D11/1000,0)</f>
        <v>251990</v>
      </c>
      <c r="D79" s="2408"/>
      <c r="E79" s="327"/>
      <c r="F79" s="328" t="s">
        <v>167</v>
      </c>
      <c r="G79" s="2407">
        <f>ROUNDDOWN(I77*H11/1000,0)</f>
        <v>31547</v>
      </c>
      <c r="H79" s="2408"/>
      <c r="I79" s="327"/>
      <c r="J79" s="326" t="s">
        <v>167</v>
      </c>
      <c r="K79" s="2407">
        <f t="shared" si="21"/>
        <v>251990</v>
      </c>
      <c r="L79" s="2408"/>
      <c r="M79" s="2417"/>
      <c r="N79" s="328" t="s">
        <v>167</v>
      </c>
      <c r="O79" s="2407">
        <f t="shared" si="22"/>
        <v>31547</v>
      </c>
      <c r="P79" s="2408"/>
      <c r="Q79" s="2420"/>
      <c r="R79" s="230"/>
    </row>
    <row r="80" spans="1:22" ht="15" customHeight="1">
      <c r="A80" s="2412"/>
      <c r="B80" s="326" t="s">
        <v>168</v>
      </c>
      <c r="C80" s="2407">
        <f>ROUNDDOWN(E77*D12/1000,0)</f>
        <v>5261567</v>
      </c>
      <c r="D80" s="2408"/>
      <c r="E80" s="330" t="s">
        <v>169</v>
      </c>
      <c r="F80" s="328" t="s">
        <v>168</v>
      </c>
      <c r="G80" s="2407">
        <f>ROUNDDOWN(I77*H12/1000,0)</f>
        <v>658703</v>
      </c>
      <c r="H80" s="2408"/>
      <c r="I80" s="330" t="s">
        <v>170</v>
      </c>
      <c r="J80" s="326" t="s">
        <v>168</v>
      </c>
      <c r="K80" s="2407">
        <f t="shared" si="21"/>
        <v>5261567</v>
      </c>
      <c r="L80" s="2408"/>
      <c r="M80" s="2417"/>
      <c r="N80" s="328" t="s">
        <v>168</v>
      </c>
      <c r="O80" s="2407">
        <f t="shared" si="22"/>
        <v>658703</v>
      </c>
      <c r="P80" s="2408"/>
      <c r="Q80" s="2420"/>
      <c r="R80" s="230"/>
    </row>
    <row r="81" spans="1:22" s="23" customFormat="1" ht="15" customHeight="1" thickBot="1">
      <c r="A81" s="2413"/>
      <c r="B81" s="331" t="s">
        <v>171</v>
      </c>
      <c r="C81" s="2395">
        <f>ROUNDDOWN(E77*D13/1000,0)</f>
        <v>30238</v>
      </c>
      <c r="D81" s="2396"/>
      <c r="E81" s="332">
        <f>SUM(C76:D81)</f>
        <v>138620135</v>
      </c>
      <c r="F81" s="333" t="s">
        <v>171</v>
      </c>
      <c r="G81" s="2395">
        <f>ROUNDDOWN(I77*H13/1000,0)</f>
        <v>3785</v>
      </c>
      <c r="H81" s="2396"/>
      <c r="I81" s="332">
        <f>SUM(G76:H81)</f>
        <v>17354057</v>
      </c>
      <c r="J81" s="331" t="s">
        <v>171</v>
      </c>
      <c r="K81" s="2397">
        <f t="shared" si="21"/>
        <v>30238</v>
      </c>
      <c r="L81" s="2398"/>
      <c r="M81" s="2418"/>
      <c r="N81" s="334" t="s">
        <v>171</v>
      </c>
      <c r="O81" s="2395">
        <f t="shared" si="22"/>
        <v>3785</v>
      </c>
      <c r="P81" s="2396"/>
      <c r="Q81" s="2421"/>
      <c r="R81" s="1111"/>
      <c r="S81" s="16"/>
      <c r="T81" s="16"/>
      <c r="U81" s="16"/>
      <c r="V81" s="16"/>
    </row>
    <row r="82" spans="1:22" s="23" customFormat="1" ht="15" customHeight="1" thickTop="1">
      <c r="A82" s="2401" t="s">
        <v>172</v>
      </c>
      <c r="B82" s="335"/>
      <c r="C82" s="336"/>
      <c r="D82" s="242" t="s">
        <v>141</v>
      </c>
      <c r="E82" s="337">
        <f>E68-C76</f>
        <v>3933634577.3521395</v>
      </c>
      <c r="F82" s="338"/>
      <c r="G82" s="339"/>
      <c r="H82" s="242" t="s">
        <v>141</v>
      </c>
      <c r="I82" s="337">
        <f>I68-G76</f>
        <v>1242821544.6998415</v>
      </c>
      <c r="J82" s="340"/>
      <c r="K82" s="339"/>
      <c r="L82" s="242" t="s">
        <v>141</v>
      </c>
      <c r="M82" s="337">
        <f>M68-K76</f>
        <v>4018567537.020927</v>
      </c>
      <c r="N82" s="338"/>
      <c r="O82" s="339"/>
      <c r="P82" s="242" t="s">
        <v>141</v>
      </c>
      <c r="Q82" s="341">
        <f>Q68-O76</f>
        <v>1242821544.6998415</v>
      </c>
      <c r="R82" s="1111"/>
      <c r="S82" s="16"/>
      <c r="T82" s="16"/>
      <c r="U82" s="16"/>
      <c r="V82" s="16"/>
    </row>
    <row r="83" spans="1:22" s="23" customFormat="1" ht="15" customHeight="1">
      <c r="A83" s="2402"/>
      <c r="B83" s="335"/>
      <c r="C83" s="336"/>
      <c r="D83" s="242" t="s">
        <v>142</v>
      </c>
      <c r="E83" s="342">
        <f>E69-C77</f>
        <v>199291498.01422179</v>
      </c>
      <c r="F83" s="338"/>
      <c r="G83" s="339"/>
      <c r="H83" s="242" t="s">
        <v>142</v>
      </c>
      <c r="I83" s="342">
        <f>I69-G77</f>
        <v>62965627.04751911</v>
      </c>
      <c r="J83" s="340"/>
      <c r="K83" s="339"/>
      <c r="L83" s="242" t="s">
        <v>142</v>
      </c>
      <c r="M83" s="342">
        <f>M69-K77</f>
        <v>203594494.76463079</v>
      </c>
      <c r="N83" s="338"/>
      <c r="O83" s="339"/>
      <c r="P83" s="242" t="s">
        <v>142</v>
      </c>
      <c r="Q83" s="343">
        <f>Q69-O77</f>
        <v>62965627.04751911</v>
      </c>
      <c r="R83" s="1111"/>
      <c r="S83" s="16"/>
      <c r="T83" s="16"/>
      <c r="U83" s="16"/>
      <c r="V83" s="16"/>
    </row>
    <row r="84" spans="1:22" s="23" customFormat="1" ht="15" customHeight="1">
      <c r="A84" s="2402"/>
      <c r="B84" s="335"/>
      <c r="C84" s="336"/>
      <c r="D84" s="288" t="s">
        <v>83</v>
      </c>
      <c r="E84" s="342">
        <f>E70</f>
        <v>52011622.153269015</v>
      </c>
      <c r="F84" s="338"/>
      <c r="G84" s="339"/>
      <c r="H84" s="288" t="s">
        <v>83</v>
      </c>
      <c r="I84" s="342">
        <f>I70</f>
        <v>17616962.079849944</v>
      </c>
      <c r="J84" s="340"/>
      <c r="K84" s="339"/>
      <c r="L84" s="288" t="s">
        <v>83</v>
      </c>
      <c r="M84" s="342">
        <f>M70</f>
        <v>0</v>
      </c>
      <c r="N84" s="338"/>
      <c r="O84" s="339"/>
      <c r="P84" s="288" t="s">
        <v>83</v>
      </c>
      <c r="Q84" s="343">
        <f>Q70</f>
        <v>0</v>
      </c>
      <c r="R84" s="1111"/>
      <c r="S84" s="16"/>
      <c r="T84" s="16"/>
      <c r="U84" s="16"/>
      <c r="V84" s="16"/>
    </row>
    <row r="85" spans="1:22" s="23" customFormat="1" ht="15" customHeight="1">
      <c r="A85" s="2402"/>
      <c r="B85" s="335"/>
      <c r="C85" s="336"/>
      <c r="D85" s="242" t="s">
        <v>143</v>
      </c>
      <c r="E85" s="342">
        <f>E71-C78</f>
        <v>43496160.776913479</v>
      </c>
      <c r="F85" s="338"/>
      <c r="G85" s="339"/>
      <c r="H85" s="242" t="s">
        <v>143</v>
      </c>
      <c r="I85" s="342">
        <f>I71-G78</f>
        <v>13742497.8754506</v>
      </c>
      <c r="J85" s="340"/>
      <c r="K85" s="339"/>
      <c r="L85" s="242" t="s">
        <v>143</v>
      </c>
      <c r="M85" s="342">
        <f>M71-K78</f>
        <v>44435306.893074177</v>
      </c>
      <c r="N85" s="338"/>
      <c r="O85" s="339"/>
      <c r="P85" s="242" t="s">
        <v>143</v>
      </c>
      <c r="Q85" s="343">
        <f>Q71-O78</f>
        <v>13742497.8754506</v>
      </c>
      <c r="R85" s="1111"/>
      <c r="S85" s="16"/>
      <c r="T85" s="16"/>
      <c r="U85" s="16"/>
      <c r="V85" s="16"/>
    </row>
    <row r="86" spans="1:22" s="23" customFormat="1" ht="15" customHeight="1">
      <c r="A86" s="2402"/>
      <c r="B86" s="335"/>
      <c r="C86" s="336"/>
      <c r="D86" s="242" t="s">
        <v>144</v>
      </c>
      <c r="E86" s="342">
        <f>E72</f>
        <v>8160383.5958024515</v>
      </c>
      <c r="F86" s="338"/>
      <c r="G86" s="339"/>
      <c r="H86" s="242" t="s">
        <v>144</v>
      </c>
      <c r="I86" s="342">
        <f>I72</f>
        <v>2530182.7955364725</v>
      </c>
      <c r="J86" s="340"/>
      <c r="K86" s="339"/>
      <c r="L86" s="242" t="s">
        <v>144</v>
      </c>
      <c r="M86" s="342">
        <f>M72</f>
        <v>0</v>
      </c>
      <c r="N86" s="338"/>
      <c r="O86" s="339"/>
      <c r="P86" s="242" t="s">
        <v>144</v>
      </c>
      <c r="Q86" s="343">
        <f>Q72</f>
        <v>0</v>
      </c>
      <c r="R86" s="1111"/>
    </row>
    <row r="87" spans="1:22" s="23" customFormat="1" ht="15" customHeight="1">
      <c r="A87" s="2402"/>
      <c r="B87" s="335"/>
      <c r="C87" s="336"/>
      <c r="D87" s="247" t="s">
        <v>145</v>
      </c>
      <c r="E87" s="342">
        <f>E73-C79</f>
        <v>7908393.5958024515</v>
      </c>
      <c r="F87" s="338"/>
      <c r="G87" s="339"/>
      <c r="H87" s="247" t="s">
        <v>145</v>
      </c>
      <c r="I87" s="342">
        <f>I73-G79</f>
        <v>2498635.7955364725</v>
      </c>
      <c r="J87" s="340"/>
      <c r="K87" s="339"/>
      <c r="L87" s="247" t="s">
        <v>145</v>
      </c>
      <c r="M87" s="342">
        <f>M73-K79</f>
        <v>8079147.4351043962</v>
      </c>
      <c r="N87" s="338"/>
      <c r="O87" s="339"/>
      <c r="P87" s="247" t="s">
        <v>145</v>
      </c>
      <c r="Q87" s="343">
        <f>Q73-O79</f>
        <v>2498635.7955364725</v>
      </c>
      <c r="R87" s="1111"/>
    </row>
    <row r="88" spans="1:22" s="23" customFormat="1" ht="15" customHeight="1">
      <c r="A88" s="2402"/>
      <c r="B88" s="335"/>
      <c r="C88" s="336"/>
      <c r="D88" s="242" t="s">
        <v>147</v>
      </c>
      <c r="E88" s="342">
        <f>E74-C80</f>
        <v>165127242.24035519</v>
      </c>
      <c r="F88" s="338"/>
      <c r="G88" s="339"/>
      <c r="H88" s="242" t="s">
        <v>147</v>
      </c>
      <c r="I88" s="342">
        <f>I74-G80</f>
        <v>52171519.810801543</v>
      </c>
      <c r="J88" s="340"/>
      <c r="K88" s="339"/>
      <c r="L88" s="242" t="s">
        <v>147</v>
      </c>
      <c r="M88" s="342">
        <f>M74-K80</f>
        <v>168692582.4049798</v>
      </c>
      <c r="N88" s="338"/>
      <c r="O88" s="339"/>
      <c r="P88" s="242" t="s">
        <v>147</v>
      </c>
      <c r="Q88" s="343">
        <f>Q74-O80</f>
        <v>52171519.810801543</v>
      </c>
      <c r="R88" s="1111"/>
    </row>
    <row r="89" spans="1:22" ht="15" customHeight="1" thickBot="1">
      <c r="A89" s="2402"/>
      <c r="B89" s="344"/>
      <c r="C89" s="345"/>
      <c r="D89" s="254" t="s">
        <v>148</v>
      </c>
      <c r="E89" s="346">
        <f>E75-C81</f>
        <v>949008.2714962652</v>
      </c>
      <c r="F89" s="347"/>
      <c r="G89" s="348"/>
      <c r="H89" s="247" t="s">
        <v>148</v>
      </c>
      <c r="I89" s="346">
        <f>I75-G81</f>
        <v>299836.89546434022</v>
      </c>
      <c r="J89" s="290"/>
      <c r="K89" s="236"/>
      <c r="L89" s="247" t="s">
        <v>148</v>
      </c>
      <c r="M89" s="346">
        <f>M75-K81</f>
        <v>969497.73221249785</v>
      </c>
      <c r="N89" s="347"/>
      <c r="O89" s="348"/>
      <c r="P89" s="247" t="s">
        <v>148</v>
      </c>
      <c r="Q89" s="349">
        <f>Q75-O81</f>
        <v>299836.89546434022</v>
      </c>
      <c r="R89" s="230"/>
      <c r="S89" s="23"/>
      <c r="T89" s="23"/>
      <c r="U89" s="23"/>
      <c r="V89" s="23"/>
    </row>
    <row r="90" spans="1:22" ht="18.75" customHeight="1" thickTop="1" thickBot="1">
      <c r="A90" s="350" t="s">
        <v>84</v>
      </c>
      <c r="B90" s="351" t="s">
        <v>173</v>
      </c>
      <c r="C90" s="20"/>
      <c r="D90" s="2403">
        <f>SUM(E82:E89)</f>
        <v>4410578885.999999</v>
      </c>
      <c r="E90" s="2404"/>
      <c r="F90" s="352" t="s">
        <v>85</v>
      </c>
      <c r="G90" s="353"/>
      <c r="H90" s="2405">
        <f>SUM(I82:I89)</f>
        <v>1394646807.0000002</v>
      </c>
      <c r="I90" s="2406"/>
      <c r="J90" s="351" t="s">
        <v>174</v>
      </c>
      <c r="K90" s="20"/>
      <c r="L90" s="2403">
        <f>SUM(M82:M89)</f>
        <v>4444338566.2509279</v>
      </c>
      <c r="M90" s="2404"/>
      <c r="N90" s="352" t="s">
        <v>86</v>
      </c>
      <c r="O90" s="353"/>
      <c r="P90" s="2405">
        <f>SUM(Q82:Q89)</f>
        <v>1374499662.1246138</v>
      </c>
      <c r="Q90" s="2406"/>
      <c r="R90" s="230"/>
      <c r="S90" s="23"/>
      <c r="T90" s="23"/>
      <c r="U90" s="23"/>
      <c r="V90" s="23"/>
    </row>
    <row r="91" spans="1:22" ht="18.75" customHeight="1" thickTop="1" thickBot="1">
      <c r="A91" s="1112" t="s">
        <v>175</v>
      </c>
      <c r="B91" s="1113" t="s">
        <v>176</v>
      </c>
      <c r="C91" s="1113"/>
      <c r="D91" s="2388">
        <f>D90+H90-H91</f>
        <v>5586678085.7818813</v>
      </c>
      <c r="E91" s="2389"/>
      <c r="F91" s="2390" t="s">
        <v>177</v>
      </c>
      <c r="G91" s="2390"/>
      <c r="H91" s="2391">
        <f>E88+E89+I88+I89</f>
        <v>218547607.21811733</v>
      </c>
      <c r="I91" s="2392"/>
      <c r="J91" s="1114" t="s">
        <v>178</v>
      </c>
      <c r="K91" s="1113"/>
      <c r="L91" s="2388">
        <f>L90+P90-P91</f>
        <v>5596704791.5320835</v>
      </c>
      <c r="M91" s="2389"/>
      <c r="N91" s="2390" t="s">
        <v>179</v>
      </c>
      <c r="O91" s="2390"/>
      <c r="P91" s="2393">
        <f>M88+M89+Q88+Q89</f>
        <v>222133436.84345815</v>
      </c>
      <c r="Q91" s="2394"/>
      <c r="R91" s="230"/>
      <c r="S91" s="23"/>
      <c r="T91" s="23"/>
      <c r="U91" s="23"/>
      <c r="V91" s="23"/>
    </row>
    <row r="92" spans="1:22">
      <c r="E92" s="22"/>
      <c r="J92" s="230"/>
      <c r="K92" s="230"/>
      <c r="L92" s="230"/>
      <c r="M92" s="230"/>
      <c r="N92" s="230"/>
      <c r="O92" s="230"/>
      <c r="P92" s="230"/>
      <c r="Q92" s="230"/>
      <c r="R92" s="230"/>
      <c r="S92" s="23"/>
      <c r="T92" s="23"/>
      <c r="U92" s="23"/>
      <c r="V92" s="23"/>
    </row>
    <row r="93" spans="1:22" s="359" customFormat="1" ht="21" customHeight="1">
      <c r="A93" s="357" t="s">
        <v>180</v>
      </c>
      <c r="B93" s="358"/>
      <c r="C93" s="358" t="str">
        <f>A1</f>
        <v>R7年度</v>
      </c>
      <c r="J93" s="357" t="s">
        <v>181</v>
      </c>
      <c r="K93" s="358"/>
      <c r="L93" s="358" t="str">
        <f>C93</f>
        <v>R7年度</v>
      </c>
      <c r="M93" s="358"/>
      <c r="S93" s="23"/>
      <c r="T93" s="23"/>
      <c r="U93" s="23"/>
      <c r="V93" s="23"/>
    </row>
    <row r="94" spans="1:22" s="366" customFormat="1" ht="21" customHeight="1">
      <c r="A94" s="360" t="s">
        <v>182</v>
      </c>
      <c r="B94" s="361"/>
      <c r="C94" s="361" t="s">
        <v>183</v>
      </c>
      <c r="D94" s="2307">
        <f>D95+D109+D113</f>
        <v>5575987519.3905439</v>
      </c>
      <c r="E94" s="2308"/>
      <c r="F94" s="2309">
        <f>F95+F109+F113</f>
        <v>5575987</v>
      </c>
      <c r="G94" s="2308"/>
      <c r="H94" s="370"/>
      <c r="I94" s="370"/>
      <c r="J94" s="360" t="s">
        <v>184</v>
      </c>
      <c r="K94" s="361"/>
      <c r="L94" s="364" t="s">
        <v>183</v>
      </c>
      <c r="M94" s="1964">
        <f>M96+M100+M104+1</f>
        <v>5506358935.1574249</v>
      </c>
      <c r="N94" s="2310">
        <f>N96+N100+N104</f>
        <v>5506358</v>
      </c>
      <c r="O94" s="2311"/>
      <c r="Q94" s="367"/>
      <c r="S94" s="16"/>
      <c r="T94" s="16"/>
      <c r="U94" s="16"/>
      <c r="V94" s="16"/>
    </row>
    <row r="95" spans="1:22" s="366" customFormat="1" ht="21" customHeight="1">
      <c r="A95" s="368" t="s">
        <v>185</v>
      </c>
      <c r="B95" s="369"/>
      <c r="C95" s="369"/>
      <c r="D95" s="2312">
        <f>D96+D100+D104+1</f>
        <v>5505372007.1574249</v>
      </c>
      <c r="E95" s="2313"/>
      <c r="F95" s="2273">
        <f>F96+F100+F104</f>
        <v>5505372</v>
      </c>
      <c r="G95" s="2272"/>
      <c r="H95" s="370" t="s">
        <v>186</v>
      </c>
      <c r="I95" s="1115">
        <f>D97+D101+D105+D110-C76-C77-C78-C79</f>
        <v>4184330629.7390766</v>
      </c>
      <c r="J95" s="2302"/>
      <c r="K95" s="2303"/>
      <c r="L95" s="371"/>
      <c r="M95" s="990"/>
      <c r="N95" s="2267"/>
      <c r="O95" s="2266"/>
      <c r="P95" s="366" t="s">
        <v>186</v>
      </c>
      <c r="Q95" s="1116">
        <f>I95</f>
        <v>4184330629.7390766</v>
      </c>
      <c r="S95" s="16"/>
      <c r="T95" s="16"/>
      <c r="U95" s="16"/>
      <c r="V95" s="16"/>
    </row>
    <row r="96" spans="1:22" s="366" customFormat="1" ht="21" customHeight="1">
      <c r="A96" s="372" t="s">
        <v>187</v>
      </c>
      <c r="B96" s="373"/>
      <c r="C96" s="374"/>
      <c r="D96" s="2265">
        <f>D97+D98</f>
        <v>1147616.7658092177</v>
      </c>
      <c r="E96" s="2266"/>
      <c r="F96" s="2267">
        <f>F97+F98</f>
        <v>1147</v>
      </c>
      <c r="G96" s="2266"/>
      <c r="I96" s="1117">
        <f>ROUND(I95/1000,0)</f>
        <v>4184331</v>
      </c>
      <c r="J96" s="2302" t="s">
        <v>187</v>
      </c>
      <c r="K96" s="2303"/>
      <c r="L96" s="371"/>
      <c r="M96" s="990">
        <f>SUM(M97:M98)</f>
        <v>1147616.7658092177</v>
      </c>
      <c r="N96" s="2281">
        <f>N97+N98</f>
        <v>1147</v>
      </c>
      <c r="O96" s="2282"/>
      <c r="P96" s="441"/>
      <c r="Q96" s="1118">
        <f>I96</f>
        <v>4184331</v>
      </c>
      <c r="S96" s="16"/>
      <c r="T96" s="16"/>
      <c r="U96" s="16"/>
      <c r="V96" s="16"/>
    </row>
    <row r="97" spans="1:24" s="366" customFormat="1" ht="21" customHeight="1">
      <c r="A97" s="375" t="s">
        <v>188</v>
      </c>
      <c r="B97" s="376"/>
      <c r="C97" s="376"/>
      <c r="D97" s="2278">
        <f>E6+E7+E9+E11</f>
        <v>844442.84387281176</v>
      </c>
      <c r="E97" s="2279"/>
      <c r="F97" s="2267">
        <f>ROUND(D97/1000,0)</f>
        <v>844</v>
      </c>
      <c r="G97" s="2266"/>
      <c r="H97" s="370" t="s">
        <v>189</v>
      </c>
      <c r="I97" s="1115">
        <f>D98+D102+D106+D111-G76-G77-G78-G79</f>
        <v>1322028305.4183476</v>
      </c>
      <c r="J97" s="992" t="s">
        <v>188</v>
      </c>
      <c r="K97" s="377"/>
      <c r="L97" s="377"/>
      <c r="M97" s="991">
        <f>M6+M7+M9+M11</f>
        <v>844442.84387281176</v>
      </c>
      <c r="N97" s="2281">
        <f>ROUND(M97/1000,0)</f>
        <v>844</v>
      </c>
      <c r="O97" s="2282"/>
      <c r="P97" s="370" t="s">
        <v>189</v>
      </c>
      <c r="Q97" s="1116">
        <f>I97</f>
        <v>1322028305.4183476</v>
      </c>
      <c r="S97" s="16"/>
      <c r="T97" s="16"/>
      <c r="U97" s="16"/>
      <c r="V97" s="16"/>
    </row>
    <row r="98" spans="1:24" s="366" customFormat="1" ht="21" customHeight="1">
      <c r="A98" s="379" t="s">
        <v>190</v>
      </c>
      <c r="B98" s="376"/>
      <c r="C98" s="374"/>
      <c r="D98" s="2278">
        <f>I6+I7+I9+I11</f>
        <v>303173.92193640594</v>
      </c>
      <c r="E98" s="2279"/>
      <c r="F98" s="2267">
        <f>ROUND(D98/1000,0)</f>
        <v>303</v>
      </c>
      <c r="G98" s="2266"/>
      <c r="I98" s="1117">
        <f>ROUND(I97/1000,0)</f>
        <v>1322028</v>
      </c>
      <c r="J98" s="380" t="s">
        <v>190</v>
      </c>
      <c r="K98" s="381"/>
      <c r="L98" s="381"/>
      <c r="M98" s="991">
        <f>Q6+Q7+Q9+Q11</f>
        <v>303173.92193640594</v>
      </c>
      <c r="N98" s="2281">
        <f>ROUND(M98/1000,0)</f>
        <v>303</v>
      </c>
      <c r="O98" s="2282"/>
      <c r="P98" s="441"/>
      <c r="Q98" s="1118">
        <f>I98-1</f>
        <v>1322027</v>
      </c>
      <c r="S98" s="359"/>
      <c r="T98" s="359"/>
      <c r="U98" s="359"/>
      <c r="V98" s="359"/>
    </row>
    <row r="99" spans="1:24" s="366" customFormat="1" ht="21" customHeight="1">
      <c r="A99" s="379"/>
      <c r="B99" s="376"/>
      <c r="C99" s="374"/>
      <c r="D99" s="2278"/>
      <c r="E99" s="2279"/>
      <c r="F99" s="2267"/>
      <c r="G99" s="2266"/>
      <c r="H99" s="370"/>
      <c r="I99" s="370"/>
      <c r="J99" s="382"/>
      <c r="K99" s="383"/>
      <c r="L99" s="383"/>
      <c r="M99" s="991"/>
      <c r="N99" s="2280"/>
      <c r="O99" s="2279"/>
      <c r="P99" s="370" t="s">
        <v>496</v>
      </c>
      <c r="Q99" s="363">
        <f>L109</f>
        <v>90345857.374659151</v>
      </c>
    </row>
    <row r="100" spans="1:24" s="366" customFormat="1" ht="21" customHeight="1">
      <c r="A100" s="375" t="s">
        <v>191</v>
      </c>
      <c r="B100" s="384"/>
      <c r="C100" s="384"/>
      <c r="D100" s="2265">
        <f>D101+D102</f>
        <v>5746923.6535556959</v>
      </c>
      <c r="E100" s="2266"/>
      <c r="F100" s="2267">
        <f>F101+F102</f>
        <v>5747</v>
      </c>
      <c r="G100" s="2266"/>
      <c r="H100" s="370"/>
      <c r="I100" s="370"/>
      <c r="J100" s="992" t="s">
        <v>192</v>
      </c>
      <c r="K100" s="993"/>
      <c r="L100" s="993"/>
      <c r="M100" s="990">
        <f>M101+M102</f>
        <v>5746923.6535556959</v>
      </c>
      <c r="N100" s="2281">
        <f>N101+N102</f>
        <v>5747</v>
      </c>
      <c r="O100" s="2282"/>
      <c r="Q100" s="358">
        <f>N109</f>
        <v>90346</v>
      </c>
    </row>
    <row r="101" spans="1:24" s="366" customFormat="1" ht="21" customHeight="1">
      <c r="A101" s="375" t="s">
        <v>188</v>
      </c>
      <c r="B101" s="376"/>
      <c r="C101" s="376"/>
      <c r="D101" s="2382">
        <f>E24+E25+E27+E29+E15+E16+E18+E20</f>
        <v>3949201.6408886402</v>
      </c>
      <c r="E101" s="2295"/>
      <c r="F101" s="2294">
        <f>ROUND(D101/1000,0)</f>
        <v>3949</v>
      </c>
      <c r="G101" s="2295"/>
      <c r="H101" s="370"/>
      <c r="I101" s="370"/>
      <c r="J101" s="992" t="s">
        <v>188</v>
      </c>
      <c r="K101" s="377"/>
      <c r="L101" s="377"/>
      <c r="M101" s="1960">
        <f>M24+M25+M27+M29+M15+M16+M18+M20</f>
        <v>3949201.6408886402</v>
      </c>
      <c r="N101" s="2298">
        <f>ROUND(M101/1000,0)</f>
        <v>3949</v>
      </c>
      <c r="O101" s="2299"/>
      <c r="P101" s="385"/>
      <c r="Q101" s="2384" t="s">
        <v>497</v>
      </c>
      <c r="S101" s="1119" t="s">
        <v>498</v>
      </c>
      <c r="T101" s="1119"/>
      <c r="U101" s="1119"/>
      <c r="V101" s="1119"/>
      <c r="W101" s="1119"/>
      <c r="X101" s="1119"/>
    </row>
    <row r="102" spans="1:24" s="366" customFormat="1" ht="21" customHeight="1">
      <c r="A102" s="379" t="s">
        <v>190</v>
      </c>
      <c r="B102" s="376"/>
      <c r="C102" s="374"/>
      <c r="D102" s="2278">
        <f>I24+I25+I27+I29+I15+I16+I18+I20</f>
        <v>1797722.0126670557</v>
      </c>
      <c r="E102" s="2279"/>
      <c r="F102" s="2280">
        <f>ROUND(D102/1000,0)</f>
        <v>1798</v>
      </c>
      <c r="G102" s="2279"/>
      <c r="J102" s="380" t="s">
        <v>190</v>
      </c>
      <c r="K102" s="377"/>
      <c r="L102" s="387"/>
      <c r="M102" s="991">
        <f>Q24+Q25+Q27+Q29+Q15+Q16+Q18+Q20</f>
        <v>1797722.0126670557</v>
      </c>
      <c r="N102" s="2281">
        <f>ROUND(M102/1000,0)</f>
        <v>1798</v>
      </c>
      <c r="O102" s="2282"/>
      <c r="Q102" s="2384"/>
      <c r="S102" s="2314" t="s">
        <v>499</v>
      </c>
      <c r="T102" s="2315"/>
      <c r="U102" s="2316"/>
      <c r="V102" s="1120" t="s">
        <v>500</v>
      </c>
      <c r="W102" s="1121" t="s">
        <v>501</v>
      </c>
      <c r="X102" s="1122" t="s">
        <v>502</v>
      </c>
    </row>
    <row r="103" spans="1:24" s="366" customFormat="1" ht="21" customHeight="1">
      <c r="A103" s="388"/>
      <c r="B103" s="389"/>
      <c r="C103" s="389"/>
      <c r="D103" s="2289"/>
      <c r="E103" s="2290"/>
      <c r="F103" s="2291"/>
      <c r="G103" s="2290"/>
      <c r="J103" s="382"/>
      <c r="K103" s="383"/>
      <c r="L103" s="383"/>
      <c r="M103" s="991"/>
      <c r="N103" s="2280"/>
      <c r="O103" s="2279"/>
      <c r="P103" s="385"/>
      <c r="Q103" s="2384"/>
      <c r="S103" s="2385" t="s">
        <v>503</v>
      </c>
      <c r="T103" s="2386"/>
      <c r="U103" s="2387"/>
      <c r="V103" s="1123">
        <f>SUM(V104:V105)</f>
        <v>4853686188</v>
      </c>
      <c r="W103" s="1124">
        <f>SUM(W104:W105)</f>
        <v>6329696690.3139648</v>
      </c>
      <c r="X103" s="1124">
        <f>SUM(X104:X105)</f>
        <v>11183382878.313965</v>
      </c>
    </row>
    <row r="104" spans="1:24" s="366" customFormat="1" ht="21" customHeight="1">
      <c r="A104" s="375" t="s">
        <v>194</v>
      </c>
      <c r="B104" s="384"/>
      <c r="C104" s="384"/>
      <c r="D104" s="2383">
        <f>D105+D106+D107-1</f>
        <v>5498477465.73806</v>
      </c>
      <c r="E104" s="2375"/>
      <c r="F104" s="2267">
        <f>F105+F106+F107</f>
        <v>5498478</v>
      </c>
      <c r="G104" s="2266"/>
      <c r="J104" s="992" t="s">
        <v>195</v>
      </c>
      <c r="K104" s="993"/>
      <c r="L104" s="993"/>
      <c r="M104" s="1955">
        <f>M105+M106+M107-1</f>
        <v>5499464393.73806</v>
      </c>
      <c r="N104" s="2281">
        <f>N105+N106+N107</f>
        <v>5499464</v>
      </c>
      <c r="O104" s="2282"/>
      <c r="Q104" s="390"/>
      <c r="S104" s="2304" t="s">
        <v>213</v>
      </c>
      <c r="T104" s="2305"/>
      <c r="U104" s="2306"/>
      <c r="V104" s="1125">
        <v>3565881202</v>
      </c>
      <c r="W104" s="1126">
        <f>X104-V104</f>
        <v>4953297920.6018839</v>
      </c>
      <c r="X104" s="1127">
        <f>I95+Q95+Q99+I113+I129</f>
        <v>8519179122.6018839</v>
      </c>
    </row>
    <row r="105" spans="1:24" s="366" customFormat="1" ht="21" customHeight="1">
      <c r="A105" s="375" t="s">
        <v>188</v>
      </c>
      <c r="B105" s="376"/>
      <c r="C105" s="376"/>
      <c r="D105" s="2278">
        <f>E42+E43+E45+E47+E33+E34+E36+E38</f>
        <v>4312125634.2543154</v>
      </c>
      <c r="E105" s="2279"/>
      <c r="F105" s="2280">
        <f>ROUND(D105/1000,0)</f>
        <v>4312126</v>
      </c>
      <c r="G105" s="2279"/>
      <c r="J105" s="992" t="s">
        <v>188</v>
      </c>
      <c r="K105" s="377"/>
      <c r="L105" s="377"/>
      <c r="M105" s="991">
        <f>M42+M43+M45+M47+M33+M34+M36+M38+M51+M52+M54+M56</f>
        <v>4312865315.2543154</v>
      </c>
      <c r="N105" s="2281">
        <f>ROUND(M105/1000,0)</f>
        <v>4312865</v>
      </c>
      <c r="O105" s="2282"/>
      <c r="Q105" s="390"/>
      <c r="S105" s="1128" t="s">
        <v>209</v>
      </c>
      <c r="T105" s="1129"/>
      <c r="U105" s="1130"/>
      <c r="V105" s="1131">
        <v>1287804986</v>
      </c>
      <c r="W105" s="1132">
        <f>X105-V105</f>
        <v>1376398769.7120814</v>
      </c>
      <c r="X105" s="1133">
        <f>I97+Q97+I115+I131</f>
        <v>2664203755.7120814</v>
      </c>
    </row>
    <row r="106" spans="1:24" s="366" customFormat="1" ht="21" customHeight="1">
      <c r="A106" s="379" t="s">
        <v>190</v>
      </c>
      <c r="B106" s="376"/>
      <c r="C106" s="374"/>
      <c r="D106" s="2382">
        <f>I42+I43+I45+I47+I33+I34+I36+I38</f>
        <v>1336371731.4837441</v>
      </c>
      <c r="E106" s="2295"/>
      <c r="F106" s="2280">
        <f>ROUND(D106/1000,0)</f>
        <v>1336372</v>
      </c>
      <c r="G106" s="2279"/>
      <c r="J106" s="380" t="s">
        <v>190</v>
      </c>
      <c r="K106" s="377"/>
      <c r="L106" s="387"/>
      <c r="M106" s="1960">
        <f>Q42+Q43+Q45+Q47+Q33+Q34+Q36+Q38+Q51+Q52+Q54+Q56</f>
        <v>1336618978.4837441</v>
      </c>
      <c r="N106" s="2281">
        <f t="shared" ref="N106:N107" si="23">ROUND(M106/1000,0)</f>
        <v>1336619</v>
      </c>
      <c r="O106" s="2282"/>
      <c r="Q106" s="390"/>
      <c r="S106" s="1134"/>
      <c r="T106" s="1134"/>
      <c r="U106" s="1134"/>
      <c r="V106" s="1134"/>
      <c r="W106" s="1135"/>
      <c r="X106" s="1136"/>
    </row>
    <row r="107" spans="1:24" s="366" customFormat="1" ht="21" customHeight="1">
      <c r="A107" s="2283" t="s">
        <v>196</v>
      </c>
      <c r="B107" s="2284"/>
      <c r="C107" s="2284"/>
      <c r="D107" s="2265">
        <f>-C76-C77-C78-C79-G76-G77-G78-G79</f>
        <v>-150019899</v>
      </c>
      <c r="E107" s="2266"/>
      <c r="F107" s="2267">
        <f>ROUND(D107/1000,0)</f>
        <v>-150020</v>
      </c>
      <c r="G107" s="2266"/>
      <c r="J107" s="2285" t="s">
        <v>197</v>
      </c>
      <c r="K107" s="2286"/>
      <c r="L107" s="2286"/>
      <c r="M107" s="391">
        <f>-K76-K77-K78-K79-O76-O77-O78-O79</f>
        <v>-150019899</v>
      </c>
      <c r="N107" s="2287">
        <f t="shared" si="23"/>
        <v>-150020</v>
      </c>
      <c r="O107" s="2288"/>
      <c r="S107" s="1134"/>
      <c r="T107" s="1134"/>
      <c r="U107" s="1134"/>
      <c r="V107" s="1134"/>
      <c r="W107" s="1135"/>
      <c r="X107" s="1136"/>
    </row>
    <row r="108" spans="1:24" s="366" customFormat="1" ht="21" customHeight="1">
      <c r="A108" s="375"/>
      <c r="B108" s="384"/>
      <c r="C108" s="384"/>
      <c r="D108" s="2265"/>
      <c r="E108" s="2266"/>
      <c r="F108" s="2267"/>
      <c r="G108" s="2266"/>
      <c r="S108" s="1137"/>
      <c r="T108" s="1137"/>
      <c r="U108" s="1137"/>
      <c r="V108" s="1137"/>
      <c r="W108" s="1137"/>
      <c r="X108" s="1137"/>
    </row>
    <row r="109" spans="1:24" s="366" customFormat="1" ht="21" customHeight="1">
      <c r="A109" s="368" t="s">
        <v>198</v>
      </c>
      <c r="B109" s="369"/>
      <c r="C109" s="392"/>
      <c r="D109" s="2271">
        <f>D110+D111</f>
        <v>986928</v>
      </c>
      <c r="E109" s="2272"/>
      <c r="F109" s="2273">
        <f>F110+F111</f>
        <v>987</v>
      </c>
      <c r="G109" s="2272"/>
      <c r="J109" s="1138" t="s">
        <v>199</v>
      </c>
      <c r="K109" s="361"/>
      <c r="L109" s="2380">
        <f>M60+M61+M63+M65+1</f>
        <v>90345857.374659151</v>
      </c>
      <c r="M109" s="2381"/>
      <c r="N109" s="2310">
        <f>ROUND(L109/1000,0)</f>
        <v>90346</v>
      </c>
      <c r="O109" s="2311"/>
      <c r="P109" s="385"/>
      <c r="S109" s="1137"/>
      <c r="T109" s="1137"/>
      <c r="U109" s="1137"/>
      <c r="V109" s="1137"/>
      <c r="W109" s="1137"/>
      <c r="X109" s="1137"/>
    </row>
    <row r="110" spans="1:24" s="366" customFormat="1" ht="21" customHeight="1">
      <c r="A110" s="375" t="s">
        <v>188</v>
      </c>
      <c r="B110" s="376"/>
      <c r="C110" s="376"/>
      <c r="D110" s="2265">
        <f>E51+E52+E54+E56</f>
        <v>739681</v>
      </c>
      <c r="E110" s="2266"/>
      <c r="F110" s="2267">
        <f>ROUND(D110/1000,0)</f>
        <v>740</v>
      </c>
      <c r="G110" s="2266"/>
      <c r="N110" s="395"/>
      <c r="O110" s="395"/>
      <c r="S110" s="1137"/>
      <c r="T110" s="1137"/>
      <c r="U110" s="1137"/>
      <c r="V110" s="1137"/>
      <c r="W110" s="1137"/>
      <c r="X110" s="1137"/>
    </row>
    <row r="111" spans="1:24" s="366" customFormat="1" ht="21" customHeight="1">
      <c r="A111" s="379" t="s">
        <v>190</v>
      </c>
      <c r="B111" s="376"/>
      <c r="C111" s="374"/>
      <c r="D111" s="2265">
        <f>I51+I52+I54+I56</f>
        <v>247247</v>
      </c>
      <c r="E111" s="2266"/>
      <c r="F111" s="2296">
        <f>ROUND(D111/1000,0)</f>
        <v>247</v>
      </c>
      <c r="G111" s="2297"/>
      <c r="N111" s="395"/>
      <c r="O111" s="395"/>
      <c r="S111" s="1137" t="s">
        <v>498</v>
      </c>
      <c r="T111" s="1137"/>
      <c r="U111" s="1137"/>
      <c r="V111" s="1137"/>
      <c r="W111" s="1137"/>
      <c r="X111" s="1137"/>
    </row>
    <row r="112" spans="1:24" s="399" customFormat="1" ht="21" customHeight="1">
      <c r="A112" s="396"/>
      <c r="B112" s="397"/>
      <c r="C112" s="398"/>
      <c r="D112" s="2265"/>
      <c r="E112" s="2266"/>
      <c r="F112" s="2267"/>
      <c r="G112" s="2266"/>
      <c r="J112" s="400" t="s">
        <v>200</v>
      </c>
      <c r="K112" s="401"/>
      <c r="L112" s="401" t="str">
        <f>L93</f>
        <v>R7年度</v>
      </c>
      <c r="N112" s="402"/>
      <c r="O112" s="402"/>
      <c r="S112" s="2314" t="s">
        <v>504</v>
      </c>
      <c r="T112" s="2315"/>
      <c r="U112" s="2316"/>
      <c r="V112" s="1139" t="str">
        <f>V102</f>
        <v>R4.4～R4.12収入実績</v>
      </c>
      <c r="W112" s="1140" t="str">
        <f>W102</f>
        <v>R4.1～3月収入見込</v>
      </c>
      <c r="X112" s="1140" t="str">
        <f>X102</f>
        <v>4年度計</v>
      </c>
    </row>
    <row r="113" spans="1:24" s="399" customFormat="1" ht="21" customHeight="1">
      <c r="A113" s="368" t="s">
        <v>201</v>
      </c>
      <c r="B113" s="369"/>
      <c r="C113" s="369"/>
      <c r="D113" s="2271">
        <f>SUM(D114+D118+D122+D126)</f>
        <v>69628584.233118951</v>
      </c>
      <c r="E113" s="2272"/>
      <c r="F113" s="2273">
        <f>SUM(F114+F118+F122+F126)</f>
        <v>69628</v>
      </c>
      <c r="G113" s="2272"/>
      <c r="H113" s="370" t="s">
        <v>186</v>
      </c>
      <c r="I113" s="1115">
        <f>D115+D119+D123+D127</f>
        <v>52011622.153269015</v>
      </c>
      <c r="J113" s="403" t="s">
        <v>202</v>
      </c>
      <c r="K113" s="404"/>
      <c r="L113" s="404"/>
      <c r="M113" s="1983">
        <f>SUM(M114:M115)</f>
        <v>136401276.04286864</v>
      </c>
      <c r="N113" s="2378">
        <f>SUM(N114:O115)</f>
        <v>136401</v>
      </c>
      <c r="O113" s="2379"/>
      <c r="S113" s="1141" t="s">
        <v>202</v>
      </c>
      <c r="T113" s="1142"/>
      <c r="U113" s="1142"/>
      <c r="V113" s="1143"/>
      <c r="W113" s="1144"/>
      <c r="X113" s="1145"/>
    </row>
    <row r="114" spans="1:24" s="399" customFormat="1" ht="21" customHeight="1">
      <c r="A114" s="372" t="s">
        <v>187</v>
      </c>
      <c r="B114" s="373"/>
      <c r="C114" s="398"/>
      <c r="D114" s="2265">
        <f>D115+D116</f>
        <v>18870.281350482313</v>
      </c>
      <c r="E114" s="2266"/>
      <c r="F114" s="2267">
        <f>F115+F116</f>
        <v>19</v>
      </c>
      <c r="G114" s="2266"/>
      <c r="H114" s="366"/>
      <c r="I114" s="1117">
        <f>ROUND(I113/1000,0)</f>
        <v>52012</v>
      </c>
      <c r="J114" s="2369" t="s">
        <v>203</v>
      </c>
      <c r="K114" s="2370"/>
      <c r="L114" s="2370"/>
      <c r="M114" s="406">
        <f>E87+I87+M87+Q87</f>
        <v>20984812.621979795</v>
      </c>
      <c r="N114" s="2368">
        <f>ROUND(M114/1000,0)</f>
        <v>20985</v>
      </c>
      <c r="O114" s="2282"/>
      <c r="S114" s="2371" t="s">
        <v>203</v>
      </c>
      <c r="T114" s="2372"/>
      <c r="U114" s="2373"/>
      <c r="V114" s="1125">
        <v>12594531</v>
      </c>
      <c r="W114" s="1126">
        <f t="shared" ref="W114:W119" si="24">X114-V114</f>
        <v>8390281.6219797954</v>
      </c>
      <c r="X114" s="1146">
        <f>M114</f>
        <v>20984812.621979795</v>
      </c>
    </row>
    <row r="115" spans="1:24" s="399" customFormat="1" ht="21" customHeight="1">
      <c r="A115" s="407" t="s">
        <v>188</v>
      </c>
      <c r="B115" s="397"/>
      <c r="C115" s="397"/>
      <c r="D115" s="2265">
        <f>E8</f>
        <v>13885.18756698821</v>
      </c>
      <c r="E115" s="2266"/>
      <c r="F115" s="2267">
        <f>ROUND(D115/1000,0)</f>
        <v>14</v>
      </c>
      <c r="G115" s="2266"/>
      <c r="H115" s="370" t="s">
        <v>189</v>
      </c>
      <c r="I115" s="1115">
        <f>D116+D120+D124+D128</f>
        <v>17616962.079849944</v>
      </c>
      <c r="J115" s="2369" t="s">
        <v>204</v>
      </c>
      <c r="K115" s="2370"/>
      <c r="L115" s="2370"/>
      <c r="M115" s="406">
        <f>E85+I85+M85+Q85</f>
        <v>115416463.42088886</v>
      </c>
      <c r="N115" s="2368">
        <f>ROUND(M115/1000,0)</f>
        <v>115416</v>
      </c>
      <c r="O115" s="2282"/>
      <c r="S115" s="2371" t="s">
        <v>204</v>
      </c>
      <c r="T115" s="2372"/>
      <c r="U115" s="2373"/>
      <c r="V115" s="1125">
        <v>69269693</v>
      </c>
      <c r="W115" s="1126">
        <f t="shared" si="24"/>
        <v>46146770.420888856</v>
      </c>
      <c r="X115" s="1146">
        <f>M115</f>
        <v>115416463.42088886</v>
      </c>
    </row>
    <row r="116" spans="1:24" s="399" customFormat="1" ht="21" customHeight="1">
      <c r="A116" s="396" t="s">
        <v>190</v>
      </c>
      <c r="B116" s="397"/>
      <c r="C116" s="398"/>
      <c r="D116" s="2265">
        <f>I8</f>
        <v>4985.0937834941042</v>
      </c>
      <c r="E116" s="2266"/>
      <c r="F116" s="2374">
        <f>ROUNDUP(D116/1000,0)</f>
        <v>5</v>
      </c>
      <c r="G116" s="2375"/>
      <c r="H116" s="366"/>
      <c r="I116" s="1117">
        <f>ROUND(I115/1000,0)</f>
        <v>17617</v>
      </c>
      <c r="J116" s="408"/>
      <c r="K116" s="409"/>
      <c r="L116" s="409"/>
      <c r="M116" s="406"/>
      <c r="N116" s="2376"/>
      <c r="O116" s="2377"/>
      <c r="S116" s="1147"/>
      <c r="T116" s="1148"/>
      <c r="U116" s="1148"/>
      <c r="V116" s="1149"/>
      <c r="W116" s="1126">
        <f t="shared" si="24"/>
        <v>0</v>
      </c>
      <c r="X116" s="1146"/>
    </row>
    <row r="117" spans="1:24" s="399" customFormat="1" ht="21" customHeight="1">
      <c r="A117" s="410"/>
      <c r="B117" s="397"/>
      <c r="C117" s="397"/>
      <c r="D117" s="2265"/>
      <c r="E117" s="2266"/>
      <c r="F117" s="2267"/>
      <c r="G117" s="2266"/>
      <c r="J117" s="411" t="s">
        <v>205</v>
      </c>
      <c r="K117" s="412"/>
      <c r="L117" s="412"/>
      <c r="M117" s="1984">
        <f>SUM(M118:M119)</f>
        <v>609136397.49834871</v>
      </c>
      <c r="N117" s="2364">
        <f>SUM(N118:O119)</f>
        <v>609137</v>
      </c>
      <c r="O117" s="2365"/>
      <c r="S117" s="1150" t="s">
        <v>205</v>
      </c>
      <c r="T117" s="1151"/>
      <c r="U117" s="1151"/>
      <c r="V117" s="1152"/>
      <c r="W117" s="1126">
        <f t="shared" si="24"/>
        <v>0</v>
      </c>
      <c r="X117" s="1146"/>
    </row>
    <row r="118" spans="1:24" s="399" customFormat="1" ht="21" customHeight="1">
      <c r="A118" s="375" t="s">
        <v>191</v>
      </c>
      <c r="B118" s="384"/>
      <c r="C118" s="384"/>
      <c r="D118" s="2265">
        <f>D119+D120</f>
        <v>68723.021972132905</v>
      </c>
      <c r="E118" s="2266"/>
      <c r="F118" s="2267">
        <f>F119+F120</f>
        <v>68</v>
      </c>
      <c r="G118" s="2266"/>
      <c r="J118" s="2366" t="s">
        <v>206</v>
      </c>
      <c r="K118" s="2367"/>
      <c r="L118" s="2367"/>
      <c r="M118" s="406">
        <f>E86+I86</f>
        <v>10690566.391338924</v>
      </c>
      <c r="N118" s="2368">
        <f>ROUND(M118/1000,0)</f>
        <v>10691</v>
      </c>
      <c r="O118" s="2282"/>
      <c r="S118" s="2355" t="s">
        <v>206</v>
      </c>
      <c r="T118" s="2356"/>
      <c r="U118" s="2357"/>
      <c r="V118" s="1125">
        <v>12504960</v>
      </c>
      <c r="W118" s="1126">
        <f>X118-V118</f>
        <v>-1814393.6086610761</v>
      </c>
      <c r="X118" s="1146">
        <f>M118</f>
        <v>10690566.391338924</v>
      </c>
    </row>
    <row r="119" spans="1:24" s="399" customFormat="1" ht="21" customHeight="1">
      <c r="A119" s="407" t="s">
        <v>188</v>
      </c>
      <c r="B119" s="397"/>
      <c r="C119" s="397"/>
      <c r="D119" s="2265">
        <f>E26</f>
        <v>47345.390675241157</v>
      </c>
      <c r="E119" s="2266"/>
      <c r="F119" s="2267">
        <f>ROUND(D119/1000,0)</f>
        <v>47</v>
      </c>
      <c r="G119" s="2266"/>
      <c r="J119" s="2358" t="s">
        <v>207</v>
      </c>
      <c r="K119" s="2359"/>
      <c r="L119" s="2359"/>
      <c r="M119" s="414">
        <f>E83+I83+M83+Q83+E84+I84</f>
        <v>598445831.10700977</v>
      </c>
      <c r="N119" s="2360">
        <f>ROUND(M119/1000,0)</f>
        <v>598446</v>
      </c>
      <c r="O119" s="2288"/>
      <c r="S119" s="2361" t="s">
        <v>207</v>
      </c>
      <c r="T119" s="2362"/>
      <c r="U119" s="2363"/>
      <c r="V119" s="1153">
        <v>218984812</v>
      </c>
      <c r="W119" s="1132">
        <f t="shared" si="24"/>
        <v>379461019.10700977</v>
      </c>
      <c r="X119" s="1154">
        <f>M119</f>
        <v>598445831.10700977</v>
      </c>
    </row>
    <row r="120" spans="1:24" s="399" customFormat="1" ht="21" customHeight="1">
      <c r="A120" s="396" t="s">
        <v>190</v>
      </c>
      <c r="B120" s="397"/>
      <c r="C120" s="398"/>
      <c r="D120" s="2265">
        <f>I26</f>
        <v>21377.631296891745</v>
      </c>
      <c r="E120" s="2266"/>
      <c r="F120" s="2267">
        <f>ROUND(D120/1000,0)</f>
        <v>21</v>
      </c>
      <c r="G120" s="2266"/>
      <c r="J120" s="409"/>
      <c r="K120" s="409"/>
      <c r="L120" s="415"/>
      <c r="M120" s="995"/>
      <c r="N120" s="994"/>
      <c r="O120" s="994"/>
      <c r="S120" s="1155"/>
      <c r="T120" s="1155"/>
      <c r="U120" s="1155"/>
      <c r="V120" s="1155"/>
      <c r="W120" s="1155"/>
      <c r="X120" s="1155"/>
    </row>
    <row r="121" spans="1:24" s="399" customFormat="1" ht="21" customHeight="1">
      <c r="A121" s="416"/>
      <c r="B121" s="398"/>
      <c r="C121" s="398"/>
      <c r="D121" s="2265"/>
      <c r="E121" s="2266"/>
      <c r="F121" s="2267"/>
      <c r="G121" s="2266"/>
      <c r="J121" s="409"/>
      <c r="K121" s="409"/>
      <c r="L121" s="415"/>
      <c r="M121" s="995"/>
      <c r="N121" s="994"/>
      <c r="O121" s="994"/>
      <c r="S121" s="1156">
        <f>'R7短期'!Y7*'R7掛金（短期）'!H5/1000</f>
        <v>637472361.96000004</v>
      </c>
      <c r="T121" s="1156">
        <f>'R7短期'!Y7*'R7掛金（短期）'!P5/1000</f>
        <v>626426485.01999998</v>
      </c>
      <c r="U121" s="1156"/>
      <c r="V121" s="1156">
        <f>S121+T121-S122-S123-S123</f>
        <v>1246869803.7390647</v>
      </c>
      <c r="W121" s="1157"/>
      <c r="X121" s="1155"/>
    </row>
    <row r="122" spans="1:24" s="399" customFormat="1" ht="21" customHeight="1" thickBot="1">
      <c r="A122" s="2352" t="s">
        <v>208</v>
      </c>
      <c r="B122" s="2353"/>
      <c r="C122" s="2353"/>
      <c r="D122" s="2354">
        <f>D123+D124</f>
        <v>69533953.929796338</v>
      </c>
      <c r="E122" s="2297"/>
      <c r="F122" s="2267">
        <f>F123+F124</f>
        <v>69534</v>
      </c>
      <c r="G122" s="2266"/>
      <c r="J122" s="409"/>
      <c r="K122" s="409"/>
      <c r="L122" s="415"/>
      <c r="M122" s="994"/>
      <c r="N122" s="994"/>
      <c r="S122" s="1156">
        <f>('R7短期'!AA7+'R7短期'!AC7+'R7短期'!Z5)*'R7掛金（短期）'!H8/1000</f>
        <v>1982047.9209352499</v>
      </c>
      <c r="T122" s="1156"/>
      <c r="U122" s="1156"/>
      <c r="V122" s="1156"/>
      <c r="W122" s="1157"/>
      <c r="X122" s="1155"/>
    </row>
    <row r="123" spans="1:24" s="399" customFormat="1" ht="21" customHeight="1">
      <c r="A123" s="407" t="s">
        <v>188</v>
      </c>
      <c r="B123" s="397"/>
      <c r="C123" s="397"/>
      <c r="D123" s="2265">
        <f>E44</f>
        <v>51945641.575026788</v>
      </c>
      <c r="E123" s="2266"/>
      <c r="F123" s="2267">
        <f>ROUND(D123/1000,0)</f>
        <v>51946</v>
      </c>
      <c r="G123" s="2266"/>
      <c r="J123" s="409"/>
      <c r="K123" s="409"/>
      <c r="L123" s="415"/>
      <c r="M123" s="417"/>
      <c r="N123" s="2346" t="str">
        <f>A1</f>
        <v>R7年度</v>
      </c>
      <c r="O123" s="2347"/>
      <c r="P123" s="1158">
        <v>45809</v>
      </c>
      <c r="Q123" s="419" t="s">
        <v>209</v>
      </c>
      <c r="S123" s="1156">
        <f>'R7短期'!E31*'R7掛金（短期）'!P5/1000</f>
        <v>7523497.6600000011</v>
      </c>
      <c r="T123" s="1156"/>
      <c r="U123" s="1156"/>
      <c r="V123" s="1156"/>
      <c r="W123" s="1157"/>
      <c r="X123" s="1155"/>
    </row>
    <row r="124" spans="1:24" s="399" customFormat="1" ht="21" customHeight="1">
      <c r="A124" s="396" t="s">
        <v>190</v>
      </c>
      <c r="B124" s="397"/>
      <c r="C124" s="398"/>
      <c r="D124" s="2265">
        <f>I44</f>
        <v>17588312.354769558</v>
      </c>
      <c r="E124" s="2266"/>
      <c r="F124" s="2265">
        <f>ROUND(D124/1000,0)</f>
        <v>17588</v>
      </c>
      <c r="G124" s="2266"/>
      <c r="J124" s="409"/>
      <c r="K124" s="409"/>
      <c r="L124" s="415"/>
      <c r="M124" s="417"/>
      <c r="N124" s="2348" t="s">
        <v>210</v>
      </c>
      <c r="O124" s="2349"/>
      <c r="P124" s="2334">
        <f>ROUNDDOWN((H90+P90)*('R7短期'!Y7+'R7短期'!Y8)/'R7短期'!Y17,0)+1</f>
        <v>1264364585</v>
      </c>
      <c r="Q124" s="2335"/>
      <c r="S124" s="1156"/>
      <c r="T124" s="1156">
        <v>653654937</v>
      </c>
      <c r="U124" s="1156"/>
      <c r="V124" s="1156"/>
      <c r="W124" s="1157"/>
      <c r="X124" s="1155"/>
    </row>
    <row r="125" spans="1:24" s="399" customFormat="1" ht="21" customHeight="1">
      <c r="A125" s="396"/>
      <c r="B125" s="397"/>
      <c r="C125" s="398"/>
      <c r="D125" s="2342"/>
      <c r="E125" s="2343"/>
      <c r="F125" s="2265"/>
      <c r="G125" s="2266"/>
      <c r="J125" s="409"/>
      <c r="K125" s="409"/>
      <c r="L125" s="415"/>
      <c r="M125" s="420"/>
      <c r="N125" s="2348"/>
      <c r="O125" s="2349"/>
      <c r="P125" s="421">
        <f>EOMONTH(P123,6)</f>
        <v>46022</v>
      </c>
      <c r="Q125" s="422" t="s">
        <v>209</v>
      </c>
      <c r="S125" s="1156"/>
      <c r="T125" s="1156"/>
      <c r="U125" s="1156"/>
      <c r="V125" s="1156"/>
      <c r="W125" s="1157"/>
      <c r="X125" s="1155"/>
    </row>
    <row r="126" spans="1:24" s="399" customFormat="1" ht="21" customHeight="1">
      <c r="A126" s="375" t="s">
        <v>211</v>
      </c>
      <c r="B126" s="384"/>
      <c r="C126" s="384"/>
      <c r="D126" s="2265">
        <f>D127+D128</f>
        <v>7037</v>
      </c>
      <c r="E126" s="2266"/>
      <c r="F126" s="2265">
        <f>F127+F128</f>
        <v>7</v>
      </c>
      <c r="G126" s="2266"/>
      <c r="M126" s="417"/>
      <c r="N126" s="2350"/>
      <c r="O126" s="2351"/>
      <c r="P126" s="2344">
        <f>ROUNDDOWN((H90+P90)*('R7短期'!Y13+'R7短期'!Y14)/'R7短期'!Y17,0)+1</f>
        <v>1264248464</v>
      </c>
      <c r="Q126" s="2345"/>
      <c r="S126" s="1155"/>
      <c r="T126" s="1155"/>
      <c r="U126" s="1155"/>
      <c r="V126" s="1155"/>
      <c r="W126" s="1155"/>
      <c r="X126" s="1155"/>
    </row>
    <row r="127" spans="1:24" s="399" customFormat="1" ht="21" customHeight="1">
      <c r="A127" s="407" t="s">
        <v>188</v>
      </c>
      <c r="B127" s="397"/>
      <c r="C127" s="397"/>
      <c r="D127" s="2265">
        <f>E53</f>
        <v>4750</v>
      </c>
      <c r="E127" s="2266"/>
      <c r="F127" s="2267">
        <f>ROUND(D127/1000,0)</f>
        <v>5</v>
      </c>
      <c r="G127" s="2266"/>
      <c r="J127" s="385" t="str">
        <f>L132</f>
        <v>R7年度</v>
      </c>
      <c r="M127" s="420"/>
      <c r="N127" s="2328">
        <f>D94+M94+L109+D130+D133+M133+L148-1</f>
        <v>11624063922.375542</v>
      </c>
      <c r="O127" s="2329"/>
      <c r="P127" s="1159">
        <f>EOMONTH(P125,3)</f>
        <v>46112</v>
      </c>
      <c r="Q127" s="424" t="s">
        <v>209</v>
      </c>
      <c r="S127" s="1155"/>
      <c r="T127" s="1155"/>
      <c r="U127" s="1155"/>
      <c r="V127" s="1155"/>
      <c r="W127" s="1155"/>
      <c r="X127" s="1155"/>
    </row>
    <row r="128" spans="1:24" s="399" customFormat="1" ht="21" customHeight="1">
      <c r="A128" s="425" t="s">
        <v>190</v>
      </c>
      <c r="B128" s="426"/>
      <c r="C128" s="427"/>
      <c r="D128" s="2268">
        <f>I53</f>
        <v>2287</v>
      </c>
      <c r="E128" s="2269"/>
      <c r="F128" s="2332">
        <f>ROUND(D128/1000,0)</f>
        <v>2</v>
      </c>
      <c r="G128" s="2333"/>
      <c r="J128" s="428" t="s">
        <v>212</v>
      </c>
      <c r="K128" s="429"/>
      <c r="L128" s="430"/>
      <c r="M128" s="431"/>
      <c r="N128" s="2328"/>
      <c r="O128" s="2329"/>
      <c r="P128" s="2334">
        <f>H90+P90-P124-P126+1</f>
        <v>240533421.12461376</v>
      </c>
      <c r="Q128" s="2335"/>
      <c r="S128" s="1137" t="s">
        <v>505</v>
      </c>
      <c r="T128" s="1137"/>
      <c r="U128" s="1137"/>
      <c r="V128" s="1137"/>
      <c r="W128" s="1137"/>
      <c r="X128" s="1137"/>
    </row>
    <row r="129" spans="1:24" s="399" customFormat="1" ht="21" customHeight="1">
      <c r="A129" s="432"/>
      <c r="B129" s="432"/>
      <c r="C129" s="432"/>
      <c r="D129" s="433"/>
      <c r="E129" s="433"/>
      <c r="F129" s="434"/>
      <c r="G129" s="434"/>
      <c r="H129" s="370" t="s">
        <v>186</v>
      </c>
      <c r="I129" s="1115">
        <f>E86</f>
        <v>8160383.5958024515</v>
      </c>
      <c r="J129" s="2336">
        <f>E89+I89+M89+Q89+1</f>
        <v>2518180.7946374435</v>
      </c>
      <c r="K129" s="2337"/>
      <c r="L129" s="2338"/>
      <c r="M129" s="431"/>
      <c r="N129" s="2328"/>
      <c r="O129" s="2329"/>
      <c r="P129" s="1160">
        <f>P123</f>
        <v>45809</v>
      </c>
      <c r="Q129" s="422" t="s">
        <v>213</v>
      </c>
      <c r="S129" s="2314" t="s">
        <v>504</v>
      </c>
      <c r="T129" s="2315"/>
      <c r="U129" s="2316"/>
      <c r="V129" s="1161" t="str">
        <f>V112</f>
        <v>R4.4～R4.12収入実績</v>
      </c>
      <c r="W129" s="1161" t="str">
        <f>W112</f>
        <v>R4.1～3月収入見込</v>
      </c>
      <c r="X129" s="1161" t="str">
        <f>X112</f>
        <v>4年度計</v>
      </c>
    </row>
    <row r="130" spans="1:24" s="399" customFormat="1" ht="21" customHeight="1" thickBot="1">
      <c r="A130" s="437" t="s">
        <v>214</v>
      </c>
      <c r="B130" s="438"/>
      <c r="C130" s="438"/>
      <c r="D130" s="2317">
        <f>E86+I86+1</f>
        <v>10690567.391338924</v>
      </c>
      <c r="E130" s="2318"/>
      <c r="F130" s="2319">
        <f>ROUND(D130/1000,0)</f>
        <v>10691</v>
      </c>
      <c r="G130" s="2320"/>
      <c r="H130" s="366"/>
      <c r="I130" s="1117">
        <f>ROUND(I129/1000,0)</f>
        <v>8160</v>
      </c>
      <c r="J130" s="2339"/>
      <c r="K130" s="2340"/>
      <c r="L130" s="2341"/>
      <c r="M130" s="439">
        <f>ROUND(J129/1000,0)</f>
        <v>2518</v>
      </c>
      <c r="N130" s="2330"/>
      <c r="O130" s="2331"/>
      <c r="P130" s="2321">
        <f>D90+L90</f>
        <v>8854917452.250927</v>
      </c>
      <c r="Q130" s="2322"/>
      <c r="S130" s="1162" t="s">
        <v>506</v>
      </c>
      <c r="T130" s="1142"/>
      <c r="U130" s="1142"/>
      <c r="V130" s="1143"/>
      <c r="W130" s="1144"/>
      <c r="X130" s="1145"/>
    </row>
    <row r="131" spans="1:24" s="399" customFormat="1" ht="21" customHeight="1">
      <c r="A131" s="432"/>
      <c r="B131" s="432"/>
      <c r="C131" s="432"/>
      <c r="D131" s="432"/>
      <c r="E131" s="432"/>
      <c r="H131" s="370" t="s">
        <v>189</v>
      </c>
      <c r="I131" s="1115">
        <f>I86</f>
        <v>2530182.7955364725</v>
      </c>
      <c r="P131" s="366"/>
      <c r="Q131" s="366"/>
      <c r="S131" s="2323" t="s">
        <v>507</v>
      </c>
      <c r="T131" s="2324"/>
      <c r="U131" s="2325"/>
      <c r="V131" s="1153">
        <v>2329976</v>
      </c>
      <c r="W131" s="1132">
        <f>X131-V131</f>
        <v>188204.7946374435</v>
      </c>
      <c r="X131" s="1154">
        <f>J129</f>
        <v>2518180.7946374435</v>
      </c>
    </row>
    <row r="132" spans="1:24" s="359" customFormat="1" ht="21" customHeight="1">
      <c r="A132" s="357" t="s">
        <v>177</v>
      </c>
      <c r="C132" s="358" t="str">
        <f>C93</f>
        <v>R7年度</v>
      </c>
      <c r="D132" s="358"/>
      <c r="H132" s="366"/>
      <c r="I132" s="1117">
        <f>ROUND(I131/1000,0)</f>
        <v>2530</v>
      </c>
      <c r="J132" s="357" t="s">
        <v>179</v>
      </c>
      <c r="K132" s="358"/>
      <c r="L132" s="358" t="str">
        <f>C132</f>
        <v>R7年度</v>
      </c>
      <c r="N132" s="2326">
        <f>N133+N148</f>
        <v>222134</v>
      </c>
      <c r="O132" s="2327"/>
      <c r="P132" s="399"/>
      <c r="Q132" s="366"/>
      <c r="R132" s="366"/>
      <c r="S132" s="1137"/>
      <c r="T132" s="1137"/>
      <c r="U132" s="1137"/>
      <c r="V132" s="1137"/>
      <c r="W132" s="1137"/>
      <c r="X132" s="1137"/>
    </row>
    <row r="133" spans="1:24" s="366" customFormat="1" ht="21" customHeight="1">
      <c r="A133" s="360" t="s">
        <v>182</v>
      </c>
      <c r="B133" s="361"/>
      <c r="C133" s="361" t="s">
        <v>183</v>
      </c>
      <c r="D133" s="2307">
        <f>D134+D148</f>
        <v>218547607.21811733</v>
      </c>
      <c r="E133" s="2308"/>
      <c r="F133" s="2309">
        <f>F134+F148</f>
        <v>218548</v>
      </c>
      <c r="G133" s="2308"/>
      <c r="H133" s="370"/>
      <c r="I133" s="370"/>
      <c r="J133" s="360" t="s">
        <v>184</v>
      </c>
      <c r="K133" s="361"/>
      <c r="L133" s="364" t="s">
        <v>183</v>
      </c>
      <c r="M133" s="365">
        <f>M135+M139+M143</f>
        <v>218547606.21811733</v>
      </c>
      <c r="N133" s="2310">
        <f>N135+N139+N143</f>
        <v>218548</v>
      </c>
      <c r="O133" s="2311"/>
      <c r="Q133" s="399"/>
      <c r="R133" s="16"/>
      <c r="S133" s="1137" t="s">
        <v>505</v>
      </c>
      <c r="T133" s="1137"/>
      <c r="U133" s="1137"/>
      <c r="V133" s="1137"/>
      <c r="W133" s="1137"/>
      <c r="X133" s="1137"/>
    </row>
    <row r="134" spans="1:24" s="366" customFormat="1" ht="21" customHeight="1">
      <c r="A134" s="368" t="s">
        <v>185</v>
      </c>
      <c r="B134" s="369"/>
      <c r="C134" s="369"/>
      <c r="D134" s="2312">
        <f>D135+D139+D143+1</f>
        <v>218508437.21811733</v>
      </c>
      <c r="E134" s="2313"/>
      <c r="F134" s="2273">
        <f>F135+F139+F143</f>
        <v>218509</v>
      </c>
      <c r="G134" s="2272"/>
      <c r="H134" s="370" t="s">
        <v>186</v>
      </c>
      <c r="I134" s="1115">
        <f>D136+D140+D144+D149-C80-C81</f>
        <v>166076249.51185146</v>
      </c>
      <c r="J134" s="2302"/>
      <c r="K134" s="2303"/>
      <c r="L134" s="371"/>
      <c r="M134" s="990"/>
      <c r="N134" s="2281"/>
      <c r="O134" s="2282"/>
      <c r="P134" s="370" t="s">
        <v>186</v>
      </c>
      <c r="Q134" s="363">
        <f>I134</f>
        <v>166076249.51185146</v>
      </c>
      <c r="R134" s="16"/>
      <c r="S134" s="2314" t="s">
        <v>499</v>
      </c>
      <c r="T134" s="2315"/>
      <c r="U134" s="2316"/>
      <c r="V134" s="1161" t="str">
        <f>V102</f>
        <v>R4.4～R4.12収入実績</v>
      </c>
      <c r="W134" s="1161" t="str">
        <f>W102</f>
        <v>R4.1～3月収入見込</v>
      </c>
      <c r="X134" s="1161" t="str">
        <f>X102</f>
        <v>4年度計</v>
      </c>
    </row>
    <row r="135" spans="1:24" s="366" customFormat="1" ht="21" customHeight="1">
      <c r="A135" s="372" t="s">
        <v>187</v>
      </c>
      <c r="B135" s="373"/>
      <c r="C135" s="374"/>
      <c r="D135" s="2265">
        <f>D136+D137</f>
        <v>45548.954983922886</v>
      </c>
      <c r="E135" s="2266"/>
      <c r="F135" s="2267">
        <f>F136+F137</f>
        <v>46</v>
      </c>
      <c r="G135" s="2266"/>
      <c r="I135" s="1163">
        <f>ROUND(I134/1000,0)</f>
        <v>166076</v>
      </c>
      <c r="J135" s="2302" t="s">
        <v>187</v>
      </c>
      <c r="K135" s="2303"/>
      <c r="L135" s="371"/>
      <c r="M135" s="990">
        <f>SUM(M136:M137)</f>
        <v>45548.954983922886</v>
      </c>
      <c r="N135" s="2281">
        <f>N136+N137</f>
        <v>46</v>
      </c>
      <c r="O135" s="2282"/>
      <c r="P135" s="441"/>
      <c r="Q135" s="442">
        <f>I135</f>
        <v>166076</v>
      </c>
      <c r="R135" s="16"/>
      <c r="S135" s="1164" t="s">
        <v>508</v>
      </c>
      <c r="T135" s="1165"/>
      <c r="U135" s="1166"/>
      <c r="V135" s="1123">
        <f>SUM(V136:V137)</f>
        <v>163729114</v>
      </c>
      <c r="W135" s="1167">
        <f>SUM(W136:W137)</f>
        <v>276951929.06157553</v>
      </c>
      <c r="X135" s="1168">
        <f>SUM(X136:X137)</f>
        <v>440681043.06157553</v>
      </c>
    </row>
    <row r="136" spans="1:24" s="366" customFormat="1" ht="21" customHeight="1">
      <c r="A136" s="375" t="s">
        <v>188</v>
      </c>
      <c r="B136" s="376"/>
      <c r="C136" s="376"/>
      <c r="D136" s="2278">
        <f>E12+E13</f>
        <v>33515.969989281963</v>
      </c>
      <c r="E136" s="2279"/>
      <c r="F136" s="2267">
        <f>ROUND(D136/1000,0)</f>
        <v>34</v>
      </c>
      <c r="G136" s="2266"/>
      <c r="H136" s="370" t="s">
        <v>189</v>
      </c>
      <c r="I136" s="1115">
        <f>D137+D141+D145+D150-G80-G81</f>
        <v>52471356.706265882</v>
      </c>
      <c r="J136" s="992" t="s">
        <v>188</v>
      </c>
      <c r="K136" s="377"/>
      <c r="L136" s="377"/>
      <c r="M136" s="991">
        <f>M12+M13</f>
        <v>33515.969989281963</v>
      </c>
      <c r="N136" s="2281">
        <f>ROUND(M136/1000,0)</f>
        <v>34</v>
      </c>
      <c r="O136" s="2282"/>
      <c r="P136" s="370" t="s">
        <v>189</v>
      </c>
      <c r="Q136" s="363">
        <f>I136</f>
        <v>52471356.706265882</v>
      </c>
      <c r="R136" s="16"/>
      <c r="S136" s="2304" t="s">
        <v>213</v>
      </c>
      <c r="T136" s="2305"/>
      <c r="U136" s="2306"/>
      <c r="V136" s="1125">
        <v>120289510</v>
      </c>
      <c r="W136" s="1126">
        <f>X136-V136</f>
        <v>215448819.64904374</v>
      </c>
      <c r="X136" s="1169">
        <f>I134+Q134+Q138</f>
        <v>335738329.64904374</v>
      </c>
    </row>
    <row r="137" spans="1:24" s="366" customFormat="1" ht="21" customHeight="1">
      <c r="A137" s="379" t="s">
        <v>190</v>
      </c>
      <c r="B137" s="376"/>
      <c r="C137" s="374"/>
      <c r="D137" s="2278">
        <f>I12+I13</f>
        <v>12032.984994640919</v>
      </c>
      <c r="E137" s="2279"/>
      <c r="F137" s="2296">
        <f>ROUND(D137/1000,0)</f>
        <v>12</v>
      </c>
      <c r="G137" s="2297"/>
      <c r="I137" s="1163">
        <f>ROUNDDOWN(I136/1000,0)</f>
        <v>52471</v>
      </c>
      <c r="J137" s="380" t="s">
        <v>190</v>
      </c>
      <c r="K137" s="381"/>
      <c r="L137" s="381"/>
      <c r="M137" s="991">
        <f>Q12+Q13</f>
        <v>12032.984994640919</v>
      </c>
      <c r="N137" s="2298">
        <f>ROUND(M137/1000,0)</f>
        <v>12</v>
      </c>
      <c r="O137" s="2299"/>
      <c r="P137" s="441"/>
      <c r="Q137" s="445">
        <f>I137</f>
        <v>52471</v>
      </c>
      <c r="R137" s="16"/>
      <c r="S137" s="1128" t="s">
        <v>209</v>
      </c>
      <c r="T137" s="1129"/>
      <c r="U137" s="1130"/>
      <c r="V137" s="1131">
        <v>43439604</v>
      </c>
      <c r="W137" s="1132">
        <f>X137-V137</f>
        <v>61503109.412531763</v>
      </c>
      <c r="X137" s="1170">
        <f>I136+Q136</f>
        <v>104942713.41253176</v>
      </c>
    </row>
    <row r="138" spans="1:24" s="366" customFormat="1" ht="21" customHeight="1">
      <c r="A138" s="379"/>
      <c r="B138" s="376"/>
      <c r="C138" s="374"/>
      <c r="D138" s="2278"/>
      <c r="E138" s="2279"/>
      <c r="F138" s="2267"/>
      <c r="G138" s="2266"/>
      <c r="H138" s="370"/>
      <c r="I138" s="370"/>
      <c r="J138" s="382"/>
      <c r="K138" s="383"/>
      <c r="L138" s="383"/>
      <c r="M138" s="991"/>
      <c r="N138" s="2300"/>
      <c r="O138" s="2301"/>
      <c r="P138" s="370" t="s">
        <v>496</v>
      </c>
      <c r="Q138" s="363">
        <f>L148</f>
        <v>3585830.6253408459</v>
      </c>
      <c r="R138" s="16"/>
      <c r="S138" s="1155"/>
      <c r="T138" s="1137"/>
      <c r="U138" s="1137"/>
      <c r="V138" s="1137"/>
      <c r="W138" s="1137"/>
      <c r="X138" s="1137"/>
    </row>
    <row r="139" spans="1:24" s="366" customFormat="1" ht="21" customHeight="1">
      <c r="A139" s="375" t="s">
        <v>191</v>
      </c>
      <c r="B139" s="384"/>
      <c r="C139" s="384"/>
      <c r="D139" s="2265">
        <f>D140+D141</f>
        <v>228095.6279052539</v>
      </c>
      <c r="E139" s="2266"/>
      <c r="F139" s="2267">
        <f>F140+F141</f>
        <v>228</v>
      </c>
      <c r="G139" s="2266"/>
      <c r="H139" s="370"/>
      <c r="I139" s="370"/>
      <c r="J139" s="992" t="s">
        <v>192</v>
      </c>
      <c r="K139" s="993"/>
      <c r="L139" s="993"/>
      <c r="M139" s="990">
        <f>M140+M141</f>
        <v>228095.6279052539</v>
      </c>
      <c r="N139" s="2281">
        <f>N140+N141</f>
        <v>228</v>
      </c>
      <c r="O139" s="2282"/>
      <c r="Q139" s="358">
        <f>N148</f>
        <v>3586</v>
      </c>
      <c r="R139" s="16"/>
      <c r="S139" s="1155"/>
      <c r="T139" s="1137"/>
      <c r="U139" s="1137"/>
      <c r="V139" s="1137"/>
      <c r="W139" s="1137"/>
      <c r="X139" s="1137"/>
    </row>
    <row r="140" spans="1:24" s="366" customFormat="1" ht="21" customHeight="1">
      <c r="A140" s="375" t="s">
        <v>188</v>
      </c>
      <c r="B140" s="376"/>
      <c r="C140" s="376"/>
      <c r="D140" s="2278">
        <f>E30+E31+E21+E22</f>
        <v>156743.96987084037</v>
      </c>
      <c r="E140" s="2279"/>
      <c r="F140" s="2294">
        <f>ROUND(D140/1000,0)</f>
        <v>157</v>
      </c>
      <c r="G140" s="2295"/>
      <c r="J140" s="992" t="s">
        <v>188</v>
      </c>
      <c r="K140" s="377"/>
      <c r="L140" s="377"/>
      <c r="M140" s="991">
        <f>M30+M31+M21+M22</f>
        <v>156743.96987084037</v>
      </c>
      <c r="N140" s="2281">
        <f>ROUND(M140/1000,0)</f>
        <v>157</v>
      </c>
      <c r="O140" s="2282"/>
      <c r="Q140" s="16"/>
      <c r="R140" s="16"/>
      <c r="S140" s="1155"/>
      <c r="T140" s="1137"/>
      <c r="U140" s="1137"/>
      <c r="V140" s="1137"/>
      <c r="W140" s="1137"/>
      <c r="X140" s="1137"/>
    </row>
    <row r="141" spans="1:24" s="366" customFormat="1" ht="21" customHeight="1">
      <c r="A141" s="379" t="s">
        <v>190</v>
      </c>
      <c r="B141" s="376"/>
      <c r="C141" s="374"/>
      <c r="D141" s="2278">
        <f>I30+I31+I21+I22</f>
        <v>71351.658034413529</v>
      </c>
      <c r="E141" s="2279"/>
      <c r="F141" s="2280">
        <f>ROUND(D141/1000,0)</f>
        <v>71</v>
      </c>
      <c r="G141" s="2279"/>
      <c r="J141" s="380" t="s">
        <v>190</v>
      </c>
      <c r="K141" s="377"/>
      <c r="L141" s="387"/>
      <c r="M141" s="991">
        <f>Q30+Q31+Q21+Q22</f>
        <v>71351.658034413529</v>
      </c>
      <c r="N141" s="2281">
        <f>ROUND(M141/1000,0)</f>
        <v>71</v>
      </c>
      <c r="O141" s="2282"/>
      <c r="Q141" s="16"/>
      <c r="R141" s="16"/>
      <c r="S141" s="1155"/>
      <c r="T141" s="1137"/>
      <c r="U141" s="1137"/>
      <c r="V141" s="1137"/>
      <c r="W141" s="1137"/>
      <c r="X141" s="1137"/>
    </row>
    <row r="142" spans="1:24" s="366" customFormat="1" ht="21" customHeight="1">
      <c r="A142" s="388"/>
      <c r="B142" s="389"/>
      <c r="C142" s="389"/>
      <c r="D142" s="2289"/>
      <c r="E142" s="2290"/>
      <c r="F142" s="2291"/>
      <c r="G142" s="2290"/>
      <c r="J142" s="382"/>
      <c r="K142" s="383"/>
      <c r="L142" s="383"/>
      <c r="M142" s="991"/>
      <c r="N142" s="2292"/>
      <c r="O142" s="2293"/>
      <c r="Q142" s="16"/>
      <c r="R142" s="16"/>
      <c r="S142" s="1155"/>
      <c r="T142" s="1137"/>
      <c r="U142" s="1137"/>
      <c r="V142" s="1137"/>
      <c r="W142" s="1137"/>
      <c r="X142" s="1137"/>
    </row>
    <row r="143" spans="1:24" s="366" customFormat="1" ht="21" customHeight="1">
      <c r="A143" s="375" t="s">
        <v>194</v>
      </c>
      <c r="B143" s="384"/>
      <c r="C143" s="384"/>
      <c r="D143" s="2265">
        <f>D144+D145+D146</f>
        <v>218234791.63522816</v>
      </c>
      <c r="E143" s="2266"/>
      <c r="F143" s="2267">
        <f>F144+F145+F146</f>
        <v>218235</v>
      </c>
      <c r="G143" s="2266"/>
      <c r="J143" s="992" t="s">
        <v>195</v>
      </c>
      <c r="K143" s="993"/>
      <c r="L143" s="993"/>
      <c r="M143" s="990">
        <f>M144+M145+M146</f>
        <v>218273961.63522816</v>
      </c>
      <c r="N143" s="2281">
        <f>N144+N145+N146</f>
        <v>218274</v>
      </c>
      <c r="O143" s="2282"/>
      <c r="Q143" s="16"/>
      <c r="R143" s="16"/>
      <c r="S143" s="1155"/>
      <c r="T143" s="1137"/>
      <c r="U143" s="1137"/>
      <c r="V143" s="1137"/>
      <c r="W143" s="1137"/>
      <c r="X143" s="1137"/>
    </row>
    <row r="144" spans="1:24" s="366" customFormat="1" ht="21" customHeight="1">
      <c r="A144" s="375" t="s">
        <v>188</v>
      </c>
      <c r="B144" s="376"/>
      <c r="C144" s="376"/>
      <c r="D144" s="2278">
        <f>E48+E49+E39+E40</f>
        <v>171148437.57199132</v>
      </c>
      <c r="E144" s="2279"/>
      <c r="F144" s="2280">
        <f>ROUND(D144/1000,0)</f>
        <v>171148</v>
      </c>
      <c r="G144" s="2279"/>
      <c r="J144" s="992" t="s">
        <v>188</v>
      </c>
      <c r="K144" s="377"/>
      <c r="L144" s="377"/>
      <c r="M144" s="991">
        <f>M48+M49+M39+M40+M57+M58</f>
        <v>171177794.57199132</v>
      </c>
      <c r="N144" s="2281">
        <f>ROUND(M144/1000,0)</f>
        <v>171178</v>
      </c>
      <c r="O144" s="2282"/>
      <c r="Q144" s="16"/>
      <c r="R144" s="16"/>
      <c r="S144" s="1155"/>
      <c r="T144" s="1137"/>
      <c r="U144" s="1137"/>
      <c r="V144" s="1137"/>
      <c r="W144" s="1137"/>
      <c r="X144" s="1137"/>
    </row>
    <row r="145" spans="1:24" s="366" customFormat="1" ht="21" customHeight="1">
      <c r="A145" s="379" t="s">
        <v>190</v>
      </c>
      <c r="B145" s="376"/>
      <c r="C145" s="374"/>
      <c r="D145" s="2278">
        <f>I48+I49+I39+I40</f>
        <v>53040647.063236825</v>
      </c>
      <c r="E145" s="2279"/>
      <c r="F145" s="2280">
        <f>ROUND(D145/1000,0)</f>
        <v>53041</v>
      </c>
      <c r="G145" s="2279"/>
      <c r="J145" s="380" t="s">
        <v>190</v>
      </c>
      <c r="K145" s="377"/>
      <c r="L145" s="387"/>
      <c r="M145" s="991">
        <f>Q48+Q49+Q39+Q40+Q57+Q58</f>
        <v>53050460.063236825</v>
      </c>
      <c r="N145" s="2281">
        <f t="shared" ref="N145:N146" si="25">ROUND(M145/1000,0)</f>
        <v>53050</v>
      </c>
      <c r="O145" s="2282"/>
      <c r="P145" s="16"/>
      <c r="Q145" s="16"/>
      <c r="R145" s="16"/>
      <c r="S145" s="1155"/>
      <c r="T145" s="1137"/>
      <c r="U145" s="1137"/>
      <c r="V145" s="1137"/>
      <c r="W145" s="1137"/>
      <c r="X145" s="1137"/>
    </row>
    <row r="146" spans="1:24" s="366" customFormat="1" ht="21" customHeight="1">
      <c r="A146" s="2283" t="s">
        <v>216</v>
      </c>
      <c r="B146" s="2284"/>
      <c r="C146" s="2284"/>
      <c r="D146" s="2265">
        <f>-C80-C81-G80-G81</f>
        <v>-5954293</v>
      </c>
      <c r="E146" s="2266"/>
      <c r="F146" s="2267">
        <f>ROUND(D146/1000,0)</f>
        <v>-5954</v>
      </c>
      <c r="G146" s="2266"/>
      <c r="J146" s="2285" t="s">
        <v>217</v>
      </c>
      <c r="K146" s="2286"/>
      <c r="L146" s="2286"/>
      <c r="M146" s="391">
        <f>-K80-K81-O80-O81</f>
        <v>-5954293</v>
      </c>
      <c r="N146" s="2287">
        <f t="shared" si="25"/>
        <v>-5954</v>
      </c>
      <c r="O146" s="2288"/>
      <c r="P146" s="16"/>
      <c r="Q146" s="16"/>
      <c r="R146" s="16"/>
      <c r="S146" s="1155"/>
      <c r="T146" s="1137"/>
      <c r="U146" s="1137"/>
      <c r="V146" s="1137"/>
      <c r="W146" s="1155"/>
      <c r="X146" s="1155"/>
    </row>
    <row r="147" spans="1:24" s="366" customFormat="1" ht="21" customHeight="1">
      <c r="A147" s="375"/>
      <c r="B147" s="384"/>
      <c r="C147" s="384"/>
      <c r="D147" s="2265"/>
      <c r="E147" s="2266"/>
      <c r="F147" s="2267"/>
      <c r="G147" s="2266"/>
      <c r="N147" s="395"/>
      <c r="O147" s="395"/>
      <c r="P147" s="16"/>
      <c r="Q147" s="16"/>
      <c r="R147" s="16"/>
      <c r="S147" s="1155"/>
      <c r="T147" s="1137"/>
      <c r="U147" s="1137"/>
      <c r="V147" s="1137"/>
      <c r="W147" s="1155"/>
      <c r="X147" s="1155"/>
    </row>
    <row r="148" spans="1:24" s="366" customFormat="1" ht="21" customHeight="1">
      <c r="A148" s="368" t="s">
        <v>198</v>
      </c>
      <c r="B148" s="369"/>
      <c r="C148" s="392"/>
      <c r="D148" s="2271">
        <f>D149+D150</f>
        <v>39170</v>
      </c>
      <c r="E148" s="2272"/>
      <c r="F148" s="2273">
        <f>F149+F150</f>
        <v>39</v>
      </c>
      <c r="G148" s="2272"/>
      <c r="J148" s="447" t="s">
        <v>199</v>
      </c>
      <c r="K148" s="394"/>
      <c r="L148" s="2274">
        <f>M66+M67</f>
        <v>3585830.6253408459</v>
      </c>
      <c r="M148" s="2275"/>
      <c r="N148" s="2276">
        <f>ROUND(L148/1000,0)</f>
        <v>3586</v>
      </c>
      <c r="O148" s="2277"/>
      <c r="P148" s="16"/>
      <c r="Q148" s="16"/>
      <c r="R148" s="16"/>
      <c r="S148" s="1155"/>
      <c r="T148" s="1137"/>
      <c r="U148" s="1137"/>
      <c r="V148" s="1137"/>
      <c r="W148" s="1155"/>
      <c r="X148" s="1155"/>
    </row>
    <row r="149" spans="1:24" s="366" customFormat="1" ht="21" customHeight="1">
      <c r="A149" s="375" t="s">
        <v>188</v>
      </c>
      <c r="B149" s="376"/>
      <c r="C149" s="376"/>
      <c r="D149" s="2265">
        <f>E57+E58</f>
        <v>29357</v>
      </c>
      <c r="E149" s="2266"/>
      <c r="F149" s="2267">
        <f>ROUND(D149/1000,0)</f>
        <v>29</v>
      </c>
      <c r="G149" s="2266"/>
      <c r="P149" s="16"/>
      <c r="Q149" s="16"/>
      <c r="R149" s="16"/>
      <c r="S149" s="1155"/>
      <c r="T149" s="1137"/>
      <c r="U149" s="1137"/>
      <c r="V149" s="1137"/>
      <c r="W149" s="1155"/>
      <c r="X149" s="1155"/>
    </row>
    <row r="150" spans="1:24" s="366" customFormat="1" ht="21" customHeight="1">
      <c r="A150" s="379" t="s">
        <v>190</v>
      </c>
      <c r="B150" s="376"/>
      <c r="C150" s="374"/>
      <c r="D150" s="2265">
        <f>I57+I58</f>
        <v>9813</v>
      </c>
      <c r="E150" s="2266"/>
      <c r="F150" s="2267">
        <f>ROUND(D150/1000,0)</f>
        <v>10</v>
      </c>
      <c r="G150" s="2266"/>
      <c r="P150" s="16"/>
      <c r="Q150" s="16"/>
      <c r="R150" s="16"/>
      <c r="S150" s="1171"/>
      <c r="T150" s="1171"/>
      <c r="U150" s="1171"/>
      <c r="V150" s="1171"/>
      <c r="W150" s="1172"/>
      <c r="X150" s="1172"/>
    </row>
    <row r="151" spans="1:24" s="399" customFormat="1" ht="21" customHeight="1">
      <c r="A151" s="425"/>
      <c r="B151" s="426"/>
      <c r="C151" s="427"/>
      <c r="D151" s="2268"/>
      <c r="E151" s="2269"/>
      <c r="F151" s="2270"/>
      <c r="G151" s="2269"/>
      <c r="O151" s="366"/>
      <c r="P151" s="16"/>
      <c r="Q151" s="16"/>
      <c r="R151" s="16"/>
      <c r="W151" s="16"/>
      <c r="X151" s="16"/>
    </row>
  </sheetData>
  <mergeCells count="232">
    <mergeCell ref="G78:H78"/>
    <mergeCell ref="K78:L78"/>
    <mergeCell ref="O78:P78"/>
    <mergeCell ref="A2:A4"/>
    <mergeCell ref="B2:I2"/>
    <mergeCell ref="J2:Q2"/>
    <mergeCell ref="B3:E3"/>
    <mergeCell ref="F3:I3"/>
    <mergeCell ref="J3:M3"/>
    <mergeCell ref="N3:Q3"/>
    <mergeCell ref="C77:D77"/>
    <mergeCell ref="G77:H77"/>
    <mergeCell ref="K77:L77"/>
    <mergeCell ref="O77:P77"/>
    <mergeCell ref="S53:T53"/>
    <mergeCell ref="J62:J64"/>
    <mergeCell ref="A82:A89"/>
    <mergeCell ref="D90:E90"/>
    <mergeCell ref="H90:I90"/>
    <mergeCell ref="L90:M90"/>
    <mergeCell ref="P90:Q90"/>
    <mergeCell ref="C79:D79"/>
    <mergeCell ref="G79:H79"/>
    <mergeCell ref="K79:L79"/>
    <mergeCell ref="O79:P79"/>
    <mergeCell ref="C80:D80"/>
    <mergeCell ref="G80:H80"/>
    <mergeCell ref="K80:L80"/>
    <mergeCell ref="O80:P80"/>
    <mergeCell ref="A68:A75"/>
    <mergeCell ref="A76:A81"/>
    <mergeCell ref="C76:D76"/>
    <mergeCell ref="G76:H76"/>
    <mergeCell ref="K76:L76"/>
    <mergeCell ref="M76:M81"/>
    <mergeCell ref="O76:P76"/>
    <mergeCell ref="Q76:Q81"/>
    <mergeCell ref="C78:D78"/>
    <mergeCell ref="D91:E91"/>
    <mergeCell ref="F91:G91"/>
    <mergeCell ref="H91:I91"/>
    <mergeCell ref="L91:M91"/>
    <mergeCell ref="N91:O91"/>
    <mergeCell ref="P91:Q91"/>
    <mergeCell ref="C81:D81"/>
    <mergeCell ref="G81:H81"/>
    <mergeCell ref="K81:L81"/>
    <mergeCell ref="O81:P81"/>
    <mergeCell ref="D96:E96"/>
    <mergeCell ref="F96:G96"/>
    <mergeCell ref="J96:K96"/>
    <mergeCell ref="N96:O96"/>
    <mergeCell ref="D97:E97"/>
    <mergeCell ref="F97:G97"/>
    <mergeCell ref="N97:O97"/>
    <mergeCell ref="D94:E94"/>
    <mergeCell ref="F94:G94"/>
    <mergeCell ref="N94:O94"/>
    <mergeCell ref="D95:E95"/>
    <mergeCell ref="F95:G95"/>
    <mergeCell ref="J95:K95"/>
    <mergeCell ref="N95:O95"/>
    <mergeCell ref="D100:E100"/>
    <mergeCell ref="F100:G100"/>
    <mergeCell ref="N100:O100"/>
    <mergeCell ref="D101:E101"/>
    <mergeCell ref="F101:G101"/>
    <mergeCell ref="N101:O101"/>
    <mergeCell ref="D98:E98"/>
    <mergeCell ref="F98:G98"/>
    <mergeCell ref="N98:O98"/>
    <mergeCell ref="D99:E99"/>
    <mergeCell ref="F99:G99"/>
    <mergeCell ref="N99:O99"/>
    <mergeCell ref="D104:E104"/>
    <mergeCell ref="F104:G104"/>
    <mergeCell ref="N104:O104"/>
    <mergeCell ref="S104:U104"/>
    <mergeCell ref="D105:E105"/>
    <mergeCell ref="F105:G105"/>
    <mergeCell ref="N105:O105"/>
    <mergeCell ref="Q101:Q103"/>
    <mergeCell ref="D102:E102"/>
    <mergeCell ref="F102:G102"/>
    <mergeCell ref="N102:O102"/>
    <mergeCell ref="S102:U102"/>
    <mergeCell ref="D103:E103"/>
    <mergeCell ref="F103:G103"/>
    <mergeCell ref="N103:O103"/>
    <mergeCell ref="S103:U103"/>
    <mergeCell ref="L109:M109"/>
    <mergeCell ref="N109:O109"/>
    <mergeCell ref="D106:E106"/>
    <mergeCell ref="F106:G106"/>
    <mergeCell ref="N106:O106"/>
    <mergeCell ref="A107:C107"/>
    <mergeCell ref="D107:E107"/>
    <mergeCell ref="F107:G107"/>
    <mergeCell ref="J107:L107"/>
    <mergeCell ref="N107:O107"/>
    <mergeCell ref="D110:E110"/>
    <mergeCell ref="F110:G110"/>
    <mergeCell ref="D111:E111"/>
    <mergeCell ref="F111:G111"/>
    <mergeCell ref="D112:E112"/>
    <mergeCell ref="F112:G112"/>
    <mergeCell ref="D108:E108"/>
    <mergeCell ref="F108:G108"/>
    <mergeCell ref="D109:E109"/>
    <mergeCell ref="F109:G109"/>
    <mergeCell ref="S115:U115"/>
    <mergeCell ref="D116:E116"/>
    <mergeCell ref="F116:G116"/>
    <mergeCell ref="N116:O116"/>
    <mergeCell ref="S112:U112"/>
    <mergeCell ref="D113:E113"/>
    <mergeCell ref="F113:G113"/>
    <mergeCell ref="N113:O113"/>
    <mergeCell ref="D114:E114"/>
    <mergeCell ref="F114:G114"/>
    <mergeCell ref="J114:L114"/>
    <mergeCell ref="N114:O114"/>
    <mergeCell ref="S114:U114"/>
    <mergeCell ref="D117:E117"/>
    <mergeCell ref="F117:G117"/>
    <mergeCell ref="N117:O117"/>
    <mergeCell ref="D118:E118"/>
    <mergeCell ref="F118:G118"/>
    <mergeCell ref="J118:L118"/>
    <mergeCell ref="N118:O118"/>
    <mergeCell ref="D115:E115"/>
    <mergeCell ref="F115:G115"/>
    <mergeCell ref="J115:L115"/>
    <mergeCell ref="N115:O115"/>
    <mergeCell ref="A122:C122"/>
    <mergeCell ref="D122:E122"/>
    <mergeCell ref="F122:G122"/>
    <mergeCell ref="S118:U118"/>
    <mergeCell ref="D119:E119"/>
    <mergeCell ref="F119:G119"/>
    <mergeCell ref="J119:L119"/>
    <mergeCell ref="N119:O119"/>
    <mergeCell ref="S119:U119"/>
    <mergeCell ref="D123:E123"/>
    <mergeCell ref="F123:G123"/>
    <mergeCell ref="N123:O123"/>
    <mergeCell ref="D124:E124"/>
    <mergeCell ref="F124:G124"/>
    <mergeCell ref="N124:O126"/>
    <mergeCell ref="D120:E120"/>
    <mergeCell ref="F120:G120"/>
    <mergeCell ref="D121:E121"/>
    <mergeCell ref="F121:G121"/>
    <mergeCell ref="D127:E127"/>
    <mergeCell ref="F127:G127"/>
    <mergeCell ref="N127:O130"/>
    <mergeCell ref="D128:E128"/>
    <mergeCell ref="F128:G128"/>
    <mergeCell ref="P128:Q128"/>
    <mergeCell ref="J129:L130"/>
    <mergeCell ref="P124:Q124"/>
    <mergeCell ref="D125:E125"/>
    <mergeCell ref="F125:G125"/>
    <mergeCell ref="D126:E126"/>
    <mergeCell ref="F126:G126"/>
    <mergeCell ref="P126:Q126"/>
    <mergeCell ref="D133:E133"/>
    <mergeCell ref="F133:G133"/>
    <mergeCell ref="N133:O133"/>
    <mergeCell ref="D134:E134"/>
    <mergeCell ref="F134:G134"/>
    <mergeCell ref="J134:K134"/>
    <mergeCell ref="N134:O134"/>
    <mergeCell ref="S129:U129"/>
    <mergeCell ref="D130:E130"/>
    <mergeCell ref="F130:G130"/>
    <mergeCell ref="P130:Q130"/>
    <mergeCell ref="S131:U131"/>
    <mergeCell ref="N132:O132"/>
    <mergeCell ref="S134:U134"/>
    <mergeCell ref="D135:E135"/>
    <mergeCell ref="F135:G135"/>
    <mergeCell ref="J135:K135"/>
    <mergeCell ref="N135:O135"/>
    <mergeCell ref="D136:E136"/>
    <mergeCell ref="F136:G136"/>
    <mergeCell ref="N136:O136"/>
    <mergeCell ref="S136:U136"/>
    <mergeCell ref="D139:E139"/>
    <mergeCell ref="F139:G139"/>
    <mergeCell ref="N139:O139"/>
    <mergeCell ref="D140:E140"/>
    <mergeCell ref="F140:G140"/>
    <mergeCell ref="N140:O140"/>
    <mergeCell ref="D137:E137"/>
    <mergeCell ref="F137:G137"/>
    <mergeCell ref="N137:O137"/>
    <mergeCell ref="D138:E138"/>
    <mergeCell ref="F138:G138"/>
    <mergeCell ref="N138:O138"/>
    <mergeCell ref="D143:E143"/>
    <mergeCell ref="F143:G143"/>
    <mergeCell ref="N143:O143"/>
    <mergeCell ref="D144:E144"/>
    <mergeCell ref="F144:G144"/>
    <mergeCell ref="N144:O144"/>
    <mergeCell ref="D141:E141"/>
    <mergeCell ref="F141:G141"/>
    <mergeCell ref="N141:O141"/>
    <mergeCell ref="D142:E142"/>
    <mergeCell ref="F142:G142"/>
    <mergeCell ref="N142:O142"/>
    <mergeCell ref="L148:M148"/>
    <mergeCell ref="N148:O148"/>
    <mergeCell ref="D145:E145"/>
    <mergeCell ref="F145:G145"/>
    <mergeCell ref="N145:O145"/>
    <mergeCell ref="A146:C146"/>
    <mergeCell ref="D146:E146"/>
    <mergeCell ref="F146:G146"/>
    <mergeCell ref="J146:L146"/>
    <mergeCell ref="N146:O146"/>
    <mergeCell ref="D149:E149"/>
    <mergeCell ref="F149:G149"/>
    <mergeCell ref="D150:E150"/>
    <mergeCell ref="F150:G150"/>
    <mergeCell ref="D151:E151"/>
    <mergeCell ref="F151:G151"/>
    <mergeCell ref="D147:E147"/>
    <mergeCell ref="F147:G147"/>
    <mergeCell ref="D148:E148"/>
    <mergeCell ref="F148:G148"/>
  </mergeCells>
  <phoneticPr fontId="2"/>
  <printOptions horizontalCentered="1"/>
  <pageMargins left="0.11811023622047245" right="0.11811023622047245" top="0.39370078740157483" bottom="0" header="0.31496062992125984" footer="0"/>
  <pageSetup paperSize="9" scale="58" orientation="portrait" cellComments="asDisplayed" r:id="rId1"/>
  <headerFooter>
    <oddFooter>&amp;Z&amp;F</oddFooter>
  </headerFooter>
  <rowBreaks count="1" manualBreakCount="1">
    <brk id="91" max="16" man="1"/>
  </rowBreaks>
  <ignoredErrors>
    <ignoredError sqref="I85 E85 M85:Q85" formula="1"/>
  </ignoredErrors>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66FF"/>
  </sheetPr>
  <dimension ref="A1:S156"/>
  <sheetViews>
    <sheetView view="pageBreakPreview" topLeftCell="B121" zoomScale="90" zoomScaleNormal="115" zoomScaleSheetLayoutView="90" workbookViewId="0">
      <selection activeCell="J129" sqref="J129:L130"/>
    </sheetView>
  </sheetViews>
  <sheetFormatPr defaultRowHeight="13.5"/>
  <cols>
    <col min="1" max="1" width="7.5" style="16" customWidth="1"/>
    <col min="2" max="2" width="10.875" style="16" customWidth="1"/>
    <col min="3" max="3" width="3.75" style="16" customWidth="1"/>
    <col min="4" max="4" width="6.5" style="16" customWidth="1"/>
    <col min="5" max="5" width="13.5" style="16" customWidth="1"/>
    <col min="6" max="6" width="10.25" style="16" customWidth="1"/>
    <col min="7" max="7" width="4.125" style="16" customWidth="1"/>
    <col min="8" max="8" width="6.5" style="16" customWidth="1"/>
    <col min="9" max="9" width="13.5" style="16" customWidth="1"/>
    <col min="10" max="10" width="10.625" style="16" customWidth="1"/>
    <col min="11" max="11" width="3.75" style="16" customWidth="1"/>
    <col min="12" max="12" width="6.5" style="16" customWidth="1"/>
    <col min="13" max="13" width="13.5" style="16" customWidth="1"/>
    <col min="14" max="14" width="11.25" style="16" customWidth="1"/>
    <col min="15" max="15" width="3.75" style="16" customWidth="1"/>
    <col min="16" max="16" width="6.5" style="16" customWidth="1"/>
    <col min="17" max="17" width="13.5" style="16" customWidth="1"/>
    <col min="18" max="18" width="9" style="16"/>
    <col min="19" max="19" width="14.75" style="16" bestFit="1" customWidth="1"/>
    <col min="20" max="256" width="9" style="16"/>
    <col min="257" max="257" width="7.5" style="16" customWidth="1"/>
    <col min="258" max="258" width="10.875" style="16" customWidth="1"/>
    <col min="259" max="259" width="3.75" style="16" customWidth="1"/>
    <col min="260" max="260" width="6.5" style="16" customWidth="1"/>
    <col min="261" max="261" width="13.5" style="16" customWidth="1"/>
    <col min="262" max="262" width="10.25" style="16" customWidth="1"/>
    <col min="263" max="263" width="4.125" style="16" customWidth="1"/>
    <col min="264" max="264" width="6.5" style="16" customWidth="1"/>
    <col min="265" max="265" width="13.5" style="16" customWidth="1"/>
    <col min="266" max="266" width="10.625" style="16" customWidth="1"/>
    <col min="267" max="267" width="3.75" style="16" customWidth="1"/>
    <col min="268" max="268" width="6.5" style="16" customWidth="1"/>
    <col min="269" max="269" width="13.5" style="16" customWidth="1"/>
    <col min="270" max="270" width="11.25" style="16" customWidth="1"/>
    <col min="271" max="271" width="3.75" style="16" customWidth="1"/>
    <col min="272" max="272" width="6.5" style="16" customWidth="1"/>
    <col min="273" max="273" width="13.5" style="16" customWidth="1"/>
    <col min="274" max="512" width="9" style="16"/>
    <col min="513" max="513" width="7.5" style="16" customWidth="1"/>
    <col min="514" max="514" width="10.875" style="16" customWidth="1"/>
    <col min="515" max="515" width="3.75" style="16" customWidth="1"/>
    <col min="516" max="516" width="6.5" style="16" customWidth="1"/>
    <col min="517" max="517" width="13.5" style="16" customWidth="1"/>
    <col min="518" max="518" width="10.25" style="16" customWidth="1"/>
    <col min="519" max="519" width="4.125" style="16" customWidth="1"/>
    <col min="520" max="520" width="6.5" style="16" customWidth="1"/>
    <col min="521" max="521" width="13.5" style="16" customWidth="1"/>
    <col min="522" max="522" width="10.625" style="16" customWidth="1"/>
    <col min="523" max="523" width="3.75" style="16" customWidth="1"/>
    <col min="524" max="524" width="6.5" style="16" customWidth="1"/>
    <col min="525" max="525" width="13.5" style="16" customWidth="1"/>
    <col min="526" max="526" width="11.25" style="16" customWidth="1"/>
    <col min="527" max="527" width="3.75" style="16" customWidth="1"/>
    <col min="528" max="528" width="6.5" style="16" customWidth="1"/>
    <col min="529" max="529" width="13.5" style="16" customWidth="1"/>
    <col min="530" max="768" width="9" style="16"/>
    <col min="769" max="769" width="7.5" style="16" customWidth="1"/>
    <col min="770" max="770" width="10.875" style="16" customWidth="1"/>
    <col min="771" max="771" width="3.75" style="16" customWidth="1"/>
    <col min="772" max="772" width="6.5" style="16" customWidth="1"/>
    <col min="773" max="773" width="13.5" style="16" customWidth="1"/>
    <col min="774" max="774" width="10.25" style="16" customWidth="1"/>
    <col min="775" max="775" width="4.125" style="16" customWidth="1"/>
    <col min="776" max="776" width="6.5" style="16" customWidth="1"/>
    <col min="777" max="777" width="13.5" style="16" customWidth="1"/>
    <col min="778" max="778" width="10.625" style="16" customWidth="1"/>
    <col min="779" max="779" width="3.75" style="16" customWidth="1"/>
    <col min="780" max="780" width="6.5" style="16" customWidth="1"/>
    <col min="781" max="781" width="13.5" style="16" customWidth="1"/>
    <col min="782" max="782" width="11.25" style="16" customWidth="1"/>
    <col min="783" max="783" width="3.75" style="16" customWidth="1"/>
    <col min="784" max="784" width="6.5" style="16" customWidth="1"/>
    <col min="785" max="785" width="13.5" style="16" customWidth="1"/>
    <col min="786" max="1024" width="9" style="16"/>
    <col min="1025" max="1025" width="7.5" style="16" customWidth="1"/>
    <col min="1026" max="1026" width="10.875" style="16" customWidth="1"/>
    <col min="1027" max="1027" width="3.75" style="16" customWidth="1"/>
    <col min="1028" max="1028" width="6.5" style="16" customWidth="1"/>
    <col min="1029" max="1029" width="13.5" style="16" customWidth="1"/>
    <col min="1030" max="1030" width="10.25" style="16" customWidth="1"/>
    <col min="1031" max="1031" width="4.125" style="16" customWidth="1"/>
    <col min="1032" max="1032" width="6.5" style="16" customWidth="1"/>
    <col min="1033" max="1033" width="13.5" style="16" customWidth="1"/>
    <col min="1034" max="1034" width="10.625" style="16" customWidth="1"/>
    <col min="1035" max="1035" width="3.75" style="16" customWidth="1"/>
    <col min="1036" max="1036" width="6.5" style="16" customWidth="1"/>
    <col min="1037" max="1037" width="13.5" style="16" customWidth="1"/>
    <col min="1038" max="1038" width="11.25" style="16" customWidth="1"/>
    <col min="1039" max="1039" width="3.75" style="16" customWidth="1"/>
    <col min="1040" max="1040" width="6.5" style="16" customWidth="1"/>
    <col min="1041" max="1041" width="13.5" style="16" customWidth="1"/>
    <col min="1042" max="1280" width="9" style="16"/>
    <col min="1281" max="1281" width="7.5" style="16" customWidth="1"/>
    <col min="1282" max="1282" width="10.875" style="16" customWidth="1"/>
    <col min="1283" max="1283" width="3.75" style="16" customWidth="1"/>
    <col min="1284" max="1284" width="6.5" style="16" customWidth="1"/>
    <col min="1285" max="1285" width="13.5" style="16" customWidth="1"/>
    <col min="1286" max="1286" width="10.25" style="16" customWidth="1"/>
    <col min="1287" max="1287" width="4.125" style="16" customWidth="1"/>
    <col min="1288" max="1288" width="6.5" style="16" customWidth="1"/>
    <col min="1289" max="1289" width="13.5" style="16" customWidth="1"/>
    <col min="1290" max="1290" width="10.625" style="16" customWidth="1"/>
    <col min="1291" max="1291" width="3.75" style="16" customWidth="1"/>
    <col min="1292" max="1292" width="6.5" style="16" customWidth="1"/>
    <col min="1293" max="1293" width="13.5" style="16" customWidth="1"/>
    <col min="1294" max="1294" width="11.25" style="16" customWidth="1"/>
    <col min="1295" max="1295" width="3.75" style="16" customWidth="1"/>
    <col min="1296" max="1296" width="6.5" style="16" customWidth="1"/>
    <col min="1297" max="1297" width="13.5" style="16" customWidth="1"/>
    <col min="1298" max="1536" width="9" style="16"/>
    <col min="1537" max="1537" width="7.5" style="16" customWidth="1"/>
    <col min="1538" max="1538" width="10.875" style="16" customWidth="1"/>
    <col min="1539" max="1539" width="3.75" style="16" customWidth="1"/>
    <col min="1540" max="1540" width="6.5" style="16" customWidth="1"/>
    <col min="1541" max="1541" width="13.5" style="16" customWidth="1"/>
    <col min="1542" max="1542" width="10.25" style="16" customWidth="1"/>
    <col min="1543" max="1543" width="4.125" style="16" customWidth="1"/>
    <col min="1544" max="1544" width="6.5" style="16" customWidth="1"/>
    <col min="1545" max="1545" width="13.5" style="16" customWidth="1"/>
    <col min="1546" max="1546" width="10.625" style="16" customWidth="1"/>
    <col min="1547" max="1547" width="3.75" style="16" customWidth="1"/>
    <col min="1548" max="1548" width="6.5" style="16" customWidth="1"/>
    <col min="1549" max="1549" width="13.5" style="16" customWidth="1"/>
    <col min="1550" max="1550" width="11.25" style="16" customWidth="1"/>
    <col min="1551" max="1551" width="3.75" style="16" customWidth="1"/>
    <col min="1552" max="1552" width="6.5" style="16" customWidth="1"/>
    <col min="1553" max="1553" width="13.5" style="16" customWidth="1"/>
    <col min="1554" max="1792" width="9" style="16"/>
    <col min="1793" max="1793" width="7.5" style="16" customWidth="1"/>
    <col min="1794" max="1794" width="10.875" style="16" customWidth="1"/>
    <col min="1795" max="1795" width="3.75" style="16" customWidth="1"/>
    <col min="1796" max="1796" width="6.5" style="16" customWidth="1"/>
    <col min="1797" max="1797" width="13.5" style="16" customWidth="1"/>
    <col min="1798" max="1798" width="10.25" style="16" customWidth="1"/>
    <col min="1799" max="1799" width="4.125" style="16" customWidth="1"/>
    <col min="1800" max="1800" width="6.5" style="16" customWidth="1"/>
    <col min="1801" max="1801" width="13.5" style="16" customWidth="1"/>
    <col min="1802" max="1802" width="10.625" style="16" customWidth="1"/>
    <col min="1803" max="1803" width="3.75" style="16" customWidth="1"/>
    <col min="1804" max="1804" width="6.5" style="16" customWidth="1"/>
    <col min="1805" max="1805" width="13.5" style="16" customWidth="1"/>
    <col min="1806" max="1806" width="11.25" style="16" customWidth="1"/>
    <col min="1807" max="1807" width="3.75" style="16" customWidth="1"/>
    <col min="1808" max="1808" width="6.5" style="16" customWidth="1"/>
    <col min="1809" max="1809" width="13.5" style="16" customWidth="1"/>
    <col min="1810" max="2048" width="9" style="16"/>
    <col min="2049" max="2049" width="7.5" style="16" customWidth="1"/>
    <col min="2050" max="2050" width="10.875" style="16" customWidth="1"/>
    <col min="2051" max="2051" width="3.75" style="16" customWidth="1"/>
    <col min="2052" max="2052" width="6.5" style="16" customWidth="1"/>
    <col min="2053" max="2053" width="13.5" style="16" customWidth="1"/>
    <col min="2054" max="2054" width="10.25" style="16" customWidth="1"/>
    <col min="2055" max="2055" width="4.125" style="16" customWidth="1"/>
    <col min="2056" max="2056" width="6.5" style="16" customWidth="1"/>
    <col min="2057" max="2057" width="13.5" style="16" customWidth="1"/>
    <col min="2058" max="2058" width="10.625" style="16" customWidth="1"/>
    <col min="2059" max="2059" width="3.75" style="16" customWidth="1"/>
    <col min="2060" max="2060" width="6.5" style="16" customWidth="1"/>
    <col min="2061" max="2061" width="13.5" style="16" customWidth="1"/>
    <col min="2062" max="2062" width="11.25" style="16" customWidth="1"/>
    <col min="2063" max="2063" width="3.75" style="16" customWidth="1"/>
    <col min="2064" max="2064" width="6.5" style="16" customWidth="1"/>
    <col min="2065" max="2065" width="13.5" style="16" customWidth="1"/>
    <col min="2066" max="2304" width="9" style="16"/>
    <col min="2305" max="2305" width="7.5" style="16" customWidth="1"/>
    <col min="2306" max="2306" width="10.875" style="16" customWidth="1"/>
    <col min="2307" max="2307" width="3.75" style="16" customWidth="1"/>
    <col min="2308" max="2308" width="6.5" style="16" customWidth="1"/>
    <col min="2309" max="2309" width="13.5" style="16" customWidth="1"/>
    <col min="2310" max="2310" width="10.25" style="16" customWidth="1"/>
    <col min="2311" max="2311" width="4.125" style="16" customWidth="1"/>
    <col min="2312" max="2312" width="6.5" style="16" customWidth="1"/>
    <col min="2313" max="2313" width="13.5" style="16" customWidth="1"/>
    <col min="2314" max="2314" width="10.625" style="16" customWidth="1"/>
    <col min="2315" max="2315" width="3.75" style="16" customWidth="1"/>
    <col min="2316" max="2316" width="6.5" style="16" customWidth="1"/>
    <col min="2317" max="2317" width="13.5" style="16" customWidth="1"/>
    <col min="2318" max="2318" width="11.25" style="16" customWidth="1"/>
    <col min="2319" max="2319" width="3.75" style="16" customWidth="1"/>
    <col min="2320" max="2320" width="6.5" style="16" customWidth="1"/>
    <col min="2321" max="2321" width="13.5" style="16" customWidth="1"/>
    <col min="2322" max="2560" width="9" style="16"/>
    <col min="2561" max="2561" width="7.5" style="16" customWidth="1"/>
    <col min="2562" max="2562" width="10.875" style="16" customWidth="1"/>
    <col min="2563" max="2563" width="3.75" style="16" customWidth="1"/>
    <col min="2564" max="2564" width="6.5" style="16" customWidth="1"/>
    <col min="2565" max="2565" width="13.5" style="16" customWidth="1"/>
    <col min="2566" max="2566" width="10.25" style="16" customWidth="1"/>
    <col min="2567" max="2567" width="4.125" style="16" customWidth="1"/>
    <col min="2568" max="2568" width="6.5" style="16" customWidth="1"/>
    <col min="2569" max="2569" width="13.5" style="16" customWidth="1"/>
    <col min="2570" max="2570" width="10.625" style="16" customWidth="1"/>
    <col min="2571" max="2571" width="3.75" style="16" customWidth="1"/>
    <col min="2572" max="2572" width="6.5" style="16" customWidth="1"/>
    <col min="2573" max="2573" width="13.5" style="16" customWidth="1"/>
    <col min="2574" max="2574" width="11.25" style="16" customWidth="1"/>
    <col min="2575" max="2575" width="3.75" style="16" customWidth="1"/>
    <col min="2576" max="2576" width="6.5" style="16" customWidth="1"/>
    <col min="2577" max="2577" width="13.5" style="16" customWidth="1"/>
    <col min="2578" max="2816" width="9" style="16"/>
    <col min="2817" max="2817" width="7.5" style="16" customWidth="1"/>
    <col min="2818" max="2818" width="10.875" style="16" customWidth="1"/>
    <col min="2819" max="2819" width="3.75" style="16" customWidth="1"/>
    <col min="2820" max="2820" width="6.5" style="16" customWidth="1"/>
    <col min="2821" max="2821" width="13.5" style="16" customWidth="1"/>
    <col min="2822" max="2822" width="10.25" style="16" customWidth="1"/>
    <col min="2823" max="2823" width="4.125" style="16" customWidth="1"/>
    <col min="2824" max="2824" width="6.5" style="16" customWidth="1"/>
    <col min="2825" max="2825" width="13.5" style="16" customWidth="1"/>
    <col min="2826" max="2826" width="10.625" style="16" customWidth="1"/>
    <col min="2827" max="2827" width="3.75" style="16" customWidth="1"/>
    <col min="2828" max="2828" width="6.5" style="16" customWidth="1"/>
    <col min="2829" max="2829" width="13.5" style="16" customWidth="1"/>
    <col min="2830" max="2830" width="11.25" style="16" customWidth="1"/>
    <col min="2831" max="2831" width="3.75" style="16" customWidth="1"/>
    <col min="2832" max="2832" width="6.5" style="16" customWidth="1"/>
    <col min="2833" max="2833" width="13.5" style="16" customWidth="1"/>
    <col min="2834" max="3072" width="9" style="16"/>
    <col min="3073" max="3073" width="7.5" style="16" customWidth="1"/>
    <col min="3074" max="3074" width="10.875" style="16" customWidth="1"/>
    <col min="3075" max="3075" width="3.75" style="16" customWidth="1"/>
    <col min="3076" max="3076" width="6.5" style="16" customWidth="1"/>
    <col min="3077" max="3077" width="13.5" style="16" customWidth="1"/>
    <col min="3078" max="3078" width="10.25" style="16" customWidth="1"/>
    <col min="3079" max="3079" width="4.125" style="16" customWidth="1"/>
    <col min="3080" max="3080" width="6.5" style="16" customWidth="1"/>
    <col min="3081" max="3081" width="13.5" style="16" customWidth="1"/>
    <col min="3082" max="3082" width="10.625" style="16" customWidth="1"/>
    <col min="3083" max="3083" width="3.75" style="16" customWidth="1"/>
    <col min="3084" max="3084" width="6.5" style="16" customWidth="1"/>
    <col min="3085" max="3085" width="13.5" style="16" customWidth="1"/>
    <col min="3086" max="3086" width="11.25" style="16" customWidth="1"/>
    <col min="3087" max="3087" width="3.75" style="16" customWidth="1"/>
    <col min="3088" max="3088" width="6.5" style="16" customWidth="1"/>
    <col min="3089" max="3089" width="13.5" style="16" customWidth="1"/>
    <col min="3090" max="3328" width="9" style="16"/>
    <col min="3329" max="3329" width="7.5" style="16" customWidth="1"/>
    <col min="3330" max="3330" width="10.875" style="16" customWidth="1"/>
    <col min="3331" max="3331" width="3.75" style="16" customWidth="1"/>
    <col min="3332" max="3332" width="6.5" style="16" customWidth="1"/>
    <col min="3333" max="3333" width="13.5" style="16" customWidth="1"/>
    <col min="3334" max="3334" width="10.25" style="16" customWidth="1"/>
    <col min="3335" max="3335" width="4.125" style="16" customWidth="1"/>
    <col min="3336" max="3336" width="6.5" style="16" customWidth="1"/>
    <col min="3337" max="3337" width="13.5" style="16" customWidth="1"/>
    <col min="3338" max="3338" width="10.625" style="16" customWidth="1"/>
    <col min="3339" max="3339" width="3.75" style="16" customWidth="1"/>
    <col min="3340" max="3340" width="6.5" style="16" customWidth="1"/>
    <col min="3341" max="3341" width="13.5" style="16" customWidth="1"/>
    <col min="3342" max="3342" width="11.25" style="16" customWidth="1"/>
    <col min="3343" max="3343" width="3.75" style="16" customWidth="1"/>
    <col min="3344" max="3344" width="6.5" style="16" customWidth="1"/>
    <col min="3345" max="3345" width="13.5" style="16" customWidth="1"/>
    <col min="3346" max="3584" width="9" style="16"/>
    <col min="3585" max="3585" width="7.5" style="16" customWidth="1"/>
    <col min="3586" max="3586" width="10.875" style="16" customWidth="1"/>
    <col min="3587" max="3587" width="3.75" style="16" customWidth="1"/>
    <col min="3588" max="3588" width="6.5" style="16" customWidth="1"/>
    <col min="3589" max="3589" width="13.5" style="16" customWidth="1"/>
    <col min="3590" max="3590" width="10.25" style="16" customWidth="1"/>
    <col min="3591" max="3591" width="4.125" style="16" customWidth="1"/>
    <col min="3592" max="3592" width="6.5" style="16" customWidth="1"/>
    <col min="3593" max="3593" width="13.5" style="16" customWidth="1"/>
    <col min="3594" max="3594" width="10.625" style="16" customWidth="1"/>
    <col min="3595" max="3595" width="3.75" style="16" customWidth="1"/>
    <col min="3596" max="3596" width="6.5" style="16" customWidth="1"/>
    <col min="3597" max="3597" width="13.5" style="16" customWidth="1"/>
    <col min="3598" max="3598" width="11.25" style="16" customWidth="1"/>
    <col min="3599" max="3599" width="3.75" style="16" customWidth="1"/>
    <col min="3600" max="3600" width="6.5" style="16" customWidth="1"/>
    <col min="3601" max="3601" width="13.5" style="16" customWidth="1"/>
    <col min="3602" max="3840" width="9" style="16"/>
    <col min="3841" max="3841" width="7.5" style="16" customWidth="1"/>
    <col min="3842" max="3842" width="10.875" style="16" customWidth="1"/>
    <col min="3843" max="3843" width="3.75" style="16" customWidth="1"/>
    <col min="3844" max="3844" width="6.5" style="16" customWidth="1"/>
    <col min="3845" max="3845" width="13.5" style="16" customWidth="1"/>
    <col min="3846" max="3846" width="10.25" style="16" customWidth="1"/>
    <col min="3847" max="3847" width="4.125" style="16" customWidth="1"/>
    <col min="3848" max="3848" width="6.5" style="16" customWidth="1"/>
    <col min="3849" max="3849" width="13.5" style="16" customWidth="1"/>
    <col min="3850" max="3850" width="10.625" style="16" customWidth="1"/>
    <col min="3851" max="3851" width="3.75" style="16" customWidth="1"/>
    <col min="3852" max="3852" width="6.5" style="16" customWidth="1"/>
    <col min="3853" max="3853" width="13.5" style="16" customWidth="1"/>
    <col min="3854" max="3854" width="11.25" style="16" customWidth="1"/>
    <col min="3855" max="3855" width="3.75" style="16" customWidth="1"/>
    <col min="3856" max="3856" width="6.5" style="16" customWidth="1"/>
    <col min="3857" max="3857" width="13.5" style="16" customWidth="1"/>
    <col min="3858" max="4096" width="9" style="16"/>
    <col min="4097" max="4097" width="7.5" style="16" customWidth="1"/>
    <col min="4098" max="4098" width="10.875" style="16" customWidth="1"/>
    <col min="4099" max="4099" width="3.75" style="16" customWidth="1"/>
    <col min="4100" max="4100" width="6.5" style="16" customWidth="1"/>
    <col min="4101" max="4101" width="13.5" style="16" customWidth="1"/>
    <col min="4102" max="4102" width="10.25" style="16" customWidth="1"/>
    <col min="4103" max="4103" width="4.125" style="16" customWidth="1"/>
    <col min="4104" max="4104" width="6.5" style="16" customWidth="1"/>
    <col min="4105" max="4105" width="13.5" style="16" customWidth="1"/>
    <col min="4106" max="4106" width="10.625" style="16" customWidth="1"/>
    <col min="4107" max="4107" width="3.75" style="16" customWidth="1"/>
    <col min="4108" max="4108" width="6.5" style="16" customWidth="1"/>
    <col min="4109" max="4109" width="13.5" style="16" customWidth="1"/>
    <col min="4110" max="4110" width="11.25" style="16" customWidth="1"/>
    <col min="4111" max="4111" width="3.75" style="16" customWidth="1"/>
    <col min="4112" max="4112" width="6.5" style="16" customWidth="1"/>
    <col min="4113" max="4113" width="13.5" style="16" customWidth="1"/>
    <col min="4114" max="4352" width="9" style="16"/>
    <col min="4353" max="4353" width="7.5" style="16" customWidth="1"/>
    <col min="4354" max="4354" width="10.875" style="16" customWidth="1"/>
    <col min="4355" max="4355" width="3.75" style="16" customWidth="1"/>
    <col min="4356" max="4356" width="6.5" style="16" customWidth="1"/>
    <col min="4357" max="4357" width="13.5" style="16" customWidth="1"/>
    <col min="4358" max="4358" width="10.25" style="16" customWidth="1"/>
    <col min="4359" max="4359" width="4.125" style="16" customWidth="1"/>
    <col min="4360" max="4360" width="6.5" style="16" customWidth="1"/>
    <col min="4361" max="4361" width="13.5" style="16" customWidth="1"/>
    <col min="4362" max="4362" width="10.625" style="16" customWidth="1"/>
    <col min="4363" max="4363" width="3.75" style="16" customWidth="1"/>
    <col min="4364" max="4364" width="6.5" style="16" customWidth="1"/>
    <col min="4365" max="4365" width="13.5" style="16" customWidth="1"/>
    <col min="4366" max="4366" width="11.25" style="16" customWidth="1"/>
    <col min="4367" max="4367" width="3.75" style="16" customWidth="1"/>
    <col min="4368" max="4368" width="6.5" style="16" customWidth="1"/>
    <col min="4369" max="4369" width="13.5" style="16" customWidth="1"/>
    <col min="4370" max="4608" width="9" style="16"/>
    <col min="4609" max="4609" width="7.5" style="16" customWidth="1"/>
    <col min="4610" max="4610" width="10.875" style="16" customWidth="1"/>
    <col min="4611" max="4611" width="3.75" style="16" customWidth="1"/>
    <col min="4612" max="4612" width="6.5" style="16" customWidth="1"/>
    <col min="4613" max="4613" width="13.5" style="16" customWidth="1"/>
    <col min="4614" max="4614" width="10.25" style="16" customWidth="1"/>
    <col min="4615" max="4615" width="4.125" style="16" customWidth="1"/>
    <col min="4616" max="4616" width="6.5" style="16" customWidth="1"/>
    <col min="4617" max="4617" width="13.5" style="16" customWidth="1"/>
    <col min="4618" max="4618" width="10.625" style="16" customWidth="1"/>
    <col min="4619" max="4619" width="3.75" style="16" customWidth="1"/>
    <col min="4620" max="4620" width="6.5" style="16" customWidth="1"/>
    <col min="4621" max="4621" width="13.5" style="16" customWidth="1"/>
    <col min="4622" max="4622" width="11.25" style="16" customWidth="1"/>
    <col min="4623" max="4623" width="3.75" style="16" customWidth="1"/>
    <col min="4624" max="4624" width="6.5" style="16" customWidth="1"/>
    <col min="4625" max="4625" width="13.5" style="16" customWidth="1"/>
    <col min="4626" max="4864" width="9" style="16"/>
    <col min="4865" max="4865" width="7.5" style="16" customWidth="1"/>
    <col min="4866" max="4866" width="10.875" style="16" customWidth="1"/>
    <col min="4867" max="4867" width="3.75" style="16" customWidth="1"/>
    <col min="4868" max="4868" width="6.5" style="16" customWidth="1"/>
    <col min="4869" max="4869" width="13.5" style="16" customWidth="1"/>
    <col min="4870" max="4870" width="10.25" style="16" customWidth="1"/>
    <col min="4871" max="4871" width="4.125" style="16" customWidth="1"/>
    <col min="4872" max="4872" width="6.5" style="16" customWidth="1"/>
    <col min="4873" max="4873" width="13.5" style="16" customWidth="1"/>
    <col min="4874" max="4874" width="10.625" style="16" customWidth="1"/>
    <col min="4875" max="4875" width="3.75" style="16" customWidth="1"/>
    <col min="4876" max="4876" width="6.5" style="16" customWidth="1"/>
    <col min="4877" max="4877" width="13.5" style="16" customWidth="1"/>
    <col min="4878" max="4878" width="11.25" style="16" customWidth="1"/>
    <col min="4879" max="4879" width="3.75" style="16" customWidth="1"/>
    <col min="4880" max="4880" width="6.5" style="16" customWidth="1"/>
    <col min="4881" max="4881" width="13.5" style="16" customWidth="1"/>
    <col min="4882" max="5120" width="9" style="16"/>
    <col min="5121" max="5121" width="7.5" style="16" customWidth="1"/>
    <col min="5122" max="5122" width="10.875" style="16" customWidth="1"/>
    <col min="5123" max="5123" width="3.75" style="16" customWidth="1"/>
    <col min="5124" max="5124" width="6.5" style="16" customWidth="1"/>
    <col min="5125" max="5125" width="13.5" style="16" customWidth="1"/>
    <col min="5126" max="5126" width="10.25" style="16" customWidth="1"/>
    <col min="5127" max="5127" width="4.125" style="16" customWidth="1"/>
    <col min="5128" max="5128" width="6.5" style="16" customWidth="1"/>
    <col min="5129" max="5129" width="13.5" style="16" customWidth="1"/>
    <col min="5130" max="5130" width="10.625" style="16" customWidth="1"/>
    <col min="5131" max="5131" width="3.75" style="16" customWidth="1"/>
    <col min="5132" max="5132" width="6.5" style="16" customWidth="1"/>
    <col min="5133" max="5133" width="13.5" style="16" customWidth="1"/>
    <col min="5134" max="5134" width="11.25" style="16" customWidth="1"/>
    <col min="5135" max="5135" width="3.75" style="16" customWidth="1"/>
    <col min="5136" max="5136" width="6.5" style="16" customWidth="1"/>
    <col min="5137" max="5137" width="13.5" style="16" customWidth="1"/>
    <col min="5138" max="5376" width="9" style="16"/>
    <col min="5377" max="5377" width="7.5" style="16" customWidth="1"/>
    <col min="5378" max="5378" width="10.875" style="16" customWidth="1"/>
    <col min="5379" max="5379" width="3.75" style="16" customWidth="1"/>
    <col min="5380" max="5380" width="6.5" style="16" customWidth="1"/>
    <col min="5381" max="5381" width="13.5" style="16" customWidth="1"/>
    <col min="5382" max="5382" width="10.25" style="16" customWidth="1"/>
    <col min="5383" max="5383" width="4.125" style="16" customWidth="1"/>
    <col min="5384" max="5384" width="6.5" style="16" customWidth="1"/>
    <col min="5385" max="5385" width="13.5" style="16" customWidth="1"/>
    <col min="5386" max="5386" width="10.625" style="16" customWidth="1"/>
    <col min="5387" max="5387" width="3.75" style="16" customWidth="1"/>
    <col min="5388" max="5388" width="6.5" style="16" customWidth="1"/>
    <col min="5389" max="5389" width="13.5" style="16" customWidth="1"/>
    <col min="5390" max="5390" width="11.25" style="16" customWidth="1"/>
    <col min="5391" max="5391" width="3.75" style="16" customWidth="1"/>
    <col min="5392" max="5392" width="6.5" style="16" customWidth="1"/>
    <col min="5393" max="5393" width="13.5" style="16" customWidth="1"/>
    <col min="5394" max="5632" width="9" style="16"/>
    <col min="5633" max="5633" width="7.5" style="16" customWidth="1"/>
    <col min="5634" max="5634" width="10.875" style="16" customWidth="1"/>
    <col min="5635" max="5635" width="3.75" style="16" customWidth="1"/>
    <col min="5636" max="5636" width="6.5" style="16" customWidth="1"/>
    <col min="5637" max="5637" width="13.5" style="16" customWidth="1"/>
    <col min="5638" max="5638" width="10.25" style="16" customWidth="1"/>
    <col min="5639" max="5639" width="4.125" style="16" customWidth="1"/>
    <col min="5640" max="5640" width="6.5" style="16" customWidth="1"/>
    <col min="5641" max="5641" width="13.5" style="16" customWidth="1"/>
    <col min="5642" max="5642" width="10.625" style="16" customWidth="1"/>
    <col min="5643" max="5643" width="3.75" style="16" customWidth="1"/>
    <col min="5644" max="5644" width="6.5" style="16" customWidth="1"/>
    <col min="5645" max="5645" width="13.5" style="16" customWidth="1"/>
    <col min="5646" max="5646" width="11.25" style="16" customWidth="1"/>
    <col min="5647" max="5647" width="3.75" style="16" customWidth="1"/>
    <col min="5648" max="5648" width="6.5" style="16" customWidth="1"/>
    <col min="5649" max="5649" width="13.5" style="16" customWidth="1"/>
    <col min="5650" max="5888" width="9" style="16"/>
    <col min="5889" max="5889" width="7.5" style="16" customWidth="1"/>
    <col min="5890" max="5890" width="10.875" style="16" customWidth="1"/>
    <col min="5891" max="5891" width="3.75" style="16" customWidth="1"/>
    <col min="5892" max="5892" width="6.5" style="16" customWidth="1"/>
    <col min="5893" max="5893" width="13.5" style="16" customWidth="1"/>
    <col min="5894" max="5894" width="10.25" style="16" customWidth="1"/>
    <col min="5895" max="5895" width="4.125" style="16" customWidth="1"/>
    <col min="5896" max="5896" width="6.5" style="16" customWidth="1"/>
    <col min="5897" max="5897" width="13.5" style="16" customWidth="1"/>
    <col min="5898" max="5898" width="10.625" style="16" customWidth="1"/>
    <col min="5899" max="5899" width="3.75" style="16" customWidth="1"/>
    <col min="5900" max="5900" width="6.5" style="16" customWidth="1"/>
    <col min="5901" max="5901" width="13.5" style="16" customWidth="1"/>
    <col min="5902" max="5902" width="11.25" style="16" customWidth="1"/>
    <col min="5903" max="5903" width="3.75" style="16" customWidth="1"/>
    <col min="5904" max="5904" width="6.5" style="16" customWidth="1"/>
    <col min="5905" max="5905" width="13.5" style="16" customWidth="1"/>
    <col min="5906" max="6144" width="9" style="16"/>
    <col min="6145" max="6145" width="7.5" style="16" customWidth="1"/>
    <col min="6146" max="6146" width="10.875" style="16" customWidth="1"/>
    <col min="6147" max="6147" width="3.75" style="16" customWidth="1"/>
    <col min="6148" max="6148" width="6.5" style="16" customWidth="1"/>
    <col min="6149" max="6149" width="13.5" style="16" customWidth="1"/>
    <col min="6150" max="6150" width="10.25" style="16" customWidth="1"/>
    <col min="6151" max="6151" width="4.125" style="16" customWidth="1"/>
    <col min="6152" max="6152" width="6.5" style="16" customWidth="1"/>
    <col min="6153" max="6153" width="13.5" style="16" customWidth="1"/>
    <col min="6154" max="6154" width="10.625" style="16" customWidth="1"/>
    <col min="6155" max="6155" width="3.75" style="16" customWidth="1"/>
    <col min="6156" max="6156" width="6.5" style="16" customWidth="1"/>
    <col min="6157" max="6157" width="13.5" style="16" customWidth="1"/>
    <col min="6158" max="6158" width="11.25" style="16" customWidth="1"/>
    <col min="6159" max="6159" width="3.75" style="16" customWidth="1"/>
    <col min="6160" max="6160" width="6.5" style="16" customWidth="1"/>
    <col min="6161" max="6161" width="13.5" style="16" customWidth="1"/>
    <col min="6162" max="6400" width="9" style="16"/>
    <col min="6401" max="6401" width="7.5" style="16" customWidth="1"/>
    <col min="6402" max="6402" width="10.875" style="16" customWidth="1"/>
    <col min="6403" max="6403" width="3.75" style="16" customWidth="1"/>
    <col min="6404" max="6404" width="6.5" style="16" customWidth="1"/>
    <col min="6405" max="6405" width="13.5" style="16" customWidth="1"/>
    <col min="6406" max="6406" width="10.25" style="16" customWidth="1"/>
    <col min="6407" max="6407" width="4.125" style="16" customWidth="1"/>
    <col min="6408" max="6408" width="6.5" style="16" customWidth="1"/>
    <col min="6409" max="6409" width="13.5" style="16" customWidth="1"/>
    <col min="6410" max="6410" width="10.625" style="16" customWidth="1"/>
    <col min="6411" max="6411" width="3.75" style="16" customWidth="1"/>
    <col min="6412" max="6412" width="6.5" style="16" customWidth="1"/>
    <col min="6413" max="6413" width="13.5" style="16" customWidth="1"/>
    <col min="6414" max="6414" width="11.25" style="16" customWidth="1"/>
    <col min="6415" max="6415" width="3.75" style="16" customWidth="1"/>
    <col min="6416" max="6416" width="6.5" style="16" customWidth="1"/>
    <col min="6417" max="6417" width="13.5" style="16" customWidth="1"/>
    <col min="6418" max="6656" width="9" style="16"/>
    <col min="6657" max="6657" width="7.5" style="16" customWidth="1"/>
    <col min="6658" max="6658" width="10.875" style="16" customWidth="1"/>
    <col min="6659" max="6659" width="3.75" style="16" customWidth="1"/>
    <col min="6660" max="6660" width="6.5" style="16" customWidth="1"/>
    <col min="6661" max="6661" width="13.5" style="16" customWidth="1"/>
    <col min="6662" max="6662" width="10.25" style="16" customWidth="1"/>
    <col min="6663" max="6663" width="4.125" style="16" customWidth="1"/>
    <col min="6664" max="6664" width="6.5" style="16" customWidth="1"/>
    <col min="6665" max="6665" width="13.5" style="16" customWidth="1"/>
    <col min="6666" max="6666" width="10.625" style="16" customWidth="1"/>
    <col min="6667" max="6667" width="3.75" style="16" customWidth="1"/>
    <col min="6668" max="6668" width="6.5" style="16" customWidth="1"/>
    <col min="6669" max="6669" width="13.5" style="16" customWidth="1"/>
    <col min="6670" max="6670" width="11.25" style="16" customWidth="1"/>
    <col min="6671" max="6671" width="3.75" style="16" customWidth="1"/>
    <col min="6672" max="6672" width="6.5" style="16" customWidth="1"/>
    <col min="6673" max="6673" width="13.5" style="16" customWidth="1"/>
    <col min="6674" max="6912" width="9" style="16"/>
    <col min="6913" max="6913" width="7.5" style="16" customWidth="1"/>
    <col min="6914" max="6914" width="10.875" style="16" customWidth="1"/>
    <col min="6915" max="6915" width="3.75" style="16" customWidth="1"/>
    <col min="6916" max="6916" width="6.5" style="16" customWidth="1"/>
    <col min="6917" max="6917" width="13.5" style="16" customWidth="1"/>
    <col min="6918" max="6918" width="10.25" style="16" customWidth="1"/>
    <col min="6919" max="6919" width="4.125" style="16" customWidth="1"/>
    <col min="6920" max="6920" width="6.5" style="16" customWidth="1"/>
    <col min="6921" max="6921" width="13.5" style="16" customWidth="1"/>
    <col min="6922" max="6922" width="10.625" style="16" customWidth="1"/>
    <col min="6923" max="6923" width="3.75" style="16" customWidth="1"/>
    <col min="6924" max="6924" width="6.5" style="16" customWidth="1"/>
    <col min="6925" max="6925" width="13.5" style="16" customWidth="1"/>
    <col min="6926" max="6926" width="11.25" style="16" customWidth="1"/>
    <col min="6927" max="6927" width="3.75" style="16" customWidth="1"/>
    <col min="6928" max="6928" width="6.5" style="16" customWidth="1"/>
    <col min="6929" max="6929" width="13.5" style="16" customWidth="1"/>
    <col min="6930" max="7168" width="9" style="16"/>
    <col min="7169" max="7169" width="7.5" style="16" customWidth="1"/>
    <col min="7170" max="7170" width="10.875" style="16" customWidth="1"/>
    <col min="7171" max="7171" width="3.75" style="16" customWidth="1"/>
    <col min="7172" max="7172" width="6.5" style="16" customWidth="1"/>
    <col min="7173" max="7173" width="13.5" style="16" customWidth="1"/>
    <col min="7174" max="7174" width="10.25" style="16" customWidth="1"/>
    <col min="7175" max="7175" width="4.125" style="16" customWidth="1"/>
    <col min="7176" max="7176" width="6.5" style="16" customWidth="1"/>
    <col min="7177" max="7177" width="13.5" style="16" customWidth="1"/>
    <col min="7178" max="7178" width="10.625" style="16" customWidth="1"/>
    <col min="7179" max="7179" width="3.75" style="16" customWidth="1"/>
    <col min="7180" max="7180" width="6.5" style="16" customWidth="1"/>
    <col min="7181" max="7181" width="13.5" style="16" customWidth="1"/>
    <col min="7182" max="7182" width="11.25" style="16" customWidth="1"/>
    <col min="7183" max="7183" width="3.75" style="16" customWidth="1"/>
    <col min="7184" max="7184" width="6.5" style="16" customWidth="1"/>
    <col min="7185" max="7185" width="13.5" style="16" customWidth="1"/>
    <col min="7186" max="7424" width="9" style="16"/>
    <col min="7425" max="7425" width="7.5" style="16" customWidth="1"/>
    <col min="7426" max="7426" width="10.875" style="16" customWidth="1"/>
    <col min="7427" max="7427" width="3.75" style="16" customWidth="1"/>
    <col min="7428" max="7428" width="6.5" style="16" customWidth="1"/>
    <col min="7429" max="7429" width="13.5" style="16" customWidth="1"/>
    <col min="7430" max="7430" width="10.25" style="16" customWidth="1"/>
    <col min="7431" max="7431" width="4.125" style="16" customWidth="1"/>
    <col min="7432" max="7432" width="6.5" style="16" customWidth="1"/>
    <col min="7433" max="7433" width="13.5" style="16" customWidth="1"/>
    <col min="7434" max="7434" width="10.625" style="16" customWidth="1"/>
    <col min="7435" max="7435" width="3.75" style="16" customWidth="1"/>
    <col min="7436" max="7436" width="6.5" style="16" customWidth="1"/>
    <col min="7437" max="7437" width="13.5" style="16" customWidth="1"/>
    <col min="7438" max="7438" width="11.25" style="16" customWidth="1"/>
    <col min="7439" max="7439" width="3.75" style="16" customWidth="1"/>
    <col min="7440" max="7440" width="6.5" style="16" customWidth="1"/>
    <col min="7441" max="7441" width="13.5" style="16" customWidth="1"/>
    <col min="7442" max="7680" width="9" style="16"/>
    <col min="7681" max="7681" width="7.5" style="16" customWidth="1"/>
    <col min="7682" max="7682" width="10.875" style="16" customWidth="1"/>
    <col min="7683" max="7683" width="3.75" style="16" customWidth="1"/>
    <col min="7684" max="7684" width="6.5" style="16" customWidth="1"/>
    <col min="7685" max="7685" width="13.5" style="16" customWidth="1"/>
    <col min="7686" max="7686" width="10.25" style="16" customWidth="1"/>
    <col min="7687" max="7687" width="4.125" style="16" customWidth="1"/>
    <col min="7688" max="7688" width="6.5" style="16" customWidth="1"/>
    <col min="7689" max="7689" width="13.5" style="16" customWidth="1"/>
    <col min="7690" max="7690" width="10.625" style="16" customWidth="1"/>
    <col min="7691" max="7691" width="3.75" style="16" customWidth="1"/>
    <col min="7692" max="7692" width="6.5" style="16" customWidth="1"/>
    <col min="7693" max="7693" width="13.5" style="16" customWidth="1"/>
    <col min="7694" max="7694" width="11.25" style="16" customWidth="1"/>
    <col min="7695" max="7695" width="3.75" style="16" customWidth="1"/>
    <col min="7696" max="7696" width="6.5" style="16" customWidth="1"/>
    <col min="7697" max="7697" width="13.5" style="16" customWidth="1"/>
    <col min="7698" max="7936" width="9" style="16"/>
    <col min="7937" max="7937" width="7.5" style="16" customWidth="1"/>
    <col min="7938" max="7938" width="10.875" style="16" customWidth="1"/>
    <col min="7939" max="7939" width="3.75" style="16" customWidth="1"/>
    <col min="7940" max="7940" width="6.5" style="16" customWidth="1"/>
    <col min="7941" max="7941" width="13.5" style="16" customWidth="1"/>
    <col min="7942" max="7942" width="10.25" style="16" customWidth="1"/>
    <col min="7943" max="7943" width="4.125" style="16" customWidth="1"/>
    <col min="7944" max="7944" width="6.5" style="16" customWidth="1"/>
    <col min="7945" max="7945" width="13.5" style="16" customWidth="1"/>
    <col min="7946" max="7946" width="10.625" style="16" customWidth="1"/>
    <col min="7947" max="7947" width="3.75" style="16" customWidth="1"/>
    <col min="7948" max="7948" width="6.5" style="16" customWidth="1"/>
    <col min="7949" max="7949" width="13.5" style="16" customWidth="1"/>
    <col min="7950" max="7950" width="11.25" style="16" customWidth="1"/>
    <col min="7951" max="7951" width="3.75" style="16" customWidth="1"/>
    <col min="7952" max="7952" width="6.5" style="16" customWidth="1"/>
    <col min="7953" max="7953" width="13.5" style="16" customWidth="1"/>
    <col min="7954" max="8192" width="9" style="16"/>
    <col min="8193" max="8193" width="7.5" style="16" customWidth="1"/>
    <col min="8194" max="8194" width="10.875" style="16" customWidth="1"/>
    <col min="8195" max="8195" width="3.75" style="16" customWidth="1"/>
    <col min="8196" max="8196" width="6.5" style="16" customWidth="1"/>
    <col min="8197" max="8197" width="13.5" style="16" customWidth="1"/>
    <col min="8198" max="8198" width="10.25" style="16" customWidth="1"/>
    <col min="8199" max="8199" width="4.125" style="16" customWidth="1"/>
    <col min="8200" max="8200" width="6.5" style="16" customWidth="1"/>
    <col min="8201" max="8201" width="13.5" style="16" customWidth="1"/>
    <col min="8202" max="8202" width="10.625" style="16" customWidth="1"/>
    <col min="8203" max="8203" width="3.75" style="16" customWidth="1"/>
    <col min="8204" max="8204" width="6.5" style="16" customWidth="1"/>
    <col min="8205" max="8205" width="13.5" style="16" customWidth="1"/>
    <col min="8206" max="8206" width="11.25" style="16" customWidth="1"/>
    <col min="8207" max="8207" width="3.75" style="16" customWidth="1"/>
    <col min="8208" max="8208" width="6.5" style="16" customWidth="1"/>
    <col min="8209" max="8209" width="13.5" style="16" customWidth="1"/>
    <col min="8210" max="8448" width="9" style="16"/>
    <col min="8449" max="8449" width="7.5" style="16" customWidth="1"/>
    <col min="8450" max="8450" width="10.875" style="16" customWidth="1"/>
    <col min="8451" max="8451" width="3.75" style="16" customWidth="1"/>
    <col min="8452" max="8452" width="6.5" style="16" customWidth="1"/>
    <col min="8453" max="8453" width="13.5" style="16" customWidth="1"/>
    <col min="8454" max="8454" width="10.25" style="16" customWidth="1"/>
    <col min="8455" max="8455" width="4.125" style="16" customWidth="1"/>
    <col min="8456" max="8456" width="6.5" style="16" customWidth="1"/>
    <col min="8457" max="8457" width="13.5" style="16" customWidth="1"/>
    <col min="8458" max="8458" width="10.625" style="16" customWidth="1"/>
    <col min="8459" max="8459" width="3.75" style="16" customWidth="1"/>
    <col min="8460" max="8460" width="6.5" style="16" customWidth="1"/>
    <col min="8461" max="8461" width="13.5" style="16" customWidth="1"/>
    <col min="8462" max="8462" width="11.25" style="16" customWidth="1"/>
    <col min="8463" max="8463" width="3.75" style="16" customWidth="1"/>
    <col min="8464" max="8464" width="6.5" style="16" customWidth="1"/>
    <col min="8465" max="8465" width="13.5" style="16" customWidth="1"/>
    <col min="8466" max="8704" width="9" style="16"/>
    <col min="8705" max="8705" width="7.5" style="16" customWidth="1"/>
    <col min="8706" max="8706" width="10.875" style="16" customWidth="1"/>
    <col min="8707" max="8707" width="3.75" style="16" customWidth="1"/>
    <col min="8708" max="8708" width="6.5" style="16" customWidth="1"/>
    <col min="8709" max="8709" width="13.5" style="16" customWidth="1"/>
    <col min="8710" max="8710" width="10.25" style="16" customWidth="1"/>
    <col min="8711" max="8711" width="4.125" style="16" customWidth="1"/>
    <col min="8712" max="8712" width="6.5" style="16" customWidth="1"/>
    <col min="8713" max="8713" width="13.5" style="16" customWidth="1"/>
    <col min="8714" max="8714" width="10.625" style="16" customWidth="1"/>
    <col min="8715" max="8715" width="3.75" style="16" customWidth="1"/>
    <col min="8716" max="8716" width="6.5" style="16" customWidth="1"/>
    <col min="8717" max="8717" width="13.5" style="16" customWidth="1"/>
    <col min="8718" max="8718" width="11.25" style="16" customWidth="1"/>
    <col min="8719" max="8719" width="3.75" style="16" customWidth="1"/>
    <col min="8720" max="8720" width="6.5" style="16" customWidth="1"/>
    <col min="8721" max="8721" width="13.5" style="16" customWidth="1"/>
    <col min="8722" max="8960" width="9" style="16"/>
    <col min="8961" max="8961" width="7.5" style="16" customWidth="1"/>
    <col min="8962" max="8962" width="10.875" style="16" customWidth="1"/>
    <col min="8963" max="8963" width="3.75" style="16" customWidth="1"/>
    <col min="8964" max="8964" width="6.5" style="16" customWidth="1"/>
    <col min="8965" max="8965" width="13.5" style="16" customWidth="1"/>
    <col min="8966" max="8966" width="10.25" style="16" customWidth="1"/>
    <col min="8967" max="8967" width="4.125" style="16" customWidth="1"/>
    <col min="8968" max="8968" width="6.5" style="16" customWidth="1"/>
    <col min="8969" max="8969" width="13.5" style="16" customWidth="1"/>
    <col min="8970" max="8970" width="10.625" style="16" customWidth="1"/>
    <col min="8971" max="8971" width="3.75" style="16" customWidth="1"/>
    <col min="8972" max="8972" width="6.5" style="16" customWidth="1"/>
    <col min="8973" max="8973" width="13.5" style="16" customWidth="1"/>
    <col min="8974" max="8974" width="11.25" style="16" customWidth="1"/>
    <col min="8975" max="8975" width="3.75" style="16" customWidth="1"/>
    <col min="8976" max="8976" width="6.5" style="16" customWidth="1"/>
    <col min="8977" max="8977" width="13.5" style="16" customWidth="1"/>
    <col min="8978" max="9216" width="9" style="16"/>
    <col min="9217" max="9217" width="7.5" style="16" customWidth="1"/>
    <col min="9218" max="9218" width="10.875" style="16" customWidth="1"/>
    <col min="9219" max="9219" width="3.75" style="16" customWidth="1"/>
    <col min="9220" max="9220" width="6.5" style="16" customWidth="1"/>
    <col min="9221" max="9221" width="13.5" style="16" customWidth="1"/>
    <col min="9222" max="9222" width="10.25" style="16" customWidth="1"/>
    <col min="9223" max="9223" width="4.125" style="16" customWidth="1"/>
    <col min="9224" max="9224" width="6.5" style="16" customWidth="1"/>
    <col min="9225" max="9225" width="13.5" style="16" customWidth="1"/>
    <col min="9226" max="9226" width="10.625" style="16" customWidth="1"/>
    <col min="9227" max="9227" width="3.75" style="16" customWidth="1"/>
    <col min="9228" max="9228" width="6.5" style="16" customWidth="1"/>
    <col min="9229" max="9229" width="13.5" style="16" customWidth="1"/>
    <col min="9230" max="9230" width="11.25" style="16" customWidth="1"/>
    <col min="9231" max="9231" width="3.75" style="16" customWidth="1"/>
    <col min="9232" max="9232" width="6.5" style="16" customWidth="1"/>
    <col min="9233" max="9233" width="13.5" style="16" customWidth="1"/>
    <col min="9234" max="9472" width="9" style="16"/>
    <col min="9473" max="9473" width="7.5" style="16" customWidth="1"/>
    <col min="9474" max="9474" width="10.875" style="16" customWidth="1"/>
    <col min="9475" max="9475" width="3.75" style="16" customWidth="1"/>
    <col min="9476" max="9476" width="6.5" style="16" customWidth="1"/>
    <col min="9477" max="9477" width="13.5" style="16" customWidth="1"/>
    <col min="9478" max="9478" width="10.25" style="16" customWidth="1"/>
    <col min="9479" max="9479" width="4.125" style="16" customWidth="1"/>
    <col min="9480" max="9480" width="6.5" style="16" customWidth="1"/>
    <col min="9481" max="9481" width="13.5" style="16" customWidth="1"/>
    <col min="9482" max="9482" width="10.625" style="16" customWidth="1"/>
    <col min="9483" max="9483" width="3.75" style="16" customWidth="1"/>
    <col min="9484" max="9484" width="6.5" style="16" customWidth="1"/>
    <col min="9485" max="9485" width="13.5" style="16" customWidth="1"/>
    <col min="9486" max="9486" width="11.25" style="16" customWidth="1"/>
    <col min="9487" max="9487" width="3.75" style="16" customWidth="1"/>
    <col min="9488" max="9488" width="6.5" style="16" customWidth="1"/>
    <col min="9489" max="9489" width="13.5" style="16" customWidth="1"/>
    <col min="9490" max="9728" width="9" style="16"/>
    <col min="9729" max="9729" width="7.5" style="16" customWidth="1"/>
    <col min="9730" max="9730" width="10.875" style="16" customWidth="1"/>
    <col min="9731" max="9731" width="3.75" style="16" customWidth="1"/>
    <col min="9732" max="9732" width="6.5" style="16" customWidth="1"/>
    <col min="9733" max="9733" width="13.5" style="16" customWidth="1"/>
    <col min="9734" max="9734" width="10.25" style="16" customWidth="1"/>
    <col min="9735" max="9735" width="4.125" style="16" customWidth="1"/>
    <col min="9736" max="9736" width="6.5" style="16" customWidth="1"/>
    <col min="9737" max="9737" width="13.5" style="16" customWidth="1"/>
    <col min="9738" max="9738" width="10.625" style="16" customWidth="1"/>
    <col min="9739" max="9739" width="3.75" style="16" customWidth="1"/>
    <col min="9740" max="9740" width="6.5" style="16" customWidth="1"/>
    <col min="9741" max="9741" width="13.5" style="16" customWidth="1"/>
    <col min="9742" max="9742" width="11.25" style="16" customWidth="1"/>
    <col min="9743" max="9743" width="3.75" style="16" customWidth="1"/>
    <col min="9744" max="9744" width="6.5" style="16" customWidth="1"/>
    <col min="9745" max="9745" width="13.5" style="16" customWidth="1"/>
    <col min="9746" max="9984" width="9" style="16"/>
    <col min="9985" max="9985" width="7.5" style="16" customWidth="1"/>
    <col min="9986" max="9986" width="10.875" style="16" customWidth="1"/>
    <col min="9987" max="9987" width="3.75" style="16" customWidth="1"/>
    <col min="9988" max="9988" width="6.5" style="16" customWidth="1"/>
    <col min="9989" max="9989" width="13.5" style="16" customWidth="1"/>
    <col min="9990" max="9990" width="10.25" style="16" customWidth="1"/>
    <col min="9991" max="9991" width="4.125" style="16" customWidth="1"/>
    <col min="9992" max="9992" width="6.5" style="16" customWidth="1"/>
    <col min="9993" max="9993" width="13.5" style="16" customWidth="1"/>
    <col min="9994" max="9994" width="10.625" style="16" customWidth="1"/>
    <col min="9995" max="9995" width="3.75" style="16" customWidth="1"/>
    <col min="9996" max="9996" width="6.5" style="16" customWidth="1"/>
    <col min="9997" max="9997" width="13.5" style="16" customWidth="1"/>
    <col min="9998" max="9998" width="11.25" style="16" customWidth="1"/>
    <col min="9999" max="9999" width="3.75" style="16" customWidth="1"/>
    <col min="10000" max="10000" width="6.5" style="16" customWidth="1"/>
    <col min="10001" max="10001" width="13.5" style="16" customWidth="1"/>
    <col min="10002" max="10240" width="9" style="16"/>
    <col min="10241" max="10241" width="7.5" style="16" customWidth="1"/>
    <col min="10242" max="10242" width="10.875" style="16" customWidth="1"/>
    <col min="10243" max="10243" width="3.75" style="16" customWidth="1"/>
    <col min="10244" max="10244" width="6.5" style="16" customWidth="1"/>
    <col min="10245" max="10245" width="13.5" style="16" customWidth="1"/>
    <col min="10246" max="10246" width="10.25" style="16" customWidth="1"/>
    <col min="10247" max="10247" width="4.125" style="16" customWidth="1"/>
    <col min="10248" max="10248" width="6.5" style="16" customWidth="1"/>
    <col min="10249" max="10249" width="13.5" style="16" customWidth="1"/>
    <col min="10250" max="10250" width="10.625" style="16" customWidth="1"/>
    <col min="10251" max="10251" width="3.75" style="16" customWidth="1"/>
    <col min="10252" max="10252" width="6.5" style="16" customWidth="1"/>
    <col min="10253" max="10253" width="13.5" style="16" customWidth="1"/>
    <col min="10254" max="10254" width="11.25" style="16" customWidth="1"/>
    <col min="10255" max="10255" width="3.75" style="16" customWidth="1"/>
    <col min="10256" max="10256" width="6.5" style="16" customWidth="1"/>
    <col min="10257" max="10257" width="13.5" style="16" customWidth="1"/>
    <col min="10258" max="10496" width="9" style="16"/>
    <col min="10497" max="10497" width="7.5" style="16" customWidth="1"/>
    <col min="10498" max="10498" width="10.875" style="16" customWidth="1"/>
    <col min="10499" max="10499" width="3.75" style="16" customWidth="1"/>
    <col min="10500" max="10500" width="6.5" style="16" customWidth="1"/>
    <col min="10501" max="10501" width="13.5" style="16" customWidth="1"/>
    <col min="10502" max="10502" width="10.25" style="16" customWidth="1"/>
    <col min="10503" max="10503" width="4.125" style="16" customWidth="1"/>
    <col min="10504" max="10504" width="6.5" style="16" customWidth="1"/>
    <col min="10505" max="10505" width="13.5" style="16" customWidth="1"/>
    <col min="10506" max="10506" width="10.625" style="16" customWidth="1"/>
    <col min="10507" max="10507" width="3.75" style="16" customWidth="1"/>
    <col min="10508" max="10508" width="6.5" style="16" customWidth="1"/>
    <col min="10509" max="10509" width="13.5" style="16" customWidth="1"/>
    <col min="10510" max="10510" width="11.25" style="16" customWidth="1"/>
    <col min="10511" max="10511" width="3.75" style="16" customWidth="1"/>
    <col min="10512" max="10512" width="6.5" style="16" customWidth="1"/>
    <col min="10513" max="10513" width="13.5" style="16" customWidth="1"/>
    <col min="10514" max="10752" width="9" style="16"/>
    <col min="10753" max="10753" width="7.5" style="16" customWidth="1"/>
    <col min="10754" max="10754" width="10.875" style="16" customWidth="1"/>
    <col min="10755" max="10755" width="3.75" style="16" customWidth="1"/>
    <col min="10756" max="10756" width="6.5" style="16" customWidth="1"/>
    <col min="10757" max="10757" width="13.5" style="16" customWidth="1"/>
    <col min="10758" max="10758" width="10.25" style="16" customWidth="1"/>
    <col min="10759" max="10759" width="4.125" style="16" customWidth="1"/>
    <col min="10760" max="10760" width="6.5" style="16" customWidth="1"/>
    <col min="10761" max="10761" width="13.5" style="16" customWidth="1"/>
    <col min="10762" max="10762" width="10.625" style="16" customWidth="1"/>
    <col min="10763" max="10763" width="3.75" style="16" customWidth="1"/>
    <col min="10764" max="10764" width="6.5" style="16" customWidth="1"/>
    <col min="10765" max="10765" width="13.5" style="16" customWidth="1"/>
    <col min="10766" max="10766" width="11.25" style="16" customWidth="1"/>
    <col min="10767" max="10767" width="3.75" style="16" customWidth="1"/>
    <col min="10768" max="10768" width="6.5" style="16" customWidth="1"/>
    <col min="10769" max="10769" width="13.5" style="16" customWidth="1"/>
    <col min="10770" max="11008" width="9" style="16"/>
    <col min="11009" max="11009" width="7.5" style="16" customWidth="1"/>
    <col min="11010" max="11010" width="10.875" style="16" customWidth="1"/>
    <col min="11011" max="11011" width="3.75" style="16" customWidth="1"/>
    <col min="11012" max="11012" width="6.5" style="16" customWidth="1"/>
    <col min="11013" max="11013" width="13.5" style="16" customWidth="1"/>
    <col min="11014" max="11014" width="10.25" style="16" customWidth="1"/>
    <col min="11015" max="11015" width="4.125" style="16" customWidth="1"/>
    <col min="11016" max="11016" width="6.5" style="16" customWidth="1"/>
    <col min="11017" max="11017" width="13.5" style="16" customWidth="1"/>
    <col min="11018" max="11018" width="10.625" style="16" customWidth="1"/>
    <col min="11019" max="11019" width="3.75" style="16" customWidth="1"/>
    <col min="11020" max="11020" width="6.5" style="16" customWidth="1"/>
    <col min="11021" max="11021" width="13.5" style="16" customWidth="1"/>
    <col min="11022" max="11022" width="11.25" style="16" customWidth="1"/>
    <col min="11023" max="11023" width="3.75" style="16" customWidth="1"/>
    <col min="11024" max="11024" width="6.5" style="16" customWidth="1"/>
    <col min="11025" max="11025" width="13.5" style="16" customWidth="1"/>
    <col min="11026" max="11264" width="9" style="16"/>
    <col min="11265" max="11265" width="7.5" style="16" customWidth="1"/>
    <col min="11266" max="11266" width="10.875" style="16" customWidth="1"/>
    <col min="11267" max="11267" width="3.75" style="16" customWidth="1"/>
    <col min="11268" max="11268" width="6.5" style="16" customWidth="1"/>
    <col min="11269" max="11269" width="13.5" style="16" customWidth="1"/>
    <col min="11270" max="11270" width="10.25" style="16" customWidth="1"/>
    <col min="11271" max="11271" width="4.125" style="16" customWidth="1"/>
    <col min="11272" max="11272" width="6.5" style="16" customWidth="1"/>
    <col min="11273" max="11273" width="13.5" style="16" customWidth="1"/>
    <col min="11274" max="11274" width="10.625" style="16" customWidth="1"/>
    <col min="11275" max="11275" width="3.75" style="16" customWidth="1"/>
    <col min="11276" max="11276" width="6.5" style="16" customWidth="1"/>
    <col min="11277" max="11277" width="13.5" style="16" customWidth="1"/>
    <col min="11278" max="11278" width="11.25" style="16" customWidth="1"/>
    <col min="11279" max="11279" width="3.75" style="16" customWidth="1"/>
    <col min="11280" max="11280" width="6.5" style="16" customWidth="1"/>
    <col min="11281" max="11281" width="13.5" style="16" customWidth="1"/>
    <col min="11282" max="11520" width="9" style="16"/>
    <col min="11521" max="11521" width="7.5" style="16" customWidth="1"/>
    <col min="11522" max="11522" width="10.875" style="16" customWidth="1"/>
    <col min="11523" max="11523" width="3.75" style="16" customWidth="1"/>
    <col min="11524" max="11524" width="6.5" style="16" customWidth="1"/>
    <col min="11525" max="11525" width="13.5" style="16" customWidth="1"/>
    <col min="11526" max="11526" width="10.25" style="16" customWidth="1"/>
    <col min="11527" max="11527" width="4.125" style="16" customWidth="1"/>
    <col min="11528" max="11528" width="6.5" style="16" customWidth="1"/>
    <col min="11529" max="11529" width="13.5" style="16" customWidth="1"/>
    <col min="11530" max="11530" width="10.625" style="16" customWidth="1"/>
    <col min="11531" max="11531" width="3.75" style="16" customWidth="1"/>
    <col min="11532" max="11532" width="6.5" style="16" customWidth="1"/>
    <col min="11533" max="11533" width="13.5" style="16" customWidth="1"/>
    <col min="11534" max="11534" width="11.25" style="16" customWidth="1"/>
    <col min="11535" max="11535" width="3.75" style="16" customWidth="1"/>
    <col min="11536" max="11536" width="6.5" style="16" customWidth="1"/>
    <col min="11537" max="11537" width="13.5" style="16" customWidth="1"/>
    <col min="11538" max="11776" width="9" style="16"/>
    <col min="11777" max="11777" width="7.5" style="16" customWidth="1"/>
    <col min="11778" max="11778" width="10.875" style="16" customWidth="1"/>
    <col min="11779" max="11779" width="3.75" style="16" customWidth="1"/>
    <col min="11780" max="11780" width="6.5" style="16" customWidth="1"/>
    <col min="11781" max="11781" width="13.5" style="16" customWidth="1"/>
    <col min="11782" max="11782" width="10.25" style="16" customWidth="1"/>
    <col min="11783" max="11783" width="4.125" style="16" customWidth="1"/>
    <col min="11784" max="11784" width="6.5" style="16" customWidth="1"/>
    <col min="11785" max="11785" width="13.5" style="16" customWidth="1"/>
    <col min="11786" max="11786" width="10.625" style="16" customWidth="1"/>
    <col min="11787" max="11787" width="3.75" style="16" customWidth="1"/>
    <col min="11788" max="11788" width="6.5" style="16" customWidth="1"/>
    <col min="11789" max="11789" width="13.5" style="16" customWidth="1"/>
    <col min="11790" max="11790" width="11.25" style="16" customWidth="1"/>
    <col min="11791" max="11791" width="3.75" style="16" customWidth="1"/>
    <col min="11792" max="11792" width="6.5" style="16" customWidth="1"/>
    <col min="11793" max="11793" width="13.5" style="16" customWidth="1"/>
    <col min="11794" max="12032" width="9" style="16"/>
    <col min="12033" max="12033" width="7.5" style="16" customWidth="1"/>
    <col min="12034" max="12034" width="10.875" style="16" customWidth="1"/>
    <col min="12035" max="12035" width="3.75" style="16" customWidth="1"/>
    <col min="12036" max="12036" width="6.5" style="16" customWidth="1"/>
    <col min="12037" max="12037" width="13.5" style="16" customWidth="1"/>
    <col min="12038" max="12038" width="10.25" style="16" customWidth="1"/>
    <col min="12039" max="12039" width="4.125" style="16" customWidth="1"/>
    <col min="12040" max="12040" width="6.5" style="16" customWidth="1"/>
    <col min="12041" max="12041" width="13.5" style="16" customWidth="1"/>
    <col min="12042" max="12042" width="10.625" style="16" customWidth="1"/>
    <col min="12043" max="12043" width="3.75" style="16" customWidth="1"/>
    <col min="12044" max="12044" width="6.5" style="16" customWidth="1"/>
    <col min="12045" max="12045" width="13.5" style="16" customWidth="1"/>
    <col min="12046" max="12046" width="11.25" style="16" customWidth="1"/>
    <col min="12047" max="12047" width="3.75" style="16" customWidth="1"/>
    <col min="12048" max="12048" width="6.5" style="16" customWidth="1"/>
    <col min="12049" max="12049" width="13.5" style="16" customWidth="1"/>
    <col min="12050" max="12288" width="9" style="16"/>
    <col min="12289" max="12289" width="7.5" style="16" customWidth="1"/>
    <col min="12290" max="12290" width="10.875" style="16" customWidth="1"/>
    <col min="12291" max="12291" width="3.75" style="16" customWidth="1"/>
    <col min="12292" max="12292" width="6.5" style="16" customWidth="1"/>
    <col min="12293" max="12293" width="13.5" style="16" customWidth="1"/>
    <col min="12294" max="12294" width="10.25" style="16" customWidth="1"/>
    <col min="12295" max="12295" width="4.125" style="16" customWidth="1"/>
    <col min="12296" max="12296" width="6.5" style="16" customWidth="1"/>
    <col min="12297" max="12297" width="13.5" style="16" customWidth="1"/>
    <col min="12298" max="12298" width="10.625" style="16" customWidth="1"/>
    <col min="12299" max="12299" width="3.75" style="16" customWidth="1"/>
    <col min="12300" max="12300" width="6.5" style="16" customWidth="1"/>
    <col min="12301" max="12301" width="13.5" style="16" customWidth="1"/>
    <col min="12302" max="12302" width="11.25" style="16" customWidth="1"/>
    <col min="12303" max="12303" width="3.75" style="16" customWidth="1"/>
    <col min="12304" max="12304" width="6.5" style="16" customWidth="1"/>
    <col min="12305" max="12305" width="13.5" style="16" customWidth="1"/>
    <col min="12306" max="12544" width="9" style="16"/>
    <col min="12545" max="12545" width="7.5" style="16" customWidth="1"/>
    <col min="12546" max="12546" width="10.875" style="16" customWidth="1"/>
    <col min="12547" max="12547" width="3.75" style="16" customWidth="1"/>
    <col min="12548" max="12548" width="6.5" style="16" customWidth="1"/>
    <col min="12549" max="12549" width="13.5" style="16" customWidth="1"/>
    <col min="12550" max="12550" width="10.25" style="16" customWidth="1"/>
    <col min="12551" max="12551" width="4.125" style="16" customWidth="1"/>
    <col min="12552" max="12552" width="6.5" style="16" customWidth="1"/>
    <col min="12553" max="12553" width="13.5" style="16" customWidth="1"/>
    <col min="12554" max="12554" width="10.625" style="16" customWidth="1"/>
    <col min="12555" max="12555" width="3.75" style="16" customWidth="1"/>
    <col min="12556" max="12556" width="6.5" style="16" customWidth="1"/>
    <col min="12557" max="12557" width="13.5" style="16" customWidth="1"/>
    <col min="12558" max="12558" width="11.25" style="16" customWidth="1"/>
    <col min="12559" max="12559" width="3.75" style="16" customWidth="1"/>
    <col min="12560" max="12560" width="6.5" style="16" customWidth="1"/>
    <col min="12561" max="12561" width="13.5" style="16" customWidth="1"/>
    <col min="12562" max="12800" width="9" style="16"/>
    <col min="12801" max="12801" width="7.5" style="16" customWidth="1"/>
    <col min="12802" max="12802" width="10.875" style="16" customWidth="1"/>
    <col min="12803" max="12803" width="3.75" style="16" customWidth="1"/>
    <col min="12804" max="12804" width="6.5" style="16" customWidth="1"/>
    <col min="12805" max="12805" width="13.5" style="16" customWidth="1"/>
    <col min="12806" max="12806" width="10.25" style="16" customWidth="1"/>
    <col min="12807" max="12807" width="4.125" style="16" customWidth="1"/>
    <col min="12808" max="12808" width="6.5" style="16" customWidth="1"/>
    <col min="12809" max="12809" width="13.5" style="16" customWidth="1"/>
    <col min="12810" max="12810" width="10.625" style="16" customWidth="1"/>
    <col min="12811" max="12811" width="3.75" style="16" customWidth="1"/>
    <col min="12812" max="12812" width="6.5" style="16" customWidth="1"/>
    <col min="12813" max="12813" width="13.5" style="16" customWidth="1"/>
    <col min="12814" max="12814" width="11.25" style="16" customWidth="1"/>
    <col min="12815" max="12815" width="3.75" style="16" customWidth="1"/>
    <col min="12816" max="12816" width="6.5" style="16" customWidth="1"/>
    <col min="12817" max="12817" width="13.5" style="16" customWidth="1"/>
    <col min="12818" max="13056" width="9" style="16"/>
    <col min="13057" max="13057" width="7.5" style="16" customWidth="1"/>
    <col min="13058" max="13058" width="10.875" style="16" customWidth="1"/>
    <col min="13059" max="13059" width="3.75" style="16" customWidth="1"/>
    <col min="13060" max="13060" width="6.5" style="16" customWidth="1"/>
    <col min="13061" max="13061" width="13.5" style="16" customWidth="1"/>
    <col min="13062" max="13062" width="10.25" style="16" customWidth="1"/>
    <col min="13063" max="13063" width="4.125" style="16" customWidth="1"/>
    <col min="13064" max="13064" width="6.5" style="16" customWidth="1"/>
    <col min="13065" max="13065" width="13.5" style="16" customWidth="1"/>
    <col min="13066" max="13066" width="10.625" style="16" customWidth="1"/>
    <col min="13067" max="13067" width="3.75" style="16" customWidth="1"/>
    <col min="13068" max="13068" width="6.5" style="16" customWidth="1"/>
    <col min="13069" max="13069" width="13.5" style="16" customWidth="1"/>
    <col min="13070" max="13070" width="11.25" style="16" customWidth="1"/>
    <col min="13071" max="13071" width="3.75" style="16" customWidth="1"/>
    <col min="13072" max="13072" width="6.5" style="16" customWidth="1"/>
    <col min="13073" max="13073" width="13.5" style="16" customWidth="1"/>
    <col min="13074" max="13312" width="9" style="16"/>
    <col min="13313" max="13313" width="7.5" style="16" customWidth="1"/>
    <col min="13314" max="13314" width="10.875" style="16" customWidth="1"/>
    <col min="13315" max="13315" width="3.75" style="16" customWidth="1"/>
    <col min="13316" max="13316" width="6.5" style="16" customWidth="1"/>
    <col min="13317" max="13317" width="13.5" style="16" customWidth="1"/>
    <col min="13318" max="13318" width="10.25" style="16" customWidth="1"/>
    <col min="13319" max="13319" width="4.125" style="16" customWidth="1"/>
    <col min="13320" max="13320" width="6.5" style="16" customWidth="1"/>
    <col min="13321" max="13321" width="13.5" style="16" customWidth="1"/>
    <col min="13322" max="13322" width="10.625" style="16" customWidth="1"/>
    <col min="13323" max="13323" width="3.75" style="16" customWidth="1"/>
    <col min="13324" max="13324" width="6.5" style="16" customWidth="1"/>
    <col min="13325" max="13325" width="13.5" style="16" customWidth="1"/>
    <col min="13326" max="13326" width="11.25" style="16" customWidth="1"/>
    <col min="13327" max="13327" width="3.75" style="16" customWidth="1"/>
    <col min="13328" max="13328" width="6.5" style="16" customWidth="1"/>
    <col min="13329" max="13329" width="13.5" style="16" customWidth="1"/>
    <col min="13330" max="13568" width="9" style="16"/>
    <col min="13569" max="13569" width="7.5" style="16" customWidth="1"/>
    <col min="13570" max="13570" width="10.875" style="16" customWidth="1"/>
    <col min="13571" max="13571" width="3.75" style="16" customWidth="1"/>
    <col min="13572" max="13572" width="6.5" style="16" customWidth="1"/>
    <col min="13573" max="13573" width="13.5" style="16" customWidth="1"/>
    <col min="13574" max="13574" width="10.25" style="16" customWidth="1"/>
    <col min="13575" max="13575" width="4.125" style="16" customWidth="1"/>
    <col min="13576" max="13576" width="6.5" style="16" customWidth="1"/>
    <col min="13577" max="13577" width="13.5" style="16" customWidth="1"/>
    <col min="13578" max="13578" width="10.625" style="16" customWidth="1"/>
    <col min="13579" max="13579" width="3.75" style="16" customWidth="1"/>
    <col min="13580" max="13580" width="6.5" style="16" customWidth="1"/>
    <col min="13581" max="13581" width="13.5" style="16" customWidth="1"/>
    <col min="13582" max="13582" width="11.25" style="16" customWidth="1"/>
    <col min="13583" max="13583" width="3.75" style="16" customWidth="1"/>
    <col min="13584" max="13584" width="6.5" style="16" customWidth="1"/>
    <col min="13585" max="13585" width="13.5" style="16" customWidth="1"/>
    <col min="13586" max="13824" width="9" style="16"/>
    <col min="13825" max="13825" width="7.5" style="16" customWidth="1"/>
    <col min="13826" max="13826" width="10.875" style="16" customWidth="1"/>
    <col min="13827" max="13827" width="3.75" style="16" customWidth="1"/>
    <col min="13828" max="13828" width="6.5" style="16" customWidth="1"/>
    <col min="13829" max="13829" width="13.5" style="16" customWidth="1"/>
    <col min="13830" max="13830" width="10.25" style="16" customWidth="1"/>
    <col min="13831" max="13831" width="4.125" style="16" customWidth="1"/>
    <col min="13832" max="13832" width="6.5" style="16" customWidth="1"/>
    <col min="13833" max="13833" width="13.5" style="16" customWidth="1"/>
    <col min="13834" max="13834" width="10.625" style="16" customWidth="1"/>
    <col min="13835" max="13835" width="3.75" style="16" customWidth="1"/>
    <col min="13836" max="13836" width="6.5" style="16" customWidth="1"/>
    <col min="13837" max="13837" width="13.5" style="16" customWidth="1"/>
    <col min="13838" max="13838" width="11.25" style="16" customWidth="1"/>
    <col min="13839" max="13839" width="3.75" style="16" customWidth="1"/>
    <col min="13840" max="13840" width="6.5" style="16" customWidth="1"/>
    <col min="13841" max="13841" width="13.5" style="16" customWidth="1"/>
    <col min="13842" max="14080" width="9" style="16"/>
    <col min="14081" max="14081" width="7.5" style="16" customWidth="1"/>
    <col min="14082" max="14082" width="10.875" style="16" customWidth="1"/>
    <col min="14083" max="14083" width="3.75" style="16" customWidth="1"/>
    <col min="14084" max="14084" width="6.5" style="16" customWidth="1"/>
    <col min="14085" max="14085" width="13.5" style="16" customWidth="1"/>
    <col min="14086" max="14086" width="10.25" style="16" customWidth="1"/>
    <col min="14087" max="14087" width="4.125" style="16" customWidth="1"/>
    <col min="14088" max="14088" width="6.5" style="16" customWidth="1"/>
    <col min="14089" max="14089" width="13.5" style="16" customWidth="1"/>
    <col min="14090" max="14090" width="10.625" style="16" customWidth="1"/>
    <col min="14091" max="14091" width="3.75" style="16" customWidth="1"/>
    <col min="14092" max="14092" width="6.5" style="16" customWidth="1"/>
    <col min="14093" max="14093" width="13.5" style="16" customWidth="1"/>
    <col min="14094" max="14094" width="11.25" style="16" customWidth="1"/>
    <col min="14095" max="14095" width="3.75" style="16" customWidth="1"/>
    <col min="14096" max="14096" width="6.5" style="16" customWidth="1"/>
    <col min="14097" max="14097" width="13.5" style="16" customWidth="1"/>
    <col min="14098" max="14336" width="9" style="16"/>
    <col min="14337" max="14337" width="7.5" style="16" customWidth="1"/>
    <col min="14338" max="14338" width="10.875" style="16" customWidth="1"/>
    <col min="14339" max="14339" width="3.75" style="16" customWidth="1"/>
    <col min="14340" max="14340" width="6.5" style="16" customWidth="1"/>
    <col min="14341" max="14341" width="13.5" style="16" customWidth="1"/>
    <col min="14342" max="14342" width="10.25" style="16" customWidth="1"/>
    <col min="14343" max="14343" width="4.125" style="16" customWidth="1"/>
    <col min="14344" max="14344" width="6.5" style="16" customWidth="1"/>
    <col min="14345" max="14345" width="13.5" style="16" customWidth="1"/>
    <col min="14346" max="14346" width="10.625" style="16" customWidth="1"/>
    <col min="14347" max="14347" width="3.75" style="16" customWidth="1"/>
    <col min="14348" max="14348" width="6.5" style="16" customWidth="1"/>
    <col min="14349" max="14349" width="13.5" style="16" customWidth="1"/>
    <col min="14350" max="14350" width="11.25" style="16" customWidth="1"/>
    <col min="14351" max="14351" width="3.75" style="16" customWidth="1"/>
    <col min="14352" max="14352" width="6.5" style="16" customWidth="1"/>
    <col min="14353" max="14353" width="13.5" style="16" customWidth="1"/>
    <col min="14354" max="14592" width="9" style="16"/>
    <col min="14593" max="14593" width="7.5" style="16" customWidth="1"/>
    <col min="14594" max="14594" width="10.875" style="16" customWidth="1"/>
    <col min="14595" max="14595" width="3.75" style="16" customWidth="1"/>
    <col min="14596" max="14596" width="6.5" style="16" customWidth="1"/>
    <col min="14597" max="14597" width="13.5" style="16" customWidth="1"/>
    <col min="14598" max="14598" width="10.25" style="16" customWidth="1"/>
    <col min="14599" max="14599" width="4.125" style="16" customWidth="1"/>
    <col min="14600" max="14600" width="6.5" style="16" customWidth="1"/>
    <col min="14601" max="14601" width="13.5" style="16" customWidth="1"/>
    <col min="14602" max="14602" width="10.625" style="16" customWidth="1"/>
    <col min="14603" max="14603" width="3.75" style="16" customWidth="1"/>
    <col min="14604" max="14604" width="6.5" style="16" customWidth="1"/>
    <col min="14605" max="14605" width="13.5" style="16" customWidth="1"/>
    <col min="14606" max="14606" width="11.25" style="16" customWidth="1"/>
    <col min="14607" max="14607" width="3.75" style="16" customWidth="1"/>
    <col min="14608" max="14608" width="6.5" style="16" customWidth="1"/>
    <col min="14609" max="14609" width="13.5" style="16" customWidth="1"/>
    <col min="14610" max="14848" width="9" style="16"/>
    <col min="14849" max="14849" width="7.5" style="16" customWidth="1"/>
    <col min="14850" max="14850" width="10.875" style="16" customWidth="1"/>
    <col min="14851" max="14851" width="3.75" style="16" customWidth="1"/>
    <col min="14852" max="14852" width="6.5" style="16" customWidth="1"/>
    <col min="14853" max="14853" width="13.5" style="16" customWidth="1"/>
    <col min="14854" max="14854" width="10.25" style="16" customWidth="1"/>
    <col min="14855" max="14855" width="4.125" style="16" customWidth="1"/>
    <col min="14856" max="14856" width="6.5" style="16" customWidth="1"/>
    <col min="14857" max="14857" width="13.5" style="16" customWidth="1"/>
    <col min="14858" max="14858" width="10.625" style="16" customWidth="1"/>
    <col min="14859" max="14859" width="3.75" style="16" customWidth="1"/>
    <col min="14860" max="14860" width="6.5" style="16" customWidth="1"/>
    <col min="14861" max="14861" width="13.5" style="16" customWidth="1"/>
    <col min="14862" max="14862" width="11.25" style="16" customWidth="1"/>
    <col min="14863" max="14863" width="3.75" style="16" customWidth="1"/>
    <col min="14864" max="14864" width="6.5" style="16" customWidth="1"/>
    <col min="14865" max="14865" width="13.5" style="16" customWidth="1"/>
    <col min="14866" max="15104" width="9" style="16"/>
    <col min="15105" max="15105" width="7.5" style="16" customWidth="1"/>
    <col min="15106" max="15106" width="10.875" style="16" customWidth="1"/>
    <col min="15107" max="15107" width="3.75" style="16" customWidth="1"/>
    <col min="15108" max="15108" width="6.5" style="16" customWidth="1"/>
    <col min="15109" max="15109" width="13.5" style="16" customWidth="1"/>
    <col min="15110" max="15110" width="10.25" style="16" customWidth="1"/>
    <col min="15111" max="15111" width="4.125" style="16" customWidth="1"/>
    <col min="15112" max="15112" width="6.5" style="16" customWidth="1"/>
    <col min="15113" max="15113" width="13.5" style="16" customWidth="1"/>
    <col min="15114" max="15114" width="10.625" style="16" customWidth="1"/>
    <col min="15115" max="15115" width="3.75" style="16" customWidth="1"/>
    <col min="15116" max="15116" width="6.5" style="16" customWidth="1"/>
    <col min="15117" max="15117" width="13.5" style="16" customWidth="1"/>
    <col min="15118" max="15118" width="11.25" style="16" customWidth="1"/>
    <col min="15119" max="15119" width="3.75" style="16" customWidth="1"/>
    <col min="15120" max="15120" width="6.5" style="16" customWidth="1"/>
    <col min="15121" max="15121" width="13.5" style="16" customWidth="1"/>
    <col min="15122" max="15360" width="9" style="16"/>
    <col min="15361" max="15361" width="7.5" style="16" customWidth="1"/>
    <col min="15362" max="15362" width="10.875" style="16" customWidth="1"/>
    <col min="15363" max="15363" width="3.75" style="16" customWidth="1"/>
    <col min="15364" max="15364" width="6.5" style="16" customWidth="1"/>
    <col min="15365" max="15365" width="13.5" style="16" customWidth="1"/>
    <col min="15366" max="15366" width="10.25" style="16" customWidth="1"/>
    <col min="15367" max="15367" width="4.125" style="16" customWidth="1"/>
    <col min="15368" max="15368" width="6.5" style="16" customWidth="1"/>
    <col min="15369" max="15369" width="13.5" style="16" customWidth="1"/>
    <col min="15370" max="15370" width="10.625" style="16" customWidth="1"/>
    <col min="15371" max="15371" width="3.75" style="16" customWidth="1"/>
    <col min="15372" max="15372" width="6.5" style="16" customWidth="1"/>
    <col min="15373" max="15373" width="13.5" style="16" customWidth="1"/>
    <col min="15374" max="15374" width="11.25" style="16" customWidth="1"/>
    <col min="15375" max="15375" width="3.75" style="16" customWidth="1"/>
    <col min="15376" max="15376" width="6.5" style="16" customWidth="1"/>
    <col min="15377" max="15377" width="13.5" style="16" customWidth="1"/>
    <col min="15378" max="15616" width="9" style="16"/>
    <col min="15617" max="15617" width="7.5" style="16" customWidth="1"/>
    <col min="15618" max="15618" width="10.875" style="16" customWidth="1"/>
    <col min="15619" max="15619" width="3.75" style="16" customWidth="1"/>
    <col min="15620" max="15620" width="6.5" style="16" customWidth="1"/>
    <col min="15621" max="15621" width="13.5" style="16" customWidth="1"/>
    <col min="15622" max="15622" width="10.25" style="16" customWidth="1"/>
    <col min="15623" max="15623" width="4.125" style="16" customWidth="1"/>
    <col min="15624" max="15624" width="6.5" style="16" customWidth="1"/>
    <col min="15625" max="15625" width="13.5" style="16" customWidth="1"/>
    <col min="15626" max="15626" width="10.625" style="16" customWidth="1"/>
    <col min="15627" max="15627" width="3.75" style="16" customWidth="1"/>
    <col min="15628" max="15628" width="6.5" style="16" customWidth="1"/>
    <col min="15629" max="15629" width="13.5" style="16" customWidth="1"/>
    <col min="15630" max="15630" width="11.25" style="16" customWidth="1"/>
    <col min="15631" max="15631" width="3.75" style="16" customWidth="1"/>
    <col min="15632" max="15632" width="6.5" style="16" customWidth="1"/>
    <col min="15633" max="15633" width="13.5" style="16" customWidth="1"/>
    <col min="15634" max="15872" width="9" style="16"/>
    <col min="15873" max="15873" width="7.5" style="16" customWidth="1"/>
    <col min="15874" max="15874" width="10.875" style="16" customWidth="1"/>
    <col min="15875" max="15875" width="3.75" style="16" customWidth="1"/>
    <col min="15876" max="15876" width="6.5" style="16" customWidth="1"/>
    <col min="15877" max="15877" width="13.5" style="16" customWidth="1"/>
    <col min="15878" max="15878" width="10.25" style="16" customWidth="1"/>
    <col min="15879" max="15879" width="4.125" style="16" customWidth="1"/>
    <col min="15880" max="15880" width="6.5" style="16" customWidth="1"/>
    <col min="15881" max="15881" width="13.5" style="16" customWidth="1"/>
    <col min="15882" max="15882" width="10.625" style="16" customWidth="1"/>
    <col min="15883" max="15883" width="3.75" style="16" customWidth="1"/>
    <col min="15884" max="15884" width="6.5" style="16" customWidth="1"/>
    <col min="15885" max="15885" width="13.5" style="16" customWidth="1"/>
    <col min="15886" max="15886" width="11.25" style="16" customWidth="1"/>
    <col min="15887" max="15887" width="3.75" style="16" customWidth="1"/>
    <col min="15888" max="15888" width="6.5" style="16" customWidth="1"/>
    <col min="15889" max="15889" width="13.5" style="16" customWidth="1"/>
    <col min="15890" max="16128" width="9" style="16"/>
    <col min="16129" max="16129" width="7.5" style="16" customWidth="1"/>
    <col min="16130" max="16130" width="10.875" style="16" customWidth="1"/>
    <col min="16131" max="16131" width="3.75" style="16" customWidth="1"/>
    <col min="16132" max="16132" width="6.5" style="16" customWidth="1"/>
    <col min="16133" max="16133" width="13.5" style="16" customWidth="1"/>
    <col min="16134" max="16134" width="10.25" style="16" customWidth="1"/>
    <col min="16135" max="16135" width="4.125" style="16" customWidth="1"/>
    <col min="16136" max="16136" width="6.5" style="16" customWidth="1"/>
    <col min="16137" max="16137" width="13.5" style="16" customWidth="1"/>
    <col min="16138" max="16138" width="10.625" style="16" customWidth="1"/>
    <col min="16139" max="16139" width="3.75" style="16" customWidth="1"/>
    <col min="16140" max="16140" width="6.5" style="16" customWidth="1"/>
    <col min="16141" max="16141" width="13.5" style="16" customWidth="1"/>
    <col min="16142" max="16142" width="11.25" style="16" customWidth="1"/>
    <col min="16143" max="16143" width="3.75" style="16" customWidth="1"/>
    <col min="16144" max="16144" width="6.5" style="16" customWidth="1"/>
    <col min="16145" max="16145" width="13.5" style="16" customWidth="1"/>
    <col min="16146" max="16384" width="9" style="16"/>
  </cols>
  <sheetData>
    <row r="1" spans="1:17" s="219" customFormat="1" ht="19.5" thickBot="1">
      <c r="A1" s="217" t="s">
        <v>682</v>
      </c>
      <c r="B1" s="217"/>
      <c r="C1" s="218" t="s">
        <v>136</v>
      </c>
      <c r="J1" s="220"/>
      <c r="K1" s="220"/>
      <c r="L1" s="220"/>
      <c r="M1" s="220"/>
      <c r="N1" s="220"/>
      <c r="O1" s="220"/>
      <c r="P1" s="220"/>
      <c r="Q1" s="220"/>
    </row>
    <row r="2" spans="1:17" ht="18.75" thickTop="1" thickBot="1">
      <c r="A2" s="2422" t="s">
        <v>137</v>
      </c>
      <c r="B2" s="2425" t="s">
        <v>2</v>
      </c>
      <c r="C2" s="2426"/>
      <c r="D2" s="2426"/>
      <c r="E2" s="2426"/>
      <c r="F2" s="2426"/>
      <c r="G2" s="2426"/>
      <c r="H2" s="2426"/>
      <c r="I2" s="2427"/>
      <c r="J2" s="2425" t="s">
        <v>3</v>
      </c>
      <c r="K2" s="2426"/>
      <c r="L2" s="2426"/>
      <c r="M2" s="2426"/>
      <c r="N2" s="2426"/>
      <c r="O2" s="2426"/>
      <c r="P2" s="2426"/>
      <c r="Q2" s="2427"/>
    </row>
    <row r="3" spans="1:17" ht="14.25" thickTop="1">
      <c r="A3" s="2423"/>
      <c r="B3" s="2428" t="s">
        <v>81</v>
      </c>
      <c r="C3" s="2429"/>
      <c r="D3" s="2429"/>
      <c r="E3" s="2430"/>
      <c r="F3" s="2431" t="s">
        <v>138</v>
      </c>
      <c r="G3" s="2431"/>
      <c r="H3" s="2431"/>
      <c r="I3" s="2432"/>
      <c r="J3" s="2428" t="s">
        <v>81</v>
      </c>
      <c r="K3" s="2429"/>
      <c r="L3" s="2429"/>
      <c r="M3" s="2430"/>
      <c r="N3" s="2429" t="s">
        <v>138</v>
      </c>
      <c r="O3" s="2429"/>
      <c r="P3" s="2429"/>
      <c r="Q3" s="2433"/>
    </row>
    <row r="4" spans="1:17" s="230" customFormat="1" ht="14.25" thickBot="1">
      <c r="A4" s="2424"/>
      <c r="B4" s="221" t="s">
        <v>139</v>
      </c>
      <c r="C4" s="222"/>
      <c r="D4" s="223" t="s">
        <v>82</v>
      </c>
      <c r="E4" s="224" t="s">
        <v>78</v>
      </c>
      <c r="F4" s="225" t="s">
        <v>140</v>
      </c>
      <c r="G4" s="222"/>
      <c r="H4" s="223" t="s">
        <v>82</v>
      </c>
      <c r="I4" s="226" t="s">
        <v>78</v>
      </c>
      <c r="J4" s="227" t="s">
        <v>139</v>
      </c>
      <c r="K4" s="223"/>
      <c r="L4" s="223" t="s">
        <v>82</v>
      </c>
      <c r="M4" s="228" t="s">
        <v>78</v>
      </c>
      <c r="N4" s="222" t="s">
        <v>140</v>
      </c>
      <c r="O4" s="223"/>
      <c r="P4" s="223" t="s">
        <v>82</v>
      </c>
      <c r="Q4" s="229" t="s">
        <v>78</v>
      </c>
    </row>
    <row r="5" spans="1:17" ht="15" customHeight="1" thickTop="1">
      <c r="A5" s="231" t="s">
        <v>79</v>
      </c>
      <c r="B5" s="232"/>
      <c r="C5" s="15"/>
      <c r="D5" s="233">
        <f>SUM(D6:D13)</f>
        <v>55.980000000000004</v>
      </c>
      <c r="E5" s="234">
        <f>ROUNDDOWN(B13*D5/1000,0)</f>
        <v>893440</v>
      </c>
      <c r="F5" s="235">
        <f>'R8短期'!AF7</f>
        <v>3400000</v>
      </c>
      <c r="G5" s="236"/>
      <c r="H5" s="233">
        <f>SUM(H6:H13)</f>
        <v>55.980000000000004</v>
      </c>
      <c r="I5" s="234">
        <f>ROUNDDOWN(F13*H5/1000,0)</f>
        <v>320765</v>
      </c>
      <c r="J5" s="237"/>
      <c r="K5" s="238"/>
      <c r="L5" s="233">
        <f>SUM(L6:L13)</f>
        <v>55.010000000000005</v>
      </c>
      <c r="M5" s="239">
        <f>SUM(M6:M13)</f>
        <v>877958.81386209372</v>
      </c>
      <c r="N5" s="240">
        <f>F5</f>
        <v>3400000</v>
      </c>
      <c r="O5" s="238"/>
      <c r="P5" s="233">
        <f>SUM(P6:P13)</f>
        <v>55.010000000000005</v>
      </c>
      <c r="Q5" s="241">
        <f>SUM(Q6:Q13)</f>
        <v>315206.90693104686</v>
      </c>
    </row>
    <row r="6" spans="1:17" ht="15" customHeight="1">
      <c r="A6" s="231"/>
      <c r="B6" s="232"/>
      <c r="C6" s="242" t="s">
        <v>141</v>
      </c>
      <c r="D6" s="1393">
        <v>49.74</v>
      </c>
      <c r="E6" s="234">
        <f>E5*D6/D5</f>
        <v>793849.68917470518</v>
      </c>
      <c r="F6" s="235">
        <f>'R8短期'!AF13</f>
        <v>2330000</v>
      </c>
      <c r="G6" s="242" t="s">
        <v>141</v>
      </c>
      <c r="H6" s="243">
        <f>D6</f>
        <v>49.74</v>
      </c>
      <c r="I6" s="234">
        <f>I5*H6/H5</f>
        <v>285009.84458735265</v>
      </c>
      <c r="J6" s="237"/>
      <c r="K6" s="242" t="s">
        <v>141</v>
      </c>
      <c r="L6" s="244">
        <f>D6</f>
        <v>49.74</v>
      </c>
      <c r="M6" s="245">
        <f>E6</f>
        <v>793849.68917470518</v>
      </c>
      <c r="N6" s="240">
        <f>F6</f>
        <v>2330000</v>
      </c>
      <c r="O6" s="242" t="s">
        <v>141</v>
      </c>
      <c r="P6" s="244">
        <f>L6</f>
        <v>49.74</v>
      </c>
      <c r="Q6" s="241">
        <f>I6</f>
        <v>285009.84458735265</v>
      </c>
    </row>
    <row r="7" spans="1:17" ht="15" customHeight="1">
      <c r="A7" s="231"/>
      <c r="B7" s="232"/>
      <c r="C7" s="242" t="s">
        <v>142</v>
      </c>
      <c r="D7" s="1391">
        <v>2.52</v>
      </c>
      <c r="E7" s="234">
        <f>E5*D7/D5</f>
        <v>40219.163987138258</v>
      </c>
      <c r="F7" s="235">
        <f>'R8短期'!AF16</f>
        <v>0</v>
      </c>
      <c r="G7" s="242" t="s">
        <v>142</v>
      </c>
      <c r="H7" s="243">
        <f t="shared" ref="H7:H12" si="0">D7</f>
        <v>2.52</v>
      </c>
      <c r="I7" s="234">
        <f>I5*H7/H5</f>
        <v>14439.581993569132</v>
      </c>
      <c r="J7" s="237"/>
      <c r="K7" s="242" t="s">
        <v>142</v>
      </c>
      <c r="L7" s="1835">
        <f t="shared" ref="L7:L13" si="1">D7</f>
        <v>2.52</v>
      </c>
      <c r="M7" s="245">
        <f>E7</f>
        <v>40219.163987138258</v>
      </c>
      <c r="N7" s="240">
        <f>F7</f>
        <v>0</v>
      </c>
      <c r="O7" s="242" t="s">
        <v>142</v>
      </c>
      <c r="P7" s="244">
        <f t="shared" ref="P7:P13" si="2">L7</f>
        <v>2.52</v>
      </c>
      <c r="Q7" s="241">
        <f>I7</f>
        <v>14439.581993569132</v>
      </c>
    </row>
    <row r="8" spans="1:17" ht="15" customHeight="1">
      <c r="A8" s="231"/>
      <c r="B8" s="232"/>
      <c r="C8" s="242" t="s">
        <v>83</v>
      </c>
      <c r="D8" s="1391">
        <v>0.87</v>
      </c>
      <c r="E8" s="234">
        <f>E5*D8/D5</f>
        <v>13885.18756698821</v>
      </c>
      <c r="F8" s="235"/>
      <c r="G8" s="242" t="s">
        <v>83</v>
      </c>
      <c r="H8" s="243">
        <f t="shared" si="0"/>
        <v>0.87</v>
      </c>
      <c r="I8" s="234">
        <f>I5*H8/H5</f>
        <v>4985.0937834941042</v>
      </c>
      <c r="J8" s="237"/>
      <c r="K8" s="242" t="s">
        <v>83</v>
      </c>
      <c r="L8" s="244"/>
      <c r="M8" s="245"/>
      <c r="N8" s="240"/>
      <c r="O8" s="242" t="s">
        <v>83</v>
      </c>
      <c r="P8" s="244"/>
      <c r="Q8" s="241"/>
    </row>
    <row r="9" spans="1:17" ht="15" customHeight="1">
      <c r="A9" s="231"/>
      <c r="B9" s="232"/>
      <c r="C9" s="242" t="s">
        <v>143</v>
      </c>
      <c r="D9" s="1387">
        <v>0.55000000000000004</v>
      </c>
      <c r="E9" s="234">
        <f>E5*D9/D5</f>
        <v>8777.9921400500189</v>
      </c>
      <c r="F9" s="235"/>
      <c r="G9" s="242" t="s">
        <v>143</v>
      </c>
      <c r="H9" s="243">
        <f t="shared" si="0"/>
        <v>0.55000000000000004</v>
      </c>
      <c r="I9" s="234">
        <f>I5*H9/H5</f>
        <v>3151.4960700250085</v>
      </c>
      <c r="J9" s="237"/>
      <c r="K9" s="242" t="s">
        <v>143</v>
      </c>
      <c r="L9" s="244">
        <f t="shared" si="1"/>
        <v>0.55000000000000004</v>
      </c>
      <c r="M9" s="245">
        <f>E9</f>
        <v>8777.9921400500189</v>
      </c>
      <c r="N9" s="240"/>
      <c r="O9" s="242" t="s">
        <v>143</v>
      </c>
      <c r="P9" s="244">
        <f t="shared" si="2"/>
        <v>0.55000000000000004</v>
      </c>
      <c r="Q9" s="241">
        <f>I9</f>
        <v>3151.4960700250085</v>
      </c>
    </row>
    <row r="10" spans="1:17" ht="15" customHeight="1">
      <c r="A10" s="231"/>
      <c r="B10" s="232"/>
      <c r="C10" s="242" t="s">
        <v>144</v>
      </c>
      <c r="D10" s="1388">
        <v>0.1</v>
      </c>
      <c r="E10" s="234">
        <f>E5*D10/D5</f>
        <v>1595.9985709181849</v>
      </c>
      <c r="F10" s="235"/>
      <c r="G10" s="242" t="s">
        <v>144</v>
      </c>
      <c r="H10" s="246">
        <f t="shared" si="0"/>
        <v>0.1</v>
      </c>
      <c r="I10" s="234">
        <f>I5*H10/H5</f>
        <v>572.99928545909245</v>
      </c>
      <c r="J10" s="237"/>
      <c r="K10" s="242" t="s">
        <v>144</v>
      </c>
      <c r="L10" s="244"/>
      <c r="M10" s="245"/>
      <c r="N10" s="240"/>
      <c r="O10" s="242" t="s">
        <v>144</v>
      </c>
      <c r="P10" s="244"/>
      <c r="Q10" s="241"/>
    </row>
    <row r="11" spans="1:17" ht="15" customHeight="1">
      <c r="A11" s="231"/>
      <c r="B11" s="232"/>
      <c r="C11" s="247" t="s">
        <v>145</v>
      </c>
      <c r="D11" s="1388">
        <v>0.1</v>
      </c>
      <c r="E11" s="245">
        <f>E5*D11/D5</f>
        <v>1595.9985709181849</v>
      </c>
      <c r="F11" s="248" t="s">
        <v>438</v>
      </c>
      <c r="G11" s="247" t="s">
        <v>145</v>
      </c>
      <c r="H11" s="246">
        <f t="shared" si="0"/>
        <v>0.1</v>
      </c>
      <c r="I11" s="245">
        <f>I5*H11/H5</f>
        <v>572.99928545909245</v>
      </c>
      <c r="J11" s="237"/>
      <c r="K11" s="247" t="s">
        <v>145</v>
      </c>
      <c r="L11" s="249">
        <f t="shared" si="1"/>
        <v>0.1</v>
      </c>
      <c r="M11" s="245">
        <f>E11</f>
        <v>1595.9985709181849</v>
      </c>
      <c r="N11" s="240"/>
      <c r="O11" s="247" t="s">
        <v>145</v>
      </c>
      <c r="P11" s="249">
        <f t="shared" si="2"/>
        <v>0.1</v>
      </c>
      <c r="Q11" s="241">
        <f>I11</f>
        <v>572.99928545909245</v>
      </c>
    </row>
    <row r="12" spans="1:17" ht="15" customHeight="1">
      <c r="A12" s="231"/>
      <c r="B12" s="232"/>
      <c r="C12" s="242" t="s">
        <v>147</v>
      </c>
      <c r="D12" s="1392">
        <v>2.0880000000000001</v>
      </c>
      <c r="E12" s="245">
        <f>E5*D12/D5</f>
        <v>33324.450160771703</v>
      </c>
      <c r="F12" s="248"/>
      <c r="G12" s="242" t="s">
        <v>147</v>
      </c>
      <c r="H12" s="250">
        <f t="shared" si="0"/>
        <v>2.0880000000000001</v>
      </c>
      <c r="I12" s="245">
        <f>I5*H12/H5</f>
        <v>11964.225080385853</v>
      </c>
      <c r="J12" s="237"/>
      <c r="K12" s="242" t="s">
        <v>147</v>
      </c>
      <c r="L12" s="251">
        <f t="shared" si="1"/>
        <v>2.0880000000000001</v>
      </c>
      <c r="M12" s="245">
        <f>E12</f>
        <v>33324.450160771703</v>
      </c>
      <c r="N12" s="240"/>
      <c r="O12" s="242" t="s">
        <v>147</v>
      </c>
      <c r="P12" s="251">
        <f t="shared" si="2"/>
        <v>2.0880000000000001</v>
      </c>
      <c r="Q12" s="241">
        <f>I12</f>
        <v>11964.225080385853</v>
      </c>
    </row>
    <row r="13" spans="1:17" ht="15" customHeight="1">
      <c r="A13" s="252"/>
      <c r="B13" s="253">
        <f>'R8短期'!O17</f>
        <v>15960000</v>
      </c>
      <c r="C13" s="254" t="s">
        <v>148</v>
      </c>
      <c r="D13" s="1389">
        <v>1.2E-2</v>
      </c>
      <c r="E13" s="255">
        <f>E5-E6-E7-E8-E9-E10-E11-E12</f>
        <v>191.51982851025969</v>
      </c>
      <c r="F13" s="256">
        <f>SUM(F5:F7)</f>
        <v>5730000</v>
      </c>
      <c r="G13" s="254" t="s">
        <v>148</v>
      </c>
      <c r="H13" s="250">
        <f>D13</f>
        <v>1.2E-2</v>
      </c>
      <c r="I13" s="1962">
        <f>I5-I6-I7-I8-I9-I10-I11-I12</f>
        <v>68.759914255066178</v>
      </c>
      <c r="J13" s="257">
        <f>B13</f>
        <v>15960000</v>
      </c>
      <c r="K13" s="254" t="s">
        <v>148</v>
      </c>
      <c r="L13" s="251">
        <f t="shared" si="1"/>
        <v>1.2E-2</v>
      </c>
      <c r="M13" s="255">
        <f>E13</f>
        <v>191.51982851025969</v>
      </c>
      <c r="N13" s="258">
        <f>F13</f>
        <v>5730000</v>
      </c>
      <c r="O13" s="254" t="s">
        <v>148</v>
      </c>
      <c r="P13" s="251">
        <f t="shared" si="2"/>
        <v>1.2E-2</v>
      </c>
      <c r="Q13" s="259">
        <f>I13</f>
        <v>68.759914255066178</v>
      </c>
    </row>
    <row r="14" spans="1:17" ht="15" customHeight="1">
      <c r="A14" s="231" t="s">
        <v>76</v>
      </c>
      <c r="B14" s="232"/>
      <c r="C14" s="15"/>
      <c r="D14" s="233">
        <f>SUM(D15:D22)</f>
        <v>55.110000000000007</v>
      </c>
      <c r="E14" s="245">
        <f>ROUNDDOWN(B22*D14/1000,0)</f>
        <v>1130857</v>
      </c>
      <c r="F14" s="248">
        <f>'R8短期'!AC7</f>
        <v>4450000</v>
      </c>
      <c r="G14" s="236"/>
      <c r="H14" s="233">
        <f>SUM(H15:H22)</f>
        <v>55.110000000000007</v>
      </c>
      <c r="I14" s="234">
        <f>ROUNDDOWN(F22*H14/1000,0)</f>
        <v>526906</v>
      </c>
      <c r="J14" s="237"/>
      <c r="K14" s="238"/>
      <c r="L14" s="233">
        <f>SUM(L15:L22)</f>
        <v>55.010000000000005</v>
      </c>
      <c r="M14" s="245">
        <f>SUM(M15:M22)</f>
        <v>1128805.0003629103</v>
      </c>
      <c r="N14" s="240">
        <f>F14</f>
        <v>4450000</v>
      </c>
      <c r="O14" s="238"/>
      <c r="P14" s="233">
        <f>SUM(P15:P22)</f>
        <v>55.010000000000005</v>
      </c>
      <c r="Q14" s="241">
        <f>SUM(Q15:Q22)</f>
        <v>525949.90128833242</v>
      </c>
    </row>
    <row r="15" spans="1:17" ht="15" customHeight="1">
      <c r="A15" s="231"/>
      <c r="B15" s="232"/>
      <c r="C15" s="242" t="s">
        <v>141</v>
      </c>
      <c r="D15" s="243">
        <f>D24</f>
        <v>49.74</v>
      </c>
      <c r="E15" s="245">
        <f>E14*D15/D14</f>
        <v>1020664.619488296</v>
      </c>
      <c r="F15" s="248">
        <f>'R8短期'!AC13</f>
        <v>4294000</v>
      </c>
      <c r="G15" s="242" t="s">
        <v>141</v>
      </c>
      <c r="H15" s="243">
        <f>D15</f>
        <v>49.74</v>
      </c>
      <c r="I15" s="1958">
        <f>I14*H15/H14</f>
        <v>475563.49918345123</v>
      </c>
      <c r="J15" s="237"/>
      <c r="K15" s="242" t="s">
        <v>141</v>
      </c>
      <c r="L15" s="244">
        <f>D15</f>
        <v>49.74</v>
      </c>
      <c r="M15" s="245">
        <f>E15</f>
        <v>1020664.619488296</v>
      </c>
      <c r="N15" s="240">
        <f>F15</f>
        <v>4294000</v>
      </c>
      <c r="O15" s="242" t="s">
        <v>141</v>
      </c>
      <c r="P15" s="244">
        <f>L15</f>
        <v>49.74</v>
      </c>
      <c r="Q15" s="241">
        <f>I15</f>
        <v>475563.49918345123</v>
      </c>
    </row>
    <row r="16" spans="1:17" ht="15" customHeight="1">
      <c r="A16" s="231"/>
      <c r="B16" s="232"/>
      <c r="C16" s="242" t="s">
        <v>142</v>
      </c>
      <c r="D16" s="243">
        <f>D25</f>
        <v>2.52</v>
      </c>
      <c r="E16" s="245">
        <f>E14*D16/D14</f>
        <v>51710.390854654324</v>
      </c>
      <c r="F16" s="248">
        <f>'R8短期'!AC16</f>
        <v>817000</v>
      </c>
      <c r="G16" s="242" t="s">
        <v>142</v>
      </c>
      <c r="H16" s="243">
        <f t="shared" ref="H16:H22" si="3">D16</f>
        <v>2.52</v>
      </c>
      <c r="I16" s="234">
        <f>I14*H16/H14</f>
        <v>24093.687534022862</v>
      </c>
      <c r="J16" s="237"/>
      <c r="K16" s="242" t="s">
        <v>142</v>
      </c>
      <c r="L16" s="244">
        <f>D16</f>
        <v>2.52</v>
      </c>
      <c r="M16" s="245">
        <f>E16</f>
        <v>51710.390854654324</v>
      </c>
      <c r="N16" s="240">
        <f>F16</f>
        <v>817000</v>
      </c>
      <c r="O16" s="242" t="s">
        <v>142</v>
      </c>
      <c r="P16" s="244">
        <f>L16</f>
        <v>2.52</v>
      </c>
      <c r="Q16" s="241">
        <f>I16</f>
        <v>24093.687534022862</v>
      </c>
    </row>
    <row r="17" spans="1:17" ht="15" customHeight="1">
      <c r="A17" s="231"/>
      <c r="B17" s="232"/>
      <c r="C17" s="260" t="s">
        <v>83</v>
      </c>
      <c r="D17" s="261"/>
      <c r="E17" s="262"/>
      <c r="F17" s="263"/>
      <c r="G17" s="260" t="s">
        <v>83</v>
      </c>
      <c r="H17" s="261"/>
      <c r="I17" s="264"/>
      <c r="J17" s="237"/>
      <c r="K17" s="242" t="s">
        <v>83</v>
      </c>
      <c r="L17" s="244"/>
      <c r="M17" s="245"/>
      <c r="N17" s="240"/>
      <c r="O17" s="242" t="s">
        <v>83</v>
      </c>
      <c r="P17" s="244"/>
      <c r="Q17" s="241"/>
    </row>
    <row r="18" spans="1:17" ht="15" customHeight="1">
      <c r="A18" s="231"/>
      <c r="B18" s="232"/>
      <c r="C18" s="242" t="s">
        <v>143</v>
      </c>
      <c r="D18" s="243">
        <f>D27</f>
        <v>0.55000000000000004</v>
      </c>
      <c r="E18" s="245">
        <f>E14*D18/D14</f>
        <v>11285.998003992016</v>
      </c>
      <c r="F18" s="248"/>
      <c r="G18" s="242" t="s">
        <v>143</v>
      </c>
      <c r="H18" s="243">
        <f>D18</f>
        <v>0.55000000000000004</v>
      </c>
      <c r="I18" s="234">
        <f>I14*H18/H14</f>
        <v>5258.5429141716568</v>
      </c>
      <c r="J18" s="237"/>
      <c r="K18" s="242" t="s">
        <v>143</v>
      </c>
      <c r="L18" s="244">
        <f>D18</f>
        <v>0.55000000000000004</v>
      </c>
      <c r="M18" s="245">
        <f>E18</f>
        <v>11285.998003992016</v>
      </c>
      <c r="N18" s="240"/>
      <c r="O18" s="242" t="s">
        <v>143</v>
      </c>
      <c r="P18" s="244">
        <f>L18</f>
        <v>0.55000000000000004</v>
      </c>
      <c r="Q18" s="241">
        <f>I18</f>
        <v>5258.5429141716568</v>
      </c>
    </row>
    <row r="19" spans="1:17" ht="15" customHeight="1">
      <c r="A19" s="231"/>
      <c r="B19" s="232"/>
      <c r="C19" s="242" t="s">
        <v>144</v>
      </c>
      <c r="D19" s="246">
        <f>D28</f>
        <v>0.1</v>
      </c>
      <c r="E19" s="245">
        <f>E14*D19/D14</f>
        <v>2051.9996370894573</v>
      </c>
      <c r="F19" s="248"/>
      <c r="G19" s="242" t="s">
        <v>144</v>
      </c>
      <c r="H19" s="246">
        <f t="shared" si="3"/>
        <v>0.1</v>
      </c>
      <c r="I19" s="234">
        <f>I14*H19/H14</f>
        <v>956.09871166757398</v>
      </c>
      <c r="J19" s="237"/>
      <c r="K19" s="242" t="s">
        <v>144</v>
      </c>
      <c r="L19" s="244"/>
      <c r="M19" s="245"/>
      <c r="N19" s="240"/>
      <c r="O19" s="242" t="s">
        <v>144</v>
      </c>
      <c r="P19" s="244"/>
      <c r="Q19" s="241"/>
    </row>
    <row r="20" spans="1:17" ht="15" customHeight="1">
      <c r="A20" s="231"/>
      <c r="B20" s="232"/>
      <c r="C20" s="247" t="s">
        <v>145</v>
      </c>
      <c r="D20" s="246">
        <f>D29</f>
        <v>0.1</v>
      </c>
      <c r="E20" s="245">
        <f>E14*D20/D14</f>
        <v>2051.9996370894573</v>
      </c>
      <c r="F20" s="248" t="s">
        <v>439</v>
      </c>
      <c r="G20" s="247" t="s">
        <v>145</v>
      </c>
      <c r="H20" s="246">
        <f t="shared" si="3"/>
        <v>0.1</v>
      </c>
      <c r="I20" s="245">
        <f>I14*H20/H14</f>
        <v>956.09871166757398</v>
      </c>
      <c r="J20" s="237"/>
      <c r="K20" s="247" t="s">
        <v>145</v>
      </c>
      <c r="L20" s="249">
        <f t="shared" ref="L20:M22" si="4">D20</f>
        <v>0.1</v>
      </c>
      <c r="M20" s="245">
        <f t="shared" si="4"/>
        <v>2051.9996370894573</v>
      </c>
      <c r="N20" s="240"/>
      <c r="O20" s="247" t="s">
        <v>145</v>
      </c>
      <c r="P20" s="249">
        <f>L20</f>
        <v>0.1</v>
      </c>
      <c r="Q20" s="241">
        <f>I20</f>
        <v>956.09871166757398</v>
      </c>
    </row>
    <row r="21" spans="1:17" ht="15" customHeight="1">
      <c r="A21" s="231"/>
      <c r="B21" s="232"/>
      <c r="C21" s="242" t="s">
        <v>147</v>
      </c>
      <c r="D21" s="250">
        <f>D30</f>
        <v>2.0880000000000001</v>
      </c>
      <c r="E21" s="245">
        <f>E14*D21/D14</f>
        <v>42845.752422427868</v>
      </c>
      <c r="F21" s="248"/>
      <c r="G21" s="242" t="s">
        <v>147</v>
      </c>
      <c r="H21" s="250">
        <f t="shared" si="3"/>
        <v>2.0880000000000001</v>
      </c>
      <c r="I21" s="245">
        <f>I14*H21/H14</f>
        <v>19963.341099618945</v>
      </c>
      <c r="J21" s="237"/>
      <c r="K21" s="242" t="s">
        <v>147</v>
      </c>
      <c r="L21" s="251">
        <f t="shared" si="4"/>
        <v>2.0880000000000001</v>
      </c>
      <c r="M21" s="245">
        <f t="shared" si="4"/>
        <v>42845.752422427868</v>
      </c>
      <c r="N21" s="240"/>
      <c r="O21" s="242" t="s">
        <v>147</v>
      </c>
      <c r="P21" s="251">
        <f>L21</f>
        <v>2.0880000000000001</v>
      </c>
      <c r="Q21" s="241">
        <f>I21</f>
        <v>19963.341099618945</v>
      </c>
    </row>
    <row r="22" spans="1:17" ht="15" customHeight="1">
      <c r="A22" s="252"/>
      <c r="B22" s="253">
        <f>'R8短期'!K17</f>
        <v>20520000</v>
      </c>
      <c r="C22" s="254" t="s">
        <v>148</v>
      </c>
      <c r="D22" s="250">
        <f>D31</f>
        <v>1.2E-2</v>
      </c>
      <c r="E22" s="255">
        <f>E14-E15-E16-E17-E18-E19-E20-E21</f>
        <v>246.23995645088871</v>
      </c>
      <c r="F22" s="256">
        <f>SUM(F14:F16)</f>
        <v>9561000</v>
      </c>
      <c r="G22" s="254" t="s">
        <v>148</v>
      </c>
      <c r="H22" s="250">
        <f t="shared" si="3"/>
        <v>1.2E-2</v>
      </c>
      <c r="I22" s="255">
        <f>I14-I15-I16-I17-I18-I19-I20-I21</f>
        <v>114.73184540015427</v>
      </c>
      <c r="J22" s="257">
        <f>B22</f>
        <v>20520000</v>
      </c>
      <c r="K22" s="254" t="s">
        <v>148</v>
      </c>
      <c r="L22" s="251">
        <f t="shared" si="4"/>
        <v>1.2E-2</v>
      </c>
      <c r="M22" s="255">
        <f t="shared" si="4"/>
        <v>246.23995645088871</v>
      </c>
      <c r="N22" s="258">
        <f>F22</f>
        <v>9561000</v>
      </c>
      <c r="O22" s="254" t="s">
        <v>148</v>
      </c>
      <c r="P22" s="251">
        <f>L22</f>
        <v>1.2E-2</v>
      </c>
      <c r="Q22" s="259">
        <f>I22</f>
        <v>114.73184540015427</v>
      </c>
    </row>
    <row r="23" spans="1:17" ht="15" customHeight="1">
      <c r="A23" s="231" t="s">
        <v>74</v>
      </c>
      <c r="B23" s="232"/>
      <c r="C23" s="15"/>
      <c r="D23" s="233">
        <f>SUM(D24:D31)</f>
        <v>55.980000000000004</v>
      </c>
      <c r="E23" s="245">
        <f>ROUNDDOWN(B31*D23/1000,0)</f>
        <v>3056508</v>
      </c>
      <c r="F23" s="248">
        <f>'R8短期'!AD7</f>
        <v>11367000</v>
      </c>
      <c r="G23" s="236"/>
      <c r="H23" s="233">
        <f>SUM(H24:H31)</f>
        <v>55.980000000000004</v>
      </c>
      <c r="I23" s="234">
        <f>ROUNDDOWN(F31*H23/1000,0)</f>
        <v>1383881</v>
      </c>
      <c r="J23" s="237"/>
      <c r="K23" s="238"/>
      <c r="L23" s="233">
        <f>SUM(L24:L31)</f>
        <v>55.010000000000005</v>
      </c>
      <c r="M23" s="245">
        <f>SUM(M24:M31)</f>
        <v>3003546</v>
      </c>
      <c r="N23" s="240">
        <f>F23</f>
        <v>11367000</v>
      </c>
      <c r="O23" s="238"/>
      <c r="P23" s="233">
        <f>SUM(P24:P31)</f>
        <v>55.010000000000005</v>
      </c>
      <c r="Q23" s="241">
        <f>SUM(Q24:Q31)</f>
        <v>1359901.6400500175</v>
      </c>
    </row>
    <row r="24" spans="1:17" ht="15" customHeight="1">
      <c r="A24" s="231" t="s">
        <v>149</v>
      </c>
      <c r="B24" s="232"/>
      <c r="C24" s="242" t="s">
        <v>141</v>
      </c>
      <c r="D24" s="243">
        <f t="shared" ref="D24:D31" si="5">D6</f>
        <v>49.74</v>
      </c>
      <c r="E24" s="245">
        <f>E23*D24/D23</f>
        <v>2715804</v>
      </c>
      <c r="F24" s="248">
        <f>'R8短期'!AD13</f>
        <v>11218000</v>
      </c>
      <c r="G24" s="242" t="s">
        <v>141</v>
      </c>
      <c r="H24" s="243">
        <f>D24</f>
        <v>49.74</v>
      </c>
      <c r="I24" s="234">
        <f>I23*H24/H23</f>
        <v>1229622.0246516613</v>
      </c>
      <c r="J24" s="237"/>
      <c r="K24" s="242" t="s">
        <v>141</v>
      </c>
      <c r="L24" s="244">
        <f>D24</f>
        <v>49.74</v>
      </c>
      <c r="M24" s="245">
        <f>E24</f>
        <v>2715804</v>
      </c>
      <c r="N24" s="240">
        <f>F24</f>
        <v>11218000</v>
      </c>
      <c r="O24" s="242" t="s">
        <v>141</v>
      </c>
      <c r="P24" s="244">
        <f>L24</f>
        <v>49.74</v>
      </c>
      <c r="Q24" s="241">
        <f>I24</f>
        <v>1229622.0246516613</v>
      </c>
    </row>
    <row r="25" spans="1:17" ht="15" customHeight="1">
      <c r="A25" s="231"/>
      <c r="B25" s="232"/>
      <c r="C25" s="242" t="s">
        <v>142</v>
      </c>
      <c r="D25" s="243">
        <f t="shared" si="5"/>
        <v>2.52</v>
      </c>
      <c r="E25" s="245">
        <f>E23*D25/D23</f>
        <v>137592</v>
      </c>
      <c r="F25" s="248">
        <f>'R8短期'!AD16</f>
        <v>2136000</v>
      </c>
      <c r="G25" s="242" t="s">
        <v>142</v>
      </c>
      <c r="H25" s="243">
        <f t="shared" ref="H25:H31" si="6">D25</f>
        <v>2.52</v>
      </c>
      <c r="I25" s="234">
        <f>I23*H25/H23</f>
        <v>62296.893890675237</v>
      </c>
      <c r="J25" s="237"/>
      <c r="K25" s="242" t="s">
        <v>142</v>
      </c>
      <c r="L25" s="244">
        <f>D25</f>
        <v>2.52</v>
      </c>
      <c r="M25" s="245">
        <f>E25</f>
        <v>137592</v>
      </c>
      <c r="N25" s="240">
        <f>F25</f>
        <v>2136000</v>
      </c>
      <c r="O25" s="242" t="s">
        <v>142</v>
      </c>
      <c r="P25" s="244">
        <f>L25</f>
        <v>2.52</v>
      </c>
      <c r="Q25" s="241">
        <f>I25</f>
        <v>62296.893890675237</v>
      </c>
    </row>
    <row r="26" spans="1:17" ht="15" customHeight="1">
      <c r="A26" s="231"/>
      <c r="B26" s="232"/>
      <c r="C26" s="242" t="s">
        <v>83</v>
      </c>
      <c r="D26" s="243">
        <f t="shared" si="5"/>
        <v>0.87</v>
      </c>
      <c r="E26" s="245">
        <f>E23*D26/D23</f>
        <v>47501.999999999993</v>
      </c>
      <c r="F26" s="248"/>
      <c r="G26" s="242" t="s">
        <v>83</v>
      </c>
      <c r="H26" s="243">
        <f t="shared" si="6"/>
        <v>0.87</v>
      </c>
      <c r="I26" s="234">
        <f>I23*H26/H23</f>
        <v>21507.260986066449</v>
      </c>
      <c r="J26" s="237"/>
      <c r="K26" s="242" t="s">
        <v>83</v>
      </c>
      <c r="L26" s="244"/>
      <c r="M26" s="245"/>
      <c r="N26" s="240"/>
      <c r="O26" s="242" t="s">
        <v>83</v>
      </c>
      <c r="P26" s="244"/>
      <c r="Q26" s="241"/>
    </row>
    <row r="27" spans="1:17" ht="15" customHeight="1">
      <c r="A27" s="231"/>
      <c r="B27" s="232"/>
      <c r="C27" s="242" t="s">
        <v>143</v>
      </c>
      <c r="D27" s="243">
        <f t="shared" si="5"/>
        <v>0.55000000000000004</v>
      </c>
      <c r="E27" s="245">
        <f>E23*D27/D23</f>
        <v>30030</v>
      </c>
      <c r="F27" s="248"/>
      <c r="G27" s="242" t="s">
        <v>143</v>
      </c>
      <c r="H27" s="243">
        <f t="shared" si="6"/>
        <v>0.55000000000000004</v>
      </c>
      <c r="I27" s="234">
        <f>I23*H27/H23</f>
        <v>13596.544301536263</v>
      </c>
      <c r="J27" s="237"/>
      <c r="K27" s="242" t="s">
        <v>143</v>
      </c>
      <c r="L27" s="244">
        <f>D27</f>
        <v>0.55000000000000004</v>
      </c>
      <c r="M27" s="245">
        <f>E27</f>
        <v>30030</v>
      </c>
      <c r="N27" s="240"/>
      <c r="O27" s="242" t="s">
        <v>143</v>
      </c>
      <c r="P27" s="244">
        <f>L27</f>
        <v>0.55000000000000004</v>
      </c>
      <c r="Q27" s="241">
        <f>I27</f>
        <v>13596.544301536263</v>
      </c>
    </row>
    <row r="28" spans="1:17" ht="15" customHeight="1">
      <c r="A28" s="231"/>
      <c r="B28" s="232"/>
      <c r="C28" s="242" t="s">
        <v>144</v>
      </c>
      <c r="D28" s="246">
        <f t="shared" si="5"/>
        <v>0.1</v>
      </c>
      <c r="E28" s="245">
        <f>E23*D28/D23</f>
        <v>5459.9999999999991</v>
      </c>
      <c r="F28" s="248"/>
      <c r="G28" s="242" t="s">
        <v>144</v>
      </c>
      <c r="H28" s="246">
        <f t="shared" si="6"/>
        <v>0.1</v>
      </c>
      <c r="I28" s="234">
        <f>I23*H28/H23</f>
        <v>2472.0989639156842</v>
      </c>
      <c r="J28" s="237"/>
      <c r="K28" s="242" t="s">
        <v>144</v>
      </c>
      <c r="L28" s="244"/>
      <c r="M28" s="245"/>
      <c r="N28" s="240"/>
      <c r="O28" s="242" t="s">
        <v>144</v>
      </c>
      <c r="P28" s="244"/>
      <c r="Q28" s="241"/>
    </row>
    <row r="29" spans="1:17" ht="15" customHeight="1">
      <c r="A29" s="231"/>
      <c r="B29" s="232"/>
      <c r="C29" s="247" t="s">
        <v>145</v>
      </c>
      <c r="D29" s="246">
        <f t="shared" si="5"/>
        <v>0.1</v>
      </c>
      <c r="E29" s="245">
        <f>E23*D29/D23</f>
        <v>5459.9999999999991</v>
      </c>
      <c r="F29" s="248" t="s">
        <v>440</v>
      </c>
      <c r="G29" s="247" t="s">
        <v>145</v>
      </c>
      <c r="H29" s="246">
        <f t="shared" si="6"/>
        <v>0.1</v>
      </c>
      <c r="I29" s="245">
        <f>I23*H29/H23</f>
        <v>2472.0989639156842</v>
      </c>
      <c r="J29" s="237"/>
      <c r="K29" s="247" t="s">
        <v>145</v>
      </c>
      <c r="L29" s="249">
        <f t="shared" ref="L29:M31" si="7">D29</f>
        <v>0.1</v>
      </c>
      <c r="M29" s="245">
        <f t="shared" si="7"/>
        <v>5459.9999999999991</v>
      </c>
      <c r="N29" s="240"/>
      <c r="O29" s="247" t="s">
        <v>145</v>
      </c>
      <c r="P29" s="249">
        <f>L29</f>
        <v>0.1</v>
      </c>
      <c r="Q29" s="241">
        <f>I29</f>
        <v>2472.0989639156842</v>
      </c>
    </row>
    <row r="30" spans="1:17" ht="15" customHeight="1">
      <c r="A30" s="231"/>
      <c r="B30" s="232"/>
      <c r="C30" s="242" t="s">
        <v>147</v>
      </c>
      <c r="D30" s="250">
        <f t="shared" si="5"/>
        <v>2.0880000000000001</v>
      </c>
      <c r="E30" s="245">
        <f>E23*D30/D23</f>
        <v>114004.79999999999</v>
      </c>
      <c r="F30" s="248"/>
      <c r="G30" s="242" t="s">
        <v>147</v>
      </c>
      <c r="H30" s="250">
        <f t="shared" si="6"/>
        <v>2.0880000000000001</v>
      </c>
      <c r="I30" s="245">
        <f>I23*H30/H23</f>
        <v>51617.426366559477</v>
      </c>
      <c r="J30" s="237"/>
      <c r="K30" s="242" t="s">
        <v>147</v>
      </c>
      <c r="L30" s="251">
        <f t="shared" si="7"/>
        <v>2.0880000000000001</v>
      </c>
      <c r="M30" s="245">
        <f t="shared" si="7"/>
        <v>114004.79999999999</v>
      </c>
      <c r="N30" s="240"/>
      <c r="O30" s="242" t="s">
        <v>147</v>
      </c>
      <c r="P30" s="251">
        <f>L30</f>
        <v>2.0880000000000001</v>
      </c>
      <c r="Q30" s="241">
        <f>I30</f>
        <v>51617.426366559477</v>
      </c>
    </row>
    <row r="31" spans="1:17" ht="15" customHeight="1">
      <c r="A31" s="252"/>
      <c r="B31" s="253">
        <f>'R8短期'!M17</f>
        <v>54600000</v>
      </c>
      <c r="C31" s="254" t="s">
        <v>148</v>
      </c>
      <c r="D31" s="250">
        <f t="shared" si="5"/>
        <v>1.2E-2</v>
      </c>
      <c r="E31" s="255">
        <f>E23-E24-E25-E26-E27-E28-E29-E30</f>
        <v>655.20000000001164</v>
      </c>
      <c r="F31" s="256">
        <f>SUM(F23:F25)</f>
        <v>24721000</v>
      </c>
      <c r="G31" s="254" t="s">
        <v>148</v>
      </c>
      <c r="H31" s="250">
        <f t="shared" si="6"/>
        <v>1.2E-2</v>
      </c>
      <c r="I31" s="255">
        <f>I23-I24-I25-I26-I27-I28-I29-I30</f>
        <v>296.65187566991517</v>
      </c>
      <c r="J31" s="257">
        <f>B31</f>
        <v>54600000</v>
      </c>
      <c r="K31" s="254" t="s">
        <v>148</v>
      </c>
      <c r="L31" s="251">
        <f t="shared" si="7"/>
        <v>1.2E-2</v>
      </c>
      <c r="M31" s="255">
        <f t="shared" si="7"/>
        <v>655.20000000001164</v>
      </c>
      <c r="N31" s="258">
        <f>F31</f>
        <v>24721000</v>
      </c>
      <c r="O31" s="254" t="s">
        <v>148</v>
      </c>
      <c r="P31" s="251">
        <f>L31</f>
        <v>1.2E-2</v>
      </c>
      <c r="Q31" s="259">
        <f>I31</f>
        <v>296.65187566991517</v>
      </c>
    </row>
    <row r="32" spans="1:17" ht="15" customHeight="1">
      <c r="A32" s="231" t="s">
        <v>80</v>
      </c>
      <c r="B32" s="232"/>
      <c r="C32" s="15"/>
      <c r="D32" s="233">
        <f>SUM(D33:D40)</f>
        <v>55.110000000000007</v>
      </c>
      <c r="E32" s="245">
        <f>ROUNDDOWN(B40*D32/1000,0)</f>
        <v>1178588081</v>
      </c>
      <c r="F32" s="248">
        <f>'R8短期'!AA7</f>
        <v>2209646000</v>
      </c>
      <c r="G32" s="236"/>
      <c r="H32" s="233">
        <f>SUM(H33:H40)</f>
        <v>55.110000000000007</v>
      </c>
      <c r="I32" s="234">
        <f>ROUNDDOWN(F40*H32/1000,0)</f>
        <v>266655741</v>
      </c>
      <c r="J32" s="237"/>
      <c r="K32" s="238"/>
      <c r="L32" s="233">
        <f>SUM(L33:L40)</f>
        <v>55.010000000000005</v>
      </c>
      <c r="M32" s="1957">
        <f>SUM(M33:M40)</f>
        <v>1176449470.8003991</v>
      </c>
      <c r="N32" s="240">
        <f>F32</f>
        <v>2209646000</v>
      </c>
      <c r="O32" s="238"/>
      <c r="P32" s="233">
        <f>SUM(P33:P40)</f>
        <v>55.010000000000005</v>
      </c>
      <c r="Q32" s="1963">
        <f>SUM(Q33:Q40)</f>
        <v>266171880.10179642</v>
      </c>
    </row>
    <row r="33" spans="1:17" ht="15" customHeight="1">
      <c r="A33" s="231" t="s">
        <v>150</v>
      </c>
      <c r="B33" s="232"/>
      <c r="C33" s="242" t="s">
        <v>141</v>
      </c>
      <c r="D33" s="243">
        <f>D15</f>
        <v>49.74</v>
      </c>
      <c r="E33" s="1957">
        <f>E32*D33/D32</f>
        <v>1063744713.281437</v>
      </c>
      <c r="F33" s="248">
        <f>'R8短期'!AA13</f>
        <v>2209970000</v>
      </c>
      <c r="G33" s="242" t="s">
        <v>141</v>
      </c>
      <c r="H33" s="243">
        <f>D33</f>
        <v>49.74</v>
      </c>
      <c r="I33" s="234">
        <f>I32*H33/H32</f>
        <v>240672410.76646703</v>
      </c>
      <c r="J33" s="237"/>
      <c r="K33" s="242" t="s">
        <v>141</v>
      </c>
      <c r="L33" s="244">
        <f>D33</f>
        <v>49.74</v>
      </c>
      <c r="M33" s="245">
        <f>E33</f>
        <v>1063744713.281437</v>
      </c>
      <c r="N33" s="240">
        <f>F33</f>
        <v>2209970000</v>
      </c>
      <c r="O33" s="242" t="s">
        <v>141</v>
      </c>
      <c r="P33" s="244">
        <f>L33</f>
        <v>49.74</v>
      </c>
      <c r="Q33" s="241">
        <f>I33</f>
        <v>240672410.76646703</v>
      </c>
    </row>
    <row r="34" spans="1:17" ht="15" customHeight="1">
      <c r="A34" s="1390" t="s">
        <v>649</v>
      </c>
      <c r="B34" s="232"/>
      <c r="C34" s="242" t="s">
        <v>142</v>
      </c>
      <c r="D34" s="243">
        <f>D16</f>
        <v>2.52</v>
      </c>
      <c r="E34" s="245">
        <f>E32*D34/D32</f>
        <v>53892977.029940113</v>
      </c>
      <c r="F34" s="248">
        <f>'R8短期'!AA16</f>
        <v>418993000</v>
      </c>
      <c r="G34" s="242" t="s">
        <v>142</v>
      </c>
      <c r="H34" s="243">
        <f t="shared" ref="H34:H40" si="8">D34</f>
        <v>2.52</v>
      </c>
      <c r="I34" s="234">
        <f>I32*H34/H32</f>
        <v>12193294.634730538</v>
      </c>
      <c r="J34" s="237"/>
      <c r="K34" s="242" t="s">
        <v>142</v>
      </c>
      <c r="L34" s="244">
        <f>D34</f>
        <v>2.52</v>
      </c>
      <c r="M34" s="245">
        <f>E34</f>
        <v>53892977.029940113</v>
      </c>
      <c r="N34" s="240">
        <f>F34</f>
        <v>418993000</v>
      </c>
      <c r="O34" s="242" t="s">
        <v>142</v>
      </c>
      <c r="P34" s="244">
        <f>L34</f>
        <v>2.52</v>
      </c>
      <c r="Q34" s="241">
        <f>I34</f>
        <v>12193294.634730538</v>
      </c>
    </row>
    <row r="35" spans="1:17" ht="15" customHeight="1">
      <c r="A35" s="1390" t="s">
        <v>651</v>
      </c>
      <c r="B35" s="232"/>
      <c r="C35" s="260" t="s">
        <v>83</v>
      </c>
      <c r="D35" s="261"/>
      <c r="E35" s="262"/>
      <c r="F35" s="263"/>
      <c r="G35" s="260" t="s">
        <v>83</v>
      </c>
      <c r="H35" s="261"/>
      <c r="I35" s="264"/>
      <c r="J35" s="237"/>
      <c r="K35" s="242" t="s">
        <v>83</v>
      </c>
      <c r="L35" s="244"/>
      <c r="M35" s="245"/>
      <c r="N35" s="240"/>
      <c r="O35" s="242" t="s">
        <v>83</v>
      </c>
      <c r="P35" s="244"/>
      <c r="Q35" s="241"/>
    </row>
    <row r="36" spans="1:17" ht="15" customHeight="1">
      <c r="A36" s="1390"/>
      <c r="B36" s="232"/>
      <c r="C36" s="242" t="s">
        <v>143</v>
      </c>
      <c r="D36" s="243">
        <f>D18</f>
        <v>0.55000000000000004</v>
      </c>
      <c r="E36" s="245">
        <f>E32*D36/D32</f>
        <v>11762356.097804392</v>
      </c>
      <c r="F36" s="248"/>
      <c r="G36" s="242" t="s">
        <v>143</v>
      </c>
      <c r="H36" s="243">
        <f>D36</f>
        <v>0.55000000000000004</v>
      </c>
      <c r="I36" s="234">
        <f>I32*H36/H32</f>
        <v>2661234.9401197606</v>
      </c>
      <c r="J36" s="237"/>
      <c r="K36" s="242" t="s">
        <v>143</v>
      </c>
      <c r="L36" s="244">
        <f>D36</f>
        <v>0.55000000000000004</v>
      </c>
      <c r="M36" s="245">
        <f>E36</f>
        <v>11762356.097804392</v>
      </c>
      <c r="N36" s="240"/>
      <c r="O36" s="242" t="s">
        <v>143</v>
      </c>
      <c r="P36" s="244">
        <f>L36</f>
        <v>0.55000000000000004</v>
      </c>
      <c r="Q36" s="241">
        <f>I36</f>
        <v>2661234.9401197606</v>
      </c>
    </row>
    <row r="37" spans="1:17" ht="15" customHeight="1">
      <c r="A37" s="231"/>
      <c r="B37" s="232"/>
      <c r="C37" s="242" t="s">
        <v>144</v>
      </c>
      <c r="D37" s="246">
        <f>D19</f>
        <v>0.1</v>
      </c>
      <c r="E37" s="245">
        <f>E32*D37/D32</f>
        <v>2138610.1996007985</v>
      </c>
      <c r="F37" s="248"/>
      <c r="G37" s="242" t="s">
        <v>144</v>
      </c>
      <c r="H37" s="246">
        <f t="shared" si="8"/>
        <v>0.1</v>
      </c>
      <c r="I37" s="234">
        <f>I32*H37/H32</f>
        <v>483860.89820359281</v>
      </c>
      <c r="J37" s="237"/>
      <c r="K37" s="242" t="s">
        <v>144</v>
      </c>
      <c r="L37" s="244"/>
      <c r="M37" s="245"/>
      <c r="N37" s="240"/>
      <c r="O37" s="242" t="s">
        <v>144</v>
      </c>
      <c r="P37" s="244"/>
      <c r="Q37" s="241"/>
    </row>
    <row r="38" spans="1:17" ht="15" customHeight="1">
      <c r="A38" s="231"/>
      <c r="B38" s="232"/>
      <c r="C38" s="247" t="s">
        <v>145</v>
      </c>
      <c r="D38" s="246">
        <f>D20</f>
        <v>0.1</v>
      </c>
      <c r="E38" s="245">
        <f>E32*D38/D32</f>
        <v>2138610.1996007985</v>
      </c>
      <c r="F38" s="248" t="s">
        <v>439</v>
      </c>
      <c r="G38" s="247" t="s">
        <v>145</v>
      </c>
      <c r="H38" s="246">
        <f t="shared" si="8"/>
        <v>0.1</v>
      </c>
      <c r="I38" s="245">
        <f>I32*H38/H32</f>
        <v>483860.89820359281</v>
      </c>
      <c r="J38" s="237"/>
      <c r="K38" s="247" t="s">
        <v>145</v>
      </c>
      <c r="L38" s="249">
        <f t="shared" ref="L38:M40" si="9">D38</f>
        <v>0.1</v>
      </c>
      <c r="M38" s="245">
        <f t="shared" si="9"/>
        <v>2138610.1996007985</v>
      </c>
      <c r="N38" s="240"/>
      <c r="O38" s="247" t="s">
        <v>145</v>
      </c>
      <c r="P38" s="249">
        <f>L38</f>
        <v>0.1</v>
      </c>
      <c r="Q38" s="241">
        <f>I38</f>
        <v>483860.89820359281</v>
      </c>
    </row>
    <row r="39" spans="1:17" ht="15" customHeight="1">
      <c r="A39" s="231"/>
      <c r="B39" s="232"/>
      <c r="C39" s="242" t="s">
        <v>147</v>
      </c>
      <c r="D39" s="250">
        <f>D21</f>
        <v>2.0880000000000001</v>
      </c>
      <c r="E39" s="245">
        <f>E32*D39/D32</f>
        <v>44654180.967664666</v>
      </c>
      <c r="F39" s="248"/>
      <c r="G39" s="242" t="s">
        <v>147</v>
      </c>
      <c r="H39" s="250">
        <f t="shared" si="8"/>
        <v>2.0880000000000001</v>
      </c>
      <c r="I39" s="1957">
        <f>I32*H39/H32</f>
        <v>10103015.554491017</v>
      </c>
      <c r="J39" s="237"/>
      <c r="K39" s="242" t="s">
        <v>147</v>
      </c>
      <c r="L39" s="251">
        <f t="shared" si="9"/>
        <v>2.0880000000000001</v>
      </c>
      <c r="M39" s="245">
        <f t="shared" si="9"/>
        <v>44654180.967664666</v>
      </c>
      <c r="N39" s="240"/>
      <c r="O39" s="242" t="s">
        <v>147</v>
      </c>
      <c r="P39" s="251">
        <f>L39</f>
        <v>2.0880000000000001</v>
      </c>
      <c r="Q39" s="241">
        <f>I39</f>
        <v>10103015.554491017</v>
      </c>
    </row>
    <row r="40" spans="1:17" ht="15" customHeight="1">
      <c r="A40" s="252"/>
      <c r="B40" s="253">
        <f>'R8短期'!G17+'R8短期'!Q17</f>
        <v>21386102000</v>
      </c>
      <c r="C40" s="254" t="s">
        <v>148</v>
      </c>
      <c r="D40" s="250">
        <f>D22</f>
        <v>1.2E-2</v>
      </c>
      <c r="E40" s="1962">
        <f>E32-E33-E34-E35-E36-E37-E38-E39</f>
        <v>256633.22395218909</v>
      </c>
      <c r="F40" s="256">
        <f>SUM(F32:F34)</f>
        <v>4838609000</v>
      </c>
      <c r="G40" s="254" t="s">
        <v>148</v>
      </c>
      <c r="H40" s="250">
        <f t="shared" si="8"/>
        <v>1.2E-2</v>
      </c>
      <c r="I40" s="1962">
        <f>I32-I33-I34-I35-I36-I37-I38-I39</f>
        <v>58063.30778446421</v>
      </c>
      <c r="J40" s="257">
        <f>B40</f>
        <v>21386102000</v>
      </c>
      <c r="K40" s="254" t="s">
        <v>148</v>
      </c>
      <c r="L40" s="251">
        <f t="shared" si="9"/>
        <v>1.2E-2</v>
      </c>
      <c r="M40" s="255">
        <f t="shared" si="9"/>
        <v>256633.22395218909</v>
      </c>
      <c r="N40" s="258">
        <f>F40</f>
        <v>4838609000</v>
      </c>
      <c r="O40" s="254" t="s">
        <v>148</v>
      </c>
      <c r="P40" s="251">
        <f>L40</f>
        <v>1.2E-2</v>
      </c>
      <c r="Q40" s="259">
        <f>I40</f>
        <v>58063.30778446421</v>
      </c>
    </row>
    <row r="41" spans="1:17" ht="15" customHeight="1">
      <c r="A41" s="231" t="s">
        <v>80</v>
      </c>
      <c r="B41" s="232"/>
      <c r="C41" s="15"/>
      <c r="D41" s="233">
        <f>SUM(D42:D49)</f>
        <v>55.980000000000004</v>
      </c>
      <c r="E41" s="245">
        <f>ROUNDDOWN(B49*D41/1000,0)</f>
        <v>3402258953</v>
      </c>
      <c r="F41" s="248">
        <f>'R8短期'!AB7+'R8短期'!AG7+'R8短期'!AE7</f>
        <v>9424241000</v>
      </c>
      <c r="G41" s="236"/>
      <c r="H41" s="233">
        <f>SUM(H42:H49)</f>
        <v>55.980000000000004</v>
      </c>
      <c r="I41" s="1958">
        <f>ROUNDDOWN(F49*H41/1000,0)</f>
        <v>1155873584</v>
      </c>
      <c r="J41" s="237"/>
      <c r="K41" s="238"/>
      <c r="L41" s="233">
        <f>SUM(L42:L49)</f>
        <v>55.010000000000005</v>
      </c>
      <c r="M41" s="245">
        <f>SUM(M42:M49)</f>
        <v>3343305912.9069304</v>
      </c>
      <c r="N41" s="240">
        <f>F41</f>
        <v>9424241000</v>
      </c>
      <c r="O41" s="238"/>
      <c r="P41" s="233">
        <f>SUM(P42:P49)</f>
        <v>55.010000000000005</v>
      </c>
      <c r="Q41" s="1963">
        <f>SUM(Q42:Q49)</f>
        <v>1135845049.2290103</v>
      </c>
    </row>
    <row r="42" spans="1:17" ht="15" customHeight="1">
      <c r="A42" s="231" t="s">
        <v>149</v>
      </c>
      <c r="B42" s="232"/>
      <c r="C42" s="242" t="s">
        <v>141</v>
      </c>
      <c r="D42" s="243">
        <f t="shared" ref="D42:D49" si="10">D24</f>
        <v>49.74</v>
      </c>
      <c r="E42" s="245">
        <f>E41*D42/D41</f>
        <v>3023014653.8445873</v>
      </c>
      <c r="F42" s="248">
        <f>'R8短期'!AB13+'R8短期'!AG13+'R8短期'!AE13</f>
        <v>9429534000</v>
      </c>
      <c r="G42" s="242" t="s">
        <v>141</v>
      </c>
      <c r="H42" s="243">
        <f>D42</f>
        <v>49.74</v>
      </c>
      <c r="I42" s="1958">
        <f>I41*H42/H41</f>
        <v>1027030226.2979635</v>
      </c>
      <c r="J42" s="237"/>
      <c r="K42" s="242" t="s">
        <v>141</v>
      </c>
      <c r="L42" s="244">
        <f>D42</f>
        <v>49.74</v>
      </c>
      <c r="M42" s="245">
        <f>E42</f>
        <v>3023014653.8445873</v>
      </c>
      <c r="N42" s="240">
        <f>F42</f>
        <v>9429534000</v>
      </c>
      <c r="O42" s="242" t="s">
        <v>141</v>
      </c>
      <c r="P42" s="244">
        <f>L42</f>
        <v>49.74</v>
      </c>
      <c r="Q42" s="241">
        <f>I42</f>
        <v>1027030226.2979635</v>
      </c>
    </row>
    <row r="43" spans="1:17" ht="15" customHeight="1">
      <c r="A43" s="231" t="s">
        <v>151</v>
      </c>
      <c r="B43" s="232"/>
      <c r="C43" s="242" t="s">
        <v>142</v>
      </c>
      <c r="D43" s="243">
        <f t="shared" si="10"/>
        <v>2.52</v>
      </c>
      <c r="E43" s="245">
        <f>E41*D43/D41</f>
        <v>153156351.58199358</v>
      </c>
      <c r="F43" s="248">
        <f>'R8短期'!AB16+'R8短期'!AG16+'R8短期'!AE16</f>
        <v>1794199000</v>
      </c>
      <c r="G43" s="242" t="s">
        <v>142</v>
      </c>
      <c r="H43" s="243">
        <f t="shared" ref="H43:H49" si="11">D43</f>
        <v>2.52</v>
      </c>
      <c r="I43" s="234">
        <f>I41*H43/H41</f>
        <v>52032894.456591636</v>
      </c>
      <c r="J43" s="237"/>
      <c r="K43" s="242" t="s">
        <v>142</v>
      </c>
      <c r="L43" s="244">
        <f>D43</f>
        <v>2.52</v>
      </c>
      <c r="M43" s="245">
        <f>E43</f>
        <v>153156351.58199358</v>
      </c>
      <c r="N43" s="240">
        <f>F43</f>
        <v>1794199000</v>
      </c>
      <c r="O43" s="242" t="s">
        <v>142</v>
      </c>
      <c r="P43" s="244">
        <f>L43</f>
        <v>2.52</v>
      </c>
      <c r="Q43" s="241">
        <f>I43</f>
        <v>52032894.456591636</v>
      </c>
    </row>
    <row r="44" spans="1:17" ht="15" customHeight="1">
      <c r="A44" s="1390" t="s">
        <v>648</v>
      </c>
      <c r="B44" s="232"/>
      <c r="C44" s="242" t="s">
        <v>83</v>
      </c>
      <c r="D44" s="243">
        <f t="shared" si="10"/>
        <v>0.87</v>
      </c>
      <c r="E44" s="245">
        <f>E41*D44/D41</f>
        <v>52875407.09378349</v>
      </c>
      <c r="F44" s="248"/>
      <c r="G44" s="242" t="s">
        <v>83</v>
      </c>
      <c r="H44" s="243">
        <f t="shared" si="11"/>
        <v>0.87</v>
      </c>
      <c r="I44" s="234">
        <f>I41*H44/H41</f>
        <v>17963737.37191854</v>
      </c>
      <c r="J44" s="237"/>
      <c r="K44" s="242" t="s">
        <v>83</v>
      </c>
      <c r="L44" s="244"/>
      <c r="M44" s="245"/>
      <c r="N44" s="240"/>
      <c r="O44" s="242" t="s">
        <v>83</v>
      </c>
      <c r="P44" s="244"/>
      <c r="Q44" s="241"/>
    </row>
    <row r="45" spans="1:17" ht="15" customHeight="1">
      <c r="A45" s="1390" t="s">
        <v>649</v>
      </c>
      <c r="B45" s="232"/>
      <c r="C45" s="242" t="s">
        <v>143</v>
      </c>
      <c r="D45" s="243">
        <f t="shared" si="10"/>
        <v>0.55000000000000004</v>
      </c>
      <c r="E45" s="245">
        <f>E41*D45/D41</f>
        <v>33426981.496070024</v>
      </c>
      <c r="F45" s="248"/>
      <c r="G45" s="242" t="s">
        <v>143</v>
      </c>
      <c r="H45" s="243">
        <f t="shared" si="11"/>
        <v>0.55000000000000004</v>
      </c>
      <c r="I45" s="234">
        <f>I41*H45/H41</f>
        <v>11356385.694891032</v>
      </c>
      <c r="J45" s="237"/>
      <c r="K45" s="242" t="s">
        <v>143</v>
      </c>
      <c r="L45" s="244">
        <f>D45</f>
        <v>0.55000000000000004</v>
      </c>
      <c r="M45" s="245">
        <f>E45</f>
        <v>33426981.496070024</v>
      </c>
      <c r="N45" s="240"/>
      <c r="O45" s="242" t="s">
        <v>143</v>
      </c>
      <c r="P45" s="244">
        <f>L45</f>
        <v>0.55000000000000004</v>
      </c>
      <c r="Q45" s="241">
        <f>I45</f>
        <v>11356385.694891032</v>
      </c>
    </row>
    <row r="46" spans="1:17" ht="15" customHeight="1">
      <c r="A46" s="1390" t="s">
        <v>650</v>
      </c>
      <c r="B46" s="232"/>
      <c r="C46" s="242" t="s">
        <v>144</v>
      </c>
      <c r="D46" s="246">
        <f t="shared" si="10"/>
        <v>0.1</v>
      </c>
      <c r="E46" s="245">
        <f>E41*D46/D41</f>
        <v>6077632.9992854586</v>
      </c>
      <c r="F46" s="248"/>
      <c r="G46" s="242" t="s">
        <v>144</v>
      </c>
      <c r="H46" s="246">
        <f t="shared" si="11"/>
        <v>0.1</v>
      </c>
      <c r="I46" s="234">
        <f>I41*H46/H41</f>
        <v>2064797.3990710967</v>
      </c>
      <c r="J46" s="237"/>
      <c r="K46" s="242" t="s">
        <v>144</v>
      </c>
      <c r="L46" s="244"/>
      <c r="M46" s="245"/>
      <c r="N46" s="240"/>
      <c r="O46" s="242" t="s">
        <v>144</v>
      </c>
      <c r="P46" s="244"/>
      <c r="Q46" s="241"/>
    </row>
    <row r="47" spans="1:17" ht="15" customHeight="1">
      <c r="A47" s="231"/>
      <c r="B47" s="232"/>
      <c r="C47" s="247" t="s">
        <v>145</v>
      </c>
      <c r="D47" s="246">
        <f t="shared" si="10"/>
        <v>0.1</v>
      </c>
      <c r="E47" s="245">
        <f>E41*D47/D41</f>
        <v>6077632.9992854586</v>
      </c>
      <c r="F47" s="248" t="s">
        <v>439</v>
      </c>
      <c r="G47" s="247" t="s">
        <v>145</v>
      </c>
      <c r="H47" s="246">
        <f t="shared" si="11"/>
        <v>0.1</v>
      </c>
      <c r="I47" s="245">
        <f>I41*H47/H41</f>
        <v>2064797.3990710967</v>
      </c>
      <c r="J47" s="237"/>
      <c r="K47" s="247" t="s">
        <v>145</v>
      </c>
      <c r="L47" s="249">
        <f t="shared" ref="L47:M49" si="12">D47</f>
        <v>0.1</v>
      </c>
      <c r="M47" s="245">
        <f t="shared" si="12"/>
        <v>6077632.9992854586</v>
      </c>
      <c r="N47" s="240"/>
      <c r="O47" s="247" t="s">
        <v>145</v>
      </c>
      <c r="P47" s="249">
        <f>L47</f>
        <v>0.1</v>
      </c>
      <c r="Q47" s="241">
        <f>I47</f>
        <v>2064797.3990710967</v>
      </c>
    </row>
    <row r="48" spans="1:17" ht="15" customHeight="1">
      <c r="A48" s="231"/>
      <c r="B48" s="232"/>
      <c r="C48" s="242" t="s">
        <v>147</v>
      </c>
      <c r="D48" s="250">
        <f t="shared" si="10"/>
        <v>2.0880000000000001</v>
      </c>
      <c r="E48" s="245">
        <f>E41*D48/D41</f>
        <v>126900977.02508038</v>
      </c>
      <c r="F48" s="248"/>
      <c r="G48" s="242" t="s">
        <v>147</v>
      </c>
      <c r="H48" s="250">
        <f t="shared" si="11"/>
        <v>2.0880000000000001</v>
      </c>
      <c r="I48" s="245">
        <f>I41*H48/H41</f>
        <v>43112969.692604505</v>
      </c>
      <c r="J48" s="237"/>
      <c r="K48" s="242" t="s">
        <v>147</v>
      </c>
      <c r="L48" s="251">
        <f t="shared" si="12"/>
        <v>2.0880000000000001</v>
      </c>
      <c r="M48" s="245">
        <f t="shared" si="12"/>
        <v>126900977.02508038</v>
      </c>
      <c r="N48" s="240"/>
      <c r="O48" s="242" t="s">
        <v>147</v>
      </c>
      <c r="P48" s="251">
        <f>L48</f>
        <v>2.0880000000000001</v>
      </c>
      <c r="Q48" s="241">
        <f>I48</f>
        <v>43112969.692604505</v>
      </c>
    </row>
    <row r="49" spans="1:17" ht="15" customHeight="1">
      <c r="A49" s="265"/>
      <c r="B49" s="256">
        <f>'R8短期'!I17+'R8短期'!U17+'R8短期'!S17</f>
        <v>60776330000</v>
      </c>
      <c r="C49" s="254" t="s">
        <v>148</v>
      </c>
      <c r="D49" s="250">
        <f t="shared" si="10"/>
        <v>1.2E-2</v>
      </c>
      <c r="E49" s="255">
        <f>E41-E42-E43-E44-E45-E46-E47-E48</f>
        <v>729315.95991426706</v>
      </c>
      <c r="F49" s="256">
        <f>SUM(F41:F43)</f>
        <v>20647974000</v>
      </c>
      <c r="G49" s="254" t="s">
        <v>148</v>
      </c>
      <c r="H49" s="250">
        <f t="shared" si="11"/>
        <v>1.2E-2</v>
      </c>
      <c r="I49" s="1962">
        <f>I41-I42-I43-I44-I45-I46-I47-I48</f>
        <v>247775.68788858503</v>
      </c>
      <c r="J49" s="257">
        <f>B49</f>
        <v>60776330000</v>
      </c>
      <c r="K49" s="254" t="s">
        <v>148</v>
      </c>
      <c r="L49" s="251">
        <f t="shared" si="12"/>
        <v>1.2E-2</v>
      </c>
      <c r="M49" s="255">
        <f t="shared" si="12"/>
        <v>729315.95991426706</v>
      </c>
      <c r="N49" s="258">
        <f>F49</f>
        <v>20647974000</v>
      </c>
      <c r="O49" s="254" t="s">
        <v>148</v>
      </c>
      <c r="P49" s="251">
        <f>L49</f>
        <v>1.2E-2</v>
      </c>
      <c r="Q49" s="259">
        <f>I49</f>
        <v>247775.68788858503</v>
      </c>
    </row>
    <row r="50" spans="1:17" ht="15" customHeight="1">
      <c r="A50" s="266" t="s">
        <v>152</v>
      </c>
      <c r="B50" s="267"/>
      <c r="C50" s="15"/>
      <c r="D50" s="233">
        <f>SUM(D51:D58)</f>
        <v>55.980000000000004</v>
      </c>
      <c r="E50" s="245">
        <f>SUM(E51:E58)</f>
        <v>765110</v>
      </c>
      <c r="F50" s="248">
        <f>'R8短期'!Z7</f>
        <v>2133000</v>
      </c>
      <c r="G50" s="236"/>
      <c r="H50" s="233">
        <f>SUM(H51:H58)</f>
        <v>55.980000000000004</v>
      </c>
      <c r="I50" s="234">
        <f>SUM(I51:I58)</f>
        <v>259814</v>
      </c>
      <c r="J50" s="237"/>
      <c r="K50" s="238"/>
      <c r="L50" s="233">
        <f>SUM(L51:L58)</f>
        <v>55.010000000000005</v>
      </c>
      <c r="M50" s="245">
        <f>SUM(M51:M58)</f>
        <v>759137</v>
      </c>
      <c r="N50" s="240">
        <f>F50</f>
        <v>2133000</v>
      </c>
      <c r="O50" s="238"/>
      <c r="P50" s="233">
        <f>SUM(P51:P58)</f>
        <v>55.010000000000005</v>
      </c>
      <c r="Q50" s="241">
        <f>SUM(Q51:Q58)</f>
        <v>257060</v>
      </c>
    </row>
    <row r="51" spans="1:17" ht="15" customHeight="1">
      <c r="A51" s="266" t="s">
        <v>113</v>
      </c>
      <c r="B51" s="268" t="s">
        <v>153</v>
      </c>
      <c r="C51" s="242" t="s">
        <v>141</v>
      </c>
      <c r="D51" s="243">
        <f t="shared" ref="D51:D58" si="13">D42</f>
        <v>49.74</v>
      </c>
      <c r="E51" s="245">
        <f>ROUNDDOWN(B58*D51/1000,0)</f>
        <v>686412</v>
      </c>
      <c r="F51" s="248">
        <f>'R8短期'!Z13</f>
        <v>2134000</v>
      </c>
      <c r="G51" s="242" t="s">
        <v>141</v>
      </c>
      <c r="H51" s="243">
        <f>D51</f>
        <v>49.74</v>
      </c>
      <c r="I51" s="234">
        <f>ROUNDDOWN(F58*H51/1000,0)</f>
        <v>232435</v>
      </c>
      <c r="J51" s="237"/>
      <c r="K51" s="242" t="s">
        <v>141</v>
      </c>
      <c r="L51" s="244">
        <f>D51</f>
        <v>49.74</v>
      </c>
      <c r="M51" s="245">
        <f>E51</f>
        <v>686412</v>
      </c>
      <c r="N51" s="240">
        <f>F51</f>
        <v>2134000</v>
      </c>
      <c r="O51" s="242" t="s">
        <v>141</v>
      </c>
      <c r="P51" s="244">
        <f>L51</f>
        <v>49.74</v>
      </c>
      <c r="Q51" s="241">
        <f>I51</f>
        <v>232435</v>
      </c>
    </row>
    <row r="52" spans="1:17" ht="15" customHeight="1">
      <c r="A52" s="266"/>
      <c r="B52" s="268" t="s">
        <v>154</v>
      </c>
      <c r="C52" s="242" t="s">
        <v>142</v>
      </c>
      <c r="D52" s="243">
        <f t="shared" si="13"/>
        <v>2.52</v>
      </c>
      <c r="E52" s="245">
        <f>ROUNDDOWN(B58*D52/1000,0)</f>
        <v>34776</v>
      </c>
      <c r="F52" s="248">
        <f>'R8短期'!Z16</f>
        <v>406000</v>
      </c>
      <c r="G52" s="242" t="s">
        <v>142</v>
      </c>
      <c r="H52" s="243">
        <f t="shared" ref="H52:H58" si="14">D52</f>
        <v>2.52</v>
      </c>
      <c r="I52" s="234">
        <f>ROUNDDOWN(F58*H52/1000,0)</f>
        <v>11775</v>
      </c>
      <c r="J52" s="237"/>
      <c r="K52" s="242" t="s">
        <v>142</v>
      </c>
      <c r="L52" s="244">
        <f>D52</f>
        <v>2.52</v>
      </c>
      <c r="M52" s="245">
        <f>E52</f>
        <v>34776</v>
      </c>
      <c r="N52" s="240">
        <f>F52</f>
        <v>406000</v>
      </c>
      <c r="O52" s="242" t="s">
        <v>142</v>
      </c>
      <c r="P52" s="244">
        <f>L52</f>
        <v>2.52</v>
      </c>
      <c r="Q52" s="241">
        <f>I52</f>
        <v>11775</v>
      </c>
    </row>
    <row r="53" spans="1:17" ht="15" customHeight="1">
      <c r="A53" s="266"/>
      <c r="B53" s="269">
        <f>B58-B56</f>
        <v>5280000</v>
      </c>
      <c r="C53" s="270" t="s">
        <v>83</v>
      </c>
      <c r="D53" s="271">
        <f t="shared" si="13"/>
        <v>0.87</v>
      </c>
      <c r="E53" s="272">
        <f>ROUNDDOWN(B53*D53/1000,0)</f>
        <v>4593</v>
      </c>
      <c r="F53" s="248"/>
      <c r="G53" s="270" t="s">
        <v>83</v>
      </c>
      <c r="H53" s="271">
        <f t="shared" si="14"/>
        <v>0.87</v>
      </c>
      <c r="I53" s="273">
        <f>ROUNDDOWN((F58-F57)*H53/1000,0)</f>
        <v>2287</v>
      </c>
      <c r="J53" s="237"/>
      <c r="K53" s="242" t="s">
        <v>83</v>
      </c>
      <c r="L53" s="244"/>
      <c r="M53" s="245"/>
      <c r="N53" s="240"/>
      <c r="O53" s="242" t="s">
        <v>83</v>
      </c>
      <c r="P53" s="244"/>
      <c r="Q53" s="241"/>
    </row>
    <row r="54" spans="1:17" ht="15" customHeight="1">
      <c r="A54" s="266"/>
      <c r="B54" s="268" t="s">
        <v>155</v>
      </c>
      <c r="C54" s="242" t="s">
        <v>143</v>
      </c>
      <c r="D54" s="243">
        <f t="shared" si="13"/>
        <v>0.55000000000000004</v>
      </c>
      <c r="E54" s="245">
        <f>ROUNDDOWN(B58*D54/1000,0)</f>
        <v>7590</v>
      </c>
      <c r="F54" s="248"/>
      <c r="G54" s="242" t="s">
        <v>143</v>
      </c>
      <c r="H54" s="243">
        <f t="shared" si="14"/>
        <v>0.55000000000000004</v>
      </c>
      <c r="I54" s="234">
        <f>ROUNDDOWN(F58*H54/1000,0)</f>
        <v>2570</v>
      </c>
      <c r="J54" s="237"/>
      <c r="K54" s="242" t="s">
        <v>143</v>
      </c>
      <c r="L54" s="244">
        <f>D54</f>
        <v>0.55000000000000004</v>
      </c>
      <c r="M54" s="245">
        <f>E54</f>
        <v>7590</v>
      </c>
      <c r="N54" s="240"/>
      <c r="O54" s="242" t="s">
        <v>143</v>
      </c>
      <c r="P54" s="244">
        <f>L54</f>
        <v>0.55000000000000004</v>
      </c>
      <c r="Q54" s="241">
        <f>I54</f>
        <v>2570</v>
      </c>
    </row>
    <row r="55" spans="1:17" ht="15" customHeight="1">
      <c r="A55" s="266"/>
      <c r="B55" s="268" t="s">
        <v>105</v>
      </c>
      <c r="C55" s="242" t="s">
        <v>144</v>
      </c>
      <c r="D55" s="246">
        <f t="shared" si="13"/>
        <v>0.1</v>
      </c>
      <c r="E55" s="234">
        <f>ROUNDDOWN(B58*D55/1000,0)</f>
        <v>1380</v>
      </c>
      <c r="F55" s="274" t="s">
        <v>156</v>
      </c>
      <c r="G55" s="242" t="s">
        <v>144</v>
      </c>
      <c r="H55" s="246">
        <f t="shared" si="14"/>
        <v>0.1</v>
      </c>
      <c r="I55" s="234">
        <f>ROUNDDOWN(F58*H55/1000,0)</f>
        <v>467</v>
      </c>
      <c r="J55" s="237"/>
      <c r="K55" s="242" t="s">
        <v>144</v>
      </c>
      <c r="L55" s="244"/>
      <c r="M55" s="245"/>
      <c r="N55" s="240"/>
      <c r="O55" s="242" t="s">
        <v>144</v>
      </c>
      <c r="P55" s="244"/>
      <c r="Q55" s="241"/>
    </row>
    <row r="56" spans="1:17" ht="15" customHeight="1">
      <c r="A56" s="266"/>
      <c r="B56" s="17">
        <f>'R8短期'!F19</f>
        <v>8520000</v>
      </c>
      <c r="C56" s="247" t="s">
        <v>145</v>
      </c>
      <c r="D56" s="246">
        <f t="shared" si="13"/>
        <v>0.1</v>
      </c>
      <c r="E56" s="245">
        <f>ROUNDDOWN(B58*D56/1000,0)</f>
        <v>1380</v>
      </c>
      <c r="F56" s="275" t="s">
        <v>105</v>
      </c>
      <c r="G56" s="247" t="s">
        <v>145</v>
      </c>
      <c r="H56" s="246">
        <f t="shared" si="14"/>
        <v>0.1</v>
      </c>
      <c r="I56" s="245">
        <f>ROUNDDOWN(F58*H56/1000,0)</f>
        <v>467</v>
      </c>
      <c r="J56" s="237"/>
      <c r="K56" s="247" t="s">
        <v>145</v>
      </c>
      <c r="L56" s="249">
        <f t="shared" ref="L56:M58" si="15">D56</f>
        <v>0.1</v>
      </c>
      <c r="M56" s="245">
        <f t="shared" si="15"/>
        <v>1380</v>
      </c>
      <c r="N56" s="240"/>
      <c r="O56" s="247" t="s">
        <v>145</v>
      </c>
      <c r="P56" s="249">
        <f>L56</f>
        <v>0.1</v>
      </c>
      <c r="Q56" s="241">
        <f>I56</f>
        <v>467</v>
      </c>
    </row>
    <row r="57" spans="1:17" ht="15" customHeight="1">
      <c r="A57" s="266"/>
      <c r="B57" s="276" t="s">
        <v>78</v>
      </c>
      <c r="C57" s="242" t="s">
        <v>147</v>
      </c>
      <c r="D57" s="250">
        <f t="shared" si="13"/>
        <v>2.0880000000000001</v>
      </c>
      <c r="E57" s="245">
        <f>ROUNDDOWN(B58*D57/1000,0)</f>
        <v>28814</v>
      </c>
      <c r="F57" s="1980">
        <f>'R8短期'!Z20</f>
        <v>2044000</v>
      </c>
      <c r="G57" s="242" t="s">
        <v>147</v>
      </c>
      <c r="H57" s="250">
        <f t="shared" si="14"/>
        <v>2.0880000000000001</v>
      </c>
      <c r="I57" s="245">
        <f>ROUNDDOWN(F58*H57/1000,0)</f>
        <v>9757</v>
      </c>
      <c r="J57" s="237"/>
      <c r="K57" s="242" t="s">
        <v>147</v>
      </c>
      <c r="L57" s="251">
        <f t="shared" si="15"/>
        <v>2.0880000000000001</v>
      </c>
      <c r="M57" s="245">
        <f t="shared" si="15"/>
        <v>28814</v>
      </c>
      <c r="N57" s="240"/>
      <c r="O57" s="242" t="s">
        <v>147</v>
      </c>
      <c r="P57" s="251">
        <f>L57</f>
        <v>2.0880000000000001</v>
      </c>
      <c r="Q57" s="241">
        <f>I57</f>
        <v>9757</v>
      </c>
    </row>
    <row r="58" spans="1:17" ht="15" customHeight="1">
      <c r="A58" s="265"/>
      <c r="B58" s="277">
        <f>'R8短期'!E17</f>
        <v>13800000</v>
      </c>
      <c r="C58" s="254" t="s">
        <v>148</v>
      </c>
      <c r="D58" s="250">
        <f t="shared" si="13"/>
        <v>1.2E-2</v>
      </c>
      <c r="E58" s="255">
        <f>ROUNDDOWN(B58*D58/1000,0)</f>
        <v>165</v>
      </c>
      <c r="F58" s="256">
        <f>SUM(F50:F52)</f>
        <v>4673000</v>
      </c>
      <c r="G58" s="254" t="s">
        <v>148</v>
      </c>
      <c r="H58" s="250">
        <f t="shared" si="14"/>
        <v>1.2E-2</v>
      </c>
      <c r="I58" s="255">
        <f>ROUNDDOWN(F58*H58/1000,0)</f>
        <v>56</v>
      </c>
      <c r="J58" s="257">
        <f>B58</f>
        <v>13800000</v>
      </c>
      <c r="K58" s="254" t="s">
        <v>148</v>
      </c>
      <c r="L58" s="251">
        <f t="shared" si="15"/>
        <v>1.2E-2</v>
      </c>
      <c r="M58" s="255">
        <f t="shared" si="15"/>
        <v>165</v>
      </c>
      <c r="N58" s="258">
        <f>F58</f>
        <v>4673000</v>
      </c>
      <c r="O58" s="254" t="s">
        <v>148</v>
      </c>
      <c r="P58" s="251">
        <f>L58</f>
        <v>1.2E-2</v>
      </c>
      <c r="Q58" s="259">
        <f>I58</f>
        <v>56</v>
      </c>
    </row>
    <row r="59" spans="1:17" ht="15" customHeight="1">
      <c r="A59" s="231" t="s">
        <v>75</v>
      </c>
      <c r="B59" s="278"/>
      <c r="C59" s="30"/>
      <c r="D59" s="279"/>
      <c r="E59" s="280"/>
      <c r="F59" s="281"/>
      <c r="G59" s="282"/>
      <c r="H59" s="279"/>
      <c r="I59" s="283"/>
      <c r="J59" s="237"/>
      <c r="K59" s="238"/>
      <c r="L59" s="233">
        <f>SUM(L60:L67)</f>
        <v>110.02000000000001</v>
      </c>
      <c r="M59" s="245">
        <f>ROUNDDOWN(J67*L59/1000,0)-J61</f>
        <v>93760056</v>
      </c>
      <c r="N59" s="284"/>
      <c r="O59" s="285"/>
      <c r="P59" s="279"/>
      <c r="Q59" s="286"/>
    </row>
    <row r="60" spans="1:17" ht="15" customHeight="1">
      <c r="A60" s="287"/>
      <c r="B60" s="278"/>
      <c r="C60" s="288"/>
      <c r="D60" s="289"/>
      <c r="E60" s="280"/>
      <c r="F60" s="281"/>
      <c r="G60" s="288"/>
      <c r="H60" s="289"/>
      <c r="I60" s="283"/>
      <c r="J60" s="290" t="s">
        <v>157</v>
      </c>
      <c r="K60" s="242" t="s">
        <v>141</v>
      </c>
      <c r="L60" s="244">
        <f>L51*2</f>
        <v>99.48</v>
      </c>
      <c r="M60" s="245">
        <f>M59*L60/L59</f>
        <v>84777771.049627349</v>
      </c>
      <c r="N60" s="284"/>
      <c r="O60" s="291"/>
      <c r="P60" s="292"/>
      <c r="Q60" s="286"/>
    </row>
    <row r="61" spans="1:17" ht="15" customHeight="1">
      <c r="A61" s="287"/>
      <c r="B61" s="278"/>
      <c r="C61" s="288"/>
      <c r="D61" s="289"/>
      <c r="E61" s="280"/>
      <c r="F61" s="281"/>
      <c r="G61" s="288"/>
      <c r="H61" s="289"/>
      <c r="I61" s="283"/>
      <c r="J61" s="232">
        <f>'R7掛金（短期）'!J61</f>
        <v>6405452</v>
      </c>
      <c r="K61" s="242" t="s">
        <v>142</v>
      </c>
      <c r="L61" s="244">
        <f>L52*2</f>
        <v>5.04</v>
      </c>
      <c r="M61" s="245">
        <f>M59*L61/L59</f>
        <v>4295134.3595709866</v>
      </c>
      <c r="N61" s="284"/>
      <c r="O61" s="291"/>
      <c r="P61" s="292"/>
      <c r="Q61" s="286"/>
    </row>
    <row r="62" spans="1:17" ht="15" customHeight="1">
      <c r="A62" s="287"/>
      <c r="B62" s="278"/>
      <c r="C62" s="288"/>
      <c r="D62" s="289"/>
      <c r="E62" s="280"/>
      <c r="F62" s="281"/>
      <c r="G62" s="288"/>
      <c r="H62" s="289"/>
      <c r="I62" s="283"/>
      <c r="J62" s="2467" t="s">
        <v>158</v>
      </c>
      <c r="K62" s="242" t="s">
        <v>83</v>
      </c>
      <c r="L62" s="244"/>
      <c r="M62" s="245"/>
      <c r="N62" s="284"/>
      <c r="O62" s="291"/>
      <c r="P62" s="292"/>
      <c r="Q62" s="286"/>
    </row>
    <row r="63" spans="1:17" ht="15" customHeight="1">
      <c r="A63" s="287"/>
      <c r="B63" s="278"/>
      <c r="C63" s="288"/>
      <c r="D63" s="289"/>
      <c r="E63" s="280"/>
      <c r="F63" s="281"/>
      <c r="G63" s="288"/>
      <c r="H63" s="289"/>
      <c r="I63" s="283"/>
      <c r="J63" s="2467"/>
      <c r="K63" s="242" t="s">
        <v>143</v>
      </c>
      <c r="L63" s="249">
        <f>L54*2</f>
        <v>1.1000000000000001</v>
      </c>
      <c r="M63" s="245">
        <f>M59*L63/L59</f>
        <v>937430.11816033453</v>
      </c>
      <c r="N63" s="284"/>
      <c r="O63" s="291"/>
      <c r="P63" s="292"/>
      <c r="Q63" s="286"/>
    </row>
    <row r="64" spans="1:17" ht="15" customHeight="1">
      <c r="A64" s="287"/>
      <c r="B64" s="278"/>
      <c r="C64" s="288"/>
      <c r="D64" s="293"/>
      <c r="E64" s="280"/>
      <c r="F64" s="281"/>
      <c r="G64" s="288"/>
      <c r="H64" s="293"/>
      <c r="I64" s="283"/>
      <c r="J64" s="2467"/>
      <c r="K64" s="242" t="s">
        <v>144</v>
      </c>
      <c r="L64" s="244"/>
      <c r="M64" s="245"/>
      <c r="N64" s="284"/>
      <c r="O64" s="291"/>
      <c r="P64" s="294"/>
      <c r="Q64" s="286"/>
    </row>
    <row r="65" spans="1:17" ht="15" customHeight="1">
      <c r="A65" s="287"/>
      <c r="B65" s="278"/>
      <c r="C65" s="295"/>
      <c r="D65" s="293"/>
      <c r="E65" s="280"/>
      <c r="F65" s="281"/>
      <c r="G65" s="295"/>
      <c r="H65" s="293"/>
      <c r="I65" s="283"/>
      <c r="J65" s="237"/>
      <c r="K65" s="247" t="s">
        <v>145</v>
      </c>
      <c r="L65" s="249">
        <f>L56*2</f>
        <v>0.2</v>
      </c>
      <c r="M65" s="245">
        <f>M59*L65/L59</f>
        <v>170441.83966551535</v>
      </c>
      <c r="N65" s="284"/>
      <c r="O65" s="291"/>
      <c r="P65" s="296"/>
      <c r="Q65" s="286"/>
    </row>
    <row r="66" spans="1:17" ht="15" customHeight="1">
      <c r="A66" s="287"/>
      <c r="B66" s="278"/>
      <c r="C66" s="288"/>
      <c r="D66" s="297"/>
      <c r="E66" s="280"/>
      <c r="F66" s="281"/>
      <c r="G66" s="288"/>
      <c r="H66" s="297"/>
      <c r="I66" s="283"/>
      <c r="J66" s="237"/>
      <c r="K66" s="242" t="s">
        <v>147</v>
      </c>
      <c r="L66" s="298">
        <f>L57*2</f>
        <v>4.1760000000000002</v>
      </c>
      <c r="M66" s="245">
        <f>M59*L66/L59</f>
        <v>3558825.6122159604</v>
      </c>
      <c r="N66" s="284"/>
      <c r="O66" s="291"/>
      <c r="P66" s="296"/>
      <c r="Q66" s="286"/>
    </row>
    <row r="67" spans="1:17" ht="15" customHeight="1" thickBot="1">
      <c r="A67" s="299"/>
      <c r="B67" s="300">
        <f>'R8短期'!W17</f>
        <v>910430000</v>
      </c>
      <c r="C67" s="301"/>
      <c r="D67" s="302"/>
      <c r="E67" s="303"/>
      <c r="F67" s="304"/>
      <c r="G67" s="301"/>
      <c r="H67" s="302"/>
      <c r="I67" s="305"/>
      <c r="J67" s="306">
        <f>B67</f>
        <v>910430000</v>
      </c>
      <c r="K67" s="307" t="s">
        <v>148</v>
      </c>
      <c r="L67" s="308">
        <f>L58*2</f>
        <v>2.4E-2</v>
      </c>
      <c r="M67" s="309">
        <f>M59-M60-M61-M62-M63-M64-M65-M66</f>
        <v>20453.020759854466</v>
      </c>
      <c r="N67" s="310"/>
      <c r="O67" s="311"/>
      <c r="P67" s="312"/>
      <c r="Q67" s="305"/>
    </row>
    <row r="68" spans="1:17" ht="15" customHeight="1" thickTop="1">
      <c r="A68" s="2401" t="s">
        <v>159</v>
      </c>
      <c r="B68" s="313"/>
      <c r="C68" s="314"/>
      <c r="D68" s="242" t="s">
        <v>141</v>
      </c>
      <c r="E68" s="1957">
        <f>E6+E24+E15+E42+E33+E51</f>
        <v>4091976097.4346871</v>
      </c>
      <c r="F68" s="315"/>
      <c r="G68" s="314"/>
      <c r="H68" s="242" t="s">
        <v>141</v>
      </c>
      <c r="I68" s="245">
        <f>I6+I24+I15+I42+I33+I51</f>
        <v>1269925267.432853</v>
      </c>
      <c r="J68" s="313"/>
      <c r="K68" s="238"/>
      <c r="L68" s="242" t="s">
        <v>141</v>
      </c>
      <c r="M68" s="245">
        <f>M6+M24+M15+M42+M33+M51+M60</f>
        <v>4176753868.4843144</v>
      </c>
      <c r="N68" s="315"/>
      <c r="O68" s="314"/>
      <c r="P68" s="242" t="s">
        <v>141</v>
      </c>
      <c r="Q68" s="241">
        <f>Q6+Q24+Q15+Q42+Q33+Q51</f>
        <v>1269925267.432853</v>
      </c>
    </row>
    <row r="69" spans="1:17" ht="15" customHeight="1">
      <c r="A69" s="2402"/>
      <c r="B69" s="313"/>
      <c r="C69" s="314"/>
      <c r="D69" s="242" t="s">
        <v>142</v>
      </c>
      <c r="E69" s="245">
        <f>E7+E25+E16+E43+E34+E52</f>
        <v>207313626.16677547</v>
      </c>
      <c r="F69" s="315"/>
      <c r="G69" s="314"/>
      <c r="H69" s="242" t="s">
        <v>142</v>
      </c>
      <c r="I69" s="1957">
        <f>I7+I25+I16+I43+I34+I52</f>
        <v>64338794.254740447</v>
      </c>
      <c r="J69" s="313"/>
      <c r="K69" s="238"/>
      <c r="L69" s="242" t="s">
        <v>142</v>
      </c>
      <c r="M69" s="1957">
        <f>M7+M25+M16+M43+M34+M52+M61</f>
        <v>211608760.52634645</v>
      </c>
      <c r="N69" s="315"/>
      <c r="O69" s="314"/>
      <c r="P69" s="242" t="s">
        <v>142</v>
      </c>
      <c r="Q69" s="1963">
        <f>Q7+Q25+Q16+Q43+Q34+Q52</f>
        <v>64338794.254740447</v>
      </c>
    </row>
    <row r="70" spans="1:17" ht="15" customHeight="1">
      <c r="A70" s="2402"/>
      <c r="B70" s="313"/>
      <c r="C70" s="314"/>
      <c r="D70" s="288" t="s">
        <v>83</v>
      </c>
      <c r="E70" s="245">
        <f>E8+E26+E17+E44+E35+E53</f>
        <v>52941387.281350479</v>
      </c>
      <c r="F70" s="315"/>
      <c r="G70" s="314"/>
      <c r="H70" s="288" t="s">
        <v>83</v>
      </c>
      <c r="I70" s="245">
        <f>I8+I26+I17+I44+I35+I53</f>
        <v>17992516.726688102</v>
      </c>
      <c r="J70" s="313"/>
      <c r="K70" s="238"/>
      <c r="L70" s="288" t="s">
        <v>83</v>
      </c>
      <c r="M70" s="245">
        <f t="shared" ref="M70:M72" si="16">M8+M26+M17+M44+M35+M53+M62</f>
        <v>0</v>
      </c>
      <c r="N70" s="315"/>
      <c r="O70" s="314"/>
      <c r="P70" s="288" t="s">
        <v>83</v>
      </c>
      <c r="Q70" s="241">
        <f t="shared" ref="Q70:Q72" si="17">Q8+Q26+Q17+Q44+Q35+Q53</f>
        <v>0</v>
      </c>
    </row>
    <row r="71" spans="1:17" ht="15" customHeight="1">
      <c r="A71" s="2402"/>
      <c r="B71" s="313"/>
      <c r="C71" s="314"/>
      <c r="D71" s="242" t="s">
        <v>143</v>
      </c>
      <c r="E71" s="1982">
        <f>E9+E27+E18+E45+E36+E54-1</f>
        <v>45247020.584018454</v>
      </c>
      <c r="F71" s="315"/>
      <c r="G71" s="314"/>
      <c r="H71" s="242" t="s">
        <v>143</v>
      </c>
      <c r="I71" s="245">
        <f t="shared" ref="I71:I73" si="18">I9+I27+I18+I45+I36+I54</f>
        <v>14042197.218296524</v>
      </c>
      <c r="J71" s="313"/>
      <c r="K71" s="238"/>
      <c r="L71" s="242" t="s">
        <v>143</v>
      </c>
      <c r="M71" s="245">
        <f>M9+M27+M18+M45+M36+M54+M63</f>
        <v>46184451.702178791</v>
      </c>
      <c r="N71" s="315"/>
      <c r="O71" s="314"/>
      <c r="P71" s="242" t="s">
        <v>143</v>
      </c>
      <c r="Q71" s="241">
        <f>Q9+Q27+Q18+Q45+Q36+Q54</f>
        <v>14042197.218296524</v>
      </c>
    </row>
    <row r="72" spans="1:17" ht="15" customHeight="1">
      <c r="A72" s="2402"/>
      <c r="B72" s="313"/>
      <c r="C72" s="314"/>
      <c r="D72" s="242" t="s">
        <v>144</v>
      </c>
      <c r="E72" s="245">
        <f t="shared" ref="E72:E73" si="19">E10+E28+E19+E46+E37+E55</f>
        <v>8226731.1970942654</v>
      </c>
      <c r="F72" s="315"/>
      <c r="G72" s="314"/>
      <c r="H72" s="242" t="s">
        <v>144</v>
      </c>
      <c r="I72" s="245">
        <f t="shared" si="18"/>
        <v>2553126.4942357317</v>
      </c>
      <c r="J72" s="313"/>
      <c r="K72" s="238"/>
      <c r="L72" s="242" t="s">
        <v>144</v>
      </c>
      <c r="M72" s="245">
        <f t="shared" si="16"/>
        <v>0</v>
      </c>
      <c r="N72" s="315"/>
      <c r="O72" s="314"/>
      <c r="P72" s="242" t="s">
        <v>144</v>
      </c>
      <c r="Q72" s="241">
        <f t="shared" si="17"/>
        <v>0</v>
      </c>
    </row>
    <row r="73" spans="1:17" ht="15" customHeight="1">
      <c r="A73" s="2409"/>
      <c r="B73" s="316" t="s">
        <v>139</v>
      </c>
      <c r="C73" s="314"/>
      <c r="D73" s="247" t="s">
        <v>145</v>
      </c>
      <c r="E73" s="245">
        <f t="shared" si="19"/>
        <v>8226731.1970942654</v>
      </c>
      <c r="F73" s="317" t="s">
        <v>160</v>
      </c>
      <c r="G73" s="314"/>
      <c r="H73" s="247" t="s">
        <v>145</v>
      </c>
      <c r="I73" s="245">
        <f t="shared" si="18"/>
        <v>2553126.4942357317</v>
      </c>
      <c r="J73" s="316" t="s">
        <v>139</v>
      </c>
      <c r="K73" s="238"/>
      <c r="L73" s="247" t="s">
        <v>145</v>
      </c>
      <c r="M73" s="245">
        <f>M11+M29+M20+M47+M38+M56+M65</f>
        <v>8397173.0367597807</v>
      </c>
      <c r="N73" s="317" t="s">
        <v>160</v>
      </c>
      <c r="O73" s="314"/>
      <c r="P73" s="247" t="s">
        <v>145</v>
      </c>
      <c r="Q73" s="241">
        <f>Q11+Q29+Q20+Q47+Q38+Q56</f>
        <v>2553126.4942357317</v>
      </c>
    </row>
    <row r="74" spans="1:17" ht="15" customHeight="1">
      <c r="A74" s="2409"/>
      <c r="B74" s="316"/>
      <c r="C74" s="314"/>
      <c r="D74" s="242" t="s">
        <v>147</v>
      </c>
      <c r="E74" s="245">
        <f>E12+E30+E21+E48+E39+E57</f>
        <v>171774146.99532825</v>
      </c>
      <c r="F74" s="317"/>
      <c r="G74" s="314"/>
      <c r="H74" s="242" t="s">
        <v>147</v>
      </c>
      <c r="I74" s="245">
        <f>I12+I30+I21+I48+I39+I57</f>
        <v>53309287.239642084</v>
      </c>
      <c r="J74" s="316"/>
      <c r="K74" s="238"/>
      <c r="L74" s="242" t="s">
        <v>147</v>
      </c>
      <c r="M74" s="245">
        <f>M12+M30+M21+M48+M39+M57+M66</f>
        <v>175332972.60754421</v>
      </c>
      <c r="N74" s="317"/>
      <c r="O74" s="314"/>
      <c r="P74" s="242" t="s">
        <v>147</v>
      </c>
      <c r="Q74" s="241">
        <f>Q12+Q30+Q21+Q48+Q39+Q57</f>
        <v>53309287.239642084</v>
      </c>
    </row>
    <row r="75" spans="1:17" ht="15" customHeight="1">
      <c r="A75" s="2410"/>
      <c r="B75" s="318">
        <f>B13+B31+B22+B49+B40+B58+B67</f>
        <v>83177742000</v>
      </c>
      <c r="C75" s="319"/>
      <c r="D75" s="254" t="s">
        <v>148</v>
      </c>
      <c r="E75" s="245">
        <f>E13+E31+E22+E49+E40+E58</f>
        <v>987207.14365141734</v>
      </c>
      <c r="F75" s="320">
        <f>F13+F31+F22+F49+F40+F58</f>
        <v>25531268000</v>
      </c>
      <c r="G75" s="319"/>
      <c r="H75" s="254" t="s">
        <v>148</v>
      </c>
      <c r="I75" s="1982">
        <f>I13+I31+I22+I49+I40+I58</f>
        <v>306375.13930837438</v>
      </c>
      <c r="J75" s="321">
        <f>J13+J31+J22+J49+J40+J58+J67</f>
        <v>83177742000</v>
      </c>
      <c r="K75" s="322"/>
      <c r="L75" s="254" t="s">
        <v>148</v>
      </c>
      <c r="M75" s="245">
        <f>M13+M31+M22+M49+M40+M58+M67</f>
        <v>1007660.1644112718</v>
      </c>
      <c r="N75" s="320">
        <f>N13+N31+N22+N49+N40+N58</f>
        <v>25531268000</v>
      </c>
      <c r="O75" s="319"/>
      <c r="P75" s="254" t="s">
        <v>148</v>
      </c>
      <c r="Q75" s="241">
        <f>Q13+Q31+Q22+Q49+Q40+Q58</f>
        <v>306375.13930837438</v>
      </c>
    </row>
    <row r="76" spans="1:17" ht="15" customHeight="1">
      <c r="A76" s="2411" t="s">
        <v>161</v>
      </c>
      <c r="B76" s="323" t="s">
        <v>162</v>
      </c>
      <c r="C76" s="2414">
        <f>ROUNDDOWN(E77*D6/1000,0)</f>
        <v>125340223</v>
      </c>
      <c r="D76" s="2415"/>
      <c r="E76" s="324" t="s">
        <v>163</v>
      </c>
      <c r="F76" s="325" t="s">
        <v>162</v>
      </c>
      <c r="G76" s="2414">
        <f>ROUNDDOWN(I77*H6/1000,0)</f>
        <v>15691527</v>
      </c>
      <c r="H76" s="2415"/>
      <c r="I76" s="324" t="s">
        <v>164</v>
      </c>
      <c r="J76" s="323" t="s">
        <v>162</v>
      </c>
      <c r="K76" s="2414">
        <f>C76</f>
        <v>125340223</v>
      </c>
      <c r="L76" s="2415"/>
      <c r="M76" s="2416">
        <f>SUM(K76:L81)</f>
        <v>138620135</v>
      </c>
      <c r="N76" s="325" t="s">
        <v>162</v>
      </c>
      <c r="O76" s="2414">
        <f>G76</f>
        <v>15691527</v>
      </c>
      <c r="P76" s="2415"/>
      <c r="Q76" s="2419">
        <f>SUM(O76:P81)</f>
        <v>17354057</v>
      </c>
    </row>
    <row r="77" spans="1:17" ht="15" customHeight="1">
      <c r="A77" s="2412"/>
      <c r="B77" s="326" t="s">
        <v>165</v>
      </c>
      <c r="C77" s="2407">
        <f>ROUNDDOWN(E77*D7/1000,0)</f>
        <v>6350168</v>
      </c>
      <c r="D77" s="2408"/>
      <c r="E77" s="327">
        <f>'R8短期'!AB29</f>
        <v>2519908000</v>
      </c>
      <c r="F77" s="328" t="s">
        <v>165</v>
      </c>
      <c r="G77" s="2407">
        <f>ROUNDDOWN(I77*H7/1000,0)</f>
        <v>794986</v>
      </c>
      <c r="H77" s="2408"/>
      <c r="I77" s="327">
        <f>'R8短期'!AD29</f>
        <v>315471000</v>
      </c>
      <c r="J77" s="326" t="s">
        <v>165</v>
      </c>
      <c r="K77" s="2407">
        <f t="shared" ref="K77:K81" si="20">C77</f>
        <v>6350168</v>
      </c>
      <c r="L77" s="2408"/>
      <c r="M77" s="2417"/>
      <c r="N77" s="329" t="s">
        <v>165</v>
      </c>
      <c r="O77" s="2407">
        <f t="shared" ref="O77:O81" si="21">G77</f>
        <v>794986</v>
      </c>
      <c r="P77" s="2408"/>
      <c r="Q77" s="2420"/>
    </row>
    <row r="78" spans="1:17" ht="15" customHeight="1">
      <c r="A78" s="2412"/>
      <c r="B78" s="326" t="s">
        <v>166</v>
      </c>
      <c r="C78" s="2407">
        <f>ROUNDDOWN(E77*D9/1000,0)</f>
        <v>1385949</v>
      </c>
      <c r="D78" s="2408"/>
      <c r="E78" s="327"/>
      <c r="F78" s="328" t="s">
        <v>166</v>
      </c>
      <c r="G78" s="2407">
        <f>ROUNDDOWN(I77*H9/1000,0)</f>
        <v>173509</v>
      </c>
      <c r="H78" s="2408"/>
      <c r="I78" s="327"/>
      <c r="J78" s="326" t="s">
        <v>166</v>
      </c>
      <c r="K78" s="2407">
        <f t="shared" si="20"/>
        <v>1385949</v>
      </c>
      <c r="L78" s="2408"/>
      <c r="M78" s="2417"/>
      <c r="N78" s="328" t="s">
        <v>166</v>
      </c>
      <c r="O78" s="2407">
        <f t="shared" si="21"/>
        <v>173509</v>
      </c>
      <c r="P78" s="2408"/>
      <c r="Q78" s="2420"/>
    </row>
    <row r="79" spans="1:17" ht="15" customHeight="1">
      <c r="A79" s="2412"/>
      <c r="B79" s="326" t="s">
        <v>167</v>
      </c>
      <c r="C79" s="2407">
        <f>ROUNDDOWN(E77*D11/1000,0)</f>
        <v>251990</v>
      </c>
      <c r="D79" s="2408"/>
      <c r="E79" s="327"/>
      <c r="F79" s="328" t="s">
        <v>167</v>
      </c>
      <c r="G79" s="2407">
        <f>ROUNDDOWN(I77*H11/1000,0)</f>
        <v>31547</v>
      </c>
      <c r="H79" s="2408"/>
      <c r="I79" s="327"/>
      <c r="J79" s="326" t="s">
        <v>167</v>
      </c>
      <c r="K79" s="2407">
        <f t="shared" si="20"/>
        <v>251990</v>
      </c>
      <c r="L79" s="2408"/>
      <c r="M79" s="2417"/>
      <c r="N79" s="328" t="s">
        <v>167</v>
      </c>
      <c r="O79" s="2407">
        <f t="shared" si="21"/>
        <v>31547</v>
      </c>
      <c r="P79" s="2408"/>
      <c r="Q79" s="2420"/>
    </row>
    <row r="80" spans="1:17" ht="15" customHeight="1">
      <c r="A80" s="2412"/>
      <c r="B80" s="326" t="s">
        <v>168</v>
      </c>
      <c r="C80" s="2407">
        <f>ROUNDDOWN(E77*D12/1000,0)</f>
        <v>5261567</v>
      </c>
      <c r="D80" s="2408"/>
      <c r="E80" s="330" t="s">
        <v>169</v>
      </c>
      <c r="F80" s="328" t="s">
        <v>168</v>
      </c>
      <c r="G80" s="2407">
        <f>ROUNDDOWN(I77*H12/1000,0)</f>
        <v>658703</v>
      </c>
      <c r="H80" s="2408"/>
      <c r="I80" s="330" t="s">
        <v>170</v>
      </c>
      <c r="J80" s="326" t="s">
        <v>168</v>
      </c>
      <c r="K80" s="2407">
        <f t="shared" si="20"/>
        <v>5261567</v>
      </c>
      <c r="L80" s="2408"/>
      <c r="M80" s="2417"/>
      <c r="N80" s="328" t="s">
        <v>168</v>
      </c>
      <c r="O80" s="2407">
        <f t="shared" si="21"/>
        <v>658703</v>
      </c>
      <c r="P80" s="2408"/>
      <c r="Q80" s="2420"/>
    </row>
    <row r="81" spans="1:18" s="23" customFormat="1" ht="15" customHeight="1" thickBot="1">
      <c r="A81" s="2413"/>
      <c r="B81" s="331" t="s">
        <v>171</v>
      </c>
      <c r="C81" s="2395">
        <f>ROUNDDOWN(E77*D13/1000,0)</f>
        <v>30238</v>
      </c>
      <c r="D81" s="2396"/>
      <c r="E81" s="332">
        <f>SUM(C76:D81)</f>
        <v>138620135</v>
      </c>
      <c r="F81" s="333" t="s">
        <v>171</v>
      </c>
      <c r="G81" s="2395">
        <f>ROUNDDOWN(I77*H13/1000,0)</f>
        <v>3785</v>
      </c>
      <c r="H81" s="2396"/>
      <c r="I81" s="332">
        <f>SUM(G76:H81)</f>
        <v>17354057</v>
      </c>
      <c r="J81" s="331" t="s">
        <v>171</v>
      </c>
      <c r="K81" s="2397">
        <f t="shared" si="20"/>
        <v>30238</v>
      </c>
      <c r="L81" s="2398"/>
      <c r="M81" s="2418"/>
      <c r="N81" s="334" t="s">
        <v>171</v>
      </c>
      <c r="O81" s="2395">
        <f t="shared" si="21"/>
        <v>3785</v>
      </c>
      <c r="P81" s="2396"/>
      <c r="Q81" s="2421"/>
    </row>
    <row r="82" spans="1:18" s="23" customFormat="1" ht="15" customHeight="1" thickTop="1">
      <c r="A82" s="2401" t="s">
        <v>172</v>
      </c>
      <c r="B82" s="335"/>
      <c r="C82" s="336"/>
      <c r="D82" s="242" t="s">
        <v>141</v>
      </c>
      <c r="E82" s="337">
        <f>E68-C76</f>
        <v>3966635874.4346871</v>
      </c>
      <c r="F82" s="338"/>
      <c r="G82" s="339"/>
      <c r="H82" s="242" t="s">
        <v>141</v>
      </c>
      <c r="I82" s="337">
        <f>I68-G76</f>
        <v>1254233740.432853</v>
      </c>
      <c r="J82" s="340"/>
      <c r="K82" s="339"/>
      <c r="L82" s="242" t="s">
        <v>141</v>
      </c>
      <c r="M82" s="337">
        <f>M68-K76</f>
        <v>4051413645.4843144</v>
      </c>
      <c r="N82" s="338"/>
      <c r="O82" s="339"/>
      <c r="P82" s="242" t="s">
        <v>141</v>
      </c>
      <c r="Q82" s="341">
        <f>Q68-O76</f>
        <v>1254233740.432853</v>
      </c>
    </row>
    <row r="83" spans="1:18" s="23" customFormat="1" ht="15" customHeight="1">
      <c r="A83" s="2402"/>
      <c r="B83" s="335"/>
      <c r="C83" s="336"/>
      <c r="D83" s="242" t="s">
        <v>142</v>
      </c>
      <c r="E83" s="342">
        <f>E69-C77</f>
        <v>200963458.16677547</v>
      </c>
      <c r="F83" s="338"/>
      <c r="G83" s="339"/>
      <c r="H83" s="242" t="s">
        <v>142</v>
      </c>
      <c r="I83" s="342">
        <f>I69-G77</f>
        <v>63543808.254740447</v>
      </c>
      <c r="J83" s="340"/>
      <c r="K83" s="339"/>
      <c r="L83" s="242" t="s">
        <v>142</v>
      </c>
      <c r="M83" s="342">
        <f>M69-K77</f>
        <v>205258592.52634645</v>
      </c>
      <c r="N83" s="338"/>
      <c r="O83" s="339"/>
      <c r="P83" s="242" t="s">
        <v>142</v>
      </c>
      <c r="Q83" s="343">
        <f>Q69-O77</f>
        <v>63543808.254740447</v>
      </c>
    </row>
    <row r="84" spans="1:18" s="23" customFormat="1" ht="15" customHeight="1">
      <c r="A84" s="2402"/>
      <c r="B84" s="335"/>
      <c r="C84" s="336"/>
      <c r="D84" s="288" t="s">
        <v>83</v>
      </c>
      <c r="E84" s="342">
        <f>E70</f>
        <v>52941387.281350479</v>
      </c>
      <c r="F84" s="338"/>
      <c r="G84" s="339"/>
      <c r="H84" s="288" t="s">
        <v>83</v>
      </c>
      <c r="I84" s="342">
        <f>I70</f>
        <v>17992516.726688102</v>
      </c>
      <c r="J84" s="340"/>
      <c r="K84" s="339"/>
      <c r="L84" s="288" t="s">
        <v>83</v>
      </c>
      <c r="M84" s="342">
        <f>M70</f>
        <v>0</v>
      </c>
      <c r="N84" s="338"/>
      <c r="O84" s="339"/>
      <c r="P84" s="288" t="s">
        <v>83</v>
      </c>
      <c r="Q84" s="343">
        <f>Q70</f>
        <v>0</v>
      </c>
    </row>
    <row r="85" spans="1:18" s="23" customFormat="1" ht="15" customHeight="1">
      <c r="A85" s="2402"/>
      <c r="B85" s="335"/>
      <c r="C85" s="336"/>
      <c r="D85" s="242" t="s">
        <v>143</v>
      </c>
      <c r="E85" s="342">
        <f>E71-C78</f>
        <v>43861071.584018454</v>
      </c>
      <c r="F85" s="338"/>
      <c r="G85" s="339"/>
      <c r="H85" s="242" t="s">
        <v>143</v>
      </c>
      <c r="I85" s="342">
        <f>I71-G78</f>
        <v>13868688.218296524</v>
      </c>
      <c r="J85" s="340"/>
      <c r="K85" s="339"/>
      <c r="L85" s="242" t="s">
        <v>143</v>
      </c>
      <c r="M85" s="342">
        <f>M71-K78</f>
        <v>44798502.702178791</v>
      </c>
      <c r="N85" s="338"/>
      <c r="O85" s="339"/>
      <c r="P85" s="242" t="s">
        <v>143</v>
      </c>
      <c r="Q85" s="343">
        <f>Q71-O78</f>
        <v>13868688.218296524</v>
      </c>
    </row>
    <row r="86" spans="1:18" s="23" customFormat="1" ht="15" customHeight="1">
      <c r="A86" s="2402"/>
      <c r="B86" s="335"/>
      <c r="C86" s="336"/>
      <c r="D86" s="242" t="s">
        <v>144</v>
      </c>
      <c r="E86" s="342">
        <f>E72</f>
        <v>8226731.1970942654</v>
      </c>
      <c r="F86" s="338"/>
      <c r="G86" s="339"/>
      <c r="H86" s="242" t="s">
        <v>144</v>
      </c>
      <c r="I86" s="342">
        <f>I72</f>
        <v>2553126.4942357317</v>
      </c>
      <c r="J86" s="340"/>
      <c r="K86" s="339"/>
      <c r="L86" s="242" t="s">
        <v>144</v>
      </c>
      <c r="M86" s="342">
        <f>M72</f>
        <v>0</v>
      </c>
      <c r="N86" s="338"/>
      <c r="O86" s="339"/>
      <c r="P86" s="242" t="s">
        <v>144</v>
      </c>
      <c r="Q86" s="343">
        <f>Q72</f>
        <v>0</v>
      </c>
    </row>
    <row r="87" spans="1:18" s="23" customFormat="1" ht="15" customHeight="1">
      <c r="A87" s="2402"/>
      <c r="B87" s="335"/>
      <c r="C87" s="336"/>
      <c r="D87" s="247" t="s">
        <v>145</v>
      </c>
      <c r="E87" s="342">
        <f>E73-C79</f>
        <v>7974741.1970942654</v>
      </c>
      <c r="F87" s="338"/>
      <c r="G87" s="339"/>
      <c r="H87" s="247" t="s">
        <v>145</v>
      </c>
      <c r="I87" s="342">
        <f>I73-G79</f>
        <v>2521579.4942357317</v>
      </c>
      <c r="J87" s="340"/>
      <c r="K87" s="339"/>
      <c r="L87" s="247" t="s">
        <v>145</v>
      </c>
      <c r="M87" s="342">
        <f>M73-K79</f>
        <v>8145183.0367597807</v>
      </c>
      <c r="N87" s="338"/>
      <c r="O87" s="339"/>
      <c r="P87" s="247" t="s">
        <v>145</v>
      </c>
      <c r="Q87" s="343">
        <f>Q73-O79</f>
        <v>2521579.4942357317</v>
      </c>
    </row>
    <row r="88" spans="1:18" s="23" customFormat="1" ht="15" customHeight="1">
      <c r="A88" s="2402"/>
      <c r="B88" s="335"/>
      <c r="C88" s="336"/>
      <c r="D88" s="242" t="s">
        <v>147</v>
      </c>
      <c r="E88" s="342">
        <f>E74-C80</f>
        <v>166512579.99532825</v>
      </c>
      <c r="F88" s="338"/>
      <c r="G88" s="339"/>
      <c r="H88" s="242" t="s">
        <v>147</v>
      </c>
      <c r="I88" s="342">
        <f>I74-G80</f>
        <v>52650584.239642084</v>
      </c>
      <c r="J88" s="340"/>
      <c r="K88" s="339"/>
      <c r="L88" s="242" t="s">
        <v>147</v>
      </c>
      <c r="M88" s="342">
        <f>M74-K80</f>
        <v>170071405.60754421</v>
      </c>
      <c r="N88" s="338"/>
      <c r="O88" s="339"/>
      <c r="P88" s="242" t="s">
        <v>147</v>
      </c>
      <c r="Q88" s="343">
        <f>Q74-O80</f>
        <v>52650584.239642084</v>
      </c>
    </row>
    <row r="89" spans="1:18" ht="15" customHeight="1" thickBot="1">
      <c r="A89" s="2402"/>
      <c r="B89" s="344"/>
      <c r="C89" s="345"/>
      <c r="D89" s="254" t="s">
        <v>148</v>
      </c>
      <c r="E89" s="346">
        <f>E75-C81</f>
        <v>956969.14365141734</v>
      </c>
      <c r="F89" s="347"/>
      <c r="G89" s="348"/>
      <c r="H89" s="247" t="s">
        <v>148</v>
      </c>
      <c r="I89" s="346">
        <f>I75-G81</f>
        <v>302590.13930837438</v>
      </c>
      <c r="J89" s="290"/>
      <c r="K89" s="236"/>
      <c r="L89" s="247" t="s">
        <v>148</v>
      </c>
      <c r="M89" s="346">
        <f>M75-K81</f>
        <v>977422.16441127181</v>
      </c>
      <c r="N89" s="347"/>
      <c r="O89" s="348"/>
      <c r="P89" s="247" t="s">
        <v>148</v>
      </c>
      <c r="Q89" s="349">
        <f>Q75-O81</f>
        <v>302590.13930837438</v>
      </c>
    </row>
    <row r="90" spans="1:18" ht="18.75" customHeight="1" thickTop="1" thickBot="1">
      <c r="A90" s="350" t="s">
        <v>84</v>
      </c>
      <c r="B90" s="351" t="s">
        <v>173</v>
      </c>
      <c r="C90" s="20"/>
      <c r="D90" s="2463">
        <f>SUM(E82:E89)-1</f>
        <v>4448072811.999999</v>
      </c>
      <c r="E90" s="2464"/>
      <c r="F90" s="352" t="s">
        <v>85</v>
      </c>
      <c r="G90" s="353"/>
      <c r="H90" s="2405">
        <f>SUM(I82:I89)</f>
        <v>1407666634.0000002</v>
      </c>
      <c r="I90" s="2406"/>
      <c r="J90" s="351" t="s">
        <v>174</v>
      </c>
      <c r="K90" s="20"/>
      <c r="L90" s="2403">
        <f>SUM(M82:M89)</f>
        <v>4480664751.5215549</v>
      </c>
      <c r="M90" s="2404"/>
      <c r="N90" s="352" t="s">
        <v>86</v>
      </c>
      <c r="O90" s="353"/>
      <c r="P90" s="2465">
        <f>SUM(Q82:Q89)</f>
        <v>1387120990.7790763</v>
      </c>
      <c r="Q90" s="2466"/>
    </row>
    <row r="91" spans="1:18" ht="18.75" customHeight="1" thickTop="1" thickBot="1">
      <c r="A91" s="354" t="s">
        <v>175</v>
      </c>
      <c r="B91" s="355" t="s">
        <v>176</v>
      </c>
      <c r="C91" s="355"/>
      <c r="D91" s="2456">
        <f>D90+H90-H91</f>
        <v>5635316723.482069</v>
      </c>
      <c r="E91" s="2457"/>
      <c r="F91" s="2458" t="s">
        <v>177</v>
      </c>
      <c r="G91" s="2458"/>
      <c r="H91" s="2459">
        <f>E88+E89+I88+I89-1</f>
        <v>220422722.51793012</v>
      </c>
      <c r="I91" s="2460"/>
      <c r="J91" s="356" t="s">
        <v>178</v>
      </c>
      <c r="K91" s="355"/>
      <c r="L91" s="2456">
        <f>L90+P90-P91</f>
        <v>5643783740.1497259</v>
      </c>
      <c r="M91" s="2457"/>
      <c r="N91" s="2458" t="s">
        <v>179</v>
      </c>
      <c r="O91" s="2458"/>
      <c r="P91" s="2461">
        <f>M88+M89+Q88+Q89</f>
        <v>224002002.15090594</v>
      </c>
      <c r="Q91" s="2462"/>
    </row>
    <row r="92" spans="1:18">
      <c r="D92" s="22"/>
      <c r="J92" s="230"/>
      <c r="K92" s="230"/>
      <c r="L92" s="230"/>
      <c r="M92" s="230"/>
      <c r="N92" s="230"/>
      <c r="O92" s="230"/>
      <c r="P92" s="230"/>
      <c r="Q92" s="230"/>
      <c r="R92" s="230"/>
    </row>
    <row r="93" spans="1:18" s="359" customFormat="1" ht="21" customHeight="1">
      <c r="A93" s="357" t="s">
        <v>180</v>
      </c>
      <c r="B93" s="358"/>
      <c r="C93" s="358" t="str">
        <f>A1</f>
        <v>R8年度</v>
      </c>
      <c r="J93" s="357" t="s">
        <v>181</v>
      </c>
      <c r="K93" s="358"/>
      <c r="L93" s="358" t="str">
        <f>C93</f>
        <v>R8年度</v>
      </c>
      <c r="M93" s="358"/>
    </row>
    <row r="94" spans="1:18" s="366" customFormat="1" ht="21" customHeight="1">
      <c r="A94" s="360" t="s">
        <v>182</v>
      </c>
      <c r="B94" s="361"/>
      <c r="C94" s="361" t="s">
        <v>183</v>
      </c>
      <c r="D94" s="2307">
        <f>D95+D109+D113</f>
        <v>5624536865.7907391</v>
      </c>
      <c r="E94" s="2308"/>
      <c r="F94" s="2309">
        <f>F95+F109+F113</f>
        <v>5624536</v>
      </c>
      <c r="G94" s="2308"/>
      <c r="H94" s="362" t="s">
        <v>441</v>
      </c>
      <c r="I94" s="363">
        <f>F95+F109</f>
        <v>5553602</v>
      </c>
      <c r="J94" s="360" t="s">
        <v>184</v>
      </c>
      <c r="K94" s="361"/>
      <c r="L94" s="364" t="s">
        <v>183</v>
      </c>
      <c r="M94" s="365">
        <f>M96+M100+M104</f>
        <v>5553602962.7827005</v>
      </c>
      <c r="N94" s="2310">
        <f>N96+N100+N104</f>
        <v>5553602</v>
      </c>
      <c r="O94" s="2311"/>
      <c r="Q94" s="367"/>
    </row>
    <row r="95" spans="1:18" s="366" customFormat="1" ht="21" customHeight="1">
      <c r="A95" s="368" t="s">
        <v>185</v>
      </c>
      <c r="B95" s="369"/>
      <c r="C95" s="369"/>
      <c r="D95" s="2271">
        <f>D96+D100+D104</f>
        <v>5552625557.7827005</v>
      </c>
      <c r="E95" s="2272"/>
      <c r="F95" s="2273">
        <f>F96+F100+F104</f>
        <v>5552625</v>
      </c>
      <c r="G95" s="2272"/>
      <c r="H95" s="370" t="s">
        <v>186</v>
      </c>
      <c r="I95" s="370"/>
      <c r="J95" s="2302"/>
      <c r="K95" s="2303"/>
      <c r="L95" s="371"/>
      <c r="M95" s="990"/>
      <c r="N95" s="2267"/>
      <c r="O95" s="2266"/>
      <c r="P95" s="366" t="s">
        <v>186</v>
      </c>
      <c r="Q95" s="367"/>
    </row>
    <row r="96" spans="1:18" s="366" customFormat="1" ht="21" customHeight="1">
      <c r="A96" s="372" t="s">
        <v>187</v>
      </c>
      <c r="B96" s="373"/>
      <c r="C96" s="374"/>
      <c r="D96" s="2265">
        <f>D97+D98</f>
        <v>1147616.7658092177</v>
      </c>
      <c r="E96" s="2266"/>
      <c r="F96" s="2267">
        <f>F97+F98</f>
        <v>1147</v>
      </c>
      <c r="G96" s="2266"/>
      <c r="H96" s="2436">
        <f>F97+F101+F105+F110-((C76+C77+C78+C79)/1000)</f>
        <v>4219434.67</v>
      </c>
      <c r="I96" s="2437"/>
      <c r="J96" s="2302" t="s">
        <v>187</v>
      </c>
      <c r="K96" s="2303"/>
      <c r="L96" s="371"/>
      <c r="M96" s="990">
        <f>SUM(M97:M98)</f>
        <v>1147616.7658092177</v>
      </c>
      <c r="N96" s="2281">
        <f>N97+N98</f>
        <v>1147</v>
      </c>
      <c r="O96" s="2282"/>
      <c r="P96" s="2436">
        <f>N97+N101+N105-((K76+K77+K78+K79)/1000)</f>
        <v>4219434.67</v>
      </c>
      <c r="Q96" s="2455"/>
    </row>
    <row r="97" spans="1:17" s="366" customFormat="1" ht="21" customHeight="1">
      <c r="A97" s="375" t="s">
        <v>188</v>
      </c>
      <c r="B97" s="376"/>
      <c r="C97" s="376"/>
      <c r="D97" s="2278">
        <f>E6+E7+E9+E11</f>
        <v>844442.84387281176</v>
      </c>
      <c r="E97" s="2279"/>
      <c r="F97" s="2267">
        <f>ROUND(D97/1000,0)</f>
        <v>844</v>
      </c>
      <c r="G97" s="2266"/>
      <c r="H97" s="370" t="s">
        <v>189</v>
      </c>
      <c r="I97" s="370"/>
      <c r="J97" s="992" t="s">
        <v>188</v>
      </c>
      <c r="K97" s="377"/>
      <c r="L97" s="377"/>
      <c r="M97" s="991">
        <f>M6+M7+M9+M11</f>
        <v>844442.84387281176</v>
      </c>
      <c r="N97" s="2281">
        <f>F97</f>
        <v>844</v>
      </c>
      <c r="O97" s="2282"/>
      <c r="P97" s="370" t="s">
        <v>189</v>
      </c>
      <c r="Q97" s="378"/>
    </row>
    <row r="98" spans="1:17" s="366" customFormat="1" ht="21" customHeight="1">
      <c r="A98" s="379" t="s">
        <v>190</v>
      </c>
      <c r="B98" s="376"/>
      <c r="C98" s="374"/>
      <c r="D98" s="2278">
        <f>I6+I7+I9+I11</f>
        <v>303173.92193640594</v>
      </c>
      <c r="E98" s="2279"/>
      <c r="F98" s="2296">
        <f>ROUND(D98/1000,0)</f>
        <v>303</v>
      </c>
      <c r="G98" s="2297"/>
      <c r="H98" s="2436">
        <f>F98+F102+F106+F111-((G76+G77+G78+G79)/1000)</f>
        <v>1334167.4310000001</v>
      </c>
      <c r="I98" s="2437"/>
      <c r="J98" s="380" t="s">
        <v>190</v>
      </c>
      <c r="K98" s="381"/>
      <c r="L98" s="381"/>
      <c r="M98" s="1960">
        <f>Q6+Q7+Q9+Q11</f>
        <v>303173.92193640594</v>
      </c>
      <c r="N98" s="2281">
        <f>F98</f>
        <v>303</v>
      </c>
      <c r="O98" s="2282"/>
      <c r="P98" s="2436">
        <f>N98+N102+N106-((O76+O77+O78+O79)/1000)</f>
        <v>1334167.4310000001</v>
      </c>
      <c r="Q98" s="2455"/>
    </row>
    <row r="99" spans="1:17" s="366" customFormat="1" ht="21" customHeight="1">
      <c r="A99" s="379"/>
      <c r="B99" s="376"/>
      <c r="C99" s="374"/>
      <c r="D99" s="2278"/>
      <c r="E99" s="2279"/>
      <c r="F99" s="2267"/>
      <c r="G99" s="2266"/>
      <c r="H99" s="370"/>
      <c r="I99" s="370"/>
      <c r="J99" s="382"/>
      <c r="K99" s="383"/>
      <c r="L99" s="383"/>
      <c r="M99" s="991"/>
      <c r="N99" s="2280"/>
      <c r="O99" s="2279"/>
    </row>
    <row r="100" spans="1:17" s="366" customFormat="1" ht="21" customHeight="1">
      <c r="A100" s="375" t="s">
        <v>191</v>
      </c>
      <c r="B100" s="384"/>
      <c r="C100" s="384"/>
      <c r="D100" s="2265">
        <f>D101+D102</f>
        <v>5788459.3981351331</v>
      </c>
      <c r="E100" s="2266"/>
      <c r="F100" s="2267">
        <f>F101+F102</f>
        <v>5789</v>
      </c>
      <c r="G100" s="2266"/>
      <c r="H100" s="370"/>
      <c r="I100" s="370"/>
      <c r="J100" s="992" t="s">
        <v>192</v>
      </c>
      <c r="K100" s="993"/>
      <c r="L100" s="993"/>
      <c r="M100" s="990">
        <f>M101+M102</f>
        <v>5788458.3981351331</v>
      </c>
      <c r="N100" s="2281">
        <f>N101+N102</f>
        <v>5789</v>
      </c>
      <c r="O100" s="2282"/>
    </row>
    <row r="101" spans="1:17" s="366" customFormat="1" ht="21" customHeight="1">
      <c r="A101" s="375" t="s">
        <v>188</v>
      </c>
      <c r="B101" s="376"/>
      <c r="C101" s="376"/>
      <c r="D101" s="2278">
        <f>E24+E25+E27+E29+E15+E16+E18+E20</f>
        <v>3974599.0079840319</v>
      </c>
      <c r="E101" s="2279"/>
      <c r="F101" s="2294">
        <f>ROUND(D101/1000,0)</f>
        <v>3975</v>
      </c>
      <c r="G101" s="2295"/>
      <c r="H101" s="370"/>
      <c r="I101" s="370"/>
      <c r="J101" s="992" t="s">
        <v>188</v>
      </c>
      <c r="K101" s="377"/>
      <c r="L101" s="377"/>
      <c r="M101" s="991">
        <f>M24+M25+M27+M29+M15+M16+M18+M20</f>
        <v>3974599.0079840319</v>
      </c>
      <c r="N101" s="2298">
        <f>F101</f>
        <v>3975</v>
      </c>
      <c r="O101" s="2299"/>
      <c r="P101" s="385"/>
      <c r="Q101" s="2384" t="s">
        <v>193</v>
      </c>
    </row>
    <row r="102" spans="1:17" s="366" customFormat="1" ht="21" customHeight="1">
      <c r="A102" s="379" t="s">
        <v>190</v>
      </c>
      <c r="B102" s="376"/>
      <c r="C102" s="374"/>
      <c r="D102" s="2453">
        <f>I24+I25+I27+I29+I15+I16+I18+I20+1</f>
        <v>1813860.3901511016</v>
      </c>
      <c r="E102" s="2454"/>
      <c r="F102" s="2294">
        <f>ROUND(D102/1000,0)</f>
        <v>1814</v>
      </c>
      <c r="G102" s="2295"/>
      <c r="H102" s="386"/>
      <c r="J102" s="380" t="s">
        <v>190</v>
      </c>
      <c r="K102" s="377"/>
      <c r="L102" s="387"/>
      <c r="M102" s="991">
        <f>Q24+Q25+Q27+Q29+Q15+Q16+Q18+Q20</f>
        <v>1813859.3901511016</v>
      </c>
      <c r="N102" s="2281">
        <f>F102</f>
        <v>1814</v>
      </c>
      <c r="O102" s="2282"/>
      <c r="Q102" s="2384"/>
    </row>
    <row r="103" spans="1:17" s="366" customFormat="1" ht="21" customHeight="1">
      <c r="A103" s="388"/>
      <c r="B103" s="389"/>
      <c r="C103" s="389"/>
      <c r="D103" s="2289"/>
      <c r="E103" s="2290"/>
      <c r="F103" s="2291"/>
      <c r="G103" s="2290"/>
      <c r="J103" s="382"/>
      <c r="K103" s="383"/>
      <c r="L103" s="383"/>
      <c r="M103" s="991"/>
      <c r="N103" s="2280"/>
      <c r="O103" s="2279"/>
      <c r="P103" s="385"/>
      <c r="Q103" s="2384"/>
    </row>
    <row r="104" spans="1:17" s="366" customFormat="1" ht="21" customHeight="1">
      <c r="A104" s="375" t="s">
        <v>194</v>
      </c>
      <c r="B104" s="384"/>
      <c r="C104" s="384"/>
      <c r="D104" s="2354">
        <f>D105+D106+D107</f>
        <v>5545689481.6187563</v>
      </c>
      <c r="E104" s="2297"/>
      <c r="F104" s="2267">
        <f>F105+F106+F107</f>
        <v>5545689</v>
      </c>
      <c r="G104" s="2266"/>
      <c r="J104" s="992" t="s">
        <v>195</v>
      </c>
      <c r="K104" s="993"/>
      <c r="L104" s="993"/>
      <c r="M104" s="1961">
        <f>M105+M106+M107</f>
        <v>5546666887.6187563</v>
      </c>
      <c r="N104" s="2281">
        <f>N105+N106+N107</f>
        <v>5546666</v>
      </c>
      <c r="O104" s="2282"/>
      <c r="Q104" s="390"/>
    </row>
    <row r="105" spans="1:17" s="366" customFormat="1" ht="21" customHeight="1">
      <c r="A105" s="375" t="s">
        <v>188</v>
      </c>
      <c r="B105" s="376"/>
      <c r="C105" s="376"/>
      <c r="D105" s="2453">
        <f>E42+E43+E45+E47+E33+E34+E36+E38-1</f>
        <v>4347214275.5307178</v>
      </c>
      <c r="E105" s="2454"/>
      <c r="F105" s="2280">
        <f>ROUND(D105/1000,0)</f>
        <v>4347214</v>
      </c>
      <c r="G105" s="2279"/>
      <c r="J105" s="992" t="s">
        <v>188</v>
      </c>
      <c r="K105" s="377"/>
      <c r="L105" s="377"/>
      <c r="M105" s="1960">
        <f>M42+M43+M45+M47+M33+M34+M36+M38+M51+M52+M54+M56</f>
        <v>4347944434.5307178</v>
      </c>
      <c r="N105" s="2281">
        <f>F105+F110</f>
        <v>4347944</v>
      </c>
      <c r="O105" s="2282"/>
      <c r="Q105" s="390"/>
    </row>
    <row r="106" spans="1:17" s="366" customFormat="1" ht="21" customHeight="1">
      <c r="A106" s="379" t="s">
        <v>190</v>
      </c>
      <c r="B106" s="376"/>
      <c r="C106" s="374"/>
      <c r="D106" s="2278">
        <f>I42+I43+I45+I47+I33+I34+I36+I38</f>
        <v>1348495105.0880382</v>
      </c>
      <c r="E106" s="2279"/>
      <c r="F106" s="2280">
        <f>ROUND(D106/1000,0)</f>
        <v>1348495</v>
      </c>
      <c r="G106" s="2279"/>
      <c r="J106" s="380" t="s">
        <v>190</v>
      </c>
      <c r="K106" s="377"/>
      <c r="L106" s="387"/>
      <c r="M106" s="991">
        <f>Q42+Q43+Q45+Q47+Q33+Q34+Q36+Q38+Q51+Q52+Q54+Q56</f>
        <v>1348742352.0880382</v>
      </c>
      <c r="N106" s="2281">
        <f>F106+F111</f>
        <v>1348742</v>
      </c>
      <c r="O106" s="2282"/>
      <c r="Q106" s="390"/>
    </row>
    <row r="107" spans="1:17" s="366" customFormat="1" ht="21" customHeight="1">
      <c r="A107" s="2283" t="s">
        <v>196</v>
      </c>
      <c r="B107" s="2284"/>
      <c r="C107" s="2284"/>
      <c r="D107" s="2265">
        <f>-C76-C77-C78-C79-G76-G77-G78-G79</f>
        <v>-150019899</v>
      </c>
      <c r="E107" s="2266"/>
      <c r="F107" s="2267">
        <f>ROUND(D107/1000,0)</f>
        <v>-150020</v>
      </c>
      <c r="G107" s="2266"/>
      <c r="J107" s="2285" t="s">
        <v>197</v>
      </c>
      <c r="K107" s="2286"/>
      <c r="L107" s="2286"/>
      <c r="M107" s="391">
        <f>-K76-K77-K78-K79-O76-O77-O78-O79</f>
        <v>-150019899</v>
      </c>
      <c r="N107" s="2287">
        <f>F107</f>
        <v>-150020</v>
      </c>
      <c r="O107" s="2288"/>
    </row>
    <row r="108" spans="1:17" s="366" customFormat="1" ht="21" customHeight="1">
      <c r="A108" s="375"/>
      <c r="B108" s="384"/>
      <c r="C108" s="384"/>
      <c r="D108" s="2265"/>
      <c r="E108" s="2266"/>
      <c r="F108" s="2267"/>
      <c r="G108" s="2266"/>
    </row>
    <row r="109" spans="1:17" s="366" customFormat="1" ht="21" customHeight="1">
      <c r="A109" s="368" t="s">
        <v>198</v>
      </c>
      <c r="B109" s="369"/>
      <c r="C109" s="392"/>
      <c r="D109" s="2271">
        <f>D110+D111</f>
        <v>977405</v>
      </c>
      <c r="E109" s="2272"/>
      <c r="F109" s="2273">
        <f>F110+F111</f>
        <v>977</v>
      </c>
      <c r="G109" s="2272"/>
      <c r="J109" s="393" t="s">
        <v>199</v>
      </c>
      <c r="K109" s="394"/>
      <c r="L109" s="2274">
        <f>M60+M61+M63+M65</f>
        <v>90180777.367024183</v>
      </c>
      <c r="M109" s="2275"/>
      <c r="N109" s="2276">
        <f>ROUND(L109/1000,0)</f>
        <v>90181</v>
      </c>
      <c r="O109" s="2277"/>
      <c r="P109" s="385"/>
    </row>
    <row r="110" spans="1:17" s="366" customFormat="1" ht="21" customHeight="1">
      <c r="A110" s="375" t="s">
        <v>188</v>
      </c>
      <c r="B110" s="376"/>
      <c r="C110" s="376"/>
      <c r="D110" s="2265">
        <f>E51+E52+E54+E56</f>
        <v>730158</v>
      </c>
      <c r="E110" s="2266"/>
      <c r="F110" s="2267">
        <f>ROUND(D110/1000,0)</f>
        <v>730</v>
      </c>
      <c r="G110" s="2266"/>
      <c r="N110" s="395"/>
      <c r="O110" s="395"/>
    </row>
    <row r="111" spans="1:17" s="366" customFormat="1" ht="21" customHeight="1">
      <c r="A111" s="379" t="s">
        <v>190</v>
      </c>
      <c r="B111" s="376"/>
      <c r="C111" s="374"/>
      <c r="D111" s="2265">
        <f>I51+I52+I54+I56</f>
        <v>247247</v>
      </c>
      <c r="E111" s="2266"/>
      <c r="F111" s="2296">
        <f>ROUND(D111/1000,0)</f>
        <v>247</v>
      </c>
      <c r="G111" s="2297"/>
      <c r="N111" s="395"/>
      <c r="O111" s="395"/>
    </row>
    <row r="112" spans="1:17" s="399" customFormat="1" ht="21" customHeight="1">
      <c r="A112" s="396"/>
      <c r="B112" s="397"/>
      <c r="C112" s="398"/>
      <c r="D112" s="2265"/>
      <c r="E112" s="2266"/>
      <c r="F112" s="2267"/>
      <c r="G112" s="2266"/>
      <c r="J112" s="400" t="s">
        <v>200</v>
      </c>
      <c r="K112" s="401"/>
      <c r="L112" s="401" t="str">
        <f>L93</f>
        <v>R8年度</v>
      </c>
      <c r="N112" s="402"/>
      <c r="O112" s="402"/>
    </row>
    <row r="113" spans="1:19" s="399" customFormat="1" ht="21" customHeight="1">
      <c r="A113" s="368" t="s">
        <v>201</v>
      </c>
      <c r="B113" s="369"/>
      <c r="C113" s="369"/>
      <c r="D113" s="2312">
        <f>SUM(D114+D118+D122+D126)-1</f>
        <v>70933903.00803858</v>
      </c>
      <c r="E113" s="2313"/>
      <c r="F113" s="2273">
        <f>SUM(F114+F118+F122+F126)</f>
        <v>70934</v>
      </c>
      <c r="G113" s="2272"/>
      <c r="J113" s="403" t="s">
        <v>202</v>
      </c>
      <c r="K113" s="404"/>
      <c r="L113" s="404"/>
      <c r="M113" s="405">
        <f>SUM(M114:M115)</f>
        <v>137560033.9451158</v>
      </c>
      <c r="N113" s="2378">
        <f>SUM(N114:O115)</f>
        <v>137560</v>
      </c>
      <c r="O113" s="2379"/>
    </row>
    <row r="114" spans="1:19" s="399" customFormat="1" ht="21" customHeight="1">
      <c r="A114" s="372" t="s">
        <v>187</v>
      </c>
      <c r="B114" s="373"/>
      <c r="C114" s="398"/>
      <c r="D114" s="2265">
        <f>D115+D116</f>
        <v>18870.281350482313</v>
      </c>
      <c r="E114" s="2266"/>
      <c r="F114" s="2267">
        <f>F115+F116</f>
        <v>19</v>
      </c>
      <c r="G114" s="2266"/>
      <c r="J114" s="2369" t="s">
        <v>203</v>
      </c>
      <c r="K114" s="2370"/>
      <c r="L114" s="2370"/>
      <c r="M114" s="406">
        <f>E87+I87+M87+Q87</f>
        <v>21163083.222325511</v>
      </c>
      <c r="N114" s="2368">
        <f>ROUND(M114/1000,0)</f>
        <v>21163</v>
      </c>
      <c r="O114" s="2282"/>
    </row>
    <row r="115" spans="1:19" s="399" customFormat="1" ht="21" customHeight="1">
      <c r="A115" s="407" t="s">
        <v>188</v>
      </c>
      <c r="B115" s="397"/>
      <c r="C115" s="397"/>
      <c r="D115" s="2265">
        <f>E8</f>
        <v>13885.18756698821</v>
      </c>
      <c r="E115" s="2266"/>
      <c r="F115" s="2267">
        <f>ROUND(D115/1000,0)</f>
        <v>14</v>
      </c>
      <c r="G115" s="2266"/>
      <c r="J115" s="2369" t="s">
        <v>204</v>
      </c>
      <c r="K115" s="2370"/>
      <c r="L115" s="2370"/>
      <c r="M115" s="406">
        <f>E85+I85+M85+Q85</f>
        <v>116396950.7227903</v>
      </c>
      <c r="N115" s="2368">
        <f>ROUND(M115/1000,0)</f>
        <v>116397</v>
      </c>
      <c r="O115" s="2282"/>
    </row>
    <row r="116" spans="1:19" s="399" customFormat="1" ht="21" customHeight="1">
      <c r="A116" s="396" t="s">
        <v>190</v>
      </c>
      <c r="B116" s="397"/>
      <c r="C116" s="398"/>
      <c r="D116" s="2265">
        <f>I8</f>
        <v>4985.0937834941042</v>
      </c>
      <c r="E116" s="2266"/>
      <c r="F116" s="2296">
        <f>ROUND(D116/1000,0)</f>
        <v>5</v>
      </c>
      <c r="G116" s="2297"/>
      <c r="J116" s="408"/>
      <c r="K116" s="409"/>
      <c r="L116" s="409"/>
      <c r="M116" s="406"/>
      <c r="N116" s="2376"/>
      <c r="O116" s="2377"/>
    </row>
    <row r="117" spans="1:19" s="399" customFormat="1" ht="21" customHeight="1">
      <c r="A117" s="410"/>
      <c r="B117" s="397"/>
      <c r="C117" s="397"/>
      <c r="D117" s="2265"/>
      <c r="E117" s="2266"/>
      <c r="F117" s="2267"/>
      <c r="G117" s="2266"/>
      <c r="J117" s="411" t="s">
        <v>205</v>
      </c>
      <c r="K117" s="412"/>
      <c r="L117" s="412"/>
      <c r="M117" s="413">
        <f>SUM(M118:M119)</f>
        <v>615023428.90197146</v>
      </c>
      <c r="N117" s="2364">
        <f>SUM(N118:O119)</f>
        <v>615024</v>
      </c>
      <c r="O117" s="2365"/>
    </row>
    <row r="118" spans="1:19" s="399" customFormat="1" ht="21" customHeight="1">
      <c r="A118" s="375" t="s">
        <v>191</v>
      </c>
      <c r="B118" s="384"/>
      <c r="C118" s="384"/>
      <c r="D118" s="2265">
        <f>D119+D120</f>
        <v>69009.260986066438</v>
      </c>
      <c r="E118" s="2266"/>
      <c r="F118" s="2267">
        <f>F119+F120</f>
        <v>69</v>
      </c>
      <c r="G118" s="2266"/>
      <c r="J118" s="2366" t="s">
        <v>206</v>
      </c>
      <c r="K118" s="2367"/>
      <c r="L118" s="2367"/>
      <c r="M118" s="406">
        <f>E86+I86</f>
        <v>10779857.691329997</v>
      </c>
      <c r="N118" s="2368">
        <f>ROUND(M118/1000,0)</f>
        <v>10780</v>
      </c>
      <c r="O118" s="2282"/>
    </row>
    <row r="119" spans="1:19" s="399" customFormat="1" ht="21" customHeight="1">
      <c r="A119" s="407" t="s">
        <v>188</v>
      </c>
      <c r="B119" s="397"/>
      <c r="C119" s="397"/>
      <c r="D119" s="2265">
        <f>E26</f>
        <v>47501.999999999993</v>
      </c>
      <c r="E119" s="2266"/>
      <c r="F119" s="2374">
        <f>ROUNDDOWN(D119/1000,0)</f>
        <v>47</v>
      </c>
      <c r="G119" s="2375"/>
      <c r="J119" s="2358" t="s">
        <v>207</v>
      </c>
      <c r="K119" s="2359"/>
      <c r="L119" s="2359"/>
      <c r="M119" s="414">
        <f>E83+I83+M83+Q83+E84+I84</f>
        <v>604243571.2106415</v>
      </c>
      <c r="N119" s="2360">
        <f>ROUND(M119/1000,0)</f>
        <v>604244</v>
      </c>
      <c r="O119" s="2288"/>
    </row>
    <row r="120" spans="1:19" s="399" customFormat="1" ht="21" customHeight="1">
      <c r="A120" s="396" t="s">
        <v>190</v>
      </c>
      <c r="B120" s="397"/>
      <c r="C120" s="398"/>
      <c r="D120" s="2265">
        <f>I26</f>
        <v>21507.260986066449</v>
      </c>
      <c r="E120" s="2266"/>
      <c r="F120" s="2267">
        <f>ROUND(D120/1000,0)</f>
        <v>22</v>
      </c>
      <c r="G120" s="2266"/>
      <c r="J120" s="409"/>
      <c r="K120" s="409"/>
      <c r="L120" s="415"/>
      <c r="M120" s="995"/>
      <c r="N120" s="994"/>
      <c r="O120" s="994"/>
    </row>
    <row r="121" spans="1:19" s="399" customFormat="1" ht="21" customHeight="1">
      <c r="A121" s="416"/>
      <c r="B121" s="398"/>
      <c r="C121" s="398"/>
      <c r="D121" s="2265"/>
      <c r="E121" s="2266"/>
      <c r="F121" s="2267"/>
      <c r="G121" s="2266"/>
      <c r="J121" s="409"/>
      <c r="K121" s="409"/>
      <c r="L121" s="415"/>
      <c r="M121" s="995"/>
      <c r="N121" s="994"/>
      <c r="O121" s="994"/>
    </row>
    <row r="122" spans="1:19" s="399" customFormat="1" ht="21" customHeight="1" thickBot="1">
      <c r="A122" s="2352" t="s">
        <v>208</v>
      </c>
      <c r="B122" s="2353"/>
      <c r="C122" s="2353"/>
      <c r="D122" s="2265">
        <f>D123+D124</f>
        <v>70839144.465702027</v>
      </c>
      <c r="E122" s="2266"/>
      <c r="F122" s="2267">
        <f>F123+F124</f>
        <v>70839</v>
      </c>
      <c r="G122" s="2266"/>
      <c r="J122" s="409"/>
      <c r="K122" s="409"/>
      <c r="L122" s="415"/>
      <c r="M122" s="994"/>
      <c r="N122" s="994"/>
    </row>
    <row r="123" spans="1:19" s="399" customFormat="1" ht="21" customHeight="1">
      <c r="A123" s="407" t="s">
        <v>188</v>
      </c>
      <c r="B123" s="397"/>
      <c r="C123" s="397"/>
      <c r="D123" s="2265">
        <f>E44</f>
        <v>52875407.09378349</v>
      </c>
      <c r="E123" s="2266"/>
      <c r="F123" s="2267">
        <f>ROUND(D123/1000,0)</f>
        <v>52875</v>
      </c>
      <c r="G123" s="2266"/>
      <c r="J123" s="409"/>
      <c r="K123" s="409"/>
      <c r="L123" s="415"/>
      <c r="M123" s="417"/>
      <c r="N123" s="2346" t="str">
        <f>A1</f>
        <v>R8年度</v>
      </c>
      <c r="O123" s="2347"/>
      <c r="P123" s="418">
        <f>EOMONTH('R7掛金（短期）'!P127,3)</f>
        <v>46203</v>
      </c>
      <c r="Q123" s="419" t="s">
        <v>209</v>
      </c>
    </row>
    <row r="124" spans="1:19" s="399" customFormat="1" ht="21" customHeight="1">
      <c r="A124" s="396" t="s">
        <v>190</v>
      </c>
      <c r="B124" s="397"/>
      <c r="C124" s="398"/>
      <c r="D124" s="2265">
        <f>I44</f>
        <v>17963737.37191854</v>
      </c>
      <c r="E124" s="2266"/>
      <c r="F124" s="2354">
        <f>ROUND(D124/1000,0)</f>
        <v>17964</v>
      </c>
      <c r="G124" s="2297"/>
      <c r="H124" s="386"/>
      <c r="J124" s="409"/>
      <c r="K124" s="409"/>
      <c r="L124" s="415"/>
      <c r="M124" s="417"/>
      <c r="N124" s="2348" t="s">
        <v>210</v>
      </c>
      <c r="O124" s="2349"/>
      <c r="P124" s="2451">
        <f>ROUNDDOWN((H90+P90)*('R8短期'!Y7/'R8短期'!Y17),0)</f>
        <v>1275843884</v>
      </c>
      <c r="Q124" s="2452"/>
      <c r="S124" s="366">
        <f>P124+P126+P128+P130</f>
        <v>11723525187.300629</v>
      </c>
    </row>
    <row r="125" spans="1:19" s="399" customFormat="1" ht="21" customHeight="1">
      <c r="A125" s="396"/>
      <c r="B125" s="397"/>
      <c r="C125" s="398"/>
      <c r="D125" s="2342"/>
      <c r="E125" s="2343"/>
      <c r="F125" s="2265"/>
      <c r="G125" s="2266"/>
      <c r="J125" s="409"/>
      <c r="K125" s="409"/>
      <c r="L125" s="415"/>
      <c r="M125" s="420"/>
      <c r="N125" s="2348"/>
      <c r="O125" s="2349"/>
      <c r="P125" s="421">
        <f>EOMONTH(P123,6)</f>
        <v>46387</v>
      </c>
      <c r="Q125" s="422" t="s">
        <v>209</v>
      </c>
    </row>
    <row r="126" spans="1:19" s="399" customFormat="1" ht="21" customHeight="1">
      <c r="A126" s="375" t="s">
        <v>211</v>
      </c>
      <c r="B126" s="384"/>
      <c r="C126" s="384"/>
      <c r="D126" s="2265">
        <f>D127+D128</f>
        <v>6880</v>
      </c>
      <c r="E126" s="2266"/>
      <c r="F126" s="2265">
        <f>F127+F128</f>
        <v>7</v>
      </c>
      <c r="G126" s="2266"/>
      <c r="M126" s="417"/>
      <c r="N126" s="2350"/>
      <c r="O126" s="2351"/>
      <c r="P126" s="2443">
        <f>ROUNDDOWN((H90+P90)*('R8短期'!Y13/'R8短期'!Y17),0)</f>
        <v>1276308345</v>
      </c>
      <c r="Q126" s="2335"/>
      <c r="S126" s="1981">
        <f>D91+H91+L91+P91</f>
        <v>11723525188.300631</v>
      </c>
    </row>
    <row r="127" spans="1:19" s="399" customFormat="1" ht="21" customHeight="1">
      <c r="A127" s="407" t="s">
        <v>188</v>
      </c>
      <c r="B127" s="397"/>
      <c r="C127" s="397"/>
      <c r="D127" s="2265">
        <f>E53</f>
        <v>4593</v>
      </c>
      <c r="E127" s="2266"/>
      <c r="F127" s="2296">
        <f>ROUND(D127/1000,0)</f>
        <v>5</v>
      </c>
      <c r="G127" s="2297"/>
      <c r="H127" s="386"/>
      <c r="J127" s="385" t="str">
        <f>L132</f>
        <v>R8年度</v>
      </c>
      <c r="M127" s="420"/>
      <c r="N127" s="2439">
        <f>D94+M94+L109+D130+D133+M133+L148+2</f>
        <v>11723525188.300632</v>
      </c>
      <c r="O127" s="2440"/>
      <c r="P127" s="423">
        <f>EOMONTH(P125,3)</f>
        <v>46477</v>
      </c>
      <c r="Q127" s="424" t="s">
        <v>209</v>
      </c>
    </row>
    <row r="128" spans="1:19" s="399" customFormat="1" ht="21" customHeight="1">
      <c r="A128" s="425" t="s">
        <v>190</v>
      </c>
      <c r="B128" s="426"/>
      <c r="C128" s="427"/>
      <c r="D128" s="2268">
        <f>I53</f>
        <v>2287</v>
      </c>
      <c r="E128" s="2269"/>
      <c r="F128" s="2332">
        <f>ROUND(D128/1000,0)</f>
        <v>2</v>
      </c>
      <c r="G128" s="2333"/>
      <c r="J128" s="428" t="s">
        <v>212</v>
      </c>
      <c r="K128" s="429"/>
      <c r="L128" s="430"/>
      <c r="M128" s="431"/>
      <c r="N128" s="2439"/>
      <c r="O128" s="2440"/>
      <c r="P128" s="2443">
        <f>H90+P90-P124-P126-1</f>
        <v>242635394.77907658</v>
      </c>
      <c r="Q128" s="2335"/>
    </row>
    <row r="129" spans="1:19" s="399" customFormat="1" ht="21" customHeight="1">
      <c r="A129" s="432"/>
      <c r="B129" s="432"/>
      <c r="C129" s="432"/>
      <c r="D129" s="433"/>
      <c r="E129" s="433"/>
      <c r="F129" s="434"/>
      <c r="G129" s="434"/>
      <c r="J129" s="2444">
        <f>E89+I89+M89+Q89</f>
        <v>2539571.5866794381</v>
      </c>
      <c r="K129" s="2445"/>
      <c r="L129" s="2446"/>
      <c r="M129" s="431"/>
      <c r="N129" s="2439"/>
      <c r="O129" s="2440"/>
      <c r="P129" s="435">
        <f>P123</f>
        <v>46203</v>
      </c>
      <c r="Q129" s="422" t="s">
        <v>213</v>
      </c>
      <c r="S129" s="436"/>
    </row>
    <row r="130" spans="1:19" s="399" customFormat="1" ht="21" customHeight="1" thickBot="1">
      <c r="A130" s="437" t="s">
        <v>214</v>
      </c>
      <c r="B130" s="438"/>
      <c r="C130" s="438"/>
      <c r="D130" s="2317">
        <f>E86+I86-1</f>
        <v>10779856.691329997</v>
      </c>
      <c r="E130" s="2318"/>
      <c r="F130" s="2319">
        <f>ROUND(D130/1000,0)</f>
        <v>10780</v>
      </c>
      <c r="G130" s="2320"/>
      <c r="J130" s="2447"/>
      <c r="K130" s="2448"/>
      <c r="L130" s="2449"/>
      <c r="M130" s="439">
        <f>ROUND(J129/1000,0)</f>
        <v>2540</v>
      </c>
      <c r="N130" s="2441"/>
      <c r="O130" s="2442"/>
      <c r="P130" s="2450">
        <f>D90+L90</f>
        <v>8928737563.521553</v>
      </c>
      <c r="Q130" s="2322"/>
    </row>
    <row r="131" spans="1:19" s="399" customFormat="1" ht="21" customHeight="1">
      <c r="A131" s="432"/>
      <c r="B131" s="432"/>
      <c r="C131" s="432"/>
      <c r="D131" s="432"/>
      <c r="E131" s="432"/>
      <c r="P131" s="366"/>
      <c r="Q131" s="366"/>
    </row>
    <row r="132" spans="1:19" s="359" customFormat="1" ht="21" customHeight="1">
      <c r="A132" s="357" t="s">
        <v>177</v>
      </c>
      <c r="C132" s="358" t="str">
        <f>C93</f>
        <v>R8年度</v>
      </c>
      <c r="D132" s="358"/>
      <c r="H132" s="370"/>
      <c r="I132" s="370"/>
      <c r="J132" s="357" t="s">
        <v>179</v>
      </c>
      <c r="K132" s="358"/>
      <c r="L132" s="358" t="str">
        <f>C132</f>
        <v>R8年度</v>
      </c>
      <c r="N132" s="2326">
        <f>N133+N148</f>
        <v>224002</v>
      </c>
      <c r="O132" s="2327"/>
      <c r="P132" s="399"/>
      <c r="Q132" s="366"/>
      <c r="R132" s="366"/>
    </row>
    <row r="133" spans="1:19" s="366" customFormat="1" ht="21" customHeight="1">
      <c r="A133" s="360" t="s">
        <v>182</v>
      </c>
      <c r="B133" s="361"/>
      <c r="C133" s="361" t="s">
        <v>183</v>
      </c>
      <c r="D133" s="2307">
        <f>D134+D148</f>
        <v>220422722.51793012</v>
      </c>
      <c r="E133" s="2308"/>
      <c r="F133" s="2309">
        <f>F134+F148</f>
        <v>220423</v>
      </c>
      <c r="G133" s="2308"/>
      <c r="H133" s="370"/>
      <c r="I133" s="370"/>
      <c r="J133" s="360" t="s">
        <v>184</v>
      </c>
      <c r="K133" s="361"/>
      <c r="L133" s="364" t="s">
        <v>183</v>
      </c>
      <c r="M133" s="1964">
        <f>M135+M139+M143-1</f>
        <v>220422722.51793012</v>
      </c>
      <c r="N133" s="2310">
        <f>N135+N139+N143</f>
        <v>220423</v>
      </c>
      <c r="O133" s="2311"/>
      <c r="Q133" s="399"/>
      <c r="R133" s="16"/>
      <c r="S133" s="399"/>
    </row>
    <row r="134" spans="1:19" s="366" customFormat="1" ht="21" customHeight="1">
      <c r="A134" s="368" t="s">
        <v>185</v>
      </c>
      <c r="B134" s="369"/>
      <c r="C134" s="369"/>
      <c r="D134" s="2312">
        <f>D135+D139+D143-1</f>
        <v>220383930.51793012</v>
      </c>
      <c r="E134" s="2313"/>
      <c r="F134" s="2438">
        <f>F135+F139+F143-1</f>
        <v>220384</v>
      </c>
      <c r="G134" s="2313"/>
      <c r="H134" s="370" t="s">
        <v>186</v>
      </c>
      <c r="I134" s="370"/>
      <c r="J134" s="2302"/>
      <c r="K134" s="2303"/>
      <c r="L134" s="371"/>
      <c r="M134" s="990"/>
      <c r="N134" s="2281"/>
      <c r="O134" s="2282"/>
      <c r="P134" s="440" t="s">
        <v>186</v>
      </c>
      <c r="Q134" s="440" t="s">
        <v>215</v>
      </c>
      <c r="R134" s="16"/>
      <c r="S134" s="16"/>
    </row>
    <row r="135" spans="1:19" s="366" customFormat="1" ht="21" customHeight="1">
      <c r="A135" s="372" t="s">
        <v>187</v>
      </c>
      <c r="B135" s="373"/>
      <c r="C135" s="374"/>
      <c r="D135" s="2265">
        <f>D136+D137</f>
        <v>45548.954983922886</v>
      </c>
      <c r="E135" s="2266"/>
      <c r="F135" s="2267">
        <f>F136+F137</f>
        <v>46</v>
      </c>
      <c r="G135" s="2266"/>
      <c r="H135" s="2436">
        <f>ROUND((D136+D140+D144+D149-C80-C81)/1000,0)+1</f>
        <v>167471</v>
      </c>
      <c r="I135" s="2437"/>
      <c r="J135" s="2302" t="s">
        <v>187</v>
      </c>
      <c r="K135" s="2303"/>
      <c r="L135" s="371"/>
      <c r="M135" s="990">
        <f>SUM(M136:M137)</f>
        <v>45548.954983922886</v>
      </c>
      <c r="N135" s="2281">
        <f>N136+N137</f>
        <v>46</v>
      </c>
      <c r="O135" s="2282"/>
      <c r="P135" s="441">
        <f>H135</f>
        <v>167471</v>
      </c>
      <c r="Q135" s="442">
        <f>P135+N148</f>
        <v>171050</v>
      </c>
      <c r="R135" s="16"/>
      <c r="S135" s="16"/>
    </row>
    <row r="136" spans="1:19" s="366" customFormat="1" ht="21" customHeight="1">
      <c r="A136" s="375" t="s">
        <v>188</v>
      </c>
      <c r="B136" s="376"/>
      <c r="C136" s="376"/>
      <c r="D136" s="2278">
        <f>E12+E13</f>
        <v>33515.969989281963</v>
      </c>
      <c r="E136" s="2279"/>
      <c r="F136" s="2267">
        <f>ROUND(D136/1000,0)</f>
        <v>34</v>
      </c>
      <c r="G136" s="2266"/>
      <c r="H136" s="370" t="s">
        <v>189</v>
      </c>
      <c r="I136" s="370"/>
      <c r="J136" s="992" t="s">
        <v>188</v>
      </c>
      <c r="K136" s="377"/>
      <c r="L136" s="377"/>
      <c r="M136" s="991">
        <f>M12+M13</f>
        <v>33515.969989281963</v>
      </c>
      <c r="N136" s="2281">
        <f>F136</f>
        <v>34</v>
      </c>
      <c r="O136" s="2282"/>
      <c r="P136" s="443"/>
      <c r="Q136" s="443"/>
      <c r="R136" s="16"/>
      <c r="S136" s="16"/>
    </row>
    <row r="137" spans="1:19" s="366" customFormat="1" ht="21" customHeight="1">
      <c r="A137" s="379" t="s">
        <v>190</v>
      </c>
      <c r="B137" s="376"/>
      <c r="C137" s="374"/>
      <c r="D137" s="2278">
        <f>I12+I13</f>
        <v>12032.984994640919</v>
      </c>
      <c r="E137" s="2279"/>
      <c r="F137" s="2296">
        <f>ROUND(D137/1000,0)</f>
        <v>12</v>
      </c>
      <c r="G137" s="2297"/>
      <c r="H137" s="2436">
        <f>ROUND((D137+D141+D145+D150-G80-G81)/1000,0)</f>
        <v>52953</v>
      </c>
      <c r="I137" s="2437"/>
      <c r="J137" s="380" t="s">
        <v>190</v>
      </c>
      <c r="K137" s="381"/>
      <c r="L137" s="381"/>
      <c r="M137" s="991">
        <f>Q12+Q13</f>
        <v>12032.984994640919</v>
      </c>
      <c r="N137" s="2298">
        <f>F137</f>
        <v>12</v>
      </c>
      <c r="O137" s="2299"/>
      <c r="P137" s="443"/>
      <c r="Q137" s="443"/>
      <c r="R137" s="16"/>
      <c r="S137" s="16"/>
    </row>
    <row r="138" spans="1:19" s="366" customFormat="1" ht="21" customHeight="1">
      <c r="A138" s="379"/>
      <c r="B138" s="376"/>
      <c r="C138" s="374"/>
      <c r="D138" s="2278"/>
      <c r="E138" s="2279"/>
      <c r="F138" s="2267"/>
      <c r="G138" s="2266"/>
      <c r="H138" s="370"/>
      <c r="I138" s="370"/>
      <c r="J138" s="382"/>
      <c r="K138" s="383"/>
      <c r="L138" s="383"/>
      <c r="M138" s="991"/>
      <c r="N138" s="2300"/>
      <c r="O138" s="2301"/>
      <c r="P138" s="440" t="s">
        <v>189</v>
      </c>
      <c r="Q138" s="444"/>
      <c r="R138" s="16"/>
      <c r="S138" s="16"/>
    </row>
    <row r="139" spans="1:19" s="366" customFormat="1" ht="21" customHeight="1">
      <c r="A139" s="375" t="s">
        <v>191</v>
      </c>
      <c r="B139" s="384"/>
      <c r="C139" s="384"/>
      <c r="D139" s="2265">
        <f>D140+D141</f>
        <v>229744.14356612723</v>
      </c>
      <c r="E139" s="2266"/>
      <c r="F139" s="2267">
        <f>F140+F141</f>
        <v>230</v>
      </c>
      <c r="G139" s="2266"/>
      <c r="H139" s="370"/>
      <c r="I139" s="370"/>
      <c r="J139" s="992" t="s">
        <v>192</v>
      </c>
      <c r="K139" s="993"/>
      <c r="L139" s="993"/>
      <c r="M139" s="990">
        <f>M140+M141</f>
        <v>229744.14356612723</v>
      </c>
      <c r="N139" s="2281">
        <f>N140+N141</f>
        <v>230</v>
      </c>
      <c r="O139" s="2282"/>
      <c r="P139" s="441">
        <f>H137</f>
        <v>52953</v>
      </c>
      <c r="Q139" s="445"/>
      <c r="R139" s="16"/>
      <c r="S139" s="16"/>
    </row>
    <row r="140" spans="1:19" s="366" customFormat="1" ht="21" customHeight="1">
      <c r="A140" s="375" t="s">
        <v>188</v>
      </c>
      <c r="B140" s="376"/>
      <c r="C140" s="376"/>
      <c r="D140" s="2278">
        <f>E30+E31+E21+E22</f>
        <v>157751.99237887876</v>
      </c>
      <c r="E140" s="2279"/>
      <c r="F140" s="2294">
        <f>ROUND(D140/1000,0)</f>
        <v>158</v>
      </c>
      <c r="G140" s="2295"/>
      <c r="J140" s="992" t="s">
        <v>188</v>
      </c>
      <c r="K140" s="377"/>
      <c r="L140" s="377"/>
      <c r="M140" s="991">
        <f>M30+M31+M21+M22</f>
        <v>157751.99237887876</v>
      </c>
      <c r="N140" s="2281">
        <f>ROUND(M140/1000,0)</f>
        <v>158</v>
      </c>
      <c r="O140" s="2282"/>
      <c r="P140" s="440"/>
      <c r="Q140" s="444"/>
      <c r="R140" s="16"/>
      <c r="S140" s="16"/>
    </row>
    <row r="141" spans="1:19" s="366" customFormat="1" ht="21" customHeight="1">
      <c r="A141" s="379" t="s">
        <v>190</v>
      </c>
      <c r="B141" s="376"/>
      <c r="C141" s="374"/>
      <c r="D141" s="2278">
        <f>I30+I31+I21+I22</f>
        <v>71992.151187248484</v>
      </c>
      <c r="E141" s="2279"/>
      <c r="F141" s="2280">
        <f>ROUND(D141/1000,0)</f>
        <v>72</v>
      </c>
      <c r="G141" s="2279"/>
      <c r="J141" s="380" t="s">
        <v>190</v>
      </c>
      <c r="K141" s="377"/>
      <c r="L141" s="387"/>
      <c r="M141" s="991">
        <f>Q30+Q31+Q21+Q22</f>
        <v>71992.151187248484</v>
      </c>
      <c r="N141" s="2281">
        <f>ROUND(M141/1000,0)</f>
        <v>72</v>
      </c>
      <c r="O141" s="2282"/>
      <c r="P141" s="446"/>
      <c r="Q141" s="230"/>
      <c r="R141" s="16"/>
      <c r="S141" s="16"/>
    </row>
    <row r="142" spans="1:19" s="366" customFormat="1" ht="21" customHeight="1">
      <c r="A142" s="388"/>
      <c r="B142" s="389"/>
      <c r="C142" s="389"/>
      <c r="D142" s="2289"/>
      <c r="E142" s="2290"/>
      <c r="F142" s="2291"/>
      <c r="G142" s="2290"/>
      <c r="J142" s="382"/>
      <c r="K142" s="383"/>
      <c r="L142" s="383"/>
      <c r="M142" s="991"/>
      <c r="N142" s="2292"/>
      <c r="O142" s="2293"/>
      <c r="P142" s="446"/>
      <c r="Q142" s="230"/>
      <c r="R142" s="16"/>
      <c r="S142" s="16"/>
    </row>
    <row r="143" spans="1:19" s="366" customFormat="1" ht="21" customHeight="1">
      <c r="A143" s="375" t="s">
        <v>194</v>
      </c>
      <c r="B143" s="384"/>
      <c r="C143" s="384"/>
      <c r="D143" s="2265">
        <f>D144+D145+D146</f>
        <v>220108638.41938007</v>
      </c>
      <c r="E143" s="2266"/>
      <c r="F143" s="2267">
        <f>F144+F145+F146</f>
        <v>220109</v>
      </c>
      <c r="G143" s="2266"/>
      <c r="J143" s="992" t="s">
        <v>195</v>
      </c>
      <c r="K143" s="993"/>
      <c r="L143" s="993"/>
      <c r="M143" s="990">
        <f>M144+M145+M146</f>
        <v>220147430.41938007</v>
      </c>
      <c r="N143" s="2281">
        <f>N144+N145+N146</f>
        <v>220147</v>
      </c>
      <c r="O143" s="2282"/>
      <c r="Q143" s="16"/>
      <c r="R143" s="16"/>
      <c r="S143" s="16"/>
    </row>
    <row r="144" spans="1:19" s="366" customFormat="1" ht="21" customHeight="1">
      <c r="A144" s="375" t="s">
        <v>188</v>
      </c>
      <c r="B144" s="376"/>
      <c r="C144" s="376"/>
      <c r="D144" s="2278">
        <f>E48+E49+E39+E40</f>
        <v>172541107.17661148</v>
      </c>
      <c r="E144" s="2279"/>
      <c r="F144" s="2280">
        <f>ROUND(D144/1000,0)</f>
        <v>172541</v>
      </c>
      <c r="G144" s="2279"/>
      <c r="J144" s="992" t="s">
        <v>188</v>
      </c>
      <c r="K144" s="377"/>
      <c r="L144" s="377"/>
      <c r="M144" s="991">
        <f>M48+M49+M39+M40+M57+M58</f>
        <v>172570086.17661148</v>
      </c>
      <c r="N144" s="2281">
        <f>ROUND(M144/1000,0)</f>
        <v>172570</v>
      </c>
      <c r="O144" s="2282"/>
      <c r="Q144" s="16"/>
      <c r="R144" s="16"/>
      <c r="S144" s="16"/>
    </row>
    <row r="145" spans="1:19" s="366" customFormat="1" ht="21" customHeight="1">
      <c r="A145" s="379" t="s">
        <v>190</v>
      </c>
      <c r="B145" s="376"/>
      <c r="C145" s="374"/>
      <c r="D145" s="2278">
        <f>I48+I49+I39+I40</f>
        <v>53521824.242768571</v>
      </c>
      <c r="E145" s="2279"/>
      <c r="F145" s="2280">
        <f>ROUND(D145/1000,0)</f>
        <v>53522</v>
      </c>
      <c r="G145" s="2279"/>
      <c r="J145" s="380" t="s">
        <v>190</v>
      </c>
      <c r="K145" s="377"/>
      <c r="L145" s="387"/>
      <c r="M145" s="991">
        <f>Q48+Q49+Q39+Q40+Q57+Q58</f>
        <v>53531637.242768571</v>
      </c>
      <c r="N145" s="2434">
        <f>ROUNDDOWN(M145/1000,0)</f>
        <v>53531</v>
      </c>
      <c r="O145" s="2435"/>
      <c r="Q145" s="16"/>
      <c r="R145" s="16"/>
      <c r="S145" s="16"/>
    </row>
    <row r="146" spans="1:19" s="366" customFormat="1" ht="21" customHeight="1">
      <c r="A146" s="2283" t="s">
        <v>216</v>
      </c>
      <c r="B146" s="2284"/>
      <c r="C146" s="2284"/>
      <c r="D146" s="2265">
        <f>-C80-C81-G80-G81</f>
        <v>-5954293</v>
      </c>
      <c r="E146" s="2266"/>
      <c r="F146" s="2267">
        <f>ROUND(D146/1000,0)</f>
        <v>-5954</v>
      </c>
      <c r="G146" s="2266"/>
      <c r="J146" s="2285" t="s">
        <v>217</v>
      </c>
      <c r="K146" s="2286"/>
      <c r="L146" s="2286"/>
      <c r="M146" s="391">
        <f>-K80-K81-O80-O81</f>
        <v>-5954293</v>
      </c>
      <c r="N146" s="2287">
        <f t="shared" ref="N146" si="22">ROUND(M146/1000,0)</f>
        <v>-5954</v>
      </c>
      <c r="O146" s="2288"/>
      <c r="Q146" s="16"/>
      <c r="R146" s="16"/>
      <c r="S146" s="16"/>
    </row>
    <row r="147" spans="1:19" s="366" customFormat="1" ht="21" customHeight="1">
      <c r="A147" s="375"/>
      <c r="B147" s="384"/>
      <c r="C147" s="384"/>
      <c r="D147" s="2265"/>
      <c r="E147" s="2266"/>
      <c r="F147" s="2267"/>
      <c r="G147" s="2266"/>
      <c r="N147" s="395"/>
      <c r="O147" s="395"/>
      <c r="P147" s="16"/>
      <c r="Q147" s="16"/>
      <c r="R147" s="16"/>
      <c r="S147" s="16"/>
    </row>
    <row r="148" spans="1:19" s="366" customFormat="1" ht="21" customHeight="1">
      <c r="A148" s="368" t="s">
        <v>198</v>
      </c>
      <c r="B148" s="369"/>
      <c r="C148" s="392"/>
      <c r="D148" s="2271">
        <f>D149+D150</f>
        <v>38792</v>
      </c>
      <c r="E148" s="2272"/>
      <c r="F148" s="2273">
        <f>F149+F150</f>
        <v>39</v>
      </c>
      <c r="G148" s="2272"/>
      <c r="J148" s="447" t="s">
        <v>199</v>
      </c>
      <c r="K148" s="394"/>
      <c r="L148" s="2274">
        <f>M66+M67</f>
        <v>3579278.6329758149</v>
      </c>
      <c r="M148" s="2275"/>
      <c r="N148" s="2276">
        <f>ROUND(L148/1000,0)</f>
        <v>3579</v>
      </c>
      <c r="O148" s="2277"/>
      <c r="P148" s="16"/>
      <c r="Q148" s="16"/>
      <c r="R148" s="16"/>
      <c r="S148" s="16"/>
    </row>
    <row r="149" spans="1:19" s="366" customFormat="1" ht="21" customHeight="1">
      <c r="A149" s="375" t="s">
        <v>188</v>
      </c>
      <c r="B149" s="376"/>
      <c r="C149" s="376"/>
      <c r="D149" s="2265">
        <f>E57+E58</f>
        <v>28979</v>
      </c>
      <c r="E149" s="2266"/>
      <c r="F149" s="2267">
        <f>ROUND(D149/1000,0)</f>
        <v>29</v>
      </c>
      <c r="G149" s="2266"/>
      <c r="P149" s="16"/>
      <c r="Q149" s="16"/>
      <c r="R149" s="16"/>
      <c r="S149" s="16"/>
    </row>
    <row r="150" spans="1:19" s="366" customFormat="1" ht="21" customHeight="1">
      <c r="A150" s="379" t="s">
        <v>190</v>
      </c>
      <c r="B150" s="376"/>
      <c r="C150" s="374"/>
      <c r="D150" s="2265">
        <f>I57+I58</f>
        <v>9813</v>
      </c>
      <c r="E150" s="2266"/>
      <c r="F150" s="2267">
        <f>ROUND(D150/1000,0)</f>
        <v>10</v>
      </c>
      <c r="G150" s="2266"/>
      <c r="P150" s="16"/>
      <c r="Q150" s="16"/>
      <c r="R150" s="16"/>
    </row>
    <row r="151" spans="1:19" s="399" customFormat="1" ht="21" customHeight="1">
      <c r="A151" s="425"/>
      <c r="B151" s="426"/>
      <c r="C151" s="427"/>
      <c r="D151" s="2268"/>
      <c r="E151" s="2269"/>
      <c r="F151" s="2270"/>
      <c r="G151" s="2269"/>
      <c r="O151" s="366"/>
      <c r="P151" s="16"/>
      <c r="Q151" s="16"/>
      <c r="R151" s="16"/>
    </row>
    <row r="152" spans="1:19">
      <c r="D152" s="448"/>
      <c r="E152" s="448"/>
      <c r="F152" s="448"/>
      <c r="G152" s="448"/>
      <c r="O152" s="366"/>
    </row>
    <row r="153" spans="1:19">
      <c r="D153" s="402"/>
      <c r="E153" s="402"/>
      <c r="F153" s="402"/>
      <c r="G153" s="402"/>
      <c r="O153" s="366"/>
    </row>
    <row r="154" spans="1:19">
      <c r="D154" s="402"/>
      <c r="E154" s="402"/>
      <c r="O154" s="366"/>
    </row>
    <row r="155" spans="1:19">
      <c r="O155" s="366"/>
    </row>
    <row r="156" spans="1:19">
      <c r="O156" s="399"/>
    </row>
  </sheetData>
  <mergeCells count="225">
    <mergeCell ref="A2:A4"/>
    <mergeCell ref="B2:I2"/>
    <mergeCell ref="J2:Q2"/>
    <mergeCell ref="B3:E3"/>
    <mergeCell ref="F3:I3"/>
    <mergeCell ref="J3:M3"/>
    <mergeCell ref="N3:Q3"/>
    <mergeCell ref="K78:L78"/>
    <mergeCell ref="J62:J64"/>
    <mergeCell ref="A68:A75"/>
    <mergeCell ref="A76:A81"/>
    <mergeCell ref="C76:D76"/>
    <mergeCell ref="G76:H76"/>
    <mergeCell ref="K76:L76"/>
    <mergeCell ref="C81:D81"/>
    <mergeCell ref="G81:H81"/>
    <mergeCell ref="K81:L81"/>
    <mergeCell ref="O81:P81"/>
    <mergeCell ref="A82:A89"/>
    <mergeCell ref="D90:E90"/>
    <mergeCell ref="H90:I90"/>
    <mergeCell ref="L90:M90"/>
    <mergeCell ref="P90:Q90"/>
    <mergeCell ref="O78:P78"/>
    <mergeCell ref="C79:D79"/>
    <mergeCell ref="G79:H79"/>
    <mergeCell ref="K79:L79"/>
    <mergeCell ref="O79:P79"/>
    <mergeCell ref="C80:D80"/>
    <mergeCell ref="G80:H80"/>
    <mergeCell ref="K80:L80"/>
    <mergeCell ref="O80:P80"/>
    <mergeCell ref="M76:M81"/>
    <mergeCell ref="O76:P76"/>
    <mergeCell ref="Q76:Q81"/>
    <mergeCell ref="C77:D77"/>
    <mergeCell ref="G77:H77"/>
    <mergeCell ref="K77:L77"/>
    <mergeCell ref="O77:P77"/>
    <mergeCell ref="C78:D78"/>
    <mergeCell ref="G78:H78"/>
    <mergeCell ref="P96:Q96"/>
    <mergeCell ref="D94:E94"/>
    <mergeCell ref="F94:G94"/>
    <mergeCell ref="N94:O94"/>
    <mergeCell ref="D95:E95"/>
    <mergeCell ref="F95:G95"/>
    <mergeCell ref="J95:K95"/>
    <mergeCell ref="N95:O95"/>
    <mergeCell ref="D91:E91"/>
    <mergeCell ref="F91:G91"/>
    <mergeCell ref="H91:I91"/>
    <mergeCell ref="L91:M91"/>
    <mergeCell ref="N91:O91"/>
    <mergeCell ref="P91:Q91"/>
    <mergeCell ref="D97:E97"/>
    <mergeCell ref="F97:G97"/>
    <mergeCell ref="N97:O97"/>
    <mergeCell ref="D98:E98"/>
    <mergeCell ref="F98:G98"/>
    <mergeCell ref="H98:I98"/>
    <mergeCell ref="N98:O98"/>
    <mergeCell ref="D96:E96"/>
    <mergeCell ref="F96:G96"/>
    <mergeCell ref="H96:I96"/>
    <mergeCell ref="J96:K96"/>
    <mergeCell ref="N96:O96"/>
    <mergeCell ref="Q101:Q103"/>
    <mergeCell ref="D102:E102"/>
    <mergeCell ref="F102:G102"/>
    <mergeCell ref="N102:O102"/>
    <mergeCell ref="D103:E103"/>
    <mergeCell ref="F103:G103"/>
    <mergeCell ref="N103:O103"/>
    <mergeCell ref="P98:Q98"/>
    <mergeCell ref="D99:E99"/>
    <mergeCell ref="F99:G99"/>
    <mergeCell ref="N99:O99"/>
    <mergeCell ref="D100:E100"/>
    <mergeCell ref="F100:G100"/>
    <mergeCell ref="N100:O100"/>
    <mergeCell ref="D104:E104"/>
    <mergeCell ref="F104:G104"/>
    <mergeCell ref="N104:O104"/>
    <mergeCell ref="D105:E105"/>
    <mergeCell ref="F105:G105"/>
    <mergeCell ref="N105:O105"/>
    <mergeCell ref="D101:E101"/>
    <mergeCell ref="F101:G101"/>
    <mergeCell ref="N101:O101"/>
    <mergeCell ref="L109:M109"/>
    <mergeCell ref="N109:O109"/>
    <mergeCell ref="D106:E106"/>
    <mergeCell ref="F106:G106"/>
    <mergeCell ref="N106:O106"/>
    <mergeCell ref="A107:C107"/>
    <mergeCell ref="D107:E107"/>
    <mergeCell ref="F107:G107"/>
    <mergeCell ref="J107:L107"/>
    <mergeCell ref="N107:O107"/>
    <mergeCell ref="D110:E110"/>
    <mergeCell ref="F110:G110"/>
    <mergeCell ref="D111:E111"/>
    <mergeCell ref="F111:G111"/>
    <mergeCell ref="D112:E112"/>
    <mergeCell ref="F112:G112"/>
    <mergeCell ref="D108:E108"/>
    <mergeCell ref="F108:G108"/>
    <mergeCell ref="D109:E109"/>
    <mergeCell ref="F109:G109"/>
    <mergeCell ref="D115:E115"/>
    <mergeCell ref="F115:G115"/>
    <mergeCell ref="J115:L115"/>
    <mergeCell ref="N115:O115"/>
    <mergeCell ref="D116:E116"/>
    <mergeCell ref="F116:G116"/>
    <mergeCell ref="N116:O116"/>
    <mergeCell ref="D113:E113"/>
    <mergeCell ref="F113:G113"/>
    <mergeCell ref="N113:O113"/>
    <mergeCell ref="D114:E114"/>
    <mergeCell ref="F114:G114"/>
    <mergeCell ref="J114:L114"/>
    <mergeCell ref="N114:O114"/>
    <mergeCell ref="J119:L119"/>
    <mergeCell ref="N119:O119"/>
    <mergeCell ref="D120:E120"/>
    <mergeCell ref="F120:G120"/>
    <mergeCell ref="D117:E117"/>
    <mergeCell ref="F117:G117"/>
    <mergeCell ref="N117:O117"/>
    <mergeCell ref="D118:E118"/>
    <mergeCell ref="F118:G118"/>
    <mergeCell ref="J118:L118"/>
    <mergeCell ref="N118:O118"/>
    <mergeCell ref="D121:E121"/>
    <mergeCell ref="F121:G121"/>
    <mergeCell ref="A122:C122"/>
    <mergeCell ref="D122:E122"/>
    <mergeCell ref="F122:G122"/>
    <mergeCell ref="D123:E123"/>
    <mergeCell ref="F123:G123"/>
    <mergeCell ref="D119:E119"/>
    <mergeCell ref="F119:G119"/>
    <mergeCell ref="N123:O123"/>
    <mergeCell ref="D124:E124"/>
    <mergeCell ref="F124:G124"/>
    <mergeCell ref="N124:O126"/>
    <mergeCell ref="P124:Q124"/>
    <mergeCell ref="D125:E125"/>
    <mergeCell ref="F125:G125"/>
    <mergeCell ref="D126:E126"/>
    <mergeCell ref="F126:G126"/>
    <mergeCell ref="P126:Q126"/>
    <mergeCell ref="D127:E127"/>
    <mergeCell ref="F127:G127"/>
    <mergeCell ref="N127:O130"/>
    <mergeCell ref="D128:E128"/>
    <mergeCell ref="F128:G128"/>
    <mergeCell ref="P128:Q128"/>
    <mergeCell ref="J129:L130"/>
    <mergeCell ref="D130:E130"/>
    <mergeCell ref="F130:G130"/>
    <mergeCell ref="P130:Q130"/>
    <mergeCell ref="D135:E135"/>
    <mergeCell ref="F135:G135"/>
    <mergeCell ref="H135:I135"/>
    <mergeCell ref="J135:K135"/>
    <mergeCell ref="N135:O135"/>
    <mergeCell ref="D136:E136"/>
    <mergeCell ref="F136:G136"/>
    <mergeCell ref="N136:O136"/>
    <mergeCell ref="N132:O132"/>
    <mergeCell ref="D133:E133"/>
    <mergeCell ref="F133:G133"/>
    <mergeCell ref="N133:O133"/>
    <mergeCell ref="D134:E134"/>
    <mergeCell ref="F134:G134"/>
    <mergeCell ref="J134:K134"/>
    <mergeCell ref="N134:O134"/>
    <mergeCell ref="D139:E139"/>
    <mergeCell ref="F139:G139"/>
    <mergeCell ref="N139:O139"/>
    <mergeCell ref="D140:E140"/>
    <mergeCell ref="F140:G140"/>
    <mergeCell ref="N140:O140"/>
    <mergeCell ref="D137:E137"/>
    <mergeCell ref="F137:G137"/>
    <mergeCell ref="H137:I137"/>
    <mergeCell ref="N137:O137"/>
    <mergeCell ref="D138:E138"/>
    <mergeCell ref="F138:G138"/>
    <mergeCell ref="N138:O138"/>
    <mergeCell ref="D143:E143"/>
    <mergeCell ref="F143:G143"/>
    <mergeCell ref="N143:O143"/>
    <mergeCell ref="D144:E144"/>
    <mergeCell ref="F144:G144"/>
    <mergeCell ref="N144:O144"/>
    <mergeCell ref="D141:E141"/>
    <mergeCell ref="F141:G141"/>
    <mergeCell ref="N141:O141"/>
    <mergeCell ref="D142:E142"/>
    <mergeCell ref="F142:G142"/>
    <mergeCell ref="N142:O142"/>
    <mergeCell ref="L148:M148"/>
    <mergeCell ref="N148:O148"/>
    <mergeCell ref="D145:E145"/>
    <mergeCell ref="F145:G145"/>
    <mergeCell ref="N145:O145"/>
    <mergeCell ref="A146:C146"/>
    <mergeCell ref="D146:E146"/>
    <mergeCell ref="F146:G146"/>
    <mergeCell ref="J146:L146"/>
    <mergeCell ref="N146:O146"/>
    <mergeCell ref="D149:E149"/>
    <mergeCell ref="F149:G149"/>
    <mergeCell ref="D150:E150"/>
    <mergeCell ref="F150:G150"/>
    <mergeCell ref="D151:E151"/>
    <mergeCell ref="F151:G151"/>
    <mergeCell ref="D147:E147"/>
    <mergeCell ref="F147:G147"/>
    <mergeCell ref="D148:E148"/>
    <mergeCell ref="F148:G148"/>
  </mergeCells>
  <phoneticPr fontId="2"/>
  <printOptions horizontalCentered="1"/>
  <pageMargins left="0" right="0" top="0.39370078740157483" bottom="0" header="0.31496062992125984" footer="0"/>
  <pageSetup paperSize="9" scale="58" orientation="portrait" cellComments="asDisplayed" r:id="rId1"/>
  <headerFooter>
    <oddFooter>&amp;Z&amp;F</oddFooter>
  </headerFooter>
  <rowBreaks count="1" manualBreakCount="1">
    <brk id="91" max="16" man="1"/>
  </rowBreaks>
  <ignoredErrors>
    <ignoredError sqref="H23 D32 H41 P32 P41 Q85" formula="1"/>
    <ignoredError sqref="E106 E105" unlockedFormula="1"/>
  </ignoredErrors>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N50"/>
  <sheetViews>
    <sheetView zoomScale="70" zoomScaleNormal="70" zoomScaleSheetLayoutView="85" workbookViewId="0">
      <selection activeCell="F11" sqref="F11"/>
    </sheetView>
  </sheetViews>
  <sheetFormatPr defaultRowHeight="13.5"/>
  <cols>
    <col min="1" max="1" width="7.5" style="16" customWidth="1"/>
    <col min="2" max="2" width="5.375" style="16" customWidth="1"/>
    <col min="3" max="3" width="12.75" style="16" customWidth="1"/>
    <col min="4" max="4" width="10" style="16" customWidth="1"/>
    <col min="5" max="5" width="11.875" style="16" customWidth="1"/>
    <col min="6" max="6" width="12.75" style="16" customWidth="1"/>
    <col min="7" max="7" width="10" style="16" customWidth="1"/>
    <col min="8" max="8" width="11.875" style="16" customWidth="1"/>
    <col min="9" max="9" width="12.75" style="16" customWidth="1"/>
    <col min="10" max="10" width="10" style="16" customWidth="1"/>
    <col min="11" max="11" width="11.875" style="16" customWidth="1"/>
    <col min="12" max="12" width="12.75" style="16" customWidth="1"/>
    <col min="13" max="13" width="10" style="16" customWidth="1"/>
    <col min="14" max="14" width="11.875" style="16" customWidth="1"/>
    <col min="15" max="256" width="9" style="16"/>
    <col min="257" max="257" width="7.5" style="16" customWidth="1"/>
    <col min="258" max="258" width="5.375" style="16" customWidth="1"/>
    <col min="259" max="259" width="12.75" style="16" customWidth="1"/>
    <col min="260" max="260" width="10" style="16" customWidth="1"/>
    <col min="261" max="261" width="11.875" style="16" customWidth="1"/>
    <col min="262" max="262" width="12.75" style="16" customWidth="1"/>
    <col min="263" max="263" width="10" style="16" customWidth="1"/>
    <col min="264" max="264" width="11.875" style="16" customWidth="1"/>
    <col min="265" max="265" width="12.75" style="16" customWidth="1"/>
    <col min="266" max="266" width="10" style="16" customWidth="1"/>
    <col min="267" max="267" width="11.875" style="16" customWidth="1"/>
    <col min="268" max="268" width="12.75" style="16" customWidth="1"/>
    <col min="269" max="269" width="10" style="16" customWidth="1"/>
    <col min="270" max="270" width="11.875" style="16" customWidth="1"/>
    <col min="271" max="512" width="9" style="16"/>
    <col min="513" max="513" width="7.5" style="16" customWidth="1"/>
    <col min="514" max="514" width="5.375" style="16" customWidth="1"/>
    <col min="515" max="515" width="12.75" style="16" customWidth="1"/>
    <col min="516" max="516" width="10" style="16" customWidth="1"/>
    <col min="517" max="517" width="11.875" style="16" customWidth="1"/>
    <col min="518" max="518" width="12.75" style="16" customWidth="1"/>
    <col min="519" max="519" width="10" style="16" customWidth="1"/>
    <col min="520" max="520" width="11.875" style="16" customWidth="1"/>
    <col min="521" max="521" width="12.75" style="16" customWidth="1"/>
    <col min="522" max="522" width="10" style="16" customWidth="1"/>
    <col min="523" max="523" width="11.875" style="16" customWidth="1"/>
    <col min="524" max="524" width="12.75" style="16" customWidth="1"/>
    <col min="525" max="525" width="10" style="16" customWidth="1"/>
    <col min="526" max="526" width="11.875" style="16" customWidth="1"/>
    <col min="527" max="768" width="9" style="16"/>
    <col min="769" max="769" width="7.5" style="16" customWidth="1"/>
    <col min="770" max="770" width="5.375" style="16" customWidth="1"/>
    <col min="771" max="771" width="12.75" style="16" customWidth="1"/>
    <col min="772" max="772" width="10" style="16" customWidth="1"/>
    <col min="773" max="773" width="11.875" style="16" customWidth="1"/>
    <col min="774" max="774" width="12.75" style="16" customWidth="1"/>
    <col min="775" max="775" width="10" style="16" customWidth="1"/>
    <col min="776" max="776" width="11.875" style="16" customWidth="1"/>
    <col min="777" max="777" width="12.75" style="16" customWidth="1"/>
    <col min="778" max="778" width="10" style="16" customWidth="1"/>
    <col min="779" max="779" width="11.875" style="16" customWidth="1"/>
    <col min="780" max="780" width="12.75" style="16" customWidth="1"/>
    <col min="781" max="781" width="10" style="16" customWidth="1"/>
    <col min="782" max="782" width="11.875" style="16" customWidth="1"/>
    <col min="783" max="1024" width="9" style="16"/>
    <col min="1025" max="1025" width="7.5" style="16" customWidth="1"/>
    <col min="1026" max="1026" width="5.375" style="16" customWidth="1"/>
    <col min="1027" max="1027" width="12.75" style="16" customWidth="1"/>
    <col min="1028" max="1028" width="10" style="16" customWidth="1"/>
    <col min="1029" max="1029" width="11.875" style="16" customWidth="1"/>
    <col min="1030" max="1030" width="12.75" style="16" customWidth="1"/>
    <col min="1031" max="1031" width="10" style="16" customWidth="1"/>
    <col min="1032" max="1032" width="11.875" style="16" customWidth="1"/>
    <col min="1033" max="1033" width="12.75" style="16" customWidth="1"/>
    <col min="1034" max="1034" width="10" style="16" customWidth="1"/>
    <col min="1035" max="1035" width="11.875" style="16" customWidth="1"/>
    <col min="1036" max="1036" width="12.75" style="16" customWidth="1"/>
    <col min="1037" max="1037" width="10" style="16" customWidth="1"/>
    <col min="1038" max="1038" width="11.875" style="16" customWidth="1"/>
    <col min="1039" max="1280" width="9" style="16"/>
    <col min="1281" max="1281" width="7.5" style="16" customWidth="1"/>
    <col min="1282" max="1282" width="5.375" style="16" customWidth="1"/>
    <col min="1283" max="1283" width="12.75" style="16" customWidth="1"/>
    <col min="1284" max="1284" width="10" style="16" customWidth="1"/>
    <col min="1285" max="1285" width="11.875" style="16" customWidth="1"/>
    <col min="1286" max="1286" width="12.75" style="16" customWidth="1"/>
    <col min="1287" max="1287" width="10" style="16" customWidth="1"/>
    <col min="1288" max="1288" width="11.875" style="16" customWidth="1"/>
    <col min="1289" max="1289" width="12.75" style="16" customWidth="1"/>
    <col min="1290" max="1290" width="10" style="16" customWidth="1"/>
    <col min="1291" max="1291" width="11.875" style="16" customWidth="1"/>
    <col min="1292" max="1292" width="12.75" style="16" customWidth="1"/>
    <col min="1293" max="1293" width="10" style="16" customWidth="1"/>
    <col min="1294" max="1294" width="11.875" style="16" customWidth="1"/>
    <col min="1295" max="1536" width="9" style="16"/>
    <col min="1537" max="1537" width="7.5" style="16" customWidth="1"/>
    <col min="1538" max="1538" width="5.375" style="16" customWidth="1"/>
    <col min="1539" max="1539" width="12.75" style="16" customWidth="1"/>
    <col min="1540" max="1540" width="10" style="16" customWidth="1"/>
    <col min="1541" max="1541" width="11.875" style="16" customWidth="1"/>
    <col min="1542" max="1542" width="12.75" style="16" customWidth="1"/>
    <col min="1543" max="1543" width="10" style="16" customWidth="1"/>
    <col min="1544" max="1544" width="11.875" style="16" customWidth="1"/>
    <col min="1545" max="1545" width="12.75" style="16" customWidth="1"/>
    <col min="1546" max="1546" width="10" style="16" customWidth="1"/>
    <col min="1547" max="1547" width="11.875" style="16" customWidth="1"/>
    <col min="1548" max="1548" width="12.75" style="16" customWidth="1"/>
    <col min="1549" max="1549" width="10" style="16" customWidth="1"/>
    <col min="1550" max="1550" width="11.875" style="16" customWidth="1"/>
    <col min="1551" max="1792" width="9" style="16"/>
    <col min="1793" max="1793" width="7.5" style="16" customWidth="1"/>
    <col min="1794" max="1794" width="5.375" style="16" customWidth="1"/>
    <col min="1795" max="1795" width="12.75" style="16" customWidth="1"/>
    <col min="1796" max="1796" width="10" style="16" customWidth="1"/>
    <col min="1797" max="1797" width="11.875" style="16" customWidth="1"/>
    <col min="1798" max="1798" width="12.75" style="16" customWidth="1"/>
    <col min="1799" max="1799" width="10" style="16" customWidth="1"/>
    <col min="1800" max="1800" width="11.875" style="16" customWidth="1"/>
    <col min="1801" max="1801" width="12.75" style="16" customWidth="1"/>
    <col min="1802" max="1802" width="10" style="16" customWidth="1"/>
    <col min="1803" max="1803" width="11.875" style="16" customWidth="1"/>
    <col min="1804" max="1804" width="12.75" style="16" customWidth="1"/>
    <col min="1805" max="1805" width="10" style="16" customWidth="1"/>
    <col min="1806" max="1806" width="11.875" style="16" customWidth="1"/>
    <col min="1807" max="2048" width="9" style="16"/>
    <col min="2049" max="2049" width="7.5" style="16" customWidth="1"/>
    <col min="2050" max="2050" width="5.375" style="16" customWidth="1"/>
    <col min="2051" max="2051" width="12.75" style="16" customWidth="1"/>
    <col min="2052" max="2052" width="10" style="16" customWidth="1"/>
    <col min="2053" max="2053" width="11.875" style="16" customWidth="1"/>
    <col min="2054" max="2054" width="12.75" style="16" customWidth="1"/>
    <col min="2055" max="2055" width="10" style="16" customWidth="1"/>
    <col min="2056" max="2056" width="11.875" style="16" customWidth="1"/>
    <col min="2057" max="2057" width="12.75" style="16" customWidth="1"/>
    <col min="2058" max="2058" width="10" style="16" customWidth="1"/>
    <col min="2059" max="2059" width="11.875" style="16" customWidth="1"/>
    <col min="2060" max="2060" width="12.75" style="16" customWidth="1"/>
    <col min="2061" max="2061" width="10" style="16" customWidth="1"/>
    <col min="2062" max="2062" width="11.875" style="16" customWidth="1"/>
    <col min="2063" max="2304" width="9" style="16"/>
    <col min="2305" max="2305" width="7.5" style="16" customWidth="1"/>
    <col min="2306" max="2306" width="5.375" style="16" customWidth="1"/>
    <col min="2307" max="2307" width="12.75" style="16" customWidth="1"/>
    <col min="2308" max="2308" width="10" style="16" customWidth="1"/>
    <col min="2309" max="2309" width="11.875" style="16" customWidth="1"/>
    <col min="2310" max="2310" width="12.75" style="16" customWidth="1"/>
    <col min="2311" max="2311" width="10" style="16" customWidth="1"/>
    <col min="2312" max="2312" width="11.875" style="16" customWidth="1"/>
    <col min="2313" max="2313" width="12.75" style="16" customWidth="1"/>
    <col min="2314" max="2314" width="10" style="16" customWidth="1"/>
    <col min="2315" max="2315" width="11.875" style="16" customWidth="1"/>
    <col min="2316" max="2316" width="12.75" style="16" customWidth="1"/>
    <col min="2317" max="2317" width="10" style="16" customWidth="1"/>
    <col min="2318" max="2318" width="11.875" style="16" customWidth="1"/>
    <col min="2319" max="2560" width="9" style="16"/>
    <col min="2561" max="2561" width="7.5" style="16" customWidth="1"/>
    <col min="2562" max="2562" width="5.375" style="16" customWidth="1"/>
    <col min="2563" max="2563" width="12.75" style="16" customWidth="1"/>
    <col min="2564" max="2564" width="10" style="16" customWidth="1"/>
    <col min="2565" max="2565" width="11.875" style="16" customWidth="1"/>
    <col min="2566" max="2566" width="12.75" style="16" customWidth="1"/>
    <col min="2567" max="2567" width="10" style="16" customWidth="1"/>
    <col min="2568" max="2568" width="11.875" style="16" customWidth="1"/>
    <col min="2569" max="2569" width="12.75" style="16" customWidth="1"/>
    <col min="2570" max="2570" width="10" style="16" customWidth="1"/>
    <col min="2571" max="2571" width="11.875" style="16" customWidth="1"/>
    <col min="2572" max="2572" width="12.75" style="16" customWidth="1"/>
    <col min="2573" max="2573" width="10" style="16" customWidth="1"/>
    <col min="2574" max="2574" width="11.875" style="16" customWidth="1"/>
    <col min="2575" max="2816" width="9" style="16"/>
    <col min="2817" max="2817" width="7.5" style="16" customWidth="1"/>
    <col min="2818" max="2818" width="5.375" style="16" customWidth="1"/>
    <col min="2819" max="2819" width="12.75" style="16" customWidth="1"/>
    <col min="2820" max="2820" width="10" style="16" customWidth="1"/>
    <col min="2821" max="2821" width="11.875" style="16" customWidth="1"/>
    <col min="2822" max="2822" width="12.75" style="16" customWidth="1"/>
    <col min="2823" max="2823" width="10" style="16" customWidth="1"/>
    <col min="2824" max="2824" width="11.875" style="16" customWidth="1"/>
    <col min="2825" max="2825" width="12.75" style="16" customWidth="1"/>
    <col min="2826" max="2826" width="10" style="16" customWidth="1"/>
    <col min="2827" max="2827" width="11.875" style="16" customWidth="1"/>
    <col min="2828" max="2828" width="12.75" style="16" customWidth="1"/>
    <col min="2829" max="2829" width="10" style="16" customWidth="1"/>
    <col min="2830" max="2830" width="11.875" style="16" customWidth="1"/>
    <col min="2831" max="3072" width="9" style="16"/>
    <col min="3073" max="3073" width="7.5" style="16" customWidth="1"/>
    <col min="3074" max="3074" width="5.375" style="16" customWidth="1"/>
    <col min="3075" max="3075" width="12.75" style="16" customWidth="1"/>
    <col min="3076" max="3076" width="10" style="16" customWidth="1"/>
    <col min="3077" max="3077" width="11.875" style="16" customWidth="1"/>
    <col min="3078" max="3078" width="12.75" style="16" customWidth="1"/>
    <col min="3079" max="3079" width="10" style="16" customWidth="1"/>
    <col min="3080" max="3080" width="11.875" style="16" customWidth="1"/>
    <col min="3081" max="3081" width="12.75" style="16" customWidth="1"/>
    <col min="3082" max="3082" width="10" style="16" customWidth="1"/>
    <col min="3083" max="3083" width="11.875" style="16" customWidth="1"/>
    <col min="3084" max="3084" width="12.75" style="16" customWidth="1"/>
    <col min="3085" max="3085" width="10" style="16" customWidth="1"/>
    <col min="3086" max="3086" width="11.875" style="16" customWidth="1"/>
    <col min="3087" max="3328" width="9" style="16"/>
    <col min="3329" max="3329" width="7.5" style="16" customWidth="1"/>
    <col min="3330" max="3330" width="5.375" style="16" customWidth="1"/>
    <col min="3331" max="3331" width="12.75" style="16" customWidth="1"/>
    <col min="3332" max="3332" width="10" style="16" customWidth="1"/>
    <col min="3333" max="3333" width="11.875" style="16" customWidth="1"/>
    <col min="3334" max="3334" width="12.75" style="16" customWidth="1"/>
    <col min="3335" max="3335" width="10" style="16" customWidth="1"/>
    <col min="3336" max="3336" width="11.875" style="16" customWidth="1"/>
    <col min="3337" max="3337" width="12.75" style="16" customWidth="1"/>
    <col min="3338" max="3338" width="10" style="16" customWidth="1"/>
    <col min="3339" max="3339" width="11.875" style="16" customWidth="1"/>
    <col min="3340" max="3340" width="12.75" style="16" customWidth="1"/>
    <col min="3341" max="3341" width="10" style="16" customWidth="1"/>
    <col min="3342" max="3342" width="11.875" style="16" customWidth="1"/>
    <col min="3343" max="3584" width="9" style="16"/>
    <col min="3585" max="3585" width="7.5" style="16" customWidth="1"/>
    <col min="3586" max="3586" width="5.375" style="16" customWidth="1"/>
    <col min="3587" max="3587" width="12.75" style="16" customWidth="1"/>
    <col min="3588" max="3588" width="10" style="16" customWidth="1"/>
    <col min="3589" max="3589" width="11.875" style="16" customWidth="1"/>
    <col min="3590" max="3590" width="12.75" style="16" customWidth="1"/>
    <col min="3591" max="3591" width="10" style="16" customWidth="1"/>
    <col min="3592" max="3592" width="11.875" style="16" customWidth="1"/>
    <col min="3593" max="3593" width="12.75" style="16" customWidth="1"/>
    <col min="3594" max="3594" width="10" style="16" customWidth="1"/>
    <col min="3595" max="3595" width="11.875" style="16" customWidth="1"/>
    <col min="3596" max="3596" width="12.75" style="16" customWidth="1"/>
    <col min="3597" max="3597" width="10" style="16" customWidth="1"/>
    <col min="3598" max="3598" width="11.875" style="16" customWidth="1"/>
    <col min="3599" max="3840" width="9" style="16"/>
    <col min="3841" max="3841" width="7.5" style="16" customWidth="1"/>
    <col min="3842" max="3842" width="5.375" style="16" customWidth="1"/>
    <col min="3843" max="3843" width="12.75" style="16" customWidth="1"/>
    <col min="3844" max="3844" width="10" style="16" customWidth="1"/>
    <col min="3845" max="3845" width="11.875" style="16" customWidth="1"/>
    <col min="3846" max="3846" width="12.75" style="16" customWidth="1"/>
    <col min="3847" max="3847" width="10" style="16" customWidth="1"/>
    <col min="3848" max="3848" width="11.875" style="16" customWidth="1"/>
    <col min="3849" max="3849" width="12.75" style="16" customWidth="1"/>
    <col min="3850" max="3850" width="10" style="16" customWidth="1"/>
    <col min="3851" max="3851" width="11.875" style="16" customWidth="1"/>
    <col min="3852" max="3852" width="12.75" style="16" customWidth="1"/>
    <col min="3853" max="3853" width="10" style="16" customWidth="1"/>
    <col min="3854" max="3854" width="11.875" style="16" customWidth="1"/>
    <col min="3855" max="4096" width="9" style="16"/>
    <col min="4097" max="4097" width="7.5" style="16" customWidth="1"/>
    <col min="4098" max="4098" width="5.375" style="16" customWidth="1"/>
    <col min="4099" max="4099" width="12.75" style="16" customWidth="1"/>
    <col min="4100" max="4100" width="10" style="16" customWidth="1"/>
    <col min="4101" max="4101" width="11.875" style="16" customWidth="1"/>
    <col min="4102" max="4102" width="12.75" style="16" customWidth="1"/>
    <col min="4103" max="4103" width="10" style="16" customWidth="1"/>
    <col min="4104" max="4104" width="11.875" style="16" customWidth="1"/>
    <col min="4105" max="4105" width="12.75" style="16" customWidth="1"/>
    <col min="4106" max="4106" width="10" style="16" customWidth="1"/>
    <col min="4107" max="4107" width="11.875" style="16" customWidth="1"/>
    <col min="4108" max="4108" width="12.75" style="16" customWidth="1"/>
    <col min="4109" max="4109" width="10" style="16" customWidth="1"/>
    <col min="4110" max="4110" width="11.875" style="16" customWidth="1"/>
    <col min="4111" max="4352" width="9" style="16"/>
    <col min="4353" max="4353" width="7.5" style="16" customWidth="1"/>
    <col min="4354" max="4354" width="5.375" style="16" customWidth="1"/>
    <col min="4355" max="4355" width="12.75" style="16" customWidth="1"/>
    <col min="4356" max="4356" width="10" style="16" customWidth="1"/>
    <col min="4357" max="4357" width="11.875" style="16" customWidth="1"/>
    <col min="4358" max="4358" width="12.75" style="16" customWidth="1"/>
    <col min="4359" max="4359" width="10" style="16" customWidth="1"/>
    <col min="4360" max="4360" width="11.875" style="16" customWidth="1"/>
    <col min="4361" max="4361" width="12.75" style="16" customWidth="1"/>
    <col min="4362" max="4362" width="10" style="16" customWidth="1"/>
    <col min="4363" max="4363" width="11.875" style="16" customWidth="1"/>
    <col min="4364" max="4364" width="12.75" style="16" customWidth="1"/>
    <col min="4365" max="4365" width="10" style="16" customWidth="1"/>
    <col min="4366" max="4366" width="11.875" style="16" customWidth="1"/>
    <col min="4367" max="4608" width="9" style="16"/>
    <col min="4609" max="4609" width="7.5" style="16" customWidth="1"/>
    <col min="4610" max="4610" width="5.375" style="16" customWidth="1"/>
    <col min="4611" max="4611" width="12.75" style="16" customWidth="1"/>
    <col min="4612" max="4612" width="10" style="16" customWidth="1"/>
    <col min="4613" max="4613" width="11.875" style="16" customWidth="1"/>
    <col min="4614" max="4614" width="12.75" style="16" customWidth="1"/>
    <col min="4615" max="4615" width="10" style="16" customWidth="1"/>
    <col min="4616" max="4616" width="11.875" style="16" customWidth="1"/>
    <col min="4617" max="4617" width="12.75" style="16" customWidth="1"/>
    <col min="4618" max="4618" width="10" style="16" customWidth="1"/>
    <col min="4619" max="4619" width="11.875" style="16" customWidth="1"/>
    <col min="4620" max="4620" width="12.75" style="16" customWidth="1"/>
    <col min="4621" max="4621" width="10" style="16" customWidth="1"/>
    <col min="4622" max="4622" width="11.875" style="16" customWidth="1"/>
    <col min="4623" max="4864" width="9" style="16"/>
    <col min="4865" max="4865" width="7.5" style="16" customWidth="1"/>
    <col min="4866" max="4866" width="5.375" style="16" customWidth="1"/>
    <col min="4867" max="4867" width="12.75" style="16" customWidth="1"/>
    <col min="4868" max="4868" width="10" style="16" customWidth="1"/>
    <col min="4869" max="4869" width="11.875" style="16" customWidth="1"/>
    <col min="4870" max="4870" width="12.75" style="16" customWidth="1"/>
    <col min="4871" max="4871" width="10" style="16" customWidth="1"/>
    <col min="4872" max="4872" width="11.875" style="16" customWidth="1"/>
    <col min="4873" max="4873" width="12.75" style="16" customWidth="1"/>
    <col min="4874" max="4874" width="10" style="16" customWidth="1"/>
    <col min="4875" max="4875" width="11.875" style="16" customWidth="1"/>
    <col min="4876" max="4876" width="12.75" style="16" customWidth="1"/>
    <col min="4877" max="4877" width="10" style="16" customWidth="1"/>
    <col min="4878" max="4878" width="11.875" style="16" customWidth="1"/>
    <col min="4879" max="5120" width="9" style="16"/>
    <col min="5121" max="5121" width="7.5" style="16" customWidth="1"/>
    <col min="5122" max="5122" width="5.375" style="16" customWidth="1"/>
    <col min="5123" max="5123" width="12.75" style="16" customWidth="1"/>
    <col min="5124" max="5124" width="10" style="16" customWidth="1"/>
    <col min="5125" max="5125" width="11.875" style="16" customWidth="1"/>
    <col min="5126" max="5126" width="12.75" style="16" customWidth="1"/>
    <col min="5127" max="5127" width="10" style="16" customWidth="1"/>
    <col min="5128" max="5128" width="11.875" style="16" customWidth="1"/>
    <col min="5129" max="5129" width="12.75" style="16" customWidth="1"/>
    <col min="5130" max="5130" width="10" style="16" customWidth="1"/>
    <col min="5131" max="5131" width="11.875" style="16" customWidth="1"/>
    <col min="5132" max="5132" width="12.75" style="16" customWidth="1"/>
    <col min="5133" max="5133" width="10" style="16" customWidth="1"/>
    <col min="5134" max="5134" width="11.875" style="16" customWidth="1"/>
    <col min="5135" max="5376" width="9" style="16"/>
    <col min="5377" max="5377" width="7.5" style="16" customWidth="1"/>
    <col min="5378" max="5378" width="5.375" style="16" customWidth="1"/>
    <col min="5379" max="5379" width="12.75" style="16" customWidth="1"/>
    <col min="5380" max="5380" width="10" style="16" customWidth="1"/>
    <col min="5381" max="5381" width="11.875" style="16" customWidth="1"/>
    <col min="5382" max="5382" width="12.75" style="16" customWidth="1"/>
    <col min="5383" max="5383" width="10" style="16" customWidth="1"/>
    <col min="5384" max="5384" width="11.875" style="16" customWidth="1"/>
    <col min="5385" max="5385" width="12.75" style="16" customWidth="1"/>
    <col min="5386" max="5386" width="10" style="16" customWidth="1"/>
    <col min="5387" max="5387" width="11.875" style="16" customWidth="1"/>
    <col min="5388" max="5388" width="12.75" style="16" customWidth="1"/>
    <col min="5389" max="5389" width="10" style="16" customWidth="1"/>
    <col min="5390" max="5390" width="11.875" style="16" customWidth="1"/>
    <col min="5391" max="5632" width="9" style="16"/>
    <col min="5633" max="5633" width="7.5" style="16" customWidth="1"/>
    <col min="5634" max="5634" width="5.375" style="16" customWidth="1"/>
    <col min="5635" max="5635" width="12.75" style="16" customWidth="1"/>
    <col min="5636" max="5636" width="10" style="16" customWidth="1"/>
    <col min="5637" max="5637" width="11.875" style="16" customWidth="1"/>
    <col min="5638" max="5638" width="12.75" style="16" customWidth="1"/>
    <col min="5639" max="5639" width="10" style="16" customWidth="1"/>
    <col min="5640" max="5640" width="11.875" style="16" customWidth="1"/>
    <col min="5641" max="5641" width="12.75" style="16" customWidth="1"/>
    <col min="5642" max="5642" width="10" style="16" customWidth="1"/>
    <col min="5643" max="5643" width="11.875" style="16" customWidth="1"/>
    <col min="5644" max="5644" width="12.75" style="16" customWidth="1"/>
    <col min="5645" max="5645" width="10" style="16" customWidth="1"/>
    <col min="5646" max="5646" width="11.875" style="16" customWidth="1"/>
    <col min="5647" max="5888" width="9" style="16"/>
    <col min="5889" max="5889" width="7.5" style="16" customWidth="1"/>
    <col min="5890" max="5890" width="5.375" style="16" customWidth="1"/>
    <col min="5891" max="5891" width="12.75" style="16" customWidth="1"/>
    <col min="5892" max="5892" width="10" style="16" customWidth="1"/>
    <col min="5893" max="5893" width="11.875" style="16" customWidth="1"/>
    <col min="5894" max="5894" width="12.75" style="16" customWidth="1"/>
    <col min="5895" max="5895" width="10" style="16" customWidth="1"/>
    <col min="5896" max="5896" width="11.875" style="16" customWidth="1"/>
    <col min="5897" max="5897" width="12.75" style="16" customWidth="1"/>
    <col min="5898" max="5898" width="10" style="16" customWidth="1"/>
    <col min="5899" max="5899" width="11.875" style="16" customWidth="1"/>
    <col min="5900" max="5900" width="12.75" style="16" customWidth="1"/>
    <col min="5901" max="5901" width="10" style="16" customWidth="1"/>
    <col min="5902" max="5902" width="11.875" style="16" customWidth="1"/>
    <col min="5903" max="6144" width="9" style="16"/>
    <col min="6145" max="6145" width="7.5" style="16" customWidth="1"/>
    <col min="6146" max="6146" width="5.375" style="16" customWidth="1"/>
    <col min="6147" max="6147" width="12.75" style="16" customWidth="1"/>
    <col min="6148" max="6148" width="10" style="16" customWidth="1"/>
    <col min="6149" max="6149" width="11.875" style="16" customWidth="1"/>
    <col min="6150" max="6150" width="12.75" style="16" customWidth="1"/>
    <col min="6151" max="6151" width="10" style="16" customWidth="1"/>
    <col min="6152" max="6152" width="11.875" style="16" customWidth="1"/>
    <col min="6153" max="6153" width="12.75" style="16" customWidth="1"/>
    <col min="6154" max="6154" width="10" style="16" customWidth="1"/>
    <col min="6155" max="6155" width="11.875" style="16" customWidth="1"/>
    <col min="6156" max="6156" width="12.75" style="16" customWidth="1"/>
    <col min="6157" max="6157" width="10" style="16" customWidth="1"/>
    <col min="6158" max="6158" width="11.875" style="16" customWidth="1"/>
    <col min="6159" max="6400" width="9" style="16"/>
    <col min="6401" max="6401" width="7.5" style="16" customWidth="1"/>
    <col min="6402" max="6402" width="5.375" style="16" customWidth="1"/>
    <col min="6403" max="6403" width="12.75" style="16" customWidth="1"/>
    <col min="6404" max="6404" width="10" style="16" customWidth="1"/>
    <col min="6405" max="6405" width="11.875" style="16" customWidth="1"/>
    <col min="6406" max="6406" width="12.75" style="16" customWidth="1"/>
    <col min="6407" max="6407" width="10" style="16" customWidth="1"/>
    <col min="6408" max="6408" width="11.875" style="16" customWidth="1"/>
    <col min="6409" max="6409" width="12.75" style="16" customWidth="1"/>
    <col min="6410" max="6410" width="10" style="16" customWidth="1"/>
    <col min="6411" max="6411" width="11.875" style="16" customWidth="1"/>
    <col min="6412" max="6412" width="12.75" style="16" customWidth="1"/>
    <col min="6413" max="6413" width="10" style="16" customWidth="1"/>
    <col min="6414" max="6414" width="11.875" style="16" customWidth="1"/>
    <col min="6415" max="6656" width="9" style="16"/>
    <col min="6657" max="6657" width="7.5" style="16" customWidth="1"/>
    <col min="6658" max="6658" width="5.375" style="16" customWidth="1"/>
    <col min="6659" max="6659" width="12.75" style="16" customWidth="1"/>
    <col min="6660" max="6660" width="10" style="16" customWidth="1"/>
    <col min="6661" max="6661" width="11.875" style="16" customWidth="1"/>
    <col min="6662" max="6662" width="12.75" style="16" customWidth="1"/>
    <col min="6663" max="6663" width="10" style="16" customWidth="1"/>
    <col min="6664" max="6664" width="11.875" style="16" customWidth="1"/>
    <col min="6665" max="6665" width="12.75" style="16" customWidth="1"/>
    <col min="6666" max="6666" width="10" style="16" customWidth="1"/>
    <col min="6667" max="6667" width="11.875" style="16" customWidth="1"/>
    <col min="6668" max="6668" width="12.75" style="16" customWidth="1"/>
    <col min="6669" max="6669" width="10" style="16" customWidth="1"/>
    <col min="6670" max="6670" width="11.875" style="16" customWidth="1"/>
    <col min="6671" max="6912" width="9" style="16"/>
    <col min="6913" max="6913" width="7.5" style="16" customWidth="1"/>
    <col min="6914" max="6914" width="5.375" style="16" customWidth="1"/>
    <col min="6915" max="6915" width="12.75" style="16" customWidth="1"/>
    <col min="6916" max="6916" width="10" style="16" customWidth="1"/>
    <col min="6917" max="6917" width="11.875" style="16" customWidth="1"/>
    <col min="6918" max="6918" width="12.75" style="16" customWidth="1"/>
    <col min="6919" max="6919" width="10" style="16" customWidth="1"/>
    <col min="6920" max="6920" width="11.875" style="16" customWidth="1"/>
    <col min="6921" max="6921" width="12.75" style="16" customWidth="1"/>
    <col min="6922" max="6922" width="10" style="16" customWidth="1"/>
    <col min="6923" max="6923" width="11.875" style="16" customWidth="1"/>
    <col min="6924" max="6924" width="12.75" style="16" customWidth="1"/>
    <col min="6925" max="6925" width="10" style="16" customWidth="1"/>
    <col min="6926" max="6926" width="11.875" style="16" customWidth="1"/>
    <col min="6927" max="7168" width="9" style="16"/>
    <col min="7169" max="7169" width="7.5" style="16" customWidth="1"/>
    <col min="7170" max="7170" width="5.375" style="16" customWidth="1"/>
    <col min="7171" max="7171" width="12.75" style="16" customWidth="1"/>
    <col min="7172" max="7172" width="10" style="16" customWidth="1"/>
    <col min="7173" max="7173" width="11.875" style="16" customWidth="1"/>
    <col min="7174" max="7174" width="12.75" style="16" customWidth="1"/>
    <col min="7175" max="7175" width="10" style="16" customWidth="1"/>
    <col min="7176" max="7176" width="11.875" style="16" customWidth="1"/>
    <col min="7177" max="7177" width="12.75" style="16" customWidth="1"/>
    <col min="7178" max="7178" width="10" style="16" customWidth="1"/>
    <col min="7179" max="7179" width="11.875" style="16" customWidth="1"/>
    <col min="7180" max="7180" width="12.75" style="16" customWidth="1"/>
    <col min="7181" max="7181" width="10" style="16" customWidth="1"/>
    <col min="7182" max="7182" width="11.875" style="16" customWidth="1"/>
    <col min="7183" max="7424" width="9" style="16"/>
    <col min="7425" max="7425" width="7.5" style="16" customWidth="1"/>
    <col min="7426" max="7426" width="5.375" style="16" customWidth="1"/>
    <col min="7427" max="7427" width="12.75" style="16" customWidth="1"/>
    <col min="7428" max="7428" width="10" style="16" customWidth="1"/>
    <col min="7429" max="7429" width="11.875" style="16" customWidth="1"/>
    <col min="7430" max="7430" width="12.75" style="16" customWidth="1"/>
    <col min="7431" max="7431" width="10" style="16" customWidth="1"/>
    <col min="7432" max="7432" width="11.875" style="16" customWidth="1"/>
    <col min="7433" max="7433" width="12.75" style="16" customWidth="1"/>
    <col min="7434" max="7434" width="10" style="16" customWidth="1"/>
    <col min="7435" max="7435" width="11.875" style="16" customWidth="1"/>
    <col min="7436" max="7436" width="12.75" style="16" customWidth="1"/>
    <col min="7437" max="7437" width="10" style="16" customWidth="1"/>
    <col min="7438" max="7438" width="11.875" style="16" customWidth="1"/>
    <col min="7439" max="7680" width="9" style="16"/>
    <col min="7681" max="7681" width="7.5" style="16" customWidth="1"/>
    <col min="7682" max="7682" width="5.375" style="16" customWidth="1"/>
    <col min="7683" max="7683" width="12.75" style="16" customWidth="1"/>
    <col min="7684" max="7684" width="10" style="16" customWidth="1"/>
    <col min="7685" max="7685" width="11.875" style="16" customWidth="1"/>
    <col min="7686" max="7686" width="12.75" style="16" customWidth="1"/>
    <col min="7687" max="7687" width="10" style="16" customWidth="1"/>
    <col min="7688" max="7688" width="11.875" style="16" customWidth="1"/>
    <col min="7689" max="7689" width="12.75" style="16" customWidth="1"/>
    <col min="7690" max="7690" width="10" style="16" customWidth="1"/>
    <col min="7691" max="7691" width="11.875" style="16" customWidth="1"/>
    <col min="7692" max="7692" width="12.75" style="16" customWidth="1"/>
    <col min="7693" max="7693" width="10" style="16" customWidth="1"/>
    <col min="7694" max="7694" width="11.875" style="16" customWidth="1"/>
    <col min="7695" max="7936" width="9" style="16"/>
    <col min="7937" max="7937" width="7.5" style="16" customWidth="1"/>
    <col min="7938" max="7938" width="5.375" style="16" customWidth="1"/>
    <col min="7939" max="7939" width="12.75" style="16" customWidth="1"/>
    <col min="7940" max="7940" width="10" style="16" customWidth="1"/>
    <col min="7941" max="7941" width="11.875" style="16" customWidth="1"/>
    <col min="7942" max="7942" width="12.75" style="16" customWidth="1"/>
    <col min="7943" max="7943" width="10" style="16" customWidth="1"/>
    <col min="7944" max="7944" width="11.875" style="16" customWidth="1"/>
    <col min="7945" max="7945" width="12.75" style="16" customWidth="1"/>
    <col min="7946" max="7946" width="10" style="16" customWidth="1"/>
    <col min="7947" max="7947" width="11.875" style="16" customWidth="1"/>
    <col min="7948" max="7948" width="12.75" style="16" customWidth="1"/>
    <col min="7949" max="7949" width="10" style="16" customWidth="1"/>
    <col min="7950" max="7950" width="11.875" style="16" customWidth="1"/>
    <col min="7951" max="8192" width="9" style="16"/>
    <col min="8193" max="8193" width="7.5" style="16" customWidth="1"/>
    <col min="8194" max="8194" width="5.375" style="16" customWidth="1"/>
    <col min="8195" max="8195" width="12.75" style="16" customWidth="1"/>
    <col min="8196" max="8196" width="10" style="16" customWidth="1"/>
    <col min="8197" max="8197" width="11.875" style="16" customWidth="1"/>
    <col min="8198" max="8198" width="12.75" style="16" customWidth="1"/>
    <col min="8199" max="8199" width="10" style="16" customWidth="1"/>
    <col min="8200" max="8200" width="11.875" style="16" customWidth="1"/>
    <col min="8201" max="8201" width="12.75" style="16" customWidth="1"/>
    <col min="8202" max="8202" width="10" style="16" customWidth="1"/>
    <col min="8203" max="8203" width="11.875" style="16" customWidth="1"/>
    <col min="8204" max="8204" width="12.75" style="16" customWidth="1"/>
    <col min="8205" max="8205" width="10" style="16" customWidth="1"/>
    <col min="8206" max="8206" width="11.875" style="16" customWidth="1"/>
    <col min="8207" max="8448" width="9" style="16"/>
    <col min="8449" max="8449" width="7.5" style="16" customWidth="1"/>
    <col min="8450" max="8450" width="5.375" style="16" customWidth="1"/>
    <col min="8451" max="8451" width="12.75" style="16" customWidth="1"/>
    <col min="8452" max="8452" width="10" style="16" customWidth="1"/>
    <col min="8453" max="8453" width="11.875" style="16" customWidth="1"/>
    <col min="8454" max="8454" width="12.75" style="16" customWidth="1"/>
    <col min="8455" max="8455" width="10" style="16" customWidth="1"/>
    <col min="8456" max="8456" width="11.875" style="16" customWidth="1"/>
    <col min="8457" max="8457" width="12.75" style="16" customWidth="1"/>
    <col min="8458" max="8458" width="10" style="16" customWidth="1"/>
    <col min="8459" max="8459" width="11.875" style="16" customWidth="1"/>
    <col min="8460" max="8460" width="12.75" style="16" customWidth="1"/>
    <col min="8461" max="8461" width="10" style="16" customWidth="1"/>
    <col min="8462" max="8462" width="11.875" style="16" customWidth="1"/>
    <col min="8463" max="8704" width="9" style="16"/>
    <col min="8705" max="8705" width="7.5" style="16" customWidth="1"/>
    <col min="8706" max="8706" width="5.375" style="16" customWidth="1"/>
    <col min="8707" max="8707" width="12.75" style="16" customWidth="1"/>
    <col min="8708" max="8708" width="10" style="16" customWidth="1"/>
    <col min="8709" max="8709" width="11.875" style="16" customWidth="1"/>
    <col min="8710" max="8710" width="12.75" style="16" customWidth="1"/>
    <col min="8711" max="8711" width="10" style="16" customWidth="1"/>
    <col min="8712" max="8712" width="11.875" style="16" customWidth="1"/>
    <col min="8713" max="8713" width="12.75" style="16" customWidth="1"/>
    <col min="8714" max="8714" width="10" style="16" customWidth="1"/>
    <col min="8715" max="8715" width="11.875" style="16" customWidth="1"/>
    <col min="8716" max="8716" width="12.75" style="16" customWidth="1"/>
    <col min="8717" max="8717" width="10" style="16" customWidth="1"/>
    <col min="8718" max="8718" width="11.875" style="16" customWidth="1"/>
    <col min="8719" max="8960" width="9" style="16"/>
    <col min="8961" max="8961" width="7.5" style="16" customWidth="1"/>
    <col min="8962" max="8962" width="5.375" style="16" customWidth="1"/>
    <col min="8963" max="8963" width="12.75" style="16" customWidth="1"/>
    <col min="8964" max="8964" width="10" style="16" customWidth="1"/>
    <col min="8965" max="8965" width="11.875" style="16" customWidth="1"/>
    <col min="8966" max="8966" width="12.75" style="16" customWidth="1"/>
    <col min="8967" max="8967" width="10" style="16" customWidth="1"/>
    <col min="8968" max="8968" width="11.875" style="16" customWidth="1"/>
    <col min="8969" max="8969" width="12.75" style="16" customWidth="1"/>
    <col min="8970" max="8970" width="10" style="16" customWidth="1"/>
    <col min="8971" max="8971" width="11.875" style="16" customWidth="1"/>
    <col min="8972" max="8972" width="12.75" style="16" customWidth="1"/>
    <col min="8973" max="8973" width="10" style="16" customWidth="1"/>
    <col min="8974" max="8974" width="11.875" style="16" customWidth="1"/>
    <col min="8975" max="9216" width="9" style="16"/>
    <col min="9217" max="9217" width="7.5" style="16" customWidth="1"/>
    <col min="9218" max="9218" width="5.375" style="16" customWidth="1"/>
    <col min="9219" max="9219" width="12.75" style="16" customWidth="1"/>
    <col min="9220" max="9220" width="10" style="16" customWidth="1"/>
    <col min="9221" max="9221" width="11.875" style="16" customWidth="1"/>
    <col min="9222" max="9222" width="12.75" style="16" customWidth="1"/>
    <col min="9223" max="9223" width="10" style="16" customWidth="1"/>
    <col min="9224" max="9224" width="11.875" style="16" customWidth="1"/>
    <col min="9225" max="9225" width="12.75" style="16" customWidth="1"/>
    <col min="9226" max="9226" width="10" style="16" customWidth="1"/>
    <col min="9227" max="9227" width="11.875" style="16" customWidth="1"/>
    <col min="9228" max="9228" width="12.75" style="16" customWidth="1"/>
    <col min="9229" max="9229" width="10" style="16" customWidth="1"/>
    <col min="9230" max="9230" width="11.875" style="16" customWidth="1"/>
    <col min="9231" max="9472" width="9" style="16"/>
    <col min="9473" max="9473" width="7.5" style="16" customWidth="1"/>
    <col min="9474" max="9474" width="5.375" style="16" customWidth="1"/>
    <col min="9475" max="9475" width="12.75" style="16" customWidth="1"/>
    <col min="9476" max="9476" width="10" style="16" customWidth="1"/>
    <col min="9477" max="9477" width="11.875" style="16" customWidth="1"/>
    <col min="9478" max="9478" width="12.75" style="16" customWidth="1"/>
    <col min="9479" max="9479" width="10" style="16" customWidth="1"/>
    <col min="9480" max="9480" width="11.875" style="16" customWidth="1"/>
    <col min="9481" max="9481" width="12.75" style="16" customWidth="1"/>
    <col min="9482" max="9482" width="10" style="16" customWidth="1"/>
    <col min="9483" max="9483" width="11.875" style="16" customWidth="1"/>
    <col min="9484" max="9484" width="12.75" style="16" customWidth="1"/>
    <col min="9485" max="9485" width="10" style="16" customWidth="1"/>
    <col min="9486" max="9486" width="11.875" style="16" customWidth="1"/>
    <col min="9487" max="9728" width="9" style="16"/>
    <col min="9729" max="9729" width="7.5" style="16" customWidth="1"/>
    <col min="9730" max="9730" width="5.375" style="16" customWidth="1"/>
    <col min="9731" max="9731" width="12.75" style="16" customWidth="1"/>
    <col min="9732" max="9732" width="10" style="16" customWidth="1"/>
    <col min="9733" max="9733" width="11.875" style="16" customWidth="1"/>
    <col min="9734" max="9734" width="12.75" style="16" customWidth="1"/>
    <col min="9735" max="9735" width="10" style="16" customWidth="1"/>
    <col min="9736" max="9736" width="11.875" style="16" customWidth="1"/>
    <col min="9737" max="9737" width="12.75" style="16" customWidth="1"/>
    <col min="9738" max="9738" width="10" style="16" customWidth="1"/>
    <col min="9739" max="9739" width="11.875" style="16" customWidth="1"/>
    <col min="9740" max="9740" width="12.75" style="16" customWidth="1"/>
    <col min="9741" max="9741" width="10" style="16" customWidth="1"/>
    <col min="9742" max="9742" width="11.875" style="16" customWidth="1"/>
    <col min="9743" max="9984" width="9" style="16"/>
    <col min="9985" max="9985" width="7.5" style="16" customWidth="1"/>
    <col min="9986" max="9986" width="5.375" style="16" customWidth="1"/>
    <col min="9987" max="9987" width="12.75" style="16" customWidth="1"/>
    <col min="9988" max="9988" width="10" style="16" customWidth="1"/>
    <col min="9989" max="9989" width="11.875" style="16" customWidth="1"/>
    <col min="9990" max="9990" width="12.75" style="16" customWidth="1"/>
    <col min="9991" max="9991" width="10" style="16" customWidth="1"/>
    <col min="9992" max="9992" width="11.875" style="16" customWidth="1"/>
    <col min="9993" max="9993" width="12.75" style="16" customWidth="1"/>
    <col min="9994" max="9994" width="10" style="16" customWidth="1"/>
    <col min="9995" max="9995" width="11.875" style="16" customWidth="1"/>
    <col min="9996" max="9996" width="12.75" style="16" customWidth="1"/>
    <col min="9997" max="9997" width="10" style="16" customWidth="1"/>
    <col min="9998" max="9998" width="11.875" style="16" customWidth="1"/>
    <col min="9999" max="10240" width="9" style="16"/>
    <col min="10241" max="10241" width="7.5" style="16" customWidth="1"/>
    <col min="10242" max="10242" width="5.375" style="16" customWidth="1"/>
    <col min="10243" max="10243" width="12.75" style="16" customWidth="1"/>
    <col min="10244" max="10244" width="10" style="16" customWidth="1"/>
    <col min="10245" max="10245" width="11.875" style="16" customWidth="1"/>
    <col min="10246" max="10246" width="12.75" style="16" customWidth="1"/>
    <col min="10247" max="10247" width="10" style="16" customWidth="1"/>
    <col min="10248" max="10248" width="11.875" style="16" customWidth="1"/>
    <col min="10249" max="10249" width="12.75" style="16" customWidth="1"/>
    <col min="10250" max="10250" width="10" style="16" customWidth="1"/>
    <col min="10251" max="10251" width="11.875" style="16" customWidth="1"/>
    <col min="10252" max="10252" width="12.75" style="16" customWidth="1"/>
    <col min="10253" max="10253" width="10" style="16" customWidth="1"/>
    <col min="10254" max="10254" width="11.875" style="16" customWidth="1"/>
    <col min="10255" max="10496" width="9" style="16"/>
    <col min="10497" max="10497" width="7.5" style="16" customWidth="1"/>
    <col min="10498" max="10498" width="5.375" style="16" customWidth="1"/>
    <col min="10499" max="10499" width="12.75" style="16" customWidth="1"/>
    <col min="10500" max="10500" width="10" style="16" customWidth="1"/>
    <col min="10501" max="10501" width="11.875" style="16" customWidth="1"/>
    <col min="10502" max="10502" width="12.75" style="16" customWidth="1"/>
    <col min="10503" max="10503" width="10" style="16" customWidth="1"/>
    <col min="10504" max="10504" width="11.875" style="16" customWidth="1"/>
    <col min="10505" max="10505" width="12.75" style="16" customWidth="1"/>
    <col min="10506" max="10506" width="10" style="16" customWidth="1"/>
    <col min="10507" max="10507" width="11.875" style="16" customWidth="1"/>
    <col min="10508" max="10508" width="12.75" style="16" customWidth="1"/>
    <col min="10509" max="10509" width="10" style="16" customWidth="1"/>
    <col min="10510" max="10510" width="11.875" style="16" customWidth="1"/>
    <col min="10511" max="10752" width="9" style="16"/>
    <col min="10753" max="10753" width="7.5" style="16" customWidth="1"/>
    <col min="10754" max="10754" width="5.375" style="16" customWidth="1"/>
    <col min="10755" max="10755" width="12.75" style="16" customWidth="1"/>
    <col min="10756" max="10756" width="10" style="16" customWidth="1"/>
    <col min="10757" max="10757" width="11.875" style="16" customWidth="1"/>
    <col min="10758" max="10758" width="12.75" style="16" customWidth="1"/>
    <col min="10759" max="10759" width="10" style="16" customWidth="1"/>
    <col min="10760" max="10760" width="11.875" style="16" customWidth="1"/>
    <col min="10761" max="10761" width="12.75" style="16" customWidth="1"/>
    <col min="10762" max="10762" width="10" style="16" customWidth="1"/>
    <col min="10763" max="10763" width="11.875" style="16" customWidth="1"/>
    <col min="10764" max="10764" width="12.75" style="16" customWidth="1"/>
    <col min="10765" max="10765" width="10" style="16" customWidth="1"/>
    <col min="10766" max="10766" width="11.875" style="16" customWidth="1"/>
    <col min="10767" max="11008" width="9" style="16"/>
    <col min="11009" max="11009" width="7.5" style="16" customWidth="1"/>
    <col min="11010" max="11010" width="5.375" style="16" customWidth="1"/>
    <col min="11011" max="11011" width="12.75" style="16" customWidth="1"/>
    <col min="11012" max="11012" width="10" style="16" customWidth="1"/>
    <col min="11013" max="11013" width="11.875" style="16" customWidth="1"/>
    <col min="11014" max="11014" width="12.75" style="16" customWidth="1"/>
    <col min="11015" max="11015" width="10" style="16" customWidth="1"/>
    <col min="11016" max="11016" width="11.875" style="16" customWidth="1"/>
    <col min="11017" max="11017" width="12.75" style="16" customWidth="1"/>
    <col min="11018" max="11018" width="10" style="16" customWidth="1"/>
    <col min="11019" max="11019" width="11.875" style="16" customWidth="1"/>
    <col min="11020" max="11020" width="12.75" style="16" customWidth="1"/>
    <col min="11021" max="11021" width="10" style="16" customWidth="1"/>
    <col min="11022" max="11022" width="11.875" style="16" customWidth="1"/>
    <col min="11023" max="11264" width="9" style="16"/>
    <col min="11265" max="11265" width="7.5" style="16" customWidth="1"/>
    <col min="11266" max="11266" width="5.375" style="16" customWidth="1"/>
    <col min="11267" max="11267" width="12.75" style="16" customWidth="1"/>
    <col min="11268" max="11268" width="10" style="16" customWidth="1"/>
    <col min="11269" max="11269" width="11.875" style="16" customWidth="1"/>
    <col min="11270" max="11270" width="12.75" style="16" customWidth="1"/>
    <col min="11271" max="11271" width="10" style="16" customWidth="1"/>
    <col min="11272" max="11272" width="11.875" style="16" customWidth="1"/>
    <col min="11273" max="11273" width="12.75" style="16" customWidth="1"/>
    <col min="11274" max="11274" width="10" style="16" customWidth="1"/>
    <col min="11275" max="11275" width="11.875" style="16" customWidth="1"/>
    <col min="11276" max="11276" width="12.75" style="16" customWidth="1"/>
    <col min="11277" max="11277" width="10" style="16" customWidth="1"/>
    <col min="11278" max="11278" width="11.875" style="16" customWidth="1"/>
    <col min="11279" max="11520" width="9" style="16"/>
    <col min="11521" max="11521" width="7.5" style="16" customWidth="1"/>
    <col min="11522" max="11522" width="5.375" style="16" customWidth="1"/>
    <col min="11523" max="11523" width="12.75" style="16" customWidth="1"/>
    <col min="11524" max="11524" width="10" style="16" customWidth="1"/>
    <col min="11525" max="11525" width="11.875" style="16" customWidth="1"/>
    <col min="11526" max="11526" width="12.75" style="16" customWidth="1"/>
    <col min="11527" max="11527" width="10" style="16" customWidth="1"/>
    <col min="11528" max="11528" width="11.875" style="16" customWidth="1"/>
    <col min="11529" max="11529" width="12.75" style="16" customWidth="1"/>
    <col min="11530" max="11530" width="10" style="16" customWidth="1"/>
    <col min="11531" max="11531" width="11.875" style="16" customWidth="1"/>
    <col min="11532" max="11532" width="12.75" style="16" customWidth="1"/>
    <col min="11533" max="11533" width="10" style="16" customWidth="1"/>
    <col min="11534" max="11534" width="11.875" style="16" customWidth="1"/>
    <col min="11535" max="11776" width="9" style="16"/>
    <col min="11777" max="11777" width="7.5" style="16" customWidth="1"/>
    <col min="11778" max="11778" width="5.375" style="16" customWidth="1"/>
    <col min="11779" max="11779" width="12.75" style="16" customWidth="1"/>
    <col min="11780" max="11780" width="10" style="16" customWidth="1"/>
    <col min="11781" max="11781" width="11.875" style="16" customWidth="1"/>
    <col min="11782" max="11782" width="12.75" style="16" customWidth="1"/>
    <col min="11783" max="11783" width="10" style="16" customWidth="1"/>
    <col min="11784" max="11784" width="11.875" style="16" customWidth="1"/>
    <col min="11785" max="11785" width="12.75" style="16" customWidth="1"/>
    <col min="11786" max="11786" width="10" style="16" customWidth="1"/>
    <col min="11787" max="11787" width="11.875" style="16" customWidth="1"/>
    <col min="11788" max="11788" width="12.75" style="16" customWidth="1"/>
    <col min="11789" max="11789" width="10" style="16" customWidth="1"/>
    <col min="11790" max="11790" width="11.875" style="16" customWidth="1"/>
    <col min="11791" max="12032" width="9" style="16"/>
    <col min="12033" max="12033" width="7.5" style="16" customWidth="1"/>
    <col min="12034" max="12034" width="5.375" style="16" customWidth="1"/>
    <col min="12035" max="12035" width="12.75" style="16" customWidth="1"/>
    <col min="12036" max="12036" width="10" style="16" customWidth="1"/>
    <col min="12037" max="12037" width="11.875" style="16" customWidth="1"/>
    <col min="12038" max="12038" width="12.75" style="16" customWidth="1"/>
    <col min="12039" max="12039" width="10" style="16" customWidth="1"/>
    <col min="12040" max="12040" width="11.875" style="16" customWidth="1"/>
    <col min="12041" max="12041" width="12.75" style="16" customWidth="1"/>
    <col min="12042" max="12042" width="10" style="16" customWidth="1"/>
    <col min="12043" max="12043" width="11.875" style="16" customWidth="1"/>
    <col min="12044" max="12044" width="12.75" style="16" customWidth="1"/>
    <col min="12045" max="12045" width="10" style="16" customWidth="1"/>
    <col min="12046" max="12046" width="11.875" style="16" customWidth="1"/>
    <col min="12047" max="12288" width="9" style="16"/>
    <col min="12289" max="12289" width="7.5" style="16" customWidth="1"/>
    <col min="12290" max="12290" width="5.375" style="16" customWidth="1"/>
    <col min="12291" max="12291" width="12.75" style="16" customWidth="1"/>
    <col min="12292" max="12292" width="10" style="16" customWidth="1"/>
    <col min="12293" max="12293" width="11.875" style="16" customWidth="1"/>
    <col min="12294" max="12294" width="12.75" style="16" customWidth="1"/>
    <col min="12295" max="12295" width="10" style="16" customWidth="1"/>
    <col min="12296" max="12296" width="11.875" style="16" customWidth="1"/>
    <col min="12297" max="12297" width="12.75" style="16" customWidth="1"/>
    <col min="12298" max="12298" width="10" style="16" customWidth="1"/>
    <col min="12299" max="12299" width="11.875" style="16" customWidth="1"/>
    <col min="12300" max="12300" width="12.75" style="16" customWidth="1"/>
    <col min="12301" max="12301" width="10" style="16" customWidth="1"/>
    <col min="12302" max="12302" width="11.875" style="16" customWidth="1"/>
    <col min="12303" max="12544" width="9" style="16"/>
    <col min="12545" max="12545" width="7.5" style="16" customWidth="1"/>
    <col min="12546" max="12546" width="5.375" style="16" customWidth="1"/>
    <col min="12547" max="12547" width="12.75" style="16" customWidth="1"/>
    <col min="12548" max="12548" width="10" style="16" customWidth="1"/>
    <col min="12549" max="12549" width="11.875" style="16" customWidth="1"/>
    <col min="12550" max="12550" width="12.75" style="16" customWidth="1"/>
    <col min="12551" max="12551" width="10" style="16" customWidth="1"/>
    <col min="12552" max="12552" width="11.875" style="16" customWidth="1"/>
    <col min="12553" max="12553" width="12.75" style="16" customWidth="1"/>
    <col min="12554" max="12554" width="10" style="16" customWidth="1"/>
    <col min="12555" max="12555" width="11.875" style="16" customWidth="1"/>
    <col min="12556" max="12556" width="12.75" style="16" customWidth="1"/>
    <col min="12557" max="12557" width="10" style="16" customWidth="1"/>
    <col min="12558" max="12558" width="11.875" style="16" customWidth="1"/>
    <col min="12559" max="12800" width="9" style="16"/>
    <col min="12801" max="12801" width="7.5" style="16" customWidth="1"/>
    <col min="12802" max="12802" width="5.375" style="16" customWidth="1"/>
    <col min="12803" max="12803" width="12.75" style="16" customWidth="1"/>
    <col min="12804" max="12804" width="10" style="16" customWidth="1"/>
    <col min="12805" max="12805" width="11.875" style="16" customWidth="1"/>
    <col min="12806" max="12806" width="12.75" style="16" customWidth="1"/>
    <col min="12807" max="12807" width="10" style="16" customWidth="1"/>
    <col min="12808" max="12808" width="11.875" style="16" customWidth="1"/>
    <col min="12809" max="12809" width="12.75" style="16" customWidth="1"/>
    <col min="12810" max="12810" width="10" style="16" customWidth="1"/>
    <col min="12811" max="12811" width="11.875" style="16" customWidth="1"/>
    <col min="12812" max="12812" width="12.75" style="16" customWidth="1"/>
    <col min="12813" max="12813" width="10" style="16" customWidth="1"/>
    <col min="12814" max="12814" width="11.875" style="16" customWidth="1"/>
    <col min="12815" max="13056" width="9" style="16"/>
    <col min="13057" max="13057" width="7.5" style="16" customWidth="1"/>
    <col min="13058" max="13058" width="5.375" style="16" customWidth="1"/>
    <col min="13059" max="13059" width="12.75" style="16" customWidth="1"/>
    <col min="13060" max="13060" width="10" style="16" customWidth="1"/>
    <col min="13061" max="13061" width="11.875" style="16" customWidth="1"/>
    <col min="13062" max="13062" width="12.75" style="16" customWidth="1"/>
    <col min="13063" max="13063" width="10" style="16" customWidth="1"/>
    <col min="13064" max="13064" width="11.875" style="16" customWidth="1"/>
    <col min="13065" max="13065" width="12.75" style="16" customWidth="1"/>
    <col min="13066" max="13066" width="10" style="16" customWidth="1"/>
    <col min="13067" max="13067" width="11.875" style="16" customWidth="1"/>
    <col min="13068" max="13068" width="12.75" style="16" customWidth="1"/>
    <col min="13069" max="13069" width="10" style="16" customWidth="1"/>
    <col min="13070" max="13070" width="11.875" style="16" customWidth="1"/>
    <col min="13071" max="13312" width="9" style="16"/>
    <col min="13313" max="13313" width="7.5" style="16" customWidth="1"/>
    <col min="13314" max="13314" width="5.375" style="16" customWidth="1"/>
    <col min="13315" max="13315" width="12.75" style="16" customWidth="1"/>
    <col min="13316" max="13316" width="10" style="16" customWidth="1"/>
    <col min="13317" max="13317" width="11.875" style="16" customWidth="1"/>
    <col min="13318" max="13318" width="12.75" style="16" customWidth="1"/>
    <col min="13319" max="13319" width="10" style="16" customWidth="1"/>
    <col min="13320" max="13320" width="11.875" style="16" customWidth="1"/>
    <col min="13321" max="13321" width="12.75" style="16" customWidth="1"/>
    <col min="13322" max="13322" width="10" style="16" customWidth="1"/>
    <col min="13323" max="13323" width="11.875" style="16" customWidth="1"/>
    <col min="13324" max="13324" width="12.75" style="16" customWidth="1"/>
    <col min="13325" max="13325" width="10" style="16" customWidth="1"/>
    <col min="13326" max="13326" width="11.875" style="16" customWidth="1"/>
    <col min="13327" max="13568" width="9" style="16"/>
    <col min="13569" max="13569" width="7.5" style="16" customWidth="1"/>
    <col min="13570" max="13570" width="5.375" style="16" customWidth="1"/>
    <col min="13571" max="13571" width="12.75" style="16" customWidth="1"/>
    <col min="13572" max="13572" width="10" style="16" customWidth="1"/>
    <col min="13573" max="13573" width="11.875" style="16" customWidth="1"/>
    <col min="13574" max="13574" width="12.75" style="16" customWidth="1"/>
    <col min="13575" max="13575" width="10" style="16" customWidth="1"/>
    <col min="13576" max="13576" width="11.875" style="16" customWidth="1"/>
    <col min="13577" max="13577" width="12.75" style="16" customWidth="1"/>
    <col min="13578" max="13578" width="10" style="16" customWidth="1"/>
    <col min="13579" max="13579" width="11.875" style="16" customWidth="1"/>
    <col min="13580" max="13580" width="12.75" style="16" customWidth="1"/>
    <col min="13581" max="13581" width="10" style="16" customWidth="1"/>
    <col min="13582" max="13582" width="11.875" style="16" customWidth="1"/>
    <col min="13583" max="13824" width="9" style="16"/>
    <col min="13825" max="13825" width="7.5" style="16" customWidth="1"/>
    <col min="13826" max="13826" width="5.375" style="16" customWidth="1"/>
    <col min="13827" max="13827" width="12.75" style="16" customWidth="1"/>
    <col min="13828" max="13828" width="10" style="16" customWidth="1"/>
    <col min="13829" max="13829" width="11.875" style="16" customWidth="1"/>
    <col min="13830" max="13830" width="12.75" style="16" customWidth="1"/>
    <col min="13831" max="13831" width="10" style="16" customWidth="1"/>
    <col min="13832" max="13832" width="11.875" style="16" customWidth="1"/>
    <col min="13833" max="13833" width="12.75" style="16" customWidth="1"/>
    <col min="13834" max="13834" width="10" style="16" customWidth="1"/>
    <col min="13835" max="13835" width="11.875" style="16" customWidth="1"/>
    <col min="13836" max="13836" width="12.75" style="16" customWidth="1"/>
    <col min="13837" max="13837" width="10" style="16" customWidth="1"/>
    <col min="13838" max="13838" width="11.875" style="16" customWidth="1"/>
    <col min="13839" max="14080" width="9" style="16"/>
    <col min="14081" max="14081" width="7.5" style="16" customWidth="1"/>
    <col min="14082" max="14082" width="5.375" style="16" customWidth="1"/>
    <col min="14083" max="14083" width="12.75" style="16" customWidth="1"/>
    <col min="14084" max="14084" width="10" style="16" customWidth="1"/>
    <col min="14085" max="14085" width="11.875" style="16" customWidth="1"/>
    <col min="14086" max="14086" width="12.75" style="16" customWidth="1"/>
    <col min="14087" max="14087" width="10" style="16" customWidth="1"/>
    <col min="14088" max="14088" width="11.875" style="16" customWidth="1"/>
    <col min="14089" max="14089" width="12.75" style="16" customWidth="1"/>
    <col min="14090" max="14090" width="10" style="16" customWidth="1"/>
    <col min="14091" max="14091" width="11.875" style="16" customWidth="1"/>
    <col min="14092" max="14092" width="12.75" style="16" customWidth="1"/>
    <col min="14093" max="14093" width="10" style="16" customWidth="1"/>
    <col min="14094" max="14094" width="11.875" style="16" customWidth="1"/>
    <col min="14095" max="14336" width="9" style="16"/>
    <col min="14337" max="14337" width="7.5" style="16" customWidth="1"/>
    <col min="14338" max="14338" width="5.375" style="16" customWidth="1"/>
    <col min="14339" max="14339" width="12.75" style="16" customWidth="1"/>
    <col min="14340" max="14340" width="10" style="16" customWidth="1"/>
    <col min="14341" max="14341" width="11.875" style="16" customWidth="1"/>
    <col min="14342" max="14342" width="12.75" style="16" customWidth="1"/>
    <col min="14343" max="14343" width="10" style="16" customWidth="1"/>
    <col min="14344" max="14344" width="11.875" style="16" customWidth="1"/>
    <col min="14345" max="14345" width="12.75" style="16" customWidth="1"/>
    <col min="14346" max="14346" width="10" style="16" customWidth="1"/>
    <col min="14347" max="14347" width="11.875" style="16" customWidth="1"/>
    <col min="14348" max="14348" width="12.75" style="16" customWidth="1"/>
    <col min="14349" max="14349" width="10" style="16" customWidth="1"/>
    <col min="14350" max="14350" width="11.875" style="16" customWidth="1"/>
    <col min="14351" max="14592" width="9" style="16"/>
    <col min="14593" max="14593" width="7.5" style="16" customWidth="1"/>
    <col min="14594" max="14594" width="5.375" style="16" customWidth="1"/>
    <col min="14595" max="14595" width="12.75" style="16" customWidth="1"/>
    <col min="14596" max="14596" width="10" style="16" customWidth="1"/>
    <col min="14597" max="14597" width="11.875" style="16" customWidth="1"/>
    <col min="14598" max="14598" width="12.75" style="16" customWidth="1"/>
    <col min="14599" max="14599" width="10" style="16" customWidth="1"/>
    <col min="14600" max="14600" width="11.875" style="16" customWidth="1"/>
    <col min="14601" max="14601" width="12.75" style="16" customWidth="1"/>
    <col min="14602" max="14602" width="10" style="16" customWidth="1"/>
    <col min="14603" max="14603" width="11.875" style="16" customWidth="1"/>
    <col min="14604" max="14604" width="12.75" style="16" customWidth="1"/>
    <col min="14605" max="14605" width="10" style="16" customWidth="1"/>
    <col min="14606" max="14606" width="11.875" style="16" customWidth="1"/>
    <col min="14607" max="14848" width="9" style="16"/>
    <col min="14849" max="14849" width="7.5" style="16" customWidth="1"/>
    <col min="14850" max="14850" width="5.375" style="16" customWidth="1"/>
    <col min="14851" max="14851" width="12.75" style="16" customWidth="1"/>
    <col min="14852" max="14852" width="10" style="16" customWidth="1"/>
    <col min="14853" max="14853" width="11.875" style="16" customWidth="1"/>
    <col min="14854" max="14854" width="12.75" style="16" customWidth="1"/>
    <col min="14855" max="14855" width="10" style="16" customWidth="1"/>
    <col min="14856" max="14856" width="11.875" style="16" customWidth="1"/>
    <col min="14857" max="14857" width="12.75" style="16" customWidth="1"/>
    <col min="14858" max="14858" width="10" style="16" customWidth="1"/>
    <col min="14859" max="14859" width="11.875" style="16" customWidth="1"/>
    <col min="14860" max="14860" width="12.75" style="16" customWidth="1"/>
    <col min="14861" max="14861" width="10" style="16" customWidth="1"/>
    <col min="14862" max="14862" width="11.875" style="16" customWidth="1"/>
    <col min="14863" max="15104" width="9" style="16"/>
    <col min="15105" max="15105" width="7.5" style="16" customWidth="1"/>
    <col min="15106" max="15106" width="5.375" style="16" customWidth="1"/>
    <col min="15107" max="15107" width="12.75" style="16" customWidth="1"/>
    <col min="15108" max="15108" width="10" style="16" customWidth="1"/>
    <col min="15109" max="15109" width="11.875" style="16" customWidth="1"/>
    <col min="15110" max="15110" width="12.75" style="16" customWidth="1"/>
    <col min="15111" max="15111" width="10" style="16" customWidth="1"/>
    <col min="15112" max="15112" width="11.875" style="16" customWidth="1"/>
    <col min="15113" max="15113" width="12.75" style="16" customWidth="1"/>
    <col min="15114" max="15114" width="10" style="16" customWidth="1"/>
    <col min="15115" max="15115" width="11.875" style="16" customWidth="1"/>
    <col min="15116" max="15116" width="12.75" style="16" customWidth="1"/>
    <col min="15117" max="15117" width="10" style="16" customWidth="1"/>
    <col min="15118" max="15118" width="11.875" style="16" customWidth="1"/>
    <col min="15119" max="15360" width="9" style="16"/>
    <col min="15361" max="15361" width="7.5" style="16" customWidth="1"/>
    <col min="15362" max="15362" width="5.375" style="16" customWidth="1"/>
    <col min="15363" max="15363" width="12.75" style="16" customWidth="1"/>
    <col min="15364" max="15364" width="10" style="16" customWidth="1"/>
    <col min="15365" max="15365" width="11.875" style="16" customWidth="1"/>
    <col min="15366" max="15366" width="12.75" style="16" customWidth="1"/>
    <col min="15367" max="15367" width="10" style="16" customWidth="1"/>
    <col min="15368" max="15368" width="11.875" style="16" customWidth="1"/>
    <col min="15369" max="15369" width="12.75" style="16" customWidth="1"/>
    <col min="15370" max="15370" width="10" style="16" customWidth="1"/>
    <col min="15371" max="15371" width="11.875" style="16" customWidth="1"/>
    <col min="15372" max="15372" width="12.75" style="16" customWidth="1"/>
    <col min="15373" max="15373" width="10" style="16" customWidth="1"/>
    <col min="15374" max="15374" width="11.875" style="16" customWidth="1"/>
    <col min="15375" max="15616" width="9" style="16"/>
    <col min="15617" max="15617" width="7.5" style="16" customWidth="1"/>
    <col min="15618" max="15618" width="5.375" style="16" customWidth="1"/>
    <col min="15619" max="15619" width="12.75" style="16" customWidth="1"/>
    <col min="15620" max="15620" width="10" style="16" customWidth="1"/>
    <col min="15621" max="15621" width="11.875" style="16" customWidth="1"/>
    <col min="15622" max="15622" width="12.75" style="16" customWidth="1"/>
    <col min="15623" max="15623" width="10" style="16" customWidth="1"/>
    <col min="15624" max="15624" width="11.875" style="16" customWidth="1"/>
    <col min="15625" max="15625" width="12.75" style="16" customWidth="1"/>
    <col min="15626" max="15626" width="10" style="16" customWidth="1"/>
    <col min="15627" max="15627" width="11.875" style="16" customWidth="1"/>
    <col min="15628" max="15628" width="12.75" style="16" customWidth="1"/>
    <col min="15629" max="15629" width="10" style="16" customWidth="1"/>
    <col min="15630" max="15630" width="11.875" style="16" customWidth="1"/>
    <col min="15631" max="15872" width="9" style="16"/>
    <col min="15873" max="15873" width="7.5" style="16" customWidth="1"/>
    <col min="15874" max="15874" width="5.375" style="16" customWidth="1"/>
    <col min="15875" max="15875" width="12.75" style="16" customWidth="1"/>
    <col min="15876" max="15876" width="10" style="16" customWidth="1"/>
    <col min="15877" max="15877" width="11.875" style="16" customWidth="1"/>
    <col min="15878" max="15878" width="12.75" style="16" customWidth="1"/>
    <col min="15879" max="15879" width="10" style="16" customWidth="1"/>
    <col min="15880" max="15880" width="11.875" style="16" customWidth="1"/>
    <col min="15881" max="15881" width="12.75" style="16" customWidth="1"/>
    <col min="15882" max="15882" width="10" style="16" customWidth="1"/>
    <col min="15883" max="15883" width="11.875" style="16" customWidth="1"/>
    <col min="15884" max="15884" width="12.75" style="16" customWidth="1"/>
    <col min="15885" max="15885" width="10" style="16" customWidth="1"/>
    <col min="15886" max="15886" width="11.875" style="16" customWidth="1"/>
    <col min="15887" max="16128" width="9" style="16"/>
    <col min="16129" max="16129" width="7.5" style="16" customWidth="1"/>
    <col min="16130" max="16130" width="5.375" style="16" customWidth="1"/>
    <col min="16131" max="16131" width="12.75" style="16" customWidth="1"/>
    <col min="16132" max="16132" width="10" style="16" customWidth="1"/>
    <col min="16133" max="16133" width="11.875" style="16" customWidth="1"/>
    <col min="16134" max="16134" width="12.75" style="16" customWidth="1"/>
    <col min="16135" max="16135" width="10" style="16" customWidth="1"/>
    <col min="16136" max="16136" width="11.875" style="16" customWidth="1"/>
    <col min="16137" max="16137" width="12.75" style="16" customWidth="1"/>
    <col min="16138" max="16138" width="10" style="16" customWidth="1"/>
    <col min="16139" max="16139" width="11.875" style="16" customWidth="1"/>
    <col min="16140" max="16140" width="12.75" style="16" customWidth="1"/>
    <col min="16141" max="16141" width="10" style="16" customWidth="1"/>
    <col min="16142" max="16142" width="11.875" style="16" customWidth="1"/>
    <col min="16143" max="16384" width="9" style="16"/>
  </cols>
  <sheetData>
    <row r="1" spans="1:14" s="219" customFormat="1" ht="19.5" thickBot="1">
      <c r="A1" s="217" t="s">
        <v>536</v>
      </c>
      <c r="B1" s="217"/>
      <c r="C1" s="1412" t="s">
        <v>537</v>
      </c>
      <c r="I1" s="1412"/>
      <c r="J1" s="1412"/>
      <c r="K1" s="1412"/>
      <c r="L1" s="1412"/>
      <c r="M1" s="1412"/>
      <c r="N1" s="1412"/>
    </row>
    <row r="2" spans="1:14" s="267" customFormat="1" ht="26.25" customHeight="1" thickBot="1">
      <c r="A2" s="2496" t="s">
        <v>137</v>
      </c>
      <c r="B2" s="2497"/>
      <c r="C2" s="2500" t="s">
        <v>2</v>
      </c>
      <c r="D2" s="2501"/>
      <c r="E2" s="2501"/>
      <c r="F2" s="2501"/>
      <c r="G2" s="2501"/>
      <c r="H2" s="2502"/>
      <c r="I2" s="2500" t="s">
        <v>3</v>
      </c>
      <c r="J2" s="2501"/>
      <c r="K2" s="2501"/>
      <c r="L2" s="2501"/>
      <c r="M2" s="2501"/>
      <c r="N2" s="2503"/>
    </row>
    <row r="3" spans="1:14" s="267" customFormat="1" ht="26.25" customHeight="1" thickTop="1">
      <c r="A3" s="2498"/>
      <c r="B3" s="2499"/>
      <c r="C3" s="2504" t="s">
        <v>81</v>
      </c>
      <c r="D3" s="2505"/>
      <c r="E3" s="2506"/>
      <c r="F3" s="2507" t="s">
        <v>538</v>
      </c>
      <c r="G3" s="2507"/>
      <c r="H3" s="2508"/>
      <c r="I3" s="2504" t="s">
        <v>81</v>
      </c>
      <c r="J3" s="2505"/>
      <c r="K3" s="2506"/>
      <c r="L3" s="2505" t="s">
        <v>538</v>
      </c>
      <c r="M3" s="2505"/>
      <c r="N3" s="2509"/>
    </row>
    <row r="4" spans="1:14" s="267" customFormat="1" ht="26.25" customHeight="1" thickBot="1">
      <c r="A4" s="2488"/>
      <c r="B4" s="2489"/>
      <c r="C4" s="1413" t="s">
        <v>139</v>
      </c>
      <c r="D4" s="1414" t="s">
        <v>82</v>
      </c>
      <c r="E4" s="1414" t="s">
        <v>78</v>
      </c>
      <c r="F4" s="1415" t="s">
        <v>140</v>
      </c>
      <c r="G4" s="1414" t="s">
        <v>82</v>
      </c>
      <c r="H4" s="1416" t="s">
        <v>78</v>
      </c>
      <c r="I4" s="1417" t="s">
        <v>139</v>
      </c>
      <c r="J4" s="1414" t="s">
        <v>82</v>
      </c>
      <c r="K4" s="1418" t="s">
        <v>78</v>
      </c>
      <c r="L4" s="1414" t="s">
        <v>140</v>
      </c>
      <c r="M4" s="1414" t="s">
        <v>82</v>
      </c>
      <c r="N4" s="1419" t="s">
        <v>78</v>
      </c>
    </row>
    <row r="5" spans="1:14" s="753" customFormat="1" ht="26.25" customHeight="1" thickTop="1">
      <c r="A5" s="1420" t="s">
        <v>79</v>
      </c>
      <c r="B5" s="1421" t="s">
        <v>261</v>
      </c>
      <c r="C5" s="1422"/>
      <c r="D5" s="1423">
        <v>8.9</v>
      </c>
      <c r="E5" s="1424"/>
      <c r="F5" s="17">
        <f>'R5介護'!AG7+'R5介護'!AG8</f>
        <v>0</v>
      </c>
      <c r="G5" s="1425">
        <f>D5</f>
        <v>8.9</v>
      </c>
      <c r="H5" s="1426">
        <f>ROUNDDOWN(F5*G5/1000,0)</f>
        <v>0</v>
      </c>
      <c r="I5" s="1427"/>
      <c r="J5" s="1425">
        <f>D5</f>
        <v>8.9</v>
      </c>
      <c r="K5" s="1424"/>
      <c r="L5" s="1428">
        <f t="shared" ref="L5:L20" si="0">F5</f>
        <v>0</v>
      </c>
      <c r="M5" s="1425">
        <f>J5</f>
        <v>8.9</v>
      </c>
      <c r="N5" s="1429">
        <f>H5</f>
        <v>0</v>
      </c>
    </row>
    <row r="6" spans="1:14" s="753" customFormat="1" ht="26.25" customHeight="1">
      <c r="A6" s="1420"/>
      <c r="B6" s="1421" t="s">
        <v>264</v>
      </c>
      <c r="C6" s="1422"/>
      <c r="D6" s="1430"/>
      <c r="E6" s="1431"/>
      <c r="F6" s="17">
        <f>'R5介護'!AG13+'R5介護'!AG14</f>
        <v>0</v>
      </c>
      <c r="G6" s="1432"/>
      <c r="H6" s="1426">
        <f>ROUNDDOWN(F6*G5/1000,0)</f>
        <v>0</v>
      </c>
      <c r="I6" s="1427"/>
      <c r="J6" s="1433"/>
      <c r="K6" s="1431"/>
      <c r="L6" s="1428">
        <f t="shared" si="0"/>
        <v>0</v>
      </c>
      <c r="M6" s="1433"/>
      <c r="N6" s="1429">
        <f>H6</f>
        <v>0</v>
      </c>
    </row>
    <row r="7" spans="1:14" s="753" customFormat="1" ht="26.25" customHeight="1">
      <c r="A7" s="1420"/>
      <c r="B7" s="1421" t="s">
        <v>266</v>
      </c>
      <c r="C7" s="1422"/>
      <c r="D7" s="1430"/>
      <c r="E7" s="1431"/>
      <c r="F7" s="17">
        <f>'R5介護'!AG16</f>
        <v>0</v>
      </c>
      <c r="G7" s="1432"/>
      <c r="H7" s="1426">
        <f>ROUNDDOWN(F7*G5/1000,0)</f>
        <v>0</v>
      </c>
      <c r="I7" s="1427"/>
      <c r="J7" s="1433"/>
      <c r="K7" s="1431"/>
      <c r="L7" s="1428">
        <f t="shared" si="0"/>
        <v>0</v>
      </c>
      <c r="M7" s="1433"/>
      <c r="N7" s="1429">
        <f>H7</f>
        <v>0</v>
      </c>
    </row>
    <row r="8" spans="1:14" s="753" customFormat="1" ht="26.25" customHeight="1">
      <c r="A8" s="1434"/>
      <c r="B8" s="1435" t="s">
        <v>299</v>
      </c>
      <c r="C8" s="1436">
        <f>'R5介護'!O17</f>
        <v>0</v>
      </c>
      <c r="D8" s="1437"/>
      <c r="E8" s="1438">
        <f>ROUNDDOWN(C8*D5/1000,0)</f>
        <v>0</v>
      </c>
      <c r="F8" s="1439">
        <f>SUM(F5:F7)</f>
        <v>0</v>
      </c>
      <c r="G8" s="1440"/>
      <c r="H8" s="1441">
        <f>SUM(H5:H7)</f>
        <v>0</v>
      </c>
      <c r="I8" s="1442">
        <f>C8</f>
        <v>0</v>
      </c>
      <c r="J8" s="1437"/>
      <c r="K8" s="1438">
        <f>E8</f>
        <v>0</v>
      </c>
      <c r="L8" s="1443">
        <f t="shared" si="0"/>
        <v>0</v>
      </c>
      <c r="M8" s="1437"/>
      <c r="N8" s="1444">
        <f>SUM(N5:N7)</f>
        <v>0</v>
      </c>
    </row>
    <row r="9" spans="1:14" s="753" customFormat="1" ht="26.25" customHeight="1">
      <c r="A9" s="1420" t="s">
        <v>74</v>
      </c>
      <c r="B9" s="1421" t="s">
        <v>261</v>
      </c>
      <c r="C9" s="1422"/>
      <c r="D9" s="1425">
        <f>D5</f>
        <v>8.9</v>
      </c>
      <c r="E9" s="1431"/>
      <c r="F9" s="17">
        <f>SUM('R5介護'!AC7:AD8)</f>
        <v>10681000</v>
      </c>
      <c r="G9" s="1445">
        <f>G5</f>
        <v>8.9</v>
      </c>
      <c r="H9" s="1426">
        <f>ROUNDDOWN(F9*G9/1000,0)</f>
        <v>95060</v>
      </c>
      <c r="I9" s="1427"/>
      <c r="J9" s="1425">
        <f>J5</f>
        <v>8.9</v>
      </c>
      <c r="K9" s="1431"/>
      <c r="L9" s="1428">
        <f t="shared" si="0"/>
        <v>10681000</v>
      </c>
      <c r="M9" s="1445">
        <f>J9</f>
        <v>8.9</v>
      </c>
      <c r="N9" s="1429">
        <f>H9</f>
        <v>95060</v>
      </c>
    </row>
    <row r="10" spans="1:14" s="753" customFormat="1" ht="26.25" customHeight="1">
      <c r="A10" s="1420"/>
      <c r="B10" s="1421" t="s">
        <v>264</v>
      </c>
      <c r="C10" s="1422"/>
      <c r="D10" s="1445"/>
      <c r="E10" s="1431"/>
      <c r="F10" s="17">
        <f>SUM('R5介護'!AC13:AD14)</f>
        <v>10681000</v>
      </c>
      <c r="G10" s="1432"/>
      <c r="H10" s="1426">
        <f>ROUNDDOWN(F10*G9/1000,0)</f>
        <v>95060</v>
      </c>
      <c r="I10" s="1427"/>
      <c r="J10" s="1445"/>
      <c r="K10" s="1431"/>
      <c r="L10" s="1428">
        <f t="shared" si="0"/>
        <v>10681000</v>
      </c>
      <c r="M10" s="1432"/>
      <c r="N10" s="1429">
        <f>H10</f>
        <v>95060</v>
      </c>
    </row>
    <row r="11" spans="1:14" s="753" customFormat="1" ht="26.25" customHeight="1">
      <c r="A11" s="1420"/>
      <c r="B11" s="1421" t="s">
        <v>266</v>
      </c>
      <c r="C11" s="1422"/>
      <c r="D11" s="1445"/>
      <c r="E11" s="1431"/>
      <c r="F11" s="17">
        <f>SUM('R5介護'!AC16:AD16)</f>
        <v>2048000</v>
      </c>
      <c r="G11" s="1432"/>
      <c r="H11" s="1426">
        <f>ROUNDDOWN(F11*G9/1000,0)</f>
        <v>18227</v>
      </c>
      <c r="I11" s="1427"/>
      <c r="J11" s="1445"/>
      <c r="K11" s="1431"/>
      <c r="L11" s="1428">
        <f t="shared" si="0"/>
        <v>2048000</v>
      </c>
      <c r="M11" s="1432"/>
      <c r="N11" s="1429">
        <f>H11</f>
        <v>18227</v>
      </c>
    </row>
    <row r="12" spans="1:14" s="753" customFormat="1" ht="26.25" customHeight="1">
      <c r="A12" s="1434"/>
      <c r="B12" s="1435" t="s">
        <v>299</v>
      </c>
      <c r="C12" s="1436">
        <f>'R5介護'!K17+'R5介護'!M17</f>
        <v>49800000</v>
      </c>
      <c r="D12" s="1446"/>
      <c r="E12" s="1438">
        <f>ROUNDDOWN(C12*D9/1000,0)</f>
        <v>443220</v>
      </c>
      <c r="F12" s="1439">
        <f>SUM(F9:F11)</f>
        <v>23410000</v>
      </c>
      <c r="G12" s="1440"/>
      <c r="H12" s="1441">
        <f>SUM(H9:H11)</f>
        <v>208347</v>
      </c>
      <c r="I12" s="1442">
        <f>C12</f>
        <v>49800000</v>
      </c>
      <c r="J12" s="1446"/>
      <c r="K12" s="1438">
        <f>E12</f>
        <v>443220</v>
      </c>
      <c r="L12" s="1447">
        <f t="shared" si="0"/>
        <v>23410000</v>
      </c>
      <c r="M12" s="1440"/>
      <c r="N12" s="1444">
        <f>SUM(N9:N11)</f>
        <v>208347</v>
      </c>
    </row>
    <row r="13" spans="1:14" s="753" customFormat="1" ht="26.25" customHeight="1">
      <c r="A13" s="1420" t="s">
        <v>300</v>
      </c>
      <c r="B13" s="1421" t="s">
        <v>261</v>
      </c>
      <c r="C13" s="1422"/>
      <c r="D13" s="1425">
        <f>D9</f>
        <v>8.9</v>
      </c>
      <c r="E13" s="1431"/>
      <c r="F13" s="17">
        <f>'R5介護'!AA7+'R5介護'!AA8+'R5介護'!AB7+'R5介護'!AB8+'R5介護'!AH7+'R5介護'!AH8+'R5介護'!AF7</f>
        <v>5804815000</v>
      </c>
      <c r="G13" s="1445">
        <f>G9</f>
        <v>8.9</v>
      </c>
      <c r="H13" s="1426">
        <f>ROUNDDOWN(F13*G13/1000,0)</f>
        <v>51662853</v>
      </c>
      <c r="I13" s="1427"/>
      <c r="J13" s="1425">
        <f>J9</f>
        <v>8.9</v>
      </c>
      <c r="K13" s="1431"/>
      <c r="L13" s="1428">
        <f t="shared" si="0"/>
        <v>5804815000</v>
      </c>
      <c r="M13" s="1445">
        <f>J13</f>
        <v>8.9</v>
      </c>
      <c r="N13" s="1429">
        <f>H13</f>
        <v>51662853</v>
      </c>
    </row>
    <row r="14" spans="1:14" s="753" customFormat="1" ht="26.25" customHeight="1">
      <c r="A14" s="1448" t="s">
        <v>539</v>
      </c>
      <c r="B14" s="1421" t="s">
        <v>264</v>
      </c>
      <c r="C14" s="1422"/>
      <c r="D14" s="1445"/>
      <c r="E14" s="1431"/>
      <c r="F14" s="17">
        <f>'R5介護'!AA13+'R5介護'!AA14+'R5介護'!AB13+'R5介護'!AB14+'R5介護'!AH13+'R5介護'!AH14+'R5介護'!AF13</f>
        <v>5846107000</v>
      </c>
      <c r="G14" s="1432"/>
      <c r="H14" s="1426">
        <f>ROUNDDOWN(F14*G13/1000,0)</f>
        <v>52030352</v>
      </c>
      <c r="I14" s="1427"/>
      <c r="J14" s="1445"/>
      <c r="K14" s="1431"/>
      <c r="L14" s="1428">
        <f t="shared" si="0"/>
        <v>5846107000</v>
      </c>
      <c r="M14" s="1432"/>
      <c r="N14" s="1429">
        <f>H14</f>
        <v>52030352</v>
      </c>
    </row>
    <row r="15" spans="1:14" s="753" customFormat="1" ht="26.25" customHeight="1">
      <c r="A15" s="1449" t="s">
        <v>305</v>
      </c>
      <c r="B15" s="1421" t="s">
        <v>266</v>
      </c>
      <c r="C15" s="1422"/>
      <c r="D15" s="1445"/>
      <c r="E15" s="1431"/>
      <c r="F15" s="17">
        <f>'R5介護'!AA16+'R5介護'!AB16+'R5介護'!AH16+'R5介護'!AF16</f>
        <v>1165250000</v>
      </c>
      <c r="G15" s="1432"/>
      <c r="H15" s="1426">
        <f>ROUNDDOWN(F15*G13/1000,0)</f>
        <v>10370725</v>
      </c>
      <c r="I15" s="1427"/>
      <c r="J15" s="1445"/>
      <c r="K15" s="1431"/>
      <c r="L15" s="1428">
        <f t="shared" si="0"/>
        <v>1165250000</v>
      </c>
      <c r="M15" s="1432"/>
      <c r="N15" s="1429">
        <f>H15</f>
        <v>10370725</v>
      </c>
    </row>
    <row r="16" spans="1:14" s="753" customFormat="1" ht="26.25" customHeight="1">
      <c r="A16" s="1450"/>
      <c r="B16" s="1435" t="s">
        <v>299</v>
      </c>
      <c r="C16" s="1436">
        <f>'R5介護'!G17+'R5介護'!I17+'R5介護'!U17+'R5介護'!Q17+'R5介護'!S17</f>
        <v>45126188800</v>
      </c>
      <c r="D16" s="1446"/>
      <c r="E16" s="1438">
        <f>ROUNDDOWN(C16*D13/1000,0)</f>
        <v>401623080</v>
      </c>
      <c r="F16" s="1439">
        <f>SUM(F13:F15)</f>
        <v>12816172000</v>
      </c>
      <c r="G16" s="1440"/>
      <c r="H16" s="1441">
        <f>SUM(H13:H15)</f>
        <v>114063930</v>
      </c>
      <c r="I16" s="1442">
        <f>C16</f>
        <v>45126188800</v>
      </c>
      <c r="J16" s="1446"/>
      <c r="K16" s="1438">
        <f>E16</f>
        <v>401623080</v>
      </c>
      <c r="L16" s="1447">
        <f t="shared" si="0"/>
        <v>12816172000</v>
      </c>
      <c r="M16" s="1440"/>
      <c r="N16" s="1444">
        <f>SUM(N13:N15)</f>
        <v>114063930</v>
      </c>
    </row>
    <row r="17" spans="1:14" s="753" customFormat="1" ht="26.25" customHeight="1">
      <c r="A17" s="1420" t="s">
        <v>152</v>
      </c>
      <c r="B17" s="1421" t="s">
        <v>261</v>
      </c>
      <c r="C17" s="1422"/>
      <c r="D17" s="1425">
        <f>D13</f>
        <v>8.9</v>
      </c>
      <c r="E17" s="1431"/>
      <c r="F17" s="17">
        <f>'R5介護'!Z7+'R5介護'!Z8</f>
        <v>2277000</v>
      </c>
      <c r="G17" s="1445">
        <f>G13</f>
        <v>8.9</v>
      </c>
      <c r="H17" s="1426">
        <f>ROUNDDOWN(F17*G17/1000,0)</f>
        <v>20265</v>
      </c>
      <c r="I17" s="1427"/>
      <c r="J17" s="1425">
        <f>J13</f>
        <v>8.9</v>
      </c>
      <c r="K17" s="1431"/>
      <c r="L17" s="1428">
        <f t="shared" si="0"/>
        <v>2277000</v>
      </c>
      <c r="M17" s="1445">
        <f>J17</f>
        <v>8.9</v>
      </c>
      <c r="N17" s="1429">
        <f>H17</f>
        <v>20265</v>
      </c>
    </row>
    <row r="18" spans="1:14" s="753" customFormat="1" ht="26.25" customHeight="1">
      <c r="A18" s="1420"/>
      <c r="B18" s="1421" t="s">
        <v>264</v>
      </c>
      <c r="C18" s="1422"/>
      <c r="D18" s="1445"/>
      <c r="E18" s="1431"/>
      <c r="F18" s="17">
        <f>'R5介護'!Z13+'R5介護'!Z14</f>
        <v>2277000.25</v>
      </c>
      <c r="G18" s="1432"/>
      <c r="H18" s="1426">
        <f>ROUNDDOWN(F18*G17/1000,0)</f>
        <v>20265</v>
      </c>
      <c r="I18" s="1427"/>
      <c r="J18" s="1445"/>
      <c r="K18" s="1431"/>
      <c r="L18" s="1428">
        <f t="shared" si="0"/>
        <v>2277000.25</v>
      </c>
      <c r="M18" s="1432"/>
      <c r="N18" s="1429">
        <f>H18</f>
        <v>20265</v>
      </c>
    </row>
    <row r="19" spans="1:14" s="753" customFormat="1" ht="26.25" customHeight="1">
      <c r="A19" s="1420"/>
      <c r="B19" s="1421" t="s">
        <v>266</v>
      </c>
      <c r="C19" s="1422"/>
      <c r="D19" s="1445"/>
      <c r="E19" s="1431"/>
      <c r="F19" s="17">
        <f>'R5介護'!Z16</f>
        <v>455000</v>
      </c>
      <c r="G19" s="1432"/>
      <c r="H19" s="1426">
        <f>ROUNDDOWN(F19*G17/1000,0)</f>
        <v>4049</v>
      </c>
      <c r="I19" s="1427"/>
      <c r="J19" s="1445"/>
      <c r="K19" s="1431"/>
      <c r="L19" s="1428">
        <f t="shared" si="0"/>
        <v>455000</v>
      </c>
      <c r="M19" s="1432"/>
      <c r="N19" s="1429">
        <f>H19</f>
        <v>4049</v>
      </c>
    </row>
    <row r="20" spans="1:14" s="753" customFormat="1" ht="26.25" customHeight="1">
      <c r="A20" s="1434"/>
      <c r="B20" s="1451" t="s">
        <v>299</v>
      </c>
      <c r="C20" s="1436">
        <f>'R5介護'!E17</f>
        <v>9840000</v>
      </c>
      <c r="D20" s="1446"/>
      <c r="E20" s="1438">
        <f>ROUNDDOWN(C20*D17/1000,0)</f>
        <v>87576</v>
      </c>
      <c r="F20" s="1439">
        <f>SUM(F17:F19)</f>
        <v>5009000.25</v>
      </c>
      <c r="G20" s="1440"/>
      <c r="H20" s="1441">
        <f>SUM(H17:H19)</f>
        <v>44579</v>
      </c>
      <c r="I20" s="1442">
        <f>C20</f>
        <v>9840000</v>
      </c>
      <c r="J20" s="1446"/>
      <c r="K20" s="1438">
        <f>E20</f>
        <v>87576</v>
      </c>
      <c r="L20" s="1447">
        <f t="shared" si="0"/>
        <v>5009000.25</v>
      </c>
      <c r="M20" s="1440"/>
      <c r="N20" s="1444">
        <f>SUM(N17:N19)</f>
        <v>44579</v>
      </c>
    </row>
    <row r="21" spans="1:14" s="753" customFormat="1" ht="26.25" customHeight="1">
      <c r="A21" s="1452" t="s">
        <v>75</v>
      </c>
      <c r="B21" s="1453" t="s">
        <v>299</v>
      </c>
      <c r="C21" s="1422">
        <f>'R5介護'!W17</f>
        <v>366690000</v>
      </c>
      <c r="D21" s="1454"/>
      <c r="E21" s="1431"/>
      <c r="F21" s="1455"/>
      <c r="G21" s="1446"/>
      <c r="H21" s="1456"/>
      <c r="I21" s="1427">
        <f>C21</f>
        <v>366690000</v>
      </c>
      <c r="J21" s="1425">
        <f>J5*2</f>
        <v>17.8</v>
      </c>
      <c r="K21" s="1431">
        <f>ROUNDDOWN(I21*J21/1000,0)</f>
        <v>6527082</v>
      </c>
      <c r="L21" s="1428"/>
      <c r="M21" s="1430"/>
      <c r="N21" s="1429"/>
    </row>
    <row r="22" spans="1:14" s="753" customFormat="1" ht="26.25" customHeight="1" thickBot="1">
      <c r="A22" s="1457"/>
      <c r="B22" s="1453"/>
      <c r="C22" s="1458"/>
      <c r="D22" s="1459"/>
      <c r="E22" s="1460"/>
      <c r="F22" s="1461"/>
      <c r="G22" s="1459"/>
      <c r="H22" s="1462"/>
      <c r="I22" s="2480" t="s">
        <v>540</v>
      </c>
      <c r="J22" s="2481"/>
      <c r="K22" s="1463">
        <f>-312701+-76731</f>
        <v>-389432</v>
      </c>
      <c r="L22" s="1464"/>
      <c r="M22" s="1465"/>
      <c r="N22" s="1466"/>
    </row>
    <row r="23" spans="1:14" s="267" customFormat="1" ht="30.75" customHeight="1" thickTop="1">
      <c r="A23" s="2482" t="s">
        <v>541</v>
      </c>
      <c r="B23" s="2483"/>
      <c r="C23" s="1467" t="s">
        <v>139</v>
      </c>
      <c r="D23" s="540"/>
      <c r="E23" s="754"/>
      <c r="F23" s="1468" t="s">
        <v>140</v>
      </c>
      <c r="G23" s="540"/>
      <c r="H23" s="754"/>
      <c r="I23" s="1467" t="s">
        <v>139</v>
      </c>
      <c r="J23" s="540"/>
      <c r="K23" s="754"/>
      <c r="L23" s="1468" t="s">
        <v>140</v>
      </c>
      <c r="M23" s="540"/>
      <c r="N23" s="1469"/>
    </row>
    <row r="24" spans="1:14" s="267" customFormat="1" ht="30.75" customHeight="1">
      <c r="A24" s="2484"/>
      <c r="B24" s="2485"/>
      <c r="C24" s="755">
        <f>C8+C12+C16+C20+C21</f>
        <v>45552518800</v>
      </c>
      <c r="D24" s="996"/>
      <c r="E24" s="1470">
        <f>E8+E12+E16+E20</f>
        <v>402153876</v>
      </c>
      <c r="F24" s="756">
        <f>F8+F12+F16+F20</f>
        <v>12844591000.25</v>
      </c>
      <c r="G24" s="996"/>
      <c r="H24" s="1470">
        <f>H8+H12+H16+H20</f>
        <v>114316856</v>
      </c>
      <c r="I24" s="755">
        <f>I8+I12+I16+I20+I21</f>
        <v>45552518800</v>
      </c>
      <c r="J24" s="996"/>
      <c r="K24" s="1470">
        <f>K8+K12+K16+K20+K21+K22</f>
        <v>408291526</v>
      </c>
      <c r="L24" s="756">
        <f>L8+L12+L16+L20</f>
        <v>12844591000.25</v>
      </c>
      <c r="M24" s="996"/>
      <c r="N24" s="1471">
        <f>N8+N12+N16+N20</f>
        <v>114316856</v>
      </c>
    </row>
    <row r="25" spans="1:14" s="753" customFormat="1" ht="30.75" customHeight="1" thickBot="1">
      <c r="A25" s="2486" t="s">
        <v>542</v>
      </c>
      <c r="B25" s="2487"/>
      <c r="C25" s="1472" t="s">
        <v>213</v>
      </c>
      <c r="D25" s="1473"/>
      <c r="E25" s="1474">
        <f>ROUNDDOWN('R5介護'!D44*D5/1000,0)</f>
        <v>1487546</v>
      </c>
      <c r="F25" s="1475" t="s">
        <v>189</v>
      </c>
      <c r="G25" s="1473"/>
      <c r="H25" s="1474">
        <f>ROUNDDOWN('R5介護'!F44*G5/1000,0)</f>
        <v>123763</v>
      </c>
      <c r="I25" s="1472" t="s">
        <v>213</v>
      </c>
      <c r="J25" s="1473"/>
      <c r="K25" s="1476">
        <f>E25</f>
        <v>1487546</v>
      </c>
      <c r="L25" s="1475" t="s">
        <v>189</v>
      </c>
      <c r="M25" s="1473"/>
      <c r="N25" s="1477">
        <f>H25</f>
        <v>123763</v>
      </c>
    </row>
    <row r="26" spans="1:14" s="554" customFormat="1" ht="30.75" customHeight="1" thickTop="1" thickBot="1">
      <c r="A26" s="2488" t="s">
        <v>543</v>
      </c>
      <c r="B26" s="2489"/>
      <c r="C26" s="1478" t="s">
        <v>213</v>
      </c>
      <c r="D26" s="540"/>
      <c r="E26" s="1479">
        <f>E24-E25</f>
        <v>400666330</v>
      </c>
      <c r="F26" s="1480" t="s">
        <v>189</v>
      </c>
      <c r="G26" s="540"/>
      <c r="H26" s="1479">
        <f>H24-H25</f>
        <v>114193093</v>
      </c>
      <c r="I26" s="1478" t="s">
        <v>213</v>
      </c>
      <c r="J26" s="540"/>
      <c r="K26" s="1481">
        <f>K24-K25</f>
        <v>406803980</v>
      </c>
      <c r="L26" s="1480" t="s">
        <v>189</v>
      </c>
      <c r="M26" s="540"/>
      <c r="N26" s="1482">
        <f>N24-N25</f>
        <v>114193093</v>
      </c>
    </row>
    <row r="27" spans="1:14" s="267" customFormat="1" ht="30.75" customHeight="1" thickTop="1" thickBot="1">
      <c r="A27" s="2490" t="s">
        <v>183</v>
      </c>
      <c r="B27" s="2491"/>
      <c r="C27" s="2492" t="s">
        <v>544</v>
      </c>
      <c r="D27" s="2491"/>
      <c r="E27" s="2493">
        <f>E26+H26</f>
        <v>514859423</v>
      </c>
      <c r="F27" s="2494"/>
      <c r="G27" s="2494"/>
      <c r="H27" s="2495"/>
      <c r="I27" s="1483" t="s">
        <v>545</v>
      </c>
      <c r="J27" s="1484" t="s">
        <v>546</v>
      </c>
      <c r="K27" s="1485">
        <f>SUM(K21:K22)</f>
        <v>6137650</v>
      </c>
      <c r="L27" s="1486" t="s">
        <v>547</v>
      </c>
      <c r="M27" s="1485"/>
      <c r="N27" s="1487">
        <f>K26+N26-K27</f>
        <v>514859423</v>
      </c>
    </row>
    <row r="28" spans="1:14" ht="45" customHeight="1">
      <c r="C28" s="1488"/>
      <c r="D28" s="1488"/>
      <c r="E28" s="1489"/>
      <c r="F28" s="1489"/>
      <c r="G28" s="1489"/>
      <c r="H28" s="1489"/>
      <c r="I28" s="1490"/>
      <c r="J28" s="1491"/>
      <c r="K28" s="1491"/>
      <c r="L28" s="1491"/>
      <c r="M28" s="1491"/>
      <c r="N28" s="1491"/>
    </row>
    <row r="29" spans="1:14" s="1492" customFormat="1" ht="24" customHeight="1">
      <c r="C29" s="357" t="s">
        <v>548</v>
      </c>
      <c r="D29" s="358" t="str">
        <f>A1</f>
        <v>R3年度</v>
      </c>
      <c r="H29" s="357" t="s">
        <v>549</v>
      </c>
      <c r="I29" s="358" t="str">
        <f>D29</f>
        <v>R3年度</v>
      </c>
    </row>
    <row r="30" spans="1:14" s="1493" customFormat="1" ht="24" customHeight="1">
      <c r="C30" s="1494" t="s">
        <v>182</v>
      </c>
      <c r="D30" s="1495" t="s">
        <v>183</v>
      </c>
      <c r="E30" s="1496">
        <f>E31+E45</f>
        <v>514859423</v>
      </c>
      <c r="F30" s="1497">
        <f>F31+F45</f>
        <v>514860</v>
      </c>
      <c r="G30" s="1498" t="s">
        <v>186</v>
      </c>
      <c r="H30" s="1494" t="s">
        <v>184</v>
      </c>
      <c r="I30" s="1499"/>
      <c r="J30" s="1500">
        <f>J32+J36+J40</f>
        <v>514859423</v>
      </c>
      <c r="K30" s="1501">
        <f>K32+K36+K40</f>
        <v>514860</v>
      </c>
      <c r="L30" s="1498" t="s">
        <v>186</v>
      </c>
      <c r="M30" s="2473"/>
      <c r="N30" s="2473"/>
    </row>
    <row r="31" spans="1:14" s="1493" customFormat="1" ht="24" customHeight="1">
      <c r="B31" s="1502"/>
      <c r="C31" s="1503" t="s">
        <v>185</v>
      </c>
      <c r="D31" s="1504"/>
      <c r="E31" s="1505">
        <f>E32+E36+E40</f>
        <v>514727268</v>
      </c>
      <c r="F31" s="1506">
        <f>F32+F36+F40</f>
        <v>514727</v>
      </c>
      <c r="G31" s="445">
        <f>ROUND(E26/1000,0)</f>
        <v>400666</v>
      </c>
      <c r="H31" s="2474"/>
      <c r="I31" s="2475"/>
      <c r="J31" s="1507"/>
      <c r="K31" s="1508"/>
      <c r="L31" s="445">
        <f>G31</f>
        <v>400666</v>
      </c>
      <c r="M31" s="2473"/>
      <c r="N31" s="2473"/>
    </row>
    <row r="32" spans="1:14" s="1493" customFormat="1" ht="24" customHeight="1">
      <c r="B32" s="1502"/>
      <c r="C32" s="1509" t="s">
        <v>187</v>
      </c>
      <c r="D32" s="374"/>
      <c r="E32" s="1507">
        <f>E33+E34</f>
        <v>0</v>
      </c>
      <c r="F32" s="1508">
        <f>F33+F34</f>
        <v>0</v>
      </c>
      <c r="G32" s="1498" t="s">
        <v>189</v>
      </c>
      <c r="H32" s="2474" t="s">
        <v>187</v>
      </c>
      <c r="I32" s="2475"/>
      <c r="J32" s="1507">
        <f>SUM(J33:J34)</f>
        <v>0</v>
      </c>
      <c r="K32" s="1508">
        <f>K33+K34</f>
        <v>0</v>
      </c>
      <c r="L32" s="1498" t="s">
        <v>189</v>
      </c>
      <c r="M32" s="2476"/>
      <c r="N32" s="2476"/>
    </row>
    <row r="33" spans="2:14" s="1493" customFormat="1" ht="24" customHeight="1">
      <c r="B33" s="1502"/>
      <c r="C33" s="1510" t="s">
        <v>188</v>
      </c>
      <c r="D33" s="376"/>
      <c r="E33" s="1511">
        <f>E8</f>
        <v>0</v>
      </c>
      <c r="F33" s="1512">
        <f>ROUND(E33/1000,0)</f>
        <v>0</v>
      </c>
      <c r="G33" s="445">
        <f>ROUND(H26/1000,0)</f>
        <v>114193</v>
      </c>
      <c r="H33" s="1510" t="s">
        <v>188</v>
      </c>
      <c r="I33" s="1513"/>
      <c r="J33" s="1511">
        <f>K8</f>
        <v>0</v>
      </c>
      <c r="K33" s="1512">
        <f>ROUND(J33/1000,0)</f>
        <v>0</v>
      </c>
      <c r="L33" s="445">
        <f>G33</f>
        <v>114193</v>
      </c>
      <c r="M33" s="2476"/>
      <c r="N33" s="2476"/>
    </row>
    <row r="34" spans="2:14" s="1493" customFormat="1" ht="24" customHeight="1">
      <c r="B34" s="1502"/>
      <c r="C34" s="1514" t="s">
        <v>190</v>
      </c>
      <c r="D34" s="374"/>
      <c r="E34" s="1511">
        <f>H8</f>
        <v>0</v>
      </c>
      <c r="F34" s="1512">
        <f>ROUND(E34/1000,0)</f>
        <v>0</v>
      </c>
      <c r="G34" s="1498"/>
      <c r="H34" s="1514" t="s">
        <v>190</v>
      </c>
      <c r="I34" s="1515"/>
      <c r="J34" s="1511">
        <f>N8</f>
        <v>0</v>
      </c>
      <c r="K34" s="1512">
        <f>ROUND(J34/1000,0)</f>
        <v>0</v>
      </c>
      <c r="L34" s="1498" t="s">
        <v>550</v>
      </c>
    </row>
    <row r="35" spans="2:14" s="1493" customFormat="1" ht="24" customHeight="1" thickBot="1">
      <c r="B35" s="1502"/>
      <c r="C35" s="1514"/>
      <c r="D35" s="374"/>
      <c r="E35" s="1511"/>
      <c r="F35" s="1512"/>
      <c r="H35" s="1516"/>
      <c r="I35" s="1517"/>
      <c r="J35" s="1511"/>
      <c r="K35" s="1518"/>
      <c r="L35" s="442">
        <f>K45</f>
        <v>6138</v>
      </c>
      <c r="M35" s="1502"/>
      <c r="N35" s="1502"/>
    </row>
    <row r="36" spans="2:14" s="1493" customFormat="1" ht="24" customHeight="1">
      <c r="B36" s="1502"/>
      <c r="C36" s="1510" t="s">
        <v>191</v>
      </c>
      <c r="D36" s="1519"/>
      <c r="E36" s="1507">
        <f>E37+E38</f>
        <v>651567</v>
      </c>
      <c r="F36" s="1508">
        <f>F37+F38</f>
        <v>651</v>
      </c>
      <c r="H36" s="1520" t="s">
        <v>191</v>
      </c>
      <c r="I36" s="1521"/>
      <c r="J36" s="1507">
        <f>J37+J38</f>
        <v>651567</v>
      </c>
      <c r="K36" s="1508">
        <f>K37+K38</f>
        <v>651</v>
      </c>
      <c r="L36" s="1522"/>
      <c r="M36" s="2477" t="str">
        <f>A1</f>
        <v>R3年度</v>
      </c>
      <c r="N36" s="2478" t="s">
        <v>551</v>
      </c>
    </row>
    <row r="37" spans="2:14" s="1493" customFormat="1" ht="24" customHeight="1" thickBot="1">
      <c r="B37" s="1502"/>
      <c r="C37" s="1510" t="s">
        <v>188</v>
      </c>
      <c r="D37" s="376"/>
      <c r="E37" s="1511">
        <f>E12</f>
        <v>443220</v>
      </c>
      <c r="F37" s="1518">
        <f>ROUND(E37/1000,0)</f>
        <v>443</v>
      </c>
      <c r="H37" s="1510" t="s">
        <v>188</v>
      </c>
      <c r="I37" s="1513"/>
      <c r="J37" s="1511">
        <f>K12</f>
        <v>443220</v>
      </c>
      <c r="K37" s="1512">
        <f>ROUND(J37/1000,0)</f>
        <v>443</v>
      </c>
      <c r="L37" s="1522"/>
      <c r="M37" s="2470"/>
      <c r="N37" s="2479"/>
    </row>
    <row r="38" spans="2:14" s="1493" customFormat="1" ht="24" customHeight="1">
      <c r="B38" s="1502"/>
      <c r="C38" s="1514" t="s">
        <v>190</v>
      </c>
      <c r="D38" s="374"/>
      <c r="E38" s="1511">
        <f>H12</f>
        <v>208347</v>
      </c>
      <c r="F38" s="1518">
        <f>ROUND(E38/1000,0)</f>
        <v>208</v>
      </c>
      <c r="H38" s="1514" t="s">
        <v>190</v>
      </c>
      <c r="I38" s="1513"/>
      <c r="J38" s="1511">
        <f>N12</f>
        <v>208347</v>
      </c>
      <c r="K38" s="1512">
        <f>ROUND(J38/1000,0)</f>
        <v>208</v>
      </c>
      <c r="L38" s="1522"/>
      <c r="M38" s="2468">
        <f>E30+J30+J45</f>
        <v>1035856496</v>
      </c>
      <c r="N38" s="2469"/>
    </row>
    <row r="39" spans="2:14" s="1493" customFormat="1" ht="24" customHeight="1" thickBot="1">
      <c r="B39" s="1502"/>
      <c r="C39" s="1523"/>
      <c r="D39" s="1524"/>
      <c r="E39" s="1525"/>
      <c r="F39" s="1526"/>
      <c r="H39" s="1516"/>
      <c r="I39" s="1517"/>
      <c r="J39" s="1511"/>
      <c r="K39" s="1518"/>
      <c r="L39" s="1522"/>
      <c r="M39" s="2470"/>
      <c r="N39" s="2471"/>
    </row>
    <row r="40" spans="2:14" s="1493" customFormat="1" ht="24" customHeight="1" thickBot="1">
      <c r="B40" s="1502"/>
      <c r="C40" s="1510" t="s">
        <v>552</v>
      </c>
      <c r="D40" s="1519"/>
      <c r="E40" s="1507">
        <f>E41+E42+E43</f>
        <v>514075701</v>
      </c>
      <c r="F40" s="1508">
        <f>F41+F42+F43</f>
        <v>514076</v>
      </c>
      <c r="H40" s="1520" t="s">
        <v>195</v>
      </c>
      <c r="I40" s="1521"/>
      <c r="J40" s="1507">
        <f>J41+J42+J43</f>
        <v>514207856</v>
      </c>
      <c r="K40" s="1508">
        <f>K41+K42+K43</f>
        <v>514209</v>
      </c>
      <c r="L40" s="1522"/>
      <c r="M40" s="2472" t="s">
        <v>553</v>
      </c>
      <c r="N40" s="2472"/>
    </row>
    <row r="41" spans="2:14" s="1493" customFormat="1" ht="24" customHeight="1">
      <c r="B41" s="1502"/>
      <c r="C41" s="1510" t="s">
        <v>188</v>
      </c>
      <c r="D41" s="376"/>
      <c r="E41" s="1511">
        <f>E16</f>
        <v>401623080</v>
      </c>
      <c r="F41" s="1518">
        <f>ROUND(E41/1000,0)</f>
        <v>401623</v>
      </c>
      <c r="H41" s="1510" t="s">
        <v>188</v>
      </c>
      <c r="I41" s="1513"/>
      <c r="J41" s="1511">
        <f>K16+K20</f>
        <v>401710656</v>
      </c>
      <c r="K41" s="1512">
        <f>F41+F46</f>
        <v>401711</v>
      </c>
      <c r="L41" s="1527"/>
      <c r="M41" s="1528" t="s">
        <v>554</v>
      </c>
      <c r="N41" s="1529">
        <v>86371376</v>
      </c>
    </row>
    <row r="42" spans="2:14" s="1493" customFormat="1" ht="24" customHeight="1">
      <c r="B42" s="1502"/>
      <c r="C42" s="1514" t="s">
        <v>190</v>
      </c>
      <c r="D42" s="374"/>
      <c r="E42" s="1511">
        <f>H16</f>
        <v>114063930</v>
      </c>
      <c r="F42" s="1518">
        <f>ROUND(E42/1000,0)</f>
        <v>114064</v>
      </c>
      <c r="H42" s="1514" t="s">
        <v>190</v>
      </c>
      <c r="I42" s="1513"/>
      <c r="J42" s="1511">
        <f>N16+N20</f>
        <v>114108509</v>
      </c>
      <c r="K42" s="1512">
        <f>F42+F47</f>
        <v>114109</v>
      </c>
      <c r="L42" s="1527"/>
      <c r="M42" s="1530" t="s">
        <v>555</v>
      </c>
      <c r="N42" s="1531">
        <f>H6+H10+H14+H18+N6+N10+N14+N18-(ROUNDDOWN('R5介護'!F50*G5/1000,0)*2)</f>
        <v>104181992</v>
      </c>
    </row>
    <row r="43" spans="2:14" s="1493" customFormat="1" ht="24" customHeight="1">
      <c r="B43" s="1502"/>
      <c r="C43" s="1510" t="s">
        <v>556</v>
      </c>
      <c r="D43" s="1519"/>
      <c r="E43" s="1507">
        <f>-E25-H25</f>
        <v>-1611309</v>
      </c>
      <c r="F43" s="1508">
        <f>ROUND(E43/1000,0)</f>
        <v>-1611</v>
      </c>
      <c r="H43" s="1532" t="s">
        <v>557</v>
      </c>
      <c r="I43" s="1533"/>
      <c r="J43" s="1534">
        <f>E43</f>
        <v>-1611309</v>
      </c>
      <c r="K43" s="1535">
        <f>F43</f>
        <v>-1611</v>
      </c>
      <c r="L43" s="1536"/>
      <c r="M43" s="1530" t="s">
        <v>558</v>
      </c>
      <c r="N43" s="1531">
        <f>H26+N26-N41-N42</f>
        <v>37832818</v>
      </c>
    </row>
    <row r="44" spans="2:14" s="1493" customFormat="1" ht="24" customHeight="1">
      <c r="B44" s="1502"/>
      <c r="C44" s="1510"/>
      <c r="D44" s="1519"/>
      <c r="E44" s="1537"/>
      <c r="F44" s="1538"/>
      <c r="J44" s="1498"/>
      <c r="K44" s="1498"/>
      <c r="L44" s="1498"/>
      <c r="M44" s="1530"/>
      <c r="N44" s="1539"/>
    </row>
    <row r="45" spans="2:14" s="1493" customFormat="1" ht="24" customHeight="1" thickBot="1">
      <c r="B45" s="1502"/>
      <c r="C45" s="1503" t="s">
        <v>198</v>
      </c>
      <c r="D45" s="1540"/>
      <c r="E45" s="1505">
        <f>E46+E47</f>
        <v>132155</v>
      </c>
      <c r="F45" s="1506">
        <f>F46+F47</f>
        <v>133</v>
      </c>
      <c r="H45" s="1541" t="s">
        <v>199</v>
      </c>
      <c r="I45" s="1542"/>
      <c r="J45" s="1543">
        <f>K27</f>
        <v>6137650</v>
      </c>
      <c r="K45" s="1544">
        <f>ROUND(J45/1000,0)</f>
        <v>6138</v>
      </c>
      <c r="L45" s="1545"/>
      <c r="M45" s="1546" t="s">
        <v>559</v>
      </c>
      <c r="N45" s="1547">
        <f>E26+K26</f>
        <v>807470310</v>
      </c>
    </row>
    <row r="46" spans="2:14" s="1493" customFormat="1" ht="24" customHeight="1">
      <c r="B46" s="1502"/>
      <c r="C46" s="1510" t="s">
        <v>188</v>
      </c>
      <c r="D46" s="376"/>
      <c r="E46" s="1507">
        <f>E20</f>
        <v>87576</v>
      </c>
      <c r="F46" s="1548">
        <f>ROUND(E46/1000,0)</f>
        <v>88</v>
      </c>
      <c r="G46" s="386"/>
      <c r="H46" s="1549"/>
      <c r="I46" s="1549"/>
      <c r="J46" s="267"/>
      <c r="K46" s="267"/>
      <c r="L46" s="1498"/>
      <c r="N46" s="445"/>
    </row>
    <row r="47" spans="2:14" s="1493" customFormat="1" ht="24" customHeight="1">
      <c r="B47" s="1502"/>
      <c r="C47" s="1514" t="s">
        <v>190</v>
      </c>
      <c r="D47" s="374"/>
      <c r="E47" s="1507">
        <f>H20</f>
        <v>44579</v>
      </c>
      <c r="F47" s="1548">
        <f>ROUND(E47/1000,0)</f>
        <v>45</v>
      </c>
      <c r="G47" s="386"/>
      <c r="H47" s="1549"/>
      <c r="I47" s="1549"/>
      <c r="J47" s="267"/>
      <c r="K47" s="267"/>
      <c r="L47" s="1498"/>
      <c r="M47" s="1549"/>
      <c r="N47" s="267"/>
    </row>
    <row r="48" spans="2:14" s="1549" customFormat="1" ht="24" customHeight="1">
      <c r="B48" s="1550"/>
      <c r="C48" s="1551"/>
      <c r="D48" s="427"/>
      <c r="E48" s="1552"/>
      <c r="F48" s="1553"/>
      <c r="J48" s="267"/>
      <c r="K48" s="267"/>
      <c r="L48" s="267"/>
      <c r="N48" s="267"/>
    </row>
    <row r="49" spans="3:14" s="1549" customFormat="1">
      <c r="C49" s="432"/>
      <c r="D49" s="432"/>
      <c r="E49" s="1554"/>
      <c r="F49" s="1555"/>
      <c r="H49" s="21"/>
      <c r="I49" s="21"/>
      <c r="J49" s="267"/>
      <c r="K49" s="267"/>
      <c r="L49" s="267"/>
      <c r="N49" s="267"/>
    </row>
    <row r="50" spans="3:14" s="399" customFormat="1">
      <c r="C50" s="432"/>
      <c r="D50" s="432"/>
      <c r="E50" s="432"/>
      <c r="H50" s="16"/>
      <c r="I50" s="16"/>
      <c r="J50" s="230"/>
      <c r="K50" s="230"/>
      <c r="L50" s="230"/>
      <c r="M50" s="16"/>
      <c r="N50" s="16"/>
    </row>
  </sheetData>
  <mergeCells count="22">
    <mergeCell ref="A2:B4"/>
    <mergeCell ref="C2:H2"/>
    <mergeCell ref="I2:N2"/>
    <mergeCell ref="C3:E3"/>
    <mergeCell ref="F3:H3"/>
    <mergeCell ref="I3:K3"/>
    <mergeCell ref="L3:N3"/>
    <mergeCell ref="I22:J22"/>
    <mergeCell ref="A23:B24"/>
    <mergeCell ref="A25:B25"/>
    <mergeCell ref="A26:B26"/>
    <mergeCell ref="A27:B27"/>
    <mergeCell ref="C27:D27"/>
    <mergeCell ref="E27:H27"/>
    <mergeCell ref="M38:N39"/>
    <mergeCell ref="M40:N40"/>
    <mergeCell ref="M30:N31"/>
    <mergeCell ref="H31:I31"/>
    <mergeCell ref="H32:I32"/>
    <mergeCell ref="M32:N33"/>
    <mergeCell ref="M36:M37"/>
    <mergeCell ref="N36:N37"/>
  </mergeCells>
  <phoneticPr fontId="2"/>
  <printOptions horizontalCentered="1"/>
  <pageMargins left="0.11811023622047245" right="0.11811023622047245" top="0.59055118110236227" bottom="0" header="0.31496062992125984" footer="0"/>
  <pageSetup paperSize="9" scale="65" orientation="portrait" r:id="rId1"/>
  <headerFooter>
    <oddFooter>&amp;R&amp;"HG丸ｺﾞｼｯｸM-PRO,太字"&amp;14R2　介護掛金</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N50"/>
  <sheetViews>
    <sheetView view="pageBreakPreview" zoomScale="85" zoomScaleNormal="115" zoomScaleSheetLayoutView="85" workbookViewId="0">
      <selection activeCell="F11" sqref="F11"/>
    </sheetView>
  </sheetViews>
  <sheetFormatPr defaultRowHeight="13.5"/>
  <cols>
    <col min="1" max="1" width="7.5" style="16" customWidth="1"/>
    <col min="2" max="2" width="5.375" style="16" customWidth="1"/>
    <col min="3" max="3" width="12.75" style="16" customWidth="1"/>
    <col min="4" max="4" width="10" style="16" customWidth="1"/>
    <col min="5" max="5" width="11.875" style="16" customWidth="1"/>
    <col min="6" max="6" width="12.75" style="16" customWidth="1"/>
    <col min="7" max="7" width="10" style="16" customWidth="1"/>
    <col min="8" max="8" width="11.875" style="16" customWidth="1"/>
    <col min="9" max="9" width="12.75" style="16" customWidth="1"/>
    <col min="10" max="10" width="10" style="16" customWidth="1"/>
    <col min="11" max="11" width="11.875" style="16" customWidth="1"/>
    <col min="12" max="12" width="12.75" style="16" customWidth="1"/>
    <col min="13" max="13" width="10" style="16" customWidth="1"/>
    <col min="14" max="14" width="11.875" style="16" customWidth="1"/>
    <col min="15" max="256" width="9" style="16"/>
    <col min="257" max="257" width="7.5" style="16" customWidth="1"/>
    <col min="258" max="258" width="5.375" style="16" customWidth="1"/>
    <col min="259" max="259" width="12.75" style="16" customWidth="1"/>
    <col min="260" max="260" width="10" style="16" customWidth="1"/>
    <col min="261" max="261" width="11.875" style="16" customWidth="1"/>
    <col min="262" max="262" width="12.75" style="16" customWidth="1"/>
    <col min="263" max="263" width="10" style="16" customWidth="1"/>
    <col min="264" max="264" width="11.875" style="16" customWidth="1"/>
    <col min="265" max="265" width="12.75" style="16" customWidth="1"/>
    <col min="266" max="266" width="10" style="16" customWidth="1"/>
    <col min="267" max="267" width="11.875" style="16" customWidth="1"/>
    <col min="268" max="268" width="12.75" style="16" customWidth="1"/>
    <col min="269" max="269" width="10" style="16" customWidth="1"/>
    <col min="270" max="270" width="11.875" style="16" customWidth="1"/>
    <col min="271" max="512" width="9" style="16"/>
    <col min="513" max="513" width="7.5" style="16" customWidth="1"/>
    <col min="514" max="514" width="5.375" style="16" customWidth="1"/>
    <col min="515" max="515" width="12.75" style="16" customWidth="1"/>
    <col min="516" max="516" width="10" style="16" customWidth="1"/>
    <col min="517" max="517" width="11.875" style="16" customWidth="1"/>
    <col min="518" max="518" width="12.75" style="16" customWidth="1"/>
    <col min="519" max="519" width="10" style="16" customWidth="1"/>
    <col min="520" max="520" width="11.875" style="16" customWidth="1"/>
    <col min="521" max="521" width="12.75" style="16" customWidth="1"/>
    <col min="522" max="522" width="10" style="16" customWidth="1"/>
    <col min="523" max="523" width="11.875" style="16" customWidth="1"/>
    <col min="524" max="524" width="12.75" style="16" customWidth="1"/>
    <col min="525" max="525" width="10" style="16" customWidth="1"/>
    <col min="526" max="526" width="11.875" style="16" customWidth="1"/>
    <col min="527" max="768" width="9" style="16"/>
    <col min="769" max="769" width="7.5" style="16" customWidth="1"/>
    <col min="770" max="770" width="5.375" style="16" customWidth="1"/>
    <col min="771" max="771" width="12.75" style="16" customWidth="1"/>
    <col min="772" max="772" width="10" style="16" customWidth="1"/>
    <col min="773" max="773" width="11.875" style="16" customWidth="1"/>
    <col min="774" max="774" width="12.75" style="16" customWidth="1"/>
    <col min="775" max="775" width="10" style="16" customWidth="1"/>
    <col min="776" max="776" width="11.875" style="16" customWidth="1"/>
    <col min="777" max="777" width="12.75" style="16" customWidth="1"/>
    <col min="778" max="778" width="10" style="16" customWidth="1"/>
    <col min="779" max="779" width="11.875" style="16" customWidth="1"/>
    <col min="780" max="780" width="12.75" style="16" customWidth="1"/>
    <col min="781" max="781" width="10" style="16" customWidth="1"/>
    <col min="782" max="782" width="11.875" style="16" customWidth="1"/>
    <col min="783" max="1024" width="9" style="16"/>
    <col min="1025" max="1025" width="7.5" style="16" customWidth="1"/>
    <col min="1026" max="1026" width="5.375" style="16" customWidth="1"/>
    <col min="1027" max="1027" width="12.75" style="16" customWidth="1"/>
    <col min="1028" max="1028" width="10" style="16" customWidth="1"/>
    <col min="1029" max="1029" width="11.875" style="16" customWidth="1"/>
    <col min="1030" max="1030" width="12.75" style="16" customWidth="1"/>
    <col min="1031" max="1031" width="10" style="16" customWidth="1"/>
    <col min="1032" max="1032" width="11.875" style="16" customWidth="1"/>
    <col min="1033" max="1033" width="12.75" style="16" customWidth="1"/>
    <col min="1034" max="1034" width="10" style="16" customWidth="1"/>
    <col min="1035" max="1035" width="11.875" style="16" customWidth="1"/>
    <col min="1036" max="1036" width="12.75" style="16" customWidth="1"/>
    <col min="1037" max="1037" width="10" style="16" customWidth="1"/>
    <col min="1038" max="1038" width="11.875" style="16" customWidth="1"/>
    <col min="1039" max="1280" width="9" style="16"/>
    <col min="1281" max="1281" width="7.5" style="16" customWidth="1"/>
    <col min="1282" max="1282" width="5.375" style="16" customWidth="1"/>
    <col min="1283" max="1283" width="12.75" style="16" customWidth="1"/>
    <col min="1284" max="1284" width="10" style="16" customWidth="1"/>
    <col min="1285" max="1285" width="11.875" style="16" customWidth="1"/>
    <col min="1286" max="1286" width="12.75" style="16" customWidth="1"/>
    <col min="1287" max="1287" width="10" style="16" customWidth="1"/>
    <col min="1288" max="1288" width="11.875" style="16" customWidth="1"/>
    <col min="1289" max="1289" width="12.75" style="16" customWidth="1"/>
    <col min="1290" max="1290" width="10" style="16" customWidth="1"/>
    <col min="1291" max="1291" width="11.875" style="16" customWidth="1"/>
    <col min="1292" max="1292" width="12.75" style="16" customWidth="1"/>
    <col min="1293" max="1293" width="10" style="16" customWidth="1"/>
    <col min="1294" max="1294" width="11.875" style="16" customWidth="1"/>
    <col min="1295" max="1536" width="9" style="16"/>
    <col min="1537" max="1537" width="7.5" style="16" customWidth="1"/>
    <col min="1538" max="1538" width="5.375" style="16" customWidth="1"/>
    <col min="1539" max="1539" width="12.75" style="16" customWidth="1"/>
    <col min="1540" max="1540" width="10" style="16" customWidth="1"/>
    <col min="1541" max="1541" width="11.875" style="16" customWidth="1"/>
    <col min="1542" max="1542" width="12.75" style="16" customWidth="1"/>
    <col min="1543" max="1543" width="10" style="16" customWidth="1"/>
    <col min="1544" max="1544" width="11.875" style="16" customWidth="1"/>
    <col min="1545" max="1545" width="12.75" style="16" customWidth="1"/>
    <col min="1546" max="1546" width="10" style="16" customWidth="1"/>
    <col min="1547" max="1547" width="11.875" style="16" customWidth="1"/>
    <col min="1548" max="1548" width="12.75" style="16" customWidth="1"/>
    <col min="1549" max="1549" width="10" style="16" customWidth="1"/>
    <col min="1550" max="1550" width="11.875" style="16" customWidth="1"/>
    <col min="1551" max="1792" width="9" style="16"/>
    <col min="1793" max="1793" width="7.5" style="16" customWidth="1"/>
    <col min="1794" max="1794" width="5.375" style="16" customWidth="1"/>
    <col min="1795" max="1795" width="12.75" style="16" customWidth="1"/>
    <col min="1796" max="1796" width="10" style="16" customWidth="1"/>
    <col min="1797" max="1797" width="11.875" style="16" customWidth="1"/>
    <col min="1798" max="1798" width="12.75" style="16" customWidth="1"/>
    <col min="1799" max="1799" width="10" style="16" customWidth="1"/>
    <col min="1800" max="1800" width="11.875" style="16" customWidth="1"/>
    <col min="1801" max="1801" width="12.75" style="16" customWidth="1"/>
    <col min="1802" max="1802" width="10" style="16" customWidth="1"/>
    <col min="1803" max="1803" width="11.875" style="16" customWidth="1"/>
    <col min="1804" max="1804" width="12.75" style="16" customWidth="1"/>
    <col min="1805" max="1805" width="10" style="16" customWidth="1"/>
    <col min="1806" max="1806" width="11.875" style="16" customWidth="1"/>
    <col min="1807" max="2048" width="9" style="16"/>
    <col min="2049" max="2049" width="7.5" style="16" customWidth="1"/>
    <col min="2050" max="2050" width="5.375" style="16" customWidth="1"/>
    <col min="2051" max="2051" width="12.75" style="16" customWidth="1"/>
    <col min="2052" max="2052" width="10" style="16" customWidth="1"/>
    <col min="2053" max="2053" width="11.875" style="16" customWidth="1"/>
    <col min="2054" max="2054" width="12.75" style="16" customWidth="1"/>
    <col min="2055" max="2055" width="10" style="16" customWidth="1"/>
    <col min="2056" max="2056" width="11.875" style="16" customWidth="1"/>
    <col min="2057" max="2057" width="12.75" style="16" customWidth="1"/>
    <col min="2058" max="2058" width="10" style="16" customWidth="1"/>
    <col min="2059" max="2059" width="11.875" style="16" customWidth="1"/>
    <col min="2060" max="2060" width="12.75" style="16" customWidth="1"/>
    <col min="2061" max="2061" width="10" style="16" customWidth="1"/>
    <col min="2062" max="2062" width="11.875" style="16" customWidth="1"/>
    <col min="2063" max="2304" width="9" style="16"/>
    <col min="2305" max="2305" width="7.5" style="16" customWidth="1"/>
    <col min="2306" max="2306" width="5.375" style="16" customWidth="1"/>
    <col min="2307" max="2307" width="12.75" style="16" customWidth="1"/>
    <col min="2308" max="2308" width="10" style="16" customWidth="1"/>
    <col min="2309" max="2309" width="11.875" style="16" customWidth="1"/>
    <col min="2310" max="2310" width="12.75" style="16" customWidth="1"/>
    <col min="2311" max="2311" width="10" style="16" customWidth="1"/>
    <col min="2312" max="2312" width="11.875" style="16" customWidth="1"/>
    <col min="2313" max="2313" width="12.75" style="16" customWidth="1"/>
    <col min="2314" max="2314" width="10" style="16" customWidth="1"/>
    <col min="2315" max="2315" width="11.875" style="16" customWidth="1"/>
    <col min="2316" max="2316" width="12.75" style="16" customWidth="1"/>
    <col min="2317" max="2317" width="10" style="16" customWidth="1"/>
    <col min="2318" max="2318" width="11.875" style="16" customWidth="1"/>
    <col min="2319" max="2560" width="9" style="16"/>
    <col min="2561" max="2561" width="7.5" style="16" customWidth="1"/>
    <col min="2562" max="2562" width="5.375" style="16" customWidth="1"/>
    <col min="2563" max="2563" width="12.75" style="16" customWidth="1"/>
    <col min="2564" max="2564" width="10" style="16" customWidth="1"/>
    <col min="2565" max="2565" width="11.875" style="16" customWidth="1"/>
    <col min="2566" max="2566" width="12.75" style="16" customWidth="1"/>
    <col min="2567" max="2567" width="10" style="16" customWidth="1"/>
    <col min="2568" max="2568" width="11.875" style="16" customWidth="1"/>
    <col min="2569" max="2569" width="12.75" style="16" customWidth="1"/>
    <col min="2570" max="2570" width="10" style="16" customWidth="1"/>
    <col min="2571" max="2571" width="11.875" style="16" customWidth="1"/>
    <col min="2572" max="2572" width="12.75" style="16" customWidth="1"/>
    <col min="2573" max="2573" width="10" style="16" customWidth="1"/>
    <col min="2574" max="2574" width="11.875" style="16" customWidth="1"/>
    <col min="2575" max="2816" width="9" style="16"/>
    <col min="2817" max="2817" width="7.5" style="16" customWidth="1"/>
    <col min="2818" max="2818" width="5.375" style="16" customWidth="1"/>
    <col min="2819" max="2819" width="12.75" style="16" customWidth="1"/>
    <col min="2820" max="2820" width="10" style="16" customWidth="1"/>
    <col min="2821" max="2821" width="11.875" style="16" customWidth="1"/>
    <col min="2822" max="2822" width="12.75" style="16" customWidth="1"/>
    <col min="2823" max="2823" width="10" style="16" customWidth="1"/>
    <col min="2824" max="2824" width="11.875" style="16" customWidth="1"/>
    <col min="2825" max="2825" width="12.75" style="16" customWidth="1"/>
    <col min="2826" max="2826" width="10" style="16" customWidth="1"/>
    <col min="2827" max="2827" width="11.875" style="16" customWidth="1"/>
    <col min="2828" max="2828" width="12.75" style="16" customWidth="1"/>
    <col min="2829" max="2829" width="10" style="16" customWidth="1"/>
    <col min="2830" max="2830" width="11.875" style="16" customWidth="1"/>
    <col min="2831" max="3072" width="9" style="16"/>
    <col min="3073" max="3073" width="7.5" style="16" customWidth="1"/>
    <col min="3074" max="3074" width="5.375" style="16" customWidth="1"/>
    <col min="3075" max="3075" width="12.75" style="16" customWidth="1"/>
    <col min="3076" max="3076" width="10" style="16" customWidth="1"/>
    <col min="3077" max="3077" width="11.875" style="16" customWidth="1"/>
    <col min="3078" max="3078" width="12.75" style="16" customWidth="1"/>
    <col min="3079" max="3079" width="10" style="16" customWidth="1"/>
    <col min="3080" max="3080" width="11.875" style="16" customWidth="1"/>
    <col min="3081" max="3081" width="12.75" style="16" customWidth="1"/>
    <col min="3082" max="3082" width="10" style="16" customWidth="1"/>
    <col min="3083" max="3083" width="11.875" style="16" customWidth="1"/>
    <col min="3084" max="3084" width="12.75" style="16" customWidth="1"/>
    <col min="3085" max="3085" width="10" style="16" customWidth="1"/>
    <col min="3086" max="3086" width="11.875" style="16" customWidth="1"/>
    <col min="3087" max="3328" width="9" style="16"/>
    <col min="3329" max="3329" width="7.5" style="16" customWidth="1"/>
    <col min="3330" max="3330" width="5.375" style="16" customWidth="1"/>
    <col min="3331" max="3331" width="12.75" style="16" customWidth="1"/>
    <col min="3332" max="3332" width="10" style="16" customWidth="1"/>
    <col min="3333" max="3333" width="11.875" style="16" customWidth="1"/>
    <col min="3334" max="3334" width="12.75" style="16" customWidth="1"/>
    <col min="3335" max="3335" width="10" style="16" customWidth="1"/>
    <col min="3336" max="3336" width="11.875" style="16" customWidth="1"/>
    <col min="3337" max="3337" width="12.75" style="16" customWidth="1"/>
    <col min="3338" max="3338" width="10" style="16" customWidth="1"/>
    <col min="3339" max="3339" width="11.875" style="16" customWidth="1"/>
    <col min="3340" max="3340" width="12.75" style="16" customWidth="1"/>
    <col min="3341" max="3341" width="10" style="16" customWidth="1"/>
    <col min="3342" max="3342" width="11.875" style="16" customWidth="1"/>
    <col min="3343" max="3584" width="9" style="16"/>
    <col min="3585" max="3585" width="7.5" style="16" customWidth="1"/>
    <col min="3586" max="3586" width="5.375" style="16" customWidth="1"/>
    <col min="3587" max="3587" width="12.75" style="16" customWidth="1"/>
    <col min="3588" max="3588" width="10" style="16" customWidth="1"/>
    <col min="3589" max="3589" width="11.875" style="16" customWidth="1"/>
    <col min="3590" max="3590" width="12.75" style="16" customWidth="1"/>
    <col min="3591" max="3591" width="10" style="16" customWidth="1"/>
    <col min="3592" max="3592" width="11.875" style="16" customWidth="1"/>
    <col min="3593" max="3593" width="12.75" style="16" customWidth="1"/>
    <col min="3594" max="3594" width="10" style="16" customWidth="1"/>
    <col min="3595" max="3595" width="11.875" style="16" customWidth="1"/>
    <col min="3596" max="3596" width="12.75" style="16" customWidth="1"/>
    <col min="3597" max="3597" width="10" style="16" customWidth="1"/>
    <col min="3598" max="3598" width="11.875" style="16" customWidth="1"/>
    <col min="3599" max="3840" width="9" style="16"/>
    <col min="3841" max="3841" width="7.5" style="16" customWidth="1"/>
    <col min="3842" max="3842" width="5.375" style="16" customWidth="1"/>
    <col min="3843" max="3843" width="12.75" style="16" customWidth="1"/>
    <col min="3844" max="3844" width="10" style="16" customWidth="1"/>
    <col min="3845" max="3845" width="11.875" style="16" customWidth="1"/>
    <col min="3846" max="3846" width="12.75" style="16" customWidth="1"/>
    <col min="3847" max="3847" width="10" style="16" customWidth="1"/>
    <col min="3848" max="3848" width="11.875" style="16" customWidth="1"/>
    <col min="3849" max="3849" width="12.75" style="16" customWidth="1"/>
    <col min="3850" max="3850" width="10" style="16" customWidth="1"/>
    <col min="3851" max="3851" width="11.875" style="16" customWidth="1"/>
    <col min="3852" max="3852" width="12.75" style="16" customWidth="1"/>
    <col min="3853" max="3853" width="10" style="16" customWidth="1"/>
    <col min="3854" max="3854" width="11.875" style="16" customWidth="1"/>
    <col min="3855" max="4096" width="9" style="16"/>
    <col min="4097" max="4097" width="7.5" style="16" customWidth="1"/>
    <col min="4098" max="4098" width="5.375" style="16" customWidth="1"/>
    <col min="4099" max="4099" width="12.75" style="16" customWidth="1"/>
    <col min="4100" max="4100" width="10" style="16" customWidth="1"/>
    <col min="4101" max="4101" width="11.875" style="16" customWidth="1"/>
    <col min="4102" max="4102" width="12.75" style="16" customWidth="1"/>
    <col min="4103" max="4103" width="10" style="16" customWidth="1"/>
    <col min="4104" max="4104" width="11.875" style="16" customWidth="1"/>
    <col min="4105" max="4105" width="12.75" style="16" customWidth="1"/>
    <col min="4106" max="4106" width="10" style="16" customWidth="1"/>
    <col min="4107" max="4107" width="11.875" style="16" customWidth="1"/>
    <col min="4108" max="4108" width="12.75" style="16" customWidth="1"/>
    <col min="4109" max="4109" width="10" style="16" customWidth="1"/>
    <col min="4110" max="4110" width="11.875" style="16" customWidth="1"/>
    <col min="4111" max="4352" width="9" style="16"/>
    <col min="4353" max="4353" width="7.5" style="16" customWidth="1"/>
    <col min="4354" max="4354" width="5.375" style="16" customWidth="1"/>
    <col min="4355" max="4355" width="12.75" style="16" customWidth="1"/>
    <col min="4356" max="4356" width="10" style="16" customWidth="1"/>
    <col min="4357" max="4357" width="11.875" style="16" customWidth="1"/>
    <col min="4358" max="4358" width="12.75" style="16" customWidth="1"/>
    <col min="4359" max="4359" width="10" style="16" customWidth="1"/>
    <col min="4360" max="4360" width="11.875" style="16" customWidth="1"/>
    <col min="4361" max="4361" width="12.75" style="16" customWidth="1"/>
    <col min="4362" max="4362" width="10" style="16" customWidth="1"/>
    <col min="4363" max="4363" width="11.875" style="16" customWidth="1"/>
    <col min="4364" max="4364" width="12.75" style="16" customWidth="1"/>
    <col min="4365" max="4365" width="10" style="16" customWidth="1"/>
    <col min="4366" max="4366" width="11.875" style="16" customWidth="1"/>
    <col min="4367" max="4608" width="9" style="16"/>
    <col min="4609" max="4609" width="7.5" style="16" customWidth="1"/>
    <col min="4610" max="4610" width="5.375" style="16" customWidth="1"/>
    <col min="4611" max="4611" width="12.75" style="16" customWidth="1"/>
    <col min="4612" max="4612" width="10" style="16" customWidth="1"/>
    <col min="4613" max="4613" width="11.875" style="16" customWidth="1"/>
    <col min="4614" max="4614" width="12.75" style="16" customWidth="1"/>
    <col min="4615" max="4615" width="10" style="16" customWidth="1"/>
    <col min="4616" max="4616" width="11.875" style="16" customWidth="1"/>
    <col min="4617" max="4617" width="12.75" style="16" customWidth="1"/>
    <col min="4618" max="4618" width="10" style="16" customWidth="1"/>
    <col min="4619" max="4619" width="11.875" style="16" customWidth="1"/>
    <col min="4620" max="4620" width="12.75" style="16" customWidth="1"/>
    <col min="4621" max="4621" width="10" style="16" customWidth="1"/>
    <col min="4622" max="4622" width="11.875" style="16" customWidth="1"/>
    <col min="4623" max="4864" width="9" style="16"/>
    <col min="4865" max="4865" width="7.5" style="16" customWidth="1"/>
    <col min="4866" max="4866" width="5.375" style="16" customWidth="1"/>
    <col min="4867" max="4867" width="12.75" style="16" customWidth="1"/>
    <col min="4868" max="4868" width="10" style="16" customWidth="1"/>
    <col min="4869" max="4869" width="11.875" style="16" customWidth="1"/>
    <col min="4870" max="4870" width="12.75" style="16" customWidth="1"/>
    <col min="4871" max="4871" width="10" style="16" customWidth="1"/>
    <col min="4872" max="4872" width="11.875" style="16" customWidth="1"/>
    <col min="4873" max="4873" width="12.75" style="16" customWidth="1"/>
    <col min="4874" max="4874" width="10" style="16" customWidth="1"/>
    <col min="4875" max="4875" width="11.875" style="16" customWidth="1"/>
    <col min="4876" max="4876" width="12.75" style="16" customWidth="1"/>
    <col min="4877" max="4877" width="10" style="16" customWidth="1"/>
    <col min="4878" max="4878" width="11.875" style="16" customWidth="1"/>
    <col min="4879" max="5120" width="9" style="16"/>
    <col min="5121" max="5121" width="7.5" style="16" customWidth="1"/>
    <col min="5122" max="5122" width="5.375" style="16" customWidth="1"/>
    <col min="5123" max="5123" width="12.75" style="16" customWidth="1"/>
    <col min="5124" max="5124" width="10" style="16" customWidth="1"/>
    <col min="5125" max="5125" width="11.875" style="16" customWidth="1"/>
    <col min="5126" max="5126" width="12.75" style="16" customWidth="1"/>
    <col min="5127" max="5127" width="10" style="16" customWidth="1"/>
    <col min="5128" max="5128" width="11.875" style="16" customWidth="1"/>
    <col min="5129" max="5129" width="12.75" style="16" customWidth="1"/>
    <col min="5130" max="5130" width="10" style="16" customWidth="1"/>
    <col min="5131" max="5131" width="11.875" style="16" customWidth="1"/>
    <col min="5132" max="5132" width="12.75" style="16" customWidth="1"/>
    <col min="5133" max="5133" width="10" style="16" customWidth="1"/>
    <col min="5134" max="5134" width="11.875" style="16" customWidth="1"/>
    <col min="5135" max="5376" width="9" style="16"/>
    <col min="5377" max="5377" width="7.5" style="16" customWidth="1"/>
    <col min="5378" max="5378" width="5.375" style="16" customWidth="1"/>
    <col min="5379" max="5379" width="12.75" style="16" customWidth="1"/>
    <col min="5380" max="5380" width="10" style="16" customWidth="1"/>
    <col min="5381" max="5381" width="11.875" style="16" customWidth="1"/>
    <col min="5382" max="5382" width="12.75" style="16" customWidth="1"/>
    <col min="5383" max="5383" width="10" style="16" customWidth="1"/>
    <col min="5384" max="5384" width="11.875" style="16" customWidth="1"/>
    <col min="5385" max="5385" width="12.75" style="16" customWidth="1"/>
    <col min="5386" max="5386" width="10" style="16" customWidth="1"/>
    <col min="5387" max="5387" width="11.875" style="16" customWidth="1"/>
    <col min="5388" max="5388" width="12.75" style="16" customWidth="1"/>
    <col min="5389" max="5389" width="10" style="16" customWidth="1"/>
    <col min="5390" max="5390" width="11.875" style="16" customWidth="1"/>
    <col min="5391" max="5632" width="9" style="16"/>
    <col min="5633" max="5633" width="7.5" style="16" customWidth="1"/>
    <col min="5634" max="5634" width="5.375" style="16" customWidth="1"/>
    <col min="5635" max="5635" width="12.75" style="16" customWidth="1"/>
    <col min="5636" max="5636" width="10" style="16" customWidth="1"/>
    <col min="5637" max="5637" width="11.875" style="16" customWidth="1"/>
    <col min="5638" max="5638" width="12.75" style="16" customWidth="1"/>
    <col min="5639" max="5639" width="10" style="16" customWidth="1"/>
    <col min="5640" max="5640" width="11.875" style="16" customWidth="1"/>
    <col min="5641" max="5641" width="12.75" style="16" customWidth="1"/>
    <col min="5642" max="5642" width="10" style="16" customWidth="1"/>
    <col min="5643" max="5643" width="11.875" style="16" customWidth="1"/>
    <col min="5644" max="5644" width="12.75" style="16" customWidth="1"/>
    <col min="5645" max="5645" width="10" style="16" customWidth="1"/>
    <col min="5646" max="5646" width="11.875" style="16" customWidth="1"/>
    <col min="5647" max="5888" width="9" style="16"/>
    <col min="5889" max="5889" width="7.5" style="16" customWidth="1"/>
    <col min="5890" max="5890" width="5.375" style="16" customWidth="1"/>
    <col min="5891" max="5891" width="12.75" style="16" customWidth="1"/>
    <col min="5892" max="5892" width="10" style="16" customWidth="1"/>
    <col min="5893" max="5893" width="11.875" style="16" customWidth="1"/>
    <col min="5894" max="5894" width="12.75" style="16" customWidth="1"/>
    <col min="5895" max="5895" width="10" style="16" customWidth="1"/>
    <col min="5896" max="5896" width="11.875" style="16" customWidth="1"/>
    <col min="5897" max="5897" width="12.75" style="16" customWidth="1"/>
    <col min="5898" max="5898" width="10" style="16" customWidth="1"/>
    <col min="5899" max="5899" width="11.875" style="16" customWidth="1"/>
    <col min="5900" max="5900" width="12.75" style="16" customWidth="1"/>
    <col min="5901" max="5901" width="10" style="16" customWidth="1"/>
    <col min="5902" max="5902" width="11.875" style="16" customWidth="1"/>
    <col min="5903" max="6144" width="9" style="16"/>
    <col min="6145" max="6145" width="7.5" style="16" customWidth="1"/>
    <col min="6146" max="6146" width="5.375" style="16" customWidth="1"/>
    <col min="6147" max="6147" width="12.75" style="16" customWidth="1"/>
    <col min="6148" max="6148" width="10" style="16" customWidth="1"/>
    <col min="6149" max="6149" width="11.875" style="16" customWidth="1"/>
    <col min="6150" max="6150" width="12.75" style="16" customWidth="1"/>
    <col min="6151" max="6151" width="10" style="16" customWidth="1"/>
    <col min="6152" max="6152" width="11.875" style="16" customWidth="1"/>
    <col min="6153" max="6153" width="12.75" style="16" customWidth="1"/>
    <col min="6154" max="6154" width="10" style="16" customWidth="1"/>
    <col min="6155" max="6155" width="11.875" style="16" customWidth="1"/>
    <col min="6156" max="6156" width="12.75" style="16" customWidth="1"/>
    <col min="6157" max="6157" width="10" style="16" customWidth="1"/>
    <col min="6158" max="6158" width="11.875" style="16" customWidth="1"/>
    <col min="6159" max="6400" width="9" style="16"/>
    <col min="6401" max="6401" width="7.5" style="16" customWidth="1"/>
    <col min="6402" max="6402" width="5.375" style="16" customWidth="1"/>
    <col min="6403" max="6403" width="12.75" style="16" customWidth="1"/>
    <col min="6404" max="6404" width="10" style="16" customWidth="1"/>
    <col min="6405" max="6405" width="11.875" style="16" customWidth="1"/>
    <col min="6406" max="6406" width="12.75" style="16" customWidth="1"/>
    <col min="6407" max="6407" width="10" style="16" customWidth="1"/>
    <col min="6408" max="6408" width="11.875" style="16" customWidth="1"/>
    <col min="6409" max="6409" width="12.75" style="16" customWidth="1"/>
    <col min="6410" max="6410" width="10" style="16" customWidth="1"/>
    <col min="6411" max="6411" width="11.875" style="16" customWidth="1"/>
    <col min="6412" max="6412" width="12.75" style="16" customWidth="1"/>
    <col min="6413" max="6413" width="10" style="16" customWidth="1"/>
    <col min="6414" max="6414" width="11.875" style="16" customWidth="1"/>
    <col min="6415" max="6656" width="9" style="16"/>
    <col min="6657" max="6657" width="7.5" style="16" customWidth="1"/>
    <col min="6658" max="6658" width="5.375" style="16" customWidth="1"/>
    <col min="6659" max="6659" width="12.75" style="16" customWidth="1"/>
    <col min="6660" max="6660" width="10" style="16" customWidth="1"/>
    <col min="6661" max="6661" width="11.875" style="16" customWidth="1"/>
    <col min="6662" max="6662" width="12.75" style="16" customWidth="1"/>
    <col min="6663" max="6663" width="10" style="16" customWidth="1"/>
    <col min="6664" max="6664" width="11.875" style="16" customWidth="1"/>
    <col min="6665" max="6665" width="12.75" style="16" customWidth="1"/>
    <col min="6666" max="6666" width="10" style="16" customWidth="1"/>
    <col min="6667" max="6667" width="11.875" style="16" customWidth="1"/>
    <col min="6668" max="6668" width="12.75" style="16" customWidth="1"/>
    <col min="6669" max="6669" width="10" style="16" customWidth="1"/>
    <col min="6670" max="6670" width="11.875" style="16" customWidth="1"/>
    <col min="6671" max="6912" width="9" style="16"/>
    <col min="6913" max="6913" width="7.5" style="16" customWidth="1"/>
    <col min="6914" max="6914" width="5.375" style="16" customWidth="1"/>
    <col min="6915" max="6915" width="12.75" style="16" customWidth="1"/>
    <col min="6916" max="6916" width="10" style="16" customWidth="1"/>
    <col min="6917" max="6917" width="11.875" style="16" customWidth="1"/>
    <col min="6918" max="6918" width="12.75" style="16" customWidth="1"/>
    <col min="6919" max="6919" width="10" style="16" customWidth="1"/>
    <col min="6920" max="6920" width="11.875" style="16" customWidth="1"/>
    <col min="6921" max="6921" width="12.75" style="16" customWidth="1"/>
    <col min="6922" max="6922" width="10" style="16" customWidth="1"/>
    <col min="6923" max="6923" width="11.875" style="16" customWidth="1"/>
    <col min="6924" max="6924" width="12.75" style="16" customWidth="1"/>
    <col min="6925" max="6925" width="10" style="16" customWidth="1"/>
    <col min="6926" max="6926" width="11.875" style="16" customWidth="1"/>
    <col min="6927" max="7168" width="9" style="16"/>
    <col min="7169" max="7169" width="7.5" style="16" customWidth="1"/>
    <col min="7170" max="7170" width="5.375" style="16" customWidth="1"/>
    <col min="7171" max="7171" width="12.75" style="16" customWidth="1"/>
    <col min="7172" max="7172" width="10" style="16" customWidth="1"/>
    <col min="7173" max="7173" width="11.875" style="16" customWidth="1"/>
    <col min="7174" max="7174" width="12.75" style="16" customWidth="1"/>
    <col min="7175" max="7175" width="10" style="16" customWidth="1"/>
    <col min="7176" max="7176" width="11.875" style="16" customWidth="1"/>
    <col min="7177" max="7177" width="12.75" style="16" customWidth="1"/>
    <col min="7178" max="7178" width="10" style="16" customWidth="1"/>
    <col min="7179" max="7179" width="11.875" style="16" customWidth="1"/>
    <col min="7180" max="7180" width="12.75" style="16" customWidth="1"/>
    <col min="7181" max="7181" width="10" style="16" customWidth="1"/>
    <col min="7182" max="7182" width="11.875" style="16" customWidth="1"/>
    <col min="7183" max="7424" width="9" style="16"/>
    <col min="7425" max="7425" width="7.5" style="16" customWidth="1"/>
    <col min="7426" max="7426" width="5.375" style="16" customWidth="1"/>
    <col min="7427" max="7427" width="12.75" style="16" customWidth="1"/>
    <col min="7428" max="7428" width="10" style="16" customWidth="1"/>
    <col min="7429" max="7429" width="11.875" style="16" customWidth="1"/>
    <col min="7430" max="7430" width="12.75" style="16" customWidth="1"/>
    <col min="7431" max="7431" width="10" style="16" customWidth="1"/>
    <col min="7432" max="7432" width="11.875" style="16" customWidth="1"/>
    <col min="7433" max="7433" width="12.75" style="16" customWidth="1"/>
    <col min="7434" max="7434" width="10" style="16" customWidth="1"/>
    <col min="7435" max="7435" width="11.875" style="16" customWidth="1"/>
    <col min="7436" max="7436" width="12.75" style="16" customWidth="1"/>
    <col min="7437" max="7437" width="10" style="16" customWidth="1"/>
    <col min="7438" max="7438" width="11.875" style="16" customWidth="1"/>
    <col min="7439" max="7680" width="9" style="16"/>
    <col min="7681" max="7681" width="7.5" style="16" customWidth="1"/>
    <col min="7682" max="7682" width="5.375" style="16" customWidth="1"/>
    <col min="7683" max="7683" width="12.75" style="16" customWidth="1"/>
    <col min="7684" max="7684" width="10" style="16" customWidth="1"/>
    <col min="7685" max="7685" width="11.875" style="16" customWidth="1"/>
    <col min="7686" max="7686" width="12.75" style="16" customWidth="1"/>
    <col min="7687" max="7687" width="10" style="16" customWidth="1"/>
    <col min="7688" max="7688" width="11.875" style="16" customWidth="1"/>
    <col min="7689" max="7689" width="12.75" style="16" customWidth="1"/>
    <col min="7690" max="7690" width="10" style="16" customWidth="1"/>
    <col min="7691" max="7691" width="11.875" style="16" customWidth="1"/>
    <col min="7692" max="7692" width="12.75" style="16" customWidth="1"/>
    <col min="7693" max="7693" width="10" style="16" customWidth="1"/>
    <col min="7694" max="7694" width="11.875" style="16" customWidth="1"/>
    <col min="7695" max="7936" width="9" style="16"/>
    <col min="7937" max="7937" width="7.5" style="16" customWidth="1"/>
    <col min="7938" max="7938" width="5.375" style="16" customWidth="1"/>
    <col min="7939" max="7939" width="12.75" style="16" customWidth="1"/>
    <col min="7940" max="7940" width="10" style="16" customWidth="1"/>
    <col min="7941" max="7941" width="11.875" style="16" customWidth="1"/>
    <col min="7942" max="7942" width="12.75" style="16" customWidth="1"/>
    <col min="7943" max="7943" width="10" style="16" customWidth="1"/>
    <col min="7944" max="7944" width="11.875" style="16" customWidth="1"/>
    <col min="7945" max="7945" width="12.75" style="16" customWidth="1"/>
    <col min="7946" max="7946" width="10" style="16" customWidth="1"/>
    <col min="7947" max="7947" width="11.875" style="16" customWidth="1"/>
    <col min="7948" max="7948" width="12.75" style="16" customWidth="1"/>
    <col min="7949" max="7949" width="10" style="16" customWidth="1"/>
    <col min="7950" max="7950" width="11.875" style="16" customWidth="1"/>
    <col min="7951" max="8192" width="9" style="16"/>
    <col min="8193" max="8193" width="7.5" style="16" customWidth="1"/>
    <col min="8194" max="8194" width="5.375" style="16" customWidth="1"/>
    <col min="8195" max="8195" width="12.75" style="16" customWidth="1"/>
    <col min="8196" max="8196" width="10" style="16" customWidth="1"/>
    <col min="8197" max="8197" width="11.875" style="16" customWidth="1"/>
    <col min="8198" max="8198" width="12.75" style="16" customWidth="1"/>
    <col min="8199" max="8199" width="10" style="16" customWidth="1"/>
    <col min="8200" max="8200" width="11.875" style="16" customWidth="1"/>
    <col min="8201" max="8201" width="12.75" style="16" customWidth="1"/>
    <col min="8202" max="8202" width="10" style="16" customWidth="1"/>
    <col min="8203" max="8203" width="11.875" style="16" customWidth="1"/>
    <col min="8204" max="8204" width="12.75" style="16" customWidth="1"/>
    <col min="8205" max="8205" width="10" style="16" customWidth="1"/>
    <col min="8206" max="8206" width="11.875" style="16" customWidth="1"/>
    <col min="8207" max="8448" width="9" style="16"/>
    <col min="8449" max="8449" width="7.5" style="16" customWidth="1"/>
    <col min="8450" max="8450" width="5.375" style="16" customWidth="1"/>
    <col min="8451" max="8451" width="12.75" style="16" customWidth="1"/>
    <col min="8452" max="8452" width="10" style="16" customWidth="1"/>
    <col min="8453" max="8453" width="11.875" style="16" customWidth="1"/>
    <col min="8454" max="8454" width="12.75" style="16" customWidth="1"/>
    <col min="8455" max="8455" width="10" style="16" customWidth="1"/>
    <col min="8456" max="8456" width="11.875" style="16" customWidth="1"/>
    <col min="8457" max="8457" width="12.75" style="16" customWidth="1"/>
    <col min="8458" max="8458" width="10" style="16" customWidth="1"/>
    <col min="8459" max="8459" width="11.875" style="16" customWidth="1"/>
    <col min="8460" max="8460" width="12.75" style="16" customWidth="1"/>
    <col min="8461" max="8461" width="10" style="16" customWidth="1"/>
    <col min="8462" max="8462" width="11.875" style="16" customWidth="1"/>
    <col min="8463" max="8704" width="9" style="16"/>
    <col min="8705" max="8705" width="7.5" style="16" customWidth="1"/>
    <col min="8706" max="8706" width="5.375" style="16" customWidth="1"/>
    <col min="8707" max="8707" width="12.75" style="16" customWidth="1"/>
    <col min="8708" max="8708" width="10" style="16" customWidth="1"/>
    <col min="8709" max="8709" width="11.875" style="16" customWidth="1"/>
    <col min="8710" max="8710" width="12.75" style="16" customWidth="1"/>
    <col min="8711" max="8711" width="10" style="16" customWidth="1"/>
    <col min="8712" max="8712" width="11.875" style="16" customWidth="1"/>
    <col min="8713" max="8713" width="12.75" style="16" customWidth="1"/>
    <col min="8714" max="8714" width="10" style="16" customWidth="1"/>
    <col min="8715" max="8715" width="11.875" style="16" customWidth="1"/>
    <col min="8716" max="8716" width="12.75" style="16" customWidth="1"/>
    <col min="8717" max="8717" width="10" style="16" customWidth="1"/>
    <col min="8718" max="8718" width="11.875" style="16" customWidth="1"/>
    <col min="8719" max="8960" width="9" style="16"/>
    <col min="8961" max="8961" width="7.5" style="16" customWidth="1"/>
    <col min="8962" max="8962" width="5.375" style="16" customWidth="1"/>
    <col min="8963" max="8963" width="12.75" style="16" customWidth="1"/>
    <col min="8964" max="8964" width="10" style="16" customWidth="1"/>
    <col min="8965" max="8965" width="11.875" style="16" customWidth="1"/>
    <col min="8966" max="8966" width="12.75" style="16" customWidth="1"/>
    <col min="8967" max="8967" width="10" style="16" customWidth="1"/>
    <col min="8968" max="8968" width="11.875" style="16" customWidth="1"/>
    <col min="8969" max="8969" width="12.75" style="16" customWidth="1"/>
    <col min="8970" max="8970" width="10" style="16" customWidth="1"/>
    <col min="8971" max="8971" width="11.875" style="16" customWidth="1"/>
    <col min="8972" max="8972" width="12.75" style="16" customWidth="1"/>
    <col min="8973" max="8973" width="10" style="16" customWidth="1"/>
    <col min="8974" max="8974" width="11.875" style="16" customWidth="1"/>
    <col min="8975" max="9216" width="9" style="16"/>
    <col min="9217" max="9217" width="7.5" style="16" customWidth="1"/>
    <col min="9218" max="9218" width="5.375" style="16" customWidth="1"/>
    <col min="9219" max="9219" width="12.75" style="16" customWidth="1"/>
    <col min="9220" max="9220" width="10" style="16" customWidth="1"/>
    <col min="9221" max="9221" width="11.875" style="16" customWidth="1"/>
    <col min="9222" max="9222" width="12.75" style="16" customWidth="1"/>
    <col min="9223" max="9223" width="10" style="16" customWidth="1"/>
    <col min="9224" max="9224" width="11.875" style="16" customWidth="1"/>
    <col min="9225" max="9225" width="12.75" style="16" customWidth="1"/>
    <col min="9226" max="9226" width="10" style="16" customWidth="1"/>
    <col min="9227" max="9227" width="11.875" style="16" customWidth="1"/>
    <col min="9228" max="9228" width="12.75" style="16" customWidth="1"/>
    <col min="9229" max="9229" width="10" style="16" customWidth="1"/>
    <col min="9230" max="9230" width="11.875" style="16" customWidth="1"/>
    <col min="9231" max="9472" width="9" style="16"/>
    <col min="9473" max="9473" width="7.5" style="16" customWidth="1"/>
    <col min="9474" max="9474" width="5.375" style="16" customWidth="1"/>
    <col min="9475" max="9475" width="12.75" style="16" customWidth="1"/>
    <col min="9476" max="9476" width="10" style="16" customWidth="1"/>
    <col min="9477" max="9477" width="11.875" style="16" customWidth="1"/>
    <col min="9478" max="9478" width="12.75" style="16" customWidth="1"/>
    <col min="9479" max="9479" width="10" style="16" customWidth="1"/>
    <col min="9480" max="9480" width="11.875" style="16" customWidth="1"/>
    <col min="9481" max="9481" width="12.75" style="16" customWidth="1"/>
    <col min="9482" max="9482" width="10" style="16" customWidth="1"/>
    <col min="9483" max="9483" width="11.875" style="16" customWidth="1"/>
    <col min="9484" max="9484" width="12.75" style="16" customWidth="1"/>
    <col min="9485" max="9485" width="10" style="16" customWidth="1"/>
    <col min="9486" max="9486" width="11.875" style="16" customWidth="1"/>
    <col min="9487" max="9728" width="9" style="16"/>
    <col min="9729" max="9729" width="7.5" style="16" customWidth="1"/>
    <col min="9730" max="9730" width="5.375" style="16" customWidth="1"/>
    <col min="9731" max="9731" width="12.75" style="16" customWidth="1"/>
    <col min="9732" max="9732" width="10" style="16" customWidth="1"/>
    <col min="9733" max="9733" width="11.875" style="16" customWidth="1"/>
    <col min="9734" max="9734" width="12.75" style="16" customWidth="1"/>
    <col min="9735" max="9735" width="10" style="16" customWidth="1"/>
    <col min="9736" max="9736" width="11.875" style="16" customWidth="1"/>
    <col min="9737" max="9737" width="12.75" style="16" customWidth="1"/>
    <col min="9738" max="9738" width="10" style="16" customWidth="1"/>
    <col min="9739" max="9739" width="11.875" style="16" customWidth="1"/>
    <col min="9740" max="9740" width="12.75" style="16" customWidth="1"/>
    <col min="9741" max="9741" width="10" style="16" customWidth="1"/>
    <col min="9742" max="9742" width="11.875" style="16" customWidth="1"/>
    <col min="9743" max="9984" width="9" style="16"/>
    <col min="9985" max="9985" width="7.5" style="16" customWidth="1"/>
    <col min="9986" max="9986" width="5.375" style="16" customWidth="1"/>
    <col min="9987" max="9987" width="12.75" style="16" customWidth="1"/>
    <col min="9988" max="9988" width="10" style="16" customWidth="1"/>
    <col min="9989" max="9989" width="11.875" style="16" customWidth="1"/>
    <col min="9990" max="9990" width="12.75" style="16" customWidth="1"/>
    <col min="9991" max="9991" width="10" style="16" customWidth="1"/>
    <col min="9992" max="9992" width="11.875" style="16" customWidth="1"/>
    <col min="9993" max="9993" width="12.75" style="16" customWidth="1"/>
    <col min="9994" max="9994" width="10" style="16" customWidth="1"/>
    <col min="9995" max="9995" width="11.875" style="16" customWidth="1"/>
    <col min="9996" max="9996" width="12.75" style="16" customWidth="1"/>
    <col min="9997" max="9997" width="10" style="16" customWidth="1"/>
    <col min="9998" max="9998" width="11.875" style="16" customWidth="1"/>
    <col min="9999" max="10240" width="9" style="16"/>
    <col min="10241" max="10241" width="7.5" style="16" customWidth="1"/>
    <col min="10242" max="10242" width="5.375" style="16" customWidth="1"/>
    <col min="10243" max="10243" width="12.75" style="16" customWidth="1"/>
    <col min="10244" max="10244" width="10" style="16" customWidth="1"/>
    <col min="10245" max="10245" width="11.875" style="16" customWidth="1"/>
    <col min="10246" max="10246" width="12.75" style="16" customWidth="1"/>
    <col min="10247" max="10247" width="10" style="16" customWidth="1"/>
    <col min="10248" max="10248" width="11.875" style="16" customWidth="1"/>
    <col min="10249" max="10249" width="12.75" style="16" customWidth="1"/>
    <col min="10250" max="10250" width="10" style="16" customWidth="1"/>
    <col min="10251" max="10251" width="11.875" style="16" customWidth="1"/>
    <col min="10252" max="10252" width="12.75" style="16" customWidth="1"/>
    <col min="10253" max="10253" width="10" style="16" customWidth="1"/>
    <col min="10254" max="10254" width="11.875" style="16" customWidth="1"/>
    <col min="10255" max="10496" width="9" style="16"/>
    <col min="10497" max="10497" width="7.5" style="16" customWidth="1"/>
    <col min="10498" max="10498" width="5.375" style="16" customWidth="1"/>
    <col min="10499" max="10499" width="12.75" style="16" customWidth="1"/>
    <col min="10500" max="10500" width="10" style="16" customWidth="1"/>
    <col min="10501" max="10501" width="11.875" style="16" customWidth="1"/>
    <col min="10502" max="10502" width="12.75" style="16" customWidth="1"/>
    <col min="10503" max="10503" width="10" style="16" customWidth="1"/>
    <col min="10504" max="10504" width="11.875" style="16" customWidth="1"/>
    <col min="10505" max="10505" width="12.75" style="16" customWidth="1"/>
    <col min="10506" max="10506" width="10" style="16" customWidth="1"/>
    <col min="10507" max="10507" width="11.875" style="16" customWidth="1"/>
    <col min="10508" max="10508" width="12.75" style="16" customWidth="1"/>
    <col min="10509" max="10509" width="10" style="16" customWidth="1"/>
    <col min="10510" max="10510" width="11.875" style="16" customWidth="1"/>
    <col min="10511" max="10752" width="9" style="16"/>
    <col min="10753" max="10753" width="7.5" style="16" customWidth="1"/>
    <col min="10754" max="10754" width="5.375" style="16" customWidth="1"/>
    <col min="10755" max="10755" width="12.75" style="16" customWidth="1"/>
    <col min="10756" max="10756" width="10" style="16" customWidth="1"/>
    <col min="10757" max="10757" width="11.875" style="16" customWidth="1"/>
    <col min="10758" max="10758" width="12.75" style="16" customWidth="1"/>
    <col min="10759" max="10759" width="10" style="16" customWidth="1"/>
    <col min="10760" max="10760" width="11.875" style="16" customWidth="1"/>
    <col min="10761" max="10761" width="12.75" style="16" customWidth="1"/>
    <col min="10762" max="10762" width="10" style="16" customWidth="1"/>
    <col min="10763" max="10763" width="11.875" style="16" customWidth="1"/>
    <col min="10764" max="10764" width="12.75" style="16" customWidth="1"/>
    <col min="10765" max="10765" width="10" style="16" customWidth="1"/>
    <col min="10766" max="10766" width="11.875" style="16" customWidth="1"/>
    <col min="10767" max="11008" width="9" style="16"/>
    <col min="11009" max="11009" width="7.5" style="16" customWidth="1"/>
    <col min="11010" max="11010" width="5.375" style="16" customWidth="1"/>
    <col min="11011" max="11011" width="12.75" style="16" customWidth="1"/>
    <col min="11012" max="11012" width="10" style="16" customWidth="1"/>
    <col min="11013" max="11013" width="11.875" style="16" customWidth="1"/>
    <col min="11014" max="11014" width="12.75" style="16" customWidth="1"/>
    <col min="11015" max="11015" width="10" style="16" customWidth="1"/>
    <col min="11016" max="11016" width="11.875" style="16" customWidth="1"/>
    <col min="11017" max="11017" width="12.75" style="16" customWidth="1"/>
    <col min="11018" max="11018" width="10" style="16" customWidth="1"/>
    <col min="11019" max="11019" width="11.875" style="16" customWidth="1"/>
    <col min="11020" max="11020" width="12.75" style="16" customWidth="1"/>
    <col min="11021" max="11021" width="10" style="16" customWidth="1"/>
    <col min="11022" max="11022" width="11.875" style="16" customWidth="1"/>
    <col min="11023" max="11264" width="9" style="16"/>
    <col min="11265" max="11265" width="7.5" style="16" customWidth="1"/>
    <col min="11266" max="11266" width="5.375" style="16" customWidth="1"/>
    <col min="11267" max="11267" width="12.75" style="16" customWidth="1"/>
    <col min="11268" max="11268" width="10" style="16" customWidth="1"/>
    <col min="11269" max="11269" width="11.875" style="16" customWidth="1"/>
    <col min="11270" max="11270" width="12.75" style="16" customWidth="1"/>
    <col min="11271" max="11271" width="10" style="16" customWidth="1"/>
    <col min="11272" max="11272" width="11.875" style="16" customWidth="1"/>
    <col min="11273" max="11273" width="12.75" style="16" customWidth="1"/>
    <col min="11274" max="11274" width="10" style="16" customWidth="1"/>
    <col min="11275" max="11275" width="11.875" style="16" customWidth="1"/>
    <col min="11276" max="11276" width="12.75" style="16" customWidth="1"/>
    <col min="11277" max="11277" width="10" style="16" customWidth="1"/>
    <col min="11278" max="11278" width="11.875" style="16" customWidth="1"/>
    <col min="11279" max="11520" width="9" style="16"/>
    <col min="11521" max="11521" width="7.5" style="16" customWidth="1"/>
    <col min="11522" max="11522" width="5.375" style="16" customWidth="1"/>
    <col min="11523" max="11523" width="12.75" style="16" customWidth="1"/>
    <col min="11524" max="11524" width="10" style="16" customWidth="1"/>
    <col min="11525" max="11525" width="11.875" style="16" customWidth="1"/>
    <col min="11526" max="11526" width="12.75" style="16" customWidth="1"/>
    <col min="11527" max="11527" width="10" style="16" customWidth="1"/>
    <col min="11528" max="11528" width="11.875" style="16" customWidth="1"/>
    <col min="11529" max="11529" width="12.75" style="16" customWidth="1"/>
    <col min="11530" max="11530" width="10" style="16" customWidth="1"/>
    <col min="11531" max="11531" width="11.875" style="16" customWidth="1"/>
    <col min="11532" max="11532" width="12.75" style="16" customWidth="1"/>
    <col min="11533" max="11533" width="10" style="16" customWidth="1"/>
    <col min="11534" max="11534" width="11.875" style="16" customWidth="1"/>
    <col min="11535" max="11776" width="9" style="16"/>
    <col min="11777" max="11777" width="7.5" style="16" customWidth="1"/>
    <col min="11778" max="11778" width="5.375" style="16" customWidth="1"/>
    <col min="11779" max="11779" width="12.75" style="16" customWidth="1"/>
    <col min="11780" max="11780" width="10" style="16" customWidth="1"/>
    <col min="11781" max="11781" width="11.875" style="16" customWidth="1"/>
    <col min="11782" max="11782" width="12.75" style="16" customWidth="1"/>
    <col min="11783" max="11783" width="10" style="16" customWidth="1"/>
    <col min="11784" max="11784" width="11.875" style="16" customWidth="1"/>
    <col min="11785" max="11785" width="12.75" style="16" customWidth="1"/>
    <col min="11786" max="11786" width="10" style="16" customWidth="1"/>
    <col min="11787" max="11787" width="11.875" style="16" customWidth="1"/>
    <col min="11788" max="11788" width="12.75" style="16" customWidth="1"/>
    <col min="11789" max="11789" width="10" style="16" customWidth="1"/>
    <col min="11790" max="11790" width="11.875" style="16" customWidth="1"/>
    <col min="11791" max="12032" width="9" style="16"/>
    <col min="12033" max="12033" width="7.5" style="16" customWidth="1"/>
    <col min="12034" max="12034" width="5.375" style="16" customWidth="1"/>
    <col min="12035" max="12035" width="12.75" style="16" customWidth="1"/>
    <col min="12036" max="12036" width="10" style="16" customWidth="1"/>
    <col min="12037" max="12037" width="11.875" style="16" customWidth="1"/>
    <col min="12038" max="12038" width="12.75" style="16" customWidth="1"/>
    <col min="12039" max="12039" width="10" style="16" customWidth="1"/>
    <col min="12040" max="12040" width="11.875" style="16" customWidth="1"/>
    <col min="12041" max="12041" width="12.75" style="16" customWidth="1"/>
    <col min="12042" max="12042" width="10" style="16" customWidth="1"/>
    <col min="12043" max="12043" width="11.875" style="16" customWidth="1"/>
    <col min="12044" max="12044" width="12.75" style="16" customWidth="1"/>
    <col min="12045" max="12045" width="10" style="16" customWidth="1"/>
    <col min="12046" max="12046" width="11.875" style="16" customWidth="1"/>
    <col min="12047" max="12288" width="9" style="16"/>
    <col min="12289" max="12289" width="7.5" style="16" customWidth="1"/>
    <col min="12290" max="12290" width="5.375" style="16" customWidth="1"/>
    <col min="12291" max="12291" width="12.75" style="16" customWidth="1"/>
    <col min="12292" max="12292" width="10" style="16" customWidth="1"/>
    <col min="12293" max="12293" width="11.875" style="16" customWidth="1"/>
    <col min="12294" max="12294" width="12.75" style="16" customWidth="1"/>
    <col min="12295" max="12295" width="10" style="16" customWidth="1"/>
    <col min="12296" max="12296" width="11.875" style="16" customWidth="1"/>
    <col min="12297" max="12297" width="12.75" style="16" customWidth="1"/>
    <col min="12298" max="12298" width="10" style="16" customWidth="1"/>
    <col min="12299" max="12299" width="11.875" style="16" customWidth="1"/>
    <col min="12300" max="12300" width="12.75" style="16" customWidth="1"/>
    <col min="12301" max="12301" width="10" style="16" customWidth="1"/>
    <col min="12302" max="12302" width="11.875" style="16" customWidth="1"/>
    <col min="12303" max="12544" width="9" style="16"/>
    <col min="12545" max="12545" width="7.5" style="16" customWidth="1"/>
    <col min="12546" max="12546" width="5.375" style="16" customWidth="1"/>
    <col min="12547" max="12547" width="12.75" style="16" customWidth="1"/>
    <col min="12548" max="12548" width="10" style="16" customWidth="1"/>
    <col min="12549" max="12549" width="11.875" style="16" customWidth="1"/>
    <col min="12550" max="12550" width="12.75" style="16" customWidth="1"/>
    <col min="12551" max="12551" width="10" style="16" customWidth="1"/>
    <col min="12552" max="12552" width="11.875" style="16" customWidth="1"/>
    <col min="12553" max="12553" width="12.75" style="16" customWidth="1"/>
    <col min="12554" max="12554" width="10" style="16" customWidth="1"/>
    <col min="12555" max="12555" width="11.875" style="16" customWidth="1"/>
    <col min="12556" max="12556" width="12.75" style="16" customWidth="1"/>
    <col min="12557" max="12557" width="10" style="16" customWidth="1"/>
    <col min="12558" max="12558" width="11.875" style="16" customWidth="1"/>
    <col min="12559" max="12800" width="9" style="16"/>
    <col min="12801" max="12801" width="7.5" style="16" customWidth="1"/>
    <col min="12802" max="12802" width="5.375" style="16" customWidth="1"/>
    <col min="12803" max="12803" width="12.75" style="16" customWidth="1"/>
    <col min="12804" max="12804" width="10" style="16" customWidth="1"/>
    <col min="12805" max="12805" width="11.875" style="16" customWidth="1"/>
    <col min="12806" max="12806" width="12.75" style="16" customWidth="1"/>
    <col min="12807" max="12807" width="10" style="16" customWidth="1"/>
    <col min="12808" max="12808" width="11.875" style="16" customWidth="1"/>
    <col min="12809" max="12809" width="12.75" style="16" customWidth="1"/>
    <col min="12810" max="12810" width="10" style="16" customWidth="1"/>
    <col min="12811" max="12811" width="11.875" style="16" customWidth="1"/>
    <col min="12812" max="12812" width="12.75" style="16" customWidth="1"/>
    <col min="12813" max="12813" width="10" style="16" customWidth="1"/>
    <col min="12814" max="12814" width="11.875" style="16" customWidth="1"/>
    <col min="12815" max="13056" width="9" style="16"/>
    <col min="13057" max="13057" width="7.5" style="16" customWidth="1"/>
    <col min="13058" max="13058" width="5.375" style="16" customWidth="1"/>
    <col min="13059" max="13059" width="12.75" style="16" customWidth="1"/>
    <col min="13060" max="13060" width="10" style="16" customWidth="1"/>
    <col min="13061" max="13061" width="11.875" style="16" customWidth="1"/>
    <col min="13062" max="13062" width="12.75" style="16" customWidth="1"/>
    <col min="13063" max="13063" width="10" style="16" customWidth="1"/>
    <col min="13064" max="13064" width="11.875" style="16" customWidth="1"/>
    <col min="13065" max="13065" width="12.75" style="16" customWidth="1"/>
    <col min="13066" max="13066" width="10" style="16" customWidth="1"/>
    <col min="13067" max="13067" width="11.875" style="16" customWidth="1"/>
    <col min="13068" max="13068" width="12.75" style="16" customWidth="1"/>
    <col min="13069" max="13069" width="10" style="16" customWidth="1"/>
    <col min="13070" max="13070" width="11.875" style="16" customWidth="1"/>
    <col min="13071" max="13312" width="9" style="16"/>
    <col min="13313" max="13313" width="7.5" style="16" customWidth="1"/>
    <col min="13314" max="13314" width="5.375" style="16" customWidth="1"/>
    <col min="13315" max="13315" width="12.75" style="16" customWidth="1"/>
    <col min="13316" max="13316" width="10" style="16" customWidth="1"/>
    <col min="13317" max="13317" width="11.875" style="16" customWidth="1"/>
    <col min="13318" max="13318" width="12.75" style="16" customWidth="1"/>
    <col min="13319" max="13319" width="10" style="16" customWidth="1"/>
    <col min="13320" max="13320" width="11.875" style="16" customWidth="1"/>
    <col min="13321" max="13321" width="12.75" style="16" customWidth="1"/>
    <col min="13322" max="13322" width="10" style="16" customWidth="1"/>
    <col min="13323" max="13323" width="11.875" style="16" customWidth="1"/>
    <col min="13324" max="13324" width="12.75" style="16" customWidth="1"/>
    <col min="13325" max="13325" width="10" style="16" customWidth="1"/>
    <col min="13326" max="13326" width="11.875" style="16" customWidth="1"/>
    <col min="13327" max="13568" width="9" style="16"/>
    <col min="13569" max="13569" width="7.5" style="16" customWidth="1"/>
    <col min="13570" max="13570" width="5.375" style="16" customWidth="1"/>
    <col min="13571" max="13571" width="12.75" style="16" customWidth="1"/>
    <col min="13572" max="13572" width="10" style="16" customWidth="1"/>
    <col min="13573" max="13573" width="11.875" style="16" customWidth="1"/>
    <col min="13574" max="13574" width="12.75" style="16" customWidth="1"/>
    <col min="13575" max="13575" width="10" style="16" customWidth="1"/>
    <col min="13576" max="13576" width="11.875" style="16" customWidth="1"/>
    <col min="13577" max="13577" width="12.75" style="16" customWidth="1"/>
    <col min="13578" max="13578" width="10" style="16" customWidth="1"/>
    <col min="13579" max="13579" width="11.875" style="16" customWidth="1"/>
    <col min="13580" max="13580" width="12.75" style="16" customWidth="1"/>
    <col min="13581" max="13581" width="10" style="16" customWidth="1"/>
    <col min="13582" max="13582" width="11.875" style="16" customWidth="1"/>
    <col min="13583" max="13824" width="9" style="16"/>
    <col min="13825" max="13825" width="7.5" style="16" customWidth="1"/>
    <col min="13826" max="13826" width="5.375" style="16" customWidth="1"/>
    <col min="13827" max="13827" width="12.75" style="16" customWidth="1"/>
    <col min="13828" max="13828" width="10" style="16" customWidth="1"/>
    <col min="13829" max="13829" width="11.875" style="16" customWidth="1"/>
    <col min="13830" max="13830" width="12.75" style="16" customWidth="1"/>
    <col min="13831" max="13831" width="10" style="16" customWidth="1"/>
    <col min="13832" max="13832" width="11.875" style="16" customWidth="1"/>
    <col min="13833" max="13833" width="12.75" style="16" customWidth="1"/>
    <col min="13834" max="13834" width="10" style="16" customWidth="1"/>
    <col min="13835" max="13835" width="11.875" style="16" customWidth="1"/>
    <col min="13836" max="13836" width="12.75" style="16" customWidth="1"/>
    <col min="13837" max="13837" width="10" style="16" customWidth="1"/>
    <col min="13838" max="13838" width="11.875" style="16" customWidth="1"/>
    <col min="13839" max="14080" width="9" style="16"/>
    <col min="14081" max="14081" width="7.5" style="16" customWidth="1"/>
    <col min="14082" max="14082" width="5.375" style="16" customWidth="1"/>
    <col min="14083" max="14083" width="12.75" style="16" customWidth="1"/>
    <col min="14084" max="14084" width="10" style="16" customWidth="1"/>
    <col min="14085" max="14085" width="11.875" style="16" customWidth="1"/>
    <col min="14086" max="14086" width="12.75" style="16" customWidth="1"/>
    <col min="14087" max="14087" width="10" style="16" customWidth="1"/>
    <col min="14088" max="14088" width="11.875" style="16" customWidth="1"/>
    <col min="14089" max="14089" width="12.75" style="16" customWidth="1"/>
    <col min="14090" max="14090" width="10" style="16" customWidth="1"/>
    <col min="14091" max="14091" width="11.875" style="16" customWidth="1"/>
    <col min="14092" max="14092" width="12.75" style="16" customWidth="1"/>
    <col min="14093" max="14093" width="10" style="16" customWidth="1"/>
    <col min="14094" max="14094" width="11.875" style="16" customWidth="1"/>
    <col min="14095" max="14336" width="9" style="16"/>
    <col min="14337" max="14337" width="7.5" style="16" customWidth="1"/>
    <col min="14338" max="14338" width="5.375" style="16" customWidth="1"/>
    <col min="14339" max="14339" width="12.75" style="16" customWidth="1"/>
    <col min="14340" max="14340" width="10" style="16" customWidth="1"/>
    <col min="14341" max="14341" width="11.875" style="16" customWidth="1"/>
    <col min="14342" max="14342" width="12.75" style="16" customWidth="1"/>
    <col min="14343" max="14343" width="10" style="16" customWidth="1"/>
    <col min="14344" max="14344" width="11.875" style="16" customWidth="1"/>
    <col min="14345" max="14345" width="12.75" style="16" customWidth="1"/>
    <col min="14346" max="14346" width="10" style="16" customWidth="1"/>
    <col min="14347" max="14347" width="11.875" style="16" customWidth="1"/>
    <col min="14348" max="14348" width="12.75" style="16" customWidth="1"/>
    <col min="14349" max="14349" width="10" style="16" customWidth="1"/>
    <col min="14350" max="14350" width="11.875" style="16" customWidth="1"/>
    <col min="14351" max="14592" width="9" style="16"/>
    <col min="14593" max="14593" width="7.5" style="16" customWidth="1"/>
    <col min="14594" max="14594" width="5.375" style="16" customWidth="1"/>
    <col min="14595" max="14595" width="12.75" style="16" customWidth="1"/>
    <col min="14596" max="14596" width="10" style="16" customWidth="1"/>
    <col min="14597" max="14597" width="11.875" style="16" customWidth="1"/>
    <col min="14598" max="14598" width="12.75" style="16" customWidth="1"/>
    <col min="14599" max="14599" width="10" style="16" customWidth="1"/>
    <col min="14600" max="14600" width="11.875" style="16" customWidth="1"/>
    <col min="14601" max="14601" width="12.75" style="16" customWidth="1"/>
    <col min="14602" max="14602" width="10" style="16" customWidth="1"/>
    <col min="14603" max="14603" width="11.875" style="16" customWidth="1"/>
    <col min="14604" max="14604" width="12.75" style="16" customWidth="1"/>
    <col min="14605" max="14605" width="10" style="16" customWidth="1"/>
    <col min="14606" max="14606" width="11.875" style="16" customWidth="1"/>
    <col min="14607" max="14848" width="9" style="16"/>
    <col min="14849" max="14849" width="7.5" style="16" customWidth="1"/>
    <col min="14850" max="14850" width="5.375" style="16" customWidth="1"/>
    <col min="14851" max="14851" width="12.75" style="16" customWidth="1"/>
    <col min="14852" max="14852" width="10" style="16" customWidth="1"/>
    <col min="14853" max="14853" width="11.875" style="16" customWidth="1"/>
    <col min="14854" max="14854" width="12.75" style="16" customWidth="1"/>
    <col min="14855" max="14855" width="10" style="16" customWidth="1"/>
    <col min="14856" max="14856" width="11.875" style="16" customWidth="1"/>
    <col min="14857" max="14857" width="12.75" style="16" customWidth="1"/>
    <col min="14858" max="14858" width="10" style="16" customWidth="1"/>
    <col min="14859" max="14859" width="11.875" style="16" customWidth="1"/>
    <col min="14860" max="14860" width="12.75" style="16" customWidth="1"/>
    <col min="14861" max="14861" width="10" style="16" customWidth="1"/>
    <col min="14862" max="14862" width="11.875" style="16" customWidth="1"/>
    <col min="14863" max="15104" width="9" style="16"/>
    <col min="15105" max="15105" width="7.5" style="16" customWidth="1"/>
    <col min="15106" max="15106" width="5.375" style="16" customWidth="1"/>
    <col min="15107" max="15107" width="12.75" style="16" customWidth="1"/>
    <col min="15108" max="15108" width="10" style="16" customWidth="1"/>
    <col min="15109" max="15109" width="11.875" style="16" customWidth="1"/>
    <col min="15110" max="15110" width="12.75" style="16" customWidth="1"/>
    <col min="15111" max="15111" width="10" style="16" customWidth="1"/>
    <col min="15112" max="15112" width="11.875" style="16" customWidth="1"/>
    <col min="15113" max="15113" width="12.75" style="16" customWidth="1"/>
    <col min="15114" max="15114" width="10" style="16" customWidth="1"/>
    <col min="15115" max="15115" width="11.875" style="16" customWidth="1"/>
    <col min="15116" max="15116" width="12.75" style="16" customWidth="1"/>
    <col min="15117" max="15117" width="10" style="16" customWidth="1"/>
    <col min="15118" max="15118" width="11.875" style="16" customWidth="1"/>
    <col min="15119" max="15360" width="9" style="16"/>
    <col min="15361" max="15361" width="7.5" style="16" customWidth="1"/>
    <col min="15362" max="15362" width="5.375" style="16" customWidth="1"/>
    <col min="15363" max="15363" width="12.75" style="16" customWidth="1"/>
    <col min="15364" max="15364" width="10" style="16" customWidth="1"/>
    <col min="15365" max="15365" width="11.875" style="16" customWidth="1"/>
    <col min="15366" max="15366" width="12.75" style="16" customWidth="1"/>
    <col min="15367" max="15367" width="10" style="16" customWidth="1"/>
    <col min="15368" max="15368" width="11.875" style="16" customWidth="1"/>
    <col min="15369" max="15369" width="12.75" style="16" customWidth="1"/>
    <col min="15370" max="15370" width="10" style="16" customWidth="1"/>
    <col min="15371" max="15371" width="11.875" style="16" customWidth="1"/>
    <col min="15372" max="15372" width="12.75" style="16" customWidth="1"/>
    <col min="15373" max="15373" width="10" style="16" customWidth="1"/>
    <col min="15374" max="15374" width="11.875" style="16" customWidth="1"/>
    <col min="15375" max="15616" width="9" style="16"/>
    <col min="15617" max="15617" width="7.5" style="16" customWidth="1"/>
    <col min="15618" max="15618" width="5.375" style="16" customWidth="1"/>
    <col min="15619" max="15619" width="12.75" style="16" customWidth="1"/>
    <col min="15620" max="15620" width="10" style="16" customWidth="1"/>
    <col min="15621" max="15621" width="11.875" style="16" customWidth="1"/>
    <col min="15622" max="15622" width="12.75" style="16" customWidth="1"/>
    <col min="15623" max="15623" width="10" style="16" customWidth="1"/>
    <col min="15624" max="15624" width="11.875" style="16" customWidth="1"/>
    <col min="15625" max="15625" width="12.75" style="16" customWidth="1"/>
    <col min="15626" max="15626" width="10" style="16" customWidth="1"/>
    <col min="15627" max="15627" width="11.875" style="16" customWidth="1"/>
    <col min="15628" max="15628" width="12.75" style="16" customWidth="1"/>
    <col min="15629" max="15629" width="10" style="16" customWidth="1"/>
    <col min="15630" max="15630" width="11.875" style="16" customWidth="1"/>
    <col min="15631" max="15872" width="9" style="16"/>
    <col min="15873" max="15873" width="7.5" style="16" customWidth="1"/>
    <col min="15874" max="15874" width="5.375" style="16" customWidth="1"/>
    <col min="15875" max="15875" width="12.75" style="16" customWidth="1"/>
    <col min="15876" max="15876" width="10" style="16" customWidth="1"/>
    <col min="15877" max="15877" width="11.875" style="16" customWidth="1"/>
    <col min="15878" max="15878" width="12.75" style="16" customWidth="1"/>
    <col min="15879" max="15879" width="10" style="16" customWidth="1"/>
    <col min="15880" max="15880" width="11.875" style="16" customWidth="1"/>
    <col min="15881" max="15881" width="12.75" style="16" customWidth="1"/>
    <col min="15882" max="15882" width="10" style="16" customWidth="1"/>
    <col min="15883" max="15883" width="11.875" style="16" customWidth="1"/>
    <col min="15884" max="15884" width="12.75" style="16" customWidth="1"/>
    <col min="15885" max="15885" width="10" style="16" customWidth="1"/>
    <col min="15886" max="15886" width="11.875" style="16" customWidth="1"/>
    <col min="15887" max="16128" width="9" style="16"/>
    <col min="16129" max="16129" width="7.5" style="16" customWidth="1"/>
    <col min="16130" max="16130" width="5.375" style="16" customWidth="1"/>
    <col min="16131" max="16131" width="12.75" style="16" customWidth="1"/>
    <col min="16132" max="16132" width="10" style="16" customWidth="1"/>
    <col min="16133" max="16133" width="11.875" style="16" customWidth="1"/>
    <col min="16134" max="16134" width="12.75" style="16" customWidth="1"/>
    <col min="16135" max="16135" width="10" style="16" customWidth="1"/>
    <col min="16136" max="16136" width="11.875" style="16" customWidth="1"/>
    <col min="16137" max="16137" width="12.75" style="16" customWidth="1"/>
    <col min="16138" max="16138" width="10" style="16" customWidth="1"/>
    <col min="16139" max="16139" width="11.875" style="16" customWidth="1"/>
    <col min="16140" max="16140" width="12.75" style="16" customWidth="1"/>
    <col min="16141" max="16141" width="10" style="16" customWidth="1"/>
    <col min="16142" max="16142" width="11.875" style="16" customWidth="1"/>
    <col min="16143" max="16384" width="9" style="16"/>
  </cols>
  <sheetData>
    <row r="1" spans="1:14" s="219" customFormat="1" ht="19.5" thickBot="1">
      <c r="A1" s="217" t="s">
        <v>560</v>
      </c>
      <c r="B1" s="217"/>
      <c r="C1" s="1412" t="s">
        <v>537</v>
      </c>
      <c r="I1" s="1412"/>
      <c r="J1" s="1412"/>
      <c r="K1" s="1412"/>
      <c r="L1" s="1412"/>
      <c r="M1" s="1412"/>
      <c r="N1" s="1412"/>
    </row>
    <row r="2" spans="1:14" s="267" customFormat="1" ht="26.25" customHeight="1" thickBot="1">
      <c r="A2" s="2496" t="s">
        <v>137</v>
      </c>
      <c r="B2" s="2497"/>
      <c r="C2" s="2500" t="s">
        <v>2</v>
      </c>
      <c r="D2" s="2501"/>
      <c r="E2" s="2501"/>
      <c r="F2" s="2501"/>
      <c r="G2" s="2501"/>
      <c r="H2" s="2502"/>
      <c r="I2" s="2500" t="s">
        <v>3</v>
      </c>
      <c r="J2" s="2501"/>
      <c r="K2" s="2501"/>
      <c r="L2" s="2501"/>
      <c r="M2" s="2501"/>
      <c r="N2" s="2503"/>
    </row>
    <row r="3" spans="1:14" s="267" customFormat="1" ht="26.25" customHeight="1" thickTop="1">
      <c r="A3" s="2498"/>
      <c r="B3" s="2499"/>
      <c r="C3" s="2504" t="s">
        <v>81</v>
      </c>
      <c r="D3" s="2505"/>
      <c r="E3" s="2506"/>
      <c r="F3" s="2507" t="s">
        <v>138</v>
      </c>
      <c r="G3" s="2507"/>
      <c r="H3" s="2508"/>
      <c r="I3" s="2504" t="s">
        <v>81</v>
      </c>
      <c r="J3" s="2505"/>
      <c r="K3" s="2506"/>
      <c r="L3" s="2505" t="s">
        <v>138</v>
      </c>
      <c r="M3" s="2505"/>
      <c r="N3" s="2509"/>
    </row>
    <row r="4" spans="1:14" s="267" customFormat="1" ht="26.25" customHeight="1" thickBot="1">
      <c r="A4" s="2488"/>
      <c r="B4" s="2489"/>
      <c r="C4" s="1413" t="s">
        <v>139</v>
      </c>
      <c r="D4" s="1414" t="s">
        <v>82</v>
      </c>
      <c r="E4" s="1414" t="s">
        <v>78</v>
      </c>
      <c r="F4" s="1415" t="s">
        <v>140</v>
      </c>
      <c r="G4" s="1414" t="s">
        <v>82</v>
      </c>
      <c r="H4" s="1416" t="s">
        <v>78</v>
      </c>
      <c r="I4" s="1417" t="s">
        <v>139</v>
      </c>
      <c r="J4" s="1414" t="s">
        <v>82</v>
      </c>
      <c r="K4" s="1418" t="s">
        <v>78</v>
      </c>
      <c r="L4" s="1414" t="s">
        <v>140</v>
      </c>
      <c r="M4" s="1414" t="s">
        <v>82</v>
      </c>
      <c r="N4" s="1419" t="s">
        <v>78</v>
      </c>
    </row>
    <row r="5" spans="1:14" s="753" customFormat="1" ht="26.25" customHeight="1" thickTop="1">
      <c r="A5" s="1420" t="s">
        <v>79</v>
      </c>
      <c r="B5" s="1421" t="s">
        <v>261</v>
      </c>
      <c r="C5" s="1422"/>
      <c r="D5" s="1423">
        <f>8.9-0.5</f>
        <v>8.4</v>
      </c>
      <c r="E5" s="1424"/>
      <c r="F5" s="17">
        <f>'R6介護'!AF7</f>
        <v>0</v>
      </c>
      <c r="G5" s="1425">
        <f>D5</f>
        <v>8.4</v>
      </c>
      <c r="H5" s="1426">
        <f>ROUNDDOWN(F5*G5/1000,0)</f>
        <v>0</v>
      </c>
      <c r="I5" s="1427"/>
      <c r="J5" s="1425">
        <f>D5</f>
        <v>8.4</v>
      </c>
      <c r="K5" s="1424"/>
      <c r="L5" s="1428">
        <f t="shared" ref="L5:L20" si="0">F5</f>
        <v>0</v>
      </c>
      <c r="M5" s="1425">
        <f>J5</f>
        <v>8.4</v>
      </c>
      <c r="N5" s="1429">
        <f>H5</f>
        <v>0</v>
      </c>
    </row>
    <row r="6" spans="1:14" s="753" customFormat="1" ht="26.25" customHeight="1">
      <c r="A6" s="1420"/>
      <c r="B6" s="1421" t="s">
        <v>264</v>
      </c>
      <c r="C6" s="1422"/>
      <c r="D6" s="1430"/>
      <c r="E6" s="1431"/>
      <c r="F6" s="17">
        <f>'R6介護'!AF13</f>
        <v>0</v>
      </c>
      <c r="G6" s="1432"/>
      <c r="H6" s="1426">
        <f>ROUNDDOWN(F6*G5/1000,0)</f>
        <v>0</v>
      </c>
      <c r="I6" s="1427"/>
      <c r="J6" s="1433"/>
      <c r="K6" s="1431"/>
      <c r="L6" s="1428">
        <f t="shared" si="0"/>
        <v>0</v>
      </c>
      <c r="M6" s="1433"/>
      <c r="N6" s="1429">
        <f>H6</f>
        <v>0</v>
      </c>
    </row>
    <row r="7" spans="1:14" s="753" customFormat="1" ht="26.25" customHeight="1">
      <c r="A7" s="1420"/>
      <c r="B7" s="1421" t="s">
        <v>266</v>
      </c>
      <c r="C7" s="1422"/>
      <c r="D7" s="1430"/>
      <c r="E7" s="1431"/>
      <c r="F7" s="17">
        <f>'R6介護'!AF16</f>
        <v>0</v>
      </c>
      <c r="G7" s="1432"/>
      <c r="H7" s="1426">
        <f>ROUNDDOWN(F7*G5/1000,0)</f>
        <v>0</v>
      </c>
      <c r="I7" s="1427"/>
      <c r="J7" s="1433"/>
      <c r="K7" s="1431"/>
      <c r="L7" s="1428">
        <f t="shared" si="0"/>
        <v>0</v>
      </c>
      <c r="M7" s="1433"/>
      <c r="N7" s="1429">
        <f>H7</f>
        <v>0</v>
      </c>
    </row>
    <row r="8" spans="1:14" s="753" customFormat="1" ht="26.25" customHeight="1">
      <c r="A8" s="1434"/>
      <c r="B8" s="1435" t="s">
        <v>299</v>
      </c>
      <c r="C8" s="1436">
        <f>'R6介護'!O17</f>
        <v>0</v>
      </c>
      <c r="D8" s="1437"/>
      <c r="E8" s="1438">
        <f>ROUNDDOWN(C8*D5/1000,0)</f>
        <v>0</v>
      </c>
      <c r="F8" s="1439">
        <f>SUM(F5:F7)</f>
        <v>0</v>
      </c>
      <c r="G8" s="1440"/>
      <c r="H8" s="1441">
        <f>SUM(H5:H7)</f>
        <v>0</v>
      </c>
      <c r="I8" s="1442">
        <f>C8</f>
        <v>0</v>
      </c>
      <c r="J8" s="1437"/>
      <c r="K8" s="1438">
        <f>E8</f>
        <v>0</v>
      </c>
      <c r="L8" s="1443">
        <f t="shared" si="0"/>
        <v>0</v>
      </c>
      <c r="M8" s="1437"/>
      <c r="N8" s="1444">
        <f>SUM(N5:N7)</f>
        <v>0</v>
      </c>
    </row>
    <row r="9" spans="1:14" s="753" customFormat="1" ht="26.25" customHeight="1">
      <c r="A9" s="1420" t="s">
        <v>74</v>
      </c>
      <c r="B9" s="1421" t="s">
        <v>261</v>
      </c>
      <c r="C9" s="1422"/>
      <c r="D9" s="1425">
        <f>D5</f>
        <v>8.4</v>
      </c>
      <c r="E9" s="1431"/>
      <c r="F9" s="17">
        <f>'R6介護'!AC7+'R6介護'!AD7</f>
        <v>10831000</v>
      </c>
      <c r="G9" s="1445">
        <f>G5</f>
        <v>8.4</v>
      </c>
      <c r="H9" s="1426">
        <f>ROUNDDOWN(F9*G9/1000,0)</f>
        <v>90980</v>
      </c>
      <c r="I9" s="1427"/>
      <c r="J9" s="1425">
        <f>J5</f>
        <v>8.4</v>
      </c>
      <c r="K9" s="1431"/>
      <c r="L9" s="1428">
        <f t="shared" si="0"/>
        <v>10831000</v>
      </c>
      <c r="M9" s="1445">
        <f>J9</f>
        <v>8.4</v>
      </c>
      <c r="N9" s="1429">
        <f>H9</f>
        <v>90980</v>
      </c>
    </row>
    <row r="10" spans="1:14" s="753" customFormat="1" ht="26.25" customHeight="1">
      <c r="A10" s="1420"/>
      <c r="B10" s="1421" t="s">
        <v>264</v>
      </c>
      <c r="C10" s="1422"/>
      <c r="D10" s="1445"/>
      <c r="E10" s="1431"/>
      <c r="F10" s="17">
        <f>'R6介護'!AC13+'R6介護'!AD13</f>
        <v>10681000</v>
      </c>
      <c r="G10" s="1432"/>
      <c r="H10" s="1426">
        <f>ROUNDDOWN(F10*G9/1000,0)</f>
        <v>89720</v>
      </c>
      <c r="I10" s="1427"/>
      <c r="J10" s="1445"/>
      <c r="K10" s="1431"/>
      <c r="L10" s="1428">
        <f t="shared" si="0"/>
        <v>10681000</v>
      </c>
      <c r="M10" s="1432"/>
      <c r="N10" s="1429">
        <f>H10</f>
        <v>89720</v>
      </c>
    </row>
    <row r="11" spans="1:14" s="753" customFormat="1" ht="26.25" customHeight="1">
      <c r="A11" s="1420"/>
      <c r="B11" s="1421" t="s">
        <v>266</v>
      </c>
      <c r="C11" s="1422"/>
      <c r="D11" s="1445"/>
      <c r="E11" s="1431"/>
      <c r="F11" s="17">
        <f>'R6介護'!AC16+'R6介護'!AD16</f>
        <v>2048000</v>
      </c>
      <c r="G11" s="1432"/>
      <c r="H11" s="1426">
        <f>ROUNDDOWN(F11*G9/1000,0)</f>
        <v>17203</v>
      </c>
      <c r="I11" s="1427"/>
      <c r="J11" s="1445"/>
      <c r="K11" s="1431"/>
      <c r="L11" s="1428">
        <f t="shared" si="0"/>
        <v>2048000</v>
      </c>
      <c r="M11" s="1432"/>
      <c r="N11" s="1429">
        <f>H11</f>
        <v>17203</v>
      </c>
    </row>
    <row r="12" spans="1:14" s="753" customFormat="1" ht="26.25" customHeight="1">
      <c r="A12" s="1434"/>
      <c r="B12" s="1435" t="s">
        <v>299</v>
      </c>
      <c r="C12" s="1436">
        <f>'R6介護'!K17+'R6介護'!M17</f>
        <v>49320000</v>
      </c>
      <c r="D12" s="1446"/>
      <c r="E12" s="1438">
        <f>ROUNDDOWN(C12*D9/1000,0)</f>
        <v>414288</v>
      </c>
      <c r="F12" s="1439">
        <f>SUM(F9:F11)</f>
        <v>23560000</v>
      </c>
      <c r="G12" s="1440"/>
      <c r="H12" s="1441">
        <f>SUM(H9:H11)</f>
        <v>197903</v>
      </c>
      <c r="I12" s="1442">
        <f>C12</f>
        <v>49320000</v>
      </c>
      <c r="J12" s="1446"/>
      <c r="K12" s="1438">
        <f>E12</f>
        <v>414288</v>
      </c>
      <c r="L12" s="1447">
        <f t="shared" si="0"/>
        <v>23560000</v>
      </c>
      <c r="M12" s="1440"/>
      <c r="N12" s="1444">
        <f>SUM(N9:N11)</f>
        <v>197903</v>
      </c>
    </row>
    <row r="13" spans="1:14" s="753" customFormat="1" ht="26.25" customHeight="1">
      <c r="A13" s="1420" t="s">
        <v>300</v>
      </c>
      <c r="B13" s="1421" t="s">
        <v>261</v>
      </c>
      <c r="C13" s="1422"/>
      <c r="D13" s="1425">
        <f>D9</f>
        <v>8.4</v>
      </c>
      <c r="E13" s="1431"/>
      <c r="F13" s="17">
        <f>'R6介護'!AA7+'R6介護'!AB7+'R6介護'!AG7+'R6介護'!AE7</f>
        <v>5758365000</v>
      </c>
      <c r="G13" s="1445">
        <f>G9</f>
        <v>8.4</v>
      </c>
      <c r="H13" s="1426">
        <f>ROUNDDOWN(F13*G13/1000,0)</f>
        <v>48370266</v>
      </c>
      <c r="I13" s="1427"/>
      <c r="J13" s="1425">
        <f>J9</f>
        <v>8.4</v>
      </c>
      <c r="K13" s="1431"/>
      <c r="L13" s="1428">
        <f t="shared" si="0"/>
        <v>5758365000</v>
      </c>
      <c r="M13" s="1445">
        <f>J13</f>
        <v>8.4</v>
      </c>
      <c r="N13" s="1429">
        <f>H13</f>
        <v>48370266</v>
      </c>
    </row>
    <row r="14" spans="1:14" s="753" customFormat="1" ht="26.25" customHeight="1">
      <c r="A14" s="1448" t="s">
        <v>539</v>
      </c>
      <c r="B14" s="1421" t="s">
        <v>264</v>
      </c>
      <c r="C14" s="1422"/>
      <c r="D14" s="1445"/>
      <c r="E14" s="1431"/>
      <c r="F14" s="17">
        <f>'R6介護'!AA13+'R6介護'!AB13+'R6介護'!AG13+'R6介護'!AE13</f>
        <v>5847209000</v>
      </c>
      <c r="G14" s="1432"/>
      <c r="H14" s="1426">
        <f>ROUNDDOWN(F14*G13/1000,0)</f>
        <v>49116555</v>
      </c>
      <c r="I14" s="1427"/>
      <c r="J14" s="1445"/>
      <c r="K14" s="1431"/>
      <c r="L14" s="1428">
        <f t="shared" si="0"/>
        <v>5847209000</v>
      </c>
      <c r="M14" s="1432"/>
      <c r="N14" s="1429">
        <f>H14</f>
        <v>49116555</v>
      </c>
    </row>
    <row r="15" spans="1:14" s="753" customFormat="1" ht="26.25" customHeight="1">
      <c r="A15" s="1449" t="s">
        <v>305</v>
      </c>
      <c r="B15" s="1421" t="s">
        <v>266</v>
      </c>
      <c r="C15" s="1422"/>
      <c r="D15" s="1445"/>
      <c r="E15" s="1431"/>
      <c r="F15" s="17">
        <f>'R6介護'!AA16+'R6介護'!AB16+'R6介護'!AG16+'R6介護'!AE16</f>
        <v>1175448000</v>
      </c>
      <c r="G15" s="1432"/>
      <c r="H15" s="1426">
        <f>ROUNDDOWN(F15*G13/1000,0)</f>
        <v>9873763</v>
      </c>
      <c r="I15" s="1427"/>
      <c r="J15" s="1445"/>
      <c r="K15" s="1431"/>
      <c r="L15" s="1428">
        <f t="shared" si="0"/>
        <v>1175448000</v>
      </c>
      <c r="M15" s="1432"/>
      <c r="N15" s="1429">
        <f>H15</f>
        <v>9873763</v>
      </c>
    </row>
    <row r="16" spans="1:14" s="753" customFormat="1" ht="26.25" customHeight="1">
      <c r="A16" s="1450"/>
      <c r="B16" s="1435" t="s">
        <v>299</v>
      </c>
      <c r="C16" s="1436">
        <f>'R6介護'!G17+'R6介護'!I17+'R6介護'!U17+'R6介護'!Q17+'R6介護'!S17</f>
        <v>44766632400</v>
      </c>
      <c r="D16" s="1446"/>
      <c r="E16" s="1438">
        <f>ROUNDDOWN(C16*D13/1000,0)</f>
        <v>376039712</v>
      </c>
      <c r="F16" s="1439">
        <f>SUM(F13:F15)</f>
        <v>12781022000</v>
      </c>
      <c r="G16" s="1440"/>
      <c r="H16" s="1441">
        <f>SUM(H13:H15)</f>
        <v>107360584</v>
      </c>
      <c r="I16" s="1442">
        <f>C16</f>
        <v>44766632400</v>
      </c>
      <c r="J16" s="1446"/>
      <c r="K16" s="1438">
        <f>E16</f>
        <v>376039712</v>
      </c>
      <c r="L16" s="1447">
        <f t="shared" si="0"/>
        <v>12781022000</v>
      </c>
      <c r="M16" s="1440"/>
      <c r="N16" s="1444">
        <f>SUM(N13:N15)</f>
        <v>107360584</v>
      </c>
    </row>
    <row r="17" spans="1:14" s="753" customFormat="1" ht="26.25" customHeight="1">
      <c r="A17" s="1420" t="s">
        <v>152</v>
      </c>
      <c r="B17" s="1421" t="s">
        <v>261</v>
      </c>
      <c r="C17" s="1422"/>
      <c r="D17" s="1425">
        <f>D13</f>
        <v>8.4</v>
      </c>
      <c r="E17" s="1431"/>
      <c r="F17" s="17">
        <f>'R6介護'!Z7</f>
        <v>2277000</v>
      </c>
      <c r="G17" s="1445">
        <f>G13</f>
        <v>8.4</v>
      </c>
      <c r="H17" s="1426">
        <f>ROUNDDOWN(F17*G17/1000,0)</f>
        <v>19126</v>
      </c>
      <c r="I17" s="1427"/>
      <c r="J17" s="1425">
        <f>J13</f>
        <v>8.4</v>
      </c>
      <c r="K17" s="1431"/>
      <c r="L17" s="1428">
        <f t="shared" si="0"/>
        <v>2277000</v>
      </c>
      <c r="M17" s="1445">
        <f>J17</f>
        <v>8.4</v>
      </c>
      <c r="N17" s="1429">
        <f>H17</f>
        <v>19126</v>
      </c>
    </row>
    <row r="18" spans="1:14" s="753" customFormat="1" ht="26.25" customHeight="1">
      <c r="A18" s="1420"/>
      <c r="B18" s="1421" t="s">
        <v>264</v>
      </c>
      <c r="C18" s="1422"/>
      <c r="D18" s="1445"/>
      <c r="E18" s="1431"/>
      <c r="F18" s="17">
        <f>'R6介護'!Z13</f>
        <v>2277000</v>
      </c>
      <c r="G18" s="1432"/>
      <c r="H18" s="1426">
        <f>ROUNDDOWN(F18*G17/1000,0)</f>
        <v>19126</v>
      </c>
      <c r="I18" s="1427"/>
      <c r="J18" s="1445"/>
      <c r="K18" s="1431"/>
      <c r="L18" s="1428">
        <f t="shared" si="0"/>
        <v>2277000</v>
      </c>
      <c r="M18" s="1432"/>
      <c r="N18" s="1429">
        <f>H18</f>
        <v>19126</v>
      </c>
    </row>
    <row r="19" spans="1:14" s="753" customFormat="1" ht="26.25" customHeight="1">
      <c r="A19" s="1420"/>
      <c r="B19" s="1421" t="s">
        <v>266</v>
      </c>
      <c r="C19" s="1422"/>
      <c r="D19" s="1445"/>
      <c r="E19" s="1431"/>
      <c r="F19" s="17">
        <f>'R6介護'!Z16</f>
        <v>455000</v>
      </c>
      <c r="G19" s="1432"/>
      <c r="H19" s="1426">
        <f>ROUNDDOWN(F19*G17/1000,0)</f>
        <v>3822</v>
      </c>
      <c r="I19" s="1427"/>
      <c r="J19" s="1445"/>
      <c r="K19" s="1431"/>
      <c r="L19" s="1428">
        <f t="shared" si="0"/>
        <v>455000</v>
      </c>
      <c r="M19" s="1432"/>
      <c r="N19" s="1429">
        <f>H19</f>
        <v>3822</v>
      </c>
    </row>
    <row r="20" spans="1:14" s="753" customFormat="1" ht="26.25" customHeight="1">
      <c r="A20" s="1434"/>
      <c r="B20" s="1451" t="s">
        <v>299</v>
      </c>
      <c r="C20" s="1436">
        <f>'R6介護'!E17</f>
        <v>9840000</v>
      </c>
      <c r="D20" s="1446"/>
      <c r="E20" s="1438">
        <f>ROUNDDOWN(C20*D17/1000,0)</f>
        <v>82656</v>
      </c>
      <c r="F20" s="1439">
        <f>SUM(F17:F19)</f>
        <v>5009000</v>
      </c>
      <c r="G20" s="1440"/>
      <c r="H20" s="1441">
        <f>SUM(H17:H19)</f>
        <v>42074</v>
      </c>
      <c r="I20" s="1442">
        <f>C20</f>
        <v>9840000</v>
      </c>
      <c r="J20" s="1446"/>
      <c r="K20" s="1438">
        <f>E20</f>
        <v>82656</v>
      </c>
      <c r="L20" s="1447">
        <f t="shared" si="0"/>
        <v>5009000</v>
      </c>
      <c r="M20" s="1440"/>
      <c r="N20" s="1444">
        <f>SUM(N17:N19)</f>
        <v>42074</v>
      </c>
    </row>
    <row r="21" spans="1:14" s="753" customFormat="1" ht="26.25" customHeight="1">
      <c r="A21" s="1452" t="s">
        <v>75</v>
      </c>
      <c r="B21" s="1453" t="s">
        <v>299</v>
      </c>
      <c r="C21" s="1422">
        <f>'R6介護'!W17</f>
        <v>305896000</v>
      </c>
      <c r="D21" s="1454"/>
      <c r="E21" s="1431"/>
      <c r="F21" s="1455"/>
      <c r="G21" s="1446"/>
      <c r="H21" s="1456"/>
      <c r="I21" s="1427">
        <f>C21</f>
        <v>305896000</v>
      </c>
      <c r="J21" s="1425">
        <f>J5*2</f>
        <v>16.8</v>
      </c>
      <c r="K21" s="1431">
        <f>ROUNDDOWN(I21*J21/1000,0)</f>
        <v>5139052</v>
      </c>
      <c r="L21" s="1428"/>
      <c r="M21" s="1430"/>
      <c r="N21" s="1429"/>
    </row>
    <row r="22" spans="1:14" s="753" customFormat="1" ht="26.25" customHeight="1" thickBot="1">
      <c r="A22" s="1457"/>
      <c r="B22" s="1453"/>
      <c r="C22" s="1458"/>
      <c r="D22" s="1459"/>
      <c r="E22" s="1460"/>
      <c r="F22" s="1461"/>
      <c r="G22" s="1459"/>
      <c r="H22" s="1462"/>
      <c r="I22" s="2510" t="s">
        <v>561</v>
      </c>
      <c r="J22" s="2511"/>
      <c r="K22" s="1556">
        <f>'R5掛金（介護）'!K22</f>
        <v>-389432</v>
      </c>
      <c r="L22" s="1464"/>
      <c r="M22" s="1465"/>
      <c r="N22" s="1466"/>
    </row>
    <row r="23" spans="1:14" s="267" customFormat="1" ht="30.75" customHeight="1" thickTop="1">
      <c r="A23" s="2482" t="s">
        <v>541</v>
      </c>
      <c r="B23" s="2483"/>
      <c r="C23" s="1467" t="s">
        <v>139</v>
      </c>
      <c r="D23" s="540"/>
      <c r="E23" s="754"/>
      <c r="F23" s="1468" t="s">
        <v>140</v>
      </c>
      <c r="G23" s="540"/>
      <c r="H23" s="754"/>
      <c r="I23" s="1467" t="s">
        <v>139</v>
      </c>
      <c r="J23" s="540"/>
      <c r="K23" s="754"/>
      <c r="L23" s="1468" t="s">
        <v>140</v>
      </c>
      <c r="M23" s="540"/>
      <c r="N23" s="1469"/>
    </row>
    <row r="24" spans="1:14" s="267" customFormat="1" ht="30.75" customHeight="1">
      <c r="A24" s="2484"/>
      <c r="B24" s="2485"/>
      <c r="C24" s="755">
        <f>C8+C12+C16+C20+C21</f>
        <v>45131688400</v>
      </c>
      <c r="D24" s="996"/>
      <c r="E24" s="1470">
        <f>E8+E12+E16+E20</f>
        <v>376536656</v>
      </c>
      <c r="F24" s="756">
        <f>F8+F12+F16+F20</f>
        <v>12809591000</v>
      </c>
      <c r="G24" s="996"/>
      <c r="H24" s="1470">
        <f>H8+H12+H16+H20</f>
        <v>107600561</v>
      </c>
      <c r="I24" s="755">
        <f>I8+I12+I16+I20+I21</f>
        <v>45131688400</v>
      </c>
      <c r="J24" s="996"/>
      <c r="K24" s="1470">
        <f>K8+K12+K16+K20+K21+K22</f>
        <v>381286276</v>
      </c>
      <c r="L24" s="756">
        <f>L8+L12+L16+L20</f>
        <v>12809591000</v>
      </c>
      <c r="M24" s="996"/>
      <c r="N24" s="1471">
        <f>N8+N12+N16+N20</f>
        <v>107600561</v>
      </c>
    </row>
    <row r="25" spans="1:14" s="753" customFormat="1" ht="30.75" customHeight="1" thickBot="1">
      <c r="A25" s="2486" t="s">
        <v>542</v>
      </c>
      <c r="B25" s="2487"/>
      <c r="C25" s="1472" t="s">
        <v>213</v>
      </c>
      <c r="D25" s="1473"/>
      <c r="E25" s="1474">
        <f>ROUNDDOWN('R6介護'!AB38*D5/1000,0)</f>
        <v>1403976</v>
      </c>
      <c r="F25" s="1475" t="s">
        <v>189</v>
      </c>
      <c r="G25" s="1473"/>
      <c r="H25" s="1474">
        <f>ROUNDDOWN('R6介護'!AD38*G5/1000,0)</f>
        <v>116810</v>
      </c>
      <c r="I25" s="1472" t="s">
        <v>213</v>
      </c>
      <c r="J25" s="1473"/>
      <c r="K25" s="1476">
        <f>E25</f>
        <v>1403976</v>
      </c>
      <c r="L25" s="1475" t="s">
        <v>189</v>
      </c>
      <c r="M25" s="1473"/>
      <c r="N25" s="1477">
        <f>H25</f>
        <v>116810</v>
      </c>
    </row>
    <row r="26" spans="1:14" s="554" customFormat="1" ht="30.75" customHeight="1" thickTop="1" thickBot="1">
      <c r="A26" s="2488" t="s">
        <v>543</v>
      </c>
      <c r="B26" s="2489"/>
      <c r="C26" s="1478" t="s">
        <v>213</v>
      </c>
      <c r="D26" s="540"/>
      <c r="E26" s="1479">
        <f>E24-E25</f>
        <v>375132680</v>
      </c>
      <c r="F26" s="1480" t="s">
        <v>189</v>
      </c>
      <c r="G26" s="540"/>
      <c r="H26" s="1479">
        <f>H24-H25</f>
        <v>107483751</v>
      </c>
      <c r="I26" s="1478" t="s">
        <v>213</v>
      </c>
      <c r="J26" s="540"/>
      <c r="K26" s="1481">
        <f>K24-K25</f>
        <v>379882300</v>
      </c>
      <c r="L26" s="1480" t="s">
        <v>189</v>
      </c>
      <c r="M26" s="540"/>
      <c r="N26" s="1482">
        <f>N24-N25</f>
        <v>107483751</v>
      </c>
    </row>
    <row r="27" spans="1:14" s="267" customFormat="1" ht="30.75" customHeight="1" thickTop="1" thickBot="1">
      <c r="A27" s="2490" t="s">
        <v>183</v>
      </c>
      <c r="B27" s="2491"/>
      <c r="C27" s="2492" t="s">
        <v>544</v>
      </c>
      <c r="D27" s="2491"/>
      <c r="E27" s="2493">
        <f>E26+H26</f>
        <v>482616431</v>
      </c>
      <c r="F27" s="2494"/>
      <c r="G27" s="2494"/>
      <c r="H27" s="2495"/>
      <c r="I27" s="1483" t="s">
        <v>545</v>
      </c>
      <c r="J27" s="1484" t="s">
        <v>546</v>
      </c>
      <c r="K27" s="1485">
        <f>SUM(K21:K22)</f>
        <v>4749620</v>
      </c>
      <c r="L27" s="1486" t="s">
        <v>547</v>
      </c>
      <c r="M27" s="1485"/>
      <c r="N27" s="1487">
        <f>K26+N26-K27</f>
        <v>482616431</v>
      </c>
    </row>
    <row r="28" spans="1:14" ht="45" customHeight="1">
      <c r="C28" s="1488"/>
      <c r="D28" s="1488"/>
      <c r="E28" s="1489"/>
      <c r="F28" s="1489"/>
      <c r="G28" s="1489"/>
      <c r="H28" s="1489"/>
      <c r="I28" s="1490"/>
      <c r="J28" s="1491"/>
      <c r="K28" s="1491"/>
      <c r="L28" s="1491"/>
      <c r="M28" s="1491"/>
      <c r="N28" s="1491"/>
    </row>
    <row r="29" spans="1:14" s="1492" customFormat="1" ht="24" customHeight="1">
      <c r="C29" s="357" t="s">
        <v>548</v>
      </c>
      <c r="D29" s="358" t="str">
        <f>A1</f>
        <v>R４年度</v>
      </c>
      <c r="H29" s="357" t="s">
        <v>549</v>
      </c>
      <c r="I29" s="358" t="str">
        <f>D29</f>
        <v>R４年度</v>
      </c>
    </row>
    <row r="30" spans="1:14" s="1493" customFormat="1" ht="24" customHeight="1">
      <c r="C30" s="1494" t="s">
        <v>182</v>
      </c>
      <c r="D30" s="1495" t="s">
        <v>183</v>
      </c>
      <c r="E30" s="1496">
        <f>E31+E45</f>
        <v>482616431</v>
      </c>
      <c r="F30" s="1497">
        <f>F31+F45</f>
        <v>482617</v>
      </c>
      <c r="G30" s="1498" t="s">
        <v>186</v>
      </c>
      <c r="H30" s="1494" t="s">
        <v>184</v>
      </c>
      <c r="I30" s="1499"/>
      <c r="J30" s="1500">
        <f>J32+J36+J40</f>
        <v>482616431</v>
      </c>
      <c r="K30" s="1501">
        <f>K32+K36+K40</f>
        <v>482617</v>
      </c>
      <c r="L30" s="1498" t="s">
        <v>186</v>
      </c>
      <c r="M30" s="2473"/>
      <c r="N30" s="2473"/>
    </row>
    <row r="31" spans="1:14" s="1493" customFormat="1" ht="24" customHeight="1">
      <c r="B31" s="1502"/>
      <c r="C31" s="1503" t="s">
        <v>185</v>
      </c>
      <c r="D31" s="1504"/>
      <c r="E31" s="1505">
        <f>E32+E36+E40</f>
        <v>482491701</v>
      </c>
      <c r="F31" s="1506">
        <f>F32+F36+F40</f>
        <v>482492</v>
      </c>
      <c r="G31" s="445">
        <f>ROUND(E26/1000,0)</f>
        <v>375133</v>
      </c>
      <c r="H31" s="2474"/>
      <c r="I31" s="2475"/>
      <c r="J31" s="1507"/>
      <c r="K31" s="1508"/>
      <c r="L31" s="445">
        <f>G31</f>
        <v>375133</v>
      </c>
      <c r="M31" s="2473"/>
      <c r="N31" s="2473"/>
    </row>
    <row r="32" spans="1:14" s="1493" customFormat="1" ht="24" customHeight="1">
      <c r="B32" s="1502"/>
      <c r="C32" s="1509" t="s">
        <v>187</v>
      </c>
      <c r="D32" s="374"/>
      <c r="E32" s="1507">
        <f>E33+E34</f>
        <v>0</v>
      </c>
      <c r="F32" s="1508">
        <f>F33+F34</f>
        <v>0</v>
      </c>
      <c r="G32" s="1498" t="s">
        <v>189</v>
      </c>
      <c r="H32" s="2474" t="s">
        <v>187</v>
      </c>
      <c r="I32" s="2475"/>
      <c r="J32" s="1507">
        <f>SUM(J33:J34)</f>
        <v>0</v>
      </c>
      <c r="K32" s="1508">
        <f>K33+K34</f>
        <v>0</v>
      </c>
      <c r="L32" s="1498" t="s">
        <v>189</v>
      </c>
      <c r="M32" s="2476"/>
      <c r="N32" s="2476"/>
    </row>
    <row r="33" spans="2:14" s="1493" customFormat="1" ht="24" customHeight="1">
      <c r="B33" s="1502"/>
      <c r="C33" s="1510" t="s">
        <v>188</v>
      </c>
      <c r="D33" s="376"/>
      <c r="E33" s="1511">
        <f>E8</f>
        <v>0</v>
      </c>
      <c r="F33" s="1512">
        <f>ROUND(E33/1000,0)</f>
        <v>0</v>
      </c>
      <c r="G33" s="445">
        <f>ROUND(H26/1000,0)</f>
        <v>107484</v>
      </c>
      <c r="H33" s="1510" t="s">
        <v>188</v>
      </c>
      <c r="I33" s="1513"/>
      <c r="J33" s="1511">
        <f>K8</f>
        <v>0</v>
      </c>
      <c r="K33" s="1512">
        <f>ROUND(J33/1000,0)</f>
        <v>0</v>
      </c>
      <c r="L33" s="445">
        <f>G33</f>
        <v>107484</v>
      </c>
      <c r="M33" s="2476"/>
      <c r="N33" s="2476"/>
    </row>
    <row r="34" spans="2:14" s="1493" customFormat="1" ht="24" customHeight="1">
      <c r="B34" s="1502"/>
      <c r="C34" s="1514" t="s">
        <v>190</v>
      </c>
      <c r="D34" s="374"/>
      <c r="E34" s="1511">
        <f>H8</f>
        <v>0</v>
      </c>
      <c r="F34" s="1512">
        <f>ROUND(E34/1000,0)</f>
        <v>0</v>
      </c>
      <c r="G34" s="1498"/>
      <c r="H34" s="1514" t="s">
        <v>190</v>
      </c>
      <c r="I34" s="1515"/>
      <c r="J34" s="1511">
        <f>N8</f>
        <v>0</v>
      </c>
      <c r="K34" s="1512">
        <f>ROUND(J34/1000,0)</f>
        <v>0</v>
      </c>
      <c r="L34" s="1498" t="s">
        <v>550</v>
      </c>
    </row>
    <row r="35" spans="2:14" s="1493" customFormat="1" ht="24" customHeight="1" thickBot="1">
      <c r="B35" s="1502"/>
      <c r="C35" s="1514"/>
      <c r="D35" s="374"/>
      <c r="E35" s="1511"/>
      <c r="F35" s="1512"/>
      <c r="H35" s="1516"/>
      <c r="I35" s="1517"/>
      <c r="J35" s="1511"/>
      <c r="K35" s="1518"/>
      <c r="L35" s="442">
        <f>K45</f>
        <v>4750</v>
      </c>
      <c r="M35" s="1502"/>
      <c r="N35" s="1502"/>
    </row>
    <row r="36" spans="2:14" s="1493" customFormat="1" ht="24" customHeight="1">
      <c r="B36" s="1502"/>
      <c r="C36" s="1510" t="s">
        <v>191</v>
      </c>
      <c r="D36" s="1519"/>
      <c r="E36" s="1507">
        <f>E37+E38</f>
        <v>612191</v>
      </c>
      <c r="F36" s="1508">
        <f>F37+F38</f>
        <v>612</v>
      </c>
      <c r="H36" s="1520" t="s">
        <v>191</v>
      </c>
      <c r="I36" s="1521"/>
      <c r="J36" s="1507">
        <f>J37+J38</f>
        <v>612191</v>
      </c>
      <c r="K36" s="1508">
        <f>K37+K38</f>
        <v>612</v>
      </c>
      <c r="L36" s="1522"/>
      <c r="M36" s="2477" t="str">
        <f>A1</f>
        <v>R４年度</v>
      </c>
      <c r="N36" s="2478" t="s">
        <v>551</v>
      </c>
    </row>
    <row r="37" spans="2:14" s="1493" customFormat="1" ht="24" customHeight="1" thickBot="1">
      <c r="B37" s="1502"/>
      <c r="C37" s="1510" t="s">
        <v>188</v>
      </c>
      <c r="D37" s="376"/>
      <c r="E37" s="1511">
        <f>E12</f>
        <v>414288</v>
      </c>
      <c r="F37" s="1518">
        <f>ROUND(E37/1000,0)</f>
        <v>414</v>
      </c>
      <c r="H37" s="1510" t="s">
        <v>188</v>
      </c>
      <c r="I37" s="1513"/>
      <c r="J37" s="1511">
        <f>K12</f>
        <v>414288</v>
      </c>
      <c r="K37" s="1512">
        <f>F37</f>
        <v>414</v>
      </c>
      <c r="L37" s="1522"/>
      <c r="M37" s="2470"/>
      <c r="N37" s="2479"/>
    </row>
    <row r="38" spans="2:14" s="1493" customFormat="1" ht="24" customHeight="1">
      <c r="B38" s="1502"/>
      <c r="C38" s="1514" t="s">
        <v>190</v>
      </c>
      <c r="D38" s="374"/>
      <c r="E38" s="1511">
        <f>H12</f>
        <v>197903</v>
      </c>
      <c r="F38" s="1557">
        <f>ROUND(E38/1000,0)</f>
        <v>198</v>
      </c>
      <c r="G38" s="1558"/>
      <c r="H38" s="1514" t="s">
        <v>190</v>
      </c>
      <c r="I38" s="1513"/>
      <c r="J38" s="1511">
        <f>N12</f>
        <v>197903</v>
      </c>
      <c r="K38" s="1512">
        <f>F38</f>
        <v>198</v>
      </c>
      <c r="L38" s="1522"/>
      <c r="M38" s="2468">
        <f>E30+J30+J45</f>
        <v>969982482</v>
      </c>
      <c r="N38" s="2469"/>
    </row>
    <row r="39" spans="2:14" s="1493" customFormat="1" ht="24" customHeight="1" thickBot="1">
      <c r="B39" s="1502"/>
      <c r="C39" s="1523"/>
      <c r="D39" s="1524"/>
      <c r="E39" s="1525"/>
      <c r="F39" s="1526"/>
      <c r="H39" s="1516"/>
      <c r="I39" s="1517"/>
      <c r="J39" s="1511"/>
      <c r="K39" s="1518"/>
      <c r="L39" s="1522"/>
      <c r="M39" s="2470"/>
      <c r="N39" s="2471"/>
    </row>
    <row r="40" spans="2:14" s="1493" customFormat="1" ht="24" customHeight="1" thickBot="1">
      <c r="B40" s="1502"/>
      <c r="C40" s="1510" t="s">
        <v>562</v>
      </c>
      <c r="D40" s="1519"/>
      <c r="E40" s="1507">
        <f>E41+E42+E43</f>
        <v>481879510</v>
      </c>
      <c r="F40" s="1508">
        <f>F41+F42+F43</f>
        <v>481880</v>
      </c>
      <c r="H40" s="1520" t="s">
        <v>195</v>
      </c>
      <c r="I40" s="1521"/>
      <c r="J40" s="1507">
        <f>J41+J42+J43</f>
        <v>482004240</v>
      </c>
      <c r="K40" s="1508">
        <f>K41+K42+K43</f>
        <v>482005</v>
      </c>
      <c r="L40" s="1522"/>
      <c r="M40" s="2472" t="s">
        <v>553</v>
      </c>
      <c r="N40" s="2472"/>
    </row>
    <row r="41" spans="2:14" s="1493" customFormat="1" ht="24" customHeight="1">
      <c r="B41" s="1502"/>
      <c r="C41" s="1510" t="s">
        <v>188</v>
      </c>
      <c r="D41" s="376"/>
      <c r="E41" s="1511">
        <f>E16</f>
        <v>376039712</v>
      </c>
      <c r="F41" s="1518">
        <f>ROUND(E41/1000,0)</f>
        <v>376040</v>
      </c>
      <c r="H41" s="1510" t="s">
        <v>188</v>
      </c>
      <c r="I41" s="1513"/>
      <c r="J41" s="1511">
        <f>K16+K20</f>
        <v>376122368</v>
      </c>
      <c r="K41" s="1512">
        <f>F41+F46</f>
        <v>376123</v>
      </c>
      <c r="L41" s="1536"/>
      <c r="M41" s="1528" t="s">
        <v>563</v>
      </c>
      <c r="N41" s="1559">
        <f>H5+H9+H13+H17+N5+N9+N13+N17-(ROUNDDOWN('R6介護'!AD32*G5/1000,0)*2)</f>
        <v>96866194</v>
      </c>
    </row>
    <row r="42" spans="2:14" s="1493" customFormat="1" ht="24" customHeight="1">
      <c r="B42" s="1502"/>
      <c r="C42" s="1514" t="s">
        <v>190</v>
      </c>
      <c r="D42" s="374"/>
      <c r="E42" s="1511">
        <f>H16</f>
        <v>107360584</v>
      </c>
      <c r="F42" s="1518">
        <f>ROUND(E42/1000,0)</f>
        <v>107361</v>
      </c>
      <c r="H42" s="1514" t="s">
        <v>190</v>
      </c>
      <c r="I42" s="1513"/>
      <c r="J42" s="1511">
        <f>N16+N20</f>
        <v>107402658</v>
      </c>
      <c r="K42" s="1512">
        <f>F42+F47</f>
        <v>107403</v>
      </c>
      <c r="L42" s="1536"/>
      <c r="M42" s="1530" t="s">
        <v>555</v>
      </c>
      <c r="N42" s="1539">
        <f>H6+H10+H14+H18+N6+N10+N14+N18-(ROUNDDOWN('R6介護'!AD34*G5/1000,0)*2)</f>
        <v>98347584</v>
      </c>
    </row>
    <row r="43" spans="2:14" s="1493" customFormat="1" ht="24" customHeight="1">
      <c r="B43" s="1502"/>
      <c r="C43" s="1510" t="s">
        <v>556</v>
      </c>
      <c r="D43" s="1519"/>
      <c r="E43" s="1507">
        <f>-E25-H25</f>
        <v>-1520786</v>
      </c>
      <c r="F43" s="1508">
        <f>ROUND(E43/1000,0)</f>
        <v>-1521</v>
      </c>
      <c r="H43" s="1532" t="s">
        <v>557</v>
      </c>
      <c r="I43" s="1533"/>
      <c r="J43" s="1534">
        <f>E43</f>
        <v>-1520786</v>
      </c>
      <c r="K43" s="1535">
        <f>F43</f>
        <v>-1521</v>
      </c>
      <c r="L43" s="1536"/>
      <c r="M43" s="1530" t="s">
        <v>558</v>
      </c>
      <c r="N43" s="1539">
        <f>H26+N26-N41-N42</f>
        <v>19753724</v>
      </c>
    </row>
    <row r="44" spans="2:14" s="1493" customFormat="1" ht="24" customHeight="1">
      <c r="B44" s="1502"/>
      <c r="C44" s="1510"/>
      <c r="D44" s="1519"/>
      <c r="E44" s="1537"/>
      <c r="F44" s="1538"/>
      <c r="J44" s="1498"/>
      <c r="K44" s="1498"/>
      <c r="L44" s="1498"/>
      <c r="M44" s="1530"/>
      <c r="N44" s="1539"/>
    </row>
    <row r="45" spans="2:14" s="1493" customFormat="1" ht="24" customHeight="1" thickBot="1">
      <c r="B45" s="1502"/>
      <c r="C45" s="1503" t="s">
        <v>198</v>
      </c>
      <c r="D45" s="1540"/>
      <c r="E45" s="1505">
        <f>E46+E47</f>
        <v>124730</v>
      </c>
      <c r="F45" s="1506">
        <f>F46+F47</f>
        <v>125</v>
      </c>
      <c r="H45" s="1541" t="s">
        <v>199</v>
      </c>
      <c r="I45" s="1542"/>
      <c r="J45" s="1543">
        <f>K27</f>
        <v>4749620</v>
      </c>
      <c r="K45" s="1544">
        <f>ROUND(J45/1000,0)</f>
        <v>4750</v>
      </c>
      <c r="L45" s="1545"/>
      <c r="M45" s="1546" t="s">
        <v>559</v>
      </c>
      <c r="N45" s="1547">
        <f>E26+K26</f>
        <v>755014980</v>
      </c>
    </row>
    <row r="46" spans="2:14" s="1493" customFormat="1" ht="24" customHeight="1">
      <c r="B46" s="1502"/>
      <c r="C46" s="1510" t="s">
        <v>188</v>
      </c>
      <c r="D46" s="376"/>
      <c r="E46" s="1507">
        <f>E20</f>
        <v>82656</v>
      </c>
      <c r="F46" s="1508">
        <f>ROUND(E46/1000,0)</f>
        <v>83</v>
      </c>
      <c r="H46" s="1549"/>
      <c r="I46" s="1549"/>
      <c r="J46" s="267"/>
      <c r="K46" s="267"/>
      <c r="L46" s="1498"/>
      <c r="N46" s="445"/>
    </row>
    <row r="47" spans="2:14" s="1493" customFormat="1" ht="24" customHeight="1">
      <c r="B47" s="1502"/>
      <c r="C47" s="1514" t="s">
        <v>190</v>
      </c>
      <c r="D47" s="374"/>
      <c r="E47" s="1507">
        <f>H20</f>
        <v>42074</v>
      </c>
      <c r="F47" s="1548">
        <f>ROUND(E47/1000,0)</f>
        <v>42</v>
      </c>
      <c r="G47" s="386"/>
      <c r="H47" s="1549"/>
      <c r="I47" s="1549"/>
      <c r="J47" s="267"/>
      <c r="K47" s="267"/>
      <c r="L47" s="1498"/>
      <c r="M47" s="1549"/>
      <c r="N47" s="267"/>
    </row>
    <row r="48" spans="2:14" s="1549" customFormat="1" ht="24" customHeight="1">
      <c r="B48" s="1550"/>
      <c r="C48" s="1551"/>
      <c r="D48" s="427"/>
      <c r="E48" s="1552"/>
      <c r="F48" s="1553"/>
      <c r="J48" s="267"/>
      <c r="K48" s="267"/>
      <c r="L48" s="267"/>
      <c r="N48" s="267"/>
    </row>
    <row r="49" spans="3:14" s="1549" customFormat="1">
      <c r="C49" s="432"/>
      <c r="D49" s="432"/>
      <c r="E49" s="1554"/>
      <c r="F49" s="1555"/>
      <c r="H49" s="21"/>
      <c r="I49" s="21"/>
      <c r="J49" s="267"/>
      <c r="K49" s="267"/>
      <c r="L49" s="267"/>
      <c r="N49" s="267"/>
    </row>
    <row r="50" spans="3:14" s="399" customFormat="1">
      <c r="C50" s="432"/>
      <c r="D50" s="432"/>
      <c r="E50" s="432"/>
      <c r="H50" s="16"/>
      <c r="I50" s="16"/>
      <c r="J50" s="230"/>
      <c r="K50" s="230"/>
      <c r="L50" s="230"/>
      <c r="M50" s="16"/>
      <c r="N50" s="16"/>
    </row>
  </sheetData>
  <mergeCells count="22">
    <mergeCell ref="A2:B4"/>
    <mergeCell ref="C2:H2"/>
    <mergeCell ref="I2:N2"/>
    <mergeCell ref="C3:E3"/>
    <mergeCell ref="F3:H3"/>
    <mergeCell ref="I3:K3"/>
    <mergeCell ref="L3:N3"/>
    <mergeCell ref="I22:J22"/>
    <mergeCell ref="A23:B24"/>
    <mergeCell ref="A25:B25"/>
    <mergeCell ref="A26:B26"/>
    <mergeCell ref="A27:B27"/>
    <mergeCell ref="C27:D27"/>
    <mergeCell ref="E27:H27"/>
    <mergeCell ref="M38:N39"/>
    <mergeCell ref="M40:N40"/>
    <mergeCell ref="M30:N31"/>
    <mergeCell ref="H31:I31"/>
    <mergeCell ref="H32:I32"/>
    <mergeCell ref="M32:N33"/>
    <mergeCell ref="M36:M37"/>
    <mergeCell ref="N36:N37"/>
  </mergeCells>
  <phoneticPr fontId="2"/>
  <printOptions horizontalCentered="1"/>
  <pageMargins left="0.11811023622047245" right="0.11811023622047245" top="0.59055118110236227" bottom="0" header="0.31496062992125984" footer="0"/>
  <pageSetup paperSize="9" scale="65" orientation="portrait" r:id="rId1"/>
  <headerFooter>
    <oddFooter>&amp;R&amp;"HG丸ｺﾞｼｯｸM-PRO,太字"&amp;14R3　介護掛金</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AH184"/>
  <sheetViews>
    <sheetView tabSelected="1" view="pageBreakPreview" zoomScaleNormal="85" zoomScaleSheetLayoutView="100" workbookViewId="0">
      <selection activeCell="AB8" sqref="AB8"/>
    </sheetView>
  </sheetViews>
  <sheetFormatPr defaultRowHeight="29.25" customHeight="1"/>
  <cols>
    <col min="1" max="1" width="1" style="230" customWidth="1"/>
    <col min="2" max="2" width="5.625" style="230" customWidth="1"/>
    <col min="3" max="3" width="6.875" style="230" customWidth="1"/>
    <col min="4" max="4" width="13.75" style="230" customWidth="1"/>
    <col min="5" max="5" width="2.5" style="230" customWidth="1"/>
    <col min="6" max="6" width="8.75" style="230" customWidth="1"/>
    <col min="7" max="7" width="5.75" style="230" customWidth="1"/>
    <col min="8" max="8" width="12.5" style="230" customWidth="1"/>
    <col min="9" max="9" width="5.75" style="230" customWidth="1"/>
    <col min="10" max="10" width="12.5" style="230" customWidth="1"/>
    <col min="11" max="11" width="2.5" style="230" customWidth="1"/>
    <col min="12" max="12" width="8.75" style="230" customWidth="1"/>
    <col min="13" max="13" width="2.5" style="230" customWidth="1"/>
    <col min="14" max="14" width="8.75" style="230" customWidth="1"/>
    <col min="15" max="15" width="2.5" style="230" customWidth="1"/>
    <col min="16" max="16" width="8.75" style="230" customWidth="1"/>
    <col min="17" max="17" width="3.75" style="230" customWidth="1"/>
    <col min="18" max="18" width="15" style="230" bestFit="1" customWidth="1"/>
    <col min="19" max="19" width="5.75" style="230" customWidth="1"/>
    <col min="20" max="20" width="9" style="230" customWidth="1"/>
    <col min="21" max="21" width="5.75" style="230" customWidth="1"/>
    <col min="22" max="22" width="10.5" style="230" customWidth="1"/>
    <col min="23" max="23" width="3.375" style="230" customWidth="1"/>
    <col min="24" max="24" width="10.375" style="230" customWidth="1"/>
    <col min="25" max="25" width="12.25" style="230" customWidth="1"/>
    <col min="26" max="26" width="9.375" style="230" customWidth="1"/>
    <col min="27" max="27" width="10.25" style="230" customWidth="1"/>
    <col min="28" max="28" width="14.375" style="230" customWidth="1"/>
    <col min="29" max="30" width="9.375" style="454" customWidth="1"/>
    <col min="31" max="31" width="14.875" style="454" customWidth="1"/>
    <col min="32" max="32" width="9.375" style="230" customWidth="1"/>
    <col min="33" max="33" width="13.125" style="230" customWidth="1"/>
    <col min="34" max="34" width="5.125" style="230" customWidth="1"/>
    <col min="35" max="256" width="9" style="230"/>
    <col min="257" max="257" width="1" style="230" customWidth="1"/>
    <col min="258" max="258" width="5.625" style="230" customWidth="1"/>
    <col min="259" max="259" width="6.875" style="230" customWidth="1"/>
    <col min="260" max="260" width="13.75" style="230" customWidth="1"/>
    <col min="261" max="261" width="2.5" style="230" customWidth="1"/>
    <col min="262" max="262" width="8.75" style="230" customWidth="1"/>
    <col min="263" max="263" width="5.75" style="230" customWidth="1"/>
    <col min="264" max="264" width="12.5" style="230" customWidth="1"/>
    <col min="265" max="265" width="5.75" style="230" customWidth="1"/>
    <col min="266" max="266" width="12.5" style="230" customWidth="1"/>
    <col min="267" max="267" width="2.5" style="230" customWidth="1"/>
    <col min="268" max="268" width="8.75" style="230" customWidth="1"/>
    <col min="269" max="269" width="2.5" style="230" customWidth="1"/>
    <col min="270" max="270" width="8.75" style="230" customWidth="1"/>
    <col min="271" max="271" width="2.5" style="230" customWidth="1"/>
    <col min="272" max="272" width="8.75" style="230" customWidth="1"/>
    <col min="273" max="273" width="3.75" style="230" customWidth="1"/>
    <col min="274" max="274" width="15" style="230" bestFit="1" customWidth="1"/>
    <col min="275" max="275" width="5.75" style="230" customWidth="1"/>
    <col min="276" max="276" width="9" style="230" customWidth="1"/>
    <col min="277" max="277" width="5.75" style="230" customWidth="1"/>
    <col min="278" max="278" width="10.5" style="230" customWidth="1"/>
    <col min="279" max="279" width="3.375" style="230" customWidth="1"/>
    <col min="280" max="280" width="10.375" style="230" customWidth="1"/>
    <col min="281" max="281" width="12.25" style="230" customWidth="1"/>
    <col min="282" max="282" width="9.375" style="230" customWidth="1"/>
    <col min="283" max="283" width="10.25" style="230" customWidth="1"/>
    <col min="284" max="284" width="14.375" style="230" customWidth="1"/>
    <col min="285" max="286" width="9.375" style="230" customWidth="1"/>
    <col min="287" max="287" width="14.875" style="230" customWidth="1"/>
    <col min="288" max="288" width="9.375" style="230" customWidth="1"/>
    <col min="289" max="289" width="13.125" style="230" customWidth="1"/>
    <col min="290" max="290" width="5.125" style="230" customWidth="1"/>
    <col min="291" max="512" width="9" style="230"/>
    <col min="513" max="513" width="1" style="230" customWidth="1"/>
    <col min="514" max="514" width="5.625" style="230" customWidth="1"/>
    <col min="515" max="515" width="6.875" style="230" customWidth="1"/>
    <col min="516" max="516" width="13.75" style="230" customWidth="1"/>
    <col min="517" max="517" width="2.5" style="230" customWidth="1"/>
    <col min="518" max="518" width="8.75" style="230" customWidth="1"/>
    <col min="519" max="519" width="5.75" style="230" customWidth="1"/>
    <col min="520" max="520" width="12.5" style="230" customWidth="1"/>
    <col min="521" max="521" width="5.75" style="230" customWidth="1"/>
    <col min="522" max="522" width="12.5" style="230" customWidth="1"/>
    <col min="523" max="523" width="2.5" style="230" customWidth="1"/>
    <col min="524" max="524" width="8.75" style="230" customWidth="1"/>
    <col min="525" max="525" width="2.5" style="230" customWidth="1"/>
    <col min="526" max="526" width="8.75" style="230" customWidth="1"/>
    <col min="527" max="527" width="2.5" style="230" customWidth="1"/>
    <col min="528" max="528" width="8.75" style="230" customWidth="1"/>
    <col min="529" max="529" width="3.75" style="230" customWidth="1"/>
    <col min="530" max="530" width="15" style="230" bestFit="1" customWidth="1"/>
    <col min="531" max="531" width="5.75" style="230" customWidth="1"/>
    <col min="532" max="532" width="9" style="230" customWidth="1"/>
    <col min="533" max="533" width="5.75" style="230" customWidth="1"/>
    <col min="534" max="534" width="10.5" style="230" customWidth="1"/>
    <col min="535" max="535" width="3.375" style="230" customWidth="1"/>
    <col min="536" max="536" width="10.375" style="230" customWidth="1"/>
    <col min="537" max="537" width="12.25" style="230" customWidth="1"/>
    <col min="538" max="538" width="9.375" style="230" customWidth="1"/>
    <col min="539" max="539" width="10.25" style="230" customWidth="1"/>
    <col min="540" max="540" width="14.375" style="230" customWidth="1"/>
    <col min="541" max="542" width="9.375" style="230" customWidth="1"/>
    <col min="543" max="543" width="14.875" style="230" customWidth="1"/>
    <col min="544" max="544" width="9.375" style="230" customWidth="1"/>
    <col min="545" max="545" width="13.125" style="230" customWidth="1"/>
    <col min="546" max="546" width="5.125" style="230" customWidth="1"/>
    <col min="547" max="768" width="9" style="230"/>
    <col min="769" max="769" width="1" style="230" customWidth="1"/>
    <col min="770" max="770" width="5.625" style="230" customWidth="1"/>
    <col min="771" max="771" width="6.875" style="230" customWidth="1"/>
    <col min="772" max="772" width="13.75" style="230" customWidth="1"/>
    <col min="773" max="773" width="2.5" style="230" customWidth="1"/>
    <col min="774" max="774" width="8.75" style="230" customWidth="1"/>
    <col min="775" max="775" width="5.75" style="230" customWidth="1"/>
    <col min="776" max="776" width="12.5" style="230" customWidth="1"/>
    <col min="777" max="777" width="5.75" style="230" customWidth="1"/>
    <col min="778" max="778" width="12.5" style="230" customWidth="1"/>
    <col min="779" max="779" width="2.5" style="230" customWidth="1"/>
    <col min="780" max="780" width="8.75" style="230" customWidth="1"/>
    <col min="781" max="781" width="2.5" style="230" customWidth="1"/>
    <col min="782" max="782" width="8.75" style="230" customWidth="1"/>
    <col min="783" max="783" width="2.5" style="230" customWidth="1"/>
    <col min="784" max="784" width="8.75" style="230" customWidth="1"/>
    <col min="785" max="785" width="3.75" style="230" customWidth="1"/>
    <col min="786" max="786" width="15" style="230" bestFit="1" customWidth="1"/>
    <col min="787" max="787" width="5.75" style="230" customWidth="1"/>
    <col min="788" max="788" width="9" style="230" customWidth="1"/>
    <col min="789" max="789" width="5.75" style="230" customWidth="1"/>
    <col min="790" max="790" width="10.5" style="230" customWidth="1"/>
    <col min="791" max="791" width="3.375" style="230" customWidth="1"/>
    <col min="792" max="792" width="10.375" style="230" customWidth="1"/>
    <col min="793" max="793" width="12.25" style="230" customWidth="1"/>
    <col min="794" max="794" width="9.375" style="230" customWidth="1"/>
    <col min="795" max="795" width="10.25" style="230" customWidth="1"/>
    <col min="796" max="796" width="14.375" style="230" customWidth="1"/>
    <col min="797" max="798" width="9.375" style="230" customWidth="1"/>
    <col min="799" max="799" width="14.875" style="230" customWidth="1"/>
    <col min="800" max="800" width="9.375" style="230" customWidth="1"/>
    <col min="801" max="801" width="13.125" style="230" customWidth="1"/>
    <col min="802" max="802" width="5.125" style="230" customWidth="1"/>
    <col min="803" max="1024" width="9" style="230"/>
    <col min="1025" max="1025" width="1" style="230" customWidth="1"/>
    <col min="1026" max="1026" width="5.625" style="230" customWidth="1"/>
    <col min="1027" max="1027" width="6.875" style="230" customWidth="1"/>
    <col min="1028" max="1028" width="13.75" style="230" customWidth="1"/>
    <col min="1029" max="1029" width="2.5" style="230" customWidth="1"/>
    <col min="1030" max="1030" width="8.75" style="230" customWidth="1"/>
    <col min="1031" max="1031" width="5.75" style="230" customWidth="1"/>
    <col min="1032" max="1032" width="12.5" style="230" customWidth="1"/>
    <col min="1033" max="1033" width="5.75" style="230" customWidth="1"/>
    <col min="1034" max="1034" width="12.5" style="230" customWidth="1"/>
    <col min="1035" max="1035" width="2.5" style="230" customWidth="1"/>
    <col min="1036" max="1036" width="8.75" style="230" customWidth="1"/>
    <col min="1037" max="1037" width="2.5" style="230" customWidth="1"/>
    <col min="1038" max="1038" width="8.75" style="230" customWidth="1"/>
    <col min="1039" max="1039" width="2.5" style="230" customWidth="1"/>
    <col min="1040" max="1040" width="8.75" style="230" customWidth="1"/>
    <col min="1041" max="1041" width="3.75" style="230" customWidth="1"/>
    <col min="1042" max="1042" width="15" style="230" bestFit="1" customWidth="1"/>
    <col min="1043" max="1043" width="5.75" style="230" customWidth="1"/>
    <col min="1044" max="1044" width="9" style="230" customWidth="1"/>
    <col min="1045" max="1045" width="5.75" style="230" customWidth="1"/>
    <col min="1046" max="1046" width="10.5" style="230" customWidth="1"/>
    <col min="1047" max="1047" width="3.375" style="230" customWidth="1"/>
    <col min="1048" max="1048" width="10.375" style="230" customWidth="1"/>
    <col min="1049" max="1049" width="12.25" style="230" customWidth="1"/>
    <col min="1050" max="1050" width="9.375" style="230" customWidth="1"/>
    <col min="1051" max="1051" width="10.25" style="230" customWidth="1"/>
    <col min="1052" max="1052" width="14.375" style="230" customWidth="1"/>
    <col min="1053" max="1054" width="9.375" style="230" customWidth="1"/>
    <col min="1055" max="1055" width="14.875" style="230" customWidth="1"/>
    <col min="1056" max="1056" width="9.375" style="230" customWidth="1"/>
    <col min="1057" max="1057" width="13.125" style="230" customWidth="1"/>
    <col min="1058" max="1058" width="5.125" style="230" customWidth="1"/>
    <col min="1059" max="1280" width="9" style="230"/>
    <col min="1281" max="1281" width="1" style="230" customWidth="1"/>
    <col min="1282" max="1282" width="5.625" style="230" customWidth="1"/>
    <col min="1283" max="1283" width="6.875" style="230" customWidth="1"/>
    <col min="1284" max="1284" width="13.75" style="230" customWidth="1"/>
    <col min="1285" max="1285" width="2.5" style="230" customWidth="1"/>
    <col min="1286" max="1286" width="8.75" style="230" customWidth="1"/>
    <col min="1287" max="1287" width="5.75" style="230" customWidth="1"/>
    <col min="1288" max="1288" width="12.5" style="230" customWidth="1"/>
    <col min="1289" max="1289" width="5.75" style="230" customWidth="1"/>
    <col min="1290" max="1290" width="12.5" style="230" customWidth="1"/>
    <col min="1291" max="1291" width="2.5" style="230" customWidth="1"/>
    <col min="1292" max="1292" width="8.75" style="230" customWidth="1"/>
    <col min="1293" max="1293" width="2.5" style="230" customWidth="1"/>
    <col min="1294" max="1294" width="8.75" style="230" customWidth="1"/>
    <col min="1295" max="1295" width="2.5" style="230" customWidth="1"/>
    <col min="1296" max="1296" width="8.75" style="230" customWidth="1"/>
    <col min="1297" max="1297" width="3.75" style="230" customWidth="1"/>
    <col min="1298" max="1298" width="15" style="230" bestFit="1" customWidth="1"/>
    <col min="1299" max="1299" width="5.75" style="230" customWidth="1"/>
    <col min="1300" max="1300" width="9" style="230" customWidth="1"/>
    <col min="1301" max="1301" width="5.75" style="230" customWidth="1"/>
    <col min="1302" max="1302" width="10.5" style="230" customWidth="1"/>
    <col min="1303" max="1303" width="3.375" style="230" customWidth="1"/>
    <col min="1304" max="1304" width="10.375" style="230" customWidth="1"/>
    <col min="1305" max="1305" width="12.25" style="230" customWidth="1"/>
    <col min="1306" max="1306" width="9.375" style="230" customWidth="1"/>
    <col min="1307" max="1307" width="10.25" style="230" customWidth="1"/>
    <col min="1308" max="1308" width="14.375" style="230" customWidth="1"/>
    <col min="1309" max="1310" width="9.375" style="230" customWidth="1"/>
    <col min="1311" max="1311" width="14.875" style="230" customWidth="1"/>
    <col min="1312" max="1312" width="9.375" style="230" customWidth="1"/>
    <col min="1313" max="1313" width="13.125" style="230" customWidth="1"/>
    <col min="1314" max="1314" width="5.125" style="230" customWidth="1"/>
    <col min="1315" max="1536" width="9" style="230"/>
    <col min="1537" max="1537" width="1" style="230" customWidth="1"/>
    <col min="1538" max="1538" width="5.625" style="230" customWidth="1"/>
    <col min="1539" max="1539" width="6.875" style="230" customWidth="1"/>
    <col min="1540" max="1540" width="13.75" style="230" customWidth="1"/>
    <col min="1541" max="1541" width="2.5" style="230" customWidth="1"/>
    <col min="1542" max="1542" width="8.75" style="230" customWidth="1"/>
    <col min="1543" max="1543" width="5.75" style="230" customWidth="1"/>
    <col min="1544" max="1544" width="12.5" style="230" customWidth="1"/>
    <col min="1545" max="1545" width="5.75" style="230" customWidth="1"/>
    <col min="1546" max="1546" width="12.5" style="230" customWidth="1"/>
    <col min="1547" max="1547" width="2.5" style="230" customWidth="1"/>
    <col min="1548" max="1548" width="8.75" style="230" customWidth="1"/>
    <col min="1549" max="1549" width="2.5" style="230" customWidth="1"/>
    <col min="1550" max="1550" width="8.75" style="230" customWidth="1"/>
    <col min="1551" max="1551" width="2.5" style="230" customWidth="1"/>
    <col min="1552" max="1552" width="8.75" style="230" customWidth="1"/>
    <col min="1553" max="1553" width="3.75" style="230" customWidth="1"/>
    <col min="1554" max="1554" width="15" style="230" bestFit="1" customWidth="1"/>
    <col min="1555" max="1555" width="5.75" style="230" customWidth="1"/>
    <col min="1556" max="1556" width="9" style="230" customWidth="1"/>
    <col min="1557" max="1557" width="5.75" style="230" customWidth="1"/>
    <col min="1558" max="1558" width="10.5" style="230" customWidth="1"/>
    <col min="1559" max="1559" width="3.375" style="230" customWidth="1"/>
    <col min="1560" max="1560" width="10.375" style="230" customWidth="1"/>
    <col min="1561" max="1561" width="12.25" style="230" customWidth="1"/>
    <col min="1562" max="1562" width="9.375" style="230" customWidth="1"/>
    <col min="1563" max="1563" width="10.25" style="230" customWidth="1"/>
    <col min="1564" max="1564" width="14.375" style="230" customWidth="1"/>
    <col min="1565" max="1566" width="9.375" style="230" customWidth="1"/>
    <col min="1567" max="1567" width="14.875" style="230" customWidth="1"/>
    <col min="1568" max="1568" width="9.375" style="230" customWidth="1"/>
    <col min="1569" max="1569" width="13.125" style="230" customWidth="1"/>
    <col min="1570" max="1570" width="5.125" style="230" customWidth="1"/>
    <col min="1571" max="1792" width="9" style="230"/>
    <col min="1793" max="1793" width="1" style="230" customWidth="1"/>
    <col min="1794" max="1794" width="5.625" style="230" customWidth="1"/>
    <col min="1795" max="1795" width="6.875" style="230" customWidth="1"/>
    <col min="1796" max="1796" width="13.75" style="230" customWidth="1"/>
    <col min="1797" max="1797" width="2.5" style="230" customWidth="1"/>
    <col min="1798" max="1798" width="8.75" style="230" customWidth="1"/>
    <col min="1799" max="1799" width="5.75" style="230" customWidth="1"/>
    <col min="1800" max="1800" width="12.5" style="230" customWidth="1"/>
    <col min="1801" max="1801" width="5.75" style="230" customWidth="1"/>
    <col min="1802" max="1802" width="12.5" style="230" customWidth="1"/>
    <col min="1803" max="1803" width="2.5" style="230" customWidth="1"/>
    <col min="1804" max="1804" width="8.75" style="230" customWidth="1"/>
    <col min="1805" max="1805" width="2.5" style="230" customWidth="1"/>
    <col min="1806" max="1806" width="8.75" style="230" customWidth="1"/>
    <col min="1807" max="1807" width="2.5" style="230" customWidth="1"/>
    <col min="1808" max="1808" width="8.75" style="230" customWidth="1"/>
    <col min="1809" max="1809" width="3.75" style="230" customWidth="1"/>
    <col min="1810" max="1810" width="15" style="230" bestFit="1" customWidth="1"/>
    <col min="1811" max="1811" width="5.75" style="230" customWidth="1"/>
    <col min="1812" max="1812" width="9" style="230" customWidth="1"/>
    <col min="1813" max="1813" width="5.75" style="230" customWidth="1"/>
    <col min="1814" max="1814" width="10.5" style="230" customWidth="1"/>
    <col min="1815" max="1815" width="3.375" style="230" customWidth="1"/>
    <col min="1816" max="1816" width="10.375" style="230" customWidth="1"/>
    <col min="1817" max="1817" width="12.25" style="230" customWidth="1"/>
    <col min="1818" max="1818" width="9.375" style="230" customWidth="1"/>
    <col min="1819" max="1819" width="10.25" style="230" customWidth="1"/>
    <col min="1820" max="1820" width="14.375" style="230" customWidth="1"/>
    <col min="1821" max="1822" width="9.375" style="230" customWidth="1"/>
    <col min="1823" max="1823" width="14.875" style="230" customWidth="1"/>
    <col min="1824" max="1824" width="9.375" style="230" customWidth="1"/>
    <col min="1825" max="1825" width="13.125" style="230" customWidth="1"/>
    <col min="1826" max="1826" width="5.125" style="230" customWidth="1"/>
    <col min="1827" max="2048" width="9" style="230"/>
    <col min="2049" max="2049" width="1" style="230" customWidth="1"/>
    <col min="2050" max="2050" width="5.625" style="230" customWidth="1"/>
    <col min="2051" max="2051" width="6.875" style="230" customWidth="1"/>
    <col min="2052" max="2052" width="13.75" style="230" customWidth="1"/>
    <col min="2053" max="2053" width="2.5" style="230" customWidth="1"/>
    <col min="2054" max="2054" width="8.75" style="230" customWidth="1"/>
    <col min="2055" max="2055" width="5.75" style="230" customWidth="1"/>
    <col min="2056" max="2056" width="12.5" style="230" customWidth="1"/>
    <col min="2057" max="2057" width="5.75" style="230" customWidth="1"/>
    <col min="2058" max="2058" width="12.5" style="230" customWidth="1"/>
    <col min="2059" max="2059" width="2.5" style="230" customWidth="1"/>
    <col min="2060" max="2060" width="8.75" style="230" customWidth="1"/>
    <col min="2061" max="2061" width="2.5" style="230" customWidth="1"/>
    <col min="2062" max="2062" width="8.75" style="230" customWidth="1"/>
    <col min="2063" max="2063" width="2.5" style="230" customWidth="1"/>
    <col min="2064" max="2064" width="8.75" style="230" customWidth="1"/>
    <col min="2065" max="2065" width="3.75" style="230" customWidth="1"/>
    <col min="2066" max="2066" width="15" style="230" bestFit="1" customWidth="1"/>
    <col min="2067" max="2067" width="5.75" style="230" customWidth="1"/>
    <col min="2068" max="2068" width="9" style="230" customWidth="1"/>
    <col min="2069" max="2069" width="5.75" style="230" customWidth="1"/>
    <col min="2070" max="2070" width="10.5" style="230" customWidth="1"/>
    <col min="2071" max="2071" width="3.375" style="230" customWidth="1"/>
    <col min="2072" max="2072" width="10.375" style="230" customWidth="1"/>
    <col min="2073" max="2073" width="12.25" style="230" customWidth="1"/>
    <col min="2074" max="2074" width="9.375" style="230" customWidth="1"/>
    <col min="2075" max="2075" width="10.25" style="230" customWidth="1"/>
    <col min="2076" max="2076" width="14.375" style="230" customWidth="1"/>
    <col min="2077" max="2078" width="9.375" style="230" customWidth="1"/>
    <col min="2079" max="2079" width="14.875" style="230" customWidth="1"/>
    <col min="2080" max="2080" width="9.375" style="230" customWidth="1"/>
    <col min="2081" max="2081" width="13.125" style="230" customWidth="1"/>
    <col min="2082" max="2082" width="5.125" style="230" customWidth="1"/>
    <col min="2083" max="2304" width="9" style="230"/>
    <col min="2305" max="2305" width="1" style="230" customWidth="1"/>
    <col min="2306" max="2306" width="5.625" style="230" customWidth="1"/>
    <col min="2307" max="2307" width="6.875" style="230" customWidth="1"/>
    <col min="2308" max="2308" width="13.75" style="230" customWidth="1"/>
    <col min="2309" max="2309" width="2.5" style="230" customWidth="1"/>
    <col min="2310" max="2310" width="8.75" style="230" customWidth="1"/>
    <col min="2311" max="2311" width="5.75" style="230" customWidth="1"/>
    <col min="2312" max="2312" width="12.5" style="230" customWidth="1"/>
    <col min="2313" max="2313" width="5.75" style="230" customWidth="1"/>
    <col min="2314" max="2314" width="12.5" style="230" customWidth="1"/>
    <col min="2315" max="2315" width="2.5" style="230" customWidth="1"/>
    <col min="2316" max="2316" width="8.75" style="230" customWidth="1"/>
    <col min="2317" max="2317" width="2.5" style="230" customWidth="1"/>
    <col min="2318" max="2318" width="8.75" style="230" customWidth="1"/>
    <col min="2319" max="2319" width="2.5" style="230" customWidth="1"/>
    <col min="2320" max="2320" width="8.75" style="230" customWidth="1"/>
    <col min="2321" max="2321" width="3.75" style="230" customWidth="1"/>
    <col min="2322" max="2322" width="15" style="230" bestFit="1" customWidth="1"/>
    <col min="2323" max="2323" width="5.75" style="230" customWidth="1"/>
    <col min="2324" max="2324" width="9" style="230" customWidth="1"/>
    <col min="2325" max="2325" width="5.75" style="230" customWidth="1"/>
    <col min="2326" max="2326" width="10.5" style="230" customWidth="1"/>
    <col min="2327" max="2327" width="3.375" style="230" customWidth="1"/>
    <col min="2328" max="2328" width="10.375" style="230" customWidth="1"/>
    <col min="2329" max="2329" width="12.25" style="230" customWidth="1"/>
    <col min="2330" max="2330" width="9.375" style="230" customWidth="1"/>
    <col min="2331" max="2331" width="10.25" style="230" customWidth="1"/>
    <col min="2332" max="2332" width="14.375" style="230" customWidth="1"/>
    <col min="2333" max="2334" width="9.375" style="230" customWidth="1"/>
    <col min="2335" max="2335" width="14.875" style="230" customWidth="1"/>
    <col min="2336" max="2336" width="9.375" style="230" customWidth="1"/>
    <col min="2337" max="2337" width="13.125" style="230" customWidth="1"/>
    <col min="2338" max="2338" width="5.125" style="230" customWidth="1"/>
    <col min="2339" max="2560" width="9" style="230"/>
    <col min="2561" max="2561" width="1" style="230" customWidth="1"/>
    <col min="2562" max="2562" width="5.625" style="230" customWidth="1"/>
    <col min="2563" max="2563" width="6.875" style="230" customWidth="1"/>
    <col min="2564" max="2564" width="13.75" style="230" customWidth="1"/>
    <col min="2565" max="2565" width="2.5" style="230" customWidth="1"/>
    <col min="2566" max="2566" width="8.75" style="230" customWidth="1"/>
    <col min="2567" max="2567" width="5.75" style="230" customWidth="1"/>
    <col min="2568" max="2568" width="12.5" style="230" customWidth="1"/>
    <col min="2569" max="2569" width="5.75" style="230" customWidth="1"/>
    <col min="2570" max="2570" width="12.5" style="230" customWidth="1"/>
    <col min="2571" max="2571" width="2.5" style="230" customWidth="1"/>
    <col min="2572" max="2572" width="8.75" style="230" customWidth="1"/>
    <col min="2573" max="2573" width="2.5" style="230" customWidth="1"/>
    <col min="2574" max="2574" width="8.75" style="230" customWidth="1"/>
    <col min="2575" max="2575" width="2.5" style="230" customWidth="1"/>
    <col min="2576" max="2576" width="8.75" style="230" customWidth="1"/>
    <col min="2577" max="2577" width="3.75" style="230" customWidth="1"/>
    <col min="2578" max="2578" width="15" style="230" bestFit="1" customWidth="1"/>
    <col min="2579" max="2579" width="5.75" style="230" customWidth="1"/>
    <col min="2580" max="2580" width="9" style="230" customWidth="1"/>
    <col min="2581" max="2581" width="5.75" style="230" customWidth="1"/>
    <col min="2582" max="2582" width="10.5" style="230" customWidth="1"/>
    <col min="2583" max="2583" width="3.375" style="230" customWidth="1"/>
    <col min="2584" max="2584" width="10.375" style="230" customWidth="1"/>
    <col min="2585" max="2585" width="12.25" style="230" customWidth="1"/>
    <col min="2586" max="2586" width="9.375" style="230" customWidth="1"/>
    <col min="2587" max="2587" width="10.25" style="230" customWidth="1"/>
    <col min="2588" max="2588" width="14.375" style="230" customWidth="1"/>
    <col min="2589" max="2590" width="9.375" style="230" customWidth="1"/>
    <col min="2591" max="2591" width="14.875" style="230" customWidth="1"/>
    <col min="2592" max="2592" width="9.375" style="230" customWidth="1"/>
    <col min="2593" max="2593" width="13.125" style="230" customWidth="1"/>
    <col min="2594" max="2594" width="5.125" style="230" customWidth="1"/>
    <col min="2595" max="2816" width="9" style="230"/>
    <col min="2817" max="2817" width="1" style="230" customWidth="1"/>
    <col min="2818" max="2818" width="5.625" style="230" customWidth="1"/>
    <col min="2819" max="2819" width="6.875" style="230" customWidth="1"/>
    <col min="2820" max="2820" width="13.75" style="230" customWidth="1"/>
    <col min="2821" max="2821" width="2.5" style="230" customWidth="1"/>
    <col min="2822" max="2822" width="8.75" style="230" customWidth="1"/>
    <col min="2823" max="2823" width="5.75" style="230" customWidth="1"/>
    <col min="2824" max="2824" width="12.5" style="230" customWidth="1"/>
    <col min="2825" max="2825" width="5.75" style="230" customWidth="1"/>
    <col min="2826" max="2826" width="12.5" style="230" customWidth="1"/>
    <col min="2827" max="2827" width="2.5" style="230" customWidth="1"/>
    <col min="2828" max="2828" width="8.75" style="230" customWidth="1"/>
    <col min="2829" max="2829" width="2.5" style="230" customWidth="1"/>
    <col min="2830" max="2830" width="8.75" style="230" customWidth="1"/>
    <col min="2831" max="2831" width="2.5" style="230" customWidth="1"/>
    <col min="2832" max="2832" width="8.75" style="230" customWidth="1"/>
    <col min="2833" max="2833" width="3.75" style="230" customWidth="1"/>
    <col min="2834" max="2834" width="15" style="230" bestFit="1" customWidth="1"/>
    <col min="2835" max="2835" width="5.75" style="230" customWidth="1"/>
    <col min="2836" max="2836" width="9" style="230" customWidth="1"/>
    <col min="2837" max="2837" width="5.75" style="230" customWidth="1"/>
    <col min="2838" max="2838" width="10.5" style="230" customWidth="1"/>
    <col min="2839" max="2839" width="3.375" style="230" customWidth="1"/>
    <col min="2840" max="2840" width="10.375" style="230" customWidth="1"/>
    <col min="2841" max="2841" width="12.25" style="230" customWidth="1"/>
    <col min="2842" max="2842" width="9.375" style="230" customWidth="1"/>
    <col min="2843" max="2843" width="10.25" style="230" customWidth="1"/>
    <col min="2844" max="2844" width="14.375" style="230" customWidth="1"/>
    <col min="2845" max="2846" width="9.375" style="230" customWidth="1"/>
    <col min="2847" max="2847" width="14.875" style="230" customWidth="1"/>
    <col min="2848" max="2848" width="9.375" style="230" customWidth="1"/>
    <col min="2849" max="2849" width="13.125" style="230" customWidth="1"/>
    <col min="2850" max="2850" width="5.125" style="230" customWidth="1"/>
    <col min="2851" max="3072" width="9" style="230"/>
    <col min="3073" max="3073" width="1" style="230" customWidth="1"/>
    <col min="3074" max="3074" width="5.625" style="230" customWidth="1"/>
    <col min="3075" max="3075" width="6.875" style="230" customWidth="1"/>
    <col min="3076" max="3076" width="13.75" style="230" customWidth="1"/>
    <col min="3077" max="3077" width="2.5" style="230" customWidth="1"/>
    <col min="3078" max="3078" width="8.75" style="230" customWidth="1"/>
    <col min="3079" max="3079" width="5.75" style="230" customWidth="1"/>
    <col min="3080" max="3080" width="12.5" style="230" customWidth="1"/>
    <col min="3081" max="3081" width="5.75" style="230" customWidth="1"/>
    <col min="3082" max="3082" width="12.5" style="230" customWidth="1"/>
    <col min="3083" max="3083" width="2.5" style="230" customWidth="1"/>
    <col min="3084" max="3084" width="8.75" style="230" customWidth="1"/>
    <col min="3085" max="3085" width="2.5" style="230" customWidth="1"/>
    <col min="3086" max="3086" width="8.75" style="230" customWidth="1"/>
    <col min="3087" max="3087" width="2.5" style="230" customWidth="1"/>
    <col min="3088" max="3088" width="8.75" style="230" customWidth="1"/>
    <col min="3089" max="3089" width="3.75" style="230" customWidth="1"/>
    <col min="3090" max="3090" width="15" style="230" bestFit="1" customWidth="1"/>
    <col min="3091" max="3091" width="5.75" style="230" customWidth="1"/>
    <col min="3092" max="3092" width="9" style="230" customWidth="1"/>
    <col min="3093" max="3093" width="5.75" style="230" customWidth="1"/>
    <col min="3094" max="3094" width="10.5" style="230" customWidth="1"/>
    <col min="3095" max="3095" width="3.375" style="230" customWidth="1"/>
    <col min="3096" max="3096" width="10.375" style="230" customWidth="1"/>
    <col min="3097" max="3097" width="12.25" style="230" customWidth="1"/>
    <col min="3098" max="3098" width="9.375" style="230" customWidth="1"/>
    <col min="3099" max="3099" width="10.25" style="230" customWidth="1"/>
    <col min="3100" max="3100" width="14.375" style="230" customWidth="1"/>
    <col min="3101" max="3102" width="9.375" style="230" customWidth="1"/>
    <col min="3103" max="3103" width="14.875" style="230" customWidth="1"/>
    <col min="3104" max="3104" width="9.375" style="230" customWidth="1"/>
    <col min="3105" max="3105" width="13.125" style="230" customWidth="1"/>
    <col min="3106" max="3106" width="5.125" style="230" customWidth="1"/>
    <col min="3107" max="3328" width="9" style="230"/>
    <col min="3329" max="3329" width="1" style="230" customWidth="1"/>
    <col min="3330" max="3330" width="5.625" style="230" customWidth="1"/>
    <col min="3331" max="3331" width="6.875" style="230" customWidth="1"/>
    <col min="3332" max="3332" width="13.75" style="230" customWidth="1"/>
    <col min="3333" max="3333" width="2.5" style="230" customWidth="1"/>
    <col min="3334" max="3334" width="8.75" style="230" customWidth="1"/>
    <col min="3335" max="3335" width="5.75" style="230" customWidth="1"/>
    <col min="3336" max="3336" width="12.5" style="230" customWidth="1"/>
    <col min="3337" max="3337" width="5.75" style="230" customWidth="1"/>
    <col min="3338" max="3338" width="12.5" style="230" customWidth="1"/>
    <col min="3339" max="3339" width="2.5" style="230" customWidth="1"/>
    <col min="3340" max="3340" width="8.75" style="230" customWidth="1"/>
    <col min="3341" max="3341" width="2.5" style="230" customWidth="1"/>
    <col min="3342" max="3342" width="8.75" style="230" customWidth="1"/>
    <col min="3343" max="3343" width="2.5" style="230" customWidth="1"/>
    <col min="3344" max="3344" width="8.75" style="230" customWidth="1"/>
    <col min="3345" max="3345" width="3.75" style="230" customWidth="1"/>
    <col min="3346" max="3346" width="15" style="230" bestFit="1" customWidth="1"/>
    <col min="3347" max="3347" width="5.75" style="230" customWidth="1"/>
    <col min="3348" max="3348" width="9" style="230" customWidth="1"/>
    <col min="3349" max="3349" width="5.75" style="230" customWidth="1"/>
    <col min="3350" max="3350" width="10.5" style="230" customWidth="1"/>
    <col min="3351" max="3351" width="3.375" style="230" customWidth="1"/>
    <col min="3352" max="3352" width="10.375" style="230" customWidth="1"/>
    <col min="3353" max="3353" width="12.25" style="230" customWidth="1"/>
    <col min="3354" max="3354" width="9.375" style="230" customWidth="1"/>
    <col min="3355" max="3355" width="10.25" style="230" customWidth="1"/>
    <col min="3356" max="3356" width="14.375" style="230" customWidth="1"/>
    <col min="3357" max="3358" width="9.375" style="230" customWidth="1"/>
    <col min="3359" max="3359" width="14.875" style="230" customWidth="1"/>
    <col min="3360" max="3360" width="9.375" style="230" customWidth="1"/>
    <col min="3361" max="3361" width="13.125" style="230" customWidth="1"/>
    <col min="3362" max="3362" width="5.125" style="230" customWidth="1"/>
    <col min="3363" max="3584" width="9" style="230"/>
    <col min="3585" max="3585" width="1" style="230" customWidth="1"/>
    <col min="3586" max="3586" width="5.625" style="230" customWidth="1"/>
    <col min="3587" max="3587" width="6.875" style="230" customWidth="1"/>
    <col min="3588" max="3588" width="13.75" style="230" customWidth="1"/>
    <col min="3589" max="3589" width="2.5" style="230" customWidth="1"/>
    <col min="3590" max="3590" width="8.75" style="230" customWidth="1"/>
    <col min="3591" max="3591" width="5.75" style="230" customWidth="1"/>
    <col min="3592" max="3592" width="12.5" style="230" customWidth="1"/>
    <col min="3593" max="3593" width="5.75" style="230" customWidth="1"/>
    <col min="3594" max="3594" width="12.5" style="230" customWidth="1"/>
    <col min="3595" max="3595" width="2.5" style="230" customWidth="1"/>
    <col min="3596" max="3596" width="8.75" style="230" customWidth="1"/>
    <col min="3597" max="3597" width="2.5" style="230" customWidth="1"/>
    <col min="3598" max="3598" width="8.75" style="230" customWidth="1"/>
    <col min="3599" max="3599" width="2.5" style="230" customWidth="1"/>
    <col min="3600" max="3600" width="8.75" style="230" customWidth="1"/>
    <col min="3601" max="3601" width="3.75" style="230" customWidth="1"/>
    <col min="3602" max="3602" width="15" style="230" bestFit="1" customWidth="1"/>
    <col min="3603" max="3603" width="5.75" style="230" customWidth="1"/>
    <col min="3604" max="3604" width="9" style="230" customWidth="1"/>
    <col min="3605" max="3605" width="5.75" style="230" customWidth="1"/>
    <col min="3606" max="3606" width="10.5" style="230" customWidth="1"/>
    <col min="3607" max="3607" width="3.375" style="230" customWidth="1"/>
    <col min="3608" max="3608" width="10.375" style="230" customWidth="1"/>
    <col min="3609" max="3609" width="12.25" style="230" customWidth="1"/>
    <col min="3610" max="3610" width="9.375" style="230" customWidth="1"/>
    <col min="3611" max="3611" width="10.25" style="230" customWidth="1"/>
    <col min="3612" max="3612" width="14.375" style="230" customWidth="1"/>
    <col min="3613" max="3614" width="9.375" style="230" customWidth="1"/>
    <col min="3615" max="3615" width="14.875" style="230" customWidth="1"/>
    <col min="3616" max="3616" width="9.375" style="230" customWidth="1"/>
    <col min="3617" max="3617" width="13.125" style="230" customWidth="1"/>
    <col min="3618" max="3618" width="5.125" style="230" customWidth="1"/>
    <col min="3619" max="3840" width="9" style="230"/>
    <col min="3841" max="3841" width="1" style="230" customWidth="1"/>
    <col min="3842" max="3842" width="5.625" style="230" customWidth="1"/>
    <col min="3843" max="3843" width="6.875" style="230" customWidth="1"/>
    <col min="3844" max="3844" width="13.75" style="230" customWidth="1"/>
    <col min="3845" max="3845" width="2.5" style="230" customWidth="1"/>
    <col min="3846" max="3846" width="8.75" style="230" customWidth="1"/>
    <col min="3847" max="3847" width="5.75" style="230" customWidth="1"/>
    <col min="3848" max="3848" width="12.5" style="230" customWidth="1"/>
    <col min="3849" max="3849" width="5.75" style="230" customWidth="1"/>
    <col min="3850" max="3850" width="12.5" style="230" customWidth="1"/>
    <col min="3851" max="3851" width="2.5" style="230" customWidth="1"/>
    <col min="3852" max="3852" width="8.75" style="230" customWidth="1"/>
    <col min="3853" max="3853" width="2.5" style="230" customWidth="1"/>
    <col min="3854" max="3854" width="8.75" style="230" customWidth="1"/>
    <col min="3855" max="3855" width="2.5" style="230" customWidth="1"/>
    <col min="3856" max="3856" width="8.75" style="230" customWidth="1"/>
    <col min="3857" max="3857" width="3.75" style="230" customWidth="1"/>
    <col min="3858" max="3858" width="15" style="230" bestFit="1" customWidth="1"/>
    <col min="3859" max="3859" width="5.75" style="230" customWidth="1"/>
    <col min="3860" max="3860" width="9" style="230" customWidth="1"/>
    <col min="3861" max="3861" width="5.75" style="230" customWidth="1"/>
    <col min="3862" max="3862" width="10.5" style="230" customWidth="1"/>
    <col min="3863" max="3863" width="3.375" style="230" customWidth="1"/>
    <col min="3864" max="3864" width="10.375" style="230" customWidth="1"/>
    <col min="3865" max="3865" width="12.25" style="230" customWidth="1"/>
    <col min="3866" max="3866" width="9.375" style="230" customWidth="1"/>
    <col min="3867" max="3867" width="10.25" style="230" customWidth="1"/>
    <col min="3868" max="3868" width="14.375" style="230" customWidth="1"/>
    <col min="3869" max="3870" width="9.375" style="230" customWidth="1"/>
    <col min="3871" max="3871" width="14.875" style="230" customWidth="1"/>
    <col min="3872" max="3872" width="9.375" style="230" customWidth="1"/>
    <col min="3873" max="3873" width="13.125" style="230" customWidth="1"/>
    <col min="3874" max="3874" width="5.125" style="230" customWidth="1"/>
    <col min="3875" max="4096" width="9" style="230"/>
    <col min="4097" max="4097" width="1" style="230" customWidth="1"/>
    <col min="4098" max="4098" width="5.625" style="230" customWidth="1"/>
    <col min="4099" max="4099" width="6.875" style="230" customWidth="1"/>
    <col min="4100" max="4100" width="13.75" style="230" customWidth="1"/>
    <col min="4101" max="4101" width="2.5" style="230" customWidth="1"/>
    <col min="4102" max="4102" width="8.75" style="230" customWidth="1"/>
    <col min="4103" max="4103" width="5.75" style="230" customWidth="1"/>
    <col min="4104" max="4104" width="12.5" style="230" customWidth="1"/>
    <col min="4105" max="4105" width="5.75" style="230" customWidth="1"/>
    <col min="4106" max="4106" width="12.5" style="230" customWidth="1"/>
    <col min="4107" max="4107" width="2.5" style="230" customWidth="1"/>
    <col min="4108" max="4108" width="8.75" style="230" customWidth="1"/>
    <col min="4109" max="4109" width="2.5" style="230" customWidth="1"/>
    <col min="4110" max="4110" width="8.75" style="230" customWidth="1"/>
    <col min="4111" max="4111" width="2.5" style="230" customWidth="1"/>
    <col min="4112" max="4112" width="8.75" style="230" customWidth="1"/>
    <col min="4113" max="4113" width="3.75" style="230" customWidth="1"/>
    <col min="4114" max="4114" width="15" style="230" bestFit="1" customWidth="1"/>
    <col min="4115" max="4115" width="5.75" style="230" customWidth="1"/>
    <col min="4116" max="4116" width="9" style="230" customWidth="1"/>
    <col min="4117" max="4117" width="5.75" style="230" customWidth="1"/>
    <col min="4118" max="4118" width="10.5" style="230" customWidth="1"/>
    <col min="4119" max="4119" width="3.375" style="230" customWidth="1"/>
    <col min="4120" max="4120" width="10.375" style="230" customWidth="1"/>
    <col min="4121" max="4121" width="12.25" style="230" customWidth="1"/>
    <col min="4122" max="4122" width="9.375" style="230" customWidth="1"/>
    <col min="4123" max="4123" width="10.25" style="230" customWidth="1"/>
    <col min="4124" max="4124" width="14.375" style="230" customWidth="1"/>
    <col min="4125" max="4126" width="9.375" style="230" customWidth="1"/>
    <col min="4127" max="4127" width="14.875" style="230" customWidth="1"/>
    <col min="4128" max="4128" width="9.375" style="230" customWidth="1"/>
    <col min="4129" max="4129" width="13.125" style="230" customWidth="1"/>
    <col min="4130" max="4130" width="5.125" style="230" customWidth="1"/>
    <col min="4131" max="4352" width="9" style="230"/>
    <col min="4353" max="4353" width="1" style="230" customWidth="1"/>
    <col min="4354" max="4354" width="5.625" style="230" customWidth="1"/>
    <col min="4355" max="4355" width="6.875" style="230" customWidth="1"/>
    <col min="4356" max="4356" width="13.75" style="230" customWidth="1"/>
    <col min="4357" max="4357" width="2.5" style="230" customWidth="1"/>
    <col min="4358" max="4358" width="8.75" style="230" customWidth="1"/>
    <col min="4359" max="4359" width="5.75" style="230" customWidth="1"/>
    <col min="4360" max="4360" width="12.5" style="230" customWidth="1"/>
    <col min="4361" max="4361" width="5.75" style="230" customWidth="1"/>
    <col min="4362" max="4362" width="12.5" style="230" customWidth="1"/>
    <col min="4363" max="4363" width="2.5" style="230" customWidth="1"/>
    <col min="4364" max="4364" width="8.75" style="230" customWidth="1"/>
    <col min="4365" max="4365" width="2.5" style="230" customWidth="1"/>
    <col min="4366" max="4366" width="8.75" style="230" customWidth="1"/>
    <col min="4367" max="4367" width="2.5" style="230" customWidth="1"/>
    <col min="4368" max="4368" width="8.75" style="230" customWidth="1"/>
    <col min="4369" max="4369" width="3.75" style="230" customWidth="1"/>
    <col min="4370" max="4370" width="15" style="230" bestFit="1" customWidth="1"/>
    <col min="4371" max="4371" width="5.75" style="230" customWidth="1"/>
    <col min="4372" max="4372" width="9" style="230" customWidth="1"/>
    <col min="4373" max="4373" width="5.75" style="230" customWidth="1"/>
    <col min="4374" max="4374" width="10.5" style="230" customWidth="1"/>
    <col min="4375" max="4375" width="3.375" style="230" customWidth="1"/>
    <col min="4376" max="4376" width="10.375" style="230" customWidth="1"/>
    <col min="4377" max="4377" width="12.25" style="230" customWidth="1"/>
    <col min="4378" max="4378" width="9.375" style="230" customWidth="1"/>
    <col min="4379" max="4379" width="10.25" style="230" customWidth="1"/>
    <col min="4380" max="4380" width="14.375" style="230" customWidth="1"/>
    <col min="4381" max="4382" width="9.375" style="230" customWidth="1"/>
    <col min="4383" max="4383" width="14.875" style="230" customWidth="1"/>
    <col min="4384" max="4384" width="9.375" style="230" customWidth="1"/>
    <col min="4385" max="4385" width="13.125" style="230" customWidth="1"/>
    <col min="4386" max="4386" width="5.125" style="230" customWidth="1"/>
    <col min="4387" max="4608" width="9" style="230"/>
    <col min="4609" max="4609" width="1" style="230" customWidth="1"/>
    <col min="4610" max="4610" width="5.625" style="230" customWidth="1"/>
    <col min="4611" max="4611" width="6.875" style="230" customWidth="1"/>
    <col min="4612" max="4612" width="13.75" style="230" customWidth="1"/>
    <col min="4613" max="4613" width="2.5" style="230" customWidth="1"/>
    <col min="4614" max="4614" width="8.75" style="230" customWidth="1"/>
    <col min="4615" max="4615" width="5.75" style="230" customWidth="1"/>
    <col min="4616" max="4616" width="12.5" style="230" customWidth="1"/>
    <col min="4617" max="4617" width="5.75" style="230" customWidth="1"/>
    <col min="4618" max="4618" width="12.5" style="230" customWidth="1"/>
    <col min="4619" max="4619" width="2.5" style="230" customWidth="1"/>
    <col min="4620" max="4620" width="8.75" style="230" customWidth="1"/>
    <col min="4621" max="4621" width="2.5" style="230" customWidth="1"/>
    <col min="4622" max="4622" width="8.75" style="230" customWidth="1"/>
    <col min="4623" max="4623" width="2.5" style="230" customWidth="1"/>
    <col min="4624" max="4624" width="8.75" style="230" customWidth="1"/>
    <col min="4625" max="4625" width="3.75" style="230" customWidth="1"/>
    <col min="4626" max="4626" width="15" style="230" bestFit="1" customWidth="1"/>
    <col min="4627" max="4627" width="5.75" style="230" customWidth="1"/>
    <col min="4628" max="4628" width="9" style="230" customWidth="1"/>
    <col min="4629" max="4629" width="5.75" style="230" customWidth="1"/>
    <col min="4630" max="4630" width="10.5" style="230" customWidth="1"/>
    <col min="4631" max="4631" width="3.375" style="230" customWidth="1"/>
    <col min="4632" max="4632" width="10.375" style="230" customWidth="1"/>
    <col min="4633" max="4633" width="12.25" style="230" customWidth="1"/>
    <col min="4634" max="4634" width="9.375" style="230" customWidth="1"/>
    <col min="4635" max="4635" width="10.25" style="230" customWidth="1"/>
    <col min="4636" max="4636" width="14.375" style="230" customWidth="1"/>
    <col min="4637" max="4638" width="9.375" style="230" customWidth="1"/>
    <col min="4639" max="4639" width="14.875" style="230" customWidth="1"/>
    <col min="4640" max="4640" width="9.375" style="230" customWidth="1"/>
    <col min="4641" max="4641" width="13.125" style="230" customWidth="1"/>
    <col min="4642" max="4642" width="5.125" style="230" customWidth="1"/>
    <col min="4643" max="4864" width="9" style="230"/>
    <col min="4865" max="4865" width="1" style="230" customWidth="1"/>
    <col min="4866" max="4866" width="5.625" style="230" customWidth="1"/>
    <col min="4867" max="4867" width="6.875" style="230" customWidth="1"/>
    <col min="4868" max="4868" width="13.75" style="230" customWidth="1"/>
    <col min="4869" max="4869" width="2.5" style="230" customWidth="1"/>
    <col min="4870" max="4870" width="8.75" style="230" customWidth="1"/>
    <col min="4871" max="4871" width="5.75" style="230" customWidth="1"/>
    <col min="4872" max="4872" width="12.5" style="230" customWidth="1"/>
    <col min="4873" max="4873" width="5.75" style="230" customWidth="1"/>
    <col min="4874" max="4874" width="12.5" style="230" customWidth="1"/>
    <col min="4875" max="4875" width="2.5" style="230" customWidth="1"/>
    <col min="4876" max="4876" width="8.75" style="230" customWidth="1"/>
    <col min="4877" max="4877" width="2.5" style="230" customWidth="1"/>
    <col min="4878" max="4878" width="8.75" style="230" customWidth="1"/>
    <col min="4879" max="4879" width="2.5" style="230" customWidth="1"/>
    <col min="4880" max="4880" width="8.75" style="230" customWidth="1"/>
    <col min="4881" max="4881" width="3.75" style="230" customWidth="1"/>
    <col min="4882" max="4882" width="15" style="230" bestFit="1" customWidth="1"/>
    <col min="4883" max="4883" width="5.75" style="230" customWidth="1"/>
    <col min="4884" max="4884" width="9" style="230" customWidth="1"/>
    <col min="4885" max="4885" width="5.75" style="230" customWidth="1"/>
    <col min="4886" max="4886" width="10.5" style="230" customWidth="1"/>
    <col min="4887" max="4887" width="3.375" style="230" customWidth="1"/>
    <col min="4888" max="4888" width="10.375" style="230" customWidth="1"/>
    <col min="4889" max="4889" width="12.25" style="230" customWidth="1"/>
    <col min="4890" max="4890" width="9.375" style="230" customWidth="1"/>
    <col min="4891" max="4891" width="10.25" style="230" customWidth="1"/>
    <col min="4892" max="4892" width="14.375" style="230" customWidth="1"/>
    <col min="4893" max="4894" width="9.375" style="230" customWidth="1"/>
    <col min="4895" max="4895" width="14.875" style="230" customWidth="1"/>
    <col min="4896" max="4896" width="9.375" style="230" customWidth="1"/>
    <col min="4897" max="4897" width="13.125" style="230" customWidth="1"/>
    <col min="4898" max="4898" width="5.125" style="230" customWidth="1"/>
    <col min="4899" max="5120" width="9" style="230"/>
    <col min="5121" max="5121" width="1" style="230" customWidth="1"/>
    <col min="5122" max="5122" width="5.625" style="230" customWidth="1"/>
    <col min="5123" max="5123" width="6.875" style="230" customWidth="1"/>
    <col min="5124" max="5124" width="13.75" style="230" customWidth="1"/>
    <col min="5125" max="5125" width="2.5" style="230" customWidth="1"/>
    <col min="5126" max="5126" width="8.75" style="230" customWidth="1"/>
    <col min="5127" max="5127" width="5.75" style="230" customWidth="1"/>
    <col min="5128" max="5128" width="12.5" style="230" customWidth="1"/>
    <col min="5129" max="5129" width="5.75" style="230" customWidth="1"/>
    <col min="5130" max="5130" width="12.5" style="230" customWidth="1"/>
    <col min="5131" max="5131" width="2.5" style="230" customWidth="1"/>
    <col min="5132" max="5132" width="8.75" style="230" customWidth="1"/>
    <col min="5133" max="5133" width="2.5" style="230" customWidth="1"/>
    <col min="5134" max="5134" width="8.75" style="230" customWidth="1"/>
    <col min="5135" max="5135" width="2.5" style="230" customWidth="1"/>
    <col min="5136" max="5136" width="8.75" style="230" customWidth="1"/>
    <col min="5137" max="5137" width="3.75" style="230" customWidth="1"/>
    <col min="5138" max="5138" width="15" style="230" bestFit="1" customWidth="1"/>
    <col min="5139" max="5139" width="5.75" style="230" customWidth="1"/>
    <col min="5140" max="5140" width="9" style="230" customWidth="1"/>
    <col min="5141" max="5141" width="5.75" style="230" customWidth="1"/>
    <col min="5142" max="5142" width="10.5" style="230" customWidth="1"/>
    <col min="5143" max="5143" width="3.375" style="230" customWidth="1"/>
    <col min="5144" max="5144" width="10.375" style="230" customWidth="1"/>
    <col min="5145" max="5145" width="12.25" style="230" customWidth="1"/>
    <col min="5146" max="5146" width="9.375" style="230" customWidth="1"/>
    <col min="5147" max="5147" width="10.25" style="230" customWidth="1"/>
    <col min="5148" max="5148" width="14.375" style="230" customWidth="1"/>
    <col min="5149" max="5150" width="9.375" style="230" customWidth="1"/>
    <col min="5151" max="5151" width="14.875" style="230" customWidth="1"/>
    <col min="5152" max="5152" width="9.375" style="230" customWidth="1"/>
    <col min="5153" max="5153" width="13.125" style="230" customWidth="1"/>
    <col min="5154" max="5154" width="5.125" style="230" customWidth="1"/>
    <col min="5155" max="5376" width="9" style="230"/>
    <col min="5377" max="5377" width="1" style="230" customWidth="1"/>
    <col min="5378" max="5378" width="5.625" style="230" customWidth="1"/>
    <col min="5379" max="5379" width="6.875" style="230" customWidth="1"/>
    <col min="5380" max="5380" width="13.75" style="230" customWidth="1"/>
    <col min="5381" max="5381" width="2.5" style="230" customWidth="1"/>
    <col min="5382" max="5382" width="8.75" style="230" customWidth="1"/>
    <col min="5383" max="5383" width="5.75" style="230" customWidth="1"/>
    <col min="5384" max="5384" width="12.5" style="230" customWidth="1"/>
    <col min="5385" max="5385" width="5.75" style="230" customWidth="1"/>
    <col min="5386" max="5386" width="12.5" style="230" customWidth="1"/>
    <col min="5387" max="5387" width="2.5" style="230" customWidth="1"/>
    <col min="5388" max="5388" width="8.75" style="230" customWidth="1"/>
    <col min="5389" max="5389" width="2.5" style="230" customWidth="1"/>
    <col min="5390" max="5390" width="8.75" style="230" customWidth="1"/>
    <col min="5391" max="5391" width="2.5" style="230" customWidth="1"/>
    <col min="5392" max="5392" width="8.75" style="230" customWidth="1"/>
    <col min="5393" max="5393" width="3.75" style="230" customWidth="1"/>
    <col min="5394" max="5394" width="15" style="230" bestFit="1" customWidth="1"/>
    <col min="5395" max="5395" width="5.75" style="230" customWidth="1"/>
    <col min="5396" max="5396" width="9" style="230" customWidth="1"/>
    <col min="5397" max="5397" width="5.75" style="230" customWidth="1"/>
    <col min="5398" max="5398" width="10.5" style="230" customWidth="1"/>
    <col min="5399" max="5399" width="3.375" style="230" customWidth="1"/>
    <col min="5400" max="5400" width="10.375" style="230" customWidth="1"/>
    <col min="5401" max="5401" width="12.25" style="230" customWidth="1"/>
    <col min="5402" max="5402" width="9.375" style="230" customWidth="1"/>
    <col min="5403" max="5403" width="10.25" style="230" customWidth="1"/>
    <col min="5404" max="5404" width="14.375" style="230" customWidth="1"/>
    <col min="5405" max="5406" width="9.375" style="230" customWidth="1"/>
    <col min="5407" max="5407" width="14.875" style="230" customWidth="1"/>
    <col min="5408" max="5408" width="9.375" style="230" customWidth="1"/>
    <col min="5409" max="5409" width="13.125" style="230" customWidth="1"/>
    <col min="5410" max="5410" width="5.125" style="230" customWidth="1"/>
    <col min="5411" max="5632" width="9" style="230"/>
    <col min="5633" max="5633" width="1" style="230" customWidth="1"/>
    <col min="5634" max="5634" width="5.625" style="230" customWidth="1"/>
    <col min="5635" max="5635" width="6.875" style="230" customWidth="1"/>
    <col min="5636" max="5636" width="13.75" style="230" customWidth="1"/>
    <col min="5637" max="5637" width="2.5" style="230" customWidth="1"/>
    <col min="5638" max="5638" width="8.75" style="230" customWidth="1"/>
    <col min="5639" max="5639" width="5.75" style="230" customWidth="1"/>
    <col min="5640" max="5640" width="12.5" style="230" customWidth="1"/>
    <col min="5641" max="5641" width="5.75" style="230" customWidth="1"/>
    <col min="5642" max="5642" width="12.5" style="230" customWidth="1"/>
    <col min="5643" max="5643" width="2.5" style="230" customWidth="1"/>
    <col min="5644" max="5644" width="8.75" style="230" customWidth="1"/>
    <col min="5645" max="5645" width="2.5" style="230" customWidth="1"/>
    <col min="5646" max="5646" width="8.75" style="230" customWidth="1"/>
    <col min="5647" max="5647" width="2.5" style="230" customWidth="1"/>
    <col min="5648" max="5648" width="8.75" style="230" customWidth="1"/>
    <col min="5649" max="5649" width="3.75" style="230" customWidth="1"/>
    <col min="5650" max="5650" width="15" style="230" bestFit="1" customWidth="1"/>
    <col min="5651" max="5651" width="5.75" style="230" customWidth="1"/>
    <col min="5652" max="5652" width="9" style="230" customWidth="1"/>
    <col min="5653" max="5653" width="5.75" style="230" customWidth="1"/>
    <col min="5654" max="5654" width="10.5" style="230" customWidth="1"/>
    <col min="5655" max="5655" width="3.375" style="230" customWidth="1"/>
    <col min="5656" max="5656" width="10.375" style="230" customWidth="1"/>
    <col min="5657" max="5657" width="12.25" style="230" customWidth="1"/>
    <col min="5658" max="5658" width="9.375" style="230" customWidth="1"/>
    <col min="5659" max="5659" width="10.25" style="230" customWidth="1"/>
    <col min="5660" max="5660" width="14.375" style="230" customWidth="1"/>
    <col min="5661" max="5662" width="9.375" style="230" customWidth="1"/>
    <col min="5663" max="5663" width="14.875" style="230" customWidth="1"/>
    <col min="5664" max="5664" width="9.375" style="230" customWidth="1"/>
    <col min="5665" max="5665" width="13.125" style="230" customWidth="1"/>
    <col min="5666" max="5666" width="5.125" style="230" customWidth="1"/>
    <col min="5667" max="5888" width="9" style="230"/>
    <col min="5889" max="5889" width="1" style="230" customWidth="1"/>
    <col min="5890" max="5890" width="5.625" style="230" customWidth="1"/>
    <col min="5891" max="5891" width="6.875" style="230" customWidth="1"/>
    <col min="5892" max="5892" width="13.75" style="230" customWidth="1"/>
    <col min="5893" max="5893" width="2.5" style="230" customWidth="1"/>
    <col min="5894" max="5894" width="8.75" style="230" customWidth="1"/>
    <col min="5895" max="5895" width="5.75" style="230" customWidth="1"/>
    <col min="5896" max="5896" width="12.5" style="230" customWidth="1"/>
    <col min="5897" max="5897" width="5.75" style="230" customWidth="1"/>
    <col min="5898" max="5898" width="12.5" style="230" customWidth="1"/>
    <col min="5899" max="5899" width="2.5" style="230" customWidth="1"/>
    <col min="5900" max="5900" width="8.75" style="230" customWidth="1"/>
    <col min="5901" max="5901" width="2.5" style="230" customWidth="1"/>
    <col min="5902" max="5902" width="8.75" style="230" customWidth="1"/>
    <col min="5903" max="5903" width="2.5" style="230" customWidth="1"/>
    <col min="5904" max="5904" width="8.75" style="230" customWidth="1"/>
    <col min="5905" max="5905" width="3.75" style="230" customWidth="1"/>
    <col min="5906" max="5906" width="15" style="230" bestFit="1" customWidth="1"/>
    <col min="5907" max="5907" width="5.75" style="230" customWidth="1"/>
    <col min="5908" max="5908" width="9" style="230" customWidth="1"/>
    <col min="5909" max="5909" width="5.75" style="230" customWidth="1"/>
    <col min="5910" max="5910" width="10.5" style="230" customWidth="1"/>
    <col min="5911" max="5911" width="3.375" style="230" customWidth="1"/>
    <col min="5912" max="5912" width="10.375" style="230" customWidth="1"/>
    <col min="5913" max="5913" width="12.25" style="230" customWidth="1"/>
    <col min="5914" max="5914" width="9.375" style="230" customWidth="1"/>
    <col min="5915" max="5915" width="10.25" style="230" customWidth="1"/>
    <col min="5916" max="5916" width="14.375" style="230" customWidth="1"/>
    <col min="5917" max="5918" width="9.375" style="230" customWidth="1"/>
    <col min="5919" max="5919" width="14.875" style="230" customWidth="1"/>
    <col min="5920" max="5920" width="9.375" style="230" customWidth="1"/>
    <col min="5921" max="5921" width="13.125" style="230" customWidth="1"/>
    <col min="5922" max="5922" width="5.125" style="230" customWidth="1"/>
    <col min="5923" max="6144" width="9" style="230"/>
    <col min="6145" max="6145" width="1" style="230" customWidth="1"/>
    <col min="6146" max="6146" width="5.625" style="230" customWidth="1"/>
    <col min="6147" max="6147" width="6.875" style="230" customWidth="1"/>
    <col min="6148" max="6148" width="13.75" style="230" customWidth="1"/>
    <col min="6149" max="6149" width="2.5" style="230" customWidth="1"/>
    <col min="6150" max="6150" width="8.75" style="230" customWidth="1"/>
    <col min="6151" max="6151" width="5.75" style="230" customWidth="1"/>
    <col min="6152" max="6152" width="12.5" style="230" customWidth="1"/>
    <col min="6153" max="6153" width="5.75" style="230" customWidth="1"/>
    <col min="6154" max="6154" width="12.5" style="230" customWidth="1"/>
    <col min="6155" max="6155" width="2.5" style="230" customWidth="1"/>
    <col min="6156" max="6156" width="8.75" style="230" customWidth="1"/>
    <col min="6157" max="6157" width="2.5" style="230" customWidth="1"/>
    <col min="6158" max="6158" width="8.75" style="230" customWidth="1"/>
    <col min="6159" max="6159" width="2.5" style="230" customWidth="1"/>
    <col min="6160" max="6160" width="8.75" style="230" customWidth="1"/>
    <col min="6161" max="6161" width="3.75" style="230" customWidth="1"/>
    <col min="6162" max="6162" width="15" style="230" bestFit="1" customWidth="1"/>
    <col min="6163" max="6163" width="5.75" style="230" customWidth="1"/>
    <col min="6164" max="6164" width="9" style="230" customWidth="1"/>
    <col min="6165" max="6165" width="5.75" style="230" customWidth="1"/>
    <col min="6166" max="6166" width="10.5" style="230" customWidth="1"/>
    <col min="6167" max="6167" width="3.375" style="230" customWidth="1"/>
    <col min="6168" max="6168" width="10.375" style="230" customWidth="1"/>
    <col min="6169" max="6169" width="12.25" style="230" customWidth="1"/>
    <col min="6170" max="6170" width="9.375" style="230" customWidth="1"/>
    <col min="6171" max="6171" width="10.25" style="230" customWidth="1"/>
    <col min="6172" max="6172" width="14.375" style="230" customWidth="1"/>
    <col min="6173" max="6174" width="9.375" style="230" customWidth="1"/>
    <col min="6175" max="6175" width="14.875" style="230" customWidth="1"/>
    <col min="6176" max="6176" width="9.375" style="230" customWidth="1"/>
    <col min="6177" max="6177" width="13.125" style="230" customWidth="1"/>
    <col min="6178" max="6178" width="5.125" style="230" customWidth="1"/>
    <col min="6179" max="6400" width="9" style="230"/>
    <col min="6401" max="6401" width="1" style="230" customWidth="1"/>
    <col min="6402" max="6402" width="5.625" style="230" customWidth="1"/>
    <col min="6403" max="6403" width="6.875" style="230" customWidth="1"/>
    <col min="6404" max="6404" width="13.75" style="230" customWidth="1"/>
    <col min="6405" max="6405" width="2.5" style="230" customWidth="1"/>
    <col min="6406" max="6406" width="8.75" style="230" customWidth="1"/>
    <col min="6407" max="6407" width="5.75" style="230" customWidth="1"/>
    <col min="6408" max="6408" width="12.5" style="230" customWidth="1"/>
    <col min="6409" max="6409" width="5.75" style="230" customWidth="1"/>
    <col min="6410" max="6410" width="12.5" style="230" customWidth="1"/>
    <col min="6411" max="6411" width="2.5" style="230" customWidth="1"/>
    <col min="6412" max="6412" width="8.75" style="230" customWidth="1"/>
    <col min="6413" max="6413" width="2.5" style="230" customWidth="1"/>
    <col min="6414" max="6414" width="8.75" style="230" customWidth="1"/>
    <col min="6415" max="6415" width="2.5" style="230" customWidth="1"/>
    <col min="6416" max="6416" width="8.75" style="230" customWidth="1"/>
    <col min="6417" max="6417" width="3.75" style="230" customWidth="1"/>
    <col min="6418" max="6418" width="15" style="230" bestFit="1" customWidth="1"/>
    <col min="6419" max="6419" width="5.75" style="230" customWidth="1"/>
    <col min="6420" max="6420" width="9" style="230" customWidth="1"/>
    <col min="6421" max="6421" width="5.75" style="230" customWidth="1"/>
    <col min="6422" max="6422" width="10.5" style="230" customWidth="1"/>
    <col min="6423" max="6423" width="3.375" style="230" customWidth="1"/>
    <col min="6424" max="6424" width="10.375" style="230" customWidth="1"/>
    <col min="6425" max="6425" width="12.25" style="230" customWidth="1"/>
    <col min="6426" max="6426" width="9.375" style="230" customWidth="1"/>
    <col min="6427" max="6427" width="10.25" style="230" customWidth="1"/>
    <col min="6428" max="6428" width="14.375" style="230" customWidth="1"/>
    <col min="6429" max="6430" width="9.375" style="230" customWidth="1"/>
    <col min="6431" max="6431" width="14.875" style="230" customWidth="1"/>
    <col min="6432" max="6432" width="9.375" style="230" customWidth="1"/>
    <col min="6433" max="6433" width="13.125" style="230" customWidth="1"/>
    <col min="6434" max="6434" width="5.125" style="230" customWidth="1"/>
    <col min="6435" max="6656" width="9" style="230"/>
    <col min="6657" max="6657" width="1" style="230" customWidth="1"/>
    <col min="6658" max="6658" width="5.625" style="230" customWidth="1"/>
    <col min="6659" max="6659" width="6.875" style="230" customWidth="1"/>
    <col min="6660" max="6660" width="13.75" style="230" customWidth="1"/>
    <col min="6661" max="6661" width="2.5" style="230" customWidth="1"/>
    <col min="6662" max="6662" width="8.75" style="230" customWidth="1"/>
    <col min="6663" max="6663" width="5.75" style="230" customWidth="1"/>
    <col min="6664" max="6664" width="12.5" style="230" customWidth="1"/>
    <col min="6665" max="6665" width="5.75" style="230" customWidth="1"/>
    <col min="6666" max="6666" width="12.5" style="230" customWidth="1"/>
    <col min="6667" max="6667" width="2.5" style="230" customWidth="1"/>
    <col min="6668" max="6668" width="8.75" style="230" customWidth="1"/>
    <col min="6669" max="6669" width="2.5" style="230" customWidth="1"/>
    <col min="6670" max="6670" width="8.75" style="230" customWidth="1"/>
    <col min="6671" max="6671" width="2.5" style="230" customWidth="1"/>
    <col min="6672" max="6672" width="8.75" style="230" customWidth="1"/>
    <col min="6673" max="6673" width="3.75" style="230" customWidth="1"/>
    <col min="6674" max="6674" width="15" style="230" bestFit="1" customWidth="1"/>
    <col min="6675" max="6675" width="5.75" style="230" customWidth="1"/>
    <col min="6676" max="6676" width="9" style="230" customWidth="1"/>
    <col min="6677" max="6677" width="5.75" style="230" customWidth="1"/>
    <col min="6678" max="6678" width="10.5" style="230" customWidth="1"/>
    <col min="6679" max="6679" width="3.375" style="230" customWidth="1"/>
    <col min="6680" max="6680" width="10.375" style="230" customWidth="1"/>
    <col min="6681" max="6681" width="12.25" style="230" customWidth="1"/>
    <col min="6682" max="6682" width="9.375" style="230" customWidth="1"/>
    <col min="6683" max="6683" width="10.25" style="230" customWidth="1"/>
    <col min="6684" max="6684" width="14.375" style="230" customWidth="1"/>
    <col min="6685" max="6686" width="9.375" style="230" customWidth="1"/>
    <col min="6687" max="6687" width="14.875" style="230" customWidth="1"/>
    <col min="6688" max="6688" width="9.375" style="230" customWidth="1"/>
    <col min="6689" max="6689" width="13.125" style="230" customWidth="1"/>
    <col min="6690" max="6690" width="5.125" style="230" customWidth="1"/>
    <col min="6691" max="6912" width="9" style="230"/>
    <col min="6913" max="6913" width="1" style="230" customWidth="1"/>
    <col min="6914" max="6914" width="5.625" style="230" customWidth="1"/>
    <col min="6915" max="6915" width="6.875" style="230" customWidth="1"/>
    <col min="6916" max="6916" width="13.75" style="230" customWidth="1"/>
    <col min="6917" max="6917" width="2.5" style="230" customWidth="1"/>
    <col min="6918" max="6918" width="8.75" style="230" customWidth="1"/>
    <col min="6919" max="6919" width="5.75" style="230" customWidth="1"/>
    <col min="6920" max="6920" width="12.5" style="230" customWidth="1"/>
    <col min="6921" max="6921" width="5.75" style="230" customWidth="1"/>
    <col min="6922" max="6922" width="12.5" style="230" customWidth="1"/>
    <col min="6923" max="6923" width="2.5" style="230" customWidth="1"/>
    <col min="6924" max="6924" width="8.75" style="230" customWidth="1"/>
    <col min="6925" max="6925" width="2.5" style="230" customWidth="1"/>
    <col min="6926" max="6926" width="8.75" style="230" customWidth="1"/>
    <col min="6927" max="6927" width="2.5" style="230" customWidth="1"/>
    <col min="6928" max="6928" width="8.75" style="230" customWidth="1"/>
    <col min="6929" max="6929" width="3.75" style="230" customWidth="1"/>
    <col min="6930" max="6930" width="15" style="230" bestFit="1" customWidth="1"/>
    <col min="6931" max="6931" width="5.75" style="230" customWidth="1"/>
    <col min="6932" max="6932" width="9" style="230" customWidth="1"/>
    <col min="6933" max="6933" width="5.75" style="230" customWidth="1"/>
    <col min="6934" max="6934" width="10.5" style="230" customWidth="1"/>
    <col min="6935" max="6935" width="3.375" style="230" customWidth="1"/>
    <col min="6936" max="6936" width="10.375" style="230" customWidth="1"/>
    <col min="6937" max="6937" width="12.25" style="230" customWidth="1"/>
    <col min="6938" max="6938" width="9.375" style="230" customWidth="1"/>
    <col min="6939" max="6939" width="10.25" style="230" customWidth="1"/>
    <col min="6940" max="6940" width="14.375" style="230" customWidth="1"/>
    <col min="6941" max="6942" width="9.375" style="230" customWidth="1"/>
    <col min="6943" max="6943" width="14.875" style="230" customWidth="1"/>
    <col min="6944" max="6944" width="9.375" style="230" customWidth="1"/>
    <col min="6945" max="6945" width="13.125" style="230" customWidth="1"/>
    <col min="6946" max="6946" width="5.125" style="230" customWidth="1"/>
    <col min="6947" max="7168" width="9" style="230"/>
    <col min="7169" max="7169" width="1" style="230" customWidth="1"/>
    <col min="7170" max="7170" width="5.625" style="230" customWidth="1"/>
    <col min="7171" max="7171" width="6.875" style="230" customWidth="1"/>
    <col min="7172" max="7172" width="13.75" style="230" customWidth="1"/>
    <col min="7173" max="7173" width="2.5" style="230" customWidth="1"/>
    <col min="7174" max="7174" width="8.75" style="230" customWidth="1"/>
    <col min="7175" max="7175" width="5.75" style="230" customWidth="1"/>
    <col min="7176" max="7176" width="12.5" style="230" customWidth="1"/>
    <col min="7177" max="7177" width="5.75" style="230" customWidth="1"/>
    <col min="7178" max="7178" width="12.5" style="230" customWidth="1"/>
    <col min="7179" max="7179" width="2.5" style="230" customWidth="1"/>
    <col min="7180" max="7180" width="8.75" style="230" customWidth="1"/>
    <col min="7181" max="7181" width="2.5" style="230" customWidth="1"/>
    <col min="7182" max="7182" width="8.75" style="230" customWidth="1"/>
    <col min="7183" max="7183" width="2.5" style="230" customWidth="1"/>
    <col min="7184" max="7184" width="8.75" style="230" customWidth="1"/>
    <col min="7185" max="7185" width="3.75" style="230" customWidth="1"/>
    <col min="7186" max="7186" width="15" style="230" bestFit="1" customWidth="1"/>
    <col min="7187" max="7187" width="5.75" style="230" customWidth="1"/>
    <col min="7188" max="7188" width="9" style="230" customWidth="1"/>
    <col min="7189" max="7189" width="5.75" style="230" customWidth="1"/>
    <col min="7190" max="7190" width="10.5" style="230" customWidth="1"/>
    <col min="7191" max="7191" width="3.375" style="230" customWidth="1"/>
    <col min="7192" max="7192" width="10.375" style="230" customWidth="1"/>
    <col min="7193" max="7193" width="12.25" style="230" customWidth="1"/>
    <col min="7194" max="7194" width="9.375" style="230" customWidth="1"/>
    <col min="7195" max="7195" width="10.25" style="230" customWidth="1"/>
    <col min="7196" max="7196" width="14.375" style="230" customWidth="1"/>
    <col min="7197" max="7198" width="9.375" style="230" customWidth="1"/>
    <col min="7199" max="7199" width="14.875" style="230" customWidth="1"/>
    <col min="7200" max="7200" width="9.375" style="230" customWidth="1"/>
    <col min="7201" max="7201" width="13.125" style="230" customWidth="1"/>
    <col min="7202" max="7202" width="5.125" style="230" customWidth="1"/>
    <col min="7203" max="7424" width="9" style="230"/>
    <col min="7425" max="7425" width="1" style="230" customWidth="1"/>
    <col min="7426" max="7426" width="5.625" style="230" customWidth="1"/>
    <col min="7427" max="7427" width="6.875" style="230" customWidth="1"/>
    <col min="7428" max="7428" width="13.75" style="230" customWidth="1"/>
    <col min="7429" max="7429" width="2.5" style="230" customWidth="1"/>
    <col min="7430" max="7430" width="8.75" style="230" customWidth="1"/>
    <col min="7431" max="7431" width="5.75" style="230" customWidth="1"/>
    <col min="7432" max="7432" width="12.5" style="230" customWidth="1"/>
    <col min="7433" max="7433" width="5.75" style="230" customWidth="1"/>
    <col min="7434" max="7434" width="12.5" style="230" customWidth="1"/>
    <col min="7435" max="7435" width="2.5" style="230" customWidth="1"/>
    <col min="7436" max="7436" width="8.75" style="230" customWidth="1"/>
    <col min="7437" max="7437" width="2.5" style="230" customWidth="1"/>
    <col min="7438" max="7438" width="8.75" style="230" customWidth="1"/>
    <col min="7439" max="7439" width="2.5" style="230" customWidth="1"/>
    <col min="7440" max="7440" width="8.75" style="230" customWidth="1"/>
    <col min="7441" max="7441" width="3.75" style="230" customWidth="1"/>
    <col min="7442" max="7442" width="15" style="230" bestFit="1" customWidth="1"/>
    <col min="7443" max="7443" width="5.75" style="230" customWidth="1"/>
    <col min="7444" max="7444" width="9" style="230" customWidth="1"/>
    <col min="7445" max="7445" width="5.75" style="230" customWidth="1"/>
    <col min="7446" max="7446" width="10.5" style="230" customWidth="1"/>
    <col min="7447" max="7447" width="3.375" style="230" customWidth="1"/>
    <col min="7448" max="7448" width="10.375" style="230" customWidth="1"/>
    <col min="7449" max="7449" width="12.25" style="230" customWidth="1"/>
    <col min="7450" max="7450" width="9.375" style="230" customWidth="1"/>
    <col min="7451" max="7451" width="10.25" style="230" customWidth="1"/>
    <col min="7452" max="7452" width="14.375" style="230" customWidth="1"/>
    <col min="7453" max="7454" width="9.375" style="230" customWidth="1"/>
    <col min="7455" max="7455" width="14.875" style="230" customWidth="1"/>
    <col min="7456" max="7456" width="9.375" style="230" customWidth="1"/>
    <col min="7457" max="7457" width="13.125" style="230" customWidth="1"/>
    <col min="7458" max="7458" width="5.125" style="230" customWidth="1"/>
    <col min="7459" max="7680" width="9" style="230"/>
    <col min="7681" max="7681" width="1" style="230" customWidth="1"/>
    <col min="7682" max="7682" width="5.625" style="230" customWidth="1"/>
    <col min="7683" max="7683" width="6.875" style="230" customWidth="1"/>
    <col min="7684" max="7684" width="13.75" style="230" customWidth="1"/>
    <col min="7685" max="7685" width="2.5" style="230" customWidth="1"/>
    <col min="7686" max="7686" width="8.75" style="230" customWidth="1"/>
    <col min="7687" max="7687" width="5.75" style="230" customWidth="1"/>
    <col min="7688" max="7688" width="12.5" style="230" customWidth="1"/>
    <col min="7689" max="7689" width="5.75" style="230" customWidth="1"/>
    <col min="7690" max="7690" width="12.5" style="230" customWidth="1"/>
    <col min="7691" max="7691" width="2.5" style="230" customWidth="1"/>
    <col min="7692" max="7692" width="8.75" style="230" customWidth="1"/>
    <col min="7693" max="7693" width="2.5" style="230" customWidth="1"/>
    <col min="7694" max="7694" width="8.75" style="230" customWidth="1"/>
    <col min="7695" max="7695" width="2.5" style="230" customWidth="1"/>
    <col min="7696" max="7696" width="8.75" style="230" customWidth="1"/>
    <col min="7697" max="7697" width="3.75" style="230" customWidth="1"/>
    <col min="7698" max="7698" width="15" style="230" bestFit="1" customWidth="1"/>
    <col min="7699" max="7699" width="5.75" style="230" customWidth="1"/>
    <col min="7700" max="7700" width="9" style="230" customWidth="1"/>
    <col min="7701" max="7701" width="5.75" style="230" customWidth="1"/>
    <col min="7702" max="7702" width="10.5" style="230" customWidth="1"/>
    <col min="7703" max="7703" width="3.375" style="230" customWidth="1"/>
    <col min="7704" max="7704" width="10.375" style="230" customWidth="1"/>
    <col min="7705" max="7705" width="12.25" style="230" customWidth="1"/>
    <col min="7706" max="7706" width="9.375" style="230" customWidth="1"/>
    <col min="7707" max="7707" width="10.25" style="230" customWidth="1"/>
    <col min="7708" max="7708" width="14.375" style="230" customWidth="1"/>
    <col min="7709" max="7710" width="9.375" style="230" customWidth="1"/>
    <col min="7711" max="7711" width="14.875" style="230" customWidth="1"/>
    <col min="7712" max="7712" width="9.375" style="230" customWidth="1"/>
    <col min="7713" max="7713" width="13.125" style="230" customWidth="1"/>
    <col min="7714" max="7714" width="5.125" style="230" customWidth="1"/>
    <col min="7715" max="7936" width="9" style="230"/>
    <col min="7937" max="7937" width="1" style="230" customWidth="1"/>
    <col min="7938" max="7938" width="5.625" style="230" customWidth="1"/>
    <col min="7939" max="7939" width="6.875" style="230" customWidth="1"/>
    <col min="7940" max="7940" width="13.75" style="230" customWidth="1"/>
    <col min="7941" max="7941" width="2.5" style="230" customWidth="1"/>
    <col min="7942" max="7942" width="8.75" style="230" customWidth="1"/>
    <col min="7943" max="7943" width="5.75" style="230" customWidth="1"/>
    <col min="7944" max="7944" width="12.5" style="230" customWidth="1"/>
    <col min="7945" max="7945" width="5.75" style="230" customWidth="1"/>
    <col min="7946" max="7946" width="12.5" style="230" customWidth="1"/>
    <col min="7947" max="7947" width="2.5" style="230" customWidth="1"/>
    <col min="7948" max="7948" width="8.75" style="230" customWidth="1"/>
    <col min="7949" max="7949" width="2.5" style="230" customWidth="1"/>
    <col min="7950" max="7950" width="8.75" style="230" customWidth="1"/>
    <col min="7951" max="7951" width="2.5" style="230" customWidth="1"/>
    <col min="7952" max="7952" width="8.75" style="230" customWidth="1"/>
    <col min="7953" max="7953" width="3.75" style="230" customWidth="1"/>
    <col min="7954" max="7954" width="15" style="230" bestFit="1" customWidth="1"/>
    <col min="7955" max="7955" width="5.75" style="230" customWidth="1"/>
    <col min="7956" max="7956" width="9" style="230" customWidth="1"/>
    <col min="7957" max="7957" width="5.75" style="230" customWidth="1"/>
    <col min="7958" max="7958" width="10.5" style="230" customWidth="1"/>
    <col min="7959" max="7959" width="3.375" style="230" customWidth="1"/>
    <col min="7960" max="7960" width="10.375" style="230" customWidth="1"/>
    <col min="7961" max="7961" width="12.25" style="230" customWidth="1"/>
    <col min="7962" max="7962" width="9.375" style="230" customWidth="1"/>
    <col min="7963" max="7963" width="10.25" style="230" customWidth="1"/>
    <col min="7964" max="7964" width="14.375" style="230" customWidth="1"/>
    <col min="7965" max="7966" width="9.375" style="230" customWidth="1"/>
    <col min="7967" max="7967" width="14.875" style="230" customWidth="1"/>
    <col min="7968" max="7968" width="9.375" style="230" customWidth="1"/>
    <col min="7969" max="7969" width="13.125" style="230" customWidth="1"/>
    <col min="7970" max="7970" width="5.125" style="230" customWidth="1"/>
    <col min="7971" max="8192" width="9" style="230"/>
    <col min="8193" max="8193" width="1" style="230" customWidth="1"/>
    <col min="8194" max="8194" width="5.625" style="230" customWidth="1"/>
    <col min="8195" max="8195" width="6.875" style="230" customWidth="1"/>
    <col min="8196" max="8196" width="13.75" style="230" customWidth="1"/>
    <col min="8197" max="8197" width="2.5" style="230" customWidth="1"/>
    <col min="8198" max="8198" width="8.75" style="230" customWidth="1"/>
    <col min="8199" max="8199" width="5.75" style="230" customWidth="1"/>
    <col min="8200" max="8200" width="12.5" style="230" customWidth="1"/>
    <col min="8201" max="8201" width="5.75" style="230" customWidth="1"/>
    <col min="8202" max="8202" width="12.5" style="230" customWidth="1"/>
    <col min="8203" max="8203" width="2.5" style="230" customWidth="1"/>
    <col min="8204" max="8204" width="8.75" style="230" customWidth="1"/>
    <col min="8205" max="8205" width="2.5" style="230" customWidth="1"/>
    <col min="8206" max="8206" width="8.75" style="230" customWidth="1"/>
    <col min="8207" max="8207" width="2.5" style="230" customWidth="1"/>
    <col min="8208" max="8208" width="8.75" style="230" customWidth="1"/>
    <col min="8209" max="8209" width="3.75" style="230" customWidth="1"/>
    <col min="8210" max="8210" width="15" style="230" bestFit="1" customWidth="1"/>
    <col min="8211" max="8211" width="5.75" style="230" customWidth="1"/>
    <col min="8212" max="8212" width="9" style="230" customWidth="1"/>
    <col min="8213" max="8213" width="5.75" style="230" customWidth="1"/>
    <col min="8214" max="8214" width="10.5" style="230" customWidth="1"/>
    <col min="8215" max="8215" width="3.375" style="230" customWidth="1"/>
    <col min="8216" max="8216" width="10.375" style="230" customWidth="1"/>
    <col min="8217" max="8217" width="12.25" style="230" customWidth="1"/>
    <col min="8218" max="8218" width="9.375" style="230" customWidth="1"/>
    <col min="8219" max="8219" width="10.25" style="230" customWidth="1"/>
    <col min="8220" max="8220" width="14.375" style="230" customWidth="1"/>
    <col min="8221" max="8222" width="9.375" style="230" customWidth="1"/>
    <col min="8223" max="8223" width="14.875" style="230" customWidth="1"/>
    <col min="8224" max="8224" width="9.375" style="230" customWidth="1"/>
    <col min="8225" max="8225" width="13.125" style="230" customWidth="1"/>
    <col min="8226" max="8226" width="5.125" style="230" customWidth="1"/>
    <col min="8227" max="8448" width="9" style="230"/>
    <col min="8449" max="8449" width="1" style="230" customWidth="1"/>
    <col min="8450" max="8450" width="5.625" style="230" customWidth="1"/>
    <col min="8451" max="8451" width="6.875" style="230" customWidth="1"/>
    <col min="8452" max="8452" width="13.75" style="230" customWidth="1"/>
    <col min="8453" max="8453" width="2.5" style="230" customWidth="1"/>
    <col min="8454" max="8454" width="8.75" style="230" customWidth="1"/>
    <col min="8455" max="8455" width="5.75" style="230" customWidth="1"/>
    <col min="8456" max="8456" width="12.5" style="230" customWidth="1"/>
    <col min="8457" max="8457" width="5.75" style="230" customWidth="1"/>
    <col min="8458" max="8458" width="12.5" style="230" customWidth="1"/>
    <col min="8459" max="8459" width="2.5" style="230" customWidth="1"/>
    <col min="8460" max="8460" width="8.75" style="230" customWidth="1"/>
    <col min="8461" max="8461" width="2.5" style="230" customWidth="1"/>
    <col min="8462" max="8462" width="8.75" style="230" customWidth="1"/>
    <col min="8463" max="8463" width="2.5" style="230" customWidth="1"/>
    <col min="8464" max="8464" width="8.75" style="230" customWidth="1"/>
    <col min="8465" max="8465" width="3.75" style="230" customWidth="1"/>
    <col min="8466" max="8466" width="15" style="230" bestFit="1" customWidth="1"/>
    <col min="8467" max="8467" width="5.75" style="230" customWidth="1"/>
    <col min="8468" max="8468" width="9" style="230" customWidth="1"/>
    <col min="8469" max="8469" width="5.75" style="230" customWidth="1"/>
    <col min="8470" max="8470" width="10.5" style="230" customWidth="1"/>
    <col min="8471" max="8471" width="3.375" style="230" customWidth="1"/>
    <col min="8472" max="8472" width="10.375" style="230" customWidth="1"/>
    <col min="8473" max="8473" width="12.25" style="230" customWidth="1"/>
    <col min="8474" max="8474" width="9.375" style="230" customWidth="1"/>
    <col min="8475" max="8475" width="10.25" style="230" customWidth="1"/>
    <col min="8476" max="8476" width="14.375" style="230" customWidth="1"/>
    <col min="8477" max="8478" width="9.375" style="230" customWidth="1"/>
    <col min="8479" max="8479" width="14.875" style="230" customWidth="1"/>
    <col min="8480" max="8480" width="9.375" style="230" customWidth="1"/>
    <col min="8481" max="8481" width="13.125" style="230" customWidth="1"/>
    <col min="8482" max="8482" width="5.125" style="230" customWidth="1"/>
    <col min="8483" max="8704" width="9" style="230"/>
    <col min="8705" max="8705" width="1" style="230" customWidth="1"/>
    <col min="8706" max="8706" width="5.625" style="230" customWidth="1"/>
    <col min="8707" max="8707" width="6.875" style="230" customWidth="1"/>
    <col min="8708" max="8708" width="13.75" style="230" customWidth="1"/>
    <col min="8709" max="8709" width="2.5" style="230" customWidth="1"/>
    <col min="8710" max="8710" width="8.75" style="230" customWidth="1"/>
    <col min="8711" max="8711" width="5.75" style="230" customWidth="1"/>
    <col min="8712" max="8712" width="12.5" style="230" customWidth="1"/>
    <col min="8713" max="8713" width="5.75" style="230" customWidth="1"/>
    <col min="8714" max="8714" width="12.5" style="230" customWidth="1"/>
    <col min="8715" max="8715" width="2.5" style="230" customWidth="1"/>
    <col min="8716" max="8716" width="8.75" style="230" customWidth="1"/>
    <col min="8717" max="8717" width="2.5" style="230" customWidth="1"/>
    <col min="8718" max="8718" width="8.75" style="230" customWidth="1"/>
    <col min="8719" max="8719" width="2.5" style="230" customWidth="1"/>
    <col min="8720" max="8720" width="8.75" style="230" customWidth="1"/>
    <col min="8721" max="8721" width="3.75" style="230" customWidth="1"/>
    <col min="8722" max="8722" width="15" style="230" bestFit="1" customWidth="1"/>
    <col min="8723" max="8723" width="5.75" style="230" customWidth="1"/>
    <col min="8724" max="8724" width="9" style="230" customWidth="1"/>
    <col min="8725" max="8725" width="5.75" style="230" customWidth="1"/>
    <col min="8726" max="8726" width="10.5" style="230" customWidth="1"/>
    <col min="8727" max="8727" width="3.375" style="230" customWidth="1"/>
    <col min="8728" max="8728" width="10.375" style="230" customWidth="1"/>
    <col min="8729" max="8729" width="12.25" style="230" customWidth="1"/>
    <col min="8730" max="8730" width="9.375" style="230" customWidth="1"/>
    <col min="8731" max="8731" width="10.25" style="230" customWidth="1"/>
    <col min="8732" max="8732" width="14.375" style="230" customWidth="1"/>
    <col min="8733" max="8734" width="9.375" style="230" customWidth="1"/>
    <col min="8735" max="8735" width="14.875" style="230" customWidth="1"/>
    <col min="8736" max="8736" width="9.375" style="230" customWidth="1"/>
    <col min="8737" max="8737" width="13.125" style="230" customWidth="1"/>
    <col min="8738" max="8738" width="5.125" style="230" customWidth="1"/>
    <col min="8739" max="8960" width="9" style="230"/>
    <col min="8961" max="8961" width="1" style="230" customWidth="1"/>
    <col min="8962" max="8962" width="5.625" style="230" customWidth="1"/>
    <col min="8963" max="8963" width="6.875" style="230" customWidth="1"/>
    <col min="8964" max="8964" width="13.75" style="230" customWidth="1"/>
    <col min="8965" max="8965" width="2.5" style="230" customWidth="1"/>
    <col min="8966" max="8966" width="8.75" style="230" customWidth="1"/>
    <col min="8967" max="8967" width="5.75" style="230" customWidth="1"/>
    <col min="8968" max="8968" width="12.5" style="230" customWidth="1"/>
    <col min="8969" max="8969" width="5.75" style="230" customWidth="1"/>
    <col min="8970" max="8970" width="12.5" style="230" customWidth="1"/>
    <col min="8971" max="8971" width="2.5" style="230" customWidth="1"/>
    <col min="8972" max="8972" width="8.75" style="230" customWidth="1"/>
    <col min="8973" max="8973" width="2.5" style="230" customWidth="1"/>
    <col min="8974" max="8974" width="8.75" style="230" customWidth="1"/>
    <col min="8975" max="8975" width="2.5" style="230" customWidth="1"/>
    <col min="8976" max="8976" width="8.75" style="230" customWidth="1"/>
    <col min="8977" max="8977" width="3.75" style="230" customWidth="1"/>
    <col min="8978" max="8978" width="15" style="230" bestFit="1" customWidth="1"/>
    <col min="8979" max="8979" width="5.75" style="230" customWidth="1"/>
    <col min="8980" max="8980" width="9" style="230" customWidth="1"/>
    <col min="8981" max="8981" width="5.75" style="230" customWidth="1"/>
    <col min="8982" max="8982" width="10.5" style="230" customWidth="1"/>
    <col min="8983" max="8983" width="3.375" style="230" customWidth="1"/>
    <col min="8984" max="8984" width="10.375" style="230" customWidth="1"/>
    <col min="8985" max="8985" width="12.25" style="230" customWidth="1"/>
    <col min="8986" max="8986" width="9.375" style="230" customWidth="1"/>
    <col min="8987" max="8987" width="10.25" style="230" customWidth="1"/>
    <col min="8988" max="8988" width="14.375" style="230" customWidth="1"/>
    <col min="8989" max="8990" width="9.375" style="230" customWidth="1"/>
    <col min="8991" max="8991" width="14.875" style="230" customWidth="1"/>
    <col min="8992" max="8992" width="9.375" style="230" customWidth="1"/>
    <col min="8993" max="8993" width="13.125" style="230" customWidth="1"/>
    <col min="8994" max="8994" width="5.125" style="230" customWidth="1"/>
    <col min="8995" max="9216" width="9" style="230"/>
    <col min="9217" max="9217" width="1" style="230" customWidth="1"/>
    <col min="9218" max="9218" width="5.625" style="230" customWidth="1"/>
    <col min="9219" max="9219" width="6.875" style="230" customWidth="1"/>
    <col min="9220" max="9220" width="13.75" style="230" customWidth="1"/>
    <col min="9221" max="9221" width="2.5" style="230" customWidth="1"/>
    <col min="9222" max="9222" width="8.75" style="230" customWidth="1"/>
    <col min="9223" max="9223" width="5.75" style="230" customWidth="1"/>
    <col min="9224" max="9224" width="12.5" style="230" customWidth="1"/>
    <col min="9225" max="9225" width="5.75" style="230" customWidth="1"/>
    <col min="9226" max="9226" width="12.5" style="230" customWidth="1"/>
    <col min="9227" max="9227" width="2.5" style="230" customWidth="1"/>
    <col min="9228" max="9228" width="8.75" style="230" customWidth="1"/>
    <col min="9229" max="9229" width="2.5" style="230" customWidth="1"/>
    <col min="9230" max="9230" width="8.75" style="230" customWidth="1"/>
    <col min="9231" max="9231" width="2.5" style="230" customWidth="1"/>
    <col min="9232" max="9232" width="8.75" style="230" customWidth="1"/>
    <col min="9233" max="9233" width="3.75" style="230" customWidth="1"/>
    <col min="9234" max="9234" width="15" style="230" bestFit="1" customWidth="1"/>
    <col min="9235" max="9235" width="5.75" style="230" customWidth="1"/>
    <col min="9236" max="9236" width="9" style="230" customWidth="1"/>
    <col min="9237" max="9237" width="5.75" style="230" customWidth="1"/>
    <col min="9238" max="9238" width="10.5" style="230" customWidth="1"/>
    <col min="9239" max="9239" width="3.375" style="230" customWidth="1"/>
    <col min="9240" max="9240" width="10.375" style="230" customWidth="1"/>
    <col min="9241" max="9241" width="12.25" style="230" customWidth="1"/>
    <col min="9242" max="9242" width="9.375" style="230" customWidth="1"/>
    <col min="9243" max="9243" width="10.25" style="230" customWidth="1"/>
    <col min="9244" max="9244" width="14.375" style="230" customWidth="1"/>
    <col min="9245" max="9246" width="9.375" style="230" customWidth="1"/>
    <col min="9247" max="9247" width="14.875" style="230" customWidth="1"/>
    <col min="9248" max="9248" width="9.375" style="230" customWidth="1"/>
    <col min="9249" max="9249" width="13.125" style="230" customWidth="1"/>
    <col min="9250" max="9250" width="5.125" style="230" customWidth="1"/>
    <col min="9251" max="9472" width="9" style="230"/>
    <col min="9473" max="9473" width="1" style="230" customWidth="1"/>
    <col min="9474" max="9474" width="5.625" style="230" customWidth="1"/>
    <col min="9475" max="9475" width="6.875" style="230" customWidth="1"/>
    <col min="9476" max="9476" width="13.75" style="230" customWidth="1"/>
    <col min="9477" max="9477" width="2.5" style="230" customWidth="1"/>
    <col min="9478" max="9478" width="8.75" style="230" customWidth="1"/>
    <col min="9479" max="9479" width="5.75" style="230" customWidth="1"/>
    <col min="9480" max="9480" width="12.5" style="230" customWidth="1"/>
    <col min="9481" max="9481" width="5.75" style="230" customWidth="1"/>
    <col min="9482" max="9482" width="12.5" style="230" customWidth="1"/>
    <col min="9483" max="9483" width="2.5" style="230" customWidth="1"/>
    <col min="9484" max="9484" width="8.75" style="230" customWidth="1"/>
    <col min="9485" max="9485" width="2.5" style="230" customWidth="1"/>
    <col min="9486" max="9486" width="8.75" style="230" customWidth="1"/>
    <col min="9487" max="9487" width="2.5" style="230" customWidth="1"/>
    <col min="9488" max="9488" width="8.75" style="230" customWidth="1"/>
    <col min="9489" max="9489" width="3.75" style="230" customWidth="1"/>
    <col min="9490" max="9490" width="15" style="230" bestFit="1" customWidth="1"/>
    <col min="9491" max="9491" width="5.75" style="230" customWidth="1"/>
    <col min="9492" max="9492" width="9" style="230" customWidth="1"/>
    <col min="9493" max="9493" width="5.75" style="230" customWidth="1"/>
    <col min="9494" max="9494" width="10.5" style="230" customWidth="1"/>
    <col min="9495" max="9495" width="3.375" style="230" customWidth="1"/>
    <col min="9496" max="9496" width="10.375" style="230" customWidth="1"/>
    <col min="9497" max="9497" width="12.25" style="230" customWidth="1"/>
    <col min="9498" max="9498" width="9.375" style="230" customWidth="1"/>
    <col min="9499" max="9499" width="10.25" style="230" customWidth="1"/>
    <col min="9500" max="9500" width="14.375" style="230" customWidth="1"/>
    <col min="9501" max="9502" width="9.375" style="230" customWidth="1"/>
    <col min="9503" max="9503" width="14.875" style="230" customWidth="1"/>
    <col min="9504" max="9504" width="9.375" style="230" customWidth="1"/>
    <col min="9505" max="9505" width="13.125" style="230" customWidth="1"/>
    <col min="9506" max="9506" width="5.125" style="230" customWidth="1"/>
    <col min="9507" max="9728" width="9" style="230"/>
    <col min="9729" max="9729" width="1" style="230" customWidth="1"/>
    <col min="9730" max="9730" width="5.625" style="230" customWidth="1"/>
    <col min="9731" max="9731" width="6.875" style="230" customWidth="1"/>
    <col min="9732" max="9732" width="13.75" style="230" customWidth="1"/>
    <col min="9733" max="9733" width="2.5" style="230" customWidth="1"/>
    <col min="9734" max="9734" width="8.75" style="230" customWidth="1"/>
    <col min="9735" max="9735" width="5.75" style="230" customWidth="1"/>
    <col min="9736" max="9736" width="12.5" style="230" customWidth="1"/>
    <col min="9737" max="9737" width="5.75" style="230" customWidth="1"/>
    <col min="9738" max="9738" width="12.5" style="230" customWidth="1"/>
    <col min="9739" max="9739" width="2.5" style="230" customWidth="1"/>
    <col min="9740" max="9740" width="8.75" style="230" customWidth="1"/>
    <col min="9741" max="9741" width="2.5" style="230" customWidth="1"/>
    <col min="9742" max="9742" width="8.75" style="230" customWidth="1"/>
    <col min="9743" max="9743" width="2.5" style="230" customWidth="1"/>
    <col min="9744" max="9744" width="8.75" style="230" customWidth="1"/>
    <col min="9745" max="9745" width="3.75" style="230" customWidth="1"/>
    <col min="9746" max="9746" width="15" style="230" bestFit="1" customWidth="1"/>
    <col min="9747" max="9747" width="5.75" style="230" customWidth="1"/>
    <col min="9748" max="9748" width="9" style="230" customWidth="1"/>
    <col min="9749" max="9749" width="5.75" style="230" customWidth="1"/>
    <col min="9750" max="9750" width="10.5" style="230" customWidth="1"/>
    <col min="9751" max="9751" width="3.375" style="230" customWidth="1"/>
    <col min="9752" max="9752" width="10.375" style="230" customWidth="1"/>
    <col min="9753" max="9753" width="12.25" style="230" customWidth="1"/>
    <col min="9754" max="9754" width="9.375" style="230" customWidth="1"/>
    <col min="9755" max="9755" width="10.25" style="230" customWidth="1"/>
    <col min="9756" max="9756" width="14.375" style="230" customWidth="1"/>
    <col min="9757" max="9758" width="9.375" style="230" customWidth="1"/>
    <col min="9759" max="9759" width="14.875" style="230" customWidth="1"/>
    <col min="9760" max="9760" width="9.375" style="230" customWidth="1"/>
    <col min="9761" max="9761" width="13.125" style="230" customWidth="1"/>
    <col min="9762" max="9762" width="5.125" style="230" customWidth="1"/>
    <col min="9763" max="9984" width="9" style="230"/>
    <col min="9985" max="9985" width="1" style="230" customWidth="1"/>
    <col min="9986" max="9986" width="5.625" style="230" customWidth="1"/>
    <col min="9987" max="9987" width="6.875" style="230" customWidth="1"/>
    <col min="9988" max="9988" width="13.75" style="230" customWidth="1"/>
    <col min="9989" max="9989" width="2.5" style="230" customWidth="1"/>
    <col min="9990" max="9990" width="8.75" style="230" customWidth="1"/>
    <col min="9991" max="9991" width="5.75" style="230" customWidth="1"/>
    <col min="9992" max="9992" width="12.5" style="230" customWidth="1"/>
    <col min="9993" max="9993" width="5.75" style="230" customWidth="1"/>
    <col min="9994" max="9994" width="12.5" style="230" customWidth="1"/>
    <col min="9995" max="9995" width="2.5" style="230" customWidth="1"/>
    <col min="9996" max="9996" width="8.75" style="230" customWidth="1"/>
    <col min="9997" max="9997" width="2.5" style="230" customWidth="1"/>
    <col min="9998" max="9998" width="8.75" style="230" customWidth="1"/>
    <col min="9999" max="9999" width="2.5" style="230" customWidth="1"/>
    <col min="10000" max="10000" width="8.75" style="230" customWidth="1"/>
    <col min="10001" max="10001" width="3.75" style="230" customWidth="1"/>
    <col min="10002" max="10002" width="15" style="230" bestFit="1" customWidth="1"/>
    <col min="10003" max="10003" width="5.75" style="230" customWidth="1"/>
    <col min="10004" max="10004" width="9" style="230" customWidth="1"/>
    <col min="10005" max="10005" width="5.75" style="230" customWidth="1"/>
    <col min="10006" max="10006" width="10.5" style="230" customWidth="1"/>
    <col min="10007" max="10007" width="3.375" style="230" customWidth="1"/>
    <col min="10008" max="10008" width="10.375" style="230" customWidth="1"/>
    <col min="10009" max="10009" width="12.25" style="230" customWidth="1"/>
    <col min="10010" max="10010" width="9.375" style="230" customWidth="1"/>
    <col min="10011" max="10011" width="10.25" style="230" customWidth="1"/>
    <col min="10012" max="10012" width="14.375" style="230" customWidth="1"/>
    <col min="10013" max="10014" width="9.375" style="230" customWidth="1"/>
    <col min="10015" max="10015" width="14.875" style="230" customWidth="1"/>
    <col min="10016" max="10016" width="9.375" style="230" customWidth="1"/>
    <col min="10017" max="10017" width="13.125" style="230" customWidth="1"/>
    <col min="10018" max="10018" width="5.125" style="230" customWidth="1"/>
    <col min="10019" max="10240" width="9" style="230"/>
    <col min="10241" max="10241" width="1" style="230" customWidth="1"/>
    <col min="10242" max="10242" width="5.625" style="230" customWidth="1"/>
    <col min="10243" max="10243" width="6.875" style="230" customWidth="1"/>
    <col min="10244" max="10244" width="13.75" style="230" customWidth="1"/>
    <col min="10245" max="10245" width="2.5" style="230" customWidth="1"/>
    <col min="10246" max="10246" width="8.75" style="230" customWidth="1"/>
    <col min="10247" max="10247" width="5.75" style="230" customWidth="1"/>
    <col min="10248" max="10248" width="12.5" style="230" customWidth="1"/>
    <col min="10249" max="10249" width="5.75" style="230" customWidth="1"/>
    <col min="10250" max="10250" width="12.5" style="230" customWidth="1"/>
    <col min="10251" max="10251" width="2.5" style="230" customWidth="1"/>
    <col min="10252" max="10252" width="8.75" style="230" customWidth="1"/>
    <col min="10253" max="10253" width="2.5" style="230" customWidth="1"/>
    <col min="10254" max="10254" width="8.75" style="230" customWidth="1"/>
    <col min="10255" max="10255" width="2.5" style="230" customWidth="1"/>
    <col min="10256" max="10256" width="8.75" style="230" customWidth="1"/>
    <col min="10257" max="10257" width="3.75" style="230" customWidth="1"/>
    <col min="10258" max="10258" width="15" style="230" bestFit="1" customWidth="1"/>
    <col min="10259" max="10259" width="5.75" style="230" customWidth="1"/>
    <col min="10260" max="10260" width="9" style="230" customWidth="1"/>
    <col min="10261" max="10261" width="5.75" style="230" customWidth="1"/>
    <col min="10262" max="10262" width="10.5" style="230" customWidth="1"/>
    <col min="10263" max="10263" width="3.375" style="230" customWidth="1"/>
    <col min="10264" max="10264" width="10.375" style="230" customWidth="1"/>
    <col min="10265" max="10265" width="12.25" style="230" customWidth="1"/>
    <col min="10266" max="10266" width="9.375" style="230" customWidth="1"/>
    <col min="10267" max="10267" width="10.25" style="230" customWidth="1"/>
    <col min="10268" max="10268" width="14.375" style="230" customWidth="1"/>
    <col min="10269" max="10270" width="9.375" style="230" customWidth="1"/>
    <col min="10271" max="10271" width="14.875" style="230" customWidth="1"/>
    <col min="10272" max="10272" width="9.375" style="230" customWidth="1"/>
    <col min="10273" max="10273" width="13.125" style="230" customWidth="1"/>
    <col min="10274" max="10274" width="5.125" style="230" customWidth="1"/>
    <col min="10275" max="10496" width="9" style="230"/>
    <col min="10497" max="10497" width="1" style="230" customWidth="1"/>
    <col min="10498" max="10498" width="5.625" style="230" customWidth="1"/>
    <col min="10499" max="10499" width="6.875" style="230" customWidth="1"/>
    <col min="10500" max="10500" width="13.75" style="230" customWidth="1"/>
    <col min="10501" max="10501" width="2.5" style="230" customWidth="1"/>
    <col min="10502" max="10502" width="8.75" style="230" customWidth="1"/>
    <col min="10503" max="10503" width="5.75" style="230" customWidth="1"/>
    <col min="10504" max="10504" width="12.5" style="230" customWidth="1"/>
    <col min="10505" max="10505" width="5.75" style="230" customWidth="1"/>
    <col min="10506" max="10506" width="12.5" style="230" customWidth="1"/>
    <col min="10507" max="10507" width="2.5" style="230" customWidth="1"/>
    <col min="10508" max="10508" width="8.75" style="230" customWidth="1"/>
    <col min="10509" max="10509" width="2.5" style="230" customWidth="1"/>
    <col min="10510" max="10510" width="8.75" style="230" customWidth="1"/>
    <col min="10511" max="10511" width="2.5" style="230" customWidth="1"/>
    <col min="10512" max="10512" width="8.75" style="230" customWidth="1"/>
    <col min="10513" max="10513" width="3.75" style="230" customWidth="1"/>
    <col min="10514" max="10514" width="15" style="230" bestFit="1" customWidth="1"/>
    <col min="10515" max="10515" width="5.75" style="230" customWidth="1"/>
    <col min="10516" max="10516" width="9" style="230" customWidth="1"/>
    <col min="10517" max="10517" width="5.75" style="230" customWidth="1"/>
    <col min="10518" max="10518" width="10.5" style="230" customWidth="1"/>
    <col min="10519" max="10519" width="3.375" style="230" customWidth="1"/>
    <col min="10520" max="10520" width="10.375" style="230" customWidth="1"/>
    <col min="10521" max="10521" width="12.25" style="230" customWidth="1"/>
    <col min="10522" max="10522" width="9.375" style="230" customWidth="1"/>
    <col min="10523" max="10523" width="10.25" style="230" customWidth="1"/>
    <col min="10524" max="10524" width="14.375" style="230" customWidth="1"/>
    <col min="10525" max="10526" width="9.375" style="230" customWidth="1"/>
    <col min="10527" max="10527" width="14.875" style="230" customWidth="1"/>
    <col min="10528" max="10528" width="9.375" style="230" customWidth="1"/>
    <col min="10529" max="10529" width="13.125" style="230" customWidth="1"/>
    <col min="10530" max="10530" width="5.125" style="230" customWidth="1"/>
    <col min="10531" max="10752" width="9" style="230"/>
    <col min="10753" max="10753" width="1" style="230" customWidth="1"/>
    <col min="10754" max="10754" width="5.625" style="230" customWidth="1"/>
    <col min="10755" max="10755" width="6.875" style="230" customWidth="1"/>
    <col min="10756" max="10756" width="13.75" style="230" customWidth="1"/>
    <col min="10757" max="10757" width="2.5" style="230" customWidth="1"/>
    <col min="10758" max="10758" width="8.75" style="230" customWidth="1"/>
    <col min="10759" max="10759" width="5.75" style="230" customWidth="1"/>
    <col min="10760" max="10760" width="12.5" style="230" customWidth="1"/>
    <col min="10761" max="10761" width="5.75" style="230" customWidth="1"/>
    <col min="10762" max="10762" width="12.5" style="230" customWidth="1"/>
    <col min="10763" max="10763" width="2.5" style="230" customWidth="1"/>
    <col min="10764" max="10764" width="8.75" style="230" customWidth="1"/>
    <col min="10765" max="10765" width="2.5" style="230" customWidth="1"/>
    <col min="10766" max="10766" width="8.75" style="230" customWidth="1"/>
    <col min="10767" max="10767" width="2.5" style="230" customWidth="1"/>
    <col min="10768" max="10768" width="8.75" style="230" customWidth="1"/>
    <col min="10769" max="10769" width="3.75" style="230" customWidth="1"/>
    <col min="10770" max="10770" width="15" style="230" bestFit="1" customWidth="1"/>
    <col min="10771" max="10771" width="5.75" style="230" customWidth="1"/>
    <col min="10772" max="10772" width="9" style="230" customWidth="1"/>
    <col min="10773" max="10773" width="5.75" style="230" customWidth="1"/>
    <col min="10774" max="10774" width="10.5" style="230" customWidth="1"/>
    <col min="10775" max="10775" width="3.375" style="230" customWidth="1"/>
    <col min="10776" max="10776" width="10.375" style="230" customWidth="1"/>
    <col min="10777" max="10777" width="12.25" style="230" customWidth="1"/>
    <col min="10778" max="10778" width="9.375" style="230" customWidth="1"/>
    <col min="10779" max="10779" width="10.25" style="230" customWidth="1"/>
    <col min="10780" max="10780" width="14.375" style="230" customWidth="1"/>
    <col min="10781" max="10782" width="9.375" style="230" customWidth="1"/>
    <col min="10783" max="10783" width="14.875" style="230" customWidth="1"/>
    <col min="10784" max="10784" width="9.375" style="230" customWidth="1"/>
    <col min="10785" max="10785" width="13.125" style="230" customWidth="1"/>
    <col min="10786" max="10786" width="5.125" style="230" customWidth="1"/>
    <col min="10787" max="11008" width="9" style="230"/>
    <col min="11009" max="11009" width="1" style="230" customWidth="1"/>
    <col min="11010" max="11010" width="5.625" style="230" customWidth="1"/>
    <col min="11011" max="11011" width="6.875" style="230" customWidth="1"/>
    <col min="11012" max="11012" width="13.75" style="230" customWidth="1"/>
    <col min="11013" max="11013" width="2.5" style="230" customWidth="1"/>
    <col min="11014" max="11014" width="8.75" style="230" customWidth="1"/>
    <col min="11015" max="11015" width="5.75" style="230" customWidth="1"/>
    <col min="11016" max="11016" width="12.5" style="230" customWidth="1"/>
    <col min="11017" max="11017" width="5.75" style="230" customWidth="1"/>
    <col min="11018" max="11018" width="12.5" style="230" customWidth="1"/>
    <col min="11019" max="11019" width="2.5" style="230" customWidth="1"/>
    <col min="11020" max="11020" width="8.75" style="230" customWidth="1"/>
    <col min="11021" max="11021" width="2.5" style="230" customWidth="1"/>
    <col min="11022" max="11022" width="8.75" style="230" customWidth="1"/>
    <col min="11023" max="11023" width="2.5" style="230" customWidth="1"/>
    <col min="11024" max="11024" width="8.75" style="230" customWidth="1"/>
    <col min="11025" max="11025" width="3.75" style="230" customWidth="1"/>
    <col min="11026" max="11026" width="15" style="230" bestFit="1" customWidth="1"/>
    <col min="11027" max="11027" width="5.75" style="230" customWidth="1"/>
    <col min="11028" max="11028" width="9" style="230" customWidth="1"/>
    <col min="11029" max="11029" width="5.75" style="230" customWidth="1"/>
    <col min="11030" max="11030" width="10.5" style="230" customWidth="1"/>
    <col min="11031" max="11031" width="3.375" style="230" customWidth="1"/>
    <col min="11032" max="11032" width="10.375" style="230" customWidth="1"/>
    <col min="11033" max="11033" width="12.25" style="230" customWidth="1"/>
    <col min="11034" max="11034" width="9.375" style="230" customWidth="1"/>
    <col min="11035" max="11035" width="10.25" style="230" customWidth="1"/>
    <col min="11036" max="11036" width="14.375" style="230" customWidth="1"/>
    <col min="11037" max="11038" width="9.375" style="230" customWidth="1"/>
    <col min="11039" max="11039" width="14.875" style="230" customWidth="1"/>
    <col min="11040" max="11040" width="9.375" style="230" customWidth="1"/>
    <col min="11041" max="11041" width="13.125" style="230" customWidth="1"/>
    <col min="11042" max="11042" width="5.125" style="230" customWidth="1"/>
    <col min="11043" max="11264" width="9" style="230"/>
    <col min="11265" max="11265" width="1" style="230" customWidth="1"/>
    <col min="11266" max="11266" width="5.625" style="230" customWidth="1"/>
    <col min="11267" max="11267" width="6.875" style="230" customWidth="1"/>
    <col min="11268" max="11268" width="13.75" style="230" customWidth="1"/>
    <col min="11269" max="11269" width="2.5" style="230" customWidth="1"/>
    <col min="11270" max="11270" width="8.75" style="230" customWidth="1"/>
    <col min="11271" max="11271" width="5.75" style="230" customWidth="1"/>
    <col min="11272" max="11272" width="12.5" style="230" customWidth="1"/>
    <col min="11273" max="11273" width="5.75" style="230" customWidth="1"/>
    <col min="11274" max="11274" width="12.5" style="230" customWidth="1"/>
    <col min="11275" max="11275" width="2.5" style="230" customWidth="1"/>
    <col min="11276" max="11276" width="8.75" style="230" customWidth="1"/>
    <col min="11277" max="11277" width="2.5" style="230" customWidth="1"/>
    <col min="11278" max="11278" width="8.75" style="230" customWidth="1"/>
    <col min="11279" max="11279" width="2.5" style="230" customWidth="1"/>
    <col min="11280" max="11280" width="8.75" style="230" customWidth="1"/>
    <col min="11281" max="11281" width="3.75" style="230" customWidth="1"/>
    <col min="11282" max="11282" width="15" style="230" bestFit="1" customWidth="1"/>
    <col min="11283" max="11283" width="5.75" style="230" customWidth="1"/>
    <col min="11284" max="11284" width="9" style="230" customWidth="1"/>
    <col min="11285" max="11285" width="5.75" style="230" customWidth="1"/>
    <col min="11286" max="11286" width="10.5" style="230" customWidth="1"/>
    <col min="11287" max="11287" width="3.375" style="230" customWidth="1"/>
    <col min="11288" max="11288" width="10.375" style="230" customWidth="1"/>
    <col min="11289" max="11289" width="12.25" style="230" customWidth="1"/>
    <col min="11290" max="11290" width="9.375" style="230" customWidth="1"/>
    <col min="11291" max="11291" width="10.25" style="230" customWidth="1"/>
    <col min="11292" max="11292" width="14.375" style="230" customWidth="1"/>
    <col min="11293" max="11294" width="9.375" style="230" customWidth="1"/>
    <col min="11295" max="11295" width="14.875" style="230" customWidth="1"/>
    <col min="11296" max="11296" width="9.375" style="230" customWidth="1"/>
    <col min="11297" max="11297" width="13.125" style="230" customWidth="1"/>
    <col min="11298" max="11298" width="5.125" style="230" customWidth="1"/>
    <col min="11299" max="11520" width="9" style="230"/>
    <col min="11521" max="11521" width="1" style="230" customWidth="1"/>
    <col min="11522" max="11522" width="5.625" style="230" customWidth="1"/>
    <col min="11523" max="11523" width="6.875" style="230" customWidth="1"/>
    <col min="11524" max="11524" width="13.75" style="230" customWidth="1"/>
    <col min="11525" max="11525" width="2.5" style="230" customWidth="1"/>
    <col min="11526" max="11526" width="8.75" style="230" customWidth="1"/>
    <col min="11527" max="11527" width="5.75" style="230" customWidth="1"/>
    <col min="11528" max="11528" width="12.5" style="230" customWidth="1"/>
    <col min="11529" max="11529" width="5.75" style="230" customWidth="1"/>
    <col min="11530" max="11530" width="12.5" style="230" customWidth="1"/>
    <col min="11531" max="11531" width="2.5" style="230" customWidth="1"/>
    <col min="11532" max="11532" width="8.75" style="230" customWidth="1"/>
    <col min="11533" max="11533" width="2.5" style="230" customWidth="1"/>
    <col min="11534" max="11534" width="8.75" style="230" customWidth="1"/>
    <col min="11535" max="11535" width="2.5" style="230" customWidth="1"/>
    <col min="11536" max="11536" width="8.75" style="230" customWidth="1"/>
    <col min="11537" max="11537" width="3.75" style="230" customWidth="1"/>
    <col min="11538" max="11538" width="15" style="230" bestFit="1" customWidth="1"/>
    <col min="11539" max="11539" width="5.75" style="230" customWidth="1"/>
    <col min="11540" max="11540" width="9" style="230" customWidth="1"/>
    <col min="11541" max="11541" width="5.75" style="230" customWidth="1"/>
    <col min="11542" max="11542" width="10.5" style="230" customWidth="1"/>
    <col min="11543" max="11543" width="3.375" style="230" customWidth="1"/>
    <col min="11544" max="11544" width="10.375" style="230" customWidth="1"/>
    <col min="11545" max="11545" width="12.25" style="230" customWidth="1"/>
    <col min="11546" max="11546" width="9.375" style="230" customWidth="1"/>
    <col min="11547" max="11547" width="10.25" style="230" customWidth="1"/>
    <col min="11548" max="11548" width="14.375" style="230" customWidth="1"/>
    <col min="11549" max="11550" width="9.375" style="230" customWidth="1"/>
    <col min="11551" max="11551" width="14.875" style="230" customWidth="1"/>
    <col min="11552" max="11552" width="9.375" style="230" customWidth="1"/>
    <col min="11553" max="11553" width="13.125" style="230" customWidth="1"/>
    <col min="11554" max="11554" width="5.125" style="230" customWidth="1"/>
    <col min="11555" max="11776" width="9" style="230"/>
    <col min="11777" max="11777" width="1" style="230" customWidth="1"/>
    <col min="11778" max="11778" width="5.625" style="230" customWidth="1"/>
    <col min="11779" max="11779" width="6.875" style="230" customWidth="1"/>
    <col min="11780" max="11780" width="13.75" style="230" customWidth="1"/>
    <col min="11781" max="11781" width="2.5" style="230" customWidth="1"/>
    <col min="11782" max="11782" width="8.75" style="230" customWidth="1"/>
    <col min="11783" max="11783" width="5.75" style="230" customWidth="1"/>
    <col min="11784" max="11784" width="12.5" style="230" customWidth="1"/>
    <col min="11785" max="11785" width="5.75" style="230" customWidth="1"/>
    <col min="11786" max="11786" width="12.5" style="230" customWidth="1"/>
    <col min="11787" max="11787" width="2.5" style="230" customWidth="1"/>
    <col min="11788" max="11788" width="8.75" style="230" customWidth="1"/>
    <col min="11789" max="11789" width="2.5" style="230" customWidth="1"/>
    <col min="11790" max="11790" width="8.75" style="230" customWidth="1"/>
    <col min="11791" max="11791" width="2.5" style="230" customWidth="1"/>
    <col min="11792" max="11792" width="8.75" style="230" customWidth="1"/>
    <col min="11793" max="11793" width="3.75" style="230" customWidth="1"/>
    <col min="11794" max="11794" width="15" style="230" bestFit="1" customWidth="1"/>
    <col min="11795" max="11795" width="5.75" style="230" customWidth="1"/>
    <col min="11796" max="11796" width="9" style="230" customWidth="1"/>
    <col min="11797" max="11797" width="5.75" style="230" customWidth="1"/>
    <col min="11798" max="11798" width="10.5" style="230" customWidth="1"/>
    <col min="11799" max="11799" width="3.375" style="230" customWidth="1"/>
    <col min="11800" max="11800" width="10.375" style="230" customWidth="1"/>
    <col min="11801" max="11801" width="12.25" style="230" customWidth="1"/>
    <col min="11802" max="11802" width="9.375" style="230" customWidth="1"/>
    <col min="11803" max="11803" width="10.25" style="230" customWidth="1"/>
    <col min="11804" max="11804" width="14.375" style="230" customWidth="1"/>
    <col min="11805" max="11806" width="9.375" style="230" customWidth="1"/>
    <col min="11807" max="11807" width="14.875" style="230" customWidth="1"/>
    <col min="11808" max="11808" width="9.375" style="230" customWidth="1"/>
    <col min="11809" max="11809" width="13.125" style="230" customWidth="1"/>
    <col min="11810" max="11810" width="5.125" style="230" customWidth="1"/>
    <col min="11811" max="12032" width="9" style="230"/>
    <col min="12033" max="12033" width="1" style="230" customWidth="1"/>
    <col min="12034" max="12034" width="5.625" style="230" customWidth="1"/>
    <col min="12035" max="12035" width="6.875" style="230" customWidth="1"/>
    <col min="12036" max="12036" width="13.75" style="230" customWidth="1"/>
    <col min="12037" max="12037" width="2.5" style="230" customWidth="1"/>
    <col min="12038" max="12038" width="8.75" style="230" customWidth="1"/>
    <col min="12039" max="12039" width="5.75" style="230" customWidth="1"/>
    <col min="12040" max="12040" width="12.5" style="230" customWidth="1"/>
    <col min="12041" max="12041" width="5.75" style="230" customWidth="1"/>
    <col min="12042" max="12042" width="12.5" style="230" customWidth="1"/>
    <col min="12043" max="12043" width="2.5" style="230" customWidth="1"/>
    <col min="12044" max="12044" width="8.75" style="230" customWidth="1"/>
    <col min="12045" max="12045" width="2.5" style="230" customWidth="1"/>
    <col min="12046" max="12046" width="8.75" style="230" customWidth="1"/>
    <col min="12047" max="12047" width="2.5" style="230" customWidth="1"/>
    <col min="12048" max="12048" width="8.75" style="230" customWidth="1"/>
    <col min="12049" max="12049" width="3.75" style="230" customWidth="1"/>
    <col min="12050" max="12050" width="15" style="230" bestFit="1" customWidth="1"/>
    <col min="12051" max="12051" width="5.75" style="230" customWidth="1"/>
    <col min="12052" max="12052" width="9" style="230" customWidth="1"/>
    <col min="12053" max="12053" width="5.75" style="230" customWidth="1"/>
    <col min="12054" max="12054" width="10.5" style="230" customWidth="1"/>
    <col min="12055" max="12055" width="3.375" style="230" customWidth="1"/>
    <col min="12056" max="12056" width="10.375" style="230" customWidth="1"/>
    <col min="12057" max="12057" width="12.25" style="230" customWidth="1"/>
    <col min="12058" max="12058" width="9.375" style="230" customWidth="1"/>
    <col min="12059" max="12059" width="10.25" style="230" customWidth="1"/>
    <col min="12060" max="12060" width="14.375" style="230" customWidth="1"/>
    <col min="12061" max="12062" width="9.375" style="230" customWidth="1"/>
    <col min="12063" max="12063" width="14.875" style="230" customWidth="1"/>
    <col min="12064" max="12064" width="9.375" style="230" customWidth="1"/>
    <col min="12065" max="12065" width="13.125" style="230" customWidth="1"/>
    <col min="12066" max="12066" width="5.125" style="230" customWidth="1"/>
    <col min="12067" max="12288" width="9" style="230"/>
    <col min="12289" max="12289" width="1" style="230" customWidth="1"/>
    <col min="12290" max="12290" width="5.625" style="230" customWidth="1"/>
    <col min="12291" max="12291" width="6.875" style="230" customWidth="1"/>
    <col min="12292" max="12292" width="13.75" style="230" customWidth="1"/>
    <col min="12293" max="12293" width="2.5" style="230" customWidth="1"/>
    <col min="12294" max="12294" width="8.75" style="230" customWidth="1"/>
    <col min="12295" max="12295" width="5.75" style="230" customWidth="1"/>
    <col min="12296" max="12296" width="12.5" style="230" customWidth="1"/>
    <col min="12297" max="12297" width="5.75" style="230" customWidth="1"/>
    <col min="12298" max="12298" width="12.5" style="230" customWidth="1"/>
    <col min="12299" max="12299" width="2.5" style="230" customWidth="1"/>
    <col min="12300" max="12300" width="8.75" style="230" customWidth="1"/>
    <col min="12301" max="12301" width="2.5" style="230" customWidth="1"/>
    <col min="12302" max="12302" width="8.75" style="230" customWidth="1"/>
    <col min="12303" max="12303" width="2.5" style="230" customWidth="1"/>
    <col min="12304" max="12304" width="8.75" style="230" customWidth="1"/>
    <col min="12305" max="12305" width="3.75" style="230" customWidth="1"/>
    <col min="12306" max="12306" width="15" style="230" bestFit="1" customWidth="1"/>
    <col min="12307" max="12307" width="5.75" style="230" customWidth="1"/>
    <col min="12308" max="12308" width="9" style="230" customWidth="1"/>
    <col min="12309" max="12309" width="5.75" style="230" customWidth="1"/>
    <col min="12310" max="12310" width="10.5" style="230" customWidth="1"/>
    <col min="12311" max="12311" width="3.375" style="230" customWidth="1"/>
    <col min="12312" max="12312" width="10.375" style="230" customWidth="1"/>
    <col min="12313" max="12313" width="12.25" style="230" customWidth="1"/>
    <col min="12314" max="12314" width="9.375" style="230" customWidth="1"/>
    <col min="12315" max="12315" width="10.25" style="230" customWidth="1"/>
    <col min="12316" max="12316" width="14.375" style="230" customWidth="1"/>
    <col min="12317" max="12318" width="9.375" style="230" customWidth="1"/>
    <col min="12319" max="12319" width="14.875" style="230" customWidth="1"/>
    <col min="12320" max="12320" width="9.375" style="230" customWidth="1"/>
    <col min="12321" max="12321" width="13.125" style="230" customWidth="1"/>
    <col min="12322" max="12322" width="5.125" style="230" customWidth="1"/>
    <col min="12323" max="12544" width="9" style="230"/>
    <col min="12545" max="12545" width="1" style="230" customWidth="1"/>
    <col min="12546" max="12546" width="5.625" style="230" customWidth="1"/>
    <col min="12547" max="12547" width="6.875" style="230" customWidth="1"/>
    <col min="12548" max="12548" width="13.75" style="230" customWidth="1"/>
    <col min="12549" max="12549" width="2.5" style="230" customWidth="1"/>
    <col min="12550" max="12550" width="8.75" style="230" customWidth="1"/>
    <col min="12551" max="12551" width="5.75" style="230" customWidth="1"/>
    <col min="12552" max="12552" width="12.5" style="230" customWidth="1"/>
    <col min="12553" max="12553" width="5.75" style="230" customWidth="1"/>
    <col min="12554" max="12554" width="12.5" style="230" customWidth="1"/>
    <col min="12555" max="12555" width="2.5" style="230" customWidth="1"/>
    <col min="12556" max="12556" width="8.75" style="230" customWidth="1"/>
    <col min="12557" max="12557" width="2.5" style="230" customWidth="1"/>
    <col min="12558" max="12558" width="8.75" style="230" customWidth="1"/>
    <col min="12559" max="12559" width="2.5" style="230" customWidth="1"/>
    <col min="12560" max="12560" width="8.75" style="230" customWidth="1"/>
    <col min="12561" max="12561" width="3.75" style="230" customWidth="1"/>
    <col min="12562" max="12562" width="15" style="230" bestFit="1" customWidth="1"/>
    <col min="12563" max="12563" width="5.75" style="230" customWidth="1"/>
    <col min="12564" max="12564" width="9" style="230" customWidth="1"/>
    <col min="12565" max="12565" width="5.75" style="230" customWidth="1"/>
    <col min="12566" max="12566" width="10.5" style="230" customWidth="1"/>
    <col min="12567" max="12567" width="3.375" style="230" customWidth="1"/>
    <col min="12568" max="12568" width="10.375" style="230" customWidth="1"/>
    <col min="12569" max="12569" width="12.25" style="230" customWidth="1"/>
    <col min="12570" max="12570" width="9.375" style="230" customWidth="1"/>
    <col min="12571" max="12571" width="10.25" style="230" customWidth="1"/>
    <col min="12572" max="12572" width="14.375" style="230" customWidth="1"/>
    <col min="12573" max="12574" width="9.375" style="230" customWidth="1"/>
    <col min="12575" max="12575" width="14.875" style="230" customWidth="1"/>
    <col min="12576" max="12576" width="9.375" style="230" customWidth="1"/>
    <col min="12577" max="12577" width="13.125" style="230" customWidth="1"/>
    <col min="12578" max="12578" width="5.125" style="230" customWidth="1"/>
    <col min="12579" max="12800" width="9" style="230"/>
    <col min="12801" max="12801" width="1" style="230" customWidth="1"/>
    <col min="12802" max="12802" width="5.625" style="230" customWidth="1"/>
    <col min="12803" max="12803" width="6.875" style="230" customWidth="1"/>
    <col min="12804" max="12804" width="13.75" style="230" customWidth="1"/>
    <col min="12805" max="12805" width="2.5" style="230" customWidth="1"/>
    <col min="12806" max="12806" width="8.75" style="230" customWidth="1"/>
    <col min="12807" max="12807" width="5.75" style="230" customWidth="1"/>
    <col min="12808" max="12808" width="12.5" style="230" customWidth="1"/>
    <col min="12809" max="12809" width="5.75" style="230" customWidth="1"/>
    <col min="12810" max="12810" width="12.5" style="230" customWidth="1"/>
    <col min="12811" max="12811" width="2.5" style="230" customWidth="1"/>
    <col min="12812" max="12812" width="8.75" style="230" customWidth="1"/>
    <col min="12813" max="12813" width="2.5" style="230" customWidth="1"/>
    <col min="12814" max="12814" width="8.75" style="230" customWidth="1"/>
    <col min="12815" max="12815" width="2.5" style="230" customWidth="1"/>
    <col min="12816" max="12816" width="8.75" style="230" customWidth="1"/>
    <col min="12817" max="12817" width="3.75" style="230" customWidth="1"/>
    <col min="12818" max="12818" width="15" style="230" bestFit="1" customWidth="1"/>
    <col min="12819" max="12819" width="5.75" style="230" customWidth="1"/>
    <col min="12820" max="12820" width="9" style="230" customWidth="1"/>
    <col min="12821" max="12821" width="5.75" style="230" customWidth="1"/>
    <col min="12822" max="12822" width="10.5" style="230" customWidth="1"/>
    <col min="12823" max="12823" width="3.375" style="230" customWidth="1"/>
    <col min="12824" max="12824" width="10.375" style="230" customWidth="1"/>
    <col min="12825" max="12825" width="12.25" style="230" customWidth="1"/>
    <col min="12826" max="12826" width="9.375" style="230" customWidth="1"/>
    <col min="12827" max="12827" width="10.25" style="230" customWidth="1"/>
    <col min="12828" max="12828" width="14.375" style="230" customWidth="1"/>
    <col min="12829" max="12830" width="9.375" style="230" customWidth="1"/>
    <col min="12831" max="12831" width="14.875" style="230" customWidth="1"/>
    <col min="12832" max="12832" width="9.375" style="230" customWidth="1"/>
    <col min="12833" max="12833" width="13.125" style="230" customWidth="1"/>
    <col min="12834" max="12834" width="5.125" style="230" customWidth="1"/>
    <col min="12835" max="13056" width="9" style="230"/>
    <col min="13057" max="13057" width="1" style="230" customWidth="1"/>
    <col min="13058" max="13058" width="5.625" style="230" customWidth="1"/>
    <col min="13059" max="13059" width="6.875" style="230" customWidth="1"/>
    <col min="13060" max="13060" width="13.75" style="230" customWidth="1"/>
    <col min="13061" max="13061" width="2.5" style="230" customWidth="1"/>
    <col min="13062" max="13062" width="8.75" style="230" customWidth="1"/>
    <col min="13063" max="13063" width="5.75" style="230" customWidth="1"/>
    <col min="13064" max="13064" width="12.5" style="230" customWidth="1"/>
    <col min="13065" max="13065" width="5.75" style="230" customWidth="1"/>
    <col min="13066" max="13066" width="12.5" style="230" customWidth="1"/>
    <col min="13067" max="13067" width="2.5" style="230" customWidth="1"/>
    <col min="13068" max="13068" width="8.75" style="230" customWidth="1"/>
    <col min="13069" max="13069" width="2.5" style="230" customWidth="1"/>
    <col min="13070" max="13070" width="8.75" style="230" customWidth="1"/>
    <col min="13071" max="13071" width="2.5" style="230" customWidth="1"/>
    <col min="13072" max="13072" width="8.75" style="230" customWidth="1"/>
    <col min="13073" max="13073" width="3.75" style="230" customWidth="1"/>
    <col min="13074" max="13074" width="15" style="230" bestFit="1" customWidth="1"/>
    <col min="13075" max="13075" width="5.75" style="230" customWidth="1"/>
    <col min="13076" max="13076" width="9" style="230" customWidth="1"/>
    <col min="13077" max="13077" width="5.75" style="230" customWidth="1"/>
    <col min="13078" max="13078" width="10.5" style="230" customWidth="1"/>
    <col min="13079" max="13079" width="3.375" style="230" customWidth="1"/>
    <col min="13080" max="13080" width="10.375" style="230" customWidth="1"/>
    <col min="13081" max="13081" width="12.25" style="230" customWidth="1"/>
    <col min="13082" max="13082" width="9.375" style="230" customWidth="1"/>
    <col min="13083" max="13083" width="10.25" style="230" customWidth="1"/>
    <col min="13084" max="13084" width="14.375" style="230" customWidth="1"/>
    <col min="13085" max="13086" width="9.375" style="230" customWidth="1"/>
    <col min="13087" max="13087" width="14.875" style="230" customWidth="1"/>
    <col min="13088" max="13088" width="9.375" style="230" customWidth="1"/>
    <col min="13089" max="13089" width="13.125" style="230" customWidth="1"/>
    <col min="13090" max="13090" width="5.125" style="230" customWidth="1"/>
    <col min="13091" max="13312" width="9" style="230"/>
    <col min="13313" max="13313" width="1" style="230" customWidth="1"/>
    <col min="13314" max="13314" width="5.625" style="230" customWidth="1"/>
    <col min="13315" max="13315" width="6.875" style="230" customWidth="1"/>
    <col min="13316" max="13316" width="13.75" style="230" customWidth="1"/>
    <col min="13317" max="13317" width="2.5" style="230" customWidth="1"/>
    <col min="13318" max="13318" width="8.75" style="230" customWidth="1"/>
    <col min="13319" max="13319" width="5.75" style="230" customWidth="1"/>
    <col min="13320" max="13320" width="12.5" style="230" customWidth="1"/>
    <col min="13321" max="13321" width="5.75" style="230" customWidth="1"/>
    <col min="13322" max="13322" width="12.5" style="230" customWidth="1"/>
    <col min="13323" max="13323" width="2.5" style="230" customWidth="1"/>
    <col min="13324" max="13324" width="8.75" style="230" customWidth="1"/>
    <col min="13325" max="13325" width="2.5" style="230" customWidth="1"/>
    <col min="13326" max="13326" width="8.75" style="230" customWidth="1"/>
    <col min="13327" max="13327" width="2.5" style="230" customWidth="1"/>
    <col min="13328" max="13328" width="8.75" style="230" customWidth="1"/>
    <col min="13329" max="13329" width="3.75" style="230" customWidth="1"/>
    <col min="13330" max="13330" width="15" style="230" bestFit="1" customWidth="1"/>
    <col min="13331" max="13331" width="5.75" style="230" customWidth="1"/>
    <col min="13332" max="13332" width="9" style="230" customWidth="1"/>
    <col min="13333" max="13333" width="5.75" style="230" customWidth="1"/>
    <col min="13334" max="13334" width="10.5" style="230" customWidth="1"/>
    <col min="13335" max="13335" width="3.375" style="230" customWidth="1"/>
    <col min="13336" max="13336" width="10.375" style="230" customWidth="1"/>
    <col min="13337" max="13337" width="12.25" style="230" customWidth="1"/>
    <col min="13338" max="13338" width="9.375" style="230" customWidth="1"/>
    <col min="13339" max="13339" width="10.25" style="230" customWidth="1"/>
    <col min="13340" max="13340" width="14.375" style="230" customWidth="1"/>
    <col min="13341" max="13342" width="9.375" style="230" customWidth="1"/>
    <col min="13343" max="13343" width="14.875" style="230" customWidth="1"/>
    <col min="13344" max="13344" width="9.375" style="230" customWidth="1"/>
    <col min="13345" max="13345" width="13.125" style="230" customWidth="1"/>
    <col min="13346" max="13346" width="5.125" style="230" customWidth="1"/>
    <col min="13347" max="13568" width="9" style="230"/>
    <col min="13569" max="13569" width="1" style="230" customWidth="1"/>
    <col min="13570" max="13570" width="5.625" style="230" customWidth="1"/>
    <col min="13571" max="13571" width="6.875" style="230" customWidth="1"/>
    <col min="13572" max="13572" width="13.75" style="230" customWidth="1"/>
    <col min="13573" max="13573" width="2.5" style="230" customWidth="1"/>
    <col min="13574" max="13574" width="8.75" style="230" customWidth="1"/>
    <col min="13575" max="13575" width="5.75" style="230" customWidth="1"/>
    <col min="13576" max="13576" width="12.5" style="230" customWidth="1"/>
    <col min="13577" max="13577" width="5.75" style="230" customWidth="1"/>
    <col min="13578" max="13578" width="12.5" style="230" customWidth="1"/>
    <col min="13579" max="13579" width="2.5" style="230" customWidth="1"/>
    <col min="13580" max="13580" width="8.75" style="230" customWidth="1"/>
    <col min="13581" max="13581" width="2.5" style="230" customWidth="1"/>
    <col min="13582" max="13582" width="8.75" style="230" customWidth="1"/>
    <col min="13583" max="13583" width="2.5" style="230" customWidth="1"/>
    <col min="13584" max="13584" width="8.75" style="230" customWidth="1"/>
    <col min="13585" max="13585" width="3.75" style="230" customWidth="1"/>
    <col min="13586" max="13586" width="15" style="230" bestFit="1" customWidth="1"/>
    <col min="13587" max="13587" width="5.75" style="230" customWidth="1"/>
    <col min="13588" max="13588" width="9" style="230" customWidth="1"/>
    <col min="13589" max="13589" width="5.75" style="230" customWidth="1"/>
    <col min="13590" max="13590" width="10.5" style="230" customWidth="1"/>
    <col min="13591" max="13591" width="3.375" style="230" customWidth="1"/>
    <col min="13592" max="13592" width="10.375" style="230" customWidth="1"/>
    <col min="13593" max="13593" width="12.25" style="230" customWidth="1"/>
    <col min="13594" max="13594" width="9.375" style="230" customWidth="1"/>
    <col min="13595" max="13595" width="10.25" style="230" customWidth="1"/>
    <col min="13596" max="13596" width="14.375" style="230" customWidth="1"/>
    <col min="13597" max="13598" width="9.375" style="230" customWidth="1"/>
    <col min="13599" max="13599" width="14.875" style="230" customWidth="1"/>
    <col min="13600" max="13600" width="9.375" style="230" customWidth="1"/>
    <col min="13601" max="13601" width="13.125" style="230" customWidth="1"/>
    <col min="13602" max="13602" width="5.125" style="230" customWidth="1"/>
    <col min="13603" max="13824" width="9" style="230"/>
    <col min="13825" max="13825" width="1" style="230" customWidth="1"/>
    <col min="13826" max="13826" width="5.625" style="230" customWidth="1"/>
    <col min="13827" max="13827" width="6.875" style="230" customWidth="1"/>
    <col min="13828" max="13828" width="13.75" style="230" customWidth="1"/>
    <col min="13829" max="13829" width="2.5" style="230" customWidth="1"/>
    <col min="13830" max="13830" width="8.75" style="230" customWidth="1"/>
    <col min="13831" max="13831" width="5.75" style="230" customWidth="1"/>
    <col min="13832" max="13832" width="12.5" style="230" customWidth="1"/>
    <col min="13833" max="13833" width="5.75" style="230" customWidth="1"/>
    <col min="13834" max="13834" width="12.5" style="230" customWidth="1"/>
    <col min="13835" max="13835" width="2.5" style="230" customWidth="1"/>
    <col min="13836" max="13836" width="8.75" style="230" customWidth="1"/>
    <col min="13837" max="13837" width="2.5" style="230" customWidth="1"/>
    <col min="13838" max="13838" width="8.75" style="230" customWidth="1"/>
    <col min="13839" max="13839" width="2.5" style="230" customWidth="1"/>
    <col min="13840" max="13840" width="8.75" style="230" customWidth="1"/>
    <col min="13841" max="13841" width="3.75" style="230" customWidth="1"/>
    <col min="13842" max="13842" width="15" style="230" bestFit="1" customWidth="1"/>
    <col min="13843" max="13843" width="5.75" style="230" customWidth="1"/>
    <col min="13844" max="13844" width="9" style="230" customWidth="1"/>
    <col min="13845" max="13845" width="5.75" style="230" customWidth="1"/>
    <col min="13846" max="13846" width="10.5" style="230" customWidth="1"/>
    <col min="13847" max="13847" width="3.375" style="230" customWidth="1"/>
    <col min="13848" max="13848" width="10.375" style="230" customWidth="1"/>
    <col min="13849" max="13849" width="12.25" style="230" customWidth="1"/>
    <col min="13850" max="13850" width="9.375" style="230" customWidth="1"/>
    <col min="13851" max="13851" width="10.25" style="230" customWidth="1"/>
    <col min="13852" max="13852" width="14.375" style="230" customWidth="1"/>
    <col min="13853" max="13854" width="9.375" style="230" customWidth="1"/>
    <col min="13855" max="13855" width="14.875" style="230" customWidth="1"/>
    <col min="13856" max="13856" width="9.375" style="230" customWidth="1"/>
    <col min="13857" max="13857" width="13.125" style="230" customWidth="1"/>
    <col min="13858" max="13858" width="5.125" style="230" customWidth="1"/>
    <col min="13859" max="14080" width="9" style="230"/>
    <col min="14081" max="14081" width="1" style="230" customWidth="1"/>
    <col min="14082" max="14082" width="5.625" style="230" customWidth="1"/>
    <col min="14083" max="14083" width="6.875" style="230" customWidth="1"/>
    <col min="14084" max="14084" width="13.75" style="230" customWidth="1"/>
    <col min="14085" max="14085" width="2.5" style="230" customWidth="1"/>
    <col min="14086" max="14086" width="8.75" style="230" customWidth="1"/>
    <col min="14087" max="14087" width="5.75" style="230" customWidth="1"/>
    <col min="14088" max="14088" width="12.5" style="230" customWidth="1"/>
    <col min="14089" max="14089" width="5.75" style="230" customWidth="1"/>
    <col min="14090" max="14090" width="12.5" style="230" customWidth="1"/>
    <col min="14091" max="14091" width="2.5" style="230" customWidth="1"/>
    <col min="14092" max="14092" width="8.75" style="230" customWidth="1"/>
    <col min="14093" max="14093" width="2.5" style="230" customWidth="1"/>
    <col min="14094" max="14094" width="8.75" style="230" customWidth="1"/>
    <col min="14095" max="14095" width="2.5" style="230" customWidth="1"/>
    <col min="14096" max="14096" width="8.75" style="230" customWidth="1"/>
    <col min="14097" max="14097" width="3.75" style="230" customWidth="1"/>
    <col min="14098" max="14098" width="15" style="230" bestFit="1" customWidth="1"/>
    <col min="14099" max="14099" width="5.75" style="230" customWidth="1"/>
    <col min="14100" max="14100" width="9" style="230" customWidth="1"/>
    <col min="14101" max="14101" width="5.75" style="230" customWidth="1"/>
    <col min="14102" max="14102" width="10.5" style="230" customWidth="1"/>
    <col min="14103" max="14103" width="3.375" style="230" customWidth="1"/>
    <col min="14104" max="14104" width="10.375" style="230" customWidth="1"/>
    <col min="14105" max="14105" width="12.25" style="230" customWidth="1"/>
    <col min="14106" max="14106" width="9.375" style="230" customWidth="1"/>
    <col min="14107" max="14107" width="10.25" style="230" customWidth="1"/>
    <col min="14108" max="14108" width="14.375" style="230" customWidth="1"/>
    <col min="14109" max="14110" width="9.375" style="230" customWidth="1"/>
    <col min="14111" max="14111" width="14.875" style="230" customWidth="1"/>
    <col min="14112" max="14112" width="9.375" style="230" customWidth="1"/>
    <col min="14113" max="14113" width="13.125" style="230" customWidth="1"/>
    <col min="14114" max="14114" width="5.125" style="230" customWidth="1"/>
    <col min="14115" max="14336" width="9" style="230"/>
    <col min="14337" max="14337" width="1" style="230" customWidth="1"/>
    <col min="14338" max="14338" width="5.625" style="230" customWidth="1"/>
    <col min="14339" max="14339" width="6.875" style="230" customWidth="1"/>
    <col min="14340" max="14340" width="13.75" style="230" customWidth="1"/>
    <col min="14341" max="14341" width="2.5" style="230" customWidth="1"/>
    <col min="14342" max="14342" width="8.75" style="230" customWidth="1"/>
    <col min="14343" max="14343" width="5.75" style="230" customWidth="1"/>
    <col min="14344" max="14344" width="12.5" style="230" customWidth="1"/>
    <col min="14345" max="14345" width="5.75" style="230" customWidth="1"/>
    <col min="14346" max="14346" width="12.5" style="230" customWidth="1"/>
    <col min="14347" max="14347" width="2.5" style="230" customWidth="1"/>
    <col min="14348" max="14348" width="8.75" style="230" customWidth="1"/>
    <col min="14349" max="14349" width="2.5" style="230" customWidth="1"/>
    <col min="14350" max="14350" width="8.75" style="230" customWidth="1"/>
    <col min="14351" max="14351" width="2.5" style="230" customWidth="1"/>
    <col min="14352" max="14352" width="8.75" style="230" customWidth="1"/>
    <col min="14353" max="14353" width="3.75" style="230" customWidth="1"/>
    <col min="14354" max="14354" width="15" style="230" bestFit="1" customWidth="1"/>
    <col min="14355" max="14355" width="5.75" style="230" customWidth="1"/>
    <col min="14356" max="14356" width="9" style="230" customWidth="1"/>
    <col min="14357" max="14357" width="5.75" style="230" customWidth="1"/>
    <col min="14358" max="14358" width="10.5" style="230" customWidth="1"/>
    <col min="14359" max="14359" width="3.375" style="230" customWidth="1"/>
    <col min="14360" max="14360" width="10.375" style="230" customWidth="1"/>
    <col min="14361" max="14361" width="12.25" style="230" customWidth="1"/>
    <col min="14362" max="14362" width="9.375" style="230" customWidth="1"/>
    <col min="14363" max="14363" width="10.25" style="230" customWidth="1"/>
    <col min="14364" max="14364" width="14.375" style="230" customWidth="1"/>
    <col min="14365" max="14366" width="9.375" style="230" customWidth="1"/>
    <col min="14367" max="14367" width="14.875" style="230" customWidth="1"/>
    <col min="14368" max="14368" width="9.375" style="230" customWidth="1"/>
    <col min="14369" max="14369" width="13.125" style="230" customWidth="1"/>
    <col min="14370" max="14370" width="5.125" style="230" customWidth="1"/>
    <col min="14371" max="14592" width="9" style="230"/>
    <col min="14593" max="14593" width="1" style="230" customWidth="1"/>
    <col min="14594" max="14594" width="5.625" style="230" customWidth="1"/>
    <col min="14595" max="14595" width="6.875" style="230" customWidth="1"/>
    <col min="14596" max="14596" width="13.75" style="230" customWidth="1"/>
    <col min="14597" max="14597" width="2.5" style="230" customWidth="1"/>
    <col min="14598" max="14598" width="8.75" style="230" customWidth="1"/>
    <col min="14599" max="14599" width="5.75" style="230" customWidth="1"/>
    <col min="14600" max="14600" width="12.5" style="230" customWidth="1"/>
    <col min="14601" max="14601" width="5.75" style="230" customWidth="1"/>
    <col min="14602" max="14602" width="12.5" style="230" customWidth="1"/>
    <col min="14603" max="14603" width="2.5" style="230" customWidth="1"/>
    <col min="14604" max="14604" width="8.75" style="230" customWidth="1"/>
    <col min="14605" max="14605" width="2.5" style="230" customWidth="1"/>
    <col min="14606" max="14606" width="8.75" style="230" customWidth="1"/>
    <col min="14607" max="14607" width="2.5" style="230" customWidth="1"/>
    <col min="14608" max="14608" width="8.75" style="230" customWidth="1"/>
    <col min="14609" max="14609" width="3.75" style="230" customWidth="1"/>
    <col min="14610" max="14610" width="15" style="230" bestFit="1" customWidth="1"/>
    <col min="14611" max="14611" width="5.75" style="230" customWidth="1"/>
    <col min="14612" max="14612" width="9" style="230" customWidth="1"/>
    <col min="14613" max="14613" width="5.75" style="230" customWidth="1"/>
    <col min="14614" max="14614" width="10.5" style="230" customWidth="1"/>
    <col min="14615" max="14615" width="3.375" style="230" customWidth="1"/>
    <col min="14616" max="14616" width="10.375" style="230" customWidth="1"/>
    <col min="14617" max="14617" width="12.25" style="230" customWidth="1"/>
    <col min="14618" max="14618" width="9.375" style="230" customWidth="1"/>
    <col min="14619" max="14619" width="10.25" style="230" customWidth="1"/>
    <col min="14620" max="14620" width="14.375" style="230" customWidth="1"/>
    <col min="14621" max="14622" width="9.375" style="230" customWidth="1"/>
    <col min="14623" max="14623" width="14.875" style="230" customWidth="1"/>
    <col min="14624" max="14624" width="9.375" style="230" customWidth="1"/>
    <col min="14625" max="14625" width="13.125" style="230" customWidth="1"/>
    <col min="14626" max="14626" width="5.125" style="230" customWidth="1"/>
    <col min="14627" max="14848" width="9" style="230"/>
    <col min="14849" max="14849" width="1" style="230" customWidth="1"/>
    <col min="14850" max="14850" width="5.625" style="230" customWidth="1"/>
    <col min="14851" max="14851" width="6.875" style="230" customWidth="1"/>
    <col min="14852" max="14852" width="13.75" style="230" customWidth="1"/>
    <col min="14853" max="14853" width="2.5" style="230" customWidth="1"/>
    <col min="14854" max="14854" width="8.75" style="230" customWidth="1"/>
    <col min="14855" max="14855" width="5.75" style="230" customWidth="1"/>
    <col min="14856" max="14856" width="12.5" style="230" customWidth="1"/>
    <col min="14857" max="14857" width="5.75" style="230" customWidth="1"/>
    <col min="14858" max="14858" width="12.5" style="230" customWidth="1"/>
    <col min="14859" max="14859" width="2.5" style="230" customWidth="1"/>
    <col min="14860" max="14860" width="8.75" style="230" customWidth="1"/>
    <col min="14861" max="14861" width="2.5" style="230" customWidth="1"/>
    <col min="14862" max="14862" width="8.75" style="230" customWidth="1"/>
    <col min="14863" max="14863" width="2.5" style="230" customWidth="1"/>
    <col min="14864" max="14864" width="8.75" style="230" customWidth="1"/>
    <col min="14865" max="14865" width="3.75" style="230" customWidth="1"/>
    <col min="14866" max="14866" width="15" style="230" bestFit="1" customWidth="1"/>
    <col min="14867" max="14867" width="5.75" style="230" customWidth="1"/>
    <col min="14868" max="14868" width="9" style="230" customWidth="1"/>
    <col min="14869" max="14869" width="5.75" style="230" customWidth="1"/>
    <col min="14870" max="14870" width="10.5" style="230" customWidth="1"/>
    <col min="14871" max="14871" width="3.375" style="230" customWidth="1"/>
    <col min="14872" max="14872" width="10.375" style="230" customWidth="1"/>
    <col min="14873" max="14873" width="12.25" style="230" customWidth="1"/>
    <col min="14874" max="14874" width="9.375" style="230" customWidth="1"/>
    <col min="14875" max="14875" width="10.25" style="230" customWidth="1"/>
    <col min="14876" max="14876" width="14.375" style="230" customWidth="1"/>
    <col min="14877" max="14878" width="9.375" style="230" customWidth="1"/>
    <col min="14879" max="14879" width="14.875" style="230" customWidth="1"/>
    <col min="14880" max="14880" width="9.375" style="230" customWidth="1"/>
    <col min="14881" max="14881" width="13.125" style="230" customWidth="1"/>
    <col min="14882" max="14882" width="5.125" style="230" customWidth="1"/>
    <col min="14883" max="15104" width="9" style="230"/>
    <col min="15105" max="15105" width="1" style="230" customWidth="1"/>
    <col min="15106" max="15106" width="5.625" style="230" customWidth="1"/>
    <col min="15107" max="15107" width="6.875" style="230" customWidth="1"/>
    <col min="15108" max="15108" width="13.75" style="230" customWidth="1"/>
    <col min="15109" max="15109" width="2.5" style="230" customWidth="1"/>
    <col min="15110" max="15110" width="8.75" style="230" customWidth="1"/>
    <col min="15111" max="15111" width="5.75" style="230" customWidth="1"/>
    <col min="15112" max="15112" width="12.5" style="230" customWidth="1"/>
    <col min="15113" max="15113" width="5.75" style="230" customWidth="1"/>
    <col min="15114" max="15114" width="12.5" style="230" customWidth="1"/>
    <col min="15115" max="15115" width="2.5" style="230" customWidth="1"/>
    <col min="15116" max="15116" width="8.75" style="230" customWidth="1"/>
    <col min="15117" max="15117" width="2.5" style="230" customWidth="1"/>
    <col min="15118" max="15118" width="8.75" style="230" customWidth="1"/>
    <col min="15119" max="15119" width="2.5" style="230" customWidth="1"/>
    <col min="15120" max="15120" width="8.75" style="230" customWidth="1"/>
    <col min="15121" max="15121" width="3.75" style="230" customWidth="1"/>
    <col min="15122" max="15122" width="15" style="230" bestFit="1" customWidth="1"/>
    <col min="15123" max="15123" width="5.75" style="230" customWidth="1"/>
    <col min="15124" max="15124" width="9" style="230" customWidth="1"/>
    <col min="15125" max="15125" width="5.75" style="230" customWidth="1"/>
    <col min="15126" max="15126" width="10.5" style="230" customWidth="1"/>
    <col min="15127" max="15127" width="3.375" style="230" customWidth="1"/>
    <col min="15128" max="15128" width="10.375" style="230" customWidth="1"/>
    <col min="15129" max="15129" width="12.25" style="230" customWidth="1"/>
    <col min="15130" max="15130" width="9.375" style="230" customWidth="1"/>
    <col min="15131" max="15131" width="10.25" style="230" customWidth="1"/>
    <col min="15132" max="15132" width="14.375" style="230" customWidth="1"/>
    <col min="15133" max="15134" width="9.375" style="230" customWidth="1"/>
    <col min="15135" max="15135" width="14.875" style="230" customWidth="1"/>
    <col min="15136" max="15136" width="9.375" style="230" customWidth="1"/>
    <col min="15137" max="15137" width="13.125" style="230" customWidth="1"/>
    <col min="15138" max="15138" width="5.125" style="230" customWidth="1"/>
    <col min="15139" max="15360" width="9" style="230"/>
    <col min="15361" max="15361" width="1" style="230" customWidth="1"/>
    <col min="15362" max="15362" width="5.625" style="230" customWidth="1"/>
    <col min="15363" max="15363" width="6.875" style="230" customWidth="1"/>
    <col min="15364" max="15364" width="13.75" style="230" customWidth="1"/>
    <col min="15365" max="15365" width="2.5" style="230" customWidth="1"/>
    <col min="15366" max="15366" width="8.75" style="230" customWidth="1"/>
    <col min="15367" max="15367" width="5.75" style="230" customWidth="1"/>
    <col min="15368" max="15368" width="12.5" style="230" customWidth="1"/>
    <col min="15369" max="15369" width="5.75" style="230" customWidth="1"/>
    <col min="15370" max="15370" width="12.5" style="230" customWidth="1"/>
    <col min="15371" max="15371" width="2.5" style="230" customWidth="1"/>
    <col min="15372" max="15372" width="8.75" style="230" customWidth="1"/>
    <col min="15373" max="15373" width="2.5" style="230" customWidth="1"/>
    <col min="15374" max="15374" width="8.75" style="230" customWidth="1"/>
    <col min="15375" max="15375" width="2.5" style="230" customWidth="1"/>
    <col min="15376" max="15376" width="8.75" style="230" customWidth="1"/>
    <col min="15377" max="15377" width="3.75" style="230" customWidth="1"/>
    <col min="15378" max="15378" width="15" style="230" bestFit="1" customWidth="1"/>
    <col min="15379" max="15379" width="5.75" style="230" customWidth="1"/>
    <col min="15380" max="15380" width="9" style="230" customWidth="1"/>
    <col min="15381" max="15381" width="5.75" style="230" customWidth="1"/>
    <col min="15382" max="15382" width="10.5" style="230" customWidth="1"/>
    <col min="15383" max="15383" width="3.375" style="230" customWidth="1"/>
    <col min="15384" max="15384" width="10.375" style="230" customWidth="1"/>
    <col min="15385" max="15385" width="12.25" style="230" customWidth="1"/>
    <col min="15386" max="15386" width="9.375" style="230" customWidth="1"/>
    <col min="15387" max="15387" width="10.25" style="230" customWidth="1"/>
    <col min="15388" max="15388" width="14.375" style="230" customWidth="1"/>
    <col min="15389" max="15390" width="9.375" style="230" customWidth="1"/>
    <col min="15391" max="15391" width="14.875" style="230" customWidth="1"/>
    <col min="15392" max="15392" width="9.375" style="230" customWidth="1"/>
    <col min="15393" max="15393" width="13.125" style="230" customWidth="1"/>
    <col min="15394" max="15394" width="5.125" style="230" customWidth="1"/>
    <col min="15395" max="15616" width="9" style="230"/>
    <col min="15617" max="15617" width="1" style="230" customWidth="1"/>
    <col min="15618" max="15618" width="5.625" style="230" customWidth="1"/>
    <col min="15619" max="15619" width="6.875" style="230" customWidth="1"/>
    <col min="15620" max="15620" width="13.75" style="230" customWidth="1"/>
    <col min="15621" max="15621" width="2.5" style="230" customWidth="1"/>
    <col min="15622" max="15622" width="8.75" style="230" customWidth="1"/>
    <col min="15623" max="15623" width="5.75" style="230" customWidth="1"/>
    <col min="15624" max="15624" width="12.5" style="230" customWidth="1"/>
    <col min="15625" max="15625" width="5.75" style="230" customWidth="1"/>
    <col min="15626" max="15626" width="12.5" style="230" customWidth="1"/>
    <col min="15627" max="15627" width="2.5" style="230" customWidth="1"/>
    <col min="15628" max="15628" width="8.75" style="230" customWidth="1"/>
    <col min="15629" max="15629" width="2.5" style="230" customWidth="1"/>
    <col min="15630" max="15630" width="8.75" style="230" customWidth="1"/>
    <col min="15631" max="15631" width="2.5" style="230" customWidth="1"/>
    <col min="15632" max="15632" width="8.75" style="230" customWidth="1"/>
    <col min="15633" max="15633" width="3.75" style="230" customWidth="1"/>
    <col min="15634" max="15634" width="15" style="230" bestFit="1" customWidth="1"/>
    <col min="15635" max="15635" width="5.75" style="230" customWidth="1"/>
    <col min="15636" max="15636" width="9" style="230" customWidth="1"/>
    <col min="15637" max="15637" width="5.75" style="230" customWidth="1"/>
    <col min="15638" max="15638" width="10.5" style="230" customWidth="1"/>
    <col min="15639" max="15639" width="3.375" style="230" customWidth="1"/>
    <col min="15640" max="15640" width="10.375" style="230" customWidth="1"/>
    <col min="15641" max="15641" width="12.25" style="230" customWidth="1"/>
    <col min="15642" max="15642" width="9.375" style="230" customWidth="1"/>
    <col min="15643" max="15643" width="10.25" style="230" customWidth="1"/>
    <col min="15644" max="15644" width="14.375" style="230" customWidth="1"/>
    <col min="15645" max="15646" width="9.375" style="230" customWidth="1"/>
    <col min="15647" max="15647" width="14.875" style="230" customWidth="1"/>
    <col min="15648" max="15648" width="9.375" style="230" customWidth="1"/>
    <col min="15649" max="15649" width="13.125" style="230" customWidth="1"/>
    <col min="15650" max="15650" width="5.125" style="230" customWidth="1"/>
    <col min="15651" max="15872" width="9" style="230"/>
    <col min="15873" max="15873" width="1" style="230" customWidth="1"/>
    <col min="15874" max="15874" width="5.625" style="230" customWidth="1"/>
    <col min="15875" max="15875" width="6.875" style="230" customWidth="1"/>
    <col min="15876" max="15876" width="13.75" style="230" customWidth="1"/>
    <col min="15877" max="15877" width="2.5" style="230" customWidth="1"/>
    <col min="15878" max="15878" width="8.75" style="230" customWidth="1"/>
    <col min="15879" max="15879" width="5.75" style="230" customWidth="1"/>
    <col min="15880" max="15880" width="12.5" style="230" customWidth="1"/>
    <col min="15881" max="15881" width="5.75" style="230" customWidth="1"/>
    <col min="15882" max="15882" width="12.5" style="230" customWidth="1"/>
    <col min="15883" max="15883" width="2.5" style="230" customWidth="1"/>
    <col min="15884" max="15884" width="8.75" style="230" customWidth="1"/>
    <col min="15885" max="15885" width="2.5" style="230" customWidth="1"/>
    <col min="15886" max="15886" width="8.75" style="230" customWidth="1"/>
    <col min="15887" max="15887" width="2.5" style="230" customWidth="1"/>
    <col min="15888" max="15888" width="8.75" style="230" customWidth="1"/>
    <col min="15889" max="15889" width="3.75" style="230" customWidth="1"/>
    <col min="15890" max="15890" width="15" style="230" bestFit="1" customWidth="1"/>
    <col min="15891" max="15891" width="5.75" style="230" customWidth="1"/>
    <col min="15892" max="15892" width="9" style="230" customWidth="1"/>
    <col min="15893" max="15893" width="5.75" style="230" customWidth="1"/>
    <col min="15894" max="15894" width="10.5" style="230" customWidth="1"/>
    <col min="15895" max="15895" width="3.375" style="230" customWidth="1"/>
    <col min="15896" max="15896" width="10.375" style="230" customWidth="1"/>
    <col min="15897" max="15897" width="12.25" style="230" customWidth="1"/>
    <col min="15898" max="15898" width="9.375" style="230" customWidth="1"/>
    <col min="15899" max="15899" width="10.25" style="230" customWidth="1"/>
    <col min="15900" max="15900" width="14.375" style="230" customWidth="1"/>
    <col min="15901" max="15902" width="9.375" style="230" customWidth="1"/>
    <col min="15903" max="15903" width="14.875" style="230" customWidth="1"/>
    <col min="15904" max="15904" width="9.375" style="230" customWidth="1"/>
    <col min="15905" max="15905" width="13.125" style="230" customWidth="1"/>
    <col min="15906" max="15906" width="5.125" style="230" customWidth="1"/>
    <col min="15907" max="16128" width="9" style="230"/>
    <col min="16129" max="16129" width="1" style="230" customWidth="1"/>
    <col min="16130" max="16130" width="5.625" style="230" customWidth="1"/>
    <col min="16131" max="16131" width="6.875" style="230" customWidth="1"/>
    <col min="16132" max="16132" width="13.75" style="230" customWidth="1"/>
    <col min="16133" max="16133" width="2.5" style="230" customWidth="1"/>
    <col min="16134" max="16134" width="8.75" style="230" customWidth="1"/>
    <col min="16135" max="16135" width="5.75" style="230" customWidth="1"/>
    <col min="16136" max="16136" width="12.5" style="230" customWidth="1"/>
    <col min="16137" max="16137" width="5.75" style="230" customWidth="1"/>
    <col min="16138" max="16138" width="12.5" style="230" customWidth="1"/>
    <col min="16139" max="16139" width="2.5" style="230" customWidth="1"/>
    <col min="16140" max="16140" width="8.75" style="230" customWidth="1"/>
    <col min="16141" max="16141" width="2.5" style="230" customWidth="1"/>
    <col min="16142" max="16142" width="8.75" style="230" customWidth="1"/>
    <col min="16143" max="16143" width="2.5" style="230" customWidth="1"/>
    <col min="16144" max="16144" width="8.75" style="230" customWidth="1"/>
    <col min="16145" max="16145" width="3.75" style="230" customWidth="1"/>
    <col min="16146" max="16146" width="15" style="230" bestFit="1" customWidth="1"/>
    <col min="16147" max="16147" width="5.75" style="230" customWidth="1"/>
    <col min="16148" max="16148" width="9" style="230" customWidth="1"/>
    <col min="16149" max="16149" width="5.75" style="230" customWidth="1"/>
    <col min="16150" max="16150" width="10.5" style="230" customWidth="1"/>
    <col min="16151" max="16151" width="3.375" style="230" customWidth="1"/>
    <col min="16152" max="16152" width="10.375" style="230" customWidth="1"/>
    <col min="16153" max="16153" width="12.25" style="230" customWidth="1"/>
    <col min="16154" max="16154" width="9.375" style="230" customWidth="1"/>
    <col min="16155" max="16155" width="10.25" style="230" customWidth="1"/>
    <col min="16156" max="16156" width="14.375" style="230" customWidth="1"/>
    <col min="16157" max="16158" width="9.375" style="230" customWidth="1"/>
    <col min="16159" max="16159" width="14.875" style="230" customWidth="1"/>
    <col min="16160" max="16160" width="9.375" style="230" customWidth="1"/>
    <col min="16161" max="16161" width="13.125" style="230" customWidth="1"/>
    <col min="16162" max="16162" width="5.125" style="230" customWidth="1"/>
    <col min="16163" max="16384" width="9" style="230"/>
  </cols>
  <sheetData>
    <row r="1" spans="1:34" ht="29.25" customHeight="1" thickBot="1">
      <c r="B1" s="449">
        <v>1</v>
      </c>
      <c r="C1" s="2672" t="s">
        <v>652</v>
      </c>
      <c r="D1" s="2672"/>
      <c r="E1" s="1018" t="s">
        <v>218</v>
      </c>
      <c r="F1" s="1018"/>
      <c r="Y1" s="1173" t="str">
        <f>C1</f>
        <v>令和7年度</v>
      </c>
      <c r="Z1" s="2673"/>
      <c r="AA1" s="2673"/>
      <c r="AB1" s="1174"/>
      <c r="AC1" s="230"/>
      <c r="AD1" s="1175"/>
      <c r="AE1" s="1175"/>
      <c r="AG1" s="454"/>
      <c r="AH1" s="454"/>
    </row>
    <row r="2" spans="1:34" ht="24" customHeight="1">
      <c r="A2" s="455"/>
      <c r="B2" s="2512" t="s">
        <v>0</v>
      </c>
      <c r="C2" s="2515" t="s">
        <v>220</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549" t="s">
        <v>75</v>
      </c>
      <c r="X2" s="2677"/>
      <c r="Y2" s="2664" t="s">
        <v>224</v>
      </c>
      <c r="Z2" s="2667" t="s">
        <v>221</v>
      </c>
      <c r="AA2" s="2548"/>
      <c r="AB2" s="2523"/>
      <c r="AC2" s="2545" t="s">
        <v>74</v>
      </c>
      <c r="AD2" s="2546"/>
      <c r="AE2" s="2669" t="s">
        <v>356</v>
      </c>
      <c r="AF2" s="2669" t="s">
        <v>222</v>
      </c>
      <c r="AG2" s="2669" t="s">
        <v>223</v>
      </c>
      <c r="AH2" s="456"/>
    </row>
    <row r="3" spans="1:34" ht="24"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550"/>
      <c r="X3" s="2678"/>
      <c r="Y3" s="2665"/>
      <c r="Z3" s="2679" t="s">
        <v>225</v>
      </c>
      <c r="AA3" s="2681" t="s">
        <v>77</v>
      </c>
      <c r="AB3" s="2681" t="s">
        <v>227</v>
      </c>
      <c r="AC3" s="2683" t="s">
        <v>229</v>
      </c>
      <c r="AD3" s="2681" t="s">
        <v>228</v>
      </c>
      <c r="AE3" s="2670"/>
      <c r="AF3" s="2670"/>
      <c r="AG3" s="2670"/>
      <c r="AH3" s="456"/>
    </row>
    <row r="4" spans="1:34" ht="24" customHeight="1">
      <c r="A4" s="455"/>
      <c r="B4" s="2514"/>
      <c r="C4" s="457" t="s">
        <v>230</v>
      </c>
      <c r="D4" s="458" t="s">
        <v>231</v>
      </c>
      <c r="E4" s="459" t="s">
        <v>230</v>
      </c>
      <c r="F4" s="1003" t="s">
        <v>232</v>
      </c>
      <c r="G4" s="460" t="s">
        <v>230</v>
      </c>
      <c r="H4" s="1003" t="s">
        <v>232</v>
      </c>
      <c r="I4" s="459" t="s">
        <v>230</v>
      </c>
      <c r="J4" s="1003" t="s">
        <v>232</v>
      </c>
      <c r="K4" s="460" t="s">
        <v>230</v>
      </c>
      <c r="L4" s="18" t="s">
        <v>232</v>
      </c>
      <c r="M4" s="460" t="s">
        <v>230</v>
      </c>
      <c r="N4" s="1003" t="s">
        <v>232</v>
      </c>
      <c r="O4" s="460" t="s">
        <v>230</v>
      </c>
      <c r="P4" s="18" t="s">
        <v>232</v>
      </c>
      <c r="Q4" s="1021" t="s">
        <v>230</v>
      </c>
      <c r="R4" s="1022" t="s">
        <v>232</v>
      </c>
      <c r="S4" s="1023" t="s">
        <v>230</v>
      </c>
      <c r="T4" s="1003" t="s">
        <v>232</v>
      </c>
      <c r="U4" s="460" t="s">
        <v>230</v>
      </c>
      <c r="V4" s="1003" t="s">
        <v>232</v>
      </c>
      <c r="W4" s="460" t="s">
        <v>230</v>
      </c>
      <c r="X4" s="18" t="s">
        <v>232</v>
      </c>
      <c r="Y4" s="2666"/>
      <c r="Z4" s="2680"/>
      <c r="AA4" s="2682"/>
      <c r="AB4" s="2682"/>
      <c r="AC4" s="2684"/>
      <c r="AD4" s="2682"/>
      <c r="AE4" s="2671"/>
      <c r="AF4" s="2671"/>
      <c r="AG4" s="2671"/>
      <c r="AH4" s="461"/>
    </row>
    <row r="5" spans="1:34" ht="30.75" customHeight="1">
      <c r="A5" s="1012"/>
      <c r="B5" s="1001" t="s">
        <v>233</v>
      </c>
      <c r="C5" s="462">
        <f>E5+G5+I5+K5+M5+O5+U5+W5+Q5+S5</f>
        <v>19331</v>
      </c>
      <c r="D5" s="463">
        <f>F5+H5+J5+L5+N5+P5+V5+X5+R5+T5</f>
        <v>6734706000</v>
      </c>
      <c r="E5" s="1885">
        <v>3</v>
      </c>
      <c r="F5" s="1886">
        <v>1240000</v>
      </c>
      <c r="G5" s="1887">
        <v>3275</v>
      </c>
      <c r="H5" s="1888">
        <v>1622330000</v>
      </c>
      <c r="I5" s="1885">
        <v>8426</v>
      </c>
      <c r="J5" s="1886">
        <v>3409700000</v>
      </c>
      <c r="K5" s="1887">
        <v>2</v>
      </c>
      <c r="L5" s="1889">
        <v>1650000</v>
      </c>
      <c r="M5" s="1887">
        <v>5</v>
      </c>
      <c r="N5" s="1888">
        <v>4490000</v>
      </c>
      <c r="O5" s="1887">
        <v>1</v>
      </c>
      <c r="P5" s="1889">
        <v>1330000</v>
      </c>
      <c r="Q5" s="1890">
        <v>652</v>
      </c>
      <c r="R5" s="1891">
        <v>185816000</v>
      </c>
      <c r="S5" s="1892">
        <v>5314</v>
      </c>
      <c r="T5" s="1889">
        <v>875430000</v>
      </c>
      <c r="U5" s="1887">
        <v>1296</v>
      </c>
      <c r="V5" s="1888">
        <v>550250000</v>
      </c>
      <c r="W5" s="1887">
        <v>357</v>
      </c>
      <c r="X5" s="1893">
        <v>82470000</v>
      </c>
      <c r="Y5" s="1848" t="s">
        <v>657</v>
      </c>
      <c r="Z5" s="1973">
        <v>1.075</v>
      </c>
      <c r="AA5" s="1974" t="s">
        <v>689</v>
      </c>
      <c r="AB5" s="472"/>
      <c r="AC5" s="472"/>
      <c r="AD5" s="472"/>
      <c r="AE5" s="472"/>
      <c r="AF5" s="473"/>
      <c r="AG5" s="473"/>
      <c r="AH5" s="474"/>
    </row>
    <row r="6" spans="1:34" ht="30.75" customHeight="1">
      <c r="B6" s="1002" t="s">
        <v>62</v>
      </c>
      <c r="C6" s="475">
        <f t="shared" ref="C6:D16" si="0">E6+G6+I6+K6+M6+O6+U6+W6+Q6+S6</f>
        <v>19380</v>
      </c>
      <c r="D6" s="476">
        <f t="shared" si="0"/>
        <v>6744666000</v>
      </c>
      <c r="E6" s="1894">
        <v>3</v>
      </c>
      <c r="F6" s="1895">
        <v>1240000</v>
      </c>
      <c r="G6" s="1896">
        <v>3269</v>
      </c>
      <c r="H6" s="1897">
        <v>1620400000</v>
      </c>
      <c r="I6" s="1894">
        <v>8426</v>
      </c>
      <c r="J6" s="1895">
        <v>3411980000</v>
      </c>
      <c r="K6" s="1896">
        <v>2</v>
      </c>
      <c r="L6" s="1898">
        <v>1650000</v>
      </c>
      <c r="M6" s="1896">
        <v>5</v>
      </c>
      <c r="N6" s="1897">
        <v>4490000</v>
      </c>
      <c r="O6" s="1896">
        <v>1</v>
      </c>
      <c r="P6" s="1898">
        <v>1330000</v>
      </c>
      <c r="Q6" s="1899">
        <v>658</v>
      </c>
      <c r="R6" s="1900">
        <v>187016000</v>
      </c>
      <c r="S6" s="1901">
        <v>5366</v>
      </c>
      <c r="T6" s="1898">
        <v>883864000</v>
      </c>
      <c r="U6" s="1896">
        <v>1296</v>
      </c>
      <c r="V6" s="1897">
        <v>550710000</v>
      </c>
      <c r="W6" s="1896">
        <v>354</v>
      </c>
      <c r="X6" s="1902">
        <v>81986000</v>
      </c>
      <c r="Y6" s="1848" t="s">
        <v>656</v>
      </c>
      <c r="Z6" s="1181">
        <v>2.1</v>
      </c>
      <c r="AA6" s="1977">
        <v>1337000</v>
      </c>
      <c r="AB6" s="486"/>
      <c r="AC6" s="485"/>
      <c r="AD6" s="485"/>
      <c r="AE6" s="485"/>
      <c r="AF6" s="486"/>
      <c r="AG6" s="486"/>
      <c r="AH6" s="474"/>
    </row>
    <row r="7" spans="1:34" ht="30.75" customHeight="1">
      <c r="B7" s="1002" t="s">
        <v>63</v>
      </c>
      <c r="C7" s="475">
        <f t="shared" si="0"/>
        <v>19413</v>
      </c>
      <c r="D7" s="476">
        <f t="shared" si="0"/>
        <v>6751816000</v>
      </c>
      <c r="E7" s="1894">
        <v>3</v>
      </c>
      <c r="F7" s="1895">
        <v>1150000</v>
      </c>
      <c r="G7" s="1896">
        <v>3273</v>
      </c>
      <c r="H7" s="1897">
        <v>1621750000</v>
      </c>
      <c r="I7" s="1894">
        <v>8428</v>
      </c>
      <c r="J7" s="1895">
        <v>3417960000</v>
      </c>
      <c r="K7" s="1896">
        <v>2</v>
      </c>
      <c r="L7" s="1898">
        <v>1650000</v>
      </c>
      <c r="M7" s="1896">
        <v>5</v>
      </c>
      <c r="N7" s="1897">
        <v>4490000</v>
      </c>
      <c r="O7" s="1896">
        <v>1</v>
      </c>
      <c r="P7" s="1898">
        <v>1330000</v>
      </c>
      <c r="Q7" s="1899">
        <v>661</v>
      </c>
      <c r="R7" s="1900">
        <v>187184000</v>
      </c>
      <c r="S7" s="1901">
        <v>5403</v>
      </c>
      <c r="T7" s="1898">
        <v>890542000</v>
      </c>
      <c r="U7" s="1896">
        <v>1295</v>
      </c>
      <c r="V7" s="1897">
        <v>547210000</v>
      </c>
      <c r="W7" s="1896">
        <v>342</v>
      </c>
      <c r="X7" s="1902">
        <v>78550000</v>
      </c>
      <c r="Y7" s="487">
        <f>SUM(Z7:AG7)</f>
        <v>11387502000</v>
      </c>
      <c r="Z7" s="1949">
        <v>2118000</v>
      </c>
      <c r="AA7" s="1588">
        <v>2273922000</v>
      </c>
      <c r="AB7" s="1583">
        <v>6355362000</v>
      </c>
      <c r="AC7" s="1588">
        <v>4294000</v>
      </c>
      <c r="AD7" s="1588">
        <v>11218000</v>
      </c>
      <c r="AE7" s="1588">
        <v>1799369000</v>
      </c>
      <c r="AF7" s="1583">
        <v>3400000</v>
      </c>
      <c r="AG7" s="1583">
        <v>937819000</v>
      </c>
      <c r="AH7" s="489"/>
    </row>
    <row r="8" spans="1:34" ht="30.75" customHeight="1">
      <c r="A8" s="490"/>
      <c r="B8" s="1002" t="s">
        <v>64</v>
      </c>
      <c r="C8" s="475">
        <f t="shared" si="0"/>
        <v>19397</v>
      </c>
      <c r="D8" s="476">
        <f t="shared" si="0"/>
        <v>6919796000</v>
      </c>
      <c r="E8" s="1894">
        <v>3</v>
      </c>
      <c r="F8" s="1895">
        <v>1150000</v>
      </c>
      <c r="G8" s="1896">
        <v>3258</v>
      </c>
      <c r="H8" s="1897">
        <v>1634350000</v>
      </c>
      <c r="I8" s="1894">
        <v>8434</v>
      </c>
      <c r="J8" s="1895">
        <v>3514400000</v>
      </c>
      <c r="K8" s="1896">
        <v>2</v>
      </c>
      <c r="L8" s="1898">
        <v>1650000</v>
      </c>
      <c r="M8" s="1896">
        <v>5</v>
      </c>
      <c r="N8" s="1897">
        <v>4550000</v>
      </c>
      <c r="O8" s="1896">
        <v>1</v>
      </c>
      <c r="P8" s="1898">
        <v>1330000</v>
      </c>
      <c r="Q8" s="1899">
        <v>661</v>
      </c>
      <c r="R8" s="1900">
        <v>192430000</v>
      </c>
      <c r="S8" s="1901">
        <v>5398</v>
      </c>
      <c r="T8" s="1898">
        <v>937480000</v>
      </c>
      <c r="U8" s="1896">
        <v>1295</v>
      </c>
      <c r="V8" s="1897">
        <v>554890000</v>
      </c>
      <c r="W8" s="1896">
        <v>340</v>
      </c>
      <c r="X8" s="1902">
        <v>77566000</v>
      </c>
      <c r="Y8" s="1187">
        <f>SUM(Z8:AG8)</f>
        <v>165061000</v>
      </c>
      <c r="Z8" s="923">
        <f>31000/2-500</f>
        <v>15000</v>
      </c>
      <c r="AA8" s="1950">
        <f>56591000/2+500</f>
        <v>28296000</v>
      </c>
      <c r="AB8" s="1950">
        <f>159387000/2-500</f>
        <v>79693000</v>
      </c>
      <c r="AC8" s="1576">
        <v>0</v>
      </c>
      <c r="AD8" s="494">
        <v>0</v>
      </c>
      <c r="AE8" s="507">
        <f>85163000/2+500</f>
        <v>42582000</v>
      </c>
      <c r="AF8" s="507">
        <v>0</v>
      </c>
      <c r="AG8" s="1576">
        <f>28950000/2</f>
        <v>14475000</v>
      </c>
      <c r="AH8" s="496"/>
    </row>
    <row r="9" spans="1:34" ht="30.75" customHeight="1">
      <c r="B9" s="1002" t="s">
        <v>65</v>
      </c>
      <c r="C9" s="475">
        <f t="shared" si="0"/>
        <v>19376</v>
      </c>
      <c r="D9" s="476">
        <f t="shared" si="0"/>
        <v>6888334000</v>
      </c>
      <c r="E9" s="1894">
        <v>3</v>
      </c>
      <c r="F9" s="1895">
        <v>1150000</v>
      </c>
      <c r="G9" s="1896">
        <v>3254</v>
      </c>
      <c r="H9" s="1897">
        <v>1630870000</v>
      </c>
      <c r="I9" s="1894">
        <v>8420</v>
      </c>
      <c r="J9" s="1895">
        <v>3485370000</v>
      </c>
      <c r="K9" s="1896">
        <v>2</v>
      </c>
      <c r="L9" s="1898">
        <v>1650000</v>
      </c>
      <c r="M9" s="1896">
        <v>5</v>
      </c>
      <c r="N9" s="1897">
        <v>4550000</v>
      </c>
      <c r="O9" s="1896">
        <v>1</v>
      </c>
      <c r="P9" s="1898">
        <v>1330000</v>
      </c>
      <c r="Q9" s="1899">
        <v>666</v>
      </c>
      <c r="R9" s="1900">
        <v>195804000</v>
      </c>
      <c r="S9" s="1901">
        <v>5396</v>
      </c>
      <c r="T9" s="1898">
        <v>937512000</v>
      </c>
      <c r="U9" s="1896">
        <v>1295</v>
      </c>
      <c r="V9" s="1897">
        <v>554220000</v>
      </c>
      <c r="W9" s="1896">
        <v>334</v>
      </c>
      <c r="X9" s="1902">
        <v>75878000</v>
      </c>
      <c r="Y9" s="1972" t="s">
        <v>687</v>
      </c>
      <c r="Z9" s="1975">
        <v>583000</v>
      </c>
      <c r="AA9" s="1974" t="s">
        <v>690</v>
      </c>
      <c r="AB9" s="1189" t="s">
        <v>301</v>
      </c>
      <c r="AC9" s="1189"/>
      <c r="AD9" s="1190"/>
      <c r="AE9" s="1190"/>
      <c r="AF9" s="497"/>
      <c r="AG9" s="501"/>
      <c r="AH9" s="496"/>
    </row>
    <row r="10" spans="1:34" ht="30.75" customHeight="1">
      <c r="B10" s="1002" t="s">
        <v>66</v>
      </c>
      <c r="C10" s="475">
        <f t="shared" si="0"/>
        <v>19402</v>
      </c>
      <c r="D10" s="476">
        <f t="shared" si="0"/>
        <v>6939128000</v>
      </c>
      <c r="E10" s="1894">
        <v>3</v>
      </c>
      <c r="F10" s="1895">
        <v>1150000</v>
      </c>
      <c r="G10" s="1896">
        <v>3246</v>
      </c>
      <c r="H10" s="1897">
        <v>1637090000</v>
      </c>
      <c r="I10" s="1894">
        <v>8416</v>
      </c>
      <c r="J10" s="1895">
        <v>3509710000</v>
      </c>
      <c r="K10" s="1896">
        <v>2</v>
      </c>
      <c r="L10" s="1898">
        <v>1710000</v>
      </c>
      <c r="M10" s="1896">
        <v>5</v>
      </c>
      <c r="N10" s="1897">
        <v>4550000</v>
      </c>
      <c r="O10" s="1896">
        <v>1</v>
      </c>
      <c r="P10" s="1898">
        <v>1330000</v>
      </c>
      <c r="Q10" s="1899">
        <v>667</v>
      </c>
      <c r="R10" s="1900">
        <v>189046000</v>
      </c>
      <c r="S10" s="1901">
        <v>5436</v>
      </c>
      <c r="T10" s="1898">
        <v>963638000</v>
      </c>
      <c r="U10" s="1896">
        <v>1293</v>
      </c>
      <c r="V10" s="1897">
        <v>554320000</v>
      </c>
      <c r="W10" s="1896">
        <v>333</v>
      </c>
      <c r="X10" s="1903">
        <v>76584000</v>
      </c>
      <c r="Y10" s="1972" t="s">
        <v>688</v>
      </c>
      <c r="Z10" s="1978">
        <v>11000</v>
      </c>
      <c r="AA10" s="1976">
        <f>ROUNDDOWN((Z9+Z10)/Z12*Z15,-3)</f>
        <v>113000</v>
      </c>
      <c r="AB10" s="505"/>
      <c r="AC10" s="1191"/>
      <c r="AD10" s="497"/>
      <c r="AE10" s="497"/>
      <c r="AF10" s="497"/>
      <c r="AG10" s="501"/>
      <c r="AH10" s="496"/>
    </row>
    <row r="11" spans="1:34" ht="30.75" customHeight="1">
      <c r="A11" s="490"/>
      <c r="B11" s="1002" t="s">
        <v>67</v>
      </c>
      <c r="C11" s="475">
        <f t="shared" si="0"/>
        <v>19381</v>
      </c>
      <c r="D11" s="476">
        <f t="shared" si="0"/>
        <v>6928768000</v>
      </c>
      <c r="E11" s="510">
        <f t="shared" ref="E11:E16" si="1">E10</f>
        <v>3</v>
      </c>
      <c r="F11" s="515">
        <f>F10+F72</f>
        <v>1150000</v>
      </c>
      <c r="G11" s="513">
        <f t="shared" ref="G11:G16" si="2">G10+G91-G110</f>
        <v>3240</v>
      </c>
      <c r="H11" s="515">
        <f>H10+H72+H91-H110</f>
        <v>1631620000</v>
      </c>
      <c r="I11" s="477">
        <f>I10+I91-I110</f>
        <v>8412</v>
      </c>
      <c r="J11" s="515">
        <f>J10+J72+J91-J110</f>
        <v>3507730000</v>
      </c>
      <c r="K11" s="513">
        <f t="shared" ref="K11:Q16" si="3">K10</f>
        <v>2</v>
      </c>
      <c r="L11" s="514">
        <f t="shared" si="3"/>
        <v>1710000</v>
      </c>
      <c r="M11" s="513">
        <f t="shared" si="3"/>
        <v>5</v>
      </c>
      <c r="N11" s="515">
        <f t="shared" si="3"/>
        <v>4550000</v>
      </c>
      <c r="O11" s="513">
        <f t="shared" si="3"/>
        <v>1</v>
      </c>
      <c r="P11" s="514">
        <f t="shared" ref="P11:Q13" si="4">P10</f>
        <v>1330000</v>
      </c>
      <c r="Q11" s="1027">
        <f t="shared" si="4"/>
        <v>667</v>
      </c>
      <c r="R11" s="1028">
        <f t="shared" ref="R11:T16" si="5">R10</f>
        <v>189046000</v>
      </c>
      <c r="S11" s="1029">
        <f t="shared" si="5"/>
        <v>5436</v>
      </c>
      <c r="T11" s="514">
        <f>T10</f>
        <v>963638000</v>
      </c>
      <c r="U11" s="513">
        <f t="shared" ref="U11:U16" si="6">U10+U91-U110</f>
        <v>1293</v>
      </c>
      <c r="V11" s="515">
        <f>V10+V72+V91-V110</f>
        <v>554320000</v>
      </c>
      <c r="W11" s="513">
        <f t="shared" ref="W11:X16" si="7">W10+W91-W110</f>
        <v>322</v>
      </c>
      <c r="X11" s="514">
        <f>X10+X91-X110</f>
        <v>73674000</v>
      </c>
      <c r="Y11" s="1848" t="s">
        <v>658</v>
      </c>
      <c r="Z11" s="1181">
        <v>1.075</v>
      </c>
      <c r="AA11" s="1188"/>
      <c r="AB11" s="501"/>
      <c r="AC11" s="497"/>
      <c r="AD11" s="497"/>
      <c r="AE11" s="497"/>
      <c r="AF11" s="497"/>
      <c r="AG11" s="501"/>
      <c r="AH11" s="496"/>
    </row>
    <row r="12" spans="1:34" ht="30.75" customHeight="1">
      <c r="B12" s="1002" t="s">
        <v>68</v>
      </c>
      <c r="C12" s="475">
        <f t="shared" si="0"/>
        <v>19376</v>
      </c>
      <c r="D12" s="1192">
        <f t="shared" si="0"/>
        <v>6925808000</v>
      </c>
      <c r="E12" s="510">
        <f t="shared" si="1"/>
        <v>3</v>
      </c>
      <c r="F12" s="515">
        <f>F11+F73</f>
        <v>1150000</v>
      </c>
      <c r="G12" s="513">
        <f t="shared" si="2"/>
        <v>3232</v>
      </c>
      <c r="H12" s="515">
        <f>H11+H73+H92-H111</f>
        <v>1628070000</v>
      </c>
      <c r="I12" s="477">
        <f>I11+I92-I111</f>
        <v>8419</v>
      </c>
      <c r="J12" s="515">
        <f>J11+J73+J92-J111</f>
        <v>3508720000</v>
      </c>
      <c r="K12" s="513">
        <f t="shared" si="3"/>
        <v>2</v>
      </c>
      <c r="L12" s="514">
        <f t="shared" si="3"/>
        <v>1710000</v>
      </c>
      <c r="M12" s="513">
        <f t="shared" si="3"/>
        <v>5</v>
      </c>
      <c r="N12" s="515">
        <f t="shared" si="3"/>
        <v>4550000</v>
      </c>
      <c r="O12" s="513">
        <f t="shared" si="3"/>
        <v>1</v>
      </c>
      <c r="P12" s="514">
        <f t="shared" si="4"/>
        <v>1330000</v>
      </c>
      <c r="Q12" s="1027">
        <f t="shared" si="4"/>
        <v>667</v>
      </c>
      <c r="R12" s="1028">
        <f t="shared" si="5"/>
        <v>189046000</v>
      </c>
      <c r="S12" s="1029">
        <f t="shared" si="5"/>
        <v>5436</v>
      </c>
      <c r="T12" s="514">
        <f>T11</f>
        <v>963638000</v>
      </c>
      <c r="U12" s="513">
        <f t="shared" si="6"/>
        <v>1293</v>
      </c>
      <c r="V12" s="515">
        <f>V11+V73+V92-V111</f>
        <v>554320000</v>
      </c>
      <c r="W12" s="513">
        <f t="shared" si="7"/>
        <v>318</v>
      </c>
      <c r="X12" s="514">
        <f>X11+X92-X111</f>
        <v>73274000</v>
      </c>
      <c r="Y12" s="1848" t="s">
        <v>659</v>
      </c>
      <c r="Z12" s="1181">
        <v>2.1</v>
      </c>
      <c r="AA12" s="511"/>
      <c r="AB12" s="501"/>
      <c r="AC12" s="497"/>
      <c r="AD12" s="497"/>
      <c r="AE12" s="497"/>
      <c r="AF12" s="497"/>
      <c r="AG12" s="501"/>
      <c r="AH12" s="496"/>
    </row>
    <row r="13" spans="1:34" ht="30.75" customHeight="1">
      <c r="B13" s="1002" t="s">
        <v>69</v>
      </c>
      <c r="C13" s="475">
        <f t="shared" si="0"/>
        <v>19374</v>
      </c>
      <c r="D13" s="476">
        <f t="shared" si="0"/>
        <v>6925126000</v>
      </c>
      <c r="E13" s="510">
        <f t="shared" si="1"/>
        <v>3</v>
      </c>
      <c r="F13" s="515">
        <f>F12+F74</f>
        <v>1150000</v>
      </c>
      <c r="G13" s="513">
        <f t="shared" si="2"/>
        <v>3231</v>
      </c>
      <c r="H13" s="515">
        <f>H12+H74+H93-H112</f>
        <v>1627450000</v>
      </c>
      <c r="I13" s="477">
        <f>I12+I93-I112</f>
        <v>8420</v>
      </c>
      <c r="J13" s="515">
        <f>J12+J74+J93-J112</f>
        <v>3508960000</v>
      </c>
      <c r="K13" s="513">
        <f t="shared" si="3"/>
        <v>2</v>
      </c>
      <c r="L13" s="514">
        <f t="shared" si="3"/>
        <v>1710000</v>
      </c>
      <c r="M13" s="513">
        <f t="shared" si="3"/>
        <v>5</v>
      </c>
      <c r="N13" s="515">
        <f t="shared" si="3"/>
        <v>4550000</v>
      </c>
      <c r="O13" s="513">
        <f t="shared" si="3"/>
        <v>1</v>
      </c>
      <c r="P13" s="514">
        <f t="shared" si="4"/>
        <v>1330000</v>
      </c>
      <c r="Q13" s="1027">
        <f t="shared" si="4"/>
        <v>667</v>
      </c>
      <c r="R13" s="1028">
        <f t="shared" si="5"/>
        <v>189046000</v>
      </c>
      <c r="S13" s="1029">
        <f t="shared" si="5"/>
        <v>5436</v>
      </c>
      <c r="T13" s="514">
        <f>T12</f>
        <v>963638000</v>
      </c>
      <c r="U13" s="513">
        <f t="shared" si="6"/>
        <v>1293</v>
      </c>
      <c r="V13" s="515">
        <f>V12+V74+V93-V112</f>
        <v>554320000</v>
      </c>
      <c r="W13" s="513">
        <f t="shared" si="7"/>
        <v>316</v>
      </c>
      <c r="X13" s="514">
        <f>X12+X93-X112</f>
        <v>72972000</v>
      </c>
      <c r="Y13" s="1944">
        <f>SUM(Z13:AG13)</f>
        <v>11386432000</v>
      </c>
      <c r="Z13" s="1945">
        <f>Z7</f>
        <v>2118000</v>
      </c>
      <c r="AA13" s="1946">
        <f t="shared" ref="AA13:AG13" si="8">AA7</f>
        <v>2273922000</v>
      </c>
      <c r="AB13" s="1946">
        <f t="shared" si="8"/>
        <v>6355362000</v>
      </c>
      <c r="AC13" s="1946">
        <f t="shared" si="8"/>
        <v>4294000</v>
      </c>
      <c r="AD13" s="1947">
        <f t="shared" si="8"/>
        <v>11218000</v>
      </c>
      <c r="AE13" s="1948">
        <f t="shared" si="8"/>
        <v>1799369000</v>
      </c>
      <c r="AF13" s="1946">
        <f>5730000-AF7</f>
        <v>2330000</v>
      </c>
      <c r="AG13" s="1946">
        <f t="shared" si="8"/>
        <v>937819000</v>
      </c>
      <c r="AH13" s="489"/>
    </row>
    <row r="14" spans="1:34" ht="30.75" customHeight="1">
      <c r="A14" s="490"/>
      <c r="B14" s="1002" t="s">
        <v>70</v>
      </c>
      <c r="C14" s="475">
        <f t="shared" si="0"/>
        <v>19363</v>
      </c>
      <c r="D14" s="476">
        <f t="shared" si="0"/>
        <v>6921486000</v>
      </c>
      <c r="E14" s="510">
        <f t="shared" si="1"/>
        <v>3</v>
      </c>
      <c r="F14" s="515">
        <f>F13+F75</f>
        <v>1150000</v>
      </c>
      <c r="G14" s="513">
        <f t="shared" si="2"/>
        <v>3223</v>
      </c>
      <c r="H14" s="515">
        <f>H13+H75+H94-H113</f>
        <v>1624300000</v>
      </c>
      <c r="I14" s="477">
        <f>I13+I94-I113</f>
        <v>8419</v>
      </c>
      <c r="J14" s="515">
        <f>J13+J75+J94-J113</f>
        <v>3508340000</v>
      </c>
      <c r="K14" s="513">
        <f t="shared" si="3"/>
        <v>2</v>
      </c>
      <c r="L14" s="514">
        <f t="shared" si="3"/>
        <v>1710000</v>
      </c>
      <c r="M14" s="513">
        <f t="shared" si="3"/>
        <v>5</v>
      </c>
      <c r="N14" s="515">
        <f t="shared" si="3"/>
        <v>4550000</v>
      </c>
      <c r="O14" s="513">
        <f t="shared" si="3"/>
        <v>1</v>
      </c>
      <c r="P14" s="514">
        <f t="shared" si="3"/>
        <v>1330000</v>
      </c>
      <c r="Q14" s="1027">
        <f>Q13</f>
        <v>667</v>
      </c>
      <c r="R14" s="1028">
        <f>R13</f>
        <v>189046000</v>
      </c>
      <c r="S14" s="1029">
        <f t="shared" si="5"/>
        <v>5436</v>
      </c>
      <c r="T14" s="514">
        <f>T13</f>
        <v>963638000</v>
      </c>
      <c r="U14" s="513">
        <f t="shared" si="6"/>
        <v>1293</v>
      </c>
      <c r="V14" s="515">
        <f>V13+V75+V94-V113</f>
        <v>554320000</v>
      </c>
      <c r="W14" s="513">
        <f t="shared" si="7"/>
        <v>314</v>
      </c>
      <c r="X14" s="514">
        <f t="shared" si="7"/>
        <v>73102000</v>
      </c>
      <c r="Y14" s="1193">
        <f>SUM(Z14:AG14)</f>
        <v>165070000</v>
      </c>
      <c r="Z14" s="925">
        <f>32000/2</f>
        <v>16000</v>
      </c>
      <c r="AA14" s="1950">
        <f>56592000/2</f>
        <v>28296000</v>
      </c>
      <c r="AB14" s="1950">
        <f>159396000/2</f>
        <v>79698000</v>
      </c>
      <c r="AC14" s="1576">
        <v>0</v>
      </c>
      <c r="AD14" s="507">
        <v>0</v>
      </c>
      <c r="AE14" s="507">
        <f>85169000/2-500</f>
        <v>42584000</v>
      </c>
      <c r="AF14" s="507">
        <v>0</v>
      </c>
      <c r="AG14" s="1576">
        <f>28952000/2</f>
        <v>14476000</v>
      </c>
      <c r="AH14" s="496"/>
    </row>
    <row r="15" spans="1:34" ht="30.75" customHeight="1">
      <c r="A15" s="2658"/>
      <c r="B15" s="1002" t="s">
        <v>71</v>
      </c>
      <c r="C15" s="475">
        <f t="shared" si="0"/>
        <v>19353</v>
      </c>
      <c r="D15" s="476">
        <f t="shared" si="0"/>
        <v>6918138000</v>
      </c>
      <c r="E15" s="510">
        <f t="shared" si="1"/>
        <v>3</v>
      </c>
      <c r="F15" s="515">
        <f>F14+F76</f>
        <v>1150000</v>
      </c>
      <c r="G15" s="513">
        <f t="shared" si="2"/>
        <v>3216</v>
      </c>
      <c r="H15" s="515">
        <f>H14+H76+H95-H114</f>
        <v>1621620000</v>
      </c>
      <c r="I15" s="477">
        <f>I14+I95-I114</f>
        <v>8420</v>
      </c>
      <c r="J15" s="515">
        <f>J14+J76+J95-J114</f>
        <v>3508650000</v>
      </c>
      <c r="K15" s="513">
        <f t="shared" si="3"/>
        <v>2</v>
      </c>
      <c r="L15" s="514">
        <f t="shared" si="3"/>
        <v>1710000</v>
      </c>
      <c r="M15" s="513">
        <f t="shared" si="3"/>
        <v>5</v>
      </c>
      <c r="N15" s="515">
        <f t="shared" si="3"/>
        <v>4550000</v>
      </c>
      <c r="O15" s="513">
        <f t="shared" si="3"/>
        <v>1</v>
      </c>
      <c r="P15" s="514">
        <f t="shared" si="3"/>
        <v>1330000</v>
      </c>
      <c r="Q15" s="1027">
        <f t="shared" si="3"/>
        <v>667</v>
      </c>
      <c r="R15" s="1028">
        <f t="shared" si="5"/>
        <v>189046000</v>
      </c>
      <c r="S15" s="1029">
        <f t="shared" si="5"/>
        <v>5436</v>
      </c>
      <c r="T15" s="514">
        <f t="shared" si="5"/>
        <v>963638000</v>
      </c>
      <c r="U15" s="513">
        <f t="shared" si="6"/>
        <v>1292</v>
      </c>
      <c r="V15" s="515">
        <f>V14+V76+V95-V114</f>
        <v>554020000</v>
      </c>
      <c r="W15" s="513">
        <f t="shared" si="7"/>
        <v>311</v>
      </c>
      <c r="X15" s="514">
        <f t="shared" si="7"/>
        <v>72424000</v>
      </c>
      <c r="Y15" s="1849" t="s">
        <v>660</v>
      </c>
      <c r="Z15" s="1850">
        <v>0.4</v>
      </c>
      <c r="AA15" s="519"/>
      <c r="AB15" s="520" t="s">
        <v>510</v>
      </c>
      <c r="AC15" s="1194"/>
      <c r="AD15" s="1190"/>
      <c r="AE15" s="1190"/>
      <c r="AF15" s="1195"/>
      <c r="AG15" s="1195"/>
      <c r="AH15" s="496"/>
    </row>
    <row r="16" spans="1:34" ht="30.75" customHeight="1" thickBot="1">
      <c r="A16" s="2658"/>
      <c r="B16" s="1196" t="s">
        <v>72</v>
      </c>
      <c r="C16" s="1197">
        <f t="shared" si="0"/>
        <v>19353</v>
      </c>
      <c r="D16" s="1198">
        <f t="shared" si="0"/>
        <v>6918054000</v>
      </c>
      <c r="E16" s="1199">
        <f t="shared" si="1"/>
        <v>3</v>
      </c>
      <c r="F16" s="1200">
        <f>F15+E25</f>
        <v>1150000</v>
      </c>
      <c r="G16" s="1201">
        <f t="shared" si="2"/>
        <v>3209</v>
      </c>
      <c r="H16" s="1200">
        <f>H15+G25+H96-H115</f>
        <v>1620200000</v>
      </c>
      <c r="I16" s="1201">
        <f>I15+I96-I115-1</f>
        <v>8420</v>
      </c>
      <c r="J16" s="1200">
        <f>J15+I25+J96-J115</f>
        <v>3508900000</v>
      </c>
      <c r="K16" s="1202">
        <f t="shared" si="3"/>
        <v>2</v>
      </c>
      <c r="L16" s="1203">
        <f t="shared" si="3"/>
        <v>1710000</v>
      </c>
      <c r="M16" s="1202">
        <f t="shared" si="3"/>
        <v>5</v>
      </c>
      <c r="N16" s="1200">
        <f t="shared" si="3"/>
        <v>4550000</v>
      </c>
      <c r="O16" s="1202">
        <f t="shared" si="3"/>
        <v>1</v>
      </c>
      <c r="P16" s="1203">
        <f>P15</f>
        <v>1330000</v>
      </c>
      <c r="Q16" s="1837">
        <f>Q15</f>
        <v>667</v>
      </c>
      <c r="R16" s="1838">
        <f t="shared" si="5"/>
        <v>189046000</v>
      </c>
      <c r="S16" s="1839">
        <f t="shared" si="5"/>
        <v>5436</v>
      </c>
      <c r="T16" s="514">
        <f t="shared" si="5"/>
        <v>963638000</v>
      </c>
      <c r="U16" s="1202">
        <f t="shared" si="6"/>
        <v>1292</v>
      </c>
      <c r="V16" s="1200">
        <f>V15+K25+V96-V115</f>
        <v>554020000</v>
      </c>
      <c r="W16" s="1202">
        <f t="shared" si="7"/>
        <v>318</v>
      </c>
      <c r="X16" s="1203">
        <f t="shared" si="7"/>
        <v>73510000</v>
      </c>
      <c r="Y16" s="530">
        <f>SUM(Z16:AG16)</f>
        <v>2197766000</v>
      </c>
      <c r="Z16" s="1204">
        <f>ROUNDDOWN((Z13+Z14)/$Z$12*$Z$15/F13*F16,-3)</f>
        <v>406000</v>
      </c>
      <c r="AA16" s="1205">
        <f>ROUNDDOWN((AA13+AA14)/$Z$12*$Z$15/H13*H16,-3)</f>
        <v>436564000</v>
      </c>
      <c r="AB16" s="1206">
        <f>ROUNDDOWN((AB13+AB14)/$Z$12*$Z$15/J13*J16,-3)</f>
        <v>1225704000</v>
      </c>
      <c r="AC16" s="1206">
        <f>ROUNDDOWN((AC13+AC14)/$Z$12*$Z$15/L13*L16,-3)</f>
        <v>817000</v>
      </c>
      <c r="AD16" s="1206">
        <f>ROUNDDOWN((AD13+AD14)/$Z$12*$Z$15/N13*N16,-3)</f>
        <v>2136000</v>
      </c>
      <c r="AE16" s="1206">
        <f>ROUNDDOWN((AE13+AE14)/$Z$12*$Z$15/(R13+T13)*(R16+T16),-3)</f>
        <v>350848000</v>
      </c>
      <c r="AF16" s="1959">
        <v>0</v>
      </c>
      <c r="AG16" s="1205">
        <f>ROUNDDOWN((AG13+AG14)/$Z$12*$Z$15/V13*V16,-3)</f>
        <v>181291000</v>
      </c>
      <c r="AH16" s="532"/>
    </row>
    <row r="17" spans="1:34" s="1207" customFormat="1" ht="30.75" customHeight="1" thickBot="1">
      <c r="B17" s="1208" t="s">
        <v>78</v>
      </c>
      <c r="C17" s="1209">
        <f>SUM(C5:C16)</f>
        <v>232499</v>
      </c>
      <c r="D17" s="1210">
        <f>SUM(D5:D16)</f>
        <v>82515826000</v>
      </c>
      <c r="E17" s="2659">
        <f>SUM(F5:F16)</f>
        <v>13980000</v>
      </c>
      <c r="F17" s="2660"/>
      <c r="G17" s="2661">
        <f>SUM(H5:H16)</f>
        <v>19520050000</v>
      </c>
      <c r="H17" s="2660"/>
      <c r="I17" s="2661">
        <f>SUM(J5:J16)</f>
        <v>41800420000</v>
      </c>
      <c r="J17" s="2660"/>
      <c r="K17" s="2661">
        <f>SUM(L5:L16)</f>
        <v>20220000</v>
      </c>
      <c r="L17" s="2660"/>
      <c r="M17" s="2661">
        <f>SUM(N5:N16)</f>
        <v>54420000</v>
      </c>
      <c r="N17" s="2660"/>
      <c r="O17" s="2661">
        <f>SUM(P5:P16)</f>
        <v>15960000</v>
      </c>
      <c r="P17" s="2660"/>
      <c r="Q17" s="2661">
        <f>SUM(R5:R16)</f>
        <v>2271572000</v>
      </c>
      <c r="R17" s="2660"/>
      <c r="S17" s="2661">
        <f>SUM(T5:T16)</f>
        <v>11270294000</v>
      </c>
      <c r="T17" s="2660"/>
      <c r="U17" s="2661">
        <f>SUM(V5:V16)</f>
        <v>6636920000</v>
      </c>
      <c r="V17" s="2660"/>
      <c r="W17" s="2661">
        <f>SUM(X5:X16)</f>
        <v>911990000</v>
      </c>
      <c r="X17" s="2668"/>
      <c r="Y17" s="1211">
        <f>SUM(Y5:Y16)</f>
        <v>25301831000</v>
      </c>
      <c r="Z17" s="1212">
        <f>Z7+Z8+Z13+Z14+Z16</f>
        <v>4673000</v>
      </c>
      <c r="AA17" s="1213">
        <f t="shared" ref="AA17:AG17" si="9">AA7+AA8+AA13+AA14+AA16</f>
        <v>5041000000</v>
      </c>
      <c r="AB17" s="1214">
        <f t="shared" si="9"/>
        <v>14095819000</v>
      </c>
      <c r="AC17" s="1213">
        <f t="shared" si="9"/>
        <v>9405000</v>
      </c>
      <c r="AD17" s="1213">
        <f>AD7+AD8+AD13+AD14+AD16</f>
        <v>24572000</v>
      </c>
      <c r="AE17" s="1213">
        <f>AE7+AE8+AE13+AE14+AE16</f>
        <v>4034752000</v>
      </c>
      <c r="AF17" s="1214">
        <f t="shared" si="9"/>
        <v>5730000</v>
      </c>
      <c r="AG17" s="1215">
        <f t="shared" si="9"/>
        <v>2085880000</v>
      </c>
      <c r="AH17" s="1216"/>
    </row>
    <row r="18" spans="1:34" s="450" customFormat="1" ht="17.25" customHeight="1">
      <c r="C18" s="1217" t="s">
        <v>238</v>
      </c>
      <c r="D18" s="1218">
        <f>ROUND(D16/C16,0)</f>
        <v>357467</v>
      </c>
      <c r="E18" s="2656" t="s">
        <v>156</v>
      </c>
      <c r="F18" s="2656"/>
      <c r="G18" s="1217" t="s">
        <v>238</v>
      </c>
      <c r="H18" s="1218">
        <f>ROUND(H16/G16,0)</f>
        <v>504892</v>
      </c>
      <c r="I18" s="1217" t="s">
        <v>238</v>
      </c>
      <c r="J18" s="1218">
        <f>ROUND(J16/I16,0)</f>
        <v>416734</v>
      </c>
      <c r="K18" s="548" t="s">
        <v>303</v>
      </c>
      <c r="L18" s="549"/>
      <c r="M18" s="549"/>
      <c r="N18" s="555">
        <f>ROUND((F16+H16+J16)/(E16+G16+I16),0)</f>
        <v>441046</v>
      </c>
      <c r="Q18" s="2657" t="s">
        <v>443</v>
      </c>
      <c r="R18" s="2657"/>
      <c r="S18" s="1852">
        <f>Q7+S7</f>
        <v>6064</v>
      </c>
      <c r="U18" s="1217" t="s">
        <v>238</v>
      </c>
      <c r="V18" s="1219">
        <f>ROUND(V16/U16,0)</f>
        <v>428808</v>
      </c>
      <c r="W18" s="1217" t="s">
        <v>238</v>
      </c>
      <c r="X18" s="1219">
        <f>ROUND(X16/W16,0)</f>
        <v>231164</v>
      </c>
      <c r="Y18" s="544" t="s">
        <v>241</v>
      </c>
      <c r="Z18" s="1220" t="s">
        <v>511</v>
      </c>
      <c r="AA18" s="1219">
        <f>ROUNDDOWN(AA17/AVERAGE(G5:G16),-3)</f>
        <v>1554000</v>
      </c>
      <c r="AB18" s="1219">
        <f>ROUNDDOWN(AB17/AVERAGE(I5:I16),-3)</f>
        <v>1673000</v>
      </c>
      <c r="AC18" s="1219"/>
      <c r="AD18" s="1219"/>
      <c r="AE18" s="1219"/>
      <c r="AF18" s="1219"/>
      <c r="AG18" s="1219">
        <f>ROUNDDOWN(AG17/AVERAGE(U5:U16),-3)</f>
        <v>1612000</v>
      </c>
    </row>
    <row r="19" spans="1:34" s="450" customFormat="1" ht="17.25" customHeight="1">
      <c r="C19" s="1217"/>
      <c r="D19" s="1218"/>
      <c r="E19" s="1221"/>
      <c r="F19" s="1221"/>
      <c r="G19" s="1217"/>
      <c r="H19" s="1218"/>
      <c r="I19" s="1217"/>
      <c r="J19" s="1218"/>
      <c r="K19" s="548"/>
      <c r="L19" s="549"/>
      <c r="M19" s="549"/>
      <c r="N19" s="555"/>
      <c r="Q19" s="2644" t="s">
        <v>444</v>
      </c>
      <c r="R19" s="2644"/>
      <c r="S19" s="1852">
        <f>Q13+S13</f>
        <v>6103</v>
      </c>
      <c r="T19" s="2644" t="s">
        <v>445</v>
      </c>
      <c r="U19" s="2644"/>
      <c r="V19" s="1852">
        <f>Q16+S16</f>
        <v>6103</v>
      </c>
      <c r="W19" s="1217"/>
      <c r="X19" s="1219"/>
      <c r="Y19" s="544"/>
      <c r="Z19" s="1220"/>
      <c r="AA19" s="1219"/>
      <c r="AB19" s="1219"/>
      <c r="AC19" s="1219"/>
      <c r="AD19" s="1219"/>
      <c r="AE19" s="1219"/>
      <c r="AF19" s="1219"/>
      <c r="AG19" s="1219"/>
    </row>
    <row r="20" spans="1:34" s="450" customFormat="1" ht="17.25" customHeight="1">
      <c r="C20" s="454" t="s">
        <v>244</v>
      </c>
      <c r="D20" s="555">
        <f>AVERAGE(C5:C16)</f>
        <v>19374.916666666668</v>
      </c>
      <c r="E20" s="2645">
        <v>8520000</v>
      </c>
      <c r="F20" s="2646"/>
      <c r="G20" s="2647" t="s">
        <v>245</v>
      </c>
      <c r="H20" s="2648"/>
      <c r="I20" s="2651" t="s">
        <v>246</v>
      </c>
      <c r="J20" s="2652"/>
      <c r="K20" s="559"/>
      <c r="L20" s="560">
        <f>E16+G16+I16+K16+M16</f>
        <v>11639</v>
      </c>
      <c r="M20" s="561" t="s">
        <v>247</v>
      </c>
      <c r="N20" s="2653">
        <f>F16+H16+J16+L16+N16</f>
        <v>5136510000</v>
      </c>
      <c r="O20" s="2653"/>
      <c r="P20" s="562" t="s">
        <v>248</v>
      </c>
      <c r="Q20" s="1222"/>
      <c r="R20" s="1222"/>
      <c r="S20" s="1222"/>
      <c r="T20" s="1222"/>
      <c r="U20" s="2654" t="s">
        <v>249</v>
      </c>
      <c r="V20" s="563">
        <f>ROUND(N20/L20,0)</f>
        <v>441319</v>
      </c>
      <c r="W20" s="564" t="s">
        <v>248</v>
      </c>
      <c r="X20" s="1219"/>
      <c r="Y20" s="1219">
        <f>ROUNDDOWN(Y17/D20,-3)</f>
        <v>1305000</v>
      </c>
      <c r="Z20" s="1223">
        <f>AA6+Z9+Z10+AA10</f>
        <v>2044000</v>
      </c>
      <c r="AA20" s="1224" t="s">
        <v>251</v>
      </c>
      <c r="AB20" s="1010">
        <f>ROUNDDOWN((Z17+AA17+AB17)/(E16+G16+I16),-3)</f>
        <v>1645000</v>
      </c>
      <c r="AC20" s="566" t="s">
        <v>252</v>
      </c>
      <c r="AD20" s="2662">
        <f>SUM(Z17:AD17)</f>
        <v>19175469000</v>
      </c>
      <c r="AE20" s="2662"/>
      <c r="AF20" s="2663"/>
    </row>
    <row r="21" spans="1:34" s="450" customFormat="1" ht="15" customHeight="1">
      <c r="C21" s="454"/>
      <c r="D21" s="555"/>
      <c r="E21" s="555"/>
      <c r="F21" s="1225"/>
      <c r="G21" s="2649"/>
      <c r="H21" s="2650"/>
      <c r="I21" s="2639" t="s">
        <v>253</v>
      </c>
      <c r="J21" s="2639"/>
      <c r="K21" s="568"/>
      <c r="L21" s="569">
        <f>C16-W16</f>
        <v>19035</v>
      </c>
      <c r="M21" s="570" t="s">
        <v>247</v>
      </c>
      <c r="N21" s="2640">
        <f>D16-X16</f>
        <v>6844544000</v>
      </c>
      <c r="O21" s="2641"/>
      <c r="P21" s="571" t="s">
        <v>248</v>
      </c>
      <c r="Q21" s="1226"/>
      <c r="R21" s="1226"/>
      <c r="S21" s="1226"/>
      <c r="T21" s="1226"/>
      <c r="U21" s="2655"/>
      <c r="V21" s="572">
        <f>ROUND(N21/L21,0)</f>
        <v>359577</v>
      </c>
      <c r="W21" s="1016" t="s">
        <v>248</v>
      </c>
      <c r="X21" s="1219"/>
      <c r="Z21" s="1227"/>
      <c r="AA21" s="1227"/>
      <c r="AB21" s="1227"/>
      <c r="AC21" s="1227"/>
      <c r="AD21" s="1227"/>
      <c r="AE21" s="1227"/>
      <c r="AF21" s="1227"/>
      <c r="AG21" s="1227"/>
    </row>
    <row r="22" spans="1:34" s="450" customFormat="1" ht="15" customHeight="1">
      <c r="B22" s="1053" t="s">
        <v>681</v>
      </c>
      <c r="F22" s="348"/>
      <c r="G22" s="348"/>
      <c r="H22" s="1228"/>
      <c r="J22" s="539"/>
      <c r="M22" s="2642"/>
      <c r="N22" s="2642"/>
      <c r="O22" s="2642"/>
      <c r="P22" s="2642"/>
      <c r="Q22" s="1229"/>
      <c r="R22" s="1229"/>
      <c r="S22" s="1229"/>
      <c r="T22" s="1229"/>
      <c r="U22" s="1230"/>
      <c r="V22" s="551"/>
      <c r="W22" s="1231"/>
      <c r="X22" s="1232"/>
      <c r="Z22" s="1227"/>
      <c r="AA22" s="1227"/>
      <c r="AB22" s="1227"/>
      <c r="AC22" s="1227"/>
      <c r="AD22" s="1227"/>
      <c r="AE22" s="1227"/>
      <c r="AF22" s="1227"/>
      <c r="AG22" s="1227"/>
    </row>
    <row r="23" spans="1:34" s="450" customFormat="1" ht="16.5" customHeight="1">
      <c r="B23" s="1233"/>
      <c r="C23" s="1233"/>
      <c r="D23" s="1233"/>
      <c r="E23" s="1233"/>
      <c r="F23" s="1233"/>
      <c r="G23" s="1233"/>
      <c r="H23" s="1234"/>
      <c r="I23" s="1233"/>
      <c r="J23" s="1233"/>
      <c r="K23" s="1233"/>
      <c r="L23" s="1851"/>
      <c r="M23" s="2643"/>
      <c r="N23" s="2643"/>
      <c r="O23" s="2643"/>
      <c r="P23" s="2643"/>
      <c r="Q23" s="1229"/>
      <c r="R23" s="1229"/>
      <c r="S23" s="1229"/>
      <c r="T23" s="1229"/>
      <c r="U23" s="552"/>
      <c r="V23" s="1235"/>
      <c r="W23" s="1236"/>
      <c r="X23" s="1237"/>
      <c r="Y23" s="2615" t="s">
        <v>512</v>
      </c>
      <c r="Z23" s="2615"/>
      <c r="AA23" s="2615"/>
      <c r="AB23" s="2615"/>
      <c r="AC23" s="2615"/>
      <c r="AD23" s="2615"/>
      <c r="AE23" s="2615"/>
      <c r="AF23" s="2615"/>
      <c r="AG23" s="2615"/>
    </row>
    <row r="24" spans="1:34" s="450" customFormat="1" ht="16.5" customHeight="1">
      <c r="B24" s="2635"/>
      <c r="C24" s="2636"/>
      <c r="D24" s="2636"/>
      <c r="E24" s="2637"/>
      <c r="F24" s="2637"/>
      <c r="G24" s="2637"/>
      <c r="H24" s="2637"/>
      <c r="I24" s="2637"/>
      <c r="J24" s="2637"/>
      <c r="K24" s="2637"/>
      <c r="L24" s="2637"/>
      <c r="M24" s="1229"/>
      <c r="N24" s="1229"/>
      <c r="O24" s="1229"/>
      <c r="P24" s="1229"/>
      <c r="Q24" s="1229"/>
      <c r="R24" s="1229"/>
      <c r="S24" s="1229"/>
      <c r="T24" s="1229"/>
      <c r="U24" s="551"/>
      <c r="V24" s="1238"/>
      <c r="W24" s="1239"/>
      <c r="X24" s="548"/>
      <c r="Y24" s="2615"/>
      <c r="Z24" s="2615"/>
      <c r="AA24" s="2615"/>
      <c r="AB24" s="2615"/>
      <c r="AC24" s="2615"/>
      <c r="AD24" s="2615"/>
      <c r="AE24" s="2615"/>
      <c r="AF24" s="2615"/>
      <c r="AG24" s="2615"/>
    </row>
    <row r="25" spans="1:34" s="450" customFormat="1" ht="16.5" customHeight="1">
      <c r="B25" s="2636"/>
      <c r="C25" s="2636"/>
      <c r="D25" s="2636"/>
      <c r="E25" s="2638"/>
      <c r="F25" s="2638"/>
      <c r="G25" s="2638"/>
      <c r="H25" s="2638"/>
      <c r="I25" s="2638"/>
      <c r="J25" s="2638"/>
      <c r="K25" s="2638"/>
      <c r="L25" s="2638"/>
      <c r="M25" s="1836"/>
      <c r="N25" s="1229"/>
      <c r="O25" s="1229"/>
      <c r="P25" s="1229"/>
      <c r="Q25" s="1229"/>
      <c r="R25" s="1229"/>
      <c r="S25" s="1229"/>
      <c r="T25" s="1229"/>
      <c r="U25" s="1240"/>
      <c r="V25" s="551"/>
      <c r="W25" s="1233"/>
      <c r="X25" s="1241"/>
      <c r="Y25" s="2615" t="s">
        <v>683</v>
      </c>
      <c r="Z25" s="2615"/>
      <c r="AA25" s="2615"/>
      <c r="AB25" s="2615"/>
      <c r="AC25" s="2615"/>
      <c r="AD25" s="2615"/>
      <c r="AE25" s="2615"/>
      <c r="AF25" s="2615"/>
      <c r="AG25" s="2615"/>
    </row>
    <row r="26" spans="1:34" s="450" customFormat="1" ht="16.5" customHeight="1">
      <c r="B26" s="551"/>
      <c r="C26" s="551"/>
      <c r="D26" s="551"/>
      <c r="E26" s="551"/>
      <c r="F26" s="551"/>
      <c r="G26" s="551"/>
      <c r="H26" s="551"/>
      <c r="I26" s="551"/>
      <c r="J26" s="1233"/>
      <c r="K26" s="1233"/>
      <c r="L26" s="1233"/>
      <c r="M26" s="1836"/>
      <c r="N26" s="1229"/>
      <c r="O26" s="1229"/>
      <c r="P26" s="1229"/>
      <c r="Q26" s="1229"/>
      <c r="R26" s="1229"/>
      <c r="S26" s="1229"/>
      <c r="T26" s="1229"/>
      <c r="U26" s="1230"/>
      <c r="V26" s="551"/>
      <c r="W26" s="1233"/>
      <c r="X26" s="1241"/>
      <c r="Y26" s="2615"/>
      <c r="Z26" s="2615"/>
      <c r="AA26" s="2615"/>
      <c r="AB26" s="2615"/>
      <c r="AC26" s="2615"/>
      <c r="AD26" s="2615"/>
      <c r="AE26" s="2615"/>
      <c r="AF26" s="2615"/>
      <c r="AG26" s="2615"/>
    </row>
    <row r="27" spans="1:34" s="450" customFormat="1" ht="16.5" customHeight="1">
      <c r="A27" s="230"/>
      <c r="B27" s="1233"/>
      <c r="C27" s="1233"/>
      <c r="D27" s="1233"/>
      <c r="E27" s="1233"/>
      <c r="F27" s="1233"/>
      <c r="G27" s="1233"/>
      <c r="H27" s="454"/>
      <c r="I27" s="230"/>
      <c r="J27" s="282"/>
      <c r="K27" s="282"/>
      <c r="L27" s="282"/>
      <c r="M27" s="551"/>
      <c r="N27" s="551"/>
      <c r="O27" s="551"/>
      <c r="P27" s="1242"/>
      <c r="Q27" s="1242"/>
      <c r="R27" s="1242"/>
      <c r="S27" s="1242"/>
      <c r="T27" s="1242"/>
      <c r="U27" s="551"/>
      <c r="V27" s="551"/>
      <c r="W27" s="230"/>
      <c r="X27" s="230"/>
      <c r="Y27" s="1243" t="s">
        <v>513</v>
      </c>
      <c r="Z27" s="1244"/>
      <c r="AA27" s="1244"/>
      <c r="AB27" s="1244"/>
      <c r="AC27" s="1244"/>
      <c r="AD27" s="1244"/>
      <c r="AE27" s="1244"/>
      <c r="AF27" s="1244"/>
      <c r="AG27" s="1244"/>
    </row>
    <row r="28" spans="1:34" ht="16.5" customHeight="1" thickBot="1">
      <c r="A28" s="749"/>
      <c r="B28" s="1245" t="s">
        <v>256</v>
      </c>
      <c r="C28" s="267"/>
      <c r="D28" s="454"/>
      <c r="E28" s="454"/>
      <c r="F28" s="1246"/>
      <c r="G28" s="1247" t="s">
        <v>257</v>
      </c>
      <c r="H28" s="1248"/>
      <c r="I28" s="1249" t="s">
        <v>514</v>
      </c>
      <c r="J28" s="600"/>
      <c r="K28" s="16"/>
      <c r="L28" s="600"/>
      <c r="M28" s="16"/>
      <c r="N28" s="399"/>
      <c r="O28" s="1250" t="s">
        <v>276</v>
      </c>
      <c r="P28" s="399"/>
      <c r="Q28" s="399"/>
      <c r="R28" s="399"/>
      <c r="S28" s="399"/>
      <c r="T28" s="399"/>
      <c r="U28" s="399"/>
      <c r="V28" s="399"/>
      <c r="W28" s="399"/>
      <c r="X28" s="399"/>
      <c r="Z28" s="1233"/>
      <c r="AA28" s="1251"/>
      <c r="AB28" s="1251"/>
      <c r="AC28" s="1251"/>
      <c r="AD28" s="1251"/>
      <c r="AE28" s="1251"/>
      <c r="AF28" s="1233"/>
      <c r="AG28" s="450"/>
    </row>
    <row r="29" spans="1:34" s="749" customFormat="1" ht="15" customHeight="1">
      <c r="B29" s="2616" t="s">
        <v>0</v>
      </c>
      <c r="C29" s="2617"/>
      <c r="D29" s="2620" t="s">
        <v>515</v>
      </c>
      <c r="E29" s="2622" t="s">
        <v>258</v>
      </c>
      <c r="F29" s="2623"/>
      <c r="G29" s="2624"/>
      <c r="H29" s="1248"/>
      <c r="I29" s="2628" t="s">
        <v>274</v>
      </c>
      <c r="J29" s="2629"/>
      <c r="K29" s="2630" t="str">
        <f>C1</f>
        <v>令和7年度</v>
      </c>
      <c r="L29" s="2631"/>
      <c r="M29" s="2631"/>
      <c r="N29" s="2632" t="s">
        <v>275</v>
      </c>
      <c r="O29" s="2633"/>
      <c r="P29" s="1233"/>
      <c r="Q29" s="1233"/>
      <c r="R29" s="1233"/>
      <c r="S29" s="1233"/>
      <c r="T29" s="1233"/>
      <c r="U29" s="1233"/>
      <c r="V29" s="1233"/>
      <c r="W29" s="1233"/>
      <c r="X29" s="1233"/>
      <c r="Y29" s="2634"/>
      <c r="Z29" s="1233"/>
      <c r="AA29" s="1251"/>
      <c r="AB29" s="1251"/>
      <c r="AC29" s="1251"/>
      <c r="AD29" s="1251"/>
      <c r="AE29" s="1251"/>
    </row>
    <row r="30" spans="1:34" s="749" customFormat="1" ht="15" customHeight="1" thickBot="1">
      <c r="A30" s="1252"/>
      <c r="B30" s="2618"/>
      <c r="C30" s="2619"/>
      <c r="D30" s="2621"/>
      <c r="E30" s="2625"/>
      <c r="F30" s="2626"/>
      <c r="G30" s="2627"/>
      <c r="H30" s="1253"/>
      <c r="I30" s="2609" t="s">
        <v>516</v>
      </c>
      <c r="J30" s="2610"/>
      <c r="K30" s="2597" t="s">
        <v>277</v>
      </c>
      <c r="L30" s="2597"/>
      <c r="M30" s="2586">
        <v>610319</v>
      </c>
      <c r="N30" s="2586"/>
      <c r="O30" s="2586"/>
      <c r="P30" s="399"/>
      <c r="Q30" s="399"/>
      <c r="R30" s="399"/>
      <c r="S30" s="399"/>
      <c r="T30" s="399"/>
      <c r="U30" s="399"/>
      <c r="V30" s="399"/>
      <c r="W30" s="399"/>
      <c r="X30" s="399"/>
      <c r="Y30" s="2634"/>
      <c r="Z30" s="399"/>
    </row>
    <row r="31" spans="1:34" s="749" customFormat="1" ht="15" customHeight="1">
      <c r="A31" s="1254"/>
      <c r="B31" s="2598" t="s">
        <v>261</v>
      </c>
      <c r="C31" s="2599"/>
      <c r="D31" s="2602">
        <f>D55</f>
        <v>2519908000</v>
      </c>
      <c r="E31" s="2605">
        <f>F45</f>
        <v>136766000</v>
      </c>
      <c r="F31" s="2605"/>
      <c r="G31" s="2606"/>
      <c r="H31" s="1255"/>
      <c r="I31" s="2571" t="s">
        <v>355</v>
      </c>
      <c r="J31" s="2572"/>
      <c r="K31" s="2573" t="s">
        <v>278</v>
      </c>
      <c r="L31" s="2573"/>
      <c r="M31" s="2574">
        <f>ROUND((M30*1000)/P41*1000,2)</f>
        <v>5.81</v>
      </c>
      <c r="N31" s="2574"/>
      <c r="O31" s="2574"/>
    </row>
    <row r="32" spans="1:34" s="749" customFormat="1" ht="15" customHeight="1">
      <c r="B32" s="2600"/>
      <c r="C32" s="2601"/>
      <c r="D32" s="2603"/>
      <c r="E32" s="2607"/>
      <c r="F32" s="2607"/>
      <c r="G32" s="2608"/>
      <c r="H32" s="1253"/>
      <c r="I32" s="2609" t="s">
        <v>517</v>
      </c>
      <c r="J32" s="2610"/>
      <c r="K32" s="2597" t="s">
        <v>277</v>
      </c>
      <c r="L32" s="2597"/>
      <c r="M32" s="2586">
        <v>1734065</v>
      </c>
      <c r="N32" s="2586"/>
      <c r="O32" s="2586"/>
      <c r="AB32" s="1256"/>
      <c r="AC32" s="751"/>
    </row>
    <row r="33" spans="1:33" s="749" customFormat="1" ht="15" customHeight="1">
      <c r="A33" s="1254"/>
      <c r="B33" s="2600" t="s">
        <v>264</v>
      </c>
      <c r="C33" s="2601"/>
      <c r="D33" s="2603"/>
      <c r="E33" s="2607">
        <f>F51</f>
        <v>151206000</v>
      </c>
      <c r="F33" s="2607"/>
      <c r="G33" s="2608"/>
      <c r="H33" s="1255"/>
      <c r="I33" s="2571" t="s">
        <v>518</v>
      </c>
      <c r="J33" s="2572"/>
      <c r="K33" s="2573" t="s">
        <v>278</v>
      </c>
      <c r="L33" s="2573"/>
      <c r="M33" s="2574">
        <f>ROUND((M32*1000)/P41*1000,2)</f>
        <v>16.52</v>
      </c>
      <c r="N33" s="2574"/>
      <c r="O33" s="2574"/>
    </row>
    <row r="34" spans="1:33" s="749" customFormat="1" ht="15" customHeight="1">
      <c r="B34" s="2600"/>
      <c r="C34" s="2601"/>
      <c r="D34" s="2603"/>
      <c r="E34" s="2607"/>
      <c r="F34" s="2607"/>
      <c r="G34" s="2608"/>
      <c r="H34" s="1255"/>
      <c r="I34" s="2609" t="s">
        <v>281</v>
      </c>
      <c r="J34" s="2610"/>
      <c r="K34" s="2597" t="s">
        <v>277</v>
      </c>
      <c r="L34" s="2597"/>
      <c r="M34" s="2586">
        <v>5</v>
      </c>
      <c r="N34" s="2586"/>
      <c r="O34" s="2586"/>
    </row>
    <row r="35" spans="1:33" s="749" customFormat="1" ht="15" customHeight="1">
      <c r="B35" s="2600" t="s">
        <v>266</v>
      </c>
      <c r="C35" s="2601"/>
      <c r="D35" s="2603"/>
      <c r="E35" s="2607">
        <f>F54</f>
        <v>27499000</v>
      </c>
      <c r="F35" s="2607"/>
      <c r="G35" s="2608"/>
      <c r="H35" s="1253"/>
      <c r="I35" s="2571" t="s">
        <v>282</v>
      </c>
      <c r="J35" s="2572"/>
      <c r="K35" s="2573" t="s">
        <v>278</v>
      </c>
      <c r="L35" s="2573"/>
      <c r="M35" s="2594">
        <f>ROUND((M34*1000)/P41*1000,2)</f>
        <v>0</v>
      </c>
      <c r="N35" s="2594"/>
      <c r="O35" s="2594"/>
    </row>
    <row r="36" spans="1:33" s="749" customFormat="1" ht="15" customHeight="1" thickBot="1">
      <c r="B36" s="2611"/>
      <c r="C36" s="2612"/>
      <c r="D36" s="2604"/>
      <c r="E36" s="2613"/>
      <c r="F36" s="2613"/>
      <c r="G36" s="2614"/>
      <c r="H36" s="1253"/>
      <c r="I36" s="2609" t="s">
        <v>286</v>
      </c>
      <c r="J36" s="2610"/>
      <c r="K36" s="2597" t="s">
        <v>277</v>
      </c>
      <c r="L36" s="2597"/>
      <c r="M36" s="2586">
        <v>0</v>
      </c>
      <c r="N36" s="2586"/>
      <c r="O36" s="2586"/>
    </row>
    <row r="37" spans="1:33" s="749" customFormat="1" ht="15" customHeight="1" thickBot="1">
      <c r="B37" s="2587" t="s">
        <v>269</v>
      </c>
      <c r="C37" s="2588"/>
      <c r="D37" s="2589">
        <f>SUM(D31)</f>
        <v>2519908000</v>
      </c>
      <c r="E37" s="2591">
        <f>SUM(E31:G36)</f>
        <v>315471000</v>
      </c>
      <c r="F37" s="2592"/>
      <c r="G37" s="2592"/>
      <c r="H37" s="1255"/>
      <c r="I37" s="2571" t="s">
        <v>287</v>
      </c>
      <c r="J37" s="2572"/>
      <c r="K37" s="2573" t="s">
        <v>278</v>
      </c>
      <c r="L37" s="2573"/>
      <c r="M37" s="2594">
        <f>ROUND((M36*1000)/P41*1000,2)</f>
        <v>0</v>
      </c>
      <c r="N37" s="2594"/>
      <c r="O37" s="2594"/>
    </row>
    <row r="38" spans="1:33" s="749" customFormat="1" ht="15" customHeight="1" thickBot="1">
      <c r="B38" s="2587"/>
      <c r="C38" s="2588"/>
      <c r="D38" s="2590"/>
      <c r="E38" s="2593"/>
      <c r="F38" s="2592"/>
      <c r="G38" s="2592"/>
      <c r="H38" s="1257"/>
      <c r="I38" s="2595" t="s">
        <v>288</v>
      </c>
      <c r="J38" s="2596"/>
      <c r="K38" s="2597" t="s">
        <v>277</v>
      </c>
      <c r="L38" s="2597"/>
      <c r="M38" s="2586">
        <v>-3475</v>
      </c>
      <c r="N38" s="2586"/>
      <c r="O38" s="2586"/>
      <c r="P38" s="2569" t="s">
        <v>289</v>
      </c>
      <c r="Q38" s="2570"/>
      <c r="R38" s="2570"/>
      <c r="S38" s="2570"/>
      <c r="T38" s="2570"/>
      <c r="U38" s="2570"/>
      <c r="V38" s="2570"/>
    </row>
    <row r="39" spans="1:33" s="749" customFormat="1" ht="15" customHeight="1">
      <c r="A39" s="1254"/>
      <c r="B39" s="399" t="s">
        <v>654</v>
      </c>
      <c r="C39" s="230"/>
      <c r="D39" s="230"/>
      <c r="E39" s="230"/>
      <c r="F39" s="230"/>
      <c r="G39" s="230"/>
      <c r="H39" s="1257"/>
      <c r="I39" s="2571" t="s">
        <v>287</v>
      </c>
      <c r="J39" s="2572"/>
      <c r="K39" s="2573" t="s">
        <v>278</v>
      </c>
      <c r="L39" s="2573"/>
      <c r="M39" s="2574">
        <f>ROUND((M38*1000)/P41*1000,2)</f>
        <v>-0.03</v>
      </c>
      <c r="N39" s="2574"/>
      <c r="O39" s="2574"/>
      <c r="P39" s="2569"/>
      <c r="Q39" s="2570"/>
      <c r="R39" s="2570"/>
      <c r="S39" s="2570"/>
      <c r="T39" s="2570"/>
      <c r="U39" s="2570"/>
      <c r="V39" s="2570"/>
    </row>
    <row r="40" spans="1:33" s="749" customFormat="1" ht="12" customHeight="1">
      <c r="A40" s="1258"/>
      <c r="B40" s="230"/>
      <c r="C40" s="230"/>
      <c r="D40" s="230"/>
      <c r="E40" s="230"/>
      <c r="F40" s="230"/>
      <c r="G40" s="230"/>
      <c r="H40" s="1257"/>
      <c r="I40" s="2575" t="s">
        <v>291</v>
      </c>
      <c r="J40" s="2576"/>
      <c r="K40" s="2579" t="s">
        <v>277</v>
      </c>
      <c r="L40" s="2579"/>
      <c r="M40" s="2580">
        <f>M30+M32+M34+M36+M38</f>
        <v>2340914</v>
      </c>
      <c r="N40" s="2580"/>
      <c r="O40" s="2580"/>
      <c r="P40" s="2569"/>
      <c r="Q40" s="2570"/>
      <c r="R40" s="2570"/>
      <c r="S40" s="2570"/>
      <c r="T40" s="2570"/>
      <c r="U40" s="2570"/>
      <c r="V40" s="2570"/>
    </row>
    <row r="41" spans="1:33" s="749" customFormat="1" ht="12" customHeight="1">
      <c r="A41" s="1258"/>
      <c r="B41" s="230"/>
      <c r="C41" s="230"/>
      <c r="D41" s="230"/>
      <c r="E41" s="230"/>
      <c r="F41" s="230"/>
      <c r="G41" s="230"/>
      <c r="H41" s="1259"/>
      <c r="I41" s="2577"/>
      <c r="J41" s="2578"/>
      <c r="K41" s="2581" t="s">
        <v>278</v>
      </c>
      <c r="L41" s="2581"/>
      <c r="M41" s="2582">
        <f>ROUND((M40*1000)/P41*1000,2)</f>
        <v>22.3</v>
      </c>
      <c r="N41" s="2582"/>
      <c r="O41" s="2582"/>
      <c r="P41" s="2583">
        <f>D17+Y17-D37-E37</f>
        <v>104982278000</v>
      </c>
      <c r="Q41" s="2584"/>
      <c r="R41" s="2584"/>
      <c r="S41" s="2584"/>
      <c r="T41" s="2584"/>
      <c r="U41" s="2585"/>
      <c r="V41" s="1260"/>
    </row>
    <row r="42" spans="1:33" s="749" customFormat="1" ht="12" customHeight="1">
      <c r="A42" s="420"/>
      <c r="B42" s="230"/>
      <c r="C42" s="490" t="s">
        <v>519</v>
      </c>
      <c r="D42" s="490" t="s">
        <v>232</v>
      </c>
      <c r="E42" s="490"/>
      <c r="F42" s="490" t="s">
        <v>520</v>
      </c>
      <c r="G42" s="230"/>
      <c r="H42" s="1259"/>
      <c r="I42" s="1261"/>
      <c r="J42" s="1261"/>
      <c r="K42" s="1262"/>
      <c r="L42" s="759"/>
      <c r="M42" s="1263"/>
      <c r="N42" s="1263"/>
      <c r="O42" s="1263"/>
      <c r="P42" s="1264"/>
      <c r="Q42" s="1264"/>
      <c r="R42" s="1264"/>
      <c r="S42" s="1264"/>
      <c r="T42" s="1264"/>
      <c r="U42" s="1265"/>
    </row>
    <row r="43" spans="1:33" s="749" customFormat="1" ht="12" customHeight="1" thickBot="1">
      <c r="A43" s="1266"/>
      <c r="B43" s="230"/>
      <c r="C43" s="749" t="s">
        <v>233</v>
      </c>
      <c r="D43" s="1904">
        <v>190554000</v>
      </c>
      <c r="E43" s="1904"/>
      <c r="F43" s="1904"/>
      <c r="G43" s="1267" t="s">
        <v>671</v>
      </c>
      <c r="I43" s="1248"/>
      <c r="J43" s="2559" t="s">
        <v>521</v>
      </c>
      <c r="K43" s="2559"/>
      <c r="L43" s="2559"/>
      <c r="M43" s="2559"/>
      <c r="N43" s="2559"/>
      <c r="O43" s="2559"/>
      <c r="P43" s="1268"/>
      <c r="Q43" s="1268"/>
      <c r="R43" s="1268"/>
      <c r="S43" s="1268"/>
      <c r="T43" s="1268"/>
      <c r="U43" s="1268"/>
      <c r="V43" s="420"/>
      <c r="Y43" s="1269" t="s">
        <v>522</v>
      </c>
      <c r="Z43" s="2560" t="s">
        <v>509</v>
      </c>
      <c r="AA43" s="2560"/>
      <c r="AB43" s="609">
        <v>0.26100000000000001</v>
      </c>
      <c r="AC43" s="749" t="s">
        <v>523</v>
      </c>
    </row>
    <row r="44" spans="1:33" s="761" customFormat="1" ht="12" customHeight="1">
      <c r="A44" s="749"/>
      <c r="B44" s="230"/>
      <c r="C44" s="757" t="s">
        <v>524</v>
      </c>
      <c r="D44" s="1905">
        <v>190786000</v>
      </c>
      <c r="E44" s="1905"/>
      <c r="F44" s="1905"/>
      <c r="G44" s="1270"/>
      <c r="I44" s="399"/>
      <c r="J44" s="2559"/>
      <c r="K44" s="2559"/>
      <c r="L44" s="2559"/>
      <c r="M44" s="2559"/>
      <c r="N44" s="2559"/>
      <c r="O44" s="2559"/>
      <c r="P44" s="1268"/>
      <c r="Q44" s="1268"/>
      <c r="R44" s="1268"/>
      <c r="S44" s="1268"/>
      <c r="T44" s="1268"/>
      <c r="U44" s="1268"/>
      <c r="V44" s="420"/>
      <c r="W44" s="749"/>
      <c r="X44" s="749"/>
      <c r="Y44" s="2561" t="s">
        <v>224</v>
      </c>
      <c r="Z44" s="2564" t="s">
        <v>221</v>
      </c>
      <c r="AA44" s="2565"/>
      <c r="AB44" s="2566"/>
      <c r="AC44" s="2567" t="s">
        <v>74</v>
      </c>
      <c r="AD44" s="2568"/>
      <c r="AE44" s="2552" t="s">
        <v>141</v>
      </c>
      <c r="AF44" s="2552" t="s">
        <v>222</v>
      </c>
      <c r="AG44" s="2552" t="s">
        <v>223</v>
      </c>
    </row>
    <row r="45" spans="1:33" s="749" customFormat="1" ht="12" customHeight="1">
      <c r="B45" s="230"/>
      <c r="C45" s="230" t="s">
        <v>63</v>
      </c>
      <c r="D45" s="1906">
        <v>204666000</v>
      </c>
      <c r="E45" s="1906"/>
      <c r="F45" s="1898">
        <v>136766000</v>
      </c>
      <c r="G45" s="1271"/>
      <c r="H45" s="1248"/>
      <c r="I45" s="399"/>
      <c r="J45" s="2559"/>
      <c r="K45" s="2559"/>
      <c r="L45" s="2559"/>
      <c r="M45" s="2559"/>
      <c r="N45" s="2559"/>
      <c r="O45" s="2559"/>
      <c r="P45" s="1268"/>
      <c r="Q45" s="1268"/>
      <c r="R45" s="1268"/>
      <c r="S45" s="1268"/>
      <c r="T45" s="1268"/>
      <c r="U45" s="1268"/>
      <c r="V45" s="420"/>
      <c r="Y45" s="2562"/>
      <c r="Z45" s="2555" t="s">
        <v>225</v>
      </c>
      <c r="AA45" s="2557" t="s">
        <v>77</v>
      </c>
      <c r="AB45" s="2557" t="s">
        <v>227</v>
      </c>
      <c r="AC45" s="2557" t="s">
        <v>76</v>
      </c>
      <c r="AD45" s="2557" t="s">
        <v>228</v>
      </c>
      <c r="AE45" s="2553"/>
      <c r="AF45" s="2553"/>
      <c r="AG45" s="2553"/>
    </row>
    <row r="46" spans="1:33" s="749" customFormat="1" ht="12" customHeight="1">
      <c r="B46" s="230"/>
      <c r="C46" s="230" t="s">
        <v>64</v>
      </c>
      <c r="D46" s="1906">
        <v>207618000</v>
      </c>
      <c r="E46" s="1906"/>
      <c r="F46" s="1906"/>
      <c r="G46" s="1272"/>
      <c r="H46" s="1255"/>
      <c r="I46" s="399"/>
      <c r="J46" s="1053" t="s">
        <v>525</v>
      </c>
      <c r="K46" s="1273"/>
      <c r="L46" s="1273"/>
      <c r="M46" s="1273"/>
      <c r="N46" s="1273"/>
      <c r="O46" s="1269"/>
      <c r="P46" s="1269"/>
      <c r="Q46" s="1269"/>
      <c r="R46" s="1269"/>
      <c r="S46" s="1269"/>
      <c r="T46" s="1269"/>
      <c r="U46" s="1269"/>
      <c r="V46" s="1269"/>
      <c r="Y46" s="2563"/>
      <c r="Z46" s="2556"/>
      <c r="AA46" s="2558"/>
      <c r="AB46" s="2558"/>
      <c r="AC46" s="2558"/>
      <c r="AD46" s="2558"/>
      <c r="AE46" s="2554"/>
      <c r="AF46" s="2554"/>
      <c r="AG46" s="2554"/>
    </row>
    <row r="47" spans="1:33" s="749" customFormat="1" ht="12" customHeight="1">
      <c r="A47" s="230"/>
      <c r="B47" s="230"/>
      <c r="C47" s="230" t="s">
        <v>65</v>
      </c>
      <c r="D47" s="1906">
        <v>211552000</v>
      </c>
      <c r="E47" s="1906"/>
      <c r="F47" s="1906"/>
      <c r="G47" s="1272"/>
      <c r="H47" s="1255"/>
      <c r="I47" s="399"/>
      <c r="J47" s="1053" t="s">
        <v>526</v>
      </c>
      <c r="K47" s="1269"/>
      <c r="L47" s="1269"/>
      <c r="M47" s="1269"/>
      <c r="N47" s="1269"/>
      <c r="O47" s="1269"/>
      <c r="P47" s="1269"/>
      <c r="Q47" s="1269"/>
      <c r="R47" s="1269"/>
      <c r="S47" s="1269"/>
      <c r="T47" s="1269"/>
      <c r="U47" s="1269"/>
      <c r="V47" s="1269"/>
      <c r="Y47" s="1274">
        <f>SUM(Z47:AG47)</f>
        <v>0</v>
      </c>
      <c r="Z47" s="1275"/>
      <c r="AA47" s="1276"/>
      <c r="AB47" s="1276"/>
      <c r="AC47" s="1276"/>
      <c r="AD47" s="1276"/>
      <c r="AE47" s="1276"/>
      <c r="AF47" s="1276"/>
      <c r="AG47" s="1276"/>
    </row>
    <row r="48" spans="1:33" ht="12" customHeight="1">
      <c r="A48" s="399"/>
      <c r="C48" s="230" t="s">
        <v>66</v>
      </c>
      <c r="D48" s="1906">
        <v>215338000</v>
      </c>
      <c r="E48" s="1906"/>
      <c r="F48" s="1906"/>
      <c r="G48" s="1272"/>
      <c r="H48" s="1255"/>
      <c r="I48" s="399"/>
      <c r="J48" s="1053" t="s">
        <v>527</v>
      </c>
      <c r="K48" s="1277"/>
      <c r="L48" s="1277"/>
      <c r="M48" s="1277"/>
      <c r="N48" s="1277"/>
      <c r="O48" s="1269"/>
      <c r="P48" s="1269"/>
      <c r="Q48" s="1269"/>
      <c r="R48" s="1269"/>
      <c r="S48" s="1269"/>
      <c r="T48" s="1269"/>
      <c r="U48" s="1269"/>
      <c r="V48" s="1269"/>
      <c r="W48" s="761"/>
      <c r="X48" s="761"/>
      <c r="Y48" s="1278">
        <f>SUM(Z48:AG48)</f>
        <v>0</v>
      </c>
      <c r="Z48" s="1279"/>
      <c r="AA48" s="1280"/>
      <c r="AB48" s="1280"/>
      <c r="AC48" s="1280"/>
      <c r="AD48" s="1280"/>
      <c r="AE48" s="1281"/>
      <c r="AF48" s="1281"/>
      <c r="AG48" s="1282"/>
    </row>
    <row r="49" spans="1:33" s="399" customFormat="1" ht="12" customHeight="1">
      <c r="A49" s="1233"/>
      <c r="B49" s="230"/>
      <c r="C49" s="230" t="s">
        <v>67</v>
      </c>
      <c r="D49" s="1906">
        <v>204676000</v>
      </c>
      <c r="E49" s="1906"/>
      <c r="F49" s="1906"/>
      <c r="G49" s="1272" t="s">
        <v>672</v>
      </c>
      <c r="J49" s="1053" t="s">
        <v>528</v>
      </c>
      <c r="K49" s="1053"/>
      <c r="L49" s="1053"/>
      <c r="M49" s="1053"/>
      <c r="N49" s="1053"/>
      <c r="O49" s="1269"/>
      <c r="P49" s="1269"/>
      <c r="Q49" s="1269"/>
      <c r="R49" s="1269"/>
      <c r="S49" s="1269"/>
      <c r="T49" s="1269"/>
      <c r="U49" s="1269"/>
      <c r="V49" s="1269"/>
      <c r="W49" s="749"/>
      <c r="X49" s="749"/>
      <c r="Y49" s="1283" t="s">
        <v>301</v>
      </c>
      <c r="Z49" s="1284"/>
      <c r="AA49" s="1285"/>
      <c r="AB49" s="1285"/>
      <c r="AC49" s="1285"/>
      <c r="AD49" s="1286"/>
      <c r="AE49" s="1287"/>
      <c r="AF49" s="1281"/>
      <c r="AG49" s="1285"/>
    </row>
    <row r="50" spans="1:33" s="1233" customFormat="1" ht="12" customHeight="1">
      <c r="A50" s="399"/>
      <c r="B50" s="230"/>
      <c r="C50" s="230" t="s">
        <v>68</v>
      </c>
      <c r="D50" s="1906">
        <v>207534000</v>
      </c>
      <c r="E50" s="1906"/>
      <c r="F50" s="1906"/>
      <c r="G50" s="1272"/>
      <c r="H50" s="399"/>
      <c r="I50" s="399"/>
      <c r="J50" s="1053"/>
      <c r="K50" s="1053"/>
      <c r="L50" s="1053"/>
      <c r="M50" s="1053"/>
      <c r="N50" s="1053"/>
      <c r="O50" s="1269"/>
      <c r="P50" s="1269"/>
      <c r="Q50" s="1269"/>
      <c r="R50" s="1269"/>
      <c r="S50" s="1269"/>
      <c r="T50" s="1269"/>
      <c r="U50" s="1269"/>
      <c r="V50" s="1269"/>
      <c r="W50" s="749"/>
      <c r="X50" s="749"/>
      <c r="Y50" s="1288"/>
      <c r="Z50" s="1289"/>
      <c r="AA50" s="1290"/>
      <c r="AB50" s="1290"/>
      <c r="AC50" s="1290"/>
      <c r="AD50" s="1285"/>
      <c r="AE50" s="1281"/>
      <c r="AF50" s="1281"/>
      <c r="AG50" s="1285"/>
    </row>
    <row r="51" spans="1:33" s="399" customFormat="1" ht="12" customHeight="1">
      <c r="A51" s="1254"/>
      <c r="B51" s="230"/>
      <c r="C51" s="1111" t="s">
        <v>69</v>
      </c>
      <c r="D51" s="1906">
        <v>217116000</v>
      </c>
      <c r="E51" s="1906"/>
      <c r="F51" s="1906">
        <v>151206000</v>
      </c>
      <c r="G51" s="1291"/>
      <c r="J51" s="1053"/>
      <c r="K51" s="1053"/>
      <c r="L51" s="1053"/>
      <c r="M51" s="1269"/>
      <c r="N51" s="1269"/>
      <c r="O51" s="1269"/>
      <c r="P51" s="1269"/>
      <c r="Q51" s="1269"/>
      <c r="R51" s="1269"/>
      <c r="S51" s="1269"/>
      <c r="T51" s="1269"/>
      <c r="U51" s="1269"/>
      <c r="V51" s="1269"/>
      <c r="W51" s="749"/>
      <c r="X51" s="749"/>
      <c r="Y51" s="1288"/>
      <c r="Z51" s="1284"/>
      <c r="AA51" s="1285"/>
      <c r="AB51" s="1285"/>
      <c r="AC51" s="1285"/>
      <c r="AD51" s="1285"/>
      <c r="AE51" s="1281"/>
      <c r="AF51" s="1281"/>
      <c r="AG51" s="1285"/>
    </row>
    <row r="52" spans="1:33" s="749" customFormat="1" ht="12" customHeight="1">
      <c r="B52" s="230"/>
      <c r="C52" s="230" t="s">
        <v>70</v>
      </c>
      <c r="D52" s="549">
        <v>222868000</v>
      </c>
      <c r="E52" s="1907"/>
      <c r="F52" s="1906"/>
      <c r="G52" s="1272"/>
      <c r="H52" s="399"/>
      <c r="I52" s="399"/>
      <c r="J52" s="230"/>
      <c r="K52" s="230"/>
      <c r="L52" s="230"/>
      <c r="W52" s="230"/>
      <c r="X52" s="230"/>
      <c r="Y52" s="1292"/>
      <c r="Z52" s="1293"/>
      <c r="AA52" s="1285"/>
      <c r="AB52" s="1285"/>
      <c r="AC52" s="1285"/>
      <c r="AD52" s="1285"/>
      <c r="AE52" s="1281"/>
      <c r="AF52" s="1281"/>
      <c r="AG52" s="1285"/>
    </row>
    <row r="53" spans="1:33" s="749" customFormat="1" ht="12" customHeight="1">
      <c r="B53" s="230"/>
      <c r="C53" s="230" t="s">
        <v>71</v>
      </c>
      <c r="D53" s="549">
        <v>223146000</v>
      </c>
      <c r="E53" s="1907"/>
      <c r="F53" s="1906"/>
      <c r="G53" s="1272"/>
      <c r="H53" s="399"/>
      <c r="I53" s="399"/>
      <c r="J53" s="230"/>
      <c r="K53" s="230"/>
      <c r="L53" s="230"/>
      <c r="W53" s="399"/>
      <c r="X53" s="399"/>
      <c r="Y53" s="1294">
        <f>SUM(Z53:AG53)</f>
        <v>0</v>
      </c>
      <c r="Z53" s="1275"/>
      <c r="AA53" s="1276"/>
      <c r="AB53" s="1276"/>
      <c r="AC53" s="1276"/>
      <c r="AD53" s="1276"/>
      <c r="AE53" s="1295"/>
      <c r="AF53" s="1295"/>
      <c r="AG53" s="1276"/>
    </row>
    <row r="54" spans="1:33" s="749" customFormat="1" ht="12" customHeight="1">
      <c r="B54" s="230"/>
      <c r="C54" s="230" t="s">
        <v>72</v>
      </c>
      <c r="D54" s="549">
        <v>224054000</v>
      </c>
      <c r="E54" s="1907"/>
      <c r="F54" s="1906">
        <v>27499000</v>
      </c>
      <c r="G54" s="1272"/>
      <c r="H54" s="399"/>
      <c r="I54" s="399"/>
      <c r="J54" s="230"/>
      <c r="K54" s="230"/>
      <c r="L54" s="230"/>
      <c r="W54" s="1233"/>
      <c r="X54" s="1233"/>
      <c r="Y54" s="1278">
        <f>SUM(Z54:AG54)</f>
        <v>0</v>
      </c>
      <c r="Z54" s="1279"/>
      <c r="AA54" s="1296"/>
      <c r="AB54" s="1280"/>
      <c r="AC54" s="1296"/>
      <c r="AD54" s="1285"/>
      <c r="AE54" s="1281"/>
      <c r="AF54" s="1281"/>
      <c r="AG54" s="1282"/>
    </row>
    <row r="55" spans="1:33" s="749" customFormat="1" ht="12" customHeight="1">
      <c r="B55" s="230"/>
      <c r="C55" s="230" t="s">
        <v>78</v>
      </c>
      <c r="D55" s="1297">
        <f>SUM(D43:D54)</f>
        <v>2519908000</v>
      </c>
      <c r="E55" s="454"/>
      <c r="F55" s="1297">
        <f>SUM(F45:F54)</f>
        <v>315471000</v>
      </c>
      <c r="G55" s="1271"/>
      <c r="H55" s="399"/>
      <c r="I55" s="399"/>
      <c r="J55" s="230"/>
      <c r="K55" s="230"/>
      <c r="L55" s="230"/>
      <c r="W55" s="399"/>
      <c r="X55" s="399"/>
      <c r="Y55" s="1283" t="s">
        <v>302</v>
      </c>
      <c r="Z55" s="1293"/>
      <c r="AA55" s="1298"/>
      <c r="AB55" s="1298"/>
      <c r="AC55" s="1285"/>
      <c r="AD55" s="1286"/>
      <c r="AE55" s="1287"/>
      <c r="AF55" s="1281"/>
      <c r="AG55" s="1281"/>
    </row>
    <row r="56" spans="1:33" s="749" customFormat="1" ht="12" customHeight="1" thickBot="1">
      <c r="A56" s="1252"/>
      <c r="B56" s="230"/>
      <c r="C56" s="230"/>
      <c r="D56" s="454"/>
      <c r="E56" s="454"/>
      <c r="F56" s="454"/>
      <c r="G56" s="454"/>
      <c r="H56" s="230"/>
      <c r="I56" s="230"/>
      <c r="J56" s="230"/>
      <c r="K56" s="230"/>
      <c r="L56" s="230"/>
      <c r="Y56" s="1299">
        <f>SUM(Z56:AG56)</f>
        <v>0</v>
      </c>
      <c r="Z56" s="1275"/>
      <c r="AA56" s="1295"/>
      <c r="AB56" s="1295"/>
      <c r="AC56" s="1295"/>
      <c r="AD56" s="1276"/>
      <c r="AE56" s="1295"/>
      <c r="AF56" s="1295"/>
      <c r="AG56" s="1295"/>
    </row>
    <row r="57" spans="1:33" s="749" customFormat="1" ht="12" customHeight="1" thickBot="1">
      <c r="A57" s="1254"/>
      <c r="B57" s="230"/>
      <c r="C57" s="230"/>
      <c r="D57" s="230"/>
      <c r="E57" s="230"/>
      <c r="F57" s="230"/>
      <c r="G57" s="230"/>
      <c r="H57" s="230"/>
      <c r="I57" s="230"/>
      <c r="J57" s="230"/>
      <c r="K57" s="230"/>
      <c r="L57" s="230"/>
      <c r="Y57" s="1300">
        <f>SUM(Z57:AG57)</f>
        <v>0</v>
      </c>
      <c r="Z57" s="1301">
        <f>SUM(Z47:Z56)</f>
        <v>0</v>
      </c>
      <c r="AA57" s="1302">
        <f t="shared" ref="AA57:AG57" si="10">SUM(AA47:AA56)</f>
        <v>0</v>
      </c>
      <c r="AB57" s="1302">
        <f t="shared" si="10"/>
        <v>0</v>
      </c>
      <c r="AC57" s="1302">
        <f t="shared" si="10"/>
        <v>0</v>
      </c>
      <c r="AD57" s="1302">
        <f t="shared" si="10"/>
        <v>0</v>
      </c>
      <c r="AE57" s="1302"/>
      <c r="AF57" s="1302">
        <f t="shared" si="10"/>
        <v>0</v>
      </c>
      <c r="AG57" s="1302">
        <f t="shared" si="10"/>
        <v>0</v>
      </c>
    </row>
    <row r="58" spans="1:33" s="749" customFormat="1" ht="12" customHeight="1">
      <c r="B58" s="230"/>
      <c r="C58" s="230"/>
      <c r="D58" s="230"/>
      <c r="E58" s="230"/>
      <c r="F58" s="230"/>
      <c r="G58" s="230"/>
      <c r="H58" s="230"/>
      <c r="I58" s="230"/>
      <c r="J58" s="230"/>
      <c r="K58" s="230"/>
      <c r="L58" s="230"/>
    </row>
    <row r="59" spans="1:33" s="749" customFormat="1" ht="12" customHeight="1">
      <c r="A59" s="1254"/>
      <c r="B59" s="230"/>
      <c r="C59" s="230"/>
      <c r="D59" s="230"/>
      <c r="E59" s="230"/>
      <c r="F59" s="230"/>
      <c r="G59" s="230"/>
      <c r="H59" s="230"/>
      <c r="I59" s="230"/>
      <c r="J59" s="230"/>
      <c r="K59" s="230"/>
      <c r="L59" s="230"/>
      <c r="Y59" s="757" t="s">
        <v>529</v>
      </c>
      <c r="Z59" s="761"/>
      <c r="AA59" s="761"/>
      <c r="AB59" s="761"/>
      <c r="AC59" s="761"/>
      <c r="AD59" s="761"/>
      <c r="AE59" s="761"/>
      <c r="AF59" s="761"/>
      <c r="AG59" s="761"/>
    </row>
    <row r="60" spans="1:33" s="749" customFormat="1" ht="12" customHeight="1">
      <c r="A60" s="452"/>
      <c r="B60" s="230"/>
      <c r="C60" s="230"/>
      <c r="D60" s="230"/>
      <c r="E60" s="230"/>
      <c r="F60" s="230"/>
      <c r="G60" s="230"/>
      <c r="H60" s="230"/>
      <c r="I60" s="230"/>
      <c r="J60" s="230"/>
      <c r="K60" s="230"/>
      <c r="L60" s="230"/>
      <c r="M60" s="761"/>
      <c r="Y60" s="749" t="s">
        <v>530</v>
      </c>
      <c r="AA60" s="1303" t="e">
        <f>AA48/AA47/AB43%</f>
        <v>#DIV/0!</v>
      </c>
      <c r="AB60" s="1303" t="e">
        <f>AB48/AB47/AB43%</f>
        <v>#DIV/0!</v>
      </c>
      <c r="AC60" s="1303"/>
      <c r="AD60" s="1303"/>
      <c r="AE60" s="1303"/>
      <c r="AF60" s="1303"/>
      <c r="AG60" s="1303" t="e">
        <f>AG48/AG47/AB43%</f>
        <v>#DIV/0!</v>
      </c>
    </row>
    <row r="61" spans="1:33" s="452" customFormat="1" ht="13.5" customHeight="1">
      <c r="B61" s="230"/>
      <c r="C61" s="230"/>
      <c r="D61" s="230"/>
      <c r="E61" s="230"/>
      <c r="F61" s="230"/>
      <c r="G61" s="230"/>
      <c r="H61" s="230"/>
      <c r="I61" s="230"/>
      <c r="J61" s="230"/>
      <c r="K61" s="230"/>
      <c r="L61" s="230"/>
      <c r="M61" s="1253"/>
      <c r="N61" s="761"/>
      <c r="O61" s="761"/>
      <c r="P61" s="761"/>
      <c r="Q61" s="761"/>
      <c r="R61" s="761"/>
      <c r="S61" s="761"/>
      <c r="T61" s="761"/>
      <c r="U61" s="761"/>
      <c r="V61" s="761"/>
      <c r="W61" s="749"/>
      <c r="X61" s="749"/>
      <c r="Y61" s="749" t="s">
        <v>531</v>
      </c>
      <c r="Z61" s="749"/>
      <c r="AA61" s="1303" t="e">
        <f>AA54/AA53/AB43%</f>
        <v>#DIV/0!</v>
      </c>
      <c r="AB61" s="1303" t="e">
        <f>AB54/AB53/AB43%</f>
        <v>#DIV/0!</v>
      </c>
      <c r="AC61" s="1303"/>
      <c r="AD61" s="1303"/>
      <c r="AE61" s="1303"/>
      <c r="AF61" s="1303"/>
      <c r="AG61" s="1303" t="e">
        <f>AG54/AG53/AB43%</f>
        <v>#DIV/0!</v>
      </c>
    </row>
    <row r="62" spans="1:33" s="452" customFormat="1" ht="13.5" customHeight="1" thickBot="1">
      <c r="B62" s="675" t="s">
        <v>292</v>
      </c>
      <c r="G62" s="2539" t="str">
        <f>C1</f>
        <v>令和7年度</v>
      </c>
      <c r="H62" s="2539"/>
      <c r="I62" s="2540" t="s">
        <v>293</v>
      </c>
      <c r="J62" s="2540"/>
      <c r="K62" s="399" t="s">
        <v>532</v>
      </c>
      <c r="Y62" s="749"/>
      <c r="Z62" s="749"/>
      <c r="AA62" s="749"/>
      <c r="AB62" s="749"/>
      <c r="AC62" s="749"/>
      <c r="AD62" s="749"/>
      <c r="AE62" s="749"/>
      <c r="AF62" s="749"/>
      <c r="AG62" s="749"/>
    </row>
    <row r="63" spans="1:33" s="452" customFormat="1" ht="21" customHeight="1">
      <c r="B63" s="2512" t="s">
        <v>0</v>
      </c>
      <c r="C63" s="2515" t="s">
        <v>220</v>
      </c>
      <c r="D63" s="2516"/>
      <c r="E63" s="2551" t="s">
        <v>221</v>
      </c>
      <c r="F63" s="2551"/>
      <c r="G63" s="2551"/>
      <c r="H63" s="2551"/>
      <c r="I63" s="2551"/>
      <c r="J63" s="2538"/>
      <c r="K63" s="2547" t="s">
        <v>74</v>
      </c>
      <c r="L63" s="2548"/>
      <c r="M63" s="2548"/>
      <c r="N63" s="2523"/>
      <c r="O63" s="2545" t="s">
        <v>222</v>
      </c>
      <c r="P63" s="2546"/>
      <c r="Q63" s="2547" t="s">
        <v>358</v>
      </c>
      <c r="R63" s="2548"/>
      <c r="S63" s="2548"/>
      <c r="T63" s="2523"/>
      <c r="U63" s="2545" t="s">
        <v>223</v>
      </c>
      <c r="V63" s="2546"/>
      <c r="W63" s="2549" t="s">
        <v>75</v>
      </c>
      <c r="X63" s="2534"/>
    </row>
    <row r="64" spans="1:33" s="452" customFormat="1" ht="21" customHeight="1">
      <c r="B64" s="2513"/>
      <c r="C64" s="2517"/>
      <c r="D64" s="2518"/>
      <c r="E64" s="2537" t="s">
        <v>225</v>
      </c>
      <c r="F64" s="2538"/>
      <c r="G64" s="2522" t="s">
        <v>226</v>
      </c>
      <c r="H64" s="2523"/>
      <c r="I64" s="2522" t="s">
        <v>227</v>
      </c>
      <c r="J64" s="2523"/>
      <c r="K64" s="2522" t="s">
        <v>76</v>
      </c>
      <c r="L64" s="2523"/>
      <c r="M64" s="2522" t="s">
        <v>228</v>
      </c>
      <c r="N64" s="2523"/>
      <c r="O64" s="2529"/>
      <c r="P64" s="2530"/>
      <c r="Q64" s="2522" t="s">
        <v>226</v>
      </c>
      <c r="R64" s="2523"/>
      <c r="S64" s="2522" t="s">
        <v>228</v>
      </c>
      <c r="T64" s="2523"/>
      <c r="U64" s="2529"/>
      <c r="V64" s="2530"/>
      <c r="W64" s="2550"/>
      <c r="X64" s="2536"/>
    </row>
    <row r="65" spans="1:28" s="452" customFormat="1" ht="21" customHeight="1">
      <c r="A65" s="1304"/>
      <c r="B65" s="2514"/>
      <c r="C65" s="676" t="s">
        <v>230</v>
      </c>
      <c r="D65" s="677" t="s">
        <v>231</v>
      </c>
      <c r="E65" s="459" t="s">
        <v>230</v>
      </c>
      <c r="F65" s="678" t="s">
        <v>232</v>
      </c>
      <c r="G65" s="459" t="s">
        <v>230</v>
      </c>
      <c r="H65" s="1003" t="s">
        <v>232</v>
      </c>
      <c r="I65" s="459" t="s">
        <v>230</v>
      </c>
      <c r="J65" s="1003" t="s">
        <v>232</v>
      </c>
      <c r="K65" s="460" t="s">
        <v>230</v>
      </c>
      <c r="L65" s="1003" t="s">
        <v>232</v>
      </c>
      <c r="M65" s="460" t="s">
        <v>230</v>
      </c>
      <c r="N65" s="1003" t="s">
        <v>232</v>
      </c>
      <c r="O65" s="460" t="s">
        <v>230</v>
      </c>
      <c r="P65" s="18" t="s">
        <v>232</v>
      </c>
      <c r="Q65" s="1305" t="s">
        <v>230</v>
      </c>
      <c r="R65" s="1003" t="s">
        <v>232</v>
      </c>
      <c r="S65" s="459" t="s">
        <v>230</v>
      </c>
      <c r="T65" s="1003" t="s">
        <v>232</v>
      </c>
      <c r="U65" s="460" t="s">
        <v>230</v>
      </c>
      <c r="V65" s="1003" t="s">
        <v>232</v>
      </c>
      <c r="W65" s="460" t="s">
        <v>230</v>
      </c>
      <c r="X65" s="1003" t="s">
        <v>232</v>
      </c>
    </row>
    <row r="66" spans="1:28" s="452" customFormat="1" ht="21" customHeight="1">
      <c r="B66" s="1306" t="s">
        <v>233</v>
      </c>
      <c r="C66" s="1307"/>
      <c r="D66" s="1308">
        <v>-36430000</v>
      </c>
      <c r="E66" s="1309"/>
      <c r="F66" s="1310">
        <v>0</v>
      </c>
      <c r="G66" s="1311"/>
      <c r="H66" s="1312">
        <v>-2680000</v>
      </c>
      <c r="I66" s="1313"/>
      <c r="J66" s="1312">
        <v>-23280000</v>
      </c>
      <c r="K66" s="1313"/>
      <c r="L66" s="1314">
        <v>0</v>
      </c>
      <c r="M66" s="1313"/>
      <c r="N66" s="1314">
        <v>0</v>
      </c>
      <c r="O66" s="1313"/>
      <c r="P66" s="1309">
        <v>0</v>
      </c>
      <c r="Q66" s="1315"/>
      <c r="R66" s="1312">
        <v>0</v>
      </c>
      <c r="S66" s="1311"/>
      <c r="T66" s="1309">
        <v>-10980000</v>
      </c>
      <c r="U66" s="1316"/>
      <c r="V66" s="1317">
        <v>510000</v>
      </c>
      <c r="W66" s="1318"/>
      <c r="X66" s="1319">
        <v>0</v>
      </c>
      <c r="Y66" s="452" t="s">
        <v>294</v>
      </c>
    </row>
    <row r="67" spans="1:28" s="452" customFormat="1" ht="21" customHeight="1">
      <c r="B67" s="1002" t="s">
        <v>62</v>
      </c>
      <c r="C67" s="688"/>
      <c r="D67" s="689">
        <f t="shared" ref="D67:D76" si="11">F67+H67+J67+L67+N67+P67+V67+X67+R67+T67</f>
        <v>0</v>
      </c>
      <c r="E67" s="1320"/>
      <c r="F67" s="768"/>
      <c r="G67" s="769"/>
      <c r="H67" s="770"/>
      <c r="I67" s="769"/>
      <c r="J67" s="770"/>
      <c r="K67" s="771"/>
      <c r="L67" s="768"/>
      <c r="M67" s="771"/>
      <c r="N67" s="768"/>
      <c r="O67" s="771"/>
      <c r="P67" s="767"/>
      <c r="Q67" s="1321"/>
      <c r="R67" s="770"/>
      <c r="S67" s="769"/>
      <c r="T67" s="767"/>
      <c r="U67" s="771"/>
      <c r="V67" s="768"/>
      <c r="W67" s="771"/>
      <c r="X67" s="1322"/>
    </row>
    <row r="68" spans="1:28" s="452" customFormat="1" ht="21" customHeight="1">
      <c r="B68" s="1002" t="s">
        <v>63</v>
      </c>
      <c r="C68" s="688"/>
      <c r="D68" s="689">
        <f t="shared" si="11"/>
        <v>0</v>
      </c>
      <c r="E68" s="1320"/>
      <c r="F68" s="768"/>
      <c r="G68" s="769"/>
      <c r="H68" s="770"/>
      <c r="I68" s="769"/>
      <c r="J68" s="770"/>
      <c r="K68" s="771"/>
      <c r="L68" s="768"/>
      <c r="M68" s="771"/>
      <c r="N68" s="768"/>
      <c r="O68" s="771"/>
      <c r="P68" s="767"/>
      <c r="Q68" s="1321"/>
      <c r="R68" s="770"/>
      <c r="S68" s="769"/>
      <c r="T68" s="767"/>
      <c r="U68" s="771"/>
      <c r="V68" s="768"/>
      <c r="W68" s="771"/>
      <c r="X68" s="1322"/>
      <c r="AA68" s="1323"/>
      <c r="AB68" s="1323"/>
    </row>
    <row r="69" spans="1:28" s="452" customFormat="1" ht="21" customHeight="1">
      <c r="B69" s="1324" t="s">
        <v>64</v>
      </c>
      <c r="C69" s="1325"/>
      <c r="D69" s="1326">
        <v>177896000</v>
      </c>
      <c r="E69" s="1327"/>
      <c r="F69" s="1310">
        <v>0</v>
      </c>
      <c r="G69" s="1328"/>
      <c r="H69" s="1329">
        <v>21070000</v>
      </c>
      <c r="I69" s="1328"/>
      <c r="J69" s="1329">
        <v>96320000</v>
      </c>
      <c r="K69" s="1330"/>
      <c r="L69" s="1310">
        <v>0</v>
      </c>
      <c r="M69" s="1330"/>
      <c r="N69" s="1310">
        <v>60000</v>
      </c>
      <c r="O69" s="1330"/>
      <c r="P69" s="1327">
        <v>0</v>
      </c>
      <c r="Q69" s="1331"/>
      <c r="R69" s="1329">
        <v>5386000</v>
      </c>
      <c r="S69" s="1328"/>
      <c r="T69" s="1327">
        <v>47380000</v>
      </c>
      <c r="U69" s="1332"/>
      <c r="V69" s="1333">
        <v>7680000</v>
      </c>
      <c r="W69" s="1334"/>
      <c r="X69" s="1335" t="s">
        <v>533</v>
      </c>
      <c r="Y69" s="452" t="s">
        <v>294</v>
      </c>
      <c r="AA69" s="1323"/>
      <c r="AB69" s="1323"/>
    </row>
    <row r="70" spans="1:28" s="452" customFormat="1" ht="21" customHeight="1">
      <c r="B70" s="1934" t="s">
        <v>65</v>
      </c>
      <c r="C70" s="1935"/>
      <c r="D70" s="1936">
        <v>-23796000</v>
      </c>
      <c r="E70" s="1937"/>
      <c r="F70" s="1333">
        <v>0</v>
      </c>
      <c r="G70" s="1938"/>
      <c r="H70" s="1335">
        <v>-850000</v>
      </c>
      <c r="I70" s="1938"/>
      <c r="J70" s="1335">
        <v>-24470000</v>
      </c>
      <c r="K70" s="1332"/>
      <c r="L70" s="1333">
        <v>0</v>
      </c>
      <c r="M70" s="1332"/>
      <c r="N70" s="1333">
        <v>0</v>
      </c>
      <c r="O70" s="1332"/>
      <c r="P70" s="1937">
        <v>0</v>
      </c>
      <c r="Q70" s="1939"/>
      <c r="R70" s="1335">
        <v>2474000</v>
      </c>
      <c r="S70" s="1938"/>
      <c r="T70" s="1937">
        <v>-280000</v>
      </c>
      <c r="U70" s="1332"/>
      <c r="V70" s="1333">
        <v>-670000</v>
      </c>
      <c r="W70" s="1334"/>
      <c r="X70" s="1335" t="s">
        <v>533</v>
      </c>
      <c r="Y70" s="452" t="s">
        <v>294</v>
      </c>
      <c r="AA70" s="1323"/>
      <c r="AB70" s="1323"/>
    </row>
    <row r="71" spans="1:28" s="452" customFormat="1" ht="21" customHeight="1">
      <c r="B71" s="1324" t="s">
        <v>66</v>
      </c>
      <c r="C71" s="1325"/>
      <c r="D71" s="1326">
        <v>50618000</v>
      </c>
      <c r="E71" s="1327"/>
      <c r="F71" s="1310">
        <v>0</v>
      </c>
      <c r="G71" s="1328"/>
      <c r="H71" s="1329">
        <v>10530000</v>
      </c>
      <c r="I71" s="1328"/>
      <c r="J71" s="1329">
        <v>25620000</v>
      </c>
      <c r="K71" s="1330"/>
      <c r="L71" s="1310">
        <v>60000</v>
      </c>
      <c r="M71" s="1330"/>
      <c r="N71" s="1310">
        <v>0</v>
      </c>
      <c r="O71" s="1330"/>
      <c r="P71" s="1327">
        <v>0</v>
      </c>
      <c r="Q71" s="1331"/>
      <c r="R71" s="1329">
        <v>-7128000</v>
      </c>
      <c r="S71" s="1328"/>
      <c r="T71" s="1327">
        <v>20796000</v>
      </c>
      <c r="U71" s="1332"/>
      <c r="V71" s="1333">
        <v>740000</v>
      </c>
      <c r="W71" s="1334"/>
      <c r="X71" s="1335" t="s">
        <v>533</v>
      </c>
      <c r="Y71" s="452" t="s">
        <v>295</v>
      </c>
    </row>
    <row r="72" spans="1:28" s="452" customFormat="1" ht="21" customHeight="1">
      <c r="B72" s="1002" t="s">
        <v>67</v>
      </c>
      <c r="C72" s="688"/>
      <c r="D72" s="689">
        <f t="shared" si="11"/>
        <v>0</v>
      </c>
      <c r="E72" s="1320"/>
      <c r="F72" s="768"/>
      <c r="G72" s="769"/>
      <c r="H72" s="768"/>
      <c r="I72" s="769"/>
      <c r="J72" s="768"/>
      <c r="K72" s="771"/>
      <c r="L72" s="768"/>
      <c r="M72" s="771"/>
      <c r="N72" s="768"/>
      <c r="O72" s="771"/>
      <c r="P72" s="767"/>
      <c r="Q72" s="1321"/>
      <c r="R72" s="770"/>
      <c r="S72" s="769"/>
      <c r="T72" s="767"/>
      <c r="U72" s="771"/>
      <c r="V72" s="768"/>
      <c r="W72" s="771"/>
      <c r="X72" s="1341"/>
    </row>
    <row r="73" spans="1:28" s="452" customFormat="1" ht="21" customHeight="1">
      <c r="B73" s="998" t="s">
        <v>68</v>
      </c>
      <c r="C73" s="734"/>
      <c r="D73" s="735">
        <f t="shared" si="11"/>
        <v>0</v>
      </c>
      <c r="E73" s="1342"/>
      <c r="F73" s="1343"/>
      <c r="G73" s="1344"/>
      <c r="H73" s="1343"/>
      <c r="I73" s="1344"/>
      <c r="J73" s="1343"/>
      <c r="K73" s="1345"/>
      <c r="L73" s="1343"/>
      <c r="M73" s="1345"/>
      <c r="N73" s="1343"/>
      <c r="O73" s="1345"/>
      <c r="P73" s="1342"/>
      <c r="Q73" s="1346"/>
      <c r="R73" s="1347"/>
      <c r="S73" s="1344"/>
      <c r="T73" s="1342"/>
      <c r="U73" s="1345"/>
      <c r="V73" s="1343"/>
      <c r="W73" s="1345"/>
      <c r="X73" s="1348"/>
    </row>
    <row r="74" spans="1:28" s="452" customFormat="1" ht="21" customHeight="1">
      <c r="B74" s="998" t="s">
        <v>69</v>
      </c>
      <c r="C74" s="734"/>
      <c r="D74" s="735">
        <f t="shared" si="11"/>
        <v>0</v>
      </c>
      <c r="E74" s="1342"/>
      <c r="F74" s="1343"/>
      <c r="G74" s="1344"/>
      <c r="H74" s="1343"/>
      <c r="I74" s="1345"/>
      <c r="J74" s="1343"/>
      <c r="K74" s="1345"/>
      <c r="L74" s="1343"/>
      <c r="M74" s="1345"/>
      <c r="N74" s="1343"/>
      <c r="O74" s="1345"/>
      <c r="P74" s="1342"/>
      <c r="Q74" s="1346"/>
      <c r="R74" s="1347"/>
      <c r="S74" s="1344"/>
      <c r="T74" s="1342"/>
      <c r="U74" s="1345"/>
      <c r="V74" s="1343"/>
      <c r="W74" s="1345"/>
      <c r="X74" s="1348"/>
    </row>
    <row r="75" spans="1:28" s="452" customFormat="1" ht="21" customHeight="1">
      <c r="B75" s="998" t="s">
        <v>70</v>
      </c>
      <c r="C75" s="734"/>
      <c r="D75" s="735">
        <f t="shared" si="11"/>
        <v>0</v>
      </c>
      <c r="E75" s="1342"/>
      <c r="F75" s="1343"/>
      <c r="G75" s="1344"/>
      <c r="H75" s="1343"/>
      <c r="I75" s="1345"/>
      <c r="J75" s="1343"/>
      <c r="K75" s="1345"/>
      <c r="L75" s="1343"/>
      <c r="M75" s="1345"/>
      <c r="N75" s="1343"/>
      <c r="O75" s="1345"/>
      <c r="P75" s="1342"/>
      <c r="Q75" s="1346"/>
      <c r="R75" s="1347"/>
      <c r="S75" s="1344"/>
      <c r="T75" s="1342"/>
      <c r="U75" s="1345"/>
      <c r="V75" s="1343"/>
      <c r="W75" s="1345"/>
      <c r="X75" s="1348"/>
    </row>
    <row r="76" spans="1:28" s="452" customFormat="1" ht="21" customHeight="1">
      <c r="B76" s="998" t="s">
        <v>71</v>
      </c>
      <c r="C76" s="734"/>
      <c r="D76" s="735">
        <f t="shared" si="11"/>
        <v>0</v>
      </c>
      <c r="E76" s="1342"/>
      <c r="F76" s="1343"/>
      <c r="G76" s="1344"/>
      <c r="H76" s="1343"/>
      <c r="I76" s="1345"/>
      <c r="J76" s="1343"/>
      <c r="K76" s="1345"/>
      <c r="L76" s="1343"/>
      <c r="M76" s="1345"/>
      <c r="N76" s="1343"/>
      <c r="O76" s="1345"/>
      <c r="P76" s="1342"/>
      <c r="Q76" s="1346"/>
      <c r="R76" s="1347"/>
      <c r="S76" s="1344"/>
      <c r="T76" s="1342"/>
      <c r="U76" s="1345"/>
      <c r="V76" s="1343"/>
      <c r="W76" s="1345"/>
      <c r="X76" s="1348"/>
    </row>
    <row r="77" spans="1:28" s="1349" customFormat="1" ht="21" customHeight="1" thickBot="1">
      <c r="B77" s="745" t="s">
        <v>72</v>
      </c>
      <c r="C77" s="1350"/>
      <c r="D77" s="1351">
        <v>62414000</v>
      </c>
      <c r="E77" s="1352"/>
      <c r="F77" s="1353">
        <v>0</v>
      </c>
      <c r="G77" s="1337"/>
      <c r="H77" s="1336">
        <v>470000</v>
      </c>
      <c r="I77" s="1338"/>
      <c r="J77" s="1336">
        <v>34340000</v>
      </c>
      <c r="K77" s="1354"/>
      <c r="L77" s="1336">
        <v>0</v>
      </c>
      <c r="M77" s="1354"/>
      <c r="N77" s="1336">
        <v>0</v>
      </c>
      <c r="O77" s="1338"/>
      <c r="P77" s="1339">
        <v>0</v>
      </c>
      <c r="Q77" s="1340"/>
      <c r="R77" s="1322">
        <v>0</v>
      </c>
      <c r="S77" s="1337"/>
      <c r="T77" s="1339">
        <v>1854000</v>
      </c>
      <c r="U77" s="1338"/>
      <c r="V77" s="1336">
        <v>25750000</v>
      </c>
      <c r="W77" s="771"/>
      <c r="X77" s="1336" t="s">
        <v>533</v>
      </c>
      <c r="Y77" s="1233" t="s">
        <v>534</v>
      </c>
    </row>
    <row r="78" spans="1:28" s="452" customFormat="1" ht="14.25" thickBot="1">
      <c r="B78" s="1355" t="s">
        <v>78</v>
      </c>
      <c r="C78" s="1356"/>
      <c r="D78" s="1357">
        <f>SUM(D66:D77)</f>
        <v>230702000</v>
      </c>
      <c r="E78" s="1358"/>
      <c r="F78" s="1359">
        <f>SUM(F66:F77)</f>
        <v>0</v>
      </c>
      <c r="G78" s="1360"/>
      <c r="H78" s="1361">
        <f>SUM(H66:H77)</f>
        <v>28540000</v>
      </c>
      <c r="I78" s="1360"/>
      <c r="J78" s="1361">
        <f>SUM(J66:J77)</f>
        <v>108530000</v>
      </c>
      <c r="K78" s="1362"/>
      <c r="L78" s="1361">
        <f>SUM(L66:L77)</f>
        <v>60000</v>
      </c>
      <c r="M78" s="1362"/>
      <c r="N78" s="1361">
        <f>SUM(N66:N77)</f>
        <v>60000</v>
      </c>
      <c r="O78" s="1362"/>
      <c r="P78" s="1363">
        <f>SUM(P66:P77)</f>
        <v>0</v>
      </c>
      <c r="Q78" s="1364"/>
      <c r="R78" s="1365">
        <f>SUM(R66:R77)</f>
        <v>732000</v>
      </c>
      <c r="S78" s="1360"/>
      <c r="T78" s="1363">
        <f>SUM(T66:T77)</f>
        <v>58770000</v>
      </c>
      <c r="U78" s="1362"/>
      <c r="V78" s="1361">
        <f>SUM(V66:V77)</f>
        <v>34010000</v>
      </c>
      <c r="W78" s="1362"/>
      <c r="X78" s="1357">
        <f>SUM(X66:X77)</f>
        <v>0</v>
      </c>
    </row>
    <row r="79" spans="1:28" s="452" customFormat="1" ht="13.5"/>
    <row r="80" spans="1:28" s="452" customFormat="1" ht="18" customHeight="1"/>
    <row r="81" spans="2:28" s="452" customFormat="1" ht="21" customHeight="1" thickBot="1">
      <c r="B81" s="675" t="s">
        <v>304</v>
      </c>
      <c r="G81" s="2539" t="str">
        <f>C1</f>
        <v>令和7年度</v>
      </c>
      <c r="H81" s="2539"/>
      <c r="I81" s="2540" t="s">
        <v>293</v>
      </c>
      <c r="J81" s="2540"/>
      <c r="K81" s="399" t="s">
        <v>532</v>
      </c>
    </row>
    <row r="82" spans="2:28" s="452" customFormat="1" ht="21" customHeight="1">
      <c r="B82" s="2512" t="s">
        <v>0</v>
      </c>
      <c r="C82" s="2515" t="s">
        <v>662</v>
      </c>
      <c r="D82" s="2516"/>
      <c r="E82" s="2519" t="s">
        <v>221</v>
      </c>
      <c r="F82" s="2520"/>
      <c r="G82" s="2520"/>
      <c r="H82" s="2520"/>
      <c r="I82" s="2520"/>
      <c r="J82" s="2521"/>
      <c r="K82" s="2524" t="s">
        <v>74</v>
      </c>
      <c r="L82" s="2525"/>
      <c r="M82" s="2525"/>
      <c r="N82" s="2526"/>
      <c r="O82" s="2527" t="s">
        <v>222</v>
      </c>
      <c r="P82" s="2528"/>
      <c r="Q82" s="2524" t="s">
        <v>358</v>
      </c>
      <c r="R82" s="2525"/>
      <c r="S82" s="2525"/>
      <c r="T82" s="2526"/>
      <c r="U82" s="2527" t="s">
        <v>223</v>
      </c>
      <c r="V82" s="2531"/>
      <c r="W82" s="2533" t="s">
        <v>75</v>
      </c>
      <c r="X82" s="2534"/>
    </row>
    <row r="83" spans="2:28" s="452" customFormat="1" ht="21" customHeight="1">
      <c r="B83" s="2513"/>
      <c r="C83" s="2517"/>
      <c r="D83" s="2518"/>
      <c r="E83" s="2537" t="s">
        <v>225</v>
      </c>
      <c r="F83" s="2538"/>
      <c r="G83" s="2522" t="s">
        <v>226</v>
      </c>
      <c r="H83" s="2523"/>
      <c r="I83" s="2522" t="s">
        <v>227</v>
      </c>
      <c r="J83" s="2523"/>
      <c r="K83" s="2522" t="s">
        <v>76</v>
      </c>
      <c r="L83" s="2523"/>
      <c r="M83" s="2522" t="s">
        <v>228</v>
      </c>
      <c r="N83" s="2523"/>
      <c r="O83" s="2529"/>
      <c r="P83" s="2530"/>
      <c r="Q83" s="2522" t="s">
        <v>226</v>
      </c>
      <c r="R83" s="2523"/>
      <c r="S83" s="2522" t="s">
        <v>228</v>
      </c>
      <c r="T83" s="2523"/>
      <c r="U83" s="2529"/>
      <c r="V83" s="2532"/>
      <c r="W83" s="2535"/>
      <c r="X83" s="2536"/>
    </row>
    <row r="84" spans="2:28" s="452" customFormat="1" ht="21" customHeight="1">
      <c r="B84" s="2514"/>
      <c r="C84" s="676" t="s">
        <v>230</v>
      </c>
      <c r="D84" s="677" t="s">
        <v>231</v>
      </c>
      <c r="E84" s="459" t="s">
        <v>230</v>
      </c>
      <c r="F84" s="678" t="s">
        <v>232</v>
      </c>
      <c r="G84" s="459" t="s">
        <v>230</v>
      </c>
      <c r="H84" s="1003" t="s">
        <v>232</v>
      </c>
      <c r="I84" s="459" t="s">
        <v>230</v>
      </c>
      <c r="J84" s="1003" t="s">
        <v>232</v>
      </c>
      <c r="K84" s="460" t="s">
        <v>230</v>
      </c>
      <c r="L84" s="1003" t="s">
        <v>232</v>
      </c>
      <c r="M84" s="460" t="s">
        <v>230</v>
      </c>
      <c r="N84" s="1003" t="s">
        <v>232</v>
      </c>
      <c r="O84" s="460" t="s">
        <v>230</v>
      </c>
      <c r="P84" s="18" t="s">
        <v>232</v>
      </c>
      <c r="Q84" s="1305" t="s">
        <v>230</v>
      </c>
      <c r="R84" s="1003" t="s">
        <v>232</v>
      </c>
      <c r="S84" s="459" t="s">
        <v>230</v>
      </c>
      <c r="T84" s="1003" t="s">
        <v>232</v>
      </c>
      <c r="U84" s="460" t="s">
        <v>230</v>
      </c>
      <c r="V84" s="1014" t="s">
        <v>232</v>
      </c>
      <c r="W84" s="459" t="s">
        <v>230</v>
      </c>
      <c r="X84" s="1003" t="s">
        <v>232</v>
      </c>
    </row>
    <row r="85" spans="2:28" s="452" customFormat="1" ht="21" customHeight="1">
      <c r="B85" s="1001" t="s">
        <v>233</v>
      </c>
      <c r="C85" s="1859"/>
      <c r="D85" s="1860"/>
      <c r="E85" s="1871"/>
      <c r="F85" s="1872"/>
      <c r="G85" s="1873"/>
      <c r="H85" s="1874"/>
      <c r="I85" s="1875"/>
      <c r="J85" s="1874"/>
      <c r="K85" s="1875"/>
      <c r="L85" s="1872"/>
      <c r="M85" s="1875"/>
      <c r="N85" s="1872"/>
      <c r="O85" s="1875"/>
      <c r="P85" s="1876"/>
      <c r="Q85" s="1877"/>
      <c r="R85" s="1878"/>
      <c r="S85" s="1879"/>
      <c r="T85" s="1876"/>
      <c r="U85" s="1875"/>
      <c r="V85" s="1880"/>
      <c r="W85" s="1941">
        <v>213</v>
      </c>
      <c r="X85" s="1942">
        <v>52118000</v>
      </c>
    </row>
    <row r="86" spans="2:28" s="452" customFormat="1" ht="21" customHeight="1">
      <c r="B86" s="1002" t="s">
        <v>62</v>
      </c>
      <c r="C86" s="688">
        <f t="shared" ref="C86:C96" si="12">G86+I86+K86+M86+O86+U86+Q86+S86+W86</f>
        <v>116</v>
      </c>
      <c r="D86" s="689">
        <f>H86+J86+L86+N86+P86+V86+R86+T86+X86</f>
        <v>19416000</v>
      </c>
      <c r="E86" s="1368"/>
      <c r="F86" s="768"/>
      <c r="G86" s="1908">
        <v>0</v>
      </c>
      <c r="H86" s="1940">
        <v>0</v>
      </c>
      <c r="I86" s="1908">
        <v>6</v>
      </c>
      <c r="J86" s="1940">
        <v>1880000</v>
      </c>
      <c r="K86" s="1910">
        <v>0</v>
      </c>
      <c r="L86" s="1909">
        <v>0</v>
      </c>
      <c r="M86" s="1910">
        <v>0</v>
      </c>
      <c r="N86" s="1909">
        <v>0</v>
      </c>
      <c r="O86" s="1910">
        <v>0</v>
      </c>
      <c r="P86" s="1911">
        <v>0</v>
      </c>
      <c r="Q86" s="1912">
        <v>9</v>
      </c>
      <c r="R86" s="1913">
        <v>1740000</v>
      </c>
      <c r="S86" s="1914">
        <v>94</v>
      </c>
      <c r="T86" s="1911">
        <v>13828000</v>
      </c>
      <c r="U86" s="1910">
        <v>0</v>
      </c>
      <c r="V86" s="1915">
        <v>0</v>
      </c>
      <c r="W86" s="1908">
        <v>7</v>
      </c>
      <c r="X86" s="1940">
        <v>1968000</v>
      </c>
    </row>
    <row r="87" spans="2:28" s="452" customFormat="1" ht="21" customHeight="1">
      <c r="B87" s="1002" t="s">
        <v>63</v>
      </c>
      <c r="C87" s="688">
        <f t="shared" si="12"/>
        <v>73</v>
      </c>
      <c r="D87" s="689">
        <f t="shared" ref="D87:D96" si="13">H87+J87+L87+N87+P87+V87+R87+T87+X87</f>
        <v>17384000</v>
      </c>
      <c r="E87" s="1368"/>
      <c r="F87" s="768"/>
      <c r="G87" s="1908">
        <v>9</v>
      </c>
      <c r="H87" s="1940">
        <v>5110000</v>
      </c>
      <c r="I87" s="1908">
        <v>9</v>
      </c>
      <c r="J87" s="1940">
        <v>2510000</v>
      </c>
      <c r="K87" s="1910">
        <v>0</v>
      </c>
      <c r="L87" s="1909">
        <v>0</v>
      </c>
      <c r="M87" s="1910">
        <v>0</v>
      </c>
      <c r="N87" s="1909">
        <v>0</v>
      </c>
      <c r="O87" s="1910">
        <v>0</v>
      </c>
      <c r="P87" s="1911">
        <v>0</v>
      </c>
      <c r="Q87" s="1912">
        <v>11</v>
      </c>
      <c r="R87" s="1913">
        <v>2460000</v>
      </c>
      <c r="S87" s="1914">
        <v>41</v>
      </c>
      <c r="T87" s="1911">
        <v>6500000</v>
      </c>
      <c r="U87" s="1910">
        <v>0</v>
      </c>
      <c r="V87" s="1915">
        <v>0</v>
      </c>
      <c r="W87" s="1908">
        <v>3</v>
      </c>
      <c r="X87" s="1940">
        <v>804000</v>
      </c>
      <c r="AA87" s="1323"/>
      <c r="AB87" s="1323"/>
    </row>
    <row r="88" spans="2:28" s="452" customFormat="1" ht="21" customHeight="1" thickBot="1">
      <c r="B88" s="1002" t="s">
        <v>64</v>
      </c>
      <c r="C88" s="688">
        <f t="shared" si="12"/>
        <v>41</v>
      </c>
      <c r="D88" s="689">
        <f t="shared" si="13"/>
        <v>12558000</v>
      </c>
      <c r="E88" s="1368"/>
      <c r="F88" s="768"/>
      <c r="G88" s="1908">
        <v>3</v>
      </c>
      <c r="H88" s="1940">
        <v>1330000</v>
      </c>
      <c r="I88" s="1908">
        <v>16</v>
      </c>
      <c r="J88" s="1940">
        <v>5560000</v>
      </c>
      <c r="K88" s="1910">
        <v>0</v>
      </c>
      <c r="L88" s="1909">
        <v>0</v>
      </c>
      <c r="M88" s="1910">
        <v>1</v>
      </c>
      <c r="N88" s="1909">
        <v>1090000</v>
      </c>
      <c r="O88" s="1910">
        <v>0</v>
      </c>
      <c r="P88" s="1911">
        <v>0</v>
      </c>
      <c r="Q88" s="1912">
        <v>7</v>
      </c>
      <c r="R88" s="1913">
        <v>1840000</v>
      </c>
      <c r="S88" s="1914">
        <v>7</v>
      </c>
      <c r="T88" s="1911">
        <v>1002000</v>
      </c>
      <c r="U88" s="1910">
        <v>0</v>
      </c>
      <c r="V88" s="1915">
        <v>0</v>
      </c>
      <c r="W88" s="1908">
        <v>7</v>
      </c>
      <c r="X88" s="1940">
        <v>1736000</v>
      </c>
      <c r="AA88" s="1323"/>
      <c r="AB88" s="1323"/>
    </row>
    <row r="89" spans="2:28" s="452" customFormat="1" ht="21" customHeight="1">
      <c r="B89" s="1002" t="s">
        <v>65</v>
      </c>
      <c r="C89" s="688">
        <f t="shared" si="12"/>
        <v>75</v>
      </c>
      <c r="D89" s="689">
        <f>H89+J89+L89+N89+P89+V89+R89+T89+X89</f>
        <v>12578000</v>
      </c>
      <c r="E89" s="2541" t="s">
        <v>673</v>
      </c>
      <c r="F89" s="2542"/>
      <c r="G89" s="1908">
        <v>2</v>
      </c>
      <c r="H89" s="1940">
        <v>640000</v>
      </c>
      <c r="I89" s="1908">
        <v>2</v>
      </c>
      <c r="J89" s="1940">
        <v>680000</v>
      </c>
      <c r="K89" s="1910">
        <v>0</v>
      </c>
      <c r="L89" s="1909">
        <v>0</v>
      </c>
      <c r="M89" s="1910">
        <v>0</v>
      </c>
      <c r="N89" s="1909">
        <v>0</v>
      </c>
      <c r="O89" s="1910">
        <v>0</v>
      </c>
      <c r="P89" s="1911">
        <v>0</v>
      </c>
      <c r="Q89" s="1912">
        <v>9</v>
      </c>
      <c r="R89" s="1913">
        <v>1760000</v>
      </c>
      <c r="S89" s="1914">
        <v>55</v>
      </c>
      <c r="T89" s="1911">
        <v>8148000</v>
      </c>
      <c r="U89" s="1910">
        <v>0</v>
      </c>
      <c r="V89" s="1915">
        <v>0</v>
      </c>
      <c r="W89" s="1908">
        <v>7</v>
      </c>
      <c r="X89" s="1940">
        <v>1350000</v>
      </c>
      <c r="AA89" s="1323"/>
      <c r="AB89" s="1323"/>
    </row>
    <row r="90" spans="2:28" s="452" customFormat="1" ht="21" customHeight="1" thickBot="1">
      <c r="B90" s="1002" t="s">
        <v>66</v>
      </c>
      <c r="C90" s="688">
        <f t="shared" si="12"/>
        <v>82</v>
      </c>
      <c r="D90" s="689">
        <f t="shared" si="13"/>
        <v>14240000</v>
      </c>
      <c r="E90" s="1924">
        <f>SUM(C85:C93)</f>
        <v>607</v>
      </c>
      <c r="F90" s="1925">
        <f>SUM(D85:D93)</f>
        <v>130190000</v>
      </c>
      <c r="G90" s="1908">
        <v>2</v>
      </c>
      <c r="H90" s="1940">
        <v>660000</v>
      </c>
      <c r="I90" s="1908">
        <v>0</v>
      </c>
      <c r="J90" s="1940">
        <v>0</v>
      </c>
      <c r="K90" s="1910">
        <v>0</v>
      </c>
      <c r="L90" s="1909">
        <v>0</v>
      </c>
      <c r="M90" s="1910">
        <v>0</v>
      </c>
      <c r="N90" s="1909">
        <v>0</v>
      </c>
      <c r="O90" s="1910">
        <v>0</v>
      </c>
      <c r="P90" s="1911">
        <v>0</v>
      </c>
      <c r="Q90" s="1912">
        <v>11</v>
      </c>
      <c r="R90" s="1913">
        <v>2410000</v>
      </c>
      <c r="S90" s="1914">
        <v>61</v>
      </c>
      <c r="T90" s="1911">
        <v>8848000</v>
      </c>
      <c r="U90" s="1910">
        <v>0</v>
      </c>
      <c r="V90" s="1915">
        <v>0</v>
      </c>
      <c r="W90" s="1908">
        <v>8</v>
      </c>
      <c r="X90" s="1940">
        <v>2322000</v>
      </c>
      <c r="Y90" s="1349" t="s">
        <v>595</v>
      </c>
    </row>
    <row r="91" spans="2:28" s="452" customFormat="1" ht="21" customHeight="1" thickBot="1">
      <c r="B91" s="1931" t="s">
        <v>67</v>
      </c>
      <c r="C91" s="1384">
        <f>E91+G91+I91+K91+M91+O91+U91+Q91+S91+W91</f>
        <v>103</v>
      </c>
      <c r="D91" s="1385">
        <f>F91+H91+J91+L91+N91+P91+V91+R91+T91+X91</f>
        <v>32094000</v>
      </c>
      <c r="E91" s="1927">
        <v>1</v>
      </c>
      <c r="F91" s="1916">
        <v>260000</v>
      </c>
      <c r="G91" s="1917">
        <v>14</v>
      </c>
      <c r="H91" s="1916">
        <v>8140000</v>
      </c>
      <c r="I91" s="1917">
        <v>3</v>
      </c>
      <c r="J91" s="1916">
        <v>700000</v>
      </c>
      <c r="K91" s="1918">
        <v>0</v>
      </c>
      <c r="L91" s="1916">
        <v>0</v>
      </c>
      <c r="M91" s="1918">
        <v>0</v>
      </c>
      <c r="N91" s="1916">
        <v>0</v>
      </c>
      <c r="O91" s="1918">
        <v>0</v>
      </c>
      <c r="P91" s="1919">
        <v>0</v>
      </c>
      <c r="Q91" s="1920">
        <v>36</v>
      </c>
      <c r="R91" s="1921">
        <v>14890000</v>
      </c>
      <c r="S91" s="1922">
        <v>44</v>
      </c>
      <c r="T91" s="1919">
        <v>6574000</v>
      </c>
      <c r="U91" s="1918">
        <v>0</v>
      </c>
      <c r="V91" s="1923">
        <v>0</v>
      </c>
      <c r="W91" s="1917">
        <v>5</v>
      </c>
      <c r="X91" s="1916">
        <v>1530000</v>
      </c>
      <c r="Y91" s="708" t="s">
        <v>596</v>
      </c>
    </row>
    <row r="92" spans="2:28" s="452" customFormat="1" ht="21" customHeight="1" thickBot="1">
      <c r="B92" s="1931" t="s">
        <v>68</v>
      </c>
      <c r="C92" s="1384">
        <f t="shared" si="12"/>
        <v>62</v>
      </c>
      <c r="D92" s="1385">
        <f t="shared" si="13"/>
        <v>12548000</v>
      </c>
      <c r="E92" s="2541"/>
      <c r="F92" s="2542"/>
      <c r="G92" s="1917">
        <v>0</v>
      </c>
      <c r="H92" s="1916">
        <v>0</v>
      </c>
      <c r="I92" s="1917">
        <v>12</v>
      </c>
      <c r="J92" s="1916">
        <v>2440000</v>
      </c>
      <c r="K92" s="1918">
        <v>0</v>
      </c>
      <c r="L92" s="1916">
        <v>0</v>
      </c>
      <c r="M92" s="1918">
        <v>0</v>
      </c>
      <c r="N92" s="1916">
        <v>0</v>
      </c>
      <c r="O92" s="1918">
        <v>0</v>
      </c>
      <c r="P92" s="1919">
        <v>0</v>
      </c>
      <c r="Q92" s="1920">
        <v>8</v>
      </c>
      <c r="R92" s="1921">
        <v>2532000</v>
      </c>
      <c r="S92" s="1922">
        <v>39</v>
      </c>
      <c r="T92" s="1919">
        <v>6608000</v>
      </c>
      <c r="U92" s="1918">
        <v>0</v>
      </c>
      <c r="V92" s="1923">
        <v>0</v>
      </c>
      <c r="W92" s="1917">
        <v>3</v>
      </c>
      <c r="X92" s="1916">
        <v>968000</v>
      </c>
      <c r="Y92" s="1349"/>
    </row>
    <row r="93" spans="2:28" s="718" customFormat="1" ht="21" customHeight="1">
      <c r="B93" s="1370" t="s">
        <v>69</v>
      </c>
      <c r="C93" s="1384">
        <f t="shared" si="12"/>
        <v>55</v>
      </c>
      <c r="D93" s="1385">
        <f>H93+J93+L93+N93+P93+V93+R93+T93+X93</f>
        <v>9372000</v>
      </c>
      <c r="E93" s="2543" t="s">
        <v>674</v>
      </c>
      <c r="F93" s="2544"/>
      <c r="G93" s="1917">
        <v>6</v>
      </c>
      <c r="H93" s="1916">
        <v>2100000</v>
      </c>
      <c r="I93" s="1918">
        <v>2</v>
      </c>
      <c r="J93" s="1916">
        <v>540000</v>
      </c>
      <c r="K93" s="1918">
        <v>0</v>
      </c>
      <c r="L93" s="1916">
        <v>0</v>
      </c>
      <c r="M93" s="1918">
        <v>0</v>
      </c>
      <c r="N93" s="1916">
        <v>0</v>
      </c>
      <c r="O93" s="1918">
        <v>0</v>
      </c>
      <c r="P93" s="1919">
        <v>0</v>
      </c>
      <c r="Q93" s="1920">
        <v>9</v>
      </c>
      <c r="R93" s="1921">
        <v>1424000</v>
      </c>
      <c r="S93" s="1922">
        <v>35</v>
      </c>
      <c r="T93" s="1919">
        <v>4594000</v>
      </c>
      <c r="U93" s="1918">
        <v>0</v>
      </c>
      <c r="V93" s="1923">
        <v>0</v>
      </c>
      <c r="W93" s="1917">
        <v>3</v>
      </c>
      <c r="X93" s="1916">
        <v>714000</v>
      </c>
      <c r="Y93" s="1840">
        <v>0</v>
      </c>
      <c r="Z93" s="1840">
        <v>0</v>
      </c>
    </row>
    <row r="94" spans="2:28" s="452" customFormat="1" ht="21" customHeight="1" thickBot="1">
      <c r="B94" s="1370" t="s">
        <v>70</v>
      </c>
      <c r="C94" s="1384">
        <f t="shared" si="12"/>
        <v>64</v>
      </c>
      <c r="D94" s="1385">
        <f>H94+J94+L94+N94+P94+V94+R94+T94+X94</f>
        <v>13158000</v>
      </c>
      <c r="E94" s="1924">
        <f>SUM(C94:C96)</f>
        <v>138</v>
      </c>
      <c r="F94" s="1925">
        <f>SUM(D94:D96)</f>
        <v>28404000</v>
      </c>
      <c r="G94" s="1917">
        <v>7</v>
      </c>
      <c r="H94" s="1916">
        <v>2550000</v>
      </c>
      <c r="I94" s="1918">
        <v>6</v>
      </c>
      <c r="J94" s="1916">
        <v>1500000</v>
      </c>
      <c r="K94" s="1918">
        <v>0</v>
      </c>
      <c r="L94" s="1916">
        <v>0</v>
      </c>
      <c r="M94" s="1918">
        <v>0</v>
      </c>
      <c r="N94" s="1916">
        <v>0</v>
      </c>
      <c r="O94" s="1918">
        <v>0</v>
      </c>
      <c r="P94" s="1919">
        <v>0</v>
      </c>
      <c r="Q94" s="1920">
        <v>5</v>
      </c>
      <c r="R94" s="1921">
        <v>902000</v>
      </c>
      <c r="S94" s="1922">
        <v>40</v>
      </c>
      <c r="T94" s="1919">
        <v>5956000</v>
      </c>
      <c r="U94" s="1918">
        <v>0</v>
      </c>
      <c r="V94" s="1923">
        <v>0</v>
      </c>
      <c r="W94" s="1917">
        <v>6</v>
      </c>
      <c r="X94" s="1916">
        <v>2250000</v>
      </c>
      <c r="Y94" s="1840">
        <v>9</v>
      </c>
      <c r="Z94" s="1841">
        <v>3220000</v>
      </c>
    </row>
    <row r="95" spans="2:28" s="452" customFormat="1" ht="21" customHeight="1">
      <c r="B95" s="1370" t="s">
        <v>71</v>
      </c>
      <c r="C95" s="1384">
        <f>E95+G95+I95+K95+M95+O95+U95+Q95+S95+W95</f>
        <v>32</v>
      </c>
      <c r="D95" s="1385">
        <f>F95+H95+J95+L95+N95+P95+V95+R95+T95+X95</f>
        <v>6570000</v>
      </c>
      <c r="E95" s="1932">
        <v>1</v>
      </c>
      <c r="F95" s="1933">
        <v>620000</v>
      </c>
      <c r="G95" s="1917">
        <v>1</v>
      </c>
      <c r="H95" s="1916">
        <v>1270000</v>
      </c>
      <c r="I95" s="1918">
        <v>3</v>
      </c>
      <c r="J95" s="1916">
        <v>700000</v>
      </c>
      <c r="K95" s="1918">
        <v>0</v>
      </c>
      <c r="L95" s="1916">
        <v>0</v>
      </c>
      <c r="M95" s="1918">
        <v>0</v>
      </c>
      <c r="N95" s="1916">
        <v>0</v>
      </c>
      <c r="O95" s="1918">
        <v>0</v>
      </c>
      <c r="P95" s="1919">
        <v>0</v>
      </c>
      <c r="Q95" s="1920">
        <v>3</v>
      </c>
      <c r="R95" s="1921">
        <v>542000</v>
      </c>
      <c r="S95" s="1922">
        <v>23</v>
      </c>
      <c r="T95" s="1919">
        <v>3296000</v>
      </c>
      <c r="U95" s="1918">
        <v>0</v>
      </c>
      <c r="V95" s="1923">
        <v>0</v>
      </c>
      <c r="W95" s="1917">
        <v>1</v>
      </c>
      <c r="X95" s="1916">
        <v>142000</v>
      </c>
      <c r="Y95" s="1841">
        <v>4</v>
      </c>
      <c r="Z95" s="1841">
        <v>1460000</v>
      </c>
    </row>
    <row r="96" spans="2:28" s="1349" customFormat="1" ht="21" customHeight="1" thickBot="1">
      <c r="B96" s="1377" t="s">
        <v>72</v>
      </c>
      <c r="C96" s="1384">
        <f t="shared" si="12"/>
        <v>42</v>
      </c>
      <c r="D96" s="1385">
        <f t="shared" si="13"/>
        <v>8676000</v>
      </c>
      <c r="E96" s="1924"/>
      <c r="F96" s="1925"/>
      <c r="G96" s="1917">
        <v>3</v>
      </c>
      <c r="H96" s="1916">
        <v>1750000</v>
      </c>
      <c r="I96" s="1918">
        <v>3</v>
      </c>
      <c r="J96" s="1916">
        <v>1210000</v>
      </c>
      <c r="K96" s="1926">
        <v>0</v>
      </c>
      <c r="L96" s="1916">
        <v>0</v>
      </c>
      <c r="M96" s="1926">
        <v>0</v>
      </c>
      <c r="N96" s="1916">
        <v>0</v>
      </c>
      <c r="O96" s="1918">
        <v>0</v>
      </c>
      <c r="P96" s="1919">
        <v>0</v>
      </c>
      <c r="Q96" s="1920">
        <v>6</v>
      </c>
      <c r="R96" s="1921">
        <v>1290000</v>
      </c>
      <c r="S96" s="1922">
        <v>18</v>
      </c>
      <c r="T96" s="1919">
        <v>2592000</v>
      </c>
      <c r="U96" s="1918">
        <v>0</v>
      </c>
      <c r="V96" s="1923">
        <v>0</v>
      </c>
      <c r="W96" s="1917">
        <v>12</v>
      </c>
      <c r="X96" s="1916">
        <v>1834000</v>
      </c>
      <c r="Y96" s="1841">
        <v>11</v>
      </c>
      <c r="Z96" s="1841">
        <v>1196000</v>
      </c>
    </row>
    <row r="97" spans="2:28" s="452" customFormat="1" ht="21" customHeight="1" thickBot="1">
      <c r="B97" s="1355" t="s">
        <v>78</v>
      </c>
      <c r="C97" s="1356">
        <f>SUM(C85:C96)</f>
        <v>745</v>
      </c>
      <c r="D97" s="1357">
        <f>SUM(D85:D96)</f>
        <v>158594000</v>
      </c>
      <c r="E97" s="1378"/>
      <c r="F97" s="1359"/>
      <c r="G97" s="1360">
        <f t="shared" ref="G97:L97" si="14">SUM(G85:G96)</f>
        <v>47</v>
      </c>
      <c r="H97" s="1361">
        <f>SUM(H85:H96)</f>
        <v>23550000</v>
      </c>
      <c r="I97" s="1360">
        <f t="shared" si="14"/>
        <v>62</v>
      </c>
      <c r="J97" s="1361">
        <f t="shared" si="14"/>
        <v>17720000</v>
      </c>
      <c r="K97" s="1362">
        <f t="shared" si="14"/>
        <v>0</v>
      </c>
      <c r="L97" s="1361">
        <f t="shared" si="14"/>
        <v>0</v>
      </c>
      <c r="M97" s="1362"/>
      <c r="N97" s="1361">
        <f>SUM(N85:N96)</f>
        <v>1090000</v>
      </c>
      <c r="O97" s="1362"/>
      <c r="P97" s="1363">
        <f t="shared" ref="P97:X97" si="15">SUM(P85:P96)</f>
        <v>0</v>
      </c>
      <c r="Q97" s="1364">
        <f t="shared" si="15"/>
        <v>114</v>
      </c>
      <c r="R97" s="1379">
        <f t="shared" si="15"/>
        <v>31790000</v>
      </c>
      <c r="S97" s="1380">
        <f t="shared" si="15"/>
        <v>457</v>
      </c>
      <c r="T97" s="1363">
        <f t="shared" si="15"/>
        <v>67946000</v>
      </c>
      <c r="U97" s="1362">
        <f t="shared" si="15"/>
        <v>0</v>
      </c>
      <c r="V97" s="1357">
        <f t="shared" si="15"/>
        <v>0</v>
      </c>
      <c r="W97" s="1360">
        <f t="shared" si="15"/>
        <v>275</v>
      </c>
      <c r="X97" s="1357">
        <f t="shared" si="15"/>
        <v>67736000</v>
      </c>
    </row>
    <row r="98" spans="2:28" s="452" customFormat="1" ht="21" customHeight="1"/>
    <row r="99" spans="2:28" s="452" customFormat="1" ht="21" customHeight="1"/>
    <row r="100" spans="2:28" s="452" customFormat="1" ht="21" customHeight="1" thickBot="1">
      <c r="B100" s="675" t="s">
        <v>298</v>
      </c>
      <c r="G100" s="2539" t="str">
        <f>C1</f>
        <v>令和7年度</v>
      </c>
      <c r="H100" s="2539"/>
      <c r="I100" s="2540" t="s">
        <v>293</v>
      </c>
      <c r="J100" s="2540"/>
      <c r="K100" s="399" t="s">
        <v>532</v>
      </c>
    </row>
    <row r="101" spans="2:28" s="452" customFormat="1" ht="21" customHeight="1">
      <c r="B101" s="2512" t="s">
        <v>0</v>
      </c>
      <c r="C101" s="2515" t="s">
        <v>662</v>
      </c>
      <c r="D101" s="2516"/>
      <c r="E101" s="2519" t="s">
        <v>221</v>
      </c>
      <c r="F101" s="2520"/>
      <c r="G101" s="2520"/>
      <c r="H101" s="2520"/>
      <c r="I101" s="2520"/>
      <c r="J101" s="2521"/>
      <c r="K101" s="2524" t="s">
        <v>74</v>
      </c>
      <c r="L101" s="2525"/>
      <c r="M101" s="2525"/>
      <c r="N101" s="2526"/>
      <c r="O101" s="2527" t="s">
        <v>222</v>
      </c>
      <c r="P101" s="2528"/>
      <c r="Q101" s="2524" t="s">
        <v>358</v>
      </c>
      <c r="R101" s="2525"/>
      <c r="S101" s="2525"/>
      <c r="T101" s="2526"/>
      <c r="U101" s="2527" t="s">
        <v>223</v>
      </c>
      <c r="V101" s="2531"/>
      <c r="W101" s="2533" t="s">
        <v>75</v>
      </c>
      <c r="X101" s="2534"/>
    </row>
    <row r="102" spans="2:28" s="452" customFormat="1" ht="21" customHeight="1">
      <c r="B102" s="2513"/>
      <c r="C102" s="2517"/>
      <c r="D102" s="2518"/>
      <c r="E102" s="2537" t="s">
        <v>225</v>
      </c>
      <c r="F102" s="2538"/>
      <c r="G102" s="2522" t="s">
        <v>226</v>
      </c>
      <c r="H102" s="2523"/>
      <c r="I102" s="2522" t="s">
        <v>227</v>
      </c>
      <c r="J102" s="2523"/>
      <c r="K102" s="2522" t="s">
        <v>76</v>
      </c>
      <c r="L102" s="2523"/>
      <c r="M102" s="2522" t="s">
        <v>228</v>
      </c>
      <c r="N102" s="2523"/>
      <c r="O102" s="2529"/>
      <c r="P102" s="2530"/>
      <c r="Q102" s="2522" t="s">
        <v>226</v>
      </c>
      <c r="R102" s="2523"/>
      <c r="S102" s="2522" t="s">
        <v>228</v>
      </c>
      <c r="T102" s="2523"/>
      <c r="U102" s="2529"/>
      <c r="V102" s="2532"/>
      <c r="W102" s="2535"/>
      <c r="X102" s="2536"/>
    </row>
    <row r="103" spans="2:28" s="452" customFormat="1" ht="21" customHeight="1">
      <c r="B103" s="2514"/>
      <c r="C103" s="676" t="s">
        <v>230</v>
      </c>
      <c r="D103" s="677" t="s">
        <v>231</v>
      </c>
      <c r="E103" s="459" t="s">
        <v>230</v>
      </c>
      <c r="F103" s="678" t="s">
        <v>232</v>
      </c>
      <c r="G103" s="459" t="s">
        <v>230</v>
      </c>
      <c r="H103" s="1003" t="s">
        <v>232</v>
      </c>
      <c r="I103" s="459" t="s">
        <v>230</v>
      </c>
      <c r="J103" s="1003" t="s">
        <v>232</v>
      </c>
      <c r="K103" s="460" t="s">
        <v>230</v>
      </c>
      <c r="L103" s="1003" t="s">
        <v>232</v>
      </c>
      <c r="M103" s="460" t="s">
        <v>230</v>
      </c>
      <c r="N103" s="1003" t="s">
        <v>232</v>
      </c>
      <c r="O103" s="460" t="s">
        <v>230</v>
      </c>
      <c r="P103" s="18" t="s">
        <v>232</v>
      </c>
      <c r="Q103" s="1305" t="s">
        <v>230</v>
      </c>
      <c r="R103" s="1003" t="s">
        <v>232</v>
      </c>
      <c r="S103" s="459" t="s">
        <v>230</v>
      </c>
      <c r="T103" s="1003" t="s">
        <v>232</v>
      </c>
      <c r="U103" s="460" t="s">
        <v>230</v>
      </c>
      <c r="V103" s="1014" t="s">
        <v>232</v>
      </c>
      <c r="W103" s="459" t="s">
        <v>230</v>
      </c>
      <c r="X103" s="1003" t="s">
        <v>232</v>
      </c>
    </row>
    <row r="104" spans="2:28" s="452" customFormat="1" ht="21" customHeight="1">
      <c r="B104" s="1001" t="s">
        <v>233</v>
      </c>
      <c r="C104" s="1859"/>
      <c r="D104" s="1860"/>
      <c r="E104" s="1861"/>
      <c r="F104" s="1862"/>
      <c r="G104" s="1863"/>
      <c r="H104" s="1864"/>
      <c r="I104" s="1865"/>
      <c r="J104" s="1864"/>
      <c r="K104" s="1865"/>
      <c r="L104" s="1862"/>
      <c r="M104" s="1865"/>
      <c r="N104" s="1862"/>
      <c r="O104" s="1865"/>
      <c r="P104" s="1866"/>
      <c r="Q104" s="1867"/>
      <c r="R104" s="1868"/>
      <c r="S104" s="1869"/>
      <c r="T104" s="1866"/>
      <c r="U104" s="1865"/>
      <c r="V104" s="1870"/>
      <c r="W104" s="1941">
        <v>166</v>
      </c>
      <c r="X104" s="1942">
        <v>43290000</v>
      </c>
    </row>
    <row r="105" spans="2:28" s="452" customFormat="1" ht="21" customHeight="1">
      <c r="B105" s="1002" t="s">
        <v>62</v>
      </c>
      <c r="C105" s="688">
        <f>E105+G105+I105+K105+M105+O105+U105+Q105+S105+W105</f>
        <v>67</v>
      </c>
      <c r="D105" s="689">
        <f>F105+H105+J105+L105+N105+P105+V105+R105+T105+X105</f>
        <v>14298000</v>
      </c>
      <c r="E105" s="1943">
        <v>0</v>
      </c>
      <c r="F105" s="1909">
        <v>0</v>
      </c>
      <c r="G105" s="1908">
        <v>6</v>
      </c>
      <c r="H105" s="1940">
        <v>2530000</v>
      </c>
      <c r="I105" s="1908">
        <v>6</v>
      </c>
      <c r="J105" s="1940">
        <v>2330000</v>
      </c>
      <c r="K105" s="1910">
        <v>0</v>
      </c>
      <c r="L105" s="1909">
        <v>0</v>
      </c>
      <c r="M105" s="1910">
        <v>0</v>
      </c>
      <c r="N105" s="1909">
        <v>0</v>
      </c>
      <c r="O105" s="1910">
        <v>0</v>
      </c>
      <c r="P105" s="1911">
        <v>0</v>
      </c>
      <c r="Q105" s="1912">
        <v>3</v>
      </c>
      <c r="R105" s="1913">
        <v>580000</v>
      </c>
      <c r="S105" s="1914">
        <v>42</v>
      </c>
      <c r="T105" s="1911">
        <v>6406000</v>
      </c>
      <c r="U105" s="1910">
        <v>0</v>
      </c>
      <c r="V105" s="1915">
        <v>0</v>
      </c>
      <c r="W105" s="1908">
        <v>10</v>
      </c>
      <c r="X105" s="1940">
        <v>2452000</v>
      </c>
    </row>
    <row r="106" spans="2:28" s="452" customFormat="1" ht="21" customHeight="1">
      <c r="B106" s="1002" t="s">
        <v>63</v>
      </c>
      <c r="C106" s="688">
        <f t="shared" ref="C106:C115" si="16">E106+G106+I106+K106+M106+O106+U106+Q106+S106+W106</f>
        <v>40</v>
      </c>
      <c r="D106" s="689">
        <f t="shared" ref="D106:D115" si="17">F106+H106+J106+L106+N106+P106+V106+R106+T106+X106</f>
        <v>13882000</v>
      </c>
      <c r="E106" s="1943">
        <v>0</v>
      </c>
      <c r="F106" s="1909">
        <v>0</v>
      </c>
      <c r="G106" s="1908">
        <v>5</v>
      </c>
      <c r="H106" s="1940">
        <v>3750000</v>
      </c>
      <c r="I106" s="1908">
        <v>7</v>
      </c>
      <c r="J106" s="1940">
        <v>2680000</v>
      </c>
      <c r="K106" s="1910">
        <v>0</v>
      </c>
      <c r="L106" s="1909">
        <v>0</v>
      </c>
      <c r="M106" s="1910">
        <v>0</v>
      </c>
      <c r="N106" s="1909">
        <v>0</v>
      </c>
      <c r="O106" s="1910">
        <v>0</v>
      </c>
      <c r="P106" s="1911">
        <v>0</v>
      </c>
      <c r="Q106" s="1912">
        <v>8</v>
      </c>
      <c r="R106" s="1913">
        <v>2430000</v>
      </c>
      <c r="S106" s="1914">
        <v>4</v>
      </c>
      <c r="T106" s="1911">
        <v>422000</v>
      </c>
      <c r="U106" s="1910">
        <v>1</v>
      </c>
      <c r="V106" s="1915">
        <v>360000</v>
      </c>
      <c r="W106" s="1908">
        <v>15</v>
      </c>
      <c r="X106" s="1940">
        <v>4240000</v>
      </c>
      <c r="AA106" s="1323"/>
      <c r="AB106" s="1323"/>
    </row>
    <row r="107" spans="2:28" s="452" customFormat="1" ht="21" customHeight="1">
      <c r="B107" s="1002" t="s">
        <v>64</v>
      </c>
      <c r="C107" s="688">
        <f t="shared" si="16"/>
        <v>57</v>
      </c>
      <c r="D107" s="689">
        <f t="shared" si="17"/>
        <v>22474000</v>
      </c>
      <c r="E107" s="1943">
        <v>0</v>
      </c>
      <c r="F107" s="1909">
        <v>0</v>
      </c>
      <c r="G107" s="1908">
        <v>18</v>
      </c>
      <c r="H107" s="1940">
        <v>9800000</v>
      </c>
      <c r="I107" s="1908">
        <v>10</v>
      </c>
      <c r="J107" s="1940">
        <v>5440000</v>
      </c>
      <c r="K107" s="1910">
        <v>0</v>
      </c>
      <c r="L107" s="1909">
        <v>0</v>
      </c>
      <c r="M107" s="1910">
        <v>1</v>
      </c>
      <c r="N107" s="1909">
        <v>1090000</v>
      </c>
      <c r="O107" s="1910">
        <v>0</v>
      </c>
      <c r="P107" s="1911">
        <v>0</v>
      </c>
      <c r="Q107" s="1912">
        <v>7</v>
      </c>
      <c r="R107" s="1913">
        <v>1980000</v>
      </c>
      <c r="S107" s="1914">
        <v>12</v>
      </c>
      <c r="T107" s="1911">
        <v>1444000</v>
      </c>
      <c r="U107" s="1910">
        <v>0</v>
      </c>
      <c r="V107" s="1915">
        <v>0</v>
      </c>
      <c r="W107" s="1908">
        <v>9</v>
      </c>
      <c r="X107" s="1940">
        <v>2720000</v>
      </c>
      <c r="AA107" s="1323"/>
      <c r="AB107" s="1323"/>
    </row>
    <row r="108" spans="2:28" s="452" customFormat="1" ht="21" customHeight="1">
      <c r="B108" s="1002" t="s">
        <v>65</v>
      </c>
      <c r="C108" s="688">
        <f t="shared" si="16"/>
        <v>96</v>
      </c>
      <c r="D108" s="689">
        <f t="shared" si="17"/>
        <v>20244000</v>
      </c>
      <c r="E108" s="1943">
        <v>0</v>
      </c>
      <c r="F108" s="1909">
        <v>0</v>
      </c>
      <c r="G108" s="1908">
        <v>6</v>
      </c>
      <c r="H108" s="1940">
        <v>3270000</v>
      </c>
      <c r="I108" s="1908">
        <v>16</v>
      </c>
      <c r="J108" s="1940">
        <v>5240000</v>
      </c>
      <c r="K108" s="1910">
        <v>0</v>
      </c>
      <c r="L108" s="1909">
        <v>0</v>
      </c>
      <c r="M108" s="1910">
        <v>0</v>
      </c>
      <c r="N108" s="1909">
        <v>0</v>
      </c>
      <c r="O108" s="1910">
        <v>0</v>
      </c>
      <c r="P108" s="1911">
        <v>0</v>
      </c>
      <c r="Q108" s="1912">
        <v>4</v>
      </c>
      <c r="R108" s="1913">
        <v>860000</v>
      </c>
      <c r="S108" s="1914">
        <v>57</v>
      </c>
      <c r="T108" s="1911">
        <v>7836000</v>
      </c>
      <c r="U108" s="1910">
        <v>0</v>
      </c>
      <c r="V108" s="1915">
        <v>0</v>
      </c>
      <c r="W108" s="1908">
        <v>13</v>
      </c>
      <c r="X108" s="1940">
        <v>3038000</v>
      </c>
      <c r="AA108" s="1323"/>
      <c r="AB108" s="1323"/>
    </row>
    <row r="109" spans="2:28" s="452" customFormat="1" ht="21" customHeight="1">
      <c r="B109" s="1002" t="s">
        <v>66</v>
      </c>
      <c r="C109" s="688">
        <f t="shared" si="16"/>
        <v>56</v>
      </c>
      <c r="D109" s="689">
        <f t="shared" si="17"/>
        <v>14064000</v>
      </c>
      <c r="E109" s="1943">
        <v>0</v>
      </c>
      <c r="F109" s="1909">
        <v>0</v>
      </c>
      <c r="G109" s="1908">
        <v>10</v>
      </c>
      <c r="H109" s="1940">
        <v>4970000</v>
      </c>
      <c r="I109" s="1908">
        <v>4</v>
      </c>
      <c r="J109" s="1940">
        <v>1280000</v>
      </c>
      <c r="K109" s="1910">
        <v>0</v>
      </c>
      <c r="L109" s="1909">
        <v>0</v>
      </c>
      <c r="M109" s="1910">
        <v>0</v>
      </c>
      <c r="N109" s="1909">
        <v>0</v>
      </c>
      <c r="O109" s="1910">
        <v>0</v>
      </c>
      <c r="P109" s="1911">
        <v>0</v>
      </c>
      <c r="Q109" s="1912">
        <v>10</v>
      </c>
      <c r="R109" s="1913">
        <v>2040000</v>
      </c>
      <c r="S109" s="1914">
        <v>21</v>
      </c>
      <c r="T109" s="1911">
        <v>3518000</v>
      </c>
      <c r="U109" s="1910">
        <v>2</v>
      </c>
      <c r="V109" s="1915">
        <v>640000</v>
      </c>
      <c r="W109" s="1908">
        <v>9</v>
      </c>
      <c r="X109" s="1940">
        <v>1616000</v>
      </c>
      <c r="Y109" s="1349" t="s">
        <v>595</v>
      </c>
    </row>
    <row r="110" spans="2:28" s="452" customFormat="1" ht="21" customHeight="1">
      <c r="B110" s="1930" t="s">
        <v>67</v>
      </c>
      <c r="C110" s="1384">
        <f t="shared" si="16"/>
        <v>105</v>
      </c>
      <c r="D110" s="1385">
        <f t="shared" si="17"/>
        <v>34982000</v>
      </c>
      <c r="E110" s="1927">
        <v>0</v>
      </c>
      <c r="F110" s="1916">
        <v>0</v>
      </c>
      <c r="G110" s="1917">
        <v>20</v>
      </c>
      <c r="H110" s="1916">
        <v>13610000</v>
      </c>
      <c r="I110" s="1917">
        <v>7</v>
      </c>
      <c r="J110" s="1916">
        <v>2680000</v>
      </c>
      <c r="K110" s="1918">
        <v>0</v>
      </c>
      <c r="L110" s="1916">
        <v>0</v>
      </c>
      <c r="M110" s="1918">
        <v>0</v>
      </c>
      <c r="N110" s="1916">
        <v>0</v>
      </c>
      <c r="O110" s="1918">
        <v>0</v>
      </c>
      <c r="P110" s="1919">
        <v>0</v>
      </c>
      <c r="Q110" s="1920">
        <v>26</v>
      </c>
      <c r="R110" s="1921">
        <v>8580000</v>
      </c>
      <c r="S110" s="1922">
        <v>36</v>
      </c>
      <c r="T110" s="1919">
        <v>5672000</v>
      </c>
      <c r="U110" s="1918">
        <v>0</v>
      </c>
      <c r="V110" s="1923">
        <v>0</v>
      </c>
      <c r="W110" s="1917">
        <v>16</v>
      </c>
      <c r="X110" s="1916">
        <v>4440000</v>
      </c>
      <c r="Y110" s="708" t="s">
        <v>596</v>
      </c>
    </row>
    <row r="111" spans="2:28" s="452" customFormat="1" ht="21" customHeight="1">
      <c r="B111" s="1931" t="s">
        <v>68</v>
      </c>
      <c r="C111" s="1384">
        <f t="shared" si="16"/>
        <v>39</v>
      </c>
      <c r="D111" s="1385">
        <f t="shared" si="17"/>
        <v>9944000</v>
      </c>
      <c r="E111" s="1927">
        <v>0</v>
      </c>
      <c r="F111" s="1916">
        <v>0</v>
      </c>
      <c r="G111" s="1917">
        <v>8</v>
      </c>
      <c r="H111" s="1916">
        <v>3550000</v>
      </c>
      <c r="I111" s="1917">
        <v>5</v>
      </c>
      <c r="J111" s="1916">
        <v>1450000</v>
      </c>
      <c r="K111" s="1918">
        <v>0</v>
      </c>
      <c r="L111" s="1916">
        <v>0</v>
      </c>
      <c r="M111" s="1918">
        <v>0</v>
      </c>
      <c r="N111" s="1916">
        <v>0</v>
      </c>
      <c r="O111" s="1918">
        <v>0</v>
      </c>
      <c r="P111" s="1919">
        <v>0</v>
      </c>
      <c r="Q111" s="1920">
        <v>4</v>
      </c>
      <c r="R111" s="1921">
        <v>720000</v>
      </c>
      <c r="S111" s="1922">
        <v>15</v>
      </c>
      <c r="T111" s="1919">
        <v>2856000</v>
      </c>
      <c r="U111" s="1918">
        <v>0</v>
      </c>
      <c r="V111" s="1923">
        <v>0</v>
      </c>
      <c r="W111" s="1917">
        <v>7</v>
      </c>
      <c r="X111" s="1916">
        <v>1368000</v>
      </c>
      <c r="Y111" s="1349"/>
    </row>
    <row r="112" spans="2:28" s="452" customFormat="1" ht="21" customHeight="1">
      <c r="B112" s="1930" t="s">
        <v>69</v>
      </c>
      <c r="C112" s="1384">
        <f t="shared" si="16"/>
        <v>50</v>
      </c>
      <c r="D112" s="1385">
        <f t="shared" si="17"/>
        <v>11410000</v>
      </c>
      <c r="E112" s="1927">
        <v>0</v>
      </c>
      <c r="F112" s="1916">
        <v>0</v>
      </c>
      <c r="G112" s="1917">
        <v>7</v>
      </c>
      <c r="H112" s="1916">
        <v>2720000</v>
      </c>
      <c r="I112" s="1918">
        <v>1</v>
      </c>
      <c r="J112" s="1916">
        <v>300000</v>
      </c>
      <c r="K112" s="1918">
        <v>0</v>
      </c>
      <c r="L112" s="1916">
        <v>0</v>
      </c>
      <c r="M112" s="1918">
        <v>0</v>
      </c>
      <c r="N112" s="1916">
        <v>0</v>
      </c>
      <c r="O112" s="1918">
        <v>0</v>
      </c>
      <c r="P112" s="1919">
        <v>0</v>
      </c>
      <c r="Q112" s="1920">
        <v>13</v>
      </c>
      <c r="R112" s="1921">
        <v>3492000</v>
      </c>
      <c r="S112" s="1922">
        <v>24</v>
      </c>
      <c r="T112" s="1919">
        <v>3882000</v>
      </c>
      <c r="U112" s="1918">
        <v>0</v>
      </c>
      <c r="V112" s="1923">
        <v>0</v>
      </c>
      <c r="W112" s="1917">
        <v>5</v>
      </c>
      <c r="X112" s="1916">
        <v>1016000</v>
      </c>
      <c r="Y112" s="708"/>
    </row>
    <row r="113" spans="1:33" s="452" customFormat="1" ht="21" customHeight="1">
      <c r="B113" s="1930" t="s">
        <v>70</v>
      </c>
      <c r="C113" s="1384">
        <f t="shared" si="16"/>
        <v>82</v>
      </c>
      <c r="D113" s="1385">
        <f t="shared" si="17"/>
        <v>18246000</v>
      </c>
      <c r="E113" s="1927">
        <v>0</v>
      </c>
      <c r="F113" s="1916">
        <v>0</v>
      </c>
      <c r="G113" s="1917">
        <v>15</v>
      </c>
      <c r="H113" s="1916">
        <v>5700000</v>
      </c>
      <c r="I113" s="1918">
        <v>7</v>
      </c>
      <c r="J113" s="1916">
        <v>2120000</v>
      </c>
      <c r="K113" s="1918">
        <v>0</v>
      </c>
      <c r="L113" s="1916">
        <v>0</v>
      </c>
      <c r="M113" s="1918">
        <v>0</v>
      </c>
      <c r="N113" s="1916">
        <v>0</v>
      </c>
      <c r="O113" s="1918">
        <v>0</v>
      </c>
      <c r="P113" s="1919">
        <v>0</v>
      </c>
      <c r="Q113" s="1920">
        <v>12</v>
      </c>
      <c r="R113" s="1921">
        <v>2444000</v>
      </c>
      <c r="S113" s="1922">
        <v>40</v>
      </c>
      <c r="T113" s="1919">
        <v>5862000</v>
      </c>
      <c r="U113" s="1918">
        <v>0</v>
      </c>
      <c r="V113" s="1923">
        <v>0</v>
      </c>
      <c r="W113" s="1917">
        <v>8</v>
      </c>
      <c r="X113" s="1916">
        <v>2120000</v>
      </c>
      <c r="Y113" s="708"/>
    </row>
    <row r="114" spans="1:33" s="452" customFormat="1" ht="21" customHeight="1">
      <c r="A114" s="1349"/>
      <c r="B114" s="1930" t="s">
        <v>71</v>
      </c>
      <c r="C114" s="1384">
        <f t="shared" si="16"/>
        <v>43</v>
      </c>
      <c r="D114" s="1385">
        <f t="shared" si="17"/>
        <v>9886000</v>
      </c>
      <c r="E114" s="1927">
        <v>0</v>
      </c>
      <c r="F114" s="1916">
        <v>0</v>
      </c>
      <c r="G114" s="1917">
        <v>8</v>
      </c>
      <c r="H114" s="1916">
        <v>3950000</v>
      </c>
      <c r="I114" s="1918">
        <v>2</v>
      </c>
      <c r="J114" s="1916">
        <v>390000</v>
      </c>
      <c r="K114" s="1918">
        <v>0</v>
      </c>
      <c r="L114" s="1916">
        <v>0</v>
      </c>
      <c r="M114" s="1918">
        <v>0</v>
      </c>
      <c r="N114" s="1916">
        <v>0</v>
      </c>
      <c r="O114" s="1918">
        <v>0</v>
      </c>
      <c r="P114" s="1919">
        <v>0</v>
      </c>
      <c r="Q114" s="1920">
        <v>7</v>
      </c>
      <c r="R114" s="1921">
        <v>1156000</v>
      </c>
      <c r="S114" s="1922">
        <v>21</v>
      </c>
      <c r="T114" s="1919">
        <v>3270000</v>
      </c>
      <c r="U114" s="1918">
        <v>1</v>
      </c>
      <c r="V114" s="1923">
        <v>300000</v>
      </c>
      <c r="W114" s="1917">
        <v>4</v>
      </c>
      <c r="X114" s="1916">
        <v>820000</v>
      </c>
    </row>
    <row r="115" spans="1:33" s="1349" customFormat="1" ht="21" customHeight="1" thickBot="1">
      <c r="A115" s="230"/>
      <c r="B115" s="1931" t="s">
        <v>72</v>
      </c>
      <c r="C115" s="1384">
        <f t="shared" si="16"/>
        <v>64</v>
      </c>
      <c r="D115" s="1385">
        <f t="shared" si="17"/>
        <v>12578000</v>
      </c>
      <c r="E115" s="1928">
        <v>0</v>
      </c>
      <c r="F115" s="1929">
        <v>0</v>
      </c>
      <c r="G115" s="1917">
        <v>10</v>
      </c>
      <c r="H115" s="1916">
        <v>3170000</v>
      </c>
      <c r="I115" s="1918">
        <v>2</v>
      </c>
      <c r="J115" s="1916">
        <v>960000</v>
      </c>
      <c r="K115" s="1926">
        <v>0</v>
      </c>
      <c r="L115" s="1916">
        <v>0</v>
      </c>
      <c r="M115" s="1926">
        <v>0</v>
      </c>
      <c r="N115" s="1916">
        <v>0</v>
      </c>
      <c r="O115" s="1918">
        <v>0</v>
      </c>
      <c r="P115" s="1919">
        <v>0</v>
      </c>
      <c r="Q115" s="1920">
        <v>7</v>
      </c>
      <c r="R115" s="1921">
        <v>1372000</v>
      </c>
      <c r="S115" s="1922">
        <v>40</v>
      </c>
      <c r="T115" s="1919">
        <v>6328000</v>
      </c>
      <c r="U115" s="1918">
        <v>0</v>
      </c>
      <c r="V115" s="1923">
        <v>0</v>
      </c>
      <c r="W115" s="1917">
        <v>5</v>
      </c>
      <c r="X115" s="1916">
        <v>748000</v>
      </c>
      <c r="Z115" s="452"/>
      <c r="AA115" s="452"/>
      <c r="AB115" s="452"/>
      <c r="AC115" s="452"/>
      <c r="AD115" s="452"/>
      <c r="AE115" s="452"/>
      <c r="AF115" s="452"/>
      <c r="AG115" s="452"/>
    </row>
    <row r="116" spans="1:33" ht="21" customHeight="1" thickBot="1">
      <c r="B116" s="1355" t="s">
        <v>78</v>
      </c>
      <c r="C116" s="1356">
        <f>SUM(C104:C115)</f>
        <v>699</v>
      </c>
      <c r="D116" s="1357">
        <f>SUM(D104:D115)</f>
        <v>182008000</v>
      </c>
      <c r="E116" s="1378"/>
      <c r="F116" s="1359">
        <f>SUM(F104:F115)</f>
        <v>0</v>
      </c>
      <c r="G116" s="1360"/>
      <c r="H116" s="1361">
        <f>SUM(H104:H115)</f>
        <v>57020000</v>
      </c>
      <c r="I116" s="1360"/>
      <c r="J116" s="1361">
        <f>SUM(J104:J115)</f>
        <v>24870000</v>
      </c>
      <c r="K116" s="1362"/>
      <c r="L116" s="1361">
        <f>SUM(L104:L115)</f>
        <v>0</v>
      </c>
      <c r="M116" s="1362"/>
      <c r="N116" s="1361">
        <f>SUM(N104:N115)</f>
        <v>1090000</v>
      </c>
      <c r="O116" s="1362"/>
      <c r="P116" s="1363">
        <f>SUM(P104:P115)</f>
        <v>0</v>
      </c>
      <c r="Q116" s="1364"/>
      <c r="R116" s="1379">
        <f>SUM(R104:R115)</f>
        <v>25654000</v>
      </c>
      <c r="S116" s="1380"/>
      <c r="T116" s="1363">
        <f>SUM(T104:T115)</f>
        <v>47496000</v>
      </c>
      <c r="U116" s="1362"/>
      <c r="V116" s="1357">
        <f>SUM(V104:V115)</f>
        <v>1300000</v>
      </c>
      <c r="W116" s="1360"/>
      <c r="X116" s="1357">
        <f>SUM(X104:X115)</f>
        <v>67868000</v>
      </c>
      <c r="Z116" s="452"/>
      <c r="AA116" s="452"/>
      <c r="AB116" s="452"/>
      <c r="AC116" s="452"/>
      <c r="AD116" s="452"/>
      <c r="AE116" s="452"/>
      <c r="AF116" s="452"/>
      <c r="AG116" s="452"/>
    </row>
    <row r="117" spans="1:33" ht="21" customHeight="1">
      <c r="Z117" s="1349"/>
      <c r="AA117" s="1349"/>
      <c r="AB117" s="1349"/>
      <c r="AC117" s="1349"/>
      <c r="AD117" s="1349"/>
      <c r="AE117" s="1349"/>
      <c r="AF117" s="1349"/>
      <c r="AG117" s="1349"/>
    </row>
    <row r="118" spans="1:33" ht="29.25" customHeight="1">
      <c r="AC118" s="230"/>
      <c r="AF118" s="454"/>
    </row>
    <row r="119" spans="1:33" ht="29.25" customHeight="1">
      <c r="AC119" s="230"/>
      <c r="AF119" s="454"/>
    </row>
    <row r="120" spans="1:33" ht="29.25" customHeight="1">
      <c r="P120" s="267"/>
      <c r="Q120" s="267"/>
      <c r="R120" s="267"/>
      <c r="S120" s="267"/>
      <c r="T120" s="267"/>
      <c r="AC120" s="230"/>
      <c r="AF120" s="454"/>
    </row>
    <row r="121" spans="1:33" ht="29.25" customHeight="1">
      <c r="AC121" s="230"/>
      <c r="AF121" s="454"/>
    </row>
    <row r="122" spans="1:33" ht="29.25" customHeight="1">
      <c r="AC122" s="230"/>
      <c r="AF122" s="454"/>
    </row>
    <row r="123" spans="1:33" ht="29.25" customHeight="1">
      <c r="AC123" s="230"/>
      <c r="AF123" s="454"/>
    </row>
    <row r="124" spans="1:33" ht="29.25" customHeight="1">
      <c r="AC124" s="230"/>
      <c r="AF124" s="454"/>
    </row>
    <row r="125" spans="1:33" ht="29.25" customHeight="1">
      <c r="AC125" s="230"/>
      <c r="AF125" s="454"/>
    </row>
    <row r="126" spans="1:33" ht="29.25" customHeight="1">
      <c r="AC126" s="230"/>
      <c r="AF126" s="454"/>
    </row>
    <row r="127" spans="1:33" ht="29.25" customHeight="1">
      <c r="AC127" s="230"/>
      <c r="AF127" s="454"/>
    </row>
    <row r="128" spans="1:33" ht="29.25" customHeight="1">
      <c r="AC128" s="230"/>
      <c r="AF128" s="454"/>
    </row>
    <row r="129" spans="29:32" ht="29.25" customHeight="1">
      <c r="AC129" s="230"/>
      <c r="AF129" s="454"/>
    </row>
    <row r="130" spans="29:32" ht="29.25" customHeight="1">
      <c r="AC130" s="230"/>
      <c r="AF130" s="454"/>
    </row>
    <row r="131" spans="29:32" ht="29.25" customHeight="1">
      <c r="AC131" s="230"/>
      <c r="AF131" s="454"/>
    </row>
    <row r="132" spans="29:32" ht="29.25" customHeight="1">
      <c r="AC132" s="230"/>
      <c r="AF132" s="454"/>
    </row>
    <row r="133" spans="29:32" ht="29.25" customHeight="1">
      <c r="AC133" s="230"/>
      <c r="AF133" s="454"/>
    </row>
    <row r="134" spans="29:32" ht="29.25" customHeight="1">
      <c r="AC134" s="230"/>
      <c r="AF134" s="454"/>
    </row>
    <row r="135" spans="29:32" ht="29.25" customHeight="1">
      <c r="AC135" s="230"/>
      <c r="AF135" s="454"/>
    </row>
    <row r="136" spans="29:32" ht="29.25" customHeight="1">
      <c r="AC136" s="230"/>
      <c r="AF136" s="454"/>
    </row>
    <row r="137" spans="29:32" ht="29.25" customHeight="1">
      <c r="AC137" s="230"/>
      <c r="AF137" s="454"/>
    </row>
    <row r="138" spans="29:32" ht="29.25" customHeight="1">
      <c r="AC138" s="230"/>
      <c r="AF138" s="454"/>
    </row>
    <row r="139" spans="29:32" ht="29.25" customHeight="1">
      <c r="AC139" s="230"/>
      <c r="AF139" s="454"/>
    </row>
    <row r="140" spans="29:32" ht="29.25" customHeight="1">
      <c r="AC140" s="230"/>
      <c r="AF140" s="454"/>
    </row>
    <row r="141" spans="29:32" ht="29.25" customHeight="1">
      <c r="AC141" s="230"/>
      <c r="AF141" s="454"/>
    </row>
    <row r="142" spans="29:32" ht="29.25" customHeight="1">
      <c r="AC142" s="230"/>
      <c r="AF142" s="454"/>
    </row>
    <row r="143" spans="29:32" ht="29.25" customHeight="1">
      <c r="AC143" s="230"/>
      <c r="AF143" s="454"/>
    </row>
    <row r="144" spans="29:32" ht="29.25" customHeight="1">
      <c r="AC144" s="230"/>
      <c r="AF144" s="454"/>
    </row>
    <row r="145" spans="29:32" ht="29.25" customHeight="1">
      <c r="AC145" s="230"/>
      <c r="AF145" s="454"/>
    </row>
    <row r="146" spans="29:32" ht="29.25" customHeight="1">
      <c r="AC146" s="230"/>
      <c r="AF146" s="454"/>
    </row>
    <row r="147" spans="29:32" ht="29.25" customHeight="1">
      <c r="AC147" s="230"/>
      <c r="AF147" s="454"/>
    </row>
    <row r="148" spans="29:32" ht="29.25" customHeight="1">
      <c r="AC148" s="230"/>
      <c r="AF148" s="454"/>
    </row>
    <row r="149" spans="29:32" ht="29.25" customHeight="1">
      <c r="AC149" s="230"/>
      <c r="AF149" s="454"/>
    </row>
    <row r="150" spans="29:32" ht="29.25" customHeight="1">
      <c r="AC150" s="230"/>
      <c r="AF150" s="454"/>
    </row>
    <row r="151" spans="29:32" ht="29.25" customHeight="1">
      <c r="AC151" s="230"/>
      <c r="AF151" s="454"/>
    </row>
    <row r="152" spans="29:32" ht="29.25" customHeight="1">
      <c r="AC152" s="230"/>
      <c r="AF152" s="454"/>
    </row>
    <row r="153" spans="29:32" ht="29.25" customHeight="1">
      <c r="AC153" s="230"/>
      <c r="AF153" s="454"/>
    </row>
    <row r="154" spans="29:32" ht="29.25" customHeight="1">
      <c r="AC154" s="230"/>
      <c r="AF154" s="454"/>
    </row>
    <row r="155" spans="29:32" ht="29.25" customHeight="1">
      <c r="AC155" s="230"/>
      <c r="AF155" s="454"/>
    </row>
    <row r="156" spans="29:32" ht="29.25" customHeight="1">
      <c r="AC156" s="230"/>
      <c r="AF156" s="454"/>
    </row>
    <row r="157" spans="29:32" ht="29.25" customHeight="1">
      <c r="AC157" s="230"/>
      <c r="AF157" s="454"/>
    </row>
    <row r="158" spans="29:32" ht="29.25" customHeight="1">
      <c r="AC158" s="230"/>
      <c r="AF158" s="454"/>
    </row>
    <row r="159" spans="29:32" ht="29.25" customHeight="1">
      <c r="AC159" s="230"/>
      <c r="AF159" s="454"/>
    </row>
    <row r="160" spans="29:32" ht="29.25" customHeight="1">
      <c r="AC160" s="230"/>
      <c r="AF160" s="454"/>
    </row>
    <row r="161" spans="29:32" ht="29.25" customHeight="1">
      <c r="AC161" s="230"/>
      <c r="AF161" s="454"/>
    </row>
    <row r="162" spans="29:32" ht="29.25" customHeight="1">
      <c r="AC162" s="230"/>
      <c r="AF162" s="454"/>
    </row>
    <row r="163" spans="29:32" ht="29.25" customHeight="1">
      <c r="AC163" s="230"/>
      <c r="AF163" s="454"/>
    </row>
    <row r="164" spans="29:32" ht="29.25" customHeight="1">
      <c r="AC164" s="230"/>
      <c r="AF164" s="454"/>
    </row>
    <row r="165" spans="29:32" ht="29.25" customHeight="1">
      <c r="AC165" s="230"/>
      <c r="AF165" s="454"/>
    </row>
    <row r="166" spans="29:32" ht="29.25" customHeight="1">
      <c r="AC166" s="230"/>
      <c r="AF166" s="454"/>
    </row>
    <row r="167" spans="29:32" ht="29.25" customHeight="1">
      <c r="AC167" s="230"/>
      <c r="AF167" s="454"/>
    </row>
    <row r="168" spans="29:32" ht="29.25" customHeight="1">
      <c r="AC168" s="230"/>
      <c r="AF168" s="454"/>
    </row>
    <row r="169" spans="29:32" ht="29.25" customHeight="1">
      <c r="AC169" s="230"/>
      <c r="AF169" s="454"/>
    </row>
    <row r="170" spans="29:32" ht="29.25" customHeight="1">
      <c r="AC170" s="230"/>
      <c r="AF170" s="454"/>
    </row>
    <row r="171" spans="29:32" ht="29.25" customHeight="1">
      <c r="AC171" s="230"/>
      <c r="AF171" s="454"/>
    </row>
    <row r="172" spans="29:32" ht="29.25" customHeight="1">
      <c r="AC172" s="230"/>
      <c r="AF172" s="454"/>
    </row>
    <row r="173" spans="29:32" ht="29.25" customHeight="1">
      <c r="AC173" s="230"/>
      <c r="AF173" s="454"/>
    </row>
    <row r="174" spans="29:32" ht="29.25" customHeight="1">
      <c r="AC174" s="230"/>
      <c r="AF174" s="454"/>
    </row>
    <row r="175" spans="29:32" ht="29.25" customHeight="1">
      <c r="AC175" s="230"/>
      <c r="AF175" s="454"/>
    </row>
    <row r="176" spans="29:32" ht="29.25" customHeight="1">
      <c r="AC176" s="230"/>
      <c r="AF176" s="454"/>
    </row>
    <row r="177" spans="29:32" ht="29.25" customHeight="1">
      <c r="AC177" s="230"/>
      <c r="AF177" s="454"/>
    </row>
    <row r="178" spans="29:32" ht="29.25" customHeight="1">
      <c r="AC178" s="230"/>
      <c r="AF178" s="454"/>
    </row>
    <row r="179" spans="29:32" ht="29.25" customHeight="1">
      <c r="AC179" s="230"/>
      <c r="AF179" s="454"/>
    </row>
    <row r="180" spans="29:32" ht="29.25" customHeight="1">
      <c r="AC180" s="230"/>
      <c r="AF180" s="454"/>
    </row>
    <row r="181" spans="29:32" ht="29.25" customHeight="1">
      <c r="AC181" s="230"/>
      <c r="AF181" s="454"/>
    </row>
    <row r="182" spans="29:32" ht="29.25" customHeight="1">
      <c r="AC182" s="230"/>
      <c r="AF182" s="454"/>
    </row>
    <row r="183" spans="29:32" ht="29.25" customHeight="1">
      <c r="AC183" s="230"/>
      <c r="AF183" s="454"/>
    </row>
    <row r="184" spans="29:32" ht="29.25" customHeight="1">
      <c r="AC184" s="230"/>
      <c r="AF184" s="454"/>
    </row>
  </sheetData>
  <mergeCells count="185">
    <mergeCell ref="AE2:AE4"/>
    <mergeCell ref="AF2:AF4"/>
    <mergeCell ref="AG2:AG4"/>
    <mergeCell ref="C1:D1"/>
    <mergeCell ref="Z1:AA1"/>
    <mergeCell ref="B2:B4"/>
    <mergeCell ref="C2:D3"/>
    <mergeCell ref="E2:J2"/>
    <mergeCell ref="K2:N2"/>
    <mergeCell ref="O2:P3"/>
    <mergeCell ref="Q2:T2"/>
    <mergeCell ref="U2:V3"/>
    <mergeCell ref="W2:X3"/>
    <mergeCell ref="S3:T3"/>
    <mergeCell ref="Z3:Z4"/>
    <mergeCell ref="AA3:AA4"/>
    <mergeCell ref="AB3:AB4"/>
    <mergeCell ref="AC3:AC4"/>
    <mergeCell ref="AD3:AD4"/>
    <mergeCell ref="E3:F3"/>
    <mergeCell ref="G3:H3"/>
    <mergeCell ref="I3:J3"/>
    <mergeCell ref="K3:L3"/>
    <mergeCell ref="M3:N3"/>
    <mergeCell ref="Q3:R3"/>
    <mergeCell ref="Y2:Y4"/>
    <mergeCell ref="Z2:AB2"/>
    <mergeCell ref="AC2:AD2"/>
    <mergeCell ref="O17:P17"/>
    <mergeCell ref="Q17:R17"/>
    <mergeCell ref="S17:T17"/>
    <mergeCell ref="U17:V17"/>
    <mergeCell ref="W17:X17"/>
    <mergeCell ref="E18:F18"/>
    <mergeCell ref="Q18:R18"/>
    <mergeCell ref="A15:A16"/>
    <mergeCell ref="E17:F17"/>
    <mergeCell ref="G17:H17"/>
    <mergeCell ref="I17:J17"/>
    <mergeCell ref="K17:L17"/>
    <mergeCell ref="M17:N17"/>
    <mergeCell ref="AD20:AF20"/>
    <mergeCell ref="I21:J21"/>
    <mergeCell ref="N21:O21"/>
    <mergeCell ref="M22:P22"/>
    <mergeCell ref="M23:P23"/>
    <mergeCell ref="Y23:AG24"/>
    <mergeCell ref="Q19:R19"/>
    <mergeCell ref="T19:U19"/>
    <mergeCell ref="E20:F20"/>
    <mergeCell ref="G20:H21"/>
    <mergeCell ref="I20:J20"/>
    <mergeCell ref="N20:O20"/>
    <mergeCell ref="U20:U21"/>
    <mergeCell ref="Y25:AG26"/>
    <mergeCell ref="B29:C30"/>
    <mergeCell ref="D29:D30"/>
    <mergeCell ref="E29:G30"/>
    <mergeCell ref="I29:J29"/>
    <mergeCell ref="K29:M29"/>
    <mergeCell ref="N29:O29"/>
    <mergeCell ref="Y29:Y30"/>
    <mergeCell ref="I30:J30"/>
    <mergeCell ref="K30:L30"/>
    <mergeCell ref="B24:D25"/>
    <mergeCell ref="E24:F24"/>
    <mergeCell ref="G24:H24"/>
    <mergeCell ref="I24:J24"/>
    <mergeCell ref="K24:L24"/>
    <mergeCell ref="E25:F25"/>
    <mergeCell ref="G25:H25"/>
    <mergeCell ref="I25:J25"/>
    <mergeCell ref="K25:L25"/>
    <mergeCell ref="M30:O30"/>
    <mergeCell ref="B31:C32"/>
    <mergeCell ref="D31:D36"/>
    <mergeCell ref="E31:G32"/>
    <mergeCell ref="I31:J31"/>
    <mergeCell ref="K31:L31"/>
    <mergeCell ref="M31:O31"/>
    <mergeCell ref="I32:J32"/>
    <mergeCell ref="K32:L32"/>
    <mergeCell ref="M32:O32"/>
    <mergeCell ref="B35:C36"/>
    <mergeCell ref="E35:G36"/>
    <mergeCell ref="I35:J35"/>
    <mergeCell ref="K35:L35"/>
    <mergeCell ref="M35:O35"/>
    <mergeCell ref="I36:J36"/>
    <mergeCell ref="K36:L36"/>
    <mergeCell ref="M36:O36"/>
    <mergeCell ref="B33:C34"/>
    <mergeCell ref="E33:G34"/>
    <mergeCell ref="I33:J33"/>
    <mergeCell ref="K33:L33"/>
    <mergeCell ref="M33:O33"/>
    <mergeCell ref="I34:J34"/>
    <mergeCell ref="K34:L34"/>
    <mergeCell ref="M34:O34"/>
    <mergeCell ref="B37:C38"/>
    <mergeCell ref="D37:D38"/>
    <mergeCell ref="E37:G38"/>
    <mergeCell ref="I37:J37"/>
    <mergeCell ref="K37:L37"/>
    <mergeCell ref="M37:O37"/>
    <mergeCell ref="I38:J38"/>
    <mergeCell ref="K38:L38"/>
    <mergeCell ref="M38:O38"/>
    <mergeCell ref="P38:V40"/>
    <mergeCell ref="I39:J39"/>
    <mergeCell ref="K39:L39"/>
    <mergeCell ref="M39:O39"/>
    <mergeCell ref="I40:J41"/>
    <mergeCell ref="K40:L40"/>
    <mergeCell ref="M40:O40"/>
    <mergeCell ref="K41:L41"/>
    <mergeCell ref="M41:O41"/>
    <mergeCell ref="P41:U41"/>
    <mergeCell ref="AF44:AF46"/>
    <mergeCell ref="AG44:AG46"/>
    <mergeCell ref="Z45:Z46"/>
    <mergeCell ref="AA45:AA46"/>
    <mergeCell ref="AB45:AB46"/>
    <mergeCell ref="AC45:AC46"/>
    <mergeCell ref="AD45:AD46"/>
    <mergeCell ref="J43:O45"/>
    <mergeCell ref="Z43:AA43"/>
    <mergeCell ref="Y44:Y46"/>
    <mergeCell ref="Z44:AB44"/>
    <mergeCell ref="AC44:AD44"/>
    <mergeCell ref="AE44:AE46"/>
    <mergeCell ref="U63:V64"/>
    <mergeCell ref="W63:X64"/>
    <mergeCell ref="E64:F64"/>
    <mergeCell ref="G64:H64"/>
    <mergeCell ref="I64:J64"/>
    <mergeCell ref="K64:L64"/>
    <mergeCell ref="M64:N64"/>
    <mergeCell ref="Q64:R64"/>
    <mergeCell ref="G62:H62"/>
    <mergeCell ref="I62:J62"/>
    <mergeCell ref="E63:J63"/>
    <mergeCell ref="K63:N63"/>
    <mergeCell ref="S64:T64"/>
    <mergeCell ref="B82:B84"/>
    <mergeCell ref="C82:D83"/>
    <mergeCell ref="E82:J82"/>
    <mergeCell ref="K82:N82"/>
    <mergeCell ref="O82:P83"/>
    <mergeCell ref="Q82:T82"/>
    <mergeCell ref="O63:P64"/>
    <mergeCell ref="Q63:T63"/>
    <mergeCell ref="B63:B65"/>
    <mergeCell ref="C63:D64"/>
    <mergeCell ref="W101:X102"/>
    <mergeCell ref="E102:F102"/>
    <mergeCell ref="G81:H81"/>
    <mergeCell ref="I81:J81"/>
    <mergeCell ref="U82:V83"/>
    <mergeCell ref="W82:X83"/>
    <mergeCell ref="E83:F83"/>
    <mergeCell ref="G83:H83"/>
    <mergeCell ref="I83:J83"/>
    <mergeCell ref="K83:L83"/>
    <mergeCell ref="M83:N83"/>
    <mergeCell ref="Q83:R83"/>
    <mergeCell ref="S83:T83"/>
    <mergeCell ref="G102:H102"/>
    <mergeCell ref="I102:J102"/>
    <mergeCell ref="K102:L102"/>
    <mergeCell ref="M102:N102"/>
    <mergeCell ref="E92:F92"/>
    <mergeCell ref="G100:H100"/>
    <mergeCell ref="I100:J100"/>
    <mergeCell ref="E89:F89"/>
    <mergeCell ref="E93:F93"/>
    <mergeCell ref="B101:B103"/>
    <mergeCell ref="C101:D102"/>
    <mergeCell ref="E101:J101"/>
    <mergeCell ref="Q102:R102"/>
    <mergeCell ref="S102:T102"/>
    <mergeCell ref="K101:N101"/>
    <mergeCell ref="O101:P102"/>
    <mergeCell ref="Q101:T101"/>
    <mergeCell ref="U101:V102"/>
  </mergeCells>
  <phoneticPr fontId="2"/>
  <printOptions horizontalCentered="1"/>
  <pageMargins left="0" right="0" top="0.78740157480314965" bottom="0" header="0.51181102362204722" footer="0.19685039370078741"/>
  <pageSetup paperSize="9" scale="48" orientation="landscape" cellComments="asDisplayed" r:id="rId1"/>
  <headerFooter alignWithMargins="0">
    <oddFooter xml:space="preserve">&amp;R&amp;"ＭＳ ゴシック,標準"&amp;8&amp;Z&amp;F&amp;A </oddFooter>
  </headerFooter>
  <rowBreaks count="2" manualBreakCount="2">
    <brk id="41" max="27" man="1"/>
    <brk id="79" max="27" man="1"/>
  </rowBreaks>
  <ignoredErrors>
    <ignoredError sqref="H11:V16 C91:D95 AF13" 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AJ103"/>
  <sheetViews>
    <sheetView view="pageBreakPreview" topLeftCell="P1" zoomScale="85" zoomScaleNormal="85" zoomScaleSheetLayoutView="85" workbookViewId="0">
      <selection activeCell="AF16" sqref="AF16"/>
    </sheetView>
  </sheetViews>
  <sheetFormatPr defaultRowHeight="18.75"/>
  <cols>
    <col min="1" max="1" width="1" style="230" customWidth="1"/>
    <col min="2" max="2" width="5.125" style="230" customWidth="1"/>
    <col min="3" max="3" width="6.25" style="230" customWidth="1"/>
    <col min="4" max="4" width="16.75" style="230" bestFit="1" customWidth="1"/>
    <col min="5" max="5" width="2.5" style="230" customWidth="1"/>
    <col min="6" max="6" width="8.75" style="230" customWidth="1"/>
    <col min="7" max="7" width="5.5" style="230" customWidth="1"/>
    <col min="8" max="8" width="11.375" style="230" customWidth="1"/>
    <col min="9" max="9" width="5.5" style="230" customWidth="1"/>
    <col min="10" max="10" width="11.375" style="230" customWidth="1"/>
    <col min="11" max="11" width="2.5" style="230" customWidth="1"/>
    <col min="12" max="12" width="8.75" style="230" customWidth="1"/>
    <col min="13" max="13" width="2.5" style="230" customWidth="1"/>
    <col min="14" max="14" width="10.25" style="230" customWidth="1"/>
    <col min="15" max="15" width="2.5" style="230" customWidth="1"/>
    <col min="16" max="16" width="14.125" style="230" customWidth="1"/>
    <col min="17" max="20" width="8.75" style="230" customWidth="1"/>
    <col min="21" max="21" width="5.5" style="230" customWidth="1"/>
    <col min="22" max="22" width="10.5" style="230" customWidth="1"/>
    <col min="23" max="23" width="3.375" style="230" customWidth="1"/>
    <col min="24" max="24" width="9" style="230" customWidth="1"/>
    <col min="25" max="25" width="12.75" style="230" customWidth="1"/>
    <col min="26" max="26" width="8.5" style="230" customWidth="1"/>
    <col min="27" max="27" width="10.25" style="230" customWidth="1"/>
    <col min="28" max="28" width="11.875" style="230" customWidth="1"/>
    <col min="29" max="30" width="8.5" style="454" customWidth="1"/>
    <col min="31" max="31" width="11.125" style="454" customWidth="1"/>
    <col min="32" max="32" width="8.5" style="230" customWidth="1"/>
    <col min="33" max="33" width="12.25" style="230" customWidth="1"/>
    <col min="34" max="34" width="13.125" style="230" customWidth="1"/>
    <col min="35" max="256" width="9" style="230"/>
    <col min="257" max="257" width="1" style="230" customWidth="1"/>
    <col min="258" max="258" width="5.125" style="230" customWidth="1"/>
    <col min="259" max="259" width="6.25" style="230" customWidth="1"/>
    <col min="260" max="260" width="16.75" style="230" bestFit="1" customWidth="1"/>
    <col min="261" max="261" width="2.5" style="230" customWidth="1"/>
    <col min="262" max="262" width="8.75" style="230" customWidth="1"/>
    <col min="263" max="263" width="5.5" style="230" customWidth="1"/>
    <col min="264" max="264" width="11.375" style="230" customWidth="1"/>
    <col min="265" max="265" width="5.5" style="230" customWidth="1"/>
    <col min="266" max="266" width="11.375" style="230" customWidth="1"/>
    <col min="267" max="267" width="2.5" style="230" customWidth="1"/>
    <col min="268" max="268" width="8.75" style="230" customWidth="1"/>
    <col min="269" max="269" width="2.5" style="230" customWidth="1"/>
    <col min="270" max="270" width="10.25" style="230" customWidth="1"/>
    <col min="271" max="271" width="2.5" style="230" customWidth="1"/>
    <col min="272" max="272" width="14.125" style="230" customWidth="1"/>
    <col min="273" max="276" width="8.75" style="230" customWidth="1"/>
    <col min="277" max="277" width="5.5" style="230" customWidth="1"/>
    <col min="278" max="278" width="10.5" style="230" customWidth="1"/>
    <col min="279" max="279" width="3.375" style="230" customWidth="1"/>
    <col min="280" max="280" width="9" style="230" customWidth="1"/>
    <col min="281" max="281" width="12.75" style="230" customWidth="1"/>
    <col min="282" max="282" width="8.5" style="230" customWidth="1"/>
    <col min="283" max="283" width="10.25" style="230" customWidth="1"/>
    <col min="284" max="284" width="11.875" style="230" customWidth="1"/>
    <col min="285" max="286" width="8.5" style="230" customWidth="1"/>
    <col min="287" max="287" width="11.125" style="230" customWidth="1"/>
    <col min="288" max="288" width="8.5" style="230" customWidth="1"/>
    <col min="289" max="289" width="12.25" style="230" customWidth="1"/>
    <col min="290" max="290" width="13.125" style="230" customWidth="1"/>
    <col min="291" max="512" width="9" style="230"/>
    <col min="513" max="513" width="1" style="230" customWidth="1"/>
    <col min="514" max="514" width="5.125" style="230" customWidth="1"/>
    <col min="515" max="515" width="6.25" style="230" customWidth="1"/>
    <col min="516" max="516" width="16.75" style="230" bestFit="1" customWidth="1"/>
    <col min="517" max="517" width="2.5" style="230" customWidth="1"/>
    <col min="518" max="518" width="8.75" style="230" customWidth="1"/>
    <col min="519" max="519" width="5.5" style="230" customWidth="1"/>
    <col min="520" max="520" width="11.375" style="230" customWidth="1"/>
    <col min="521" max="521" width="5.5" style="230" customWidth="1"/>
    <col min="522" max="522" width="11.375" style="230" customWidth="1"/>
    <col min="523" max="523" width="2.5" style="230" customWidth="1"/>
    <col min="524" max="524" width="8.75" style="230" customWidth="1"/>
    <col min="525" max="525" width="2.5" style="230" customWidth="1"/>
    <col min="526" max="526" width="10.25" style="230" customWidth="1"/>
    <col min="527" max="527" width="2.5" style="230" customWidth="1"/>
    <col min="528" max="528" width="14.125" style="230" customWidth="1"/>
    <col min="529" max="532" width="8.75" style="230" customWidth="1"/>
    <col min="533" max="533" width="5.5" style="230" customWidth="1"/>
    <col min="534" max="534" width="10.5" style="230" customWidth="1"/>
    <col min="535" max="535" width="3.375" style="230" customWidth="1"/>
    <col min="536" max="536" width="9" style="230" customWidth="1"/>
    <col min="537" max="537" width="12.75" style="230" customWidth="1"/>
    <col min="538" max="538" width="8.5" style="230" customWidth="1"/>
    <col min="539" max="539" width="10.25" style="230" customWidth="1"/>
    <col min="540" max="540" width="11.875" style="230" customWidth="1"/>
    <col min="541" max="542" width="8.5" style="230" customWidth="1"/>
    <col min="543" max="543" width="11.125" style="230" customWidth="1"/>
    <col min="544" max="544" width="8.5" style="230" customWidth="1"/>
    <col min="545" max="545" width="12.25" style="230" customWidth="1"/>
    <col min="546" max="546" width="13.125" style="230" customWidth="1"/>
    <col min="547" max="768" width="9" style="230"/>
    <col min="769" max="769" width="1" style="230" customWidth="1"/>
    <col min="770" max="770" width="5.125" style="230" customWidth="1"/>
    <col min="771" max="771" width="6.25" style="230" customWidth="1"/>
    <col min="772" max="772" width="16.75" style="230" bestFit="1" customWidth="1"/>
    <col min="773" max="773" width="2.5" style="230" customWidth="1"/>
    <col min="774" max="774" width="8.75" style="230" customWidth="1"/>
    <col min="775" max="775" width="5.5" style="230" customWidth="1"/>
    <col min="776" max="776" width="11.375" style="230" customWidth="1"/>
    <col min="777" max="777" width="5.5" style="230" customWidth="1"/>
    <col min="778" max="778" width="11.375" style="230" customWidth="1"/>
    <col min="779" max="779" width="2.5" style="230" customWidth="1"/>
    <col min="780" max="780" width="8.75" style="230" customWidth="1"/>
    <col min="781" max="781" width="2.5" style="230" customWidth="1"/>
    <col min="782" max="782" width="10.25" style="230" customWidth="1"/>
    <col min="783" max="783" width="2.5" style="230" customWidth="1"/>
    <col min="784" max="784" width="14.125" style="230" customWidth="1"/>
    <col min="785" max="788" width="8.75" style="230" customWidth="1"/>
    <col min="789" max="789" width="5.5" style="230" customWidth="1"/>
    <col min="790" max="790" width="10.5" style="230" customWidth="1"/>
    <col min="791" max="791" width="3.375" style="230" customWidth="1"/>
    <col min="792" max="792" width="9" style="230" customWidth="1"/>
    <col min="793" max="793" width="12.75" style="230" customWidth="1"/>
    <col min="794" max="794" width="8.5" style="230" customWidth="1"/>
    <col min="795" max="795" width="10.25" style="230" customWidth="1"/>
    <col min="796" max="796" width="11.875" style="230" customWidth="1"/>
    <col min="797" max="798" width="8.5" style="230" customWidth="1"/>
    <col min="799" max="799" width="11.125" style="230" customWidth="1"/>
    <col min="800" max="800" width="8.5" style="230" customWidth="1"/>
    <col min="801" max="801" width="12.25" style="230" customWidth="1"/>
    <col min="802" max="802" width="13.125" style="230" customWidth="1"/>
    <col min="803" max="1024" width="9" style="230"/>
    <col min="1025" max="1025" width="1" style="230" customWidth="1"/>
    <col min="1026" max="1026" width="5.125" style="230" customWidth="1"/>
    <col min="1027" max="1027" width="6.25" style="230" customWidth="1"/>
    <col min="1028" max="1028" width="16.75" style="230" bestFit="1" customWidth="1"/>
    <col min="1029" max="1029" width="2.5" style="230" customWidth="1"/>
    <col min="1030" max="1030" width="8.75" style="230" customWidth="1"/>
    <col min="1031" max="1031" width="5.5" style="230" customWidth="1"/>
    <col min="1032" max="1032" width="11.375" style="230" customWidth="1"/>
    <col min="1033" max="1033" width="5.5" style="230" customWidth="1"/>
    <col min="1034" max="1034" width="11.375" style="230" customWidth="1"/>
    <col min="1035" max="1035" width="2.5" style="230" customWidth="1"/>
    <col min="1036" max="1036" width="8.75" style="230" customWidth="1"/>
    <col min="1037" max="1037" width="2.5" style="230" customWidth="1"/>
    <col min="1038" max="1038" width="10.25" style="230" customWidth="1"/>
    <col min="1039" max="1039" width="2.5" style="230" customWidth="1"/>
    <col min="1040" max="1040" width="14.125" style="230" customWidth="1"/>
    <col min="1041" max="1044" width="8.75" style="230" customWidth="1"/>
    <col min="1045" max="1045" width="5.5" style="230" customWidth="1"/>
    <col min="1046" max="1046" width="10.5" style="230" customWidth="1"/>
    <col min="1047" max="1047" width="3.375" style="230" customWidth="1"/>
    <col min="1048" max="1048" width="9" style="230" customWidth="1"/>
    <col min="1049" max="1049" width="12.75" style="230" customWidth="1"/>
    <col min="1050" max="1050" width="8.5" style="230" customWidth="1"/>
    <col min="1051" max="1051" width="10.25" style="230" customWidth="1"/>
    <col min="1052" max="1052" width="11.875" style="230" customWidth="1"/>
    <col min="1053" max="1054" width="8.5" style="230" customWidth="1"/>
    <col min="1055" max="1055" width="11.125" style="230" customWidth="1"/>
    <col min="1056" max="1056" width="8.5" style="230" customWidth="1"/>
    <col min="1057" max="1057" width="12.25" style="230" customWidth="1"/>
    <col min="1058" max="1058" width="13.125" style="230" customWidth="1"/>
    <col min="1059" max="1280" width="9" style="230"/>
    <col min="1281" max="1281" width="1" style="230" customWidth="1"/>
    <col min="1282" max="1282" width="5.125" style="230" customWidth="1"/>
    <col min="1283" max="1283" width="6.25" style="230" customWidth="1"/>
    <col min="1284" max="1284" width="16.75" style="230" bestFit="1" customWidth="1"/>
    <col min="1285" max="1285" width="2.5" style="230" customWidth="1"/>
    <col min="1286" max="1286" width="8.75" style="230" customWidth="1"/>
    <col min="1287" max="1287" width="5.5" style="230" customWidth="1"/>
    <col min="1288" max="1288" width="11.375" style="230" customWidth="1"/>
    <col min="1289" max="1289" width="5.5" style="230" customWidth="1"/>
    <col min="1290" max="1290" width="11.375" style="230" customWidth="1"/>
    <col min="1291" max="1291" width="2.5" style="230" customWidth="1"/>
    <col min="1292" max="1292" width="8.75" style="230" customWidth="1"/>
    <col min="1293" max="1293" width="2.5" style="230" customWidth="1"/>
    <col min="1294" max="1294" width="10.25" style="230" customWidth="1"/>
    <col min="1295" max="1295" width="2.5" style="230" customWidth="1"/>
    <col min="1296" max="1296" width="14.125" style="230" customWidth="1"/>
    <col min="1297" max="1300" width="8.75" style="230" customWidth="1"/>
    <col min="1301" max="1301" width="5.5" style="230" customWidth="1"/>
    <col min="1302" max="1302" width="10.5" style="230" customWidth="1"/>
    <col min="1303" max="1303" width="3.375" style="230" customWidth="1"/>
    <col min="1304" max="1304" width="9" style="230" customWidth="1"/>
    <col min="1305" max="1305" width="12.75" style="230" customWidth="1"/>
    <col min="1306" max="1306" width="8.5" style="230" customWidth="1"/>
    <col min="1307" max="1307" width="10.25" style="230" customWidth="1"/>
    <col min="1308" max="1308" width="11.875" style="230" customWidth="1"/>
    <col min="1309" max="1310" width="8.5" style="230" customWidth="1"/>
    <col min="1311" max="1311" width="11.125" style="230" customWidth="1"/>
    <col min="1312" max="1312" width="8.5" style="230" customWidth="1"/>
    <col min="1313" max="1313" width="12.25" style="230" customWidth="1"/>
    <col min="1314" max="1314" width="13.125" style="230" customWidth="1"/>
    <col min="1315" max="1536" width="9" style="230"/>
    <col min="1537" max="1537" width="1" style="230" customWidth="1"/>
    <col min="1538" max="1538" width="5.125" style="230" customWidth="1"/>
    <col min="1539" max="1539" width="6.25" style="230" customWidth="1"/>
    <col min="1540" max="1540" width="16.75" style="230" bestFit="1" customWidth="1"/>
    <col min="1541" max="1541" width="2.5" style="230" customWidth="1"/>
    <col min="1542" max="1542" width="8.75" style="230" customWidth="1"/>
    <col min="1543" max="1543" width="5.5" style="230" customWidth="1"/>
    <col min="1544" max="1544" width="11.375" style="230" customWidth="1"/>
    <col min="1545" max="1545" width="5.5" style="230" customWidth="1"/>
    <col min="1546" max="1546" width="11.375" style="230" customWidth="1"/>
    <col min="1547" max="1547" width="2.5" style="230" customWidth="1"/>
    <col min="1548" max="1548" width="8.75" style="230" customWidth="1"/>
    <col min="1549" max="1549" width="2.5" style="230" customWidth="1"/>
    <col min="1550" max="1550" width="10.25" style="230" customWidth="1"/>
    <col min="1551" max="1551" width="2.5" style="230" customWidth="1"/>
    <col min="1552" max="1552" width="14.125" style="230" customWidth="1"/>
    <col min="1553" max="1556" width="8.75" style="230" customWidth="1"/>
    <col min="1557" max="1557" width="5.5" style="230" customWidth="1"/>
    <col min="1558" max="1558" width="10.5" style="230" customWidth="1"/>
    <col min="1559" max="1559" width="3.375" style="230" customWidth="1"/>
    <col min="1560" max="1560" width="9" style="230" customWidth="1"/>
    <col min="1561" max="1561" width="12.75" style="230" customWidth="1"/>
    <col min="1562" max="1562" width="8.5" style="230" customWidth="1"/>
    <col min="1563" max="1563" width="10.25" style="230" customWidth="1"/>
    <col min="1564" max="1564" width="11.875" style="230" customWidth="1"/>
    <col min="1565" max="1566" width="8.5" style="230" customWidth="1"/>
    <col min="1567" max="1567" width="11.125" style="230" customWidth="1"/>
    <col min="1568" max="1568" width="8.5" style="230" customWidth="1"/>
    <col min="1569" max="1569" width="12.25" style="230" customWidth="1"/>
    <col min="1570" max="1570" width="13.125" style="230" customWidth="1"/>
    <col min="1571" max="1792" width="9" style="230"/>
    <col min="1793" max="1793" width="1" style="230" customWidth="1"/>
    <col min="1794" max="1794" width="5.125" style="230" customWidth="1"/>
    <col min="1795" max="1795" width="6.25" style="230" customWidth="1"/>
    <col min="1796" max="1796" width="16.75" style="230" bestFit="1" customWidth="1"/>
    <col min="1797" max="1797" width="2.5" style="230" customWidth="1"/>
    <col min="1798" max="1798" width="8.75" style="230" customWidth="1"/>
    <col min="1799" max="1799" width="5.5" style="230" customWidth="1"/>
    <col min="1800" max="1800" width="11.375" style="230" customWidth="1"/>
    <col min="1801" max="1801" width="5.5" style="230" customWidth="1"/>
    <col min="1802" max="1802" width="11.375" style="230" customWidth="1"/>
    <col min="1803" max="1803" width="2.5" style="230" customWidth="1"/>
    <col min="1804" max="1804" width="8.75" style="230" customWidth="1"/>
    <col min="1805" max="1805" width="2.5" style="230" customWidth="1"/>
    <col min="1806" max="1806" width="10.25" style="230" customWidth="1"/>
    <col min="1807" max="1807" width="2.5" style="230" customWidth="1"/>
    <col min="1808" max="1808" width="14.125" style="230" customWidth="1"/>
    <col min="1809" max="1812" width="8.75" style="230" customWidth="1"/>
    <col min="1813" max="1813" width="5.5" style="230" customWidth="1"/>
    <col min="1814" max="1814" width="10.5" style="230" customWidth="1"/>
    <col min="1815" max="1815" width="3.375" style="230" customWidth="1"/>
    <col min="1816" max="1816" width="9" style="230" customWidth="1"/>
    <col min="1817" max="1817" width="12.75" style="230" customWidth="1"/>
    <col min="1818" max="1818" width="8.5" style="230" customWidth="1"/>
    <col min="1819" max="1819" width="10.25" style="230" customWidth="1"/>
    <col min="1820" max="1820" width="11.875" style="230" customWidth="1"/>
    <col min="1821" max="1822" width="8.5" style="230" customWidth="1"/>
    <col min="1823" max="1823" width="11.125" style="230" customWidth="1"/>
    <col min="1824" max="1824" width="8.5" style="230" customWidth="1"/>
    <col min="1825" max="1825" width="12.25" style="230" customWidth="1"/>
    <col min="1826" max="1826" width="13.125" style="230" customWidth="1"/>
    <col min="1827" max="2048" width="9" style="230"/>
    <col min="2049" max="2049" width="1" style="230" customWidth="1"/>
    <col min="2050" max="2050" width="5.125" style="230" customWidth="1"/>
    <col min="2051" max="2051" width="6.25" style="230" customWidth="1"/>
    <col min="2052" max="2052" width="16.75" style="230" bestFit="1" customWidth="1"/>
    <col min="2053" max="2053" width="2.5" style="230" customWidth="1"/>
    <col min="2054" max="2054" width="8.75" style="230" customWidth="1"/>
    <col min="2055" max="2055" width="5.5" style="230" customWidth="1"/>
    <col min="2056" max="2056" width="11.375" style="230" customWidth="1"/>
    <col min="2057" max="2057" width="5.5" style="230" customWidth="1"/>
    <col min="2058" max="2058" width="11.375" style="230" customWidth="1"/>
    <col min="2059" max="2059" width="2.5" style="230" customWidth="1"/>
    <col min="2060" max="2060" width="8.75" style="230" customWidth="1"/>
    <col min="2061" max="2061" width="2.5" style="230" customWidth="1"/>
    <col min="2062" max="2062" width="10.25" style="230" customWidth="1"/>
    <col min="2063" max="2063" width="2.5" style="230" customWidth="1"/>
    <col min="2064" max="2064" width="14.125" style="230" customWidth="1"/>
    <col min="2065" max="2068" width="8.75" style="230" customWidth="1"/>
    <col min="2069" max="2069" width="5.5" style="230" customWidth="1"/>
    <col min="2070" max="2070" width="10.5" style="230" customWidth="1"/>
    <col min="2071" max="2071" width="3.375" style="230" customWidth="1"/>
    <col min="2072" max="2072" width="9" style="230" customWidth="1"/>
    <col min="2073" max="2073" width="12.75" style="230" customWidth="1"/>
    <col min="2074" max="2074" width="8.5" style="230" customWidth="1"/>
    <col min="2075" max="2075" width="10.25" style="230" customWidth="1"/>
    <col min="2076" max="2076" width="11.875" style="230" customWidth="1"/>
    <col min="2077" max="2078" width="8.5" style="230" customWidth="1"/>
    <col min="2079" max="2079" width="11.125" style="230" customWidth="1"/>
    <col min="2080" max="2080" width="8.5" style="230" customWidth="1"/>
    <col min="2081" max="2081" width="12.25" style="230" customWidth="1"/>
    <col min="2082" max="2082" width="13.125" style="230" customWidth="1"/>
    <col min="2083" max="2304" width="9" style="230"/>
    <col min="2305" max="2305" width="1" style="230" customWidth="1"/>
    <col min="2306" max="2306" width="5.125" style="230" customWidth="1"/>
    <col min="2307" max="2307" width="6.25" style="230" customWidth="1"/>
    <col min="2308" max="2308" width="16.75" style="230" bestFit="1" customWidth="1"/>
    <col min="2309" max="2309" width="2.5" style="230" customWidth="1"/>
    <col min="2310" max="2310" width="8.75" style="230" customWidth="1"/>
    <col min="2311" max="2311" width="5.5" style="230" customWidth="1"/>
    <col min="2312" max="2312" width="11.375" style="230" customWidth="1"/>
    <col min="2313" max="2313" width="5.5" style="230" customWidth="1"/>
    <col min="2314" max="2314" width="11.375" style="230" customWidth="1"/>
    <col min="2315" max="2315" width="2.5" style="230" customWidth="1"/>
    <col min="2316" max="2316" width="8.75" style="230" customWidth="1"/>
    <col min="2317" max="2317" width="2.5" style="230" customWidth="1"/>
    <col min="2318" max="2318" width="10.25" style="230" customWidth="1"/>
    <col min="2319" max="2319" width="2.5" style="230" customWidth="1"/>
    <col min="2320" max="2320" width="14.125" style="230" customWidth="1"/>
    <col min="2321" max="2324" width="8.75" style="230" customWidth="1"/>
    <col min="2325" max="2325" width="5.5" style="230" customWidth="1"/>
    <col min="2326" max="2326" width="10.5" style="230" customWidth="1"/>
    <col min="2327" max="2327" width="3.375" style="230" customWidth="1"/>
    <col min="2328" max="2328" width="9" style="230" customWidth="1"/>
    <col min="2329" max="2329" width="12.75" style="230" customWidth="1"/>
    <col min="2330" max="2330" width="8.5" style="230" customWidth="1"/>
    <col min="2331" max="2331" width="10.25" style="230" customWidth="1"/>
    <col min="2332" max="2332" width="11.875" style="230" customWidth="1"/>
    <col min="2333" max="2334" width="8.5" style="230" customWidth="1"/>
    <col min="2335" max="2335" width="11.125" style="230" customWidth="1"/>
    <col min="2336" max="2336" width="8.5" style="230" customWidth="1"/>
    <col min="2337" max="2337" width="12.25" style="230" customWidth="1"/>
    <col min="2338" max="2338" width="13.125" style="230" customWidth="1"/>
    <col min="2339" max="2560" width="9" style="230"/>
    <col min="2561" max="2561" width="1" style="230" customWidth="1"/>
    <col min="2562" max="2562" width="5.125" style="230" customWidth="1"/>
    <col min="2563" max="2563" width="6.25" style="230" customWidth="1"/>
    <col min="2564" max="2564" width="16.75" style="230" bestFit="1" customWidth="1"/>
    <col min="2565" max="2565" width="2.5" style="230" customWidth="1"/>
    <col min="2566" max="2566" width="8.75" style="230" customWidth="1"/>
    <col min="2567" max="2567" width="5.5" style="230" customWidth="1"/>
    <col min="2568" max="2568" width="11.375" style="230" customWidth="1"/>
    <col min="2569" max="2569" width="5.5" style="230" customWidth="1"/>
    <col min="2570" max="2570" width="11.375" style="230" customWidth="1"/>
    <col min="2571" max="2571" width="2.5" style="230" customWidth="1"/>
    <col min="2572" max="2572" width="8.75" style="230" customWidth="1"/>
    <col min="2573" max="2573" width="2.5" style="230" customWidth="1"/>
    <col min="2574" max="2574" width="10.25" style="230" customWidth="1"/>
    <col min="2575" max="2575" width="2.5" style="230" customWidth="1"/>
    <col min="2576" max="2576" width="14.125" style="230" customWidth="1"/>
    <col min="2577" max="2580" width="8.75" style="230" customWidth="1"/>
    <col min="2581" max="2581" width="5.5" style="230" customWidth="1"/>
    <col min="2582" max="2582" width="10.5" style="230" customWidth="1"/>
    <col min="2583" max="2583" width="3.375" style="230" customWidth="1"/>
    <col min="2584" max="2584" width="9" style="230" customWidth="1"/>
    <col min="2585" max="2585" width="12.75" style="230" customWidth="1"/>
    <col min="2586" max="2586" width="8.5" style="230" customWidth="1"/>
    <col min="2587" max="2587" width="10.25" style="230" customWidth="1"/>
    <col min="2588" max="2588" width="11.875" style="230" customWidth="1"/>
    <col min="2589" max="2590" width="8.5" style="230" customWidth="1"/>
    <col min="2591" max="2591" width="11.125" style="230" customWidth="1"/>
    <col min="2592" max="2592" width="8.5" style="230" customWidth="1"/>
    <col min="2593" max="2593" width="12.25" style="230" customWidth="1"/>
    <col min="2594" max="2594" width="13.125" style="230" customWidth="1"/>
    <col min="2595" max="2816" width="9" style="230"/>
    <col min="2817" max="2817" width="1" style="230" customWidth="1"/>
    <col min="2818" max="2818" width="5.125" style="230" customWidth="1"/>
    <col min="2819" max="2819" width="6.25" style="230" customWidth="1"/>
    <col min="2820" max="2820" width="16.75" style="230" bestFit="1" customWidth="1"/>
    <col min="2821" max="2821" width="2.5" style="230" customWidth="1"/>
    <col min="2822" max="2822" width="8.75" style="230" customWidth="1"/>
    <col min="2823" max="2823" width="5.5" style="230" customWidth="1"/>
    <col min="2824" max="2824" width="11.375" style="230" customWidth="1"/>
    <col min="2825" max="2825" width="5.5" style="230" customWidth="1"/>
    <col min="2826" max="2826" width="11.375" style="230" customWidth="1"/>
    <col min="2827" max="2827" width="2.5" style="230" customWidth="1"/>
    <col min="2828" max="2828" width="8.75" style="230" customWidth="1"/>
    <col min="2829" max="2829" width="2.5" style="230" customWidth="1"/>
    <col min="2830" max="2830" width="10.25" style="230" customWidth="1"/>
    <col min="2831" max="2831" width="2.5" style="230" customWidth="1"/>
    <col min="2832" max="2832" width="14.125" style="230" customWidth="1"/>
    <col min="2833" max="2836" width="8.75" style="230" customWidth="1"/>
    <col min="2837" max="2837" width="5.5" style="230" customWidth="1"/>
    <col min="2838" max="2838" width="10.5" style="230" customWidth="1"/>
    <col min="2839" max="2839" width="3.375" style="230" customWidth="1"/>
    <col min="2840" max="2840" width="9" style="230" customWidth="1"/>
    <col min="2841" max="2841" width="12.75" style="230" customWidth="1"/>
    <col min="2842" max="2842" width="8.5" style="230" customWidth="1"/>
    <col min="2843" max="2843" width="10.25" style="230" customWidth="1"/>
    <col min="2844" max="2844" width="11.875" style="230" customWidth="1"/>
    <col min="2845" max="2846" width="8.5" style="230" customWidth="1"/>
    <col min="2847" max="2847" width="11.125" style="230" customWidth="1"/>
    <col min="2848" max="2848" width="8.5" style="230" customWidth="1"/>
    <col min="2849" max="2849" width="12.25" style="230" customWidth="1"/>
    <col min="2850" max="2850" width="13.125" style="230" customWidth="1"/>
    <col min="2851" max="3072" width="9" style="230"/>
    <col min="3073" max="3073" width="1" style="230" customWidth="1"/>
    <col min="3074" max="3074" width="5.125" style="230" customWidth="1"/>
    <col min="3075" max="3075" width="6.25" style="230" customWidth="1"/>
    <col min="3076" max="3076" width="16.75" style="230" bestFit="1" customWidth="1"/>
    <col min="3077" max="3077" width="2.5" style="230" customWidth="1"/>
    <col min="3078" max="3078" width="8.75" style="230" customWidth="1"/>
    <col min="3079" max="3079" width="5.5" style="230" customWidth="1"/>
    <col min="3080" max="3080" width="11.375" style="230" customWidth="1"/>
    <col min="3081" max="3081" width="5.5" style="230" customWidth="1"/>
    <col min="3082" max="3082" width="11.375" style="230" customWidth="1"/>
    <col min="3083" max="3083" width="2.5" style="230" customWidth="1"/>
    <col min="3084" max="3084" width="8.75" style="230" customWidth="1"/>
    <col min="3085" max="3085" width="2.5" style="230" customWidth="1"/>
    <col min="3086" max="3086" width="10.25" style="230" customWidth="1"/>
    <col min="3087" max="3087" width="2.5" style="230" customWidth="1"/>
    <col min="3088" max="3088" width="14.125" style="230" customWidth="1"/>
    <col min="3089" max="3092" width="8.75" style="230" customWidth="1"/>
    <col min="3093" max="3093" width="5.5" style="230" customWidth="1"/>
    <col min="3094" max="3094" width="10.5" style="230" customWidth="1"/>
    <col min="3095" max="3095" width="3.375" style="230" customWidth="1"/>
    <col min="3096" max="3096" width="9" style="230" customWidth="1"/>
    <col min="3097" max="3097" width="12.75" style="230" customWidth="1"/>
    <col min="3098" max="3098" width="8.5" style="230" customWidth="1"/>
    <col min="3099" max="3099" width="10.25" style="230" customWidth="1"/>
    <col min="3100" max="3100" width="11.875" style="230" customWidth="1"/>
    <col min="3101" max="3102" width="8.5" style="230" customWidth="1"/>
    <col min="3103" max="3103" width="11.125" style="230" customWidth="1"/>
    <col min="3104" max="3104" width="8.5" style="230" customWidth="1"/>
    <col min="3105" max="3105" width="12.25" style="230" customWidth="1"/>
    <col min="3106" max="3106" width="13.125" style="230" customWidth="1"/>
    <col min="3107" max="3328" width="9" style="230"/>
    <col min="3329" max="3329" width="1" style="230" customWidth="1"/>
    <col min="3330" max="3330" width="5.125" style="230" customWidth="1"/>
    <col min="3331" max="3331" width="6.25" style="230" customWidth="1"/>
    <col min="3332" max="3332" width="16.75" style="230" bestFit="1" customWidth="1"/>
    <col min="3333" max="3333" width="2.5" style="230" customWidth="1"/>
    <col min="3334" max="3334" width="8.75" style="230" customWidth="1"/>
    <col min="3335" max="3335" width="5.5" style="230" customWidth="1"/>
    <col min="3336" max="3336" width="11.375" style="230" customWidth="1"/>
    <col min="3337" max="3337" width="5.5" style="230" customWidth="1"/>
    <col min="3338" max="3338" width="11.375" style="230" customWidth="1"/>
    <col min="3339" max="3339" width="2.5" style="230" customWidth="1"/>
    <col min="3340" max="3340" width="8.75" style="230" customWidth="1"/>
    <col min="3341" max="3341" width="2.5" style="230" customWidth="1"/>
    <col min="3342" max="3342" width="10.25" style="230" customWidth="1"/>
    <col min="3343" max="3343" width="2.5" style="230" customWidth="1"/>
    <col min="3344" max="3344" width="14.125" style="230" customWidth="1"/>
    <col min="3345" max="3348" width="8.75" style="230" customWidth="1"/>
    <col min="3349" max="3349" width="5.5" style="230" customWidth="1"/>
    <col min="3350" max="3350" width="10.5" style="230" customWidth="1"/>
    <col min="3351" max="3351" width="3.375" style="230" customWidth="1"/>
    <col min="3352" max="3352" width="9" style="230" customWidth="1"/>
    <col min="3353" max="3353" width="12.75" style="230" customWidth="1"/>
    <col min="3354" max="3354" width="8.5" style="230" customWidth="1"/>
    <col min="3355" max="3355" width="10.25" style="230" customWidth="1"/>
    <col min="3356" max="3356" width="11.875" style="230" customWidth="1"/>
    <col min="3357" max="3358" width="8.5" style="230" customWidth="1"/>
    <col min="3359" max="3359" width="11.125" style="230" customWidth="1"/>
    <col min="3360" max="3360" width="8.5" style="230" customWidth="1"/>
    <col min="3361" max="3361" width="12.25" style="230" customWidth="1"/>
    <col min="3362" max="3362" width="13.125" style="230" customWidth="1"/>
    <col min="3363" max="3584" width="9" style="230"/>
    <col min="3585" max="3585" width="1" style="230" customWidth="1"/>
    <col min="3586" max="3586" width="5.125" style="230" customWidth="1"/>
    <col min="3587" max="3587" width="6.25" style="230" customWidth="1"/>
    <col min="3588" max="3588" width="16.75" style="230" bestFit="1" customWidth="1"/>
    <col min="3589" max="3589" width="2.5" style="230" customWidth="1"/>
    <col min="3590" max="3590" width="8.75" style="230" customWidth="1"/>
    <col min="3591" max="3591" width="5.5" style="230" customWidth="1"/>
    <col min="3592" max="3592" width="11.375" style="230" customWidth="1"/>
    <col min="3593" max="3593" width="5.5" style="230" customWidth="1"/>
    <col min="3594" max="3594" width="11.375" style="230" customWidth="1"/>
    <col min="3595" max="3595" width="2.5" style="230" customWidth="1"/>
    <col min="3596" max="3596" width="8.75" style="230" customWidth="1"/>
    <col min="3597" max="3597" width="2.5" style="230" customWidth="1"/>
    <col min="3598" max="3598" width="10.25" style="230" customWidth="1"/>
    <col min="3599" max="3599" width="2.5" style="230" customWidth="1"/>
    <col min="3600" max="3600" width="14.125" style="230" customWidth="1"/>
    <col min="3601" max="3604" width="8.75" style="230" customWidth="1"/>
    <col min="3605" max="3605" width="5.5" style="230" customWidth="1"/>
    <col min="3606" max="3606" width="10.5" style="230" customWidth="1"/>
    <col min="3607" max="3607" width="3.375" style="230" customWidth="1"/>
    <col min="3608" max="3608" width="9" style="230" customWidth="1"/>
    <col min="3609" max="3609" width="12.75" style="230" customWidth="1"/>
    <col min="3610" max="3610" width="8.5" style="230" customWidth="1"/>
    <col min="3611" max="3611" width="10.25" style="230" customWidth="1"/>
    <col min="3612" max="3612" width="11.875" style="230" customWidth="1"/>
    <col min="3613" max="3614" width="8.5" style="230" customWidth="1"/>
    <col min="3615" max="3615" width="11.125" style="230" customWidth="1"/>
    <col min="3616" max="3616" width="8.5" style="230" customWidth="1"/>
    <col min="3617" max="3617" width="12.25" style="230" customWidth="1"/>
    <col min="3618" max="3618" width="13.125" style="230" customWidth="1"/>
    <col min="3619" max="3840" width="9" style="230"/>
    <col min="3841" max="3841" width="1" style="230" customWidth="1"/>
    <col min="3842" max="3842" width="5.125" style="230" customWidth="1"/>
    <col min="3843" max="3843" width="6.25" style="230" customWidth="1"/>
    <col min="3844" max="3844" width="16.75" style="230" bestFit="1" customWidth="1"/>
    <col min="3845" max="3845" width="2.5" style="230" customWidth="1"/>
    <col min="3846" max="3846" width="8.75" style="230" customWidth="1"/>
    <col min="3847" max="3847" width="5.5" style="230" customWidth="1"/>
    <col min="3848" max="3848" width="11.375" style="230" customWidth="1"/>
    <col min="3849" max="3849" width="5.5" style="230" customWidth="1"/>
    <col min="3850" max="3850" width="11.375" style="230" customWidth="1"/>
    <col min="3851" max="3851" width="2.5" style="230" customWidth="1"/>
    <col min="3852" max="3852" width="8.75" style="230" customWidth="1"/>
    <col min="3853" max="3853" width="2.5" style="230" customWidth="1"/>
    <col min="3854" max="3854" width="10.25" style="230" customWidth="1"/>
    <col min="3855" max="3855" width="2.5" style="230" customWidth="1"/>
    <col min="3856" max="3856" width="14.125" style="230" customWidth="1"/>
    <col min="3857" max="3860" width="8.75" style="230" customWidth="1"/>
    <col min="3861" max="3861" width="5.5" style="230" customWidth="1"/>
    <col min="3862" max="3862" width="10.5" style="230" customWidth="1"/>
    <col min="3863" max="3863" width="3.375" style="230" customWidth="1"/>
    <col min="3864" max="3864" width="9" style="230" customWidth="1"/>
    <col min="3865" max="3865" width="12.75" style="230" customWidth="1"/>
    <col min="3866" max="3866" width="8.5" style="230" customWidth="1"/>
    <col min="3867" max="3867" width="10.25" style="230" customWidth="1"/>
    <col min="3868" max="3868" width="11.875" style="230" customWidth="1"/>
    <col min="3869" max="3870" width="8.5" style="230" customWidth="1"/>
    <col min="3871" max="3871" width="11.125" style="230" customWidth="1"/>
    <col min="3872" max="3872" width="8.5" style="230" customWidth="1"/>
    <col min="3873" max="3873" width="12.25" style="230" customWidth="1"/>
    <col min="3874" max="3874" width="13.125" style="230" customWidth="1"/>
    <col min="3875" max="4096" width="9" style="230"/>
    <col min="4097" max="4097" width="1" style="230" customWidth="1"/>
    <col min="4098" max="4098" width="5.125" style="230" customWidth="1"/>
    <col min="4099" max="4099" width="6.25" style="230" customWidth="1"/>
    <col min="4100" max="4100" width="16.75" style="230" bestFit="1" customWidth="1"/>
    <col min="4101" max="4101" width="2.5" style="230" customWidth="1"/>
    <col min="4102" max="4102" width="8.75" style="230" customWidth="1"/>
    <col min="4103" max="4103" width="5.5" style="230" customWidth="1"/>
    <col min="4104" max="4104" width="11.375" style="230" customWidth="1"/>
    <col min="4105" max="4105" width="5.5" style="230" customWidth="1"/>
    <col min="4106" max="4106" width="11.375" style="230" customWidth="1"/>
    <col min="4107" max="4107" width="2.5" style="230" customWidth="1"/>
    <col min="4108" max="4108" width="8.75" style="230" customWidth="1"/>
    <col min="4109" max="4109" width="2.5" style="230" customWidth="1"/>
    <col min="4110" max="4110" width="10.25" style="230" customWidth="1"/>
    <col min="4111" max="4111" width="2.5" style="230" customWidth="1"/>
    <col min="4112" max="4112" width="14.125" style="230" customWidth="1"/>
    <col min="4113" max="4116" width="8.75" style="230" customWidth="1"/>
    <col min="4117" max="4117" width="5.5" style="230" customWidth="1"/>
    <col min="4118" max="4118" width="10.5" style="230" customWidth="1"/>
    <col min="4119" max="4119" width="3.375" style="230" customWidth="1"/>
    <col min="4120" max="4120" width="9" style="230" customWidth="1"/>
    <col min="4121" max="4121" width="12.75" style="230" customWidth="1"/>
    <col min="4122" max="4122" width="8.5" style="230" customWidth="1"/>
    <col min="4123" max="4123" width="10.25" style="230" customWidth="1"/>
    <col min="4124" max="4124" width="11.875" style="230" customWidth="1"/>
    <col min="4125" max="4126" width="8.5" style="230" customWidth="1"/>
    <col min="4127" max="4127" width="11.125" style="230" customWidth="1"/>
    <col min="4128" max="4128" width="8.5" style="230" customWidth="1"/>
    <col min="4129" max="4129" width="12.25" style="230" customWidth="1"/>
    <col min="4130" max="4130" width="13.125" style="230" customWidth="1"/>
    <col min="4131" max="4352" width="9" style="230"/>
    <col min="4353" max="4353" width="1" style="230" customWidth="1"/>
    <col min="4354" max="4354" width="5.125" style="230" customWidth="1"/>
    <col min="4355" max="4355" width="6.25" style="230" customWidth="1"/>
    <col min="4356" max="4356" width="16.75" style="230" bestFit="1" customWidth="1"/>
    <col min="4357" max="4357" width="2.5" style="230" customWidth="1"/>
    <col min="4358" max="4358" width="8.75" style="230" customWidth="1"/>
    <col min="4359" max="4359" width="5.5" style="230" customWidth="1"/>
    <col min="4360" max="4360" width="11.375" style="230" customWidth="1"/>
    <col min="4361" max="4361" width="5.5" style="230" customWidth="1"/>
    <col min="4362" max="4362" width="11.375" style="230" customWidth="1"/>
    <col min="4363" max="4363" width="2.5" style="230" customWidth="1"/>
    <col min="4364" max="4364" width="8.75" style="230" customWidth="1"/>
    <col min="4365" max="4365" width="2.5" style="230" customWidth="1"/>
    <col min="4366" max="4366" width="10.25" style="230" customWidth="1"/>
    <col min="4367" max="4367" width="2.5" style="230" customWidth="1"/>
    <col min="4368" max="4368" width="14.125" style="230" customWidth="1"/>
    <col min="4369" max="4372" width="8.75" style="230" customWidth="1"/>
    <col min="4373" max="4373" width="5.5" style="230" customWidth="1"/>
    <col min="4374" max="4374" width="10.5" style="230" customWidth="1"/>
    <col min="4375" max="4375" width="3.375" style="230" customWidth="1"/>
    <col min="4376" max="4376" width="9" style="230" customWidth="1"/>
    <col min="4377" max="4377" width="12.75" style="230" customWidth="1"/>
    <col min="4378" max="4378" width="8.5" style="230" customWidth="1"/>
    <col min="4379" max="4379" width="10.25" style="230" customWidth="1"/>
    <col min="4380" max="4380" width="11.875" style="230" customWidth="1"/>
    <col min="4381" max="4382" width="8.5" style="230" customWidth="1"/>
    <col min="4383" max="4383" width="11.125" style="230" customWidth="1"/>
    <col min="4384" max="4384" width="8.5" style="230" customWidth="1"/>
    <col min="4385" max="4385" width="12.25" style="230" customWidth="1"/>
    <col min="4386" max="4386" width="13.125" style="230" customWidth="1"/>
    <col min="4387" max="4608" width="9" style="230"/>
    <col min="4609" max="4609" width="1" style="230" customWidth="1"/>
    <col min="4610" max="4610" width="5.125" style="230" customWidth="1"/>
    <col min="4611" max="4611" width="6.25" style="230" customWidth="1"/>
    <col min="4612" max="4612" width="16.75" style="230" bestFit="1" customWidth="1"/>
    <col min="4613" max="4613" width="2.5" style="230" customWidth="1"/>
    <col min="4614" max="4614" width="8.75" style="230" customWidth="1"/>
    <col min="4615" max="4615" width="5.5" style="230" customWidth="1"/>
    <col min="4616" max="4616" width="11.375" style="230" customWidth="1"/>
    <col min="4617" max="4617" width="5.5" style="230" customWidth="1"/>
    <col min="4618" max="4618" width="11.375" style="230" customWidth="1"/>
    <col min="4619" max="4619" width="2.5" style="230" customWidth="1"/>
    <col min="4620" max="4620" width="8.75" style="230" customWidth="1"/>
    <col min="4621" max="4621" width="2.5" style="230" customWidth="1"/>
    <col min="4622" max="4622" width="10.25" style="230" customWidth="1"/>
    <col min="4623" max="4623" width="2.5" style="230" customWidth="1"/>
    <col min="4624" max="4624" width="14.125" style="230" customWidth="1"/>
    <col min="4625" max="4628" width="8.75" style="230" customWidth="1"/>
    <col min="4629" max="4629" width="5.5" style="230" customWidth="1"/>
    <col min="4630" max="4630" width="10.5" style="230" customWidth="1"/>
    <col min="4631" max="4631" width="3.375" style="230" customWidth="1"/>
    <col min="4632" max="4632" width="9" style="230" customWidth="1"/>
    <col min="4633" max="4633" width="12.75" style="230" customWidth="1"/>
    <col min="4634" max="4634" width="8.5" style="230" customWidth="1"/>
    <col min="4635" max="4635" width="10.25" style="230" customWidth="1"/>
    <col min="4636" max="4636" width="11.875" style="230" customWidth="1"/>
    <col min="4637" max="4638" width="8.5" style="230" customWidth="1"/>
    <col min="4639" max="4639" width="11.125" style="230" customWidth="1"/>
    <col min="4640" max="4640" width="8.5" style="230" customWidth="1"/>
    <col min="4641" max="4641" width="12.25" style="230" customWidth="1"/>
    <col min="4642" max="4642" width="13.125" style="230" customWidth="1"/>
    <col min="4643" max="4864" width="9" style="230"/>
    <col min="4865" max="4865" width="1" style="230" customWidth="1"/>
    <col min="4866" max="4866" width="5.125" style="230" customWidth="1"/>
    <col min="4867" max="4867" width="6.25" style="230" customWidth="1"/>
    <col min="4868" max="4868" width="16.75" style="230" bestFit="1" customWidth="1"/>
    <col min="4869" max="4869" width="2.5" style="230" customWidth="1"/>
    <col min="4870" max="4870" width="8.75" style="230" customWidth="1"/>
    <col min="4871" max="4871" width="5.5" style="230" customWidth="1"/>
    <col min="4872" max="4872" width="11.375" style="230" customWidth="1"/>
    <col min="4873" max="4873" width="5.5" style="230" customWidth="1"/>
    <col min="4874" max="4874" width="11.375" style="230" customWidth="1"/>
    <col min="4875" max="4875" width="2.5" style="230" customWidth="1"/>
    <col min="4876" max="4876" width="8.75" style="230" customWidth="1"/>
    <col min="4877" max="4877" width="2.5" style="230" customWidth="1"/>
    <col min="4878" max="4878" width="10.25" style="230" customWidth="1"/>
    <col min="4879" max="4879" width="2.5" style="230" customWidth="1"/>
    <col min="4880" max="4880" width="14.125" style="230" customWidth="1"/>
    <col min="4881" max="4884" width="8.75" style="230" customWidth="1"/>
    <col min="4885" max="4885" width="5.5" style="230" customWidth="1"/>
    <col min="4886" max="4886" width="10.5" style="230" customWidth="1"/>
    <col min="4887" max="4887" width="3.375" style="230" customWidth="1"/>
    <col min="4888" max="4888" width="9" style="230" customWidth="1"/>
    <col min="4889" max="4889" width="12.75" style="230" customWidth="1"/>
    <col min="4890" max="4890" width="8.5" style="230" customWidth="1"/>
    <col min="4891" max="4891" width="10.25" style="230" customWidth="1"/>
    <col min="4892" max="4892" width="11.875" style="230" customWidth="1"/>
    <col min="4893" max="4894" width="8.5" style="230" customWidth="1"/>
    <col min="4895" max="4895" width="11.125" style="230" customWidth="1"/>
    <col min="4896" max="4896" width="8.5" style="230" customWidth="1"/>
    <col min="4897" max="4897" width="12.25" style="230" customWidth="1"/>
    <col min="4898" max="4898" width="13.125" style="230" customWidth="1"/>
    <col min="4899" max="5120" width="9" style="230"/>
    <col min="5121" max="5121" width="1" style="230" customWidth="1"/>
    <col min="5122" max="5122" width="5.125" style="230" customWidth="1"/>
    <col min="5123" max="5123" width="6.25" style="230" customWidth="1"/>
    <col min="5124" max="5124" width="16.75" style="230" bestFit="1" customWidth="1"/>
    <col min="5125" max="5125" width="2.5" style="230" customWidth="1"/>
    <col min="5126" max="5126" width="8.75" style="230" customWidth="1"/>
    <col min="5127" max="5127" width="5.5" style="230" customWidth="1"/>
    <col min="5128" max="5128" width="11.375" style="230" customWidth="1"/>
    <col min="5129" max="5129" width="5.5" style="230" customWidth="1"/>
    <col min="5130" max="5130" width="11.375" style="230" customWidth="1"/>
    <col min="5131" max="5131" width="2.5" style="230" customWidth="1"/>
    <col min="5132" max="5132" width="8.75" style="230" customWidth="1"/>
    <col min="5133" max="5133" width="2.5" style="230" customWidth="1"/>
    <col min="5134" max="5134" width="10.25" style="230" customWidth="1"/>
    <col min="5135" max="5135" width="2.5" style="230" customWidth="1"/>
    <col min="5136" max="5136" width="14.125" style="230" customWidth="1"/>
    <col min="5137" max="5140" width="8.75" style="230" customWidth="1"/>
    <col min="5141" max="5141" width="5.5" style="230" customWidth="1"/>
    <col min="5142" max="5142" width="10.5" style="230" customWidth="1"/>
    <col min="5143" max="5143" width="3.375" style="230" customWidth="1"/>
    <col min="5144" max="5144" width="9" style="230" customWidth="1"/>
    <col min="5145" max="5145" width="12.75" style="230" customWidth="1"/>
    <col min="5146" max="5146" width="8.5" style="230" customWidth="1"/>
    <col min="5147" max="5147" width="10.25" style="230" customWidth="1"/>
    <col min="5148" max="5148" width="11.875" style="230" customWidth="1"/>
    <col min="5149" max="5150" width="8.5" style="230" customWidth="1"/>
    <col min="5151" max="5151" width="11.125" style="230" customWidth="1"/>
    <col min="5152" max="5152" width="8.5" style="230" customWidth="1"/>
    <col min="5153" max="5153" width="12.25" style="230" customWidth="1"/>
    <col min="5154" max="5154" width="13.125" style="230" customWidth="1"/>
    <col min="5155" max="5376" width="9" style="230"/>
    <col min="5377" max="5377" width="1" style="230" customWidth="1"/>
    <col min="5378" max="5378" width="5.125" style="230" customWidth="1"/>
    <col min="5379" max="5379" width="6.25" style="230" customWidth="1"/>
    <col min="5380" max="5380" width="16.75" style="230" bestFit="1" customWidth="1"/>
    <col min="5381" max="5381" width="2.5" style="230" customWidth="1"/>
    <col min="5382" max="5382" width="8.75" style="230" customWidth="1"/>
    <col min="5383" max="5383" width="5.5" style="230" customWidth="1"/>
    <col min="5384" max="5384" width="11.375" style="230" customWidth="1"/>
    <col min="5385" max="5385" width="5.5" style="230" customWidth="1"/>
    <col min="5386" max="5386" width="11.375" style="230" customWidth="1"/>
    <col min="5387" max="5387" width="2.5" style="230" customWidth="1"/>
    <col min="5388" max="5388" width="8.75" style="230" customWidth="1"/>
    <col min="5389" max="5389" width="2.5" style="230" customWidth="1"/>
    <col min="5390" max="5390" width="10.25" style="230" customWidth="1"/>
    <col min="5391" max="5391" width="2.5" style="230" customWidth="1"/>
    <col min="5392" max="5392" width="14.125" style="230" customWidth="1"/>
    <col min="5393" max="5396" width="8.75" style="230" customWidth="1"/>
    <col min="5397" max="5397" width="5.5" style="230" customWidth="1"/>
    <col min="5398" max="5398" width="10.5" style="230" customWidth="1"/>
    <col min="5399" max="5399" width="3.375" style="230" customWidth="1"/>
    <col min="5400" max="5400" width="9" style="230" customWidth="1"/>
    <col min="5401" max="5401" width="12.75" style="230" customWidth="1"/>
    <col min="5402" max="5402" width="8.5" style="230" customWidth="1"/>
    <col min="5403" max="5403" width="10.25" style="230" customWidth="1"/>
    <col min="5404" max="5404" width="11.875" style="230" customWidth="1"/>
    <col min="5405" max="5406" width="8.5" style="230" customWidth="1"/>
    <col min="5407" max="5407" width="11.125" style="230" customWidth="1"/>
    <col min="5408" max="5408" width="8.5" style="230" customWidth="1"/>
    <col min="5409" max="5409" width="12.25" style="230" customWidth="1"/>
    <col min="5410" max="5410" width="13.125" style="230" customWidth="1"/>
    <col min="5411" max="5632" width="9" style="230"/>
    <col min="5633" max="5633" width="1" style="230" customWidth="1"/>
    <col min="5634" max="5634" width="5.125" style="230" customWidth="1"/>
    <col min="5635" max="5635" width="6.25" style="230" customWidth="1"/>
    <col min="5636" max="5636" width="16.75" style="230" bestFit="1" customWidth="1"/>
    <col min="5637" max="5637" width="2.5" style="230" customWidth="1"/>
    <col min="5638" max="5638" width="8.75" style="230" customWidth="1"/>
    <col min="5639" max="5639" width="5.5" style="230" customWidth="1"/>
    <col min="5640" max="5640" width="11.375" style="230" customWidth="1"/>
    <col min="5641" max="5641" width="5.5" style="230" customWidth="1"/>
    <col min="5642" max="5642" width="11.375" style="230" customWidth="1"/>
    <col min="5643" max="5643" width="2.5" style="230" customWidth="1"/>
    <col min="5644" max="5644" width="8.75" style="230" customWidth="1"/>
    <col min="5645" max="5645" width="2.5" style="230" customWidth="1"/>
    <col min="5646" max="5646" width="10.25" style="230" customWidth="1"/>
    <col min="5647" max="5647" width="2.5" style="230" customWidth="1"/>
    <col min="5648" max="5648" width="14.125" style="230" customWidth="1"/>
    <col min="5649" max="5652" width="8.75" style="230" customWidth="1"/>
    <col min="5653" max="5653" width="5.5" style="230" customWidth="1"/>
    <col min="5654" max="5654" width="10.5" style="230" customWidth="1"/>
    <col min="5655" max="5655" width="3.375" style="230" customWidth="1"/>
    <col min="5656" max="5656" width="9" style="230" customWidth="1"/>
    <col min="5657" max="5657" width="12.75" style="230" customWidth="1"/>
    <col min="5658" max="5658" width="8.5" style="230" customWidth="1"/>
    <col min="5659" max="5659" width="10.25" style="230" customWidth="1"/>
    <col min="5660" max="5660" width="11.875" style="230" customWidth="1"/>
    <col min="5661" max="5662" width="8.5" style="230" customWidth="1"/>
    <col min="5663" max="5663" width="11.125" style="230" customWidth="1"/>
    <col min="5664" max="5664" width="8.5" style="230" customWidth="1"/>
    <col min="5665" max="5665" width="12.25" style="230" customWidth="1"/>
    <col min="5666" max="5666" width="13.125" style="230" customWidth="1"/>
    <col min="5667" max="5888" width="9" style="230"/>
    <col min="5889" max="5889" width="1" style="230" customWidth="1"/>
    <col min="5890" max="5890" width="5.125" style="230" customWidth="1"/>
    <col min="5891" max="5891" width="6.25" style="230" customWidth="1"/>
    <col min="5892" max="5892" width="16.75" style="230" bestFit="1" customWidth="1"/>
    <col min="5893" max="5893" width="2.5" style="230" customWidth="1"/>
    <col min="5894" max="5894" width="8.75" style="230" customWidth="1"/>
    <col min="5895" max="5895" width="5.5" style="230" customWidth="1"/>
    <col min="5896" max="5896" width="11.375" style="230" customWidth="1"/>
    <col min="5897" max="5897" width="5.5" style="230" customWidth="1"/>
    <col min="5898" max="5898" width="11.375" style="230" customWidth="1"/>
    <col min="5899" max="5899" width="2.5" style="230" customWidth="1"/>
    <col min="5900" max="5900" width="8.75" style="230" customWidth="1"/>
    <col min="5901" max="5901" width="2.5" style="230" customWidth="1"/>
    <col min="5902" max="5902" width="10.25" style="230" customWidth="1"/>
    <col min="5903" max="5903" width="2.5" style="230" customWidth="1"/>
    <col min="5904" max="5904" width="14.125" style="230" customWidth="1"/>
    <col min="5905" max="5908" width="8.75" style="230" customWidth="1"/>
    <col min="5909" max="5909" width="5.5" style="230" customWidth="1"/>
    <col min="5910" max="5910" width="10.5" style="230" customWidth="1"/>
    <col min="5911" max="5911" width="3.375" style="230" customWidth="1"/>
    <col min="5912" max="5912" width="9" style="230" customWidth="1"/>
    <col min="5913" max="5913" width="12.75" style="230" customWidth="1"/>
    <col min="5914" max="5914" width="8.5" style="230" customWidth="1"/>
    <col min="5915" max="5915" width="10.25" style="230" customWidth="1"/>
    <col min="5916" max="5916" width="11.875" style="230" customWidth="1"/>
    <col min="5917" max="5918" width="8.5" style="230" customWidth="1"/>
    <col min="5919" max="5919" width="11.125" style="230" customWidth="1"/>
    <col min="5920" max="5920" width="8.5" style="230" customWidth="1"/>
    <col min="5921" max="5921" width="12.25" style="230" customWidth="1"/>
    <col min="5922" max="5922" width="13.125" style="230" customWidth="1"/>
    <col min="5923" max="6144" width="9" style="230"/>
    <col min="6145" max="6145" width="1" style="230" customWidth="1"/>
    <col min="6146" max="6146" width="5.125" style="230" customWidth="1"/>
    <col min="6147" max="6147" width="6.25" style="230" customWidth="1"/>
    <col min="6148" max="6148" width="16.75" style="230" bestFit="1" customWidth="1"/>
    <col min="6149" max="6149" width="2.5" style="230" customWidth="1"/>
    <col min="6150" max="6150" width="8.75" style="230" customWidth="1"/>
    <col min="6151" max="6151" width="5.5" style="230" customWidth="1"/>
    <col min="6152" max="6152" width="11.375" style="230" customWidth="1"/>
    <col min="6153" max="6153" width="5.5" style="230" customWidth="1"/>
    <col min="6154" max="6154" width="11.375" style="230" customWidth="1"/>
    <col min="6155" max="6155" width="2.5" style="230" customWidth="1"/>
    <col min="6156" max="6156" width="8.75" style="230" customWidth="1"/>
    <col min="6157" max="6157" width="2.5" style="230" customWidth="1"/>
    <col min="6158" max="6158" width="10.25" style="230" customWidth="1"/>
    <col min="6159" max="6159" width="2.5" style="230" customWidth="1"/>
    <col min="6160" max="6160" width="14.125" style="230" customWidth="1"/>
    <col min="6161" max="6164" width="8.75" style="230" customWidth="1"/>
    <col min="6165" max="6165" width="5.5" style="230" customWidth="1"/>
    <col min="6166" max="6166" width="10.5" style="230" customWidth="1"/>
    <col min="6167" max="6167" width="3.375" style="230" customWidth="1"/>
    <col min="6168" max="6168" width="9" style="230" customWidth="1"/>
    <col min="6169" max="6169" width="12.75" style="230" customWidth="1"/>
    <col min="6170" max="6170" width="8.5" style="230" customWidth="1"/>
    <col min="6171" max="6171" width="10.25" style="230" customWidth="1"/>
    <col min="6172" max="6172" width="11.875" style="230" customWidth="1"/>
    <col min="6173" max="6174" width="8.5" style="230" customWidth="1"/>
    <col min="6175" max="6175" width="11.125" style="230" customWidth="1"/>
    <col min="6176" max="6176" width="8.5" style="230" customWidth="1"/>
    <col min="6177" max="6177" width="12.25" style="230" customWidth="1"/>
    <col min="6178" max="6178" width="13.125" style="230" customWidth="1"/>
    <col min="6179" max="6400" width="9" style="230"/>
    <col min="6401" max="6401" width="1" style="230" customWidth="1"/>
    <col min="6402" max="6402" width="5.125" style="230" customWidth="1"/>
    <col min="6403" max="6403" width="6.25" style="230" customWidth="1"/>
    <col min="6404" max="6404" width="16.75" style="230" bestFit="1" customWidth="1"/>
    <col min="6405" max="6405" width="2.5" style="230" customWidth="1"/>
    <col min="6406" max="6406" width="8.75" style="230" customWidth="1"/>
    <col min="6407" max="6407" width="5.5" style="230" customWidth="1"/>
    <col min="6408" max="6408" width="11.375" style="230" customWidth="1"/>
    <col min="6409" max="6409" width="5.5" style="230" customWidth="1"/>
    <col min="6410" max="6410" width="11.375" style="230" customWidth="1"/>
    <col min="6411" max="6411" width="2.5" style="230" customWidth="1"/>
    <col min="6412" max="6412" width="8.75" style="230" customWidth="1"/>
    <col min="6413" max="6413" width="2.5" style="230" customWidth="1"/>
    <col min="6414" max="6414" width="10.25" style="230" customWidth="1"/>
    <col min="6415" max="6415" width="2.5" style="230" customWidth="1"/>
    <col min="6416" max="6416" width="14.125" style="230" customWidth="1"/>
    <col min="6417" max="6420" width="8.75" style="230" customWidth="1"/>
    <col min="6421" max="6421" width="5.5" style="230" customWidth="1"/>
    <col min="6422" max="6422" width="10.5" style="230" customWidth="1"/>
    <col min="6423" max="6423" width="3.375" style="230" customWidth="1"/>
    <col min="6424" max="6424" width="9" style="230" customWidth="1"/>
    <col min="6425" max="6425" width="12.75" style="230" customWidth="1"/>
    <col min="6426" max="6426" width="8.5" style="230" customWidth="1"/>
    <col min="6427" max="6427" width="10.25" style="230" customWidth="1"/>
    <col min="6428" max="6428" width="11.875" style="230" customWidth="1"/>
    <col min="6429" max="6430" width="8.5" style="230" customWidth="1"/>
    <col min="6431" max="6431" width="11.125" style="230" customWidth="1"/>
    <col min="6432" max="6432" width="8.5" style="230" customWidth="1"/>
    <col min="6433" max="6433" width="12.25" style="230" customWidth="1"/>
    <col min="6434" max="6434" width="13.125" style="230" customWidth="1"/>
    <col min="6435" max="6656" width="9" style="230"/>
    <col min="6657" max="6657" width="1" style="230" customWidth="1"/>
    <col min="6658" max="6658" width="5.125" style="230" customWidth="1"/>
    <col min="6659" max="6659" width="6.25" style="230" customWidth="1"/>
    <col min="6660" max="6660" width="16.75" style="230" bestFit="1" customWidth="1"/>
    <col min="6661" max="6661" width="2.5" style="230" customWidth="1"/>
    <col min="6662" max="6662" width="8.75" style="230" customWidth="1"/>
    <col min="6663" max="6663" width="5.5" style="230" customWidth="1"/>
    <col min="6664" max="6664" width="11.375" style="230" customWidth="1"/>
    <col min="6665" max="6665" width="5.5" style="230" customWidth="1"/>
    <col min="6666" max="6666" width="11.375" style="230" customWidth="1"/>
    <col min="6667" max="6667" width="2.5" style="230" customWidth="1"/>
    <col min="6668" max="6668" width="8.75" style="230" customWidth="1"/>
    <col min="6669" max="6669" width="2.5" style="230" customWidth="1"/>
    <col min="6670" max="6670" width="10.25" style="230" customWidth="1"/>
    <col min="6671" max="6671" width="2.5" style="230" customWidth="1"/>
    <col min="6672" max="6672" width="14.125" style="230" customWidth="1"/>
    <col min="6673" max="6676" width="8.75" style="230" customWidth="1"/>
    <col min="6677" max="6677" width="5.5" style="230" customWidth="1"/>
    <col min="6678" max="6678" width="10.5" style="230" customWidth="1"/>
    <col min="6679" max="6679" width="3.375" style="230" customWidth="1"/>
    <col min="6680" max="6680" width="9" style="230" customWidth="1"/>
    <col min="6681" max="6681" width="12.75" style="230" customWidth="1"/>
    <col min="6682" max="6682" width="8.5" style="230" customWidth="1"/>
    <col min="6683" max="6683" width="10.25" style="230" customWidth="1"/>
    <col min="6684" max="6684" width="11.875" style="230" customWidth="1"/>
    <col min="6685" max="6686" width="8.5" style="230" customWidth="1"/>
    <col min="6687" max="6687" width="11.125" style="230" customWidth="1"/>
    <col min="6688" max="6688" width="8.5" style="230" customWidth="1"/>
    <col min="6689" max="6689" width="12.25" style="230" customWidth="1"/>
    <col min="6690" max="6690" width="13.125" style="230" customWidth="1"/>
    <col min="6691" max="6912" width="9" style="230"/>
    <col min="6913" max="6913" width="1" style="230" customWidth="1"/>
    <col min="6914" max="6914" width="5.125" style="230" customWidth="1"/>
    <col min="6915" max="6915" width="6.25" style="230" customWidth="1"/>
    <col min="6916" max="6916" width="16.75" style="230" bestFit="1" customWidth="1"/>
    <col min="6917" max="6917" width="2.5" style="230" customWidth="1"/>
    <col min="6918" max="6918" width="8.75" style="230" customWidth="1"/>
    <col min="6919" max="6919" width="5.5" style="230" customWidth="1"/>
    <col min="6920" max="6920" width="11.375" style="230" customWidth="1"/>
    <col min="6921" max="6921" width="5.5" style="230" customWidth="1"/>
    <col min="6922" max="6922" width="11.375" style="230" customWidth="1"/>
    <col min="6923" max="6923" width="2.5" style="230" customWidth="1"/>
    <col min="6924" max="6924" width="8.75" style="230" customWidth="1"/>
    <col min="6925" max="6925" width="2.5" style="230" customWidth="1"/>
    <col min="6926" max="6926" width="10.25" style="230" customWidth="1"/>
    <col min="6927" max="6927" width="2.5" style="230" customWidth="1"/>
    <col min="6928" max="6928" width="14.125" style="230" customWidth="1"/>
    <col min="6929" max="6932" width="8.75" style="230" customWidth="1"/>
    <col min="6933" max="6933" width="5.5" style="230" customWidth="1"/>
    <col min="6934" max="6934" width="10.5" style="230" customWidth="1"/>
    <col min="6935" max="6935" width="3.375" style="230" customWidth="1"/>
    <col min="6936" max="6936" width="9" style="230" customWidth="1"/>
    <col min="6937" max="6937" width="12.75" style="230" customWidth="1"/>
    <col min="6938" max="6938" width="8.5" style="230" customWidth="1"/>
    <col min="6939" max="6939" width="10.25" style="230" customWidth="1"/>
    <col min="6940" max="6940" width="11.875" style="230" customWidth="1"/>
    <col min="6941" max="6942" width="8.5" style="230" customWidth="1"/>
    <col min="6943" max="6943" width="11.125" style="230" customWidth="1"/>
    <col min="6944" max="6944" width="8.5" style="230" customWidth="1"/>
    <col min="6945" max="6945" width="12.25" style="230" customWidth="1"/>
    <col min="6946" max="6946" width="13.125" style="230" customWidth="1"/>
    <col min="6947" max="7168" width="9" style="230"/>
    <col min="7169" max="7169" width="1" style="230" customWidth="1"/>
    <col min="7170" max="7170" width="5.125" style="230" customWidth="1"/>
    <col min="7171" max="7171" width="6.25" style="230" customWidth="1"/>
    <col min="7172" max="7172" width="16.75" style="230" bestFit="1" customWidth="1"/>
    <col min="7173" max="7173" width="2.5" style="230" customWidth="1"/>
    <col min="7174" max="7174" width="8.75" style="230" customWidth="1"/>
    <col min="7175" max="7175" width="5.5" style="230" customWidth="1"/>
    <col min="7176" max="7176" width="11.375" style="230" customWidth="1"/>
    <col min="7177" max="7177" width="5.5" style="230" customWidth="1"/>
    <col min="7178" max="7178" width="11.375" style="230" customWidth="1"/>
    <col min="7179" max="7179" width="2.5" style="230" customWidth="1"/>
    <col min="7180" max="7180" width="8.75" style="230" customWidth="1"/>
    <col min="7181" max="7181" width="2.5" style="230" customWidth="1"/>
    <col min="7182" max="7182" width="10.25" style="230" customWidth="1"/>
    <col min="7183" max="7183" width="2.5" style="230" customWidth="1"/>
    <col min="7184" max="7184" width="14.125" style="230" customWidth="1"/>
    <col min="7185" max="7188" width="8.75" style="230" customWidth="1"/>
    <col min="7189" max="7189" width="5.5" style="230" customWidth="1"/>
    <col min="7190" max="7190" width="10.5" style="230" customWidth="1"/>
    <col min="7191" max="7191" width="3.375" style="230" customWidth="1"/>
    <col min="7192" max="7192" width="9" style="230" customWidth="1"/>
    <col min="7193" max="7193" width="12.75" style="230" customWidth="1"/>
    <col min="7194" max="7194" width="8.5" style="230" customWidth="1"/>
    <col min="7195" max="7195" width="10.25" style="230" customWidth="1"/>
    <col min="7196" max="7196" width="11.875" style="230" customWidth="1"/>
    <col min="7197" max="7198" width="8.5" style="230" customWidth="1"/>
    <col min="7199" max="7199" width="11.125" style="230" customWidth="1"/>
    <col min="7200" max="7200" width="8.5" style="230" customWidth="1"/>
    <col min="7201" max="7201" width="12.25" style="230" customWidth="1"/>
    <col min="7202" max="7202" width="13.125" style="230" customWidth="1"/>
    <col min="7203" max="7424" width="9" style="230"/>
    <col min="7425" max="7425" width="1" style="230" customWidth="1"/>
    <col min="7426" max="7426" width="5.125" style="230" customWidth="1"/>
    <col min="7427" max="7427" width="6.25" style="230" customWidth="1"/>
    <col min="7428" max="7428" width="16.75" style="230" bestFit="1" customWidth="1"/>
    <col min="7429" max="7429" width="2.5" style="230" customWidth="1"/>
    <col min="7430" max="7430" width="8.75" style="230" customWidth="1"/>
    <col min="7431" max="7431" width="5.5" style="230" customWidth="1"/>
    <col min="7432" max="7432" width="11.375" style="230" customWidth="1"/>
    <col min="7433" max="7433" width="5.5" style="230" customWidth="1"/>
    <col min="7434" max="7434" width="11.375" style="230" customWidth="1"/>
    <col min="7435" max="7435" width="2.5" style="230" customWidth="1"/>
    <col min="7436" max="7436" width="8.75" style="230" customWidth="1"/>
    <col min="7437" max="7437" width="2.5" style="230" customWidth="1"/>
    <col min="7438" max="7438" width="10.25" style="230" customWidth="1"/>
    <col min="7439" max="7439" width="2.5" style="230" customWidth="1"/>
    <col min="7440" max="7440" width="14.125" style="230" customWidth="1"/>
    <col min="7441" max="7444" width="8.75" style="230" customWidth="1"/>
    <col min="7445" max="7445" width="5.5" style="230" customWidth="1"/>
    <col min="7446" max="7446" width="10.5" style="230" customWidth="1"/>
    <col min="7447" max="7447" width="3.375" style="230" customWidth="1"/>
    <col min="7448" max="7448" width="9" style="230" customWidth="1"/>
    <col min="7449" max="7449" width="12.75" style="230" customWidth="1"/>
    <col min="7450" max="7450" width="8.5" style="230" customWidth="1"/>
    <col min="7451" max="7451" width="10.25" style="230" customWidth="1"/>
    <col min="7452" max="7452" width="11.875" style="230" customWidth="1"/>
    <col min="7453" max="7454" width="8.5" style="230" customWidth="1"/>
    <col min="7455" max="7455" width="11.125" style="230" customWidth="1"/>
    <col min="7456" max="7456" width="8.5" style="230" customWidth="1"/>
    <col min="7457" max="7457" width="12.25" style="230" customWidth="1"/>
    <col min="7458" max="7458" width="13.125" style="230" customWidth="1"/>
    <col min="7459" max="7680" width="9" style="230"/>
    <col min="7681" max="7681" width="1" style="230" customWidth="1"/>
    <col min="7682" max="7682" width="5.125" style="230" customWidth="1"/>
    <col min="7683" max="7683" width="6.25" style="230" customWidth="1"/>
    <col min="7684" max="7684" width="16.75" style="230" bestFit="1" customWidth="1"/>
    <col min="7685" max="7685" width="2.5" style="230" customWidth="1"/>
    <col min="7686" max="7686" width="8.75" style="230" customWidth="1"/>
    <col min="7687" max="7687" width="5.5" style="230" customWidth="1"/>
    <col min="7688" max="7688" width="11.375" style="230" customWidth="1"/>
    <col min="7689" max="7689" width="5.5" style="230" customWidth="1"/>
    <col min="7690" max="7690" width="11.375" style="230" customWidth="1"/>
    <col min="7691" max="7691" width="2.5" style="230" customWidth="1"/>
    <col min="7692" max="7692" width="8.75" style="230" customWidth="1"/>
    <col min="7693" max="7693" width="2.5" style="230" customWidth="1"/>
    <col min="7694" max="7694" width="10.25" style="230" customWidth="1"/>
    <col min="7695" max="7695" width="2.5" style="230" customWidth="1"/>
    <col min="7696" max="7696" width="14.125" style="230" customWidth="1"/>
    <col min="7697" max="7700" width="8.75" style="230" customWidth="1"/>
    <col min="7701" max="7701" width="5.5" style="230" customWidth="1"/>
    <col min="7702" max="7702" width="10.5" style="230" customWidth="1"/>
    <col min="7703" max="7703" width="3.375" style="230" customWidth="1"/>
    <col min="7704" max="7704" width="9" style="230" customWidth="1"/>
    <col min="7705" max="7705" width="12.75" style="230" customWidth="1"/>
    <col min="7706" max="7706" width="8.5" style="230" customWidth="1"/>
    <col min="7707" max="7707" width="10.25" style="230" customWidth="1"/>
    <col min="7708" max="7708" width="11.875" style="230" customWidth="1"/>
    <col min="7709" max="7710" width="8.5" style="230" customWidth="1"/>
    <col min="7711" max="7711" width="11.125" style="230" customWidth="1"/>
    <col min="7712" max="7712" width="8.5" style="230" customWidth="1"/>
    <col min="7713" max="7713" width="12.25" style="230" customWidth="1"/>
    <col min="7714" max="7714" width="13.125" style="230" customWidth="1"/>
    <col min="7715" max="7936" width="9" style="230"/>
    <col min="7937" max="7937" width="1" style="230" customWidth="1"/>
    <col min="7938" max="7938" width="5.125" style="230" customWidth="1"/>
    <col min="7939" max="7939" width="6.25" style="230" customWidth="1"/>
    <col min="7940" max="7940" width="16.75" style="230" bestFit="1" customWidth="1"/>
    <col min="7941" max="7941" width="2.5" style="230" customWidth="1"/>
    <col min="7942" max="7942" width="8.75" style="230" customWidth="1"/>
    <col min="7943" max="7943" width="5.5" style="230" customWidth="1"/>
    <col min="7944" max="7944" width="11.375" style="230" customWidth="1"/>
    <col min="7945" max="7945" width="5.5" style="230" customWidth="1"/>
    <col min="7946" max="7946" width="11.375" style="230" customWidth="1"/>
    <col min="7947" max="7947" width="2.5" style="230" customWidth="1"/>
    <col min="7948" max="7948" width="8.75" style="230" customWidth="1"/>
    <col min="7949" max="7949" width="2.5" style="230" customWidth="1"/>
    <col min="7950" max="7950" width="10.25" style="230" customWidth="1"/>
    <col min="7951" max="7951" width="2.5" style="230" customWidth="1"/>
    <col min="7952" max="7952" width="14.125" style="230" customWidth="1"/>
    <col min="7953" max="7956" width="8.75" style="230" customWidth="1"/>
    <col min="7957" max="7957" width="5.5" style="230" customWidth="1"/>
    <col min="7958" max="7958" width="10.5" style="230" customWidth="1"/>
    <col min="7959" max="7959" width="3.375" style="230" customWidth="1"/>
    <col min="7960" max="7960" width="9" style="230" customWidth="1"/>
    <col min="7961" max="7961" width="12.75" style="230" customWidth="1"/>
    <col min="7962" max="7962" width="8.5" style="230" customWidth="1"/>
    <col min="7963" max="7963" width="10.25" style="230" customWidth="1"/>
    <col min="7964" max="7964" width="11.875" style="230" customWidth="1"/>
    <col min="7965" max="7966" width="8.5" style="230" customWidth="1"/>
    <col min="7967" max="7967" width="11.125" style="230" customWidth="1"/>
    <col min="7968" max="7968" width="8.5" style="230" customWidth="1"/>
    <col min="7969" max="7969" width="12.25" style="230" customWidth="1"/>
    <col min="7970" max="7970" width="13.125" style="230" customWidth="1"/>
    <col min="7971" max="8192" width="9" style="230"/>
    <col min="8193" max="8193" width="1" style="230" customWidth="1"/>
    <col min="8194" max="8194" width="5.125" style="230" customWidth="1"/>
    <col min="8195" max="8195" width="6.25" style="230" customWidth="1"/>
    <col min="8196" max="8196" width="16.75" style="230" bestFit="1" customWidth="1"/>
    <col min="8197" max="8197" width="2.5" style="230" customWidth="1"/>
    <col min="8198" max="8198" width="8.75" style="230" customWidth="1"/>
    <col min="8199" max="8199" width="5.5" style="230" customWidth="1"/>
    <col min="8200" max="8200" width="11.375" style="230" customWidth="1"/>
    <col min="8201" max="8201" width="5.5" style="230" customWidth="1"/>
    <col min="8202" max="8202" width="11.375" style="230" customWidth="1"/>
    <col min="8203" max="8203" width="2.5" style="230" customWidth="1"/>
    <col min="8204" max="8204" width="8.75" style="230" customWidth="1"/>
    <col min="8205" max="8205" width="2.5" style="230" customWidth="1"/>
    <col min="8206" max="8206" width="10.25" style="230" customWidth="1"/>
    <col min="8207" max="8207" width="2.5" style="230" customWidth="1"/>
    <col min="8208" max="8208" width="14.125" style="230" customWidth="1"/>
    <col min="8209" max="8212" width="8.75" style="230" customWidth="1"/>
    <col min="8213" max="8213" width="5.5" style="230" customWidth="1"/>
    <col min="8214" max="8214" width="10.5" style="230" customWidth="1"/>
    <col min="8215" max="8215" width="3.375" style="230" customWidth="1"/>
    <col min="8216" max="8216" width="9" style="230" customWidth="1"/>
    <col min="8217" max="8217" width="12.75" style="230" customWidth="1"/>
    <col min="8218" max="8218" width="8.5" style="230" customWidth="1"/>
    <col min="8219" max="8219" width="10.25" style="230" customWidth="1"/>
    <col min="8220" max="8220" width="11.875" style="230" customWidth="1"/>
    <col min="8221" max="8222" width="8.5" style="230" customWidth="1"/>
    <col min="8223" max="8223" width="11.125" style="230" customWidth="1"/>
    <col min="8224" max="8224" width="8.5" style="230" customWidth="1"/>
    <col min="8225" max="8225" width="12.25" style="230" customWidth="1"/>
    <col min="8226" max="8226" width="13.125" style="230" customWidth="1"/>
    <col min="8227" max="8448" width="9" style="230"/>
    <col min="8449" max="8449" width="1" style="230" customWidth="1"/>
    <col min="8450" max="8450" width="5.125" style="230" customWidth="1"/>
    <col min="8451" max="8451" width="6.25" style="230" customWidth="1"/>
    <col min="8452" max="8452" width="16.75" style="230" bestFit="1" customWidth="1"/>
    <col min="8453" max="8453" width="2.5" style="230" customWidth="1"/>
    <col min="8454" max="8454" width="8.75" style="230" customWidth="1"/>
    <col min="8455" max="8455" width="5.5" style="230" customWidth="1"/>
    <col min="8456" max="8456" width="11.375" style="230" customWidth="1"/>
    <col min="8457" max="8457" width="5.5" style="230" customWidth="1"/>
    <col min="8458" max="8458" width="11.375" style="230" customWidth="1"/>
    <col min="8459" max="8459" width="2.5" style="230" customWidth="1"/>
    <col min="8460" max="8460" width="8.75" style="230" customWidth="1"/>
    <col min="8461" max="8461" width="2.5" style="230" customWidth="1"/>
    <col min="8462" max="8462" width="10.25" style="230" customWidth="1"/>
    <col min="8463" max="8463" width="2.5" style="230" customWidth="1"/>
    <col min="8464" max="8464" width="14.125" style="230" customWidth="1"/>
    <col min="8465" max="8468" width="8.75" style="230" customWidth="1"/>
    <col min="8469" max="8469" width="5.5" style="230" customWidth="1"/>
    <col min="8470" max="8470" width="10.5" style="230" customWidth="1"/>
    <col min="8471" max="8471" width="3.375" style="230" customWidth="1"/>
    <col min="8472" max="8472" width="9" style="230" customWidth="1"/>
    <col min="8473" max="8473" width="12.75" style="230" customWidth="1"/>
    <col min="8474" max="8474" width="8.5" style="230" customWidth="1"/>
    <col min="8475" max="8475" width="10.25" style="230" customWidth="1"/>
    <col min="8476" max="8476" width="11.875" style="230" customWidth="1"/>
    <col min="8477" max="8478" width="8.5" style="230" customWidth="1"/>
    <col min="8479" max="8479" width="11.125" style="230" customWidth="1"/>
    <col min="8480" max="8480" width="8.5" style="230" customWidth="1"/>
    <col min="8481" max="8481" width="12.25" style="230" customWidth="1"/>
    <col min="8482" max="8482" width="13.125" style="230" customWidth="1"/>
    <col min="8483" max="8704" width="9" style="230"/>
    <col min="8705" max="8705" width="1" style="230" customWidth="1"/>
    <col min="8706" max="8706" width="5.125" style="230" customWidth="1"/>
    <col min="8707" max="8707" width="6.25" style="230" customWidth="1"/>
    <col min="8708" max="8708" width="16.75" style="230" bestFit="1" customWidth="1"/>
    <col min="8709" max="8709" width="2.5" style="230" customWidth="1"/>
    <col min="8710" max="8710" width="8.75" style="230" customWidth="1"/>
    <col min="8711" max="8711" width="5.5" style="230" customWidth="1"/>
    <col min="8712" max="8712" width="11.375" style="230" customWidth="1"/>
    <col min="8713" max="8713" width="5.5" style="230" customWidth="1"/>
    <col min="8714" max="8714" width="11.375" style="230" customWidth="1"/>
    <col min="8715" max="8715" width="2.5" style="230" customWidth="1"/>
    <col min="8716" max="8716" width="8.75" style="230" customWidth="1"/>
    <col min="8717" max="8717" width="2.5" style="230" customWidth="1"/>
    <col min="8718" max="8718" width="10.25" style="230" customWidth="1"/>
    <col min="8719" max="8719" width="2.5" style="230" customWidth="1"/>
    <col min="8720" max="8720" width="14.125" style="230" customWidth="1"/>
    <col min="8721" max="8724" width="8.75" style="230" customWidth="1"/>
    <col min="8725" max="8725" width="5.5" style="230" customWidth="1"/>
    <col min="8726" max="8726" width="10.5" style="230" customWidth="1"/>
    <col min="8727" max="8727" width="3.375" style="230" customWidth="1"/>
    <col min="8728" max="8728" width="9" style="230" customWidth="1"/>
    <col min="8729" max="8729" width="12.75" style="230" customWidth="1"/>
    <col min="8730" max="8730" width="8.5" style="230" customWidth="1"/>
    <col min="8731" max="8731" width="10.25" style="230" customWidth="1"/>
    <col min="8732" max="8732" width="11.875" style="230" customWidth="1"/>
    <col min="8733" max="8734" width="8.5" style="230" customWidth="1"/>
    <col min="8735" max="8735" width="11.125" style="230" customWidth="1"/>
    <col min="8736" max="8736" width="8.5" style="230" customWidth="1"/>
    <col min="8737" max="8737" width="12.25" style="230" customWidth="1"/>
    <col min="8738" max="8738" width="13.125" style="230" customWidth="1"/>
    <col min="8739" max="8960" width="9" style="230"/>
    <col min="8961" max="8961" width="1" style="230" customWidth="1"/>
    <col min="8962" max="8962" width="5.125" style="230" customWidth="1"/>
    <col min="8963" max="8963" width="6.25" style="230" customWidth="1"/>
    <col min="8964" max="8964" width="16.75" style="230" bestFit="1" customWidth="1"/>
    <col min="8965" max="8965" width="2.5" style="230" customWidth="1"/>
    <col min="8966" max="8966" width="8.75" style="230" customWidth="1"/>
    <col min="8967" max="8967" width="5.5" style="230" customWidth="1"/>
    <col min="8968" max="8968" width="11.375" style="230" customWidth="1"/>
    <col min="8969" max="8969" width="5.5" style="230" customWidth="1"/>
    <col min="8970" max="8970" width="11.375" style="230" customWidth="1"/>
    <col min="8971" max="8971" width="2.5" style="230" customWidth="1"/>
    <col min="8972" max="8972" width="8.75" style="230" customWidth="1"/>
    <col min="8973" max="8973" width="2.5" style="230" customWidth="1"/>
    <col min="8974" max="8974" width="10.25" style="230" customWidth="1"/>
    <col min="8975" max="8975" width="2.5" style="230" customWidth="1"/>
    <col min="8976" max="8976" width="14.125" style="230" customWidth="1"/>
    <col min="8977" max="8980" width="8.75" style="230" customWidth="1"/>
    <col min="8981" max="8981" width="5.5" style="230" customWidth="1"/>
    <col min="8982" max="8982" width="10.5" style="230" customWidth="1"/>
    <col min="8983" max="8983" width="3.375" style="230" customWidth="1"/>
    <col min="8984" max="8984" width="9" style="230" customWidth="1"/>
    <col min="8985" max="8985" width="12.75" style="230" customWidth="1"/>
    <col min="8986" max="8986" width="8.5" style="230" customWidth="1"/>
    <col min="8987" max="8987" width="10.25" style="230" customWidth="1"/>
    <col min="8988" max="8988" width="11.875" style="230" customWidth="1"/>
    <col min="8989" max="8990" width="8.5" style="230" customWidth="1"/>
    <col min="8991" max="8991" width="11.125" style="230" customWidth="1"/>
    <col min="8992" max="8992" width="8.5" style="230" customWidth="1"/>
    <col min="8993" max="8993" width="12.25" style="230" customWidth="1"/>
    <col min="8994" max="8994" width="13.125" style="230" customWidth="1"/>
    <col min="8995" max="9216" width="9" style="230"/>
    <col min="9217" max="9217" width="1" style="230" customWidth="1"/>
    <col min="9218" max="9218" width="5.125" style="230" customWidth="1"/>
    <col min="9219" max="9219" width="6.25" style="230" customWidth="1"/>
    <col min="9220" max="9220" width="16.75" style="230" bestFit="1" customWidth="1"/>
    <col min="9221" max="9221" width="2.5" style="230" customWidth="1"/>
    <col min="9222" max="9222" width="8.75" style="230" customWidth="1"/>
    <col min="9223" max="9223" width="5.5" style="230" customWidth="1"/>
    <col min="9224" max="9224" width="11.375" style="230" customWidth="1"/>
    <col min="9225" max="9225" width="5.5" style="230" customWidth="1"/>
    <col min="9226" max="9226" width="11.375" style="230" customWidth="1"/>
    <col min="9227" max="9227" width="2.5" style="230" customWidth="1"/>
    <col min="9228" max="9228" width="8.75" style="230" customWidth="1"/>
    <col min="9229" max="9229" width="2.5" style="230" customWidth="1"/>
    <col min="9230" max="9230" width="10.25" style="230" customWidth="1"/>
    <col min="9231" max="9231" width="2.5" style="230" customWidth="1"/>
    <col min="9232" max="9232" width="14.125" style="230" customWidth="1"/>
    <col min="9233" max="9236" width="8.75" style="230" customWidth="1"/>
    <col min="9237" max="9237" width="5.5" style="230" customWidth="1"/>
    <col min="9238" max="9238" width="10.5" style="230" customWidth="1"/>
    <col min="9239" max="9239" width="3.375" style="230" customWidth="1"/>
    <col min="9240" max="9240" width="9" style="230" customWidth="1"/>
    <col min="9241" max="9241" width="12.75" style="230" customWidth="1"/>
    <col min="9242" max="9242" width="8.5" style="230" customWidth="1"/>
    <col min="9243" max="9243" width="10.25" style="230" customWidth="1"/>
    <col min="9244" max="9244" width="11.875" style="230" customWidth="1"/>
    <col min="9245" max="9246" width="8.5" style="230" customWidth="1"/>
    <col min="9247" max="9247" width="11.125" style="230" customWidth="1"/>
    <col min="9248" max="9248" width="8.5" style="230" customWidth="1"/>
    <col min="9249" max="9249" width="12.25" style="230" customWidth="1"/>
    <col min="9250" max="9250" width="13.125" style="230" customWidth="1"/>
    <col min="9251" max="9472" width="9" style="230"/>
    <col min="9473" max="9473" width="1" style="230" customWidth="1"/>
    <col min="9474" max="9474" width="5.125" style="230" customWidth="1"/>
    <col min="9475" max="9475" width="6.25" style="230" customWidth="1"/>
    <col min="9476" max="9476" width="16.75" style="230" bestFit="1" customWidth="1"/>
    <col min="9477" max="9477" width="2.5" style="230" customWidth="1"/>
    <col min="9478" max="9478" width="8.75" style="230" customWidth="1"/>
    <col min="9479" max="9479" width="5.5" style="230" customWidth="1"/>
    <col min="9480" max="9480" width="11.375" style="230" customWidth="1"/>
    <col min="9481" max="9481" width="5.5" style="230" customWidth="1"/>
    <col min="9482" max="9482" width="11.375" style="230" customWidth="1"/>
    <col min="9483" max="9483" width="2.5" style="230" customWidth="1"/>
    <col min="9484" max="9484" width="8.75" style="230" customWidth="1"/>
    <col min="9485" max="9485" width="2.5" style="230" customWidth="1"/>
    <col min="9486" max="9486" width="10.25" style="230" customWidth="1"/>
    <col min="9487" max="9487" width="2.5" style="230" customWidth="1"/>
    <col min="9488" max="9488" width="14.125" style="230" customWidth="1"/>
    <col min="9489" max="9492" width="8.75" style="230" customWidth="1"/>
    <col min="9493" max="9493" width="5.5" style="230" customWidth="1"/>
    <col min="9494" max="9494" width="10.5" style="230" customWidth="1"/>
    <col min="9495" max="9495" width="3.375" style="230" customWidth="1"/>
    <col min="9496" max="9496" width="9" style="230" customWidth="1"/>
    <col min="9497" max="9497" width="12.75" style="230" customWidth="1"/>
    <col min="9498" max="9498" width="8.5" style="230" customWidth="1"/>
    <col min="9499" max="9499" width="10.25" style="230" customWidth="1"/>
    <col min="9500" max="9500" width="11.875" style="230" customWidth="1"/>
    <col min="9501" max="9502" width="8.5" style="230" customWidth="1"/>
    <col min="9503" max="9503" width="11.125" style="230" customWidth="1"/>
    <col min="9504" max="9504" width="8.5" style="230" customWidth="1"/>
    <col min="9505" max="9505" width="12.25" style="230" customWidth="1"/>
    <col min="9506" max="9506" width="13.125" style="230" customWidth="1"/>
    <col min="9507" max="9728" width="9" style="230"/>
    <col min="9729" max="9729" width="1" style="230" customWidth="1"/>
    <col min="9730" max="9730" width="5.125" style="230" customWidth="1"/>
    <col min="9731" max="9731" width="6.25" style="230" customWidth="1"/>
    <col min="9732" max="9732" width="16.75" style="230" bestFit="1" customWidth="1"/>
    <col min="9733" max="9733" width="2.5" style="230" customWidth="1"/>
    <col min="9734" max="9734" width="8.75" style="230" customWidth="1"/>
    <col min="9735" max="9735" width="5.5" style="230" customWidth="1"/>
    <col min="9736" max="9736" width="11.375" style="230" customWidth="1"/>
    <col min="9737" max="9737" width="5.5" style="230" customWidth="1"/>
    <col min="9738" max="9738" width="11.375" style="230" customWidth="1"/>
    <col min="9739" max="9739" width="2.5" style="230" customWidth="1"/>
    <col min="9740" max="9740" width="8.75" style="230" customWidth="1"/>
    <col min="9741" max="9741" width="2.5" style="230" customWidth="1"/>
    <col min="9742" max="9742" width="10.25" style="230" customWidth="1"/>
    <col min="9743" max="9743" width="2.5" style="230" customWidth="1"/>
    <col min="9744" max="9744" width="14.125" style="230" customWidth="1"/>
    <col min="9745" max="9748" width="8.75" style="230" customWidth="1"/>
    <col min="9749" max="9749" width="5.5" style="230" customWidth="1"/>
    <col min="9750" max="9750" width="10.5" style="230" customWidth="1"/>
    <col min="9751" max="9751" width="3.375" style="230" customWidth="1"/>
    <col min="9752" max="9752" width="9" style="230" customWidth="1"/>
    <col min="9753" max="9753" width="12.75" style="230" customWidth="1"/>
    <col min="9754" max="9754" width="8.5" style="230" customWidth="1"/>
    <col min="9755" max="9755" width="10.25" style="230" customWidth="1"/>
    <col min="9756" max="9756" width="11.875" style="230" customWidth="1"/>
    <col min="9757" max="9758" width="8.5" style="230" customWidth="1"/>
    <col min="9759" max="9759" width="11.125" style="230" customWidth="1"/>
    <col min="9760" max="9760" width="8.5" style="230" customWidth="1"/>
    <col min="9761" max="9761" width="12.25" style="230" customWidth="1"/>
    <col min="9762" max="9762" width="13.125" style="230" customWidth="1"/>
    <col min="9763" max="9984" width="9" style="230"/>
    <col min="9985" max="9985" width="1" style="230" customWidth="1"/>
    <col min="9986" max="9986" width="5.125" style="230" customWidth="1"/>
    <col min="9987" max="9987" width="6.25" style="230" customWidth="1"/>
    <col min="9988" max="9988" width="16.75" style="230" bestFit="1" customWidth="1"/>
    <col min="9989" max="9989" width="2.5" style="230" customWidth="1"/>
    <col min="9990" max="9990" width="8.75" style="230" customWidth="1"/>
    <col min="9991" max="9991" width="5.5" style="230" customWidth="1"/>
    <col min="9992" max="9992" width="11.375" style="230" customWidth="1"/>
    <col min="9993" max="9993" width="5.5" style="230" customWidth="1"/>
    <col min="9994" max="9994" width="11.375" style="230" customWidth="1"/>
    <col min="9995" max="9995" width="2.5" style="230" customWidth="1"/>
    <col min="9996" max="9996" width="8.75" style="230" customWidth="1"/>
    <col min="9997" max="9997" width="2.5" style="230" customWidth="1"/>
    <col min="9998" max="9998" width="10.25" style="230" customWidth="1"/>
    <col min="9999" max="9999" width="2.5" style="230" customWidth="1"/>
    <col min="10000" max="10000" width="14.125" style="230" customWidth="1"/>
    <col min="10001" max="10004" width="8.75" style="230" customWidth="1"/>
    <col min="10005" max="10005" width="5.5" style="230" customWidth="1"/>
    <col min="10006" max="10006" width="10.5" style="230" customWidth="1"/>
    <col min="10007" max="10007" width="3.375" style="230" customWidth="1"/>
    <col min="10008" max="10008" width="9" style="230" customWidth="1"/>
    <col min="10009" max="10009" width="12.75" style="230" customWidth="1"/>
    <col min="10010" max="10010" width="8.5" style="230" customWidth="1"/>
    <col min="10011" max="10011" width="10.25" style="230" customWidth="1"/>
    <col min="10012" max="10012" width="11.875" style="230" customWidth="1"/>
    <col min="10013" max="10014" width="8.5" style="230" customWidth="1"/>
    <col min="10015" max="10015" width="11.125" style="230" customWidth="1"/>
    <col min="10016" max="10016" width="8.5" style="230" customWidth="1"/>
    <col min="10017" max="10017" width="12.25" style="230" customWidth="1"/>
    <col min="10018" max="10018" width="13.125" style="230" customWidth="1"/>
    <col min="10019" max="10240" width="9" style="230"/>
    <col min="10241" max="10241" width="1" style="230" customWidth="1"/>
    <col min="10242" max="10242" width="5.125" style="230" customWidth="1"/>
    <col min="10243" max="10243" width="6.25" style="230" customWidth="1"/>
    <col min="10244" max="10244" width="16.75" style="230" bestFit="1" customWidth="1"/>
    <col min="10245" max="10245" width="2.5" style="230" customWidth="1"/>
    <col min="10246" max="10246" width="8.75" style="230" customWidth="1"/>
    <col min="10247" max="10247" width="5.5" style="230" customWidth="1"/>
    <col min="10248" max="10248" width="11.375" style="230" customWidth="1"/>
    <col min="10249" max="10249" width="5.5" style="230" customWidth="1"/>
    <col min="10250" max="10250" width="11.375" style="230" customWidth="1"/>
    <col min="10251" max="10251" width="2.5" style="230" customWidth="1"/>
    <col min="10252" max="10252" width="8.75" style="230" customWidth="1"/>
    <col min="10253" max="10253" width="2.5" style="230" customWidth="1"/>
    <col min="10254" max="10254" width="10.25" style="230" customWidth="1"/>
    <col min="10255" max="10255" width="2.5" style="230" customWidth="1"/>
    <col min="10256" max="10256" width="14.125" style="230" customWidth="1"/>
    <col min="10257" max="10260" width="8.75" style="230" customWidth="1"/>
    <col min="10261" max="10261" width="5.5" style="230" customWidth="1"/>
    <col min="10262" max="10262" width="10.5" style="230" customWidth="1"/>
    <col min="10263" max="10263" width="3.375" style="230" customWidth="1"/>
    <col min="10264" max="10264" width="9" style="230" customWidth="1"/>
    <col min="10265" max="10265" width="12.75" style="230" customWidth="1"/>
    <col min="10266" max="10266" width="8.5" style="230" customWidth="1"/>
    <col min="10267" max="10267" width="10.25" style="230" customWidth="1"/>
    <col min="10268" max="10268" width="11.875" style="230" customWidth="1"/>
    <col min="10269" max="10270" width="8.5" style="230" customWidth="1"/>
    <col min="10271" max="10271" width="11.125" style="230" customWidth="1"/>
    <col min="10272" max="10272" width="8.5" style="230" customWidth="1"/>
    <col min="10273" max="10273" width="12.25" style="230" customWidth="1"/>
    <col min="10274" max="10274" width="13.125" style="230" customWidth="1"/>
    <col min="10275" max="10496" width="9" style="230"/>
    <col min="10497" max="10497" width="1" style="230" customWidth="1"/>
    <col min="10498" max="10498" width="5.125" style="230" customWidth="1"/>
    <col min="10499" max="10499" width="6.25" style="230" customWidth="1"/>
    <col min="10500" max="10500" width="16.75" style="230" bestFit="1" customWidth="1"/>
    <col min="10501" max="10501" width="2.5" style="230" customWidth="1"/>
    <col min="10502" max="10502" width="8.75" style="230" customWidth="1"/>
    <col min="10503" max="10503" width="5.5" style="230" customWidth="1"/>
    <col min="10504" max="10504" width="11.375" style="230" customWidth="1"/>
    <col min="10505" max="10505" width="5.5" style="230" customWidth="1"/>
    <col min="10506" max="10506" width="11.375" style="230" customWidth="1"/>
    <col min="10507" max="10507" width="2.5" style="230" customWidth="1"/>
    <col min="10508" max="10508" width="8.75" style="230" customWidth="1"/>
    <col min="10509" max="10509" width="2.5" style="230" customWidth="1"/>
    <col min="10510" max="10510" width="10.25" style="230" customWidth="1"/>
    <col min="10511" max="10511" width="2.5" style="230" customWidth="1"/>
    <col min="10512" max="10512" width="14.125" style="230" customWidth="1"/>
    <col min="10513" max="10516" width="8.75" style="230" customWidth="1"/>
    <col min="10517" max="10517" width="5.5" style="230" customWidth="1"/>
    <col min="10518" max="10518" width="10.5" style="230" customWidth="1"/>
    <col min="10519" max="10519" width="3.375" style="230" customWidth="1"/>
    <col min="10520" max="10520" width="9" style="230" customWidth="1"/>
    <col min="10521" max="10521" width="12.75" style="230" customWidth="1"/>
    <col min="10522" max="10522" width="8.5" style="230" customWidth="1"/>
    <col min="10523" max="10523" width="10.25" style="230" customWidth="1"/>
    <col min="10524" max="10524" width="11.875" style="230" customWidth="1"/>
    <col min="10525" max="10526" width="8.5" style="230" customWidth="1"/>
    <col min="10527" max="10527" width="11.125" style="230" customWidth="1"/>
    <col min="10528" max="10528" width="8.5" style="230" customWidth="1"/>
    <col min="10529" max="10529" width="12.25" style="230" customWidth="1"/>
    <col min="10530" max="10530" width="13.125" style="230" customWidth="1"/>
    <col min="10531" max="10752" width="9" style="230"/>
    <col min="10753" max="10753" width="1" style="230" customWidth="1"/>
    <col min="10754" max="10754" width="5.125" style="230" customWidth="1"/>
    <col min="10755" max="10755" width="6.25" style="230" customWidth="1"/>
    <col min="10756" max="10756" width="16.75" style="230" bestFit="1" customWidth="1"/>
    <col min="10757" max="10757" width="2.5" style="230" customWidth="1"/>
    <col min="10758" max="10758" width="8.75" style="230" customWidth="1"/>
    <col min="10759" max="10759" width="5.5" style="230" customWidth="1"/>
    <col min="10760" max="10760" width="11.375" style="230" customWidth="1"/>
    <col min="10761" max="10761" width="5.5" style="230" customWidth="1"/>
    <col min="10762" max="10762" width="11.375" style="230" customWidth="1"/>
    <col min="10763" max="10763" width="2.5" style="230" customWidth="1"/>
    <col min="10764" max="10764" width="8.75" style="230" customWidth="1"/>
    <col min="10765" max="10765" width="2.5" style="230" customWidth="1"/>
    <col min="10766" max="10766" width="10.25" style="230" customWidth="1"/>
    <col min="10767" max="10767" width="2.5" style="230" customWidth="1"/>
    <col min="10768" max="10768" width="14.125" style="230" customWidth="1"/>
    <col min="10769" max="10772" width="8.75" style="230" customWidth="1"/>
    <col min="10773" max="10773" width="5.5" style="230" customWidth="1"/>
    <col min="10774" max="10774" width="10.5" style="230" customWidth="1"/>
    <col min="10775" max="10775" width="3.375" style="230" customWidth="1"/>
    <col min="10776" max="10776" width="9" style="230" customWidth="1"/>
    <col min="10777" max="10777" width="12.75" style="230" customWidth="1"/>
    <col min="10778" max="10778" width="8.5" style="230" customWidth="1"/>
    <col min="10779" max="10779" width="10.25" style="230" customWidth="1"/>
    <col min="10780" max="10780" width="11.875" style="230" customWidth="1"/>
    <col min="10781" max="10782" width="8.5" style="230" customWidth="1"/>
    <col min="10783" max="10783" width="11.125" style="230" customWidth="1"/>
    <col min="10784" max="10784" width="8.5" style="230" customWidth="1"/>
    <col min="10785" max="10785" width="12.25" style="230" customWidth="1"/>
    <col min="10786" max="10786" width="13.125" style="230" customWidth="1"/>
    <col min="10787" max="11008" width="9" style="230"/>
    <col min="11009" max="11009" width="1" style="230" customWidth="1"/>
    <col min="11010" max="11010" width="5.125" style="230" customWidth="1"/>
    <col min="11011" max="11011" width="6.25" style="230" customWidth="1"/>
    <col min="11012" max="11012" width="16.75" style="230" bestFit="1" customWidth="1"/>
    <col min="11013" max="11013" width="2.5" style="230" customWidth="1"/>
    <col min="11014" max="11014" width="8.75" style="230" customWidth="1"/>
    <col min="11015" max="11015" width="5.5" style="230" customWidth="1"/>
    <col min="11016" max="11016" width="11.375" style="230" customWidth="1"/>
    <col min="11017" max="11017" width="5.5" style="230" customWidth="1"/>
    <col min="11018" max="11018" width="11.375" style="230" customWidth="1"/>
    <col min="11019" max="11019" width="2.5" style="230" customWidth="1"/>
    <col min="11020" max="11020" width="8.75" style="230" customWidth="1"/>
    <col min="11021" max="11021" width="2.5" style="230" customWidth="1"/>
    <col min="11022" max="11022" width="10.25" style="230" customWidth="1"/>
    <col min="11023" max="11023" width="2.5" style="230" customWidth="1"/>
    <col min="11024" max="11024" width="14.125" style="230" customWidth="1"/>
    <col min="11025" max="11028" width="8.75" style="230" customWidth="1"/>
    <col min="11029" max="11029" width="5.5" style="230" customWidth="1"/>
    <col min="11030" max="11030" width="10.5" style="230" customWidth="1"/>
    <col min="11031" max="11031" width="3.375" style="230" customWidth="1"/>
    <col min="11032" max="11032" width="9" style="230" customWidth="1"/>
    <col min="11033" max="11033" width="12.75" style="230" customWidth="1"/>
    <col min="11034" max="11034" width="8.5" style="230" customWidth="1"/>
    <col min="11035" max="11035" width="10.25" style="230" customWidth="1"/>
    <col min="11036" max="11036" width="11.875" style="230" customWidth="1"/>
    <col min="11037" max="11038" width="8.5" style="230" customWidth="1"/>
    <col min="11039" max="11039" width="11.125" style="230" customWidth="1"/>
    <col min="11040" max="11040" width="8.5" style="230" customWidth="1"/>
    <col min="11041" max="11041" width="12.25" style="230" customWidth="1"/>
    <col min="11042" max="11042" width="13.125" style="230" customWidth="1"/>
    <col min="11043" max="11264" width="9" style="230"/>
    <col min="11265" max="11265" width="1" style="230" customWidth="1"/>
    <col min="11266" max="11266" width="5.125" style="230" customWidth="1"/>
    <col min="11267" max="11267" width="6.25" style="230" customWidth="1"/>
    <col min="11268" max="11268" width="16.75" style="230" bestFit="1" customWidth="1"/>
    <col min="11269" max="11269" width="2.5" style="230" customWidth="1"/>
    <col min="11270" max="11270" width="8.75" style="230" customWidth="1"/>
    <col min="11271" max="11271" width="5.5" style="230" customWidth="1"/>
    <col min="11272" max="11272" width="11.375" style="230" customWidth="1"/>
    <col min="11273" max="11273" width="5.5" style="230" customWidth="1"/>
    <col min="11274" max="11274" width="11.375" style="230" customWidth="1"/>
    <col min="11275" max="11275" width="2.5" style="230" customWidth="1"/>
    <col min="11276" max="11276" width="8.75" style="230" customWidth="1"/>
    <col min="11277" max="11277" width="2.5" style="230" customWidth="1"/>
    <col min="11278" max="11278" width="10.25" style="230" customWidth="1"/>
    <col min="11279" max="11279" width="2.5" style="230" customWidth="1"/>
    <col min="11280" max="11280" width="14.125" style="230" customWidth="1"/>
    <col min="11281" max="11284" width="8.75" style="230" customWidth="1"/>
    <col min="11285" max="11285" width="5.5" style="230" customWidth="1"/>
    <col min="11286" max="11286" width="10.5" style="230" customWidth="1"/>
    <col min="11287" max="11287" width="3.375" style="230" customWidth="1"/>
    <col min="11288" max="11288" width="9" style="230" customWidth="1"/>
    <col min="11289" max="11289" width="12.75" style="230" customWidth="1"/>
    <col min="11290" max="11290" width="8.5" style="230" customWidth="1"/>
    <col min="11291" max="11291" width="10.25" style="230" customWidth="1"/>
    <col min="11292" max="11292" width="11.875" style="230" customWidth="1"/>
    <col min="11293" max="11294" width="8.5" style="230" customWidth="1"/>
    <col min="11295" max="11295" width="11.125" style="230" customWidth="1"/>
    <col min="11296" max="11296" width="8.5" style="230" customWidth="1"/>
    <col min="11297" max="11297" width="12.25" style="230" customWidth="1"/>
    <col min="11298" max="11298" width="13.125" style="230" customWidth="1"/>
    <col min="11299" max="11520" width="9" style="230"/>
    <col min="11521" max="11521" width="1" style="230" customWidth="1"/>
    <col min="11522" max="11522" width="5.125" style="230" customWidth="1"/>
    <col min="11523" max="11523" width="6.25" style="230" customWidth="1"/>
    <col min="11524" max="11524" width="16.75" style="230" bestFit="1" customWidth="1"/>
    <col min="11525" max="11525" width="2.5" style="230" customWidth="1"/>
    <col min="11526" max="11526" width="8.75" style="230" customWidth="1"/>
    <col min="11527" max="11527" width="5.5" style="230" customWidth="1"/>
    <col min="11528" max="11528" width="11.375" style="230" customWidth="1"/>
    <col min="11529" max="11529" width="5.5" style="230" customWidth="1"/>
    <col min="11530" max="11530" width="11.375" style="230" customWidth="1"/>
    <col min="11531" max="11531" width="2.5" style="230" customWidth="1"/>
    <col min="11532" max="11532" width="8.75" style="230" customWidth="1"/>
    <col min="11533" max="11533" width="2.5" style="230" customWidth="1"/>
    <col min="11534" max="11534" width="10.25" style="230" customWidth="1"/>
    <col min="11535" max="11535" width="2.5" style="230" customWidth="1"/>
    <col min="11536" max="11536" width="14.125" style="230" customWidth="1"/>
    <col min="11537" max="11540" width="8.75" style="230" customWidth="1"/>
    <col min="11541" max="11541" width="5.5" style="230" customWidth="1"/>
    <col min="11542" max="11542" width="10.5" style="230" customWidth="1"/>
    <col min="11543" max="11543" width="3.375" style="230" customWidth="1"/>
    <col min="11544" max="11544" width="9" style="230" customWidth="1"/>
    <col min="11545" max="11545" width="12.75" style="230" customWidth="1"/>
    <col min="11546" max="11546" width="8.5" style="230" customWidth="1"/>
    <col min="11547" max="11547" width="10.25" style="230" customWidth="1"/>
    <col min="11548" max="11548" width="11.875" style="230" customWidth="1"/>
    <col min="11549" max="11550" width="8.5" style="230" customWidth="1"/>
    <col min="11551" max="11551" width="11.125" style="230" customWidth="1"/>
    <col min="11552" max="11552" width="8.5" style="230" customWidth="1"/>
    <col min="11553" max="11553" width="12.25" style="230" customWidth="1"/>
    <col min="11554" max="11554" width="13.125" style="230" customWidth="1"/>
    <col min="11555" max="11776" width="9" style="230"/>
    <col min="11777" max="11777" width="1" style="230" customWidth="1"/>
    <col min="11778" max="11778" width="5.125" style="230" customWidth="1"/>
    <col min="11779" max="11779" width="6.25" style="230" customWidth="1"/>
    <col min="11780" max="11780" width="16.75" style="230" bestFit="1" customWidth="1"/>
    <col min="11781" max="11781" width="2.5" style="230" customWidth="1"/>
    <col min="11782" max="11782" width="8.75" style="230" customWidth="1"/>
    <col min="11783" max="11783" width="5.5" style="230" customWidth="1"/>
    <col min="11784" max="11784" width="11.375" style="230" customWidth="1"/>
    <col min="11785" max="11785" width="5.5" style="230" customWidth="1"/>
    <col min="11786" max="11786" width="11.375" style="230" customWidth="1"/>
    <col min="11787" max="11787" width="2.5" style="230" customWidth="1"/>
    <col min="11788" max="11788" width="8.75" style="230" customWidth="1"/>
    <col min="11789" max="11789" width="2.5" style="230" customWidth="1"/>
    <col min="11790" max="11790" width="10.25" style="230" customWidth="1"/>
    <col min="11791" max="11791" width="2.5" style="230" customWidth="1"/>
    <col min="11792" max="11792" width="14.125" style="230" customWidth="1"/>
    <col min="11793" max="11796" width="8.75" style="230" customWidth="1"/>
    <col min="11797" max="11797" width="5.5" style="230" customWidth="1"/>
    <col min="11798" max="11798" width="10.5" style="230" customWidth="1"/>
    <col min="11799" max="11799" width="3.375" style="230" customWidth="1"/>
    <col min="11800" max="11800" width="9" style="230" customWidth="1"/>
    <col min="11801" max="11801" width="12.75" style="230" customWidth="1"/>
    <col min="11802" max="11802" width="8.5" style="230" customWidth="1"/>
    <col min="11803" max="11803" width="10.25" style="230" customWidth="1"/>
    <col min="11804" max="11804" width="11.875" style="230" customWidth="1"/>
    <col min="11805" max="11806" width="8.5" style="230" customWidth="1"/>
    <col min="11807" max="11807" width="11.125" style="230" customWidth="1"/>
    <col min="11808" max="11808" width="8.5" style="230" customWidth="1"/>
    <col min="11809" max="11809" width="12.25" style="230" customWidth="1"/>
    <col min="11810" max="11810" width="13.125" style="230" customWidth="1"/>
    <col min="11811" max="12032" width="9" style="230"/>
    <col min="12033" max="12033" width="1" style="230" customWidth="1"/>
    <col min="12034" max="12034" width="5.125" style="230" customWidth="1"/>
    <col min="12035" max="12035" width="6.25" style="230" customWidth="1"/>
    <col min="12036" max="12036" width="16.75" style="230" bestFit="1" customWidth="1"/>
    <col min="12037" max="12037" width="2.5" style="230" customWidth="1"/>
    <col min="12038" max="12038" width="8.75" style="230" customWidth="1"/>
    <col min="12039" max="12039" width="5.5" style="230" customWidth="1"/>
    <col min="12040" max="12040" width="11.375" style="230" customWidth="1"/>
    <col min="12041" max="12041" width="5.5" style="230" customWidth="1"/>
    <col min="12042" max="12042" width="11.375" style="230" customWidth="1"/>
    <col min="12043" max="12043" width="2.5" style="230" customWidth="1"/>
    <col min="12044" max="12044" width="8.75" style="230" customWidth="1"/>
    <col min="12045" max="12045" width="2.5" style="230" customWidth="1"/>
    <col min="12046" max="12046" width="10.25" style="230" customWidth="1"/>
    <col min="12047" max="12047" width="2.5" style="230" customWidth="1"/>
    <col min="12048" max="12048" width="14.125" style="230" customWidth="1"/>
    <col min="12049" max="12052" width="8.75" style="230" customWidth="1"/>
    <col min="12053" max="12053" width="5.5" style="230" customWidth="1"/>
    <col min="12054" max="12054" width="10.5" style="230" customWidth="1"/>
    <col min="12055" max="12055" width="3.375" style="230" customWidth="1"/>
    <col min="12056" max="12056" width="9" style="230" customWidth="1"/>
    <col min="12057" max="12057" width="12.75" style="230" customWidth="1"/>
    <col min="12058" max="12058" width="8.5" style="230" customWidth="1"/>
    <col min="12059" max="12059" width="10.25" style="230" customWidth="1"/>
    <col min="12060" max="12060" width="11.875" style="230" customWidth="1"/>
    <col min="12061" max="12062" width="8.5" style="230" customWidth="1"/>
    <col min="12063" max="12063" width="11.125" style="230" customWidth="1"/>
    <col min="12064" max="12064" width="8.5" style="230" customWidth="1"/>
    <col min="12065" max="12065" width="12.25" style="230" customWidth="1"/>
    <col min="12066" max="12066" width="13.125" style="230" customWidth="1"/>
    <col min="12067" max="12288" width="9" style="230"/>
    <col min="12289" max="12289" width="1" style="230" customWidth="1"/>
    <col min="12290" max="12290" width="5.125" style="230" customWidth="1"/>
    <col min="12291" max="12291" width="6.25" style="230" customWidth="1"/>
    <col min="12292" max="12292" width="16.75" style="230" bestFit="1" customWidth="1"/>
    <col min="12293" max="12293" width="2.5" style="230" customWidth="1"/>
    <col min="12294" max="12294" width="8.75" style="230" customWidth="1"/>
    <col min="12295" max="12295" width="5.5" style="230" customWidth="1"/>
    <col min="12296" max="12296" width="11.375" style="230" customWidth="1"/>
    <col min="12297" max="12297" width="5.5" style="230" customWidth="1"/>
    <col min="12298" max="12298" width="11.375" style="230" customWidth="1"/>
    <col min="12299" max="12299" width="2.5" style="230" customWidth="1"/>
    <col min="12300" max="12300" width="8.75" style="230" customWidth="1"/>
    <col min="12301" max="12301" width="2.5" style="230" customWidth="1"/>
    <col min="12302" max="12302" width="10.25" style="230" customWidth="1"/>
    <col min="12303" max="12303" width="2.5" style="230" customWidth="1"/>
    <col min="12304" max="12304" width="14.125" style="230" customWidth="1"/>
    <col min="12305" max="12308" width="8.75" style="230" customWidth="1"/>
    <col min="12309" max="12309" width="5.5" style="230" customWidth="1"/>
    <col min="12310" max="12310" width="10.5" style="230" customWidth="1"/>
    <col min="12311" max="12311" width="3.375" style="230" customWidth="1"/>
    <col min="12312" max="12312" width="9" style="230" customWidth="1"/>
    <col min="12313" max="12313" width="12.75" style="230" customWidth="1"/>
    <col min="12314" max="12314" width="8.5" style="230" customWidth="1"/>
    <col min="12315" max="12315" width="10.25" style="230" customWidth="1"/>
    <col min="12316" max="12316" width="11.875" style="230" customWidth="1"/>
    <col min="12317" max="12318" width="8.5" style="230" customWidth="1"/>
    <col min="12319" max="12319" width="11.125" style="230" customWidth="1"/>
    <col min="12320" max="12320" width="8.5" style="230" customWidth="1"/>
    <col min="12321" max="12321" width="12.25" style="230" customWidth="1"/>
    <col min="12322" max="12322" width="13.125" style="230" customWidth="1"/>
    <col min="12323" max="12544" width="9" style="230"/>
    <col min="12545" max="12545" width="1" style="230" customWidth="1"/>
    <col min="12546" max="12546" width="5.125" style="230" customWidth="1"/>
    <col min="12547" max="12547" width="6.25" style="230" customWidth="1"/>
    <col min="12548" max="12548" width="16.75" style="230" bestFit="1" customWidth="1"/>
    <col min="12549" max="12549" width="2.5" style="230" customWidth="1"/>
    <col min="12550" max="12550" width="8.75" style="230" customWidth="1"/>
    <col min="12551" max="12551" width="5.5" style="230" customWidth="1"/>
    <col min="12552" max="12552" width="11.375" style="230" customWidth="1"/>
    <col min="12553" max="12553" width="5.5" style="230" customWidth="1"/>
    <col min="12554" max="12554" width="11.375" style="230" customWidth="1"/>
    <col min="12555" max="12555" width="2.5" style="230" customWidth="1"/>
    <col min="12556" max="12556" width="8.75" style="230" customWidth="1"/>
    <col min="12557" max="12557" width="2.5" style="230" customWidth="1"/>
    <col min="12558" max="12558" width="10.25" style="230" customWidth="1"/>
    <col min="12559" max="12559" width="2.5" style="230" customWidth="1"/>
    <col min="12560" max="12560" width="14.125" style="230" customWidth="1"/>
    <col min="12561" max="12564" width="8.75" style="230" customWidth="1"/>
    <col min="12565" max="12565" width="5.5" style="230" customWidth="1"/>
    <col min="12566" max="12566" width="10.5" style="230" customWidth="1"/>
    <col min="12567" max="12567" width="3.375" style="230" customWidth="1"/>
    <col min="12568" max="12568" width="9" style="230" customWidth="1"/>
    <col min="12569" max="12569" width="12.75" style="230" customWidth="1"/>
    <col min="12570" max="12570" width="8.5" style="230" customWidth="1"/>
    <col min="12571" max="12571" width="10.25" style="230" customWidth="1"/>
    <col min="12572" max="12572" width="11.875" style="230" customWidth="1"/>
    <col min="12573" max="12574" width="8.5" style="230" customWidth="1"/>
    <col min="12575" max="12575" width="11.125" style="230" customWidth="1"/>
    <col min="12576" max="12576" width="8.5" style="230" customWidth="1"/>
    <col min="12577" max="12577" width="12.25" style="230" customWidth="1"/>
    <col min="12578" max="12578" width="13.125" style="230" customWidth="1"/>
    <col min="12579" max="12800" width="9" style="230"/>
    <col min="12801" max="12801" width="1" style="230" customWidth="1"/>
    <col min="12802" max="12802" width="5.125" style="230" customWidth="1"/>
    <col min="12803" max="12803" width="6.25" style="230" customWidth="1"/>
    <col min="12804" max="12804" width="16.75" style="230" bestFit="1" customWidth="1"/>
    <col min="12805" max="12805" width="2.5" style="230" customWidth="1"/>
    <col min="12806" max="12806" width="8.75" style="230" customWidth="1"/>
    <col min="12807" max="12807" width="5.5" style="230" customWidth="1"/>
    <col min="12808" max="12808" width="11.375" style="230" customWidth="1"/>
    <col min="12809" max="12809" width="5.5" style="230" customWidth="1"/>
    <col min="12810" max="12810" width="11.375" style="230" customWidth="1"/>
    <col min="12811" max="12811" width="2.5" style="230" customWidth="1"/>
    <col min="12812" max="12812" width="8.75" style="230" customWidth="1"/>
    <col min="12813" max="12813" width="2.5" style="230" customWidth="1"/>
    <col min="12814" max="12814" width="10.25" style="230" customWidth="1"/>
    <col min="12815" max="12815" width="2.5" style="230" customWidth="1"/>
    <col min="12816" max="12816" width="14.125" style="230" customWidth="1"/>
    <col min="12817" max="12820" width="8.75" style="230" customWidth="1"/>
    <col min="12821" max="12821" width="5.5" style="230" customWidth="1"/>
    <col min="12822" max="12822" width="10.5" style="230" customWidth="1"/>
    <col min="12823" max="12823" width="3.375" style="230" customWidth="1"/>
    <col min="12824" max="12824" width="9" style="230" customWidth="1"/>
    <col min="12825" max="12825" width="12.75" style="230" customWidth="1"/>
    <col min="12826" max="12826" width="8.5" style="230" customWidth="1"/>
    <col min="12827" max="12827" width="10.25" style="230" customWidth="1"/>
    <col min="12828" max="12828" width="11.875" style="230" customWidth="1"/>
    <col min="12829" max="12830" width="8.5" style="230" customWidth="1"/>
    <col min="12831" max="12831" width="11.125" style="230" customWidth="1"/>
    <col min="12832" max="12832" width="8.5" style="230" customWidth="1"/>
    <col min="12833" max="12833" width="12.25" style="230" customWidth="1"/>
    <col min="12834" max="12834" width="13.125" style="230" customWidth="1"/>
    <col min="12835" max="13056" width="9" style="230"/>
    <col min="13057" max="13057" width="1" style="230" customWidth="1"/>
    <col min="13058" max="13058" width="5.125" style="230" customWidth="1"/>
    <col min="13059" max="13059" width="6.25" style="230" customWidth="1"/>
    <col min="13060" max="13060" width="16.75" style="230" bestFit="1" customWidth="1"/>
    <col min="13061" max="13061" width="2.5" style="230" customWidth="1"/>
    <col min="13062" max="13062" width="8.75" style="230" customWidth="1"/>
    <col min="13063" max="13063" width="5.5" style="230" customWidth="1"/>
    <col min="13064" max="13064" width="11.375" style="230" customWidth="1"/>
    <col min="13065" max="13065" width="5.5" style="230" customWidth="1"/>
    <col min="13066" max="13066" width="11.375" style="230" customWidth="1"/>
    <col min="13067" max="13067" width="2.5" style="230" customWidth="1"/>
    <col min="13068" max="13068" width="8.75" style="230" customWidth="1"/>
    <col min="13069" max="13069" width="2.5" style="230" customWidth="1"/>
    <col min="13070" max="13070" width="10.25" style="230" customWidth="1"/>
    <col min="13071" max="13071" width="2.5" style="230" customWidth="1"/>
    <col min="13072" max="13072" width="14.125" style="230" customWidth="1"/>
    <col min="13073" max="13076" width="8.75" style="230" customWidth="1"/>
    <col min="13077" max="13077" width="5.5" style="230" customWidth="1"/>
    <col min="13078" max="13078" width="10.5" style="230" customWidth="1"/>
    <col min="13079" max="13079" width="3.375" style="230" customWidth="1"/>
    <col min="13080" max="13080" width="9" style="230" customWidth="1"/>
    <col min="13081" max="13081" width="12.75" style="230" customWidth="1"/>
    <col min="13082" max="13082" width="8.5" style="230" customWidth="1"/>
    <col min="13083" max="13083" width="10.25" style="230" customWidth="1"/>
    <col min="13084" max="13084" width="11.875" style="230" customWidth="1"/>
    <col min="13085" max="13086" width="8.5" style="230" customWidth="1"/>
    <col min="13087" max="13087" width="11.125" style="230" customWidth="1"/>
    <col min="13088" max="13088" width="8.5" style="230" customWidth="1"/>
    <col min="13089" max="13089" width="12.25" style="230" customWidth="1"/>
    <col min="13090" max="13090" width="13.125" style="230" customWidth="1"/>
    <col min="13091" max="13312" width="9" style="230"/>
    <col min="13313" max="13313" width="1" style="230" customWidth="1"/>
    <col min="13314" max="13314" width="5.125" style="230" customWidth="1"/>
    <col min="13315" max="13315" width="6.25" style="230" customWidth="1"/>
    <col min="13316" max="13316" width="16.75" style="230" bestFit="1" customWidth="1"/>
    <col min="13317" max="13317" width="2.5" style="230" customWidth="1"/>
    <col min="13318" max="13318" width="8.75" style="230" customWidth="1"/>
    <col min="13319" max="13319" width="5.5" style="230" customWidth="1"/>
    <col min="13320" max="13320" width="11.375" style="230" customWidth="1"/>
    <col min="13321" max="13321" width="5.5" style="230" customWidth="1"/>
    <col min="13322" max="13322" width="11.375" style="230" customWidth="1"/>
    <col min="13323" max="13323" width="2.5" style="230" customWidth="1"/>
    <col min="13324" max="13324" width="8.75" style="230" customWidth="1"/>
    <col min="13325" max="13325" width="2.5" style="230" customWidth="1"/>
    <col min="13326" max="13326" width="10.25" style="230" customWidth="1"/>
    <col min="13327" max="13327" width="2.5" style="230" customWidth="1"/>
    <col min="13328" max="13328" width="14.125" style="230" customWidth="1"/>
    <col min="13329" max="13332" width="8.75" style="230" customWidth="1"/>
    <col min="13333" max="13333" width="5.5" style="230" customWidth="1"/>
    <col min="13334" max="13334" width="10.5" style="230" customWidth="1"/>
    <col min="13335" max="13335" width="3.375" style="230" customWidth="1"/>
    <col min="13336" max="13336" width="9" style="230" customWidth="1"/>
    <col min="13337" max="13337" width="12.75" style="230" customWidth="1"/>
    <col min="13338" max="13338" width="8.5" style="230" customWidth="1"/>
    <col min="13339" max="13339" width="10.25" style="230" customWidth="1"/>
    <col min="13340" max="13340" width="11.875" style="230" customWidth="1"/>
    <col min="13341" max="13342" width="8.5" style="230" customWidth="1"/>
    <col min="13343" max="13343" width="11.125" style="230" customWidth="1"/>
    <col min="13344" max="13344" width="8.5" style="230" customWidth="1"/>
    <col min="13345" max="13345" width="12.25" style="230" customWidth="1"/>
    <col min="13346" max="13346" width="13.125" style="230" customWidth="1"/>
    <col min="13347" max="13568" width="9" style="230"/>
    <col min="13569" max="13569" width="1" style="230" customWidth="1"/>
    <col min="13570" max="13570" width="5.125" style="230" customWidth="1"/>
    <col min="13571" max="13571" width="6.25" style="230" customWidth="1"/>
    <col min="13572" max="13572" width="16.75" style="230" bestFit="1" customWidth="1"/>
    <col min="13573" max="13573" width="2.5" style="230" customWidth="1"/>
    <col min="13574" max="13574" width="8.75" style="230" customWidth="1"/>
    <col min="13575" max="13575" width="5.5" style="230" customWidth="1"/>
    <col min="13576" max="13576" width="11.375" style="230" customWidth="1"/>
    <col min="13577" max="13577" width="5.5" style="230" customWidth="1"/>
    <col min="13578" max="13578" width="11.375" style="230" customWidth="1"/>
    <col min="13579" max="13579" width="2.5" style="230" customWidth="1"/>
    <col min="13580" max="13580" width="8.75" style="230" customWidth="1"/>
    <col min="13581" max="13581" width="2.5" style="230" customWidth="1"/>
    <col min="13582" max="13582" width="10.25" style="230" customWidth="1"/>
    <col min="13583" max="13583" width="2.5" style="230" customWidth="1"/>
    <col min="13584" max="13584" width="14.125" style="230" customWidth="1"/>
    <col min="13585" max="13588" width="8.75" style="230" customWidth="1"/>
    <col min="13589" max="13589" width="5.5" style="230" customWidth="1"/>
    <col min="13590" max="13590" width="10.5" style="230" customWidth="1"/>
    <col min="13591" max="13591" width="3.375" style="230" customWidth="1"/>
    <col min="13592" max="13592" width="9" style="230" customWidth="1"/>
    <col min="13593" max="13593" width="12.75" style="230" customWidth="1"/>
    <col min="13594" max="13594" width="8.5" style="230" customWidth="1"/>
    <col min="13595" max="13595" width="10.25" style="230" customWidth="1"/>
    <col min="13596" max="13596" width="11.875" style="230" customWidth="1"/>
    <col min="13597" max="13598" width="8.5" style="230" customWidth="1"/>
    <col min="13599" max="13599" width="11.125" style="230" customWidth="1"/>
    <col min="13600" max="13600" width="8.5" style="230" customWidth="1"/>
    <col min="13601" max="13601" width="12.25" style="230" customWidth="1"/>
    <col min="13602" max="13602" width="13.125" style="230" customWidth="1"/>
    <col min="13603" max="13824" width="9" style="230"/>
    <col min="13825" max="13825" width="1" style="230" customWidth="1"/>
    <col min="13826" max="13826" width="5.125" style="230" customWidth="1"/>
    <col min="13827" max="13827" width="6.25" style="230" customWidth="1"/>
    <col min="13828" max="13828" width="16.75" style="230" bestFit="1" customWidth="1"/>
    <col min="13829" max="13829" width="2.5" style="230" customWidth="1"/>
    <col min="13830" max="13830" width="8.75" style="230" customWidth="1"/>
    <col min="13831" max="13831" width="5.5" style="230" customWidth="1"/>
    <col min="13832" max="13832" width="11.375" style="230" customWidth="1"/>
    <col min="13833" max="13833" width="5.5" style="230" customWidth="1"/>
    <col min="13834" max="13834" width="11.375" style="230" customWidth="1"/>
    <col min="13835" max="13835" width="2.5" style="230" customWidth="1"/>
    <col min="13836" max="13836" width="8.75" style="230" customWidth="1"/>
    <col min="13837" max="13837" width="2.5" style="230" customWidth="1"/>
    <col min="13838" max="13838" width="10.25" style="230" customWidth="1"/>
    <col min="13839" max="13839" width="2.5" style="230" customWidth="1"/>
    <col min="13840" max="13840" width="14.125" style="230" customWidth="1"/>
    <col min="13841" max="13844" width="8.75" style="230" customWidth="1"/>
    <col min="13845" max="13845" width="5.5" style="230" customWidth="1"/>
    <col min="13846" max="13846" width="10.5" style="230" customWidth="1"/>
    <col min="13847" max="13847" width="3.375" style="230" customWidth="1"/>
    <col min="13848" max="13848" width="9" style="230" customWidth="1"/>
    <col min="13849" max="13849" width="12.75" style="230" customWidth="1"/>
    <col min="13850" max="13850" width="8.5" style="230" customWidth="1"/>
    <col min="13851" max="13851" width="10.25" style="230" customWidth="1"/>
    <col min="13852" max="13852" width="11.875" style="230" customWidth="1"/>
    <col min="13853" max="13854" width="8.5" style="230" customWidth="1"/>
    <col min="13855" max="13855" width="11.125" style="230" customWidth="1"/>
    <col min="13856" max="13856" width="8.5" style="230" customWidth="1"/>
    <col min="13857" max="13857" width="12.25" style="230" customWidth="1"/>
    <col min="13858" max="13858" width="13.125" style="230" customWidth="1"/>
    <col min="13859" max="14080" width="9" style="230"/>
    <col min="14081" max="14081" width="1" style="230" customWidth="1"/>
    <col min="14082" max="14082" width="5.125" style="230" customWidth="1"/>
    <col min="14083" max="14083" width="6.25" style="230" customWidth="1"/>
    <col min="14084" max="14084" width="16.75" style="230" bestFit="1" customWidth="1"/>
    <col min="14085" max="14085" width="2.5" style="230" customWidth="1"/>
    <col min="14086" max="14086" width="8.75" style="230" customWidth="1"/>
    <col min="14087" max="14087" width="5.5" style="230" customWidth="1"/>
    <col min="14088" max="14088" width="11.375" style="230" customWidth="1"/>
    <col min="14089" max="14089" width="5.5" style="230" customWidth="1"/>
    <col min="14090" max="14090" width="11.375" style="230" customWidth="1"/>
    <col min="14091" max="14091" width="2.5" style="230" customWidth="1"/>
    <col min="14092" max="14092" width="8.75" style="230" customWidth="1"/>
    <col min="14093" max="14093" width="2.5" style="230" customWidth="1"/>
    <col min="14094" max="14094" width="10.25" style="230" customWidth="1"/>
    <col min="14095" max="14095" width="2.5" style="230" customWidth="1"/>
    <col min="14096" max="14096" width="14.125" style="230" customWidth="1"/>
    <col min="14097" max="14100" width="8.75" style="230" customWidth="1"/>
    <col min="14101" max="14101" width="5.5" style="230" customWidth="1"/>
    <col min="14102" max="14102" width="10.5" style="230" customWidth="1"/>
    <col min="14103" max="14103" width="3.375" style="230" customWidth="1"/>
    <col min="14104" max="14104" width="9" style="230" customWidth="1"/>
    <col min="14105" max="14105" width="12.75" style="230" customWidth="1"/>
    <col min="14106" max="14106" width="8.5" style="230" customWidth="1"/>
    <col min="14107" max="14107" width="10.25" style="230" customWidth="1"/>
    <col min="14108" max="14108" width="11.875" style="230" customWidth="1"/>
    <col min="14109" max="14110" width="8.5" style="230" customWidth="1"/>
    <col min="14111" max="14111" width="11.125" style="230" customWidth="1"/>
    <col min="14112" max="14112" width="8.5" style="230" customWidth="1"/>
    <col min="14113" max="14113" width="12.25" style="230" customWidth="1"/>
    <col min="14114" max="14114" width="13.125" style="230" customWidth="1"/>
    <col min="14115" max="14336" width="9" style="230"/>
    <col min="14337" max="14337" width="1" style="230" customWidth="1"/>
    <col min="14338" max="14338" width="5.125" style="230" customWidth="1"/>
    <col min="14339" max="14339" width="6.25" style="230" customWidth="1"/>
    <col min="14340" max="14340" width="16.75" style="230" bestFit="1" customWidth="1"/>
    <col min="14341" max="14341" width="2.5" style="230" customWidth="1"/>
    <col min="14342" max="14342" width="8.75" style="230" customWidth="1"/>
    <col min="14343" max="14343" width="5.5" style="230" customWidth="1"/>
    <col min="14344" max="14344" width="11.375" style="230" customWidth="1"/>
    <col min="14345" max="14345" width="5.5" style="230" customWidth="1"/>
    <col min="14346" max="14346" width="11.375" style="230" customWidth="1"/>
    <col min="14347" max="14347" width="2.5" style="230" customWidth="1"/>
    <col min="14348" max="14348" width="8.75" style="230" customWidth="1"/>
    <col min="14349" max="14349" width="2.5" style="230" customWidth="1"/>
    <col min="14350" max="14350" width="10.25" style="230" customWidth="1"/>
    <col min="14351" max="14351" width="2.5" style="230" customWidth="1"/>
    <col min="14352" max="14352" width="14.125" style="230" customWidth="1"/>
    <col min="14353" max="14356" width="8.75" style="230" customWidth="1"/>
    <col min="14357" max="14357" width="5.5" style="230" customWidth="1"/>
    <col min="14358" max="14358" width="10.5" style="230" customWidth="1"/>
    <col min="14359" max="14359" width="3.375" style="230" customWidth="1"/>
    <col min="14360" max="14360" width="9" style="230" customWidth="1"/>
    <col min="14361" max="14361" width="12.75" style="230" customWidth="1"/>
    <col min="14362" max="14362" width="8.5" style="230" customWidth="1"/>
    <col min="14363" max="14363" width="10.25" style="230" customWidth="1"/>
    <col min="14364" max="14364" width="11.875" style="230" customWidth="1"/>
    <col min="14365" max="14366" width="8.5" style="230" customWidth="1"/>
    <col min="14367" max="14367" width="11.125" style="230" customWidth="1"/>
    <col min="14368" max="14368" width="8.5" style="230" customWidth="1"/>
    <col min="14369" max="14369" width="12.25" style="230" customWidth="1"/>
    <col min="14370" max="14370" width="13.125" style="230" customWidth="1"/>
    <col min="14371" max="14592" width="9" style="230"/>
    <col min="14593" max="14593" width="1" style="230" customWidth="1"/>
    <col min="14594" max="14594" width="5.125" style="230" customWidth="1"/>
    <col min="14595" max="14595" width="6.25" style="230" customWidth="1"/>
    <col min="14596" max="14596" width="16.75" style="230" bestFit="1" customWidth="1"/>
    <col min="14597" max="14597" width="2.5" style="230" customWidth="1"/>
    <col min="14598" max="14598" width="8.75" style="230" customWidth="1"/>
    <col min="14599" max="14599" width="5.5" style="230" customWidth="1"/>
    <col min="14600" max="14600" width="11.375" style="230" customWidth="1"/>
    <col min="14601" max="14601" width="5.5" style="230" customWidth="1"/>
    <col min="14602" max="14602" width="11.375" style="230" customWidth="1"/>
    <col min="14603" max="14603" width="2.5" style="230" customWidth="1"/>
    <col min="14604" max="14604" width="8.75" style="230" customWidth="1"/>
    <col min="14605" max="14605" width="2.5" style="230" customWidth="1"/>
    <col min="14606" max="14606" width="10.25" style="230" customWidth="1"/>
    <col min="14607" max="14607" width="2.5" style="230" customWidth="1"/>
    <col min="14608" max="14608" width="14.125" style="230" customWidth="1"/>
    <col min="14609" max="14612" width="8.75" style="230" customWidth="1"/>
    <col min="14613" max="14613" width="5.5" style="230" customWidth="1"/>
    <col min="14614" max="14614" width="10.5" style="230" customWidth="1"/>
    <col min="14615" max="14615" width="3.375" style="230" customWidth="1"/>
    <col min="14616" max="14616" width="9" style="230" customWidth="1"/>
    <col min="14617" max="14617" width="12.75" style="230" customWidth="1"/>
    <col min="14618" max="14618" width="8.5" style="230" customWidth="1"/>
    <col min="14619" max="14619" width="10.25" style="230" customWidth="1"/>
    <col min="14620" max="14620" width="11.875" style="230" customWidth="1"/>
    <col min="14621" max="14622" width="8.5" style="230" customWidth="1"/>
    <col min="14623" max="14623" width="11.125" style="230" customWidth="1"/>
    <col min="14624" max="14624" width="8.5" style="230" customWidth="1"/>
    <col min="14625" max="14625" width="12.25" style="230" customWidth="1"/>
    <col min="14626" max="14626" width="13.125" style="230" customWidth="1"/>
    <col min="14627" max="14848" width="9" style="230"/>
    <col min="14849" max="14849" width="1" style="230" customWidth="1"/>
    <col min="14850" max="14850" width="5.125" style="230" customWidth="1"/>
    <col min="14851" max="14851" width="6.25" style="230" customWidth="1"/>
    <col min="14852" max="14852" width="16.75" style="230" bestFit="1" customWidth="1"/>
    <col min="14853" max="14853" width="2.5" style="230" customWidth="1"/>
    <col min="14854" max="14854" width="8.75" style="230" customWidth="1"/>
    <col min="14855" max="14855" width="5.5" style="230" customWidth="1"/>
    <col min="14856" max="14856" width="11.375" style="230" customWidth="1"/>
    <col min="14857" max="14857" width="5.5" style="230" customWidth="1"/>
    <col min="14858" max="14858" width="11.375" style="230" customWidth="1"/>
    <col min="14859" max="14859" width="2.5" style="230" customWidth="1"/>
    <col min="14860" max="14860" width="8.75" style="230" customWidth="1"/>
    <col min="14861" max="14861" width="2.5" style="230" customWidth="1"/>
    <col min="14862" max="14862" width="10.25" style="230" customWidth="1"/>
    <col min="14863" max="14863" width="2.5" style="230" customWidth="1"/>
    <col min="14864" max="14864" width="14.125" style="230" customWidth="1"/>
    <col min="14865" max="14868" width="8.75" style="230" customWidth="1"/>
    <col min="14869" max="14869" width="5.5" style="230" customWidth="1"/>
    <col min="14870" max="14870" width="10.5" style="230" customWidth="1"/>
    <col min="14871" max="14871" width="3.375" style="230" customWidth="1"/>
    <col min="14872" max="14872" width="9" style="230" customWidth="1"/>
    <col min="14873" max="14873" width="12.75" style="230" customWidth="1"/>
    <col min="14874" max="14874" width="8.5" style="230" customWidth="1"/>
    <col min="14875" max="14875" width="10.25" style="230" customWidth="1"/>
    <col min="14876" max="14876" width="11.875" style="230" customWidth="1"/>
    <col min="14877" max="14878" width="8.5" style="230" customWidth="1"/>
    <col min="14879" max="14879" width="11.125" style="230" customWidth="1"/>
    <col min="14880" max="14880" width="8.5" style="230" customWidth="1"/>
    <col min="14881" max="14881" width="12.25" style="230" customWidth="1"/>
    <col min="14882" max="14882" width="13.125" style="230" customWidth="1"/>
    <col min="14883" max="15104" width="9" style="230"/>
    <col min="15105" max="15105" width="1" style="230" customWidth="1"/>
    <col min="15106" max="15106" width="5.125" style="230" customWidth="1"/>
    <col min="15107" max="15107" width="6.25" style="230" customWidth="1"/>
    <col min="15108" max="15108" width="16.75" style="230" bestFit="1" customWidth="1"/>
    <col min="15109" max="15109" width="2.5" style="230" customWidth="1"/>
    <col min="15110" max="15110" width="8.75" style="230" customWidth="1"/>
    <col min="15111" max="15111" width="5.5" style="230" customWidth="1"/>
    <col min="15112" max="15112" width="11.375" style="230" customWidth="1"/>
    <col min="15113" max="15113" width="5.5" style="230" customWidth="1"/>
    <col min="15114" max="15114" width="11.375" style="230" customWidth="1"/>
    <col min="15115" max="15115" width="2.5" style="230" customWidth="1"/>
    <col min="15116" max="15116" width="8.75" style="230" customWidth="1"/>
    <col min="15117" max="15117" width="2.5" style="230" customWidth="1"/>
    <col min="15118" max="15118" width="10.25" style="230" customWidth="1"/>
    <col min="15119" max="15119" width="2.5" style="230" customWidth="1"/>
    <col min="15120" max="15120" width="14.125" style="230" customWidth="1"/>
    <col min="15121" max="15124" width="8.75" style="230" customWidth="1"/>
    <col min="15125" max="15125" width="5.5" style="230" customWidth="1"/>
    <col min="15126" max="15126" width="10.5" style="230" customWidth="1"/>
    <col min="15127" max="15127" width="3.375" style="230" customWidth="1"/>
    <col min="15128" max="15128" width="9" style="230" customWidth="1"/>
    <col min="15129" max="15129" width="12.75" style="230" customWidth="1"/>
    <col min="15130" max="15130" width="8.5" style="230" customWidth="1"/>
    <col min="15131" max="15131" width="10.25" style="230" customWidth="1"/>
    <col min="15132" max="15132" width="11.875" style="230" customWidth="1"/>
    <col min="15133" max="15134" width="8.5" style="230" customWidth="1"/>
    <col min="15135" max="15135" width="11.125" style="230" customWidth="1"/>
    <col min="15136" max="15136" width="8.5" style="230" customWidth="1"/>
    <col min="15137" max="15137" width="12.25" style="230" customWidth="1"/>
    <col min="15138" max="15138" width="13.125" style="230" customWidth="1"/>
    <col min="15139" max="15360" width="9" style="230"/>
    <col min="15361" max="15361" width="1" style="230" customWidth="1"/>
    <col min="15362" max="15362" width="5.125" style="230" customWidth="1"/>
    <col min="15363" max="15363" width="6.25" style="230" customWidth="1"/>
    <col min="15364" max="15364" width="16.75" style="230" bestFit="1" customWidth="1"/>
    <col min="15365" max="15365" width="2.5" style="230" customWidth="1"/>
    <col min="15366" max="15366" width="8.75" style="230" customWidth="1"/>
    <col min="15367" max="15367" width="5.5" style="230" customWidth="1"/>
    <col min="15368" max="15368" width="11.375" style="230" customWidth="1"/>
    <col min="15369" max="15369" width="5.5" style="230" customWidth="1"/>
    <col min="15370" max="15370" width="11.375" style="230" customWidth="1"/>
    <col min="15371" max="15371" width="2.5" style="230" customWidth="1"/>
    <col min="15372" max="15372" width="8.75" style="230" customWidth="1"/>
    <col min="15373" max="15373" width="2.5" style="230" customWidth="1"/>
    <col min="15374" max="15374" width="10.25" style="230" customWidth="1"/>
    <col min="15375" max="15375" width="2.5" style="230" customWidth="1"/>
    <col min="15376" max="15376" width="14.125" style="230" customWidth="1"/>
    <col min="15377" max="15380" width="8.75" style="230" customWidth="1"/>
    <col min="15381" max="15381" width="5.5" style="230" customWidth="1"/>
    <col min="15382" max="15382" width="10.5" style="230" customWidth="1"/>
    <col min="15383" max="15383" width="3.375" style="230" customWidth="1"/>
    <col min="15384" max="15384" width="9" style="230" customWidth="1"/>
    <col min="15385" max="15385" width="12.75" style="230" customWidth="1"/>
    <col min="15386" max="15386" width="8.5" style="230" customWidth="1"/>
    <col min="15387" max="15387" width="10.25" style="230" customWidth="1"/>
    <col min="15388" max="15388" width="11.875" style="230" customWidth="1"/>
    <col min="15389" max="15390" width="8.5" style="230" customWidth="1"/>
    <col min="15391" max="15391" width="11.125" style="230" customWidth="1"/>
    <col min="15392" max="15392" width="8.5" style="230" customWidth="1"/>
    <col min="15393" max="15393" width="12.25" style="230" customWidth="1"/>
    <col min="15394" max="15394" width="13.125" style="230" customWidth="1"/>
    <col min="15395" max="15616" width="9" style="230"/>
    <col min="15617" max="15617" width="1" style="230" customWidth="1"/>
    <col min="15618" max="15618" width="5.125" style="230" customWidth="1"/>
    <col min="15619" max="15619" width="6.25" style="230" customWidth="1"/>
    <col min="15620" max="15620" width="16.75" style="230" bestFit="1" customWidth="1"/>
    <col min="15621" max="15621" width="2.5" style="230" customWidth="1"/>
    <col min="15622" max="15622" width="8.75" style="230" customWidth="1"/>
    <col min="15623" max="15623" width="5.5" style="230" customWidth="1"/>
    <col min="15624" max="15624" width="11.375" style="230" customWidth="1"/>
    <col min="15625" max="15625" width="5.5" style="230" customWidth="1"/>
    <col min="15626" max="15626" width="11.375" style="230" customWidth="1"/>
    <col min="15627" max="15627" width="2.5" style="230" customWidth="1"/>
    <col min="15628" max="15628" width="8.75" style="230" customWidth="1"/>
    <col min="15629" max="15629" width="2.5" style="230" customWidth="1"/>
    <col min="15630" max="15630" width="10.25" style="230" customWidth="1"/>
    <col min="15631" max="15631" width="2.5" style="230" customWidth="1"/>
    <col min="15632" max="15632" width="14.125" style="230" customWidth="1"/>
    <col min="15633" max="15636" width="8.75" style="230" customWidth="1"/>
    <col min="15637" max="15637" width="5.5" style="230" customWidth="1"/>
    <col min="15638" max="15638" width="10.5" style="230" customWidth="1"/>
    <col min="15639" max="15639" width="3.375" style="230" customWidth="1"/>
    <col min="15640" max="15640" width="9" style="230" customWidth="1"/>
    <col min="15641" max="15641" width="12.75" style="230" customWidth="1"/>
    <col min="15642" max="15642" width="8.5" style="230" customWidth="1"/>
    <col min="15643" max="15643" width="10.25" style="230" customWidth="1"/>
    <col min="15644" max="15644" width="11.875" style="230" customWidth="1"/>
    <col min="15645" max="15646" width="8.5" style="230" customWidth="1"/>
    <col min="15647" max="15647" width="11.125" style="230" customWidth="1"/>
    <col min="15648" max="15648" width="8.5" style="230" customWidth="1"/>
    <col min="15649" max="15649" width="12.25" style="230" customWidth="1"/>
    <col min="15650" max="15650" width="13.125" style="230" customWidth="1"/>
    <col min="15651" max="15872" width="9" style="230"/>
    <col min="15873" max="15873" width="1" style="230" customWidth="1"/>
    <col min="15874" max="15874" width="5.125" style="230" customWidth="1"/>
    <col min="15875" max="15875" width="6.25" style="230" customWidth="1"/>
    <col min="15876" max="15876" width="16.75" style="230" bestFit="1" customWidth="1"/>
    <col min="15877" max="15877" width="2.5" style="230" customWidth="1"/>
    <col min="15878" max="15878" width="8.75" style="230" customWidth="1"/>
    <col min="15879" max="15879" width="5.5" style="230" customWidth="1"/>
    <col min="15880" max="15880" width="11.375" style="230" customWidth="1"/>
    <col min="15881" max="15881" width="5.5" style="230" customWidth="1"/>
    <col min="15882" max="15882" width="11.375" style="230" customWidth="1"/>
    <col min="15883" max="15883" width="2.5" style="230" customWidth="1"/>
    <col min="15884" max="15884" width="8.75" style="230" customWidth="1"/>
    <col min="15885" max="15885" width="2.5" style="230" customWidth="1"/>
    <col min="15886" max="15886" width="10.25" style="230" customWidth="1"/>
    <col min="15887" max="15887" width="2.5" style="230" customWidth="1"/>
    <col min="15888" max="15888" width="14.125" style="230" customWidth="1"/>
    <col min="15889" max="15892" width="8.75" style="230" customWidth="1"/>
    <col min="15893" max="15893" width="5.5" style="230" customWidth="1"/>
    <col min="15894" max="15894" width="10.5" style="230" customWidth="1"/>
    <col min="15895" max="15895" width="3.375" style="230" customWidth="1"/>
    <col min="15896" max="15896" width="9" style="230" customWidth="1"/>
    <col min="15897" max="15897" width="12.75" style="230" customWidth="1"/>
    <col min="15898" max="15898" width="8.5" style="230" customWidth="1"/>
    <col min="15899" max="15899" width="10.25" style="230" customWidth="1"/>
    <col min="15900" max="15900" width="11.875" style="230" customWidth="1"/>
    <col min="15901" max="15902" width="8.5" style="230" customWidth="1"/>
    <col min="15903" max="15903" width="11.125" style="230" customWidth="1"/>
    <col min="15904" max="15904" width="8.5" style="230" customWidth="1"/>
    <col min="15905" max="15905" width="12.25" style="230" customWidth="1"/>
    <col min="15906" max="15906" width="13.125" style="230" customWidth="1"/>
    <col min="15907" max="16128" width="9" style="230"/>
    <col min="16129" max="16129" width="1" style="230" customWidth="1"/>
    <col min="16130" max="16130" width="5.125" style="230" customWidth="1"/>
    <col min="16131" max="16131" width="6.25" style="230" customWidth="1"/>
    <col min="16132" max="16132" width="16.75" style="230" bestFit="1" customWidth="1"/>
    <col min="16133" max="16133" width="2.5" style="230" customWidth="1"/>
    <col min="16134" max="16134" width="8.75" style="230" customWidth="1"/>
    <col min="16135" max="16135" width="5.5" style="230" customWidth="1"/>
    <col min="16136" max="16136" width="11.375" style="230" customWidth="1"/>
    <col min="16137" max="16137" width="5.5" style="230" customWidth="1"/>
    <col min="16138" max="16138" width="11.375" style="230" customWidth="1"/>
    <col min="16139" max="16139" width="2.5" style="230" customWidth="1"/>
    <col min="16140" max="16140" width="8.75" style="230" customWidth="1"/>
    <col min="16141" max="16141" width="2.5" style="230" customWidth="1"/>
    <col min="16142" max="16142" width="10.25" style="230" customWidth="1"/>
    <col min="16143" max="16143" width="2.5" style="230" customWidth="1"/>
    <col min="16144" max="16144" width="14.125" style="230" customWidth="1"/>
    <col min="16145" max="16148" width="8.75" style="230" customWidth="1"/>
    <col min="16149" max="16149" width="5.5" style="230" customWidth="1"/>
    <col min="16150" max="16150" width="10.5" style="230" customWidth="1"/>
    <col min="16151" max="16151" width="3.375" style="230" customWidth="1"/>
    <col min="16152" max="16152" width="9" style="230" customWidth="1"/>
    <col min="16153" max="16153" width="12.75" style="230" customWidth="1"/>
    <col min="16154" max="16154" width="8.5" style="230" customWidth="1"/>
    <col min="16155" max="16155" width="10.25" style="230" customWidth="1"/>
    <col min="16156" max="16156" width="11.875" style="230" customWidth="1"/>
    <col min="16157" max="16158" width="8.5" style="230" customWidth="1"/>
    <col min="16159" max="16159" width="11.125" style="230" customWidth="1"/>
    <col min="16160" max="16160" width="8.5" style="230" customWidth="1"/>
    <col min="16161" max="16161" width="12.25" style="230" customWidth="1"/>
    <col min="16162" max="16162" width="13.125" style="230" customWidth="1"/>
    <col min="16163" max="16384" width="9" style="230"/>
  </cols>
  <sheetData>
    <row r="1" spans="1:36" ht="24" customHeight="1" thickBot="1">
      <c r="B1" s="449">
        <v>1</v>
      </c>
      <c r="C1" s="2672" t="s">
        <v>663</v>
      </c>
      <c r="D1" s="2672"/>
      <c r="E1" s="1018" t="s">
        <v>218</v>
      </c>
      <c r="F1" s="1018"/>
      <c r="J1" s="450" t="s">
        <v>219</v>
      </c>
      <c r="Y1" s="451"/>
      <c r="Z1" s="452"/>
      <c r="AA1" s="452"/>
      <c r="AB1" s="453"/>
      <c r="AC1" s="230"/>
      <c r="AD1" s="230"/>
      <c r="AE1" s="230"/>
      <c r="AG1" s="454"/>
      <c r="AH1" s="454"/>
      <c r="AI1" s="454"/>
    </row>
    <row r="2" spans="1:36" ht="21" customHeight="1">
      <c r="A2" s="455"/>
      <c r="B2" s="2512" t="s">
        <v>0</v>
      </c>
      <c r="C2" s="2515" t="s">
        <v>220</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549" t="s">
        <v>75</v>
      </c>
      <c r="X2" s="2677"/>
      <c r="Y2" s="2664" t="s">
        <v>224</v>
      </c>
      <c r="Z2" s="2667" t="s">
        <v>221</v>
      </c>
      <c r="AA2" s="2548"/>
      <c r="AB2" s="2523"/>
      <c r="AC2" s="2545" t="s">
        <v>74</v>
      </c>
      <c r="AD2" s="2546"/>
      <c r="AE2" s="2669" t="s">
        <v>356</v>
      </c>
      <c r="AF2" s="2669" t="s">
        <v>222</v>
      </c>
      <c r="AG2" s="2669" t="s">
        <v>223</v>
      </c>
      <c r="AH2" s="456"/>
      <c r="AI2" s="454"/>
      <c r="AJ2" s="454"/>
    </row>
    <row r="3" spans="1:36" ht="21"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550"/>
      <c r="X3" s="2678"/>
      <c r="Y3" s="2665"/>
      <c r="Z3" s="2679" t="s">
        <v>225</v>
      </c>
      <c r="AA3" s="2681" t="s">
        <v>77</v>
      </c>
      <c r="AB3" s="2681" t="s">
        <v>227</v>
      </c>
      <c r="AC3" s="2683" t="s">
        <v>229</v>
      </c>
      <c r="AD3" s="2681" t="s">
        <v>228</v>
      </c>
      <c r="AE3" s="2670"/>
      <c r="AF3" s="2670"/>
      <c r="AG3" s="2670"/>
      <c r="AH3" s="456"/>
      <c r="AI3" s="454"/>
      <c r="AJ3" s="454"/>
    </row>
    <row r="4" spans="1:36" ht="15.75" customHeight="1">
      <c r="A4" s="455"/>
      <c r="B4" s="2514"/>
      <c r="C4" s="457" t="s">
        <v>230</v>
      </c>
      <c r="D4" s="458" t="s">
        <v>231</v>
      </c>
      <c r="E4" s="459" t="s">
        <v>230</v>
      </c>
      <c r="F4" s="1003" t="s">
        <v>232</v>
      </c>
      <c r="G4" s="460" t="s">
        <v>230</v>
      </c>
      <c r="H4" s="1003" t="s">
        <v>232</v>
      </c>
      <c r="I4" s="459" t="s">
        <v>230</v>
      </c>
      <c r="J4" s="1003" t="s">
        <v>232</v>
      </c>
      <c r="K4" s="460" t="s">
        <v>230</v>
      </c>
      <c r="L4" s="18" t="s">
        <v>232</v>
      </c>
      <c r="M4" s="460" t="s">
        <v>230</v>
      </c>
      <c r="N4" s="1003" t="s">
        <v>232</v>
      </c>
      <c r="O4" s="460" t="s">
        <v>230</v>
      </c>
      <c r="P4" s="18" t="s">
        <v>232</v>
      </c>
      <c r="Q4" s="1021" t="s">
        <v>230</v>
      </c>
      <c r="R4" s="1022" t="s">
        <v>232</v>
      </c>
      <c r="S4" s="1023" t="s">
        <v>230</v>
      </c>
      <c r="T4" s="1003" t="s">
        <v>232</v>
      </c>
      <c r="U4" s="460" t="s">
        <v>230</v>
      </c>
      <c r="V4" s="1003" t="s">
        <v>232</v>
      </c>
      <c r="W4" s="460" t="s">
        <v>230</v>
      </c>
      <c r="X4" s="18" t="s">
        <v>232</v>
      </c>
      <c r="Y4" s="2666"/>
      <c r="Z4" s="2680"/>
      <c r="AA4" s="2682"/>
      <c r="AB4" s="2682"/>
      <c r="AC4" s="2684"/>
      <c r="AD4" s="2682"/>
      <c r="AE4" s="2671"/>
      <c r="AF4" s="2671"/>
      <c r="AG4" s="2671"/>
      <c r="AH4" s="461"/>
      <c r="AI4" s="454"/>
      <c r="AJ4" s="454"/>
    </row>
    <row r="5" spans="1:36" ht="30" customHeight="1">
      <c r="A5" s="1012"/>
      <c r="B5" s="1001" t="s">
        <v>233</v>
      </c>
      <c r="C5" s="462">
        <f>E5+G5+I5+K5+M5+O5+U5+W5+Q5+S5</f>
        <v>19407</v>
      </c>
      <c r="D5" s="463">
        <f>F5+H5+J5+L5+N5+P5+V5+X5+R5+T5</f>
        <v>6792730000</v>
      </c>
      <c r="E5" s="464">
        <f>'R7短期'!$E$16</f>
        <v>3</v>
      </c>
      <c r="F5" s="465">
        <f>'R7短期'!$F$16+F50</f>
        <v>1150000</v>
      </c>
      <c r="G5" s="466">
        <f>D31</f>
        <v>3184</v>
      </c>
      <c r="H5" s="467">
        <f>E31</f>
        <v>1557710000</v>
      </c>
      <c r="I5" s="468">
        <f>D42</f>
        <v>8390</v>
      </c>
      <c r="J5" s="465">
        <f>E42</f>
        <v>3411260000</v>
      </c>
      <c r="K5" s="466">
        <f>'R7短期'!K16</f>
        <v>2</v>
      </c>
      <c r="L5" s="469">
        <f>'R7短期'!L16</f>
        <v>1710000</v>
      </c>
      <c r="M5" s="466">
        <f>'R7短期'!$M$16</f>
        <v>5</v>
      </c>
      <c r="N5" s="467">
        <f>'R7短期'!$N$16</f>
        <v>4550000</v>
      </c>
      <c r="O5" s="466">
        <f>'R7短期'!$O$16</f>
        <v>1</v>
      </c>
      <c r="P5" s="469">
        <f>'R7短期'!$P$16</f>
        <v>1330000</v>
      </c>
      <c r="Q5" s="466">
        <f>N31</f>
        <v>683</v>
      </c>
      <c r="R5" s="467">
        <f>O31</f>
        <v>214610000</v>
      </c>
      <c r="S5" s="466">
        <f>N42</f>
        <v>5476</v>
      </c>
      <c r="T5" s="467">
        <f>O42</f>
        <v>967720000</v>
      </c>
      <c r="U5" s="466">
        <f>S31</f>
        <v>1298</v>
      </c>
      <c r="V5" s="467">
        <f>T31</f>
        <v>550350000</v>
      </c>
      <c r="W5" s="466">
        <f>S38</f>
        <v>365</v>
      </c>
      <c r="X5" s="470">
        <f>T38</f>
        <v>82340000</v>
      </c>
      <c r="Y5" s="1848" t="s">
        <v>657</v>
      </c>
      <c r="Z5" s="1181">
        <v>1.075</v>
      </c>
      <c r="AA5" s="472"/>
      <c r="AB5" s="473"/>
      <c r="AC5" s="472"/>
      <c r="AD5" s="472"/>
      <c r="AE5" s="472"/>
      <c r="AF5" s="473"/>
      <c r="AG5" s="473"/>
      <c r="AH5" s="474"/>
      <c r="AI5" s="454"/>
      <c r="AJ5" s="454"/>
    </row>
    <row r="6" spans="1:36" ht="30" customHeight="1">
      <c r="B6" s="1002" t="s">
        <v>62</v>
      </c>
      <c r="C6" s="475">
        <f t="shared" ref="C6:D16" si="0">E6+G6+I6+K6+M6+O6+U6+W6+Q6+S6</f>
        <v>19456</v>
      </c>
      <c r="D6" s="476">
        <f t="shared" si="0"/>
        <v>6797848000</v>
      </c>
      <c r="E6" s="477">
        <f>E5</f>
        <v>3</v>
      </c>
      <c r="F6" s="478">
        <f t="shared" ref="F6:F16" si="1">F5+F51</f>
        <v>1150000</v>
      </c>
      <c r="G6" s="479">
        <f t="shared" ref="G6:G16" si="2">G5+G70-G89</f>
        <v>3178</v>
      </c>
      <c r="H6" s="480">
        <f t="shared" ref="H6:H16" si="3">H5+H70-H89+H51</f>
        <v>1555180000</v>
      </c>
      <c r="I6" s="479">
        <f t="shared" ref="I6:I16" si="4">I5+I70-I89</f>
        <v>8390</v>
      </c>
      <c r="J6" s="480">
        <f>J5+J70-J89+J51</f>
        <v>3410810000</v>
      </c>
      <c r="K6" s="479">
        <f t="shared" ref="K6:P16" si="5">K5</f>
        <v>2</v>
      </c>
      <c r="L6" s="481">
        <f t="shared" si="5"/>
        <v>1710000</v>
      </c>
      <c r="M6" s="479">
        <f t="shared" si="5"/>
        <v>5</v>
      </c>
      <c r="N6" s="480">
        <f t="shared" si="5"/>
        <v>4550000</v>
      </c>
      <c r="O6" s="479">
        <f t="shared" si="5"/>
        <v>1</v>
      </c>
      <c r="P6" s="481">
        <f t="shared" si="5"/>
        <v>1330000</v>
      </c>
      <c r="Q6" s="479">
        <f>Q5+Q70-Q89</f>
        <v>689</v>
      </c>
      <c r="R6" s="480">
        <f>R5+R70-R89+R51</f>
        <v>215770000</v>
      </c>
      <c r="S6" s="479">
        <f>S5+S70-S89</f>
        <v>5528</v>
      </c>
      <c r="T6" s="480">
        <f>T5+T70-T89+T51</f>
        <v>975142000</v>
      </c>
      <c r="U6" s="479">
        <f>U5+U70-U89</f>
        <v>1298</v>
      </c>
      <c r="V6" s="480">
        <f>V5+V70-V89+V51</f>
        <v>550350000</v>
      </c>
      <c r="W6" s="479">
        <f t="shared" ref="W6:X16" si="6">W5+W70-W89</f>
        <v>362</v>
      </c>
      <c r="X6" s="482">
        <f>X5+X70-X89</f>
        <v>81856000</v>
      </c>
      <c r="Y6" s="1848" t="s">
        <v>656</v>
      </c>
      <c r="Z6" s="1181">
        <v>2.1</v>
      </c>
      <c r="AA6" s="511"/>
      <c r="AB6" s="486"/>
      <c r="AC6" s="485"/>
      <c r="AD6" s="485"/>
      <c r="AE6" s="485"/>
      <c r="AF6" s="486"/>
      <c r="AG6" s="486"/>
      <c r="AH6" s="474"/>
      <c r="AI6" s="454"/>
      <c r="AJ6" s="454"/>
    </row>
    <row r="7" spans="1:36" ht="30" customHeight="1">
      <c r="B7" s="1002" t="s">
        <v>63</v>
      </c>
      <c r="C7" s="475">
        <f t="shared" si="0"/>
        <v>19489</v>
      </c>
      <c r="D7" s="476">
        <f t="shared" si="0"/>
        <v>6801350000</v>
      </c>
      <c r="E7" s="477">
        <f>E6</f>
        <v>3</v>
      </c>
      <c r="F7" s="478">
        <f t="shared" si="1"/>
        <v>1150000</v>
      </c>
      <c r="G7" s="479">
        <f t="shared" si="2"/>
        <v>3182</v>
      </c>
      <c r="H7" s="480">
        <f>H6+H71-H90+H52</f>
        <v>1556540000</v>
      </c>
      <c r="I7" s="479">
        <f t="shared" si="4"/>
        <v>8392</v>
      </c>
      <c r="J7" s="480">
        <f t="shared" ref="J7:J16" si="7">J6+J71-J90+J52</f>
        <v>3410640000</v>
      </c>
      <c r="K7" s="479">
        <f t="shared" si="5"/>
        <v>2</v>
      </c>
      <c r="L7" s="481">
        <f t="shared" si="5"/>
        <v>1710000</v>
      </c>
      <c r="M7" s="479">
        <f t="shared" si="5"/>
        <v>5</v>
      </c>
      <c r="N7" s="480">
        <f t="shared" si="5"/>
        <v>4550000</v>
      </c>
      <c r="O7" s="479">
        <f t="shared" si="5"/>
        <v>1</v>
      </c>
      <c r="P7" s="481">
        <f>P6</f>
        <v>1330000</v>
      </c>
      <c r="Q7" s="1024">
        <f t="shared" ref="Q7:Q16" si="8">Q6+Q71-Q90</f>
        <v>692</v>
      </c>
      <c r="R7" s="1025">
        <f t="shared" ref="R7:R16" si="9">R6+R71-R90+R52</f>
        <v>215800000</v>
      </c>
      <c r="S7" s="1026">
        <f t="shared" ref="S7:S16" si="10">S6+S71-S90</f>
        <v>5565</v>
      </c>
      <c r="T7" s="481">
        <f t="shared" ref="T7:T16" si="11">T6+T71-T90+T52</f>
        <v>981220000</v>
      </c>
      <c r="U7" s="479">
        <f t="shared" ref="U7:U15" si="12">U6+U71-U90</f>
        <v>1297</v>
      </c>
      <c r="V7" s="480">
        <f t="shared" ref="V7:V15" si="13">V6+V71-V90+V52</f>
        <v>549990000</v>
      </c>
      <c r="W7" s="479">
        <f t="shared" si="6"/>
        <v>350</v>
      </c>
      <c r="X7" s="482">
        <f t="shared" si="6"/>
        <v>78420000</v>
      </c>
      <c r="Y7" s="487">
        <f>SUM(Z7:AG7)</f>
        <v>11655237000</v>
      </c>
      <c r="Z7" s="1881">
        <f>ROUNDDOWN(('R7短期'!Z7+'R7短期'!Z8)/'R7短期'!$Z$6*'R8短期'!$Z$6/'R7短期'!F7*'R8短期'!F7,-3)</f>
        <v>2133000</v>
      </c>
      <c r="AA7" s="1882">
        <f>ROUNDDOWN(('R7短期'!AA7+'R7短期'!AA8)/'R7短期'!$Z$6*'R8短期'!$Z$6/'R7短期'!H7*'R8短期'!H7,-3)</f>
        <v>2209646000</v>
      </c>
      <c r="AB7" s="1882">
        <f>ROUNDDOWN(('R7短期'!AB7+'R7短期'!AB8)/'R7短期'!$Z$6*'R8短期'!$Z$6/'R7短期'!J7*'R8短期'!J7,-3)</f>
        <v>6421273000</v>
      </c>
      <c r="AC7" s="1882">
        <f>ROUNDDOWN(('R7短期'!AC7+'R7短期'!AC8)/'R7短期'!$Z$6*'R8短期'!$Z$6/'R7短期'!L7*'R8短期'!L7,-3)</f>
        <v>4450000</v>
      </c>
      <c r="AD7" s="1882">
        <f>ROUNDDOWN(('R7短期'!AD7+'R7短期'!AD8)/'R7短期'!$Z$6*'R8短期'!$Z$6/'R7短期'!N7*'R8短期'!N7,-3)</f>
        <v>11367000</v>
      </c>
      <c r="AE7" s="1882">
        <f>ROUNDDOWN(('R7短期'!AE7+'R7短期'!AE8)/'R7短期'!$Z$6*'R8短期'!$Z$6/('R7短期'!R7+'R7短期'!T7)*(R7+T7),-3)</f>
        <v>2045837000</v>
      </c>
      <c r="AF7" s="1882">
        <f>ROUNDDOWN(('R7短期'!AF7+'R7短期'!AF8)/'R7短期'!$Z$6*'R8短期'!$Z$6/'R7短期'!P7*'R8短期'!P7,-3)</f>
        <v>3400000</v>
      </c>
      <c r="AG7" s="1882">
        <f>ROUNDDOWN(('R7短期'!AG7+'R7短期'!AG8)/'R7短期'!$Z$6*'R8短期'!$Z$6/'R7短期'!V7*'R8短期'!V7,-3)</f>
        <v>957131000</v>
      </c>
      <c r="AH7" s="489"/>
      <c r="AI7" s="454"/>
      <c r="AJ7" s="454"/>
    </row>
    <row r="8" spans="1:36" ht="30" customHeight="1">
      <c r="A8" s="490"/>
      <c r="B8" s="1002" t="s">
        <v>64</v>
      </c>
      <c r="C8" s="475">
        <f t="shared" si="0"/>
        <v>19473</v>
      </c>
      <c r="D8" s="476">
        <f t="shared" si="0"/>
        <v>6969270000</v>
      </c>
      <c r="E8" s="477">
        <f>E7</f>
        <v>3</v>
      </c>
      <c r="F8" s="478">
        <f t="shared" si="1"/>
        <v>1150000</v>
      </c>
      <c r="G8" s="479">
        <f t="shared" si="2"/>
        <v>3167</v>
      </c>
      <c r="H8" s="480">
        <f t="shared" si="3"/>
        <v>1569140000</v>
      </c>
      <c r="I8" s="479">
        <f t="shared" si="4"/>
        <v>8398</v>
      </c>
      <c r="J8" s="480">
        <f t="shared" si="7"/>
        <v>3507080000</v>
      </c>
      <c r="K8" s="479">
        <f t="shared" si="5"/>
        <v>2</v>
      </c>
      <c r="L8" s="481">
        <f t="shared" si="5"/>
        <v>1710000</v>
      </c>
      <c r="M8" s="479">
        <f t="shared" si="5"/>
        <v>5</v>
      </c>
      <c r="N8" s="480">
        <f t="shared" si="5"/>
        <v>4550000</v>
      </c>
      <c r="O8" s="479">
        <f t="shared" si="5"/>
        <v>1</v>
      </c>
      <c r="P8" s="481">
        <f t="shared" si="5"/>
        <v>1330000</v>
      </c>
      <c r="Q8" s="1024">
        <f t="shared" si="8"/>
        <v>692</v>
      </c>
      <c r="R8" s="1025">
        <f t="shared" si="9"/>
        <v>221046000</v>
      </c>
      <c r="S8" s="1026">
        <f t="shared" si="10"/>
        <v>5560</v>
      </c>
      <c r="T8" s="481">
        <f t="shared" si="11"/>
        <v>1028158000</v>
      </c>
      <c r="U8" s="479">
        <f t="shared" si="12"/>
        <v>1297</v>
      </c>
      <c r="V8" s="480">
        <f t="shared" si="13"/>
        <v>557670000</v>
      </c>
      <c r="W8" s="479">
        <f t="shared" si="6"/>
        <v>348</v>
      </c>
      <c r="X8" s="482">
        <f t="shared" si="6"/>
        <v>77436000</v>
      </c>
      <c r="Y8" s="1187"/>
      <c r="Z8" s="1842"/>
      <c r="AA8" s="1843"/>
      <c r="AB8" s="1843"/>
      <c r="AC8" s="1844"/>
      <c r="AD8" s="1845"/>
      <c r="AE8" s="1846"/>
      <c r="AF8" s="1846"/>
      <c r="AG8" s="1844"/>
      <c r="AH8" s="496"/>
      <c r="AI8" s="454"/>
      <c r="AJ8" s="454"/>
    </row>
    <row r="9" spans="1:36" ht="30" customHeight="1">
      <c r="B9" s="1002" t="s">
        <v>65</v>
      </c>
      <c r="C9" s="475">
        <f t="shared" si="0"/>
        <v>19452</v>
      </c>
      <c r="D9" s="476">
        <f t="shared" si="0"/>
        <v>6937808000</v>
      </c>
      <c r="E9" s="477">
        <f>E8</f>
        <v>3</v>
      </c>
      <c r="F9" s="478">
        <f t="shared" si="1"/>
        <v>1150000</v>
      </c>
      <c r="G9" s="479">
        <f t="shared" si="2"/>
        <v>3163</v>
      </c>
      <c r="H9" s="480">
        <f t="shared" si="3"/>
        <v>1565660000</v>
      </c>
      <c r="I9" s="479">
        <f t="shared" si="4"/>
        <v>8384</v>
      </c>
      <c r="J9" s="480">
        <f t="shared" si="7"/>
        <v>3478050000</v>
      </c>
      <c r="K9" s="479">
        <f t="shared" si="5"/>
        <v>2</v>
      </c>
      <c r="L9" s="481">
        <f t="shared" si="5"/>
        <v>1710000</v>
      </c>
      <c r="M9" s="479">
        <f t="shared" si="5"/>
        <v>5</v>
      </c>
      <c r="N9" s="480">
        <f t="shared" si="5"/>
        <v>4550000</v>
      </c>
      <c r="O9" s="479">
        <f t="shared" si="5"/>
        <v>1</v>
      </c>
      <c r="P9" s="481">
        <f t="shared" si="5"/>
        <v>1330000</v>
      </c>
      <c r="Q9" s="1024">
        <f t="shared" si="8"/>
        <v>697</v>
      </c>
      <c r="R9" s="1025">
        <f t="shared" si="9"/>
        <v>224420000</v>
      </c>
      <c r="S9" s="1026">
        <f t="shared" si="10"/>
        <v>5558</v>
      </c>
      <c r="T9" s="481">
        <f t="shared" si="11"/>
        <v>1028190000</v>
      </c>
      <c r="U9" s="479">
        <f t="shared" si="12"/>
        <v>1297</v>
      </c>
      <c r="V9" s="480">
        <f t="shared" si="13"/>
        <v>557000000</v>
      </c>
      <c r="W9" s="479">
        <f t="shared" si="6"/>
        <v>342</v>
      </c>
      <c r="X9" s="482">
        <f t="shared" si="6"/>
        <v>75748000</v>
      </c>
      <c r="Y9" s="471"/>
      <c r="Z9" s="924"/>
      <c r="AA9" s="497"/>
      <c r="AB9" s="498"/>
      <c r="AC9" s="499"/>
      <c r="AD9" s="500"/>
      <c r="AE9" s="500"/>
      <c r="AF9" s="495"/>
      <c r="AG9" s="501"/>
      <c r="AH9" s="496"/>
      <c r="AI9" s="454"/>
      <c r="AJ9" s="454"/>
    </row>
    <row r="10" spans="1:36" ht="30" customHeight="1">
      <c r="B10" s="1002" t="s">
        <v>66</v>
      </c>
      <c r="C10" s="475">
        <f t="shared" si="0"/>
        <v>19478</v>
      </c>
      <c r="D10" s="476">
        <f t="shared" si="0"/>
        <v>6988542000</v>
      </c>
      <c r="E10" s="477">
        <f t="shared" ref="E10:E15" si="14">E9</f>
        <v>3</v>
      </c>
      <c r="F10" s="478">
        <f t="shared" si="1"/>
        <v>1150000</v>
      </c>
      <c r="G10" s="479">
        <f t="shared" si="2"/>
        <v>3155</v>
      </c>
      <c r="H10" s="480">
        <f t="shared" si="3"/>
        <v>1571880000</v>
      </c>
      <c r="I10" s="479">
        <f t="shared" si="4"/>
        <v>8380</v>
      </c>
      <c r="J10" s="480">
        <f t="shared" si="7"/>
        <v>3502390000</v>
      </c>
      <c r="K10" s="479">
        <f t="shared" si="5"/>
        <v>2</v>
      </c>
      <c r="L10" s="481">
        <f t="shared" si="5"/>
        <v>1710000</v>
      </c>
      <c r="M10" s="479">
        <f t="shared" si="5"/>
        <v>5</v>
      </c>
      <c r="N10" s="480">
        <f t="shared" si="5"/>
        <v>4550000</v>
      </c>
      <c r="O10" s="479">
        <f t="shared" si="5"/>
        <v>1</v>
      </c>
      <c r="P10" s="481">
        <f t="shared" si="5"/>
        <v>1330000</v>
      </c>
      <c r="Q10" s="1024">
        <f t="shared" si="8"/>
        <v>698</v>
      </c>
      <c r="R10" s="1025">
        <f t="shared" si="9"/>
        <v>217662000</v>
      </c>
      <c r="S10" s="1026">
        <f t="shared" si="10"/>
        <v>5598</v>
      </c>
      <c r="T10" s="481">
        <f t="shared" si="11"/>
        <v>1054316000</v>
      </c>
      <c r="U10" s="479">
        <f t="shared" si="12"/>
        <v>1295</v>
      </c>
      <c r="V10" s="480">
        <f t="shared" si="13"/>
        <v>557100000</v>
      </c>
      <c r="W10" s="479">
        <f t="shared" si="6"/>
        <v>341</v>
      </c>
      <c r="X10" s="502">
        <f t="shared" si="6"/>
        <v>76454000</v>
      </c>
      <c r="Y10" s="471"/>
      <c r="Z10" s="1181"/>
      <c r="AA10" s="504"/>
      <c r="AB10" s="505"/>
      <c r="AC10" s="506"/>
      <c r="AD10" s="507"/>
      <c r="AE10" s="507"/>
      <c r="AF10" s="495"/>
      <c r="AG10" s="508"/>
      <c r="AH10" s="496"/>
      <c r="AI10" s="454"/>
      <c r="AJ10" s="454"/>
    </row>
    <row r="11" spans="1:36" ht="30" customHeight="1">
      <c r="A11" s="490"/>
      <c r="B11" s="1002" t="s">
        <v>67</v>
      </c>
      <c r="C11" s="475">
        <f t="shared" si="0"/>
        <v>19475</v>
      </c>
      <c r="D11" s="476">
        <f t="shared" si="0"/>
        <v>6985394000</v>
      </c>
      <c r="E11" s="477">
        <f t="shared" si="14"/>
        <v>3</v>
      </c>
      <c r="F11" s="478">
        <f t="shared" si="1"/>
        <v>1150000</v>
      </c>
      <c r="G11" s="479">
        <f t="shared" si="2"/>
        <v>3149</v>
      </c>
      <c r="H11" s="480">
        <f>H10+H75-H94+H56</f>
        <v>1566410000</v>
      </c>
      <c r="I11" s="479">
        <f t="shared" si="4"/>
        <v>8376</v>
      </c>
      <c r="J11" s="480">
        <f t="shared" si="7"/>
        <v>3500410000</v>
      </c>
      <c r="K11" s="479">
        <f t="shared" si="5"/>
        <v>2</v>
      </c>
      <c r="L11" s="481">
        <f t="shared" si="5"/>
        <v>1710000</v>
      </c>
      <c r="M11" s="479">
        <f t="shared" si="5"/>
        <v>5</v>
      </c>
      <c r="N11" s="480">
        <f t="shared" si="5"/>
        <v>4550000</v>
      </c>
      <c r="O11" s="479">
        <f t="shared" si="5"/>
        <v>1</v>
      </c>
      <c r="P11" s="481">
        <f t="shared" si="5"/>
        <v>1330000</v>
      </c>
      <c r="Q11" s="1024">
        <f t="shared" si="8"/>
        <v>708</v>
      </c>
      <c r="R11" s="1025">
        <f t="shared" si="9"/>
        <v>223972000</v>
      </c>
      <c r="S11" s="1026">
        <f t="shared" si="10"/>
        <v>5606</v>
      </c>
      <c r="T11" s="481">
        <f t="shared" si="11"/>
        <v>1055218000</v>
      </c>
      <c r="U11" s="479">
        <f t="shared" si="12"/>
        <v>1295</v>
      </c>
      <c r="V11" s="480">
        <f t="shared" si="13"/>
        <v>557100000</v>
      </c>
      <c r="W11" s="479">
        <f t="shared" si="6"/>
        <v>330</v>
      </c>
      <c r="X11" s="509">
        <f t="shared" si="6"/>
        <v>73544000</v>
      </c>
      <c r="Y11" s="1848" t="s">
        <v>658</v>
      </c>
      <c r="Z11" s="1181">
        <v>1.075</v>
      </c>
      <c r="AA11" s="1188"/>
      <c r="AB11" s="501"/>
      <c r="AC11" s="497"/>
      <c r="AD11" s="497"/>
      <c r="AE11" s="497"/>
      <c r="AF11" s="497"/>
      <c r="AG11" s="501"/>
      <c r="AH11" s="496"/>
      <c r="AI11" s="454"/>
      <c r="AJ11" s="454"/>
    </row>
    <row r="12" spans="1:36" ht="30" customHeight="1">
      <c r="B12" s="1002" t="s">
        <v>68</v>
      </c>
      <c r="C12" s="475">
        <f t="shared" si="0"/>
        <v>19498</v>
      </c>
      <c r="D12" s="476">
        <f t="shared" si="0"/>
        <v>6987998000</v>
      </c>
      <c r="E12" s="510">
        <f t="shared" si="14"/>
        <v>3</v>
      </c>
      <c r="F12" s="478">
        <f t="shared" si="1"/>
        <v>1150000</v>
      </c>
      <c r="G12" s="479">
        <f t="shared" si="2"/>
        <v>3141</v>
      </c>
      <c r="H12" s="480">
        <f t="shared" si="3"/>
        <v>1562860000</v>
      </c>
      <c r="I12" s="479">
        <f t="shared" si="4"/>
        <v>8383</v>
      </c>
      <c r="J12" s="480">
        <f t="shared" si="7"/>
        <v>3501400000</v>
      </c>
      <c r="K12" s="479">
        <f t="shared" si="5"/>
        <v>2</v>
      </c>
      <c r="L12" s="481">
        <f t="shared" si="5"/>
        <v>1710000</v>
      </c>
      <c r="M12" s="479">
        <f t="shared" si="5"/>
        <v>5</v>
      </c>
      <c r="N12" s="480">
        <f t="shared" si="5"/>
        <v>4550000</v>
      </c>
      <c r="O12" s="479">
        <f t="shared" si="5"/>
        <v>1</v>
      </c>
      <c r="P12" s="481">
        <f t="shared" si="5"/>
        <v>1330000</v>
      </c>
      <c r="Q12" s="1024">
        <f t="shared" si="8"/>
        <v>712</v>
      </c>
      <c r="R12" s="1025">
        <f t="shared" si="9"/>
        <v>225784000</v>
      </c>
      <c r="S12" s="1026">
        <f t="shared" si="10"/>
        <v>5630</v>
      </c>
      <c r="T12" s="481">
        <f t="shared" si="11"/>
        <v>1058970000</v>
      </c>
      <c r="U12" s="479">
        <f t="shared" si="12"/>
        <v>1295</v>
      </c>
      <c r="V12" s="480">
        <f t="shared" si="13"/>
        <v>557100000</v>
      </c>
      <c r="W12" s="479">
        <f t="shared" si="6"/>
        <v>326</v>
      </c>
      <c r="X12" s="509">
        <f t="shared" si="6"/>
        <v>73144000</v>
      </c>
      <c r="Y12" s="1848" t="s">
        <v>659</v>
      </c>
      <c r="Z12" s="1181">
        <v>2.1</v>
      </c>
      <c r="AA12" s="511"/>
      <c r="AB12" s="501"/>
      <c r="AC12" s="497"/>
      <c r="AD12" s="497"/>
      <c r="AE12" s="497"/>
      <c r="AF12" s="497"/>
      <c r="AG12" s="501"/>
      <c r="AH12" s="496"/>
      <c r="AI12" s="454"/>
      <c r="AJ12" s="454"/>
    </row>
    <row r="13" spans="1:36" ht="30" customHeight="1">
      <c r="B13" s="1002" t="s">
        <v>69</v>
      </c>
      <c r="C13" s="475">
        <f t="shared" si="0"/>
        <v>19503</v>
      </c>
      <c r="D13" s="476">
        <f t="shared" si="0"/>
        <v>6985960000</v>
      </c>
      <c r="E13" s="512">
        <f t="shared" si="14"/>
        <v>3</v>
      </c>
      <c r="F13" s="478">
        <f t="shared" si="1"/>
        <v>1150000</v>
      </c>
      <c r="G13" s="479">
        <f t="shared" si="2"/>
        <v>3140</v>
      </c>
      <c r="H13" s="480">
        <f t="shared" si="3"/>
        <v>1562240000</v>
      </c>
      <c r="I13" s="479">
        <f t="shared" si="4"/>
        <v>8384</v>
      </c>
      <c r="J13" s="480">
        <f t="shared" si="7"/>
        <v>3501640000</v>
      </c>
      <c r="K13" s="513">
        <f t="shared" si="5"/>
        <v>2</v>
      </c>
      <c r="L13" s="514">
        <f t="shared" si="5"/>
        <v>1710000</v>
      </c>
      <c r="M13" s="479">
        <f t="shared" si="5"/>
        <v>5</v>
      </c>
      <c r="N13" s="515">
        <f t="shared" si="5"/>
        <v>4550000</v>
      </c>
      <c r="O13" s="479">
        <f t="shared" si="5"/>
        <v>1</v>
      </c>
      <c r="P13" s="514">
        <f t="shared" si="5"/>
        <v>1330000</v>
      </c>
      <c r="Q13" s="1027">
        <f t="shared" si="8"/>
        <v>708</v>
      </c>
      <c r="R13" s="1028">
        <f t="shared" si="9"/>
        <v>223716000</v>
      </c>
      <c r="S13" s="1029">
        <f t="shared" si="10"/>
        <v>5641</v>
      </c>
      <c r="T13" s="514">
        <f t="shared" si="11"/>
        <v>1059682000</v>
      </c>
      <c r="U13" s="479">
        <f t="shared" si="12"/>
        <v>1295</v>
      </c>
      <c r="V13" s="480">
        <f t="shared" si="13"/>
        <v>557100000</v>
      </c>
      <c r="W13" s="479">
        <f t="shared" si="6"/>
        <v>324</v>
      </c>
      <c r="X13" s="514">
        <f t="shared" si="6"/>
        <v>72842000</v>
      </c>
      <c r="Y13" s="487">
        <f>SUM(Z13:AG13)</f>
        <v>11659480000</v>
      </c>
      <c r="Z13" s="1881">
        <f>ROUNDDOWN(('R7短期'!Z13+'R7短期'!Z14)/'R7短期'!$Z$12*'R8短期'!$Z$12/'R7短期'!F13*'R8短期'!F13,-3)</f>
        <v>2134000</v>
      </c>
      <c r="AA13" s="1882">
        <f>ROUNDDOWN(('R7短期'!AA13+'R7短期'!AA14)/'R7短期'!$Z$12*'R8短期'!$Z$12/'R7短期'!H13*'R8短期'!H13,-3)</f>
        <v>2209970000</v>
      </c>
      <c r="AB13" s="1882">
        <f>ROUNDDOWN(('R7短期'!AB13+'R7短期'!AB14)/'R7短期'!$Z$12*'R8短期'!$Z$12/'R7短期'!J13*'R8短期'!J13,-3)</f>
        <v>6421635000</v>
      </c>
      <c r="AC13" s="1882">
        <f>ROUNDDOWN(('R7短期'!AC13+'R7短期'!AC14)/'R7短期'!$Z$12*'R8短期'!$Z$12/'R7短期'!L13*'R8短期'!L13,-3)</f>
        <v>4294000</v>
      </c>
      <c r="AD13" s="1882">
        <f>ROUNDDOWN(('R7短期'!AD13+'R7短期'!AD14)/'R7短期'!$Z$12*'R8短期'!$Z$12/'R7短期'!N13*'R8短期'!N13,-3)</f>
        <v>11218000</v>
      </c>
      <c r="AE13" s="1882">
        <f>ROUNDDOWN(('R7短期'!AE13+'R7短期'!AE14)/'R7短期'!$Z$12*'R8短期'!$Z$12/('R7短期'!R13+'R7短期'!T13)*(R13+T13),-3)</f>
        <v>2050829000</v>
      </c>
      <c r="AF13" s="1882">
        <f>ROUNDDOWN(('R7短期'!AF13+'R7短期'!AF14)/'R7短期'!$Z$12*'R8短期'!$Z$12/'R7短期'!P13*'R8短期'!P13,-3)</f>
        <v>2330000</v>
      </c>
      <c r="AG13" s="1882">
        <f>ROUNDDOWN(('R7短期'!AG13+'R7短期'!AG14)/'R7短期'!$Z$12*'R8短期'!$Z$12/'R7短期'!V13*'R8短期'!V13,-3)</f>
        <v>957070000</v>
      </c>
      <c r="AH13" s="489"/>
      <c r="AI13" s="454"/>
      <c r="AJ13" s="454"/>
    </row>
    <row r="14" spans="1:36" ht="30" customHeight="1">
      <c r="A14" s="490"/>
      <c r="B14" s="1002" t="s">
        <v>70</v>
      </c>
      <c r="C14" s="475">
        <f t="shared" si="0"/>
        <v>19485</v>
      </c>
      <c r="D14" s="476">
        <f t="shared" si="0"/>
        <v>6980872000</v>
      </c>
      <c r="E14" s="512">
        <f t="shared" si="14"/>
        <v>3</v>
      </c>
      <c r="F14" s="478">
        <f t="shared" si="1"/>
        <v>1150000</v>
      </c>
      <c r="G14" s="479">
        <f t="shared" si="2"/>
        <v>3132</v>
      </c>
      <c r="H14" s="480">
        <f>H13+H78-H97+H59</f>
        <v>1559090000</v>
      </c>
      <c r="I14" s="479">
        <f t="shared" si="4"/>
        <v>8383</v>
      </c>
      <c r="J14" s="480">
        <f t="shared" si="7"/>
        <v>3501020000</v>
      </c>
      <c r="K14" s="513">
        <f t="shared" si="5"/>
        <v>2</v>
      </c>
      <c r="L14" s="514">
        <f t="shared" si="5"/>
        <v>1710000</v>
      </c>
      <c r="M14" s="479">
        <f t="shared" si="5"/>
        <v>5</v>
      </c>
      <c r="N14" s="515">
        <f t="shared" si="5"/>
        <v>4550000</v>
      </c>
      <c r="O14" s="479">
        <f t="shared" si="5"/>
        <v>1</v>
      </c>
      <c r="P14" s="514">
        <f t="shared" si="5"/>
        <v>1330000</v>
      </c>
      <c r="Q14" s="1027">
        <f t="shared" si="8"/>
        <v>701</v>
      </c>
      <c r="R14" s="1028">
        <f t="shared" si="9"/>
        <v>222174000</v>
      </c>
      <c r="S14" s="1029">
        <f t="shared" si="10"/>
        <v>5641</v>
      </c>
      <c r="T14" s="514">
        <f t="shared" si="11"/>
        <v>1059776000</v>
      </c>
      <c r="U14" s="479">
        <f t="shared" si="12"/>
        <v>1295</v>
      </c>
      <c r="V14" s="480">
        <f t="shared" si="13"/>
        <v>557100000</v>
      </c>
      <c r="W14" s="479">
        <f t="shared" si="6"/>
        <v>322</v>
      </c>
      <c r="X14" s="514">
        <f t="shared" si="6"/>
        <v>72972000</v>
      </c>
      <c r="Y14" s="1193"/>
      <c r="Z14" s="1847"/>
      <c r="AA14" s="1843"/>
      <c r="AB14" s="1843"/>
      <c r="AC14" s="1844"/>
      <c r="AD14" s="1845"/>
      <c r="AE14" s="1846"/>
      <c r="AF14" s="1846"/>
      <c r="AG14" s="1844"/>
      <c r="AH14" s="496"/>
      <c r="AI14" s="454"/>
      <c r="AJ14" s="454"/>
    </row>
    <row r="15" spans="1:36" ht="30" customHeight="1">
      <c r="A15" s="2658"/>
      <c r="B15" s="1002" t="s">
        <v>71</v>
      </c>
      <c r="C15" s="475">
        <f t="shared" si="0"/>
        <v>19473</v>
      </c>
      <c r="D15" s="476">
        <f t="shared" si="0"/>
        <v>6976936000</v>
      </c>
      <c r="E15" s="512">
        <f t="shared" si="14"/>
        <v>3</v>
      </c>
      <c r="F15" s="478">
        <f t="shared" si="1"/>
        <v>1150000</v>
      </c>
      <c r="G15" s="479">
        <f t="shared" si="2"/>
        <v>3125</v>
      </c>
      <c r="H15" s="480">
        <f t="shared" si="3"/>
        <v>1556410000</v>
      </c>
      <c r="I15" s="479">
        <f t="shared" si="4"/>
        <v>8384</v>
      </c>
      <c r="J15" s="480">
        <f t="shared" si="7"/>
        <v>3501330000</v>
      </c>
      <c r="K15" s="513">
        <f t="shared" si="5"/>
        <v>2</v>
      </c>
      <c r="L15" s="514">
        <f t="shared" si="5"/>
        <v>1710000</v>
      </c>
      <c r="M15" s="479">
        <f>M14</f>
        <v>5</v>
      </c>
      <c r="N15" s="515">
        <f t="shared" si="5"/>
        <v>4550000</v>
      </c>
      <c r="O15" s="479">
        <f t="shared" si="5"/>
        <v>1</v>
      </c>
      <c r="P15" s="514">
        <f t="shared" si="5"/>
        <v>1330000</v>
      </c>
      <c r="Q15" s="1027">
        <f t="shared" si="8"/>
        <v>697</v>
      </c>
      <c r="R15" s="1028">
        <f t="shared" si="9"/>
        <v>221560000</v>
      </c>
      <c r="S15" s="1029">
        <f t="shared" si="10"/>
        <v>5643</v>
      </c>
      <c r="T15" s="514">
        <f t="shared" si="11"/>
        <v>1059802000</v>
      </c>
      <c r="U15" s="479">
        <f t="shared" si="12"/>
        <v>1294</v>
      </c>
      <c r="V15" s="480">
        <f t="shared" si="13"/>
        <v>556800000</v>
      </c>
      <c r="W15" s="479">
        <f t="shared" si="6"/>
        <v>319</v>
      </c>
      <c r="X15" s="514">
        <f t="shared" si="6"/>
        <v>72294000</v>
      </c>
      <c r="Y15" s="1849" t="s">
        <v>660</v>
      </c>
      <c r="Z15" s="1850">
        <v>0.4</v>
      </c>
      <c r="AA15" s="519"/>
      <c r="AB15" s="1030"/>
      <c r="AC15" s="1194"/>
      <c r="AD15" s="1190"/>
      <c r="AE15" s="1883"/>
      <c r="AF15" s="1195"/>
      <c r="AG15" s="1195"/>
      <c r="AH15" s="496"/>
      <c r="AI15" s="454"/>
      <c r="AJ15" s="454"/>
    </row>
    <row r="16" spans="1:36" ht="30" customHeight="1" thickBot="1">
      <c r="A16" s="2658"/>
      <c r="B16" s="522" t="s">
        <v>72</v>
      </c>
      <c r="C16" s="523">
        <f t="shared" si="0"/>
        <v>19451</v>
      </c>
      <c r="D16" s="524">
        <f t="shared" si="0"/>
        <v>6973034000</v>
      </c>
      <c r="E16" s="525">
        <f>E15</f>
        <v>3</v>
      </c>
      <c r="F16" s="526">
        <f t="shared" si="1"/>
        <v>1150000</v>
      </c>
      <c r="G16" s="527">
        <f t="shared" si="2"/>
        <v>3118</v>
      </c>
      <c r="H16" s="528">
        <f t="shared" si="3"/>
        <v>1554990000</v>
      </c>
      <c r="I16" s="527">
        <f t="shared" si="4"/>
        <v>8385</v>
      </c>
      <c r="J16" s="528">
        <f t="shared" si="7"/>
        <v>3501580000</v>
      </c>
      <c r="K16" s="527">
        <f>K15</f>
        <v>2</v>
      </c>
      <c r="L16" s="529">
        <f>L15</f>
        <v>1710000</v>
      </c>
      <c r="M16" s="527">
        <f t="shared" si="5"/>
        <v>5</v>
      </c>
      <c r="N16" s="528">
        <f>N15</f>
        <v>4550000</v>
      </c>
      <c r="O16" s="527">
        <f t="shared" si="5"/>
        <v>1</v>
      </c>
      <c r="P16" s="529">
        <f t="shared" si="5"/>
        <v>1330000</v>
      </c>
      <c r="Q16" s="1031">
        <f t="shared" si="8"/>
        <v>696</v>
      </c>
      <c r="R16" s="1032">
        <f t="shared" si="9"/>
        <v>221478000</v>
      </c>
      <c r="S16" s="1033">
        <f t="shared" si="10"/>
        <v>5621</v>
      </c>
      <c r="T16" s="529">
        <f t="shared" si="11"/>
        <v>1056066000</v>
      </c>
      <c r="U16" s="527">
        <f>U15+U80-U99</f>
        <v>1294</v>
      </c>
      <c r="V16" s="528">
        <f>V15+V80-V99+V61</f>
        <v>556800000</v>
      </c>
      <c r="W16" s="527">
        <f t="shared" si="6"/>
        <v>326</v>
      </c>
      <c r="X16" s="529">
        <f t="shared" si="6"/>
        <v>73380000</v>
      </c>
      <c r="Y16" s="530">
        <f>SUM(Z16:AG16)</f>
        <v>2216551000</v>
      </c>
      <c r="Z16" s="1881">
        <f>ROUNDDOWN(('R7短期'!Z16)/'R7短期'!$Z$15*'R8短期'!$Z$15/'R7短期'!F16*'R8短期'!F16,-3)</f>
        <v>406000</v>
      </c>
      <c r="AA16" s="1882">
        <f>ROUNDDOWN(('R7短期'!AA16)/'R7短期'!$Z$15*'R8短期'!$Z$15/'R7短期'!H16*'R8短期'!H16,-3)</f>
        <v>418993000</v>
      </c>
      <c r="AB16" s="1882">
        <f>ROUNDDOWN(('R7短期'!AB16)/'R7短期'!$Z$15*'R8短期'!$Z$15/'R7短期'!J16*'R8短期'!J16,-3)</f>
        <v>1223147000</v>
      </c>
      <c r="AC16" s="1882">
        <f>ROUNDDOWN(('R7短期'!AC16)/'R7短期'!$Z$15*'R8短期'!$Z$15/'R7短期'!L16*'R8短期'!L16,-3)</f>
        <v>817000</v>
      </c>
      <c r="AD16" s="1882">
        <f>ROUNDDOWN(('R7短期'!AD16)/'R7短期'!$Z$15*'R8短期'!$Z$15/'R7短期'!N16*'R8短期'!N16,-3)</f>
        <v>2136000</v>
      </c>
      <c r="AE16" s="1882">
        <f>ROUNDDOWN(('R7短期'!AE16)/'R7短期'!$Z$15*'R8短期'!$Z$15/('R7短期'!R16+'R7短期'!T16)*(R16+T16),-3)</f>
        <v>388852000</v>
      </c>
      <c r="AF16" s="1882">
        <f>ROUNDDOWN(('R7短期'!AF16)/'R7短期'!$Z$15*'R8短期'!$Z$15/('R7短期'!P16/'R7短期'!O16)*('R8短期'!P16/O16),-3)</f>
        <v>0</v>
      </c>
      <c r="AG16" s="1882">
        <f>ROUNDDOWN(('R7短期'!AG16)/'R7短期'!$Z$15*'R8短期'!$Z$15/'R7短期'!V16*'R8短期'!V16,-3)</f>
        <v>182200000</v>
      </c>
      <c r="AH16" s="532"/>
      <c r="AI16" s="454">
        <f>ROUNDDOWN(('R7短期'!AE13+'R7短期'!AE14)/'R7短期'!Z15*'R8短期'!Z15/'R7短期'!V19*'R8短期'!S20,-3)</f>
        <v>1906540000</v>
      </c>
      <c r="AJ16" s="454"/>
    </row>
    <row r="17" spans="2:36" ht="30" customHeight="1" thickBot="1">
      <c r="B17" s="533" t="s">
        <v>78</v>
      </c>
      <c r="C17" s="1015">
        <f>SUM(C5:C16)</f>
        <v>233640</v>
      </c>
      <c r="D17" s="1011">
        <f>SUM(D5:D16)</f>
        <v>83177742000</v>
      </c>
      <c r="E17" s="2797">
        <f>SUM(F5:F16)</f>
        <v>13800000</v>
      </c>
      <c r="F17" s="2791"/>
      <c r="G17" s="2790">
        <f>SUM(H5:H16)</f>
        <v>18738110000</v>
      </c>
      <c r="H17" s="2791"/>
      <c r="I17" s="2790">
        <f>SUM(J5:J16)</f>
        <v>41727610000</v>
      </c>
      <c r="J17" s="2791"/>
      <c r="K17" s="2790">
        <f>SUM(L5:L16)</f>
        <v>20520000</v>
      </c>
      <c r="L17" s="2791"/>
      <c r="M17" s="2790">
        <f>SUM(N5:N16)</f>
        <v>54600000</v>
      </c>
      <c r="N17" s="2791"/>
      <c r="O17" s="2790">
        <f>SUM(P5:P16)</f>
        <v>15960000</v>
      </c>
      <c r="P17" s="2798"/>
      <c r="Q17" s="2799">
        <f>SUM(R5:R16)</f>
        <v>2647992000</v>
      </c>
      <c r="R17" s="2800"/>
      <c r="S17" s="2799">
        <f>SUM(T5:T16)</f>
        <v>12384260000</v>
      </c>
      <c r="T17" s="2800"/>
      <c r="U17" s="2790">
        <f>SUM(V5:V16)</f>
        <v>6664460000</v>
      </c>
      <c r="V17" s="2791"/>
      <c r="W17" s="2790">
        <f>SUM(X5:X16)</f>
        <v>910430000</v>
      </c>
      <c r="X17" s="2792"/>
      <c r="Y17" s="534">
        <f>SUM(Y5:Y16)</f>
        <v>25531268000</v>
      </c>
      <c r="Z17" s="535">
        <f t="shared" ref="Z17:AG17" si="15">Z7+Z8+Z13+Z14+Z16</f>
        <v>4673000</v>
      </c>
      <c r="AA17" s="536">
        <f>AA7+AA8+AA13+AA14+AA16</f>
        <v>4838609000</v>
      </c>
      <c r="AB17" s="537">
        <f>AB7+AB8+AB13+AB14+AB16</f>
        <v>14066055000</v>
      </c>
      <c r="AC17" s="536">
        <f t="shared" si="15"/>
        <v>9561000</v>
      </c>
      <c r="AD17" s="536">
        <f t="shared" si="15"/>
        <v>24721000</v>
      </c>
      <c r="AE17" s="536">
        <f>AE7+AE8+AE13+AE14+AE16</f>
        <v>4485518000</v>
      </c>
      <c r="AF17" s="537">
        <f t="shared" si="15"/>
        <v>5730000</v>
      </c>
      <c r="AG17" s="537">
        <f t="shared" si="15"/>
        <v>2096401000</v>
      </c>
      <c r="AH17" s="538"/>
      <c r="AI17" s="539"/>
      <c r="AJ17" s="539"/>
    </row>
    <row r="18" spans="2:36" s="267" customFormat="1" ht="13.5" customHeight="1">
      <c r="B18" s="540"/>
      <c r="C18" s="541" t="s">
        <v>235</v>
      </c>
      <c r="D18" s="542">
        <f>D16-'R7短期'!D16</f>
        <v>54980000</v>
      </c>
      <c r="E18" s="543"/>
      <c r="F18" s="542">
        <f>F16-'R7短期'!F16</f>
        <v>0</v>
      </c>
      <c r="G18" s="543"/>
      <c r="H18" s="542">
        <f>H16-'R7短期'!H16</f>
        <v>-65210000</v>
      </c>
      <c r="I18" s="543"/>
      <c r="J18" s="542">
        <f>J16-'R7短期'!J16</f>
        <v>-7320000</v>
      </c>
      <c r="K18" s="543"/>
      <c r="L18" s="542" t="s">
        <v>236</v>
      </c>
      <c r="M18" s="543"/>
      <c r="N18" s="542">
        <f>L16+N16</f>
        <v>6260000</v>
      </c>
      <c r="O18" s="543"/>
      <c r="P18" s="542"/>
      <c r="Q18" s="2793" t="s">
        <v>443</v>
      </c>
      <c r="R18" s="2793"/>
      <c r="S18" s="1034">
        <f>Q7+S7</f>
        <v>6257</v>
      </c>
      <c r="T18" s="542"/>
      <c r="U18" s="543"/>
      <c r="V18" s="542">
        <f>V16-'R7短期'!V16</f>
        <v>2780000</v>
      </c>
      <c r="W18" s="543"/>
      <c r="X18" s="542">
        <f>X16-'R7短期'!X16</f>
        <v>-130000</v>
      </c>
      <c r="Y18" s="544" t="s">
        <v>237</v>
      </c>
      <c r="Z18" s="545">
        <f>Z17-'R7短期'!Z17</f>
        <v>0</v>
      </c>
      <c r="AA18" s="545">
        <f>AA17-'R7短期'!AA17</f>
        <v>-202391000</v>
      </c>
      <c r="AB18" s="545">
        <f>AB17-'R7短期'!AB17</f>
        <v>-29764000</v>
      </c>
      <c r="AC18" s="545">
        <f>AC17-'R7短期'!AC17</f>
        <v>156000</v>
      </c>
      <c r="AD18" s="545">
        <f>AD17-'R7短期'!AD17</f>
        <v>149000</v>
      </c>
      <c r="AE18" s="545"/>
      <c r="AF18" s="545">
        <f>AF17-'R7短期'!AF17</f>
        <v>0</v>
      </c>
      <c r="AG18" s="545">
        <f>AG17-'R7短期'!AG17</f>
        <v>10521000</v>
      </c>
      <c r="AH18" s="538"/>
      <c r="AI18" s="539"/>
      <c r="AJ18" s="539"/>
    </row>
    <row r="19" spans="2:36" s="549" customFormat="1">
      <c r="B19" s="267"/>
      <c r="C19" s="267" t="s">
        <v>238</v>
      </c>
      <c r="D19" s="546">
        <f>ROUND(D16/C16,0)</f>
        <v>358492</v>
      </c>
      <c r="E19" s="267" t="s">
        <v>239</v>
      </c>
      <c r="F19" s="547">
        <f>'R7短期'!E20</f>
        <v>8520000</v>
      </c>
      <c r="G19" s="267" t="s">
        <v>240</v>
      </c>
      <c r="H19" s="547">
        <f>ROUND(H16/G16,0)</f>
        <v>498714</v>
      </c>
      <c r="I19" s="267" t="s">
        <v>240</v>
      </c>
      <c r="J19" s="547">
        <f>ROUND(J16/I16,0)</f>
        <v>417600</v>
      </c>
      <c r="K19" s="548"/>
      <c r="L19" s="454" t="s">
        <v>238</v>
      </c>
      <c r="N19" s="547">
        <f>(L16+N16)/(K16+M16)</f>
        <v>894285.71428571432</v>
      </c>
      <c r="O19" s="454" t="s">
        <v>238</v>
      </c>
      <c r="P19" s="549">
        <f>P16/O16</f>
        <v>1330000</v>
      </c>
      <c r="Q19" s="2794" t="s">
        <v>444</v>
      </c>
      <c r="R19" s="2794"/>
      <c r="S19" s="1035">
        <f>Q13+S13</f>
        <v>6349</v>
      </c>
      <c r="U19" s="267" t="s">
        <v>240</v>
      </c>
      <c r="V19" s="547">
        <f>ROUND(V16/U16,0)</f>
        <v>430294</v>
      </c>
      <c r="W19" s="267" t="s">
        <v>240</v>
      </c>
      <c r="X19" s="547">
        <f>ROUND(X16/W16,0)</f>
        <v>225092</v>
      </c>
      <c r="Y19" s="544" t="s">
        <v>241</v>
      </c>
      <c r="Z19" s="550" t="s">
        <v>242</v>
      </c>
      <c r="AA19" s="547">
        <f>ROUNDDOWN(AA17/AVERAGE(G5:G16),-3)</f>
        <v>1534000</v>
      </c>
      <c r="AB19" s="547">
        <f>ROUNDDOWN(AB17/AVERAGE(I5:I16),-3)</f>
        <v>1677000</v>
      </c>
      <c r="AC19" s="545"/>
      <c r="AD19" s="545"/>
      <c r="AE19" s="545"/>
      <c r="AF19" s="545"/>
      <c r="AG19" s="545">
        <f>ROUNDDOWN(AG17/AVERAGE(U5:U16),-3)</f>
        <v>1617000</v>
      </c>
    </row>
    <row r="20" spans="2:36" s="549" customFormat="1" ht="13.5">
      <c r="B20" s="2788" t="s">
        <v>243</v>
      </c>
      <c r="C20" s="2788"/>
      <c r="D20" s="546">
        <f>C16-'R7短期'!C16</f>
        <v>98</v>
      </c>
      <c r="E20" s="551" t="s">
        <v>675</v>
      </c>
      <c r="F20" s="552"/>
      <c r="G20" s="552"/>
      <c r="H20" s="553"/>
      <c r="I20" s="554"/>
      <c r="J20" s="555"/>
      <c r="N20" s="549" t="s">
        <v>244</v>
      </c>
      <c r="O20" s="2795">
        <f>AVERAGE(C5:C16)</f>
        <v>19470</v>
      </c>
      <c r="P20" s="2795"/>
      <c r="Q20" s="2796" t="s">
        <v>445</v>
      </c>
      <c r="R20" s="2796"/>
      <c r="S20" s="1035">
        <f>Q16+S16</f>
        <v>6317</v>
      </c>
      <c r="T20" s="1013"/>
      <c r="U20" s="267"/>
      <c r="V20" s="555"/>
      <c r="W20" s="267"/>
      <c r="X20" s="547"/>
      <c r="Y20" s="547">
        <f>ROUNDDOWN(Y17/C16,-3)</f>
        <v>1312000</v>
      </c>
      <c r="Z20" s="556">
        <f>ROUNDDOWN('R7短期'!Z20/('R7短期'!Z6+'R7短期'!Z12+'R7短期'!Z15)*('R8短期'!Z6+'R8短期'!Z12+'R8短期'!Z15),-3)</f>
        <v>2044000</v>
      </c>
      <c r="AA20" s="545"/>
      <c r="AB20" s="545"/>
      <c r="AC20" s="545"/>
      <c r="AD20" s="545"/>
      <c r="AE20" s="545"/>
      <c r="AF20" s="557"/>
      <c r="AG20" s="545"/>
    </row>
    <row r="21" spans="2:36" s="549" customFormat="1">
      <c r="B21" s="2788" t="s">
        <v>237</v>
      </c>
      <c r="C21" s="2788"/>
      <c r="D21" s="558">
        <f>D17-'R7短期'!D17</f>
        <v>661916000</v>
      </c>
      <c r="E21" s="2647" t="s">
        <v>245</v>
      </c>
      <c r="F21" s="2648"/>
      <c r="G21" s="2651" t="s">
        <v>246</v>
      </c>
      <c r="H21" s="2652"/>
      <c r="I21" s="559"/>
      <c r="J21" s="560">
        <f>E16+G16+I16+K16+M16</f>
        <v>11513</v>
      </c>
      <c r="K21" s="561" t="s">
        <v>247</v>
      </c>
      <c r="L21" s="2653">
        <f>F16+H16+J16+L16+N16</f>
        <v>5063980000</v>
      </c>
      <c r="M21" s="2653"/>
      <c r="N21" s="562" t="s">
        <v>248</v>
      </c>
      <c r="O21" s="2654" t="s">
        <v>249</v>
      </c>
      <c r="P21" s="563">
        <f>ROUND(L21/J21,0)</f>
        <v>439849</v>
      </c>
      <c r="Q21" s="563"/>
      <c r="R21" s="563"/>
      <c r="S21" s="563"/>
      <c r="T21" s="563"/>
      <c r="U21" s="564" t="s">
        <v>248</v>
      </c>
      <c r="Y21" s="450" t="s">
        <v>250</v>
      </c>
      <c r="Z21" s="565" t="s">
        <v>251</v>
      </c>
      <c r="AA21" s="2789">
        <f>ROUNDDOWN((Z17+AA17+AB17)/(E16+G16+I16),-3)</f>
        <v>1643000</v>
      </c>
      <c r="AB21" s="2789">
        <f>ROUNDDOWN(AB19/AVERAGE(H7:H18),-3)</f>
        <v>0</v>
      </c>
      <c r="AC21" s="566" t="s">
        <v>252</v>
      </c>
      <c r="AD21" s="2662">
        <f>SUM(Z17:AD17)</f>
        <v>18943619000</v>
      </c>
      <c r="AE21" s="2662"/>
      <c r="AF21" s="2663"/>
      <c r="AG21" s="567"/>
    </row>
    <row r="22" spans="2:36" s="267" customFormat="1">
      <c r="E22" s="2649"/>
      <c r="F22" s="2650"/>
      <c r="G22" s="2639" t="s">
        <v>253</v>
      </c>
      <c r="H22" s="2639"/>
      <c r="I22" s="568"/>
      <c r="J22" s="569">
        <f>C16-W16</f>
        <v>19125</v>
      </c>
      <c r="K22" s="570" t="s">
        <v>247</v>
      </c>
      <c r="L22" s="2640">
        <f>D16-X16</f>
        <v>6899654000</v>
      </c>
      <c r="M22" s="2641"/>
      <c r="N22" s="571" t="s">
        <v>248</v>
      </c>
      <c r="O22" s="2655"/>
      <c r="P22" s="572">
        <f>ROUND(L22/J22,0)</f>
        <v>360766</v>
      </c>
      <c r="Q22" s="1036"/>
      <c r="R22" s="1036"/>
      <c r="S22" s="1036"/>
      <c r="T22" s="1036"/>
      <c r="U22" s="1016" t="s">
        <v>248</v>
      </c>
      <c r="V22" s="573"/>
      <c r="W22" s="574"/>
      <c r="X22" s="574"/>
      <c r="Y22" s="546">
        <f>Y17-'R7短期'!Y17</f>
        <v>229437000</v>
      </c>
      <c r="Z22" s="575"/>
      <c r="AA22" s="454"/>
      <c r="AB22" s="576"/>
      <c r="AC22" s="555"/>
      <c r="AD22" s="577"/>
      <c r="AE22" s="577"/>
      <c r="AF22" s="578"/>
      <c r="AG22" s="578"/>
      <c r="AH22" s="579"/>
    </row>
    <row r="23" spans="2:36" ht="13.5" customHeight="1">
      <c r="B23" s="580" t="s">
        <v>664</v>
      </c>
      <c r="C23" s="16"/>
      <c r="D23" s="16"/>
      <c r="E23" s="16"/>
      <c r="F23" s="16"/>
      <c r="G23" s="16"/>
      <c r="H23" s="581"/>
      <c r="I23" s="581"/>
      <c r="J23" s="581"/>
      <c r="K23" s="582"/>
      <c r="L23" s="583"/>
      <c r="M23" s="584"/>
      <c r="N23" s="585"/>
      <c r="O23" s="586"/>
      <c r="P23" s="586"/>
      <c r="Q23" s="586"/>
      <c r="R23" s="586"/>
      <c r="S23" s="586"/>
      <c r="T23" s="586"/>
      <c r="U23" s="586"/>
      <c r="V23" s="584"/>
      <c r="W23" s="584"/>
      <c r="X23" s="584"/>
      <c r="AA23" s="454"/>
      <c r="AB23" s="576"/>
      <c r="AC23" s="555"/>
      <c r="AD23" s="577"/>
      <c r="AE23" s="577"/>
      <c r="AF23" s="578"/>
      <c r="AG23" s="578"/>
    </row>
    <row r="24" spans="2:36" ht="13.5" customHeight="1" thickBot="1">
      <c r="B24" s="587" t="s">
        <v>254</v>
      </c>
      <c r="C24" s="588"/>
      <c r="D24" s="588"/>
      <c r="E24" s="589"/>
      <c r="F24" s="589"/>
      <c r="G24" s="588"/>
      <c r="H24" s="590"/>
      <c r="I24" s="591"/>
      <c r="J24" s="592"/>
      <c r="K24" s="587" t="s">
        <v>447</v>
      </c>
      <c r="L24" s="587"/>
      <c r="M24" s="588"/>
      <c r="N24" s="588"/>
      <c r="O24" s="593"/>
      <c r="P24" s="1037" t="str">
        <f>H25</f>
        <v>R8.3平均標準報酬月額◆</v>
      </c>
      <c r="Q24" s="1038">
        <f>ROUND(O25/N25,0)</f>
        <v>283427</v>
      </c>
      <c r="R24" s="587" t="s">
        <v>255</v>
      </c>
      <c r="S24" s="593"/>
      <c r="T24" s="593"/>
      <c r="U24" s="594"/>
      <c r="V24" s="595"/>
      <c r="W24" s="595"/>
      <c r="X24" s="595"/>
      <c r="Y24" s="583"/>
      <c r="Z24" s="583"/>
      <c r="AA24" s="596" t="s">
        <v>256</v>
      </c>
      <c r="AB24" s="597"/>
      <c r="AC24" s="567"/>
      <c r="AD24" s="567"/>
      <c r="AE24" s="567"/>
      <c r="AF24" s="598" t="s">
        <v>257</v>
      </c>
      <c r="AG24" s="599"/>
      <c r="AH24" s="600"/>
      <c r="AI24" s="16"/>
    </row>
    <row r="25" spans="2:36" ht="13.5" customHeight="1" thickBot="1">
      <c r="B25" s="601" t="s">
        <v>665</v>
      </c>
      <c r="C25" s="602"/>
      <c r="D25" s="603">
        <f>'R7短期'!G16</f>
        <v>3209</v>
      </c>
      <c r="E25" s="2783">
        <f>'R7短期'!H16</f>
        <v>1620200000</v>
      </c>
      <c r="F25" s="2783"/>
      <c r="G25" s="588" t="s">
        <v>448</v>
      </c>
      <c r="H25" s="2784" t="s">
        <v>666</v>
      </c>
      <c r="I25" s="2784"/>
      <c r="J25" s="604">
        <f>ROUND(E25/D25,0)</f>
        <v>504892</v>
      </c>
      <c r="K25" s="583"/>
      <c r="L25" s="605" t="str">
        <f>B25</f>
        <v>R8.3月予想</v>
      </c>
      <c r="M25" s="602"/>
      <c r="N25" s="606">
        <f>'R7短期'!Q16</f>
        <v>667</v>
      </c>
      <c r="O25" s="2756">
        <f>'R7短期'!R16</f>
        <v>189046000</v>
      </c>
      <c r="P25" s="2756"/>
      <c r="Q25" s="1005"/>
      <c r="R25" s="1005" t="str">
        <f>B25</f>
        <v>R8.3月予想</v>
      </c>
      <c r="S25" s="1005">
        <f>'R7短期'!U16</f>
        <v>1292</v>
      </c>
      <c r="T25" s="1005">
        <f>'R7短期'!V16</f>
        <v>554020000</v>
      </c>
      <c r="U25" s="588" t="s">
        <v>449</v>
      </c>
      <c r="V25" s="2755" t="str">
        <f>H25</f>
        <v>R8.3平均標準報酬月額◆</v>
      </c>
      <c r="W25" s="2755"/>
      <c r="X25" s="2755"/>
      <c r="Y25" s="607">
        <f>ROUND(T25/S25,0)</f>
        <v>428808</v>
      </c>
      <c r="Z25" s="583"/>
      <c r="AA25" s="608" t="s">
        <v>0</v>
      </c>
      <c r="AB25" s="2785" t="s">
        <v>231</v>
      </c>
      <c r="AC25" s="2785"/>
      <c r="AD25" s="2785" t="s">
        <v>258</v>
      </c>
      <c r="AE25" s="2786"/>
      <c r="AF25" s="2787"/>
      <c r="AG25" s="2775" t="s">
        <v>655</v>
      </c>
      <c r="AH25" s="15"/>
      <c r="AI25" s="236"/>
    </row>
    <row r="26" spans="2:36" ht="13.5">
      <c r="B26" s="609" t="s">
        <v>259</v>
      </c>
      <c r="C26" s="602"/>
      <c r="D26" s="1952" t="str">
        <f>"（"&amp;'DB_集計'!D5&amp;"人）"</f>
        <v>（28人）</v>
      </c>
      <c r="E26" s="2765">
        <f>'DB_集計'!H5</f>
        <v>5951000</v>
      </c>
      <c r="F26" s="2765"/>
      <c r="G26" s="611" t="s">
        <v>451</v>
      </c>
      <c r="H26" s="612" t="s">
        <v>260</v>
      </c>
      <c r="I26" s="613"/>
      <c r="J26" s="613"/>
      <c r="K26" s="583"/>
      <c r="L26" s="601"/>
      <c r="M26" s="602"/>
      <c r="N26" s="610"/>
      <c r="O26" s="2750"/>
      <c r="P26" s="2750"/>
      <c r="Q26" s="1004"/>
      <c r="R26" s="601" t="s">
        <v>259</v>
      </c>
      <c r="S26" s="1953" t="str">
        <f>"（"&amp;'DB_集計'!D11&amp;"人）"</f>
        <v>（11人）</v>
      </c>
      <c r="T26" s="1951">
        <f>'DB_集計'!H11</f>
        <v>1977800</v>
      </c>
      <c r="U26" s="614" t="s">
        <v>451</v>
      </c>
      <c r="V26" s="612" t="s">
        <v>260</v>
      </c>
      <c r="W26" s="612"/>
      <c r="X26" s="612"/>
      <c r="Y26" s="583"/>
      <c r="Z26" s="583"/>
      <c r="AA26" s="615" t="s">
        <v>261</v>
      </c>
      <c r="AB26" s="2776">
        <f>'R7短期'!D55</f>
        <v>2519908000</v>
      </c>
      <c r="AC26" s="2777"/>
      <c r="AD26" s="2778">
        <f>'R7短期'!F45</f>
        <v>136766000</v>
      </c>
      <c r="AE26" s="2779"/>
      <c r="AF26" s="2780"/>
      <c r="AG26" s="2775"/>
      <c r="AH26" s="15"/>
      <c r="AI26" s="236"/>
    </row>
    <row r="27" spans="2:36" ht="13.5">
      <c r="B27" s="23" t="s">
        <v>262</v>
      </c>
      <c r="C27" s="602"/>
      <c r="D27" s="616">
        <f>'DB_集計'!D6</f>
        <v>187</v>
      </c>
      <c r="E27" s="2765">
        <f>'DB_集計'!H6</f>
        <v>125510000</v>
      </c>
      <c r="F27" s="2765"/>
      <c r="G27" s="611" t="s">
        <v>453</v>
      </c>
      <c r="H27" s="2781" t="s">
        <v>667</v>
      </c>
      <c r="I27" s="2781"/>
      <c r="J27" s="2781"/>
      <c r="K27" s="583"/>
      <c r="L27" s="2782" t="s">
        <v>262</v>
      </c>
      <c r="M27" s="2782"/>
      <c r="N27" s="617">
        <f>'DB_集計'!D9</f>
        <v>113</v>
      </c>
      <c r="O27" s="2750">
        <f>'DB_集計'!H9</f>
        <v>38738000</v>
      </c>
      <c r="P27" s="2750"/>
      <c r="Q27" s="1854" t="s">
        <v>670</v>
      </c>
      <c r="R27" s="1043" t="s">
        <v>262</v>
      </c>
      <c r="S27" s="617">
        <f>'DB_集計'!D12</f>
        <v>32</v>
      </c>
      <c r="T27" s="1951">
        <f>'DB_集計'!H12</f>
        <v>12100000</v>
      </c>
      <c r="U27" s="611" t="s">
        <v>454</v>
      </c>
      <c r="V27" s="2749" t="str">
        <f>H27</f>
        <v>R7.3退職実績人数・標準報酬</v>
      </c>
      <c r="W27" s="2749"/>
      <c r="X27" s="2749"/>
      <c r="Y27" s="758"/>
      <c r="Z27" s="758"/>
      <c r="AA27" s="618" t="s">
        <v>264</v>
      </c>
      <c r="AB27" s="2776"/>
      <c r="AC27" s="2777"/>
      <c r="AD27" s="2762">
        <f>'R7短期'!F51</f>
        <v>151206000</v>
      </c>
      <c r="AE27" s="2763"/>
      <c r="AF27" s="2764"/>
      <c r="AG27" s="2775"/>
      <c r="AH27" s="619"/>
    </row>
    <row r="28" spans="2:36" ht="14.25" thickBot="1">
      <c r="B28" s="31" t="s">
        <v>265</v>
      </c>
      <c r="C28" s="620"/>
      <c r="D28" s="616">
        <v>162</v>
      </c>
      <c r="E28" s="2765">
        <f>'DB_集計'!H8</f>
        <v>71649684</v>
      </c>
      <c r="F28" s="2765"/>
      <c r="G28" s="611" t="s">
        <v>455</v>
      </c>
      <c r="H28" s="2766" t="s">
        <v>679</v>
      </c>
      <c r="I28" s="2766"/>
      <c r="J28" s="2766"/>
      <c r="K28" s="583"/>
      <c r="L28" s="621" t="s">
        <v>456</v>
      </c>
      <c r="M28" s="620"/>
      <c r="N28" s="617">
        <f>'DB_集計'!D10</f>
        <v>129</v>
      </c>
      <c r="O28" s="2750">
        <f>'DB_集計'!H10</f>
        <v>63790000</v>
      </c>
      <c r="P28" s="2750"/>
      <c r="Q28" s="1884" t="str">
        <f>Q27</f>
        <v>R7.4実績</v>
      </c>
      <c r="R28" s="621" t="s">
        <v>265</v>
      </c>
      <c r="S28" s="617">
        <v>38</v>
      </c>
      <c r="T28" s="1951">
        <f>'DB_集計'!H14</f>
        <v>9894326</v>
      </c>
      <c r="U28" s="611" t="s">
        <v>457</v>
      </c>
      <c r="V28" s="622" t="s">
        <v>680</v>
      </c>
      <c r="W28" s="595"/>
      <c r="X28" s="595"/>
      <c r="Y28" s="583"/>
      <c r="Z28" s="583"/>
      <c r="AA28" s="623" t="s">
        <v>266</v>
      </c>
      <c r="AB28" s="2776"/>
      <c r="AC28" s="2777"/>
      <c r="AD28" s="2767">
        <f>'R7短期'!F54</f>
        <v>27499000</v>
      </c>
      <c r="AE28" s="2768"/>
      <c r="AF28" s="2769"/>
      <c r="AG28" s="2775"/>
      <c r="AH28" s="236"/>
    </row>
    <row r="29" spans="2:36" ht="14.25" thickBot="1">
      <c r="B29" s="1856"/>
      <c r="C29" s="624"/>
      <c r="D29" s="1855"/>
      <c r="E29" s="2770"/>
      <c r="F29" s="2770"/>
      <c r="G29" s="614" t="s">
        <v>458</v>
      </c>
      <c r="H29" s="612"/>
      <c r="I29" s="595"/>
      <c r="J29" s="595"/>
      <c r="K29" s="583"/>
      <c r="L29" s="621" t="s">
        <v>268</v>
      </c>
      <c r="M29" s="624"/>
      <c r="N29" s="617"/>
      <c r="O29" s="2745"/>
      <c r="P29" s="2745"/>
      <c r="Q29" s="1009"/>
      <c r="R29" s="1857"/>
      <c r="S29" s="1858"/>
      <c r="T29" s="1853"/>
      <c r="U29" s="614" t="s">
        <v>459</v>
      </c>
      <c r="V29" s="622">
        <f>H29</f>
        <v>0</v>
      </c>
      <c r="W29" s="595"/>
      <c r="X29" s="595"/>
      <c r="Y29" s="625"/>
      <c r="Z29" s="583"/>
      <c r="AA29" s="608" t="s">
        <v>269</v>
      </c>
      <c r="AB29" s="2771">
        <f>SUM(AB26)</f>
        <v>2519908000</v>
      </c>
      <c r="AC29" s="2772"/>
      <c r="AD29" s="2771">
        <f>SUM(AD26:AF28)</f>
        <v>315471000</v>
      </c>
      <c r="AE29" s="2773"/>
      <c r="AF29" s="2774"/>
      <c r="AG29" s="2775"/>
      <c r="AH29" s="236"/>
    </row>
    <row r="30" spans="2:36" ht="13.5" customHeight="1" thickBot="1">
      <c r="B30" s="32" t="s">
        <v>270</v>
      </c>
      <c r="C30" s="626"/>
      <c r="D30" s="627"/>
      <c r="E30" s="2757">
        <f>H50</f>
        <v>-2680000</v>
      </c>
      <c r="F30" s="2757"/>
      <c r="G30" s="611" t="s">
        <v>460</v>
      </c>
      <c r="H30" s="2758" t="s">
        <v>668</v>
      </c>
      <c r="I30" s="2758"/>
      <c r="J30" s="2758"/>
      <c r="K30" s="2758"/>
      <c r="L30" s="32" t="s">
        <v>270</v>
      </c>
      <c r="M30" s="626"/>
      <c r="N30" s="627"/>
      <c r="O30" s="2759">
        <f>V50</f>
        <v>510000</v>
      </c>
      <c r="P30" s="2759"/>
      <c r="Q30" s="1008"/>
      <c r="R30" s="32" t="s">
        <v>270</v>
      </c>
      <c r="S30" s="626"/>
      <c r="T30" s="1008">
        <f>V50</f>
        <v>510000</v>
      </c>
      <c r="U30" s="611" t="s">
        <v>353</v>
      </c>
      <c r="V30" s="2740" t="str">
        <f>H30</f>
        <v>R7.4と同額</v>
      </c>
      <c r="W30" s="2740"/>
      <c r="X30" s="2740"/>
      <c r="Y30" s="2740"/>
      <c r="Z30" s="583"/>
      <c r="AA30" s="599"/>
      <c r="AB30" s="628"/>
      <c r="AC30" s="629"/>
      <c r="AD30" s="630"/>
      <c r="AE30" s="630"/>
      <c r="AF30" s="631"/>
      <c r="AG30" s="631"/>
    </row>
    <row r="31" spans="2:36" ht="14.25" thickBot="1">
      <c r="B31" s="632" t="s">
        <v>271</v>
      </c>
      <c r="C31" s="633"/>
      <c r="D31" s="634">
        <f>D25-D27+D28</f>
        <v>3184</v>
      </c>
      <c r="E31" s="2760">
        <f>ROUND(E25-E26-E27+E28-E29+E30,-4)</f>
        <v>1557710000</v>
      </c>
      <c r="F31" s="2761"/>
      <c r="G31" s="611"/>
      <c r="H31" s="635" t="s">
        <v>461</v>
      </c>
      <c r="I31" s="595"/>
      <c r="J31" s="595"/>
      <c r="K31" s="583"/>
      <c r="L31" s="636" t="s">
        <v>271</v>
      </c>
      <c r="M31" s="16"/>
      <c r="N31" s="637">
        <f>N25-N26-N27+N28+N29</f>
        <v>683</v>
      </c>
      <c r="O31" s="2746">
        <f>ROUND(O25-O26-O27+O28+O29+O30,-4)</f>
        <v>214610000</v>
      </c>
      <c r="P31" s="2747"/>
      <c r="Q31" s="1044"/>
      <c r="R31" s="1045" t="s">
        <v>271</v>
      </c>
      <c r="S31" s="637">
        <f>S25-S27+S28</f>
        <v>1298</v>
      </c>
      <c r="T31" s="2746">
        <f>ROUND(T25-T26-T27+T28-T29+T30,-4)</f>
        <v>550350000</v>
      </c>
      <c r="U31" s="2747"/>
      <c r="V31" s="638" t="s">
        <v>357</v>
      </c>
      <c r="W31" s="595"/>
      <c r="X31" s="595"/>
      <c r="Y31" s="583"/>
      <c r="Z31" s="583"/>
      <c r="AA31" s="639" t="s">
        <v>272</v>
      </c>
      <c r="AB31" s="640"/>
      <c r="AC31" s="614"/>
      <c r="AD31" s="640"/>
      <c r="AE31" s="640"/>
      <c r="AF31" s="631"/>
      <c r="AG31" s="631"/>
      <c r="AI31" s="236"/>
    </row>
    <row r="32" spans="2:36" ht="13.5">
      <c r="B32" s="641" t="s">
        <v>273</v>
      </c>
      <c r="C32" s="626"/>
      <c r="D32" s="642"/>
      <c r="E32" s="643"/>
      <c r="F32" s="643"/>
      <c r="G32" s="611"/>
      <c r="H32" s="595"/>
      <c r="I32" s="595"/>
      <c r="J32" s="595"/>
      <c r="K32" s="583"/>
      <c r="L32" s="641" t="s">
        <v>273</v>
      </c>
      <c r="M32" s="16"/>
      <c r="N32" s="606"/>
      <c r="O32" s="644"/>
      <c r="P32" s="644"/>
      <c r="Q32" s="644"/>
      <c r="R32" s="641" t="s">
        <v>273</v>
      </c>
      <c r="S32" s="16"/>
      <c r="T32" s="644"/>
      <c r="U32" s="611"/>
      <c r="V32" s="638"/>
      <c r="W32" s="595"/>
      <c r="X32" s="595"/>
      <c r="Y32" s="583"/>
      <c r="Z32" s="583"/>
      <c r="AA32" s="645" t="s">
        <v>274</v>
      </c>
      <c r="AB32" s="2751" t="str">
        <f>C1</f>
        <v>令和8年度</v>
      </c>
      <c r="AC32" s="2752"/>
      <c r="AD32" s="646" t="s">
        <v>275</v>
      </c>
      <c r="AE32" s="1046"/>
      <c r="AF32" s="647" t="s">
        <v>276</v>
      </c>
      <c r="AG32" s="648"/>
      <c r="AI32" s="236"/>
    </row>
    <row r="33" spans="2:35" ht="13.5">
      <c r="B33" s="32"/>
      <c r="C33" s="626"/>
      <c r="D33" s="642"/>
      <c r="E33" s="2753"/>
      <c r="F33" s="2753"/>
      <c r="G33" s="611"/>
      <c r="H33" s="595"/>
      <c r="I33" s="595"/>
      <c r="J33" s="595"/>
      <c r="K33" s="583"/>
      <c r="Z33" s="583"/>
      <c r="AA33" s="927" t="s">
        <v>354</v>
      </c>
      <c r="AB33" s="928" t="s">
        <v>277</v>
      </c>
      <c r="AC33" s="2741">
        <v>624908</v>
      </c>
      <c r="AD33" s="2742"/>
      <c r="AE33" s="1047"/>
      <c r="AF33" s="650"/>
      <c r="AG33" s="648"/>
      <c r="AI33" s="236"/>
    </row>
    <row r="34" spans="2:35" ht="13.5">
      <c r="B34" s="651" t="s">
        <v>462</v>
      </c>
      <c r="C34" s="652"/>
      <c r="D34" s="652"/>
      <c r="E34" s="653"/>
      <c r="F34" s="653"/>
      <c r="G34" s="588"/>
      <c r="H34" s="590"/>
      <c r="I34" s="591"/>
      <c r="J34" s="592"/>
      <c r="K34" s="587" t="s">
        <v>463</v>
      </c>
      <c r="L34" s="587"/>
      <c r="M34" s="588"/>
      <c r="N34" s="654"/>
      <c r="O34" s="589"/>
      <c r="P34" s="1048" t="str">
        <f>H25</f>
        <v>R8.3平均標準報酬月額◆</v>
      </c>
      <c r="Q34" s="1049">
        <f>ROUND(O35/N35,0)</f>
        <v>177270</v>
      </c>
      <c r="R34" s="587" t="s">
        <v>464</v>
      </c>
      <c r="S34" s="589"/>
      <c r="T34" s="589"/>
      <c r="U34" s="588"/>
      <c r="V34" s="590"/>
      <c r="W34" s="591"/>
      <c r="X34" s="592"/>
      <c r="Y34" s="583"/>
      <c r="Z34" s="583"/>
      <c r="AA34" s="929" t="s">
        <v>355</v>
      </c>
      <c r="AB34" s="930" t="s">
        <v>278</v>
      </c>
      <c r="AC34" s="2725">
        <f>ROUND(AC33/(AF44/1000)*1000,2)</f>
        <v>5.9</v>
      </c>
      <c r="AD34" s="2726"/>
      <c r="AE34" s="1050"/>
      <c r="AF34" s="650"/>
      <c r="AG34" s="648"/>
      <c r="AI34" s="236"/>
    </row>
    <row r="35" spans="2:35" ht="13.5">
      <c r="B35" s="656" t="str">
        <f>B25</f>
        <v>R8.3月予想</v>
      </c>
      <c r="C35" s="657"/>
      <c r="D35" s="658">
        <f>'R7短期'!I16</f>
        <v>8420</v>
      </c>
      <c r="E35" s="2754">
        <f>'R7短期'!J16</f>
        <v>3508900000</v>
      </c>
      <c r="F35" s="2754"/>
      <c r="G35" s="588" t="s">
        <v>465</v>
      </c>
      <c r="H35" s="2755" t="str">
        <f>H25</f>
        <v>R8.3平均標準報酬月額◆</v>
      </c>
      <c r="I35" s="2755"/>
      <c r="J35" s="604">
        <f>ROUND(E35/D35,0)</f>
        <v>416734</v>
      </c>
      <c r="K35" s="583"/>
      <c r="L35" s="1051" t="str">
        <f>R25</f>
        <v>R8.3月予想</v>
      </c>
      <c r="M35" s="602"/>
      <c r="N35" s="603">
        <f>'R7短期'!S16</f>
        <v>5436</v>
      </c>
      <c r="O35" s="2756">
        <f>'R7短期'!T16</f>
        <v>963638000</v>
      </c>
      <c r="P35" s="2756"/>
      <c r="Q35" s="607"/>
      <c r="R35" s="1005" t="str">
        <f>L25</f>
        <v>R8.3月予想</v>
      </c>
      <c r="S35" s="1005">
        <f>'R7短期'!W16</f>
        <v>318</v>
      </c>
      <c r="T35" s="1005">
        <f>'R7短期'!X16</f>
        <v>73510000</v>
      </c>
      <c r="U35" s="588" t="s">
        <v>448</v>
      </c>
      <c r="V35" s="2755" t="str">
        <f>H25</f>
        <v>R8.3平均標準報酬月額◆</v>
      </c>
      <c r="W35" s="2755"/>
      <c r="X35" s="2755"/>
      <c r="Y35" s="607">
        <f>ROUND(T35/S35,0)</f>
        <v>231164</v>
      </c>
      <c r="Z35" s="583"/>
      <c r="AA35" s="927" t="s">
        <v>466</v>
      </c>
      <c r="AB35" s="928" t="s">
        <v>277</v>
      </c>
      <c r="AC35" s="2741">
        <v>1921197</v>
      </c>
      <c r="AD35" s="2742"/>
      <c r="AE35" s="1047"/>
      <c r="AF35" s="650"/>
      <c r="AG35" s="648"/>
      <c r="AI35" s="236"/>
    </row>
    <row r="36" spans="2:35" ht="13.5">
      <c r="B36" s="609" t="s">
        <v>259</v>
      </c>
      <c r="C36" s="602"/>
      <c r="D36" s="1954" t="str">
        <f>"（"&amp;'DB_集計'!D15&amp;"人）"</f>
        <v>（141人）</v>
      </c>
      <c r="E36" s="2743">
        <f>'DB_集計'!H15</f>
        <v>25443000</v>
      </c>
      <c r="F36" s="2743"/>
      <c r="G36" s="588" t="s">
        <v>468</v>
      </c>
      <c r="H36" s="612" t="s">
        <v>260</v>
      </c>
      <c r="I36" s="659"/>
      <c r="J36" s="660"/>
      <c r="K36" s="583"/>
      <c r="L36" s="609"/>
      <c r="M36" s="602"/>
      <c r="N36" s="610"/>
      <c r="O36" s="2743"/>
      <c r="P36" s="2743"/>
      <c r="Q36" s="1005"/>
      <c r="R36" s="1053" t="s">
        <v>279</v>
      </c>
      <c r="S36" s="1005">
        <f>W88</f>
        <v>166</v>
      </c>
      <c r="T36" s="1005">
        <f>X88</f>
        <v>43290000</v>
      </c>
      <c r="U36" s="611" t="s">
        <v>469</v>
      </c>
      <c r="V36" s="1006" t="str">
        <f>H27</f>
        <v>R7.3退職実績人数・標準報酬</v>
      </c>
      <c r="W36" s="613"/>
      <c r="X36" s="613"/>
      <c r="Y36" s="583"/>
      <c r="Z36" s="583"/>
      <c r="AA36" s="929" t="s">
        <v>470</v>
      </c>
      <c r="AB36" s="930" t="s">
        <v>278</v>
      </c>
      <c r="AC36" s="2725">
        <f>ROUND(AC35/(AF44/1000)*1000,2)</f>
        <v>18.149999999999999</v>
      </c>
      <c r="AD36" s="2726"/>
      <c r="AE36" s="1050"/>
      <c r="AF36" s="650"/>
      <c r="AG36" s="648"/>
      <c r="AI36" s="236"/>
    </row>
    <row r="37" spans="2:35" ht="14.25" thickBot="1">
      <c r="B37" s="23" t="s">
        <v>262</v>
      </c>
      <c r="C37" s="602"/>
      <c r="D37" s="610">
        <f>'DB_集計'!D16</f>
        <v>352</v>
      </c>
      <c r="E37" s="2743">
        <f>'DB_集計'!H16</f>
        <v>146570000</v>
      </c>
      <c r="F37" s="2743"/>
      <c r="G37" s="611" t="s">
        <v>263</v>
      </c>
      <c r="H37" s="2749" t="str">
        <f>H27</f>
        <v>R7.3退職実績人数・標準報酬</v>
      </c>
      <c r="I37" s="2749"/>
      <c r="J37" s="2749"/>
      <c r="K37" s="583"/>
      <c r="L37" s="23" t="s">
        <v>262</v>
      </c>
      <c r="M37" s="602"/>
      <c r="N37" s="610">
        <f>'DB_集計'!D19</f>
        <v>352</v>
      </c>
      <c r="O37" s="2750">
        <f>'DB_集計'!H19</f>
        <v>60070000</v>
      </c>
      <c r="P37" s="2750"/>
      <c r="Q37" s="1884" t="str">
        <f>Q27</f>
        <v>R7.4実績</v>
      </c>
      <c r="R37" s="15" t="s">
        <v>280</v>
      </c>
      <c r="S37" s="1005">
        <f>W69</f>
        <v>213</v>
      </c>
      <c r="T37" s="1005">
        <f>X69</f>
        <v>52118000</v>
      </c>
      <c r="U37" s="611" t="s">
        <v>471</v>
      </c>
      <c r="V37" s="1006" t="str">
        <f>Q27</f>
        <v>R7.4実績</v>
      </c>
      <c r="W37" s="595"/>
      <c r="X37" s="595"/>
      <c r="Y37" s="583"/>
      <c r="Z37" s="583"/>
      <c r="AA37" s="927" t="s">
        <v>281</v>
      </c>
      <c r="AB37" s="928" t="s">
        <v>277</v>
      </c>
      <c r="AC37" s="2741">
        <v>5</v>
      </c>
      <c r="AD37" s="2742"/>
      <c r="AE37" s="1047"/>
      <c r="AF37" s="650"/>
      <c r="AG37" s="648"/>
      <c r="AI37" s="236"/>
    </row>
    <row r="38" spans="2:35" ht="14.25" thickBot="1">
      <c r="B38" s="31" t="s">
        <v>265</v>
      </c>
      <c r="C38" s="620"/>
      <c r="D38" s="610">
        <v>322</v>
      </c>
      <c r="E38" s="2743">
        <f>'DB_集計'!H18</f>
        <v>97655516</v>
      </c>
      <c r="F38" s="2743"/>
      <c r="G38" s="611" t="s">
        <v>472</v>
      </c>
      <c r="H38" s="2744" t="s">
        <v>669</v>
      </c>
      <c r="I38" s="2744"/>
      <c r="J38" s="2744"/>
      <c r="K38" s="2744"/>
      <c r="L38" s="31" t="s">
        <v>456</v>
      </c>
      <c r="M38" s="620"/>
      <c r="N38" s="610">
        <f>'DB_集計'!D20</f>
        <v>392</v>
      </c>
      <c r="O38" s="2745">
        <f>'DB_集計'!H20</f>
        <v>75136000</v>
      </c>
      <c r="P38" s="2745"/>
      <c r="Q38" s="1884" t="str">
        <f>Q27</f>
        <v>R7.4実績</v>
      </c>
      <c r="R38" s="1054" t="s">
        <v>271</v>
      </c>
      <c r="S38" s="661">
        <f>S35-S36+S37</f>
        <v>365</v>
      </c>
      <c r="T38" s="2746">
        <f>ROUND(T35-T36+T37,-4)</f>
        <v>82340000</v>
      </c>
      <c r="U38" s="2747"/>
      <c r="V38" s="635" t="s">
        <v>473</v>
      </c>
      <c r="W38" s="595"/>
      <c r="X38" s="595"/>
      <c r="Y38" s="583"/>
      <c r="Z38" s="583"/>
      <c r="AA38" s="929" t="s">
        <v>282</v>
      </c>
      <c r="AB38" s="930" t="s">
        <v>278</v>
      </c>
      <c r="AC38" s="2725">
        <f>ROUND(AC37/(AF44/1000)*1000,2)</f>
        <v>0</v>
      </c>
      <c r="AD38" s="2726"/>
      <c r="AE38" s="1050"/>
      <c r="AF38" s="650"/>
      <c r="AG38" s="648"/>
      <c r="AI38" s="236"/>
    </row>
    <row r="39" spans="2:35" ht="13.5">
      <c r="B39" s="662" t="s">
        <v>661</v>
      </c>
      <c r="C39" s="663"/>
      <c r="D39" s="1040"/>
      <c r="E39" s="2743">
        <f>D39*302419</f>
        <v>0</v>
      </c>
      <c r="F39" s="2743"/>
      <c r="G39" s="614" t="s">
        <v>474</v>
      </c>
      <c r="H39" s="2748"/>
      <c r="I39" s="2748"/>
      <c r="J39" s="2748"/>
      <c r="K39" s="2748"/>
      <c r="L39" s="662"/>
      <c r="M39" s="663"/>
      <c r="N39" s="610"/>
      <c r="O39" s="21"/>
      <c r="P39" s="21"/>
      <c r="Q39" s="21"/>
      <c r="R39" s="641" t="s">
        <v>285</v>
      </c>
      <c r="S39" s="21"/>
      <c r="T39" s="21"/>
      <c r="U39" s="16"/>
      <c r="W39" s="581"/>
      <c r="X39" s="581"/>
      <c r="Y39" s="583"/>
      <c r="Z39" s="583"/>
      <c r="AA39" s="927" t="s">
        <v>286</v>
      </c>
      <c r="AB39" s="928" t="s">
        <v>277</v>
      </c>
      <c r="AC39" s="2741">
        <v>0</v>
      </c>
      <c r="AD39" s="2742"/>
      <c r="AE39" s="1047"/>
      <c r="AF39" s="650"/>
      <c r="AG39" s="648"/>
      <c r="AI39" s="236"/>
    </row>
    <row r="40" spans="2:35" ht="13.5">
      <c r="B40" s="1856"/>
      <c r="C40" s="624"/>
      <c r="D40" s="1855"/>
      <c r="E40" s="2737"/>
      <c r="F40" s="2737"/>
      <c r="G40" s="611" t="s">
        <v>475</v>
      </c>
      <c r="H40" s="2738">
        <f>H29</f>
        <v>0</v>
      </c>
      <c r="I40" s="2738"/>
      <c r="J40" s="2738"/>
      <c r="K40" s="2738"/>
      <c r="L40" s="19" t="s">
        <v>267</v>
      </c>
      <c r="M40" s="624"/>
      <c r="N40" s="616"/>
      <c r="O40" s="650"/>
      <c r="P40" s="650"/>
      <c r="Q40" s="650"/>
      <c r="R40" s="650"/>
      <c r="S40" s="650"/>
      <c r="T40" s="650"/>
      <c r="U40" s="650"/>
      <c r="V40" s="614"/>
      <c r="W40" s="581"/>
      <c r="X40" s="581"/>
      <c r="Y40" s="583"/>
      <c r="AA40" s="929" t="s">
        <v>287</v>
      </c>
      <c r="AB40" s="930" t="s">
        <v>278</v>
      </c>
      <c r="AC40" s="2725">
        <f>ROUND(AC39/(AF44/1000)*1000,2)</f>
        <v>0</v>
      </c>
      <c r="AD40" s="2726"/>
      <c r="AE40" s="1050"/>
      <c r="AF40" s="650"/>
      <c r="AG40" s="648"/>
      <c r="AI40" s="236"/>
    </row>
    <row r="41" spans="2:35" ht="14.25" thickBot="1">
      <c r="B41" s="32" t="s">
        <v>270</v>
      </c>
      <c r="C41" s="626"/>
      <c r="D41" s="627"/>
      <c r="E41" s="2739">
        <f>J50</f>
        <v>-23280000</v>
      </c>
      <c r="F41" s="2739"/>
      <c r="G41" s="611" t="s">
        <v>476</v>
      </c>
      <c r="H41" s="2740" t="str">
        <f>H30</f>
        <v>R7.4と同額</v>
      </c>
      <c r="I41" s="2740"/>
      <c r="J41" s="2740"/>
      <c r="K41" s="2740"/>
      <c r="L41" s="32" t="s">
        <v>270</v>
      </c>
      <c r="M41" s="626"/>
      <c r="N41" s="650"/>
      <c r="O41" s="664"/>
      <c r="P41" s="760">
        <f>T50</f>
        <v>-10980000</v>
      </c>
      <c r="Q41" s="665"/>
      <c r="R41" s="665"/>
      <c r="S41" s="665"/>
      <c r="T41" s="665"/>
      <c r="U41" s="650"/>
      <c r="V41" s="614"/>
      <c r="W41" s="581"/>
      <c r="X41" s="581"/>
      <c r="Y41" s="583"/>
      <c r="AA41" s="931" t="s">
        <v>288</v>
      </c>
      <c r="AB41" s="928" t="s">
        <v>277</v>
      </c>
      <c r="AC41" s="2741">
        <v>-2604</v>
      </c>
      <c r="AD41" s="2742"/>
      <c r="AE41" s="1047"/>
      <c r="AF41" s="650"/>
      <c r="AG41" s="666"/>
      <c r="AI41" s="236"/>
    </row>
    <row r="42" spans="2:35" ht="14.25" thickBot="1">
      <c r="B42" s="636" t="s">
        <v>271</v>
      </c>
      <c r="C42" s="16"/>
      <c r="D42" s="667">
        <f>D35-D37+D38+D39</f>
        <v>8390</v>
      </c>
      <c r="E42" s="2723">
        <f>ROUND(E35-E36-E37+E38+E39-E40+E41,-4)</f>
        <v>3411260000</v>
      </c>
      <c r="F42" s="2724"/>
      <c r="G42" s="668"/>
      <c r="H42" s="635" t="s">
        <v>477</v>
      </c>
      <c r="I42" s="595"/>
      <c r="J42" s="595"/>
      <c r="K42" s="583"/>
      <c r="L42" s="636" t="s">
        <v>271</v>
      </c>
      <c r="M42" s="16"/>
      <c r="N42" s="667">
        <f>N35-N36-N37+N38+N39+N40</f>
        <v>5476</v>
      </c>
      <c r="O42" s="2723">
        <f>ROUND(O35-O36-O37+O38+O39+O40+P41,-4)</f>
        <v>967720000</v>
      </c>
      <c r="P42" s="2724"/>
      <c r="Q42" s="669"/>
      <c r="R42" s="669"/>
      <c r="S42" s="669"/>
      <c r="T42" s="669"/>
      <c r="U42" s="669"/>
      <c r="V42" s="584"/>
      <c r="W42" s="584"/>
      <c r="X42" s="584"/>
      <c r="AA42" s="929" t="s">
        <v>287</v>
      </c>
      <c r="AB42" s="930" t="s">
        <v>278</v>
      </c>
      <c r="AC42" s="2725">
        <f>ROUND(AC41/(AF44/1000)*1000,2)</f>
        <v>-0.02</v>
      </c>
      <c r="AD42" s="2726"/>
      <c r="AE42" s="1050"/>
      <c r="AF42" s="2727" t="s">
        <v>289</v>
      </c>
      <c r="AG42" s="2728"/>
      <c r="AI42" s="236"/>
    </row>
    <row r="43" spans="2:35" ht="13.5">
      <c r="B43" s="641" t="s">
        <v>290</v>
      </c>
      <c r="C43" s="670"/>
      <c r="D43" s="671"/>
      <c r="E43" s="644"/>
      <c r="F43" s="644"/>
      <c r="G43" s="611"/>
      <c r="H43" s="595"/>
      <c r="I43" s="595"/>
      <c r="J43" s="595"/>
      <c r="L43" s="641" t="s">
        <v>290</v>
      </c>
      <c r="M43" s="670"/>
      <c r="N43" s="669"/>
      <c r="O43" s="669"/>
      <c r="P43" s="669"/>
      <c r="Q43" s="669"/>
      <c r="R43" s="669"/>
      <c r="S43" s="669"/>
      <c r="T43" s="669"/>
      <c r="U43" s="669"/>
      <c r="V43" s="584"/>
      <c r="W43" s="584"/>
      <c r="X43" s="584"/>
      <c r="AA43" s="2729" t="s">
        <v>291</v>
      </c>
      <c r="AB43" s="649" t="s">
        <v>277</v>
      </c>
      <c r="AC43" s="2731">
        <f>AC33+AC35+AC37+AC39+AC41</f>
        <v>2543506</v>
      </c>
      <c r="AD43" s="2732"/>
      <c r="AE43" s="1055"/>
      <c r="AF43" s="2727"/>
      <c r="AG43" s="2728"/>
      <c r="AI43" s="236"/>
    </row>
    <row r="44" spans="2:35" ht="13.5">
      <c r="B44" s="32"/>
      <c r="C44" s="626"/>
      <c r="D44" s="642"/>
      <c r="E44" s="1007"/>
      <c r="F44" s="1007"/>
      <c r="G44" s="611"/>
      <c r="H44" s="595"/>
      <c r="I44" s="595"/>
      <c r="J44" s="595"/>
      <c r="L44" s="672"/>
      <c r="M44" s="584"/>
      <c r="N44" s="584"/>
      <c r="O44" s="584"/>
      <c r="P44" s="584"/>
      <c r="Q44" s="584"/>
      <c r="R44" s="584"/>
      <c r="S44" s="584"/>
      <c r="T44" s="584"/>
      <c r="U44" s="584"/>
      <c r="V44" s="584"/>
      <c r="W44" s="584"/>
      <c r="X44" s="584"/>
      <c r="AA44" s="2730"/>
      <c r="AB44" s="655" t="s">
        <v>278</v>
      </c>
      <c r="AC44" s="2733">
        <f>ROUND(AC43/(AF44/1000)*1000,2)</f>
        <v>24.02</v>
      </c>
      <c r="AD44" s="2734"/>
      <c r="AE44" s="1056"/>
      <c r="AF44" s="2735">
        <f>D17+Y17-AB29-AD29</f>
        <v>105873631000</v>
      </c>
      <c r="AG44" s="2736"/>
    </row>
    <row r="45" spans="2:35" ht="13.5">
      <c r="AA45" s="673"/>
      <c r="AB45" s="674"/>
      <c r="AC45" s="674"/>
      <c r="AD45" s="666"/>
      <c r="AE45" s="666"/>
      <c r="AF45" s="666"/>
      <c r="AG45" s="666"/>
    </row>
    <row r="46" spans="2:35" ht="19.5" thickBot="1">
      <c r="B46" s="675" t="s">
        <v>292</v>
      </c>
      <c r="C46" s="452"/>
      <c r="D46" s="452"/>
      <c r="E46" s="452"/>
      <c r="F46" s="452"/>
      <c r="G46" s="2539" t="str">
        <f>'R7短期'!G62:H62</f>
        <v>令和7年度</v>
      </c>
      <c r="H46" s="2539"/>
      <c r="I46" s="2540" t="s">
        <v>293</v>
      </c>
      <c r="J46" s="2540"/>
      <c r="K46" s="452"/>
      <c r="L46" s="452"/>
      <c r="M46" s="452"/>
      <c r="N46" s="452"/>
      <c r="O46" s="452"/>
      <c r="P46" s="452"/>
      <c r="Q46" s="452"/>
      <c r="R46" s="452"/>
      <c r="S46" s="452"/>
      <c r="T46" s="452"/>
      <c r="U46" s="452"/>
      <c r="V46" s="452"/>
      <c r="W46" s="452"/>
      <c r="X46" s="452"/>
      <c r="Y46" s="452"/>
      <c r="Z46" s="452"/>
    </row>
    <row r="47" spans="2:35">
      <c r="B47" s="2512" t="s">
        <v>0</v>
      </c>
      <c r="C47" s="2515" t="s">
        <v>220</v>
      </c>
      <c r="D47" s="2516"/>
      <c r="E47" s="2551" t="s">
        <v>221</v>
      </c>
      <c r="F47" s="2551"/>
      <c r="G47" s="2551"/>
      <c r="H47" s="2551"/>
      <c r="I47" s="2551"/>
      <c r="J47" s="2538"/>
      <c r="K47" s="2547" t="s">
        <v>74</v>
      </c>
      <c r="L47" s="2548"/>
      <c r="M47" s="2548"/>
      <c r="N47" s="2523"/>
      <c r="O47" s="2545" t="s">
        <v>222</v>
      </c>
      <c r="P47" s="2546"/>
      <c r="Q47" s="2547" t="s">
        <v>358</v>
      </c>
      <c r="R47" s="2548"/>
      <c r="S47" s="2548"/>
      <c r="T47" s="2523"/>
      <c r="U47" s="2545" t="s">
        <v>223</v>
      </c>
      <c r="V47" s="2546"/>
      <c r="W47" s="2549" t="s">
        <v>75</v>
      </c>
      <c r="X47" s="2534"/>
      <c r="Y47" s="452"/>
      <c r="Z47" s="452"/>
    </row>
    <row r="48" spans="2:35" s="452" customFormat="1" ht="18" customHeight="1">
      <c r="B48" s="2513"/>
      <c r="C48" s="2517"/>
      <c r="D48" s="2518"/>
      <c r="E48" s="2537" t="s">
        <v>225</v>
      </c>
      <c r="F48" s="2538"/>
      <c r="G48" s="2522" t="s">
        <v>226</v>
      </c>
      <c r="H48" s="2523"/>
      <c r="I48" s="2522" t="s">
        <v>227</v>
      </c>
      <c r="J48" s="2523"/>
      <c r="K48" s="2522" t="s">
        <v>76</v>
      </c>
      <c r="L48" s="2523"/>
      <c r="M48" s="2522" t="s">
        <v>228</v>
      </c>
      <c r="N48" s="2523"/>
      <c r="O48" s="2529"/>
      <c r="P48" s="2530"/>
      <c r="Q48" s="2522" t="s">
        <v>226</v>
      </c>
      <c r="R48" s="2523"/>
      <c r="S48" s="2522" t="s">
        <v>228</v>
      </c>
      <c r="T48" s="2523"/>
      <c r="U48" s="2529"/>
      <c r="V48" s="2530"/>
      <c r="W48" s="2550"/>
      <c r="X48" s="2536"/>
    </row>
    <row r="49" spans="2:26" s="452" customFormat="1" ht="21" customHeight="1">
      <c r="B49" s="2514"/>
      <c r="C49" s="676" t="s">
        <v>230</v>
      </c>
      <c r="D49" s="677" t="s">
        <v>231</v>
      </c>
      <c r="E49" s="459" t="s">
        <v>230</v>
      </c>
      <c r="F49" s="678" t="s">
        <v>232</v>
      </c>
      <c r="G49" s="459" t="s">
        <v>230</v>
      </c>
      <c r="H49" s="1003" t="s">
        <v>232</v>
      </c>
      <c r="I49" s="459" t="s">
        <v>230</v>
      </c>
      <c r="J49" s="1003" t="s">
        <v>232</v>
      </c>
      <c r="K49" s="460" t="s">
        <v>230</v>
      </c>
      <c r="L49" s="1003" t="s">
        <v>232</v>
      </c>
      <c r="M49" s="460" t="s">
        <v>230</v>
      </c>
      <c r="N49" s="1003" t="s">
        <v>232</v>
      </c>
      <c r="O49" s="460" t="s">
        <v>230</v>
      </c>
      <c r="P49" s="18" t="s">
        <v>232</v>
      </c>
      <c r="Q49" s="1021" t="s">
        <v>230</v>
      </c>
      <c r="R49" s="1022" t="s">
        <v>232</v>
      </c>
      <c r="S49" s="1023" t="s">
        <v>230</v>
      </c>
      <c r="T49" s="1003" t="s">
        <v>232</v>
      </c>
      <c r="U49" s="460" t="s">
        <v>230</v>
      </c>
      <c r="V49" s="1003" t="s">
        <v>232</v>
      </c>
      <c r="W49" s="460" t="s">
        <v>230</v>
      </c>
      <c r="X49" s="1003" t="s">
        <v>232</v>
      </c>
    </row>
    <row r="50" spans="2:26" s="452" customFormat="1" ht="21" customHeight="1">
      <c r="B50" s="1001" t="s">
        <v>233</v>
      </c>
      <c r="C50" s="679">
        <f>'R7短期'!C66</f>
        <v>0</v>
      </c>
      <c r="D50" s="680">
        <f>'R7短期'!D66</f>
        <v>-36430000</v>
      </c>
      <c r="E50" s="681">
        <f>'R7短期'!E66</f>
        <v>0</v>
      </c>
      <c r="F50" s="682">
        <f>'R7短期'!F66</f>
        <v>0</v>
      </c>
      <c r="G50" s="683">
        <f>'R7短期'!G66</f>
        <v>0</v>
      </c>
      <c r="H50" s="684">
        <f>'R7短期'!H66</f>
        <v>-2680000</v>
      </c>
      <c r="I50" s="685">
        <f>'R7短期'!I66</f>
        <v>0</v>
      </c>
      <c r="J50" s="684">
        <f>'R7短期'!J66</f>
        <v>-23280000</v>
      </c>
      <c r="K50" s="685">
        <f>'R7短期'!K66</f>
        <v>0</v>
      </c>
      <c r="L50" s="682">
        <f>'R7短期'!L66</f>
        <v>0</v>
      </c>
      <c r="M50" s="685">
        <f>'R7短期'!M66</f>
        <v>0</v>
      </c>
      <c r="N50" s="682">
        <f>'R7短期'!N66</f>
        <v>0</v>
      </c>
      <c r="O50" s="685">
        <f>'R7短期'!O66</f>
        <v>0</v>
      </c>
      <c r="P50" s="686">
        <f>'R7短期'!P66</f>
        <v>0</v>
      </c>
      <c r="Q50" s="1057">
        <f>'R7短期'!Q66</f>
        <v>0</v>
      </c>
      <c r="R50" s="1058">
        <f>'R7短期'!R66</f>
        <v>0</v>
      </c>
      <c r="S50" s="1059">
        <f>'R7短期'!S66</f>
        <v>0</v>
      </c>
      <c r="T50" s="686">
        <f>'R7短期'!T66</f>
        <v>-10980000</v>
      </c>
      <c r="U50" s="685">
        <f>'R7短期'!U66</f>
        <v>0</v>
      </c>
      <c r="V50" s="682">
        <f>'R7短期'!V66</f>
        <v>510000</v>
      </c>
      <c r="W50" s="685">
        <f>'R7短期'!W66</f>
        <v>0</v>
      </c>
      <c r="X50" s="687">
        <f>'R7短期'!X66</f>
        <v>0</v>
      </c>
      <c r="Y50" s="452" t="s">
        <v>294</v>
      </c>
    </row>
    <row r="51" spans="2:26" s="452" customFormat="1" ht="21" customHeight="1">
      <c r="B51" s="1002" t="s">
        <v>62</v>
      </c>
      <c r="C51" s="688">
        <f>'R7短期'!C67</f>
        <v>0</v>
      </c>
      <c r="D51" s="689">
        <f>'R7短期'!D67</f>
        <v>0</v>
      </c>
      <c r="E51" s="690">
        <f>'R7短期'!E67</f>
        <v>0</v>
      </c>
      <c r="F51" s="691">
        <f>'R7短期'!F67</f>
        <v>0</v>
      </c>
      <c r="G51" s="692">
        <f>'R7短期'!G67</f>
        <v>0</v>
      </c>
      <c r="H51" s="693">
        <f>'R7短期'!H67</f>
        <v>0</v>
      </c>
      <c r="I51" s="692">
        <f>'R7短期'!I67</f>
        <v>0</v>
      </c>
      <c r="J51" s="693">
        <f>'R7短期'!J67</f>
        <v>0</v>
      </c>
      <c r="K51" s="694">
        <f>'R7短期'!K67</f>
        <v>0</v>
      </c>
      <c r="L51" s="691">
        <f>'R7短期'!L67</f>
        <v>0</v>
      </c>
      <c r="M51" s="694">
        <f>'R7短期'!M67</f>
        <v>0</v>
      </c>
      <c r="N51" s="691">
        <f>'R7短期'!N67</f>
        <v>0</v>
      </c>
      <c r="O51" s="694">
        <f>'R7短期'!O67</f>
        <v>0</v>
      </c>
      <c r="P51" s="695">
        <f>'R7短期'!P67</f>
        <v>0</v>
      </c>
      <c r="Q51" s="1060">
        <f>'R7短期'!Q67</f>
        <v>0</v>
      </c>
      <c r="R51" s="1061">
        <f>'R7短期'!R67</f>
        <v>0</v>
      </c>
      <c r="S51" s="1062">
        <f>'R7短期'!S67</f>
        <v>0</v>
      </c>
      <c r="T51" s="695">
        <f>'R7短期'!T67</f>
        <v>0</v>
      </c>
      <c r="U51" s="694">
        <f>'R7短期'!U67</f>
        <v>0</v>
      </c>
      <c r="V51" s="691">
        <f>'R7短期'!V67</f>
        <v>0</v>
      </c>
      <c r="W51" s="694">
        <f>'R7短期'!W67</f>
        <v>0</v>
      </c>
      <c r="X51" s="696">
        <f>'R7短期'!X67</f>
        <v>0</v>
      </c>
    </row>
    <row r="52" spans="2:26" s="452" customFormat="1" ht="21" customHeight="1">
      <c r="B52" s="1002" t="s">
        <v>63</v>
      </c>
      <c r="C52" s="688">
        <f>'R7短期'!C68</f>
        <v>0</v>
      </c>
      <c r="D52" s="689">
        <f>'R7短期'!D68</f>
        <v>0</v>
      </c>
      <c r="E52" s="690">
        <f>'R7短期'!E68</f>
        <v>0</v>
      </c>
      <c r="F52" s="691">
        <f>'R7短期'!F68</f>
        <v>0</v>
      </c>
      <c r="G52" s="692">
        <f>'R7短期'!G68</f>
        <v>0</v>
      </c>
      <c r="H52" s="693">
        <f>'R7短期'!H68</f>
        <v>0</v>
      </c>
      <c r="I52" s="692">
        <f>'R7短期'!I68</f>
        <v>0</v>
      </c>
      <c r="J52" s="693">
        <f>'R7短期'!J68</f>
        <v>0</v>
      </c>
      <c r="K52" s="694">
        <f>'R7短期'!K68</f>
        <v>0</v>
      </c>
      <c r="L52" s="691">
        <f>'R7短期'!L68</f>
        <v>0</v>
      </c>
      <c r="M52" s="694">
        <f>'R7短期'!M68</f>
        <v>0</v>
      </c>
      <c r="N52" s="691">
        <f>'R7短期'!N68</f>
        <v>0</v>
      </c>
      <c r="O52" s="694">
        <f>'R7短期'!O68</f>
        <v>0</v>
      </c>
      <c r="P52" s="695">
        <f>'R7短期'!P68</f>
        <v>0</v>
      </c>
      <c r="Q52" s="1060">
        <f>'R7短期'!Q68</f>
        <v>0</v>
      </c>
      <c r="R52" s="1061">
        <f>'R7短期'!R68</f>
        <v>0</v>
      </c>
      <c r="S52" s="1062">
        <f>'R7短期'!S68</f>
        <v>0</v>
      </c>
      <c r="T52" s="695">
        <f>'R7短期'!T68</f>
        <v>0</v>
      </c>
      <c r="U52" s="694">
        <f>'R7短期'!U68</f>
        <v>0</v>
      </c>
      <c r="V52" s="691">
        <f>'R7短期'!V68</f>
        <v>0</v>
      </c>
      <c r="W52" s="694">
        <f>'R7短期'!W68</f>
        <v>0</v>
      </c>
      <c r="X52" s="696">
        <f>'R7短期'!X68</f>
        <v>0</v>
      </c>
    </row>
    <row r="53" spans="2:26" s="452" customFormat="1" ht="21" customHeight="1">
      <c r="B53" s="1002" t="s">
        <v>64</v>
      </c>
      <c r="C53" s="688">
        <f>'R7短期'!C69</f>
        <v>0</v>
      </c>
      <c r="D53" s="689">
        <f>'R7短期'!D69</f>
        <v>177896000</v>
      </c>
      <c r="E53" s="690">
        <f>'R7短期'!E69</f>
        <v>0</v>
      </c>
      <c r="F53" s="691">
        <f>'R7短期'!F69</f>
        <v>0</v>
      </c>
      <c r="G53" s="692">
        <f>'R7短期'!G69</f>
        <v>0</v>
      </c>
      <c r="H53" s="693">
        <f>'R7短期'!H69</f>
        <v>21070000</v>
      </c>
      <c r="I53" s="692">
        <f>'R7短期'!I69</f>
        <v>0</v>
      </c>
      <c r="J53" s="693">
        <f>'R7短期'!J69</f>
        <v>96320000</v>
      </c>
      <c r="K53" s="694">
        <f>'R7短期'!K69</f>
        <v>0</v>
      </c>
      <c r="L53" s="691">
        <f>'R7短期'!L69</f>
        <v>0</v>
      </c>
      <c r="M53" s="694">
        <f>'R7短期'!M69</f>
        <v>0</v>
      </c>
      <c r="N53" s="691">
        <f>'R7短期'!N69</f>
        <v>60000</v>
      </c>
      <c r="O53" s="694">
        <f>'R7短期'!O69</f>
        <v>0</v>
      </c>
      <c r="P53" s="695">
        <f>'R7短期'!P69</f>
        <v>0</v>
      </c>
      <c r="Q53" s="1060">
        <f>'R7短期'!Q69</f>
        <v>0</v>
      </c>
      <c r="R53" s="1061">
        <f>'R7短期'!R69</f>
        <v>5386000</v>
      </c>
      <c r="S53" s="1062">
        <f>'R7短期'!S69</f>
        <v>0</v>
      </c>
      <c r="T53" s="695">
        <f>'R7短期'!T69</f>
        <v>47380000</v>
      </c>
      <c r="U53" s="694">
        <f>'R7短期'!U69</f>
        <v>0</v>
      </c>
      <c r="V53" s="691">
        <f>'R7短期'!V69</f>
        <v>7680000</v>
      </c>
      <c r="W53" s="694">
        <f>'R7短期'!W69</f>
        <v>0</v>
      </c>
      <c r="X53" s="696" t="str">
        <f>'R7短期'!X69</f>
        <v>―</v>
      </c>
      <c r="Y53" s="452" t="s">
        <v>294</v>
      </c>
    </row>
    <row r="54" spans="2:26" s="452" customFormat="1" ht="21" customHeight="1">
      <c r="B54" s="1002" t="s">
        <v>65</v>
      </c>
      <c r="C54" s="688">
        <f>'R7短期'!C70</f>
        <v>0</v>
      </c>
      <c r="D54" s="689">
        <f>'R7短期'!D70</f>
        <v>-23796000</v>
      </c>
      <c r="E54" s="690">
        <f>'R7短期'!E70</f>
        <v>0</v>
      </c>
      <c r="F54" s="691">
        <f>'R7短期'!F70</f>
        <v>0</v>
      </c>
      <c r="G54" s="692">
        <f>'R7短期'!G70</f>
        <v>0</v>
      </c>
      <c r="H54" s="693">
        <f>'R7短期'!H70</f>
        <v>-850000</v>
      </c>
      <c r="I54" s="692">
        <f>'R7短期'!I70</f>
        <v>0</v>
      </c>
      <c r="J54" s="693">
        <f>'R7短期'!J70</f>
        <v>-24470000</v>
      </c>
      <c r="K54" s="694">
        <f>'R7短期'!K70</f>
        <v>0</v>
      </c>
      <c r="L54" s="691">
        <f>'R7短期'!L70</f>
        <v>0</v>
      </c>
      <c r="M54" s="694">
        <f>'R7短期'!M70</f>
        <v>0</v>
      </c>
      <c r="N54" s="691">
        <f>'R7短期'!N70</f>
        <v>0</v>
      </c>
      <c r="O54" s="694">
        <f>'R7短期'!O70</f>
        <v>0</v>
      </c>
      <c r="P54" s="695">
        <f>'R7短期'!P70</f>
        <v>0</v>
      </c>
      <c r="Q54" s="1060">
        <f>'R7短期'!Q70</f>
        <v>0</v>
      </c>
      <c r="R54" s="1061">
        <f>'R7短期'!R70</f>
        <v>2474000</v>
      </c>
      <c r="S54" s="1062">
        <f>'R7短期'!S70</f>
        <v>0</v>
      </c>
      <c r="T54" s="695">
        <f>'R7短期'!T70</f>
        <v>-280000</v>
      </c>
      <c r="U54" s="694">
        <f>'R7短期'!U70</f>
        <v>0</v>
      </c>
      <c r="V54" s="691">
        <f>'R7短期'!V70</f>
        <v>-670000</v>
      </c>
      <c r="W54" s="694">
        <f>'R7短期'!W70</f>
        <v>0</v>
      </c>
      <c r="X54" s="696" t="str">
        <f>'R7短期'!X70</f>
        <v>―</v>
      </c>
      <c r="Y54" s="452" t="s">
        <v>294</v>
      </c>
    </row>
    <row r="55" spans="2:26" s="452" customFormat="1" ht="21" customHeight="1">
      <c r="B55" s="1002" t="s">
        <v>66</v>
      </c>
      <c r="C55" s="688">
        <f>'R7短期'!C71</f>
        <v>0</v>
      </c>
      <c r="D55" s="689">
        <f>'R7短期'!D71</f>
        <v>50618000</v>
      </c>
      <c r="E55" s="690">
        <f>'R7短期'!E71</f>
        <v>0</v>
      </c>
      <c r="F55" s="691">
        <f>'R7短期'!F71</f>
        <v>0</v>
      </c>
      <c r="G55" s="692">
        <f>'R7短期'!G71</f>
        <v>0</v>
      </c>
      <c r="H55" s="693">
        <f>'R7短期'!H71</f>
        <v>10530000</v>
      </c>
      <c r="I55" s="692">
        <f>'R7短期'!I71</f>
        <v>0</v>
      </c>
      <c r="J55" s="693">
        <f>'R7短期'!J71</f>
        <v>25620000</v>
      </c>
      <c r="K55" s="694">
        <f>'R7短期'!K71</f>
        <v>0</v>
      </c>
      <c r="L55" s="691">
        <f>'R7短期'!L71</f>
        <v>60000</v>
      </c>
      <c r="M55" s="694">
        <f>'R7短期'!M71</f>
        <v>0</v>
      </c>
      <c r="N55" s="691">
        <f>'R7短期'!N71</f>
        <v>0</v>
      </c>
      <c r="O55" s="694">
        <f>'R7短期'!O71</f>
        <v>0</v>
      </c>
      <c r="P55" s="695">
        <f>'R7短期'!P71</f>
        <v>0</v>
      </c>
      <c r="Q55" s="1060">
        <f>'R7短期'!Q71</f>
        <v>0</v>
      </c>
      <c r="R55" s="1061">
        <f>'R7短期'!R71</f>
        <v>-7128000</v>
      </c>
      <c r="S55" s="1062">
        <f>'R7短期'!S71</f>
        <v>0</v>
      </c>
      <c r="T55" s="695">
        <f>'R7短期'!T71</f>
        <v>20796000</v>
      </c>
      <c r="U55" s="694">
        <f>'R7短期'!U71</f>
        <v>0</v>
      </c>
      <c r="V55" s="691">
        <f>'R7短期'!V71</f>
        <v>740000</v>
      </c>
      <c r="W55" s="694">
        <f>'R7短期'!W71</f>
        <v>0</v>
      </c>
      <c r="X55" s="696" t="str">
        <f>'R7短期'!X71</f>
        <v>―</v>
      </c>
      <c r="Y55" s="452" t="s">
        <v>295</v>
      </c>
    </row>
    <row r="56" spans="2:26" s="452" customFormat="1" ht="21" customHeight="1">
      <c r="B56" s="1002" t="s">
        <v>67</v>
      </c>
      <c r="C56" s="688">
        <f>'R7短期'!C72</f>
        <v>0</v>
      </c>
      <c r="D56" s="689">
        <f>'R7短期'!D72</f>
        <v>0</v>
      </c>
      <c r="E56" s="690">
        <f>'R7短期'!E72</f>
        <v>0</v>
      </c>
      <c r="F56" s="691">
        <f>'R7短期'!F72</f>
        <v>0</v>
      </c>
      <c r="G56" s="692">
        <f>'R7短期'!G72</f>
        <v>0</v>
      </c>
      <c r="H56" s="691">
        <f>'R7短期'!H72</f>
        <v>0</v>
      </c>
      <c r="I56" s="692">
        <f>'R7短期'!I72</f>
        <v>0</v>
      </c>
      <c r="J56" s="691">
        <f>'R7短期'!J72</f>
        <v>0</v>
      </c>
      <c r="K56" s="694">
        <f>'R7短期'!K72</f>
        <v>0</v>
      </c>
      <c r="L56" s="691">
        <f>'R7短期'!L72</f>
        <v>0</v>
      </c>
      <c r="M56" s="694">
        <f>'R7短期'!M72</f>
        <v>0</v>
      </c>
      <c r="N56" s="691">
        <f>'R7短期'!N72</f>
        <v>0</v>
      </c>
      <c r="O56" s="694">
        <f>'R7短期'!O72</f>
        <v>0</v>
      </c>
      <c r="P56" s="695">
        <f>'R7短期'!P72</f>
        <v>0</v>
      </c>
      <c r="Q56" s="1060">
        <f>'R7短期'!Q72</f>
        <v>0</v>
      </c>
      <c r="R56" s="1061">
        <f>'R7短期'!R72</f>
        <v>0</v>
      </c>
      <c r="S56" s="1062">
        <f>'R7短期'!S72</f>
        <v>0</v>
      </c>
      <c r="T56" s="695">
        <f>'R7短期'!T72</f>
        <v>0</v>
      </c>
      <c r="U56" s="694">
        <f>'R7短期'!U72</f>
        <v>0</v>
      </c>
      <c r="V56" s="691">
        <f>'R7短期'!V72</f>
        <v>0</v>
      </c>
      <c r="W56" s="694">
        <f>'R7短期'!W72</f>
        <v>0</v>
      </c>
      <c r="X56" s="697">
        <f>'R7短期'!X72</f>
        <v>0</v>
      </c>
    </row>
    <row r="57" spans="2:26" s="452" customFormat="1" ht="21" customHeight="1">
      <c r="B57" s="1002" t="s">
        <v>68</v>
      </c>
      <c r="C57" s="688">
        <f>'R7短期'!C73</f>
        <v>0</v>
      </c>
      <c r="D57" s="689">
        <f>'R7短期'!D73</f>
        <v>0</v>
      </c>
      <c r="E57" s="690">
        <f>'R7短期'!E73</f>
        <v>0</v>
      </c>
      <c r="F57" s="691">
        <f>'R7短期'!F73</f>
        <v>0</v>
      </c>
      <c r="G57" s="692">
        <f>'R7短期'!G73</f>
        <v>0</v>
      </c>
      <c r="H57" s="691">
        <f>'R7短期'!H73</f>
        <v>0</v>
      </c>
      <c r="I57" s="692">
        <f>'R7短期'!I73</f>
        <v>0</v>
      </c>
      <c r="J57" s="691">
        <f>'R7短期'!J73</f>
        <v>0</v>
      </c>
      <c r="K57" s="694">
        <f>'R7短期'!K73</f>
        <v>0</v>
      </c>
      <c r="L57" s="691">
        <f>'R7短期'!L73</f>
        <v>0</v>
      </c>
      <c r="M57" s="694">
        <f>'R7短期'!M73</f>
        <v>0</v>
      </c>
      <c r="N57" s="691">
        <f>'R7短期'!N73</f>
        <v>0</v>
      </c>
      <c r="O57" s="694">
        <f>'R7短期'!O73</f>
        <v>0</v>
      </c>
      <c r="P57" s="695">
        <f>'R7短期'!P73</f>
        <v>0</v>
      </c>
      <c r="Q57" s="1060">
        <f>'R7短期'!Q73</f>
        <v>0</v>
      </c>
      <c r="R57" s="1061">
        <f>'R7短期'!R73</f>
        <v>0</v>
      </c>
      <c r="S57" s="1062">
        <f>'R7短期'!S73</f>
        <v>0</v>
      </c>
      <c r="T57" s="695">
        <f>'R7短期'!T73</f>
        <v>0</v>
      </c>
      <c r="U57" s="694">
        <f>'R7短期'!U73</f>
        <v>0</v>
      </c>
      <c r="V57" s="691">
        <f>'R7短期'!V73</f>
        <v>0</v>
      </c>
      <c r="W57" s="694">
        <f>'R7短期'!W73</f>
        <v>0</v>
      </c>
      <c r="X57" s="697">
        <f>'R7短期'!X73</f>
        <v>0</v>
      </c>
    </row>
    <row r="58" spans="2:26" s="452" customFormat="1" ht="21" customHeight="1">
      <c r="B58" s="1002" t="s">
        <v>69</v>
      </c>
      <c r="C58" s="688">
        <f>'R7短期'!C74</f>
        <v>0</v>
      </c>
      <c r="D58" s="689">
        <f>'R7短期'!D74</f>
        <v>0</v>
      </c>
      <c r="E58" s="695">
        <f>'R7短期'!E74</f>
        <v>0</v>
      </c>
      <c r="F58" s="691">
        <f>'R7短期'!F74</f>
        <v>0</v>
      </c>
      <c r="G58" s="692">
        <f>'R7短期'!G74</f>
        <v>0</v>
      </c>
      <c r="H58" s="697">
        <f>'R7短期'!H74</f>
        <v>0</v>
      </c>
      <c r="I58" s="694">
        <f>'R7短期'!I74</f>
        <v>0</v>
      </c>
      <c r="J58" s="697">
        <f>'R7短期'!J74</f>
        <v>0</v>
      </c>
      <c r="K58" s="694">
        <f>'R7短期'!K74</f>
        <v>0</v>
      </c>
      <c r="L58" s="697">
        <f>'R7短期'!L74</f>
        <v>0</v>
      </c>
      <c r="M58" s="694">
        <f>'R7短期'!M74</f>
        <v>0</v>
      </c>
      <c r="N58" s="697">
        <f>'R7短期'!N74</f>
        <v>0</v>
      </c>
      <c r="O58" s="694">
        <f>'R7短期'!O74</f>
        <v>0</v>
      </c>
      <c r="P58" s="695">
        <f>'R7短期'!P74</f>
        <v>0</v>
      </c>
      <c r="Q58" s="1060">
        <f>'R7短期'!Q74</f>
        <v>0</v>
      </c>
      <c r="R58" s="1061">
        <f>'R7短期'!R74</f>
        <v>0</v>
      </c>
      <c r="S58" s="1062">
        <f>'R7短期'!S74</f>
        <v>0</v>
      </c>
      <c r="T58" s="695">
        <f>'R7短期'!T74</f>
        <v>0</v>
      </c>
      <c r="U58" s="694">
        <f>'R7短期'!U74</f>
        <v>0</v>
      </c>
      <c r="V58" s="697">
        <f>'R7短期'!V74</f>
        <v>0</v>
      </c>
      <c r="W58" s="694">
        <f>'R7短期'!W74</f>
        <v>0</v>
      </c>
      <c r="X58" s="697">
        <f>'R7短期'!X74</f>
        <v>0</v>
      </c>
    </row>
    <row r="59" spans="2:26" s="452" customFormat="1" ht="21" customHeight="1">
      <c r="B59" s="1002" t="s">
        <v>70</v>
      </c>
      <c r="C59" s="688">
        <f>'R7短期'!C75</f>
        <v>0</v>
      </c>
      <c r="D59" s="689">
        <f>'R7短期'!D75</f>
        <v>0</v>
      </c>
      <c r="E59" s="695">
        <f>'R7短期'!E75</f>
        <v>0</v>
      </c>
      <c r="F59" s="691">
        <f>'R7短期'!F75</f>
        <v>0</v>
      </c>
      <c r="G59" s="692">
        <f>'R7短期'!G75</f>
        <v>0</v>
      </c>
      <c r="H59" s="697">
        <f>'R7短期'!H75</f>
        <v>0</v>
      </c>
      <c r="I59" s="694">
        <f>'R7短期'!I75</f>
        <v>0</v>
      </c>
      <c r="J59" s="697">
        <f>'R7短期'!J75</f>
        <v>0</v>
      </c>
      <c r="K59" s="694">
        <f>'R7短期'!K75</f>
        <v>0</v>
      </c>
      <c r="L59" s="697">
        <f>'R7短期'!L75</f>
        <v>0</v>
      </c>
      <c r="M59" s="694">
        <f>'R7短期'!M75</f>
        <v>0</v>
      </c>
      <c r="N59" s="697">
        <f>'R7短期'!N75</f>
        <v>0</v>
      </c>
      <c r="O59" s="694">
        <f>'R7短期'!O75</f>
        <v>0</v>
      </c>
      <c r="P59" s="695">
        <f>'R7短期'!P75</f>
        <v>0</v>
      </c>
      <c r="Q59" s="1060">
        <f>'R7短期'!Q75</f>
        <v>0</v>
      </c>
      <c r="R59" s="1061">
        <f>'R7短期'!R75</f>
        <v>0</v>
      </c>
      <c r="S59" s="1062">
        <f>'R7短期'!S75</f>
        <v>0</v>
      </c>
      <c r="T59" s="695">
        <f>'R7短期'!T75</f>
        <v>0</v>
      </c>
      <c r="U59" s="694">
        <f>'R7短期'!U75</f>
        <v>0</v>
      </c>
      <c r="V59" s="697">
        <f>'R7短期'!V75</f>
        <v>0</v>
      </c>
      <c r="W59" s="694">
        <f>'R7短期'!W75</f>
        <v>0</v>
      </c>
      <c r="X59" s="697">
        <f>'R7短期'!X75</f>
        <v>0</v>
      </c>
    </row>
    <row r="60" spans="2:26" s="452" customFormat="1" ht="21" customHeight="1">
      <c r="B60" s="1002" t="s">
        <v>71</v>
      </c>
      <c r="C60" s="688">
        <f>'R7短期'!C76</f>
        <v>0</v>
      </c>
      <c r="D60" s="689">
        <f>'R7短期'!D76</f>
        <v>0</v>
      </c>
      <c r="E60" s="695">
        <f>'R7短期'!E76</f>
        <v>0</v>
      </c>
      <c r="F60" s="691">
        <f>'R7短期'!F76</f>
        <v>0</v>
      </c>
      <c r="G60" s="692">
        <f>'R7短期'!G76</f>
        <v>0</v>
      </c>
      <c r="H60" s="697">
        <f>'R7短期'!H76</f>
        <v>0</v>
      </c>
      <c r="I60" s="694">
        <f>'R7短期'!I76</f>
        <v>0</v>
      </c>
      <c r="J60" s="697">
        <f>'R7短期'!J76</f>
        <v>0</v>
      </c>
      <c r="K60" s="694">
        <f>'R7短期'!K76</f>
        <v>0</v>
      </c>
      <c r="L60" s="697">
        <f>'R7短期'!L76</f>
        <v>0</v>
      </c>
      <c r="M60" s="694">
        <f>'R7短期'!M76</f>
        <v>0</v>
      </c>
      <c r="N60" s="697">
        <f>'R7短期'!N76</f>
        <v>0</v>
      </c>
      <c r="O60" s="694">
        <f>'R7短期'!O76</f>
        <v>0</v>
      </c>
      <c r="P60" s="695">
        <f>'R7短期'!P76</f>
        <v>0</v>
      </c>
      <c r="Q60" s="1060">
        <f>'R7短期'!Q76</f>
        <v>0</v>
      </c>
      <c r="R60" s="1061">
        <f>'R7短期'!R76</f>
        <v>0</v>
      </c>
      <c r="S60" s="1062">
        <f>'R7短期'!S76</f>
        <v>0</v>
      </c>
      <c r="T60" s="695">
        <f>'R7短期'!T76</f>
        <v>0</v>
      </c>
      <c r="U60" s="694">
        <f>'R7短期'!U76</f>
        <v>0</v>
      </c>
      <c r="V60" s="697">
        <f>'R7短期'!V76</f>
        <v>0</v>
      </c>
      <c r="W60" s="694">
        <f>'R7短期'!W76</f>
        <v>0</v>
      </c>
      <c r="X60" s="697">
        <f>'R7短期'!X76</f>
        <v>0</v>
      </c>
    </row>
    <row r="61" spans="2:26" s="452" customFormat="1" ht="21" customHeight="1" thickBot="1">
      <c r="B61" s="698" t="s">
        <v>72</v>
      </c>
      <c r="C61" s="699"/>
      <c r="D61" s="700"/>
      <c r="E61" s="701"/>
      <c r="F61" s="702"/>
      <c r="G61" s="703"/>
      <c r="H61" s="704"/>
      <c r="I61" s="705"/>
      <c r="J61" s="704"/>
      <c r="K61" s="706"/>
      <c r="L61" s="704"/>
      <c r="M61" s="706"/>
      <c r="N61" s="704"/>
      <c r="O61" s="705"/>
      <c r="P61" s="707"/>
      <c r="Q61" s="1063"/>
      <c r="R61" s="1064"/>
      <c r="S61" s="1065"/>
      <c r="T61" s="707"/>
      <c r="U61" s="705"/>
      <c r="V61" s="704"/>
      <c r="W61" s="705"/>
      <c r="X61" s="704"/>
      <c r="Y61" s="708" t="s">
        <v>296</v>
      </c>
      <c r="Z61" s="708"/>
    </row>
    <row r="62" spans="2:26" s="452" customFormat="1" ht="21" customHeight="1" thickBot="1">
      <c r="B62" s="709" t="s">
        <v>78</v>
      </c>
      <c r="C62" s="710"/>
      <c r="D62" s="711">
        <f>SUM(D50:D61)</f>
        <v>168288000</v>
      </c>
      <c r="E62" s="712"/>
      <c r="F62" s="713">
        <f>SUM(F50:F61)</f>
        <v>0</v>
      </c>
      <c r="G62" s="714"/>
      <c r="H62" s="715">
        <f>SUM(H50:H61)</f>
        <v>28070000</v>
      </c>
      <c r="I62" s="714"/>
      <c r="J62" s="715">
        <f>SUM(J50:J61)</f>
        <v>74190000</v>
      </c>
      <c r="K62" s="716"/>
      <c r="L62" s="715">
        <f>SUM(L50:L61)</f>
        <v>60000</v>
      </c>
      <c r="M62" s="716"/>
      <c r="N62" s="715">
        <f>SUM(N50:N61)</f>
        <v>60000</v>
      </c>
      <c r="O62" s="716"/>
      <c r="P62" s="717">
        <f>SUM(P50:P61)</f>
        <v>0</v>
      </c>
      <c r="Q62" s="1066"/>
      <c r="R62" s="1067">
        <f>SUM(R50:R61)</f>
        <v>732000</v>
      </c>
      <c r="S62" s="1068"/>
      <c r="T62" s="717">
        <f>SUM(T50:T61)</f>
        <v>56916000</v>
      </c>
      <c r="U62" s="716"/>
      <c r="V62" s="715">
        <f>SUM(V50:V61)</f>
        <v>8260000</v>
      </c>
      <c r="W62" s="716"/>
      <c r="X62" s="711">
        <f>SUM(X50:X61)</f>
        <v>0</v>
      </c>
      <c r="Y62" s="718"/>
      <c r="Z62" s="718"/>
    </row>
    <row r="63" spans="2:26" s="708" customFormat="1" ht="21" customHeight="1">
      <c r="B63" s="718"/>
      <c r="C63" s="718"/>
      <c r="D63" s="718"/>
      <c r="E63" s="718"/>
      <c r="F63" s="718"/>
      <c r="G63" s="718"/>
      <c r="H63" s="718"/>
      <c r="I63" s="718"/>
      <c r="J63" s="718"/>
      <c r="K63" s="718"/>
      <c r="L63" s="718"/>
      <c r="M63" s="718"/>
      <c r="N63" s="718"/>
      <c r="O63" s="718"/>
      <c r="P63" s="718"/>
      <c r="Q63" s="718"/>
      <c r="R63" s="718"/>
      <c r="S63" s="718"/>
      <c r="T63" s="718"/>
      <c r="U63" s="718"/>
      <c r="V63" s="718"/>
      <c r="W63" s="718"/>
      <c r="X63" s="718"/>
      <c r="Y63" s="718"/>
      <c r="Z63" s="718"/>
    </row>
    <row r="64" spans="2:26" s="718" customFormat="1" ht="21" hidden="1" customHeight="1"/>
    <row r="65" spans="2:28" s="718" customFormat="1" ht="14.25" thickBot="1">
      <c r="B65" s="719" t="s">
        <v>304</v>
      </c>
      <c r="G65" s="2539" t="str">
        <f>G46</f>
        <v>令和7年度</v>
      </c>
      <c r="H65" s="2539"/>
      <c r="I65" s="2540" t="s">
        <v>293</v>
      </c>
      <c r="J65" s="2540"/>
    </row>
    <row r="66" spans="2:28" s="718" customFormat="1" ht="13.5">
      <c r="B66" s="2686" t="s">
        <v>0</v>
      </c>
      <c r="C66" s="2515" t="s">
        <v>297</v>
      </c>
      <c r="D66" s="2516"/>
      <c r="E66" s="2716" t="s">
        <v>221</v>
      </c>
      <c r="F66" s="2717"/>
      <c r="G66" s="2717"/>
      <c r="H66" s="2717"/>
      <c r="I66" s="2717"/>
      <c r="J66" s="2718"/>
      <c r="K66" s="2719" t="s">
        <v>74</v>
      </c>
      <c r="L66" s="2720"/>
      <c r="M66" s="2720"/>
      <c r="N66" s="2721"/>
      <c r="O66" s="2707" t="s">
        <v>222</v>
      </c>
      <c r="P66" s="2722"/>
      <c r="Q66" s="2524" t="s">
        <v>358</v>
      </c>
      <c r="R66" s="2525"/>
      <c r="S66" s="2525"/>
      <c r="T66" s="2526"/>
      <c r="U66" s="2707" t="s">
        <v>223</v>
      </c>
      <c r="V66" s="2708"/>
      <c r="W66" s="2710" t="s">
        <v>75</v>
      </c>
      <c r="X66" s="2703"/>
    </row>
    <row r="67" spans="2:28" s="718" customFormat="1" ht="16.5" customHeight="1">
      <c r="B67" s="2687"/>
      <c r="C67" s="2517"/>
      <c r="D67" s="2518"/>
      <c r="E67" s="2712"/>
      <c r="F67" s="2694"/>
      <c r="G67" s="2713" t="s">
        <v>226</v>
      </c>
      <c r="H67" s="2697"/>
      <c r="I67" s="2713" t="s">
        <v>227</v>
      </c>
      <c r="J67" s="2697"/>
      <c r="K67" s="2713" t="s">
        <v>76</v>
      </c>
      <c r="L67" s="2697"/>
      <c r="M67" s="2713" t="s">
        <v>228</v>
      </c>
      <c r="N67" s="2697"/>
      <c r="O67" s="2700"/>
      <c r="P67" s="2701"/>
      <c r="Q67" s="2522" t="s">
        <v>226</v>
      </c>
      <c r="R67" s="2523"/>
      <c r="S67" s="2522" t="s">
        <v>228</v>
      </c>
      <c r="T67" s="2523"/>
      <c r="U67" s="2700"/>
      <c r="V67" s="2709"/>
      <c r="W67" s="2711"/>
      <c r="X67" s="2705"/>
    </row>
    <row r="68" spans="2:28" s="718" customFormat="1" ht="16.5" customHeight="1">
      <c r="B68" s="2688"/>
      <c r="C68" s="720" t="s">
        <v>230</v>
      </c>
      <c r="D68" s="721" t="s">
        <v>231</v>
      </c>
      <c r="E68" s="720"/>
      <c r="F68" s="722"/>
      <c r="G68" s="723" t="s">
        <v>230</v>
      </c>
      <c r="H68" s="1000" t="s">
        <v>232</v>
      </c>
      <c r="I68" s="723" t="s">
        <v>230</v>
      </c>
      <c r="J68" s="1000" t="s">
        <v>232</v>
      </c>
      <c r="K68" s="724" t="s">
        <v>230</v>
      </c>
      <c r="L68" s="1000" t="s">
        <v>232</v>
      </c>
      <c r="M68" s="724" t="s">
        <v>230</v>
      </c>
      <c r="N68" s="1000" t="s">
        <v>232</v>
      </c>
      <c r="O68" s="724" t="s">
        <v>230</v>
      </c>
      <c r="P68" s="999" t="s">
        <v>232</v>
      </c>
      <c r="Q68" s="1021" t="s">
        <v>230</v>
      </c>
      <c r="R68" s="1022" t="s">
        <v>232</v>
      </c>
      <c r="S68" s="1023" t="s">
        <v>230</v>
      </c>
      <c r="T68" s="1003" t="s">
        <v>232</v>
      </c>
      <c r="U68" s="724" t="s">
        <v>230</v>
      </c>
      <c r="V68" s="725" t="s">
        <v>232</v>
      </c>
      <c r="W68" s="723" t="s">
        <v>230</v>
      </c>
      <c r="X68" s="1000" t="s">
        <v>232</v>
      </c>
    </row>
    <row r="69" spans="2:28" s="718" customFormat="1" ht="16.5" customHeight="1">
      <c r="B69" s="997" t="s">
        <v>233</v>
      </c>
      <c r="C69" s="726">
        <f>'R7短期'!C85</f>
        <v>0</v>
      </c>
      <c r="D69" s="727">
        <f>'R7短期'!D85</f>
        <v>0</v>
      </c>
      <c r="E69" s="728"/>
      <c r="F69" s="729"/>
      <c r="G69" s="730">
        <f>'R7短期'!G85</f>
        <v>0</v>
      </c>
      <c r="H69" s="731">
        <f>'R7短期'!H85</f>
        <v>0</v>
      </c>
      <c r="I69" s="732">
        <f>'R7短期'!I85</f>
        <v>0</v>
      </c>
      <c r="J69" s="731">
        <f>'R7短期'!J85</f>
        <v>0</v>
      </c>
      <c r="K69" s="732">
        <f>'R7短期'!K85</f>
        <v>0</v>
      </c>
      <c r="L69" s="729">
        <f>'R7短期'!L85</f>
        <v>0</v>
      </c>
      <c r="M69" s="732">
        <f>'R7短期'!M85</f>
        <v>0</v>
      </c>
      <c r="N69" s="729">
        <f>'R7短期'!N85</f>
        <v>0</v>
      </c>
      <c r="O69" s="732">
        <f>'R7短期'!O85</f>
        <v>0</v>
      </c>
      <c r="P69" s="733">
        <f>'R7短期'!P85</f>
        <v>0</v>
      </c>
      <c r="Q69" s="1069">
        <f>'R7短期'!Q85</f>
        <v>0</v>
      </c>
      <c r="R69" s="1070">
        <f>'R7短期'!R85</f>
        <v>0</v>
      </c>
      <c r="S69" s="1071">
        <f>'R7短期'!S85</f>
        <v>0</v>
      </c>
      <c r="T69" s="733">
        <f>'R7短期'!T85</f>
        <v>0</v>
      </c>
      <c r="U69" s="732">
        <f>'R7短期'!U85</f>
        <v>0</v>
      </c>
      <c r="V69" s="727">
        <f>'R7短期'!V85</f>
        <v>0</v>
      </c>
      <c r="W69" s="730">
        <f>'R7短期'!W85</f>
        <v>213</v>
      </c>
      <c r="X69" s="731">
        <f>'R7短期'!X85</f>
        <v>52118000</v>
      </c>
    </row>
    <row r="70" spans="2:28" s="718" customFormat="1" ht="16.5" customHeight="1">
      <c r="B70" s="998" t="s">
        <v>62</v>
      </c>
      <c r="C70" s="734">
        <f>'R7短期'!C86</f>
        <v>116</v>
      </c>
      <c r="D70" s="735">
        <f>'R7短期'!D86</f>
        <v>19416000</v>
      </c>
      <c r="E70" s="736"/>
      <c r="F70" s="737"/>
      <c r="G70" s="738">
        <f>'R7短期'!G86</f>
        <v>0</v>
      </c>
      <c r="H70" s="739">
        <f>'R7短期'!H86</f>
        <v>0</v>
      </c>
      <c r="I70" s="738">
        <f>'R7短期'!I86</f>
        <v>6</v>
      </c>
      <c r="J70" s="739">
        <f>'R7短期'!J86</f>
        <v>1880000</v>
      </c>
      <c r="K70" s="740">
        <f>'R7短期'!K86</f>
        <v>0</v>
      </c>
      <c r="L70" s="737">
        <f>'R7短期'!L86</f>
        <v>0</v>
      </c>
      <c r="M70" s="740">
        <f>'R7短期'!M86</f>
        <v>0</v>
      </c>
      <c r="N70" s="737">
        <f>'R7短期'!N86</f>
        <v>0</v>
      </c>
      <c r="O70" s="740">
        <f>'R7短期'!O86</f>
        <v>0</v>
      </c>
      <c r="P70" s="741">
        <f>'R7短期'!P86</f>
        <v>0</v>
      </c>
      <c r="Q70" s="1072">
        <f>'R7短期'!Q86</f>
        <v>9</v>
      </c>
      <c r="R70" s="1073">
        <f>'R7短期'!R86</f>
        <v>1740000</v>
      </c>
      <c r="S70" s="1074">
        <f>'R7短期'!S86</f>
        <v>94</v>
      </c>
      <c r="T70" s="741">
        <f>'R7短期'!T86</f>
        <v>13828000</v>
      </c>
      <c r="U70" s="740">
        <f>'R7短期'!U86</f>
        <v>0</v>
      </c>
      <c r="V70" s="735">
        <f>'R7短期'!V86</f>
        <v>0</v>
      </c>
      <c r="W70" s="738">
        <f>'R7短期'!W86</f>
        <v>7</v>
      </c>
      <c r="X70" s="739">
        <f>'R7短期'!X86</f>
        <v>1968000</v>
      </c>
    </row>
    <row r="71" spans="2:28" s="718" customFormat="1" ht="16.5" customHeight="1">
      <c r="B71" s="998" t="s">
        <v>63</v>
      </c>
      <c r="C71" s="734">
        <f>'R7短期'!C87</f>
        <v>73</v>
      </c>
      <c r="D71" s="735">
        <f>'R7短期'!D87</f>
        <v>17384000</v>
      </c>
      <c r="E71" s="736"/>
      <c r="F71" s="737"/>
      <c r="G71" s="738">
        <f>'R7短期'!G87</f>
        <v>9</v>
      </c>
      <c r="H71" s="739">
        <f>'R7短期'!H87</f>
        <v>5110000</v>
      </c>
      <c r="I71" s="738">
        <f>'R7短期'!I87</f>
        <v>9</v>
      </c>
      <c r="J71" s="739">
        <f>'R7短期'!J87</f>
        <v>2510000</v>
      </c>
      <c r="K71" s="740">
        <f>'R7短期'!K87</f>
        <v>0</v>
      </c>
      <c r="L71" s="737">
        <f>'R7短期'!L87</f>
        <v>0</v>
      </c>
      <c r="M71" s="740">
        <f>'R7短期'!M87</f>
        <v>0</v>
      </c>
      <c r="N71" s="737">
        <f>'R7短期'!N87</f>
        <v>0</v>
      </c>
      <c r="O71" s="740">
        <f>'R7短期'!O87</f>
        <v>0</v>
      </c>
      <c r="P71" s="741">
        <f>'R7短期'!P87</f>
        <v>0</v>
      </c>
      <c r="Q71" s="1072">
        <f>'R7短期'!Q87</f>
        <v>11</v>
      </c>
      <c r="R71" s="1073">
        <f>'R7短期'!R87</f>
        <v>2460000</v>
      </c>
      <c r="S71" s="1074">
        <f>'R7短期'!S87</f>
        <v>41</v>
      </c>
      <c r="T71" s="741">
        <f>'R7短期'!T87</f>
        <v>6500000</v>
      </c>
      <c r="U71" s="740">
        <f>'R7短期'!U87</f>
        <v>0</v>
      </c>
      <c r="V71" s="735">
        <f>'R7短期'!V87</f>
        <v>0</v>
      </c>
      <c r="W71" s="738">
        <f>'R7短期'!W87</f>
        <v>3</v>
      </c>
      <c r="X71" s="739">
        <f>'R7短期'!X87</f>
        <v>804000</v>
      </c>
    </row>
    <row r="72" spans="2:28" s="718" customFormat="1" ht="16.5" customHeight="1">
      <c r="B72" s="998" t="s">
        <v>64</v>
      </c>
      <c r="C72" s="734">
        <f>'R7短期'!C88</f>
        <v>41</v>
      </c>
      <c r="D72" s="735">
        <f>'R7短期'!D88</f>
        <v>12558000</v>
      </c>
      <c r="E72" s="736"/>
      <c r="F72" s="737"/>
      <c r="G72" s="738">
        <f>'R7短期'!G88</f>
        <v>3</v>
      </c>
      <c r="H72" s="739">
        <f>'R7短期'!H88</f>
        <v>1330000</v>
      </c>
      <c r="I72" s="738">
        <f>'R7短期'!I88</f>
        <v>16</v>
      </c>
      <c r="J72" s="739">
        <f>'R7短期'!J88</f>
        <v>5560000</v>
      </c>
      <c r="K72" s="740">
        <f>'R7短期'!K88</f>
        <v>0</v>
      </c>
      <c r="L72" s="737">
        <f>'R7短期'!L88</f>
        <v>0</v>
      </c>
      <c r="M72" s="740">
        <f>'R7短期'!M88</f>
        <v>1</v>
      </c>
      <c r="N72" s="737">
        <f>'R7短期'!N88</f>
        <v>1090000</v>
      </c>
      <c r="O72" s="740">
        <f>'R7短期'!O88</f>
        <v>0</v>
      </c>
      <c r="P72" s="741">
        <f>'R7短期'!P88</f>
        <v>0</v>
      </c>
      <c r="Q72" s="1072">
        <f>'R7短期'!Q88</f>
        <v>7</v>
      </c>
      <c r="R72" s="1073">
        <f>'R7短期'!R88</f>
        <v>1840000</v>
      </c>
      <c r="S72" s="1074">
        <f>'R7短期'!S88</f>
        <v>7</v>
      </c>
      <c r="T72" s="741">
        <f>'R7短期'!T88</f>
        <v>1002000</v>
      </c>
      <c r="U72" s="740">
        <f>'R7短期'!U88</f>
        <v>0</v>
      </c>
      <c r="V72" s="735">
        <f>'R7短期'!V88</f>
        <v>0</v>
      </c>
      <c r="W72" s="738">
        <f>'R7短期'!W88</f>
        <v>7</v>
      </c>
      <c r="X72" s="739">
        <f>'R7短期'!X88</f>
        <v>1736000</v>
      </c>
    </row>
    <row r="73" spans="2:28" s="718" customFormat="1" ht="16.5" customHeight="1">
      <c r="B73" s="998" t="s">
        <v>65</v>
      </c>
      <c r="C73" s="734">
        <f>'R7短期'!C89</f>
        <v>75</v>
      </c>
      <c r="D73" s="735">
        <f>'R7短期'!D89</f>
        <v>12578000</v>
      </c>
      <c r="E73" s="736"/>
      <c r="F73" s="737"/>
      <c r="G73" s="738">
        <f>'R7短期'!G89</f>
        <v>2</v>
      </c>
      <c r="H73" s="739">
        <f>'R7短期'!H89</f>
        <v>640000</v>
      </c>
      <c r="I73" s="738">
        <f>'R7短期'!I89</f>
        <v>2</v>
      </c>
      <c r="J73" s="739">
        <f>'R7短期'!J89</f>
        <v>680000</v>
      </c>
      <c r="K73" s="740">
        <f>'R7短期'!K89</f>
        <v>0</v>
      </c>
      <c r="L73" s="737">
        <f>'R7短期'!L89</f>
        <v>0</v>
      </c>
      <c r="M73" s="740">
        <f>'R7短期'!M89</f>
        <v>0</v>
      </c>
      <c r="N73" s="737">
        <f>'R7短期'!N89</f>
        <v>0</v>
      </c>
      <c r="O73" s="740">
        <f>'R7短期'!O89</f>
        <v>0</v>
      </c>
      <c r="P73" s="741">
        <f>'R7短期'!P89</f>
        <v>0</v>
      </c>
      <c r="Q73" s="1072">
        <f>'R7短期'!Q89</f>
        <v>9</v>
      </c>
      <c r="R73" s="1073">
        <f>'R7短期'!R89</f>
        <v>1760000</v>
      </c>
      <c r="S73" s="1074">
        <f>'R7短期'!S89</f>
        <v>55</v>
      </c>
      <c r="T73" s="741">
        <f>'R7短期'!T89</f>
        <v>8148000</v>
      </c>
      <c r="U73" s="740">
        <f>'R7短期'!U89</f>
        <v>0</v>
      </c>
      <c r="V73" s="735">
        <f>'R7短期'!V89</f>
        <v>0</v>
      </c>
      <c r="W73" s="738">
        <f>'R7短期'!W89</f>
        <v>7</v>
      </c>
      <c r="X73" s="739">
        <f>'R7短期'!X89</f>
        <v>1350000</v>
      </c>
    </row>
    <row r="74" spans="2:28" s="718" customFormat="1" ht="16.5" customHeight="1">
      <c r="B74" s="998" t="s">
        <v>66</v>
      </c>
      <c r="C74" s="734">
        <f>'R7短期'!C90</f>
        <v>82</v>
      </c>
      <c r="D74" s="735">
        <f>'R7短期'!D90</f>
        <v>14240000</v>
      </c>
      <c r="E74" s="736"/>
      <c r="F74" s="737"/>
      <c r="G74" s="738">
        <f>'R7短期'!G90</f>
        <v>2</v>
      </c>
      <c r="H74" s="739">
        <f>'R7短期'!H90</f>
        <v>660000</v>
      </c>
      <c r="I74" s="738">
        <f>'R7短期'!I90</f>
        <v>0</v>
      </c>
      <c r="J74" s="739">
        <f>'R7短期'!J90</f>
        <v>0</v>
      </c>
      <c r="K74" s="740">
        <f>'R7短期'!K90</f>
        <v>0</v>
      </c>
      <c r="L74" s="737">
        <f>'R7短期'!L90</f>
        <v>0</v>
      </c>
      <c r="M74" s="740">
        <f>'R7短期'!M90</f>
        <v>0</v>
      </c>
      <c r="N74" s="737">
        <f>'R7短期'!N90</f>
        <v>0</v>
      </c>
      <c r="O74" s="740">
        <f>'R7短期'!O90</f>
        <v>0</v>
      </c>
      <c r="P74" s="741">
        <f>'R7短期'!P90</f>
        <v>0</v>
      </c>
      <c r="Q74" s="1072">
        <f>'R7短期'!Q90</f>
        <v>11</v>
      </c>
      <c r="R74" s="1073">
        <f>'R7短期'!R90</f>
        <v>2410000</v>
      </c>
      <c r="S74" s="1074">
        <f>'R7短期'!S90</f>
        <v>61</v>
      </c>
      <c r="T74" s="741">
        <f>'R7短期'!T90</f>
        <v>8848000</v>
      </c>
      <c r="U74" s="740">
        <f>'R7短期'!U90</f>
        <v>0</v>
      </c>
      <c r="V74" s="735">
        <f>'R7短期'!V90</f>
        <v>0</v>
      </c>
      <c r="W74" s="738">
        <f>'R7短期'!W90</f>
        <v>8</v>
      </c>
      <c r="X74" s="739">
        <f>'R7短期'!X90</f>
        <v>2322000</v>
      </c>
      <c r="AA74" s="742"/>
      <c r="AB74" s="742"/>
    </row>
    <row r="75" spans="2:28" s="718" customFormat="1" ht="16.5" customHeight="1" thickBot="1">
      <c r="B75" s="998" t="s">
        <v>67</v>
      </c>
      <c r="C75" s="734">
        <f>'R7短期'!C91</f>
        <v>103</v>
      </c>
      <c r="D75" s="735">
        <f>'R7短期'!D91</f>
        <v>32094000</v>
      </c>
      <c r="E75" s="736"/>
      <c r="F75" s="737"/>
      <c r="G75" s="738">
        <f>'R7短期'!G91</f>
        <v>14</v>
      </c>
      <c r="H75" s="737">
        <f>'R7短期'!H91</f>
        <v>8140000</v>
      </c>
      <c r="I75" s="738">
        <f>'R7短期'!I91</f>
        <v>3</v>
      </c>
      <c r="J75" s="737">
        <f>'R7短期'!J91</f>
        <v>700000</v>
      </c>
      <c r="K75" s="740">
        <f>'R7短期'!K91</f>
        <v>0</v>
      </c>
      <c r="L75" s="737">
        <f>'R7短期'!L91</f>
        <v>0</v>
      </c>
      <c r="M75" s="740">
        <f>'R7短期'!M91</f>
        <v>0</v>
      </c>
      <c r="N75" s="737">
        <f>'R7短期'!N91</f>
        <v>0</v>
      </c>
      <c r="O75" s="740">
        <f>'R7短期'!O91</f>
        <v>0</v>
      </c>
      <c r="P75" s="741">
        <f>'R7短期'!P91</f>
        <v>0</v>
      </c>
      <c r="Q75" s="1072">
        <f>'R7短期'!Q91</f>
        <v>36</v>
      </c>
      <c r="R75" s="1073">
        <f>'R7短期'!R91</f>
        <v>14890000</v>
      </c>
      <c r="S75" s="1074">
        <f>'R7短期'!S91</f>
        <v>44</v>
      </c>
      <c r="T75" s="741">
        <f>'R7短期'!T91</f>
        <v>6574000</v>
      </c>
      <c r="U75" s="740">
        <f>'R7短期'!U91</f>
        <v>0</v>
      </c>
      <c r="V75" s="735">
        <f>'R7短期'!V91</f>
        <v>0</v>
      </c>
      <c r="W75" s="738">
        <f>'R7短期'!W91</f>
        <v>5</v>
      </c>
      <c r="X75" s="737">
        <f>'R7短期'!X91</f>
        <v>1530000</v>
      </c>
    </row>
    <row r="76" spans="2:28" s="718" customFormat="1" ht="16.5" customHeight="1">
      <c r="B76" s="998" t="s">
        <v>68</v>
      </c>
      <c r="C76" s="734">
        <f>'R7短期'!C92</f>
        <v>62</v>
      </c>
      <c r="D76" s="735">
        <f>'R7短期'!D92</f>
        <v>12548000</v>
      </c>
      <c r="E76" s="2714">
        <f>'R7短期'!E92</f>
        <v>0</v>
      </c>
      <c r="F76" s="2715"/>
      <c r="G76" s="738">
        <f>'R7短期'!G92</f>
        <v>0</v>
      </c>
      <c r="H76" s="737">
        <f>'R7短期'!H92</f>
        <v>0</v>
      </c>
      <c r="I76" s="738">
        <f>'R7短期'!I92</f>
        <v>12</v>
      </c>
      <c r="J76" s="737">
        <f>'R7短期'!J92</f>
        <v>2440000</v>
      </c>
      <c r="K76" s="740">
        <f>'R7短期'!K92</f>
        <v>0</v>
      </c>
      <c r="L76" s="737">
        <f>'R7短期'!L92</f>
        <v>0</v>
      </c>
      <c r="M76" s="740">
        <f>'R7短期'!M92</f>
        <v>0</v>
      </c>
      <c r="N76" s="737">
        <f>'R7短期'!N92</f>
        <v>0</v>
      </c>
      <c r="O76" s="740">
        <f>'R7短期'!O92</f>
        <v>0</v>
      </c>
      <c r="P76" s="741">
        <f>'R7短期'!P92</f>
        <v>0</v>
      </c>
      <c r="Q76" s="1072">
        <f>'R7短期'!Q92</f>
        <v>8</v>
      </c>
      <c r="R76" s="1073">
        <f>'R7短期'!R92</f>
        <v>2532000</v>
      </c>
      <c r="S76" s="1074">
        <f>'R7短期'!S92</f>
        <v>39</v>
      </c>
      <c r="T76" s="741">
        <f>'R7短期'!T92</f>
        <v>6608000</v>
      </c>
      <c r="U76" s="740">
        <f>'R7短期'!U92</f>
        <v>0</v>
      </c>
      <c r="V76" s="735">
        <f>'R7短期'!V92</f>
        <v>0</v>
      </c>
      <c r="W76" s="738">
        <f>'R7短期'!W92</f>
        <v>3</v>
      </c>
      <c r="X76" s="737">
        <f>'R7短期'!X92</f>
        <v>968000</v>
      </c>
    </row>
    <row r="77" spans="2:28" s="718" customFormat="1" ht="16.5" customHeight="1" thickBot="1">
      <c r="B77" s="998" t="s">
        <v>69</v>
      </c>
      <c r="C77" s="734">
        <f>'R7短期'!C93</f>
        <v>55</v>
      </c>
      <c r="D77" s="735">
        <f>'R7短期'!D93</f>
        <v>9372000</v>
      </c>
      <c r="E77" s="743" t="str">
        <f>'R7短期'!E93</f>
        <v>8.1～8.3月計</v>
      </c>
      <c r="F77" s="744">
        <f>'R7短期'!F93</f>
        <v>0</v>
      </c>
      <c r="G77" s="738">
        <f>'R7短期'!G93</f>
        <v>6</v>
      </c>
      <c r="H77" s="737">
        <f>'R7短期'!H93</f>
        <v>2100000</v>
      </c>
      <c r="I77" s="740">
        <f>'R7短期'!I93</f>
        <v>2</v>
      </c>
      <c r="J77" s="737">
        <f>'R7短期'!J93</f>
        <v>540000</v>
      </c>
      <c r="K77" s="740">
        <f>'R7短期'!K93</f>
        <v>0</v>
      </c>
      <c r="L77" s="737">
        <f>'R7短期'!L93</f>
        <v>0</v>
      </c>
      <c r="M77" s="740">
        <f>'R7短期'!M93</f>
        <v>0</v>
      </c>
      <c r="N77" s="737">
        <f>'R7短期'!N93</f>
        <v>0</v>
      </c>
      <c r="O77" s="740">
        <f>'R7短期'!O93</f>
        <v>0</v>
      </c>
      <c r="P77" s="741">
        <f>'R7短期'!P93</f>
        <v>0</v>
      </c>
      <c r="Q77" s="1072">
        <f>'R7短期'!Q93</f>
        <v>9</v>
      </c>
      <c r="R77" s="1073">
        <f>'R7短期'!R93</f>
        <v>1424000</v>
      </c>
      <c r="S77" s="1074">
        <f>'R7短期'!S93</f>
        <v>35</v>
      </c>
      <c r="T77" s="741">
        <f>'R7短期'!T93</f>
        <v>4594000</v>
      </c>
      <c r="U77" s="740">
        <f>'R7短期'!U93</f>
        <v>0</v>
      </c>
      <c r="V77" s="735">
        <f>'R7短期'!V93</f>
        <v>0</v>
      </c>
      <c r="W77" s="738">
        <f>'R7短期'!W93</f>
        <v>3</v>
      </c>
      <c r="X77" s="737">
        <f>'R7短期'!X93</f>
        <v>714000</v>
      </c>
    </row>
    <row r="78" spans="2:28" s="718" customFormat="1" ht="16.5" customHeight="1" thickBot="1">
      <c r="B78" s="998" t="s">
        <v>70</v>
      </c>
      <c r="C78" s="734">
        <f>'R7短期'!C94</f>
        <v>64</v>
      </c>
      <c r="D78" s="735">
        <f>'R7短期'!D94</f>
        <v>13158000</v>
      </c>
      <c r="E78" s="736"/>
      <c r="F78" s="737"/>
      <c r="G78" s="738">
        <f>'R7短期'!G94</f>
        <v>7</v>
      </c>
      <c r="H78" s="737">
        <f>'R7短期'!H94</f>
        <v>2550000</v>
      </c>
      <c r="I78" s="740">
        <f>'R7短期'!I94</f>
        <v>6</v>
      </c>
      <c r="J78" s="737">
        <f>'R7短期'!J94</f>
        <v>1500000</v>
      </c>
      <c r="K78" s="740">
        <f>'R7短期'!K94</f>
        <v>0</v>
      </c>
      <c r="L78" s="737">
        <f>'R7短期'!L94</f>
        <v>0</v>
      </c>
      <c r="M78" s="740">
        <f>'R7短期'!M94</f>
        <v>0</v>
      </c>
      <c r="N78" s="737">
        <f>'R7短期'!N94</f>
        <v>0</v>
      </c>
      <c r="O78" s="740">
        <f>'R7短期'!O94</f>
        <v>0</v>
      </c>
      <c r="P78" s="741">
        <f>'R7短期'!P94</f>
        <v>0</v>
      </c>
      <c r="Q78" s="1072">
        <f>'R7短期'!Q94</f>
        <v>5</v>
      </c>
      <c r="R78" s="1073">
        <f>'R7短期'!R94</f>
        <v>902000</v>
      </c>
      <c r="S78" s="1074">
        <f>'R7短期'!S94</f>
        <v>40</v>
      </c>
      <c r="T78" s="741">
        <f>'R7短期'!T94</f>
        <v>5956000</v>
      </c>
      <c r="U78" s="740">
        <f>'R7短期'!U94</f>
        <v>0</v>
      </c>
      <c r="V78" s="735">
        <f>'R7短期'!V94</f>
        <v>0</v>
      </c>
      <c r="W78" s="738">
        <f>'R7短期'!W94</f>
        <v>6</v>
      </c>
      <c r="X78" s="737">
        <f>'R7短期'!X94</f>
        <v>2250000</v>
      </c>
    </row>
    <row r="79" spans="2:28" s="718" customFormat="1" ht="16.5" customHeight="1">
      <c r="B79" s="998" t="s">
        <v>71</v>
      </c>
      <c r="C79" s="734">
        <f>'R7短期'!C95</f>
        <v>32</v>
      </c>
      <c r="D79" s="735">
        <f>'R7短期'!D95</f>
        <v>6570000</v>
      </c>
      <c r="E79" s="2714">
        <f>'R7短期'!E95</f>
        <v>1</v>
      </c>
      <c r="F79" s="2715"/>
      <c r="G79" s="738">
        <f>'R7短期'!G95</f>
        <v>1</v>
      </c>
      <c r="H79" s="737">
        <f>'R7短期'!H95</f>
        <v>1270000</v>
      </c>
      <c r="I79" s="740">
        <f>'R7短期'!I95</f>
        <v>3</v>
      </c>
      <c r="J79" s="737">
        <f>'R7短期'!J95</f>
        <v>700000</v>
      </c>
      <c r="K79" s="740">
        <f>'R7短期'!K95</f>
        <v>0</v>
      </c>
      <c r="L79" s="737">
        <f>'R7短期'!L95</f>
        <v>0</v>
      </c>
      <c r="M79" s="740">
        <f>'R7短期'!M95</f>
        <v>0</v>
      </c>
      <c r="N79" s="737">
        <f>'R7短期'!N95</f>
        <v>0</v>
      </c>
      <c r="O79" s="740">
        <f>'R7短期'!O95</f>
        <v>0</v>
      </c>
      <c r="P79" s="741">
        <f>'R7短期'!P95</f>
        <v>0</v>
      </c>
      <c r="Q79" s="1072">
        <f>'R7短期'!Q95</f>
        <v>3</v>
      </c>
      <c r="R79" s="1073">
        <f>'R7短期'!R95</f>
        <v>542000</v>
      </c>
      <c r="S79" s="1074">
        <f>'R7短期'!S95</f>
        <v>23</v>
      </c>
      <c r="T79" s="741">
        <f>'R7短期'!T95</f>
        <v>3296000</v>
      </c>
      <c r="U79" s="740">
        <f>'R7短期'!U95</f>
        <v>0</v>
      </c>
      <c r="V79" s="735">
        <f>'R7短期'!V95</f>
        <v>0</v>
      </c>
      <c r="W79" s="738">
        <f>'R7短期'!W95</f>
        <v>1</v>
      </c>
      <c r="X79" s="737">
        <f>'R7短期'!X95</f>
        <v>142000</v>
      </c>
    </row>
    <row r="80" spans="2:28" s="718" customFormat="1" ht="16.5" customHeight="1" thickBot="1">
      <c r="B80" s="745" t="s">
        <v>72</v>
      </c>
      <c r="C80" s="734">
        <f>'R7短期'!C96</f>
        <v>42</v>
      </c>
      <c r="D80" s="735">
        <f>'R7短期'!D96</f>
        <v>8676000</v>
      </c>
      <c r="E80" s="743">
        <f>'R7短期'!E96</f>
        <v>0</v>
      </c>
      <c r="F80" s="744">
        <f>'R7短期'!F96</f>
        <v>0</v>
      </c>
      <c r="G80" s="738">
        <f>'R7短期'!G96</f>
        <v>3</v>
      </c>
      <c r="H80" s="737">
        <f>'R7短期'!H96</f>
        <v>1750000</v>
      </c>
      <c r="I80" s="740">
        <f>'R7短期'!I96</f>
        <v>3</v>
      </c>
      <c r="J80" s="737">
        <f>'R7短期'!J96</f>
        <v>1210000</v>
      </c>
      <c r="K80" s="746">
        <f>'R7短期'!K96</f>
        <v>0</v>
      </c>
      <c r="L80" s="737">
        <f>'R7短期'!L96</f>
        <v>0</v>
      </c>
      <c r="M80" s="746">
        <f>'R7短期'!M96</f>
        <v>0</v>
      </c>
      <c r="N80" s="737">
        <f>'R7短期'!N96</f>
        <v>0</v>
      </c>
      <c r="O80" s="740">
        <f>'R7短期'!O96</f>
        <v>0</v>
      </c>
      <c r="P80" s="741">
        <f>'R7短期'!P96</f>
        <v>0</v>
      </c>
      <c r="Q80" s="1072">
        <f>'R7短期'!Q96</f>
        <v>6</v>
      </c>
      <c r="R80" s="1073">
        <f>'R7短期'!R96</f>
        <v>1290000</v>
      </c>
      <c r="S80" s="1074">
        <f>'R7短期'!S96</f>
        <v>18</v>
      </c>
      <c r="T80" s="741">
        <f>'R7短期'!T96</f>
        <v>2592000</v>
      </c>
      <c r="U80" s="740">
        <f>'R7短期'!U96</f>
        <v>0</v>
      </c>
      <c r="V80" s="735">
        <f>'R7短期'!V96</f>
        <v>0</v>
      </c>
      <c r="W80" s="738">
        <f>'R7短期'!W96</f>
        <v>12</v>
      </c>
      <c r="X80" s="737">
        <f>'R7短期'!X96</f>
        <v>1834000</v>
      </c>
      <c r="Y80" s="708"/>
      <c r="Z80" s="708"/>
    </row>
    <row r="81" spans="2:28" s="718" customFormat="1" ht="16.5" customHeight="1" thickBot="1">
      <c r="B81" s="709" t="s">
        <v>78</v>
      </c>
      <c r="C81" s="710">
        <f>SUM(C69:C80)</f>
        <v>745</v>
      </c>
      <c r="D81" s="711">
        <f>SUM(D69:D80)</f>
        <v>158594000</v>
      </c>
      <c r="E81" s="747"/>
      <c r="F81" s="713">
        <f>SUM(F69:F80)</f>
        <v>0</v>
      </c>
      <c r="G81" s="714"/>
      <c r="H81" s="715">
        <f>SUM(H69:H80)</f>
        <v>23550000</v>
      </c>
      <c r="I81" s="714"/>
      <c r="J81" s="715">
        <f>SUM(J69:J80)</f>
        <v>17720000</v>
      </c>
      <c r="K81" s="716"/>
      <c r="L81" s="715">
        <f>SUM(L69:L80)</f>
        <v>0</v>
      </c>
      <c r="M81" s="716"/>
      <c r="N81" s="715">
        <f>SUM(N69:N80)</f>
        <v>1090000</v>
      </c>
      <c r="O81" s="716"/>
      <c r="P81" s="717">
        <f>SUM(P69:P80)</f>
        <v>0</v>
      </c>
      <c r="Q81" s="1066"/>
      <c r="R81" s="1067">
        <f>SUM(R69:R80)</f>
        <v>31790000</v>
      </c>
      <c r="S81" s="1068"/>
      <c r="T81" s="717">
        <f>SUM(T69:T80)</f>
        <v>67946000</v>
      </c>
      <c r="U81" s="716"/>
      <c r="V81" s="711">
        <f>SUM(V69:V80)</f>
        <v>0</v>
      </c>
      <c r="W81" s="714"/>
      <c r="X81" s="711">
        <f>SUM(X69:X80)</f>
        <v>67736000</v>
      </c>
    </row>
    <row r="82" spans="2:28" s="708" customFormat="1" ht="16.5" customHeight="1">
      <c r="B82" s="718"/>
      <c r="C82" s="718"/>
      <c r="D82" s="718"/>
      <c r="E82" s="718"/>
      <c r="F82" s="718"/>
      <c r="G82" s="718"/>
      <c r="H82" s="718"/>
      <c r="I82" s="718"/>
      <c r="J82" s="718"/>
      <c r="K82" s="718"/>
      <c r="L82" s="718"/>
      <c r="M82" s="718"/>
      <c r="N82" s="718"/>
      <c r="O82" s="718"/>
      <c r="P82" s="718"/>
      <c r="Q82" s="718"/>
      <c r="R82" s="718"/>
      <c r="S82" s="718"/>
      <c r="T82" s="718"/>
      <c r="U82" s="718"/>
      <c r="V82" s="718"/>
      <c r="W82" s="718"/>
      <c r="X82" s="718"/>
      <c r="Y82" s="718"/>
      <c r="Z82" s="718"/>
    </row>
    <row r="83" spans="2:28" s="718" customFormat="1" ht="16.5" hidden="1" customHeight="1"/>
    <row r="84" spans="2:28" s="718" customFormat="1" ht="16.5" customHeight="1" thickBot="1">
      <c r="B84" s="748" t="s">
        <v>298</v>
      </c>
      <c r="G84" s="2539" t="str">
        <f>G65</f>
        <v>令和7年度</v>
      </c>
      <c r="H84" s="2539"/>
      <c r="I84" s="2540" t="s">
        <v>293</v>
      </c>
      <c r="J84" s="2540"/>
      <c r="K84" s="749"/>
    </row>
    <row r="85" spans="2:28" s="718" customFormat="1" ht="16.5" customHeight="1">
      <c r="B85" s="2686" t="s">
        <v>0</v>
      </c>
      <c r="C85" s="2689" t="s">
        <v>220</v>
      </c>
      <c r="D85" s="2690"/>
      <c r="E85" s="2693" t="s">
        <v>221</v>
      </c>
      <c r="F85" s="2693"/>
      <c r="G85" s="2693"/>
      <c r="H85" s="2693"/>
      <c r="I85" s="2693"/>
      <c r="J85" s="2694"/>
      <c r="K85" s="2695" t="s">
        <v>74</v>
      </c>
      <c r="L85" s="2696"/>
      <c r="M85" s="2696"/>
      <c r="N85" s="2697"/>
      <c r="O85" s="2698" t="s">
        <v>222</v>
      </c>
      <c r="P85" s="2699"/>
      <c r="Q85" s="2547" t="s">
        <v>358</v>
      </c>
      <c r="R85" s="2548"/>
      <c r="S85" s="2548"/>
      <c r="T85" s="2523"/>
      <c r="U85" s="2698" t="s">
        <v>223</v>
      </c>
      <c r="V85" s="2699"/>
      <c r="W85" s="2702" t="s">
        <v>75</v>
      </c>
      <c r="X85" s="2703"/>
    </row>
    <row r="86" spans="2:28" s="718" customFormat="1" ht="16.5" customHeight="1">
      <c r="B86" s="2687"/>
      <c r="C86" s="2691"/>
      <c r="D86" s="2692"/>
      <c r="E86" s="2706" t="s">
        <v>225</v>
      </c>
      <c r="F86" s="2694"/>
      <c r="G86" s="2713" t="s">
        <v>226</v>
      </c>
      <c r="H86" s="2697"/>
      <c r="I86" s="2713" t="s">
        <v>227</v>
      </c>
      <c r="J86" s="2697"/>
      <c r="K86" s="2713" t="s">
        <v>76</v>
      </c>
      <c r="L86" s="2697"/>
      <c r="M86" s="2713" t="s">
        <v>228</v>
      </c>
      <c r="N86" s="2697"/>
      <c r="O86" s="2700"/>
      <c r="P86" s="2701"/>
      <c r="Q86" s="2522" t="s">
        <v>226</v>
      </c>
      <c r="R86" s="2523"/>
      <c r="S86" s="2522" t="s">
        <v>228</v>
      </c>
      <c r="T86" s="2523"/>
      <c r="U86" s="2700"/>
      <c r="V86" s="2701"/>
      <c r="W86" s="2704"/>
      <c r="X86" s="2705"/>
    </row>
    <row r="87" spans="2:28" s="718" customFormat="1" ht="16.5" customHeight="1">
      <c r="B87" s="2688"/>
      <c r="C87" s="720" t="s">
        <v>230</v>
      </c>
      <c r="D87" s="721" t="s">
        <v>231</v>
      </c>
      <c r="E87" s="723" t="s">
        <v>230</v>
      </c>
      <c r="F87" s="722" t="s">
        <v>232</v>
      </c>
      <c r="G87" s="723" t="s">
        <v>230</v>
      </c>
      <c r="H87" s="1000" t="s">
        <v>232</v>
      </c>
      <c r="I87" s="723" t="s">
        <v>230</v>
      </c>
      <c r="J87" s="1000" t="s">
        <v>232</v>
      </c>
      <c r="K87" s="724" t="s">
        <v>230</v>
      </c>
      <c r="L87" s="1000" t="s">
        <v>232</v>
      </c>
      <c r="M87" s="724" t="s">
        <v>230</v>
      </c>
      <c r="N87" s="1000" t="s">
        <v>232</v>
      </c>
      <c r="O87" s="724" t="s">
        <v>230</v>
      </c>
      <c r="P87" s="999" t="s">
        <v>232</v>
      </c>
      <c r="Q87" s="1021" t="s">
        <v>230</v>
      </c>
      <c r="R87" s="1022" t="s">
        <v>232</v>
      </c>
      <c r="S87" s="1023" t="s">
        <v>230</v>
      </c>
      <c r="T87" s="1003" t="s">
        <v>232</v>
      </c>
      <c r="U87" s="724" t="s">
        <v>230</v>
      </c>
      <c r="V87" s="1000" t="s">
        <v>232</v>
      </c>
      <c r="W87" s="724" t="s">
        <v>230</v>
      </c>
      <c r="X87" s="1000" t="s">
        <v>232</v>
      </c>
    </row>
    <row r="88" spans="2:28" s="718" customFormat="1" ht="16.5" customHeight="1">
      <c r="B88" s="997" t="s">
        <v>233</v>
      </c>
      <c r="C88" s="726">
        <f>E88+G88+I88+K88+M88+O88+U88</f>
        <v>0</v>
      </c>
      <c r="D88" s="727">
        <f>F88+H88+J88+L88+N88+P88+V88</f>
        <v>0</v>
      </c>
      <c r="E88" s="733">
        <f>'R7短期'!E104</f>
        <v>0</v>
      </c>
      <c r="F88" s="729">
        <f>'R7短期'!F104</f>
        <v>0</v>
      </c>
      <c r="G88" s="730">
        <f>'R7短期'!G104</f>
        <v>0</v>
      </c>
      <c r="H88" s="731">
        <f>'R7短期'!H104</f>
        <v>0</v>
      </c>
      <c r="I88" s="732">
        <f>'R7短期'!I104</f>
        <v>0</v>
      </c>
      <c r="J88" s="731">
        <f>'R7短期'!J104</f>
        <v>0</v>
      </c>
      <c r="K88" s="732">
        <f>'R7短期'!K104</f>
        <v>0</v>
      </c>
      <c r="L88" s="729">
        <f>'R7短期'!L104</f>
        <v>0</v>
      </c>
      <c r="M88" s="732">
        <f>'R7短期'!M104</f>
        <v>0</v>
      </c>
      <c r="N88" s="729">
        <f>'R7短期'!N104</f>
        <v>0</v>
      </c>
      <c r="O88" s="732">
        <f>'R7短期'!O104</f>
        <v>0</v>
      </c>
      <c r="P88" s="733">
        <f>'R7短期'!P104</f>
        <v>0</v>
      </c>
      <c r="Q88" s="1069">
        <f>'R7短期'!Q104</f>
        <v>0</v>
      </c>
      <c r="R88" s="1070">
        <f>'R7短期'!R104</f>
        <v>0</v>
      </c>
      <c r="S88" s="1071">
        <f>'R7短期'!S104</f>
        <v>0</v>
      </c>
      <c r="T88" s="733">
        <f>'R7短期'!T104</f>
        <v>0</v>
      </c>
      <c r="U88" s="732">
        <f>'R7短期'!U104</f>
        <v>0</v>
      </c>
      <c r="V88" s="729">
        <f>'R7短期'!V104</f>
        <v>0</v>
      </c>
      <c r="W88" s="732">
        <f>'R7短期'!W104</f>
        <v>166</v>
      </c>
      <c r="X88" s="731">
        <f>'R7短期'!X104</f>
        <v>43290000</v>
      </c>
    </row>
    <row r="89" spans="2:28" s="718" customFormat="1" ht="16.5" customHeight="1">
      <c r="B89" s="998" t="s">
        <v>62</v>
      </c>
      <c r="C89" s="734">
        <f t="shared" ref="C89:D99" si="16">E89+G89+I89+K89+M89+O89+U89</f>
        <v>12</v>
      </c>
      <c r="D89" s="735">
        <f t="shared" si="16"/>
        <v>4860000</v>
      </c>
      <c r="E89" s="741">
        <f>'R7短期'!E105</f>
        <v>0</v>
      </c>
      <c r="F89" s="737">
        <f>'R7短期'!F105</f>
        <v>0</v>
      </c>
      <c r="G89" s="738">
        <f>'R7短期'!G105</f>
        <v>6</v>
      </c>
      <c r="H89" s="739">
        <f>'R7短期'!H105</f>
        <v>2530000</v>
      </c>
      <c r="I89" s="738">
        <f>'R7短期'!I105</f>
        <v>6</v>
      </c>
      <c r="J89" s="739">
        <f>'R7短期'!J105</f>
        <v>2330000</v>
      </c>
      <c r="K89" s="740">
        <f>'R7短期'!K105</f>
        <v>0</v>
      </c>
      <c r="L89" s="737">
        <f>'R7短期'!L105</f>
        <v>0</v>
      </c>
      <c r="M89" s="740">
        <f>'R7短期'!M105</f>
        <v>0</v>
      </c>
      <c r="N89" s="737">
        <f>'R7短期'!N105</f>
        <v>0</v>
      </c>
      <c r="O89" s="740">
        <f>'R7短期'!O105</f>
        <v>0</v>
      </c>
      <c r="P89" s="741">
        <f>'R7短期'!P105</f>
        <v>0</v>
      </c>
      <c r="Q89" s="1072">
        <f>'R7短期'!Q105</f>
        <v>3</v>
      </c>
      <c r="R89" s="1073">
        <f>'R7短期'!R105</f>
        <v>580000</v>
      </c>
      <c r="S89" s="1074">
        <f>'R7短期'!S105</f>
        <v>42</v>
      </c>
      <c r="T89" s="741">
        <f>'R7短期'!T105</f>
        <v>6406000</v>
      </c>
      <c r="U89" s="740">
        <f>'R7短期'!U105</f>
        <v>0</v>
      </c>
      <c r="V89" s="737">
        <f>'R7短期'!V105</f>
        <v>0</v>
      </c>
      <c r="W89" s="740">
        <f>'R7短期'!W105</f>
        <v>10</v>
      </c>
      <c r="X89" s="739">
        <f>'R7短期'!X105</f>
        <v>2452000</v>
      </c>
    </row>
    <row r="90" spans="2:28" s="718" customFormat="1" ht="16.5" customHeight="1">
      <c r="B90" s="998" t="s">
        <v>63</v>
      </c>
      <c r="C90" s="734">
        <f t="shared" si="16"/>
        <v>13</v>
      </c>
      <c r="D90" s="735">
        <f t="shared" si="16"/>
        <v>6790000</v>
      </c>
      <c r="E90" s="741">
        <f>'R7短期'!E106</f>
        <v>0</v>
      </c>
      <c r="F90" s="737">
        <f>'R7短期'!F106</f>
        <v>0</v>
      </c>
      <c r="G90" s="738">
        <f>'R7短期'!G106</f>
        <v>5</v>
      </c>
      <c r="H90" s="739">
        <f>'R7短期'!H106</f>
        <v>3750000</v>
      </c>
      <c r="I90" s="738">
        <f>'R7短期'!I106</f>
        <v>7</v>
      </c>
      <c r="J90" s="739">
        <f>'R7短期'!J106</f>
        <v>2680000</v>
      </c>
      <c r="K90" s="740">
        <f>'R7短期'!K106</f>
        <v>0</v>
      </c>
      <c r="L90" s="737">
        <f>'R7短期'!L106</f>
        <v>0</v>
      </c>
      <c r="M90" s="740">
        <f>'R7短期'!M106</f>
        <v>0</v>
      </c>
      <c r="N90" s="737">
        <f>'R7短期'!N106</f>
        <v>0</v>
      </c>
      <c r="O90" s="740">
        <f>'R7短期'!O106</f>
        <v>0</v>
      </c>
      <c r="P90" s="741">
        <f>'R7短期'!P106</f>
        <v>0</v>
      </c>
      <c r="Q90" s="1072">
        <f>'R7短期'!Q106</f>
        <v>8</v>
      </c>
      <c r="R90" s="1073">
        <f>'R7短期'!R106</f>
        <v>2430000</v>
      </c>
      <c r="S90" s="1074">
        <f>'R7短期'!S106</f>
        <v>4</v>
      </c>
      <c r="T90" s="741">
        <f>'R7短期'!T106</f>
        <v>422000</v>
      </c>
      <c r="U90" s="740">
        <f>'R7短期'!U106</f>
        <v>1</v>
      </c>
      <c r="V90" s="737">
        <f>'R7短期'!V106</f>
        <v>360000</v>
      </c>
      <c r="W90" s="740">
        <f>'R7短期'!W106</f>
        <v>15</v>
      </c>
      <c r="X90" s="739">
        <f>'R7短期'!X106</f>
        <v>4240000</v>
      </c>
    </row>
    <row r="91" spans="2:28" s="718" customFormat="1" ht="16.5" customHeight="1">
      <c r="B91" s="998" t="s">
        <v>64</v>
      </c>
      <c r="C91" s="734">
        <f t="shared" si="16"/>
        <v>29</v>
      </c>
      <c r="D91" s="735">
        <f t="shared" si="16"/>
        <v>16330000</v>
      </c>
      <c r="E91" s="741">
        <f>'R7短期'!E107</f>
        <v>0</v>
      </c>
      <c r="F91" s="737">
        <f>'R7短期'!F107</f>
        <v>0</v>
      </c>
      <c r="G91" s="738">
        <f>'R7短期'!G107</f>
        <v>18</v>
      </c>
      <c r="H91" s="739">
        <f>'R7短期'!H107</f>
        <v>9800000</v>
      </c>
      <c r="I91" s="738">
        <f>'R7短期'!I107</f>
        <v>10</v>
      </c>
      <c r="J91" s="739">
        <f>'R7短期'!J107</f>
        <v>5440000</v>
      </c>
      <c r="K91" s="740">
        <f>'R7短期'!K107</f>
        <v>0</v>
      </c>
      <c r="L91" s="737">
        <f>'R7短期'!L107</f>
        <v>0</v>
      </c>
      <c r="M91" s="740">
        <f>'R7短期'!M107</f>
        <v>1</v>
      </c>
      <c r="N91" s="737">
        <f>'R7短期'!N107</f>
        <v>1090000</v>
      </c>
      <c r="O91" s="740">
        <f>'R7短期'!O107</f>
        <v>0</v>
      </c>
      <c r="P91" s="741">
        <f>'R7短期'!P107</f>
        <v>0</v>
      </c>
      <c r="Q91" s="1072">
        <f>'R7短期'!Q107</f>
        <v>7</v>
      </c>
      <c r="R91" s="1073">
        <f>'R7短期'!R107</f>
        <v>1980000</v>
      </c>
      <c r="S91" s="1074">
        <f>'R7短期'!S107</f>
        <v>12</v>
      </c>
      <c r="T91" s="741">
        <f>'R7短期'!T107</f>
        <v>1444000</v>
      </c>
      <c r="U91" s="740">
        <f>'R7短期'!U107</f>
        <v>0</v>
      </c>
      <c r="V91" s="737">
        <f>'R7短期'!V107</f>
        <v>0</v>
      </c>
      <c r="W91" s="740">
        <f>'R7短期'!W107</f>
        <v>9</v>
      </c>
      <c r="X91" s="739">
        <f>'R7短期'!X107</f>
        <v>2720000</v>
      </c>
      <c r="AA91" s="742"/>
      <c r="AB91" s="742"/>
    </row>
    <row r="92" spans="2:28" s="718" customFormat="1" ht="16.5" customHeight="1">
      <c r="B92" s="998" t="s">
        <v>65</v>
      </c>
      <c r="C92" s="734">
        <f t="shared" si="16"/>
        <v>22</v>
      </c>
      <c r="D92" s="735">
        <f t="shared" si="16"/>
        <v>8510000</v>
      </c>
      <c r="E92" s="741">
        <f>'R7短期'!E108</f>
        <v>0</v>
      </c>
      <c r="F92" s="737">
        <f>'R7短期'!F108</f>
        <v>0</v>
      </c>
      <c r="G92" s="738">
        <f>'R7短期'!G108</f>
        <v>6</v>
      </c>
      <c r="H92" s="739">
        <f>'R7短期'!H108</f>
        <v>3270000</v>
      </c>
      <c r="I92" s="738">
        <f>'R7短期'!I108</f>
        <v>16</v>
      </c>
      <c r="J92" s="739">
        <f>'R7短期'!J108</f>
        <v>5240000</v>
      </c>
      <c r="K92" s="740">
        <f>'R7短期'!K108</f>
        <v>0</v>
      </c>
      <c r="L92" s="737">
        <f>'R7短期'!L108</f>
        <v>0</v>
      </c>
      <c r="M92" s="740">
        <f>'R7短期'!M108</f>
        <v>0</v>
      </c>
      <c r="N92" s="737">
        <f>'R7短期'!N108</f>
        <v>0</v>
      </c>
      <c r="O92" s="740">
        <f>'R7短期'!O108</f>
        <v>0</v>
      </c>
      <c r="P92" s="741">
        <f>'R7短期'!P108</f>
        <v>0</v>
      </c>
      <c r="Q92" s="1072">
        <f>'R7短期'!Q108</f>
        <v>4</v>
      </c>
      <c r="R92" s="1073">
        <f>'R7短期'!R108</f>
        <v>860000</v>
      </c>
      <c r="S92" s="1074">
        <f>'R7短期'!S108</f>
        <v>57</v>
      </c>
      <c r="T92" s="741">
        <f>'R7短期'!T108</f>
        <v>7836000</v>
      </c>
      <c r="U92" s="740">
        <f>'R7短期'!U108</f>
        <v>0</v>
      </c>
      <c r="V92" s="737">
        <f>'R7短期'!V108</f>
        <v>0</v>
      </c>
      <c r="W92" s="740">
        <f>'R7短期'!W108</f>
        <v>13</v>
      </c>
      <c r="X92" s="739">
        <f>'R7短期'!X108</f>
        <v>3038000</v>
      </c>
      <c r="AA92" s="742"/>
      <c r="AB92" s="742"/>
    </row>
    <row r="93" spans="2:28" s="718" customFormat="1" ht="16.5" customHeight="1">
      <c r="B93" s="998" t="s">
        <v>66</v>
      </c>
      <c r="C93" s="734">
        <f t="shared" si="16"/>
        <v>16</v>
      </c>
      <c r="D93" s="735">
        <f t="shared" si="16"/>
        <v>6890000</v>
      </c>
      <c r="E93" s="741">
        <f>'R7短期'!E109</f>
        <v>0</v>
      </c>
      <c r="F93" s="737">
        <f>'R7短期'!F109</f>
        <v>0</v>
      </c>
      <c r="G93" s="738">
        <f>'R7短期'!G109</f>
        <v>10</v>
      </c>
      <c r="H93" s="739">
        <f>'R7短期'!H109</f>
        <v>4970000</v>
      </c>
      <c r="I93" s="738">
        <f>'R7短期'!I109</f>
        <v>4</v>
      </c>
      <c r="J93" s="739">
        <f>'R7短期'!J109</f>
        <v>1280000</v>
      </c>
      <c r="K93" s="740">
        <f>'R7短期'!K109</f>
        <v>0</v>
      </c>
      <c r="L93" s="737">
        <f>'R7短期'!L109</f>
        <v>0</v>
      </c>
      <c r="M93" s="740">
        <f>'R7短期'!M109</f>
        <v>0</v>
      </c>
      <c r="N93" s="737">
        <f>'R7短期'!N109</f>
        <v>0</v>
      </c>
      <c r="O93" s="740">
        <f>'R7短期'!O109</f>
        <v>0</v>
      </c>
      <c r="P93" s="741">
        <f>'R7短期'!P109</f>
        <v>0</v>
      </c>
      <c r="Q93" s="1072">
        <f>'R7短期'!Q109</f>
        <v>10</v>
      </c>
      <c r="R93" s="1073">
        <f>'R7短期'!R109</f>
        <v>2040000</v>
      </c>
      <c r="S93" s="1074">
        <f>'R7短期'!S109</f>
        <v>21</v>
      </c>
      <c r="T93" s="741">
        <f>'R7短期'!T109</f>
        <v>3518000</v>
      </c>
      <c r="U93" s="740">
        <f>'R7短期'!U109</f>
        <v>2</v>
      </c>
      <c r="V93" s="737">
        <f>'R7短期'!V109</f>
        <v>640000</v>
      </c>
      <c r="W93" s="740">
        <f>'R7短期'!W109</f>
        <v>9</v>
      </c>
      <c r="X93" s="739">
        <f>'R7短期'!X109</f>
        <v>1616000</v>
      </c>
      <c r="AA93" s="742"/>
      <c r="AB93" s="742"/>
    </row>
    <row r="94" spans="2:28" s="718" customFormat="1" ht="16.5" customHeight="1">
      <c r="B94" s="998" t="s">
        <v>67</v>
      </c>
      <c r="C94" s="734">
        <f t="shared" si="16"/>
        <v>27</v>
      </c>
      <c r="D94" s="735">
        <f t="shared" si="16"/>
        <v>16290000</v>
      </c>
      <c r="E94" s="741">
        <f>'R7短期'!E110</f>
        <v>0</v>
      </c>
      <c r="F94" s="737">
        <f>'R7短期'!F110</f>
        <v>0</v>
      </c>
      <c r="G94" s="738">
        <f>'R7短期'!G110</f>
        <v>20</v>
      </c>
      <c r="H94" s="737">
        <f>'R7短期'!H110</f>
        <v>13610000</v>
      </c>
      <c r="I94" s="738">
        <f>'R7短期'!I110</f>
        <v>7</v>
      </c>
      <c r="J94" s="737">
        <f>'R7短期'!J110</f>
        <v>2680000</v>
      </c>
      <c r="K94" s="740">
        <f>'R7短期'!K110</f>
        <v>0</v>
      </c>
      <c r="L94" s="737">
        <f>'R7短期'!L110</f>
        <v>0</v>
      </c>
      <c r="M94" s="740">
        <f>'R7短期'!M110</f>
        <v>0</v>
      </c>
      <c r="N94" s="737">
        <f>'R7短期'!N110</f>
        <v>0</v>
      </c>
      <c r="O94" s="740">
        <f>'R7短期'!O110</f>
        <v>0</v>
      </c>
      <c r="P94" s="741">
        <f>'R7短期'!P110</f>
        <v>0</v>
      </c>
      <c r="Q94" s="1072">
        <f>'R7短期'!Q110</f>
        <v>26</v>
      </c>
      <c r="R94" s="1073">
        <f>'R7短期'!R110</f>
        <v>8580000</v>
      </c>
      <c r="S94" s="1074">
        <f>'R7短期'!S110</f>
        <v>36</v>
      </c>
      <c r="T94" s="741">
        <f>'R7短期'!T110</f>
        <v>5672000</v>
      </c>
      <c r="U94" s="740">
        <f>'R7短期'!U110</f>
        <v>0</v>
      </c>
      <c r="V94" s="737">
        <f>'R7短期'!V110</f>
        <v>0</v>
      </c>
      <c r="W94" s="740">
        <f>'R7短期'!W110</f>
        <v>16</v>
      </c>
      <c r="X94" s="737">
        <f>'R7短期'!X110</f>
        <v>4440000</v>
      </c>
    </row>
    <row r="95" spans="2:28" s="718" customFormat="1" ht="16.5" customHeight="1">
      <c r="B95" s="998" t="s">
        <v>68</v>
      </c>
      <c r="C95" s="734">
        <f t="shared" si="16"/>
        <v>13</v>
      </c>
      <c r="D95" s="735">
        <f t="shared" si="16"/>
        <v>5000000</v>
      </c>
      <c r="E95" s="741">
        <f>'R7短期'!E111</f>
        <v>0</v>
      </c>
      <c r="F95" s="737">
        <f>'R7短期'!F111</f>
        <v>0</v>
      </c>
      <c r="G95" s="738">
        <f>'R7短期'!G111</f>
        <v>8</v>
      </c>
      <c r="H95" s="737">
        <f>'R7短期'!H111</f>
        <v>3550000</v>
      </c>
      <c r="I95" s="738">
        <f>'R7短期'!I111</f>
        <v>5</v>
      </c>
      <c r="J95" s="737">
        <f>'R7短期'!J111</f>
        <v>1450000</v>
      </c>
      <c r="K95" s="740">
        <f>'R7短期'!K111</f>
        <v>0</v>
      </c>
      <c r="L95" s="737">
        <f>'R7短期'!L111</f>
        <v>0</v>
      </c>
      <c r="M95" s="740">
        <f>'R7短期'!M111</f>
        <v>0</v>
      </c>
      <c r="N95" s="737">
        <f>'R7短期'!N111</f>
        <v>0</v>
      </c>
      <c r="O95" s="740">
        <f>'R7短期'!O111</f>
        <v>0</v>
      </c>
      <c r="P95" s="741">
        <f>'R7短期'!P111</f>
        <v>0</v>
      </c>
      <c r="Q95" s="1072">
        <f>'R7短期'!Q111</f>
        <v>4</v>
      </c>
      <c r="R95" s="1073">
        <f>'R7短期'!R111</f>
        <v>720000</v>
      </c>
      <c r="S95" s="1074">
        <f>'R7短期'!S111</f>
        <v>15</v>
      </c>
      <c r="T95" s="741">
        <f>'R7短期'!T111</f>
        <v>2856000</v>
      </c>
      <c r="U95" s="740">
        <f>'R7短期'!U111</f>
        <v>0</v>
      </c>
      <c r="V95" s="737">
        <f>'R7短期'!V111</f>
        <v>0</v>
      </c>
      <c r="W95" s="740">
        <f>'R7短期'!W111</f>
        <v>7</v>
      </c>
      <c r="X95" s="737">
        <f>'R7短期'!X111</f>
        <v>1368000</v>
      </c>
    </row>
    <row r="96" spans="2:28" s="718" customFormat="1" ht="16.5" customHeight="1">
      <c r="B96" s="998" t="s">
        <v>69</v>
      </c>
      <c r="C96" s="734">
        <f>E96+G96+I96+K96+M96+O96+U96</f>
        <v>8</v>
      </c>
      <c r="D96" s="735">
        <f t="shared" si="16"/>
        <v>3020000</v>
      </c>
      <c r="E96" s="741">
        <f>'R7短期'!E112</f>
        <v>0</v>
      </c>
      <c r="F96" s="737">
        <f>'R7短期'!F112</f>
        <v>0</v>
      </c>
      <c r="G96" s="738">
        <f>'R7短期'!G112</f>
        <v>7</v>
      </c>
      <c r="H96" s="737">
        <f>'R7短期'!H112</f>
        <v>2720000</v>
      </c>
      <c r="I96" s="740">
        <f>'R7短期'!I112</f>
        <v>1</v>
      </c>
      <c r="J96" s="737">
        <f>'R7短期'!J112</f>
        <v>300000</v>
      </c>
      <c r="K96" s="740">
        <f>'R7短期'!K112</f>
        <v>0</v>
      </c>
      <c r="L96" s="737">
        <f>'R7短期'!L112</f>
        <v>0</v>
      </c>
      <c r="M96" s="740">
        <f>'R7短期'!M112</f>
        <v>0</v>
      </c>
      <c r="N96" s="737">
        <f>'R7短期'!N112</f>
        <v>0</v>
      </c>
      <c r="O96" s="740">
        <f>'R7短期'!O112</f>
        <v>0</v>
      </c>
      <c r="P96" s="741">
        <f>'R7短期'!P112</f>
        <v>0</v>
      </c>
      <c r="Q96" s="1072">
        <f>'R7短期'!Q112</f>
        <v>13</v>
      </c>
      <c r="R96" s="1073">
        <f>'R7短期'!R112</f>
        <v>3492000</v>
      </c>
      <c r="S96" s="1074">
        <f>'R7短期'!S112</f>
        <v>24</v>
      </c>
      <c r="T96" s="741">
        <f>'R7短期'!T112</f>
        <v>3882000</v>
      </c>
      <c r="U96" s="740">
        <f>'R7短期'!U112</f>
        <v>0</v>
      </c>
      <c r="V96" s="737">
        <f>'R7短期'!V112</f>
        <v>0</v>
      </c>
      <c r="W96" s="740">
        <f>'R7短期'!W112</f>
        <v>5</v>
      </c>
      <c r="X96" s="737">
        <f>'R7短期'!X112</f>
        <v>1016000</v>
      </c>
    </row>
    <row r="97" spans="2:31" s="718" customFormat="1" ht="16.5" customHeight="1">
      <c r="B97" s="998" t="s">
        <v>70</v>
      </c>
      <c r="C97" s="734">
        <f t="shared" si="16"/>
        <v>22</v>
      </c>
      <c r="D97" s="735">
        <f t="shared" si="16"/>
        <v>7820000</v>
      </c>
      <c r="E97" s="741">
        <f>'R7短期'!E113</f>
        <v>0</v>
      </c>
      <c r="F97" s="737">
        <f>'R7短期'!F113</f>
        <v>0</v>
      </c>
      <c r="G97" s="738">
        <f>'R7短期'!G113</f>
        <v>15</v>
      </c>
      <c r="H97" s="737">
        <f>'R7短期'!H113</f>
        <v>5700000</v>
      </c>
      <c r="I97" s="740">
        <f>'R7短期'!I113</f>
        <v>7</v>
      </c>
      <c r="J97" s="737">
        <f>'R7短期'!J113</f>
        <v>2120000</v>
      </c>
      <c r="K97" s="740">
        <f>'R7短期'!K113</f>
        <v>0</v>
      </c>
      <c r="L97" s="737">
        <f>'R7短期'!L113</f>
        <v>0</v>
      </c>
      <c r="M97" s="740">
        <f>'R7短期'!M113</f>
        <v>0</v>
      </c>
      <c r="N97" s="737">
        <f>'R7短期'!N113</f>
        <v>0</v>
      </c>
      <c r="O97" s="740">
        <f>'R7短期'!O113</f>
        <v>0</v>
      </c>
      <c r="P97" s="741">
        <f>'R7短期'!P113</f>
        <v>0</v>
      </c>
      <c r="Q97" s="1072">
        <f>'R7短期'!Q113</f>
        <v>12</v>
      </c>
      <c r="R97" s="1073">
        <f>'R7短期'!R113</f>
        <v>2444000</v>
      </c>
      <c r="S97" s="1074">
        <f>'R7短期'!S113</f>
        <v>40</v>
      </c>
      <c r="T97" s="741">
        <f>'R7短期'!T113</f>
        <v>5862000</v>
      </c>
      <c r="U97" s="740">
        <f>'R7短期'!U113</f>
        <v>0</v>
      </c>
      <c r="V97" s="737">
        <f>'R7短期'!V113</f>
        <v>0</v>
      </c>
      <c r="W97" s="740">
        <f>'R7短期'!W113</f>
        <v>8</v>
      </c>
      <c r="X97" s="737">
        <f>'R7短期'!X113</f>
        <v>2120000</v>
      </c>
    </row>
    <row r="98" spans="2:31" s="718" customFormat="1" ht="16.5" customHeight="1">
      <c r="B98" s="998" t="s">
        <v>71</v>
      </c>
      <c r="C98" s="734">
        <f t="shared" si="16"/>
        <v>11</v>
      </c>
      <c r="D98" s="735">
        <f t="shared" si="16"/>
        <v>4640000</v>
      </c>
      <c r="E98" s="741">
        <f>'R7短期'!E114</f>
        <v>0</v>
      </c>
      <c r="F98" s="737">
        <f>'R7短期'!F114</f>
        <v>0</v>
      </c>
      <c r="G98" s="738">
        <f>'R7短期'!G114</f>
        <v>8</v>
      </c>
      <c r="H98" s="737">
        <f>'R7短期'!H114</f>
        <v>3950000</v>
      </c>
      <c r="I98" s="740">
        <f>'R7短期'!I114</f>
        <v>2</v>
      </c>
      <c r="J98" s="737">
        <f>'R7短期'!J114</f>
        <v>390000</v>
      </c>
      <c r="K98" s="740">
        <f>'R7短期'!K114</f>
        <v>0</v>
      </c>
      <c r="L98" s="737">
        <f>'R7短期'!L114</f>
        <v>0</v>
      </c>
      <c r="M98" s="740">
        <f>'R7短期'!M114</f>
        <v>0</v>
      </c>
      <c r="N98" s="737">
        <f>'R7短期'!N114</f>
        <v>0</v>
      </c>
      <c r="O98" s="740">
        <f>'R7短期'!O114</f>
        <v>0</v>
      </c>
      <c r="P98" s="741">
        <f>'R7短期'!P114</f>
        <v>0</v>
      </c>
      <c r="Q98" s="1072">
        <f>'R7短期'!Q114</f>
        <v>7</v>
      </c>
      <c r="R98" s="1073">
        <f>'R7短期'!R114</f>
        <v>1156000</v>
      </c>
      <c r="S98" s="1074">
        <f>'R7短期'!S114</f>
        <v>21</v>
      </c>
      <c r="T98" s="741">
        <f>'R7短期'!T114</f>
        <v>3270000</v>
      </c>
      <c r="U98" s="740">
        <f>'R7短期'!U114</f>
        <v>1</v>
      </c>
      <c r="V98" s="737">
        <f>'R7短期'!V114</f>
        <v>300000</v>
      </c>
      <c r="W98" s="740">
        <f>'R7短期'!W114</f>
        <v>4</v>
      </c>
      <c r="X98" s="737">
        <f>'R7短期'!X114</f>
        <v>820000</v>
      </c>
    </row>
    <row r="99" spans="2:31" s="718" customFormat="1" ht="16.5" customHeight="1" thickBot="1">
      <c r="B99" s="745" t="s">
        <v>72</v>
      </c>
      <c r="C99" s="734">
        <f t="shared" si="16"/>
        <v>12</v>
      </c>
      <c r="D99" s="735">
        <f>F99+H99+J99+L99+N99+P99+V99</f>
        <v>4130000</v>
      </c>
      <c r="E99" s="750">
        <f>'R7短期'!E115</f>
        <v>0</v>
      </c>
      <c r="F99" s="713">
        <f>'R7短期'!F115</f>
        <v>0</v>
      </c>
      <c r="G99" s="738">
        <f>'R7短期'!G115</f>
        <v>10</v>
      </c>
      <c r="H99" s="737">
        <f>'R7短期'!H115</f>
        <v>3170000</v>
      </c>
      <c r="I99" s="740">
        <f>'R7短期'!I115</f>
        <v>2</v>
      </c>
      <c r="J99" s="737">
        <f>'R7短期'!J115</f>
        <v>960000</v>
      </c>
      <c r="K99" s="746">
        <f>'R7短期'!K115</f>
        <v>0</v>
      </c>
      <c r="L99" s="737">
        <f>'R7短期'!L115</f>
        <v>0</v>
      </c>
      <c r="M99" s="746">
        <f>'R7短期'!M115</f>
        <v>0</v>
      </c>
      <c r="N99" s="737">
        <f>'R7短期'!N115</f>
        <v>0</v>
      </c>
      <c r="O99" s="740">
        <f>'R7短期'!O115</f>
        <v>0</v>
      </c>
      <c r="P99" s="741">
        <f>'R7短期'!P115</f>
        <v>0</v>
      </c>
      <c r="Q99" s="1072">
        <f>'R7短期'!Q115</f>
        <v>7</v>
      </c>
      <c r="R99" s="1073">
        <f>'R7短期'!R115</f>
        <v>1372000</v>
      </c>
      <c r="S99" s="1074">
        <f>'R7短期'!S115</f>
        <v>40</v>
      </c>
      <c r="T99" s="741">
        <f>'R7短期'!T115</f>
        <v>6328000</v>
      </c>
      <c r="U99" s="740">
        <f>'R7短期'!U115</f>
        <v>0</v>
      </c>
      <c r="V99" s="737">
        <f>'R7短期'!V115</f>
        <v>0</v>
      </c>
      <c r="W99" s="740">
        <f>'R7短期'!W115</f>
        <v>5</v>
      </c>
      <c r="X99" s="737">
        <f>'R7短期'!X115</f>
        <v>748000</v>
      </c>
      <c r="Y99" s="708"/>
      <c r="Z99" s="708"/>
    </row>
    <row r="100" spans="2:31" s="718" customFormat="1" ht="16.5" customHeight="1" thickBot="1">
      <c r="B100" s="709" t="s">
        <v>78</v>
      </c>
      <c r="C100" s="710">
        <f>SUM(C88:C99)</f>
        <v>185</v>
      </c>
      <c r="D100" s="711">
        <f>SUM(D88:D99)</f>
        <v>84280000</v>
      </c>
      <c r="E100" s="712"/>
      <c r="F100" s="713">
        <f>SUM(F88:F99)</f>
        <v>0</v>
      </c>
      <c r="G100" s="714"/>
      <c r="H100" s="715">
        <f>SUM(H88:H99)</f>
        <v>57020000</v>
      </c>
      <c r="I100" s="714"/>
      <c r="J100" s="715">
        <f>SUM(J88:J99)</f>
        <v>24870000</v>
      </c>
      <c r="K100" s="716"/>
      <c r="L100" s="715">
        <f>SUM(L88:L99)</f>
        <v>0</v>
      </c>
      <c r="M100" s="716"/>
      <c r="N100" s="715">
        <f>SUM(N88:N99)</f>
        <v>1090000</v>
      </c>
      <c r="O100" s="716"/>
      <c r="P100" s="717">
        <f>SUM(P88:P99)</f>
        <v>0</v>
      </c>
      <c r="Q100" s="1066"/>
      <c r="R100" s="1067">
        <f>SUM(R88:R99)</f>
        <v>25654000</v>
      </c>
      <c r="S100" s="1068"/>
      <c r="T100" s="717">
        <f>SUM(T88:T99)</f>
        <v>47496000</v>
      </c>
      <c r="U100" s="716"/>
      <c r="V100" s="715">
        <f>SUM(V88:V99)</f>
        <v>1300000</v>
      </c>
      <c r="W100" s="716"/>
      <c r="X100" s="711">
        <f>SUM(X88:X99)</f>
        <v>67868000</v>
      </c>
    </row>
    <row r="101" spans="2:31" s="708" customFormat="1" ht="16.5" customHeight="1">
      <c r="B101" s="751"/>
      <c r="C101" s="751"/>
      <c r="D101" s="751"/>
      <c r="E101" s="751"/>
      <c r="F101" s="751"/>
      <c r="G101" s="751"/>
      <c r="H101" s="751"/>
      <c r="I101" s="751"/>
      <c r="J101" s="751"/>
      <c r="K101" s="751"/>
      <c r="L101" s="751"/>
      <c r="M101" s="751"/>
      <c r="N101" s="751"/>
      <c r="O101" s="751"/>
      <c r="P101" s="751"/>
      <c r="Q101" s="751"/>
      <c r="R101" s="751"/>
      <c r="S101" s="751"/>
      <c r="T101" s="751"/>
      <c r="U101" s="751"/>
      <c r="V101" s="751"/>
      <c r="W101" s="751"/>
      <c r="X101" s="751"/>
      <c r="Y101" s="751"/>
      <c r="Z101" s="751"/>
    </row>
    <row r="102" spans="2:31" s="718" customFormat="1" ht="16.5" customHeight="1">
      <c r="B102" s="230"/>
      <c r="C102" s="230"/>
      <c r="D102" s="230"/>
      <c r="E102" s="230"/>
      <c r="F102" s="230"/>
      <c r="G102" s="230"/>
      <c r="H102" s="230"/>
      <c r="I102" s="230"/>
      <c r="J102" s="230"/>
      <c r="K102" s="230"/>
      <c r="L102" s="230"/>
      <c r="M102" s="230"/>
      <c r="N102" s="230"/>
      <c r="O102" s="230"/>
      <c r="P102" s="230"/>
      <c r="Q102" s="230"/>
      <c r="R102" s="230"/>
      <c r="S102" s="230"/>
      <c r="T102" s="230"/>
      <c r="U102" s="230"/>
      <c r="V102" s="230"/>
      <c r="W102" s="230"/>
      <c r="X102" s="230"/>
      <c r="Y102" s="230"/>
      <c r="Z102" s="230"/>
    </row>
    <row r="103" spans="2:31" s="751" customFormat="1" ht="16.5" customHeight="1">
      <c r="B103" s="230"/>
      <c r="C103" s="230"/>
      <c r="D103" s="230"/>
      <c r="E103" s="230"/>
      <c r="F103" s="230"/>
      <c r="G103" s="230"/>
      <c r="H103" s="230"/>
      <c r="I103" s="230"/>
      <c r="J103" s="230"/>
      <c r="K103" s="230"/>
      <c r="L103" s="230"/>
      <c r="M103" s="230"/>
      <c r="N103" s="230"/>
      <c r="O103" s="230"/>
      <c r="P103" s="230"/>
      <c r="Q103" s="230"/>
      <c r="R103" s="230"/>
      <c r="S103" s="230"/>
      <c r="T103" s="230"/>
      <c r="U103" s="230"/>
      <c r="V103" s="230"/>
      <c r="W103" s="230"/>
      <c r="X103" s="230"/>
      <c r="Y103" s="230"/>
      <c r="Z103" s="230"/>
      <c r="AC103" s="752"/>
      <c r="AD103" s="752"/>
      <c r="AE103" s="752"/>
    </row>
  </sheetData>
  <mergeCells count="175">
    <mergeCell ref="C1:D1"/>
    <mergeCell ref="B2:B4"/>
    <mergeCell ref="C2:D3"/>
    <mergeCell ref="E2:J2"/>
    <mergeCell ref="K2:N2"/>
    <mergeCell ref="O2:P3"/>
    <mergeCell ref="AE2:AE4"/>
    <mergeCell ref="AF2:AF4"/>
    <mergeCell ref="AG2:AG4"/>
    <mergeCell ref="E3:F3"/>
    <mergeCell ref="G3:H3"/>
    <mergeCell ref="I3:J3"/>
    <mergeCell ref="K3:L3"/>
    <mergeCell ref="M3:N3"/>
    <mergeCell ref="Q3:R3"/>
    <mergeCell ref="S3:T3"/>
    <mergeCell ref="Q2:T2"/>
    <mergeCell ref="U2:V3"/>
    <mergeCell ref="W2:X3"/>
    <mergeCell ref="Y2:Y4"/>
    <mergeCell ref="Z2:AB2"/>
    <mergeCell ref="AC2:AD2"/>
    <mergeCell ref="Z3:Z4"/>
    <mergeCell ref="AA3:AA4"/>
    <mergeCell ref="AB3:AB4"/>
    <mergeCell ref="AC3:AC4"/>
    <mergeCell ref="AD3:AD4"/>
    <mergeCell ref="A15:A16"/>
    <mergeCell ref="E17:F17"/>
    <mergeCell ref="G17:H17"/>
    <mergeCell ref="I17:J17"/>
    <mergeCell ref="K17:L17"/>
    <mergeCell ref="M17:N17"/>
    <mergeCell ref="O17:P17"/>
    <mergeCell ref="Q17:R17"/>
    <mergeCell ref="S17:T17"/>
    <mergeCell ref="B21:C21"/>
    <mergeCell ref="E21:F22"/>
    <mergeCell ref="G21:H21"/>
    <mergeCell ref="L21:M21"/>
    <mergeCell ref="O21:O22"/>
    <mergeCell ref="AA21:AB21"/>
    <mergeCell ref="U17:V17"/>
    <mergeCell ref="W17:X17"/>
    <mergeCell ref="Q18:R18"/>
    <mergeCell ref="Q19:R19"/>
    <mergeCell ref="B20:C20"/>
    <mergeCell ref="O20:P20"/>
    <mergeCell ref="Q20:R20"/>
    <mergeCell ref="AD21:AF21"/>
    <mergeCell ref="G22:H22"/>
    <mergeCell ref="L22:M22"/>
    <mergeCell ref="E25:F25"/>
    <mergeCell ref="H25:I25"/>
    <mergeCell ref="O25:P25"/>
    <mergeCell ref="V25:X25"/>
    <mergeCell ref="AB25:AC25"/>
    <mergeCell ref="AD25:AF25"/>
    <mergeCell ref="AG25:AG29"/>
    <mergeCell ref="E26:F26"/>
    <mergeCell ref="O26:P26"/>
    <mergeCell ref="AB26:AC28"/>
    <mergeCell ref="AD26:AF26"/>
    <mergeCell ref="E27:F27"/>
    <mergeCell ref="H27:J27"/>
    <mergeCell ref="L27:M27"/>
    <mergeCell ref="O27:P27"/>
    <mergeCell ref="V27:X27"/>
    <mergeCell ref="E30:F30"/>
    <mergeCell ref="H30:K30"/>
    <mergeCell ref="O30:P30"/>
    <mergeCell ref="V30:Y30"/>
    <mergeCell ref="E31:F31"/>
    <mergeCell ref="O31:P31"/>
    <mergeCell ref="T31:U31"/>
    <mergeCell ref="AD27:AF27"/>
    <mergeCell ref="E28:F28"/>
    <mergeCell ref="H28:J28"/>
    <mergeCell ref="O28:P28"/>
    <mergeCell ref="AD28:AF28"/>
    <mergeCell ref="E29:F29"/>
    <mergeCell ref="O29:P29"/>
    <mergeCell ref="AB29:AC29"/>
    <mergeCell ref="AD29:AF29"/>
    <mergeCell ref="AB32:AC32"/>
    <mergeCell ref="E33:F33"/>
    <mergeCell ref="AC33:AD33"/>
    <mergeCell ref="AC34:AD34"/>
    <mergeCell ref="E35:F35"/>
    <mergeCell ref="H35:I35"/>
    <mergeCell ref="O35:P35"/>
    <mergeCell ref="V35:X35"/>
    <mergeCell ref="AC35:AD35"/>
    <mergeCell ref="E38:F38"/>
    <mergeCell ref="H38:K38"/>
    <mergeCell ref="O38:P38"/>
    <mergeCell ref="T38:U38"/>
    <mergeCell ref="AC38:AD38"/>
    <mergeCell ref="E39:F39"/>
    <mergeCell ref="H39:K39"/>
    <mergeCell ref="AC39:AD39"/>
    <mergeCell ref="E36:F36"/>
    <mergeCell ref="O36:P36"/>
    <mergeCell ref="AC36:AD36"/>
    <mergeCell ref="E37:F37"/>
    <mergeCell ref="H37:J37"/>
    <mergeCell ref="O37:P37"/>
    <mergeCell ref="AC37:AD37"/>
    <mergeCell ref="E42:F42"/>
    <mergeCell ref="O42:P42"/>
    <mergeCell ref="AC42:AD42"/>
    <mergeCell ref="AF42:AG43"/>
    <mergeCell ref="AA43:AA44"/>
    <mergeCell ref="AC43:AD43"/>
    <mergeCell ref="AC44:AD44"/>
    <mergeCell ref="AF44:AG44"/>
    <mergeCell ref="E40:F40"/>
    <mergeCell ref="H40:K40"/>
    <mergeCell ref="AC40:AD40"/>
    <mergeCell ref="E41:F41"/>
    <mergeCell ref="H41:K41"/>
    <mergeCell ref="AC41:AD41"/>
    <mergeCell ref="U47:V48"/>
    <mergeCell ref="W47:X48"/>
    <mergeCell ref="E48:F48"/>
    <mergeCell ref="G48:H48"/>
    <mergeCell ref="I48:J48"/>
    <mergeCell ref="K48:L48"/>
    <mergeCell ref="M48:N48"/>
    <mergeCell ref="Q48:R48"/>
    <mergeCell ref="G46:H46"/>
    <mergeCell ref="I46:J46"/>
    <mergeCell ref="E47:J47"/>
    <mergeCell ref="K47:N47"/>
    <mergeCell ref="S48:T48"/>
    <mergeCell ref="B66:B68"/>
    <mergeCell ref="C66:D67"/>
    <mergeCell ref="E66:J66"/>
    <mergeCell ref="K66:N66"/>
    <mergeCell ref="O66:P67"/>
    <mergeCell ref="Q66:T66"/>
    <mergeCell ref="O47:P48"/>
    <mergeCell ref="Q47:T47"/>
    <mergeCell ref="B47:B49"/>
    <mergeCell ref="C47:D48"/>
    <mergeCell ref="W85:X86"/>
    <mergeCell ref="E86:F86"/>
    <mergeCell ref="G65:H65"/>
    <mergeCell ref="I65:J65"/>
    <mergeCell ref="U66:V67"/>
    <mergeCell ref="W66:X67"/>
    <mergeCell ref="E67:F67"/>
    <mergeCell ref="G67:H67"/>
    <mergeCell ref="I67:J67"/>
    <mergeCell ref="K67:L67"/>
    <mergeCell ref="M67:N67"/>
    <mergeCell ref="Q67:R67"/>
    <mergeCell ref="S67:T67"/>
    <mergeCell ref="G86:H86"/>
    <mergeCell ref="I86:J86"/>
    <mergeCell ref="K86:L86"/>
    <mergeCell ref="M86:N86"/>
    <mergeCell ref="E76:F76"/>
    <mergeCell ref="E79:F79"/>
    <mergeCell ref="G84:H84"/>
    <mergeCell ref="I84:J84"/>
    <mergeCell ref="B85:B87"/>
    <mergeCell ref="C85:D86"/>
    <mergeCell ref="E85:J85"/>
    <mergeCell ref="Q86:R86"/>
    <mergeCell ref="S86:T86"/>
    <mergeCell ref="K85:N85"/>
    <mergeCell ref="O85:P86"/>
    <mergeCell ref="Q85:T85"/>
    <mergeCell ref="U85:V86"/>
  </mergeCells>
  <phoneticPr fontId="2"/>
  <printOptions horizontalCentered="1"/>
  <pageMargins left="0" right="0" top="0.31496062992125984" bottom="0" header="0.51181102362204722" footer="0"/>
  <pageSetup paperSize="9" scale="46" fitToHeight="0" orientation="landscape" cellComments="asDisplayed" r:id="rId1"/>
  <headerFooter alignWithMargins="0">
    <oddFooter>&amp;R&amp;8&amp;Z&amp;F&amp;A</oddFooter>
  </headerFooter>
  <rowBreaks count="1" manualBreakCount="1">
    <brk id="45" max="27" man="1"/>
  </rowBreaks>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DI185"/>
  <sheetViews>
    <sheetView view="pageBreakPreview" topLeftCell="A6" zoomScaleNormal="85" zoomScaleSheetLayoutView="100" workbookViewId="0">
      <selection activeCell="AG20" sqref="AG20"/>
    </sheetView>
  </sheetViews>
  <sheetFormatPr defaultRowHeight="29.25" customHeight="1"/>
  <cols>
    <col min="1" max="1" width="1" style="230" customWidth="1"/>
    <col min="2" max="2" width="5.625" style="230" customWidth="1"/>
    <col min="3" max="3" width="6.875" style="230" customWidth="1"/>
    <col min="4" max="4" width="13.75" style="230" customWidth="1"/>
    <col min="5" max="5" width="2.5" style="230" customWidth="1"/>
    <col min="6" max="6" width="8.75" style="230" customWidth="1"/>
    <col min="7" max="7" width="5.75" style="230" customWidth="1"/>
    <col min="8" max="8" width="12.5" style="230" customWidth="1"/>
    <col min="9" max="9" width="5.75" style="230" customWidth="1"/>
    <col min="10" max="10" width="12.5" style="230" customWidth="1"/>
    <col min="11" max="11" width="2.5" style="230" customWidth="1"/>
    <col min="12" max="12" width="10.375" style="230" bestFit="1" customWidth="1"/>
    <col min="13" max="13" width="5" style="230" bestFit="1" customWidth="1"/>
    <col min="14" max="14" width="11.875" style="230" bestFit="1" customWidth="1"/>
    <col min="15" max="15" width="6" style="230" bestFit="1" customWidth="1"/>
    <col min="16" max="16" width="11.875" style="230" bestFit="1" customWidth="1"/>
    <col min="17" max="20" width="8.75" style="230" customWidth="1"/>
    <col min="21" max="21" width="5.75" style="230" customWidth="1"/>
    <col min="22" max="22" width="10.5" style="230" customWidth="1"/>
    <col min="23" max="23" width="3.375" style="230" customWidth="1"/>
    <col min="24" max="24" width="10.375" style="230" customWidth="1"/>
    <col min="25" max="25" width="16.5" style="230" customWidth="1"/>
    <col min="26" max="26" width="9.375" style="230" customWidth="1"/>
    <col min="27" max="28" width="10.25" style="230" customWidth="1"/>
    <col min="29" max="30" width="9.375" style="454" customWidth="1"/>
    <col min="31" max="31" width="8.875" style="454" hidden="1" customWidth="1"/>
    <col min="32" max="32" width="15.75" style="454" bestFit="1" customWidth="1"/>
    <col min="33" max="33" width="9.375" style="230" customWidth="1"/>
    <col min="34" max="34" width="10.25" style="230" customWidth="1"/>
    <col min="35" max="35" width="5.125" style="230" customWidth="1"/>
    <col min="36" max="256" width="9" style="230"/>
    <col min="257" max="257" width="1" style="230" customWidth="1"/>
    <col min="258" max="258" width="5.625" style="230" customWidth="1"/>
    <col min="259" max="259" width="6.875" style="230" customWidth="1"/>
    <col min="260" max="260" width="13.75" style="230" customWidth="1"/>
    <col min="261" max="261" width="2.5" style="230" customWidth="1"/>
    <col min="262" max="262" width="8.75" style="230" customWidth="1"/>
    <col min="263" max="263" width="5.75" style="230" customWidth="1"/>
    <col min="264" max="264" width="12.5" style="230" customWidth="1"/>
    <col min="265" max="265" width="5.75" style="230" customWidth="1"/>
    <col min="266" max="266" width="12.5" style="230" customWidth="1"/>
    <col min="267" max="267" width="2.5" style="230" customWidth="1"/>
    <col min="268" max="268" width="10.375" style="230" bestFit="1" customWidth="1"/>
    <col min="269" max="269" width="5" style="230" bestFit="1" customWidth="1"/>
    <col min="270" max="270" width="11.875" style="230" bestFit="1" customWidth="1"/>
    <col min="271" max="271" width="6" style="230" bestFit="1" customWidth="1"/>
    <col min="272" max="272" width="11.875" style="230" bestFit="1" customWidth="1"/>
    <col min="273" max="276" width="8.75" style="230" customWidth="1"/>
    <col min="277" max="277" width="5.75" style="230" customWidth="1"/>
    <col min="278" max="278" width="10.5" style="230" customWidth="1"/>
    <col min="279" max="279" width="3.375" style="230" customWidth="1"/>
    <col min="280" max="280" width="10.375" style="230" customWidth="1"/>
    <col min="281" max="281" width="16.5" style="230" customWidth="1"/>
    <col min="282" max="282" width="9.375" style="230" customWidth="1"/>
    <col min="283" max="284" width="10.25" style="230" customWidth="1"/>
    <col min="285" max="286" width="9.375" style="230" customWidth="1"/>
    <col min="287" max="287" width="0" style="230" hidden="1" customWidth="1"/>
    <col min="288" max="288" width="15.75" style="230" bestFit="1" customWidth="1"/>
    <col min="289" max="289" width="9.375" style="230" customWidth="1"/>
    <col min="290" max="290" width="10.25" style="230" customWidth="1"/>
    <col min="291" max="291" width="5.125" style="230" customWidth="1"/>
    <col min="292" max="512" width="9" style="230"/>
    <col min="513" max="513" width="1" style="230" customWidth="1"/>
    <col min="514" max="514" width="5.625" style="230" customWidth="1"/>
    <col min="515" max="515" width="6.875" style="230" customWidth="1"/>
    <col min="516" max="516" width="13.75" style="230" customWidth="1"/>
    <col min="517" max="517" width="2.5" style="230" customWidth="1"/>
    <col min="518" max="518" width="8.75" style="230" customWidth="1"/>
    <col min="519" max="519" width="5.75" style="230" customWidth="1"/>
    <col min="520" max="520" width="12.5" style="230" customWidth="1"/>
    <col min="521" max="521" width="5.75" style="230" customWidth="1"/>
    <col min="522" max="522" width="12.5" style="230" customWidth="1"/>
    <col min="523" max="523" width="2.5" style="230" customWidth="1"/>
    <col min="524" max="524" width="10.375" style="230" bestFit="1" customWidth="1"/>
    <col min="525" max="525" width="5" style="230" bestFit="1" customWidth="1"/>
    <col min="526" max="526" width="11.875" style="230" bestFit="1" customWidth="1"/>
    <col min="527" max="527" width="6" style="230" bestFit="1" customWidth="1"/>
    <col min="528" max="528" width="11.875" style="230" bestFit="1" customWidth="1"/>
    <col min="529" max="532" width="8.75" style="230" customWidth="1"/>
    <col min="533" max="533" width="5.75" style="230" customWidth="1"/>
    <col min="534" max="534" width="10.5" style="230" customWidth="1"/>
    <col min="535" max="535" width="3.375" style="230" customWidth="1"/>
    <col min="536" max="536" width="10.375" style="230" customWidth="1"/>
    <col min="537" max="537" width="16.5" style="230" customWidth="1"/>
    <col min="538" max="538" width="9.375" style="230" customWidth="1"/>
    <col min="539" max="540" width="10.25" style="230" customWidth="1"/>
    <col min="541" max="542" width="9.375" style="230" customWidth="1"/>
    <col min="543" max="543" width="0" style="230" hidden="1" customWidth="1"/>
    <col min="544" max="544" width="15.75" style="230" bestFit="1" customWidth="1"/>
    <col min="545" max="545" width="9.375" style="230" customWidth="1"/>
    <col min="546" max="546" width="10.25" style="230" customWidth="1"/>
    <col min="547" max="547" width="5.125" style="230" customWidth="1"/>
    <col min="548" max="768" width="9" style="230"/>
    <col min="769" max="769" width="1" style="230" customWidth="1"/>
    <col min="770" max="770" width="5.625" style="230" customWidth="1"/>
    <col min="771" max="771" width="6.875" style="230" customWidth="1"/>
    <col min="772" max="772" width="13.75" style="230" customWidth="1"/>
    <col min="773" max="773" width="2.5" style="230" customWidth="1"/>
    <col min="774" max="774" width="8.75" style="230" customWidth="1"/>
    <col min="775" max="775" width="5.75" style="230" customWidth="1"/>
    <col min="776" max="776" width="12.5" style="230" customWidth="1"/>
    <col min="777" max="777" width="5.75" style="230" customWidth="1"/>
    <col min="778" max="778" width="12.5" style="230" customWidth="1"/>
    <col min="779" max="779" width="2.5" style="230" customWidth="1"/>
    <col min="780" max="780" width="10.375" style="230" bestFit="1" customWidth="1"/>
    <col min="781" max="781" width="5" style="230" bestFit="1" customWidth="1"/>
    <col min="782" max="782" width="11.875" style="230" bestFit="1" customWidth="1"/>
    <col min="783" max="783" width="6" style="230" bestFit="1" customWidth="1"/>
    <col min="784" max="784" width="11.875" style="230" bestFit="1" customWidth="1"/>
    <col min="785" max="788" width="8.75" style="230" customWidth="1"/>
    <col min="789" max="789" width="5.75" style="230" customWidth="1"/>
    <col min="790" max="790" width="10.5" style="230" customWidth="1"/>
    <col min="791" max="791" width="3.375" style="230" customWidth="1"/>
    <col min="792" max="792" width="10.375" style="230" customWidth="1"/>
    <col min="793" max="793" width="16.5" style="230" customWidth="1"/>
    <col min="794" max="794" width="9.375" style="230" customWidth="1"/>
    <col min="795" max="796" width="10.25" style="230" customWidth="1"/>
    <col min="797" max="798" width="9.375" style="230" customWidth="1"/>
    <col min="799" max="799" width="0" style="230" hidden="1" customWidth="1"/>
    <col min="800" max="800" width="15.75" style="230" bestFit="1" customWidth="1"/>
    <col min="801" max="801" width="9.375" style="230" customWidth="1"/>
    <col min="802" max="802" width="10.25" style="230" customWidth="1"/>
    <col min="803" max="803" width="5.125" style="230" customWidth="1"/>
    <col min="804" max="1024" width="9" style="230"/>
    <col min="1025" max="1025" width="1" style="230" customWidth="1"/>
    <col min="1026" max="1026" width="5.625" style="230" customWidth="1"/>
    <col min="1027" max="1027" width="6.875" style="230" customWidth="1"/>
    <col min="1028" max="1028" width="13.75" style="230" customWidth="1"/>
    <col min="1029" max="1029" width="2.5" style="230" customWidth="1"/>
    <col min="1030" max="1030" width="8.75" style="230" customWidth="1"/>
    <col min="1031" max="1031" width="5.75" style="230" customWidth="1"/>
    <col min="1032" max="1032" width="12.5" style="230" customWidth="1"/>
    <col min="1033" max="1033" width="5.75" style="230" customWidth="1"/>
    <col min="1034" max="1034" width="12.5" style="230" customWidth="1"/>
    <col min="1035" max="1035" width="2.5" style="230" customWidth="1"/>
    <col min="1036" max="1036" width="10.375" style="230" bestFit="1" customWidth="1"/>
    <col min="1037" max="1037" width="5" style="230" bestFit="1" customWidth="1"/>
    <col min="1038" max="1038" width="11.875" style="230" bestFit="1" customWidth="1"/>
    <col min="1039" max="1039" width="6" style="230" bestFit="1" customWidth="1"/>
    <col min="1040" max="1040" width="11.875" style="230" bestFit="1" customWidth="1"/>
    <col min="1041" max="1044" width="8.75" style="230" customWidth="1"/>
    <col min="1045" max="1045" width="5.75" style="230" customWidth="1"/>
    <col min="1046" max="1046" width="10.5" style="230" customWidth="1"/>
    <col min="1047" max="1047" width="3.375" style="230" customWidth="1"/>
    <col min="1048" max="1048" width="10.375" style="230" customWidth="1"/>
    <col min="1049" max="1049" width="16.5" style="230" customWidth="1"/>
    <col min="1050" max="1050" width="9.375" style="230" customWidth="1"/>
    <col min="1051" max="1052" width="10.25" style="230" customWidth="1"/>
    <col min="1053" max="1054" width="9.375" style="230" customWidth="1"/>
    <col min="1055" max="1055" width="0" style="230" hidden="1" customWidth="1"/>
    <col min="1056" max="1056" width="15.75" style="230" bestFit="1" customWidth="1"/>
    <col min="1057" max="1057" width="9.375" style="230" customWidth="1"/>
    <col min="1058" max="1058" width="10.25" style="230" customWidth="1"/>
    <col min="1059" max="1059" width="5.125" style="230" customWidth="1"/>
    <col min="1060" max="1280" width="9" style="230"/>
    <col min="1281" max="1281" width="1" style="230" customWidth="1"/>
    <col min="1282" max="1282" width="5.625" style="230" customWidth="1"/>
    <col min="1283" max="1283" width="6.875" style="230" customWidth="1"/>
    <col min="1284" max="1284" width="13.75" style="230" customWidth="1"/>
    <col min="1285" max="1285" width="2.5" style="230" customWidth="1"/>
    <col min="1286" max="1286" width="8.75" style="230" customWidth="1"/>
    <col min="1287" max="1287" width="5.75" style="230" customWidth="1"/>
    <col min="1288" max="1288" width="12.5" style="230" customWidth="1"/>
    <col min="1289" max="1289" width="5.75" style="230" customWidth="1"/>
    <col min="1290" max="1290" width="12.5" style="230" customWidth="1"/>
    <col min="1291" max="1291" width="2.5" style="230" customWidth="1"/>
    <col min="1292" max="1292" width="10.375" style="230" bestFit="1" customWidth="1"/>
    <col min="1293" max="1293" width="5" style="230" bestFit="1" customWidth="1"/>
    <col min="1294" max="1294" width="11.875" style="230" bestFit="1" customWidth="1"/>
    <col min="1295" max="1295" width="6" style="230" bestFit="1" customWidth="1"/>
    <col min="1296" max="1296" width="11.875" style="230" bestFit="1" customWidth="1"/>
    <col min="1297" max="1300" width="8.75" style="230" customWidth="1"/>
    <col min="1301" max="1301" width="5.75" style="230" customWidth="1"/>
    <col min="1302" max="1302" width="10.5" style="230" customWidth="1"/>
    <col min="1303" max="1303" width="3.375" style="230" customWidth="1"/>
    <col min="1304" max="1304" width="10.375" style="230" customWidth="1"/>
    <col min="1305" max="1305" width="16.5" style="230" customWidth="1"/>
    <col min="1306" max="1306" width="9.375" style="230" customWidth="1"/>
    <col min="1307" max="1308" width="10.25" style="230" customWidth="1"/>
    <col min="1309" max="1310" width="9.375" style="230" customWidth="1"/>
    <col min="1311" max="1311" width="0" style="230" hidden="1" customWidth="1"/>
    <col min="1312" max="1312" width="15.75" style="230" bestFit="1" customWidth="1"/>
    <col min="1313" max="1313" width="9.375" style="230" customWidth="1"/>
    <col min="1314" max="1314" width="10.25" style="230" customWidth="1"/>
    <col min="1315" max="1315" width="5.125" style="230" customWidth="1"/>
    <col min="1316" max="1536" width="9" style="230"/>
    <col min="1537" max="1537" width="1" style="230" customWidth="1"/>
    <col min="1538" max="1538" width="5.625" style="230" customWidth="1"/>
    <col min="1539" max="1539" width="6.875" style="230" customWidth="1"/>
    <col min="1540" max="1540" width="13.75" style="230" customWidth="1"/>
    <col min="1541" max="1541" width="2.5" style="230" customWidth="1"/>
    <col min="1542" max="1542" width="8.75" style="230" customWidth="1"/>
    <col min="1543" max="1543" width="5.75" style="230" customWidth="1"/>
    <col min="1544" max="1544" width="12.5" style="230" customWidth="1"/>
    <col min="1545" max="1545" width="5.75" style="230" customWidth="1"/>
    <col min="1546" max="1546" width="12.5" style="230" customWidth="1"/>
    <col min="1547" max="1547" width="2.5" style="230" customWidth="1"/>
    <col min="1548" max="1548" width="10.375" style="230" bestFit="1" customWidth="1"/>
    <col min="1549" max="1549" width="5" style="230" bestFit="1" customWidth="1"/>
    <col min="1550" max="1550" width="11.875" style="230" bestFit="1" customWidth="1"/>
    <col min="1551" max="1551" width="6" style="230" bestFit="1" customWidth="1"/>
    <col min="1552" max="1552" width="11.875" style="230" bestFit="1" customWidth="1"/>
    <col min="1553" max="1556" width="8.75" style="230" customWidth="1"/>
    <col min="1557" max="1557" width="5.75" style="230" customWidth="1"/>
    <col min="1558" max="1558" width="10.5" style="230" customWidth="1"/>
    <col min="1559" max="1559" width="3.375" style="230" customWidth="1"/>
    <col min="1560" max="1560" width="10.375" style="230" customWidth="1"/>
    <col min="1561" max="1561" width="16.5" style="230" customWidth="1"/>
    <col min="1562" max="1562" width="9.375" style="230" customWidth="1"/>
    <col min="1563" max="1564" width="10.25" style="230" customWidth="1"/>
    <col min="1565" max="1566" width="9.375" style="230" customWidth="1"/>
    <col min="1567" max="1567" width="0" style="230" hidden="1" customWidth="1"/>
    <col min="1568" max="1568" width="15.75" style="230" bestFit="1" customWidth="1"/>
    <col min="1569" max="1569" width="9.375" style="230" customWidth="1"/>
    <col min="1570" max="1570" width="10.25" style="230" customWidth="1"/>
    <col min="1571" max="1571" width="5.125" style="230" customWidth="1"/>
    <col min="1572" max="1792" width="9" style="230"/>
    <col min="1793" max="1793" width="1" style="230" customWidth="1"/>
    <col min="1794" max="1794" width="5.625" style="230" customWidth="1"/>
    <col min="1795" max="1795" width="6.875" style="230" customWidth="1"/>
    <col min="1796" max="1796" width="13.75" style="230" customWidth="1"/>
    <col min="1797" max="1797" width="2.5" style="230" customWidth="1"/>
    <col min="1798" max="1798" width="8.75" style="230" customWidth="1"/>
    <col min="1799" max="1799" width="5.75" style="230" customWidth="1"/>
    <col min="1800" max="1800" width="12.5" style="230" customWidth="1"/>
    <col min="1801" max="1801" width="5.75" style="230" customWidth="1"/>
    <col min="1802" max="1802" width="12.5" style="230" customWidth="1"/>
    <col min="1803" max="1803" width="2.5" style="230" customWidth="1"/>
    <col min="1804" max="1804" width="10.375" style="230" bestFit="1" customWidth="1"/>
    <col min="1805" max="1805" width="5" style="230" bestFit="1" customWidth="1"/>
    <col min="1806" max="1806" width="11.875" style="230" bestFit="1" customWidth="1"/>
    <col min="1807" max="1807" width="6" style="230" bestFit="1" customWidth="1"/>
    <col min="1808" max="1808" width="11.875" style="230" bestFit="1" customWidth="1"/>
    <col min="1809" max="1812" width="8.75" style="230" customWidth="1"/>
    <col min="1813" max="1813" width="5.75" style="230" customWidth="1"/>
    <col min="1814" max="1814" width="10.5" style="230" customWidth="1"/>
    <col min="1815" max="1815" width="3.375" style="230" customWidth="1"/>
    <col min="1816" max="1816" width="10.375" style="230" customWidth="1"/>
    <col min="1817" max="1817" width="16.5" style="230" customWidth="1"/>
    <col min="1818" max="1818" width="9.375" style="230" customWidth="1"/>
    <col min="1819" max="1820" width="10.25" style="230" customWidth="1"/>
    <col min="1821" max="1822" width="9.375" style="230" customWidth="1"/>
    <col min="1823" max="1823" width="0" style="230" hidden="1" customWidth="1"/>
    <col min="1824" max="1824" width="15.75" style="230" bestFit="1" customWidth="1"/>
    <col min="1825" max="1825" width="9.375" style="230" customWidth="1"/>
    <col min="1826" max="1826" width="10.25" style="230" customWidth="1"/>
    <col min="1827" max="1827" width="5.125" style="230" customWidth="1"/>
    <col min="1828" max="2048" width="9" style="230"/>
    <col min="2049" max="2049" width="1" style="230" customWidth="1"/>
    <col min="2050" max="2050" width="5.625" style="230" customWidth="1"/>
    <col min="2051" max="2051" width="6.875" style="230" customWidth="1"/>
    <col min="2052" max="2052" width="13.75" style="230" customWidth="1"/>
    <col min="2053" max="2053" width="2.5" style="230" customWidth="1"/>
    <col min="2054" max="2054" width="8.75" style="230" customWidth="1"/>
    <col min="2055" max="2055" width="5.75" style="230" customWidth="1"/>
    <col min="2056" max="2056" width="12.5" style="230" customWidth="1"/>
    <col min="2057" max="2057" width="5.75" style="230" customWidth="1"/>
    <col min="2058" max="2058" width="12.5" style="230" customWidth="1"/>
    <col min="2059" max="2059" width="2.5" style="230" customWidth="1"/>
    <col min="2060" max="2060" width="10.375" style="230" bestFit="1" customWidth="1"/>
    <col min="2061" max="2061" width="5" style="230" bestFit="1" customWidth="1"/>
    <col min="2062" max="2062" width="11.875" style="230" bestFit="1" customWidth="1"/>
    <col min="2063" max="2063" width="6" style="230" bestFit="1" customWidth="1"/>
    <col min="2064" max="2064" width="11.875" style="230" bestFit="1" customWidth="1"/>
    <col min="2065" max="2068" width="8.75" style="230" customWidth="1"/>
    <col min="2069" max="2069" width="5.75" style="230" customWidth="1"/>
    <col min="2070" max="2070" width="10.5" style="230" customWidth="1"/>
    <col min="2071" max="2071" width="3.375" style="230" customWidth="1"/>
    <col min="2072" max="2072" width="10.375" style="230" customWidth="1"/>
    <col min="2073" max="2073" width="16.5" style="230" customWidth="1"/>
    <col min="2074" max="2074" width="9.375" style="230" customWidth="1"/>
    <col min="2075" max="2076" width="10.25" style="230" customWidth="1"/>
    <col min="2077" max="2078" width="9.375" style="230" customWidth="1"/>
    <col min="2079" max="2079" width="0" style="230" hidden="1" customWidth="1"/>
    <col min="2080" max="2080" width="15.75" style="230" bestFit="1" customWidth="1"/>
    <col min="2081" max="2081" width="9.375" style="230" customWidth="1"/>
    <col min="2082" max="2082" width="10.25" style="230" customWidth="1"/>
    <col min="2083" max="2083" width="5.125" style="230" customWidth="1"/>
    <col min="2084" max="2304" width="9" style="230"/>
    <col min="2305" max="2305" width="1" style="230" customWidth="1"/>
    <col min="2306" max="2306" width="5.625" style="230" customWidth="1"/>
    <col min="2307" max="2307" width="6.875" style="230" customWidth="1"/>
    <col min="2308" max="2308" width="13.75" style="230" customWidth="1"/>
    <col min="2309" max="2309" width="2.5" style="230" customWidth="1"/>
    <col min="2310" max="2310" width="8.75" style="230" customWidth="1"/>
    <col min="2311" max="2311" width="5.75" style="230" customWidth="1"/>
    <col min="2312" max="2312" width="12.5" style="230" customWidth="1"/>
    <col min="2313" max="2313" width="5.75" style="230" customWidth="1"/>
    <col min="2314" max="2314" width="12.5" style="230" customWidth="1"/>
    <col min="2315" max="2315" width="2.5" style="230" customWidth="1"/>
    <col min="2316" max="2316" width="10.375" style="230" bestFit="1" customWidth="1"/>
    <col min="2317" max="2317" width="5" style="230" bestFit="1" customWidth="1"/>
    <col min="2318" max="2318" width="11.875" style="230" bestFit="1" customWidth="1"/>
    <col min="2319" max="2319" width="6" style="230" bestFit="1" customWidth="1"/>
    <col min="2320" max="2320" width="11.875" style="230" bestFit="1" customWidth="1"/>
    <col min="2321" max="2324" width="8.75" style="230" customWidth="1"/>
    <col min="2325" max="2325" width="5.75" style="230" customWidth="1"/>
    <col min="2326" max="2326" width="10.5" style="230" customWidth="1"/>
    <col min="2327" max="2327" width="3.375" style="230" customWidth="1"/>
    <col min="2328" max="2328" width="10.375" style="230" customWidth="1"/>
    <col min="2329" max="2329" width="16.5" style="230" customWidth="1"/>
    <col min="2330" max="2330" width="9.375" style="230" customWidth="1"/>
    <col min="2331" max="2332" width="10.25" style="230" customWidth="1"/>
    <col min="2333" max="2334" width="9.375" style="230" customWidth="1"/>
    <col min="2335" max="2335" width="0" style="230" hidden="1" customWidth="1"/>
    <col min="2336" max="2336" width="15.75" style="230" bestFit="1" customWidth="1"/>
    <col min="2337" max="2337" width="9.375" style="230" customWidth="1"/>
    <col min="2338" max="2338" width="10.25" style="230" customWidth="1"/>
    <col min="2339" max="2339" width="5.125" style="230" customWidth="1"/>
    <col min="2340" max="2560" width="9" style="230"/>
    <col min="2561" max="2561" width="1" style="230" customWidth="1"/>
    <col min="2562" max="2562" width="5.625" style="230" customWidth="1"/>
    <col min="2563" max="2563" width="6.875" style="230" customWidth="1"/>
    <col min="2564" max="2564" width="13.75" style="230" customWidth="1"/>
    <col min="2565" max="2565" width="2.5" style="230" customWidth="1"/>
    <col min="2566" max="2566" width="8.75" style="230" customWidth="1"/>
    <col min="2567" max="2567" width="5.75" style="230" customWidth="1"/>
    <col min="2568" max="2568" width="12.5" style="230" customWidth="1"/>
    <col min="2569" max="2569" width="5.75" style="230" customWidth="1"/>
    <col min="2570" max="2570" width="12.5" style="230" customWidth="1"/>
    <col min="2571" max="2571" width="2.5" style="230" customWidth="1"/>
    <col min="2572" max="2572" width="10.375" style="230" bestFit="1" customWidth="1"/>
    <col min="2573" max="2573" width="5" style="230" bestFit="1" customWidth="1"/>
    <col min="2574" max="2574" width="11.875" style="230" bestFit="1" customWidth="1"/>
    <col min="2575" max="2575" width="6" style="230" bestFit="1" customWidth="1"/>
    <col min="2576" max="2576" width="11.875" style="230" bestFit="1" customWidth="1"/>
    <col min="2577" max="2580" width="8.75" style="230" customWidth="1"/>
    <col min="2581" max="2581" width="5.75" style="230" customWidth="1"/>
    <col min="2582" max="2582" width="10.5" style="230" customWidth="1"/>
    <col min="2583" max="2583" width="3.375" style="230" customWidth="1"/>
    <col min="2584" max="2584" width="10.375" style="230" customWidth="1"/>
    <col min="2585" max="2585" width="16.5" style="230" customWidth="1"/>
    <col min="2586" max="2586" width="9.375" style="230" customWidth="1"/>
    <col min="2587" max="2588" width="10.25" style="230" customWidth="1"/>
    <col min="2589" max="2590" width="9.375" style="230" customWidth="1"/>
    <col min="2591" max="2591" width="0" style="230" hidden="1" customWidth="1"/>
    <col min="2592" max="2592" width="15.75" style="230" bestFit="1" customWidth="1"/>
    <col min="2593" max="2593" width="9.375" style="230" customWidth="1"/>
    <col min="2594" max="2594" width="10.25" style="230" customWidth="1"/>
    <col min="2595" max="2595" width="5.125" style="230" customWidth="1"/>
    <col min="2596" max="2816" width="9" style="230"/>
    <col min="2817" max="2817" width="1" style="230" customWidth="1"/>
    <col min="2818" max="2818" width="5.625" style="230" customWidth="1"/>
    <col min="2819" max="2819" width="6.875" style="230" customWidth="1"/>
    <col min="2820" max="2820" width="13.75" style="230" customWidth="1"/>
    <col min="2821" max="2821" width="2.5" style="230" customWidth="1"/>
    <col min="2822" max="2822" width="8.75" style="230" customWidth="1"/>
    <col min="2823" max="2823" width="5.75" style="230" customWidth="1"/>
    <col min="2824" max="2824" width="12.5" style="230" customWidth="1"/>
    <col min="2825" max="2825" width="5.75" style="230" customWidth="1"/>
    <col min="2826" max="2826" width="12.5" style="230" customWidth="1"/>
    <col min="2827" max="2827" width="2.5" style="230" customWidth="1"/>
    <col min="2828" max="2828" width="10.375" style="230" bestFit="1" customWidth="1"/>
    <col min="2829" max="2829" width="5" style="230" bestFit="1" customWidth="1"/>
    <col min="2830" max="2830" width="11.875" style="230" bestFit="1" customWidth="1"/>
    <col min="2831" max="2831" width="6" style="230" bestFit="1" customWidth="1"/>
    <col min="2832" max="2832" width="11.875" style="230" bestFit="1" customWidth="1"/>
    <col min="2833" max="2836" width="8.75" style="230" customWidth="1"/>
    <col min="2837" max="2837" width="5.75" style="230" customWidth="1"/>
    <col min="2838" max="2838" width="10.5" style="230" customWidth="1"/>
    <col min="2839" max="2839" width="3.375" style="230" customWidth="1"/>
    <col min="2840" max="2840" width="10.375" style="230" customWidth="1"/>
    <col min="2841" max="2841" width="16.5" style="230" customWidth="1"/>
    <col min="2842" max="2842" width="9.375" style="230" customWidth="1"/>
    <col min="2843" max="2844" width="10.25" style="230" customWidth="1"/>
    <col min="2845" max="2846" width="9.375" style="230" customWidth="1"/>
    <col min="2847" max="2847" width="0" style="230" hidden="1" customWidth="1"/>
    <col min="2848" max="2848" width="15.75" style="230" bestFit="1" customWidth="1"/>
    <col min="2849" max="2849" width="9.375" style="230" customWidth="1"/>
    <col min="2850" max="2850" width="10.25" style="230" customWidth="1"/>
    <col min="2851" max="2851" width="5.125" style="230" customWidth="1"/>
    <col min="2852" max="3072" width="9" style="230"/>
    <col min="3073" max="3073" width="1" style="230" customWidth="1"/>
    <col min="3074" max="3074" width="5.625" style="230" customWidth="1"/>
    <col min="3075" max="3075" width="6.875" style="230" customWidth="1"/>
    <col min="3076" max="3076" width="13.75" style="230" customWidth="1"/>
    <col min="3077" max="3077" width="2.5" style="230" customWidth="1"/>
    <col min="3078" max="3078" width="8.75" style="230" customWidth="1"/>
    <col min="3079" max="3079" width="5.75" style="230" customWidth="1"/>
    <col min="3080" max="3080" width="12.5" style="230" customWidth="1"/>
    <col min="3081" max="3081" width="5.75" style="230" customWidth="1"/>
    <col min="3082" max="3082" width="12.5" style="230" customWidth="1"/>
    <col min="3083" max="3083" width="2.5" style="230" customWidth="1"/>
    <col min="3084" max="3084" width="10.375" style="230" bestFit="1" customWidth="1"/>
    <col min="3085" max="3085" width="5" style="230" bestFit="1" customWidth="1"/>
    <col min="3086" max="3086" width="11.875" style="230" bestFit="1" customWidth="1"/>
    <col min="3087" max="3087" width="6" style="230" bestFit="1" customWidth="1"/>
    <col min="3088" max="3088" width="11.875" style="230" bestFit="1" customWidth="1"/>
    <col min="3089" max="3092" width="8.75" style="230" customWidth="1"/>
    <col min="3093" max="3093" width="5.75" style="230" customWidth="1"/>
    <col min="3094" max="3094" width="10.5" style="230" customWidth="1"/>
    <col min="3095" max="3095" width="3.375" style="230" customWidth="1"/>
    <col min="3096" max="3096" width="10.375" style="230" customWidth="1"/>
    <col min="3097" max="3097" width="16.5" style="230" customWidth="1"/>
    <col min="3098" max="3098" width="9.375" style="230" customWidth="1"/>
    <col min="3099" max="3100" width="10.25" style="230" customWidth="1"/>
    <col min="3101" max="3102" width="9.375" style="230" customWidth="1"/>
    <col min="3103" max="3103" width="0" style="230" hidden="1" customWidth="1"/>
    <col min="3104" max="3104" width="15.75" style="230" bestFit="1" customWidth="1"/>
    <col min="3105" max="3105" width="9.375" style="230" customWidth="1"/>
    <col min="3106" max="3106" width="10.25" style="230" customWidth="1"/>
    <col min="3107" max="3107" width="5.125" style="230" customWidth="1"/>
    <col min="3108" max="3328" width="9" style="230"/>
    <col min="3329" max="3329" width="1" style="230" customWidth="1"/>
    <col min="3330" max="3330" width="5.625" style="230" customWidth="1"/>
    <col min="3331" max="3331" width="6.875" style="230" customWidth="1"/>
    <col min="3332" max="3332" width="13.75" style="230" customWidth="1"/>
    <col min="3333" max="3333" width="2.5" style="230" customWidth="1"/>
    <col min="3334" max="3334" width="8.75" style="230" customWidth="1"/>
    <col min="3335" max="3335" width="5.75" style="230" customWidth="1"/>
    <col min="3336" max="3336" width="12.5" style="230" customWidth="1"/>
    <col min="3337" max="3337" width="5.75" style="230" customWidth="1"/>
    <col min="3338" max="3338" width="12.5" style="230" customWidth="1"/>
    <col min="3339" max="3339" width="2.5" style="230" customWidth="1"/>
    <col min="3340" max="3340" width="10.375" style="230" bestFit="1" customWidth="1"/>
    <col min="3341" max="3341" width="5" style="230" bestFit="1" customWidth="1"/>
    <col min="3342" max="3342" width="11.875" style="230" bestFit="1" customWidth="1"/>
    <col min="3343" max="3343" width="6" style="230" bestFit="1" customWidth="1"/>
    <col min="3344" max="3344" width="11.875" style="230" bestFit="1" customWidth="1"/>
    <col min="3345" max="3348" width="8.75" style="230" customWidth="1"/>
    <col min="3349" max="3349" width="5.75" style="230" customWidth="1"/>
    <col min="3350" max="3350" width="10.5" style="230" customWidth="1"/>
    <col min="3351" max="3351" width="3.375" style="230" customWidth="1"/>
    <col min="3352" max="3352" width="10.375" style="230" customWidth="1"/>
    <col min="3353" max="3353" width="16.5" style="230" customWidth="1"/>
    <col min="3354" max="3354" width="9.375" style="230" customWidth="1"/>
    <col min="3355" max="3356" width="10.25" style="230" customWidth="1"/>
    <col min="3357" max="3358" width="9.375" style="230" customWidth="1"/>
    <col min="3359" max="3359" width="0" style="230" hidden="1" customWidth="1"/>
    <col min="3360" max="3360" width="15.75" style="230" bestFit="1" customWidth="1"/>
    <col min="3361" max="3361" width="9.375" style="230" customWidth="1"/>
    <col min="3362" max="3362" width="10.25" style="230" customWidth="1"/>
    <col min="3363" max="3363" width="5.125" style="230" customWidth="1"/>
    <col min="3364" max="3584" width="9" style="230"/>
    <col min="3585" max="3585" width="1" style="230" customWidth="1"/>
    <col min="3586" max="3586" width="5.625" style="230" customWidth="1"/>
    <col min="3587" max="3587" width="6.875" style="230" customWidth="1"/>
    <col min="3588" max="3588" width="13.75" style="230" customWidth="1"/>
    <col min="3589" max="3589" width="2.5" style="230" customWidth="1"/>
    <col min="3590" max="3590" width="8.75" style="230" customWidth="1"/>
    <col min="3591" max="3591" width="5.75" style="230" customWidth="1"/>
    <col min="3592" max="3592" width="12.5" style="230" customWidth="1"/>
    <col min="3593" max="3593" width="5.75" style="230" customWidth="1"/>
    <col min="3594" max="3594" width="12.5" style="230" customWidth="1"/>
    <col min="3595" max="3595" width="2.5" style="230" customWidth="1"/>
    <col min="3596" max="3596" width="10.375" style="230" bestFit="1" customWidth="1"/>
    <col min="3597" max="3597" width="5" style="230" bestFit="1" customWidth="1"/>
    <col min="3598" max="3598" width="11.875" style="230" bestFit="1" customWidth="1"/>
    <col min="3599" max="3599" width="6" style="230" bestFit="1" customWidth="1"/>
    <col min="3600" max="3600" width="11.875" style="230" bestFit="1" customWidth="1"/>
    <col min="3601" max="3604" width="8.75" style="230" customWidth="1"/>
    <col min="3605" max="3605" width="5.75" style="230" customWidth="1"/>
    <col min="3606" max="3606" width="10.5" style="230" customWidth="1"/>
    <col min="3607" max="3607" width="3.375" style="230" customWidth="1"/>
    <col min="3608" max="3608" width="10.375" style="230" customWidth="1"/>
    <col min="3609" max="3609" width="16.5" style="230" customWidth="1"/>
    <col min="3610" max="3610" width="9.375" style="230" customWidth="1"/>
    <col min="3611" max="3612" width="10.25" style="230" customWidth="1"/>
    <col min="3613" max="3614" width="9.375" style="230" customWidth="1"/>
    <col min="3615" max="3615" width="0" style="230" hidden="1" customWidth="1"/>
    <col min="3616" max="3616" width="15.75" style="230" bestFit="1" customWidth="1"/>
    <col min="3617" max="3617" width="9.375" style="230" customWidth="1"/>
    <col min="3618" max="3618" width="10.25" style="230" customWidth="1"/>
    <col min="3619" max="3619" width="5.125" style="230" customWidth="1"/>
    <col min="3620" max="3840" width="9" style="230"/>
    <col min="3841" max="3841" width="1" style="230" customWidth="1"/>
    <col min="3842" max="3842" width="5.625" style="230" customWidth="1"/>
    <col min="3843" max="3843" width="6.875" style="230" customWidth="1"/>
    <col min="3844" max="3844" width="13.75" style="230" customWidth="1"/>
    <col min="3845" max="3845" width="2.5" style="230" customWidth="1"/>
    <col min="3846" max="3846" width="8.75" style="230" customWidth="1"/>
    <col min="3847" max="3847" width="5.75" style="230" customWidth="1"/>
    <col min="3848" max="3848" width="12.5" style="230" customWidth="1"/>
    <col min="3849" max="3849" width="5.75" style="230" customWidth="1"/>
    <col min="3850" max="3850" width="12.5" style="230" customWidth="1"/>
    <col min="3851" max="3851" width="2.5" style="230" customWidth="1"/>
    <col min="3852" max="3852" width="10.375" style="230" bestFit="1" customWidth="1"/>
    <col min="3853" max="3853" width="5" style="230" bestFit="1" customWidth="1"/>
    <col min="3854" max="3854" width="11.875" style="230" bestFit="1" customWidth="1"/>
    <col min="3855" max="3855" width="6" style="230" bestFit="1" customWidth="1"/>
    <col min="3856" max="3856" width="11.875" style="230" bestFit="1" customWidth="1"/>
    <col min="3857" max="3860" width="8.75" style="230" customWidth="1"/>
    <col min="3861" max="3861" width="5.75" style="230" customWidth="1"/>
    <col min="3862" max="3862" width="10.5" style="230" customWidth="1"/>
    <col min="3863" max="3863" width="3.375" style="230" customWidth="1"/>
    <col min="3864" max="3864" width="10.375" style="230" customWidth="1"/>
    <col min="3865" max="3865" width="16.5" style="230" customWidth="1"/>
    <col min="3866" max="3866" width="9.375" style="230" customWidth="1"/>
    <col min="3867" max="3868" width="10.25" style="230" customWidth="1"/>
    <col min="3869" max="3870" width="9.375" style="230" customWidth="1"/>
    <col min="3871" max="3871" width="0" style="230" hidden="1" customWidth="1"/>
    <col min="3872" max="3872" width="15.75" style="230" bestFit="1" customWidth="1"/>
    <col min="3873" max="3873" width="9.375" style="230" customWidth="1"/>
    <col min="3874" max="3874" width="10.25" style="230" customWidth="1"/>
    <col min="3875" max="3875" width="5.125" style="230" customWidth="1"/>
    <col min="3876" max="4096" width="9" style="230"/>
    <col min="4097" max="4097" width="1" style="230" customWidth="1"/>
    <col min="4098" max="4098" width="5.625" style="230" customWidth="1"/>
    <col min="4099" max="4099" width="6.875" style="230" customWidth="1"/>
    <col min="4100" max="4100" width="13.75" style="230" customWidth="1"/>
    <col min="4101" max="4101" width="2.5" style="230" customWidth="1"/>
    <col min="4102" max="4102" width="8.75" style="230" customWidth="1"/>
    <col min="4103" max="4103" width="5.75" style="230" customWidth="1"/>
    <col min="4104" max="4104" width="12.5" style="230" customWidth="1"/>
    <col min="4105" max="4105" width="5.75" style="230" customWidth="1"/>
    <col min="4106" max="4106" width="12.5" style="230" customWidth="1"/>
    <col min="4107" max="4107" width="2.5" style="230" customWidth="1"/>
    <col min="4108" max="4108" width="10.375" style="230" bestFit="1" customWidth="1"/>
    <col min="4109" max="4109" width="5" style="230" bestFit="1" customWidth="1"/>
    <col min="4110" max="4110" width="11.875" style="230" bestFit="1" customWidth="1"/>
    <col min="4111" max="4111" width="6" style="230" bestFit="1" customWidth="1"/>
    <col min="4112" max="4112" width="11.875" style="230" bestFit="1" customWidth="1"/>
    <col min="4113" max="4116" width="8.75" style="230" customWidth="1"/>
    <col min="4117" max="4117" width="5.75" style="230" customWidth="1"/>
    <col min="4118" max="4118" width="10.5" style="230" customWidth="1"/>
    <col min="4119" max="4119" width="3.375" style="230" customWidth="1"/>
    <col min="4120" max="4120" width="10.375" style="230" customWidth="1"/>
    <col min="4121" max="4121" width="16.5" style="230" customWidth="1"/>
    <col min="4122" max="4122" width="9.375" style="230" customWidth="1"/>
    <col min="4123" max="4124" width="10.25" style="230" customWidth="1"/>
    <col min="4125" max="4126" width="9.375" style="230" customWidth="1"/>
    <col min="4127" max="4127" width="0" style="230" hidden="1" customWidth="1"/>
    <col min="4128" max="4128" width="15.75" style="230" bestFit="1" customWidth="1"/>
    <col min="4129" max="4129" width="9.375" style="230" customWidth="1"/>
    <col min="4130" max="4130" width="10.25" style="230" customWidth="1"/>
    <col min="4131" max="4131" width="5.125" style="230" customWidth="1"/>
    <col min="4132" max="4352" width="9" style="230"/>
    <col min="4353" max="4353" width="1" style="230" customWidth="1"/>
    <col min="4354" max="4354" width="5.625" style="230" customWidth="1"/>
    <col min="4355" max="4355" width="6.875" style="230" customWidth="1"/>
    <col min="4356" max="4356" width="13.75" style="230" customWidth="1"/>
    <col min="4357" max="4357" width="2.5" style="230" customWidth="1"/>
    <col min="4358" max="4358" width="8.75" style="230" customWidth="1"/>
    <col min="4359" max="4359" width="5.75" style="230" customWidth="1"/>
    <col min="4360" max="4360" width="12.5" style="230" customWidth="1"/>
    <col min="4361" max="4361" width="5.75" style="230" customWidth="1"/>
    <col min="4362" max="4362" width="12.5" style="230" customWidth="1"/>
    <col min="4363" max="4363" width="2.5" style="230" customWidth="1"/>
    <col min="4364" max="4364" width="10.375" style="230" bestFit="1" customWidth="1"/>
    <col min="4365" max="4365" width="5" style="230" bestFit="1" customWidth="1"/>
    <col min="4366" max="4366" width="11.875" style="230" bestFit="1" customWidth="1"/>
    <col min="4367" max="4367" width="6" style="230" bestFit="1" customWidth="1"/>
    <col min="4368" max="4368" width="11.875" style="230" bestFit="1" customWidth="1"/>
    <col min="4369" max="4372" width="8.75" style="230" customWidth="1"/>
    <col min="4373" max="4373" width="5.75" style="230" customWidth="1"/>
    <col min="4374" max="4374" width="10.5" style="230" customWidth="1"/>
    <col min="4375" max="4375" width="3.375" style="230" customWidth="1"/>
    <col min="4376" max="4376" width="10.375" style="230" customWidth="1"/>
    <col min="4377" max="4377" width="16.5" style="230" customWidth="1"/>
    <col min="4378" max="4378" width="9.375" style="230" customWidth="1"/>
    <col min="4379" max="4380" width="10.25" style="230" customWidth="1"/>
    <col min="4381" max="4382" width="9.375" style="230" customWidth="1"/>
    <col min="4383" max="4383" width="0" style="230" hidden="1" customWidth="1"/>
    <col min="4384" max="4384" width="15.75" style="230" bestFit="1" customWidth="1"/>
    <col min="4385" max="4385" width="9.375" style="230" customWidth="1"/>
    <col min="4386" max="4386" width="10.25" style="230" customWidth="1"/>
    <col min="4387" max="4387" width="5.125" style="230" customWidth="1"/>
    <col min="4388" max="4608" width="9" style="230"/>
    <col min="4609" max="4609" width="1" style="230" customWidth="1"/>
    <col min="4610" max="4610" width="5.625" style="230" customWidth="1"/>
    <col min="4611" max="4611" width="6.875" style="230" customWidth="1"/>
    <col min="4612" max="4612" width="13.75" style="230" customWidth="1"/>
    <col min="4613" max="4613" width="2.5" style="230" customWidth="1"/>
    <col min="4614" max="4614" width="8.75" style="230" customWidth="1"/>
    <col min="4615" max="4615" width="5.75" style="230" customWidth="1"/>
    <col min="4616" max="4616" width="12.5" style="230" customWidth="1"/>
    <col min="4617" max="4617" width="5.75" style="230" customWidth="1"/>
    <col min="4618" max="4618" width="12.5" style="230" customWidth="1"/>
    <col min="4619" max="4619" width="2.5" style="230" customWidth="1"/>
    <col min="4620" max="4620" width="10.375" style="230" bestFit="1" customWidth="1"/>
    <col min="4621" max="4621" width="5" style="230" bestFit="1" customWidth="1"/>
    <col min="4622" max="4622" width="11.875" style="230" bestFit="1" customWidth="1"/>
    <col min="4623" max="4623" width="6" style="230" bestFit="1" customWidth="1"/>
    <col min="4624" max="4624" width="11.875" style="230" bestFit="1" customWidth="1"/>
    <col min="4625" max="4628" width="8.75" style="230" customWidth="1"/>
    <col min="4629" max="4629" width="5.75" style="230" customWidth="1"/>
    <col min="4630" max="4630" width="10.5" style="230" customWidth="1"/>
    <col min="4631" max="4631" width="3.375" style="230" customWidth="1"/>
    <col min="4632" max="4632" width="10.375" style="230" customWidth="1"/>
    <col min="4633" max="4633" width="16.5" style="230" customWidth="1"/>
    <col min="4634" max="4634" width="9.375" style="230" customWidth="1"/>
    <col min="4635" max="4636" width="10.25" style="230" customWidth="1"/>
    <col min="4637" max="4638" width="9.375" style="230" customWidth="1"/>
    <col min="4639" max="4639" width="0" style="230" hidden="1" customWidth="1"/>
    <col min="4640" max="4640" width="15.75" style="230" bestFit="1" customWidth="1"/>
    <col min="4641" max="4641" width="9.375" style="230" customWidth="1"/>
    <col min="4642" max="4642" width="10.25" style="230" customWidth="1"/>
    <col min="4643" max="4643" width="5.125" style="230" customWidth="1"/>
    <col min="4644" max="4864" width="9" style="230"/>
    <col min="4865" max="4865" width="1" style="230" customWidth="1"/>
    <col min="4866" max="4866" width="5.625" style="230" customWidth="1"/>
    <col min="4867" max="4867" width="6.875" style="230" customWidth="1"/>
    <col min="4868" max="4868" width="13.75" style="230" customWidth="1"/>
    <col min="4869" max="4869" width="2.5" style="230" customWidth="1"/>
    <col min="4870" max="4870" width="8.75" style="230" customWidth="1"/>
    <col min="4871" max="4871" width="5.75" style="230" customWidth="1"/>
    <col min="4872" max="4872" width="12.5" style="230" customWidth="1"/>
    <col min="4873" max="4873" width="5.75" style="230" customWidth="1"/>
    <col min="4874" max="4874" width="12.5" style="230" customWidth="1"/>
    <col min="4875" max="4875" width="2.5" style="230" customWidth="1"/>
    <col min="4876" max="4876" width="10.375" style="230" bestFit="1" customWidth="1"/>
    <col min="4877" max="4877" width="5" style="230" bestFit="1" customWidth="1"/>
    <col min="4878" max="4878" width="11.875" style="230" bestFit="1" customWidth="1"/>
    <col min="4879" max="4879" width="6" style="230" bestFit="1" customWidth="1"/>
    <col min="4880" max="4880" width="11.875" style="230" bestFit="1" customWidth="1"/>
    <col min="4881" max="4884" width="8.75" style="230" customWidth="1"/>
    <col min="4885" max="4885" width="5.75" style="230" customWidth="1"/>
    <col min="4886" max="4886" width="10.5" style="230" customWidth="1"/>
    <col min="4887" max="4887" width="3.375" style="230" customWidth="1"/>
    <col min="4888" max="4888" width="10.375" style="230" customWidth="1"/>
    <col min="4889" max="4889" width="16.5" style="230" customWidth="1"/>
    <col min="4890" max="4890" width="9.375" style="230" customWidth="1"/>
    <col min="4891" max="4892" width="10.25" style="230" customWidth="1"/>
    <col min="4893" max="4894" width="9.375" style="230" customWidth="1"/>
    <col min="4895" max="4895" width="0" style="230" hidden="1" customWidth="1"/>
    <col min="4896" max="4896" width="15.75" style="230" bestFit="1" customWidth="1"/>
    <col min="4897" max="4897" width="9.375" style="230" customWidth="1"/>
    <col min="4898" max="4898" width="10.25" style="230" customWidth="1"/>
    <col min="4899" max="4899" width="5.125" style="230" customWidth="1"/>
    <col min="4900" max="5120" width="9" style="230"/>
    <col min="5121" max="5121" width="1" style="230" customWidth="1"/>
    <col min="5122" max="5122" width="5.625" style="230" customWidth="1"/>
    <col min="5123" max="5123" width="6.875" style="230" customWidth="1"/>
    <col min="5124" max="5124" width="13.75" style="230" customWidth="1"/>
    <col min="5125" max="5125" width="2.5" style="230" customWidth="1"/>
    <col min="5126" max="5126" width="8.75" style="230" customWidth="1"/>
    <col min="5127" max="5127" width="5.75" style="230" customWidth="1"/>
    <col min="5128" max="5128" width="12.5" style="230" customWidth="1"/>
    <col min="5129" max="5129" width="5.75" style="230" customWidth="1"/>
    <col min="5130" max="5130" width="12.5" style="230" customWidth="1"/>
    <col min="5131" max="5131" width="2.5" style="230" customWidth="1"/>
    <col min="5132" max="5132" width="10.375" style="230" bestFit="1" customWidth="1"/>
    <col min="5133" max="5133" width="5" style="230" bestFit="1" customWidth="1"/>
    <col min="5134" max="5134" width="11.875" style="230" bestFit="1" customWidth="1"/>
    <col min="5135" max="5135" width="6" style="230" bestFit="1" customWidth="1"/>
    <col min="5136" max="5136" width="11.875" style="230" bestFit="1" customWidth="1"/>
    <col min="5137" max="5140" width="8.75" style="230" customWidth="1"/>
    <col min="5141" max="5141" width="5.75" style="230" customWidth="1"/>
    <col min="5142" max="5142" width="10.5" style="230" customWidth="1"/>
    <col min="5143" max="5143" width="3.375" style="230" customWidth="1"/>
    <col min="5144" max="5144" width="10.375" style="230" customWidth="1"/>
    <col min="5145" max="5145" width="16.5" style="230" customWidth="1"/>
    <col min="5146" max="5146" width="9.375" style="230" customWidth="1"/>
    <col min="5147" max="5148" width="10.25" style="230" customWidth="1"/>
    <col min="5149" max="5150" width="9.375" style="230" customWidth="1"/>
    <col min="5151" max="5151" width="0" style="230" hidden="1" customWidth="1"/>
    <col min="5152" max="5152" width="15.75" style="230" bestFit="1" customWidth="1"/>
    <col min="5153" max="5153" width="9.375" style="230" customWidth="1"/>
    <col min="5154" max="5154" width="10.25" style="230" customWidth="1"/>
    <col min="5155" max="5155" width="5.125" style="230" customWidth="1"/>
    <col min="5156" max="5376" width="9" style="230"/>
    <col min="5377" max="5377" width="1" style="230" customWidth="1"/>
    <col min="5378" max="5378" width="5.625" style="230" customWidth="1"/>
    <col min="5379" max="5379" width="6.875" style="230" customWidth="1"/>
    <col min="5380" max="5380" width="13.75" style="230" customWidth="1"/>
    <col min="5381" max="5381" width="2.5" style="230" customWidth="1"/>
    <col min="5382" max="5382" width="8.75" style="230" customWidth="1"/>
    <col min="5383" max="5383" width="5.75" style="230" customWidth="1"/>
    <col min="5384" max="5384" width="12.5" style="230" customWidth="1"/>
    <col min="5385" max="5385" width="5.75" style="230" customWidth="1"/>
    <col min="5386" max="5386" width="12.5" style="230" customWidth="1"/>
    <col min="5387" max="5387" width="2.5" style="230" customWidth="1"/>
    <col min="5388" max="5388" width="10.375" style="230" bestFit="1" customWidth="1"/>
    <col min="5389" max="5389" width="5" style="230" bestFit="1" customWidth="1"/>
    <col min="5390" max="5390" width="11.875" style="230" bestFit="1" customWidth="1"/>
    <col min="5391" max="5391" width="6" style="230" bestFit="1" customWidth="1"/>
    <col min="5392" max="5392" width="11.875" style="230" bestFit="1" customWidth="1"/>
    <col min="5393" max="5396" width="8.75" style="230" customWidth="1"/>
    <col min="5397" max="5397" width="5.75" style="230" customWidth="1"/>
    <col min="5398" max="5398" width="10.5" style="230" customWidth="1"/>
    <col min="5399" max="5399" width="3.375" style="230" customWidth="1"/>
    <col min="5400" max="5400" width="10.375" style="230" customWidth="1"/>
    <col min="5401" max="5401" width="16.5" style="230" customWidth="1"/>
    <col min="5402" max="5402" width="9.375" style="230" customWidth="1"/>
    <col min="5403" max="5404" width="10.25" style="230" customWidth="1"/>
    <col min="5405" max="5406" width="9.375" style="230" customWidth="1"/>
    <col min="5407" max="5407" width="0" style="230" hidden="1" customWidth="1"/>
    <col min="5408" max="5408" width="15.75" style="230" bestFit="1" customWidth="1"/>
    <col min="5409" max="5409" width="9.375" style="230" customWidth="1"/>
    <col min="5410" max="5410" width="10.25" style="230" customWidth="1"/>
    <col min="5411" max="5411" width="5.125" style="230" customWidth="1"/>
    <col min="5412" max="5632" width="9" style="230"/>
    <col min="5633" max="5633" width="1" style="230" customWidth="1"/>
    <col min="5634" max="5634" width="5.625" style="230" customWidth="1"/>
    <col min="5635" max="5635" width="6.875" style="230" customWidth="1"/>
    <col min="5636" max="5636" width="13.75" style="230" customWidth="1"/>
    <col min="5637" max="5637" width="2.5" style="230" customWidth="1"/>
    <col min="5638" max="5638" width="8.75" style="230" customWidth="1"/>
    <col min="5639" max="5639" width="5.75" style="230" customWidth="1"/>
    <col min="5640" max="5640" width="12.5" style="230" customWidth="1"/>
    <col min="5641" max="5641" width="5.75" style="230" customWidth="1"/>
    <col min="5642" max="5642" width="12.5" style="230" customWidth="1"/>
    <col min="5643" max="5643" width="2.5" style="230" customWidth="1"/>
    <col min="5644" max="5644" width="10.375" style="230" bestFit="1" customWidth="1"/>
    <col min="5645" max="5645" width="5" style="230" bestFit="1" customWidth="1"/>
    <col min="5646" max="5646" width="11.875" style="230" bestFit="1" customWidth="1"/>
    <col min="5647" max="5647" width="6" style="230" bestFit="1" customWidth="1"/>
    <col min="5648" max="5648" width="11.875" style="230" bestFit="1" customWidth="1"/>
    <col min="5649" max="5652" width="8.75" style="230" customWidth="1"/>
    <col min="5653" max="5653" width="5.75" style="230" customWidth="1"/>
    <col min="5654" max="5654" width="10.5" style="230" customWidth="1"/>
    <col min="5655" max="5655" width="3.375" style="230" customWidth="1"/>
    <col min="5656" max="5656" width="10.375" style="230" customWidth="1"/>
    <col min="5657" max="5657" width="16.5" style="230" customWidth="1"/>
    <col min="5658" max="5658" width="9.375" style="230" customWidth="1"/>
    <col min="5659" max="5660" width="10.25" style="230" customWidth="1"/>
    <col min="5661" max="5662" width="9.375" style="230" customWidth="1"/>
    <col min="5663" max="5663" width="0" style="230" hidden="1" customWidth="1"/>
    <col min="5664" max="5664" width="15.75" style="230" bestFit="1" customWidth="1"/>
    <col min="5665" max="5665" width="9.375" style="230" customWidth="1"/>
    <col min="5666" max="5666" width="10.25" style="230" customWidth="1"/>
    <col min="5667" max="5667" width="5.125" style="230" customWidth="1"/>
    <col min="5668" max="5888" width="9" style="230"/>
    <col min="5889" max="5889" width="1" style="230" customWidth="1"/>
    <col min="5890" max="5890" width="5.625" style="230" customWidth="1"/>
    <col min="5891" max="5891" width="6.875" style="230" customWidth="1"/>
    <col min="5892" max="5892" width="13.75" style="230" customWidth="1"/>
    <col min="5893" max="5893" width="2.5" style="230" customWidth="1"/>
    <col min="5894" max="5894" width="8.75" style="230" customWidth="1"/>
    <col min="5895" max="5895" width="5.75" style="230" customWidth="1"/>
    <col min="5896" max="5896" width="12.5" style="230" customWidth="1"/>
    <col min="5897" max="5897" width="5.75" style="230" customWidth="1"/>
    <col min="5898" max="5898" width="12.5" style="230" customWidth="1"/>
    <col min="5899" max="5899" width="2.5" style="230" customWidth="1"/>
    <col min="5900" max="5900" width="10.375" style="230" bestFit="1" customWidth="1"/>
    <col min="5901" max="5901" width="5" style="230" bestFit="1" customWidth="1"/>
    <col min="5902" max="5902" width="11.875" style="230" bestFit="1" customWidth="1"/>
    <col min="5903" max="5903" width="6" style="230" bestFit="1" customWidth="1"/>
    <col min="5904" max="5904" width="11.875" style="230" bestFit="1" customWidth="1"/>
    <col min="5905" max="5908" width="8.75" style="230" customWidth="1"/>
    <col min="5909" max="5909" width="5.75" style="230" customWidth="1"/>
    <col min="5910" max="5910" width="10.5" style="230" customWidth="1"/>
    <col min="5911" max="5911" width="3.375" style="230" customWidth="1"/>
    <col min="5912" max="5912" width="10.375" style="230" customWidth="1"/>
    <col min="5913" max="5913" width="16.5" style="230" customWidth="1"/>
    <col min="5914" max="5914" width="9.375" style="230" customWidth="1"/>
    <col min="5915" max="5916" width="10.25" style="230" customWidth="1"/>
    <col min="5917" max="5918" width="9.375" style="230" customWidth="1"/>
    <col min="5919" max="5919" width="0" style="230" hidden="1" customWidth="1"/>
    <col min="5920" max="5920" width="15.75" style="230" bestFit="1" customWidth="1"/>
    <col min="5921" max="5921" width="9.375" style="230" customWidth="1"/>
    <col min="5922" max="5922" width="10.25" style="230" customWidth="1"/>
    <col min="5923" max="5923" width="5.125" style="230" customWidth="1"/>
    <col min="5924" max="6144" width="9" style="230"/>
    <col min="6145" max="6145" width="1" style="230" customWidth="1"/>
    <col min="6146" max="6146" width="5.625" style="230" customWidth="1"/>
    <col min="6147" max="6147" width="6.875" style="230" customWidth="1"/>
    <col min="6148" max="6148" width="13.75" style="230" customWidth="1"/>
    <col min="6149" max="6149" width="2.5" style="230" customWidth="1"/>
    <col min="6150" max="6150" width="8.75" style="230" customWidth="1"/>
    <col min="6151" max="6151" width="5.75" style="230" customWidth="1"/>
    <col min="6152" max="6152" width="12.5" style="230" customWidth="1"/>
    <col min="6153" max="6153" width="5.75" style="230" customWidth="1"/>
    <col min="6154" max="6154" width="12.5" style="230" customWidth="1"/>
    <col min="6155" max="6155" width="2.5" style="230" customWidth="1"/>
    <col min="6156" max="6156" width="10.375" style="230" bestFit="1" customWidth="1"/>
    <col min="6157" max="6157" width="5" style="230" bestFit="1" customWidth="1"/>
    <col min="6158" max="6158" width="11.875" style="230" bestFit="1" customWidth="1"/>
    <col min="6159" max="6159" width="6" style="230" bestFit="1" customWidth="1"/>
    <col min="6160" max="6160" width="11.875" style="230" bestFit="1" customWidth="1"/>
    <col min="6161" max="6164" width="8.75" style="230" customWidth="1"/>
    <col min="6165" max="6165" width="5.75" style="230" customWidth="1"/>
    <col min="6166" max="6166" width="10.5" style="230" customWidth="1"/>
    <col min="6167" max="6167" width="3.375" style="230" customWidth="1"/>
    <col min="6168" max="6168" width="10.375" style="230" customWidth="1"/>
    <col min="6169" max="6169" width="16.5" style="230" customWidth="1"/>
    <col min="6170" max="6170" width="9.375" style="230" customWidth="1"/>
    <col min="6171" max="6172" width="10.25" style="230" customWidth="1"/>
    <col min="6173" max="6174" width="9.375" style="230" customWidth="1"/>
    <col min="6175" max="6175" width="0" style="230" hidden="1" customWidth="1"/>
    <col min="6176" max="6176" width="15.75" style="230" bestFit="1" customWidth="1"/>
    <col min="6177" max="6177" width="9.375" style="230" customWidth="1"/>
    <col min="6178" max="6178" width="10.25" style="230" customWidth="1"/>
    <col min="6179" max="6179" width="5.125" style="230" customWidth="1"/>
    <col min="6180" max="6400" width="9" style="230"/>
    <col min="6401" max="6401" width="1" style="230" customWidth="1"/>
    <col min="6402" max="6402" width="5.625" style="230" customWidth="1"/>
    <col min="6403" max="6403" width="6.875" style="230" customWidth="1"/>
    <col min="6404" max="6404" width="13.75" style="230" customWidth="1"/>
    <col min="6405" max="6405" width="2.5" style="230" customWidth="1"/>
    <col min="6406" max="6406" width="8.75" style="230" customWidth="1"/>
    <col min="6407" max="6407" width="5.75" style="230" customWidth="1"/>
    <col min="6408" max="6408" width="12.5" style="230" customWidth="1"/>
    <col min="6409" max="6409" width="5.75" style="230" customWidth="1"/>
    <col min="6410" max="6410" width="12.5" style="230" customWidth="1"/>
    <col min="6411" max="6411" width="2.5" style="230" customWidth="1"/>
    <col min="6412" max="6412" width="10.375" style="230" bestFit="1" customWidth="1"/>
    <col min="6413" max="6413" width="5" style="230" bestFit="1" customWidth="1"/>
    <col min="6414" max="6414" width="11.875" style="230" bestFit="1" customWidth="1"/>
    <col min="6415" max="6415" width="6" style="230" bestFit="1" customWidth="1"/>
    <col min="6416" max="6416" width="11.875" style="230" bestFit="1" customWidth="1"/>
    <col min="6417" max="6420" width="8.75" style="230" customWidth="1"/>
    <col min="6421" max="6421" width="5.75" style="230" customWidth="1"/>
    <col min="6422" max="6422" width="10.5" style="230" customWidth="1"/>
    <col min="6423" max="6423" width="3.375" style="230" customWidth="1"/>
    <col min="6424" max="6424" width="10.375" style="230" customWidth="1"/>
    <col min="6425" max="6425" width="16.5" style="230" customWidth="1"/>
    <col min="6426" max="6426" width="9.375" style="230" customWidth="1"/>
    <col min="6427" max="6428" width="10.25" style="230" customWidth="1"/>
    <col min="6429" max="6430" width="9.375" style="230" customWidth="1"/>
    <col min="6431" max="6431" width="0" style="230" hidden="1" customWidth="1"/>
    <col min="6432" max="6432" width="15.75" style="230" bestFit="1" customWidth="1"/>
    <col min="6433" max="6433" width="9.375" style="230" customWidth="1"/>
    <col min="6434" max="6434" width="10.25" style="230" customWidth="1"/>
    <col min="6435" max="6435" width="5.125" style="230" customWidth="1"/>
    <col min="6436" max="6656" width="9" style="230"/>
    <col min="6657" max="6657" width="1" style="230" customWidth="1"/>
    <col min="6658" max="6658" width="5.625" style="230" customWidth="1"/>
    <col min="6659" max="6659" width="6.875" style="230" customWidth="1"/>
    <col min="6660" max="6660" width="13.75" style="230" customWidth="1"/>
    <col min="6661" max="6661" width="2.5" style="230" customWidth="1"/>
    <col min="6662" max="6662" width="8.75" style="230" customWidth="1"/>
    <col min="6663" max="6663" width="5.75" style="230" customWidth="1"/>
    <col min="6664" max="6664" width="12.5" style="230" customWidth="1"/>
    <col min="6665" max="6665" width="5.75" style="230" customWidth="1"/>
    <col min="6666" max="6666" width="12.5" style="230" customWidth="1"/>
    <col min="6667" max="6667" width="2.5" style="230" customWidth="1"/>
    <col min="6668" max="6668" width="10.375" style="230" bestFit="1" customWidth="1"/>
    <col min="6669" max="6669" width="5" style="230" bestFit="1" customWidth="1"/>
    <col min="6670" max="6670" width="11.875" style="230" bestFit="1" customWidth="1"/>
    <col min="6671" max="6671" width="6" style="230" bestFit="1" customWidth="1"/>
    <col min="6672" max="6672" width="11.875" style="230" bestFit="1" customWidth="1"/>
    <col min="6673" max="6676" width="8.75" style="230" customWidth="1"/>
    <col min="6677" max="6677" width="5.75" style="230" customWidth="1"/>
    <col min="6678" max="6678" width="10.5" style="230" customWidth="1"/>
    <col min="6679" max="6679" width="3.375" style="230" customWidth="1"/>
    <col min="6680" max="6680" width="10.375" style="230" customWidth="1"/>
    <col min="6681" max="6681" width="16.5" style="230" customWidth="1"/>
    <col min="6682" max="6682" width="9.375" style="230" customWidth="1"/>
    <col min="6683" max="6684" width="10.25" style="230" customWidth="1"/>
    <col min="6685" max="6686" width="9.375" style="230" customWidth="1"/>
    <col min="6687" max="6687" width="0" style="230" hidden="1" customWidth="1"/>
    <col min="6688" max="6688" width="15.75" style="230" bestFit="1" customWidth="1"/>
    <col min="6689" max="6689" width="9.375" style="230" customWidth="1"/>
    <col min="6690" max="6690" width="10.25" style="230" customWidth="1"/>
    <col min="6691" max="6691" width="5.125" style="230" customWidth="1"/>
    <col min="6692" max="6912" width="9" style="230"/>
    <col min="6913" max="6913" width="1" style="230" customWidth="1"/>
    <col min="6914" max="6914" width="5.625" style="230" customWidth="1"/>
    <col min="6915" max="6915" width="6.875" style="230" customWidth="1"/>
    <col min="6916" max="6916" width="13.75" style="230" customWidth="1"/>
    <col min="6917" max="6917" width="2.5" style="230" customWidth="1"/>
    <col min="6918" max="6918" width="8.75" style="230" customWidth="1"/>
    <col min="6919" max="6919" width="5.75" style="230" customWidth="1"/>
    <col min="6920" max="6920" width="12.5" style="230" customWidth="1"/>
    <col min="6921" max="6921" width="5.75" style="230" customWidth="1"/>
    <col min="6922" max="6922" width="12.5" style="230" customWidth="1"/>
    <col min="6923" max="6923" width="2.5" style="230" customWidth="1"/>
    <col min="6924" max="6924" width="10.375" style="230" bestFit="1" customWidth="1"/>
    <col min="6925" max="6925" width="5" style="230" bestFit="1" customWidth="1"/>
    <col min="6926" max="6926" width="11.875" style="230" bestFit="1" customWidth="1"/>
    <col min="6927" max="6927" width="6" style="230" bestFit="1" customWidth="1"/>
    <col min="6928" max="6928" width="11.875" style="230" bestFit="1" customWidth="1"/>
    <col min="6929" max="6932" width="8.75" style="230" customWidth="1"/>
    <col min="6933" max="6933" width="5.75" style="230" customWidth="1"/>
    <col min="6934" max="6934" width="10.5" style="230" customWidth="1"/>
    <col min="6935" max="6935" width="3.375" style="230" customWidth="1"/>
    <col min="6936" max="6936" width="10.375" style="230" customWidth="1"/>
    <col min="6937" max="6937" width="16.5" style="230" customWidth="1"/>
    <col min="6938" max="6938" width="9.375" style="230" customWidth="1"/>
    <col min="6939" max="6940" width="10.25" style="230" customWidth="1"/>
    <col min="6941" max="6942" width="9.375" style="230" customWidth="1"/>
    <col min="6943" max="6943" width="0" style="230" hidden="1" customWidth="1"/>
    <col min="6944" max="6944" width="15.75" style="230" bestFit="1" customWidth="1"/>
    <col min="6945" max="6945" width="9.375" style="230" customWidth="1"/>
    <col min="6946" max="6946" width="10.25" style="230" customWidth="1"/>
    <col min="6947" max="6947" width="5.125" style="230" customWidth="1"/>
    <col min="6948" max="7168" width="9" style="230"/>
    <col min="7169" max="7169" width="1" style="230" customWidth="1"/>
    <col min="7170" max="7170" width="5.625" style="230" customWidth="1"/>
    <col min="7171" max="7171" width="6.875" style="230" customWidth="1"/>
    <col min="7172" max="7172" width="13.75" style="230" customWidth="1"/>
    <col min="7173" max="7173" width="2.5" style="230" customWidth="1"/>
    <col min="7174" max="7174" width="8.75" style="230" customWidth="1"/>
    <col min="7175" max="7175" width="5.75" style="230" customWidth="1"/>
    <col min="7176" max="7176" width="12.5" style="230" customWidth="1"/>
    <col min="7177" max="7177" width="5.75" style="230" customWidth="1"/>
    <col min="7178" max="7178" width="12.5" style="230" customWidth="1"/>
    <col min="7179" max="7179" width="2.5" style="230" customWidth="1"/>
    <col min="7180" max="7180" width="10.375" style="230" bestFit="1" customWidth="1"/>
    <col min="7181" max="7181" width="5" style="230" bestFit="1" customWidth="1"/>
    <col min="7182" max="7182" width="11.875" style="230" bestFit="1" customWidth="1"/>
    <col min="7183" max="7183" width="6" style="230" bestFit="1" customWidth="1"/>
    <col min="7184" max="7184" width="11.875" style="230" bestFit="1" customWidth="1"/>
    <col min="7185" max="7188" width="8.75" style="230" customWidth="1"/>
    <col min="7189" max="7189" width="5.75" style="230" customWidth="1"/>
    <col min="7190" max="7190" width="10.5" style="230" customWidth="1"/>
    <col min="7191" max="7191" width="3.375" style="230" customWidth="1"/>
    <col min="7192" max="7192" width="10.375" style="230" customWidth="1"/>
    <col min="7193" max="7193" width="16.5" style="230" customWidth="1"/>
    <col min="7194" max="7194" width="9.375" style="230" customWidth="1"/>
    <col min="7195" max="7196" width="10.25" style="230" customWidth="1"/>
    <col min="7197" max="7198" width="9.375" style="230" customWidth="1"/>
    <col min="7199" max="7199" width="0" style="230" hidden="1" customWidth="1"/>
    <col min="7200" max="7200" width="15.75" style="230" bestFit="1" customWidth="1"/>
    <col min="7201" max="7201" width="9.375" style="230" customWidth="1"/>
    <col min="7202" max="7202" width="10.25" style="230" customWidth="1"/>
    <col min="7203" max="7203" width="5.125" style="230" customWidth="1"/>
    <col min="7204" max="7424" width="9" style="230"/>
    <col min="7425" max="7425" width="1" style="230" customWidth="1"/>
    <col min="7426" max="7426" width="5.625" style="230" customWidth="1"/>
    <col min="7427" max="7427" width="6.875" style="230" customWidth="1"/>
    <col min="7428" max="7428" width="13.75" style="230" customWidth="1"/>
    <col min="7429" max="7429" width="2.5" style="230" customWidth="1"/>
    <col min="7430" max="7430" width="8.75" style="230" customWidth="1"/>
    <col min="7431" max="7431" width="5.75" style="230" customWidth="1"/>
    <col min="7432" max="7432" width="12.5" style="230" customWidth="1"/>
    <col min="7433" max="7433" width="5.75" style="230" customWidth="1"/>
    <col min="7434" max="7434" width="12.5" style="230" customWidth="1"/>
    <col min="7435" max="7435" width="2.5" style="230" customWidth="1"/>
    <col min="7436" max="7436" width="10.375" style="230" bestFit="1" customWidth="1"/>
    <col min="7437" max="7437" width="5" style="230" bestFit="1" customWidth="1"/>
    <col min="7438" max="7438" width="11.875" style="230" bestFit="1" customWidth="1"/>
    <col min="7439" max="7439" width="6" style="230" bestFit="1" customWidth="1"/>
    <col min="7440" max="7440" width="11.875" style="230" bestFit="1" customWidth="1"/>
    <col min="7441" max="7444" width="8.75" style="230" customWidth="1"/>
    <col min="7445" max="7445" width="5.75" style="230" customWidth="1"/>
    <col min="7446" max="7446" width="10.5" style="230" customWidth="1"/>
    <col min="7447" max="7447" width="3.375" style="230" customWidth="1"/>
    <col min="7448" max="7448" width="10.375" style="230" customWidth="1"/>
    <col min="7449" max="7449" width="16.5" style="230" customWidth="1"/>
    <col min="7450" max="7450" width="9.375" style="230" customWidth="1"/>
    <col min="7451" max="7452" width="10.25" style="230" customWidth="1"/>
    <col min="7453" max="7454" width="9.375" style="230" customWidth="1"/>
    <col min="7455" max="7455" width="0" style="230" hidden="1" customWidth="1"/>
    <col min="7456" max="7456" width="15.75" style="230" bestFit="1" customWidth="1"/>
    <col min="7457" max="7457" width="9.375" style="230" customWidth="1"/>
    <col min="7458" max="7458" width="10.25" style="230" customWidth="1"/>
    <col min="7459" max="7459" width="5.125" style="230" customWidth="1"/>
    <col min="7460" max="7680" width="9" style="230"/>
    <col min="7681" max="7681" width="1" style="230" customWidth="1"/>
    <col min="7682" max="7682" width="5.625" style="230" customWidth="1"/>
    <col min="7683" max="7683" width="6.875" style="230" customWidth="1"/>
    <col min="7684" max="7684" width="13.75" style="230" customWidth="1"/>
    <col min="7685" max="7685" width="2.5" style="230" customWidth="1"/>
    <col min="7686" max="7686" width="8.75" style="230" customWidth="1"/>
    <col min="7687" max="7687" width="5.75" style="230" customWidth="1"/>
    <col min="7688" max="7688" width="12.5" style="230" customWidth="1"/>
    <col min="7689" max="7689" width="5.75" style="230" customWidth="1"/>
    <col min="7690" max="7690" width="12.5" style="230" customWidth="1"/>
    <col min="7691" max="7691" width="2.5" style="230" customWidth="1"/>
    <col min="7692" max="7692" width="10.375" style="230" bestFit="1" customWidth="1"/>
    <col min="7693" max="7693" width="5" style="230" bestFit="1" customWidth="1"/>
    <col min="7694" max="7694" width="11.875" style="230" bestFit="1" customWidth="1"/>
    <col min="7695" max="7695" width="6" style="230" bestFit="1" customWidth="1"/>
    <col min="7696" max="7696" width="11.875" style="230" bestFit="1" customWidth="1"/>
    <col min="7697" max="7700" width="8.75" style="230" customWidth="1"/>
    <col min="7701" max="7701" width="5.75" style="230" customWidth="1"/>
    <col min="7702" max="7702" width="10.5" style="230" customWidth="1"/>
    <col min="7703" max="7703" width="3.375" style="230" customWidth="1"/>
    <col min="7704" max="7704" width="10.375" style="230" customWidth="1"/>
    <col min="7705" max="7705" width="16.5" style="230" customWidth="1"/>
    <col min="7706" max="7706" width="9.375" style="230" customWidth="1"/>
    <col min="7707" max="7708" width="10.25" style="230" customWidth="1"/>
    <col min="7709" max="7710" width="9.375" style="230" customWidth="1"/>
    <col min="7711" max="7711" width="0" style="230" hidden="1" customWidth="1"/>
    <col min="7712" max="7712" width="15.75" style="230" bestFit="1" customWidth="1"/>
    <col min="7713" max="7713" width="9.375" style="230" customWidth="1"/>
    <col min="7714" max="7714" width="10.25" style="230" customWidth="1"/>
    <col min="7715" max="7715" width="5.125" style="230" customWidth="1"/>
    <col min="7716" max="7936" width="9" style="230"/>
    <col min="7937" max="7937" width="1" style="230" customWidth="1"/>
    <col min="7938" max="7938" width="5.625" style="230" customWidth="1"/>
    <col min="7939" max="7939" width="6.875" style="230" customWidth="1"/>
    <col min="7940" max="7940" width="13.75" style="230" customWidth="1"/>
    <col min="7941" max="7941" width="2.5" style="230" customWidth="1"/>
    <col min="7942" max="7942" width="8.75" style="230" customWidth="1"/>
    <col min="7943" max="7943" width="5.75" style="230" customWidth="1"/>
    <col min="7944" max="7944" width="12.5" style="230" customWidth="1"/>
    <col min="7945" max="7945" width="5.75" style="230" customWidth="1"/>
    <col min="7946" max="7946" width="12.5" style="230" customWidth="1"/>
    <col min="7947" max="7947" width="2.5" style="230" customWidth="1"/>
    <col min="7948" max="7948" width="10.375" style="230" bestFit="1" customWidth="1"/>
    <col min="7949" max="7949" width="5" style="230" bestFit="1" customWidth="1"/>
    <col min="7950" max="7950" width="11.875" style="230" bestFit="1" customWidth="1"/>
    <col min="7951" max="7951" width="6" style="230" bestFit="1" customWidth="1"/>
    <col min="7952" max="7952" width="11.875" style="230" bestFit="1" customWidth="1"/>
    <col min="7953" max="7956" width="8.75" style="230" customWidth="1"/>
    <col min="7957" max="7957" width="5.75" style="230" customWidth="1"/>
    <col min="7958" max="7958" width="10.5" style="230" customWidth="1"/>
    <col min="7959" max="7959" width="3.375" style="230" customWidth="1"/>
    <col min="7960" max="7960" width="10.375" style="230" customWidth="1"/>
    <col min="7961" max="7961" width="16.5" style="230" customWidth="1"/>
    <col min="7962" max="7962" width="9.375" style="230" customWidth="1"/>
    <col min="7963" max="7964" width="10.25" style="230" customWidth="1"/>
    <col min="7965" max="7966" width="9.375" style="230" customWidth="1"/>
    <col min="7967" max="7967" width="0" style="230" hidden="1" customWidth="1"/>
    <col min="7968" max="7968" width="15.75" style="230" bestFit="1" customWidth="1"/>
    <col min="7969" max="7969" width="9.375" style="230" customWidth="1"/>
    <col min="7970" max="7970" width="10.25" style="230" customWidth="1"/>
    <col min="7971" max="7971" width="5.125" style="230" customWidth="1"/>
    <col min="7972" max="8192" width="9" style="230"/>
    <col min="8193" max="8193" width="1" style="230" customWidth="1"/>
    <col min="8194" max="8194" width="5.625" style="230" customWidth="1"/>
    <col min="8195" max="8195" width="6.875" style="230" customWidth="1"/>
    <col min="8196" max="8196" width="13.75" style="230" customWidth="1"/>
    <col min="8197" max="8197" width="2.5" style="230" customWidth="1"/>
    <col min="8198" max="8198" width="8.75" style="230" customWidth="1"/>
    <col min="8199" max="8199" width="5.75" style="230" customWidth="1"/>
    <col min="8200" max="8200" width="12.5" style="230" customWidth="1"/>
    <col min="8201" max="8201" width="5.75" style="230" customWidth="1"/>
    <col min="8202" max="8202" width="12.5" style="230" customWidth="1"/>
    <col min="8203" max="8203" width="2.5" style="230" customWidth="1"/>
    <col min="8204" max="8204" width="10.375" style="230" bestFit="1" customWidth="1"/>
    <col min="8205" max="8205" width="5" style="230" bestFit="1" customWidth="1"/>
    <col min="8206" max="8206" width="11.875" style="230" bestFit="1" customWidth="1"/>
    <col min="8207" max="8207" width="6" style="230" bestFit="1" customWidth="1"/>
    <col min="8208" max="8208" width="11.875" style="230" bestFit="1" customWidth="1"/>
    <col min="8209" max="8212" width="8.75" style="230" customWidth="1"/>
    <col min="8213" max="8213" width="5.75" style="230" customWidth="1"/>
    <col min="8214" max="8214" width="10.5" style="230" customWidth="1"/>
    <col min="8215" max="8215" width="3.375" style="230" customWidth="1"/>
    <col min="8216" max="8216" width="10.375" style="230" customWidth="1"/>
    <col min="8217" max="8217" width="16.5" style="230" customWidth="1"/>
    <col min="8218" max="8218" width="9.375" style="230" customWidth="1"/>
    <col min="8219" max="8220" width="10.25" style="230" customWidth="1"/>
    <col min="8221" max="8222" width="9.375" style="230" customWidth="1"/>
    <col min="8223" max="8223" width="0" style="230" hidden="1" customWidth="1"/>
    <col min="8224" max="8224" width="15.75" style="230" bestFit="1" customWidth="1"/>
    <col min="8225" max="8225" width="9.375" style="230" customWidth="1"/>
    <col min="8226" max="8226" width="10.25" style="230" customWidth="1"/>
    <col min="8227" max="8227" width="5.125" style="230" customWidth="1"/>
    <col min="8228" max="8448" width="9" style="230"/>
    <col min="8449" max="8449" width="1" style="230" customWidth="1"/>
    <col min="8450" max="8450" width="5.625" style="230" customWidth="1"/>
    <col min="8451" max="8451" width="6.875" style="230" customWidth="1"/>
    <col min="8452" max="8452" width="13.75" style="230" customWidth="1"/>
    <col min="8453" max="8453" width="2.5" style="230" customWidth="1"/>
    <col min="8454" max="8454" width="8.75" style="230" customWidth="1"/>
    <col min="8455" max="8455" width="5.75" style="230" customWidth="1"/>
    <col min="8456" max="8456" width="12.5" style="230" customWidth="1"/>
    <col min="8457" max="8457" width="5.75" style="230" customWidth="1"/>
    <col min="8458" max="8458" width="12.5" style="230" customWidth="1"/>
    <col min="8459" max="8459" width="2.5" style="230" customWidth="1"/>
    <col min="8460" max="8460" width="10.375" style="230" bestFit="1" customWidth="1"/>
    <col min="8461" max="8461" width="5" style="230" bestFit="1" customWidth="1"/>
    <col min="8462" max="8462" width="11.875" style="230" bestFit="1" customWidth="1"/>
    <col min="8463" max="8463" width="6" style="230" bestFit="1" customWidth="1"/>
    <col min="8464" max="8464" width="11.875" style="230" bestFit="1" customWidth="1"/>
    <col min="8465" max="8468" width="8.75" style="230" customWidth="1"/>
    <col min="8469" max="8469" width="5.75" style="230" customWidth="1"/>
    <col min="8470" max="8470" width="10.5" style="230" customWidth="1"/>
    <col min="8471" max="8471" width="3.375" style="230" customWidth="1"/>
    <col min="8472" max="8472" width="10.375" style="230" customWidth="1"/>
    <col min="8473" max="8473" width="16.5" style="230" customWidth="1"/>
    <col min="8474" max="8474" width="9.375" style="230" customWidth="1"/>
    <col min="8475" max="8476" width="10.25" style="230" customWidth="1"/>
    <col min="8477" max="8478" width="9.375" style="230" customWidth="1"/>
    <col min="8479" max="8479" width="0" style="230" hidden="1" customWidth="1"/>
    <col min="8480" max="8480" width="15.75" style="230" bestFit="1" customWidth="1"/>
    <col min="8481" max="8481" width="9.375" style="230" customWidth="1"/>
    <col min="8482" max="8482" width="10.25" style="230" customWidth="1"/>
    <col min="8483" max="8483" width="5.125" style="230" customWidth="1"/>
    <col min="8484" max="8704" width="9" style="230"/>
    <col min="8705" max="8705" width="1" style="230" customWidth="1"/>
    <col min="8706" max="8706" width="5.625" style="230" customWidth="1"/>
    <col min="8707" max="8707" width="6.875" style="230" customWidth="1"/>
    <col min="8708" max="8708" width="13.75" style="230" customWidth="1"/>
    <col min="8709" max="8709" width="2.5" style="230" customWidth="1"/>
    <col min="8710" max="8710" width="8.75" style="230" customWidth="1"/>
    <col min="8711" max="8711" width="5.75" style="230" customWidth="1"/>
    <col min="8712" max="8712" width="12.5" style="230" customWidth="1"/>
    <col min="8713" max="8713" width="5.75" style="230" customWidth="1"/>
    <col min="8714" max="8714" width="12.5" style="230" customWidth="1"/>
    <col min="8715" max="8715" width="2.5" style="230" customWidth="1"/>
    <col min="8716" max="8716" width="10.375" style="230" bestFit="1" customWidth="1"/>
    <col min="8717" max="8717" width="5" style="230" bestFit="1" customWidth="1"/>
    <col min="8718" max="8718" width="11.875" style="230" bestFit="1" customWidth="1"/>
    <col min="8719" max="8719" width="6" style="230" bestFit="1" customWidth="1"/>
    <col min="8720" max="8720" width="11.875" style="230" bestFit="1" customWidth="1"/>
    <col min="8721" max="8724" width="8.75" style="230" customWidth="1"/>
    <col min="8725" max="8725" width="5.75" style="230" customWidth="1"/>
    <col min="8726" max="8726" width="10.5" style="230" customWidth="1"/>
    <col min="8727" max="8727" width="3.375" style="230" customWidth="1"/>
    <col min="8728" max="8728" width="10.375" style="230" customWidth="1"/>
    <col min="8729" max="8729" width="16.5" style="230" customWidth="1"/>
    <col min="8730" max="8730" width="9.375" style="230" customWidth="1"/>
    <col min="8731" max="8732" width="10.25" style="230" customWidth="1"/>
    <col min="8733" max="8734" width="9.375" style="230" customWidth="1"/>
    <col min="8735" max="8735" width="0" style="230" hidden="1" customWidth="1"/>
    <col min="8736" max="8736" width="15.75" style="230" bestFit="1" customWidth="1"/>
    <col min="8737" max="8737" width="9.375" style="230" customWidth="1"/>
    <col min="8738" max="8738" width="10.25" style="230" customWidth="1"/>
    <col min="8739" max="8739" width="5.125" style="230" customWidth="1"/>
    <col min="8740" max="8960" width="9" style="230"/>
    <col min="8961" max="8961" width="1" style="230" customWidth="1"/>
    <col min="8962" max="8962" width="5.625" style="230" customWidth="1"/>
    <col min="8963" max="8963" width="6.875" style="230" customWidth="1"/>
    <col min="8964" max="8964" width="13.75" style="230" customWidth="1"/>
    <col min="8965" max="8965" width="2.5" style="230" customWidth="1"/>
    <col min="8966" max="8966" width="8.75" style="230" customWidth="1"/>
    <col min="8967" max="8967" width="5.75" style="230" customWidth="1"/>
    <col min="8968" max="8968" width="12.5" style="230" customWidth="1"/>
    <col min="8969" max="8969" width="5.75" style="230" customWidth="1"/>
    <col min="8970" max="8970" width="12.5" style="230" customWidth="1"/>
    <col min="8971" max="8971" width="2.5" style="230" customWidth="1"/>
    <col min="8972" max="8972" width="10.375" style="230" bestFit="1" customWidth="1"/>
    <col min="8973" max="8973" width="5" style="230" bestFit="1" customWidth="1"/>
    <col min="8974" max="8974" width="11.875" style="230" bestFit="1" customWidth="1"/>
    <col min="8975" max="8975" width="6" style="230" bestFit="1" customWidth="1"/>
    <col min="8976" max="8976" width="11.875" style="230" bestFit="1" customWidth="1"/>
    <col min="8977" max="8980" width="8.75" style="230" customWidth="1"/>
    <col min="8981" max="8981" width="5.75" style="230" customWidth="1"/>
    <col min="8982" max="8982" width="10.5" style="230" customWidth="1"/>
    <col min="8983" max="8983" width="3.375" style="230" customWidth="1"/>
    <col min="8984" max="8984" width="10.375" style="230" customWidth="1"/>
    <col min="8985" max="8985" width="16.5" style="230" customWidth="1"/>
    <col min="8986" max="8986" width="9.375" style="230" customWidth="1"/>
    <col min="8987" max="8988" width="10.25" style="230" customWidth="1"/>
    <col min="8989" max="8990" width="9.375" style="230" customWidth="1"/>
    <col min="8991" max="8991" width="0" style="230" hidden="1" customWidth="1"/>
    <col min="8992" max="8992" width="15.75" style="230" bestFit="1" customWidth="1"/>
    <col min="8993" max="8993" width="9.375" style="230" customWidth="1"/>
    <col min="8994" max="8994" width="10.25" style="230" customWidth="1"/>
    <col min="8995" max="8995" width="5.125" style="230" customWidth="1"/>
    <col min="8996" max="9216" width="9" style="230"/>
    <col min="9217" max="9217" width="1" style="230" customWidth="1"/>
    <col min="9218" max="9218" width="5.625" style="230" customWidth="1"/>
    <col min="9219" max="9219" width="6.875" style="230" customWidth="1"/>
    <col min="9220" max="9220" width="13.75" style="230" customWidth="1"/>
    <col min="9221" max="9221" width="2.5" style="230" customWidth="1"/>
    <col min="9222" max="9222" width="8.75" style="230" customWidth="1"/>
    <col min="9223" max="9223" width="5.75" style="230" customWidth="1"/>
    <col min="9224" max="9224" width="12.5" style="230" customWidth="1"/>
    <col min="9225" max="9225" width="5.75" style="230" customWidth="1"/>
    <col min="9226" max="9226" width="12.5" style="230" customWidth="1"/>
    <col min="9227" max="9227" width="2.5" style="230" customWidth="1"/>
    <col min="9228" max="9228" width="10.375" style="230" bestFit="1" customWidth="1"/>
    <col min="9229" max="9229" width="5" style="230" bestFit="1" customWidth="1"/>
    <col min="9230" max="9230" width="11.875" style="230" bestFit="1" customWidth="1"/>
    <col min="9231" max="9231" width="6" style="230" bestFit="1" customWidth="1"/>
    <col min="9232" max="9232" width="11.875" style="230" bestFit="1" customWidth="1"/>
    <col min="9233" max="9236" width="8.75" style="230" customWidth="1"/>
    <col min="9237" max="9237" width="5.75" style="230" customWidth="1"/>
    <col min="9238" max="9238" width="10.5" style="230" customWidth="1"/>
    <col min="9239" max="9239" width="3.375" style="230" customWidth="1"/>
    <col min="9240" max="9240" width="10.375" style="230" customWidth="1"/>
    <col min="9241" max="9241" width="16.5" style="230" customWidth="1"/>
    <col min="9242" max="9242" width="9.375" style="230" customWidth="1"/>
    <col min="9243" max="9244" width="10.25" style="230" customWidth="1"/>
    <col min="9245" max="9246" width="9.375" style="230" customWidth="1"/>
    <col min="9247" max="9247" width="0" style="230" hidden="1" customWidth="1"/>
    <col min="9248" max="9248" width="15.75" style="230" bestFit="1" customWidth="1"/>
    <col min="9249" max="9249" width="9.375" style="230" customWidth="1"/>
    <col min="9250" max="9250" width="10.25" style="230" customWidth="1"/>
    <col min="9251" max="9251" width="5.125" style="230" customWidth="1"/>
    <col min="9252" max="9472" width="9" style="230"/>
    <col min="9473" max="9473" width="1" style="230" customWidth="1"/>
    <col min="9474" max="9474" width="5.625" style="230" customWidth="1"/>
    <col min="9475" max="9475" width="6.875" style="230" customWidth="1"/>
    <col min="9476" max="9476" width="13.75" style="230" customWidth="1"/>
    <col min="9477" max="9477" width="2.5" style="230" customWidth="1"/>
    <col min="9478" max="9478" width="8.75" style="230" customWidth="1"/>
    <col min="9479" max="9479" width="5.75" style="230" customWidth="1"/>
    <col min="9480" max="9480" width="12.5" style="230" customWidth="1"/>
    <col min="9481" max="9481" width="5.75" style="230" customWidth="1"/>
    <col min="9482" max="9482" width="12.5" style="230" customWidth="1"/>
    <col min="9483" max="9483" width="2.5" style="230" customWidth="1"/>
    <col min="9484" max="9484" width="10.375" style="230" bestFit="1" customWidth="1"/>
    <col min="9485" max="9485" width="5" style="230" bestFit="1" customWidth="1"/>
    <col min="9486" max="9486" width="11.875" style="230" bestFit="1" customWidth="1"/>
    <col min="9487" max="9487" width="6" style="230" bestFit="1" customWidth="1"/>
    <col min="9488" max="9488" width="11.875" style="230" bestFit="1" customWidth="1"/>
    <col min="9489" max="9492" width="8.75" style="230" customWidth="1"/>
    <col min="9493" max="9493" width="5.75" style="230" customWidth="1"/>
    <col min="9494" max="9494" width="10.5" style="230" customWidth="1"/>
    <col min="9495" max="9495" width="3.375" style="230" customWidth="1"/>
    <col min="9496" max="9496" width="10.375" style="230" customWidth="1"/>
    <col min="9497" max="9497" width="16.5" style="230" customWidth="1"/>
    <col min="9498" max="9498" width="9.375" style="230" customWidth="1"/>
    <col min="9499" max="9500" width="10.25" style="230" customWidth="1"/>
    <col min="9501" max="9502" width="9.375" style="230" customWidth="1"/>
    <col min="9503" max="9503" width="0" style="230" hidden="1" customWidth="1"/>
    <col min="9504" max="9504" width="15.75" style="230" bestFit="1" customWidth="1"/>
    <col min="9505" max="9505" width="9.375" style="230" customWidth="1"/>
    <col min="9506" max="9506" width="10.25" style="230" customWidth="1"/>
    <col min="9507" max="9507" width="5.125" style="230" customWidth="1"/>
    <col min="9508" max="9728" width="9" style="230"/>
    <col min="9729" max="9729" width="1" style="230" customWidth="1"/>
    <col min="9730" max="9730" width="5.625" style="230" customWidth="1"/>
    <col min="9731" max="9731" width="6.875" style="230" customWidth="1"/>
    <col min="9732" max="9732" width="13.75" style="230" customWidth="1"/>
    <col min="9733" max="9733" width="2.5" style="230" customWidth="1"/>
    <col min="9734" max="9734" width="8.75" style="230" customWidth="1"/>
    <col min="9735" max="9735" width="5.75" style="230" customWidth="1"/>
    <col min="9736" max="9736" width="12.5" style="230" customWidth="1"/>
    <col min="9737" max="9737" width="5.75" style="230" customWidth="1"/>
    <col min="9738" max="9738" width="12.5" style="230" customWidth="1"/>
    <col min="9739" max="9739" width="2.5" style="230" customWidth="1"/>
    <col min="9740" max="9740" width="10.375" style="230" bestFit="1" customWidth="1"/>
    <col min="9741" max="9741" width="5" style="230" bestFit="1" customWidth="1"/>
    <col min="9742" max="9742" width="11.875" style="230" bestFit="1" customWidth="1"/>
    <col min="9743" max="9743" width="6" style="230" bestFit="1" customWidth="1"/>
    <col min="9744" max="9744" width="11.875" style="230" bestFit="1" customWidth="1"/>
    <col min="9745" max="9748" width="8.75" style="230" customWidth="1"/>
    <col min="9749" max="9749" width="5.75" style="230" customWidth="1"/>
    <col min="9750" max="9750" width="10.5" style="230" customWidth="1"/>
    <col min="9751" max="9751" width="3.375" style="230" customWidth="1"/>
    <col min="9752" max="9752" width="10.375" style="230" customWidth="1"/>
    <col min="9753" max="9753" width="16.5" style="230" customWidth="1"/>
    <col min="9754" max="9754" width="9.375" style="230" customWidth="1"/>
    <col min="9755" max="9756" width="10.25" style="230" customWidth="1"/>
    <col min="9757" max="9758" width="9.375" style="230" customWidth="1"/>
    <col min="9759" max="9759" width="0" style="230" hidden="1" customWidth="1"/>
    <col min="9760" max="9760" width="15.75" style="230" bestFit="1" customWidth="1"/>
    <col min="9761" max="9761" width="9.375" style="230" customWidth="1"/>
    <col min="9762" max="9762" width="10.25" style="230" customWidth="1"/>
    <col min="9763" max="9763" width="5.125" style="230" customWidth="1"/>
    <col min="9764" max="9984" width="9" style="230"/>
    <col min="9985" max="9985" width="1" style="230" customWidth="1"/>
    <col min="9986" max="9986" width="5.625" style="230" customWidth="1"/>
    <col min="9987" max="9987" width="6.875" style="230" customWidth="1"/>
    <col min="9988" max="9988" width="13.75" style="230" customWidth="1"/>
    <col min="9989" max="9989" width="2.5" style="230" customWidth="1"/>
    <col min="9990" max="9990" width="8.75" style="230" customWidth="1"/>
    <col min="9991" max="9991" width="5.75" style="230" customWidth="1"/>
    <col min="9992" max="9992" width="12.5" style="230" customWidth="1"/>
    <col min="9993" max="9993" width="5.75" style="230" customWidth="1"/>
    <col min="9994" max="9994" width="12.5" style="230" customWidth="1"/>
    <col min="9995" max="9995" width="2.5" style="230" customWidth="1"/>
    <col min="9996" max="9996" width="10.375" style="230" bestFit="1" customWidth="1"/>
    <col min="9997" max="9997" width="5" style="230" bestFit="1" customWidth="1"/>
    <col min="9998" max="9998" width="11.875" style="230" bestFit="1" customWidth="1"/>
    <col min="9999" max="9999" width="6" style="230" bestFit="1" customWidth="1"/>
    <col min="10000" max="10000" width="11.875" style="230" bestFit="1" customWidth="1"/>
    <col min="10001" max="10004" width="8.75" style="230" customWidth="1"/>
    <col min="10005" max="10005" width="5.75" style="230" customWidth="1"/>
    <col min="10006" max="10006" width="10.5" style="230" customWidth="1"/>
    <col min="10007" max="10007" width="3.375" style="230" customWidth="1"/>
    <col min="10008" max="10008" width="10.375" style="230" customWidth="1"/>
    <col min="10009" max="10009" width="16.5" style="230" customWidth="1"/>
    <col min="10010" max="10010" width="9.375" style="230" customWidth="1"/>
    <col min="10011" max="10012" width="10.25" style="230" customWidth="1"/>
    <col min="10013" max="10014" width="9.375" style="230" customWidth="1"/>
    <col min="10015" max="10015" width="0" style="230" hidden="1" customWidth="1"/>
    <col min="10016" max="10016" width="15.75" style="230" bestFit="1" customWidth="1"/>
    <col min="10017" max="10017" width="9.375" style="230" customWidth="1"/>
    <col min="10018" max="10018" width="10.25" style="230" customWidth="1"/>
    <col min="10019" max="10019" width="5.125" style="230" customWidth="1"/>
    <col min="10020" max="10240" width="9" style="230"/>
    <col min="10241" max="10241" width="1" style="230" customWidth="1"/>
    <col min="10242" max="10242" width="5.625" style="230" customWidth="1"/>
    <col min="10243" max="10243" width="6.875" style="230" customWidth="1"/>
    <col min="10244" max="10244" width="13.75" style="230" customWidth="1"/>
    <col min="10245" max="10245" width="2.5" style="230" customWidth="1"/>
    <col min="10246" max="10246" width="8.75" style="230" customWidth="1"/>
    <col min="10247" max="10247" width="5.75" style="230" customWidth="1"/>
    <col min="10248" max="10248" width="12.5" style="230" customWidth="1"/>
    <col min="10249" max="10249" width="5.75" style="230" customWidth="1"/>
    <col min="10250" max="10250" width="12.5" style="230" customWidth="1"/>
    <col min="10251" max="10251" width="2.5" style="230" customWidth="1"/>
    <col min="10252" max="10252" width="10.375" style="230" bestFit="1" customWidth="1"/>
    <col min="10253" max="10253" width="5" style="230" bestFit="1" customWidth="1"/>
    <col min="10254" max="10254" width="11.875" style="230" bestFit="1" customWidth="1"/>
    <col min="10255" max="10255" width="6" style="230" bestFit="1" customWidth="1"/>
    <col min="10256" max="10256" width="11.875" style="230" bestFit="1" customWidth="1"/>
    <col min="10257" max="10260" width="8.75" style="230" customWidth="1"/>
    <col min="10261" max="10261" width="5.75" style="230" customWidth="1"/>
    <col min="10262" max="10262" width="10.5" style="230" customWidth="1"/>
    <col min="10263" max="10263" width="3.375" style="230" customWidth="1"/>
    <col min="10264" max="10264" width="10.375" style="230" customWidth="1"/>
    <col min="10265" max="10265" width="16.5" style="230" customWidth="1"/>
    <col min="10266" max="10266" width="9.375" style="230" customWidth="1"/>
    <col min="10267" max="10268" width="10.25" style="230" customWidth="1"/>
    <col min="10269" max="10270" width="9.375" style="230" customWidth="1"/>
    <col min="10271" max="10271" width="0" style="230" hidden="1" customWidth="1"/>
    <col min="10272" max="10272" width="15.75" style="230" bestFit="1" customWidth="1"/>
    <col min="10273" max="10273" width="9.375" style="230" customWidth="1"/>
    <col min="10274" max="10274" width="10.25" style="230" customWidth="1"/>
    <col min="10275" max="10275" width="5.125" style="230" customWidth="1"/>
    <col min="10276" max="10496" width="9" style="230"/>
    <col min="10497" max="10497" width="1" style="230" customWidth="1"/>
    <col min="10498" max="10498" width="5.625" style="230" customWidth="1"/>
    <col min="10499" max="10499" width="6.875" style="230" customWidth="1"/>
    <col min="10500" max="10500" width="13.75" style="230" customWidth="1"/>
    <col min="10501" max="10501" width="2.5" style="230" customWidth="1"/>
    <col min="10502" max="10502" width="8.75" style="230" customWidth="1"/>
    <col min="10503" max="10503" width="5.75" style="230" customWidth="1"/>
    <col min="10504" max="10504" width="12.5" style="230" customWidth="1"/>
    <col min="10505" max="10505" width="5.75" style="230" customWidth="1"/>
    <col min="10506" max="10506" width="12.5" style="230" customWidth="1"/>
    <col min="10507" max="10507" width="2.5" style="230" customWidth="1"/>
    <col min="10508" max="10508" width="10.375" style="230" bestFit="1" customWidth="1"/>
    <col min="10509" max="10509" width="5" style="230" bestFit="1" customWidth="1"/>
    <col min="10510" max="10510" width="11.875" style="230" bestFit="1" customWidth="1"/>
    <col min="10511" max="10511" width="6" style="230" bestFit="1" customWidth="1"/>
    <col min="10512" max="10512" width="11.875" style="230" bestFit="1" customWidth="1"/>
    <col min="10513" max="10516" width="8.75" style="230" customWidth="1"/>
    <col min="10517" max="10517" width="5.75" style="230" customWidth="1"/>
    <col min="10518" max="10518" width="10.5" style="230" customWidth="1"/>
    <col min="10519" max="10519" width="3.375" style="230" customWidth="1"/>
    <col min="10520" max="10520" width="10.375" style="230" customWidth="1"/>
    <col min="10521" max="10521" width="16.5" style="230" customWidth="1"/>
    <col min="10522" max="10522" width="9.375" style="230" customWidth="1"/>
    <col min="10523" max="10524" width="10.25" style="230" customWidth="1"/>
    <col min="10525" max="10526" width="9.375" style="230" customWidth="1"/>
    <col min="10527" max="10527" width="0" style="230" hidden="1" customWidth="1"/>
    <col min="10528" max="10528" width="15.75" style="230" bestFit="1" customWidth="1"/>
    <col min="10529" max="10529" width="9.375" style="230" customWidth="1"/>
    <col min="10530" max="10530" width="10.25" style="230" customWidth="1"/>
    <col min="10531" max="10531" width="5.125" style="230" customWidth="1"/>
    <col min="10532" max="10752" width="9" style="230"/>
    <col min="10753" max="10753" width="1" style="230" customWidth="1"/>
    <col min="10754" max="10754" width="5.625" style="230" customWidth="1"/>
    <col min="10755" max="10755" width="6.875" style="230" customWidth="1"/>
    <col min="10756" max="10756" width="13.75" style="230" customWidth="1"/>
    <col min="10757" max="10757" width="2.5" style="230" customWidth="1"/>
    <col min="10758" max="10758" width="8.75" style="230" customWidth="1"/>
    <col min="10759" max="10759" width="5.75" style="230" customWidth="1"/>
    <col min="10760" max="10760" width="12.5" style="230" customWidth="1"/>
    <col min="10761" max="10761" width="5.75" style="230" customWidth="1"/>
    <col min="10762" max="10762" width="12.5" style="230" customWidth="1"/>
    <col min="10763" max="10763" width="2.5" style="230" customWidth="1"/>
    <col min="10764" max="10764" width="10.375" style="230" bestFit="1" customWidth="1"/>
    <col min="10765" max="10765" width="5" style="230" bestFit="1" customWidth="1"/>
    <col min="10766" max="10766" width="11.875" style="230" bestFit="1" customWidth="1"/>
    <col min="10767" max="10767" width="6" style="230" bestFit="1" customWidth="1"/>
    <col min="10768" max="10768" width="11.875" style="230" bestFit="1" customWidth="1"/>
    <col min="10769" max="10772" width="8.75" style="230" customWidth="1"/>
    <col min="10773" max="10773" width="5.75" style="230" customWidth="1"/>
    <col min="10774" max="10774" width="10.5" style="230" customWidth="1"/>
    <col min="10775" max="10775" width="3.375" style="230" customWidth="1"/>
    <col min="10776" max="10776" width="10.375" style="230" customWidth="1"/>
    <col min="10777" max="10777" width="16.5" style="230" customWidth="1"/>
    <col min="10778" max="10778" width="9.375" style="230" customWidth="1"/>
    <col min="10779" max="10780" width="10.25" style="230" customWidth="1"/>
    <col min="10781" max="10782" width="9.375" style="230" customWidth="1"/>
    <col min="10783" max="10783" width="0" style="230" hidden="1" customWidth="1"/>
    <col min="10784" max="10784" width="15.75" style="230" bestFit="1" customWidth="1"/>
    <col min="10785" max="10785" width="9.375" style="230" customWidth="1"/>
    <col min="10786" max="10786" width="10.25" style="230" customWidth="1"/>
    <col min="10787" max="10787" width="5.125" style="230" customWidth="1"/>
    <col min="10788" max="11008" width="9" style="230"/>
    <col min="11009" max="11009" width="1" style="230" customWidth="1"/>
    <col min="11010" max="11010" width="5.625" style="230" customWidth="1"/>
    <col min="11011" max="11011" width="6.875" style="230" customWidth="1"/>
    <col min="11012" max="11012" width="13.75" style="230" customWidth="1"/>
    <col min="11013" max="11013" width="2.5" style="230" customWidth="1"/>
    <col min="11014" max="11014" width="8.75" style="230" customWidth="1"/>
    <col min="11015" max="11015" width="5.75" style="230" customWidth="1"/>
    <col min="11016" max="11016" width="12.5" style="230" customWidth="1"/>
    <col min="11017" max="11017" width="5.75" style="230" customWidth="1"/>
    <col min="11018" max="11018" width="12.5" style="230" customWidth="1"/>
    <col min="11019" max="11019" width="2.5" style="230" customWidth="1"/>
    <col min="11020" max="11020" width="10.375" style="230" bestFit="1" customWidth="1"/>
    <col min="11021" max="11021" width="5" style="230" bestFit="1" customWidth="1"/>
    <col min="11022" max="11022" width="11.875" style="230" bestFit="1" customWidth="1"/>
    <col min="11023" max="11023" width="6" style="230" bestFit="1" customWidth="1"/>
    <col min="11024" max="11024" width="11.875" style="230" bestFit="1" customWidth="1"/>
    <col min="11025" max="11028" width="8.75" style="230" customWidth="1"/>
    <col min="11029" max="11029" width="5.75" style="230" customWidth="1"/>
    <col min="11030" max="11030" width="10.5" style="230" customWidth="1"/>
    <col min="11031" max="11031" width="3.375" style="230" customWidth="1"/>
    <col min="11032" max="11032" width="10.375" style="230" customWidth="1"/>
    <col min="11033" max="11033" width="16.5" style="230" customWidth="1"/>
    <col min="11034" max="11034" width="9.375" style="230" customWidth="1"/>
    <col min="11035" max="11036" width="10.25" style="230" customWidth="1"/>
    <col min="11037" max="11038" width="9.375" style="230" customWidth="1"/>
    <col min="11039" max="11039" width="0" style="230" hidden="1" customWidth="1"/>
    <col min="11040" max="11040" width="15.75" style="230" bestFit="1" customWidth="1"/>
    <col min="11041" max="11041" width="9.375" style="230" customWidth="1"/>
    <col min="11042" max="11042" width="10.25" style="230" customWidth="1"/>
    <col min="11043" max="11043" width="5.125" style="230" customWidth="1"/>
    <col min="11044" max="11264" width="9" style="230"/>
    <col min="11265" max="11265" width="1" style="230" customWidth="1"/>
    <col min="11266" max="11266" width="5.625" style="230" customWidth="1"/>
    <col min="11267" max="11267" width="6.875" style="230" customWidth="1"/>
    <col min="11268" max="11268" width="13.75" style="230" customWidth="1"/>
    <col min="11269" max="11269" width="2.5" style="230" customWidth="1"/>
    <col min="11270" max="11270" width="8.75" style="230" customWidth="1"/>
    <col min="11271" max="11271" width="5.75" style="230" customWidth="1"/>
    <col min="11272" max="11272" width="12.5" style="230" customWidth="1"/>
    <col min="11273" max="11273" width="5.75" style="230" customWidth="1"/>
    <col min="11274" max="11274" width="12.5" style="230" customWidth="1"/>
    <col min="11275" max="11275" width="2.5" style="230" customWidth="1"/>
    <col min="11276" max="11276" width="10.375" style="230" bestFit="1" customWidth="1"/>
    <col min="11277" max="11277" width="5" style="230" bestFit="1" customWidth="1"/>
    <col min="11278" max="11278" width="11.875" style="230" bestFit="1" customWidth="1"/>
    <col min="11279" max="11279" width="6" style="230" bestFit="1" customWidth="1"/>
    <col min="11280" max="11280" width="11.875" style="230" bestFit="1" customWidth="1"/>
    <col min="11281" max="11284" width="8.75" style="230" customWidth="1"/>
    <col min="11285" max="11285" width="5.75" style="230" customWidth="1"/>
    <col min="11286" max="11286" width="10.5" style="230" customWidth="1"/>
    <col min="11287" max="11287" width="3.375" style="230" customWidth="1"/>
    <col min="11288" max="11288" width="10.375" style="230" customWidth="1"/>
    <col min="11289" max="11289" width="16.5" style="230" customWidth="1"/>
    <col min="11290" max="11290" width="9.375" style="230" customWidth="1"/>
    <col min="11291" max="11292" width="10.25" style="230" customWidth="1"/>
    <col min="11293" max="11294" width="9.375" style="230" customWidth="1"/>
    <col min="11295" max="11295" width="0" style="230" hidden="1" customWidth="1"/>
    <col min="11296" max="11296" width="15.75" style="230" bestFit="1" customWidth="1"/>
    <col min="11297" max="11297" width="9.375" style="230" customWidth="1"/>
    <col min="11298" max="11298" width="10.25" style="230" customWidth="1"/>
    <col min="11299" max="11299" width="5.125" style="230" customWidth="1"/>
    <col min="11300" max="11520" width="9" style="230"/>
    <col min="11521" max="11521" width="1" style="230" customWidth="1"/>
    <col min="11522" max="11522" width="5.625" style="230" customWidth="1"/>
    <col min="11523" max="11523" width="6.875" style="230" customWidth="1"/>
    <col min="11524" max="11524" width="13.75" style="230" customWidth="1"/>
    <col min="11525" max="11525" width="2.5" style="230" customWidth="1"/>
    <col min="11526" max="11526" width="8.75" style="230" customWidth="1"/>
    <col min="11527" max="11527" width="5.75" style="230" customWidth="1"/>
    <col min="11528" max="11528" width="12.5" style="230" customWidth="1"/>
    <col min="11529" max="11529" width="5.75" style="230" customWidth="1"/>
    <col min="11530" max="11530" width="12.5" style="230" customWidth="1"/>
    <col min="11531" max="11531" width="2.5" style="230" customWidth="1"/>
    <col min="11532" max="11532" width="10.375" style="230" bestFit="1" customWidth="1"/>
    <col min="11533" max="11533" width="5" style="230" bestFit="1" customWidth="1"/>
    <col min="11534" max="11534" width="11.875" style="230" bestFit="1" customWidth="1"/>
    <col min="11535" max="11535" width="6" style="230" bestFit="1" customWidth="1"/>
    <col min="11536" max="11536" width="11.875" style="230" bestFit="1" customWidth="1"/>
    <col min="11537" max="11540" width="8.75" style="230" customWidth="1"/>
    <col min="11541" max="11541" width="5.75" style="230" customWidth="1"/>
    <col min="11542" max="11542" width="10.5" style="230" customWidth="1"/>
    <col min="11543" max="11543" width="3.375" style="230" customWidth="1"/>
    <col min="11544" max="11544" width="10.375" style="230" customWidth="1"/>
    <col min="11545" max="11545" width="16.5" style="230" customWidth="1"/>
    <col min="11546" max="11546" width="9.375" style="230" customWidth="1"/>
    <col min="11547" max="11548" width="10.25" style="230" customWidth="1"/>
    <col min="11549" max="11550" width="9.375" style="230" customWidth="1"/>
    <col min="11551" max="11551" width="0" style="230" hidden="1" customWidth="1"/>
    <col min="11552" max="11552" width="15.75" style="230" bestFit="1" customWidth="1"/>
    <col min="11553" max="11553" width="9.375" style="230" customWidth="1"/>
    <col min="11554" max="11554" width="10.25" style="230" customWidth="1"/>
    <col min="11555" max="11555" width="5.125" style="230" customWidth="1"/>
    <col min="11556" max="11776" width="9" style="230"/>
    <col min="11777" max="11777" width="1" style="230" customWidth="1"/>
    <col min="11778" max="11778" width="5.625" style="230" customWidth="1"/>
    <col min="11779" max="11779" width="6.875" style="230" customWidth="1"/>
    <col min="11780" max="11780" width="13.75" style="230" customWidth="1"/>
    <col min="11781" max="11781" width="2.5" style="230" customWidth="1"/>
    <col min="11782" max="11782" width="8.75" style="230" customWidth="1"/>
    <col min="11783" max="11783" width="5.75" style="230" customWidth="1"/>
    <col min="11784" max="11784" width="12.5" style="230" customWidth="1"/>
    <col min="11785" max="11785" width="5.75" style="230" customWidth="1"/>
    <col min="11786" max="11786" width="12.5" style="230" customWidth="1"/>
    <col min="11787" max="11787" width="2.5" style="230" customWidth="1"/>
    <col min="11788" max="11788" width="10.375" style="230" bestFit="1" customWidth="1"/>
    <col min="11789" max="11789" width="5" style="230" bestFit="1" customWidth="1"/>
    <col min="11790" max="11790" width="11.875" style="230" bestFit="1" customWidth="1"/>
    <col min="11791" max="11791" width="6" style="230" bestFit="1" customWidth="1"/>
    <col min="11792" max="11792" width="11.875" style="230" bestFit="1" customWidth="1"/>
    <col min="11793" max="11796" width="8.75" style="230" customWidth="1"/>
    <col min="11797" max="11797" width="5.75" style="230" customWidth="1"/>
    <col min="11798" max="11798" width="10.5" style="230" customWidth="1"/>
    <col min="11799" max="11799" width="3.375" style="230" customWidth="1"/>
    <col min="11800" max="11800" width="10.375" style="230" customWidth="1"/>
    <col min="11801" max="11801" width="16.5" style="230" customWidth="1"/>
    <col min="11802" max="11802" width="9.375" style="230" customWidth="1"/>
    <col min="11803" max="11804" width="10.25" style="230" customWidth="1"/>
    <col min="11805" max="11806" width="9.375" style="230" customWidth="1"/>
    <col min="11807" max="11807" width="0" style="230" hidden="1" customWidth="1"/>
    <col min="11808" max="11808" width="15.75" style="230" bestFit="1" customWidth="1"/>
    <col min="11809" max="11809" width="9.375" style="230" customWidth="1"/>
    <col min="11810" max="11810" width="10.25" style="230" customWidth="1"/>
    <col min="11811" max="11811" width="5.125" style="230" customWidth="1"/>
    <col min="11812" max="12032" width="9" style="230"/>
    <col min="12033" max="12033" width="1" style="230" customWidth="1"/>
    <col min="12034" max="12034" width="5.625" style="230" customWidth="1"/>
    <col min="12035" max="12035" width="6.875" style="230" customWidth="1"/>
    <col min="12036" max="12036" width="13.75" style="230" customWidth="1"/>
    <col min="12037" max="12037" width="2.5" style="230" customWidth="1"/>
    <col min="12038" max="12038" width="8.75" style="230" customWidth="1"/>
    <col min="12039" max="12039" width="5.75" style="230" customWidth="1"/>
    <col min="12040" max="12040" width="12.5" style="230" customWidth="1"/>
    <col min="12041" max="12041" width="5.75" style="230" customWidth="1"/>
    <col min="12042" max="12042" width="12.5" style="230" customWidth="1"/>
    <col min="12043" max="12043" width="2.5" style="230" customWidth="1"/>
    <col min="12044" max="12044" width="10.375" style="230" bestFit="1" customWidth="1"/>
    <col min="12045" max="12045" width="5" style="230" bestFit="1" customWidth="1"/>
    <col min="12046" max="12046" width="11.875" style="230" bestFit="1" customWidth="1"/>
    <col min="12047" max="12047" width="6" style="230" bestFit="1" customWidth="1"/>
    <col min="12048" max="12048" width="11.875" style="230" bestFit="1" customWidth="1"/>
    <col min="12049" max="12052" width="8.75" style="230" customWidth="1"/>
    <col min="12053" max="12053" width="5.75" style="230" customWidth="1"/>
    <col min="12054" max="12054" width="10.5" style="230" customWidth="1"/>
    <col min="12055" max="12055" width="3.375" style="230" customWidth="1"/>
    <col min="12056" max="12056" width="10.375" style="230" customWidth="1"/>
    <col min="12057" max="12057" width="16.5" style="230" customWidth="1"/>
    <col min="12058" max="12058" width="9.375" style="230" customWidth="1"/>
    <col min="12059" max="12060" width="10.25" style="230" customWidth="1"/>
    <col min="12061" max="12062" width="9.375" style="230" customWidth="1"/>
    <col min="12063" max="12063" width="0" style="230" hidden="1" customWidth="1"/>
    <col min="12064" max="12064" width="15.75" style="230" bestFit="1" customWidth="1"/>
    <col min="12065" max="12065" width="9.375" style="230" customWidth="1"/>
    <col min="12066" max="12066" width="10.25" style="230" customWidth="1"/>
    <col min="12067" max="12067" width="5.125" style="230" customWidth="1"/>
    <col min="12068" max="12288" width="9" style="230"/>
    <col min="12289" max="12289" width="1" style="230" customWidth="1"/>
    <col min="12290" max="12290" width="5.625" style="230" customWidth="1"/>
    <col min="12291" max="12291" width="6.875" style="230" customWidth="1"/>
    <col min="12292" max="12292" width="13.75" style="230" customWidth="1"/>
    <col min="12293" max="12293" width="2.5" style="230" customWidth="1"/>
    <col min="12294" max="12294" width="8.75" style="230" customWidth="1"/>
    <col min="12295" max="12295" width="5.75" style="230" customWidth="1"/>
    <col min="12296" max="12296" width="12.5" style="230" customWidth="1"/>
    <col min="12297" max="12297" width="5.75" style="230" customWidth="1"/>
    <col min="12298" max="12298" width="12.5" style="230" customWidth="1"/>
    <col min="12299" max="12299" width="2.5" style="230" customWidth="1"/>
    <col min="12300" max="12300" width="10.375" style="230" bestFit="1" customWidth="1"/>
    <col min="12301" max="12301" width="5" style="230" bestFit="1" customWidth="1"/>
    <col min="12302" max="12302" width="11.875" style="230" bestFit="1" customWidth="1"/>
    <col min="12303" max="12303" width="6" style="230" bestFit="1" customWidth="1"/>
    <col min="12304" max="12304" width="11.875" style="230" bestFit="1" customWidth="1"/>
    <col min="12305" max="12308" width="8.75" style="230" customWidth="1"/>
    <col min="12309" max="12309" width="5.75" style="230" customWidth="1"/>
    <col min="12310" max="12310" width="10.5" style="230" customWidth="1"/>
    <col min="12311" max="12311" width="3.375" style="230" customWidth="1"/>
    <col min="12312" max="12312" width="10.375" style="230" customWidth="1"/>
    <col min="12313" max="12313" width="16.5" style="230" customWidth="1"/>
    <col min="12314" max="12314" width="9.375" style="230" customWidth="1"/>
    <col min="12315" max="12316" width="10.25" style="230" customWidth="1"/>
    <col min="12317" max="12318" width="9.375" style="230" customWidth="1"/>
    <col min="12319" max="12319" width="0" style="230" hidden="1" customWidth="1"/>
    <col min="12320" max="12320" width="15.75" style="230" bestFit="1" customWidth="1"/>
    <col min="12321" max="12321" width="9.375" style="230" customWidth="1"/>
    <col min="12322" max="12322" width="10.25" style="230" customWidth="1"/>
    <col min="12323" max="12323" width="5.125" style="230" customWidth="1"/>
    <col min="12324" max="12544" width="9" style="230"/>
    <col min="12545" max="12545" width="1" style="230" customWidth="1"/>
    <col min="12546" max="12546" width="5.625" style="230" customWidth="1"/>
    <col min="12547" max="12547" width="6.875" style="230" customWidth="1"/>
    <col min="12548" max="12548" width="13.75" style="230" customWidth="1"/>
    <col min="12549" max="12549" width="2.5" style="230" customWidth="1"/>
    <col min="12550" max="12550" width="8.75" style="230" customWidth="1"/>
    <col min="12551" max="12551" width="5.75" style="230" customWidth="1"/>
    <col min="12552" max="12552" width="12.5" style="230" customWidth="1"/>
    <col min="12553" max="12553" width="5.75" style="230" customWidth="1"/>
    <col min="12554" max="12554" width="12.5" style="230" customWidth="1"/>
    <col min="12555" max="12555" width="2.5" style="230" customWidth="1"/>
    <col min="12556" max="12556" width="10.375" style="230" bestFit="1" customWidth="1"/>
    <col min="12557" max="12557" width="5" style="230" bestFit="1" customWidth="1"/>
    <col min="12558" max="12558" width="11.875" style="230" bestFit="1" customWidth="1"/>
    <col min="12559" max="12559" width="6" style="230" bestFit="1" customWidth="1"/>
    <col min="12560" max="12560" width="11.875" style="230" bestFit="1" customWidth="1"/>
    <col min="12561" max="12564" width="8.75" style="230" customWidth="1"/>
    <col min="12565" max="12565" width="5.75" style="230" customWidth="1"/>
    <col min="12566" max="12566" width="10.5" style="230" customWidth="1"/>
    <col min="12567" max="12567" width="3.375" style="230" customWidth="1"/>
    <col min="12568" max="12568" width="10.375" style="230" customWidth="1"/>
    <col min="12569" max="12569" width="16.5" style="230" customWidth="1"/>
    <col min="12570" max="12570" width="9.375" style="230" customWidth="1"/>
    <col min="12571" max="12572" width="10.25" style="230" customWidth="1"/>
    <col min="12573" max="12574" width="9.375" style="230" customWidth="1"/>
    <col min="12575" max="12575" width="0" style="230" hidden="1" customWidth="1"/>
    <col min="12576" max="12576" width="15.75" style="230" bestFit="1" customWidth="1"/>
    <col min="12577" max="12577" width="9.375" style="230" customWidth="1"/>
    <col min="12578" max="12578" width="10.25" style="230" customWidth="1"/>
    <col min="12579" max="12579" width="5.125" style="230" customWidth="1"/>
    <col min="12580" max="12800" width="9" style="230"/>
    <col min="12801" max="12801" width="1" style="230" customWidth="1"/>
    <col min="12802" max="12802" width="5.625" style="230" customWidth="1"/>
    <col min="12803" max="12803" width="6.875" style="230" customWidth="1"/>
    <col min="12804" max="12804" width="13.75" style="230" customWidth="1"/>
    <col min="12805" max="12805" width="2.5" style="230" customWidth="1"/>
    <col min="12806" max="12806" width="8.75" style="230" customWidth="1"/>
    <col min="12807" max="12807" width="5.75" style="230" customWidth="1"/>
    <col min="12808" max="12808" width="12.5" style="230" customWidth="1"/>
    <col min="12809" max="12809" width="5.75" style="230" customWidth="1"/>
    <col min="12810" max="12810" width="12.5" style="230" customWidth="1"/>
    <col min="12811" max="12811" width="2.5" style="230" customWidth="1"/>
    <col min="12812" max="12812" width="10.375" style="230" bestFit="1" customWidth="1"/>
    <col min="12813" max="12813" width="5" style="230" bestFit="1" customWidth="1"/>
    <col min="12814" max="12814" width="11.875" style="230" bestFit="1" customWidth="1"/>
    <col min="12815" max="12815" width="6" style="230" bestFit="1" customWidth="1"/>
    <col min="12816" max="12816" width="11.875" style="230" bestFit="1" customWidth="1"/>
    <col min="12817" max="12820" width="8.75" style="230" customWidth="1"/>
    <col min="12821" max="12821" width="5.75" style="230" customWidth="1"/>
    <col min="12822" max="12822" width="10.5" style="230" customWidth="1"/>
    <col min="12823" max="12823" width="3.375" style="230" customWidth="1"/>
    <col min="12824" max="12824" width="10.375" style="230" customWidth="1"/>
    <col min="12825" max="12825" width="16.5" style="230" customWidth="1"/>
    <col min="12826" max="12826" width="9.375" style="230" customWidth="1"/>
    <col min="12827" max="12828" width="10.25" style="230" customWidth="1"/>
    <col min="12829" max="12830" width="9.375" style="230" customWidth="1"/>
    <col min="12831" max="12831" width="0" style="230" hidden="1" customWidth="1"/>
    <col min="12832" max="12832" width="15.75" style="230" bestFit="1" customWidth="1"/>
    <col min="12833" max="12833" width="9.375" style="230" customWidth="1"/>
    <col min="12834" max="12834" width="10.25" style="230" customWidth="1"/>
    <col min="12835" max="12835" width="5.125" style="230" customWidth="1"/>
    <col min="12836" max="13056" width="9" style="230"/>
    <col min="13057" max="13057" width="1" style="230" customWidth="1"/>
    <col min="13058" max="13058" width="5.625" style="230" customWidth="1"/>
    <col min="13059" max="13059" width="6.875" style="230" customWidth="1"/>
    <col min="13060" max="13060" width="13.75" style="230" customWidth="1"/>
    <col min="13061" max="13061" width="2.5" style="230" customWidth="1"/>
    <col min="13062" max="13062" width="8.75" style="230" customWidth="1"/>
    <col min="13063" max="13063" width="5.75" style="230" customWidth="1"/>
    <col min="13064" max="13064" width="12.5" style="230" customWidth="1"/>
    <col min="13065" max="13065" width="5.75" style="230" customWidth="1"/>
    <col min="13066" max="13066" width="12.5" style="230" customWidth="1"/>
    <col min="13067" max="13067" width="2.5" style="230" customWidth="1"/>
    <col min="13068" max="13068" width="10.375" style="230" bestFit="1" customWidth="1"/>
    <col min="13069" max="13069" width="5" style="230" bestFit="1" customWidth="1"/>
    <col min="13070" max="13070" width="11.875" style="230" bestFit="1" customWidth="1"/>
    <col min="13071" max="13071" width="6" style="230" bestFit="1" customWidth="1"/>
    <col min="13072" max="13072" width="11.875" style="230" bestFit="1" customWidth="1"/>
    <col min="13073" max="13076" width="8.75" style="230" customWidth="1"/>
    <col min="13077" max="13077" width="5.75" style="230" customWidth="1"/>
    <col min="13078" max="13078" width="10.5" style="230" customWidth="1"/>
    <col min="13079" max="13079" width="3.375" style="230" customWidth="1"/>
    <col min="13080" max="13080" width="10.375" style="230" customWidth="1"/>
    <col min="13081" max="13081" width="16.5" style="230" customWidth="1"/>
    <col min="13082" max="13082" width="9.375" style="230" customWidth="1"/>
    <col min="13083" max="13084" width="10.25" style="230" customWidth="1"/>
    <col min="13085" max="13086" width="9.375" style="230" customWidth="1"/>
    <col min="13087" max="13087" width="0" style="230" hidden="1" customWidth="1"/>
    <col min="13088" max="13088" width="15.75" style="230" bestFit="1" customWidth="1"/>
    <col min="13089" max="13089" width="9.375" style="230" customWidth="1"/>
    <col min="13090" max="13090" width="10.25" style="230" customWidth="1"/>
    <col min="13091" max="13091" width="5.125" style="230" customWidth="1"/>
    <col min="13092" max="13312" width="9" style="230"/>
    <col min="13313" max="13313" width="1" style="230" customWidth="1"/>
    <col min="13314" max="13314" width="5.625" style="230" customWidth="1"/>
    <col min="13315" max="13315" width="6.875" style="230" customWidth="1"/>
    <col min="13316" max="13316" width="13.75" style="230" customWidth="1"/>
    <col min="13317" max="13317" width="2.5" style="230" customWidth="1"/>
    <col min="13318" max="13318" width="8.75" style="230" customWidth="1"/>
    <col min="13319" max="13319" width="5.75" style="230" customWidth="1"/>
    <col min="13320" max="13320" width="12.5" style="230" customWidth="1"/>
    <col min="13321" max="13321" width="5.75" style="230" customWidth="1"/>
    <col min="13322" max="13322" width="12.5" style="230" customWidth="1"/>
    <col min="13323" max="13323" width="2.5" style="230" customWidth="1"/>
    <col min="13324" max="13324" width="10.375" style="230" bestFit="1" customWidth="1"/>
    <col min="13325" max="13325" width="5" style="230" bestFit="1" customWidth="1"/>
    <col min="13326" max="13326" width="11.875" style="230" bestFit="1" customWidth="1"/>
    <col min="13327" max="13327" width="6" style="230" bestFit="1" customWidth="1"/>
    <col min="13328" max="13328" width="11.875" style="230" bestFit="1" customWidth="1"/>
    <col min="13329" max="13332" width="8.75" style="230" customWidth="1"/>
    <col min="13333" max="13333" width="5.75" style="230" customWidth="1"/>
    <col min="13334" max="13334" width="10.5" style="230" customWidth="1"/>
    <col min="13335" max="13335" width="3.375" style="230" customWidth="1"/>
    <col min="13336" max="13336" width="10.375" style="230" customWidth="1"/>
    <col min="13337" max="13337" width="16.5" style="230" customWidth="1"/>
    <col min="13338" max="13338" width="9.375" style="230" customWidth="1"/>
    <col min="13339" max="13340" width="10.25" style="230" customWidth="1"/>
    <col min="13341" max="13342" width="9.375" style="230" customWidth="1"/>
    <col min="13343" max="13343" width="0" style="230" hidden="1" customWidth="1"/>
    <col min="13344" max="13344" width="15.75" style="230" bestFit="1" customWidth="1"/>
    <col min="13345" max="13345" width="9.375" style="230" customWidth="1"/>
    <col min="13346" max="13346" width="10.25" style="230" customWidth="1"/>
    <col min="13347" max="13347" width="5.125" style="230" customWidth="1"/>
    <col min="13348" max="13568" width="9" style="230"/>
    <col min="13569" max="13569" width="1" style="230" customWidth="1"/>
    <col min="13570" max="13570" width="5.625" style="230" customWidth="1"/>
    <col min="13571" max="13571" width="6.875" style="230" customWidth="1"/>
    <col min="13572" max="13572" width="13.75" style="230" customWidth="1"/>
    <col min="13573" max="13573" width="2.5" style="230" customWidth="1"/>
    <col min="13574" max="13574" width="8.75" style="230" customWidth="1"/>
    <col min="13575" max="13575" width="5.75" style="230" customWidth="1"/>
    <col min="13576" max="13576" width="12.5" style="230" customWidth="1"/>
    <col min="13577" max="13577" width="5.75" style="230" customWidth="1"/>
    <col min="13578" max="13578" width="12.5" style="230" customWidth="1"/>
    <col min="13579" max="13579" width="2.5" style="230" customWidth="1"/>
    <col min="13580" max="13580" width="10.375" style="230" bestFit="1" customWidth="1"/>
    <col min="13581" max="13581" width="5" style="230" bestFit="1" customWidth="1"/>
    <col min="13582" max="13582" width="11.875" style="230" bestFit="1" customWidth="1"/>
    <col min="13583" max="13583" width="6" style="230" bestFit="1" customWidth="1"/>
    <col min="13584" max="13584" width="11.875" style="230" bestFit="1" customWidth="1"/>
    <col min="13585" max="13588" width="8.75" style="230" customWidth="1"/>
    <col min="13589" max="13589" width="5.75" style="230" customWidth="1"/>
    <col min="13590" max="13590" width="10.5" style="230" customWidth="1"/>
    <col min="13591" max="13591" width="3.375" style="230" customWidth="1"/>
    <col min="13592" max="13592" width="10.375" style="230" customWidth="1"/>
    <col min="13593" max="13593" width="16.5" style="230" customWidth="1"/>
    <col min="13594" max="13594" width="9.375" style="230" customWidth="1"/>
    <col min="13595" max="13596" width="10.25" style="230" customWidth="1"/>
    <col min="13597" max="13598" width="9.375" style="230" customWidth="1"/>
    <col min="13599" max="13599" width="0" style="230" hidden="1" customWidth="1"/>
    <col min="13600" max="13600" width="15.75" style="230" bestFit="1" customWidth="1"/>
    <col min="13601" max="13601" width="9.375" style="230" customWidth="1"/>
    <col min="13602" max="13602" width="10.25" style="230" customWidth="1"/>
    <col min="13603" max="13603" width="5.125" style="230" customWidth="1"/>
    <col min="13604" max="13824" width="9" style="230"/>
    <col min="13825" max="13825" width="1" style="230" customWidth="1"/>
    <col min="13826" max="13826" width="5.625" style="230" customWidth="1"/>
    <col min="13827" max="13827" width="6.875" style="230" customWidth="1"/>
    <col min="13828" max="13828" width="13.75" style="230" customWidth="1"/>
    <col min="13829" max="13829" width="2.5" style="230" customWidth="1"/>
    <col min="13830" max="13830" width="8.75" style="230" customWidth="1"/>
    <col min="13831" max="13831" width="5.75" style="230" customWidth="1"/>
    <col min="13832" max="13832" width="12.5" style="230" customWidth="1"/>
    <col min="13833" max="13833" width="5.75" style="230" customWidth="1"/>
    <col min="13834" max="13834" width="12.5" style="230" customWidth="1"/>
    <col min="13835" max="13835" width="2.5" style="230" customWidth="1"/>
    <col min="13836" max="13836" width="10.375" style="230" bestFit="1" customWidth="1"/>
    <col min="13837" max="13837" width="5" style="230" bestFit="1" customWidth="1"/>
    <col min="13838" max="13838" width="11.875" style="230" bestFit="1" customWidth="1"/>
    <col min="13839" max="13839" width="6" style="230" bestFit="1" customWidth="1"/>
    <col min="13840" max="13840" width="11.875" style="230" bestFit="1" customWidth="1"/>
    <col min="13841" max="13844" width="8.75" style="230" customWidth="1"/>
    <col min="13845" max="13845" width="5.75" style="230" customWidth="1"/>
    <col min="13846" max="13846" width="10.5" style="230" customWidth="1"/>
    <col min="13847" max="13847" width="3.375" style="230" customWidth="1"/>
    <col min="13848" max="13848" width="10.375" style="230" customWidth="1"/>
    <col min="13849" max="13849" width="16.5" style="230" customWidth="1"/>
    <col min="13850" max="13850" width="9.375" style="230" customWidth="1"/>
    <col min="13851" max="13852" width="10.25" style="230" customWidth="1"/>
    <col min="13853" max="13854" width="9.375" style="230" customWidth="1"/>
    <col min="13855" max="13855" width="0" style="230" hidden="1" customWidth="1"/>
    <col min="13856" max="13856" width="15.75" style="230" bestFit="1" customWidth="1"/>
    <col min="13857" max="13857" width="9.375" style="230" customWidth="1"/>
    <col min="13858" max="13858" width="10.25" style="230" customWidth="1"/>
    <col min="13859" max="13859" width="5.125" style="230" customWidth="1"/>
    <col min="13860" max="14080" width="9" style="230"/>
    <col min="14081" max="14081" width="1" style="230" customWidth="1"/>
    <col min="14082" max="14082" width="5.625" style="230" customWidth="1"/>
    <col min="14083" max="14083" width="6.875" style="230" customWidth="1"/>
    <col min="14084" max="14084" width="13.75" style="230" customWidth="1"/>
    <col min="14085" max="14085" width="2.5" style="230" customWidth="1"/>
    <col min="14086" max="14086" width="8.75" style="230" customWidth="1"/>
    <col min="14087" max="14087" width="5.75" style="230" customWidth="1"/>
    <col min="14088" max="14088" width="12.5" style="230" customWidth="1"/>
    <col min="14089" max="14089" width="5.75" style="230" customWidth="1"/>
    <col min="14090" max="14090" width="12.5" style="230" customWidth="1"/>
    <col min="14091" max="14091" width="2.5" style="230" customWidth="1"/>
    <col min="14092" max="14092" width="10.375" style="230" bestFit="1" customWidth="1"/>
    <col min="14093" max="14093" width="5" style="230" bestFit="1" customWidth="1"/>
    <col min="14094" max="14094" width="11.875" style="230" bestFit="1" customWidth="1"/>
    <col min="14095" max="14095" width="6" style="230" bestFit="1" customWidth="1"/>
    <col min="14096" max="14096" width="11.875" style="230" bestFit="1" customWidth="1"/>
    <col min="14097" max="14100" width="8.75" style="230" customWidth="1"/>
    <col min="14101" max="14101" width="5.75" style="230" customWidth="1"/>
    <col min="14102" max="14102" width="10.5" style="230" customWidth="1"/>
    <col min="14103" max="14103" width="3.375" style="230" customWidth="1"/>
    <col min="14104" max="14104" width="10.375" style="230" customWidth="1"/>
    <col min="14105" max="14105" width="16.5" style="230" customWidth="1"/>
    <col min="14106" max="14106" width="9.375" style="230" customWidth="1"/>
    <col min="14107" max="14108" width="10.25" style="230" customWidth="1"/>
    <col min="14109" max="14110" width="9.375" style="230" customWidth="1"/>
    <col min="14111" max="14111" width="0" style="230" hidden="1" customWidth="1"/>
    <col min="14112" max="14112" width="15.75" style="230" bestFit="1" customWidth="1"/>
    <col min="14113" max="14113" width="9.375" style="230" customWidth="1"/>
    <col min="14114" max="14114" width="10.25" style="230" customWidth="1"/>
    <col min="14115" max="14115" width="5.125" style="230" customWidth="1"/>
    <col min="14116" max="14336" width="9" style="230"/>
    <col min="14337" max="14337" width="1" style="230" customWidth="1"/>
    <col min="14338" max="14338" width="5.625" style="230" customWidth="1"/>
    <col min="14339" max="14339" width="6.875" style="230" customWidth="1"/>
    <col min="14340" max="14340" width="13.75" style="230" customWidth="1"/>
    <col min="14341" max="14341" width="2.5" style="230" customWidth="1"/>
    <col min="14342" max="14342" width="8.75" style="230" customWidth="1"/>
    <col min="14343" max="14343" width="5.75" style="230" customWidth="1"/>
    <col min="14344" max="14344" width="12.5" style="230" customWidth="1"/>
    <col min="14345" max="14345" width="5.75" style="230" customWidth="1"/>
    <col min="14346" max="14346" width="12.5" style="230" customWidth="1"/>
    <col min="14347" max="14347" width="2.5" style="230" customWidth="1"/>
    <col min="14348" max="14348" width="10.375" style="230" bestFit="1" customWidth="1"/>
    <col min="14349" max="14349" width="5" style="230" bestFit="1" customWidth="1"/>
    <col min="14350" max="14350" width="11.875" style="230" bestFit="1" customWidth="1"/>
    <col min="14351" max="14351" width="6" style="230" bestFit="1" customWidth="1"/>
    <col min="14352" max="14352" width="11.875" style="230" bestFit="1" customWidth="1"/>
    <col min="14353" max="14356" width="8.75" style="230" customWidth="1"/>
    <col min="14357" max="14357" width="5.75" style="230" customWidth="1"/>
    <col min="14358" max="14358" width="10.5" style="230" customWidth="1"/>
    <col min="14359" max="14359" width="3.375" style="230" customWidth="1"/>
    <col min="14360" max="14360" width="10.375" style="230" customWidth="1"/>
    <col min="14361" max="14361" width="16.5" style="230" customWidth="1"/>
    <col min="14362" max="14362" width="9.375" style="230" customWidth="1"/>
    <col min="14363" max="14364" width="10.25" style="230" customWidth="1"/>
    <col min="14365" max="14366" width="9.375" style="230" customWidth="1"/>
    <col min="14367" max="14367" width="0" style="230" hidden="1" customWidth="1"/>
    <col min="14368" max="14368" width="15.75" style="230" bestFit="1" customWidth="1"/>
    <col min="14369" max="14369" width="9.375" style="230" customWidth="1"/>
    <col min="14370" max="14370" width="10.25" style="230" customWidth="1"/>
    <col min="14371" max="14371" width="5.125" style="230" customWidth="1"/>
    <col min="14372" max="14592" width="9" style="230"/>
    <col min="14593" max="14593" width="1" style="230" customWidth="1"/>
    <col min="14594" max="14594" width="5.625" style="230" customWidth="1"/>
    <col min="14595" max="14595" width="6.875" style="230" customWidth="1"/>
    <col min="14596" max="14596" width="13.75" style="230" customWidth="1"/>
    <col min="14597" max="14597" width="2.5" style="230" customWidth="1"/>
    <col min="14598" max="14598" width="8.75" style="230" customWidth="1"/>
    <col min="14599" max="14599" width="5.75" style="230" customWidth="1"/>
    <col min="14600" max="14600" width="12.5" style="230" customWidth="1"/>
    <col min="14601" max="14601" width="5.75" style="230" customWidth="1"/>
    <col min="14602" max="14602" width="12.5" style="230" customWidth="1"/>
    <col min="14603" max="14603" width="2.5" style="230" customWidth="1"/>
    <col min="14604" max="14604" width="10.375" style="230" bestFit="1" customWidth="1"/>
    <col min="14605" max="14605" width="5" style="230" bestFit="1" customWidth="1"/>
    <col min="14606" max="14606" width="11.875" style="230" bestFit="1" customWidth="1"/>
    <col min="14607" max="14607" width="6" style="230" bestFit="1" customWidth="1"/>
    <col min="14608" max="14608" width="11.875" style="230" bestFit="1" customWidth="1"/>
    <col min="14609" max="14612" width="8.75" style="230" customWidth="1"/>
    <col min="14613" max="14613" width="5.75" style="230" customWidth="1"/>
    <col min="14614" max="14614" width="10.5" style="230" customWidth="1"/>
    <col min="14615" max="14615" width="3.375" style="230" customWidth="1"/>
    <col min="14616" max="14616" width="10.375" style="230" customWidth="1"/>
    <col min="14617" max="14617" width="16.5" style="230" customWidth="1"/>
    <col min="14618" max="14618" width="9.375" style="230" customWidth="1"/>
    <col min="14619" max="14620" width="10.25" style="230" customWidth="1"/>
    <col min="14621" max="14622" width="9.375" style="230" customWidth="1"/>
    <col min="14623" max="14623" width="0" style="230" hidden="1" customWidth="1"/>
    <col min="14624" max="14624" width="15.75" style="230" bestFit="1" customWidth="1"/>
    <col min="14625" max="14625" width="9.375" style="230" customWidth="1"/>
    <col min="14626" max="14626" width="10.25" style="230" customWidth="1"/>
    <col min="14627" max="14627" width="5.125" style="230" customWidth="1"/>
    <col min="14628" max="14848" width="9" style="230"/>
    <col min="14849" max="14849" width="1" style="230" customWidth="1"/>
    <col min="14850" max="14850" width="5.625" style="230" customWidth="1"/>
    <col min="14851" max="14851" width="6.875" style="230" customWidth="1"/>
    <col min="14852" max="14852" width="13.75" style="230" customWidth="1"/>
    <col min="14853" max="14853" width="2.5" style="230" customWidth="1"/>
    <col min="14854" max="14854" width="8.75" style="230" customWidth="1"/>
    <col min="14855" max="14855" width="5.75" style="230" customWidth="1"/>
    <col min="14856" max="14856" width="12.5" style="230" customWidth="1"/>
    <col min="14857" max="14857" width="5.75" style="230" customWidth="1"/>
    <col min="14858" max="14858" width="12.5" style="230" customWidth="1"/>
    <col min="14859" max="14859" width="2.5" style="230" customWidth="1"/>
    <col min="14860" max="14860" width="10.375" style="230" bestFit="1" customWidth="1"/>
    <col min="14861" max="14861" width="5" style="230" bestFit="1" customWidth="1"/>
    <col min="14862" max="14862" width="11.875" style="230" bestFit="1" customWidth="1"/>
    <col min="14863" max="14863" width="6" style="230" bestFit="1" customWidth="1"/>
    <col min="14864" max="14864" width="11.875" style="230" bestFit="1" customWidth="1"/>
    <col min="14865" max="14868" width="8.75" style="230" customWidth="1"/>
    <col min="14869" max="14869" width="5.75" style="230" customWidth="1"/>
    <col min="14870" max="14870" width="10.5" style="230" customWidth="1"/>
    <col min="14871" max="14871" width="3.375" style="230" customWidth="1"/>
    <col min="14872" max="14872" width="10.375" style="230" customWidth="1"/>
    <col min="14873" max="14873" width="16.5" style="230" customWidth="1"/>
    <col min="14874" max="14874" width="9.375" style="230" customWidth="1"/>
    <col min="14875" max="14876" width="10.25" style="230" customWidth="1"/>
    <col min="14877" max="14878" width="9.375" style="230" customWidth="1"/>
    <col min="14879" max="14879" width="0" style="230" hidden="1" customWidth="1"/>
    <col min="14880" max="14880" width="15.75" style="230" bestFit="1" customWidth="1"/>
    <col min="14881" max="14881" width="9.375" style="230" customWidth="1"/>
    <col min="14882" max="14882" width="10.25" style="230" customWidth="1"/>
    <col min="14883" max="14883" width="5.125" style="230" customWidth="1"/>
    <col min="14884" max="15104" width="9" style="230"/>
    <col min="15105" max="15105" width="1" style="230" customWidth="1"/>
    <col min="15106" max="15106" width="5.625" style="230" customWidth="1"/>
    <col min="15107" max="15107" width="6.875" style="230" customWidth="1"/>
    <col min="15108" max="15108" width="13.75" style="230" customWidth="1"/>
    <col min="15109" max="15109" width="2.5" style="230" customWidth="1"/>
    <col min="15110" max="15110" width="8.75" style="230" customWidth="1"/>
    <col min="15111" max="15111" width="5.75" style="230" customWidth="1"/>
    <col min="15112" max="15112" width="12.5" style="230" customWidth="1"/>
    <col min="15113" max="15113" width="5.75" style="230" customWidth="1"/>
    <col min="15114" max="15114" width="12.5" style="230" customWidth="1"/>
    <col min="15115" max="15115" width="2.5" style="230" customWidth="1"/>
    <col min="15116" max="15116" width="10.375" style="230" bestFit="1" customWidth="1"/>
    <col min="15117" max="15117" width="5" style="230" bestFit="1" customWidth="1"/>
    <col min="15118" max="15118" width="11.875" style="230" bestFit="1" customWidth="1"/>
    <col min="15119" max="15119" width="6" style="230" bestFit="1" customWidth="1"/>
    <col min="15120" max="15120" width="11.875" style="230" bestFit="1" customWidth="1"/>
    <col min="15121" max="15124" width="8.75" style="230" customWidth="1"/>
    <col min="15125" max="15125" width="5.75" style="230" customWidth="1"/>
    <col min="15126" max="15126" width="10.5" style="230" customWidth="1"/>
    <col min="15127" max="15127" width="3.375" style="230" customWidth="1"/>
    <col min="15128" max="15128" width="10.375" style="230" customWidth="1"/>
    <col min="15129" max="15129" width="16.5" style="230" customWidth="1"/>
    <col min="15130" max="15130" width="9.375" style="230" customWidth="1"/>
    <col min="15131" max="15132" width="10.25" style="230" customWidth="1"/>
    <col min="15133" max="15134" width="9.375" style="230" customWidth="1"/>
    <col min="15135" max="15135" width="0" style="230" hidden="1" customWidth="1"/>
    <col min="15136" max="15136" width="15.75" style="230" bestFit="1" customWidth="1"/>
    <col min="15137" max="15137" width="9.375" style="230" customWidth="1"/>
    <col min="15138" max="15138" width="10.25" style="230" customWidth="1"/>
    <col min="15139" max="15139" width="5.125" style="230" customWidth="1"/>
    <col min="15140" max="15360" width="9" style="230"/>
    <col min="15361" max="15361" width="1" style="230" customWidth="1"/>
    <col min="15362" max="15362" width="5.625" style="230" customWidth="1"/>
    <col min="15363" max="15363" width="6.875" style="230" customWidth="1"/>
    <col min="15364" max="15364" width="13.75" style="230" customWidth="1"/>
    <col min="15365" max="15365" width="2.5" style="230" customWidth="1"/>
    <col min="15366" max="15366" width="8.75" style="230" customWidth="1"/>
    <col min="15367" max="15367" width="5.75" style="230" customWidth="1"/>
    <col min="15368" max="15368" width="12.5" style="230" customWidth="1"/>
    <col min="15369" max="15369" width="5.75" style="230" customWidth="1"/>
    <col min="15370" max="15370" width="12.5" style="230" customWidth="1"/>
    <col min="15371" max="15371" width="2.5" style="230" customWidth="1"/>
    <col min="15372" max="15372" width="10.375" style="230" bestFit="1" customWidth="1"/>
    <col min="15373" max="15373" width="5" style="230" bestFit="1" customWidth="1"/>
    <col min="15374" max="15374" width="11.875" style="230" bestFit="1" customWidth="1"/>
    <col min="15375" max="15375" width="6" style="230" bestFit="1" customWidth="1"/>
    <col min="15376" max="15376" width="11.875" style="230" bestFit="1" customWidth="1"/>
    <col min="15377" max="15380" width="8.75" style="230" customWidth="1"/>
    <col min="15381" max="15381" width="5.75" style="230" customWidth="1"/>
    <col min="15382" max="15382" width="10.5" style="230" customWidth="1"/>
    <col min="15383" max="15383" width="3.375" style="230" customWidth="1"/>
    <col min="15384" max="15384" width="10.375" style="230" customWidth="1"/>
    <col min="15385" max="15385" width="16.5" style="230" customWidth="1"/>
    <col min="15386" max="15386" width="9.375" style="230" customWidth="1"/>
    <col min="15387" max="15388" width="10.25" style="230" customWidth="1"/>
    <col min="15389" max="15390" width="9.375" style="230" customWidth="1"/>
    <col min="15391" max="15391" width="0" style="230" hidden="1" customWidth="1"/>
    <col min="15392" max="15392" width="15.75" style="230" bestFit="1" customWidth="1"/>
    <col min="15393" max="15393" width="9.375" style="230" customWidth="1"/>
    <col min="15394" max="15394" width="10.25" style="230" customWidth="1"/>
    <col min="15395" max="15395" width="5.125" style="230" customWidth="1"/>
    <col min="15396" max="15616" width="9" style="230"/>
    <col min="15617" max="15617" width="1" style="230" customWidth="1"/>
    <col min="15618" max="15618" width="5.625" style="230" customWidth="1"/>
    <col min="15619" max="15619" width="6.875" style="230" customWidth="1"/>
    <col min="15620" max="15620" width="13.75" style="230" customWidth="1"/>
    <col min="15621" max="15621" width="2.5" style="230" customWidth="1"/>
    <col min="15622" max="15622" width="8.75" style="230" customWidth="1"/>
    <col min="15623" max="15623" width="5.75" style="230" customWidth="1"/>
    <col min="15624" max="15624" width="12.5" style="230" customWidth="1"/>
    <col min="15625" max="15625" width="5.75" style="230" customWidth="1"/>
    <col min="15626" max="15626" width="12.5" style="230" customWidth="1"/>
    <col min="15627" max="15627" width="2.5" style="230" customWidth="1"/>
    <col min="15628" max="15628" width="10.375" style="230" bestFit="1" customWidth="1"/>
    <col min="15629" max="15629" width="5" style="230" bestFit="1" customWidth="1"/>
    <col min="15630" max="15630" width="11.875" style="230" bestFit="1" customWidth="1"/>
    <col min="15631" max="15631" width="6" style="230" bestFit="1" customWidth="1"/>
    <col min="15632" max="15632" width="11.875" style="230" bestFit="1" customWidth="1"/>
    <col min="15633" max="15636" width="8.75" style="230" customWidth="1"/>
    <col min="15637" max="15637" width="5.75" style="230" customWidth="1"/>
    <col min="15638" max="15638" width="10.5" style="230" customWidth="1"/>
    <col min="15639" max="15639" width="3.375" style="230" customWidth="1"/>
    <col min="15640" max="15640" width="10.375" style="230" customWidth="1"/>
    <col min="15641" max="15641" width="16.5" style="230" customWidth="1"/>
    <col min="15642" max="15642" width="9.375" style="230" customWidth="1"/>
    <col min="15643" max="15644" width="10.25" style="230" customWidth="1"/>
    <col min="15645" max="15646" width="9.375" style="230" customWidth="1"/>
    <col min="15647" max="15647" width="0" style="230" hidden="1" customWidth="1"/>
    <col min="15648" max="15648" width="15.75" style="230" bestFit="1" customWidth="1"/>
    <col min="15649" max="15649" width="9.375" style="230" customWidth="1"/>
    <col min="15650" max="15650" width="10.25" style="230" customWidth="1"/>
    <col min="15651" max="15651" width="5.125" style="230" customWidth="1"/>
    <col min="15652" max="15872" width="9" style="230"/>
    <col min="15873" max="15873" width="1" style="230" customWidth="1"/>
    <col min="15874" max="15874" width="5.625" style="230" customWidth="1"/>
    <col min="15875" max="15875" width="6.875" style="230" customWidth="1"/>
    <col min="15876" max="15876" width="13.75" style="230" customWidth="1"/>
    <col min="15877" max="15877" width="2.5" style="230" customWidth="1"/>
    <col min="15878" max="15878" width="8.75" style="230" customWidth="1"/>
    <col min="15879" max="15879" width="5.75" style="230" customWidth="1"/>
    <col min="15880" max="15880" width="12.5" style="230" customWidth="1"/>
    <col min="15881" max="15881" width="5.75" style="230" customWidth="1"/>
    <col min="15882" max="15882" width="12.5" style="230" customWidth="1"/>
    <col min="15883" max="15883" width="2.5" style="230" customWidth="1"/>
    <col min="15884" max="15884" width="10.375" style="230" bestFit="1" customWidth="1"/>
    <col min="15885" max="15885" width="5" style="230" bestFit="1" customWidth="1"/>
    <col min="15886" max="15886" width="11.875" style="230" bestFit="1" customWidth="1"/>
    <col min="15887" max="15887" width="6" style="230" bestFit="1" customWidth="1"/>
    <col min="15888" max="15888" width="11.875" style="230" bestFit="1" customWidth="1"/>
    <col min="15889" max="15892" width="8.75" style="230" customWidth="1"/>
    <col min="15893" max="15893" width="5.75" style="230" customWidth="1"/>
    <col min="15894" max="15894" width="10.5" style="230" customWidth="1"/>
    <col min="15895" max="15895" width="3.375" style="230" customWidth="1"/>
    <col min="15896" max="15896" width="10.375" style="230" customWidth="1"/>
    <col min="15897" max="15897" width="16.5" style="230" customWidth="1"/>
    <col min="15898" max="15898" width="9.375" style="230" customWidth="1"/>
    <col min="15899" max="15900" width="10.25" style="230" customWidth="1"/>
    <col min="15901" max="15902" width="9.375" style="230" customWidth="1"/>
    <col min="15903" max="15903" width="0" style="230" hidden="1" customWidth="1"/>
    <col min="15904" max="15904" width="15.75" style="230" bestFit="1" customWidth="1"/>
    <col min="15905" max="15905" width="9.375" style="230" customWidth="1"/>
    <col min="15906" max="15906" width="10.25" style="230" customWidth="1"/>
    <col min="15907" max="15907" width="5.125" style="230" customWidth="1"/>
    <col min="15908" max="16128" width="9" style="230"/>
    <col min="16129" max="16129" width="1" style="230" customWidth="1"/>
    <col min="16130" max="16130" width="5.625" style="230" customWidth="1"/>
    <col min="16131" max="16131" width="6.875" style="230" customWidth="1"/>
    <col min="16132" max="16132" width="13.75" style="230" customWidth="1"/>
    <col min="16133" max="16133" width="2.5" style="230" customWidth="1"/>
    <col min="16134" max="16134" width="8.75" style="230" customWidth="1"/>
    <col min="16135" max="16135" width="5.75" style="230" customWidth="1"/>
    <col min="16136" max="16136" width="12.5" style="230" customWidth="1"/>
    <col min="16137" max="16137" width="5.75" style="230" customWidth="1"/>
    <col min="16138" max="16138" width="12.5" style="230" customWidth="1"/>
    <col min="16139" max="16139" width="2.5" style="230" customWidth="1"/>
    <col min="16140" max="16140" width="10.375" style="230" bestFit="1" customWidth="1"/>
    <col min="16141" max="16141" width="5" style="230" bestFit="1" customWidth="1"/>
    <col min="16142" max="16142" width="11.875" style="230" bestFit="1" customWidth="1"/>
    <col min="16143" max="16143" width="6" style="230" bestFit="1" customWidth="1"/>
    <col min="16144" max="16144" width="11.875" style="230" bestFit="1" customWidth="1"/>
    <col min="16145" max="16148" width="8.75" style="230" customWidth="1"/>
    <col min="16149" max="16149" width="5.75" style="230" customWidth="1"/>
    <col min="16150" max="16150" width="10.5" style="230" customWidth="1"/>
    <col min="16151" max="16151" width="3.375" style="230" customWidth="1"/>
    <col min="16152" max="16152" width="10.375" style="230" customWidth="1"/>
    <col min="16153" max="16153" width="16.5" style="230" customWidth="1"/>
    <col min="16154" max="16154" width="9.375" style="230" customWidth="1"/>
    <col min="16155" max="16156" width="10.25" style="230" customWidth="1"/>
    <col min="16157" max="16158" width="9.375" style="230" customWidth="1"/>
    <col min="16159" max="16159" width="0" style="230" hidden="1" customWidth="1"/>
    <col min="16160" max="16160" width="15.75" style="230" bestFit="1" customWidth="1"/>
    <col min="16161" max="16161" width="9.375" style="230" customWidth="1"/>
    <col min="16162" max="16162" width="10.25" style="230" customWidth="1"/>
    <col min="16163" max="16163" width="5.125" style="230" customWidth="1"/>
    <col min="16164" max="16384" width="9" style="230"/>
  </cols>
  <sheetData>
    <row r="1" spans="1:113" ht="29.25" customHeight="1" thickBot="1">
      <c r="B1" s="449" t="s">
        <v>564</v>
      </c>
      <c r="C1" s="1560"/>
      <c r="D1" s="1560"/>
      <c r="E1" s="1560"/>
      <c r="Y1" s="451" t="s">
        <v>565</v>
      </c>
      <c r="Z1" s="452"/>
      <c r="AA1" s="452"/>
      <c r="AB1" s="453">
        <v>0</v>
      </c>
      <c r="AC1" s="230"/>
      <c r="AD1" s="1175"/>
      <c r="AE1" s="1175"/>
      <c r="AF1" s="1175"/>
      <c r="AH1" s="454"/>
      <c r="AI1" s="454"/>
      <c r="DI1" s="1561">
        <v>45382</v>
      </c>
    </row>
    <row r="2" spans="1:113" ht="24" customHeight="1">
      <c r="A2" s="455"/>
      <c r="B2" s="2512" t="s">
        <v>0</v>
      </c>
      <c r="C2" s="2515" t="s">
        <v>566</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549" t="s">
        <v>75</v>
      </c>
      <c r="X2" s="2677"/>
      <c r="Y2" s="2664" t="s">
        <v>224</v>
      </c>
      <c r="Z2" s="2667" t="s">
        <v>221</v>
      </c>
      <c r="AA2" s="2548"/>
      <c r="AB2" s="2523"/>
      <c r="AC2" s="2545" t="s">
        <v>74</v>
      </c>
      <c r="AD2" s="2546"/>
      <c r="AE2" s="2549" t="s">
        <v>356</v>
      </c>
      <c r="AF2" s="2534"/>
      <c r="AG2" s="2669" t="s">
        <v>222</v>
      </c>
      <c r="AH2" s="2669" t="s">
        <v>223</v>
      </c>
      <c r="AI2" s="456"/>
    </row>
    <row r="3" spans="1:113" ht="24"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550"/>
      <c r="X3" s="2678"/>
      <c r="Y3" s="2665"/>
      <c r="Z3" s="2679" t="s">
        <v>225</v>
      </c>
      <c r="AA3" s="2681" t="s">
        <v>77</v>
      </c>
      <c r="AB3" s="2681" t="s">
        <v>227</v>
      </c>
      <c r="AC3" s="2681" t="s">
        <v>76</v>
      </c>
      <c r="AD3" s="2681" t="s">
        <v>228</v>
      </c>
      <c r="AE3" s="2848"/>
      <c r="AF3" s="2849"/>
      <c r="AG3" s="2670"/>
      <c r="AH3" s="2670"/>
      <c r="AI3" s="456"/>
    </row>
    <row r="4" spans="1:113" ht="24" customHeight="1">
      <c r="A4" s="455"/>
      <c r="B4" s="2514"/>
      <c r="C4" s="457" t="s">
        <v>230</v>
      </c>
      <c r="D4" s="458" t="s">
        <v>231</v>
      </c>
      <c r="E4" s="459" t="s">
        <v>230</v>
      </c>
      <c r="F4" s="1398" t="s">
        <v>232</v>
      </c>
      <c r="G4" s="460" t="s">
        <v>230</v>
      </c>
      <c r="H4" s="1398" t="s">
        <v>232</v>
      </c>
      <c r="I4" s="459" t="s">
        <v>230</v>
      </c>
      <c r="J4" s="1398" t="s">
        <v>232</v>
      </c>
      <c r="K4" s="460" t="s">
        <v>230</v>
      </c>
      <c r="L4" s="1397" t="s">
        <v>232</v>
      </c>
      <c r="M4" s="460" t="s">
        <v>230</v>
      </c>
      <c r="N4" s="1398" t="s">
        <v>232</v>
      </c>
      <c r="O4" s="460" t="s">
        <v>230</v>
      </c>
      <c r="P4" s="1397" t="s">
        <v>232</v>
      </c>
      <c r="Q4" s="1305" t="s">
        <v>230</v>
      </c>
      <c r="R4" s="1398" t="s">
        <v>232</v>
      </c>
      <c r="S4" s="459" t="s">
        <v>230</v>
      </c>
      <c r="T4" s="1398" t="s">
        <v>232</v>
      </c>
      <c r="U4" s="460" t="s">
        <v>230</v>
      </c>
      <c r="V4" s="1398" t="s">
        <v>232</v>
      </c>
      <c r="W4" s="460" t="s">
        <v>230</v>
      </c>
      <c r="X4" s="1397" t="s">
        <v>232</v>
      </c>
      <c r="Y4" s="2666"/>
      <c r="Z4" s="2680"/>
      <c r="AA4" s="2682"/>
      <c r="AB4" s="2682"/>
      <c r="AC4" s="2682"/>
      <c r="AD4" s="2682"/>
      <c r="AE4" s="2550"/>
      <c r="AF4" s="2536"/>
      <c r="AG4" s="2671"/>
      <c r="AH4" s="2671"/>
      <c r="AI4" s="461"/>
    </row>
    <row r="5" spans="1:113" ht="30.75" customHeight="1">
      <c r="A5" s="1409"/>
      <c r="B5" s="1395" t="s">
        <v>233</v>
      </c>
      <c r="C5" s="462">
        <f>E5+G5+I5+K5+M5+O5+U5+W5+Q5+S5</f>
        <v>10290</v>
      </c>
      <c r="D5" s="463">
        <f>F5+H5+J5+L5+N5+P5+V5+X5+R5+T5</f>
        <v>3732144000</v>
      </c>
      <c r="E5" s="1562">
        <v>2</v>
      </c>
      <c r="F5" s="1177">
        <v>820000</v>
      </c>
      <c r="G5" s="1178">
        <v>1392</v>
      </c>
      <c r="H5" s="1179">
        <v>810940000</v>
      </c>
      <c r="I5" s="1176">
        <v>4152</v>
      </c>
      <c r="J5" s="1177">
        <v>2016650000</v>
      </c>
      <c r="K5" s="1178">
        <v>0</v>
      </c>
      <c r="L5" s="1180">
        <v>0</v>
      </c>
      <c r="M5" s="1178">
        <v>5</v>
      </c>
      <c r="N5" s="1179">
        <v>4270000</v>
      </c>
      <c r="O5" s="1178">
        <v>0</v>
      </c>
      <c r="P5" s="1180">
        <v>0</v>
      </c>
      <c r="Q5" s="1563">
        <v>457</v>
      </c>
      <c r="R5" s="1564">
        <v>89918000</v>
      </c>
      <c r="S5" s="1563">
        <v>3823</v>
      </c>
      <c r="T5" s="1564">
        <v>579186000</v>
      </c>
      <c r="U5" s="1178">
        <v>374</v>
      </c>
      <c r="V5" s="1179">
        <v>199890000</v>
      </c>
      <c r="W5" s="1178">
        <v>85</v>
      </c>
      <c r="X5" s="1565">
        <v>30470000</v>
      </c>
      <c r="Y5" s="1566" t="s">
        <v>567</v>
      </c>
      <c r="Z5" s="1181">
        <v>1.0249999999999999</v>
      </c>
      <c r="AA5" s="472"/>
      <c r="AB5" s="473"/>
      <c r="AC5" s="472"/>
      <c r="AD5" s="472"/>
      <c r="AE5" s="472"/>
      <c r="AF5" s="472"/>
      <c r="AG5" s="473"/>
      <c r="AH5" s="473"/>
      <c r="AI5" s="474"/>
    </row>
    <row r="6" spans="1:113" ht="30.75" customHeight="1">
      <c r="B6" s="1396" t="s">
        <v>62</v>
      </c>
      <c r="C6" s="475">
        <f t="shared" ref="C6:D16" si="0">E6+G6+I6+K6+M6+O6+U6+W6+Q6+S6</f>
        <v>10389</v>
      </c>
      <c r="D6" s="476">
        <f t="shared" si="0"/>
        <v>3748848000</v>
      </c>
      <c r="E6" s="1567">
        <v>2</v>
      </c>
      <c r="F6" s="1183">
        <v>820000</v>
      </c>
      <c r="G6" s="1184">
        <v>1399</v>
      </c>
      <c r="H6" s="1185">
        <v>815210000</v>
      </c>
      <c r="I6" s="1182">
        <v>4160</v>
      </c>
      <c r="J6" s="1183">
        <v>2019530000</v>
      </c>
      <c r="K6" s="1184">
        <v>0</v>
      </c>
      <c r="L6" s="1186">
        <v>0</v>
      </c>
      <c r="M6" s="1184">
        <v>5</v>
      </c>
      <c r="N6" s="1185">
        <v>4270000</v>
      </c>
      <c r="O6" s="1184">
        <v>0</v>
      </c>
      <c r="P6" s="1186">
        <v>0</v>
      </c>
      <c r="Q6" s="1568">
        <v>456</v>
      </c>
      <c r="R6" s="1569">
        <v>89528000</v>
      </c>
      <c r="S6" s="1570">
        <v>3903</v>
      </c>
      <c r="T6" s="1569">
        <v>586600000</v>
      </c>
      <c r="U6" s="1184">
        <v>379</v>
      </c>
      <c r="V6" s="1185">
        <v>202420000</v>
      </c>
      <c r="W6" s="1184">
        <v>85</v>
      </c>
      <c r="X6" s="1571">
        <v>30470000</v>
      </c>
      <c r="Y6" s="483" t="s">
        <v>234</v>
      </c>
      <c r="Z6" s="1181">
        <v>2</v>
      </c>
      <c r="AA6" s="511"/>
      <c r="AB6" s="486"/>
      <c r="AC6" s="485"/>
      <c r="AD6" s="485"/>
      <c r="AE6" s="485"/>
      <c r="AF6" s="485"/>
      <c r="AG6" s="486"/>
      <c r="AH6" s="486"/>
      <c r="AI6" s="474"/>
    </row>
    <row r="7" spans="1:113" ht="30.75" customHeight="1">
      <c r="B7" s="1396" t="s">
        <v>63</v>
      </c>
      <c r="C7" s="475">
        <f t="shared" si="0"/>
        <v>10418</v>
      </c>
      <c r="D7" s="476">
        <f t="shared" si="0"/>
        <v>3755650000</v>
      </c>
      <c r="E7" s="1567">
        <v>2</v>
      </c>
      <c r="F7" s="1183">
        <v>820000</v>
      </c>
      <c r="G7" s="1184">
        <v>1401</v>
      </c>
      <c r="H7" s="1185">
        <v>816050000</v>
      </c>
      <c r="I7" s="1182">
        <v>4169</v>
      </c>
      <c r="J7" s="1183">
        <v>2023210000</v>
      </c>
      <c r="K7" s="1184">
        <v>0</v>
      </c>
      <c r="L7" s="1186">
        <v>0</v>
      </c>
      <c r="M7" s="1184">
        <v>5</v>
      </c>
      <c r="N7" s="1185">
        <v>4270000</v>
      </c>
      <c r="O7" s="1184">
        <v>0</v>
      </c>
      <c r="P7" s="1186">
        <v>0</v>
      </c>
      <c r="Q7" s="1568">
        <v>460</v>
      </c>
      <c r="R7" s="1569">
        <v>90446000</v>
      </c>
      <c r="S7" s="1570">
        <v>3914</v>
      </c>
      <c r="T7" s="1569">
        <v>587394000</v>
      </c>
      <c r="U7" s="1184">
        <v>381</v>
      </c>
      <c r="V7" s="1185">
        <v>202990000</v>
      </c>
      <c r="W7" s="1184">
        <v>86</v>
      </c>
      <c r="X7" s="1571">
        <v>30470000</v>
      </c>
      <c r="Y7" s="487">
        <f>SUM(Z7:AH7)</f>
        <v>5817773000</v>
      </c>
      <c r="Z7" s="1572">
        <v>2277000</v>
      </c>
      <c r="AA7" s="1573">
        <v>1173563000</v>
      </c>
      <c r="AB7" s="1574">
        <v>3669929000</v>
      </c>
      <c r="AC7" s="1573">
        <v>0</v>
      </c>
      <c r="AD7" s="1573">
        <v>10681000</v>
      </c>
      <c r="AE7" s="1573"/>
      <c r="AF7" s="1573">
        <v>624414000</v>
      </c>
      <c r="AG7" s="1574">
        <v>0</v>
      </c>
      <c r="AH7" s="1574">
        <v>336909000</v>
      </c>
      <c r="AI7" s="489"/>
    </row>
    <row r="8" spans="1:113" ht="30.75" customHeight="1">
      <c r="A8" s="490"/>
      <c r="B8" s="1396" t="s">
        <v>64</v>
      </c>
      <c r="C8" s="475">
        <f t="shared" si="0"/>
        <v>10403</v>
      </c>
      <c r="D8" s="476">
        <f t="shared" si="0"/>
        <v>3818838000</v>
      </c>
      <c r="E8" s="1567">
        <v>2</v>
      </c>
      <c r="F8" s="1183">
        <v>820000</v>
      </c>
      <c r="G8" s="1184">
        <v>1403</v>
      </c>
      <c r="H8" s="1185">
        <v>831620000</v>
      </c>
      <c r="I8" s="1182">
        <v>4174</v>
      </c>
      <c r="J8" s="1183">
        <v>2067000000</v>
      </c>
      <c r="K8" s="1184">
        <v>0</v>
      </c>
      <c r="L8" s="1186">
        <v>0</v>
      </c>
      <c r="M8" s="1184">
        <v>5</v>
      </c>
      <c r="N8" s="1185">
        <v>4110000</v>
      </c>
      <c r="O8" s="1184">
        <v>0</v>
      </c>
      <c r="P8" s="1186">
        <v>0</v>
      </c>
      <c r="Q8" s="1568">
        <v>462</v>
      </c>
      <c r="R8" s="1569">
        <v>92128000</v>
      </c>
      <c r="S8" s="1570">
        <v>3889</v>
      </c>
      <c r="T8" s="1569">
        <v>588940000</v>
      </c>
      <c r="U8" s="1184">
        <v>381</v>
      </c>
      <c r="V8" s="1185">
        <v>203750000</v>
      </c>
      <c r="W8" s="1184">
        <v>87</v>
      </c>
      <c r="X8" s="1571">
        <v>30470000</v>
      </c>
      <c r="Y8" s="1187">
        <f>SUM(Z8:AH8)</f>
        <v>0</v>
      </c>
      <c r="Z8" s="1575">
        <v>0</v>
      </c>
      <c r="AA8" s="517">
        <f>ROUNDDOWN(AA7*AA63*AB1%,-3)</f>
        <v>0</v>
      </c>
      <c r="AB8" s="517">
        <f>ROUNDDOWN(AB7*AB63*AB1%,-3)</f>
        <v>0</v>
      </c>
      <c r="AC8" s="1576">
        <v>0</v>
      </c>
      <c r="AD8" s="1577">
        <v>0</v>
      </c>
      <c r="AE8" s="497"/>
      <c r="AF8" s="497"/>
      <c r="AG8" s="497">
        <v>0</v>
      </c>
      <c r="AH8" s="1017">
        <f>ROUNDDOWN(AH7*AH63*AB1%,-3)</f>
        <v>0</v>
      </c>
      <c r="AI8" s="496"/>
    </row>
    <row r="9" spans="1:113" ht="30.75" customHeight="1">
      <c r="B9" s="1396" t="s">
        <v>65</v>
      </c>
      <c r="C9" s="475">
        <f t="shared" si="0"/>
        <v>10403</v>
      </c>
      <c r="D9" s="476">
        <f t="shared" si="0"/>
        <v>3807488000</v>
      </c>
      <c r="E9" s="1567">
        <v>2</v>
      </c>
      <c r="F9" s="1183">
        <v>820000</v>
      </c>
      <c r="G9" s="1184">
        <v>1404</v>
      </c>
      <c r="H9" s="1185">
        <v>830450000</v>
      </c>
      <c r="I9" s="1182">
        <v>4192</v>
      </c>
      <c r="J9" s="1183">
        <v>2058940000</v>
      </c>
      <c r="K9" s="1184">
        <v>0</v>
      </c>
      <c r="L9" s="1186">
        <v>0</v>
      </c>
      <c r="M9" s="1184">
        <v>5</v>
      </c>
      <c r="N9" s="1185">
        <v>4110000</v>
      </c>
      <c r="O9" s="1184">
        <v>0</v>
      </c>
      <c r="P9" s="1186">
        <v>0</v>
      </c>
      <c r="Q9" s="1568">
        <v>461</v>
      </c>
      <c r="R9" s="1569">
        <v>92688000</v>
      </c>
      <c r="S9" s="1570">
        <v>3868</v>
      </c>
      <c r="T9" s="1569">
        <v>585000000</v>
      </c>
      <c r="U9" s="1184">
        <v>384</v>
      </c>
      <c r="V9" s="1185">
        <v>205010000</v>
      </c>
      <c r="W9" s="1184">
        <v>87</v>
      </c>
      <c r="X9" s="1571">
        <v>30470000</v>
      </c>
      <c r="Y9" s="471"/>
      <c r="Z9" s="1578"/>
      <c r="AA9" s="497"/>
      <c r="AB9" s="498" t="s">
        <v>301</v>
      </c>
      <c r="AC9" s="1189"/>
      <c r="AD9" s="1190"/>
      <c r="AE9" s="1190"/>
      <c r="AF9" s="1190"/>
      <c r="AG9" s="497"/>
      <c r="AH9" s="501"/>
      <c r="AI9" s="496"/>
    </row>
    <row r="10" spans="1:113" ht="30.75" customHeight="1">
      <c r="B10" s="1396" t="s">
        <v>66</v>
      </c>
      <c r="C10" s="475">
        <f t="shared" si="0"/>
        <v>10416</v>
      </c>
      <c r="D10" s="476">
        <f t="shared" si="0"/>
        <v>3811814000</v>
      </c>
      <c r="E10" s="1567">
        <v>2</v>
      </c>
      <c r="F10" s="1183">
        <v>820000</v>
      </c>
      <c r="G10" s="1184">
        <v>1404</v>
      </c>
      <c r="H10" s="1185">
        <v>830450000</v>
      </c>
      <c r="I10" s="1182">
        <v>4190</v>
      </c>
      <c r="J10" s="1183">
        <v>2057270000</v>
      </c>
      <c r="K10" s="1184">
        <v>0</v>
      </c>
      <c r="L10" s="1186">
        <v>0</v>
      </c>
      <c r="M10" s="1184">
        <v>5</v>
      </c>
      <c r="N10" s="1185">
        <v>4110000</v>
      </c>
      <c r="O10" s="1184">
        <v>0</v>
      </c>
      <c r="P10" s="1186">
        <v>0</v>
      </c>
      <c r="Q10" s="1568">
        <v>461</v>
      </c>
      <c r="R10" s="1569">
        <v>92688000</v>
      </c>
      <c r="S10" s="1570">
        <v>3885</v>
      </c>
      <c r="T10" s="1569">
        <v>590996000</v>
      </c>
      <c r="U10" s="1184">
        <v>384</v>
      </c>
      <c r="V10" s="1185">
        <v>205010000</v>
      </c>
      <c r="W10" s="1184">
        <v>85</v>
      </c>
      <c r="X10" s="1579">
        <v>30470000</v>
      </c>
      <c r="Y10" s="471"/>
      <c r="Z10" s="503"/>
      <c r="AA10" s="504"/>
      <c r="AB10" s="505"/>
      <c r="AC10" s="1191"/>
      <c r="AD10" s="497"/>
      <c r="AE10" s="497"/>
      <c r="AF10" s="497"/>
      <c r="AG10" s="497"/>
      <c r="AH10" s="501"/>
      <c r="AI10" s="496"/>
    </row>
    <row r="11" spans="1:113" ht="30.75" customHeight="1">
      <c r="A11" s="490"/>
      <c r="B11" s="1396" t="s">
        <v>67</v>
      </c>
      <c r="C11" s="475">
        <f t="shared" si="0"/>
        <v>10452</v>
      </c>
      <c r="D11" s="476">
        <f>F11+H11+J11+L11+N11+P11+V11+X11+R11+T11</f>
        <v>3819940800</v>
      </c>
      <c r="E11" s="510">
        <f t="shared" ref="E11:E16" si="1">E10</f>
        <v>2</v>
      </c>
      <c r="F11" s="515">
        <f>F10+F22+F95-F113+F77</f>
        <v>820000</v>
      </c>
      <c r="G11" s="513">
        <f>G10+G23+G95-G113</f>
        <v>1409</v>
      </c>
      <c r="H11" s="515">
        <f t="shared" ref="H11:H16" si="2">H10+H23+H95-H113+H77</f>
        <v>833840000</v>
      </c>
      <c r="I11" s="477">
        <f>I10+I23+I95-I113</f>
        <v>4181</v>
      </c>
      <c r="J11" s="515">
        <f>J10+J23+J95-J113+J77</f>
        <v>2055670000</v>
      </c>
      <c r="K11" s="513">
        <f t="shared" ref="K11:P16" si="3">K10</f>
        <v>0</v>
      </c>
      <c r="L11" s="514">
        <f t="shared" si="3"/>
        <v>0</v>
      </c>
      <c r="M11" s="513">
        <f>M10</f>
        <v>5</v>
      </c>
      <c r="N11" s="515">
        <f>N10</f>
        <v>4110000</v>
      </c>
      <c r="O11" s="513">
        <f t="shared" si="3"/>
        <v>0</v>
      </c>
      <c r="P11" s="514">
        <f t="shared" si="3"/>
        <v>0</v>
      </c>
      <c r="Q11" s="513">
        <f>Q10+M23+Q95-Q113</f>
        <v>465</v>
      </c>
      <c r="R11" s="1580">
        <f>R10+N23+R95-R113</f>
        <v>93392000</v>
      </c>
      <c r="S11" s="1581">
        <f>S10+O23+S95-S113</f>
        <v>3918</v>
      </c>
      <c r="T11" s="1580">
        <f>T10+P23+T95-T113</f>
        <v>595368800</v>
      </c>
      <c r="U11" s="513">
        <f>U10+K23+U95-U113</f>
        <v>387</v>
      </c>
      <c r="V11" s="515">
        <f>V10+L23+V95-V113+V77</f>
        <v>206330000</v>
      </c>
      <c r="W11" s="513">
        <f t="shared" ref="W11:X16" si="4">W10+W95-W113</f>
        <v>85</v>
      </c>
      <c r="X11" s="514">
        <f t="shared" si="4"/>
        <v>30410000</v>
      </c>
      <c r="Y11" s="1566" t="s">
        <v>568</v>
      </c>
      <c r="Z11" s="1181">
        <v>1.0249999999999999</v>
      </c>
      <c r="AA11" s="497"/>
      <c r="AB11" s="501"/>
      <c r="AC11" s="497"/>
      <c r="AD11" s="497"/>
      <c r="AE11" s="497"/>
      <c r="AF11" s="497"/>
      <c r="AG11" s="497"/>
      <c r="AH11" s="501"/>
      <c r="AI11" s="496"/>
    </row>
    <row r="12" spans="1:113" ht="30.75" customHeight="1">
      <c r="B12" s="1396" t="s">
        <v>68</v>
      </c>
      <c r="C12" s="475">
        <f t="shared" si="0"/>
        <v>10433</v>
      </c>
      <c r="D12" s="476">
        <f t="shared" si="0"/>
        <v>3819136800</v>
      </c>
      <c r="E12" s="510">
        <f t="shared" si="1"/>
        <v>2</v>
      </c>
      <c r="F12" s="515">
        <f>F11+F24+F96-F114+F78</f>
        <v>820000</v>
      </c>
      <c r="G12" s="513">
        <f>G11+G24+G96-G114</f>
        <v>1414</v>
      </c>
      <c r="H12" s="515">
        <f t="shared" si="2"/>
        <v>835610000</v>
      </c>
      <c r="I12" s="477">
        <f t="shared" ref="I12:I16" si="5">I11+I24+I96-I114</f>
        <v>4189</v>
      </c>
      <c r="J12" s="515">
        <f t="shared" ref="J12:J16" si="6">J11+J24+J96-J114+J78</f>
        <v>2059320000</v>
      </c>
      <c r="K12" s="513">
        <f t="shared" si="3"/>
        <v>0</v>
      </c>
      <c r="L12" s="514">
        <f t="shared" si="3"/>
        <v>0</v>
      </c>
      <c r="M12" s="513">
        <f t="shared" si="3"/>
        <v>5</v>
      </c>
      <c r="N12" s="515">
        <f t="shared" si="3"/>
        <v>4110000</v>
      </c>
      <c r="O12" s="513">
        <f t="shared" si="3"/>
        <v>0</v>
      </c>
      <c r="P12" s="514">
        <f t="shared" si="3"/>
        <v>0</v>
      </c>
      <c r="Q12" s="1582">
        <f t="shared" ref="Q12:T16" si="7">Q11+M24+Q96-Q114</f>
        <v>460</v>
      </c>
      <c r="R12" s="1580">
        <f t="shared" si="7"/>
        <v>92126000</v>
      </c>
      <c r="S12" s="1581">
        <f t="shared" si="7"/>
        <v>3887</v>
      </c>
      <c r="T12" s="1580">
        <f t="shared" si="7"/>
        <v>589250800</v>
      </c>
      <c r="U12" s="513">
        <f t="shared" ref="U12:U16" si="8">U11+K24+U96-U114</f>
        <v>389</v>
      </c>
      <c r="V12" s="515">
        <f>V11+L24+V96-V114+V78</f>
        <v>207090000</v>
      </c>
      <c r="W12" s="513">
        <f t="shared" si="4"/>
        <v>87</v>
      </c>
      <c r="X12" s="514">
        <f t="shared" si="4"/>
        <v>30810000</v>
      </c>
      <c r="Y12" s="483" t="s">
        <v>234</v>
      </c>
      <c r="Z12" s="922">
        <v>2</v>
      </c>
      <c r="AA12" s="511"/>
      <c r="AB12" s="501"/>
      <c r="AC12" s="497"/>
      <c r="AD12" s="497"/>
      <c r="AE12" s="497"/>
      <c r="AF12" s="497"/>
      <c r="AG12" s="497"/>
      <c r="AH12" s="501"/>
      <c r="AI12" s="496"/>
    </row>
    <row r="13" spans="1:113" ht="30.75" customHeight="1">
      <c r="B13" s="1396" t="s">
        <v>69</v>
      </c>
      <c r="C13" s="475">
        <f t="shared" si="0"/>
        <v>10409</v>
      </c>
      <c r="D13" s="476">
        <f t="shared" si="0"/>
        <v>3820936800</v>
      </c>
      <c r="E13" s="510">
        <f t="shared" si="1"/>
        <v>2</v>
      </c>
      <c r="F13" s="515">
        <f>F12+F25+F97-F115+F79</f>
        <v>820000</v>
      </c>
      <c r="G13" s="513">
        <f t="shared" ref="G13:G16" si="9">G12+G25+G97-G115</f>
        <v>1422</v>
      </c>
      <c r="H13" s="515">
        <f t="shared" si="2"/>
        <v>840780000</v>
      </c>
      <c r="I13" s="477">
        <f t="shared" si="5"/>
        <v>4202</v>
      </c>
      <c r="J13" s="515">
        <f>J12+J25+J97-J115+J79</f>
        <v>2064480000</v>
      </c>
      <c r="K13" s="513">
        <f t="shared" si="3"/>
        <v>0</v>
      </c>
      <c r="L13" s="514">
        <f t="shared" si="3"/>
        <v>0</v>
      </c>
      <c r="M13" s="513">
        <f t="shared" si="3"/>
        <v>5</v>
      </c>
      <c r="N13" s="515">
        <f t="shared" si="3"/>
        <v>4110000</v>
      </c>
      <c r="O13" s="513">
        <f t="shared" si="3"/>
        <v>0</v>
      </c>
      <c r="P13" s="514">
        <f t="shared" si="3"/>
        <v>0</v>
      </c>
      <c r="Q13" s="1582">
        <f t="shared" si="7"/>
        <v>448</v>
      </c>
      <c r="R13" s="1580">
        <f t="shared" si="7"/>
        <v>90298000</v>
      </c>
      <c r="S13" s="1582">
        <f t="shared" si="7"/>
        <v>3853</v>
      </c>
      <c r="T13" s="1580">
        <f t="shared" si="7"/>
        <v>582358800</v>
      </c>
      <c r="U13" s="513">
        <f t="shared" si="8"/>
        <v>390</v>
      </c>
      <c r="V13" s="515">
        <f t="shared" ref="V13:V15" si="10">V12+L25+V97-V115+V79</f>
        <v>207500000</v>
      </c>
      <c r="W13" s="513">
        <f t="shared" si="4"/>
        <v>87</v>
      </c>
      <c r="X13" s="514">
        <f t="shared" si="4"/>
        <v>30590000</v>
      </c>
      <c r="Y13" s="487">
        <f>SUM(Z13:AH13)</f>
        <v>5859065000</v>
      </c>
      <c r="Z13" s="1583">
        <f>ROUNDDOWN(Z7/$Z$6*$Z$12/E8*E13,-3)</f>
        <v>2277000</v>
      </c>
      <c r="AA13" s="1583">
        <f>ROUNDDOWN(AA7/$Z$6*$Z$12/G8*G13,-3)</f>
        <v>1189455000</v>
      </c>
      <c r="AB13" s="1583">
        <f>ROUNDDOWN(AB7/$Z$6*$Z$12/I8*I13,-3)</f>
        <v>3694547000</v>
      </c>
      <c r="AC13" s="1583">
        <f>ROUNDDOWN(AC7/$Z$6*$Z$12/J8*J13,-3)</f>
        <v>0</v>
      </c>
      <c r="AD13" s="1583">
        <f>ROUNDDOWN(AD7/$Z$6*$Z$12/M8*M13,-3)</f>
        <v>10681000</v>
      </c>
      <c r="AE13" s="1583">
        <f>ROUNDDOWN(AE7/$Z$6*$Z$12/N8*N13,-3)</f>
        <v>0</v>
      </c>
      <c r="AF13" s="1583">
        <f>ROUNDDOWN(AF7/$Z$6*$Z$12/(Q8+S8)*(Q13+S13),-3)</f>
        <v>617238000</v>
      </c>
      <c r="AG13" s="1583">
        <v>0</v>
      </c>
      <c r="AH13" s="1583">
        <f>ROUNDDOWN(AH7/$Z$6*$Z$12/U8*U13,-3)</f>
        <v>344867000</v>
      </c>
      <c r="AI13" s="489"/>
      <c r="AK13" s="230">
        <f>ROUNDDOWN(AF7/$Z$6*$Z$12/(S8-64)*(S13-64),-3)</f>
        <v>618537000</v>
      </c>
      <c r="AL13" s="230">
        <f>ROUNDDOWN(AF7/$Z$6*$Z$12/Q8*Q13,-3)</f>
        <v>605492000</v>
      </c>
      <c r="AM13" s="230">
        <f>ROUNDDOWN(AG7/$Z$6*$Z$12/S8*S13,-3)</f>
        <v>0</v>
      </c>
    </row>
    <row r="14" spans="1:113" ht="30.75" customHeight="1">
      <c r="A14" s="490"/>
      <c r="B14" s="1396" t="s">
        <v>70</v>
      </c>
      <c r="C14" s="475">
        <f t="shared" si="0"/>
        <v>10376</v>
      </c>
      <c r="D14" s="476">
        <f t="shared" si="0"/>
        <v>3817550800</v>
      </c>
      <c r="E14" s="510">
        <f t="shared" si="1"/>
        <v>2</v>
      </c>
      <c r="F14" s="515">
        <f>F13+F26+F98-F116+F80</f>
        <v>820000</v>
      </c>
      <c r="G14" s="513">
        <f t="shared" si="9"/>
        <v>1418</v>
      </c>
      <c r="H14" s="515">
        <f t="shared" si="2"/>
        <v>838900000</v>
      </c>
      <c r="I14" s="477">
        <f t="shared" si="5"/>
        <v>4211</v>
      </c>
      <c r="J14" s="515">
        <f t="shared" si="6"/>
        <v>2069640000</v>
      </c>
      <c r="K14" s="513">
        <f t="shared" si="3"/>
        <v>0</v>
      </c>
      <c r="L14" s="514">
        <f t="shared" si="3"/>
        <v>0</v>
      </c>
      <c r="M14" s="513">
        <f t="shared" si="3"/>
        <v>5</v>
      </c>
      <c r="N14" s="515">
        <f t="shared" si="3"/>
        <v>4110000</v>
      </c>
      <c r="O14" s="513">
        <f t="shared" si="3"/>
        <v>0</v>
      </c>
      <c r="P14" s="514">
        <f t="shared" si="3"/>
        <v>0</v>
      </c>
      <c r="Q14" s="1582">
        <f t="shared" si="7"/>
        <v>448</v>
      </c>
      <c r="R14" s="1580">
        <f t="shared" si="7"/>
        <v>89926000</v>
      </c>
      <c r="S14" s="1582">
        <f t="shared" si="7"/>
        <v>3812</v>
      </c>
      <c r="T14" s="1580">
        <f t="shared" si="7"/>
        <v>575024800</v>
      </c>
      <c r="U14" s="513">
        <f t="shared" si="8"/>
        <v>390</v>
      </c>
      <c r="V14" s="515">
        <f t="shared" si="10"/>
        <v>207350000</v>
      </c>
      <c r="W14" s="513">
        <f t="shared" si="4"/>
        <v>90</v>
      </c>
      <c r="X14" s="514">
        <f t="shared" si="4"/>
        <v>31780000</v>
      </c>
      <c r="Y14" s="1566" t="s">
        <v>568</v>
      </c>
      <c r="Z14" s="1181">
        <v>0.25</v>
      </c>
      <c r="AA14" s="517">
        <f>ROUNDDOWN(AA13*AA64*AB1%,-3)</f>
        <v>0</v>
      </c>
      <c r="AB14" s="517">
        <f>ROUNDDOWN(AB13*AB64*AB1%,-3)</f>
        <v>0</v>
      </c>
      <c r="AC14" s="1576">
        <v>0</v>
      </c>
      <c r="AD14" s="1577">
        <v>0</v>
      </c>
      <c r="AE14" s="497"/>
      <c r="AF14" s="497"/>
      <c r="AG14" s="497">
        <v>0</v>
      </c>
      <c r="AH14" s="1017">
        <f>ROUNDDOWN(AH13*AH64*AB1%,-3)</f>
        <v>0</v>
      </c>
      <c r="AI14" s="496"/>
    </row>
    <row r="15" spans="1:113" ht="30.75" customHeight="1">
      <c r="A15" s="2658"/>
      <c r="B15" s="1396" t="s">
        <v>71</v>
      </c>
      <c r="C15" s="475">
        <f t="shared" si="0"/>
        <v>10327</v>
      </c>
      <c r="D15" s="476">
        <f t="shared" si="0"/>
        <v>3806552800</v>
      </c>
      <c r="E15" s="510">
        <f t="shared" si="1"/>
        <v>2</v>
      </c>
      <c r="F15" s="515">
        <f>F14+F27+F99-F117+F81</f>
        <v>820000</v>
      </c>
      <c r="G15" s="513">
        <f t="shared" si="9"/>
        <v>1395</v>
      </c>
      <c r="H15" s="515">
        <f t="shared" si="2"/>
        <v>832000000</v>
      </c>
      <c r="I15" s="477">
        <f t="shared" si="5"/>
        <v>4222</v>
      </c>
      <c r="J15" s="515">
        <f t="shared" si="6"/>
        <v>2074920000</v>
      </c>
      <c r="K15" s="513">
        <f t="shared" si="3"/>
        <v>0</v>
      </c>
      <c r="L15" s="514">
        <f t="shared" si="3"/>
        <v>0</v>
      </c>
      <c r="M15" s="513">
        <f t="shared" si="3"/>
        <v>5</v>
      </c>
      <c r="N15" s="515">
        <f t="shared" si="3"/>
        <v>4110000</v>
      </c>
      <c r="O15" s="513">
        <f t="shared" si="3"/>
        <v>0</v>
      </c>
      <c r="P15" s="514">
        <f t="shared" si="3"/>
        <v>0</v>
      </c>
      <c r="Q15" s="1582">
        <f t="shared" si="7"/>
        <v>441</v>
      </c>
      <c r="R15" s="1580">
        <f t="shared" si="7"/>
        <v>88762000</v>
      </c>
      <c r="S15" s="1582">
        <f t="shared" si="7"/>
        <v>3785</v>
      </c>
      <c r="T15" s="1580">
        <f t="shared" si="7"/>
        <v>568940800</v>
      </c>
      <c r="U15" s="513">
        <f t="shared" si="8"/>
        <v>389</v>
      </c>
      <c r="V15" s="515">
        <f t="shared" si="10"/>
        <v>206640000</v>
      </c>
      <c r="W15" s="513">
        <f t="shared" si="4"/>
        <v>88</v>
      </c>
      <c r="X15" s="514">
        <f t="shared" si="4"/>
        <v>30360000</v>
      </c>
      <c r="Y15" s="483" t="s">
        <v>234</v>
      </c>
      <c r="Z15" s="926">
        <v>0.4</v>
      </c>
      <c r="AA15" s="519"/>
      <c r="AB15" s="520" t="s">
        <v>302</v>
      </c>
      <c r="AC15" s="1194"/>
      <c r="AD15" s="1190"/>
      <c r="AE15" s="1190"/>
      <c r="AF15" s="1190"/>
      <c r="AG15" s="1195"/>
      <c r="AH15" s="1195"/>
      <c r="AI15" s="496"/>
    </row>
    <row r="16" spans="1:113" ht="30.75" customHeight="1" thickBot="1">
      <c r="A16" s="2658"/>
      <c r="B16" s="1196" t="s">
        <v>72</v>
      </c>
      <c r="C16" s="1197">
        <f t="shared" si="0"/>
        <v>10260</v>
      </c>
      <c r="D16" s="1198">
        <f t="shared" si="0"/>
        <v>3793618800</v>
      </c>
      <c r="E16" s="1199">
        <f t="shared" si="1"/>
        <v>2</v>
      </c>
      <c r="F16" s="1200">
        <f>F15+F28+F100-F118+F82</f>
        <v>820000</v>
      </c>
      <c r="G16" s="1201">
        <f t="shared" si="9"/>
        <v>1387</v>
      </c>
      <c r="H16" s="1200">
        <f t="shared" si="2"/>
        <v>826000000</v>
      </c>
      <c r="I16" s="1201">
        <f t="shared" si="5"/>
        <v>4230</v>
      </c>
      <c r="J16" s="1200">
        <f t="shared" si="6"/>
        <v>2079150000</v>
      </c>
      <c r="K16" s="1202">
        <f t="shared" si="3"/>
        <v>0</v>
      </c>
      <c r="L16" s="1203">
        <f t="shared" si="3"/>
        <v>0</v>
      </c>
      <c r="M16" s="1202">
        <f t="shared" si="3"/>
        <v>5</v>
      </c>
      <c r="N16" s="1200">
        <f t="shared" si="3"/>
        <v>4110000</v>
      </c>
      <c r="O16" s="1202">
        <f t="shared" si="3"/>
        <v>0</v>
      </c>
      <c r="P16" s="1203">
        <f t="shared" si="3"/>
        <v>0</v>
      </c>
      <c r="Q16" s="1584">
        <f t="shared" si="7"/>
        <v>447</v>
      </c>
      <c r="R16" s="1585">
        <f t="shared" si="7"/>
        <v>89762000</v>
      </c>
      <c r="S16" s="1584">
        <f>S15+O28+S100-S118</f>
        <v>3712</v>
      </c>
      <c r="T16" s="1585">
        <f t="shared" si="7"/>
        <v>556716800</v>
      </c>
      <c r="U16" s="1202">
        <f t="shared" si="8"/>
        <v>390</v>
      </c>
      <c r="V16" s="1200">
        <f>V15+L28+V100-V118+V82</f>
        <v>207140000</v>
      </c>
      <c r="W16" s="1202">
        <f t="shared" si="4"/>
        <v>87</v>
      </c>
      <c r="X16" s="1203">
        <f t="shared" si="4"/>
        <v>29920000</v>
      </c>
      <c r="Y16" s="530">
        <f>SUM(Z16:AH16)</f>
        <v>1167753000</v>
      </c>
      <c r="Z16" s="1586">
        <f>ROUNDDOWN((Z13+Z14)/$Z$12*$Z$15/E13*E16,-3)</f>
        <v>455000</v>
      </c>
      <c r="AA16" s="1205">
        <f>ROUNDDOWN((AA13+AA14)/$Z$12*$Z$15/G13*G16,-3)</f>
        <v>232035000</v>
      </c>
      <c r="AB16" s="1587">
        <f>ROUNDDOWN((AB13+AB14)/$Z$12*$Z$15/I13*I16,-3)</f>
        <v>743833000</v>
      </c>
      <c r="AC16" s="1588">
        <v>0</v>
      </c>
      <c r="AD16" s="1588">
        <v>2048000</v>
      </c>
      <c r="AE16" s="1588"/>
      <c r="AF16" s="1588">
        <f>ROUNDDOWN((AF13+AF14)/$Z$12*$Z$15/G13*G16,-3)</f>
        <v>120409000</v>
      </c>
      <c r="AG16" s="1588">
        <v>0</v>
      </c>
      <c r="AH16" s="1589">
        <f>ROUNDDOWN((AH13+AH14)/$Z$12*$Z$15/U13*U16,-3)</f>
        <v>68973000</v>
      </c>
      <c r="AI16" s="532"/>
    </row>
    <row r="17" spans="1:35" s="1207" customFormat="1" ht="30.75" customHeight="1" thickBot="1">
      <c r="B17" s="1208" t="s">
        <v>78</v>
      </c>
      <c r="C17" s="1209">
        <f>SUM(C5:C16)</f>
        <v>124576</v>
      </c>
      <c r="D17" s="1210">
        <f>SUM(D5:D16)</f>
        <v>45552518800</v>
      </c>
      <c r="E17" s="2659">
        <f>SUM(F5:F16)</f>
        <v>9840000</v>
      </c>
      <c r="F17" s="2660"/>
      <c r="G17" s="2661">
        <f>SUM(H5:H16)</f>
        <v>9941850000</v>
      </c>
      <c r="H17" s="2660"/>
      <c r="I17" s="2661">
        <f>SUM(J5:J16)</f>
        <v>24645780000</v>
      </c>
      <c r="J17" s="2660"/>
      <c r="K17" s="2661">
        <f>SUM(L5:L16)</f>
        <v>0</v>
      </c>
      <c r="L17" s="2660"/>
      <c r="M17" s="2661">
        <f>SUM(N5:N16)</f>
        <v>49800000</v>
      </c>
      <c r="N17" s="2660"/>
      <c r="O17" s="2661">
        <f>SUM(P5:P16)</f>
        <v>0</v>
      </c>
      <c r="P17" s="2660"/>
      <c r="Q17" s="2661">
        <f>SUM(R5:R16)</f>
        <v>1091662000</v>
      </c>
      <c r="R17" s="2660"/>
      <c r="S17" s="2661">
        <f>SUM(T5:T16)</f>
        <v>6985776800</v>
      </c>
      <c r="T17" s="2660"/>
      <c r="U17" s="2661">
        <f>SUM(V5:V16)</f>
        <v>2461120000</v>
      </c>
      <c r="V17" s="2660"/>
      <c r="W17" s="2661">
        <f>SUM(X5:X16)</f>
        <v>366690000</v>
      </c>
      <c r="X17" s="2668"/>
      <c r="Y17" s="1211">
        <f>SUM(Y5:Y16)</f>
        <v>12844591000</v>
      </c>
      <c r="Z17" s="1212">
        <f t="shared" ref="Z17:AH17" si="11">Z7+Z8+Z13+Z14+Z16</f>
        <v>5009000.25</v>
      </c>
      <c r="AA17" s="1213">
        <f>AA7+AA8+AA13+AA14+AA16</f>
        <v>2595053000</v>
      </c>
      <c r="AB17" s="1214">
        <f t="shared" si="11"/>
        <v>8108309000</v>
      </c>
      <c r="AC17" s="1213">
        <f t="shared" si="11"/>
        <v>0</v>
      </c>
      <c r="AD17" s="1213">
        <f t="shared" si="11"/>
        <v>23410000</v>
      </c>
      <c r="AE17" s="1213">
        <f t="shared" si="11"/>
        <v>0</v>
      </c>
      <c r="AF17" s="1213">
        <f t="shared" si="11"/>
        <v>1362061000</v>
      </c>
      <c r="AG17" s="1214">
        <f t="shared" si="11"/>
        <v>0</v>
      </c>
      <c r="AH17" s="1214">
        <f t="shared" si="11"/>
        <v>750749000</v>
      </c>
      <c r="AI17" s="1216"/>
    </row>
    <row r="18" spans="1:35" s="450" customFormat="1" ht="17.25" customHeight="1">
      <c r="C18" s="1217" t="s">
        <v>238</v>
      </c>
      <c r="D18" s="1590">
        <f>ROUND(D16/C16,0)</f>
        <v>369748</v>
      </c>
      <c r="E18" s="1591"/>
      <c r="G18" s="1217" t="s">
        <v>238</v>
      </c>
      <c r="H18" s="1590">
        <f>ROUND(H16/G16,0)</f>
        <v>595530</v>
      </c>
      <c r="I18" s="1217" t="s">
        <v>238</v>
      </c>
      <c r="J18" s="1590">
        <f>ROUND(J16/I16,0)</f>
        <v>491525</v>
      </c>
      <c r="K18" s="548" t="s">
        <v>303</v>
      </c>
      <c r="L18" s="549"/>
      <c r="M18" s="549"/>
      <c r="N18" s="547">
        <f>ROUND((F16+H16+J16)/(E16+G16+I16),0)</f>
        <v>517169</v>
      </c>
      <c r="U18" s="1217" t="s">
        <v>238</v>
      </c>
      <c r="V18" s="1592">
        <f>ROUND(V16/U16,0)</f>
        <v>531128</v>
      </c>
      <c r="W18" s="1217" t="s">
        <v>238</v>
      </c>
      <c r="X18" s="1592">
        <f>ROUND(X16/W16,0)</f>
        <v>343908</v>
      </c>
      <c r="Y18" s="544" t="s">
        <v>241</v>
      </c>
      <c r="Z18" s="1220"/>
      <c r="AA18" s="1592">
        <f>ROUNDDOWN(AA17/G16,-3)</f>
        <v>1870000</v>
      </c>
      <c r="AB18" s="1592">
        <f>ROUNDDOWN(AB17/I16,-3)</f>
        <v>1916000</v>
      </c>
      <c r="AC18" s="1592">
        <f>ROUNDDOWN(AC17/J16,-3)</f>
        <v>0</v>
      </c>
      <c r="AD18" s="1592" t="e">
        <f>ROUNDDOWN(AD17/K16,-3)</f>
        <v>#DIV/0!</v>
      </c>
      <c r="AE18" s="1592" t="e">
        <f>ROUNDDOWN(AE17/L16,-3)</f>
        <v>#DIV/0!</v>
      </c>
      <c r="AF18" s="1592">
        <f>ROUNDDOWN(AF17/M16,-3)</f>
        <v>272412000</v>
      </c>
      <c r="AG18" s="1592"/>
      <c r="AH18" s="1592">
        <f>ROUNDDOWN(AH17/U16,-3)</f>
        <v>1924000</v>
      </c>
    </row>
    <row r="19" spans="1:35" s="450" customFormat="1" ht="17.25" customHeight="1">
      <c r="C19" s="454" t="s">
        <v>244</v>
      </c>
      <c r="D19" s="547">
        <f>AVERAGE(C5:C16)</f>
        <v>10381.333333333334</v>
      </c>
      <c r="E19" s="555"/>
      <c r="F19" s="1593"/>
      <c r="G19" s="1217"/>
      <c r="H19" s="1218"/>
      <c r="I19" s="1217"/>
      <c r="J19" s="1218"/>
      <c r="U19" s="1217"/>
      <c r="V19" s="1219"/>
      <c r="W19" s="1217"/>
      <c r="X19" s="1219"/>
      <c r="Y19" s="1592">
        <f>ROUNDDOWN(Y17/C16,-3)</f>
        <v>1251000</v>
      </c>
      <c r="Z19" s="565" t="s">
        <v>251</v>
      </c>
      <c r="AA19" s="2847">
        <f>ROUNDDOWN((Z17+AA17+AB17)/(E16+G16+I16),-3)</f>
        <v>1905000</v>
      </c>
      <c r="AB19" s="2847">
        <f>ROUNDDOWN(AB17/AVERAGE(H5:H16),-3)</f>
        <v>0</v>
      </c>
      <c r="AC19" s="1594"/>
      <c r="AD19" s="1406"/>
      <c r="AE19" s="1406"/>
      <c r="AF19" s="1406"/>
      <c r="AG19" s="1406"/>
      <c r="AH19" s="1406"/>
    </row>
    <row r="20" spans="1:35" s="450" customFormat="1" ht="15" customHeight="1">
      <c r="B20" s="1053" t="s">
        <v>569</v>
      </c>
      <c r="F20" s="348"/>
      <c r="G20" s="348"/>
      <c r="H20" s="1228"/>
      <c r="J20" s="539"/>
      <c r="N20" s="1219"/>
      <c r="P20" s="1219"/>
      <c r="Q20" s="1219"/>
      <c r="R20" s="1219"/>
      <c r="S20" s="1219"/>
      <c r="T20" s="1219"/>
      <c r="V20" s="1595"/>
      <c r="W20" s="1231"/>
      <c r="X20" s="1232"/>
      <c r="Y20" s="1596"/>
      <c r="Z20" s="1596"/>
      <c r="AA20" s="1596"/>
      <c r="AB20" s="1596"/>
      <c r="AC20" s="1596"/>
      <c r="AD20" s="1596"/>
      <c r="AE20" s="1596"/>
      <c r="AF20" s="1596"/>
      <c r="AG20" s="1596"/>
      <c r="AH20" s="1596"/>
    </row>
    <row r="21" spans="1:35" s="450" customFormat="1" ht="15" customHeight="1" thickBot="1">
      <c r="B21" s="1233" t="s">
        <v>570</v>
      </c>
      <c r="C21" s="1233"/>
      <c r="D21" s="1233"/>
      <c r="E21" s="1233"/>
      <c r="F21" s="1233"/>
      <c r="G21" s="1233"/>
      <c r="H21" s="1234"/>
      <c r="I21" s="1233"/>
      <c r="J21" s="1233"/>
      <c r="K21" s="1233"/>
      <c r="L21" s="1233"/>
      <c r="M21" s="1233"/>
      <c r="N21" s="1234"/>
      <c r="O21" s="1233"/>
      <c r="P21" s="1234"/>
      <c r="Q21" s="1234"/>
      <c r="R21" s="1234"/>
      <c r="S21" s="1234"/>
      <c r="T21" s="1234"/>
      <c r="U21" s="1233"/>
      <c r="V21" s="1597"/>
      <c r="W21" s="1236"/>
      <c r="X21" s="1237"/>
      <c r="Z21" s="1598"/>
      <c r="AA21" s="1598"/>
      <c r="AB21" s="1598"/>
      <c r="AC21" s="1598"/>
      <c r="AD21" s="1598"/>
      <c r="AE21" s="1598"/>
      <c r="AF21" s="1598"/>
      <c r="AG21" s="1598"/>
      <c r="AH21" s="1598"/>
    </row>
    <row r="22" spans="1:35" s="450" customFormat="1" ht="16.5" customHeight="1" thickBot="1">
      <c r="B22" s="2843" t="s">
        <v>274</v>
      </c>
      <c r="C22" s="2844"/>
      <c r="D22" s="2845"/>
      <c r="E22" s="2846" t="s">
        <v>225</v>
      </c>
      <c r="F22" s="2694"/>
      <c r="G22" s="2846" t="s">
        <v>571</v>
      </c>
      <c r="H22" s="2694"/>
      <c r="I22" s="2839" t="s">
        <v>572</v>
      </c>
      <c r="J22" s="2538"/>
      <c r="K22" s="2839" t="s">
        <v>223</v>
      </c>
      <c r="L22" s="2551"/>
      <c r="M22" s="2846" t="s">
        <v>573</v>
      </c>
      <c r="N22" s="2694"/>
      <c r="O22" s="2839" t="s">
        <v>574</v>
      </c>
      <c r="P22" s="2538"/>
      <c r="Q22" s="2840" t="s">
        <v>575</v>
      </c>
      <c r="R22" s="2841"/>
      <c r="S22" s="2498"/>
      <c r="T22" s="2842"/>
      <c r="U22" s="1599"/>
      <c r="V22" s="1233"/>
      <c r="W22" s="1239"/>
      <c r="X22" s="548"/>
      <c r="Y22" s="1598"/>
      <c r="Z22" s="1598"/>
      <c r="AA22" s="1598"/>
      <c r="AB22" s="1598"/>
      <c r="AC22" s="1598"/>
      <c r="AD22" s="1598"/>
      <c r="AE22" s="1598"/>
      <c r="AF22" s="1598"/>
      <c r="AG22" s="1598"/>
      <c r="AH22" s="1598"/>
    </row>
    <row r="23" spans="1:35" s="450" customFormat="1" ht="16.5" customHeight="1">
      <c r="B23" s="2828" t="s">
        <v>576</v>
      </c>
      <c r="C23" s="2829"/>
      <c r="D23" s="1600" t="s">
        <v>488</v>
      </c>
      <c r="E23" s="1601">
        <v>0</v>
      </c>
      <c r="F23" s="1602">
        <v>0</v>
      </c>
      <c r="G23" s="1601">
        <f>'R6介護'!G112+'R5介護'!G95-'R5介護'!G113</f>
        <v>6</v>
      </c>
      <c r="H23" s="1602">
        <f>'R6介護'!H112+'R5介護'!H95-'R5介護'!H113</f>
        <v>3070000</v>
      </c>
      <c r="I23" s="1601">
        <f>'R6介護'!I112+'R5介護'!I95-'R5介護'!I113</f>
        <v>2</v>
      </c>
      <c r="J23" s="1602">
        <f>'R6介護'!J112+'R5介護'!J95-'R5介護'!J113</f>
        <v>1760000</v>
      </c>
      <c r="K23" s="1601">
        <f>'R6介護'!U112+'R5介護'!U95-'R5介護'!U113</f>
        <v>3</v>
      </c>
      <c r="L23" s="1603">
        <f>'R6介護'!V112+'R5介護'!V95-'R5介護'!V113</f>
        <v>1320000</v>
      </c>
      <c r="M23" s="1601">
        <f>'R6介護'!Q112+'R5介護'!Q95-'R5介護'!Q113</f>
        <v>2</v>
      </c>
      <c r="N23" s="1602">
        <f>'R6介護'!R112+'R5介護'!R95-'R5介護'!R113</f>
        <v>352000</v>
      </c>
      <c r="O23" s="1601">
        <f>'R6介護'!S112+'R5介護'!S95-'R5介護'!S113</f>
        <v>19</v>
      </c>
      <c r="P23" s="1602">
        <f>'R6介護'!T112+'R5介護'!T95-'R5介護'!T113</f>
        <v>2613400</v>
      </c>
      <c r="Q23" s="2834">
        <f>SUM(I23:I28,K23:K28,M23:M28,O23:O28,G23:G28,E23:E28)</f>
        <v>10</v>
      </c>
      <c r="R23" s="2836">
        <f>SUM(J23:J28,L23:L28,N23:N28,P23:P28,H23:H28)</f>
        <v>27733400</v>
      </c>
      <c r="S23" s="2835"/>
      <c r="T23" s="2838"/>
      <c r="U23" s="1599"/>
      <c r="V23" s="1233"/>
      <c r="W23" s="1239"/>
      <c r="X23" s="548"/>
      <c r="Y23" s="2822" t="s">
        <v>577</v>
      </c>
      <c r="Z23" s="2822"/>
      <c r="AA23" s="2822"/>
      <c r="AB23" s="2822"/>
      <c r="AC23" s="2822"/>
      <c r="AD23" s="2822"/>
      <c r="AE23" s="2822"/>
      <c r="AF23" s="2822"/>
      <c r="AG23" s="2822"/>
      <c r="AH23" s="2822"/>
    </row>
    <row r="24" spans="1:35" s="450" customFormat="1" ht="16.5" customHeight="1">
      <c r="B24" s="2830"/>
      <c r="C24" s="2831"/>
      <c r="D24" s="1600" t="s">
        <v>578</v>
      </c>
      <c r="E24" s="1601">
        <v>0</v>
      </c>
      <c r="F24" s="1602">
        <v>0</v>
      </c>
      <c r="G24" s="1601">
        <f>'R6介護'!G113+'R5介護'!G96-'R5介護'!G114</f>
        <v>5</v>
      </c>
      <c r="H24" s="1602">
        <f>'R6介護'!H113+'R5介護'!H96-'R5介護'!H114</f>
        <v>2540000</v>
      </c>
      <c r="I24" s="1601">
        <f>'R6介護'!I113+'R5介護'!I96-'R5介護'!I114</f>
        <v>11</v>
      </c>
      <c r="J24" s="1602">
        <f>'R6介護'!J113+'R5介護'!J96-'R5介護'!J114</f>
        <v>4600000</v>
      </c>
      <c r="K24" s="1601">
        <f>'R6介護'!U113+'R5介護'!U96-'R5介護'!U114</f>
        <v>3</v>
      </c>
      <c r="L24" s="1603">
        <f>'R6介護'!V113+'R5介護'!V96-'R5介護'!V114</f>
        <v>1290000</v>
      </c>
      <c r="M24" s="1601">
        <f>'R6介護'!Q113+'R5介護'!Q96-'R5介護'!Q114</f>
        <v>-2</v>
      </c>
      <c r="N24" s="1602">
        <f>'R6介護'!R113+'R5介護'!R96-'R5介護'!R114</f>
        <v>-548000</v>
      </c>
      <c r="O24" s="1601">
        <f>'R6介護'!S113+'R5介護'!S96-'R5介護'!S114</f>
        <v>-13</v>
      </c>
      <c r="P24" s="1602">
        <f>'R6介護'!T113+'R5介護'!T96-'R5介護'!T114</f>
        <v>-2750000</v>
      </c>
      <c r="Q24" s="2835"/>
      <c r="R24" s="2837"/>
      <c r="S24" s="2835"/>
      <c r="T24" s="2838"/>
      <c r="U24" s="1599"/>
      <c r="V24" s="1233"/>
      <c r="W24" s="1239"/>
      <c r="X24" s="548"/>
      <c r="Y24" s="2823" t="s">
        <v>579</v>
      </c>
      <c r="Z24" s="2823"/>
      <c r="AA24" s="2823"/>
      <c r="AB24" s="2823"/>
      <c r="AC24" s="2823"/>
      <c r="AD24" s="2823"/>
      <c r="AE24" s="2823"/>
      <c r="AF24" s="2823"/>
      <c r="AG24" s="2823"/>
      <c r="AH24" s="2823"/>
    </row>
    <row r="25" spans="1:35" s="450" customFormat="1" ht="16.5" customHeight="1">
      <c r="B25" s="2830"/>
      <c r="C25" s="2831"/>
      <c r="D25" s="1600" t="s">
        <v>580</v>
      </c>
      <c r="E25" s="1601">
        <v>0</v>
      </c>
      <c r="F25" s="1602">
        <v>0</v>
      </c>
      <c r="G25" s="1601">
        <f>'R6介護'!G114+'R5介護'!G97-'R5介護'!G115</f>
        <v>8</v>
      </c>
      <c r="H25" s="1602">
        <f>'R6介護'!H114+'R5介護'!H97-'R5介護'!H115</f>
        <v>5330000</v>
      </c>
      <c r="I25" s="1601">
        <f>'R6介護'!I114+'R5介護'!I97-'R5介護'!I115</f>
        <v>14</v>
      </c>
      <c r="J25" s="1602">
        <f>'R6介護'!J114+'R5介護'!J97-'R5介護'!J115</f>
        <v>5750000</v>
      </c>
      <c r="K25" s="1601">
        <f>'R6介護'!U114+'R5介護'!U97-'R5介護'!U115</f>
        <v>1</v>
      </c>
      <c r="L25" s="1603">
        <f>'R6介護'!V114+'R5介護'!V97-'R5介護'!V115</f>
        <v>410000</v>
      </c>
      <c r="M25" s="1601">
        <f>'R6介護'!Q114+'R5介護'!Q97-'R5介護'!Q115</f>
        <v>-5</v>
      </c>
      <c r="N25" s="1602">
        <f>'R6介護'!R114+'R5介護'!R97-'R5介護'!R115</f>
        <v>-724000</v>
      </c>
      <c r="O25" s="1601">
        <f>'R6介護'!S114+'R5介護'!S97-'R5介護'!S115</f>
        <v>-16</v>
      </c>
      <c r="P25" s="1602">
        <f>'R6介護'!T114+'R5介護'!T97-'R5介護'!T115</f>
        <v>-3308000</v>
      </c>
      <c r="Q25" s="2835"/>
      <c r="R25" s="2837"/>
      <c r="S25" s="2835"/>
      <c r="T25" s="2838"/>
      <c r="U25" s="1599"/>
      <c r="V25" s="1233"/>
      <c r="W25" s="1239"/>
      <c r="X25" s="548"/>
      <c r="Y25" s="2823"/>
      <c r="Z25" s="2823"/>
      <c r="AA25" s="2823"/>
      <c r="AB25" s="2823"/>
      <c r="AC25" s="2823"/>
      <c r="AD25" s="2823"/>
      <c r="AE25" s="2823"/>
      <c r="AF25" s="2823"/>
      <c r="AG25" s="2823"/>
      <c r="AH25" s="2823"/>
    </row>
    <row r="26" spans="1:35" s="450" customFormat="1" ht="16.5" customHeight="1">
      <c r="B26" s="2830"/>
      <c r="C26" s="2831"/>
      <c r="D26" s="1604" t="s">
        <v>491</v>
      </c>
      <c r="E26" s="1601">
        <v>0</v>
      </c>
      <c r="F26" s="1602">
        <v>0</v>
      </c>
      <c r="G26" s="1601">
        <f>'R6介護'!G115+'R5介護'!G98-'R5介護'!G116</f>
        <v>1</v>
      </c>
      <c r="H26" s="1602">
        <f>'R6介護'!H115+'R5介護'!H98-'R5介護'!H116</f>
        <v>880000</v>
      </c>
      <c r="I26" s="1601">
        <f>'R6介護'!I115+'R5介護'!I98-'R5介護'!I116</f>
        <v>14</v>
      </c>
      <c r="J26" s="1602">
        <f>'R6介護'!J115+'R5介護'!J98-'R5介護'!J116</f>
        <v>6640000</v>
      </c>
      <c r="K26" s="1601">
        <f>'R6介護'!U115+'R5介護'!U98-'R5介護'!U116</f>
        <v>1</v>
      </c>
      <c r="L26" s="1603">
        <f>'R6介護'!V115+'R5介護'!V98-'R5介護'!V116</f>
        <v>380000</v>
      </c>
      <c r="M26" s="1601">
        <f>'R6介護'!Q115+'R5介護'!Q98-'R5介護'!Q116</f>
        <v>0</v>
      </c>
      <c r="N26" s="1602">
        <f>'R6介護'!R115+'R5介護'!R98-'R5介護'!R116</f>
        <v>-186000</v>
      </c>
      <c r="O26" s="1601">
        <f>'R6介護'!S115+'R5介護'!S98-'R5介護'!S116</f>
        <v>-18</v>
      </c>
      <c r="P26" s="1602">
        <f>'R6介護'!T115+'R5介護'!T98-'R5介護'!T116</f>
        <v>-3292000</v>
      </c>
      <c r="Q26" s="2835"/>
      <c r="R26" s="2837"/>
      <c r="S26" s="2835"/>
      <c r="T26" s="2838"/>
      <c r="U26" s="1599"/>
      <c r="V26" s="1233"/>
      <c r="W26" s="1239"/>
      <c r="X26" s="548"/>
      <c r="Y26" s="1243" t="s">
        <v>581</v>
      </c>
      <c r="Z26" s="1244"/>
      <c r="AA26" s="1244"/>
      <c r="AB26" s="1244"/>
      <c r="AC26" s="1244"/>
      <c r="AD26" s="1244"/>
      <c r="AE26" s="1244"/>
      <c r="AF26" s="1244"/>
      <c r="AG26" s="1244"/>
      <c r="AH26" s="1244"/>
    </row>
    <row r="27" spans="1:35" s="450" customFormat="1" ht="16.5" customHeight="1">
      <c r="B27" s="2830"/>
      <c r="C27" s="2831"/>
      <c r="D27" s="1604" t="s">
        <v>492</v>
      </c>
      <c r="E27" s="1601">
        <v>0</v>
      </c>
      <c r="F27" s="1602">
        <v>0</v>
      </c>
      <c r="G27" s="1601">
        <f>'R6介護'!G116+'R5介護'!G99-'R5介護'!G117</f>
        <v>-9</v>
      </c>
      <c r="H27" s="1602">
        <f>'R6介護'!H116+'R5介護'!H99-'R5介護'!H117</f>
        <v>-1520000</v>
      </c>
      <c r="I27" s="1601">
        <f>'R6介護'!I116+'R5介護'!I99-'R5介護'!I117</f>
        <v>15</v>
      </c>
      <c r="J27" s="1602">
        <f>'R6介護'!J116+'R5介護'!J99-'R5介護'!J117</f>
        <v>6380000</v>
      </c>
      <c r="K27" s="1601">
        <f>'R6介護'!U116+'R5介護'!U99-'R5介護'!U117</f>
        <v>0</v>
      </c>
      <c r="L27" s="1603">
        <f>'R6介護'!V116+'R5介護'!V99-'R5介護'!V117</f>
        <v>-150000</v>
      </c>
      <c r="M27" s="1601">
        <f>'R6介護'!Q116+'R5介護'!Q99-'R5介護'!Q117</f>
        <v>-3</v>
      </c>
      <c r="N27" s="1602">
        <f>'R6介護'!R116+'R5介護'!R99-'R5介護'!R117</f>
        <v>-272000</v>
      </c>
      <c r="O27" s="1601">
        <f>'R6介護'!S116+'R5介護'!S99-'R5介護'!S117</f>
        <v>-10</v>
      </c>
      <c r="P27" s="1602">
        <f>'R6介護'!T116+'R5介護'!T99-'R5介護'!T117</f>
        <v>-2576000</v>
      </c>
      <c r="Q27" s="2835"/>
      <c r="R27" s="2837"/>
      <c r="S27" s="2835"/>
      <c r="T27" s="2838"/>
      <c r="U27" s="1599"/>
      <c r="V27" s="1233"/>
      <c r="W27" s="1239"/>
      <c r="X27" s="548"/>
      <c r="Y27" s="1596"/>
      <c r="Z27" s="1596"/>
      <c r="AA27" s="1596"/>
      <c r="AB27" s="1596"/>
      <c r="AC27" s="1596"/>
      <c r="AD27" s="1596"/>
      <c r="AE27" s="1596"/>
      <c r="AF27" s="1596"/>
      <c r="AG27" s="1596"/>
      <c r="AH27" s="1596"/>
    </row>
    <row r="28" spans="1:35" ht="16.5" customHeight="1" thickBot="1">
      <c r="B28" s="2832"/>
      <c r="C28" s="2833"/>
      <c r="D28" s="1604" t="s">
        <v>493</v>
      </c>
      <c r="E28" s="1601">
        <v>0</v>
      </c>
      <c r="F28" s="1602">
        <v>0</v>
      </c>
      <c r="G28" s="1601">
        <f>'R6介護'!G117+'R5介護'!G100-'R5介護'!G118</f>
        <v>-1</v>
      </c>
      <c r="H28" s="1602">
        <f>'R6介護'!H117+'R5介護'!H100-'R5介護'!H118</f>
        <v>-1290000</v>
      </c>
      <c r="I28" s="1601">
        <f>'R6介護'!I117+'R5介護'!I100-'R5介護'!I118</f>
        <v>13</v>
      </c>
      <c r="J28" s="1602">
        <f>'R6介護'!J117+'R5介護'!J100-'R5介護'!J118</f>
        <v>5960000</v>
      </c>
      <c r="K28" s="1601">
        <f>'R6介護'!U117+'R5介護'!U100-'R5介護'!U118</f>
        <v>1</v>
      </c>
      <c r="L28" s="1603">
        <f>'R6介護'!V117+'R5介護'!V100-'R5介護'!V118</f>
        <v>500000</v>
      </c>
      <c r="M28" s="1601">
        <f>'R6介護'!Q117+'R5介護'!Q100-'R5介護'!Q118</f>
        <v>3</v>
      </c>
      <c r="N28" s="1602">
        <f>'R6介護'!R117+'R5介護'!R100-'R5介護'!R118</f>
        <v>500000</v>
      </c>
      <c r="O28" s="1601">
        <f>'R6介護'!S117+'R5介護'!S100-'R5介護'!S118</f>
        <v>-35</v>
      </c>
      <c r="P28" s="1602">
        <f>'R6介護'!T117+'R5介護'!T100-'R5介護'!T118</f>
        <v>-5926000</v>
      </c>
      <c r="Q28" s="1605" t="s">
        <v>582</v>
      </c>
      <c r="R28" s="1606" t="s">
        <v>248</v>
      </c>
      <c r="S28" s="1607"/>
      <c r="T28" s="1608"/>
      <c r="U28" s="1599"/>
      <c r="V28" s="1233"/>
      <c r="W28" s="1233"/>
      <c r="X28" s="1241"/>
      <c r="Y28" s="1233"/>
      <c r="Z28" s="1609"/>
      <c r="AA28" s="1251"/>
      <c r="AB28" s="1251"/>
      <c r="AC28" s="1251"/>
      <c r="AD28" s="1251"/>
      <c r="AE28" s="1251"/>
      <c r="AF28" s="1251"/>
      <c r="AG28" s="1233"/>
      <c r="AH28" s="450"/>
    </row>
    <row r="29" spans="1:35" s="749" customFormat="1" ht="9.75" customHeight="1">
      <c r="B29" s="1233"/>
      <c r="C29" s="1233"/>
      <c r="D29" s="1233"/>
      <c r="E29" s="1233"/>
      <c r="F29" s="1233"/>
      <c r="G29" s="1233"/>
      <c r="H29" s="454"/>
      <c r="I29" s="230"/>
      <c r="J29" s="282"/>
      <c r="K29" s="282"/>
      <c r="L29" s="282"/>
      <c r="M29" s="230"/>
      <c r="N29" s="230"/>
      <c r="O29" s="1610"/>
      <c r="P29" s="230"/>
      <c r="Q29" s="230"/>
      <c r="R29" s="230"/>
      <c r="S29" s="230"/>
      <c r="T29" s="230"/>
      <c r="U29" s="230"/>
      <c r="V29" s="230"/>
      <c r="W29" s="399"/>
      <c r="X29" s="399"/>
      <c r="Y29" s="2824"/>
      <c r="Z29" s="1609"/>
      <c r="AA29" s="1251"/>
      <c r="AB29" s="1251"/>
      <c r="AC29" s="1251"/>
      <c r="AD29" s="1251"/>
      <c r="AE29" s="1251"/>
      <c r="AF29" s="1251"/>
    </row>
    <row r="30" spans="1:35" s="749" customFormat="1" ht="15" customHeight="1">
      <c r="B30" s="1245" t="s">
        <v>583</v>
      </c>
      <c r="C30" s="267"/>
      <c r="D30" s="454"/>
      <c r="E30" s="454"/>
      <c r="F30" s="1247"/>
      <c r="G30" s="1247" t="s">
        <v>257</v>
      </c>
      <c r="H30" s="1248"/>
      <c r="I30" s="16"/>
      <c r="J30" s="16"/>
      <c r="K30" s="15"/>
      <c r="L30" s="15"/>
      <c r="M30" s="16"/>
      <c r="W30" s="1233"/>
      <c r="X30" s="1233"/>
      <c r="Y30" s="2824"/>
      <c r="Z30" s="399"/>
    </row>
    <row r="31" spans="1:35" s="749" customFormat="1" ht="15" customHeight="1">
      <c r="A31" s="1252"/>
      <c r="B31" s="2825" t="s">
        <v>0</v>
      </c>
      <c r="C31" s="2825"/>
      <c r="D31" s="2826" t="s">
        <v>81</v>
      </c>
      <c r="E31" s="2826"/>
      <c r="F31" s="2826" t="s">
        <v>584</v>
      </c>
      <c r="G31" s="2826"/>
      <c r="H31" s="2819" t="s">
        <v>585</v>
      </c>
      <c r="I31" s="2820"/>
      <c r="J31" s="2820"/>
      <c r="K31" s="2820"/>
      <c r="L31" s="2820"/>
      <c r="M31" s="16"/>
    </row>
    <row r="32" spans="1:35" s="749" customFormat="1" ht="15" customHeight="1">
      <c r="A32" s="1254"/>
      <c r="B32" s="2601" t="s">
        <v>233</v>
      </c>
      <c r="C32" s="2601"/>
      <c r="D32" s="2818">
        <v>12770000</v>
      </c>
      <c r="E32" s="2818"/>
      <c r="F32" s="2827"/>
      <c r="G32" s="2827"/>
      <c r="H32" s="2819"/>
      <c r="I32" s="2820"/>
      <c r="J32" s="2820"/>
      <c r="K32" s="2820"/>
      <c r="L32" s="2820"/>
      <c r="Z32" s="1256"/>
      <c r="AA32" s="751"/>
    </row>
    <row r="33" spans="1:34" s="749" customFormat="1" ht="15" customHeight="1">
      <c r="B33" s="2601" t="s">
        <v>524</v>
      </c>
      <c r="C33" s="2601"/>
      <c r="D33" s="2818">
        <v>13420000</v>
      </c>
      <c r="E33" s="2818"/>
      <c r="F33" s="2821"/>
      <c r="G33" s="2821"/>
      <c r="H33" s="2819"/>
      <c r="I33" s="2820"/>
      <c r="J33" s="2820"/>
      <c r="K33" s="2820"/>
      <c r="L33" s="2820"/>
      <c r="M33" s="1255"/>
      <c r="N33" s="420"/>
    </row>
    <row r="34" spans="1:34" s="749" customFormat="1" ht="15" customHeight="1">
      <c r="A34" s="1254"/>
      <c r="B34" s="2601" t="s">
        <v>63</v>
      </c>
      <c r="C34" s="2601"/>
      <c r="D34" s="2818">
        <v>13870000</v>
      </c>
      <c r="E34" s="2818"/>
      <c r="F34" s="2818">
        <v>5628000</v>
      </c>
      <c r="G34" s="2818"/>
      <c r="H34" s="2819" t="s">
        <v>586</v>
      </c>
      <c r="I34" s="2820"/>
      <c r="J34" s="2820"/>
      <c r="K34" s="2820"/>
      <c r="L34" s="2820"/>
      <c r="M34" s="1611"/>
      <c r="N34" s="420"/>
    </row>
    <row r="35" spans="1:34" s="749" customFormat="1" ht="15" customHeight="1">
      <c r="B35" s="2601" t="s">
        <v>64</v>
      </c>
      <c r="C35" s="2601"/>
      <c r="D35" s="2818">
        <v>13730000</v>
      </c>
      <c r="E35" s="2818"/>
      <c r="F35" s="2818"/>
      <c r="G35" s="2818"/>
      <c r="H35" s="2819"/>
      <c r="I35" s="2820"/>
      <c r="J35" s="2820"/>
      <c r="K35" s="2820"/>
      <c r="L35" s="2820"/>
      <c r="M35" s="761"/>
      <c r="N35" s="761"/>
      <c r="O35" s="761"/>
      <c r="P35" s="761"/>
      <c r="Q35" s="761"/>
      <c r="R35" s="761"/>
      <c r="S35" s="761"/>
      <c r="T35" s="761"/>
      <c r="U35" s="761"/>
      <c r="V35" s="761"/>
    </row>
    <row r="36" spans="1:34" s="749" customFormat="1" ht="15" customHeight="1">
      <c r="B36" s="2601" t="s">
        <v>65</v>
      </c>
      <c r="C36" s="2601"/>
      <c r="D36" s="2818">
        <v>13390000</v>
      </c>
      <c r="E36" s="2818"/>
      <c r="F36" s="2818"/>
      <c r="G36" s="2818"/>
      <c r="H36" s="2819"/>
      <c r="I36" s="2820"/>
      <c r="J36" s="2820"/>
      <c r="K36" s="2820"/>
      <c r="L36" s="2820"/>
      <c r="M36" s="1253"/>
      <c r="N36" s="1255"/>
      <c r="O36" s="1612"/>
      <c r="P36" s="420"/>
      <c r="Q36" s="420"/>
      <c r="R36" s="420"/>
      <c r="S36" s="420"/>
      <c r="T36" s="420"/>
    </row>
    <row r="37" spans="1:34" s="749" customFormat="1" ht="15" customHeight="1">
      <c r="B37" s="2601" t="s">
        <v>66</v>
      </c>
      <c r="C37" s="2601"/>
      <c r="D37" s="2818">
        <v>14280000</v>
      </c>
      <c r="E37" s="2818"/>
      <c r="F37" s="2818"/>
      <c r="G37" s="2818"/>
      <c r="H37" s="1253"/>
      <c r="I37" s="230"/>
      <c r="J37" s="230"/>
      <c r="K37" s="230"/>
      <c r="L37" s="230"/>
      <c r="M37" s="1613"/>
      <c r="N37" s="1255"/>
      <c r="O37" s="1611"/>
      <c r="P37" s="420"/>
      <c r="Q37" s="420"/>
      <c r="R37" s="420"/>
      <c r="S37" s="420"/>
      <c r="T37" s="420"/>
    </row>
    <row r="38" spans="1:34" s="749" customFormat="1" ht="15" customHeight="1">
      <c r="B38" s="2601" t="s">
        <v>67</v>
      </c>
      <c r="C38" s="2601"/>
      <c r="D38" s="2816">
        <f t="shared" ref="D38:D43" si="12">D37</f>
        <v>14280000</v>
      </c>
      <c r="E38" s="2816"/>
      <c r="F38" s="2607"/>
      <c r="G38" s="2607"/>
      <c r="H38" s="1253"/>
      <c r="I38" s="230"/>
      <c r="J38" s="230"/>
      <c r="K38" s="230"/>
      <c r="L38" s="230"/>
      <c r="M38" s="1613"/>
      <c r="N38" s="1255"/>
      <c r="O38" s="1611"/>
      <c r="P38" s="420"/>
      <c r="Q38" s="420"/>
      <c r="R38" s="420"/>
      <c r="S38" s="420"/>
      <c r="T38" s="420"/>
    </row>
    <row r="39" spans="1:34" s="749" customFormat="1" ht="15" customHeight="1">
      <c r="B39" s="2601" t="s">
        <v>68</v>
      </c>
      <c r="C39" s="2601"/>
      <c r="D39" s="2816">
        <f t="shared" si="12"/>
        <v>14280000</v>
      </c>
      <c r="E39" s="2816"/>
      <c r="F39" s="2607"/>
      <c r="G39" s="2607"/>
      <c r="H39" s="1248"/>
      <c r="I39" s="230"/>
      <c r="J39" s="230"/>
      <c r="K39" s="230"/>
      <c r="L39" s="230"/>
      <c r="M39" s="1613"/>
      <c r="N39" s="1255"/>
      <c r="O39" s="1611"/>
      <c r="P39" s="420"/>
      <c r="Q39" s="420"/>
      <c r="R39" s="420"/>
      <c r="S39" s="420"/>
      <c r="T39" s="420"/>
    </row>
    <row r="40" spans="1:34" s="749" customFormat="1" ht="15" customHeight="1">
      <c r="B40" s="2601" t="s">
        <v>69</v>
      </c>
      <c r="C40" s="2601"/>
      <c r="D40" s="2816">
        <f t="shared" si="12"/>
        <v>14280000</v>
      </c>
      <c r="E40" s="2816"/>
      <c r="F40" s="2818">
        <v>6144000</v>
      </c>
      <c r="G40" s="2818"/>
      <c r="H40" s="1248"/>
      <c r="I40" s="230"/>
      <c r="J40" s="230"/>
      <c r="K40" s="230"/>
      <c r="L40" s="230"/>
      <c r="M40" s="1613"/>
      <c r="N40" s="1255"/>
      <c r="O40" s="1611"/>
      <c r="P40" s="420"/>
      <c r="Q40" s="420"/>
      <c r="R40" s="420"/>
      <c r="S40" s="420"/>
      <c r="T40" s="420"/>
    </row>
    <row r="41" spans="1:34" s="749" customFormat="1" ht="15" customHeight="1">
      <c r="B41" s="2601" t="s">
        <v>70</v>
      </c>
      <c r="C41" s="2601"/>
      <c r="D41" s="2816">
        <f t="shared" si="12"/>
        <v>14280000</v>
      </c>
      <c r="E41" s="2816"/>
      <c r="F41" s="2817"/>
      <c r="G41" s="2817"/>
      <c r="H41" s="1248"/>
      <c r="I41" s="230"/>
      <c r="J41" s="230"/>
      <c r="K41" s="230"/>
      <c r="L41" s="230"/>
      <c r="M41" s="1613"/>
      <c r="N41" s="1255"/>
      <c r="O41" s="1611"/>
      <c r="P41" s="420"/>
      <c r="Q41" s="420"/>
      <c r="R41" s="420"/>
      <c r="S41" s="420"/>
      <c r="T41" s="420"/>
    </row>
    <row r="42" spans="1:34" s="749" customFormat="1" ht="15" customHeight="1">
      <c r="B42" s="2601" t="s">
        <v>71</v>
      </c>
      <c r="C42" s="2601"/>
      <c r="D42" s="2816">
        <f t="shared" si="12"/>
        <v>14280000</v>
      </c>
      <c r="E42" s="2816"/>
      <c r="F42" s="2817"/>
      <c r="G42" s="2817"/>
      <c r="H42" s="1248"/>
      <c r="I42" s="230"/>
      <c r="J42" s="230"/>
      <c r="K42" s="230"/>
      <c r="L42" s="230"/>
      <c r="M42" s="1613"/>
      <c r="N42" s="1255"/>
      <c r="O42" s="1611"/>
      <c r="P42" s="420"/>
      <c r="Q42" s="420"/>
      <c r="R42" s="420"/>
      <c r="S42" s="420"/>
      <c r="T42" s="420"/>
    </row>
    <row r="43" spans="1:34" s="749" customFormat="1" ht="15" customHeight="1" thickBot="1">
      <c r="B43" s="2809" t="s">
        <v>72</v>
      </c>
      <c r="C43" s="2809"/>
      <c r="D43" s="2810">
        <f t="shared" si="12"/>
        <v>14280000</v>
      </c>
      <c r="E43" s="2810"/>
      <c r="F43" s="2811">
        <v>2134000</v>
      </c>
      <c r="G43" s="2811"/>
      <c r="H43" s="1248"/>
      <c r="I43" s="230"/>
      <c r="J43" s="230"/>
      <c r="K43" s="230"/>
      <c r="L43" s="230"/>
      <c r="M43" s="1613"/>
      <c r="N43" s="1255"/>
      <c r="O43" s="1611"/>
      <c r="P43" s="420"/>
      <c r="Q43" s="420"/>
      <c r="R43" s="420"/>
      <c r="S43" s="420"/>
      <c r="T43" s="420"/>
    </row>
    <row r="44" spans="1:34" s="749" customFormat="1" ht="15" customHeight="1" thickBot="1">
      <c r="B44" s="2812" t="s">
        <v>78</v>
      </c>
      <c r="C44" s="2813"/>
      <c r="D44" s="2814">
        <f>SUM(D32:E43)</f>
        <v>167140000</v>
      </c>
      <c r="E44" s="2814"/>
      <c r="F44" s="2814">
        <f>SUM(F33:G43)</f>
        <v>13906000</v>
      </c>
      <c r="G44" s="2815"/>
      <c r="H44" s="1253"/>
      <c r="I44" s="230"/>
      <c r="J44" s="230"/>
      <c r="K44" s="230"/>
      <c r="L44" s="230"/>
    </row>
    <row r="45" spans="1:34" s="749" customFormat="1" ht="12" customHeight="1">
      <c r="A45" s="1254"/>
      <c r="B45" s="236"/>
      <c r="C45" s="1614"/>
      <c r="D45" s="1614"/>
      <c r="E45" s="1614"/>
      <c r="F45" s="1614"/>
      <c r="G45" s="236"/>
      <c r="H45" s="1257"/>
      <c r="I45" s="236"/>
      <c r="J45" s="236"/>
      <c r="K45" s="236"/>
      <c r="L45" s="236"/>
      <c r="M45" s="399"/>
      <c r="N45" s="399"/>
      <c r="O45" s="399"/>
      <c r="P45" s="399"/>
      <c r="Q45" s="399"/>
      <c r="R45" s="399"/>
      <c r="S45" s="399"/>
      <c r="T45" s="399"/>
      <c r="U45" s="399"/>
      <c r="V45" s="399"/>
    </row>
    <row r="46" spans="1:34" s="749" customFormat="1" ht="12" customHeight="1" thickBot="1">
      <c r="A46" s="1258"/>
      <c r="B46" s="236"/>
      <c r="C46" s="236"/>
      <c r="D46" s="1615"/>
      <c r="E46" s="1615"/>
      <c r="F46" s="1615"/>
      <c r="G46" s="1616"/>
      <c r="H46" s="1617"/>
      <c r="I46" s="1617"/>
      <c r="J46" s="1617"/>
      <c r="K46" s="1617"/>
      <c r="L46" s="236"/>
      <c r="M46" s="399"/>
      <c r="N46" s="1233"/>
      <c r="O46" s="1233"/>
      <c r="P46" s="1233"/>
      <c r="Q46" s="1233"/>
      <c r="R46" s="1233"/>
      <c r="S46" s="1233"/>
      <c r="T46" s="1233"/>
      <c r="U46" s="1233"/>
      <c r="V46" s="1233"/>
      <c r="Y46" s="749" t="s">
        <v>587</v>
      </c>
      <c r="AA46" s="749" t="s">
        <v>588</v>
      </c>
      <c r="AB46" s="749">
        <v>0.12</v>
      </c>
      <c r="AC46" s="749" t="s">
        <v>589</v>
      </c>
    </row>
    <row r="47" spans="1:34" s="749" customFormat="1" ht="12" customHeight="1">
      <c r="A47" s="1258"/>
      <c r="B47" s="236"/>
      <c r="C47" s="236"/>
      <c r="D47" s="1615"/>
      <c r="E47" s="1615"/>
      <c r="F47" s="1615"/>
      <c r="G47" s="1618"/>
      <c r="H47" s="1617"/>
      <c r="I47" s="1617"/>
      <c r="J47" s="1617"/>
      <c r="K47" s="1617"/>
      <c r="L47" s="236"/>
      <c r="N47" s="399"/>
      <c r="O47" s="399"/>
      <c r="P47" s="399"/>
      <c r="Q47" s="399"/>
      <c r="R47" s="399"/>
      <c r="S47" s="399"/>
      <c r="T47" s="399"/>
      <c r="U47" s="399"/>
      <c r="V47" s="399"/>
      <c r="Y47" s="2664" t="s">
        <v>224</v>
      </c>
      <c r="Z47" s="2801" t="s">
        <v>221</v>
      </c>
      <c r="AA47" s="2696"/>
      <c r="AB47" s="2697"/>
      <c r="AC47" s="2698" t="s">
        <v>74</v>
      </c>
      <c r="AD47" s="2699"/>
      <c r="AE47" s="1403"/>
      <c r="AF47" s="1403"/>
      <c r="AG47" s="2802" t="s">
        <v>222</v>
      </c>
      <c r="AH47" s="2802" t="s">
        <v>223</v>
      </c>
    </row>
    <row r="48" spans="1:34" s="749" customFormat="1" ht="12" customHeight="1">
      <c r="A48" s="420"/>
      <c r="B48" s="236"/>
      <c r="C48" s="236"/>
      <c r="D48" s="1615"/>
      <c r="E48" s="1615"/>
      <c r="F48" s="1615"/>
      <c r="G48" s="1619"/>
      <c r="H48" s="1248"/>
      <c r="I48" s="1248"/>
      <c r="J48" s="1248"/>
      <c r="K48" s="1617"/>
      <c r="L48" s="236"/>
      <c r="Y48" s="2665"/>
      <c r="Z48" s="2805" t="s">
        <v>225</v>
      </c>
      <c r="AA48" s="2807" t="s">
        <v>77</v>
      </c>
      <c r="AB48" s="2807" t="s">
        <v>227</v>
      </c>
      <c r="AC48" s="2807" t="s">
        <v>76</v>
      </c>
      <c r="AD48" s="2807" t="s">
        <v>228</v>
      </c>
      <c r="AE48" s="1620"/>
      <c r="AF48" s="1620"/>
      <c r="AG48" s="2803"/>
      <c r="AH48" s="2803"/>
    </row>
    <row r="49" spans="1:34" s="761" customFormat="1" ht="12" customHeight="1">
      <c r="A49" s="1266"/>
      <c r="B49" s="236"/>
      <c r="C49" s="236"/>
      <c r="D49" s="1615"/>
      <c r="E49" s="1615"/>
      <c r="F49" s="1615"/>
      <c r="G49" s="1621"/>
      <c r="H49" s="1255"/>
      <c r="I49" s="436"/>
      <c r="J49" s="236"/>
      <c r="K49" s="236"/>
      <c r="L49" s="236"/>
      <c r="M49" s="749"/>
      <c r="N49" s="749"/>
      <c r="O49" s="749"/>
      <c r="P49" s="749"/>
      <c r="Q49" s="749"/>
      <c r="R49" s="749"/>
      <c r="S49" s="749"/>
      <c r="T49" s="749"/>
      <c r="U49" s="749"/>
      <c r="V49" s="749"/>
      <c r="W49" s="749"/>
      <c r="X49" s="749"/>
      <c r="Y49" s="2666"/>
      <c r="Z49" s="2806"/>
      <c r="AA49" s="2808"/>
      <c r="AB49" s="2808"/>
      <c r="AC49" s="2808"/>
      <c r="AD49" s="2808"/>
      <c r="AE49" s="1622"/>
      <c r="AF49" s="1622"/>
      <c r="AG49" s="2804"/>
      <c r="AH49" s="2804"/>
    </row>
    <row r="50" spans="1:34" s="749" customFormat="1" ht="12" customHeight="1">
      <c r="B50" s="236"/>
      <c r="C50" s="236"/>
      <c r="D50" s="1615"/>
      <c r="E50" s="1615"/>
      <c r="F50" s="1615">
        <f>F40</f>
        <v>6144000</v>
      </c>
      <c r="G50" s="1621"/>
      <c r="H50" s="1255"/>
      <c r="I50" s="436"/>
      <c r="J50" s="236"/>
      <c r="K50" s="236"/>
      <c r="L50" s="236"/>
      <c r="Y50" s="487">
        <f>SUM(Z50:AH50)</f>
        <v>5450048000</v>
      </c>
      <c r="Z50" s="1623">
        <v>5500000</v>
      </c>
      <c r="AA50" s="1624">
        <v>1004004000</v>
      </c>
      <c r="AB50" s="1624">
        <v>4047796000</v>
      </c>
      <c r="AC50" s="1624">
        <v>0</v>
      </c>
      <c r="AD50" s="1624">
        <v>10075000</v>
      </c>
      <c r="AE50" s="1624"/>
      <c r="AF50" s="1624"/>
      <c r="AG50" s="1624">
        <v>3035000</v>
      </c>
      <c r="AH50" s="1624">
        <v>379638000</v>
      </c>
    </row>
    <row r="51" spans="1:34" s="749" customFormat="1" ht="12" customHeight="1">
      <c r="B51" s="236"/>
      <c r="C51" s="236"/>
      <c r="D51" s="1615"/>
      <c r="E51" s="1615"/>
      <c r="F51" s="1615"/>
      <c r="G51" s="1621"/>
      <c r="H51" s="1255"/>
      <c r="I51" s="436"/>
      <c r="J51" s="236"/>
      <c r="K51" s="236"/>
      <c r="L51" s="236"/>
      <c r="Y51" s="491">
        <f>SUM(Z51:AH51)</f>
        <v>3438000</v>
      </c>
      <c r="Z51" s="1625">
        <v>5000</v>
      </c>
      <c r="AA51" s="1626">
        <v>654000</v>
      </c>
      <c r="AB51" s="1626">
        <v>2540000</v>
      </c>
      <c r="AC51" s="1626">
        <v>0</v>
      </c>
      <c r="AD51" s="1626">
        <v>1000</v>
      </c>
      <c r="AE51" s="1627"/>
      <c r="AF51" s="1627"/>
      <c r="AG51" s="1627">
        <v>0</v>
      </c>
      <c r="AH51" s="1282">
        <v>238000</v>
      </c>
    </row>
    <row r="52" spans="1:34" s="749" customFormat="1" ht="12" customHeight="1">
      <c r="B52" s="236"/>
      <c r="C52" s="236"/>
      <c r="D52" s="1615"/>
      <c r="E52" s="1615"/>
      <c r="F52" s="1615"/>
      <c r="G52" s="1621"/>
      <c r="H52" s="436"/>
      <c r="I52" s="436"/>
      <c r="J52" s="236"/>
      <c r="K52" s="236"/>
      <c r="L52" s="236"/>
      <c r="Y52" s="1628" t="s">
        <v>301</v>
      </c>
      <c r="Z52" s="1629"/>
      <c r="AA52" s="1630"/>
      <c r="AB52" s="1630"/>
      <c r="AC52" s="1630"/>
      <c r="AD52" s="1631"/>
      <c r="AE52" s="1632"/>
      <c r="AF52" s="1632"/>
      <c r="AG52" s="1627"/>
      <c r="AH52" s="1630"/>
    </row>
    <row r="53" spans="1:34" ht="12" customHeight="1">
      <c r="B53" s="236"/>
      <c r="C53" s="236"/>
      <c r="D53" s="1615"/>
      <c r="E53" s="1615"/>
      <c r="F53" s="1615"/>
      <c r="G53" s="1621"/>
      <c r="H53" s="436"/>
      <c r="I53" s="436"/>
      <c r="J53" s="236"/>
      <c r="K53" s="236"/>
      <c r="L53" s="236"/>
      <c r="M53" s="749"/>
      <c r="N53" s="749"/>
      <c r="O53" s="749"/>
      <c r="P53" s="749"/>
      <c r="Q53" s="749"/>
      <c r="R53" s="749"/>
      <c r="S53" s="749"/>
      <c r="T53" s="749"/>
      <c r="U53" s="749"/>
      <c r="V53" s="749"/>
      <c r="W53" s="761"/>
      <c r="X53" s="761"/>
      <c r="Y53" s="1633"/>
      <c r="Z53" s="1289"/>
      <c r="AA53" s="1634"/>
      <c r="AB53" s="1634"/>
      <c r="AC53" s="1634"/>
      <c r="AD53" s="1630"/>
      <c r="AE53" s="1627"/>
      <c r="AF53" s="1627"/>
      <c r="AG53" s="1627"/>
      <c r="AH53" s="1630"/>
    </row>
    <row r="54" spans="1:34" s="399" customFormat="1" ht="12" customHeight="1">
      <c r="B54" s="236"/>
      <c r="C54" s="236"/>
      <c r="D54" s="541"/>
      <c r="E54" s="1615"/>
      <c r="F54" s="541"/>
      <c r="G54" s="1635"/>
      <c r="H54" s="436"/>
      <c r="I54" s="436"/>
      <c r="J54" s="236"/>
      <c r="K54" s="236"/>
      <c r="L54" s="236"/>
      <c r="M54" s="749"/>
      <c r="N54" s="749"/>
      <c r="O54" s="749"/>
      <c r="P54" s="749"/>
      <c r="Q54" s="749"/>
      <c r="R54" s="749"/>
      <c r="S54" s="749"/>
      <c r="T54" s="749"/>
      <c r="U54" s="749"/>
      <c r="V54" s="749"/>
      <c r="W54" s="749"/>
      <c r="X54" s="749"/>
      <c r="Y54" s="1633"/>
      <c r="Z54" s="1629"/>
      <c r="AA54" s="1630"/>
      <c r="AB54" s="1630"/>
      <c r="AC54" s="1630"/>
      <c r="AD54" s="1630"/>
      <c r="AE54" s="1627"/>
      <c r="AF54" s="1627"/>
      <c r="AG54" s="1627"/>
      <c r="AH54" s="1630"/>
    </row>
    <row r="55" spans="1:34" s="1233" customFormat="1" ht="12" customHeight="1">
      <c r="B55" s="236"/>
      <c r="C55" s="236"/>
      <c r="D55" s="1636"/>
      <c r="E55" s="1615"/>
      <c r="F55" s="1637"/>
      <c r="G55" s="1621"/>
      <c r="H55" s="436"/>
      <c r="I55" s="436"/>
      <c r="J55" s="236"/>
      <c r="K55" s="236"/>
      <c r="L55" s="236"/>
      <c r="M55" s="749"/>
      <c r="N55" s="749"/>
      <c r="O55" s="749"/>
      <c r="P55" s="749"/>
      <c r="Q55" s="749"/>
      <c r="R55" s="749"/>
      <c r="S55" s="749"/>
      <c r="T55" s="749"/>
      <c r="U55" s="749"/>
      <c r="V55" s="749"/>
      <c r="W55" s="749"/>
      <c r="X55" s="749"/>
      <c r="Y55" s="1638"/>
      <c r="Z55" s="1639"/>
      <c r="AA55" s="1630"/>
      <c r="AB55" s="1630"/>
      <c r="AC55" s="1630"/>
      <c r="AD55" s="1630"/>
      <c r="AE55" s="1627"/>
      <c r="AF55" s="1627"/>
      <c r="AG55" s="1627"/>
      <c r="AH55" s="1630"/>
    </row>
    <row r="56" spans="1:34" s="399" customFormat="1" ht="12" customHeight="1">
      <c r="B56" s="236"/>
      <c r="C56" s="236"/>
      <c r="D56" s="1636"/>
      <c r="E56" s="1615"/>
      <c r="F56" s="1637"/>
      <c r="G56" s="1621"/>
      <c r="H56" s="436"/>
      <c r="I56" s="436"/>
      <c r="J56" s="236"/>
      <c r="K56" s="236"/>
      <c r="L56" s="236"/>
      <c r="M56" s="749"/>
      <c r="N56" s="749"/>
      <c r="O56" s="749"/>
      <c r="P56" s="749"/>
      <c r="Q56" s="749"/>
      <c r="R56" s="749"/>
      <c r="S56" s="749"/>
      <c r="T56" s="749"/>
      <c r="U56" s="749"/>
      <c r="V56" s="749"/>
      <c r="W56" s="749"/>
      <c r="X56" s="749"/>
      <c r="Y56" s="1640">
        <f>SUM(Z56:AH56)</f>
        <v>5956820000</v>
      </c>
      <c r="Z56" s="1623">
        <v>5528000</v>
      </c>
      <c r="AA56" s="1624">
        <v>1111505000</v>
      </c>
      <c r="AB56" s="1624">
        <v>4415968000</v>
      </c>
      <c r="AC56" s="1624">
        <v>0</v>
      </c>
      <c r="AD56" s="1624">
        <v>8906000</v>
      </c>
      <c r="AE56" s="1641"/>
      <c r="AF56" s="1641"/>
      <c r="AG56" s="1641">
        <v>2695000</v>
      </c>
      <c r="AH56" s="1624">
        <v>412218000</v>
      </c>
    </row>
    <row r="57" spans="1:34" s="749" customFormat="1" ht="12" customHeight="1">
      <c r="A57" s="1254"/>
      <c r="B57" s="236"/>
      <c r="C57" s="236"/>
      <c r="D57" s="1636"/>
      <c r="E57" s="1615"/>
      <c r="F57" s="1637"/>
      <c r="G57" s="1621"/>
      <c r="H57" s="436"/>
      <c r="I57" s="436"/>
      <c r="J57" s="236"/>
      <c r="K57" s="236"/>
      <c r="L57" s="236"/>
      <c r="W57" s="230"/>
      <c r="X57" s="230"/>
      <c r="Y57" s="516">
        <f>SUM(Z57:AH57)</f>
        <v>3714000</v>
      </c>
      <c r="Z57" s="1625">
        <v>4000</v>
      </c>
      <c r="AA57" s="1296">
        <v>708000</v>
      </c>
      <c r="AB57" s="1626">
        <v>2742000</v>
      </c>
      <c r="AC57" s="1296">
        <v>0</v>
      </c>
      <c r="AD57" s="1630">
        <v>1000</v>
      </c>
      <c r="AE57" s="1627"/>
      <c r="AF57" s="1627"/>
      <c r="AG57" s="1627">
        <v>0</v>
      </c>
      <c r="AH57" s="1282">
        <v>259000</v>
      </c>
    </row>
    <row r="58" spans="1:34" s="749" customFormat="1" ht="12" customHeight="1">
      <c r="B58" s="236"/>
      <c r="C58" s="236"/>
      <c r="D58" s="1636"/>
      <c r="E58" s="1615"/>
      <c r="F58" s="1636"/>
      <c r="G58" s="1619"/>
      <c r="H58" s="436"/>
      <c r="I58" s="436"/>
      <c r="J58" s="236"/>
      <c r="K58" s="236"/>
      <c r="L58" s="236"/>
      <c r="W58" s="399"/>
      <c r="X58" s="399"/>
      <c r="Y58" s="1628" t="s">
        <v>302</v>
      </c>
      <c r="Z58" s="1639"/>
      <c r="AA58" s="1642"/>
      <c r="AB58" s="1642"/>
      <c r="AC58" s="1643"/>
      <c r="AD58" s="1631"/>
      <c r="AE58" s="1632"/>
      <c r="AF58" s="1632"/>
      <c r="AG58" s="1644"/>
      <c r="AH58" s="1644"/>
    </row>
    <row r="59" spans="1:34" s="749" customFormat="1" ht="12" customHeight="1" thickBot="1">
      <c r="B59" s="236"/>
      <c r="C59" s="236"/>
      <c r="D59" s="1615"/>
      <c r="E59" s="1615"/>
      <c r="F59" s="1615"/>
      <c r="G59" s="436"/>
      <c r="H59" s="436"/>
      <c r="I59" s="436"/>
      <c r="J59" s="236"/>
      <c r="K59" s="236"/>
      <c r="L59" s="236"/>
      <c r="W59" s="1233"/>
      <c r="X59" s="1233"/>
      <c r="Y59" s="1645">
        <f>SUM(Z59:AH59)</f>
        <v>1465615000</v>
      </c>
      <c r="Z59" s="1646">
        <v>1130000</v>
      </c>
      <c r="AA59" s="1647">
        <v>265234000</v>
      </c>
      <c r="AB59" s="1647">
        <v>1094946000</v>
      </c>
      <c r="AC59" s="1647">
        <v>0</v>
      </c>
      <c r="AD59" s="1648">
        <v>2197000</v>
      </c>
      <c r="AE59" s="1647"/>
      <c r="AF59" s="1647"/>
      <c r="AG59" s="1647">
        <v>0</v>
      </c>
      <c r="AH59" s="1647">
        <v>102108000</v>
      </c>
    </row>
    <row r="60" spans="1:34" s="749" customFormat="1" ht="12" customHeight="1" thickBot="1">
      <c r="B60" s="236"/>
      <c r="C60" s="236"/>
      <c r="D60" s="236"/>
      <c r="E60" s="236"/>
      <c r="F60" s="236"/>
      <c r="G60" s="436"/>
      <c r="H60" s="436"/>
      <c r="I60" s="436"/>
      <c r="J60" s="236"/>
      <c r="K60" s="236"/>
      <c r="L60" s="236"/>
      <c r="W60" s="399"/>
      <c r="X60" s="399"/>
      <c r="Y60" s="534">
        <f>SUM(Z60:AH60)</f>
        <v>12879635000</v>
      </c>
      <c r="Z60" s="1649">
        <f>SUM(Z50:Z59)</f>
        <v>12167000</v>
      </c>
      <c r="AA60" s="1650">
        <f t="shared" ref="AA60:AH60" si="13">SUM(AA50:AA59)</f>
        <v>2382105000</v>
      </c>
      <c r="AB60" s="1650">
        <f t="shared" si="13"/>
        <v>9563992000</v>
      </c>
      <c r="AC60" s="1650">
        <f t="shared" si="13"/>
        <v>0</v>
      </c>
      <c r="AD60" s="1650">
        <f t="shared" si="13"/>
        <v>21180000</v>
      </c>
      <c r="AE60" s="1650"/>
      <c r="AF60" s="1650"/>
      <c r="AG60" s="1650">
        <f t="shared" si="13"/>
        <v>5730000</v>
      </c>
      <c r="AH60" s="1650">
        <f t="shared" si="13"/>
        <v>894461000</v>
      </c>
    </row>
    <row r="61" spans="1:34" s="749" customFormat="1" ht="12" customHeight="1">
      <c r="B61" s="230"/>
      <c r="C61" s="230"/>
      <c r="D61" s="230"/>
      <c r="E61" s="230"/>
      <c r="F61" s="230"/>
      <c r="G61" s="230"/>
      <c r="H61" s="230"/>
      <c r="I61" s="230"/>
      <c r="J61" s="230"/>
      <c r="K61" s="230"/>
      <c r="L61" s="230"/>
    </row>
    <row r="62" spans="1:34" s="749" customFormat="1" ht="12" customHeight="1">
      <c r="A62" s="1252"/>
      <c r="B62" s="230"/>
      <c r="C62" s="230"/>
      <c r="D62" s="230"/>
      <c r="E62" s="230"/>
      <c r="F62" s="230"/>
      <c r="G62" s="230"/>
      <c r="H62" s="230"/>
      <c r="I62" s="230"/>
      <c r="J62" s="230"/>
      <c r="K62" s="230"/>
      <c r="L62" s="230"/>
      <c r="Y62" s="757" t="s">
        <v>590</v>
      </c>
      <c r="Z62" s="761"/>
      <c r="AA62" s="761"/>
      <c r="AB62" s="761"/>
      <c r="AC62" s="761"/>
      <c r="AD62" s="761"/>
      <c r="AE62" s="761"/>
      <c r="AF62" s="761"/>
      <c r="AG62" s="761"/>
      <c r="AH62" s="761"/>
    </row>
    <row r="63" spans="1:34" s="749" customFormat="1" ht="12" customHeight="1">
      <c r="A63" s="1254"/>
      <c r="B63" s="230"/>
      <c r="C63" s="230"/>
      <c r="D63" s="230"/>
      <c r="E63" s="230"/>
      <c r="F63" s="230"/>
      <c r="G63" s="230"/>
      <c r="H63" s="230"/>
      <c r="I63" s="230"/>
      <c r="J63" s="230"/>
      <c r="K63" s="230"/>
      <c r="L63" s="230"/>
      <c r="Y63" s="749" t="s">
        <v>530</v>
      </c>
      <c r="AA63" s="1303">
        <f>AA51/AA50/AB46%</f>
        <v>0.54282652260349562</v>
      </c>
      <c r="AB63" s="1303">
        <f>AB51/AB50/AB46%</f>
        <v>0.52291831571222147</v>
      </c>
      <c r="AC63" s="1303"/>
      <c r="AD63" s="1303"/>
      <c r="AE63" s="1303"/>
      <c r="AF63" s="1303"/>
      <c r="AG63" s="1303"/>
      <c r="AH63" s="1303">
        <f>AH51/AH50/AB46%</f>
        <v>0.52242750550085437</v>
      </c>
    </row>
    <row r="64" spans="1:34" s="749" customFormat="1" ht="12" customHeight="1">
      <c r="B64" s="230"/>
      <c r="C64" s="230"/>
      <c r="D64" s="230"/>
      <c r="E64" s="230"/>
      <c r="F64" s="230"/>
      <c r="G64" s="230"/>
      <c r="H64" s="230"/>
      <c r="I64" s="230"/>
      <c r="J64" s="230"/>
      <c r="K64" s="230"/>
      <c r="L64" s="230"/>
      <c r="Y64" s="749" t="s">
        <v>531</v>
      </c>
      <c r="AA64" s="1303">
        <f>AA57/AA56/AB46%</f>
        <v>0.53081182720725506</v>
      </c>
      <c r="AB64" s="1303">
        <f>AB57/AB56/AB46%</f>
        <v>0.5174403437706071</v>
      </c>
      <c r="AC64" s="1303"/>
      <c r="AD64" s="1303"/>
      <c r="AE64" s="1303"/>
      <c r="AF64" s="1303"/>
      <c r="AG64" s="1303"/>
      <c r="AH64" s="1303">
        <f>AH57/AH56/AB46%</f>
        <v>0.52359026857957036</v>
      </c>
    </row>
    <row r="65" spans="1:28" s="749" customFormat="1" ht="12" customHeight="1">
      <c r="A65" s="1254"/>
      <c r="B65" s="230"/>
      <c r="C65" s="230"/>
      <c r="D65" s="230"/>
      <c r="E65" s="230"/>
      <c r="F65" s="230"/>
      <c r="G65" s="230"/>
      <c r="H65" s="230"/>
      <c r="I65" s="230"/>
      <c r="J65" s="230"/>
      <c r="K65" s="230"/>
      <c r="L65" s="230"/>
      <c r="M65" s="761"/>
    </row>
    <row r="66" spans="1:28" s="452" customFormat="1" ht="13.5" customHeight="1">
      <c r="B66" s="230"/>
      <c r="C66" s="230"/>
      <c r="D66" s="230"/>
      <c r="E66" s="230"/>
      <c r="F66" s="230"/>
      <c r="G66" s="230"/>
      <c r="H66" s="230"/>
      <c r="I66" s="230"/>
      <c r="J66" s="230"/>
      <c r="K66" s="230"/>
      <c r="L66" s="230"/>
      <c r="M66" s="1253"/>
      <c r="N66" s="761"/>
      <c r="O66" s="761"/>
      <c r="P66" s="761"/>
      <c r="Q66" s="761"/>
      <c r="R66" s="761"/>
      <c r="S66" s="761"/>
      <c r="T66" s="761"/>
      <c r="U66" s="761"/>
      <c r="V66" s="761"/>
      <c r="W66" s="749"/>
      <c r="X66" s="749"/>
    </row>
    <row r="67" spans="1:28" s="452" customFormat="1" ht="16.5" customHeight="1" thickBot="1">
      <c r="B67" s="675" t="s">
        <v>292</v>
      </c>
      <c r="G67" s="402" t="s">
        <v>591</v>
      </c>
      <c r="H67" s="1651">
        <v>5</v>
      </c>
      <c r="I67" s="1652" t="s">
        <v>592</v>
      </c>
      <c r="K67" s="399" t="s">
        <v>532</v>
      </c>
    </row>
    <row r="68" spans="1:28" s="452" customFormat="1" ht="16.5" customHeight="1">
      <c r="B68" s="2512" t="s">
        <v>0</v>
      </c>
      <c r="C68" s="2515" t="s">
        <v>566</v>
      </c>
      <c r="D68" s="2516"/>
      <c r="E68" s="2551" t="s">
        <v>221</v>
      </c>
      <c r="F68" s="2551"/>
      <c r="G68" s="2551"/>
      <c r="H68" s="2551"/>
      <c r="I68" s="2551"/>
      <c r="J68" s="2538"/>
      <c r="K68" s="2547" t="s">
        <v>74</v>
      </c>
      <c r="L68" s="2548"/>
      <c r="M68" s="2548"/>
      <c r="N68" s="2523"/>
      <c r="O68" s="2545" t="s">
        <v>222</v>
      </c>
      <c r="P68" s="2546"/>
      <c r="Q68" s="2547" t="s">
        <v>358</v>
      </c>
      <c r="R68" s="2548"/>
      <c r="S68" s="2548"/>
      <c r="T68" s="2523"/>
      <c r="U68" s="2545" t="s">
        <v>223</v>
      </c>
      <c r="V68" s="2546"/>
      <c r="W68" s="2549" t="s">
        <v>75</v>
      </c>
      <c r="X68" s="2534"/>
    </row>
    <row r="69" spans="1:28" s="452" customFormat="1" ht="16.5" customHeight="1">
      <c r="B69" s="2513"/>
      <c r="C69" s="2517"/>
      <c r="D69" s="2518"/>
      <c r="E69" s="2537" t="s">
        <v>225</v>
      </c>
      <c r="F69" s="2538"/>
      <c r="G69" s="2522" t="s">
        <v>226</v>
      </c>
      <c r="H69" s="2523"/>
      <c r="I69" s="2522" t="s">
        <v>227</v>
      </c>
      <c r="J69" s="2523"/>
      <c r="K69" s="2522" t="s">
        <v>76</v>
      </c>
      <c r="L69" s="2523"/>
      <c r="M69" s="2522" t="s">
        <v>228</v>
      </c>
      <c r="N69" s="2523"/>
      <c r="O69" s="2529"/>
      <c r="P69" s="2530"/>
      <c r="Q69" s="2522" t="s">
        <v>226</v>
      </c>
      <c r="R69" s="2523"/>
      <c r="S69" s="2522" t="s">
        <v>228</v>
      </c>
      <c r="T69" s="2523"/>
      <c r="U69" s="2529"/>
      <c r="V69" s="2530"/>
      <c r="W69" s="2550"/>
      <c r="X69" s="2536"/>
    </row>
    <row r="70" spans="1:28" s="452" customFormat="1" ht="16.5" customHeight="1">
      <c r="B70" s="2514"/>
      <c r="C70" s="676" t="s">
        <v>230</v>
      </c>
      <c r="D70" s="677" t="s">
        <v>231</v>
      </c>
      <c r="E70" s="459" t="s">
        <v>230</v>
      </c>
      <c r="F70" s="678" t="s">
        <v>232</v>
      </c>
      <c r="G70" s="459" t="s">
        <v>230</v>
      </c>
      <c r="H70" s="1398" t="s">
        <v>232</v>
      </c>
      <c r="I70" s="459" t="s">
        <v>230</v>
      </c>
      <c r="J70" s="1398" t="s">
        <v>232</v>
      </c>
      <c r="K70" s="460" t="s">
        <v>230</v>
      </c>
      <c r="L70" s="1398" t="s">
        <v>232</v>
      </c>
      <c r="M70" s="460" t="s">
        <v>230</v>
      </c>
      <c r="N70" s="1398" t="s">
        <v>232</v>
      </c>
      <c r="O70" s="460" t="s">
        <v>230</v>
      </c>
      <c r="P70" s="1397" t="s">
        <v>232</v>
      </c>
      <c r="Q70" s="1305" t="s">
        <v>230</v>
      </c>
      <c r="R70" s="1398" t="s">
        <v>232</v>
      </c>
      <c r="S70" s="459" t="s">
        <v>230</v>
      </c>
      <c r="T70" s="1398" t="s">
        <v>232</v>
      </c>
      <c r="U70" s="460" t="s">
        <v>230</v>
      </c>
      <c r="V70" s="1398" t="s">
        <v>232</v>
      </c>
      <c r="W70" s="460" t="s">
        <v>230</v>
      </c>
      <c r="X70" s="1398" t="s">
        <v>232</v>
      </c>
    </row>
    <row r="71" spans="1:28" s="452" customFormat="1" ht="16.5" customHeight="1">
      <c r="A71" s="1304"/>
      <c r="B71" s="1306" t="s">
        <v>233</v>
      </c>
      <c r="C71" s="1307"/>
      <c r="D71" s="1653">
        <f>F71+H71+J71+L71+N71+P71+V71+X71</f>
        <v>-3120000</v>
      </c>
      <c r="E71" s="1654"/>
      <c r="F71" s="1310">
        <v>0</v>
      </c>
      <c r="G71" s="1311"/>
      <c r="H71" s="1312">
        <v>-240000</v>
      </c>
      <c r="I71" s="1313"/>
      <c r="J71" s="1312">
        <v>-2880000</v>
      </c>
      <c r="K71" s="1313"/>
      <c r="L71" s="1314">
        <v>0</v>
      </c>
      <c r="M71" s="1313"/>
      <c r="N71" s="1314">
        <v>0</v>
      </c>
      <c r="O71" s="1313"/>
      <c r="P71" s="1309">
        <v>0</v>
      </c>
      <c r="Q71" s="1655"/>
      <c r="R71" s="1656">
        <v>-60000</v>
      </c>
      <c r="S71" s="1655"/>
      <c r="T71" s="1309">
        <v>70000</v>
      </c>
      <c r="U71" s="1313"/>
      <c r="V71" s="1314">
        <v>0</v>
      </c>
      <c r="W71" s="1313"/>
      <c r="X71" s="1312">
        <v>0</v>
      </c>
      <c r="Y71" s="452" t="s">
        <v>294</v>
      </c>
      <c r="AA71" s="1323"/>
      <c r="AB71" s="1323"/>
    </row>
    <row r="72" spans="1:28" s="452" customFormat="1" ht="16.5" customHeight="1">
      <c r="B72" s="1396" t="s">
        <v>62</v>
      </c>
      <c r="C72" s="688"/>
      <c r="D72" s="689">
        <f t="shared" ref="D72:D82" si="14">SUM(F72,H72,J72,L72,N72,P72,V72,X72)</f>
        <v>0</v>
      </c>
      <c r="E72" s="1320"/>
      <c r="F72" s="1336">
        <v>0</v>
      </c>
      <c r="G72" s="1337"/>
      <c r="H72" s="1322"/>
      <c r="I72" s="1337"/>
      <c r="J72" s="1322"/>
      <c r="K72" s="1338"/>
      <c r="L72" s="1336"/>
      <c r="M72" s="1338"/>
      <c r="N72" s="1336"/>
      <c r="O72" s="1338"/>
      <c r="P72" s="1339"/>
      <c r="Q72" s="1657"/>
      <c r="R72" s="1658"/>
      <c r="S72" s="1657"/>
      <c r="T72" s="1339"/>
      <c r="U72" s="1338"/>
      <c r="V72" s="1336"/>
      <c r="W72" s="1338"/>
      <c r="X72" s="1659"/>
      <c r="AA72" s="1323"/>
      <c r="AB72" s="1323"/>
    </row>
    <row r="73" spans="1:28" s="452" customFormat="1" ht="16.5" customHeight="1">
      <c r="B73" s="1396" t="s">
        <v>63</v>
      </c>
      <c r="C73" s="688"/>
      <c r="D73" s="689">
        <f t="shared" si="14"/>
        <v>0</v>
      </c>
      <c r="E73" s="1320"/>
      <c r="F73" s="1336">
        <v>0</v>
      </c>
      <c r="G73" s="1337"/>
      <c r="H73" s="1322"/>
      <c r="I73" s="1337"/>
      <c r="J73" s="1322"/>
      <c r="K73" s="1338"/>
      <c r="L73" s="1336"/>
      <c r="M73" s="1338"/>
      <c r="N73" s="1336"/>
      <c r="O73" s="1338"/>
      <c r="P73" s="1339"/>
      <c r="Q73" s="1657"/>
      <c r="R73" s="1658"/>
      <c r="S73" s="1657"/>
      <c r="T73" s="1339"/>
      <c r="U73" s="1338"/>
      <c r="V73" s="1336"/>
      <c r="W73" s="1338"/>
      <c r="X73" s="1659"/>
      <c r="AA73" s="1323"/>
      <c r="AB73" s="1323"/>
    </row>
    <row r="74" spans="1:28" s="452" customFormat="1" ht="16.5" customHeight="1">
      <c r="B74" s="1324" t="s">
        <v>64</v>
      </c>
      <c r="C74" s="1660"/>
      <c r="D74" s="1661">
        <f t="shared" si="14"/>
        <v>56320000</v>
      </c>
      <c r="E74" s="1662"/>
      <c r="F74" s="1310">
        <v>0</v>
      </c>
      <c r="G74" s="1328"/>
      <c r="H74" s="1329">
        <v>13520000</v>
      </c>
      <c r="I74" s="1328"/>
      <c r="J74" s="1329">
        <v>41920000</v>
      </c>
      <c r="K74" s="1330"/>
      <c r="L74" s="1310">
        <v>0</v>
      </c>
      <c r="M74" s="1330"/>
      <c r="N74" s="1310">
        <v>120000</v>
      </c>
      <c r="O74" s="1330"/>
      <c r="P74" s="1327">
        <v>0</v>
      </c>
      <c r="Q74" s="1663"/>
      <c r="R74" s="1664">
        <v>-60000</v>
      </c>
      <c r="S74" s="1663"/>
      <c r="T74" s="1327">
        <v>70000</v>
      </c>
      <c r="U74" s="1330"/>
      <c r="V74" s="1310">
        <v>760000</v>
      </c>
      <c r="W74" s="1330"/>
      <c r="X74" s="1329"/>
      <c r="Y74" s="452" t="s">
        <v>294</v>
      </c>
    </row>
    <row r="75" spans="1:28" s="452" customFormat="1" ht="16.5" customHeight="1">
      <c r="B75" s="1396" t="s">
        <v>65</v>
      </c>
      <c r="C75" s="688"/>
      <c r="D75" s="689">
        <f t="shared" si="14"/>
        <v>0</v>
      </c>
      <c r="E75" s="1320"/>
      <c r="F75" s="1336"/>
      <c r="G75" s="1337"/>
      <c r="H75" s="1322"/>
      <c r="I75" s="1337"/>
      <c r="J75" s="1322"/>
      <c r="K75" s="1338"/>
      <c r="L75" s="1336"/>
      <c r="M75" s="1338"/>
      <c r="N75" s="1336"/>
      <c r="O75" s="1338"/>
      <c r="P75" s="1339"/>
      <c r="Q75" s="1657"/>
      <c r="R75" s="1658"/>
      <c r="S75" s="1657"/>
      <c r="T75" s="1339"/>
      <c r="U75" s="1338"/>
      <c r="V75" s="1336"/>
      <c r="W75" s="1338"/>
      <c r="X75" s="1659"/>
    </row>
    <row r="76" spans="1:28" s="452" customFormat="1" ht="16.5" customHeight="1">
      <c r="B76" s="1324" t="s">
        <v>66</v>
      </c>
      <c r="C76" s="1660"/>
      <c r="D76" s="1661">
        <f t="shared" si="14"/>
        <v>-540000</v>
      </c>
      <c r="E76" s="1662"/>
      <c r="F76" s="1310">
        <v>0</v>
      </c>
      <c r="G76" s="1328"/>
      <c r="H76" s="1329">
        <v>0</v>
      </c>
      <c r="I76" s="1328"/>
      <c r="J76" s="1329">
        <v>-540000</v>
      </c>
      <c r="K76" s="1330"/>
      <c r="L76" s="1310">
        <v>0</v>
      </c>
      <c r="M76" s="1330"/>
      <c r="N76" s="1310">
        <v>0</v>
      </c>
      <c r="O76" s="1330"/>
      <c r="P76" s="1327">
        <v>0</v>
      </c>
      <c r="Q76" s="1663"/>
      <c r="R76" s="1664">
        <v>-60000</v>
      </c>
      <c r="S76" s="1663"/>
      <c r="T76" s="1327">
        <v>70000</v>
      </c>
      <c r="U76" s="1330"/>
      <c r="V76" s="1310">
        <v>0</v>
      </c>
      <c r="W76" s="1330"/>
      <c r="X76" s="1329"/>
      <c r="Y76" s="452" t="s">
        <v>295</v>
      </c>
    </row>
    <row r="77" spans="1:28" s="452" customFormat="1" ht="16.5" customHeight="1">
      <c r="B77" s="1396" t="s">
        <v>67</v>
      </c>
      <c r="C77" s="688"/>
      <c r="D77" s="689">
        <f t="shared" si="14"/>
        <v>0</v>
      </c>
      <c r="E77" s="1320"/>
      <c r="F77" s="768"/>
      <c r="G77" s="769"/>
      <c r="H77" s="768"/>
      <c r="I77" s="769"/>
      <c r="J77" s="768"/>
      <c r="K77" s="771"/>
      <c r="L77" s="768"/>
      <c r="M77" s="771"/>
      <c r="N77" s="768"/>
      <c r="O77" s="771"/>
      <c r="P77" s="767"/>
      <c r="Q77" s="1665"/>
      <c r="R77" s="1666"/>
      <c r="S77" s="1665"/>
      <c r="T77" s="767"/>
      <c r="U77" s="771"/>
      <c r="V77" s="768"/>
      <c r="W77" s="771"/>
      <c r="X77" s="1667"/>
    </row>
    <row r="78" spans="1:28" s="452" customFormat="1" ht="16.5" customHeight="1">
      <c r="B78" s="1402" t="s">
        <v>68</v>
      </c>
      <c r="C78" s="734"/>
      <c r="D78" s="735">
        <f t="shared" si="14"/>
        <v>0</v>
      </c>
      <c r="E78" s="1342"/>
      <c r="F78" s="1343"/>
      <c r="G78" s="1344"/>
      <c r="H78" s="1343"/>
      <c r="I78" s="1344"/>
      <c r="J78" s="1343"/>
      <c r="K78" s="1345"/>
      <c r="L78" s="1343"/>
      <c r="M78" s="1345"/>
      <c r="N78" s="1343"/>
      <c r="O78" s="1345"/>
      <c r="P78" s="1342"/>
      <c r="Q78" s="1668"/>
      <c r="R78" s="1669"/>
      <c r="S78" s="1668"/>
      <c r="T78" s="1342"/>
      <c r="U78" s="1345"/>
      <c r="V78" s="1343"/>
      <c r="W78" s="1345"/>
      <c r="X78" s="1343"/>
    </row>
    <row r="79" spans="1:28" s="452" customFormat="1" ht="16.5" customHeight="1">
      <c r="B79" s="1402" t="s">
        <v>69</v>
      </c>
      <c r="C79" s="734"/>
      <c r="D79" s="735">
        <f t="shared" si="14"/>
        <v>0</v>
      </c>
      <c r="E79" s="1342"/>
      <c r="F79" s="1343"/>
      <c r="G79" s="1344"/>
      <c r="H79" s="1343"/>
      <c r="I79" s="1345"/>
      <c r="J79" s="1343"/>
      <c r="K79" s="1345"/>
      <c r="L79" s="1343"/>
      <c r="M79" s="1345"/>
      <c r="N79" s="1343"/>
      <c r="O79" s="1345"/>
      <c r="P79" s="1342"/>
      <c r="Q79" s="1668"/>
      <c r="R79" s="1669"/>
      <c r="S79" s="1668"/>
      <c r="T79" s="1342"/>
      <c r="U79" s="1345"/>
      <c r="V79" s="1343"/>
      <c r="W79" s="1345"/>
      <c r="X79" s="1343"/>
    </row>
    <row r="80" spans="1:28" s="452" customFormat="1" ht="16.5" customHeight="1">
      <c r="B80" s="1402" t="s">
        <v>70</v>
      </c>
      <c r="C80" s="734"/>
      <c r="D80" s="735">
        <f t="shared" si="14"/>
        <v>0</v>
      </c>
      <c r="E80" s="1342"/>
      <c r="F80" s="1343"/>
      <c r="G80" s="1344"/>
      <c r="H80" s="1343"/>
      <c r="I80" s="1345"/>
      <c r="J80" s="1343"/>
      <c r="K80" s="1345"/>
      <c r="L80" s="1343"/>
      <c r="M80" s="1345"/>
      <c r="N80" s="1343"/>
      <c r="O80" s="1345"/>
      <c r="P80" s="1342"/>
      <c r="Q80" s="1668"/>
      <c r="R80" s="1669"/>
      <c r="S80" s="1668"/>
      <c r="T80" s="1342"/>
      <c r="U80" s="1345"/>
      <c r="V80" s="1343"/>
      <c r="W80" s="1345"/>
      <c r="X80" s="1343"/>
    </row>
    <row r="81" spans="2:28" s="452" customFormat="1" ht="16.5" customHeight="1">
      <c r="B81" s="1402" t="s">
        <v>71</v>
      </c>
      <c r="C81" s="734"/>
      <c r="D81" s="735">
        <f t="shared" si="14"/>
        <v>0</v>
      </c>
      <c r="E81" s="1342"/>
      <c r="F81" s="1343"/>
      <c r="G81" s="1344"/>
      <c r="H81" s="1343"/>
      <c r="I81" s="1345"/>
      <c r="J81" s="1343"/>
      <c r="K81" s="1345"/>
      <c r="L81" s="1343"/>
      <c r="M81" s="1345"/>
      <c r="N81" s="1343"/>
      <c r="O81" s="1345"/>
      <c r="P81" s="1342"/>
      <c r="Q81" s="1668"/>
      <c r="R81" s="1669"/>
      <c r="S81" s="1668"/>
      <c r="T81" s="1342"/>
      <c r="U81" s="1345"/>
      <c r="V81" s="1343"/>
      <c r="W81" s="1345"/>
      <c r="X81" s="1343"/>
    </row>
    <row r="82" spans="2:28" s="452" customFormat="1" ht="16.5" customHeight="1" thickBot="1">
      <c r="B82" s="1196" t="s">
        <v>72</v>
      </c>
      <c r="C82" s="1670"/>
      <c r="D82" s="1671">
        <f t="shared" si="14"/>
        <v>0</v>
      </c>
      <c r="E82" s="1672"/>
      <c r="F82" s="1673"/>
      <c r="G82" s="1674"/>
      <c r="H82" s="1675"/>
      <c r="I82" s="1676"/>
      <c r="J82" s="1675"/>
      <c r="K82" s="1677"/>
      <c r="L82" s="1675"/>
      <c r="M82" s="1677"/>
      <c r="N82" s="1675"/>
      <c r="O82" s="1345"/>
      <c r="P82" s="1678"/>
      <c r="Q82" s="1679"/>
      <c r="R82" s="1680"/>
      <c r="S82" s="1679"/>
      <c r="T82" s="1678"/>
      <c r="U82" s="1676"/>
      <c r="V82" s="1675"/>
      <c r="W82" s="1676"/>
      <c r="X82" s="1675"/>
    </row>
    <row r="83" spans="2:28" s="452" customFormat="1" ht="16.5" customHeight="1" thickBot="1">
      <c r="B83" s="1399" t="s">
        <v>78</v>
      </c>
      <c r="C83" s="1356"/>
      <c r="D83" s="1357">
        <f>SUM(D71:D82)</f>
        <v>52660000</v>
      </c>
      <c r="E83" s="1358"/>
      <c r="F83" s="1359">
        <f>SUM(F71:F82)</f>
        <v>0</v>
      </c>
      <c r="G83" s="1360"/>
      <c r="H83" s="1361">
        <f>SUM(H71:H82)</f>
        <v>13280000</v>
      </c>
      <c r="I83" s="1360"/>
      <c r="J83" s="1361">
        <f>SUM(J71:J82)</f>
        <v>38500000</v>
      </c>
      <c r="K83" s="1362"/>
      <c r="L83" s="1361">
        <f>SUM(L71:L82)</f>
        <v>0</v>
      </c>
      <c r="M83" s="1362"/>
      <c r="N83" s="1361">
        <f>SUM(N71:N82)</f>
        <v>120000</v>
      </c>
      <c r="O83" s="1362"/>
      <c r="P83" s="1363">
        <f>SUM(P71:P82)</f>
        <v>0</v>
      </c>
      <c r="Q83" s="1681"/>
      <c r="R83" s="1682"/>
      <c r="S83" s="1681"/>
      <c r="T83" s="1363"/>
      <c r="U83" s="1362"/>
      <c r="V83" s="1361">
        <f>SUM(V71:V82)</f>
        <v>760000</v>
      </c>
      <c r="W83" s="1362"/>
      <c r="X83" s="1357">
        <f>SUM(X71:X82)</f>
        <v>0</v>
      </c>
    </row>
    <row r="84" spans="2:28" s="452" customFormat="1" ht="16.5" customHeight="1"/>
    <row r="85" spans="2:28" s="452" customFormat="1" ht="16.5" customHeight="1" thickBot="1">
      <c r="B85" s="1683" t="s">
        <v>304</v>
      </c>
      <c r="C85" s="1684"/>
      <c r="D85" s="1684"/>
      <c r="G85" s="402" t="s">
        <v>591</v>
      </c>
      <c r="H85" s="1685">
        <f>H67</f>
        <v>5</v>
      </c>
      <c r="I85" s="1652" t="s">
        <v>592</v>
      </c>
      <c r="K85" s="399" t="s">
        <v>593</v>
      </c>
    </row>
    <row r="86" spans="2:28" s="452" customFormat="1" ht="16.5" customHeight="1">
      <c r="B86" s="2512" t="s">
        <v>0</v>
      </c>
      <c r="C86" s="2515" t="s">
        <v>594</v>
      </c>
      <c r="D86" s="2516"/>
      <c r="E86" s="2519" t="s">
        <v>221</v>
      </c>
      <c r="F86" s="2520"/>
      <c r="G86" s="2520"/>
      <c r="H86" s="2520"/>
      <c r="I86" s="2520"/>
      <c r="J86" s="2521"/>
      <c r="K86" s="2524" t="s">
        <v>74</v>
      </c>
      <c r="L86" s="2525"/>
      <c r="M86" s="2525"/>
      <c r="N86" s="2526"/>
      <c r="O86" s="2527" t="s">
        <v>222</v>
      </c>
      <c r="P86" s="2528"/>
      <c r="Q86" s="2524" t="s">
        <v>358</v>
      </c>
      <c r="R86" s="2525"/>
      <c r="S86" s="2525"/>
      <c r="T86" s="2526"/>
      <c r="U86" s="2527" t="s">
        <v>223</v>
      </c>
      <c r="V86" s="2531"/>
      <c r="W86" s="2533" t="s">
        <v>75</v>
      </c>
      <c r="X86" s="2534"/>
    </row>
    <row r="87" spans="2:28" s="452" customFormat="1" ht="16.5" customHeight="1">
      <c r="B87" s="2513"/>
      <c r="C87" s="2517"/>
      <c r="D87" s="2518"/>
      <c r="E87" s="2685" t="s">
        <v>225</v>
      </c>
      <c r="F87" s="2538"/>
      <c r="G87" s="2522" t="s">
        <v>226</v>
      </c>
      <c r="H87" s="2523"/>
      <c r="I87" s="2522" t="s">
        <v>227</v>
      </c>
      <c r="J87" s="2523"/>
      <c r="K87" s="2522" t="s">
        <v>76</v>
      </c>
      <c r="L87" s="2523"/>
      <c r="M87" s="2522" t="s">
        <v>228</v>
      </c>
      <c r="N87" s="2523"/>
      <c r="O87" s="2529"/>
      <c r="P87" s="2530"/>
      <c r="Q87" s="2522" t="s">
        <v>226</v>
      </c>
      <c r="R87" s="2523"/>
      <c r="S87" s="2522" t="s">
        <v>228</v>
      </c>
      <c r="T87" s="2523"/>
      <c r="U87" s="2529"/>
      <c r="V87" s="2532"/>
      <c r="W87" s="2535"/>
      <c r="X87" s="2536"/>
    </row>
    <row r="88" spans="2:28" s="452" customFormat="1" ht="16.5" customHeight="1">
      <c r="B88" s="2514"/>
      <c r="C88" s="676" t="s">
        <v>230</v>
      </c>
      <c r="D88" s="677" t="s">
        <v>231</v>
      </c>
      <c r="E88" s="676" t="s">
        <v>230</v>
      </c>
      <c r="F88" s="678" t="s">
        <v>232</v>
      </c>
      <c r="G88" s="459" t="s">
        <v>230</v>
      </c>
      <c r="H88" s="1398" t="s">
        <v>232</v>
      </c>
      <c r="I88" s="459" t="s">
        <v>230</v>
      </c>
      <c r="J88" s="1398" t="s">
        <v>232</v>
      </c>
      <c r="K88" s="460" t="s">
        <v>230</v>
      </c>
      <c r="L88" s="1398" t="s">
        <v>232</v>
      </c>
      <c r="M88" s="460" t="s">
        <v>230</v>
      </c>
      <c r="N88" s="1398" t="s">
        <v>232</v>
      </c>
      <c r="O88" s="460" t="s">
        <v>230</v>
      </c>
      <c r="P88" s="1397" t="s">
        <v>232</v>
      </c>
      <c r="Q88" s="1305" t="s">
        <v>230</v>
      </c>
      <c r="R88" s="1398" t="s">
        <v>232</v>
      </c>
      <c r="S88" s="459" t="s">
        <v>230</v>
      </c>
      <c r="T88" s="1398" t="s">
        <v>232</v>
      </c>
      <c r="U88" s="460" t="s">
        <v>230</v>
      </c>
      <c r="V88" s="1400" t="s">
        <v>232</v>
      </c>
      <c r="W88" s="459" t="s">
        <v>230</v>
      </c>
      <c r="X88" s="1398" t="s">
        <v>232</v>
      </c>
    </row>
    <row r="89" spans="2:28" s="452" customFormat="1" ht="16.5" customHeight="1">
      <c r="B89" s="1395" t="s">
        <v>233</v>
      </c>
      <c r="C89" s="681">
        <f>E89+G89+I89+K89+M89+O89+U89+Q89+S89</f>
        <v>0</v>
      </c>
      <c r="D89" s="1686">
        <f>F89+H89+J89+L89+N89+P89+V89+R89+T89</f>
        <v>0</v>
      </c>
      <c r="E89" s="1687"/>
      <c r="F89" s="763"/>
      <c r="G89" s="764"/>
      <c r="H89" s="765"/>
      <c r="I89" s="766"/>
      <c r="J89" s="765"/>
      <c r="K89" s="766"/>
      <c r="L89" s="763"/>
      <c r="M89" s="766"/>
      <c r="N89" s="763"/>
      <c r="O89" s="766"/>
      <c r="P89" s="762"/>
      <c r="Q89" s="1688"/>
      <c r="R89" s="1689"/>
      <c r="S89" s="1688"/>
      <c r="T89" s="762"/>
      <c r="U89" s="766"/>
      <c r="V89" s="1367"/>
      <c r="W89" s="764">
        <v>58</v>
      </c>
      <c r="X89" s="1690">
        <v>18662000</v>
      </c>
      <c r="AA89" s="1323"/>
      <c r="AB89" s="1323"/>
    </row>
    <row r="90" spans="2:28" s="452" customFormat="1" ht="16.5" customHeight="1">
      <c r="B90" s="1396" t="s">
        <v>62</v>
      </c>
      <c r="C90" s="688">
        <f t="shared" ref="C90:D100" si="15">E90+G90+I90+K90+M90+O90+U90+Q90+S90</f>
        <v>38</v>
      </c>
      <c r="D90" s="689">
        <f t="shared" si="15"/>
        <v>4984000</v>
      </c>
      <c r="E90" s="1691"/>
      <c r="F90" s="768"/>
      <c r="G90" s="769"/>
      <c r="H90" s="770"/>
      <c r="I90" s="769"/>
      <c r="J90" s="770"/>
      <c r="K90" s="771"/>
      <c r="L90" s="768"/>
      <c r="M90" s="771"/>
      <c r="N90" s="768"/>
      <c r="O90" s="771"/>
      <c r="P90" s="767"/>
      <c r="Q90" s="1665">
        <v>2</v>
      </c>
      <c r="R90" s="1666">
        <v>310000</v>
      </c>
      <c r="S90" s="769">
        <v>36</v>
      </c>
      <c r="T90" s="770">
        <v>4674000</v>
      </c>
      <c r="U90" s="771"/>
      <c r="V90" s="1369"/>
      <c r="W90" s="769">
        <v>2</v>
      </c>
      <c r="X90" s="1692">
        <v>550000</v>
      </c>
      <c r="AA90" s="1323"/>
      <c r="AB90" s="1323"/>
    </row>
    <row r="91" spans="2:28" s="452" customFormat="1" ht="16.5" customHeight="1">
      <c r="B91" s="1396" t="s">
        <v>63</v>
      </c>
      <c r="C91" s="688">
        <f t="shared" si="15"/>
        <v>26</v>
      </c>
      <c r="D91" s="689">
        <f t="shared" si="15"/>
        <v>4248000</v>
      </c>
      <c r="E91" s="1691"/>
      <c r="F91" s="768"/>
      <c r="G91" s="769">
        <v>2</v>
      </c>
      <c r="H91" s="770">
        <v>1050000</v>
      </c>
      <c r="I91" s="769"/>
      <c r="J91" s="770"/>
      <c r="K91" s="771"/>
      <c r="L91" s="768"/>
      <c r="M91" s="771"/>
      <c r="N91" s="768"/>
      <c r="O91" s="771"/>
      <c r="P91" s="767"/>
      <c r="Q91" s="1665">
        <v>7</v>
      </c>
      <c r="R91" s="1666">
        <v>1174000</v>
      </c>
      <c r="S91" s="769">
        <v>17</v>
      </c>
      <c r="T91" s="770">
        <v>2024000</v>
      </c>
      <c r="U91" s="771"/>
      <c r="V91" s="1369"/>
      <c r="W91" s="769">
        <v>3</v>
      </c>
      <c r="X91" s="1692">
        <v>760000</v>
      </c>
      <c r="AA91" s="1323"/>
      <c r="AB91" s="1323"/>
    </row>
    <row r="92" spans="2:28" s="452" customFormat="1" ht="16.5" customHeight="1">
      <c r="B92" s="1396" t="s">
        <v>64</v>
      </c>
      <c r="C92" s="688">
        <f t="shared" si="15"/>
        <v>14</v>
      </c>
      <c r="D92" s="689">
        <f t="shared" si="15"/>
        <v>2098000</v>
      </c>
      <c r="E92" s="1691"/>
      <c r="F92" s="768"/>
      <c r="G92" s="769"/>
      <c r="H92" s="770"/>
      <c r="I92" s="769"/>
      <c r="J92" s="770"/>
      <c r="K92" s="771"/>
      <c r="L92" s="768"/>
      <c r="M92" s="771"/>
      <c r="N92" s="768"/>
      <c r="O92" s="771"/>
      <c r="P92" s="767"/>
      <c r="Q92" s="1665">
        <v>3</v>
      </c>
      <c r="R92" s="1666">
        <v>630000</v>
      </c>
      <c r="S92" s="769">
        <v>11</v>
      </c>
      <c r="T92" s="770">
        <v>1468000</v>
      </c>
      <c r="U92" s="771"/>
      <c r="V92" s="1369"/>
      <c r="W92" s="769">
        <v>3</v>
      </c>
      <c r="X92" s="1692">
        <v>954000</v>
      </c>
    </row>
    <row r="93" spans="2:28" s="452" customFormat="1" ht="16.5" customHeight="1">
      <c r="B93" s="1396" t="s">
        <v>65</v>
      </c>
      <c r="C93" s="688">
        <f t="shared" si="15"/>
        <v>15</v>
      </c>
      <c r="D93" s="689">
        <f t="shared" si="15"/>
        <v>2576000</v>
      </c>
      <c r="E93" s="1691"/>
      <c r="F93" s="768"/>
      <c r="G93" s="769">
        <v>1</v>
      </c>
      <c r="H93" s="770">
        <v>840000</v>
      </c>
      <c r="I93" s="769"/>
      <c r="J93" s="770"/>
      <c r="K93" s="771"/>
      <c r="L93" s="768"/>
      <c r="M93" s="771"/>
      <c r="N93" s="768"/>
      <c r="O93" s="771"/>
      <c r="P93" s="767"/>
      <c r="Q93" s="1665">
        <v>5</v>
      </c>
      <c r="R93" s="1666">
        <v>934000</v>
      </c>
      <c r="S93" s="769">
        <v>9</v>
      </c>
      <c r="T93" s="770">
        <v>802000</v>
      </c>
      <c r="U93" s="771"/>
      <c r="V93" s="1369"/>
      <c r="W93" s="769">
        <v>3</v>
      </c>
      <c r="X93" s="1692">
        <v>1022000</v>
      </c>
    </row>
    <row r="94" spans="2:28" s="452" customFormat="1" ht="16.5" customHeight="1">
      <c r="B94" s="1693" t="s">
        <v>66</v>
      </c>
      <c r="C94" s="1694">
        <f t="shared" si="15"/>
        <v>13</v>
      </c>
      <c r="D94" s="1695">
        <f t="shared" si="15"/>
        <v>2012000</v>
      </c>
      <c r="E94" s="1696"/>
      <c r="F94" s="768"/>
      <c r="G94" s="769">
        <v>2</v>
      </c>
      <c r="H94" s="770">
        <v>440000</v>
      </c>
      <c r="I94" s="769"/>
      <c r="J94" s="770"/>
      <c r="K94" s="771"/>
      <c r="L94" s="768"/>
      <c r="M94" s="771"/>
      <c r="N94" s="768"/>
      <c r="O94" s="771"/>
      <c r="P94" s="767"/>
      <c r="Q94" s="1665">
        <v>3</v>
      </c>
      <c r="R94" s="1666">
        <v>356000</v>
      </c>
      <c r="S94" s="769">
        <v>8</v>
      </c>
      <c r="T94" s="770">
        <v>1216000</v>
      </c>
      <c r="U94" s="771"/>
      <c r="V94" s="1369"/>
      <c r="W94" s="769">
        <v>4</v>
      </c>
      <c r="X94" s="770">
        <v>966000</v>
      </c>
      <c r="Y94" s="1349" t="s">
        <v>595</v>
      </c>
    </row>
    <row r="95" spans="2:28" s="452" customFormat="1" ht="16.5" customHeight="1">
      <c r="B95" s="1370" t="s">
        <v>67</v>
      </c>
      <c r="C95" s="1371">
        <f t="shared" si="15"/>
        <v>24</v>
      </c>
      <c r="D95" s="1372">
        <f t="shared" si="15"/>
        <v>6791400</v>
      </c>
      <c r="E95" s="1697"/>
      <c r="F95" s="1698"/>
      <c r="G95" s="1699">
        <v>5</v>
      </c>
      <c r="H95" s="1700">
        <v>3220000</v>
      </c>
      <c r="I95" s="1701">
        <v>1</v>
      </c>
      <c r="J95" s="1698">
        <v>1090000</v>
      </c>
      <c r="K95" s="1702"/>
      <c r="L95" s="1698"/>
      <c r="M95" s="1702"/>
      <c r="N95" s="1698"/>
      <c r="O95" s="1702"/>
      <c r="P95" s="1699"/>
      <c r="Q95" s="1703">
        <v>4</v>
      </c>
      <c r="R95" s="1700">
        <v>722000</v>
      </c>
      <c r="S95" s="1703">
        <v>14</v>
      </c>
      <c r="T95" s="1699">
        <v>1759400</v>
      </c>
      <c r="U95" s="1702"/>
      <c r="V95" s="1704"/>
      <c r="W95" s="1701">
        <v>3</v>
      </c>
      <c r="X95" s="1698">
        <v>1200000</v>
      </c>
      <c r="Y95" s="708" t="s">
        <v>596</v>
      </c>
    </row>
    <row r="96" spans="2:28" s="452" customFormat="1" ht="16.5" customHeight="1">
      <c r="B96" s="1370" t="s">
        <v>68</v>
      </c>
      <c r="C96" s="1371">
        <f t="shared" si="15"/>
        <v>24</v>
      </c>
      <c r="D96" s="1372">
        <f t="shared" si="15"/>
        <v>3844000</v>
      </c>
      <c r="E96" s="1697"/>
      <c r="F96" s="1698"/>
      <c r="G96" s="1701">
        <v>1</v>
      </c>
      <c r="H96" s="1698">
        <v>320000</v>
      </c>
      <c r="I96" s="1701"/>
      <c r="J96" s="1698"/>
      <c r="K96" s="1702"/>
      <c r="L96" s="1698"/>
      <c r="M96" s="1702"/>
      <c r="N96" s="1698"/>
      <c r="O96" s="1702"/>
      <c r="P96" s="1699"/>
      <c r="Q96" s="1703">
        <v>4</v>
      </c>
      <c r="R96" s="1700">
        <v>704000</v>
      </c>
      <c r="S96" s="1703">
        <v>19</v>
      </c>
      <c r="T96" s="1699">
        <v>2820000</v>
      </c>
      <c r="U96" s="1702"/>
      <c r="V96" s="1704"/>
      <c r="W96" s="1701">
        <v>2</v>
      </c>
      <c r="X96" s="1698">
        <v>400000</v>
      </c>
    </row>
    <row r="97" spans="2:28" s="718" customFormat="1" ht="16.5" customHeight="1">
      <c r="B97" s="1370" t="s">
        <v>69</v>
      </c>
      <c r="C97" s="1371">
        <f t="shared" si="15"/>
        <v>26</v>
      </c>
      <c r="D97" s="1372">
        <f t="shared" si="15"/>
        <v>3748000</v>
      </c>
      <c r="E97" s="1697"/>
      <c r="F97" s="1698"/>
      <c r="G97" s="1701">
        <v>2</v>
      </c>
      <c r="H97" s="1698">
        <v>460000</v>
      </c>
      <c r="I97" s="1702"/>
      <c r="J97" s="1698"/>
      <c r="K97" s="1702"/>
      <c r="L97" s="1698"/>
      <c r="M97" s="1702"/>
      <c r="N97" s="1698"/>
      <c r="O97" s="1702"/>
      <c r="P97" s="1699"/>
      <c r="Q97" s="1703">
        <v>4</v>
      </c>
      <c r="R97" s="1700">
        <v>770000</v>
      </c>
      <c r="S97" s="1703">
        <v>20</v>
      </c>
      <c r="T97" s="1699">
        <v>2518000</v>
      </c>
      <c r="U97" s="1702"/>
      <c r="V97" s="1704"/>
      <c r="W97" s="1701">
        <v>1</v>
      </c>
      <c r="X97" s="1698">
        <v>220000</v>
      </c>
    </row>
    <row r="98" spans="2:28" s="452" customFormat="1" ht="16.5" customHeight="1">
      <c r="B98" s="1370" t="s">
        <v>70</v>
      </c>
      <c r="C98" s="1371">
        <f t="shared" si="15"/>
        <v>11</v>
      </c>
      <c r="D98" s="1372">
        <f t="shared" si="15"/>
        <v>1494000</v>
      </c>
      <c r="E98" s="1697"/>
      <c r="F98" s="1698"/>
      <c r="G98" s="1701"/>
      <c r="H98" s="1698"/>
      <c r="I98" s="1702"/>
      <c r="J98" s="1698"/>
      <c r="K98" s="1702"/>
      <c r="L98" s="1698"/>
      <c r="M98" s="1702"/>
      <c r="N98" s="1698"/>
      <c r="O98" s="1702"/>
      <c r="P98" s="1699"/>
      <c r="Q98" s="1703">
        <v>6</v>
      </c>
      <c r="R98" s="1700">
        <v>908000</v>
      </c>
      <c r="S98" s="1703">
        <v>5</v>
      </c>
      <c r="T98" s="1699">
        <v>586000</v>
      </c>
      <c r="U98" s="1702"/>
      <c r="V98" s="1704"/>
      <c r="W98" s="1701">
        <v>4</v>
      </c>
      <c r="X98" s="1698">
        <v>1490000</v>
      </c>
    </row>
    <row r="99" spans="2:28" s="452" customFormat="1" ht="16.5" customHeight="1">
      <c r="B99" s="1370" t="s">
        <v>71</v>
      </c>
      <c r="C99" s="1371">
        <f t="shared" si="15"/>
        <v>14</v>
      </c>
      <c r="D99" s="1372">
        <f t="shared" si="15"/>
        <v>3574000</v>
      </c>
      <c r="E99" s="1697"/>
      <c r="F99" s="1698"/>
      <c r="G99" s="1701">
        <v>1</v>
      </c>
      <c r="H99" s="1698">
        <v>1390000</v>
      </c>
      <c r="I99" s="1702">
        <v>1</v>
      </c>
      <c r="J99" s="1698">
        <v>680000</v>
      </c>
      <c r="K99" s="1702"/>
      <c r="L99" s="1698"/>
      <c r="M99" s="1702"/>
      <c r="N99" s="1698"/>
      <c r="O99" s="1702"/>
      <c r="P99" s="1699"/>
      <c r="Q99" s="1703">
        <v>5</v>
      </c>
      <c r="R99" s="1700">
        <v>774000</v>
      </c>
      <c r="S99" s="1703">
        <v>7</v>
      </c>
      <c r="T99" s="1699">
        <v>730000</v>
      </c>
      <c r="U99" s="1702"/>
      <c r="V99" s="1704"/>
      <c r="W99" s="1701">
        <v>3</v>
      </c>
      <c r="X99" s="1698">
        <v>700000</v>
      </c>
    </row>
    <row r="100" spans="2:28" s="452" customFormat="1" ht="16.5" customHeight="1" thickBot="1">
      <c r="B100" s="1705" t="s">
        <v>72</v>
      </c>
      <c r="C100" s="1371">
        <f t="shared" si="15"/>
        <v>12</v>
      </c>
      <c r="D100" s="1372">
        <f t="shared" si="15"/>
        <v>3596000</v>
      </c>
      <c r="E100" s="1706"/>
      <c r="F100" s="1707"/>
      <c r="G100" s="1701">
        <v>1</v>
      </c>
      <c r="H100" s="1698">
        <v>1150000</v>
      </c>
      <c r="I100" s="1702">
        <v>2</v>
      </c>
      <c r="J100" s="1698">
        <v>1030000</v>
      </c>
      <c r="K100" s="1708"/>
      <c r="L100" s="1698"/>
      <c r="M100" s="1708"/>
      <c r="N100" s="1698"/>
      <c r="O100" s="1702"/>
      <c r="P100" s="1699"/>
      <c r="Q100" s="1703">
        <v>4</v>
      </c>
      <c r="R100" s="1700">
        <v>660000</v>
      </c>
      <c r="S100" s="1703">
        <v>5</v>
      </c>
      <c r="T100" s="1699">
        <v>756000</v>
      </c>
      <c r="U100" s="1702"/>
      <c r="V100" s="1704"/>
      <c r="W100" s="1701"/>
      <c r="X100" s="1698"/>
    </row>
    <row r="101" spans="2:28" s="452" customFormat="1" ht="16.5" customHeight="1" thickBot="1">
      <c r="B101" s="1399" t="s">
        <v>78</v>
      </c>
      <c r="C101" s="1356">
        <f>SUM(C89:C100)</f>
        <v>217</v>
      </c>
      <c r="D101" s="1357">
        <f>SUM(D89:D100)</f>
        <v>38965400</v>
      </c>
      <c r="E101" s="1378"/>
      <c r="F101" s="1359">
        <f>SUM(F89:F100)</f>
        <v>0</v>
      </c>
      <c r="G101" s="1360"/>
      <c r="H101" s="1361">
        <f>SUM(H89:H100)</f>
        <v>8870000</v>
      </c>
      <c r="I101" s="1360"/>
      <c r="J101" s="1361">
        <f>SUM(J89:J100)</f>
        <v>2800000</v>
      </c>
      <c r="K101" s="1362"/>
      <c r="L101" s="1361">
        <f>SUM(L89:L100)</f>
        <v>0</v>
      </c>
      <c r="M101" s="1362"/>
      <c r="N101" s="1361">
        <f>SUM(N89:N100)</f>
        <v>0</v>
      </c>
      <c r="O101" s="1362"/>
      <c r="P101" s="1363">
        <f>SUM(P89:P100)</f>
        <v>0</v>
      </c>
      <c r="Q101" s="1681"/>
      <c r="R101" s="1682"/>
      <c r="S101" s="1681"/>
      <c r="T101" s="1363"/>
      <c r="U101" s="1362"/>
      <c r="V101" s="1357">
        <f>SUM(V89:V100)</f>
        <v>0</v>
      </c>
      <c r="W101" s="1360"/>
      <c r="X101" s="1357">
        <f>SUM(X89:X100)</f>
        <v>26924000</v>
      </c>
    </row>
    <row r="102" spans="2:28" s="452" customFormat="1" ht="16.5" customHeight="1"/>
    <row r="103" spans="2:28" s="452" customFormat="1" ht="16.5" customHeight="1" thickBot="1">
      <c r="B103" s="675" t="s">
        <v>298</v>
      </c>
      <c r="G103" s="402" t="s">
        <v>591</v>
      </c>
      <c r="H103" s="1685">
        <f>H85</f>
        <v>5</v>
      </c>
      <c r="I103" s="1652" t="s">
        <v>592</v>
      </c>
      <c r="K103" s="399" t="s">
        <v>532</v>
      </c>
    </row>
    <row r="104" spans="2:28" s="452" customFormat="1" ht="16.5" customHeight="1">
      <c r="B104" s="2512" t="s">
        <v>0</v>
      </c>
      <c r="C104" s="2515" t="s">
        <v>594</v>
      </c>
      <c r="D104" s="2516"/>
      <c r="E104" s="2519" t="s">
        <v>221</v>
      </c>
      <c r="F104" s="2520"/>
      <c r="G104" s="2520"/>
      <c r="H104" s="2520"/>
      <c r="I104" s="2520"/>
      <c r="J104" s="2521"/>
      <c r="K104" s="2524" t="s">
        <v>74</v>
      </c>
      <c r="L104" s="2525"/>
      <c r="M104" s="2525"/>
      <c r="N104" s="2526"/>
      <c r="O104" s="2527" t="s">
        <v>222</v>
      </c>
      <c r="P104" s="2528"/>
      <c r="Q104" s="2524" t="s">
        <v>358</v>
      </c>
      <c r="R104" s="2525"/>
      <c r="S104" s="2525"/>
      <c r="T104" s="2526"/>
      <c r="U104" s="2527" t="s">
        <v>223</v>
      </c>
      <c r="V104" s="2531"/>
      <c r="W104" s="2533" t="s">
        <v>75</v>
      </c>
      <c r="X104" s="2534"/>
    </row>
    <row r="105" spans="2:28" s="452" customFormat="1" ht="16.5" customHeight="1">
      <c r="B105" s="2513"/>
      <c r="C105" s="2517"/>
      <c r="D105" s="2518"/>
      <c r="E105" s="2685" t="s">
        <v>225</v>
      </c>
      <c r="F105" s="2538"/>
      <c r="G105" s="2522" t="s">
        <v>226</v>
      </c>
      <c r="H105" s="2523"/>
      <c r="I105" s="2522" t="s">
        <v>227</v>
      </c>
      <c r="J105" s="2523"/>
      <c r="K105" s="2522" t="s">
        <v>76</v>
      </c>
      <c r="L105" s="2523"/>
      <c r="M105" s="2522" t="s">
        <v>228</v>
      </c>
      <c r="N105" s="2523"/>
      <c r="O105" s="2529"/>
      <c r="P105" s="2530"/>
      <c r="Q105" s="2522" t="s">
        <v>226</v>
      </c>
      <c r="R105" s="2523"/>
      <c r="S105" s="2522" t="s">
        <v>228</v>
      </c>
      <c r="T105" s="2523"/>
      <c r="U105" s="2529"/>
      <c r="V105" s="2532"/>
      <c r="W105" s="2535"/>
      <c r="X105" s="2536"/>
    </row>
    <row r="106" spans="2:28" s="452" customFormat="1" ht="16.5" customHeight="1">
      <c r="B106" s="2514"/>
      <c r="C106" s="676" t="s">
        <v>230</v>
      </c>
      <c r="D106" s="677" t="s">
        <v>231</v>
      </c>
      <c r="E106" s="676" t="s">
        <v>230</v>
      </c>
      <c r="F106" s="678" t="s">
        <v>232</v>
      </c>
      <c r="G106" s="459" t="s">
        <v>230</v>
      </c>
      <c r="H106" s="1398" t="s">
        <v>232</v>
      </c>
      <c r="I106" s="459" t="s">
        <v>230</v>
      </c>
      <c r="J106" s="1398" t="s">
        <v>232</v>
      </c>
      <c r="K106" s="460" t="s">
        <v>230</v>
      </c>
      <c r="L106" s="1398" t="s">
        <v>232</v>
      </c>
      <c r="M106" s="460" t="s">
        <v>230</v>
      </c>
      <c r="N106" s="1398" t="s">
        <v>232</v>
      </c>
      <c r="O106" s="460" t="s">
        <v>230</v>
      </c>
      <c r="P106" s="1397" t="s">
        <v>232</v>
      </c>
      <c r="Q106" s="1305" t="s">
        <v>230</v>
      </c>
      <c r="R106" s="1398" t="s">
        <v>232</v>
      </c>
      <c r="S106" s="459" t="s">
        <v>230</v>
      </c>
      <c r="T106" s="1398" t="s">
        <v>232</v>
      </c>
      <c r="U106" s="460" t="s">
        <v>230</v>
      </c>
      <c r="V106" s="1400" t="s">
        <v>232</v>
      </c>
      <c r="W106" s="459" t="s">
        <v>230</v>
      </c>
      <c r="X106" s="1398" t="s">
        <v>232</v>
      </c>
    </row>
    <row r="107" spans="2:28" s="452" customFormat="1" ht="16.5" customHeight="1">
      <c r="B107" s="1395" t="s">
        <v>233</v>
      </c>
      <c r="C107" s="679">
        <f t="shared" ref="C107:D118" si="16">E107+G107+I107+K107+M107+O107+U107</f>
        <v>0</v>
      </c>
      <c r="D107" s="680">
        <f t="shared" si="16"/>
        <v>0</v>
      </c>
      <c r="E107" s="1366"/>
      <c r="F107" s="763"/>
      <c r="G107" s="1709"/>
      <c r="H107" s="1710"/>
      <c r="I107" s="1711"/>
      <c r="J107" s="1710"/>
      <c r="K107" s="1711"/>
      <c r="L107" s="1712"/>
      <c r="M107" s="766"/>
      <c r="N107" s="763"/>
      <c r="O107" s="766"/>
      <c r="P107" s="762"/>
      <c r="Q107" s="1688"/>
      <c r="R107" s="1689"/>
      <c r="S107" s="1688"/>
      <c r="T107" s="762"/>
      <c r="U107" s="766"/>
      <c r="V107" s="1367"/>
      <c r="W107" s="764">
        <v>56</v>
      </c>
      <c r="X107" s="1690">
        <v>22300000</v>
      </c>
      <c r="AA107" s="1323"/>
      <c r="AB107" s="1323"/>
    </row>
    <row r="108" spans="2:28" s="452" customFormat="1" ht="16.5" customHeight="1">
      <c r="B108" s="1396" t="s">
        <v>62</v>
      </c>
      <c r="C108" s="688">
        <f t="shared" si="16"/>
        <v>8</v>
      </c>
      <c r="D108" s="689">
        <f t="shared" si="16"/>
        <v>2530000</v>
      </c>
      <c r="E108" s="1713">
        <v>0</v>
      </c>
      <c r="F108" s="1336">
        <v>0</v>
      </c>
      <c r="G108" s="1714">
        <v>0</v>
      </c>
      <c r="H108" s="1715">
        <v>0</v>
      </c>
      <c r="I108" s="1714">
        <v>8</v>
      </c>
      <c r="J108" s="1715">
        <v>2530000</v>
      </c>
      <c r="K108" s="1716">
        <v>0</v>
      </c>
      <c r="L108" s="1348">
        <v>0</v>
      </c>
      <c r="M108" s="1338">
        <v>0</v>
      </c>
      <c r="N108" s="1336">
        <v>0</v>
      </c>
      <c r="O108" s="1338">
        <v>0</v>
      </c>
      <c r="P108" s="1339">
        <v>0</v>
      </c>
      <c r="Q108" s="1657">
        <v>4</v>
      </c>
      <c r="R108" s="1658">
        <v>900000</v>
      </c>
      <c r="S108" s="1657">
        <v>36</v>
      </c>
      <c r="T108" s="1339">
        <v>6160000</v>
      </c>
      <c r="U108" s="1338">
        <v>0</v>
      </c>
      <c r="V108" s="1382">
        <v>0</v>
      </c>
      <c r="W108" s="1337">
        <v>2</v>
      </c>
      <c r="X108" s="1659">
        <v>600000</v>
      </c>
      <c r="AA108" s="1323"/>
      <c r="AB108" s="1323"/>
    </row>
    <row r="109" spans="2:28" s="452" customFormat="1" ht="16.5" customHeight="1">
      <c r="B109" s="1396" t="s">
        <v>63</v>
      </c>
      <c r="C109" s="688">
        <f t="shared" si="16"/>
        <v>9</v>
      </c>
      <c r="D109" s="689">
        <f t="shared" si="16"/>
        <v>3400000</v>
      </c>
      <c r="E109" s="1713">
        <v>0</v>
      </c>
      <c r="F109" s="1336">
        <v>0</v>
      </c>
      <c r="G109" s="1714">
        <v>4</v>
      </c>
      <c r="H109" s="1715">
        <v>1940000</v>
      </c>
      <c r="I109" s="1714">
        <v>5</v>
      </c>
      <c r="J109" s="1715">
        <v>1460000</v>
      </c>
      <c r="K109" s="1716">
        <v>0</v>
      </c>
      <c r="L109" s="1348">
        <v>0</v>
      </c>
      <c r="M109" s="1338">
        <v>0</v>
      </c>
      <c r="N109" s="1336">
        <v>0</v>
      </c>
      <c r="O109" s="1338">
        <v>0</v>
      </c>
      <c r="P109" s="1339">
        <v>0</v>
      </c>
      <c r="Q109" s="1657">
        <v>7</v>
      </c>
      <c r="R109" s="1658">
        <v>1096000</v>
      </c>
      <c r="S109" s="1657">
        <v>40</v>
      </c>
      <c r="T109" s="1339">
        <v>6482000</v>
      </c>
      <c r="U109" s="1338">
        <v>0</v>
      </c>
      <c r="V109" s="1382">
        <v>0</v>
      </c>
      <c r="W109" s="1337">
        <v>2</v>
      </c>
      <c r="X109" s="1659">
        <v>880000</v>
      </c>
      <c r="AA109" s="1323"/>
      <c r="AB109" s="1323"/>
    </row>
    <row r="110" spans="2:28" s="452" customFormat="1" ht="16.5" customHeight="1">
      <c r="B110" s="1396" t="s">
        <v>64</v>
      </c>
      <c r="C110" s="688">
        <f t="shared" si="16"/>
        <v>14</v>
      </c>
      <c r="D110" s="689">
        <f t="shared" si="16"/>
        <v>7740000</v>
      </c>
      <c r="E110" s="1713">
        <v>0</v>
      </c>
      <c r="F110" s="1336">
        <v>0</v>
      </c>
      <c r="G110" s="1714">
        <v>5</v>
      </c>
      <c r="H110" s="1715">
        <v>2280000</v>
      </c>
      <c r="I110" s="1714">
        <v>7</v>
      </c>
      <c r="J110" s="1715">
        <v>3640000</v>
      </c>
      <c r="K110" s="1716">
        <v>0</v>
      </c>
      <c r="L110" s="1348">
        <v>0</v>
      </c>
      <c r="M110" s="1338">
        <v>2</v>
      </c>
      <c r="N110" s="1336">
        <v>1820000</v>
      </c>
      <c r="O110" s="1338">
        <v>0</v>
      </c>
      <c r="P110" s="1339">
        <v>0</v>
      </c>
      <c r="Q110" s="1657">
        <v>4</v>
      </c>
      <c r="R110" s="1658">
        <v>900000</v>
      </c>
      <c r="S110" s="1657">
        <v>49</v>
      </c>
      <c r="T110" s="1339">
        <v>6352000</v>
      </c>
      <c r="U110" s="1338">
        <v>0</v>
      </c>
      <c r="V110" s="1382">
        <v>0</v>
      </c>
      <c r="W110" s="1337">
        <v>2</v>
      </c>
      <c r="X110" s="1659">
        <v>880000</v>
      </c>
    </row>
    <row r="111" spans="2:28" s="452" customFormat="1" ht="16.5" customHeight="1">
      <c r="B111" s="1396" t="s">
        <v>65</v>
      </c>
      <c r="C111" s="688">
        <f t="shared" si="16"/>
        <v>11</v>
      </c>
      <c r="D111" s="689">
        <f t="shared" si="16"/>
        <v>5670000</v>
      </c>
      <c r="E111" s="1713">
        <v>0</v>
      </c>
      <c r="F111" s="1336">
        <v>0</v>
      </c>
      <c r="G111" s="1714">
        <v>6</v>
      </c>
      <c r="H111" s="1715">
        <v>3680000</v>
      </c>
      <c r="I111" s="1714">
        <v>5</v>
      </c>
      <c r="J111" s="1715">
        <v>1990000</v>
      </c>
      <c r="K111" s="1716">
        <v>0</v>
      </c>
      <c r="L111" s="1348">
        <v>0</v>
      </c>
      <c r="M111" s="1338">
        <v>0</v>
      </c>
      <c r="N111" s="1336">
        <v>0</v>
      </c>
      <c r="O111" s="1338">
        <v>0</v>
      </c>
      <c r="P111" s="1339">
        <v>0</v>
      </c>
      <c r="Q111" s="1657">
        <v>6</v>
      </c>
      <c r="R111" s="1658">
        <v>1360000</v>
      </c>
      <c r="S111" s="1657">
        <v>34</v>
      </c>
      <c r="T111" s="1339">
        <v>6066000</v>
      </c>
      <c r="U111" s="1338">
        <v>0</v>
      </c>
      <c r="V111" s="1382">
        <v>0</v>
      </c>
      <c r="W111" s="1337">
        <v>3</v>
      </c>
      <c r="X111" s="1659">
        <v>1030000</v>
      </c>
    </row>
    <row r="112" spans="2:28" s="452" customFormat="1" ht="16.5" customHeight="1">
      <c r="B112" s="1693" t="s">
        <v>66</v>
      </c>
      <c r="C112" s="1694">
        <f t="shared" si="16"/>
        <v>3</v>
      </c>
      <c r="D112" s="1695">
        <f t="shared" si="16"/>
        <v>1160000</v>
      </c>
      <c r="E112" s="1381">
        <v>0</v>
      </c>
      <c r="F112" s="1336">
        <v>0</v>
      </c>
      <c r="G112" s="1337">
        <v>0</v>
      </c>
      <c r="H112" s="1322">
        <v>0</v>
      </c>
      <c r="I112" s="1337">
        <v>3</v>
      </c>
      <c r="J112" s="1322">
        <v>1160000</v>
      </c>
      <c r="K112" s="1338">
        <v>0</v>
      </c>
      <c r="L112" s="1336">
        <v>0</v>
      </c>
      <c r="M112" s="1338">
        <v>0</v>
      </c>
      <c r="N112" s="1336">
        <v>0</v>
      </c>
      <c r="O112" s="1338">
        <v>0</v>
      </c>
      <c r="P112" s="1339">
        <v>0</v>
      </c>
      <c r="Q112" s="1657">
        <v>0</v>
      </c>
      <c r="R112" s="1658">
        <v>0</v>
      </c>
      <c r="S112" s="1657">
        <v>11</v>
      </c>
      <c r="T112" s="1339">
        <v>1998000</v>
      </c>
      <c r="U112" s="1338">
        <v>0</v>
      </c>
      <c r="V112" s="1382">
        <v>0</v>
      </c>
      <c r="W112" s="1337">
        <v>7</v>
      </c>
      <c r="X112" s="1322">
        <v>2304000</v>
      </c>
      <c r="Y112" s="1717" t="str">
        <f>Y94</f>
        <v>9月までは今年度実績</v>
      </c>
    </row>
    <row r="113" spans="2:33" s="452" customFormat="1" ht="16.5" customHeight="1">
      <c r="B113" s="1370" t="s">
        <v>67</v>
      </c>
      <c r="C113" s="1371">
        <f t="shared" si="16"/>
        <v>18</v>
      </c>
      <c r="D113" s="1372">
        <f t="shared" si="16"/>
        <v>7350000</v>
      </c>
      <c r="E113" s="1718">
        <v>0</v>
      </c>
      <c r="F113" s="1698">
        <v>0</v>
      </c>
      <c r="G113" s="1698">
        <v>6</v>
      </c>
      <c r="H113" s="1374">
        <v>2900000</v>
      </c>
      <c r="I113" s="1373">
        <v>12</v>
      </c>
      <c r="J113" s="1374">
        <v>4450000</v>
      </c>
      <c r="K113" s="1375">
        <v>0</v>
      </c>
      <c r="L113" s="1374">
        <v>0</v>
      </c>
      <c r="M113" s="1375">
        <v>0</v>
      </c>
      <c r="N113" s="1374">
        <v>0</v>
      </c>
      <c r="O113" s="1375">
        <v>0</v>
      </c>
      <c r="P113" s="1376">
        <v>0</v>
      </c>
      <c r="Q113" s="1719">
        <v>2</v>
      </c>
      <c r="R113" s="1720">
        <v>370000</v>
      </c>
      <c r="S113" s="1719">
        <v>0</v>
      </c>
      <c r="T113" s="1376">
        <v>0</v>
      </c>
      <c r="U113" s="1375">
        <v>0</v>
      </c>
      <c r="V113" s="1383">
        <v>0</v>
      </c>
      <c r="W113" s="1373">
        <v>3</v>
      </c>
      <c r="X113" s="1374">
        <v>1260000</v>
      </c>
      <c r="Y113" s="1717" t="str">
        <f>Y95</f>
        <v>10月以降は前年度実績</v>
      </c>
    </row>
    <row r="114" spans="2:33" s="452" customFormat="1" ht="16.5" customHeight="1">
      <c r="B114" s="1377" t="s">
        <v>68</v>
      </c>
      <c r="C114" s="1371">
        <f t="shared" si="16"/>
        <v>5</v>
      </c>
      <c r="D114" s="1372">
        <f t="shared" si="16"/>
        <v>2570000</v>
      </c>
      <c r="E114" s="1718">
        <v>0</v>
      </c>
      <c r="F114" s="1698">
        <v>0</v>
      </c>
      <c r="G114" s="1373">
        <v>1</v>
      </c>
      <c r="H114" s="1374">
        <v>1090000</v>
      </c>
      <c r="I114" s="1373">
        <v>3</v>
      </c>
      <c r="J114" s="1374">
        <v>950000</v>
      </c>
      <c r="K114" s="1375">
        <v>0</v>
      </c>
      <c r="L114" s="1374">
        <v>0</v>
      </c>
      <c r="M114" s="1375">
        <v>0</v>
      </c>
      <c r="N114" s="1374">
        <v>0</v>
      </c>
      <c r="O114" s="1375">
        <v>0</v>
      </c>
      <c r="P114" s="1376">
        <v>0</v>
      </c>
      <c r="Q114" s="1719">
        <v>7</v>
      </c>
      <c r="R114" s="1720">
        <v>1422000</v>
      </c>
      <c r="S114" s="1719">
        <v>37</v>
      </c>
      <c r="T114" s="1376">
        <v>6188000</v>
      </c>
      <c r="U114" s="1375">
        <v>1</v>
      </c>
      <c r="V114" s="1383">
        <v>530000</v>
      </c>
      <c r="W114" s="1373">
        <v>0</v>
      </c>
      <c r="X114" s="1374">
        <v>0</v>
      </c>
      <c r="Y114" s="1717"/>
    </row>
    <row r="115" spans="2:33" s="718" customFormat="1" ht="16.5" customHeight="1">
      <c r="B115" s="1370" t="s">
        <v>69</v>
      </c>
      <c r="C115" s="1371">
        <f t="shared" si="16"/>
        <v>4</v>
      </c>
      <c r="D115" s="1372">
        <f t="shared" si="16"/>
        <v>2000000</v>
      </c>
      <c r="E115" s="1718">
        <v>0</v>
      </c>
      <c r="F115" s="1698">
        <v>0</v>
      </c>
      <c r="G115" s="1373">
        <v>2</v>
      </c>
      <c r="H115" s="1374">
        <v>620000</v>
      </c>
      <c r="I115" s="1375">
        <v>1</v>
      </c>
      <c r="J115" s="1374">
        <v>590000</v>
      </c>
      <c r="K115" s="1375">
        <v>0</v>
      </c>
      <c r="L115" s="1374">
        <v>0</v>
      </c>
      <c r="M115" s="1375">
        <v>1</v>
      </c>
      <c r="N115" s="1374">
        <v>790000</v>
      </c>
      <c r="O115" s="1375">
        <v>0</v>
      </c>
      <c r="P115" s="1376">
        <v>0</v>
      </c>
      <c r="Q115" s="1719">
        <v>11</v>
      </c>
      <c r="R115" s="1720">
        <v>1874000</v>
      </c>
      <c r="S115" s="1719">
        <v>38</v>
      </c>
      <c r="T115" s="1376">
        <v>6102000</v>
      </c>
      <c r="U115" s="1375">
        <v>0</v>
      </c>
      <c r="V115" s="1383">
        <v>0</v>
      </c>
      <c r="W115" s="1373">
        <v>1</v>
      </c>
      <c r="X115" s="1374">
        <v>440000</v>
      </c>
      <c r="Y115" s="1717"/>
    </row>
    <row r="116" spans="2:33" s="452" customFormat="1" ht="16.5" customHeight="1">
      <c r="B116" s="1370" t="s">
        <v>70</v>
      </c>
      <c r="C116" s="1371">
        <f t="shared" si="16"/>
        <v>11</v>
      </c>
      <c r="D116" s="1372">
        <f t="shared" si="16"/>
        <v>4770000</v>
      </c>
      <c r="E116" s="1718">
        <v>0</v>
      </c>
      <c r="F116" s="1698">
        <v>0</v>
      </c>
      <c r="G116" s="1373">
        <v>5</v>
      </c>
      <c r="H116" s="1374">
        <v>2760000</v>
      </c>
      <c r="I116" s="1375">
        <v>5</v>
      </c>
      <c r="J116" s="1374">
        <v>1480000</v>
      </c>
      <c r="K116" s="1375">
        <v>0</v>
      </c>
      <c r="L116" s="1374">
        <v>0</v>
      </c>
      <c r="M116" s="1375">
        <v>0</v>
      </c>
      <c r="N116" s="1374">
        <v>0</v>
      </c>
      <c r="O116" s="1375">
        <v>0</v>
      </c>
      <c r="P116" s="1376">
        <v>0</v>
      </c>
      <c r="Q116" s="1719">
        <v>6</v>
      </c>
      <c r="R116" s="1720">
        <v>1094000</v>
      </c>
      <c r="S116" s="1719">
        <v>28</v>
      </c>
      <c r="T116" s="1376">
        <v>4628000</v>
      </c>
      <c r="U116" s="1375">
        <v>1</v>
      </c>
      <c r="V116" s="1383">
        <v>530000</v>
      </c>
      <c r="W116" s="1373">
        <v>1</v>
      </c>
      <c r="X116" s="1374">
        <v>300000</v>
      </c>
      <c r="Y116" s="1721"/>
    </row>
    <row r="117" spans="2:33" s="452" customFormat="1" ht="16.5" customHeight="1">
      <c r="B117" s="1370" t="s">
        <v>71</v>
      </c>
      <c r="C117" s="1371">
        <f t="shared" si="16"/>
        <v>21</v>
      </c>
      <c r="D117" s="1372">
        <f t="shared" si="16"/>
        <v>9110000</v>
      </c>
      <c r="E117" s="1718">
        <v>0</v>
      </c>
      <c r="F117" s="1698">
        <v>0</v>
      </c>
      <c r="G117" s="1373">
        <v>15</v>
      </c>
      <c r="H117" s="1374">
        <v>6770000</v>
      </c>
      <c r="I117" s="1375">
        <v>5</v>
      </c>
      <c r="J117" s="1374">
        <v>1780000</v>
      </c>
      <c r="K117" s="1375">
        <v>0</v>
      </c>
      <c r="L117" s="1374">
        <v>0</v>
      </c>
      <c r="M117" s="1375">
        <v>0</v>
      </c>
      <c r="N117" s="1374">
        <v>0</v>
      </c>
      <c r="O117" s="1375">
        <v>0</v>
      </c>
      <c r="P117" s="1376">
        <v>0</v>
      </c>
      <c r="Q117" s="1719">
        <v>9</v>
      </c>
      <c r="R117" s="1720">
        <v>1666000</v>
      </c>
      <c r="S117" s="1719">
        <v>24</v>
      </c>
      <c r="T117" s="1376">
        <v>4238000</v>
      </c>
      <c r="U117" s="1375">
        <v>1</v>
      </c>
      <c r="V117" s="1383">
        <v>560000</v>
      </c>
      <c r="W117" s="1373">
        <v>5</v>
      </c>
      <c r="X117" s="1374">
        <v>2120000</v>
      </c>
    </row>
    <row r="118" spans="2:33" s="1349" customFormat="1" ht="16.5" customHeight="1" thickBot="1">
      <c r="B118" s="1377" t="s">
        <v>72</v>
      </c>
      <c r="C118" s="1371">
        <f t="shared" si="16"/>
        <v>15</v>
      </c>
      <c r="D118" s="1372">
        <f t="shared" si="16"/>
        <v>8620000</v>
      </c>
      <c r="E118" s="1722">
        <v>0</v>
      </c>
      <c r="F118" s="1707">
        <v>0</v>
      </c>
      <c r="G118" s="1373">
        <v>8</v>
      </c>
      <c r="H118" s="1374">
        <v>5860000</v>
      </c>
      <c r="I118" s="1375">
        <v>7</v>
      </c>
      <c r="J118" s="1374">
        <v>2760000</v>
      </c>
      <c r="K118" s="1386">
        <v>0</v>
      </c>
      <c r="L118" s="1374">
        <v>0</v>
      </c>
      <c r="M118" s="1386">
        <v>0</v>
      </c>
      <c r="N118" s="1374">
        <v>0</v>
      </c>
      <c r="O118" s="1375">
        <v>0</v>
      </c>
      <c r="P118" s="1376">
        <v>0</v>
      </c>
      <c r="Q118" s="1719">
        <v>1</v>
      </c>
      <c r="R118" s="1720">
        <v>160000</v>
      </c>
      <c r="S118" s="1719">
        <v>43</v>
      </c>
      <c r="T118" s="1376">
        <v>7054000</v>
      </c>
      <c r="U118" s="1375">
        <v>0</v>
      </c>
      <c r="V118" s="1383">
        <v>0</v>
      </c>
      <c r="W118" s="1373">
        <v>1</v>
      </c>
      <c r="X118" s="1374">
        <v>440000</v>
      </c>
    </row>
    <row r="119" spans="2:33" ht="16.5" customHeight="1" thickBot="1">
      <c r="B119" s="1399" t="s">
        <v>78</v>
      </c>
      <c r="C119" s="1356">
        <f>SUM(C107:C118)</f>
        <v>119</v>
      </c>
      <c r="D119" s="1357">
        <f>SUM(D107:D118)</f>
        <v>54920000</v>
      </c>
      <c r="E119" s="1378"/>
      <c r="F119" s="1359">
        <f>SUM(F107:F118)</f>
        <v>0</v>
      </c>
      <c r="G119" s="1360"/>
      <c r="H119" s="1361">
        <f>SUM(H107:H118)</f>
        <v>27900000</v>
      </c>
      <c r="I119" s="1360"/>
      <c r="J119" s="1361">
        <f>SUM(J107:J118)</f>
        <v>22790000</v>
      </c>
      <c r="K119" s="1362"/>
      <c r="L119" s="1361">
        <f>SUM(L107:L118)</f>
        <v>0</v>
      </c>
      <c r="M119" s="1362"/>
      <c r="N119" s="1361">
        <f>SUM(N107:N118)</f>
        <v>2610000</v>
      </c>
      <c r="O119" s="1362"/>
      <c r="P119" s="1363"/>
      <c r="Q119" s="1681"/>
      <c r="R119" s="1682">
        <f>SUM(R107:R118)</f>
        <v>10842000</v>
      </c>
      <c r="S119" s="1681">
        <f>SUM(S107:S118)</f>
        <v>340</v>
      </c>
      <c r="T119" s="1363">
        <f>SUM(T107:T118)</f>
        <v>55268000</v>
      </c>
      <c r="U119" s="1362"/>
      <c r="V119" s="1357">
        <f>SUM(V107:V118)</f>
        <v>1620000</v>
      </c>
      <c r="W119" s="1360"/>
      <c r="X119" s="1357">
        <f>SUM(X107:X118)</f>
        <v>32554000</v>
      </c>
      <c r="AC119" s="230"/>
      <c r="AG119" s="454"/>
    </row>
    <row r="120" spans="2:33" ht="21" customHeight="1">
      <c r="AC120" s="230"/>
      <c r="AG120" s="454"/>
    </row>
    <row r="121" spans="2:33" ht="29.25" customHeight="1">
      <c r="AC121" s="230"/>
      <c r="AG121" s="454"/>
    </row>
    <row r="122" spans="2:33" ht="29.25" customHeight="1">
      <c r="AC122" s="230"/>
      <c r="AG122" s="454"/>
    </row>
    <row r="123" spans="2:33" ht="29.25" customHeight="1">
      <c r="P123" s="267"/>
      <c r="Q123" s="267"/>
      <c r="R123" s="267"/>
      <c r="S123" s="267"/>
      <c r="T123" s="267"/>
      <c r="AC123" s="230"/>
      <c r="AG123" s="454"/>
    </row>
    <row r="124" spans="2:33" ht="29.25" customHeight="1">
      <c r="AC124" s="230"/>
      <c r="AG124" s="454"/>
    </row>
    <row r="125" spans="2:33" ht="29.25" customHeight="1">
      <c r="AC125" s="230"/>
      <c r="AG125" s="454"/>
    </row>
    <row r="126" spans="2:33" ht="29.25" customHeight="1">
      <c r="AC126" s="230"/>
      <c r="AG126" s="454"/>
    </row>
    <row r="127" spans="2:33" ht="29.25" customHeight="1">
      <c r="AC127" s="230"/>
      <c r="AG127" s="454"/>
    </row>
    <row r="128" spans="2:33" ht="29.25" customHeight="1">
      <c r="AC128" s="230"/>
      <c r="AG128" s="454"/>
    </row>
    <row r="129" spans="29:33" ht="29.25" customHeight="1">
      <c r="AC129" s="230"/>
      <c r="AG129" s="454"/>
    </row>
    <row r="130" spans="29:33" ht="29.25" customHeight="1">
      <c r="AC130" s="230"/>
      <c r="AG130" s="454"/>
    </row>
    <row r="131" spans="29:33" ht="29.25" customHeight="1">
      <c r="AC131" s="230"/>
      <c r="AG131" s="454"/>
    </row>
    <row r="132" spans="29:33" ht="29.25" customHeight="1">
      <c r="AC132" s="230"/>
      <c r="AG132" s="454"/>
    </row>
    <row r="133" spans="29:33" ht="29.25" customHeight="1">
      <c r="AC133" s="230"/>
      <c r="AG133" s="454"/>
    </row>
    <row r="134" spans="29:33" ht="29.25" customHeight="1">
      <c r="AC134" s="230"/>
      <c r="AG134" s="454"/>
    </row>
    <row r="135" spans="29:33" ht="29.25" customHeight="1">
      <c r="AC135" s="230"/>
      <c r="AG135" s="454"/>
    </row>
    <row r="136" spans="29:33" ht="29.25" customHeight="1">
      <c r="AC136" s="230"/>
      <c r="AG136" s="454"/>
    </row>
    <row r="137" spans="29:33" ht="29.25" customHeight="1">
      <c r="AC137" s="230"/>
      <c r="AG137" s="454"/>
    </row>
    <row r="138" spans="29:33" ht="29.25" customHeight="1">
      <c r="AC138" s="230"/>
      <c r="AG138" s="454"/>
    </row>
    <row r="139" spans="29:33" ht="29.25" customHeight="1">
      <c r="AC139" s="230"/>
      <c r="AG139" s="454"/>
    </row>
    <row r="140" spans="29:33" ht="29.25" customHeight="1">
      <c r="AC140" s="230"/>
      <c r="AG140" s="454"/>
    </row>
    <row r="141" spans="29:33" ht="29.25" customHeight="1">
      <c r="AC141" s="230"/>
      <c r="AG141" s="454"/>
    </row>
    <row r="142" spans="29:33" ht="29.25" customHeight="1">
      <c r="AC142" s="230"/>
      <c r="AG142" s="454"/>
    </row>
    <row r="143" spans="29:33" ht="29.25" customHeight="1">
      <c r="AC143" s="230"/>
      <c r="AG143" s="454"/>
    </row>
    <row r="144" spans="29:33" ht="29.25" customHeight="1">
      <c r="AC144" s="230"/>
      <c r="AG144" s="454"/>
    </row>
    <row r="145" spans="29:33" ht="29.25" customHeight="1">
      <c r="AC145" s="230"/>
      <c r="AG145" s="454"/>
    </row>
    <row r="146" spans="29:33" ht="29.25" customHeight="1">
      <c r="AC146" s="230"/>
      <c r="AG146" s="454"/>
    </row>
    <row r="147" spans="29:33" ht="29.25" customHeight="1">
      <c r="AC147" s="230"/>
      <c r="AG147" s="454"/>
    </row>
    <row r="148" spans="29:33" ht="29.25" customHeight="1">
      <c r="AC148" s="230"/>
      <c r="AG148" s="454"/>
    </row>
    <row r="149" spans="29:33" ht="29.25" customHeight="1">
      <c r="AC149" s="230"/>
      <c r="AG149" s="454"/>
    </row>
    <row r="150" spans="29:33" ht="29.25" customHeight="1">
      <c r="AC150" s="230"/>
      <c r="AG150" s="454"/>
    </row>
    <row r="151" spans="29:33" ht="29.25" customHeight="1">
      <c r="AC151" s="230"/>
      <c r="AG151" s="454"/>
    </row>
    <row r="152" spans="29:33" ht="29.25" customHeight="1">
      <c r="AC152" s="230"/>
      <c r="AG152" s="454"/>
    </row>
    <row r="153" spans="29:33" ht="29.25" customHeight="1">
      <c r="AC153" s="230"/>
      <c r="AG153" s="454"/>
    </row>
    <row r="154" spans="29:33" ht="29.25" customHeight="1">
      <c r="AC154" s="230"/>
      <c r="AG154" s="454"/>
    </row>
    <row r="155" spans="29:33" ht="29.25" customHeight="1">
      <c r="AC155" s="230"/>
      <c r="AG155" s="454"/>
    </row>
    <row r="156" spans="29:33" ht="29.25" customHeight="1">
      <c r="AC156" s="230"/>
      <c r="AG156" s="454"/>
    </row>
    <row r="157" spans="29:33" ht="29.25" customHeight="1">
      <c r="AC157" s="230"/>
      <c r="AG157" s="454"/>
    </row>
    <row r="158" spans="29:33" ht="29.25" customHeight="1">
      <c r="AC158" s="230"/>
      <c r="AG158" s="454"/>
    </row>
    <row r="159" spans="29:33" ht="29.25" customHeight="1">
      <c r="AC159" s="230"/>
      <c r="AG159" s="454"/>
    </row>
    <row r="160" spans="29:33" ht="29.25" customHeight="1">
      <c r="AC160" s="230"/>
      <c r="AG160" s="454"/>
    </row>
    <row r="161" spans="29:33" ht="29.25" customHeight="1">
      <c r="AC161" s="230"/>
      <c r="AG161" s="454"/>
    </row>
    <row r="162" spans="29:33" ht="29.25" customHeight="1">
      <c r="AC162" s="230"/>
      <c r="AG162" s="454"/>
    </row>
    <row r="163" spans="29:33" ht="29.25" customHeight="1">
      <c r="AC163" s="230"/>
      <c r="AG163" s="454"/>
    </row>
    <row r="164" spans="29:33" ht="29.25" customHeight="1">
      <c r="AC164" s="230"/>
      <c r="AG164" s="454"/>
    </row>
    <row r="165" spans="29:33" ht="29.25" customHeight="1">
      <c r="AC165" s="230"/>
      <c r="AG165" s="454"/>
    </row>
    <row r="166" spans="29:33" ht="29.25" customHeight="1">
      <c r="AC166" s="230"/>
      <c r="AG166" s="454"/>
    </row>
    <row r="167" spans="29:33" ht="29.25" customHeight="1">
      <c r="AC167" s="230"/>
      <c r="AG167" s="454"/>
    </row>
    <row r="168" spans="29:33" ht="29.25" customHeight="1">
      <c r="AC168" s="230"/>
      <c r="AG168" s="454"/>
    </row>
    <row r="169" spans="29:33" ht="29.25" customHeight="1">
      <c r="AC169" s="230"/>
      <c r="AG169" s="454"/>
    </row>
    <row r="170" spans="29:33" ht="29.25" customHeight="1">
      <c r="AC170" s="230"/>
      <c r="AG170" s="454"/>
    </row>
    <row r="171" spans="29:33" ht="29.25" customHeight="1">
      <c r="AC171" s="230"/>
      <c r="AG171" s="454"/>
    </row>
    <row r="172" spans="29:33" ht="29.25" customHeight="1">
      <c r="AC172" s="230"/>
      <c r="AG172" s="454"/>
    </row>
    <row r="173" spans="29:33" ht="29.25" customHeight="1">
      <c r="AC173" s="230"/>
      <c r="AG173" s="454"/>
    </row>
    <row r="174" spans="29:33" ht="29.25" customHeight="1">
      <c r="AC174" s="230"/>
      <c r="AG174" s="454"/>
    </row>
    <row r="175" spans="29:33" ht="29.25" customHeight="1">
      <c r="AC175" s="230"/>
      <c r="AG175" s="454"/>
    </row>
    <row r="176" spans="29:33" ht="29.25" customHeight="1">
      <c r="AC176" s="230"/>
      <c r="AG176" s="454"/>
    </row>
    <row r="177" spans="29:33" ht="29.25" customHeight="1">
      <c r="AC177" s="230"/>
      <c r="AG177" s="454"/>
    </row>
    <row r="178" spans="29:33" ht="29.25" customHeight="1">
      <c r="AC178" s="230"/>
      <c r="AG178" s="454"/>
    </row>
    <row r="179" spans="29:33" ht="29.25" customHeight="1">
      <c r="AC179" s="230"/>
      <c r="AG179" s="454"/>
    </row>
    <row r="180" spans="29:33" ht="29.25" customHeight="1">
      <c r="AC180" s="230"/>
      <c r="AG180" s="454"/>
    </row>
    <row r="181" spans="29:33" ht="29.25" customHeight="1">
      <c r="AC181" s="230"/>
      <c r="AG181" s="454"/>
    </row>
    <row r="182" spans="29:33" ht="29.25" customHeight="1">
      <c r="AC182" s="230"/>
      <c r="AG182" s="454"/>
    </row>
    <row r="183" spans="29:33" ht="29.25" customHeight="1">
      <c r="AC183" s="230"/>
      <c r="AG183" s="454"/>
    </row>
    <row r="184" spans="29:33" ht="29.25" customHeight="1">
      <c r="AC184" s="230"/>
      <c r="AG184" s="454"/>
    </row>
    <row r="185" spans="29:33" ht="29.25" customHeight="1">
      <c r="AC185" s="230"/>
      <c r="AG185" s="454"/>
    </row>
  </sheetData>
  <mergeCells count="154">
    <mergeCell ref="AH2:AH4"/>
    <mergeCell ref="E3:F3"/>
    <mergeCell ref="G3:H3"/>
    <mergeCell ref="I3:J3"/>
    <mergeCell ref="K3:L3"/>
    <mergeCell ref="M3:N3"/>
    <mergeCell ref="Q3:R3"/>
    <mergeCell ref="S3:T3"/>
    <mergeCell ref="Z3:Z4"/>
    <mergeCell ref="U2:V3"/>
    <mergeCell ref="W2:X3"/>
    <mergeCell ref="Y2:Y4"/>
    <mergeCell ref="Z2:AB2"/>
    <mergeCell ref="AC2:AD2"/>
    <mergeCell ref="AE2:AF4"/>
    <mergeCell ref="AA3:AA4"/>
    <mergeCell ref="AB3:AB4"/>
    <mergeCell ref="AC3:AC4"/>
    <mergeCell ref="AD3:AD4"/>
    <mergeCell ref="W17:X17"/>
    <mergeCell ref="AA19:AB19"/>
    <mergeCell ref="A15:A16"/>
    <mergeCell ref="E17:F17"/>
    <mergeCell ref="G17:H17"/>
    <mergeCell ref="I17:J17"/>
    <mergeCell ref="K17:L17"/>
    <mergeCell ref="M17:N17"/>
    <mergeCell ref="AG2:AG4"/>
    <mergeCell ref="O2:P3"/>
    <mergeCell ref="Q2:T2"/>
    <mergeCell ref="B2:B4"/>
    <mergeCell ref="C2:D3"/>
    <mergeCell ref="E2:J2"/>
    <mergeCell ref="K2:N2"/>
    <mergeCell ref="O22:P22"/>
    <mergeCell ref="Q22:R22"/>
    <mergeCell ref="S22:T22"/>
    <mergeCell ref="O17:P17"/>
    <mergeCell ref="Q17:R17"/>
    <mergeCell ref="S17:T17"/>
    <mergeCell ref="U17:V17"/>
    <mergeCell ref="B22:D22"/>
    <mergeCell ref="E22:F22"/>
    <mergeCell ref="G22:H22"/>
    <mergeCell ref="I22:J22"/>
    <mergeCell ref="K22:L22"/>
    <mergeCell ref="M22:N22"/>
    <mergeCell ref="B33:C33"/>
    <mergeCell ref="D33:E33"/>
    <mergeCell ref="F33:G33"/>
    <mergeCell ref="B34:C34"/>
    <mergeCell ref="D34:E34"/>
    <mergeCell ref="F34:G34"/>
    <mergeCell ref="Y23:AH23"/>
    <mergeCell ref="Y24:AH25"/>
    <mergeCell ref="Y29:Y30"/>
    <mergeCell ref="B31:C31"/>
    <mergeCell ref="D31:E31"/>
    <mergeCell ref="F31:G31"/>
    <mergeCell ref="H31:L33"/>
    <mergeCell ref="B32:C32"/>
    <mergeCell ref="D32:E32"/>
    <mergeCell ref="F32:G32"/>
    <mergeCell ref="B23:C28"/>
    <mergeCell ref="Q23:Q27"/>
    <mergeCell ref="R23:R27"/>
    <mergeCell ref="S23:S27"/>
    <mergeCell ref="T23:T27"/>
    <mergeCell ref="B37:C37"/>
    <mergeCell ref="D37:E37"/>
    <mergeCell ref="F37:G37"/>
    <mergeCell ref="B38:C38"/>
    <mergeCell ref="D38:E38"/>
    <mergeCell ref="F38:G38"/>
    <mergeCell ref="H34:L36"/>
    <mergeCell ref="B35:C35"/>
    <mergeCell ref="D35:E35"/>
    <mergeCell ref="F35:G35"/>
    <mergeCell ref="B36:C36"/>
    <mergeCell ref="D36:E36"/>
    <mergeCell ref="F36:G36"/>
    <mergeCell ref="B41:C41"/>
    <mergeCell ref="D41:E41"/>
    <mergeCell ref="F41:G41"/>
    <mergeCell ref="B42:C42"/>
    <mergeCell ref="D42:E42"/>
    <mergeCell ref="F42:G42"/>
    <mergeCell ref="B39:C39"/>
    <mergeCell ref="D39:E39"/>
    <mergeCell ref="F39:G39"/>
    <mergeCell ref="B40:C40"/>
    <mergeCell ref="D40:E40"/>
    <mergeCell ref="F40:G40"/>
    <mergeCell ref="AG47:AG49"/>
    <mergeCell ref="AH47:AH49"/>
    <mergeCell ref="Z48:Z49"/>
    <mergeCell ref="AA48:AA49"/>
    <mergeCell ref="AB48:AB49"/>
    <mergeCell ref="AC48:AC49"/>
    <mergeCell ref="AD48:AD49"/>
    <mergeCell ref="B43:C43"/>
    <mergeCell ref="D43:E43"/>
    <mergeCell ref="F43:G43"/>
    <mergeCell ref="B44:C44"/>
    <mergeCell ref="D44:E44"/>
    <mergeCell ref="F44:G44"/>
    <mergeCell ref="B68:B70"/>
    <mergeCell ref="C68:D69"/>
    <mergeCell ref="E68:J68"/>
    <mergeCell ref="K68:N68"/>
    <mergeCell ref="O68:P69"/>
    <mergeCell ref="Q68:T68"/>
    <mergeCell ref="Y47:Y49"/>
    <mergeCell ref="Z47:AB47"/>
    <mergeCell ref="AC47:AD47"/>
    <mergeCell ref="U68:V69"/>
    <mergeCell ref="W68:X69"/>
    <mergeCell ref="E69:F69"/>
    <mergeCell ref="G69:H69"/>
    <mergeCell ref="I69:J69"/>
    <mergeCell ref="K69:L69"/>
    <mergeCell ref="M69:N69"/>
    <mergeCell ref="Q69:R69"/>
    <mergeCell ref="S69:T69"/>
    <mergeCell ref="U104:V105"/>
    <mergeCell ref="W104:X105"/>
    <mergeCell ref="E105:F105"/>
    <mergeCell ref="U86:V87"/>
    <mergeCell ref="W86:X87"/>
    <mergeCell ref="E87:F87"/>
    <mergeCell ref="G87:H87"/>
    <mergeCell ref="I87:J87"/>
    <mergeCell ref="K87:L87"/>
    <mergeCell ref="M87:N87"/>
    <mergeCell ref="Q87:R87"/>
    <mergeCell ref="S87:T87"/>
    <mergeCell ref="G105:H105"/>
    <mergeCell ref="I105:J105"/>
    <mergeCell ref="K105:L105"/>
    <mergeCell ref="M105:N105"/>
    <mergeCell ref="Q105:R105"/>
    <mergeCell ref="S105:T105"/>
    <mergeCell ref="B104:B106"/>
    <mergeCell ref="C104:D105"/>
    <mergeCell ref="E104:J104"/>
    <mergeCell ref="K104:N104"/>
    <mergeCell ref="O104:P105"/>
    <mergeCell ref="Q104:T104"/>
    <mergeCell ref="B86:B88"/>
    <mergeCell ref="C86:D87"/>
    <mergeCell ref="E86:J86"/>
    <mergeCell ref="K86:N86"/>
    <mergeCell ref="O86:P87"/>
    <mergeCell ref="Q86:T86"/>
  </mergeCells>
  <phoneticPr fontId="2"/>
  <printOptions horizontalCentered="1"/>
  <pageMargins left="0" right="0" top="0.78740157480314965" bottom="0" header="0.51181102362204722" footer="0"/>
  <pageSetup paperSize="9" scale="50" orientation="landscape" cellComments="asDisplayed" r:id="rId1"/>
  <headerFooter>
    <oddFooter xml:space="preserve">&amp;R&amp;"ＭＳ ゴシック,標準"&amp;8&amp;Z&amp;F&amp;A </oddFooter>
  </headerFooter>
  <rowBreaks count="1" manualBreakCount="1">
    <brk id="44" max="16383" man="1"/>
  </rowBreaks>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AJ120"/>
  <sheetViews>
    <sheetView view="pageBreakPreview" zoomScale="80" zoomScaleNormal="85" zoomScaleSheetLayoutView="80" workbookViewId="0">
      <selection activeCell="AG20" sqref="AG20"/>
    </sheetView>
  </sheetViews>
  <sheetFormatPr defaultRowHeight="18.75"/>
  <cols>
    <col min="1" max="1" width="1" style="230" customWidth="1"/>
    <col min="2" max="2" width="5.125" style="230" customWidth="1"/>
    <col min="3" max="3" width="6.25" style="230" customWidth="1"/>
    <col min="4" max="4" width="14.375" style="230" customWidth="1"/>
    <col min="5" max="5" width="2.5" style="230" customWidth="1"/>
    <col min="6" max="6" width="8.75" style="230" customWidth="1"/>
    <col min="7" max="7" width="5.5" style="230" customWidth="1"/>
    <col min="8" max="8" width="11.375" style="230" customWidth="1"/>
    <col min="9" max="9" width="5.5" style="230" customWidth="1"/>
    <col min="10" max="10" width="11.375" style="230" customWidth="1"/>
    <col min="11" max="11" width="2.5" style="230" customWidth="1"/>
    <col min="12" max="12" width="8.75" style="230" customWidth="1"/>
    <col min="13" max="13" width="2.5" style="230" customWidth="1"/>
    <col min="14" max="14" width="8.75" style="230" customWidth="1"/>
    <col min="15" max="15" width="2.5" style="230" customWidth="1"/>
    <col min="16" max="18" width="8.75" style="230" customWidth="1"/>
    <col min="19" max="19" width="10.125" style="230" customWidth="1"/>
    <col min="20" max="20" width="11.375" style="230" bestFit="1" customWidth="1"/>
    <col min="21" max="21" width="5.5" style="230" customWidth="1"/>
    <col min="22" max="22" width="10.5" style="230" customWidth="1"/>
    <col min="23" max="23" width="3.375" style="230" customWidth="1"/>
    <col min="24" max="24" width="9" style="230" customWidth="1"/>
    <col min="25" max="25" width="13.5" style="230" customWidth="1"/>
    <col min="26" max="26" width="8.5" style="230" customWidth="1"/>
    <col min="27" max="27" width="10.125" style="230" customWidth="1"/>
    <col min="28" max="28" width="10.375" style="230" customWidth="1"/>
    <col min="29" max="29" width="9.5" style="454" customWidth="1"/>
    <col min="30" max="30" width="8.5" style="454" customWidth="1"/>
    <col min="31" max="31" width="14.125" style="454" bestFit="1" customWidth="1"/>
    <col min="32" max="32" width="8.5" style="230" customWidth="1"/>
    <col min="33" max="33" width="9.125" style="230" customWidth="1"/>
    <col min="34" max="34" width="13.125" style="230" customWidth="1"/>
    <col min="35" max="256" width="9" style="230"/>
    <col min="257" max="257" width="1" style="230" customWidth="1"/>
    <col min="258" max="258" width="5.125" style="230" customWidth="1"/>
    <col min="259" max="259" width="6.25" style="230" customWidth="1"/>
    <col min="260" max="260" width="14.375" style="230" customWidth="1"/>
    <col min="261" max="261" width="2.5" style="230" customWidth="1"/>
    <col min="262" max="262" width="8.75" style="230" customWidth="1"/>
    <col min="263" max="263" width="5.5" style="230" customWidth="1"/>
    <col min="264" max="264" width="11.375" style="230" customWidth="1"/>
    <col min="265" max="265" width="5.5" style="230" customWidth="1"/>
    <col min="266" max="266" width="11.375" style="230" customWidth="1"/>
    <col min="267" max="267" width="2.5" style="230" customWidth="1"/>
    <col min="268" max="268" width="8.75" style="230" customWidth="1"/>
    <col min="269" max="269" width="2.5" style="230" customWidth="1"/>
    <col min="270" max="270" width="8.75" style="230" customWidth="1"/>
    <col min="271" max="271" width="2.5" style="230" customWidth="1"/>
    <col min="272" max="274" width="8.75" style="230" customWidth="1"/>
    <col min="275" max="275" width="10.125" style="230" customWidth="1"/>
    <col min="276" max="276" width="11.375" style="230" bestFit="1" customWidth="1"/>
    <col min="277" max="277" width="5.5" style="230" customWidth="1"/>
    <col min="278" max="278" width="10.5" style="230" customWidth="1"/>
    <col min="279" max="279" width="3.375" style="230" customWidth="1"/>
    <col min="280" max="280" width="9" style="230" customWidth="1"/>
    <col min="281" max="281" width="13.5" style="230" customWidth="1"/>
    <col min="282" max="282" width="8.5" style="230" customWidth="1"/>
    <col min="283" max="283" width="10.125" style="230" customWidth="1"/>
    <col min="284" max="284" width="10.375" style="230" customWidth="1"/>
    <col min="285" max="285" width="9.5" style="230" customWidth="1"/>
    <col min="286" max="286" width="8.5" style="230" customWidth="1"/>
    <col min="287" max="287" width="14.125" style="230" bestFit="1" customWidth="1"/>
    <col min="288" max="288" width="8.5" style="230" customWidth="1"/>
    <col min="289" max="289" width="9.125" style="230" customWidth="1"/>
    <col min="290" max="290" width="13.125" style="230" customWidth="1"/>
    <col min="291" max="512" width="9" style="230"/>
    <col min="513" max="513" width="1" style="230" customWidth="1"/>
    <col min="514" max="514" width="5.125" style="230" customWidth="1"/>
    <col min="515" max="515" width="6.25" style="230" customWidth="1"/>
    <col min="516" max="516" width="14.375" style="230" customWidth="1"/>
    <col min="517" max="517" width="2.5" style="230" customWidth="1"/>
    <col min="518" max="518" width="8.75" style="230" customWidth="1"/>
    <col min="519" max="519" width="5.5" style="230" customWidth="1"/>
    <col min="520" max="520" width="11.375" style="230" customWidth="1"/>
    <col min="521" max="521" width="5.5" style="230" customWidth="1"/>
    <col min="522" max="522" width="11.375" style="230" customWidth="1"/>
    <col min="523" max="523" width="2.5" style="230" customWidth="1"/>
    <col min="524" max="524" width="8.75" style="230" customWidth="1"/>
    <col min="525" max="525" width="2.5" style="230" customWidth="1"/>
    <col min="526" max="526" width="8.75" style="230" customWidth="1"/>
    <col min="527" max="527" width="2.5" style="230" customWidth="1"/>
    <col min="528" max="530" width="8.75" style="230" customWidth="1"/>
    <col min="531" max="531" width="10.125" style="230" customWidth="1"/>
    <col min="532" max="532" width="11.375" style="230" bestFit="1" customWidth="1"/>
    <col min="533" max="533" width="5.5" style="230" customWidth="1"/>
    <col min="534" max="534" width="10.5" style="230" customWidth="1"/>
    <col min="535" max="535" width="3.375" style="230" customWidth="1"/>
    <col min="536" max="536" width="9" style="230" customWidth="1"/>
    <col min="537" max="537" width="13.5" style="230" customWidth="1"/>
    <col min="538" max="538" width="8.5" style="230" customWidth="1"/>
    <col min="539" max="539" width="10.125" style="230" customWidth="1"/>
    <col min="540" max="540" width="10.375" style="230" customWidth="1"/>
    <col min="541" max="541" width="9.5" style="230" customWidth="1"/>
    <col min="542" max="542" width="8.5" style="230" customWidth="1"/>
    <col min="543" max="543" width="14.125" style="230" bestFit="1" customWidth="1"/>
    <col min="544" max="544" width="8.5" style="230" customWidth="1"/>
    <col min="545" max="545" width="9.125" style="230" customWidth="1"/>
    <col min="546" max="546" width="13.125" style="230" customWidth="1"/>
    <col min="547" max="768" width="9" style="230"/>
    <col min="769" max="769" width="1" style="230" customWidth="1"/>
    <col min="770" max="770" width="5.125" style="230" customWidth="1"/>
    <col min="771" max="771" width="6.25" style="230" customWidth="1"/>
    <col min="772" max="772" width="14.375" style="230" customWidth="1"/>
    <col min="773" max="773" width="2.5" style="230" customWidth="1"/>
    <col min="774" max="774" width="8.75" style="230" customWidth="1"/>
    <col min="775" max="775" width="5.5" style="230" customWidth="1"/>
    <col min="776" max="776" width="11.375" style="230" customWidth="1"/>
    <col min="777" max="777" width="5.5" style="230" customWidth="1"/>
    <col min="778" max="778" width="11.375" style="230" customWidth="1"/>
    <col min="779" max="779" width="2.5" style="230" customWidth="1"/>
    <col min="780" max="780" width="8.75" style="230" customWidth="1"/>
    <col min="781" max="781" width="2.5" style="230" customWidth="1"/>
    <col min="782" max="782" width="8.75" style="230" customWidth="1"/>
    <col min="783" max="783" width="2.5" style="230" customWidth="1"/>
    <col min="784" max="786" width="8.75" style="230" customWidth="1"/>
    <col min="787" max="787" width="10.125" style="230" customWidth="1"/>
    <col min="788" max="788" width="11.375" style="230" bestFit="1" customWidth="1"/>
    <col min="789" max="789" width="5.5" style="230" customWidth="1"/>
    <col min="790" max="790" width="10.5" style="230" customWidth="1"/>
    <col min="791" max="791" width="3.375" style="230" customWidth="1"/>
    <col min="792" max="792" width="9" style="230" customWidth="1"/>
    <col min="793" max="793" width="13.5" style="230" customWidth="1"/>
    <col min="794" max="794" width="8.5" style="230" customWidth="1"/>
    <col min="795" max="795" width="10.125" style="230" customWidth="1"/>
    <col min="796" max="796" width="10.375" style="230" customWidth="1"/>
    <col min="797" max="797" width="9.5" style="230" customWidth="1"/>
    <col min="798" max="798" width="8.5" style="230" customWidth="1"/>
    <col min="799" max="799" width="14.125" style="230" bestFit="1" customWidth="1"/>
    <col min="800" max="800" width="8.5" style="230" customWidth="1"/>
    <col min="801" max="801" width="9.125" style="230" customWidth="1"/>
    <col min="802" max="802" width="13.125" style="230" customWidth="1"/>
    <col min="803" max="1024" width="9" style="230"/>
    <col min="1025" max="1025" width="1" style="230" customWidth="1"/>
    <col min="1026" max="1026" width="5.125" style="230" customWidth="1"/>
    <col min="1027" max="1027" width="6.25" style="230" customWidth="1"/>
    <col min="1028" max="1028" width="14.375" style="230" customWidth="1"/>
    <col min="1029" max="1029" width="2.5" style="230" customWidth="1"/>
    <col min="1030" max="1030" width="8.75" style="230" customWidth="1"/>
    <col min="1031" max="1031" width="5.5" style="230" customWidth="1"/>
    <col min="1032" max="1032" width="11.375" style="230" customWidth="1"/>
    <col min="1033" max="1033" width="5.5" style="230" customWidth="1"/>
    <col min="1034" max="1034" width="11.375" style="230" customWidth="1"/>
    <col min="1035" max="1035" width="2.5" style="230" customWidth="1"/>
    <col min="1036" max="1036" width="8.75" style="230" customWidth="1"/>
    <col min="1037" max="1037" width="2.5" style="230" customWidth="1"/>
    <col min="1038" max="1038" width="8.75" style="230" customWidth="1"/>
    <col min="1039" max="1039" width="2.5" style="230" customWidth="1"/>
    <col min="1040" max="1042" width="8.75" style="230" customWidth="1"/>
    <col min="1043" max="1043" width="10.125" style="230" customWidth="1"/>
    <col min="1044" max="1044" width="11.375" style="230" bestFit="1" customWidth="1"/>
    <col min="1045" max="1045" width="5.5" style="230" customWidth="1"/>
    <col min="1046" max="1046" width="10.5" style="230" customWidth="1"/>
    <col min="1047" max="1047" width="3.375" style="230" customWidth="1"/>
    <col min="1048" max="1048" width="9" style="230" customWidth="1"/>
    <col min="1049" max="1049" width="13.5" style="230" customWidth="1"/>
    <col min="1050" max="1050" width="8.5" style="230" customWidth="1"/>
    <col min="1051" max="1051" width="10.125" style="230" customWidth="1"/>
    <col min="1052" max="1052" width="10.375" style="230" customWidth="1"/>
    <col min="1053" max="1053" width="9.5" style="230" customWidth="1"/>
    <col min="1054" max="1054" width="8.5" style="230" customWidth="1"/>
    <col min="1055" max="1055" width="14.125" style="230" bestFit="1" customWidth="1"/>
    <col min="1056" max="1056" width="8.5" style="230" customWidth="1"/>
    <col min="1057" max="1057" width="9.125" style="230" customWidth="1"/>
    <col min="1058" max="1058" width="13.125" style="230" customWidth="1"/>
    <col min="1059" max="1280" width="9" style="230"/>
    <col min="1281" max="1281" width="1" style="230" customWidth="1"/>
    <col min="1282" max="1282" width="5.125" style="230" customWidth="1"/>
    <col min="1283" max="1283" width="6.25" style="230" customWidth="1"/>
    <col min="1284" max="1284" width="14.375" style="230" customWidth="1"/>
    <col min="1285" max="1285" width="2.5" style="230" customWidth="1"/>
    <col min="1286" max="1286" width="8.75" style="230" customWidth="1"/>
    <col min="1287" max="1287" width="5.5" style="230" customWidth="1"/>
    <col min="1288" max="1288" width="11.375" style="230" customWidth="1"/>
    <col min="1289" max="1289" width="5.5" style="230" customWidth="1"/>
    <col min="1290" max="1290" width="11.375" style="230" customWidth="1"/>
    <col min="1291" max="1291" width="2.5" style="230" customWidth="1"/>
    <col min="1292" max="1292" width="8.75" style="230" customWidth="1"/>
    <col min="1293" max="1293" width="2.5" style="230" customWidth="1"/>
    <col min="1294" max="1294" width="8.75" style="230" customWidth="1"/>
    <col min="1295" max="1295" width="2.5" style="230" customWidth="1"/>
    <col min="1296" max="1298" width="8.75" style="230" customWidth="1"/>
    <col min="1299" max="1299" width="10.125" style="230" customWidth="1"/>
    <col min="1300" max="1300" width="11.375" style="230" bestFit="1" customWidth="1"/>
    <col min="1301" max="1301" width="5.5" style="230" customWidth="1"/>
    <col min="1302" max="1302" width="10.5" style="230" customWidth="1"/>
    <col min="1303" max="1303" width="3.375" style="230" customWidth="1"/>
    <col min="1304" max="1304" width="9" style="230" customWidth="1"/>
    <col min="1305" max="1305" width="13.5" style="230" customWidth="1"/>
    <col min="1306" max="1306" width="8.5" style="230" customWidth="1"/>
    <col min="1307" max="1307" width="10.125" style="230" customWidth="1"/>
    <col min="1308" max="1308" width="10.375" style="230" customWidth="1"/>
    <col min="1309" max="1309" width="9.5" style="230" customWidth="1"/>
    <col min="1310" max="1310" width="8.5" style="230" customWidth="1"/>
    <col min="1311" max="1311" width="14.125" style="230" bestFit="1" customWidth="1"/>
    <col min="1312" max="1312" width="8.5" style="230" customWidth="1"/>
    <col min="1313" max="1313" width="9.125" style="230" customWidth="1"/>
    <col min="1314" max="1314" width="13.125" style="230" customWidth="1"/>
    <col min="1315" max="1536" width="9" style="230"/>
    <col min="1537" max="1537" width="1" style="230" customWidth="1"/>
    <col min="1538" max="1538" width="5.125" style="230" customWidth="1"/>
    <col min="1539" max="1539" width="6.25" style="230" customWidth="1"/>
    <col min="1540" max="1540" width="14.375" style="230" customWidth="1"/>
    <col min="1541" max="1541" width="2.5" style="230" customWidth="1"/>
    <col min="1542" max="1542" width="8.75" style="230" customWidth="1"/>
    <col min="1543" max="1543" width="5.5" style="230" customWidth="1"/>
    <col min="1544" max="1544" width="11.375" style="230" customWidth="1"/>
    <col min="1545" max="1545" width="5.5" style="230" customWidth="1"/>
    <col min="1546" max="1546" width="11.375" style="230" customWidth="1"/>
    <col min="1547" max="1547" width="2.5" style="230" customWidth="1"/>
    <col min="1548" max="1548" width="8.75" style="230" customWidth="1"/>
    <col min="1549" max="1549" width="2.5" style="230" customWidth="1"/>
    <col min="1550" max="1550" width="8.75" style="230" customWidth="1"/>
    <col min="1551" max="1551" width="2.5" style="230" customWidth="1"/>
    <col min="1552" max="1554" width="8.75" style="230" customWidth="1"/>
    <col min="1555" max="1555" width="10.125" style="230" customWidth="1"/>
    <col min="1556" max="1556" width="11.375" style="230" bestFit="1" customWidth="1"/>
    <col min="1557" max="1557" width="5.5" style="230" customWidth="1"/>
    <col min="1558" max="1558" width="10.5" style="230" customWidth="1"/>
    <col min="1559" max="1559" width="3.375" style="230" customWidth="1"/>
    <col min="1560" max="1560" width="9" style="230" customWidth="1"/>
    <col min="1561" max="1561" width="13.5" style="230" customWidth="1"/>
    <col min="1562" max="1562" width="8.5" style="230" customWidth="1"/>
    <col min="1563" max="1563" width="10.125" style="230" customWidth="1"/>
    <col min="1564" max="1564" width="10.375" style="230" customWidth="1"/>
    <col min="1565" max="1565" width="9.5" style="230" customWidth="1"/>
    <col min="1566" max="1566" width="8.5" style="230" customWidth="1"/>
    <col min="1567" max="1567" width="14.125" style="230" bestFit="1" customWidth="1"/>
    <col min="1568" max="1568" width="8.5" style="230" customWidth="1"/>
    <col min="1569" max="1569" width="9.125" style="230" customWidth="1"/>
    <col min="1570" max="1570" width="13.125" style="230" customWidth="1"/>
    <col min="1571" max="1792" width="9" style="230"/>
    <col min="1793" max="1793" width="1" style="230" customWidth="1"/>
    <col min="1794" max="1794" width="5.125" style="230" customWidth="1"/>
    <col min="1795" max="1795" width="6.25" style="230" customWidth="1"/>
    <col min="1796" max="1796" width="14.375" style="230" customWidth="1"/>
    <col min="1797" max="1797" width="2.5" style="230" customWidth="1"/>
    <col min="1798" max="1798" width="8.75" style="230" customWidth="1"/>
    <col min="1799" max="1799" width="5.5" style="230" customWidth="1"/>
    <col min="1800" max="1800" width="11.375" style="230" customWidth="1"/>
    <col min="1801" max="1801" width="5.5" style="230" customWidth="1"/>
    <col min="1802" max="1802" width="11.375" style="230" customWidth="1"/>
    <col min="1803" max="1803" width="2.5" style="230" customWidth="1"/>
    <col min="1804" max="1804" width="8.75" style="230" customWidth="1"/>
    <col min="1805" max="1805" width="2.5" style="230" customWidth="1"/>
    <col min="1806" max="1806" width="8.75" style="230" customWidth="1"/>
    <col min="1807" max="1807" width="2.5" style="230" customWidth="1"/>
    <col min="1808" max="1810" width="8.75" style="230" customWidth="1"/>
    <col min="1811" max="1811" width="10.125" style="230" customWidth="1"/>
    <col min="1812" max="1812" width="11.375" style="230" bestFit="1" customWidth="1"/>
    <col min="1813" max="1813" width="5.5" style="230" customWidth="1"/>
    <col min="1814" max="1814" width="10.5" style="230" customWidth="1"/>
    <col min="1815" max="1815" width="3.375" style="230" customWidth="1"/>
    <col min="1816" max="1816" width="9" style="230" customWidth="1"/>
    <col min="1817" max="1817" width="13.5" style="230" customWidth="1"/>
    <col min="1818" max="1818" width="8.5" style="230" customWidth="1"/>
    <col min="1819" max="1819" width="10.125" style="230" customWidth="1"/>
    <col min="1820" max="1820" width="10.375" style="230" customWidth="1"/>
    <col min="1821" max="1821" width="9.5" style="230" customWidth="1"/>
    <col min="1822" max="1822" width="8.5" style="230" customWidth="1"/>
    <col min="1823" max="1823" width="14.125" style="230" bestFit="1" customWidth="1"/>
    <col min="1824" max="1824" width="8.5" style="230" customWidth="1"/>
    <col min="1825" max="1825" width="9.125" style="230" customWidth="1"/>
    <col min="1826" max="1826" width="13.125" style="230" customWidth="1"/>
    <col min="1827" max="2048" width="9" style="230"/>
    <col min="2049" max="2049" width="1" style="230" customWidth="1"/>
    <col min="2050" max="2050" width="5.125" style="230" customWidth="1"/>
    <col min="2051" max="2051" width="6.25" style="230" customWidth="1"/>
    <col min="2052" max="2052" width="14.375" style="230" customWidth="1"/>
    <col min="2053" max="2053" width="2.5" style="230" customWidth="1"/>
    <col min="2054" max="2054" width="8.75" style="230" customWidth="1"/>
    <col min="2055" max="2055" width="5.5" style="230" customWidth="1"/>
    <col min="2056" max="2056" width="11.375" style="230" customWidth="1"/>
    <col min="2057" max="2057" width="5.5" style="230" customWidth="1"/>
    <col min="2058" max="2058" width="11.375" style="230" customWidth="1"/>
    <col min="2059" max="2059" width="2.5" style="230" customWidth="1"/>
    <col min="2060" max="2060" width="8.75" style="230" customWidth="1"/>
    <col min="2061" max="2061" width="2.5" style="230" customWidth="1"/>
    <col min="2062" max="2062" width="8.75" style="230" customWidth="1"/>
    <col min="2063" max="2063" width="2.5" style="230" customWidth="1"/>
    <col min="2064" max="2066" width="8.75" style="230" customWidth="1"/>
    <col min="2067" max="2067" width="10.125" style="230" customWidth="1"/>
    <col min="2068" max="2068" width="11.375" style="230" bestFit="1" customWidth="1"/>
    <col min="2069" max="2069" width="5.5" style="230" customWidth="1"/>
    <col min="2070" max="2070" width="10.5" style="230" customWidth="1"/>
    <col min="2071" max="2071" width="3.375" style="230" customWidth="1"/>
    <col min="2072" max="2072" width="9" style="230" customWidth="1"/>
    <col min="2073" max="2073" width="13.5" style="230" customWidth="1"/>
    <col min="2074" max="2074" width="8.5" style="230" customWidth="1"/>
    <col min="2075" max="2075" width="10.125" style="230" customWidth="1"/>
    <col min="2076" max="2076" width="10.375" style="230" customWidth="1"/>
    <col min="2077" max="2077" width="9.5" style="230" customWidth="1"/>
    <col min="2078" max="2078" width="8.5" style="230" customWidth="1"/>
    <col min="2079" max="2079" width="14.125" style="230" bestFit="1" customWidth="1"/>
    <col min="2080" max="2080" width="8.5" style="230" customWidth="1"/>
    <col min="2081" max="2081" width="9.125" style="230" customWidth="1"/>
    <col min="2082" max="2082" width="13.125" style="230" customWidth="1"/>
    <col min="2083" max="2304" width="9" style="230"/>
    <col min="2305" max="2305" width="1" style="230" customWidth="1"/>
    <col min="2306" max="2306" width="5.125" style="230" customWidth="1"/>
    <col min="2307" max="2307" width="6.25" style="230" customWidth="1"/>
    <col min="2308" max="2308" width="14.375" style="230" customWidth="1"/>
    <col min="2309" max="2309" width="2.5" style="230" customWidth="1"/>
    <col min="2310" max="2310" width="8.75" style="230" customWidth="1"/>
    <col min="2311" max="2311" width="5.5" style="230" customWidth="1"/>
    <col min="2312" max="2312" width="11.375" style="230" customWidth="1"/>
    <col min="2313" max="2313" width="5.5" style="230" customWidth="1"/>
    <col min="2314" max="2314" width="11.375" style="230" customWidth="1"/>
    <col min="2315" max="2315" width="2.5" style="230" customWidth="1"/>
    <col min="2316" max="2316" width="8.75" style="230" customWidth="1"/>
    <col min="2317" max="2317" width="2.5" style="230" customWidth="1"/>
    <col min="2318" max="2318" width="8.75" style="230" customWidth="1"/>
    <col min="2319" max="2319" width="2.5" style="230" customWidth="1"/>
    <col min="2320" max="2322" width="8.75" style="230" customWidth="1"/>
    <col min="2323" max="2323" width="10.125" style="230" customWidth="1"/>
    <col min="2324" max="2324" width="11.375" style="230" bestFit="1" customWidth="1"/>
    <col min="2325" max="2325" width="5.5" style="230" customWidth="1"/>
    <col min="2326" max="2326" width="10.5" style="230" customWidth="1"/>
    <col min="2327" max="2327" width="3.375" style="230" customWidth="1"/>
    <col min="2328" max="2328" width="9" style="230" customWidth="1"/>
    <col min="2329" max="2329" width="13.5" style="230" customWidth="1"/>
    <col min="2330" max="2330" width="8.5" style="230" customWidth="1"/>
    <col min="2331" max="2331" width="10.125" style="230" customWidth="1"/>
    <col min="2332" max="2332" width="10.375" style="230" customWidth="1"/>
    <col min="2333" max="2333" width="9.5" style="230" customWidth="1"/>
    <col min="2334" max="2334" width="8.5" style="230" customWidth="1"/>
    <col min="2335" max="2335" width="14.125" style="230" bestFit="1" customWidth="1"/>
    <col min="2336" max="2336" width="8.5" style="230" customWidth="1"/>
    <col min="2337" max="2337" width="9.125" style="230" customWidth="1"/>
    <col min="2338" max="2338" width="13.125" style="230" customWidth="1"/>
    <col min="2339" max="2560" width="9" style="230"/>
    <col min="2561" max="2561" width="1" style="230" customWidth="1"/>
    <col min="2562" max="2562" width="5.125" style="230" customWidth="1"/>
    <col min="2563" max="2563" width="6.25" style="230" customWidth="1"/>
    <col min="2564" max="2564" width="14.375" style="230" customWidth="1"/>
    <col min="2565" max="2565" width="2.5" style="230" customWidth="1"/>
    <col min="2566" max="2566" width="8.75" style="230" customWidth="1"/>
    <col min="2567" max="2567" width="5.5" style="230" customWidth="1"/>
    <col min="2568" max="2568" width="11.375" style="230" customWidth="1"/>
    <col min="2569" max="2569" width="5.5" style="230" customWidth="1"/>
    <col min="2570" max="2570" width="11.375" style="230" customWidth="1"/>
    <col min="2571" max="2571" width="2.5" style="230" customWidth="1"/>
    <col min="2572" max="2572" width="8.75" style="230" customWidth="1"/>
    <col min="2573" max="2573" width="2.5" style="230" customWidth="1"/>
    <col min="2574" max="2574" width="8.75" style="230" customWidth="1"/>
    <col min="2575" max="2575" width="2.5" style="230" customWidth="1"/>
    <col min="2576" max="2578" width="8.75" style="230" customWidth="1"/>
    <col min="2579" max="2579" width="10.125" style="230" customWidth="1"/>
    <col min="2580" max="2580" width="11.375" style="230" bestFit="1" customWidth="1"/>
    <col min="2581" max="2581" width="5.5" style="230" customWidth="1"/>
    <col min="2582" max="2582" width="10.5" style="230" customWidth="1"/>
    <col min="2583" max="2583" width="3.375" style="230" customWidth="1"/>
    <col min="2584" max="2584" width="9" style="230" customWidth="1"/>
    <col min="2585" max="2585" width="13.5" style="230" customWidth="1"/>
    <col min="2586" max="2586" width="8.5" style="230" customWidth="1"/>
    <col min="2587" max="2587" width="10.125" style="230" customWidth="1"/>
    <col min="2588" max="2588" width="10.375" style="230" customWidth="1"/>
    <col min="2589" max="2589" width="9.5" style="230" customWidth="1"/>
    <col min="2590" max="2590" width="8.5" style="230" customWidth="1"/>
    <col min="2591" max="2591" width="14.125" style="230" bestFit="1" customWidth="1"/>
    <col min="2592" max="2592" width="8.5" style="230" customWidth="1"/>
    <col min="2593" max="2593" width="9.125" style="230" customWidth="1"/>
    <col min="2594" max="2594" width="13.125" style="230" customWidth="1"/>
    <col min="2595" max="2816" width="9" style="230"/>
    <col min="2817" max="2817" width="1" style="230" customWidth="1"/>
    <col min="2818" max="2818" width="5.125" style="230" customWidth="1"/>
    <col min="2819" max="2819" width="6.25" style="230" customWidth="1"/>
    <col min="2820" max="2820" width="14.375" style="230" customWidth="1"/>
    <col min="2821" max="2821" width="2.5" style="230" customWidth="1"/>
    <col min="2822" max="2822" width="8.75" style="230" customWidth="1"/>
    <col min="2823" max="2823" width="5.5" style="230" customWidth="1"/>
    <col min="2824" max="2824" width="11.375" style="230" customWidth="1"/>
    <col min="2825" max="2825" width="5.5" style="230" customWidth="1"/>
    <col min="2826" max="2826" width="11.375" style="230" customWidth="1"/>
    <col min="2827" max="2827" width="2.5" style="230" customWidth="1"/>
    <col min="2828" max="2828" width="8.75" style="230" customWidth="1"/>
    <col min="2829" max="2829" width="2.5" style="230" customWidth="1"/>
    <col min="2830" max="2830" width="8.75" style="230" customWidth="1"/>
    <col min="2831" max="2831" width="2.5" style="230" customWidth="1"/>
    <col min="2832" max="2834" width="8.75" style="230" customWidth="1"/>
    <col min="2835" max="2835" width="10.125" style="230" customWidth="1"/>
    <col min="2836" max="2836" width="11.375" style="230" bestFit="1" customWidth="1"/>
    <col min="2837" max="2837" width="5.5" style="230" customWidth="1"/>
    <col min="2838" max="2838" width="10.5" style="230" customWidth="1"/>
    <col min="2839" max="2839" width="3.375" style="230" customWidth="1"/>
    <col min="2840" max="2840" width="9" style="230" customWidth="1"/>
    <col min="2841" max="2841" width="13.5" style="230" customWidth="1"/>
    <col min="2842" max="2842" width="8.5" style="230" customWidth="1"/>
    <col min="2843" max="2843" width="10.125" style="230" customWidth="1"/>
    <col min="2844" max="2844" width="10.375" style="230" customWidth="1"/>
    <col min="2845" max="2845" width="9.5" style="230" customWidth="1"/>
    <col min="2846" max="2846" width="8.5" style="230" customWidth="1"/>
    <col min="2847" max="2847" width="14.125" style="230" bestFit="1" customWidth="1"/>
    <col min="2848" max="2848" width="8.5" style="230" customWidth="1"/>
    <col min="2849" max="2849" width="9.125" style="230" customWidth="1"/>
    <col min="2850" max="2850" width="13.125" style="230" customWidth="1"/>
    <col min="2851" max="3072" width="9" style="230"/>
    <col min="3073" max="3073" width="1" style="230" customWidth="1"/>
    <col min="3074" max="3074" width="5.125" style="230" customWidth="1"/>
    <col min="3075" max="3075" width="6.25" style="230" customWidth="1"/>
    <col min="3076" max="3076" width="14.375" style="230" customWidth="1"/>
    <col min="3077" max="3077" width="2.5" style="230" customWidth="1"/>
    <col min="3078" max="3078" width="8.75" style="230" customWidth="1"/>
    <col min="3079" max="3079" width="5.5" style="230" customWidth="1"/>
    <col min="3080" max="3080" width="11.375" style="230" customWidth="1"/>
    <col min="3081" max="3081" width="5.5" style="230" customWidth="1"/>
    <col min="3082" max="3082" width="11.375" style="230" customWidth="1"/>
    <col min="3083" max="3083" width="2.5" style="230" customWidth="1"/>
    <col min="3084" max="3084" width="8.75" style="230" customWidth="1"/>
    <col min="3085" max="3085" width="2.5" style="230" customWidth="1"/>
    <col min="3086" max="3086" width="8.75" style="230" customWidth="1"/>
    <col min="3087" max="3087" width="2.5" style="230" customWidth="1"/>
    <col min="3088" max="3090" width="8.75" style="230" customWidth="1"/>
    <col min="3091" max="3091" width="10.125" style="230" customWidth="1"/>
    <col min="3092" max="3092" width="11.375" style="230" bestFit="1" customWidth="1"/>
    <col min="3093" max="3093" width="5.5" style="230" customWidth="1"/>
    <col min="3094" max="3094" width="10.5" style="230" customWidth="1"/>
    <col min="3095" max="3095" width="3.375" style="230" customWidth="1"/>
    <col min="3096" max="3096" width="9" style="230" customWidth="1"/>
    <col min="3097" max="3097" width="13.5" style="230" customWidth="1"/>
    <col min="3098" max="3098" width="8.5" style="230" customWidth="1"/>
    <col min="3099" max="3099" width="10.125" style="230" customWidth="1"/>
    <col min="3100" max="3100" width="10.375" style="230" customWidth="1"/>
    <col min="3101" max="3101" width="9.5" style="230" customWidth="1"/>
    <col min="3102" max="3102" width="8.5" style="230" customWidth="1"/>
    <col min="3103" max="3103" width="14.125" style="230" bestFit="1" customWidth="1"/>
    <col min="3104" max="3104" width="8.5" style="230" customWidth="1"/>
    <col min="3105" max="3105" width="9.125" style="230" customWidth="1"/>
    <col min="3106" max="3106" width="13.125" style="230" customWidth="1"/>
    <col min="3107" max="3328" width="9" style="230"/>
    <col min="3329" max="3329" width="1" style="230" customWidth="1"/>
    <col min="3330" max="3330" width="5.125" style="230" customWidth="1"/>
    <col min="3331" max="3331" width="6.25" style="230" customWidth="1"/>
    <col min="3332" max="3332" width="14.375" style="230" customWidth="1"/>
    <col min="3333" max="3333" width="2.5" style="230" customWidth="1"/>
    <col min="3334" max="3334" width="8.75" style="230" customWidth="1"/>
    <col min="3335" max="3335" width="5.5" style="230" customWidth="1"/>
    <col min="3336" max="3336" width="11.375" style="230" customWidth="1"/>
    <col min="3337" max="3337" width="5.5" style="230" customWidth="1"/>
    <col min="3338" max="3338" width="11.375" style="230" customWidth="1"/>
    <col min="3339" max="3339" width="2.5" style="230" customWidth="1"/>
    <col min="3340" max="3340" width="8.75" style="230" customWidth="1"/>
    <col min="3341" max="3341" width="2.5" style="230" customWidth="1"/>
    <col min="3342" max="3342" width="8.75" style="230" customWidth="1"/>
    <col min="3343" max="3343" width="2.5" style="230" customWidth="1"/>
    <col min="3344" max="3346" width="8.75" style="230" customWidth="1"/>
    <col min="3347" max="3347" width="10.125" style="230" customWidth="1"/>
    <col min="3348" max="3348" width="11.375" style="230" bestFit="1" customWidth="1"/>
    <col min="3349" max="3349" width="5.5" style="230" customWidth="1"/>
    <col min="3350" max="3350" width="10.5" style="230" customWidth="1"/>
    <col min="3351" max="3351" width="3.375" style="230" customWidth="1"/>
    <col min="3352" max="3352" width="9" style="230" customWidth="1"/>
    <col min="3353" max="3353" width="13.5" style="230" customWidth="1"/>
    <col min="3354" max="3354" width="8.5" style="230" customWidth="1"/>
    <col min="3355" max="3355" width="10.125" style="230" customWidth="1"/>
    <col min="3356" max="3356" width="10.375" style="230" customWidth="1"/>
    <col min="3357" max="3357" width="9.5" style="230" customWidth="1"/>
    <col min="3358" max="3358" width="8.5" style="230" customWidth="1"/>
    <col min="3359" max="3359" width="14.125" style="230" bestFit="1" customWidth="1"/>
    <col min="3360" max="3360" width="8.5" style="230" customWidth="1"/>
    <col min="3361" max="3361" width="9.125" style="230" customWidth="1"/>
    <col min="3362" max="3362" width="13.125" style="230" customWidth="1"/>
    <col min="3363" max="3584" width="9" style="230"/>
    <col min="3585" max="3585" width="1" style="230" customWidth="1"/>
    <col min="3586" max="3586" width="5.125" style="230" customWidth="1"/>
    <col min="3587" max="3587" width="6.25" style="230" customWidth="1"/>
    <col min="3588" max="3588" width="14.375" style="230" customWidth="1"/>
    <col min="3589" max="3589" width="2.5" style="230" customWidth="1"/>
    <col min="3590" max="3590" width="8.75" style="230" customWidth="1"/>
    <col min="3591" max="3591" width="5.5" style="230" customWidth="1"/>
    <col min="3592" max="3592" width="11.375" style="230" customWidth="1"/>
    <col min="3593" max="3593" width="5.5" style="230" customWidth="1"/>
    <col min="3594" max="3594" width="11.375" style="230" customWidth="1"/>
    <col min="3595" max="3595" width="2.5" style="230" customWidth="1"/>
    <col min="3596" max="3596" width="8.75" style="230" customWidth="1"/>
    <col min="3597" max="3597" width="2.5" style="230" customWidth="1"/>
    <col min="3598" max="3598" width="8.75" style="230" customWidth="1"/>
    <col min="3599" max="3599" width="2.5" style="230" customWidth="1"/>
    <col min="3600" max="3602" width="8.75" style="230" customWidth="1"/>
    <col min="3603" max="3603" width="10.125" style="230" customWidth="1"/>
    <col min="3604" max="3604" width="11.375" style="230" bestFit="1" customWidth="1"/>
    <col min="3605" max="3605" width="5.5" style="230" customWidth="1"/>
    <col min="3606" max="3606" width="10.5" style="230" customWidth="1"/>
    <col min="3607" max="3607" width="3.375" style="230" customWidth="1"/>
    <col min="3608" max="3608" width="9" style="230" customWidth="1"/>
    <col min="3609" max="3609" width="13.5" style="230" customWidth="1"/>
    <col min="3610" max="3610" width="8.5" style="230" customWidth="1"/>
    <col min="3611" max="3611" width="10.125" style="230" customWidth="1"/>
    <col min="3612" max="3612" width="10.375" style="230" customWidth="1"/>
    <col min="3613" max="3613" width="9.5" style="230" customWidth="1"/>
    <col min="3614" max="3614" width="8.5" style="230" customWidth="1"/>
    <col min="3615" max="3615" width="14.125" style="230" bestFit="1" customWidth="1"/>
    <col min="3616" max="3616" width="8.5" style="230" customWidth="1"/>
    <col min="3617" max="3617" width="9.125" style="230" customWidth="1"/>
    <col min="3618" max="3618" width="13.125" style="230" customWidth="1"/>
    <col min="3619" max="3840" width="9" style="230"/>
    <col min="3841" max="3841" width="1" style="230" customWidth="1"/>
    <col min="3842" max="3842" width="5.125" style="230" customWidth="1"/>
    <col min="3843" max="3843" width="6.25" style="230" customWidth="1"/>
    <col min="3844" max="3844" width="14.375" style="230" customWidth="1"/>
    <col min="3845" max="3845" width="2.5" style="230" customWidth="1"/>
    <col min="3846" max="3846" width="8.75" style="230" customWidth="1"/>
    <col min="3847" max="3847" width="5.5" style="230" customWidth="1"/>
    <col min="3848" max="3848" width="11.375" style="230" customWidth="1"/>
    <col min="3849" max="3849" width="5.5" style="230" customWidth="1"/>
    <col min="3850" max="3850" width="11.375" style="230" customWidth="1"/>
    <col min="3851" max="3851" width="2.5" style="230" customWidth="1"/>
    <col min="3852" max="3852" width="8.75" style="230" customWidth="1"/>
    <col min="3853" max="3853" width="2.5" style="230" customWidth="1"/>
    <col min="3854" max="3854" width="8.75" style="230" customWidth="1"/>
    <col min="3855" max="3855" width="2.5" style="230" customWidth="1"/>
    <col min="3856" max="3858" width="8.75" style="230" customWidth="1"/>
    <col min="3859" max="3859" width="10.125" style="230" customWidth="1"/>
    <col min="3860" max="3860" width="11.375" style="230" bestFit="1" customWidth="1"/>
    <col min="3861" max="3861" width="5.5" style="230" customWidth="1"/>
    <col min="3862" max="3862" width="10.5" style="230" customWidth="1"/>
    <col min="3863" max="3863" width="3.375" style="230" customWidth="1"/>
    <col min="3864" max="3864" width="9" style="230" customWidth="1"/>
    <col min="3865" max="3865" width="13.5" style="230" customWidth="1"/>
    <col min="3866" max="3866" width="8.5" style="230" customWidth="1"/>
    <col min="3867" max="3867" width="10.125" style="230" customWidth="1"/>
    <col min="3868" max="3868" width="10.375" style="230" customWidth="1"/>
    <col min="3869" max="3869" width="9.5" style="230" customWidth="1"/>
    <col min="3870" max="3870" width="8.5" style="230" customWidth="1"/>
    <col min="3871" max="3871" width="14.125" style="230" bestFit="1" customWidth="1"/>
    <col min="3872" max="3872" width="8.5" style="230" customWidth="1"/>
    <col min="3873" max="3873" width="9.125" style="230" customWidth="1"/>
    <col min="3874" max="3874" width="13.125" style="230" customWidth="1"/>
    <col min="3875" max="4096" width="9" style="230"/>
    <col min="4097" max="4097" width="1" style="230" customWidth="1"/>
    <col min="4098" max="4098" width="5.125" style="230" customWidth="1"/>
    <col min="4099" max="4099" width="6.25" style="230" customWidth="1"/>
    <col min="4100" max="4100" width="14.375" style="230" customWidth="1"/>
    <col min="4101" max="4101" width="2.5" style="230" customWidth="1"/>
    <col min="4102" max="4102" width="8.75" style="230" customWidth="1"/>
    <col min="4103" max="4103" width="5.5" style="230" customWidth="1"/>
    <col min="4104" max="4104" width="11.375" style="230" customWidth="1"/>
    <col min="4105" max="4105" width="5.5" style="230" customWidth="1"/>
    <col min="4106" max="4106" width="11.375" style="230" customWidth="1"/>
    <col min="4107" max="4107" width="2.5" style="230" customWidth="1"/>
    <col min="4108" max="4108" width="8.75" style="230" customWidth="1"/>
    <col min="4109" max="4109" width="2.5" style="230" customWidth="1"/>
    <col min="4110" max="4110" width="8.75" style="230" customWidth="1"/>
    <col min="4111" max="4111" width="2.5" style="230" customWidth="1"/>
    <col min="4112" max="4114" width="8.75" style="230" customWidth="1"/>
    <col min="4115" max="4115" width="10.125" style="230" customWidth="1"/>
    <col min="4116" max="4116" width="11.375" style="230" bestFit="1" customWidth="1"/>
    <col min="4117" max="4117" width="5.5" style="230" customWidth="1"/>
    <col min="4118" max="4118" width="10.5" style="230" customWidth="1"/>
    <col min="4119" max="4119" width="3.375" style="230" customWidth="1"/>
    <col min="4120" max="4120" width="9" style="230" customWidth="1"/>
    <col min="4121" max="4121" width="13.5" style="230" customWidth="1"/>
    <col min="4122" max="4122" width="8.5" style="230" customWidth="1"/>
    <col min="4123" max="4123" width="10.125" style="230" customWidth="1"/>
    <col min="4124" max="4124" width="10.375" style="230" customWidth="1"/>
    <col min="4125" max="4125" width="9.5" style="230" customWidth="1"/>
    <col min="4126" max="4126" width="8.5" style="230" customWidth="1"/>
    <col min="4127" max="4127" width="14.125" style="230" bestFit="1" customWidth="1"/>
    <col min="4128" max="4128" width="8.5" style="230" customWidth="1"/>
    <col min="4129" max="4129" width="9.125" style="230" customWidth="1"/>
    <col min="4130" max="4130" width="13.125" style="230" customWidth="1"/>
    <col min="4131" max="4352" width="9" style="230"/>
    <col min="4353" max="4353" width="1" style="230" customWidth="1"/>
    <col min="4354" max="4354" width="5.125" style="230" customWidth="1"/>
    <col min="4355" max="4355" width="6.25" style="230" customWidth="1"/>
    <col min="4356" max="4356" width="14.375" style="230" customWidth="1"/>
    <col min="4357" max="4357" width="2.5" style="230" customWidth="1"/>
    <col min="4358" max="4358" width="8.75" style="230" customWidth="1"/>
    <col min="4359" max="4359" width="5.5" style="230" customWidth="1"/>
    <col min="4360" max="4360" width="11.375" style="230" customWidth="1"/>
    <col min="4361" max="4361" width="5.5" style="230" customWidth="1"/>
    <col min="4362" max="4362" width="11.375" style="230" customWidth="1"/>
    <col min="4363" max="4363" width="2.5" style="230" customWidth="1"/>
    <col min="4364" max="4364" width="8.75" style="230" customWidth="1"/>
    <col min="4365" max="4365" width="2.5" style="230" customWidth="1"/>
    <col min="4366" max="4366" width="8.75" style="230" customWidth="1"/>
    <col min="4367" max="4367" width="2.5" style="230" customWidth="1"/>
    <col min="4368" max="4370" width="8.75" style="230" customWidth="1"/>
    <col min="4371" max="4371" width="10.125" style="230" customWidth="1"/>
    <col min="4372" max="4372" width="11.375" style="230" bestFit="1" customWidth="1"/>
    <col min="4373" max="4373" width="5.5" style="230" customWidth="1"/>
    <col min="4374" max="4374" width="10.5" style="230" customWidth="1"/>
    <col min="4375" max="4375" width="3.375" style="230" customWidth="1"/>
    <col min="4376" max="4376" width="9" style="230" customWidth="1"/>
    <col min="4377" max="4377" width="13.5" style="230" customWidth="1"/>
    <col min="4378" max="4378" width="8.5" style="230" customWidth="1"/>
    <col min="4379" max="4379" width="10.125" style="230" customWidth="1"/>
    <col min="4380" max="4380" width="10.375" style="230" customWidth="1"/>
    <col min="4381" max="4381" width="9.5" style="230" customWidth="1"/>
    <col min="4382" max="4382" width="8.5" style="230" customWidth="1"/>
    <col min="4383" max="4383" width="14.125" style="230" bestFit="1" customWidth="1"/>
    <col min="4384" max="4384" width="8.5" style="230" customWidth="1"/>
    <col min="4385" max="4385" width="9.125" style="230" customWidth="1"/>
    <col min="4386" max="4386" width="13.125" style="230" customWidth="1"/>
    <col min="4387" max="4608" width="9" style="230"/>
    <col min="4609" max="4609" width="1" style="230" customWidth="1"/>
    <col min="4610" max="4610" width="5.125" style="230" customWidth="1"/>
    <col min="4611" max="4611" width="6.25" style="230" customWidth="1"/>
    <col min="4612" max="4612" width="14.375" style="230" customWidth="1"/>
    <col min="4613" max="4613" width="2.5" style="230" customWidth="1"/>
    <col min="4614" max="4614" width="8.75" style="230" customWidth="1"/>
    <col min="4615" max="4615" width="5.5" style="230" customWidth="1"/>
    <col min="4616" max="4616" width="11.375" style="230" customWidth="1"/>
    <col min="4617" max="4617" width="5.5" style="230" customWidth="1"/>
    <col min="4618" max="4618" width="11.375" style="230" customWidth="1"/>
    <col min="4619" max="4619" width="2.5" style="230" customWidth="1"/>
    <col min="4620" max="4620" width="8.75" style="230" customWidth="1"/>
    <col min="4621" max="4621" width="2.5" style="230" customWidth="1"/>
    <col min="4622" max="4622" width="8.75" style="230" customWidth="1"/>
    <col min="4623" max="4623" width="2.5" style="230" customWidth="1"/>
    <col min="4624" max="4626" width="8.75" style="230" customWidth="1"/>
    <col min="4627" max="4627" width="10.125" style="230" customWidth="1"/>
    <col min="4628" max="4628" width="11.375" style="230" bestFit="1" customWidth="1"/>
    <col min="4629" max="4629" width="5.5" style="230" customWidth="1"/>
    <col min="4630" max="4630" width="10.5" style="230" customWidth="1"/>
    <col min="4631" max="4631" width="3.375" style="230" customWidth="1"/>
    <col min="4632" max="4632" width="9" style="230" customWidth="1"/>
    <col min="4633" max="4633" width="13.5" style="230" customWidth="1"/>
    <col min="4634" max="4634" width="8.5" style="230" customWidth="1"/>
    <col min="4635" max="4635" width="10.125" style="230" customWidth="1"/>
    <col min="4636" max="4636" width="10.375" style="230" customWidth="1"/>
    <col min="4637" max="4637" width="9.5" style="230" customWidth="1"/>
    <col min="4638" max="4638" width="8.5" style="230" customWidth="1"/>
    <col min="4639" max="4639" width="14.125" style="230" bestFit="1" customWidth="1"/>
    <col min="4640" max="4640" width="8.5" style="230" customWidth="1"/>
    <col min="4641" max="4641" width="9.125" style="230" customWidth="1"/>
    <col min="4642" max="4642" width="13.125" style="230" customWidth="1"/>
    <col min="4643" max="4864" width="9" style="230"/>
    <col min="4865" max="4865" width="1" style="230" customWidth="1"/>
    <col min="4866" max="4866" width="5.125" style="230" customWidth="1"/>
    <col min="4867" max="4867" width="6.25" style="230" customWidth="1"/>
    <col min="4868" max="4868" width="14.375" style="230" customWidth="1"/>
    <col min="4869" max="4869" width="2.5" style="230" customWidth="1"/>
    <col min="4870" max="4870" width="8.75" style="230" customWidth="1"/>
    <col min="4871" max="4871" width="5.5" style="230" customWidth="1"/>
    <col min="4872" max="4872" width="11.375" style="230" customWidth="1"/>
    <col min="4873" max="4873" width="5.5" style="230" customWidth="1"/>
    <col min="4874" max="4874" width="11.375" style="230" customWidth="1"/>
    <col min="4875" max="4875" width="2.5" style="230" customWidth="1"/>
    <col min="4876" max="4876" width="8.75" style="230" customWidth="1"/>
    <col min="4877" max="4877" width="2.5" style="230" customWidth="1"/>
    <col min="4878" max="4878" width="8.75" style="230" customWidth="1"/>
    <col min="4879" max="4879" width="2.5" style="230" customWidth="1"/>
    <col min="4880" max="4882" width="8.75" style="230" customWidth="1"/>
    <col min="4883" max="4883" width="10.125" style="230" customWidth="1"/>
    <col min="4884" max="4884" width="11.375" style="230" bestFit="1" customWidth="1"/>
    <col min="4885" max="4885" width="5.5" style="230" customWidth="1"/>
    <col min="4886" max="4886" width="10.5" style="230" customWidth="1"/>
    <col min="4887" max="4887" width="3.375" style="230" customWidth="1"/>
    <col min="4888" max="4888" width="9" style="230" customWidth="1"/>
    <col min="4889" max="4889" width="13.5" style="230" customWidth="1"/>
    <col min="4890" max="4890" width="8.5" style="230" customWidth="1"/>
    <col min="4891" max="4891" width="10.125" style="230" customWidth="1"/>
    <col min="4892" max="4892" width="10.375" style="230" customWidth="1"/>
    <col min="4893" max="4893" width="9.5" style="230" customWidth="1"/>
    <col min="4894" max="4894" width="8.5" style="230" customWidth="1"/>
    <col min="4895" max="4895" width="14.125" style="230" bestFit="1" customWidth="1"/>
    <col min="4896" max="4896" width="8.5" style="230" customWidth="1"/>
    <col min="4897" max="4897" width="9.125" style="230" customWidth="1"/>
    <col min="4898" max="4898" width="13.125" style="230" customWidth="1"/>
    <col min="4899" max="5120" width="9" style="230"/>
    <col min="5121" max="5121" width="1" style="230" customWidth="1"/>
    <col min="5122" max="5122" width="5.125" style="230" customWidth="1"/>
    <col min="5123" max="5123" width="6.25" style="230" customWidth="1"/>
    <col min="5124" max="5124" width="14.375" style="230" customWidth="1"/>
    <col min="5125" max="5125" width="2.5" style="230" customWidth="1"/>
    <col min="5126" max="5126" width="8.75" style="230" customWidth="1"/>
    <col min="5127" max="5127" width="5.5" style="230" customWidth="1"/>
    <col min="5128" max="5128" width="11.375" style="230" customWidth="1"/>
    <col min="5129" max="5129" width="5.5" style="230" customWidth="1"/>
    <col min="5130" max="5130" width="11.375" style="230" customWidth="1"/>
    <col min="5131" max="5131" width="2.5" style="230" customWidth="1"/>
    <col min="5132" max="5132" width="8.75" style="230" customWidth="1"/>
    <col min="5133" max="5133" width="2.5" style="230" customWidth="1"/>
    <col min="5134" max="5134" width="8.75" style="230" customWidth="1"/>
    <col min="5135" max="5135" width="2.5" style="230" customWidth="1"/>
    <col min="5136" max="5138" width="8.75" style="230" customWidth="1"/>
    <col min="5139" max="5139" width="10.125" style="230" customWidth="1"/>
    <col min="5140" max="5140" width="11.375" style="230" bestFit="1" customWidth="1"/>
    <col min="5141" max="5141" width="5.5" style="230" customWidth="1"/>
    <col min="5142" max="5142" width="10.5" style="230" customWidth="1"/>
    <col min="5143" max="5143" width="3.375" style="230" customWidth="1"/>
    <col min="5144" max="5144" width="9" style="230" customWidth="1"/>
    <col min="5145" max="5145" width="13.5" style="230" customWidth="1"/>
    <col min="5146" max="5146" width="8.5" style="230" customWidth="1"/>
    <col min="5147" max="5147" width="10.125" style="230" customWidth="1"/>
    <col min="5148" max="5148" width="10.375" style="230" customWidth="1"/>
    <col min="5149" max="5149" width="9.5" style="230" customWidth="1"/>
    <col min="5150" max="5150" width="8.5" style="230" customWidth="1"/>
    <col min="5151" max="5151" width="14.125" style="230" bestFit="1" customWidth="1"/>
    <col min="5152" max="5152" width="8.5" style="230" customWidth="1"/>
    <col min="5153" max="5153" width="9.125" style="230" customWidth="1"/>
    <col min="5154" max="5154" width="13.125" style="230" customWidth="1"/>
    <col min="5155" max="5376" width="9" style="230"/>
    <col min="5377" max="5377" width="1" style="230" customWidth="1"/>
    <col min="5378" max="5378" width="5.125" style="230" customWidth="1"/>
    <col min="5379" max="5379" width="6.25" style="230" customWidth="1"/>
    <col min="5380" max="5380" width="14.375" style="230" customWidth="1"/>
    <col min="5381" max="5381" width="2.5" style="230" customWidth="1"/>
    <col min="5382" max="5382" width="8.75" style="230" customWidth="1"/>
    <col min="5383" max="5383" width="5.5" style="230" customWidth="1"/>
    <col min="5384" max="5384" width="11.375" style="230" customWidth="1"/>
    <col min="5385" max="5385" width="5.5" style="230" customWidth="1"/>
    <col min="5386" max="5386" width="11.375" style="230" customWidth="1"/>
    <col min="5387" max="5387" width="2.5" style="230" customWidth="1"/>
    <col min="5388" max="5388" width="8.75" style="230" customWidth="1"/>
    <col min="5389" max="5389" width="2.5" style="230" customWidth="1"/>
    <col min="5390" max="5390" width="8.75" style="230" customWidth="1"/>
    <col min="5391" max="5391" width="2.5" style="230" customWidth="1"/>
    <col min="5392" max="5394" width="8.75" style="230" customWidth="1"/>
    <col min="5395" max="5395" width="10.125" style="230" customWidth="1"/>
    <col min="5396" max="5396" width="11.375" style="230" bestFit="1" customWidth="1"/>
    <col min="5397" max="5397" width="5.5" style="230" customWidth="1"/>
    <col min="5398" max="5398" width="10.5" style="230" customWidth="1"/>
    <col min="5399" max="5399" width="3.375" style="230" customWidth="1"/>
    <col min="5400" max="5400" width="9" style="230" customWidth="1"/>
    <col min="5401" max="5401" width="13.5" style="230" customWidth="1"/>
    <col min="5402" max="5402" width="8.5" style="230" customWidth="1"/>
    <col min="5403" max="5403" width="10.125" style="230" customWidth="1"/>
    <col min="5404" max="5404" width="10.375" style="230" customWidth="1"/>
    <col min="5405" max="5405" width="9.5" style="230" customWidth="1"/>
    <col min="5406" max="5406" width="8.5" style="230" customWidth="1"/>
    <col min="5407" max="5407" width="14.125" style="230" bestFit="1" customWidth="1"/>
    <col min="5408" max="5408" width="8.5" style="230" customWidth="1"/>
    <col min="5409" max="5409" width="9.125" style="230" customWidth="1"/>
    <col min="5410" max="5410" width="13.125" style="230" customWidth="1"/>
    <col min="5411" max="5632" width="9" style="230"/>
    <col min="5633" max="5633" width="1" style="230" customWidth="1"/>
    <col min="5634" max="5634" width="5.125" style="230" customWidth="1"/>
    <col min="5635" max="5635" width="6.25" style="230" customWidth="1"/>
    <col min="5636" max="5636" width="14.375" style="230" customWidth="1"/>
    <col min="5637" max="5637" width="2.5" style="230" customWidth="1"/>
    <col min="5638" max="5638" width="8.75" style="230" customWidth="1"/>
    <col min="5639" max="5639" width="5.5" style="230" customWidth="1"/>
    <col min="5640" max="5640" width="11.375" style="230" customWidth="1"/>
    <col min="5641" max="5641" width="5.5" style="230" customWidth="1"/>
    <col min="5642" max="5642" width="11.375" style="230" customWidth="1"/>
    <col min="5643" max="5643" width="2.5" style="230" customWidth="1"/>
    <col min="5644" max="5644" width="8.75" style="230" customWidth="1"/>
    <col min="5645" max="5645" width="2.5" style="230" customWidth="1"/>
    <col min="5646" max="5646" width="8.75" style="230" customWidth="1"/>
    <col min="5647" max="5647" width="2.5" style="230" customWidth="1"/>
    <col min="5648" max="5650" width="8.75" style="230" customWidth="1"/>
    <col min="5651" max="5651" width="10.125" style="230" customWidth="1"/>
    <col min="5652" max="5652" width="11.375" style="230" bestFit="1" customWidth="1"/>
    <col min="5653" max="5653" width="5.5" style="230" customWidth="1"/>
    <col min="5654" max="5654" width="10.5" style="230" customWidth="1"/>
    <col min="5655" max="5655" width="3.375" style="230" customWidth="1"/>
    <col min="5656" max="5656" width="9" style="230" customWidth="1"/>
    <col min="5657" max="5657" width="13.5" style="230" customWidth="1"/>
    <col min="5658" max="5658" width="8.5" style="230" customWidth="1"/>
    <col min="5659" max="5659" width="10.125" style="230" customWidth="1"/>
    <col min="5660" max="5660" width="10.375" style="230" customWidth="1"/>
    <col min="5661" max="5661" width="9.5" style="230" customWidth="1"/>
    <col min="5662" max="5662" width="8.5" style="230" customWidth="1"/>
    <col min="5663" max="5663" width="14.125" style="230" bestFit="1" customWidth="1"/>
    <col min="5664" max="5664" width="8.5" style="230" customWidth="1"/>
    <col min="5665" max="5665" width="9.125" style="230" customWidth="1"/>
    <col min="5666" max="5666" width="13.125" style="230" customWidth="1"/>
    <col min="5667" max="5888" width="9" style="230"/>
    <col min="5889" max="5889" width="1" style="230" customWidth="1"/>
    <col min="5890" max="5890" width="5.125" style="230" customWidth="1"/>
    <col min="5891" max="5891" width="6.25" style="230" customWidth="1"/>
    <col min="5892" max="5892" width="14.375" style="230" customWidth="1"/>
    <col min="5893" max="5893" width="2.5" style="230" customWidth="1"/>
    <col min="5894" max="5894" width="8.75" style="230" customWidth="1"/>
    <col min="5895" max="5895" width="5.5" style="230" customWidth="1"/>
    <col min="5896" max="5896" width="11.375" style="230" customWidth="1"/>
    <col min="5897" max="5897" width="5.5" style="230" customWidth="1"/>
    <col min="5898" max="5898" width="11.375" style="230" customWidth="1"/>
    <col min="5899" max="5899" width="2.5" style="230" customWidth="1"/>
    <col min="5900" max="5900" width="8.75" style="230" customWidth="1"/>
    <col min="5901" max="5901" width="2.5" style="230" customWidth="1"/>
    <col min="5902" max="5902" width="8.75" style="230" customWidth="1"/>
    <col min="5903" max="5903" width="2.5" style="230" customWidth="1"/>
    <col min="5904" max="5906" width="8.75" style="230" customWidth="1"/>
    <col min="5907" max="5907" width="10.125" style="230" customWidth="1"/>
    <col min="5908" max="5908" width="11.375" style="230" bestFit="1" customWidth="1"/>
    <col min="5909" max="5909" width="5.5" style="230" customWidth="1"/>
    <col min="5910" max="5910" width="10.5" style="230" customWidth="1"/>
    <col min="5911" max="5911" width="3.375" style="230" customWidth="1"/>
    <col min="5912" max="5912" width="9" style="230" customWidth="1"/>
    <col min="5913" max="5913" width="13.5" style="230" customWidth="1"/>
    <col min="5914" max="5914" width="8.5" style="230" customWidth="1"/>
    <col min="5915" max="5915" width="10.125" style="230" customWidth="1"/>
    <col min="5916" max="5916" width="10.375" style="230" customWidth="1"/>
    <col min="5917" max="5917" width="9.5" style="230" customWidth="1"/>
    <col min="5918" max="5918" width="8.5" style="230" customWidth="1"/>
    <col min="5919" max="5919" width="14.125" style="230" bestFit="1" customWidth="1"/>
    <col min="5920" max="5920" width="8.5" style="230" customWidth="1"/>
    <col min="5921" max="5921" width="9.125" style="230" customWidth="1"/>
    <col min="5922" max="5922" width="13.125" style="230" customWidth="1"/>
    <col min="5923" max="6144" width="9" style="230"/>
    <col min="6145" max="6145" width="1" style="230" customWidth="1"/>
    <col min="6146" max="6146" width="5.125" style="230" customWidth="1"/>
    <col min="6147" max="6147" width="6.25" style="230" customWidth="1"/>
    <col min="6148" max="6148" width="14.375" style="230" customWidth="1"/>
    <col min="6149" max="6149" width="2.5" style="230" customWidth="1"/>
    <col min="6150" max="6150" width="8.75" style="230" customWidth="1"/>
    <col min="6151" max="6151" width="5.5" style="230" customWidth="1"/>
    <col min="6152" max="6152" width="11.375" style="230" customWidth="1"/>
    <col min="6153" max="6153" width="5.5" style="230" customWidth="1"/>
    <col min="6154" max="6154" width="11.375" style="230" customWidth="1"/>
    <col min="6155" max="6155" width="2.5" style="230" customWidth="1"/>
    <col min="6156" max="6156" width="8.75" style="230" customWidth="1"/>
    <col min="6157" max="6157" width="2.5" style="230" customWidth="1"/>
    <col min="6158" max="6158" width="8.75" style="230" customWidth="1"/>
    <col min="6159" max="6159" width="2.5" style="230" customWidth="1"/>
    <col min="6160" max="6162" width="8.75" style="230" customWidth="1"/>
    <col min="6163" max="6163" width="10.125" style="230" customWidth="1"/>
    <col min="6164" max="6164" width="11.375" style="230" bestFit="1" customWidth="1"/>
    <col min="6165" max="6165" width="5.5" style="230" customWidth="1"/>
    <col min="6166" max="6166" width="10.5" style="230" customWidth="1"/>
    <col min="6167" max="6167" width="3.375" style="230" customWidth="1"/>
    <col min="6168" max="6168" width="9" style="230" customWidth="1"/>
    <col min="6169" max="6169" width="13.5" style="230" customWidth="1"/>
    <col min="6170" max="6170" width="8.5" style="230" customWidth="1"/>
    <col min="6171" max="6171" width="10.125" style="230" customWidth="1"/>
    <col min="6172" max="6172" width="10.375" style="230" customWidth="1"/>
    <col min="6173" max="6173" width="9.5" style="230" customWidth="1"/>
    <col min="6174" max="6174" width="8.5" style="230" customWidth="1"/>
    <col min="6175" max="6175" width="14.125" style="230" bestFit="1" customWidth="1"/>
    <col min="6176" max="6176" width="8.5" style="230" customWidth="1"/>
    <col min="6177" max="6177" width="9.125" style="230" customWidth="1"/>
    <col min="6178" max="6178" width="13.125" style="230" customWidth="1"/>
    <col min="6179" max="6400" width="9" style="230"/>
    <col min="6401" max="6401" width="1" style="230" customWidth="1"/>
    <col min="6402" max="6402" width="5.125" style="230" customWidth="1"/>
    <col min="6403" max="6403" width="6.25" style="230" customWidth="1"/>
    <col min="6404" max="6404" width="14.375" style="230" customWidth="1"/>
    <col min="6405" max="6405" width="2.5" style="230" customWidth="1"/>
    <col min="6406" max="6406" width="8.75" style="230" customWidth="1"/>
    <col min="6407" max="6407" width="5.5" style="230" customWidth="1"/>
    <col min="6408" max="6408" width="11.375" style="230" customWidth="1"/>
    <col min="6409" max="6409" width="5.5" style="230" customWidth="1"/>
    <col min="6410" max="6410" width="11.375" style="230" customWidth="1"/>
    <col min="6411" max="6411" width="2.5" style="230" customWidth="1"/>
    <col min="6412" max="6412" width="8.75" style="230" customWidth="1"/>
    <col min="6413" max="6413" width="2.5" style="230" customWidth="1"/>
    <col min="6414" max="6414" width="8.75" style="230" customWidth="1"/>
    <col min="6415" max="6415" width="2.5" style="230" customWidth="1"/>
    <col min="6416" max="6418" width="8.75" style="230" customWidth="1"/>
    <col min="6419" max="6419" width="10.125" style="230" customWidth="1"/>
    <col min="6420" max="6420" width="11.375" style="230" bestFit="1" customWidth="1"/>
    <col min="6421" max="6421" width="5.5" style="230" customWidth="1"/>
    <col min="6422" max="6422" width="10.5" style="230" customWidth="1"/>
    <col min="6423" max="6423" width="3.375" style="230" customWidth="1"/>
    <col min="6424" max="6424" width="9" style="230" customWidth="1"/>
    <col min="6425" max="6425" width="13.5" style="230" customWidth="1"/>
    <col min="6426" max="6426" width="8.5" style="230" customWidth="1"/>
    <col min="6427" max="6427" width="10.125" style="230" customWidth="1"/>
    <col min="6428" max="6428" width="10.375" style="230" customWidth="1"/>
    <col min="6429" max="6429" width="9.5" style="230" customWidth="1"/>
    <col min="6430" max="6430" width="8.5" style="230" customWidth="1"/>
    <col min="6431" max="6431" width="14.125" style="230" bestFit="1" customWidth="1"/>
    <col min="6432" max="6432" width="8.5" style="230" customWidth="1"/>
    <col min="6433" max="6433" width="9.125" style="230" customWidth="1"/>
    <col min="6434" max="6434" width="13.125" style="230" customWidth="1"/>
    <col min="6435" max="6656" width="9" style="230"/>
    <col min="6657" max="6657" width="1" style="230" customWidth="1"/>
    <col min="6658" max="6658" width="5.125" style="230" customWidth="1"/>
    <col min="6659" max="6659" width="6.25" style="230" customWidth="1"/>
    <col min="6660" max="6660" width="14.375" style="230" customWidth="1"/>
    <col min="6661" max="6661" width="2.5" style="230" customWidth="1"/>
    <col min="6662" max="6662" width="8.75" style="230" customWidth="1"/>
    <col min="6663" max="6663" width="5.5" style="230" customWidth="1"/>
    <col min="6664" max="6664" width="11.375" style="230" customWidth="1"/>
    <col min="6665" max="6665" width="5.5" style="230" customWidth="1"/>
    <col min="6666" max="6666" width="11.375" style="230" customWidth="1"/>
    <col min="6667" max="6667" width="2.5" style="230" customWidth="1"/>
    <col min="6668" max="6668" width="8.75" style="230" customWidth="1"/>
    <col min="6669" max="6669" width="2.5" style="230" customWidth="1"/>
    <col min="6670" max="6670" width="8.75" style="230" customWidth="1"/>
    <col min="6671" max="6671" width="2.5" style="230" customWidth="1"/>
    <col min="6672" max="6674" width="8.75" style="230" customWidth="1"/>
    <col min="6675" max="6675" width="10.125" style="230" customWidth="1"/>
    <col min="6676" max="6676" width="11.375" style="230" bestFit="1" customWidth="1"/>
    <col min="6677" max="6677" width="5.5" style="230" customWidth="1"/>
    <col min="6678" max="6678" width="10.5" style="230" customWidth="1"/>
    <col min="6679" max="6679" width="3.375" style="230" customWidth="1"/>
    <col min="6680" max="6680" width="9" style="230" customWidth="1"/>
    <col min="6681" max="6681" width="13.5" style="230" customWidth="1"/>
    <col min="6682" max="6682" width="8.5" style="230" customWidth="1"/>
    <col min="6683" max="6683" width="10.125" style="230" customWidth="1"/>
    <col min="6684" max="6684" width="10.375" style="230" customWidth="1"/>
    <col min="6685" max="6685" width="9.5" style="230" customWidth="1"/>
    <col min="6686" max="6686" width="8.5" style="230" customWidth="1"/>
    <col min="6687" max="6687" width="14.125" style="230" bestFit="1" customWidth="1"/>
    <col min="6688" max="6688" width="8.5" style="230" customWidth="1"/>
    <col min="6689" max="6689" width="9.125" style="230" customWidth="1"/>
    <col min="6690" max="6690" width="13.125" style="230" customWidth="1"/>
    <col min="6691" max="6912" width="9" style="230"/>
    <col min="6913" max="6913" width="1" style="230" customWidth="1"/>
    <col min="6914" max="6914" width="5.125" style="230" customWidth="1"/>
    <col min="6915" max="6915" width="6.25" style="230" customWidth="1"/>
    <col min="6916" max="6916" width="14.375" style="230" customWidth="1"/>
    <col min="6917" max="6917" width="2.5" style="230" customWidth="1"/>
    <col min="6918" max="6918" width="8.75" style="230" customWidth="1"/>
    <col min="6919" max="6919" width="5.5" style="230" customWidth="1"/>
    <col min="6920" max="6920" width="11.375" style="230" customWidth="1"/>
    <col min="6921" max="6921" width="5.5" style="230" customWidth="1"/>
    <col min="6922" max="6922" width="11.375" style="230" customWidth="1"/>
    <col min="6923" max="6923" width="2.5" style="230" customWidth="1"/>
    <col min="6924" max="6924" width="8.75" style="230" customWidth="1"/>
    <col min="6925" max="6925" width="2.5" style="230" customWidth="1"/>
    <col min="6926" max="6926" width="8.75" style="230" customWidth="1"/>
    <col min="6927" max="6927" width="2.5" style="230" customWidth="1"/>
    <col min="6928" max="6930" width="8.75" style="230" customWidth="1"/>
    <col min="6931" max="6931" width="10.125" style="230" customWidth="1"/>
    <col min="6932" max="6932" width="11.375" style="230" bestFit="1" customWidth="1"/>
    <col min="6933" max="6933" width="5.5" style="230" customWidth="1"/>
    <col min="6934" max="6934" width="10.5" style="230" customWidth="1"/>
    <col min="6935" max="6935" width="3.375" style="230" customWidth="1"/>
    <col min="6936" max="6936" width="9" style="230" customWidth="1"/>
    <col min="6937" max="6937" width="13.5" style="230" customWidth="1"/>
    <col min="6938" max="6938" width="8.5" style="230" customWidth="1"/>
    <col min="6939" max="6939" width="10.125" style="230" customWidth="1"/>
    <col min="6940" max="6940" width="10.375" style="230" customWidth="1"/>
    <col min="6941" max="6941" width="9.5" style="230" customWidth="1"/>
    <col min="6942" max="6942" width="8.5" style="230" customWidth="1"/>
    <col min="6943" max="6943" width="14.125" style="230" bestFit="1" customWidth="1"/>
    <col min="6944" max="6944" width="8.5" style="230" customWidth="1"/>
    <col min="6945" max="6945" width="9.125" style="230" customWidth="1"/>
    <col min="6946" max="6946" width="13.125" style="230" customWidth="1"/>
    <col min="6947" max="7168" width="9" style="230"/>
    <col min="7169" max="7169" width="1" style="230" customWidth="1"/>
    <col min="7170" max="7170" width="5.125" style="230" customWidth="1"/>
    <col min="7171" max="7171" width="6.25" style="230" customWidth="1"/>
    <col min="7172" max="7172" width="14.375" style="230" customWidth="1"/>
    <col min="7173" max="7173" width="2.5" style="230" customWidth="1"/>
    <col min="7174" max="7174" width="8.75" style="230" customWidth="1"/>
    <col min="7175" max="7175" width="5.5" style="230" customWidth="1"/>
    <col min="7176" max="7176" width="11.375" style="230" customWidth="1"/>
    <col min="7177" max="7177" width="5.5" style="230" customWidth="1"/>
    <col min="7178" max="7178" width="11.375" style="230" customWidth="1"/>
    <col min="7179" max="7179" width="2.5" style="230" customWidth="1"/>
    <col min="7180" max="7180" width="8.75" style="230" customWidth="1"/>
    <col min="7181" max="7181" width="2.5" style="230" customWidth="1"/>
    <col min="7182" max="7182" width="8.75" style="230" customWidth="1"/>
    <col min="7183" max="7183" width="2.5" style="230" customWidth="1"/>
    <col min="7184" max="7186" width="8.75" style="230" customWidth="1"/>
    <col min="7187" max="7187" width="10.125" style="230" customWidth="1"/>
    <col min="7188" max="7188" width="11.375" style="230" bestFit="1" customWidth="1"/>
    <col min="7189" max="7189" width="5.5" style="230" customWidth="1"/>
    <col min="7190" max="7190" width="10.5" style="230" customWidth="1"/>
    <col min="7191" max="7191" width="3.375" style="230" customWidth="1"/>
    <col min="7192" max="7192" width="9" style="230" customWidth="1"/>
    <col min="7193" max="7193" width="13.5" style="230" customWidth="1"/>
    <col min="7194" max="7194" width="8.5" style="230" customWidth="1"/>
    <col min="7195" max="7195" width="10.125" style="230" customWidth="1"/>
    <col min="7196" max="7196" width="10.375" style="230" customWidth="1"/>
    <col min="7197" max="7197" width="9.5" style="230" customWidth="1"/>
    <col min="7198" max="7198" width="8.5" style="230" customWidth="1"/>
    <col min="7199" max="7199" width="14.125" style="230" bestFit="1" customWidth="1"/>
    <col min="7200" max="7200" width="8.5" style="230" customWidth="1"/>
    <col min="7201" max="7201" width="9.125" style="230" customWidth="1"/>
    <col min="7202" max="7202" width="13.125" style="230" customWidth="1"/>
    <col min="7203" max="7424" width="9" style="230"/>
    <col min="7425" max="7425" width="1" style="230" customWidth="1"/>
    <col min="7426" max="7426" width="5.125" style="230" customWidth="1"/>
    <col min="7427" max="7427" width="6.25" style="230" customWidth="1"/>
    <col min="7428" max="7428" width="14.375" style="230" customWidth="1"/>
    <col min="7429" max="7429" width="2.5" style="230" customWidth="1"/>
    <col min="7430" max="7430" width="8.75" style="230" customWidth="1"/>
    <col min="7431" max="7431" width="5.5" style="230" customWidth="1"/>
    <col min="7432" max="7432" width="11.375" style="230" customWidth="1"/>
    <col min="7433" max="7433" width="5.5" style="230" customWidth="1"/>
    <col min="7434" max="7434" width="11.375" style="230" customWidth="1"/>
    <col min="7435" max="7435" width="2.5" style="230" customWidth="1"/>
    <col min="7436" max="7436" width="8.75" style="230" customWidth="1"/>
    <col min="7437" max="7437" width="2.5" style="230" customWidth="1"/>
    <col min="7438" max="7438" width="8.75" style="230" customWidth="1"/>
    <col min="7439" max="7439" width="2.5" style="230" customWidth="1"/>
    <col min="7440" max="7442" width="8.75" style="230" customWidth="1"/>
    <col min="7443" max="7443" width="10.125" style="230" customWidth="1"/>
    <col min="7444" max="7444" width="11.375" style="230" bestFit="1" customWidth="1"/>
    <col min="7445" max="7445" width="5.5" style="230" customWidth="1"/>
    <col min="7446" max="7446" width="10.5" style="230" customWidth="1"/>
    <col min="7447" max="7447" width="3.375" style="230" customWidth="1"/>
    <col min="7448" max="7448" width="9" style="230" customWidth="1"/>
    <col min="7449" max="7449" width="13.5" style="230" customWidth="1"/>
    <col min="7450" max="7450" width="8.5" style="230" customWidth="1"/>
    <col min="7451" max="7451" width="10.125" style="230" customWidth="1"/>
    <col min="7452" max="7452" width="10.375" style="230" customWidth="1"/>
    <col min="7453" max="7453" width="9.5" style="230" customWidth="1"/>
    <col min="7454" max="7454" width="8.5" style="230" customWidth="1"/>
    <col min="7455" max="7455" width="14.125" style="230" bestFit="1" customWidth="1"/>
    <col min="7456" max="7456" width="8.5" style="230" customWidth="1"/>
    <col min="7457" max="7457" width="9.125" style="230" customWidth="1"/>
    <col min="7458" max="7458" width="13.125" style="230" customWidth="1"/>
    <col min="7459" max="7680" width="9" style="230"/>
    <col min="7681" max="7681" width="1" style="230" customWidth="1"/>
    <col min="7682" max="7682" width="5.125" style="230" customWidth="1"/>
    <col min="7683" max="7683" width="6.25" style="230" customWidth="1"/>
    <col min="7684" max="7684" width="14.375" style="230" customWidth="1"/>
    <col min="7685" max="7685" width="2.5" style="230" customWidth="1"/>
    <col min="7686" max="7686" width="8.75" style="230" customWidth="1"/>
    <col min="7687" max="7687" width="5.5" style="230" customWidth="1"/>
    <col min="7688" max="7688" width="11.375" style="230" customWidth="1"/>
    <col min="7689" max="7689" width="5.5" style="230" customWidth="1"/>
    <col min="7690" max="7690" width="11.375" style="230" customWidth="1"/>
    <col min="7691" max="7691" width="2.5" style="230" customWidth="1"/>
    <col min="7692" max="7692" width="8.75" style="230" customWidth="1"/>
    <col min="7693" max="7693" width="2.5" style="230" customWidth="1"/>
    <col min="7694" max="7694" width="8.75" style="230" customWidth="1"/>
    <col min="7695" max="7695" width="2.5" style="230" customWidth="1"/>
    <col min="7696" max="7698" width="8.75" style="230" customWidth="1"/>
    <col min="7699" max="7699" width="10.125" style="230" customWidth="1"/>
    <col min="7700" max="7700" width="11.375" style="230" bestFit="1" customWidth="1"/>
    <col min="7701" max="7701" width="5.5" style="230" customWidth="1"/>
    <col min="7702" max="7702" width="10.5" style="230" customWidth="1"/>
    <col min="7703" max="7703" width="3.375" style="230" customWidth="1"/>
    <col min="7704" max="7704" width="9" style="230" customWidth="1"/>
    <col min="7705" max="7705" width="13.5" style="230" customWidth="1"/>
    <col min="7706" max="7706" width="8.5" style="230" customWidth="1"/>
    <col min="7707" max="7707" width="10.125" style="230" customWidth="1"/>
    <col min="7708" max="7708" width="10.375" style="230" customWidth="1"/>
    <col min="7709" max="7709" width="9.5" style="230" customWidth="1"/>
    <col min="7710" max="7710" width="8.5" style="230" customWidth="1"/>
    <col min="7711" max="7711" width="14.125" style="230" bestFit="1" customWidth="1"/>
    <col min="7712" max="7712" width="8.5" style="230" customWidth="1"/>
    <col min="7713" max="7713" width="9.125" style="230" customWidth="1"/>
    <col min="7714" max="7714" width="13.125" style="230" customWidth="1"/>
    <col min="7715" max="7936" width="9" style="230"/>
    <col min="7937" max="7937" width="1" style="230" customWidth="1"/>
    <col min="7938" max="7938" width="5.125" style="230" customWidth="1"/>
    <col min="7939" max="7939" width="6.25" style="230" customWidth="1"/>
    <col min="7940" max="7940" width="14.375" style="230" customWidth="1"/>
    <col min="7941" max="7941" width="2.5" style="230" customWidth="1"/>
    <col min="7942" max="7942" width="8.75" style="230" customWidth="1"/>
    <col min="7943" max="7943" width="5.5" style="230" customWidth="1"/>
    <col min="7944" max="7944" width="11.375" style="230" customWidth="1"/>
    <col min="7945" max="7945" width="5.5" style="230" customWidth="1"/>
    <col min="7946" max="7946" width="11.375" style="230" customWidth="1"/>
    <col min="7947" max="7947" width="2.5" style="230" customWidth="1"/>
    <col min="7948" max="7948" width="8.75" style="230" customWidth="1"/>
    <col min="7949" max="7949" width="2.5" style="230" customWidth="1"/>
    <col min="7950" max="7950" width="8.75" style="230" customWidth="1"/>
    <col min="7951" max="7951" width="2.5" style="230" customWidth="1"/>
    <col min="7952" max="7954" width="8.75" style="230" customWidth="1"/>
    <col min="7955" max="7955" width="10.125" style="230" customWidth="1"/>
    <col min="7956" max="7956" width="11.375" style="230" bestFit="1" customWidth="1"/>
    <col min="7957" max="7957" width="5.5" style="230" customWidth="1"/>
    <col min="7958" max="7958" width="10.5" style="230" customWidth="1"/>
    <col min="7959" max="7959" width="3.375" style="230" customWidth="1"/>
    <col min="7960" max="7960" width="9" style="230" customWidth="1"/>
    <col min="7961" max="7961" width="13.5" style="230" customWidth="1"/>
    <col min="7962" max="7962" width="8.5" style="230" customWidth="1"/>
    <col min="7963" max="7963" width="10.125" style="230" customWidth="1"/>
    <col min="7964" max="7964" width="10.375" style="230" customWidth="1"/>
    <col min="7965" max="7965" width="9.5" style="230" customWidth="1"/>
    <col min="7966" max="7966" width="8.5" style="230" customWidth="1"/>
    <col min="7967" max="7967" width="14.125" style="230" bestFit="1" customWidth="1"/>
    <col min="7968" max="7968" width="8.5" style="230" customWidth="1"/>
    <col min="7969" max="7969" width="9.125" style="230" customWidth="1"/>
    <col min="7970" max="7970" width="13.125" style="230" customWidth="1"/>
    <col min="7971" max="8192" width="9" style="230"/>
    <col min="8193" max="8193" width="1" style="230" customWidth="1"/>
    <col min="8194" max="8194" width="5.125" style="230" customWidth="1"/>
    <col min="8195" max="8195" width="6.25" style="230" customWidth="1"/>
    <col min="8196" max="8196" width="14.375" style="230" customWidth="1"/>
    <col min="8197" max="8197" width="2.5" style="230" customWidth="1"/>
    <col min="8198" max="8198" width="8.75" style="230" customWidth="1"/>
    <col min="8199" max="8199" width="5.5" style="230" customWidth="1"/>
    <col min="8200" max="8200" width="11.375" style="230" customWidth="1"/>
    <col min="8201" max="8201" width="5.5" style="230" customWidth="1"/>
    <col min="8202" max="8202" width="11.375" style="230" customWidth="1"/>
    <col min="8203" max="8203" width="2.5" style="230" customWidth="1"/>
    <col min="8204" max="8204" width="8.75" style="230" customWidth="1"/>
    <col min="8205" max="8205" width="2.5" style="230" customWidth="1"/>
    <col min="8206" max="8206" width="8.75" style="230" customWidth="1"/>
    <col min="8207" max="8207" width="2.5" style="230" customWidth="1"/>
    <col min="8208" max="8210" width="8.75" style="230" customWidth="1"/>
    <col min="8211" max="8211" width="10.125" style="230" customWidth="1"/>
    <col min="8212" max="8212" width="11.375" style="230" bestFit="1" customWidth="1"/>
    <col min="8213" max="8213" width="5.5" style="230" customWidth="1"/>
    <col min="8214" max="8214" width="10.5" style="230" customWidth="1"/>
    <col min="8215" max="8215" width="3.375" style="230" customWidth="1"/>
    <col min="8216" max="8216" width="9" style="230" customWidth="1"/>
    <col min="8217" max="8217" width="13.5" style="230" customWidth="1"/>
    <col min="8218" max="8218" width="8.5" style="230" customWidth="1"/>
    <col min="8219" max="8219" width="10.125" style="230" customWidth="1"/>
    <col min="8220" max="8220" width="10.375" style="230" customWidth="1"/>
    <col min="8221" max="8221" width="9.5" style="230" customWidth="1"/>
    <col min="8222" max="8222" width="8.5" style="230" customWidth="1"/>
    <col min="8223" max="8223" width="14.125" style="230" bestFit="1" customWidth="1"/>
    <col min="8224" max="8224" width="8.5" style="230" customWidth="1"/>
    <col min="8225" max="8225" width="9.125" style="230" customWidth="1"/>
    <col min="8226" max="8226" width="13.125" style="230" customWidth="1"/>
    <col min="8227" max="8448" width="9" style="230"/>
    <col min="8449" max="8449" width="1" style="230" customWidth="1"/>
    <col min="8450" max="8450" width="5.125" style="230" customWidth="1"/>
    <col min="8451" max="8451" width="6.25" style="230" customWidth="1"/>
    <col min="8452" max="8452" width="14.375" style="230" customWidth="1"/>
    <col min="8453" max="8453" width="2.5" style="230" customWidth="1"/>
    <col min="8454" max="8454" width="8.75" style="230" customWidth="1"/>
    <col min="8455" max="8455" width="5.5" style="230" customWidth="1"/>
    <col min="8456" max="8456" width="11.375" style="230" customWidth="1"/>
    <col min="8457" max="8457" width="5.5" style="230" customWidth="1"/>
    <col min="8458" max="8458" width="11.375" style="230" customWidth="1"/>
    <col min="8459" max="8459" width="2.5" style="230" customWidth="1"/>
    <col min="8460" max="8460" width="8.75" style="230" customWidth="1"/>
    <col min="8461" max="8461" width="2.5" style="230" customWidth="1"/>
    <col min="8462" max="8462" width="8.75" style="230" customWidth="1"/>
    <col min="8463" max="8463" width="2.5" style="230" customWidth="1"/>
    <col min="8464" max="8466" width="8.75" style="230" customWidth="1"/>
    <col min="8467" max="8467" width="10.125" style="230" customWidth="1"/>
    <col min="8468" max="8468" width="11.375" style="230" bestFit="1" customWidth="1"/>
    <col min="8469" max="8469" width="5.5" style="230" customWidth="1"/>
    <col min="8470" max="8470" width="10.5" style="230" customWidth="1"/>
    <col min="8471" max="8471" width="3.375" style="230" customWidth="1"/>
    <col min="8472" max="8472" width="9" style="230" customWidth="1"/>
    <col min="8473" max="8473" width="13.5" style="230" customWidth="1"/>
    <col min="8474" max="8474" width="8.5" style="230" customWidth="1"/>
    <col min="8475" max="8475" width="10.125" style="230" customWidth="1"/>
    <col min="8476" max="8476" width="10.375" style="230" customWidth="1"/>
    <col min="8477" max="8477" width="9.5" style="230" customWidth="1"/>
    <col min="8478" max="8478" width="8.5" style="230" customWidth="1"/>
    <col min="8479" max="8479" width="14.125" style="230" bestFit="1" customWidth="1"/>
    <col min="8480" max="8480" width="8.5" style="230" customWidth="1"/>
    <col min="8481" max="8481" width="9.125" style="230" customWidth="1"/>
    <col min="8482" max="8482" width="13.125" style="230" customWidth="1"/>
    <col min="8483" max="8704" width="9" style="230"/>
    <col min="8705" max="8705" width="1" style="230" customWidth="1"/>
    <col min="8706" max="8706" width="5.125" style="230" customWidth="1"/>
    <col min="8707" max="8707" width="6.25" style="230" customWidth="1"/>
    <col min="8708" max="8708" width="14.375" style="230" customWidth="1"/>
    <col min="8709" max="8709" width="2.5" style="230" customWidth="1"/>
    <col min="8710" max="8710" width="8.75" style="230" customWidth="1"/>
    <col min="8711" max="8711" width="5.5" style="230" customWidth="1"/>
    <col min="8712" max="8712" width="11.375" style="230" customWidth="1"/>
    <col min="8713" max="8713" width="5.5" style="230" customWidth="1"/>
    <col min="8714" max="8714" width="11.375" style="230" customWidth="1"/>
    <col min="8715" max="8715" width="2.5" style="230" customWidth="1"/>
    <col min="8716" max="8716" width="8.75" style="230" customWidth="1"/>
    <col min="8717" max="8717" width="2.5" style="230" customWidth="1"/>
    <col min="8718" max="8718" width="8.75" style="230" customWidth="1"/>
    <col min="8719" max="8719" width="2.5" style="230" customWidth="1"/>
    <col min="8720" max="8722" width="8.75" style="230" customWidth="1"/>
    <col min="8723" max="8723" width="10.125" style="230" customWidth="1"/>
    <col min="8724" max="8724" width="11.375" style="230" bestFit="1" customWidth="1"/>
    <col min="8725" max="8725" width="5.5" style="230" customWidth="1"/>
    <col min="8726" max="8726" width="10.5" style="230" customWidth="1"/>
    <col min="8727" max="8727" width="3.375" style="230" customWidth="1"/>
    <col min="8728" max="8728" width="9" style="230" customWidth="1"/>
    <col min="8729" max="8729" width="13.5" style="230" customWidth="1"/>
    <col min="8730" max="8730" width="8.5" style="230" customWidth="1"/>
    <col min="8731" max="8731" width="10.125" style="230" customWidth="1"/>
    <col min="8732" max="8732" width="10.375" style="230" customWidth="1"/>
    <col min="8733" max="8733" width="9.5" style="230" customWidth="1"/>
    <col min="8734" max="8734" width="8.5" style="230" customWidth="1"/>
    <col min="8735" max="8735" width="14.125" style="230" bestFit="1" customWidth="1"/>
    <col min="8736" max="8736" width="8.5" style="230" customWidth="1"/>
    <col min="8737" max="8737" width="9.125" style="230" customWidth="1"/>
    <col min="8738" max="8738" width="13.125" style="230" customWidth="1"/>
    <col min="8739" max="8960" width="9" style="230"/>
    <col min="8961" max="8961" width="1" style="230" customWidth="1"/>
    <col min="8962" max="8962" width="5.125" style="230" customWidth="1"/>
    <col min="8963" max="8963" width="6.25" style="230" customWidth="1"/>
    <col min="8964" max="8964" width="14.375" style="230" customWidth="1"/>
    <col min="8965" max="8965" width="2.5" style="230" customWidth="1"/>
    <col min="8966" max="8966" width="8.75" style="230" customWidth="1"/>
    <col min="8967" max="8967" width="5.5" style="230" customWidth="1"/>
    <col min="8968" max="8968" width="11.375" style="230" customWidth="1"/>
    <col min="8969" max="8969" width="5.5" style="230" customWidth="1"/>
    <col min="8970" max="8970" width="11.375" style="230" customWidth="1"/>
    <col min="8971" max="8971" width="2.5" style="230" customWidth="1"/>
    <col min="8972" max="8972" width="8.75" style="230" customWidth="1"/>
    <col min="8973" max="8973" width="2.5" style="230" customWidth="1"/>
    <col min="8974" max="8974" width="8.75" style="230" customWidth="1"/>
    <col min="8975" max="8975" width="2.5" style="230" customWidth="1"/>
    <col min="8976" max="8978" width="8.75" style="230" customWidth="1"/>
    <col min="8979" max="8979" width="10.125" style="230" customWidth="1"/>
    <col min="8980" max="8980" width="11.375" style="230" bestFit="1" customWidth="1"/>
    <col min="8981" max="8981" width="5.5" style="230" customWidth="1"/>
    <col min="8982" max="8982" width="10.5" style="230" customWidth="1"/>
    <col min="8983" max="8983" width="3.375" style="230" customWidth="1"/>
    <col min="8984" max="8984" width="9" style="230" customWidth="1"/>
    <col min="8985" max="8985" width="13.5" style="230" customWidth="1"/>
    <col min="8986" max="8986" width="8.5" style="230" customWidth="1"/>
    <col min="8987" max="8987" width="10.125" style="230" customWidth="1"/>
    <col min="8988" max="8988" width="10.375" style="230" customWidth="1"/>
    <col min="8989" max="8989" width="9.5" style="230" customWidth="1"/>
    <col min="8990" max="8990" width="8.5" style="230" customWidth="1"/>
    <col min="8991" max="8991" width="14.125" style="230" bestFit="1" customWidth="1"/>
    <col min="8992" max="8992" width="8.5" style="230" customWidth="1"/>
    <col min="8993" max="8993" width="9.125" style="230" customWidth="1"/>
    <col min="8994" max="8994" width="13.125" style="230" customWidth="1"/>
    <col min="8995" max="9216" width="9" style="230"/>
    <col min="9217" max="9217" width="1" style="230" customWidth="1"/>
    <col min="9218" max="9218" width="5.125" style="230" customWidth="1"/>
    <col min="9219" max="9219" width="6.25" style="230" customWidth="1"/>
    <col min="9220" max="9220" width="14.375" style="230" customWidth="1"/>
    <col min="9221" max="9221" width="2.5" style="230" customWidth="1"/>
    <col min="9222" max="9222" width="8.75" style="230" customWidth="1"/>
    <col min="9223" max="9223" width="5.5" style="230" customWidth="1"/>
    <col min="9224" max="9224" width="11.375" style="230" customWidth="1"/>
    <col min="9225" max="9225" width="5.5" style="230" customWidth="1"/>
    <col min="9226" max="9226" width="11.375" style="230" customWidth="1"/>
    <col min="9227" max="9227" width="2.5" style="230" customWidth="1"/>
    <col min="9228" max="9228" width="8.75" style="230" customWidth="1"/>
    <col min="9229" max="9229" width="2.5" style="230" customWidth="1"/>
    <col min="9230" max="9230" width="8.75" style="230" customWidth="1"/>
    <col min="9231" max="9231" width="2.5" style="230" customWidth="1"/>
    <col min="9232" max="9234" width="8.75" style="230" customWidth="1"/>
    <col min="9235" max="9235" width="10.125" style="230" customWidth="1"/>
    <col min="9236" max="9236" width="11.375" style="230" bestFit="1" customWidth="1"/>
    <col min="9237" max="9237" width="5.5" style="230" customWidth="1"/>
    <col min="9238" max="9238" width="10.5" style="230" customWidth="1"/>
    <col min="9239" max="9239" width="3.375" style="230" customWidth="1"/>
    <col min="9240" max="9240" width="9" style="230" customWidth="1"/>
    <col min="9241" max="9241" width="13.5" style="230" customWidth="1"/>
    <col min="9242" max="9242" width="8.5" style="230" customWidth="1"/>
    <col min="9243" max="9243" width="10.125" style="230" customWidth="1"/>
    <col min="9244" max="9244" width="10.375" style="230" customWidth="1"/>
    <col min="9245" max="9245" width="9.5" style="230" customWidth="1"/>
    <col min="9246" max="9246" width="8.5" style="230" customWidth="1"/>
    <col min="9247" max="9247" width="14.125" style="230" bestFit="1" customWidth="1"/>
    <col min="9248" max="9248" width="8.5" style="230" customWidth="1"/>
    <col min="9249" max="9249" width="9.125" style="230" customWidth="1"/>
    <col min="9250" max="9250" width="13.125" style="230" customWidth="1"/>
    <col min="9251" max="9472" width="9" style="230"/>
    <col min="9473" max="9473" width="1" style="230" customWidth="1"/>
    <col min="9474" max="9474" width="5.125" style="230" customWidth="1"/>
    <col min="9475" max="9475" width="6.25" style="230" customWidth="1"/>
    <col min="9476" max="9476" width="14.375" style="230" customWidth="1"/>
    <col min="9477" max="9477" width="2.5" style="230" customWidth="1"/>
    <col min="9478" max="9478" width="8.75" style="230" customWidth="1"/>
    <col min="9479" max="9479" width="5.5" style="230" customWidth="1"/>
    <col min="9480" max="9480" width="11.375" style="230" customWidth="1"/>
    <col min="9481" max="9481" width="5.5" style="230" customWidth="1"/>
    <col min="9482" max="9482" width="11.375" style="230" customWidth="1"/>
    <col min="9483" max="9483" width="2.5" style="230" customWidth="1"/>
    <col min="9484" max="9484" width="8.75" style="230" customWidth="1"/>
    <col min="9485" max="9485" width="2.5" style="230" customWidth="1"/>
    <col min="9486" max="9486" width="8.75" style="230" customWidth="1"/>
    <col min="9487" max="9487" width="2.5" style="230" customWidth="1"/>
    <col min="9488" max="9490" width="8.75" style="230" customWidth="1"/>
    <col min="9491" max="9491" width="10.125" style="230" customWidth="1"/>
    <col min="9492" max="9492" width="11.375" style="230" bestFit="1" customWidth="1"/>
    <col min="9493" max="9493" width="5.5" style="230" customWidth="1"/>
    <col min="9494" max="9494" width="10.5" style="230" customWidth="1"/>
    <col min="9495" max="9495" width="3.375" style="230" customWidth="1"/>
    <col min="9496" max="9496" width="9" style="230" customWidth="1"/>
    <col min="9497" max="9497" width="13.5" style="230" customWidth="1"/>
    <col min="9498" max="9498" width="8.5" style="230" customWidth="1"/>
    <col min="9499" max="9499" width="10.125" style="230" customWidth="1"/>
    <col min="9500" max="9500" width="10.375" style="230" customWidth="1"/>
    <col min="9501" max="9501" width="9.5" style="230" customWidth="1"/>
    <col min="9502" max="9502" width="8.5" style="230" customWidth="1"/>
    <col min="9503" max="9503" width="14.125" style="230" bestFit="1" customWidth="1"/>
    <col min="9504" max="9504" width="8.5" style="230" customWidth="1"/>
    <col min="9505" max="9505" width="9.125" style="230" customWidth="1"/>
    <col min="9506" max="9506" width="13.125" style="230" customWidth="1"/>
    <col min="9507" max="9728" width="9" style="230"/>
    <col min="9729" max="9729" width="1" style="230" customWidth="1"/>
    <col min="9730" max="9730" width="5.125" style="230" customWidth="1"/>
    <col min="9731" max="9731" width="6.25" style="230" customWidth="1"/>
    <col min="9732" max="9732" width="14.375" style="230" customWidth="1"/>
    <col min="9733" max="9733" width="2.5" style="230" customWidth="1"/>
    <col min="9734" max="9734" width="8.75" style="230" customWidth="1"/>
    <col min="9735" max="9735" width="5.5" style="230" customWidth="1"/>
    <col min="9736" max="9736" width="11.375" style="230" customWidth="1"/>
    <col min="9737" max="9737" width="5.5" style="230" customWidth="1"/>
    <col min="9738" max="9738" width="11.375" style="230" customWidth="1"/>
    <col min="9739" max="9739" width="2.5" style="230" customWidth="1"/>
    <col min="9740" max="9740" width="8.75" style="230" customWidth="1"/>
    <col min="9741" max="9741" width="2.5" style="230" customWidth="1"/>
    <col min="9742" max="9742" width="8.75" style="230" customWidth="1"/>
    <col min="9743" max="9743" width="2.5" style="230" customWidth="1"/>
    <col min="9744" max="9746" width="8.75" style="230" customWidth="1"/>
    <col min="9747" max="9747" width="10.125" style="230" customWidth="1"/>
    <col min="9748" max="9748" width="11.375" style="230" bestFit="1" customWidth="1"/>
    <col min="9749" max="9749" width="5.5" style="230" customWidth="1"/>
    <col min="9750" max="9750" width="10.5" style="230" customWidth="1"/>
    <col min="9751" max="9751" width="3.375" style="230" customWidth="1"/>
    <col min="9752" max="9752" width="9" style="230" customWidth="1"/>
    <col min="9753" max="9753" width="13.5" style="230" customWidth="1"/>
    <col min="9754" max="9754" width="8.5" style="230" customWidth="1"/>
    <col min="9755" max="9755" width="10.125" style="230" customWidth="1"/>
    <col min="9756" max="9756" width="10.375" style="230" customWidth="1"/>
    <col min="9757" max="9757" width="9.5" style="230" customWidth="1"/>
    <col min="9758" max="9758" width="8.5" style="230" customWidth="1"/>
    <col min="9759" max="9759" width="14.125" style="230" bestFit="1" customWidth="1"/>
    <col min="9760" max="9760" width="8.5" style="230" customWidth="1"/>
    <col min="9761" max="9761" width="9.125" style="230" customWidth="1"/>
    <col min="9762" max="9762" width="13.125" style="230" customWidth="1"/>
    <col min="9763" max="9984" width="9" style="230"/>
    <col min="9985" max="9985" width="1" style="230" customWidth="1"/>
    <col min="9986" max="9986" width="5.125" style="230" customWidth="1"/>
    <col min="9987" max="9987" width="6.25" style="230" customWidth="1"/>
    <col min="9988" max="9988" width="14.375" style="230" customWidth="1"/>
    <col min="9989" max="9989" width="2.5" style="230" customWidth="1"/>
    <col min="9990" max="9990" width="8.75" style="230" customWidth="1"/>
    <col min="9991" max="9991" width="5.5" style="230" customWidth="1"/>
    <col min="9992" max="9992" width="11.375" style="230" customWidth="1"/>
    <col min="9993" max="9993" width="5.5" style="230" customWidth="1"/>
    <col min="9994" max="9994" width="11.375" style="230" customWidth="1"/>
    <col min="9995" max="9995" width="2.5" style="230" customWidth="1"/>
    <col min="9996" max="9996" width="8.75" style="230" customWidth="1"/>
    <col min="9997" max="9997" width="2.5" style="230" customWidth="1"/>
    <col min="9998" max="9998" width="8.75" style="230" customWidth="1"/>
    <col min="9999" max="9999" width="2.5" style="230" customWidth="1"/>
    <col min="10000" max="10002" width="8.75" style="230" customWidth="1"/>
    <col min="10003" max="10003" width="10.125" style="230" customWidth="1"/>
    <col min="10004" max="10004" width="11.375" style="230" bestFit="1" customWidth="1"/>
    <col min="10005" max="10005" width="5.5" style="230" customWidth="1"/>
    <col min="10006" max="10006" width="10.5" style="230" customWidth="1"/>
    <col min="10007" max="10007" width="3.375" style="230" customWidth="1"/>
    <col min="10008" max="10008" width="9" style="230" customWidth="1"/>
    <col min="10009" max="10009" width="13.5" style="230" customWidth="1"/>
    <col min="10010" max="10010" width="8.5" style="230" customWidth="1"/>
    <col min="10011" max="10011" width="10.125" style="230" customWidth="1"/>
    <col min="10012" max="10012" width="10.375" style="230" customWidth="1"/>
    <col min="10013" max="10013" width="9.5" style="230" customWidth="1"/>
    <col min="10014" max="10014" width="8.5" style="230" customWidth="1"/>
    <col min="10015" max="10015" width="14.125" style="230" bestFit="1" customWidth="1"/>
    <col min="10016" max="10016" width="8.5" style="230" customWidth="1"/>
    <col min="10017" max="10017" width="9.125" style="230" customWidth="1"/>
    <col min="10018" max="10018" width="13.125" style="230" customWidth="1"/>
    <col min="10019" max="10240" width="9" style="230"/>
    <col min="10241" max="10241" width="1" style="230" customWidth="1"/>
    <col min="10242" max="10242" width="5.125" style="230" customWidth="1"/>
    <col min="10243" max="10243" width="6.25" style="230" customWidth="1"/>
    <col min="10244" max="10244" width="14.375" style="230" customWidth="1"/>
    <col min="10245" max="10245" width="2.5" style="230" customWidth="1"/>
    <col min="10246" max="10246" width="8.75" style="230" customWidth="1"/>
    <col min="10247" max="10247" width="5.5" style="230" customWidth="1"/>
    <col min="10248" max="10248" width="11.375" style="230" customWidth="1"/>
    <col min="10249" max="10249" width="5.5" style="230" customWidth="1"/>
    <col min="10250" max="10250" width="11.375" style="230" customWidth="1"/>
    <col min="10251" max="10251" width="2.5" style="230" customWidth="1"/>
    <col min="10252" max="10252" width="8.75" style="230" customWidth="1"/>
    <col min="10253" max="10253" width="2.5" style="230" customWidth="1"/>
    <col min="10254" max="10254" width="8.75" style="230" customWidth="1"/>
    <col min="10255" max="10255" width="2.5" style="230" customWidth="1"/>
    <col min="10256" max="10258" width="8.75" style="230" customWidth="1"/>
    <col min="10259" max="10259" width="10.125" style="230" customWidth="1"/>
    <col min="10260" max="10260" width="11.375" style="230" bestFit="1" customWidth="1"/>
    <col min="10261" max="10261" width="5.5" style="230" customWidth="1"/>
    <col min="10262" max="10262" width="10.5" style="230" customWidth="1"/>
    <col min="10263" max="10263" width="3.375" style="230" customWidth="1"/>
    <col min="10264" max="10264" width="9" style="230" customWidth="1"/>
    <col min="10265" max="10265" width="13.5" style="230" customWidth="1"/>
    <col min="10266" max="10266" width="8.5" style="230" customWidth="1"/>
    <col min="10267" max="10267" width="10.125" style="230" customWidth="1"/>
    <col min="10268" max="10268" width="10.375" style="230" customWidth="1"/>
    <col min="10269" max="10269" width="9.5" style="230" customWidth="1"/>
    <col min="10270" max="10270" width="8.5" style="230" customWidth="1"/>
    <col min="10271" max="10271" width="14.125" style="230" bestFit="1" customWidth="1"/>
    <col min="10272" max="10272" width="8.5" style="230" customWidth="1"/>
    <col min="10273" max="10273" width="9.125" style="230" customWidth="1"/>
    <col min="10274" max="10274" width="13.125" style="230" customWidth="1"/>
    <col min="10275" max="10496" width="9" style="230"/>
    <col min="10497" max="10497" width="1" style="230" customWidth="1"/>
    <col min="10498" max="10498" width="5.125" style="230" customWidth="1"/>
    <col min="10499" max="10499" width="6.25" style="230" customWidth="1"/>
    <col min="10500" max="10500" width="14.375" style="230" customWidth="1"/>
    <col min="10501" max="10501" width="2.5" style="230" customWidth="1"/>
    <col min="10502" max="10502" width="8.75" style="230" customWidth="1"/>
    <col min="10503" max="10503" width="5.5" style="230" customWidth="1"/>
    <col min="10504" max="10504" width="11.375" style="230" customWidth="1"/>
    <col min="10505" max="10505" width="5.5" style="230" customWidth="1"/>
    <col min="10506" max="10506" width="11.375" style="230" customWidth="1"/>
    <col min="10507" max="10507" width="2.5" style="230" customWidth="1"/>
    <col min="10508" max="10508" width="8.75" style="230" customWidth="1"/>
    <col min="10509" max="10509" width="2.5" style="230" customWidth="1"/>
    <col min="10510" max="10510" width="8.75" style="230" customWidth="1"/>
    <col min="10511" max="10511" width="2.5" style="230" customWidth="1"/>
    <col min="10512" max="10514" width="8.75" style="230" customWidth="1"/>
    <col min="10515" max="10515" width="10.125" style="230" customWidth="1"/>
    <col min="10516" max="10516" width="11.375" style="230" bestFit="1" customWidth="1"/>
    <col min="10517" max="10517" width="5.5" style="230" customWidth="1"/>
    <col min="10518" max="10518" width="10.5" style="230" customWidth="1"/>
    <col min="10519" max="10519" width="3.375" style="230" customWidth="1"/>
    <col min="10520" max="10520" width="9" style="230" customWidth="1"/>
    <col min="10521" max="10521" width="13.5" style="230" customWidth="1"/>
    <col min="10522" max="10522" width="8.5" style="230" customWidth="1"/>
    <col min="10523" max="10523" width="10.125" style="230" customWidth="1"/>
    <col min="10524" max="10524" width="10.375" style="230" customWidth="1"/>
    <col min="10525" max="10525" width="9.5" style="230" customWidth="1"/>
    <col min="10526" max="10526" width="8.5" style="230" customWidth="1"/>
    <col min="10527" max="10527" width="14.125" style="230" bestFit="1" customWidth="1"/>
    <col min="10528" max="10528" width="8.5" style="230" customWidth="1"/>
    <col min="10529" max="10529" width="9.125" style="230" customWidth="1"/>
    <col min="10530" max="10530" width="13.125" style="230" customWidth="1"/>
    <col min="10531" max="10752" width="9" style="230"/>
    <col min="10753" max="10753" width="1" style="230" customWidth="1"/>
    <col min="10754" max="10754" width="5.125" style="230" customWidth="1"/>
    <col min="10755" max="10755" width="6.25" style="230" customWidth="1"/>
    <col min="10756" max="10756" width="14.375" style="230" customWidth="1"/>
    <col min="10757" max="10757" width="2.5" style="230" customWidth="1"/>
    <col min="10758" max="10758" width="8.75" style="230" customWidth="1"/>
    <col min="10759" max="10759" width="5.5" style="230" customWidth="1"/>
    <col min="10760" max="10760" width="11.375" style="230" customWidth="1"/>
    <col min="10761" max="10761" width="5.5" style="230" customWidth="1"/>
    <col min="10762" max="10762" width="11.375" style="230" customWidth="1"/>
    <col min="10763" max="10763" width="2.5" style="230" customWidth="1"/>
    <col min="10764" max="10764" width="8.75" style="230" customWidth="1"/>
    <col min="10765" max="10765" width="2.5" style="230" customWidth="1"/>
    <col min="10766" max="10766" width="8.75" style="230" customWidth="1"/>
    <col min="10767" max="10767" width="2.5" style="230" customWidth="1"/>
    <col min="10768" max="10770" width="8.75" style="230" customWidth="1"/>
    <col min="10771" max="10771" width="10.125" style="230" customWidth="1"/>
    <col min="10772" max="10772" width="11.375" style="230" bestFit="1" customWidth="1"/>
    <col min="10773" max="10773" width="5.5" style="230" customWidth="1"/>
    <col min="10774" max="10774" width="10.5" style="230" customWidth="1"/>
    <col min="10775" max="10775" width="3.375" style="230" customWidth="1"/>
    <col min="10776" max="10776" width="9" style="230" customWidth="1"/>
    <col min="10777" max="10777" width="13.5" style="230" customWidth="1"/>
    <col min="10778" max="10778" width="8.5" style="230" customWidth="1"/>
    <col min="10779" max="10779" width="10.125" style="230" customWidth="1"/>
    <col min="10780" max="10780" width="10.375" style="230" customWidth="1"/>
    <col min="10781" max="10781" width="9.5" style="230" customWidth="1"/>
    <col min="10782" max="10782" width="8.5" style="230" customWidth="1"/>
    <col min="10783" max="10783" width="14.125" style="230" bestFit="1" customWidth="1"/>
    <col min="10784" max="10784" width="8.5" style="230" customWidth="1"/>
    <col min="10785" max="10785" width="9.125" style="230" customWidth="1"/>
    <col min="10786" max="10786" width="13.125" style="230" customWidth="1"/>
    <col min="10787" max="11008" width="9" style="230"/>
    <col min="11009" max="11009" width="1" style="230" customWidth="1"/>
    <col min="11010" max="11010" width="5.125" style="230" customWidth="1"/>
    <col min="11011" max="11011" width="6.25" style="230" customWidth="1"/>
    <col min="11012" max="11012" width="14.375" style="230" customWidth="1"/>
    <col min="11013" max="11013" width="2.5" style="230" customWidth="1"/>
    <col min="11014" max="11014" width="8.75" style="230" customWidth="1"/>
    <col min="11015" max="11015" width="5.5" style="230" customWidth="1"/>
    <col min="11016" max="11016" width="11.375" style="230" customWidth="1"/>
    <col min="11017" max="11017" width="5.5" style="230" customWidth="1"/>
    <col min="11018" max="11018" width="11.375" style="230" customWidth="1"/>
    <col min="11019" max="11019" width="2.5" style="230" customWidth="1"/>
    <col min="11020" max="11020" width="8.75" style="230" customWidth="1"/>
    <col min="11021" max="11021" width="2.5" style="230" customWidth="1"/>
    <col min="11022" max="11022" width="8.75" style="230" customWidth="1"/>
    <col min="11023" max="11023" width="2.5" style="230" customWidth="1"/>
    <col min="11024" max="11026" width="8.75" style="230" customWidth="1"/>
    <col min="11027" max="11027" width="10.125" style="230" customWidth="1"/>
    <col min="11028" max="11028" width="11.375" style="230" bestFit="1" customWidth="1"/>
    <col min="11029" max="11029" width="5.5" style="230" customWidth="1"/>
    <col min="11030" max="11030" width="10.5" style="230" customWidth="1"/>
    <col min="11031" max="11031" width="3.375" style="230" customWidth="1"/>
    <col min="11032" max="11032" width="9" style="230" customWidth="1"/>
    <col min="11033" max="11033" width="13.5" style="230" customWidth="1"/>
    <col min="11034" max="11034" width="8.5" style="230" customWidth="1"/>
    <col min="11035" max="11035" width="10.125" style="230" customWidth="1"/>
    <col min="11036" max="11036" width="10.375" style="230" customWidth="1"/>
    <col min="11037" max="11037" width="9.5" style="230" customWidth="1"/>
    <col min="11038" max="11038" width="8.5" style="230" customWidth="1"/>
    <col min="11039" max="11039" width="14.125" style="230" bestFit="1" customWidth="1"/>
    <col min="11040" max="11040" width="8.5" style="230" customWidth="1"/>
    <col min="11041" max="11041" width="9.125" style="230" customWidth="1"/>
    <col min="11042" max="11042" width="13.125" style="230" customWidth="1"/>
    <col min="11043" max="11264" width="9" style="230"/>
    <col min="11265" max="11265" width="1" style="230" customWidth="1"/>
    <col min="11266" max="11266" width="5.125" style="230" customWidth="1"/>
    <col min="11267" max="11267" width="6.25" style="230" customWidth="1"/>
    <col min="11268" max="11268" width="14.375" style="230" customWidth="1"/>
    <col min="11269" max="11269" width="2.5" style="230" customWidth="1"/>
    <col min="11270" max="11270" width="8.75" style="230" customWidth="1"/>
    <col min="11271" max="11271" width="5.5" style="230" customWidth="1"/>
    <col min="11272" max="11272" width="11.375" style="230" customWidth="1"/>
    <col min="11273" max="11273" width="5.5" style="230" customWidth="1"/>
    <col min="11274" max="11274" width="11.375" style="230" customWidth="1"/>
    <col min="11275" max="11275" width="2.5" style="230" customWidth="1"/>
    <col min="11276" max="11276" width="8.75" style="230" customWidth="1"/>
    <col min="11277" max="11277" width="2.5" style="230" customWidth="1"/>
    <col min="11278" max="11278" width="8.75" style="230" customWidth="1"/>
    <col min="11279" max="11279" width="2.5" style="230" customWidth="1"/>
    <col min="11280" max="11282" width="8.75" style="230" customWidth="1"/>
    <col min="11283" max="11283" width="10.125" style="230" customWidth="1"/>
    <col min="11284" max="11284" width="11.375" style="230" bestFit="1" customWidth="1"/>
    <col min="11285" max="11285" width="5.5" style="230" customWidth="1"/>
    <col min="11286" max="11286" width="10.5" style="230" customWidth="1"/>
    <col min="11287" max="11287" width="3.375" style="230" customWidth="1"/>
    <col min="11288" max="11288" width="9" style="230" customWidth="1"/>
    <col min="11289" max="11289" width="13.5" style="230" customWidth="1"/>
    <col min="11290" max="11290" width="8.5" style="230" customWidth="1"/>
    <col min="11291" max="11291" width="10.125" style="230" customWidth="1"/>
    <col min="11292" max="11292" width="10.375" style="230" customWidth="1"/>
    <col min="11293" max="11293" width="9.5" style="230" customWidth="1"/>
    <col min="11294" max="11294" width="8.5" style="230" customWidth="1"/>
    <col min="11295" max="11295" width="14.125" style="230" bestFit="1" customWidth="1"/>
    <col min="11296" max="11296" width="8.5" style="230" customWidth="1"/>
    <col min="11297" max="11297" width="9.125" style="230" customWidth="1"/>
    <col min="11298" max="11298" width="13.125" style="230" customWidth="1"/>
    <col min="11299" max="11520" width="9" style="230"/>
    <col min="11521" max="11521" width="1" style="230" customWidth="1"/>
    <col min="11522" max="11522" width="5.125" style="230" customWidth="1"/>
    <col min="11523" max="11523" width="6.25" style="230" customWidth="1"/>
    <col min="11524" max="11524" width="14.375" style="230" customWidth="1"/>
    <col min="11525" max="11525" width="2.5" style="230" customWidth="1"/>
    <col min="11526" max="11526" width="8.75" style="230" customWidth="1"/>
    <col min="11527" max="11527" width="5.5" style="230" customWidth="1"/>
    <col min="11528" max="11528" width="11.375" style="230" customWidth="1"/>
    <col min="11529" max="11529" width="5.5" style="230" customWidth="1"/>
    <col min="11530" max="11530" width="11.375" style="230" customWidth="1"/>
    <col min="11531" max="11531" width="2.5" style="230" customWidth="1"/>
    <col min="11532" max="11532" width="8.75" style="230" customWidth="1"/>
    <col min="11533" max="11533" width="2.5" style="230" customWidth="1"/>
    <col min="11534" max="11534" width="8.75" style="230" customWidth="1"/>
    <col min="11535" max="11535" width="2.5" style="230" customWidth="1"/>
    <col min="11536" max="11538" width="8.75" style="230" customWidth="1"/>
    <col min="11539" max="11539" width="10.125" style="230" customWidth="1"/>
    <col min="11540" max="11540" width="11.375" style="230" bestFit="1" customWidth="1"/>
    <col min="11541" max="11541" width="5.5" style="230" customWidth="1"/>
    <col min="11542" max="11542" width="10.5" style="230" customWidth="1"/>
    <col min="11543" max="11543" width="3.375" style="230" customWidth="1"/>
    <col min="11544" max="11544" width="9" style="230" customWidth="1"/>
    <col min="11545" max="11545" width="13.5" style="230" customWidth="1"/>
    <col min="11546" max="11546" width="8.5" style="230" customWidth="1"/>
    <col min="11547" max="11547" width="10.125" style="230" customWidth="1"/>
    <col min="11548" max="11548" width="10.375" style="230" customWidth="1"/>
    <col min="11549" max="11549" width="9.5" style="230" customWidth="1"/>
    <col min="11550" max="11550" width="8.5" style="230" customWidth="1"/>
    <col min="11551" max="11551" width="14.125" style="230" bestFit="1" customWidth="1"/>
    <col min="11552" max="11552" width="8.5" style="230" customWidth="1"/>
    <col min="11553" max="11553" width="9.125" style="230" customWidth="1"/>
    <col min="11554" max="11554" width="13.125" style="230" customWidth="1"/>
    <col min="11555" max="11776" width="9" style="230"/>
    <col min="11777" max="11777" width="1" style="230" customWidth="1"/>
    <col min="11778" max="11778" width="5.125" style="230" customWidth="1"/>
    <col min="11779" max="11779" width="6.25" style="230" customWidth="1"/>
    <col min="11780" max="11780" width="14.375" style="230" customWidth="1"/>
    <col min="11781" max="11781" width="2.5" style="230" customWidth="1"/>
    <col min="11782" max="11782" width="8.75" style="230" customWidth="1"/>
    <col min="11783" max="11783" width="5.5" style="230" customWidth="1"/>
    <col min="11784" max="11784" width="11.375" style="230" customWidth="1"/>
    <col min="11785" max="11785" width="5.5" style="230" customWidth="1"/>
    <col min="11786" max="11786" width="11.375" style="230" customWidth="1"/>
    <col min="11787" max="11787" width="2.5" style="230" customWidth="1"/>
    <col min="11788" max="11788" width="8.75" style="230" customWidth="1"/>
    <col min="11789" max="11789" width="2.5" style="230" customWidth="1"/>
    <col min="11790" max="11790" width="8.75" style="230" customWidth="1"/>
    <col min="11791" max="11791" width="2.5" style="230" customWidth="1"/>
    <col min="11792" max="11794" width="8.75" style="230" customWidth="1"/>
    <col min="11795" max="11795" width="10.125" style="230" customWidth="1"/>
    <col min="11796" max="11796" width="11.375" style="230" bestFit="1" customWidth="1"/>
    <col min="11797" max="11797" width="5.5" style="230" customWidth="1"/>
    <col min="11798" max="11798" width="10.5" style="230" customWidth="1"/>
    <col min="11799" max="11799" width="3.375" style="230" customWidth="1"/>
    <col min="11800" max="11800" width="9" style="230" customWidth="1"/>
    <col min="11801" max="11801" width="13.5" style="230" customWidth="1"/>
    <col min="11802" max="11802" width="8.5" style="230" customWidth="1"/>
    <col min="11803" max="11803" width="10.125" style="230" customWidth="1"/>
    <col min="11804" max="11804" width="10.375" style="230" customWidth="1"/>
    <col min="11805" max="11805" width="9.5" style="230" customWidth="1"/>
    <col min="11806" max="11806" width="8.5" style="230" customWidth="1"/>
    <col min="11807" max="11807" width="14.125" style="230" bestFit="1" customWidth="1"/>
    <col min="11808" max="11808" width="8.5" style="230" customWidth="1"/>
    <col min="11809" max="11809" width="9.125" style="230" customWidth="1"/>
    <col min="11810" max="11810" width="13.125" style="230" customWidth="1"/>
    <col min="11811" max="12032" width="9" style="230"/>
    <col min="12033" max="12033" width="1" style="230" customWidth="1"/>
    <col min="12034" max="12034" width="5.125" style="230" customWidth="1"/>
    <col min="12035" max="12035" width="6.25" style="230" customWidth="1"/>
    <col min="12036" max="12036" width="14.375" style="230" customWidth="1"/>
    <col min="12037" max="12037" width="2.5" style="230" customWidth="1"/>
    <col min="12038" max="12038" width="8.75" style="230" customWidth="1"/>
    <col min="12039" max="12039" width="5.5" style="230" customWidth="1"/>
    <col min="12040" max="12040" width="11.375" style="230" customWidth="1"/>
    <col min="12041" max="12041" width="5.5" style="230" customWidth="1"/>
    <col min="12042" max="12042" width="11.375" style="230" customWidth="1"/>
    <col min="12043" max="12043" width="2.5" style="230" customWidth="1"/>
    <col min="12044" max="12044" width="8.75" style="230" customWidth="1"/>
    <col min="12045" max="12045" width="2.5" style="230" customWidth="1"/>
    <col min="12046" max="12046" width="8.75" style="230" customWidth="1"/>
    <col min="12047" max="12047" width="2.5" style="230" customWidth="1"/>
    <col min="12048" max="12050" width="8.75" style="230" customWidth="1"/>
    <col min="12051" max="12051" width="10.125" style="230" customWidth="1"/>
    <col min="12052" max="12052" width="11.375" style="230" bestFit="1" customWidth="1"/>
    <col min="12053" max="12053" width="5.5" style="230" customWidth="1"/>
    <col min="12054" max="12054" width="10.5" style="230" customWidth="1"/>
    <col min="12055" max="12055" width="3.375" style="230" customWidth="1"/>
    <col min="12056" max="12056" width="9" style="230" customWidth="1"/>
    <col min="12057" max="12057" width="13.5" style="230" customWidth="1"/>
    <col min="12058" max="12058" width="8.5" style="230" customWidth="1"/>
    <col min="12059" max="12059" width="10.125" style="230" customWidth="1"/>
    <col min="12060" max="12060" width="10.375" style="230" customWidth="1"/>
    <col min="12061" max="12061" width="9.5" style="230" customWidth="1"/>
    <col min="12062" max="12062" width="8.5" style="230" customWidth="1"/>
    <col min="12063" max="12063" width="14.125" style="230" bestFit="1" customWidth="1"/>
    <col min="12064" max="12064" width="8.5" style="230" customWidth="1"/>
    <col min="12065" max="12065" width="9.125" style="230" customWidth="1"/>
    <col min="12066" max="12066" width="13.125" style="230" customWidth="1"/>
    <col min="12067" max="12288" width="9" style="230"/>
    <col min="12289" max="12289" width="1" style="230" customWidth="1"/>
    <col min="12290" max="12290" width="5.125" style="230" customWidth="1"/>
    <col min="12291" max="12291" width="6.25" style="230" customWidth="1"/>
    <col min="12292" max="12292" width="14.375" style="230" customWidth="1"/>
    <col min="12293" max="12293" width="2.5" style="230" customWidth="1"/>
    <col min="12294" max="12294" width="8.75" style="230" customWidth="1"/>
    <col min="12295" max="12295" width="5.5" style="230" customWidth="1"/>
    <col min="12296" max="12296" width="11.375" style="230" customWidth="1"/>
    <col min="12297" max="12297" width="5.5" style="230" customWidth="1"/>
    <col min="12298" max="12298" width="11.375" style="230" customWidth="1"/>
    <col min="12299" max="12299" width="2.5" style="230" customWidth="1"/>
    <col min="12300" max="12300" width="8.75" style="230" customWidth="1"/>
    <col min="12301" max="12301" width="2.5" style="230" customWidth="1"/>
    <col min="12302" max="12302" width="8.75" style="230" customWidth="1"/>
    <col min="12303" max="12303" width="2.5" style="230" customWidth="1"/>
    <col min="12304" max="12306" width="8.75" style="230" customWidth="1"/>
    <col min="12307" max="12307" width="10.125" style="230" customWidth="1"/>
    <col min="12308" max="12308" width="11.375" style="230" bestFit="1" customWidth="1"/>
    <col min="12309" max="12309" width="5.5" style="230" customWidth="1"/>
    <col min="12310" max="12310" width="10.5" style="230" customWidth="1"/>
    <col min="12311" max="12311" width="3.375" style="230" customWidth="1"/>
    <col min="12312" max="12312" width="9" style="230" customWidth="1"/>
    <col min="12313" max="12313" width="13.5" style="230" customWidth="1"/>
    <col min="12314" max="12314" width="8.5" style="230" customWidth="1"/>
    <col min="12315" max="12315" width="10.125" style="230" customWidth="1"/>
    <col min="12316" max="12316" width="10.375" style="230" customWidth="1"/>
    <col min="12317" max="12317" width="9.5" style="230" customWidth="1"/>
    <col min="12318" max="12318" width="8.5" style="230" customWidth="1"/>
    <col min="12319" max="12319" width="14.125" style="230" bestFit="1" customWidth="1"/>
    <col min="12320" max="12320" width="8.5" style="230" customWidth="1"/>
    <col min="12321" max="12321" width="9.125" style="230" customWidth="1"/>
    <col min="12322" max="12322" width="13.125" style="230" customWidth="1"/>
    <col min="12323" max="12544" width="9" style="230"/>
    <col min="12545" max="12545" width="1" style="230" customWidth="1"/>
    <col min="12546" max="12546" width="5.125" style="230" customWidth="1"/>
    <col min="12547" max="12547" width="6.25" style="230" customWidth="1"/>
    <col min="12548" max="12548" width="14.375" style="230" customWidth="1"/>
    <col min="12549" max="12549" width="2.5" style="230" customWidth="1"/>
    <col min="12550" max="12550" width="8.75" style="230" customWidth="1"/>
    <col min="12551" max="12551" width="5.5" style="230" customWidth="1"/>
    <col min="12552" max="12552" width="11.375" style="230" customWidth="1"/>
    <col min="12553" max="12553" width="5.5" style="230" customWidth="1"/>
    <col min="12554" max="12554" width="11.375" style="230" customWidth="1"/>
    <col min="12555" max="12555" width="2.5" style="230" customWidth="1"/>
    <col min="12556" max="12556" width="8.75" style="230" customWidth="1"/>
    <col min="12557" max="12557" width="2.5" style="230" customWidth="1"/>
    <col min="12558" max="12558" width="8.75" style="230" customWidth="1"/>
    <col min="12559" max="12559" width="2.5" style="230" customWidth="1"/>
    <col min="12560" max="12562" width="8.75" style="230" customWidth="1"/>
    <col min="12563" max="12563" width="10.125" style="230" customWidth="1"/>
    <col min="12564" max="12564" width="11.375" style="230" bestFit="1" customWidth="1"/>
    <col min="12565" max="12565" width="5.5" style="230" customWidth="1"/>
    <col min="12566" max="12566" width="10.5" style="230" customWidth="1"/>
    <col min="12567" max="12567" width="3.375" style="230" customWidth="1"/>
    <col min="12568" max="12568" width="9" style="230" customWidth="1"/>
    <col min="12569" max="12569" width="13.5" style="230" customWidth="1"/>
    <col min="12570" max="12570" width="8.5" style="230" customWidth="1"/>
    <col min="12571" max="12571" width="10.125" style="230" customWidth="1"/>
    <col min="12572" max="12572" width="10.375" style="230" customWidth="1"/>
    <col min="12573" max="12573" width="9.5" style="230" customWidth="1"/>
    <col min="12574" max="12574" width="8.5" style="230" customWidth="1"/>
    <col min="12575" max="12575" width="14.125" style="230" bestFit="1" customWidth="1"/>
    <col min="12576" max="12576" width="8.5" style="230" customWidth="1"/>
    <col min="12577" max="12577" width="9.125" style="230" customWidth="1"/>
    <col min="12578" max="12578" width="13.125" style="230" customWidth="1"/>
    <col min="12579" max="12800" width="9" style="230"/>
    <col min="12801" max="12801" width="1" style="230" customWidth="1"/>
    <col min="12802" max="12802" width="5.125" style="230" customWidth="1"/>
    <col min="12803" max="12803" width="6.25" style="230" customWidth="1"/>
    <col min="12804" max="12804" width="14.375" style="230" customWidth="1"/>
    <col min="12805" max="12805" width="2.5" style="230" customWidth="1"/>
    <col min="12806" max="12806" width="8.75" style="230" customWidth="1"/>
    <col min="12807" max="12807" width="5.5" style="230" customWidth="1"/>
    <col min="12808" max="12808" width="11.375" style="230" customWidth="1"/>
    <col min="12809" max="12809" width="5.5" style="230" customWidth="1"/>
    <col min="12810" max="12810" width="11.375" style="230" customWidth="1"/>
    <col min="12811" max="12811" width="2.5" style="230" customWidth="1"/>
    <col min="12812" max="12812" width="8.75" style="230" customWidth="1"/>
    <col min="12813" max="12813" width="2.5" style="230" customWidth="1"/>
    <col min="12814" max="12814" width="8.75" style="230" customWidth="1"/>
    <col min="12815" max="12815" width="2.5" style="230" customWidth="1"/>
    <col min="12816" max="12818" width="8.75" style="230" customWidth="1"/>
    <col min="12819" max="12819" width="10.125" style="230" customWidth="1"/>
    <col min="12820" max="12820" width="11.375" style="230" bestFit="1" customWidth="1"/>
    <col min="12821" max="12821" width="5.5" style="230" customWidth="1"/>
    <col min="12822" max="12822" width="10.5" style="230" customWidth="1"/>
    <col min="12823" max="12823" width="3.375" style="230" customWidth="1"/>
    <col min="12824" max="12824" width="9" style="230" customWidth="1"/>
    <col min="12825" max="12825" width="13.5" style="230" customWidth="1"/>
    <col min="12826" max="12826" width="8.5" style="230" customWidth="1"/>
    <col min="12827" max="12827" width="10.125" style="230" customWidth="1"/>
    <col min="12828" max="12828" width="10.375" style="230" customWidth="1"/>
    <col min="12829" max="12829" width="9.5" style="230" customWidth="1"/>
    <col min="12830" max="12830" width="8.5" style="230" customWidth="1"/>
    <col min="12831" max="12831" width="14.125" style="230" bestFit="1" customWidth="1"/>
    <col min="12832" max="12832" width="8.5" style="230" customWidth="1"/>
    <col min="12833" max="12833" width="9.125" style="230" customWidth="1"/>
    <col min="12834" max="12834" width="13.125" style="230" customWidth="1"/>
    <col min="12835" max="13056" width="9" style="230"/>
    <col min="13057" max="13057" width="1" style="230" customWidth="1"/>
    <col min="13058" max="13058" width="5.125" style="230" customWidth="1"/>
    <col min="13059" max="13059" width="6.25" style="230" customWidth="1"/>
    <col min="13060" max="13060" width="14.375" style="230" customWidth="1"/>
    <col min="13061" max="13061" width="2.5" style="230" customWidth="1"/>
    <col min="13062" max="13062" width="8.75" style="230" customWidth="1"/>
    <col min="13063" max="13063" width="5.5" style="230" customWidth="1"/>
    <col min="13064" max="13064" width="11.375" style="230" customWidth="1"/>
    <col min="13065" max="13065" width="5.5" style="230" customWidth="1"/>
    <col min="13066" max="13066" width="11.375" style="230" customWidth="1"/>
    <col min="13067" max="13067" width="2.5" style="230" customWidth="1"/>
    <col min="13068" max="13068" width="8.75" style="230" customWidth="1"/>
    <col min="13069" max="13069" width="2.5" style="230" customWidth="1"/>
    <col min="13070" max="13070" width="8.75" style="230" customWidth="1"/>
    <col min="13071" max="13071" width="2.5" style="230" customWidth="1"/>
    <col min="13072" max="13074" width="8.75" style="230" customWidth="1"/>
    <col min="13075" max="13075" width="10.125" style="230" customWidth="1"/>
    <col min="13076" max="13076" width="11.375" style="230" bestFit="1" customWidth="1"/>
    <col min="13077" max="13077" width="5.5" style="230" customWidth="1"/>
    <col min="13078" max="13078" width="10.5" style="230" customWidth="1"/>
    <col min="13079" max="13079" width="3.375" style="230" customWidth="1"/>
    <col min="13080" max="13080" width="9" style="230" customWidth="1"/>
    <col min="13081" max="13081" width="13.5" style="230" customWidth="1"/>
    <col min="13082" max="13082" width="8.5" style="230" customWidth="1"/>
    <col min="13083" max="13083" width="10.125" style="230" customWidth="1"/>
    <col min="13084" max="13084" width="10.375" style="230" customWidth="1"/>
    <col min="13085" max="13085" width="9.5" style="230" customWidth="1"/>
    <col min="13086" max="13086" width="8.5" style="230" customWidth="1"/>
    <col min="13087" max="13087" width="14.125" style="230" bestFit="1" customWidth="1"/>
    <col min="13088" max="13088" width="8.5" style="230" customWidth="1"/>
    <col min="13089" max="13089" width="9.125" style="230" customWidth="1"/>
    <col min="13090" max="13090" width="13.125" style="230" customWidth="1"/>
    <col min="13091" max="13312" width="9" style="230"/>
    <col min="13313" max="13313" width="1" style="230" customWidth="1"/>
    <col min="13314" max="13314" width="5.125" style="230" customWidth="1"/>
    <col min="13315" max="13315" width="6.25" style="230" customWidth="1"/>
    <col min="13316" max="13316" width="14.375" style="230" customWidth="1"/>
    <col min="13317" max="13317" width="2.5" style="230" customWidth="1"/>
    <col min="13318" max="13318" width="8.75" style="230" customWidth="1"/>
    <col min="13319" max="13319" width="5.5" style="230" customWidth="1"/>
    <col min="13320" max="13320" width="11.375" style="230" customWidth="1"/>
    <col min="13321" max="13321" width="5.5" style="230" customWidth="1"/>
    <col min="13322" max="13322" width="11.375" style="230" customWidth="1"/>
    <col min="13323" max="13323" width="2.5" style="230" customWidth="1"/>
    <col min="13324" max="13324" width="8.75" style="230" customWidth="1"/>
    <col min="13325" max="13325" width="2.5" style="230" customWidth="1"/>
    <col min="13326" max="13326" width="8.75" style="230" customWidth="1"/>
    <col min="13327" max="13327" width="2.5" style="230" customWidth="1"/>
    <col min="13328" max="13330" width="8.75" style="230" customWidth="1"/>
    <col min="13331" max="13331" width="10.125" style="230" customWidth="1"/>
    <col min="13332" max="13332" width="11.375" style="230" bestFit="1" customWidth="1"/>
    <col min="13333" max="13333" width="5.5" style="230" customWidth="1"/>
    <col min="13334" max="13334" width="10.5" style="230" customWidth="1"/>
    <col min="13335" max="13335" width="3.375" style="230" customWidth="1"/>
    <col min="13336" max="13336" width="9" style="230" customWidth="1"/>
    <col min="13337" max="13337" width="13.5" style="230" customWidth="1"/>
    <col min="13338" max="13338" width="8.5" style="230" customWidth="1"/>
    <col min="13339" max="13339" width="10.125" style="230" customWidth="1"/>
    <col min="13340" max="13340" width="10.375" style="230" customWidth="1"/>
    <col min="13341" max="13341" width="9.5" style="230" customWidth="1"/>
    <col min="13342" max="13342" width="8.5" style="230" customWidth="1"/>
    <col min="13343" max="13343" width="14.125" style="230" bestFit="1" customWidth="1"/>
    <col min="13344" max="13344" width="8.5" style="230" customWidth="1"/>
    <col min="13345" max="13345" width="9.125" style="230" customWidth="1"/>
    <col min="13346" max="13346" width="13.125" style="230" customWidth="1"/>
    <col min="13347" max="13568" width="9" style="230"/>
    <col min="13569" max="13569" width="1" style="230" customWidth="1"/>
    <col min="13570" max="13570" width="5.125" style="230" customWidth="1"/>
    <col min="13571" max="13571" width="6.25" style="230" customWidth="1"/>
    <col min="13572" max="13572" width="14.375" style="230" customWidth="1"/>
    <col min="13573" max="13573" width="2.5" style="230" customWidth="1"/>
    <col min="13574" max="13574" width="8.75" style="230" customWidth="1"/>
    <col min="13575" max="13575" width="5.5" style="230" customWidth="1"/>
    <col min="13576" max="13576" width="11.375" style="230" customWidth="1"/>
    <col min="13577" max="13577" width="5.5" style="230" customWidth="1"/>
    <col min="13578" max="13578" width="11.375" style="230" customWidth="1"/>
    <col min="13579" max="13579" width="2.5" style="230" customWidth="1"/>
    <col min="13580" max="13580" width="8.75" style="230" customWidth="1"/>
    <col min="13581" max="13581" width="2.5" style="230" customWidth="1"/>
    <col min="13582" max="13582" width="8.75" style="230" customWidth="1"/>
    <col min="13583" max="13583" width="2.5" style="230" customWidth="1"/>
    <col min="13584" max="13586" width="8.75" style="230" customWidth="1"/>
    <col min="13587" max="13587" width="10.125" style="230" customWidth="1"/>
    <col min="13588" max="13588" width="11.375" style="230" bestFit="1" customWidth="1"/>
    <col min="13589" max="13589" width="5.5" style="230" customWidth="1"/>
    <col min="13590" max="13590" width="10.5" style="230" customWidth="1"/>
    <col min="13591" max="13591" width="3.375" style="230" customWidth="1"/>
    <col min="13592" max="13592" width="9" style="230" customWidth="1"/>
    <col min="13593" max="13593" width="13.5" style="230" customWidth="1"/>
    <col min="13594" max="13594" width="8.5" style="230" customWidth="1"/>
    <col min="13595" max="13595" width="10.125" style="230" customWidth="1"/>
    <col min="13596" max="13596" width="10.375" style="230" customWidth="1"/>
    <col min="13597" max="13597" width="9.5" style="230" customWidth="1"/>
    <col min="13598" max="13598" width="8.5" style="230" customWidth="1"/>
    <col min="13599" max="13599" width="14.125" style="230" bestFit="1" customWidth="1"/>
    <col min="13600" max="13600" width="8.5" style="230" customWidth="1"/>
    <col min="13601" max="13601" width="9.125" style="230" customWidth="1"/>
    <col min="13602" max="13602" width="13.125" style="230" customWidth="1"/>
    <col min="13603" max="13824" width="9" style="230"/>
    <col min="13825" max="13825" width="1" style="230" customWidth="1"/>
    <col min="13826" max="13826" width="5.125" style="230" customWidth="1"/>
    <col min="13827" max="13827" width="6.25" style="230" customWidth="1"/>
    <col min="13828" max="13828" width="14.375" style="230" customWidth="1"/>
    <col min="13829" max="13829" width="2.5" style="230" customWidth="1"/>
    <col min="13830" max="13830" width="8.75" style="230" customWidth="1"/>
    <col min="13831" max="13831" width="5.5" style="230" customWidth="1"/>
    <col min="13832" max="13832" width="11.375" style="230" customWidth="1"/>
    <col min="13833" max="13833" width="5.5" style="230" customWidth="1"/>
    <col min="13834" max="13834" width="11.375" style="230" customWidth="1"/>
    <col min="13835" max="13835" width="2.5" style="230" customWidth="1"/>
    <col min="13836" max="13836" width="8.75" style="230" customWidth="1"/>
    <col min="13837" max="13837" width="2.5" style="230" customWidth="1"/>
    <col min="13838" max="13838" width="8.75" style="230" customWidth="1"/>
    <col min="13839" max="13839" width="2.5" style="230" customWidth="1"/>
    <col min="13840" max="13842" width="8.75" style="230" customWidth="1"/>
    <col min="13843" max="13843" width="10.125" style="230" customWidth="1"/>
    <col min="13844" max="13844" width="11.375" style="230" bestFit="1" customWidth="1"/>
    <col min="13845" max="13845" width="5.5" style="230" customWidth="1"/>
    <col min="13846" max="13846" width="10.5" style="230" customWidth="1"/>
    <col min="13847" max="13847" width="3.375" style="230" customWidth="1"/>
    <col min="13848" max="13848" width="9" style="230" customWidth="1"/>
    <col min="13849" max="13849" width="13.5" style="230" customWidth="1"/>
    <col min="13850" max="13850" width="8.5" style="230" customWidth="1"/>
    <col min="13851" max="13851" width="10.125" style="230" customWidth="1"/>
    <col min="13852" max="13852" width="10.375" style="230" customWidth="1"/>
    <col min="13853" max="13853" width="9.5" style="230" customWidth="1"/>
    <col min="13854" max="13854" width="8.5" style="230" customWidth="1"/>
    <col min="13855" max="13855" width="14.125" style="230" bestFit="1" customWidth="1"/>
    <col min="13856" max="13856" width="8.5" style="230" customWidth="1"/>
    <col min="13857" max="13857" width="9.125" style="230" customWidth="1"/>
    <col min="13858" max="13858" width="13.125" style="230" customWidth="1"/>
    <col min="13859" max="14080" width="9" style="230"/>
    <col min="14081" max="14081" width="1" style="230" customWidth="1"/>
    <col min="14082" max="14082" width="5.125" style="230" customWidth="1"/>
    <col min="14083" max="14083" width="6.25" style="230" customWidth="1"/>
    <col min="14084" max="14084" width="14.375" style="230" customWidth="1"/>
    <col min="14085" max="14085" width="2.5" style="230" customWidth="1"/>
    <col min="14086" max="14086" width="8.75" style="230" customWidth="1"/>
    <col min="14087" max="14087" width="5.5" style="230" customWidth="1"/>
    <col min="14088" max="14088" width="11.375" style="230" customWidth="1"/>
    <col min="14089" max="14089" width="5.5" style="230" customWidth="1"/>
    <col min="14090" max="14090" width="11.375" style="230" customWidth="1"/>
    <col min="14091" max="14091" width="2.5" style="230" customWidth="1"/>
    <col min="14092" max="14092" width="8.75" style="230" customWidth="1"/>
    <col min="14093" max="14093" width="2.5" style="230" customWidth="1"/>
    <col min="14094" max="14094" width="8.75" style="230" customWidth="1"/>
    <col min="14095" max="14095" width="2.5" style="230" customWidth="1"/>
    <col min="14096" max="14098" width="8.75" style="230" customWidth="1"/>
    <col min="14099" max="14099" width="10.125" style="230" customWidth="1"/>
    <col min="14100" max="14100" width="11.375" style="230" bestFit="1" customWidth="1"/>
    <col min="14101" max="14101" width="5.5" style="230" customWidth="1"/>
    <col min="14102" max="14102" width="10.5" style="230" customWidth="1"/>
    <col min="14103" max="14103" width="3.375" style="230" customWidth="1"/>
    <col min="14104" max="14104" width="9" style="230" customWidth="1"/>
    <col min="14105" max="14105" width="13.5" style="230" customWidth="1"/>
    <col min="14106" max="14106" width="8.5" style="230" customWidth="1"/>
    <col min="14107" max="14107" width="10.125" style="230" customWidth="1"/>
    <col min="14108" max="14108" width="10.375" style="230" customWidth="1"/>
    <col min="14109" max="14109" width="9.5" style="230" customWidth="1"/>
    <col min="14110" max="14110" width="8.5" style="230" customWidth="1"/>
    <col min="14111" max="14111" width="14.125" style="230" bestFit="1" customWidth="1"/>
    <col min="14112" max="14112" width="8.5" style="230" customWidth="1"/>
    <col min="14113" max="14113" width="9.125" style="230" customWidth="1"/>
    <col min="14114" max="14114" width="13.125" style="230" customWidth="1"/>
    <col min="14115" max="14336" width="9" style="230"/>
    <col min="14337" max="14337" width="1" style="230" customWidth="1"/>
    <col min="14338" max="14338" width="5.125" style="230" customWidth="1"/>
    <col min="14339" max="14339" width="6.25" style="230" customWidth="1"/>
    <col min="14340" max="14340" width="14.375" style="230" customWidth="1"/>
    <col min="14341" max="14341" width="2.5" style="230" customWidth="1"/>
    <col min="14342" max="14342" width="8.75" style="230" customWidth="1"/>
    <col min="14343" max="14343" width="5.5" style="230" customWidth="1"/>
    <col min="14344" max="14344" width="11.375" style="230" customWidth="1"/>
    <col min="14345" max="14345" width="5.5" style="230" customWidth="1"/>
    <col min="14346" max="14346" width="11.375" style="230" customWidth="1"/>
    <col min="14347" max="14347" width="2.5" style="230" customWidth="1"/>
    <col min="14348" max="14348" width="8.75" style="230" customWidth="1"/>
    <col min="14349" max="14349" width="2.5" style="230" customWidth="1"/>
    <col min="14350" max="14350" width="8.75" style="230" customWidth="1"/>
    <col min="14351" max="14351" width="2.5" style="230" customWidth="1"/>
    <col min="14352" max="14354" width="8.75" style="230" customWidth="1"/>
    <col min="14355" max="14355" width="10.125" style="230" customWidth="1"/>
    <col min="14356" max="14356" width="11.375" style="230" bestFit="1" customWidth="1"/>
    <col min="14357" max="14357" width="5.5" style="230" customWidth="1"/>
    <col min="14358" max="14358" width="10.5" style="230" customWidth="1"/>
    <col min="14359" max="14359" width="3.375" style="230" customWidth="1"/>
    <col min="14360" max="14360" width="9" style="230" customWidth="1"/>
    <col min="14361" max="14361" width="13.5" style="230" customWidth="1"/>
    <col min="14362" max="14362" width="8.5" style="230" customWidth="1"/>
    <col min="14363" max="14363" width="10.125" style="230" customWidth="1"/>
    <col min="14364" max="14364" width="10.375" style="230" customWidth="1"/>
    <col min="14365" max="14365" width="9.5" style="230" customWidth="1"/>
    <col min="14366" max="14366" width="8.5" style="230" customWidth="1"/>
    <col min="14367" max="14367" width="14.125" style="230" bestFit="1" customWidth="1"/>
    <col min="14368" max="14368" width="8.5" style="230" customWidth="1"/>
    <col min="14369" max="14369" width="9.125" style="230" customWidth="1"/>
    <col min="14370" max="14370" width="13.125" style="230" customWidth="1"/>
    <col min="14371" max="14592" width="9" style="230"/>
    <col min="14593" max="14593" width="1" style="230" customWidth="1"/>
    <col min="14594" max="14594" width="5.125" style="230" customWidth="1"/>
    <col min="14595" max="14595" width="6.25" style="230" customWidth="1"/>
    <col min="14596" max="14596" width="14.375" style="230" customWidth="1"/>
    <col min="14597" max="14597" width="2.5" style="230" customWidth="1"/>
    <col min="14598" max="14598" width="8.75" style="230" customWidth="1"/>
    <col min="14599" max="14599" width="5.5" style="230" customWidth="1"/>
    <col min="14600" max="14600" width="11.375" style="230" customWidth="1"/>
    <col min="14601" max="14601" width="5.5" style="230" customWidth="1"/>
    <col min="14602" max="14602" width="11.375" style="230" customWidth="1"/>
    <col min="14603" max="14603" width="2.5" style="230" customWidth="1"/>
    <col min="14604" max="14604" width="8.75" style="230" customWidth="1"/>
    <col min="14605" max="14605" width="2.5" style="230" customWidth="1"/>
    <col min="14606" max="14606" width="8.75" style="230" customWidth="1"/>
    <col min="14607" max="14607" width="2.5" style="230" customWidth="1"/>
    <col min="14608" max="14610" width="8.75" style="230" customWidth="1"/>
    <col min="14611" max="14611" width="10.125" style="230" customWidth="1"/>
    <col min="14612" max="14612" width="11.375" style="230" bestFit="1" customWidth="1"/>
    <col min="14613" max="14613" width="5.5" style="230" customWidth="1"/>
    <col min="14614" max="14614" width="10.5" style="230" customWidth="1"/>
    <col min="14615" max="14615" width="3.375" style="230" customWidth="1"/>
    <col min="14616" max="14616" width="9" style="230" customWidth="1"/>
    <col min="14617" max="14617" width="13.5" style="230" customWidth="1"/>
    <col min="14618" max="14618" width="8.5" style="230" customWidth="1"/>
    <col min="14619" max="14619" width="10.125" style="230" customWidth="1"/>
    <col min="14620" max="14620" width="10.375" style="230" customWidth="1"/>
    <col min="14621" max="14621" width="9.5" style="230" customWidth="1"/>
    <col min="14622" max="14622" width="8.5" style="230" customWidth="1"/>
    <col min="14623" max="14623" width="14.125" style="230" bestFit="1" customWidth="1"/>
    <col min="14624" max="14624" width="8.5" style="230" customWidth="1"/>
    <col min="14625" max="14625" width="9.125" style="230" customWidth="1"/>
    <col min="14626" max="14626" width="13.125" style="230" customWidth="1"/>
    <col min="14627" max="14848" width="9" style="230"/>
    <col min="14849" max="14849" width="1" style="230" customWidth="1"/>
    <col min="14850" max="14850" width="5.125" style="230" customWidth="1"/>
    <col min="14851" max="14851" width="6.25" style="230" customWidth="1"/>
    <col min="14852" max="14852" width="14.375" style="230" customWidth="1"/>
    <col min="14853" max="14853" width="2.5" style="230" customWidth="1"/>
    <col min="14854" max="14854" width="8.75" style="230" customWidth="1"/>
    <col min="14855" max="14855" width="5.5" style="230" customWidth="1"/>
    <col min="14856" max="14856" width="11.375" style="230" customWidth="1"/>
    <col min="14857" max="14857" width="5.5" style="230" customWidth="1"/>
    <col min="14858" max="14858" width="11.375" style="230" customWidth="1"/>
    <col min="14859" max="14859" width="2.5" style="230" customWidth="1"/>
    <col min="14860" max="14860" width="8.75" style="230" customWidth="1"/>
    <col min="14861" max="14861" width="2.5" style="230" customWidth="1"/>
    <col min="14862" max="14862" width="8.75" style="230" customWidth="1"/>
    <col min="14863" max="14863" width="2.5" style="230" customWidth="1"/>
    <col min="14864" max="14866" width="8.75" style="230" customWidth="1"/>
    <col min="14867" max="14867" width="10.125" style="230" customWidth="1"/>
    <col min="14868" max="14868" width="11.375" style="230" bestFit="1" customWidth="1"/>
    <col min="14869" max="14869" width="5.5" style="230" customWidth="1"/>
    <col min="14870" max="14870" width="10.5" style="230" customWidth="1"/>
    <col min="14871" max="14871" width="3.375" style="230" customWidth="1"/>
    <col min="14872" max="14872" width="9" style="230" customWidth="1"/>
    <col min="14873" max="14873" width="13.5" style="230" customWidth="1"/>
    <col min="14874" max="14874" width="8.5" style="230" customWidth="1"/>
    <col min="14875" max="14875" width="10.125" style="230" customWidth="1"/>
    <col min="14876" max="14876" width="10.375" style="230" customWidth="1"/>
    <col min="14877" max="14877" width="9.5" style="230" customWidth="1"/>
    <col min="14878" max="14878" width="8.5" style="230" customWidth="1"/>
    <col min="14879" max="14879" width="14.125" style="230" bestFit="1" customWidth="1"/>
    <col min="14880" max="14880" width="8.5" style="230" customWidth="1"/>
    <col min="14881" max="14881" width="9.125" style="230" customWidth="1"/>
    <col min="14882" max="14882" width="13.125" style="230" customWidth="1"/>
    <col min="14883" max="15104" width="9" style="230"/>
    <col min="15105" max="15105" width="1" style="230" customWidth="1"/>
    <col min="15106" max="15106" width="5.125" style="230" customWidth="1"/>
    <col min="15107" max="15107" width="6.25" style="230" customWidth="1"/>
    <col min="15108" max="15108" width="14.375" style="230" customWidth="1"/>
    <col min="15109" max="15109" width="2.5" style="230" customWidth="1"/>
    <col min="15110" max="15110" width="8.75" style="230" customWidth="1"/>
    <col min="15111" max="15111" width="5.5" style="230" customWidth="1"/>
    <col min="15112" max="15112" width="11.375" style="230" customWidth="1"/>
    <col min="15113" max="15113" width="5.5" style="230" customWidth="1"/>
    <col min="15114" max="15114" width="11.375" style="230" customWidth="1"/>
    <col min="15115" max="15115" width="2.5" style="230" customWidth="1"/>
    <col min="15116" max="15116" width="8.75" style="230" customWidth="1"/>
    <col min="15117" max="15117" width="2.5" style="230" customWidth="1"/>
    <col min="15118" max="15118" width="8.75" style="230" customWidth="1"/>
    <col min="15119" max="15119" width="2.5" style="230" customWidth="1"/>
    <col min="15120" max="15122" width="8.75" style="230" customWidth="1"/>
    <col min="15123" max="15123" width="10.125" style="230" customWidth="1"/>
    <col min="15124" max="15124" width="11.375" style="230" bestFit="1" customWidth="1"/>
    <col min="15125" max="15125" width="5.5" style="230" customWidth="1"/>
    <col min="15126" max="15126" width="10.5" style="230" customWidth="1"/>
    <col min="15127" max="15127" width="3.375" style="230" customWidth="1"/>
    <col min="15128" max="15128" width="9" style="230" customWidth="1"/>
    <col min="15129" max="15129" width="13.5" style="230" customWidth="1"/>
    <col min="15130" max="15130" width="8.5" style="230" customWidth="1"/>
    <col min="15131" max="15131" width="10.125" style="230" customWidth="1"/>
    <col min="15132" max="15132" width="10.375" style="230" customWidth="1"/>
    <col min="15133" max="15133" width="9.5" style="230" customWidth="1"/>
    <col min="15134" max="15134" width="8.5" style="230" customWidth="1"/>
    <col min="15135" max="15135" width="14.125" style="230" bestFit="1" customWidth="1"/>
    <col min="15136" max="15136" width="8.5" style="230" customWidth="1"/>
    <col min="15137" max="15137" width="9.125" style="230" customWidth="1"/>
    <col min="15138" max="15138" width="13.125" style="230" customWidth="1"/>
    <col min="15139" max="15360" width="9" style="230"/>
    <col min="15361" max="15361" width="1" style="230" customWidth="1"/>
    <col min="15362" max="15362" width="5.125" style="230" customWidth="1"/>
    <col min="15363" max="15363" width="6.25" style="230" customWidth="1"/>
    <col min="15364" max="15364" width="14.375" style="230" customWidth="1"/>
    <col min="15365" max="15365" width="2.5" style="230" customWidth="1"/>
    <col min="15366" max="15366" width="8.75" style="230" customWidth="1"/>
    <col min="15367" max="15367" width="5.5" style="230" customWidth="1"/>
    <col min="15368" max="15368" width="11.375" style="230" customWidth="1"/>
    <col min="15369" max="15369" width="5.5" style="230" customWidth="1"/>
    <col min="15370" max="15370" width="11.375" style="230" customWidth="1"/>
    <col min="15371" max="15371" width="2.5" style="230" customWidth="1"/>
    <col min="15372" max="15372" width="8.75" style="230" customWidth="1"/>
    <col min="15373" max="15373" width="2.5" style="230" customWidth="1"/>
    <col min="15374" max="15374" width="8.75" style="230" customWidth="1"/>
    <col min="15375" max="15375" width="2.5" style="230" customWidth="1"/>
    <col min="15376" max="15378" width="8.75" style="230" customWidth="1"/>
    <col min="15379" max="15379" width="10.125" style="230" customWidth="1"/>
    <col min="15380" max="15380" width="11.375" style="230" bestFit="1" customWidth="1"/>
    <col min="15381" max="15381" width="5.5" style="230" customWidth="1"/>
    <col min="15382" max="15382" width="10.5" style="230" customWidth="1"/>
    <col min="15383" max="15383" width="3.375" style="230" customWidth="1"/>
    <col min="15384" max="15384" width="9" style="230" customWidth="1"/>
    <col min="15385" max="15385" width="13.5" style="230" customWidth="1"/>
    <col min="15386" max="15386" width="8.5" style="230" customWidth="1"/>
    <col min="15387" max="15387" width="10.125" style="230" customWidth="1"/>
    <col min="15388" max="15388" width="10.375" style="230" customWidth="1"/>
    <col min="15389" max="15389" width="9.5" style="230" customWidth="1"/>
    <col min="15390" max="15390" width="8.5" style="230" customWidth="1"/>
    <col min="15391" max="15391" width="14.125" style="230" bestFit="1" customWidth="1"/>
    <col min="15392" max="15392" width="8.5" style="230" customWidth="1"/>
    <col min="15393" max="15393" width="9.125" style="230" customWidth="1"/>
    <col min="15394" max="15394" width="13.125" style="230" customWidth="1"/>
    <col min="15395" max="15616" width="9" style="230"/>
    <col min="15617" max="15617" width="1" style="230" customWidth="1"/>
    <col min="15618" max="15618" width="5.125" style="230" customWidth="1"/>
    <col min="15619" max="15619" width="6.25" style="230" customWidth="1"/>
    <col min="15620" max="15620" width="14.375" style="230" customWidth="1"/>
    <col min="15621" max="15621" width="2.5" style="230" customWidth="1"/>
    <col min="15622" max="15622" width="8.75" style="230" customWidth="1"/>
    <col min="15623" max="15623" width="5.5" style="230" customWidth="1"/>
    <col min="15624" max="15624" width="11.375" style="230" customWidth="1"/>
    <col min="15625" max="15625" width="5.5" style="230" customWidth="1"/>
    <col min="15626" max="15626" width="11.375" style="230" customWidth="1"/>
    <col min="15627" max="15627" width="2.5" style="230" customWidth="1"/>
    <col min="15628" max="15628" width="8.75" style="230" customWidth="1"/>
    <col min="15629" max="15629" width="2.5" style="230" customWidth="1"/>
    <col min="15630" max="15630" width="8.75" style="230" customWidth="1"/>
    <col min="15631" max="15631" width="2.5" style="230" customWidth="1"/>
    <col min="15632" max="15634" width="8.75" style="230" customWidth="1"/>
    <col min="15635" max="15635" width="10.125" style="230" customWidth="1"/>
    <col min="15636" max="15636" width="11.375" style="230" bestFit="1" customWidth="1"/>
    <col min="15637" max="15637" width="5.5" style="230" customWidth="1"/>
    <col min="15638" max="15638" width="10.5" style="230" customWidth="1"/>
    <col min="15639" max="15639" width="3.375" style="230" customWidth="1"/>
    <col min="15640" max="15640" width="9" style="230" customWidth="1"/>
    <col min="15641" max="15641" width="13.5" style="230" customWidth="1"/>
    <col min="15642" max="15642" width="8.5" style="230" customWidth="1"/>
    <col min="15643" max="15643" width="10.125" style="230" customWidth="1"/>
    <col min="15644" max="15644" width="10.375" style="230" customWidth="1"/>
    <col min="15645" max="15645" width="9.5" style="230" customWidth="1"/>
    <col min="15646" max="15646" width="8.5" style="230" customWidth="1"/>
    <col min="15647" max="15647" width="14.125" style="230" bestFit="1" customWidth="1"/>
    <col min="15648" max="15648" width="8.5" style="230" customWidth="1"/>
    <col min="15649" max="15649" width="9.125" style="230" customWidth="1"/>
    <col min="15650" max="15650" width="13.125" style="230" customWidth="1"/>
    <col min="15651" max="15872" width="9" style="230"/>
    <col min="15873" max="15873" width="1" style="230" customWidth="1"/>
    <col min="15874" max="15874" width="5.125" style="230" customWidth="1"/>
    <col min="15875" max="15875" width="6.25" style="230" customWidth="1"/>
    <col min="15876" max="15876" width="14.375" style="230" customWidth="1"/>
    <col min="15877" max="15877" width="2.5" style="230" customWidth="1"/>
    <col min="15878" max="15878" width="8.75" style="230" customWidth="1"/>
    <col min="15879" max="15879" width="5.5" style="230" customWidth="1"/>
    <col min="15880" max="15880" width="11.375" style="230" customWidth="1"/>
    <col min="15881" max="15881" width="5.5" style="230" customWidth="1"/>
    <col min="15882" max="15882" width="11.375" style="230" customWidth="1"/>
    <col min="15883" max="15883" width="2.5" style="230" customWidth="1"/>
    <col min="15884" max="15884" width="8.75" style="230" customWidth="1"/>
    <col min="15885" max="15885" width="2.5" style="230" customWidth="1"/>
    <col min="15886" max="15886" width="8.75" style="230" customWidth="1"/>
    <col min="15887" max="15887" width="2.5" style="230" customWidth="1"/>
    <col min="15888" max="15890" width="8.75" style="230" customWidth="1"/>
    <col min="15891" max="15891" width="10.125" style="230" customWidth="1"/>
    <col min="15892" max="15892" width="11.375" style="230" bestFit="1" customWidth="1"/>
    <col min="15893" max="15893" width="5.5" style="230" customWidth="1"/>
    <col min="15894" max="15894" width="10.5" style="230" customWidth="1"/>
    <col min="15895" max="15895" width="3.375" style="230" customWidth="1"/>
    <col min="15896" max="15896" width="9" style="230" customWidth="1"/>
    <col min="15897" max="15897" width="13.5" style="230" customWidth="1"/>
    <col min="15898" max="15898" width="8.5" style="230" customWidth="1"/>
    <col min="15899" max="15899" width="10.125" style="230" customWidth="1"/>
    <col min="15900" max="15900" width="10.375" style="230" customWidth="1"/>
    <col min="15901" max="15901" width="9.5" style="230" customWidth="1"/>
    <col min="15902" max="15902" width="8.5" style="230" customWidth="1"/>
    <col min="15903" max="15903" width="14.125" style="230" bestFit="1" customWidth="1"/>
    <col min="15904" max="15904" width="8.5" style="230" customWidth="1"/>
    <col min="15905" max="15905" width="9.125" style="230" customWidth="1"/>
    <col min="15906" max="15906" width="13.125" style="230" customWidth="1"/>
    <col min="15907" max="16128" width="9" style="230"/>
    <col min="16129" max="16129" width="1" style="230" customWidth="1"/>
    <col min="16130" max="16130" width="5.125" style="230" customWidth="1"/>
    <col min="16131" max="16131" width="6.25" style="230" customWidth="1"/>
    <col min="16132" max="16132" width="14.375" style="230" customWidth="1"/>
    <col min="16133" max="16133" width="2.5" style="230" customWidth="1"/>
    <col min="16134" max="16134" width="8.75" style="230" customWidth="1"/>
    <col min="16135" max="16135" width="5.5" style="230" customWidth="1"/>
    <col min="16136" max="16136" width="11.375" style="230" customWidth="1"/>
    <col min="16137" max="16137" width="5.5" style="230" customWidth="1"/>
    <col min="16138" max="16138" width="11.375" style="230" customWidth="1"/>
    <col min="16139" max="16139" width="2.5" style="230" customWidth="1"/>
    <col min="16140" max="16140" width="8.75" style="230" customWidth="1"/>
    <col min="16141" max="16141" width="2.5" style="230" customWidth="1"/>
    <col min="16142" max="16142" width="8.75" style="230" customWidth="1"/>
    <col min="16143" max="16143" width="2.5" style="230" customWidth="1"/>
    <col min="16144" max="16146" width="8.75" style="230" customWidth="1"/>
    <col min="16147" max="16147" width="10.125" style="230" customWidth="1"/>
    <col min="16148" max="16148" width="11.375" style="230" bestFit="1" customWidth="1"/>
    <col min="16149" max="16149" width="5.5" style="230" customWidth="1"/>
    <col min="16150" max="16150" width="10.5" style="230" customWidth="1"/>
    <col min="16151" max="16151" width="3.375" style="230" customWidth="1"/>
    <col min="16152" max="16152" width="9" style="230" customWidth="1"/>
    <col min="16153" max="16153" width="13.5" style="230" customWidth="1"/>
    <col min="16154" max="16154" width="8.5" style="230" customWidth="1"/>
    <col min="16155" max="16155" width="10.125" style="230" customWidth="1"/>
    <col min="16156" max="16156" width="10.375" style="230" customWidth="1"/>
    <col min="16157" max="16157" width="9.5" style="230" customWidth="1"/>
    <col min="16158" max="16158" width="8.5" style="230" customWidth="1"/>
    <col min="16159" max="16159" width="14.125" style="230" bestFit="1" customWidth="1"/>
    <col min="16160" max="16160" width="8.5" style="230" customWidth="1"/>
    <col min="16161" max="16161" width="9.125" style="230" customWidth="1"/>
    <col min="16162" max="16162" width="13.125" style="230" customWidth="1"/>
    <col min="16163" max="16384" width="9" style="230"/>
  </cols>
  <sheetData>
    <row r="1" spans="1:36" ht="24" customHeight="1" thickBot="1">
      <c r="B1" s="2906" t="s">
        <v>442</v>
      </c>
      <c r="C1" s="2906"/>
      <c r="D1" s="449" t="s">
        <v>597</v>
      </c>
      <c r="E1" s="1560"/>
      <c r="W1" s="554"/>
      <c r="X1" s="554"/>
      <c r="Y1" s="451"/>
      <c r="Z1" s="452"/>
      <c r="AA1" s="452"/>
      <c r="AB1" s="453"/>
      <c r="AC1" s="230"/>
      <c r="AD1" s="230"/>
      <c r="AE1" s="230"/>
      <c r="AG1" s="454"/>
      <c r="AH1" s="454"/>
      <c r="AI1" s="454"/>
    </row>
    <row r="2" spans="1:36" ht="21" customHeight="1">
      <c r="A2" s="455"/>
      <c r="B2" s="2512" t="s">
        <v>0</v>
      </c>
      <c r="C2" s="2515" t="s">
        <v>566</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850" t="s">
        <v>75</v>
      </c>
      <c r="X2" s="2907"/>
      <c r="Y2" s="2664" t="s">
        <v>224</v>
      </c>
      <c r="Z2" s="2667" t="s">
        <v>221</v>
      </c>
      <c r="AA2" s="2548"/>
      <c r="AB2" s="2523"/>
      <c r="AC2" s="2545" t="s">
        <v>74</v>
      </c>
      <c r="AD2" s="2546"/>
      <c r="AE2" s="2549" t="s">
        <v>356</v>
      </c>
      <c r="AF2" s="2669" t="s">
        <v>222</v>
      </c>
      <c r="AG2" s="2669" t="s">
        <v>223</v>
      </c>
      <c r="AH2" s="456"/>
      <c r="AI2" s="454"/>
      <c r="AJ2" s="454"/>
    </row>
    <row r="3" spans="1:36" ht="21"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852"/>
      <c r="X3" s="2908"/>
      <c r="Y3" s="2665"/>
      <c r="Z3" s="2679" t="s">
        <v>225</v>
      </c>
      <c r="AA3" s="2681" t="s">
        <v>77</v>
      </c>
      <c r="AB3" s="2681" t="s">
        <v>227</v>
      </c>
      <c r="AC3" s="2681" t="s">
        <v>76</v>
      </c>
      <c r="AD3" s="2681" t="s">
        <v>228</v>
      </c>
      <c r="AE3" s="2848"/>
      <c r="AF3" s="2670"/>
      <c r="AG3" s="2670"/>
      <c r="AH3" s="456"/>
      <c r="AI3" s="454"/>
      <c r="AJ3" s="454"/>
    </row>
    <row r="4" spans="1:36" ht="15.75" customHeight="1">
      <c r="A4" s="455"/>
      <c r="B4" s="2514"/>
      <c r="C4" s="457" t="s">
        <v>230</v>
      </c>
      <c r="D4" s="458" t="s">
        <v>231</v>
      </c>
      <c r="E4" s="459" t="s">
        <v>230</v>
      </c>
      <c r="F4" s="1398" t="s">
        <v>232</v>
      </c>
      <c r="G4" s="460" t="s">
        <v>230</v>
      </c>
      <c r="H4" s="1398" t="s">
        <v>232</v>
      </c>
      <c r="I4" s="459" t="s">
        <v>230</v>
      </c>
      <c r="J4" s="1398" t="s">
        <v>232</v>
      </c>
      <c r="K4" s="460" t="s">
        <v>230</v>
      </c>
      <c r="L4" s="1397" t="s">
        <v>232</v>
      </c>
      <c r="M4" s="460" t="s">
        <v>230</v>
      </c>
      <c r="N4" s="1398" t="s">
        <v>232</v>
      </c>
      <c r="O4" s="460" t="s">
        <v>230</v>
      </c>
      <c r="P4" s="1397" t="s">
        <v>232</v>
      </c>
      <c r="Q4" s="1305" t="s">
        <v>230</v>
      </c>
      <c r="R4" s="1398" t="s">
        <v>232</v>
      </c>
      <c r="S4" s="459" t="s">
        <v>230</v>
      </c>
      <c r="T4" s="1398" t="s">
        <v>232</v>
      </c>
      <c r="U4" s="460" t="s">
        <v>230</v>
      </c>
      <c r="V4" s="1398" t="s">
        <v>232</v>
      </c>
      <c r="W4" s="460" t="s">
        <v>230</v>
      </c>
      <c r="X4" s="1397" t="s">
        <v>232</v>
      </c>
      <c r="Y4" s="2666"/>
      <c r="Z4" s="2680"/>
      <c r="AA4" s="2682"/>
      <c r="AB4" s="2682"/>
      <c r="AC4" s="2682"/>
      <c r="AD4" s="2682"/>
      <c r="AE4" s="2550"/>
      <c r="AF4" s="2671"/>
      <c r="AG4" s="2671"/>
      <c r="AH4" s="461"/>
      <c r="AI4" s="454"/>
      <c r="AJ4" s="454"/>
    </row>
    <row r="5" spans="1:36" ht="30" customHeight="1">
      <c r="A5" s="1409"/>
      <c r="B5" s="1395" t="s">
        <v>233</v>
      </c>
      <c r="C5" s="462">
        <f>E5+G5+I5+K5+M5+O5+U5+W5+Q5+S5</f>
        <v>10073</v>
      </c>
      <c r="D5" s="463">
        <f>F5+H5+J5+L5+N5+P5+V5+X5+R5+T5</f>
        <v>3684240000</v>
      </c>
      <c r="E5" s="464">
        <f>'R5介護'!$E$16</f>
        <v>2</v>
      </c>
      <c r="F5" s="465">
        <f>'R5介護'!$F$16+F52</f>
        <v>820000</v>
      </c>
      <c r="G5" s="466">
        <f>D32</f>
        <v>1347</v>
      </c>
      <c r="H5" s="467">
        <f>E32</f>
        <v>799430000</v>
      </c>
      <c r="I5" s="468">
        <f>D44</f>
        <v>4176</v>
      </c>
      <c r="J5" s="465">
        <f>E44</f>
        <v>2020950000</v>
      </c>
      <c r="K5" s="466">
        <f>'R5介護'!K16</f>
        <v>0</v>
      </c>
      <c r="L5" s="469">
        <f>'R5介護'!L16</f>
        <v>0</v>
      </c>
      <c r="M5" s="466">
        <f>'R5介護'!$M$16</f>
        <v>5</v>
      </c>
      <c r="N5" s="467">
        <f>'R5介護'!$N$16</f>
        <v>4110000</v>
      </c>
      <c r="O5" s="466">
        <f>'R5介護'!$O$16</f>
        <v>0</v>
      </c>
      <c r="P5" s="469">
        <f>'R5介護'!$P$16</f>
        <v>0</v>
      </c>
      <c r="Q5" s="1723">
        <f>N32</f>
        <v>413</v>
      </c>
      <c r="R5" s="1724">
        <f>O32</f>
        <v>83090000</v>
      </c>
      <c r="S5" s="1723">
        <f>N44</f>
        <v>3659</v>
      </c>
      <c r="T5" s="1725">
        <f>O44</f>
        <v>549640000</v>
      </c>
      <c r="U5" s="466">
        <f>S32</f>
        <v>382</v>
      </c>
      <c r="V5" s="467">
        <f>T32</f>
        <v>199920000</v>
      </c>
      <c r="W5" s="466">
        <f>S39</f>
        <v>89</v>
      </c>
      <c r="X5" s="470">
        <f>T39</f>
        <v>26280000</v>
      </c>
      <c r="Y5" s="1566" t="s">
        <v>567</v>
      </c>
      <c r="Z5" s="1181">
        <v>1.0249999999999999</v>
      </c>
      <c r="AA5" s="472"/>
      <c r="AB5" s="473"/>
      <c r="AC5" s="472"/>
      <c r="AD5" s="472"/>
      <c r="AE5" s="472"/>
      <c r="AF5" s="473"/>
      <c r="AG5" s="473"/>
      <c r="AH5" s="474"/>
      <c r="AI5" s="454"/>
      <c r="AJ5" s="454"/>
    </row>
    <row r="6" spans="1:36" ht="30" customHeight="1">
      <c r="B6" s="1396" t="s">
        <v>62</v>
      </c>
      <c r="C6" s="475">
        <f t="shared" ref="C6:D16" si="0">E6+G6+I6+K6+M6+O6+U6+W6+Q6+S6</f>
        <v>10099</v>
      </c>
      <c r="D6" s="476">
        <f t="shared" si="0"/>
        <v>3692192000</v>
      </c>
      <c r="E6" s="477">
        <f>E5</f>
        <v>2</v>
      </c>
      <c r="F6" s="478">
        <f>'R5介護'!$F$16+F53</f>
        <v>820000</v>
      </c>
      <c r="G6" s="479">
        <f>G5+G71+G107-G89</f>
        <v>1353</v>
      </c>
      <c r="H6" s="480">
        <f>H5+H71-H89+H107+H53</f>
        <v>801950000</v>
      </c>
      <c r="I6" s="479">
        <f t="shared" ref="I6:I16" si="1">I5+I71+I107-I89</f>
        <v>4190</v>
      </c>
      <c r="J6" s="480">
        <f t="shared" ref="J6:J16" si="2">J5+J71-J89+J107+J53</f>
        <v>2026690000</v>
      </c>
      <c r="K6" s="479">
        <f t="shared" ref="K6:P16" si="3">K5</f>
        <v>0</v>
      </c>
      <c r="L6" s="481">
        <f t="shared" si="3"/>
        <v>0</v>
      </c>
      <c r="M6" s="479">
        <f t="shared" si="3"/>
        <v>5</v>
      </c>
      <c r="N6" s="480">
        <f t="shared" si="3"/>
        <v>4110000</v>
      </c>
      <c r="O6" s="479">
        <f>O5</f>
        <v>0</v>
      </c>
      <c r="P6" s="481">
        <f t="shared" si="3"/>
        <v>0</v>
      </c>
      <c r="Q6" s="479">
        <f>Q5+Q71+Q107-Q89</f>
        <v>413</v>
      </c>
      <c r="R6" s="480">
        <f>R5+R71-R89+R107+R53</f>
        <v>82810000</v>
      </c>
      <c r="S6" s="479">
        <f>S5+S71+S107-S89</f>
        <v>3663</v>
      </c>
      <c r="T6" s="481">
        <f>T5+T71+T107-T89</f>
        <v>548752000</v>
      </c>
      <c r="U6" s="479">
        <f>U5+U71+U107-U89</f>
        <v>384</v>
      </c>
      <c r="V6" s="480">
        <f t="shared" ref="V6:V16" si="4">V5+V71-V89+V107+V53</f>
        <v>200830000</v>
      </c>
      <c r="W6" s="479">
        <f>W5+W71+W107-W89</f>
        <v>89</v>
      </c>
      <c r="X6" s="482">
        <f>X5+X71-X89+X107</f>
        <v>26230000</v>
      </c>
      <c r="Y6" s="483" t="s">
        <v>234</v>
      </c>
      <c r="Z6" s="922">
        <v>2</v>
      </c>
      <c r="AA6" s="484"/>
      <c r="AB6" s="485"/>
      <c r="AC6" s="485"/>
      <c r="AD6" s="485"/>
      <c r="AE6" s="485"/>
      <c r="AF6" s="486"/>
      <c r="AG6" s="486"/>
      <c r="AH6" s="474"/>
      <c r="AI6" s="454"/>
      <c r="AJ6" s="454"/>
    </row>
    <row r="7" spans="1:36" ht="30" customHeight="1">
      <c r="B7" s="1396" t="s">
        <v>63</v>
      </c>
      <c r="C7" s="475">
        <f t="shared" si="0"/>
        <v>10104</v>
      </c>
      <c r="D7" s="476">
        <f t="shared" si="0"/>
        <v>3697310000</v>
      </c>
      <c r="E7" s="477">
        <f>E6</f>
        <v>2</v>
      </c>
      <c r="F7" s="478">
        <f>'R5介護'!$F$16+F54</f>
        <v>820000</v>
      </c>
      <c r="G7" s="479">
        <f t="shared" ref="G7:G15" si="5">G6+G72+G108-G90</f>
        <v>1357</v>
      </c>
      <c r="H7" s="480">
        <f t="shared" ref="H7:H16" si="6">H6+H72-H90+H108+H54</f>
        <v>803640000</v>
      </c>
      <c r="I7" s="479">
        <f t="shared" si="1"/>
        <v>4203</v>
      </c>
      <c r="J7" s="480">
        <f t="shared" si="2"/>
        <v>2031930000</v>
      </c>
      <c r="K7" s="479">
        <f t="shared" si="3"/>
        <v>0</v>
      </c>
      <c r="L7" s="481">
        <f t="shared" si="3"/>
        <v>0</v>
      </c>
      <c r="M7" s="479">
        <f t="shared" si="3"/>
        <v>5</v>
      </c>
      <c r="N7" s="480">
        <f t="shared" si="3"/>
        <v>4110000</v>
      </c>
      <c r="O7" s="479">
        <f t="shared" si="3"/>
        <v>0</v>
      </c>
      <c r="P7" s="481">
        <f>P6</f>
        <v>0</v>
      </c>
      <c r="Q7" s="1726">
        <f t="shared" ref="Q7:Q16" si="7">Q6+Q72+Q108-Q90</f>
        <v>416</v>
      </c>
      <c r="R7" s="1025">
        <f t="shared" ref="R7:R16" si="8">R6+R72-R90+R108+R54</f>
        <v>83478000</v>
      </c>
      <c r="S7" s="1726">
        <f>S6+S72+S108-S90</f>
        <v>3644</v>
      </c>
      <c r="T7" s="481">
        <f t="shared" ref="T7:U16" si="9">T6+T72+T108-T90</f>
        <v>545042000</v>
      </c>
      <c r="U7" s="479">
        <f t="shared" si="9"/>
        <v>387</v>
      </c>
      <c r="V7" s="480">
        <f t="shared" si="4"/>
        <v>202180000</v>
      </c>
      <c r="W7" s="479">
        <f t="shared" ref="W7:W16" si="10">W6+W72+W108-W90</f>
        <v>90</v>
      </c>
      <c r="X7" s="482">
        <f t="shared" ref="X7:X16" si="11">X6+X72-X90+X108</f>
        <v>26110000</v>
      </c>
      <c r="Y7" s="487">
        <f>SUM(Z7:AG7)</f>
        <v>5771473000</v>
      </c>
      <c r="Z7" s="1727">
        <f>ROUNDDOWN(('R5介護'!Z$7+'R5介護'!Z$8)/'R5介護'!Z$6*'R6介護'!Z6,-3)</f>
        <v>2277000</v>
      </c>
      <c r="AA7" s="1728">
        <f>ROUNDDOWN(('R5介護'!AA$7+'R5介護'!AA8)/'R5介護'!Z$6*'R6介護'!Z6/'R5介護'!G$7*'R6介護'!G7,-3)</f>
        <v>1136705000</v>
      </c>
      <c r="AB7" s="1728">
        <f>ROUNDDOWN(('R5介護'!AB$7+'R5介護'!AB8)/'R5介護'!Z$6*'R6介護'!Z6/'R5介護'!I$7*'R6介護'!I7,-3)</f>
        <v>3699858000</v>
      </c>
      <c r="AC7" s="1729">
        <v>0</v>
      </c>
      <c r="AD7" s="1583">
        <v>10831000</v>
      </c>
      <c r="AE7" s="1588">
        <f>ROUNDDOWN(('R5介護'!AF$7+'R5介護'!AF8)/'R5介護'!Z$6*'R6介護'!Z6/('R5介護'!S$7+'R5介護'!Q$7)*('R6介護'!S7+'R6介護'!Q7),-3)</f>
        <v>579588000</v>
      </c>
      <c r="AF7" s="1730">
        <v>0</v>
      </c>
      <c r="AG7" s="1728">
        <f>ROUNDDOWN(('R5介護'!AH$7+'R5介護'!AH8)/'R5介護'!Z$6*'R6介護'!Z6/'R5介護'!U$7*'R6介護'!U7,-3)</f>
        <v>342214000</v>
      </c>
      <c r="AH7" s="489"/>
      <c r="AI7" s="454">
        <f>ROUNDDOWN(('R5介護'!AF$7+'R5介護'!AF8)/'R5介護'!Z$6*'R6介護'!Z6/'R5介護'!S$7*'R6介護'!S7,-3)</f>
        <v>581339000</v>
      </c>
      <c r="AJ7" s="454">
        <f>ROUNDDOWN(('R5介護'!AF$7+'R5介護'!AF8)/'R5介護'!Z$6*'R6介護'!Z6/'R5介護'!Q$7*'R6介護'!Q7,-3)</f>
        <v>564687000</v>
      </c>
    </row>
    <row r="8" spans="1:36" ht="30" customHeight="1">
      <c r="A8" s="490"/>
      <c r="B8" s="1396" t="s">
        <v>64</v>
      </c>
      <c r="C8" s="475">
        <f t="shared" si="0"/>
        <v>10085</v>
      </c>
      <c r="D8" s="476">
        <f t="shared" si="0"/>
        <v>3755306000</v>
      </c>
      <c r="E8" s="477">
        <f>E7</f>
        <v>2</v>
      </c>
      <c r="F8" s="478">
        <f>'R5介護'!$F$16+F55</f>
        <v>820000</v>
      </c>
      <c r="G8" s="479">
        <f t="shared" si="5"/>
        <v>1358</v>
      </c>
      <c r="H8" s="480">
        <f>H7+H73-H91+H109+H55</f>
        <v>818360000</v>
      </c>
      <c r="I8" s="479">
        <f t="shared" si="1"/>
        <v>4216</v>
      </c>
      <c r="J8" s="480">
        <f>J7+J73-J91+J109+J55</f>
        <v>2078670000</v>
      </c>
      <c r="K8" s="479">
        <f t="shared" si="3"/>
        <v>0</v>
      </c>
      <c r="L8" s="481">
        <f t="shared" si="3"/>
        <v>0</v>
      </c>
      <c r="M8" s="479">
        <f t="shared" si="3"/>
        <v>5</v>
      </c>
      <c r="N8" s="480">
        <f t="shared" si="3"/>
        <v>4110000</v>
      </c>
      <c r="O8" s="479">
        <f t="shared" si="3"/>
        <v>0</v>
      </c>
      <c r="P8" s="481">
        <f t="shared" si="3"/>
        <v>0</v>
      </c>
      <c r="Q8" s="1726">
        <f t="shared" si="7"/>
        <v>416</v>
      </c>
      <c r="R8" s="1025">
        <f t="shared" si="8"/>
        <v>83308000</v>
      </c>
      <c r="S8" s="1726">
        <f t="shared" ref="S8:S16" si="12">S7+S73+S109-S91</f>
        <v>3609</v>
      </c>
      <c r="T8" s="481">
        <f t="shared" si="9"/>
        <v>540504000</v>
      </c>
      <c r="U8" s="479">
        <f t="shared" si="9"/>
        <v>388</v>
      </c>
      <c r="V8" s="480">
        <f t="shared" si="4"/>
        <v>203350000</v>
      </c>
      <c r="W8" s="479">
        <f t="shared" si="10"/>
        <v>91</v>
      </c>
      <c r="X8" s="482">
        <f t="shared" si="11"/>
        <v>26184000</v>
      </c>
      <c r="Y8" s="491">
        <f>SUM(Z8:AG8)</f>
        <v>0</v>
      </c>
      <c r="Z8" s="1575"/>
      <c r="AA8" s="492"/>
      <c r="AB8" s="1017"/>
      <c r="AC8" s="493"/>
      <c r="AD8" s="494"/>
      <c r="AE8" s="507"/>
      <c r="AF8" s="497"/>
      <c r="AG8" s="492"/>
      <c r="AH8" s="496"/>
      <c r="AI8" s="454"/>
      <c r="AJ8" s="454"/>
    </row>
    <row r="9" spans="1:36" ht="30" customHeight="1">
      <c r="B9" s="1396" t="s">
        <v>65</v>
      </c>
      <c r="C9" s="475">
        <f t="shared" si="0"/>
        <v>10093</v>
      </c>
      <c r="D9" s="476">
        <f>F9+H9+J9+L9+N9+P9+V9+X9+R9+T9</f>
        <v>3762958000</v>
      </c>
      <c r="E9" s="477">
        <f>E8</f>
        <v>2</v>
      </c>
      <c r="F9" s="478">
        <f>'R5介護'!$F$16+F56</f>
        <v>820000</v>
      </c>
      <c r="G9" s="479">
        <f t="shared" si="5"/>
        <v>1366</v>
      </c>
      <c r="H9" s="480">
        <f>H8+H74-H92+H110+H56</f>
        <v>823250000</v>
      </c>
      <c r="I9" s="479">
        <f t="shared" si="1"/>
        <v>4230</v>
      </c>
      <c r="J9" s="480">
        <f t="shared" si="2"/>
        <v>2084220000</v>
      </c>
      <c r="K9" s="479">
        <f t="shared" si="3"/>
        <v>0</v>
      </c>
      <c r="L9" s="481">
        <f t="shared" si="3"/>
        <v>0</v>
      </c>
      <c r="M9" s="479">
        <f t="shared" si="3"/>
        <v>5</v>
      </c>
      <c r="N9" s="480">
        <f>N8</f>
        <v>4110000</v>
      </c>
      <c r="O9" s="479">
        <f t="shared" si="3"/>
        <v>0</v>
      </c>
      <c r="P9" s="481">
        <f t="shared" si="3"/>
        <v>0</v>
      </c>
      <c r="Q9" s="1726">
        <f t="shared" si="7"/>
        <v>417</v>
      </c>
      <c r="R9" s="1025">
        <f t="shared" si="8"/>
        <v>83302000</v>
      </c>
      <c r="S9" s="1726">
        <f t="shared" si="12"/>
        <v>3591</v>
      </c>
      <c r="T9" s="481">
        <f>T8+T74+T110-T92</f>
        <v>536260000</v>
      </c>
      <c r="U9" s="479">
        <f t="shared" si="9"/>
        <v>391</v>
      </c>
      <c r="V9" s="480">
        <f t="shared" si="4"/>
        <v>204820000</v>
      </c>
      <c r="W9" s="479">
        <f t="shared" si="10"/>
        <v>91</v>
      </c>
      <c r="X9" s="482">
        <f t="shared" si="11"/>
        <v>26176000</v>
      </c>
      <c r="Y9" s="471"/>
      <c r="Z9" s="1578"/>
      <c r="AA9" s="497"/>
      <c r="AB9" s="498" t="s">
        <v>301</v>
      </c>
      <c r="AC9" s="1189"/>
      <c r="AD9" s="500"/>
      <c r="AE9" s="500"/>
      <c r="AF9" s="497"/>
      <c r="AG9" s="501"/>
      <c r="AH9" s="496"/>
      <c r="AI9" s="454"/>
      <c r="AJ9" s="454"/>
    </row>
    <row r="10" spans="1:36" ht="30" customHeight="1">
      <c r="B10" s="1396" t="s">
        <v>66</v>
      </c>
      <c r="C10" s="475">
        <f t="shared" si="0"/>
        <v>10120</v>
      </c>
      <c r="D10" s="476">
        <f>F10+H10+J10+L10+N10+P10+V10+X10+R10+T10</f>
        <v>3773102000</v>
      </c>
      <c r="E10" s="477">
        <f t="shared" ref="E10:E15" si="13">E9</f>
        <v>2</v>
      </c>
      <c r="F10" s="478">
        <f>'R5介護'!$F$16+F57</f>
        <v>820000</v>
      </c>
      <c r="G10" s="479">
        <f t="shared" si="5"/>
        <v>1374</v>
      </c>
      <c r="H10" s="480">
        <f t="shared" si="6"/>
        <v>827080000</v>
      </c>
      <c r="I10" s="479">
        <f t="shared" si="1"/>
        <v>4247</v>
      </c>
      <c r="J10" s="480">
        <f t="shared" si="2"/>
        <v>2090970000</v>
      </c>
      <c r="K10" s="479">
        <f t="shared" si="3"/>
        <v>0</v>
      </c>
      <c r="L10" s="481">
        <f t="shared" si="3"/>
        <v>0</v>
      </c>
      <c r="M10" s="479">
        <f t="shared" si="3"/>
        <v>5</v>
      </c>
      <c r="N10" s="480">
        <f t="shared" si="3"/>
        <v>4110000</v>
      </c>
      <c r="O10" s="479">
        <f t="shared" si="3"/>
        <v>0</v>
      </c>
      <c r="P10" s="481">
        <f t="shared" si="3"/>
        <v>0</v>
      </c>
      <c r="Q10" s="1726">
        <f t="shared" si="7"/>
        <v>421</v>
      </c>
      <c r="R10" s="1025">
        <f t="shared" si="8"/>
        <v>83798000</v>
      </c>
      <c r="S10" s="1726">
        <f t="shared" si="12"/>
        <v>3590</v>
      </c>
      <c r="T10" s="481">
        <f t="shared" si="9"/>
        <v>535756000</v>
      </c>
      <c r="U10" s="479">
        <f t="shared" si="9"/>
        <v>393</v>
      </c>
      <c r="V10" s="480">
        <f t="shared" si="4"/>
        <v>205730000</v>
      </c>
      <c r="W10" s="479">
        <f>W9+W75+W111-W93</f>
        <v>88</v>
      </c>
      <c r="X10" s="502">
        <f>X9+X75-X93+X111</f>
        <v>24838000</v>
      </c>
      <c r="Y10" s="471"/>
      <c r="Z10" s="503"/>
      <c r="AA10" s="504"/>
      <c r="AB10" s="505"/>
      <c r="AC10" s="1191"/>
      <c r="AD10" s="507"/>
      <c r="AE10" s="507"/>
      <c r="AF10" s="497"/>
      <c r="AG10" s="508"/>
      <c r="AH10" s="496"/>
      <c r="AI10" s="454"/>
      <c r="AJ10" s="454"/>
    </row>
    <row r="11" spans="1:36" ht="30" customHeight="1">
      <c r="A11" s="490"/>
      <c r="B11" s="1396" t="s">
        <v>67</v>
      </c>
      <c r="C11" s="475">
        <f t="shared" si="0"/>
        <v>10152</v>
      </c>
      <c r="D11" s="476">
        <f t="shared" si="0"/>
        <v>3782157400</v>
      </c>
      <c r="E11" s="477">
        <f t="shared" si="13"/>
        <v>2</v>
      </c>
      <c r="F11" s="478">
        <f>'R5介護'!$F$16+F58</f>
        <v>820000</v>
      </c>
      <c r="G11" s="479">
        <f>G10+G76+G112-G94</f>
        <v>1380</v>
      </c>
      <c r="H11" s="480">
        <f>H10+H76-H94+H112+H58</f>
        <v>830150000</v>
      </c>
      <c r="I11" s="479">
        <f t="shared" si="1"/>
        <v>4249</v>
      </c>
      <c r="J11" s="480">
        <f t="shared" si="2"/>
        <v>2092730000</v>
      </c>
      <c r="K11" s="479">
        <f t="shared" si="3"/>
        <v>0</v>
      </c>
      <c r="L11" s="481">
        <f t="shared" si="3"/>
        <v>0</v>
      </c>
      <c r="M11" s="479">
        <f t="shared" si="3"/>
        <v>5</v>
      </c>
      <c r="N11" s="480">
        <f t="shared" si="3"/>
        <v>4110000</v>
      </c>
      <c r="O11" s="479">
        <f t="shared" si="3"/>
        <v>0</v>
      </c>
      <c r="P11" s="481">
        <f t="shared" si="3"/>
        <v>0</v>
      </c>
      <c r="Q11" s="1726">
        <f t="shared" si="7"/>
        <v>423</v>
      </c>
      <c r="R11" s="1025">
        <f t="shared" si="8"/>
        <v>84150000</v>
      </c>
      <c r="S11" s="1726">
        <f t="shared" si="12"/>
        <v>3609</v>
      </c>
      <c r="T11" s="481">
        <f t="shared" si="9"/>
        <v>538369400</v>
      </c>
      <c r="U11" s="479">
        <f t="shared" si="9"/>
        <v>396</v>
      </c>
      <c r="V11" s="480">
        <f t="shared" si="4"/>
        <v>207050000</v>
      </c>
      <c r="W11" s="479">
        <f t="shared" si="10"/>
        <v>88</v>
      </c>
      <c r="X11" s="509">
        <f t="shared" si="11"/>
        <v>24778000</v>
      </c>
      <c r="Y11" s="1566" t="s">
        <v>567</v>
      </c>
      <c r="Z11" s="1181">
        <v>1.0249999999999999</v>
      </c>
      <c r="AA11" s="497"/>
      <c r="AB11" s="501"/>
      <c r="AC11" s="497"/>
      <c r="AD11" s="507"/>
      <c r="AE11" s="507"/>
      <c r="AF11" s="497"/>
      <c r="AG11" s="501"/>
      <c r="AH11" s="496"/>
      <c r="AI11" s="454"/>
      <c r="AJ11" s="454"/>
    </row>
    <row r="12" spans="1:36" ht="30" customHeight="1">
      <c r="B12" s="1396" t="s">
        <v>68</v>
      </c>
      <c r="C12" s="475">
        <f t="shared" si="0"/>
        <v>10158</v>
      </c>
      <c r="D12" s="476">
        <f t="shared" si="0"/>
        <v>3787689400</v>
      </c>
      <c r="E12" s="510">
        <f t="shared" si="13"/>
        <v>2</v>
      </c>
      <c r="F12" s="478">
        <f>'R5介護'!$F$16+F59</f>
        <v>820000</v>
      </c>
      <c r="G12" s="479">
        <f t="shared" si="5"/>
        <v>1385</v>
      </c>
      <c r="H12" s="480">
        <f t="shared" si="6"/>
        <v>832690000</v>
      </c>
      <c r="I12" s="479">
        <f t="shared" si="1"/>
        <v>4260</v>
      </c>
      <c r="J12" s="480">
        <f t="shared" si="2"/>
        <v>2097330000</v>
      </c>
      <c r="K12" s="479">
        <f t="shared" si="3"/>
        <v>0</v>
      </c>
      <c r="L12" s="481">
        <f t="shared" si="3"/>
        <v>0</v>
      </c>
      <c r="M12" s="479">
        <f t="shared" si="3"/>
        <v>5</v>
      </c>
      <c r="N12" s="480">
        <f t="shared" si="3"/>
        <v>4110000</v>
      </c>
      <c r="O12" s="479">
        <f t="shared" si="3"/>
        <v>0</v>
      </c>
      <c r="P12" s="481">
        <f t="shared" si="3"/>
        <v>0</v>
      </c>
      <c r="Q12" s="1726">
        <f t="shared" si="7"/>
        <v>421</v>
      </c>
      <c r="R12" s="1025">
        <f t="shared" si="8"/>
        <v>83602000</v>
      </c>
      <c r="S12" s="1726">
        <f t="shared" si="12"/>
        <v>3596</v>
      </c>
      <c r="T12" s="481">
        <f t="shared" si="9"/>
        <v>535619400</v>
      </c>
      <c r="U12" s="479">
        <f t="shared" si="9"/>
        <v>399</v>
      </c>
      <c r="V12" s="480">
        <f t="shared" si="4"/>
        <v>208340000</v>
      </c>
      <c r="W12" s="479">
        <f>W11+W77+W113-W95</f>
        <v>90</v>
      </c>
      <c r="X12" s="509">
        <f t="shared" si="11"/>
        <v>25178000</v>
      </c>
      <c r="Y12" s="483" t="s">
        <v>234</v>
      </c>
      <c r="Z12" s="922">
        <v>2</v>
      </c>
      <c r="AA12" s="511"/>
      <c r="AB12" s="501"/>
      <c r="AC12" s="497"/>
      <c r="AD12" s="507"/>
      <c r="AE12" s="507"/>
      <c r="AF12" s="497"/>
      <c r="AG12" s="484"/>
      <c r="AH12" s="496"/>
      <c r="AI12" s="454"/>
      <c r="AJ12" s="454"/>
    </row>
    <row r="13" spans="1:36" ht="30" customHeight="1">
      <c r="B13" s="1396" t="s">
        <v>69</v>
      </c>
      <c r="C13" s="475">
        <f t="shared" si="0"/>
        <v>10160</v>
      </c>
      <c r="D13" s="476">
        <f t="shared" si="0"/>
        <v>3794927400</v>
      </c>
      <c r="E13" s="512">
        <f t="shared" si="13"/>
        <v>2</v>
      </c>
      <c r="F13" s="478">
        <f>'R5介護'!$F$16+F60</f>
        <v>820000</v>
      </c>
      <c r="G13" s="479">
        <f t="shared" si="5"/>
        <v>1393</v>
      </c>
      <c r="H13" s="480">
        <f t="shared" si="6"/>
        <v>838020000</v>
      </c>
      <c r="I13" s="479">
        <f t="shared" si="1"/>
        <v>4274</v>
      </c>
      <c r="J13" s="480">
        <f t="shared" si="2"/>
        <v>2103080000</v>
      </c>
      <c r="K13" s="513">
        <f t="shared" si="3"/>
        <v>0</v>
      </c>
      <c r="L13" s="514">
        <f t="shared" si="3"/>
        <v>0</v>
      </c>
      <c r="M13" s="479">
        <f t="shared" si="3"/>
        <v>5</v>
      </c>
      <c r="N13" s="515">
        <f t="shared" si="3"/>
        <v>4110000</v>
      </c>
      <c r="O13" s="479">
        <f t="shared" si="3"/>
        <v>0</v>
      </c>
      <c r="P13" s="514">
        <f t="shared" si="3"/>
        <v>0</v>
      </c>
      <c r="Q13" s="1731">
        <f t="shared" si="7"/>
        <v>416</v>
      </c>
      <c r="R13" s="1028">
        <f t="shared" si="8"/>
        <v>82878000</v>
      </c>
      <c r="S13" s="1731">
        <f t="shared" si="12"/>
        <v>3580</v>
      </c>
      <c r="T13" s="514">
        <f t="shared" si="9"/>
        <v>532311400</v>
      </c>
      <c r="U13" s="479">
        <f t="shared" si="9"/>
        <v>400</v>
      </c>
      <c r="V13" s="480">
        <f t="shared" si="4"/>
        <v>208750000</v>
      </c>
      <c r="W13" s="479">
        <f>W12+W78+W114-W96</f>
        <v>90</v>
      </c>
      <c r="X13" s="514">
        <f>X12+X78-X96+X114</f>
        <v>24958000</v>
      </c>
      <c r="Y13" s="487">
        <f>SUM(Z13:AG13)</f>
        <v>5860167000</v>
      </c>
      <c r="Z13" s="1727">
        <f>ROUNDDOWN(('R5介護'!Z13+'R5介護'!Z14)/'R5介護'!$Z$12*'R6介護'!$Z$12,-3)</f>
        <v>2277000</v>
      </c>
      <c r="AA13" s="1728">
        <f>ROUNDDOWN(('R5介護'!AA$13+'R5介護'!AA14)/'R5介護'!$Z$12*'R6介護'!$Z$12/'R5介護'!G$13*'R6介護'!G13,-3)</f>
        <v>1165197000</v>
      </c>
      <c r="AB13" s="1728">
        <f>ROUNDDOWN(('R5介護'!AB$13+'R5介護'!AB14)/'R5介護'!$Z$12*'R6介護'!$Z$12/'R5介護'!I$13*'R6介護'!I13,-3)</f>
        <v>3757851000</v>
      </c>
      <c r="AC13" s="1730">
        <f>ROUNDDOWN(('R5介護'!AC$13+'R5介護'!AC14)/'R5介護'!$Z$12*'R6介護'!$Z$12/'R5介護'!J$13*'R6介護'!J13,-3)</f>
        <v>0</v>
      </c>
      <c r="AD13" s="1583">
        <v>10681000</v>
      </c>
      <c r="AE13" s="1588">
        <f>ROUNDDOWN(('R5介護'!AF$7+'R5介護'!AF14)/'R5介護'!Z$6*'R6介護'!Z12/('R5介護'!S$7+'R5介護'!Q$7)*('R6介護'!S13+'R6介護'!Q13),-3)</f>
        <v>570452000</v>
      </c>
      <c r="AF13" s="1730">
        <v>0</v>
      </c>
      <c r="AG13" s="488">
        <f>ROUNDDOWN(('R5介護'!AH13+'R5介護'!AH14)/'R5介護'!Z12*'R6介護'!Z12/'R5介護'!U13*'R6介護'!U13,-3)</f>
        <v>353709000</v>
      </c>
      <c r="AH13" s="489"/>
      <c r="AI13" s="454"/>
      <c r="AJ13" s="454"/>
    </row>
    <row r="14" spans="1:36" ht="30" customHeight="1">
      <c r="A14" s="490"/>
      <c r="B14" s="1396" t="s">
        <v>70</v>
      </c>
      <c r="C14" s="475">
        <f t="shared" si="0"/>
        <v>10161</v>
      </c>
      <c r="D14" s="476">
        <f t="shared" si="0"/>
        <v>3800539400</v>
      </c>
      <c r="E14" s="512">
        <f t="shared" si="13"/>
        <v>2</v>
      </c>
      <c r="F14" s="478">
        <f>'R5介護'!$F$16+F61</f>
        <v>820000</v>
      </c>
      <c r="G14" s="479">
        <f t="shared" si="5"/>
        <v>1394</v>
      </c>
      <c r="H14" s="480">
        <f t="shared" si="6"/>
        <v>838900000</v>
      </c>
      <c r="I14" s="479">
        <f t="shared" si="1"/>
        <v>4288</v>
      </c>
      <c r="J14" s="480">
        <f t="shared" si="2"/>
        <v>2109720000</v>
      </c>
      <c r="K14" s="513">
        <f t="shared" si="3"/>
        <v>0</v>
      </c>
      <c r="L14" s="514">
        <f t="shared" si="3"/>
        <v>0</v>
      </c>
      <c r="M14" s="479">
        <f t="shared" si="3"/>
        <v>5</v>
      </c>
      <c r="N14" s="515">
        <f t="shared" si="3"/>
        <v>4110000</v>
      </c>
      <c r="O14" s="479">
        <f t="shared" si="3"/>
        <v>0</v>
      </c>
      <c r="P14" s="514">
        <f t="shared" si="3"/>
        <v>0</v>
      </c>
      <c r="Q14" s="1731">
        <f t="shared" si="7"/>
        <v>416</v>
      </c>
      <c r="R14" s="1028">
        <f t="shared" si="8"/>
        <v>82692000</v>
      </c>
      <c r="S14" s="1731">
        <f t="shared" si="12"/>
        <v>3562</v>
      </c>
      <c r="T14" s="514">
        <f t="shared" si="9"/>
        <v>529019400</v>
      </c>
      <c r="U14" s="479">
        <f t="shared" si="9"/>
        <v>401</v>
      </c>
      <c r="V14" s="480">
        <f t="shared" si="4"/>
        <v>209130000</v>
      </c>
      <c r="W14" s="479">
        <f>W13+W79+W115-W97</f>
        <v>93</v>
      </c>
      <c r="X14" s="514">
        <f t="shared" si="11"/>
        <v>26148000</v>
      </c>
      <c r="Y14" s="1566" t="s">
        <v>567</v>
      </c>
      <c r="Z14" s="1181">
        <v>1.0249999999999999</v>
      </c>
      <c r="AA14" s="517"/>
      <c r="AB14" s="518"/>
      <c r="AC14" s="493"/>
      <c r="AD14" s="494"/>
      <c r="AE14" s="507"/>
      <c r="AF14" s="497"/>
      <c r="AG14" s="492"/>
      <c r="AH14" s="496"/>
      <c r="AI14" s="454"/>
      <c r="AJ14" s="454"/>
    </row>
    <row r="15" spans="1:36" ht="30" customHeight="1">
      <c r="A15" s="2658"/>
      <c r="B15" s="1396" t="s">
        <v>71</v>
      </c>
      <c r="C15" s="475">
        <f t="shared" si="0"/>
        <v>10152</v>
      </c>
      <c r="D15" s="476">
        <f>F15+H15+J15+L15+N15+P15+V15+X15+R15+T15</f>
        <v>3800981400</v>
      </c>
      <c r="E15" s="512">
        <f t="shared" si="13"/>
        <v>2</v>
      </c>
      <c r="F15" s="478">
        <f>'R5介護'!$F$16+F62</f>
        <v>820000</v>
      </c>
      <c r="G15" s="479">
        <f t="shared" si="5"/>
        <v>1385</v>
      </c>
      <c r="H15" s="480">
        <f t="shared" si="6"/>
        <v>837380000</v>
      </c>
      <c r="I15" s="479">
        <f t="shared" si="1"/>
        <v>4303</v>
      </c>
      <c r="J15" s="480">
        <f t="shared" si="2"/>
        <v>2116100000</v>
      </c>
      <c r="K15" s="513">
        <f t="shared" si="3"/>
        <v>0</v>
      </c>
      <c r="L15" s="514">
        <f t="shared" si="3"/>
        <v>0</v>
      </c>
      <c r="M15" s="479">
        <f>M14</f>
        <v>5</v>
      </c>
      <c r="N15" s="515">
        <f t="shared" si="3"/>
        <v>4110000</v>
      </c>
      <c r="O15" s="479">
        <f t="shared" si="3"/>
        <v>0</v>
      </c>
      <c r="P15" s="514">
        <f t="shared" si="3"/>
        <v>0</v>
      </c>
      <c r="Q15" s="1731">
        <f t="shared" si="7"/>
        <v>413</v>
      </c>
      <c r="R15" s="1028">
        <f t="shared" si="8"/>
        <v>82420000</v>
      </c>
      <c r="S15" s="1731">
        <f t="shared" si="12"/>
        <v>3552</v>
      </c>
      <c r="T15" s="514">
        <f t="shared" si="9"/>
        <v>526443400</v>
      </c>
      <c r="U15" s="479">
        <f t="shared" si="9"/>
        <v>401</v>
      </c>
      <c r="V15" s="480">
        <f t="shared" si="4"/>
        <v>208980000</v>
      </c>
      <c r="W15" s="479">
        <f t="shared" si="10"/>
        <v>91</v>
      </c>
      <c r="X15" s="514">
        <f t="shared" si="11"/>
        <v>24728000</v>
      </c>
      <c r="Y15" s="483" t="s">
        <v>234</v>
      </c>
      <c r="Z15" s="922">
        <v>0.4</v>
      </c>
      <c r="AA15" s="519"/>
      <c r="AB15" s="520" t="s">
        <v>302</v>
      </c>
      <c r="AC15" s="1194"/>
      <c r="AD15" s="500"/>
      <c r="AE15" s="500"/>
      <c r="AF15" s="1195"/>
      <c r="AG15" s="521"/>
      <c r="AH15" s="496"/>
      <c r="AI15" s="454"/>
      <c r="AJ15" s="454"/>
    </row>
    <row r="16" spans="1:36" ht="30" customHeight="1" thickBot="1">
      <c r="A16" s="2658"/>
      <c r="B16" s="522" t="s">
        <v>72</v>
      </c>
      <c r="C16" s="523">
        <f t="shared" si="0"/>
        <v>10132</v>
      </c>
      <c r="D16" s="524">
        <f t="shared" si="0"/>
        <v>3800285400</v>
      </c>
      <c r="E16" s="525">
        <f>E15</f>
        <v>2</v>
      </c>
      <c r="F16" s="526">
        <f>'R5介護'!$F$16+F63</f>
        <v>820000</v>
      </c>
      <c r="G16" s="527">
        <f>G15+G81+G117-G99</f>
        <v>1384</v>
      </c>
      <c r="H16" s="528">
        <f t="shared" si="6"/>
        <v>836090000</v>
      </c>
      <c r="I16" s="527">
        <f t="shared" si="1"/>
        <v>4316</v>
      </c>
      <c r="J16" s="528">
        <f t="shared" si="2"/>
        <v>2122060000</v>
      </c>
      <c r="K16" s="527">
        <f>K15</f>
        <v>0</v>
      </c>
      <c r="L16" s="529">
        <f>L15</f>
        <v>0</v>
      </c>
      <c r="M16" s="527">
        <f t="shared" si="3"/>
        <v>5</v>
      </c>
      <c r="N16" s="528">
        <f>N15</f>
        <v>4110000</v>
      </c>
      <c r="O16" s="527">
        <f t="shared" si="3"/>
        <v>0</v>
      </c>
      <c r="P16" s="529">
        <f t="shared" si="3"/>
        <v>0</v>
      </c>
      <c r="Q16" s="1732">
        <f t="shared" si="7"/>
        <v>416</v>
      </c>
      <c r="R16" s="1032">
        <f t="shared" si="8"/>
        <v>82920000</v>
      </c>
      <c r="S16" s="1732">
        <f t="shared" si="12"/>
        <v>3517</v>
      </c>
      <c r="T16" s="529">
        <f t="shared" si="9"/>
        <v>520517400</v>
      </c>
      <c r="U16" s="527">
        <f t="shared" si="9"/>
        <v>402</v>
      </c>
      <c r="V16" s="528">
        <f t="shared" si="4"/>
        <v>209480000</v>
      </c>
      <c r="W16" s="527">
        <f t="shared" si="10"/>
        <v>90</v>
      </c>
      <c r="X16" s="529">
        <f t="shared" si="11"/>
        <v>24288000</v>
      </c>
      <c r="Y16" s="530">
        <f>SUM(Z16:AG16)</f>
        <v>1177951000</v>
      </c>
      <c r="Z16" s="1733">
        <f>ROUNDDOWN(('R5介護'!Z13+'R5介護'!Z14)/'R5介護'!Z12*'R6介護'!Z15,-3)</f>
        <v>455000</v>
      </c>
      <c r="AA16" s="1734">
        <f>ROUNDDOWN(('R5介護'!AA13+'R5介護'!AA14)/'R5介護'!Z12*'R6介護'!Z15/'R5介護'!G13*'R6介護'!G16,-3)</f>
        <v>231533000</v>
      </c>
      <c r="AB16" s="1728">
        <f>ROUNDDOWN(('R5介護'!AB13+'R5介護'!AB14)/'R5介護'!Z12*'R6介護'!Z15/'R5介護'!I13*'R6介護'!I16,-3)</f>
        <v>758955000</v>
      </c>
      <c r="AC16" s="1730">
        <v>0</v>
      </c>
      <c r="AD16" s="1588">
        <v>2048000</v>
      </c>
      <c r="AE16" s="1588">
        <f>ROUNDDOWN('R5介護'!AF$16/'R5介護'!Z$15*'R6介護'!Z15/('R5介護'!S$16+'R5介護'!Q$16)*('R6介護'!S16+'R6介護'!Q16),-3)</f>
        <v>113865000</v>
      </c>
      <c r="AF16" s="1730">
        <v>0</v>
      </c>
      <c r="AG16" s="531">
        <f>ROUNDDOWN(('R5介護'!AH13+'R5介護'!AH14)/'R5介護'!Z12*'R6介護'!Z15/'R5介護'!U13*'R6介護'!U16,-3)</f>
        <v>71095000</v>
      </c>
      <c r="AH16" s="532"/>
      <c r="AI16" s="454"/>
      <c r="AJ16" s="454"/>
    </row>
    <row r="17" spans="2:36" ht="30" customHeight="1" thickBot="1">
      <c r="B17" s="533" t="s">
        <v>78</v>
      </c>
      <c r="C17" s="1735">
        <f>SUM(C5:C16)</f>
        <v>121489</v>
      </c>
      <c r="D17" s="1410">
        <f>SUM(D5:D16)</f>
        <v>45131688400</v>
      </c>
      <c r="E17" s="2797">
        <f>SUM(F5:F16)</f>
        <v>9840000</v>
      </c>
      <c r="F17" s="2791"/>
      <c r="G17" s="2790">
        <f>SUM(H5:H16)</f>
        <v>9886940000</v>
      </c>
      <c r="H17" s="2791"/>
      <c r="I17" s="2790">
        <f>SUM(J5:J16)</f>
        <v>24974450000</v>
      </c>
      <c r="J17" s="2791"/>
      <c r="K17" s="2790">
        <f>SUM(L5:L16)</f>
        <v>0</v>
      </c>
      <c r="L17" s="2791"/>
      <c r="M17" s="2790">
        <f>SUM(N5:N16)</f>
        <v>49320000</v>
      </c>
      <c r="N17" s="2791"/>
      <c r="O17" s="2790">
        <f>SUM(P5:P16)</f>
        <v>0</v>
      </c>
      <c r="P17" s="2798"/>
      <c r="Q17" s="2799">
        <f>SUM(R5:R16)</f>
        <v>998448000</v>
      </c>
      <c r="R17" s="2800"/>
      <c r="S17" s="2799">
        <f>SUM(T5:T16)</f>
        <v>6438234400</v>
      </c>
      <c r="T17" s="2800"/>
      <c r="U17" s="2790">
        <f>SUM(V5:V16)</f>
        <v>2468560000</v>
      </c>
      <c r="V17" s="2791"/>
      <c r="W17" s="2790">
        <f>SUM(X5:X16)</f>
        <v>305896000</v>
      </c>
      <c r="X17" s="2792"/>
      <c r="Y17" s="534">
        <f>SUM(Y5:Y16)</f>
        <v>12809591000</v>
      </c>
      <c r="Z17" s="535">
        <f>Z7+Z8+Z13+Z16</f>
        <v>5009000</v>
      </c>
      <c r="AA17" s="536">
        <f t="shared" ref="AA17:AG17" si="14">AA7+AA8+AA13+AA14+AA16</f>
        <v>2533435000</v>
      </c>
      <c r="AB17" s="537">
        <f t="shared" si="14"/>
        <v>8216664000</v>
      </c>
      <c r="AC17" s="536">
        <f t="shared" si="14"/>
        <v>0</v>
      </c>
      <c r="AD17" s="1736">
        <f>AD7+AD8+AD13+AD14+AD16</f>
        <v>23560000</v>
      </c>
      <c r="AE17" s="1736">
        <f>AE7+AE8+AE13+AE14+AE16</f>
        <v>1263905000</v>
      </c>
      <c r="AF17" s="537">
        <f t="shared" si="14"/>
        <v>0</v>
      </c>
      <c r="AG17" s="537">
        <f t="shared" si="14"/>
        <v>767018000</v>
      </c>
      <c r="AH17" s="538"/>
      <c r="AI17" s="539"/>
      <c r="AJ17" s="539"/>
    </row>
    <row r="18" spans="2:36" s="267" customFormat="1" ht="13.5" customHeight="1">
      <c r="B18" s="540"/>
      <c r="C18" s="1615" t="s">
        <v>235</v>
      </c>
      <c r="D18" s="542">
        <f>D16-'R5介護'!D16</f>
        <v>6666600</v>
      </c>
      <c r="E18" s="543"/>
      <c r="F18" s="542">
        <f>F16-'R5介護'!F16</f>
        <v>0</v>
      </c>
      <c r="G18" s="543"/>
      <c r="H18" s="542">
        <f>H16-'R5介護'!H16</f>
        <v>10090000</v>
      </c>
      <c r="I18" s="543"/>
      <c r="J18" s="542">
        <f>J16-'R5介護'!J16</f>
        <v>42910000</v>
      </c>
      <c r="K18" s="543"/>
      <c r="L18" s="543"/>
      <c r="M18" s="543"/>
      <c r="N18" s="542"/>
      <c r="O18" s="543"/>
      <c r="P18" s="543"/>
      <c r="Q18" s="543"/>
      <c r="R18" s="543"/>
      <c r="S18" s="543"/>
      <c r="T18" s="543"/>
      <c r="U18" s="543"/>
      <c r="V18" s="542">
        <f>V16-'R5介護'!V16</f>
        <v>2340000</v>
      </c>
      <c r="W18" s="543"/>
      <c r="X18" s="542">
        <f>X16-'R5介護'!X16</f>
        <v>-5632000</v>
      </c>
      <c r="Y18" s="544" t="s">
        <v>237</v>
      </c>
      <c r="Z18" s="545">
        <f>Z17-'R5介護'!Z17</f>
        <v>-0.25</v>
      </c>
      <c r="AA18" s="545">
        <f>AA17-'R5介護'!AA17</f>
        <v>-61618000</v>
      </c>
      <c r="AB18" s="545">
        <f>AB17-'R5介護'!AB17</f>
        <v>108355000</v>
      </c>
      <c r="AC18" s="545">
        <f>AC17-'R5介護'!AC17</f>
        <v>0</v>
      </c>
      <c r="AD18" s="1737">
        <f>AD17-'R5介護'!AD17</f>
        <v>150000</v>
      </c>
      <c r="AE18" s="1737">
        <f>AE17-'R5介護'!AF17</f>
        <v>-98156000</v>
      </c>
      <c r="AF18" s="545">
        <f>AF17-'R5介護'!AG17</f>
        <v>0</v>
      </c>
      <c r="AG18" s="545">
        <f>AG17-'R5介護'!AH17</f>
        <v>16269000</v>
      </c>
      <c r="AH18" s="538"/>
      <c r="AI18" s="539"/>
      <c r="AJ18" s="539"/>
    </row>
    <row r="19" spans="2:36" s="549" customFormat="1" ht="13.5">
      <c r="B19" s="267"/>
      <c r="C19" s="267" t="s">
        <v>238</v>
      </c>
      <c r="D19" s="546">
        <f>ROUND(D16/C16,0)</f>
        <v>375078</v>
      </c>
      <c r="E19" s="267"/>
      <c r="F19" s="1738"/>
      <c r="G19" s="267" t="s">
        <v>238</v>
      </c>
      <c r="H19" s="547">
        <f>ROUND(H16/G16,0)</f>
        <v>604111</v>
      </c>
      <c r="I19" s="267" t="s">
        <v>238</v>
      </c>
      <c r="J19" s="547">
        <f>ROUND(J16/I16,0)</f>
        <v>491673</v>
      </c>
      <c r="K19" s="548" t="s">
        <v>303</v>
      </c>
      <c r="N19" s="547">
        <f>ROUND((F16+H16+J16)/(E16+G16+I16),0)</f>
        <v>518935</v>
      </c>
      <c r="U19" s="267" t="s">
        <v>238</v>
      </c>
      <c r="V19" s="547">
        <f>ROUND(V16/U16,0)</f>
        <v>521095</v>
      </c>
      <c r="W19" s="267" t="s">
        <v>238</v>
      </c>
      <c r="X19" s="547">
        <f>ROUND(X16/W16,0)</f>
        <v>269867</v>
      </c>
      <c r="Y19" s="544" t="s">
        <v>241</v>
      </c>
      <c r="Z19" s="550"/>
      <c r="AA19" s="547">
        <f>ROUNDDOWN(AA17/G16,-3)</f>
        <v>1830000</v>
      </c>
      <c r="AB19" s="547">
        <f>ROUNDDOWN(AB17/I16,-3)</f>
        <v>1903000</v>
      </c>
      <c r="AC19" s="545"/>
      <c r="AD19" s="545"/>
      <c r="AE19" s="545"/>
      <c r="AF19" s="545"/>
      <c r="AG19" s="545">
        <f>ROUNDDOWN(AG17/U16,-3)</f>
        <v>1908000</v>
      </c>
    </row>
    <row r="20" spans="2:36" s="549" customFormat="1" ht="13.5">
      <c r="B20" s="2788" t="s">
        <v>243</v>
      </c>
      <c r="C20" s="2788"/>
      <c r="D20" s="546">
        <f>C16-'R5介護'!C16</f>
        <v>-128</v>
      </c>
      <c r="E20" s="551"/>
      <c r="F20" s="552"/>
      <c r="G20" s="552"/>
      <c r="H20" s="553"/>
      <c r="I20" s="554"/>
      <c r="J20" s="553"/>
      <c r="N20" s="549" t="s">
        <v>244</v>
      </c>
      <c r="O20" s="2795">
        <f>AVERAGE(C5:C16)</f>
        <v>10124.083333333334</v>
      </c>
      <c r="P20" s="2795"/>
      <c r="Q20" s="1411"/>
      <c r="R20" s="1411"/>
      <c r="S20" s="1411"/>
      <c r="T20" s="1411"/>
      <c r="U20" s="267"/>
      <c r="V20" s="555"/>
      <c r="W20" s="267"/>
      <c r="X20" s="547"/>
      <c r="Y20" s="547">
        <f>ROUNDDOWN(Y17/C16,-3)</f>
        <v>1264000</v>
      </c>
      <c r="Z20" s="565" t="s">
        <v>251</v>
      </c>
      <c r="AA20" s="2847">
        <f>ROUNDDOWN((Z17+AA17+AB17)/(E16+G16+I16),-3)</f>
        <v>1886000</v>
      </c>
      <c r="AB20" s="2847">
        <f>ROUNDDOWN(AB18/AVERAGE(H6:H17),-3)</f>
        <v>0</v>
      </c>
      <c r="AC20" s="619"/>
      <c r="AD20" s="619"/>
      <c r="AE20" s="619"/>
      <c r="AF20" s="1739"/>
      <c r="AG20" s="619"/>
    </row>
    <row r="21" spans="2:36" s="549" customFormat="1">
      <c r="B21" s="2788" t="s">
        <v>237</v>
      </c>
      <c r="C21" s="2788"/>
      <c r="D21" s="558">
        <f>D17-'R5介護'!D17</f>
        <v>-420830400</v>
      </c>
      <c r="E21" s="2903"/>
      <c r="F21" s="2903"/>
      <c r="G21" s="2903"/>
      <c r="H21" s="1740"/>
      <c r="I21" s="1741"/>
      <c r="J21" s="1742"/>
      <c r="K21" s="2904"/>
      <c r="L21" s="2904"/>
      <c r="M21" s="2904"/>
      <c r="N21" s="454"/>
      <c r="Y21" s="450" t="s">
        <v>250</v>
      </c>
      <c r="Z21" s="2905"/>
      <c r="AA21" s="2905"/>
      <c r="AB21" s="555"/>
      <c r="AC21" s="539"/>
      <c r="AD21" s="1743"/>
      <c r="AE21" s="1743"/>
      <c r="AF21" s="1744"/>
      <c r="AG21" s="454"/>
    </row>
    <row r="22" spans="2:36" s="267" customFormat="1">
      <c r="H22" s="1745"/>
      <c r="I22" s="1745"/>
      <c r="J22" s="1745"/>
      <c r="K22" s="1745"/>
      <c r="L22" s="1745"/>
      <c r="M22" s="574"/>
      <c r="N22" s="574"/>
      <c r="O22" s="574"/>
      <c r="P22" s="574"/>
      <c r="Q22" s="574"/>
      <c r="R22" s="574"/>
      <c r="S22" s="574"/>
      <c r="T22" s="574"/>
      <c r="U22" s="574"/>
      <c r="V22" s="573"/>
      <c r="W22" s="574"/>
      <c r="X22" s="574"/>
      <c r="Y22" s="546">
        <f>Y17-'R5介護'!Y17</f>
        <v>-35000000</v>
      </c>
      <c r="Z22" s="575"/>
      <c r="AA22" s="454"/>
      <c r="AB22" s="576"/>
      <c r="AC22" s="555"/>
      <c r="AD22" s="577"/>
      <c r="AE22" s="577"/>
      <c r="AF22" s="2902"/>
      <c r="AG22" s="2902"/>
      <c r="AH22" s="579"/>
    </row>
    <row r="23" spans="2:36" ht="13.5" customHeight="1">
      <c r="B23" s="580" t="s">
        <v>446</v>
      </c>
      <c r="C23" s="16"/>
      <c r="D23" s="16"/>
      <c r="E23" s="16"/>
      <c r="F23" s="16"/>
      <c r="G23" s="16"/>
      <c r="H23" s="581"/>
      <c r="I23" s="581"/>
      <c r="J23" s="581"/>
      <c r="K23" s="582"/>
      <c r="L23" s="583"/>
      <c r="M23" s="584"/>
      <c r="N23" s="585"/>
      <c r="O23" s="586"/>
      <c r="P23" s="586"/>
      <c r="Q23" s="586"/>
      <c r="R23" s="586"/>
      <c r="S23" s="586"/>
      <c r="T23" s="586"/>
      <c r="U23" s="586"/>
      <c r="V23" s="584"/>
      <c r="W23" s="584"/>
      <c r="X23" s="584"/>
      <c r="AA23" s="454"/>
      <c r="AB23" s="576"/>
      <c r="AC23" s="555"/>
      <c r="AD23" s="577"/>
      <c r="AE23" s="577"/>
      <c r="AF23" s="2902"/>
      <c r="AG23" s="2902"/>
    </row>
    <row r="24" spans="2:36" ht="13.5" customHeight="1">
      <c r="B24" s="587" t="s">
        <v>254</v>
      </c>
      <c r="C24" s="588"/>
      <c r="D24" s="588"/>
      <c r="E24" s="589"/>
      <c r="F24" s="589"/>
      <c r="G24" s="588"/>
      <c r="H24" s="590"/>
      <c r="I24" s="591"/>
      <c r="J24" s="592"/>
      <c r="K24" s="587" t="s">
        <v>447</v>
      </c>
      <c r="L24" s="587"/>
      <c r="M24" s="588"/>
      <c r="N24" s="588"/>
      <c r="O24" s="593"/>
      <c r="P24" s="593"/>
      <c r="Q24" s="587" t="s">
        <v>255</v>
      </c>
      <c r="R24" s="588"/>
      <c r="S24" s="588"/>
      <c r="T24" s="593"/>
      <c r="U24" s="593"/>
      <c r="V24" s="595"/>
      <c r="W24" s="595"/>
      <c r="X24" s="595"/>
      <c r="Y24" s="583"/>
      <c r="Z24" s="583"/>
      <c r="AA24" s="454"/>
      <c r="AB24" s="576"/>
      <c r="AC24" s="555"/>
      <c r="AD24" s="577"/>
      <c r="AE24" s="577"/>
      <c r="AF24" s="2902"/>
      <c r="AG24" s="2902"/>
      <c r="AH24" s="600"/>
      <c r="AI24" s="16"/>
    </row>
    <row r="25" spans="2:36" ht="13.5" customHeight="1">
      <c r="B25" s="601" t="s">
        <v>598</v>
      </c>
      <c r="C25" s="602"/>
      <c r="D25" s="603">
        <f>'R5介護'!G16</f>
        <v>1387</v>
      </c>
      <c r="E25" s="2783">
        <f>'R5介護'!H16</f>
        <v>826000000</v>
      </c>
      <c r="F25" s="2783"/>
      <c r="G25" s="588" t="s">
        <v>599</v>
      </c>
      <c r="H25" s="2893" t="s">
        <v>600</v>
      </c>
      <c r="I25" s="2893"/>
      <c r="J25" s="1746">
        <f>ROUND(E25/D25,0)</f>
        <v>595530</v>
      </c>
      <c r="K25" s="601" t="s">
        <v>601</v>
      </c>
      <c r="L25" s="1747"/>
      <c r="M25" s="602"/>
      <c r="N25" s="603">
        <f>'R5介護'!Q16</f>
        <v>447</v>
      </c>
      <c r="O25" s="2783">
        <f>'R5介護'!R16</f>
        <v>89762000</v>
      </c>
      <c r="P25" s="2783"/>
      <c r="Q25" s="605" t="str">
        <f>B25</f>
        <v>R6.3月予想</v>
      </c>
      <c r="R25" s="602"/>
      <c r="S25" s="606">
        <f>'R5介護'!U16</f>
        <v>390</v>
      </c>
      <c r="T25" s="2756">
        <f>'R5介護'!V16</f>
        <v>207140000</v>
      </c>
      <c r="U25" s="2756"/>
      <c r="V25" s="2755" t="str">
        <f>H25</f>
        <v>R5.3平均標準報酬月額◆</v>
      </c>
      <c r="W25" s="2755"/>
      <c r="X25" s="2755"/>
      <c r="Y25" s="607">
        <f>ROUND(T25/S25,0)</f>
        <v>531128</v>
      </c>
      <c r="Z25" s="583"/>
      <c r="AA25" s="454"/>
      <c r="AB25" s="576"/>
      <c r="AC25" s="555"/>
      <c r="AD25" s="577"/>
      <c r="AE25" s="577"/>
      <c r="AF25" s="2902"/>
      <c r="AG25" s="2902"/>
      <c r="AH25" s="15"/>
      <c r="AI25" s="236"/>
    </row>
    <row r="26" spans="2:36">
      <c r="B26" s="609" t="s">
        <v>602</v>
      </c>
      <c r="C26" s="602"/>
      <c r="D26" s="1039" t="s">
        <v>450</v>
      </c>
      <c r="E26" s="2770">
        <v>3591000</v>
      </c>
      <c r="F26" s="2770"/>
      <c r="G26" s="588" t="s">
        <v>603</v>
      </c>
      <c r="H26" s="1748" t="s">
        <v>260</v>
      </c>
      <c r="I26" s="660"/>
      <c r="J26" s="660"/>
      <c r="K26" s="609"/>
      <c r="L26" s="601"/>
      <c r="M26" s="602"/>
      <c r="N26" s="1040">
        <v>0</v>
      </c>
      <c r="O26" s="2770"/>
      <c r="P26" s="2770"/>
      <c r="Q26" s="609" t="s">
        <v>602</v>
      </c>
      <c r="R26" s="657"/>
      <c r="S26" s="1039" t="s">
        <v>452</v>
      </c>
      <c r="T26" s="2737">
        <v>2403000</v>
      </c>
      <c r="U26" s="2737"/>
      <c r="V26" s="1052" t="s">
        <v>260</v>
      </c>
      <c r="W26" s="612"/>
      <c r="X26" s="612"/>
      <c r="Y26" s="583"/>
      <c r="Z26" s="583"/>
      <c r="AA26" s="454"/>
      <c r="AB26" s="576"/>
      <c r="AC26" s="555"/>
      <c r="AD26" s="577"/>
      <c r="AE26" s="577"/>
      <c r="AF26" s="1744"/>
      <c r="AG26" s="454"/>
      <c r="AH26" s="15"/>
      <c r="AI26" s="236"/>
    </row>
    <row r="27" spans="2:36">
      <c r="B27" s="23" t="s">
        <v>262</v>
      </c>
      <c r="C27" s="602"/>
      <c r="D27" s="1041">
        <v>59</v>
      </c>
      <c r="E27" s="2770">
        <v>37980000</v>
      </c>
      <c r="F27" s="2770"/>
      <c r="G27" s="588" t="s">
        <v>604</v>
      </c>
      <c r="H27" s="2900" t="s">
        <v>605</v>
      </c>
      <c r="I27" s="2900"/>
      <c r="J27" s="2900"/>
      <c r="K27" s="23" t="s">
        <v>262</v>
      </c>
      <c r="L27" s="1043"/>
      <c r="M27" s="1043"/>
      <c r="N27" s="1041">
        <v>42</v>
      </c>
      <c r="O27" s="2770">
        <v>8738000</v>
      </c>
      <c r="P27" s="2770"/>
      <c r="Q27" s="2901" t="s">
        <v>606</v>
      </c>
      <c r="R27" s="2901"/>
      <c r="S27" s="1042">
        <v>11</v>
      </c>
      <c r="T27" s="2737">
        <v>5660000</v>
      </c>
      <c r="U27" s="2737"/>
      <c r="V27" s="1749" t="s">
        <v>607</v>
      </c>
      <c r="W27" s="595"/>
      <c r="X27" s="595"/>
      <c r="Y27" s="583"/>
      <c r="Z27" s="583"/>
      <c r="AA27" s="454"/>
      <c r="AB27" s="576"/>
      <c r="AC27" s="555"/>
      <c r="AD27" s="577"/>
      <c r="AE27" s="577"/>
      <c r="AF27" s="1744"/>
      <c r="AG27" s="454"/>
      <c r="AH27" s="619"/>
    </row>
    <row r="28" spans="2:36">
      <c r="B28" s="31" t="s">
        <v>265</v>
      </c>
      <c r="C28" s="620"/>
      <c r="D28" s="1041">
        <v>13</v>
      </c>
      <c r="E28" s="2770">
        <v>12200000</v>
      </c>
      <c r="F28" s="2770"/>
      <c r="G28" s="588" t="s">
        <v>608</v>
      </c>
      <c r="H28" s="1748" t="s">
        <v>609</v>
      </c>
      <c r="I28" s="592"/>
      <c r="J28" s="592"/>
      <c r="K28" s="31" t="s">
        <v>265</v>
      </c>
      <c r="L28" s="621"/>
      <c r="M28" s="620"/>
      <c r="N28" s="1041">
        <v>8</v>
      </c>
      <c r="O28" s="2770">
        <v>2130000</v>
      </c>
      <c r="P28" s="2770"/>
      <c r="Q28" s="1750" t="s">
        <v>265</v>
      </c>
      <c r="R28" s="1751"/>
      <c r="S28" s="1042">
        <v>2</v>
      </c>
      <c r="T28" s="2737">
        <v>370000</v>
      </c>
      <c r="U28" s="2737"/>
      <c r="V28" s="622" t="str">
        <f>H28</f>
        <v>5.4実績と同数・同額</v>
      </c>
      <c r="W28" s="595"/>
      <c r="X28" s="595"/>
      <c r="Y28" s="583"/>
      <c r="Z28" s="583"/>
      <c r="AA28" s="454"/>
      <c r="AB28" s="454"/>
      <c r="AF28" s="454"/>
      <c r="AG28" s="454"/>
      <c r="AH28" s="236"/>
    </row>
    <row r="29" spans="2:36" ht="19.5" thickBot="1">
      <c r="B29" s="19" t="s">
        <v>267</v>
      </c>
      <c r="C29" s="624"/>
      <c r="D29" s="616"/>
      <c r="E29" s="2765"/>
      <c r="F29" s="2765"/>
      <c r="G29" s="1752" t="s">
        <v>610</v>
      </c>
      <c r="H29" s="1753" t="s">
        <v>611</v>
      </c>
      <c r="I29" s="592"/>
      <c r="J29" s="592"/>
      <c r="K29" s="19" t="s">
        <v>267</v>
      </c>
      <c r="L29" s="621"/>
      <c r="M29" s="624"/>
      <c r="N29" s="616"/>
      <c r="O29" s="2765"/>
      <c r="P29" s="2765"/>
      <c r="Q29" s="1750" t="s">
        <v>268</v>
      </c>
      <c r="R29" s="1754"/>
      <c r="S29" s="617"/>
      <c r="T29" s="2745"/>
      <c r="U29" s="2745"/>
      <c r="V29" s="1755" t="str">
        <f>H29</f>
        <v>3.4再任用と同数・同額</v>
      </c>
      <c r="W29" s="595"/>
      <c r="X29" s="595"/>
      <c r="Y29" s="625"/>
      <c r="Z29" s="583"/>
      <c r="AA29" s="1756" t="s">
        <v>256</v>
      </c>
      <c r="AB29" s="267"/>
      <c r="AF29" s="1757" t="s">
        <v>257</v>
      </c>
      <c r="AG29" s="454"/>
      <c r="AH29" s="236"/>
    </row>
    <row r="30" spans="2:36" ht="13.5" customHeight="1">
      <c r="B30" s="1758" t="s">
        <v>270</v>
      </c>
      <c r="C30" s="1759"/>
      <c r="D30" s="1760"/>
      <c r="E30" s="2895">
        <f>H52</f>
        <v>-240000</v>
      </c>
      <c r="F30" s="2895"/>
      <c r="G30" s="588" t="s">
        <v>612</v>
      </c>
      <c r="H30" s="552" t="s">
        <v>613</v>
      </c>
      <c r="I30" s="552"/>
      <c r="J30" s="552"/>
      <c r="K30" s="1758" t="s">
        <v>270</v>
      </c>
      <c r="L30" s="1758"/>
      <c r="M30" s="1759"/>
      <c r="N30" s="1760"/>
      <c r="O30" s="2757">
        <f>R52</f>
        <v>-60000</v>
      </c>
      <c r="P30" s="2757"/>
      <c r="Q30" s="32" t="s">
        <v>270</v>
      </c>
      <c r="R30" s="626"/>
      <c r="S30" s="627"/>
      <c r="T30" s="2759">
        <f>AA52</f>
        <v>0</v>
      </c>
      <c r="U30" s="2759"/>
      <c r="V30" s="2740" t="str">
        <f>H30</f>
        <v>5.4と同額</v>
      </c>
      <c r="W30" s="2740"/>
      <c r="X30" s="2740"/>
      <c r="Y30" s="2740"/>
      <c r="Z30" s="583"/>
      <c r="AA30" s="2896" t="s">
        <v>0</v>
      </c>
      <c r="AB30" s="2884" t="s">
        <v>614</v>
      </c>
      <c r="AC30" s="2898"/>
      <c r="AD30" s="2884" t="s">
        <v>258</v>
      </c>
      <c r="AE30" s="2885"/>
      <c r="AF30" s="2886"/>
      <c r="AG30" s="454"/>
    </row>
    <row r="31" spans="2:36" ht="19.5" thickBot="1">
      <c r="B31" s="2890" t="s">
        <v>615</v>
      </c>
      <c r="C31" s="2890"/>
      <c r="D31" s="1761">
        <f>G106</f>
        <v>6</v>
      </c>
      <c r="E31" s="2891">
        <f>H106</f>
        <v>3040000</v>
      </c>
      <c r="F31" s="2891"/>
      <c r="G31" s="588" t="s">
        <v>616</v>
      </c>
      <c r="H31" s="2892" t="s">
        <v>617</v>
      </c>
      <c r="I31" s="2892"/>
      <c r="J31" s="2892"/>
      <c r="K31" s="2893" t="s">
        <v>618</v>
      </c>
      <c r="L31" s="2893"/>
      <c r="M31" s="2893"/>
      <c r="N31" s="1761">
        <f>Q106</f>
        <v>0</v>
      </c>
      <c r="O31" s="2757">
        <f>R106</f>
        <v>0</v>
      </c>
      <c r="P31" s="2757"/>
      <c r="Q31" s="2855" t="s">
        <v>615</v>
      </c>
      <c r="R31" s="2855"/>
      <c r="S31" s="606">
        <f>U106</f>
        <v>1</v>
      </c>
      <c r="T31" s="2894">
        <f>V106</f>
        <v>470000</v>
      </c>
      <c r="U31" s="2894"/>
      <c r="V31" s="2784" t="s">
        <v>617</v>
      </c>
      <c r="W31" s="2784"/>
      <c r="X31" s="2784"/>
      <c r="Y31" s="2784"/>
      <c r="Z31" s="583"/>
      <c r="AA31" s="2897"/>
      <c r="AB31" s="2887"/>
      <c r="AC31" s="2899"/>
      <c r="AD31" s="2887"/>
      <c r="AE31" s="2888"/>
      <c r="AF31" s="2889"/>
      <c r="AG31" s="454"/>
      <c r="AI31" s="236"/>
    </row>
    <row r="32" spans="2:36" ht="19.5" thickBot="1">
      <c r="B32" s="1762" t="s">
        <v>271</v>
      </c>
      <c r="C32" s="23"/>
      <c r="D32" s="661">
        <f>D25-D27+D28+D29+D31</f>
        <v>1347</v>
      </c>
      <c r="E32" s="2873">
        <f>ROUND(E25-E26-E27+E28+E29+E30+E31,-4)</f>
        <v>799430000</v>
      </c>
      <c r="F32" s="2874"/>
      <c r="G32" s="588"/>
      <c r="H32" s="1763" t="s">
        <v>619</v>
      </c>
      <c r="I32" s="592"/>
      <c r="J32" s="592"/>
      <c r="K32" s="1762" t="s">
        <v>271</v>
      </c>
      <c r="L32" s="1762"/>
      <c r="M32" s="23"/>
      <c r="N32" s="661">
        <f>N25-N26-N27+N28+N29+N31</f>
        <v>413</v>
      </c>
      <c r="O32" s="2873">
        <f>ROUND(O25-O26-O27+O28+O29+O30+O31,-4)</f>
        <v>83090000</v>
      </c>
      <c r="P32" s="2874"/>
      <c r="Q32" s="636" t="s">
        <v>271</v>
      </c>
      <c r="R32" s="16"/>
      <c r="S32" s="637">
        <f>S25-S27+S28+S29+S31</f>
        <v>382</v>
      </c>
      <c r="T32" s="2746">
        <f>ROUND(T25-T26-T27+T28+T29+T30+T31,-4)</f>
        <v>199920000</v>
      </c>
      <c r="U32" s="2747"/>
      <c r="V32" s="638" t="s">
        <v>620</v>
      </c>
      <c r="W32" s="595"/>
      <c r="X32" s="595"/>
      <c r="Y32" s="583"/>
      <c r="Z32" s="583"/>
      <c r="AA32" s="2869" t="s">
        <v>261</v>
      </c>
      <c r="AB32" s="2870">
        <f>'R5介護'!D44</f>
        <v>167140000</v>
      </c>
      <c r="AC32" s="2876"/>
      <c r="AD32" s="2870">
        <f>'R5介護'!F34</f>
        <v>5628000</v>
      </c>
      <c r="AE32" s="2871"/>
      <c r="AF32" s="2872"/>
      <c r="AG32" s="454"/>
      <c r="AI32" s="236"/>
    </row>
    <row r="33" spans="2:35">
      <c r="B33" s="1764" t="s">
        <v>290</v>
      </c>
      <c r="C33" s="1759"/>
      <c r="D33" s="1765"/>
      <c r="E33" s="1766"/>
      <c r="F33" s="1766"/>
      <c r="G33" s="588"/>
      <c r="H33" s="592"/>
      <c r="I33" s="592"/>
      <c r="J33" s="592"/>
      <c r="K33" s="1767"/>
      <c r="L33" s="1764"/>
      <c r="M33" s="23"/>
      <c r="N33" s="1768"/>
      <c r="O33" s="644"/>
      <c r="P33" s="644"/>
      <c r="Q33" s="641" t="s">
        <v>290</v>
      </c>
      <c r="R33" s="16"/>
      <c r="S33" s="606"/>
      <c r="T33" s="644"/>
      <c r="U33" s="644"/>
      <c r="V33" s="638"/>
      <c r="W33" s="595"/>
      <c r="X33" s="595"/>
      <c r="Y33" s="583"/>
      <c r="Z33" s="583"/>
      <c r="AA33" s="2875"/>
      <c r="AB33" s="2877"/>
      <c r="AC33" s="2878"/>
      <c r="AD33" s="2880"/>
      <c r="AE33" s="2881"/>
      <c r="AF33" s="2882"/>
      <c r="AG33" s="454"/>
      <c r="AI33" s="236"/>
    </row>
    <row r="34" spans="2:35">
      <c r="B34" s="1758"/>
      <c r="C34" s="1759"/>
      <c r="D34" s="1765"/>
      <c r="E34" s="2883"/>
      <c r="F34" s="2883"/>
      <c r="G34" s="588"/>
      <c r="H34" s="592"/>
      <c r="I34" s="592"/>
      <c r="J34" s="592"/>
      <c r="K34" s="758"/>
      <c r="L34" s="1111"/>
      <c r="M34" s="1111"/>
      <c r="N34" s="1111"/>
      <c r="Z34" s="583"/>
      <c r="AA34" s="2869" t="s">
        <v>264</v>
      </c>
      <c r="AB34" s="2877"/>
      <c r="AC34" s="2878"/>
      <c r="AD34" s="2870">
        <f>'R5介護'!F40</f>
        <v>6144000</v>
      </c>
      <c r="AE34" s="2871"/>
      <c r="AF34" s="2872"/>
      <c r="AG34" s="454"/>
      <c r="AI34" s="236"/>
    </row>
    <row r="35" spans="2:35" ht="13.5">
      <c r="B35" s="587" t="s">
        <v>462</v>
      </c>
      <c r="C35" s="588"/>
      <c r="D35" s="588"/>
      <c r="E35" s="589"/>
      <c r="F35" s="589"/>
      <c r="G35" s="588"/>
      <c r="H35" s="590"/>
      <c r="I35" s="591"/>
      <c r="J35" s="592"/>
      <c r="K35" s="587" t="s">
        <v>463</v>
      </c>
      <c r="L35" s="587"/>
      <c r="M35" s="588"/>
      <c r="N35" s="654"/>
      <c r="O35" s="589"/>
      <c r="P35" s="589"/>
      <c r="Q35" s="587" t="s">
        <v>464</v>
      </c>
      <c r="R35" s="588"/>
      <c r="S35" s="654"/>
      <c r="T35" s="589"/>
      <c r="U35" s="589"/>
      <c r="V35" s="590"/>
      <c r="W35" s="591"/>
      <c r="X35" s="592"/>
      <c r="Y35" s="583"/>
      <c r="Z35" s="583"/>
      <c r="AA35" s="2875"/>
      <c r="AB35" s="2877"/>
      <c r="AC35" s="2878"/>
      <c r="AD35" s="2880"/>
      <c r="AE35" s="2881"/>
      <c r="AF35" s="2882"/>
      <c r="AI35" s="236"/>
    </row>
    <row r="36" spans="2:35" ht="13.5">
      <c r="B36" s="656" t="str">
        <f>B25</f>
        <v>R6.3月予想</v>
      </c>
      <c r="C36" s="657"/>
      <c r="D36" s="658">
        <f>'R5介護'!I16</f>
        <v>4230</v>
      </c>
      <c r="E36" s="2754">
        <f>'R5介護'!J16</f>
        <v>2079150000</v>
      </c>
      <c r="F36" s="2754"/>
      <c r="G36" s="588" t="s">
        <v>599</v>
      </c>
      <c r="H36" s="2755" t="str">
        <f>H25</f>
        <v>R5.3平均標準報酬月額◆</v>
      </c>
      <c r="I36" s="2755"/>
      <c r="J36" s="604">
        <f>ROUND(E36/D36,0)</f>
        <v>491525</v>
      </c>
      <c r="K36" s="656" t="str">
        <f>K25</f>
        <v>R4.3月予想</v>
      </c>
      <c r="L36" s="605"/>
      <c r="M36" s="602"/>
      <c r="N36" s="658">
        <f>'R5介護'!S16</f>
        <v>3712</v>
      </c>
      <c r="O36" s="2754">
        <f>'R5介護'!T16</f>
        <v>556716800</v>
      </c>
      <c r="P36" s="2754"/>
      <c r="Q36" s="605" t="str">
        <f>V25</f>
        <v>R5.3平均標準報酬月額◆</v>
      </c>
      <c r="R36" s="602"/>
      <c r="S36" s="603">
        <f>'R5介護'!W16</f>
        <v>87</v>
      </c>
      <c r="T36" s="2756">
        <f>'R5介護'!X16</f>
        <v>29920000</v>
      </c>
      <c r="U36" s="2756"/>
      <c r="V36" s="2755" t="str">
        <f>H25</f>
        <v>R5.3平均標準報酬月額◆</v>
      </c>
      <c r="W36" s="2755"/>
      <c r="X36" s="2755"/>
      <c r="Y36" s="607">
        <f>ROUND(T36/S36,0)</f>
        <v>343908</v>
      </c>
      <c r="Z36" s="583"/>
      <c r="AA36" s="2869" t="s">
        <v>266</v>
      </c>
      <c r="AB36" s="2877"/>
      <c r="AC36" s="2878"/>
      <c r="AD36" s="2870">
        <f>'R5介護'!F43</f>
        <v>2134000</v>
      </c>
      <c r="AE36" s="2871"/>
      <c r="AF36" s="2872"/>
      <c r="AG36" s="1769"/>
      <c r="AI36" s="236"/>
    </row>
    <row r="37" spans="2:35" ht="14.25" thickBot="1">
      <c r="B37" s="609" t="s">
        <v>602</v>
      </c>
      <c r="C37" s="657"/>
      <c r="D37" s="1039" t="s">
        <v>467</v>
      </c>
      <c r="E37" s="2868">
        <v>27840000</v>
      </c>
      <c r="F37" s="2868"/>
      <c r="G37" s="611" t="s">
        <v>603</v>
      </c>
      <c r="H37" s="1052" t="s">
        <v>621</v>
      </c>
      <c r="I37" s="1770"/>
      <c r="J37" s="613"/>
      <c r="K37" s="749"/>
      <c r="L37" s="399"/>
      <c r="M37" s="602"/>
      <c r="N37" s="1040"/>
      <c r="O37" s="2868"/>
      <c r="P37" s="2868"/>
      <c r="Q37" s="399" t="s">
        <v>279</v>
      </c>
      <c r="R37" s="602"/>
      <c r="S37" s="1761">
        <f>W88</f>
        <v>56</v>
      </c>
      <c r="T37" s="2756">
        <f>X88</f>
        <v>22300000</v>
      </c>
      <c r="U37" s="2756"/>
      <c r="V37" s="1407" t="str">
        <f>H27</f>
        <v>5.3退職実績と同数・同額</v>
      </c>
      <c r="W37" s="613"/>
      <c r="X37" s="613"/>
      <c r="Y37" s="583"/>
      <c r="Z37" s="583"/>
      <c r="AA37" s="2861"/>
      <c r="AB37" s="2864"/>
      <c r="AC37" s="2879"/>
      <c r="AD37" s="2864"/>
      <c r="AE37" s="2865"/>
      <c r="AF37" s="2867"/>
      <c r="AG37" s="1769"/>
      <c r="AI37" s="236"/>
    </row>
    <row r="38" spans="2:35" ht="14.25" thickBot="1">
      <c r="B38" s="633" t="s">
        <v>262</v>
      </c>
      <c r="C38" s="657"/>
      <c r="D38" s="1040">
        <v>111</v>
      </c>
      <c r="E38" s="2868">
        <v>50980000</v>
      </c>
      <c r="F38" s="2868"/>
      <c r="G38" s="611" t="s">
        <v>604</v>
      </c>
      <c r="H38" s="2749" t="str">
        <f>H27</f>
        <v>5.3退職実績と同数・同額</v>
      </c>
      <c r="I38" s="2749"/>
      <c r="J38" s="2749"/>
      <c r="K38" s="633" t="s">
        <v>262</v>
      </c>
      <c r="L38" s="15"/>
      <c r="M38" s="620"/>
      <c r="N38" s="1040">
        <v>240</v>
      </c>
      <c r="O38" s="2868">
        <v>35982000</v>
      </c>
      <c r="P38" s="2868"/>
      <c r="Q38" s="15" t="s">
        <v>280</v>
      </c>
      <c r="R38" s="620"/>
      <c r="S38" s="1771">
        <f>W70</f>
        <v>58</v>
      </c>
      <c r="T38" s="2756">
        <f>X70</f>
        <v>18662000</v>
      </c>
      <c r="U38" s="2756"/>
      <c r="V38" s="1407" t="str">
        <f>H28</f>
        <v>5.4実績と同数・同額</v>
      </c>
      <c r="W38" s="595"/>
      <c r="X38" s="595"/>
      <c r="Y38" s="583"/>
      <c r="Z38" s="583"/>
      <c r="AA38" s="2860" t="s">
        <v>269</v>
      </c>
      <c r="AB38" s="2862">
        <f>SUM(AB32)</f>
        <v>167140000</v>
      </c>
      <c r="AC38" s="2863"/>
      <c r="AD38" s="2862">
        <f>SUM(AD32:AF37)</f>
        <v>13906000</v>
      </c>
      <c r="AE38" s="2863"/>
      <c r="AF38" s="2866"/>
      <c r="AG38" s="236"/>
      <c r="AI38" s="236"/>
    </row>
    <row r="39" spans="2:35" ht="14.25" thickBot="1">
      <c r="B39" s="30" t="s">
        <v>265</v>
      </c>
      <c r="C39" s="1751"/>
      <c r="D39" s="1040">
        <v>38</v>
      </c>
      <c r="E39" s="2868">
        <v>15120000</v>
      </c>
      <c r="F39" s="2868"/>
      <c r="G39" s="611" t="s">
        <v>608</v>
      </c>
      <c r="H39" s="622" t="str">
        <f>H28</f>
        <v>5.4実績と同数・同額</v>
      </c>
      <c r="I39" s="595"/>
      <c r="J39" s="595"/>
      <c r="K39" s="30" t="s">
        <v>265</v>
      </c>
      <c r="L39" s="636"/>
      <c r="M39" s="16"/>
      <c r="N39" s="1040">
        <v>176</v>
      </c>
      <c r="O39" s="2868">
        <v>27418000</v>
      </c>
      <c r="P39" s="2868"/>
      <c r="Q39" s="636" t="s">
        <v>271</v>
      </c>
      <c r="R39" s="16"/>
      <c r="S39" s="661">
        <f>S36-S37+S38</f>
        <v>89</v>
      </c>
      <c r="T39" s="2746">
        <f>ROUND(T36-T37+T38,-4)</f>
        <v>26280000</v>
      </c>
      <c r="U39" s="2747"/>
      <c r="V39" s="635" t="s">
        <v>622</v>
      </c>
      <c r="W39" s="595"/>
      <c r="X39" s="595"/>
      <c r="Y39" s="583"/>
      <c r="Z39" s="583"/>
      <c r="AA39" s="2861"/>
      <c r="AB39" s="2864"/>
      <c r="AC39" s="2865"/>
      <c r="AD39" s="2864"/>
      <c r="AE39" s="2865"/>
      <c r="AF39" s="2867"/>
      <c r="AG39" s="15"/>
      <c r="AI39" s="236"/>
    </row>
    <row r="40" spans="2:35" ht="13.5">
      <c r="B40" s="1772" t="s">
        <v>283</v>
      </c>
      <c r="C40" s="1773"/>
      <c r="D40" s="1040">
        <v>8</v>
      </c>
      <c r="E40" s="2754">
        <f>Y25*D40</f>
        <v>4249024</v>
      </c>
      <c r="F40" s="2754"/>
      <c r="G40" s="614" t="s">
        <v>610</v>
      </c>
      <c r="H40" s="1774" t="s">
        <v>284</v>
      </c>
      <c r="I40" s="612"/>
      <c r="K40" s="1772"/>
      <c r="L40" s="641"/>
      <c r="M40" s="16"/>
      <c r="N40" s="1040"/>
      <c r="O40" s="2754"/>
      <c r="P40" s="2754"/>
      <c r="Q40" s="641" t="s">
        <v>285</v>
      </c>
      <c r="R40" s="16"/>
      <c r="S40" s="21"/>
      <c r="T40" s="21"/>
      <c r="U40" s="21"/>
      <c r="W40" s="581"/>
      <c r="X40" s="581"/>
      <c r="Y40" s="583"/>
      <c r="Z40" s="583"/>
      <c r="AA40" s="1775" t="s">
        <v>623</v>
      </c>
      <c r="AB40" s="584"/>
      <c r="AC40" s="759"/>
      <c r="AD40" s="1776"/>
      <c r="AE40" s="1776"/>
      <c r="AF40" s="15"/>
      <c r="AG40" s="15"/>
      <c r="AI40" s="236"/>
    </row>
    <row r="41" spans="2:35">
      <c r="B41" s="1777" t="s">
        <v>267</v>
      </c>
      <c r="C41" s="1754"/>
      <c r="D41" s="1778"/>
      <c r="E41" s="2857"/>
      <c r="F41" s="2857"/>
      <c r="G41" s="588" t="s">
        <v>612</v>
      </c>
      <c r="H41" s="2858" t="s">
        <v>611</v>
      </c>
      <c r="I41" s="2858"/>
      <c r="J41" s="2858"/>
      <c r="K41" s="2859" t="s">
        <v>624</v>
      </c>
      <c r="L41" s="2859"/>
      <c r="M41" s="614"/>
      <c r="N41" s="1778"/>
      <c r="O41" s="2857"/>
      <c r="P41" s="2857"/>
      <c r="Q41" s="650"/>
      <c r="R41" s="650"/>
      <c r="S41" s="650"/>
      <c r="T41" s="650"/>
      <c r="U41" s="650"/>
      <c r="V41" s="614"/>
      <c r="W41" s="581"/>
      <c r="X41" s="581"/>
      <c r="Y41" s="583"/>
      <c r="AB41" s="454"/>
      <c r="AD41" s="230"/>
      <c r="AE41" s="230"/>
      <c r="AI41" s="236"/>
    </row>
    <row r="42" spans="2:35">
      <c r="B42" s="32" t="s">
        <v>270</v>
      </c>
      <c r="C42" s="626"/>
      <c r="D42" s="627"/>
      <c r="E42" s="2739">
        <f>J52</f>
        <v>-2880000</v>
      </c>
      <c r="F42" s="2739"/>
      <c r="G42" s="611" t="s">
        <v>616</v>
      </c>
      <c r="H42" s="1779" t="str">
        <f>H30</f>
        <v>5.4と同額</v>
      </c>
      <c r="I42" s="1779"/>
      <c r="J42" s="1779"/>
      <c r="K42" s="32" t="s">
        <v>270</v>
      </c>
      <c r="L42" s="1780"/>
      <c r="M42" s="614"/>
      <c r="N42" s="627"/>
      <c r="O42" s="2739">
        <f>T52</f>
        <v>70000</v>
      </c>
      <c r="P42" s="2739"/>
      <c r="Q42" s="665"/>
      <c r="R42" s="665"/>
      <c r="S42" s="665"/>
      <c r="T42" s="665"/>
      <c r="U42" s="650"/>
      <c r="V42" s="614"/>
      <c r="W42" s="581"/>
      <c r="X42" s="581"/>
      <c r="Y42" s="583"/>
      <c r="AI42" s="236"/>
    </row>
    <row r="43" spans="2:35" ht="19.5" thickBot="1">
      <c r="B43" s="2855" t="s">
        <v>615</v>
      </c>
      <c r="C43" s="2855"/>
      <c r="D43" s="658">
        <f>I106</f>
        <v>11</v>
      </c>
      <c r="E43" s="2856">
        <f>J106</f>
        <v>4130000</v>
      </c>
      <c r="F43" s="2856"/>
      <c r="G43" s="668" t="s">
        <v>625</v>
      </c>
      <c r="H43" s="2784" t="s">
        <v>617</v>
      </c>
      <c r="I43" s="2784"/>
      <c r="J43" s="2784"/>
      <c r="K43" s="2784" t="s">
        <v>626</v>
      </c>
      <c r="L43" s="2784"/>
      <c r="M43" s="628"/>
      <c r="N43" s="658">
        <f>S106</f>
        <v>11</v>
      </c>
      <c r="O43" s="2856">
        <f>T106</f>
        <v>1418000</v>
      </c>
      <c r="P43" s="2856"/>
      <c r="Q43" s="760"/>
      <c r="R43" s="760"/>
      <c r="S43" s="760"/>
      <c r="T43" s="760"/>
      <c r="U43" s="666"/>
      <c r="V43" s="628"/>
      <c r="W43" s="584"/>
      <c r="X43" s="584"/>
      <c r="AI43" s="236"/>
    </row>
    <row r="44" spans="2:35" ht="19.5" thickBot="1">
      <c r="B44" s="636" t="s">
        <v>271</v>
      </c>
      <c r="C44" s="16"/>
      <c r="D44" s="667">
        <f>D36-D38+D39+D40+D41+D43</f>
        <v>4176</v>
      </c>
      <c r="E44" s="2723">
        <f>ROUND(E36-E37-E38+E39+E40+E41+E42+E43,-4)</f>
        <v>2020950000</v>
      </c>
      <c r="F44" s="2724"/>
      <c r="G44" s="668"/>
      <c r="H44" s="635" t="s">
        <v>627</v>
      </c>
      <c r="I44" s="595"/>
      <c r="J44" s="595"/>
      <c r="K44" s="2854" t="s">
        <v>628</v>
      </c>
      <c r="L44" s="2854"/>
      <c r="M44" s="584"/>
      <c r="N44" s="667">
        <f>N36-N37-N38+N39+N40+N41+N43</f>
        <v>3659</v>
      </c>
      <c r="O44" s="2723">
        <f>ROUND(O36-O37-O38+O39+O40+O41+O42+O43,-4)</f>
        <v>549640000</v>
      </c>
      <c r="P44" s="2724"/>
      <c r="Q44" s="669"/>
      <c r="R44" s="669"/>
      <c r="S44" s="669"/>
      <c r="T44" s="669"/>
      <c r="U44" s="669"/>
      <c r="V44" s="584"/>
      <c r="W44" s="584"/>
      <c r="X44" s="584"/>
    </row>
    <row r="45" spans="2:35">
      <c r="B45" s="641" t="s">
        <v>290</v>
      </c>
      <c r="C45" s="670"/>
      <c r="D45" s="671"/>
      <c r="E45" s="644"/>
      <c r="F45" s="644"/>
      <c r="G45" s="611"/>
      <c r="H45" s="595"/>
      <c r="I45" s="595"/>
      <c r="J45" s="595"/>
      <c r="L45" s="583"/>
      <c r="M45" s="584"/>
      <c r="N45" s="669"/>
      <c r="O45" s="669"/>
      <c r="P45" s="669"/>
      <c r="Q45" s="669"/>
      <c r="R45" s="669"/>
      <c r="S45" s="669"/>
      <c r="T45" s="669"/>
      <c r="U45" s="669"/>
      <c r="V45" s="584"/>
      <c r="W45" s="584"/>
      <c r="X45" s="584"/>
    </row>
    <row r="46" spans="2:35">
      <c r="B46" s="32"/>
      <c r="C46" s="626"/>
      <c r="D46" s="642"/>
      <c r="E46" s="1408"/>
      <c r="F46" s="1408"/>
      <c r="G46" s="611"/>
      <c r="H46" s="595"/>
      <c r="I46" s="595"/>
      <c r="J46" s="595"/>
      <c r="L46" s="672"/>
      <c r="M46" s="584"/>
      <c r="N46" s="584"/>
      <c r="O46" s="584"/>
      <c r="P46" s="584"/>
      <c r="Q46" s="584"/>
      <c r="R46" s="584"/>
      <c r="S46" s="584"/>
      <c r="T46" s="584"/>
      <c r="U46" s="584"/>
      <c r="V46" s="584"/>
      <c r="W46" s="584"/>
      <c r="X46" s="584"/>
    </row>
    <row r="48" spans="2:35" s="452" customFormat="1" ht="18" customHeight="1" thickBot="1">
      <c r="B48" s="675" t="s">
        <v>292</v>
      </c>
      <c r="G48" s="402" t="s">
        <v>629</v>
      </c>
      <c r="H48" s="1685">
        <f>'R5介護'!H67</f>
        <v>5</v>
      </c>
      <c r="I48" s="1652" t="s">
        <v>592</v>
      </c>
    </row>
    <row r="49" spans="2:24" s="452" customFormat="1" ht="21" customHeight="1">
      <c r="B49" s="2512" t="s">
        <v>0</v>
      </c>
      <c r="C49" s="2515" t="s">
        <v>566</v>
      </c>
      <c r="D49" s="2516"/>
      <c r="E49" s="2551" t="s">
        <v>221</v>
      </c>
      <c r="F49" s="2551"/>
      <c r="G49" s="2551"/>
      <c r="H49" s="2551"/>
      <c r="I49" s="2551"/>
      <c r="J49" s="2538"/>
      <c r="K49" s="2547" t="s">
        <v>74</v>
      </c>
      <c r="L49" s="2548"/>
      <c r="M49" s="2548"/>
      <c r="N49" s="2523"/>
      <c r="O49" s="2545" t="s">
        <v>222</v>
      </c>
      <c r="P49" s="2546"/>
      <c r="Q49" s="2547" t="s">
        <v>358</v>
      </c>
      <c r="R49" s="2548"/>
      <c r="S49" s="2548"/>
      <c r="T49" s="2523"/>
      <c r="U49" s="2545" t="s">
        <v>223</v>
      </c>
      <c r="V49" s="2546"/>
      <c r="W49" s="2549" t="s">
        <v>75</v>
      </c>
      <c r="X49" s="2534"/>
    </row>
    <row r="50" spans="2:24" s="452" customFormat="1" ht="21" customHeight="1">
      <c r="B50" s="2513"/>
      <c r="C50" s="2517"/>
      <c r="D50" s="2518"/>
      <c r="E50" s="2537" t="s">
        <v>225</v>
      </c>
      <c r="F50" s="2538"/>
      <c r="G50" s="2522" t="s">
        <v>226</v>
      </c>
      <c r="H50" s="2523"/>
      <c r="I50" s="2522" t="s">
        <v>227</v>
      </c>
      <c r="J50" s="2523"/>
      <c r="K50" s="2522" t="s">
        <v>76</v>
      </c>
      <c r="L50" s="2523"/>
      <c r="M50" s="2522" t="s">
        <v>228</v>
      </c>
      <c r="N50" s="2523"/>
      <c r="O50" s="2529"/>
      <c r="P50" s="2530"/>
      <c r="Q50" s="2522" t="s">
        <v>226</v>
      </c>
      <c r="R50" s="2523"/>
      <c r="S50" s="2522" t="s">
        <v>228</v>
      </c>
      <c r="T50" s="2523"/>
      <c r="U50" s="2529"/>
      <c r="V50" s="2530"/>
      <c r="W50" s="2550"/>
      <c r="X50" s="2536"/>
    </row>
    <row r="51" spans="2:24" s="452" customFormat="1" ht="21" customHeight="1">
      <c r="B51" s="2514"/>
      <c r="C51" s="676" t="s">
        <v>230</v>
      </c>
      <c r="D51" s="677" t="s">
        <v>231</v>
      </c>
      <c r="E51" s="459" t="s">
        <v>230</v>
      </c>
      <c r="F51" s="678" t="s">
        <v>232</v>
      </c>
      <c r="G51" s="459" t="s">
        <v>230</v>
      </c>
      <c r="H51" s="1398" t="s">
        <v>232</v>
      </c>
      <c r="I51" s="459" t="s">
        <v>230</v>
      </c>
      <c r="J51" s="1398" t="s">
        <v>232</v>
      </c>
      <c r="K51" s="460" t="s">
        <v>230</v>
      </c>
      <c r="L51" s="1398" t="s">
        <v>232</v>
      </c>
      <c r="M51" s="460" t="s">
        <v>230</v>
      </c>
      <c r="N51" s="1398" t="s">
        <v>232</v>
      </c>
      <c r="O51" s="460" t="s">
        <v>230</v>
      </c>
      <c r="P51" s="1397" t="s">
        <v>232</v>
      </c>
      <c r="Q51" s="1305" t="s">
        <v>230</v>
      </c>
      <c r="R51" s="1398" t="s">
        <v>232</v>
      </c>
      <c r="S51" s="459" t="s">
        <v>230</v>
      </c>
      <c r="T51" s="1398" t="s">
        <v>232</v>
      </c>
      <c r="U51" s="460" t="s">
        <v>230</v>
      </c>
      <c r="V51" s="1398" t="s">
        <v>232</v>
      </c>
      <c r="W51" s="460" t="s">
        <v>230</v>
      </c>
      <c r="X51" s="1398" t="s">
        <v>232</v>
      </c>
    </row>
    <row r="52" spans="2:24" s="452" customFormat="1" ht="21" customHeight="1">
      <c r="B52" s="1395" t="s">
        <v>233</v>
      </c>
      <c r="C52" s="679"/>
      <c r="D52" s="680">
        <f>F52+H52+J52+L52+N52+P52+V52+X52+R52+T52</f>
        <v>-3110000</v>
      </c>
      <c r="E52" s="681">
        <f>'R5介護'!E71</f>
        <v>0</v>
      </c>
      <c r="F52" s="682">
        <f>'R5介護'!F71</f>
        <v>0</v>
      </c>
      <c r="G52" s="683">
        <f>'R5介護'!G71</f>
        <v>0</v>
      </c>
      <c r="H52" s="684">
        <f>'R5介護'!H71</f>
        <v>-240000</v>
      </c>
      <c r="I52" s="685">
        <f>'R5介護'!I71</f>
        <v>0</v>
      </c>
      <c r="J52" s="684">
        <f>'R5介護'!J71</f>
        <v>-2880000</v>
      </c>
      <c r="K52" s="685">
        <f>'R5介護'!K71</f>
        <v>0</v>
      </c>
      <c r="L52" s="682">
        <f>'R5介護'!L71</f>
        <v>0</v>
      </c>
      <c r="M52" s="685">
        <f>'R5介護'!M71</f>
        <v>0</v>
      </c>
      <c r="N52" s="682">
        <f>'R5介護'!N71</f>
        <v>0</v>
      </c>
      <c r="O52" s="685">
        <f>'R5介護'!O71</f>
        <v>0</v>
      </c>
      <c r="P52" s="686">
        <f>'R5介護'!P71</f>
        <v>0</v>
      </c>
      <c r="Q52" s="685">
        <f>'R5介護'!Q71</f>
        <v>0</v>
      </c>
      <c r="R52" s="1058">
        <f>'R5介護'!R71</f>
        <v>-60000</v>
      </c>
      <c r="S52" s="686">
        <f>'R5介護'!S71</f>
        <v>0</v>
      </c>
      <c r="T52" s="686">
        <f>'R5介護'!T71</f>
        <v>70000</v>
      </c>
      <c r="U52" s="685">
        <f>'R5介護'!U71</f>
        <v>0</v>
      </c>
      <c r="V52" s="682">
        <f>'R5介護'!V71</f>
        <v>0</v>
      </c>
      <c r="W52" s="685">
        <f>'R5介護'!W71</f>
        <v>0</v>
      </c>
      <c r="X52" s="687">
        <f>'R5介護'!X71</f>
        <v>0</v>
      </c>
    </row>
    <row r="53" spans="2:24" s="452" customFormat="1" ht="21" customHeight="1">
      <c r="B53" s="1396" t="s">
        <v>62</v>
      </c>
      <c r="C53" s="688"/>
      <c r="D53" s="689">
        <f>F53+H53+J53+L53+N53+P53+V53+X53+R53+T53</f>
        <v>0</v>
      </c>
      <c r="E53" s="690">
        <f>'R5介護'!E72</f>
        <v>0</v>
      </c>
      <c r="F53" s="691">
        <f>'R5介護'!F72</f>
        <v>0</v>
      </c>
      <c r="G53" s="692">
        <f>'R5介護'!G72</f>
        <v>0</v>
      </c>
      <c r="H53" s="693">
        <f>'R5介護'!H72</f>
        <v>0</v>
      </c>
      <c r="I53" s="692">
        <f>'R5介護'!I72</f>
        <v>0</v>
      </c>
      <c r="J53" s="693">
        <f>'R5介護'!J72</f>
        <v>0</v>
      </c>
      <c r="K53" s="694">
        <f>'R5介護'!K72</f>
        <v>0</v>
      </c>
      <c r="L53" s="691">
        <f>'R5介護'!L72</f>
        <v>0</v>
      </c>
      <c r="M53" s="694">
        <f>'R5介護'!M72</f>
        <v>0</v>
      </c>
      <c r="N53" s="691">
        <f>'R5介護'!N72</f>
        <v>0</v>
      </c>
      <c r="O53" s="694">
        <f>'R5介護'!O72</f>
        <v>0</v>
      </c>
      <c r="P53" s="695">
        <f>'R5介護'!P72</f>
        <v>0</v>
      </c>
      <c r="Q53" s="1781">
        <f>'R5介護'!Q72</f>
        <v>0</v>
      </c>
      <c r="R53" s="1061">
        <f>'R5介護'!R72</f>
        <v>0</v>
      </c>
      <c r="S53" s="695">
        <f>'R5介護'!S72</f>
        <v>0</v>
      </c>
      <c r="T53" s="695">
        <f>'R5介護'!T72</f>
        <v>0</v>
      </c>
      <c r="U53" s="694">
        <f>'R5介護'!U72</f>
        <v>0</v>
      </c>
      <c r="V53" s="691">
        <f>'R5介護'!V72</f>
        <v>0</v>
      </c>
      <c r="W53" s="694">
        <f>'R5介護'!W72</f>
        <v>0</v>
      </c>
      <c r="X53" s="696">
        <f>'R5介護'!X72</f>
        <v>0</v>
      </c>
    </row>
    <row r="54" spans="2:24" s="452" customFormat="1" ht="21" customHeight="1">
      <c r="B54" s="1396" t="s">
        <v>63</v>
      </c>
      <c r="C54" s="688"/>
      <c r="D54" s="689">
        <f t="shared" ref="D54:D63" si="15">F54+H54+J54+L54+N54+P54+V54+X54+R54+T54</f>
        <v>0</v>
      </c>
      <c r="E54" s="690">
        <f>'R5介護'!E73</f>
        <v>0</v>
      </c>
      <c r="F54" s="691">
        <f>'R5介護'!F73</f>
        <v>0</v>
      </c>
      <c r="G54" s="692">
        <f>'R5介護'!G73</f>
        <v>0</v>
      </c>
      <c r="H54" s="693">
        <f>'R5介護'!H73</f>
        <v>0</v>
      </c>
      <c r="I54" s="692">
        <f>'R5介護'!I73</f>
        <v>0</v>
      </c>
      <c r="J54" s="693">
        <f>'R5介護'!J73</f>
        <v>0</v>
      </c>
      <c r="K54" s="694">
        <f>'R5介護'!K73</f>
        <v>0</v>
      </c>
      <c r="L54" s="691">
        <f>'R5介護'!L73</f>
        <v>0</v>
      </c>
      <c r="M54" s="694">
        <f>'R5介護'!M73</f>
        <v>0</v>
      </c>
      <c r="N54" s="691">
        <f>'R5介護'!N73</f>
        <v>0</v>
      </c>
      <c r="O54" s="694">
        <f>'R5介護'!O73</f>
        <v>0</v>
      </c>
      <c r="P54" s="695">
        <f>'R5介護'!P73</f>
        <v>0</v>
      </c>
      <c r="Q54" s="1781">
        <f>'R5介護'!Q73</f>
        <v>0</v>
      </c>
      <c r="R54" s="1061">
        <f>'R5介護'!R73</f>
        <v>0</v>
      </c>
      <c r="S54" s="695">
        <f>'R5介護'!S73</f>
        <v>0</v>
      </c>
      <c r="T54" s="695">
        <f>'R5介護'!T73</f>
        <v>0</v>
      </c>
      <c r="U54" s="694">
        <f>'R5介護'!U73</f>
        <v>0</v>
      </c>
      <c r="V54" s="691">
        <f>'R5介護'!V73</f>
        <v>0</v>
      </c>
      <c r="W54" s="694">
        <f>'R5介護'!W73</f>
        <v>0</v>
      </c>
      <c r="X54" s="696">
        <f>'R5介護'!X73</f>
        <v>0</v>
      </c>
    </row>
    <row r="55" spans="2:24" s="452" customFormat="1" ht="21" customHeight="1">
      <c r="B55" s="1396" t="s">
        <v>64</v>
      </c>
      <c r="C55" s="688"/>
      <c r="D55" s="689">
        <f t="shared" si="15"/>
        <v>56330000</v>
      </c>
      <c r="E55" s="690">
        <f>'R5介護'!E74</f>
        <v>0</v>
      </c>
      <c r="F55" s="691">
        <f>'R5介護'!F74</f>
        <v>0</v>
      </c>
      <c r="G55" s="692">
        <f>'R5介護'!G74</f>
        <v>0</v>
      </c>
      <c r="H55" s="693">
        <f>'R5介護'!H74</f>
        <v>13520000</v>
      </c>
      <c r="I55" s="692">
        <f>'R5介護'!I74</f>
        <v>0</v>
      </c>
      <c r="J55" s="693">
        <f>'R5介護'!J74</f>
        <v>41920000</v>
      </c>
      <c r="K55" s="694">
        <f>'R5介護'!K74</f>
        <v>0</v>
      </c>
      <c r="L55" s="691">
        <f>'R5介護'!L74</f>
        <v>0</v>
      </c>
      <c r="M55" s="694">
        <f>'R5介護'!M74</f>
        <v>0</v>
      </c>
      <c r="N55" s="691">
        <f>'R5介護'!N74</f>
        <v>120000</v>
      </c>
      <c r="O55" s="694">
        <f>'R5介護'!O74</f>
        <v>0</v>
      </c>
      <c r="P55" s="695">
        <f>'R5介護'!P74</f>
        <v>0</v>
      </c>
      <c r="Q55" s="1781">
        <f>'R5介護'!Q74</f>
        <v>0</v>
      </c>
      <c r="R55" s="1061">
        <f>'R5介護'!R74</f>
        <v>-60000</v>
      </c>
      <c r="S55" s="695">
        <f>'R5介護'!S74</f>
        <v>0</v>
      </c>
      <c r="T55" s="695">
        <f>'R5介護'!T74</f>
        <v>70000</v>
      </c>
      <c r="U55" s="694">
        <f>'R5介護'!U74</f>
        <v>0</v>
      </c>
      <c r="V55" s="691">
        <f>'R5介護'!V74</f>
        <v>760000</v>
      </c>
      <c r="W55" s="694">
        <f>'R5介護'!W74</f>
        <v>0</v>
      </c>
      <c r="X55" s="696">
        <f>'R5介護'!X74</f>
        <v>0</v>
      </c>
    </row>
    <row r="56" spans="2:24" s="452" customFormat="1" ht="21" customHeight="1">
      <c r="B56" s="1396" t="s">
        <v>65</v>
      </c>
      <c r="C56" s="688"/>
      <c r="D56" s="689">
        <f t="shared" si="15"/>
        <v>0</v>
      </c>
      <c r="E56" s="690">
        <f>'R5介護'!E75</f>
        <v>0</v>
      </c>
      <c r="F56" s="691">
        <f>'R5介護'!F75</f>
        <v>0</v>
      </c>
      <c r="G56" s="692">
        <f>'R5介護'!G75</f>
        <v>0</v>
      </c>
      <c r="H56" s="693">
        <f>'R5介護'!H75</f>
        <v>0</v>
      </c>
      <c r="I56" s="692">
        <f>'R5介護'!I75</f>
        <v>0</v>
      </c>
      <c r="J56" s="693">
        <f>'R5介護'!J75</f>
        <v>0</v>
      </c>
      <c r="K56" s="694">
        <f>'R5介護'!K75</f>
        <v>0</v>
      </c>
      <c r="L56" s="691">
        <f>'R5介護'!L75</f>
        <v>0</v>
      </c>
      <c r="M56" s="694">
        <f>'R5介護'!M75</f>
        <v>0</v>
      </c>
      <c r="N56" s="691">
        <f>'R5介護'!N75</f>
        <v>0</v>
      </c>
      <c r="O56" s="694">
        <f>'R5介護'!O75</f>
        <v>0</v>
      </c>
      <c r="P56" s="695">
        <f>'R5介護'!P75</f>
        <v>0</v>
      </c>
      <c r="Q56" s="1781">
        <f>'R5介護'!Q75</f>
        <v>0</v>
      </c>
      <c r="R56" s="1061">
        <f>'R5介護'!R75</f>
        <v>0</v>
      </c>
      <c r="S56" s="695">
        <f>'R5介護'!S75</f>
        <v>0</v>
      </c>
      <c r="T56" s="695">
        <f>'R5介護'!T75</f>
        <v>0</v>
      </c>
      <c r="U56" s="694">
        <f>'R5介護'!U75</f>
        <v>0</v>
      </c>
      <c r="V56" s="691">
        <f>'R5介護'!V75</f>
        <v>0</v>
      </c>
      <c r="W56" s="694">
        <f>'R5介護'!W75</f>
        <v>0</v>
      </c>
      <c r="X56" s="696">
        <f>'R5介護'!X75</f>
        <v>0</v>
      </c>
    </row>
    <row r="57" spans="2:24" s="452" customFormat="1" ht="21" customHeight="1">
      <c r="B57" s="1396" t="s">
        <v>66</v>
      </c>
      <c r="C57" s="688"/>
      <c r="D57" s="689">
        <f>F57+H57+J57+L57+N57+P57+V57+X57+R57+T57</f>
        <v>-530000</v>
      </c>
      <c r="E57" s="690">
        <f>'R5介護'!E76</f>
        <v>0</v>
      </c>
      <c r="F57" s="691">
        <f>'R5介護'!F76</f>
        <v>0</v>
      </c>
      <c r="G57" s="692">
        <f>'R5介護'!G76</f>
        <v>0</v>
      </c>
      <c r="H57" s="693">
        <f>'R5介護'!H76</f>
        <v>0</v>
      </c>
      <c r="I57" s="692">
        <f>'R5介護'!I76</f>
        <v>0</v>
      </c>
      <c r="J57" s="693">
        <f>'R5介護'!J76</f>
        <v>-540000</v>
      </c>
      <c r="K57" s="694">
        <f>'R5介護'!K76</f>
        <v>0</v>
      </c>
      <c r="L57" s="691">
        <f>'R5介護'!L76</f>
        <v>0</v>
      </c>
      <c r="M57" s="694">
        <f>'R5介護'!M76</f>
        <v>0</v>
      </c>
      <c r="N57" s="691">
        <f>'R5介護'!N76</f>
        <v>0</v>
      </c>
      <c r="O57" s="694">
        <f>'R5介護'!O76</f>
        <v>0</v>
      </c>
      <c r="P57" s="695">
        <f>'R5介護'!P76</f>
        <v>0</v>
      </c>
      <c r="Q57" s="1781">
        <f>'R5介護'!Q76</f>
        <v>0</v>
      </c>
      <c r="R57" s="1061">
        <f>'R5介護'!R76</f>
        <v>-60000</v>
      </c>
      <c r="S57" s="695">
        <f>'R5介護'!S76</f>
        <v>0</v>
      </c>
      <c r="T57" s="695">
        <f>'R5介護'!T76</f>
        <v>70000</v>
      </c>
      <c r="U57" s="694">
        <f>'R5介護'!U76</f>
        <v>0</v>
      </c>
      <c r="V57" s="691">
        <f>'R5介護'!V76</f>
        <v>0</v>
      </c>
      <c r="W57" s="694">
        <f>'R5介護'!W76</f>
        <v>0</v>
      </c>
      <c r="X57" s="696">
        <f>'R5介護'!X76</f>
        <v>0</v>
      </c>
    </row>
    <row r="58" spans="2:24" s="452" customFormat="1" ht="21" customHeight="1">
      <c r="B58" s="1396" t="s">
        <v>67</v>
      </c>
      <c r="C58" s="688"/>
      <c r="D58" s="689">
        <f t="shared" si="15"/>
        <v>0</v>
      </c>
      <c r="E58" s="690">
        <f>'R5介護'!E77</f>
        <v>0</v>
      </c>
      <c r="F58" s="691">
        <f>'R5介護'!F77</f>
        <v>0</v>
      </c>
      <c r="G58" s="692">
        <f>'R5介護'!G77</f>
        <v>0</v>
      </c>
      <c r="H58" s="691">
        <f>'R5介護'!H77</f>
        <v>0</v>
      </c>
      <c r="I58" s="692">
        <f>'R5介護'!I77</f>
        <v>0</v>
      </c>
      <c r="J58" s="691">
        <f>'R5介護'!J77</f>
        <v>0</v>
      </c>
      <c r="K58" s="694">
        <f>'R5介護'!K77</f>
        <v>0</v>
      </c>
      <c r="L58" s="691">
        <f>'R5介護'!L77</f>
        <v>0</v>
      </c>
      <c r="M58" s="694">
        <f>'R5介護'!M77</f>
        <v>0</v>
      </c>
      <c r="N58" s="691">
        <f>'R5介護'!N77</f>
        <v>0</v>
      </c>
      <c r="O58" s="694">
        <f>'R5介護'!O77</f>
        <v>0</v>
      </c>
      <c r="P58" s="695">
        <f>'R5介護'!P77</f>
        <v>0</v>
      </c>
      <c r="Q58" s="1781">
        <f>'R5介護'!Q77</f>
        <v>0</v>
      </c>
      <c r="R58" s="1061">
        <f>'R5介護'!R77</f>
        <v>0</v>
      </c>
      <c r="S58" s="695">
        <f>'R5介護'!S77</f>
        <v>0</v>
      </c>
      <c r="T58" s="695">
        <f>'R5介護'!T77</f>
        <v>0</v>
      </c>
      <c r="U58" s="694">
        <f>'R5介護'!U77</f>
        <v>0</v>
      </c>
      <c r="V58" s="691">
        <f>'R5介護'!V77</f>
        <v>0</v>
      </c>
      <c r="W58" s="694">
        <f>'R5介護'!W77</f>
        <v>0</v>
      </c>
      <c r="X58" s="697">
        <f>'R5介護'!X77</f>
        <v>0</v>
      </c>
    </row>
    <row r="59" spans="2:24" s="452" customFormat="1" ht="21" customHeight="1">
      <c r="B59" s="1396" t="s">
        <v>68</v>
      </c>
      <c r="C59" s="688"/>
      <c r="D59" s="689">
        <f t="shared" si="15"/>
        <v>0</v>
      </c>
      <c r="E59" s="690">
        <f>'R5介護'!E78</f>
        <v>0</v>
      </c>
      <c r="F59" s="691">
        <f>'R5介護'!F78</f>
        <v>0</v>
      </c>
      <c r="G59" s="692">
        <f>'R5介護'!G78</f>
        <v>0</v>
      </c>
      <c r="H59" s="691">
        <f>'R5介護'!H78</f>
        <v>0</v>
      </c>
      <c r="I59" s="692">
        <f>'R5介護'!I78</f>
        <v>0</v>
      </c>
      <c r="J59" s="691">
        <f>'R5介護'!J78</f>
        <v>0</v>
      </c>
      <c r="K59" s="694">
        <f>'R5介護'!K78</f>
        <v>0</v>
      </c>
      <c r="L59" s="691">
        <f>'R5介護'!L78</f>
        <v>0</v>
      </c>
      <c r="M59" s="694">
        <f>'R5介護'!M78</f>
        <v>0</v>
      </c>
      <c r="N59" s="691">
        <f>'R5介護'!N78</f>
        <v>0</v>
      </c>
      <c r="O59" s="694">
        <f>'R5介護'!O78</f>
        <v>0</v>
      </c>
      <c r="P59" s="695">
        <f>'R5介護'!P78</f>
        <v>0</v>
      </c>
      <c r="Q59" s="1781">
        <f>'R5介護'!Q78</f>
        <v>0</v>
      </c>
      <c r="R59" s="1061">
        <f>'R5介護'!R78</f>
        <v>0</v>
      </c>
      <c r="S59" s="695">
        <f>'R5介護'!S78</f>
        <v>0</v>
      </c>
      <c r="T59" s="695">
        <f>'R5介護'!T78</f>
        <v>0</v>
      </c>
      <c r="U59" s="694">
        <f>'R5介護'!U78</f>
        <v>0</v>
      </c>
      <c r="V59" s="691">
        <f>'R5介護'!V78</f>
        <v>0</v>
      </c>
      <c r="W59" s="694">
        <f>'R5介護'!W78</f>
        <v>0</v>
      </c>
      <c r="X59" s="697">
        <f>'R5介護'!X78</f>
        <v>0</v>
      </c>
    </row>
    <row r="60" spans="2:24" s="452" customFormat="1" ht="21" customHeight="1">
      <c r="B60" s="1396" t="s">
        <v>69</v>
      </c>
      <c r="C60" s="688"/>
      <c r="D60" s="689">
        <f t="shared" si="15"/>
        <v>0</v>
      </c>
      <c r="E60" s="695">
        <f>'R5介護'!E79</f>
        <v>0</v>
      </c>
      <c r="F60" s="691">
        <f>'R5介護'!F79</f>
        <v>0</v>
      </c>
      <c r="G60" s="692">
        <f>'R5介護'!G79</f>
        <v>0</v>
      </c>
      <c r="H60" s="697">
        <f>'R5介護'!H79</f>
        <v>0</v>
      </c>
      <c r="I60" s="694">
        <f>'R5介護'!I79</f>
        <v>0</v>
      </c>
      <c r="J60" s="697">
        <f>'R5介護'!J79</f>
        <v>0</v>
      </c>
      <c r="K60" s="694">
        <f>'R5介護'!K79</f>
        <v>0</v>
      </c>
      <c r="L60" s="697">
        <f>'R5介護'!L79</f>
        <v>0</v>
      </c>
      <c r="M60" s="694">
        <f>'R5介護'!M79</f>
        <v>0</v>
      </c>
      <c r="N60" s="697">
        <f>'R5介護'!N79</f>
        <v>0</v>
      </c>
      <c r="O60" s="694">
        <f>'R5介護'!O79</f>
        <v>0</v>
      </c>
      <c r="P60" s="695">
        <f>'R5介護'!P79</f>
        <v>0</v>
      </c>
      <c r="Q60" s="1781">
        <f>'R5介護'!Q79</f>
        <v>0</v>
      </c>
      <c r="R60" s="1061">
        <f>'R5介護'!R79</f>
        <v>0</v>
      </c>
      <c r="S60" s="695">
        <f>'R5介護'!S79</f>
        <v>0</v>
      </c>
      <c r="T60" s="695">
        <f>'R5介護'!T79</f>
        <v>0</v>
      </c>
      <c r="U60" s="694">
        <f>'R5介護'!U79</f>
        <v>0</v>
      </c>
      <c r="V60" s="697">
        <f>'R5介護'!V79</f>
        <v>0</v>
      </c>
      <c r="W60" s="694">
        <f>'R5介護'!W79</f>
        <v>0</v>
      </c>
      <c r="X60" s="697">
        <f>'R5介護'!X79</f>
        <v>0</v>
      </c>
    </row>
    <row r="61" spans="2:24" s="452" customFormat="1" ht="21" customHeight="1">
      <c r="B61" s="1396" t="s">
        <v>70</v>
      </c>
      <c r="C61" s="688"/>
      <c r="D61" s="689">
        <f t="shared" si="15"/>
        <v>0</v>
      </c>
      <c r="E61" s="695">
        <f>'R5介護'!E80</f>
        <v>0</v>
      </c>
      <c r="F61" s="691">
        <f>'R5介護'!F80</f>
        <v>0</v>
      </c>
      <c r="G61" s="692">
        <f>'R5介護'!G80</f>
        <v>0</v>
      </c>
      <c r="H61" s="697">
        <f>'R5介護'!H80</f>
        <v>0</v>
      </c>
      <c r="I61" s="694">
        <f>'R5介護'!I80</f>
        <v>0</v>
      </c>
      <c r="J61" s="697">
        <f>'R5介護'!J80</f>
        <v>0</v>
      </c>
      <c r="K61" s="694">
        <f>'R5介護'!K80</f>
        <v>0</v>
      </c>
      <c r="L61" s="697">
        <f>'R5介護'!L80</f>
        <v>0</v>
      </c>
      <c r="M61" s="694">
        <f>'R5介護'!M80</f>
        <v>0</v>
      </c>
      <c r="N61" s="697">
        <f>'R5介護'!N80</f>
        <v>0</v>
      </c>
      <c r="O61" s="694">
        <f>'R5介護'!O80</f>
        <v>0</v>
      </c>
      <c r="P61" s="695">
        <f>'R5介護'!P80</f>
        <v>0</v>
      </c>
      <c r="Q61" s="1781">
        <f>'R5介護'!Q80</f>
        <v>0</v>
      </c>
      <c r="R61" s="1061">
        <f>'R5介護'!R80</f>
        <v>0</v>
      </c>
      <c r="S61" s="695">
        <f>'R5介護'!S80</f>
        <v>0</v>
      </c>
      <c r="T61" s="695">
        <f>'R5介護'!T80</f>
        <v>0</v>
      </c>
      <c r="U61" s="694">
        <f>'R5介護'!U80</f>
        <v>0</v>
      </c>
      <c r="V61" s="697">
        <f>'R5介護'!V80</f>
        <v>0</v>
      </c>
      <c r="W61" s="694">
        <f>'R5介護'!W80</f>
        <v>0</v>
      </c>
      <c r="X61" s="697">
        <f>'R5介護'!X80</f>
        <v>0</v>
      </c>
    </row>
    <row r="62" spans="2:24" s="452" customFormat="1" ht="21" customHeight="1">
      <c r="B62" s="1396" t="s">
        <v>71</v>
      </c>
      <c r="C62" s="688"/>
      <c r="D62" s="689">
        <f t="shared" si="15"/>
        <v>0</v>
      </c>
      <c r="E62" s="695">
        <f>'R5介護'!E81</f>
        <v>0</v>
      </c>
      <c r="F62" s="691">
        <f>'R5介護'!F81</f>
        <v>0</v>
      </c>
      <c r="G62" s="692">
        <f>'R5介護'!G81</f>
        <v>0</v>
      </c>
      <c r="H62" s="697">
        <f>'R5介護'!H81</f>
        <v>0</v>
      </c>
      <c r="I62" s="694">
        <f>'R5介護'!I81</f>
        <v>0</v>
      </c>
      <c r="J62" s="697">
        <f>'R5介護'!J81</f>
        <v>0</v>
      </c>
      <c r="K62" s="694">
        <f>'R5介護'!K81</f>
        <v>0</v>
      </c>
      <c r="L62" s="697">
        <f>'R5介護'!L81</f>
        <v>0</v>
      </c>
      <c r="M62" s="694">
        <f>'R5介護'!M81</f>
        <v>0</v>
      </c>
      <c r="N62" s="697">
        <f>'R5介護'!N81</f>
        <v>0</v>
      </c>
      <c r="O62" s="694">
        <f>'R5介護'!O81</f>
        <v>0</v>
      </c>
      <c r="P62" s="695">
        <f>'R5介護'!P81</f>
        <v>0</v>
      </c>
      <c r="Q62" s="1781">
        <f>'R5介護'!Q81</f>
        <v>0</v>
      </c>
      <c r="R62" s="1061">
        <f>'R5介護'!R81</f>
        <v>0</v>
      </c>
      <c r="S62" s="695">
        <f>'R5介護'!S81</f>
        <v>0</v>
      </c>
      <c r="T62" s="695">
        <f>'R5介護'!T81</f>
        <v>0</v>
      </c>
      <c r="U62" s="694">
        <f>'R5介護'!U81</f>
        <v>0</v>
      </c>
      <c r="V62" s="697">
        <f>'R5介護'!V81</f>
        <v>0</v>
      </c>
      <c r="W62" s="694">
        <f>'R5介護'!W81</f>
        <v>0</v>
      </c>
      <c r="X62" s="697">
        <f>'R5介護'!X81</f>
        <v>0</v>
      </c>
    </row>
    <row r="63" spans="2:24" s="708" customFormat="1" ht="21" customHeight="1" thickBot="1">
      <c r="B63" s="745" t="s">
        <v>72</v>
      </c>
      <c r="C63" s="734"/>
      <c r="D63" s="735">
        <f t="shared" si="15"/>
        <v>0</v>
      </c>
      <c r="E63" s="750">
        <f>'R5介護'!E82</f>
        <v>0</v>
      </c>
      <c r="F63" s="713">
        <f>'R5介護'!F82</f>
        <v>0</v>
      </c>
      <c r="G63" s="738">
        <f>'R5介護'!G82</f>
        <v>0</v>
      </c>
      <c r="H63" s="737">
        <f>'R5介護'!H82</f>
        <v>0</v>
      </c>
      <c r="I63" s="740">
        <f>'R5介護'!I82</f>
        <v>0</v>
      </c>
      <c r="J63" s="737">
        <f>'R5介護'!J82</f>
        <v>0</v>
      </c>
      <c r="K63" s="746">
        <f>'R5介護'!K82</f>
        <v>0</v>
      </c>
      <c r="L63" s="737">
        <f>'R5介護'!L82</f>
        <v>0</v>
      </c>
      <c r="M63" s="746">
        <f>'R5介護'!M82</f>
        <v>0</v>
      </c>
      <c r="N63" s="737">
        <f>'R5介護'!N82</f>
        <v>0</v>
      </c>
      <c r="O63" s="740">
        <f>'R5介護'!O82</f>
        <v>0</v>
      </c>
      <c r="P63" s="741">
        <f>'R5介護'!P82</f>
        <v>0</v>
      </c>
      <c r="Q63" s="1782">
        <f>'R5介護'!Q82</f>
        <v>0</v>
      </c>
      <c r="R63" s="1073">
        <f>'R5介護'!R82</f>
        <v>0</v>
      </c>
      <c r="S63" s="741">
        <f>'R5介護'!S82</f>
        <v>0</v>
      </c>
      <c r="T63" s="741">
        <f>'R5介護'!T82</f>
        <v>0</v>
      </c>
      <c r="U63" s="740">
        <f>'R5介護'!U82</f>
        <v>0</v>
      </c>
      <c r="V63" s="737">
        <f>'R5介護'!V82</f>
        <v>0</v>
      </c>
      <c r="W63" s="740">
        <f>'R5介護'!W82</f>
        <v>0</v>
      </c>
      <c r="X63" s="737">
        <f>'R5介護'!X82</f>
        <v>0</v>
      </c>
    </row>
    <row r="64" spans="2:24" s="718" customFormat="1" ht="21" customHeight="1" thickBot="1">
      <c r="B64" s="709" t="s">
        <v>78</v>
      </c>
      <c r="C64" s="710"/>
      <c r="D64" s="711">
        <f>SUM(D52:D63)</f>
        <v>52690000</v>
      </c>
      <c r="E64" s="712"/>
      <c r="F64" s="713">
        <f>SUM(F52:F63)</f>
        <v>0</v>
      </c>
      <c r="G64" s="714"/>
      <c r="H64" s="715">
        <f>SUM(H52:H63)</f>
        <v>13280000</v>
      </c>
      <c r="I64" s="714"/>
      <c r="J64" s="715">
        <f>SUM(J52:J63)</f>
        <v>38500000</v>
      </c>
      <c r="K64" s="716"/>
      <c r="L64" s="715">
        <f>SUM(L52:L63)</f>
        <v>0</v>
      </c>
      <c r="M64" s="716"/>
      <c r="N64" s="715">
        <f>SUM(N52:N63)</f>
        <v>120000</v>
      </c>
      <c r="O64" s="716"/>
      <c r="P64" s="717"/>
      <c r="Q64" s="1783"/>
      <c r="R64" s="1067">
        <f>SUM(R52:R63)</f>
        <v>-180000</v>
      </c>
      <c r="S64" s="717"/>
      <c r="T64" s="717">
        <f>SUM(T52:T63)</f>
        <v>210000</v>
      </c>
      <c r="U64" s="716"/>
      <c r="V64" s="715">
        <f>SUM(V52:V63)</f>
        <v>760000</v>
      </c>
      <c r="W64" s="716"/>
      <c r="X64" s="711">
        <f>SUM(X52:X63)</f>
        <v>0</v>
      </c>
    </row>
    <row r="65" spans="2:28" s="718" customFormat="1" ht="13.5"/>
    <row r="66" spans="2:28" s="718" customFormat="1" ht="16.5" customHeight="1" thickBot="1">
      <c r="B66" s="719" t="s">
        <v>304</v>
      </c>
      <c r="G66" s="761" t="s">
        <v>629</v>
      </c>
      <c r="H66" s="1784">
        <f>H48</f>
        <v>5</v>
      </c>
      <c r="I66" s="757" t="s">
        <v>592</v>
      </c>
    </row>
    <row r="67" spans="2:28" s="718" customFormat="1" ht="16.5" customHeight="1">
      <c r="B67" s="2686" t="s">
        <v>0</v>
      </c>
      <c r="C67" s="2515" t="s">
        <v>594</v>
      </c>
      <c r="D67" s="2516"/>
      <c r="E67" s="2716" t="s">
        <v>221</v>
      </c>
      <c r="F67" s="2717"/>
      <c r="G67" s="2717"/>
      <c r="H67" s="2717"/>
      <c r="I67" s="2717"/>
      <c r="J67" s="2718"/>
      <c r="K67" s="2719" t="s">
        <v>74</v>
      </c>
      <c r="L67" s="2720"/>
      <c r="M67" s="2720"/>
      <c r="N67" s="2721"/>
      <c r="O67" s="2707" t="s">
        <v>222</v>
      </c>
      <c r="P67" s="2722"/>
      <c r="Q67" s="2524" t="s">
        <v>358</v>
      </c>
      <c r="R67" s="2525"/>
      <c r="S67" s="2525"/>
      <c r="T67" s="2526"/>
      <c r="U67" s="2707" t="s">
        <v>223</v>
      </c>
      <c r="V67" s="2708"/>
      <c r="W67" s="2710" t="s">
        <v>75</v>
      </c>
      <c r="X67" s="2703"/>
    </row>
    <row r="68" spans="2:28" s="718" customFormat="1" ht="16.5" customHeight="1">
      <c r="B68" s="2687"/>
      <c r="C68" s="2517"/>
      <c r="D68" s="2518"/>
      <c r="E68" s="2712" t="s">
        <v>225</v>
      </c>
      <c r="F68" s="2694"/>
      <c r="G68" s="2713" t="s">
        <v>226</v>
      </c>
      <c r="H68" s="2697"/>
      <c r="I68" s="2713" t="s">
        <v>227</v>
      </c>
      <c r="J68" s="2697"/>
      <c r="K68" s="2713" t="s">
        <v>76</v>
      </c>
      <c r="L68" s="2697"/>
      <c r="M68" s="2713" t="s">
        <v>228</v>
      </c>
      <c r="N68" s="2697"/>
      <c r="O68" s="2700"/>
      <c r="P68" s="2701"/>
      <c r="Q68" s="2522" t="s">
        <v>226</v>
      </c>
      <c r="R68" s="2523"/>
      <c r="S68" s="2522" t="s">
        <v>228</v>
      </c>
      <c r="T68" s="2523"/>
      <c r="U68" s="2700"/>
      <c r="V68" s="2709"/>
      <c r="W68" s="2711"/>
      <c r="X68" s="2705"/>
    </row>
    <row r="69" spans="2:28" s="718" customFormat="1" ht="16.5" customHeight="1">
      <c r="B69" s="2688"/>
      <c r="C69" s="720" t="s">
        <v>230</v>
      </c>
      <c r="D69" s="721" t="s">
        <v>231</v>
      </c>
      <c r="E69" s="720" t="s">
        <v>230</v>
      </c>
      <c r="F69" s="722" t="s">
        <v>232</v>
      </c>
      <c r="G69" s="723" t="s">
        <v>230</v>
      </c>
      <c r="H69" s="1404" t="s">
        <v>232</v>
      </c>
      <c r="I69" s="723" t="s">
        <v>230</v>
      </c>
      <c r="J69" s="1404" t="s">
        <v>232</v>
      </c>
      <c r="K69" s="724" t="s">
        <v>230</v>
      </c>
      <c r="L69" s="1404" t="s">
        <v>232</v>
      </c>
      <c r="M69" s="724" t="s">
        <v>230</v>
      </c>
      <c r="N69" s="1404" t="s">
        <v>232</v>
      </c>
      <c r="O69" s="724" t="s">
        <v>230</v>
      </c>
      <c r="P69" s="1405" t="s">
        <v>232</v>
      </c>
      <c r="Q69" s="1305" t="s">
        <v>230</v>
      </c>
      <c r="R69" s="1398" t="s">
        <v>232</v>
      </c>
      <c r="S69" s="460" t="s">
        <v>230</v>
      </c>
      <c r="T69" s="1398" t="s">
        <v>232</v>
      </c>
      <c r="U69" s="724" t="s">
        <v>230</v>
      </c>
      <c r="V69" s="725" t="s">
        <v>232</v>
      </c>
      <c r="W69" s="723" t="s">
        <v>230</v>
      </c>
      <c r="X69" s="1404" t="s">
        <v>232</v>
      </c>
    </row>
    <row r="70" spans="2:28" s="718" customFormat="1" ht="16.5" customHeight="1">
      <c r="B70" s="1401" t="s">
        <v>233</v>
      </c>
      <c r="C70" s="726">
        <f>E70+G70+I70+K70+M70+O70+U70+Q70+S70</f>
        <v>0</v>
      </c>
      <c r="D70" s="727">
        <f>F70+H70+J70+L70+N70+P70+V70+R70+T70</f>
        <v>0</v>
      </c>
      <c r="E70" s="728">
        <f>'R5介護'!E89</f>
        <v>0</v>
      </c>
      <c r="F70" s="729">
        <f>'R5介護'!F89</f>
        <v>0</v>
      </c>
      <c r="G70" s="730">
        <f>'R5介護'!G89</f>
        <v>0</v>
      </c>
      <c r="H70" s="731">
        <f>'R5介護'!H89</f>
        <v>0</v>
      </c>
      <c r="I70" s="732">
        <f>'R5介護'!I89</f>
        <v>0</v>
      </c>
      <c r="J70" s="731">
        <f>'R5介護'!J89</f>
        <v>0</v>
      </c>
      <c r="K70" s="732">
        <f>'R5介護'!K89</f>
        <v>0</v>
      </c>
      <c r="L70" s="729">
        <f>'R5介護'!L89</f>
        <v>0</v>
      </c>
      <c r="M70" s="732">
        <f>'R5介護'!M89</f>
        <v>0</v>
      </c>
      <c r="N70" s="729">
        <f>'R5介護'!N89</f>
        <v>0</v>
      </c>
      <c r="O70" s="732">
        <f>'R5介護'!O89</f>
        <v>0</v>
      </c>
      <c r="P70" s="733">
        <f>'R5介護'!P89</f>
        <v>0</v>
      </c>
      <c r="Q70" s="732">
        <f>'R5介護'!Q89</f>
        <v>0</v>
      </c>
      <c r="R70" s="1070">
        <f>'R5介護'!R89</f>
        <v>0</v>
      </c>
      <c r="S70" s="732">
        <f>'R5介護'!S89</f>
        <v>0</v>
      </c>
      <c r="T70" s="733">
        <f>'R5介護'!T89</f>
        <v>0</v>
      </c>
      <c r="U70" s="732">
        <f>'R5介護'!U89</f>
        <v>0</v>
      </c>
      <c r="V70" s="727">
        <f>'R5介護'!V89</f>
        <v>0</v>
      </c>
      <c r="W70" s="730">
        <f>'R5介護'!W89</f>
        <v>58</v>
      </c>
      <c r="X70" s="731">
        <f>'R5介護'!X89</f>
        <v>18662000</v>
      </c>
    </row>
    <row r="71" spans="2:28" s="718" customFormat="1" ht="16.5" customHeight="1">
      <c r="B71" s="1402" t="s">
        <v>62</v>
      </c>
      <c r="C71" s="734">
        <f t="shared" ref="C71:D81" si="16">E71+G71+I71+K71+M71+O71+U71+Q71+S71</f>
        <v>38</v>
      </c>
      <c r="D71" s="735">
        <f t="shared" si="16"/>
        <v>4984000</v>
      </c>
      <c r="E71" s="736">
        <f>'R5介護'!E90</f>
        <v>0</v>
      </c>
      <c r="F71" s="737">
        <f>'R5介護'!F90</f>
        <v>0</v>
      </c>
      <c r="G71" s="738">
        <f>'R5介護'!G90</f>
        <v>0</v>
      </c>
      <c r="H71" s="739">
        <f>'R5介護'!H90</f>
        <v>0</v>
      </c>
      <c r="I71" s="738">
        <f>'R5介護'!I90</f>
        <v>0</v>
      </c>
      <c r="J71" s="739">
        <f>'R5介護'!J90</f>
        <v>0</v>
      </c>
      <c r="K71" s="740">
        <f>'R5介護'!K90</f>
        <v>0</v>
      </c>
      <c r="L71" s="737">
        <f>'R5介護'!L90</f>
        <v>0</v>
      </c>
      <c r="M71" s="740">
        <f>'R5介護'!M90</f>
        <v>0</v>
      </c>
      <c r="N71" s="737">
        <f>'R5介護'!N90</f>
        <v>0</v>
      </c>
      <c r="O71" s="740">
        <f>'R5介護'!O90</f>
        <v>0</v>
      </c>
      <c r="P71" s="741">
        <f>'R5介護'!P90</f>
        <v>0</v>
      </c>
      <c r="Q71" s="1782">
        <f>'R5介護'!Q90</f>
        <v>2</v>
      </c>
      <c r="R71" s="1073">
        <f>'R5介護'!R90</f>
        <v>310000</v>
      </c>
      <c r="S71" s="740">
        <f>'R5介護'!S90</f>
        <v>36</v>
      </c>
      <c r="T71" s="741">
        <f>'R5介護'!T90</f>
        <v>4674000</v>
      </c>
      <c r="U71" s="740">
        <f>'R5介護'!U90</f>
        <v>0</v>
      </c>
      <c r="V71" s="735">
        <f>'R5介護'!V90</f>
        <v>0</v>
      </c>
      <c r="W71" s="738">
        <f>'R5介護'!W90</f>
        <v>2</v>
      </c>
      <c r="X71" s="739">
        <f>'R5介護'!X90</f>
        <v>550000</v>
      </c>
    </row>
    <row r="72" spans="2:28" s="718" customFormat="1" ht="16.5" customHeight="1">
      <c r="B72" s="1402" t="s">
        <v>63</v>
      </c>
      <c r="C72" s="734">
        <f t="shared" si="16"/>
        <v>26</v>
      </c>
      <c r="D72" s="735">
        <f t="shared" si="16"/>
        <v>4248000</v>
      </c>
      <c r="E72" s="736">
        <f>'R5介護'!E91</f>
        <v>0</v>
      </c>
      <c r="F72" s="737">
        <f>'R5介護'!F91</f>
        <v>0</v>
      </c>
      <c r="G72" s="738">
        <f>'R5介護'!G91</f>
        <v>2</v>
      </c>
      <c r="H72" s="739">
        <f>'R5介護'!H91</f>
        <v>1050000</v>
      </c>
      <c r="I72" s="738">
        <f>'R5介護'!I91</f>
        <v>0</v>
      </c>
      <c r="J72" s="739">
        <f>'R5介護'!J91</f>
        <v>0</v>
      </c>
      <c r="K72" s="740">
        <f>'R5介護'!K91</f>
        <v>0</v>
      </c>
      <c r="L72" s="737">
        <f>'R5介護'!L91</f>
        <v>0</v>
      </c>
      <c r="M72" s="740">
        <f>'R5介護'!M91</f>
        <v>0</v>
      </c>
      <c r="N72" s="737">
        <f>'R5介護'!N91</f>
        <v>0</v>
      </c>
      <c r="O72" s="740">
        <f>'R5介護'!O91</f>
        <v>0</v>
      </c>
      <c r="P72" s="741">
        <f>'R5介護'!P91</f>
        <v>0</v>
      </c>
      <c r="Q72" s="1782">
        <f>'R5介護'!Q91</f>
        <v>7</v>
      </c>
      <c r="R72" s="1073">
        <f>'R5介護'!R91</f>
        <v>1174000</v>
      </c>
      <c r="S72" s="740">
        <f>'R5介護'!S91</f>
        <v>17</v>
      </c>
      <c r="T72" s="741">
        <f>'R5介護'!T91</f>
        <v>2024000</v>
      </c>
      <c r="U72" s="740">
        <f>'R5介護'!U91</f>
        <v>0</v>
      </c>
      <c r="V72" s="735">
        <f>'R5介護'!V91</f>
        <v>0</v>
      </c>
      <c r="W72" s="738">
        <f>'R5介護'!W91</f>
        <v>3</v>
      </c>
      <c r="X72" s="739">
        <f>'R5介護'!X91</f>
        <v>760000</v>
      </c>
    </row>
    <row r="73" spans="2:28" s="718" customFormat="1" ht="16.5" customHeight="1">
      <c r="B73" s="1402" t="s">
        <v>64</v>
      </c>
      <c r="C73" s="734">
        <f t="shared" si="16"/>
        <v>14</v>
      </c>
      <c r="D73" s="735">
        <f t="shared" si="16"/>
        <v>2098000</v>
      </c>
      <c r="E73" s="736">
        <f>'R5介護'!E92</f>
        <v>0</v>
      </c>
      <c r="F73" s="737">
        <f>'R5介護'!F92</f>
        <v>0</v>
      </c>
      <c r="G73" s="738">
        <f>'R5介護'!G92</f>
        <v>0</v>
      </c>
      <c r="H73" s="739">
        <f>'R5介護'!H92</f>
        <v>0</v>
      </c>
      <c r="I73" s="738">
        <f>'R5介護'!I92</f>
        <v>0</v>
      </c>
      <c r="J73" s="739">
        <f>'R5介護'!J92</f>
        <v>0</v>
      </c>
      <c r="K73" s="740">
        <f>'R5介護'!K92</f>
        <v>0</v>
      </c>
      <c r="L73" s="737">
        <f>'R5介護'!L92</f>
        <v>0</v>
      </c>
      <c r="M73" s="740">
        <f>'R5介護'!M92</f>
        <v>0</v>
      </c>
      <c r="N73" s="737">
        <f>'R5介護'!N92</f>
        <v>0</v>
      </c>
      <c r="O73" s="740">
        <f>'R5介護'!O92</f>
        <v>0</v>
      </c>
      <c r="P73" s="741">
        <f>'R5介護'!P92</f>
        <v>0</v>
      </c>
      <c r="Q73" s="1782">
        <f>'R5介護'!Q92</f>
        <v>3</v>
      </c>
      <c r="R73" s="1073">
        <f>'R5介護'!R92</f>
        <v>630000</v>
      </c>
      <c r="S73" s="740">
        <f>'R5介護'!S92</f>
        <v>11</v>
      </c>
      <c r="T73" s="741">
        <f>'R5介護'!T92</f>
        <v>1468000</v>
      </c>
      <c r="U73" s="740">
        <f>'R5介護'!U92</f>
        <v>0</v>
      </c>
      <c r="V73" s="735">
        <f>'R5介護'!V92</f>
        <v>0</v>
      </c>
      <c r="W73" s="738">
        <f>'R5介護'!W92</f>
        <v>3</v>
      </c>
      <c r="X73" s="739">
        <f>'R5介護'!X92</f>
        <v>954000</v>
      </c>
      <c r="AA73" s="742"/>
      <c r="AB73" s="742"/>
    </row>
    <row r="74" spans="2:28" s="718" customFormat="1" ht="16.5" customHeight="1">
      <c r="B74" s="1402" t="s">
        <v>65</v>
      </c>
      <c r="C74" s="734">
        <f t="shared" si="16"/>
        <v>15</v>
      </c>
      <c r="D74" s="735">
        <f t="shared" si="16"/>
        <v>2576000</v>
      </c>
      <c r="E74" s="736">
        <f>'R5介護'!E93</f>
        <v>0</v>
      </c>
      <c r="F74" s="737">
        <f>'R5介護'!F93</f>
        <v>0</v>
      </c>
      <c r="G74" s="738">
        <f>'R5介護'!G93</f>
        <v>1</v>
      </c>
      <c r="H74" s="739">
        <f>'R5介護'!H93</f>
        <v>840000</v>
      </c>
      <c r="I74" s="738">
        <f>'R5介護'!I93</f>
        <v>0</v>
      </c>
      <c r="J74" s="739">
        <f>'R5介護'!J93</f>
        <v>0</v>
      </c>
      <c r="K74" s="740">
        <f>'R5介護'!K93</f>
        <v>0</v>
      </c>
      <c r="L74" s="737">
        <f>'R5介護'!L93</f>
        <v>0</v>
      </c>
      <c r="M74" s="740">
        <f>'R5介護'!M93</f>
        <v>0</v>
      </c>
      <c r="N74" s="737">
        <f>'R5介護'!N93</f>
        <v>0</v>
      </c>
      <c r="O74" s="740">
        <f>'R5介護'!O93</f>
        <v>0</v>
      </c>
      <c r="P74" s="741">
        <f>'R5介護'!P93</f>
        <v>0</v>
      </c>
      <c r="Q74" s="1782">
        <f>'R5介護'!Q93</f>
        <v>5</v>
      </c>
      <c r="R74" s="1073">
        <f>'R5介護'!R93</f>
        <v>934000</v>
      </c>
      <c r="S74" s="740">
        <f>'R5介護'!S93</f>
        <v>9</v>
      </c>
      <c r="T74" s="741">
        <f>'R5介護'!T93</f>
        <v>802000</v>
      </c>
      <c r="U74" s="740">
        <f>'R5介護'!U93</f>
        <v>0</v>
      </c>
      <c r="V74" s="735">
        <f>'R5介護'!V93</f>
        <v>0</v>
      </c>
      <c r="W74" s="738">
        <f>'R5介護'!W93</f>
        <v>3</v>
      </c>
      <c r="X74" s="739">
        <f>'R5介護'!X93</f>
        <v>1022000</v>
      </c>
    </row>
    <row r="75" spans="2:28" s="718" customFormat="1" ht="16.5" customHeight="1">
      <c r="B75" s="1402" t="s">
        <v>66</v>
      </c>
      <c r="C75" s="734">
        <f t="shared" si="16"/>
        <v>13</v>
      </c>
      <c r="D75" s="735">
        <f t="shared" si="16"/>
        <v>2012000</v>
      </c>
      <c r="E75" s="736">
        <f>'R5介護'!E94</f>
        <v>0</v>
      </c>
      <c r="F75" s="737">
        <f>'R5介護'!F94</f>
        <v>0</v>
      </c>
      <c r="G75" s="738">
        <f>'R5介護'!G94</f>
        <v>2</v>
      </c>
      <c r="H75" s="739">
        <f>'R5介護'!H94</f>
        <v>440000</v>
      </c>
      <c r="I75" s="738">
        <f>'R5介護'!I94</f>
        <v>0</v>
      </c>
      <c r="J75" s="739">
        <f>'R5介護'!J94</f>
        <v>0</v>
      </c>
      <c r="K75" s="740">
        <f>'R5介護'!K94</f>
        <v>0</v>
      </c>
      <c r="L75" s="737">
        <f>'R5介護'!L94</f>
        <v>0</v>
      </c>
      <c r="M75" s="740">
        <f>'R5介護'!M94</f>
        <v>0</v>
      </c>
      <c r="N75" s="737">
        <f>'R5介護'!N94</f>
        <v>0</v>
      </c>
      <c r="O75" s="740">
        <f>'R5介護'!O94</f>
        <v>0</v>
      </c>
      <c r="P75" s="741">
        <f>'R5介護'!P94</f>
        <v>0</v>
      </c>
      <c r="Q75" s="1782">
        <f>'R5介護'!Q94</f>
        <v>3</v>
      </c>
      <c r="R75" s="1073">
        <f>'R5介護'!R94</f>
        <v>356000</v>
      </c>
      <c r="S75" s="740">
        <f>'R5介護'!S94</f>
        <v>8</v>
      </c>
      <c r="T75" s="741">
        <f>'R5介護'!T94</f>
        <v>1216000</v>
      </c>
      <c r="U75" s="740">
        <f>'R5介護'!U94</f>
        <v>0</v>
      </c>
      <c r="V75" s="735">
        <f>'R5介護'!V94</f>
        <v>0</v>
      </c>
      <c r="W75" s="738">
        <f>'R5介護'!W94</f>
        <v>4</v>
      </c>
      <c r="X75" s="739">
        <f>'R5介護'!X94</f>
        <v>966000</v>
      </c>
    </row>
    <row r="76" spans="2:28" s="718" customFormat="1" ht="16.5" customHeight="1">
      <c r="B76" s="1402" t="s">
        <v>67</v>
      </c>
      <c r="C76" s="734">
        <f t="shared" si="16"/>
        <v>24</v>
      </c>
      <c r="D76" s="735">
        <f t="shared" si="16"/>
        <v>6791400</v>
      </c>
      <c r="E76" s="736">
        <f>'R5介護'!E95</f>
        <v>0</v>
      </c>
      <c r="F76" s="737">
        <f>'R5介護'!F95</f>
        <v>0</v>
      </c>
      <c r="G76" s="738">
        <f>'R5介護'!G95</f>
        <v>5</v>
      </c>
      <c r="H76" s="737">
        <f>'R5介護'!H95</f>
        <v>3220000</v>
      </c>
      <c r="I76" s="738">
        <f>'R5介護'!I95</f>
        <v>1</v>
      </c>
      <c r="J76" s="737">
        <f>'R5介護'!J95</f>
        <v>1090000</v>
      </c>
      <c r="K76" s="740">
        <f>'R5介護'!K95</f>
        <v>0</v>
      </c>
      <c r="L76" s="737">
        <f>'R5介護'!L95</f>
        <v>0</v>
      </c>
      <c r="M76" s="740">
        <f>'R5介護'!M95</f>
        <v>0</v>
      </c>
      <c r="N76" s="737">
        <f>'R5介護'!N95</f>
        <v>0</v>
      </c>
      <c r="O76" s="740">
        <f>'R5介護'!O95</f>
        <v>0</v>
      </c>
      <c r="P76" s="741">
        <f>'R5介護'!P95</f>
        <v>0</v>
      </c>
      <c r="Q76" s="1782">
        <f>'R5介護'!Q95</f>
        <v>4</v>
      </c>
      <c r="R76" s="1073">
        <f>'R5介護'!R95</f>
        <v>722000</v>
      </c>
      <c r="S76" s="740">
        <f>'R5介護'!S95</f>
        <v>14</v>
      </c>
      <c r="T76" s="741">
        <f>'R5介護'!T95</f>
        <v>1759400</v>
      </c>
      <c r="U76" s="740">
        <f>'R5介護'!U95</f>
        <v>0</v>
      </c>
      <c r="V76" s="735">
        <f>'R5介護'!V95</f>
        <v>0</v>
      </c>
      <c r="W76" s="738">
        <f>'R5介護'!W95</f>
        <v>3</v>
      </c>
      <c r="X76" s="737">
        <f>'R5介護'!X95</f>
        <v>1200000</v>
      </c>
    </row>
    <row r="77" spans="2:28" s="718" customFormat="1" ht="16.5" customHeight="1">
      <c r="B77" s="1402" t="s">
        <v>68</v>
      </c>
      <c r="C77" s="734">
        <f t="shared" si="16"/>
        <v>24</v>
      </c>
      <c r="D77" s="735">
        <f t="shared" si="16"/>
        <v>3844000</v>
      </c>
      <c r="E77" s="736">
        <f>'R5介護'!E96</f>
        <v>0</v>
      </c>
      <c r="F77" s="737">
        <f>'R5介護'!F96</f>
        <v>0</v>
      </c>
      <c r="G77" s="738">
        <f>'R5介護'!G96</f>
        <v>1</v>
      </c>
      <c r="H77" s="737">
        <f>'R5介護'!H96</f>
        <v>320000</v>
      </c>
      <c r="I77" s="738">
        <f>'R5介護'!I96</f>
        <v>0</v>
      </c>
      <c r="J77" s="737">
        <f>'R5介護'!J96</f>
        <v>0</v>
      </c>
      <c r="K77" s="740">
        <f>'R5介護'!K96</f>
        <v>0</v>
      </c>
      <c r="L77" s="737">
        <f>'R5介護'!L96</f>
        <v>0</v>
      </c>
      <c r="M77" s="740">
        <f>'R5介護'!M96</f>
        <v>0</v>
      </c>
      <c r="N77" s="737">
        <f>'R5介護'!N96</f>
        <v>0</v>
      </c>
      <c r="O77" s="740">
        <f>'R5介護'!O96</f>
        <v>0</v>
      </c>
      <c r="P77" s="741">
        <f>'R5介護'!P96</f>
        <v>0</v>
      </c>
      <c r="Q77" s="1782">
        <f>'R5介護'!Q96</f>
        <v>4</v>
      </c>
      <c r="R77" s="1073">
        <f>'R5介護'!R96</f>
        <v>704000</v>
      </c>
      <c r="S77" s="740">
        <f>'R5介護'!S96</f>
        <v>19</v>
      </c>
      <c r="T77" s="741">
        <f>'R5介護'!T96</f>
        <v>2820000</v>
      </c>
      <c r="U77" s="740">
        <f>'R5介護'!U96</f>
        <v>0</v>
      </c>
      <c r="V77" s="735">
        <f>'R5介護'!V96</f>
        <v>0</v>
      </c>
      <c r="W77" s="738">
        <f>'R5介護'!W96</f>
        <v>2</v>
      </c>
      <c r="X77" s="737">
        <f>'R5介護'!X96</f>
        <v>400000</v>
      </c>
    </row>
    <row r="78" spans="2:28" s="718" customFormat="1" ht="16.5" customHeight="1">
      <c r="B78" s="1402" t="s">
        <v>69</v>
      </c>
      <c r="C78" s="734">
        <f t="shared" si="16"/>
        <v>26</v>
      </c>
      <c r="D78" s="735">
        <f t="shared" si="16"/>
        <v>3748000</v>
      </c>
      <c r="E78" s="736">
        <f>'R5介護'!E97</f>
        <v>0</v>
      </c>
      <c r="F78" s="737">
        <f>'R5介護'!F97</f>
        <v>0</v>
      </c>
      <c r="G78" s="738">
        <f>'R5介護'!G97</f>
        <v>2</v>
      </c>
      <c r="H78" s="737">
        <f>'R5介護'!H97</f>
        <v>460000</v>
      </c>
      <c r="I78" s="740">
        <f>'R5介護'!I97</f>
        <v>0</v>
      </c>
      <c r="J78" s="737">
        <f>'R5介護'!J97</f>
        <v>0</v>
      </c>
      <c r="K78" s="740">
        <f>'R5介護'!K97</f>
        <v>0</v>
      </c>
      <c r="L78" s="737">
        <f>'R5介護'!L97</f>
        <v>0</v>
      </c>
      <c r="M78" s="740">
        <f>'R5介護'!M97</f>
        <v>0</v>
      </c>
      <c r="N78" s="737">
        <f>'R5介護'!N97</f>
        <v>0</v>
      </c>
      <c r="O78" s="740">
        <f>'R5介護'!O97</f>
        <v>0</v>
      </c>
      <c r="P78" s="741">
        <f>'R5介護'!P97</f>
        <v>0</v>
      </c>
      <c r="Q78" s="1782">
        <f>'R5介護'!Q97</f>
        <v>4</v>
      </c>
      <c r="R78" s="1073">
        <f>'R5介護'!R97</f>
        <v>770000</v>
      </c>
      <c r="S78" s="740">
        <f>'R5介護'!S97</f>
        <v>20</v>
      </c>
      <c r="T78" s="741">
        <f>'R5介護'!T97</f>
        <v>2518000</v>
      </c>
      <c r="U78" s="740">
        <f>'R5介護'!U97</f>
        <v>0</v>
      </c>
      <c r="V78" s="735">
        <f>'R5介護'!V97</f>
        <v>0</v>
      </c>
      <c r="W78" s="738">
        <f>'R5介護'!W97</f>
        <v>1</v>
      </c>
      <c r="X78" s="737">
        <f>'R5介護'!X97</f>
        <v>220000</v>
      </c>
    </row>
    <row r="79" spans="2:28" s="718" customFormat="1" ht="16.5" customHeight="1">
      <c r="B79" s="1402" t="s">
        <v>70</v>
      </c>
      <c r="C79" s="734">
        <f t="shared" si="16"/>
        <v>11</v>
      </c>
      <c r="D79" s="735">
        <f t="shared" si="16"/>
        <v>1494000</v>
      </c>
      <c r="E79" s="736">
        <f>'R5介護'!E98</f>
        <v>0</v>
      </c>
      <c r="F79" s="737">
        <f>'R5介護'!F98</f>
        <v>0</v>
      </c>
      <c r="G79" s="738">
        <f>'R5介護'!G98</f>
        <v>0</v>
      </c>
      <c r="H79" s="737">
        <f>'R5介護'!H98</f>
        <v>0</v>
      </c>
      <c r="I79" s="740">
        <f>'R5介護'!I98</f>
        <v>0</v>
      </c>
      <c r="J79" s="737">
        <f>'R5介護'!J98</f>
        <v>0</v>
      </c>
      <c r="K79" s="740">
        <f>'R5介護'!K98</f>
        <v>0</v>
      </c>
      <c r="L79" s="737">
        <f>'R5介護'!L98</f>
        <v>0</v>
      </c>
      <c r="M79" s="740">
        <f>'R5介護'!M98</f>
        <v>0</v>
      </c>
      <c r="N79" s="737">
        <f>'R5介護'!N98</f>
        <v>0</v>
      </c>
      <c r="O79" s="740">
        <f>'R5介護'!O98</f>
        <v>0</v>
      </c>
      <c r="P79" s="741">
        <f>'R5介護'!P98</f>
        <v>0</v>
      </c>
      <c r="Q79" s="1782">
        <f>'R5介護'!Q98</f>
        <v>6</v>
      </c>
      <c r="R79" s="1073">
        <f>'R5介護'!R98</f>
        <v>908000</v>
      </c>
      <c r="S79" s="740">
        <f>'R5介護'!S98</f>
        <v>5</v>
      </c>
      <c r="T79" s="741">
        <f>'R5介護'!T98</f>
        <v>586000</v>
      </c>
      <c r="U79" s="740">
        <f>'R5介護'!U98</f>
        <v>0</v>
      </c>
      <c r="V79" s="735">
        <f>'R5介護'!V98</f>
        <v>0</v>
      </c>
      <c r="W79" s="738">
        <f>'R5介護'!W98</f>
        <v>4</v>
      </c>
      <c r="X79" s="737">
        <f>'R5介護'!X98</f>
        <v>1490000</v>
      </c>
    </row>
    <row r="80" spans="2:28" s="718" customFormat="1" ht="16.5" customHeight="1">
      <c r="B80" s="1402" t="s">
        <v>71</v>
      </c>
      <c r="C80" s="734">
        <f t="shared" si="16"/>
        <v>14</v>
      </c>
      <c r="D80" s="735">
        <f t="shared" si="16"/>
        <v>3574000</v>
      </c>
      <c r="E80" s="736">
        <f>'R5介護'!E99</f>
        <v>0</v>
      </c>
      <c r="F80" s="737">
        <f>'R5介護'!F99</f>
        <v>0</v>
      </c>
      <c r="G80" s="738">
        <f>'R5介護'!G99</f>
        <v>1</v>
      </c>
      <c r="H80" s="737">
        <f>'R5介護'!H99</f>
        <v>1390000</v>
      </c>
      <c r="I80" s="740">
        <f>'R5介護'!I99</f>
        <v>1</v>
      </c>
      <c r="J80" s="737">
        <f>'R5介護'!J99</f>
        <v>680000</v>
      </c>
      <c r="K80" s="740">
        <f>'R5介護'!K99</f>
        <v>0</v>
      </c>
      <c r="L80" s="737">
        <f>'R5介護'!L99</f>
        <v>0</v>
      </c>
      <c r="M80" s="740">
        <f>'R5介護'!M99</f>
        <v>0</v>
      </c>
      <c r="N80" s="737">
        <f>'R5介護'!N99</f>
        <v>0</v>
      </c>
      <c r="O80" s="740">
        <f>'R5介護'!O99</f>
        <v>0</v>
      </c>
      <c r="P80" s="741">
        <f>'R5介護'!P99</f>
        <v>0</v>
      </c>
      <c r="Q80" s="1782">
        <f>'R5介護'!Q99</f>
        <v>5</v>
      </c>
      <c r="R80" s="1073">
        <f>'R5介護'!R99</f>
        <v>774000</v>
      </c>
      <c r="S80" s="740">
        <f>'R5介護'!S99</f>
        <v>7</v>
      </c>
      <c r="T80" s="741">
        <f>'R5介護'!T99</f>
        <v>730000</v>
      </c>
      <c r="U80" s="740">
        <f>'R5介護'!U99</f>
        <v>0</v>
      </c>
      <c r="V80" s="735">
        <f>'R5介護'!V99</f>
        <v>0</v>
      </c>
      <c r="W80" s="738">
        <f>'R5介護'!W99</f>
        <v>3</v>
      </c>
      <c r="X80" s="737">
        <f>'R5介護'!X99</f>
        <v>700000</v>
      </c>
    </row>
    <row r="81" spans="2:28" s="708" customFormat="1" ht="16.5" customHeight="1" thickBot="1">
      <c r="B81" s="745" t="s">
        <v>72</v>
      </c>
      <c r="C81" s="734">
        <f t="shared" si="16"/>
        <v>12</v>
      </c>
      <c r="D81" s="735">
        <f t="shared" si="16"/>
        <v>3596000</v>
      </c>
      <c r="E81" s="743">
        <f>'R5介護'!E100</f>
        <v>0</v>
      </c>
      <c r="F81" s="713">
        <f>'R5介護'!F100</f>
        <v>0</v>
      </c>
      <c r="G81" s="738">
        <f>'R5介護'!G100</f>
        <v>1</v>
      </c>
      <c r="H81" s="737">
        <f>'R5介護'!H100</f>
        <v>1150000</v>
      </c>
      <c r="I81" s="740">
        <f>'R5介護'!I100</f>
        <v>2</v>
      </c>
      <c r="J81" s="737">
        <f>'R5介護'!J100</f>
        <v>1030000</v>
      </c>
      <c r="K81" s="746">
        <f>'R5介護'!K100</f>
        <v>0</v>
      </c>
      <c r="L81" s="737">
        <f>'R5介護'!L100</f>
        <v>0</v>
      </c>
      <c r="M81" s="746">
        <f>'R5介護'!M100</f>
        <v>0</v>
      </c>
      <c r="N81" s="737">
        <f>'R5介護'!N100</f>
        <v>0</v>
      </c>
      <c r="O81" s="740">
        <f>'R5介護'!O100</f>
        <v>0</v>
      </c>
      <c r="P81" s="741">
        <f>'R5介護'!P100</f>
        <v>0</v>
      </c>
      <c r="Q81" s="1782">
        <f>'R5介護'!Q100</f>
        <v>4</v>
      </c>
      <c r="R81" s="1073">
        <f>'R5介護'!R100</f>
        <v>660000</v>
      </c>
      <c r="S81" s="740">
        <f>'R5介護'!S100</f>
        <v>5</v>
      </c>
      <c r="T81" s="741">
        <f>'R5介護'!T100</f>
        <v>756000</v>
      </c>
      <c r="U81" s="740">
        <f>'R5介護'!U100</f>
        <v>0</v>
      </c>
      <c r="V81" s="735">
        <f>'R5介護'!V100</f>
        <v>0</v>
      </c>
      <c r="W81" s="738">
        <f>'R5介護'!W100</f>
        <v>0</v>
      </c>
      <c r="X81" s="737">
        <f>'R5介護'!X100</f>
        <v>0</v>
      </c>
    </row>
    <row r="82" spans="2:28" s="718" customFormat="1" ht="16.5" customHeight="1" thickBot="1">
      <c r="B82" s="709" t="s">
        <v>78</v>
      </c>
      <c r="C82" s="710">
        <f>SUM(C70:C81)</f>
        <v>217</v>
      </c>
      <c r="D82" s="711">
        <f>SUM(D70:D81)</f>
        <v>38965400</v>
      </c>
      <c r="E82" s="747"/>
      <c r="F82" s="713">
        <f>SUM(F70:F81)</f>
        <v>0</v>
      </c>
      <c r="G82" s="714"/>
      <c r="H82" s="715">
        <f>SUM(H70:H81)</f>
        <v>8870000</v>
      </c>
      <c r="I82" s="714"/>
      <c r="J82" s="715">
        <f>SUM(J70:J81)</f>
        <v>2800000</v>
      </c>
      <c r="K82" s="716"/>
      <c r="L82" s="715">
        <f>SUM(L70:L81)</f>
        <v>0</v>
      </c>
      <c r="M82" s="716"/>
      <c r="N82" s="715">
        <f>SUM(N70:N81)</f>
        <v>0</v>
      </c>
      <c r="O82" s="716"/>
      <c r="P82" s="717">
        <f>SUM(P70:P81)</f>
        <v>0</v>
      </c>
      <c r="Q82" s="1783"/>
      <c r="R82" s="1067">
        <f>SUM(R70:R81)</f>
        <v>7942000</v>
      </c>
      <c r="S82" s="716"/>
      <c r="T82" s="717">
        <f>SUM(T70:T81)</f>
        <v>19353400</v>
      </c>
      <c r="U82" s="716"/>
      <c r="V82" s="711">
        <f>SUM(V70:V81)</f>
        <v>0</v>
      </c>
      <c r="W82" s="714"/>
      <c r="X82" s="711">
        <f>SUM(X70:X81)</f>
        <v>26924000</v>
      </c>
    </row>
    <row r="83" spans="2:28" s="718" customFormat="1" ht="16.5" customHeight="1"/>
    <row r="84" spans="2:28" s="718" customFormat="1" ht="16.5" customHeight="1" thickBot="1">
      <c r="B84" s="748" t="s">
        <v>298</v>
      </c>
      <c r="G84" s="761" t="s">
        <v>629</v>
      </c>
      <c r="H84" s="1784">
        <f>H66</f>
        <v>5</v>
      </c>
      <c r="I84" s="757" t="s">
        <v>592</v>
      </c>
      <c r="K84" s="749"/>
    </row>
    <row r="85" spans="2:28" s="718" customFormat="1" ht="16.5" customHeight="1">
      <c r="B85" s="2686" t="s">
        <v>0</v>
      </c>
      <c r="C85" s="2689" t="s">
        <v>566</v>
      </c>
      <c r="D85" s="2690"/>
      <c r="E85" s="2693" t="s">
        <v>221</v>
      </c>
      <c r="F85" s="2693"/>
      <c r="G85" s="2693"/>
      <c r="H85" s="2693"/>
      <c r="I85" s="2693"/>
      <c r="J85" s="2694"/>
      <c r="K85" s="2695" t="s">
        <v>74</v>
      </c>
      <c r="L85" s="2696"/>
      <c r="M85" s="2696"/>
      <c r="N85" s="2697"/>
      <c r="O85" s="2698" t="s">
        <v>222</v>
      </c>
      <c r="P85" s="2699"/>
      <c r="Q85" s="2547" t="s">
        <v>358</v>
      </c>
      <c r="R85" s="2548"/>
      <c r="S85" s="2548"/>
      <c r="T85" s="2523"/>
      <c r="U85" s="2698" t="s">
        <v>223</v>
      </c>
      <c r="V85" s="2699"/>
      <c r="W85" s="2702" t="s">
        <v>75</v>
      </c>
      <c r="X85" s="2703"/>
    </row>
    <row r="86" spans="2:28" s="718" customFormat="1" ht="16.5" customHeight="1">
      <c r="B86" s="2687"/>
      <c r="C86" s="2691"/>
      <c r="D86" s="2692"/>
      <c r="E86" s="2706" t="s">
        <v>225</v>
      </c>
      <c r="F86" s="2694"/>
      <c r="G86" s="2713" t="s">
        <v>226</v>
      </c>
      <c r="H86" s="2697"/>
      <c r="I86" s="2713" t="s">
        <v>227</v>
      </c>
      <c r="J86" s="2697"/>
      <c r="K86" s="2713" t="s">
        <v>76</v>
      </c>
      <c r="L86" s="2697"/>
      <c r="M86" s="2713" t="s">
        <v>228</v>
      </c>
      <c r="N86" s="2697"/>
      <c r="O86" s="2700"/>
      <c r="P86" s="2701"/>
      <c r="Q86" s="2522" t="s">
        <v>226</v>
      </c>
      <c r="R86" s="2523"/>
      <c r="S86" s="2522" t="s">
        <v>228</v>
      </c>
      <c r="T86" s="2523"/>
      <c r="U86" s="2700"/>
      <c r="V86" s="2701"/>
      <c r="W86" s="2704"/>
      <c r="X86" s="2705"/>
    </row>
    <row r="87" spans="2:28" s="718" customFormat="1" ht="16.5" customHeight="1">
      <c r="B87" s="2688"/>
      <c r="C87" s="720" t="s">
        <v>230</v>
      </c>
      <c r="D87" s="721" t="s">
        <v>231</v>
      </c>
      <c r="E87" s="723" t="s">
        <v>230</v>
      </c>
      <c r="F87" s="722" t="s">
        <v>232</v>
      </c>
      <c r="G87" s="723" t="s">
        <v>230</v>
      </c>
      <c r="H87" s="1404" t="s">
        <v>232</v>
      </c>
      <c r="I87" s="723" t="s">
        <v>230</v>
      </c>
      <c r="J87" s="1404" t="s">
        <v>232</v>
      </c>
      <c r="K87" s="724" t="s">
        <v>230</v>
      </c>
      <c r="L87" s="1404" t="s">
        <v>232</v>
      </c>
      <c r="M87" s="724" t="s">
        <v>230</v>
      </c>
      <c r="N87" s="1404" t="s">
        <v>232</v>
      </c>
      <c r="O87" s="724" t="s">
        <v>230</v>
      </c>
      <c r="P87" s="1405" t="s">
        <v>232</v>
      </c>
      <c r="Q87" s="1305" t="s">
        <v>230</v>
      </c>
      <c r="R87" s="1398" t="s">
        <v>232</v>
      </c>
      <c r="S87" s="459" t="s">
        <v>230</v>
      </c>
      <c r="T87" s="1398" t="s">
        <v>232</v>
      </c>
      <c r="U87" s="724" t="s">
        <v>230</v>
      </c>
      <c r="V87" s="1404" t="s">
        <v>232</v>
      </c>
      <c r="W87" s="724" t="s">
        <v>230</v>
      </c>
      <c r="X87" s="1404" t="s">
        <v>232</v>
      </c>
    </row>
    <row r="88" spans="2:28" s="718" customFormat="1" ht="16.5" customHeight="1">
      <c r="B88" s="1401" t="s">
        <v>233</v>
      </c>
      <c r="C88" s="726">
        <f>E88+G88+I88+K88+M88+O88+U88+Q88+S88</f>
        <v>0</v>
      </c>
      <c r="D88" s="727">
        <f>F88+H88+J88+L88+N88+P88+V88+R88+T88</f>
        <v>0</v>
      </c>
      <c r="E88" s="733">
        <f>'R5介護'!E107</f>
        <v>0</v>
      </c>
      <c r="F88" s="729">
        <f>'R5介護'!F107</f>
        <v>0</v>
      </c>
      <c r="G88" s="730">
        <f>'R5介護'!G107</f>
        <v>0</v>
      </c>
      <c r="H88" s="731">
        <f>'R5介護'!H107</f>
        <v>0</v>
      </c>
      <c r="I88" s="732">
        <f>'R5介護'!I107</f>
        <v>0</v>
      </c>
      <c r="J88" s="731">
        <f>'R5介護'!J107</f>
        <v>0</v>
      </c>
      <c r="K88" s="732">
        <f>'R5介護'!K107</f>
        <v>0</v>
      </c>
      <c r="L88" s="729">
        <f>'R5介護'!L107</f>
        <v>0</v>
      </c>
      <c r="M88" s="732">
        <f>'R5介護'!M107</f>
        <v>0</v>
      </c>
      <c r="N88" s="729">
        <f>'R5介護'!N107</f>
        <v>0</v>
      </c>
      <c r="O88" s="732">
        <f>'R5介護'!O107</f>
        <v>0</v>
      </c>
      <c r="P88" s="733">
        <f>'R5介護'!P107</f>
        <v>0</v>
      </c>
      <c r="Q88" s="732">
        <f>'R5介護'!Q107</f>
        <v>0</v>
      </c>
      <c r="R88" s="1070">
        <f>'R5介護'!R107</f>
        <v>0</v>
      </c>
      <c r="S88" s="732">
        <f>'R5介護'!S107</f>
        <v>0</v>
      </c>
      <c r="T88" s="733">
        <f>'R5介護'!T107</f>
        <v>0</v>
      </c>
      <c r="U88" s="732">
        <f>'R5介護'!U107</f>
        <v>0</v>
      </c>
      <c r="V88" s="729">
        <f>'R5介護'!V107</f>
        <v>0</v>
      </c>
      <c r="W88" s="732">
        <f>'R5介護'!W107</f>
        <v>56</v>
      </c>
      <c r="X88" s="731">
        <f>'R5介護'!X107</f>
        <v>22300000</v>
      </c>
    </row>
    <row r="89" spans="2:28" s="718" customFormat="1" ht="16.5" customHeight="1">
      <c r="B89" s="1402" t="s">
        <v>62</v>
      </c>
      <c r="C89" s="734">
        <f t="shared" ref="C89:D99" si="17">E89+G89+I89+K89+M89+O89+U89+Q89+S89</f>
        <v>48</v>
      </c>
      <c r="D89" s="735">
        <f t="shared" si="17"/>
        <v>9590000</v>
      </c>
      <c r="E89" s="741">
        <f>'R5介護'!E108</f>
        <v>0</v>
      </c>
      <c r="F89" s="737">
        <f>'R5介護'!F108</f>
        <v>0</v>
      </c>
      <c r="G89" s="738">
        <f>'R5介護'!G108</f>
        <v>0</v>
      </c>
      <c r="H89" s="739">
        <f>'R5介護'!H108</f>
        <v>0</v>
      </c>
      <c r="I89" s="738">
        <f>'R5介護'!I108</f>
        <v>8</v>
      </c>
      <c r="J89" s="739">
        <f>'R5介護'!J108</f>
        <v>2530000</v>
      </c>
      <c r="K89" s="740">
        <f>'R5介護'!K108</f>
        <v>0</v>
      </c>
      <c r="L89" s="737">
        <f>'R5介護'!L108</f>
        <v>0</v>
      </c>
      <c r="M89" s="740">
        <f>'R5介護'!M108</f>
        <v>0</v>
      </c>
      <c r="N89" s="737">
        <f>'R5介護'!N108</f>
        <v>0</v>
      </c>
      <c r="O89" s="740">
        <f>'R5介護'!O108</f>
        <v>0</v>
      </c>
      <c r="P89" s="741">
        <f>'R5介護'!P108</f>
        <v>0</v>
      </c>
      <c r="Q89" s="1782">
        <f>'R5介護'!Q108</f>
        <v>4</v>
      </c>
      <c r="R89" s="1073">
        <f>'R5介護'!R108</f>
        <v>900000</v>
      </c>
      <c r="S89" s="740">
        <f>'R5介護'!S108</f>
        <v>36</v>
      </c>
      <c r="T89" s="741">
        <f>'R5介護'!T108</f>
        <v>6160000</v>
      </c>
      <c r="U89" s="740">
        <f>'R5介護'!U108</f>
        <v>0</v>
      </c>
      <c r="V89" s="737">
        <f>'R5介護'!V108</f>
        <v>0</v>
      </c>
      <c r="W89" s="740">
        <f>'R5介護'!W108</f>
        <v>2</v>
      </c>
      <c r="X89" s="739">
        <f>'R5介護'!X108</f>
        <v>600000</v>
      </c>
      <c r="AA89" s="742"/>
      <c r="AB89" s="742"/>
    </row>
    <row r="90" spans="2:28" s="718" customFormat="1" ht="16.5" customHeight="1">
      <c r="B90" s="1402" t="s">
        <v>63</v>
      </c>
      <c r="C90" s="734">
        <f t="shared" si="17"/>
        <v>56</v>
      </c>
      <c r="D90" s="735">
        <f t="shared" si="17"/>
        <v>10978000</v>
      </c>
      <c r="E90" s="741">
        <f>'R5介護'!E109</f>
        <v>0</v>
      </c>
      <c r="F90" s="737">
        <f>'R5介護'!F109</f>
        <v>0</v>
      </c>
      <c r="G90" s="738">
        <f>'R5介護'!G109</f>
        <v>4</v>
      </c>
      <c r="H90" s="739">
        <f>'R5介護'!H109</f>
        <v>1940000</v>
      </c>
      <c r="I90" s="738">
        <f>'R5介護'!I109</f>
        <v>5</v>
      </c>
      <c r="J90" s="739">
        <f>'R5介護'!J109</f>
        <v>1460000</v>
      </c>
      <c r="K90" s="740">
        <f>'R5介護'!K109</f>
        <v>0</v>
      </c>
      <c r="L90" s="737">
        <f>'R5介護'!L109</f>
        <v>0</v>
      </c>
      <c r="M90" s="740">
        <f>'R5介護'!M109</f>
        <v>0</v>
      </c>
      <c r="N90" s="737">
        <f>'R5介護'!N109</f>
        <v>0</v>
      </c>
      <c r="O90" s="740">
        <f>'R5介護'!O109</f>
        <v>0</v>
      </c>
      <c r="P90" s="741">
        <f>'R5介護'!P109</f>
        <v>0</v>
      </c>
      <c r="Q90" s="1782">
        <f>'R5介護'!Q109</f>
        <v>7</v>
      </c>
      <c r="R90" s="1073">
        <f>'R5介護'!R109</f>
        <v>1096000</v>
      </c>
      <c r="S90" s="740">
        <f>'R5介護'!S109</f>
        <v>40</v>
      </c>
      <c r="T90" s="741">
        <f>'R5介護'!T109</f>
        <v>6482000</v>
      </c>
      <c r="U90" s="740">
        <f>'R5介護'!U109</f>
        <v>0</v>
      </c>
      <c r="V90" s="737">
        <f>'R5介護'!V109</f>
        <v>0</v>
      </c>
      <c r="W90" s="740">
        <f>'R5介護'!W109</f>
        <v>2</v>
      </c>
      <c r="X90" s="739">
        <f>'R5介護'!X109</f>
        <v>880000</v>
      </c>
      <c r="AA90" s="742"/>
      <c r="AB90" s="742"/>
    </row>
    <row r="91" spans="2:28" s="718" customFormat="1" ht="16.5" customHeight="1">
      <c r="B91" s="1402" t="s">
        <v>64</v>
      </c>
      <c r="C91" s="734">
        <f t="shared" si="17"/>
        <v>67</v>
      </c>
      <c r="D91" s="735">
        <f t="shared" si="17"/>
        <v>14992000</v>
      </c>
      <c r="E91" s="741">
        <f>'R5介護'!E110</f>
        <v>0</v>
      </c>
      <c r="F91" s="737">
        <f>'R5介護'!F110</f>
        <v>0</v>
      </c>
      <c r="G91" s="738">
        <f>'R5介護'!G110</f>
        <v>5</v>
      </c>
      <c r="H91" s="739">
        <f>'R5介護'!H110</f>
        <v>2280000</v>
      </c>
      <c r="I91" s="738">
        <f>'R5介護'!I110</f>
        <v>7</v>
      </c>
      <c r="J91" s="739">
        <f>'R5介護'!J110</f>
        <v>3640000</v>
      </c>
      <c r="K91" s="740">
        <f>'R5介護'!K110</f>
        <v>0</v>
      </c>
      <c r="L91" s="737">
        <f>'R5介護'!L110</f>
        <v>0</v>
      </c>
      <c r="M91" s="740">
        <f>'R5介護'!M110</f>
        <v>2</v>
      </c>
      <c r="N91" s="737">
        <f>'R5介護'!N110</f>
        <v>1820000</v>
      </c>
      <c r="O91" s="740">
        <f>'R5介護'!O110</f>
        <v>0</v>
      </c>
      <c r="P91" s="741">
        <f>'R5介護'!P110</f>
        <v>0</v>
      </c>
      <c r="Q91" s="1782">
        <f>'R5介護'!Q110</f>
        <v>4</v>
      </c>
      <c r="R91" s="1073">
        <f>'R5介護'!R110</f>
        <v>900000</v>
      </c>
      <c r="S91" s="740">
        <f>'R5介護'!S110</f>
        <v>49</v>
      </c>
      <c r="T91" s="741">
        <f>'R5介護'!T110</f>
        <v>6352000</v>
      </c>
      <c r="U91" s="740">
        <f>'R5介護'!U110</f>
        <v>0</v>
      </c>
      <c r="V91" s="737">
        <f>'R5介護'!V110</f>
        <v>0</v>
      </c>
      <c r="W91" s="740">
        <f>'R5介護'!W110</f>
        <v>2</v>
      </c>
      <c r="X91" s="739">
        <f>'R5介護'!X110</f>
        <v>880000</v>
      </c>
      <c r="AA91" s="742"/>
      <c r="AB91" s="742"/>
    </row>
    <row r="92" spans="2:28" s="718" customFormat="1" ht="16.5" customHeight="1">
      <c r="B92" s="1402" t="s">
        <v>65</v>
      </c>
      <c r="C92" s="734">
        <f t="shared" si="17"/>
        <v>51</v>
      </c>
      <c r="D92" s="735">
        <f t="shared" si="17"/>
        <v>13096000</v>
      </c>
      <c r="E92" s="741">
        <f>'R5介護'!E111</f>
        <v>0</v>
      </c>
      <c r="F92" s="737">
        <f>'R5介護'!F111</f>
        <v>0</v>
      </c>
      <c r="G92" s="738">
        <f>'R5介護'!G111</f>
        <v>6</v>
      </c>
      <c r="H92" s="739">
        <f>'R5介護'!H111</f>
        <v>3680000</v>
      </c>
      <c r="I92" s="738">
        <f>'R5介護'!I111</f>
        <v>5</v>
      </c>
      <c r="J92" s="739">
        <f>'R5介護'!J111</f>
        <v>1990000</v>
      </c>
      <c r="K92" s="740">
        <f>'R5介護'!K111</f>
        <v>0</v>
      </c>
      <c r="L92" s="737">
        <f>'R5介護'!L111</f>
        <v>0</v>
      </c>
      <c r="M92" s="740">
        <f>'R5介護'!M111</f>
        <v>0</v>
      </c>
      <c r="N92" s="737">
        <f>'R5介護'!N111</f>
        <v>0</v>
      </c>
      <c r="O92" s="740">
        <f>'R5介護'!O111</f>
        <v>0</v>
      </c>
      <c r="P92" s="741">
        <f>'R5介護'!P111</f>
        <v>0</v>
      </c>
      <c r="Q92" s="1782">
        <f>'R5介護'!Q111</f>
        <v>6</v>
      </c>
      <c r="R92" s="1073">
        <f>'R5介護'!R111</f>
        <v>1360000</v>
      </c>
      <c r="S92" s="740">
        <f>'R5介護'!S111</f>
        <v>34</v>
      </c>
      <c r="T92" s="741">
        <f>'R5介護'!T111</f>
        <v>6066000</v>
      </c>
      <c r="U92" s="740">
        <f>'R5介護'!U111</f>
        <v>0</v>
      </c>
      <c r="V92" s="737">
        <f>'R5介護'!V111</f>
        <v>0</v>
      </c>
      <c r="W92" s="740">
        <f>'R5介護'!W111</f>
        <v>3</v>
      </c>
      <c r="X92" s="739">
        <f>'R5介護'!X111</f>
        <v>1030000</v>
      </c>
    </row>
    <row r="93" spans="2:28" s="718" customFormat="1" ht="16.5" customHeight="1">
      <c r="B93" s="1402" t="s">
        <v>66</v>
      </c>
      <c r="C93" s="734">
        <f t="shared" si="17"/>
        <v>14</v>
      </c>
      <c r="D93" s="735">
        <f t="shared" si="17"/>
        <v>3158000</v>
      </c>
      <c r="E93" s="741">
        <f>'R5介護'!E112</f>
        <v>0</v>
      </c>
      <c r="F93" s="737">
        <f>'R5介護'!F112</f>
        <v>0</v>
      </c>
      <c r="G93" s="738">
        <f>'R5介護'!G112</f>
        <v>0</v>
      </c>
      <c r="H93" s="739">
        <f>'R5介護'!H112</f>
        <v>0</v>
      </c>
      <c r="I93" s="738">
        <f>'R5介護'!I112</f>
        <v>3</v>
      </c>
      <c r="J93" s="739">
        <f>'R5介護'!J112</f>
        <v>1160000</v>
      </c>
      <c r="K93" s="740">
        <f>'R5介護'!K112</f>
        <v>0</v>
      </c>
      <c r="L93" s="737">
        <f>'R5介護'!L112</f>
        <v>0</v>
      </c>
      <c r="M93" s="740">
        <f>'R5介護'!M112</f>
        <v>0</v>
      </c>
      <c r="N93" s="737">
        <f>'R5介護'!N112</f>
        <v>0</v>
      </c>
      <c r="O93" s="740">
        <f>'R5介護'!O112</f>
        <v>0</v>
      </c>
      <c r="P93" s="741">
        <f>'R5介護'!P112</f>
        <v>0</v>
      </c>
      <c r="Q93" s="1782">
        <f>'R5介護'!Q112</f>
        <v>0</v>
      </c>
      <c r="R93" s="1073">
        <f>'R5介護'!R112</f>
        <v>0</v>
      </c>
      <c r="S93" s="740">
        <f>'R5介護'!S112</f>
        <v>11</v>
      </c>
      <c r="T93" s="741">
        <f>'R5介護'!T112</f>
        <v>1998000</v>
      </c>
      <c r="U93" s="740">
        <f>'R5介護'!U112</f>
        <v>0</v>
      </c>
      <c r="V93" s="737">
        <f>'R5介護'!V112</f>
        <v>0</v>
      </c>
      <c r="W93" s="740">
        <f>'R5介護'!W112</f>
        <v>7</v>
      </c>
      <c r="X93" s="739">
        <f>'R5介護'!X112</f>
        <v>2304000</v>
      </c>
    </row>
    <row r="94" spans="2:28" s="718" customFormat="1" ht="16.5" customHeight="1">
      <c r="B94" s="1402" t="s">
        <v>67</v>
      </c>
      <c r="C94" s="734">
        <f t="shared" si="17"/>
        <v>20</v>
      </c>
      <c r="D94" s="735">
        <f t="shared" si="17"/>
        <v>7720000</v>
      </c>
      <c r="E94" s="741">
        <f>'R5介護'!E113</f>
        <v>0</v>
      </c>
      <c r="F94" s="737">
        <f>'R5介護'!F113</f>
        <v>0</v>
      </c>
      <c r="G94" s="738">
        <f>'R5介護'!G113</f>
        <v>6</v>
      </c>
      <c r="H94" s="737">
        <f>'R5介護'!H113</f>
        <v>2900000</v>
      </c>
      <c r="I94" s="738">
        <f>'R5介護'!I113</f>
        <v>12</v>
      </c>
      <c r="J94" s="737">
        <f>'R5介護'!J113</f>
        <v>4450000</v>
      </c>
      <c r="K94" s="740">
        <f>'R5介護'!K113</f>
        <v>0</v>
      </c>
      <c r="L94" s="737">
        <f>'R5介護'!L113</f>
        <v>0</v>
      </c>
      <c r="M94" s="740">
        <f>'R5介護'!M113</f>
        <v>0</v>
      </c>
      <c r="N94" s="737">
        <f>'R5介護'!N113</f>
        <v>0</v>
      </c>
      <c r="O94" s="740">
        <f>'R5介護'!O113</f>
        <v>0</v>
      </c>
      <c r="P94" s="741">
        <f>'R5介護'!P113</f>
        <v>0</v>
      </c>
      <c r="Q94" s="1782">
        <f>'R5介護'!Q113</f>
        <v>2</v>
      </c>
      <c r="R94" s="1073">
        <f>'R5介護'!R113</f>
        <v>370000</v>
      </c>
      <c r="S94" s="740">
        <f>'R5介護'!S113</f>
        <v>0</v>
      </c>
      <c r="T94" s="741">
        <f>'R5介護'!T113</f>
        <v>0</v>
      </c>
      <c r="U94" s="740">
        <f>'R5介護'!U113</f>
        <v>0</v>
      </c>
      <c r="V94" s="737">
        <f>'R5介護'!V113</f>
        <v>0</v>
      </c>
      <c r="W94" s="740">
        <f>'R5介護'!W113</f>
        <v>3</v>
      </c>
      <c r="X94" s="737">
        <f>'R5介護'!X113</f>
        <v>1260000</v>
      </c>
    </row>
    <row r="95" spans="2:28" s="718" customFormat="1" ht="16.5" customHeight="1">
      <c r="B95" s="1402" t="s">
        <v>68</v>
      </c>
      <c r="C95" s="734">
        <f t="shared" si="17"/>
        <v>49</v>
      </c>
      <c r="D95" s="735">
        <f t="shared" si="17"/>
        <v>10180000</v>
      </c>
      <c r="E95" s="741">
        <f>'R5介護'!E114</f>
        <v>0</v>
      </c>
      <c r="F95" s="737">
        <f>'R5介護'!F114</f>
        <v>0</v>
      </c>
      <c r="G95" s="738">
        <f>'R5介護'!G114</f>
        <v>1</v>
      </c>
      <c r="H95" s="737">
        <f>'R5介護'!H114</f>
        <v>1090000</v>
      </c>
      <c r="I95" s="738">
        <f>'R5介護'!I114</f>
        <v>3</v>
      </c>
      <c r="J95" s="737">
        <f>'R5介護'!J114</f>
        <v>950000</v>
      </c>
      <c r="K95" s="740">
        <f>'R5介護'!K114</f>
        <v>0</v>
      </c>
      <c r="L95" s="737">
        <f>'R5介護'!L114</f>
        <v>0</v>
      </c>
      <c r="M95" s="740">
        <f>'R5介護'!M114</f>
        <v>0</v>
      </c>
      <c r="N95" s="737">
        <f>'R5介護'!N114</f>
        <v>0</v>
      </c>
      <c r="O95" s="740">
        <f>'R5介護'!O114</f>
        <v>0</v>
      </c>
      <c r="P95" s="741">
        <f>'R5介護'!P114</f>
        <v>0</v>
      </c>
      <c r="Q95" s="1782">
        <f>'R5介護'!Q114</f>
        <v>7</v>
      </c>
      <c r="R95" s="1073">
        <f>'R5介護'!R114</f>
        <v>1422000</v>
      </c>
      <c r="S95" s="740">
        <f>'R5介護'!S114</f>
        <v>37</v>
      </c>
      <c r="T95" s="741">
        <f>'R5介護'!T114</f>
        <v>6188000</v>
      </c>
      <c r="U95" s="740">
        <f>'R5介護'!U114</f>
        <v>1</v>
      </c>
      <c r="V95" s="737">
        <f>'R5介護'!V114</f>
        <v>530000</v>
      </c>
      <c r="W95" s="740">
        <f>'R5介護'!W114</f>
        <v>0</v>
      </c>
      <c r="X95" s="737">
        <f>'R5介護'!X114</f>
        <v>0</v>
      </c>
    </row>
    <row r="96" spans="2:28" s="718" customFormat="1" ht="16.5" customHeight="1">
      <c r="B96" s="1402" t="s">
        <v>69</v>
      </c>
      <c r="C96" s="734">
        <f t="shared" si="17"/>
        <v>53</v>
      </c>
      <c r="D96" s="735">
        <f t="shared" si="17"/>
        <v>9976000</v>
      </c>
      <c r="E96" s="741">
        <f>'R5介護'!E115</f>
        <v>0</v>
      </c>
      <c r="F96" s="737">
        <f>'R5介護'!F115</f>
        <v>0</v>
      </c>
      <c r="G96" s="738">
        <f>'R5介護'!G115</f>
        <v>2</v>
      </c>
      <c r="H96" s="737">
        <f>'R5介護'!H115</f>
        <v>620000</v>
      </c>
      <c r="I96" s="740">
        <f>'R5介護'!I115</f>
        <v>1</v>
      </c>
      <c r="J96" s="737">
        <f>'R5介護'!J115</f>
        <v>590000</v>
      </c>
      <c r="K96" s="740">
        <f>'R5介護'!K115</f>
        <v>0</v>
      </c>
      <c r="L96" s="737">
        <f>'R5介護'!L115</f>
        <v>0</v>
      </c>
      <c r="M96" s="740">
        <f>'R5介護'!M115</f>
        <v>1</v>
      </c>
      <c r="N96" s="737">
        <f>'R5介護'!N115</f>
        <v>790000</v>
      </c>
      <c r="O96" s="740">
        <f>'R5介護'!O115</f>
        <v>0</v>
      </c>
      <c r="P96" s="741">
        <f>'R5介護'!P115</f>
        <v>0</v>
      </c>
      <c r="Q96" s="1782">
        <f>'R5介護'!Q115</f>
        <v>11</v>
      </c>
      <c r="R96" s="1073">
        <f>'R5介護'!R115</f>
        <v>1874000</v>
      </c>
      <c r="S96" s="740">
        <f>'R5介護'!S115</f>
        <v>38</v>
      </c>
      <c r="T96" s="741">
        <f>'R5介護'!T115</f>
        <v>6102000</v>
      </c>
      <c r="U96" s="740">
        <f>'R5介護'!U115</f>
        <v>0</v>
      </c>
      <c r="V96" s="737">
        <f>'R5介護'!V115</f>
        <v>0</v>
      </c>
      <c r="W96" s="740">
        <f>'R5介護'!W115</f>
        <v>1</v>
      </c>
      <c r="X96" s="737">
        <f>'R5介護'!X115</f>
        <v>440000</v>
      </c>
    </row>
    <row r="97" spans="2:31" s="718" customFormat="1" ht="16.5" customHeight="1">
      <c r="B97" s="1402" t="s">
        <v>70</v>
      </c>
      <c r="C97" s="734">
        <f t="shared" si="17"/>
        <v>45</v>
      </c>
      <c r="D97" s="735">
        <f t="shared" si="17"/>
        <v>10492000</v>
      </c>
      <c r="E97" s="741">
        <f>'R5介護'!E116</f>
        <v>0</v>
      </c>
      <c r="F97" s="737">
        <f>'R5介護'!F116</f>
        <v>0</v>
      </c>
      <c r="G97" s="738">
        <f>'R5介護'!G116</f>
        <v>5</v>
      </c>
      <c r="H97" s="737">
        <f>'R5介護'!H116</f>
        <v>2760000</v>
      </c>
      <c r="I97" s="740">
        <f>'R5介護'!I116</f>
        <v>5</v>
      </c>
      <c r="J97" s="737">
        <f>'R5介護'!J116</f>
        <v>1480000</v>
      </c>
      <c r="K97" s="740">
        <f>'R5介護'!K116</f>
        <v>0</v>
      </c>
      <c r="L97" s="737">
        <f>'R5介護'!L116</f>
        <v>0</v>
      </c>
      <c r="M97" s="740">
        <f>'R5介護'!M116</f>
        <v>0</v>
      </c>
      <c r="N97" s="737">
        <f>'R5介護'!N116</f>
        <v>0</v>
      </c>
      <c r="O97" s="740">
        <f>'R5介護'!O116</f>
        <v>0</v>
      </c>
      <c r="P97" s="741">
        <f>'R5介護'!P116</f>
        <v>0</v>
      </c>
      <c r="Q97" s="1782">
        <f>'R5介護'!Q116</f>
        <v>6</v>
      </c>
      <c r="R97" s="1073">
        <f>'R5介護'!R116</f>
        <v>1094000</v>
      </c>
      <c r="S97" s="740">
        <f>'R5介護'!S116</f>
        <v>28</v>
      </c>
      <c r="T97" s="741">
        <f>'R5介護'!T116</f>
        <v>4628000</v>
      </c>
      <c r="U97" s="740">
        <f>'R5介護'!U116</f>
        <v>1</v>
      </c>
      <c r="V97" s="737">
        <f>'R5介護'!V116</f>
        <v>530000</v>
      </c>
      <c r="W97" s="740">
        <f>'R5介護'!W116</f>
        <v>1</v>
      </c>
      <c r="X97" s="737">
        <f>'R5介護'!X116</f>
        <v>300000</v>
      </c>
    </row>
    <row r="98" spans="2:31" s="718" customFormat="1" ht="16.5" customHeight="1">
      <c r="B98" s="1402" t="s">
        <v>71</v>
      </c>
      <c r="C98" s="734">
        <f t="shared" si="17"/>
        <v>54</v>
      </c>
      <c r="D98" s="735">
        <f t="shared" si="17"/>
        <v>15014000</v>
      </c>
      <c r="E98" s="741">
        <f>'R5介護'!E117</f>
        <v>0</v>
      </c>
      <c r="F98" s="737">
        <f>'R5介護'!F117</f>
        <v>0</v>
      </c>
      <c r="G98" s="738">
        <f>'R5介護'!G117</f>
        <v>15</v>
      </c>
      <c r="H98" s="737">
        <f>'R5介護'!H117</f>
        <v>6770000</v>
      </c>
      <c r="I98" s="740">
        <f>'R5介護'!I117</f>
        <v>5</v>
      </c>
      <c r="J98" s="737">
        <f>'R5介護'!J117</f>
        <v>1780000</v>
      </c>
      <c r="K98" s="740">
        <f>'R5介護'!K117</f>
        <v>0</v>
      </c>
      <c r="L98" s="737">
        <f>'R5介護'!L117</f>
        <v>0</v>
      </c>
      <c r="M98" s="740">
        <f>'R5介護'!M117</f>
        <v>0</v>
      </c>
      <c r="N98" s="737">
        <f>'R5介護'!N117</f>
        <v>0</v>
      </c>
      <c r="O98" s="740">
        <f>'R5介護'!O117</f>
        <v>0</v>
      </c>
      <c r="P98" s="741">
        <f>'R5介護'!P117</f>
        <v>0</v>
      </c>
      <c r="Q98" s="1782">
        <f>'R5介護'!Q117</f>
        <v>9</v>
      </c>
      <c r="R98" s="1073">
        <f>'R5介護'!R117</f>
        <v>1666000</v>
      </c>
      <c r="S98" s="740">
        <f>'R5介護'!S117</f>
        <v>24</v>
      </c>
      <c r="T98" s="741">
        <f>'R5介護'!T117</f>
        <v>4238000</v>
      </c>
      <c r="U98" s="740">
        <f>'R5介護'!U117</f>
        <v>1</v>
      </c>
      <c r="V98" s="737">
        <f>'R5介護'!V117</f>
        <v>560000</v>
      </c>
      <c r="W98" s="740">
        <f>'R5介護'!W117</f>
        <v>5</v>
      </c>
      <c r="X98" s="737">
        <f>'R5介護'!X117</f>
        <v>2120000</v>
      </c>
    </row>
    <row r="99" spans="2:31" s="708" customFormat="1" ht="16.5" customHeight="1" thickBot="1">
      <c r="B99" s="745" t="s">
        <v>72</v>
      </c>
      <c r="C99" s="734">
        <f t="shared" si="17"/>
        <v>59</v>
      </c>
      <c r="D99" s="735">
        <f t="shared" si="17"/>
        <v>15834000</v>
      </c>
      <c r="E99" s="750">
        <f>'R5介護'!E118</f>
        <v>0</v>
      </c>
      <c r="F99" s="713">
        <f>'R5介護'!F118</f>
        <v>0</v>
      </c>
      <c r="G99" s="738">
        <f>'R5介護'!G118</f>
        <v>8</v>
      </c>
      <c r="H99" s="737">
        <f>'R5介護'!H118</f>
        <v>5860000</v>
      </c>
      <c r="I99" s="740">
        <f>'R5介護'!I118</f>
        <v>7</v>
      </c>
      <c r="J99" s="737">
        <f>'R5介護'!J118</f>
        <v>2760000</v>
      </c>
      <c r="K99" s="746">
        <f>'R5介護'!K118</f>
        <v>0</v>
      </c>
      <c r="L99" s="737">
        <f>'R5介護'!L118</f>
        <v>0</v>
      </c>
      <c r="M99" s="746">
        <f>'R5介護'!M118</f>
        <v>0</v>
      </c>
      <c r="N99" s="737">
        <f>'R5介護'!N118</f>
        <v>0</v>
      </c>
      <c r="O99" s="740">
        <f>'R5介護'!O118</f>
        <v>0</v>
      </c>
      <c r="P99" s="741">
        <f>'R5介護'!P118</f>
        <v>0</v>
      </c>
      <c r="Q99" s="1782">
        <f>'R5介護'!Q118</f>
        <v>1</v>
      </c>
      <c r="R99" s="1073">
        <f>'R5介護'!R118</f>
        <v>160000</v>
      </c>
      <c r="S99" s="740">
        <f>'R5介護'!S118</f>
        <v>43</v>
      </c>
      <c r="T99" s="741">
        <f>'R5介護'!T118</f>
        <v>7054000</v>
      </c>
      <c r="U99" s="740">
        <f>'R5介護'!U118</f>
        <v>0</v>
      </c>
      <c r="V99" s="737">
        <f>'R5介護'!V118</f>
        <v>0</v>
      </c>
      <c r="W99" s="740">
        <f>'R5介護'!W118</f>
        <v>1</v>
      </c>
      <c r="X99" s="737">
        <f>'R5介護'!X118</f>
        <v>440000</v>
      </c>
    </row>
    <row r="100" spans="2:31" s="718" customFormat="1" ht="16.5" customHeight="1" thickBot="1">
      <c r="B100" s="709" t="s">
        <v>78</v>
      </c>
      <c r="C100" s="710">
        <f>SUM(C88:C99)</f>
        <v>516</v>
      </c>
      <c r="D100" s="711">
        <f>SUM(D88:D99)</f>
        <v>121030000</v>
      </c>
      <c r="E100" s="712"/>
      <c r="F100" s="713">
        <f>SUM(F88:F99)</f>
        <v>0</v>
      </c>
      <c r="G100" s="714"/>
      <c r="H100" s="715">
        <f>SUM(H88:H99)</f>
        <v>27900000</v>
      </c>
      <c r="I100" s="714"/>
      <c r="J100" s="715">
        <f>SUM(J88:J99)</f>
        <v>22790000</v>
      </c>
      <c r="K100" s="716"/>
      <c r="L100" s="715">
        <f>SUM(L88:L99)</f>
        <v>0</v>
      </c>
      <c r="M100" s="716"/>
      <c r="N100" s="715">
        <f>SUM(N88:N99)</f>
        <v>2610000</v>
      </c>
      <c r="O100" s="716"/>
      <c r="P100" s="717">
        <f>SUM(P88:P99)</f>
        <v>0</v>
      </c>
      <c r="Q100" s="1783"/>
      <c r="R100" s="1067"/>
      <c r="S100" s="716"/>
      <c r="T100" s="717"/>
      <c r="U100" s="716"/>
      <c r="V100" s="715">
        <f>SUM(V88:V99)</f>
        <v>1620000</v>
      </c>
      <c r="W100" s="716"/>
      <c r="X100" s="711">
        <f>SUM(X88:X99)</f>
        <v>32554000</v>
      </c>
    </row>
    <row r="101" spans="2:31" s="751" customFormat="1" ht="16.5" customHeight="1">
      <c r="AC101" s="752"/>
      <c r="AD101" s="752"/>
      <c r="AE101" s="752"/>
    </row>
    <row r="102" spans="2:31" s="718" customFormat="1" ht="16.5" customHeight="1" thickBot="1">
      <c r="B102" s="1785" t="str">
        <f>B1</f>
        <v>令和6年度</v>
      </c>
      <c r="C102" s="1786"/>
      <c r="D102" s="1786" t="s">
        <v>630</v>
      </c>
      <c r="G102" s="761"/>
      <c r="H102" s="1784"/>
      <c r="I102" s="757"/>
      <c r="K102" s="749"/>
    </row>
    <row r="103" spans="2:31" s="718" customFormat="1" ht="16.5" customHeight="1">
      <c r="B103" s="2686" t="s">
        <v>0</v>
      </c>
      <c r="C103" s="2689" t="s">
        <v>566</v>
      </c>
      <c r="D103" s="2690"/>
      <c r="E103" s="2693" t="s">
        <v>221</v>
      </c>
      <c r="F103" s="2693"/>
      <c r="G103" s="2693"/>
      <c r="H103" s="2693"/>
      <c r="I103" s="2693"/>
      <c r="J103" s="2694"/>
      <c r="K103" s="2695" t="s">
        <v>74</v>
      </c>
      <c r="L103" s="2696"/>
      <c r="M103" s="2696"/>
      <c r="N103" s="2697"/>
      <c r="O103" s="2698" t="s">
        <v>222</v>
      </c>
      <c r="P103" s="2699"/>
      <c r="Q103" s="2547" t="s">
        <v>358</v>
      </c>
      <c r="R103" s="2548"/>
      <c r="S103" s="2548"/>
      <c r="T103" s="2523"/>
      <c r="U103" s="2698" t="s">
        <v>223</v>
      </c>
      <c r="V103" s="2699"/>
      <c r="W103" s="2850" t="s">
        <v>75</v>
      </c>
      <c r="X103" s="2851"/>
    </row>
    <row r="104" spans="2:31" s="718" customFormat="1" ht="16.5" customHeight="1">
      <c r="B104" s="2687"/>
      <c r="C104" s="2691"/>
      <c r="D104" s="2692"/>
      <c r="E104" s="2706" t="s">
        <v>225</v>
      </c>
      <c r="F104" s="2694"/>
      <c r="G104" s="2713" t="s">
        <v>226</v>
      </c>
      <c r="H104" s="2697"/>
      <c r="I104" s="2713" t="s">
        <v>227</v>
      </c>
      <c r="J104" s="2697"/>
      <c r="K104" s="2713" t="s">
        <v>76</v>
      </c>
      <c r="L104" s="2697"/>
      <c r="M104" s="2713" t="s">
        <v>228</v>
      </c>
      <c r="N104" s="2697"/>
      <c r="O104" s="2700"/>
      <c r="P104" s="2701"/>
      <c r="Q104" s="2522" t="s">
        <v>226</v>
      </c>
      <c r="R104" s="2523"/>
      <c r="S104" s="2522" t="s">
        <v>228</v>
      </c>
      <c r="T104" s="2523"/>
      <c r="U104" s="2700"/>
      <c r="V104" s="2701"/>
      <c r="W104" s="2852"/>
      <c r="X104" s="2853"/>
    </row>
    <row r="105" spans="2:31" s="718" customFormat="1" ht="16.5" customHeight="1">
      <c r="B105" s="2688"/>
      <c r="C105" s="720" t="s">
        <v>230</v>
      </c>
      <c r="D105" s="721" t="s">
        <v>231</v>
      </c>
      <c r="E105" s="723" t="s">
        <v>230</v>
      </c>
      <c r="F105" s="722" t="s">
        <v>232</v>
      </c>
      <c r="G105" s="723" t="s">
        <v>230</v>
      </c>
      <c r="H105" s="1404" t="s">
        <v>232</v>
      </c>
      <c r="I105" s="723" t="s">
        <v>230</v>
      </c>
      <c r="J105" s="1404" t="s">
        <v>232</v>
      </c>
      <c r="K105" s="724" t="s">
        <v>230</v>
      </c>
      <c r="L105" s="1404" t="s">
        <v>232</v>
      </c>
      <c r="M105" s="724" t="s">
        <v>230</v>
      </c>
      <c r="N105" s="1404" t="s">
        <v>232</v>
      </c>
      <c r="O105" s="724" t="s">
        <v>230</v>
      </c>
      <c r="P105" s="1405" t="s">
        <v>232</v>
      </c>
      <c r="Q105" s="1305" t="s">
        <v>230</v>
      </c>
      <c r="R105" s="1398" t="s">
        <v>232</v>
      </c>
      <c r="S105" s="459" t="s">
        <v>230</v>
      </c>
      <c r="T105" s="1398" t="s">
        <v>232</v>
      </c>
      <c r="U105" s="724" t="s">
        <v>230</v>
      </c>
      <c r="V105" s="1404" t="s">
        <v>232</v>
      </c>
      <c r="W105" s="724" t="s">
        <v>230</v>
      </c>
      <c r="X105" s="1404" t="s">
        <v>232</v>
      </c>
    </row>
    <row r="106" spans="2:31" s="718" customFormat="1" ht="16.5" customHeight="1">
      <c r="B106" s="1401" t="s">
        <v>233</v>
      </c>
      <c r="C106" s="726">
        <f>E106+G106+I106+K106+M106+O106+U106+W106+Q106+S106</f>
        <v>29</v>
      </c>
      <c r="D106" s="727">
        <f>F106+H106+J106+L106+N106+P106+V106+X106+R106+T106</f>
        <v>9058000</v>
      </c>
      <c r="E106" s="1787"/>
      <c r="F106" s="1712"/>
      <c r="G106" s="1788">
        <v>6</v>
      </c>
      <c r="H106" s="1789">
        <v>3040000</v>
      </c>
      <c r="I106" s="1790">
        <v>11</v>
      </c>
      <c r="J106" s="1789">
        <v>4130000</v>
      </c>
      <c r="K106" s="1711"/>
      <c r="L106" s="1712"/>
      <c r="M106" s="1711"/>
      <c r="N106" s="1712"/>
      <c r="O106" s="1711"/>
      <c r="P106" s="1787"/>
      <c r="Q106" s="1791"/>
      <c r="R106" s="1792"/>
      <c r="S106" s="1790">
        <v>11</v>
      </c>
      <c r="T106" s="1793">
        <v>1418000</v>
      </c>
      <c r="U106" s="1790">
        <v>1</v>
      </c>
      <c r="V106" s="1794">
        <v>470000</v>
      </c>
      <c r="W106" s="1711"/>
      <c r="X106" s="1710"/>
    </row>
    <row r="107" spans="2:31" s="718" customFormat="1" ht="16.5" customHeight="1">
      <c r="B107" s="1402" t="s">
        <v>62</v>
      </c>
      <c r="C107" s="734">
        <f t="shared" ref="C107:D117" si="18">E107+G107+I107+K107+M107+O107+U107+W107+Q107+S107</f>
        <v>36</v>
      </c>
      <c r="D107" s="735">
        <f t="shared" si="18"/>
        <v>12608000</v>
      </c>
      <c r="E107" s="1342"/>
      <c r="F107" s="1343"/>
      <c r="G107" s="1714">
        <v>6</v>
      </c>
      <c r="H107" s="1715">
        <v>2520000</v>
      </c>
      <c r="I107" s="1714">
        <v>22</v>
      </c>
      <c r="J107" s="1715">
        <v>8270000</v>
      </c>
      <c r="K107" s="1716"/>
      <c r="L107" s="1348"/>
      <c r="M107" s="1716"/>
      <c r="N107" s="1348"/>
      <c r="O107" s="1716"/>
      <c r="P107" s="1795"/>
      <c r="Q107" s="1796">
        <v>2</v>
      </c>
      <c r="R107" s="1797">
        <v>310000</v>
      </c>
      <c r="S107" s="1716">
        <v>4</v>
      </c>
      <c r="T107" s="1795">
        <v>598000</v>
      </c>
      <c r="U107" s="1716">
        <v>2</v>
      </c>
      <c r="V107" s="1348">
        <v>910000</v>
      </c>
      <c r="W107" s="1345"/>
      <c r="X107" s="1347"/>
      <c r="AA107" s="742"/>
      <c r="AB107" s="742"/>
    </row>
    <row r="108" spans="2:31" s="718" customFormat="1" ht="16.5" customHeight="1">
      <c r="B108" s="1402" t="s">
        <v>63</v>
      </c>
      <c r="C108" s="734">
        <f t="shared" si="18"/>
        <v>34</v>
      </c>
      <c r="D108" s="735">
        <f t="shared" si="18"/>
        <v>11968000</v>
      </c>
      <c r="E108" s="1342"/>
      <c r="F108" s="1343"/>
      <c r="G108" s="1714">
        <v>6</v>
      </c>
      <c r="H108" s="1715">
        <v>2580000</v>
      </c>
      <c r="I108" s="1714">
        <v>18</v>
      </c>
      <c r="J108" s="1715">
        <v>6700000</v>
      </c>
      <c r="K108" s="1716"/>
      <c r="L108" s="1348"/>
      <c r="M108" s="1716"/>
      <c r="N108" s="1348"/>
      <c r="O108" s="1716"/>
      <c r="P108" s="1795"/>
      <c r="Q108" s="1796">
        <v>3</v>
      </c>
      <c r="R108" s="1797">
        <v>590000</v>
      </c>
      <c r="S108" s="1716">
        <v>4</v>
      </c>
      <c r="T108" s="1795">
        <v>748000</v>
      </c>
      <c r="U108" s="1716">
        <v>3</v>
      </c>
      <c r="V108" s="1348">
        <v>1350000</v>
      </c>
      <c r="W108" s="1345"/>
      <c r="X108" s="1347"/>
      <c r="AA108" s="742"/>
      <c r="AB108" s="742"/>
    </row>
    <row r="109" spans="2:31" s="718" customFormat="1" ht="16.5" customHeight="1">
      <c r="B109" s="1402" t="s">
        <v>64</v>
      </c>
      <c r="C109" s="734">
        <f t="shared" si="18"/>
        <v>31</v>
      </c>
      <c r="D109" s="735">
        <f t="shared" si="18"/>
        <v>12856000</v>
      </c>
      <c r="E109" s="1342"/>
      <c r="F109" s="1343"/>
      <c r="G109" s="1714">
        <v>6</v>
      </c>
      <c r="H109" s="1715">
        <v>3480000</v>
      </c>
      <c r="I109" s="1714">
        <v>20</v>
      </c>
      <c r="J109" s="1715">
        <v>8460000</v>
      </c>
      <c r="K109" s="1345"/>
      <c r="L109" s="1343"/>
      <c r="M109" s="1345"/>
      <c r="N109" s="1343"/>
      <c r="O109" s="1345"/>
      <c r="P109" s="1342"/>
      <c r="Q109" s="1796">
        <v>1</v>
      </c>
      <c r="R109" s="1797">
        <v>160000</v>
      </c>
      <c r="S109" s="1716">
        <v>3</v>
      </c>
      <c r="T109" s="1795">
        <v>346000</v>
      </c>
      <c r="U109" s="1716">
        <v>1</v>
      </c>
      <c r="V109" s="1348">
        <v>410000</v>
      </c>
      <c r="W109" s="1345"/>
      <c r="X109" s="1347"/>
      <c r="AA109" s="742"/>
      <c r="AB109" s="742"/>
    </row>
    <row r="110" spans="2:31" s="718" customFormat="1" ht="16.5" customHeight="1">
      <c r="B110" s="1402" t="s">
        <v>65</v>
      </c>
      <c r="C110" s="734">
        <f t="shared" si="18"/>
        <v>44</v>
      </c>
      <c r="D110" s="735">
        <f t="shared" si="18"/>
        <v>18180000</v>
      </c>
      <c r="E110" s="1342"/>
      <c r="F110" s="1343"/>
      <c r="G110" s="1714">
        <v>13</v>
      </c>
      <c r="H110" s="1715">
        <v>7730000</v>
      </c>
      <c r="I110" s="1714">
        <v>19</v>
      </c>
      <c r="J110" s="1715">
        <v>7540000</v>
      </c>
      <c r="K110" s="1716"/>
      <c r="L110" s="1348"/>
      <c r="M110" s="1716"/>
      <c r="N110" s="1348"/>
      <c r="O110" s="1716"/>
      <c r="P110" s="1795"/>
      <c r="Q110" s="1796">
        <v>2</v>
      </c>
      <c r="R110" s="1797">
        <v>420000</v>
      </c>
      <c r="S110" s="1716">
        <v>7</v>
      </c>
      <c r="T110" s="1795">
        <v>1020000</v>
      </c>
      <c r="U110" s="1716">
        <v>3</v>
      </c>
      <c r="V110" s="1348">
        <v>1470000</v>
      </c>
      <c r="W110" s="1345"/>
      <c r="X110" s="1347"/>
    </row>
    <row r="111" spans="2:31" s="718" customFormat="1" ht="16.5" customHeight="1">
      <c r="B111" s="1402" t="s">
        <v>66</v>
      </c>
      <c r="C111" s="734">
        <f t="shared" si="18"/>
        <v>31</v>
      </c>
      <c r="D111" s="735">
        <f t="shared" si="18"/>
        <v>13228000</v>
      </c>
      <c r="E111" s="1342"/>
      <c r="F111" s="1343"/>
      <c r="G111" s="1714">
        <v>6</v>
      </c>
      <c r="H111" s="1715">
        <v>3390000</v>
      </c>
      <c r="I111" s="1714">
        <v>20</v>
      </c>
      <c r="J111" s="1715">
        <v>8450000</v>
      </c>
      <c r="K111" s="1716"/>
      <c r="L111" s="1348"/>
      <c r="M111" s="1716"/>
      <c r="N111" s="1348"/>
      <c r="O111" s="1716"/>
      <c r="P111" s="1795"/>
      <c r="Q111" s="1796">
        <v>1</v>
      </c>
      <c r="R111" s="1797">
        <v>200000</v>
      </c>
      <c r="S111" s="1716">
        <v>2</v>
      </c>
      <c r="T111" s="1795">
        <v>278000</v>
      </c>
      <c r="U111" s="1716">
        <v>2</v>
      </c>
      <c r="V111" s="1348">
        <v>910000</v>
      </c>
      <c r="W111" s="1345"/>
      <c r="X111" s="1347"/>
    </row>
    <row r="112" spans="2:31" s="718" customFormat="1" ht="16.5" customHeight="1">
      <c r="B112" s="1402" t="s">
        <v>67</v>
      </c>
      <c r="C112" s="734">
        <f t="shared" si="18"/>
        <v>28</v>
      </c>
      <c r="D112" s="735">
        <f t="shared" si="18"/>
        <v>10044000</v>
      </c>
      <c r="E112" s="1342"/>
      <c r="F112" s="1343"/>
      <c r="G112" s="1714">
        <v>7</v>
      </c>
      <c r="H112" s="1348">
        <v>2750000</v>
      </c>
      <c r="I112" s="1337">
        <v>13</v>
      </c>
      <c r="J112" s="1348">
        <v>5120000</v>
      </c>
      <c r="K112" s="1716"/>
      <c r="L112" s="1348"/>
      <c r="M112" s="1716"/>
      <c r="N112" s="1348"/>
      <c r="O112" s="1716"/>
      <c r="P112" s="1795"/>
      <c r="Q112" s="1796">
        <v>0</v>
      </c>
      <c r="R112" s="1797">
        <v>0</v>
      </c>
      <c r="S112" s="1716">
        <v>5</v>
      </c>
      <c r="T112" s="1795">
        <v>854000</v>
      </c>
      <c r="U112" s="1716">
        <v>3</v>
      </c>
      <c r="V112" s="1348">
        <v>1320000</v>
      </c>
      <c r="W112" s="1345"/>
      <c r="X112" s="1343"/>
    </row>
    <row r="113" spans="2:31" s="718" customFormat="1" ht="16.5" customHeight="1">
      <c r="B113" s="1402" t="s">
        <v>68</v>
      </c>
      <c r="C113" s="734">
        <f t="shared" si="18"/>
        <v>29</v>
      </c>
      <c r="D113" s="735">
        <f t="shared" si="18"/>
        <v>11468000</v>
      </c>
      <c r="E113" s="1342"/>
      <c r="F113" s="1343"/>
      <c r="G113" s="1714">
        <v>5</v>
      </c>
      <c r="H113" s="1348">
        <v>3310000</v>
      </c>
      <c r="I113" s="1714">
        <v>14</v>
      </c>
      <c r="J113" s="1348">
        <v>5550000</v>
      </c>
      <c r="K113" s="1716"/>
      <c r="L113" s="1348"/>
      <c r="M113" s="1716"/>
      <c r="N113" s="1348"/>
      <c r="O113" s="1716"/>
      <c r="P113" s="1795"/>
      <c r="Q113" s="1796">
        <v>1</v>
      </c>
      <c r="R113" s="1797">
        <v>170000</v>
      </c>
      <c r="S113" s="1716">
        <v>5</v>
      </c>
      <c r="T113" s="1795">
        <v>618000</v>
      </c>
      <c r="U113" s="1716">
        <v>4</v>
      </c>
      <c r="V113" s="1348">
        <v>1820000</v>
      </c>
      <c r="W113" s="1345"/>
      <c r="X113" s="1343"/>
    </row>
    <row r="114" spans="2:31" s="718" customFormat="1" ht="16.5" customHeight="1">
      <c r="B114" s="1402" t="s">
        <v>69</v>
      </c>
      <c r="C114" s="734">
        <f t="shared" si="18"/>
        <v>28</v>
      </c>
      <c r="D114" s="735">
        <f t="shared" si="18"/>
        <v>12896000</v>
      </c>
      <c r="E114" s="1342"/>
      <c r="F114" s="1343"/>
      <c r="G114" s="1714">
        <v>8</v>
      </c>
      <c r="H114" s="1348">
        <v>5490000</v>
      </c>
      <c r="I114" s="1716">
        <v>15</v>
      </c>
      <c r="J114" s="1348">
        <v>6340000</v>
      </c>
      <c r="K114" s="1345"/>
      <c r="L114" s="1343"/>
      <c r="M114" s="1345"/>
      <c r="N114" s="1343"/>
      <c r="O114" s="1345"/>
      <c r="P114" s="1342"/>
      <c r="Q114" s="1796">
        <v>2</v>
      </c>
      <c r="R114" s="1797">
        <v>380000</v>
      </c>
      <c r="S114" s="1716">
        <v>2</v>
      </c>
      <c r="T114" s="1795">
        <v>276000</v>
      </c>
      <c r="U114" s="1716">
        <v>1</v>
      </c>
      <c r="V114" s="1348">
        <v>410000</v>
      </c>
      <c r="W114" s="1345"/>
      <c r="X114" s="1343"/>
    </row>
    <row r="115" spans="2:31" s="718" customFormat="1" ht="16.5" customHeight="1">
      <c r="B115" s="1402" t="s">
        <v>70</v>
      </c>
      <c r="C115" s="734">
        <f t="shared" si="18"/>
        <v>32</v>
      </c>
      <c r="D115" s="735">
        <f t="shared" si="18"/>
        <v>13420000</v>
      </c>
      <c r="E115" s="1342"/>
      <c r="F115" s="1343"/>
      <c r="G115" s="1714">
        <v>6</v>
      </c>
      <c r="H115" s="1348">
        <v>3640000</v>
      </c>
      <c r="I115" s="1716">
        <v>19</v>
      </c>
      <c r="J115" s="1348">
        <v>8120000</v>
      </c>
      <c r="K115" s="1345"/>
      <c r="L115" s="1343"/>
      <c r="M115" s="1345"/>
      <c r="N115" s="1343"/>
      <c r="O115" s="1345"/>
      <c r="P115" s="1342"/>
      <c r="Q115" s="1668">
        <v>0</v>
      </c>
      <c r="R115" s="1669">
        <v>0</v>
      </c>
      <c r="S115" s="1716">
        <v>5</v>
      </c>
      <c r="T115" s="1795">
        <v>750000</v>
      </c>
      <c r="U115" s="1716">
        <v>2</v>
      </c>
      <c r="V115" s="1348">
        <v>910000</v>
      </c>
      <c r="W115" s="1345"/>
      <c r="X115" s="1343"/>
    </row>
    <row r="116" spans="2:31" s="718" customFormat="1" ht="16.5" customHeight="1">
      <c r="B116" s="1402" t="s">
        <v>71</v>
      </c>
      <c r="C116" s="734">
        <f t="shared" si="18"/>
        <v>33</v>
      </c>
      <c r="D116" s="735">
        <f t="shared" si="18"/>
        <v>13302000</v>
      </c>
      <c r="E116" s="1342"/>
      <c r="F116" s="1343"/>
      <c r="G116" s="1714">
        <v>5</v>
      </c>
      <c r="H116" s="1348">
        <v>3860000</v>
      </c>
      <c r="I116" s="1716">
        <v>19</v>
      </c>
      <c r="J116" s="1348">
        <v>7480000</v>
      </c>
      <c r="K116" s="1345"/>
      <c r="L116" s="1343"/>
      <c r="M116" s="1345"/>
      <c r="N116" s="1343"/>
      <c r="O116" s="1345"/>
      <c r="P116" s="1342"/>
      <c r="Q116" s="1796">
        <v>1</v>
      </c>
      <c r="R116" s="1797">
        <v>620000</v>
      </c>
      <c r="S116" s="1716">
        <v>7</v>
      </c>
      <c r="T116" s="1795">
        <v>932000</v>
      </c>
      <c r="U116" s="1716">
        <v>1</v>
      </c>
      <c r="V116" s="1348">
        <v>410000</v>
      </c>
      <c r="W116" s="1345"/>
      <c r="X116" s="1343"/>
    </row>
    <row r="117" spans="2:31" s="708" customFormat="1" ht="16.5" customHeight="1" thickBot="1">
      <c r="B117" s="745" t="s">
        <v>72</v>
      </c>
      <c r="C117" s="734">
        <f t="shared" si="18"/>
        <v>28</v>
      </c>
      <c r="D117" s="735">
        <f t="shared" si="18"/>
        <v>11982000</v>
      </c>
      <c r="E117" s="1798"/>
      <c r="F117" s="1673"/>
      <c r="G117" s="1714">
        <v>6</v>
      </c>
      <c r="H117" s="1348">
        <v>3420000</v>
      </c>
      <c r="I117" s="1716">
        <v>18</v>
      </c>
      <c r="J117" s="1348">
        <v>7690000</v>
      </c>
      <c r="K117" s="1799"/>
      <c r="L117" s="1348"/>
      <c r="M117" s="1799"/>
      <c r="N117" s="1348"/>
      <c r="O117" s="1716"/>
      <c r="P117" s="1795"/>
      <c r="Q117" s="1796">
        <v>0</v>
      </c>
      <c r="R117" s="1797">
        <v>0</v>
      </c>
      <c r="S117" s="1716">
        <v>3</v>
      </c>
      <c r="T117" s="1795">
        <v>372000</v>
      </c>
      <c r="U117" s="1716">
        <v>1</v>
      </c>
      <c r="V117" s="1348">
        <v>500000</v>
      </c>
      <c r="W117" s="1345"/>
      <c r="X117" s="1343"/>
    </row>
    <row r="118" spans="2:31" s="718" customFormat="1" ht="16.5" customHeight="1" thickBot="1">
      <c r="B118" s="709" t="s">
        <v>78</v>
      </c>
      <c r="C118" s="710">
        <f>SUM(C106:C117)</f>
        <v>383</v>
      </c>
      <c r="D118" s="711">
        <f>SUM(D106:D117)</f>
        <v>151010000</v>
      </c>
      <c r="E118" s="712"/>
      <c r="F118" s="713"/>
      <c r="G118" s="714">
        <f>SUM(G106:G117)</f>
        <v>80</v>
      </c>
      <c r="H118" s="715">
        <f>SUM(H106:H117)</f>
        <v>45210000</v>
      </c>
      <c r="I118" s="714">
        <f>SUM(I106:I117)</f>
        <v>208</v>
      </c>
      <c r="J118" s="715">
        <f>SUM(J106:J117)</f>
        <v>83850000</v>
      </c>
      <c r="K118" s="716"/>
      <c r="L118" s="715">
        <f t="shared" ref="L118:T118" si="19">SUM(L106:L117)</f>
        <v>0</v>
      </c>
      <c r="M118" s="716">
        <f t="shared" si="19"/>
        <v>0</v>
      </c>
      <c r="N118" s="715">
        <f t="shared" si="19"/>
        <v>0</v>
      </c>
      <c r="O118" s="716">
        <f t="shared" si="19"/>
        <v>0</v>
      </c>
      <c r="P118" s="717">
        <f t="shared" si="19"/>
        <v>0</v>
      </c>
      <c r="Q118" s="1783">
        <f t="shared" si="19"/>
        <v>13</v>
      </c>
      <c r="R118" s="1067">
        <f t="shared" si="19"/>
        <v>2850000</v>
      </c>
      <c r="S118" s="716">
        <f t="shared" si="19"/>
        <v>58</v>
      </c>
      <c r="T118" s="717">
        <f t="shared" si="19"/>
        <v>8210000</v>
      </c>
      <c r="U118" s="716">
        <f>SUM(U106:U117)</f>
        <v>24</v>
      </c>
      <c r="V118" s="715">
        <f>SUM(V106:V117)</f>
        <v>10890000</v>
      </c>
      <c r="W118" s="716"/>
      <c r="X118" s="711"/>
    </row>
    <row r="119" spans="2:31" s="751" customFormat="1" ht="16.5" customHeight="1">
      <c r="AC119" s="752"/>
      <c r="AD119" s="752"/>
      <c r="AE119" s="752"/>
    </row>
    <row r="120" spans="2:31" s="751" customFormat="1" ht="13.5">
      <c r="AC120" s="752"/>
      <c r="AD120" s="752"/>
      <c r="AE120" s="752"/>
    </row>
  </sheetData>
  <mergeCells count="185">
    <mergeCell ref="B1:C1"/>
    <mergeCell ref="B2:B4"/>
    <mergeCell ref="C2:D3"/>
    <mergeCell ref="E2:J2"/>
    <mergeCell ref="K2:N2"/>
    <mergeCell ref="O2:P3"/>
    <mergeCell ref="AE2:AE4"/>
    <mergeCell ref="AF2:AF4"/>
    <mergeCell ref="AG2:AG4"/>
    <mergeCell ref="E3:F3"/>
    <mergeCell ref="G3:H3"/>
    <mergeCell ref="I3:J3"/>
    <mergeCell ref="K3:L3"/>
    <mergeCell ref="M3:N3"/>
    <mergeCell ref="Q3:R3"/>
    <mergeCell ref="S3:T3"/>
    <mergeCell ref="Q2:T2"/>
    <mergeCell ref="U2:V3"/>
    <mergeCell ref="W2:X3"/>
    <mergeCell ref="Y2:Y4"/>
    <mergeCell ref="Z2:AB2"/>
    <mergeCell ref="AC2:AD2"/>
    <mergeCell ref="Z3:Z4"/>
    <mergeCell ref="AA3:AA4"/>
    <mergeCell ref="AB3:AB4"/>
    <mergeCell ref="AC3:AC4"/>
    <mergeCell ref="AD3:AD4"/>
    <mergeCell ref="A15:A16"/>
    <mergeCell ref="E17:F17"/>
    <mergeCell ref="G17:H17"/>
    <mergeCell ref="I17:J17"/>
    <mergeCell ref="K17:L17"/>
    <mergeCell ref="M17:N17"/>
    <mergeCell ref="O17:P17"/>
    <mergeCell ref="Q17:R17"/>
    <mergeCell ref="S17:T17"/>
    <mergeCell ref="AF22:AG25"/>
    <mergeCell ref="E25:F25"/>
    <mergeCell ref="H25:I25"/>
    <mergeCell ref="O25:P25"/>
    <mergeCell ref="T25:U25"/>
    <mergeCell ref="V25:X25"/>
    <mergeCell ref="U17:V17"/>
    <mergeCell ref="W17:X17"/>
    <mergeCell ref="B20:C20"/>
    <mergeCell ref="O20:P20"/>
    <mergeCell ref="AA20:AB20"/>
    <mergeCell ref="B21:C21"/>
    <mergeCell ref="E21:G21"/>
    <mergeCell ref="K21:M21"/>
    <mergeCell ref="Z21:AA21"/>
    <mergeCell ref="E28:F28"/>
    <mergeCell ref="O28:P28"/>
    <mergeCell ref="T28:U28"/>
    <mergeCell ref="E29:F29"/>
    <mergeCell ref="O29:P29"/>
    <mergeCell ref="T29:U29"/>
    <mergeCell ref="E26:F26"/>
    <mergeCell ref="O26:P26"/>
    <mergeCell ref="T26:U26"/>
    <mergeCell ref="E27:F27"/>
    <mergeCell ref="H27:J27"/>
    <mergeCell ref="O27:P27"/>
    <mergeCell ref="Q27:R27"/>
    <mergeCell ref="T27:U27"/>
    <mergeCell ref="AD30:AF31"/>
    <mergeCell ref="B31:C31"/>
    <mergeCell ref="E31:F31"/>
    <mergeCell ref="H31:J31"/>
    <mergeCell ref="K31:M31"/>
    <mergeCell ref="O31:P31"/>
    <mergeCell ref="Q31:R31"/>
    <mergeCell ref="T31:U31"/>
    <mergeCell ref="V31:Y31"/>
    <mergeCell ref="E30:F30"/>
    <mergeCell ref="O30:P30"/>
    <mergeCell ref="T30:U30"/>
    <mergeCell ref="V30:Y30"/>
    <mergeCell ref="AA30:AA31"/>
    <mergeCell ref="AB30:AC31"/>
    <mergeCell ref="H36:I36"/>
    <mergeCell ref="O36:P36"/>
    <mergeCell ref="T36:U36"/>
    <mergeCell ref="E40:F40"/>
    <mergeCell ref="O40:P40"/>
    <mergeCell ref="V36:X36"/>
    <mergeCell ref="AA36:AA37"/>
    <mergeCell ref="AD36:AF37"/>
    <mergeCell ref="E32:F32"/>
    <mergeCell ref="O32:P32"/>
    <mergeCell ref="T32:U32"/>
    <mergeCell ref="AA32:AA33"/>
    <mergeCell ref="AB32:AC37"/>
    <mergeCell ref="AD32:AF33"/>
    <mergeCell ref="E34:F34"/>
    <mergeCell ref="AA34:AA35"/>
    <mergeCell ref="AD34:AF35"/>
    <mergeCell ref="E36:F36"/>
    <mergeCell ref="E37:F37"/>
    <mergeCell ref="O37:P37"/>
    <mergeCell ref="T37:U37"/>
    <mergeCell ref="E41:F41"/>
    <mergeCell ref="H41:J41"/>
    <mergeCell ref="K41:L41"/>
    <mergeCell ref="O41:P41"/>
    <mergeCell ref="AA38:AA39"/>
    <mergeCell ref="AB38:AC39"/>
    <mergeCell ref="AD38:AF39"/>
    <mergeCell ref="E39:F39"/>
    <mergeCell ref="O39:P39"/>
    <mergeCell ref="T39:U39"/>
    <mergeCell ref="E38:F38"/>
    <mergeCell ref="H38:J38"/>
    <mergeCell ref="O38:P38"/>
    <mergeCell ref="T38:U38"/>
    <mergeCell ref="E44:F44"/>
    <mergeCell ref="K44:L44"/>
    <mergeCell ref="O44:P44"/>
    <mergeCell ref="B49:B51"/>
    <mergeCell ref="C49:D50"/>
    <mergeCell ref="E49:J49"/>
    <mergeCell ref="K49:N49"/>
    <mergeCell ref="O49:P50"/>
    <mergeCell ref="E42:F42"/>
    <mergeCell ref="O42:P42"/>
    <mergeCell ref="B43:C43"/>
    <mergeCell ref="E43:F43"/>
    <mergeCell ref="H43:J43"/>
    <mergeCell ref="K43:L43"/>
    <mergeCell ref="O43:P43"/>
    <mergeCell ref="U103:V104"/>
    <mergeCell ref="W103:X104"/>
    <mergeCell ref="B67:B69"/>
    <mergeCell ref="C67:D68"/>
    <mergeCell ref="E67:J67"/>
    <mergeCell ref="K67:N67"/>
    <mergeCell ref="O67:P68"/>
    <mergeCell ref="Q67:T67"/>
    <mergeCell ref="Q49:T49"/>
    <mergeCell ref="U49:V50"/>
    <mergeCell ref="W49:X50"/>
    <mergeCell ref="E50:F50"/>
    <mergeCell ref="G50:H50"/>
    <mergeCell ref="I50:J50"/>
    <mergeCell ref="K50:L50"/>
    <mergeCell ref="M50:N50"/>
    <mergeCell ref="Q50:R50"/>
    <mergeCell ref="S50:T50"/>
    <mergeCell ref="U67:V68"/>
    <mergeCell ref="W67:X68"/>
    <mergeCell ref="E68:F68"/>
    <mergeCell ref="G68:H68"/>
    <mergeCell ref="I68:J68"/>
    <mergeCell ref="K68:L68"/>
    <mergeCell ref="U85:V86"/>
    <mergeCell ref="W85:X86"/>
    <mergeCell ref="E86:F86"/>
    <mergeCell ref="G86:H86"/>
    <mergeCell ref="I86:J86"/>
    <mergeCell ref="K86:L86"/>
    <mergeCell ref="M86:N86"/>
    <mergeCell ref="Q86:R86"/>
    <mergeCell ref="S86:T86"/>
    <mergeCell ref="E85:J85"/>
    <mergeCell ref="K85:N85"/>
    <mergeCell ref="O85:P86"/>
    <mergeCell ref="Q85:T85"/>
    <mergeCell ref="E104:F104"/>
    <mergeCell ref="G104:H104"/>
    <mergeCell ref="I104:J104"/>
    <mergeCell ref="K104:L104"/>
    <mergeCell ref="M104:N104"/>
    <mergeCell ref="Q104:R104"/>
    <mergeCell ref="S104:T104"/>
    <mergeCell ref="S68:T68"/>
    <mergeCell ref="B103:B105"/>
    <mergeCell ref="C103:D104"/>
    <mergeCell ref="E103:J103"/>
    <mergeCell ref="K103:N103"/>
    <mergeCell ref="O103:P104"/>
    <mergeCell ref="Q103:T103"/>
    <mergeCell ref="B85:B87"/>
    <mergeCell ref="C85:D86"/>
    <mergeCell ref="M68:N68"/>
    <mergeCell ref="Q68:R68"/>
  </mergeCells>
  <phoneticPr fontId="2"/>
  <printOptions horizontalCentered="1"/>
  <pageMargins left="0" right="0" top="0.70866141732283472" bottom="0" header="0.51181102362204722" footer="0"/>
  <pageSetup paperSize="9" scale="55" orientation="landscape" cellComments="asDisplayed" r:id="rId1"/>
  <headerFooter>
    <oddFooter>&amp;R&amp;8&amp;Z&amp;F&amp;A</oddFooter>
  </headerFooter>
  <rowBreaks count="2" manualBreakCount="2">
    <brk id="46" max="27" man="1"/>
    <brk id="83" max="27" man="1"/>
  </rowBreaks>
  <drawing r:id="rId2"/>
  <legacyDrawing r:id="rId3"/>
</worksheet>
</file>

<file path=xl/worksheets/sheet16.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10" customWidth="1" min="1" max="1"/>
    <col width="14" customWidth="1" min="2" max="2"/>
    <col width="70" customWidth="1" min="3" max="3"/>
  </cols>
  <sheetData>
    <row r="1">
      <c r="A1" s="2910" t="inlineStr">
        <is>
          <t>R8短期 のDB由来欄を、基幹抽出データの貼り付けで自動反映するしくみ</t>
        </is>
      </c>
    </row>
    <row r="3">
      <c r="A3" s="2911" t="inlineStr">
        <is>
          <t>■ 毎年の手順</t>
        </is>
      </c>
      <c r="B3" s="2909"/>
    </row>
    <row r="4">
      <c r="A4" t="inlineStr" s="2909">
        <is>
          <t>1</t>
        </is>
      </c>
      <c r="B4" t="inlineStr" s="2909">
        <is>
          <t>基幹システムの抽出4種を各DBシートのA1に全列貼り付ける（E・F列は空でよい。列位置は変えない）。右端の「区分(自動判定)」「基準日フラグ」列の数式は消さない（3,000行分用意済み）。</t>
        </is>
      </c>
    </row>
    <row r="5">
      <c r="A5" s="2909"/>
      <c r="B5" t="inlineStr" s="2909">
        <is>
          <t xml:space="preserve">  DB_取得＝DBP1BC2（R7.4.1以降の資格取得）／DB_喪失＝DBP7C85（R7.4.1以降の資格喪失）／DB_定年R8＝DBP2BB1（来年度60歳到達者）／DB_定年R7＝DBP59FA（今年度60歳到達者・延長率算出用）</t>
        </is>
      </c>
    </row>
    <row r="6">
      <c r="A6" t="inlineStr" s="2909">
        <is>
          <t>2</t>
        </is>
      </c>
      <c r="B6" t="inlineStr" s="2909">
        <is>
          <t>DB_設定で基準日(例20250401)を入力。人事課・病院機構からの聴取人数は R8短期 の該当セルに入力（従来どおり）。</t>
        </is>
      </c>
    </row>
    <row r="7">
      <c r="A7" t="inlineStr" s="2909">
        <is>
          <t>3</t>
        </is>
      </c>
      <c r="B7" t="inlineStr" s="2909">
        <is>
          <t>DB_集計の「自動」列が R8短期 に流れる。「確定版」(提示された最終版の値)との差が出た項目は判定が「差あり」になる。</t>
        </is>
      </c>
    </row>
    <row r="8">
      <c r="A8" s="2911" t="inlineStr">
        <is>
          <t>■ 注意</t>
        </is>
      </c>
      <c r="B8" s="2909"/>
    </row>
    <row r="9">
      <c r="A9" s="2909"/>
      <c r="B9" t="inlineStr" s="2909">
        <is>
          <t>・DBシートの現在のデータは個人情報を除いた集計用列のみ。実運用では抽出データを全列貼り付ける。</t>
        </is>
      </c>
    </row>
    <row r="10">
      <c r="A10" s="2909"/>
      <c r="B10" t="inlineStr" s="2909">
        <is>
          <t>・DB_集計で赤く表示された行＝DB値と確定版が合わない項目。R8短期側で橙色に塗ったセル＝その項目（DB_設定の切替で確定版値／DB値を選ぶ）。</t>
        </is>
      </c>
    </row>
    <row r="11">
      <c r="A11" s="2909"/>
      <c r="B11" t="inlineStr" s="2909">
        <is>
          <t>・月例報告総括表由来の欄（随時改定・中途採用・脱退の月別）はDBと出所が違うため自動化していない。</t>
        </is>
      </c>
    </row>
    <row r="13">
      <c r="A13" s="2911" t="inlineStr">
        <is>
          <t>■ R8短期 で自動化したセル</t>
        </is>
      </c>
    </row>
    <row r="14">
      <c r="B14" s="2912" t="inlineStr">
        <is>
          <t>セル</t>
        </is>
      </c>
      <c r="C14" s="2912" t="inlineStr">
        <is>
          <t>式</t>
        </is>
      </c>
      <c r="D14" s="2912" t="inlineStr">
        <is>
          <t>内容</t>
        </is>
      </c>
    </row>
    <row r="15">
      <c r="B15" t="inlineStr" s="2909">
        <is>
          <t>D26</t>
        </is>
      </c>
      <c r="C15" t="inlineStr" s="2909">
        <is>
          <t>="（"&amp;DB_集計!D5&amp;"人）"</t>
        </is>
      </c>
    </row>
    <row r="16">
      <c r="B16" t="inlineStr" s="2909">
        <is>
          <t>E26</t>
        </is>
      </c>
      <c r="C16" t="inlineStr" s="2909">
        <is>
          <t>=DB_集計!H5</t>
        </is>
      </c>
    </row>
    <row r="17">
      <c r="B17" t="inlineStr" s="2909">
        <is>
          <t>D27</t>
        </is>
      </c>
      <c r="C17" t="inlineStr" s="2909">
        <is>
          <t>=DB_集計!D6</t>
        </is>
      </c>
    </row>
    <row r="18">
      <c r="B18" t="inlineStr" s="2909">
        <is>
          <t>E27</t>
        </is>
      </c>
      <c r="C18" t="inlineStr" s="2909">
        <is>
          <t>=DB_集計!H6</t>
        </is>
      </c>
    </row>
    <row r="19">
      <c r="B19" t="inlineStr" s="2909">
        <is>
          <t>E28</t>
        </is>
      </c>
      <c r="C19" t="inlineStr" s="2909">
        <is>
          <t>=DB_集計!H8</t>
        </is>
      </c>
    </row>
    <row r="20">
      <c r="B20" t="inlineStr" s="2909">
        <is>
          <t>N27</t>
        </is>
      </c>
      <c r="C20" t="inlineStr" s="2909">
        <is>
          <t>=DB_集計!D9</t>
        </is>
      </c>
    </row>
    <row r="21">
      <c r="B21" t="inlineStr" s="2909">
        <is>
          <t>O27</t>
        </is>
      </c>
      <c r="C21" t="inlineStr" s="2909">
        <is>
          <t>=DB_集計!H9</t>
        </is>
      </c>
    </row>
    <row r="22">
      <c r="B22" t="inlineStr" s="2909">
        <is>
          <t>N28</t>
        </is>
      </c>
      <c r="C22" t="inlineStr" s="2909">
        <is>
          <t>=DB_集計!D10</t>
        </is>
      </c>
    </row>
    <row r="23">
      <c r="B23" t="inlineStr" s="2909">
        <is>
          <t>O28</t>
        </is>
      </c>
      <c r="C23" t="inlineStr" s="2909">
        <is>
          <t>=DB_集計!H10</t>
        </is>
      </c>
    </row>
    <row r="24">
      <c r="B24" t="inlineStr" s="2909">
        <is>
          <t>S26</t>
        </is>
      </c>
      <c r="C24" t="inlineStr" s="2909">
        <is>
          <t>="（"&amp;DB_集計!D11&amp;"人）"</t>
        </is>
      </c>
    </row>
    <row r="25">
      <c r="B25" t="inlineStr" s="2909">
        <is>
          <t>T26</t>
        </is>
      </c>
      <c r="C25" t="inlineStr" s="2909">
        <is>
          <t>=DB_集計!H11</t>
        </is>
      </c>
    </row>
    <row r="26">
      <c r="B26" t="inlineStr" s="2909">
        <is>
          <t>S27</t>
        </is>
      </c>
      <c r="C26" t="inlineStr" s="2909">
        <is>
          <t>=DB_集計!D12</t>
        </is>
      </c>
    </row>
    <row r="27">
      <c r="B27" t="inlineStr" s="2909">
        <is>
          <t>T27</t>
        </is>
      </c>
      <c r="C27" t="inlineStr" s="2909">
        <is>
          <t>=DB_集計!H12</t>
        </is>
      </c>
    </row>
    <row r="28">
      <c r="B28" t="inlineStr" s="2909">
        <is>
          <t>T28</t>
        </is>
      </c>
      <c r="C28" t="inlineStr" s="2909">
        <is>
          <t>=DB_集計!H14</t>
        </is>
      </c>
    </row>
    <row r="29">
      <c r="B29" t="inlineStr" s="2909">
        <is>
          <t>D36</t>
        </is>
      </c>
      <c r="C29" t="inlineStr" s="2909">
        <is>
          <t>="（"&amp;DB_集計!D15&amp;"人）"</t>
        </is>
      </c>
    </row>
    <row r="30">
      <c r="B30" t="inlineStr" s="2909">
        <is>
          <t>E36</t>
        </is>
      </c>
      <c r="C30" t="inlineStr" s="2909">
        <is>
          <t>=DB_集計!H15</t>
        </is>
      </c>
    </row>
    <row r="31">
      <c r="B31" t="inlineStr" s="2909">
        <is>
          <t>D37</t>
        </is>
      </c>
      <c r="C31" t="inlineStr" s="2909">
        <is>
          <t>=DB_集計!D16</t>
        </is>
      </c>
    </row>
    <row r="32">
      <c r="B32" t="inlineStr" s="2909">
        <is>
          <t>E37</t>
        </is>
      </c>
      <c r="C32" t="inlineStr" s="2909">
        <is>
          <t>=DB_集計!H16</t>
        </is>
      </c>
    </row>
    <row r="33">
      <c r="B33" t="inlineStr" s="2909">
        <is>
          <t>E38</t>
        </is>
      </c>
      <c r="C33" t="inlineStr" s="2909">
        <is>
          <t>=DB_集計!H18</t>
        </is>
      </c>
    </row>
    <row r="34">
      <c r="B34" t="inlineStr" s="2909">
        <is>
          <t>N37</t>
        </is>
      </c>
      <c r="C34" t="inlineStr" s="2909">
        <is>
          <t>=DB_集計!D19</t>
        </is>
      </c>
    </row>
    <row r="35">
      <c r="B35" t="inlineStr" s="2909">
        <is>
          <t>O37</t>
        </is>
      </c>
      <c r="C35" t="inlineStr" s="2909">
        <is>
          <t>=DB_集計!H19</t>
        </is>
      </c>
    </row>
    <row r="36">
      <c r="B36" t="inlineStr" s="2909">
        <is>
          <t>N38</t>
        </is>
      </c>
      <c r="C36" t="inlineStr" s="2909">
        <is>
          <t>=DB_集計!D20</t>
        </is>
      </c>
    </row>
    <row r="37">
      <c r="B37" t="inlineStr" s="2909">
        <is>
          <t>O38</t>
        </is>
      </c>
      <c r="C37" t="inlineStr" s="2909">
        <is>
          <t>=DB_集計!H20</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46" customWidth="1" min="1" max="1"/>
    <col width="14" customWidth="1" min="3" max="3"/>
    <col width="100" customWidth="1" min="4" max="4"/>
  </cols>
  <sheetData>
    <row r="1">
      <c r="A1" s="2910" t="inlineStr">
        <is>
          <t>設定（黄色セルだけ入力）</t>
        </is>
      </c>
    </row>
    <row r="4">
      <c r="A4" t="inlineStr" s="2909">
        <is>
          <t>基準日（資格取得日・資格喪失日）</t>
        </is>
      </c>
      <c r="C4" s="2913" t="inlineStr">
        <is>
          <t>20250401</t>
        </is>
      </c>
      <c r="D4" t="inlineStr" s="2909">
        <is>
          <t>文字列。R8予算なら「R7.4.1」＝20250401。喪失日がこの日の者＝3月末退職者</t>
        </is>
      </c>
    </row>
    <row r="5">
      <c r="A5" t="inlineStr" s="2909">
        <is>
          <t>定年延長率（自動）</t>
        </is>
      </c>
      <c r="C5" s="2914">
        <f>ROUND(COUNTIF('DB_定年R7'!$DB$2:$DB$3001,"在職")/(COUNTIF('DB_定年R7'!$DB$2:$DB$3001,"在職")+COUNTIF('DB_定年R7'!$DB$2:$DB$3001,"4/1喪失")),2)</f>
        <v>0.66</v>
      </c>
      <c r="D5" t="inlineStr" s="2909">
        <is>
          <t>前年度(R6年度末60歳到達者)のうち4/1に資格喪失せず在職している者の割合</t>
        </is>
      </c>
    </row>
    <row r="6">
      <c r="A6" t="inlineStr" s="2909">
        <is>
          <t>定年延長率（手入力で上書きする場合のみ）</t>
        </is>
      </c>
      <c r="C6" s="2915" t="n"/>
      <c r="D6" t="inlineStr" s="2909">
        <is>
          <t>空欄なら自動値を使用</t>
        </is>
      </c>
    </row>
    <row r="7">
      <c r="A7" t="inlineStr" s="2909">
        <is>
          <t>使用する定年延長率</t>
        </is>
      </c>
      <c r="C7" s="2914">
        <f>IF(C6="",C5,C6)</f>
        <v>0.66</v>
      </c>
      <c r="D7" s="2909"/>
    </row>
    <row r="8">
      <c r="A8" t="inlineStr" s="2909">
        <is>
          <t>60歳到達者の給与減額係数</t>
        </is>
      </c>
      <c r="C8" s="2916">
        <f>1/3</f>
        <v>0.333333333333333</v>
      </c>
      <c r="D8" t="inlineStr" s="2909">
        <is>
          <t>現行は「合計×延長率÷3」。7割給与＝3割減なら0.3が理論値。現行再現は =1/3</t>
        </is>
      </c>
    </row>
    <row r="9">
      <c r="A9" t="inlineStr" s="2909">
        <is>
          <t>④一般の平均標準報酬の対象</t>
        </is>
      </c>
      <c r="C9" s="2915" t="n">
        <v>2</v>
      </c>
      <c r="D9" t="inlineStr" s="2909">
        <is>
          <t>1＝基準日(4/1)取得者のみ／2＝全期間の取得者</t>
        </is>
      </c>
    </row>
    <row r="11">
      <c r="A11" s="2911" t="inlineStr">
        <is>
          <t>R8短期の人事課・病院機構からの聴取人数（R8短期の入力セルを参照）</t>
        </is>
      </c>
      <c r="D11" t="inlineStr" s="2909">
        <is>
          <t>入力は各シートの該当セル（黄色でなくても可）。ここは確認用の表示</t>
        </is>
      </c>
    </row>
    <row r="12">
      <c r="A12" t="inlineStr" s="2909">
        <is>
          <t>①病院機構 4月新採</t>
        </is>
      </c>
      <c r="C12" s="2909">
        <f>'R8短期'!D28</f>
        <v>162</v>
      </c>
      <c r="D12" t="inlineStr" s="2909">
        <is>
          <t>R8短期!D28</t>
        </is>
      </c>
    </row>
    <row r="13">
      <c r="A13" t="inlineStr" s="2909">
        <is>
          <t>③特定消防 4月新採</t>
        </is>
      </c>
      <c r="C13" s="2909">
        <f>'R8短期'!S28</f>
        <v>38</v>
      </c>
      <c r="D13" t="inlineStr" s="2909">
        <is>
          <t>R8短期!S28</t>
        </is>
      </c>
    </row>
    <row r="14">
      <c r="A14" t="inlineStr" s="2909">
        <is>
          <t>④一般 4月新採</t>
        </is>
      </c>
      <c r="C14" s="2909">
        <f>'R8短期'!D38</f>
        <v>322</v>
      </c>
      <c r="D14" t="inlineStr" s="2909">
        <is>
          <t>R8短期!D38</t>
        </is>
      </c>
    </row>
    <row r="16">
      <c r="A16" s="2911" t="inlineStr">
        <is>
          <t>区分の判定ルール（各DBシート右端DB列の数式）</t>
        </is>
      </c>
    </row>
    <row r="17">
      <c r="A17" t="inlineStr" s="2909">
        <is>
          <t>取得 ①</t>
        </is>
      </c>
      <c r="D17" t="inlineStr" s="2909">
        <is>
          <t>所属(AH)=20 かつ 組合員種別(A)=21or215 かつ 職員種別(AJ)=10</t>
        </is>
      </c>
    </row>
    <row r="18">
      <c r="A18" t="inlineStr" s="2909">
        <is>
          <t>取得 ②</t>
        </is>
      </c>
      <c r="D18" t="inlineStr" s="2909">
        <is>
          <t>AH=20 かつ A=31 かつ AJ=41</t>
        </is>
      </c>
    </row>
    <row r="19">
      <c r="A19" t="inlineStr" s="2909">
        <is>
          <t>取得 ③</t>
        </is>
      </c>
      <c r="D19" t="inlineStr" s="2909">
        <is>
          <t>AJ=30（特定消防）</t>
        </is>
      </c>
    </row>
    <row r="20">
      <c r="A20" t="inlineStr" s="2909">
        <is>
          <t>取得 ④</t>
        </is>
      </c>
      <c r="D20" t="inlineStr" s="2909">
        <is>
          <t>AH≠20 かつ A=21or215 かつ AJ=10（③以外）</t>
        </is>
      </c>
    </row>
    <row r="21">
      <c r="A21" t="inlineStr" s="2909">
        <is>
          <t>取得 ⑤</t>
        </is>
      </c>
      <c r="D21" t="inlineStr" s="2909">
        <is>
          <t>AH≠20 かつ A=31 かつ AJ=41</t>
        </is>
      </c>
    </row>
    <row r="22">
      <c r="A22" t="inlineStr" s="2909">
        <is>
          <t>喪失 ①</t>
        </is>
      </c>
      <c r="D22" t="inlineStr" s="2909">
        <is>
          <t>喪失日=基準日 かつ AH=20 かつ AJ=10/11/18</t>
        </is>
      </c>
    </row>
    <row r="23">
      <c r="A23" t="inlineStr" s="2909">
        <is>
          <t>喪失 ②</t>
        </is>
      </c>
      <c r="D23" t="inlineStr" s="2909">
        <is>
          <t>喪失日=基準日 かつ AH=20 かつ AJ=41</t>
        </is>
      </c>
    </row>
    <row r="24">
      <c r="A24" t="inlineStr" s="2909">
        <is>
          <t>喪失 ③</t>
        </is>
      </c>
      <c r="D24" t="inlineStr" s="2909">
        <is>
          <t>喪失日=基準日 かつ AH=5 かつ AJ=30</t>
        </is>
      </c>
    </row>
    <row r="25">
      <c r="A25" t="inlineStr" s="2909">
        <is>
          <t>喪失 ④</t>
        </is>
      </c>
      <c r="D25" t="inlineStr" s="2909">
        <is>
          <t>喪失日=基準日 かつ AH≠20,5 かつ AJ=10/11/74</t>
        </is>
      </c>
    </row>
    <row r="26">
      <c r="A26" t="inlineStr" s="2909">
        <is>
          <t>喪失 ⑤</t>
        </is>
      </c>
      <c r="D26" t="inlineStr" s="2909">
        <is>
          <t>喪失日=基準日 かつ AH≠20,5 かつ AJ=41/47</t>
        </is>
      </c>
    </row>
    <row r="27">
      <c r="A27" t="inlineStr" s="2909">
        <is>
          <t>定年延長R8</t>
        </is>
      </c>
      <c r="D27" t="inlineStr" s="2909">
        <is>
          <t>A=21 かつ 喪失日=00000000（在職）を所属(AH)で 病院=20／消防=5／市長=その他 に分ける</t>
        </is>
      </c>
    </row>
  </sheetData>
  <dataValidations count="1">
    <dataValidation sqref="C9" showDropDown="0" showInputMessage="0" showErrorMessage="0" allowBlank="0" type="list">
      <formula1>"1,2"</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2" customWidth="1" min="3" max="3"/>
    <col width="12" customWidth="1" min="4" max="4"/>
    <col width="12" customWidth="1" min="5" max="5"/>
    <col width="8" customWidth="1" min="6" max="6"/>
    <col width="12" customWidth="1" min="7" max="7"/>
    <col width="16" customWidth="1" min="8" max="8"/>
    <col width="16" customWidth="1" min="9" max="9"/>
    <col width="12" customWidth="1" min="10" max="10"/>
    <col width="9" customWidth="1" min="11" max="11"/>
    <col width="64" customWidth="1" min="12" max="12"/>
  </cols>
  <sheetData>
    <row r="1">
      <c r="A1" s="2910" t="inlineStr">
        <is>
          <t>R8短期 のDB由来欄：自動集計と確定版との照合</t>
        </is>
      </c>
    </row>
    <row r="2">
      <c r="A2" t="inlineStr" s="2909">
        <is>
          <t>「自動」列が R8短期 に反映される。「確定版」は今回ご提示の最終版の値（固定）。判定が「一致」ならDBを貼っても数値は変わらない。</t>
        </is>
      </c>
    </row>
    <row r="4" ht="32" customHeight="1">
      <c r="A4" s="2917" t="inlineStr">
        <is>
          <t>区分</t>
        </is>
      </c>
      <c r="B4" s="2917" t="inlineStr">
        <is>
          <t>項目</t>
        </is>
      </c>
      <c r="C4" s="2917" t="inlineStr">
        <is>
          <t>R8短期セル
(人数)</t>
        </is>
      </c>
      <c r="D4" s="2917" t="inlineStr">
        <is>
          <t>自動
人数</t>
        </is>
      </c>
      <c r="E4" s="2917" t="inlineStr">
        <is>
          <t>確定版
人数</t>
        </is>
      </c>
      <c r="F4" s="2917" t="inlineStr">
        <is>
          <t>差</t>
        </is>
      </c>
      <c r="G4" s="2917" t="inlineStr">
        <is>
          <t>R8短期セル
(標準報酬)</t>
        </is>
      </c>
      <c r="H4" s="2917" t="inlineStr">
        <is>
          <t>自動
標準報酬</t>
        </is>
      </c>
      <c r="I4" s="2917" t="inlineStr">
        <is>
          <t>確定版
標準報酬</t>
        </is>
      </c>
      <c r="J4" s="2917" t="inlineStr">
        <is>
          <t>差</t>
        </is>
      </c>
      <c r="K4" s="2917" t="inlineStr">
        <is>
          <t>判定</t>
        </is>
      </c>
      <c r="L4" s="2917" t="inlineStr">
        <is>
          <t>算式・根拠</t>
        </is>
      </c>
    </row>
    <row r="5">
      <c r="A5" s="2918" t="inlineStr">
        <is>
          <t>①病院一般</t>
        </is>
      </c>
      <c r="B5" s="2918" t="inlineStr">
        <is>
          <t>3月 定年延長者 3割減</t>
        </is>
      </c>
      <c r="C5" s="2918" t="inlineStr">
        <is>
          <t>D26</t>
        </is>
      </c>
      <c r="D5" s="2919">
        <f>ROUND(COUNTIFS('DB_定年R8'!$DB$2:$DB$3001,"病院")*'DB_設定'!$C$7,0)</f>
        <v>28</v>
      </c>
      <c r="E5" s="2919" t="n">
        <v>28</v>
      </c>
      <c r="F5" s="2919">
        <f>D5-E5</f>
        <v>0</v>
      </c>
      <c r="G5" s="2918" t="inlineStr">
        <is>
          <t>E26</t>
        </is>
      </c>
      <c r="H5" s="2919">
        <f>ROUND(SUMIFS('DB_定年R8'!$AP$2:$AP$3001,'DB_定年R8'!$DB$2:$DB$3001,"病院")*'DB_設定'!$C$7*'DB_設定'!$C$8,0)</f>
        <v>5951000</v>
      </c>
      <c r="I5" s="2919" t="n">
        <v>5951000</v>
      </c>
      <c r="J5" s="2919">
        <f>H5-I5</f>
        <v>0</v>
      </c>
      <c r="K5" s="2918" t="str">
        <f>IF(AND(F5=0,J5=0),"一致","差あり")</f>
        <v>一致</v>
      </c>
      <c r="L5" s="2918" t="inlineStr">
        <is>
          <t>DB_定年R8の病院在職者×延長率（×減額係数）</t>
        </is>
      </c>
    </row>
    <row r="6">
      <c r="A6" s="2918" t="inlineStr">
        <is>
          <t>①病院一般</t>
        </is>
      </c>
      <c r="B6" s="2918" t="inlineStr">
        <is>
          <t>3月 普通退</t>
        </is>
      </c>
      <c r="C6" s="2918" t="inlineStr">
        <is>
          <t>D27</t>
        </is>
      </c>
      <c r="D6" s="2919">
        <f>COUNTIFS('DB_喪失'!$DB$2:$DB$3001,"①病院一般")</f>
        <v>187</v>
      </c>
      <c r="E6" s="2919" t="n">
        <v>187</v>
      </c>
      <c r="F6" s="2919">
        <f>D6-E6</f>
        <v>0</v>
      </c>
      <c r="G6" s="2918" t="inlineStr">
        <is>
          <t>E27</t>
        </is>
      </c>
      <c r="H6" s="2919">
        <f>SUMIFS('DB_喪失'!$AP$2:$AP$3001,'DB_喪失'!$DB$2:$DB$3001,"①病院一般")</f>
        <v>125510000</v>
      </c>
      <c r="I6" s="2919" t="n">
        <v>125510000</v>
      </c>
      <c r="J6" s="2919">
        <f>H6-I6</f>
        <v>0</v>
      </c>
      <c r="K6" s="2918" t="str">
        <f>IF(AND(F6=0,J6=0),"一致","差あり")</f>
        <v>一致</v>
      </c>
      <c r="L6" s="2918" t="inlineStr">
        <is>
          <t>DB_喪失 区分①</t>
        </is>
      </c>
    </row>
    <row r="7">
      <c r="A7" s="2918" t="inlineStr">
        <is>
          <t>①病院一般</t>
        </is>
      </c>
      <c r="B7" s="2918" t="inlineStr">
        <is>
          <t>R7.4採用の平均標準報酬</t>
        </is>
      </c>
      <c r="C7" s="2918" t="inlineStr">
        <is>
          <t>(参考)</t>
        </is>
      </c>
      <c r="D7" s="2919">
        <f>COUNTIFS('DB_取得'!$DB$2:$DB$3001,"①病院一般",'DB_取得'!$DC$2:$DC$3001,1)</f>
        <v>206</v>
      </c>
      <c r="E7" s="2919" t="n">
        <v>206</v>
      </c>
      <c r="F7" s="2919">
        <f>D7-E7</f>
        <v>0</v>
      </c>
      <c r="G7" s="2918"/>
      <c r="H7" s="2919">
        <f>ROUND(SUMIFS('DB_取得'!$AP$2:$AP$3001,'DB_取得'!$DB$2:$DB$3001,"①病院一般",'DB_取得'!$DC$2:$DC$3001,1)/COUNTIFS('DB_取得'!$DB$2:$DB$3001,"①病院一般",'DB_取得'!$DC$2:$DC$3001,1),0)</f>
        <v>442282</v>
      </c>
      <c r="I7" s="2919" t="n">
        <v>442282</v>
      </c>
      <c r="J7" s="2919">
        <f>H7-I7</f>
        <v>0</v>
      </c>
      <c r="K7" s="2918" t="str">
        <f>IF(AND(F7=0,J7=0),"一致","差あり")</f>
        <v>一致</v>
      </c>
      <c r="L7" s="2918" t="inlineStr">
        <is>
          <t>DB_取得 区分①の基準日取得者の平均（円）</t>
        </is>
      </c>
    </row>
    <row r="8">
      <c r="A8" s="2918" t="inlineStr">
        <is>
          <t>①病院一般</t>
        </is>
      </c>
      <c r="B8" s="2918" t="inlineStr">
        <is>
          <t>4月新採（人数は聴取・報酬=人数×平均）</t>
        </is>
      </c>
      <c r="C8" s="2918" t="inlineStr">
        <is>
          <t>D28</t>
        </is>
      </c>
      <c r="D8" s="2919">
        <f>'DB_設定'!$C$12</f>
        <v>162</v>
      </c>
      <c r="E8" s="2919" t="n">
        <v>162</v>
      </c>
      <c r="F8" s="2919">
        <f>D8-E8</f>
        <v>0</v>
      </c>
      <c r="G8" s="2918" t="inlineStr">
        <is>
          <t>E28</t>
        </is>
      </c>
      <c r="H8" s="2919">
        <f>D8*H7</f>
        <v>71649684</v>
      </c>
      <c r="I8" s="2919" t="n">
        <v>71649684</v>
      </c>
      <c r="J8" s="2919">
        <f>H8-I8</f>
        <v>0</v>
      </c>
      <c r="K8" s="2918" t="str">
        <f>IF(AND(F8=0,J8=0),"一致","差あり")</f>
        <v>一致</v>
      </c>
      <c r="L8" s="2918" t="inlineStr">
        <is>
          <t>人数は聴取値（R8短期のD28）</t>
        </is>
      </c>
    </row>
    <row r="9">
      <c r="A9" s="2918" t="inlineStr">
        <is>
          <t>②病院短期</t>
        </is>
      </c>
      <c r="B9" s="2918" t="inlineStr">
        <is>
          <t>3月 普通退</t>
        </is>
      </c>
      <c r="C9" s="2918" t="inlineStr">
        <is>
          <t>N27</t>
        </is>
      </c>
      <c r="D9" s="2919">
        <f>COUNTIFS('DB_喪失'!$DB$2:$DB$3001,"②病院短期")</f>
        <v>113</v>
      </c>
      <c r="E9" s="2919" t="n">
        <v>113</v>
      </c>
      <c r="F9" s="2919">
        <f>D9-E9</f>
        <v>0</v>
      </c>
      <c r="G9" s="2918" t="inlineStr">
        <is>
          <t>O27</t>
        </is>
      </c>
      <c r="H9" s="2919">
        <f>SUMIFS('DB_喪失'!$AP$2:$AP$3001,'DB_喪失'!$DB$2:$DB$3001,"②病院短期")</f>
        <v>38738000</v>
      </c>
      <c r="I9" s="2919" t="n">
        <v>38738000</v>
      </c>
      <c r="J9" s="2919">
        <f>H9-I9</f>
        <v>0</v>
      </c>
      <c r="K9" s="2918" t="str">
        <f>IF(AND(F9=0,J9=0),"一致","差あり")</f>
        <v>一致</v>
      </c>
      <c r="L9" s="2918" t="inlineStr">
        <is>
          <t>DB_喪失 区分②</t>
        </is>
      </c>
    </row>
    <row r="10">
      <c r="A10" s="2918" t="inlineStr">
        <is>
          <t>②病院短期</t>
        </is>
      </c>
      <c r="B10" s="2918" t="inlineStr">
        <is>
          <t>4月採用 (R7.4実績)</t>
        </is>
      </c>
      <c r="C10" s="2918" t="inlineStr">
        <is>
          <t>N28</t>
        </is>
      </c>
      <c r="D10" s="2919">
        <f>COUNTIFS('DB_取得'!$DB$2:$DB$3001,"②病院短期",'DB_取得'!$DC$2:$DC$3001,1)</f>
        <v>129</v>
      </c>
      <c r="E10" s="2919" t="n">
        <v>129</v>
      </c>
      <c r="F10" s="2919">
        <f>D10-E10</f>
        <v>0</v>
      </c>
      <c r="G10" s="2918" t="inlineStr">
        <is>
          <t>O28</t>
        </is>
      </c>
      <c r="H10" s="2919">
        <f>SUMIFS('DB_取得'!$AP$2:$AP$3001,'DB_取得'!$DB$2:$DB$3001,"②病院短期",'DB_取得'!$DC$2:$DC$3001,1)</f>
        <v>63790000</v>
      </c>
      <c r="I10" s="2919" t="n">
        <v>63790000</v>
      </c>
      <c r="J10" s="2919">
        <f>H10-I10</f>
        <v>0</v>
      </c>
      <c r="K10" s="2918" t="str">
        <f>IF(AND(F10=0,J10=0),"一致","差あり")</f>
        <v>一致</v>
      </c>
      <c r="L10" s="2918" t="inlineStr">
        <is>
          <t>DB_取得 区分②の基準日取得者</t>
        </is>
      </c>
    </row>
    <row r="11">
      <c r="A11" s="2918" t="inlineStr">
        <is>
          <t>③特定消防</t>
        </is>
      </c>
      <c r="B11" s="2918" t="inlineStr">
        <is>
          <t>3月 定年延長者 3割減</t>
        </is>
      </c>
      <c r="C11" s="2918" t="inlineStr">
        <is>
          <t>S26</t>
        </is>
      </c>
      <c r="D11" s="2919">
        <f>ROUND(COUNTIFS('DB_定年R8'!$DB$2:$DB$3001,"消防")*'DB_設定'!$C$7,0)</f>
        <v>11</v>
      </c>
      <c r="E11" s="2919" t="n">
        <v>11</v>
      </c>
      <c r="F11" s="2919">
        <f>D11-E11</f>
        <v>0</v>
      </c>
      <c r="G11" s="2918" t="inlineStr">
        <is>
          <t>T26</t>
        </is>
      </c>
      <c r="H11" s="2919">
        <f>ROUND(SUMIFS('DB_定年R8'!$AP$2:$AP$3001,'DB_定年R8'!$DB$2:$DB$3001,"消防")*'DB_設定'!$C$7*'DB_設定'!$C$8,0)</f>
        <v>1977800</v>
      </c>
      <c r="I11" s="2919" t="n">
        <v>1977800</v>
      </c>
      <c r="J11" s="2919">
        <f>H11-I11</f>
        <v>0</v>
      </c>
      <c r="K11" s="2918" t="str">
        <f>IF(AND(F11=0,J11=0),"一致","差あり")</f>
        <v>一致</v>
      </c>
      <c r="L11" s="2918" t="inlineStr">
        <is>
          <t>DB_定年R8の消防在職者</t>
        </is>
      </c>
    </row>
    <row r="12">
      <c r="A12" s="2918" t="inlineStr">
        <is>
          <t>③特定消防</t>
        </is>
      </c>
      <c r="B12" s="2918" t="inlineStr">
        <is>
          <t>3月 普通退</t>
        </is>
      </c>
      <c r="C12" s="2918" t="inlineStr">
        <is>
          <t>S27</t>
        </is>
      </c>
      <c r="D12" s="2919">
        <f>COUNTIFS('DB_喪失'!$DB$2:$DB$3001,"③特定消防")</f>
        <v>32</v>
      </c>
      <c r="E12" s="2919" t="n">
        <v>32</v>
      </c>
      <c r="F12" s="2919">
        <f>D12-E12</f>
        <v>0</v>
      </c>
      <c r="G12" s="2918" t="inlineStr">
        <is>
          <t>T27</t>
        </is>
      </c>
      <c r="H12" s="2919">
        <f>SUMIFS('DB_喪失'!$AP$2:$AP$3001,'DB_喪失'!$DB$2:$DB$3001,"③特定消防")</f>
        <v>12100000</v>
      </c>
      <c r="I12" s="2919" t="n">
        <v>12100000</v>
      </c>
      <c r="J12" s="2919">
        <f>H12-I12</f>
        <v>0</v>
      </c>
      <c r="K12" s="2918" t="str">
        <f>IF(AND(F12=0,J12=0),"一致","差あり")</f>
        <v>一致</v>
      </c>
      <c r="L12" s="2918" t="inlineStr">
        <is>
          <t>DB_喪失 区分③</t>
        </is>
      </c>
    </row>
    <row r="13">
      <c r="A13" s="2918" t="inlineStr">
        <is>
          <t>③特定消防</t>
        </is>
      </c>
      <c r="B13" s="2918" t="inlineStr">
        <is>
          <t>R7.4採用の平均標準報酬</t>
        </is>
      </c>
      <c r="C13" s="2918" t="inlineStr">
        <is>
          <t>(参考)</t>
        </is>
      </c>
      <c r="D13" s="2919">
        <f>COUNTIFS('DB_取得'!$DB$2:$DB$3001,"③特定消防",'DB_取得'!$DC$2:$DC$3001,1)</f>
        <v>53</v>
      </c>
      <c r="E13" s="2919" t="n">
        <v>53</v>
      </c>
      <c r="F13" s="2919">
        <f>D13-E13</f>
        <v>0</v>
      </c>
      <c r="G13" s="2918"/>
      <c r="H13" s="2919">
        <f>ROUND(SUMIFS('DB_取得'!$AP$2:$AP$3001,'DB_取得'!$DB$2:$DB$3001,"③特定消防",'DB_取得'!$DC$2:$DC$3001,1)/COUNTIFS('DB_取得'!$DB$2:$DB$3001,"③特定消防",'DB_取得'!$DC$2:$DC$3001,1),0)</f>
        <v>260377</v>
      </c>
      <c r="I13" s="2919" t="n">
        <v>260377</v>
      </c>
      <c r="J13" s="2919">
        <f>H13-I13</f>
        <v>0</v>
      </c>
      <c r="K13" s="2918" t="str">
        <f>IF(AND(F13=0,J13=0),"一致","差あり")</f>
        <v>一致</v>
      </c>
      <c r="L13" s="2918" t="inlineStr">
        <is>
          <t>DB_取得 区分③の基準日取得者の平均（円）</t>
        </is>
      </c>
    </row>
    <row r="14">
      <c r="A14" s="2918" t="inlineStr">
        <is>
          <t>③特定消防</t>
        </is>
      </c>
      <c r="B14" s="2918" t="inlineStr">
        <is>
          <t>4月新採（人数は聴取・報酬=人数×平均）</t>
        </is>
      </c>
      <c r="C14" s="2918" t="inlineStr">
        <is>
          <t>S28</t>
        </is>
      </c>
      <c r="D14" s="2919">
        <f>'DB_設定'!$C$13</f>
        <v>38</v>
      </c>
      <c r="E14" s="2919" t="n">
        <v>38</v>
      </c>
      <c r="F14" s="2919">
        <f>D14-E14</f>
        <v>0</v>
      </c>
      <c r="G14" s="2918" t="inlineStr">
        <is>
          <t>T28</t>
        </is>
      </c>
      <c r="H14" s="2919">
        <f>D14*H13</f>
        <v>9894326</v>
      </c>
      <c r="I14" s="2919" t="n">
        <v>9894326</v>
      </c>
      <c r="J14" s="2919">
        <f>H14-I14</f>
        <v>0</v>
      </c>
      <c r="K14" s="2918" t="str">
        <f>IF(AND(F14=0,J14=0),"一致","差あり")</f>
        <v>一致</v>
      </c>
      <c r="L14" s="2918" t="inlineStr">
        <is>
          <t>人数は聴取値（R8短期のS28）</t>
        </is>
      </c>
    </row>
    <row r="15">
      <c r="A15" s="2918" t="inlineStr">
        <is>
          <t>④一般(専従・病院以外)</t>
        </is>
      </c>
      <c r="B15" s="2918" t="inlineStr">
        <is>
          <t>3月 定年延長者 3割減</t>
        </is>
      </c>
      <c r="C15" s="2918" t="inlineStr">
        <is>
          <t>D36</t>
        </is>
      </c>
      <c r="D15" s="2919">
        <f>ROUND(COUNTIFS('DB_定年R8'!$DB$2:$DB$3001,"市長")*'DB_設定'!$C$7,0)</f>
        <v>141</v>
      </c>
      <c r="E15" s="2919" t="n">
        <v>141</v>
      </c>
      <c r="F15" s="2919">
        <f>D15-E15</f>
        <v>0</v>
      </c>
      <c r="G15" s="2918" t="inlineStr">
        <is>
          <t>E36</t>
        </is>
      </c>
      <c r="H15" s="2919">
        <f>ROUND(SUMIFS('DB_定年R8'!$AP$2:$AP$3001,'DB_定年R8'!$DB$2:$DB$3001,"市長")*'DB_設定'!$C$7*'DB_設定'!$C$8,0)</f>
        <v>25443000</v>
      </c>
      <c r="I15" s="2919" t="n">
        <v>25443000</v>
      </c>
      <c r="J15" s="2919">
        <f>H15-I15</f>
        <v>0</v>
      </c>
      <c r="K15" s="2918" t="str">
        <f>IF(AND(F15=0,J15=0),"一致","差あり")</f>
        <v>一致</v>
      </c>
      <c r="L15" s="2918" t="inlineStr">
        <is>
          <t>DB_定年R8の市長部局在職者</t>
        </is>
      </c>
    </row>
    <row r="16">
      <c r="A16" s="2918" t="inlineStr">
        <is>
          <t>④一般(専従・病院以外)</t>
        </is>
      </c>
      <c r="B16" s="2918" t="inlineStr">
        <is>
          <t>3月 普通退</t>
        </is>
      </c>
      <c r="C16" s="2918" t="inlineStr">
        <is>
          <t>D37</t>
        </is>
      </c>
      <c r="D16" s="2919">
        <f>COUNTIFS('DB_喪失'!$DB$2:$DB$3001,"④一般")</f>
        <v>352</v>
      </c>
      <c r="E16" s="2919" t="n">
        <v>352</v>
      </c>
      <c r="F16" s="2919">
        <f>D16-E16</f>
        <v>0</v>
      </c>
      <c r="G16" s="2918" t="inlineStr">
        <is>
          <t>E37</t>
        </is>
      </c>
      <c r="H16" s="2919">
        <f>SUMIFS('DB_喪失'!$AP$2:$AP$3001,'DB_喪失'!$DB$2:$DB$3001,"④一般")</f>
        <v>146570000</v>
      </c>
      <c r="I16" s="2919" t="n">
        <v>146570000</v>
      </c>
      <c r="J16" s="2919">
        <f>H16-I16</f>
        <v>0</v>
      </c>
      <c r="K16" s="2918" t="str">
        <f>IF(AND(F16=0,J16=0),"一致","差あり")</f>
        <v>一致</v>
      </c>
      <c r="L16" s="2918" t="inlineStr">
        <is>
          <t>DB_喪失 区分④</t>
        </is>
      </c>
    </row>
    <row r="17">
      <c r="A17" s="2918" t="inlineStr">
        <is>
          <t>④一般(専従・病院以外)</t>
        </is>
      </c>
      <c r="B17" s="2918" t="inlineStr">
        <is>
          <t>R7.4採用の平均標準報酬</t>
        </is>
      </c>
      <c r="C17" s="2918" t="inlineStr">
        <is>
          <t>(参考)</t>
        </is>
      </c>
      <c r="D17" s="2919">
        <f>IF('DB_設定'!$C$9=1,COUNTIFS('DB_取得'!$DB$2:$DB$3001,"④一般",'DB_取得'!$DC$2:$DC$3001,1),COUNTIFS('DB_取得'!$DB$2:$DB$3001,"④一般"))</f>
        <v>418</v>
      </c>
      <c r="E17" s="2919" t="n">
        <v>418</v>
      </c>
      <c r="F17" s="2919">
        <f>D17-E17</f>
        <v>0</v>
      </c>
      <c r="G17" s="2918"/>
      <c r="H17" s="2919">
        <f>ROUND(IF('DB_設定'!$C$9=1,SUMIFS('DB_取得'!$AP$2:$AP$3001,'DB_取得'!$DB$2:$DB$3001,"④一般",'DB_取得'!$DC$2:$DC$3001,1)/COUNTIFS('DB_取得'!$DB$2:$DB$3001,"④一般",'DB_取得'!$DC$2:$DC$3001,1),SUMIFS('DB_取得'!$AP$2:$AP$3001,'DB_取得'!$DB$2:$DB$3001,"④一般")/COUNTIFS('DB_取得'!$DB$2:$DB$3001,"④一般")),0)</f>
        <v>303278</v>
      </c>
      <c r="I17" s="2919" t="n">
        <v>303278</v>
      </c>
      <c r="J17" s="2919">
        <f>H17-I17</f>
        <v>0</v>
      </c>
      <c r="K17" s="2918" t="str">
        <f>IF(AND(F17=0,J17=0),"一致","差あり")</f>
        <v>一致</v>
      </c>
      <c r="L17" s="2918" t="inlineStr">
        <is>
          <t>DB_設定C9で 1=4/1のみ／2=全期間（確定版は全期間）</t>
        </is>
      </c>
    </row>
    <row r="18">
      <c r="A18" s="2918" t="inlineStr">
        <is>
          <t>④一般(専従・病院以外)</t>
        </is>
      </c>
      <c r="B18" s="2918" t="inlineStr">
        <is>
          <t>4月新採（人数は聴取・報酬=人数×平均）</t>
        </is>
      </c>
      <c r="C18" s="2918" t="inlineStr">
        <is>
          <t>D38</t>
        </is>
      </c>
      <c r="D18" s="2919">
        <f>'DB_設定'!$C$14</f>
        <v>322</v>
      </c>
      <c r="E18" s="2919" t="n">
        <v>322</v>
      </c>
      <c r="F18" s="2919">
        <f>D18-E18</f>
        <v>0</v>
      </c>
      <c r="G18" s="2918" t="inlineStr">
        <is>
          <t>E38</t>
        </is>
      </c>
      <c r="H18" s="2919">
        <f>D18*H17</f>
        <v>97655516</v>
      </c>
      <c r="I18" s="2919" t="n">
        <v>97655516</v>
      </c>
      <c r="J18" s="2919">
        <f>H18-I18</f>
        <v>0</v>
      </c>
      <c r="K18" s="2918" t="str">
        <f>IF(AND(F18=0,J18=0),"一致","差あり")</f>
        <v>一致</v>
      </c>
      <c r="L18" s="2918" t="inlineStr">
        <is>
          <t>人数は聴取値（R8短期のD38）</t>
        </is>
      </c>
    </row>
    <row r="19">
      <c r="A19" s="2918" t="inlineStr">
        <is>
          <t>⑤短期(専従・病院以外)</t>
        </is>
      </c>
      <c r="B19" s="2918" t="inlineStr">
        <is>
          <t>3月 普通退</t>
        </is>
      </c>
      <c r="C19" s="2918" t="inlineStr">
        <is>
          <t>N37</t>
        </is>
      </c>
      <c r="D19" s="2919">
        <f>COUNTIFS('DB_喪失'!$DB$2:$DB$3001,"⑤短期")</f>
        <v>352</v>
      </c>
      <c r="E19" s="2919" t="n">
        <v>352</v>
      </c>
      <c r="F19" s="2919">
        <f>D19-E19</f>
        <v>0</v>
      </c>
      <c r="G19" s="2918" t="inlineStr">
        <is>
          <t>O37</t>
        </is>
      </c>
      <c r="H19" s="2919">
        <f>SUMIFS('DB_喪失'!$AP$2:$AP$3001,'DB_喪失'!$DB$2:$DB$3001,"⑤短期")</f>
        <v>60070000</v>
      </c>
      <c r="I19" s="2919" t="n">
        <v>60070000</v>
      </c>
      <c r="J19" s="2919">
        <f>H19-I19</f>
        <v>0</v>
      </c>
      <c r="K19" s="2918" t="str">
        <f>IF(AND(F19=0,J19=0),"一致","差あり")</f>
        <v>一致</v>
      </c>
      <c r="L19" s="2918" t="inlineStr">
        <is>
          <t>DB_喪失 区分⑤</t>
        </is>
      </c>
    </row>
    <row r="20">
      <c r="A20" s="2918" t="inlineStr">
        <is>
          <t>⑤短期(専従・病院以外)</t>
        </is>
      </c>
      <c r="B20" s="2918" t="inlineStr">
        <is>
          <t>4月採用 (R7.4実績)</t>
        </is>
      </c>
      <c r="C20" s="2918" t="inlineStr">
        <is>
          <t>N38</t>
        </is>
      </c>
      <c r="D20" s="2919">
        <f>COUNTIFS('DB_取得'!$DB$2:$DB$3001,"⑤短期",'DB_取得'!$DC$2:$DC$3001,1)</f>
        <v>392</v>
      </c>
      <c r="E20" s="2919" t="n">
        <v>392</v>
      </c>
      <c r="F20" s="2919">
        <f>D20-E20</f>
        <v>0</v>
      </c>
      <c r="G20" s="2918" t="inlineStr">
        <is>
          <t>O38</t>
        </is>
      </c>
      <c r="H20" s="2919">
        <f>SUMIFS('DB_取得'!$AP$2:$AP$3001,'DB_取得'!$DB$2:$DB$3001,"⑤短期",'DB_取得'!$DC$2:$DC$3001,1)</f>
        <v>75136000</v>
      </c>
      <c r="I20" s="2919" t="n">
        <v>75136000</v>
      </c>
      <c r="J20" s="2919">
        <f>H20-I20</f>
        <v>0</v>
      </c>
      <c r="K20" s="2918" t="str">
        <f>IF(AND(F20=0,J20=0),"一致","差あり")</f>
        <v>一致</v>
      </c>
      <c r="L20" s="2918" t="inlineStr">
        <is>
          <t>DB_取得 区分⑤の基準日取得者</t>
        </is>
      </c>
    </row>
    <row r="22">
      <c r="A22" s="2911" t="inlineStr">
        <is>
          <t>判定まとめ</t>
        </is>
      </c>
      <c r="B22" s="2911" t="str">
        <f>IF(COUNTIF(K5:K20,"差あり")=0,"全項目一致","差あり "&amp;COUNTIF(K5:K20,"差あり")&amp;" 件（下の備考参照）")</f>
        <v>全項目一致</v>
      </c>
    </row>
    <row r="24">
      <c r="A24" s="2911" t="inlineStr">
        <is>
          <t>参考：定年延長率の根拠（R6年度末60歳到達者）</t>
        </is>
      </c>
    </row>
    <row r="25">
      <c r="A25" t="inlineStr" s="2909">
        <is>
          <t>在職(21・喪失日なし)</t>
        </is>
      </c>
      <c r="D25" s="2920">
        <f>COUNTIF('DB_定年R7'!$DB$2:$DB$3001,"在職")</f>
        <v>171</v>
      </c>
      <c r="H25" s="2920" t="n"/>
    </row>
    <row r="26">
      <c r="A26" t="inlineStr" s="2909">
        <is>
          <t>4/1喪失(21)</t>
        </is>
      </c>
      <c r="D26" s="2920">
        <f>COUNTIF('DB_定年R7'!$DB$2:$DB$3001,"4/1喪失")</f>
        <v>87</v>
      </c>
      <c r="H26" s="2920" t="n"/>
    </row>
    <row r="27">
      <c r="A27" t="inlineStr" s="2909">
        <is>
          <t>延長率</t>
        </is>
      </c>
      <c r="D27" s="2921">
        <f>D25/(D25+D26)</f>
        <v>0.662790697674419</v>
      </c>
    </row>
    <row r="29">
      <c r="A29" s="2911" t="inlineStr">
        <is>
          <t>参考：④一般の平均標準報酬（取得者）</t>
        </is>
      </c>
    </row>
    <row r="30">
      <c r="A30" t="inlineStr" s="2909">
        <is>
          <t>4/1取得のみ</t>
        </is>
      </c>
      <c r="D30" s="2920">
        <f>COUNTIFS('DB_取得'!$DB$2:$DB$3001,"④一般",'DB_取得'!$DC$2:$DC$3001,1)</f>
        <v>409</v>
      </c>
      <c r="H30" s="2920">
        <f>ROUND(SUMIFS('DB_取得'!$AP$2:$AP$3001,'DB_取得'!$DB$2:$DB$3001,"④一般",'DB_取得'!$DC$2:$DC$3001,1)/COUNTIFS('DB_取得'!$DB$2:$DB$3001,"④一般",'DB_取得'!$DC$2:$DC$3001,1),0)</f>
        <v>302152</v>
      </c>
    </row>
    <row r="31">
      <c r="A31" t="inlineStr" s="2909">
        <is>
          <t>全期間</t>
        </is>
      </c>
      <c r="D31" s="2920">
        <f>COUNTIFS('DB_取得'!$DB$2:$DB$3001,"④一般")</f>
        <v>418</v>
      </c>
      <c r="H31" s="2920">
        <f>ROUND(SUMIFS('DB_取得'!$AP$2:$AP$3001,'DB_取得'!$DB$2:$DB$3001,"④一般")/COUNTIFS('DB_取得'!$DB$2:$DB$3001,"④一般"),0)</f>
        <v>303278</v>
      </c>
    </row>
  </sheetData>
  <conditionalFormatting sqref="A5:L20">
    <cfRule type="expression" priority="1" dxfId="0">
      <formula>$K5="差あり"</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24</v>
      </c>
      <c r="AB2" t="inlineStr" s="2909">
        <is>
          <t>20250701</t>
        </is>
      </c>
      <c r="AD2" t="n" s="2909">
        <v>0</v>
      </c>
      <c r="AE2" t="inlineStr" s="2909">
        <is>
          <t>00000000</t>
        </is>
      </c>
      <c r="AH2" t="n" s="2909">
        <v>1</v>
      </c>
      <c r="AJ2" t="n" s="2909">
        <v>11</v>
      </c>
      <c r="AP2" t="n" s="2909">
        <v>1090000</v>
      </c>
      <c r="DB2" s="2909" t="str">
        <f>IF($A2="","",IF($AH2=20,IF(AND(OR($A2=21,$A2=215),$AJ2=10),"①病院一般",IF(AND($A2=31,$AJ2=41),"②病院短期","対象外")),IF($AJ2=30,"③特定消防",IF(AND(OR($A2=21,$A2=215),$AJ2=10),"④一般",IF(AND($A2=31,$AJ2=41),"⑤短期","対象外")))))</f>
        <v>対象外</v>
      </c>
      <c r="DC2" s="2909">
        <f>IF($A2="","",IF($AB2&amp;""='DB_設定'!$C$4,1,0))</f>
        <v>0</v>
      </c>
    </row>
    <row r="3">
      <c r="A3" t="n" s="2909">
        <v>21</v>
      </c>
      <c r="AA3" t="n" s="2909">
        <v>24</v>
      </c>
      <c r="AB3" t="inlineStr" s="2909">
        <is>
          <t>20250401</t>
        </is>
      </c>
      <c r="AD3" t="n" s="2909">
        <v>0</v>
      </c>
      <c r="AE3" t="inlineStr" s="2909">
        <is>
          <t>00000000</t>
        </is>
      </c>
      <c r="AH3" t="n" s="2909">
        <v>1</v>
      </c>
      <c r="AJ3" t="n" s="2909">
        <v>10</v>
      </c>
      <c r="AP3" t="n" s="2909">
        <v>590000</v>
      </c>
      <c r="DB3" s="2909" t="str">
        <f>IF($A3="","",IF($AH3=20,IF(AND(OR($A3=21,$A3=215),$AJ3=10),"①病院一般",IF(AND($A3=31,$AJ3=41),"②病院短期","対象外")),IF($AJ3=30,"③特定消防",IF(AND(OR($A3=21,$A3=215),$AJ3=10),"④一般",IF(AND($A3=31,$AJ3=41),"⑤短期","対象外")))))</f>
        <v>④一般</v>
      </c>
      <c r="DC3" s="2909">
        <f>IF($A3="","",IF($AB3&amp;""='DB_設定'!$C$4,1,0))</f>
        <v>1</v>
      </c>
    </row>
    <row r="4">
      <c r="A4" t="n" s="2909">
        <v>21</v>
      </c>
      <c r="AA4" t="n" s="2909">
        <v>21</v>
      </c>
      <c r="AB4" t="inlineStr" s="2909">
        <is>
          <t>20250401</t>
        </is>
      </c>
      <c r="AD4" t="n" s="2909">
        <v>0</v>
      </c>
      <c r="AE4" t="inlineStr" s="2909">
        <is>
          <t>00000000</t>
        </is>
      </c>
      <c r="AH4" t="n" s="2909">
        <v>11</v>
      </c>
      <c r="AJ4" t="n" s="2909">
        <v>10</v>
      </c>
      <c r="AP4" t="n" s="2909">
        <v>650000</v>
      </c>
      <c r="DB4" s="2909" t="str">
        <f>IF($A4="","",IF($AH4=20,IF(AND(OR($A4=21,$A4=215),$AJ4=10),"①病院一般",IF(AND($A4=31,$AJ4=41),"②病院短期","対象外")),IF($AJ4=30,"③特定消防",IF(AND(OR($A4=21,$A4=215),$AJ4=10),"④一般",IF(AND($A4=31,$AJ4=41),"⑤短期","対象外")))))</f>
        <v>④一般</v>
      </c>
      <c r="DC4" s="2909">
        <f>IF($A4="","",IF($AB4&amp;""='DB_設定'!$C$4,1,0))</f>
        <v>1</v>
      </c>
    </row>
    <row r="5">
      <c r="A5" t="n" s="2909">
        <v>21</v>
      </c>
      <c r="AA5" t="n" s="2909">
        <v>24</v>
      </c>
      <c r="AB5" t="inlineStr" s="2909">
        <is>
          <t>20250401</t>
        </is>
      </c>
      <c r="AD5" t="n" s="2909">
        <v>0</v>
      </c>
      <c r="AE5" t="inlineStr" s="2909">
        <is>
          <t>00000000</t>
        </is>
      </c>
      <c r="AH5" t="n" s="2909">
        <v>1</v>
      </c>
      <c r="AJ5" t="n" s="2909">
        <v>10</v>
      </c>
      <c r="AP5" t="n" s="2909">
        <v>440000</v>
      </c>
      <c r="DB5" s="2909" t="str">
        <f>IF($A5="","",IF($AH5=20,IF(AND(OR($A5=21,$A5=215),$AJ5=10),"①病院一般",IF(AND($A5=31,$AJ5=41),"②病院短期","対象外")),IF($AJ5=30,"③特定消防",IF(AND(OR($A5=21,$A5=215),$AJ5=10),"④一般",IF(AND($A5=31,$AJ5=41),"⑤短期","対象外")))))</f>
        <v>④一般</v>
      </c>
      <c r="DC5" s="2909">
        <f>IF($A5="","",IF($AB5&amp;""='DB_設定'!$C$4,1,0))</f>
        <v>1</v>
      </c>
    </row>
    <row r="6">
      <c r="A6" t="n" s="2909">
        <v>21</v>
      </c>
      <c r="AA6" t="n" s="2909">
        <v>24</v>
      </c>
      <c r="AB6" t="inlineStr" s="2909">
        <is>
          <t>20250401</t>
        </is>
      </c>
      <c r="AD6" t="n" s="2909">
        <v>0</v>
      </c>
      <c r="AE6" t="inlineStr" s="2909">
        <is>
          <t>00000000</t>
        </is>
      </c>
      <c r="AH6" t="n" s="2909">
        <v>20</v>
      </c>
      <c r="AJ6" t="n" s="2909">
        <v>10</v>
      </c>
      <c r="AP6" t="n" s="2909">
        <v>320000</v>
      </c>
      <c r="DB6" s="2909" t="str">
        <f>IF($A6="","",IF($AH6=20,IF(AND(OR($A6=21,$A6=215),$AJ6=10),"①病院一般",IF(AND($A6=31,$AJ6=41),"②病院短期","対象外")),IF($AJ6=30,"③特定消防",IF(AND(OR($A6=21,$A6=215),$AJ6=10),"④一般",IF(AND($A6=31,$AJ6=41),"⑤短期","対象外")))))</f>
        <v>①病院一般</v>
      </c>
      <c r="DC6" s="2909">
        <f>IF($A6="","",IF($AB6&amp;""='DB_設定'!$C$4,1,0))</f>
        <v>1</v>
      </c>
    </row>
    <row r="7">
      <c r="A7" t="n" s="2909">
        <v>21</v>
      </c>
      <c r="AA7" t="n" s="2909">
        <v>21</v>
      </c>
      <c r="AB7" t="inlineStr" s="2909">
        <is>
          <t>20250401</t>
        </is>
      </c>
      <c r="AD7" t="n" s="2909">
        <v>0</v>
      </c>
      <c r="AE7" t="inlineStr" s="2909">
        <is>
          <t>00000000</t>
        </is>
      </c>
      <c r="AH7" t="n" s="2909">
        <v>11</v>
      </c>
      <c r="AJ7" t="n" s="2909">
        <v>10</v>
      </c>
      <c r="AP7" t="n" s="2909">
        <v>470000</v>
      </c>
      <c r="DB7" s="2909" t="str">
        <f>IF($A7="","",IF($AH7=20,IF(AND(OR($A7=21,$A7=215),$AJ7=10),"①病院一般",IF(AND($A7=31,$AJ7=41),"②病院短期","対象外")),IF($AJ7=30,"③特定消防",IF(AND(OR($A7=21,$A7=215),$AJ7=10),"④一般",IF(AND($A7=31,$AJ7=41),"⑤短期","対象外")))))</f>
        <v>④一般</v>
      </c>
      <c r="DC7" s="2909">
        <f>IF($A7="","",IF($AB7&amp;""='DB_設定'!$C$4,1,0))</f>
        <v>1</v>
      </c>
    </row>
    <row r="8">
      <c r="A8" t="n" s="2909">
        <v>21</v>
      </c>
      <c r="AA8" t="n" s="2909">
        <v>21</v>
      </c>
      <c r="AB8" t="inlineStr" s="2909">
        <is>
          <t>20250401</t>
        </is>
      </c>
      <c r="AD8" t="n" s="2909">
        <v>0</v>
      </c>
      <c r="AE8" t="inlineStr" s="2909">
        <is>
          <t>00000000</t>
        </is>
      </c>
      <c r="AH8" t="n" s="2909">
        <v>32</v>
      </c>
      <c r="AJ8" t="n" s="2909">
        <v>74</v>
      </c>
      <c r="AP8" t="n" s="2909">
        <v>440000</v>
      </c>
      <c r="DB8" s="2909" t="str">
        <f>IF($A8="","",IF($AH8=20,IF(AND(OR($A8=21,$A8=215),$AJ8=10),"①病院一般",IF(AND($A8=31,$AJ8=41),"②病院短期","対象外")),IF($AJ8=30,"③特定消防",IF(AND(OR($A8=21,$A8=215),$AJ8=10),"④一般",IF(AND($A8=31,$AJ8=41),"⑤短期","対象外")))))</f>
        <v>対象外</v>
      </c>
      <c r="DC8" s="2909">
        <f>IF($A8="","",IF($AB8&amp;""='DB_設定'!$C$4,1,0))</f>
        <v>1</v>
      </c>
    </row>
    <row r="9">
      <c r="A9" t="n" s="2909">
        <v>21</v>
      </c>
      <c r="AA9" t="n" s="2909">
        <v>24</v>
      </c>
      <c r="AB9" t="inlineStr" s="2909">
        <is>
          <t>20250401</t>
        </is>
      </c>
      <c r="AD9" t="n" s="2909">
        <v>0</v>
      </c>
      <c r="AE9" t="inlineStr" s="2909">
        <is>
          <t>00000000</t>
        </is>
      </c>
      <c r="AH9" t="n" s="2909">
        <v>1</v>
      </c>
      <c r="AJ9" t="n" s="2909">
        <v>10</v>
      </c>
      <c r="AP9" t="n" s="2909">
        <v>410000</v>
      </c>
      <c r="DB9" s="2909" t="str">
        <f>IF($A9="","",IF($AH9=20,IF(AND(OR($A9=21,$A9=215),$AJ9=10),"①病院一般",IF(AND($A9=31,$AJ9=41),"②病院短期","対象外")),IF($AJ9=30,"③特定消防",IF(AND(OR($A9=21,$A9=215),$AJ9=10),"④一般",IF(AND($A9=31,$AJ9=41),"⑤短期","対象外")))))</f>
        <v>④一般</v>
      </c>
      <c r="DC9" s="2909">
        <f>IF($A9="","",IF($AB9&amp;""='DB_設定'!$C$4,1,0))</f>
        <v>1</v>
      </c>
    </row>
    <row r="10">
      <c r="A10" t="n" s="2909">
        <v>21</v>
      </c>
      <c r="AA10" t="n" s="2909">
        <v>21</v>
      </c>
      <c r="AB10" t="inlineStr" s="2909">
        <is>
          <t>20250401</t>
        </is>
      </c>
      <c r="AD10" t="n" s="2909">
        <v>0</v>
      </c>
      <c r="AE10" t="inlineStr" s="2909">
        <is>
          <t>00000000</t>
        </is>
      </c>
      <c r="AH10" t="n" s="2909">
        <v>11</v>
      </c>
      <c r="AJ10" t="n" s="2909">
        <v>10</v>
      </c>
      <c r="AP10" t="n" s="2909">
        <v>500000</v>
      </c>
      <c r="DB10" s="2909" t="str">
        <f>IF($A10="","",IF($AH10=20,IF(AND(OR($A10=21,$A10=215),$AJ10=10),"①病院一般",IF(AND($A10=31,$AJ10=41),"②病院短期","対象外")),IF($AJ10=30,"③特定消防",IF(AND(OR($A10=21,$A10=215),$AJ10=10),"④一般",IF(AND($A10=31,$AJ10=41),"⑤短期","対象外")))))</f>
        <v>④一般</v>
      </c>
      <c r="DC10" s="2909">
        <f>IF($A10="","",IF($AB10&amp;""='DB_設定'!$C$4,1,0))</f>
        <v>1</v>
      </c>
    </row>
    <row r="11">
      <c r="A11" t="n" s="2909">
        <v>21</v>
      </c>
      <c r="AA11" t="n" s="2909">
        <v>24</v>
      </c>
      <c r="AB11" t="inlineStr" s="2909">
        <is>
          <t>20250401</t>
        </is>
      </c>
      <c r="AD11" t="n" s="2909">
        <v>0</v>
      </c>
      <c r="AE11" t="inlineStr" s="2909">
        <is>
          <t>00000000</t>
        </is>
      </c>
      <c r="AH11" t="n" s="2909">
        <v>11</v>
      </c>
      <c r="AJ11" t="n" s="2909">
        <v>10</v>
      </c>
      <c r="AP11" t="n" s="2909">
        <v>440000</v>
      </c>
      <c r="DB11" s="2909" t="str">
        <f>IF($A11="","",IF($AH11=20,IF(AND(OR($A11=21,$A11=215),$AJ11=10),"①病院一般",IF(AND($A11=31,$AJ11=41),"②病院短期","対象外")),IF($AJ11=30,"③特定消防",IF(AND(OR($A11=21,$A11=215),$AJ11=10),"④一般",IF(AND($A11=31,$AJ11=41),"⑤短期","対象外")))))</f>
        <v>④一般</v>
      </c>
      <c r="DC11" s="2909">
        <f>IF($A11="","",IF($AB11&amp;""='DB_設定'!$C$4,1,0))</f>
        <v>1</v>
      </c>
    </row>
    <row r="12">
      <c r="A12" t="n" s="2909">
        <v>21</v>
      </c>
      <c r="AA12" t="n" s="2909">
        <v>21</v>
      </c>
      <c r="AB12" t="inlineStr" s="2909">
        <is>
          <t>20250401</t>
        </is>
      </c>
      <c r="AD12" t="n" s="2909">
        <v>0</v>
      </c>
      <c r="AE12" t="inlineStr" s="2909">
        <is>
          <t>00000000</t>
        </is>
      </c>
      <c r="AH12" t="n" s="2909">
        <v>11</v>
      </c>
      <c r="AJ12" t="n" s="2909">
        <v>10</v>
      </c>
      <c r="AP12" t="n" s="2909">
        <v>410000</v>
      </c>
      <c r="DB12" s="2909" t="str">
        <f>IF($A12="","",IF($AH12=20,IF(AND(OR($A12=21,$A12=215),$AJ12=10),"①病院一般",IF(AND($A12=31,$AJ12=41),"②病院短期","対象外")),IF($AJ12=30,"③特定消防",IF(AND(OR($A12=21,$A12=215),$AJ12=10),"④一般",IF(AND($A12=31,$AJ12=41),"⑤短期","対象外")))))</f>
        <v>④一般</v>
      </c>
      <c r="DC12" s="2909">
        <f>IF($A12="","",IF($AB12&amp;""='DB_設定'!$C$4,1,0))</f>
        <v>1</v>
      </c>
    </row>
    <row r="13">
      <c r="A13" t="n" s="2909">
        <v>21</v>
      </c>
      <c r="AA13" t="n" s="2909">
        <v>21</v>
      </c>
      <c r="AB13" t="inlineStr" s="2909">
        <is>
          <t>20250401</t>
        </is>
      </c>
      <c r="AD13" t="n" s="2909">
        <v>0</v>
      </c>
      <c r="AE13" t="inlineStr" s="2909">
        <is>
          <t>00000000</t>
        </is>
      </c>
      <c r="AH13" t="n" s="2909">
        <v>11</v>
      </c>
      <c r="AJ13" t="n" s="2909">
        <v>10</v>
      </c>
      <c r="AP13" t="n" s="2909">
        <v>320000</v>
      </c>
      <c r="DB13" s="2909" t="str">
        <f>IF($A13="","",IF($AH13=20,IF(AND(OR($A13=21,$A13=215),$AJ13=10),"①病院一般",IF(AND($A13=31,$AJ13=41),"②病院短期","対象外")),IF($AJ13=30,"③特定消防",IF(AND(OR($A13=21,$A13=215),$AJ13=10),"④一般",IF(AND($A13=31,$AJ13=41),"⑤短期","対象外")))))</f>
        <v>④一般</v>
      </c>
      <c r="DC13" s="2909">
        <f>IF($A13="","",IF($AB13&amp;""='DB_設定'!$C$4,1,0))</f>
        <v>1</v>
      </c>
    </row>
    <row r="14">
      <c r="A14" t="n" s="2909">
        <v>21</v>
      </c>
      <c r="AA14" t="n" s="2909">
        <v>21</v>
      </c>
      <c r="AB14" t="inlineStr" s="2909">
        <is>
          <t>20250401</t>
        </is>
      </c>
      <c r="AD14" t="n" s="2909">
        <v>0</v>
      </c>
      <c r="AE14" t="inlineStr" s="2909">
        <is>
          <t>00000000</t>
        </is>
      </c>
      <c r="AH14" t="n" s="2909">
        <v>11</v>
      </c>
      <c r="AJ14" t="n" s="2909">
        <v>10</v>
      </c>
      <c r="AP14" t="n" s="2909">
        <v>440000</v>
      </c>
      <c r="DB14" s="2909" t="str">
        <f>IF($A14="","",IF($AH14=20,IF(AND(OR($A14=21,$A14=215),$AJ14=10),"①病院一般",IF(AND($A14=31,$AJ14=41),"②病院短期","対象外")),IF($AJ14=30,"③特定消防",IF(AND(OR($A14=21,$A14=215),$AJ14=10),"④一般",IF(AND($A14=31,$AJ14=41),"⑤短期","対象外")))))</f>
        <v>④一般</v>
      </c>
      <c r="DC14" s="2909">
        <f>IF($A14="","",IF($AB14&amp;""='DB_設定'!$C$4,1,0))</f>
        <v>1</v>
      </c>
    </row>
    <row r="15">
      <c r="A15" t="n" s="2909">
        <v>21</v>
      </c>
      <c r="AA15" t="n" s="2909">
        <v>21</v>
      </c>
      <c r="AB15" t="inlineStr" s="2909">
        <is>
          <t>20250401</t>
        </is>
      </c>
      <c r="AD15" t="n" s="2909">
        <v>0</v>
      </c>
      <c r="AE15" t="inlineStr" s="2909">
        <is>
          <t>00000000</t>
        </is>
      </c>
      <c r="AH15" t="n" s="2909">
        <v>11</v>
      </c>
      <c r="AJ15" t="n" s="2909">
        <v>10</v>
      </c>
      <c r="AP15" t="n" s="2909">
        <v>500000</v>
      </c>
      <c r="DB15" s="2909" t="str">
        <f>IF($A15="","",IF($AH15=20,IF(AND(OR($A15=21,$A15=215),$AJ15=10),"①病院一般",IF(AND($A15=31,$AJ15=41),"②病院短期","対象外")),IF($AJ15=30,"③特定消防",IF(AND(OR($A15=21,$A15=215),$AJ15=10),"④一般",IF(AND($A15=31,$AJ15=41),"⑤短期","対象外")))))</f>
        <v>④一般</v>
      </c>
      <c r="DC15" s="2909">
        <f>IF($A15="","",IF($AB15&amp;""='DB_設定'!$C$4,1,0))</f>
        <v>1</v>
      </c>
    </row>
    <row r="16">
      <c r="A16" t="n" s="2909">
        <v>21</v>
      </c>
      <c r="AA16" t="n" s="2909">
        <v>21</v>
      </c>
      <c r="AB16" t="inlineStr" s="2909">
        <is>
          <t>20250401</t>
        </is>
      </c>
      <c r="AD16" t="n" s="2909">
        <v>0</v>
      </c>
      <c r="AE16" t="inlineStr" s="2909">
        <is>
          <t>00000000</t>
        </is>
      </c>
      <c r="AH16" t="n" s="2909">
        <v>11</v>
      </c>
      <c r="AJ16" t="n" s="2909">
        <v>10</v>
      </c>
      <c r="AP16" t="n" s="2909">
        <v>380000</v>
      </c>
      <c r="DB16" s="2909" t="str">
        <f>IF($A16="","",IF($AH16=20,IF(AND(OR($A16=21,$A16=215),$AJ16=10),"①病院一般",IF(AND($A16=31,$AJ16=41),"②病院短期","対象外")),IF($AJ16=30,"③特定消防",IF(AND(OR($A16=21,$A16=215),$AJ16=10),"④一般",IF(AND($A16=31,$AJ16=41),"⑤短期","対象外")))))</f>
        <v>④一般</v>
      </c>
      <c r="DC16" s="2909">
        <f>IF($A16="","",IF($AB16&amp;""='DB_設定'!$C$4,1,0))</f>
        <v>1</v>
      </c>
    </row>
    <row r="17">
      <c r="A17" t="n" s="2909">
        <v>21</v>
      </c>
      <c r="AA17" t="n" s="2909">
        <v>24</v>
      </c>
      <c r="AB17" t="inlineStr" s="2909">
        <is>
          <t>20250701</t>
        </is>
      </c>
      <c r="AD17" t="n" s="2909">
        <v>0</v>
      </c>
      <c r="AE17" t="inlineStr" s="2909">
        <is>
          <t>00000000</t>
        </is>
      </c>
      <c r="AH17" t="n" s="2909">
        <v>1</v>
      </c>
      <c r="AJ17" t="n" s="2909">
        <v>10</v>
      </c>
      <c r="AP17" t="n" s="2909">
        <v>340000</v>
      </c>
      <c r="DB17" s="2909" t="str">
        <f>IF($A17="","",IF($AH17=20,IF(AND(OR($A17=21,$A17=215),$AJ17=10),"①病院一般",IF(AND($A17=31,$AJ17=41),"②病院短期","対象外")),IF($AJ17=30,"③特定消防",IF(AND(OR($A17=21,$A17=215),$AJ17=10),"④一般",IF(AND($A17=31,$AJ17=41),"⑤短期","対象外")))))</f>
        <v>④一般</v>
      </c>
      <c r="DC17" s="2909">
        <f>IF($A17="","",IF($AB17&amp;""='DB_設定'!$C$4,1,0))</f>
        <v>0</v>
      </c>
    </row>
    <row r="18">
      <c r="A18" t="n" s="2909">
        <v>21</v>
      </c>
      <c r="AA18" t="n" s="2909">
        <v>21</v>
      </c>
      <c r="AB18" t="inlineStr" s="2909">
        <is>
          <t>20250401</t>
        </is>
      </c>
      <c r="AD18" t="n" s="2909">
        <v>0</v>
      </c>
      <c r="AE18" t="inlineStr" s="2909">
        <is>
          <t>00000000</t>
        </is>
      </c>
      <c r="AH18" t="n" s="2909">
        <v>11</v>
      </c>
      <c r="AJ18" t="n" s="2909">
        <v>10</v>
      </c>
      <c r="AP18" t="n" s="2909">
        <v>300000</v>
      </c>
      <c r="DB18" s="2909" t="str">
        <f>IF($A18="","",IF($AH18=20,IF(AND(OR($A18=21,$A18=215),$AJ18=10),"①病院一般",IF(AND($A18=31,$AJ18=41),"②病院短期","対象外")),IF($AJ18=30,"③特定消防",IF(AND(OR($A18=21,$A18=215),$AJ18=10),"④一般",IF(AND($A18=31,$AJ18=41),"⑤短期","対象外")))))</f>
        <v>④一般</v>
      </c>
      <c r="DC18" s="2909">
        <f>IF($A18="","",IF($AB18&amp;""='DB_設定'!$C$4,1,0))</f>
        <v>1</v>
      </c>
    </row>
    <row r="19">
      <c r="A19" t="n" s="2909">
        <v>21</v>
      </c>
      <c r="AA19" t="n" s="2909">
        <v>21</v>
      </c>
      <c r="AB19" t="inlineStr" s="2909">
        <is>
          <t>20250401</t>
        </is>
      </c>
      <c r="AD19" t="n" s="2909">
        <v>0</v>
      </c>
      <c r="AE19" t="inlineStr" s="2909">
        <is>
          <t>00000000</t>
        </is>
      </c>
      <c r="AH19" t="n" s="2909">
        <v>11</v>
      </c>
      <c r="AJ19" t="n" s="2909">
        <v>10</v>
      </c>
      <c r="AP19" t="n" s="2909">
        <v>410000</v>
      </c>
      <c r="DB19" s="2909" t="str">
        <f>IF($A19="","",IF($AH19=20,IF(AND(OR($A19=21,$A19=215),$AJ19=10),"①病院一般",IF(AND($A19=31,$AJ19=41),"②病院短期","対象外")),IF($AJ19=30,"③特定消防",IF(AND(OR($A19=21,$A19=215),$AJ19=10),"④一般",IF(AND($A19=31,$AJ19=41),"⑤短期","対象外")))))</f>
        <v>④一般</v>
      </c>
      <c r="DC19" s="2909">
        <f>IF($A19="","",IF($AB19&amp;""='DB_設定'!$C$4,1,0))</f>
        <v>1</v>
      </c>
    </row>
    <row r="20">
      <c r="A20" t="n" s="2909">
        <v>21</v>
      </c>
      <c r="AA20" t="n" s="2909">
        <v>21</v>
      </c>
      <c r="AB20" t="inlineStr" s="2909">
        <is>
          <t>20250401</t>
        </is>
      </c>
      <c r="AD20" t="n" s="2909">
        <v>0</v>
      </c>
      <c r="AE20" t="inlineStr" s="2909">
        <is>
          <t>00000000</t>
        </is>
      </c>
      <c r="AH20" t="n" s="2909">
        <v>11</v>
      </c>
      <c r="AJ20" t="n" s="2909">
        <v>10</v>
      </c>
      <c r="AP20" t="n" s="2909">
        <v>340000</v>
      </c>
      <c r="DB20" s="2909" t="str">
        <f>IF($A20="","",IF($AH20=20,IF(AND(OR($A20=21,$A20=215),$AJ20=10),"①病院一般",IF(AND($A20=31,$AJ20=41),"②病院短期","対象外")),IF($AJ20=30,"③特定消防",IF(AND(OR($A20=21,$A20=215),$AJ20=10),"④一般",IF(AND($A20=31,$AJ20=41),"⑤短期","対象外")))))</f>
        <v>④一般</v>
      </c>
      <c r="DC20" s="2909">
        <f>IF($A20="","",IF($AB20&amp;""='DB_設定'!$C$4,1,0))</f>
        <v>1</v>
      </c>
    </row>
    <row r="21">
      <c r="A21" t="n" s="2909">
        <v>21</v>
      </c>
      <c r="AA21" t="n" s="2909">
        <v>21</v>
      </c>
      <c r="AB21" t="inlineStr" s="2909">
        <is>
          <t>20250401</t>
        </is>
      </c>
      <c r="AD21" t="n" s="2909">
        <v>0</v>
      </c>
      <c r="AE21" t="inlineStr" s="2909">
        <is>
          <t>00000000</t>
        </is>
      </c>
      <c r="AH21" t="n" s="2909">
        <v>11</v>
      </c>
      <c r="AJ21" t="n" s="2909">
        <v>10</v>
      </c>
      <c r="AP21" t="n" s="2909">
        <v>410000</v>
      </c>
      <c r="DB21" s="2909" t="str">
        <f>IF($A21="","",IF($AH21=20,IF(AND(OR($A21=21,$A21=215),$AJ21=10),"①病院一般",IF(AND($A21=31,$AJ21=41),"②病院短期","対象外")),IF($AJ21=30,"③特定消防",IF(AND(OR($A21=21,$A21=215),$AJ21=10),"④一般",IF(AND($A21=31,$AJ21=41),"⑤短期","対象外")))))</f>
        <v>④一般</v>
      </c>
      <c r="DC21" s="2909">
        <f>IF($A21="","",IF($AB21&amp;""='DB_設定'!$C$4,1,0))</f>
        <v>1</v>
      </c>
    </row>
    <row r="22">
      <c r="A22" t="n" s="2909">
        <v>21</v>
      </c>
      <c r="AA22" t="n" s="2909">
        <v>24</v>
      </c>
      <c r="AB22" t="inlineStr" s="2909">
        <is>
          <t>20250401</t>
        </is>
      </c>
      <c r="AD22" t="n" s="2909">
        <v>0</v>
      </c>
      <c r="AE22" t="inlineStr" s="2909">
        <is>
          <t>00000000</t>
        </is>
      </c>
      <c r="AH22" t="n" s="2909">
        <v>1</v>
      </c>
      <c r="AJ22" t="n" s="2909">
        <v>10</v>
      </c>
      <c r="AP22" t="n" s="2909">
        <v>340000</v>
      </c>
      <c r="DB22" s="2909" t="str">
        <f>IF($A22="","",IF($AH22=20,IF(AND(OR($A22=21,$A22=215),$AJ22=10),"①病院一般",IF(AND($A22=31,$AJ22=41),"②病院短期","対象外")),IF($AJ22=30,"③特定消防",IF(AND(OR($A22=21,$A22=215),$AJ22=10),"④一般",IF(AND($A22=31,$AJ22=41),"⑤短期","対象外")))))</f>
        <v>④一般</v>
      </c>
      <c r="DC22" s="2909">
        <f>IF($A22="","",IF($AB22&amp;""='DB_設定'!$C$4,1,0))</f>
        <v>1</v>
      </c>
    </row>
    <row r="23">
      <c r="A23" t="n" s="2909">
        <v>21</v>
      </c>
      <c r="AA23" t="n" s="2909">
        <v>24</v>
      </c>
      <c r="AB23" t="inlineStr" s="2909">
        <is>
          <t>20250401</t>
        </is>
      </c>
      <c r="AD23" t="n" s="2909">
        <v>0</v>
      </c>
      <c r="AE23" t="inlineStr" s="2909">
        <is>
          <t>00000000</t>
        </is>
      </c>
      <c r="AH23" t="n" s="2909">
        <v>83</v>
      </c>
      <c r="AJ23" t="n" s="2909">
        <v>70</v>
      </c>
      <c r="AP23" t="n" s="2909">
        <v>440000</v>
      </c>
      <c r="DB23" s="2909" t="str">
        <f>IF($A23="","",IF($AH23=20,IF(AND(OR($A23=21,$A23=215),$AJ23=10),"①病院一般",IF(AND($A23=31,$AJ23=41),"②病院短期","対象外")),IF($AJ23=30,"③特定消防",IF(AND(OR($A23=21,$A23=215),$AJ23=10),"④一般",IF(AND($A23=31,$AJ23=41),"⑤短期","対象外")))))</f>
        <v>対象外</v>
      </c>
      <c r="DC23" s="2909">
        <f>IF($A23="","",IF($AB23&amp;""='DB_設定'!$C$4,1,0))</f>
        <v>1</v>
      </c>
    </row>
    <row r="24">
      <c r="A24" t="n" s="2909">
        <v>21</v>
      </c>
      <c r="AA24" t="n" s="2909">
        <v>24</v>
      </c>
      <c r="AB24" t="inlineStr" s="2909">
        <is>
          <t>20250701</t>
        </is>
      </c>
      <c r="AD24" t="n" s="2909">
        <v>0</v>
      </c>
      <c r="AE24" t="inlineStr" s="2909">
        <is>
          <t>00000000</t>
        </is>
      </c>
      <c r="AH24" t="n" s="2909">
        <v>1</v>
      </c>
      <c r="AJ24" t="n" s="2909">
        <v>10</v>
      </c>
      <c r="AP24" t="n" s="2909">
        <v>360000</v>
      </c>
      <c r="DB24" s="2909" t="str">
        <f>IF($A24="","",IF($AH24=20,IF(AND(OR($A24=21,$A24=215),$AJ24=10),"①病院一般",IF(AND($A24=31,$AJ24=41),"②病院短期","対象外")),IF($AJ24=30,"③特定消防",IF(AND(OR($A24=21,$A24=215),$AJ24=10),"④一般",IF(AND($A24=31,$AJ24=41),"⑤短期","対象外")))))</f>
        <v>④一般</v>
      </c>
      <c r="DC24" s="2909">
        <f>IF($A24="","",IF($AB24&amp;""='DB_設定'!$C$4,1,0))</f>
        <v>0</v>
      </c>
    </row>
    <row r="25">
      <c r="A25" t="n" s="2909">
        <v>21</v>
      </c>
      <c r="AA25" t="n" s="2909">
        <v>21</v>
      </c>
      <c r="AB25" t="inlineStr" s="2909">
        <is>
          <t>20250701</t>
        </is>
      </c>
      <c r="AD25" t="n" s="2909">
        <v>0</v>
      </c>
      <c r="AE25" t="inlineStr" s="2909">
        <is>
          <t>00000000</t>
        </is>
      </c>
      <c r="AH25" t="n" s="2909">
        <v>20</v>
      </c>
      <c r="AJ25" t="n" s="2909">
        <v>10</v>
      </c>
      <c r="AP25" t="n" s="2909">
        <v>260000</v>
      </c>
      <c r="DB25" s="2909" t="str">
        <f>IF($A25="","",IF($AH25=20,IF(AND(OR($A25=21,$A25=215),$AJ25=10),"①病院一般",IF(AND($A25=31,$AJ25=41),"②病院短期","対象外")),IF($AJ25=30,"③特定消防",IF(AND(OR($A25=21,$A25=215),$AJ25=10),"④一般",IF(AND($A25=31,$AJ25=41),"⑤短期","対象外")))))</f>
        <v>①病院一般</v>
      </c>
      <c r="DC25" s="2909">
        <f>IF($A25="","",IF($AB25&amp;""='DB_設定'!$C$4,1,0))</f>
        <v>0</v>
      </c>
    </row>
    <row r="26">
      <c r="A26" t="n" s="2909">
        <v>21</v>
      </c>
      <c r="AA26" t="n" s="2909">
        <v>21</v>
      </c>
      <c r="AB26" t="inlineStr" s="2909">
        <is>
          <t>20250801</t>
        </is>
      </c>
      <c r="AD26" t="n" s="2909">
        <v>0</v>
      </c>
      <c r="AE26" t="inlineStr" s="2909">
        <is>
          <t>00000000</t>
        </is>
      </c>
      <c r="AH26" t="n" s="2909">
        <v>20</v>
      </c>
      <c r="AJ26" t="n" s="2909">
        <v>10</v>
      </c>
      <c r="AP26" t="n" s="2909">
        <v>320000</v>
      </c>
      <c r="DB26" s="2909" t="str">
        <f>IF($A26="","",IF($AH26=20,IF(AND(OR($A26=21,$A26=215),$AJ26=10),"①病院一般",IF(AND($A26=31,$AJ26=41),"②病院短期","対象外")),IF($AJ26=30,"③特定消防",IF(AND(OR($A26=21,$A26=215),$AJ26=10),"④一般",IF(AND($A26=31,$AJ26=41),"⑤短期","対象外")))))</f>
        <v>①病院一般</v>
      </c>
      <c r="DC26" s="2909">
        <f>IF($A26="","",IF($AB26&amp;""='DB_設定'!$C$4,1,0))</f>
        <v>0</v>
      </c>
    </row>
    <row r="27">
      <c r="A27" t="n" s="2909">
        <v>21</v>
      </c>
      <c r="AA27" t="n" s="2909">
        <v>21</v>
      </c>
      <c r="AB27" t="inlineStr" s="2909">
        <is>
          <t>20250401</t>
        </is>
      </c>
      <c r="AD27" t="n" s="2909">
        <v>0</v>
      </c>
      <c r="AE27" t="inlineStr" s="2909">
        <is>
          <t>00000000</t>
        </is>
      </c>
      <c r="AH27" t="n" s="2909">
        <v>20</v>
      </c>
      <c r="AJ27" t="n" s="2909">
        <v>10</v>
      </c>
      <c r="AP27" t="n" s="2909">
        <v>320000</v>
      </c>
      <c r="DB27" s="2909" t="str">
        <f>IF($A27="","",IF($AH27=20,IF(AND(OR($A27=21,$A27=215),$AJ27=10),"①病院一般",IF(AND($A27=31,$AJ27=41),"②病院短期","対象外")),IF($AJ27=30,"③特定消防",IF(AND(OR($A27=21,$A27=215),$AJ27=10),"④一般",IF(AND($A27=31,$AJ27=41),"⑤短期","対象外")))))</f>
        <v>①病院一般</v>
      </c>
      <c r="DC27" s="2909">
        <f>IF($A27="","",IF($AB27&amp;""='DB_設定'!$C$4,1,0))</f>
        <v>1</v>
      </c>
    </row>
    <row r="28">
      <c r="A28" t="n" s="2909">
        <v>21</v>
      </c>
      <c r="AA28" t="n" s="2909">
        <v>21</v>
      </c>
      <c r="AB28" t="inlineStr" s="2909">
        <is>
          <t>20250801</t>
        </is>
      </c>
      <c r="AD28" t="n" s="2909">
        <v>0</v>
      </c>
      <c r="AE28" t="inlineStr" s="2909">
        <is>
          <t>00000000</t>
        </is>
      </c>
      <c r="AH28" t="n" s="2909">
        <v>20</v>
      </c>
      <c r="AJ28" t="n" s="2909">
        <v>10</v>
      </c>
      <c r="AP28" t="n" s="2909">
        <v>320000</v>
      </c>
      <c r="DB28" s="2909" t="str">
        <f>IF($A28="","",IF($AH28=20,IF(AND(OR($A28=21,$A28=215),$AJ28=10),"①病院一般",IF(AND($A28=31,$AJ28=41),"②病院短期","対象外")),IF($AJ28=30,"③特定消防",IF(AND(OR($A28=21,$A28=215),$AJ28=10),"④一般",IF(AND($A28=31,$AJ28=41),"⑤短期","対象外")))))</f>
        <v>①病院一般</v>
      </c>
      <c r="DC28" s="2909">
        <f>IF($A28="","",IF($AB28&amp;""='DB_設定'!$C$4,1,0))</f>
        <v>0</v>
      </c>
    </row>
    <row r="29">
      <c r="A29" t="n" s="2909">
        <v>21</v>
      </c>
      <c r="AA29" t="n" s="2909">
        <v>21</v>
      </c>
      <c r="AB29" t="inlineStr" s="2909">
        <is>
          <t>20250701</t>
        </is>
      </c>
      <c r="AD29" t="n" s="2909">
        <v>0</v>
      </c>
      <c r="AE29" t="inlineStr" s="2909">
        <is>
          <t>00000000</t>
        </is>
      </c>
      <c r="AH29" t="n" s="2909">
        <v>20</v>
      </c>
      <c r="AJ29" t="n" s="2909">
        <v>10</v>
      </c>
      <c r="AP29" t="n" s="2909">
        <v>240000</v>
      </c>
      <c r="DB29" s="2909" t="str">
        <f>IF($A29="","",IF($AH29=20,IF(AND(OR($A29=21,$A29=215),$AJ29=10),"①病院一般",IF(AND($A29=31,$AJ29=41),"②病院短期","対象外")),IF($AJ29=30,"③特定消防",IF(AND(OR($A29=21,$A29=215),$AJ29=10),"④一般",IF(AND($A29=31,$AJ29=41),"⑤短期","対象外")))))</f>
        <v>①病院一般</v>
      </c>
      <c r="DC29" s="2909">
        <f>IF($A29="","",IF($AB29&amp;""='DB_設定'!$C$4,1,0))</f>
        <v>0</v>
      </c>
    </row>
    <row r="30">
      <c r="A30" t="n" s="2909">
        <v>21</v>
      </c>
      <c r="AA30" t="n" s="2909">
        <v>21</v>
      </c>
      <c r="AB30" t="inlineStr" s="2909">
        <is>
          <t>20250401</t>
        </is>
      </c>
      <c r="AD30" t="n" s="2909">
        <v>0</v>
      </c>
      <c r="AE30" t="inlineStr" s="2909">
        <is>
          <t>00000000</t>
        </is>
      </c>
      <c r="AH30" t="n" s="2909">
        <v>11</v>
      </c>
      <c r="AJ30" t="n" s="2909">
        <v>10</v>
      </c>
      <c r="AP30" t="n" s="2909">
        <v>470000</v>
      </c>
      <c r="DB30" s="2909" t="str">
        <f>IF($A30="","",IF($AH30=20,IF(AND(OR($A30=21,$A30=215),$AJ30=10),"①病院一般",IF(AND($A30=31,$AJ30=41),"②病院短期","対象外")),IF($AJ30=30,"③特定消防",IF(AND(OR($A30=21,$A30=215),$AJ30=10),"④一般",IF(AND($A30=31,$AJ30=41),"⑤短期","対象外")))))</f>
        <v>④一般</v>
      </c>
      <c r="DC30" s="2909">
        <f>IF($A30="","",IF($AB30&amp;""='DB_設定'!$C$4,1,0))</f>
        <v>1</v>
      </c>
    </row>
    <row r="31">
      <c r="A31" t="n" s="2909">
        <v>21</v>
      </c>
      <c r="AA31" t="n" s="2909">
        <v>21</v>
      </c>
      <c r="AB31" t="inlineStr" s="2909">
        <is>
          <t>20250401</t>
        </is>
      </c>
      <c r="AD31" t="n" s="2909">
        <v>0</v>
      </c>
      <c r="AE31" t="inlineStr" s="2909">
        <is>
          <t>00000000</t>
        </is>
      </c>
      <c r="AH31" t="n" s="2909">
        <v>11</v>
      </c>
      <c r="AJ31" t="n" s="2909">
        <v>10</v>
      </c>
      <c r="AP31" t="n" s="2909">
        <v>280000</v>
      </c>
      <c r="DB31" s="2909" t="str">
        <f>IF($A31="","",IF($AH31=20,IF(AND(OR($A31=21,$A31=215),$AJ31=10),"①病院一般",IF(AND($A31=31,$AJ31=41),"②病院短期","対象外")),IF($AJ31=30,"③特定消防",IF(AND(OR($A31=21,$A31=215),$AJ31=10),"④一般",IF(AND($A31=31,$AJ31=41),"⑤短期","対象外")))))</f>
        <v>④一般</v>
      </c>
      <c r="DC31" s="2909">
        <f>IF($A31="","",IF($AB31&amp;""='DB_設定'!$C$4,1,0))</f>
        <v>1</v>
      </c>
    </row>
    <row r="32">
      <c r="A32" t="n" s="2909">
        <v>21</v>
      </c>
      <c r="AA32" t="n" s="2909">
        <v>21</v>
      </c>
      <c r="AB32" t="inlineStr" s="2909">
        <is>
          <t>20250401</t>
        </is>
      </c>
      <c r="AD32" t="n" s="2909">
        <v>0</v>
      </c>
      <c r="AE32" t="inlineStr" s="2909">
        <is>
          <t>00000000</t>
        </is>
      </c>
      <c r="AH32" t="n" s="2909">
        <v>11</v>
      </c>
      <c r="AJ32" t="n" s="2909">
        <v>10</v>
      </c>
      <c r="AP32" t="n" s="2909">
        <v>280000</v>
      </c>
      <c r="DB32" s="2909" t="str">
        <f>IF($A32="","",IF($AH32=20,IF(AND(OR($A32=21,$A32=215),$AJ32=10),"①病院一般",IF(AND($A32=31,$AJ32=41),"②病院短期","対象外")),IF($AJ32=30,"③特定消防",IF(AND(OR($A32=21,$A32=215),$AJ32=10),"④一般",IF(AND($A32=31,$AJ32=41),"⑤短期","対象外")))))</f>
        <v>④一般</v>
      </c>
      <c r="DC32" s="2909">
        <f>IF($A32="","",IF($AB32&amp;""='DB_設定'!$C$4,1,0))</f>
        <v>1</v>
      </c>
    </row>
    <row r="33">
      <c r="A33" t="n" s="2909">
        <v>21</v>
      </c>
      <c r="AA33" t="n" s="2909">
        <v>21</v>
      </c>
      <c r="AB33" t="inlineStr" s="2909">
        <is>
          <t>20250401</t>
        </is>
      </c>
      <c r="AD33" t="n" s="2909">
        <v>0</v>
      </c>
      <c r="AE33" t="inlineStr" s="2909">
        <is>
          <t>00000000</t>
        </is>
      </c>
      <c r="AH33" t="n" s="2909">
        <v>11</v>
      </c>
      <c r="AJ33" t="n" s="2909">
        <v>10</v>
      </c>
      <c r="AP33" t="n" s="2909">
        <v>300000</v>
      </c>
      <c r="DB33" s="2909" t="str">
        <f>IF($A33="","",IF($AH33=20,IF(AND(OR($A33=21,$A33=215),$AJ33=10),"①病院一般",IF(AND($A33=31,$AJ33=41),"②病院短期","対象外")),IF($AJ33=30,"③特定消防",IF(AND(OR($A33=21,$A33=215),$AJ33=10),"④一般",IF(AND($A33=31,$AJ33=41),"⑤短期","対象外")))))</f>
        <v>④一般</v>
      </c>
      <c r="DC33" s="2909">
        <f>IF($A33="","",IF($AB33&amp;""='DB_設定'!$C$4,1,0))</f>
        <v>1</v>
      </c>
    </row>
    <row r="34">
      <c r="A34" t="n" s="2909">
        <v>21</v>
      </c>
      <c r="AA34" t="n" s="2909">
        <v>21</v>
      </c>
      <c r="AB34" t="inlineStr" s="2909">
        <is>
          <t>20250401</t>
        </is>
      </c>
      <c r="AD34" t="n" s="2909">
        <v>0</v>
      </c>
      <c r="AE34" t="inlineStr" s="2909">
        <is>
          <t>00000000</t>
        </is>
      </c>
      <c r="AH34" t="n" s="2909">
        <v>11</v>
      </c>
      <c r="AJ34" t="n" s="2909">
        <v>10</v>
      </c>
      <c r="AP34" t="n" s="2909">
        <v>300000</v>
      </c>
      <c r="DB34" s="2909" t="str">
        <f>IF($A34="","",IF($AH34=20,IF(AND(OR($A34=21,$A34=215),$AJ34=10),"①病院一般",IF(AND($A34=31,$AJ34=41),"②病院短期","対象外")),IF($AJ34=30,"③特定消防",IF(AND(OR($A34=21,$A34=215),$AJ34=10),"④一般",IF(AND($A34=31,$AJ34=41),"⑤短期","対象外")))))</f>
        <v>④一般</v>
      </c>
      <c r="DC34" s="2909">
        <f>IF($A34="","",IF($AB34&amp;""='DB_設定'!$C$4,1,0))</f>
        <v>1</v>
      </c>
    </row>
    <row r="35">
      <c r="A35" t="n" s="2909">
        <v>21</v>
      </c>
      <c r="AA35" t="n" s="2909">
        <v>21</v>
      </c>
      <c r="AB35" t="inlineStr" s="2909">
        <is>
          <t>20250401</t>
        </is>
      </c>
      <c r="AD35" t="n" s="2909">
        <v>0</v>
      </c>
      <c r="AE35" t="inlineStr" s="2909">
        <is>
          <t>00000000</t>
        </is>
      </c>
      <c r="AH35" t="n" s="2909">
        <v>11</v>
      </c>
      <c r="AJ35" t="n" s="2909">
        <v>10</v>
      </c>
      <c r="AP35" t="n" s="2909">
        <v>260000</v>
      </c>
      <c r="DB35" s="2909" t="str">
        <f>IF($A35="","",IF($AH35=20,IF(AND(OR($A35=21,$A35=215),$AJ35=10),"①病院一般",IF(AND($A35=31,$AJ35=41),"②病院短期","対象外")),IF($AJ35=30,"③特定消防",IF(AND(OR($A35=21,$A35=215),$AJ35=10),"④一般",IF(AND($A35=31,$AJ35=41),"⑤短期","対象外")))))</f>
        <v>④一般</v>
      </c>
      <c r="DC35" s="2909">
        <f>IF($A35="","",IF($AB35&amp;""='DB_設定'!$C$4,1,0))</f>
        <v>1</v>
      </c>
    </row>
    <row r="36">
      <c r="A36" t="n" s="2909">
        <v>21</v>
      </c>
      <c r="AA36" t="n" s="2909">
        <v>21</v>
      </c>
      <c r="AB36" t="inlineStr" s="2909">
        <is>
          <t>20250401</t>
        </is>
      </c>
      <c r="AD36" t="n" s="2909">
        <v>0</v>
      </c>
      <c r="AE36" t="inlineStr" s="2909">
        <is>
          <t>00000000</t>
        </is>
      </c>
      <c r="AH36" t="n" s="2909">
        <v>1</v>
      </c>
      <c r="AJ36" t="n" s="2909">
        <v>10</v>
      </c>
      <c r="AP36" t="n" s="2909">
        <v>280000</v>
      </c>
      <c r="DB36" s="2909" t="str">
        <f>IF($A36="","",IF($AH36=20,IF(AND(OR($A36=21,$A36=215),$AJ36=10),"①病院一般",IF(AND($A36=31,$AJ36=41),"②病院短期","対象外")),IF($AJ36=30,"③特定消防",IF(AND(OR($A36=21,$A36=215),$AJ36=10),"④一般",IF(AND($A36=31,$AJ36=41),"⑤短期","対象外")))))</f>
        <v>④一般</v>
      </c>
      <c r="DC36" s="2909">
        <f>IF($A36="","",IF($AB36&amp;""='DB_設定'!$C$4,1,0))</f>
        <v>1</v>
      </c>
    </row>
    <row r="37">
      <c r="A37" t="n" s="2909">
        <v>21</v>
      </c>
      <c r="AA37" t="n" s="2909">
        <v>21</v>
      </c>
      <c r="AB37" t="inlineStr" s="2909">
        <is>
          <t>20250401</t>
        </is>
      </c>
      <c r="AD37" t="n" s="2909">
        <v>0</v>
      </c>
      <c r="AE37" t="inlineStr" s="2909">
        <is>
          <t>00000000</t>
        </is>
      </c>
      <c r="AH37" t="n" s="2909">
        <v>20</v>
      </c>
      <c r="AJ37" t="n" s="2909">
        <v>10</v>
      </c>
      <c r="AP37" t="n" s="2909">
        <v>1090000</v>
      </c>
      <c r="DB37" s="2909" t="str">
        <f>IF($A37="","",IF($AH37=20,IF(AND(OR($A37=21,$A37=215),$AJ37=10),"①病院一般",IF(AND($A37=31,$AJ37=41),"②病院短期","対象外")),IF($AJ37=30,"③特定消防",IF(AND(OR($A37=21,$A37=215),$AJ37=10),"④一般",IF(AND($A37=31,$AJ37=41),"⑤短期","対象外")))))</f>
        <v>①病院一般</v>
      </c>
      <c r="DC37" s="2909">
        <f>IF($A37="","",IF($AB37&amp;""='DB_設定'!$C$4,1,0))</f>
        <v>1</v>
      </c>
    </row>
    <row r="38">
      <c r="A38" t="n" s="2909">
        <v>21</v>
      </c>
      <c r="AA38" t="n" s="2909">
        <v>21</v>
      </c>
      <c r="AB38" t="inlineStr" s="2909">
        <is>
          <t>20250401</t>
        </is>
      </c>
      <c r="AD38" t="n" s="2909">
        <v>0</v>
      </c>
      <c r="AE38" t="inlineStr" s="2909">
        <is>
          <t>00000000</t>
        </is>
      </c>
      <c r="AH38" t="n" s="2909">
        <v>20</v>
      </c>
      <c r="AJ38" t="n" s="2909">
        <v>10</v>
      </c>
      <c r="AP38" t="n" s="2909">
        <v>980000</v>
      </c>
      <c r="DB38" s="2909" t="str">
        <f>IF($A38="","",IF($AH38=20,IF(AND(OR($A38=21,$A38=215),$AJ38=10),"①病院一般",IF(AND($A38=31,$AJ38=41),"②病院短期","対象外")),IF($AJ38=30,"③特定消防",IF(AND(OR($A38=21,$A38=215),$AJ38=10),"④一般",IF(AND($A38=31,$AJ38=41),"⑤短期","対象外")))))</f>
        <v>①病院一般</v>
      </c>
      <c r="DC38" s="2909">
        <f>IF($A38="","",IF($AB38&amp;""='DB_設定'!$C$4,1,0))</f>
        <v>1</v>
      </c>
    </row>
    <row r="39">
      <c r="A39" t="n" s="2909">
        <v>21</v>
      </c>
      <c r="AA39" t="n" s="2909">
        <v>21</v>
      </c>
      <c r="AB39" t="inlineStr" s="2909">
        <is>
          <t>20250401</t>
        </is>
      </c>
      <c r="AD39" t="n" s="2909">
        <v>0</v>
      </c>
      <c r="AE39" t="inlineStr" s="2909">
        <is>
          <t>00000000</t>
        </is>
      </c>
      <c r="AH39" t="n" s="2909">
        <v>20</v>
      </c>
      <c r="AJ39" t="n" s="2909">
        <v>10</v>
      </c>
      <c r="AP39" t="n" s="2909">
        <v>880000</v>
      </c>
      <c r="DB39" s="2909" t="str">
        <f>IF($A39="","",IF($AH39=20,IF(AND(OR($A39=21,$A39=215),$AJ39=10),"①病院一般",IF(AND($A39=31,$AJ39=41),"②病院短期","対象外")),IF($AJ39=30,"③特定消防",IF(AND(OR($A39=21,$A39=215),$AJ39=10),"④一般",IF(AND($A39=31,$AJ39=41),"⑤短期","対象外")))))</f>
        <v>①病院一般</v>
      </c>
      <c r="DC39" s="2909">
        <f>IF($A39="","",IF($AB39&amp;""='DB_設定'!$C$4,1,0))</f>
        <v>1</v>
      </c>
    </row>
    <row r="40">
      <c r="A40" t="n" s="2909">
        <v>21</v>
      </c>
      <c r="AA40" t="n" s="2909">
        <v>21</v>
      </c>
      <c r="AB40" t="inlineStr" s="2909">
        <is>
          <t>20250401</t>
        </is>
      </c>
      <c r="AD40" t="n" s="2909">
        <v>12</v>
      </c>
      <c r="AE40" t="inlineStr" s="2909">
        <is>
          <t>20250708</t>
        </is>
      </c>
      <c r="AH40" t="n" s="2909">
        <v>20</v>
      </c>
      <c r="AJ40" t="n" s="2909">
        <v>10</v>
      </c>
      <c r="AP40" t="n" s="2909">
        <v>1090000</v>
      </c>
      <c r="DB40" s="2909" t="str">
        <f>IF($A40="","",IF($AH40=20,IF(AND(OR($A40=21,$A40=215),$AJ40=10),"①病院一般",IF(AND($A40=31,$AJ40=41),"②病院短期","対象外")),IF($AJ40=30,"③特定消防",IF(AND(OR($A40=21,$A40=215),$AJ40=10),"④一般",IF(AND($A40=31,$AJ40=41),"⑤短期","対象外")))))</f>
        <v>①病院一般</v>
      </c>
      <c r="DC40" s="2909">
        <f>IF($A40="","",IF($AB40&amp;""='DB_設定'!$C$4,1,0))</f>
        <v>1</v>
      </c>
    </row>
    <row r="41">
      <c r="A41" t="n" s="2909">
        <v>21</v>
      </c>
      <c r="AA41" t="n" s="2909">
        <v>21</v>
      </c>
      <c r="AB41" t="inlineStr" s="2909">
        <is>
          <t>20250401</t>
        </is>
      </c>
      <c r="AD41" t="n" s="2909">
        <v>0</v>
      </c>
      <c r="AE41" t="inlineStr" s="2909">
        <is>
          <t>00000000</t>
        </is>
      </c>
      <c r="AH41" t="n" s="2909">
        <v>20</v>
      </c>
      <c r="AJ41" t="n" s="2909">
        <v>10</v>
      </c>
      <c r="AP41" t="n" s="2909">
        <v>830000</v>
      </c>
      <c r="DB41" s="2909" t="str">
        <f>IF($A41="","",IF($AH41=20,IF(AND(OR($A41=21,$A41=215),$AJ41=10),"①病院一般",IF(AND($A41=31,$AJ41=41),"②病院短期","対象外")),IF($AJ41=30,"③特定消防",IF(AND(OR($A41=21,$A41=215),$AJ41=10),"④一般",IF(AND($A41=31,$AJ41=41),"⑤短期","対象外")))))</f>
        <v>①病院一般</v>
      </c>
      <c r="DC41" s="2909">
        <f>IF($A41="","",IF($AB41&amp;""='DB_設定'!$C$4,1,0))</f>
        <v>1</v>
      </c>
    </row>
    <row r="42">
      <c r="A42" t="n" s="2909">
        <v>21</v>
      </c>
      <c r="AA42" t="n" s="2909">
        <v>21</v>
      </c>
      <c r="AB42" t="inlineStr" s="2909">
        <is>
          <t>20250401</t>
        </is>
      </c>
      <c r="AD42" t="n" s="2909">
        <v>0</v>
      </c>
      <c r="AE42" t="inlineStr" s="2909">
        <is>
          <t>00000000</t>
        </is>
      </c>
      <c r="AH42" t="n" s="2909">
        <v>20</v>
      </c>
      <c r="AJ42" t="n" s="2909">
        <v>10</v>
      </c>
      <c r="AP42" t="n" s="2909">
        <v>930000</v>
      </c>
      <c r="DB42" s="2909" t="str">
        <f>IF($A42="","",IF($AH42=20,IF(AND(OR($A42=21,$A42=215),$AJ42=10),"①病院一般",IF(AND($A42=31,$AJ42=41),"②病院短期","対象外")),IF($AJ42=30,"③特定消防",IF(AND(OR($A42=21,$A42=215),$AJ42=10),"④一般",IF(AND($A42=31,$AJ42=41),"⑤短期","対象外")))))</f>
        <v>①病院一般</v>
      </c>
      <c r="DC42" s="2909">
        <f>IF($A42="","",IF($AB42&amp;""='DB_設定'!$C$4,1,0))</f>
        <v>1</v>
      </c>
    </row>
    <row r="43">
      <c r="A43" t="n" s="2909">
        <v>21</v>
      </c>
      <c r="AA43" t="n" s="2909">
        <v>21</v>
      </c>
      <c r="AB43" t="inlineStr" s="2909">
        <is>
          <t>20250401</t>
        </is>
      </c>
      <c r="AD43" t="n" s="2909">
        <v>0</v>
      </c>
      <c r="AE43" t="inlineStr" s="2909">
        <is>
          <t>00000000</t>
        </is>
      </c>
      <c r="AH43" t="n" s="2909">
        <v>20</v>
      </c>
      <c r="AJ43" t="n" s="2909">
        <v>10</v>
      </c>
      <c r="AP43" t="n" s="2909">
        <v>980000</v>
      </c>
      <c r="DB43" s="2909" t="str">
        <f>IF($A43="","",IF($AH43=20,IF(AND(OR($A43=21,$A43=215),$AJ43=10),"①病院一般",IF(AND($A43=31,$AJ43=41),"②病院短期","対象外")),IF($AJ43=30,"③特定消防",IF(AND(OR($A43=21,$A43=215),$AJ43=10),"④一般",IF(AND($A43=31,$AJ43=41),"⑤短期","対象外")))))</f>
        <v>①病院一般</v>
      </c>
      <c r="DC43" s="2909">
        <f>IF($A43="","",IF($AB43&amp;""='DB_設定'!$C$4,1,0))</f>
        <v>1</v>
      </c>
    </row>
    <row r="44">
      <c r="A44" t="n" s="2909">
        <v>21</v>
      </c>
      <c r="AA44" t="n" s="2909">
        <v>21</v>
      </c>
      <c r="AB44" t="inlineStr" s="2909">
        <is>
          <t>20250401</t>
        </is>
      </c>
      <c r="AD44" t="n" s="2909">
        <v>0</v>
      </c>
      <c r="AE44" t="inlineStr" s="2909">
        <is>
          <t>00000000</t>
        </is>
      </c>
      <c r="AH44" t="n" s="2909">
        <v>20</v>
      </c>
      <c r="AJ44" t="n" s="2909">
        <v>10</v>
      </c>
      <c r="AP44" t="n" s="2909">
        <v>930000</v>
      </c>
      <c r="DB44" s="2909" t="str">
        <f>IF($A44="","",IF($AH44=20,IF(AND(OR($A44=21,$A44=215),$AJ44=10),"①病院一般",IF(AND($A44=31,$AJ44=41),"②病院短期","対象外")),IF($AJ44=30,"③特定消防",IF(AND(OR($A44=21,$A44=215),$AJ44=10),"④一般",IF(AND($A44=31,$AJ44=41),"⑤短期","対象外")))))</f>
        <v>①病院一般</v>
      </c>
      <c r="DC44" s="2909">
        <f>IF($A44="","",IF($AB44&amp;""='DB_設定'!$C$4,1,0))</f>
        <v>1</v>
      </c>
    </row>
    <row r="45">
      <c r="A45" t="n" s="2909">
        <v>21</v>
      </c>
      <c r="AA45" t="n" s="2909">
        <v>21</v>
      </c>
      <c r="AB45" t="inlineStr" s="2909">
        <is>
          <t>20250401</t>
        </is>
      </c>
      <c r="AD45" t="n" s="2909">
        <v>0</v>
      </c>
      <c r="AE45" t="inlineStr" s="2909">
        <is>
          <t>00000000</t>
        </is>
      </c>
      <c r="AH45" t="n" s="2909">
        <v>20</v>
      </c>
      <c r="AJ45" t="n" s="2909">
        <v>10</v>
      </c>
      <c r="AP45" t="n" s="2909">
        <v>930000</v>
      </c>
      <c r="DB45" s="2909" t="str">
        <f>IF($A45="","",IF($AH45=20,IF(AND(OR($A45=21,$A45=215),$AJ45=10),"①病院一般",IF(AND($A45=31,$AJ45=41),"②病院短期","対象外")),IF($AJ45=30,"③特定消防",IF(AND(OR($A45=21,$A45=215),$AJ45=10),"④一般",IF(AND($A45=31,$AJ45=41),"⑤短期","対象外")))))</f>
        <v>①病院一般</v>
      </c>
      <c r="DC45" s="2909">
        <f>IF($A45="","",IF($AB45&amp;""='DB_設定'!$C$4,1,0))</f>
        <v>1</v>
      </c>
    </row>
    <row r="46">
      <c r="A46" t="n" s="2909">
        <v>21</v>
      </c>
      <c r="AA46" t="n" s="2909">
        <v>21</v>
      </c>
      <c r="AB46" t="inlineStr" s="2909">
        <is>
          <t>20250401</t>
        </is>
      </c>
      <c r="AD46" t="n" s="2909">
        <v>0</v>
      </c>
      <c r="AE46" t="inlineStr" s="2909">
        <is>
          <t>00000000</t>
        </is>
      </c>
      <c r="AH46" t="n" s="2909">
        <v>1</v>
      </c>
      <c r="AJ46" t="n" s="2909">
        <v>10</v>
      </c>
      <c r="AP46" t="n" s="2909">
        <v>260000</v>
      </c>
      <c r="DB46" s="2909" t="str">
        <f>IF($A46="","",IF($AH46=20,IF(AND(OR($A46=21,$A46=215),$AJ46=10),"①病院一般",IF(AND($A46=31,$AJ46=41),"②病院短期","対象外")),IF($AJ46=30,"③特定消防",IF(AND(OR($A46=21,$A46=215),$AJ46=10),"④一般",IF(AND($A46=31,$AJ46=41),"⑤短期","対象外")))))</f>
        <v>④一般</v>
      </c>
      <c r="DC46" s="2909">
        <f>IF($A46="","",IF($AB46&amp;""='DB_設定'!$C$4,1,0))</f>
        <v>1</v>
      </c>
    </row>
    <row r="47">
      <c r="A47" t="n" s="2909">
        <v>21</v>
      </c>
      <c r="AA47" t="n" s="2909">
        <v>21</v>
      </c>
      <c r="AB47" t="inlineStr" s="2909">
        <is>
          <t>20250401</t>
        </is>
      </c>
      <c r="AD47" t="n" s="2909">
        <v>0</v>
      </c>
      <c r="AE47" t="inlineStr" s="2909">
        <is>
          <t>00000000</t>
        </is>
      </c>
      <c r="AH47" t="n" s="2909">
        <v>1</v>
      </c>
      <c r="AJ47" t="n" s="2909">
        <v>10</v>
      </c>
      <c r="AP47" t="n" s="2909">
        <v>320000</v>
      </c>
      <c r="DB47" s="2909" t="str">
        <f>IF($A47="","",IF($AH47=20,IF(AND(OR($A47=21,$A47=215),$AJ47=10),"①病院一般",IF(AND($A47=31,$AJ47=41),"②病院短期","対象外")),IF($AJ47=30,"③特定消防",IF(AND(OR($A47=21,$A47=215),$AJ47=10),"④一般",IF(AND($A47=31,$AJ47=41),"⑤短期","対象外")))))</f>
        <v>④一般</v>
      </c>
      <c r="DC47" s="2909">
        <f>IF($A47="","",IF($AB47&amp;""='DB_設定'!$C$4,1,0))</f>
        <v>1</v>
      </c>
    </row>
    <row r="48">
      <c r="A48" t="n" s="2909">
        <v>21</v>
      </c>
      <c r="AA48" t="n" s="2909">
        <v>21</v>
      </c>
      <c r="AB48" t="inlineStr" s="2909">
        <is>
          <t>20250401</t>
        </is>
      </c>
      <c r="AD48" t="n" s="2909">
        <v>0</v>
      </c>
      <c r="AE48" t="inlineStr" s="2909">
        <is>
          <t>00000000</t>
        </is>
      </c>
      <c r="AH48" t="n" s="2909">
        <v>1</v>
      </c>
      <c r="AJ48" t="n" s="2909">
        <v>10</v>
      </c>
      <c r="AP48" t="n" s="2909">
        <v>300000</v>
      </c>
      <c r="DB48" s="2909" t="str">
        <f>IF($A48="","",IF($AH48=20,IF(AND(OR($A48=21,$A48=215),$AJ48=10),"①病院一般",IF(AND($A48=31,$AJ48=41),"②病院短期","対象外")),IF($AJ48=30,"③特定消防",IF(AND(OR($A48=21,$A48=215),$AJ48=10),"④一般",IF(AND($A48=31,$AJ48=41),"⑤短期","対象外")))))</f>
        <v>④一般</v>
      </c>
      <c r="DC48" s="2909">
        <f>IF($A48="","",IF($AB48&amp;""='DB_設定'!$C$4,1,0))</f>
        <v>1</v>
      </c>
    </row>
    <row r="49">
      <c r="A49" t="n" s="2909">
        <v>21</v>
      </c>
      <c r="AA49" t="n" s="2909">
        <v>21</v>
      </c>
      <c r="AB49" t="inlineStr" s="2909">
        <is>
          <t>20250401</t>
        </is>
      </c>
      <c r="AD49" t="n" s="2909">
        <v>0</v>
      </c>
      <c r="AE49" t="inlineStr" s="2909">
        <is>
          <t>00000000</t>
        </is>
      </c>
      <c r="AH49" t="n" s="2909">
        <v>1</v>
      </c>
      <c r="AJ49" t="n" s="2909">
        <v>10</v>
      </c>
      <c r="AP49" t="n" s="2909">
        <v>260000</v>
      </c>
      <c r="DB49" s="2909" t="str">
        <f>IF($A49="","",IF($AH49=20,IF(AND(OR($A49=21,$A49=215),$AJ49=10),"①病院一般",IF(AND($A49=31,$AJ49=41),"②病院短期","対象外")),IF($AJ49=30,"③特定消防",IF(AND(OR($A49=21,$A49=215),$AJ49=10),"④一般",IF(AND($A49=31,$AJ49=41),"⑤短期","対象外")))))</f>
        <v>④一般</v>
      </c>
      <c r="DC49" s="2909">
        <f>IF($A49="","",IF($AB49&amp;""='DB_設定'!$C$4,1,0))</f>
        <v>1</v>
      </c>
    </row>
    <row r="50">
      <c r="A50" t="n" s="2909">
        <v>21</v>
      </c>
      <c r="AA50" t="n" s="2909">
        <v>21</v>
      </c>
      <c r="AB50" t="inlineStr" s="2909">
        <is>
          <t>20250401</t>
        </is>
      </c>
      <c r="AD50" t="n" s="2909">
        <v>0</v>
      </c>
      <c r="AE50" t="inlineStr" s="2909">
        <is>
          <t>00000000</t>
        </is>
      </c>
      <c r="AH50" t="n" s="2909">
        <v>1</v>
      </c>
      <c r="AJ50" t="n" s="2909">
        <v>10</v>
      </c>
      <c r="AP50" t="n" s="2909">
        <v>280000</v>
      </c>
      <c r="DB50" s="2909" t="str">
        <f>IF($A50="","",IF($AH50=20,IF(AND(OR($A50=21,$A50=215),$AJ50=10),"①病院一般",IF(AND($A50=31,$AJ50=41),"②病院短期","対象外")),IF($AJ50=30,"③特定消防",IF(AND(OR($A50=21,$A50=215),$AJ50=10),"④一般",IF(AND($A50=31,$AJ50=41),"⑤短期","対象外")))))</f>
        <v>④一般</v>
      </c>
      <c r="DC50" s="2909">
        <f>IF($A50="","",IF($AB50&amp;""='DB_設定'!$C$4,1,0))</f>
        <v>1</v>
      </c>
    </row>
    <row r="51">
      <c r="A51" t="n" s="2909">
        <v>21</v>
      </c>
      <c r="AA51" t="n" s="2909">
        <v>21</v>
      </c>
      <c r="AB51" t="inlineStr" s="2909">
        <is>
          <t>20250401</t>
        </is>
      </c>
      <c r="AD51" t="n" s="2909">
        <v>0</v>
      </c>
      <c r="AE51" t="inlineStr" s="2909">
        <is>
          <t>00000000</t>
        </is>
      </c>
      <c r="AH51" t="n" s="2909">
        <v>1</v>
      </c>
      <c r="AJ51" t="n" s="2909">
        <v>10</v>
      </c>
      <c r="AP51" t="n" s="2909">
        <v>260000</v>
      </c>
      <c r="DB51" s="2909" t="str">
        <f>IF($A51="","",IF($AH51=20,IF(AND(OR($A51=21,$A51=215),$AJ51=10),"①病院一般",IF(AND($A51=31,$AJ51=41),"②病院短期","対象外")),IF($AJ51=30,"③特定消防",IF(AND(OR($A51=21,$A51=215),$AJ51=10),"④一般",IF(AND($A51=31,$AJ51=41),"⑤短期","対象外")))))</f>
        <v>④一般</v>
      </c>
      <c r="DC51" s="2909">
        <f>IF($A51="","",IF($AB51&amp;""='DB_設定'!$C$4,1,0))</f>
        <v>1</v>
      </c>
    </row>
    <row r="52">
      <c r="A52" t="n" s="2909">
        <v>21</v>
      </c>
      <c r="AA52" t="n" s="2909">
        <v>21</v>
      </c>
      <c r="AB52" t="inlineStr" s="2909">
        <is>
          <t>20250401</t>
        </is>
      </c>
      <c r="AD52" t="n" s="2909">
        <v>0</v>
      </c>
      <c r="AE52" t="inlineStr" s="2909">
        <is>
          <t>00000000</t>
        </is>
      </c>
      <c r="AH52" t="n" s="2909">
        <v>1</v>
      </c>
      <c r="AJ52" t="n" s="2909">
        <v>10</v>
      </c>
      <c r="AP52" t="n" s="2909">
        <v>300000</v>
      </c>
      <c r="DB52" s="2909" t="str">
        <f>IF($A52="","",IF($AH52=20,IF(AND(OR($A52=21,$A52=215),$AJ52=10),"①病院一般",IF(AND($A52=31,$AJ52=41),"②病院短期","対象外")),IF($AJ52=30,"③特定消防",IF(AND(OR($A52=21,$A52=215),$AJ52=10),"④一般",IF(AND($A52=31,$AJ52=41),"⑤短期","対象外")))))</f>
        <v>④一般</v>
      </c>
      <c r="DC52" s="2909">
        <f>IF($A52="","",IF($AB52&amp;""='DB_設定'!$C$4,1,0))</f>
        <v>1</v>
      </c>
    </row>
    <row r="53">
      <c r="A53" t="n" s="2909">
        <v>21</v>
      </c>
      <c r="AA53" t="n" s="2909">
        <v>21</v>
      </c>
      <c r="AB53" t="inlineStr" s="2909">
        <is>
          <t>20250401</t>
        </is>
      </c>
      <c r="AD53" t="n" s="2909">
        <v>0</v>
      </c>
      <c r="AE53" t="inlineStr" s="2909">
        <is>
          <t>00000000</t>
        </is>
      </c>
      <c r="AH53" t="n" s="2909">
        <v>1</v>
      </c>
      <c r="AJ53" t="n" s="2909">
        <v>10</v>
      </c>
      <c r="AP53" t="n" s="2909">
        <v>280000</v>
      </c>
      <c r="DB53" s="2909" t="str">
        <f>IF($A53="","",IF($AH53=20,IF(AND(OR($A53=21,$A53=215),$AJ53=10),"①病院一般",IF(AND($A53=31,$AJ53=41),"②病院短期","対象外")),IF($AJ53=30,"③特定消防",IF(AND(OR($A53=21,$A53=215),$AJ53=10),"④一般",IF(AND($A53=31,$AJ53=41),"⑤短期","対象外")))))</f>
        <v>④一般</v>
      </c>
      <c r="DC53" s="2909">
        <f>IF($A53="","",IF($AB53&amp;""='DB_設定'!$C$4,1,0))</f>
        <v>1</v>
      </c>
    </row>
    <row r="54">
      <c r="A54" t="n" s="2909">
        <v>21</v>
      </c>
      <c r="AA54" t="n" s="2909">
        <v>21</v>
      </c>
      <c r="AB54" t="inlineStr" s="2909">
        <is>
          <t>20250401</t>
        </is>
      </c>
      <c r="AD54" t="n" s="2909">
        <v>0</v>
      </c>
      <c r="AE54" t="inlineStr" s="2909">
        <is>
          <t>00000000</t>
        </is>
      </c>
      <c r="AH54" t="n" s="2909">
        <v>1</v>
      </c>
      <c r="AJ54" t="n" s="2909">
        <v>10</v>
      </c>
      <c r="AP54" t="n" s="2909">
        <v>280000</v>
      </c>
      <c r="DB54" s="2909" t="str">
        <f>IF($A54="","",IF($AH54=20,IF(AND(OR($A54=21,$A54=215),$AJ54=10),"①病院一般",IF(AND($A54=31,$AJ54=41),"②病院短期","対象外")),IF($AJ54=30,"③特定消防",IF(AND(OR($A54=21,$A54=215),$AJ54=10),"④一般",IF(AND($A54=31,$AJ54=41),"⑤短期","対象外")))))</f>
        <v>④一般</v>
      </c>
      <c r="DC54" s="2909">
        <f>IF($A54="","",IF($AB54&amp;""='DB_設定'!$C$4,1,0))</f>
        <v>1</v>
      </c>
    </row>
    <row r="55">
      <c r="A55" t="n" s="2909">
        <v>21</v>
      </c>
      <c r="AA55" t="n" s="2909">
        <v>21</v>
      </c>
      <c r="AB55" t="inlineStr" s="2909">
        <is>
          <t>20250401</t>
        </is>
      </c>
      <c r="AD55" t="n" s="2909">
        <v>0</v>
      </c>
      <c r="AE55" t="inlineStr" s="2909">
        <is>
          <t>00000000</t>
        </is>
      </c>
      <c r="AH55" t="n" s="2909">
        <v>1</v>
      </c>
      <c r="AJ55" t="n" s="2909">
        <v>10</v>
      </c>
      <c r="AP55" t="n" s="2909">
        <v>300000</v>
      </c>
      <c r="DB55" s="2909" t="str">
        <f>IF($A55="","",IF($AH55=20,IF(AND(OR($A55=21,$A55=215),$AJ55=10),"①病院一般",IF(AND($A55=31,$AJ55=41),"②病院短期","対象外")),IF($AJ55=30,"③特定消防",IF(AND(OR($A55=21,$A55=215),$AJ55=10),"④一般",IF(AND($A55=31,$AJ55=41),"⑤短期","対象外")))))</f>
        <v>④一般</v>
      </c>
      <c r="DC55" s="2909">
        <f>IF($A55="","",IF($AB55&amp;""='DB_設定'!$C$4,1,0))</f>
        <v>1</v>
      </c>
    </row>
    <row r="56">
      <c r="A56" t="n" s="2909">
        <v>21</v>
      </c>
      <c r="AA56" t="n" s="2909">
        <v>21</v>
      </c>
      <c r="AB56" t="inlineStr" s="2909">
        <is>
          <t>20250401</t>
        </is>
      </c>
      <c r="AD56" t="n" s="2909">
        <v>0</v>
      </c>
      <c r="AE56" t="inlineStr" s="2909">
        <is>
          <t>00000000</t>
        </is>
      </c>
      <c r="AH56" t="n" s="2909">
        <v>1</v>
      </c>
      <c r="AJ56" t="n" s="2909">
        <v>10</v>
      </c>
      <c r="AP56" t="n" s="2909">
        <v>260000</v>
      </c>
      <c r="DB56" s="2909" t="str">
        <f>IF($A56="","",IF($AH56=20,IF(AND(OR($A56=21,$A56=215),$AJ56=10),"①病院一般",IF(AND($A56=31,$AJ56=41),"②病院短期","対象外")),IF($AJ56=30,"③特定消防",IF(AND(OR($A56=21,$A56=215),$AJ56=10),"④一般",IF(AND($A56=31,$AJ56=41),"⑤短期","対象外")))))</f>
        <v>④一般</v>
      </c>
      <c r="DC56" s="2909">
        <f>IF($A56="","",IF($AB56&amp;""='DB_設定'!$C$4,1,0))</f>
        <v>1</v>
      </c>
    </row>
    <row r="57">
      <c r="A57" t="n" s="2909">
        <v>21</v>
      </c>
      <c r="AA57" t="n" s="2909">
        <v>21</v>
      </c>
      <c r="AB57" t="inlineStr" s="2909">
        <is>
          <t>20250401</t>
        </is>
      </c>
      <c r="AD57" t="n" s="2909">
        <v>0</v>
      </c>
      <c r="AE57" t="inlineStr" s="2909">
        <is>
          <t>00000000</t>
        </is>
      </c>
      <c r="AH57" t="n" s="2909">
        <v>1</v>
      </c>
      <c r="AJ57" t="n" s="2909">
        <v>10</v>
      </c>
      <c r="AP57" t="n" s="2909">
        <v>280000</v>
      </c>
      <c r="DB57" s="2909" t="str">
        <f>IF($A57="","",IF($AH57=20,IF(AND(OR($A57=21,$A57=215),$AJ57=10),"①病院一般",IF(AND($A57=31,$AJ57=41),"②病院短期","対象外")),IF($AJ57=30,"③特定消防",IF(AND(OR($A57=21,$A57=215),$AJ57=10),"④一般",IF(AND($A57=31,$AJ57=41),"⑤短期","対象外")))))</f>
        <v>④一般</v>
      </c>
      <c r="DC57" s="2909">
        <f>IF($A57="","",IF($AB57&amp;""='DB_設定'!$C$4,1,0))</f>
        <v>1</v>
      </c>
    </row>
    <row r="58">
      <c r="A58" t="n" s="2909">
        <v>21</v>
      </c>
      <c r="AA58" t="n" s="2909">
        <v>21</v>
      </c>
      <c r="AB58" t="inlineStr" s="2909">
        <is>
          <t>20250401</t>
        </is>
      </c>
      <c r="AD58" t="n" s="2909">
        <v>0</v>
      </c>
      <c r="AE58" t="inlineStr" s="2909">
        <is>
          <t>00000000</t>
        </is>
      </c>
      <c r="AH58" t="n" s="2909">
        <v>1</v>
      </c>
      <c r="AJ58" t="n" s="2909">
        <v>10</v>
      </c>
      <c r="AP58" t="n" s="2909">
        <v>280000</v>
      </c>
      <c r="DB58" s="2909" t="str">
        <f>IF($A58="","",IF($AH58=20,IF(AND(OR($A58=21,$A58=215),$AJ58=10),"①病院一般",IF(AND($A58=31,$AJ58=41),"②病院短期","対象外")),IF($AJ58=30,"③特定消防",IF(AND(OR($A58=21,$A58=215),$AJ58=10),"④一般",IF(AND($A58=31,$AJ58=41),"⑤短期","対象外")))))</f>
        <v>④一般</v>
      </c>
      <c r="DC58" s="2909">
        <f>IF($A58="","",IF($AB58&amp;""='DB_設定'!$C$4,1,0))</f>
        <v>1</v>
      </c>
    </row>
    <row r="59">
      <c r="A59" t="n" s="2909">
        <v>21</v>
      </c>
      <c r="AA59" t="n" s="2909">
        <v>21</v>
      </c>
      <c r="AB59" t="inlineStr" s="2909">
        <is>
          <t>20250401</t>
        </is>
      </c>
      <c r="AD59" t="n" s="2909">
        <v>0</v>
      </c>
      <c r="AE59" t="inlineStr" s="2909">
        <is>
          <t>00000000</t>
        </is>
      </c>
      <c r="AH59" t="n" s="2909">
        <v>1</v>
      </c>
      <c r="AJ59" t="n" s="2909">
        <v>10</v>
      </c>
      <c r="AP59" t="n" s="2909">
        <v>320000</v>
      </c>
      <c r="DB59" s="2909" t="str">
        <f>IF($A59="","",IF($AH59=20,IF(AND(OR($A59=21,$A59=215),$AJ59=10),"①病院一般",IF(AND($A59=31,$AJ59=41),"②病院短期","対象外")),IF($AJ59=30,"③特定消防",IF(AND(OR($A59=21,$A59=215),$AJ59=10),"④一般",IF(AND($A59=31,$AJ59=41),"⑤短期","対象外")))))</f>
        <v>④一般</v>
      </c>
      <c r="DC59" s="2909">
        <f>IF($A59="","",IF($AB59&amp;""='DB_設定'!$C$4,1,0))</f>
        <v>1</v>
      </c>
    </row>
    <row r="60">
      <c r="A60" t="n" s="2909">
        <v>21</v>
      </c>
      <c r="AA60" t="n" s="2909">
        <v>21</v>
      </c>
      <c r="AB60" t="inlineStr" s="2909">
        <is>
          <t>20250401</t>
        </is>
      </c>
      <c r="AD60" t="n" s="2909">
        <v>0</v>
      </c>
      <c r="AE60" t="inlineStr" s="2909">
        <is>
          <t>00000000</t>
        </is>
      </c>
      <c r="AH60" t="n" s="2909">
        <v>1</v>
      </c>
      <c r="AJ60" t="n" s="2909">
        <v>10</v>
      </c>
      <c r="AP60" t="n" s="2909">
        <v>260000</v>
      </c>
      <c r="DB60" s="2909" t="str">
        <f>IF($A60="","",IF($AH60=20,IF(AND(OR($A60=21,$A60=215),$AJ60=10),"①病院一般",IF(AND($A60=31,$AJ60=41),"②病院短期","対象外")),IF($AJ60=30,"③特定消防",IF(AND(OR($A60=21,$A60=215),$AJ60=10),"④一般",IF(AND($A60=31,$AJ60=41),"⑤短期","対象外")))))</f>
        <v>④一般</v>
      </c>
      <c r="DC60" s="2909">
        <f>IF($A60="","",IF($AB60&amp;""='DB_設定'!$C$4,1,0))</f>
        <v>1</v>
      </c>
    </row>
    <row r="61">
      <c r="A61" t="n" s="2909">
        <v>21</v>
      </c>
      <c r="AA61" t="n" s="2909">
        <v>21</v>
      </c>
      <c r="AB61" t="inlineStr" s="2909">
        <is>
          <t>20250401</t>
        </is>
      </c>
      <c r="AD61" t="n" s="2909">
        <v>0</v>
      </c>
      <c r="AE61" t="inlineStr" s="2909">
        <is>
          <t>00000000</t>
        </is>
      </c>
      <c r="AH61" t="n" s="2909">
        <v>1</v>
      </c>
      <c r="AJ61" t="n" s="2909">
        <v>10</v>
      </c>
      <c r="AP61" t="n" s="2909">
        <v>280000</v>
      </c>
      <c r="DB61" s="2909" t="str">
        <f>IF($A61="","",IF($AH61=20,IF(AND(OR($A61=21,$A61=215),$AJ61=10),"①病院一般",IF(AND($A61=31,$AJ61=41),"②病院短期","対象外")),IF($AJ61=30,"③特定消防",IF(AND(OR($A61=21,$A61=215),$AJ61=10),"④一般",IF(AND($A61=31,$AJ61=41),"⑤短期","対象外")))))</f>
        <v>④一般</v>
      </c>
      <c r="DC61" s="2909">
        <f>IF($A61="","",IF($AB61&amp;""='DB_設定'!$C$4,1,0))</f>
        <v>1</v>
      </c>
    </row>
    <row r="62">
      <c r="A62" t="n" s="2909">
        <v>21</v>
      </c>
      <c r="AA62" t="n" s="2909">
        <v>21</v>
      </c>
      <c r="AB62" t="inlineStr" s="2909">
        <is>
          <t>20250401</t>
        </is>
      </c>
      <c r="AD62" t="n" s="2909">
        <v>0</v>
      </c>
      <c r="AE62" t="inlineStr" s="2909">
        <is>
          <t>00000000</t>
        </is>
      </c>
      <c r="AH62" t="n" s="2909">
        <v>4</v>
      </c>
      <c r="AJ62" t="n" s="2909">
        <v>10</v>
      </c>
      <c r="AP62" t="n" s="2909">
        <v>300000</v>
      </c>
      <c r="DB62" s="2909" t="str">
        <f>IF($A62="","",IF($AH62=20,IF(AND(OR($A62=21,$A62=215),$AJ62=10),"①病院一般",IF(AND($A62=31,$AJ62=41),"②病院短期","対象外")),IF($AJ62=30,"③特定消防",IF(AND(OR($A62=21,$A62=215),$AJ62=10),"④一般",IF(AND($A62=31,$AJ62=41),"⑤短期","対象外")))))</f>
        <v>④一般</v>
      </c>
      <c r="DC62" s="2909">
        <f>IF($A62="","",IF($AB62&amp;""='DB_設定'!$C$4,1,0))</f>
        <v>1</v>
      </c>
    </row>
    <row r="63">
      <c r="A63" t="n" s="2909">
        <v>21</v>
      </c>
      <c r="AA63" t="n" s="2909">
        <v>21</v>
      </c>
      <c r="AB63" t="inlineStr" s="2909">
        <is>
          <t>20250401</t>
        </is>
      </c>
      <c r="AD63" t="n" s="2909">
        <v>0</v>
      </c>
      <c r="AE63" t="inlineStr" s="2909">
        <is>
          <t>00000000</t>
        </is>
      </c>
      <c r="AH63" t="n" s="2909">
        <v>1</v>
      </c>
      <c r="AJ63" t="n" s="2909">
        <v>10</v>
      </c>
      <c r="AP63" t="n" s="2909">
        <v>320000</v>
      </c>
      <c r="DB63" s="2909" t="str">
        <f>IF($A63="","",IF($AH63=20,IF(AND(OR($A63=21,$A63=215),$AJ63=10),"①病院一般",IF(AND($A63=31,$AJ63=41),"②病院短期","対象外")),IF($AJ63=30,"③特定消防",IF(AND(OR($A63=21,$A63=215),$AJ63=10),"④一般",IF(AND($A63=31,$AJ63=41),"⑤短期","対象外")))))</f>
        <v>④一般</v>
      </c>
      <c r="DC63" s="2909">
        <f>IF($A63="","",IF($AB63&amp;""='DB_設定'!$C$4,1,0))</f>
        <v>1</v>
      </c>
    </row>
    <row r="64">
      <c r="A64" t="n" s="2909">
        <v>21</v>
      </c>
      <c r="AA64" t="n" s="2909">
        <v>21</v>
      </c>
      <c r="AB64" t="inlineStr" s="2909">
        <is>
          <t>20250401</t>
        </is>
      </c>
      <c r="AD64" t="n" s="2909">
        <v>0</v>
      </c>
      <c r="AE64" t="inlineStr" s="2909">
        <is>
          <t>00000000</t>
        </is>
      </c>
      <c r="AH64" t="n" s="2909">
        <v>1</v>
      </c>
      <c r="AJ64" t="n" s="2909">
        <v>10</v>
      </c>
      <c r="AP64" t="n" s="2909">
        <v>340000</v>
      </c>
      <c r="DB64" s="2909" t="str">
        <f>IF($A64="","",IF($AH64=20,IF(AND(OR($A64=21,$A64=215),$AJ64=10),"①病院一般",IF(AND($A64=31,$AJ64=41),"②病院短期","対象外")),IF($AJ64=30,"③特定消防",IF(AND(OR($A64=21,$A64=215),$AJ64=10),"④一般",IF(AND($A64=31,$AJ64=41),"⑤短期","対象外")))))</f>
        <v>④一般</v>
      </c>
      <c r="DC64" s="2909">
        <f>IF($A64="","",IF($AB64&amp;""='DB_設定'!$C$4,1,0))</f>
        <v>1</v>
      </c>
    </row>
    <row r="65">
      <c r="A65" t="n" s="2909">
        <v>21</v>
      </c>
      <c r="AA65" t="n" s="2909">
        <v>21</v>
      </c>
      <c r="AB65" t="inlineStr" s="2909">
        <is>
          <t>20250401</t>
        </is>
      </c>
      <c r="AD65" t="n" s="2909">
        <v>0</v>
      </c>
      <c r="AE65" t="inlineStr" s="2909">
        <is>
          <t>00000000</t>
        </is>
      </c>
      <c r="AH65" t="n" s="2909">
        <v>1</v>
      </c>
      <c r="AJ65" t="n" s="2909">
        <v>10</v>
      </c>
      <c r="AP65" t="n" s="2909">
        <v>280000</v>
      </c>
      <c r="DB65" s="2909" t="str">
        <f>IF($A65="","",IF($AH65=20,IF(AND(OR($A65=21,$A65=215),$AJ65=10),"①病院一般",IF(AND($A65=31,$AJ65=41),"②病院短期","対象外")),IF($AJ65=30,"③特定消防",IF(AND(OR($A65=21,$A65=215),$AJ65=10),"④一般",IF(AND($A65=31,$AJ65=41),"⑤短期","対象外")))))</f>
        <v>④一般</v>
      </c>
      <c r="DC65" s="2909">
        <f>IF($A65="","",IF($AB65&amp;""='DB_設定'!$C$4,1,0))</f>
        <v>1</v>
      </c>
    </row>
    <row r="66">
      <c r="A66" t="n" s="2909">
        <v>21</v>
      </c>
      <c r="AA66" t="n" s="2909">
        <v>21</v>
      </c>
      <c r="AB66" t="inlineStr" s="2909">
        <is>
          <t>20250401</t>
        </is>
      </c>
      <c r="AD66" t="n" s="2909">
        <v>0</v>
      </c>
      <c r="AE66" t="inlineStr" s="2909">
        <is>
          <t>00000000</t>
        </is>
      </c>
      <c r="AH66" t="n" s="2909">
        <v>1</v>
      </c>
      <c r="AJ66" t="n" s="2909">
        <v>10</v>
      </c>
      <c r="AP66" t="n" s="2909">
        <v>280000</v>
      </c>
      <c r="DB66" s="2909" t="str">
        <f>IF($A66="","",IF($AH66=20,IF(AND(OR($A66=21,$A66=215),$AJ66=10),"①病院一般",IF(AND($A66=31,$AJ66=41),"②病院短期","対象外")),IF($AJ66=30,"③特定消防",IF(AND(OR($A66=21,$A66=215),$AJ66=10),"④一般",IF(AND($A66=31,$AJ66=41),"⑤短期","対象外")))))</f>
        <v>④一般</v>
      </c>
      <c r="DC66" s="2909">
        <f>IF($A66="","",IF($AB66&amp;""='DB_設定'!$C$4,1,0))</f>
        <v>1</v>
      </c>
    </row>
    <row r="67">
      <c r="A67" t="n" s="2909">
        <v>21</v>
      </c>
      <c r="AA67" t="n" s="2909">
        <v>21</v>
      </c>
      <c r="AB67" t="inlineStr" s="2909">
        <is>
          <t>20250401</t>
        </is>
      </c>
      <c r="AD67" t="n" s="2909">
        <v>0</v>
      </c>
      <c r="AE67" t="inlineStr" s="2909">
        <is>
          <t>00000000</t>
        </is>
      </c>
      <c r="AH67" t="n" s="2909">
        <v>1</v>
      </c>
      <c r="AJ67" t="n" s="2909">
        <v>10</v>
      </c>
      <c r="AP67" t="n" s="2909">
        <v>260000</v>
      </c>
      <c r="DB67" s="2909" t="str">
        <f>IF($A67="","",IF($AH67=20,IF(AND(OR($A67=21,$A67=215),$AJ67=10),"①病院一般",IF(AND($A67=31,$AJ67=41),"②病院短期","対象外")),IF($AJ67=30,"③特定消防",IF(AND(OR($A67=21,$A67=215),$AJ67=10),"④一般",IF(AND($A67=31,$AJ67=41),"⑤短期","対象外")))))</f>
        <v>④一般</v>
      </c>
      <c r="DC67" s="2909">
        <f>IF($A67="","",IF($AB67&amp;""='DB_設定'!$C$4,1,0))</f>
        <v>1</v>
      </c>
    </row>
    <row r="68">
      <c r="A68" t="n" s="2909">
        <v>21</v>
      </c>
      <c r="AA68" t="n" s="2909">
        <v>21</v>
      </c>
      <c r="AB68" t="inlineStr" s="2909">
        <is>
          <t>20250401</t>
        </is>
      </c>
      <c r="AD68" t="n" s="2909">
        <v>0</v>
      </c>
      <c r="AE68" t="inlineStr" s="2909">
        <is>
          <t>00000000</t>
        </is>
      </c>
      <c r="AH68" t="n" s="2909">
        <v>1</v>
      </c>
      <c r="AJ68" t="n" s="2909">
        <v>10</v>
      </c>
      <c r="AP68" t="n" s="2909">
        <v>280000</v>
      </c>
      <c r="DB68" s="2909" t="str">
        <f>IF($A68="","",IF($AH68=20,IF(AND(OR($A68=21,$A68=215),$AJ68=10),"①病院一般",IF(AND($A68=31,$AJ68=41),"②病院短期","対象外")),IF($AJ68=30,"③特定消防",IF(AND(OR($A68=21,$A68=215),$AJ68=10),"④一般",IF(AND($A68=31,$AJ68=41),"⑤短期","対象外")))))</f>
        <v>④一般</v>
      </c>
      <c r="DC68" s="2909">
        <f>IF($A68="","",IF($AB68&amp;""='DB_設定'!$C$4,1,0))</f>
        <v>1</v>
      </c>
    </row>
    <row r="69">
      <c r="A69" t="n" s="2909">
        <v>21</v>
      </c>
      <c r="AA69" t="n" s="2909">
        <v>21</v>
      </c>
      <c r="AB69" t="inlineStr" s="2909">
        <is>
          <t>20250401</t>
        </is>
      </c>
      <c r="AD69" t="n" s="2909">
        <v>0</v>
      </c>
      <c r="AE69" t="inlineStr" s="2909">
        <is>
          <t>00000000</t>
        </is>
      </c>
      <c r="AH69" t="n" s="2909">
        <v>4</v>
      </c>
      <c r="AJ69" t="n" s="2909">
        <v>10</v>
      </c>
      <c r="AP69" t="n" s="2909">
        <v>260000</v>
      </c>
      <c r="DB69" s="2909" t="str">
        <f>IF($A69="","",IF($AH69=20,IF(AND(OR($A69=21,$A69=215),$AJ69=10),"①病院一般",IF(AND($A69=31,$AJ69=41),"②病院短期","対象外")),IF($AJ69=30,"③特定消防",IF(AND(OR($A69=21,$A69=215),$AJ69=10),"④一般",IF(AND($A69=31,$AJ69=41),"⑤短期","対象外")))))</f>
        <v>④一般</v>
      </c>
      <c r="DC69" s="2909">
        <f>IF($A69="","",IF($AB69&amp;""='DB_設定'!$C$4,1,0))</f>
        <v>1</v>
      </c>
    </row>
    <row r="70">
      <c r="A70" t="n" s="2909">
        <v>21</v>
      </c>
      <c r="AA70" t="n" s="2909">
        <v>21</v>
      </c>
      <c r="AB70" t="inlineStr" s="2909">
        <is>
          <t>20250401</t>
        </is>
      </c>
      <c r="AD70" t="n" s="2909">
        <v>0</v>
      </c>
      <c r="AE70" t="inlineStr" s="2909">
        <is>
          <t>00000000</t>
        </is>
      </c>
      <c r="AH70" t="n" s="2909">
        <v>1</v>
      </c>
      <c r="AJ70" t="n" s="2909">
        <v>10</v>
      </c>
      <c r="AP70" t="n" s="2909">
        <v>380000</v>
      </c>
      <c r="DB70" s="2909" t="str">
        <f>IF($A70="","",IF($AH70=20,IF(AND(OR($A70=21,$A70=215),$AJ70=10),"①病院一般",IF(AND($A70=31,$AJ70=41),"②病院短期","対象外")),IF($AJ70=30,"③特定消防",IF(AND(OR($A70=21,$A70=215),$AJ70=10),"④一般",IF(AND($A70=31,$AJ70=41),"⑤短期","対象外")))))</f>
        <v>④一般</v>
      </c>
      <c r="DC70" s="2909">
        <f>IF($A70="","",IF($AB70&amp;""='DB_設定'!$C$4,1,0))</f>
        <v>1</v>
      </c>
    </row>
    <row r="71">
      <c r="A71" t="n" s="2909">
        <v>21</v>
      </c>
      <c r="AA71" t="n" s="2909">
        <v>21</v>
      </c>
      <c r="AB71" t="inlineStr" s="2909">
        <is>
          <t>20250401</t>
        </is>
      </c>
      <c r="AD71" t="n" s="2909">
        <v>0</v>
      </c>
      <c r="AE71" t="inlineStr" s="2909">
        <is>
          <t>00000000</t>
        </is>
      </c>
      <c r="AH71" t="n" s="2909">
        <v>1</v>
      </c>
      <c r="AJ71" t="n" s="2909">
        <v>10</v>
      </c>
      <c r="AP71" t="n" s="2909">
        <v>260000</v>
      </c>
      <c r="DB71" s="2909" t="str">
        <f>IF($A71="","",IF($AH71=20,IF(AND(OR($A71=21,$A71=215),$AJ71=10),"①病院一般",IF(AND($A71=31,$AJ71=41),"②病院短期","対象外")),IF($AJ71=30,"③特定消防",IF(AND(OR($A71=21,$A71=215),$AJ71=10),"④一般",IF(AND($A71=31,$AJ71=41),"⑤短期","対象外")))))</f>
        <v>④一般</v>
      </c>
      <c r="DC71" s="2909">
        <f>IF($A71="","",IF($AB71&amp;""='DB_設定'!$C$4,1,0))</f>
        <v>1</v>
      </c>
    </row>
    <row r="72">
      <c r="A72" t="n" s="2909">
        <v>21</v>
      </c>
      <c r="AA72" t="n" s="2909">
        <v>21</v>
      </c>
      <c r="AB72" t="inlineStr" s="2909">
        <is>
          <t>20250401</t>
        </is>
      </c>
      <c r="AD72" t="n" s="2909">
        <v>0</v>
      </c>
      <c r="AE72" t="inlineStr" s="2909">
        <is>
          <t>00000000</t>
        </is>
      </c>
      <c r="AH72" t="n" s="2909">
        <v>1</v>
      </c>
      <c r="AJ72" t="n" s="2909">
        <v>10</v>
      </c>
      <c r="AP72" t="n" s="2909">
        <v>280000</v>
      </c>
      <c r="DB72" s="2909" t="str">
        <f>IF($A72="","",IF($AH72=20,IF(AND(OR($A72=21,$A72=215),$AJ72=10),"①病院一般",IF(AND($A72=31,$AJ72=41),"②病院短期","対象外")),IF($AJ72=30,"③特定消防",IF(AND(OR($A72=21,$A72=215),$AJ72=10),"④一般",IF(AND($A72=31,$AJ72=41),"⑤短期","対象外")))))</f>
        <v>④一般</v>
      </c>
      <c r="DC72" s="2909">
        <f>IF($A72="","",IF($AB72&amp;""='DB_設定'!$C$4,1,0))</f>
        <v>1</v>
      </c>
    </row>
    <row r="73">
      <c r="A73" t="n" s="2909">
        <v>21</v>
      </c>
      <c r="AA73" t="n" s="2909">
        <v>21</v>
      </c>
      <c r="AB73" t="inlineStr" s="2909">
        <is>
          <t>20250401</t>
        </is>
      </c>
      <c r="AD73" t="n" s="2909">
        <v>0</v>
      </c>
      <c r="AE73" t="inlineStr" s="2909">
        <is>
          <t>00000000</t>
        </is>
      </c>
      <c r="AH73" t="n" s="2909">
        <v>11</v>
      </c>
      <c r="AJ73" t="n" s="2909">
        <v>10</v>
      </c>
      <c r="AP73" t="n" s="2909">
        <v>300000</v>
      </c>
      <c r="DB73" s="2909" t="str">
        <f>IF($A73="","",IF($AH73=20,IF(AND(OR($A73=21,$A73=215),$AJ73=10),"①病院一般",IF(AND($A73=31,$AJ73=41),"②病院短期","対象外")),IF($AJ73=30,"③特定消防",IF(AND(OR($A73=21,$A73=215),$AJ73=10),"④一般",IF(AND($A73=31,$AJ73=41),"⑤短期","対象外")))))</f>
        <v>④一般</v>
      </c>
      <c r="DC73" s="2909">
        <f>IF($A73="","",IF($AB73&amp;""='DB_設定'!$C$4,1,0))</f>
        <v>1</v>
      </c>
    </row>
    <row r="74">
      <c r="A74" t="n" s="2909">
        <v>21</v>
      </c>
      <c r="AA74" t="n" s="2909">
        <v>21</v>
      </c>
      <c r="AB74" t="inlineStr" s="2909">
        <is>
          <t>20250401</t>
        </is>
      </c>
      <c r="AD74" t="n" s="2909">
        <v>0</v>
      </c>
      <c r="AE74" t="inlineStr" s="2909">
        <is>
          <t>00000000</t>
        </is>
      </c>
      <c r="AH74" t="n" s="2909">
        <v>1</v>
      </c>
      <c r="AJ74" t="n" s="2909">
        <v>10</v>
      </c>
      <c r="AP74" t="n" s="2909">
        <v>260000</v>
      </c>
      <c r="DB74" s="2909" t="str">
        <f>IF($A74="","",IF($AH74=20,IF(AND(OR($A74=21,$A74=215),$AJ74=10),"①病院一般",IF(AND($A74=31,$AJ74=41),"②病院短期","対象外")),IF($AJ74=30,"③特定消防",IF(AND(OR($A74=21,$A74=215),$AJ74=10),"④一般",IF(AND($A74=31,$AJ74=41),"⑤短期","対象外")))))</f>
        <v>④一般</v>
      </c>
      <c r="DC74" s="2909">
        <f>IF($A74="","",IF($AB74&amp;""='DB_設定'!$C$4,1,0))</f>
        <v>1</v>
      </c>
    </row>
    <row r="75">
      <c r="A75" t="n" s="2909">
        <v>21</v>
      </c>
      <c r="AA75" t="n" s="2909">
        <v>21</v>
      </c>
      <c r="AB75" t="inlineStr" s="2909">
        <is>
          <t>20250401</t>
        </is>
      </c>
      <c r="AD75" t="n" s="2909">
        <v>0</v>
      </c>
      <c r="AE75" t="inlineStr" s="2909">
        <is>
          <t>00000000</t>
        </is>
      </c>
      <c r="AH75" t="n" s="2909">
        <v>1</v>
      </c>
      <c r="AJ75" t="n" s="2909">
        <v>10</v>
      </c>
      <c r="AP75" t="n" s="2909">
        <v>300000</v>
      </c>
      <c r="DB75" s="2909" t="str">
        <f>IF($A75="","",IF($AH75=20,IF(AND(OR($A75=21,$A75=215),$AJ75=10),"①病院一般",IF(AND($A75=31,$AJ75=41),"②病院短期","対象外")),IF($AJ75=30,"③特定消防",IF(AND(OR($A75=21,$A75=215),$AJ75=10),"④一般",IF(AND($A75=31,$AJ75=41),"⑤短期","対象外")))))</f>
        <v>④一般</v>
      </c>
      <c r="DC75" s="2909">
        <f>IF($A75="","",IF($AB75&amp;""='DB_設定'!$C$4,1,0))</f>
        <v>1</v>
      </c>
    </row>
    <row r="76">
      <c r="A76" t="n" s="2909">
        <v>21</v>
      </c>
      <c r="AA76" t="n" s="2909">
        <v>21</v>
      </c>
      <c r="AB76" t="inlineStr" s="2909">
        <is>
          <t>20250401</t>
        </is>
      </c>
      <c r="AD76" t="n" s="2909">
        <v>0</v>
      </c>
      <c r="AE76" t="inlineStr" s="2909">
        <is>
          <t>00000000</t>
        </is>
      </c>
      <c r="AH76" t="n" s="2909">
        <v>1</v>
      </c>
      <c r="AJ76" t="n" s="2909">
        <v>10</v>
      </c>
      <c r="AP76" t="n" s="2909">
        <v>240000</v>
      </c>
      <c r="DB76" s="2909" t="str">
        <f>IF($A76="","",IF($AH76=20,IF(AND(OR($A76=21,$A76=215),$AJ76=10),"①病院一般",IF(AND($A76=31,$AJ76=41),"②病院短期","対象外")),IF($AJ76=30,"③特定消防",IF(AND(OR($A76=21,$A76=215),$AJ76=10),"④一般",IF(AND($A76=31,$AJ76=41),"⑤短期","対象外")))))</f>
        <v>④一般</v>
      </c>
      <c r="DC76" s="2909">
        <f>IF($A76="","",IF($AB76&amp;""='DB_設定'!$C$4,1,0))</f>
        <v>1</v>
      </c>
    </row>
    <row r="77">
      <c r="A77" t="n" s="2909">
        <v>21</v>
      </c>
      <c r="AA77" t="n" s="2909">
        <v>21</v>
      </c>
      <c r="AB77" t="inlineStr" s="2909">
        <is>
          <t>20250401</t>
        </is>
      </c>
      <c r="AD77" t="n" s="2909">
        <v>0</v>
      </c>
      <c r="AE77" t="inlineStr" s="2909">
        <is>
          <t>00000000</t>
        </is>
      </c>
      <c r="AH77" t="n" s="2909">
        <v>1</v>
      </c>
      <c r="AJ77" t="n" s="2909">
        <v>10</v>
      </c>
      <c r="AP77" t="n" s="2909">
        <v>300000</v>
      </c>
      <c r="DB77" s="2909" t="str">
        <f>IF($A77="","",IF($AH77=20,IF(AND(OR($A77=21,$A77=215),$AJ77=10),"①病院一般",IF(AND($A77=31,$AJ77=41),"②病院短期","対象外")),IF($AJ77=30,"③特定消防",IF(AND(OR($A77=21,$A77=215),$AJ77=10),"④一般",IF(AND($A77=31,$AJ77=41),"⑤短期","対象外")))))</f>
        <v>④一般</v>
      </c>
      <c r="DC77" s="2909">
        <f>IF($A77="","",IF($AB77&amp;""='DB_設定'!$C$4,1,0))</f>
        <v>1</v>
      </c>
    </row>
    <row r="78">
      <c r="A78" t="n" s="2909">
        <v>21</v>
      </c>
      <c r="AA78" t="n" s="2909">
        <v>21</v>
      </c>
      <c r="AB78" t="inlineStr" s="2909">
        <is>
          <t>20250401</t>
        </is>
      </c>
      <c r="AD78" t="n" s="2909">
        <v>0</v>
      </c>
      <c r="AE78" t="inlineStr" s="2909">
        <is>
          <t>00000000</t>
        </is>
      </c>
      <c r="AH78" t="n" s="2909">
        <v>1</v>
      </c>
      <c r="AJ78" t="n" s="2909">
        <v>10</v>
      </c>
      <c r="AP78" t="n" s="2909">
        <v>300000</v>
      </c>
      <c r="DB78" s="2909" t="str">
        <f>IF($A78="","",IF($AH78=20,IF(AND(OR($A78=21,$A78=215),$AJ78=10),"①病院一般",IF(AND($A78=31,$AJ78=41),"②病院短期","対象外")),IF($AJ78=30,"③特定消防",IF(AND(OR($A78=21,$A78=215),$AJ78=10),"④一般",IF(AND($A78=31,$AJ78=41),"⑤短期","対象外")))))</f>
        <v>④一般</v>
      </c>
      <c r="DC78" s="2909">
        <f>IF($A78="","",IF($AB78&amp;""='DB_設定'!$C$4,1,0))</f>
        <v>1</v>
      </c>
    </row>
    <row r="79">
      <c r="A79" t="n" s="2909">
        <v>21</v>
      </c>
      <c r="AA79" t="n" s="2909">
        <v>21</v>
      </c>
      <c r="AB79" t="inlineStr" s="2909">
        <is>
          <t>20250401</t>
        </is>
      </c>
      <c r="AD79" t="n" s="2909">
        <v>0</v>
      </c>
      <c r="AE79" t="inlineStr" s="2909">
        <is>
          <t>00000000</t>
        </is>
      </c>
      <c r="AH79" t="n" s="2909">
        <v>1</v>
      </c>
      <c r="AJ79" t="n" s="2909">
        <v>10</v>
      </c>
      <c r="AP79" t="n" s="2909">
        <v>240000</v>
      </c>
      <c r="DB79" s="2909" t="str">
        <f>IF($A79="","",IF($AH79=20,IF(AND(OR($A79=21,$A79=215),$AJ79=10),"①病院一般",IF(AND($A79=31,$AJ79=41),"②病院短期","対象外")),IF($AJ79=30,"③特定消防",IF(AND(OR($A79=21,$A79=215),$AJ79=10),"④一般",IF(AND($A79=31,$AJ79=41),"⑤短期","対象外")))))</f>
        <v>④一般</v>
      </c>
      <c r="DC79" s="2909">
        <f>IF($A79="","",IF($AB79&amp;""='DB_設定'!$C$4,1,0))</f>
        <v>1</v>
      </c>
    </row>
    <row r="80">
      <c r="A80" t="n" s="2909">
        <v>21</v>
      </c>
      <c r="AA80" t="n" s="2909">
        <v>21</v>
      </c>
      <c r="AB80" t="inlineStr" s="2909">
        <is>
          <t>20250401</t>
        </is>
      </c>
      <c r="AD80" t="n" s="2909">
        <v>0</v>
      </c>
      <c r="AE80" t="inlineStr" s="2909">
        <is>
          <t>00000000</t>
        </is>
      </c>
      <c r="AH80" t="n" s="2909">
        <v>4</v>
      </c>
      <c r="AJ80" t="n" s="2909">
        <v>10</v>
      </c>
      <c r="AP80" t="n" s="2909">
        <v>260000</v>
      </c>
      <c r="DB80" s="2909" t="str">
        <f>IF($A80="","",IF($AH80=20,IF(AND(OR($A80=21,$A80=215),$AJ80=10),"①病院一般",IF(AND($A80=31,$AJ80=41),"②病院短期","対象外")),IF($AJ80=30,"③特定消防",IF(AND(OR($A80=21,$A80=215),$AJ80=10),"④一般",IF(AND($A80=31,$AJ80=41),"⑤短期","対象外")))))</f>
        <v>④一般</v>
      </c>
      <c r="DC80" s="2909">
        <f>IF($A80="","",IF($AB80&amp;""='DB_設定'!$C$4,1,0))</f>
        <v>1</v>
      </c>
    </row>
    <row r="81">
      <c r="A81" t="n" s="2909">
        <v>21</v>
      </c>
      <c r="AA81" t="n" s="2909">
        <v>21</v>
      </c>
      <c r="AB81" t="inlineStr" s="2909">
        <is>
          <t>20250401</t>
        </is>
      </c>
      <c r="AD81" t="n" s="2909">
        <v>0</v>
      </c>
      <c r="AE81" t="inlineStr" s="2909">
        <is>
          <t>00000000</t>
        </is>
      </c>
      <c r="AH81" t="n" s="2909">
        <v>1</v>
      </c>
      <c r="AJ81" t="n" s="2909">
        <v>10</v>
      </c>
      <c r="AP81" t="n" s="2909">
        <v>360000</v>
      </c>
      <c r="DB81" s="2909" t="str">
        <f>IF($A81="","",IF($AH81=20,IF(AND(OR($A81=21,$A81=215),$AJ81=10),"①病院一般",IF(AND($A81=31,$AJ81=41),"②病院短期","対象外")),IF($AJ81=30,"③特定消防",IF(AND(OR($A81=21,$A81=215),$AJ81=10),"④一般",IF(AND($A81=31,$AJ81=41),"⑤短期","対象外")))))</f>
        <v>④一般</v>
      </c>
      <c r="DC81" s="2909">
        <f>IF($A81="","",IF($AB81&amp;""='DB_設定'!$C$4,1,0))</f>
        <v>1</v>
      </c>
    </row>
    <row r="82">
      <c r="A82" t="n" s="2909">
        <v>21</v>
      </c>
      <c r="AA82" t="n" s="2909">
        <v>21</v>
      </c>
      <c r="AB82" t="inlineStr" s="2909">
        <is>
          <t>20250401</t>
        </is>
      </c>
      <c r="AD82" t="n" s="2909">
        <v>0</v>
      </c>
      <c r="AE82" t="inlineStr" s="2909">
        <is>
          <t>00000000</t>
        </is>
      </c>
      <c r="AH82" t="n" s="2909">
        <v>1</v>
      </c>
      <c r="AJ82" t="n" s="2909">
        <v>10</v>
      </c>
      <c r="AP82" t="n" s="2909">
        <v>280000</v>
      </c>
      <c r="DB82" s="2909" t="str">
        <f>IF($A82="","",IF($AH82=20,IF(AND(OR($A82=21,$A82=215),$AJ82=10),"①病院一般",IF(AND($A82=31,$AJ82=41),"②病院短期","対象外")),IF($AJ82=30,"③特定消防",IF(AND(OR($A82=21,$A82=215),$AJ82=10),"④一般",IF(AND($A82=31,$AJ82=41),"⑤短期","対象外")))))</f>
        <v>④一般</v>
      </c>
      <c r="DC82" s="2909">
        <f>IF($A82="","",IF($AB82&amp;""='DB_設定'!$C$4,1,0))</f>
        <v>1</v>
      </c>
    </row>
    <row r="83">
      <c r="A83" t="n" s="2909">
        <v>21</v>
      </c>
      <c r="AA83" t="n" s="2909">
        <v>21</v>
      </c>
      <c r="AB83" t="inlineStr" s="2909">
        <is>
          <t>20250401</t>
        </is>
      </c>
      <c r="AD83" t="n" s="2909">
        <v>0</v>
      </c>
      <c r="AE83" t="inlineStr" s="2909">
        <is>
          <t>00000000</t>
        </is>
      </c>
      <c r="AH83" t="n" s="2909">
        <v>1</v>
      </c>
      <c r="AJ83" t="n" s="2909">
        <v>10</v>
      </c>
      <c r="AP83" t="n" s="2909">
        <v>300000</v>
      </c>
      <c r="DB83" s="2909" t="str">
        <f>IF($A83="","",IF($AH83=20,IF(AND(OR($A83=21,$A83=215),$AJ83=10),"①病院一般",IF(AND($A83=31,$AJ83=41),"②病院短期","対象外")),IF($AJ83=30,"③特定消防",IF(AND(OR($A83=21,$A83=215),$AJ83=10),"④一般",IF(AND($A83=31,$AJ83=41),"⑤短期","対象外")))))</f>
        <v>④一般</v>
      </c>
      <c r="DC83" s="2909">
        <f>IF($A83="","",IF($AB83&amp;""='DB_設定'!$C$4,1,0))</f>
        <v>1</v>
      </c>
    </row>
    <row r="84">
      <c r="A84" t="n" s="2909">
        <v>21</v>
      </c>
      <c r="AA84" t="n" s="2909">
        <v>21</v>
      </c>
      <c r="AB84" t="inlineStr" s="2909">
        <is>
          <t>20250401</t>
        </is>
      </c>
      <c r="AD84" t="n" s="2909">
        <v>0</v>
      </c>
      <c r="AE84" t="inlineStr" s="2909">
        <is>
          <t>00000000</t>
        </is>
      </c>
      <c r="AH84" t="n" s="2909">
        <v>1</v>
      </c>
      <c r="AJ84" t="n" s="2909">
        <v>10</v>
      </c>
      <c r="AP84" t="n" s="2909">
        <v>260000</v>
      </c>
      <c r="DB84" s="2909" t="str">
        <f>IF($A84="","",IF($AH84=20,IF(AND(OR($A84=21,$A84=215),$AJ84=10),"①病院一般",IF(AND($A84=31,$AJ84=41),"②病院短期","対象外")),IF($AJ84=30,"③特定消防",IF(AND(OR($A84=21,$A84=215),$AJ84=10),"④一般",IF(AND($A84=31,$AJ84=41),"⑤短期","対象外")))))</f>
        <v>④一般</v>
      </c>
      <c r="DC84" s="2909">
        <f>IF($A84="","",IF($AB84&amp;""='DB_設定'!$C$4,1,0))</f>
        <v>1</v>
      </c>
    </row>
    <row r="85">
      <c r="A85" t="n" s="2909">
        <v>21</v>
      </c>
      <c r="AA85" t="n" s="2909">
        <v>21</v>
      </c>
      <c r="AB85" t="inlineStr" s="2909">
        <is>
          <t>20250401</t>
        </is>
      </c>
      <c r="AD85" t="n" s="2909">
        <v>0</v>
      </c>
      <c r="AE85" t="inlineStr" s="2909">
        <is>
          <t>00000000</t>
        </is>
      </c>
      <c r="AH85" t="n" s="2909">
        <v>1</v>
      </c>
      <c r="AJ85" t="n" s="2909">
        <v>10</v>
      </c>
      <c r="AP85" t="n" s="2909">
        <v>280000</v>
      </c>
      <c r="DB85" s="2909" t="str">
        <f>IF($A85="","",IF($AH85=20,IF(AND(OR($A85=21,$A85=215),$AJ85=10),"①病院一般",IF(AND($A85=31,$AJ85=41),"②病院短期","対象外")),IF($AJ85=30,"③特定消防",IF(AND(OR($A85=21,$A85=215),$AJ85=10),"④一般",IF(AND($A85=31,$AJ85=41),"⑤短期","対象外")))))</f>
        <v>④一般</v>
      </c>
      <c r="DC85" s="2909">
        <f>IF($A85="","",IF($AB85&amp;""='DB_設定'!$C$4,1,0))</f>
        <v>1</v>
      </c>
    </row>
    <row r="86">
      <c r="A86" t="n" s="2909">
        <v>21</v>
      </c>
      <c r="AA86" t="n" s="2909">
        <v>21</v>
      </c>
      <c r="AB86" t="inlineStr" s="2909">
        <is>
          <t>20250401</t>
        </is>
      </c>
      <c r="AD86" t="n" s="2909">
        <v>0</v>
      </c>
      <c r="AE86" t="inlineStr" s="2909">
        <is>
          <t>00000000</t>
        </is>
      </c>
      <c r="AH86" t="n" s="2909">
        <v>1</v>
      </c>
      <c r="AJ86" t="n" s="2909">
        <v>10</v>
      </c>
      <c r="AP86" t="n" s="2909">
        <v>280000</v>
      </c>
      <c r="DB86" s="2909" t="str">
        <f>IF($A86="","",IF($AH86=20,IF(AND(OR($A86=21,$A86=215),$AJ86=10),"①病院一般",IF(AND($A86=31,$AJ86=41),"②病院短期","対象外")),IF($AJ86=30,"③特定消防",IF(AND(OR($A86=21,$A86=215),$AJ86=10),"④一般",IF(AND($A86=31,$AJ86=41),"⑤短期","対象外")))))</f>
        <v>④一般</v>
      </c>
      <c r="DC86" s="2909">
        <f>IF($A86="","",IF($AB86&amp;""='DB_設定'!$C$4,1,0))</f>
        <v>1</v>
      </c>
    </row>
    <row r="87">
      <c r="A87" t="n" s="2909">
        <v>21</v>
      </c>
      <c r="AA87" t="n" s="2909">
        <v>21</v>
      </c>
      <c r="AB87" t="inlineStr" s="2909">
        <is>
          <t>20250401</t>
        </is>
      </c>
      <c r="AD87" t="n" s="2909">
        <v>0</v>
      </c>
      <c r="AE87" t="inlineStr" s="2909">
        <is>
          <t>00000000</t>
        </is>
      </c>
      <c r="AH87" t="n" s="2909">
        <v>1</v>
      </c>
      <c r="AJ87" t="n" s="2909">
        <v>10</v>
      </c>
      <c r="AP87" t="n" s="2909">
        <v>260000</v>
      </c>
      <c r="DB87" s="2909" t="str">
        <f>IF($A87="","",IF($AH87=20,IF(AND(OR($A87=21,$A87=215),$AJ87=10),"①病院一般",IF(AND($A87=31,$AJ87=41),"②病院短期","対象外")),IF($AJ87=30,"③特定消防",IF(AND(OR($A87=21,$A87=215),$AJ87=10),"④一般",IF(AND($A87=31,$AJ87=41),"⑤短期","対象外")))))</f>
        <v>④一般</v>
      </c>
      <c r="DC87" s="2909">
        <f>IF($A87="","",IF($AB87&amp;""='DB_設定'!$C$4,1,0))</f>
        <v>1</v>
      </c>
    </row>
    <row r="88">
      <c r="A88" t="n" s="2909">
        <v>21</v>
      </c>
      <c r="AA88" t="n" s="2909">
        <v>21</v>
      </c>
      <c r="AB88" t="inlineStr" s="2909">
        <is>
          <t>20250401</t>
        </is>
      </c>
      <c r="AD88" t="n" s="2909">
        <v>0</v>
      </c>
      <c r="AE88" t="inlineStr" s="2909">
        <is>
          <t>00000000</t>
        </is>
      </c>
      <c r="AH88" t="n" s="2909">
        <v>1</v>
      </c>
      <c r="AJ88" t="n" s="2909">
        <v>10</v>
      </c>
      <c r="AP88" t="n" s="2909">
        <v>300000</v>
      </c>
      <c r="DB88" s="2909" t="str">
        <f>IF($A88="","",IF($AH88=20,IF(AND(OR($A88=21,$A88=215),$AJ88=10),"①病院一般",IF(AND($A88=31,$AJ88=41),"②病院短期","対象外")),IF($AJ88=30,"③特定消防",IF(AND(OR($A88=21,$A88=215),$AJ88=10),"④一般",IF(AND($A88=31,$AJ88=41),"⑤短期","対象外")))))</f>
        <v>④一般</v>
      </c>
      <c r="DC88" s="2909">
        <f>IF($A88="","",IF($AB88&amp;""='DB_設定'!$C$4,1,0))</f>
        <v>1</v>
      </c>
    </row>
    <row r="89">
      <c r="A89" t="n" s="2909">
        <v>21</v>
      </c>
      <c r="AA89" t="n" s="2909">
        <v>21</v>
      </c>
      <c r="AB89" t="inlineStr" s="2909">
        <is>
          <t>20250401</t>
        </is>
      </c>
      <c r="AD89" t="n" s="2909">
        <v>0</v>
      </c>
      <c r="AE89" t="inlineStr" s="2909">
        <is>
          <t>00000000</t>
        </is>
      </c>
      <c r="AH89" t="n" s="2909">
        <v>1</v>
      </c>
      <c r="AJ89" t="n" s="2909">
        <v>10</v>
      </c>
      <c r="AP89" t="n" s="2909">
        <v>260000</v>
      </c>
      <c r="DB89" s="2909" t="str">
        <f>IF($A89="","",IF($AH89=20,IF(AND(OR($A89=21,$A89=215),$AJ89=10),"①病院一般",IF(AND($A89=31,$AJ89=41),"②病院短期","対象外")),IF($AJ89=30,"③特定消防",IF(AND(OR($A89=21,$A89=215),$AJ89=10),"④一般",IF(AND($A89=31,$AJ89=41),"⑤短期","対象外")))))</f>
        <v>④一般</v>
      </c>
      <c r="DC89" s="2909">
        <f>IF($A89="","",IF($AB89&amp;""='DB_設定'!$C$4,1,0))</f>
        <v>1</v>
      </c>
    </row>
    <row r="90">
      <c r="A90" t="n" s="2909">
        <v>21</v>
      </c>
      <c r="AA90" t="n" s="2909">
        <v>21</v>
      </c>
      <c r="AB90" t="inlineStr" s="2909">
        <is>
          <t>20250401</t>
        </is>
      </c>
      <c r="AD90" t="n" s="2909">
        <v>0</v>
      </c>
      <c r="AE90" t="inlineStr" s="2909">
        <is>
          <t>00000000</t>
        </is>
      </c>
      <c r="AH90" t="n" s="2909">
        <v>1</v>
      </c>
      <c r="AJ90" t="n" s="2909">
        <v>10</v>
      </c>
      <c r="AP90" t="n" s="2909">
        <v>260000</v>
      </c>
      <c r="DB90" s="2909" t="str">
        <f>IF($A90="","",IF($AH90=20,IF(AND(OR($A90=21,$A90=215),$AJ90=10),"①病院一般",IF(AND($A90=31,$AJ90=41),"②病院短期","対象外")),IF($AJ90=30,"③特定消防",IF(AND(OR($A90=21,$A90=215),$AJ90=10),"④一般",IF(AND($A90=31,$AJ90=41),"⑤短期","対象外")))))</f>
        <v>④一般</v>
      </c>
      <c r="DC90" s="2909">
        <f>IF($A90="","",IF($AB90&amp;""='DB_設定'!$C$4,1,0))</f>
        <v>1</v>
      </c>
    </row>
    <row r="91">
      <c r="A91" t="n" s="2909">
        <v>21</v>
      </c>
      <c r="AA91" t="n" s="2909">
        <v>21</v>
      </c>
      <c r="AB91" t="inlineStr" s="2909">
        <is>
          <t>20250401</t>
        </is>
      </c>
      <c r="AD91" t="n" s="2909">
        <v>0</v>
      </c>
      <c r="AE91" t="inlineStr" s="2909">
        <is>
          <t>00000000</t>
        </is>
      </c>
      <c r="AH91" t="n" s="2909">
        <v>11</v>
      </c>
      <c r="AJ91" t="n" s="2909">
        <v>10</v>
      </c>
      <c r="AP91" t="n" s="2909">
        <v>280000</v>
      </c>
      <c r="DB91" s="2909" t="str">
        <f>IF($A91="","",IF($AH91=20,IF(AND(OR($A91=21,$A91=215),$AJ91=10),"①病院一般",IF(AND($A91=31,$AJ91=41),"②病院短期","対象外")),IF($AJ91=30,"③特定消防",IF(AND(OR($A91=21,$A91=215),$AJ91=10),"④一般",IF(AND($A91=31,$AJ91=41),"⑤短期","対象外")))))</f>
        <v>④一般</v>
      </c>
      <c r="DC91" s="2909">
        <f>IF($A91="","",IF($AB91&amp;""='DB_設定'!$C$4,1,0))</f>
        <v>1</v>
      </c>
    </row>
    <row r="92">
      <c r="A92" t="n" s="2909">
        <v>21</v>
      </c>
      <c r="AA92" t="n" s="2909">
        <v>21</v>
      </c>
      <c r="AB92" t="inlineStr" s="2909">
        <is>
          <t>20250401</t>
        </is>
      </c>
      <c r="AD92" t="n" s="2909">
        <v>0</v>
      </c>
      <c r="AE92" t="inlineStr" s="2909">
        <is>
          <t>00000000</t>
        </is>
      </c>
      <c r="AH92" t="n" s="2909">
        <v>1</v>
      </c>
      <c r="AJ92" t="n" s="2909">
        <v>10</v>
      </c>
      <c r="AP92" t="n" s="2909">
        <v>260000</v>
      </c>
      <c r="DB92" s="2909" t="str">
        <f>IF($A92="","",IF($AH92=20,IF(AND(OR($A92=21,$A92=215),$AJ92=10),"①病院一般",IF(AND($A92=31,$AJ92=41),"②病院短期","対象外")),IF($AJ92=30,"③特定消防",IF(AND(OR($A92=21,$A92=215),$AJ92=10),"④一般",IF(AND($A92=31,$AJ92=41),"⑤短期","対象外")))))</f>
        <v>④一般</v>
      </c>
      <c r="DC92" s="2909">
        <f>IF($A92="","",IF($AB92&amp;""='DB_設定'!$C$4,1,0))</f>
        <v>1</v>
      </c>
    </row>
    <row r="93">
      <c r="A93" t="n" s="2909">
        <v>21</v>
      </c>
      <c r="AA93" t="n" s="2909">
        <v>21</v>
      </c>
      <c r="AB93" t="inlineStr" s="2909">
        <is>
          <t>20250401</t>
        </is>
      </c>
      <c r="AD93" t="n" s="2909">
        <v>0</v>
      </c>
      <c r="AE93" t="inlineStr" s="2909">
        <is>
          <t>00000000</t>
        </is>
      </c>
      <c r="AH93" t="n" s="2909">
        <v>1</v>
      </c>
      <c r="AJ93" t="n" s="2909">
        <v>10</v>
      </c>
      <c r="AP93" t="n" s="2909">
        <v>240000</v>
      </c>
      <c r="DB93" s="2909" t="str">
        <f>IF($A93="","",IF($AH93=20,IF(AND(OR($A93=21,$A93=215),$AJ93=10),"①病院一般",IF(AND($A93=31,$AJ93=41),"②病院短期","対象外")),IF($AJ93=30,"③特定消防",IF(AND(OR($A93=21,$A93=215),$AJ93=10),"④一般",IF(AND($A93=31,$AJ93=41),"⑤短期","対象外")))))</f>
        <v>④一般</v>
      </c>
      <c r="DC93" s="2909">
        <f>IF($A93="","",IF($AB93&amp;""='DB_設定'!$C$4,1,0))</f>
        <v>1</v>
      </c>
    </row>
    <row r="94">
      <c r="A94" t="n" s="2909">
        <v>21</v>
      </c>
      <c r="AA94" t="n" s="2909">
        <v>21</v>
      </c>
      <c r="AB94" t="inlineStr" s="2909">
        <is>
          <t>20250401</t>
        </is>
      </c>
      <c r="AD94" t="n" s="2909">
        <v>0</v>
      </c>
      <c r="AE94" t="inlineStr" s="2909">
        <is>
          <t>00000000</t>
        </is>
      </c>
      <c r="AH94" t="n" s="2909">
        <v>4</v>
      </c>
      <c r="AJ94" t="n" s="2909">
        <v>10</v>
      </c>
      <c r="AP94" t="n" s="2909">
        <v>260000</v>
      </c>
      <c r="DB94" s="2909" t="str">
        <f>IF($A94="","",IF($AH94=20,IF(AND(OR($A94=21,$A94=215),$AJ94=10),"①病院一般",IF(AND($A94=31,$AJ94=41),"②病院短期","対象外")),IF($AJ94=30,"③特定消防",IF(AND(OR($A94=21,$A94=215),$AJ94=10),"④一般",IF(AND($A94=31,$AJ94=41),"⑤短期","対象外")))))</f>
        <v>④一般</v>
      </c>
      <c r="DC94" s="2909">
        <f>IF($A94="","",IF($AB94&amp;""='DB_設定'!$C$4,1,0))</f>
        <v>1</v>
      </c>
    </row>
    <row r="95">
      <c r="A95" t="n" s="2909">
        <v>21</v>
      </c>
      <c r="AA95" t="n" s="2909">
        <v>21</v>
      </c>
      <c r="AB95" t="inlineStr" s="2909">
        <is>
          <t>20250401</t>
        </is>
      </c>
      <c r="AD95" t="n" s="2909">
        <v>0</v>
      </c>
      <c r="AE95" t="inlineStr" s="2909">
        <is>
          <t>00000000</t>
        </is>
      </c>
      <c r="AH95" t="n" s="2909">
        <v>4</v>
      </c>
      <c r="AJ95" t="n" s="2909">
        <v>10</v>
      </c>
      <c r="AP95" t="n" s="2909">
        <v>260000</v>
      </c>
      <c r="DB95" s="2909" t="str">
        <f>IF($A95="","",IF($AH95=20,IF(AND(OR($A95=21,$A95=215),$AJ95=10),"①病院一般",IF(AND($A95=31,$AJ95=41),"②病院短期","対象外")),IF($AJ95=30,"③特定消防",IF(AND(OR($A95=21,$A95=215),$AJ95=10),"④一般",IF(AND($A95=31,$AJ95=41),"⑤短期","対象外")))))</f>
        <v>④一般</v>
      </c>
      <c r="DC95" s="2909">
        <f>IF($A95="","",IF($AB95&amp;""='DB_設定'!$C$4,1,0))</f>
        <v>1</v>
      </c>
    </row>
    <row r="96">
      <c r="A96" t="n" s="2909">
        <v>21</v>
      </c>
      <c r="AA96" t="n" s="2909">
        <v>21</v>
      </c>
      <c r="AB96" t="inlineStr" s="2909">
        <is>
          <t>20250401</t>
        </is>
      </c>
      <c r="AD96" t="n" s="2909">
        <v>0</v>
      </c>
      <c r="AE96" t="inlineStr" s="2909">
        <is>
          <t>00000000</t>
        </is>
      </c>
      <c r="AH96" t="n" s="2909">
        <v>1</v>
      </c>
      <c r="AJ96" t="n" s="2909">
        <v>10</v>
      </c>
      <c r="AP96" t="n" s="2909">
        <v>280000</v>
      </c>
      <c r="DB96" s="2909" t="str">
        <f>IF($A96="","",IF($AH96=20,IF(AND(OR($A96=21,$A96=215),$AJ96=10),"①病院一般",IF(AND($A96=31,$AJ96=41),"②病院短期","対象外")),IF($AJ96=30,"③特定消防",IF(AND(OR($A96=21,$A96=215),$AJ96=10),"④一般",IF(AND($A96=31,$AJ96=41),"⑤短期","対象外")))))</f>
        <v>④一般</v>
      </c>
      <c r="DC96" s="2909">
        <f>IF($A96="","",IF($AB96&amp;""='DB_設定'!$C$4,1,0))</f>
        <v>1</v>
      </c>
    </row>
    <row r="97">
      <c r="A97" t="n" s="2909">
        <v>21</v>
      </c>
      <c r="AA97" t="n" s="2909">
        <v>21</v>
      </c>
      <c r="AB97" t="inlineStr" s="2909">
        <is>
          <t>20250401</t>
        </is>
      </c>
      <c r="AD97" t="n" s="2909">
        <v>0</v>
      </c>
      <c r="AE97" t="inlineStr" s="2909">
        <is>
          <t>00000000</t>
        </is>
      </c>
      <c r="AH97" t="n" s="2909">
        <v>1</v>
      </c>
      <c r="AJ97" t="n" s="2909">
        <v>10</v>
      </c>
      <c r="AP97" t="n" s="2909">
        <v>280000</v>
      </c>
      <c r="DB97" s="2909" t="str">
        <f>IF($A97="","",IF($AH97=20,IF(AND(OR($A97=21,$A97=215),$AJ97=10),"①病院一般",IF(AND($A97=31,$AJ97=41),"②病院短期","対象外")),IF($AJ97=30,"③特定消防",IF(AND(OR($A97=21,$A97=215),$AJ97=10),"④一般",IF(AND($A97=31,$AJ97=41),"⑤短期","対象外")))))</f>
        <v>④一般</v>
      </c>
      <c r="DC97" s="2909">
        <f>IF($A97="","",IF($AB97&amp;""='DB_設定'!$C$4,1,0))</f>
        <v>1</v>
      </c>
    </row>
    <row r="98">
      <c r="A98" t="n" s="2909">
        <v>21</v>
      </c>
      <c r="AA98" t="n" s="2909">
        <v>21</v>
      </c>
      <c r="AB98" t="inlineStr" s="2909">
        <is>
          <t>20250401</t>
        </is>
      </c>
      <c r="AD98" t="n" s="2909">
        <v>0</v>
      </c>
      <c r="AE98" t="inlineStr" s="2909">
        <is>
          <t>00000000</t>
        </is>
      </c>
      <c r="AH98" t="n" s="2909">
        <v>1</v>
      </c>
      <c r="AJ98" t="n" s="2909">
        <v>10</v>
      </c>
      <c r="AP98" t="n" s="2909">
        <v>280000</v>
      </c>
      <c r="DB98" s="2909" t="str">
        <f>IF($A98="","",IF($AH98=20,IF(AND(OR($A98=21,$A98=215),$AJ98=10),"①病院一般",IF(AND($A98=31,$AJ98=41),"②病院短期","対象外")),IF($AJ98=30,"③特定消防",IF(AND(OR($A98=21,$A98=215),$AJ98=10),"④一般",IF(AND($A98=31,$AJ98=41),"⑤短期","対象外")))))</f>
        <v>④一般</v>
      </c>
      <c r="DC98" s="2909">
        <f>IF($A98="","",IF($AB98&amp;""='DB_設定'!$C$4,1,0))</f>
        <v>1</v>
      </c>
    </row>
    <row r="99">
      <c r="A99" t="n" s="2909">
        <v>21</v>
      </c>
      <c r="AA99" t="n" s="2909">
        <v>21</v>
      </c>
      <c r="AB99" t="inlineStr" s="2909">
        <is>
          <t>20250401</t>
        </is>
      </c>
      <c r="AD99" t="n" s="2909">
        <v>0</v>
      </c>
      <c r="AE99" t="inlineStr" s="2909">
        <is>
          <t>00000000</t>
        </is>
      </c>
      <c r="AH99" t="n" s="2909">
        <v>1</v>
      </c>
      <c r="AJ99" t="n" s="2909">
        <v>10</v>
      </c>
      <c r="AP99" t="n" s="2909">
        <v>260000</v>
      </c>
      <c r="DB99" s="2909" t="str">
        <f>IF($A99="","",IF($AH99=20,IF(AND(OR($A99=21,$A99=215),$AJ99=10),"①病院一般",IF(AND($A99=31,$AJ99=41),"②病院短期","対象外")),IF($AJ99=30,"③特定消防",IF(AND(OR($A99=21,$A99=215),$AJ99=10),"④一般",IF(AND($A99=31,$AJ99=41),"⑤短期","対象外")))))</f>
        <v>④一般</v>
      </c>
      <c r="DC99" s="2909">
        <f>IF($A99="","",IF($AB99&amp;""='DB_設定'!$C$4,1,0))</f>
        <v>1</v>
      </c>
    </row>
    <row r="100">
      <c r="A100" t="n" s="2909">
        <v>21</v>
      </c>
      <c r="AA100" t="n" s="2909">
        <v>21</v>
      </c>
      <c r="AB100" t="inlineStr" s="2909">
        <is>
          <t>20250401</t>
        </is>
      </c>
      <c r="AD100" t="n" s="2909">
        <v>0</v>
      </c>
      <c r="AE100" t="inlineStr" s="2909">
        <is>
          <t>00000000</t>
        </is>
      </c>
      <c r="AH100" t="n" s="2909">
        <v>1</v>
      </c>
      <c r="AJ100" t="n" s="2909">
        <v>10</v>
      </c>
      <c r="AP100" t="n" s="2909">
        <v>260000</v>
      </c>
      <c r="DB100" s="2909" t="str">
        <f>IF($A100="","",IF($AH100=20,IF(AND(OR($A100=21,$A100=215),$AJ100=10),"①病院一般",IF(AND($A100=31,$AJ100=41),"②病院短期","対象外")),IF($AJ100=30,"③特定消防",IF(AND(OR($A100=21,$A100=215),$AJ100=10),"④一般",IF(AND($A100=31,$AJ100=41),"⑤短期","対象外")))))</f>
        <v>④一般</v>
      </c>
      <c r="DC100" s="2909">
        <f>IF($A100="","",IF($AB100&amp;""='DB_設定'!$C$4,1,0))</f>
        <v>1</v>
      </c>
    </row>
    <row r="101">
      <c r="A101" t="n" s="2909">
        <v>21</v>
      </c>
      <c r="AA101" t="n" s="2909">
        <v>21</v>
      </c>
      <c r="AB101" t="inlineStr" s="2909">
        <is>
          <t>20250401</t>
        </is>
      </c>
      <c r="AD101" t="n" s="2909">
        <v>0</v>
      </c>
      <c r="AE101" t="inlineStr" s="2909">
        <is>
          <t>00000000</t>
        </is>
      </c>
      <c r="AH101" t="n" s="2909">
        <v>10</v>
      </c>
      <c r="AJ101" t="n" s="2909">
        <v>10</v>
      </c>
      <c r="AP101" t="n" s="2909">
        <v>280000</v>
      </c>
      <c r="DB101" s="2909" t="str">
        <f>IF($A101="","",IF($AH101=20,IF(AND(OR($A101=21,$A101=215),$AJ101=10),"①病院一般",IF(AND($A101=31,$AJ101=41),"②病院短期","対象外")),IF($AJ101=30,"③特定消防",IF(AND(OR($A101=21,$A101=215),$AJ101=10),"④一般",IF(AND($A101=31,$AJ101=41),"⑤短期","対象外")))))</f>
        <v>④一般</v>
      </c>
      <c r="DC101" s="2909">
        <f>IF($A101="","",IF($AB101&amp;""='DB_設定'!$C$4,1,0))</f>
        <v>1</v>
      </c>
    </row>
    <row r="102">
      <c r="A102" t="n" s="2909">
        <v>21</v>
      </c>
      <c r="AA102" t="n" s="2909">
        <v>21</v>
      </c>
      <c r="AB102" t="inlineStr" s="2909">
        <is>
          <t>20250401</t>
        </is>
      </c>
      <c r="AD102" t="n" s="2909">
        <v>0</v>
      </c>
      <c r="AE102" t="inlineStr" s="2909">
        <is>
          <t>00000000</t>
        </is>
      </c>
      <c r="AH102" t="n" s="2909">
        <v>1</v>
      </c>
      <c r="AJ102" t="n" s="2909">
        <v>10</v>
      </c>
      <c r="AP102" t="n" s="2909">
        <v>260000</v>
      </c>
      <c r="DB102" s="2909" t="str">
        <f>IF($A102="","",IF($AH102=20,IF(AND(OR($A102=21,$A102=215),$AJ102=10),"①病院一般",IF(AND($A102=31,$AJ102=41),"②病院短期","対象外")),IF($AJ102=30,"③特定消防",IF(AND(OR($A102=21,$A102=215),$AJ102=10),"④一般",IF(AND($A102=31,$AJ102=41),"⑤短期","対象外")))))</f>
        <v>④一般</v>
      </c>
      <c r="DC102" s="2909">
        <f>IF($A102="","",IF($AB102&amp;""='DB_設定'!$C$4,1,0))</f>
        <v>1</v>
      </c>
    </row>
    <row r="103">
      <c r="A103" t="n" s="2909">
        <v>21</v>
      </c>
      <c r="AA103" t="n" s="2909">
        <v>21</v>
      </c>
      <c r="AB103" t="inlineStr" s="2909">
        <is>
          <t>20250401</t>
        </is>
      </c>
      <c r="AD103" t="n" s="2909">
        <v>0</v>
      </c>
      <c r="AE103" t="inlineStr" s="2909">
        <is>
          <t>00000000</t>
        </is>
      </c>
      <c r="AH103" t="n" s="2909">
        <v>1</v>
      </c>
      <c r="AJ103" t="n" s="2909">
        <v>10</v>
      </c>
      <c r="AP103" t="n" s="2909">
        <v>260000</v>
      </c>
      <c r="DB103" s="2909" t="str">
        <f>IF($A103="","",IF($AH103=20,IF(AND(OR($A103=21,$A103=215),$AJ103=10),"①病院一般",IF(AND($A103=31,$AJ103=41),"②病院短期","対象外")),IF($AJ103=30,"③特定消防",IF(AND(OR($A103=21,$A103=215),$AJ103=10),"④一般",IF(AND($A103=31,$AJ103=41),"⑤短期","対象外")))))</f>
        <v>④一般</v>
      </c>
      <c r="DC103" s="2909">
        <f>IF($A103="","",IF($AB103&amp;""='DB_設定'!$C$4,1,0))</f>
        <v>1</v>
      </c>
    </row>
    <row r="104">
      <c r="A104" t="n" s="2909">
        <v>21</v>
      </c>
      <c r="AA104" t="n" s="2909">
        <v>21</v>
      </c>
      <c r="AB104" t="inlineStr" s="2909">
        <is>
          <t>20250401</t>
        </is>
      </c>
      <c r="AD104" t="n" s="2909">
        <v>0</v>
      </c>
      <c r="AE104" t="inlineStr" s="2909">
        <is>
          <t>00000000</t>
        </is>
      </c>
      <c r="AH104" t="n" s="2909">
        <v>10</v>
      </c>
      <c r="AJ104" t="n" s="2909">
        <v>10</v>
      </c>
      <c r="AP104" t="n" s="2909">
        <v>240000</v>
      </c>
      <c r="DB104" s="2909" t="str">
        <f>IF($A104="","",IF($AH104=20,IF(AND(OR($A104=21,$A104=215),$AJ104=10),"①病院一般",IF(AND($A104=31,$AJ104=41),"②病院短期","対象外")),IF($AJ104=30,"③特定消防",IF(AND(OR($A104=21,$A104=215),$AJ104=10),"④一般",IF(AND($A104=31,$AJ104=41),"⑤短期","対象外")))))</f>
        <v>④一般</v>
      </c>
      <c r="DC104" s="2909">
        <f>IF($A104="","",IF($AB104&amp;""='DB_設定'!$C$4,1,0))</f>
        <v>1</v>
      </c>
    </row>
    <row r="105">
      <c r="A105" t="n" s="2909">
        <v>21</v>
      </c>
      <c r="AA105" t="n" s="2909">
        <v>21</v>
      </c>
      <c r="AB105" t="inlineStr" s="2909">
        <is>
          <t>20250401</t>
        </is>
      </c>
      <c r="AD105" t="n" s="2909">
        <v>0</v>
      </c>
      <c r="AE105" t="inlineStr" s="2909">
        <is>
          <t>00000000</t>
        </is>
      </c>
      <c r="AH105" t="n" s="2909">
        <v>1</v>
      </c>
      <c r="AJ105" t="n" s="2909">
        <v>10</v>
      </c>
      <c r="AP105" t="n" s="2909">
        <v>260000</v>
      </c>
      <c r="DB105" s="2909" t="str">
        <f>IF($A105="","",IF($AH105=20,IF(AND(OR($A105=21,$A105=215),$AJ105=10),"①病院一般",IF(AND($A105=31,$AJ105=41),"②病院短期","対象外")),IF($AJ105=30,"③特定消防",IF(AND(OR($A105=21,$A105=215),$AJ105=10),"④一般",IF(AND($A105=31,$AJ105=41),"⑤短期","対象外")))))</f>
        <v>④一般</v>
      </c>
      <c r="DC105" s="2909">
        <f>IF($A105="","",IF($AB105&amp;""='DB_設定'!$C$4,1,0))</f>
        <v>1</v>
      </c>
    </row>
    <row r="106">
      <c r="A106" t="n" s="2909">
        <v>21</v>
      </c>
      <c r="AA106" t="n" s="2909">
        <v>21</v>
      </c>
      <c r="AB106" t="inlineStr" s="2909">
        <is>
          <t>20250401</t>
        </is>
      </c>
      <c r="AD106" t="n" s="2909">
        <v>0</v>
      </c>
      <c r="AE106" t="inlineStr" s="2909">
        <is>
          <t>00000000</t>
        </is>
      </c>
      <c r="AH106" t="n" s="2909">
        <v>1</v>
      </c>
      <c r="AJ106" t="n" s="2909">
        <v>10</v>
      </c>
      <c r="AP106" t="n" s="2909">
        <v>260000</v>
      </c>
      <c r="DB106" s="2909" t="str">
        <f>IF($A106="","",IF($AH106=20,IF(AND(OR($A106=21,$A106=215),$AJ106=10),"①病院一般",IF(AND($A106=31,$AJ106=41),"②病院短期","対象外")),IF($AJ106=30,"③特定消防",IF(AND(OR($A106=21,$A106=215),$AJ106=10),"④一般",IF(AND($A106=31,$AJ106=41),"⑤短期","対象外")))))</f>
        <v>④一般</v>
      </c>
      <c r="DC106" s="2909">
        <f>IF($A106="","",IF($AB106&amp;""='DB_設定'!$C$4,1,0))</f>
        <v>1</v>
      </c>
    </row>
    <row r="107">
      <c r="A107" t="n" s="2909">
        <v>21</v>
      </c>
      <c r="AA107" t="n" s="2909">
        <v>21</v>
      </c>
      <c r="AB107" t="inlineStr" s="2909">
        <is>
          <t>20250401</t>
        </is>
      </c>
      <c r="AD107" t="n" s="2909">
        <v>0</v>
      </c>
      <c r="AE107" t="inlineStr" s="2909">
        <is>
          <t>00000000</t>
        </is>
      </c>
      <c r="AH107" t="n" s="2909">
        <v>1</v>
      </c>
      <c r="AJ107" t="n" s="2909">
        <v>10</v>
      </c>
      <c r="AP107" t="n" s="2909">
        <v>280000</v>
      </c>
      <c r="DB107" s="2909" t="str">
        <f>IF($A107="","",IF($AH107=20,IF(AND(OR($A107=21,$A107=215),$AJ107=10),"①病院一般",IF(AND($A107=31,$AJ107=41),"②病院短期","対象外")),IF($AJ107=30,"③特定消防",IF(AND(OR($A107=21,$A107=215),$AJ107=10),"④一般",IF(AND($A107=31,$AJ107=41),"⑤短期","対象外")))))</f>
        <v>④一般</v>
      </c>
      <c r="DC107" s="2909">
        <f>IF($A107="","",IF($AB107&amp;""='DB_設定'!$C$4,1,0))</f>
        <v>1</v>
      </c>
    </row>
    <row r="108">
      <c r="A108" t="n" s="2909">
        <v>21</v>
      </c>
      <c r="AA108" t="n" s="2909">
        <v>21</v>
      </c>
      <c r="AB108" t="inlineStr" s="2909">
        <is>
          <t>20250401</t>
        </is>
      </c>
      <c r="AD108" t="n" s="2909">
        <v>0</v>
      </c>
      <c r="AE108" t="inlineStr" s="2909">
        <is>
          <t>00000000</t>
        </is>
      </c>
      <c r="AH108" t="n" s="2909">
        <v>1</v>
      </c>
      <c r="AJ108" t="n" s="2909">
        <v>10</v>
      </c>
      <c r="AP108" t="n" s="2909">
        <v>300000</v>
      </c>
      <c r="DB108" s="2909" t="str">
        <f>IF($A108="","",IF($AH108=20,IF(AND(OR($A108=21,$A108=215),$AJ108=10),"①病院一般",IF(AND($A108=31,$AJ108=41),"②病院短期","対象外")),IF($AJ108=30,"③特定消防",IF(AND(OR($A108=21,$A108=215),$AJ108=10),"④一般",IF(AND($A108=31,$AJ108=41),"⑤短期","対象外")))))</f>
        <v>④一般</v>
      </c>
      <c r="DC108" s="2909">
        <f>IF($A108="","",IF($AB108&amp;""='DB_設定'!$C$4,1,0))</f>
        <v>1</v>
      </c>
    </row>
    <row r="109">
      <c r="A109" t="n" s="2909">
        <v>21</v>
      </c>
      <c r="AA109" t="n" s="2909">
        <v>21</v>
      </c>
      <c r="AB109" t="inlineStr" s="2909">
        <is>
          <t>20250401</t>
        </is>
      </c>
      <c r="AD109" t="n" s="2909">
        <v>0</v>
      </c>
      <c r="AE109" t="inlineStr" s="2909">
        <is>
          <t>00000000</t>
        </is>
      </c>
      <c r="AH109" t="n" s="2909">
        <v>1</v>
      </c>
      <c r="AJ109" t="n" s="2909">
        <v>10</v>
      </c>
      <c r="AP109" t="n" s="2909">
        <v>240000</v>
      </c>
      <c r="DB109" s="2909" t="str">
        <f>IF($A109="","",IF($AH109=20,IF(AND(OR($A109=21,$A109=215),$AJ109=10),"①病院一般",IF(AND($A109=31,$AJ109=41),"②病院短期","対象外")),IF($AJ109=30,"③特定消防",IF(AND(OR($A109=21,$A109=215),$AJ109=10),"④一般",IF(AND($A109=31,$AJ109=41),"⑤短期","対象外")))))</f>
        <v>④一般</v>
      </c>
      <c r="DC109" s="2909">
        <f>IF($A109="","",IF($AB109&amp;""='DB_設定'!$C$4,1,0))</f>
        <v>1</v>
      </c>
    </row>
    <row r="110">
      <c r="A110" t="n" s="2909">
        <v>21</v>
      </c>
      <c r="AA110" t="n" s="2909">
        <v>21</v>
      </c>
      <c r="AB110" t="inlineStr" s="2909">
        <is>
          <t>20250401</t>
        </is>
      </c>
      <c r="AD110" t="n" s="2909">
        <v>0</v>
      </c>
      <c r="AE110" t="inlineStr" s="2909">
        <is>
          <t>00000000</t>
        </is>
      </c>
      <c r="AH110" t="n" s="2909">
        <v>1</v>
      </c>
      <c r="AJ110" t="n" s="2909">
        <v>10</v>
      </c>
      <c r="AP110" t="n" s="2909">
        <v>280000</v>
      </c>
      <c r="DB110" s="2909" t="str">
        <f>IF($A110="","",IF($AH110=20,IF(AND(OR($A110=21,$A110=215),$AJ110=10),"①病院一般",IF(AND($A110=31,$AJ110=41),"②病院短期","対象外")),IF($AJ110=30,"③特定消防",IF(AND(OR($A110=21,$A110=215),$AJ110=10),"④一般",IF(AND($A110=31,$AJ110=41),"⑤短期","対象外")))))</f>
        <v>④一般</v>
      </c>
      <c r="DC110" s="2909">
        <f>IF($A110="","",IF($AB110&amp;""='DB_設定'!$C$4,1,0))</f>
        <v>1</v>
      </c>
    </row>
    <row r="111">
      <c r="A111" t="n" s="2909">
        <v>21</v>
      </c>
      <c r="AA111" t="n" s="2909">
        <v>21</v>
      </c>
      <c r="AB111" t="inlineStr" s="2909">
        <is>
          <t>20250401</t>
        </is>
      </c>
      <c r="AD111" t="n" s="2909">
        <v>0</v>
      </c>
      <c r="AE111" t="inlineStr" s="2909">
        <is>
          <t>00000000</t>
        </is>
      </c>
      <c r="AH111" t="n" s="2909">
        <v>1</v>
      </c>
      <c r="AJ111" t="n" s="2909">
        <v>10</v>
      </c>
      <c r="AP111" t="n" s="2909">
        <v>260000</v>
      </c>
      <c r="DB111" s="2909" t="str">
        <f>IF($A111="","",IF($AH111=20,IF(AND(OR($A111=21,$A111=215),$AJ111=10),"①病院一般",IF(AND($A111=31,$AJ111=41),"②病院短期","対象外")),IF($AJ111=30,"③特定消防",IF(AND(OR($A111=21,$A111=215),$AJ111=10),"④一般",IF(AND($A111=31,$AJ111=41),"⑤短期","対象外")))))</f>
        <v>④一般</v>
      </c>
      <c r="DC111" s="2909">
        <f>IF($A111="","",IF($AB111&amp;""='DB_設定'!$C$4,1,0))</f>
        <v>1</v>
      </c>
    </row>
    <row r="112">
      <c r="A112" t="n" s="2909">
        <v>21</v>
      </c>
      <c r="AA112" t="n" s="2909">
        <v>21</v>
      </c>
      <c r="AB112" t="inlineStr" s="2909">
        <is>
          <t>20250401</t>
        </is>
      </c>
      <c r="AD112" t="n" s="2909">
        <v>0</v>
      </c>
      <c r="AE112" t="inlineStr" s="2909">
        <is>
          <t>00000000</t>
        </is>
      </c>
      <c r="AH112" t="n" s="2909">
        <v>1</v>
      </c>
      <c r="AJ112" t="n" s="2909">
        <v>10</v>
      </c>
      <c r="AP112" t="n" s="2909">
        <v>260000</v>
      </c>
      <c r="DB112" s="2909" t="str">
        <f>IF($A112="","",IF($AH112=20,IF(AND(OR($A112=21,$A112=215),$AJ112=10),"①病院一般",IF(AND($A112=31,$AJ112=41),"②病院短期","対象外")),IF($AJ112=30,"③特定消防",IF(AND(OR($A112=21,$A112=215),$AJ112=10),"④一般",IF(AND($A112=31,$AJ112=41),"⑤短期","対象外")))))</f>
        <v>④一般</v>
      </c>
      <c r="DC112" s="2909">
        <f>IF($A112="","",IF($AB112&amp;""='DB_設定'!$C$4,1,0))</f>
        <v>1</v>
      </c>
    </row>
    <row r="113">
      <c r="A113" t="n" s="2909">
        <v>21</v>
      </c>
      <c r="AA113" t="n" s="2909">
        <v>21</v>
      </c>
      <c r="AB113" t="inlineStr" s="2909">
        <is>
          <t>20250401</t>
        </is>
      </c>
      <c r="AD113" t="n" s="2909">
        <v>0</v>
      </c>
      <c r="AE113" t="inlineStr" s="2909">
        <is>
          <t>00000000</t>
        </is>
      </c>
      <c r="AH113" t="n" s="2909">
        <v>1</v>
      </c>
      <c r="AJ113" t="n" s="2909">
        <v>10</v>
      </c>
      <c r="AP113" t="n" s="2909">
        <v>280000</v>
      </c>
      <c r="DB113" s="2909" t="str">
        <f>IF($A113="","",IF($AH113=20,IF(AND(OR($A113=21,$A113=215),$AJ113=10),"①病院一般",IF(AND($A113=31,$AJ113=41),"②病院短期","対象外")),IF($AJ113=30,"③特定消防",IF(AND(OR($A113=21,$A113=215),$AJ113=10),"④一般",IF(AND($A113=31,$AJ113=41),"⑤短期","対象外")))))</f>
        <v>④一般</v>
      </c>
      <c r="DC113" s="2909">
        <f>IF($A113="","",IF($AB113&amp;""='DB_設定'!$C$4,1,0))</f>
        <v>1</v>
      </c>
    </row>
    <row r="114">
      <c r="A114" t="n" s="2909">
        <v>21</v>
      </c>
      <c r="AA114" t="n" s="2909">
        <v>21</v>
      </c>
      <c r="AB114" t="inlineStr" s="2909">
        <is>
          <t>20250401</t>
        </is>
      </c>
      <c r="AD114" t="n" s="2909">
        <v>0</v>
      </c>
      <c r="AE114" t="inlineStr" s="2909">
        <is>
          <t>00000000</t>
        </is>
      </c>
      <c r="AH114" t="n" s="2909">
        <v>1</v>
      </c>
      <c r="AJ114" t="n" s="2909">
        <v>10</v>
      </c>
      <c r="AP114" t="n" s="2909">
        <v>280000</v>
      </c>
      <c r="DB114" s="2909" t="str">
        <f>IF($A114="","",IF($AH114=20,IF(AND(OR($A114=21,$A114=215),$AJ114=10),"①病院一般",IF(AND($A114=31,$AJ114=41),"②病院短期","対象外")),IF($AJ114=30,"③特定消防",IF(AND(OR($A114=21,$A114=215),$AJ114=10),"④一般",IF(AND($A114=31,$AJ114=41),"⑤短期","対象外")))))</f>
        <v>④一般</v>
      </c>
      <c r="DC114" s="2909">
        <f>IF($A114="","",IF($AB114&amp;""='DB_設定'!$C$4,1,0))</f>
        <v>1</v>
      </c>
    </row>
    <row r="115">
      <c r="A115" t="n" s="2909">
        <v>21</v>
      </c>
      <c r="AA115" t="n" s="2909">
        <v>21</v>
      </c>
      <c r="AB115" t="inlineStr" s="2909">
        <is>
          <t>20250401</t>
        </is>
      </c>
      <c r="AD115" t="n" s="2909">
        <v>0</v>
      </c>
      <c r="AE115" t="inlineStr" s="2909">
        <is>
          <t>00000000</t>
        </is>
      </c>
      <c r="AH115" t="n" s="2909">
        <v>4</v>
      </c>
      <c r="AJ115" t="n" s="2909">
        <v>10</v>
      </c>
      <c r="AP115" t="n" s="2909">
        <v>260000</v>
      </c>
      <c r="DB115" s="2909" t="str">
        <f>IF($A115="","",IF($AH115=20,IF(AND(OR($A115=21,$A115=215),$AJ115=10),"①病院一般",IF(AND($A115=31,$AJ115=41),"②病院短期","対象外")),IF($AJ115=30,"③特定消防",IF(AND(OR($A115=21,$A115=215),$AJ115=10),"④一般",IF(AND($A115=31,$AJ115=41),"⑤短期","対象外")))))</f>
        <v>④一般</v>
      </c>
      <c r="DC115" s="2909">
        <f>IF($A115="","",IF($AB115&amp;""='DB_設定'!$C$4,1,0))</f>
        <v>1</v>
      </c>
    </row>
    <row r="116">
      <c r="A116" t="n" s="2909">
        <v>21</v>
      </c>
      <c r="AA116" t="n" s="2909">
        <v>21</v>
      </c>
      <c r="AB116" t="inlineStr" s="2909">
        <is>
          <t>20250401</t>
        </is>
      </c>
      <c r="AD116" t="n" s="2909">
        <v>0</v>
      </c>
      <c r="AE116" t="inlineStr" s="2909">
        <is>
          <t>00000000</t>
        </is>
      </c>
      <c r="AH116" t="n" s="2909">
        <v>1</v>
      </c>
      <c r="AJ116" t="n" s="2909">
        <v>10</v>
      </c>
      <c r="AP116" t="n" s="2909">
        <v>300000</v>
      </c>
      <c r="DB116" s="2909" t="str">
        <f>IF($A116="","",IF($AH116=20,IF(AND(OR($A116=21,$A116=215),$AJ116=10),"①病院一般",IF(AND($A116=31,$AJ116=41),"②病院短期","対象外")),IF($AJ116=30,"③特定消防",IF(AND(OR($A116=21,$A116=215),$AJ116=10),"④一般",IF(AND($A116=31,$AJ116=41),"⑤短期","対象外")))))</f>
        <v>④一般</v>
      </c>
      <c r="DC116" s="2909">
        <f>IF($A116="","",IF($AB116&amp;""='DB_設定'!$C$4,1,0))</f>
        <v>1</v>
      </c>
    </row>
    <row r="117">
      <c r="A117" t="n" s="2909">
        <v>21</v>
      </c>
      <c r="AA117" t="n" s="2909">
        <v>21</v>
      </c>
      <c r="AB117" t="inlineStr" s="2909">
        <is>
          <t>20250401</t>
        </is>
      </c>
      <c r="AD117" t="n" s="2909">
        <v>0</v>
      </c>
      <c r="AE117" t="inlineStr" s="2909">
        <is>
          <t>00000000</t>
        </is>
      </c>
      <c r="AH117" t="n" s="2909">
        <v>1</v>
      </c>
      <c r="AJ117" t="n" s="2909">
        <v>10</v>
      </c>
      <c r="AP117" t="n" s="2909">
        <v>300000</v>
      </c>
      <c r="DB117" s="2909" t="str">
        <f>IF($A117="","",IF($AH117=20,IF(AND(OR($A117=21,$A117=215),$AJ117=10),"①病院一般",IF(AND($A117=31,$AJ117=41),"②病院短期","対象外")),IF($AJ117=30,"③特定消防",IF(AND(OR($A117=21,$A117=215),$AJ117=10),"④一般",IF(AND($A117=31,$AJ117=41),"⑤短期","対象外")))))</f>
        <v>④一般</v>
      </c>
      <c r="DC117" s="2909">
        <f>IF($A117="","",IF($AB117&amp;""='DB_設定'!$C$4,1,0))</f>
        <v>1</v>
      </c>
    </row>
    <row r="118">
      <c r="A118" t="n" s="2909">
        <v>21</v>
      </c>
      <c r="AA118" t="n" s="2909">
        <v>21</v>
      </c>
      <c r="AB118" t="inlineStr" s="2909">
        <is>
          <t>20250401</t>
        </is>
      </c>
      <c r="AD118" t="n" s="2909">
        <v>0</v>
      </c>
      <c r="AE118" t="inlineStr" s="2909">
        <is>
          <t>00000000</t>
        </is>
      </c>
      <c r="AH118" t="n" s="2909">
        <v>1</v>
      </c>
      <c r="AJ118" t="n" s="2909">
        <v>10</v>
      </c>
      <c r="AP118" t="n" s="2909">
        <v>280000</v>
      </c>
      <c r="DB118" s="2909" t="str">
        <f>IF($A118="","",IF($AH118=20,IF(AND(OR($A118=21,$A118=215),$AJ118=10),"①病院一般",IF(AND($A118=31,$AJ118=41),"②病院短期","対象外")),IF($AJ118=30,"③特定消防",IF(AND(OR($A118=21,$A118=215),$AJ118=10),"④一般",IF(AND($A118=31,$AJ118=41),"⑤短期","対象外")))))</f>
        <v>④一般</v>
      </c>
      <c r="DC118" s="2909">
        <f>IF($A118="","",IF($AB118&amp;""='DB_設定'!$C$4,1,0))</f>
        <v>1</v>
      </c>
    </row>
    <row r="119">
      <c r="A119" t="n" s="2909">
        <v>21</v>
      </c>
      <c r="AA119" t="n" s="2909">
        <v>21</v>
      </c>
      <c r="AB119" t="inlineStr" s="2909">
        <is>
          <t>20250401</t>
        </is>
      </c>
      <c r="AD119" t="n" s="2909">
        <v>0</v>
      </c>
      <c r="AE119" t="inlineStr" s="2909">
        <is>
          <t>00000000</t>
        </is>
      </c>
      <c r="AH119" t="n" s="2909">
        <v>1</v>
      </c>
      <c r="AJ119" t="n" s="2909">
        <v>10</v>
      </c>
      <c r="AP119" t="n" s="2909">
        <v>260000</v>
      </c>
      <c r="DB119" s="2909" t="str">
        <f>IF($A119="","",IF($AH119=20,IF(AND(OR($A119=21,$A119=215),$AJ119=10),"①病院一般",IF(AND($A119=31,$AJ119=41),"②病院短期","対象外")),IF($AJ119=30,"③特定消防",IF(AND(OR($A119=21,$A119=215),$AJ119=10),"④一般",IF(AND($A119=31,$AJ119=41),"⑤短期","対象外")))))</f>
        <v>④一般</v>
      </c>
      <c r="DC119" s="2909">
        <f>IF($A119="","",IF($AB119&amp;""='DB_設定'!$C$4,1,0))</f>
        <v>1</v>
      </c>
    </row>
    <row r="120">
      <c r="A120" t="n" s="2909">
        <v>21</v>
      </c>
      <c r="AA120" t="n" s="2909">
        <v>21</v>
      </c>
      <c r="AB120" t="inlineStr" s="2909">
        <is>
          <t>20250401</t>
        </is>
      </c>
      <c r="AD120" t="n" s="2909">
        <v>0</v>
      </c>
      <c r="AE120" t="inlineStr" s="2909">
        <is>
          <t>00000000</t>
        </is>
      </c>
      <c r="AH120" t="n" s="2909">
        <v>1</v>
      </c>
      <c r="AJ120" t="n" s="2909">
        <v>10</v>
      </c>
      <c r="AP120" t="n" s="2909">
        <v>280000</v>
      </c>
      <c r="DB120" s="2909" t="str">
        <f>IF($A120="","",IF($AH120=20,IF(AND(OR($A120=21,$A120=215),$AJ120=10),"①病院一般",IF(AND($A120=31,$AJ120=41),"②病院短期","対象外")),IF($AJ120=30,"③特定消防",IF(AND(OR($A120=21,$A120=215),$AJ120=10),"④一般",IF(AND($A120=31,$AJ120=41),"⑤短期","対象外")))))</f>
        <v>④一般</v>
      </c>
      <c r="DC120" s="2909">
        <f>IF($A120="","",IF($AB120&amp;""='DB_設定'!$C$4,1,0))</f>
        <v>1</v>
      </c>
    </row>
    <row r="121">
      <c r="A121" t="n" s="2909">
        <v>21</v>
      </c>
      <c r="AA121" t="n" s="2909">
        <v>21</v>
      </c>
      <c r="AB121" t="inlineStr" s="2909">
        <is>
          <t>20250401</t>
        </is>
      </c>
      <c r="AD121" t="n" s="2909">
        <v>0</v>
      </c>
      <c r="AE121" t="inlineStr" s="2909">
        <is>
          <t>00000000</t>
        </is>
      </c>
      <c r="AH121" t="n" s="2909">
        <v>1</v>
      </c>
      <c r="AJ121" t="n" s="2909">
        <v>10</v>
      </c>
      <c r="AP121" t="n" s="2909">
        <v>280000</v>
      </c>
      <c r="DB121" s="2909" t="str">
        <f>IF($A121="","",IF($AH121=20,IF(AND(OR($A121=21,$A121=215),$AJ121=10),"①病院一般",IF(AND($A121=31,$AJ121=41),"②病院短期","対象外")),IF($AJ121=30,"③特定消防",IF(AND(OR($A121=21,$A121=215),$AJ121=10),"④一般",IF(AND($A121=31,$AJ121=41),"⑤短期","対象外")))))</f>
        <v>④一般</v>
      </c>
      <c r="DC121" s="2909">
        <f>IF($A121="","",IF($AB121&amp;""='DB_設定'!$C$4,1,0))</f>
        <v>1</v>
      </c>
    </row>
    <row r="122">
      <c r="A122" t="n" s="2909">
        <v>21</v>
      </c>
      <c r="AA122" t="n" s="2909">
        <v>21</v>
      </c>
      <c r="AB122" t="inlineStr" s="2909">
        <is>
          <t>20250401</t>
        </is>
      </c>
      <c r="AD122" t="n" s="2909">
        <v>0</v>
      </c>
      <c r="AE122" t="inlineStr" s="2909">
        <is>
          <t>00000000</t>
        </is>
      </c>
      <c r="AH122" t="n" s="2909">
        <v>1</v>
      </c>
      <c r="AJ122" t="n" s="2909">
        <v>10</v>
      </c>
      <c r="AP122" t="n" s="2909">
        <v>260000</v>
      </c>
      <c r="DB122" s="2909" t="str">
        <f>IF($A122="","",IF($AH122=20,IF(AND(OR($A122=21,$A122=215),$AJ122=10),"①病院一般",IF(AND($A122=31,$AJ122=41),"②病院短期","対象外")),IF($AJ122=30,"③特定消防",IF(AND(OR($A122=21,$A122=215),$AJ122=10),"④一般",IF(AND($A122=31,$AJ122=41),"⑤短期","対象外")))))</f>
        <v>④一般</v>
      </c>
      <c r="DC122" s="2909">
        <f>IF($A122="","",IF($AB122&amp;""='DB_設定'!$C$4,1,0))</f>
        <v>1</v>
      </c>
    </row>
    <row r="123">
      <c r="A123" t="n" s="2909">
        <v>21</v>
      </c>
      <c r="AA123" t="n" s="2909">
        <v>21</v>
      </c>
      <c r="AB123" t="inlineStr" s="2909">
        <is>
          <t>20250401</t>
        </is>
      </c>
      <c r="AD123" t="n" s="2909">
        <v>0</v>
      </c>
      <c r="AE123" t="inlineStr" s="2909">
        <is>
          <t>00000000</t>
        </is>
      </c>
      <c r="AH123" t="n" s="2909">
        <v>1</v>
      </c>
      <c r="AJ123" t="n" s="2909">
        <v>10</v>
      </c>
      <c r="AP123" t="n" s="2909">
        <v>260000</v>
      </c>
      <c r="DB123" s="2909" t="str">
        <f>IF($A123="","",IF($AH123=20,IF(AND(OR($A123=21,$A123=215),$AJ123=10),"①病院一般",IF(AND($A123=31,$AJ123=41),"②病院短期","対象外")),IF($AJ123=30,"③特定消防",IF(AND(OR($A123=21,$A123=215),$AJ123=10),"④一般",IF(AND($A123=31,$AJ123=41),"⑤短期","対象外")))))</f>
        <v>④一般</v>
      </c>
      <c r="DC123" s="2909">
        <f>IF($A123="","",IF($AB123&amp;""='DB_設定'!$C$4,1,0))</f>
        <v>1</v>
      </c>
    </row>
    <row r="124">
      <c r="A124" t="n" s="2909">
        <v>21</v>
      </c>
      <c r="AA124" t="n" s="2909">
        <v>21</v>
      </c>
      <c r="AB124" t="inlineStr" s="2909">
        <is>
          <t>20250401</t>
        </is>
      </c>
      <c r="AD124" t="n" s="2909">
        <v>0</v>
      </c>
      <c r="AE124" t="inlineStr" s="2909">
        <is>
          <t>00000000</t>
        </is>
      </c>
      <c r="AH124" t="n" s="2909">
        <v>1</v>
      </c>
      <c r="AJ124" t="n" s="2909">
        <v>10</v>
      </c>
      <c r="AP124" t="n" s="2909">
        <v>260000</v>
      </c>
      <c r="DB124" s="2909" t="str">
        <f>IF($A124="","",IF($AH124=20,IF(AND(OR($A124=21,$A124=215),$AJ124=10),"①病院一般",IF(AND($A124=31,$AJ124=41),"②病院短期","対象外")),IF($AJ124=30,"③特定消防",IF(AND(OR($A124=21,$A124=215),$AJ124=10),"④一般",IF(AND($A124=31,$AJ124=41),"⑤短期","対象外")))))</f>
        <v>④一般</v>
      </c>
      <c r="DC124" s="2909">
        <f>IF($A124="","",IF($AB124&amp;""='DB_設定'!$C$4,1,0))</f>
        <v>1</v>
      </c>
    </row>
    <row r="125">
      <c r="A125" t="n" s="2909">
        <v>21</v>
      </c>
      <c r="AA125" t="n" s="2909">
        <v>21</v>
      </c>
      <c r="AB125" t="inlineStr" s="2909">
        <is>
          <t>20250401</t>
        </is>
      </c>
      <c r="AD125" t="n" s="2909">
        <v>0</v>
      </c>
      <c r="AE125" t="inlineStr" s="2909">
        <is>
          <t>00000000</t>
        </is>
      </c>
      <c r="AH125" t="n" s="2909">
        <v>1</v>
      </c>
      <c r="AJ125" t="n" s="2909">
        <v>10</v>
      </c>
      <c r="AP125" t="n" s="2909">
        <v>280000</v>
      </c>
      <c r="DB125" s="2909" t="str">
        <f>IF($A125="","",IF($AH125=20,IF(AND(OR($A125=21,$A125=215),$AJ125=10),"①病院一般",IF(AND($A125=31,$AJ125=41),"②病院短期","対象外")),IF($AJ125=30,"③特定消防",IF(AND(OR($A125=21,$A125=215),$AJ125=10),"④一般",IF(AND($A125=31,$AJ125=41),"⑤短期","対象外")))))</f>
        <v>④一般</v>
      </c>
      <c r="DC125" s="2909">
        <f>IF($A125="","",IF($AB125&amp;""='DB_設定'!$C$4,1,0))</f>
        <v>1</v>
      </c>
    </row>
    <row r="126">
      <c r="A126" t="n" s="2909">
        <v>21</v>
      </c>
      <c r="AA126" t="n" s="2909">
        <v>21</v>
      </c>
      <c r="AB126" t="inlineStr" s="2909">
        <is>
          <t>20250401</t>
        </is>
      </c>
      <c r="AD126" t="n" s="2909">
        <v>0</v>
      </c>
      <c r="AE126" t="inlineStr" s="2909">
        <is>
          <t>00000000</t>
        </is>
      </c>
      <c r="AH126" t="n" s="2909">
        <v>1</v>
      </c>
      <c r="AJ126" t="n" s="2909">
        <v>10</v>
      </c>
      <c r="AP126" t="n" s="2909">
        <v>280000</v>
      </c>
      <c r="DB126" s="2909" t="str">
        <f>IF($A126="","",IF($AH126=20,IF(AND(OR($A126=21,$A126=215),$AJ126=10),"①病院一般",IF(AND($A126=31,$AJ126=41),"②病院短期","対象外")),IF($AJ126=30,"③特定消防",IF(AND(OR($A126=21,$A126=215),$AJ126=10),"④一般",IF(AND($A126=31,$AJ126=41),"⑤短期","対象外")))))</f>
        <v>④一般</v>
      </c>
      <c r="DC126" s="2909">
        <f>IF($A126="","",IF($AB126&amp;""='DB_設定'!$C$4,1,0))</f>
        <v>1</v>
      </c>
    </row>
    <row r="127">
      <c r="A127" t="n" s="2909">
        <v>21</v>
      </c>
      <c r="AA127" t="n" s="2909">
        <v>21</v>
      </c>
      <c r="AB127" t="inlineStr" s="2909">
        <is>
          <t>20250401</t>
        </is>
      </c>
      <c r="AD127" t="n" s="2909">
        <v>0</v>
      </c>
      <c r="AE127" t="inlineStr" s="2909">
        <is>
          <t>00000000</t>
        </is>
      </c>
      <c r="AH127" t="n" s="2909">
        <v>1</v>
      </c>
      <c r="AJ127" t="n" s="2909">
        <v>10</v>
      </c>
      <c r="AP127" t="n" s="2909">
        <v>280000</v>
      </c>
      <c r="DB127" s="2909" t="str">
        <f>IF($A127="","",IF($AH127=20,IF(AND(OR($A127=21,$A127=215),$AJ127=10),"①病院一般",IF(AND($A127=31,$AJ127=41),"②病院短期","対象外")),IF($AJ127=30,"③特定消防",IF(AND(OR($A127=21,$A127=215),$AJ127=10),"④一般",IF(AND($A127=31,$AJ127=41),"⑤短期","対象外")))))</f>
        <v>④一般</v>
      </c>
      <c r="DC127" s="2909">
        <f>IF($A127="","",IF($AB127&amp;""='DB_設定'!$C$4,1,0))</f>
        <v>1</v>
      </c>
    </row>
    <row r="128">
      <c r="A128" t="n" s="2909">
        <v>21</v>
      </c>
      <c r="AA128" t="n" s="2909">
        <v>21</v>
      </c>
      <c r="AB128" t="inlineStr" s="2909">
        <is>
          <t>20250401</t>
        </is>
      </c>
      <c r="AD128" t="n" s="2909">
        <v>0</v>
      </c>
      <c r="AE128" t="inlineStr" s="2909">
        <is>
          <t>00000000</t>
        </is>
      </c>
      <c r="AH128" t="n" s="2909">
        <v>1</v>
      </c>
      <c r="AJ128" t="n" s="2909">
        <v>10</v>
      </c>
      <c r="AP128" t="n" s="2909">
        <v>300000</v>
      </c>
      <c r="DB128" s="2909" t="str">
        <f>IF($A128="","",IF($AH128=20,IF(AND(OR($A128=21,$A128=215),$AJ128=10),"①病院一般",IF(AND($A128=31,$AJ128=41),"②病院短期","対象外")),IF($AJ128=30,"③特定消防",IF(AND(OR($A128=21,$A128=215),$AJ128=10),"④一般",IF(AND($A128=31,$AJ128=41),"⑤短期","対象外")))))</f>
        <v>④一般</v>
      </c>
      <c r="DC128" s="2909">
        <f>IF($A128="","",IF($AB128&amp;""='DB_設定'!$C$4,1,0))</f>
        <v>1</v>
      </c>
    </row>
    <row r="129">
      <c r="A129" t="n" s="2909">
        <v>21</v>
      </c>
      <c r="AA129" t="n" s="2909">
        <v>21</v>
      </c>
      <c r="AB129" t="inlineStr" s="2909">
        <is>
          <t>20250401</t>
        </is>
      </c>
      <c r="AD129" t="n" s="2909">
        <v>0</v>
      </c>
      <c r="AE129" t="inlineStr" s="2909">
        <is>
          <t>00000000</t>
        </is>
      </c>
      <c r="AH129" t="n" s="2909">
        <v>1</v>
      </c>
      <c r="AJ129" t="n" s="2909">
        <v>10</v>
      </c>
      <c r="AP129" t="n" s="2909">
        <v>340000</v>
      </c>
      <c r="DB129" s="2909" t="str">
        <f>IF($A129="","",IF($AH129=20,IF(AND(OR($A129=21,$A129=215),$AJ129=10),"①病院一般",IF(AND($A129=31,$AJ129=41),"②病院短期","対象外")),IF($AJ129=30,"③特定消防",IF(AND(OR($A129=21,$A129=215),$AJ129=10),"④一般",IF(AND($A129=31,$AJ129=41),"⑤短期","対象外")))))</f>
        <v>④一般</v>
      </c>
      <c r="DC129" s="2909">
        <f>IF($A129="","",IF($AB129&amp;""='DB_設定'!$C$4,1,0))</f>
        <v>1</v>
      </c>
    </row>
    <row r="130">
      <c r="A130" t="n" s="2909">
        <v>21</v>
      </c>
      <c r="AA130" t="n" s="2909">
        <v>21</v>
      </c>
      <c r="AB130" t="inlineStr" s="2909">
        <is>
          <t>20250401</t>
        </is>
      </c>
      <c r="AD130" t="n" s="2909">
        <v>0</v>
      </c>
      <c r="AE130" t="inlineStr" s="2909">
        <is>
          <t>00000000</t>
        </is>
      </c>
      <c r="AH130" t="n" s="2909">
        <v>1</v>
      </c>
      <c r="AJ130" t="n" s="2909">
        <v>10</v>
      </c>
      <c r="AP130" t="n" s="2909">
        <v>260000</v>
      </c>
      <c r="DB130" s="2909" t="str">
        <f>IF($A130="","",IF($AH130=20,IF(AND(OR($A130=21,$A130=215),$AJ130=10),"①病院一般",IF(AND($A130=31,$AJ130=41),"②病院短期","対象外")),IF($AJ130=30,"③特定消防",IF(AND(OR($A130=21,$A130=215),$AJ130=10),"④一般",IF(AND($A130=31,$AJ130=41),"⑤短期","対象外")))))</f>
        <v>④一般</v>
      </c>
      <c r="DC130" s="2909">
        <f>IF($A130="","",IF($AB130&amp;""='DB_設定'!$C$4,1,0))</f>
        <v>1</v>
      </c>
    </row>
    <row r="131">
      <c r="A131" t="n" s="2909">
        <v>21</v>
      </c>
      <c r="AA131" t="n" s="2909">
        <v>21</v>
      </c>
      <c r="AB131" t="inlineStr" s="2909">
        <is>
          <t>20250401</t>
        </is>
      </c>
      <c r="AD131" t="n" s="2909">
        <v>0</v>
      </c>
      <c r="AE131" t="inlineStr" s="2909">
        <is>
          <t>00000000</t>
        </is>
      </c>
      <c r="AH131" t="n" s="2909">
        <v>1</v>
      </c>
      <c r="AJ131" t="n" s="2909">
        <v>10</v>
      </c>
      <c r="AP131" t="n" s="2909">
        <v>320000</v>
      </c>
      <c r="DB131" s="2909" t="str">
        <f>IF($A131="","",IF($AH131=20,IF(AND(OR($A131=21,$A131=215),$AJ131=10),"①病院一般",IF(AND($A131=31,$AJ131=41),"②病院短期","対象外")),IF($AJ131=30,"③特定消防",IF(AND(OR($A131=21,$A131=215),$AJ131=10),"④一般",IF(AND($A131=31,$AJ131=41),"⑤短期","対象外")))))</f>
        <v>④一般</v>
      </c>
      <c r="DC131" s="2909">
        <f>IF($A131="","",IF($AB131&amp;""='DB_設定'!$C$4,1,0))</f>
        <v>1</v>
      </c>
    </row>
    <row r="132">
      <c r="A132" t="n" s="2909">
        <v>21</v>
      </c>
      <c r="AA132" t="n" s="2909">
        <v>21</v>
      </c>
      <c r="AB132" t="inlineStr" s="2909">
        <is>
          <t>20250401</t>
        </is>
      </c>
      <c r="AD132" t="n" s="2909">
        <v>0</v>
      </c>
      <c r="AE132" t="inlineStr" s="2909">
        <is>
          <t>00000000</t>
        </is>
      </c>
      <c r="AH132" t="n" s="2909">
        <v>1</v>
      </c>
      <c r="AJ132" t="n" s="2909">
        <v>10</v>
      </c>
      <c r="AP132" t="n" s="2909">
        <v>280000</v>
      </c>
      <c r="DB132" s="2909" t="str">
        <f>IF($A132="","",IF($AH132=20,IF(AND(OR($A132=21,$A132=215),$AJ132=10),"①病院一般",IF(AND($A132=31,$AJ132=41),"②病院短期","対象外")),IF($AJ132=30,"③特定消防",IF(AND(OR($A132=21,$A132=215),$AJ132=10),"④一般",IF(AND($A132=31,$AJ132=41),"⑤短期","対象外")))))</f>
        <v>④一般</v>
      </c>
      <c r="DC132" s="2909">
        <f>IF($A132="","",IF($AB132&amp;""='DB_設定'!$C$4,1,0))</f>
        <v>1</v>
      </c>
    </row>
    <row r="133">
      <c r="A133" t="n" s="2909">
        <v>21</v>
      </c>
      <c r="AA133" t="n" s="2909">
        <v>21</v>
      </c>
      <c r="AB133" t="inlineStr" s="2909">
        <is>
          <t>20250401</t>
        </is>
      </c>
      <c r="AD133" t="n" s="2909">
        <v>0</v>
      </c>
      <c r="AE133" t="inlineStr" s="2909">
        <is>
          <t>00000000</t>
        </is>
      </c>
      <c r="AH133" t="n" s="2909">
        <v>1</v>
      </c>
      <c r="AJ133" t="n" s="2909">
        <v>10</v>
      </c>
      <c r="AP133" t="n" s="2909">
        <v>280000</v>
      </c>
      <c r="DB133" s="2909" t="str">
        <f>IF($A133="","",IF($AH133=20,IF(AND(OR($A133=21,$A133=215),$AJ133=10),"①病院一般",IF(AND($A133=31,$AJ133=41),"②病院短期","対象外")),IF($AJ133=30,"③特定消防",IF(AND(OR($A133=21,$A133=215),$AJ133=10),"④一般",IF(AND($A133=31,$AJ133=41),"⑤短期","対象外")))))</f>
        <v>④一般</v>
      </c>
      <c r="DC133" s="2909">
        <f>IF($A133="","",IF($AB133&amp;""='DB_設定'!$C$4,1,0))</f>
        <v>1</v>
      </c>
    </row>
    <row r="134">
      <c r="A134" t="n" s="2909">
        <v>21</v>
      </c>
      <c r="AA134" t="n" s="2909">
        <v>21</v>
      </c>
      <c r="AB134" t="inlineStr" s="2909">
        <is>
          <t>20250401</t>
        </is>
      </c>
      <c r="AD134" t="n" s="2909">
        <v>0</v>
      </c>
      <c r="AE134" t="inlineStr" s="2909">
        <is>
          <t>00000000</t>
        </is>
      </c>
      <c r="AH134" t="n" s="2909">
        <v>1</v>
      </c>
      <c r="AJ134" t="n" s="2909">
        <v>10</v>
      </c>
      <c r="AP134" t="n" s="2909">
        <v>260000</v>
      </c>
      <c r="DB134" s="2909" t="str">
        <f>IF($A134="","",IF($AH134=20,IF(AND(OR($A134=21,$A134=215),$AJ134=10),"①病院一般",IF(AND($A134=31,$AJ134=41),"②病院短期","対象外")),IF($AJ134=30,"③特定消防",IF(AND(OR($A134=21,$A134=215),$AJ134=10),"④一般",IF(AND($A134=31,$AJ134=41),"⑤短期","対象外")))))</f>
        <v>④一般</v>
      </c>
      <c r="DC134" s="2909">
        <f>IF($A134="","",IF($AB134&amp;""='DB_設定'!$C$4,1,0))</f>
        <v>1</v>
      </c>
    </row>
    <row r="135">
      <c r="A135" t="n" s="2909">
        <v>21</v>
      </c>
      <c r="AA135" t="n" s="2909">
        <v>21</v>
      </c>
      <c r="AB135" t="inlineStr" s="2909">
        <is>
          <t>20250401</t>
        </is>
      </c>
      <c r="AD135" t="n" s="2909">
        <v>0</v>
      </c>
      <c r="AE135" t="inlineStr" s="2909">
        <is>
          <t>00000000</t>
        </is>
      </c>
      <c r="AH135" t="n" s="2909">
        <v>1</v>
      </c>
      <c r="AJ135" t="n" s="2909">
        <v>10</v>
      </c>
      <c r="AP135" t="n" s="2909">
        <v>260000</v>
      </c>
      <c r="DB135" s="2909" t="str">
        <f>IF($A135="","",IF($AH135=20,IF(AND(OR($A135=21,$A135=215),$AJ135=10),"①病院一般",IF(AND($A135=31,$AJ135=41),"②病院短期","対象外")),IF($AJ135=30,"③特定消防",IF(AND(OR($A135=21,$A135=215),$AJ135=10),"④一般",IF(AND($A135=31,$AJ135=41),"⑤短期","対象外")))))</f>
        <v>④一般</v>
      </c>
      <c r="DC135" s="2909">
        <f>IF($A135="","",IF($AB135&amp;""='DB_設定'!$C$4,1,0))</f>
        <v>1</v>
      </c>
    </row>
    <row r="136">
      <c r="A136" t="n" s="2909">
        <v>21</v>
      </c>
      <c r="AA136" t="n" s="2909">
        <v>21</v>
      </c>
      <c r="AB136" t="inlineStr" s="2909">
        <is>
          <t>20250401</t>
        </is>
      </c>
      <c r="AD136" t="n" s="2909">
        <v>0</v>
      </c>
      <c r="AE136" t="inlineStr" s="2909">
        <is>
          <t>00000000</t>
        </is>
      </c>
      <c r="AH136" t="n" s="2909">
        <v>1</v>
      </c>
      <c r="AJ136" t="n" s="2909">
        <v>10</v>
      </c>
      <c r="AP136" t="n" s="2909">
        <v>300000</v>
      </c>
      <c r="DB136" s="2909" t="str">
        <f>IF($A136="","",IF($AH136=20,IF(AND(OR($A136=21,$A136=215),$AJ136=10),"①病院一般",IF(AND($A136=31,$AJ136=41),"②病院短期","対象外")),IF($AJ136=30,"③特定消防",IF(AND(OR($A136=21,$A136=215),$AJ136=10),"④一般",IF(AND($A136=31,$AJ136=41),"⑤短期","対象外")))))</f>
        <v>④一般</v>
      </c>
      <c r="DC136" s="2909">
        <f>IF($A136="","",IF($AB136&amp;""='DB_設定'!$C$4,1,0))</f>
        <v>1</v>
      </c>
    </row>
    <row r="137">
      <c r="A137" t="n" s="2909">
        <v>21</v>
      </c>
      <c r="AA137" t="n" s="2909">
        <v>21</v>
      </c>
      <c r="AB137" t="inlineStr" s="2909">
        <is>
          <t>20250401</t>
        </is>
      </c>
      <c r="AD137" t="n" s="2909">
        <v>0</v>
      </c>
      <c r="AE137" t="inlineStr" s="2909">
        <is>
          <t>00000000</t>
        </is>
      </c>
      <c r="AH137" t="n" s="2909">
        <v>1</v>
      </c>
      <c r="AJ137" t="n" s="2909">
        <v>10</v>
      </c>
      <c r="AP137" t="n" s="2909">
        <v>240000</v>
      </c>
      <c r="DB137" s="2909" t="str">
        <f>IF($A137="","",IF($AH137=20,IF(AND(OR($A137=21,$A137=215),$AJ137=10),"①病院一般",IF(AND($A137=31,$AJ137=41),"②病院短期","対象外")),IF($AJ137=30,"③特定消防",IF(AND(OR($A137=21,$A137=215),$AJ137=10),"④一般",IF(AND($A137=31,$AJ137=41),"⑤短期","対象外")))))</f>
        <v>④一般</v>
      </c>
      <c r="DC137" s="2909">
        <f>IF($A137="","",IF($AB137&amp;""='DB_設定'!$C$4,1,0))</f>
        <v>1</v>
      </c>
    </row>
    <row r="138">
      <c r="A138" t="n" s="2909">
        <v>21</v>
      </c>
      <c r="AA138" t="n" s="2909">
        <v>21</v>
      </c>
      <c r="AB138" t="inlineStr" s="2909">
        <is>
          <t>20250401</t>
        </is>
      </c>
      <c r="AD138" t="n" s="2909">
        <v>0</v>
      </c>
      <c r="AE138" t="inlineStr" s="2909">
        <is>
          <t>00000000</t>
        </is>
      </c>
      <c r="AH138" t="n" s="2909">
        <v>1</v>
      </c>
      <c r="AJ138" t="n" s="2909">
        <v>10</v>
      </c>
      <c r="AP138" t="n" s="2909">
        <v>280000</v>
      </c>
      <c r="DB138" s="2909" t="str">
        <f>IF($A138="","",IF($AH138=20,IF(AND(OR($A138=21,$A138=215),$AJ138=10),"①病院一般",IF(AND($A138=31,$AJ138=41),"②病院短期","対象外")),IF($AJ138=30,"③特定消防",IF(AND(OR($A138=21,$A138=215),$AJ138=10),"④一般",IF(AND($A138=31,$AJ138=41),"⑤短期","対象外")))))</f>
        <v>④一般</v>
      </c>
      <c r="DC138" s="2909">
        <f>IF($A138="","",IF($AB138&amp;""='DB_設定'!$C$4,1,0))</f>
        <v>1</v>
      </c>
    </row>
    <row r="139">
      <c r="A139" t="n" s="2909">
        <v>21</v>
      </c>
      <c r="AA139" t="n" s="2909">
        <v>21</v>
      </c>
      <c r="AB139" t="inlineStr" s="2909">
        <is>
          <t>20250401</t>
        </is>
      </c>
      <c r="AD139" t="n" s="2909">
        <v>0</v>
      </c>
      <c r="AE139" t="inlineStr" s="2909">
        <is>
          <t>00000000</t>
        </is>
      </c>
      <c r="AH139" t="n" s="2909">
        <v>1</v>
      </c>
      <c r="AJ139" t="n" s="2909">
        <v>10</v>
      </c>
      <c r="AP139" t="n" s="2909">
        <v>300000</v>
      </c>
      <c r="DB139" s="2909" t="str">
        <f>IF($A139="","",IF($AH139=20,IF(AND(OR($A139=21,$A139=215),$AJ139=10),"①病院一般",IF(AND($A139=31,$AJ139=41),"②病院短期","対象外")),IF($AJ139=30,"③特定消防",IF(AND(OR($A139=21,$A139=215),$AJ139=10),"④一般",IF(AND($A139=31,$AJ139=41),"⑤短期","対象外")))))</f>
        <v>④一般</v>
      </c>
      <c r="DC139" s="2909">
        <f>IF($A139="","",IF($AB139&amp;""='DB_設定'!$C$4,1,0))</f>
        <v>1</v>
      </c>
    </row>
    <row r="140">
      <c r="A140" t="n" s="2909">
        <v>21</v>
      </c>
      <c r="AA140" t="n" s="2909">
        <v>21</v>
      </c>
      <c r="AB140" t="inlineStr" s="2909">
        <is>
          <t>20250401</t>
        </is>
      </c>
      <c r="AD140" t="n" s="2909">
        <v>0</v>
      </c>
      <c r="AE140" t="inlineStr" s="2909">
        <is>
          <t>00000000</t>
        </is>
      </c>
      <c r="AH140" t="n" s="2909">
        <v>1</v>
      </c>
      <c r="AJ140" t="n" s="2909">
        <v>10</v>
      </c>
      <c r="AP140" t="n" s="2909">
        <v>280000</v>
      </c>
      <c r="DB140" s="2909" t="str">
        <f>IF($A140="","",IF($AH140=20,IF(AND(OR($A140=21,$A140=215),$AJ140=10),"①病院一般",IF(AND($A140=31,$AJ140=41),"②病院短期","対象外")),IF($AJ140=30,"③特定消防",IF(AND(OR($A140=21,$A140=215),$AJ140=10),"④一般",IF(AND($A140=31,$AJ140=41),"⑤短期","対象外")))))</f>
        <v>④一般</v>
      </c>
      <c r="DC140" s="2909">
        <f>IF($A140="","",IF($AB140&amp;""='DB_設定'!$C$4,1,0))</f>
        <v>1</v>
      </c>
    </row>
    <row r="141">
      <c r="A141" t="n" s="2909">
        <v>21</v>
      </c>
      <c r="AA141" t="n" s="2909">
        <v>21</v>
      </c>
      <c r="AB141" t="inlineStr" s="2909">
        <is>
          <t>20250401</t>
        </is>
      </c>
      <c r="AD141" t="n" s="2909">
        <v>0</v>
      </c>
      <c r="AE141" t="inlineStr" s="2909">
        <is>
          <t>00000000</t>
        </is>
      </c>
      <c r="AH141" t="n" s="2909">
        <v>1</v>
      </c>
      <c r="AJ141" t="n" s="2909">
        <v>10</v>
      </c>
      <c r="AP141" t="n" s="2909">
        <v>360000</v>
      </c>
      <c r="DB141" s="2909" t="str">
        <f>IF($A141="","",IF($AH141=20,IF(AND(OR($A141=21,$A141=215),$AJ141=10),"①病院一般",IF(AND($A141=31,$AJ141=41),"②病院短期","対象外")),IF($AJ141=30,"③特定消防",IF(AND(OR($A141=21,$A141=215),$AJ141=10),"④一般",IF(AND($A141=31,$AJ141=41),"⑤短期","対象外")))))</f>
        <v>④一般</v>
      </c>
      <c r="DC141" s="2909">
        <f>IF($A141="","",IF($AB141&amp;""='DB_設定'!$C$4,1,0))</f>
        <v>1</v>
      </c>
    </row>
    <row r="142">
      <c r="A142" t="n" s="2909">
        <v>21</v>
      </c>
      <c r="AA142" t="n" s="2909">
        <v>21</v>
      </c>
      <c r="AB142" t="inlineStr" s="2909">
        <is>
          <t>20250401</t>
        </is>
      </c>
      <c r="AD142" t="n" s="2909">
        <v>0</v>
      </c>
      <c r="AE142" t="inlineStr" s="2909">
        <is>
          <t>00000000</t>
        </is>
      </c>
      <c r="AH142" t="n" s="2909">
        <v>1</v>
      </c>
      <c r="AJ142" t="n" s="2909">
        <v>10</v>
      </c>
      <c r="AP142" t="n" s="2909">
        <v>300000</v>
      </c>
      <c r="DB142" s="2909" t="str">
        <f>IF($A142="","",IF($AH142=20,IF(AND(OR($A142=21,$A142=215),$AJ142=10),"①病院一般",IF(AND($A142=31,$AJ142=41),"②病院短期","対象外")),IF($AJ142=30,"③特定消防",IF(AND(OR($A142=21,$A142=215),$AJ142=10),"④一般",IF(AND($A142=31,$AJ142=41),"⑤短期","対象外")))))</f>
        <v>④一般</v>
      </c>
      <c r="DC142" s="2909">
        <f>IF($A142="","",IF($AB142&amp;""='DB_設定'!$C$4,1,0))</f>
        <v>1</v>
      </c>
    </row>
    <row r="143">
      <c r="A143" t="n" s="2909">
        <v>21</v>
      </c>
      <c r="AA143" t="n" s="2909">
        <v>21</v>
      </c>
      <c r="AB143" t="inlineStr" s="2909">
        <is>
          <t>20250401</t>
        </is>
      </c>
      <c r="AD143" t="n" s="2909">
        <v>0</v>
      </c>
      <c r="AE143" t="inlineStr" s="2909">
        <is>
          <t>00000000</t>
        </is>
      </c>
      <c r="AH143" t="n" s="2909">
        <v>1</v>
      </c>
      <c r="AJ143" t="n" s="2909">
        <v>10</v>
      </c>
      <c r="AP143" t="n" s="2909">
        <v>260000</v>
      </c>
      <c r="DB143" s="2909" t="str">
        <f>IF($A143="","",IF($AH143=20,IF(AND(OR($A143=21,$A143=215),$AJ143=10),"①病院一般",IF(AND($A143=31,$AJ143=41),"②病院短期","対象外")),IF($AJ143=30,"③特定消防",IF(AND(OR($A143=21,$A143=215),$AJ143=10),"④一般",IF(AND($A143=31,$AJ143=41),"⑤短期","対象外")))))</f>
        <v>④一般</v>
      </c>
      <c r="DC143" s="2909">
        <f>IF($A143="","",IF($AB143&amp;""='DB_設定'!$C$4,1,0))</f>
        <v>1</v>
      </c>
    </row>
    <row r="144">
      <c r="A144" t="n" s="2909">
        <v>21</v>
      </c>
      <c r="AA144" t="n" s="2909">
        <v>21</v>
      </c>
      <c r="AB144" t="inlineStr" s="2909">
        <is>
          <t>20250401</t>
        </is>
      </c>
      <c r="AD144" t="n" s="2909">
        <v>0</v>
      </c>
      <c r="AE144" t="inlineStr" s="2909">
        <is>
          <t>00000000</t>
        </is>
      </c>
      <c r="AH144" t="n" s="2909">
        <v>1</v>
      </c>
      <c r="AJ144" t="n" s="2909">
        <v>10</v>
      </c>
      <c r="AP144" t="n" s="2909">
        <v>240000</v>
      </c>
      <c r="DB144" s="2909" t="str">
        <f>IF($A144="","",IF($AH144=20,IF(AND(OR($A144=21,$A144=215),$AJ144=10),"①病院一般",IF(AND($A144=31,$AJ144=41),"②病院短期","対象外")),IF($AJ144=30,"③特定消防",IF(AND(OR($A144=21,$A144=215),$AJ144=10),"④一般",IF(AND($A144=31,$AJ144=41),"⑤短期","対象外")))))</f>
        <v>④一般</v>
      </c>
      <c r="DC144" s="2909">
        <f>IF($A144="","",IF($AB144&amp;""='DB_設定'!$C$4,1,0))</f>
        <v>1</v>
      </c>
    </row>
    <row r="145">
      <c r="A145" t="n" s="2909">
        <v>21</v>
      </c>
      <c r="AA145" t="n" s="2909">
        <v>21</v>
      </c>
      <c r="AB145" t="inlineStr" s="2909">
        <is>
          <t>20250401</t>
        </is>
      </c>
      <c r="AD145" t="n" s="2909">
        <v>0</v>
      </c>
      <c r="AE145" t="inlineStr" s="2909">
        <is>
          <t>00000000</t>
        </is>
      </c>
      <c r="AH145" t="n" s="2909">
        <v>1</v>
      </c>
      <c r="AJ145" t="n" s="2909">
        <v>10</v>
      </c>
      <c r="AP145" t="n" s="2909">
        <v>260000</v>
      </c>
      <c r="DB145" s="2909" t="str">
        <f>IF($A145="","",IF($AH145=20,IF(AND(OR($A145=21,$A145=215),$AJ145=10),"①病院一般",IF(AND($A145=31,$AJ145=41),"②病院短期","対象外")),IF($AJ145=30,"③特定消防",IF(AND(OR($A145=21,$A145=215),$AJ145=10),"④一般",IF(AND($A145=31,$AJ145=41),"⑤短期","対象外")))))</f>
        <v>④一般</v>
      </c>
      <c r="DC145" s="2909">
        <f>IF($A145="","",IF($AB145&amp;""='DB_設定'!$C$4,1,0))</f>
        <v>1</v>
      </c>
    </row>
    <row r="146">
      <c r="A146" t="n" s="2909">
        <v>21</v>
      </c>
      <c r="AA146" t="n" s="2909">
        <v>21</v>
      </c>
      <c r="AB146" t="inlineStr" s="2909">
        <is>
          <t>20250401</t>
        </is>
      </c>
      <c r="AD146" t="n" s="2909">
        <v>0</v>
      </c>
      <c r="AE146" t="inlineStr" s="2909">
        <is>
          <t>00000000</t>
        </is>
      </c>
      <c r="AH146" t="n" s="2909">
        <v>1</v>
      </c>
      <c r="AJ146" t="n" s="2909">
        <v>10</v>
      </c>
      <c r="AP146" t="n" s="2909">
        <v>280000</v>
      </c>
      <c r="DB146" s="2909" t="str">
        <f>IF($A146="","",IF($AH146=20,IF(AND(OR($A146=21,$A146=215),$AJ146=10),"①病院一般",IF(AND($A146=31,$AJ146=41),"②病院短期","対象外")),IF($AJ146=30,"③特定消防",IF(AND(OR($A146=21,$A146=215),$AJ146=10),"④一般",IF(AND($A146=31,$AJ146=41),"⑤短期","対象外")))))</f>
        <v>④一般</v>
      </c>
      <c r="DC146" s="2909">
        <f>IF($A146="","",IF($AB146&amp;""='DB_設定'!$C$4,1,0))</f>
        <v>1</v>
      </c>
    </row>
    <row r="147">
      <c r="A147" t="n" s="2909">
        <v>21</v>
      </c>
      <c r="AA147" t="n" s="2909">
        <v>21</v>
      </c>
      <c r="AB147" t="inlineStr" s="2909">
        <is>
          <t>20250401</t>
        </is>
      </c>
      <c r="AD147" t="n" s="2909">
        <v>0</v>
      </c>
      <c r="AE147" t="inlineStr" s="2909">
        <is>
          <t>00000000</t>
        </is>
      </c>
      <c r="AH147" t="n" s="2909">
        <v>1</v>
      </c>
      <c r="AJ147" t="n" s="2909">
        <v>10</v>
      </c>
      <c r="AP147" t="n" s="2909">
        <v>280000</v>
      </c>
      <c r="DB147" s="2909" t="str">
        <f>IF($A147="","",IF($AH147=20,IF(AND(OR($A147=21,$A147=215),$AJ147=10),"①病院一般",IF(AND($A147=31,$AJ147=41),"②病院短期","対象外")),IF($AJ147=30,"③特定消防",IF(AND(OR($A147=21,$A147=215),$AJ147=10),"④一般",IF(AND($A147=31,$AJ147=41),"⑤短期","対象外")))))</f>
        <v>④一般</v>
      </c>
      <c r="DC147" s="2909">
        <f>IF($A147="","",IF($AB147&amp;""='DB_設定'!$C$4,1,0))</f>
        <v>1</v>
      </c>
    </row>
    <row r="148">
      <c r="A148" t="n" s="2909">
        <v>21</v>
      </c>
      <c r="AA148" t="n" s="2909">
        <v>21</v>
      </c>
      <c r="AB148" t="inlineStr" s="2909">
        <is>
          <t>20250401</t>
        </is>
      </c>
      <c r="AD148" t="n" s="2909">
        <v>0</v>
      </c>
      <c r="AE148" t="inlineStr" s="2909">
        <is>
          <t>00000000</t>
        </is>
      </c>
      <c r="AH148" t="n" s="2909">
        <v>1</v>
      </c>
      <c r="AJ148" t="n" s="2909">
        <v>10</v>
      </c>
      <c r="AP148" t="n" s="2909">
        <v>240000</v>
      </c>
      <c r="DB148" s="2909" t="str">
        <f>IF($A148="","",IF($AH148=20,IF(AND(OR($A148=21,$A148=215),$AJ148=10),"①病院一般",IF(AND($A148=31,$AJ148=41),"②病院短期","対象外")),IF($AJ148=30,"③特定消防",IF(AND(OR($A148=21,$A148=215),$AJ148=10),"④一般",IF(AND($A148=31,$AJ148=41),"⑤短期","対象外")))))</f>
        <v>④一般</v>
      </c>
      <c r="DC148" s="2909">
        <f>IF($A148="","",IF($AB148&amp;""='DB_設定'!$C$4,1,0))</f>
        <v>1</v>
      </c>
    </row>
    <row r="149">
      <c r="A149" t="n" s="2909">
        <v>21</v>
      </c>
      <c r="AA149" t="n" s="2909">
        <v>21</v>
      </c>
      <c r="AB149" t="inlineStr" s="2909">
        <is>
          <t>20250401</t>
        </is>
      </c>
      <c r="AD149" t="n" s="2909">
        <v>0</v>
      </c>
      <c r="AE149" t="inlineStr" s="2909">
        <is>
          <t>00000000</t>
        </is>
      </c>
      <c r="AH149" t="n" s="2909">
        <v>1</v>
      </c>
      <c r="AJ149" t="n" s="2909">
        <v>10</v>
      </c>
      <c r="AP149" t="n" s="2909">
        <v>280000</v>
      </c>
      <c r="DB149" s="2909" t="str">
        <f>IF($A149="","",IF($AH149=20,IF(AND(OR($A149=21,$A149=215),$AJ149=10),"①病院一般",IF(AND($A149=31,$AJ149=41),"②病院短期","対象外")),IF($AJ149=30,"③特定消防",IF(AND(OR($A149=21,$A149=215),$AJ149=10),"④一般",IF(AND($A149=31,$AJ149=41),"⑤短期","対象外")))))</f>
        <v>④一般</v>
      </c>
      <c r="DC149" s="2909">
        <f>IF($A149="","",IF($AB149&amp;""='DB_設定'!$C$4,1,0))</f>
        <v>1</v>
      </c>
    </row>
    <row r="150">
      <c r="A150" t="n" s="2909">
        <v>21</v>
      </c>
      <c r="AA150" t="n" s="2909">
        <v>21</v>
      </c>
      <c r="AB150" t="inlineStr" s="2909">
        <is>
          <t>20250401</t>
        </is>
      </c>
      <c r="AD150" t="n" s="2909">
        <v>0</v>
      </c>
      <c r="AE150" t="inlineStr" s="2909">
        <is>
          <t>00000000</t>
        </is>
      </c>
      <c r="AH150" t="n" s="2909">
        <v>1</v>
      </c>
      <c r="AJ150" t="n" s="2909">
        <v>10</v>
      </c>
      <c r="AP150" t="n" s="2909">
        <v>260000</v>
      </c>
      <c r="DB150" s="2909" t="str">
        <f>IF($A150="","",IF($AH150=20,IF(AND(OR($A150=21,$A150=215),$AJ150=10),"①病院一般",IF(AND($A150=31,$AJ150=41),"②病院短期","対象外")),IF($AJ150=30,"③特定消防",IF(AND(OR($A150=21,$A150=215),$AJ150=10),"④一般",IF(AND($A150=31,$AJ150=41),"⑤短期","対象外")))))</f>
        <v>④一般</v>
      </c>
      <c r="DC150" s="2909">
        <f>IF($A150="","",IF($AB150&amp;""='DB_設定'!$C$4,1,0))</f>
        <v>1</v>
      </c>
    </row>
    <row r="151">
      <c r="A151" t="n" s="2909">
        <v>21</v>
      </c>
      <c r="AA151" t="n" s="2909">
        <v>21</v>
      </c>
      <c r="AB151" t="inlineStr" s="2909">
        <is>
          <t>20250401</t>
        </is>
      </c>
      <c r="AD151" t="n" s="2909">
        <v>0</v>
      </c>
      <c r="AE151" t="inlineStr" s="2909">
        <is>
          <t>00000000</t>
        </is>
      </c>
      <c r="AH151" t="n" s="2909">
        <v>1</v>
      </c>
      <c r="AJ151" t="n" s="2909">
        <v>10</v>
      </c>
      <c r="AP151" t="n" s="2909">
        <v>340000</v>
      </c>
      <c r="DB151" s="2909" t="str">
        <f>IF($A151="","",IF($AH151=20,IF(AND(OR($A151=21,$A151=215),$AJ151=10),"①病院一般",IF(AND($A151=31,$AJ151=41),"②病院短期","対象外")),IF($AJ151=30,"③特定消防",IF(AND(OR($A151=21,$A151=215),$AJ151=10),"④一般",IF(AND($A151=31,$AJ151=41),"⑤短期","対象外")))))</f>
        <v>④一般</v>
      </c>
      <c r="DC151" s="2909">
        <f>IF($A151="","",IF($AB151&amp;""='DB_設定'!$C$4,1,0))</f>
        <v>1</v>
      </c>
    </row>
    <row r="152">
      <c r="A152" t="n" s="2909">
        <v>21</v>
      </c>
      <c r="AA152" t="n" s="2909">
        <v>21</v>
      </c>
      <c r="AB152" t="inlineStr" s="2909">
        <is>
          <t>20250401</t>
        </is>
      </c>
      <c r="AD152" t="n" s="2909">
        <v>0</v>
      </c>
      <c r="AE152" t="inlineStr" s="2909">
        <is>
          <t>00000000</t>
        </is>
      </c>
      <c r="AH152" t="n" s="2909">
        <v>1</v>
      </c>
      <c r="AJ152" t="n" s="2909">
        <v>10</v>
      </c>
      <c r="AP152" t="n" s="2909">
        <v>300000</v>
      </c>
      <c r="DB152" s="2909" t="str">
        <f>IF($A152="","",IF($AH152=20,IF(AND(OR($A152=21,$A152=215),$AJ152=10),"①病院一般",IF(AND($A152=31,$AJ152=41),"②病院短期","対象外")),IF($AJ152=30,"③特定消防",IF(AND(OR($A152=21,$A152=215),$AJ152=10),"④一般",IF(AND($A152=31,$AJ152=41),"⑤短期","対象外")))))</f>
        <v>④一般</v>
      </c>
      <c r="DC152" s="2909">
        <f>IF($A152="","",IF($AB152&amp;""='DB_設定'!$C$4,1,0))</f>
        <v>1</v>
      </c>
    </row>
    <row r="153">
      <c r="A153" t="n" s="2909">
        <v>21</v>
      </c>
      <c r="AA153" t="n" s="2909">
        <v>21</v>
      </c>
      <c r="AB153" t="inlineStr" s="2909">
        <is>
          <t>20250401</t>
        </is>
      </c>
      <c r="AD153" t="n" s="2909">
        <v>0</v>
      </c>
      <c r="AE153" t="inlineStr" s="2909">
        <is>
          <t>00000000</t>
        </is>
      </c>
      <c r="AH153" t="n" s="2909">
        <v>1</v>
      </c>
      <c r="AJ153" t="n" s="2909">
        <v>10</v>
      </c>
      <c r="AP153" t="n" s="2909">
        <v>320000</v>
      </c>
      <c r="DB153" s="2909" t="str">
        <f>IF($A153="","",IF($AH153=20,IF(AND(OR($A153=21,$A153=215),$AJ153=10),"①病院一般",IF(AND($A153=31,$AJ153=41),"②病院短期","対象外")),IF($AJ153=30,"③特定消防",IF(AND(OR($A153=21,$A153=215),$AJ153=10),"④一般",IF(AND($A153=31,$AJ153=41),"⑤短期","対象外")))))</f>
        <v>④一般</v>
      </c>
      <c r="DC153" s="2909">
        <f>IF($A153="","",IF($AB153&amp;""='DB_設定'!$C$4,1,0))</f>
        <v>1</v>
      </c>
    </row>
    <row r="154">
      <c r="A154" t="n" s="2909">
        <v>21</v>
      </c>
      <c r="AA154" t="n" s="2909">
        <v>21</v>
      </c>
      <c r="AB154" t="inlineStr" s="2909">
        <is>
          <t>20250401</t>
        </is>
      </c>
      <c r="AD154" t="n" s="2909">
        <v>0</v>
      </c>
      <c r="AE154" t="inlineStr" s="2909">
        <is>
          <t>00000000</t>
        </is>
      </c>
      <c r="AH154" t="n" s="2909">
        <v>1</v>
      </c>
      <c r="AJ154" t="n" s="2909">
        <v>10</v>
      </c>
      <c r="AP154" t="n" s="2909">
        <v>300000</v>
      </c>
      <c r="DB154" s="2909" t="str">
        <f>IF($A154="","",IF($AH154=20,IF(AND(OR($A154=21,$A154=215),$AJ154=10),"①病院一般",IF(AND($A154=31,$AJ154=41),"②病院短期","対象外")),IF($AJ154=30,"③特定消防",IF(AND(OR($A154=21,$A154=215),$AJ154=10),"④一般",IF(AND($A154=31,$AJ154=41),"⑤短期","対象外")))))</f>
        <v>④一般</v>
      </c>
      <c r="DC154" s="2909">
        <f>IF($A154="","",IF($AB154&amp;""='DB_設定'!$C$4,1,0))</f>
        <v>1</v>
      </c>
    </row>
    <row r="155">
      <c r="A155" t="n" s="2909">
        <v>21</v>
      </c>
      <c r="AA155" t="n" s="2909">
        <v>21</v>
      </c>
      <c r="AB155" t="inlineStr" s="2909">
        <is>
          <t>20250401</t>
        </is>
      </c>
      <c r="AD155" t="n" s="2909">
        <v>0</v>
      </c>
      <c r="AE155" t="inlineStr" s="2909">
        <is>
          <t>00000000</t>
        </is>
      </c>
      <c r="AH155" t="n" s="2909">
        <v>1</v>
      </c>
      <c r="AJ155" t="n" s="2909">
        <v>10</v>
      </c>
      <c r="AP155" t="n" s="2909">
        <v>260000</v>
      </c>
      <c r="DB155" s="2909" t="str">
        <f>IF($A155="","",IF($AH155=20,IF(AND(OR($A155=21,$A155=215),$AJ155=10),"①病院一般",IF(AND($A155=31,$AJ155=41),"②病院短期","対象外")),IF($AJ155=30,"③特定消防",IF(AND(OR($A155=21,$A155=215),$AJ155=10),"④一般",IF(AND($A155=31,$AJ155=41),"⑤短期","対象外")))))</f>
        <v>④一般</v>
      </c>
      <c r="DC155" s="2909">
        <f>IF($A155="","",IF($AB155&amp;""='DB_設定'!$C$4,1,0))</f>
        <v>1</v>
      </c>
    </row>
    <row r="156">
      <c r="A156" t="n" s="2909">
        <v>21</v>
      </c>
      <c r="AA156" t="n" s="2909">
        <v>21</v>
      </c>
      <c r="AB156" t="inlineStr" s="2909">
        <is>
          <t>20250401</t>
        </is>
      </c>
      <c r="AD156" t="n" s="2909">
        <v>0</v>
      </c>
      <c r="AE156" t="inlineStr" s="2909">
        <is>
          <t>00000000</t>
        </is>
      </c>
      <c r="AH156" t="n" s="2909">
        <v>1</v>
      </c>
      <c r="AJ156" t="n" s="2909">
        <v>10</v>
      </c>
      <c r="AP156" t="n" s="2909">
        <v>300000</v>
      </c>
      <c r="DB156" s="2909" t="str">
        <f>IF($A156="","",IF($AH156=20,IF(AND(OR($A156=21,$A156=215),$AJ156=10),"①病院一般",IF(AND($A156=31,$AJ156=41),"②病院短期","対象外")),IF($AJ156=30,"③特定消防",IF(AND(OR($A156=21,$A156=215),$AJ156=10),"④一般",IF(AND($A156=31,$AJ156=41),"⑤短期","対象外")))))</f>
        <v>④一般</v>
      </c>
      <c r="DC156" s="2909">
        <f>IF($A156="","",IF($AB156&amp;""='DB_設定'!$C$4,1,0))</f>
        <v>1</v>
      </c>
    </row>
    <row r="157">
      <c r="A157" t="n" s="2909">
        <v>21</v>
      </c>
      <c r="AA157" t="n" s="2909">
        <v>21</v>
      </c>
      <c r="AB157" t="inlineStr" s="2909">
        <is>
          <t>20250401</t>
        </is>
      </c>
      <c r="AD157" t="n" s="2909">
        <v>0</v>
      </c>
      <c r="AE157" t="inlineStr" s="2909">
        <is>
          <t>00000000</t>
        </is>
      </c>
      <c r="AH157" t="n" s="2909">
        <v>1</v>
      </c>
      <c r="AJ157" t="n" s="2909">
        <v>10</v>
      </c>
      <c r="AP157" t="n" s="2909">
        <v>260000</v>
      </c>
      <c r="DB157" s="2909" t="str">
        <f>IF($A157="","",IF($AH157=20,IF(AND(OR($A157=21,$A157=215),$AJ157=10),"①病院一般",IF(AND($A157=31,$AJ157=41),"②病院短期","対象外")),IF($AJ157=30,"③特定消防",IF(AND(OR($A157=21,$A157=215),$AJ157=10),"④一般",IF(AND($A157=31,$AJ157=41),"⑤短期","対象外")))))</f>
        <v>④一般</v>
      </c>
      <c r="DC157" s="2909">
        <f>IF($A157="","",IF($AB157&amp;""='DB_設定'!$C$4,1,0))</f>
        <v>1</v>
      </c>
    </row>
    <row r="158">
      <c r="A158" t="n" s="2909">
        <v>21</v>
      </c>
      <c r="AA158" t="n" s="2909">
        <v>21</v>
      </c>
      <c r="AB158" t="inlineStr" s="2909">
        <is>
          <t>20250401</t>
        </is>
      </c>
      <c r="AD158" t="n" s="2909">
        <v>0</v>
      </c>
      <c r="AE158" t="inlineStr" s="2909">
        <is>
          <t>00000000</t>
        </is>
      </c>
      <c r="AH158" t="n" s="2909">
        <v>1</v>
      </c>
      <c r="AJ158" t="n" s="2909">
        <v>10</v>
      </c>
      <c r="AP158" t="n" s="2909">
        <v>300000</v>
      </c>
      <c r="DB158" s="2909" t="str">
        <f>IF($A158="","",IF($AH158=20,IF(AND(OR($A158=21,$A158=215),$AJ158=10),"①病院一般",IF(AND($A158=31,$AJ158=41),"②病院短期","対象外")),IF($AJ158=30,"③特定消防",IF(AND(OR($A158=21,$A158=215),$AJ158=10),"④一般",IF(AND($A158=31,$AJ158=41),"⑤短期","対象外")))))</f>
        <v>④一般</v>
      </c>
      <c r="DC158" s="2909">
        <f>IF($A158="","",IF($AB158&amp;""='DB_設定'!$C$4,1,0))</f>
        <v>1</v>
      </c>
    </row>
    <row r="159">
      <c r="A159" t="n" s="2909">
        <v>21</v>
      </c>
      <c r="AA159" t="n" s="2909">
        <v>21</v>
      </c>
      <c r="AB159" t="inlineStr" s="2909">
        <is>
          <t>20250401</t>
        </is>
      </c>
      <c r="AD159" t="n" s="2909">
        <v>0</v>
      </c>
      <c r="AE159" t="inlineStr" s="2909">
        <is>
          <t>00000000</t>
        </is>
      </c>
      <c r="AH159" t="n" s="2909">
        <v>1</v>
      </c>
      <c r="AJ159" t="n" s="2909">
        <v>10</v>
      </c>
      <c r="AP159" t="n" s="2909">
        <v>300000</v>
      </c>
      <c r="DB159" s="2909" t="str">
        <f>IF($A159="","",IF($AH159=20,IF(AND(OR($A159=21,$A159=215),$AJ159=10),"①病院一般",IF(AND($A159=31,$AJ159=41),"②病院短期","対象外")),IF($AJ159=30,"③特定消防",IF(AND(OR($A159=21,$A159=215),$AJ159=10),"④一般",IF(AND($A159=31,$AJ159=41),"⑤短期","対象外")))))</f>
        <v>④一般</v>
      </c>
      <c r="DC159" s="2909">
        <f>IF($A159="","",IF($AB159&amp;""='DB_設定'!$C$4,1,0))</f>
        <v>1</v>
      </c>
    </row>
    <row r="160">
      <c r="A160" t="n" s="2909">
        <v>21</v>
      </c>
      <c r="AA160" t="n" s="2909">
        <v>21</v>
      </c>
      <c r="AB160" t="inlineStr" s="2909">
        <is>
          <t>20250401</t>
        </is>
      </c>
      <c r="AD160" t="n" s="2909">
        <v>0</v>
      </c>
      <c r="AE160" t="inlineStr" s="2909">
        <is>
          <t>00000000</t>
        </is>
      </c>
      <c r="AH160" t="n" s="2909">
        <v>1</v>
      </c>
      <c r="AJ160" t="n" s="2909">
        <v>10</v>
      </c>
      <c r="AP160" t="n" s="2909">
        <v>320000</v>
      </c>
      <c r="DB160" s="2909" t="str">
        <f>IF($A160="","",IF($AH160=20,IF(AND(OR($A160=21,$A160=215),$AJ160=10),"①病院一般",IF(AND($A160=31,$AJ160=41),"②病院短期","対象外")),IF($AJ160=30,"③特定消防",IF(AND(OR($A160=21,$A160=215),$AJ160=10),"④一般",IF(AND($A160=31,$AJ160=41),"⑤短期","対象外")))))</f>
        <v>④一般</v>
      </c>
      <c r="DC160" s="2909">
        <f>IF($A160="","",IF($AB160&amp;""='DB_設定'!$C$4,1,0))</f>
        <v>1</v>
      </c>
    </row>
    <row r="161">
      <c r="A161" t="n" s="2909">
        <v>21</v>
      </c>
      <c r="AA161" t="n" s="2909">
        <v>21</v>
      </c>
      <c r="AB161" t="inlineStr" s="2909">
        <is>
          <t>20250401</t>
        </is>
      </c>
      <c r="AD161" t="n" s="2909">
        <v>0</v>
      </c>
      <c r="AE161" t="inlineStr" s="2909">
        <is>
          <t>00000000</t>
        </is>
      </c>
      <c r="AH161" t="n" s="2909">
        <v>1</v>
      </c>
      <c r="AJ161" t="n" s="2909">
        <v>10</v>
      </c>
      <c r="AP161" t="n" s="2909">
        <v>280000</v>
      </c>
      <c r="DB161" s="2909" t="str">
        <f>IF($A161="","",IF($AH161=20,IF(AND(OR($A161=21,$A161=215),$AJ161=10),"①病院一般",IF(AND($A161=31,$AJ161=41),"②病院短期","対象外")),IF($AJ161=30,"③特定消防",IF(AND(OR($A161=21,$A161=215),$AJ161=10),"④一般",IF(AND($A161=31,$AJ161=41),"⑤短期","対象外")))))</f>
        <v>④一般</v>
      </c>
      <c r="DC161" s="2909">
        <f>IF($A161="","",IF($AB161&amp;""='DB_設定'!$C$4,1,0))</f>
        <v>1</v>
      </c>
    </row>
    <row r="162">
      <c r="A162" t="n" s="2909">
        <v>21</v>
      </c>
      <c r="AA162" t="n" s="2909">
        <v>21</v>
      </c>
      <c r="AB162" t="inlineStr" s="2909">
        <is>
          <t>20250401</t>
        </is>
      </c>
      <c r="AD162" t="n" s="2909">
        <v>0</v>
      </c>
      <c r="AE162" t="inlineStr" s="2909">
        <is>
          <t>00000000</t>
        </is>
      </c>
      <c r="AH162" t="n" s="2909">
        <v>1</v>
      </c>
      <c r="AJ162" t="n" s="2909">
        <v>10</v>
      </c>
      <c r="AP162" t="n" s="2909">
        <v>320000</v>
      </c>
      <c r="DB162" s="2909" t="str">
        <f>IF($A162="","",IF($AH162=20,IF(AND(OR($A162=21,$A162=215),$AJ162=10),"①病院一般",IF(AND($A162=31,$AJ162=41),"②病院短期","対象外")),IF($AJ162=30,"③特定消防",IF(AND(OR($A162=21,$A162=215),$AJ162=10),"④一般",IF(AND($A162=31,$AJ162=41),"⑤短期","対象外")))))</f>
        <v>④一般</v>
      </c>
      <c r="DC162" s="2909">
        <f>IF($A162="","",IF($AB162&amp;""='DB_設定'!$C$4,1,0))</f>
        <v>1</v>
      </c>
    </row>
    <row r="163">
      <c r="A163" t="n" s="2909">
        <v>21</v>
      </c>
      <c r="AA163" t="n" s="2909">
        <v>21</v>
      </c>
      <c r="AB163" t="inlineStr" s="2909">
        <is>
          <t>20250401</t>
        </is>
      </c>
      <c r="AD163" t="n" s="2909">
        <v>0</v>
      </c>
      <c r="AE163" t="inlineStr" s="2909">
        <is>
          <t>00000000</t>
        </is>
      </c>
      <c r="AH163" t="n" s="2909">
        <v>1</v>
      </c>
      <c r="AJ163" t="n" s="2909">
        <v>10</v>
      </c>
      <c r="AP163" t="n" s="2909">
        <v>300000</v>
      </c>
      <c r="DB163" s="2909" t="str">
        <f>IF($A163="","",IF($AH163=20,IF(AND(OR($A163=21,$A163=215),$AJ163=10),"①病院一般",IF(AND($A163=31,$AJ163=41),"②病院短期","対象外")),IF($AJ163=30,"③特定消防",IF(AND(OR($A163=21,$A163=215),$AJ163=10),"④一般",IF(AND($A163=31,$AJ163=41),"⑤短期","対象外")))))</f>
        <v>④一般</v>
      </c>
      <c r="DC163" s="2909">
        <f>IF($A163="","",IF($AB163&amp;""='DB_設定'!$C$4,1,0))</f>
        <v>1</v>
      </c>
    </row>
    <row r="164">
      <c r="A164" t="n" s="2909">
        <v>21</v>
      </c>
      <c r="AA164" t="n" s="2909">
        <v>21</v>
      </c>
      <c r="AB164" t="inlineStr" s="2909">
        <is>
          <t>20250401</t>
        </is>
      </c>
      <c r="AD164" t="n" s="2909">
        <v>0</v>
      </c>
      <c r="AE164" t="inlineStr" s="2909">
        <is>
          <t>00000000</t>
        </is>
      </c>
      <c r="AH164" t="n" s="2909">
        <v>1</v>
      </c>
      <c r="AJ164" t="n" s="2909">
        <v>10</v>
      </c>
      <c r="AP164" t="n" s="2909">
        <v>320000</v>
      </c>
      <c r="DB164" s="2909" t="str">
        <f>IF($A164="","",IF($AH164=20,IF(AND(OR($A164=21,$A164=215),$AJ164=10),"①病院一般",IF(AND($A164=31,$AJ164=41),"②病院短期","対象外")),IF($AJ164=30,"③特定消防",IF(AND(OR($A164=21,$A164=215),$AJ164=10),"④一般",IF(AND($A164=31,$AJ164=41),"⑤短期","対象外")))))</f>
        <v>④一般</v>
      </c>
      <c r="DC164" s="2909">
        <f>IF($A164="","",IF($AB164&amp;""='DB_設定'!$C$4,1,0))</f>
        <v>1</v>
      </c>
    </row>
    <row r="165">
      <c r="A165" t="n" s="2909">
        <v>21</v>
      </c>
      <c r="AA165" t="n" s="2909">
        <v>21</v>
      </c>
      <c r="AB165" t="inlineStr" s="2909">
        <is>
          <t>20250401</t>
        </is>
      </c>
      <c r="AD165" t="n" s="2909">
        <v>0</v>
      </c>
      <c r="AE165" t="inlineStr" s="2909">
        <is>
          <t>00000000</t>
        </is>
      </c>
      <c r="AH165" t="n" s="2909">
        <v>1</v>
      </c>
      <c r="AJ165" t="n" s="2909">
        <v>10</v>
      </c>
      <c r="AP165" t="n" s="2909">
        <v>280000</v>
      </c>
      <c r="DB165" s="2909" t="str">
        <f>IF($A165="","",IF($AH165=20,IF(AND(OR($A165=21,$A165=215),$AJ165=10),"①病院一般",IF(AND($A165=31,$AJ165=41),"②病院短期","対象外")),IF($AJ165=30,"③特定消防",IF(AND(OR($A165=21,$A165=215),$AJ165=10),"④一般",IF(AND($A165=31,$AJ165=41),"⑤短期","対象外")))))</f>
        <v>④一般</v>
      </c>
      <c r="DC165" s="2909">
        <f>IF($A165="","",IF($AB165&amp;""='DB_設定'!$C$4,1,0))</f>
        <v>1</v>
      </c>
    </row>
    <row r="166">
      <c r="A166" t="n" s="2909">
        <v>21</v>
      </c>
      <c r="AA166" t="n" s="2909">
        <v>21</v>
      </c>
      <c r="AB166" t="inlineStr" s="2909">
        <is>
          <t>20250401</t>
        </is>
      </c>
      <c r="AD166" t="n" s="2909">
        <v>0</v>
      </c>
      <c r="AE166" t="inlineStr" s="2909">
        <is>
          <t>00000000</t>
        </is>
      </c>
      <c r="AH166" t="n" s="2909">
        <v>1</v>
      </c>
      <c r="AJ166" t="n" s="2909">
        <v>10</v>
      </c>
      <c r="AP166" t="n" s="2909">
        <v>300000</v>
      </c>
      <c r="DB166" s="2909" t="str">
        <f>IF($A166="","",IF($AH166=20,IF(AND(OR($A166=21,$A166=215),$AJ166=10),"①病院一般",IF(AND($A166=31,$AJ166=41),"②病院短期","対象外")),IF($AJ166=30,"③特定消防",IF(AND(OR($A166=21,$A166=215),$AJ166=10),"④一般",IF(AND($A166=31,$AJ166=41),"⑤短期","対象外")))))</f>
        <v>④一般</v>
      </c>
      <c r="DC166" s="2909">
        <f>IF($A166="","",IF($AB166&amp;""='DB_設定'!$C$4,1,0))</f>
        <v>1</v>
      </c>
    </row>
    <row r="167">
      <c r="A167" t="n" s="2909">
        <v>21</v>
      </c>
      <c r="AA167" t="n" s="2909">
        <v>21</v>
      </c>
      <c r="AB167" t="inlineStr" s="2909">
        <is>
          <t>20250401</t>
        </is>
      </c>
      <c r="AD167" t="n" s="2909">
        <v>0</v>
      </c>
      <c r="AE167" t="inlineStr" s="2909">
        <is>
          <t>00000000</t>
        </is>
      </c>
      <c r="AH167" t="n" s="2909">
        <v>1</v>
      </c>
      <c r="AJ167" t="n" s="2909">
        <v>10</v>
      </c>
      <c r="AP167" t="n" s="2909">
        <v>300000</v>
      </c>
      <c r="DB167" s="2909" t="str">
        <f>IF($A167="","",IF($AH167=20,IF(AND(OR($A167=21,$A167=215),$AJ167=10),"①病院一般",IF(AND($A167=31,$AJ167=41),"②病院短期","対象外")),IF($AJ167=30,"③特定消防",IF(AND(OR($A167=21,$A167=215),$AJ167=10),"④一般",IF(AND($A167=31,$AJ167=41),"⑤短期","対象外")))))</f>
        <v>④一般</v>
      </c>
      <c r="DC167" s="2909">
        <f>IF($A167="","",IF($AB167&amp;""='DB_設定'!$C$4,1,0))</f>
        <v>1</v>
      </c>
    </row>
    <row r="168">
      <c r="A168" t="n" s="2909">
        <v>21</v>
      </c>
      <c r="AA168" t="n" s="2909">
        <v>21</v>
      </c>
      <c r="AB168" t="inlineStr" s="2909">
        <is>
          <t>20250401</t>
        </is>
      </c>
      <c r="AD168" t="n" s="2909">
        <v>0</v>
      </c>
      <c r="AE168" t="inlineStr" s="2909">
        <is>
          <t>00000000</t>
        </is>
      </c>
      <c r="AH168" t="n" s="2909">
        <v>1</v>
      </c>
      <c r="AJ168" t="n" s="2909">
        <v>10</v>
      </c>
      <c r="AP168" t="n" s="2909">
        <v>320000</v>
      </c>
      <c r="DB168" s="2909" t="str">
        <f>IF($A168="","",IF($AH168=20,IF(AND(OR($A168=21,$A168=215),$AJ168=10),"①病院一般",IF(AND($A168=31,$AJ168=41),"②病院短期","対象外")),IF($AJ168=30,"③特定消防",IF(AND(OR($A168=21,$A168=215),$AJ168=10),"④一般",IF(AND($A168=31,$AJ168=41),"⑤短期","対象外")))))</f>
        <v>④一般</v>
      </c>
      <c r="DC168" s="2909">
        <f>IF($A168="","",IF($AB168&amp;""='DB_設定'!$C$4,1,0))</f>
        <v>1</v>
      </c>
    </row>
    <row r="169">
      <c r="A169" t="n" s="2909">
        <v>21</v>
      </c>
      <c r="AA169" t="n" s="2909">
        <v>21</v>
      </c>
      <c r="AB169" t="inlineStr" s="2909">
        <is>
          <t>20250401</t>
        </is>
      </c>
      <c r="AD169" t="n" s="2909">
        <v>0</v>
      </c>
      <c r="AE169" t="inlineStr" s="2909">
        <is>
          <t>00000000</t>
        </is>
      </c>
      <c r="AH169" t="n" s="2909">
        <v>1</v>
      </c>
      <c r="AJ169" t="n" s="2909">
        <v>10</v>
      </c>
      <c r="AP169" t="n" s="2909">
        <v>260000</v>
      </c>
      <c r="DB169" s="2909" t="str">
        <f>IF($A169="","",IF($AH169=20,IF(AND(OR($A169=21,$A169=215),$AJ169=10),"①病院一般",IF(AND($A169=31,$AJ169=41),"②病院短期","対象外")),IF($AJ169=30,"③特定消防",IF(AND(OR($A169=21,$A169=215),$AJ169=10),"④一般",IF(AND($A169=31,$AJ169=41),"⑤短期","対象外")))))</f>
        <v>④一般</v>
      </c>
      <c r="DC169" s="2909">
        <f>IF($A169="","",IF($AB169&amp;""='DB_設定'!$C$4,1,0))</f>
        <v>1</v>
      </c>
    </row>
    <row r="170">
      <c r="A170" t="n" s="2909">
        <v>21</v>
      </c>
      <c r="AA170" t="n" s="2909">
        <v>21</v>
      </c>
      <c r="AB170" t="inlineStr" s="2909">
        <is>
          <t>20250401</t>
        </is>
      </c>
      <c r="AD170" t="n" s="2909">
        <v>0</v>
      </c>
      <c r="AE170" t="inlineStr" s="2909">
        <is>
          <t>00000000</t>
        </is>
      </c>
      <c r="AH170" t="n" s="2909">
        <v>1</v>
      </c>
      <c r="AJ170" t="n" s="2909">
        <v>10</v>
      </c>
      <c r="AP170" t="n" s="2909">
        <v>300000</v>
      </c>
      <c r="DB170" s="2909" t="str">
        <f>IF($A170="","",IF($AH170=20,IF(AND(OR($A170=21,$A170=215),$AJ170=10),"①病院一般",IF(AND($A170=31,$AJ170=41),"②病院短期","対象外")),IF($AJ170=30,"③特定消防",IF(AND(OR($A170=21,$A170=215),$AJ170=10),"④一般",IF(AND($A170=31,$AJ170=41),"⑤短期","対象外")))))</f>
        <v>④一般</v>
      </c>
      <c r="DC170" s="2909">
        <f>IF($A170="","",IF($AB170&amp;""='DB_設定'!$C$4,1,0))</f>
        <v>1</v>
      </c>
    </row>
    <row r="171">
      <c r="A171" t="n" s="2909">
        <v>21</v>
      </c>
      <c r="AA171" t="n" s="2909">
        <v>21</v>
      </c>
      <c r="AB171" t="inlineStr" s="2909">
        <is>
          <t>20250401</t>
        </is>
      </c>
      <c r="AD171" t="n" s="2909">
        <v>0</v>
      </c>
      <c r="AE171" t="inlineStr" s="2909">
        <is>
          <t>00000000</t>
        </is>
      </c>
      <c r="AH171" t="n" s="2909">
        <v>1</v>
      </c>
      <c r="AJ171" t="n" s="2909">
        <v>10</v>
      </c>
      <c r="AP171" t="n" s="2909">
        <v>300000</v>
      </c>
      <c r="DB171" s="2909" t="str">
        <f>IF($A171="","",IF($AH171=20,IF(AND(OR($A171=21,$A171=215),$AJ171=10),"①病院一般",IF(AND($A171=31,$AJ171=41),"②病院短期","対象外")),IF($AJ171=30,"③特定消防",IF(AND(OR($A171=21,$A171=215),$AJ171=10),"④一般",IF(AND($A171=31,$AJ171=41),"⑤短期","対象外")))))</f>
        <v>④一般</v>
      </c>
      <c r="DC171" s="2909">
        <f>IF($A171="","",IF($AB171&amp;""='DB_設定'!$C$4,1,0))</f>
        <v>1</v>
      </c>
    </row>
    <row r="172">
      <c r="A172" t="n" s="2909">
        <v>21</v>
      </c>
      <c r="AA172" t="n" s="2909">
        <v>21</v>
      </c>
      <c r="AB172" t="inlineStr" s="2909">
        <is>
          <t>20250401</t>
        </is>
      </c>
      <c r="AD172" t="n" s="2909">
        <v>0</v>
      </c>
      <c r="AE172" t="inlineStr" s="2909">
        <is>
          <t>00000000</t>
        </is>
      </c>
      <c r="AH172" t="n" s="2909">
        <v>4</v>
      </c>
      <c r="AJ172" t="n" s="2909">
        <v>10</v>
      </c>
      <c r="AP172" t="n" s="2909">
        <v>260000</v>
      </c>
      <c r="DB172" s="2909" t="str">
        <f>IF($A172="","",IF($AH172=20,IF(AND(OR($A172=21,$A172=215),$AJ172=10),"①病院一般",IF(AND($A172=31,$AJ172=41),"②病院短期","対象外")),IF($AJ172=30,"③特定消防",IF(AND(OR($A172=21,$A172=215),$AJ172=10),"④一般",IF(AND($A172=31,$AJ172=41),"⑤短期","対象外")))))</f>
        <v>④一般</v>
      </c>
      <c r="DC172" s="2909">
        <f>IF($A172="","",IF($AB172&amp;""='DB_設定'!$C$4,1,0))</f>
        <v>1</v>
      </c>
    </row>
    <row r="173">
      <c r="A173" t="n" s="2909">
        <v>21</v>
      </c>
      <c r="AA173" t="n" s="2909">
        <v>21</v>
      </c>
      <c r="AB173" t="inlineStr" s="2909">
        <is>
          <t>20250401</t>
        </is>
      </c>
      <c r="AD173" t="n" s="2909">
        <v>0</v>
      </c>
      <c r="AE173" t="inlineStr" s="2909">
        <is>
          <t>00000000</t>
        </is>
      </c>
      <c r="AH173" t="n" s="2909">
        <v>1</v>
      </c>
      <c r="AJ173" t="n" s="2909">
        <v>10</v>
      </c>
      <c r="AP173" t="n" s="2909">
        <v>260000</v>
      </c>
      <c r="DB173" s="2909" t="str">
        <f>IF($A173="","",IF($AH173=20,IF(AND(OR($A173=21,$A173=215),$AJ173=10),"①病院一般",IF(AND($A173=31,$AJ173=41),"②病院短期","対象外")),IF($AJ173=30,"③特定消防",IF(AND(OR($A173=21,$A173=215),$AJ173=10),"④一般",IF(AND($A173=31,$AJ173=41),"⑤短期","対象外")))))</f>
        <v>④一般</v>
      </c>
      <c r="DC173" s="2909">
        <f>IF($A173="","",IF($AB173&amp;""='DB_設定'!$C$4,1,0))</f>
        <v>1</v>
      </c>
    </row>
    <row r="174">
      <c r="A174" t="n" s="2909">
        <v>21</v>
      </c>
      <c r="AA174" t="n" s="2909">
        <v>21</v>
      </c>
      <c r="AB174" t="inlineStr" s="2909">
        <is>
          <t>20250401</t>
        </is>
      </c>
      <c r="AD174" t="n" s="2909">
        <v>0</v>
      </c>
      <c r="AE174" t="inlineStr" s="2909">
        <is>
          <t>00000000</t>
        </is>
      </c>
      <c r="AH174" t="n" s="2909">
        <v>1</v>
      </c>
      <c r="AJ174" t="n" s="2909">
        <v>10</v>
      </c>
      <c r="AP174" t="n" s="2909">
        <v>280000</v>
      </c>
      <c r="DB174" s="2909" t="str">
        <f>IF($A174="","",IF($AH174=20,IF(AND(OR($A174=21,$A174=215),$AJ174=10),"①病院一般",IF(AND($A174=31,$AJ174=41),"②病院短期","対象外")),IF($AJ174=30,"③特定消防",IF(AND(OR($A174=21,$A174=215),$AJ174=10),"④一般",IF(AND($A174=31,$AJ174=41),"⑤短期","対象外")))))</f>
        <v>④一般</v>
      </c>
      <c r="DC174" s="2909">
        <f>IF($A174="","",IF($AB174&amp;""='DB_設定'!$C$4,1,0))</f>
        <v>1</v>
      </c>
    </row>
    <row r="175">
      <c r="A175" t="n" s="2909">
        <v>21</v>
      </c>
      <c r="AA175" t="n" s="2909">
        <v>21</v>
      </c>
      <c r="AB175" t="inlineStr" s="2909">
        <is>
          <t>20250401</t>
        </is>
      </c>
      <c r="AD175" t="n" s="2909">
        <v>0</v>
      </c>
      <c r="AE175" t="inlineStr" s="2909">
        <is>
          <t>00000000</t>
        </is>
      </c>
      <c r="AH175" t="n" s="2909">
        <v>1</v>
      </c>
      <c r="AJ175" t="n" s="2909">
        <v>10</v>
      </c>
      <c r="AP175" t="n" s="2909">
        <v>280000</v>
      </c>
      <c r="DB175" s="2909" t="str">
        <f>IF($A175="","",IF($AH175=20,IF(AND(OR($A175=21,$A175=215),$AJ175=10),"①病院一般",IF(AND($A175=31,$AJ175=41),"②病院短期","対象外")),IF($AJ175=30,"③特定消防",IF(AND(OR($A175=21,$A175=215),$AJ175=10),"④一般",IF(AND($A175=31,$AJ175=41),"⑤短期","対象外")))))</f>
        <v>④一般</v>
      </c>
      <c r="DC175" s="2909">
        <f>IF($A175="","",IF($AB175&amp;""='DB_設定'!$C$4,1,0))</f>
        <v>1</v>
      </c>
    </row>
    <row r="176">
      <c r="A176" t="n" s="2909">
        <v>21</v>
      </c>
      <c r="AA176" t="n" s="2909">
        <v>21</v>
      </c>
      <c r="AB176" t="inlineStr" s="2909">
        <is>
          <t>20250401</t>
        </is>
      </c>
      <c r="AD176" t="n" s="2909">
        <v>0</v>
      </c>
      <c r="AE176" t="inlineStr" s="2909">
        <is>
          <t>00000000</t>
        </is>
      </c>
      <c r="AH176" t="n" s="2909">
        <v>4</v>
      </c>
      <c r="AJ176" t="n" s="2909">
        <v>10</v>
      </c>
      <c r="AP176" t="n" s="2909">
        <v>280000</v>
      </c>
      <c r="DB176" s="2909" t="str">
        <f>IF($A176="","",IF($AH176=20,IF(AND(OR($A176=21,$A176=215),$AJ176=10),"①病院一般",IF(AND($A176=31,$AJ176=41),"②病院短期","対象外")),IF($AJ176=30,"③特定消防",IF(AND(OR($A176=21,$A176=215),$AJ176=10),"④一般",IF(AND($A176=31,$AJ176=41),"⑤短期","対象外")))))</f>
        <v>④一般</v>
      </c>
      <c r="DC176" s="2909">
        <f>IF($A176="","",IF($AB176&amp;""='DB_設定'!$C$4,1,0))</f>
        <v>1</v>
      </c>
    </row>
    <row r="177">
      <c r="A177" t="n" s="2909">
        <v>21</v>
      </c>
      <c r="AA177" t="n" s="2909">
        <v>21</v>
      </c>
      <c r="AB177" t="inlineStr" s="2909">
        <is>
          <t>20250401</t>
        </is>
      </c>
      <c r="AD177" t="n" s="2909">
        <v>0</v>
      </c>
      <c r="AE177" t="inlineStr" s="2909">
        <is>
          <t>00000000</t>
        </is>
      </c>
      <c r="AH177" t="n" s="2909">
        <v>4</v>
      </c>
      <c r="AJ177" t="n" s="2909">
        <v>10</v>
      </c>
      <c r="AP177" t="n" s="2909">
        <v>280000</v>
      </c>
      <c r="DB177" s="2909" t="str">
        <f>IF($A177="","",IF($AH177=20,IF(AND(OR($A177=21,$A177=215),$AJ177=10),"①病院一般",IF(AND($A177=31,$AJ177=41),"②病院短期","対象外")),IF($AJ177=30,"③特定消防",IF(AND(OR($A177=21,$A177=215),$AJ177=10),"④一般",IF(AND($A177=31,$AJ177=41),"⑤短期","対象外")))))</f>
        <v>④一般</v>
      </c>
      <c r="DC177" s="2909">
        <f>IF($A177="","",IF($AB177&amp;""='DB_設定'!$C$4,1,0))</f>
        <v>1</v>
      </c>
    </row>
    <row r="178">
      <c r="A178" t="n" s="2909">
        <v>21</v>
      </c>
      <c r="AA178" t="n" s="2909">
        <v>21</v>
      </c>
      <c r="AB178" t="inlineStr" s="2909">
        <is>
          <t>20250401</t>
        </is>
      </c>
      <c r="AD178" t="n" s="2909">
        <v>0</v>
      </c>
      <c r="AE178" t="inlineStr" s="2909">
        <is>
          <t>00000000</t>
        </is>
      </c>
      <c r="AH178" t="n" s="2909">
        <v>1</v>
      </c>
      <c r="AJ178" t="n" s="2909">
        <v>10</v>
      </c>
      <c r="AP178" t="n" s="2909">
        <v>260000</v>
      </c>
      <c r="DB178" s="2909" t="str">
        <f>IF($A178="","",IF($AH178=20,IF(AND(OR($A178=21,$A178=215),$AJ178=10),"①病院一般",IF(AND($A178=31,$AJ178=41),"②病院短期","対象外")),IF($AJ178=30,"③特定消防",IF(AND(OR($A178=21,$A178=215),$AJ178=10),"④一般",IF(AND($A178=31,$AJ178=41),"⑤短期","対象外")))))</f>
        <v>④一般</v>
      </c>
      <c r="DC178" s="2909">
        <f>IF($A178="","",IF($AB178&amp;""='DB_設定'!$C$4,1,0))</f>
        <v>1</v>
      </c>
    </row>
    <row r="179">
      <c r="A179" t="n" s="2909">
        <v>21</v>
      </c>
      <c r="AA179" t="n" s="2909">
        <v>21</v>
      </c>
      <c r="AB179" t="inlineStr" s="2909">
        <is>
          <t>20250401</t>
        </is>
      </c>
      <c r="AD179" t="n" s="2909">
        <v>0</v>
      </c>
      <c r="AE179" t="inlineStr" s="2909">
        <is>
          <t>00000000</t>
        </is>
      </c>
      <c r="AH179" t="n" s="2909">
        <v>4</v>
      </c>
      <c r="AJ179" t="n" s="2909">
        <v>10</v>
      </c>
      <c r="AP179" t="n" s="2909">
        <v>280000</v>
      </c>
      <c r="DB179" s="2909" t="str">
        <f>IF($A179="","",IF($AH179=20,IF(AND(OR($A179=21,$A179=215),$AJ179=10),"①病院一般",IF(AND($A179=31,$AJ179=41),"②病院短期","対象外")),IF($AJ179=30,"③特定消防",IF(AND(OR($A179=21,$A179=215),$AJ179=10),"④一般",IF(AND($A179=31,$AJ179=41),"⑤短期","対象外")))))</f>
        <v>④一般</v>
      </c>
      <c r="DC179" s="2909">
        <f>IF($A179="","",IF($AB179&amp;""='DB_設定'!$C$4,1,0))</f>
        <v>1</v>
      </c>
    </row>
    <row r="180">
      <c r="A180" t="n" s="2909">
        <v>21</v>
      </c>
      <c r="AA180" t="n" s="2909">
        <v>21</v>
      </c>
      <c r="AB180" t="inlineStr" s="2909">
        <is>
          <t>20250401</t>
        </is>
      </c>
      <c r="AD180" t="n" s="2909">
        <v>0</v>
      </c>
      <c r="AE180" t="inlineStr" s="2909">
        <is>
          <t>00000000</t>
        </is>
      </c>
      <c r="AH180" t="n" s="2909">
        <v>3</v>
      </c>
      <c r="AJ180" t="n" s="2909">
        <v>10</v>
      </c>
      <c r="AP180" t="n" s="2909">
        <v>300000</v>
      </c>
      <c r="DB180" s="2909" t="str">
        <f>IF($A180="","",IF($AH180=20,IF(AND(OR($A180=21,$A180=215),$AJ180=10),"①病院一般",IF(AND($A180=31,$AJ180=41),"②病院短期","対象外")),IF($AJ180=30,"③特定消防",IF(AND(OR($A180=21,$A180=215),$AJ180=10),"④一般",IF(AND($A180=31,$AJ180=41),"⑤短期","対象外")))))</f>
        <v>④一般</v>
      </c>
      <c r="DC180" s="2909">
        <f>IF($A180="","",IF($AB180&amp;""='DB_設定'!$C$4,1,0))</f>
        <v>1</v>
      </c>
    </row>
    <row r="181">
      <c r="A181" t="n" s="2909">
        <v>21</v>
      </c>
      <c r="AA181" t="n" s="2909">
        <v>21</v>
      </c>
      <c r="AB181" t="inlineStr" s="2909">
        <is>
          <t>20250401</t>
        </is>
      </c>
      <c r="AD181" t="n" s="2909">
        <v>0</v>
      </c>
      <c r="AE181" t="inlineStr" s="2909">
        <is>
          <t>00000000</t>
        </is>
      </c>
      <c r="AH181" t="n" s="2909">
        <v>1</v>
      </c>
      <c r="AJ181" t="n" s="2909">
        <v>10</v>
      </c>
      <c r="AP181" t="n" s="2909">
        <v>240000</v>
      </c>
      <c r="DB181" s="2909" t="str">
        <f>IF($A181="","",IF($AH181=20,IF(AND(OR($A181=21,$A181=215),$AJ181=10),"①病院一般",IF(AND($A181=31,$AJ181=41),"②病院短期","対象外")),IF($AJ181=30,"③特定消防",IF(AND(OR($A181=21,$A181=215),$AJ181=10),"④一般",IF(AND($A181=31,$AJ181=41),"⑤短期","対象外")))))</f>
        <v>④一般</v>
      </c>
      <c r="DC181" s="2909">
        <f>IF($A181="","",IF($AB181&amp;""='DB_設定'!$C$4,1,0))</f>
        <v>1</v>
      </c>
    </row>
    <row r="182">
      <c r="A182" t="n" s="2909">
        <v>21</v>
      </c>
      <c r="AA182" t="n" s="2909">
        <v>21</v>
      </c>
      <c r="AB182" t="inlineStr" s="2909">
        <is>
          <t>20250401</t>
        </is>
      </c>
      <c r="AD182" t="n" s="2909">
        <v>0</v>
      </c>
      <c r="AE182" t="inlineStr" s="2909">
        <is>
          <t>00000000</t>
        </is>
      </c>
      <c r="AH182" t="n" s="2909">
        <v>1</v>
      </c>
      <c r="AJ182" t="n" s="2909">
        <v>10</v>
      </c>
      <c r="AP182" t="n" s="2909">
        <v>260000</v>
      </c>
      <c r="DB182" s="2909" t="str">
        <f>IF($A182="","",IF($AH182=20,IF(AND(OR($A182=21,$A182=215),$AJ182=10),"①病院一般",IF(AND($A182=31,$AJ182=41),"②病院短期","対象外")),IF($AJ182=30,"③特定消防",IF(AND(OR($A182=21,$A182=215),$AJ182=10),"④一般",IF(AND($A182=31,$AJ182=41),"⑤短期","対象外")))))</f>
        <v>④一般</v>
      </c>
      <c r="DC182" s="2909">
        <f>IF($A182="","",IF($AB182&amp;""='DB_設定'!$C$4,1,0))</f>
        <v>1</v>
      </c>
    </row>
    <row r="183">
      <c r="A183" t="n" s="2909">
        <v>21</v>
      </c>
      <c r="AA183" t="n" s="2909">
        <v>21</v>
      </c>
      <c r="AB183" t="inlineStr" s="2909">
        <is>
          <t>20250401</t>
        </is>
      </c>
      <c r="AD183" t="n" s="2909">
        <v>0</v>
      </c>
      <c r="AE183" t="inlineStr" s="2909">
        <is>
          <t>00000000</t>
        </is>
      </c>
      <c r="AH183" t="n" s="2909">
        <v>1</v>
      </c>
      <c r="AJ183" t="n" s="2909">
        <v>10</v>
      </c>
      <c r="AP183" t="n" s="2909">
        <v>260000</v>
      </c>
      <c r="DB183" s="2909" t="str">
        <f>IF($A183="","",IF($AH183=20,IF(AND(OR($A183=21,$A183=215),$AJ183=10),"①病院一般",IF(AND($A183=31,$AJ183=41),"②病院短期","対象外")),IF($AJ183=30,"③特定消防",IF(AND(OR($A183=21,$A183=215),$AJ183=10),"④一般",IF(AND($A183=31,$AJ183=41),"⑤短期","対象外")))))</f>
        <v>④一般</v>
      </c>
      <c r="DC183" s="2909">
        <f>IF($A183="","",IF($AB183&amp;""='DB_設定'!$C$4,1,0))</f>
        <v>1</v>
      </c>
    </row>
    <row r="184">
      <c r="A184" t="n" s="2909">
        <v>21</v>
      </c>
      <c r="AA184" t="n" s="2909">
        <v>21</v>
      </c>
      <c r="AB184" t="inlineStr" s="2909">
        <is>
          <t>20250401</t>
        </is>
      </c>
      <c r="AD184" t="n" s="2909">
        <v>0</v>
      </c>
      <c r="AE184" t="inlineStr" s="2909">
        <is>
          <t>00000000</t>
        </is>
      </c>
      <c r="AH184" t="n" s="2909">
        <v>1</v>
      </c>
      <c r="AJ184" t="n" s="2909">
        <v>10</v>
      </c>
      <c r="AP184" t="n" s="2909">
        <v>260000</v>
      </c>
      <c r="DB184" s="2909" t="str">
        <f>IF($A184="","",IF($AH184=20,IF(AND(OR($A184=21,$A184=215),$AJ184=10),"①病院一般",IF(AND($A184=31,$AJ184=41),"②病院短期","対象外")),IF($AJ184=30,"③特定消防",IF(AND(OR($A184=21,$A184=215),$AJ184=10),"④一般",IF(AND($A184=31,$AJ184=41),"⑤短期","対象外")))))</f>
        <v>④一般</v>
      </c>
      <c r="DC184" s="2909">
        <f>IF($A184="","",IF($AB184&amp;""='DB_設定'!$C$4,1,0))</f>
        <v>1</v>
      </c>
    </row>
    <row r="185">
      <c r="A185" t="n" s="2909">
        <v>21</v>
      </c>
      <c r="AA185" t="n" s="2909">
        <v>21</v>
      </c>
      <c r="AB185" t="inlineStr" s="2909">
        <is>
          <t>20250401</t>
        </is>
      </c>
      <c r="AD185" t="n" s="2909">
        <v>0</v>
      </c>
      <c r="AE185" t="inlineStr" s="2909">
        <is>
          <t>00000000</t>
        </is>
      </c>
      <c r="AH185" t="n" s="2909">
        <v>1</v>
      </c>
      <c r="AJ185" t="n" s="2909">
        <v>10</v>
      </c>
      <c r="AP185" t="n" s="2909">
        <v>260000</v>
      </c>
      <c r="DB185" s="2909" t="str">
        <f>IF($A185="","",IF($AH185=20,IF(AND(OR($A185=21,$A185=215),$AJ185=10),"①病院一般",IF(AND($A185=31,$AJ185=41),"②病院短期","対象外")),IF($AJ185=30,"③特定消防",IF(AND(OR($A185=21,$A185=215),$AJ185=10),"④一般",IF(AND($A185=31,$AJ185=41),"⑤短期","対象外")))))</f>
        <v>④一般</v>
      </c>
      <c r="DC185" s="2909">
        <f>IF($A185="","",IF($AB185&amp;""='DB_設定'!$C$4,1,0))</f>
        <v>1</v>
      </c>
    </row>
    <row r="186">
      <c r="A186" t="n" s="2909">
        <v>21</v>
      </c>
      <c r="AA186" t="n" s="2909">
        <v>21</v>
      </c>
      <c r="AB186" t="inlineStr" s="2909">
        <is>
          <t>20250401</t>
        </is>
      </c>
      <c r="AD186" t="n" s="2909">
        <v>0</v>
      </c>
      <c r="AE186" t="inlineStr" s="2909">
        <is>
          <t>00000000</t>
        </is>
      </c>
      <c r="AH186" t="n" s="2909">
        <v>1</v>
      </c>
      <c r="AJ186" t="n" s="2909">
        <v>10</v>
      </c>
      <c r="AP186" t="n" s="2909">
        <v>260000</v>
      </c>
      <c r="DB186" s="2909" t="str">
        <f>IF($A186="","",IF($AH186=20,IF(AND(OR($A186=21,$A186=215),$AJ186=10),"①病院一般",IF(AND($A186=31,$AJ186=41),"②病院短期","対象外")),IF($AJ186=30,"③特定消防",IF(AND(OR($A186=21,$A186=215),$AJ186=10),"④一般",IF(AND($A186=31,$AJ186=41),"⑤短期","対象外")))))</f>
        <v>④一般</v>
      </c>
      <c r="DC186" s="2909">
        <f>IF($A186="","",IF($AB186&amp;""='DB_設定'!$C$4,1,0))</f>
        <v>1</v>
      </c>
    </row>
    <row r="187">
      <c r="A187" t="n" s="2909">
        <v>21</v>
      </c>
      <c r="AA187" t="n" s="2909">
        <v>21</v>
      </c>
      <c r="AB187" t="inlineStr" s="2909">
        <is>
          <t>20250401</t>
        </is>
      </c>
      <c r="AD187" t="n" s="2909">
        <v>0</v>
      </c>
      <c r="AE187" t="inlineStr" s="2909">
        <is>
          <t>00000000</t>
        </is>
      </c>
      <c r="AH187" t="n" s="2909">
        <v>4</v>
      </c>
      <c r="AJ187" t="n" s="2909">
        <v>10</v>
      </c>
      <c r="AP187" t="n" s="2909">
        <v>260000</v>
      </c>
      <c r="DB187" s="2909" t="str">
        <f>IF($A187="","",IF($AH187=20,IF(AND(OR($A187=21,$A187=215),$AJ187=10),"①病院一般",IF(AND($A187=31,$AJ187=41),"②病院短期","対象外")),IF($AJ187=30,"③特定消防",IF(AND(OR($A187=21,$A187=215),$AJ187=10),"④一般",IF(AND($A187=31,$AJ187=41),"⑤短期","対象外")))))</f>
        <v>④一般</v>
      </c>
      <c r="DC187" s="2909">
        <f>IF($A187="","",IF($AB187&amp;""='DB_設定'!$C$4,1,0))</f>
        <v>1</v>
      </c>
    </row>
    <row r="188">
      <c r="A188" t="n" s="2909">
        <v>21</v>
      </c>
      <c r="AA188" t="n" s="2909">
        <v>21</v>
      </c>
      <c r="AB188" t="inlineStr" s="2909">
        <is>
          <t>20250401</t>
        </is>
      </c>
      <c r="AD188" t="n" s="2909">
        <v>0</v>
      </c>
      <c r="AE188" t="inlineStr" s="2909">
        <is>
          <t>00000000</t>
        </is>
      </c>
      <c r="AH188" t="n" s="2909">
        <v>4</v>
      </c>
      <c r="AJ188" t="n" s="2909">
        <v>10</v>
      </c>
      <c r="AP188" t="n" s="2909">
        <v>280000</v>
      </c>
      <c r="DB188" s="2909" t="str">
        <f>IF($A188="","",IF($AH188=20,IF(AND(OR($A188=21,$A188=215),$AJ188=10),"①病院一般",IF(AND($A188=31,$AJ188=41),"②病院短期","対象外")),IF($AJ188=30,"③特定消防",IF(AND(OR($A188=21,$A188=215),$AJ188=10),"④一般",IF(AND($A188=31,$AJ188=41),"⑤短期","対象外")))))</f>
        <v>④一般</v>
      </c>
      <c r="DC188" s="2909">
        <f>IF($A188="","",IF($AB188&amp;""='DB_設定'!$C$4,1,0))</f>
        <v>1</v>
      </c>
    </row>
    <row r="189">
      <c r="A189" t="n" s="2909">
        <v>21</v>
      </c>
      <c r="AA189" t="n" s="2909">
        <v>21</v>
      </c>
      <c r="AB189" t="inlineStr" s="2909">
        <is>
          <t>20250401</t>
        </is>
      </c>
      <c r="AD189" t="n" s="2909">
        <v>0</v>
      </c>
      <c r="AE189" t="inlineStr" s="2909">
        <is>
          <t>00000000</t>
        </is>
      </c>
      <c r="AH189" t="n" s="2909">
        <v>1</v>
      </c>
      <c r="AJ189" t="n" s="2909">
        <v>10</v>
      </c>
      <c r="AP189" t="n" s="2909">
        <v>260000</v>
      </c>
      <c r="DB189" s="2909" t="str">
        <f>IF($A189="","",IF($AH189=20,IF(AND(OR($A189=21,$A189=215),$AJ189=10),"①病院一般",IF(AND($A189=31,$AJ189=41),"②病院短期","対象外")),IF($AJ189=30,"③特定消防",IF(AND(OR($A189=21,$A189=215),$AJ189=10),"④一般",IF(AND($A189=31,$AJ189=41),"⑤短期","対象外")))))</f>
        <v>④一般</v>
      </c>
      <c r="DC189" s="2909">
        <f>IF($A189="","",IF($AB189&amp;""='DB_設定'!$C$4,1,0))</f>
        <v>1</v>
      </c>
    </row>
    <row r="190">
      <c r="A190" t="n" s="2909">
        <v>21</v>
      </c>
      <c r="AA190" t="n" s="2909">
        <v>21</v>
      </c>
      <c r="AB190" t="inlineStr" s="2909">
        <is>
          <t>20250401</t>
        </is>
      </c>
      <c r="AD190" t="n" s="2909">
        <v>0</v>
      </c>
      <c r="AE190" t="inlineStr" s="2909">
        <is>
          <t>00000000</t>
        </is>
      </c>
      <c r="AH190" t="n" s="2909">
        <v>1</v>
      </c>
      <c r="AJ190" t="n" s="2909">
        <v>10</v>
      </c>
      <c r="AP190" t="n" s="2909">
        <v>260000</v>
      </c>
      <c r="DB190" s="2909" t="str">
        <f>IF($A190="","",IF($AH190=20,IF(AND(OR($A190=21,$A190=215),$AJ190=10),"①病院一般",IF(AND($A190=31,$AJ190=41),"②病院短期","対象外")),IF($AJ190=30,"③特定消防",IF(AND(OR($A190=21,$A190=215),$AJ190=10),"④一般",IF(AND($A190=31,$AJ190=41),"⑤短期","対象外")))))</f>
        <v>④一般</v>
      </c>
      <c r="DC190" s="2909">
        <f>IF($A190="","",IF($AB190&amp;""='DB_設定'!$C$4,1,0))</f>
        <v>1</v>
      </c>
    </row>
    <row r="191">
      <c r="A191" t="n" s="2909">
        <v>21</v>
      </c>
      <c r="AA191" t="n" s="2909">
        <v>21</v>
      </c>
      <c r="AB191" t="inlineStr" s="2909">
        <is>
          <t>20250401</t>
        </is>
      </c>
      <c r="AD191" t="n" s="2909">
        <v>0</v>
      </c>
      <c r="AE191" t="inlineStr" s="2909">
        <is>
          <t>00000000</t>
        </is>
      </c>
      <c r="AH191" t="n" s="2909">
        <v>1</v>
      </c>
      <c r="AJ191" t="n" s="2909">
        <v>10</v>
      </c>
      <c r="AP191" t="n" s="2909">
        <v>260000</v>
      </c>
      <c r="DB191" s="2909" t="str">
        <f>IF($A191="","",IF($AH191=20,IF(AND(OR($A191=21,$A191=215),$AJ191=10),"①病院一般",IF(AND($A191=31,$AJ191=41),"②病院短期","対象外")),IF($AJ191=30,"③特定消防",IF(AND(OR($A191=21,$A191=215),$AJ191=10),"④一般",IF(AND($A191=31,$AJ191=41),"⑤短期","対象外")))))</f>
        <v>④一般</v>
      </c>
      <c r="DC191" s="2909">
        <f>IF($A191="","",IF($AB191&amp;""='DB_設定'!$C$4,1,0))</f>
        <v>1</v>
      </c>
    </row>
    <row r="192">
      <c r="A192" t="n" s="2909">
        <v>21</v>
      </c>
      <c r="AA192" t="n" s="2909">
        <v>21</v>
      </c>
      <c r="AB192" t="inlineStr" s="2909">
        <is>
          <t>20250401</t>
        </is>
      </c>
      <c r="AD192" t="n" s="2909">
        <v>0</v>
      </c>
      <c r="AE192" t="inlineStr" s="2909">
        <is>
          <t>00000000</t>
        </is>
      </c>
      <c r="AH192" t="n" s="2909">
        <v>1</v>
      </c>
      <c r="AJ192" t="n" s="2909">
        <v>10</v>
      </c>
      <c r="AP192" t="n" s="2909">
        <v>300000</v>
      </c>
      <c r="DB192" s="2909" t="str">
        <f>IF($A192="","",IF($AH192=20,IF(AND(OR($A192=21,$A192=215),$AJ192=10),"①病院一般",IF(AND($A192=31,$AJ192=41),"②病院短期","対象外")),IF($AJ192=30,"③特定消防",IF(AND(OR($A192=21,$A192=215),$AJ192=10),"④一般",IF(AND($A192=31,$AJ192=41),"⑤短期","対象外")))))</f>
        <v>④一般</v>
      </c>
      <c r="DC192" s="2909">
        <f>IF($A192="","",IF($AB192&amp;""='DB_設定'!$C$4,1,0))</f>
        <v>1</v>
      </c>
    </row>
    <row r="193">
      <c r="A193" t="n" s="2909">
        <v>21</v>
      </c>
      <c r="AA193" t="n" s="2909">
        <v>21</v>
      </c>
      <c r="AB193" t="inlineStr" s="2909">
        <is>
          <t>20250401</t>
        </is>
      </c>
      <c r="AD193" t="n" s="2909">
        <v>0</v>
      </c>
      <c r="AE193" t="inlineStr" s="2909">
        <is>
          <t>00000000</t>
        </is>
      </c>
      <c r="AH193" t="n" s="2909">
        <v>1</v>
      </c>
      <c r="AJ193" t="n" s="2909">
        <v>10</v>
      </c>
      <c r="AP193" t="n" s="2909">
        <v>260000</v>
      </c>
      <c r="DB193" s="2909" t="str">
        <f>IF($A193="","",IF($AH193=20,IF(AND(OR($A193=21,$A193=215),$AJ193=10),"①病院一般",IF(AND($A193=31,$AJ193=41),"②病院短期","対象外")),IF($AJ193=30,"③特定消防",IF(AND(OR($A193=21,$A193=215),$AJ193=10),"④一般",IF(AND($A193=31,$AJ193=41),"⑤短期","対象外")))))</f>
        <v>④一般</v>
      </c>
      <c r="DC193" s="2909">
        <f>IF($A193="","",IF($AB193&amp;""='DB_設定'!$C$4,1,0))</f>
        <v>1</v>
      </c>
    </row>
    <row r="194">
      <c r="A194" t="n" s="2909">
        <v>21</v>
      </c>
      <c r="AA194" t="n" s="2909">
        <v>21</v>
      </c>
      <c r="AB194" t="inlineStr" s="2909">
        <is>
          <t>20250401</t>
        </is>
      </c>
      <c r="AD194" t="n" s="2909">
        <v>0</v>
      </c>
      <c r="AE194" t="inlineStr" s="2909">
        <is>
          <t>00000000</t>
        </is>
      </c>
      <c r="AH194" t="n" s="2909">
        <v>1</v>
      </c>
      <c r="AJ194" t="n" s="2909">
        <v>10</v>
      </c>
      <c r="AP194" t="n" s="2909">
        <v>260000</v>
      </c>
      <c r="DB194" s="2909" t="str">
        <f>IF($A194="","",IF($AH194=20,IF(AND(OR($A194=21,$A194=215),$AJ194=10),"①病院一般",IF(AND($A194=31,$AJ194=41),"②病院短期","対象外")),IF($AJ194=30,"③特定消防",IF(AND(OR($A194=21,$A194=215),$AJ194=10),"④一般",IF(AND($A194=31,$AJ194=41),"⑤短期","対象外")))))</f>
        <v>④一般</v>
      </c>
      <c r="DC194" s="2909">
        <f>IF($A194="","",IF($AB194&amp;""='DB_設定'!$C$4,1,0))</f>
        <v>1</v>
      </c>
    </row>
    <row r="195">
      <c r="A195" t="n" s="2909">
        <v>21</v>
      </c>
      <c r="AA195" t="n" s="2909">
        <v>21</v>
      </c>
      <c r="AB195" t="inlineStr" s="2909">
        <is>
          <t>20250401</t>
        </is>
      </c>
      <c r="AD195" t="n" s="2909">
        <v>0</v>
      </c>
      <c r="AE195" t="inlineStr" s="2909">
        <is>
          <t>00000000</t>
        </is>
      </c>
      <c r="AH195" t="n" s="2909">
        <v>1</v>
      </c>
      <c r="AJ195" t="n" s="2909">
        <v>10</v>
      </c>
      <c r="AP195" t="n" s="2909">
        <v>320000</v>
      </c>
      <c r="DB195" s="2909" t="str">
        <f>IF($A195="","",IF($AH195=20,IF(AND(OR($A195=21,$A195=215),$AJ195=10),"①病院一般",IF(AND($A195=31,$AJ195=41),"②病院短期","対象外")),IF($AJ195=30,"③特定消防",IF(AND(OR($A195=21,$A195=215),$AJ195=10),"④一般",IF(AND($A195=31,$AJ195=41),"⑤短期","対象外")))))</f>
        <v>④一般</v>
      </c>
      <c r="DC195" s="2909">
        <f>IF($A195="","",IF($AB195&amp;""='DB_設定'!$C$4,1,0))</f>
        <v>1</v>
      </c>
    </row>
    <row r="196">
      <c r="A196" t="n" s="2909">
        <v>21</v>
      </c>
      <c r="AA196" t="n" s="2909">
        <v>21</v>
      </c>
      <c r="AB196" t="inlineStr" s="2909">
        <is>
          <t>20250401</t>
        </is>
      </c>
      <c r="AD196" t="n" s="2909">
        <v>0</v>
      </c>
      <c r="AE196" t="inlineStr" s="2909">
        <is>
          <t>00000000</t>
        </is>
      </c>
      <c r="AH196" t="n" s="2909">
        <v>1</v>
      </c>
      <c r="AJ196" t="n" s="2909">
        <v>10</v>
      </c>
      <c r="AP196" t="n" s="2909">
        <v>280000</v>
      </c>
      <c r="DB196" s="2909" t="str">
        <f>IF($A196="","",IF($AH196=20,IF(AND(OR($A196=21,$A196=215),$AJ196=10),"①病院一般",IF(AND($A196=31,$AJ196=41),"②病院短期","対象外")),IF($AJ196=30,"③特定消防",IF(AND(OR($A196=21,$A196=215),$AJ196=10),"④一般",IF(AND($A196=31,$AJ196=41),"⑤短期","対象外")))))</f>
        <v>④一般</v>
      </c>
      <c r="DC196" s="2909">
        <f>IF($A196="","",IF($AB196&amp;""='DB_設定'!$C$4,1,0))</f>
        <v>1</v>
      </c>
    </row>
    <row r="197">
      <c r="A197" t="n" s="2909">
        <v>21</v>
      </c>
      <c r="AA197" t="n" s="2909">
        <v>21</v>
      </c>
      <c r="AB197" t="inlineStr" s="2909">
        <is>
          <t>20250401</t>
        </is>
      </c>
      <c r="AD197" t="n" s="2909">
        <v>0</v>
      </c>
      <c r="AE197" t="inlineStr" s="2909">
        <is>
          <t>00000000</t>
        </is>
      </c>
      <c r="AH197" t="n" s="2909">
        <v>46</v>
      </c>
      <c r="AJ197" t="n" s="2909">
        <v>74</v>
      </c>
      <c r="AP197" t="n" s="2909">
        <v>260000</v>
      </c>
      <c r="DB197" s="2909" t="str">
        <f>IF($A197="","",IF($AH197=20,IF(AND(OR($A197=21,$A197=215),$AJ197=10),"①病院一般",IF(AND($A197=31,$AJ197=41),"②病院短期","対象外")),IF($AJ197=30,"③特定消防",IF(AND(OR($A197=21,$A197=215),$AJ197=10),"④一般",IF(AND($A197=31,$AJ197=41),"⑤短期","対象外")))))</f>
        <v>対象外</v>
      </c>
      <c r="DC197" s="2909">
        <f>IF($A197="","",IF($AB197&amp;""='DB_設定'!$C$4,1,0))</f>
        <v>1</v>
      </c>
    </row>
    <row r="198">
      <c r="A198" t="n" s="2909">
        <v>21</v>
      </c>
      <c r="AA198" t="n" s="2909">
        <v>21</v>
      </c>
      <c r="AB198" t="inlineStr" s="2909">
        <is>
          <t>20250401</t>
        </is>
      </c>
      <c r="AD198" t="n" s="2909">
        <v>0</v>
      </c>
      <c r="AE198" t="inlineStr" s="2909">
        <is>
          <t>00000000</t>
        </is>
      </c>
      <c r="AH198" t="n" s="2909">
        <v>1</v>
      </c>
      <c r="AJ198" t="n" s="2909">
        <v>10</v>
      </c>
      <c r="AP198" t="n" s="2909">
        <v>280000</v>
      </c>
      <c r="DB198" s="2909" t="str">
        <f>IF($A198="","",IF($AH198=20,IF(AND(OR($A198=21,$A198=215),$AJ198=10),"①病院一般",IF(AND($A198=31,$AJ198=41),"②病院短期","対象外")),IF($AJ198=30,"③特定消防",IF(AND(OR($A198=21,$A198=215),$AJ198=10),"④一般",IF(AND($A198=31,$AJ198=41),"⑤短期","対象外")))))</f>
        <v>④一般</v>
      </c>
      <c r="DC198" s="2909">
        <f>IF($A198="","",IF($AB198&amp;""='DB_設定'!$C$4,1,0))</f>
        <v>1</v>
      </c>
    </row>
    <row r="199">
      <c r="A199" t="n" s="2909">
        <v>21</v>
      </c>
      <c r="AA199" t="n" s="2909">
        <v>21</v>
      </c>
      <c r="AB199" t="inlineStr" s="2909">
        <is>
          <t>20250401</t>
        </is>
      </c>
      <c r="AD199" t="n" s="2909">
        <v>0</v>
      </c>
      <c r="AE199" t="inlineStr" s="2909">
        <is>
          <t>00000000</t>
        </is>
      </c>
      <c r="AH199" t="n" s="2909">
        <v>1</v>
      </c>
      <c r="AJ199" t="n" s="2909">
        <v>10</v>
      </c>
      <c r="AP199" t="n" s="2909">
        <v>260000</v>
      </c>
      <c r="DB199" s="2909" t="str">
        <f>IF($A199="","",IF($AH199=20,IF(AND(OR($A199=21,$A199=215),$AJ199=10),"①病院一般",IF(AND($A199=31,$AJ199=41),"②病院短期","対象外")),IF($AJ199=30,"③特定消防",IF(AND(OR($A199=21,$A199=215),$AJ199=10),"④一般",IF(AND($A199=31,$AJ199=41),"⑤短期","対象外")))))</f>
        <v>④一般</v>
      </c>
      <c r="DC199" s="2909">
        <f>IF($A199="","",IF($AB199&amp;""='DB_設定'!$C$4,1,0))</f>
        <v>1</v>
      </c>
    </row>
    <row r="200">
      <c r="A200" t="n" s="2909">
        <v>21</v>
      </c>
      <c r="AA200" t="n" s="2909">
        <v>21</v>
      </c>
      <c r="AB200" t="inlineStr" s="2909">
        <is>
          <t>20250401</t>
        </is>
      </c>
      <c r="AD200" t="n" s="2909">
        <v>0</v>
      </c>
      <c r="AE200" t="inlineStr" s="2909">
        <is>
          <t>00000000</t>
        </is>
      </c>
      <c r="AH200" t="n" s="2909">
        <v>1</v>
      </c>
      <c r="AJ200" t="n" s="2909">
        <v>10</v>
      </c>
      <c r="AP200" t="n" s="2909">
        <v>320000</v>
      </c>
      <c r="DB200" s="2909" t="str">
        <f>IF($A200="","",IF($AH200=20,IF(AND(OR($A200=21,$A200=215),$AJ200=10),"①病院一般",IF(AND($A200=31,$AJ200=41),"②病院短期","対象外")),IF($AJ200=30,"③特定消防",IF(AND(OR($A200=21,$A200=215),$AJ200=10),"④一般",IF(AND($A200=31,$AJ200=41),"⑤短期","対象外")))))</f>
        <v>④一般</v>
      </c>
      <c r="DC200" s="2909">
        <f>IF($A200="","",IF($AB200&amp;""='DB_設定'!$C$4,1,0))</f>
        <v>1</v>
      </c>
    </row>
    <row r="201">
      <c r="A201" t="n" s="2909">
        <v>21</v>
      </c>
      <c r="AA201" t="n" s="2909">
        <v>21</v>
      </c>
      <c r="AB201" t="inlineStr" s="2909">
        <is>
          <t>20250401</t>
        </is>
      </c>
      <c r="AD201" t="n" s="2909">
        <v>0</v>
      </c>
      <c r="AE201" t="inlineStr" s="2909">
        <is>
          <t>00000000</t>
        </is>
      </c>
      <c r="AH201" t="n" s="2909">
        <v>1</v>
      </c>
      <c r="AJ201" t="n" s="2909">
        <v>10</v>
      </c>
      <c r="AP201" t="n" s="2909">
        <v>300000</v>
      </c>
      <c r="DB201" s="2909" t="str">
        <f>IF($A201="","",IF($AH201=20,IF(AND(OR($A201=21,$A201=215),$AJ201=10),"①病院一般",IF(AND($A201=31,$AJ201=41),"②病院短期","対象外")),IF($AJ201=30,"③特定消防",IF(AND(OR($A201=21,$A201=215),$AJ201=10),"④一般",IF(AND($A201=31,$AJ201=41),"⑤短期","対象外")))))</f>
        <v>④一般</v>
      </c>
      <c r="DC201" s="2909">
        <f>IF($A201="","",IF($AB201&amp;""='DB_設定'!$C$4,1,0))</f>
        <v>1</v>
      </c>
    </row>
    <row r="202">
      <c r="A202" t="n" s="2909">
        <v>21</v>
      </c>
      <c r="AA202" t="n" s="2909">
        <v>21</v>
      </c>
      <c r="AB202" t="inlineStr" s="2909">
        <is>
          <t>20250401</t>
        </is>
      </c>
      <c r="AD202" t="n" s="2909">
        <v>0</v>
      </c>
      <c r="AE202" t="inlineStr" s="2909">
        <is>
          <t>00000000</t>
        </is>
      </c>
      <c r="AH202" t="n" s="2909">
        <v>1</v>
      </c>
      <c r="AJ202" t="n" s="2909">
        <v>10</v>
      </c>
      <c r="AP202" t="n" s="2909">
        <v>280000</v>
      </c>
      <c r="DB202" s="2909" t="str">
        <f>IF($A202="","",IF($AH202=20,IF(AND(OR($A202=21,$A202=215),$AJ202=10),"①病院一般",IF(AND($A202=31,$AJ202=41),"②病院短期","対象外")),IF($AJ202=30,"③特定消防",IF(AND(OR($A202=21,$A202=215),$AJ202=10),"④一般",IF(AND($A202=31,$AJ202=41),"⑤短期","対象外")))))</f>
        <v>④一般</v>
      </c>
      <c r="DC202" s="2909">
        <f>IF($A202="","",IF($AB202&amp;""='DB_設定'!$C$4,1,0))</f>
        <v>1</v>
      </c>
    </row>
    <row r="203">
      <c r="A203" t="n" s="2909">
        <v>21</v>
      </c>
      <c r="AA203" t="n" s="2909">
        <v>21</v>
      </c>
      <c r="AB203" t="inlineStr" s="2909">
        <is>
          <t>20250401</t>
        </is>
      </c>
      <c r="AD203" t="n" s="2909">
        <v>0</v>
      </c>
      <c r="AE203" t="inlineStr" s="2909">
        <is>
          <t>00000000</t>
        </is>
      </c>
      <c r="AH203" t="n" s="2909">
        <v>1</v>
      </c>
      <c r="AJ203" t="n" s="2909">
        <v>10</v>
      </c>
      <c r="AP203" t="n" s="2909">
        <v>300000</v>
      </c>
      <c r="DB203" s="2909" t="str">
        <f>IF($A203="","",IF($AH203=20,IF(AND(OR($A203=21,$A203=215),$AJ203=10),"①病院一般",IF(AND($A203=31,$AJ203=41),"②病院短期","対象外")),IF($AJ203=30,"③特定消防",IF(AND(OR($A203=21,$A203=215),$AJ203=10),"④一般",IF(AND($A203=31,$AJ203=41),"⑤短期","対象外")))))</f>
        <v>④一般</v>
      </c>
      <c r="DC203" s="2909">
        <f>IF($A203="","",IF($AB203&amp;""='DB_設定'!$C$4,1,0))</f>
        <v>1</v>
      </c>
    </row>
    <row r="204">
      <c r="A204" t="n" s="2909">
        <v>21</v>
      </c>
      <c r="AA204" t="n" s="2909">
        <v>21</v>
      </c>
      <c r="AB204" t="inlineStr" s="2909">
        <is>
          <t>20250401</t>
        </is>
      </c>
      <c r="AD204" t="n" s="2909">
        <v>0</v>
      </c>
      <c r="AE204" t="inlineStr" s="2909">
        <is>
          <t>00000000</t>
        </is>
      </c>
      <c r="AH204" t="n" s="2909">
        <v>1</v>
      </c>
      <c r="AJ204" t="n" s="2909">
        <v>10</v>
      </c>
      <c r="AP204" t="n" s="2909">
        <v>300000</v>
      </c>
      <c r="DB204" s="2909" t="str">
        <f>IF($A204="","",IF($AH204=20,IF(AND(OR($A204=21,$A204=215),$AJ204=10),"①病院一般",IF(AND($A204=31,$AJ204=41),"②病院短期","対象外")),IF($AJ204=30,"③特定消防",IF(AND(OR($A204=21,$A204=215),$AJ204=10),"④一般",IF(AND($A204=31,$AJ204=41),"⑤短期","対象外")))))</f>
        <v>④一般</v>
      </c>
      <c r="DC204" s="2909">
        <f>IF($A204="","",IF($AB204&amp;""='DB_設定'!$C$4,1,0))</f>
        <v>1</v>
      </c>
    </row>
    <row r="205">
      <c r="A205" t="n" s="2909">
        <v>21</v>
      </c>
      <c r="AA205" t="n" s="2909">
        <v>21</v>
      </c>
      <c r="AB205" t="inlineStr" s="2909">
        <is>
          <t>20250401</t>
        </is>
      </c>
      <c r="AD205" t="n" s="2909">
        <v>0</v>
      </c>
      <c r="AE205" t="inlineStr" s="2909">
        <is>
          <t>00000000</t>
        </is>
      </c>
      <c r="AH205" t="n" s="2909">
        <v>1</v>
      </c>
      <c r="AJ205" t="n" s="2909">
        <v>10</v>
      </c>
      <c r="AP205" t="n" s="2909">
        <v>280000</v>
      </c>
      <c r="DB205" s="2909" t="str">
        <f>IF($A205="","",IF($AH205=20,IF(AND(OR($A205=21,$A205=215),$AJ205=10),"①病院一般",IF(AND($A205=31,$AJ205=41),"②病院短期","対象外")),IF($AJ205=30,"③特定消防",IF(AND(OR($A205=21,$A205=215),$AJ205=10),"④一般",IF(AND($A205=31,$AJ205=41),"⑤短期","対象外")))))</f>
        <v>④一般</v>
      </c>
      <c r="DC205" s="2909">
        <f>IF($A205="","",IF($AB205&amp;""='DB_設定'!$C$4,1,0))</f>
        <v>1</v>
      </c>
    </row>
    <row r="206">
      <c r="A206" t="n" s="2909">
        <v>21</v>
      </c>
      <c r="AA206" t="n" s="2909">
        <v>21</v>
      </c>
      <c r="AB206" t="inlineStr" s="2909">
        <is>
          <t>20250401</t>
        </is>
      </c>
      <c r="AD206" t="n" s="2909">
        <v>0</v>
      </c>
      <c r="AE206" t="inlineStr" s="2909">
        <is>
          <t>00000000</t>
        </is>
      </c>
      <c r="AH206" t="n" s="2909">
        <v>1</v>
      </c>
      <c r="AJ206" t="n" s="2909">
        <v>10</v>
      </c>
      <c r="AP206" t="n" s="2909">
        <v>260000</v>
      </c>
      <c r="DB206" s="2909" t="str">
        <f>IF($A206="","",IF($AH206=20,IF(AND(OR($A206=21,$A206=215),$AJ206=10),"①病院一般",IF(AND($A206=31,$AJ206=41),"②病院短期","対象外")),IF($AJ206=30,"③特定消防",IF(AND(OR($A206=21,$A206=215),$AJ206=10),"④一般",IF(AND($A206=31,$AJ206=41),"⑤短期","対象外")))))</f>
        <v>④一般</v>
      </c>
      <c r="DC206" s="2909">
        <f>IF($A206="","",IF($AB206&amp;""='DB_設定'!$C$4,1,0))</f>
        <v>1</v>
      </c>
    </row>
    <row r="207">
      <c r="A207" t="n" s="2909">
        <v>21</v>
      </c>
      <c r="AA207" t="n" s="2909">
        <v>21</v>
      </c>
      <c r="AB207" t="inlineStr" s="2909">
        <is>
          <t>20250401</t>
        </is>
      </c>
      <c r="AD207" t="n" s="2909">
        <v>0</v>
      </c>
      <c r="AE207" t="inlineStr" s="2909">
        <is>
          <t>00000000</t>
        </is>
      </c>
      <c r="AH207" t="n" s="2909">
        <v>1</v>
      </c>
      <c r="AJ207" t="n" s="2909">
        <v>10</v>
      </c>
      <c r="AP207" t="n" s="2909">
        <v>260000</v>
      </c>
      <c r="DB207" s="2909" t="str">
        <f>IF($A207="","",IF($AH207=20,IF(AND(OR($A207=21,$A207=215),$AJ207=10),"①病院一般",IF(AND($A207=31,$AJ207=41),"②病院短期","対象外")),IF($AJ207=30,"③特定消防",IF(AND(OR($A207=21,$A207=215),$AJ207=10),"④一般",IF(AND($A207=31,$AJ207=41),"⑤短期","対象外")))))</f>
        <v>④一般</v>
      </c>
      <c r="DC207" s="2909">
        <f>IF($A207="","",IF($AB207&amp;""='DB_設定'!$C$4,1,0))</f>
        <v>1</v>
      </c>
    </row>
    <row r="208">
      <c r="A208" t="n" s="2909">
        <v>21</v>
      </c>
      <c r="AA208" t="n" s="2909">
        <v>21</v>
      </c>
      <c r="AB208" t="inlineStr" s="2909">
        <is>
          <t>20250401</t>
        </is>
      </c>
      <c r="AD208" t="n" s="2909">
        <v>0</v>
      </c>
      <c r="AE208" t="inlineStr" s="2909">
        <is>
          <t>00000000</t>
        </is>
      </c>
      <c r="AH208" t="n" s="2909">
        <v>1</v>
      </c>
      <c r="AJ208" t="n" s="2909">
        <v>10</v>
      </c>
      <c r="AP208" t="n" s="2909">
        <v>320000</v>
      </c>
      <c r="DB208" s="2909" t="str">
        <f>IF($A208="","",IF($AH208=20,IF(AND(OR($A208=21,$A208=215),$AJ208=10),"①病院一般",IF(AND($A208=31,$AJ208=41),"②病院短期","対象外")),IF($AJ208=30,"③特定消防",IF(AND(OR($A208=21,$A208=215),$AJ208=10),"④一般",IF(AND($A208=31,$AJ208=41),"⑤短期","対象外")))))</f>
        <v>④一般</v>
      </c>
      <c r="DC208" s="2909">
        <f>IF($A208="","",IF($AB208&amp;""='DB_設定'!$C$4,1,0))</f>
        <v>1</v>
      </c>
    </row>
    <row r="209">
      <c r="A209" t="n" s="2909">
        <v>21</v>
      </c>
      <c r="AA209" t="n" s="2909">
        <v>21</v>
      </c>
      <c r="AB209" t="inlineStr" s="2909">
        <is>
          <t>20250401</t>
        </is>
      </c>
      <c r="AD209" t="n" s="2909">
        <v>0</v>
      </c>
      <c r="AE209" t="inlineStr" s="2909">
        <is>
          <t>00000000</t>
        </is>
      </c>
      <c r="AH209" t="n" s="2909">
        <v>1</v>
      </c>
      <c r="AJ209" t="n" s="2909">
        <v>10</v>
      </c>
      <c r="AP209" t="n" s="2909">
        <v>300000</v>
      </c>
      <c r="DB209" s="2909" t="str">
        <f>IF($A209="","",IF($AH209=20,IF(AND(OR($A209=21,$A209=215),$AJ209=10),"①病院一般",IF(AND($A209=31,$AJ209=41),"②病院短期","対象外")),IF($AJ209=30,"③特定消防",IF(AND(OR($A209=21,$A209=215),$AJ209=10),"④一般",IF(AND($A209=31,$AJ209=41),"⑤短期","対象外")))))</f>
        <v>④一般</v>
      </c>
      <c r="DC209" s="2909">
        <f>IF($A209="","",IF($AB209&amp;""='DB_設定'!$C$4,1,0))</f>
        <v>1</v>
      </c>
    </row>
    <row r="210">
      <c r="A210" t="n" s="2909">
        <v>21</v>
      </c>
      <c r="AA210" t="n" s="2909">
        <v>21</v>
      </c>
      <c r="AB210" t="inlineStr" s="2909">
        <is>
          <t>20250401</t>
        </is>
      </c>
      <c r="AD210" t="n" s="2909">
        <v>0</v>
      </c>
      <c r="AE210" t="inlineStr" s="2909">
        <is>
          <t>00000000</t>
        </is>
      </c>
      <c r="AH210" t="n" s="2909">
        <v>1</v>
      </c>
      <c r="AJ210" t="n" s="2909">
        <v>10</v>
      </c>
      <c r="AP210" t="n" s="2909">
        <v>280000</v>
      </c>
      <c r="DB210" s="2909" t="str">
        <f>IF($A210="","",IF($AH210=20,IF(AND(OR($A210=21,$A210=215),$AJ210=10),"①病院一般",IF(AND($A210=31,$AJ210=41),"②病院短期","対象外")),IF($AJ210=30,"③特定消防",IF(AND(OR($A210=21,$A210=215),$AJ210=10),"④一般",IF(AND($A210=31,$AJ210=41),"⑤短期","対象外")))))</f>
        <v>④一般</v>
      </c>
      <c r="DC210" s="2909">
        <f>IF($A210="","",IF($AB210&amp;""='DB_設定'!$C$4,1,0))</f>
        <v>1</v>
      </c>
    </row>
    <row r="211">
      <c r="A211" t="n" s="2909">
        <v>21</v>
      </c>
      <c r="AA211" t="n" s="2909">
        <v>21</v>
      </c>
      <c r="AB211" t="inlineStr" s="2909">
        <is>
          <t>20250401</t>
        </is>
      </c>
      <c r="AD211" t="n" s="2909">
        <v>0</v>
      </c>
      <c r="AE211" t="inlineStr" s="2909">
        <is>
          <t>00000000</t>
        </is>
      </c>
      <c r="AH211" t="n" s="2909">
        <v>1</v>
      </c>
      <c r="AJ211" t="n" s="2909">
        <v>10</v>
      </c>
      <c r="AP211" t="n" s="2909">
        <v>260000</v>
      </c>
      <c r="DB211" s="2909" t="str">
        <f>IF($A211="","",IF($AH211=20,IF(AND(OR($A211=21,$A211=215),$AJ211=10),"①病院一般",IF(AND($A211=31,$AJ211=41),"②病院短期","対象外")),IF($AJ211=30,"③特定消防",IF(AND(OR($A211=21,$A211=215),$AJ211=10),"④一般",IF(AND($A211=31,$AJ211=41),"⑤短期","対象外")))))</f>
        <v>④一般</v>
      </c>
      <c r="DC211" s="2909">
        <f>IF($A211="","",IF($AB211&amp;""='DB_設定'!$C$4,1,0))</f>
        <v>1</v>
      </c>
    </row>
    <row r="212">
      <c r="A212" t="n" s="2909">
        <v>21</v>
      </c>
      <c r="AA212" t="n" s="2909">
        <v>21</v>
      </c>
      <c r="AB212" t="inlineStr" s="2909">
        <is>
          <t>20250401</t>
        </is>
      </c>
      <c r="AD212" t="n" s="2909">
        <v>0</v>
      </c>
      <c r="AE212" t="inlineStr" s="2909">
        <is>
          <t>00000000</t>
        </is>
      </c>
      <c r="AH212" t="n" s="2909">
        <v>1</v>
      </c>
      <c r="AJ212" t="n" s="2909">
        <v>10</v>
      </c>
      <c r="AP212" t="n" s="2909">
        <v>260000</v>
      </c>
      <c r="DB212" s="2909" t="str">
        <f>IF($A212="","",IF($AH212=20,IF(AND(OR($A212=21,$A212=215),$AJ212=10),"①病院一般",IF(AND($A212=31,$AJ212=41),"②病院短期","対象外")),IF($AJ212=30,"③特定消防",IF(AND(OR($A212=21,$A212=215),$AJ212=10),"④一般",IF(AND($A212=31,$AJ212=41),"⑤短期","対象外")))))</f>
        <v>④一般</v>
      </c>
      <c r="DC212" s="2909">
        <f>IF($A212="","",IF($AB212&amp;""='DB_設定'!$C$4,1,0))</f>
        <v>1</v>
      </c>
    </row>
    <row r="213">
      <c r="A213" t="n" s="2909">
        <v>21</v>
      </c>
      <c r="AA213" t="n" s="2909">
        <v>21</v>
      </c>
      <c r="AB213" t="inlineStr" s="2909">
        <is>
          <t>20250401</t>
        </is>
      </c>
      <c r="AD213" t="n" s="2909">
        <v>0</v>
      </c>
      <c r="AE213" t="inlineStr" s="2909">
        <is>
          <t>00000000</t>
        </is>
      </c>
      <c r="AH213" t="n" s="2909">
        <v>1</v>
      </c>
      <c r="AJ213" t="n" s="2909">
        <v>10</v>
      </c>
      <c r="AP213" t="n" s="2909">
        <v>280000</v>
      </c>
      <c r="DB213" s="2909" t="str">
        <f>IF($A213="","",IF($AH213=20,IF(AND(OR($A213=21,$A213=215),$AJ213=10),"①病院一般",IF(AND($A213=31,$AJ213=41),"②病院短期","対象外")),IF($AJ213=30,"③特定消防",IF(AND(OR($A213=21,$A213=215),$AJ213=10),"④一般",IF(AND($A213=31,$AJ213=41),"⑤短期","対象外")))))</f>
        <v>④一般</v>
      </c>
      <c r="DC213" s="2909">
        <f>IF($A213="","",IF($AB213&amp;""='DB_設定'!$C$4,1,0))</f>
        <v>1</v>
      </c>
    </row>
    <row r="214">
      <c r="A214" t="n" s="2909">
        <v>21</v>
      </c>
      <c r="AA214" t="n" s="2909">
        <v>21</v>
      </c>
      <c r="AB214" t="inlineStr" s="2909">
        <is>
          <t>20250401</t>
        </is>
      </c>
      <c r="AD214" t="n" s="2909">
        <v>0</v>
      </c>
      <c r="AE214" t="inlineStr" s="2909">
        <is>
          <t>00000000</t>
        </is>
      </c>
      <c r="AH214" t="n" s="2909">
        <v>1</v>
      </c>
      <c r="AJ214" t="n" s="2909">
        <v>10</v>
      </c>
      <c r="AP214" t="n" s="2909">
        <v>280000</v>
      </c>
      <c r="DB214" s="2909" t="str">
        <f>IF($A214="","",IF($AH214=20,IF(AND(OR($A214=21,$A214=215),$AJ214=10),"①病院一般",IF(AND($A214=31,$AJ214=41),"②病院短期","対象外")),IF($AJ214=30,"③特定消防",IF(AND(OR($A214=21,$A214=215),$AJ214=10),"④一般",IF(AND($A214=31,$AJ214=41),"⑤短期","対象外")))))</f>
        <v>④一般</v>
      </c>
      <c r="DC214" s="2909">
        <f>IF($A214="","",IF($AB214&amp;""='DB_設定'!$C$4,1,0))</f>
        <v>1</v>
      </c>
    </row>
    <row r="215">
      <c r="A215" t="n" s="2909">
        <v>21</v>
      </c>
      <c r="AA215" t="n" s="2909">
        <v>21</v>
      </c>
      <c r="AB215" t="inlineStr" s="2909">
        <is>
          <t>20250401</t>
        </is>
      </c>
      <c r="AD215" t="n" s="2909">
        <v>0</v>
      </c>
      <c r="AE215" t="inlineStr" s="2909">
        <is>
          <t>00000000</t>
        </is>
      </c>
      <c r="AH215" t="n" s="2909">
        <v>1</v>
      </c>
      <c r="AJ215" t="n" s="2909">
        <v>10</v>
      </c>
      <c r="AP215" t="n" s="2909">
        <v>240000</v>
      </c>
      <c r="DB215" s="2909" t="str">
        <f>IF($A215="","",IF($AH215=20,IF(AND(OR($A215=21,$A215=215),$AJ215=10),"①病院一般",IF(AND($A215=31,$AJ215=41),"②病院短期","対象外")),IF($AJ215=30,"③特定消防",IF(AND(OR($A215=21,$A215=215),$AJ215=10),"④一般",IF(AND($A215=31,$AJ215=41),"⑤短期","対象外")))))</f>
        <v>④一般</v>
      </c>
      <c r="DC215" s="2909">
        <f>IF($A215="","",IF($AB215&amp;""='DB_設定'!$C$4,1,0))</f>
        <v>1</v>
      </c>
    </row>
    <row r="216">
      <c r="A216" t="n" s="2909">
        <v>21</v>
      </c>
      <c r="AA216" t="n" s="2909">
        <v>21</v>
      </c>
      <c r="AB216" t="inlineStr" s="2909">
        <is>
          <t>20250401</t>
        </is>
      </c>
      <c r="AD216" t="n" s="2909">
        <v>0</v>
      </c>
      <c r="AE216" t="inlineStr" s="2909">
        <is>
          <t>00000000</t>
        </is>
      </c>
      <c r="AH216" t="n" s="2909">
        <v>1</v>
      </c>
      <c r="AJ216" t="n" s="2909">
        <v>10</v>
      </c>
      <c r="AP216" t="n" s="2909">
        <v>240000</v>
      </c>
      <c r="DB216" s="2909" t="str">
        <f>IF($A216="","",IF($AH216=20,IF(AND(OR($A216=21,$A216=215),$AJ216=10),"①病院一般",IF(AND($A216=31,$AJ216=41),"②病院短期","対象外")),IF($AJ216=30,"③特定消防",IF(AND(OR($A216=21,$A216=215),$AJ216=10),"④一般",IF(AND($A216=31,$AJ216=41),"⑤短期","対象外")))))</f>
        <v>④一般</v>
      </c>
      <c r="DC216" s="2909">
        <f>IF($A216="","",IF($AB216&amp;""='DB_設定'!$C$4,1,0))</f>
        <v>1</v>
      </c>
    </row>
    <row r="217">
      <c r="A217" t="n" s="2909">
        <v>21</v>
      </c>
      <c r="AA217" t="n" s="2909">
        <v>21</v>
      </c>
      <c r="AB217" t="inlineStr" s="2909">
        <is>
          <t>20250401</t>
        </is>
      </c>
      <c r="AD217" t="n" s="2909">
        <v>0</v>
      </c>
      <c r="AE217" t="inlineStr" s="2909">
        <is>
          <t>00000000</t>
        </is>
      </c>
      <c r="AH217" t="n" s="2909">
        <v>1</v>
      </c>
      <c r="AJ217" t="n" s="2909">
        <v>10</v>
      </c>
      <c r="AP217" t="n" s="2909">
        <v>260000</v>
      </c>
      <c r="DB217" s="2909" t="str">
        <f>IF($A217="","",IF($AH217=20,IF(AND(OR($A217=21,$A217=215),$AJ217=10),"①病院一般",IF(AND($A217=31,$AJ217=41),"②病院短期","対象外")),IF($AJ217=30,"③特定消防",IF(AND(OR($A217=21,$A217=215),$AJ217=10),"④一般",IF(AND($A217=31,$AJ217=41),"⑤短期","対象外")))))</f>
        <v>④一般</v>
      </c>
      <c r="DC217" s="2909">
        <f>IF($A217="","",IF($AB217&amp;""='DB_設定'!$C$4,1,0))</f>
        <v>1</v>
      </c>
    </row>
    <row r="218">
      <c r="A218" t="n" s="2909">
        <v>21</v>
      </c>
      <c r="AA218" t="n" s="2909">
        <v>21</v>
      </c>
      <c r="AB218" t="inlineStr" s="2909">
        <is>
          <t>20250401</t>
        </is>
      </c>
      <c r="AD218" t="n" s="2909">
        <v>0</v>
      </c>
      <c r="AE218" t="inlineStr" s="2909">
        <is>
          <t>00000000</t>
        </is>
      </c>
      <c r="AH218" t="n" s="2909">
        <v>1</v>
      </c>
      <c r="AJ218" t="n" s="2909">
        <v>10</v>
      </c>
      <c r="AP218" t="n" s="2909">
        <v>260000</v>
      </c>
      <c r="DB218" s="2909" t="str">
        <f>IF($A218="","",IF($AH218=20,IF(AND(OR($A218=21,$A218=215),$AJ218=10),"①病院一般",IF(AND($A218=31,$AJ218=41),"②病院短期","対象外")),IF($AJ218=30,"③特定消防",IF(AND(OR($A218=21,$A218=215),$AJ218=10),"④一般",IF(AND($A218=31,$AJ218=41),"⑤短期","対象外")))))</f>
        <v>④一般</v>
      </c>
      <c r="DC218" s="2909">
        <f>IF($A218="","",IF($AB218&amp;""='DB_設定'!$C$4,1,0))</f>
        <v>1</v>
      </c>
    </row>
    <row r="219">
      <c r="A219" t="n" s="2909">
        <v>21</v>
      </c>
      <c r="AA219" t="n" s="2909">
        <v>21</v>
      </c>
      <c r="AB219" t="inlineStr" s="2909">
        <is>
          <t>20250401</t>
        </is>
      </c>
      <c r="AD219" t="n" s="2909">
        <v>0</v>
      </c>
      <c r="AE219" t="inlineStr" s="2909">
        <is>
          <t>00000000</t>
        </is>
      </c>
      <c r="AH219" t="n" s="2909">
        <v>1</v>
      </c>
      <c r="AJ219" t="n" s="2909">
        <v>10</v>
      </c>
      <c r="AP219" t="n" s="2909">
        <v>280000</v>
      </c>
      <c r="DB219" s="2909" t="str">
        <f>IF($A219="","",IF($AH219=20,IF(AND(OR($A219=21,$A219=215),$AJ219=10),"①病院一般",IF(AND($A219=31,$AJ219=41),"②病院短期","対象外")),IF($AJ219=30,"③特定消防",IF(AND(OR($A219=21,$A219=215),$AJ219=10),"④一般",IF(AND($A219=31,$AJ219=41),"⑤短期","対象外")))))</f>
        <v>④一般</v>
      </c>
      <c r="DC219" s="2909">
        <f>IF($A219="","",IF($AB219&amp;""='DB_設定'!$C$4,1,0))</f>
        <v>1</v>
      </c>
    </row>
    <row r="220">
      <c r="A220" t="n" s="2909">
        <v>21</v>
      </c>
      <c r="AA220" t="n" s="2909">
        <v>21</v>
      </c>
      <c r="AB220" t="inlineStr" s="2909">
        <is>
          <t>20250401</t>
        </is>
      </c>
      <c r="AD220" t="n" s="2909">
        <v>0</v>
      </c>
      <c r="AE220" t="inlineStr" s="2909">
        <is>
          <t>00000000</t>
        </is>
      </c>
      <c r="AH220" t="n" s="2909">
        <v>1</v>
      </c>
      <c r="AJ220" t="n" s="2909">
        <v>10</v>
      </c>
      <c r="AP220" t="n" s="2909">
        <v>260000</v>
      </c>
      <c r="DB220" s="2909" t="str">
        <f>IF($A220="","",IF($AH220=20,IF(AND(OR($A220=21,$A220=215),$AJ220=10),"①病院一般",IF(AND($A220=31,$AJ220=41),"②病院短期","対象外")),IF($AJ220=30,"③特定消防",IF(AND(OR($A220=21,$A220=215),$AJ220=10),"④一般",IF(AND($A220=31,$AJ220=41),"⑤短期","対象外")))))</f>
        <v>④一般</v>
      </c>
      <c r="DC220" s="2909">
        <f>IF($A220="","",IF($AB220&amp;""='DB_設定'!$C$4,1,0))</f>
        <v>1</v>
      </c>
    </row>
    <row r="221">
      <c r="A221" t="n" s="2909">
        <v>21</v>
      </c>
      <c r="AA221" t="n" s="2909">
        <v>21</v>
      </c>
      <c r="AB221" t="inlineStr" s="2909">
        <is>
          <t>20250401</t>
        </is>
      </c>
      <c r="AD221" t="n" s="2909">
        <v>0</v>
      </c>
      <c r="AE221" t="inlineStr" s="2909">
        <is>
          <t>00000000</t>
        </is>
      </c>
      <c r="AH221" t="n" s="2909">
        <v>1</v>
      </c>
      <c r="AJ221" t="n" s="2909">
        <v>10</v>
      </c>
      <c r="AP221" t="n" s="2909">
        <v>240000</v>
      </c>
      <c r="DB221" s="2909" t="str">
        <f>IF($A221="","",IF($AH221=20,IF(AND(OR($A221=21,$A221=215),$AJ221=10),"①病院一般",IF(AND($A221=31,$AJ221=41),"②病院短期","対象外")),IF($AJ221=30,"③特定消防",IF(AND(OR($A221=21,$A221=215),$AJ221=10),"④一般",IF(AND($A221=31,$AJ221=41),"⑤短期","対象外")))))</f>
        <v>④一般</v>
      </c>
      <c r="DC221" s="2909">
        <f>IF($A221="","",IF($AB221&amp;""='DB_設定'!$C$4,1,0))</f>
        <v>1</v>
      </c>
    </row>
    <row r="222">
      <c r="A222" t="n" s="2909">
        <v>21</v>
      </c>
      <c r="AA222" t="n" s="2909">
        <v>21</v>
      </c>
      <c r="AB222" t="inlineStr" s="2909">
        <is>
          <t>20250401</t>
        </is>
      </c>
      <c r="AD222" t="n" s="2909">
        <v>0</v>
      </c>
      <c r="AE222" t="inlineStr" s="2909">
        <is>
          <t>00000000</t>
        </is>
      </c>
      <c r="AH222" t="n" s="2909">
        <v>1</v>
      </c>
      <c r="AJ222" t="n" s="2909">
        <v>10</v>
      </c>
      <c r="AP222" t="n" s="2909">
        <v>280000</v>
      </c>
      <c r="DB222" s="2909" t="str">
        <f>IF($A222="","",IF($AH222=20,IF(AND(OR($A222=21,$A222=215),$AJ222=10),"①病院一般",IF(AND($A222=31,$AJ222=41),"②病院短期","対象外")),IF($AJ222=30,"③特定消防",IF(AND(OR($A222=21,$A222=215),$AJ222=10),"④一般",IF(AND($A222=31,$AJ222=41),"⑤短期","対象外")))))</f>
        <v>④一般</v>
      </c>
      <c r="DC222" s="2909">
        <f>IF($A222="","",IF($AB222&amp;""='DB_設定'!$C$4,1,0))</f>
        <v>1</v>
      </c>
    </row>
    <row r="223">
      <c r="A223" t="n" s="2909">
        <v>21</v>
      </c>
      <c r="AA223" t="n" s="2909">
        <v>21</v>
      </c>
      <c r="AB223" t="inlineStr" s="2909">
        <is>
          <t>20250401</t>
        </is>
      </c>
      <c r="AD223" t="n" s="2909">
        <v>0</v>
      </c>
      <c r="AE223" t="inlineStr" s="2909">
        <is>
          <t>00000000</t>
        </is>
      </c>
      <c r="AH223" t="n" s="2909">
        <v>1</v>
      </c>
      <c r="AJ223" t="n" s="2909">
        <v>10</v>
      </c>
      <c r="AP223" t="n" s="2909">
        <v>240000</v>
      </c>
      <c r="DB223" s="2909" t="str">
        <f>IF($A223="","",IF($AH223=20,IF(AND(OR($A223=21,$A223=215),$AJ223=10),"①病院一般",IF(AND($A223=31,$AJ223=41),"②病院短期","対象外")),IF($AJ223=30,"③特定消防",IF(AND(OR($A223=21,$A223=215),$AJ223=10),"④一般",IF(AND($A223=31,$AJ223=41),"⑤短期","対象外")))))</f>
        <v>④一般</v>
      </c>
      <c r="DC223" s="2909">
        <f>IF($A223="","",IF($AB223&amp;""='DB_設定'!$C$4,1,0))</f>
        <v>1</v>
      </c>
    </row>
    <row r="224">
      <c r="A224" t="n" s="2909">
        <v>21</v>
      </c>
      <c r="AA224" t="n" s="2909">
        <v>21</v>
      </c>
      <c r="AB224" t="inlineStr" s="2909">
        <is>
          <t>20250401</t>
        </is>
      </c>
      <c r="AD224" t="n" s="2909">
        <v>0</v>
      </c>
      <c r="AE224" t="inlineStr" s="2909">
        <is>
          <t>00000000</t>
        </is>
      </c>
      <c r="AH224" t="n" s="2909">
        <v>1</v>
      </c>
      <c r="AJ224" t="n" s="2909">
        <v>10</v>
      </c>
      <c r="AP224" t="n" s="2909">
        <v>280000</v>
      </c>
      <c r="DB224" s="2909" t="str">
        <f>IF($A224="","",IF($AH224=20,IF(AND(OR($A224=21,$A224=215),$AJ224=10),"①病院一般",IF(AND($A224=31,$AJ224=41),"②病院短期","対象外")),IF($AJ224=30,"③特定消防",IF(AND(OR($A224=21,$A224=215),$AJ224=10),"④一般",IF(AND($A224=31,$AJ224=41),"⑤短期","対象外")))))</f>
        <v>④一般</v>
      </c>
      <c r="DC224" s="2909">
        <f>IF($A224="","",IF($AB224&amp;""='DB_設定'!$C$4,1,0))</f>
        <v>1</v>
      </c>
    </row>
    <row r="225">
      <c r="A225" t="n" s="2909">
        <v>21</v>
      </c>
      <c r="AA225" t="n" s="2909">
        <v>21</v>
      </c>
      <c r="AB225" t="inlineStr" s="2909">
        <is>
          <t>20250401</t>
        </is>
      </c>
      <c r="AD225" t="n" s="2909">
        <v>0</v>
      </c>
      <c r="AE225" t="inlineStr" s="2909">
        <is>
          <t>00000000</t>
        </is>
      </c>
      <c r="AH225" t="n" s="2909">
        <v>1</v>
      </c>
      <c r="AJ225" t="n" s="2909">
        <v>10</v>
      </c>
      <c r="AP225" t="n" s="2909">
        <v>280000</v>
      </c>
      <c r="DB225" s="2909" t="str">
        <f>IF($A225="","",IF($AH225=20,IF(AND(OR($A225=21,$A225=215),$AJ225=10),"①病院一般",IF(AND($A225=31,$AJ225=41),"②病院短期","対象外")),IF($AJ225=30,"③特定消防",IF(AND(OR($A225=21,$A225=215),$AJ225=10),"④一般",IF(AND($A225=31,$AJ225=41),"⑤短期","対象外")))))</f>
        <v>④一般</v>
      </c>
      <c r="DC225" s="2909">
        <f>IF($A225="","",IF($AB225&amp;""='DB_設定'!$C$4,1,0))</f>
        <v>1</v>
      </c>
    </row>
    <row r="226">
      <c r="A226" t="n" s="2909">
        <v>21</v>
      </c>
      <c r="AA226" t="n" s="2909">
        <v>21</v>
      </c>
      <c r="AB226" t="inlineStr" s="2909">
        <is>
          <t>20250401</t>
        </is>
      </c>
      <c r="AD226" t="n" s="2909">
        <v>0</v>
      </c>
      <c r="AE226" t="inlineStr" s="2909">
        <is>
          <t>00000000</t>
        </is>
      </c>
      <c r="AH226" t="n" s="2909">
        <v>1</v>
      </c>
      <c r="AJ226" t="n" s="2909">
        <v>10</v>
      </c>
      <c r="AP226" t="n" s="2909">
        <v>240000</v>
      </c>
      <c r="DB226" s="2909" t="str">
        <f>IF($A226="","",IF($AH226=20,IF(AND(OR($A226=21,$A226=215),$AJ226=10),"①病院一般",IF(AND($A226=31,$AJ226=41),"②病院短期","対象外")),IF($AJ226=30,"③特定消防",IF(AND(OR($A226=21,$A226=215),$AJ226=10),"④一般",IF(AND($A226=31,$AJ226=41),"⑤短期","対象外")))))</f>
        <v>④一般</v>
      </c>
      <c r="DC226" s="2909">
        <f>IF($A226="","",IF($AB226&amp;""='DB_設定'!$C$4,1,0))</f>
        <v>1</v>
      </c>
    </row>
    <row r="227">
      <c r="A227" t="n" s="2909">
        <v>21</v>
      </c>
      <c r="AA227" t="n" s="2909">
        <v>21</v>
      </c>
      <c r="AB227" t="inlineStr" s="2909">
        <is>
          <t>20250401</t>
        </is>
      </c>
      <c r="AD227" t="n" s="2909">
        <v>0</v>
      </c>
      <c r="AE227" t="inlineStr" s="2909">
        <is>
          <t>00000000</t>
        </is>
      </c>
      <c r="AH227" t="n" s="2909">
        <v>1</v>
      </c>
      <c r="AJ227" t="n" s="2909">
        <v>10</v>
      </c>
      <c r="AP227" t="n" s="2909">
        <v>280000</v>
      </c>
      <c r="DB227" s="2909" t="str">
        <f>IF($A227="","",IF($AH227=20,IF(AND(OR($A227=21,$A227=215),$AJ227=10),"①病院一般",IF(AND($A227=31,$AJ227=41),"②病院短期","対象外")),IF($AJ227=30,"③特定消防",IF(AND(OR($A227=21,$A227=215),$AJ227=10),"④一般",IF(AND($A227=31,$AJ227=41),"⑤短期","対象外")))))</f>
        <v>④一般</v>
      </c>
      <c r="DC227" s="2909">
        <f>IF($A227="","",IF($AB227&amp;""='DB_設定'!$C$4,1,0))</f>
        <v>1</v>
      </c>
    </row>
    <row r="228">
      <c r="A228" t="n" s="2909">
        <v>21</v>
      </c>
      <c r="AA228" t="n" s="2909">
        <v>21</v>
      </c>
      <c r="AB228" t="inlineStr" s="2909">
        <is>
          <t>20250401</t>
        </is>
      </c>
      <c r="AD228" t="n" s="2909">
        <v>0</v>
      </c>
      <c r="AE228" t="inlineStr" s="2909">
        <is>
          <t>00000000</t>
        </is>
      </c>
      <c r="AH228" t="n" s="2909">
        <v>1</v>
      </c>
      <c r="AJ228" t="n" s="2909">
        <v>10</v>
      </c>
      <c r="AP228" t="n" s="2909">
        <v>240000</v>
      </c>
      <c r="DB228" s="2909" t="str">
        <f>IF($A228="","",IF($AH228=20,IF(AND(OR($A228=21,$A228=215),$AJ228=10),"①病院一般",IF(AND($A228=31,$AJ228=41),"②病院短期","対象外")),IF($AJ228=30,"③特定消防",IF(AND(OR($A228=21,$A228=215),$AJ228=10),"④一般",IF(AND($A228=31,$AJ228=41),"⑤短期","対象外")))))</f>
        <v>④一般</v>
      </c>
      <c r="DC228" s="2909">
        <f>IF($A228="","",IF($AB228&amp;""='DB_設定'!$C$4,1,0))</f>
        <v>1</v>
      </c>
    </row>
    <row r="229">
      <c r="A229" t="n" s="2909">
        <v>21</v>
      </c>
      <c r="AA229" t="n" s="2909">
        <v>21</v>
      </c>
      <c r="AB229" t="inlineStr" s="2909">
        <is>
          <t>20250401</t>
        </is>
      </c>
      <c r="AD229" t="n" s="2909">
        <v>0</v>
      </c>
      <c r="AE229" t="inlineStr" s="2909">
        <is>
          <t>00000000</t>
        </is>
      </c>
      <c r="AH229" t="n" s="2909">
        <v>1</v>
      </c>
      <c r="AJ229" t="n" s="2909">
        <v>10</v>
      </c>
      <c r="AP229" t="n" s="2909">
        <v>260000</v>
      </c>
      <c r="DB229" s="2909" t="str">
        <f>IF($A229="","",IF($AH229=20,IF(AND(OR($A229=21,$A229=215),$AJ229=10),"①病院一般",IF(AND($A229=31,$AJ229=41),"②病院短期","対象外")),IF($AJ229=30,"③特定消防",IF(AND(OR($A229=21,$A229=215),$AJ229=10),"④一般",IF(AND($A229=31,$AJ229=41),"⑤短期","対象外")))))</f>
        <v>④一般</v>
      </c>
      <c r="DC229" s="2909">
        <f>IF($A229="","",IF($AB229&amp;""='DB_設定'!$C$4,1,0))</f>
        <v>1</v>
      </c>
    </row>
    <row r="230">
      <c r="A230" t="n" s="2909">
        <v>21</v>
      </c>
      <c r="AA230" t="n" s="2909">
        <v>21</v>
      </c>
      <c r="AB230" t="inlineStr" s="2909">
        <is>
          <t>20250401</t>
        </is>
      </c>
      <c r="AD230" t="n" s="2909">
        <v>0</v>
      </c>
      <c r="AE230" t="inlineStr" s="2909">
        <is>
          <t>00000000</t>
        </is>
      </c>
      <c r="AH230" t="n" s="2909">
        <v>1</v>
      </c>
      <c r="AJ230" t="n" s="2909">
        <v>10</v>
      </c>
      <c r="AP230" t="n" s="2909">
        <v>240000</v>
      </c>
      <c r="DB230" s="2909" t="str">
        <f>IF($A230="","",IF($AH230=20,IF(AND(OR($A230=21,$A230=215),$AJ230=10),"①病院一般",IF(AND($A230=31,$AJ230=41),"②病院短期","対象外")),IF($AJ230=30,"③特定消防",IF(AND(OR($A230=21,$A230=215),$AJ230=10),"④一般",IF(AND($A230=31,$AJ230=41),"⑤短期","対象外")))))</f>
        <v>④一般</v>
      </c>
      <c r="DC230" s="2909">
        <f>IF($A230="","",IF($AB230&amp;""='DB_設定'!$C$4,1,0))</f>
        <v>1</v>
      </c>
    </row>
    <row r="231">
      <c r="A231" t="n" s="2909">
        <v>21</v>
      </c>
      <c r="AA231" t="n" s="2909">
        <v>21</v>
      </c>
      <c r="AB231" t="inlineStr" s="2909">
        <is>
          <t>20250401</t>
        </is>
      </c>
      <c r="AD231" t="n" s="2909">
        <v>0</v>
      </c>
      <c r="AE231" t="inlineStr" s="2909">
        <is>
          <t>00000000</t>
        </is>
      </c>
      <c r="AH231" t="n" s="2909">
        <v>1</v>
      </c>
      <c r="AJ231" t="n" s="2909">
        <v>10</v>
      </c>
      <c r="AP231" t="n" s="2909">
        <v>240000</v>
      </c>
      <c r="DB231" s="2909" t="str">
        <f>IF($A231="","",IF($AH231=20,IF(AND(OR($A231=21,$A231=215),$AJ231=10),"①病院一般",IF(AND($A231=31,$AJ231=41),"②病院短期","対象外")),IF($AJ231=30,"③特定消防",IF(AND(OR($A231=21,$A231=215),$AJ231=10),"④一般",IF(AND($A231=31,$AJ231=41),"⑤短期","対象外")))))</f>
        <v>④一般</v>
      </c>
      <c r="DC231" s="2909">
        <f>IF($A231="","",IF($AB231&amp;""='DB_設定'!$C$4,1,0))</f>
        <v>1</v>
      </c>
    </row>
    <row r="232">
      <c r="A232" t="n" s="2909">
        <v>21</v>
      </c>
      <c r="AA232" t="n" s="2909">
        <v>21</v>
      </c>
      <c r="AB232" t="inlineStr" s="2909">
        <is>
          <t>20250401</t>
        </is>
      </c>
      <c r="AD232" t="n" s="2909">
        <v>0</v>
      </c>
      <c r="AE232" t="inlineStr" s="2909">
        <is>
          <t>00000000</t>
        </is>
      </c>
      <c r="AH232" t="n" s="2909">
        <v>1</v>
      </c>
      <c r="AJ232" t="n" s="2909">
        <v>10</v>
      </c>
      <c r="AP232" t="n" s="2909">
        <v>280000</v>
      </c>
      <c r="DB232" s="2909" t="str">
        <f>IF($A232="","",IF($AH232=20,IF(AND(OR($A232=21,$A232=215),$AJ232=10),"①病院一般",IF(AND($A232=31,$AJ232=41),"②病院短期","対象外")),IF($AJ232=30,"③特定消防",IF(AND(OR($A232=21,$A232=215),$AJ232=10),"④一般",IF(AND($A232=31,$AJ232=41),"⑤短期","対象外")))))</f>
        <v>④一般</v>
      </c>
      <c r="DC232" s="2909">
        <f>IF($A232="","",IF($AB232&amp;""='DB_設定'!$C$4,1,0))</f>
        <v>1</v>
      </c>
    </row>
    <row r="233">
      <c r="A233" t="n" s="2909">
        <v>21</v>
      </c>
      <c r="AA233" t="n" s="2909">
        <v>21</v>
      </c>
      <c r="AB233" t="inlineStr" s="2909">
        <is>
          <t>20250401</t>
        </is>
      </c>
      <c r="AD233" t="n" s="2909">
        <v>0</v>
      </c>
      <c r="AE233" t="inlineStr" s="2909">
        <is>
          <t>00000000</t>
        </is>
      </c>
      <c r="AH233" t="n" s="2909">
        <v>1</v>
      </c>
      <c r="AJ233" t="n" s="2909">
        <v>10</v>
      </c>
      <c r="AP233" t="n" s="2909">
        <v>240000</v>
      </c>
      <c r="DB233" s="2909" t="str">
        <f>IF($A233="","",IF($AH233=20,IF(AND(OR($A233=21,$A233=215),$AJ233=10),"①病院一般",IF(AND($A233=31,$AJ233=41),"②病院短期","対象外")),IF($AJ233=30,"③特定消防",IF(AND(OR($A233=21,$A233=215),$AJ233=10),"④一般",IF(AND($A233=31,$AJ233=41),"⑤短期","対象外")))))</f>
        <v>④一般</v>
      </c>
      <c r="DC233" s="2909">
        <f>IF($A233="","",IF($AB233&amp;""='DB_設定'!$C$4,1,0))</f>
        <v>1</v>
      </c>
    </row>
    <row r="234">
      <c r="A234" t="n" s="2909">
        <v>21</v>
      </c>
      <c r="AA234" t="n" s="2909">
        <v>21</v>
      </c>
      <c r="AB234" t="inlineStr" s="2909">
        <is>
          <t>20250401</t>
        </is>
      </c>
      <c r="AD234" t="n" s="2909">
        <v>0</v>
      </c>
      <c r="AE234" t="inlineStr" s="2909">
        <is>
          <t>00000000</t>
        </is>
      </c>
      <c r="AH234" t="n" s="2909">
        <v>1</v>
      </c>
      <c r="AJ234" t="n" s="2909">
        <v>10</v>
      </c>
      <c r="AP234" t="n" s="2909">
        <v>260000</v>
      </c>
      <c r="DB234" s="2909" t="str">
        <f>IF($A234="","",IF($AH234=20,IF(AND(OR($A234=21,$A234=215),$AJ234=10),"①病院一般",IF(AND($A234=31,$AJ234=41),"②病院短期","対象外")),IF($AJ234=30,"③特定消防",IF(AND(OR($A234=21,$A234=215),$AJ234=10),"④一般",IF(AND($A234=31,$AJ234=41),"⑤短期","対象外")))))</f>
        <v>④一般</v>
      </c>
      <c r="DC234" s="2909">
        <f>IF($A234="","",IF($AB234&amp;""='DB_設定'!$C$4,1,0))</f>
        <v>1</v>
      </c>
    </row>
    <row r="235">
      <c r="A235" t="n" s="2909">
        <v>21</v>
      </c>
      <c r="AA235" t="n" s="2909">
        <v>21</v>
      </c>
      <c r="AB235" t="inlineStr" s="2909">
        <is>
          <t>20250401</t>
        </is>
      </c>
      <c r="AD235" t="n" s="2909">
        <v>0</v>
      </c>
      <c r="AE235" t="inlineStr" s="2909">
        <is>
          <t>00000000</t>
        </is>
      </c>
      <c r="AH235" t="n" s="2909">
        <v>1</v>
      </c>
      <c r="AJ235" t="n" s="2909">
        <v>10</v>
      </c>
      <c r="AP235" t="n" s="2909">
        <v>260000</v>
      </c>
      <c r="DB235" s="2909" t="str">
        <f>IF($A235="","",IF($AH235=20,IF(AND(OR($A235=21,$A235=215),$AJ235=10),"①病院一般",IF(AND($A235=31,$AJ235=41),"②病院短期","対象外")),IF($AJ235=30,"③特定消防",IF(AND(OR($A235=21,$A235=215),$AJ235=10),"④一般",IF(AND($A235=31,$AJ235=41),"⑤短期","対象外")))))</f>
        <v>④一般</v>
      </c>
      <c r="DC235" s="2909">
        <f>IF($A235="","",IF($AB235&amp;""='DB_設定'!$C$4,1,0))</f>
        <v>1</v>
      </c>
    </row>
    <row r="236">
      <c r="A236" t="n" s="2909">
        <v>21</v>
      </c>
      <c r="AA236" t="n" s="2909">
        <v>21</v>
      </c>
      <c r="AB236" t="inlineStr" s="2909">
        <is>
          <t>20250401</t>
        </is>
      </c>
      <c r="AD236" t="n" s="2909">
        <v>0</v>
      </c>
      <c r="AE236" t="inlineStr" s="2909">
        <is>
          <t>00000000</t>
        </is>
      </c>
      <c r="AH236" t="n" s="2909">
        <v>1</v>
      </c>
      <c r="AJ236" t="n" s="2909">
        <v>10</v>
      </c>
      <c r="AP236" t="n" s="2909">
        <v>240000</v>
      </c>
      <c r="DB236" s="2909" t="str">
        <f>IF($A236="","",IF($AH236=20,IF(AND(OR($A236=21,$A236=215),$AJ236=10),"①病院一般",IF(AND($A236=31,$AJ236=41),"②病院短期","対象外")),IF($AJ236=30,"③特定消防",IF(AND(OR($A236=21,$A236=215),$AJ236=10),"④一般",IF(AND($A236=31,$AJ236=41),"⑤短期","対象外")))))</f>
        <v>④一般</v>
      </c>
      <c r="DC236" s="2909">
        <f>IF($A236="","",IF($AB236&amp;""='DB_設定'!$C$4,1,0))</f>
        <v>1</v>
      </c>
    </row>
    <row r="237">
      <c r="A237" t="n" s="2909">
        <v>21</v>
      </c>
      <c r="AA237" t="n" s="2909">
        <v>21</v>
      </c>
      <c r="AB237" t="inlineStr" s="2909">
        <is>
          <t>20250401</t>
        </is>
      </c>
      <c r="AD237" t="n" s="2909">
        <v>0</v>
      </c>
      <c r="AE237" t="inlineStr" s="2909">
        <is>
          <t>00000000</t>
        </is>
      </c>
      <c r="AH237" t="n" s="2909">
        <v>1</v>
      </c>
      <c r="AJ237" t="n" s="2909">
        <v>10</v>
      </c>
      <c r="AP237" t="n" s="2909">
        <v>190000</v>
      </c>
      <c r="DB237" s="2909" t="str">
        <f>IF($A237="","",IF($AH237=20,IF(AND(OR($A237=21,$A237=215),$AJ237=10),"①病院一般",IF(AND($A237=31,$AJ237=41),"②病院短期","対象外")),IF($AJ237=30,"③特定消防",IF(AND(OR($A237=21,$A237=215),$AJ237=10),"④一般",IF(AND($A237=31,$AJ237=41),"⑤短期","対象外")))))</f>
        <v>④一般</v>
      </c>
      <c r="DC237" s="2909">
        <f>IF($A237="","",IF($AB237&amp;""='DB_設定'!$C$4,1,0))</f>
        <v>1</v>
      </c>
    </row>
    <row r="238">
      <c r="A238" t="n" s="2909">
        <v>21</v>
      </c>
      <c r="AA238" t="n" s="2909">
        <v>21</v>
      </c>
      <c r="AB238" t="inlineStr" s="2909">
        <is>
          <t>20250401</t>
        </is>
      </c>
      <c r="AD238" t="n" s="2909">
        <v>0</v>
      </c>
      <c r="AE238" t="inlineStr" s="2909">
        <is>
          <t>00000000</t>
        </is>
      </c>
      <c r="AH238" t="n" s="2909">
        <v>1</v>
      </c>
      <c r="AJ238" t="n" s="2909">
        <v>10</v>
      </c>
      <c r="AP238" t="n" s="2909">
        <v>260000</v>
      </c>
      <c r="DB238" s="2909" t="str">
        <f>IF($A238="","",IF($AH238=20,IF(AND(OR($A238=21,$A238=215),$AJ238=10),"①病院一般",IF(AND($A238=31,$AJ238=41),"②病院短期","対象外")),IF($AJ238=30,"③特定消防",IF(AND(OR($A238=21,$A238=215),$AJ238=10),"④一般",IF(AND($A238=31,$AJ238=41),"⑤短期","対象外")))))</f>
        <v>④一般</v>
      </c>
      <c r="DC238" s="2909">
        <f>IF($A238="","",IF($AB238&amp;""='DB_設定'!$C$4,1,0))</f>
        <v>1</v>
      </c>
    </row>
    <row r="239">
      <c r="A239" t="n" s="2909">
        <v>21</v>
      </c>
      <c r="AA239" t="n" s="2909">
        <v>21</v>
      </c>
      <c r="AB239" t="inlineStr" s="2909">
        <is>
          <t>20250401</t>
        </is>
      </c>
      <c r="AD239" t="n" s="2909">
        <v>0</v>
      </c>
      <c r="AE239" t="inlineStr" s="2909">
        <is>
          <t>00000000</t>
        </is>
      </c>
      <c r="AH239" t="n" s="2909">
        <v>1</v>
      </c>
      <c r="AJ239" t="n" s="2909">
        <v>10</v>
      </c>
      <c r="AP239" t="n" s="2909">
        <v>260000</v>
      </c>
      <c r="DB239" s="2909" t="str">
        <f>IF($A239="","",IF($AH239=20,IF(AND(OR($A239=21,$A239=215),$AJ239=10),"①病院一般",IF(AND($A239=31,$AJ239=41),"②病院短期","対象外")),IF($AJ239=30,"③特定消防",IF(AND(OR($A239=21,$A239=215),$AJ239=10),"④一般",IF(AND($A239=31,$AJ239=41),"⑤短期","対象外")))))</f>
        <v>④一般</v>
      </c>
      <c r="DC239" s="2909">
        <f>IF($A239="","",IF($AB239&amp;""='DB_設定'!$C$4,1,0))</f>
        <v>1</v>
      </c>
    </row>
    <row r="240">
      <c r="A240" t="n" s="2909">
        <v>21</v>
      </c>
      <c r="AA240" t="n" s="2909">
        <v>21</v>
      </c>
      <c r="AB240" t="inlineStr" s="2909">
        <is>
          <t>20250401</t>
        </is>
      </c>
      <c r="AD240" t="n" s="2909">
        <v>0</v>
      </c>
      <c r="AE240" t="inlineStr" s="2909">
        <is>
          <t>00000000</t>
        </is>
      </c>
      <c r="AH240" t="n" s="2909">
        <v>1</v>
      </c>
      <c r="AJ240" t="n" s="2909">
        <v>10</v>
      </c>
      <c r="AP240" t="n" s="2909">
        <v>240000</v>
      </c>
      <c r="DB240" s="2909" t="str">
        <f>IF($A240="","",IF($AH240=20,IF(AND(OR($A240=21,$A240=215),$AJ240=10),"①病院一般",IF(AND($A240=31,$AJ240=41),"②病院短期","対象外")),IF($AJ240=30,"③特定消防",IF(AND(OR($A240=21,$A240=215),$AJ240=10),"④一般",IF(AND($A240=31,$AJ240=41),"⑤短期","対象外")))))</f>
        <v>④一般</v>
      </c>
      <c r="DC240" s="2909">
        <f>IF($A240="","",IF($AB240&amp;""='DB_設定'!$C$4,1,0))</f>
        <v>1</v>
      </c>
    </row>
    <row r="241">
      <c r="A241" t="n" s="2909">
        <v>21</v>
      </c>
      <c r="AA241" t="n" s="2909">
        <v>21</v>
      </c>
      <c r="AB241" t="inlineStr" s="2909">
        <is>
          <t>20250401</t>
        </is>
      </c>
      <c r="AD241" t="n" s="2909">
        <v>0</v>
      </c>
      <c r="AE241" t="inlineStr" s="2909">
        <is>
          <t>00000000</t>
        </is>
      </c>
      <c r="AH241" t="n" s="2909">
        <v>1</v>
      </c>
      <c r="AJ241" t="n" s="2909">
        <v>10</v>
      </c>
      <c r="AP241" t="n" s="2909">
        <v>240000</v>
      </c>
      <c r="DB241" s="2909" t="str">
        <f>IF($A241="","",IF($AH241=20,IF(AND(OR($A241=21,$A241=215),$AJ241=10),"①病院一般",IF(AND($A241=31,$AJ241=41),"②病院短期","対象外")),IF($AJ241=30,"③特定消防",IF(AND(OR($A241=21,$A241=215),$AJ241=10),"④一般",IF(AND($A241=31,$AJ241=41),"⑤短期","対象外")))))</f>
        <v>④一般</v>
      </c>
      <c r="DC241" s="2909">
        <f>IF($A241="","",IF($AB241&amp;""='DB_設定'!$C$4,1,0))</f>
        <v>1</v>
      </c>
    </row>
    <row r="242">
      <c r="A242" t="n" s="2909">
        <v>21</v>
      </c>
      <c r="AA242" t="n" s="2909">
        <v>21</v>
      </c>
      <c r="AB242" t="inlineStr" s="2909">
        <is>
          <t>20250401</t>
        </is>
      </c>
      <c r="AD242" t="n" s="2909">
        <v>0</v>
      </c>
      <c r="AE242" t="inlineStr" s="2909">
        <is>
          <t>00000000</t>
        </is>
      </c>
      <c r="AH242" t="n" s="2909">
        <v>1</v>
      </c>
      <c r="AJ242" t="n" s="2909">
        <v>10</v>
      </c>
      <c r="AP242" t="n" s="2909">
        <v>240000</v>
      </c>
      <c r="DB242" s="2909" t="str">
        <f>IF($A242="","",IF($AH242=20,IF(AND(OR($A242=21,$A242=215),$AJ242=10),"①病院一般",IF(AND($A242=31,$AJ242=41),"②病院短期","対象外")),IF($AJ242=30,"③特定消防",IF(AND(OR($A242=21,$A242=215),$AJ242=10),"④一般",IF(AND($A242=31,$AJ242=41),"⑤短期","対象外")))))</f>
        <v>④一般</v>
      </c>
      <c r="DC242" s="2909">
        <f>IF($A242="","",IF($AB242&amp;""='DB_設定'!$C$4,1,0))</f>
        <v>1</v>
      </c>
    </row>
    <row r="243">
      <c r="A243" t="n" s="2909">
        <v>21</v>
      </c>
      <c r="AA243" t="n" s="2909">
        <v>21</v>
      </c>
      <c r="AB243" t="inlineStr" s="2909">
        <is>
          <t>20250401</t>
        </is>
      </c>
      <c r="AD243" t="n" s="2909">
        <v>0</v>
      </c>
      <c r="AE243" t="inlineStr" s="2909">
        <is>
          <t>00000000</t>
        </is>
      </c>
      <c r="AH243" t="n" s="2909">
        <v>1</v>
      </c>
      <c r="AJ243" t="n" s="2909">
        <v>10</v>
      </c>
      <c r="AP243" t="n" s="2909">
        <v>280000</v>
      </c>
      <c r="DB243" s="2909" t="str">
        <f>IF($A243="","",IF($AH243=20,IF(AND(OR($A243=21,$A243=215),$AJ243=10),"①病院一般",IF(AND($A243=31,$AJ243=41),"②病院短期","対象外")),IF($AJ243=30,"③特定消防",IF(AND(OR($A243=21,$A243=215),$AJ243=10),"④一般",IF(AND($A243=31,$AJ243=41),"⑤短期","対象外")))))</f>
        <v>④一般</v>
      </c>
      <c r="DC243" s="2909">
        <f>IF($A243="","",IF($AB243&amp;""='DB_設定'!$C$4,1,0))</f>
        <v>1</v>
      </c>
    </row>
    <row r="244">
      <c r="A244" t="n" s="2909">
        <v>21</v>
      </c>
      <c r="AA244" t="n" s="2909">
        <v>21</v>
      </c>
      <c r="AB244" t="inlineStr" s="2909">
        <is>
          <t>20250401</t>
        </is>
      </c>
      <c r="AD244" t="n" s="2909">
        <v>0</v>
      </c>
      <c r="AE244" t="inlineStr" s="2909">
        <is>
          <t>00000000</t>
        </is>
      </c>
      <c r="AH244" t="n" s="2909">
        <v>1</v>
      </c>
      <c r="AJ244" t="n" s="2909">
        <v>10</v>
      </c>
      <c r="AP244" t="n" s="2909">
        <v>280000</v>
      </c>
      <c r="DB244" s="2909" t="str">
        <f>IF($A244="","",IF($AH244=20,IF(AND(OR($A244=21,$A244=215),$AJ244=10),"①病院一般",IF(AND($A244=31,$AJ244=41),"②病院短期","対象外")),IF($AJ244=30,"③特定消防",IF(AND(OR($A244=21,$A244=215),$AJ244=10),"④一般",IF(AND($A244=31,$AJ244=41),"⑤短期","対象外")))))</f>
        <v>④一般</v>
      </c>
      <c r="DC244" s="2909">
        <f>IF($A244="","",IF($AB244&amp;""='DB_設定'!$C$4,1,0))</f>
        <v>1</v>
      </c>
    </row>
    <row r="245">
      <c r="A245" t="n" s="2909">
        <v>21</v>
      </c>
      <c r="AA245" t="n" s="2909">
        <v>21</v>
      </c>
      <c r="AB245" t="inlineStr" s="2909">
        <is>
          <t>20250401</t>
        </is>
      </c>
      <c r="AD245" t="n" s="2909">
        <v>0</v>
      </c>
      <c r="AE245" t="inlineStr" s="2909">
        <is>
          <t>00000000</t>
        </is>
      </c>
      <c r="AH245" t="n" s="2909">
        <v>1</v>
      </c>
      <c r="AJ245" t="n" s="2909">
        <v>10</v>
      </c>
      <c r="AP245" t="n" s="2909">
        <v>240000</v>
      </c>
      <c r="DB245" s="2909" t="str">
        <f>IF($A245="","",IF($AH245=20,IF(AND(OR($A245=21,$A245=215),$AJ245=10),"①病院一般",IF(AND($A245=31,$AJ245=41),"②病院短期","対象外")),IF($AJ245=30,"③特定消防",IF(AND(OR($A245=21,$A245=215),$AJ245=10),"④一般",IF(AND($A245=31,$AJ245=41),"⑤短期","対象外")))))</f>
        <v>④一般</v>
      </c>
      <c r="DC245" s="2909">
        <f>IF($A245="","",IF($AB245&amp;""='DB_設定'!$C$4,1,0))</f>
        <v>1</v>
      </c>
    </row>
    <row r="246">
      <c r="A246" t="n" s="2909">
        <v>21</v>
      </c>
      <c r="AA246" t="n" s="2909">
        <v>21</v>
      </c>
      <c r="AB246" t="inlineStr" s="2909">
        <is>
          <t>20250401</t>
        </is>
      </c>
      <c r="AD246" t="n" s="2909">
        <v>0</v>
      </c>
      <c r="AE246" t="inlineStr" s="2909">
        <is>
          <t>00000000</t>
        </is>
      </c>
      <c r="AH246" t="n" s="2909">
        <v>1</v>
      </c>
      <c r="AJ246" t="n" s="2909">
        <v>10</v>
      </c>
      <c r="AP246" t="n" s="2909">
        <v>240000</v>
      </c>
      <c r="DB246" s="2909" t="str">
        <f>IF($A246="","",IF($AH246=20,IF(AND(OR($A246=21,$A246=215),$AJ246=10),"①病院一般",IF(AND($A246=31,$AJ246=41),"②病院短期","対象外")),IF($AJ246=30,"③特定消防",IF(AND(OR($A246=21,$A246=215),$AJ246=10),"④一般",IF(AND($A246=31,$AJ246=41),"⑤短期","対象外")))))</f>
        <v>④一般</v>
      </c>
      <c r="DC246" s="2909">
        <f>IF($A246="","",IF($AB246&amp;""='DB_設定'!$C$4,1,0))</f>
        <v>1</v>
      </c>
    </row>
    <row r="247">
      <c r="A247" t="n" s="2909">
        <v>21</v>
      </c>
      <c r="AA247" t="n" s="2909">
        <v>21</v>
      </c>
      <c r="AB247" t="inlineStr" s="2909">
        <is>
          <t>20250401</t>
        </is>
      </c>
      <c r="AD247" t="n" s="2909">
        <v>0</v>
      </c>
      <c r="AE247" t="inlineStr" s="2909">
        <is>
          <t>00000000</t>
        </is>
      </c>
      <c r="AH247" t="n" s="2909">
        <v>4</v>
      </c>
      <c r="AJ247" t="n" s="2909">
        <v>10</v>
      </c>
      <c r="AP247" t="n" s="2909">
        <v>320000</v>
      </c>
      <c r="DB247" s="2909" t="str">
        <f>IF($A247="","",IF($AH247=20,IF(AND(OR($A247=21,$A247=215),$AJ247=10),"①病院一般",IF(AND($A247=31,$AJ247=41),"②病院短期","対象外")),IF($AJ247=30,"③特定消防",IF(AND(OR($A247=21,$A247=215),$AJ247=10),"④一般",IF(AND($A247=31,$AJ247=41),"⑤短期","対象外")))))</f>
        <v>④一般</v>
      </c>
      <c r="DC247" s="2909">
        <f>IF($A247="","",IF($AB247&amp;""='DB_設定'!$C$4,1,0))</f>
        <v>1</v>
      </c>
    </row>
    <row r="248">
      <c r="A248" t="n" s="2909">
        <v>21</v>
      </c>
      <c r="AA248" t="n" s="2909">
        <v>21</v>
      </c>
      <c r="AB248" t="inlineStr" s="2909">
        <is>
          <t>20250401</t>
        </is>
      </c>
      <c r="AD248" t="n" s="2909">
        <v>0</v>
      </c>
      <c r="AE248" t="inlineStr" s="2909">
        <is>
          <t>00000000</t>
        </is>
      </c>
      <c r="AH248" t="n" s="2909">
        <v>1</v>
      </c>
      <c r="AJ248" t="n" s="2909">
        <v>10</v>
      </c>
      <c r="AP248" t="n" s="2909">
        <v>320000</v>
      </c>
      <c r="DB248" s="2909" t="str">
        <f>IF($A248="","",IF($AH248=20,IF(AND(OR($A248=21,$A248=215),$AJ248=10),"①病院一般",IF(AND($A248=31,$AJ248=41),"②病院短期","対象外")),IF($AJ248=30,"③特定消防",IF(AND(OR($A248=21,$A248=215),$AJ248=10),"④一般",IF(AND($A248=31,$AJ248=41),"⑤短期","対象外")))))</f>
        <v>④一般</v>
      </c>
      <c r="DC248" s="2909">
        <f>IF($A248="","",IF($AB248&amp;""='DB_設定'!$C$4,1,0))</f>
        <v>1</v>
      </c>
    </row>
    <row r="249">
      <c r="A249" t="n" s="2909">
        <v>21</v>
      </c>
      <c r="AA249" t="n" s="2909">
        <v>21</v>
      </c>
      <c r="AB249" t="inlineStr" s="2909">
        <is>
          <t>20250401</t>
        </is>
      </c>
      <c r="AD249" t="n" s="2909">
        <v>0</v>
      </c>
      <c r="AE249" t="inlineStr" s="2909">
        <is>
          <t>00000000</t>
        </is>
      </c>
      <c r="AH249" t="n" s="2909">
        <v>11</v>
      </c>
      <c r="AJ249" t="n" s="2909">
        <v>10</v>
      </c>
      <c r="AP249" t="n" s="2909">
        <v>300000</v>
      </c>
      <c r="DB249" s="2909" t="str">
        <f>IF($A249="","",IF($AH249=20,IF(AND(OR($A249=21,$A249=215),$AJ249=10),"①病院一般",IF(AND($A249=31,$AJ249=41),"②病院短期","対象外")),IF($AJ249=30,"③特定消防",IF(AND(OR($A249=21,$A249=215),$AJ249=10),"④一般",IF(AND($A249=31,$AJ249=41),"⑤短期","対象外")))))</f>
        <v>④一般</v>
      </c>
      <c r="DC249" s="2909">
        <f>IF($A249="","",IF($AB249&amp;""='DB_設定'!$C$4,1,0))</f>
        <v>1</v>
      </c>
    </row>
    <row r="250">
      <c r="A250" t="n" s="2909">
        <v>21</v>
      </c>
      <c r="AA250" t="n" s="2909">
        <v>21</v>
      </c>
      <c r="AB250" t="inlineStr" s="2909">
        <is>
          <t>20250401</t>
        </is>
      </c>
      <c r="AD250" t="n" s="2909">
        <v>0</v>
      </c>
      <c r="AE250" t="inlineStr" s="2909">
        <is>
          <t>00000000</t>
        </is>
      </c>
      <c r="AH250" t="n" s="2909">
        <v>1</v>
      </c>
      <c r="AJ250" t="n" s="2909">
        <v>10</v>
      </c>
      <c r="AP250" t="n" s="2909">
        <v>260000</v>
      </c>
      <c r="DB250" s="2909" t="str">
        <f>IF($A250="","",IF($AH250=20,IF(AND(OR($A250=21,$A250=215),$AJ250=10),"①病院一般",IF(AND($A250=31,$AJ250=41),"②病院短期","対象外")),IF($AJ250=30,"③特定消防",IF(AND(OR($A250=21,$A250=215),$AJ250=10),"④一般",IF(AND($A250=31,$AJ250=41),"⑤短期","対象外")))))</f>
        <v>④一般</v>
      </c>
      <c r="DC250" s="2909">
        <f>IF($A250="","",IF($AB250&amp;""='DB_設定'!$C$4,1,0))</f>
        <v>1</v>
      </c>
    </row>
    <row r="251">
      <c r="A251" t="n" s="2909">
        <v>21</v>
      </c>
      <c r="AA251" t="n" s="2909">
        <v>21</v>
      </c>
      <c r="AB251" t="inlineStr" s="2909">
        <is>
          <t>20250401</t>
        </is>
      </c>
      <c r="AD251" t="n" s="2909">
        <v>0</v>
      </c>
      <c r="AE251" t="inlineStr" s="2909">
        <is>
          <t>00000000</t>
        </is>
      </c>
      <c r="AH251" t="n" s="2909">
        <v>11</v>
      </c>
      <c r="AJ251" t="n" s="2909">
        <v>10</v>
      </c>
      <c r="AP251" t="n" s="2909">
        <v>280000</v>
      </c>
      <c r="DB251" s="2909" t="str">
        <f>IF($A251="","",IF($AH251=20,IF(AND(OR($A251=21,$A251=215),$AJ251=10),"①病院一般",IF(AND($A251=31,$AJ251=41),"②病院短期","対象外")),IF($AJ251=30,"③特定消防",IF(AND(OR($A251=21,$A251=215),$AJ251=10),"④一般",IF(AND($A251=31,$AJ251=41),"⑤短期","対象外")))))</f>
        <v>④一般</v>
      </c>
      <c r="DC251" s="2909">
        <f>IF($A251="","",IF($AB251&amp;""='DB_設定'!$C$4,1,0))</f>
        <v>1</v>
      </c>
    </row>
    <row r="252">
      <c r="A252" t="n" s="2909">
        <v>21</v>
      </c>
      <c r="AA252" t="n" s="2909">
        <v>21</v>
      </c>
      <c r="AB252" t="inlineStr" s="2909">
        <is>
          <t>20250401</t>
        </is>
      </c>
      <c r="AD252" t="n" s="2909">
        <v>0</v>
      </c>
      <c r="AE252" t="inlineStr" s="2909">
        <is>
          <t>00000000</t>
        </is>
      </c>
      <c r="AH252" t="n" s="2909">
        <v>1</v>
      </c>
      <c r="AJ252" t="n" s="2909">
        <v>10</v>
      </c>
      <c r="AP252" t="n" s="2909">
        <v>220000</v>
      </c>
      <c r="DB252" s="2909" t="str">
        <f>IF($A252="","",IF($AH252=20,IF(AND(OR($A252=21,$A252=215),$AJ252=10),"①病院一般",IF(AND($A252=31,$AJ252=41),"②病院短期","対象外")),IF($AJ252=30,"③特定消防",IF(AND(OR($A252=21,$A252=215),$AJ252=10),"④一般",IF(AND($A252=31,$AJ252=41),"⑤短期","対象外")))))</f>
        <v>④一般</v>
      </c>
      <c r="DC252" s="2909">
        <f>IF($A252="","",IF($AB252&amp;""='DB_設定'!$C$4,1,0))</f>
        <v>1</v>
      </c>
    </row>
    <row r="253">
      <c r="A253" t="n" s="2909">
        <v>21</v>
      </c>
      <c r="AA253" t="n" s="2909">
        <v>21</v>
      </c>
      <c r="AB253" t="inlineStr" s="2909">
        <is>
          <t>20250401</t>
        </is>
      </c>
      <c r="AD253" t="n" s="2909">
        <v>0</v>
      </c>
      <c r="AE253" t="inlineStr" s="2909">
        <is>
          <t>00000000</t>
        </is>
      </c>
      <c r="AH253" t="n" s="2909">
        <v>4</v>
      </c>
      <c r="AJ253" t="n" s="2909">
        <v>10</v>
      </c>
      <c r="AP253" t="n" s="2909">
        <v>240000</v>
      </c>
      <c r="DB253" s="2909" t="str">
        <f>IF($A253="","",IF($AH253=20,IF(AND(OR($A253=21,$A253=215),$AJ253=10),"①病院一般",IF(AND($A253=31,$AJ253=41),"②病院短期","対象外")),IF($AJ253=30,"③特定消防",IF(AND(OR($A253=21,$A253=215),$AJ253=10),"④一般",IF(AND($A253=31,$AJ253=41),"⑤短期","対象外")))))</f>
        <v>④一般</v>
      </c>
      <c r="DC253" s="2909">
        <f>IF($A253="","",IF($AB253&amp;""='DB_設定'!$C$4,1,0))</f>
        <v>1</v>
      </c>
    </row>
    <row r="254">
      <c r="A254" t="n" s="2909">
        <v>21</v>
      </c>
      <c r="AA254" t="n" s="2909">
        <v>21</v>
      </c>
      <c r="AB254" t="inlineStr" s="2909">
        <is>
          <t>20250401</t>
        </is>
      </c>
      <c r="AD254" t="n" s="2909">
        <v>0</v>
      </c>
      <c r="AE254" t="inlineStr" s="2909">
        <is>
          <t>00000000</t>
        </is>
      </c>
      <c r="AH254" t="n" s="2909">
        <v>3</v>
      </c>
      <c r="AJ254" t="n" s="2909">
        <v>10</v>
      </c>
      <c r="AP254" t="n" s="2909">
        <v>340000</v>
      </c>
      <c r="DB254" s="2909" t="str">
        <f>IF($A254="","",IF($AH254=20,IF(AND(OR($A254=21,$A254=215),$AJ254=10),"①病院一般",IF(AND($A254=31,$AJ254=41),"②病院短期","対象外")),IF($AJ254=30,"③特定消防",IF(AND(OR($A254=21,$A254=215),$AJ254=10),"④一般",IF(AND($A254=31,$AJ254=41),"⑤短期","対象外")))))</f>
        <v>④一般</v>
      </c>
      <c r="DC254" s="2909">
        <f>IF($A254="","",IF($AB254&amp;""='DB_設定'!$C$4,1,0))</f>
        <v>1</v>
      </c>
    </row>
    <row r="255">
      <c r="A255" t="n" s="2909">
        <v>21</v>
      </c>
      <c r="AA255" t="n" s="2909">
        <v>21</v>
      </c>
      <c r="AB255" t="inlineStr" s="2909">
        <is>
          <t>20250401</t>
        </is>
      </c>
      <c r="AD255" t="n" s="2909">
        <v>0</v>
      </c>
      <c r="AE255" t="inlineStr" s="2909">
        <is>
          <t>00000000</t>
        </is>
      </c>
      <c r="AH255" t="n" s="2909">
        <v>1</v>
      </c>
      <c r="AJ255" t="n" s="2909">
        <v>10</v>
      </c>
      <c r="AP255" t="n" s="2909">
        <v>300000</v>
      </c>
      <c r="DB255" s="2909" t="str">
        <f>IF($A255="","",IF($AH255=20,IF(AND(OR($A255=21,$A255=215),$AJ255=10),"①病院一般",IF(AND($A255=31,$AJ255=41),"②病院短期","対象外")),IF($AJ255=30,"③特定消防",IF(AND(OR($A255=21,$A255=215),$AJ255=10),"④一般",IF(AND($A255=31,$AJ255=41),"⑤短期","対象外")))))</f>
        <v>④一般</v>
      </c>
      <c r="DC255" s="2909">
        <f>IF($A255="","",IF($AB255&amp;""='DB_設定'!$C$4,1,0))</f>
        <v>1</v>
      </c>
    </row>
    <row r="256">
      <c r="A256" t="n" s="2909">
        <v>21</v>
      </c>
      <c r="AA256" t="n" s="2909">
        <v>21</v>
      </c>
      <c r="AB256" t="inlineStr" s="2909">
        <is>
          <t>20250401</t>
        </is>
      </c>
      <c r="AD256" t="n" s="2909">
        <v>0</v>
      </c>
      <c r="AE256" t="inlineStr" s="2909">
        <is>
          <t>00000000</t>
        </is>
      </c>
      <c r="AH256" t="n" s="2909">
        <v>11</v>
      </c>
      <c r="AJ256" t="n" s="2909">
        <v>10</v>
      </c>
      <c r="AP256" t="n" s="2909">
        <v>220000</v>
      </c>
      <c r="DB256" s="2909" t="str">
        <f>IF($A256="","",IF($AH256=20,IF(AND(OR($A256=21,$A256=215),$AJ256=10),"①病院一般",IF(AND($A256=31,$AJ256=41),"②病院短期","対象外")),IF($AJ256=30,"③特定消防",IF(AND(OR($A256=21,$A256=215),$AJ256=10),"④一般",IF(AND($A256=31,$AJ256=41),"⑤短期","対象外")))))</f>
        <v>④一般</v>
      </c>
      <c r="DC256" s="2909">
        <f>IF($A256="","",IF($AB256&amp;""='DB_設定'!$C$4,1,0))</f>
        <v>1</v>
      </c>
    </row>
    <row r="257">
      <c r="A257" t="n" s="2909">
        <v>21</v>
      </c>
      <c r="AA257" t="n" s="2909">
        <v>21</v>
      </c>
      <c r="AB257" t="inlineStr" s="2909">
        <is>
          <t>20250401</t>
        </is>
      </c>
      <c r="AD257" t="n" s="2909">
        <v>0</v>
      </c>
      <c r="AE257" t="inlineStr" s="2909">
        <is>
          <t>00000000</t>
        </is>
      </c>
      <c r="AH257" t="n" s="2909">
        <v>4</v>
      </c>
      <c r="AJ257" t="n" s="2909">
        <v>10</v>
      </c>
      <c r="AP257" t="n" s="2909">
        <v>220000</v>
      </c>
      <c r="DB257" s="2909" t="str">
        <f>IF($A257="","",IF($AH257=20,IF(AND(OR($A257=21,$A257=215),$AJ257=10),"①病院一般",IF(AND($A257=31,$AJ257=41),"②病院短期","対象外")),IF($AJ257=30,"③特定消防",IF(AND(OR($A257=21,$A257=215),$AJ257=10),"④一般",IF(AND($A257=31,$AJ257=41),"⑤短期","対象外")))))</f>
        <v>④一般</v>
      </c>
      <c r="DC257" s="2909">
        <f>IF($A257="","",IF($AB257&amp;""='DB_設定'!$C$4,1,0))</f>
        <v>1</v>
      </c>
    </row>
    <row r="258">
      <c r="A258" t="n" s="2909">
        <v>21</v>
      </c>
      <c r="AA258" t="n" s="2909">
        <v>21</v>
      </c>
      <c r="AB258" t="inlineStr" s="2909">
        <is>
          <t>20250401</t>
        </is>
      </c>
      <c r="AD258" t="n" s="2909">
        <v>0</v>
      </c>
      <c r="AE258" t="inlineStr" s="2909">
        <is>
          <t>00000000</t>
        </is>
      </c>
      <c r="AH258" t="n" s="2909">
        <v>1</v>
      </c>
      <c r="AJ258" t="n" s="2909">
        <v>10</v>
      </c>
      <c r="AP258" t="n" s="2909">
        <v>220000</v>
      </c>
      <c r="DB258" s="2909" t="str">
        <f>IF($A258="","",IF($AH258=20,IF(AND(OR($A258=21,$A258=215),$AJ258=10),"①病院一般",IF(AND($A258=31,$AJ258=41),"②病院短期","対象外")),IF($AJ258=30,"③特定消防",IF(AND(OR($A258=21,$A258=215),$AJ258=10),"④一般",IF(AND($A258=31,$AJ258=41),"⑤短期","対象外")))))</f>
        <v>④一般</v>
      </c>
      <c r="DC258" s="2909">
        <f>IF($A258="","",IF($AB258&amp;""='DB_設定'!$C$4,1,0))</f>
        <v>1</v>
      </c>
    </row>
    <row r="259">
      <c r="A259" t="n" s="2909">
        <v>21</v>
      </c>
      <c r="AA259" t="n" s="2909">
        <v>21</v>
      </c>
      <c r="AB259" t="inlineStr" s="2909">
        <is>
          <t>20250401</t>
        </is>
      </c>
      <c r="AD259" t="n" s="2909">
        <v>0</v>
      </c>
      <c r="AE259" t="inlineStr" s="2909">
        <is>
          <t>00000000</t>
        </is>
      </c>
      <c r="AH259" t="n" s="2909">
        <v>1</v>
      </c>
      <c r="AJ259" t="n" s="2909">
        <v>10</v>
      </c>
      <c r="AP259" t="n" s="2909">
        <v>220000</v>
      </c>
      <c r="DB259" s="2909" t="str">
        <f>IF($A259="","",IF($AH259=20,IF(AND(OR($A259=21,$A259=215),$AJ259=10),"①病院一般",IF(AND($A259=31,$AJ259=41),"②病院短期","対象外")),IF($AJ259=30,"③特定消防",IF(AND(OR($A259=21,$A259=215),$AJ259=10),"④一般",IF(AND($A259=31,$AJ259=41),"⑤短期","対象外")))))</f>
        <v>④一般</v>
      </c>
      <c r="DC259" s="2909">
        <f>IF($A259="","",IF($AB259&amp;""='DB_設定'!$C$4,1,0))</f>
        <v>1</v>
      </c>
    </row>
    <row r="260">
      <c r="A260" t="n" s="2909">
        <v>21</v>
      </c>
      <c r="AA260" t="n" s="2909">
        <v>21</v>
      </c>
      <c r="AB260" t="inlineStr" s="2909">
        <is>
          <t>20250401</t>
        </is>
      </c>
      <c r="AD260" t="n" s="2909">
        <v>0</v>
      </c>
      <c r="AE260" t="inlineStr" s="2909">
        <is>
          <t>00000000</t>
        </is>
      </c>
      <c r="AH260" t="n" s="2909">
        <v>1</v>
      </c>
      <c r="AJ260" t="n" s="2909">
        <v>10</v>
      </c>
      <c r="AP260" t="n" s="2909">
        <v>220000</v>
      </c>
      <c r="DB260" s="2909" t="str">
        <f>IF($A260="","",IF($AH260=20,IF(AND(OR($A260=21,$A260=215),$AJ260=10),"①病院一般",IF(AND($A260=31,$AJ260=41),"②病院短期","対象外")),IF($AJ260=30,"③特定消防",IF(AND(OR($A260=21,$A260=215),$AJ260=10),"④一般",IF(AND($A260=31,$AJ260=41),"⑤短期","対象外")))))</f>
        <v>④一般</v>
      </c>
      <c r="DC260" s="2909">
        <f>IF($A260="","",IF($AB260&amp;""='DB_設定'!$C$4,1,0))</f>
        <v>1</v>
      </c>
    </row>
    <row r="261">
      <c r="A261" t="n" s="2909">
        <v>21</v>
      </c>
      <c r="AA261" t="n" s="2909">
        <v>21</v>
      </c>
      <c r="AB261" t="inlineStr" s="2909">
        <is>
          <t>20250401</t>
        </is>
      </c>
      <c r="AD261" t="n" s="2909">
        <v>0</v>
      </c>
      <c r="AE261" t="inlineStr" s="2909">
        <is>
          <t>00000000</t>
        </is>
      </c>
      <c r="AH261" t="n" s="2909">
        <v>1</v>
      </c>
      <c r="AJ261" t="n" s="2909">
        <v>10</v>
      </c>
      <c r="AP261" t="n" s="2909">
        <v>220000</v>
      </c>
      <c r="DB261" s="2909" t="str">
        <f>IF($A261="","",IF($AH261=20,IF(AND(OR($A261=21,$A261=215),$AJ261=10),"①病院一般",IF(AND($A261=31,$AJ261=41),"②病院短期","対象外")),IF($AJ261=30,"③特定消防",IF(AND(OR($A261=21,$A261=215),$AJ261=10),"④一般",IF(AND($A261=31,$AJ261=41),"⑤短期","対象外")))))</f>
        <v>④一般</v>
      </c>
      <c r="DC261" s="2909">
        <f>IF($A261="","",IF($AB261&amp;""='DB_設定'!$C$4,1,0))</f>
        <v>1</v>
      </c>
    </row>
    <row r="262">
      <c r="A262" t="n" s="2909">
        <v>21</v>
      </c>
      <c r="AA262" t="n" s="2909">
        <v>21</v>
      </c>
      <c r="AB262" t="inlineStr" s="2909">
        <is>
          <t>20250401</t>
        </is>
      </c>
      <c r="AD262" t="n" s="2909">
        <v>0</v>
      </c>
      <c r="AE262" t="inlineStr" s="2909">
        <is>
          <t>00000000</t>
        </is>
      </c>
      <c r="AH262" t="n" s="2909">
        <v>1</v>
      </c>
      <c r="AJ262" t="n" s="2909">
        <v>10</v>
      </c>
      <c r="AP262" t="n" s="2909">
        <v>240000</v>
      </c>
      <c r="DB262" s="2909" t="str">
        <f>IF($A262="","",IF($AH262=20,IF(AND(OR($A262=21,$A262=215),$AJ262=10),"①病院一般",IF(AND($A262=31,$AJ262=41),"②病院短期","対象外")),IF($AJ262=30,"③特定消防",IF(AND(OR($A262=21,$A262=215),$AJ262=10),"④一般",IF(AND($A262=31,$AJ262=41),"⑤短期","対象外")))))</f>
        <v>④一般</v>
      </c>
      <c r="DC262" s="2909">
        <f>IF($A262="","",IF($AB262&amp;""='DB_設定'!$C$4,1,0))</f>
        <v>1</v>
      </c>
    </row>
    <row r="263">
      <c r="A263" t="n" s="2909">
        <v>21</v>
      </c>
      <c r="AA263" t="n" s="2909">
        <v>21</v>
      </c>
      <c r="AB263" t="inlineStr" s="2909">
        <is>
          <t>20250401</t>
        </is>
      </c>
      <c r="AD263" t="n" s="2909">
        <v>0</v>
      </c>
      <c r="AE263" t="inlineStr" s="2909">
        <is>
          <t>00000000</t>
        </is>
      </c>
      <c r="AH263" t="n" s="2909">
        <v>1</v>
      </c>
      <c r="AJ263" t="n" s="2909">
        <v>10</v>
      </c>
      <c r="AP263" t="n" s="2909">
        <v>240000</v>
      </c>
      <c r="DB263" s="2909" t="str">
        <f>IF($A263="","",IF($AH263=20,IF(AND(OR($A263=21,$A263=215),$AJ263=10),"①病院一般",IF(AND($A263=31,$AJ263=41),"②病院短期","対象外")),IF($AJ263=30,"③特定消防",IF(AND(OR($A263=21,$A263=215),$AJ263=10),"④一般",IF(AND($A263=31,$AJ263=41),"⑤短期","対象外")))))</f>
        <v>④一般</v>
      </c>
      <c r="DC263" s="2909">
        <f>IF($A263="","",IF($AB263&amp;""='DB_設定'!$C$4,1,0))</f>
        <v>1</v>
      </c>
    </row>
    <row r="264">
      <c r="A264" t="n" s="2909">
        <v>21</v>
      </c>
      <c r="AA264" t="n" s="2909">
        <v>21</v>
      </c>
      <c r="AB264" t="inlineStr" s="2909">
        <is>
          <t>20250401</t>
        </is>
      </c>
      <c r="AD264" t="n" s="2909">
        <v>0</v>
      </c>
      <c r="AE264" t="inlineStr" s="2909">
        <is>
          <t>00000000</t>
        </is>
      </c>
      <c r="AH264" t="n" s="2909">
        <v>1</v>
      </c>
      <c r="AJ264" t="n" s="2909">
        <v>10</v>
      </c>
      <c r="AP264" t="n" s="2909">
        <v>220000</v>
      </c>
      <c r="DB264" s="2909" t="str">
        <f>IF($A264="","",IF($AH264=20,IF(AND(OR($A264=21,$A264=215),$AJ264=10),"①病院一般",IF(AND($A264=31,$AJ264=41),"②病院短期","対象外")),IF($AJ264=30,"③特定消防",IF(AND(OR($A264=21,$A264=215),$AJ264=10),"④一般",IF(AND($A264=31,$AJ264=41),"⑤短期","対象外")))))</f>
        <v>④一般</v>
      </c>
      <c r="DC264" s="2909">
        <f>IF($A264="","",IF($AB264&amp;""='DB_設定'!$C$4,1,0))</f>
        <v>1</v>
      </c>
    </row>
    <row r="265">
      <c r="A265" t="n" s="2909">
        <v>21</v>
      </c>
      <c r="AA265" t="n" s="2909">
        <v>21</v>
      </c>
      <c r="AB265" t="inlineStr" s="2909">
        <is>
          <t>20250401</t>
        </is>
      </c>
      <c r="AD265" t="n" s="2909">
        <v>0</v>
      </c>
      <c r="AE265" t="inlineStr" s="2909">
        <is>
          <t>00000000</t>
        </is>
      </c>
      <c r="AH265" t="n" s="2909">
        <v>1</v>
      </c>
      <c r="AJ265" t="n" s="2909">
        <v>10</v>
      </c>
      <c r="AP265" t="n" s="2909">
        <v>280000</v>
      </c>
      <c r="DB265" s="2909" t="str">
        <f>IF($A265="","",IF($AH265=20,IF(AND(OR($A265=21,$A265=215),$AJ265=10),"①病院一般",IF(AND($A265=31,$AJ265=41),"②病院短期","対象外")),IF($AJ265=30,"③特定消防",IF(AND(OR($A265=21,$A265=215),$AJ265=10),"④一般",IF(AND($A265=31,$AJ265=41),"⑤短期","対象外")))))</f>
        <v>④一般</v>
      </c>
      <c r="DC265" s="2909">
        <f>IF($A265="","",IF($AB265&amp;""='DB_設定'!$C$4,1,0))</f>
        <v>1</v>
      </c>
    </row>
    <row r="266">
      <c r="A266" t="n" s="2909">
        <v>21</v>
      </c>
      <c r="AA266" t="n" s="2909">
        <v>21</v>
      </c>
      <c r="AB266" t="inlineStr" s="2909">
        <is>
          <t>20250401</t>
        </is>
      </c>
      <c r="AD266" t="n" s="2909">
        <v>0</v>
      </c>
      <c r="AE266" t="inlineStr" s="2909">
        <is>
          <t>00000000</t>
        </is>
      </c>
      <c r="AH266" t="n" s="2909">
        <v>1</v>
      </c>
      <c r="AJ266" t="n" s="2909">
        <v>10</v>
      </c>
      <c r="AP266" t="n" s="2909">
        <v>240000</v>
      </c>
      <c r="DB266" s="2909" t="str">
        <f>IF($A266="","",IF($AH266=20,IF(AND(OR($A266=21,$A266=215),$AJ266=10),"①病院一般",IF(AND($A266=31,$AJ266=41),"②病院短期","対象外")),IF($AJ266=30,"③特定消防",IF(AND(OR($A266=21,$A266=215),$AJ266=10),"④一般",IF(AND($A266=31,$AJ266=41),"⑤短期","対象外")))))</f>
        <v>④一般</v>
      </c>
      <c r="DC266" s="2909">
        <f>IF($A266="","",IF($AB266&amp;""='DB_設定'!$C$4,1,0))</f>
        <v>1</v>
      </c>
    </row>
    <row r="267">
      <c r="A267" t="n" s="2909">
        <v>21</v>
      </c>
      <c r="AA267" t="n" s="2909">
        <v>21</v>
      </c>
      <c r="AB267" t="inlineStr" s="2909">
        <is>
          <t>20250401</t>
        </is>
      </c>
      <c r="AD267" t="n" s="2909">
        <v>0</v>
      </c>
      <c r="AE267" t="inlineStr" s="2909">
        <is>
          <t>00000000</t>
        </is>
      </c>
      <c r="AH267" t="n" s="2909">
        <v>1</v>
      </c>
      <c r="AJ267" t="n" s="2909">
        <v>10</v>
      </c>
      <c r="AP267" t="n" s="2909">
        <v>220000</v>
      </c>
      <c r="DB267" s="2909" t="str">
        <f>IF($A267="","",IF($AH267=20,IF(AND(OR($A267=21,$A267=215),$AJ267=10),"①病院一般",IF(AND($A267=31,$AJ267=41),"②病院短期","対象外")),IF($AJ267=30,"③特定消防",IF(AND(OR($A267=21,$A267=215),$AJ267=10),"④一般",IF(AND($A267=31,$AJ267=41),"⑤短期","対象外")))))</f>
        <v>④一般</v>
      </c>
      <c r="DC267" s="2909">
        <f>IF($A267="","",IF($AB267&amp;""='DB_設定'!$C$4,1,0))</f>
        <v>1</v>
      </c>
    </row>
    <row r="268">
      <c r="A268" t="n" s="2909">
        <v>21</v>
      </c>
      <c r="AA268" t="n" s="2909">
        <v>21</v>
      </c>
      <c r="AB268" t="inlineStr" s="2909">
        <is>
          <t>20250401</t>
        </is>
      </c>
      <c r="AD268" t="n" s="2909">
        <v>0</v>
      </c>
      <c r="AE268" t="inlineStr" s="2909">
        <is>
          <t>00000000</t>
        </is>
      </c>
      <c r="AH268" t="n" s="2909">
        <v>1</v>
      </c>
      <c r="AJ268" t="n" s="2909">
        <v>10</v>
      </c>
      <c r="AP268" t="n" s="2909">
        <v>260000</v>
      </c>
      <c r="DB268" s="2909" t="str">
        <f>IF($A268="","",IF($AH268=20,IF(AND(OR($A268=21,$A268=215),$AJ268=10),"①病院一般",IF(AND($A268=31,$AJ268=41),"②病院短期","対象外")),IF($AJ268=30,"③特定消防",IF(AND(OR($A268=21,$A268=215),$AJ268=10),"④一般",IF(AND($A268=31,$AJ268=41),"⑤短期","対象外")))))</f>
        <v>④一般</v>
      </c>
      <c r="DC268" s="2909">
        <f>IF($A268="","",IF($AB268&amp;""='DB_設定'!$C$4,1,0))</f>
        <v>1</v>
      </c>
    </row>
    <row r="269">
      <c r="A269" t="n" s="2909">
        <v>21</v>
      </c>
      <c r="AA269" t="n" s="2909">
        <v>21</v>
      </c>
      <c r="AB269" t="inlineStr" s="2909">
        <is>
          <t>20250401</t>
        </is>
      </c>
      <c r="AD269" t="n" s="2909">
        <v>0</v>
      </c>
      <c r="AE269" t="inlineStr" s="2909">
        <is>
          <t>00000000</t>
        </is>
      </c>
      <c r="AH269" t="n" s="2909">
        <v>1</v>
      </c>
      <c r="AJ269" t="n" s="2909">
        <v>10</v>
      </c>
      <c r="AP269" t="n" s="2909">
        <v>240000</v>
      </c>
      <c r="DB269" s="2909" t="str">
        <f>IF($A269="","",IF($AH269=20,IF(AND(OR($A269=21,$A269=215),$AJ269=10),"①病院一般",IF(AND($A269=31,$AJ269=41),"②病院短期","対象外")),IF($AJ269=30,"③特定消防",IF(AND(OR($A269=21,$A269=215),$AJ269=10),"④一般",IF(AND($A269=31,$AJ269=41),"⑤短期","対象外")))))</f>
        <v>④一般</v>
      </c>
      <c r="DC269" s="2909">
        <f>IF($A269="","",IF($AB269&amp;""='DB_設定'!$C$4,1,0))</f>
        <v>1</v>
      </c>
    </row>
    <row r="270">
      <c r="A270" t="n" s="2909">
        <v>21</v>
      </c>
      <c r="AA270" t="n" s="2909">
        <v>21</v>
      </c>
      <c r="AB270" t="inlineStr" s="2909">
        <is>
          <t>20250401</t>
        </is>
      </c>
      <c r="AD270" t="n" s="2909">
        <v>0</v>
      </c>
      <c r="AE270" t="inlineStr" s="2909">
        <is>
          <t>00000000</t>
        </is>
      </c>
      <c r="AH270" t="n" s="2909">
        <v>1</v>
      </c>
      <c r="AJ270" t="n" s="2909">
        <v>10</v>
      </c>
      <c r="AP270" t="n" s="2909">
        <v>220000</v>
      </c>
      <c r="DB270" s="2909" t="str">
        <f>IF($A270="","",IF($AH270=20,IF(AND(OR($A270=21,$A270=215),$AJ270=10),"①病院一般",IF(AND($A270=31,$AJ270=41),"②病院短期","対象外")),IF($AJ270=30,"③特定消防",IF(AND(OR($A270=21,$A270=215),$AJ270=10),"④一般",IF(AND($A270=31,$AJ270=41),"⑤短期","対象外")))))</f>
        <v>④一般</v>
      </c>
      <c r="DC270" s="2909">
        <f>IF($A270="","",IF($AB270&amp;""='DB_設定'!$C$4,1,0))</f>
        <v>1</v>
      </c>
    </row>
    <row r="271">
      <c r="A271" t="n" s="2909">
        <v>21</v>
      </c>
      <c r="AA271" t="n" s="2909">
        <v>21</v>
      </c>
      <c r="AB271" t="inlineStr" s="2909">
        <is>
          <t>20250401</t>
        </is>
      </c>
      <c r="AD271" t="n" s="2909">
        <v>0</v>
      </c>
      <c r="AE271" t="inlineStr" s="2909">
        <is>
          <t>00000000</t>
        </is>
      </c>
      <c r="AH271" t="n" s="2909">
        <v>1</v>
      </c>
      <c r="AJ271" t="n" s="2909">
        <v>10</v>
      </c>
      <c r="AP271" t="n" s="2909">
        <v>220000</v>
      </c>
      <c r="DB271" s="2909" t="str">
        <f>IF($A271="","",IF($AH271=20,IF(AND(OR($A271=21,$A271=215),$AJ271=10),"①病院一般",IF(AND($A271=31,$AJ271=41),"②病院短期","対象外")),IF($AJ271=30,"③特定消防",IF(AND(OR($A271=21,$A271=215),$AJ271=10),"④一般",IF(AND($A271=31,$AJ271=41),"⑤短期","対象外")))))</f>
        <v>④一般</v>
      </c>
      <c r="DC271" s="2909">
        <f>IF($A271="","",IF($AB271&amp;""='DB_設定'!$C$4,1,0))</f>
        <v>1</v>
      </c>
    </row>
    <row r="272">
      <c r="A272" t="n" s="2909">
        <v>21</v>
      </c>
      <c r="AA272" t="n" s="2909">
        <v>21</v>
      </c>
      <c r="AB272" t="inlineStr" s="2909">
        <is>
          <t>20250401</t>
        </is>
      </c>
      <c r="AD272" t="n" s="2909">
        <v>0</v>
      </c>
      <c r="AE272" t="inlineStr" s="2909">
        <is>
          <t>00000000</t>
        </is>
      </c>
      <c r="AH272" t="n" s="2909">
        <v>1</v>
      </c>
      <c r="AJ272" t="n" s="2909">
        <v>10</v>
      </c>
      <c r="AP272" t="n" s="2909">
        <v>280000</v>
      </c>
      <c r="DB272" s="2909" t="str">
        <f>IF($A272="","",IF($AH272=20,IF(AND(OR($A272=21,$A272=215),$AJ272=10),"①病院一般",IF(AND($A272=31,$AJ272=41),"②病院短期","対象外")),IF($AJ272=30,"③特定消防",IF(AND(OR($A272=21,$A272=215),$AJ272=10),"④一般",IF(AND($A272=31,$AJ272=41),"⑤短期","対象外")))))</f>
        <v>④一般</v>
      </c>
      <c r="DC272" s="2909">
        <f>IF($A272="","",IF($AB272&amp;""='DB_設定'!$C$4,1,0))</f>
        <v>1</v>
      </c>
    </row>
    <row r="273">
      <c r="A273" t="n" s="2909">
        <v>21</v>
      </c>
      <c r="AA273" t="n" s="2909">
        <v>21</v>
      </c>
      <c r="AB273" t="inlineStr" s="2909">
        <is>
          <t>20250401</t>
        </is>
      </c>
      <c r="AD273" t="n" s="2909">
        <v>0</v>
      </c>
      <c r="AE273" t="inlineStr" s="2909">
        <is>
          <t>00000000</t>
        </is>
      </c>
      <c r="AH273" t="n" s="2909">
        <v>1</v>
      </c>
      <c r="AJ273" t="n" s="2909">
        <v>10</v>
      </c>
      <c r="AP273" t="n" s="2909">
        <v>220000</v>
      </c>
      <c r="DB273" s="2909" t="str">
        <f>IF($A273="","",IF($AH273=20,IF(AND(OR($A273=21,$A273=215),$AJ273=10),"①病院一般",IF(AND($A273=31,$AJ273=41),"②病院短期","対象外")),IF($AJ273=30,"③特定消防",IF(AND(OR($A273=21,$A273=215),$AJ273=10),"④一般",IF(AND($A273=31,$AJ273=41),"⑤短期","対象外")))))</f>
        <v>④一般</v>
      </c>
      <c r="DC273" s="2909">
        <f>IF($A273="","",IF($AB273&amp;""='DB_設定'!$C$4,1,0))</f>
        <v>1</v>
      </c>
    </row>
    <row r="274">
      <c r="A274" t="n" s="2909">
        <v>21</v>
      </c>
      <c r="AA274" t="n" s="2909">
        <v>21</v>
      </c>
      <c r="AB274" t="inlineStr" s="2909">
        <is>
          <t>20250401</t>
        </is>
      </c>
      <c r="AD274" t="n" s="2909">
        <v>0</v>
      </c>
      <c r="AE274" t="inlineStr" s="2909">
        <is>
          <t>00000000</t>
        </is>
      </c>
      <c r="AH274" t="n" s="2909">
        <v>1</v>
      </c>
      <c r="AJ274" t="n" s="2909">
        <v>10</v>
      </c>
      <c r="AP274" t="n" s="2909">
        <v>240000</v>
      </c>
      <c r="DB274" s="2909" t="str">
        <f>IF($A274="","",IF($AH274=20,IF(AND(OR($A274=21,$A274=215),$AJ274=10),"①病院一般",IF(AND($A274=31,$AJ274=41),"②病院短期","対象外")),IF($AJ274=30,"③特定消防",IF(AND(OR($A274=21,$A274=215),$AJ274=10),"④一般",IF(AND($A274=31,$AJ274=41),"⑤短期","対象外")))))</f>
        <v>④一般</v>
      </c>
      <c r="DC274" s="2909">
        <f>IF($A274="","",IF($AB274&amp;""='DB_設定'!$C$4,1,0))</f>
        <v>1</v>
      </c>
    </row>
    <row r="275">
      <c r="A275" t="n" s="2909">
        <v>21</v>
      </c>
      <c r="AA275" t="n" s="2909">
        <v>21</v>
      </c>
      <c r="AB275" t="inlineStr" s="2909">
        <is>
          <t>20250401</t>
        </is>
      </c>
      <c r="AD275" t="n" s="2909">
        <v>0</v>
      </c>
      <c r="AE275" t="inlineStr" s="2909">
        <is>
          <t>00000000</t>
        </is>
      </c>
      <c r="AH275" t="n" s="2909">
        <v>4</v>
      </c>
      <c r="AJ275" t="n" s="2909">
        <v>10</v>
      </c>
      <c r="AP275" t="n" s="2909">
        <v>260000</v>
      </c>
      <c r="DB275" s="2909" t="str">
        <f>IF($A275="","",IF($AH275=20,IF(AND(OR($A275=21,$A275=215),$AJ275=10),"①病院一般",IF(AND($A275=31,$AJ275=41),"②病院短期","対象外")),IF($AJ275=30,"③特定消防",IF(AND(OR($A275=21,$A275=215),$AJ275=10),"④一般",IF(AND($A275=31,$AJ275=41),"⑤短期","対象外")))))</f>
        <v>④一般</v>
      </c>
      <c r="DC275" s="2909">
        <f>IF($A275="","",IF($AB275&amp;""='DB_設定'!$C$4,1,0))</f>
        <v>1</v>
      </c>
    </row>
    <row r="276">
      <c r="A276" t="n" s="2909">
        <v>21</v>
      </c>
      <c r="AA276" t="n" s="2909">
        <v>21</v>
      </c>
      <c r="AB276" t="inlineStr" s="2909">
        <is>
          <t>20250401</t>
        </is>
      </c>
      <c r="AD276" t="n" s="2909">
        <v>0</v>
      </c>
      <c r="AE276" t="inlineStr" s="2909">
        <is>
          <t>00000000</t>
        </is>
      </c>
      <c r="AH276" t="n" s="2909">
        <v>1</v>
      </c>
      <c r="AJ276" t="n" s="2909">
        <v>10</v>
      </c>
      <c r="AP276" t="n" s="2909">
        <v>220000</v>
      </c>
      <c r="DB276" s="2909" t="str">
        <f>IF($A276="","",IF($AH276=20,IF(AND(OR($A276=21,$A276=215),$AJ276=10),"①病院一般",IF(AND($A276=31,$AJ276=41),"②病院短期","対象外")),IF($AJ276=30,"③特定消防",IF(AND(OR($A276=21,$A276=215),$AJ276=10),"④一般",IF(AND($A276=31,$AJ276=41),"⑤短期","対象外")))))</f>
        <v>④一般</v>
      </c>
      <c r="DC276" s="2909">
        <f>IF($A276="","",IF($AB276&amp;""='DB_設定'!$C$4,1,0))</f>
        <v>1</v>
      </c>
    </row>
    <row r="277">
      <c r="A277" t="n" s="2909">
        <v>21</v>
      </c>
      <c r="AA277" t="n" s="2909">
        <v>21</v>
      </c>
      <c r="AB277" t="inlineStr" s="2909">
        <is>
          <t>20250401</t>
        </is>
      </c>
      <c r="AD277" t="n" s="2909">
        <v>0</v>
      </c>
      <c r="AE277" t="inlineStr" s="2909">
        <is>
          <t>00000000</t>
        </is>
      </c>
      <c r="AH277" t="n" s="2909">
        <v>1</v>
      </c>
      <c r="AJ277" t="n" s="2909">
        <v>10</v>
      </c>
      <c r="AP277" t="n" s="2909">
        <v>220000</v>
      </c>
      <c r="DB277" s="2909" t="str">
        <f>IF($A277="","",IF($AH277=20,IF(AND(OR($A277=21,$A277=215),$AJ277=10),"①病院一般",IF(AND($A277=31,$AJ277=41),"②病院短期","対象外")),IF($AJ277=30,"③特定消防",IF(AND(OR($A277=21,$A277=215),$AJ277=10),"④一般",IF(AND($A277=31,$AJ277=41),"⑤短期","対象外")))))</f>
        <v>④一般</v>
      </c>
      <c r="DC277" s="2909">
        <f>IF($A277="","",IF($AB277&amp;""='DB_設定'!$C$4,1,0))</f>
        <v>1</v>
      </c>
    </row>
    <row r="278">
      <c r="A278" t="n" s="2909">
        <v>21</v>
      </c>
      <c r="AA278" t="n" s="2909">
        <v>21</v>
      </c>
      <c r="AB278" t="inlineStr" s="2909">
        <is>
          <t>20250401</t>
        </is>
      </c>
      <c r="AD278" t="n" s="2909">
        <v>0</v>
      </c>
      <c r="AE278" t="inlineStr" s="2909">
        <is>
          <t>00000000</t>
        </is>
      </c>
      <c r="AH278" t="n" s="2909">
        <v>1</v>
      </c>
      <c r="AJ278" t="n" s="2909">
        <v>10</v>
      </c>
      <c r="AP278" t="n" s="2909">
        <v>260000</v>
      </c>
      <c r="DB278" s="2909" t="str">
        <f>IF($A278="","",IF($AH278=20,IF(AND(OR($A278=21,$A278=215),$AJ278=10),"①病院一般",IF(AND($A278=31,$AJ278=41),"②病院短期","対象外")),IF($AJ278=30,"③特定消防",IF(AND(OR($A278=21,$A278=215),$AJ278=10),"④一般",IF(AND($A278=31,$AJ278=41),"⑤短期","対象外")))))</f>
        <v>④一般</v>
      </c>
      <c r="DC278" s="2909">
        <f>IF($A278="","",IF($AB278&amp;""='DB_設定'!$C$4,1,0))</f>
        <v>1</v>
      </c>
    </row>
    <row r="279">
      <c r="A279" t="n" s="2909">
        <v>21</v>
      </c>
      <c r="AA279" t="n" s="2909">
        <v>21</v>
      </c>
      <c r="AB279" t="inlineStr" s="2909">
        <is>
          <t>20250401</t>
        </is>
      </c>
      <c r="AD279" t="n" s="2909">
        <v>0</v>
      </c>
      <c r="AE279" t="inlineStr" s="2909">
        <is>
          <t>00000000</t>
        </is>
      </c>
      <c r="AH279" t="n" s="2909">
        <v>1</v>
      </c>
      <c r="AJ279" t="n" s="2909">
        <v>10</v>
      </c>
      <c r="AP279" t="n" s="2909">
        <v>220000</v>
      </c>
      <c r="DB279" s="2909" t="str">
        <f>IF($A279="","",IF($AH279=20,IF(AND(OR($A279=21,$A279=215),$AJ279=10),"①病院一般",IF(AND($A279=31,$AJ279=41),"②病院短期","対象外")),IF($AJ279=30,"③特定消防",IF(AND(OR($A279=21,$A279=215),$AJ279=10),"④一般",IF(AND($A279=31,$AJ279=41),"⑤短期","対象外")))))</f>
        <v>④一般</v>
      </c>
      <c r="DC279" s="2909">
        <f>IF($A279="","",IF($AB279&amp;""='DB_設定'!$C$4,1,0))</f>
        <v>1</v>
      </c>
    </row>
    <row r="280">
      <c r="A280" t="n" s="2909">
        <v>21</v>
      </c>
      <c r="AA280" t="n" s="2909">
        <v>21</v>
      </c>
      <c r="AB280" t="inlineStr" s="2909">
        <is>
          <t>20250401</t>
        </is>
      </c>
      <c r="AD280" t="n" s="2909">
        <v>0</v>
      </c>
      <c r="AE280" t="inlineStr" s="2909">
        <is>
          <t>00000000</t>
        </is>
      </c>
      <c r="AH280" t="n" s="2909">
        <v>1</v>
      </c>
      <c r="AJ280" t="n" s="2909">
        <v>10</v>
      </c>
      <c r="AP280" t="n" s="2909">
        <v>240000</v>
      </c>
      <c r="DB280" s="2909" t="str">
        <f>IF($A280="","",IF($AH280=20,IF(AND(OR($A280=21,$A280=215),$AJ280=10),"①病院一般",IF(AND($A280=31,$AJ280=41),"②病院短期","対象外")),IF($AJ280=30,"③特定消防",IF(AND(OR($A280=21,$A280=215),$AJ280=10),"④一般",IF(AND($A280=31,$AJ280=41),"⑤短期","対象外")))))</f>
        <v>④一般</v>
      </c>
      <c r="DC280" s="2909">
        <f>IF($A280="","",IF($AB280&amp;""='DB_設定'!$C$4,1,0))</f>
        <v>1</v>
      </c>
    </row>
    <row r="281">
      <c r="A281" t="n" s="2909">
        <v>21</v>
      </c>
      <c r="AA281" t="n" s="2909">
        <v>21</v>
      </c>
      <c r="AB281" t="inlineStr" s="2909">
        <is>
          <t>20250401</t>
        </is>
      </c>
      <c r="AD281" t="n" s="2909">
        <v>0</v>
      </c>
      <c r="AE281" t="inlineStr" s="2909">
        <is>
          <t>00000000</t>
        </is>
      </c>
      <c r="AH281" t="n" s="2909">
        <v>1</v>
      </c>
      <c r="AJ281" t="n" s="2909">
        <v>10</v>
      </c>
      <c r="AP281" t="n" s="2909">
        <v>360000</v>
      </c>
      <c r="DB281" s="2909" t="str">
        <f>IF($A281="","",IF($AH281=20,IF(AND(OR($A281=21,$A281=215),$AJ281=10),"①病院一般",IF(AND($A281=31,$AJ281=41),"②病院短期","対象外")),IF($AJ281=30,"③特定消防",IF(AND(OR($A281=21,$A281=215),$AJ281=10),"④一般",IF(AND($A281=31,$AJ281=41),"⑤短期","対象外")))))</f>
        <v>④一般</v>
      </c>
      <c r="DC281" s="2909">
        <f>IF($A281="","",IF($AB281&amp;""='DB_設定'!$C$4,1,0))</f>
        <v>1</v>
      </c>
    </row>
    <row r="282">
      <c r="A282" t="n" s="2909">
        <v>21</v>
      </c>
      <c r="AA282" t="n" s="2909">
        <v>21</v>
      </c>
      <c r="AB282" t="inlineStr" s="2909">
        <is>
          <t>20250401</t>
        </is>
      </c>
      <c r="AD282" t="n" s="2909">
        <v>0</v>
      </c>
      <c r="AE282" t="inlineStr" s="2909">
        <is>
          <t>00000000</t>
        </is>
      </c>
      <c r="AH282" t="n" s="2909">
        <v>1</v>
      </c>
      <c r="AJ282" t="n" s="2909">
        <v>10</v>
      </c>
      <c r="AP282" t="n" s="2909">
        <v>410000</v>
      </c>
      <c r="DB282" s="2909" t="str">
        <f>IF($A282="","",IF($AH282=20,IF(AND(OR($A282=21,$A282=215),$AJ282=10),"①病院一般",IF(AND($A282=31,$AJ282=41),"②病院短期","対象外")),IF($AJ282=30,"③特定消防",IF(AND(OR($A282=21,$A282=215),$AJ282=10),"④一般",IF(AND($A282=31,$AJ282=41),"⑤短期","対象外")))))</f>
        <v>④一般</v>
      </c>
      <c r="DC282" s="2909">
        <f>IF($A282="","",IF($AB282&amp;""='DB_設定'!$C$4,1,0))</f>
        <v>1</v>
      </c>
    </row>
    <row r="283">
      <c r="A283" t="n" s="2909">
        <v>21</v>
      </c>
      <c r="AA283" t="n" s="2909">
        <v>21</v>
      </c>
      <c r="AB283" t="inlineStr" s="2909">
        <is>
          <t>20250401</t>
        </is>
      </c>
      <c r="AD283" t="n" s="2909">
        <v>0</v>
      </c>
      <c r="AE283" t="inlineStr" s="2909">
        <is>
          <t>00000000</t>
        </is>
      </c>
      <c r="AH283" t="n" s="2909">
        <v>1</v>
      </c>
      <c r="AJ283" t="n" s="2909">
        <v>10</v>
      </c>
      <c r="AP283" t="n" s="2909">
        <v>340000</v>
      </c>
      <c r="DB283" s="2909" t="str">
        <f>IF($A283="","",IF($AH283=20,IF(AND(OR($A283=21,$A283=215),$AJ283=10),"①病院一般",IF(AND($A283=31,$AJ283=41),"②病院短期","対象外")),IF($AJ283=30,"③特定消防",IF(AND(OR($A283=21,$A283=215),$AJ283=10),"④一般",IF(AND($A283=31,$AJ283=41),"⑤短期","対象外")))))</f>
        <v>④一般</v>
      </c>
      <c r="DC283" s="2909">
        <f>IF($A283="","",IF($AB283&amp;""='DB_設定'!$C$4,1,0))</f>
        <v>1</v>
      </c>
    </row>
    <row r="284">
      <c r="A284" t="n" s="2909">
        <v>21</v>
      </c>
      <c r="AA284" t="n" s="2909">
        <v>21</v>
      </c>
      <c r="AB284" t="inlineStr" s="2909">
        <is>
          <t>20250401</t>
        </is>
      </c>
      <c r="AD284" t="n" s="2909">
        <v>0</v>
      </c>
      <c r="AE284" t="inlineStr" s="2909">
        <is>
          <t>00000000</t>
        </is>
      </c>
      <c r="AH284" t="n" s="2909">
        <v>1</v>
      </c>
      <c r="AJ284" t="n" s="2909">
        <v>10</v>
      </c>
      <c r="AP284" t="n" s="2909">
        <v>410000</v>
      </c>
      <c r="DB284" s="2909" t="str">
        <f>IF($A284="","",IF($AH284=20,IF(AND(OR($A284=21,$A284=215),$AJ284=10),"①病院一般",IF(AND($A284=31,$AJ284=41),"②病院短期","対象外")),IF($AJ284=30,"③特定消防",IF(AND(OR($A284=21,$A284=215),$AJ284=10),"④一般",IF(AND($A284=31,$AJ284=41),"⑤短期","対象外")))))</f>
        <v>④一般</v>
      </c>
      <c r="DC284" s="2909">
        <f>IF($A284="","",IF($AB284&amp;""='DB_設定'!$C$4,1,0))</f>
        <v>1</v>
      </c>
    </row>
    <row r="285">
      <c r="A285" t="n" s="2909">
        <v>21</v>
      </c>
      <c r="AA285" t="n" s="2909">
        <v>21</v>
      </c>
      <c r="AB285" t="inlineStr" s="2909">
        <is>
          <t>20250401</t>
        </is>
      </c>
      <c r="AD285" t="n" s="2909">
        <v>0</v>
      </c>
      <c r="AE285" t="inlineStr" s="2909">
        <is>
          <t>00000000</t>
        </is>
      </c>
      <c r="AH285" t="n" s="2909">
        <v>1</v>
      </c>
      <c r="AJ285" t="n" s="2909">
        <v>10</v>
      </c>
      <c r="AP285" t="n" s="2909">
        <v>300000</v>
      </c>
      <c r="DB285" s="2909" t="str">
        <f>IF($A285="","",IF($AH285=20,IF(AND(OR($A285=21,$A285=215),$AJ285=10),"①病院一般",IF(AND($A285=31,$AJ285=41),"②病院短期","対象外")),IF($AJ285=30,"③特定消防",IF(AND(OR($A285=21,$A285=215),$AJ285=10),"④一般",IF(AND($A285=31,$AJ285=41),"⑤短期","対象外")))))</f>
        <v>④一般</v>
      </c>
      <c r="DC285" s="2909">
        <f>IF($A285="","",IF($AB285&amp;""='DB_設定'!$C$4,1,0))</f>
        <v>1</v>
      </c>
    </row>
    <row r="286">
      <c r="A286" t="n" s="2909">
        <v>21</v>
      </c>
      <c r="AA286" t="n" s="2909">
        <v>21</v>
      </c>
      <c r="AB286" t="inlineStr" s="2909">
        <is>
          <t>20250401</t>
        </is>
      </c>
      <c r="AD286" t="n" s="2909">
        <v>0</v>
      </c>
      <c r="AE286" t="inlineStr" s="2909">
        <is>
          <t>00000000</t>
        </is>
      </c>
      <c r="AH286" t="n" s="2909">
        <v>1</v>
      </c>
      <c r="AJ286" t="n" s="2909">
        <v>10</v>
      </c>
      <c r="AP286" t="n" s="2909">
        <v>300000</v>
      </c>
      <c r="DB286" s="2909" t="str">
        <f>IF($A286="","",IF($AH286=20,IF(AND(OR($A286=21,$A286=215),$AJ286=10),"①病院一般",IF(AND($A286=31,$AJ286=41),"②病院短期","対象外")),IF($AJ286=30,"③特定消防",IF(AND(OR($A286=21,$A286=215),$AJ286=10),"④一般",IF(AND($A286=31,$AJ286=41),"⑤短期","対象外")))))</f>
        <v>④一般</v>
      </c>
      <c r="DC286" s="2909">
        <f>IF($A286="","",IF($AB286&amp;""='DB_設定'!$C$4,1,0))</f>
        <v>1</v>
      </c>
    </row>
    <row r="287">
      <c r="A287" t="n" s="2909">
        <v>21</v>
      </c>
      <c r="AA287" t="n" s="2909">
        <v>21</v>
      </c>
      <c r="AB287" t="inlineStr" s="2909">
        <is>
          <t>20250401</t>
        </is>
      </c>
      <c r="AD287" t="n" s="2909">
        <v>0</v>
      </c>
      <c r="AE287" t="inlineStr" s="2909">
        <is>
          <t>00000000</t>
        </is>
      </c>
      <c r="AH287" t="n" s="2909">
        <v>1</v>
      </c>
      <c r="AJ287" t="n" s="2909">
        <v>10</v>
      </c>
      <c r="AP287" t="n" s="2909">
        <v>280000</v>
      </c>
      <c r="DB287" s="2909" t="str">
        <f>IF($A287="","",IF($AH287=20,IF(AND(OR($A287=21,$A287=215),$AJ287=10),"①病院一般",IF(AND($A287=31,$AJ287=41),"②病院短期","対象外")),IF($AJ287=30,"③特定消防",IF(AND(OR($A287=21,$A287=215),$AJ287=10),"④一般",IF(AND($A287=31,$AJ287=41),"⑤短期","対象外")))))</f>
        <v>④一般</v>
      </c>
      <c r="DC287" s="2909">
        <f>IF($A287="","",IF($AB287&amp;""='DB_設定'!$C$4,1,0))</f>
        <v>1</v>
      </c>
    </row>
    <row r="288">
      <c r="A288" t="n" s="2909">
        <v>21</v>
      </c>
      <c r="AA288" t="n" s="2909">
        <v>21</v>
      </c>
      <c r="AB288" t="inlineStr" s="2909">
        <is>
          <t>20250401</t>
        </is>
      </c>
      <c r="AD288" t="n" s="2909">
        <v>0</v>
      </c>
      <c r="AE288" t="inlineStr" s="2909">
        <is>
          <t>00000000</t>
        </is>
      </c>
      <c r="AH288" t="n" s="2909">
        <v>1</v>
      </c>
      <c r="AJ288" t="n" s="2909">
        <v>10</v>
      </c>
      <c r="AP288" t="n" s="2909">
        <v>300000</v>
      </c>
      <c r="DB288" s="2909" t="str">
        <f>IF($A288="","",IF($AH288=20,IF(AND(OR($A288=21,$A288=215),$AJ288=10),"①病院一般",IF(AND($A288=31,$AJ288=41),"②病院短期","対象外")),IF($AJ288=30,"③特定消防",IF(AND(OR($A288=21,$A288=215),$AJ288=10),"④一般",IF(AND($A288=31,$AJ288=41),"⑤短期","対象外")))))</f>
        <v>④一般</v>
      </c>
      <c r="DC288" s="2909">
        <f>IF($A288="","",IF($AB288&amp;""='DB_設定'!$C$4,1,0))</f>
        <v>1</v>
      </c>
    </row>
    <row r="289">
      <c r="A289" t="n" s="2909">
        <v>21</v>
      </c>
      <c r="AA289" t="n" s="2909">
        <v>21</v>
      </c>
      <c r="AB289" t="inlineStr" s="2909">
        <is>
          <t>20250401</t>
        </is>
      </c>
      <c r="AD289" t="n" s="2909">
        <v>0</v>
      </c>
      <c r="AE289" t="inlineStr" s="2909">
        <is>
          <t>00000000</t>
        </is>
      </c>
      <c r="AH289" t="n" s="2909">
        <v>3</v>
      </c>
      <c r="AJ289" t="n" s="2909">
        <v>10</v>
      </c>
      <c r="AP289" t="n" s="2909">
        <v>320000</v>
      </c>
      <c r="DB289" s="2909" t="str">
        <f>IF($A289="","",IF($AH289=20,IF(AND(OR($A289=21,$A289=215),$AJ289=10),"①病院一般",IF(AND($A289=31,$AJ289=41),"②病院短期","対象外")),IF($AJ289=30,"③特定消防",IF(AND(OR($A289=21,$A289=215),$AJ289=10),"④一般",IF(AND($A289=31,$AJ289=41),"⑤短期","対象外")))))</f>
        <v>④一般</v>
      </c>
      <c r="DC289" s="2909">
        <f>IF($A289="","",IF($AB289&amp;""='DB_設定'!$C$4,1,0))</f>
        <v>1</v>
      </c>
    </row>
    <row r="290">
      <c r="A290" t="n" s="2909">
        <v>21</v>
      </c>
      <c r="AA290" t="n" s="2909">
        <v>21</v>
      </c>
      <c r="AB290" t="inlineStr" s="2909">
        <is>
          <t>20250401</t>
        </is>
      </c>
      <c r="AD290" t="n" s="2909">
        <v>0</v>
      </c>
      <c r="AE290" t="inlineStr" s="2909">
        <is>
          <t>00000000</t>
        </is>
      </c>
      <c r="AH290" t="n" s="2909">
        <v>1</v>
      </c>
      <c r="AJ290" t="n" s="2909">
        <v>10</v>
      </c>
      <c r="AP290" t="n" s="2909">
        <v>320000</v>
      </c>
      <c r="DB290" s="2909" t="str">
        <f>IF($A290="","",IF($AH290=20,IF(AND(OR($A290=21,$A290=215),$AJ290=10),"①病院一般",IF(AND($A290=31,$AJ290=41),"②病院短期","対象外")),IF($AJ290=30,"③特定消防",IF(AND(OR($A290=21,$A290=215),$AJ290=10),"④一般",IF(AND($A290=31,$AJ290=41),"⑤短期","対象外")))))</f>
        <v>④一般</v>
      </c>
      <c r="DC290" s="2909">
        <f>IF($A290="","",IF($AB290&amp;""='DB_設定'!$C$4,1,0))</f>
        <v>1</v>
      </c>
    </row>
    <row r="291">
      <c r="A291" t="n" s="2909">
        <v>21</v>
      </c>
      <c r="AA291" t="n" s="2909">
        <v>21</v>
      </c>
      <c r="AB291" t="inlineStr" s="2909">
        <is>
          <t>20250401</t>
        </is>
      </c>
      <c r="AD291" t="n" s="2909">
        <v>0</v>
      </c>
      <c r="AE291" t="inlineStr" s="2909">
        <is>
          <t>00000000</t>
        </is>
      </c>
      <c r="AH291" t="n" s="2909">
        <v>21</v>
      </c>
      <c r="AJ291" t="n" s="2909">
        <v>74</v>
      </c>
      <c r="AP291" t="n" s="2909">
        <v>340000</v>
      </c>
      <c r="DB291" s="2909" t="str">
        <f>IF($A291="","",IF($AH291=20,IF(AND(OR($A291=21,$A291=215),$AJ291=10),"①病院一般",IF(AND($A291=31,$AJ291=41),"②病院短期","対象外")),IF($AJ291=30,"③特定消防",IF(AND(OR($A291=21,$A291=215),$AJ291=10),"④一般",IF(AND($A291=31,$AJ291=41),"⑤短期","対象外")))))</f>
        <v>対象外</v>
      </c>
      <c r="DC291" s="2909">
        <f>IF($A291="","",IF($AB291&amp;""='DB_設定'!$C$4,1,0))</f>
        <v>1</v>
      </c>
    </row>
    <row r="292">
      <c r="A292" t="n" s="2909">
        <v>21</v>
      </c>
      <c r="AA292" t="n" s="2909">
        <v>21</v>
      </c>
      <c r="AB292" t="inlineStr" s="2909">
        <is>
          <t>20250401</t>
        </is>
      </c>
      <c r="AD292" t="n" s="2909">
        <v>0</v>
      </c>
      <c r="AE292" t="inlineStr" s="2909">
        <is>
          <t>00000000</t>
        </is>
      </c>
      <c r="AH292" t="n" s="2909">
        <v>1</v>
      </c>
      <c r="AJ292" t="n" s="2909">
        <v>10</v>
      </c>
      <c r="AP292" t="n" s="2909">
        <v>340000</v>
      </c>
      <c r="DB292" s="2909" t="str">
        <f>IF($A292="","",IF($AH292=20,IF(AND(OR($A292=21,$A292=215),$AJ292=10),"①病院一般",IF(AND($A292=31,$AJ292=41),"②病院短期","対象外")),IF($AJ292=30,"③特定消防",IF(AND(OR($A292=21,$A292=215),$AJ292=10),"④一般",IF(AND($A292=31,$AJ292=41),"⑤短期","対象外")))))</f>
        <v>④一般</v>
      </c>
      <c r="DC292" s="2909">
        <f>IF($A292="","",IF($AB292&amp;""='DB_設定'!$C$4,1,0))</f>
        <v>1</v>
      </c>
    </row>
    <row r="293">
      <c r="A293" t="n" s="2909">
        <v>21</v>
      </c>
      <c r="AA293" t="n" s="2909">
        <v>21</v>
      </c>
      <c r="AB293" t="inlineStr" s="2909">
        <is>
          <t>20250401</t>
        </is>
      </c>
      <c r="AD293" t="n" s="2909">
        <v>0</v>
      </c>
      <c r="AE293" t="inlineStr" s="2909">
        <is>
          <t>00000000</t>
        </is>
      </c>
      <c r="AH293" t="n" s="2909">
        <v>1</v>
      </c>
      <c r="AJ293" t="n" s="2909">
        <v>10</v>
      </c>
      <c r="AP293" t="n" s="2909">
        <v>300000</v>
      </c>
      <c r="DB293" s="2909" t="str">
        <f>IF($A293="","",IF($AH293=20,IF(AND(OR($A293=21,$A293=215),$AJ293=10),"①病院一般",IF(AND($A293=31,$AJ293=41),"②病院短期","対象外")),IF($AJ293=30,"③特定消防",IF(AND(OR($A293=21,$A293=215),$AJ293=10),"④一般",IF(AND($A293=31,$AJ293=41),"⑤短期","対象外")))))</f>
        <v>④一般</v>
      </c>
      <c r="DC293" s="2909">
        <f>IF($A293="","",IF($AB293&amp;""='DB_設定'!$C$4,1,0))</f>
        <v>1</v>
      </c>
    </row>
    <row r="294">
      <c r="A294" t="n" s="2909">
        <v>21</v>
      </c>
      <c r="AA294" t="n" s="2909">
        <v>21</v>
      </c>
      <c r="AB294" t="inlineStr" s="2909">
        <is>
          <t>20250401</t>
        </is>
      </c>
      <c r="AD294" t="n" s="2909">
        <v>0</v>
      </c>
      <c r="AE294" t="inlineStr" s="2909">
        <is>
          <t>00000000</t>
        </is>
      </c>
      <c r="AH294" t="n" s="2909">
        <v>1</v>
      </c>
      <c r="AJ294" t="n" s="2909">
        <v>10</v>
      </c>
      <c r="AP294" t="n" s="2909">
        <v>320000</v>
      </c>
      <c r="DB294" s="2909" t="str">
        <f>IF($A294="","",IF($AH294=20,IF(AND(OR($A294=21,$A294=215),$AJ294=10),"①病院一般",IF(AND($A294=31,$AJ294=41),"②病院短期","対象外")),IF($AJ294=30,"③特定消防",IF(AND(OR($A294=21,$A294=215),$AJ294=10),"④一般",IF(AND($A294=31,$AJ294=41),"⑤短期","対象外")))))</f>
        <v>④一般</v>
      </c>
      <c r="DC294" s="2909">
        <f>IF($A294="","",IF($AB294&amp;""='DB_設定'!$C$4,1,0))</f>
        <v>1</v>
      </c>
    </row>
    <row r="295">
      <c r="A295" t="n" s="2909">
        <v>21</v>
      </c>
      <c r="AA295" t="n" s="2909">
        <v>21</v>
      </c>
      <c r="AB295" t="inlineStr" s="2909">
        <is>
          <t>20250401</t>
        </is>
      </c>
      <c r="AD295" t="n" s="2909">
        <v>0</v>
      </c>
      <c r="AE295" t="inlineStr" s="2909">
        <is>
          <t>00000000</t>
        </is>
      </c>
      <c r="AH295" t="n" s="2909">
        <v>1</v>
      </c>
      <c r="AJ295" t="n" s="2909">
        <v>10</v>
      </c>
      <c r="AP295" t="n" s="2909">
        <v>320000</v>
      </c>
      <c r="DB295" s="2909" t="str">
        <f>IF($A295="","",IF($AH295=20,IF(AND(OR($A295=21,$A295=215),$AJ295=10),"①病院一般",IF(AND($A295=31,$AJ295=41),"②病院短期","対象外")),IF($AJ295=30,"③特定消防",IF(AND(OR($A295=21,$A295=215),$AJ295=10),"④一般",IF(AND($A295=31,$AJ295=41),"⑤短期","対象外")))))</f>
        <v>④一般</v>
      </c>
      <c r="DC295" s="2909">
        <f>IF($A295="","",IF($AB295&amp;""='DB_設定'!$C$4,1,0))</f>
        <v>1</v>
      </c>
    </row>
    <row r="296">
      <c r="A296" t="n" s="2909">
        <v>21</v>
      </c>
      <c r="AA296" t="n" s="2909">
        <v>21</v>
      </c>
      <c r="AB296" t="inlineStr" s="2909">
        <is>
          <t>20250401</t>
        </is>
      </c>
      <c r="AD296" t="n" s="2909">
        <v>0</v>
      </c>
      <c r="AE296" t="inlineStr" s="2909">
        <is>
          <t>00000000</t>
        </is>
      </c>
      <c r="AH296" t="n" s="2909">
        <v>11</v>
      </c>
      <c r="AJ296" t="n" s="2909">
        <v>10</v>
      </c>
      <c r="AP296" t="n" s="2909">
        <v>360000</v>
      </c>
      <c r="DB296" s="2909" t="str">
        <f>IF($A296="","",IF($AH296=20,IF(AND(OR($A296=21,$A296=215),$AJ296=10),"①病院一般",IF(AND($A296=31,$AJ296=41),"②病院短期","対象外")),IF($AJ296=30,"③特定消防",IF(AND(OR($A296=21,$A296=215),$AJ296=10),"④一般",IF(AND($A296=31,$AJ296=41),"⑤短期","対象外")))))</f>
        <v>④一般</v>
      </c>
      <c r="DC296" s="2909">
        <f>IF($A296="","",IF($AB296&amp;""='DB_設定'!$C$4,1,0))</f>
        <v>1</v>
      </c>
    </row>
    <row r="297">
      <c r="A297" t="n" s="2909">
        <v>21</v>
      </c>
      <c r="AA297" t="n" s="2909">
        <v>21</v>
      </c>
      <c r="AB297" t="inlineStr" s="2909">
        <is>
          <t>20250401</t>
        </is>
      </c>
      <c r="AD297" t="n" s="2909">
        <v>0</v>
      </c>
      <c r="AE297" t="inlineStr" s="2909">
        <is>
          <t>00000000</t>
        </is>
      </c>
      <c r="AH297" t="n" s="2909">
        <v>1</v>
      </c>
      <c r="AJ297" t="n" s="2909">
        <v>10</v>
      </c>
      <c r="AP297" t="n" s="2909">
        <v>440000</v>
      </c>
      <c r="DB297" s="2909" t="str">
        <f>IF($A297="","",IF($AH297=20,IF(AND(OR($A297=21,$A297=215),$AJ297=10),"①病院一般",IF(AND($A297=31,$AJ297=41),"②病院短期","対象外")),IF($AJ297=30,"③特定消防",IF(AND(OR($A297=21,$A297=215),$AJ297=10),"④一般",IF(AND($A297=31,$AJ297=41),"⑤短期","対象外")))))</f>
        <v>④一般</v>
      </c>
      <c r="DC297" s="2909">
        <f>IF($A297="","",IF($AB297&amp;""='DB_設定'!$C$4,1,0))</f>
        <v>1</v>
      </c>
    </row>
    <row r="298">
      <c r="A298" t="n" s="2909">
        <v>21</v>
      </c>
      <c r="AA298" t="n" s="2909">
        <v>21</v>
      </c>
      <c r="AB298" t="inlineStr" s="2909">
        <is>
          <t>20250401</t>
        </is>
      </c>
      <c r="AD298" t="n" s="2909">
        <v>0</v>
      </c>
      <c r="AE298" t="inlineStr" s="2909">
        <is>
          <t>00000000</t>
        </is>
      </c>
      <c r="AH298" t="n" s="2909">
        <v>1</v>
      </c>
      <c r="AJ298" t="n" s="2909">
        <v>10</v>
      </c>
      <c r="AP298" t="n" s="2909">
        <v>320000</v>
      </c>
      <c r="DB298" s="2909" t="str">
        <f>IF($A298="","",IF($AH298=20,IF(AND(OR($A298=21,$A298=215),$AJ298=10),"①病院一般",IF(AND($A298=31,$AJ298=41),"②病院短期","対象外")),IF($AJ298=30,"③特定消防",IF(AND(OR($A298=21,$A298=215),$AJ298=10),"④一般",IF(AND($A298=31,$AJ298=41),"⑤短期","対象外")))))</f>
        <v>④一般</v>
      </c>
      <c r="DC298" s="2909">
        <f>IF($A298="","",IF($AB298&amp;""='DB_設定'!$C$4,1,0))</f>
        <v>1</v>
      </c>
    </row>
    <row r="299">
      <c r="A299" t="n" s="2909">
        <v>21</v>
      </c>
      <c r="AA299" t="n" s="2909">
        <v>21</v>
      </c>
      <c r="AB299" t="inlineStr" s="2909">
        <is>
          <t>20250401</t>
        </is>
      </c>
      <c r="AD299" t="n" s="2909">
        <v>0</v>
      </c>
      <c r="AE299" t="inlineStr" s="2909">
        <is>
          <t>00000000</t>
        </is>
      </c>
      <c r="AH299" t="n" s="2909">
        <v>1</v>
      </c>
      <c r="AJ299" t="n" s="2909">
        <v>10</v>
      </c>
      <c r="AP299" t="n" s="2909">
        <v>300000</v>
      </c>
      <c r="DB299" s="2909" t="str">
        <f>IF($A299="","",IF($AH299=20,IF(AND(OR($A299=21,$A299=215),$AJ299=10),"①病院一般",IF(AND($A299=31,$AJ299=41),"②病院短期","対象外")),IF($AJ299=30,"③特定消防",IF(AND(OR($A299=21,$A299=215),$AJ299=10),"④一般",IF(AND($A299=31,$AJ299=41),"⑤短期","対象外")))))</f>
        <v>④一般</v>
      </c>
      <c r="DC299" s="2909">
        <f>IF($A299="","",IF($AB299&amp;""='DB_設定'!$C$4,1,0))</f>
        <v>1</v>
      </c>
    </row>
    <row r="300">
      <c r="A300" t="n" s="2909">
        <v>21</v>
      </c>
      <c r="AA300" t="n" s="2909">
        <v>21</v>
      </c>
      <c r="AB300" t="inlineStr" s="2909">
        <is>
          <t>20250401</t>
        </is>
      </c>
      <c r="AD300" t="n" s="2909">
        <v>0</v>
      </c>
      <c r="AE300" t="inlineStr" s="2909">
        <is>
          <t>00000000</t>
        </is>
      </c>
      <c r="AH300" t="n" s="2909">
        <v>1</v>
      </c>
      <c r="AJ300" t="n" s="2909">
        <v>10</v>
      </c>
      <c r="AP300" t="n" s="2909">
        <v>360000</v>
      </c>
      <c r="DB300" s="2909" t="str">
        <f>IF($A300="","",IF($AH300=20,IF(AND(OR($A300=21,$A300=215),$AJ300=10),"①病院一般",IF(AND($A300=31,$AJ300=41),"②病院短期","対象外")),IF($AJ300=30,"③特定消防",IF(AND(OR($A300=21,$A300=215),$AJ300=10),"④一般",IF(AND($A300=31,$AJ300=41),"⑤短期","対象外")))))</f>
        <v>④一般</v>
      </c>
      <c r="DC300" s="2909">
        <f>IF($A300="","",IF($AB300&amp;""='DB_設定'!$C$4,1,0))</f>
        <v>1</v>
      </c>
    </row>
    <row r="301">
      <c r="A301" t="n" s="2909">
        <v>21</v>
      </c>
      <c r="AA301" t="n" s="2909">
        <v>21</v>
      </c>
      <c r="AB301" t="inlineStr" s="2909">
        <is>
          <t>20250401</t>
        </is>
      </c>
      <c r="AD301" t="n" s="2909">
        <v>0</v>
      </c>
      <c r="AE301" t="inlineStr" s="2909">
        <is>
          <t>00000000</t>
        </is>
      </c>
      <c r="AH301" t="n" s="2909">
        <v>1</v>
      </c>
      <c r="AJ301" t="n" s="2909">
        <v>10</v>
      </c>
      <c r="AP301" t="n" s="2909">
        <v>320000</v>
      </c>
      <c r="DB301" s="2909" t="str">
        <f>IF($A301="","",IF($AH301=20,IF(AND(OR($A301=21,$A301=215),$AJ301=10),"①病院一般",IF(AND($A301=31,$AJ301=41),"②病院短期","対象外")),IF($AJ301=30,"③特定消防",IF(AND(OR($A301=21,$A301=215),$AJ301=10),"④一般",IF(AND($A301=31,$AJ301=41),"⑤短期","対象外")))))</f>
        <v>④一般</v>
      </c>
      <c r="DC301" s="2909">
        <f>IF($A301="","",IF($AB301&amp;""='DB_設定'!$C$4,1,0))</f>
        <v>1</v>
      </c>
    </row>
    <row r="302">
      <c r="A302" t="n" s="2909">
        <v>21</v>
      </c>
      <c r="AA302" t="n" s="2909">
        <v>21</v>
      </c>
      <c r="AB302" t="inlineStr" s="2909">
        <is>
          <t>20250401</t>
        </is>
      </c>
      <c r="AD302" t="n" s="2909">
        <v>0</v>
      </c>
      <c r="AE302" t="inlineStr" s="2909">
        <is>
          <t>00000000</t>
        </is>
      </c>
      <c r="AH302" t="n" s="2909">
        <v>1</v>
      </c>
      <c r="AJ302" t="n" s="2909">
        <v>10</v>
      </c>
      <c r="AP302" t="n" s="2909">
        <v>380000</v>
      </c>
      <c r="DB302" s="2909" t="str">
        <f>IF($A302="","",IF($AH302=20,IF(AND(OR($A302=21,$A302=215),$AJ302=10),"①病院一般",IF(AND($A302=31,$AJ302=41),"②病院短期","対象外")),IF($AJ302=30,"③特定消防",IF(AND(OR($A302=21,$A302=215),$AJ302=10),"④一般",IF(AND($A302=31,$AJ302=41),"⑤短期","対象外")))))</f>
        <v>④一般</v>
      </c>
      <c r="DC302" s="2909">
        <f>IF($A302="","",IF($AB302&amp;""='DB_設定'!$C$4,1,0))</f>
        <v>1</v>
      </c>
    </row>
    <row r="303">
      <c r="A303" t="n" s="2909">
        <v>21</v>
      </c>
      <c r="AA303" t="n" s="2909">
        <v>21</v>
      </c>
      <c r="AB303" t="inlineStr" s="2909">
        <is>
          <t>20250401</t>
        </is>
      </c>
      <c r="AD303" t="n" s="2909">
        <v>0</v>
      </c>
      <c r="AE303" t="inlineStr" s="2909">
        <is>
          <t>00000000</t>
        </is>
      </c>
      <c r="AH303" t="n" s="2909">
        <v>1</v>
      </c>
      <c r="AJ303" t="n" s="2909">
        <v>10</v>
      </c>
      <c r="AP303" t="n" s="2909">
        <v>300000</v>
      </c>
      <c r="DB303" s="2909" t="str">
        <f>IF($A303="","",IF($AH303=20,IF(AND(OR($A303=21,$A303=215),$AJ303=10),"①病院一般",IF(AND($A303=31,$AJ303=41),"②病院短期","対象外")),IF($AJ303=30,"③特定消防",IF(AND(OR($A303=21,$A303=215),$AJ303=10),"④一般",IF(AND($A303=31,$AJ303=41),"⑤短期","対象外")))))</f>
        <v>④一般</v>
      </c>
      <c r="DC303" s="2909">
        <f>IF($A303="","",IF($AB303&amp;""='DB_設定'!$C$4,1,0))</f>
        <v>1</v>
      </c>
    </row>
    <row r="304">
      <c r="A304" t="n" s="2909">
        <v>21</v>
      </c>
      <c r="AA304" t="n" s="2909">
        <v>21</v>
      </c>
      <c r="AB304" t="inlineStr" s="2909">
        <is>
          <t>20250401</t>
        </is>
      </c>
      <c r="AD304" t="n" s="2909">
        <v>0</v>
      </c>
      <c r="AE304" t="inlineStr" s="2909">
        <is>
          <t>00000000</t>
        </is>
      </c>
      <c r="AH304" t="n" s="2909">
        <v>1</v>
      </c>
      <c r="AJ304" t="n" s="2909">
        <v>10</v>
      </c>
      <c r="AP304" t="n" s="2909">
        <v>440000</v>
      </c>
      <c r="DB304" s="2909" t="str">
        <f>IF($A304="","",IF($AH304=20,IF(AND(OR($A304=21,$A304=215),$AJ304=10),"①病院一般",IF(AND($A304=31,$AJ304=41),"②病院短期","対象外")),IF($AJ304=30,"③特定消防",IF(AND(OR($A304=21,$A304=215),$AJ304=10),"④一般",IF(AND($A304=31,$AJ304=41),"⑤短期","対象外")))))</f>
        <v>④一般</v>
      </c>
      <c r="DC304" s="2909">
        <f>IF($A304="","",IF($AB304&amp;""='DB_設定'!$C$4,1,0))</f>
        <v>1</v>
      </c>
    </row>
    <row r="305">
      <c r="A305" t="n" s="2909">
        <v>21</v>
      </c>
      <c r="AA305" t="n" s="2909">
        <v>21</v>
      </c>
      <c r="AB305" t="inlineStr" s="2909">
        <is>
          <t>20250401</t>
        </is>
      </c>
      <c r="AD305" t="n" s="2909">
        <v>0</v>
      </c>
      <c r="AE305" t="inlineStr" s="2909">
        <is>
          <t>00000000</t>
        </is>
      </c>
      <c r="AH305" t="n" s="2909">
        <v>1</v>
      </c>
      <c r="AJ305" t="n" s="2909">
        <v>10</v>
      </c>
      <c r="AP305" t="n" s="2909">
        <v>440000</v>
      </c>
      <c r="DB305" s="2909" t="str">
        <f>IF($A305="","",IF($AH305=20,IF(AND(OR($A305=21,$A305=215),$AJ305=10),"①病院一般",IF(AND($A305=31,$AJ305=41),"②病院短期","対象外")),IF($AJ305=30,"③特定消防",IF(AND(OR($A305=21,$A305=215),$AJ305=10),"④一般",IF(AND($A305=31,$AJ305=41),"⑤短期","対象外")))))</f>
        <v>④一般</v>
      </c>
      <c r="DC305" s="2909">
        <f>IF($A305="","",IF($AB305&amp;""='DB_設定'!$C$4,1,0))</f>
        <v>1</v>
      </c>
    </row>
    <row r="306">
      <c r="A306" t="n" s="2909">
        <v>21</v>
      </c>
      <c r="AA306" t="n" s="2909">
        <v>21</v>
      </c>
      <c r="AB306" t="inlineStr" s="2909">
        <is>
          <t>20250401</t>
        </is>
      </c>
      <c r="AD306" t="n" s="2909">
        <v>0</v>
      </c>
      <c r="AE306" t="inlineStr" s="2909">
        <is>
          <t>00000000</t>
        </is>
      </c>
      <c r="AH306" t="n" s="2909">
        <v>1</v>
      </c>
      <c r="AJ306" t="n" s="2909">
        <v>10</v>
      </c>
      <c r="AP306" t="n" s="2909">
        <v>380000</v>
      </c>
      <c r="DB306" s="2909" t="str">
        <f>IF($A306="","",IF($AH306=20,IF(AND(OR($A306=21,$A306=215),$AJ306=10),"①病院一般",IF(AND($A306=31,$AJ306=41),"②病院短期","対象外")),IF($AJ306=30,"③特定消防",IF(AND(OR($A306=21,$A306=215),$AJ306=10),"④一般",IF(AND($A306=31,$AJ306=41),"⑤短期","対象外")))))</f>
        <v>④一般</v>
      </c>
      <c r="DC306" s="2909">
        <f>IF($A306="","",IF($AB306&amp;""='DB_設定'!$C$4,1,0))</f>
        <v>1</v>
      </c>
    </row>
    <row r="307">
      <c r="A307" t="n" s="2909">
        <v>21</v>
      </c>
      <c r="AA307" t="n" s="2909">
        <v>21</v>
      </c>
      <c r="AB307" t="inlineStr" s="2909">
        <is>
          <t>20250401</t>
        </is>
      </c>
      <c r="AD307" t="n" s="2909">
        <v>0</v>
      </c>
      <c r="AE307" t="inlineStr" s="2909">
        <is>
          <t>00000000</t>
        </is>
      </c>
      <c r="AH307" t="n" s="2909">
        <v>1</v>
      </c>
      <c r="AJ307" t="n" s="2909">
        <v>10</v>
      </c>
      <c r="AP307" t="n" s="2909">
        <v>440000</v>
      </c>
      <c r="DB307" s="2909" t="str">
        <f>IF($A307="","",IF($AH307=20,IF(AND(OR($A307=21,$A307=215),$AJ307=10),"①病院一般",IF(AND($A307=31,$AJ307=41),"②病院短期","対象外")),IF($AJ307=30,"③特定消防",IF(AND(OR($A307=21,$A307=215),$AJ307=10),"④一般",IF(AND($A307=31,$AJ307=41),"⑤短期","対象外")))))</f>
        <v>④一般</v>
      </c>
      <c r="DC307" s="2909">
        <f>IF($A307="","",IF($AB307&amp;""='DB_設定'!$C$4,1,0))</f>
        <v>1</v>
      </c>
    </row>
    <row r="308">
      <c r="A308" t="n" s="2909">
        <v>21</v>
      </c>
      <c r="AA308" t="n" s="2909">
        <v>21</v>
      </c>
      <c r="AB308" t="inlineStr" s="2909">
        <is>
          <t>20250401</t>
        </is>
      </c>
      <c r="AD308" t="n" s="2909">
        <v>0</v>
      </c>
      <c r="AE308" t="inlineStr" s="2909">
        <is>
          <t>00000000</t>
        </is>
      </c>
      <c r="AH308" t="n" s="2909">
        <v>1</v>
      </c>
      <c r="AJ308" t="n" s="2909">
        <v>10</v>
      </c>
      <c r="AP308" t="n" s="2909">
        <v>380000</v>
      </c>
      <c r="DB308" s="2909" t="str">
        <f>IF($A308="","",IF($AH308=20,IF(AND(OR($A308=21,$A308=215),$AJ308=10),"①病院一般",IF(AND($A308=31,$AJ308=41),"②病院短期","対象外")),IF($AJ308=30,"③特定消防",IF(AND(OR($A308=21,$A308=215),$AJ308=10),"④一般",IF(AND($A308=31,$AJ308=41),"⑤短期","対象外")))))</f>
        <v>④一般</v>
      </c>
      <c r="DC308" s="2909">
        <f>IF($A308="","",IF($AB308&amp;""='DB_設定'!$C$4,1,0))</f>
        <v>1</v>
      </c>
    </row>
    <row r="309">
      <c r="A309" t="n" s="2909">
        <v>21</v>
      </c>
      <c r="AA309" t="n" s="2909">
        <v>21</v>
      </c>
      <c r="AB309" t="inlineStr" s="2909">
        <is>
          <t>20250401</t>
        </is>
      </c>
      <c r="AD309" t="n" s="2909">
        <v>0</v>
      </c>
      <c r="AE309" t="inlineStr" s="2909">
        <is>
          <t>00000000</t>
        </is>
      </c>
      <c r="AH309" t="n" s="2909">
        <v>1</v>
      </c>
      <c r="AJ309" t="n" s="2909">
        <v>10</v>
      </c>
      <c r="AP309" t="n" s="2909">
        <v>360000</v>
      </c>
      <c r="DB309" s="2909" t="str">
        <f>IF($A309="","",IF($AH309=20,IF(AND(OR($A309=21,$A309=215),$AJ309=10),"①病院一般",IF(AND($A309=31,$AJ309=41),"②病院短期","対象外")),IF($AJ309=30,"③特定消防",IF(AND(OR($A309=21,$A309=215),$AJ309=10),"④一般",IF(AND($A309=31,$AJ309=41),"⑤短期","対象外")))))</f>
        <v>④一般</v>
      </c>
      <c r="DC309" s="2909">
        <f>IF($A309="","",IF($AB309&amp;""='DB_設定'!$C$4,1,0))</f>
        <v>1</v>
      </c>
    </row>
    <row r="310">
      <c r="A310" t="n" s="2909">
        <v>21</v>
      </c>
      <c r="AA310" t="n" s="2909">
        <v>21</v>
      </c>
      <c r="AB310" t="inlineStr" s="2909">
        <is>
          <t>20250401</t>
        </is>
      </c>
      <c r="AD310" t="n" s="2909">
        <v>0</v>
      </c>
      <c r="AE310" t="inlineStr" s="2909">
        <is>
          <t>00000000</t>
        </is>
      </c>
      <c r="AH310" t="n" s="2909">
        <v>1</v>
      </c>
      <c r="AJ310" t="n" s="2909">
        <v>10</v>
      </c>
      <c r="AP310" t="n" s="2909">
        <v>410000</v>
      </c>
      <c r="DB310" s="2909" t="str">
        <f>IF($A310="","",IF($AH310=20,IF(AND(OR($A310=21,$A310=215),$AJ310=10),"①病院一般",IF(AND($A310=31,$AJ310=41),"②病院短期","対象外")),IF($AJ310=30,"③特定消防",IF(AND(OR($A310=21,$A310=215),$AJ310=10),"④一般",IF(AND($A310=31,$AJ310=41),"⑤短期","対象外")))))</f>
        <v>④一般</v>
      </c>
      <c r="DC310" s="2909">
        <f>IF($A310="","",IF($AB310&amp;""='DB_設定'!$C$4,1,0))</f>
        <v>1</v>
      </c>
    </row>
    <row r="311">
      <c r="A311" t="n" s="2909">
        <v>21</v>
      </c>
      <c r="AA311" t="n" s="2909">
        <v>21</v>
      </c>
      <c r="AB311" t="inlineStr" s="2909">
        <is>
          <t>20250401</t>
        </is>
      </c>
      <c r="AD311" t="n" s="2909">
        <v>0</v>
      </c>
      <c r="AE311" t="inlineStr" s="2909">
        <is>
          <t>00000000</t>
        </is>
      </c>
      <c r="AH311" t="n" s="2909">
        <v>4</v>
      </c>
      <c r="AJ311" t="n" s="2909">
        <v>10</v>
      </c>
      <c r="AP311" t="n" s="2909">
        <v>320000</v>
      </c>
      <c r="DB311" s="2909" t="str">
        <f>IF($A311="","",IF($AH311=20,IF(AND(OR($A311=21,$A311=215),$AJ311=10),"①病院一般",IF(AND($A311=31,$AJ311=41),"②病院短期","対象外")),IF($AJ311=30,"③特定消防",IF(AND(OR($A311=21,$A311=215),$AJ311=10),"④一般",IF(AND($A311=31,$AJ311=41),"⑤短期","対象外")))))</f>
        <v>④一般</v>
      </c>
      <c r="DC311" s="2909">
        <f>IF($A311="","",IF($AB311&amp;""='DB_設定'!$C$4,1,0))</f>
        <v>1</v>
      </c>
    </row>
    <row r="312">
      <c r="A312" t="n" s="2909">
        <v>21</v>
      </c>
      <c r="AA312" t="n" s="2909">
        <v>21</v>
      </c>
      <c r="AB312" t="inlineStr" s="2909">
        <is>
          <t>20250401</t>
        </is>
      </c>
      <c r="AD312" t="n" s="2909">
        <v>0</v>
      </c>
      <c r="AE312" t="inlineStr" s="2909">
        <is>
          <t>00000000</t>
        </is>
      </c>
      <c r="AH312" t="n" s="2909">
        <v>4</v>
      </c>
      <c r="AJ312" t="n" s="2909">
        <v>10</v>
      </c>
      <c r="AP312" t="n" s="2909">
        <v>340000</v>
      </c>
      <c r="DB312" s="2909" t="str">
        <f>IF($A312="","",IF($AH312=20,IF(AND(OR($A312=21,$A312=215),$AJ312=10),"①病院一般",IF(AND($A312=31,$AJ312=41),"②病院短期","対象外")),IF($AJ312=30,"③特定消防",IF(AND(OR($A312=21,$A312=215),$AJ312=10),"④一般",IF(AND($A312=31,$AJ312=41),"⑤短期","対象外")))))</f>
        <v>④一般</v>
      </c>
      <c r="DC312" s="2909">
        <f>IF($A312="","",IF($AB312&amp;""='DB_設定'!$C$4,1,0))</f>
        <v>1</v>
      </c>
    </row>
    <row r="313">
      <c r="A313" t="n" s="2909">
        <v>21</v>
      </c>
      <c r="AA313" t="n" s="2909">
        <v>21</v>
      </c>
      <c r="AB313" t="inlineStr" s="2909">
        <is>
          <t>20250401</t>
        </is>
      </c>
      <c r="AD313" t="n" s="2909">
        <v>0</v>
      </c>
      <c r="AE313" t="inlineStr" s="2909">
        <is>
          <t>00000000</t>
        </is>
      </c>
      <c r="AH313" t="n" s="2909">
        <v>1</v>
      </c>
      <c r="AJ313" t="n" s="2909">
        <v>10</v>
      </c>
      <c r="AP313" t="n" s="2909">
        <v>360000</v>
      </c>
      <c r="DB313" s="2909" t="str">
        <f>IF($A313="","",IF($AH313=20,IF(AND(OR($A313=21,$A313=215),$AJ313=10),"①病院一般",IF(AND($A313=31,$AJ313=41),"②病院短期","対象外")),IF($AJ313=30,"③特定消防",IF(AND(OR($A313=21,$A313=215),$AJ313=10),"④一般",IF(AND($A313=31,$AJ313=41),"⑤短期","対象外")))))</f>
        <v>④一般</v>
      </c>
      <c r="DC313" s="2909">
        <f>IF($A313="","",IF($AB313&amp;""='DB_設定'!$C$4,1,0))</f>
        <v>1</v>
      </c>
    </row>
    <row r="314">
      <c r="A314" t="n" s="2909">
        <v>21</v>
      </c>
      <c r="AA314" t="n" s="2909">
        <v>21</v>
      </c>
      <c r="AB314" t="inlineStr" s="2909">
        <is>
          <t>20250401</t>
        </is>
      </c>
      <c r="AD314" t="n" s="2909">
        <v>0</v>
      </c>
      <c r="AE314" t="inlineStr" s="2909">
        <is>
          <t>00000000</t>
        </is>
      </c>
      <c r="AH314" t="n" s="2909">
        <v>1</v>
      </c>
      <c r="AJ314" t="n" s="2909">
        <v>10</v>
      </c>
      <c r="AP314" t="n" s="2909">
        <v>380000</v>
      </c>
      <c r="DB314" s="2909" t="str">
        <f>IF($A314="","",IF($AH314=20,IF(AND(OR($A314=21,$A314=215),$AJ314=10),"①病院一般",IF(AND($A314=31,$AJ314=41),"②病院短期","対象外")),IF($AJ314=30,"③特定消防",IF(AND(OR($A314=21,$A314=215),$AJ314=10),"④一般",IF(AND($A314=31,$AJ314=41),"⑤短期","対象外")))))</f>
        <v>④一般</v>
      </c>
      <c r="DC314" s="2909">
        <f>IF($A314="","",IF($AB314&amp;""='DB_設定'!$C$4,1,0))</f>
        <v>1</v>
      </c>
    </row>
    <row r="315">
      <c r="A315" t="n" s="2909">
        <v>21</v>
      </c>
      <c r="AA315" t="n" s="2909">
        <v>21</v>
      </c>
      <c r="AB315" t="inlineStr" s="2909">
        <is>
          <t>20250401</t>
        </is>
      </c>
      <c r="AD315" t="n" s="2909">
        <v>0</v>
      </c>
      <c r="AE315" t="inlineStr" s="2909">
        <is>
          <t>00000000</t>
        </is>
      </c>
      <c r="AH315" t="n" s="2909">
        <v>4</v>
      </c>
      <c r="AJ315" t="n" s="2909">
        <v>10</v>
      </c>
      <c r="AP315" t="n" s="2909">
        <v>360000</v>
      </c>
      <c r="DB315" s="2909" t="str">
        <f>IF($A315="","",IF($AH315=20,IF(AND(OR($A315=21,$A315=215),$AJ315=10),"①病院一般",IF(AND($A315=31,$AJ315=41),"②病院短期","対象外")),IF($AJ315=30,"③特定消防",IF(AND(OR($A315=21,$A315=215),$AJ315=10),"④一般",IF(AND($A315=31,$AJ315=41),"⑤短期","対象外")))))</f>
        <v>④一般</v>
      </c>
      <c r="DC315" s="2909">
        <f>IF($A315="","",IF($AB315&amp;""='DB_設定'!$C$4,1,0))</f>
        <v>1</v>
      </c>
    </row>
    <row r="316">
      <c r="A316" t="n" s="2909">
        <v>21</v>
      </c>
      <c r="AA316" t="n" s="2909">
        <v>21</v>
      </c>
      <c r="AB316" t="inlineStr" s="2909">
        <is>
          <t>20250401</t>
        </is>
      </c>
      <c r="AD316" t="n" s="2909">
        <v>0</v>
      </c>
      <c r="AE316" t="inlineStr" s="2909">
        <is>
          <t>00000000</t>
        </is>
      </c>
      <c r="AH316" t="n" s="2909">
        <v>4</v>
      </c>
      <c r="AJ316" t="n" s="2909">
        <v>10</v>
      </c>
      <c r="AP316" t="n" s="2909">
        <v>320000</v>
      </c>
      <c r="DB316" s="2909" t="str">
        <f>IF($A316="","",IF($AH316=20,IF(AND(OR($A316=21,$A316=215),$AJ316=10),"①病院一般",IF(AND($A316=31,$AJ316=41),"②病院短期","対象外")),IF($AJ316=30,"③特定消防",IF(AND(OR($A316=21,$A316=215),$AJ316=10),"④一般",IF(AND($A316=31,$AJ316=41),"⑤短期","対象外")))))</f>
        <v>④一般</v>
      </c>
      <c r="DC316" s="2909">
        <f>IF($A316="","",IF($AB316&amp;""='DB_設定'!$C$4,1,0))</f>
        <v>1</v>
      </c>
    </row>
    <row r="317">
      <c r="A317" t="n" s="2909">
        <v>21</v>
      </c>
      <c r="AA317" t="n" s="2909">
        <v>21</v>
      </c>
      <c r="AB317" t="inlineStr" s="2909">
        <is>
          <t>20250401</t>
        </is>
      </c>
      <c r="AD317" t="n" s="2909">
        <v>0</v>
      </c>
      <c r="AE317" t="inlineStr" s="2909">
        <is>
          <t>00000000</t>
        </is>
      </c>
      <c r="AH317" t="n" s="2909">
        <v>4</v>
      </c>
      <c r="AJ317" t="n" s="2909">
        <v>10</v>
      </c>
      <c r="AP317" t="n" s="2909">
        <v>320000</v>
      </c>
      <c r="DB317" s="2909" t="str">
        <f>IF($A317="","",IF($AH317=20,IF(AND(OR($A317=21,$A317=215),$AJ317=10),"①病院一般",IF(AND($A317=31,$AJ317=41),"②病院短期","対象外")),IF($AJ317=30,"③特定消防",IF(AND(OR($A317=21,$A317=215),$AJ317=10),"④一般",IF(AND($A317=31,$AJ317=41),"⑤短期","対象外")))))</f>
        <v>④一般</v>
      </c>
      <c r="DC317" s="2909">
        <f>IF($A317="","",IF($AB317&amp;""='DB_設定'!$C$4,1,0))</f>
        <v>1</v>
      </c>
    </row>
    <row r="318">
      <c r="A318" t="n" s="2909">
        <v>21</v>
      </c>
      <c r="AA318" t="n" s="2909">
        <v>21</v>
      </c>
      <c r="AB318" t="inlineStr" s="2909">
        <is>
          <t>20250401</t>
        </is>
      </c>
      <c r="AD318" t="n" s="2909">
        <v>0</v>
      </c>
      <c r="AE318" t="inlineStr" s="2909">
        <is>
          <t>00000000</t>
        </is>
      </c>
      <c r="AH318" t="n" s="2909">
        <v>1</v>
      </c>
      <c r="AJ318" t="n" s="2909">
        <v>10</v>
      </c>
      <c r="AP318" t="n" s="2909">
        <v>320000</v>
      </c>
      <c r="DB318" s="2909" t="str">
        <f>IF($A318="","",IF($AH318=20,IF(AND(OR($A318=21,$A318=215),$AJ318=10),"①病院一般",IF(AND($A318=31,$AJ318=41),"②病院短期","対象外")),IF($AJ318=30,"③特定消防",IF(AND(OR($A318=21,$A318=215),$AJ318=10),"④一般",IF(AND($A318=31,$AJ318=41),"⑤短期","対象外")))))</f>
        <v>④一般</v>
      </c>
      <c r="DC318" s="2909">
        <f>IF($A318="","",IF($AB318&amp;""='DB_設定'!$C$4,1,0))</f>
        <v>1</v>
      </c>
    </row>
    <row r="319">
      <c r="A319" t="n" s="2909">
        <v>21</v>
      </c>
      <c r="AA319" t="n" s="2909">
        <v>21</v>
      </c>
      <c r="AB319" t="inlineStr" s="2909">
        <is>
          <t>20250401</t>
        </is>
      </c>
      <c r="AD319" t="n" s="2909">
        <v>0</v>
      </c>
      <c r="AE319" t="inlineStr" s="2909">
        <is>
          <t>00000000</t>
        </is>
      </c>
      <c r="AH319" t="n" s="2909">
        <v>4</v>
      </c>
      <c r="AJ319" t="n" s="2909">
        <v>10</v>
      </c>
      <c r="AP319" t="n" s="2909">
        <v>280000</v>
      </c>
      <c r="DB319" s="2909" t="str">
        <f>IF($A319="","",IF($AH319=20,IF(AND(OR($A319=21,$A319=215),$AJ319=10),"①病院一般",IF(AND($A319=31,$AJ319=41),"②病院短期","対象外")),IF($AJ319=30,"③特定消防",IF(AND(OR($A319=21,$A319=215),$AJ319=10),"④一般",IF(AND($A319=31,$AJ319=41),"⑤短期","対象外")))))</f>
        <v>④一般</v>
      </c>
      <c r="DC319" s="2909">
        <f>IF($A319="","",IF($AB319&amp;""='DB_設定'!$C$4,1,0))</f>
        <v>1</v>
      </c>
    </row>
    <row r="320">
      <c r="A320" t="n" s="2909">
        <v>21</v>
      </c>
      <c r="AA320" t="n" s="2909">
        <v>21</v>
      </c>
      <c r="AB320" t="inlineStr" s="2909">
        <is>
          <t>20250401</t>
        </is>
      </c>
      <c r="AD320" t="n" s="2909">
        <v>0</v>
      </c>
      <c r="AE320" t="inlineStr" s="2909">
        <is>
          <t>00000000</t>
        </is>
      </c>
      <c r="AH320" t="n" s="2909">
        <v>1</v>
      </c>
      <c r="AJ320" t="n" s="2909">
        <v>10</v>
      </c>
      <c r="AP320" t="n" s="2909">
        <v>340000</v>
      </c>
      <c r="DB320" s="2909" t="str">
        <f>IF($A320="","",IF($AH320=20,IF(AND(OR($A320=21,$A320=215),$AJ320=10),"①病院一般",IF(AND($A320=31,$AJ320=41),"②病院短期","対象外")),IF($AJ320=30,"③特定消防",IF(AND(OR($A320=21,$A320=215),$AJ320=10),"④一般",IF(AND($A320=31,$AJ320=41),"⑤短期","対象外")))))</f>
        <v>④一般</v>
      </c>
      <c r="DC320" s="2909">
        <f>IF($A320="","",IF($AB320&amp;""='DB_設定'!$C$4,1,0))</f>
        <v>1</v>
      </c>
    </row>
    <row r="321">
      <c r="A321" t="n" s="2909">
        <v>21</v>
      </c>
      <c r="AA321" t="n" s="2909">
        <v>21</v>
      </c>
      <c r="AB321" t="inlineStr" s="2909">
        <is>
          <t>20250401</t>
        </is>
      </c>
      <c r="AD321" t="n" s="2909">
        <v>0</v>
      </c>
      <c r="AE321" t="inlineStr" s="2909">
        <is>
          <t>00000000</t>
        </is>
      </c>
      <c r="AH321" t="n" s="2909">
        <v>1</v>
      </c>
      <c r="AJ321" t="n" s="2909">
        <v>10</v>
      </c>
      <c r="AP321" t="n" s="2909">
        <v>280000</v>
      </c>
      <c r="DB321" s="2909" t="str">
        <f>IF($A321="","",IF($AH321=20,IF(AND(OR($A321=21,$A321=215),$AJ321=10),"①病院一般",IF(AND($A321=31,$AJ321=41),"②病院短期","対象外")),IF($AJ321=30,"③特定消防",IF(AND(OR($A321=21,$A321=215),$AJ321=10),"④一般",IF(AND($A321=31,$AJ321=41),"⑤短期","対象外")))))</f>
        <v>④一般</v>
      </c>
      <c r="DC321" s="2909">
        <f>IF($A321="","",IF($AB321&amp;""='DB_設定'!$C$4,1,0))</f>
        <v>1</v>
      </c>
    </row>
    <row r="322">
      <c r="A322" t="n" s="2909">
        <v>21</v>
      </c>
      <c r="AA322" t="n" s="2909">
        <v>21</v>
      </c>
      <c r="AB322" t="inlineStr" s="2909">
        <is>
          <t>20250401</t>
        </is>
      </c>
      <c r="AD322" t="n" s="2909">
        <v>0</v>
      </c>
      <c r="AE322" t="inlineStr" s="2909">
        <is>
          <t>00000000</t>
        </is>
      </c>
      <c r="AH322" t="n" s="2909">
        <v>1</v>
      </c>
      <c r="AJ322" t="n" s="2909">
        <v>10</v>
      </c>
      <c r="AP322" t="n" s="2909">
        <v>360000</v>
      </c>
      <c r="DB322" s="2909" t="str">
        <f>IF($A322="","",IF($AH322=20,IF(AND(OR($A322=21,$A322=215),$AJ322=10),"①病院一般",IF(AND($A322=31,$AJ322=41),"②病院短期","対象外")),IF($AJ322=30,"③特定消防",IF(AND(OR($A322=21,$A322=215),$AJ322=10),"④一般",IF(AND($A322=31,$AJ322=41),"⑤短期","対象外")))))</f>
        <v>④一般</v>
      </c>
      <c r="DC322" s="2909">
        <f>IF($A322="","",IF($AB322&amp;""='DB_設定'!$C$4,1,0))</f>
        <v>1</v>
      </c>
    </row>
    <row r="323">
      <c r="A323" t="n" s="2909">
        <v>21</v>
      </c>
      <c r="AA323" t="n" s="2909">
        <v>21</v>
      </c>
      <c r="AB323" t="inlineStr" s="2909">
        <is>
          <t>20250401</t>
        </is>
      </c>
      <c r="AD323" t="n" s="2909">
        <v>0</v>
      </c>
      <c r="AE323" t="inlineStr" s="2909">
        <is>
          <t>00000000</t>
        </is>
      </c>
      <c r="AH323" t="n" s="2909">
        <v>1</v>
      </c>
      <c r="AJ323" t="n" s="2909">
        <v>10</v>
      </c>
      <c r="AP323" t="n" s="2909">
        <v>320000</v>
      </c>
      <c r="DB323" s="2909" t="str">
        <f>IF($A323="","",IF($AH323=20,IF(AND(OR($A323=21,$A323=215),$AJ323=10),"①病院一般",IF(AND($A323=31,$AJ323=41),"②病院短期","対象外")),IF($AJ323=30,"③特定消防",IF(AND(OR($A323=21,$A323=215),$AJ323=10),"④一般",IF(AND($A323=31,$AJ323=41),"⑤短期","対象外")))))</f>
        <v>④一般</v>
      </c>
      <c r="DC323" s="2909">
        <f>IF($A323="","",IF($AB323&amp;""='DB_設定'!$C$4,1,0))</f>
        <v>1</v>
      </c>
    </row>
    <row r="324">
      <c r="A324" t="n" s="2909">
        <v>21</v>
      </c>
      <c r="AA324" t="n" s="2909">
        <v>21</v>
      </c>
      <c r="AB324" t="inlineStr" s="2909">
        <is>
          <t>20250401</t>
        </is>
      </c>
      <c r="AD324" t="n" s="2909">
        <v>12</v>
      </c>
      <c r="AE324" t="inlineStr" s="2909">
        <is>
          <t>20250501</t>
        </is>
      </c>
      <c r="AH324" t="n" s="2909">
        <v>1</v>
      </c>
      <c r="AJ324" t="n" s="2909">
        <v>10</v>
      </c>
      <c r="AP324" t="n" s="2909">
        <v>340000</v>
      </c>
      <c r="DB324" s="2909" t="str">
        <f>IF($A324="","",IF($AH324=20,IF(AND(OR($A324=21,$A324=215),$AJ324=10),"①病院一般",IF(AND($A324=31,$AJ324=41),"②病院短期","対象外")),IF($AJ324=30,"③特定消防",IF(AND(OR($A324=21,$A324=215),$AJ324=10),"④一般",IF(AND($A324=31,$AJ324=41),"⑤短期","対象外")))))</f>
        <v>④一般</v>
      </c>
      <c r="DC324" s="2909">
        <f>IF($A324="","",IF($AB324&amp;""='DB_設定'!$C$4,1,0))</f>
        <v>1</v>
      </c>
    </row>
    <row r="325">
      <c r="A325" t="n" s="2909">
        <v>21</v>
      </c>
      <c r="AA325" t="n" s="2909">
        <v>21</v>
      </c>
      <c r="AB325" t="inlineStr" s="2909">
        <is>
          <t>20250401</t>
        </is>
      </c>
      <c r="AD325" t="n" s="2909">
        <v>0</v>
      </c>
      <c r="AE325" t="inlineStr" s="2909">
        <is>
          <t>00000000</t>
        </is>
      </c>
      <c r="AH325" t="n" s="2909">
        <v>1</v>
      </c>
      <c r="AJ325" t="n" s="2909">
        <v>10</v>
      </c>
      <c r="AP325" t="n" s="2909">
        <v>340000</v>
      </c>
      <c r="DB325" s="2909" t="str">
        <f>IF($A325="","",IF($AH325=20,IF(AND(OR($A325=21,$A325=215),$AJ325=10),"①病院一般",IF(AND($A325=31,$AJ325=41),"②病院短期","対象外")),IF($AJ325=30,"③特定消防",IF(AND(OR($A325=21,$A325=215),$AJ325=10),"④一般",IF(AND($A325=31,$AJ325=41),"⑤短期","対象外")))))</f>
        <v>④一般</v>
      </c>
      <c r="DC325" s="2909">
        <f>IF($A325="","",IF($AB325&amp;""='DB_設定'!$C$4,1,0))</f>
        <v>1</v>
      </c>
    </row>
    <row r="326">
      <c r="A326" t="n" s="2909">
        <v>21</v>
      </c>
      <c r="AA326" t="n" s="2909">
        <v>21</v>
      </c>
      <c r="AB326" t="inlineStr" s="2909">
        <is>
          <t>20250401</t>
        </is>
      </c>
      <c r="AD326" t="n" s="2909">
        <v>0</v>
      </c>
      <c r="AE326" t="inlineStr" s="2909">
        <is>
          <t>00000000</t>
        </is>
      </c>
      <c r="AH326" t="n" s="2909">
        <v>1</v>
      </c>
      <c r="AJ326" t="n" s="2909">
        <v>10</v>
      </c>
      <c r="AP326" t="n" s="2909">
        <v>320000</v>
      </c>
      <c r="DB326" s="2909" t="str">
        <f>IF($A326="","",IF($AH326=20,IF(AND(OR($A326=21,$A326=215),$AJ326=10),"①病院一般",IF(AND($A326=31,$AJ326=41),"②病院短期","対象外")),IF($AJ326=30,"③特定消防",IF(AND(OR($A326=21,$A326=215),$AJ326=10),"④一般",IF(AND($A326=31,$AJ326=41),"⑤短期","対象外")))))</f>
        <v>④一般</v>
      </c>
      <c r="DC326" s="2909">
        <f>IF($A326="","",IF($AB326&amp;""='DB_設定'!$C$4,1,0))</f>
        <v>1</v>
      </c>
    </row>
    <row r="327">
      <c r="A327" t="n" s="2909">
        <v>21</v>
      </c>
      <c r="AA327" t="n" s="2909">
        <v>21</v>
      </c>
      <c r="AB327" t="inlineStr" s="2909">
        <is>
          <t>20250401</t>
        </is>
      </c>
      <c r="AD327" t="n" s="2909">
        <v>0</v>
      </c>
      <c r="AE327" t="inlineStr" s="2909">
        <is>
          <t>00000000</t>
        </is>
      </c>
      <c r="AH327" t="n" s="2909">
        <v>11</v>
      </c>
      <c r="AJ327" t="n" s="2909">
        <v>10</v>
      </c>
      <c r="AP327" t="n" s="2909">
        <v>320000</v>
      </c>
      <c r="DB327" s="2909" t="str">
        <f>IF($A327="","",IF($AH327=20,IF(AND(OR($A327=21,$A327=215),$AJ327=10),"①病院一般",IF(AND($A327=31,$AJ327=41),"②病院短期","対象外")),IF($AJ327=30,"③特定消防",IF(AND(OR($A327=21,$A327=215),$AJ327=10),"④一般",IF(AND($A327=31,$AJ327=41),"⑤短期","対象外")))))</f>
        <v>④一般</v>
      </c>
      <c r="DC327" s="2909">
        <f>IF($A327="","",IF($AB327&amp;""='DB_設定'!$C$4,1,0))</f>
        <v>1</v>
      </c>
    </row>
    <row r="328">
      <c r="A328" t="n" s="2909">
        <v>21</v>
      </c>
      <c r="AA328" t="n" s="2909">
        <v>21</v>
      </c>
      <c r="AB328" t="inlineStr" s="2909">
        <is>
          <t>20250401</t>
        </is>
      </c>
      <c r="AD328" t="n" s="2909">
        <v>0</v>
      </c>
      <c r="AE328" t="inlineStr" s="2909">
        <is>
          <t>00000000</t>
        </is>
      </c>
      <c r="AH328" t="n" s="2909">
        <v>1</v>
      </c>
      <c r="AJ328" t="n" s="2909">
        <v>10</v>
      </c>
      <c r="AP328" t="n" s="2909">
        <v>320000</v>
      </c>
      <c r="DB328" s="2909" t="str">
        <f>IF($A328="","",IF($AH328=20,IF(AND(OR($A328=21,$A328=215),$AJ328=10),"①病院一般",IF(AND($A328=31,$AJ328=41),"②病院短期","対象外")),IF($AJ328=30,"③特定消防",IF(AND(OR($A328=21,$A328=215),$AJ328=10),"④一般",IF(AND($A328=31,$AJ328=41),"⑤短期","対象外")))))</f>
        <v>④一般</v>
      </c>
      <c r="DC328" s="2909">
        <f>IF($A328="","",IF($AB328&amp;""='DB_設定'!$C$4,1,0))</f>
        <v>1</v>
      </c>
    </row>
    <row r="329">
      <c r="A329" t="n" s="2909">
        <v>21</v>
      </c>
      <c r="AA329" t="n" s="2909">
        <v>21</v>
      </c>
      <c r="AB329" t="inlineStr" s="2909">
        <is>
          <t>20250401</t>
        </is>
      </c>
      <c r="AD329" t="n" s="2909">
        <v>0</v>
      </c>
      <c r="AE329" t="inlineStr" s="2909">
        <is>
          <t>00000000</t>
        </is>
      </c>
      <c r="AH329" t="n" s="2909">
        <v>11</v>
      </c>
      <c r="AJ329" t="n" s="2909">
        <v>10</v>
      </c>
      <c r="AP329" t="n" s="2909">
        <v>340000</v>
      </c>
      <c r="DB329" s="2909" t="str">
        <f>IF($A329="","",IF($AH329=20,IF(AND(OR($A329=21,$A329=215),$AJ329=10),"①病院一般",IF(AND($A329=31,$AJ329=41),"②病院短期","対象外")),IF($AJ329=30,"③特定消防",IF(AND(OR($A329=21,$A329=215),$AJ329=10),"④一般",IF(AND($A329=31,$AJ329=41),"⑤短期","対象外")))))</f>
        <v>④一般</v>
      </c>
      <c r="DC329" s="2909">
        <f>IF($A329="","",IF($AB329&amp;""='DB_設定'!$C$4,1,0))</f>
        <v>1</v>
      </c>
    </row>
    <row r="330">
      <c r="A330" t="n" s="2909">
        <v>21</v>
      </c>
      <c r="AA330" t="n" s="2909">
        <v>21</v>
      </c>
      <c r="AB330" t="inlineStr" s="2909">
        <is>
          <t>20250401</t>
        </is>
      </c>
      <c r="AD330" t="n" s="2909">
        <v>0</v>
      </c>
      <c r="AE330" t="inlineStr" s="2909">
        <is>
          <t>00000000</t>
        </is>
      </c>
      <c r="AH330" t="n" s="2909">
        <v>11</v>
      </c>
      <c r="AJ330" t="n" s="2909">
        <v>10</v>
      </c>
      <c r="AP330" t="n" s="2909">
        <v>320000</v>
      </c>
      <c r="DB330" s="2909" t="str">
        <f>IF($A330="","",IF($AH330=20,IF(AND(OR($A330=21,$A330=215),$AJ330=10),"①病院一般",IF(AND($A330=31,$AJ330=41),"②病院短期","対象外")),IF($AJ330=30,"③特定消防",IF(AND(OR($A330=21,$A330=215),$AJ330=10),"④一般",IF(AND($A330=31,$AJ330=41),"⑤短期","対象外")))))</f>
        <v>④一般</v>
      </c>
      <c r="DC330" s="2909">
        <f>IF($A330="","",IF($AB330&amp;""='DB_設定'!$C$4,1,0))</f>
        <v>1</v>
      </c>
    </row>
    <row r="331">
      <c r="A331" t="n" s="2909">
        <v>21</v>
      </c>
      <c r="AA331" t="n" s="2909">
        <v>21</v>
      </c>
      <c r="AB331" t="inlineStr" s="2909">
        <is>
          <t>20250401</t>
        </is>
      </c>
      <c r="AD331" t="n" s="2909">
        <v>0</v>
      </c>
      <c r="AE331" t="inlineStr" s="2909">
        <is>
          <t>00000000</t>
        </is>
      </c>
      <c r="AH331" t="n" s="2909">
        <v>1</v>
      </c>
      <c r="AJ331" t="n" s="2909">
        <v>10</v>
      </c>
      <c r="AP331" t="n" s="2909">
        <v>340000</v>
      </c>
      <c r="DB331" s="2909" t="str">
        <f>IF($A331="","",IF($AH331=20,IF(AND(OR($A331=21,$A331=215),$AJ331=10),"①病院一般",IF(AND($A331=31,$AJ331=41),"②病院短期","対象外")),IF($AJ331=30,"③特定消防",IF(AND(OR($A331=21,$A331=215),$AJ331=10),"④一般",IF(AND($A331=31,$AJ331=41),"⑤短期","対象外")))))</f>
        <v>④一般</v>
      </c>
      <c r="DC331" s="2909">
        <f>IF($A331="","",IF($AB331&amp;""='DB_設定'!$C$4,1,0))</f>
        <v>1</v>
      </c>
    </row>
    <row r="332">
      <c r="A332" t="n" s="2909">
        <v>21</v>
      </c>
      <c r="AA332" t="n" s="2909">
        <v>21</v>
      </c>
      <c r="AB332" t="inlineStr" s="2909">
        <is>
          <t>20250401</t>
        </is>
      </c>
      <c r="AD332" t="n" s="2909">
        <v>0</v>
      </c>
      <c r="AE332" t="inlineStr" s="2909">
        <is>
          <t>00000000</t>
        </is>
      </c>
      <c r="AH332" t="n" s="2909">
        <v>1</v>
      </c>
      <c r="AJ332" t="n" s="2909">
        <v>10</v>
      </c>
      <c r="AP332" t="n" s="2909">
        <v>360000</v>
      </c>
      <c r="DB332" s="2909" t="str">
        <f>IF($A332="","",IF($AH332=20,IF(AND(OR($A332=21,$A332=215),$AJ332=10),"①病院一般",IF(AND($A332=31,$AJ332=41),"②病院短期","対象外")),IF($AJ332=30,"③特定消防",IF(AND(OR($A332=21,$A332=215),$AJ332=10),"④一般",IF(AND($A332=31,$AJ332=41),"⑤短期","対象外")))))</f>
        <v>④一般</v>
      </c>
      <c r="DC332" s="2909">
        <f>IF($A332="","",IF($AB332&amp;""='DB_設定'!$C$4,1,0))</f>
        <v>1</v>
      </c>
    </row>
    <row r="333">
      <c r="A333" t="n" s="2909">
        <v>21</v>
      </c>
      <c r="AA333" t="n" s="2909">
        <v>21</v>
      </c>
      <c r="AB333" t="inlineStr" s="2909">
        <is>
          <t>20250401</t>
        </is>
      </c>
      <c r="AD333" t="n" s="2909">
        <v>0</v>
      </c>
      <c r="AE333" t="inlineStr" s="2909">
        <is>
          <t>00000000</t>
        </is>
      </c>
      <c r="AH333" t="n" s="2909">
        <v>1</v>
      </c>
      <c r="AJ333" t="n" s="2909">
        <v>10</v>
      </c>
      <c r="AP333" t="n" s="2909">
        <v>300000</v>
      </c>
      <c r="DB333" s="2909" t="str">
        <f>IF($A333="","",IF($AH333=20,IF(AND(OR($A333=21,$A333=215),$AJ333=10),"①病院一般",IF(AND($A333=31,$AJ333=41),"②病院短期","対象外")),IF($AJ333=30,"③特定消防",IF(AND(OR($A333=21,$A333=215),$AJ333=10),"④一般",IF(AND($A333=31,$AJ333=41),"⑤短期","対象外")))))</f>
        <v>④一般</v>
      </c>
      <c r="DC333" s="2909">
        <f>IF($A333="","",IF($AB333&amp;""='DB_設定'!$C$4,1,0))</f>
        <v>1</v>
      </c>
    </row>
    <row r="334">
      <c r="A334" t="n" s="2909">
        <v>21</v>
      </c>
      <c r="AA334" t="n" s="2909">
        <v>21</v>
      </c>
      <c r="AB334" t="inlineStr" s="2909">
        <is>
          <t>20250401</t>
        </is>
      </c>
      <c r="AD334" t="n" s="2909">
        <v>0</v>
      </c>
      <c r="AE334" t="inlineStr" s="2909">
        <is>
          <t>00000000</t>
        </is>
      </c>
      <c r="AH334" t="n" s="2909">
        <v>1</v>
      </c>
      <c r="AJ334" t="n" s="2909">
        <v>10</v>
      </c>
      <c r="AP334" t="n" s="2909">
        <v>360000</v>
      </c>
      <c r="DB334" s="2909" t="str">
        <f>IF($A334="","",IF($AH334=20,IF(AND(OR($A334=21,$A334=215),$AJ334=10),"①病院一般",IF(AND($A334=31,$AJ334=41),"②病院短期","対象外")),IF($AJ334=30,"③特定消防",IF(AND(OR($A334=21,$A334=215),$AJ334=10),"④一般",IF(AND($A334=31,$AJ334=41),"⑤短期","対象外")))))</f>
        <v>④一般</v>
      </c>
      <c r="DC334" s="2909">
        <f>IF($A334="","",IF($AB334&amp;""='DB_設定'!$C$4,1,0))</f>
        <v>1</v>
      </c>
    </row>
    <row r="335">
      <c r="A335" t="n" s="2909">
        <v>21</v>
      </c>
      <c r="AA335" t="n" s="2909">
        <v>21</v>
      </c>
      <c r="AB335" t="inlineStr" s="2909">
        <is>
          <t>20250401</t>
        </is>
      </c>
      <c r="AD335" t="n" s="2909">
        <v>0</v>
      </c>
      <c r="AE335" t="inlineStr" s="2909">
        <is>
          <t>00000000</t>
        </is>
      </c>
      <c r="AH335" t="n" s="2909">
        <v>4</v>
      </c>
      <c r="AJ335" t="n" s="2909">
        <v>10</v>
      </c>
      <c r="AP335" t="n" s="2909">
        <v>320000</v>
      </c>
      <c r="DB335" s="2909" t="str">
        <f>IF($A335="","",IF($AH335=20,IF(AND(OR($A335=21,$A335=215),$AJ335=10),"①病院一般",IF(AND($A335=31,$AJ335=41),"②病院短期","対象外")),IF($AJ335=30,"③特定消防",IF(AND(OR($A335=21,$A335=215),$AJ335=10),"④一般",IF(AND($A335=31,$AJ335=41),"⑤短期","対象外")))))</f>
        <v>④一般</v>
      </c>
      <c r="DC335" s="2909">
        <f>IF($A335="","",IF($AB335&amp;""='DB_設定'!$C$4,1,0))</f>
        <v>1</v>
      </c>
    </row>
    <row r="336">
      <c r="A336" t="n" s="2909">
        <v>21</v>
      </c>
      <c r="AA336" t="n" s="2909">
        <v>21</v>
      </c>
      <c r="AB336" t="inlineStr" s="2909">
        <is>
          <t>20250401</t>
        </is>
      </c>
      <c r="AD336" t="n" s="2909">
        <v>0</v>
      </c>
      <c r="AE336" t="inlineStr" s="2909">
        <is>
          <t>00000000</t>
        </is>
      </c>
      <c r="AH336" t="n" s="2909">
        <v>1</v>
      </c>
      <c r="AJ336" t="n" s="2909">
        <v>10</v>
      </c>
      <c r="AP336" t="n" s="2909">
        <v>340000</v>
      </c>
      <c r="DB336" s="2909" t="str">
        <f>IF($A336="","",IF($AH336=20,IF(AND(OR($A336=21,$A336=215),$AJ336=10),"①病院一般",IF(AND($A336=31,$AJ336=41),"②病院短期","対象外")),IF($AJ336=30,"③特定消防",IF(AND(OR($A336=21,$A336=215),$AJ336=10),"④一般",IF(AND($A336=31,$AJ336=41),"⑤短期","対象外")))))</f>
        <v>④一般</v>
      </c>
      <c r="DC336" s="2909">
        <f>IF($A336="","",IF($AB336&amp;""='DB_設定'!$C$4,1,0))</f>
        <v>1</v>
      </c>
    </row>
    <row r="337">
      <c r="A337" t="n" s="2909">
        <v>21</v>
      </c>
      <c r="AA337" t="n" s="2909">
        <v>21</v>
      </c>
      <c r="AB337" t="inlineStr" s="2909">
        <is>
          <t>20250401</t>
        </is>
      </c>
      <c r="AD337" t="n" s="2909">
        <v>0</v>
      </c>
      <c r="AE337" t="inlineStr" s="2909">
        <is>
          <t>00000000</t>
        </is>
      </c>
      <c r="AH337" t="n" s="2909">
        <v>1</v>
      </c>
      <c r="AJ337" t="n" s="2909">
        <v>10</v>
      </c>
      <c r="AP337" t="n" s="2909">
        <v>320000</v>
      </c>
      <c r="DB337" s="2909" t="str">
        <f>IF($A337="","",IF($AH337=20,IF(AND(OR($A337=21,$A337=215),$AJ337=10),"①病院一般",IF(AND($A337=31,$AJ337=41),"②病院短期","対象外")),IF($AJ337=30,"③特定消防",IF(AND(OR($A337=21,$A337=215),$AJ337=10),"④一般",IF(AND($A337=31,$AJ337=41),"⑤短期","対象外")))))</f>
        <v>④一般</v>
      </c>
      <c r="DC337" s="2909">
        <f>IF($A337="","",IF($AB337&amp;""='DB_設定'!$C$4,1,0))</f>
        <v>1</v>
      </c>
    </row>
    <row r="338">
      <c r="A338" t="n" s="2909">
        <v>21</v>
      </c>
      <c r="AA338" t="n" s="2909">
        <v>21</v>
      </c>
      <c r="AB338" t="inlineStr" s="2909">
        <is>
          <t>20250401</t>
        </is>
      </c>
      <c r="AD338" t="n" s="2909">
        <v>0</v>
      </c>
      <c r="AE338" t="inlineStr" s="2909">
        <is>
          <t>00000000</t>
        </is>
      </c>
      <c r="AH338" t="n" s="2909">
        <v>1</v>
      </c>
      <c r="AJ338" t="n" s="2909">
        <v>10</v>
      </c>
      <c r="AP338" t="n" s="2909">
        <v>260000</v>
      </c>
      <c r="DB338" s="2909" t="str">
        <f>IF($A338="","",IF($AH338=20,IF(AND(OR($A338=21,$A338=215),$AJ338=10),"①病院一般",IF(AND($A338=31,$AJ338=41),"②病院短期","対象外")),IF($AJ338=30,"③特定消防",IF(AND(OR($A338=21,$A338=215),$AJ338=10),"④一般",IF(AND($A338=31,$AJ338=41),"⑤短期","対象外")))))</f>
        <v>④一般</v>
      </c>
      <c r="DC338" s="2909">
        <f>IF($A338="","",IF($AB338&amp;""='DB_設定'!$C$4,1,0))</f>
        <v>1</v>
      </c>
    </row>
    <row r="339">
      <c r="A339" t="n" s="2909">
        <v>21</v>
      </c>
      <c r="AA339" t="n" s="2909">
        <v>21</v>
      </c>
      <c r="AB339" t="inlineStr" s="2909">
        <is>
          <t>20250401</t>
        </is>
      </c>
      <c r="AD339" t="n" s="2909">
        <v>0</v>
      </c>
      <c r="AE339" t="inlineStr" s="2909">
        <is>
          <t>00000000</t>
        </is>
      </c>
      <c r="AH339" t="n" s="2909">
        <v>1</v>
      </c>
      <c r="AJ339" t="n" s="2909">
        <v>10</v>
      </c>
      <c r="AP339" t="n" s="2909">
        <v>260000</v>
      </c>
      <c r="DB339" s="2909" t="str">
        <f>IF($A339="","",IF($AH339=20,IF(AND(OR($A339=21,$A339=215),$AJ339=10),"①病院一般",IF(AND($A339=31,$AJ339=41),"②病院短期","対象外")),IF($AJ339=30,"③特定消防",IF(AND(OR($A339=21,$A339=215),$AJ339=10),"④一般",IF(AND($A339=31,$AJ339=41),"⑤短期","対象外")))))</f>
        <v>④一般</v>
      </c>
      <c r="DC339" s="2909">
        <f>IF($A339="","",IF($AB339&amp;""='DB_設定'!$C$4,1,0))</f>
        <v>1</v>
      </c>
    </row>
    <row r="340">
      <c r="A340" t="n" s="2909">
        <v>21</v>
      </c>
      <c r="AA340" t="n" s="2909">
        <v>21</v>
      </c>
      <c r="AB340" t="inlineStr" s="2909">
        <is>
          <t>20250401</t>
        </is>
      </c>
      <c r="AD340" t="n" s="2909">
        <v>0</v>
      </c>
      <c r="AE340" t="inlineStr" s="2909">
        <is>
          <t>00000000</t>
        </is>
      </c>
      <c r="AH340" t="n" s="2909">
        <v>5</v>
      </c>
      <c r="AJ340" t="n" s="2909">
        <v>30</v>
      </c>
      <c r="AP340" t="n" s="2909">
        <v>260000</v>
      </c>
      <c r="DB340" s="2909" t="str">
        <f>IF($A340="","",IF($AH340=20,IF(AND(OR($A340=21,$A340=215),$AJ340=10),"①病院一般",IF(AND($A340=31,$AJ340=41),"②病院短期","対象外")),IF($AJ340=30,"③特定消防",IF(AND(OR($A340=21,$A340=215),$AJ340=10),"④一般",IF(AND($A340=31,$AJ340=41),"⑤短期","対象外")))))</f>
        <v>③特定消防</v>
      </c>
      <c r="DC340" s="2909">
        <f>IF($A340="","",IF($AB340&amp;""='DB_設定'!$C$4,1,0))</f>
        <v>1</v>
      </c>
    </row>
    <row r="341">
      <c r="A341" t="n" s="2909">
        <v>21</v>
      </c>
      <c r="AA341" t="n" s="2909">
        <v>21</v>
      </c>
      <c r="AB341" t="inlineStr" s="2909">
        <is>
          <t>20250401</t>
        </is>
      </c>
      <c r="AD341" t="n" s="2909">
        <v>0</v>
      </c>
      <c r="AE341" t="inlineStr" s="2909">
        <is>
          <t>00000000</t>
        </is>
      </c>
      <c r="AH341" t="n" s="2909">
        <v>5</v>
      </c>
      <c r="AJ341" t="n" s="2909">
        <v>30</v>
      </c>
      <c r="AP341" t="n" s="2909">
        <v>260000</v>
      </c>
      <c r="DB341" s="2909" t="str">
        <f>IF($A341="","",IF($AH341=20,IF(AND(OR($A341=21,$A341=215),$AJ341=10),"①病院一般",IF(AND($A341=31,$AJ341=41),"②病院短期","対象外")),IF($AJ341=30,"③特定消防",IF(AND(OR($A341=21,$A341=215),$AJ341=10),"④一般",IF(AND($A341=31,$AJ341=41),"⑤短期","対象外")))))</f>
        <v>③特定消防</v>
      </c>
      <c r="DC341" s="2909">
        <f>IF($A341="","",IF($AB341&amp;""='DB_設定'!$C$4,1,0))</f>
        <v>1</v>
      </c>
    </row>
    <row r="342">
      <c r="A342" t="n" s="2909">
        <v>21</v>
      </c>
      <c r="AA342" t="n" s="2909">
        <v>21</v>
      </c>
      <c r="AB342" t="inlineStr" s="2909">
        <is>
          <t>20250401</t>
        </is>
      </c>
      <c r="AD342" t="n" s="2909">
        <v>0</v>
      </c>
      <c r="AE342" t="inlineStr" s="2909">
        <is>
          <t>00000000</t>
        </is>
      </c>
      <c r="AH342" t="n" s="2909">
        <v>5</v>
      </c>
      <c r="AJ342" t="n" s="2909">
        <v>30</v>
      </c>
      <c r="AP342" t="n" s="2909">
        <v>260000</v>
      </c>
      <c r="DB342" s="2909" t="str">
        <f>IF($A342="","",IF($AH342=20,IF(AND(OR($A342=21,$A342=215),$AJ342=10),"①病院一般",IF(AND($A342=31,$AJ342=41),"②病院短期","対象外")),IF($AJ342=30,"③特定消防",IF(AND(OR($A342=21,$A342=215),$AJ342=10),"④一般",IF(AND($A342=31,$AJ342=41),"⑤短期","対象外")))))</f>
        <v>③特定消防</v>
      </c>
      <c r="DC342" s="2909">
        <f>IF($A342="","",IF($AB342&amp;""='DB_設定'!$C$4,1,0))</f>
        <v>1</v>
      </c>
    </row>
    <row r="343">
      <c r="A343" t="n" s="2909">
        <v>21</v>
      </c>
      <c r="AA343" t="n" s="2909">
        <v>21</v>
      </c>
      <c r="AB343" t="inlineStr" s="2909">
        <is>
          <t>20250401</t>
        </is>
      </c>
      <c r="AD343" t="n" s="2909">
        <v>0</v>
      </c>
      <c r="AE343" t="inlineStr" s="2909">
        <is>
          <t>00000000</t>
        </is>
      </c>
      <c r="AH343" t="n" s="2909">
        <v>5</v>
      </c>
      <c r="AJ343" t="n" s="2909">
        <v>30</v>
      </c>
      <c r="AP343" t="n" s="2909">
        <v>280000</v>
      </c>
      <c r="DB343" s="2909" t="str">
        <f>IF($A343="","",IF($AH343=20,IF(AND(OR($A343=21,$A343=215),$AJ343=10),"①病院一般",IF(AND($A343=31,$AJ343=41),"②病院短期","対象外")),IF($AJ343=30,"③特定消防",IF(AND(OR($A343=21,$A343=215),$AJ343=10),"④一般",IF(AND($A343=31,$AJ343=41),"⑤短期","対象外")))))</f>
        <v>③特定消防</v>
      </c>
      <c r="DC343" s="2909">
        <f>IF($A343="","",IF($AB343&amp;""='DB_設定'!$C$4,1,0))</f>
        <v>1</v>
      </c>
    </row>
    <row r="344">
      <c r="A344" t="n" s="2909">
        <v>21</v>
      </c>
      <c r="AA344" t="n" s="2909">
        <v>21</v>
      </c>
      <c r="AB344" t="inlineStr" s="2909">
        <is>
          <t>20250401</t>
        </is>
      </c>
      <c r="AD344" t="n" s="2909">
        <v>0</v>
      </c>
      <c r="AE344" t="inlineStr" s="2909">
        <is>
          <t>00000000</t>
        </is>
      </c>
      <c r="AH344" t="n" s="2909">
        <v>5</v>
      </c>
      <c r="AJ344" t="n" s="2909">
        <v>30</v>
      </c>
      <c r="AP344" t="n" s="2909">
        <v>240000</v>
      </c>
      <c r="DB344" s="2909" t="str">
        <f>IF($A344="","",IF($AH344=20,IF(AND(OR($A344=21,$A344=215),$AJ344=10),"①病院一般",IF(AND($A344=31,$AJ344=41),"②病院短期","対象外")),IF($AJ344=30,"③特定消防",IF(AND(OR($A344=21,$A344=215),$AJ344=10),"④一般",IF(AND($A344=31,$AJ344=41),"⑤短期","対象外")))))</f>
        <v>③特定消防</v>
      </c>
      <c r="DC344" s="2909">
        <f>IF($A344="","",IF($AB344&amp;""='DB_設定'!$C$4,1,0))</f>
        <v>1</v>
      </c>
    </row>
    <row r="345">
      <c r="A345" t="n" s="2909">
        <v>21</v>
      </c>
      <c r="AA345" t="n" s="2909">
        <v>21</v>
      </c>
      <c r="AB345" t="inlineStr" s="2909">
        <is>
          <t>20250401</t>
        </is>
      </c>
      <c r="AD345" t="n" s="2909">
        <v>0</v>
      </c>
      <c r="AE345" t="inlineStr" s="2909">
        <is>
          <t>00000000</t>
        </is>
      </c>
      <c r="AH345" t="n" s="2909">
        <v>5</v>
      </c>
      <c r="AJ345" t="n" s="2909">
        <v>30</v>
      </c>
      <c r="AP345" t="n" s="2909">
        <v>240000</v>
      </c>
      <c r="DB345" s="2909" t="str">
        <f>IF($A345="","",IF($AH345=20,IF(AND(OR($A345=21,$A345=215),$AJ345=10),"①病院一般",IF(AND($A345=31,$AJ345=41),"②病院短期","対象外")),IF($AJ345=30,"③特定消防",IF(AND(OR($A345=21,$A345=215),$AJ345=10),"④一般",IF(AND($A345=31,$AJ345=41),"⑤短期","対象外")))))</f>
        <v>③特定消防</v>
      </c>
      <c r="DC345" s="2909">
        <f>IF($A345="","",IF($AB345&amp;""='DB_設定'!$C$4,1,0))</f>
        <v>1</v>
      </c>
    </row>
    <row r="346">
      <c r="A346" t="n" s="2909">
        <v>21</v>
      </c>
      <c r="AA346" t="n" s="2909">
        <v>21</v>
      </c>
      <c r="AB346" t="inlineStr" s="2909">
        <is>
          <t>20250401</t>
        </is>
      </c>
      <c r="AD346" t="n" s="2909">
        <v>0</v>
      </c>
      <c r="AE346" t="inlineStr" s="2909">
        <is>
          <t>00000000</t>
        </is>
      </c>
      <c r="AH346" t="n" s="2909">
        <v>5</v>
      </c>
      <c r="AJ346" t="n" s="2909">
        <v>30</v>
      </c>
      <c r="AP346" t="n" s="2909">
        <v>240000</v>
      </c>
      <c r="DB346" s="2909" t="str">
        <f>IF($A346="","",IF($AH346=20,IF(AND(OR($A346=21,$A346=215),$AJ346=10),"①病院一般",IF(AND($A346=31,$AJ346=41),"②病院短期","対象外")),IF($AJ346=30,"③特定消防",IF(AND(OR($A346=21,$A346=215),$AJ346=10),"④一般",IF(AND($A346=31,$AJ346=41),"⑤短期","対象外")))))</f>
        <v>③特定消防</v>
      </c>
      <c r="DC346" s="2909">
        <f>IF($A346="","",IF($AB346&amp;""='DB_設定'!$C$4,1,0))</f>
        <v>1</v>
      </c>
    </row>
    <row r="347">
      <c r="A347" t="n" s="2909">
        <v>21</v>
      </c>
      <c r="AA347" t="n" s="2909">
        <v>21</v>
      </c>
      <c r="AB347" t="inlineStr" s="2909">
        <is>
          <t>20250401</t>
        </is>
      </c>
      <c r="AD347" t="n" s="2909">
        <v>0</v>
      </c>
      <c r="AE347" t="inlineStr" s="2909">
        <is>
          <t>00000000</t>
        </is>
      </c>
      <c r="AH347" t="n" s="2909">
        <v>5</v>
      </c>
      <c r="AJ347" t="n" s="2909">
        <v>30</v>
      </c>
      <c r="AP347" t="n" s="2909">
        <v>240000</v>
      </c>
      <c r="DB347" s="2909" t="str">
        <f>IF($A347="","",IF($AH347=20,IF(AND(OR($A347=21,$A347=215),$AJ347=10),"①病院一般",IF(AND($A347=31,$AJ347=41),"②病院短期","対象外")),IF($AJ347=30,"③特定消防",IF(AND(OR($A347=21,$A347=215),$AJ347=10),"④一般",IF(AND($A347=31,$AJ347=41),"⑤短期","対象外")))))</f>
        <v>③特定消防</v>
      </c>
      <c r="DC347" s="2909">
        <f>IF($A347="","",IF($AB347&amp;""='DB_設定'!$C$4,1,0))</f>
        <v>1</v>
      </c>
    </row>
    <row r="348">
      <c r="A348" t="n" s="2909">
        <v>21</v>
      </c>
      <c r="AA348" t="n" s="2909">
        <v>21</v>
      </c>
      <c r="AB348" t="inlineStr" s="2909">
        <is>
          <t>20250401</t>
        </is>
      </c>
      <c r="AD348" t="n" s="2909">
        <v>0</v>
      </c>
      <c r="AE348" t="inlineStr" s="2909">
        <is>
          <t>00000000</t>
        </is>
      </c>
      <c r="AH348" t="n" s="2909">
        <v>5</v>
      </c>
      <c r="AJ348" t="n" s="2909">
        <v>30</v>
      </c>
      <c r="AP348" t="n" s="2909">
        <v>240000</v>
      </c>
      <c r="DB348" s="2909" t="str">
        <f>IF($A348="","",IF($AH348=20,IF(AND(OR($A348=21,$A348=215),$AJ348=10),"①病院一般",IF(AND($A348=31,$AJ348=41),"②病院短期","対象外")),IF($AJ348=30,"③特定消防",IF(AND(OR($A348=21,$A348=215),$AJ348=10),"④一般",IF(AND($A348=31,$AJ348=41),"⑤短期","対象外")))))</f>
        <v>③特定消防</v>
      </c>
      <c r="DC348" s="2909">
        <f>IF($A348="","",IF($AB348&amp;""='DB_設定'!$C$4,1,0))</f>
        <v>1</v>
      </c>
    </row>
    <row r="349">
      <c r="A349" t="n" s="2909">
        <v>21</v>
      </c>
      <c r="AA349" t="n" s="2909">
        <v>21</v>
      </c>
      <c r="AB349" t="inlineStr" s="2909">
        <is>
          <t>20250401</t>
        </is>
      </c>
      <c r="AD349" t="n" s="2909">
        <v>0</v>
      </c>
      <c r="AE349" t="inlineStr" s="2909">
        <is>
          <t>00000000</t>
        </is>
      </c>
      <c r="AH349" t="n" s="2909">
        <v>5</v>
      </c>
      <c r="AJ349" t="n" s="2909">
        <v>30</v>
      </c>
      <c r="AP349" t="n" s="2909">
        <v>240000</v>
      </c>
      <c r="DB349" s="2909" t="str">
        <f>IF($A349="","",IF($AH349=20,IF(AND(OR($A349=21,$A349=215),$AJ349=10),"①病院一般",IF(AND($A349=31,$AJ349=41),"②病院短期","対象外")),IF($AJ349=30,"③特定消防",IF(AND(OR($A349=21,$A349=215),$AJ349=10),"④一般",IF(AND($A349=31,$AJ349=41),"⑤短期","対象外")))))</f>
        <v>③特定消防</v>
      </c>
      <c r="DC349" s="2909">
        <f>IF($A349="","",IF($AB349&amp;""='DB_設定'!$C$4,1,0))</f>
        <v>1</v>
      </c>
    </row>
    <row r="350">
      <c r="A350" t="n" s="2909">
        <v>21</v>
      </c>
      <c r="AA350" t="n" s="2909">
        <v>21</v>
      </c>
      <c r="AB350" t="inlineStr" s="2909">
        <is>
          <t>20250401</t>
        </is>
      </c>
      <c r="AD350" t="n" s="2909">
        <v>0</v>
      </c>
      <c r="AE350" t="inlineStr" s="2909">
        <is>
          <t>00000000</t>
        </is>
      </c>
      <c r="AH350" t="n" s="2909">
        <v>5</v>
      </c>
      <c r="AJ350" t="n" s="2909">
        <v>30</v>
      </c>
      <c r="AP350" t="n" s="2909">
        <v>240000</v>
      </c>
      <c r="DB350" s="2909" t="str">
        <f>IF($A350="","",IF($AH350=20,IF(AND(OR($A350=21,$A350=215),$AJ350=10),"①病院一般",IF(AND($A350=31,$AJ350=41),"②病院短期","対象外")),IF($AJ350=30,"③特定消防",IF(AND(OR($A350=21,$A350=215),$AJ350=10),"④一般",IF(AND($A350=31,$AJ350=41),"⑤短期","対象外")))))</f>
        <v>③特定消防</v>
      </c>
      <c r="DC350" s="2909">
        <f>IF($A350="","",IF($AB350&amp;""='DB_設定'!$C$4,1,0))</f>
        <v>1</v>
      </c>
    </row>
    <row r="351">
      <c r="A351" t="n" s="2909">
        <v>21</v>
      </c>
      <c r="AA351" t="n" s="2909">
        <v>21</v>
      </c>
      <c r="AB351" t="inlineStr" s="2909">
        <is>
          <t>20250401</t>
        </is>
      </c>
      <c r="AD351" t="n" s="2909">
        <v>0</v>
      </c>
      <c r="AE351" t="inlineStr" s="2909">
        <is>
          <t>00000000</t>
        </is>
      </c>
      <c r="AH351" t="n" s="2909">
        <v>5</v>
      </c>
      <c r="AJ351" t="n" s="2909">
        <v>30</v>
      </c>
      <c r="AP351" t="n" s="2909">
        <v>240000</v>
      </c>
      <c r="DB351" s="2909" t="str">
        <f>IF($A351="","",IF($AH351=20,IF(AND(OR($A351=21,$A351=215),$AJ351=10),"①病院一般",IF(AND($A351=31,$AJ351=41),"②病院短期","対象外")),IF($AJ351=30,"③特定消防",IF(AND(OR($A351=21,$A351=215),$AJ351=10),"④一般",IF(AND($A351=31,$AJ351=41),"⑤短期","対象外")))))</f>
        <v>③特定消防</v>
      </c>
      <c r="DC351" s="2909">
        <f>IF($A351="","",IF($AB351&amp;""='DB_設定'!$C$4,1,0))</f>
        <v>1</v>
      </c>
    </row>
    <row r="352">
      <c r="A352" t="n" s="2909">
        <v>21</v>
      </c>
      <c r="AA352" t="n" s="2909">
        <v>21</v>
      </c>
      <c r="AB352" t="inlineStr" s="2909">
        <is>
          <t>20250401</t>
        </is>
      </c>
      <c r="AD352" t="n" s="2909">
        <v>0</v>
      </c>
      <c r="AE352" t="inlineStr" s="2909">
        <is>
          <t>00000000</t>
        </is>
      </c>
      <c r="AH352" t="n" s="2909">
        <v>5</v>
      </c>
      <c r="AJ352" t="n" s="2909">
        <v>30</v>
      </c>
      <c r="AP352" t="n" s="2909">
        <v>240000</v>
      </c>
      <c r="DB352" s="2909" t="str">
        <f>IF($A352="","",IF($AH352=20,IF(AND(OR($A352=21,$A352=215),$AJ352=10),"①病院一般",IF(AND($A352=31,$AJ352=41),"②病院短期","対象外")),IF($AJ352=30,"③特定消防",IF(AND(OR($A352=21,$A352=215),$AJ352=10),"④一般",IF(AND($A352=31,$AJ352=41),"⑤短期","対象外")))))</f>
        <v>③特定消防</v>
      </c>
      <c r="DC352" s="2909">
        <f>IF($A352="","",IF($AB352&amp;""='DB_設定'!$C$4,1,0))</f>
        <v>1</v>
      </c>
    </row>
    <row r="353">
      <c r="A353" t="n" s="2909">
        <v>21</v>
      </c>
      <c r="AA353" t="n" s="2909">
        <v>21</v>
      </c>
      <c r="AB353" t="inlineStr" s="2909">
        <is>
          <t>20250401</t>
        </is>
      </c>
      <c r="AD353" t="n" s="2909">
        <v>0</v>
      </c>
      <c r="AE353" t="inlineStr" s="2909">
        <is>
          <t>00000000</t>
        </is>
      </c>
      <c r="AH353" t="n" s="2909">
        <v>5</v>
      </c>
      <c r="AJ353" t="n" s="2909">
        <v>30</v>
      </c>
      <c r="AP353" t="n" s="2909">
        <v>240000</v>
      </c>
      <c r="DB353" s="2909" t="str">
        <f>IF($A353="","",IF($AH353=20,IF(AND(OR($A353=21,$A353=215),$AJ353=10),"①病院一般",IF(AND($A353=31,$AJ353=41),"②病院短期","対象外")),IF($AJ353=30,"③特定消防",IF(AND(OR($A353=21,$A353=215),$AJ353=10),"④一般",IF(AND($A353=31,$AJ353=41),"⑤短期","対象外")))))</f>
        <v>③特定消防</v>
      </c>
      <c r="DC353" s="2909">
        <f>IF($A353="","",IF($AB353&amp;""='DB_設定'!$C$4,1,0))</f>
        <v>1</v>
      </c>
    </row>
    <row r="354">
      <c r="A354" t="n" s="2909">
        <v>21</v>
      </c>
      <c r="AA354" t="n" s="2909">
        <v>21</v>
      </c>
      <c r="AB354" t="inlineStr" s="2909">
        <is>
          <t>20250401</t>
        </is>
      </c>
      <c r="AD354" t="n" s="2909">
        <v>0</v>
      </c>
      <c r="AE354" t="inlineStr" s="2909">
        <is>
          <t>00000000</t>
        </is>
      </c>
      <c r="AH354" t="n" s="2909">
        <v>5</v>
      </c>
      <c r="AJ354" t="n" s="2909">
        <v>30</v>
      </c>
      <c r="AP354" t="n" s="2909">
        <v>240000</v>
      </c>
      <c r="DB354" s="2909" t="str">
        <f>IF($A354="","",IF($AH354=20,IF(AND(OR($A354=21,$A354=215),$AJ354=10),"①病院一般",IF(AND($A354=31,$AJ354=41),"②病院短期","対象外")),IF($AJ354=30,"③特定消防",IF(AND(OR($A354=21,$A354=215),$AJ354=10),"④一般",IF(AND($A354=31,$AJ354=41),"⑤短期","対象外")))))</f>
        <v>③特定消防</v>
      </c>
      <c r="DC354" s="2909">
        <f>IF($A354="","",IF($AB354&amp;""='DB_設定'!$C$4,1,0))</f>
        <v>1</v>
      </c>
    </row>
    <row r="355">
      <c r="A355" t="n" s="2909">
        <v>21</v>
      </c>
      <c r="AA355" t="n" s="2909">
        <v>21</v>
      </c>
      <c r="AB355" t="inlineStr" s="2909">
        <is>
          <t>20250401</t>
        </is>
      </c>
      <c r="AD355" t="n" s="2909">
        <v>0</v>
      </c>
      <c r="AE355" t="inlineStr" s="2909">
        <is>
          <t>00000000</t>
        </is>
      </c>
      <c r="AH355" t="n" s="2909">
        <v>5</v>
      </c>
      <c r="AJ355" t="n" s="2909">
        <v>30</v>
      </c>
      <c r="AP355" t="n" s="2909">
        <v>240000</v>
      </c>
      <c r="DB355" s="2909" t="str">
        <f>IF($A355="","",IF($AH355=20,IF(AND(OR($A355=21,$A355=215),$AJ355=10),"①病院一般",IF(AND($A355=31,$AJ355=41),"②病院短期","対象外")),IF($AJ355=30,"③特定消防",IF(AND(OR($A355=21,$A355=215),$AJ355=10),"④一般",IF(AND($A355=31,$AJ355=41),"⑤短期","対象外")))))</f>
        <v>③特定消防</v>
      </c>
      <c r="DC355" s="2909">
        <f>IF($A355="","",IF($AB355&amp;""='DB_設定'!$C$4,1,0))</f>
        <v>1</v>
      </c>
    </row>
    <row r="356">
      <c r="A356" t="n" s="2909">
        <v>21</v>
      </c>
      <c r="AA356" t="n" s="2909">
        <v>21</v>
      </c>
      <c r="AB356" t="inlineStr" s="2909">
        <is>
          <t>20250401</t>
        </is>
      </c>
      <c r="AD356" t="n" s="2909">
        <v>0</v>
      </c>
      <c r="AE356" t="inlineStr" s="2909">
        <is>
          <t>00000000</t>
        </is>
      </c>
      <c r="AH356" t="n" s="2909">
        <v>5</v>
      </c>
      <c r="AJ356" t="n" s="2909">
        <v>30</v>
      </c>
      <c r="AP356" t="n" s="2909">
        <v>240000</v>
      </c>
      <c r="DB356" s="2909" t="str">
        <f>IF($A356="","",IF($AH356=20,IF(AND(OR($A356=21,$A356=215),$AJ356=10),"①病院一般",IF(AND($A356=31,$AJ356=41),"②病院短期","対象外")),IF($AJ356=30,"③特定消防",IF(AND(OR($A356=21,$A356=215),$AJ356=10),"④一般",IF(AND($A356=31,$AJ356=41),"⑤短期","対象外")))))</f>
        <v>③特定消防</v>
      </c>
      <c r="DC356" s="2909">
        <f>IF($A356="","",IF($AB356&amp;""='DB_設定'!$C$4,1,0))</f>
        <v>1</v>
      </c>
    </row>
    <row r="357">
      <c r="A357" t="n" s="2909">
        <v>21</v>
      </c>
      <c r="AA357" t="n" s="2909">
        <v>21</v>
      </c>
      <c r="AB357" t="inlineStr" s="2909">
        <is>
          <t>20250401</t>
        </is>
      </c>
      <c r="AD357" t="n" s="2909">
        <v>0</v>
      </c>
      <c r="AE357" t="inlineStr" s="2909">
        <is>
          <t>00000000</t>
        </is>
      </c>
      <c r="AH357" t="n" s="2909">
        <v>5</v>
      </c>
      <c r="AJ357" t="n" s="2909">
        <v>30</v>
      </c>
      <c r="AP357" t="n" s="2909">
        <v>280000</v>
      </c>
      <c r="DB357" s="2909" t="str">
        <f>IF($A357="","",IF($AH357=20,IF(AND(OR($A357=21,$A357=215),$AJ357=10),"①病院一般",IF(AND($A357=31,$AJ357=41),"②病院短期","対象外")),IF($AJ357=30,"③特定消防",IF(AND(OR($A357=21,$A357=215),$AJ357=10),"④一般",IF(AND($A357=31,$AJ357=41),"⑤短期","対象外")))))</f>
        <v>③特定消防</v>
      </c>
      <c r="DC357" s="2909">
        <f>IF($A357="","",IF($AB357&amp;""='DB_設定'!$C$4,1,0))</f>
        <v>1</v>
      </c>
    </row>
    <row r="358">
      <c r="A358" t="n" s="2909">
        <v>21</v>
      </c>
      <c r="AA358" t="n" s="2909">
        <v>21</v>
      </c>
      <c r="AB358" t="inlineStr" s="2909">
        <is>
          <t>20250401</t>
        </is>
      </c>
      <c r="AD358" t="n" s="2909">
        <v>0</v>
      </c>
      <c r="AE358" t="inlineStr" s="2909">
        <is>
          <t>00000000</t>
        </is>
      </c>
      <c r="AH358" t="n" s="2909">
        <v>5</v>
      </c>
      <c r="AJ358" t="n" s="2909">
        <v>30</v>
      </c>
      <c r="AP358" t="n" s="2909">
        <v>240000</v>
      </c>
      <c r="DB358" s="2909" t="str">
        <f>IF($A358="","",IF($AH358=20,IF(AND(OR($A358=21,$A358=215),$AJ358=10),"①病院一般",IF(AND($A358=31,$AJ358=41),"②病院短期","対象外")),IF($AJ358=30,"③特定消防",IF(AND(OR($A358=21,$A358=215),$AJ358=10),"④一般",IF(AND($A358=31,$AJ358=41),"⑤短期","対象外")))))</f>
        <v>③特定消防</v>
      </c>
      <c r="DC358" s="2909">
        <f>IF($A358="","",IF($AB358&amp;""='DB_設定'!$C$4,1,0))</f>
        <v>1</v>
      </c>
    </row>
    <row r="359">
      <c r="A359" t="n" s="2909">
        <v>21</v>
      </c>
      <c r="AA359" t="n" s="2909">
        <v>21</v>
      </c>
      <c r="AB359" t="inlineStr" s="2909">
        <is>
          <t>20250401</t>
        </is>
      </c>
      <c r="AD359" t="n" s="2909">
        <v>0</v>
      </c>
      <c r="AE359" t="inlineStr" s="2909">
        <is>
          <t>00000000</t>
        </is>
      </c>
      <c r="AH359" t="n" s="2909">
        <v>5</v>
      </c>
      <c r="AJ359" t="n" s="2909">
        <v>30</v>
      </c>
      <c r="AP359" t="n" s="2909">
        <v>220000</v>
      </c>
      <c r="DB359" s="2909" t="str">
        <f>IF($A359="","",IF($AH359=20,IF(AND(OR($A359=21,$A359=215),$AJ359=10),"①病院一般",IF(AND($A359=31,$AJ359=41),"②病院短期","対象外")),IF($AJ359=30,"③特定消防",IF(AND(OR($A359=21,$A359=215),$AJ359=10),"④一般",IF(AND($A359=31,$AJ359=41),"⑤短期","対象外")))))</f>
        <v>③特定消防</v>
      </c>
      <c r="DC359" s="2909">
        <f>IF($A359="","",IF($AB359&amp;""='DB_設定'!$C$4,1,0))</f>
        <v>1</v>
      </c>
    </row>
    <row r="360">
      <c r="A360" t="n" s="2909">
        <v>21</v>
      </c>
      <c r="AA360" t="n" s="2909">
        <v>21</v>
      </c>
      <c r="AB360" t="inlineStr" s="2909">
        <is>
          <t>20250401</t>
        </is>
      </c>
      <c r="AD360" t="n" s="2909">
        <v>0</v>
      </c>
      <c r="AE360" t="inlineStr" s="2909">
        <is>
          <t>00000000</t>
        </is>
      </c>
      <c r="AH360" t="n" s="2909">
        <v>5</v>
      </c>
      <c r="AJ360" t="n" s="2909">
        <v>30</v>
      </c>
      <c r="AP360" t="n" s="2909">
        <v>240000</v>
      </c>
      <c r="DB360" s="2909" t="str">
        <f>IF($A360="","",IF($AH360=20,IF(AND(OR($A360=21,$A360=215),$AJ360=10),"①病院一般",IF(AND($A360=31,$AJ360=41),"②病院短期","対象外")),IF($AJ360=30,"③特定消防",IF(AND(OR($A360=21,$A360=215),$AJ360=10),"④一般",IF(AND($A360=31,$AJ360=41),"⑤短期","対象外")))))</f>
        <v>③特定消防</v>
      </c>
      <c r="DC360" s="2909">
        <f>IF($A360="","",IF($AB360&amp;""='DB_設定'!$C$4,1,0))</f>
        <v>1</v>
      </c>
    </row>
    <row r="361">
      <c r="A361" t="n" s="2909">
        <v>21</v>
      </c>
      <c r="AA361" t="n" s="2909">
        <v>21</v>
      </c>
      <c r="AB361" t="inlineStr" s="2909">
        <is>
          <t>20250401</t>
        </is>
      </c>
      <c r="AD361" t="n" s="2909">
        <v>0</v>
      </c>
      <c r="AE361" t="inlineStr" s="2909">
        <is>
          <t>00000000</t>
        </is>
      </c>
      <c r="AH361" t="n" s="2909">
        <v>5</v>
      </c>
      <c r="AJ361" t="n" s="2909">
        <v>30</v>
      </c>
      <c r="AP361" t="n" s="2909">
        <v>260000</v>
      </c>
      <c r="DB361" s="2909" t="str">
        <f>IF($A361="","",IF($AH361=20,IF(AND(OR($A361=21,$A361=215),$AJ361=10),"①病院一般",IF(AND($A361=31,$AJ361=41),"②病院短期","対象外")),IF($AJ361=30,"③特定消防",IF(AND(OR($A361=21,$A361=215),$AJ361=10),"④一般",IF(AND($A361=31,$AJ361=41),"⑤短期","対象外")))))</f>
        <v>③特定消防</v>
      </c>
      <c r="DC361" s="2909">
        <f>IF($A361="","",IF($AB361&amp;""='DB_設定'!$C$4,1,0))</f>
        <v>1</v>
      </c>
    </row>
    <row r="362">
      <c r="A362" t="n" s="2909">
        <v>21</v>
      </c>
      <c r="AA362" t="n" s="2909">
        <v>21</v>
      </c>
      <c r="AB362" t="inlineStr" s="2909">
        <is>
          <t>20250401</t>
        </is>
      </c>
      <c r="AD362" t="n" s="2909">
        <v>0</v>
      </c>
      <c r="AE362" t="inlineStr" s="2909">
        <is>
          <t>00000000</t>
        </is>
      </c>
      <c r="AH362" t="n" s="2909">
        <v>5</v>
      </c>
      <c r="AJ362" t="n" s="2909">
        <v>30</v>
      </c>
      <c r="AP362" t="n" s="2909">
        <v>240000</v>
      </c>
      <c r="DB362" s="2909" t="str">
        <f>IF($A362="","",IF($AH362=20,IF(AND(OR($A362=21,$A362=215),$AJ362=10),"①病院一般",IF(AND($A362=31,$AJ362=41),"②病院短期","対象外")),IF($AJ362=30,"③特定消防",IF(AND(OR($A362=21,$A362=215),$AJ362=10),"④一般",IF(AND($A362=31,$AJ362=41),"⑤短期","対象外")))))</f>
        <v>③特定消防</v>
      </c>
      <c r="DC362" s="2909">
        <f>IF($A362="","",IF($AB362&amp;""='DB_設定'!$C$4,1,0))</f>
        <v>1</v>
      </c>
    </row>
    <row r="363">
      <c r="A363" t="n" s="2909">
        <v>21</v>
      </c>
      <c r="AA363" t="n" s="2909">
        <v>21</v>
      </c>
      <c r="AB363" t="inlineStr" s="2909">
        <is>
          <t>20250401</t>
        </is>
      </c>
      <c r="AD363" t="n" s="2909">
        <v>0</v>
      </c>
      <c r="AE363" t="inlineStr" s="2909">
        <is>
          <t>00000000</t>
        </is>
      </c>
      <c r="AH363" t="n" s="2909">
        <v>5</v>
      </c>
      <c r="AJ363" t="n" s="2909">
        <v>30</v>
      </c>
      <c r="AP363" t="n" s="2909">
        <v>260000</v>
      </c>
      <c r="DB363" s="2909" t="str">
        <f>IF($A363="","",IF($AH363=20,IF(AND(OR($A363=21,$A363=215),$AJ363=10),"①病院一般",IF(AND($A363=31,$AJ363=41),"②病院短期","対象外")),IF($AJ363=30,"③特定消防",IF(AND(OR($A363=21,$A363=215),$AJ363=10),"④一般",IF(AND($A363=31,$AJ363=41),"⑤短期","対象外")))))</f>
        <v>③特定消防</v>
      </c>
      <c r="DC363" s="2909">
        <f>IF($A363="","",IF($AB363&amp;""='DB_設定'!$C$4,1,0))</f>
        <v>1</v>
      </c>
    </row>
    <row r="364">
      <c r="A364" t="n" s="2909">
        <v>21</v>
      </c>
      <c r="AA364" t="n" s="2909">
        <v>21</v>
      </c>
      <c r="AB364" t="inlineStr" s="2909">
        <is>
          <t>20250401</t>
        </is>
      </c>
      <c r="AD364" t="n" s="2909">
        <v>0</v>
      </c>
      <c r="AE364" t="inlineStr" s="2909">
        <is>
          <t>00000000</t>
        </is>
      </c>
      <c r="AH364" t="n" s="2909">
        <v>5</v>
      </c>
      <c r="AJ364" t="n" s="2909">
        <v>30</v>
      </c>
      <c r="AP364" t="n" s="2909">
        <v>260000</v>
      </c>
      <c r="DB364" s="2909" t="str">
        <f>IF($A364="","",IF($AH364=20,IF(AND(OR($A364=21,$A364=215),$AJ364=10),"①病院一般",IF(AND($A364=31,$AJ364=41),"②病院短期","対象外")),IF($AJ364=30,"③特定消防",IF(AND(OR($A364=21,$A364=215),$AJ364=10),"④一般",IF(AND($A364=31,$AJ364=41),"⑤短期","対象外")))))</f>
        <v>③特定消防</v>
      </c>
      <c r="DC364" s="2909">
        <f>IF($A364="","",IF($AB364&amp;""='DB_設定'!$C$4,1,0))</f>
        <v>1</v>
      </c>
    </row>
    <row r="365">
      <c r="A365" t="n" s="2909">
        <v>21</v>
      </c>
      <c r="AA365" t="n" s="2909">
        <v>21</v>
      </c>
      <c r="AB365" t="inlineStr" s="2909">
        <is>
          <t>20250401</t>
        </is>
      </c>
      <c r="AD365" t="n" s="2909">
        <v>0</v>
      </c>
      <c r="AE365" t="inlineStr" s="2909">
        <is>
          <t>00000000</t>
        </is>
      </c>
      <c r="AH365" t="n" s="2909">
        <v>5</v>
      </c>
      <c r="AJ365" t="n" s="2909">
        <v>30</v>
      </c>
      <c r="AP365" t="n" s="2909">
        <v>260000</v>
      </c>
      <c r="DB365" s="2909" t="str">
        <f>IF($A365="","",IF($AH365=20,IF(AND(OR($A365=21,$A365=215),$AJ365=10),"①病院一般",IF(AND($A365=31,$AJ365=41),"②病院短期","対象外")),IF($AJ365=30,"③特定消防",IF(AND(OR($A365=21,$A365=215),$AJ365=10),"④一般",IF(AND($A365=31,$AJ365=41),"⑤短期","対象外")))))</f>
        <v>③特定消防</v>
      </c>
      <c r="DC365" s="2909">
        <f>IF($A365="","",IF($AB365&amp;""='DB_設定'!$C$4,1,0))</f>
        <v>1</v>
      </c>
    </row>
    <row r="366">
      <c r="A366" t="n" s="2909">
        <v>21</v>
      </c>
      <c r="AA366" t="n" s="2909">
        <v>21</v>
      </c>
      <c r="AB366" t="inlineStr" s="2909">
        <is>
          <t>20250401</t>
        </is>
      </c>
      <c r="AD366" t="n" s="2909">
        <v>0</v>
      </c>
      <c r="AE366" t="inlineStr" s="2909">
        <is>
          <t>00000000</t>
        </is>
      </c>
      <c r="AH366" t="n" s="2909">
        <v>5</v>
      </c>
      <c r="AJ366" t="n" s="2909">
        <v>30</v>
      </c>
      <c r="AP366" t="n" s="2909">
        <v>240000</v>
      </c>
      <c r="DB366" s="2909" t="str">
        <f>IF($A366="","",IF($AH366=20,IF(AND(OR($A366=21,$A366=215),$AJ366=10),"①病院一般",IF(AND($A366=31,$AJ366=41),"②病院短期","対象外")),IF($AJ366=30,"③特定消防",IF(AND(OR($A366=21,$A366=215),$AJ366=10),"④一般",IF(AND($A366=31,$AJ366=41),"⑤短期","対象外")))))</f>
        <v>③特定消防</v>
      </c>
      <c r="DC366" s="2909">
        <f>IF($A366="","",IF($AB366&amp;""='DB_設定'!$C$4,1,0))</f>
        <v>1</v>
      </c>
    </row>
    <row r="367">
      <c r="A367" t="n" s="2909">
        <v>21</v>
      </c>
      <c r="AA367" t="n" s="2909">
        <v>21</v>
      </c>
      <c r="AB367" t="inlineStr" s="2909">
        <is>
          <t>20250401</t>
        </is>
      </c>
      <c r="AD367" t="n" s="2909">
        <v>0</v>
      </c>
      <c r="AE367" t="inlineStr" s="2909">
        <is>
          <t>00000000</t>
        </is>
      </c>
      <c r="AH367" t="n" s="2909">
        <v>5</v>
      </c>
      <c r="AJ367" t="n" s="2909">
        <v>30</v>
      </c>
      <c r="AP367" t="n" s="2909">
        <v>260000</v>
      </c>
      <c r="DB367" s="2909" t="str">
        <f>IF($A367="","",IF($AH367=20,IF(AND(OR($A367=21,$A367=215),$AJ367=10),"①病院一般",IF(AND($A367=31,$AJ367=41),"②病院短期","対象外")),IF($AJ367=30,"③特定消防",IF(AND(OR($A367=21,$A367=215),$AJ367=10),"④一般",IF(AND($A367=31,$AJ367=41),"⑤短期","対象外")))))</f>
        <v>③特定消防</v>
      </c>
      <c r="DC367" s="2909">
        <f>IF($A367="","",IF($AB367&amp;""='DB_設定'!$C$4,1,0))</f>
        <v>1</v>
      </c>
    </row>
    <row r="368">
      <c r="A368" t="n" s="2909">
        <v>21</v>
      </c>
      <c r="AA368" t="n" s="2909">
        <v>21</v>
      </c>
      <c r="AB368" t="inlineStr" s="2909">
        <is>
          <t>20250401</t>
        </is>
      </c>
      <c r="AD368" t="n" s="2909">
        <v>0</v>
      </c>
      <c r="AE368" t="inlineStr" s="2909">
        <is>
          <t>00000000</t>
        </is>
      </c>
      <c r="AH368" t="n" s="2909">
        <v>5</v>
      </c>
      <c r="AJ368" t="n" s="2909">
        <v>30</v>
      </c>
      <c r="AP368" t="n" s="2909">
        <v>240000</v>
      </c>
      <c r="DB368" s="2909" t="str">
        <f>IF($A368="","",IF($AH368=20,IF(AND(OR($A368=21,$A368=215),$AJ368=10),"①病院一般",IF(AND($A368=31,$AJ368=41),"②病院短期","対象外")),IF($AJ368=30,"③特定消防",IF(AND(OR($A368=21,$A368=215),$AJ368=10),"④一般",IF(AND($A368=31,$AJ368=41),"⑤短期","対象外")))))</f>
        <v>③特定消防</v>
      </c>
      <c r="DC368" s="2909">
        <f>IF($A368="","",IF($AB368&amp;""='DB_設定'!$C$4,1,0))</f>
        <v>1</v>
      </c>
    </row>
    <row r="369">
      <c r="A369" t="n" s="2909">
        <v>21</v>
      </c>
      <c r="AA369" t="n" s="2909">
        <v>21</v>
      </c>
      <c r="AB369" t="inlineStr" s="2909">
        <is>
          <t>20250401</t>
        </is>
      </c>
      <c r="AD369" t="n" s="2909">
        <v>0</v>
      </c>
      <c r="AE369" t="inlineStr" s="2909">
        <is>
          <t>00000000</t>
        </is>
      </c>
      <c r="AH369" t="n" s="2909">
        <v>5</v>
      </c>
      <c r="AJ369" t="n" s="2909">
        <v>30</v>
      </c>
      <c r="AP369" t="n" s="2909">
        <v>240000</v>
      </c>
      <c r="DB369" s="2909" t="str">
        <f>IF($A369="","",IF($AH369=20,IF(AND(OR($A369=21,$A369=215),$AJ369=10),"①病院一般",IF(AND($A369=31,$AJ369=41),"②病院短期","対象外")),IF($AJ369=30,"③特定消防",IF(AND(OR($A369=21,$A369=215),$AJ369=10),"④一般",IF(AND($A369=31,$AJ369=41),"⑤短期","対象外")))))</f>
        <v>③特定消防</v>
      </c>
      <c r="DC369" s="2909">
        <f>IF($A369="","",IF($AB369&amp;""='DB_設定'!$C$4,1,0))</f>
        <v>1</v>
      </c>
    </row>
    <row r="370">
      <c r="A370" t="n" s="2909">
        <v>21</v>
      </c>
      <c r="AA370" t="n" s="2909">
        <v>21</v>
      </c>
      <c r="AB370" t="inlineStr" s="2909">
        <is>
          <t>20250401</t>
        </is>
      </c>
      <c r="AD370" t="n" s="2909">
        <v>0</v>
      </c>
      <c r="AE370" t="inlineStr" s="2909">
        <is>
          <t>00000000</t>
        </is>
      </c>
      <c r="AH370" t="n" s="2909">
        <v>5</v>
      </c>
      <c r="AJ370" t="n" s="2909">
        <v>30</v>
      </c>
      <c r="AP370" t="n" s="2909">
        <v>240000</v>
      </c>
      <c r="DB370" s="2909" t="str">
        <f>IF($A370="","",IF($AH370=20,IF(AND(OR($A370=21,$A370=215),$AJ370=10),"①病院一般",IF(AND($A370=31,$AJ370=41),"②病院短期","対象外")),IF($AJ370=30,"③特定消防",IF(AND(OR($A370=21,$A370=215),$AJ370=10),"④一般",IF(AND($A370=31,$AJ370=41),"⑤短期","対象外")))))</f>
        <v>③特定消防</v>
      </c>
      <c r="DC370" s="2909">
        <f>IF($A370="","",IF($AB370&amp;""='DB_設定'!$C$4,1,0))</f>
        <v>1</v>
      </c>
    </row>
    <row r="371">
      <c r="A371" t="n" s="2909">
        <v>21</v>
      </c>
      <c r="AA371" t="n" s="2909">
        <v>21</v>
      </c>
      <c r="AB371" t="inlineStr" s="2909">
        <is>
          <t>20250401</t>
        </is>
      </c>
      <c r="AD371" t="n" s="2909">
        <v>0</v>
      </c>
      <c r="AE371" t="inlineStr" s="2909">
        <is>
          <t>00000000</t>
        </is>
      </c>
      <c r="AH371" t="n" s="2909">
        <v>5</v>
      </c>
      <c r="AJ371" t="n" s="2909">
        <v>30</v>
      </c>
      <c r="AP371" t="n" s="2909">
        <v>260000</v>
      </c>
      <c r="DB371" s="2909" t="str">
        <f>IF($A371="","",IF($AH371=20,IF(AND(OR($A371=21,$A371=215),$AJ371=10),"①病院一般",IF(AND($A371=31,$AJ371=41),"②病院短期","対象外")),IF($AJ371=30,"③特定消防",IF(AND(OR($A371=21,$A371=215),$AJ371=10),"④一般",IF(AND($A371=31,$AJ371=41),"⑤短期","対象外")))))</f>
        <v>③特定消防</v>
      </c>
      <c r="DC371" s="2909">
        <f>IF($A371="","",IF($AB371&amp;""='DB_設定'!$C$4,1,0))</f>
        <v>1</v>
      </c>
    </row>
    <row r="372">
      <c r="A372" t="n" s="2909">
        <v>21</v>
      </c>
      <c r="AA372" t="n" s="2909">
        <v>21</v>
      </c>
      <c r="AB372" t="inlineStr" s="2909">
        <is>
          <t>20250401</t>
        </is>
      </c>
      <c r="AD372" t="n" s="2909">
        <v>0</v>
      </c>
      <c r="AE372" t="inlineStr" s="2909">
        <is>
          <t>00000000</t>
        </is>
      </c>
      <c r="AH372" t="n" s="2909">
        <v>5</v>
      </c>
      <c r="AJ372" t="n" s="2909">
        <v>30</v>
      </c>
      <c r="AP372" t="n" s="2909">
        <v>260000</v>
      </c>
      <c r="DB372" s="2909" t="str">
        <f>IF($A372="","",IF($AH372=20,IF(AND(OR($A372=21,$A372=215),$AJ372=10),"①病院一般",IF(AND($A372=31,$AJ372=41),"②病院短期","対象外")),IF($AJ372=30,"③特定消防",IF(AND(OR($A372=21,$A372=215),$AJ372=10),"④一般",IF(AND($A372=31,$AJ372=41),"⑤短期","対象外")))))</f>
        <v>③特定消防</v>
      </c>
      <c r="DC372" s="2909">
        <f>IF($A372="","",IF($AB372&amp;""='DB_設定'!$C$4,1,0))</f>
        <v>1</v>
      </c>
    </row>
    <row r="373">
      <c r="A373" t="n" s="2909">
        <v>21</v>
      </c>
      <c r="AA373" t="n" s="2909">
        <v>21</v>
      </c>
      <c r="AB373" t="inlineStr" s="2909">
        <is>
          <t>20250401</t>
        </is>
      </c>
      <c r="AD373" t="n" s="2909">
        <v>0</v>
      </c>
      <c r="AE373" t="inlineStr" s="2909">
        <is>
          <t>00000000</t>
        </is>
      </c>
      <c r="AH373" t="n" s="2909">
        <v>5</v>
      </c>
      <c r="AJ373" t="n" s="2909">
        <v>30</v>
      </c>
      <c r="AP373" t="n" s="2909">
        <v>220000</v>
      </c>
      <c r="DB373" s="2909" t="str">
        <f>IF($A373="","",IF($AH373=20,IF(AND(OR($A373=21,$A373=215),$AJ373=10),"①病院一般",IF(AND($A373=31,$AJ373=41),"②病院短期","対象外")),IF($AJ373=30,"③特定消防",IF(AND(OR($A373=21,$A373=215),$AJ373=10),"④一般",IF(AND($A373=31,$AJ373=41),"⑤短期","対象外")))))</f>
        <v>③特定消防</v>
      </c>
      <c r="DC373" s="2909">
        <f>IF($A373="","",IF($AB373&amp;""='DB_設定'!$C$4,1,0))</f>
        <v>1</v>
      </c>
    </row>
    <row r="374">
      <c r="A374" t="n" s="2909">
        <v>21</v>
      </c>
      <c r="AA374" t="n" s="2909">
        <v>21</v>
      </c>
      <c r="AB374" t="inlineStr" s="2909">
        <is>
          <t>20250401</t>
        </is>
      </c>
      <c r="AD374" t="n" s="2909">
        <v>0</v>
      </c>
      <c r="AE374" t="inlineStr" s="2909">
        <is>
          <t>00000000</t>
        </is>
      </c>
      <c r="AH374" t="n" s="2909">
        <v>5</v>
      </c>
      <c r="AJ374" t="n" s="2909">
        <v>30</v>
      </c>
      <c r="AP374" t="n" s="2909">
        <v>260000</v>
      </c>
      <c r="DB374" s="2909" t="str">
        <f>IF($A374="","",IF($AH374=20,IF(AND(OR($A374=21,$A374=215),$AJ374=10),"①病院一般",IF(AND($A374=31,$AJ374=41),"②病院短期","対象外")),IF($AJ374=30,"③特定消防",IF(AND(OR($A374=21,$A374=215),$AJ374=10),"④一般",IF(AND($A374=31,$AJ374=41),"⑤短期","対象外")))))</f>
        <v>③特定消防</v>
      </c>
      <c r="DC374" s="2909">
        <f>IF($A374="","",IF($AB374&amp;""='DB_設定'!$C$4,1,0))</f>
        <v>1</v>
      </c>
    </row>
    <row r="375">
      <c r="A375" t="n" s="2909">
        <v>21</v>
      </c>
      <c r="AA375" t="n" s="2909">
        <v>21</v>
      </c>
      <c r="AB375" t="inlineStr" s="2909">
        <is>
          <t>20250401</t>
        </is>
      </c>
      <c r="AD375" t="n" s="2909">
        <v>0</v>
      </c>
      <c r="AE375" t="inlineStr" s="2909">
        <is>
          <t>00000000</t>
        </is>
      </c>
      <c r="AH375" t="n" s="2909">
        <v>5</v>
      </c>
      <c r="AJ375" t="n" s="2909">
        <v>30</v>
      </c>
      <c r="AP375" t="n" s="2909">
        <v>260000</v>
      </c>
      <c r="DB375" s="2909" t="str">
        <f>IF($A375="","",IF($AH375=20,IF(AND(OR($A375=21,$A375=215),$AJ375=10),"①病院一般",IF(AND($A375=31,$AJ375=41),"②病院短期","対象外")),IF($AJ375=30,"③特定消防",IF(AND(OR($A375=21,$A375=215),$AJ375=10),"④一般",IF(AND($A375=31,$AJ375=41),"⑤短期","対象外")))))</f>
        <v>③特定消防</v>
      </c>
      <c r="DC375" s="2909">
        <f>IF($A375="","",IF($AB375&amp;""='DB_設定'!$C$4,1,0))</f>
        <v>1</v>
      </c>
    </row>
    <row r="376">
      <c r="A376" t="n" s="2909">
        <v>21</v>
      </c>
      <c r="AA376" t="n" s="2909">
        <v>21</v>
      </c>
      <c r="AB376" t="inlineStr" s="2909">
        <is>
          <t>20250401</t>
        </is>
      </c>
      <c r="AD376" t="n" s="2909">
        <v>0</v>
      </c>
      <c r="AE376" t="inlineStr" s="2909">
        <is>
          <t>00000000</t>
        </is>
      </c>
      <c r="AH376" t="n" s="2909">
        <v>5</v>
      </c>
      <c r="AJ376" t="n" s="2909">
        <v>30</v>
      </c>
      <c r="AP376" t="n" s="2909">
        <v>260000</v>
      </c>
      <c r="DB376" s="2909" t="str">
        <f>IF($A376="","",IF($AH376=20,IF(AND(OR($A376=21,$A376=215),$AJ376=10),"①病院一般",IF(AND($A376=31,$AJ376=41),"②病院短期","対象外")),IF($AJ376=30,"③特定消防",IF(AND(OR($A376=21,$A376=215),$AJ376=10),"④一般",IF(AND($A376=31,$AJ376=41),"⑤短期","対象外")))))</f>
        <v>③特定消防</v>
      </c>
      <c r="DC376" s="2909">
        <f>IF($A376="","",IF($AB376&amp;""='DB_設定'!$C$4,1,0))</f>
        <v>1</v>
      </c>
    </row>
    <row r="377">
      <c r="A377" t="n" s="2909">
        <v>21</v>
      </c>
      <c r="AA377" t="n" s="2909">
        <v>21</v>
      </c>
      <c r="AB377" t="inlineStr" s="2909">
        <is>
          <t>20250401</t>
        </is>
      </c>
      <c r="AD377" t="n" s="2909">
        <v>0</v>
      </c>
      <c r="AE377" t="inlineStr" s="2909">
        <is>
          <t>00000000</t>
        </is>
      </c>
      <c r="AH377" t="n" s="2909">
        <v>5</v>
      </c>
      <c r="AJ377" t="n" s="2909">
        <v>30</v>
      </c>
      <c r="AP377" t="n" s="2909">
        <v>240000</v>
      </c>
      <c r="DB377" s="2909" t="str">
        <f>IF($A377="","",IF($AH377=20,IF(AND(OR($A377=21,$A377=215),$AJ377=10),"①病院一般",IF(AND($A377=31,$AJ377=41),"②病院短期","対象外")),IF($AJ377=30,"③特定消防",IF(AND(OR($A377=21,$A377=215),$AJ377=10),"④一般",IF(AND($A377=31,$AJ377=41),"⑤短期","対象外")))))</f>
        <v>③特定消防</v>
      </c>
      <c r="DC377" s="2909">
        <f>IF($A377="","",IF($AB377&amp;""='DB_設定'!$C$4,1,0))</f>
        <v>1</v>
      </c>
    </row>
    <row r="378">
      <c r="A378" t="n" s="2909">
        <v>21</v>
      </c>
      <c r="AA378" t="n" s="2909">
        <v>21</v>
      </c>
      <c r="AB378" t="inlineStr" s="2909">
        <is>
          <t>20250401</t>
        </is>
      </c>
      <c r="AD378" t="n" s="2909">
        <v>0</v>
      </c>
      <c r="AE378" t="inlineStr" s="2909">
        <is>
          <t>00000000</t>
        </is>
      </c>
      <c r="AH378" t="n" s="2909">
        <v>5</v>
      </c>
      <c r="AJ378" t="n" s="2909">
        <v>30</v>
      </c>
      <c r="AP378" t="n" s="2909">
        <v>240000</v>
      </c>
      <c r="DB378" s="2909" t="str">
        <f>IF($A378="","",IF($AH378=20,IF(AND(OR($A378=21,$A378=215),$AJ378=10),"①病院一般",IF(AND($A378=31,$AJ378=41),"②病院短期","対象外")),IF($AJ378=30,"③特定消防",IF(AND(OR($A378=21,$A378=215),$AJ378=10),"④一般",IF(AND($A378=31,$AJ378=41),"⑤短期","対象外")))))</f>
        <v>③特定消防</v>
      </c>
      <c r="DC378" s="2909">
        <f>IF($A378="","",IF($AB378&amp;""='DB_設定'!$C$4,1,0))</f>
        <v>1</v>
      </c>
    </row>
    <row r="379">
      <c r="A379" t="n" s="2909">
        <v>21</v>
      </c>
      <c r="AA379" t="n" s="2909">
        <v>21</v>
      </c>
      <c r="AB379" t="inlineStr" s="2909">
        <is>
          <t>20250401</t>
        </is>
      </c>
      <c r="AD379" t="n" s="2909">
        <v>0</v>
      </c>
      <c r="AE379" t="inlineStr" s="2909">
        <is>
          <t>00000000</t>
        </is>
      </c>
      <c r="AH379" t="n" s="2909">
        <v>5</v>
      </c>
      <c r="AJ379" t="n" s="2909">
        <v>30</v>
      </c>
      <c r="AP379" t="n" s="2909">
        <v>260000</v>
      </c>
      <c r="DB379" s="2909" t="str">
        <f>IF($A379="","",IF($AH379=20,IF(AND(OR($A379=21,$A379=215),$AJ379=10),"①病院一般",IF(AND($A379=31,$AJ379=41),"②病院短期","対象外")),IF($AJ379=30,"③特定消防",IF(AND(OR($A379=21,$A379=215),$AJ379=10),"④一般",IF(AND($A379=31,$AJ379=41),"⑤短期","対象外")))))</f>
        <v>③特定消防</v>
      </c>
      <c r="DC379" s="2909">
        <f>IF($A379="","",IF($AB379&amp;""='DB_設定'!$C$4,1,0))</f>
        <v>1</v>
      </c>
    </row>
    <row r="380">
      <c r="A380" t="n" s="2909">
        <v>21</v>
      </c>
      <c r="AA380" t="n" s="2909">
        <v>21</v>
      </c>
      <c r="AB380" t="inlineStr" s="2909">
        <is>
          <t>20250401</t>
        </is>
      </c>
      <c r="AD380" t="n" s="2909">
        <v>0</v>
      </c>
      <c r="AE380" t="inlineStr" s="2909">
        <is>
          <t>00000000</t>
        </is>
      </c>
      <c r="AH380" t="n" s="2909">
        <v>5</v>
      </c>
      <c r="AJ380" t="n" s="2909">
        <v>30</v>
      </c>
      <c r="AP380" t="n" s="2909">
        <v>240000</v>
      </c>
      <c r="DB380" s="2909" t="str">
        <f>IF($A380="","",IF($AH380=20,IF(AND(OR($A380=21,$A380=215),$AJ380=10),"①病院一般",IF(AND($A380=31,$AJ380=41),"②病院短期","対象外")),IF($AJ380=30,"③特定消防",IF(AND(OR($A380=21,$A380=215),$AJ380=10),"④一般",IF(AND($A380=31,$AJ380=41),"⑤短期","対象外")))))</f>
        <v>③特定消防</v>
      </c>
      <c r="DC380" s="2909">
        <f>IF($A380="","",IF($AB380&amp;""='DB_設定'!$C$4,1,0))</f>
        <v>1</v>
      </c>
    </row>
    <row r="381">
      <c r="A381" t="n" s="2909">
        <v>21</v>
      </c>
      <c r="AA381" t="n" s="2909">
        <v>21</v>
      </c>
      <c r="AB381" t="inlineStr" s="2909">
        <is>
          <t>20250401</t>
        </is>
      </c>
      <c r="AD381" t="n" s="2909">
        <v>0</v>
      </c>
      <c r="AE381" t="inlineStr" s="2909">
        <is>
          <t>00000000</t>
        </is>
      </c>
      <c r="AH381" t="n" s="2909">
        <v>5</v>
      </c>
      <c r="AJ381" t="n" s="2909">
        <v>30</v>
      </c>
      <c r="AP381" t="n" s="2909">
        <v>260000</v>
      </c>
      <c r="DB381" s="2909" t="str">
        <f>IF($A381="","",IF($AH381=20,IF(AND(OR($A381=21,$A381=215),$AJ381=10),"①病院一般",IF(AND($A381=31,$AJ381=41),"②病院短期","対象外")),IF($AJ381=30,"③特定消防",IF(AND(OR($A381=21,$A381=215),$AJ381=10),"④一般",IF(AND($A381=31,$AJ381=41),"⑤短期","対象外")))))</f>
        <v>③特定消防</v>
      </c>
      <c r="DC381" s="2909">
        <f>IF($A381="","",IF($AB381&amp;""='DB_設定'!$C$4,1,0))</f>
        <v>1</v>
      </c>
    </row>
    <row r="382">
      <c r="A382" t="n" s="2909">
        <v>21</v>
      </c>
      <c r="AA382" t="n" s="2909">
        <v>21</v>
      </c>
      <c r="AB382" t="inlineStr" s="2909">
        <is>
          <t>20250401</t>
        </is>
      </c>
      <c r="AD382" t="n" s="2909">
        <v>0</v>
      </c>
      <c r="AE382" t="inlineStr" s="2909">
        <is>
          <t>00000000</t>
        </is>
      </c>
      <c r="AH382" t="n" s="2909">
        <v>5</v>
      </c>
      <c r="AJ382" t="n" s="2909">
        <v>30</v>
      </c>
      <c r="AP382" t="n" s="2909">
        <v>260000</v>
      </c>
      <c r="DB382" s="2909" t="str">
        <f>IF($A382="","",IF($AH382=20,IF(AND(OR($A382=21,$A382=215),$AJ382=10),"①病院一般",IF(AND($A382=31,$AJ382=41),"②病院短期","対象外")),IF($AJ382=30,"③特定消防",IF(AND(OR($A382=21,$A382=215),$AJ382=10),"④一般",IF(AND($A382=31,$AJ382=41),"⑤短期","対象外")))))</f>
        <v>③特定消防</v>
      </c>
      <c r="DC382" s="2909">
        <f>IF($A382="","",IF($AB382&amp;""='DB_設定'!$C$4,1,0))</f>
        <v>1</v>
      </c>
    </row>
    <row r="383">
      <c r="A383" t="n" s="2909">
        <v>21</v>
      </c>
      <c r="AA383" t="n" s="2909">
        <v>21</v>
      </c>
      <c r="AB383" t="inlineStr" s="2909">
        <is>
          <t>20250401</t>
        </is>
      </c>
      <c r="AD383" t="n" s="2909">
        <v>0</v>
      </c>
      <c r="AE383" t="inlineStr" s="2909">
        <is>
          <t>00000000</t>
        </is>
      </c>
      <c r="AH383" t="n" s="2909">
        <v>1</v>
      </c>
      <c r="AJ383" t="n" s="2909">
        <v>10</v>
      </c>
      <c r="AP383" t="n" s="2909">
        <v>470000</v>
      </c>
      <c r="DB383" s="2909" t="str">
        <f>IF($A383="","",IF($AH383=20,IF(AND(OR($A383=21,$A383=215),$AJ383=10),"①病院一般",IF(AND($A383=31,$AJ383=41),"②病院短期","対象外")),IF($AJ383=30,"③特定消防",IF(AND(OR($A383=21,$A383=215),$AJ383=10),"④一般",IF(AND($A383=31,$AJ383=41),"⑤短期","対象外")))))</f>
        <v>④一般</v>
      </c>
      <c r="DC383" s="2909">
        <f>IF($A383="","",IF($AB383&amp;""='DB_設定'!$C$4,1,0))</f>
        <v>1</v>
      </c>
    </row>
    <row r="384">
      <c r="A384" t="n" s="2909">
        <v>21</v>
      </c>
      <c r="AA384" t="n" s="2909">
        <v>21</v>
      </c>
      <c r="AB384" t="inlineStr" s="2909">
        <is>
          <t>20250401</t>
        </is>
      </c>
      <c r="AD384" t="n" s="2909">
        <v>0</v>
      </c>
      <c r="AE384" t="inlineStr" s="2909">
        <is>
          <t>00000000</t>
        </is>
      </c>
      <c r="AH384" t="n" s="2909">
        <v>1</v>
      </c>
      <c r="AJ384" t="n" s="2909">
        <v>10</v>
      </c>
      <c r="AP384" t="n" s="2909">
        <v>320000</v>
      </c>
      <c r="DB384" s="2909" t="str">
        <f>IF($A384="","",IF($AH384=20,IF(AND(OR($A384=21,$A384=215),$AJ384=10),"①病院一般",IF(AND($A384=31,$AJ384=41),"②病院短期","対象外")),IF($AJ384=30,"③特定消防",IF(AND(OR($A384=21,$A384=215),$AJ384=10),"④一般",IF(AND($A384=31,$AJ384=41),"⑤短期","対象外")))))</f>
        <v>④一般</v>
      </c>
      <c r="DC384" s="2909">
        <f>IF($A384="","",IF($AB384&amp;""='DB_設定'!$C$4,1,0))</f>
        <v>1</v>
      </c>
    </row>
    <row r="385">
      <c r="A385" t="n" s="2909">
        <v>21</v>
      </c>
      <c r="AA385" t="n" s="2909">
        <v>21</v>
      </c>
      <c r="AB385" t="inlineStr" s="2909">
        <is>
          <t>20250401</t>
        </is>
      </c>
      <c r="AD385" t="n" s="2909">
        <v>0</v>
      </c>
      <c r="AE385" t="inlineStr" s="2909">
        <is>
          <t>00000000</t>
        </is>
      </c>
      <c r="AH385" t="n" s="2909">
        <v>1</v>
      </c>
      <c r="AJ385" t="n" s="2909">
        <v>10</v>
      </c>
      <c r="AP385" t="n" s="2909">
        <v>930000</v>
      </c>
      <c r="DB385" s="2909" t="str">
        <f>IF($A385="","",IF($AH385=20,IF(AND(OR($A385=21,$A385=215),$AJ385=10),"①病院一般",IF(AND($A385=31,$AJ385=41),"②病院短期","対象外")),IF($AJ385=30,"③特定消防",IF(AND(OR($A385=21,$A385=215),$AJ385=10),"④一般",IF(AND($A385=31,$AJ385=41),"⑤短期","対象外")))))</f>
        <v>④一般</v>
      </c>
      <c r="DC385" s="2909">
        <f>IF($A385="","",IF($AB385&amp;""='DB_設定'!$C$4,1,0))</f>
        <v>1</v>
      </c>
    </row>
    <row r="386">
      <c r="A386" t="n" s="2909">
        <v>21</v>
      </c>
      <c r="AA386" t="n" s="2909">
        <v>21</v>
      </c>
      <c r="AB386" t="inlineStr" s="2909">
        <is>
          <t>20250401</t>
        </is>
      </c>
      <c r="AD386" t="n" s="2909">
        <v>0</v>
      </c>
      <c r="AE386" t="inlineStr" s="2909">
        <is>
          <t>00000000</t>
        </is>
      </c>
      <c r="AH386" t="n" s="2909">
        <v>32</v>
      </c>
      <c r="AJ386" t="n" s="2909">
        <v>74</v>
      </c>
      <c r="AP386" t="n" s="2909">
        <v>1030000</v>
      </c>
      <c r="DB386" s="2909" t="str">
        <f>IF($A386="","",IF($AH386=20,IF(AND(OR($A386=21,$A386=215),$AJ386=10),"①病院一般",IF(AND($A386=31,$AJ386=41),"②病院短期","対象外")),IF($AJ386=30,"③特定消防",IF(AND(OR($A386=21,$A386=215),$AJ386=10),"④一般",IF(AND($A386=31,$AJ386=41),"⑤短期","対象外")))))</f>
        <v>対象外</v>
      </c>
      <c r="DC386" s="2909">
        <f>IF($A386="","",IF($AB386&amp;""='DB_設定'!$C$4,1,0))</f>
        <v>1</v>
      </c>
    </row>
    <row r="387">
      <c r="A387" t="n" s="2909">
        <v>21</v>
      </c>
      <c r="AA387" t="n" s="2909">
        <v>21</v>
      </c>
      <c r="AB387" t="inlineStr" s="2909">
        <is>
          <t>20250401</t>
        </is>
      </c>
      <c r="AD387" t="n" s="2909">
        <v>0</v>
      </c>
      <c r="AE387" t="inlineStr" s="2909">
        <is>
          <t>00000000</t>
        </is>
      </c>
      <c r="AH387" t="n" s="2909">
        <v>1</v>
      </c>
      <c r="AJ387" t="n" s="2909">
        <v>10</v>
      </c>
      <c r="AP387" t="n" s="2909">
        <v>750000</v>
      </c>
      <c r="DB387" s="2909" t="str">
        <f>IF($A387="","",IF($AH387=20,IF(AND(OR($A387=21,$A387=215),$AJ387=10),"①病院一般",IF(AND($A387=31,$AJ387=41),"②病院短期","対象外")),IF($AJ387=30,"③特定消防",IF(AND(OR($A387=21,$A387=215),$AJ387=10),"④一般",IF(AND($A387=31,$AJ387=41),"⑤短期","対象外")))))</f>
        <v>④一般</v>
      </c>
      <c r="DC387" s="2909">
        <f>IF($A387="","",IF($AB387&amp;""='DB_設定'!$C$4,1,0))</f>
        <v>1</v>
      </c>
    </row>
    <row r="388">
      <c r="A388" t="n" s="2909">
        <v>21</v>
      </c>
      <c r="AA388" t="n" s="2909">
        <v>21</v>
      </c>
      <c r="AB388" t="inlineStr" s="2909">
        <is>
          <t>20250401</t>
        </is>
      </c>
      <c r="AD388" t="n" s="2909">
        <v>0</v>
      </c>
      <c r="AE388" t="inlineStr" s="2909">
        <is>
          <t>00000000</t>
        </is>
      </c>
      <c r="AH388" t="n" s="2909">
        <v>1</v>
      </c>
      <c r="AJ388" t="n" s="2909">
        <v>10</v>
      </c>
      <c r="AP388" t="n" s="2909">
        <v>320000</v>
      </c>
      <c r="DB388" s="2909" t="str">
        <f>IF($A388="","",IF($AH388=20,IF(AND(OR($A388=21,$A388=215),$AJ388=10),"①病院一般",IF(AND($A388=31,$AJ388=41),"②病院短期","対象外")),IF($AJ388=30,"③特定消防",IF(AND(OR($A388=21,$A388=215),$AJ388=10),"④一般",IF(AND($A388=31,$AJ388=41),"⑤短期","対象外")))))</f>
        <v>④一般</v>
      </c>
      <c r="DC388" s="2909">
        <f>IF($A388="","",IF($AB388&amp;""='DB_設定'!$C$4,1,0))</f>
        <v>1</v>
      </c>
    </row>
    <row r="389">
      <c r="A389" t="n" s="2909">
        <v>21</v>
      </c>
      <c r="AA389" t="n" s="2909">
        <v>21</v>
      </c>
      <c r="AB389" t="inlineStr" s="2909">
        <is>
          <t>20250401</t>
        </is>
      </c>
      <c r="AD389" t="n" s="2909">
        <v>0</v>
      </c>
      <c r="AE389" t="inlineStr" s="2909">
        <is>
          <t>00000000</t>
        </is>
      </c>
      <c r="AH389" t="n" s="2909">
        <v>1</v>
      </c>
      <c r="AJ389" t="n" s="2909">
        <v>10</v>
      </c>
      <c r="AP389" t="n" s="2909">
        <v>320000</v>
      </c>
      <c r="DB389" s="2909" t="str">
        <f>IF($A389="","",IF($AH389=20,IF(AND(OR($A389=21,$A389=215),$AJ389=10),"①病院一般",IF(AND($A389=31,$AJ389=41),"②病院短期","対象外")),IF($AJ389=30,"③特定消防",IF(AND(OR($A389=21,$A389=215),$AJ389=10),"④一般",IF(AND($A389=31,$AJ389=41),"⑤短期","対象外")))))</f>
        <v>④一般</v>
      </c>
      <c r="DC389" s="2909">
        <f>IF($A389="","",IF($AB389&amp;""='DB_設定'!$C$4,1,0))</f>
        <v>1</v>
      </c>
    </row>
    <row r="390">
      <c r="A390" t="n" s="2909">
        <v>21</v>
      </c>
      <c r="AA390" t="n" s="2909">
        <v>21</v>
      </c>
      <c r="AB390" t="inlineStr" s="2909">
        <is>
          <t>20250401</t>
        </is>
      </c>
      <c r="AD390" t="n" s="2909">
        <v>0</v>
      </c>
      <c r="AE390" t="inlineStr" s="2909">
        <is>
          <t>00000000</t>
        </is>
      </c>
      <c r="AH390" t="n" s="2909">
        <v>1</v>
      </c>
      <c r="AJ390" t="n" s="2909">
        <v>10</v>
      </c>
      <c r="AP390" t="n" s="2909">
        <v>360000</v>
      </c>
      <c r="DB390" s="2909" t="str">
        <f>IF($A390="","",IF($AH390=20,IF(AND(OR($A390=21,$A390=215),$AJ390=10),"①病院一般",IF(AND($A390=31,$AJ390=41),"②病院短期","対象外")),IF($AJ390=30,"③特定消防",IF(AND(OR($A390=21,$A390=215),$AJ390=10),"④一般",IF(AND($A390=31,$AJ390=41),"⑤短期","対象外")))))</f>
        <v>④一般</v>
      </c>
      <c r="DC390" s="2909">
        <f>IF($A390="","",IF($AB390&amp;""='DB_設定'!$C$4,1,0))</f>
        <v>1</v>
      </c>
    </row>
    <row r="391">
      <c r="A391" t="n" s="2909">
        <v>21</v>
      </c>
      <c r="AA391" t="n" s="2909">
        <v>21</v>
      </c>
      <c r="AB391" t="inlineStr" s="2909">
        <is>
          <t>20250401</t>
        </is>
      </c>
      <c r="AD391" t="n" s="2909">
        <v>0</v>
      </c>
      <c r="AE391" t="inlineStr" s="2909">
        <is>
          <t>00000000</t>
        </is>
      </c>
      <c r="AH391" t="n" s="2909">
        <v>5</v>
      </c>
      <c r="AJ391" t="n" s="2909">
        <v>30</v>
      </c>
      <c r="AP391" t="n" s="2909">
        <v>320000</v>
      </c>
      <c r="DB391" s="2909" t="str">
        <f>IF($A391="","",IF($AH391=20,IF(AND(OR($A391=21,$A391=215),$AJ391=10),"①病院一般",IF(AND($A391=31,$AJ391=41),"②病院短期","対象外")),IF($AJ391=30,"③特定消防",IF(AND(OR($A391=21,$A391=215),$AJ391=10),"④一般",IF(AND($A391=31,$AJ391=41),"⑤短期","対象外")))))</f>
        <v>③特定消防</v>
      </c>
      <c r="DC391" s="2909">
        <f>IF($A391="","",IF($AB391&amp;""='DB_設定'!$C$4,1,0))</f>
        <v>1</v>
      </c>
    </row>
    <row r="392">
      <c r="A392" t="n" s="2909">
        <v>21</v>
      </c>
      <c r="AA392" t="n" s="2909">
        <v>21</v>
      </c>
      <c r="AB392" t="inlineStr" s="2909">
        <is>
          <t>20250401</t>
        </is>
      </c>
      <c r="AD392" t="n" s="2909">
        <v>0</v>
      </c>
      <c r="AE392" t="inlineStr" s="2909">
        <is>
          <t>00000000</t>
        </is>
      </c>
      <c r="AH392" t="n" s="2909">
        <v>1</v>
      </c>
      <c r="AJ392" t="n" s="2909">
        <v>10</v>
      </c>
      <c r="AP392" t="n" s="2909">
        <v>470000</v>
      </c>
      <c r="DB392" s="2909" t="str">
        <f>IF($A392="","",IF($AH392=20,IF(AND(OR($A392=21,$A392=215),$AJ392=10),"①病院一般",IF(AND($A392=31,$AJ392=41),"②病院短期","対象外")),IF($AJ392=30,"③特定消防",IF(AND(OR($A392=21,$A392=215),$AJ392=10),"④一般",IF(AND($A392=31,$AJ392=41),"⑤短期","対象外")))))</f>
        <v>④一般</v>
      </c>
      <c r="DC392" s="2909">
        <f>IF($A392="","",IF($AB392&amp;""='DB_設定'!$C$4,1,0))</f>
        <v>1</v>
      </c>
    </row>
    <row r="393">
      <c r="A393" t="n" s="2909">
        <v>21</v>
      </c>
      <c r="AA393" t="n" s="2909">
        <v>21</v>
      </c>
      <c r="AB393" t="inlineStr" s="2909">
        <is>
          <t>20250401</t>
        </is>
      </c>
      <c r="AD393" t="n" s="2909">
        <v>0</v>
      </c>
      <c r="AE393" t="inlineStr" s="2909">
        <is>
          <t>00000000</t>
        </is>
      </c>
      <c r="AH393" t="n" s="2909">
        <v>1</v>
      </c>
      <c r="AJ393" t="n" s="2909">
        <v>10</v>
      </c>
      <c r="AP393" t="n" s="2909">
        <v>300000</v>
      </c>
      <c r="DB393" s="2909" t="str">
        <f>IF($A393="","",IF($AH393=20,IF(AND(OR($A393=21,$A393=215),$AJ393=10),"①病院一般",IF(AND($A393=31,$AJ393=41),"②病院短期","対象外")),IF($AJ393=30,"③特定消防",IF(AND(OR($A393=21,$A393=215),$AJ393=10),"④一般",IF(AND($A393=31,$AJ393=41),"⑤短期","対象外")))))</f>
        <v>④一般</v>
      </c>
      <c r="DC393" s="2909">
        <f>IF($A393="","",IF($AB393&amp;""='DB_設定'!$C$4,1,0))</f>
        <v>1</v>
      </c>
    </row>
    <row r="394">
      <c r="A394" t="n" s="2909">
        <v>21</v>
      </c>
      <c r="AA394" t="n" s="2909">
        <v>21</v>
      </c>
      <c r="AB394" t="inlineStr" s="2909">
        <is>
          <t>20250401</t>
        </is>
      </c>
      <c r="AD394" t="n" s="2909">
        <v>0</v>
      </c>
      <c r="AE394" t="inlineStr" s="2909">
        <is>
          <t>00000000</t>
        </is>
      </c>
      <c r="AH394" t="n" s="2909">
        <v>1</v>
      </c>
      <c r="AJ394" t="n" s="2909">
        <v>10</v>
      </c>
      <c r="AP394" t="n" s="2909">
        <v>300000</v>
      </c>
      <c r="DB394" s="2909" t="str">
        <f>IF($A394="","",IF($AH394=20,IF(AND(OR($A394=21,$A394=215),$AJ394=10),"①病院一般",IF(AND($A394=31,$AJ394=41),"②病院短期","対象外")),IF($AJ394=30,"③特定消防",IF(AND(OR($A394=21,$A394=215),$AJ394=10),"④一般",IF(AND($A394=31,$AJ394=41),"⑤短期","対象外")))))</f>
        <v>④一般</v>
      </c>
      <c r="DC394" s="2909">
        <f>IF($A394="","",IF($AB394&amp;""='DB_設定'!$C$4,1,0))</f>
        <v>1</v>
      </c>
    </row>
    <row r="395">
      <c r="A395" t="n" s="2909">
        <v>21</v>
      </c>
      <c r="AA395" t="n" s="2909">
        <v>21</v>
      </c>
      <c r="AB395" t="inlineStr" s="2909">
        <is>
          <t>20250401</t>
        </is>
      </c>
      <c r="AD395" t="n" s="2909">
        <v>0</v>
      </c>
      <c r="AE395" t="inlineStr" s="2909">
        <is>
          <t>00000000</t>
        </is>
      </c>
      <c r="AH395" t="n" s="2909">
        <v>1</v>
      </c>
      <c r="AJ395" t="n" s="2909">
        <v>10</v>
      </c>
      <c r="AP395" t="n" s="2909">
        <v>340000</v>
      </c>
      <c r="DB395" s="2909" t="str">
        <f>IF($A395="","",IF($AH395=20,IF(AND(OR($A395=21,$A395=215),$AJ395=10),"①病院一般",IF(AND($A395=31,$AJ395=41),"②病院短期","対象外")),IF($AJ395=30,"③特定消防",IF(AND(OR($A395=21,$A395=215),$AJ395=10),"④一般",IF(AND($A395=31,$AJ395=41),"⑤短期","対象外")))))</f>
        <v>④一般</v>
      </c>
      <c r="DC395" s="2909">
        <f>IF($A395="","",IF($AB395&amp;""='DB_設定'!$C$4,1,0))</f>
        <v>1</v>
      </c>
    </row>
    <row r="396">
      <c r="A396" t="n" s="2909">
        <v>21</v>
      </c>
      <c r="AA396" t="n" s="2909">
        <v>21</v>
      </c>
      <c r="AB396" t="inlineStr" s="2909">
        <is>
          <t>20250401</t>
        </is>
      </c>
      <c r="AD396" t="n" s="2909">
        <v>0</v>
      </c>
      <c r="AE396" t="inlineStr" s="2909">
        <is>
          <t>00000000</t>
        </is>
      </c>
      <c r="AH396" t="n" s="2909">
        <v>11</v>
      </c>
      <c r="AJ396" t="n" s="2909">
        <v>10</v>
      </c>
      <c r="AP396" t="n" s="2909">
        <v>260000</v>
      </c>
      <c r="DB396" s="2909" t="str">
        <f>IF($A396="","",IF($AH396=20,IF(AND(OR($A396=21,$A396=215),$AJ396=10),"①病院一般",IF(AND($A396=31,$AJ396=41),"②病院短期","対象外")),IF($AJ396=30,"③特定消防",IF(AND(OR($A396=21,$A396=215),$AJ396=10),"④一般",IF(AND($A396=31,$AJ396=41),"⑤短期","対象外")))))</f>
        <v>④一般</v>
      </c>
      <c r="DC396" s="2909">
        <f>IF($A396="","",IF($AB396&amp;""='DB_設定'!$C$4,1,0))</f>
        <v>1</v>
      </c>
    </row>
    <row r="397">
      <c r="A397" t="n" s="2909">
        <v>21</v>
      </c>
      <c r="AA397" t="n" s="2909">
        <v>21</v>
      </c>
      <c r="AB397" t="inlineStr" s="2909">
        <is>
          <t>20250401</t>
        </is>
      </c>
      <c r="AD397" t="n" s="2909">
        <v>0</v>
      </c>
      <c r="AE397" t="inlineStr" s="2909">
        <is>
          <t>00000000</t>
        </is>
      </c>
      <c r="AH397" t="n" s="2909">
        <v>11</v>
      </c>
      <c r="AJ397" t="n" s="2909">
        <v>10</v>
      </c>
      <c r="AP397" t="n" s="2909">
        <v>260000</v>
      </c>
      <c r="DB397" s="2909" t="str">
        <f>IF($A397="","",IF($AH397=20,IF(AND(OR($A397=21,$A397=215),$AJ397=10),"①病院一般",IF(AND($A397=31,$AJ397=41),"②病院短期","対象外")),IF($AJ397=30,"③特定消防",IF(AND(OR($A397=21,$A397=215),$AJ397=10),"④一般",IF(AND($A397=31,$AJ397=41),"⑤短期","対象外")))))</f>
        <v>④一般</v>
      </c>
      <c r="DC397" s="2909">
        <f>IF($A397="","",IF($AB397&amp;""='DB_設定'!$C$4,1,0))</f>
        <v>1</v>
      </c>
    </row>
    <row r="398">
      <c r="A398" t="n" s="2909">
        <v>21</v>
      </c>
      <c r="AA398" t="n" s="2909">
        <v>21</v>
      </c>
      <c r="AB398" t="inlineStr" s="2909">
        <is>
          <t>20250401</t>
        </is>
      </c>
      <c r="AD398" t="n" s="2909">
        <v>0</v>
      </c>
      <c r="AE398" t="inlineStr" s="2909">
        <is>
          <t>00000000</t>
        </is>
      </c>
      <c r="AH398" t="n" s="2909">
        <v>11</v>
      </c>
      <c r="AJ398" t="n" s="2909">
        <v>10</v>
      </c>
      <c r="AP398" t="n" s="2909">
        <v>260000</v>
      </c>
      <c r="DB398" s="2909" t="str">
        <f>IF($A398="","",IF($AH398=20,IF(AND(OR($A398=21,$A398=215),$AJ398=10),"①病院一般",IF(AND($A398=31,$AJ398=41),"②病院短期","対象外")),IF($AJ398=30,"③特定消防",IF(AND(OR($A398=21,$A398=215),$AJ398=10),"④一般",IF(AND($A398=31,$AJ398=41),"⑤短期","対象外")))))</f>
        <v>④一般</v>
      </c>
      <c r="DC398" s="2909">
        <f>IF($A398="","",IF($AB398&amp;""='DB_設定'!$C$4,1,0))</f>
        <v>1</v>
      </c>
    </row>
    <row r="399">
      <c r="A399" t="n" s="2909">
        <v>21</v>
      </c>
      <c r="AA399" t="n" s="2909">
        <v>21</v>
      </c>
      <c r="AB399" t="inlineStr" s="2909">
        <is>
          <t>20250401</t>
        </is>
      </c>
      <c r="AD399" t="n" s="2909">
        <v>0</v>
      </c>
      <c r="AE399" t="inlineStr" s="2909">
        <is>
          <t>00000000</t>
        </is>
      </c>
      <c r="AH399" t="n" s="2909">
        <v>60</v>
      </c>
      <c r="AJ399" t="n" s="2909">
        <v>74</v>
      </c>
      <c r="AP399" t="n" s="2909">
        <v>750000</v>
      </c>
      <c r="DB399" s="2909" t="str">
        <f>IF($A399="","",IF($AH399=20,IF(AND(OR($A399=21,$A399=215),$AJ399=10),"①病院一般",IF(AND($A399=31,$AJ399=41),"②病院短期","対象外")),IF($AJ399=30,"③特定消防",IF(AND(OR($A399=21,$A399=215),$AJ399=10),"④一般",IF(AND($A399=31,$AJ399=41),"⑤短期","対象外")))))</f>
        <v>対象外</v>
      </c>
      <c r="DC399" s="2909">
        <f>IF($A399="","",IF($AB399&amp;""='DB_設定'!$C$4,1,0))</f>
        <v>1</v>
      </c>
    </row>
    <row r="400">
      <c r="A400" t="n" s="2909">
        <v>21</v>
      </c>
      <c r="AA400" t="n" s="2909">
        <v>21</v>
      </c>
      <c r="AB400" t="inlineStr" s="2909">
        <is>
          <t>20250401</t>
        </is>
      </c>
      <c r="AD400" t="n" s="2909">
        <v>0</v>
      </c>
      <c r="AE400" t="inlineStr" s="2909">
        <is>
          <t>00000000</t>
        </is>
      </c>
      <c r="AH400" t="n" s="2909">
        <v>1</v>
      </c>
      <c r="AJ400" t="n" s="2909">
        <v>10</v>
      </c>
      <c r="AP400" t="n" s="2909">
        <v>280000</v>
      </c>
      <c r="DB400" s="2909" t="str">
        <f>IF($A400="","",IF($AH400=20,IF(AND(OR($A400=21,$A400=215),$AJ400=10),"①病院一般",IF(AND($A400=31,$AJ400=41),"②病院短期","対象外")),IF($AJ400=30,"③特定消防",IF(AND(OR($A400=21,$A400=215),$AJ400=10),"④一般",IF(AND($A400=31,$AJ400=41),"⑤短期","対象外")))))</f>
        <v>④一般</v>
      </c>
      <c r="DC400" s="2909">
        <f>IF($A400="","",IF($AB400&amp;""='DB_設定'!$C$4,1,0))</f>
        <v>1</v>
      </c>
    </row>
    <row r="401">
      <c r="A401" t="n" s="2909">
        <v>21</v>
      </c>
      <c r="AA401" t="n" s="2909">
        <v>21</v>
      </c>
      <c r="AB401" t="inlineStr" s="2909">
        <is>
          <t>20250401</t>
        </is>
      </c>
      <c r="AD401" t="n" s="2909">
        <v>0</v>
      </c>
      <c r="AE401" t="inlineStr" s="2909">
        <is>
          <t>00000000</t>
        </is>
      </c>
      <c r="AH401" t="n" s="2909">
        <v>3</v>
      </c>
      <c r="AJ401" t="n" s="2909">
        <v>10</v>
      </c>
      <c r="AP401" t="n" s="2909">
        <v>320000</v>
      </c>
      <c r="DB401" s="2909" t="str">
        <f>IF($A401="","",IF($AH401=20,IF(AND(OR($A401=21,$A401=215),$AJ401=10),"①病院一般",IF(AND($A401=31,$AJ401=41),"②病院短期","対象外")),IF($AJ401=30,"③特定消防",IF(AND(OR($A401=21,$A401=215),$AJ401=10),"④一般",IF(AND($A401=31,$AJ401=41),"⑤短期","対象外")))))</f>
        <v>④一般</v>
      </c>
      <c r="DC401" s="2909">
        <f>IF($A401="","",IF($AB401&amp;""='DB_設定'!$C$4,1,0))</f>
        <v>1</v>
      </c>
    </row>
    <row r="402">
      <c r="A402" t="n" s="2909">
        <v>21</v>
      </c>
      <c r="AA402" t="n" s="2909">
        <v>21</v>
      </c>
      <c r="AB402" t="inlineStr" s="2909">
        <is>
          <t>20250401</t>
        </is>
      </c>
      <c r="AD402" t="n" s="2909">
        <v>0</v>
      </c>
      <c r="AE402" t="inlineStr" s="2909">
        <is>
          <t>00000000</t>
        </is>
      </c>
      <c r="AH402" t="n" s="2909">
        <v>3</v>
      </c>
      <c r="AJ402" t="n" s="2909">
        <v>10</v>
      </c>
      <c r="AP402" t="n" s="2909">
        <v>320000</v>
      </c>
      <c r="DB402" s="2909" t="str">
        <f>IF($A402="","",IF($AH402=20,IF(AND(OR($A402=21,$A402=215),$AJ402=10),"①病院一般",IF(AND($A402=31,$AJ402=41),"②病院短期","対象外")),IF($AJ402=30,"③特定消防",IF(AND(OR($A402=21,$A402=215),$AJ402=10),"④一般",IF(AND($A402=31,$AJ402=41),"⑤短期","対象外")))))</f>
        <v>④一般</v>
      </c>
      <c r="DC402" s="2909">
        <f>IF($A402="","",IF($AB402&amp;""='DB_設定'!$C$4,1,0))</f>
        <v>1</v>
      </c>
    </row>
    <row r="403">
      <c r="A403" t="n" s="2909">
        <v>21</v>
      </c>
      <c r="AA403" t="n" s="2909">
        <v>21</v>
      </c>
      <c r="AB403" t="inlineStr" s="2909">
        <is>
          <t>20250401</t>
        </is>
      </c>
      <c r="AD403" t="n" s="2909">
        <v>0</v>
      </c>
      <c r="AE403" t="inlineStr" s="2909">
        <is>
          <t>00000000</t>
        </is>
      </c>
      <c r="AH403" t="n" s="2909">
        <v>3</v>
      </c>
      <c r="AJ403" t="n" s="2909">
        <v>10</v>
      </c>
      <c r="AP403" t="n" s="2909">
        <v>300000</v>
      </c>
      <c r="DB403" s="2909" t="str">
        <f>IF($A403="","",IF($AH403=20,IF(AND(OR($A403=21,$A403=215),$AJ403=10),"①病院一般",IF(AND($A403=31,$AJ403=41),"②病院短期","対象外")),IF($AJ403=30,"③特定消防",IF(AND(OR($A403=21,$A403=215),$AJ403=10),"④一般",IF(AND($A403=31,$AJ403=41),"⑤短期","対象外")))))</f>
        <v>④一般</v>
      </c>
      <c r="DC403" s="2909">
        <f>IF($A403="","",IF($AB403&amp;""='DB_設定'!$C$4,1,0))</f>
        <v>1</v>
      </c>
    </row>
    <row r="404">
      <c r="A404" t="n" s="2909">
        <v>21</v>
      </c>
      <c r="AA404" t="n" s="2909">
        <v>21</v>
      </c>
      <c r="AB404" t="inlineStr" s="2909">
        <is>
          <t>20250401</t>
        </is>
      </c>
      <c r="AD404" t="n" s="2909">
        <v>0</v>
      </c>
      <c r="AE404" t="inlineStr" s="2909">
        <is>
          <t>00000000</t>
        </is>
      </c>
      <c r="AH404" t="n" s="2909">
        <v>3</v>
      </c>
      <c r="AJ404" t="n" s="2909">
        <v>10</v>
      </c>
      <c r="AP404" t="n" s="2909">
        <v>380000</v>
      </c>
      <c r="DB404" s="2909" t="str">
        <f>IF($A404="","",IF($AH404=20,IF(AND(OR($A404=21,$A404=215),$AJ404=10),"①病院一般",IF(AND($A404=31,$AJ404=41),"②病院短期","対象外")),IF($AJ404=30,"③特定消防",IF(AND(OR($A404=21,$A404=215),$AJ404=10),"④一般",IF(AND($A404=31,$AJ404=41),"⑤短期","対象外")))))</f>
        <v>④一般</v>
      </c>
      <c r="DC404" s="2909">
        <f>IF($A404="","",IF($AB404&amp;""='DB_設定'!$C$4,1,0))</f>
        <v>1</v>
      </c>
    </row>
    <row r="405">
      <c r="A405" t="n" s="2909">
        <v>21</v>
      </c>
      <c r="AA405" t="n" s="2909">
        <v>21</v>
      </c>
      <c r="AB405" t="inlineStr" s="2909">
        <is>
          <t>20250401</t>
        </is>
      </c>
      <c r="AD405" t="n" s="2909">
        <v>0</v>
      </c>
      <c r="AE405" t="inlineStr" s="2909">
        <is>
          <t>00000000</t>
        </is>
      </c>
      <c r="AH405" t="n" s="2909">
        <v>3</v>
      </c>
      <c r="AJ405" t="n" s="2909">
        <v>10</v>
      </c>
      <c r="AP405" t="n" s="2909">
        <v>340000</v>
      </c>
      <c r="DB405" s="2909" t="str">
        <f>IF($A405="","",IF($AH405=20,IF(AND(OR($A405=21,$A405=215),$AJ405=10),"①病院一般",IF(AND($A405=31,$AJ405=41),"②病院短期","対象外")),IF($AJ405=30,"③特定消防",IF(AND(OR($A405=21,$A405=215),$AJ405=10),"④一般",IF(AND($A405=31,$AJ405=41),"⑤短期","対象外")))))</f>
        <v>④一般</v>
      </c>
      <c r="DC405" s="2909">
        <f>IF($A405="","",IF($AB405&amp;""='DB_設定'!$C$4,1,0))</f>
        <v>1</v>
      </c>
    </row>
    <row r="406">
      <c r="A406" t="n" s="2909">
        <v>21</v>
      </c>
      <c r="AA406" t="n" s="2909">
        <v>21</v>
      </c>
      <c r="AB406" t="inlineStr" s="2909">
        <is>
          <t>20250401</t>
        </is>
      </c>
      <c r="AD406" t="n" s="2909">
        <v>0</v>
      </c>
      <c r="AE406" t="inlineStr" s="2909">
        <is>
          <t>00000000</t>
        </is>
      </c>
      <c r="AH406" t="n" s="2909">
        <v>1</v>
      </c>
      <c r="AJ406" t="n" s="2909">
        <v>10</v>
      </c>
      <c r="AP406" t="n" s="2909">
        <v>260000</v>
      </c>
      <c r="DB406" s="2909" t="str">
        <f>IF($A406="","",IF($AH406=20,IF(AND(OR($A406=21,$A406=215),$AJ406=10),"①病院一般",IF(AND($A406=31,$AJ406=41),"②病院短期","対象外")),IF($AJ406=30,"③特定消防",IF(AND(OR($A406=21,$A406=215),$AJ406=10),"④一般",IF(AND($A406=31,$AJ406=41),"⑤短期","対象外")))))</f>
        <v>④一般</v>
      </c>
      <c r="DC406" s="2909">
        <f>IF($A406="","",IF($AB406&amp;""='DB_設定'!$C$4,1,0))</f>
        <v>1</v>
      </c>
    </row>
    <row r="407">
      <c r="A407" t="n" s="2909">
        <v>21</v>
      </c>
      <c r="AA407" t="n" s="2909">
        <v>21</v>
      </c>
      <c r="AB407" t="inlineStr" s="2909">
        <is>
          <t>20250401</t>
        </is>
      </c>
      <c r="AD407" t="n" s="2909">
        <v>0</v>
      </c>
      <c r="AE407" t="inlineStr" s="2909">
        <is>
          <t>00000000</t>
        </is>
      </c>
      <c r="AH407" t="n" s="2909">
        <v>1</v>
      </c>
      <c r="AJ407" t="n" s="2909">
        <v>10</v>
      </c>
      <c r="AP407" t="n" s="2909">
        <v>280000</v>
      </c>
      <c r="DB407" s="2909" t="str">
        <f>IF($A407="","",IF($AH407=20,IF(AND(OR($A407=21,$A407=215),$AJ407=10),"①病院一般",IF(AND($A407=31,$AJ407=41),"②病院短期","対象外")),IF($AJ407=30,"③特定消防",IF(AND(OR($A407=21,$A407=215),$AJ407=10),"④一般",IF(AND($A407=31,$AJ407=41),"⑤短期","対象外")))))</f>
        <v>④一般</v>
      </c>
      <c r="DC407" s="2909">
        <f>IF($A407="","",IF($AB407&amp;""='DB_設定'!$C$4,1,0))</f>
        <v>1</v>
      </c>
    </row>
    <row r="408">
      <c r="A408" t="n" s="2909">
        <v>21</v>
      </c>
      <c r="AA408" t="n" s="2909">
        <v>21</v>
      </c>
      <c r="AB408" t="inlineStr" s="2909">
        <is>
          <t>20250401</t>
        </is>
      </c>
      <c r="AD408" t="n" s="2909">
        <v>0</v>
      </c>
      <c r="AE408" t="inlineStr" s="2909">
        <is>
          <t>00000000</t>
        </is>
      </c>
      <c r="AH408" t="n" s="2909">
        <v>11</v>
      </c>
      <c r="AJ408" t="n" s="2909">
        <v>10</v>
      </c>
      <c r="AP408" t="n" s="2909">
        <v>260000</v>
      </c>
      <c r="DB408" s="2909" t="str">
        <f>IF($A408="","",IF($AH408=20,IF(AND(OR($A408=21,$A408=215),$AJ408=10),"①病院一般",IF(AND($A408=31,$AJ408=41),"②病院短期","対象外")),IF($AJ408=30,"③特定消防",IF(AND(OR($A408=21,$A408=215),$AJ408=10),"④一般",IF(AND($A408=31,$AJ408=41),"⑤短期","対象外")))))</f>
        <v>④一般</v>
      </c>
      <c r="DC408" s="2909">
        <f>IF($A408="","",IF($AB408&amp;""='DB_設定'!$C$4,1,0))</f>
        <v>1</v>
      </c>
    </row>
    <row r="409">
      <c r="A409" t="n" s="2909">
        <v>21</v>
      </c>
      <c r="AA409" t="n" s="2909">
        <v>21</v>
      </c>
      <c r="AB409" t="inlineStr" s="2909">
        <is>
          <t>20250601</t>
        </is>
      </c>
      <c r="AD409" t="n" s="2909">
        <v>0</v>
      </c>
      <c r="AE409" t="inlineStr" s="2909">
        <is>
          <t>00000000</t>
        </is>
      </c>
      <c r="AH409" t="n" s="2909">
        <v>1</v>
      </c>
      <c r="AJ409" t="n" s="2909">
        <v>10</v>
      </c>
      <c r="AP409" t="n" s="2909">
        <v>260000</v>
      </c>
      <c r="DB409" s="2909" t="str">
        <f>IF($A409="","",IF($AH409=20,IF(AND(OR($A409=21,$A409=215),$AJ409=10),"①病院一般",IF(AND($A409=31,$AJ409=41),"②病院短期","対象外")),IF($AJ409=30,"③特定消防",IF(AND(OR($A409=21,$A409=215),$AJ409=10),"④一般",IF(AND($A409=31,$AJ409=41),"⑤短期","対象外")))))</f>
        <v>④一般</v>
      </c>
      <c r="DC409" s="2909">
        <f>IF($A409="","",IF($AB409&amp;""='DB_設定'!$C$4,1,0))</f>
        <v>0</v>
      </c>
    </row>
    <row r="410">
      <c r="A410" t="n" s="2909">
        <v>21</v>
      </c>
      <c r="AA410" t="n" s="2909">
        <v>21</v>
      </c>
      <c r="AB410" t="inlineStr" s="2909">
        <is>
          <t>20250601</t>
        </is>
      </c>
      <c r="AD410" t="n" s="2909">
        <v>0</v>
      </c>
      <c r="AE410" t="inlineStr" s="2909">
        <is>
          <t>00000000</t>
        </is>
      </c>
      <c r="AH410" t="n" s="2909">
        <v>1</v>
      </c>
      <c r="AJ410" t="n" s="2909">
        <v>10</v>
      </c>
      <c r="AP410" t="n" s="2909">
        <v>360000</v>
      </c>
      <c r="DB410" s="2909" t="str">
        <f>IF($A410="","",IF($AH410=20,IF(AND(OR($A410=21,$A410=215),$AJ410=10),"①病院一般",IF(AND($A410=31,$AJ410=41),"②病院短期","対象外")),IF($AJ410=30,"③特定消防",IF(AND(OR($A410=21,$A410=215),$AJ410=10),"④一般",IF(AND($A410=31,$AJ410=41),"⑤短期","対象外")))))</f>
        <v>④一般</v>
      </c>
      <c r="DC410" s="2909">
        <f>IF($A410="","",IF($AB410&amp;""='DB_設定'!$C$4,1,0))</f>
        <v>0</v>
      </c>
    </row>
    <row r="411">
      <c r="A411" t="n" s="2909">
        <v>21</v>
      </c>
      <c r="AA411" t="n" s="2909">
        <v>21</v>
      </c>
      <c r="AB411" t="inlineStr" s="2909">
        <is>
          <t>20250714</t>
        </is>
      </c>
      <c r="AD411" t="n" s="2909">
        <v>0</v>
      </c>
      <c r="AE411" t="inlineStr" s="2909">
        <is>
          <t>00000000</t>
        </is>
      </c>
      <c r="AH411" t="n" s="2909">
        <v>1</v>
      </c>
      <c r="AJ411" t="n" s="2909">
        <v>10</v>
      </c>
      <c r="AP411" t="n" s="2909">
        <v>750000</v>
      </c>
      <c r="DB411" s="2909" t="str">
        <f>IF($A411="","",IF($AH411=20,IF(AND(OR($A411=21,$A411=215),$AJ411=10),"①病院一般",IF(AND($A411=31,$AJ411=41),"②病院短期","対象外")),IF($AJ411=30,"③特定消防",IF(AND(OR($A411=21,$A411=215),$AJ411=10),"④一般",IF(AND($A411=31,$AJ411=41),"⑤短期","対象外")))))</f>
        <v>④一般</v>
      </c>
      <c r="DC411" s="2909">
        <f>IF($A411="","",IF($AB411&amp;""='DB_設定'!$C$4,1,0))</f>
        <v>0</v>
      </c>
    </row>
    <row r="412">
      <c r="A412" t="n" s="2909">
        <v>21</v>
      </c>
      <c r="AA412" t="n" s="2909">
        <v>21</v>
      </c>
      <c r="AB412" t="inlineStr" s="2909">
        <is>
          <t>20251001</t>
        </is>
      </c>
      <c r="AD412" t="n" s="2909">
        <v>0</v>
      </c>
      <c r="AE412" t="inlineStr" s="2909">
        <is>
          <t>00000000</t>
        </is>
      </c>
      <c r="AH412" t="n" s="2909">
        <v>1</v>
      </c>
      <c r="AJ412" t="n" s="2909">
        <v>10</v>
      </c>
      <c r="AP412" t="n" s="2909">
        <v>260000</v>
      </c>
      <c r="DB412" s="2909" t="str">
        <f>IF($A412="","",IF($AH412=20,IF(AND(OR($A412=21,$A412=215),$AJ412=10),"①病院一般",IF(AND($A412=31,$AJ412=41),"②病院短期","対象外")),IF($AJ412=30,"③特定消防",IF(AND(OR($A412=21,$A412=215),$AJ412=10),"④一般",IF(AND($A412=31,$AJ412=41),"⑤短期","対象外")))))</f>
        <v>④一般</v>
      </c>
      <c r="DC412" s="2909">
        <f>IF($A412="","",IF($AB412&amp;""='DB_設定'!$C$4,1,0))</f>
        <v>0</v>
      </c>
    </row>
    <row r="413">
      <c r="A413" t="n" s="2909">
        <v>21</v>
      </c>
      <c r="AA413" t="n" s="2909">
        <v>21</v>
      </c>
      <c r="AB413" t="inlineStr" s="2909">
        <is>
          <t>20251001</t>
        </is>
      </c>
      <c r="AD413" t="n" s="2909">
        <v>0</v>
      </c>
      <c r="AE413" t="inlineStr" s="2909">
        <is>
          <t>00000000</t>
        </is>
      </c>
      <c r="AH413" t="n" s="2909">
        <v>1</v>
      </c>
      <c r="AJ413" t="n" s="2909">
        <v>10</v>
      </c>
      <c r="AP413" t="n" s="2909">
        <v>300000</v>
      </c>
      <c r="DB413" s="2909" t="str">
        <f>IF($A413="","",IF($AH413=20,IF(AND(OR($A413=21,$A413=215),$AJ413=10),"①病院一般",IF(AND($A413=31,$AJ413=41),"②病院短期","対象外")),IF($AJ413=30,"③特定消防",IF(AND(OR($A413=21,$A413=215),$AJ413=10),"④一般",IF(AND($A413=31,$AJ413=41),"⑤短期","対象外")))))</f>
        <v>④一般</v>
      </c>
      <c r="DC413" s="2909">
        <f>IF($A413="","",IF($AB413&amp;""='DB_設定'!$C$4,1,0))</f>
        <v>0</v>
      </c>
    </row>
    <row r="414">
      <c r="A414" t="n" s="2909">
        <v>21</v>
      </c>
      <c r="AA414" t="n" s="2909">
        <v>21</v>
      </c>
      <c r="AB414" t="inlineStr" s="2909">
        <is>
          <t>20251001</t>
        </is>
      </c>
      <c r="AD414" t="n" s="2909">
        <v>0</v>
      </c>
      <c r="AE414" t="inlineStr" s="2909">
        <is>
          <t>00000000</t>
        </is>
      </c>
      <c r="AH414" t="n" s="2909">
        <v>1</v>
      </c>
      <c r="AJ414" t="n" s="2909">
        <v>10</v>
      </c>
      <c r="AP414" t="n" s="2909">
        <v>300000</v>
      </c>
      <c r="DB414" s="2909" t="str">
        <f>IF($A414="","",IF($AH414=20,IF(AND(OR($A414=21,$A414=215),$AJ414=10),"①病院一般",IF(AND($A414=31,$AJ414=41),"②病院短期","対象外")),IF($AJ414=30,"③特定消防",IF(AND(OR($A414=21,$A414=215),$AJ414=10),"④一般",IF(AND($A414=31,$AJ414=41),"⑤短期","対象外")))))</f>
        <v>④一般</v>
      </c>
      <c r="DC414" s="2909">
        <f>IF($A414="","",IF($AB414&amp;""='DB_設定'!$C$4,1,0))</f>
        <v>0</v>
      </c>
    </row>
    <row r="415">
      <c r="A415" t="n" s="2909">
        <v>21</v>
      </c>
      <c r="AA415" t="n" s="2909">
        <v>21</v>
      </c>
      <c r="AB415" t="inlineStr" s="2909">
        <is>
          <t>20251001</t>
        </is>
      </c>
      <c r="AD415" t="n" s="2909">
        <v>0</v>
      </c>
      <c r="AE415" t="inlineStr" s="2909">
        <is>
          <t>00000000</t>
        </is>
      </c>
      <c r="AH415" t="n" s="2909">
        <v>1</v>
      </c>
      <c r="AJ415" t="n" s="2909">
        <v>10</v>
      </c>
      <c r="AP415" t="n" s="2909">
        <v>260000</v>
      </c>
      <c r="DB415" s="2909" t="str">
        <f>IF($A415="","",IF($AH415=20,IF(AND(OR($A415=21,$A415=215),$AJ415=10),"①病院一般",IF(AND($A415=31,$AJ415=41),"②病院短期","対象外")),IF($AJ415=30,"③特定消防",IF(AND(OR($A415=21,$A415=215),$AJ415=10),"④一般",IF(AND($A415=31,$AJ415=41),"⑤短期","対象外")))))</f>
        <v>④一般</v>
      </c>
      <c r="DC415" s="2909">
        <f>IF($A415="","",IF($AB415&amp;""='DB_設定'!$C$4,1,0))</f>
        <v>0</v>
      </c>
    </row>
    <row r="416">
      <c r="A416" t="n" s="2909">
        <v>21</v>
      </c>
      <c r="AA416" t="n" s="2909">
        <v>21</v>
      </c>
      <c r="AB416" t="inlineStr" s="2909">
        <is>
          <t>20250401</t>
        </is>
      </c>
      <c r="AD416" t="n" s="2909">
        <v>0</v>
      </c>
      <c r="AE416" t="inlineStr" s="2909">
        <is>
          <t>00000000</t>
        </is>
      </c>
      <c r="AH416" t="n" s="2909">
        <v>20</v>
      </c>
      <c r="AJ416" t="n" s="2909">
        <v>10</v>
      </c>
      <c r="AP416" t="n" s="2909">
        <v>280000</v>
      </c>
      <c r="DB416" s="2909" t="str">
        <f>IF($A416="","",IF($AH416=20,IF(AND(OR($A416=21,$A416=215),$AJ416=10),"①病院一般",IF(AND($A416=31,$AJ416=41),"②病院短期","対象外")),IF($AJ416=30,"③特定消防",IF(AND(OR($A416=21,$A416=215),$AJ416=10),"④一般",IF(AND($A416=31,$AJ416=41),"⑤短期","対象外")))))</f>
        <v>①病院一般</v>
      </c>
      <c r="DC416" s="2909">
        <f>IF($A416="","",IF($AB416&amp;""='DB_設定'!$C$4,1,0))</f>
        <v>1</v>
      </c>
    </row>
    <row r="417">
      <c r="A417" t="n" s="2909">
        <v>21</v>
      </c>
      <c r="AA417" t="n" s="2909">
        <v>21</v>
      </c>
      <c r="AB417" t="inlineStr" s="2909">
        <is>
          <t>20250401</t>
        </is>
      </c>
      <c r="AD417" t="n" s="2909">
        <v>0</v>
      </c>
      <c r="AE417" t="inlineStr" s="2909">
        <is>
          <t>00000000</t>
        </is>
      </c>
      <c r="AH417" t="n" s="2909">
        <v>20</v>
      </c>
      <c r="AJ417" t="n" s="2909">
        <v>10</v>
      </c>
      <c r="AP417" t="n" s="2909">
        <v>300000</v>
      </c>
      <c r="DB417" s="2909" t="str">
        <f>IF($A417="","",IF($AH417=20,IF(AND(OR($A417=21,$A417=215),$AJ417=10),"①病院一般",IF(AND($A417=31,$AJ417=41),"②病院短期","対象外")),IF($AJ417=30,"③特定消防",IF(AND(OR($A417=21,$A417=215),$AJ417=10),"④一般",IF(AND($A417=31,$AJ417=41),"⑤短期","対象外")))))</f>
        <v>①病院一般</v>
      </c>
      <c r="DC417" s="2909">
        <f>IF($A417="","",IF($AB417&amp;""='DB_設定'!$C$4,1,0))</f>
        <v>1</v>
      </c>
    </row>
    <row r="418">
      <c r="A418" t="n" s="2909">
        <v>21</v>
      </c>
      <c r="AA418" t="n" s="2909">
        <v>21</v>
      </c>
      <c r="AB418" t="inlineStr" s="2909">
        <is>
          <t>20250401</t>
        </is>
      </c>
      <c r="AD418" t="n" s="2909">
        <v>0</v>
      </c>
      <c r="AE418" t="inlineStr" s="2909">
        <is>
          <t>00000000</t>
        </is>
      </c>
      <c r="AH418" t="n" s="2909">
        <v>20</v>
      </c>
      <c r="AJ418" t="n" s="2909">
        <v>10</v>
      </c>
      <c r="AP418" t="n" s="2909">
        <v>280000</v>
      </c>
      <c r="DB418" s="2909" t="str">
        <f>IF($A418="","",IF($AH418=20,IF(AND(OR($A418=21,$A418=215),$AJ418=10),"①病院一般",IF(AND($A418=31,$AJ418=41),"②病院短期","対象外")),IF($AJ418=30,"③特定消防",IF(AND(OR($A418=21,$A418=215),$AJ418=10),"④一般",IF(AND($A418=31,$AJ418=41),"⑤短期","対象外")))))</f>
        <v>①病院一般</v>
      </c>
      <c r="DC418" s="2909">
        <f>IF($A418="","",IF($AB418&amp;""='DB_設定'!$C$4,1,0))</f>
        <v>1</v>
      </c>
    </row>
    <row r="419">
      <c r="A419" t="n" s="2909">
        <v>21</v>
      </c>
      <c r="AA419" t="n" s="2909">
        <v>21</v>
      </c>
      <c r="AB419" t="inlineStr" s="2909">
        <is>
          <t>20250401</t>
        </is>
      </c>
      <c r="AD419" t="n" s="2909">
        <v>0</v>
      </c>
      <c r="AE419" t="inlineStr" s="2909">
        <is>
          <t>00000000</t>
        </is>
      </c>
      <c r="AH419" t="n" s="2909">
        <v>20</v>
      </c>
      <c r="AJ419" t="n" s="2909">
        <v>10</v>
      </c>
      <c r="AP419" t="n" s="2909">
        <v>280000</v>
      </c>
      <c r="DB419" s="2909" t="str">
        <f>IF($A419="","",IF($AH419=20,IF(AND(OR($A419=21,$A419=215),$AJ419=10),"①病院一般",IF(AND($A419=31,$AJ419=41),"②病院短期","対象外")),IF($AJ419=30,"③特定消防",IF(AND(OR($A419=21,$A419=215),$AJ419=10),"④一般",IF(AND($A419=31,$AJ419=41),"⑤短期","対象外")))))</f>
        <v>①病院一般</v>
      </c>
      <c r="DC419" s="2909">
        <f>IF($A419="","",IF($AB419&amp;""='DB_設定'!$C$4,1,0))</f>
        <v>1</v>
      </c>
    </row>
    <row r="420">
      <c r="A420" t="n" s="2909">
        <v>21</v>
      </c>
      <c r="AA420" t="n" s="2909">
        <v>21</v>
      </c>
      <c r="AB420" t="inlineStr" s="2909">
        <is>
          <t>20250401</t>
        </is>
      </c>
      <c r="AD420" t="n" s="2909">
        <v>0</v>
      </c>
      <c r="AE420" t="inlineStr" s="2909">
        <is>
          <t>00000000</t>
        </is>
      </c>
      <c r="AH420" t="n" s="2909">
        <v>20</v>
      </c>
      <c r="AJ420" t="n" s="2909">
        <v>10</v>
      </c>
      <c r="AP420" t="n" s="2909">
        <v>320000</v>
      </c>
      <c r="DB420" s="2909" t="str">
        <f>IF($A420="","",IF($AH420=20,IF(AND(OR($A420=21,$A420=215),$AJ420=10),"①病院一般",IF(AND($A420=31,$AJ420=41),"②病院短期","対象外")),IF($AJ420=30,"③特定消防",IF(AND(OR($A420=21,$A420=215),$AJ420=10),"④一般",IF(AND($A420=31,$AJ420=41),"⑤短期","対象外")))))</f>
        <v>①病院一般</v>
      </c>
      <c r="DC420" s="2909">
        <f>IF($A420="","",IF($AB420&amp;""='DB_設定'!$C$4,1,0))</f>
        <v>1</v>
      </c>
    </row>
    <row r="421">
      <c r="A421" t="n" s="2909">
        <v>21</v>
      </c>
      <c r="AA421" t="n" s="2909">
        <v>21</v>
      </c>
      <c r="AB421" t="inlineStr" s="2909">
        <is>
          <t>20250401</t>
        </is>
      </c>
      <c r="AD421" t="n" s="2909">
        <v>0</v>
      </c>
      <c r="AE421" t="inlineStr" s="2909">
        <is>
          <t>00000000</t>
        </is>
      </c>
      <c r="AH421" t="n" s="2909">
        <v>20</v>
      </c>
      <c r="AJ421" t="n" s="2909">
        <v>10</v>
      </c>
      <c r="AP421" t="n" s="2909">
        <v>320000</v>
      </c>
      <c r="DB421" s="2909" t="str">
        <f>IF($A421="","",IF($AH421=20,IF(AND(OR($A421=21,$A421=215),$AJ421=10),"①病院一般",IF(AND($A421=31,$AJ421=41),"②病院短期","対象外")),IF($AJ421=30,"③特定消防",IF(AND(OR($A421=21,$A421=215),$AJ421=10),"④一般",IF(AND($A421=31,$AJ421=41),"⑤短期","対象外")))))</f>
        <v>①病院一般</v>
      </c>
      <c r="DC421" s="2909">
        <f>IF($A421="","",IF($AB421&amp;""='DB_設定'!$C$4,1,0))</f>
        <v>1</v>
      </c>
    </row>
    <row r="422">
      <c r="A422" t="n" s="2909">
        <v>21</v>
      </c>
      <c r="AA422" t="n" s="2909">
        <v>21</v>
      </c>
      <c r="AB422" t="inlineStr" s="2909">
        <is>
          <t>20250401</t>
        </is>
      </c>
      <c r="AD422" t="n" s="2909">
        <v>0</v>
      </c>
      <c r="AE422" t="inlineStr" s="2909">
        <is>
          <t>00000000</t>
        </is>
      </c>
      <c r="AH422" t="n" s="2909">
        <v>20</v>
      </c>
      <c r="AJ422" t="n" s="2909">
        <v>10</v>
      </c>
      <c r="AP422" t="n" s="2909">
        <v>300000</v>
      </c>
      <c r="DB422" s="2909" t="str">
        <f>IF($A422="","",IF($AH422=20,IF(AND(OR($A422=21,$A422=215),$AJ422=10),"①病院一般",IF(AND($A422=31,$AJ422=41),"②病院短期","対象外")),IF($AJ422=30,"③特定消防",IF(AND(OR($A422=21,$A422=215),$AJ422=10),"④一般",IF(AND($A422=31,$AJ422=41),"⑤短期","対象外")))))</f>
        <v>①病院一般</v>
      </c>
      <c r="DC422" s="2909">
        <f>IF($A422="","",IF($AB422&amp;""='DB_設定'!$C$4,1,0))</f>
        <v>1</v>
      </c>
    </row>
    <row r="423">
      <c r="A423" t="n" s="2909">
        <v>21</v>
      </c>
      <c r="AA423" t="n" s="2909">
        <v>21</v>
      </c>
      <c r="AB423" t="inlineStr" s="2909">
        <is>
          <t>20250401</t>
        </is>
      </c>
      <c r="AD423" t="n" s="2909">
        <v>0</v>
      </c>
      <c r="AE423" t="inlineStr" s="2909">
        <is>
          <t>00000000</t>
        </is>
      </c>
      <c r="AH423" t="n" s="2909">
        <v>20</v>
      </c>
      <c r="AJ423" t="n" s="2909">
        <v>10</v>
      </c>
      <c r="AP423" t="n" s="2909">
        <v>280000</v>
      </c>
      <c r="DB423" s="2909" t="str">
        <f>IF($A423="","",IF($AH423=20,IF(AND(OR($A423=21,$A423=215),$AJ423=10),"①病院一般",IF(AND($A423=31,$AJ423=41),"②病院短期","対象外")),IF($AJ423=30,"③特定消防",IF(AND(OR($A423=21,$A423=215),$AJ423=10),"④一般",IF(AND($A423=31,$AJ423=41),"⑤短期","対象外")))))</f>
        <v>①病院一般</v>
      </c>
      <c r="DC423" s="2909">
        <f>IF($A423="","",IF($AB423&amp;""='DB_設定'!$C$4,1,0))</f>
        <v>1</v>
      </c>
    </row>
    <row r="424">
      <c r="A424" t="n" s="2909">
        <v>21</v>
      </c>
      <c r="AA424" t="n" s="2909">
        <v>21</v>
      </c>
      <c r="AB424" t="inlineStr" s="2909">
        <is>
          <t>20250401</t>
        </is>
      </c>
      <c r="AD424" t="n" s="2909">
        <v>0</v>
      </c>
      <c r="AE424" t="inlineStr" s="2909">
        <is>
          <t>00000000</t>
        </is>
      </c>
      <c r="AH424" t="n" s="2909">
        <v>20</v>
      </c>
      <c r="AJ424" t="n" s="2909">
        <v>10</v>
      </c>
      <c r="AP424" t="n" s="2909">
        <v>280000</v>
      </c>
      <c r="DB424" s="2909" t="str">
        <f>IF($A424="","",IF($AH424=20,IF(AND(OR($A424=21,$A424=215),$AJ424=10),"①病院一般",IF(AND($A424=31,$AJ424=41),"②病院短期","対象外")),IF($AJ424=30,"③特定消防",IF(AND(OR($A424=21,$A424=215),$AJ424=10),"④一般",IF(AND($A424=31,$AJ424=41),"⑤短期","対象外")))))</f>
        <v>①病院一般</v>
      </c>
      <c r="DC424" s="2909">
        <f>IF($A424="","",IF($AB424&amp;""='DB_設定'!$C$4,1,0))</f>
        <v>1</v>
      </c>
    </row>
    <row r="425">
      <c r="A425" t="n" s="2909">
        <v>21</v>
      </c>
      <c r="AA425" t="n" s="2909">
        <v>21</v>
      </c>
      <c r="AB425" t="inlineStr" s="2909">
        <is>
          <t>20250401</t>
        </is>
      </c>
      <c r="AD425" t="n" s="2909">
        <v>0</v>
      </c>
      <c r="AE425" t="inlineStr" s="2909">
        <is>
          <t>00000000</t>
        </is>
      </c>
      <c r="AH425" t="n" s="2909">
        <v>20</v>
      </c>
      <c r="AJ425" t="n" s="2909">
        <v>10</v>
      </c>
      <c r="AP425" t="n" s="2909">
        <v>340000</v>
      </c>
      <c r="DB425" s="2909" t="str">
        <f>IF($A425="","",IF($AH425=20,IF(AND(OR($A425=21,$A425=215),$AJ425=10),"①病院一般",IF(AND($A425=31,$AJ425=41),"②病院短期","対象外")),IF($AJ425=30,"③特定消防",IF(AND(OR($A425=21,$A425=215),$AJ425=10),"④一般",IF(AND($A425=31,$AJ425=41),"⑤短期","対象外")))))</f>
        <v>①病院一般</v>
      </c>
      <c r="DC425" s="2909">
        <f>IF($A425="","",IF($AB425&amp;""='DB_設定'!$C$4,1,0))</f>
        <v>1</v>
      </c>
    </row>
    <row r="426">
      <c r="A426" t="n" s="2909">
        <v>21</v>
      </c>
      <c r="AA426" t="n" s="2909">
        <v>21</v>
      </c>
      <c r="AB426" t="inlineStr" s="2909">
        <is>
          <t>20250401</t>
        </is>
      </c>
      <c r="AD426" t="n" s="2909">
        <v>0</v>
      </c>
      <c r="AE426" t="inlineStr" s="2909">
        <is>
          <t>00000000</t>
        </is>
      </c>
      <c r="AH426" t="n" s="2909">
        <v>20</v>
      </c>
      <c r="AJ426" t="n" s="2909">
        <v>10</v>
      </c>
      <c r="AP426" t="n" s="2909">
        <v>280000</v>
      </c>
      <c r="DB426" s="2909" t="str">
        <f>IF($A426="","",IF($AH426=20,IF(AND(OR($A426=21,$A426=215),$AJ426=10),"①病院一般",IF(AND($A426=31,$AJ426=41),"②病院短期","対象外")),IF($AJ426=30,"③特定消防",IF(AND(OR($A426=21,$A426=215),$AJ426=10),"④一般",IF(AND($A426=31,$AJ426=41),"⑤短期","対象外")))))</f>
        <v>①病院一般</v>
      </c>
      <c r="DC426" s="2909">
        <f>IF($A426="","",IF($AB426&amp;""='DB_設定'!$C$4,1,0))</f>
        <v>1</v>
      </c>
    </row>
    <row r="427">
      <c r="A427" t="n" s="2909">
        <v>21</v>
      </c>
      <c r="AA427" t="n" s="2909">
        <v>21</v>
      </c>
      <c r="AB427" t="inlineStr" s="2909">
        <is>
          <t>20250401</t>
        </is>
      </c>
      <c r="AD427" t="n" s="2909">
        <v>0</v>
      </c>
      <c r="AE427" t="inlineStr" s="2909">
        <is>
          <t>00000000</t>
        </is>
      </c>
      <c r="AH427" t="n" s="2909">
        <v>20</v>
      </c>
      <c r="AJ427" t="n" s="2909">
        <v>10</v>
      </c>
      <c r="AP427" t="n" s="2909">
        <v>320000</v>
      </c>
      <c r="DB427" s="2909" t="str">
        <f>IF($A427="","",IF($AH427=20,IF(AND(OR($A427=21,$A427=215),$AJ427=10),"①病院一般",IF(AND($A427=31,$AJ427=41),"②病院短期","対象外")),IF($AJ427=30,"③特定消防",IF(AND(OR($A427=21,$A427=215),$AJ427=10),"④一般",IF(AND($A427=31,$AJ427=41),"⑤短期","対象外")))))</f>
        <v>①病院一般</v>
      </c>
      <c r="DC427" s="2909">
        <f>IF($A427="","",IF($AB427&amp;""='DB_設定'!$C$4,1,0))</f>
        <v>1</v>
      </c>
    </row>
    <row r="428">
      <c r="A428" t="n" s="2909">
        <v>21</v>
      </c>
      <c r="AA428" t="n" s="2909">
        <v>21</v>
      </c>
      <c r="AB428" t="inlineStr" s="2909">
        <is>
          <t>20250401</t>
        </is>
      </c>
      <c r="AD428" t="n" s="2909">
        <v>0</v>
      </c>
      <c r="AE428" t="inlineStr" s="2909">
        <is>
          <t>00000000</t>
        </is>
      </c>
      <c r="AH428" t="n" s="2909">
        <v>20</v>
      </c>
      <c r="AJ428" t="n" s="2909">
        <v>10</v>
      </c>
      <c r="AP428" t="n" s="2909">
        <v>320000</v>
      </c>
      <c r="DB428" s="2909" t="str">
        <f>IF($A428="","",IF($AH428=20,IF(AND(OR($A428=21,$A428=215),$AJ428=10),"①病院一般",IF(AND($A428=31,$AJ428=41),"②病院短期","対象外")),IF($AJ428=30,"③特定消防",IF(AND(OR($A428=21,$A428=215),$AJ428=10),"④一般",IF(AND($A428=31,$AJ428=41),"⑤短期","対象外")))))</f>
        <v>①病院一般</v>
      </c>
      <c r="DC428" s="2909">
        <f>IF($A428="","",IF($AB428&amp;""='DB_設定'!$C$4,1,0))</f>
        <v>1</v>
      </c>
    </row>
    <row r="429">
      <c r="A429" t="n" s="2909">
        <v>21</v>
      </c>
      <c r="AA429" t="n" s="2909">
        <v>21</v>
      </c>
      <c r="AB429" t="inlineStr" s="2909">
        <is>
          <t>20250401</t>
        </is>
      </c>
      <c r="AD429" t="n" s="2909">
        <v>0</v>
      </c>
      <c r="AE429" t="inlineStr" s="2909">
        <is>
          <t>00000000</t>
        </is>
      </c>
      <c r="AH429" t="n" s="2909">
        <v>20</v>
      </c>
      <c r="AJ429" t="n" s="2909">
        <v>10</v>
      </c>
      <c r="AP429" t="n" s="2909">
        <v>300000</v>
      </c>
      <c r="DB429" s="2909" t="str">
        <f>IF($A429="","",IF($AH429=20,IF(AND(OR($A429=21,$A429=215),$AJ429=10),"①病院一般",IF(AND($A429=31,$AJ429=41),"②病院短期","対象外")),IF($AJ429=30,"③特定消防",IF(AND(OR($A429=21,$A429=215),$AJ429=10),"④一般",IF(AND($A429=31,$AJ429=41),"⑤短期","対象外")))))</f>
        <v>①病院一般</v>
      </c>
      <c r="DC429" s="2909">
        <f>IF($A429="","",IF($AB429&amp;""='DB_設定'!$C$4,1,0))</f>
        <v>1</v>
      </c>
    </row>
    <row r="430">
      <c r="A430" t="n" s="2909">
        <v>21</v>
      </c>
      <c r="AA430" t="n" s="2909">
        <v>21</v>
      </c>
      <c r="AB430" t="inlineStr" s="2909">
        <is>
          <t>20250401</t>
        </is>
      </c>
      <c r="AD430" t="n" s="2909">
        <v>0</v>
      </c>
      <c r="AE430" t="inlineStr" s="2909">
        <is>
          <t>00000000</t>
        </is>
      </c>
      <c r="AH430" t="n" s="2909">
        <v>20</v>
      </c>
      <c r="AJ430" t="n" s="2909">
        <v>10</v>
      </c>
      <c r="AP430" t="n" s="2909">
        <v>280000</v>
      </c>
      <c r="DB430" s="2909" t="str">
        <f>IF($A430="","",IF($AH430=20,IF(AND(OR($A430=21,$A430=215),$AJ430=10),"①病院一般",IF(AND($A430=31,$AJ430=41),"②病院短期","対象外")),IF($AJ430=30,"③特定消防",IF(AND(OR($A430=21,$A430=215),$AJ430=10),"④一般",IF(AND($A430=31,$AJ430=41),"⑤短期","対象外")))))</f>
        <v>①病院一般</v>
      </c>
      <c r="DC430" s="2909">
        <f>IF($A430="","",IF($AB430&amp;""='DB_設定'!$C$4,1,0))</f>
        <v>1</v>
      </c>
    </row>
    <row r="431">
      <c r="A431" t="n" s="2909">
        <v>21</v>
      </c>
      <c r="AA431" t="n" s="2909">
        <v>21</v>
      </c>
      <c r="AB431" t="inlineStr" s="2909">
        <is>
          <t>20250401</t>
        </is>
      </c>
      <c r="AD431" t="n" s="2909">
        <v>0</v>
      </c>
      <c r="AE431" t="inlineStr" s="2909">
        <is>
          <t>00000000</t>
        </is>
      </c>
      <c r="AH431" t="n" s="2909">
        <v>20</v>
      </c>
      <c r="AJ431" t="n" s="2909">
        <v>10</v>
      </c>
      <c r="AP431" t="n" s="2909">
        <v>280000</v>
      </c>
      <c r="DB431" s="2909" t="str">
        <f>IF($A431="","",IF($AH431=20,IF(AND(OR($A431=21,$A431=215),$AJ431=10),"①病院一般",IF(AND($A431=31,$AJ431=41),"②病院短期","対象外")),IF($AJ431=30,"③特定消防",IF(AND(OR($A431=21,$A431=215),$AJ431=10),"④一般",IF(AND($A431=31,$AJ431=41),"⑤短期","対象外")))))</f>
        <v>①病院一般</v>
      </c>
      <c r="DC431" s="2909">
        <f>IF($A431="","",IF($AB431&amp;""='DB_設定'!$C$4,1,0))</f>
        <v>1</v>
      </c>
    </row>
    <row r="432">
      <c r="A432" t="n" s="2909">
        <v>21</v>
      </c>
      <c r="AA432" t="n" s="2909">
        <v>21</v>
      </c>
      <c r="AB432" t="inlineStr" s="2909">
        <is>
          <t>20250401</t>
        </is>
      </c>
      <c r="AD432" t="n" s="2909">
        <v>0</v>
      </c>
      <c r="AE432" t="inlineStr" s="2909">
        <is>
          <t>00000000</t>
        </is>
      </c>
      <c r="AH432" t="n" s="2909">
        <v>20</v>
      </c>
      <c r="AJ432" t="n" s="2909">
        <v>10</v>
      </c>
      <c r="AP432" t="n" s="2909">
        <v>300000</v>
      </c>
      <c r="DB432" s="2909" t="str">
        <f>IF($A432="","",IF($AH432=20,IF(AND(OR($A432=21,$A432=215),$AJ432=10),"①病院一般",IF(AND($A432=31,$AJ432=41),"②病院短期","対象外")),IF($AJ432=30,"③特定消防",IF(AND(OR($A432=21,$A432=215),$AJ432=10),"④一般",IF(AND($A432=31,$AJ432=41),"⑤短期","対象外")))))</f>
        <v>①病院一般</v>
      </c>
      <c r="DC432" s="2909">
        <f>IF($A432="","",IF($AB432&amp;""='DB_設定'!$C$4,1,0))</f>
        <v>1</v>
      </c>
    </row>
    <row r="433">
      <c r="A433" t="n" s="2909">
        <v>21</v>
      </c>
      <c r="AA433" t="n" s="2909">
        <v>21</v>
      </c>
      <c r="AB433" t="inlineStr" s="2909">
        <is>
          <t>20250401</t>
        </is>
      </c>
      <c r="AD433" t="n" s="2909">
        <v>0</v>
      </c>
      <c r="AE433" t="inlineStr" s="2909">
        <is>
          <t>00000000</t>
        </is>
      </c>
      <c r="AH433" t="n" s="2909">
        <v>20</v>
      </c>
      <c r="AJ433" t="n" s="2909">
        <v>10</v>
      </c>
      <c r="AP433" t="n" s="2909">
        <v>280000</v>
      </c>
      <c r="DB433" s="2909" t="str">
        <f>IF($A433="","",IF($AH433=20,IF(AND(OR($A433=21,$A433=215),$AJ433=10),"①病院一般",IF(AND($A433=31,$AJ433=41),"②病院短期","対象外")),IF($AJ433=30,"③特定消防",IF(AND(OR($A433=21,$A433=215),$AJ433=10),"④一般",IF(AND($A433=31,$AJ433=41),"⑤短期","対象外")))))</f>
        <v>①病院一般</v>
      </c>
      <c r="DC433" s="2909">
        <f>IF($A433="","",IF($AB433&amp;""='DB_設定'!$C$4,1,0))</f>
        <v>1</v>
      </c>
    </row>
    <row r="434">
      <c r="A434" t="n" s="2909">
        <v>21</v>
      </c>
      <c r="AA434" t="n" s="2909">
        <v>21</v>
      </c>
      <c r="AB434" t="inlineStr" s="2909">
        <is>
          <t>20250401</t>
        </is>
      </c>
      <c r="AD434" t="n" s="2909">
        <v>0</v>
      </c>
      <c r="AE434" t="inlineStr" s="2909">
        <is>
          <t>00000000</t>
        </is>
      </c>
      <c r="AH434" t="n" s="2909">
        <v>20</v>
      </c>
      <c r="AJ434" t="n" s="2909">
        <v>10</v>
      </c>
      <c r="AP434" t="n" s="2909">
        <v>280000</v>
      </c>
      <c r="DB434" s="2909" t="str">
        <f>IF($A434="","",IF($AH434=20,IF(AND(OR($A434=21,$A434=215),$AJ434=10),"①病院一般",IF(AND($A434=31,$AJ434=41),"②病院短期","対象外")),IF($AJ434=30,"③特定消防",IF(AND(OR($A434=21,$A434=215),$AJ434=10),"④一般",IF(AND($A434=31,$AJ434=41),"⑤短期","対象外")))))</f>
        <v>①病院一般</v>
      </c>
      <c r="DC434" s="2909">
        <f>IF($A434="","",IF($AB434&amp;""='DB_設定'!$C$4,1,0))</f>
        <v>1</v>
      </c>
    </row>
    <row r="435">
      <c r="A435" t="n" s="2909">
        <v>21</v>
      </c>
      <c r="AA435" t="n" s="2909">
        <v>21</v>
      </c>
      <c r="AB435" t="inlineStr" s="2909">
        <is>
          <t>20250401</t>
        </is>
      </c>
      <c r="AD435" t="n" s="2909">
        <v>0</v>
      </c>
      <c r="AE435" t="inlineStr" s="2909">
        <is>
          <t>00000000</t>
        </is>
      </c>
      <c r="AH435" t="n" s="2909">
        <v>20</v>
      </c>
      <c r="AJ435" t="n" s="2909">
        <v>10</v>
      </c>
      <c r="AP435" t="n" s="2909">
        <v>280000</v>
      </c>
      <c r="DB435" s="2909" t="str">
        <f>IF($A435="","",IF($AH435=20,IF(AND(OR($A435=21,$A435=215),$AJ435=10),"①病院一般",IF(AND($A435=31,$AJ435=41),"②病院短期","対象外")),IF($AJ435=30,"③特定消防",IF(AND(OR($A435=21,$A435=215),$AJ435=10),"④一般",IF(AND($A435=31,$AJ435=41),"⑤短期","対象外")))))</f>
        <v>①病院一般</v>
      </c>
      <c r="DC435" s="2909">
        <f>IF($A435="","",IF($AB435&amp;""='DB_設定'!$C$4,1,0))</f>
        <v>1</v>
      </c>
    </row>
    <row r="436">
      <c r="A436" t="n" s="2909">
        <v>21</v>
      </c>
      <c r="AA436" t="n" s="2909">
        <v>21</v>
      </c>
      <c r="AB436" t="inlineStr" s="2909">
        <is>
          <t>20250401</t>
        </is>
      </c>
      <c r="AD436" t="n" s="2909">
        <v>0</v>
      </c>
      <c r="AE436" t="inlineStr" s="2909">
        <is>
          <t>00000000</t>
        </is>
      </c>
      <c r="AH436" t="n" s="2909">
        <v>20</v>
      </c>
      <c r="AJ436" t="n" s="2909">
        <v>10</v>
      </c>
      <c r="AP436" t="n" s="2909">
        <v>280000</v>
      </c>
      <c r="DB436" s="2909" t="str">
        <f>IF($A436="","",IF($AH436=20,IF(AND(OR($A436=21,$A436=215),$AJ436=10),"①病院一般",IF(AND($A436=31,$AJ436=41),"②病院短期","対象外")),IF($AJ436=30,"③特定消防",IF(AND(OR($A436=21,$A436=215),$AJ436=10),"④一般",IF(AND($A436=31,$AJ436=41),"⑤短期","対象外")))))</f>
        <v>①病院一般</v>
      </c>
      <c r="DC436" s="2909">
        <f>IF($A436="","",IF($AB436&amp;""='DB_設定'!$C$4,1,0))</f>
        <v>1</v>
      </c>
    </row>
    <row r="437">
      <c r="A437" t="n" s="2909">
        <v>21</v>
      </c>
      <c r="AA437" t="n" s="2909">
        <v>21</v>
      </c>
      <c r="AB437" t="inlineStr" s="2909">
        <is>
          <t>20250401</t>
        </is>
      </c>
      <c r="AD437" t="n" s="2909">
        <v>0</v>
      </c>
      <c r="AE437" t="inlineStr" s="2909">
        <is>
          <t>00000000</t>
        </is>
      </c>
      <c r="AH437" t="n" s="2909">
        <v>20</v>
      </c>
      <c r="AJ437" t="n" s="2909">
        <v>10</v>
      </c>
      <c r="AP437" t="n" s="2909">
        <v>280000</v>
      </c>
      <c r="DB437" s="2909" t="str">
        <f>IF($A437="","",IF($AH437=20,IF(AND(OR($A437=21,$A437=215),$AJ437=10),"①病院一般",IF(AND($A437=31,$AJ437=41),"②病院短期","対象外")),IF($AJ437=30,"③特定消防",IF(AND(OR($A437=21,$A437=215),$AJ437=10),"④一般",IF(AND($A437=31,$AJ437=41),"⑤短期","対象外")))))</f>
        <v>①病院一般</v>
      </c>
      <c r="DC437" s="2909">
        <f>IF($A437="","",IF($AB437&amp;""='DB_設定'!$C$4,1,0))</f>
        <v>1</v>
      </c>
    </row>
    <row r="438">
      <c r="A438" t="n" s="2909">
        <v>21</v>
      </c>
      <c r="AA438" t="n" s="2909">
        <v>21</v>
      </c>
      <c r="AB438" t="inlineStr" s="2909">
        <is>
          <t>20250401</t>
        </is>
      </c>
      <c r="AD438" t="n" s="2909">
        <v>0</v>
      </c>
      <c r="AE438" t="inlineStr" s="2909">
        <is>
          <t>00000000</t>
        </is>
      </c>
      <c r="AH438" t="n" s="2909">
        <v>20</v>
      </c>
      <c r="AJ438" t="n" s="2909">
        <v>10</v>
      </c>
      <c r="AP438" t="n" s="2909">
        <v>300000</v>
      </c>
      <c r="DB438" s="2909" t="str">
        <f>IF($A438="","",IF($AH438=20,IF(AND(OR($A438=21,$A438=215),$AJ438=10),"①病院一般",IF(AND($A438=31,$AJ438=41),"②病院短期","対象外")),IF($AJ438=30,"③特定消防",IF(AND(OR($A438=21,$A438=215),$AJ438=10),"④一般",IF(AND($A438=31,$AJ438=41),"⑤短期","対象外")))))</f>
        <v>①病院一般</v>
      </c>
      <c r="DC438" s="2909">
        <f>IF($A438="","",IF($AB438&amp;""='DB_設定'!$C$4,1,0))</f>
        <v>1</v>
      </c>
    </row>
    <row r="439">
      <c r="A439" t="n" s="2909">
        <v>21</v>
      </c>
      <c r="AA439" t="n" s="2909">
        <v>21</v>
      </c>
      <c r="AB439" t="inlineStr" s="2909">
        <is>
          <t>20250401</t>
        </is>
      </c>
      <c r="AD439" t="n" s="2909">
        <v>0</v>
      </c>
      <c r="AE439" t="inlineStr" s="2909">
        <is>
          <t>00000000</t>
        </is>
      </c>
      <c r="AH439" t="n" s="2909">
        <v>20</v>
      </c>
      <c r="AJ439" t="n" s="2909">
        <v>10</v>
      </c>
      <c r="AP439" t="n" s="2909">
        <v>280000</v>
      </c>
      <c r="DB439" s="2909" t="str">
        <f>IF($A439="","",IF($AH439=20,IF(AND(OR($A439=21,$A439=215),$AJ439=10),"①病院一般",IF(AND($A439=31,$AJ439=41),"②病院短期","対象外")),IF($AJ439=30,"③特定消防",IF(AND(OR($A439=21,$A439=215),$AJ439=10),"④一般",IF(AND($A439=31,$AJ439=41),"⑤短期","対象外")))))</f>
        <v>①病院一般</v>
      </c>
      <c r="DC439" s="2909">
        <f>IF($A439="","",IF($AB439&amp;""='DB_設定'!$C$4,1,0))</f>
        <v>1</v>
      </c>
    </row>
    <row r="440">
      <c r="A440" t="n" s="2909">
        <v>21</v>
      </c>
      <c r="AA440" t="n" s="2909">
        <v>21</v>
      </c>
      <c r="AB440" t="inlineStr" s="2909">
        <is>
          <t>20250401</t>
        </is>
      </c>
      <c r="AD440" t="n" s="2909">
        <v>0</v>
      </c>
      <c r="AE440" t="inlineStr" s="2909">
        <is>
          <t>00000000</t>
        </is>
      </c>
      <c r="AH440" t="n" s="2909">
        <v>20</v>
      </c>
      <c r="AJ440" t="n" s="2909">
        <v>10</v>
      </c>
      <c r="AP440" t="n" s="2909">
        <v>300000</v>
      </c>
      <c r="DB440" s="2909" t="str">
        <f>IF($A440="","",IF($AH440=20,IF(AND(OR($A440=21,$A440=215),$AJ440=10),"①病院一般",IF(AND($A440=31,$AJ440=41),"②病院短期","対象外")),IF($AJ440=30,"③特定消防",IF(AND(OR($A440=21,$A440=215),$AJ440=10),"④一般",IF(AND($A440=31,$AJ440=41),"⑤短期","対象外")))))</f>
        <v>①病院一般</v>
      </c>
      <c r="DC440" s="2909">
        <f>IF($A440="","",IF($AB440&amp;""='DB_設定'!$C$4,1,0))</f>
        <v>1</v>
      </c>
    </row>
    <row r="441">
      <c r="A441" t="n" s="2909">
        <v>21</v>
      </c>
      <c r="AA441" t="n" s="2909">
        <v>21</v>
      </c>
      <c r="AB441" t="inlineStr" s="2909">
        <is>
          <t>20250401</t>
        </is>
      </c>
      <c r="AD441" t="n" s="2909">
        <v>0</v>
      </c>
      <c r="AE441" t="inlineStr" s="2909">
        <is>
          <t>00000000</t>
        </is>
      </c>
      <c r="AH441" t="n" s="2909">
        <v>20</v>
      </c>
      <c r="AJ441" t="n" s="2909">
        <v>10</v>
      </c>
      <c r="AP441" t="n" s="2909">
        <v>280000</v>
      </c>
      <c r="DB441" s="2909" t="str">
        <f>IF($A441="","",IF($AH441=20,IF(AND(OR($A441=21,$A441=215),$AJ441=10),"①病院一般",IF(AND($A441=31,$AJ441=41),"②病院短期","対象外")),IF($AJ441=30,"③特定消防",IF(AND(OR($A441=21,$A441=215),$AJ441=10),"④一般",IF(AND($A441=31,$AJ441=41),"⑤短期","対象外")))))</f>
        <v>①病院一般</v>
      </c>
      <c r="DC441" s="2909">
        <f>IF($A441="","",IF($AB441&amp;""='DB_設定'!$C$4,1,0))</f>
        <v>1</v>
      </c>
    </row>
    <row r="442">
      <c r="A442" t="n" s="2909">
        <v>21</v>
      </c>
      <c r="AA442" t="n" s="2909">
        <v>21</v>
      </c>
      <c r="AB442" t="inlineStr" s="2909">
        <is>
          <t>20250401</t>
        </is>
      </c>
      <c r="AD442" t="n" s="2909">
        <v>0</v>
      </c>
      <c r="AE442" t="inlineStr" s="2909">
        <is>
          <t>00000000</t>
        </is>
      </c>
      <c r="AH442" t="n" s="2909">
        <v>20</v>
      </c>
      <c r="AJ442" t="n" s="2909">
        <v>10</v>
      </c>
      <c r="AP442" t="n" s="2909">
        <v>280000</v>
      </c>
      <c r="DB442" s="2909" t="str">
        <f>IF($A442="","",IF($AH442=20,IF(AND(OR($A442=21,$A442=215),$AJ442=10),"①病院一般",IF(AND($A442=31,$AJ442=41),"②病院短期","対象外")),IF($AJ442=30,"③特定消防",IF(AND(OR($A442=21,$A442=215),$AJ442=10),"④一般",IF(AND($A442=31,$AJ442=41),"⑤短期","対象外")))))</f>
        <v>①病院一般</v>
      </c>
      <c r="DC442" s="2909">
        <f>IF($A442="","",IF($AB442&amp;""='DB_設定'!$C$4,1,0))</f>
        <v>1</v>
      </c>
    </row>
    <row r="443">
      <c r="A443" t="n" s="2909">
        <v>21</v>
      </c>
      <c r="AA443" t="n" s="2909">
        <v>21</v>
      </c>
      <c r="AB443" t="inlineStr" s="2909">
        <is>
          <t>20250401</t>
        </is>
      </c>
      <c r="AD443" t="n" s="2909">
        <v>0</v>
      </c>
      <c r="AE443" t="inlineStr" s="2909">
        <is>
          <t>00000000</t>
        </is>
      </c>
      <c r="AH443" t="n" s="2909">
        <v>20</v>
      </c>
      <c r="AJ443" t="n" s="2909">
        <v>10</v>
      </c>
      <c r="AP443" t="n" s="2909">
        <v>280000</v>
      </c>
      <c r="DB443" s="2909" t="str">
        <f>IF($A443="","",IF($AH443=20,IF(AND(OR($A443=21,$A443=215),$AJ443=10),"①病院一般",IF(AND($A443=31,$AJ443=41),"②病院短期","対象外")),IF($AJ443=30,"③特定消防",IF(AND(OR($A443=21,$A443=215),$AJ443=10),"④一般",IF(AND($A443=31,$AJ443=41),"⑤短期","対象外")))))</f>
        <v>①病院一般</v>
      </c>
      <c r="DC443" s="2909">
        <f>IF($A443="","",IF($AB443&amp;""='DB_設定'!$C$4,1,0))</f>
        <v>1</v>
      </c>
    </row>
    <row r="444">
      <c r="A444" t="n" s="2909">
        <v>21</v>
      </c>
      <c r="AA444" t="n" s="2909">
        <v>21</v>
      </c>
      <c r="AB444" t="inlineStr" s="2909">
        <is>
          <t>20250401</t>
        </is>
      </c>
      <c r="AD444" t="n" s="2909">
        <v>0</v>
      </c>
      <c r="AE444" t="inlineStr" s="2909">
        <is>
          <t>00000000</t>
        </is>
      </c>
      <c r="AH444" t="n" s="2909">
        <v>20</v>
      </c>
      <c r="AJ444" t="n" s="2909">
        <v>10</v>
      </c>
      <c r="AP444" t="n" s="2909">
        <v>280000</v>
      </c>
      <c r="DB444" s="2909" t="str">
        <f>IF($A444="","",IF($AH444=20,IF(AND(OR($A444=21,$A444=215),$AJ444=10),"①病院一般",IF(AND($A444=31,$AJ444=41),"②病院短期","対象外")),IF($AJ444=30,"③特定消防",IF(AND(OR($A444=21,$A444=215),$AJ444=10),"④一般",IF(AND($A444=31,$AJ444=41),"⑤短期","対象外")))))</f>
        <v>①病院一般</v>
      </c>
      <c r="DC444" s="2909">
        <f>IF($A444="","",IF($AB444&amp;""='DB_設定'!$C$4,1,0))</f>
        <v>1</v>
      </c>
    </row>
    <row r="445">
      <c r="A445" t="n" s="2909">
        <v>21</v>
      </c>
      <c r="AA445" t="n" s="2909">
        <v>21</v>
      </c>
      <c r="AB445" t="inlineStr" s="2909">
        <is>
          <t>20250401</t>
        </is>
      </c>
      <c r="AD445" t="n" s="2909">
        <v>0</v>
      </c>
      <c r="AE445" t="inlineStr" s="2909">
        <is>
          <t>00000000</t>
        </is>
      </c>
      <c r="AH445" t="n" s="2909">
        <v>20</v>
      </c>
      <c r="AJ445" t="n" s="2909">
        <v>10</v>
      </c>
      <c r="AP445" t="n" s="2909">
        <v>280000</v>
      </c>
      <c r="DB445" s="2909" t="str">
        <f>IF($A445="","",IF($AH445=20,IF(AND(OR($A445=21,$A445=215),$AJ445=10),"①病院一般",IF(AND($A445=31,$AJ445=41),"②病院短期","対象外")),IF($AJ445=30,"③特定消防",IF(AND(OR($A445=21,$A445=215),$AJ445=10),"④一般",IF(AND($A445=31,$AJ445=41),"⑤短期","対象外")))))</f>
        <v>①病院一般</v>
      </c>
      <c r="DC445" s="2909">
        <f>IF($A445="","",IF($AB445&amp;""='DB_設定'!$C$4,1,0))</f>
        <v>1</v>
      </c>
    </row>
    <row r="446">
      <c r="A446" t="n" s="2909">
        <v>21</v>
      </c>
      <c r="AA446" t="n" s="2909">
        <v>21</v>
      </c>
      <c r="AB446" t="inlineStr" s="2909">
        <is>
          <t>20250401</t>
        </is>
      </c>
      <c r="AD446" t="n" s="2909">
        <v>0</v>
      </c>
      <c r="AE446" t="inlineStr" s="2909">
        <is>
          <t>00000000</t>
        </is>
      </c>
      <c r="AH446" t="n" s="2909">
        <v>20</v>
      </c>
      <c r="AJ446" t="n" s="2909">
        <v>10</v>
      </c>
      <c r="AP446" t="n" s="2909">
        <v>300000</v>
      </c>
      <c r="DB446" s="2909" t="str">
        <f>IF($A446="","",IF($AH446=20,IF(AND(OR($A446=21,$A446=215),$AJ446=10),"①病院一般",IF(AND($A446=31,$AJ446=41),"②病院短期","対象外")),IF($AJ446=30,"③特定消防",IF(AND(OR($A446=21,$A446=215),$AJ446=10),"④一般",IF(AND($A446=31,$AJ446=41),"⑤短期","対象外")))))</f>
        <v>①病院一般</v>
      </c>
      <c r="DC446" s="2909">
        <f>IF($A446="","",IF($AB446&amp;""='DB_設定'!$C$4,1,0))</f>
        <v>1</v>
      </c>
    </row>
    <row r="447">
      <c r="A447" t="n" s="2909">
        <v>21</v>
      </c>
      <c r="AA447" t="n" s="2909">
        <v>21</v>
      </c>
      <c r="AB447" t="inlineStr" s="2909">
        <is>
          <t>20250401</t>
        </is>
      </c>
      <c r="AD447" t="n" s="2909">
        <v>0</v>
      </c>
      <c r="AE447" t="inlineStr" s="2909">
        <is>
          <t>00000000</t>
        </is>
      </c>
      <c r="AH447" t="n" s="2909">
        <v>20</v>
      </c>
      <c r="AJ447" t="n" s="2909">
        <v>10</v>
      </c>
      <c r="AP447" t="n" s="2909">
        <v>300000</v>
      </c>
      <c r="DB447" s="2909" t="str">
        <f>IF($A447="","",IF($AH447=20,IF(AND(OR($A447=21,$A447=215),$AJ447=10),"①病院一般",IF(AND($A447=31,$AJ447=41),"②病院短期","対象外")),IF($AJ447=30,"③特定消防",IF(AND(OR($A447=21,$A447=215),$AJ447=10),"④一般",IF(AND($A447=31,$AJ447=41),"⑤短期","対象外")))))</f>
        <v>①病院一般</v>
      </c>
      <c r="DC447" s="2909">
        <f>IF($A447="","",IF($AB447&amp;""='DB_設定'!$C$4,1,0))</f>
        <v>1</v>
      </c>
    </row>
    <row r="448">
      <c r="A448" t="n" s="2909">
        <v>21</v>
      </c>
      <c r="AA448" t="n" s="2909">
        <v>21</v>
      </c>
      <c r="AB448" t="inlineStr" s="2909">
        <is>
          <t>20250401</t>
        </is>
      </c>
      <c r="AD448" t="n" s="2909">
        <v>0</v>
      </c>
      <c r="AE448" t="inlineStr" s="2909">
        <is>
          <t>00000000</t>
        </is>
      </c>
      <c r="AH448" t="n" s="2909">
        <v>20</v>
      </c>
      <c r="AJ448" t="n" s="2909">
        <v>10</v>
      </c>
      <c r="AP448" t="n" s="2909">
        <v>300000</v>
      </c>
      <c r="DB448" s="2909" t="str">
        <f>IF($A448="","",IF($AH448=20,IF(AND(OR($A448=21,$A448=215),$AJ448=10),"①病院一般",IF(AND($A448=31,$AJ448=41),"②病院短期","対象外")),IF($AJ448=30,"③特定消防",IF(AND(OR($A448=21,$A448=215),$AJ448=10),"④一般",IF(AND($A448=31,$AJ448=41),"⑤短期","対象外")))))</f>
        <v>①病院一般</v>
      </c>
      <c r="DC448" s="2909">
        <f>IF($A448="","",IF($AB448&amp;""='DB_設定'!$C$4,1,0))</f>
        <v>1</v>
      </c>
    </row>
    <row r="449">
      <c r="A449" t="n" s="2909">
        <v>21</v>
      </c>
      <c r="AA449" t="n" s="2909">
        <v>21</v>
      </c>
      <c r="AB449" t="inlineStr" s="2909">
        <is>
          <t>20250401</t>
        </is>
      </c>
      <c r="AD449" t="n" s="2909">
        <v>0</v>
      </c>
      <c r="AE449" t="inlineStr" s="2909">
        <is>
          <t>00000000</t>
        </is>
      </c>
      <c r="AH449" t="n" s="2909">
        <v>20</v>
      </c>
      <c r="AJ449" t="n" s="2909">
        <v>10</v>
      </c>
      <c r="AP449" t="n" s="2909">
        <v>280000</v>
      </c>
      <c r="DB449" s="2909" t="str">
        <f>IF($A449="","",IF($AH449=20,IF(AND(OR($A449=21,$A449=215),$AJ449=10),"①病院一般",IF(AND($A449=31,$AJ449=41),"②病院短期","対象外")),IF($AJ449=30,"③特定消防",IF(AND(OR($A449=21,$A449=215),$AJ449=10),"④一般",IF(AND($A449=31,$AJ449=41),"⑤短期","対象外")))))</f>
        <v>①病院一般</v>
      </c>
      <c r="DC449" s="2909">
        <f>IF($A449="","",IF($AB449&amp;""='DB_設定'!$C$4,1,0))</f>
        <v>1</v>
      </c>
    </row>
    <row r="450">
      <c r="A450" t="n" s="2909">
        <v>21</v>
      </c>
      <c r="AA450" t="n" s="2909">
        <v>21</v>
      </c>
      <c r="AB450" t="inlineStr" s="2909">
        <is>
          <t>20250401</t>
        </is>
      </c>
      <c r="AD450" t="n" s="2909">
        <v>0</v>
      </c>
      <c r="AE450" t="inlineStr" s="2909">
        <is>
          <t>00000000</t>
        </is>
      </c>
      <c r="AH450" t="n" s="2909">
        <v>20</v>
      </c>
      <c r="AJ450" t="n" s="2909">
        <v>10</v>
      </c>
      <c r="AP450" t="n" s="2909">
        <v>300000</v>
      </c>
      <c r="DB450" s="2909" t="str">
        <f>IF($A450="","",IF($AH450=20,IF(AND(OR($A450=21,$A450=215),$AJ450=10),"①病院一般",IF(AND($A450=31,$AJ450=41),"②病院短期","対象外")),IF($AJ450=30,"③特定消防",IF(AND(OR($A450=21,$A450=215),$AJ450=10),"④一般",IF(AND($A450=31,$AJ450=41),"⑤短期","対象外")))))</f>
        <v>①病院一般</v>
      </c>
      <c r="DC450" s="2909">
        <f>IF($A450="","",IF($AB450&amp;""='DB_設定'!$C$4,1,0))</f>
        <v>1</v>
      </c>
    </row>
    <row r="451">
      <c r="A451" t="n" s="2909">
        <v>21</v>
      </c>
      <c r="AA451" t="n" s="2909">
        <v>21</v>
      </c>
      <c r="AB451" t="inlineStr" s="2909">
        <is>
          <t>20250401</t>
        </is>
      </c>
      <c r="AD451" t="n" s="2909">
        <v>0</v>
      </c>
      <c r="AE451" t="inlineStr" s="2909">
        <is>
          <t>00000000</t>
        </is>
      </c>
      <c r="AH451" t="n" s="2909">
        <v>20</v>
      </c>
      <c r="AJ451" t="n" s="2909">
        <v>10</v>
      </c>
      <c r="AP451" t="n" s="2909">
        <v>280000</v>
      </c>
      <c r="DB451" s="2909" t="str">
        <f>IF($A451="","",IF($AH451=20,IF(AND(OR($A451=21,$A451=215),$AJ451=10),"①病院一般",IF(AND($A451=31,$AJ451=41),"②病院短期","対象外")),IF($AJ451=30,"③特定消防",IF(AND(OR($A451=21,$A451=215),$AJ451=10),"④一般",IF(AND($A451=31,$AJ451=41),"⑤短期","対象外")))))</f>
        <v>①病院一般</v>
      </c>
      <c r="DC451" s="2909">
        <f>IF($A451="","",IF($AB451&amp;""='DB_設定'!$C$4,1,0))</f>
        <v>1</v>
      </c>
    </row>
    <row r="452">
      <c r="A452" t="n" s="2909">
        <v>21</v>
      </c>
      <c r="AA452" t="n" s="2909">
        <v>21</v>
      </c>
      <c r="AB452" t="inlineStr" s="2909">
        <is>
          <t>20250401</t>
        </is>
      </c>
      <c r="AD452" t="n" s="2909">
        <v>0</v>
      </c>
      <c r="AE452" t="inlineStr" s="2909">
        <is>
          <t>00000000</t>
        </is>
      </c>
      <c r="AH452" t="n" s="2909">
        <v>20</v>
      </c>
      <c r="AJ452" t="n" s="2909">
        <v>10</v>
      </c>
      <c r="AP452" t="n" s="2909">
        <v>280000</v>
      </c>
      <c r="DB452" s="2909" t="str">
        <f>IF($A452="","",IF($AH452=20,IF(AND(OR($A452=21,$A452=215),$AJ452=10),"①病院一般",IF(AND($A452=31,$AJ452=41),"②病院短期","対象外")),IF($AJ452=30,"③特定消防",IF(AND(OR($A452=21,$A452=215),$AJ452=10),"④一般",IF(AND($A452=31,$AJ452=41),"⑤短期","対象外")))))</f>
        <v>①病院一般</v>
      </c>
      <c r="DC452" s="2909">
        <f>IF($A452="","",IF($AB452&amp;""='DB_設定'!$C$4,1,0))</f>
        <v>1</v>
      </c>
    </row>
    <row r="453">
      <c r="A453" t="n" s="2909">
        <v>21</v>
      </c>
      <c r="AA453" t="n" s="2909">
        <v>21</v>
      </c>
      <c r="AB453" t="inlineStr" s="2909">
        <is>
          <t>20250401</t>
        </is>
      </c>
      <c r="AD453" t="n" s="2909">
        <v>0</v>
      </c>
      <c r="AE453" t="inlineStr" s="2909">
        <is>
          <t>00000000</t>
        </is>
      </c>
      <c r="AH453" t="n" s="2909">
        <v>20</v>
      </c>
      <c r="AJ453" t="n" s="2909">
        <v>10</v>
      </c>
      <c r="AP453" t="n" s="2909">
        <v>280000</v>
      </c>
      <c r="DB453" s="2909" t="str">
        <f>IF($A453="","",IF($AH453=20,IF(AND(OR($A453=21,$A453=215),$AJ453=10),"①病院一般",IF(AND($A453=31,$AJ453=41),"②病院短期","対象外")),IF($AJ453=30,"③特定消防",IF(AND(OR($A453=21,$A453=215),$AJ453=10),"④一般",IF(AND($A453=31,$AJ453=41),"⑤短期","対象外")))))</f>
        <v>①病院一般</v>
      </c>
      <c r="DC453" s="2909">
        <f>IF($A453="","",IF($AB453&amp;""='DB_設定'!$C$4,1,0))</f>
        <v>1</v>
      </c>
    </row>
    <row r="454">
      <c r="A454" t="n" s="2909">
        <v>21</v>
      </c>
      <c r="AA454" t="n" s="2909">
        <v>21</v>
      </c>
      <c r="AB454" t="inlineStr" s="2909">
        <is>
          <t>20250401</t>
        </is>
      </c>
      <c r="AD454" t="n" s="2909">
        <v>0</v>
      </c>
      <c r="AE454" t="inlineStr" s="2909">
        <is>
          <t>00000000</t>
        </is>
      </c>
      <c r="AH454" t="n" s="2909">
        <v>20</v>
      </c>
      <c r="AJ454" t="n" s="2909">
        <v>10</v>
      </c>
      <c r="AP454" t="n" s="2909">
        <v>280000</v>
      </c>
      <c r="DB454" s="2909" t="str">
        <f>IF($A454="","",IF($AH454=20,IF(AND(OR($A454=21,$A454=215),$AJ454=10),"①病院一般",IF(AND($A454=31,$AJ454=41),"②病院短期","対象外")),IF($AJ454=30,"③特定消防",IF(AND(OR($A454=21,$A454=215),$AJ454=10),"④一般",IF(AND($A454=31,$AJ454=41),"⑤短期","対象外")))))</f>
        <v>①病院一般</v>
      </c>
      <c r="DC454" s="2909">
        <f>IF($A454="","",IF($AB454&amp;""='DB_設定'!$C$4,1,0))</f>
        <v>1</v>
      </c>
    </row>
    <row r="455">
      <c r="A455" t="n" s="2909">
        <v>21</v>
      </c>
      <c r="AA455" t="n" s="2909">
        <v>21</v>
      </c>
      <c r="AB455" t="inlineStr" s="2909">
        <is>
          <t>20250401</t>
        </is>
      </c>
      <c r="AD455" t="n" s="2909">
        <v>0</v>
      </c>
      <c r="AE455" t="inlineStr" s="2909">
        <is>
          <t>00000000</t>
        </is>
      </c>
      <c r="AH455" t="n" s="2909">
        <v>20</v>
      </c>
      <c r="AJ455" t="n" s="2909">
        <v>10</v>
      </c>
      <c r="AP455" t="n" s="2909">
        <v>280000</v>
      </c>
      <c r="DB455" s="2909" t="str">
        <f>IF($A455="","",IF($AH455=20,IF(AND(OR($A455=21,$A455=215),$AJ455=10),"①病院一般",IF(AND($A455=31,$AJ455=41),"②病院短期","対象外")),IF($AJ455=30,"③特定消防",IF(AND(OR($A455=21,$A455=215),$AJ455=10),"④一般",IF(AND($A455=31,$AJ455=41),"⑤短期","対象外")))))</f>
        <v>①病院一般</v>
      </c>
      <c r="DC455" s="2909">
        <f>IF($A455="","",IF($AB455&amp;""='DB_設定'!$C$4,1,0))</f>
        <v>1</v>
      </c>
    </row>
    <row r="456">
      <c r="A456" t="n" s="2909">
        <v>21</v>
      </c>
      <c r="AA456" t="n" s="2909">
        <v>21</v>
      </c>
      <c r="AB456" t="inlineStr" s="2909">
        <is>
          <t>20250401</t>
        </is>
      </c>
      <c r="AD456" t="n" s="2909">
        <v>0</v>
      </c>
      <c r="AE456" t="inlineStr" s="2909">
        <is>
          <t>00000000</t>
        </is>
      </c>
      <c r="AH456" t="n" s="2909">
        <v>20</v>
      </c>
      <c r="AJ456" t="n" s="2909">
        <v>10</v>
      </c>
      <c r="AP456" t="n" s="2909">
        <v>280000</v>
      </c>
      <c r="DB456" s="2909" t="str">
        <f>IF($A456="","",IF($AH456=20,IF(AND(OR($A456=21,$A456=215),$AJ456=10),"①病院一般",IF(AND($A456=31,$AJ456=41),"②病院短期","対象外")),IF($AJ456=30,"③特定消防",IF(AND(OR($A456=21,$A456=215),$AJ456=10),"④一般",IF(AND($A456=31,$AJ456=41),"⑤短期","対象外")))))</f>
        <v>①病院一般</v>
      </c>
      <c r="DC456" s="2909">
        <f>IF($A456="","",IF($AB456&amp;""='DB_設定'!$C$4,1,0))</f>
        <v>1</v>
      </c>
    </row>
    <row r="457">
      <c r="A457" t="n" s="2909">
        <v>21</v>
      </c>
      <c r="AA457" t="n" s="2909">
        <v>21</v>
      </c>
      <c r="AB457" t="inlineStr" s="2909">
        <is>
          <t>20250401</t>
        </is>
      </c>
      <c r="AD457" t="n" s="2909">
        <v>0</v>
      </c>
      <c r="AE457" t="inlineStr" s="2909">
        <is>
          <t>00000000</t>
        </is>
      </c>
      <c r="AH457" t="n" s="2909">
        <v>20</v>
      </c>
      <c r="AJ457" t="n" s="2909">
        <v>10</v>
      </c>
      <c r="AP457" t="n" s="2909">
        <v>280000</v>
      </c>
      <c r="DB457" s="2909" t="str">
        <f>IF($A457="","",IF($AH457=20,IF(AND(OR($A457=21,$A457=215),$AJ457=10),"①病院一般",IF(AND($A457=31,$AJ457=41),"②病院短期","対象外")),IF($AJ457=30,"③特定消防",IF(AND(OR($A457=21,$A457=215),$AJ457=10),"④一般",IF(AND($A457=31,$AJ457=41),"⑤短期","対象外")))))</f>
        <v>①病院一般</v>
      </c>
      <c r="DC457" s="2909">
        <f>IF($A457="","",IF($AB457&amp;""='DB_設定'!$C$4,1,0))</f>
        <v>1</v>
      </c>
    </row>
    <row r="458">
      <c r="A458" t="n" s="2909">
        <v>21</v>
      </c>
      <c r="AA458" t="n" s="2909">
        <v>21</v>
      </c>
      <c r="AB458" t="inlineStr" s="2909">
        <is>
          <t>20250401</t>
        </is>
      </c>
      <c r="AD458" t="n" s="2909">
        <v>0</v>
      </c>
      <c r="AE458" t="inlineStr" s="2909">
        <is>
          <t>00000000</t>
        </is>
      </c>
      <c r="AH458" t="n" s="2909">
        <v>20</v>
      </c>
      <c r="AJ458" t="n" s="2909">
        <v>10</v>
      </c>
      <c r="AP458" t="n" s="2909">
        <v>300000</v>
      </c>
      <c r="DB458" s="2909" t="str">
        <f>IF($A458="","",IF($AH458=20,IF(AND(OR($A458=21,$A458=215),$AJ458=10),"①病院一般",IF(AND($A458=31,$AJ458=41),"②病院短期","対象外")),IF($AJ458=30,"③特定消防",IF(AND(OR($A458=21,$A458=215),$AJ458=10),"④一般",IF(AND($A458=31,$AJ458=41),"⑤短期","対象外")))))</f>
        <v>①病院一般</v>
      </c>
      <c r="DC458" s="2909">
        <f>IF($A458="","",IF($AB458&amp;""='DB_設定'!$C$4,1,0))</f>
        <v>1</v>
      </c>
    </row>
    <row r="459">
      <c r="A459" t="n" s="2909">
        <v>21</v>
      </c>
      <c r="AA459" t="n" s="2909">
        <v>21</v>
      </c>
      <c r="AB459" t="inlineStr" s="2909">
        <is>
          <t>20250401</t>
        </is>
      </c>
      <c r="AD459" t="n" s="2909">
        <v>0</v>
      </c>
      <c r="AE459" t="inlineStr" s="2909">
        <is>
          <t>00000000</t>
        </is>
      </c>
      <c r="AH459" t="n" s="2909">
        <v>20</v>
      </c>
      <c r="AJ459" t="n" s="2909">
        <v>10</v>
      </c>
      <c r="AP459" t="n" s="2909">
        <v>300000</v>
      </c>
      <c r="DB459" s="2909" t="str">
        <f>IF($A459="","",IF($AH459=20,IF(AND(OR($A459=21,$A459=215),$AJ459=10),"①病院一般",IF(AND($A459=31,$AJ459=41),"②病院短期","対象外")),IF($AJ459=30,"③特定消防",IF(AND(OR($A459=21,$A459=215),$AJ459=10),"④一般",IF(AND($A459=31,$AJ459=41),"⑤短期","対象外")))))</f>
        <v>①病院一般</v>
      </c>
      <c r="DC459" s="2909">
        <f>IF($A459="","",IF($AB459&amp;""='DB_設定'!$C$4,1,0))</f>
        <v>1</v>
      </c>
    </row>
    <row r="460">
      <c r="A460" t="n" s="2909">
        <v>21</v>
      </c>
      <c r="AA460" t="n" s="2909">
        <v>21</v>
      </c>
      <c r="AB460" t="inlineStr" s="2909">
        <is>
          <t>20250401</t>
        </is>
      </c>
      <c r="AD460" t="n" s="2909">
        <v>0</v>
      </c>
      <c r="AE460" t="inlineStr" s="2909">
        <is>
          <t>00000000</t>
        </is>
      </c>
      <c r="AH460" t="n" s="2909">
        <v>20</v>
      </c>
      <c r="AJ460" t="n" s="2909">
        <v>10</v>
      </c>
      <c r="AP460" t="n" s="2909">
        <v>300000</v>
      </c>
      <c r="DB460" s="2909" t="str">
        <f>IF($A460="","",IF($AH460=20,IF(AND(OR($A460=21,$A460=215),$AJ460=10),"①病院一般",IF(AND($A460=31,$AJ460=41),"②病院短期","対象外")),IF($AJ460=30,"③特定消防",IF(AND(OR($A460=21,$A460=215),$AJ460=10),"④一般",IF(AND($A460=31,$AJ460=41),"⑤短期","対象外")))))</f>
        <v>①病院一般</v>
      </c>
      <c r="DC460" s="2909">
        <f>IF($A460="","",IF($AB460&amp;""='DB_設定'!$C$4,1,0))</f>
        <v>1</v>
      </c>
    </row>
    <row r="461">
      <c r="A461" t="n" s="2909">
        <v>21</v>
      </c>
      <c r="AA461" t="n" s="2909">
        <v>21</v>
      </c>
      <c r="AB461" t="inlineStr" s="2909">
        <is>
          <t>20250401</t>
        </is>
      </c>
      <c r="AD461" t="n" s="2909">
        <v>0</v>
      </c>
      <c r="AE461" t="inlineStr" s="2909">
        <is>
          <t>00000000</t>
        </is>
      </c>
      <c r="AH461" t="n" s="2909">
        <v>20</v>
      </c>
      <c r="AJ461" t="n" s="2909">
        <v>10</v>
      </c>
      <c r="AP461" t="n" s="2909">
        <v>260000</v>
      </c>
      <c r="DB461" s="2909" t="str">
        <f>IF($A461="","",IF($AH461=20,IF(AND(OR($A461=21,$A461=215),$AJ461=10),"①病院一般",IF(AND($A461=31,$AJ461=41),"②病院短期","対象外")),IF($AJ461=30,"③特定消防",IF(AND(OR($A461=21,$A461=215),$AJ461=10),"④一般",IF(AND($A461=31,$AJ461=41),"⑤短期","対象外")))))</f>
        <v>①病院一般</v>
      </c>
      <c r="DC461" s="2909">
        <f>IF($A461="","",IF($AB461&amp;""='DB_設定'!$C$4,1,0))</f>
        <v>1</v>
      </c>
    </row>
    <row r="462">
      <c r="A462" t="n" s="2909">
        <v>21</v>
      </c>
      <c r="AA462" t="n" s="2909">
        <v>21</v>
      </c>
      <c r="AB462" t="inlineStr" s="2909">
        <is>
          <t>20250401</t>
        </is>
      </c>
      <c r="AD462" t="n" s="2909">
        <v>0</v>
      </c>
      <c r="AE462" t="inlineStr" s="2909">
        <is>
          <t>00000000</t>
        </is>
      </c>
      <c r="AH462" t="n" s="2909">
        <v>20</v>
      </c>
      <c r="AJ462" t="n" s="2909">
        <v>10</v>
      </c>
      <c r="AP462" t="n" s="2909">
        <v>300000</v>
      </c>
      <c r="DB462" s="2909" t="str">
        <f>IF($A462="","",IF($AH462=20,IF(AND(OR($A462=21,$A462=215),$AJ462=10),"①病院一般",IF(AND($A462=31,$AJ462=41),"②病院短期","対象外")),IF($AJ462=30,"③特定消防",IF(AND(OR($A462=21,$A462=215),$AJ462=10),"④一般",IF(AND($A462=31,$AJ462=41),"⑤短期","対象外")))))</f>
        <v>①病院一般</v>
      </c>
      <c r="DC462" s="2909">
        <f>IF($A462="","",IF($AB462&amp;""='DB_設定'!$C$4,1,0))</f>
        <v>1</v>
      </c>
    </row>
    <row r="463">
      <c r="A463" t="n" s="2909">
        <v>21</v>
      </c>
      <c r="AA463" t="n" s="2909">
        <v>21</v>
      </c>
      <c r="AB463" t="inlineStr" s="2909">
        <is>
          <t>20250401</t>
        </is>
      </c>
      <c r="AD463" t="n" s="2909">
        <v>0</v>
      </c>
      <c r="AE463" t="inlineStr" s="2909">
        <is>
          <t>00000000</t>
        </is>
      </c>
      <c r="AH463" t="n" s="2909">
        <v>20</v>
      </c>
      <c r="AJ463" t="n" s="2909">
        <v>10</v>
      </c>
      <c r="AP463" t="n" s="2909">
        <v>300000</v>
      </c>
      <c r="DB463" s="2909" t="str">
        <f>IF($A463="","",IF($AH463=20,IF(AND(OR($A463=21,$A463=215),$AJ463=10),"①病院一般",IF(AND($A463=31,$AJ463=41),"②病院短期","対象外")),IF($AJ463=30,"③特定消防",IF(AND(OR($A463=21,$A463=215),$AJ463=10),"④一般",IF(AND($A463=31,$AJ463=41),"⑤短期","対象外")))))</f>
        <v>①病院一般</v>
      </c>
      <c r="DC463" s="2909">
        <f>IF($A463="","",IF($AB463&amp;""='DB_設定'!$C$4,1,0))</f>
        <v>1</v>
      </c>
    </row>
    <row r="464">
      <c r="A464" t="n" s="2909">
        <v>21</v>
      </c>
      <c r="AA464" t="n" s="2909">
        <v>21</v>
      </c>
      <c r="AB464" t="inlineStr" s="2909">
        <is>
          <t>20250401</t>
        </is>
      </c>
      <c r="AD464" t="n" s="2909">
        <v>0</v>
      </c>
      <c r="AE464" t="inlineStr" s="2909">
        <is>
          <t>00000000</t>
        </is>
      </c>
      <c r="AH464" t="n" s="2909">
        <v>20</v>
      </c>
      <c r="AJ464" t="n" s="2909">
        <v>10</v>
      </c>
      <c r="AP464" t="n" s="2909">
        <v>300000</v>
      </c>
      <c r="DB464" s="2909" t="str">
        <f>IF($A464="","",IF($AH464=20,IF(AND(OR($A464=21,$A464=215),$AJ464=10),"①病院一般",IF(AND($A464=31,$AJ464=41),"②病院短期","対象外")),IF($AJ464=30,"③特定消防",IF(AND(OR($A464=21,$A464=215),$AJ464=10),"④一般",IF(AND($A464=31,$AJ464=41),"⑤短期","対象外")))))</f>
        <v>①病院一般</v>
      </c>
      <c r="DC464" s="2909">
        <f>IF($A464="","",IF($AB464&amp;""='DB_設定'!$C$4,1,0))</f>
        <v>1</v>
      </c>
    </row>
    <row r="465">
      <c r="A465" t="n" s="2909">
        <v>21</v>
      </c>
      <c r="AA465" t="n" s="2909">
        <v>21</v>
      </c>
      <c r="AB465" t="inlineStr" s="2909">
        <is>
          <t>20250401</t>
        </is>
      </c>
      <c r="AD465" t="n" s="2909">
        <v>0</v>
      </c>
      <c r="AE465" t="inlineStr" s="2909">
        <is>
          <t>00000000</t>
        </is>
      </c>
      <c r="AH465" t="n" s="2909">
        <v>20</v>
      </c>
      <c r="AJ465" t="n" s="2909">
        <v>10</v>
      </c>
      <c r="AP465" t="n" s="2909">
        <v>300000</v>
      </c>
      <c r="DB465" s="2909" t="str">
        <f>IF($A465="","",IF($AH465=20,IF(AND(OR($A465=21,$A465=215),$AJ465=10),"①病院一般",IF(AND($A465=31,$AJ465=41),"②病院短期","対象外")),IF($AJ465=30,"③特定消防",IF(AND(OR($A465=21,$A465=215),$AJ465=10),"④一般",IF(AND($A465=31,$AJ465=41),"⑤短期","対象外")))))</f>
        <v>①病院一般</v>
      </c>
      <c r="DC465" s="2909">
        <f>IF($A465="","",IF($AB465&amp;""='DB_設定'!$C$4,1,0))</f>
        <v>1</v>
      </c>
    </row>
    <row r="466">
      <c r="A466" t="n" s="2909">
        <v>21</v>
      </c>
      <c r="AA466" t="n" s="2909">
        <v>21</v>
      </c>
      <c r="AB466" t="inlineStr" s="2909">
        <is>
          <t>20250401</t>
        </is>
      </c>
      <c r="AD466" t="n" s="2909">
        <v>0</v>
      </c>
      <c r="AE466" t="inlineStr" s="2909">
        <is>
          <t>00000000</t>
        </is>
      </c>
      <c r="AH466" t="n" s="2909">
        <v>20</v>
      </c>
      <c r="AJ466" t="n" s="2909">
        <v>10</v>
      </c>
      <c r="AP466" t="n" s="2909">
        <v>300000</v>
      </c>
      <c r="DB466" s="2909" t="str">
        <f>IF($A466="","",IF($AH466=20,IF(AND(OR($A466=21,$A466=215),$AJ466=10),"①病院一般",IF(AND($A466=31,$AJ466=41),"②病院短期","対象外")),IF($AJ466=30,"③特定消防",IF(AND(OR($A466=21,$A466=215),$AJ466=10),"④一般",IF(AND($A466=31,$AJ466=41),"⑤短期","対象外")))))</f>
        <v>①病院一般</v>
      </c>
      <c r="DC466" s="2909">
        <f>IF($A466="","",IF($AB466&amp;""='DB_設定'!$C$4,1,0))</f>
        <v>1</v>
      </c>
    </row>
    <row r="467">
      <c r="A467" t="n" s="2909">
        <v>21</v>
      </c>
      <c r="AA467" t="n" s="2909">
        <v>21</v>
      </c>
      <c r="AB467" t="inlineStr" s="2909">
        <is>
          <t>20250401</t>
        </is>
      </c>
      <c r="AD467" t="n" s="2909">
        <v>0</v>
      </c>
      <c r="AE467" t="inlineStr" s="2909">
        <is>
          <t>00000000</t>
        </is>
      </c>
      <c r="AH467" t="n" s="2909">
        <v>20</v>
      </c>
      <c r="AJ467" t="n" s="2909">
        <v>10</v>
      </c>
      <c r="AP467" t="n" s="2909">
        <v>340000</v>
      </c>
      <c r="DB467" s="2909" t="str">
        <f>IF($A467="","",IF($AH467=20,IF(AND(OR($A467=21,$A467=215),$AJ467=10),"①病院一般",IF(AND($A467=31,$AJ467=41),"②病院短期","対象外")),IF($AJ467=30,"③特定消防",IF(AND(OR($A467=21,$A467=215),$AJ467=10),"④一般",IF(AND($A467=31,$AJ467=41),"⑤短期","対象外")))))</f>
        <v>①病院一般</v>
      </c>
      <c r="DC467" s="2909">
        <f>IF($A467="","",IF($AB467&amp;""='DB_設定'!$C$4,1,0))</f>
        <v>1</v>
      </c>
    </row>
    <row r="468">
      <c r="A468" t="n" s="2909">
        <v>21</v>
      </c>
      <c r="AA468" t="n" s="2909">
        <v>21</v>
      </c>
      <c r="AB468" t="inlineStr" s="2909">
        <is>
          <t>20250401</t>
        </is>
      </c>
      <c r="AD468" t="n" s="2909">
        <v>0</v>
      </c>
      <c r="AE468" t="inlineStr" s="2909">
        <is>
          <t>00000000</t>
        </is>
      </c>
      <c r="AH468" t="n" s="2909">
        <v>20</v>
      </c>
      <c r="AJ468" t="n" s="2909">
        <v>10</v>
      </c>
      <c r="AP468" t="n" s="2909">
        <v>300000</v>
      </c>
      <c r="DB468" s="2909" t="str">
        <f>IF($A468="","",IF($AH468=20,IF(AND(OR($A468=21,$A468=215),$AJ468=10),"①病院一般",IF(AND($A468=31,$AJ468=41),"②病院短期","対象外")),IF($AJ468=30,"③特定消防",IF(AND(OR($A468=21,$A468=215),$AJ468=10),"④一般",IF(AND($A468=31,$AJ468=41),"⑤短期","対象外")))))</f>
        <v>①病院一般</v>
      </c>
      <c r="DC468" s="2909">
        <f>IF($A468="","",IF($AB468&amp;""='DB_設定'!$C$4,1,0))</f>
        <v>1</v>
      </c>
    </row>
    <row r="469">
      <c r="A469" t="n" s="2909">
        <v>21</v>
      </c>
      <c r="AA469" t="n" s="2909">
        <v>21</v>
      </c>
      <c r="AB469" t="inlineStr" s="2909">
        <is>
          <t>20250401</t>
        </is>
      </c>
      <c r="AD469" t="n" s="2909">
        <v>0</v>
      </c>
      <c r="AE469" t="inlineStr" s="2909">
        <is>
          <t>00000000</t>
        </is>
      </c>
      <c r="AH469" t="n" s="2909">
        <v>20</v>
      </c>
      <c r="AJ469" t="n" s="2909">
        <v>10</v>
      </c>
      <c r="AP469" t="n" s="2909">
        <v>300000</v>
      </c>
      <c r="DB469" s="2909" t="str">
        <f>IF($A469="","",IF($AH469=20,IF(AND(OR($A469=21,$A469=215),$AJ469=10),"①病院一般",IF(AND($A469=31,$AJ469=41),"②病院短期","対象外")),IF($AJ469=30,"③特定消防",IF(AND(OR($A469=21,$A469=215),$AJ469=10),"④一般",IF(AND($A469=31,$AJ469=41),"⑤短期","対象外")))))</f>
        <v>①病院一般</v>
      </c>
      <c r="DC469" s="2909">
        <f>IF($A469="","",IF($AB469&amp;""='DB_設定'!$C$4,1,0))</f>
        <v>1</v>
      </c>
    </row>
    <row r="470">
      <c r="A470" t="n" s="2909">
        <v>21</v>
      </c>
      <c r="AA470" t="n" s="2909">
        <v>21</v>
      </c>
      <c r="AB470" t="inlineStr" s="2909">
        <is>
          <t>20250401</t>
        </is>
      </c>
      <c r="AD470" t="n" s="2909">
        <v>0</v>
      </c>
      <c r="AE470" t="inlineStr" s="2909">
        <is>
          <t>00000000</t>
        </is>
      </c>
      <c r="AH470" t="n" s="2909">
        <v>20</v>
      </c>
      <c r="AJ470" t="n" s="2909">
        <v>10</v>
      </c>
      <c r="AP470" t="n" s="2909">
        <v>300000</v>
      </c>
      <c r="DB470" s="2909" t="str">
        <f>IF($A470="","",IF($AH470=20,IF(AND(OR($A470=21,$A470=215),$AJ470=10),"①病院一般",IF(AND($A470=31,$AJ470=41),"②病院短期","対象外")),IF($AJ470=30,"③特定消防",IF(AND(OR($A470=21,$A470=215),$AJ470=10),"④一般",IF(AND($A470=31,$AJ470=41),"⑤短期","対象外")))))</f>
        <v>①病院一般</v>
      </c>
      <c r="DC470" s="2909">
        <f>IF($A470="","",IF($AB470&amp;""='DB_設定'!$C$4,1,0))</f>
        <v>1</v>
      </c>
    </row>
    <row r="471">
      <c r="A471" t="n" s="2909">
        <v>21</v>
      </c>
      <c r="AA471" t="n" s="2909">
        <v>21</v>
      </c>
      <c r="AB471" t="inlineStr" s="2909">
        <is>
          <t>20250401</t>
        </is>
      </c>
      <c r="AD471" t="n" s="2909">
        <v>0</v>
      </c>
      <c r="AE471" t="inlineStr" s="2909">
        <is>
          <t>00000000</t>
        </is>
      </c>
      <c r="AH471" t="n" s="2909">
        <v>20</v>
      </c>
      <c r="AJ471" t="n" s="2909">
        <v>10</v>
      </c>
      <c r="AP471" t="n" s="2909">
        <v>340000</v>
      </c>
      <c r="DB471" s="2909" t="str">
        <f>IF($A471="","",IF($AH471=20,IF(AND(OR($A471=21,$A471=215),$AJ471=10),"①病院一般",IF(AND($A471=31,$AJ471=41),"②病院短期","対象外")),IF($AJ471=30,"③特定消防",IF(AND(OR($A471=21,$A471=215),$AJ471=10),"④一般",IF(AND($A471=31,$AJ471=41),"⑤短期","対象外")))))</f>
        <v>①病院一般</v>
      </c>
      <c r="DC471" s="2909">
        <f>IF($A471="","",IF($AB471&amp;""='DB_設定'!$C$4,1,0))</f>
        <v>1</v>
      </c>
    </row>
    <row r="472">
      <c r="A472" t="n" s="2909">
        <v>21</v>
      </c>
      <c r="AA472" t="n" s="2909">
        <v>21</v>
      </c>
      <c r="AB472" t="inlineStr" s="2909">
        <is>
          <t>20250401</t>
        </is>
      </c>
      <c r="AD472" t="n" s="2909">
        <v>0</v>
      </c>
      <c r="AE472" t="inlineStr" s="2909">
        <is>
          <t>00000000</t>
        </is>
      </c>
      <c r="AH472" t="n" s="2909">
        <v>20</v>
      </c>
      <c r="AJ472" t="n" s="2909">
        <v>10</v>
      </c>
      <c r="AP472" t="n" s="2909">
        <v>300000</v>
      </c>
      <c r="DB472" s="2909" t="str">
        <f>IF($A472="","",IF($AH472=20,IF(AND(OR($A472=21,$A472=215),$AJ472=10),"①病院一般",IF(AND($A472=31,$AJ472=41),"②病院短期","対象外")),IF($AJ472=30,"③特定消防",IF(AND(OR($A472=21,$A472=215),$AJ472=10),"④一般",IF(AND($A472=31,$AJ472=41),"⑤短期","対象外")))))</f>
        <v>①病院一般</v>
      </c>
      <c r="DC472" s="2909">
        <f>IF($A472="","",IF($AB472&amp;""='DB_設定'!$C$4,1,0))</f>
        <v>1</v>
      </c>
    </row>
    <row r="473">
      <c r="A473" t="n" s="2909">
        <v>21</v>
      </c>
      <c r="AA473" t="n" s="2909">
        <v>21</v>
      </c>
      <c r="AB473" t="inlineStr" s="2909">
        <is>
          <t>20250401</t>
        </is>
      </c>
      <c r="AD473" t="n" s="2909">
        <v>0</v>
      </c>
      <c r="AE473" t="inlineStr" s="2909">
        <is>
          <t>00000000</t>
        </is>
      </c>
      <c r="AH473" t="n" s="2909">
        <v>20</v>
      </c>
      <c r="AJ473" t="n" s="2909">
        <v>10</v>
      </c>
      <c r="AP473" t="n" s="2909">
        <v>300000</v>
      </c>
      <c r="DB473" s="2909" t="str">
        <f>IF($A473="","",IF($AH473=20,IF(AND(OR($A473=21,$A473=215),$AJ473=10),"①病院一般",IF(AND($A473=31,$AJ473=41),"②病院短期","対象外")),IF($AJ473=30,"③特定消防",IF(AND(OR($A473=21,$A473=215),$AJ473=10),"④一般",IF(AND($A473=31,$AJ473=41),"⑤短期","対象外")))))</f>
        <v>①病院一般</v>
      </c>
      <c r="DC473" s="2909">
        <f>IF($A473="","",IF($AB473&amp;""='DB_設定'!$C$4,1,0))</f>
        <v>1</v>
      </c>
    </row>
    <row r="474">
      <c r="A474" t="n" s="2909">
        <v>21</v>
      </c>
      <c r="AA474" t="n" s="2909">
        <v>21</v>
      </c>
      <c r="AB474" t="inlineStr" s="2909">
        <is>
          <t>20250401</t>
        </is>
      </c>
      <c r="AD474" t="n" s="2909">
        <v>0</v>
      </c>
      <c r="AE474" t="inlineStr" s="2909">
        <is>
          <t>00000000</t>
        </is>
      </c>
      <c r="AH474" t="n" s="2909">
        <v>20</v>
      </c>
      <c r="AJ474" t="n" s="2909">
        <v>10</v>
      </c>
      <c r="AP474" t="n" s="2909">
        <v>280000</v>
      </c>
      <c r="DB474" s="2909" t="str">
        <f>IF($A474="","",IF($AH474=20,IF(AND(OR($A474=21,$A474=215),$AJ474=10),"①病院一般",IF(AND($A474=31,$AJ474=41),"②病院短期","対象外")),IF($AJ474=30,"③特定消防",IF(AND(OR($A474=21,$A474=215),$AJ474=10),"④一般",IF(AND($A474=31,$AJ474=41),"⑤短期","対象外")))))</f>
        <v>①病院一般</v>
      </c>
      <c r="DC474" s="2909">
        <f>IF($A474="","",IF($AB474&amp;""='DB_設定'!$C$4,1,0))</f>
        <v>1</v>
      </c>
    </row>
    <row r="475">
      <c r="A475" t="n" s="2909">
        <v>21</v>
      </c>
      <c r="AA475" t="n" s="2909">
        <v>21</v>
      </c>
      <c r="AB475" t="inlineStr" s="2909">
        <is>
          <t>20250401</t>
        </is>
      </c>
      <c r="AD475" t="n" s="2909">
        <v>0</v>
      </c>
      <c r="AE475" t="inlineStr" s="2909">
        <is>
          <t>00000000</t>
        </is>
      </c>
      <c r="AH475" t="n" s="2909">
        <v>20</v>
      </c>
      <c r="AJ475" t="n" s="2909">
        <v>10</v>
      </c>
      <c r="AP475" t="n" s="2909">
        <v>280000</v>
      </c>
      <c r="DB475" s="2909" t="str">
        <f>IF($A475="","",IF($AH475=20,IF(AND(OR($A475=21,$A475=215),$AJ475=10),"①病院一般",IF(AND($A475=31,$AJ475=41),"②病院短期","対象外")),IF($AJ475=30,"③特定消防",IF(AND(OR($A475=21,$A475=215),$AJ475=10),"④一般",IF(AND($A475=31,$AJ475=41),"⑤短期","対象外")))))</f>
        <v>①病院一般</v>
      </c>
      <c r="DC475" s="2909">
        <f>IF($A475="","",IF($AB475&amp;""='DB_設定'!$C$4,1,0))</f>
        <v>1</v>
      </c>
    </row>
    <row r="476">
      <c r="A476" t="n" s="2909">
        <v>21</v>
      </c>
      <c r="AA476" t="n" s="2909">
        <v>21</v>
      </c>
      <c r="AB476" t="inlineStr" s="2909">
        <is>
          <t>20250401</t>
        </is>
      </c>
      <c r="AD476" t="n" s="2909">
        <v>0</v>
      </c>
      <c r="AE476" t="inlineStr" s="2909">
        <is>
          <t>00000000</t>
        </is>
      </c>
      <c r="AH476" t="n" s="2909">
        <v>20</v>
      </c>
      <c r="AJ476" t="n" s="2909">
        <v>10</v>
      </c>
      <c r="AP476" t="n" s="2909">
        <v>280000</v>
      </c>
      <c r="DB476" s="2909" t="str">
        <f>IF($A476="","",IF($AH476=20,IF(AND(OR($A476=21,$A476=215),$AJ476=10),"①病院一般",IF(AND($A476=31,$AJ476=41),"②病院短期","対象外")),IF($AJ476=30,"③特定消防",IF(AND(OR($A476=21,$A476=215),$AJ476=10),"④一般",IF(AND($A476=31,$AJ476=41),"⑤短期","対象外")))))</f>
        <v>①病院一般</v>
      </c>
      <c r="DC476" s="2909">
        <f>IF($A476="","",IF($AB476&amp;""='DB_設定'!$C$4,1,0))</f>
        <v>1</v>
      </c>
    </row>
    <row r="477">
      <c r="A477" t="n" s="2909">
        <v>21</v>
      </c>
      <c r="AA477" t="n" s="2909">
        <v>21</v>
      </c>
      <c r="AB477" t="inlineStr" s="2909">
        <is>
          <t>20250401</t>
        </is>
      </c>
      <c r="AD477" t="n" s="2909">
        <v>0</v>
      </c>
      <c r="AE477" t="inlineStr" s="2909">
        <is>
          <t>00000000</t>
        </is>
      </c>
      <c r="AH477" t="n" s="2909">
        <v>20</v>
      </c>
      <c r="AJ477" t="n" s="2909">
        <v>10</v>
      </c>
      <c r="AP477" t="n" s="2909">
        <v>280000</v>
      </c>
      <c r="DB477" s="2909" t="str">
        <f>IF($A477="","",IF($AH477=20,IF(AND(OR($A477=21,$A477=215),$AJ477=10),"①病院一般",IF(AND($A477=31,$AJ477=41),"②病院短期","対象外")),IF($AJ477=30,"③特定消防",IF(AND(OR($A477=21,$A477=215),$AJ477=10),"④一般",IF(AND($A477=31,$AJ477=41),"⑤短期","対象外")))))</f>
        <v>①病院一般</v>
      </c>
      <c r="DC477" s="2909">
        <f>IF($A477="","",IF($AB477&amp;""='DB_設定'!$C$4,1,0))</f>
        <v>1</v>
      </c>
    </row>
    <row r="478">
      <c r="A478" t="n" s="2909">
        <v>21</v>
      </c>
      <c r="AA478" t="n" s="2909">
        <v>21</v>
      </c>
      <c r="AB478" t="inlineStr" s="2909">
        <is>
          <t>20250401</t>
        </is>
      </c>
      <c r="AD478" t="n" s="2909">
        <v>0</v>
      </c>
      <c r="AE478" t="inlineStr" s="2909">
        <is>
          <t>00000000</t>
        </is>
      </c>
      <c r="AH478" t="n" s="2909">
        <v>20</v>
      </c>
      <c r="AJ478" t="n" s="2909">
        <v>10</v>
      </c>
      <c r="AP478" t="n" s="2909">
        <v>280000</v>
      </c>
      <c r="DB478" s="2909" t="str">
        <f>IF($A478="","",IF($AH478=20,IF(AND(OR($A478=21,$A478=215),$AJ478=10),"①病院一般",IF(AND($A478=31,$AJ478=41),"②病院短期","対象外")),IF($AJ478=30,"③特定消防",IF(AND(OR($A478=21,$A478=215),$AJ478=10),"④一般",IF(AND($A478=31,$AJ478=41),"⑤短期","対象外")))))</f>
        <v>①病院一般</v>
      </c>
      <c r="DC478" s="2909">
        <f>IF($A478="","",IF($AB478&amp;""='DB_設定'!$C$4,1,0))</f>
        <v>1</v>
      </c>
    </row>
    <row r="479">
      <c r="A479" t="n" s="2909">
        <v>21</v>
      </c>
      <c r="AA479" t="n" s="2909">
        <v>21</v>
      </c>
      <c r="AB479" t="inlineStr" s="2909">
        <is>
          <t>20250401</t>
        </is>
      </c>
      <c r="AD479" t="n" s="2909">
        <v>0</v>
      </c>
      <c r="AE479" t="inlineStr" s="2909">
        <is>
          <t>00000000</t>
        </is>
      </c>
      <c r="AH479" t="n" s="2909">
        <v>20</v>
      </c>
      <c r="AJ479" t="n" s="2909">
        <v>10</v>
      </c>
      <c r="AP479" t="n" s="2909">
        <v>300000</v>
      </c>
      <c r="DB479" s="2909" t="str">
        <f>IF($A479="","",IF($AH479=20,IF(AND(OR($A479=21,$A479=215),$AJ479=10),"①病院一般",IF(AND($A479=31,$AJ479=41),"②病院短期","対象外")),IF($AJ479=30,"③特定消防",IF(AND(OR($A479=21,$A479=215),$AJ479=10),"④一般",IF(AND($A479=31,$AJ479=41),"⑤短期","対象外")))))</f>
        <v>①病院一般</v>
      </c>
      <c r="DC479" s="2909">
        <f>IF($A479="","",IF($AB479&amp;""='DB_設定'!$C$4,1,0))</f>
        <v>1</v>
      </c>
    </row>
    <row r="480">
      <c r="A480" t="n" s="2909">
        <v>21</v>
      </c>
      <c r="AA480" t="n" s="2909">
        <v>21</v>
      </c>
      <c r="AB480" t="inlineStr" s="2909">
        <is>
          <t>20250401</t>
        </is>
      </c>
      <c r="AD480" t="n" s="2909">
        <v>0</v>
      </c>
      <c r="AE480" t="inlineStr" s="2909">
        <is>
          <t>00000000</t>
        </is>
      </c>
      <c r="AH480" t="n" s="2909">
        <v>20</v>
      </c>
      <c r="AJ480" t="n" s="2909">
        <v>10</v>
      </c>
      <c r="AP480" t="n" s="2909">
        <v>300000</v>
      </c>
      <c r="DB480" s="2909" t="str">
        <f>IF($A480="","",IF($AH480=20,IF(AND(OR($A480=21,$A480=215),$AJ480=10),"①病院一般",IF(AND($A480=31,$AJ480=41),"②病院短期","対象外")),IF($AJ480=30,"③特定消防",IF(AND(OR($A480=21,$A480=215),$AJ480=10),"④一般",IF(AND($A480=31,$AJ480=41),"⑤短期","対象外")))))</f>
        <v>①病院一般</v>
      </c>
      <c r="DC480" s="2909">
        <f>IF($A480="","",IF($AB480&amp;""='DB_設定'!$C$4,1,0))</f>
        <v>1</v>
      </c>
    </row>
    <row r="481">
      <c r="A481" t="n" s="2909">
        <v>21</v>
      </c>
      <c r="AA481" t="n" s="2909">
        <v>21</v>
      </c>
      <c r="AB481" t="inlineStr" s="2909">
        <is>
          <t>20250401</t>
        </is>
      </c>
      <c r="AD481" t="n" s="2909">
        <v>0</v>
      </c>
      <c r="AE481" t="inlineStr" s="2909">
        <is>
          <t>00000000</t>
        </is>
      </c>
      <c r="AH481" t="n" s="2909">
        <v>20</v>
      </c>
      <c r="AJ481" t="n" s="2909">
        <v>10</v>
      </c>
      <c r="AP481" t="n" s="2909">
        <v>300000</v>
      </c>
      <c r="DB481" s="2909" t="str">
        <f>IF($A481="","",IF($AH481=20,IF(AND(OR($A481=21,$A481=215),$AJ481=10),"①病院一般",IF(AND($A481=31,$AJ481=41),"②病院短期","対象外")),IF($AJ481=30,"③特定消防",IF(AND(OR($A481=21,$A481=215),$AJ481=10),"④一般",IF(AND($A481=31,$AJ481=41),"⑤短期","対象外")))))</f>
        <v>①病院一般</v>
      </c>
      <c r="DC481" s="2909">
        <f>IF($A481="","",IF($AB481&amp;""='DB_設定'!$C$4,1,0))</f>
        <v>1</v>
      </c>
    </row>
    <row r="482">
      <c r="A482" t="n" s="2909">
        <v>21</v>
      </c>
      <c r="AA482" t="n" s="2909">
        <v>21</v>
      </c>
      <c r="AB482" t="inlineStr" s="2909">
        <is>
          <t>20250401</t>
        </is>
      </c>
      <c r="AD482" t="n" s="2909">
        <v>0</v>
      </c>
      <c r="AE482" t="inlineStr" s="2909">
        <is>
          <t>00000000</t>
        </is>
      </c>
      <c r="AH482" t="n" s="2909">
        <v>20</v>
      </c>
      <c r="AJ482" t="n" s="2909">
        <v>10</v>
      </c>
      <c r="AP482" t="n" s="2909">
        <v>260000</v>
      </c>
      <c r="DB482" s="2909" t="str">
        <f>IF($A482="","",IF($AH482=20,IF(AND(OR($A482=21,$A482=215),$AJ482=10),"①病院一般",IF(AND($A482=31,$AJ482=41),"②病院短期","対象外")),IF($AJ482=30,"③特定消防",IF(AND(OR($A482=21,$A482=215),$AJ482=10),"④一般",IF(AND($A482=31,$AJ482=41),"⑤短期","対象外")))))</f>
        <v>①病院一般</v>
      </c>
      <c r="DC482" s="2909">
        <f>IF($A482="","",IF($AB482&amp;""='DB_設定'!$C$4,1,0))</f>
        <v>1</v>
      </c>
    </row>
    <row r="483">
      <c r="A483" t="n" s="2909">
        <v>21</v>
      </c>
      <c r="AA483" t="n" s="2909">
        <v>21</v>
      </c>
      <c r="AB483" t="inlineStr" s="2909">
        <is>
          <t>20250401</t>
        </is>
      </c>
      <c r="AD483" t="n" s="2909">
        <v>0</v>
      </c>
      <c r="AE483" t="inlineStr" s="2909">
        <is>
          <t>00000000</t>
        </is>
      </c>
      <c r="AH483" t="n" s="2909">
        <v>20</v>
      </c>
      <c r="AJ483" t="n" s="2909">
        <v>10</v>
      </c>
      <c r="AP483" t="n" s="2909">
        <v>280000</v>
      </c>
      <c r="DB483" s="2909" t="str">
        <f>IF($A483="","",IF($AH483=20,IF(AND(OR($A483=21,$A483=215),$AJ483=10),"①病院一般",IF(AND($A483=31,$AJ483=41),"②病院短期","対象外")),IF($AJ483=30,"③特定消防",IF(AND(OR($A483=21,$A483=215),$AJ483=10),"④一般",IF(AND($A483=31,$AJ483=41),"⑤短期","対象外")))))</f>
        <v>①病院一般</v>
      </c>
      <c r="DC483" s="2909">
        <f>IF($A483="","",IF($AB483&amp;""='DB_設定'!$C$4,1,0))</f>
        <v>1</v>
      </c>
    </row>
    <row r="484">
      <c r="A484" t="n" s="2909">
        <v>21</v>
      </c>
      <c r="AA484" t="n" s="2909">
        <v>21</v>
      </c>
      <c r="AB484" t="inlineStr" s="2909">
        <is>
          <t>20250401</t>
        </is>
      </c>
      <c r="AD484" t="n" s="2909">
        <v>0</v>
      </c>
      <c r="AE484" t="inlineStr" s="2909">
        <is>
          <t>00000000</t>
        </is>
      </c>
      <c r="AH484" t="n" s="2909">
        <v>20</v>
      </c>
      <c r="AJ484" t="n" s="2909">
        <v>10</v>
      </c>
      <c r="AP484" t="n" s="2909">
        <v>280000</v>
      </c>
      <c r="DB484" s="2909" t="str">
        <f>IF($A484="","",IF($AH484=20,IF(AND(OR($A484=21,$A484=215),$AJ484=10),"①病院一般",IF(AND($A484=31,$AJ484=41),"②病院短期","対象外")),IF($AJ484=30,"③特定消防",IF(AND(OR($A484=21,$A484=215),$AJ484=10),"④一般",IF(AND($A484=31,$AJ484=41),"⑤短期","対象外")))))</f>
        <v>①病院一般</v>
      </c>
      <c r="DC484" s="2909">
        <f>IF($A484="","",IF($AB484&amp;""='DB_設定'!$C$4,1,0))</f>
        <v>1</v>
      </c>
    </row>
    <row r="485">
      <c r="A485" t="n" s="2909">
        <v>21</v>
      </c>
      <c r="AA485" t="n" s="2909">
        <v>21</v>
      </c>
      <c r="AB485" t="inlineStr" s="2909">
        <is>
          <t>20250401</t>
        </is>
      </c>
      <c r="AD485" t="n" s="2909">
        <v>0</v>
      </c>
      <c r="AE485" t="inlineStr" s="2909">
        <is>
          <t>00000000</t>
        </is>
      </c>
      <c r="AH485" t="n" s="2909">
        <v>20</v>
      </c>
      <c r="AJ485" t="n" s="2909">
        <v>10</v>
      </c>
      <c r="AP485" t="n" s="2909">
        <v>280000</v>
      </c>
      <c r="DB485" s="2909" t="str">
        <f>IF($A485="","",IF($AH485=20,IF(AND(OR($A485=21,$A485=215),$AJ485=10),"①病院一般",IF(AND($A485=31,$AJ485=41),"②病院短期","対象外")),IF($AJ485=30,"③特定消防",IF(AND(OR($A485=21,$A485=215),$AJ485=10),"④一般",IF(AND($A485=31,$AJ485=41),"⑤短期","対象外")))))</f>
        <v>①病院一般</v>
      </c>
      <c r="DC485" s="2909">
        <f>IF($A485="","",IF($AB485&amp;""='DB_設定'!$C$4,1,0))</f>
        <v>1</v>
      </c>
    </row>
    <row r="486">
      <c r="A486" t="n" s="2909">
        <v>21</v>
      </c>
      <c r="AA486" t="n" s="2909">
        <v>21</v>
      </c>
      <c r="AB486" t="inlineStr" s="2909">
        <is>
          <t>20250401</t>
        </is>
      </c>
      <c r="AD486" t="n" s="2909">
        <v>0</v>
      </c>
      <c r="AE486" t="inlineStr" s="2909">
        <is>
          <t>00000000</t>
        </is>
      </c>
      <c r="AH486" t="n" s="2909">
        <v>20</v>
      </c>
      <c r="AJ486" t="n" s="2909">
        <v>10</v>
      </c>
      <c r="AP486" t="n" s="2909">
        <v>280000</v>
      </c>
      <c r="DB486" s="2909" t="str">
        <f>IF($A486="","",IF($AH486=20,IF(AND(OR($A486=21,$A486=215),$AJ486=10),"①病院一般",IF(AND($A486=31,$AJ486=41),"②病院短期","対象外")),IF($AJ486=30,"③特定消防",IF(AND(OR($A486=21,$A486=215),$AJ486=10),"④一般",IF(AND($A486=31,$AJ486=41),"⑤短期","対象外")))))</f>
        <v>①病院一般</v>
      </c>
      <c r="DC486" s="2909">
        <f>IF($A486="","",IF($AB486&amp;""='DB_設定'!$C$4,1,0))</f>
        <v>1</v>
      </c>
    </row>
    <row r="487">
      <c r="A487" t="n" s="2909">
        <v>21</v>
      </c>
      <c r="AA487" t="n" s="2909">
        <v>21</v>
      </c>
      <c r="AB487" t="inlineStr" s="2909">
        <is>
          <t>20250401</t>
        </is>
      </c>
      <c r="AD487" t="n" s="2909">
        <v>0</v>
      </c>
      <c r="AE487" t="inlineStr" s="2909">
        <is>
          <t>00000000</t>
        </is>
      </c>
      <c r="AH487" t="n" s="2909">
        <v>20</v>
      </c>
      <c r="AJ487" t="n" s="2909">
        <v>10</v>
      </c>
      <c r="AP487" t="n" s="2909">
        <v>280000</v>
      </c>
      <c r="DB487" s="2909" t="str">
        <f>IF($A487="","",IF($AH487=20,IF(AND(OR($A487=21,$A487=215),$AJ487=10),"①病院一般",IF(AND($A487=31,$AJ487=41),"②病院短期","対象外")),IF($AJ487=30,"③特定消防",IF(AND(OR($A487=21,$A487=215),$AJ487=10),"④一般",IF(AND($A487=31,$AJ487=41),"⑤短期","対象外")))))</f>
        <v>①病院一般</v>
      </c>
      <c r="DC487" s="2909">
        <f>IF($A487="","",IF($AB487&amp;""='DB_設定'!$C$4,1,0))</f>
        <v>1</v>
      </c>
    </row>
    <row r="488">
      <c r="A488" t="n" s="2909">
        <v>21</v>
      </c>
      <c r="AA488" t="n" s="2909">
        <v>21</v>
      </c>
      <c r="AB488" t="inlineStr" s="2909">
        <is>
          <t>20250401</t>
        </is>
      </c>
      <c r="AD488" t="n" s="2909">
        <v>0</v>
      </c>
      <c r="AE488" t="inlineStr" s="2909">
        <is>
          <t>00000000</t>
        </is>
      </c>
      <c r="AH488" t="n" s="2909">
        <v>20</v>
      </c>
      <c r="AJ488" t="n" s="2909">
        <v>10</v>
      </c>
      <c r="AP488" t="n" s="2909">
        <v>300000</v>
      </c>
      <c r="DB488" s="2909" t="str">
        <f>IF($A488="","",IF($AH488=20,IF(AND(OR($A488=21,$A488=215),$AJ488=10),"①病院一般",IF(AND($A488=31,$AJ488=41),"②病院短期","対象外")),IF($AJ488=30,"③特定消防",IF(AND(OR($A488=21,$A488=215),$AJ488=10),"④一般",IF(AND($A488=31,$AJ488=41),"⑤短期","対象外")))))</f>
        <v>①病院一般</v>
      </c>
      <c r="DC488" s="2909">
        <f>IF($A488="","",IF($AB488&amp;""='DB_設定'!$C$4,1,0))</f>
        <v>1</v>
      </c>
    </row>
    <row r="489">
      <c r="A489" t="n" s="2909">
        <v>21</v>
      </c>
      <c r="AA489" t="n" s="2909">
        <v>21</v>
      </c>
      <c r="AB489" t="inlineStr" s="2909">
        <is>
          <t>20250401</t>
        </is>
      </c>
      <c r="AD489" t="n" s="2909">
        <v>0</v>
      </c>
      <c r="AE489" t="inlineStr" s="2909">
        <is>
          <t>00000000</t>
        </is>
      </c>
      <c r="AH489" t="n" s="2909">
        <v>20</v>
      </c>
      <c r="AJ489" t="n" s="2909">
        <v>10</v>
      </c>
      <c r="AP489" t="n" s="2909">
        <v>320000</v>
      </c>
      <c r="DB489" s="2909" t="str">
        <f>IF($A489="","",IF($AH489=20,IF(AND(OR($A489=21,$A489=215),$AJ489=10),"①病院一般",IF(AND($A489=31,$AJ489=41),"②病院短期","対象外")),IF($AJ489=30,"③特定消防",IF(AND(OR($A489=21,$A489=215),$AJ489=10),"④一般",IF(AND($A489=31,$AJ489=41),"⑤短期","対象外")))))</f>
        <v>①病院一般</v>
      </c>
      <c r="DC489" s="2909">
        <f>IF($A489="","",IF($AB489&amp;""='DB_設定'!$C$4,1,0))</f>
        <v>1</v>
      </c>
    </row>
    <row r="490">
      <c r="A490" t="n" s="2909">
        <v>21</v>
      </c>
      <c r="AA490" t="n" s="2909">
        <v>21</v>
      </c>
      <c r="AB490" t="inlineStr" s="2909">
        <is>
          <t>20250401</t>
        </is>
      </c>
      <c r="AD490" t="n" s="2909">
        <v>0</v>
      </c>
      <c r="AE490" t="inlineStr" s="2909">
        <is>
          <t>00000000</t>
        </is>
      </c>
      <c r="AH490" t="n" s="2909">
        <v>20</v>
      </c>
      <c r="AJ490" t="n" s="2909">
        <v>10</v>
      </c>
      <c r="AP490" t="n" s="2909">
        <v>300000</v>
      </c>
      <c r="DB490" s="2909" t="str">
        <f>IF($A490="","",IF($AH490=20,IF(AND(OR($A490=21,$A490=215),$AJ490=10),"①病院一般",IF(AND($A490=31,$AJ490=41),"②病院短期","対象外")),IF($AJ490=30,"③特定消防",IF(AND(OR($A490=21,$A490=215),$AJ490=10),"④一般",IF(AND($A490=31,$AJ490=41),"⑤短期","対象外")))))</f>
        <v>①病院一般</v>
      </c>
      <c r="DC490" s="2909">
        <f>IF($A490="","",IF($AB490&amp;""='DB_設定'!$C$4,1,0))</f>
        <v>1</v>
      </c>
    </row>
    <row r="491">
      <c r="A491" t="n" s="2909">
        <v>21</v>
      </c>
      <c r="AA491" t="n" s="2909">
        <v>21</v>
      </c>
      <c r="AB491" t="inlineStr" s="2909">
        <is>
          <t>20250401</t>
        </is>
      </c>
      <c r="AD491" t="n" s="2909">
        <v>0</v>
      </c>
      <c r="AE491" t="inlineStr" s="2909">
        <is>
          <t>00000000</t>
        </is>
      </c>
      <c r="AH491" t="n" s="2909">
        <v>20</v>
      </c>
      <c r="AJ491" t="n" s="2909">
        <v>10</v>
      </c>
      <c r="AP491" t="n" s="2909">
        <v>300000</v>
      </c>
      <c r="DB491" s="2909" t="str">
        <f>IF($A491="","",IF($AH491=20,IF(AND(OR($A491=21,$A491=215),$AJ491=10),"①病院一般",IF(AND($A491=31,$AJ491=41),"②病院短期","対象外")),IF($AJ491=30,"③特定消防",IF(AND(OR($A491=21,$A491=215),$AJ491=10),"④一般",IF(AND($A491=31,$AJ491=41),"⑤短期","対象外")))))</f>
        <v>①病院一般</v>
      </c>
      <c r="DC491" s="2909">
        <f>IF($A491="","",IF($AB491&amp;""='DB_設定'!$C$4,1,0))</f>
        <v>1</v>
      </c>
    </row>
    <row r="492">
      <c r="A492" t="n" s="2909">
        <v>21</v>
      </c>
      <c r="AA492" t="n" s="2909">
        <v>21</v>
      </c>
      <c r="AB492" t="inlineStr" s="2909">
        <is>
          <t>20250401</t>
        </is>
      </c>
      <c r="AD492" t="n" s="2909">
        <v>0</v>
      </c>
      <c r="AE492" t="inlineStr" s="2909">
        <is>
          <t>00000000</t>
        </is>
      </c>
      <c r="AH492" t="n" s="2909">
        <v>20</v>
      </c>
      <c r="AJ492" t="n" s="2909">
        <v>10</v>
      </c>
      <c r="AP492" t="n" s="2909">
        <v>280000</v>
      </c>
      <c r="DB492" s="2909" t="str">
        <f>IF($A492="","",IF($AH492=20,IF(AND(OR($A492=21,$A492=215),$AJ492=10),"①病院一般",IF(AND($A492=31,$AJ492=41),"②病院短期","対象外")),IF($AJ492=30,"③特定消防",IF(AND(OR($A492=21,$A492=215),$AJ492=10),"④一般",IF(AND($A492=31,$AJ492=41),"⑤短期","対象外")))))</f>
        <v>①病院一般</v>
      </c>
      <c r="DC492" s="2909">
        <f>IF($A492="","",IF($AB492&amp;""='DB_設定'!$C$4,1,0))</f>
        <v>1</v>
      </c>
    </row>
    <row r="493">
      <c r="A493" t="n" s="2909">
        <v>21</v>
      </c>
      <c r="AA493" t="n" s="2909">
        <v>21</v>
      </c>
      <c r="AB493" t="inlineStr" s="2909">
        <is>
          <t>20250401</t>
        </is>
      </c>
      <c r="AD493" t="n" s="2909">
        <v>0</v>
      </c>
      <c r="AE493" t="inlineStr" s="2909">
        <is>
          <t>00000000</t>
        </is>
      </c>
      <c r="AH493" t="n" s="2909">
        <v>20</v>
      </c>
      <c r="AJ493" t="n" s="2909">
        <v>10</v>
      </c>
      <c r="AP493" t="n" s="2909">
        <v>300000</v>
      </c>
      <c r="DB493" s="2909" t="str">
        <f>IF($A493="","",IF($AH493=20,IF(AND(OR($A493=21,$A493=215),$AJ493=10),"①病院一般",IF(AND($A493=31,$AJ493=41),"②病院短期","対象外")),IF($AJ493=30,"③特定消防",IF(AND(OR($A493=21,$A493=215),$AJ493=10),"④一般",IF(AND($A493=31,$AJ493=41),"⑤短期","対象外")))))</f>
        <v>①病院一般</v>
      </c>
      <c r="DC493" s="2909">
        <f>IF($A493="","",IF($AB493&amp;""='DB_設定'!$C$4,1,0))</f>
        <v>1</v>
      </c>
    </row>
    <row r="494">
      <c r="A494" t="n" s="2909">
        <v>21</v>
      </c>
      <c r="AA494" t="n" s="2909">
        <v>21</v>
      </c>
      <c r="AB494" t="inlineStr" s="2909">
        <is>
          <t>20250401</t>
        </is>
      </c>
      <c r="AD494" t="n" s="2909">
        <v>0</v>
      </c>
      <c r="AE494" t="inlineStr" s="2909">
        <is>
          <t>00000000</t>
        </is>
      </c>
      <c r="AH494" t="n" s="2909">
        <v>20</v>
      </c>
      <c r="AJ494" t="n" s="2909">
        <v>10</v>
      </c>
      <c r="AP494" t="n" s="2909">
        <v>300000</v>
      </c>
      <c r="DB494" s="2909" t="str">
        <f>IF($A494="","",IF($AH494=20,IF(AND(OR($A494=21,$A494=215),$AJ494=10),"①病院一般",IF(AND($A494=31,$AJ494=41),"②病院短期","対象外")),IF($AJ494=30,"③特定消防",IF(AND(OR($A494=21,$A494=215),$AJ494=10),"④一般",IF(AND($A494=31,$AJ494=41),"⑤短期","対象外")))))</f>
        <v>①病院一般</v>
      </c>
      <c r="DC494" s="2909">
        <f>IF($A494="","",IF($AB494&amp;""='DB_設定'!$C$4,1,0))</f>
        <v>1</v>
      </c>
    </row>
    <row r="495">
      <c r="A495" t="n" s="2909">
        <v>21</v>
      </c>
      <c r="AA495" t="n" s="2909">
        <v>21</v>
      </c>
      <c r="AB495" t="inlineStr" s="2909">
        <is>
          <t>20250401</t>
        </is>
      </c>
      <c r="AD495" t="n" s="2909">
        <v>0</v>
      </c>
      <c r="AE495" t="inlineStr" s="2909">
        <is>
          <t>00000000</t>
        </is>
      </c>
      <c r="AH495" t="n" s="2909">
        <v>20</v>
      </c>
      <c r="AJ495" t="n" s="2909">
        <v>10</v>
      </c>
      <c r="AP495" t="n" s="2909">
        <v>300000</v>
      </c>
      <c r="DB495" s="2909" t="str">
        <f>IF($A495="","",IF($AH495=20,IF(AND(OR($A495=21,$A495=215),$AJ495=10),"①病院一般",IF(AND($A495=31,$AJ495=41),"②病院短期","対象外")),IF($AJ495=30,"③特定消防",IF(AND(OR($A495=21,$A495=215),$AJ495=10),"④一般",IF(AND($A495=31,$AJ495=41),"⑤短期","対象外")))))</f>
        <v>①病院一般</v>
      </c>
      <c r="DC495" s="2909">
        <f>IF($A495="","",IF($AB495&amp;""='DB_設定'!$C$4,1,0))</f>
        <v>1</v>
      </c>
    </row>
    <row r="496">
      <c r="A496" t="n" s="2909">
        <v>21</v>
      </c>
      <c r="AA496" t="n" s="2909">
        <v>21</v>
      </c>
      <c r="AB496" t="inlineStr" s="2909">
        <is>
          <t>20250401</t>
        </is>
      </c>
      <c r="AD496" t="n" s="2909">
        <v>0</v>
      </c>
      <c r="AE496" t="inlineStr" s="2909">
        <is>
          <t>00000000</t>
        </is>
      </c>
      <c r="AH496" t="n" s="2909">
        <v>20</v>
      </c>
      <c r="AJ496" t="n" s="2909">
        <v>10</v>
      </c>
      <c r="AP496" t="n" s="2909">
        <v>300000</v>
      </c>
      <c r="DB496" s="2909" t="str">
        <f>IF($A496="","",IF($AH496=20,IF(AND(OR($A496=21,$A496=215),$AJ496=10),"①病院一般",IF(AND($A496=31,$AJ496=41),"②病院短期","対象外")),IF($AJ496=30,"③特定消防",IF(AND(OR($A496=21,$A496=215),$AJ496=10),"④一般",IF(AND($A496=31,$AJ496=41),"⑤短期","対象外")))))</f>
        <v>①病院一般</v>
      </c>
      <c r="DC496" s="2909">
        <f>IF($A496="","",IF($AB496&amp;""='DB_設定'!$C$4,1,0))</f>
        <v>1</v>
      </c>
    </row>
    <row r="497">
      <c r="A497" t="n" s="2909">
        <v>21</v>
      </c>
      <c r="AA497" t="n" s="2909">
        <v>21</v>
      </c>
      <c r="AB497" t="inlineStr" s="2909">
        <is>
          <t>20250401</t>
        </is>
      </c>
      <c r="AD497" t="n" s="2909">
        <v>0</v>
      </c>
      <c r="AE497" t="inlineStr" s="2909">
        <is>
          <t>00000000</t>
        </is>
      </c>
      <c r="AH497" t="n" s="2909">
        <v>20</v>
      </c>
      <c r="AJ497" t="n" s="2909">
        <v>10</v>
      </c>
      <c r="AP497" t="n" s="2909">
        <v>300000</v>
      </c>
      <c r="DB497" s="2909" t="str">
        <f>IF($A497="","",IF($AH497=20,IF(AND(OR($A497=21,$A497=215),$AJ497=10),"①病院一般",IF(AND($A497=31,$AJ497=41),"②病院短期","対象外")),IF($AJ497=30,"③特定消防",IF(AND(OR($A497=21,$A497=215),$AJ497=10),"④一般",IF(AND($A497=31,$AJ497=41),"⑤短期","対象外")))))</f>
        <v>①病院一般</v>
      </c>
      <c r="DC497" s="2909">
        <f>IF($A497="","",IF($AB497&amp;""='DB_設定'!$C$4,1,0))</f>
        <v>1</v>
      </c>
    </row>
    <row r="498">
      <c r="A498" t="n" s="2909">
        <v>21</v>
      </c>
      <c r="AA498" t="n" s="2909">
        <v>21</v>
      </c>
      <c r="AB498" t="inlineStr" s="2909">
        <is>
          <t>20250401</t>
        </is>
      </c>
      <c r="AD498" t="n" s="2909">
        <v>0</v>
      </c>
      <c r="AE498" t="inlineStr" s="2909">
        <is>
          <t>00000000</t>
        </is>
      </c>
      <c r="AH498" t="n" s="2909">
        <v>20</v>
      </c>
      <c r="AJ498" t="n" s="2909">
        <v>10</v>
      </c>
      <c r="AP498" t="n" s="2909">
        <v>320000</v>
      </c>
      <c r="DB498" s="2909" t="str">
        <f>IF($A498="","",IF($AH498=20,IF(AND(OR($A498=21,$A498=215),$AJ498=10),"①病院一般",IF(AND($A498=31,$AJ498=41),"②病院短期","対象外")),IF($AJ498=30,"③特定消防",IF(AND(OR($A498=21,$A498=215),$AJ498=10),"④一般",IF(AND($A498=31,$AJ498=41),"⑤短期","対象外")))))</f>
        <v>①病院一般</v>
      </c>
      <c r="DC498" s="2909">
        <f>IF($A498="","",IF($AB498&amp;""='DB_設定'!$C$4,1,0))</f>
        <v>1</v>
      </c>
    </row>
    <row r="499">
      <c r="A499" t="n" s="2909">
        <v>21</v>
      </c>
      <c r="AA499" t="n" s="2909">
        <v>21</v>
      </c>
      <c r="AB499" t="inlineStr" s="2909">
        <is>
          <t>20250401</t>
        </is>
      </c>
      <c r="AD499" t="n" s="2909">
        <v>0</v>
      </c>
      <c r="AE499" t="inlineStr" s="2909">
        <is>
          <t>00000000</t>
        </is>
      </c>
      <c r="AH499" t="n" s="2909">
        <v>20</v>
      </c>
      <c r="AJ499" t="n" s="2909">
        <v>10</v>
      </c>
      <c r="AP499" t="n" s="2909">
        <v>280000</v>
      </c>
      <c r="DB499" s="2909" t="str">
        <f>IF($A499="","",IF($AH499=20,IF(AND(OR($A499=21,$A499=215),$AJ499=10),"①病院一般",IF(AND($A499=31,$AJ499=41),"②病院短期","対象外")),IF($AJ499=30,"③特定消防",IF(AND(OR($A499=21,$A499=215),$AJ499=10),"④一般",IF(AND($A499=31,$AJ499=41),"⑤短期","対象外")))))</f>
        <v>①病院一般</v>
      </c>
      <c r="DC499" s="2909">
        <f>IF($A499="","",IF($AB499&amp;""='DB_設定'!$C$4,1,0))</f>
        <v>1</v>
      </c>
    </row>
    <row r="500">
      <c r="A500" t="n" s="2909">
        <v>21</v>
      </c>
      <c r="AA500" t="n" s="2909">
        <v>21</v>
      </c>
      <c r="AB500" t="inlineStr" s="2909">
        <is>
          <t>20250401</t>
        </is>
      </c>
      <c r="AD500" t="n" s="2909">
        <v>0</v>
      </c>
      <c r="AE500" t="inlineStr" s="2909">
        <is>
          <t>00000000</t>
        </is>
      </c>
      <c r="AH500" t="n" s="2909">
        <v>20</v>
      </c>
      <c r="AJ500" t="n" s="2909">
        <v>10</v>
      </c>
      <c r="AP500" t="n" s="2909">
        <v>280000</v>
      </c>
      <c r="DB500" s="2909" t="str">
        <f>IF($A500="","",IF($AH500=20,IF(AND(OR($A500=21,$A500=215),$AJ500=10),"①病院一般",IF(AND($A500=31,$AJ500=41),"②病院短期","対象外")),IF($AJ500=30,"③特定消防",IF(AND(OR($A500=21,$A500=215),$AJ500=10),"④一般",IF(AND($A500=31,$AJ500=41),"⑤短期","対象外")))))</f>
        <v>①病院一般</v>
      </c>
      <c r="DC500" s="2909">
        <f>IF($A500="","",IF($AB500&amp;""='DB_設定'!$C$4,1,0))</f>
        <v>1</v>
      </c>
    </row>
    <row r="501">
      <c r="A501" t="n" s="2909">
        <v>21</v>
      </c>
      <c r="AA501" t="n" s="2909">
        <v>21</v>
      </c>
      <c r="AB501" t="inlineStr" s="2909">
        <is>
          <t>20250401</t>
        </is>
      </c>
      <c r="AD501" t="n" s="2909">
        <v>0</v>
      </c>
      <c r="AE501" t="inlineStr" s="2909">
        <is>
          <t>00000000</t>
        </is>
      </c>
      <c r="AH501" t="n" s="2909">
        <v>20</v>
      </c>
      <c r="AJ501" t="n" s="2909">
        <v>10</v>
      </c>
      <c r="AP501" t="n" s="2909">
        <v>280000</v>
      </c>
      <c r="DB501" s="2909" t="str">
        <f>IF($A501="","",IF($AH501=20,IF(AND(OR($A501=21,$A501=215),$AJ501=10),"①病院一般",IF(AND($A501=31,$AJ501=41),"②病院短期","対象外")),IF($AJ501=30,"③特定消防",IF(AND(OR($A501=21,$A501=215),$AJ501=10),"④一般",IF(AND($A501=31,$AJ501=41),"⑤短期","対象外")))))</f>
        <v>①病院一般</v>
      </c>
      <c r="DC501" s="2909">
        <f>IF($A501="","",IF($AB501&amp;""='DB_設定'!$C$4,1,0))</f>
        <v>1</v>
      </c>
    </row>
    <row r="502">
      <c r="A502" t="n" s="2909">
        <v>21</v>
      </c>
      <c r="AA502" t="n" s="2909">
        <v>21</v>
      </c>
      <c r="AB502" t="inlineStr" s="2909">
        <is>
          <t>20250401</t>
        </is>
      </c>
      <c r="AD502" t="n" s="2909">
        <v>0</v>
      </c>
      <c r="AE502" t="inlineStr" s="2909">
        <is>
          <t>00000000</t>
        </is>
      </c>
      <c r="AH502" t="n" s="2909">
        <v>20</v>
      </c>
      <c r="AJ502" t="n" s="2909">
        <v>10</v>
      </c>
      <c r="AP502" t="n" s="2909">
        <v>280000</v>
      </c>
      <c r="DB502" s="2909" t="str">
        <f>IF($A502="","",IF($AH502=20,IF(AND(OR($A502=21,$A502=215),$AJ502=10),"①病院一般",IF(AND($A502=31,$AJ502=41),"②病院短期","対象外")),IF($AJ502=30,"③特定消防",IF(AND(OR($A502=21,$A502=215),$AJ502=10),"④一般",IF(AND($A502=31,$AJ502=41),"⑤短期","対象外")))))</f>
        <v>①病院一般</v>
      </c>
      <c r="DC502" s="2909">
        <f>IF($A502="","",IF($AB502&amp;""='DB_設定'!$C$4,1,0))</f>
        <v>1</v>
      </c>
    </row>
    <row r="503">
      <c r="A503" t="n" s="2909">
        <v>21</v>
      </c>
      <c r="AA503" t="n" s="2909">
        <v>21</v>
      </c>
      <c r="AB503" t="inlineStr" s="2909">
        <is>
          <t>20250401</t>
        </is>
      </c>
      <c r="AD503" t="n" s="2909">
        <v>0</v>
      </c>
      <c r="AE503" t="inlineStr" s="2909">
        <is>
          <t>00000000</t>
        </is>
      </c>
      <c r="AH503" t="n" s="2909">
        <v>20</v>
      </c>
      <c r="AJ503" t="n" s="2909">
        <v>10</v>
      </c>
      <c r="AP503" t="n" s="2909">
        <v>280000</v>
      </c>
      <c r="DB503" s="2909" t="str">
        <f>IF($A503="","",IF($AH503=20,IF(AND(OR($A503=21,$A503=215),$AJ503=10),"①病院一般",IF(AND($A503=31,$AJ503=41),"②病院短期","対象外")),IF($AJ503=30,"③特定消防",IF(AND(OR($A503=21,$A503=215),$AJ503=10),"④一般",IF(AND($A503=31,$AJ503=41),"⑤短期","対象外")))))</f>
        <v>①病院一般</v>
      </c>
      <c r="DC503" s="2909">
        <f>IF($A503="","",IF($AB503&amp;""='DB_設定'!$C$4,1,0))</f>
        <v>1</v>
      </c>
    </row>
    <row r="504">
      <c r="A504" t="n" s="2909">
        <v>21</v>
      </c>
      <c r="AA504" t="n" s="2909">
        <v>21</v>
      </c>
      <c r="AB504" t="inlineStr" s="2909">
        <is>
          <t>20250401</t>
        </is>
      </c>
      <c r="AD504" t="n" s="2909">
        <v>0</v>
      </c>
      <c r="AE504" t="inlineStr" s="2909">
        <is>
          <t>00000000</t>
        </is>
      </c>
      <c r="AH504" t="n" s="2909">
        <v>20</v>
      </c>
      <c r="AJ504" t="n" s="2909">
        <v>10</v>
      </c>
      <c r="AP504" t="n" s="2909">
        <v>300000</v>
      </c>
      <c r="DB504" s="2909" t="str">
        <f>IF($A504="","",IF($AH504=20,IF(AND(OR($A504=21,$A504=215),$AJ504=10),"①病院一般",IF(AND($A504=31,$AJ504=41),"②病院短期","対象外")),IF($AJ504=30,"③特定消防",IF(AND(OR($A504=21,$A504=215),$AJ504=10),"④一般",IF(AND($A504=31,$AJ504=41),"⑤短期","対象外")))))</f>
        <v>①病院一般</v>
      </c>
      <c r="DC504" s="2909">
        <f>IF($A504="","",IF($AB504&amp;""='DB_設定'!$C$4,1,0))</f>
        <v>1</v>
      </c>
    </row>
    <row r="505">
      <c r="A505" t="n" s="2909">
        <v>21</v>
      </c>
      <c r="AA505" t="n" s="2909">
        <v>21</v>
      </c>
      <c r="AB505" t="inlineStr" s="2909">
        <is>
          <t>20250401</t>
        </is>
      </c>
      <c r="AD505" t="n" s="2909">
        <v>0</v>
      </c>
      <c r="AE505" t="inlineStr" s="2909">
        <is>
          <t>00000000</t>
        </is>
      </c>
      <c r="AH505" t="n" s="2909">
        <v>20</v>
      </c>
      <c r="AJ505" t="n" s="2909">
        <v>10</v>
      </c>
      <c r="AP505" t="n" s="2909">
        <v>320000</v>
      </c>
      <c r="DB505" s="2909" t="str">
        <f>IF($A505="","",IF($AH505=20,IF(AND(OR($A505=21,$A505=215),$AJ505=10),"①病院一般",IF(AND($A505=31,$AJ505=41),"②病院短期","対象外")),IF($AJ505=30,"③特定消防",IF(AND(OR($A505=21,$A505=215),$AJ505=10),"④一般",IF(AND($A505=31,$AJ505=41),"⑤短期","対象外")))))</f>
        <v>①病院一般</v>
      </c>
      <c r="DC505" s="2909">
        <f>IF($A505="","",IF($AB505&amp;""='DB_設定'!$C$4,1,0))</f>
        <v>1</v>
      </c>
    </row>
    <row r="506">
      <c r="A506" t="n" s="2909">
        <v>21</v>
      </c>
      <c r="AA506" t="n" s="2909">
        <v>21</v>
      </c>
      <c r="AB506" t="inlineStr" s="2909">
        <is>
          <t>20250401</t>
        </is>
      </c>
      <c r="AD506" t="n" s="2909">
        <v>0</v>
      </c>
      <c r="AE506" t="inlineStr" s="2909">
        <is>
          <t>00000000</t>
        </is>
      </c>
      <c r="AH506" t="n" s="2909">
        <v>20</v>
      </c>
      <c r="AJ506" t="n" s="2909">
        <v>10</v>
      </c>
      <c r="AP506" t="n" s="2909">
        <v>320000</v>
      </c>
      <c r="DB506" s="2909" t="str">
        <f>IF($A506="","",IF($AH506=20,IF(AND(OR($A506=21,$A506=215),$AJ506=10),"①病院一般",IF(AND($A506=31,$AJ506=41),"②病院短期","対象外")),IF($AJ506=30,"③特定消防",IF(AND(OR($A506=21,$A506=215),$AJ506=10),"④一般",IF(AND($A506=31,$AJ506=41),"⑤短期","対象外")))))</f>
        <v>①病院一般</v>
      </c>
      <c r="DC506" s="2909">
        <f>IF($A506="","",IF($AB506&amp;""='DB_設定'!$C$4,1,0))</f>
        <v>1</v>
      </c>
    </row>
    <row r="507">
      <c r="A507" t="n" s="2909">
        <v>21</v>
      </c>
      <c r="AA507" t="n" s="2909">
        <v>21</v>
      </c>
      <c r="AB507" t="inlineStr" s="2909">
        <is>
          <t>20250401</t>
        </is>
      </c>
      <c r="AD507" t="n" s="2909">
        <v>0</v>
      </c>
      <c r="AE507" t="inlineStr" s="2909">
        <is>
          <t>00000000</t>
        </is>
      </c>
      <c r="AH507" t="n" s="2909">
        <v>20</v>
      </c>
      <c r="AJ507" t="n" s="2909">
        <v>10</v>
      </c>
      <c r="AP507" t="n" s="2909">
        <v>300000</v>
      </c>
      <c r="DB507" s="2909" t="str">
        <f>IF($A507="","",IF($AH507=20,IF(AND(OR($A507=21,$A507=215),$AJ507=10),"①病院一般",IF(AND($A507=31,$AJ507=41),"②病院短期","対象外")),IF($AJ507=30,"③特定消防",IF(AND(OR($A507=21,$A507=215),$AJ507=10),"④一般",IF(AND($A507=31,$AJ507=41),"⑤短期","対象外")))))</f>
        <v>①病院一般</v>
      </c>
      <c r="DC507" s="2909">
        <f>IF($A507="","",IF($AB507&amp;""='DB_設定'!$C$4,1,0))</f>
        <v>1</v>
      </c>
    </row>
    <row r="508">
      <c r="A508" t="n" s="2909">
        <v>21</v>
      </c>
      <c r="AA508" t="n" s="2909">
        <v>21</v>
      </c>
      <c r="AB508" t="inlineStr" s="2909">
        <is>
          <t>20250401</t>
        </is>
      </c>
      <c r="AD508" t="n" s="2909">
        <v>0</v>
      </c>
      <c r="AE508" t="inlineStr" s="2909">
        <is>
          <t>00000000</t>
        </is>
      </c>
      <c r="AH508" t="n" s="2909">
        <v>20</v>
      </c>
      <c r="AJ508" t="n" s="2909">
        <v>10</v>
      </c>
      <c r="AP508" t="n" s="2909">
        <v>280000</v>
      </c>
      <c r="DB508" s="2909" t="str">
        <f>IF($A508="","",IF($AH508=20,IF(AND(OR($A508=21,$A508=215),$AJ508=10),"①病院一般",IF(AND($A508=31,$AJ508=41),"②病院短期","対象外")),IF($AJ508=30,"③特定消防",IF(AND(OR($A508=21,$A508=215),$AJ508=10),"④一般",IF(AND($A508=31,$AJ508=41),"⑤短期","対象外")))))</f>
        <v>①病院一般</v>
      </c>
      <c r="DC508" s="2909">
        <f>IF($A508="","",IF($AB508&amp;""='DB_設定'!$C$4,1,0))</f>
        <v>1</v>
      </c>
    </row>
    <row r="509">
      <c r="A509" t="n" s="2909">
        <v>21</v>
      </c>
      <c r="AA509" t="n" s="2909">
        <v>21</v>
      </c>
      <c r="AB509" t="inlineStr" s="2909">
        <is>
          <t>20250401</t>
        </is>
      </c>
      <c r="AD509" t="n" s="2909">
        <v>0</v>
      </c>
      <c r="AE509" t="inlineStr" s="2909">
        <is>
          <t>00000000</t>
        </is>
      </c>
      <c r="AH509" t="n" s="2909">
        <v>20</v>
      </c>
      <c r="AJ509" t="n" s="2909">
        <v>10</v>
      </c>
      <c r="AP509" t="n" s="2909">
        <v>300000</v>
      </c>
      <c r="DB509" s="2909" t="str">
        <f>IF($A509="","",IF($AH509=20,IF(AND(OR($A509=21,$A509=215),$AJ509=10),"①病院一般",IF(AND($A509=31,$AJ509=41),"②病院短期","対象外")),IF($AJ509=30,"③特定消防",IF(AND(OR($A509=21,$A509=215),$AJ509=10),"④一般",IF(AND($A509=31,$AJ509=41),"⑤短期","対象外")))))</f>
        <v>①病院一般</v>
      </c>
      <c r="DC509" s="2909">
        <f>IF($A509="","",IF($AB509&amp;""='DB_設定'!$C$4,1,0))</f>
        <v>1</v>
      </c>
    </row>
    <row r="510">
      <c r="A510" t="n" s="2909">
        <v>21</v>
      </c>
      <c r="AA510" t="n" s="2909">
        <v>21</v>
      </c>
      <c r="AB510" t="inlineStr" s="2909">
        <is>
          <t>20250401</t>
        </is>
      </c>
      <c r="AD510" t="n" s="2909">
        <v>0</v>
      </c>
      <c r="AE510" t="inlineStr" s="2909">
        <is>
          <t>00000000</t>
        </is>
      </c>
      <c r="AH510" t="n" s="2909">
        <v>20</v>
      </c>
      <c r="AJ510" t="n" s="2909">
        <v>10</v>
      </c>
      <c r="AP510" t="n" s="2909">
        <v>260000</v>
      </c>
      <c r="DB510" s="2909" t="str">
        <f>IF($A510="","",IF($AH510=20,IF(AND(OR($A510=21,$A510=215),$AJ510=10),"①病院一般",IF(AND($A510=31,$AJ510=41),"②病院短期","対象外")),IF($AJ510=30,"③特定消防",IF(AND(OR($A510=21,$A510=215),$AJ510=10),"④一般",IF(AND($A510=31,$AJ510=41),"⑤短期","対象外")))))</f>
        <v>①病院一般</v>
      </c>
      <c r="DC510" s="2909">
        <f>IF($A510="","",IF($AB510&amp;""='DB_設定'!$C$4,1,0))</f>
        <v>1</v>
      </c>
    </row>
    <row r="511">
      <c r="A511" t="n" s="2909">
        <v>21</v>
      </c>
      <c r="AA511" t="n" s="2909">
        <v>21</v>
      </c>
      <c r="AB511" t="inlineStr" s="2909">
        <is>
          <t>20250401</t>
        </is>
      </c>
      <c r="AD511" t="n" s="2909">
        <v>0</v>
      </c>
      <c r="AE511" t="inlineStr" s="2909">
        <is>
          <t>00000000</t>
        </is>
      </c>
      <c r="AH511" t="n" s="2909">
        <v>20</v>
      </c>
      <c r="AJ511" t="n" s="2909">
        <v>10</v>
      </c>
      <c r="AP511" t="n" s="2909">
        <v>320000</v>
      </c>
      <c r="DB511" s="2909" t="str">
        <f>IF($A511="","",IF($AH511=20,IF(AND(OR($A511=21,$A511=215),$AJ511=10),"①病院一般",IF(AND($A511=31,$AJ511=41),"②病院短期","対象外")),IF($AJ511=30,"③特定消防",IF(AND(OR($A511=21,$A511=215),$AJ511=10),"④一般",IF(AND($A511=31,$AJ511=41),"⑤短期","対象外")))))</f>
        <v>①病院一般</v>
      </c>
      <c r="DC511" s="2909">
        <f>IF($A511="","",IF($AB511&amp;""='DB_設定'!$C$4,1,0))</f>
        <v>1</v>
      </c>
    </row>
    <row r="512">
      <c r="A512" t="n" s="2909">
        <v>21</v>
      </c>
      <c r="AA512" t="n" s="2909">
        <v>21</v>
      </c>
      <c r="AB512" t="inlineStr" s="2909">
        <is>
          <t>20250401</t>
        </is>
      </c>
      <c r="AD512" t="n" s="2909">
        <v>0</v>
      </c>
      <c r="AE512" t="inlineStr" s="2909">
        <is>
          <t>00000000</t>
        </is>
      </c>
      <c r="AH512" t="n" s="2909">
        <v>20</v>
      </c>
      <c r="AJ512" t="n" s="2909">
        <v>10</v>
      </c>
      <c r="AP512" t="n" s="2909">
        <v>280000</v>
      </c>
      <c r="DB512" s="2909" t="str">
        <f>IF($A512="","",IF($AH512=20,IF(AND(OR($A512=21,$A512=215),$AJ512=10),"①病院一般",IF(AND($A512=31,$AJ512=41),"②病院短期","対象外")),IF($AJ512=30,"③特定消防",IF(AND(OR($A512=21,$A512=215),$AJ512=10),"④一般",IF(AND($A512=31,$AJ512=41),"⑤短期","対象外")))))</f>
        <v>①病院一般</v>
      </c>
      <c r="DC512" s="2909">
        <f>IF($A512="","",IF($AB512&amp;""='DB_設定'!$C$4,1,0))</f>
        <v>1</v>
      </c>
    </row>
    <row r="513">
      <c r="A513" t="n" s="2909">
        <v>21</v>
      </c>
      <c r="AA513" t="n" s="2909">
        <v>21</v>
      </c>
      <c r="AB513" t="inlineStr" s="2909">
        <is>
          <t>20250401</t>
        </is>
      </c>
      <c r="AD513" t="n" s="2909">
        <v>0</v>
      </c>
      <c r="AE513" t="inlineStr" s="2909">
        <is>
          <t>00000000</t>
        </is>
      </c>
      <c r="AH513" t="n" s="2909">
        <v>20</v>
      </c>
      <c r="AJ513" t="n" s="2909">
        <v>10</v>
      </c>
      <c r="AP513" t="n" s="2909">
        <v>320000</v>
      </c>
      <c r="DB513" s="2909" t="str">
        <f>IF($A513="","",IF($AH513=20,IF(AND(OR($A513=21,$A513=215),$AJ513=10),"①病院一般",IF(AND($A513=31,$AJ513=41),"②病院短期","対象外")),IF($AJ513=30,"③特定消防",IF(AND(OR($A513=21,$A513=215),$AJ513=10),"④一般",IF(AND($A513=31,$AJ513=41),"⑤短期","対象外")))))</f>
        <v>①病院一般</v>
      </c>
      <c r="DC513" s="2909">
        <f>IF($A513="","",IF($AB513&amp;""='DB_設定'!$C$4,1,0))</f>
        <v>1</v>
      </c>
    </row>
    <row r="514">
      <c r="A514" t="n" s="2909">
        <v>21</v>
      </c>
      <c r="AA514" t="n" s="2909">
        <v>21</v>
      </c>
      <c r="AB514" t="inlineStr" s="2909">
        <is>
          <t>20250401</t>
        </is>
      </c>
      <c r="AD514" t="n" s="2909">
        <v>0</v>
      </c>
      <c r="AE514" t="inlineStr" s="2909">
        <is>
          <t>00000000</t>
        </is>
      </c>
      <c r="AH514" t="n" s="2909">
        <v>20</v>
      </c>
      <c r="AJ514" t="n" s="2909">
        <v>10</v>
      </c>
      <c r="AP514" t="n" s="2909">
        <v>280000</v>
      </c>
      <c r="DB514" s="2909" t="str">
        <f>IF($A514="","",IF($AH514=20,IF(AND(OR($A514=21,$A514=215),$AJ514=10),"①病院一般",IF(AND($A514=31,$AJ514=41),"②病院短期","対象外")),IF($AJ514=30,"③特定消防",IF(AND(OR($A514=21,$A514=215),$AJ514=10),"④一般",IF(AND($A514=31,$AJ514=41),"⑤短期","対象外")))))</f>
        <v>①病院一般</v>
      </c>
      <c r="DC514" s="2909">
        <f>IF($A514="","",IF($AB514&amp;""='DB_設定'!$C$4,1,0))</f>
        <v>1</v>
      </c>
    </row>
    <row r="515">
      <c r="A515" t="n" s="2909">
        <v>21</v>
      </c>
      <c r="AA515" t="n" s="2909">
        <v>21</v>
      </c>
      <c r="AB515" t="inlineStr" s="2909">
        <is>
          <t>20250401</t>
        </is>
      </c>
      <c r="AD515" t="n" s="2909">
        <v>0</v>
      </c>
      <c r="AE515" t="inlineStr" s="2909">
        <is>
          <t>00000000</t>
        </is>
      </c>
      <c r="AH515" t="n" s="2909">
        <v>20</v>
      </c>
      <c r="AJ515" t="n" s="2909">
        <v>10</v>
      </c>
      <c r="AP515" t="n" s="2909">
        <v>280000</v>
      </c>
      <c r="DB515" s="2909" t="str">
        <f>IF($A515="","",IF($AH515=20,IF(AND(OR($A515=21,$A515=215),$AJ515=10),"①病院一般",IF(AND($A515=31,$AJ515=41),"②病院短期","対象外")),IF($AJ515=30,"③特定消防",IF(AND(OR($A515=21,$A515=215),$AJ515=10),"④一般",IF(AND($A515=31,$AJ515=41),"⑤短期","対象外")))))</f>
        <v>①病院一般</v>
      </c>
      <c r="DC515" s="2909">
        <f>IF($A515="","",IF($AB515&amp;""='DB_設定'!$C$4,1,0))</f>
        <v>1</v>
      </c>
    </row>
    <row r="516">
      <c r="A516" t="n" s="2909">
        <v>21</v>
      </c>
      <c r="AA516" t="n" s="2909">
        <v>21</v>
      </c>
      <c r="AB516" t="inlineStr" s="2909">
        <is>
          <t>20250401</t>
        </is>
      </c>
      <c r="AD516" t="n" s="2909">
        <v>0</v>
      </c>
      <c r="AE516" t="inlineStr" s="2909">
        <is>
          <t>00000000</t>
        </is>
      </c>
      <c r="AH516" t="n" s="2909">
        <v>20</v>
      </c>
      <c r="AJ516" t="n" s="2909">
        <v>10</v>
      </c>
      <c r="AP516" t="n" s="2909">
        <v>260000</v>
      </c>
      <c r="DB516" s="2909" t="str">
        <f>IF($A516="","",IF($AH516=20,IF(AND(OR($A516=21,$A516=215),$AJ516=10),"①病院一般",IF(AND($A516=31,$AJ516=41),"②病院短期","対象外")),IF($AJ516=30,"③特定消防",IF(AND(OR($A516=21,$A516=215),$AJ516=10),"④一般",IF(AND($A516=31,$AJ516=41),"⑤短期","対象外")))))</f>
        <v>①病院一般</v>
      </c>
      <c r="DC516" s="2909">
        <f>IF($A516="","",IF($AB516&amp;""='DB_設定'!$C$4,1,0))</f>
        <v>1</v>
      </c>
    </row>
    <row r="517">
      <c r="A517" t="n" s="2909">
        <v>21</v>
      </c>
      <c r="AA517" t="n" s="2909">
        <v>21</v>
      </c>
      <c r="AB517" t="inlineStr" s="2909">
        <is>
          <t>20250401</t>
        </is>
      </c>
      <c r="AD517" t="n" s="2909">
        <v>0</v>
      </c>
      <c r="AE517" t="inlineStr" s="2909">
        <is>
          <t>00000000</t>
        </is>
      </c>
      <c r="AH517" t="n" s="2909">
        <v>20</v>
      </c>
      <c r="AJ517" t="n" s="2909">
        <v>10</v>
      </c>
      <c r="AP517" t="n" s="2909">
        <v>280000</v>
      </c>
      <c r="DB517" s="2909" t="str">
        <f>IF($A517="","",IF($AH517=20,IF(AND(OR($A517=21,$A517=215),$AJ517=10),"①病院一般",IF(AND($A517=31,$AJ517=41),"②病院短期","対象外")),IF($AJ517=30,"③特定消防",IF(AND(OR($A517=21,$A517=215),$AJ517=10),"④一般",IF(AND($A517=31,$AJ517=41),"⑤短期","対象外")))))</f>
        <v>①病院一般</v>
      </c>
      <c r="DC517" s="2909">
        <f>IF($A517="","",IF($AB517&amp;""='DB_設定'!$C$4,1,0))</f>
        <v>1</v>
      </c>
    </row>
    <row r="518">
      <c r="A518" t="n" s="2909">
        <v>21</v>
      </c>
      <c r="AA518" t="n" s="2909">
        <v>21</v>
      </c>
      <c r="AB518" t="inlineStr" s="2909">
        <is>
          <t>20250401</t>
        </is>
      </c>
      <c r="AD518" t="n" s="2909">
        <v>0</v>
      </c>
      <c r="AE518" t="inlineStr" s="2909">
        <is>
          <t>00000000</t>
        </is>
      </c>
      <c r="AH518" t="n" s="2909">
        <v>20</v>
      </c>
      <c r="AJ518" t="n" s="2909">
        <v>10</v>
      </c>
      <c r="AP518" t="n" s="2909">
        <v>280000</v>
      </c>
      <c r="DB518" s="2909" t="str">
        <f>IF($A518="","",IF($AH518=20,IF(AND(OR($A518=21,$A518=215),$AJ518=10),"①病院一般",IF(AND($A518=31,$AJ518=41),"②病院短期","対象外")),IF($AJ518=30,"③特定消防",IF(AND(OR($A518=21,$A518=215),$AJ518=10),"④一般",IF(AND($A518=31,$AJ518=41),"⑤短期","対象外")))))</f>
        <v>①病院一般</v>
      </c>
      <c r="DC518" s="2909">
        <f>IF($A518="","",IF($AB518&amp;""='DB_設定'!$C$4,1,0))</f>
        <v>1</v>
      </c>
    </row>
    <row r="519">
      <c r="A519" t="n" s="2909">
        <v>21</v>
      </c>
      <c r="AA519" t="n" s="2909">
        <v>21</v>
      </c>
      <c r="AB519" t="inlineStr" s="2909">
        <is>
          <t>20250401</t>
        </is>
      </c>
      <c r="AD519" t="n" s="2909">
        <v>0</v>
      </c>
      <c r="AE519" t="inlineStr" s="2909">
        <is>
          <t>00000000</t>
        </is>
      </c>
      <c r="AH519" t="n" s="2909">
        <v>20</v>
      </c>
      <c r="AJ519" t="n" s="2909">
        <v>10</v>
      </c>
      <c r="AP519" t="n" s="2909">
        <v>300000</v>
      </c>
      <c r="DB519" s="2909" t="str">
        <f>IF($A519="","",IF($AH519=20,IF(AND(OR($A519=21,$A519=215),$AJ519=10),"①病院一般",IF(AND($A519=31,$AJ519=41),"②病院短期","対象外")),IF($AJ519=30,"③特定消防",IF(AND(OR($A519=21,$A519=215),$AJ519=10),"④一般",IF(AND($A519=31,$AJ519=41),"⑤短期","対象外")))))</f>
        <v>①病院一般</v>
      </c>
      <c r="DC519" s="2909">
        <f>IF($A519="","",IF($AB519&amp;""='DB_設定'!$C$4,1,0))</f>
        <v>1</v>
      </c>
    </row>
    <row r="520">
      <c r="A520" t="n" s="2909">
        <v>21</v>
      </c>
      <c r="AA520" t="n" s="2909">
        <v>21</v>
      </c>
      <c r="AB520" t="inlineStr" s="2909">
        <is>
          <t>20250401</t>
        </is>
      </c>
      <c r="AD520" t="n" s="2909">
        <v>0</v>
      </c>
      <c r="AE520" t="inlineStr" s="2909">
        <is>
          <t>00000000</t>
        </is>
      </c>
      <c r="AH520" t="n" s="2909">
        <v>20</v>
      </c>
      <c r="AJ520" t="n" s="2909">
        <v>10</v>
      </c>
      <c r="AP520" t="n" s="2909">
        <v>280000</v>
      </c>
      <c r="DB520" s="2909" t="str">
        <f>IF($A520="","",IF($AH520=20,IF(AND(OR($A520=21,$A520=215),$AJ520=10),"①病院一般",IF(AND($A520=31,$AJ520=41),"②病院短期","対象外")),IF($AJ520=30,"③特定消防",IF(AND(OR($A520=21,$A520=215),$AJ520=10),"④一般",IF(AND($A520=31,$AJ520=41),"⑤短期","対象外")))))</f>
        <v>①病院一般</v>
      </c>
      <c r="DC520" s="2909">
        <f>IF($A520="","",IF($AB520&amp;""='DB_設定'!$C$4,1,0))</f>
        <v>1</v>
      </c>
    </row>
    <row r="521">
      <c r="A521" t="n" s="2909">
        <v>21</v>
      </c>
      <c r="AA521" t="n" s="2909">
        <v>21</v>
      </c>
      <c r="AB521" t="inlineStr" s="2909">
        <is>
          <t>20250401</t>
        </is>
      </c>
      <c r="AD521" t="n" s="2909">
        <v>0</v>
      </c>
      <c r="AE521" t="inlineStr" s="2909">
        <is>
          <t>00000000</t>
        </is>
      </c>
      <c r="AH521" t="n" s="2909">
        <v>20</v>
      </c>
      <c r="AJ521" t="n" s="2909">
        <v>10</v>
      </c>
      <c r="AP521" t="n" s="2909">
        <v>280000</v>
      </c>
      <c r="DB521" s="2909" t="str">
        <f>IF($A521="","",IF($AH521=20,IF(AND(OR($A521=21,$A521=215),$AJ521=10),"①病院一般",IF(AND($A521=31,$AJ521=41),"②病院短期","対象外")),IF($AJ521=30,"③特定消防",IF(AND(OR($A521=21,$A521=215),$AJ521=10),"④一般",IF(AND($A521=31,$AJ521=41),"⑤短期","対象外")))))</f>
        <v>①病院一般</v>
      </c>
      <c r="DC521" s="2909">
        <f>IF($A521="","",IF($AB521&amp;""='DB_設定'!$C$4,1,0))</f>
        <v>1</v>
      </c>
    </row>
    <row r="522">
      <c r="A522" t="n" s="2909">
        <v>21</v>
      </c>
      <c r="AA522" t="n" s="2909">
        <v>21</v>
      </c>
      <c r="AB522" t="inlineStr" s="2909">
        <is>
          <t>20250401</t>
        </is>
      </c>
      <c r="AD522" t="n" s="2909">
        <v>0</v>
      </c>
      <c r="AE522" t="inlineStr" s="2909">
        <is>
          <t>00000000</t>
        </is>
      </c>
      <c r="AH522" t="n" s="2909">
        <v>20</v>
      </c>
      <c r="AJ522" t="n" s="2909">
        <v>10</v>
      </c>
      <c r="AP522" t="n" s="2909">
        <v>300000</v>
      </c>
      <c r="DB522" s="2909" t="str">
        <f>IF($A522="","",IF($AH522=20,IF(AND(OR($A522=21,$A522=215),$AJ522=10),"①病院一般",IF(AND($A522=31,$AJ522=41),"②病院短期","対象外")),IF($AJ522=30,"③特定消防",IF(AND(OR($A522=21,$A522=215),$AJ522=10),"④一般",IF(AND($A522=31,$AJ522=41),"⑤短期","対象外")))))</f>
        <v>①病院一般</v>
      </c>
      <c r="DC522" s="2909">
        <f>IF($A522="","",IF($AB522&amp;""='DB_設定'!$C$4,1,0))</f>
        <v>1</v>
      </c>
    </row>
    <row r="523">
      <c r="A523" t="n" s="2909">
        <v>21</v>
      </c>
      <c r="AA523" t="n" s="2909">
        <v>21</v>
      </c>
      <c r="AB523" t="inlineStr" s="2909">
        <is>
          <t>20250401</t>
        </is>
      </c>
      <c r="AD523" t="n" s="2909">
        <v>0</v>
      </c>
      <c r="AE523" t="inlineStr" s="2909">
        <is>
          <t>00000000</t>
        </is>
      </c>
      <c r="AH523" t="n" s="2909">
        <v>20</v>
      </c>
      <c r="AJ523" t="n" s="2909">
        <v>10</v>
      </c>
      <c r="AP523" t="n" s="2909">
        <v>260000</v>
      </c>
      <c r="DB523" s="2909" t="str">
        <f>IF($A523="","",IF($AH523=20,IF(AND(OR($A523=21,$A523=215),$AJ523=10),"①病院一般",IF(AND($A523=31,$AJ523=41),"②病院短期","対象外")),IF($AJ523=30,"③特定消防",IF(AND(OR($A523=21,$A523=215),$AJ523=10),"④一般",IF(AND($A523=31,$AJ523=41),"⑤短期","対象外")))))</f>
        <v>①病院一般</v>
      </c>
      <c r="DC523" s="2909">
        <f>IF($A523="","",IF($AB523&amp;""='DB_設定'!$C$4,1,0))</f>
        <v>1</v>
      </c>
    </row>
    <row r="524">
      <c r="A524" t="n" s="2909">
        <v>21</v>
      </c>
      <c r="AA524" t="n" s="2909">
        <v>21</v>
      </c>
      <c r="AB524" t="inlineStr" s="2909">
        <is>
          <t>20250401</t>
        </is>
      </c>
      <c r="AD524" t="n" s="2909">
        <v>0</v>
      </c>
      <c r="AE524" t="inlineStr" s="2909">
        <is>
          <t>00000000</t>
        </is>
      </c>
      <c r="AH524" t="n" s="2909">
        <v>20</v>
      </c>
      <c r="AJ524" t="n" s="2909">
        <v>10</v>
      </c>
      <c r="AP524" t="n" s="2909">
        <v>320000</v>
      </c>
      <c r="DB524" s="2909" t="str">
        <f>IF($A524="","",IF($AH524=20,IF(AND(OR($A524=21,$A524=215),$AJ524=10),"①病院一般",IF(AND($A524=31,$AJ524=41),"②病院短期","対象外")),IF($AJ524=30,"③特定消防",IF(AND(OR($A524=21,$A524=215),$AJ524=10),"④一般",IF(AND($A524=31,$AJ524=41),"⑤短期","対象外")))))</f>
        <v>①病院一般</v>
      </c>
      <c r="DC524" s="2909">
        <f>IF($A524="","",IF($AB524&amp;""='DB_設定'!$C$4,1,0))</f>
        <v>1</v>
      </c>
    </row>
    <row r="525">
      <c r="A525" t="n" s="2909">
        <v>21</v>
      </c>
      <c r="AA525" t="n" s="2909">
        <v>21</v>
      </c>
      <c r="AB525" t="inlineStr" s="2909">
        <is>
          <t>20250401</t>
        </is>
      </c>
      <c r="AD525" t="n" s="2909">
        <v>0</v>
      </c>
      <c r="AE525" t="inlineStr" s="2909">
        <is>
          <t>00000000</t>
        </is>
      </c>
      <c r="AH525" t="n" s="2909">
        <v>20</v>
      </c>
      <c r="AJ525" t="n" s="2909">
        <v>10</v>
      </c>
      <c r="AP525" t="n" s="2909">
        <v>320000</v>
      </c>
      <c r="DB525" s="2909" t="str">
        <f>IF($A525="","",IF($AH525=20,IF(AND(OR($A525=21,$A525=215),$AJ525=10),"①病院一般",IF(AND($A525=31,$AJ525=41),"②病院短期","対象外")),IF($AJ525=30,"③特定消防",IF(AND(OR($A525=21,$A525=215),$AJ525=10),"④一般",IF(AND($A525=31,$AJ525=41),"⑤短期","対象外")))))</f>
        <v>①病院一般</v>
      </c>
      <c r="DC525" s="2909">
        <f>IF($A525="","",IF($AB525&amp;""='DB_設定'!$C$4,1,0))</f>
        <v>1</v>
      </c>
    </row>
    <row r="526">
      <c r="A526" t="n" s="2909">
        <v>21</v>
      </c>
      <c r="AA526" t="n" s="2909">
        <v>21</v>
      </c>
      <c r="AB526" t="inlineStr" s="2909">
        <is>
          <t>20250401</t>
        </is>
      </c>
      <c r="AD526" t="n" s="2909">
        <v>0</v>
      </c>
      <c r="AE526" t="inlineStr" s="2909">
        <is>
          <t>00000000</t>
        </is>
      </c>
      <c r="AH526" t="n" s="2909">
        <v>20</v>
      </c>
      <c r="AJ526" t="n" s="2909">
        <v>10</v>
      </c>
      <c r="AP526" t="n" s="2909">
        <v>280000</v>
      </c>
      <c r="DB526" s="2909" t="str">
        <f>IF($A526="","",IF($AH526=20,IF(AND(OR($A526=21,$A526=215),$AJ526=10),"①病院一般",IF(AND($A526=31,$AJ526=41),"②病院短期","対象外")),IF($AJ526=30,"③特定消防",IF(AND(OR($A526=21,$A526=215),$AJ526=10),"④一般",IF(AND($A526=31,$AJ526=41),"⑤短期","対象外")))))</f>
        <v>①病院一般</v>
      </c>
      <c r="DC526" s="2909">
        <f>IF($A526="","",IF($AB526&amp;""='DB_設定'!$C$4,1,0))</f>
        <v>1</v>
      </c>
    </row>
    <row r="527">
      <c r="A527" t="n" s="2909">
        <v>21</v>
      </c>
      <c r="AA527" t="n" s="2909">
        <v>21</v>
      </c>
      <c r="AB527" t="inlineStr" s="2909">
        <is>
          <t>20250401</t>
        </is>
      </c>
      <c r="AD527" t="n" s="2909">
        <v>0</v>
      </c>
      <c r="AE527" t="inlineStr" s="2909">
        <is>
          <t>00000000</t>
        </is>
      </c>
      <c r="AH527" t="n" s="2909">
        <v>20</v>
      </c>
      <c r="AJ527" t="n" s="2909">
        <v>10</v>
      </c>
      <c r="AP527" t="n" s="2909">
        <v>280000</v>
      </c>
      <c r="DB527" s="2909" t="str">
        <f>IF($A527="","",IF($AH527=20,IF(AND(OR($A527=21,$A527=215),$AJ527=10),"①病院一般",IF(AND($A527=31,$AJ527=41),"②病院短期","対象外")),IF($AJ527=30,"③特定消防",IF(AND(OR($A527=21,$A527=215),$AJ527=10),"④一般",IF(AND($A527=31,$AJ527=41),"⑤短期","対象外")))))</f>
        <v>①病院一般</v>
      </c>
      <c r="DC527" s="2909">
        <f>IF($A527="","",IF($AB527&amp;""='DB_設定'!$C$4,1,0))</f>
        <v>1</v>
      </c>
    </row>
    <row r="528">
      <c r="A528" t="n" s="2909">
        <v>21</v>
      </c>
      <c r="AA528" t="n" s="2909">
        <v>21</v>
      </c>
      <c r="AB528" t="inlineStr" s="2909">
        <is>
          <t>20250401</t>
        </is>
      </c>
      <c r="AD528" t="n" s="2909">
        <v>0</v>
      </c>
      <c r="AE528" t="inlineStr" s="2909">
        <is>
          <t>00000000</t>
        </is>
      </c>
      <c r="AH528" t="n" s="2909">
        <v>20</v>
      </c>
      <c r="AJ528" t="n" s="2909">
        <v>10</v>
      </c>
      <c r="AP528" t="n" s="2909">
        <v>260000</v>
      </c>
      <c r="DB528" s="2909" t="str">
        <f>IF($A528="","",IF($AH528=20,IF(AND(OR($A528=21,$A528=215),$AJ528=10),"①病院一般",IF(AND($A528=31,$AJ528=41),"②病院短期","対象外")),IF($AJ528=30,"③特定消防",IF(AND(OR($A528=21,$A528=215),$AJ528=10),"④一般",IF(AND($A528=31,$AJ528=41),"⑤短期","対象外")))))</f>
        <v>①病院一般</v>
      </c>
      <c r="DC528" s="2909">
        <f>IF($A528="","",IF($AB528&amp;""='DB_設定'!$C$4,1,0))</f>
        <v>1</v>
      </c>
    </row>
    <row r="529">
      <c r="A529" t="n" s="2909">
        <v>21</v>
      </c>
      <c r="AA529" t="n" s="2909">
        <v>21</v>
      </c>
      <c r="AB529" t="inlineStr" s="2909">
        <is>
          <t>20250401</t>
        </is>
      </c>
      <c r="AD529" t="n" s="2909">
        <v>0</v>
      </c>
      <c r="AE529" t="inlineStr" s="2909">
        <is>
          <t>00000000</t>
        </is>
      </c>
      <c r="AH529" t="n" s="2909">
        <v>20</v>
      </c>
      <c r="AJ529" t="n" s="2909">
        <v>10</v>
      </c>
      <c r="AP529" t="n" s="2909">
        <v>280000</v>
      </c>
      <c r="DB529" s="2909" t="str">
        <f>IF($A529="","",IF($AH529=20,IF(AND(OR($A529=21,$A529=215),$AJ529=10),"①病院一般",IF(AND($A529=31,$AJ529=41),"②病院短期","対象外")),IF($AJ529=30,"③特定消防",IF(AND(OR($A529=21,$A529=215),$AJ529=10),"④一般",IF(AND($A529=31,$AJ529=41),"⑤短期","対象外")))))</f>
        <v>①病院一般</v>
      </c>
      <c r="DC529" s="2909">
        <f>IF($A529="","",IF($AB529&amp;""='DB_設定'!$C$4,1,0))</f>
        <v>1</v>
      </c>
    </row>
    <row r="530">
      <c r="A530" t="n" s="2909">
        <v>21</v>
      </c>
      <c r="AA530" t="n" s="2909">
        <v>21</v>
      </c>
      <c r="AB530" t="inlineStr" s="2909">
        <is>
          <t>20250401</t>
        </is>
      </c>
      <c r="AD530" t="n" s="2909">
        <v>0</v>
      </c>
      <c r="AE530" t="inlineStr" s="2909">
        <is>
          <t>00000000</t>
        </is>
      </c>
      <c r="AH530" t="n" s="2909">
        <v>20</v>
      </c>
      <c r="AJ530" t="n" s="2909">
        <v>10</v>
      </c>
      <c r="AP530" t="n" s="2909">
        <v>300000</v>
      </c>
      <c r="DB530" s="2909" t="str">
        <f>IF($A530="","",IF($AH530=20,IF(AND(OR($A530=21,$A530=215),$AJ530=10),"①病院一般",IF(AND($A530=31,$AJ530=41),"②病院短期","対象外")),IF($AJ530=30,"③特定消防",IF(AND(OR($A530=21,$A530=215),$AJ530=10),"④一般",IF(AND($A530=31,$AJ530=41),"⑤短期","対象外")))))</f>
        <v>①病院一般</v>
      </c>
      <c r="DC530" s="2909">
        <f>IF($A530="","",IF($AB530&amp;""='DB_設定'!$C$4,1,0))</f>
        <v>1</v>
      </c>
    </row>
    <row r="531">
      <c r="A531" t="n" s="2909">
        <v>21</v>
      </c>
      <c r="AA531" t="n" s="2909">
        <v>21</v>
      </c>
      <c r="AB531" t="inlineStr" s="2909">
        <is>
          <t>20250401</t>
        </is>
      </c>
      <c r="AD531" t="n" s="2909">
        <v>0</v>
      </c>
      <c r="AE531" t="inlineStr" s="2909">
        <is>
          <t>00000000</t>
        </is>
      </c>
      <c r="AH531" t="n" s="2909">
        <v>20</v>
      </c>
      <c r="AJ531" t="n" s="2909">
        <v>10</v>
      </c>
      <c r="AP531" t="n" s="2909">
        <v>300000</v>
      </c>
      <c r="DB531" s="2909" t="str">
        <f>IF($A531="","",IF($AH531=20,IF(AND(OR($A531=21,$A531=215),$AJ531=10),"①病院一般",IF(AND($A531=31,$AJ531=41),"②病院短期","対象外")),IF($AJ531=30,"③特定消防",IF(AND(OR($A531=21,$A531=215),$AJ531=10),"④一般",IF(AND($A531=31,$AJ531=41),"⑤短期","対象外")))))</f>
        <v>①病院一般</v>
      </c>
      <c r="DC531" s="2909">
        <f>IF($A531="","",IF($AB531&amp;""='DB_設定'!$C$4,1,0))</f>
        <v>1</v>
      </c>
    </row>
    <row r="532">
      <c r="A532" t="n" s="2909">
        <v>21</v>
      </c>
      <c r="AA532" t="n" s="2909">
        <v>21</v>
      </c>
      <c r="AB532" t="inlineStr" s="2909">
        <is>
          <t>20250401</t>
        </is>
      </c>
      <c r="AD532" t="n" s="2909">
        <v>0</v>
      </c>
      <c r="AE532" t="inlineStr" s="2909">
        <is>
          <t>00000000</t>
        </is>
      </c>
      <c r="AH532" t="n" s="2909">
        <v>20</v>
      </c>
      <c r="AJ532" t="n" s="2909">
        <v>10</v>
      </c>
      <c r="AP532" t="n" s="2909">
        <v>300000</v>
      </c>
      <c r="DB532" s="2909" t="str">
        <f>IF($A532="","",IF($AH532=20,IF(AND(OR($A532=21,$A532=215),$AJ532=10),"①病院一般",IF(AND($A532=31,$AJ532=41),"②病院短期","対象外")),IF($AJ532=30,"③特定消防",IF(AND(OR($A532=21,$A532=215),$AJ532=10),"④一般",IF(AND($A532=31,$AJ532=41),"⑤短期","対象外")))))</f>
        <v>①病院一般</v>
      </c>
      <c r="DC532" s="2909">
        <f>IF($A532="","",IF($AB532&amp;""='DB_設定'!$C$4,1,0))</f>
        <v>1</v>
      </c>
    </row>
    <row r="533">
      <c r="A533" t="n" s="2909">
        <v>21</v>
      </c>
      <c r="AA533" t="n" s="2909">
        <v>21</v>
      </c>
      <c r="AB533" t="inlineStr" s="2909">
        <is>
          <t>20250401</t>
        </is>
      </c>
      <c r="AD533" t="n" s="2909">
        <v>0</v>
      </c>
      <c r="AE533" t="inlineStr" s="2909">
        <is>
          <t>00000000</t>
        </is>
      </c>
      <c r="AH533" t="n" s="2909">
        <v>20</v>
      </c>
      <c r="AJ533" t="n" s="2909">
        <v>10</v>
      </c>
      <c r="AP533" t="n" s="2909">
        <v>280000</v>
      </c>
      <c r="DB533" s="2909" t="str">
        <f>IF($A533="","",IF($AH533=20,IF(AND(OR($A533=21,$A533=215),$AJ533=10),"①病院一般",IF(AND($A533=31,$AJ533=41),"②病院短期","対象外")),IF($AJ533=30,"③特定消防",IF(AND(OR($A533=21,$A533=215),$AJ533=10),"④一般",IF(AND($A533=31,$AJ533=41),"⑤短期","対象外")))))</f>
        <v>①病院一般</v>
      </c>
      <c r="DC533" s="2909">
        <f>IF($A533="","",IF($AB533&amp;""='DB_設定'!$C$4,1,0))</f>
        <v>1</v>
      </c>
    </row>
    <row r="534">
      <c r="A534" t="n" s="2909">
        <v>21</v>
      </c>
      <c r="AA534" t="n" s="2909">
        <v>21</v>
      </c>
      <c r="AB534" t="inlineStr" s="2909">
        <is>
          <t>20250401</t>
        </is>
      </c>
      <c r="AD534" t="n" s="2909">
        <v>0</v>
      </c>
      <c r="AE534" t="inlineStr" s="2909">
        <is>
          <t>00000000</t>
        </is>
      </c>
      <c r="AH534" t="n" s="2909">
        <v>20</v>
      </c>
      <c r="AJ534" t="n" s="2909">
        <v>10</v>
      </c>
      <c r="AP534" t="n" s="2909">
        <v>240000</v>
      </c>
      <c r="DB534" s="2909" t="str">
        <f>IF($A534="","",IF($AH534=20,IF(AND(OR($A534=21,$A534=215),$AJ534=10),"①病院一般",IF(AND($A534=31,$AJ534=41),"②病院短期","対象外")),IF($AJ534=30,"③特定消防",IF(AND(OR($A534=21,$A534=215),$AJ534=10),"④一般",IF(AND($A534=31,$AJ534=41),"⑤短期","対象外")))))</f>
        <v>①病院一般</v>
      </c>
      <c r="DC534" s="2909">
        <f>IF($A534="","",IF($AB534&amp;""='DB_設定'!$C$4,1,0))</f>
        <v>1</v>
      </c>
    </row>
    <row r="535">
      <c r="A535" t="n" s="2909">
        <v>21</v>
      </c>
      <c r="AA535" t="n" s="2909">
        <v>21</v>
      </c>
      <c r="AB535" t="inlineStr" s="2909">
        <is>
          <t>20250401</t>
        </is>
      </c>
      <c r="AD535" t="n" s="2909">
        <v>0</v>
      </c>
      <c r="AE535" t="inlineStr" s="2909">
        <is>
          <t>00000000</t>
        </is>
      </c>
      <c r="AH535" t="n" s="2909">
        <v>20</v>
      </c>
      <c r="AJ535" t="n" s="2909">
        <v>10</v>
      </c>
      <c r="AP535" t="n" s="2909">
        <v>280000</v>
      </c>
      <c r="DB535" s="2909" t="str">
        <f>IF($A535="","",IF($AH535=20,IF(AND(OR($A535=21,$A535=215),$AJ535=10),"①病院一般",IF(AND($A535=31,$AJ535=41),"②病院短期","対象外")),IF($AJ535=30,"③特定消防",IF(AND(OR($A535=21,$A535=215),$AJ535=10),"④一般",IF(AND($A535=31,$AJ535=41),"⑤短期","対象外")))))</f>
        <v>①病院一般</v>
      </c>
      <c r="DC535" s="2909">
        <f>IF($A535="","",IF($AB535&amp;""='DB_設定'!$C$4,1,0))</f>
        <v>1</v>
      </c>
    </row>
    <row r="536">
      <c r="A536" t="n" s="2909">
        <v>21</v>
      </c>
      <c r="AA536" t="n" s="2909">
        <v>21</v>
      </c>
      <c r="AB536" t="inlineStr" s="2909">
        <is>
          <t>20250401</t>
        </is>
      </c>
      <c r="AD536" t="n" s="2909">
        <v>0</v>
      </c>
      <c r="AE536" t="inlineStr" s="2909">
        <is>
          <t>00000000</t>
        </is>
      </c>
      <c r="AH536" t="n" s="2909">
        <v>20</v>
      </c>
      <c r="AJ536" t="n" s="2909">
        <v>10</v>
      </c>
      <c r="AP536" t="n" s="2909">
        <v>260000</v>
      </c>
      <c r="DB536" s="2909" t="str">
        <f>IF($A536="","",IF($AH536=20,IF(AND(OR($A536=21,$A536=215),$AJ536=10),"①病院一般",IF(AND($A536=31,$AJ536=41),"②病院短期","対象外")),IF($AJ536=30,"③特定消防",IF(AND(OR($A536=21,$A536=215),$AJ536=10),"④一般",IF(AND($A536=31,$AJ536=41),"⑤短期","対象外")))))</f>
        <v>①病院一般</v>
      </c>
      <c r="DC536" s="2909">
        <f>IF($A536="","",IF($AB536&amp;""='DB_設定'!$C$4,1,0))</f>
        <v>1</v>
      </c>
    </row>
    <row r="537">
      <c r="A537" t="n" s="2909">
        <v>21</v>
      </c>
      <c r="AA537" t="n" s="2909">
        <v>21</v>
      </c>
      <c r="AB537" t="inlineStr" s="2909">
        <is>
          <t>20250401</t>
        </is>
      </c>
      <c r="AD537" t="n" s="2909">
        <v>0</v>
      </c>
      <c r="AE537" t="inlineStr" s="2909">
        <is>
          <t>00000000</t>
        </is>
      </c>
      <c r="AH537" t="n" s="2909">
        <v>20</v>
      </c>
      <c r="AJ537" t="n" s="2909">
        <v>10</v>
      </c>
      <c r="AP537" t="n" s="2909">
        <v>260000</v>
      </c>
      <c r="DB537" s="2909" t="str">
        <f>IF($A537="","",IF($AH537=20,IF(AND(OR($A537=21,$A537=215),$AJ537=10),"①病院一般",IF(AND($A537=31,$AJ537=41),"②病院短期","対象外")),IF($AJ537=30,"③特定消防",IF(AND(OR($A537=21,$A537=215),$AJ537=10),"④一般",IF(AND($A537=31,$AJ537=41),"⑤短期","対象外")))))</f>
        <v>①病院一般</v>
      </c>
      <c r="DC537" s="2909">
        <f>IF($A537="","",IF($AB537&amp;""='DB_設定'!$C$4,1,0))</f>
        <v>1</v>
      </c>
    </row>
    <row r="538">
      <c r="A538" t="n" s="2909">
        <v>21</v>
      </c>
      <c r="AA538" t="n" s="2909">
        <v>21</v>
      </c>
      <c r="AB538" t="inlineStr" s="2909">
        <is>
          <t>20250401</t>
        </is>
      </c>
      <c r="AD538" t="n" s="2909">
        <v>0</v>
      </c>
      <c r="AE538" t="inlineStr" s="2909">
        <is>
          <t>00000000</t>
        </is>
      </c>
      <c r="AH538" t="n" s="2909">
        <v>20</v>
      </c>
      <c r="AJ538" t="n" s="2909">
        <v>10</v>
      </c>
      <c r="AP538" t="n" s="2909">
        <v>240000</v>
      </c>
      <c r="DB538" s="2909" t="str">
        <f>IF($A538="","",IF($AH538=20,IF(AND(OR($A538=21,$A538=215),$AJ538=10),"①病院一般",IF(AND($A538=31,$AJ538=41),"②病院短期","対象外")),IF($AJ538=30,"③特定消防",IF(AND(OR($A538=21,$A538=215),$AJ538=10),"④一般",IF(AND($A538=31,$AJ538=41),"⑤短期","対象外")))))</f>
        <v>①病院一般</v>
      </c>
      <c r="DC538" s="2909">
        <f>IF($A538="","",IF($AB538&amp;""='DB_設定'!$C$4,1,0))</f>
        <v>1</v>
      </c>
    </row>
    <row r="539">
      <c r="A539" t="n" s="2909">
        <v>21</v>
      </c>
      <c r="AA539" t="n" s="2909">
        <v>21</v>
      </c>
      <c r="AB539" t="inlineStr" s="2909">
        <is>
          <t>20250401</t>
        </is>
      </c>
      <c r="AD539" t="n" s="2909">
        <v>0</v>
      </c>
      <c r="AE539" t="inlineStr" s="2909">
        <is>
          <t>00000000</t>
        </is>
      </c>
      <c r="AH539" t="n" s="2909">
        <v>20</v>
      </c>
      <c r="AJ539" t="n" s="2909">
        <v>10</v>
      </c>
      <c r="AP539" t="n" s="2909">
        <v>260000</v>
      </c>
      <c r="DB539" s="2909" t="str">
        <f>IF($A539="","",IF($AH539=20,IF(AND(OR($A539=21,$A539=215),$AJ539=10),"①病院一般",IF(AND($A539=31,$AJ539=41),"②病院短期","対象外")),IF($AJ539=30,"③特定消防",IF(AND(OR($A539=21,$A539=215),$AJ539=10),"④一般",IF(AND($A539=31,$AJ539=41),"⑤短期","対象外")))))</f>
        <v>①病院一般</v>
      </c>
      <c r="DC539" s="2909">
        <f>IF($A539="","",IF($AB539&amp;""='DB_設定'!$C$4,1,0))</f>
        <v>1</v>
      </c>
    </row>
    <row r="540">
      <c r="A540" t="n" s="2909">
        <v>21</v>
      </c>
      <c r="AA540" t="n" s="2909">
        <v>21</v>
      </c>
      <c r="AB540" t="inlineStr" s="2909">
        <is>
          <t>20250401</t>
        </is>
      </c>
      <c r="AD540" t="n" s="2909">
        <v>0</v>
      </c>
      <c r="AE540" t="inlineStr" s="2909">
        <is>
          <t>00000000</t>
        </is>
      </c>
      <c r="AH540" t="n" s="2909">
        <v>20</v>
      </c>
      <c r="AJ540" t="n" s="2909">
        <v>10</v>
      </c>
      <c r="AP540" t="n" s="2909">
        <v>260000</v>
      </c>
      <c r="DB540" s="2909" t="str">
        <f>IF($A540="","",IF($AH540=20,IF(AND(OR($A540=21,$A540=215),$AJ540=10),"①病院一般",IF(AND($A540=31,$AJ540=41),"②病院短期","対象外")),IF($AJ540=30,"③特定消防",IF(AND(OR($A540=21,$A540=215),$AJ540=10),"④一般",IF(AND($A540=31,$AJ540=41),"⑤短期","対象外")))))</f>
        <v>①病院一般</v>
      </c>
      <c r="DC540" s="2909">
        <f>IF($A540="","",IF($AB540&amp;""='DB_設定'!$C$4,1,0))</f>
        <v>1</v>
      </c>
    </row>
    <row r="541">
      <c r="A541" t="n" s="2909">
        <v>21</v>
      </c>
      <c r="AA541" t="n" s="2909">
        <v>21</v>
      </c>
      <c r="AB541" t="inlineStr" s="2909">
        <is>
          <t>20250401</t>
        </is>
      </c>
      <c r="AD541" t="n" s="2909">
        <v>0</v>
      </c>
      <c r="AE541" t="inlineStr" s="2909">
        <is>
          <t>00000000</t>
        </is>
      </c>
      <c r="AH541" t="n" s="2909">
        <v>20</v>
      </c>
      <c r="AJ541" t="n" s="2909">
        <v>10</v>
      </c>
      <c r="AP541" t="n" s="2909">
        <v>280000</v>
      </c>
      <c r="DB541" s="2909" t="str">
        <f>IF($A541="","",IF($AH541=20,IF(AND(OR($A541=21,$A541=215),$AJ541=10),"①病院一般",IF(AND($A541=31,$AJ541=41),"②病院短期","対象外")),IF($AJ541=30,"③特定消防",IF(AND(OR($A541=21,$A541=215),$AJ541=10),"④一般",IF(AND($A541=31,$AJ541=41),"⑤短期","対象外")))))</f>
        <v>①病院一般</v>
      </c>
      <c r="DC541" s="2909">
        <f>IF($A541="","",IF($AB541&amp;""='DB_設定'!$C$4,1,0))</f>
        <v>1</v>
      </c>
    </row>
    <row r="542">
      <c r="A542" t="n" s="2909">
        <v>21</v>
      </c>
      <c r="AA542" t="n" s="2909">
        <v>21</v>
      </c>
      <c r="AB542" t="inlineStr" s="2909">
        <is>
          <t>20250401</t>
        </is>
      </c>
      <c r="AD542" t="n" s="2909">
        <v>0</v>
      </c>
      <c r="AE542" t="inlineStr" s="2909">
        <is>
          <t>00000000</t>
        </is>
      </c>
      <c r="AH542" t="n" s="2909">
        <v>20</v>
      </c>
      <c r="AJ542" t="n" s="2909">
        <v>10</v>
      </c>
      <c r="AP542" t="n" s="2909">
        <v>280000</v>
      </c>
      <c r="DB542" s="2909" t="str">
        <f>IF($A542="","",IF($AH542=20,IF(AND(OR($A542=21,$A542=215),$AJ542=10),"①病院一般",IF(AND($A542=31,$AJ542=41),"②病院短期","対象外")),IF($AJ542=30,"③特定消防",IF(AND(OR($A542=21,$A542=215),$AJ542=10),"④一般",IF(AND($A542=31,$AJ542=41),"⑤短期","対象外")))))</f>
        <v>①病院一般</v>
      </c>
      <c r="DC542" s="2909">
        <f>IF($A542="","",IF($AB542&amp;""='DB_設定'!$C$4,1,0))</f>
        <v>1</v>
      </c>
    </row>
    <row r="543">
      <c r="A543" t="n" s="2909">
        <v>21</v>
      </c>
      <c r="AA543" t="n" s="2909">
        <v>21</v>
      </c>
      <c r="AB543" t="inlineStr" s="2909">
        <is>
          <t>20250401</t>
        </is>
      </c>
      <c r="AD543" t="n" s="2909">
        <v>0</v>
      </c>
      <c r="AE543" t="inlineStr" s="2909">
        <is>
          <t>00000000</t>
        </is>
      </c>
      <c r="AH543" t="n" s="2909">
        <v>20</v>
      </c>
      <c r="AJ543" t="n" s="2909">
        <v>10</v>
      </c>
      <c r="AP543" t="n" s="2909">
        <v>260000</v>
      </c>
      <c r="DB543" s="2909" t="str">
        <f>IF($A543="","",IF($AH543=20,IF(AND(OR($A543=21,$A543=215),$AJ543=10),"①病院一般",IF(AND($A543=31,$AJ543=41),"②病院短期","対象外")),IF($AJ543=30,"③特定消防",IF(AND(OR($A543=21,$A543=215),$AJ543=10),"④一般",IF(AND($A543=31,$AJ543=41),"⑤短期","対象外")))))</f>
        <v>①病院一般</v>
      </c>
      <c r="DC543" s="2909">
        <f>IF($A543="","",IF($AB543&amp;""='DB_設定'!$C$4,1,0))</f>
        <v>1</v>
      </c>
    </row>
    <row r="544">
      <c r="A544" t="n" s="2909">
        <v>21</v>
      </c>
      <c r="AA544" t="n" s="2909">
        <v>21</v>
      </c>
      <c r="AB544" t="inlineStr" s="2909">
        <is>
          <t>20250401</t>
        </is>
      </c>
      <c r="AD544" t="n" s="2909">
        <v>0</v>
      </c>
      <c r="AE544" t="inlineStr" s="2909">
        <is>
          <t>00000000</t>
        </is>
      </c>
      <c r="AH544" t="n" s="2909">
        <v>20</v>
      </c>
      <c r="AJ544" t="n" s="2909">
        <v>10</v>
      </c>
      <c r="AP544" t="n" s="2909">
        <v>260000</v>
      </c>
      <c r="DB544" s="2909" t="str">
        <f>IF($A544="","",IF($AH544=20,IF(AND(OR($A544=21,$A544=215),$AJ544=10),"①病院一般",IF(AND($A544=31,$AJ544=41),"②病院短期","対象外")),IF($AJ544=30,"③特定消防",IF(AND(OR($A544=21,$A544=215),$AJ544=10),"④一般",IF(AND($A544=31,$AJ544=41),"⑤短期","対象外")))))</f>
        <v>①病院一般</v>
      </c>
      <c r="DC544" s="2909">
        <f>IF($A544="","",IF($AB544&amp;""='DB_設定'!$C$4,1,0))</f>
        <v>1</v>
      </c>
    </row>
    <row r="545">
      <c r="A545" t="n" s="2909">
        <v>21</v>
      </c>
      <c r="AA545" t="n" s="2909">
        <v>21</v>
      </c>
      <c r="AB545" t="inlineStr" s="2909">
        <is>
          <t>20250401</t>
        </is>
      </c>
      <c r="AD545" t="n" s="2909">
        <v>0</v>
      </c>
      <c r="AE545" t="inlineStr" s="2909">
        <is>
          <t>00000000</t>
        </is>
      </c>
      <c r="AH545" t="n" s="2909">
        <v>20</v>
      </c>
      <c r="AJ545" t="n" s="2909">
        <v>10</v>
      </c>
      <c r="AP545" t="n" s="2909">
        <v>300000</v>
      </c>
      <c r="DB545" s="2909" t="str">
        <f>IF($A545="","",IF($AH545=20,IF(AND(OR($A545=21,$A545=215),$AJ545=10),"①病院一般",IF(AND($A545=31,$AJ545=41),"②病院短期","対象外")),IF($AJ545=30,"③特定消防",IF(AND(OR($A545=21,$A545=215),$AJ545=10),"④一般",IF(AND($A545=31,$AJ545=41),"⑤短期","対象外")))))</f>
        <v>①病院一般</v>
      </c>
      <c r="DC545" s="2909">
        <f>IF($A545="","",IF($AB545&amp;""='DB_設定'!$C$4,1,0))</f>
        <v>1</v>
      </c>
    </row>
    <row r="546">
      <c r="A546" t="n" s="2909">
        <v>21</v>
      </c>
      <c r="AA546" t="n" s="2909">
        <v>21</v>
      </c>
      <c r="AB546" t="inlineStr" s="2909">
        <is>
          <t>20250401</t>
        </is>
      </c>
      <c r="AD546" t="n" s="2909">
        <v>0</v>
      </c>
      <c r="AE546" t="inlineStr" s="2909">
        <is>
          <t>00000000</t>
        </is>
      </c>
      <c r="AH546" t="n" s="2909">
        <v>20</v>
      </c>
      <c r="AJ546" t="n" s="2909">
        <v>10</v>
      </c>
      <c r="AP546" t="n" s="2909">
        <v>260000</v>
      </c>
      <c r="DB546" s="2909" t="str">
        <f>IF($A546="","",IF($AH546=20,IF(AND(OR($A546=21,$A546=215),$AJ546=10),"①病院一般",IF(AND($A546=31,$AJ546=41),"②病院短期","対象外")),IF($AJ546=30,"③特定消防",IF(AND(OR($A546=21,$A546=215),$AJ546=10),"④一般",IF(AND($A546=31,$AJ546=41),"⑤短期","対象外")))))</f>
        <v>①病院一般</v>
      </c>
      <c r="DC546" s="2909">
        <f>IF($A546="","",IF($AB546&amp;""='DB_設定'!$C$4,1,0))</f>
        <v>1</v>
      </c>
    </row>
    <row r="547">
      <c r="A547" t="n" s="2909">
        <v>21</v>
      </c>
      <c r="AA547" t="n" s="2909">
        <v>21</v>
      </c>
      <c r="AB547" t="inlineStr" s="2909">
        <is>
          <t>20250401</t>
        </is>
      </c>
      <c r="AD547" t="n" s="2909">
        <v>0</v>
      </c>
      <c r="AE547" t="inlineStr" s="2909">
        <is>
          <t>00000000</t>
        </is>
      </c>
      <c r="AH547" t="n" s="2909">
        <v>20</v>
      </c>
      <c r="AJ547" t="n" s="2909">
        <v>10</v>
      </c>
      <c r="AP547" t="n" s="2909">
        <v>340000</v>
      </c>
      <c r="DB547" s="2909" t="str">
        <f>IF($A547="","",IF($AH547=20,IF(AND(OR($A547=21,$A547=215),$AJ547=10),"①病院一般",IF(AND($A547=31,$AJ547=41),"②病院短期","対象外")),IF($AJ547=30,"③特定消防",IF(AND(OR($A547=21,$A547=215),$AJ547=10),"④一般",IF(AND($A547=31,$AJ547=41),"⑤短期","対象外")))))</f>
        <v>①病院一般</v>
      </c>
      <c r="DC547" s="2909">
        <f>IF($A547="","",IF($AB547&amp;""='DB_設定'!$C$4,1,0))</f>
        <v>1</v>
      </c>
    </row>
    <row r="548">
      <c r="A548" t="n" s="2909">
        <v>21</v>
      </c>
      <c r="AA548" t="n" s="2909">
        <v>21</v>
      </c>
      <c r="AB548" t="inlineStr" s="2909">
        <is>
          <t>20250401</t>
        </is>
      </c>
      <c r="AD548" t="n" s="2909">
        <v>0</v>
      </c>
      <c r="AE548" t="inlineStr" s="2909">
        <is>
          <t>00000000</t>
        </is>
      </c>
      <c r="AH548" t="n" s="2909">
        <v>20</v>
      </c>
      <c r="AJ548" t="n" s="2909">
        <v>10</v>
      </c>
      <c r="AP548" t="n" s="2909">
        <v>260000</v>
      </c>
      <c r="DB548" s="2909" t="str">
        <f>IF($A548="","",IF($AH548=20,IF(AND(OR($A548=21,$A548=215),$AJ548=10),"①病院一般",IF(AND($A548=31,$AJ548=41),"②病院短期","対象外")),IF($AJ548=30,"③特定消防",IF(AND(OR($A548=21,$A548=215),$AJ548=10),"④一般",IF(AND($A548=31,$AJ548=41),"⑤短期","対象外")))))</f>
        <v>①病院一般</v>
      </c>
      <c r="DC548" s="2909">
        <f>IF($A548="","",IF($AB548&amp;""='DB_設定'!$C$4,1,0))</f>
        <v>1</v>
      </c>
    </row>
    <row r="549">
      <c r="A549" t="n" s="2909">
        <v>21</v>
      </c>
      <c r="AA549" t="n" s="2909">
        <v>21</v>
      </c>
      <c r="AB549" t="inlineStr" s="2909">
        <is>
          <t>20250401</t>
        </is>
      </c>
      <c r="AD549" t="n" s="2909">
        <v>0</v>
      </c>
      <c r="AE549" t="inlineStr" s="2909">
        <is>
          <t>00000000</t>
        </is>
      </c>
      <c r="AH549" t="n" s="2909">
        <v>20</v>
      </c>
      <c r="AJ549" t="n" s="2909">
        <v>10</v>
      </c>
      <c r="AP549" t="n" s="2909">
        <v>300000</v>
      </c>
      <c r="DB549" s="2909" t="str">
        <f>IF($A549="","",IF($AH549=20,IF(AND(OR($A549=21,$A549=215),$AJ549=10),"①病院一般",IF(AND($A549=31,$AJ549=41),"②病院短期","対象外")),IF($AJ549=30,"③特定消防",IF(AND(OR($A549=21,$A549=215),$AJ549=10),"④一般",IF(AND($A549=31,$AJ549=41),"⑤短期","対象外")))))</f>
        <v>①病院一般</v>
      </c>
      <c r="DC549" s="2909">
        <f>IF($A549="","",IF($AB549&amp;""='DB_設定'!$C$4,1,0))</f>
        <v>1</v>
      </c>
    </row>
    <row r="550">
      <c r="A550" t="n" s="2909">
        <v>21</v>
      </c>
      <c r="AA550" t="n" s="2909">
        <v>21</v>
      </c>
      <c r="AB550" t="inlineStr" s="2909">
        <is>
          <t>20250401</t>
        </is>
      </c>
      <c r="AD550" t="n" s="2909">
        <v>0</v>
      </c>
      <c r="AE550" t="inlineStr" s="2909">
        <is>
          <t>00000000</t>
        </is>
      </c>
      <c r="AH550" t="n" s="2909">
        <v>20</v>
      </c>
      <c r="AJ550" t="n" s="2909">
        <v>10</v>
      </c>
      <c r="AP550" t="n" s="2909">
        <v>280000</v>
      </c>
      <c r="DB550" s="2909" t="str">
        <f>IF($A550="","",IF($AH550=20,IF(AND(OR($A550=21,$A550=215),$AJ550=10),"①病院一般",IF(AND($A550=31,$AJ550=41),"②病院短期","対象外")),IF($AJ550=30,"③特定消防",IF(AND(OR($A550=21,$A550=215),$AJ550=10),"④一般",IF(AND($A550=31,$AJ550=41),"⑤短期","対象外")))))</f>
        <v>①病院一般</v>
      </c>
      <c r="DC550" s="2909">
        <f>IF($A550="","",IF($AB550&amp;""='DB_設定'!$C$4,1,0))</f>
        <v>1</v>
      </c>
    </row>
    <row r="551">
      <c r="A551" t="n" s="2909">
        <v>21</v>
      </c>
      <c r="AA551" t="n" s="2909">
        <v>21</v>
      </c>
      <c r="AB551" t="inlineStr" s="2909">
        <is>
          <t>20250401</t>
        </is>
      </c>
      <c r="AD551" t="n" s="2909">
        <v>0</v>
      </c>
      <c r="AE551" t="inlineStr" s="2909">
        <is>
          <t>00000000</t>
        </is>
      </c>
      <c r="AH551" t="n" s="2909">
        <v>20</v>
      </c>
      <c r="AJ551" t="n" s="2909">
        <v>10</v>
      </c>
      <c r="AP551" t="n" s="2909">
        <v>360000</v>
      </c>
      <c r="DB551" s="2909" t="str">
        <f>IF($A551="","",IF($AH551=20,IF(AND(OR($A551=21,$A551=215),$AJ551=10),"①病院一般",IF(AND($A551=31,$AJ551=41),"②病院短期","対象外")),IF($AJ551=30,"③特定消防",IF(AND(OR($A551=21,$A551=215),$AJ551=10),"④一般",IF(AND($A551=31,$AJ551=41),"⑤短期","対象外")))))</f>
        <v>①病院一般</v>
      </c>
      <c r="DC551" s="2909">
        <f>IF($A551="","",IF($AB551&amp;""='DB_設定'!$C$4,1,0))</f>
        <v>1</v>
      </c>
    </row>
    <row r="552">
      <c r="A552" t="n" s="2909">
        <v>21</v>
      </c>
      <c r="AA552" t="n" s="2909">
        <v>21</v>
      </c>
      <c r="AB552" t="inlineStr" s="2909">
        <is>
          <t>20250401</t>
        </is>
      </c>
      <c r="AD552" t="n" s="2909">
        <v>0</v>
      </c>
      <c r="AE552" t="inlineStr" s="2909">
        <is>
          <t>00000000</t>
        </is>
      </c>
      <c r="AH552" t="n" s="2909">
        <v>20</v>
      </c>
      <c r="AJ552" t="n" s="2909">
        <v>10</v>
      </c>
      <c r="AP552" t="n" s="2909">
        <v>300000</v>
      </c>
      <c r="DB552" s="2909" t="str">
        <f>IF($A552="","",IF($AH552=20,IF(AND(OR($A552=21,$A552=215),$AJ552=10),"①病院一般",IF(AND($A552=31,$AJ552=41),"②病院短期","対象外")),IF($AJ552=30,"③特定消防",IF(AND(OR($A552=21,$A552=215),$AJ552=10),"④一般",IF(AND($A552=31,$AJ552=41),"⑤短期","対象外")))))</f>
        <v>①病院一般</v>
      </c>
      <c r="DC552" s="2909">
        <f>IF($A552="","",IF($AB552&amp;""='DB_設定'!$C$4,1,0))</f>
        <v>1</v>
      </c>
    </row>
    <row r="553">
      <c r="A553" t="n" s="2909">
        <v>21</v>
      </c>
      <c r="AA553" t="n" s="2909">
        <v>21</v>
      </c>
      <c r="AB553" t="inlineStr" s="2909">
        <is>
          <t>20250401</t>
        </is>
      </c>
      <c r="AD553" t="n" s="2909">
        <v>0</v>
      </c>
      <c r="AE553" t="inlineStr" s="2909">
        <is>
          <t>00000000</t>
        </is>
      </c>
      <c r="AH553" t="n" s="2909">
        <v>20</v>
      </c>
      <c r="AJ553" t="n" s="2909">
        <v>10</v>
      </c>
      <c r="AP553" t="n" s="2909">
        <v>280000</v>
      </c>
      <c r="DB553" s="2909" t="str">
        <f>IF($A553="","",IF($AH553=20,IF(AND(OR($A553=21,$A553=215),$AJ553=10),"①病院一般",IF(AND($A553=31,$AJ553=41),"②病院短期","対象外")),IF($AJ553=30,"③特定消防",IF(AND(OR($A553=21,$A553=215),$AJ553=10),"④一般",IF(AND($A553=31,$AJ553=41),"⑤短期","対象外")))))</f>
        <v>①病院一般</v>
      </c>
      <c r="DC553" s="2909">
        <f>IF($A553="","",IF($AB553&amp;""='DB_設定'!$C$4,1,0))</f>
        <v>1</v>
      </c>
    </row>
    <row r="554">
      <c r="A554" t="n" s="2909">
        <v>21</v>
      </c>
      <c r="AA554" t="n" s="2909">
        <v>21</v>
      </c>
      <c r="AB554" t="inlineStr" s="2909">
        <is>
          <t>20250401</t>
        </is>
      </c>
      <c r="AD554" t="n" s="2909">
        <v>0</v>
      </c>
      <c r="AE554" t="inlineStr" s="2909">
        <is>
          <t>00000000</t>
        </is>
      </c>
      <c r="AH554" t="n" s="2909">
        <v>20</v>
      </c>
      <c r="AJ554" t="n" s="2909">
        <v>10</v>
      </c>
      <c r="AP554" t="n" s="2909">
        <v>280000</v>
      </c>
      <c r="DB554" s="2909" t="str">
        <f>IF($A554="","",IF($AH554=20,IF(AND(OR($A554=21,$A554=215),$AJ554=10),"①病院一般",IF(AND($A554=31,$AJ554=41),"②病院短期","対象外")),IF($AJ554=30,"③特定消防",IF(AND(OR($A554=21,$A554=215),$AJ554=10),"④一般",IF(AND($A554=31,$AJ554=41),"⑤短期","対象外")))))</f>
        <v>①病院一般</v>
      </c>
      <c r="DC554" s="2909">
        <f>IF($A554="","",IF($AB554&amp;""='DB_設定'!$C$4,1,0))</f>
        <v>1</v>
      </c>
    </row>
    <row r="555">
      <c r="A555" t="n" s="2909">
        <v>21</v>
      </c>
      <c r="AA555" t="n" s="2909">
        <v>21</v>
      </c>
      <c r="AB555" t="inlineStr" s="2909">
        <is>
          <t>20250401</t>
        </is>
      </c>
      <c r="AD555" t="n" s="2909">
        <v>0</v>
      </c>
      <c r="AE555" t="inlineStr" s="2909">
        <is>
          <t>00000000</t>
        </is>
      </c>
      <c r="AH555" t="n" s="2909">
        <v>20</v>
      </c>
      <c r="AJ555" t="n" s="2909">
        <v>10</v>
      </c>
      <c r="AP555" t="n" s="2909">
        <v>440000</v>
      </c>
      <c r="DB555" s="2909" t="str">
        <f>IF($A555="","",IF($AH555=20,IF(AND(OR($A555=21,$A555=215),$AJ555=10),"①病院一般",IF(AND($A555=31,$AJ555=41),"②病院短期","対象外")),IF($AJ555=30,"③特定消防",IF(AND(OR($A555=21,$A555=215),$AJ555=10),"④一般",IF(AND($A555=31,$AJ555=41),"⑤短期","対象外")))))</f>
        <v>①病院一般</v>
      </c>
      <c r="DC555" s="2909">
        <f>IF($A555="","",IF($AB555&amp;""='DB_設定'!$C$4,1,0))</f>
        <v>1</v>
      </c>
    </row>
    <row r="556">
      <c r="A556" t="n" s="2909">
        <v>21</v>
      </c>
      <c r="AA556" t="n" s="2909">
        <v>21</v>
      </c>
      <c r="AB556" t="inlineStr" s="2909">
        <is>
          <t>20250401</t>
        </is>
      </c>
      <c r="AD556" t="n" s="2909">
        <v>0</v>
      </c>
      <c r="AE556" t="inlineStr" s="2909">
        <is>
          <t>00000000</t>
        </is>
      </c>
      <c r="AH556" t="n" s="2909">
        <v>20</v>
      </c>
      <c r="AJ556" t="n" s="2909">
        <v>10</v>
      </c>
      <c r="AP556" t="n" s="2909">
        <v>240000</v>
      </c>
      <c r="DB556" s="2909" t="str">
        <f>IF($A556="","",IF($AH556=20,IF(AND(OR($A556=21,$A556=215),$AJ556=10),"①病院一般",IF(AND($A556=31,$AJ556=41),"②病院短期","対象外")),IF($AJ556=30,"③特定消防",IF(AND(OR($A556=21,$A556=215),$AJ556=10),"④一般",IF(AND($A556=31,$AJ556=41),"⑤短期","対象外")))))</f>
        <v>①病院一般</v>
      </c>
      <c r="DC556" s="2909">
        <f>IF($A556="","",IF($AB556&amp;""='DB_設定'!$C$4,1,0))</f>
        <v>1</v>
      </c>
    </row>
    <row r="557">
      <c r="A557" t="n" s="2909">
        <v>21</v>
      </c>
      <c r="AA557" t="n" s="2909">
        <v>21</v>
      </c>
      <c r="AB557" t="inlineStr" s="2909">
        <is>
          <t>20250401</t>
        </is>
      </c>
      <c r="AD557" t="n" s="2909">
        <v>0</v>
      </c>
      <c r="AE557" t="inlineStr" s="2909">
        <is>
          <t>00000000</t>
        </is>
      </c>
      <c r="AH557" t="n" s="2909">
        <v>20</v>
      </c>
      <c r="AJ557" t="n" s="2909">
        <v>10</v>
      </c>
      <c r="AP557" t="n" s="2909">
        <v>280000</v>
      </c>
      <c r="DB557" s="2909" t="str">
        <f>IF($A557="","",IF($AH557=20,IF(AND(OR($A557=21,$A557=215),$AJ557=10),"①病院一般",IF(AND($A557=31,$AJ557=41),"②病院短期","対象外")),IF($AJ557=30,"③特定消防",IF(AND(OR($A557=21,$A557=215),$AJ557=10),"④一般",IF(AND($A557=31,$AJ557=41),"⑤短期","対象外")))))</f>
        <v>①病院一般</v>
      </c>
      <c r="DC557" s="2909">
        <f>IF($A557="","",IF($AB557&amp;""='DB_設定'!$C$4,1,0))</f>
        <v>1</v>
      </c>
    </row>
    <row r="558">
      <c r="A558" t="n" s="2909">
        <v>21</v>
      </c>
      <c r="AA558" t="n" s="2909">
        <v>21</v>
      </c>
      <c r="AB558" t="inlineStr" s="2909">
        <is>
          <t>20250401</t>
        </is>
      </c>
      <c r="AD558" t="n" s="2909">
        <v>0</v>
      </c>
      <c r="AE558" t="inlineStr" s="2909">
        <is>
          <t>00000000</t>
        </is>
      </c>
      <c r="AH558" t="n" s="2909">
        <v>20</v>
      </c>
      <c r="AJ558" t="n" s="2909">
        <v>10</v>
      </c>
      <c r="AP558" t="n" s="2909">
        <v>280000</v>
      </c>
      <c r="DB558" s="2909" t="str">
        <f>IF($A558="","",IF($AH558=20,IF(AND(OR($A558=21,$A558=215),$AJ558=10),"①病院一般",IF(AND($A558=31,$AJ558=41),"②病院短期","対象外")),IF($AJ558=30,"③特定消防",IF(AND(OR($A558=21,$A558=215),$AJ558=10),"④一般",IF(AND($A558=31,$AJ558=41),"⑤短期","対象外")))))</f>
        <v>①病院一般</v>
      </c>
      <c r="DC558" s="2909">
        <f>IF($A558="","",IF($AB558&amp;""='DB_設定'!$C$4,1,0))</f>
        <v>1</v>
      </c>
    </row>
    <row r="559">
      <c r="A559" t="n" s="2909">
        <v>21</v>
      </c>
      <c r="AA559" t="n" s="2909">
        <v>21</v>
      </c>
      <c r="AB559" t="inlineStr" s="2909">
        <is>
          <t>20250401</t>
        </is>
      </c>
      <c r="AD559" t="n" s="2909">
        <v>0</v>
      </c>
      <c r="AE559" t="inlineStr" s="2909">
        <is>
          <t>00000000</t>
        </is>
      </c>
      <c r="AH559" t="n" s="2909">
        <v>20</v>
      </c>
      <c r="AJ559" t="n" s="2909">
        <v>10</v>
      </c>
      <c r="AP559" t="n" s="2909">
        <v>320000</v>
      </c>
      <c r="DB559" s="2909" t="str">
        <f>IF($A559="","",IF($AH559=20,IF(AND(OR($A559=21,$A559=215),$AJ559=10),"①病院一般",IF(AND($A559=31,$AJ559=41),"②病院短期","対象外")),IF($AJ559=30,"③特定消防",IF(AND(OR($A559=21,$A559=215),$AJ559=10),"④一般",IF(AND($A559=31,$AJ559=41),"⑤短期","対象外")))))</f>
        <v>①病院一般</v>
      </c>
      <c r="DC559" s="2909">
        <f>IF($A559="","",IF($AB559&amp;""='DB_設定'!$C$4,1,0))</f>
        <v>1</v>
      </c>
    </row>
    <row r="560">
      <c r="A560" t="n" s="2909">
        <v>21</v>
      </c>
      <c r="AA560" t="n" s="2909">
        <v>21</v>
      </c>
      <c r="AB560" t="inlineStr" s="2909">
        <is>
          <t>20250401</t>
        </is>
      </c>
      <c r="AD560" t="n" s="2909">
        <v>0</v>
      </c>
      <c r="AE560" t="inlineStr" s="2909">
        <is>
          <t>00000000</t>
        </is>
      </c>
      <c r="AH560" t="n" s="2909">
        <v>20</v>
      </c>
      <c r="AJ560" t="n" s="2909">
        <v>10</v>
      </c>
      <c r="AP560" t="n" s="2909">
        <v>320000</v>
      </c>
      <c r="DB560" s="2909" t="str">
        <f>IF($A560="","",IF($AH560=20,IF(AND(OR($A560=21,$A560=215),$AJ560=10),"①病院一般",IF(AND($A560=31,$AJ560=41),"②病院短期","対象外")),IF($AJ560=30,"③特定消防",IF(AND(OR($A560=21,$A560=215),$AJ560=10),"④一般",IF(AND($A560=31,$AJ560=41),"⑤短期","対象外")))))</f>
        <v>①病院一般</v>
      </c>
      <c r="DC560" s="2909">
        <f>IF($A560="","",IF($AB560&amp;""='DB_設定'!$C$4,1,0))</f>
        <v>1</v>
      </c>
    </row>
    <row r="561">
      <c r="A561" t="n" s="2909">
        <v>21</v>
      </c>
      <c r="AA561" t="n" s="2909">
        <v>21</v>
      </c>
      <c r="AB561" t="inlineStr" s="2909">
        <is>
          <t>20250401</t>
        </is>
      </c>
      <c r="AD561" t="n" s="2909">
        <v>0</v>
      </c>
      <c r="AE561" t="inlineStr" s="2909">
        <is>
          <t>00000000</t>
        </is>
      </c>
      <c r="AH561" t="n" s="2909">
        <v>20</v>
      </c>
      <c r="AJ561" t="n" s="2909">
        <v>10</v>
      </c>
      <c r="AP561" t="n" s="2909">
        <v>280000</v>
      </c>
      <c r="DB561" s="2909" t="str">
        <f>IF($A561="","",IF($AH561=20,IF(AND(OR($A561=21,$A561=215),$AJ561=10),"①病院一般",IF(AND($A561=31,$AJ561=41),"②病院短期","対象外")),IF($AJ561=30,"③特定消防",IF(AND(OR($A561=21,$A561=215),$AJ561=10),"④一般",IF(AND($A561=31,$AJ561=41),"⑤短期","対象外")))))</f>
        <v>①病院一般</v>
      </c>
      <c r="DC561" s="2909">
        <f>IF($A561="","",IF($AB561&amp;""='DB_設定'!$C$4,1,0))</f>
        <v>1</v>
      </c>
    </row>
    <row r="562">
      <c r="A562" t="n" s="2909">
        <v>21</v>
      </c>
      <c r="AA562" t="n" s="2909">
        <v>21</v>
      </c>
      <c r="AB562" t="inlineStr" s="2909">
        <is>
          <t>20250401</t>
        </is>
      </c>
      <c r="AD562" t="n" s="2909">
        <v>0</v>
      </c>
      <c r="AE562" t="inlineStr" s="2909">
        <is>
          <t>00000000</t>
        </is>
      </c>
      <c r="AH562" t="n" s="2909">
        <v>20</v>
      </c>
      <c r="AJ562" t="n" s="2909">
        <v>10</v>
      </c>
      <c r="AP562" t="n" s="2909">
        <v>340000</v>
      </c>
      <c r="DB562" s="2909" t="str">
        <f>IF($A562="","",IF($AH562=20,IF(AND(OR($A562=21,$A562=215),$AJ562=10),"①病院一般",IF(AND($A562=31,$AJ562=41),"②病院短期","対象外")),IF($AJ562=30,"③特定消防",IF(AND(OR($A562=21,$A562=215),$AJ562=10),"④一般",IF(AND($A562=31,$AJ562=41),"⑤短期","対象外")))))</f>
        <v>①病院一般</v>
      </c>
      <c r="DC562" s="2909">
        <f>IF($A562="","",IF($AB562&amp;""='DB_設定'!$C$4,1,0))</f>
        <v>1</v>
      </c>
    </row>
    <row r="563">
      <c r="A563" t="n" s="2909">
        <v>21</v>
      </c>
      <c r="AA563" t="n" s="2909">
        <v>21</v>
      </c>
      <c r="AB563" t="inlineStr" s="2909">
        <is>
          <t>20250401</t>
        </is>
      </c>
      <c r="AD563" t="n" s="2909">
        <v>0</v>
      </c>
      <c r="AE563" t="inlineStr" s="2909">
        <is>
          <t>00000000</t>
        </is>
      </c>
      <c r="AH563" t="n" s="2909">
        <v>20</v>
      </c>
      <c r="AJ563" t="n" s="2909">
        <v>10</v>
      </c>
      <c r="AP563" t="n" s="2909">
        <v>1150000</v>
      </c>
      <c r="DB563" s="2909" t="str">
        <f>IF($A563="","",IF($AH563=20,IF(AND(OR($A563=21,$A563=215),$AJ563=10),"①病院一般",IF(AND($A563=31,$AJ563=41),"②病院短期","対象外")),IF($AJ563=30,"③特定消防",IF(AND(OR($A563=21,$A563=215),$AJ563=10),"④一般",IF(AND($A563=31,$AJ563=41),"⑤短期","対象外")))))</f>
        <v>①病院一般</v>
      </c>
      <c r="DC563" s="2909">
        <f>IF($A563="","",IF($AB563&amp;""='DB_設定'!$C$4,1,0))</f>
        <v>1</v>
      </c>
    </row>
    <row r="564">
      <c r="A564" t="n" s="2909">
        <v>21</v>
      </c>
      <c r="AA564" t="n" s="2909">
        <v>21</v>
      </c>
      <c r="AB564" t="inlineStr" s="2909">
        <is>
          <t>20250401</t>
        </is>
      </c>
      <c r="AD564" t="n" s="2909">
        <v>0</v>
      </c>
      <c r="AE564" t="inlineStr" s="2909">
        <is>
          <t>00000000</t>
        </is>
      </c>
      <c r="AH564" t="n" s="2909">
        <v>20</v>
      </c>
      <c r="AJ564" t="n" s="2909">
        <v>10</v>
      </c>
      <c r="AP564" t="n" s="2909">
        <v>930000</v>
      </c>
      <c r="DB564" s="2909" t="str">
        <f>IF($A564="","",IF($AH564=20,IF(AND(OR($A564=21,$A564=215),$AJ564=10),"①病院一般",IF(AND($A564=31,$AJ564=41),"②病院短期","対象外")),IF($AJ564=30,"③特定消防",IF(AND(OR($A564=21,$A564=215),$AJ564=10),"④一般",IF(AND($A564=31,$AJ564=41),"⑤短期","対象外")))))</f>
        <v>①病院一般</v>
      </c>
      <c r="DC564" s="2909">
        <f>IF($A564="","",IF($AB564&amp;""='DB_設定'!$C$4,1,0))</f>
        <v>1</v>
      </c>
    </row>
    <row r="565">
      <c r="A565" t="n" s="2909">
        <v>21</v>
      </c>
      <c r="AA565" t="n" s="2909">
        <v>21</v>
      </c>
      <c r="AB565" t="inlineStr" s="2909">
        <is>
          <t>20250401</t>
        </is>
      </c>
      <c r="AD565" t="n" s="2909">
        <v>0</v>
      </c>
      <c r="AE565" t="inlineStr" s="2909">
        <is>
          <t>00000000</t>
        </is>
      </c>
      <c r="AH565" t="n" s="2909">
        <v>20</v>
      </c>
      <c r="AJ565" t="n" s="2909">
        <v>10</v>
      </c>
      <c r="AP565" t="n" s="2909">
        <v>1030000</v>
      </c>
      <c r="DB565" s="2909" t="str">
        <f>IF($A565="","",IF($AH565=20,IF(AND(OR($A565=21,$A565=215),$AJ565=10),"①病院一般",IF(AND($A565=31,$AJ565=41),"②病院短期","対象外")),IF($AJ565=30,"③特定消防",IF(AND(OR($A565=21,$A565=215),$AJ565=10),"④一般",IF(AND($A565=31,$AJ565=41),"⑤短期","対象外")))))</f>
        <v>①病院一般</v>
      </c>
      <c r="DC565" s="2909">
        <f>IF($A565="","",IF($AB565&amp;""='DB_設定'!$C$4,1,0))</f>
        <v>1</v>
      </c>
    </row>
    <row r="566">
      <c r="A566" t="n" s="2909">
        <v>21</v>
      </c>
      <c r="AA566" t="n" s="2909">
        <v>21</v>
      </c>
      <c r="AB566" t="inlineStr" s="2909">
        <is>
          <t>20250401</t>
        </is>
      </c>
      <c r="AD566" t="n" s="2909">
        <v>0</v>
      </c>
      <c r="AE566" t="inlineStr" s="2909">
        <is>
          <t>00000000</t>
        </is>
      </c>
      <c r="AH566" t="n" s="2909">
        <v>20</v>
      </c>
      <c r="AJ566" t="n" s="2909">
        <v>10</v>
      </c>
      <c r="AP566" t="n" s="2909">
        <v>830000</v>
      </c>
      <c r="DB566" s="2909" t="str">
        <f>IF($A566="","",IF($AH566=20,IF(AND(OR($A566=21,$A566=215),$AJ566=10),"①病院一般",IF(AND($A566=31,$AJ566=41),"②病院短期","対象外")),IF($AJ566=30,"③特定消防",IF(AND(OR($A566=21,$A566=215),$AJ566=10),"④一般",IF(AND($A566=31,$AJ566=41),"⑤短期","対象外")))))</f>
        <v>①病院一般</v>
      </c>
      <c r="DC566" s="2909">
        <f>IF($A566="","",IF($AB566&amp;""='DB_設定'!$C$4,1,0))</f>
        <v>1</v>
      </c>
    </row>
    <row r="567">
      <c r="A567" t="n" s="2909">
        <v>21</v>
      </c>
      <c r="AA567" t="n" s="2909">
        <v>21</v>
      </c>
      <c r="AB567" t="inlineStr" s="2909">
        <is>
          <t>20250401</t>
        </is>
      </c>
      <c r="AD567" t="n" s="2909">
        <v>0</v>
      </c>
      <c r="AE567" t="inlineStr" s="2909">
        <is>
          <t>00000000</t>
        </is>
      </c>
      <c r="AH567" t="n" s="2909">
        <v>20</v>
      </c>
      <c r="AJ567" t="n" s="2909">
        <v>10</v>
      </c>
      <c r="AP567" t="n" s="2909">
        <v>1210000</v>
      </c>
      <c r="DB567" s="2909" t="str">
        <f>IF($A567="","",IF($AH567=20,IF(AND(OR($A567=21,$A567=215),$AJ567=10),"①病院一般",IF(AND($A567=31,$AJ567=41),"②病院短期","対象外")),IF($AJ567=30,"③特定消防",IF(AND(OR($A567=21,$A567=215),$AJ567=10),"④一般",IF(AND($A567=31,$AJ567=41),"⑤短期","対象外")))))</f>
        <v>①病院一般</v>
      </c>
      <c r="DC567" s="2909">
        <f>IF($A567="","",IF($AB567&amp;""='DB_設定'!$C$4,1,0))</f>
        <v>1</v>
      </c>
    </row>
    <row r="568">
      <c r="A568" t="n" s="2909">
        <v>21</v>
      </c>
      <c r="AA568" t="n" s="2909">
        <v>21</v>
      </c>
      <c r="AB568" t="inlineStr" s="2909">
        <is>
          <t>20250401</t>
        </is>
      </c>
      <c r="AD568" t="n" s="2909">
        <v>0</v>
      </c>
      <c r="AE568" t="inlineStr" s="2909">
        <is>
          <t>00000000</t>
        </is>
      </c>
      <c r="AH568" t="n" s="2909">
        <v>20</v>
      </c>
      <c r="AJ568" t="n" s="2909">
        <v>10</v>
      </c>
      <c r="AP568" t="n" s="2909">
        <v>930000</v>
      </c>
      <c r="DB568" s="2909" t="str">
        <f>IF($A568="","",IF($AH568=20,IF(AND(OR($A568=21,$A568=215),$AJ568=10),"①病院一般",IF(AND($A568=31,$AJ568=41),"②病院短期","対象外")),IF($AJ568=30,"③特定消防",IF(AND(OR($A568=21,$A568=215),$AJ568=10),"④一般",IF(AND($A568=31,$AJ568=41),"⑤短期","対象外")))))</f>
        <v>①病院一般</v>
      </c>
      <c r="DC568" s="2909">
        <f>IF($A568="","",IF($AB568&amp;""='DB_設定'!$C$4,1,0))</f>
        <v>1</v>
      </c>
    </row>
    <row r="569">
      <c r="A569" t="n" s="2909">
        <v>21</v>
      </c>
      <c r="AA569" t="n" s="2909">
        <v>21</v>
      </c>
      <c r="AB569" t="inlineStr" s="2909">
        <is>
          <t>20250401</t>
        </is>
      </c>
      <c r="AD569" t="n" s="2909">
        <v>0</v>
      </c>
      <c r="AE569" t="inlineStr" s="2909">
        <is>
          <t>00000000</t>
        </is>
      </c>
      <c r="AH569" t="n" s="2909">
        <v>20</v>
      </c>
      <c r="AJ569" t="n" s="2909">
        <v>10</v>
      </c>
      <c r="AP569" t="n" s="2909">
        <v>1330000</v>
      </c>
      <c r="DB569" s="2909" t="str">
        <f>IF($A569="","",IF($AH569=20,IF(AND(OR($A569=21,$A569=215),$AJ569=10),"①病院一般",IF(AND($A569=31,$AJ569=41),"②病院短期","対象外")),IF($AJ569=30,"③特定消防",IF(AND(OR($A569=21,$A569=215),$AJ569=10),"④一般",IF(AND($A569=31,$AJ569=41),"⑤短期","対象外")))))</f>
        <v>①病院一般</v>
      </c>
      <c r="DC569" s="2909">
        <f>IF($A569="","",IF($AB569&amp;""='DB_設定'!$C$4,1,0))</f>
        <v>1</v>
      </c>
    </row>
    <row r="570">
      <c r="A570" t="n" s="2909">
        <v>21</v>
      </c>
      <c r="AA570" t="n" s="2909">
        <v>21</v>
      </c>
      <c r="AB570" t="inlineStr" s="2909">
        <is>
          <t>20250401</t>
        </is>
      </c>
      <c r="AD570" t="n" s="2909">
        <v>0</v>
      </c>
      <c r="AE570" t="inlineStr" s="2909">
        <is>
          <t>00000000</t>
        </is>
      </c>
      <c r="AH570" t="n" s="2909">
        <v>20</v>
      </c>
      <c r="AJ570" t="n" s="2909">
        <v>10</v>
      </c>
      <c r="AP570" t="n" s="2909">
        <v>930000</v>
      </c>
      <c r="DB570" s="2909" t="str">
        <f>IF($A570="","",IF($AH570=20,IF(AND(OR($A570=21,$A570=215),$AJ570=10),"①病院一般",IF(AND($A570=31,$AJ570=41),"②病院短期","対象外")),IF($AJ570=30,"③特定消防",IF(AND(OR($A570=21,$A570=215),$AJ570=10),"④一般",IF(AND($A570=31,$AJ570=41),"⑤短期","対象外")))))</f>
        <v>①病院一般</v>
      </c>
      <c r="DC570" s="2909">
        <f>IF($A570="","",IF($AB570&amp;""='DB_設定'!$C$4,1,0))</f>
        <v>1</v>
      </c>
    </row>
    <row r="571">
      <c r="A571" t="n" s="2909">
        <v>21</v>
      </c>
      <c r="AA571" t="n" s="2909">
        <v>21</v>
      </c>
      <c r="AB571" t="inlineStr" s="2909">
        <is>
          <t>20250401</t>
        </is>
      </c>
      <c r="AD571" t="n" s="2909">
        <v>0</v>
      </c>
      <c r="AE571" t="inlineStr" s="2909">
        <is>
          <t>00000000</t>
        </is>
      </c>
      <c r="AH571" t="n" s="2909">
        <v>20</v>
      </c>
      <c r="AJ571" t="n" s="2909">
        <v>10</v>
      </c>
      <c r="AP571" t="n" s="2909">
        <v>1030000</v>
      </c>
      <c r="DB571" s="2909" t="str">
        <f>IF($A571="","",IF($AH571=20,IF(AND(OR($A571=21,$A571=215),$AJ571=10),"①病院一般",IF(AND($A571=31,$AJ571=41),"②病院短期","対象外")),IF($AJ571=30,"③特定消防",IF(AND(OR($A571=21,$A571=215),$AJ571=10),"④一般",IF(AND($A571=31,$AJ571=41),"⑤短期","対象外")))))</f>
        <v>①病院一般</v>
      </c>
      <c r="DC571" s="2909">
        <f>IF($A571="","",IF($AB571&amp;""='DB_設定'!$C$4,1,0))</f>
        <v>1</v>
      </c>
    </row>
    <row r="572">
      <c r="A572" t="n" s="2909">
        <v>21</v>
      </c>
      <c r="AA572" t="n" s="2909">
        <v>21</v>
      </c>
      <c r="AB572" t="inlineStr" s="2909">
        <is>
          <t>20250401</t>
        </is>
      </c>
      <c r="AD572" t="n" s="2909">
        <v>0</v>
      </c>
      <c r="AE572" t="inlineStr" s="2909">
        <is>
          <t>00000000</t>
        </is>
      </c>
      <c r="AH572" t="n" s="2909">
        <v>20</v>
      </c>
      <c r="AJ572" t="n" s="2909">
        <v>10</v>
      </c>
      <c r="AP572" t="n" s="2909">
        <v>1270000</v>
      </c>
      <c r="DB572" s="2909" t="str">
        <f>IF($A572="","",IF($AH572=20,IF(AND(OR($A572=21,$A572=215),$AJ572=10),"①病院一般",IF(AND($A572=31,$AJ572=41),"②病院短期","対象外")),IF($AJ572=30,"③特定消防",IF(AND(OR($A572=21,$A572=215),$AJ572=10),"④一般",IF(AND($A572=31,$AJ572=41),"⑤短期","対象外")))))</f>
        <v>①病院一般</v>
      </c>
      <c r="DC572" s="2909">
        <f>IF($A572="","",IF($AB572&amp;""='DB_設定'!$C$4,1,0))</f>
        <v>1</v>
      </c>
    </row>
    <row r="573">
      <c r="A573" t="n" s="2909">
        <v>21</v>
      </c>
      <c r="AA573" t="n" s="2909">
        <v>21</v>
      </c>
      <c r="AB573" t="inlineStr" s="2909">
        <is>
          <t>20250401</t>
        </is>
      </c>
      <c r="AD573" t="n" s="2909">
        <v>0</v>
      </c>
      <c r="AE573" t="inlineStr" s="2909">
        <is>
          <t>00000000</t>
        </is>
      </c>
      <c r="AH573" t="n" s="2909">
        <v>20</v>
      </c>
      <c r="AJ573" t="n" s="2909">
        <v>10</v>
      </c>
      <c r="AP573" t="n" s="2909">
        <v>980000</v>
      </c>
      <c r="DB573" s="2909" t="str">
        <f>IF($A573="","",IF($AH573=20,IF(AND(OR($A573=21,$A573=215),$AJ573=10),"①病院一般",IF(AND($A573=31,$AJ573=41),"②病院短期","対象外")),IF($AJ573=30,"③特定消防",IF(AND(OR($A573=21,$A573=215),$AJ573=10),"④一般",IF(AND($A573=31,$AJ573=41),"⑤短期","対象外")))))</f>
        <v>①病院一般</v>
      </c>
      <c r="DC573" s="2909">
        <f>IF($A573="","",IF($AB573&amp;""='DB_設定'!$C$4,1,0))</f>
        <v>1</v>
      </c>
    </row>
    <row r="574">
      <c r="A574" t="n" s="2909">
        <v>21</v>
      </c>
      <c r="AA574" t="n" s="2909">
        <v>21</v>
      </c>
      <c r="AB574" t="inlineStr" s="2909">
        <is>
          <t>20250401</t>
        </is>
      </c>
      <c r="AD574" t="n" s="2909">
        <v>0</v>
      </c>
      <c r="AE574" t="inlineStr" s="2909">
        <is>
          <t>00000000</t>
        </is>
      </c>
      <c r="AH574" t="n" s="2909">
        <v>20</v>
      </c>
      <c r="AJ574" t="n" s="2909">
        <v>10</v>
      </c>
      <c r="AP574" t="n" s="2909">
        <v>1150000</v>
      </c>
      <c r="DB574" s="2909" t="str">
        <f>IF($A574="","",IF($AH574=20,IF(AND(OR($A574=21,$A574=215),$AJ574=10),"①病院一般",IF(AND($A574=31,$AJ574=41),"②病院短期","対象外")),IF($AJ574=30,"③特定消防",IF(AND(OR($A574=21,$A574=215),$AJ574=10),"④一般",IF(AND($A574=31,$AJ574=41),"⑤短期","対象外")))))</f>
        <v>①病院一般</v>
      </c>
      <c r="DC574" s="2909">
        <f>IF($A574="","",IF($AB574&amp;""='DB_設定'!$C$4,1,0))</f>
        <v>1</v>
      </c>
    </row>
    <row r="575">
      <c r="A575" t="n" s="2909">
        <v>21</v>
      </c>
      <c r="AA575" t="n" s="2909">
        <v>21</v>
      </c>
      <c r="AB575" t="inlineStr" s="2909">
        <is>
          <t>20250401</t>
        </is>
      </c>
      <c r="AD575" t="n" s="2909">
        <v>0</v>
      </c>
      <c r="AE575" t="inlineStr" s="2909">
        <is>
          <t>00000000</t>
        </is>
      </c>
      <c r="AH575" t="n" s="2909">
        <v>20</v>
      </c>
      <c r="AJ575" t="n" s="2909">
        <v>10</v>
      </c>
      <c r="AP575" t="n" s="2909">
        <v>980000</v>
      </c>
      <c r="DB575" s="2909" t="str">
        <f>IF($A575="","",IF($AH575=20,IF(AND(OR($A575=21,$A575=215),$AJ575=10),"①病院一般",IF(AND($A575=31,$AJ575=41),"②病院短期","対象外")),IF($AJ575=30,"③特定消防",IF(AND(OR($A575=21,$A575=215),$AJ575=10),"④一般",IF(AND($A575=31,$AJ575=41),"⑤短期","対象外")))))</f>
        <v>①病院一般</v>
      </c>
      <c r="DC575" s="2909">
        <f>IF($A575="","",IF($AB575&amp;""='DB_設定'!$C$4,1,0))</f>
        <v>1</v>
      </c>
    </row>
    <row r="576">
      <c r="A576" t="n" s="2909">
        <v>21</v>
      </c>
      <c r="AA576" t="n" s="2909">
        <v>21</v>
      </c>
      <c r="AB576" t="inlineStr" s="2909">
        <is>
          <t>20250401</t>
        </is>
      </c>
      <c r="AD576" t="n" s="2909">
        <v>0</v>
      </c>
      <c r="AE576" t="inlineStr" s="2909">
        <is>
          <t>00000000</t>
        </is>
      </c>
      <c r="AH576" t="n" s="2909">
        <v>20</v>
      </c>
      <c r="AJ576" t="n" s="2909">
        <v>10</v>
      </c>
      <c r="AP576" t="n" s="2909">
        <v>880000</v>
      </c>
      <c r="DB576" s="2909" t="str">
        <f>IF($A576="","",IF($AH576=20,IF(AND(OR($A576=21,$A576=215),$AJ576=10),"①病院一般",IF(AND($A576=31,$AJ576=41),"②病院短期","対象外")),IF($AJ576=30,"③特定消防",IF(AND(OR($A576=21,$A576=215),$AJ576=10),"④一般",IF(AND($A576=31,$AJ576=41),"⑤短期","対象外")))))</f>
        <v>①病院一般</v>
      </c>
      <c r="DC576" s="2909">
        <f>IF($A576="","",IF($AB576&amp;""='DB_設定'!$C$4,1,0))</f>
        <v>1</v>
      </c>
    </row>
    <row r="577">
      <c r="A577" t="n" s="2909">
        <v>21</v>
      </c>
      <c r="AA577" t="n" s="2909">
        <v>21</v>
      </c>
      <c r="AB577" t="inlineStr" s="2909">
        <is>
          <t>20250401</t>
        </is>
      </c>
      <c r="AD577" t="n" s="2909">
        <v>0</v>
      </c>
      <c r="AE577" t="inlineStr" s="2909">
        <is>
          <t>00000000</t>
        </is>
      </c>
      <c r="AH577" t="n" s="2909">
        <v>20</v>
      </c>
      <c r="AJ577" t="n" s="2909">
        <v>10</v>
      </c>
      <c r="AP577" t="n" s="2909">
        <v>880000</v>
      </c>
      <c r="DB577" s="2909" t="str">
        <f>IF($A577="","",IF($AH577=20,IF(AND(OR($A577=21,$A577=215),$AJ577=10),"①病院一般",IF(AND($A577=31,$AJ577=41),"②病院短期","対象外")),IF($AJ577=30,"③特定消防",IF(AND(OR($A577=21,$A577=215),$AJ577=10),"④一般",IF(AND($A577=31,$AJ577=41),"⑤短期","対象外")))))</f>
        <v>①病院一般</v>
      </c>
      <c r="DC577" s="2909">
        <f>IF($A577="","",IF($AB577&amp;""='DB_設定'!$C$4,1,0))</f>
        <v>1</v>
      </c>
    </row>
    <row r="578">
      <c r="A578" t="n" s="2909">
        <v>21</v>
      </c>
      <c r="AA578" t="n" s="2909">
        <v>21</v>
      </c>
      <c r="AB578" t="inlineStr" s="2909">
        <is>
          <t>20250401</t>
        </is>
      </c>
      <c r="AD578" t="n" s="2909">
        <v>0</v>
      </c>
      <c r="AE578" t="inlineStr" s="2909">
        <is>
          <t>00000000</t>
        </is>
      </c>
      <c r="AH578" t="n" s="2909">
        <v>20</v>
      </c>
      <c r="AJ578" t="n" s="2909">
        <v>10</v>
      </c>
      <c r="AP578" t="n" s="2909">
        <v>1150000</v>
      </c>
      <c r="DB578" s="2909" t="str">
        <f>IF($A578="","",IF($AH578=20,IF(AND(OR($A578=21,$A578=215),$AJ578=10),"①病院一般",IF(AND($A578=31,$AJ578=41),"②病院短期","対象外")),IF($AJ578=30,"③特定消防",IF(AND(OR($A578=21,$A578=215),$AJ578=10),"④一般",IF(AND($A578=31,$AJ578=41),"⑤短期","対象外")))))</f>
        <v>①病院一般</v>
      </c>
      <c r="DC578" s="2909">
        <f>IF($A578="","",IF($AB578&amp;""='DB_設定'!$C$4,1,0))</f>
        <v>1</v>
      </c>
    </row>
    <row r="579">
      <c r="A579" t="n" s="2909">
        <v>21</v>
      </c>
      <c r="AA579" t="n" s="2909">
        <v>21</v>
      </c>
      <c r="AB579" t="inlineStr" s="2909">
        <is>
          <t>20250401</t>
        </is>
      </c>
      <c r="AD579" t="n" s="2909">
        <v>0</v>
      </c>
      <c r="AE579" t="inlineStr" s="2909">
        <is>
          <t>00000000</t>
        </is>
      </c>
      <c r="AH579" t="n" s="2909">
        <v>20</v>
      </c>
      <c r="AJ579" t="n" s="2909">
        <v>10</v>
      </c>
      <c r="AP579" t="n" s="2909">
        <v>1210000</v>
      </c>
      <c r="DB579" s="2909" t="str">
        <f>IF($A579="","",IF($AH579=20,IF(AND(OR($A579=21,$A579=215),$AJ579=10),"①病院一般",IF(AND($A579=31,$AJ579=41),"②病院短期","対象外")),IF($AJ579=30,"③特定消防",IF(AND(OR($A579=21,$A579=215),$AJ579=10),"④一般",IF(AND($A579=31,$AJ579=41),"⑤短期","対象外")))))</f>
        <v>①病院一般</v>
      </c>
      <c r="DC579" s="2909">
        <f>IF($A579="","",IF($AB579&amp;""='DB_設定'!$C$4,1,0))</f>
        <v>1</v>
      </c>
    </row>
    <row r="580">
      <c r="A580" t="n" s="2909">
        <v>21</v>
      </c>
      <c r="AA580" t="n" s="2909">
        <v>21</v>
      </c>
      <c r="AB580" t="inlineStr" s="2909">
        <is>
          <t>20250401</t>
        </is>
      </c>
      <c r="AD580" t="n" s="2909">
        <v>0</v>
      </c>
      <c r="AE580" t="inlineStr" s="2909">
        <is>
          <t>00000000</t>
        </is>
      </c>
      <c r="AH580" t="n" s="2909">
        <v>20</v>
      </c>
      <c r="AJ580" t="n" s="2909">
        <v>10</v>
      </c>
      <c r="AP580" t="n" s="2909">
        <v>1150000</v>
      </c>
      <c r="DB580" s="2909" t="str">
        <f>IF($A580="","",IF($AH580=20,IF(AND(OR($A580=21,$A580=215),$AJ580=10),"①病院一般",IF(AND($A580=31,$AJ580=41),"②病院短期","対象外")),IF($AJ580=30,"③特定消防",IF(AND(OR($A580=21,$A580=215),$AJ580=10),"④一般",IF(AND($A580=31,$AJ580=41),"⑤短期","対象外")))))</f>
        <v>①病院一般</v>
      </c>
      <c r="DC580" s="2909">
        <f>IF($A580="","",IF($AB580&amp;""='DB_設定'!$C$4,1,0))</f>
        <v>1</v>
      </c>
    </row>
    <row r="581">
      <c r="A581" t="n" s="2909">
        <v>21</v>
      </c>
      <c r="AA581" t="n" s="2909">
        <v>21</v>
      </c>
      <c r="AB581" t="inlineStr" s="2909">
        <is>
          <t>20250401</t>
        </is>
      </c>
      <c r="AD581" t="n" s="2909">
        <v>0</v>
      </c>
      <c r="AE581" t="inlineStr" s="2909">
        <is>
          <t>00000000</t>
        </is>
      </c>
      <c r="AH581" t="n" s="2909">
        <v>20</v>
      </c>
      <c r="AJ581" t="n" s="2909">
        <v>10</v>
      </c>
      <c r="AP581" t="n" s="2909">
        <v>1150000</v>
      </c>
      <c r="DB581" s="2909" t="str">
        <f>IF($A581="","",IF($AH581=20,IF(AND(OR($A581=21,$A581=215),$AJ581=10),"①病院一般",IF(AND($A581=31,$AJ581=41),"②病院短期","対象外")),IF($AJ581=30,"③特定消防",IF(AND(OR($A581=21,$A581=215),$AJ581=10),"④一般",IF(AND($A581=31,$AJ581=41),"⑤短期","対象外")))))</f>
        <v>①病院一般</v>
      </c>
      <c r="DC581" s="2909">
        <f>IF($A581="","",IF($AB581&amp;""='DB_設定'!$C$4,1,0))</f>
        <v>1</v>
      </c>
    </row>
    <row r="582">
      <c r="A582" t="n" s="2909">
        <v>21</v>
      </c>
      <c r="AA582" t="n" s="2909">
        <v>21</v>
      </c>
      <c r="AB582" t="inlineStr" s="2909">
        <is>
          <t>20250401</t>
        </is>
      </c>
      <c r="AD582" t="n" s="2909">
        <v>0</v>
      </c>
      <c r="AE582" t="inlineStr" s="2909">
        <is>
          <t>00000000</t>
        </is>
      </c>
      <c r="AH582" t="n" s="2909">
        <v>20</v>
      </c>
      <c r="AJ582" t="n" s="2909">
        <v>10</v>
      </c>
      <c r="AP582" t="n" s="2909">
        <v>1150000</v>
      </c>
      <c r="DB582" s="2909" t="str">
        <f>IF($A582="","",IF($AH582=20,IF(AND(OR($A582=21,$A582=215),$AJ582=10),"①病院一般",IF(AND($A582=31,$AJ582=41),"②病院短期","対象外")),IF($AJ582=30,"③特定消防",IF(AND(OR($A582=21,$A582=215),$AJ582=10),"④一般",IF(AND($A582=31,$AJ582=41),"⑤短期","対象外")))))</f>
        <v>①病院一般</v>
      </c>
      <c r="DC582" s="2909">
        <f>IF($A582="","",IF($AB582&amp;""='DB_設定'!$C$4,1,0))</f>
        <v>1</v>
      </c>
    </row>
    <row r="583">
      <c r="A583" t="n" s="2909">
        <v>21</v>
      </c>
      <c r="AA583" t="n" s="2909">
        <v>21</v>
      </c>
      <c r="AB583" t="inlineStr" s="2909">
        <is>
          <t>20250401</t>
        </is>
      </c>
      <c r="AD583" t="n" s="2909">
        <v>0</v>
      </c>
      <c r="AE583" t="inlineStr" s="2909">
        <is>
          <t>00000000</t>
        </is>
      </c>
      <c r="AH583" t="n" s="2909">
        <v>20</v>
      </c>
      <c r="AJ583" t="n" s="2909">
        <v>10</v>
      </c>
      <c r="AP583" t="n" s="2909">
        <v>1030000</v>
      </c>
      <c r="DB583" s="2909" t="str">
        <f>IF($A583="","",IF($AH583=20,IF(AND(OR($A583=21,$A583=215),$AJ583=10),"①病院一般",IF(AND($A583=31,$AJ583=41),"②病院短期","対象外")),IF($AJ583=30,"③特定消防",IF(AND(OR($A583=21,$A583=215),$AJ583=10),"④一般",IF(AND($A583=31,$AJ583=41),"⑤短期","対象外")))))</f>
        <v>①病院一般</v>
      </c>
      <c r="DC583" s="2909">
        <f>IF($A583="","",IF($AB583&amp;""='DB_設定'!$C$4,1,0))</f>
        <v>1</v>
      </c>
    </row>
    <row r="584">
      <c r="A584" t="n" s="2909">
        <v>21</v>
      </c>
      <c r="AA584" t="n" s="2909">
        <v>21</v>
      </c>
      <c r="AB584" t="inlineStr" s="2909">
        <is>
          <t>20250401</t>
        </is>
      </c>
      <c r="AD584" t="n" s="2909">
        <v>0</v>
      </c>
      <c r="AE584" t="inlineStr" s="2909">
        <is>
          <t>00000000</t>
        </is>
      </c>
      <c r="AH584" t="n" s="2909">
        <v>20</v>
      </c>
      <c r="AJ584" t="n" s="2909">
        <v>10</v>
      </c>
      <c r="AP584" t="n" s="2909">
        <v>1150000</v>
      </c>
      <c r="DB584" s="2909" t="str">
        <f>IF($A584="","",IF($AH584=20,IF(AND(OR($A584=21,$A584=215),$AJ584=10),"①病院一般",IF(AND($A584=31,$AJ584=41),"②病院短期","対象外")),IF($AJ584=30,"③特定消防",IF(AND(OR($A584=21,$A584=215),$AJ584=10),"④一般",IF(AND($A584=31,$AJ584=41),"⑤短期","対象外")))))</f>
        <v>①病院一般</v>
      </c>
      <c r="DC584" s="2909">
        <f>IF($A584="","",IF($AB584&amp;""='DB_設定'!$C$4,1,0))</f>
        <v>1</v>
      </c>
    </row>
    <row r="585">
      <c r="A585" t="n" s="2909">
        <v>21</v>
      </c>
      <c r="AA585" t="n" s="2909">
        <v>21</v>
      </c>
      <c r="AB585" t="inlineStr" s="2909">
        <is>
          <t>20250401</t>
        </is>
      </c>
      <c r="AD585" t="n" s="2909">
        <v>0</v>
      </c>
      <c r="AE585" t="inlineStr" s="2909">
        <is>
          <t>00000000</t>
        </is>
      </c>
      <c r="AH585" t="n" s="2909">
        <v>20</v>
      </c>
      <c r="AJ585" t="n" s="2909">
        <v>10</v>
      </c>
      <c r="AP585" t="n" s="2909">
        <v>1270000</v>
      </c>
      <c r="DB585" s="2909" t="str">
        <f>IF($A585="","",IF($AH585=20,IF(AND(OR($A585=21,$A585=215),$AJ585=10),"①病院一般",IF(AND($A585=31,$AJ585=41),"②病院短期","対象外")),IF($AJ585=30,"③特定消防",IF(AND(OR($A585=21,$A585=215),$AJ585=10),"④一般",IF(AND($A585=31,$AJ585=41),"⑤短期","対象外")))))</f>
        <v>①病院一般</v>
      </c>
      <c r="DC585" s="2909">
        <f>IF($A585="","",IF($AB585&amp;""='DB_設定'!$C$4,1,0))</f>
        <v>1</v>
      </c>
    </row>
    <row r="586">
      <c r="A586" t="n" s="2909">
        <v>21</v>
      </c>
      <c r="AA586" t="n" s="2909">
        <v>21</v>
      </c>
      <c r="AB586" t="inlineStr" s="2909">
        <is>
          <t>20250401</t>
        </is>
      </c>
      <c r="AD586" t="n" s="2909">
        <v>0</v>
      </c>
      <c r="AE586" t="inlineStr" s="2909">
        <is>
          <t>00000000</t>
        </is>
      </c>
      <c r="AH586" t="n" s="2909">
        <v>20</v>
      </c>
      <c r="AJ586" t="n" s="2909">
        <v>10</v>
      </c>
      <c r="AP586" t="n" s="2909">
        <v>1270000</v>
      </c>
      <c r="DB586" s="2909" t="str">
        <f>IF($A586="","",IF($AH586=20,IF(AND(OR($A586=21,$A586=215),$AJ586=10),"①病院一般",IF(AND($A586=31,$AJ586=41),"②病院短期","対象外")),IF($AJ586=30,"③特定消防",IF(AND(OR($A586=21,$A586=215),$AJ586=10),"④一般",IF(AND($A586=31,$AJ586=41),"⑤短期","対象外")))))</f>
        <v>①病院一般</v>
      </c>
      <c r="DC586" s="2909">
        <f>IF($A586="","",IF($AB586&amp;""='DB_設定'!$C$4,1,0))</f>
        <v>1</v>
      </c>
    </row>
    <row r="587">
      <c r="A587" t="n" s="2909">
        <v>21</v>
      </c>
      <c r="AA587" t="n" s="2909">
        <v>21</v>
      </c>
      <c r="AB587" t="inlineStr" s="2909">
        <is>
          <t>20250401</t>
        </is>
      </c>
      <c r="AD587" t="n" s="2909">
        <v>0</v>
      </c>
      <c r="AE587" t="inlineStr" s="2909">
        <is>
          <t>00000000</t>
        </is>
      </c>
      <c r="AH587" t="n" s="2909">
        <v>20</v>
      </c>
      <c r="AJ587" t="n" s="2909">
        <v>10</v>
      </c>
      <c r="AP587" t="n" s="2909">
        <v>1390000</v>
      </c>
      <c r="DB587" s="2909" t="str">
        <f>IF($A587="","",IF($AH587=20,IF(AND(OR($A587=21,$A587=215),$AJ587=10),"①病院一般",IF(AND($A587=31,$AJ587=41),"②病院短期","対象外")),IF($AJ587=30,"③特定消防",IF(AND(OR($A587=21,$A587=215),$AJ587=10),"④一般",IF(AND($A587=31,$AJ587=41),"⑤短期","対象外")))))</f>
        <v>①病院一般</v>
      </c>
      <c r="DC587" s="2909">
        <f>IF($A587="","",IF($AB587&amp;""='DB_設定'!$C$4,1,0))</f>
        <v>1</v>
      </c>
    </row>
    <row r="588">
      <c r="A588" t="n" s="2909">
        <v>21</v>
      </c>
      <c r="AA588" t="n" s="2909">
        <v>21</v>
      </c>
      <c r="AB588" t="inlineStr" s="2909">
        <is>
          <t>20250401</t>
        </is>
      </c>
      <c r="AD588" t="n" s="2909">
        <v>0</v>
      </c>
      <c r="AE588" t="inlineStr" s="2909">
        <is>
          <t>00000000</t>
        </is>
      </c>
      <c r="AH588" t="n" s="2909">
        <v>20</v>
      </c>
      <c r="AJ588" t="n" s="2909">
        <v>10</v>
      </c>
      <c r="AP588" t="n" s="2909">
        <v>930000</v>
      </c>
      <c r="DB588" s="2909" t="str">
        <f>IF($A588="","",IF($AH588=20,IF(AND(OR($A588=21,$A588=215),$AJ588=10),"①病院一般",IF(AND($A588=31,$AJ588=41),"②病院短期","対象外")),IF($AJ588=30,"③特定消防",IF(AND(OR($A588=21,$A588=215),$AJ588=10),"④一般",IF(AND($A588=31,$AJ588=41),"⑤短期","対象外")))))</f>
        <v>①病院一般</v>
      </c>
      <c r="DC588" s="2909">
        <f>IF($A588="","",IF($AB588&amp;""='DB_設定'!$C$4,1,0))</f>
        <v>1</v>
      </c>
    </row>
    <row r="589">
      <c r="A589" t="n" s="2909">
        <v>21</v>
      </c>
      <c r="AA589" t="n" s="2909">
        <v>21</v>
      </c>
      <c r="AB589" t="inlineStr" s="2909">
        <is>
          <t>20250401</t>
        </is>
      </c>
      <c r="AD589" t="n" s="2909">
        <v>0</v>
      </c>
      <c r="AE589" t="inlineStr" s="2909">
        <is>
          <t>00000000</t>
        </is>
      </c>
      <c r="AH589" t="n" s="2909">
        <v>20</v>
      </c>
      <c r="AJ589" t="n" s="2909">
        <v>10</v>
      </c>
      <c r="AP589" t="n" s="2909">
        <v>880000</v>
      </c>
      <c r="DB589" s="2909" t="str">
        <f>IF($A589="","",IF($AH589=20,IF(AND(OR($A589=21,$A589=215),$AJ589=10),"①病院一般",IF(AND($A589=31,$AJ589=41),"②病院短期","対象外")),IF($AJ589=30,"③特定消防",IF(AND(OR($A589=21,$A589=215),$AJ589=10),"④一般",IF(AND($A589=31,$AJ589=41),"⑤短期","対象外")))))</f>
        <v>①病院一般</v>
      </c>
      <c r="DC589" s="2909">
        <f>IF($A589="","",IF($AB589&amp;""='DB_設定'!$C$4,1,0))</f>
        <v>1</v>
      </c>
    </row>
    <row r="590">
      <c r="A590" t="n" s="2909">
        <v>21</v>
      </c>
      <c r="AA590" t="n" s="2909">
        <v>21</v>
      </c>
      <c r="AB590" t="inlineStr" s="2909">
        <is>
          <t>20250401</t>
        </is>
      </c>
      <c r="AD590" t="n" s="2909">
        <v>0</v>
      </c>
      <c r="AE590" t="inlineStr" s="2909">
        <is>
          <t>00000000</t>
        </is>
      </c>
      <c r="AH590" t="n" s="2909">
        <v>20</v>
      </c>
      <c r="AJ590" t="n" s="2909">
        <v>10</v>
      </c>
      <c r="AP590" t="n" s="2909">
        <v>880000</v>
      </c>
      <c r="DB590" s="2909" t="str">
        <f>IF($A590="","",IF($AH590=20,IF(AND(OR($A590=21,$A590=215),$AJ590=10),"①病院一般",IF(AND($A590=31,$AJ590=41),"②病院短期","対象外")),IF($AJ590=30,"③特定消防",IF(AND(OR($A590=21,$A590=215),$AJ590=10),"④一般",IF(AND($A590=31,$AJ590=41),"⑤短期","対象外")))))</f>
        <v>①病院一般</v>
      </c>
      <c r="DC590" s="2909">
        <f>IF($A590="","",IF($AB590&amp;""='DB_設定'!$C$4,1,0))</f>
        <v>1</v>
      </c>
    </row>
    <row r="591">
      <c r="A591" t="n" s="2909">
        <v>21</v>
      </c>
      <c r="AA591" t="n" s="2909">
        <v>21</v>
      </c>
      <c r="AB591" t="inlineStr" s="2909">
        <is>
          <t>20250401</t>
        </is>
      </c>
      <c r="AD591" t="n" s="2909">
        <v>0</v>
      </c>
      <c r="AE591" t="inlineStr" s="2909">
        <is>
          <t>00000000</t>
        </is>
      </c>
      <c r="AH591" t="n" s="2909">
        <v>20</v>
      </c>
      <c r="AJ591" t="n" s="2909">
        <v>10</v>
      </c>
      <c r="AP591" t="n" s="2909">
        <v>790000</v>
      </c>
      <c r="DB591" s="2909" t="str">
        <f>IF($A591="","",IF($AH591=20,IF(AND(OR($A591=21,$A591=215),$AJ591=10),"①病院一般",IF(AND($A591=31,$AJ591=41),"②病院短期","対象外")),IF($AJ591=30,"③特定消防",IF(AND(OR($A591=21,$A591=215),$AJ591=10),"④一般",IF(AND($A591=31,$AJ591=41),"⑤短期","対象外")))))</f>
        <v>①病院一般</v>
      </c>
      <c r="DC591" s="2909">
        <f>IF($A591="","",IF($AB591&amp;""='DB_設定'!$C$4,1,0))</f>
        <v>1</v>
      </c>
    </row>
    <row r="592">
      <c r="A592" t="n" s="2909">
        <v>21</v>
      </c>
      <c r="AA592" t="n" s="2909">
        <v>21</v>
      </c>
      <c r="AB592" t="inlineStr" s="2909">
        <is>
          <t>20250401</t>
        </is>
      </c>
      <c r="AD592" t="n" s="2909">
        <v>0</v>
      </c>
      <c r="AE592" t="inlineStr" s="2909">
        <is>
          <t>00000000</t>
        </is>
      </c>
      <c r="AH592" t="n" s="2909">
        <v>20</v>
      </c>
      <c r="AJ592" t="n" s="2909">
        <v>10</v>
      </c>
      <c r="AP592" t="n" s="2909">
        <v>880000</v>
      </c>
      <c r="DB592" s="2909" t="str">
        <f>IF($A592="","",IF($AH592=20,IF(AND(OR($A592=21,$A592=215),$AJ592=10),"①病院一般",IF(AND($A592=31,$AJ592=41),"②病院短期","対象外")),IF($AJ592=30,"③特定消防",IF(AND(OR($A592=21,$A592=215),$AJ592=10),"④一般",IF(AND($A592=31,$AJ592=41),"⑤短期","対象外")))))</f>
        <v>①病院一般</v>
      </c>
      <c r="DC592" s="2909">
        <f>IF($A592="","",IF($AB592&amp;""='DB_設定'!$C$4,1,0))</f>
        <v>1</v>
      </c>
    </row>
    <row r="593">
      <c r="A593" t="n" s="2909">
        <v>21</v>
      </c>
      <c r="AA593" t="n" s="2909">
        <v>21</v>
      </c>
      <c r="AB593" t="inlineStr" s="2909">
        <is>
          <t>20250401</t>
        </is>
      </c>
      <c r="AD593" t="n" s="2909">
        <v>0</v>
      </c>
      <c r="AE593" t="inlineStr" s="2909">
        <is>
          <t>00000000</t>
        </is>
      </c>
      <c r="AH593" t="n" s="2909">
        <v>20</v>
      </c>
      <c r="AJ593" t="n" s="2909">
        <v>10</v>
      </c>
      <c r="AP593" t="n" s="2909">
        <v>240000</v>
      </c>
      <c r="DB593" s="2909" t="str">
        <f>IF($A593="","",IF($AH593=20,IF(AND(OR($A593=21,$A593=215),$AJ593=10),"①病院一般",IF(AND($A593=31,$AJ593=41),"②病院短期","対象外")),IF($AJ593=30,"③特定消防",IF(AND(OR($A593=21,$A593=215),$AJ593=10),"④一般",IF(AND($A593=31,$AJ593=41),"⑤短期","対象外")))))</f>
        <v>①病院一般</v>
      </c>
      <c r="DC593" s="2909">
        <f>IF($A593="","",IF($AB593&amp;""='DB_設定'!$C$4,1,0))</f>
        <v>1</v>
      </c>
    </row>
    <row r="594">
      <c r="A594" t="n" s="2909">
        <v>21</v>
      </c>
      <c r="AA594" t="n" s="2909">
        <v>21</v>
      </c>
      <c r="AB594" t="inlineStr" s="2909">
        <is>
          <t>20250401</t>
        </is>
      </c>
      <c r="AD594" t="n" s="2909">
        <v>0</v>
      </c>
      <c r="AE594" t="inlineStr" s="2909">
        <is>
          <t>00000000</t>
        </is>
      </c>
      <c r="AH594" t="n" s="2909">
        <v>20</v>
      </c>
      <c r="AJ594" t="n" s="2909">
        <v>10</v>
      </c>
      <c r="AP594" t="n" s="2909">
        <v>320000</v>
      </c>
      <c r="DB594" s="2909" t="str">
        <f>IF($A594="","",IF($AH594=20,IF(AND(OR($A594=21,$A594=215),$AJ594=10),"①病院一般",IF(AND($A594=31,$AJ594=41),"②病院短期","対象外")),IF($AJ594=30,"③特定消防",IF(AND(OR($A594=21,$A594=215),$AJ594=10),"④一般",IF(AND($A594=31,$AJ594=41),"⑤短期","対象外")))))</f>
        <v>①病院一般</v>
      </c>
      <c r="DC594" s="2909">
        <f>IF($A594="","",IF($AB594&amp;""='DB_設定'!$C$4,1,0))</f>
        <v>1</v>
      </c>
    </row>
    <row r="595">
      <c r="A595" t="n" s="2909">
        <v>21</v>
      </c>
      <c r="AA595" t="n" s="2909">
        <v>21</v>
      </c>
      <c r="AB595" t="inlineStr" s="2909">
        <is>
          <t>20250401</t>
        </is>
      </c>
      <c r="AD595" t="n" s="2909">
        <v>0</v>
      </c>
      <c r="AE595" t="inlineStr" s="2909">
        <is>
          <t>00000000</t>
        </is>
      </c>
      <c r="AH595" t="n" s="2909">
        <v>20</v>
      </c>
      <c r="AJ595" t="n" s="2909">
        <v>10</v>
      </c>
      <c r="AP595" t="n" s="2909">
        <v>300000</v>
      </c>
      <c r="DB595" s="2909" t="str">
        <f>IF($A595="","",IF($AH595=20,IF(AND(OR($A595=21,$A595=215),$AJ595=10),"①病院一般",IF(AND($A595=31,$AJ595=41),"②病院短期","対象外")),IF($AJ595=30,"③特定消防",IF(AND(OR($A595=21,$A595=215),$AJ595=10),"④一般",IF(AND($A595=31,$AJ595=41),"⑤短期","対象外")))))</f>
        <v>①病院一般</v>
      </c>
      <c r="DC595" s="2909">
        <f>IF($A595="","",IF($AB595&amp;""='DB_設定'!$C$4,1,0))</f>
        <v>1</v>
      </c>
    </row>
    <row r="596">
      <c r="A596" t="n" s="2909">
        <v>21</v>
      </c>
      <c r="AA596" t="n" s="2909">
        <v>21</v>
      </c>
      <c r="AB596" t="inlineStr" s="2909">
        <is>
          <t>20250401</t>
        </is>
      </c>
      <c r="AD596" t="n" s="2909">
        <v>0</v>
      </c>
      <c r="AE596" t="inlineStr" s="2909">
        <is>
          <t>00000000</t>
        </is>
      </c>
      <c r="AH596" t="n" s="2909">
        <v>20</v>
      </c>
      <c r="AJ596" t="n" s="2909">
        <v>10</v>
      </c>
      <c r="AP596" t="n" s="2909">
        <v>260000</v>
      </c>
      <c r="DB596" s="2909" t="str">
        <f>IF($A596="","",IF($AH596=20,IF(AND(OR($A596=21,$A596=215),$AJ596=10),"①病院一般",IF(AND($A596=31,$AJ596=41),"②病院短期","対象外")),IF($AJ596=30,"③特定消防",IF(AND(OR($A596=21,$A596=215),$AJ596=10),"④一般",IF(AND($A596=31,$AJ596=41),"⑤短期","対象外")))))</f>
        <v>①病院一般</v>
      </c>
      <c r="DC596" s="2909">
        <f>IF($A596="","",IF($AB596&amp;""='DB_設定'!$C$4,1,0))</f>
        <v>1</v>
      </c>
    </row>
    <row r="597">
      <c r="A597" t="n" s="2909">
        <v>21</v>
      </c>
      <c r="AA597" t="n" s="2909">
        <v>21</v>
      </c>
      <c r="AB597" t="inlineStr" s="2909">
        <is>
          <t>20250401</t>
        </is>
      </c>
      <c r="AD597" t="n" s="2909">
        <v>0</v>
      </c>
      <c r="AE597" t="inlineStr" s="2909">
        <is>
          <t>00000000</t>
        </is>
      </c>
      <c r="AH597" t="n" s="2909">
        <v>20</v>
      </c>
      <c r="AJ597" t="n" s="2909">
        <v>10</v>
      </c>
      <c r="AP597" t="n" s="2909">
        <v>240000</v>
      </c>
      <c r="DB597" s="2909" t="str">
        <f>IF($A597="","",IF($AH597=20,IF(AND(OR($A597=21,$A597=215),$AJ597=10),"①病院一般",IF(AND($A597=31,$AJ597=41),"②病院短期","対象外")),IF($AJ597=30,"③特定消防",IF(AND(OR($A597=21,$A597=215),$AJ597=10),"④一般",IF(AND($A597=31,$AJ597=41),"⑤短期","対象外")))))</f>
        <v>①病院一般</v>
      </c>
      <c r="DC597" s="2909">
        <f>IF($A597="","",IF($AB597&amp;""='DB_設定'!$C$4,1,0))</f>
        <v>1</v>
      </c>
    </row>
    <row r="598">
      <c r="A598" t="n" s="2909">
        <v>21</v>
      </c>
      <c r="AA598" t="n" s="2909">
        <v>21</v>
      </c>
      <c r="AB598" t="inlineStr" s="2909">
        <is>
          <t>20250401</t>
        </is>
      </c>
      <c r="AD598" t="n" s="2909">
        <v>0</v>
      </c>
      <c r="AE598" t="inlineStr" s="2909">
        <is>
          <t>00000000</t>
        </is>
      </c>
      <c r="AH598" t="n" s="2909">
        <v>20</v>
      </c>
      <c r="AJ598" t="n" s="2909">
        <v>10</v>
      </c>
      <c r="AP598" t="n" s="2909">
        <v>240000</v>
      </c>
      <c r="DB598" s="2909" t="str">
        <f>IF($A598="","",IF($AH598=20,IF(AND(OR($A598=21,$A598=215),$AJ598=10),"①病院一般",IF(AND($A598=31,$AJ598=41),"②病院短期","対象外")),IF($AJ598=30,"③特定消防",IF(AND(OR($A598=21,$A598=215),$AJ598=10),"④一般",IF(AND($A598=31,$AJ598=41),"⑤短期","対象外")))))</f>
        <v>①病院一般</v>
      </c>
      <c r="DC598" s="2909">
        <f>IF($A598="","",IF($AB598&amp;""='DB_設定'!$C$4,1,0))</f>
        <v>1</v>
      </c>
    </row>
    <row r="599">
      <c r="A599" t="n" s="2909">
        <v>21</v>
      </c>
      <c r="AA599" t="n" s="2909">
        <v>21</v>
      </c>
      <c r="AB599" t="inlineStr" s="2909">
        <is>
          <t>20250605</t>
        </is>
      </c>
      <c r="AD599" t="n" s="2909">
        <v>0</v>
      </c>
      <c r="AE599" t="inlineStr" s="2909">
        <is>
          <t>00000000</t>
        </is>
      </c>
      <c r="AH599" t="n" s="2909">
        <v>20</v>
      </c>
      <c r="AJ599" t="n" s="2909">
        <v>10</v>
      </c>
      <c r="AP599" t="n" s="2909">
        <v>380000</v>
      </c>
      <c r="DB599" s="2909" t="str">
        <f>IF($A599="","",IF($AH599=20,IF(AND(OR($A599=21,$A599=215),$AJ599=10),"①病院一般",IF(AND($A599=31,$AJ599=41),"②病院短期","対象外")),IF($AJ599=30,"③特定消防",IF(AND(OR($A599=21,$A599=215),$AJ599=10),"④一般",IF(AND($A599=31,$AJ599=41),"⑤短期","対象外")))))</f>
        <v>①病院一般</v>
      </c>
      <c r="DC599" s="2909">
        <f>IF($A599="","",IF($AB599&amp;""='DB_設定'!$C$4,1,0))</f>
        <v>0</v>
      </c>
    </row>
    <row r="600">
      <c r="A600" t="n" s="2909">
        <v>21</v>
      </c>
      <c r="AA600" t="n" s="2909">
        <v>21</v>
      </c>
      <c r="AB600" t="inlineStr" s="2909">
        <is>
          <t>20250601</t>
        </is>
      </c>
      <c r="AD600" t="n" s="2909">
        <v>0</v>
      </c>
      <c r="AE600" t="inlineStr" s="2909">
        <is>
          <t>00000000</t>
        </is>
      </c>
      <c r="AH600" t="n" s="2909">
        <v>20</v>
      </c>
      <c r="AJ600" t="n" s="2909">
        <v>10</v>
      </c>
      <c r="AP600" t="n" s="2909">
        <v>1270000</v>
      </c>
      <c r="DB600" s="2909" t="str">
        <f>IF($A600="","",IF($AH600=20,IF(AND(OR($A600=21,$A600=215),$AJ600=10),"①病院一般",IF(AND($A600=31,$AJ600=41),"②病院短期","対象外")),IF($AJ600=30,"③特定消防",IF(AND(OR($A600=21,$A600=215),$AJ600=10),"④一般",IF(AND($A600=31,$AJ600=41),"⑤短期","対象外")))))</f>
        <v>①病院一般</v>
      </c>
      <c r="DC600" s="2909">
        <f>IF($A600="","",IF($AB600&amp;""='DB_設定'!$C$4,1,0))</f>
        <v>0</v>
      </c>
    </row>
    <row r="601">
      <c r="A601" t="n" s="2909">
        <v>21</v>
      </c>
      <c r="AA601" t="n" s="2909">
        <v>21</v>
      </c>
      <c r="AB601" t="inlineStr" s="2909">
        <is>
          <t>20250601</t>
        </is>
      </c>
      <c r="AD601" t="n" s="2909">
        <v>0</v>
      </c>
      <c r="AE601" t="inlineStr" s="2909">
        <is>
          <t>00000000</t>
        </is>
      </c>
      <c r="AH601" t="n" s="2909">
        <v>20</v>
      </c>
      <c r="AJ601" t="n" s="2909">
        <v>10</v>
      </c>
      <c r="AP601" t="n" s="2909">
        <v>1330000</v>
      </c>
      <c r="DB601" s="2909" t="str">
        <f>IF($A601="","",IF($AH601=20,IF(AND(OR($A601=21,$A601=215),$AJ601=10),"①病院一般",IF(AND($A601=31,$AJ601=41),"②病院短期","対象外")),IF($AJ601=30,"③特定消防",IF(AND(OR($A601=21,$A601=215),$AJ601=10),"④一般",IF(AND($A601=31,$AJ601=41),"⑤短期","対象外")))))</f>
        <v>①病院一般</v>
      </c>
      <c r="DC601" s="2909">
        <f>IF($A601="","",IF($AB601&amp;""='DB_設定'!$C$4,1,0))</f>
        <v>0</v>
      </c>
    </row>
    <row r="602">
      <c r="A602" t="n" s="2909">
        <v>21</v>
      </c>
      <c r="AA602" t="n" s="2909">
        <v>21</v>
      </c>
      <c r="AB602" t="inlineStr" s="2909">
        <is>
          <t>20250601</t>
        </is>
      </c>
      <c r="AD602" t="n" s="2909">
        <v>0</v>
      </c>
      <c r="AE602" t="inlineStr" s="2909">
        <is>
          <t>00000000</t>
        </is>
      </c>
      <c r="AH602" t="n" s="2909">
        <v>20</v>
      </c>
      <c r="AJ602" t="n" s="2909">
        <v>10</v>
      </c>
      <c r="AP602" t="n" s="2909">
        <v>260000</v>
      </c>
      <c r="DB602" s="2909" t="str">
        <f>IF($A602="","",IF($AH602=20,IF(AND(OR($A602=21,$A602=215),$AJ602=10),"①病院一般",IF(AND($A602=31,$AJ602=41),"②病院短期","対象外")),IF($AJ602=30,"③特定消防",IF(AND(OR($A602=21,$A602=215),$AJ602=10),"④一般",IF(AND($A602=31,$AJ602=41),"⑤短期","対象外")))))</f>
        <v>①病院一般</v>
      </c>
      <c r="DC602" s="2909">
        <f>IF($A602="","",IF($AB602&amp;""='DB_設定'!$C$4,1,0))</f>
        <v>0</v>
      </c>
    </row>
    <row r="603">
      <c r="A603" t="n" s="2909">
        <v>21</v>
      </c>
      <c r="AA603" t="n" s="2909">
        <v>21</v>
      </c>
      <c r="AB603" t="inlineStr" s="2909">
        <is>
          <t>20250601</t>
        </is>
      </c>
      <c r="AD603" t="n" s="2909">
        <v>0</v>
      </c>
      <c r="AE603" t="inlineStr" s="2909">
        <is>
          <t>00000000</t>
        </is>
      </c>
      <c r="AH603" t="n" s="2909">
        <v>20</v>
      </c>
      <c r="AJ603" t="n" s="2909">
        <v>10</v>
      </c>
      <c r="AP603" t="n" s="2909">
        <v>260000</v>
      </c>
      <c r="DB603" s="2909" t="str">
        <f>IF($A603="","",IF($AH603=20,IF(AND(OR($A603=21,$A603=215),$AJ603=10),"①病院一般",IF(AND($A603=31,$AJ603=41),"②病院短期","対象外")),IF($AJ603=30,"③特定消防",IF(AND(OR($A603=21,$A603=215),$AJ603=10),"④一般",IF(AND($A603=31,$AJ603=41),"⑤短期","対象外")))))</f>
        <v>①病院一般</v>
      </c>
      <c r="DC603" s="2909">
        <f>IF($A603="","",IF($AB603&amp;""='DB_設定'!$C$4,1,0))</f>
        <v>0</v>
      </c>
    </row>
    <row r="604">
      <c r="A604" t="n" s="2909">
        <v>21</v>
      </c>
      <c r="AA604" t="n" s="2909">
        <v>21</v>
      </c>
      <c r="AB604" t="inlineStr" s="2909">
        <is>
          <t>20250601</t>
        </is>
      </c>
      <c r="AD604" t="n" s="2909">
        <v>0</v>
      </c>
      <c r="AE604" t="inlineStr" s="2909">
        <is>
          <t>00000000</t>
        </is>
      </c>
      <c r="AH604" t="n" s="2909">
        <v>20</v>
      </c>
      <c r="AJ604" t="n" s="2909">
        <v>10</v>
      </c>
      <c r="AP604" t="n" s="2909">
        <v>260000</v>
      </c>
      <c r="DB604" s="2909" t="str">
        <f>IF($A604="","",IF($AH604=20,IF(AND(OR($A604=21,$A604=215),$AJ604=10),"①病院一般",IF(AND($A604=31,$AJ604=41),"②病院短期","対象外")),IF($AJ604=30,"③特定消防",IF(AND(OR($A604=21,$A604=215),$AJ604=10),"④一般",IF(AND($A604=31,$AJ604=41),"⑤短期","対象外")))))</f>
        <v>①病院一般</v>
      </c>
      <c r="DC604" s="2909">
        <f>IF($A604="","",IF($AB604&amp;""='DB_設定'!$C$4,1,0))</f>
        <v>0</v>
      </c>
    </row>
    <row r="605">
      <c r="A605" t="n" s="2909">
        <v>21</v>
      </c>
      <c r="AA605" t="n" s="2909">
        <v>21</v>
      </c>
      <c r="AB605" t="inlineStr" s="2909">
        <is>
          <t>20250601</t>
        </is>
      </c>
      <c r="AD605" t="n" s="2909">
        <v>0</v>
      </c>
      <c r="AE605" t="inlineStr" s="2909">
        <is>
          <t>00000000</t>
        </is>
      </c>
      <c r="AH605" t="n" s="2909">
        <v>20</v>
      </c>
      <c r="AJ605" t="n" s="2909">
        <v>10</v>
      </c>
      <c r="AP605" t="n" s="2909">
        <v>260000</v>
      </c>
      <c r="DB605" s="2909" t="str">
        <f>IF($A605="","",IF($AH605=20,IF(AND(OR($A605=21,$A605=215),$AJ605=10),"①病院一般",IF(AND($A605=31,$AJ605=41),"②病院短期","対象外")),IF($AJ605=30,"③特定消防",IF(AND(OR($A605=21,$A605=215),$AJ605=10),"④一般",IF(AND($A605=31,$AJ605=41),"⑤短期","対象外")))))</f>
        <v>①病院一般</v>
      </c>
      <c r="DC605" s="2909">
        <f>IF($A605="","",IF($AB605&amp;""='DB_設定'!$C$4,1,0))</f>
        <v>0</v>
      </c>
    </row>
    <row r="606">
      <c r="A606" t="n" s="2909">
        <v>21</v>
      </c>
      <c r="AA606" t="n" s="2909">
        <v>21</v>
      </c>
      <c r="AB606" t="inlineStr" s="2909">
        <is>
          <t>20250601</t>
        </is>
      </c>
      <c r="AD606" t="n" s="2909">
        <v>0</v>
      </c>
      <c r="AE606" t="inlineStr" s="2909">
        <is>
          <t>00000000</t>
        </is>
      </c>
      <c r="AH606" t="n" s="2909">
        <v>20</v>
      </c>
      <c r="AJ606" t="n" s="2909">
        <v>10</v>
      </c>
      <c r="AP606" t="n" s="2909">
        <v>260000</v>
      </c>
      <c r="DB606" s="2909" t="str">
        <f>IF($A606="","",IF($AH606=20,IF(AND(OR($A606=21,$A606=215),$AJ606=10),"①病院一般",IF(AND($A606=31,$AJ606=41),"②病院短期","対象外")),IF($AJ606=30,"③特定消防",IF(AND(OR($A606=21,$A606=215),$AJ606=10),"④一般",IF(AND($A606=31,$AJ606=41),"⑤短期","対象外")))))</f>
        <v>①病院一般</v>
      </c>
      <c r="DC606" s="2909">
        <f>IF($A606="","",IF($AB606&amp;""='DB_設定'!$C$4,1,0))</f>
        <v>0</v>
      </c>
    </row>
    <row r="607">
      <c r="A607" t="n" s="2909">
        <v>21</v>
      </c>
      <c r="AA607" t="n" s="2909">
        <v>21</v>
      </c>
      <c r="AB607" t="inlineStr" s="2909">
        <is>
          <t>20250901</t>
        </is>
      </c>
      <c r="AD607" t="n" s="2909">
        <v>0</v>
      </c>
      <c r="AE607" t="inlineStr" s="2909">
        <is>
          <t>00000000</t>
        </is>
      </c>
      <c r="AH607" t="n" s="2909">
        <v>20</v>
      </c>
      <c r="AJ607" t="n" s="2909">
        <v>10</v>
      </c>
      <c r="AP607" t="n" s="2909">
        <v>340000</v>
      </c>
      <c r="DB607" s="2909" t="str">
        <f>IF($A607="","",IF($AH607=20,IF(AND(OR($A607=21,$A607=215),$AJ607=10),"①病院一般",IF(AND($A607=31,$AJ607=41),"②病院短期","対象外")),IF($AJ607=30,"③特定消防",IF(AND(OR($A607=21,$A607=215),$AJ607=10),"④一般",IF(AND($A607=31,$AJ607=41),"⑤短期","対象外")))))</f>
        <v>①病院一般</v>
      </c>
      <c r="DC607" s="2909">
        <f>IF($A607="","",IF($AB607&amp;""='DB_設定'!$C$4,1,0))</f>
        <v>0</v>
      </c>
    </row>
    <row r="608">
      <c r="A608" t="n" s="2909">
        <v>21</v>
      </c>
      <c r="AA608" t="n" s="2909">
        <v>21</v>
      </c>
      <c r="AB608" t="inlineStr" s="2909">
        <is>
          <t>20250901</t>
        </is>
      </c>
      <c r="AD608" t="n" s="2909">
        <v>0</v>
      </c>
      <c r="AE608" t="inlineStr" s="2909">
        <is>
          <t>00000000</t>
        </is>
      </c>
      <c r="AH608" t="n" s="2909">
        <v>20</v>
      </c>
      <c r="AJ608" t="n" s="2909">
        <v>10</v>
      </c>
      <c r="AP608" t="n" s="2909">
        <v>320000</v>
      </c>
      <c r="DB608" s="2909" t="str">
        <f>IF($A608="","",IF($AH608=20,IF(AND(OR($A608=21,$A608=215),$AJ608=10),"①病院一般",IF(AND($A608=31,$AJ608=41),"②病院短期","対象外")),IF($AJ608=30,"③特定消防",IF(AND(OR($A608=21,$A608=215),$AJ608=10),"④一般",IF(AND($A608=31,$AJ608=41),"⑤短期","対象外")))))</f>
        <v>①病院一般</v>
      </c>
      <c r="DC608" s="2909">
        <f>IF($A608="","",IF($AB608&amp;""='DB_設定'!$C$4,1,0))</f>
        <v>0</v>
      </c>
    </row>
    <row r="609">
      <c r="A609" t="n" s="2909">
        <v>21</v>
      </c>
      <c r="AA609" t="n" s="2909">
        <v>21</v>
      </c>
      <c r="AB609" t="inlineStr" s="2909">
        <is>
          <t>20251001</t>
        </is>
      </c>
      <c r="AD609" t="n" s="2909">
        <v>0</v>
      </c>
      <c r="AE609" t="inlineStr" s="2909">
        <is>
          <t>00000000</t>
        </is>
      </c>
      <c r="AH609" t="n" s="2909">
        <v>20</v>
      </c>
      <c r="AJ609" t="n" s="2909">
        <v>10</v>
      </c>
      <c r="AP609" t="n" s="2909">
        <v>320000</v>
      </c>
      <c r="DB609" s="2909" t="str">
        <f>IF($A609="","",IF($AH609=20,IF(AND(OR($A609=21,$A609=215),$AJ609=10),"①病院一般",IF(AND($A609=31,$AJ609=41),"②病院短期","対象外")),IF($AJ609=30,"③特定消防",IF(AND(OR($A609=21,$A609=215),$AJ609=10),"④一般",IF(AND($A609=31,$AJ609=41),"⑤短期","対象外")))))</f>
        <v>①病院一般</v>
      </c>
      <c r="DC609" s="2909">
        <f>IF($A609="","",IF($AB609&amp;""='DB_設定'!$C$4,1,0))</f>
        <v>0</v>
      </c>
    </row>
    <row r="610">
      <c r="A610" t="n" s="2909">
        <v>21</v>
      </c>
      <c r="AA610" t="n" s="2909">
        <v>21</v>
      </c>
      <c r="AB610" t="inlineStr" s="2909">
        <is>
          <t>20251001</t>
        </is>
      </c>
      <c r="AD610" t="n" s="2909">
        <v>0</v>
      </c>
      <c r="AE610" t="inlineStr" s="2909">
        <is>
          <t>00000000</t>
        </is>
      </c>
      <c r="AH610" t="n" s="2909">
        <v>20</v>
      </c>
      <c r="AJ610" t="n" s="2909">
        <v>10</v>
      </c>
      <c r="AP610" t="n" s="2909">
        <v>320000</v>
      </c>
      <c r="DB610" s="2909" t="str">
        <f>IF($A610="","",IF($AH610=20,IF(AND(OR($A610=21,$A610=215),$AJ610=10),"①病院一般",IF(AND($A610=31,$AJ610=41),"②病院短期","対象外")),IF($AJ610=30,"③特定消防",IF(AND(OR($A610=21,$A610=215),$AJ610=10),"④一般",IF(AND($A610=31,$AJ610=41),"⑤短期","対象外")))))</f>
        <v>①病院一般</v>
      </c>
      <c r="DC610" s="2909">
        <f>IF($A610="","",IF($AB610&amp;""='DB_設定'!$C$4,1,0))</f>
        <v>0</v>
      </c>
    </row>
    <row r="611">
      <c r="A611" t="n" s="2909">
        <v>21</v>
      </c>
      <c r="AA611" t="n" s="2909">
        <v>21</v>
      </c>
      <c r="AB611" t="inlineStr" s="2909">
        <is>
          <t>20251001</t>
        </is>
      </c>
      <c r="AD611" t="n" s="2909">
        <v>0</v>
      </c>
      <c r="AE611" t="inlineStr" s="2909">
        <is>
          <t>00000000</t>
        </is>
      </c>
      <c r="AH611" t="n" s="2909">
        <v>20</v>
      </c>
      <c r="AJ611" t="n" s="2909">
        <v>10</v>
      </c>
      <c r="AP611" t="n" s="2909">
        <v>320000</v>
      </c>
      <c r="DB611" s="2909" t="str">
        <f>IF($A611="","",IF($AH611=20,IF(AND(OR($A611=21,$A611=215),$AJ611=10),"①病院一般",IF(AND($A611=31,$AJ611=41),"②病院短期","対象外")),IF($AJ611=30,"③特定消防",IF(AND(OR($A611=21,$A611=215),$AJ611=10),"④一般",IF(AND($A611=31,$AJ611=41),"⑤短期","対象外")))))</f>
        <v>①病院一般</v>
      </c>
      <c r="DC611" s="2909">
        <f>IF($A611="","",IF($AB611&amp;""='DB_設定'!$C$4,1,0))</f>
        <v>0</v>
      </c>
    </row>
    <row r="612">
      <c r="A612" t="n" s="2909">
        <v>21</v>
      </c>
      <c r="AA612" t="n" s="2909">
        <v>21</v>
      </c>
      <c r="AB612" t="inlineStr" s="2909">
        <is>
          <t>20251001</t>
        </is>
      </c>
      <c r="AD612" t="n" s="2909">
        <v>0</v>
      </c>
      <c r="AE612" t="inlineStr" s="2909">
        <is>
          <t>00000000</t>
        </is>
      </c>
      <c r="AH612" t="n" s="2909">
        <v>20</v>
      </c>
      <c r="AJ612" t="n" s="2909">
        <v>10</v>
      </c>
      <c r="AP612" t="n" s="2909">
        <v>1330000</v>
      </c>
      <c r="DB612" s="2909" t="str">
        <f>IF($A612="","",IF($AH612=20,IF(AND(OR($A612=21,$A612=215),$AJ612=10),"①病院一般",IF(AND($A612=31,$AJ612=41),"②病院短期","対象外")),IF($AJ612=30,"③特定消防",IF(AND(OR($A612=21,$A612=215),$AJ612=10),"④一般",IF(AND($A612=31,$AJ612=41),"⑤短期","対象外")))))</f>
        <v>①病院一般</v>
      </c>
      <c r="DC612" s="2909">
        <f>IF($A612="","",IF($AB612&amp;""='DB_設定'!$C$4,1,0))</f>
        <v>0</v>
      </c>
    </row>
    <row r="613">
      <c r="A613" t="n" s="2909">
        <v>21</v>
      </c>
      <c r="AA613" t="n" s="2909">
        <v>21</v>
      </c>
      <c r="AB613" t="inlineStr" s="2909">
        <is>
          <t>20251001</t>
        </is>
      </c>
      <c r="AD613" t="n" s="2909">
        <v>0</v>
      </c>
      <c r="AE613" t="inlineStr" s="2909">
        <is>
          <t>00000000</t>
        </is>
      </c>
      <c r="AH613" t="n" s="2909">
        <v>20</v>
      </c>
      <c r="AJ613" t="n" s="2909">
        <v>10</v>
      </c>
      <c r="AP613" t="n" s="2909">
        <v>1030000</v>
      </c>
      <c r="DB613" s="2909" t="str">
        <f>IF($A613="","",IF($AH613=20,IF(AND(OR($A613=21,$A613=215),$AJ613=10),"①病院一般",IF(AND($A613=31,$AJ613=41),"②病院短期","対象外")),IF($AJ613=30,"③特定消防",IF(AND(OR($A613=21,$A613=215),$AJ613=10),"④一般",IF(AND($A613=31,$AJ613=41),"⑤短期","対象外")))))</f>
        <v>①病院一般</v>
      </c>
      <c r="DC613" s="2909">
        <f>IF($A613="","",IF($AB613&amp;""='DB_設定'!$C$4,1,0))</f>
        <v>0</v>
      </c>
    </row>
    <row r="614">
      <c r="A614" t="n" s="2909">
        <v>21</v>
      </c>
      <c r="AA614" t="n" s="2909">
        <v>21</v>
      </c>
      <c r="AB614" t="inlineStr" s="2909">
        <is>
          <t>20251001</t>
        </is>
      </c>
      <c r="AD614" t="n" s="2909">
        <v>0</v>
      </c>
      <c r="AE614" t="inlineStr" s="2909">
        <is>
          <t>00000000</t>
        </is>
      </c>
      <c r="AH614" t="n" s="2909">
        <v>20</v>
      </c>
      <c r="AJ614" t="n" s="2909">
        <v>10</v>
      </c>
      <c r="AP614" t="n" s="2909">
        <v>980000</v>
      </c>
      <c r="DB614" s="2909" t="str">
        <f>IF($A614="","",IF($AH614=20,IF(AND(OR($A614=21,$A614=215),$AJ614=10),"①病院一般",IF(AND($A614=31,$AJ614=41),"②病院短期","対象外")),IF($AJ614=30,"③特定消防",IF(AND(OR($A614=21,$A614=215),$AJ614=10),"④一般",IF(AND($A614=31,$AJ614=41),"⑤短期","対象外")))))</f>
        <v>①病院一般</v>
      </c>
      <c r="DC614" s="2909">
        <f>IF($A614="","",IF($AB614&amp;""='DB_設定'!$C$4,1,0))</f>
        <v>0</v>
      </c>
    </row>
    <row r="615">
      <c r="A615" t="n" s="2909">
        <v>21</v>
      </c>
      <c r="AA615" t="n" s="2909">
        <v>21</v>
      </c>
      <c r="AB615" t="inlineStr" s="2909">
        <is>
          <t>20251001</t>
        </is>
      </c>
      <c r="AD615" t="n" s="2909">
        <v>0</v>
      </c>
      <c r="AE615" t="inlineStr" s="2909">
        <is>
          <t>00000000</t>
        </is>
      </c>
      <c r="AH615" t="n" s="2909">
        <v>20</v>
      </c>
      <c r="AJ615" t="n" s="2909">
        <v>10</v>
      </c>
      <c r="AP615" t="n" s="2909">
        <v>1270000</v>
      </c>
      <c r="DB615" s="2909" t="str">
        <f>IF($A615="","",IF($AH615=20,IF(AND(OR($A615=21,$A615=215),$AJ615=10),"①病院一般",IF(AND($A615=31,$AJ615=41),"②病院短期","対象外")),IF($AJ615=30,"③特定消防",IF(AND(OR($A615=21,$A615=215),$AJ615=10),"④一般",IF(AND($A615=31,$AJ615=41),"⑤短期","対象外")))))</f>
        <v>①病院一般</v>
      </c>
      <c r="DC615" s="2909">
        <f>IF($A615="","",IF($AB615&amp;""='DB_設定'!$C$4,1,0))</f>
        <v>0</v>
      </c>
    </row>
    <row r="616">
      <c r="A616" t="n" s="2909">
        <v>21</v>
      </c>
      <c r="AA616" t="n" s="2909">
        <v>21</v>
      </c>
      <c r="AB616" t="inlineStr" s="2909">
        <is>
          <t>20251001</t>
        </is>
      </c>
      <c r="AD616" t="n" s="2909">
        <v>0</v>
      </c>
      <c r="AE616" t="inlineStr" s="2909">
        <is>
          <t>00000000</t>
        </is>
      </c>
      <c r="AH616" t="n" s="2909">
        <v>20</v>
      </c>
      <c r="AJ616" t="n" s="2909">
        <v>10</v>
      </c>
      <c r="AP616" t="n" s="2909">
        <v>1210000</v>
      </c>
      <c r="DB616" s="2909" t="str">
        <f>IF($A616="","",IF($AH616=20,IF(AND(OR($A616=21,$A616=215),$AJ616=10),"①病院一般",IF(AND($A616=31,$AJ616=41),"②病院短期","対象外")),IF($AJ616=30,"③特定消防",IF(AND(OR($A616=21,$A616=215),$AJ616=10),"④一般",IF(AND($A616=31,$AJ616=41),"⑤短期","対象外")))))</f>
        <v>①病院一般</v>
      </c>
      <c r="DC616" s="2909">
        <f>IF($A616="","",IF($AB616&amp;""='DB_設定'!$C$4,1,0))</f>
        <v>0</v>
      </c>
    </row>
    <row r="617">
      <c r="A617" t="n" s="2909">
        <v>21</v>
      </c>
      <c r="AA617" t="n" s="2909">
        <v>21</v>
      </c>
      <c r="AB617" t="inlineStr" s="2909">
        <is>
          <t>20251001</t>
        </is>
      </c>
      <c r="AD617" t="n" s="2909">
        <v>0</v>
      </c>
      <c r="AE617" t="inlineStr" s="2909">
        <is>
          <t>00000000</t>
        </is>
      </c>
      <c r="AH617" t="n" s="2909">
        <v>20</v>
      </c>
      <c r="AJ617" t="n" s="2909">
        <v>10</v>
      </c>
      <c r="AP617" t="n" s="2909">
        <v>280000</v>
      </c>
      <c r="DB617" s="2909" t="str">
        <f>IF($A617="","",IF($AH617=20,IF(AND(OR($A617=21,$A617=215),$AJ617=10),"①病院一般",IF(AND($A617=31,$AJ617=41),"②病院短期","対象外")),IF($AJ617=30,"③特定消防",IF(AND(OR($A617=21,$A617=215),$AJ617=10),"④一般",IF(AND($A617=31,$AJ617=41),"⑤短期","対象外")))))</f>
        <v>①病院一般</v>
      </c>
      <c r="DC617" s="2909">
        <f>IF($A617="","",IF($AB617&amp;""='DB_設定'!$C$4,1,0))</f>
        <v>0</v>
      </c>
    </row>
    <row r="618">
      <c r="A618" t="n" s="2909">
        <v>21</v>
      </c>
      <c r="AA618" t="n" s="2909">
        <v>21</v>
      </c>
      <c r="AB618" t="inlineStr" s="2909">
        <is>
          <t>20251001</t>
        </is>
      </c>
      <c r="AD618" t="n" s="2909">
        <v>0</v>
      </c>
      <c r="AE618" t="inlineStr" s="2909">
        <is>
          <t>00000000</t>
        </is>
      </c>
      <c r="AH618" t="n" s="2909">
        <v>20</v>
      </c>
      <c r="AJ618" t="n" s="2909">
        <v>10</v>
      </c>
      <c r="AP618" t="n" s="2909">
        <v>360000</v>
      </c>
      <c r="DB618" s="2909" t="str">
        <f>IF($A618="","",IF($AH618=20,IF(AND(OR($A618=21,$A618=215),$AJ618=10),"①病院一般",IF(AND($A618=31,$AJ618=41),"②病院短期","対象外")),IF($AJ618=30,"③特定消防",IF(AND(OR($A618=21,$A618=215),$AJ618=10),"④一般",IF(AND($A618=31,$AJ618=41),"⑤短期","対象外")))))</f>
        <v>①病院一般</v>
      </c>
      <c r="DC618" s="2909">
        <f>IF($A618="","",IF($AB618&amp;""='DB_設定'!$C$4,1,0))</f>
        <v>0</v>
      </c>
    </row>
    <row r="619">
      <c r="A619" t="n" s="2909">
        <v>21</v>
      </c>
      <c r="AA619" t="n" s="2909">
        <v>21</v>
      </c>
      <c r="AB619" t="inlineStr" s="2909">
        <is>
          <t>20251001</t>
        </is>
      </c>
      <c r="AD619" t="n" s="2909">
        <v>0</v>
      </c>
      <c r="AE619" t="inlineStr" s="2909">
        <is>
          <t>00000000</t>
        </is>
      </c>
      <c r="AH619" t="n" s="2909">
        <v>20</v>
      </c>
      <c r="AJ619" t="n" s="2909">
        <v>10</v>
      </c>
      <c r="AP619" t="n" s="2909">
        <v>320000</v>
      </c>
      <c r="DB619" s="2909" t="str">
        <f>IF($A619="","",IF($AH619=20,IF(AND(OR($A619=21,$A619=215),$AJ619=10),"①病院一般",IF(AND($A619=31,$AJ619=41),"②病院短期","対象外")),IF($AJ619=30,"③特定消防",IF(AND(OR($A619=21,$A619=215),$AJ619=10),"④一般",IF(AND($A619=31,$AJ619=41),"⑤短期","対象外")))))</f>
        <v>①病院一般</v>
      </c>
      <c r="DC619" s="2909">
        <f>IF($A619="","",IF($AB619&amp;""='DB_設定'!$C$4,1,0))</f>
        <v>0</v>
      </c>
    </row>
    <row r="620">
      <c r="A620" t="n" s="2909">
        <v>21</v>
      </c>
      <c r="AA620" t="n" s="2909">
        <v>21</v>
      </c>
      <c r="AB620" t="inlineStr" s="2909">
        <is>
          <t>20251001</t>
        </is>
      </c>
      <c r="AD620" t="n" s="2909">
        <v>0</v>
      </c>
      <c r="AE620" t="inlineStr" s="2909">
        <is>
          <t>00000000</t>
        </is>
      </c>
      <c r="AH620" t="n" s="2909">
        <v>20</v>
      </c>
      <c r="AJ620" t="n" s="2909">
        <v>10</v>
      </c>
      <c r="AP620" t="n" s="2909">
        <v>260000</v>
      </c>
      <c r="DB620" s="2909" t="str">
        <f>IF($A620="","",IF($AH620=20,IF(AND(OR($A620=21,$A620=215),$AJ620=10),"①病院一般",IF(AND($A620=31,$AJ620=41),"②病院短期","対象外")),IF($AJ620=30,"③特定消防",IF(AND(OR($A620=21,$A620=215),$AJ620=10),"④一般",IF(AND($A620=31,$AJ620=41),"⑤短期","対象外")))))</f>
        <v>①病院一般</v>
      </c>
      <c r="DC620" s="2909">
        <f>IF($A620="","",IF($AB620&amp;""='DB_設定'!$C$4,1,0))</f>
        <v>0</v>
      </c>
    </row>
    <row r="621">
      <c r="A621" t="n" s="2909">
        <v>21</v>
      </c>
      <c r="AA621" t="n" s="2909">
        <v>21</v>
      </c>
      <c r="AB621" t="inlineStr" s="2909">
        <is>
          <t>20251001</t>
        </is>
      </c>
      <c r="AD621" t="n" s="2909">
        <v>0</v>
      </c>
      <c r="AE621" t="inlineStr" s="2909">
        <is>
          <t>00000000</t>
        </is>
      </c>
      <c r="AH621" t="n" s="2909">
        <v>20</v>
      </c>
      <c r="AJ621" t="n" s="2909">
        <v>10</v>
      </c>
      <c r="AP621" t="n" s="2909">
        <v>260000</v>
      </c>
      <c r="DB621" s="2909" t="str">
        <f>IF($A621="","",IF($AH621=20,IF(AND(OR($A621=21,$A621=215),$AJ621=10),"①病院一般",IF(AND($A621=31,$AJ621=41),"②病院短期","対象外")),IF($AJ621=30,"③特定消防",IF(AND(OR($A621=21,$A621=215),$AJ621=10),"④一般",IF(AND($A621=31,$AJ621=41),"⑤短期","対象外")))))</f>
        <v>①病院一般</v>
      </c>
      <c r="DC621" s="2909">
        <f>IF($A621="","",IF($AB621&amp;""='DB_設定'!$C$4,1,0))</f>
        <v>0</v>
      </c>
    </row>
    <row r="622">
      <c r="A622" t="n" s="2909">
        <v>21</v>
      </c>
      <c r="AA622" t="n" s="2909">
        <v>21</v>
      </c>
      <c r="AB622" t="inlineStr" s="2909">
        <is>
          <t>20251001</t>
        </is>
      </c>
      <c r="AD622" t="n" s="2909">
        <v>0</v>
      </c>
      <c r="AE622" t="inlineStr" s="2909">
        <is>
          <t>00000000</t>
        </is>
      </c>
      <c r="AH622" t="n" s="2909">
        <v>20</v>
      </c>
      <c r="AJ622" t="n" s="2909">
        <v>10</v>
      </c>
      <c r="AP622" t="n" s="2909">
        <v>300000</v>
      </c>
      <c r="DB622" s="2909" t="str">
        <f>IF($A622="","",IF($AH622=20,IF(AND(OR($A622=21,$A622=215),$AJ622=10),"①病院一般",IF(AND($A622=31,$AJ622=41),"②病院短期","対象外")),IF($AJ622=30,"③特定消防",IF(AND(OR($A622=21,$A622=215),$AJ622=10),"④一般",IF(AND($A622=31,$AJ622=41),"⑤短期","対象外")))))</f>
        <v>①病院一般</v>
      </c>
      <c r="DC622" s="2909">
        <f>IF($A622="","",IF($AB622&amp;""='DB_設定'!$C$4,1,0))</f>
        <v>0</v>
      </c>
    </row>
    <row r="623">
      <c r="A623" t="n" s="2909">
        <v>21</v>
      </c>
      <c r="AA623" t="n" s="2909">
        <v>21</v>
      </c>
      <c r="AB623" t="inlineStr" s="2909">
        <is>
          <t>20251001</t>
        </is>
      </c>
      <c r="AD623" t="n" s="2909">
        <v>0</v>
      </c>
      <c r="AE623" t="inlineStr" s="2909">
        <is>
          <t>00000000</t>
        </is>
      </c>
      <c r="AH623" t="n" s="2909">
        <v>20</v>
      </c>
      <c r="AJ623" t="n" s="2909">
        <v>10</v>
      </c>
      <c r="AP623" t="n" s="2909">
        <v>260000</v>
      </c>
      <c r="DB623" s="2909" t="str">
        <f>IF($A623="","",IF($AH623=20,IF(AND(OR($A623=21,$A623=215),$AJ623=10),"①病院一般",IF(AND($A623=31,$AJ623=41),"②病院短期","対象外")),IF($AJ623=30,"③特定消防",IF(AND(OR($A623=21,$A623=215),$AJ623=10),"④一般",IF(AND($A623=31,$AJ623=41),"⑤短期","対象外")))))</f>
        <v>①病院一般</v>
      </c>
      <c r="DC623" s="2909">
        <f>IF($A623="","",IF($AB623&amp;""='DB_設定'!$C$4,1,0))</f>
        <v>0</v>
      </c>
    </row>
    <row r="624">
      <c r="A624" t="n" s="2909">
        <v>31</v>
      </c>
      <c r="AA624" t="n" s="2909">
        <v>24</v>
      </c>
      <c r="AB624" t="inlineStr" s="2909">
        <is>
          <t>20250804</t>
        </is>
      </c>
      <c r="AD624" t="n" s="2909">
        <v>0</v>
      </c>
      <c r="AE624" t="inlineStr" s="2909">
        <is>
          <t>00000000</t>
        </is>
      </c>
      <c r="AH624" t="n" s="2909">
        <v>1</v>
      </c>
      <c r="AJ624" t="n" s="2909">
        <v>41</v>
      </c>
      <c r="AP624" t="n" s="2909">
        <v>150000</v>
      </c>
      <c r="DB624" s="2909" t="str">
        <f>IF($A624="","",IF($AH624=20,IF(AND(OR($A624=21,$A624=215),$AJ624=10),"①病院一般",IF(AND($A624=31,$AJ624=41),"②病院短期","対象外")),IF($AJ624=30,"③特定消防",IF(AND(OR($A624=21,$A624=215),$AJ624=10),"④一般",IF(AND($A624=31,$AJ624=41),"⑤短期","対象外")))))</f>
        <v>⑤短期</v>
      </c>
      <c r="DC624" s="2909">
        <f>IF($A624="","",IF($AB624&amp;""='DB_設定'!$C$4,1,0))</f>
        <v>0</v>
      </c>
    </row>
    <row r="625">
      <c r="A625" t="n" s="2909">
        <v>31</v>
      </c>
      <c r="AA625" t="n" s="2909">
        <v>24</v>
      </c>
      <c r="AB625" t="inlineStr" s="2909">
        <is>
          <t>20251001</t>
        </is>
      </c>
      <c r="AD625" t="n" s="2909">
        <v>0</v>
      </c>
      <c r="AE625" t="inlineStr" s="2909">
        <is>
          <t>00000000</t>
        </is>
      </c>
      <c r="AH625" t="n" s="2909">
        <v>1</v>
      </c>
      <c r="AJ625" t="n" s="2909">
        <v>41</v>
      </c>
      <c r="AP625" t="n" s="2909">
        <v>134000</v>
      </c>
      <c r="DB625" s="2909" t="str">
        <f>IF($A625="","",IF($AH625=20,IF(AND(OR($A625=21,$A625=215),$AJ625=10),"①病院一般",IF(AND($A625=31,$AJ625=41),"②病院短期","対象外")),IF($AJ625=30,"③特定消防",IF(AND(OR($A625=21,$A625=215),$AJ625=10),"④一般",IF(AND($A625=31,$AJ625=41),"⑤短期","対象外")))))</f>
        <v>⑤短期</v>
      </c>
      <c r="DC625" s="2909">
        <f>IF($A625="","",IF($AB625&amp;""='DB_設定'!$C$4,1,0))</f>
        <v>0</v>
      </c>
    </row>
    <row r="626">
      <c r="A626" t="n" s="2909">
        <v>31</v>
      </c>
      <c r="AA626" t="n" s="2909">
        <v>24</v>
      </c>
      <c r="AB626" t="inlineStr" s="2909">
        <is>
          <t>20250521</t>
        </is>
      </c>
      <c r="AD626" t="n" s="2909">
        <v>0</v>
      </c>
      <c r="AE626" t="inlineStr" s="2909">
        <is>
          <t>00000000</t>
        </is>
      </c>
      <c r="AH626" t="n" s="2909">
        <v>1</v>
      </c>
      <c r="AJ626" t="n" s="2909">
        <v>41</v>
      </c>
      <c r="AP626" t="n" s="2909">
        <v>220000</v>
      </c>
      <c r="DB626" s="2909" t="str">
        <f>IF($A626="","",IF($AH626=20,IF(AND(OR($A626=21,$A626=215),$AJ626=10),"①病院一般",IF(AND($A626=31,$AJ626=41),"②病院短期","対象外")),IF($AJ626=30,"③特定消防",IF(AND(OR($A626=21,$A626=215),$AJ626=10),"④一般",IF(AND($A626=31,$AJ626=41),"⑤短期","対象外")))))</f>
        <v>⑤短期</v>
      </c>
      <c r="DC626" s="2909">
        <f>IF($A626="","",IF($AB626&amp;""='DB_設定'!$C$4,1,0))</f>
        <v>0</v>
      </c>
    </row>
    <row r="627">
      <c r="A627" t="n" s="2909">
        <v>31</v>
      </c>
      <c r="AA627" t="n" s="2909">
        <v>24</v>
      </c>
      <c r="AB627" t="inlineStr" s="2909">
        <is>
          <t>20250904</t>
        </is>
      </c>
      <c r="AD627" t="n" s="2909">
        <v>0</v>
      </c>
      <c r="AE627" t="inlineStr" s="2909">
        <is>
          <t>00000000</t>
        </is>
      </c>
      <c r="AH627" t="n" s="2909">
        <v>1</v>
      </c>
      <c r="AJ627" t="n" s="2909">
        <v>41</v>
      </c>
      <c r="AP627" t="n" s="2909">
        <v>134000</v>
      </c>
      <c r="DB627" s="2909" t="str">
        <f>IF($A627="","",IF($AH627=20,IF(AND(OR($A627=21,$A627=215),$AJ627=10),"①病院一般",IF(AND($A627=31,$AJ627=41),"②病院短期","対象外")),IF($AJ627=30,"③特定消防",IF(AND(OR($A627=21,$A627=215),$AJ627=10),"④一般",IF(AND($A627=31,$AJ627=41),"⑤短期","対象外")))))</f>
        <v>⑤短期</v>
      </c>
      <c r="DC627" s="2909">
        <f>IF($A627="","",IF($AB627&amp;""='DB_設定'!$C$4,1,0))</f>
        <v>0</v>
      </c>
    </row>
    <row r="628">
      <c r="A628" t="n" s="2909">
        <v>31</v>
      </c>
      <c r="AA628" t="n" s="2909">
        <v>24</v>
      </c>
      <c r="AB628" t="inlineStr" s="2909">
        <is>
          <t>20251001</t>
        </is>
      </c>
      <c r="AD628" t="n" s="2909">
        <v>0</v>
      </c>
      <c r="AE628" t="inlineStr" s="2909">
        <is>
          <t>00000000</t>
        </is>
      </c>
      <c r="AH628" t="n" s="2909">
        <v>1</v>
      </c>
      <c r="AJ628" t="n" s="2909">
        <v>41</v>
      </c>
      <c r="AP628" t="n" s="2909">
        <v>134000</v>
      </c>
      <c r="DB628" s="2909" t="str">
        <f>IF($A628="","",IF($AH628=20,IF(AND(OR($A628=21,$A628=215),$AJ628=10),"①病院一般",IF(AND($A628=31,$AJ628=41),"②病院短期","対象外")),IF($AJ628=30,"③特定消防",IF(AND(OR($A628=21,$A628=215),$AJ628=10),"④一般",IF(AND($A628=31,$AJ628=41),"⑤短期","対象外")))))</f>
        <v>⑤短期</v>
      </c>
      <c r="DC628" s="2909">
        <f>IF($A628="","",IF($AB628&amp;""='DB_設定'!$C$4,1,0))</f>
        <v>0</v>
      </c>
    </row>
    <row r="629">
      <c r="A629" t="n" s="2909">
        <v>31</v>
      </c>
      <c r="AA629" t="n" s="2909">
        <v>24</v>
      </c>
      <c r="AB629" t="inlineStr" s="2909">
        <is>
          <t>20250501</t>
        </is>
      </c>
      <c r="AD629" t="n" s="2909">
        <v>0</v>
      </c>
      <c r="AE629" t="inlineStr" s="2909">
        <is>
          <t>00000000</t>
        </is>
      </c>
      <c r="AH629" t="n" s="2909">
        <v>11</v>
      </c>
      <c r="AJ629" t="n" s="2909">
        <v>47</v>
      </c>
      <c r="AP629" t="n" s="2909">
        <v>126000</v>
      </c>
      <c r="DB629" s="2909" t="str">
        <f>IF($A629="","",IF($AH629=20,IF(AND(OR($A629=21,$A629=215),$AJ629=10),"①病院一般",IF(AND($A629=31,$AJ629=41),"②病院短期","対象外")),IF($AJ629=30,"③特定消防",IF(AND(OR($A629=21,$A629=215),$AJ629=10),"④一般",IF(AND($A629=31,$AJ629=41),"⑤短期","対象外")))))</f>
        <v>対象外</v>
      </c>
      <c r="DC629" s="2909">
        <f>IF($A629="","",IF($AB629&amp;""='DB_設定'!$C$4,1,0))</f>
        <v>0</v>
      </c>
    </row>
    <row r="630">
      <c r="A630" t="n" s="2909">
        <v>31</v>
      </c>
      <c r="AA630" t="n" s="2909">
        <v>21</v>
      </c>
      <c r="AB630" t="inlineStr" s="2909">
        <is>
          <t>20250401</t>
        </is>
      </c>
      <c r="AD630" t="n" s="2909">
        <v>0</v>
      </c>
      <c r="AE630" t="inlineStr" s="2909">
        <is>
          <t>00000000</t>
        </is>
      </c>
      <c r="AH630" t="n" s="2909">
        <v>1</v>
      </c>
      <c r="AJ630" t="n" s="2909">
        <v>41</v>
      </c>
      <c r="AP630" t="n" s="2909">
        <v>280000</v>
      </c>
      <c r="DB630" s="2909" t="str">
        <f>IF($A630="","",IF($AH630=20,IF(AND(OR($A630=21,$A630=215),$AJ630=10),"①病院一般",IF(AND($A630=31,$AJ630=41),"②病院短期","対象外")),IF($AJ630=30,"③特定消防",IF(AND(OR($A630=21,$A630=215),$AJ630=10),"④一般",IF(AND($A630=31,$AJ630=41),"⑤短期","対象外")))))</f>
        <v>⑤短期</v>
      </c>
      <c r="DC630" s="2909">
        <f>IF($A630="","",IF($AB630&amp;""='DB_設定'!$C$4,1,0))</f>
        <v>1</v>
      </c>
    </row>
    <row r="631">
      <c r="A631" t="n" s="2909">
        <v>31</v>
      </c>
      <c r="AA631" t="n" s="2909">
        <v>21</v>
      </c>
      <c r="AB631" t="inlineStr" s="2909">
        <is>
          <t>20250401</t>
        </is>
      </c>
      <c r="AD631" t="n" s="2909">
        <v>0</v>
      </c>
      <c r="AE631" t="inlineStr" s="2909">
        <is>
          <t>00000000</t>
        </is>
      </c>
      <c r="AH631" t="n" s="2909">
        <v>1</v>
      </c>
      <c r="AJ631" t="n" s="2909">
        <v>41</v>
      </c>
      <c r="AP631" t="n" s="2909">
        <v>190000</v>
      </c>
      <c r="DB631" s="2909" t="str">
        <f>IF($A631="","",IF($AH631=20,IF(AND(OR($A631=21,$A631=215),$AJ631=10),"①病院一般",IF(AND($A631=31,$AJ631=41),"②病院短期","対象外")),IF($AJ631=30,"③特定消防",IF(AND(OR($A631=21,$A631=215),$AJ631=10),"④一般",IF(AND($A631=31,$AJ631=41),"⑤短期","対象外")))))</f>
        <v>⑤短期</v>
      </c>
      <c r="DC631" s="2909">
        <f>IF($A631="","",IF($AB631&amp;""='DB_設定'!$C$4,1,0))</f>
        <v>1</v>
      </c>
    </row>
    <row r="632">
      <c r="A632" t="n" s="2909">
        <v>31</v>
      </c>
      <c r="AA632" t="n" s="2909">
        <v>21</v>
      </c>
      <c r="AB632" t="inlineStr" s="2909">
        <is>
          <t>20250512</t>
        </is>
      </c>
      <c r="AD632" t="n" s="2909">
        <v>0</v>
      </c>
      <c r="AE632" t="inlineStr" s="2909">
        <is>
          <t>00000000</t>
        </is>
      </c>
      <c r="AH632" t="n" s="2909">
        <v>1</v>
      </c>
      <c r="AJ632" t="n" s="2909">
        <v>41</v>
      </c>
      <c r="AP632" t="n" s="2909">
        <v>200000</v>
      </c>
      <c r="DB632" s="2909" t="str">
        <f>IF($A632="","",IF($AH632=20,IF(AND(OR($A632=21,$A632=215),$AJ632=10),"①病院一般",IF(AND($A632=31,$AJ632=41),"②病院短期","対象外")),IF($AJ632=30,"③特定消防",IF(AND(OR($A632=21,$A632=215),$AJ632=10),"④一般",IF(AND($A632=31,$AJ632=41),"⑤短期","対象外")))))</f>
        <v>⑤短期</v>
      </c>
      <c r="DC632" s="2909">
        <f>IF($A632="","",IF($AB632&amp;""='DB_設定'!$C$4,1,0))</f>
        <v>0</v>
      </c>
    </row>
    <row r="633">
      <c r="A633" t="n" s="2909">
        <v>31</v>
      </c>
      <c r="AA633" t="n" s="2909">
        <v>21</v>
      </c>
      <c r="AB633" t="inlineStr" s="2909">
        <is>
          <t>20250401</t>
        </is>
      </c>
      <c r="AD633" t="n" s="2909">
        <v>0</v>
      </c>
      <c r="AE633" t="inlineStr" s="2909">
        <is>
          <t>00000000</t>
        </is>
      </c>
      <c r="AH633" t="n" s="2909">
        <v>4</v>
      </c>
      <c r="AJ633" t="n" s="2909">
        <v>41</v>
      </c>
      <c r="AP633" t="n" s="2909">
        <v>220000</v>
      </c>
      <c r="DB633" s="2909" t="str">
        <f>IF($A633="","",IF($AH633=20,IF(AND(OR($A633=21,$A633=215),$AJ633=10),"①病院一般",IF(AND($A633=31,$AJ633=41),"②病院短期","対象外")),IF($AJ633=30,"③特定消防",IF(AND(OR($A633=21,$A633=215),$AJ633=10),"④一般",IF(AND($A633=31,$AJ633=41),"⑤短期","対象外")))))</f>
        <v>⑤短期</v>
      </c>
      <c r="DC633" s="2909">
        <f>IF($A633="","",IF($AB633&amp;""='DB_設定'!$C$4,1,0))</f>
        <v>1</v>
      </c>
    </row>
    <row r="634">
      <c r="A634" t="n" s="2909">
        <v>31</v>
      </c>
      <c r="AA634" t="n" s="2909">
        <v>21</v>
      </c>
      <c r="AB634" t="inlineStr" s="2909">
        <is>
          <t>20250401</t>
        </is>
      </c>
      <c r="AD634" t="n" s="2909">
        <v>0</v>
      </c>
      <c r="AE634" t="inlineStr" s="2909">
        <is>
          <t>00000000</t>
        </is>
      </c>
      <c r="AH634" t="n" s="2909">
        <v>4</v>
      </c>
      <c r="AJ634" t="n" s="2909">
        <v>41</v>
      </c>
      <c r="AP634" t="n" s="2909">
        <v>240000</v>
      </c>
      <c r="DB634" s="2909" t="str">
        <f>IF($A634="","",IF($AH634=20,IF(AND(OR($A634=21,$A634=215),$AJ634=10),"①病院一般",IF(AND($A634=31,$AJ634=41),"②病院短期","対象外")),IF($AJ634=30,"③特定消防",IF(AND(OR($A634=21,$A634=215),$AJ634=10),"④一般",IF(AND($A634=31,$AJ634=41),"⑤短期","対象外")))))</f>
        <v>⑤短期</v>
      </c>
      <c r="DC634" s="2909">
        <f>IF($A634="","",IF($AB634&amp;""='DB_設定'!$C$4,1,0))</f>
        <v>1</v>
      </c>
    </row>
    <row r="635">
      <c r="A635" t="n" s="2909">
        <v>31</v>
      </c>
      <c r="AA635" t="n" s="2909">
        <v>21</v>
      </c>
      <c r="AB635" t="inlineStr" s="2909">
        <is>
          <t>20250401</t>
        </is>
      </c>
      <c r="AD635" t="n" s="2909">
        <v>0</v>
      </c>
      <c r="AE635" t="inlineStr" s="2909">
        <is>
          <t>00000000</t>
        </is>
      </c>
      <c r="AH635" t="n" s="2909">
        <v>4</v>
      </c>
      <c r="AJ635" t="n" s="2909">
        <v>41</v>
      </c>
      <c r="AP635" t="n" s="2909">
        <v>220000</v>
      </c>
      <c r="DB635" s="2909" t="str">
        <f>IF($A635="","",IF($AH635=20,IF(AND(OR($A635=21,$A635=215),$AJ635=10),"①病院一般",IF(AND($A635=31,$AJ635=41),"②病院短期","対象外")),IF($AJ635=30,"③特定消防",IF(AND(OR($A635=21,$A635=215),$AJ635=10),"④一般",IF(AND($A635=31,$AJ635=41),"⑤短期","対象外")))))</f>
        <v>⑤短期</v>
      </c>
      <c r="DC635" s="2909">
        <f>IF($A635="","",IF($AB635&amp;""='DB_設定'!$C$4,1,0))</f>
        <v>1</v>
      </c>
    </row>
    <row r="636">
      <c r="A636" t="n" s="2909">
        <v>31</v>
      </c>
      <c r="AA636" t="n" s="2909">
        <v>21</v>
      </c>
      <c r="AB636" t="inlineStr" s="2909">
        <is>
          <t>20250401</t>
        </is>
      </c>
      <c r="AD636" t="n" s="2909">
        <v>0</v>
      </c>
      <c r="AE636" t="inlineStr" s="2909">
        <is>
          <t>00000000</t>
        </is>
      </c>
      <c r="AH636" t="n" s="2909">
        <v>4</v>
      </c>
      <c r="AJ636" t="n" s="2909">
        <v>41</v>
      </c>
      <c r="AP636" t="n" s="2909">
        <v>220000</v>
      </c>
      <c r="DB636" s="2909" t="str">
        <f>IF($A636="","",IF($AH636=20,IF(AND(OR($A636=21,$A636=215),$AJ636=10),"①病院一般",IF(AND($A636=31,$AJ636=41),"②病院短期","対象外")),IF($AJ636=30,"③特定消防",IF(AND(OR($A636=21,$A636=215),$AJ636=10),"④一般",IF(AND($A636=31,$AJ636=41),"⑤短期","対象外")))))</f>
        <v>⑤短期</v>
      </c>
      <c r="DC636" s="2909">
        <f>IF($A636="","",IF($AB636&amp;""='DB_設定'!$C$4,1,0))</f>
        <v>1</v>
      </c>
    </row>
    <row r="637">
      <c r="A637" t="n" s="2909">
        <v>31</v>
      </c>
      <c r="AA637" t="n" s="2909">
        <v>21</v>
      </c>
      <c r="AB637" t="inlineStr" s="2909">
        <is>
          <t>20250401</t>
        </is>
      </c>
      <c r="AD637" t="n" s="2909">
        <v>0</v>
      </c>
      <c r="AE637" t="inlineStr" s="2909">
        <is>
          <t>00000000</t>
        </is>
      </c>
      <c r="AH637" t="n" s="2909">
        <v>4</v>
      </c>
      <c r="AJ637" t="n" s="2909">
        <v>41</v>
      </c>
      <c r="AP637" t="n" s="2909">
        <v>200000</v>
      </c>
      <c r="DB637" s="2909" t="str">
        <f>IF($A637="","",IF($AH637=20,IF(AND(OR($A637=21,$A637=215),$AJ637=10),"①病院一般",IF(AND($A637=31,$AJ637=41),"②病院短期","対象外")),IF($AJ637=30,"③特定消防",IF(AND(OR($A637=21,$A637=215),$AJ637=10),"④一般",IF(AND($A637=31,$AJ637=41),"⑤短期","対象外")))))</f>
        <v>⑤短期</v>
      </c>
      <c r="DC637" s="2909">
        <f>IF($A637="","",IF($AB637&amp;""='DB_設定'!$C$4,1,0))</f>
        <v>1</v>
      </c>
    </row>
    <row r="638">
      <c r="A638" t="n" s="2909">
        <v>31</v>
      </c>
      <c r="AA638" t="n" s="2909">
        <v>21</v>
      </c>
      <c r="AB638" t="inlineStr" s="2909">
        <is>
          <t>20250401</t>
        </is>
      </c>
      <c r="AD638" t="n" s="2909">
        <v>0</v>
      </c>
      <c r="AE638" t="inlineStr" s="2909">
        <is>
          <t>00000000</t>
        </is>
      </c>
      <c r="AH638" t="n" s="2909">
        <v>4</v>
      </c>
      <c r="AJ638" t="n" s="2909">
        <v>41</v>
      </c>
      <c r="AP638" t="n" s="2909">
        <v>240000</v>
      </c>
      <c r="DB638" s="2909" t="str">
        <f>IF($A638="","",IF($AH638=20,IF(AND(OR($A638=21,$A638=215),$AJ638=10),"①病院一般",IF(AND($A638=31,$AJ638=41),"②病院短期","対象外")),IF($AJ638=30,"③特定消防",IF(AND(OR($A638=21,$A638=215),$AJ638=10),"④一般",IF(AND($A638=31,$AJ638=41),"⑤短期","対象外")))))</f>
        <v>⑤短期</v>
      </c>
      <c r="DC638" s="2909">
        <f>IF($A638="","",IF($AB638&amp;""='DB_設定'!$C$4,1,0))</f>
        <v>1</v>
      </c>
    </row>
    <row r="639">
      <c r="A639" t="n" s="2909">
        <v>31</v>
      </c>
      <c r="AA639" t="n" s="2909">
        <v>21</v>
      </c>
      <c r="AB639" t="inlineStr" s="2909">
        <is>
          <t>20250401</t>
        </is>
      </c>
      <c r="AD639" t="n" s="2909">
        <v>0</v>
      </c>
      <c r="AE639" t="inlineStr" s="2909">
        <is>
          <t>00000000</t>
        </is>
      </c>
      <c r="AH639" t="n" s="2909">
        <v>4</v>
      </c>
      <c r="AJ639" t="n" s="2909">
        <v>41</v>
      </c>
      <c r="AP639" t="n" s="2909">
        <v>260000</v>
      </c>
      <c r="DB639" s="2909" t="str">
        <f>IF($A639="","",IF($AH639=20,IF(AND(OR($A639=21,$A639=215),$AJ639=10),"①病院一般",IF(AND($A639=31,$AJ639=41),"②病院短期","対象外")),IF($AJ639=30,"③特定消防",IF(AND(OR($A639=21,$A639=215),$AJ639=10),"④一般",IF(AND($A639=31,$AJ639=41),"⑤短期","対象外")))))</f>
        <v>⑤短期</v>
      </c>
      <c r="DC639" s="2909">
        <f>IF($A639="","",IF($AB639&amp;""='DB_設定'!$C$4,1,0))</f>
        <v>1</v>
      </c>
    </row>
    <row r="640">
      <c r="A640" t="n" s="2909">
        <v>31</v>
      </c>
      <c r="AA640" t="n" s="2909">
        <v>21</v>
      </c>
      <c r="AB640" t="inlineStr" s="2909">
        <is>
          <t>20250401</t>
        </is>
      </c>
      <c r="AD640" t="n" s="2909">
        <v>0</v>
      </c>
      <c r="AE640" t="inlineStr" s="2909">
        <is>
          <t>00000000</t>
        </is>
      </c>
      <c r="AH640" t="n" s="2909">
        <v>1</v>
      </c>
      <c r="AJ640" t="n" s="2909">
        <v>41</v>
      </c>
      <c r="AP640" t="n" s="2909">
        <v>220000</v>
      </c>
      <c r="DB640" s="2909" t="str">
        <f>IF($A640="","",IF($AH640=20,IF(AND(OR($A640=21,$A640=215),$AJ640=10),"①病院一般",IF(AND($A640=31,$AJ640=41),"②病院短期","対象外")),IF($AJ640=30,"③特定消防",IF(AND(OR($A640=21,$A640=215),$AJ640=10),"④一般",IF(AND($A640=31,$AJ640=41),"⑤短期","対象外")))))</f>
        <v>⑤短期</v>
      </c>
      <c r="DC640" s="2909">
        <f>IF($A640="","",IF($AB640&amp;""='DB_設定'!$C$4,1,0))</f>
        <v>1</v>
      </c>
    </row>
    <row r="641">
      <c r="A641" t="n" s="2909">
        <v>31</v>
      </c>
      <c r="AA641" t="n" s="2909">
        <v>24</v>
      </c>
      <c r="AB641" t="inlineStr" s="2909">
        <is>
          <t>20250623</t>
        </is>
      </c>
      <c r="AD641" t="n" s="2909">
        <v>12</v>
      </c>
      <c r="AE641" t="inlineStr" s="2909">
        <is>
          <t>20250901</t>
        </is>
      </c>
      <c r="AH641" t="n" s="2909">
        <v>1</v>
      </c>
      <c r="AJ641" t="n" s="2909">
        <v>41</v>
      </c>
      <c r="AP641" t="n" s="2909">
        <v>150000</v>
      </c>
      <c r="DB641" s="2909" t="str">
        <f>IF($A641="","",IF($AH641=20,IF(AND(OR($A641=21,$A641=215),$AJ641=10),"①病院一般",IF(AND($A641=31,$AJ641=41),"②病院短期","対象外")),IF($AJ641=30,"③特定消防",IF(AND(OR($A641=21,$A641=215),$AJ641=10),"④一般",IF(AND($A641=31,$AJ641=41),"⑤短期","対象外")))))</f>
        <v>⑤短期</v>
      </c>
      <c r="DC641" s="2909">
        <f>IF($A641="","",IF($AB641&amp;""='DB_設定'!$C$4,1,0))</f>
        <v>0</v>
      </c>
    </row>
    <row r="642">
      <c r="A642" t="n" s="2909">
        <v>31</v>
      </c>
      <c r="AA642" t="n" s="2909">
        <v>24</v>
      </c>
      <c r="AB642" t="inlineStr" s="2909">
        <is>
          <t>20250601</t>
        </is>
      </c>
      <c r="AD642" t="n" s="2909">
        <v>0</v>
      </c>
      <c r="AE642" t="inlineStr" s="2909">
        <is>
          <t>00000000</t>
        </is>
      </c>
      <c r="AH642" t="n" s="2909">
        <v>1</v>
      </c>
      <c r="AJ642" t="n" s="2909">
        <v>41</v>
      </c>
      <c r="AP642" t="n" s="2909">
        <v>150000</v>
      </c>
      <c r="DB642" s="2909" t="str">
        <f>IF($A642="","",IF($AH642=20,IF(AND(OR($A642=21,$A642=215),$AJ642=10),"①病院一般",IF(AND($A642=31,$AJ642=41),"②病院短期","対象外")),IF($AJ642=30,"③特定消防",IF(AND(OR($A642=21,$A642=215),$AJ642=10),"④一般",IF(AND($A642=31,$AJ642=41),"⑤短期","対象外")))))</f>
        <v>⑤短期</v>
      </c>
      <c r="DC642" s="2909">
        <f>IF($A642="","",IF($AB642&amp;""='DB_設定'!$C$4,1,0))</f>
        <v>0</v>
      </c>
    </row>
    <row r="643">
      <c r="A643" t="n" s="2909">
        <v>31</v>
      </c>
      <c r="AA643" t="n" s="2909">
        <v>21</v>
      </c>
      <c r="AB643" t="inlineStr" s="2909">
        <is>
          <t>20251001</t>
        </is>
      </c>
      <c r="AD643" t="n" s="2909">
        <v>0</v>
      </c>
      <c r="AE643" t="inlineStr" s="2909">
        <is>
          <t>00000000</t>
        </is>
      </c>
      <c r="AH643" t="n" s="2909">
        <v>3</v>
      </c>
      <c r="AJ643" t="n" s="2909">
        <v>41</v>
      </c>
      <c r="AP643" t="n" s="2909">
        <v>190000</v>
      </c>
      <c r="DB643" s="2909" t="str">
        <f>IF($A643="","",IF($AH643=20,IF(AND(OR($A643=21,$A643=215),$AJ643=10),"①病院一般",IF(AND($A643=31,$AJ643=41),"②病院短期","対象外")),IF($AJ643=30,"③特定消防",IF(AND(OR($A643=21,$A643=215),$AJ643=10),"④一般",IF(AND($A643=31,$AJ643=41),"⑤短期","対象外")))))</f>
        <v>⑤短期</v>
      </c>
      <c r="DC643" s="2909">
        <f>IF($A643="","",IF($AB643&amp;""='DB_設定'!$C$4,1,0))</f>
        <v>0</v>
      </c>
    </row>
    <row r="644">
      <c r="A644" t="n" s="2909">
        <v>31</v>
      </c>
      <c r="AA644" t="n" s="2909">
        <v>21</v>
      </c>
      <c r="AB644" t="inlineStr" s="2909">
        <is>
          <t>20250401</t>
        </is>
      </c>
      <c r="AD644" t="n" s="2909">
        <v>0</v>
      </c>
      <c r="AE644" t="inlineStr" s="2909">
        <is>
          <t>00000000</t>
        </is>
      </c>
      <c r="AH644" t="n" s="2909">
        <v>1</v>
      </c>
      <c r="AJ644" t="n" s="2909">
        <v>41</v>
      </c>
      <c r="AP644" t="n" s="2909">
        <v>200000</v>
      </c>
      <c r="DB644" s="2909" t="str">
        <f>IF($A644="","",IF($AH644=20,IF(AND(OR($A644=21,$A644=215),$AJ644=10),"①病院一般",IF(AND($A644=31,$AJ644=41),"②病院短期","対象外")),IF($AJ644=30,"③特定消防",IF(AND(OR($A644=21,$A644=215),$AJ644=10),"④一般",IF(AND($A644=31,$AJ644=41),"⑤短期","対象外")))))</f>
        <v>⑤短期</v>
      </c>
      <c r="DC644" s="2909">
        <f>IF($A644="","",IF($AB644&amp;""='DB_設定'!$C$4,1,0))</f>
        <v>1</v>
      </c>
    </row>
    <row r="645">
      <c r="A645" t="n" s="2909">
        <v>31</v>
      </c>
      <c r="AA645" t="n" s="2909">
        <v>21</v>
      </c>
      <c r="AB645" t="inlineStr" s="2909">
        <is>
          <t>20250401</t>
        </is>
      </c>
      <c r="AD645" t="n" s="2909">
        <v>0</v>
      </c>
      <c r="AE645" t="inlineStr" s="2909">
        <is>
          <t>00000000</t>
        </is>
      </c>
      <c r="AH645" t="n" s="2909">
        <v>1</v>
      </c>
      <c r="AJ645" t="n" s="2909">
        <v>41</v>
      </c>
      <c r="AP645" t="n" s="2909">
        <v>220000</v>
      </c>
      <c r="DB645" s="2909" t="str">
        <f>IF($A645="","",IF($AH645=20,IF(AND(OR($A645=21,$A645=215),$AJ645=10),"①病院一般",IF(AND($A645=31,$AJ645=41),"②病院短期","対象外")),IF($AJ645=30,"③特定消防",IF(AND(OR($A645=21,$A645=215),$AJ645=10),"④一般",IF(AND($A645=31,$AJ645=41),"⑤短期","対象外")))))</f>
        <v>⑤短期</v>
      </c>
      <c r="DC645" s="2909">
        <f>IF($A645="","",IF($AB645&amp;""='DB_設定'!$C$4,1,0))</f>
        <v>1</v>
      </c>
    </row>
    <row r="646">
      <c r="A646" t="n" s="2909">
        <v>31</v>
      </c>
      <c r="AA646" t="n" s="2909">
        <v>21</v>
      </c>
      <c r="AB646" t="inlineStr" s="2909">
        <is>
          <t>20250401</t>
        </is>
      </c>
      <c r="AD646" t="n" s="2909">
        <v>0</v>
      </c>
      <c r="AE646" t="inlineStr" s="2909">
        <is>
          <t>00000000</t>
        </is>
      </c>
      <c r="AH646" t="n" s="2909">
        <v>1</v>
      </c>
      <c r="AJ646" t="n" s="2909">
        <v>41</v>
      </c>
      <c r="AP646" t="n" s="2909">
        <v>200000</v>
      </c>
      <c r="DB646" s="2909" t="str">
        <f>IF($A646="","",IF($AH646=20,IF(AND(OR($A646=21,$A646=215),$AJ646=10),"①病院一般",IF(AND($A646=31,$AJ646=41),"②病院短期","対象外")),IF($AJ646=30,"③特定消防",IF(AND(OR($A646=21,$A646=215),$AJ646=10),"④一般",IF(AND($A646=31,$AJ646=41),"⑤短期","対象外")))))</f>
        <v>⑤短期</v>
      </c>
      <c r="DC646" s="2909">
        <f>IF($A646="","",IF($AB646&amp;""='DB_設定'!$C$4,1,0))</f>
        <v>1</v>
      </c>
    </row>
    <row r="647">
      <c r="A647" t="n" s="2909">
        <v>31</v>
      </c>
      <c r="AA647" t="n" s="2909">
        <v>21</v>
      </c>
      <c r="AB647" t="inlineStr" s="2909">
        <is>
          <t>20250401</t>
        </is>
      </c>
      <c r="AD647" t="n" s="2909">
        <v>0</v>
      </c>
      <c r="AE647" t="inlineStr" s="2909">
        <is>
          <t>00000000</t>
        </is>
      </c>
      <c r="AH647" t="n" s="2909">
        <v>1</v>
      </c>
      <c r="AJ647" t="n" s="2909">
        <v>41</v>
      </c>
      <c r="AP647" t="n" s="2909">
        <v>190000</v>
      </c>
      <c r="DB647" s="2909" t="str">
        <f>IF($A647="","",IF($AH647=20,IF(AND(OR($A647=21,$A647=215),$AJ647=10),"①病院一般",IF(AND($A647=31,$AJ647=41),"②病院短期","対象外")),IF($AJ647=30,"③特定消防",IF(AND(OR($A647=21,$A647=215),$AJ647=10),"④一般",IF(AND($A647=31,$AJ647=41),"⑤短期","対象外")))))</f>
        <v>⑤短期</v>
      </c>
      <c r="DC647" s="2909">
        <f>IF($A647="","",IF($AB647&amp;""='DB_設定'!$C$4,1,0))</f>
        <v>1</v>
      </c>
    </row>
    <row r="648">
      <c r="A648" t="n" s="2909">
        <v>31</v>
      </c>
      <c r="AA648" t="n" s="2909">
        <v>21</v>
      </c>
      <c r="AB648" t="inlineStr" s="2909">
        <is>
          <t>20250401</t>
        </is>
      </c>
      <c r="AD648" t="n" s="2909">
        <v>0</v>
      </c>
      <c r="AE648" t="inlineStr" s="2909">
        <is>
          <t>00000000</t>
        </is>
      </c>
      <c r="AH648" t="n" s="2909">
        <v>1</v>
      </c>
      <c r="AJ648" t="n" s="2909">
        <v>41</v>
      </c>
      <c r="AP648" t="n" s="2909">
        <v>200000</v>
      </c>
      <c r="DB648" s="2909" t="str">
        <f>IF($A648="","",IF($AH648=20,IF(AND(OR($A648=21,$A648=215),$AJ648=10),"①病院一般",IF(AND($A648=31,$AJ648=41),"②病院短期","対象外")),IF($AJ648=30,"③特定消防",IF(AND(OR($A648=21,$A648=215),$AJ648=10),"④一般",IF(AND($A648=31,$AJ648=41),"⑤短期","対象外")))))</f>
        <v>⑤短期</v>
      </c>
      <c r="DC648" s="2909">
        <f>IF($A648="","",IF($AB648&amp;""='DB_設定'!$C$4,1,0))</f>
        <v>1</v>
      </c>
    </row>
    <row r="649">
      <c r="A649" t="n" s="2909">
        <v>31</v>
      </c>
      <c r="AA649" t="n" s="2909">
        <v>21</v>
      </c>
      <c r="AB649" t="inlineStr" s="2909">
        <is>
          <t>20250401</t>
        </is>
      </c>
      <c r="AD649" t="n" s="2909">
        <v>0</v>
      </c>
      <c r="AE649" t="inlineStr" s="2909">
        <is>
          <t>00000000</t>
        </is>
      </c>
      <c r="AH649" t="n" s="2909">
        <v>1</v>
      </c>
      <c r="AJ649" t="n" s="2909">
        <v>41</v>
      </c>
      <c r="AP649" t="n" s="2909">
        <v>280000</v>
      </c>
      <c r="DB649" s="2909" t="str">
        <f>IF($A649="","",IF($AH649=20,IF(AND(OR($A649=21,$A649=215),$AJ649=10),"①病院一般",IF(AND($A649=31,$AJ649=41),"②病院短期","対象外")),IF($AJ649=30,"③特定消防",IF(AND(OR($A649=21,$A649=215),$AJ649=10),"④一般",IF(AND($A649=31,$AJ649=41),"⑤短期","対象外")))))</f>
        <v>⑤短期</v>
      </c>
      <c r="DC649" s="2909">
        <f>IF($A649="","",IF($AB649&amp;""='DB_設定'!$C$4,1,0))</f>
        <v>1</v>
      </c>
    </row>
    <row r="650">
      <c r="A650" t="n" s="2909">
        <v>31</v>
      </c>
      <c r="AA650" t="n" s="2909">
        <v>21</v>
      </c>
      <c r="AB650" t="inlineStr" s="2909">
        <is>
          <t>20250401</t>
        </is>
      </c>
      <c r="AD650" t="n" s="2909">
        <v>0</v>
      </c>
      <c r="AE650" t="inlineStr" s="2909">
        <is>
          <t>00000000</t>
        </is>
      </c>
      <c r="AH650" t="n" s="2909">
        <v>1</v>
      </c>
      <c r="AJ650" t="n" s="2909">
        <v>41</v>
      </c>
      <c r="AP650" t="n" s="2909">
        <v>200000</v>
      </c>
      <c r="DB650" s="2909" t="str">
        <f>IF($A650="","",IF($AH650=20,IF(AND(OR($A650=21,$A650=215),$AJ650=10),"①病院一般",IF(AND($A650=31,$AJ650=41),"②病院短期","対象外")),IF($AJ650=30,"③特定消防",IF(AND(OR($A650=21,$A650=215),$AJ650=10),"④一般",IF(AND($A650=31,$AJ650=41),"⑤短期","対象外")))))</f>
        <v>⑤短期</v>
      </c>
      <c r="DC650" s="2909">
        <f>IF($A650="","",IF($AB650&amp;""='DB_設定'!$C$4,1,0))</f>
        <v>1</v>
      </c>
    </row>
    <row r="651">
      <c r="A651" t="n" s="2909">
        <v>31</v>
      </c>
      <c r="AA651" t="n" s="2909">
        <v>21</v>
      </c>
      <c r="AB651" t="inlineStr" s="2909">
        <is>
          <t>20250401</t>
        </is>
      </c>
      <c r="AD651" t="n" s="2909">
        <v>0</v>
      </c>
      <c r="AE651" t="inlineStr" s="2909">
        <is>
          <t>00000000</t>
        </is>
      </c>
      <c r="AH651" t="n" s="2909">
        <v>1</v>
      </c>
      <c r="AJ651" t="n" s="2909">
        <v>41</v>
      </c>
      <c r="AP651" t="n" s="2909">
        <v>240000</v>
      </c>
      <c r="DB651" s="2909" t="str">
        <f>IF($A651="","",IF($AH651=20,IF(AND(OR($A651=21,$A651=215),$AJ651=10),"①病院一般",IF(AND($A651=31,$AJ651=41),"②病院短期","対象外")),IF($AJ651=30,"③特定消防",IF(AND(OR($A651=21,$A651=215),$AJ651=10),"④一般",IF(AND($A651=31,$AJ651=41),"⑤短期","対象外")))))</f>
        <v>⑤短期</v>
      </c>
      <c r="DC651" s="2909">
        <f>IF($A651="","",IF($AB651&amp;""='DB_設定'!$C$4,1,0))</f>
        <v>1</v>
      </c>
    </row>
    <row r="652">
      <c r="A652" t="n" s="2909">
        <v>31</v>
      </c>
      <c r="AA652" t="n" s="2909">
        <v>24</v>
      </c>
      <c r="AB652" t="inlineStr" s="2909">
        <is>
          <t>20250601</t>
        </is>
      </c>
      <c r="AD652" t="n" s="2909">
        <v>0</v>
      </c>
      <c r="AE652" t="inlineStr" s="2909">
        <is>
          <t>00000000</t>
        </is>
      </c>
      <c r="AH652" t="n" s="2909">
        <v>1</v>
      </c>
      <c r="AJ652" t="n" s="2909">
        <v>41</v>
      </c>
      <c r="AP652" t="n" s="2909">
        <v>134000</v>
      </c>
      <c r="DB652" s="2909" t="str">
        <f>IF($A652="","",IF($AH652=20,IF(AND(OR($A652=21,$A652=215),$AJ652=10),"①病院一般",IF(AND($A652=31,$AJ652=41),"②病院短期","対象外")),IF($AJ652=30,"③特定消防",IF(AND(OR($A652=21,$A652=215),$AJ652=10),"④一般",IF(AND($A652=31,$AJ652=41),"⑤短期","対象外")))))</f>
        <v>⑤短期</v>
      </c>
      <c r="DC652" s="2909">
        <f>IF($A652="","",IF($AB652&amp;""='DB_設定'!$C$4,1,0))</f>
        <v>0</v>
      </c>
    </row>
    <row r="653">
      <c r="A653" t="n" s="2909">
        <v>31</v>
      </c>
      <c r="AA653" t="n" s="2909">
        <v>21</v>
      </c>
      <c r="AB653" t="inlineStr" s="2909">
        <is>
          <t>20250401</t>
        </is>
      </c>
      <c r="AD653" t="n" s="2909">
        <v>0</v>
      </c>
      <c r="AE653" t="inlineStr" s="2909">
        <is>
          <t>00000000</t>
        </is>
      </c>
      <c r="AH653" t="n" s="2909">
        <v>1</v>
      </c>
      <c r="AJ653" t="n" s="2909">
        <v>41</v>
      </c>
      <c r="AP653" t="n" s="2909">
        <v>220000</v>
      </c>
      <c r="DB653" s="2909" t="str">
        <f>IF($A653="","",IF($AH653=20,IF(AND(OR($A653=21,$A653=215),$AJ653=10),"①病院一般",IF(AND($A653=31,$AJ653=41),"②病院短期","対象外")),IF($AJ653=30,"③特定消防",IF(AND(OR($A653=21,$A653=215),$AJ653=10),"④一般",IF(AND($A653=31,$AJ653=41),"⑤短期","対象外")))))</f>
        <v>⑤短期</v>
      </c>
      <c r="DC653" s="2909">
        <f>IF($A653="","",IF($AB653&amp;""='DB_設定'!$C$4,1,0))</f>
        <v>1</v>
      </c>
    </row>
    <row r="654">
      <c r="A654" t="n" s="2909">
        <v>31</v>
      </c>
      <c r="AA654" t="n" s="2909">
        <v>21</v>
      </c>
      <c r="AB654" t="inlineStr" s="2909">
        <is>
          <t>20250401</t>
        </is>
      </c>
      <c r="AD654" t="n" s="2909">
        <v>0</v>
      </c>
      <c r="AE654" t="inlineStr" s="2909">
        <is>
          <t>00000000</t>
        </is>
      </c>
      <c r="AH654" t="n" s="2909">
        <v>4</v>
      </c>
      <c r="AJ654" t="n" s="2909">
        <v>41</v>
      </c>
      <c r="AP654" t="n" s="2909">
        <v>240000</v>
      </c>
      <c r="DB654" s="2909" t="str">
        <f>IF($A654="","",IF($AH654=20,IF(AND(OR($A654=21,$A654=215),$AJ654=10),"①病院一般",IF(AND($A654=31,$AJ654=41),"②病院短期","対象外")),IF($AJ654=30,"③特定消防",IF(AND(OR($A654=21,$A654=215),$AJ654=10),"④一般",IF(AND($A654=31,$AJ654=41),"⑤短期","対象外")))))</f>
        <v>⑤短期</v>
      </c>
      <c r="DC654" s="2909">
        <f>IF($A654="","",IF($AB654&amp;""='DB_設定'!$C$4,1,0))</f>
        <v>1</v>
      </c>
    </row>
    <row r="655">
      <c r="A655" t="n" s="2909">
        <v>31</v>
      </c>
      <c r="AA655" t="n" s="2909">
        <v>21</v>
      </c>
      <c r="AB655" t="inlineStr" s="2909">
        <is>
          <t>20250401</t>
        </is>
      </c>
      <c r="AD655" t="n" s="2909">
        <v>0</v>
      </c>
      <c r="AE655" t="inlineStr" s="2909">
        <is>
          <t>00000000</t>
        </is>
      </c>
      <c r="AH655" t="n" s="2909">
        <v>4</v>
      </c>
      <c r="AJ655" t="n" s="2909">
        <v>41</v>
      </c>
      <c r="AP655" t="n" s="2909">
        <v>240000</v>
      </c>
      <c r="DB655" s="2909" t="str">
        <f>IF($A655="","",IF($AH655=20,IF(AND(OR($A655=21,$A655=215),$AJ655=10),"①病院一般",IF(AND($A655=31,$AJ655=41),"②病院短期","対象外")),IF($AJ655=30,"③特定消防",IF(AND(OR($A655=21,$A655=215),$AJ655=10),"④一般",IF(AND($A655=31,$AJ655=41),"⑤短期","対象外")))))</f>
        <v>⑤短期</v>
      </c>
      <c r="DC655" s="2909">
        <f>IF($A655="","",IF($AB655&amp;""='DB_設定'!$C$4,1,0))</f>
        <v>1</v>
      </c>
    </row>
    <row r="656">
      <c r="A656" t="n" s="2909">
        <v>31</v>
      </c>
      <c r="AA656" t="n" s="2909">
        <v>21</v>
      </c>
      <c r="AB656" t="inlineStr" s="2909">
        <is>
          <t>20250401</t>
        </is>
      </c>
      <c r="AD656" t="n" s="2909">
        <v>0</v>
      </c>
      <c r="AE656" t="inlineStr" s="2909">
        <is>
          <t>00000000</t>
        </is>
      </c>
      <c r="AH656" t="n" s="2909">
        <v>20</v>
      </c>
      <c r="AJ656" t="n" s="2909">
        <v>41</v>
      </c>
      <c r="AP656" t="n" s="2909">
        <v>260000</v>
      </c>
      <c r="DB656" s="2909" t="str">
        <f>IF($A656="","",IF($AH656=20,IF(AND(OR($A656=21,$A656=215),$AJ656=10),"①病院一般",IF(AND($A656=31,$AJ656=41),"②病院短期","対象外")),IF($AJ656=30,"③特定消防",IF(AND(OR($A656=21,$A656=215),$AJ656=10),"④一般",IF(AND($A656=31,$AJ656=41),"⑤短期","対象外")))))</f>
        <v>②病院短期</v>
      </c>
      <c r="DC656" s="2909">
        <f>IF($A656="","",IF($AB656&amp;""='DB_設定'!$C$4,1,0))</f>
        <v>1</v>
      </c>
    </row>
    <row r="657">
      <c r="A657" t="n" s="2909">
        <v>31</v>
      </c>
      <c r="AA657" t="n" s="2909">
        <v>21</v>
      </c>
      <c r="AB657" t="inlineStr" s="2909">
        <is>
          <t>20250401</t>
        </is>
      </c>
      <c r="AD657" t="n" s="2909">
        <v>0</v>
      </c>
      <c r="AE657" t="inlineStr" s="2909">
        <is>
          <t>00000000</t>
        </is>
      </c>
      <c r="AH657" t="n" s="2909">
        <v>20</v>
      </c>
      <c r="AJ657" t="n" s="2909">
        <v>41</v>
      </c>
      <c r="AP657" t="n" s="2909">
        <v>260000</v>
      </c>
      <c r="DB657" s="2909" t="str">
        <f>IF($A657="","",IF($AH657=20,IF(AND(OR($A657=21,$A657=215),$AJ657=10),"①病院一般",IF(AND($A657=31,$AJ657=41),"②病院短期","対象外")),IF($AJ657=30,"③特定消防",IF(AND(OR($A657=21,$A657=215),$AJ657=10),"④一般",IF(AND($A657=31,$AJ657=41),"⑤短期","対象外")))))</f>
        <v>②病院短期</v>
      </c>
      <c r="DC657" s="2909">
        <f>IF($A657="","",IF($AB657&amp;""='DB_設定'!$C$4,1,0))</f>
        <v>1</v>
      </c>
    </row>
    <row r="658">
      <c r="A658" t="n" s="2909">
        <v>31</v>
      </c>
      <c r="AA658" t="n" s="2909">
        <v>21</v>
      </c>
      <c r="AB658" t="inlineStr" s="2909">
        <is>
          <t>20250401</t>
        </is>
      </c>
      <c r="AD658" t="n" s="2909">
        <v>0</v>
      </c>
      <c r="AE658" t="inlineStr" s="2909">
        <is>
          <t>00000000</t>
        </is>
      </c>
      <c r="AH658" t="n" s="2909">
        <v>11</v>
      </c>
      <c r="AJ658" t="n" s="2909">
        <v>41</v>
      </c>
      <c r="AP658" t="n" s="2909">
        <v>240000</v>
      </c>
      <c r="DB658" s="2909" t="str">
        <f>IF($A658="","",IF($AH658=20,IF(AND(OR($A658=21,$A658=215),$AJ658=10),"①病院一般",IF(AND($A658=31,$AJ658=41),"②病院短期","対象外")),IF($AJ658=30,"③特定消防",IF(AND(OR($A658=21,$A658=215),$AJ658=10),"④一般",IF(AND($A658=31,$AJ658=41),"⑤短期","対象外")))))</f>
        <v>⑤短期</v>
      </c>
      <c r="DC658" s="2909">
        <f>IF($A658="","",IF($AB658&amp;""='DB_設定'!$C$4,1,0))</f>
        <v>1</v>
      </c>
    </row>
    <row r="659">
      <c r="A659" t="n" s="2909">
        <v>31</v>
      </c>
      <c r="AA659" t="n" s="2909">
        <v>21</v>
      </c>
      <c r="AB659" t="inlineStr" s="2909">
        <is>
          <t>20250401</t>
        </is>
      </c>
      <c r="AD659" t="n" s="2909">
        <v>0</v>
      </c>
      <c r="AE659" t="inlineStr" s="2909">
        <is>
          <t>00000000</t>
        </is>
      </c>
      <c r="AH659" t="n" s="2909">
        <v>5</v>
      </c>
      <c r="AJ659" t="n" s="2909">
        <v>41</v>
      </c>
      <c r="AP659" t="n" s="2909">
        <v>220000</v>
      </c>
      <c r="DB659" s="2909" t="str">
        <f>IF($A659="","",IF($AH659=20,IF(AND(OR($A659=21,$A659=215),$AJ659=10),"①病院一般",IF(AND($A659=31,$AJ659=41),"②病院短期","対象外")),IF($AJ659=30,"③特定消防",IF(AND(OR($A659=21,$A659=215),$AJ659=10),"④一般",IF(AND($A659=31,$AJ659=41),"⑤短期","対象外")))))</f>
        <v>⑤短期</v>
      </c>
      <c r="DC659" s="2909">
        <f>IF($A659="","",IF($AB659&amp;""='DB_設定'!$C$4,1,0))</f>
        <v>1</v>
      </c>
    </row>
    <row r="660">
      <c r="A660" t="n" s="2909">
        <v>31</v>
      </c>
      <c r="AA660" t="n" s="2909">
        <v>21</v>
      </c>
      <c r="AB660" t="inlineStr" s="2909">
        <is>
          <t>20250401</t>
        </is>
      </c>
      <c r="AD660" t="n" s="2909">
        <v>0</v>
      </c>
      <c r="AE660" t="inlineStr" s="2909">
        <is>
          <t>00000000</t>
        </is>
      </c>
      <c r="AH660" t="n" s="2909">
        <v>12</v>
      </c>
      <c r="AJ660" t="n" s="2909">
        <v>41</v>
      </c>
      <c r="AP660" t="n" s="2909">
        <v>220000</v>
      </c>
      <c r="DB660" s="2909" t="str">
        <f>IF($A660="","",IF($AH660=20,IF(AND(OR($A660=21,$A660=215),$AJ660=10),"①病院一般",IF(AND($A660=31,$AJ660=41),"②病院短期","対象外")),IF($AJ660=30,"③特定消防",IF(AND(OR($A660=21,$A660=215),$AJ660=10),"④一般",IF(AND($A660=31,$AJ660=41),"⑤短期","対象外")))))</f>
        <v>⑤短期</v>
      </c>
      <c r="DC660" s="2909">
        <f>IF($A660="","",IF($AB660&amp;""='DB_設定'!$C$4,1,0))</f>
        <v>1</v>
      </c>
    </row>
    <row r="661">
      <c r="A661" t="n" s="2909">
        <v>31</v>
      </c>
      <c r="AA661" t="n" s="2909">
        <v>21</v>
      </c>
      <c r="AB661" t="inlineStr" s="2909">
        <is>
          <t>20250401</t>
        </is>
      </c>
      <c r="AD661" t="n" s="2909">
        <v>0</v>
      </c>
      <c r="AE661" t="inlineStr" s="2909">
        <is>
          <t>00000000</t>
        </is>
      </c>
      <c r="AH661" t="n" s="2909">
        <v>1</v>
      </c>
      <c r="AJ661" t="n" s="2909">
        <v>41</v>
      </c>
      <c r="AP661" t="n" s="2909">
        <v>240000</v>
      </c>
      <c r="DB661" s="2909" t="str">
        <f>IF($A661="","",IF($AH661=20,IF(AND(OR($A661=21,$A661=215),$AJ661=10),"①病院一般",IF(AND($A661=31,$AJ661=41),"②病院短期","対象外")),IF($AJ661=30,"③特定消防",IF(AND(OR($A661=21,$A661=215),$AJ661=10),"④一般",IF(AND($A661=31,$AJ661=41),"⑤短期","対象外")))))</f>
        <v>⑤短期</v>
      </c>
      <c r="DC661" s="2909">
        <f>IF($A661="","",IF($AB661&amp;""='DB_設定'!$C$4,1,0))</f>
        <v>1</v>
      </c>
    </row>
    <row r="662">
      <c r="A662" t="n" s="2909">
        <v>31</v>
      </c>
      <c r="AA662" t="n" s="2909">
        <v>21</v>
      </c>
      <c r="AB662" t="inlineStr" s="2909">
        <is>
          <t>20250401</t>
        </is>
      </c>
      <c r="AD662" t="n" s="2909">
        <v>0</v>
      </c>
      <c r="AE662" t="inlineStr" s="2909">
        <is>
          <t>00000000</t>
        </is>
      </c>
      <c r="AH662" t="n" s="2909">
        <v>1</v>
      </c>
      <c r="AJ662" t="n" s="2909">
        <v>41</v>
      </c>
      <c r="AP662" t="n" s="2909">
        <v>220000</v>
      </c>
      <c r="DB662" s="2909" t="str">
        <f>IF($A662="","",IF($AH662=20,IF(AND(OR($A662=21,$A662=215),$AJ662=10),"①病院一般",IF(AND($A662=31,$AJ662=41),"②病院短期","対象外")),IF($AJ662=30,"③特定消防",IF(AND(OR($A662=21,$A662=215),$AJ662=10),"④一般",IF(AND($A662=31,$AJ662=41),"⑤短期","対象外")))))</f>
        <v>⑤短期</v>
      </c>
      <c r="DC662" s="2909">
        <f>IF($A662="","",IF($AB662&amp;""='DB_設定'!$C$4,1,0))</f>
        <v>1</v>
      </c>
    </row>
    <row r="663">
      <c r="A663" t="n" s="2909">
        <v>31</v>
      </c>
      <c r="AA663" t="n" s="2909">
        <v>21</v>
      </c>
      <c r="AB663" t="inlineStr" s="2909">
        <is>
          <t>20250401</t>
        </is>
      </c>
      <c r="AD663" t="n" s="2909">
        <v>12</v>
      </c>
      <c r="AE663" t="inlineStr" s="2909">
        <is>
          <t>20250701</t>
        </is>
      </c>
      <c r="AH663" t="n" s="2909">
        <v>1</v>
      </c>
      <c r="AJ663" t="n" s="2909">
        <v>41</v>
      </c>
      <c r="AP663" t="n" s="2909">
        <v>260000</v>
      </c>
      <c r="DB663" s="2909" t="str">
        <f>IF($A663="","",IF($AH663=20,IF(AND(OR($A663=21,$A663=215),$AJ663=10),"①病院一般",IF(AND($A663=31,$AJ663=41),"②病院短期","対象外")),IF($AJ663=30,"③特定消防",IF(AND(OR($A663=21,$A663=215),$AJ663=10),"④一般",IF(AND($A663=31,$AJ663=41),"⑤短期","対象外")))))</f>
        <v>⑤短期</v>
      </c>
      <c r="DC663" s="2909">
        <f>IF($A663="","",IF($AB663&amp;""='DB_設定'!$C$4,1,0))</f>
        <v>1</v>
      </c>
    </row>
    <row r="664">
      <c r="A664" t="n" s="2909">
        <v>31</v>
      </c>
      <c r="AA664" t="n" s="2909">
        <v>21</v>
      </c>
      <c r="AB664" t="inlineStr" s="2909">
        <is>
          <t>20250401</t>
        </is>
      </c>
      <c r="AD664" t="n" s="2909">
        <v>0</v>
      </c>
      <c r="AE664" t="inlineStr" s="2909">
        <is>
          <t>00000000</t>
        </is>
      </c>
      <c r="AH664" t="n" s="2909">
        <v>11</v>
      </c>
      <c r="AJ664" t="n" s="2909">
        <v>41</v>
      </c>
      <c r="AP664" t="n" s="2909">
        <v>220000</v>
      </c>
      <c r="DB664" s="2909" t="str">
        <f>IF($A664="","",IF($AH664=20,IF(AND(OR($A664=21,$A664=215),$AJ664=10),"①病院一般",IF(AND($A664=31,$AJ664=41),"②病院短期","対象外")),IF($AJ664=30,"③特定消防",IF(AND(OR($A664=21,$A664=215),$AJ664=10),"④一般",IF(AND($A664=31,$AJ664=41),"⑤短期","対象外")))))</f>
        <v>⑤短期</v>
      </c>
      <c r="DC664" s="2909">
        <f>IF($A664="","",IF($AB664&amp;""='DB_設定'!$C$4,1,0))</f>
        <v>1</v>
      </c>
    </row>
    <row r="665">
      <c r="A665" t="n" s="2909">
        <v>31</v>
      </c>
      <c r="AA665" t="n" s="2909">
        <v>21</v>
      </c>
      <c r="AB665" t="inlineStr" s="2909">
        <is>
          <t>20250401</t>
        </is>
      </c>
      <c r="AD665" t="n" s="2909">
        <v>0</v>
      </c>
      <c r="AE665" t="inlineStr" s="2909">
        <is>
          <t>00000000</t>
        </is>
      </c>
      <c r="AH665" t="n" s="2909">
        <v>1</v>
      </c>
      <c r="AJ665" t="n" s="2909">
        <v>41</v>
      </c>
      <c r="AP665" t="n" s="2909">
        <v>220000</v>
      </c>
      <c r="DB665" s="2909" t="str">
        <f>IF($A665="","",IF($AH665=20,IF(AND(OR($A665=21,$A665=215),$AJ665=10),"①病院一般",IF(AND($A665=31,$AJ665=41),"②病院短期","対象外")),IF($AJ665=30,"③特定消防",IF(AND(OR($A665=21,$A665=215),$AJ665=10),"④一般",IF(AND($A665=31,$AJ665=41),"⑤短期","対象外")))))</f>
        <v>⑤短期</v>
      </c>
      <c r="DC665" s="2909">
        <f>IF($A665="","",IF($AB665&amp;""='DB_設定'!$C$4,1,0))</f>
        <v>1</v>
      </c>
    </row>
    <row r="666">
      <c r="A666" t="n" s="2909">
        <v>31</v>
      </c>
      <c r="AA666" t="n" s="2909">
        <v>24</v>
      </c>
      <c r="AB666" t="inlineStr" s="2909">
        <is>
          <t>20250401</t>
        </is>
      </c>
      <c r="AD666" t="n" s="2909">
        <v>0</v>
      </c>
      <c r="AE666" t="inlineStr" s="2909">
        <is>
          <t>00000000</t>
        </is>
      </c>
      <c r="AH666" t="n" s="2909">
        <v>1</v>
      </c>
      <c r="AJ666" t="n" s="2909">
        <v>41</v>
      </c>
      <c r="AP666" t="n" s="2909">
        <v>134000</v>
      </c>
      <c r="DB666" s="2909" t="str">
        <f>IF($A666="","",IF($AH666=20,IF(AND(OR($A666=21,$A666=215),$AJ666=10),"①病院一般",IF(AND($A666=31,$AJ666=41),"②病院短期","対象外")),IF($AJ666=30,"③特定消防",IF(AND(OR($A666=21,$A666=215),$AJ666=10),"④一般",IF(AND($A666=31,$AJ666=41),"⑤短期","対象外")))))</f>
        <v>⑤短期</v>
      </c>
      <c r="DC666" s="2909">
        <f>IF($A666="","",IF($AB666&amp;""='DB_設定'!$C$4,1,0))</f>
        <v>1</v>
      </c>
    </row>
    <row r="667">
      <c r="A667" t="n" s="2909">
        <v>31</v>
      </c>
      <c r="AA667" t="n" s="2909">
        <v>21</v>
      </c>
      <c r="AB667" t="inlineStr" s="2909">
        <is>
          <t>20250401</t>
        </is>
      </c>
      <c r="AD667" t="n" s="2909">
        <v>0</v>
      </c>
      <c r="AE667" t="inlineStr" s="2909">
        <is>
          <t>00000000</t>
        </is>
      </c>
      <c r="AH667" t="n" s="2909">
        <v>20</v>
      </c>
      <c r="AJ667" t="n" s="2909">
        <v>41</v>
      </c>
      <c r="AP667" t="n" s="2909">
        <v>260000</v>
      </c>
      <c r="DB667" s="2909" t="str">
        <f>IF($A667="","",IF($AH667=20,IF(AND(OR($A667=21,$A667=215),$AJ667=10),"①病院一般",IF(AND($A667=31,$AJ667=41),"②病院短期","対象外")),IF($AJ667=30,"③特定消防",IF(AND(OR($A667=21,$A667=215),$AJ667=10),"④一般",IF(AND($A667=31,$AJ667=41),"⑤短期","対象外")))))</f>
        <v>②病院短期</v>
      </c>
      <c r="DC667" s="2909">
        <f>IF($A667="","",IF($AB667&amp;""='DB_設定'!$C$4,1,0))</f>
        <v>1</v>
      </c>
    </row>
    <row r="668">
      <c r="A668" t="n" s="2909">
        <v>31</v>
      </c>
      <c r="AA668" t="n" s="2909">
        <v>24</v>
      </c>
      <c r="AB668" t="inlineStr" s="2909">
        <is>
          <t>20250601</t>
        </is>
      </c>
      <c r="AD668" t="n" s="2909">
        <v>12</v>
      </c>
      <c r="AE668" t="inlineStr" s="2909">
        <is>
          <t>20251001</t>
        </is>
      </c>
      <c r="AH668" t="n" s="2909">
        <v>1</v>
      </c>
      <c r="AJ668" t="n" s="2909">
        <v>41</v>
      </c>
      <c r="AP668" t="n" s="2909">
        <v>240000</v>
      </c>
      <c r="DB668" s="2909" t="str">
        <f>IF($A668="","",IF($AH668=20,IF(AND(OR($A668=21,$A668=215),$AJ668=10),"①病院一般",IF(AND($A668=31,$AJ668=41),"②病院短期","対象外")),IF($AJ668=30,"③特定消防",IF(AND(OR($A668=21,$A668=215),$AJ668=10),"④一般",IF(AND($A668=31,$AJ668=41),"⑤短期","対象外")))))</f>
        <v>⑤短期</v>
      </c>
      <c r="DC668" s="2909">
        <f>IF($A668="","",IF($AB668&amp;""='DB_設定'!$C$4,1,0))</f>
        <v>0</v>
      </c>
    </row>
    <row r="669">
      <c r="A669" t="n" s="2909">
        <v>31</v>
      </c>
      <c r="AA669" t="n" s="2909">
        <v>21</v>
      </c>
      <c r="AB669" t="inlineStr" s="2909">
        <is>
          <t>20250401</t>
        </is>
      </c>
      <c r="AD669" t="n" s="2909">
        <v>0</v>
      </c>
      <c r="AE669" t="inlineStr" s="2909">
        <is>
          <t>00000000</t>
        </is>
      </c>
      <c r="AH669" t="n" s="2909">
        <v>20</v>
      </c>
      <c r="AJ669" t="n" s="2909">
        <v>41</v>
      </c>
      <c r="AP669" t="n" s="2909">
        <v>240000</v>
      </c>
      <c r="DB669" s="2909" t="str">
        <f>IF($A669="","",IF($AH669=20,IF(AND(OR($A669=21,$A669=215),$AJ669=10),"①病院一般",IF(AND($A669=31,$AJ669=41),"②病院短期","対象外")),IF($AJ669=30,"③特定消防",IF(AND(OR($A669=21,$A669=215),$AJ669=10),"④一般",IF(AND($A669=31,$AJ669=41),"⑤短期","対象外")))))</f>
        <v>②病院短期</v>
      </c>
      <c r="DC669" s="2909">
        <f>IF($A669="","",IF($AB669&amp;""='DB_設定'!$C$4,1,0))</f>
        <v>1</v>
      </c>
    </row>
    <row r="670">
      <c r="A670" t="n" s="2909">
        <v>31</v>
      </c>
      <c r="AA670" t="n" s="2909">
        <v>21</v>
      </c>
      <c r="AB670" t="inlineStr" s="2909">
        <is>
          <t>20250401</t>
        </is>
      </c>
      <c r="AD670" t="n" s="2909">
        <v>0</v>
      </c>
      <c r="AE670" t="inlineStr" s="2909">
        <is>
          <t>00000000</t>
        </is>
      </c>
      <c r="AH670" t="n" s="2909">
        <v>11</v>
      </c>
      <c r="AJ670" t="n" s="2909">
        <v>41</v>
      </c>
      <c r="AP670" t="n" s="2909">
        <v>240000</v>
      </c>
      <c r="DB670" s="2909" t="str">
        <f>IF($A670="","",IF($AH670=20,IF(AND(OR($A670=21,$A670=215),$AJ670=10),"①病院一般",IF(AND($A670=31,$AJ670=41),"②病院短期","対象外")),IF($AJ670=30,"③特定消防",IF(AND(OR($A670=21,$A670=215),$AJ670=10),"④一般",IF(AND($A670=31,$AJ670=41),"⑤短期","対象外")))))</f>
        <v>⑤短期</v>
      </c>
      <c r="DC670" s="2909">
        <f>IF($A670="","",IF($AB670&amp;""='DB_設定'!$C$4,1,0))</f>
        <v>1</v>
      </c>
    </row>
    <row r="671">
      <c r="A671" t="n" s="2909">
        <v>31</v>
      </c>
      <c r="AA671" t="n" s="2909">
        <v>21</v>
      </c>
      <c r="AB671" t="inlineStr" s="2909">
        <is>
          <t>20250401</t>
        </is>
      </c>
      <c r="AD671" t="n" s="2909">
        <v>0</v>
      </c>
      <c r="AE671" t="inlineStr" s="2909">
        <is>
          <t>00000000</t>
        </is>
      </c>
      <c r="AH671" t="n" s="2909">
        <v>1</v>
      </c>
      <c r="AJ671" t="n" s="2909">
        <v>41</v>
      </c>
      <c r="AP671" t="n" s="2909">
        <v>200000</v>
      </c>
      <c r="DB671" s="2909" t="str">
        <f>IF($A671="","",IF($AH671=20,IF(AND(OR($A671=21,$A671=215),$AJ671=10),"①病院一般",IF(AND($A671=31,$AJ671=41),"②病院短期","対象外")),IF($AJ671=30,"③特定消防",IF(AND(OR($A671=21,$A671=215),$AJ671=10),"④一般",IF(AND($A671=31,$AJ671=41),"⑤短期","対象外")))))</f>
        <v>⑤短期</v>
      </c>
      <c r="DC671" s="2909">
        <f>IF($A671="","",IF($AB671&amp;""='DB_設定'!$C$4,1,0))</f>
        <v>1</v>
      </c>
    </row>
    <row r="672">
      <c r="A672" t="n" s="2909">
        <v>31</v>
      </c>
      <c r="AA672" t="n" s="2909">
        <v>21</v>
      </c>
      <c r="AB672" t="inlineStr" s="2909">
        <is>
          <t>20250401</t>
        </is>
      </c>
      <c r="AD672" t="n" s="2909">
        <v>0</v>
      </c>
      <c r="AE672" t="inlineStr" s="2909">
        <is>
          <t>00000000</t>
        </is>
      </c>
      <c r="AH672" t="n" s="2909">
        <v>1</v>
      </c>
      <c r="AJ672" t="n" s="2909">
        <v>41</v>
      </c>
      <c r="AP672" t="n" s="2909">
        <v>200000</v>
      </c>
      <c r="DB672" s="2909" t="str">
        <f>IF($A672="","",IF($AH672=20,IF(AND(OR($A672=21,$A672=215),$AJ672=10),"①病院一般",IF(AND($A672=31,$AJ672=41),"②病院短期","対象外")),IF($AJ672=30,"③特定消防",IF(AND(OR($A672=21,$A672=215),$AJ672=10),"④一般",IF(AND($A672=31,$AJ672=41),"⑤短期","対象外")))))</f>
        <v>⑤短期</v>
      </c>
      <c r="DC672" s="2909">
        <f>IF($A672="","",IF($AB672&amp;""='DB_設定'!$C$4,1,0))</f>
        <v>1</v>
      </c>
    </row>
    <row r="673">
      <c r="A673" t="n" s="2909">
        <v>31</v>
      </c>
      <c r="AA673" t="n" s="2909">
        <v>21</v>
      </c>
      <c r="AB673" t="inlineStr" s="2909">
        <is>
          <t>20250401</t>
        </is>
      </c>
      <c r="AD673" t="n" s="2909">
        <v>0</v>
      </c>
      <c r="AE673" t="inlineStr" s="2909">
        <is>
          <t>00000000</t>
        </is>
      </c>
      <c r="AH673" t="n" s="2909">
        <v>1</v>
      </c>
      <c r="AJ673" t="n" s="2909">
        <v>41</v>
      </c>
      <c r="AP673" t="n" s="2909">
        <v>220000</v>
      </c>
      <c r="DB673" s="2909" t="str">
        <f>IF($A673="","",IF($AH673=20,IF(AND(OR($A673=21,$A673=215),$AJ673=10),"①病院一般",IF(AND($A673=31,$AJ673=41),"②病院短期","対象外")),IF($AJ673=30,"③特定消防",IF(AND(OR($A673=21,$A673=215),$AJ673=10),"④一般",IF(AND($A673=31,$AJ673=41),"⑤短期","対象外")))))</f>
        <v>⑤短期</v>
      </c>
      <c r="DC673" s="2909">
        <f>IF($A673="","",IF($AB673&amp;""='DB_設定'!$C$4,1,0))</f>
        <v>1</v>
      </c>
    </row>
    <row r="674">
      <c r="A674" t="n" s="2909">
        <v>31</v>
      </c>
      <c r="AA674" t="n" s="2909">
        <v>21</v>
      </c>
      <c r="AB674" t="inlineStr" s="2909">
        <is>
          <t>20250401</t>
        </is>
      </c>
      <c r="AD674" t="n" s="2909">
        <v>0</v>
      </c>
      <c r="AE674" t="inlineStr" s="2909">
        <is>
          <t>00000000</t>
        </is>
      </c>
      <c r="AH674" t="n" s="2909">
        <v>1</v>
      </c>
      <c r="AJ674" t="n" s="2909">
        <v>41</v>
      </c>
      <c r="AP674" t="n" s="2909">
        <v>200000</v>
      </c>
      <c r="DB674" s="2909" t="str">
        <f>IF($A674="","",IF($AH674=20,IF(AND(OR($A674=21,$A674=215),$AJ674=10),"①病院一般",IF(AND($A674=31,$AJ674=41),"②病院短期","対象外")),IF($AJ674=30,"③特定消防",IF(AND(OR($A674=21,$A674=215),$AJ674=10),"④一般",IF(AND($A674=31,$AJ674=41),"⑤短期","対象外")))))</f>
        <v>⑤短期</v>
      </c>
      <c r="DC674" s="2909">
        <f>IF($A674="","",IF($AB674&amp;""='DB_設定'!$C$4,1,0))</f>
        <v>1</v>
      </c>
    </row>
    <row r="675">
      <c r="A675" t="n" s="2909">
        <v>31</v>
      </c>
      <c r="AA675" t="n" s="2909">
        <v>21</v>
      </c>
      <c r="AB675" t="inlineStr" s="2909">
        <is>
          <t>20250401</t>
        </is>
      </c>
      <c r="AD675" t="n" s="2909">
        <v>0</v>
      </c>
      <c r="AE675" t="inlineStr" s="2909">
        <is>
          <t>00000000</t>
        </is>
      </c>
      <c r="AH675" t="n" s="2909">
        <v>1</v>
      </c>
      <c r="AJ675" t="n" s="2909">
        <v>41</v>
      </c>
      <c r="AP675" t="n" s="2909">
        <v>240000</v>
      </c>
      <c r="DB675" s="2909" t="str">
        <f>IF($A675="","",IF($AH675=20,IF(AND(OR($A675=21,$A675=215),$AJ675=10),"①病院一般",IF(AND($A675=31,$AJ675=41),"②病院短期","対象外")),IF($AJ675=30,"③特定消防",IF(AND(OR($A675=21,$A675=215),$AJ675=10),"④一般",IF(AND($A675=31,$AJ675=41),"⑤短期","対象外")))))</f>
        <v>⑤短期</v>
      </c>
      <c r="DC675" s="2909">
        <f>IF($A675="","",IF($AB675&amp;""='DB_設定'!$C$4,1,0))</f>
        <v>1</v>
      </c>
    </row>
    <row r="676">
      <c r="A676" t="n" s="2909">
        <v>31</v>
      </c>
      <c r="AA676" t="n" s="2909">
        <v>21</v>
      </c>
      <c r="AB676" t="inlineStr" s="2909">
        <is>
          <t>20250401</t>
        </is>
      </c>
      <c r="AD676" t="n" s="2909">
        <v>0</v>
      </c>
      <c r="AE676" t="inlineStr" s="2909">
        <is>
          <t>00000000</t>
        </is>
      </c>
      <c r="AH676" t="n" s="2909">
        <v>1</v>
      </c>
      <c r="AJ676" t="n" s="2909">
        <v>41</v>
      </c>
      <c r="AP676" t="n" s="2909">
        <v>220000</v>
      </c>
      <c r="DB676" s="2909" t="str">
        <f>IF($A676="","",IF($AH676=20,IF(AND(OR($A676=21,$A676=215),$AJ676=10),"①病院一般",IF(AND($A676=31,$AJ676=41),"②病院短期","対象外")),IF($AJ676=30,"③特定消防",IF(AND(OR($A676=21,$A676=215),$AJ676=10),"④一般",IF(AND($A676=31,$AJ676=41),"⑤短期","対象外")))))</f>
        <v>⑤短期</v>
      </c>
      <c r="DC676" s="2909">
        <f>IF($A676="","",IF($AB676&amp;""='DB_設定'!$C$4,1,0))</f>
        <v>1</v>
      </c>
    </row>
    <row r="677">
      <c r="A677" t="n" s="2909">
        <v>31</v>
      </c>
      <c r="AA677" t="n" s="2909">
        <v>24</v>
      </c>
      <c r="AB677" t="inlineStr" s="2909">
        <is>
          <t>20251001</t>
        </is>
      </c>
      <c r="AD677" t="n" s="2909">
        <v>0</v>
      </c>
      <c r="AE677" t="inlineStr" s="2909">
        <is>
          <t>00000000</t>
        </is>
      </c>
      <c r="AH677" t="n" s="2909">
        <v>4</v>
      </c>
      <c r="AJ677" t="n" s="2909">
        <v>41</v>
      </c>
      <c r="AP677" t="n" s="2909">
        <v>150000</v>
      </c>
      <c r="DB677" s="2909" t="str">
        <f>IF($A677="","",IF($AH677=20,IF(AND(OR($A677=21,$A677=215),$AJ677=10),"①病院一般",IF(AND($A677=31,$AJ677=41),"②病院短期","対象外")),IF($AJ677=30,"③特定消防",IF(AND(OR($A677=21,$A677=215),$AJ677=10),"④一般",IF(AND($A677=31,$AJ677=41),"⑤短期","対象外")))))</f>
        <v>⑤短期</v>
      </c>
      <c r="DC677" s="2909">
        <f>IF($A677="","",IF($AB677&amp;""='DB_設定'!$C$4,1,0))</f>
        <v>0</v>
      </c>
    </row>
    <row r="678">
      <c r="A678" t="n" s="2909">
        <v>31</v>
      </c>
      <c r="AA678" t="n" s="2909">
        <v>21</v>
      </c>
      <c r="AB678" t="inlineStr" s="2909">
        <is>
          <t>20250401</t>
        </is>
      </c>
      <c r="AD678" t="n" s="2909">
        <v>0</v>
      </c>
      <c r="AE678" t="inlineStr" s="2909">
        <is>
          <t>00000000</t>
        </is>
      </c>
      <c r="AH678" t="n" s="2909">
        <v>4</v>
      </c>
      <c r="AJ678" t="n" s="2909">
        <v>41</v>
      </c>
      <c r="AP678" t="n" s="2909">
        <v>240000</v>
      </c>
      <c r="DB678" s="2909" t="str">
        <f>IF($A678="","",IF($AH678=20,IF(AND(OR($A678=21,$A678=215),$AJ678=10),"①病院一般",IF(AND($A678=31,$AJ678=41),"②病院短期","対象外")),IF($AJ678=30,"③特定消防",IF(AND(OR($A678=21,$A678=215),$AJ678=10),"④一般",IF(AND($A678=31,$AJ678=41),"⑤短期","対象外")))))</f>
        <v>⑤短期</v>
      </c>
      <c r="DC678" s="2909">
        <f>IF($A678="","",IF($AB678&amp;""='DB_設定'!$C$4,1,0))</f>
        <v>1</v>
      </c>
    </row>
    <row r="679">
      <c r="A679" t="n" s="2909">
        <v>31</v>
      </c>
      <c r="AA679" t="n" s="2909">
        <v>21</v>
      </c>
      <c r="AB679" t="inlineStr" s="2909">
        <is>
          <t>20250401</t>
        </is>
      </c>
      <c r="AD679" t="n" s="2909">
        <v>0</v>
      </c>
      <c r="AE679" t="inlineStr" s="2909">
        <is>
          <t>00000000</t>
        </is>
      </c>
      <c r="AH679" t="n" s="2909">
        <v>4</v>
      </c>
      <c r="AJ679" t="n" s="2909">
        <v>41</v>
      </c>
      <c r="AP679" t="n" s="2909">
        <v>260000</v>
      </c>
      <c r="DB679" s="2909" t="str">
        <f>IF($A679="","",IF($AH679=20,IF(AND(OR($A679=21,$A679=215),$AJ679=10),"①病院一般",IF(AND($A679=31,$AJ679=41),"②病院短期","対象外")),IF($AJ679=30,"③特定消防",IF(AND(OR($A679=21,$A679=215),$AJ679=10),"④一般",IF(AND($A679=31,$AJ679=41),"⑤短期","対象外")))))</f>
        <v>⑤短期</v>
      </c>
      <c r="DC679" s="2909">
        <f>IF($A679="","",IF($AB679&amp;""='DB_設定'!$C$4,1,0))</f>
        <v>1</v>
      </c>
    </row>
    <row r="680">
      <c r="A680" t="n" s="2909">
        <v>31</v>
      </c>
      <c r="AA680" t="n" s="2909">
        <v>21</v>
      </c>
      <c r="AB680" t="inlineStr" s="2909">
        <is>
          <t>20250401</t>
        </is>
      </c>
      <c r="AD680" t="n" s="2909">
        <v>0</v>
      </c>
      <c r="AE680" t="inlineStr" s="2909">
        <is>
          <t>00000000</t>
        </is>
      </c>
      <c r="AH680" t="n" s="2909">
        <v>4</v>
      </c>
      <c r="AJ680" t="n" s="2909">
        <v>41</v>
      </c>
      <c r="AP680" t="n" s="2909">
        <v>240000</v>
      </c>
      <c r="DB680" s="2909" t="str">
        <f>IF($A680="","",IF($AH680=20,IF(AND(OR($A680=21,$A680=215),$AJ680=10),"①病院一般",IF(AND($A680=31,$AJ680=41),"②病院短期","対象外")),IF($AJ680=30,"③特定消防",IF(AND(OR($A680=21,$A680=215),$AJ680=10),"④一般",IF(AND($A680=31,$AJ680=41),"⑤短期","対象外")))))</f>
        <v>⑤短期</v>
      </c>
      <c r="DC680" s="2909">
        <f>IF($A680="","",IF($AB680&amp;""='DB_設定'!$C$4,1,0))</f>
        <v>1</v>
      </c>
    </row>
    <row r="681">
      <c r="A681" t="n" s="2909">
        <v>31</v>
      </c>
      <c r="AA681" t="n" s="2909">
        <v>21</v>
      </c>
      <c r="AB681" t="inlineStr" s="2909">
        <is>
          <t>20250401</t>
        </is>
      </c>
      <c r="AD681" t="n" s="2909">
        <v>0</v>
      </c>
      <c r="AE681" t="inlineStr" s="2909">
        <is>
          <t>00000000</t>
        </is>
      </c>
      <c r="AH681" t="n" s="2909">
        <v>20</v>
      </c>
      <c r="AJ681" t="n" s="2909">
        <v>41</v>
      </c>
      <c r="AP681" t="n" s="2909">
        <v>280000</v>
      </c>
      <c r="DB681" s="2909" t="str">
        <f>IF($A681="","",IF($AH681=20,IF(AND(OR($A681=21,$A681=215),$AJ681=10),"①病院一般",IF(AND($A681=31,$AJ681=41),"②病院短期","対象外")),IF($AJ681=30,"③特定消防",IF(AND(OR($A681=21,$A681=215),$AJ681=10),"④一般",IF(AND($A681=31,$AJ681=41),"⑤短期","対象外")))))</f>
        <v>②病院短期</v>
      </c>
      <c r="DC681" s="2909">
        <f>IF($A681="","",IF($AB681&amp;""='DB_設定'!$C$4,1,0))</f>
        <v>1</v>
      </c>
    </row>
    <row r="682">
      <c r="A682" t="n" s="2909">
        <v>31</v>
      </c>
      <c r="AA682" t="n" s="2909">
        <v>21</v>
      </c>
      <c r="AB682" t="inlineStr" s="2909">
        <is>
          <t>20250401</t>
        </is>
      </c>
      <c r="AD682" t="n" s="2909">
        <v>0</v>
      </c>
      <c r="AE682" t="inlineStr" s="2909">
        <is>
          <t>00000000</t>
        </is>
      </c>
      <c r="AH682" t="n" s="2909">
        <v>20</v>
      </c>
      <c r="AJ682" t="n" s="2909">
        <v>41</v>
      </c>
      <c r="AP682" t="n" s="2909">
        <v>260000</v>
      </c>
      <c r="DB682" s="2909" t="str">
        <f>IF($A682="","",IF($AH682=20,IF(AND(OR($A682=21,$A682=215),$AJ682=10),"①病院一般",IF(AND($A682=31,$AJ682=41),"②病院短期","対象外")),IF($AJ682=30,"③特定消防",IF(AND(OR($A682=21,$A682=215),$AJ682=10),"④一般",IF(AND($A682=31,$AJ682=41),"⑤短期","対象外")))))</f>
        <v>②病院短期</v>
      </c>
      <c r="DC682" s="2909">
        <f>IF($A682="","",IF($AB682&amp;""='DB_設定'!$C$4,1,0))</f>
        <v>1</v>
      </c>
    </row>
    <row r="683">
      <c r="A683" t="n" s="2909">
        <v>31</v>
      </c>
      <c r="AA683" t="n" s="2909">
        <v>21</v>
      </c>
      <c r="AB683" t="inlineStr" s="2909">
        <is>
          <t>20250401</t>
        </is>
      </c>
      <c r="AD683" t="n" s="2909">
        <v>0</v>
      </c>
      <c r="AE683" t="inlineStr" s="2909">
        <is>
          <t>00000000</t>
        </is>
      </c>
      <c r="AH683" t="n" s="2909">
        <v>20</v>
      </c>
      <c r="AJ683" t="n" s="2909">
        <v>41</v>
      </c>
      <c r="AP683" t="n" s="2909">
        <v>260000</v>
      </c>
      <c r="DB683" s="2909" t="str">
        <f>IF($A683="","",IF($AH683=20,IF(AND(OR($A683=21,$A683=215),$AJ683=10),"①病院一般",IF(AND($A683=31,$AJ683=41),"②病院短期","対象外")),IF($AJ683=30,"③特定消防",IF(AND(OR($A683=21,$A683=215),$AJ683=10),"④一般",IF(AND($A683=31,$AJ683=41),"⑤短期","対象外")))))</f>
        <v>②病院短期</v>
      </c>
      <c r="DC683" s="2909">
        <f>IF($A683="","",IF($AB683&amp;""='DB_設定'!$C$4,1,0))</f>
        <v>1</v>
      </c>
    </row>
    <row r="684">
      <c r="A684" t="n" s="2909">
        <v>31</v>
      </c>
      <c r="AA684" t="n" s="2909">
        <v>21</v>
      </c>
      <c r="AB684" t="inlineStr" s="2909">
        <is>
          <t>20250401</t>
        </is>
      </c>
      <c r="AD684" t="n" s="2909">
        <v>0</v>
      </c>
      <c r="AE684" t="inlineStr" s="2909">
        <is>
          <t>00000000</t>
        </is>
      </c>
      <c r="AH684" t="n" s="2909">
        <v>1</v>
      </c>
      <c r="AJ684" t="n" s="2909">
        <v>41</v>
      </c>
      <c r="AP684" t="n" s="2909">
        <v>220000</v>
      </c>
      <c r="DB684" s="2909" t="str">
        <f>IF($A684="","",IF($AH684=20,IF(AND(OR($A684=21,$A684=215),$AJ684=10),"①病院一般",IF(AND($A684=31,$AJ684=41),"②病院短期","対象外")),IF($AJ684=30,"③特定消防",IF(AND(OR($A684=21,$A684=215),$AJ684=10),"④一般",IF(AND($A684=31,$AJ684=41),"⑤短期","対象外")))))</f>
        <v>⑤短期</v>
      </c>
      <c r="DC684" s="2909">
        <f>IF($A684="","",IF($AB684&amp;""='DB_設定'!$C$4,1,0))</f>
        <v>1</v>
      </c>
    </row>
    <row r="685">
      <c r="A685" t="n" s="2909">
        <v>31</v>
      </c>
      <c r="AA685" t="n" s="2909">
        <v>21</v>
      </c>
      <c r="AB685" t="inlineStr" s="2909">
        <is>
          <t>20250401</t>
        </is>
      </c>
      <c r="AD685" t="n" s="2909">
        <v>0</v>
      </c>
      <c r="AE685" t="inlineStr" s="2909">
        <is>
          <t>00000000</t>
        </is>
      </c>
      <c r="AH685" t="n" s="2909">
        <v>1</v>
      </c>
      <c r="AJ685" t="n" s="2909">
        <v>41</v>
      </c>
      <c r="AP685" t="n" s="2909">
        <v>240000</v>
      </c>
      <c r="DB685" s="2909" t="str">
        <f>IF($A685="","",IF($AH685=20,IF(AND(OR($A685=21,$A685=215),$AJ685=10),"①病院一般",IF(AND($A685=31,$AJ685=41),"②病院短期","対象外")),IF($AJ685=30,"③特定消防",IF(AND(OR($A685=21,$A685=215),$AJ685=10),"④一般",IF(AND($A685=31,$AJ685=41),"⑤短期","対象外")))))</f>
        <v>⑤短期</v>
      </c>
      <c r="DC685" s="2909">
        <f>IF($A685="","",IF($AB685&amp;""='DB_設定'!$C$4,1,0))</f>
        <v>1</v>
      </c>
    </row>
    <row r="686">
      <c r="A686" t="n" s="2909">
        <v>31</v>
      </c>
      <c r="AA686" t="n" s="2909">
        <v>21</v>
      </c>
      <c r="AB686" t="inlineStr" s="2909">
        <is>
          <t>20250401</t>
        </is>
      </c>
      <c r="AD686" t="n" s="2909">
        <v>0</v>
      </c>
      <c r="AE686" t="inlineStr" s="2909">
        <is>
          <t>00000000</t>
        </is>
      </c>
      <c r="AH686" t="n" s="2909">
        <v>1</v>
      </c>
      <c r="AJ686" t="n" s="2909">
        <v>41</v>
      </c>
      <c r="AP686" t="n" s="2909">
        <v>220000</v>
      </c>
      <c r="DB686" s="2909" t="str">
        <f>IF($A686="","",IF($AH686=20,IF(AND(OR($A686=21,$A686=215),$AJ686=10),"①病院一般",IF(AND($A686=31,$AJ686=41),"②病院短期","対象外")),IF($AJ686=30,"③特定消防",IF(AND(OR($A686=21,$A686=215),$AJ686=10),"④一般",IF(AND($A686=31,$AJ686=41),"⑤短期","対象外")))))</f>
        <v>⑤短期</v>
      </c>
      <c r="DC686" s="2909">
        <f>IF($A686="","",IF($AB686&amp;""='DB_設定'!$C$4,1,0))</f>
        <v>1</v>
      </c>
    </row>
    <row r="687">
      <c r="A687" t="n" s="2909">
        <v>31</v>
      </c>
      <c r="AA687" t="n" s="2909">
        <v>21</v>
      </c>
      <c r="AB687" t="inlineStr" s="2909">
        <is>
          <t>20250401</t>
        </is>
      </c>
      <c r="AD687" t="n" s="2909">
        <v>0</v>
      </c>
      <c r="AE687" t="inlineStr" s="2909">
        <is>
          <t>00000000</t>
        </is>
      </c>
      <c r="AH687" t="n" s="2909">
        <v>1</v>
      </c>
      <c r="AJ687" t="n" s="2909">
        <v>41</v>
      </c>
      <c r="AP687" t="n" s="2909">
        <v>240000</v>
      </c>
      <c r="DB687" s="2909" t="str">
        <f>IF($A687="","",IF($AH687=20,IF(AND(OR($A687=21,$A687=215),$AJ687=10),"①病院一般",IF(AND($A687=31,$AJ687=41),"②病院短期","対象外")),IF($AJ687=30,"③特定消防",IF(AND(OR($A687=21,$A687=215),$AJ687=10),"④一般",IF(AND($A687=31,$AJ687=41),"⑤短期","対象外")))))</f>
        <v>⑤短期</v>
      </c>
      <c r="DC687" s="2909">
        <f>IF($A687="","",IF($AB687&amp;""='DB_設定'!$C$4,1,0))</f>
        <v>1</v>
      </c>
    </row>
    <row r="688">
      <c r="A688" t="n" s="2909">
        <v>31</v>
      </c>
      <c r="AA688" t="n" s="2909">
        <v>21</v>
      </c>
      <c r="AB688" t="inlineStr" s="2909">
        <is>
          <t>20250401</t>
        </is>
      </c>
      <c r="AD688" t="n" s="2909">
        <v>0</v>
      </c>
      <c r="AE688" t="inlineStr" s="2909">
        <is>
          <t>00000000</t>
        </is>
      </c>
      <c r="AH688" t="n" s="2909">
        <v>1</v>
      </c>
      <c r="AJ688" t="n" s="2909">
        <v>41</v>
      </c>
      <c r="AP688" t="n" s="2909">
        <v>220000</v>
      </c>
      <c r="DB688" s="2909" t="str">
        <f>IF($A688="","",IF($AH688=20,IF(AND(OR($A688=21,$A688=215),$AJ688=10),"①病院一般",IF(AND($A688=31,$AJ688=41),"②病院短期","対象外")),IF($AJ688=30,"③特定消防",IF(AND(OR($A688=21,$A688=215),$AJ688=10),"④一般",IF(AND($A688=31,$AJ688=41),"⑤短期","対象外")))))</f>
        <v>⑤短期</v>
      </c>
      <c r="DC688" s="2909">
        <f>IF($A688="","",IF($AB688&amp;""='DB_設定'!$C$4,1,0))</f>
        <v>1</v>
      </c>
    </row>
    <row r="689">
      <c r="A689" t="n" s="2909">
        <v>31</v>
      </c>
      <c r="AA689" t="n" s="2909">
        <v>21</v>
      </c>
      <c r="AB689" t="inlineStr" s="2909">
        <is>
          <t>20250401</t>
        </is>
      </c>
      <c r="AD689" t="n" s="2909">
        <v>0</v>
      </c>
      <c r="AE689" t="inlineStr" s="2909">
        <is>
          <t>00000000</t>
        </is>
      </c>
      <c r="AH689" t="n" s="2909">
        <v>1</v>
      </c>
      <c r="AJ689" t="n" s="2909">
        <v>41</v>
      </c>
      <c r="AP689" t="n" s="2909">
        <v>134000</v>
      </c>
      <c r="DB689" s="2909" t="str">
        <f>IF($A689="","",IF($AH689=20,IF(AND(OR($A689=21,$A689=215),$AJ689=10),"①病院一般",IF(AND($A689=31,$AJ689=41),"②病院短期","対象外")),IF($AJ689=30,"③特定消防",IF(AND(OR($A689=21,$A689=215),$AJ689=10),"④一般",IF(AND($A689=31,$AJ689=41),"⑤短期","対象外")))))</f>
        <v>⑤短期</v>
      </c>
      <c r="DC689" s="2909">
        <f>IF($A689="","",IF($AB689&amp;""='DB_設定'!$C$4,1,0))</f>
        <v>1</v>
      </c>
    </row>
    <row r="690">
      <c r="A690" t="n" s="2909">
        <v>31</v>
      </c>
      <c r="AA690" t="n" s="2909">
        <v>21</v>
      </c>
      <c r="AB690" t="inlineStr" s="2909">
        <is>
          <t>20250401</t>
        </is>
      </c>
      <c r="AD690" t="n" s="2909">
        <v>0</v>
      </c>
      <c r="AE690" t="inlineStr" s="2909">
        <is>
          <t>00000000</t>
        </is>
      </c>
      <c r="AH690" t="n" s="2909">
        <v>1</v>
      </c>
      <c r="AJ690" t="n" s="2909">
        <v>41</v>
      </c>
      <c r="AP690" t="n" s="2909">
        <v>220000</v>
      </c>
      <c r="DB690" s="2909" t="str">
        <f>IF($A690="","",IF($AH690=20,IF(AND(OR($A690=21,$A690=215),$AJ690=10),"①病院一般",IF(AND($A690=31,$AJ690=41),"②病院短期","対象外")),IF($AJ690=30,"③特定消防",IF(AND(OR($A690=21,$A690=215),$AJ690=10),"④一般",IF(AND($A690=31,$AJ690=41),"⑤短期","対象外")))))</f>
        <v>⑤短期</v>
      </c>
      <c r="DC690" s="2909">
        <f>IF($A690="","",IF($AB690&amp;""='DB_設定'!$C$4,1,0))</f>
        <v>1</v>
      </c>
    </row>
    <row r="691">
      <c r="A691" t="n" s="2909">
        <v>31</v>
      </c>
      <c r="AA691" t="n" s="2909">
        <v>21</v>
      </c>
      <c r="AB691" t="inlineStr" s="2909">
        <is>
          <t>20250425</t>
        </is>
      </c>
      <c r="AD691" t="n" s="2909">
        <v>0</v>
      </c>
      <c r="AE691" t="inlineStr" s="2909">
        <is>
          <t>00000000</t>
        </is>
      </c>
      <c r="AH691" t="n" s="2909">
        <v>11</v>
      </c>
      <c r="AJ691" t="n" s="2909">
        <v>41</v>
      </c>
      <c r="AP691" t="n" s="2909">
        <v>260000</v>
      </c>
      <c r="DB691" s="2909" t="str">
        <f>IF($A691="","",IF($AH691=20,IF(AND(OR($A691=21,$A691=215),$AJ691=10),"①病院一般",IF(AND($A691=31,$AJ691=41),"②病院短期","対象外")),IF($AJ691=30,"③特定消防",IF(AND(OR($A691=21,$A691=215),$AJ691=10),"④一般",IF(AND($A691=31,$AJ691=41),"⑤短期","対象外")))))</f>
        <v>⑤短期</v>
      </c>
      <c r="DC691" s="2909">
        <f>IF($A691="","",IF($AB691&amp;""='DB_設定'!$C$4,1,0))</f>
        <v>0</v>
      </c>
    </row>
    <row r="692">
      <c r="A692" t="n" s="2909">
        <v>31</v>
      </c>
      <c r="AA692" t="n" s="2909">
        <v>21</v>
      </c>
      <c r="AB692" t="inlineStr" s="2909">
        <is>
          <t>20250404</t>
        </is>
      </c>
      <c r="AD692" t="n" s="2909">
        <v>0</v>
      </c>
      <c r="AE692" t="inlineStr" s="2909">
        <is>
          <t>00000000</t>
        </is>
      </c>
      <c r="AH692" t="n" s="2909">
        <v>11</v>
      </c>
      <c r="AJ692" t="n" s="2909">
        <v>41</v>
      </c>
      <c r="AP692" t="n" s="2909">
        <v>240000</v>
      </c>
      <c r="DB692" s="2909" t="str">
        <f>IF($A692="","",IF($AH692=20,IF(AND(OR($A692=21,$A692=215),$AJ692=10),"①病院一般",IF(AND($A692=31,$AJ692=41),"②病院短期","対象外")),IF($AJ692=30,"③特定消防",IF(AND(OR($A692=21,$A692=215),$AJ692=10),"④一般",IF(AND($A692=31,$AJ692=41),"⑤短期","対象外")))))</f>
        <v>⑤短期</v>
      </c>
      <c r="DC692" s="2909">
        <f>IF($A692="","",IF($AB692&amp;""='DB_設定'!$C$4,1,0))</f>
        <v>0</v>
      </c>
    </row>
    <row r="693">
      <c r="A693" t="n" s="2909">
        <v>31</v>
      </c>
      <c r="AA693" t="n" s="2909">
        <v>21</v>
      </c>
      <c r="AB693" t="inlineStr" s="2909">
        <is>
          <t>20250401</t>
        </is>
      </c>
      <c r="AD693" t="n" s="2909">
        <v>0</v>
      </c>
      <c r="AE693" t="inlineStr" s="2909">
        <is>
          <t>00000000</t>
        </is>
      </c>
      <c r="AH693" t="n" s="2909">
        <v>20</v>
      </c>
      <c r="AJ693" t="n" s="2909">
        <v>41</v>
      </c>
      <c r="AP693" t="n" s="2909">
        <v>260000</v>
      </c>
      <c r="DB693" s="2909" t="str">
        <f>IF($A693="","",IF($AH693=20,IF(AND(OR($A693=21,$A693=215),$AJ693=10),"①病院一般",IF(AND($A693=31,$AJ693=41),"②病院短期","対象外")),IF($AJ693=30,"③特定消防",IF(AND(OR($A693=21,$A693=215),$AJ693=10),"④一般",IF(AND($A693=31,$AJ693=41),"⑤短期","対象外")))))</f>
        <v>②病院短期</v>
      </c>
      <c r="DC693" s="2909">
        <f>IF($A693="","",IF($AB693&amp;""='DB_設定'!$C$4,1,0))</f>
        <v>1</v>
      </c>
    </row>
    <row r="694">
      <c r="A694" t="n" s="2909">
        <v>31</v>
      </c>
      <c r="AA694" t="n" s="2909">
        <v>21</v>
      </c>
      <c r="AB694" t="inlineStr" s="2909">
        <is>
          <t>20250401</t>
        </is>
      </c>
      <c r="AD694" t="n" s="2909">
        <v>0</v>
      </c>
      <c r="AE694" t="inlineStr" s="2909">
        <is>
          <t>00000000</t>
        </is>
      </c>
      <c r="AH694" t="n" s="2909">
        <v>1</v>
      </c>
      <c r="AJ694" t="n" s="2909">
        <v>41</v>
      </c>
      <c r="AP694" t="n" s="2909">
        <v>220000</v>
      </c>
      <c r="DB694" s="2909" t="str">
        <f>IF($A694="","",IF($AH694=20,IF(AND(OR($A694=21,$A694=215),$AJ694=10),"①病院一般",IF(AND($A694=31,$AJ694=41),"②病院短期","対象外")),IF($AJ694=30,"③特定消防",IF(AND(OR($A694=21,$A694=215),$AJ694=10),"④一般",IF(AND($A694=31,$AJ694=41),"⑤短期","対象外")))))</f>
        <v>⑤短期</v>
      </c>
      <c r="DC694" s="2909">
        <f>IF($A694="","",IF($AB694&amp;""='DB_設定'!$C$4,1,0))</f>
        <v>1</v>
      </c>
    </row>
    <row r="695">
      <c r="A695" t="n" s="2909">
        <v>31</v>
      </c>
      <c r="AA695" t="n" s="2909">
        <v>21</v>
      </c>
      <c r="AB695" t="inlineStr" s="2909">
        <is>
          <t>20250401</t>
        </is>
      </c>
      <c r="AD695" t="n" s="2909">
        <v>0</v>
      </c>
      <c r="AE695" t="inlineStr" s="2909">
        <is>
          <t>00000000</t>
        </is>
      </c>
      <c r="AH695" t="n" s="2909">
        <v>1</v>
      </c>
      <c r="AJ695" t="n" s="2909">
        <v>41</v>
      </c>
      <c r="AP695" t="n" s="2909">
        <v>240000</v>
      </c>
      <c r="DB695" s="2909" t="str">
        <f>IF($A695="","",IF($AH695=20,IF(AND(OR($A695=21,$A695=215),$AJ695=10),"①病院一般",IF(AND($A695=31,$AJ695=41),"②病院短期","対象外")),IF($AJ695=30,"③特定消防",IF(AND(OR($A695=21,$A695=215),$AJ695=10),"④一般",IF(AND($A695=31,$AJ695=41),"⑤短期","対象外")))))</f>
        <v>⑤短期</v>
      </c>
      <c r="DC695" s="2909">
        <f>IF($A695="","",IF($AB695&amp;""='DB_設定'!$C$4,1,0))</f>
        <v>1</v>
      </c>
    </row>
    <row r="696">
      <c r="A696" t="n" s="2909">
        <v>31</v>
      </c>
      <c r="AA696" t="n" s="2909">
        <v>21</v>
      </c>
      <c r="AB696" t="inlineStr" s="2909">
        <is>
          <t>20250401</t>
        </is>
      </c>
      <c r="AD696" t="n" s="2909">
        <v>0</v>
      </c>
      <c r="AE696" t="inlineStr" s="2909">
        <is>
          <t>00000000</t>
        </is>
      </c>
      <c r="AH696" t="n" s="2909">
        <v>1</v>
      </c>
      <c r="AJ696" t="n" s="2909">
        <v>41</v>
      </c>
      <c r="AP696" t="n" s="2909">
        <v>220000</v>
      </c>
      <c r="DB696" s="2909" t="str">
        <f>IF($A696="","",IF($AH696=20,IF(AND(OR($A696=21,$A696=215),$AJ696=10),"①病院一般",IF(AND($A696=31,$AJ696=41),"②病院短期","対象外")),IF($AJ696=30,"③特定消防",IF(AND(OR($A696=21,$A696=215),$AJ696=10),"④一般",IF(AND($A696=31,$AJ696=41),"⑤短期","対象外")))))</f>
        <v>⑤短期</v>
      </c>
      <c r="DC696" s="2909">
        <f>IF($A696="","",IF($AB696&amp;""='DB_設定'!$C$4,1,0))</f>
        <v>1</v>
      </c>
    </row>
    <row r="697">
      <c r="A697" t="n" s="2909">
        <v>31</v>
      </c>
      <c r="AA697" t="n" s="2909">
        <v>21</v>
      </c>
      <c r="AB697" t="inlineStr" s="2909">
        <is>
          <t>20250401</t>
        </is>
      </c>
      <c r="AD697" t="n" s="2909">
        <v>0</v>
      </c>
      <c r="AE697" t="inlineStr" s="2909">
        <is>
          <t>00000000</t>
        </is>
      </c>
      <c r="AH697" t="n" s="2909">
        <v>1</v>
      </c>
      <c r="AJ697" t="n" s="2909">
        <v>41</v>
      </c>
      <c r="AP697" t="n" s="2909">
        <v>220000</v>
      </c>
      <c r="DB697" s="2909" t="str">
        <f>IF($A697="","",IF($AH697=20,IF(AND(OR($A697=21,$A697=215),$AJ697=10),"①病院一般",IF(AND($A697=31,$AJ697=41),"②病院短期","対象外")),IF($AJ697=30,"③特定消防",IF(AND(OR($A697=21,$A697=215),$AJ697=10),"④一般",IF(AND($A697=31,$AJ697=41),"⑤短期","対象外")))))</f>
        <v>⑤短期</v>
      </c>
      <c r="DC697" s="2909">
        <f>IF($A697="","",IF($AB697&amp;""='DB_設定'!$C$4,1,0))</f>
        <v>1</v>
      </c>
    </row>
    <row r="698">
      <c r="A698" t="n" s="2909">
        <v>31</v>
      </c>
      <c r="AA698" t="n" s="2909">
        <v>21</v>
      </c>
      <c r="AB698" t="inlineStr" s="2909">
        <is>
          <t>20250401</t>
        </is>
      </c>
      <c r="AD698" t="n" s="2909">
        <v>0</v>
      </c>
      <c r="AE698" t="inlineStr" s="2909">
        <is>
          <t>00000000</t>
        </is>
      </c>
      <c r="AH698" t="n" s="2909">
        <v>1</v>
      </c>
      <c r="AJ698" t="n" s="2909">
        <v>41</v>
      </c>
      <c r="AP698" t="n" s="2909">
        <v>220000</v>
      </c>
      <c r="DB698" s="2909" t="str">
        <f>IF($A698="","",IF($AH698=20,IF(AND(OR($A698=21,$A698=215),$AJ698=10),"①病院一般",IF(AND($A698=31,$AJ698=41),"②病院短期","対象外")),IF($AJ698=30,"③特定消防",IF(AND(OR($A698=21,$A698=215),$AJ698=10),"④一般",IF(AND($A698=31,$AJ698=41),"⑤短期","対象外")))))</f>
        <v>⑤短期</v>
      </c>
      <c r="DC698" s="2909">
        <f>IF($A698="","",IF($AB698&amp;""='DB_設定'!$C$4,1,0))</f>
        <v>1</v>
      </c>
    </row>
    <row r="699">
      <c r="A699" t="n" s="2909">
        <v>31</v>
      </c>
      <c r="AA699" t="n" s="2909">
        <v>21</v>
      </c>
      <c r="AB699" t="inlineStr" s="2909">
        <is>
          <t>20250401</t>
        </is>
      </c>
      <c r="AD699" t="n" s="2909">
        <v>0</v>
      </c>
      <c r="AE699" t="inlineStr" s="2909">
        <is>
          <t>00000000</t>
        </is>
      </c>
      <c r="AH699" t="n" s="2909">
        <v>1</v>
      </c>
      <c r="AJ699" t="n" s="2909">
        <v>41</v>
      </c>
      <c r="AP699" t="n" s="2909">
        <v>134000</v>
      </c>
      <c r="DB699" s="2909" t="str">
        <f>IF($A699="","",IF($AH699=20,IF(AND(OR($A699=21,$A699=215),$AJ699=10),"①病院一般",IF(AND($A699=31,$AJ699=41),"②病院短期","対象外")),IF($AJ699=30,"③特定消防",IF(AND(OR($A699=21,$A699=215),$AJ699=10),"④一般",IF(AND($A699=31,$AJ699=41),"⑤短期","対象外")))))</f>
        <v>⑤短期</v>
      </c>
      <c r="DC699" s="2909">
        <f>IF($A699="","",IF($AB699&amp;""='DB_設定'!$C$4,1,0))</f>
        <v>1</v>
      </c>
    </row>
    <row r="700">
      <c r="A700" t="n" s="2909">
        <v>31</v>
      </c>
      <c r="AA700" t="n" s="2909">
        <v>21</v>
      </c>
      <c r="AB700" t="inlineStr" s="2909">
        <is>
          <t>20250401</t>
        </is>
      </c>
      <c r="AD700" t="n" s="2909">
        <v>0</v>
      </c>
      <c r="AE700" t="inlineStr" s="2909">
        <is>
          <t>00000000</t>
        </is>
      </c>
      <c r="AH700" t="n" s="2909">
        <v>20</v>
      </c>
      <c r="AJ700" t="n" s="2909">
        <v>41</v>
      </c>
      <c r="AP700" t="n" s="2909">
        <v>240000</v>
      </c>
      <c r="DB700" s="2909" t="str">
        <f>IF($A700="","",IF($AH700=20,IF(AND(OR($A700=21,$A700=215),$AJ700=10),"①病院一般",IF(AND($A700=31,$AJ700=41),"②病院短期","対象外")),IF($AJ700=30,"③特定消防",IF(AND(OR($A700=21,$A700=215),$AJ700=10),"④一般",IF(AND($A700=31,$AJ700=41),"⑤短期","対象外")))))</f>
        <v>②病院短期</v>
      </c>
      <c r="DC700" s="2909">
        <f>IF($A700="","",IF($AB700&amp;""='DB_設定'!$C$4,1,0))</f>
        <v>1</v>
      </c>
    </row>
    <row r="701">
      <c r="A701" t="n" s="2909">
        <v>31</v>
      </c>
      <c r="AA701" t="n" s="2909">
        <v>21</v>
      </c>
      <c r="AB701" t="inlineStr" s="2909">
        <is>
          <t>20250401</t>
        </is>
      </c>
      <c r="AD701" t="n" s="2909">
        <v>0</v>
      </c>
      <c r="AE701" t="inlineStr" s="2909">
        <is>
          <t>00000000</t>
        </is>
      </c>
      <c r="AH701" t="n" s="2909">
        <v>1</v>
      </c>
      <c r="AJ701" t="n" s="2909">
        <v>41</v>
      </c>
      <c r="AP701" t="n" s="2909">
        <v>220000</v>
      </c>
      <c r="DB701" s="2909" t="str">
        <f>IF($A701="","",IF($AH701=20,IF(AND(OR($A701=21,$A701=215),$AJ701=10),"①病院一般",IF(AND($A701=31,$AJ701=41),"②病院短期","対象外")),IF($AJ701=30,"③特定消防",IF(AND(OR($A701=21,$A701=215),$AJ701=10),"④一般",IF(AND($A701=31,$AJ701=41),"⑤短期","対象外")))))</f>
        <v>⑤短期</v>
      </c>
      <c r="DC701" s="2909">
        <f>IF($A701="","",IF($AB701&amp;""='DB_設定'!$C$4,1,0))</f>
        <v>1</v>
      </c>
    </row>
    <row r="702">
      <c r="A702" t="n" s="2909">
        <v>31</v>
      </c>
      <c r="AA702" t="n" s="2909">
        <v>21</v>
      </c>
      <c r="AB702" t="inlineStr" s="2909">
        <is>
          <t>20250401</t>
        </is>
      </c>
      <c r="AD702" t="n" s="2909">
        <v>0</v>
      </c>
      <c r="AE702" t="inlineStr" s="2909">
        <is>
          <t>00000000</t>
        </is>
      </c>
      <c r="AH702" t="n" s="2909">
        <v>1</v>
      </c>
      <c r="AJ702" t="n" s="2909">
        <v>41</v>
      </c>
      <c r="AP702" t="n" s="2909">
        <v>220000</v>
      </c>
      <c r="DB702" s="2909" t="str">
        <f>IF($A702="","",IF($AH702=20,IF(AND(OR($A702=21,$A702=215),$AJ702=10),"①病院一般",IF(AND($A702=31,$AJ702=41),"②病院短期","対象外")),IF($AJ702=30,"③特定消防",IF(AND(OR($A702=21,$A702=215),$AJ702=10),"④一般",IF(AND($A702=31,$AJ702=41),"⑤短期","対象外")))))</f>
        <v>⑤短期</v>
      </c>
      <c r="DC702" s="2909">
        <f>IF($A702="","",IF($AB702&amp;""='DB_設定'!$C$4,1,0))</f>
        <v>1</v>
      </c>
    </row>
    <row r="703">
      <c r="A703" t="n" s="2909">
        <v>31</v>
      </c>
      <c r="AA703" t="n" s="2909">
        <v>21</v>
      </c>
      <c r="AB703" t="inlineStr" s="2909">
        <is>
          <t>20250401</t>
        </is>
      </c>
      <c r="AD703" t="n" s="2909">
        <v>0</v>
      </c>
      <c r="AE703" t="inlineStr" s="2909">
        <is>
          <t>00000000</t>
        </is>
      </c>
      <c r="AH703" t="n" s="2909">
        <v>5</v>
      </c>
      <c r="AJ703" t="n" s="2909">
        <v>41</v>
      </c>
      <c r="AP703" t="n" s="2909">
        <v>220000</v>
      </c>
      <c r="DB703" s="2909" t="str">
        <f>IF($A703="","",IF($AH703=20,IF(AND(OR($A703=21,$A703=215),$AJ703=10),"①病院一般",IF(AND($A703=31,$AJ703=41),"②病院短期","対象外")),IF($AJ703=30,"③特定消防",IF(AND(OR($A703=21,$A703=215),$AJ703=10),"④一般",IF(AND($A703=31,$AJ703=41),"⑤短期","対象外")))))</f>
        <v>⑤短期</v>
      </c>
      <c r="DC703" s="2909">
        <f>IF($A703="","",IF($AB703&amp;""='DB_設定'!$C$4,1,0))</f>
        <v>1</v>
      </c>
    </row>
    <row r="704">
      <c r="A704" t="n" s="2909">
        <v>31</v>
      </c>
      <c r="AA704" t="n" s="2909">
        <v>21</v>
      </c>
      <c r="AB704" t="inlineStr" s="2909">
        <is>
          <t>20250401</t>
        </is>
      </c>
      <c r="AD704" t="n" s="2909">
        <v>0</v>
      </c>
      <c r="AE704" t="inlineStr" s="2909">
        <is>
          <t>00000000</t>
        </is>
      </c>
      <c r="AH704" t="n" s="2909">
        <v>1</v>
      </c>
      <c r="AJ704" t="n" s="2909">
        <v>41</v>
      </c>
      <c r="AP704" t="n" s="2909">
        <v>220000</v>
      </c>
      <c r="DB704" s="2909" t="str">
        <f>IF($A704="","",IF($AH704=20,IF(AND(OR($A704=21,$A704=215),$AJ704=10),"①病院一般",IF(AND($A704=31,$AJ704=41),"②病院短期","対象外")),IF($AJ704=30,"③特定消防",IF(AND(OR($A704=21,$A704=215),$AJ704=10),"④一般",IF(AND($A704=31,$AJ704=41),"⑤短期","対象外")))))</f>
        <v>⑤短期</v>
      </c>
      <c r="DC704" s="2909">
        <f>IF($A704="","",IF($AB704&amp;""='DB_設定'!$C$4,1,0))</f>
        <v>1</v>
      </c>
    </row>
    <row r="705">
      <c r="A705" t="n" s="2909">
        <v>31</v>
      </c>
      <c r="AA705" t="n" s="2909">
        <v>21</v>
      </c>
      <c r="AB705" t="inlineStr" s="2909">
        <is>
          <t>20250401</t>
        </is>
      </c>
      <c r="AD705" t="n" s="2909">
        <v>0</v>
      </c>
      <c r="AE705" t="inlineStr" s="2909">
        <is>
          <t>00000000</t>
        </is>
      </c>
      <c r="AH705" t="n" s="2909">
        <v>1</v>
      </c>
      <c r="AJ705" t="n" s="2909">
        <v>41</v>
      </c>
      <c r="AP705" t="n" s="2909">
        <v>220000</v>
      </c>
      <c r="DB705" s="2909" t="str">
        <f>IF($A705="","",IF($AH705=20,IF(AND(OR($A705=21,$A705=215),$AJ705=10),"①病院一般",IF(AND($A705=31,$AJ705=41),"②病院短期","対象外")),IF($AJ705=30,"③特定消防",IF(AND(OR($A705=21,$A705=215),$AJ705=10),"④一般",IF(AND($A705=31,$AJ705=41),"⑤短期","対象外")))))</f>
        <v>⑤短期</v>
      </c>
      <c r="DC705" s="2909">
        <f>IF($A705="","",IF($AB705&amp;""='DB_設定'!$C$4,1,0))</f>
        <v>1</v>
      </c>
    </row>
    <row r="706">
      <c r="A706" t="n" s="2909">
        <v>31</v>
      </c>
      <c r="AA706" t="n" s="2909">
        <v>21</v>
      </c>
      <c r="AB706" t="inlineStr" s="2909">
        <is>
          <t>20250401</t>
        </is>
      </c>
      <c r="AD706" t="n" s="2909">
        <v>0</v>
      </c>
      <c r="AE706" t="inlineStr" s="2909">
        <is>
          <t>00000000</t>
        </is>
      </c>
      <c r="AH706" t="n" s="2909">
        <v>1</v>
      </c>
      <c r="AJ706" t="n" s="2909">
        <v>41</v>
      </c>
      <c r="AP706" t="n" s="2909">
        <v>240000</v>
      </c>
      <c r="DB706" s="2909" t="str">
        <f>IF($A706="","",IF($AH706=20,IF(AND(OR($A706=21,$A706=215),$AJ706=10),"①病院一般",IF(AND($A706=31,$AJ706=41),"②病院短期","対象外")),IF($AJ706=30,"③特定消防",IF(AND(OR($A706=21,$A706=215),$AJ706=10),"④一般",IF(AND($A706=31,$AJ706=41),"⑤短期","対象外")))))</f>
        <v>⑤短期</v>
      </c>
      <c r="DC706" s="2909">
        <f>IF($A706="","",IF($AB706&amp;""='DB_設定'!$C$4,1,0))</f>
        <v>1</v>
      </c>
    </row>
    <row r="707">
      <c r="A707" t="n" s="2909">
        <v>31</v>
      </c>
      <c r="AA707" t="n" s="2909">
        <v>21</v>
      </c>
      <c r="AB707" t="inlineStr" s="2909">
        <is>
          <t>20250401</t>
        </is>
      </c>
      <c r="AD707" t="n" s="2909">
        <v>0</v>
      </c>
      <c r="AE707" t="inlineStr" s="2909">
        <is>
          <t>00000000</t>
        </is>
      </c>
      <c r="AH707" t="n" s="2909">
        <v>1</v>
      </c>
      <c r="AJ707" t="n" s="2909">
        <v>41</v>
      </c>
      <c r="AP707" t="n" s="2909">
        <v>240000</v>
      </c>
      <c r="DB707" s="2909" t="str">
        <f>IF($A707="","",IF($AH707=20,IF(AND(OR($A707=21,$A707=215),$AJ707=10),"①病院一般",IF(AND($A707=31,$AJ707=41),"②病院短期","対象外")),IF($AJ707=30,"③特定消防",IF(AND(OR($A707=21,$A707=215),$AJ707=10),"④一般",IF(AND($A707=31,$AJ707=41),"⑤短期","対象外")))))</f>
        <v>⑤短期</v>
      </c>
      <c r="DC707" s="2909">
        <f>IF($A707="","",IF($AB707&amp;""='DB_設定'!$C$4,1,0))</f>
        <v>1</v>
      </c>
    </row>
    <row r="708">
      <c r="A708" t="n" s="2909">
        <v>31</v>
      </c>
      <c r="AA708" t="n" s="2909">
        <v>21</v>
      </c>
      <c r="AB708" t="inlineStr" s="2909">
        <is>
          <t>20250401</t>
        </is>
      </c>
      <c r="AD708" t="n" s="2909">
        <v>0</v>
      </c>
      <c r="AE708" t="inlineStr" s="2909">
        <is>
          <t>00000000</t>
        </is>
      </c>
      <c r="AH708" t="n" s="2909">
        <v>1</v>
      </c>
      <c r="AJ708" t="n" s="2909">
        <v>41</v>
      </c>
      <c r="AP708" t="n" s="2909">
        <v>220000</v>
      </c>
      <c r="DB708" s="2909" t="str">
        <f>IF($A708="","",IF($AH708=20,IF(AND(OR($A708=21,$A708=215),$AJ708=10),"①病院一般",IF(AND($A708=31,$AJ708=41),"②病院短期","対象外")),IF($AJ708=30,"③特定消防",IF(AND(OR($A708=21,$A708=215),$AJ708=10),"④一般",IF(AND($A708=31,$AJ708=41),"⑤短期","対象外")))))</f>
        <v>⑤短期</v>
      </c>
      <c r="DC708" s="2909">
        <f>IF($A708="","",IF($AB708&amp;""='DB_設定'!$C$4,1,0))</f>
        <v>1</v>
      </c>
    </row>
    <row r="709">
      <c r="A709" t="n" s="2909">
        <v>31</v>
      </c>
      <c r="AA709" t="n" s="2909">
        <v>21</v>
      </c>
      <c r="AB709" t="inlineStr" s="2909">
        <is>
          <t>20250401</t>
        </is>
      </c>
      <c r="AD709" t="n" s="2909">
        <v>12</v>
      </c>
      <c r="AE709" t="inlineStr" s="2909">
        <is>
          <t>20250801</t>
        </is>
      </c>
      <c r="AH709" t="n" s="2909">
        <v>1</v>
      </c>
      <c r="AJ709" t="n" s="2909">
        <v>41</v>
      </c>
      <c r="AP709" t="n" s="2909">
        <v>220000</v>
      </c>
      <c r="DB709" s="2909" t="str">
        <f>IF($A709="","",IF($AH709=20,IF(AND(OR($A709=21,$A709=215),$AJ709=10),"①病院一般",IF(AND($A709=31,$AJ709=41),"②病院短期","対象外")),IF($AJ709=30,"③特定消防",IF(AND(OR($A709=21,$A709=215),$AJ709=10),"④一般",IF(AND($A709=31,$AJ709=41),"⑤短期","対象外")))))</f>
        <v>⑤短期</v>
      </c>
      <c r="DC709" s="2909">
        <f>IF($A709="","",IF($AB709&amp;""='DB_設定'!$C$4,1,0))</f>
        <v>1</v>
      </c>
    </row>
    <row r="710">
      <c r="A710" t="n" s="2909">
        <v>31</v>
      </c>
      <c r="AA710" t="n" s="2909">
        <v>21</v>
      </c>
      <c r="AB710" t="inlineStr" s="2909">
        <is>
          <t>20250401</t>
        </is>
      </c>
      <c r="AD710" t="n" s="2909">
        <v>0</v>
      </c>
      <c r="AE710" t="inlineStr" s="2909">
        <is>
          <t>00000000</t>
        </is>
      </c>
      <c r="AH710" t="n" s="2909">
        <v>20</v>
      </c>
      <c r="AJ710" t="n" s="2909">
        <v>41</v>
      </c>
      <c r="AP710" t="n" s="2909">
        <v>260000</v>
      </c>
      <c r="DB710" s="2909" t="str">
        <f>IF($A710="","",IF($AH710=20,IF(AND(OR($A710=21,$A710=215),$AJ710=10),"①病院一般",IF(AND($A710=31,$AJ710=41),"②病院短期","対象外")),IF($AJ710=30,"③特定消防",IF(AND(OR($A710=21,$A710=215),$AJ710=10),"④一般",IF(AND($A710=31,$AJ710=41),"⑤短期","対象外")))))</f>
        <v>②病院短期</v>
      </c>
      <c r="DC710" s="2909">
        <f>IF($A710="","",IF($AB710&amp;""='DB_設定'!$C$4,1,0))</f>
        <v>1</v>
      </c>
    </row>
    <row r="711">
      <c r="A711" t="n" s="2909">
        <v>31</v>
      </c>
      <c r="AA711" t="n" s="2909">
        <v>21</v>
      </c>
      <c r="AB711" t="inlineStr" s="2909">
        <is>
          <t>20250707</t>
        </is>
      </c>
      <c r="AD711" t="n" s="2909">
        <v>0</v>
      </c>
      <c r="AE711" t="inlineStr" s="2909">
        <is>
          <t>00000000</t>
        </is>
      </c>
      <c r="AH711" t="n" s="2909">
        <v>1</v>
      </c>
      <c r="AJ711" t="n" s="2909">
        <v>41</v>
      </c>
      <c r="AP711" t="n" s="2909">
        <v>134000</v>
      </c>
      <c r="DB711" s="2909" t="str">
        <f>IF($A711="","",IF($AH711=20,IF(AND(OR($A711=21,$A711=215),$AJ711=10),"①病院一般",IF(AND($A711=31,$AJ711=41),"②病院短期","対象外")),IF($AJ711=30,"③特定消防",IF(AND(OR($A711=21,$A711=215),$AJ711=10),"④一般",IF(AND($A711=31,$AJ711=41),"⑤短期","対象外")))))</f>
        <v>⑤短期</v>
      </c>
      <c r="DC711" s="2909">
        <f>IF($A711="","",IF($AB711&amp;""='DB_設定'!$C$4,1,0))</f>
        <v>0</v>
      </c>
    </row>
    <row r="712">
      <c r="A712" t="n" s="2909">
        <v>31</v>
      </c>
      <c r="AA712" t="n" s="2909">
        <v>21</v>
      </c>
      <c r="AB712" t="inlineStr" s="2909">
        <is>
          <t>20250401</t>
        </is>
      </c>
      <c r="AD712" t="n" s="2909">
        <v>0</v>
      </c>
      <c r="AE712" t="inlineStr" s="2909">
        <is>
          <t>00000000</t>
        </is>
      </c>
      <c r="AH712" t="n" s="2909">
        <v>4</v>
      </c>
      <c r="AJ712" t="n" s="2909">
        <v>41</v>
      </c>
      <c r="AP712" t="n" s="2909">
        <v>220000</v>
      </c>
      <c r="DB712" s="2909" t="str">
        <f>IF($A712="","",IF($AH712=20,IF(AND(OR($A712=21,$A712=215),$AJ712=10),"①病院一般",IF(AND($A712=31,$AJ712=41),"②病院短期","対象外")),IF($AJ712=30,"③特定消防",IF(AND(OR($A712=21,$A712=215),$AJ712=10),"④一般",IF(AND($A712=31,$AJ712=41),"⑤短期","対象外")))))</f>
        <v>⑤短期</v>
      </c>
      <c r="DC712" s="2909">
        <f>IF($A712="","",IF($AB712&amp;""='DB_設定'!$C$4,1,0))</f>
        <v>1</v>
      </c>
    </row>
    <row r="713">
      <c r="A713" t="n" s="2909">
        <v>31</v>
      </c>
      <c r="AA713" t="n" s="2909">
        <v>21</v>
      </c>
      <c r="AB713" t="inlineStr" s="2909">
        <is>
          <t>20250401</t>
        </is>
      </c>
      <c r="AD713" t="n" s="2909">
        <v>0</v>
      </c>
      <c r="AE713" t="inlineStr" s="2909">
        <is>
          <t>00000000</t>
        </is>
      </c>
      <c r="AH713" t="n" s="2909">
        <v>20</v>
      </c>
      <c r="AJ713" t="n" s="2909">
        <v>41</v>
      </c>
      <c r="AP713" t="n" s="2909">
        <v>260000</v>
      </c>
      <c r="DB713" s="2909" t="str">
        <f>IF($A713="","",IF($AH713=20,IF(AND(OR($A713=21,$A713=215),$AJ713=10),"①病院一般",IF(AND($A713=31,$AJ713=41),"②病院短期","対象外")),IF($AJ713=30,"③特定消防",IF(AND(OR($A713=21,$A713=215),$AJ713=10),"④一般",IF(AND($A713=31,$AJ713=41),"⑤短期","対象外")))))</f>
        <v>②病院短期</v>
      </c>
      <c r="DC713" s="2909">
        <f>IF($A713="","",IF($AB713&amp;""='DB_設定'!$C$4,1,0))</f>
        <v>1</v>
      </c>
    </row>
    <row r="714">
      <c r="A714" t="n" s="2909">
        <v>31</v>
      </c>
      <c r="AA714" t="n" s="2909">
        <v>21</v>
      </c>
      <c r="AB714" t="inlineStr" s="2909">
        <is>
          <t>20250401</t>
        </is>
      </c>
      <c r="AD714" t="n" s="2909">
        <v>0</v>
      </c>
      <c r="AE714" t="inlineStr" s="2909">
        <is>
          <t>00000000</t>
        </is>
      </c>
      <c r="AH714" t="n" s="2909">
        <v>1</v>
      </c>
      <c r="AJ714" t="n" s="2909">
        <v>41</v>
      </c>
      <c r="AP714" t="n" s="2909">
        <v>220000</v>
      </c>
      <c r="DB714" s="2909" t="str">
        <f>IF($A714="","",IF($AH714=20,IF(AND(OR($A714=21,$A714=215),$AJ714=10),"①病院一般",IF(AND($A714=31,$AJ714=41),"②病院短期","対象外")),IF($AJ714=30,"③特定消防",IF(AND(OR($A714=21,$A714=215),$AJ714=10),"④一般",IF(AND($A714=31,$AJ714=41),"⑤短期","対象外")))))</f>
        <v>⑤短期</v>
      </c>
      <c r="DC714" s="2909">
        <f>IF($A714="","",IF($AB714&amp;""='DB_設定'!$C$4,1,0))</f>
        <v>1</v>
      </c>
    </row>
    <row r="715">
      <c r="A715" t="n" s="2909">
        <v>31</v>
      </c>
      <c r="AA715" t="n" s="2909">
        <v>21</v>
      </c>
      <c r="AB715" t="inlineStr" s="2909">
        <is>
          <t>20250401</t>
        </is>
      </c>
      <c r="AD715" t="n" s="2909">
        <v>0</v>
      </c>
      <c r="AE715" t="inlineStr" s="2909">
        <is>
          <t>00000000</t>
        </is>
      </c>
      <c r="AH715" t="n" s="2909">
        <v>1</v>
      </c>
      <c r="AJ715" t="n" s="2909">
        <v>41</v>
      </c>
      <c r="AP715" t="n" s="2909">
        <v>240000</v>
      </c>
      <c r="DB715" s="2909" t="str">
        <f>IF($A715="","",IF($AH715=20,IF(AND(OR($A715=21,$A715=215),$AJ715=10),"①病院一般",IF(AND($A715=31,$AJ715=41),"②病院短期","対象外")),IF($AJ715=30,"③特定消防",IF(AND(OR($A715=21,$A715=215),$AJ715=10),"④一般",IF(AND($A715=31,$AJ715=41),"⑤短期","対象外")))))</f>
        <v>⑤短期</v>
      </c>
      <c r="DC715" s="2909">
        <f>IF($A715="","",IF($AB715&amp;""='DB_設定'!$C$4,1,0))</f>
        <v>1</v>
      </c>
    </row>
    <row r="716">
      <c r="A716" t="n" s="2909">
        <v>31</v>
      </c>
      <c r="AA716" t="n" s="2909">
        <v>21</v>
      </c>
      <c r="AB716" t="inlineStr" s="2909">
        <is>
          <t>20250401</t>
        </is>
      </c>
      <c r="AD716" t="n" s="2909">
        <v>0</v>
      </c>
      <c r="AE716" t="inlineStr" s="2909">
        <is>
          <t>00000000</t>
        </is>
      </c>
      <c r="AH716" t="n" s="2909">
        <v>1</v>
      </c>
      <c r="AJ716" t="n" s="2909">
        <v>41</v>
      </c>
      <c r="AP716" t="n" s="2909">
        <v>142000</v>
      </c>
      <c r="DB716" s="2909" t="str">
        <f>IF($A716="","",IF($AH716=20,IF(AND(OR($A716=21,$A716=215),$AJ716=10),"①病院一般",IF(AND($A716=31,$AJ716=41),"②病院短期","対象外")),IF($AJ716=30,"③特定消防",IF(AND(OR($A716=21,$A716=215),$AJ716=10),"④一般",IF(AND($A716=31,$AJ716=41),"⑤短期","対象外")))))</f>
        <v>⑤短期</v>
      </c>
      <c r="DC716" s="2909">
        <f>IF($A716="","",IF($AB716&amp;""='DB_設定'!$C$4,1,0))</f>
        <v>1</v>
      </c>
    </row>
    <row r="717">
      <c r="A717" t="n" s="2909">
        <v>31</v>
      </c>
      <c r="AA717" t="n" s="2909">
        <v>21</v>
      </c>
      <c r="AB717" t="inlineStr" s="2909">
        <is>
          <t>20250701</t>
        </is>
      </c>
      <c r="AD717" t="n" s="2909">
        <v>0</v>
      </c>
      <c r="AE717" t="inlineStr" s="2909">
        <is>
          <t>00000000</t>
        </is>
      </c>
      <c r="AH717" t="n" s="2909">
        <v>1</v>
      </c>
      <c r="AJ717" t="n" s="2909">
        <v>41</v>
      </c>
      <c r="AP717" t="n" s="2909">
        <v>200000</v>
      </c>
      <c r="DB717" s="2909" t="str">
        <f>IF($A717="","",IF($AH717=20,IF(AND(OR($A717=21,$A717=215),$AJ717=10),"①病院一般",IF(AND($A717=31,$AJ717=41),"②病院短期","対象外")),IF($AJ717=30,"③特定消防",IF(AND(OR($A717=21,$A717=215),$AJ717=10),"④一般",IF(AND($A717=31,$AJ717=41),"⑤短期","対象外")))))</f>
        <v>⑤短期</v>
      </c>
      <c r="DC717" s="2909">
        <f>IF($A717="","",IF($AB717&amp;""='DB_設定'!$C$4,1,0))</f>
        <v>0</v>
      </c>
    </row>
    <row r="718">
      <c r="A718" t="n" s="2909">
        <v>31</v>
      </c>
      <c r="AA718" t="n" s="2909">
        <v>21</v>
      </c>
      <c r="AB718" t="inlineStr" s="2909">
        <is>
          <t>20250401</t>
        </is>
      </c>
      <c r="AD718" t="n" s="2909">
        <v>0</v>
      </c>
      <c r="AE718" t="inlineStr" s="2909">
        <is>
          <t>00000000</t>
        </is>
      </c>
      <c r="AH718" t="n" s="2909">
        <v>3</v>
      </c>
      <c r="AJ718" t="n" s="2909">
        <v>41</v>
      </c>
      <c r="AP718" t="n" s="2909">
        <v>240000</v>
      </c>
      <c r="DB718" s="2909" t="str">
        <f>IF($A718="","",IF($AH718=20,IF(AND(OR($A718=21,$A718=215),$AJ718=10),"①病院一般",IF(AND($A718=31,$AJ718=41),"②病院短期","対象外")),IF($AJ718=30,"③特定消防",IF(AND(OR($A718=21,$A718=215),$AJ718=10),"④一般",IF(AND($A718=31,$AJ718=41),"⑤短期","対象外")))))</f>
        <v>⑤短期</v>
      </c>
      <c r="DC718" s="2909">
        <f>IF($A718="","",IF($AB718&amp;""='DB_設定'!$C$4,1,0))</f>
        <v>1</v>
      </c>
    </row>
    <row r="719">
      <c r="A719" t="n" s="2909">
        <v>31</v>
      </c>
      <c r="AA719" t="n" s="2909">
        <v>21</v>
      </c>
      <c r="AB719" t="inlineStr" s="2909">
        <is>
          <t>20250401</t>
        </is>
      </c>
      <c r="AD719" t="n" s="2909">
        <v>0</v>
      </c>
      <c r="AE719" t="inlineStr" s="2909">
        <is>
          <t>00000000</t>
        </is>
      </c>
      <c r="AH719" t="n" s="2909">
        <v>3</v>
      </c>
      <c r="AJ719" t="n" s="2909">
        <v>41</v>
      </c>
      <c r="AP719" t="n" s="2909">
        <v>280000</v>
      </c>
      <c r="DB719" s="2909" t="str">
        <f>IF($A719="","",IF($AH719=20,IF(AND(OR($A719=21,$A719=215),$AJ719=10),"①病院一般",IF(AND($A719=31,$AJ719=41),"②病院短期","対象外")),IF($AJ719=30,"③特定消防",IF(AND(OR($A719=21,$A719=215),$AJ719=10),"④一般",IF(AND($A719=31,$AJ719=41),"⑤短期","対象外")))))</f>
        <v>⑤短期</v>
      </c>
      <c r="DC719" s="2909">
        <f>IF($A719="","",IF($AB719&amp;""='DB_設定'!$C$4,1,0))</f>
        <v>1</v>
      </c>
    </row>
    <row r="720">
      <c r="A720" t="n" s="2909">
        <v>31</v>
      </c>
      <c r="AA720" t="n" s="2909">
        <v>21</v>
      </c>
      <c r="AB720" t="inlineStr" s="2909">
        <is>
          <t>20250401</t>
        </is>
      </c>
      <c r="AD720" t="n" s="2909">
        <v>0</v>
      </c>
      <c r="AE720" t="inlineStr" s="2909">
        <is>
          <t>00000000</t>
        </is>
      </c>
      <c r="AH720" t="n" s="2909">
        <v>11</v>
      </c>
      <c r="AJ720" t="n" s="2909">
        <v>41</v>
      </c>
      <c r="AP720" t="n" s="2909">
        <v>180000</v>
      </c>
      <c r="DB720" s="2909" t="str">
        <f>IF($A720="","",IF($AH720=20,IF(AND(OR($A720=21,$A720=215),$AJ720=10),"①病院一般",IF(AND($A720=31,$AJ720=41),"②病院短期","対象外")),IF($AJ720=30,"③特定消防",IF(AND(OR($A720=21,$A720=215),$AJ720=10),"④一般",IF(AND($A720=31,$AJ720=41),"⑤短期","対象外")))))</f>
        <v>⑤短期</v>
      </c>
      <c r="DC720" s="2909">
        <f>IF($A720="","",IF($AB720&amp;""='DB_設定'!$C$4,1,0))</f>
        <v>1</v>
      </c>
    </row>
    <row r="721">
      <c r="A721" t="n" s="2909">
        <v>31</v>
      </c>
      <c r="AA721" t="n" s="2909">
        <v>21</v>
      </c>
      <c r="AB721" t="inlineStr" s="2909">
        <is>
          <t>20250401</t>
        </is>
      </c>
      <c r="AD721" t="n" s="2909">
        <v>0</v>
      </c>
      <c r="AE721" t="inlineStr" s="2909">
        <is>
          <t>00000000</t>
        </is>
      </c>
      <c r="AH721" t="n" s="2909">
        <v>11</v>
      </c>
      <c r="AJ721" t="n" s="2909">
        <v>41</v>
      </c>
      <c r="AP721" t="n" s="2909">
        <v>190000</v>
      </c>
      <c r="DB721" s="2909" t="str">
        <f>IF($A721="","",IF($AH721=20,IF(AND(OR($A721=21,$A721=215),$AJ721=10),"①病院一般",IF(AND($A721=31,$AJ721=41),"②病院短期","対象外")),IF($AJ721=30,"③特定消防",IF(AND(OR($A721=21,$A721=215),$AJ721=10),"④一般",IF(AND($A721=31,$AJ721=41),"⑤短期","対象外")))))</f>
        <v>⑤短期</v>
      </c>
      <c r="DC721" s="2909">
        <f>IF($A721="","",IF($AB721&amp;""='DB_設定'!$C$4,1,0))</f>
        <v>1</v>
      </c>
    </row>
    <row r="722">
      <c r="A722" t="n" s="2909">
        <v>31</v>
      </c>
      <c r="AA722" t="n" s="2909">
        <v>21</v>
      </c>
      <c r="AB722" t="inlineStr" s="2909">
        <is>
          <t>20250401</t>
        </is>
      </c>
      <c r="AD722" t="n" s="2909">
        <v>0</v>
      </c>
      <c r="AE722" t="inlineStr" s="2909">
        <is>
          <t>00000000</t>
        </is>
      </c>
      <c r="AH722" t="n" s="2909">
        <v>4</v>
      </c>
      <c r="AJ722" t="n" s="2909">
        <v>41</v>
      </c>
      <c r="AP722" t="n" s="2909">
        <v>260000</v>
      </c>
      <c r="DB722" s="2909" t="str">
        <f>IF($A722="","",IF($AH722=20,IF(AND(OR($A722=21,$A722=215),$AJ722=10),"①病院一般",IF(AND($A722=31,$AJ722=41),"②病院短期","対象外")),IF($AJ722=30,"③特定消防",IF(AND(OR($A722=21,$A722=215),$AJ722=10),"④一般",IF(AND($A722=31,$AJ722=41),"⑤短期","対象外")))))</f>
        <v>⑤短期</v>
      </c>
      <c r="DC722" s="2909">
        <f>IF($A722="","",IF($AB722&amp;""='DB_設定'!$C$4,1,0))</f>
        <v>1</v>
      </c>
    </row>
    <row r="723">
      <c r="A723" t="n" s="2909">
        <v>31</v>
      </c>
      <c r="AA723" t="n" s="2909">
        <v>21</v>
      </c>
      <c r="AB723" t="inlineStr" s="2909">
        <is>
          <t>20250401</t>
        </is>
      </c>
      <c r="AD723" t="n" s="2909">
        <v>0</v>
      </c>
      <c r="AE723" t="inlineStr" s="2909">
        <is>
          <t>00000000</t>
        </is>
      </c>
      <c r="AH723" t="n" s="2909">
        <v>11</v>
      </c>
      <c r="AJ723" t="n" s="2909">
        <v>41</v>
      </c>
      <c r="AP723" t="n" s="2909">
        <v>240000</v>
      </c>
      <c r="DB723" s="2909" t="str">
        <f>IF($A723="","",IF($AH723=20,IF(AND(OR($A723=21,$A723=215),$AJ723=10),"①病院一般",IF(AND($A723=31,$AJ723=41),"②病院短期","対象外")),IF($AJ723=30,"③特定消防",IF(AND(OR($A723=21,$A723=215),$AJ723=10),"④一般",IF(AND($A723=31,$AJ723=41),"⑤短期","対象外")))))</f>
        <v>⑤短期</v>
      </c>
      <c r="DC723" s="2909">
        <f>IF($A723="","",IF($AB723&amp;""='DB_設定'!$C$4,1,0))</f>
        <v>1</v>
      </c>
    </row>
    <row r="724">
      <c r="A724" t="n" s="2909">
        <v>31</v>
      </c>
      <c r="AA724" t="n" s="2909">
        <v>21</v>
      </c>
      <c r="AB724" t="inlineStr" s="2909">
        <is>
          <t>20250401</t>
        </is>
      </c>
      <c r="AD724" t="n" s="2909">
        <v>0</v>
      </c>
      <c r="AE724" t="inlineStr" s="2909">
        <is>
          <t>00000000</t>
        </is>
      </c>
      <c r="AH724" t="n" s="2909">
        <v>1</v>
      </c>
      <c r="AJ724" t="n" s="2909">
        <v>41</v>
      </c>
      <c r="AP724" t="n" s="2909">
        <v>200000</v>
      </c>
      <c r="DB724" s="2909" t="str">
        <f>IF($A724="","",IF($AH724=20,IF(AND(OR($A724=21,$A724=215),$AJ724=10),"①病院一般",IF(AND($A724=31,$AJ724=41),"②病院短期","対象外")),IF($AJ724=30,"③特定消防",IF(AND(OR($A724=21,$A724=215),$AJ724=10),"④一般",IF(AND($A724=31,$AJ724=41),"⑤短期","対象外")))))</f>
        <v>⑤短期</v>
      </c>
      <c r="DC724" s="2909">
        <f>IF($A724="","",IF($AB724&amp;""='DB_設定'!$C$4,1,0))</f>
        <v>1</v>
      </c>
    </row>
    <row r="725">
      <c r="A725" t="n" s="2909">
        <v>31</v>
      </c>
      <c r="AA725" t="n" s="2909">
        <v>21</v>
      </c>
      <c r="AB725" t="inlineStr" s="2909">
        <is>
          <t>20250401</t>
        </is>
      </c>
      <c r="AD725" t="n" s="2909">
        <v>0</v>
      </c>
      <c r="AE725" t="inlineStr" s="2909">
        <is>
          <t>00000000</t>
        </is>
      </c>
      <c r="AH725" t="n" s="2909">
        <v>11</v>
      </c>
      <c r="AJ725" t="n" s="2909">
        <v>41</v>
      </c>
      <c r="AP725" t="n" s="2909">
        <v>200000</v>
      </c>
      <c r="DB725" s="2909" t="str">
        <f>IF($A725="","",IF($AH725=20,IF(AND(OR($A725=21,$A725=215),$AJ725=10),"①病院一般",IF(AND($A725=31,$AJ725=41),"②病院短期","対象外")),IF($AJ725=30,"③特定消防",IF(AND(OR($A725=21,$A725=215),$AJ725=10),"④一般",IF(AND($A725=31,$AJ725=41),"⑤短期","対象外")))))</f>
        <v>⑤短期</v>
      </c>
      <c r="DC725" s="2909">
        <f>IF($A725="","",IF($AB725&amp;""='DB_設定'!$C$4,1,0))</f>
        <v>1</v>
      </c>
    </row>
    <row r="726">
      <c r="A726" t="n" s="2909">
        <v>31</v>
      </c>
      <c r="AA726" t="n" s="2909">
        <v>21</v>
      </c>
      <c r="AB726" t="inlineStr" s="2909">
        <is>
          <t>20250401</t>
        </is>
      </c>
      <c r="AD726" t="n" s="2909">
        <v>0</v>
      </c>
      <c r="AE726" t="inlineStr" s="2909">
        <is>
          <t>00000000</t>
        </is>
      </c>
      <c r="AH726" t="n" s="2909">
        <v>1</v>
      </c>
      <c r="AJ726" t="n" s="2909">
        <v>41</v>
      </c>
      <c r="AP726" t="n" s="2909">
        <v>220000</v>
      </c>
      <c r="DB726" s="2909" t="str">
        <f>IF($A726="","",IF($AH726=20,IF(AND(OR($A726=21,$A726=215),$AJ726=10),"①病院一般",IF(AND($A726=31,$AJ726=41),"②病院短期","対象外")),IF($AJ726=30,"③特定消防",IF(AND(OR($A726=21,$A726=215),$AJ726=10),"④一般",IF(AND($A726=31,$AJ726=41),"⑤短期","対象外")))))</f>
        <v>⑤短期</v>
      </c>
      <c r="DC726" s="2909">
        <f>IF($A726="","",IF($AB726&amp;""='DB_設定'!$C$4,1,0))</f>
        <v>1</v>
      </c>
    </row>
    <row r="727">
      <c r="A727" t="n" s="2909">
        <v>31</v>
      </c>
      <c r="AA727" t="n" s="2909">
        <v>21</v>
      </c>
      <c r="AB727" t="inlineStr" s="2909">
        <is>
          <t>20250401</t>
        </is>
      </c>
      <c r="AD727" t="n" s="2909">
        <v>0</v>
      </c>
      <c r="AE727" t="inlineStr" s="2909">
        <is>
          <t>00000000</t>
        </is>
      </c>
      <c r="AH727" t="n" s="2909">
        <v>1</v>
      </c>
      <c r="AJ727" t="n" s="2909">
        <v>41</v>
      </c>
      <c r="AP727" t="n" s="2909">
        <v>134000</v>
      </c>
      <c r="DB727" s="2909" t="str">
        <f>IF($A727="","",IF($AH727=20,IF(AND(OR($A727=21,$A727=215),$AJ727=10),"①病院一般",IF(AND($A727=31,$AJ727=41),"②病院短期","対象外")),IF($AJ727=30,"③特定消防",IF(AND(OR($A727=21,$A727=215),$AJ727=10),"④一般",IF(AND($A727=31,$AJ727=41),"⑤短期","対象外")))))</f>
        <v>⑤短期</v>
      </c>
      <c r="DC727" s="2909">
        <f>IF($A727="","",IF($AB727&amp;""='DB_設定'!$C$4,1,0))</f>
        <v>1</v>
      </c>
    </row>
    <row r="728">
      <c r="A728" t="n" s="2909">
        <v>31</v>
      </c>
      <c r="AA728" t="n" s="2909">
        <v>21</v>
      </c>
      <c r="AB728" t="inlineStr" s="2909">
        <is>
          <t>20250401</t>
        </is>
      </c>
      <c r="AD728" t="n" s="2909">
        <v>0</v>
      </c>
      <c r="AE728" t="inlineStr" s="2909">
        <is>
          <t>00000000</t>
        </is>
      </c>
      <c r="AH728" t="n" s="2909">
        <v>1</v>
      </c>
      <c r="AJ728" t="n" s="2909">
        <v>41</v>
      </c>
      <c r="AP728" t="n" s="2909">
        <v>160000</v>
      </c>
      <c r="DB728" s="2909" t="str">
        <f>IF($A728="","",IF($AH728=20,IF(AND(OR($A728=21,$A728=215),$AJ728=10),"①病院一般",IF(AND($A728=31,$AJ728=41),"②病院短期","対象外")),IF($AJ728=30,"③特定消防",IF(AND(OR($A728=21,$A728=215),$AJ728=10),"④一般",IF(AND($A728=31,$AJ728=41),"⑤短期","対象外")))))</f>
        <v>⑤短期</v>
      </c>
      <c r="DC728" s="2909">
        <f>IF($A728="","",IF($AB728&amp;""='DB_設定'!$C$4,1,0))</f>
        <v>1</v>
      </c>
    </row>
    <row r="729">
      <c r="A729" t="n" s="2909">
        <v>31</v>
      </c>
      <c r="AA729" t="n" s="2909">
        <v>21</v>
      </c>
      <c r="AB729" t="inlineStr" s="2909">
        <is>
          <t>20250401</t>
        </is>
      </c>
      <c r="AD729" t="n" s="2909">
        <v>0</v>
      </c>
      <c r="AE729" t="inlineStr" s="2909">
        <is>
          <t>00000000</t>
        </is>
      </c>
      <c r="AH729" t="n" s="2909">
        <v>1</v>
      </c>
      <c r="AJ729" t="n" s="2909">
        <v>41</v>
      </c>
      <c r="AP729" t="n" s="2909">
        <v>134000</v>
      </c>
      <c r="DB729" s="2909" t="str">
        <f>IF($A729="","",IF($AH729=20,IF(AND(OR($A729=21,$A729=215),$AJ729=10),"①病院一般",IF(AND($A729=31,$AJ729=41),"②病院短期","対象外")),IF($AJ729=30,"③特定消防",IF(AND(OR($A729=21,$A729=215),$AJ729=10),"④一般",IF(AND($A729=31,$AJ729=41),"⑤短期","対象外")))))</f>
        <v>⑤短期</v>
      </c>
      <c r="DC729" s="2909">
        <f>IF($A729="","",IF($AB729&amp;""='DB_設定'!$C$4,1,0))</f>
        <v>1</v>
      </c>
    </row>
    <row r="730">
      <c r="A730" t="n" s="2909">
        <v>31</v>
      </c>
      <c r="AA730" t="n" s="2909">
        <v>21</v>
      </c>
      <c r="AB730" t="inlineStr" s="2909">
        <is>
          <t>20250401</t>
        </is>
      </c>
      <c r="AD730" t="n" s="2909">
        <v>0</v>
      </c>
      <c r="AE730" t="inlineStr" s="2909">
        <is>
          <t>00000000</t>
        </is>
      </c>
      <c r="AH730" t="n" s="2909">
        <v>1</v>
      </c>
      <c r="AJ730" t="n" s="2909">
        <v>41</v>
      </c>
      <c r="AP730" t="n" s="2909">
        <v>220000</v>
      </c>
      <c r="DB730" s="2909" t="str">
        <f>IF($A730="","",IF($AH730=20,IF(AND(OR($A730=21,$A730=215),$AJ730=10),"①病院一般",IF(AND($A730=31,$AJ730=41),"②病院短期","対象外")),IF($AJ730=30,"③特定消防",IF(AND(OR($A730=21,$A730=215),$AJ730=10),"④一般",IF(AND($A730=31,$AJ730=41),"⑤短期","対象外")))))</f>
        <v>⑤短期</v>
      </c>
      <c r="DC730" s="2909">
        <f>IF($A730="","",IF($AB730&amp;""='DB_設定'!$C$4,1,0))</f>
        <v>1</v>
      </c>
    </row>
    <row r="731">
      <c r="A731" t="n" s="2909">
        <v>31</v>
      </c>
      <c r="AA731" t="n" s="2909">
        <v>21</v>
      </c>
      <c r="AB731" t="inlineStr" s="2909">
        <is>
          <t>20250401</t>
        </is>
      </c>
      <c r="AD731" t="n" s="2909">
        <v>0</v>
      </c>
      <c r="AE731" t="inlineStr" s="2909">
        <is>
          <t>00000000</t>
        </is>
      </c>
      <c r="AH731" t="n" s="2909">
        <v>20</v>
      </c>
      <c r="AJ731" t="n" s="2909">
        <v>41</v>
      </c>
      <c r="AP731" t="n" s="2909">
        <v>240000</v>
      </c>
      <c r="DB731" s="2909" t="str">
        <f>IF($A731="","",IF($AH731=20,IF(AND(OR($A731=21,$A731=215),$AJ731=10),"①病院一般",IF(AND($A731=31,$AJ731=41),"②病院短期","対象外")),IF($AJ731=30,"③特定消防",IF(AND(OR($A731=21,$A731=215),$AJ731=10),"④一般",IF(AND($A731=31,$AJ731=41),"⑤短期","対象外")))))</f>
        <v>②病院短期</v>
      </c>
      <c r="DC731" s="2909">
        <f>IF($A731="","",IF($AB731&amp;""='DB_設定'!$C$4,1,0))</f>
        <v>1</v>
      </c>
    </row>
    <row r="732">
      <c r="A732" t="n" s="2909">
        <v>31</v>
      </c>
      <c r="AA732" t="n" s="2909">
        <v>21</v>
      </c>
      <c r="AB732" t="inlineStr" s="2909">
        <is>
          <t>20250401</t>
        </is>
      </c>
      <c r="AD732" t="n" s="2909">
        <v>0</v>
      </c>
      <c r="AE732" t="inlineStr" s="2909">
        <is>
          <t>00000000</t>
        </is>
      </c>
      <c r="AH732" t="n" s="2909">
        <v>1</v>
      </c>
      <c r="AJ732" t="n" s="2909">
        <v>41</v>
      </c>
      <c r="AP732" t="n" s="2909">
        <v>240000</v>
      </c>
      <c r="DB732" s="2909" t="str">
        <f>IF($A732="","",IF($AH732=20,IF(AND(OR($A732=21,$A732=215),$AJ732=10),"①病院一般",IF(AND($A732=31,$AJ732=41),"②病院短期","対象外")),IF($AJ732=30,"③特定消防",IF(AND(OR($A732=21,$A732=215),$AJ732=10),"④一般",IF(AND($A732=31,$AJ732=41),"⑤短期","対象外")))))</f>
        <v>⑤短期</v>
      </c>
      <c r="DC732" s="2909">
        <f>IF($A732="","",IF($AB732&amp;""='DB_設定'!$C$4,1,0))</f>
        <v>1</v>
      </c>
    </row>
    <row r="733">
      <c r="A733" t="n" s="2909">
        <v>31</v>
      </c>
      <c r="AA733" t="n" s="2909">
        <v>24</v>
      </c>
      <c r="AB733" t="inlineStr" s="2909">
        <is>
          <t>20250501</t>
        </is>
      </c>
      <c r="AD733" t="n" s="2909">
        <v>0</v>
      </c>
      <c r="AE733" t="inlineStr" s="2909">
        <is>
          <t>00000000</t>
        </is>
      </c>
      <c r="AH733" t="n" s="2909">
        <v>11</v>
      </c>
      <c r="AJ733" t="n" s="2909">
        <v>41</v>
      </c>
      <c r="AP733" t="n" s="2909">
        <v>160000</v>
      </c>
      <c r="DB733" s="2909" t="str">
        <f>IF($A733="","",IF($AH733=20,IF(AND(OR($A733=21,$A733=215),$AJ733=10),"①病院一般",IF(AND($A733=31,$AJ733=41),"②病院短期","対象外")),IF($AJ733=30,"③特定消防",IF(AND(OR($A733=21,$A733=215),$AJ733=10),"④一般",IF(AND($A733=31,$AJ733=41),"⑤短期","対象外")))))</f>
        <v>⑤短期</v>
      </c>
      <c r="DC733" s="2909">
        <f>IF($A733="","",IF($AB733&amp;""='DB_設定'!$C$4,1,0))</f>
        <v>0</v>
      </c>
    </row>
    <row r="734">
      <c r="A734" t="n" s="2909">
        <v>31</v>
      </c>
      <c r="AA734" t="n" s="2909">
        <v>21</v>
      </c>
      <c r="AB734" t="inlineStr" s="2909">
        <is>
          <t>20250411</t>
        </is>
      </c>
      <c r="AD734" t="n" s="2909">
        <v>12</v>
      </c>
      <c r="AE734" t="inlineStr" s="2909">
        <is>
          <t>20250531</t>
        </is>
      </c>
      <c r="AH734" t="n" s="2909">
        <v>11</v>
      </c>
      <c r="AJ734" t="n" s="2909">
        <v>41</v>
      </c>
      <c r="AP734" t="n" s="2909">
        <v>142000</v>
      </c>
      <c r="DB734" s="2909" t="str">
        <f>IF($A734="","",IF($AH734=20,IF(AND(OR($A734=21,$A734=215),$AJ734=10),"①病院一般",IF(AND($A734=31,$AJ734=41),"②病院短期","対象外")),IF($AJ734=30,"③特定消防",IF(AND(OR($A734=21,$A734=215),$AJ734=10),"④一般",IF(AND($A734=31,$AJ734=41),"⑤短期","対象外")))))</f>
        <v>⑤短期</v>
      </c>
      <c r="DC734" s="2909">
        <f>IF($A734="","",IF($AB734&amp;""='DB_設定'!$C$4,1,0))</f>
        <v>0</v>
      </c>
    </row>
    <row r="735">
      <c r="A735" t="n" s="2909">
        <v>31</v>
      </c>
      <c r="AA735" t="n" s="2909">
        <v>24</v>
      </c>
      <c r="AB735" t="inlineStr" s="2909">
        <is>
          <t>20250623</t>
        </is>
      </c>
      <c r="AD735" t="n" s="2909">
        <v>0</v>
      </c>
      <c r="AE735" t="inlineStr" s="2909">
        <is>
          <t>00000000</t>
        </is>
      </c>
      <c r="AH735" t="n" s="2909">
        <v>1</v>
      </c>
      <c r="AJ735" t="n" s="2909">
        <v>41</v>
      </c>
      <c r="AP735" t="n" s="2909">
        <v>126000</v>
      </c>
      <c r="DB735" s="2909" t="str">
        <f>IF($A735="","",IF($AH735=20,IF(AND(OR($A735=21,$A735=215),$AJ735=10),"①病院一般",IF(AND($A735=31,$AJ735=41),"②病院短期","対象外")),IF($AJ735=30,"③特定消防",IF(AND(OR($A735=21,$A735=215),$AJ735=10),"④一般",IF(AND($A735=31,$AJ735=41),"⑤短期","対象外")))))</f>
        <v>⑤短期</v>
      </c>
      <c r="DC735" s="2909">
        <f>IF($A735="","",IF($AB735&amp;""='DB_設定'!$C$4,1,0))</f>
        <v>0</v>
      </c>
    </row>
    <row r="736">
      <c r="A736" t="n" s="2909">
        <v>31</v>
      </c>
      <c r="AA736" t="n" s="2909">
        <v>21</v>
      </c>
      <c r="AB736" t="inlineStr" s="2909">
        <is>
          <t>20250401</t>
        </is>
      </c>
      <c r="AD736" t="n" s="2909">
        <v>0</v>
      </c>
      <c r="AE736" t="inlineStr" s="2909">
        <is>
          <t>00000000</t>
        </is>
      </c>
      <c r="AH736" t="n" s="2909">
        <v>11</v>
      </c>
      <c r="AJ736" t="n" s="2909">
        <v>41</v>
      </c>
      <c r="AP736" t="n" s="2909">
        <v>200000</v>
      </c>
      <c r="DB736" s="2909" t="str">
        <f>IF($A736="","",IF($AH736=20,IF(AND(OR($A736=21,$A736=215),$AJ736=10),"①病院一般",IF(AND($A736=31,$AJ736=41),"②病院短期","対象外")),IF($AJ736=30,"③特定消防",IF(AND(OR($A736=21,$A736=215),$AJ736=10),"④一般",IF(AND($A736=31,$AJ736=41),"⑤短期","対象外")))))</f>
        <v>⑤短期</v>
      </c>
      <c r="DC736" s="2909">
        <f>IF($A736="","",IF($AB736&amp;""='DB_設定'!$C$4,1,0))</f>
        <v>1</v>
      </c>
    </row>
    <row r="737">
      <c r="A737" t="n" s="2909">
        <v>31</v>
      </c>
      <c r="AA737" t="n" s="2909">
        <v>21</v>
      </c>
      <c r="AB737" t="inlineStr" s="2909">
        <is>
          <t>20250401</t>
        </is>
      </c>
      <c r="AD737" t="n" s="2909">
        <v>0</v>
      </c>
      <c r="AE737" t="inlineStr" s="2909">
        <is>
          <t>00000000</t>
        </is>
      </c>
      <c r="AH737" t="n" s="2909">
        <v>11</v>
      </c>
      <c r="AJ737" t="n" s="2909">
        <v>41</v>
      </c>
      <c r="AP737" t="n" s="2909">
        <v>220000</v>
      </c>
      <c r="DB737" s="2909" t="str">
        <f>IF($A737="","",IF($AH737=20,IF(AND(OR($A737=21,$A737=215),$AJ737=10),"①病院一般",IF(AND($A737=31,$AJ737=41),"②病院短期","対象外")),IF($AJ737=30,"③特定消防",IF(AND(OR($A737=21,$A737=215),$AJ737=10),"④一般",IF(AND($A737=31,$AJ737=41),"⑤短期","対象外")))))</f>
        <v>⑤短期</v>
      </c>
      <c r="DC737" s="2909">
        <f>IF($A737="","",IF($AB737&amp;""='DB_設定'!$C$4,1,0))</f>
        <v>1</v>
      </c>
    </row>
    <row r="738">
      <c r="A738" t="n" s="2909">
        <v>31</v>
      </c>
      <c r="AA738" t="n" s="2909">
        <v>21</v>
      </c>
      <c r="AB738" t="inlineStr" s="2909">
        <is>
          <t>20250401</t>
        </is>
      </c>
      <c r="AD738" t="n" s="2909">
        <v>0</v>
      </c>
      <c r="AE738" t="inlineStr" s="2909">
        <is>
          <t>00000000</t>
        </is>
      </c>
      <c r="AH738" t="n" s="2909">
        <v>11</v>
      </c>
      <c r="AJ738" t="n" s="2909">
        <v>41</v>
      </c>
      <c r="AP738" t="n" s="2909">
        <v>200000</v>
      </c>
      <c r="DB738" s="2909" t="str">
        <f>IF($A738="","",IF($AH738=20,IF(AND(OR($A738=21,$A738=215),$AJ738=10),"①病院一般",IF(AND($A738=31,$AJ738=41),"②病院短期","対象外")),IF($AJ738=30,"③特定消防",IF(AND(OR($A738=21,$A738=215),$AJ738=10),"④一般",IF(AND($A738=31,$AJ738=41),"⑤短期","対象外")))))</f>
        <v>⑤短期</v>
      </c>
      <c r="DC738" s="2909">
        <f>IF($A738="","",IF($AB738&amp;""='DB_設定'!$C$4,1,0))</f>
        <v>1</v>
      </c>
    </row>
    <row r="739">
      <c r="A739" t="n" s="2909">
        <v>31</v>
      </c>
      <c r="AA739" t="n" s="2909">
        <v>24</v>
      </c>
      <c r="AB739" t="inlineStr" s="2909">
        <is>
          <t>20251001</t>
        </is>
      </c>
      <c r="AD739" t="n" s="2909">
        <v>0</v>
      </c>
      <c r="AE739" t="inlineStr" s="2909">
        <is>
          <t>00000000</t>
        </is>
      </c>
      <c r="AH739" t="n" s="2909">
        <v>1</v>
      </c>
      <c r="AJ739" t="n" s="2909">
        <v>41</v>
      </c>
      <c r="AP739" t="n" s="2909">
        <v>142000</v>
      </c>
      <c r="DB739" s="2909" t="str">
        <f>IF($A739="","",IF($AH739=20,IF(AND(OR($A739=21,$A739=215),$AJ739=10),"①病院一般",IF(AND($A739=31,$AJ739=41),"②病院短期","対象外")),IF($AJ739=30,"③特定消防",IF(AND(OR($A739=21,$A739=215),$AJ739=10),"④一般",IF(AND($A739=31,$AJ739=41),"⑤短期","対象外")))))</f>
        <v>⑤短期</v>
      </c>
      <c r="DC739" s="2909">
        <f>IF($A739="","",IF($AB739&amp;""='DB_設定'!$C$4,1,0))</f>
        <v>0</v>
      </c>
    </row>
    <row r="740">
      <c r="A740" t="n" s="2909">
        <v>31</v>
      </c>
      <c r="AA740" t="n" s="2909">
        <v>21</v>
      </c>
      <c r="AB740" t="inlineStr" s="2909">
        <is>
          <t>20250602</t>
        </is>
      </c>
      <c r="AD740" t="n" s="2909">
        <v>0</v>
      </c>
      <c r="AE740" t="inlineStr" s="2909">
        <is>
          <t>00000000</t>
        </is>
      </c>
      <c r="AH740" t="n" s="2909">
        <v>11</v>
      </c>
      <c r="AJ740" t="n" s="2909">
        <v>41</v>
      </c>
      <c r="AP740" t="n" s="2909">
        <v>142000</v>
      </c>
      <c r="DB740" s="2909" t="str">
        <f>IF($A740="","",IF($AH740=20,IF(AND(OR($A740=21,$A740=215),$AJ740=10),"①病院一般",IF(AND($A740=31,$AJ740=41),"②病院短期","対象外")),IF($AJ740=30,"③特定消防",IF(AND(OR($A740=21,$A740=215),$AJ740=10),"④一般",IF(AND($A740=31,$AJ740=41),"⑤短期","対象外")))))</f>
        <v>⑤短期</v>
      </c>
      <c r="DC740" s="2909">
        <f>IF($A740="","",IF($AB740&amp;""='DB_設定'!$C$4,1,0))</f>
        <v>0</v>
      </c>
    </row>
    <row r="741">
      <c r="A741" t="n" s="2909">
        <v>31</v>
      </c>
      <c r="AA741" t="n" s="2909">
        <v>21</v>
      </c>
      <c r="AB741" t="inlineStr" s="2909">
        <is>
          <t>20250401</t>
        </is>
      </c>
      <c r="AD741" t="n" s="2909">
        <v>0</v>
      </c>
      <c r="AE741" t="inlineStr" s="2909">
        <is>
          <t>00000000</t>
        </is>
      </c>
      <c r="AH741" t="n" s="2909">
        <v>1</v>
      </c>
      <c r="AJ741" t="n" s="2909">
        <v>41</v>
      </c>
      <c r="AP741" t="n" s="2909">
        <v>190000</v>
      </c>
      <c r="DB741" s="2909" t="str">
        <f>IF($A741="","",IF($AH741=20,IF(AND(OR($A741=21,$A741=215),$AJ741=10),"①病院一般",IF(AND($A741=31,$AJ741=41),"②病院短期","対象外")),IF($AJ741=30,"③特定消防",IF(AND(OR($A741=21,$A741=215),$AJ741=10),"④一般",IF(AND($A741=31,$AJ741=41),"⑤短期","対象外")))))</f>
        <v>⑤短期</v>
      </c>
      <c r="DC741" s="2909">
        <f>IF($A741="","",IF($AB741&amp;""='DB_設定'!$C$4,1,0))</f>
        <v>1</v>
      </c>
    </row>
    <row r="742">
      <c r="A742" t="n" s="2909">
        <v>31</v>
      </c>
      <c r="AA742" t="n" s="2909">
        <v>24</v>
      </c>
      <c r="AB742" t="inlineStr" s="2909">
        <is>
          <t>20250818</t>
        </is>
      </c>
      <c r="AD742" t="n" s="2909">
        <v>0</v>
      </c>
      <c r="AE742" t="inlineStr" s="2909">
        <is>
          <t>00000000</t>
        </is>
      </c>
      <c r="AH742" t="n" s="2909">
        <v>1</v>
      </c>
      <c r="AJ742" t="n" s="2909">
        <v>41</v>
      </c>
      <c r="AP742" t="n" s="2909">
        <v>126000</v>
      </c>
      <c r="DB742" s="2909" t="str">
        <f>IF($A742="","",IF($AH742=20,IF(AND(OR($A742=21,$A742=215),$AJ742=10),"①病院一般",IF(AND($A742=31,$AJ742=41),"②病院短期","対象外")),IF($AJ742=30,"③特定消防",IF(AND(OR($A742=21,$A742=215),$AJ742=10),"④一般",IF(AND($A742=31,$AJ742=41),"⑤短期","対象外")))))</f>
        <v>⑤短期</v>
      </c>
      <c r="DC742" s="2909">
        <f>IF($A742="","",IF($AB742&amp;""='DB_設定'!$C$4,1,0))</f>
        <v>0</v>
      </c>
    </row>
    <row r="743">
      <c r="A743" t="n" s="2909">
        <v>31</v>
      </c>
      <c r="AA743" t="n" s="2909">
        <v>24</v>
      </c>
      <c r="AB743" t="inlineStr" s="2909">
        <is>
          <t>20250501</t>
        </is>
      </c>
      <c r="AD743" t="n" s="2909">
        <v>12</v>
      </c>
      <c r="AE743" t="inlineStr" s="2909">
        <is>
          <t>20250901</t>
        </is>
      </c>
      <c r="AH743" t="n" s="2909">
        <v>11</v>
      </c>
      <c r="AJ743" t="n" s="2909">
        <v>41</v>
      </c>
      <c r="AP743" t="n" s="2909">
        <v>126000</v>
      </c>
      <c r="DB743" s="2909" t="str">
        <f>IF($A743="","",IF($AH743=20,IF(AND(OR($A743=21,$A743=215),$AJ743=10),"①病院一般",IF(AND($A743=31,$AJ743=41),"②病院短期","対象外")),IF($AJ743=30,"③特定消防",IF(AND(OR($A743=21,$A743=215),$AJ743=10),"④一般",IF(AND($A743=31,$AJ743=41),"⑤短期","対象外")))))</f>
        <v>⑤短期</v>
      </c>
      <c r="DC743" s="2909">
        <f>IF($A743="","",IF($AB743&amp;""='DB_設定'!$C$4,1,0))</f>
        <v>0</v>
      </c>
    </row>
    <row r="744">
      <c r="A744" t="n" s="2909">
        <v>31</v>
      </c>
      <c r="AA744" t="n" s="2909">
        <v>21</v>
      </c>
      <c r="AB744" t="inlineStr" s="2909">
        <is>
          <t>20250601</t>
        </is>
      </c>
      <c r="AD744" t="n" s="2909">
        <v>12</v>
      </c>
      <c r="AE744" t="inlineStr" s="2909">
        <is>
          <t>20251001</t>
        </is>
      </c>
      <c r="AH744" t="n" s="2909">
        <v>1</v>
      </c>
      <c r="AJ744" t="n" s="2909">
        <v>41</v>
      </c>
      <c r="AP744" t="n" s="2909">
        <v>180000</v>
      </c>
      <c r="DB744" s="2909" t="str">
        <f>IF($A744="","",IF($AH744=20,IF(AND(OR($A744=21,$A744=215),$AJ744=10),"①病院一般",IF(AND($A744=31,$AJ744=41),"②病院短期","対象外")),IF($AJ744=30,"③特定消防",IF(AND(OR($A744=21,$A744=215),$AJ744=10),"④一般",IF(AND($A744=31,$AJ744=41),"⑤短期","対象外")))))</f>
        <v>⑤短期</v>
      </c>
      <c r="DC744" s="2909">
        <f>IF($A744="","",IF($AB744&amp;""='DB_設定'!$C$4,1,0))</f>
        <v>0</v>
      </c>
    </row>
    <row r="745">
      <c r="A745" t="n" s="2909">
        <v>31</v>
      </c>
      <c r="AA745" t="n" s="2909">
        <v>21</v>
      </c>
      <c r="AB745" t="inlineStr" s="2909">
        <is>
          <t>20250401</t>
        </is>
      </c>
      <c r="AD745" t="n" s="2909">
        <v>0</v>
      </c>
      <c r="AE745" t="inlineStr" s="2909">
        <is>
          <t>00000000</t>
        </is>
      </c>
      <c r="AH745" t="n" s="2909">
        <v>1</v>
      </c>
      <c r="AJ745" t="n" s="2909">
        <v>41</v>
      </c>
      <c r="AP745" t="n" s="2909">
        <v>134000</v>
      </c>
      <c r="DB745" s="2909" t="str">
        <f>IF($A745="","",IF($AH745=20,IF(AND(OR($A745=21,$A745=215),$AJ745=10),"①病院一般",IF(AND($A745=31,$AJ745=41),"②病院短期","対象外")),IF($AJ745=30,"③特定消防",IF(AND(OR($A745=21,$A745=215),$AJ745=10),"④一般",IF(AND($A745=31,$AJ745=41),"⑤短期","対象外")))))</f>
        <v>⑤短期</v>
      </c>
      <c r="DC745" s="2909">
        <f>IF($A745="","",IF($AB745&amp;""='DB_設定'!$C$4,1,0))</f>
        <v>1</v>
      </c>
    </row>
    <row r="746">
      <c r="A746" t="n" s="2909">
        <v>31</v>
      </c>
      <c r="AA746" t="n" s="2909">
        <v>24</v>
      </c>
      <c r="AB746" t="inlineStr" s="2909">
        <is>
          <t>20250601</t>
        </is>
      </c>
      <c r="AD746" t="n" s="2909">
        <v>0</v>
      </c>
      <c r="AE746" t="inlineStr" s="2909">
        <is>
          <t>00000000</t>
        </is>
      </c>
      <c r="AH746" t="n" s="2909">
        <v>1</v>
      </c>
      <c r="AJ746" t="n" s="2909">
        <v>41</v>
      </c>
      <c r="AP746" t="n" s="2909">
        <v>134000</v>
      </c>
      <c r="DB746" s="2909" t="str">
        <f>IF($A746="","",IF($AH746=20,IF(AND(OR($A746=21,$A746=215),$AJ746=10),"①病院一般",IF(AND($A746=31,$AJ746=41),"②病院短期","対象外")),IF($AJ746=30,"③特定消防",IF(AND(OR($A746=21,$A746=215),$AJ746=10),"④一般",IF(AND($A746=31,$AJ746=41),"⑤短期","対象外")))))</f>
        <v>⑤短期</v>
      </c>
      <c r="DC746" s="2909">
        <f>IF($A746="","",IF($AB746&amp;""='DB_設定'!$C$4,1,0))</f>
        <v>0</v>
      </c>
    </row>
    <row r="747">
      <c r="A747" t="n" s="2909">
        <v>31</v>
      </c>
      <c r="AA747" t="n" s="2909">
        <v>21</v>
      </c>
      <c r="AB747" t="inlineStr" s="2909">
        <is>
          <t>20250401</t>
        </is>
      </c>
      <c r="AD747" t="n" s="2909">
        <v>0</v>
      </c>
      <c r="AE747" t="inlineStr" s="2909">
        <is>
          <t>00000000</t>
        </is>
      </c>
      <c r="AH747" t="n" s="2909">
        <v>11</v>
      </c>
      <c r="AJ747" t="n" s="2909">
        <v>41</v>
      </c>
      <c r="AP747" t="n" s="2909">
        <v>180000</v>
      </c>
      <c r="DB747" s="2909" t="str">
        <f>IF($A747="","",IF($AH747=20,IF(AND(OR($A747=21,$A747=215),$AJ747=10),"①病院一般",IF(AND($A747=31,$AJ747=41),"②病院短期","対象外")),IF($AJ747=30,"③特定消防",IF(AND(OR($A747=21,$A747=215),$AJ747=10),"④一般",IF(AND($A747=31,$AJ747=41),"⑤短期","対象外")))))</f>
        <v>⑤短期</v>
      </c>
      <c r="DC747" s="2909">
        <f>IF($A747="","",IF($AB747&amp;""='DB_設定'!$C$4,1,0))</f>
        <v>1</v>
      </c>
    </row>
    <row r="748">
      <c r="A748" t="n" s="2909">
        <v>31</v>
      </c>
      <c r="AA748" t="n" s="2909">
        <v>21</v>
      </c>
      <c r="AB748" t="inlineStr" s="2909">
        <is>
          <t>20250409</t>
        </is>
      </c>
      <c r="AD748" t="n" s="2909">
        <v>0</v>
      </c>
      <c r="AE748" t="inlineStr" s="2909">
        <is>
          <t>00000000</t>
        </is>
      </c>
      <c r="AH748" t="n" s="2909">
        <v>11</v>
      </c>
      <c r="AJ748" t="n" s="2909">
        <v>41</v>
      </c>
      <c r="AP748" t="n" s="2909">
        <v>240000</v>
      </c>
      <c r="DB748" s="2909" t="str">
        <f>IF($A748="","",IF($AH748=20,IF(AND(OR($A748=21,$A748=215),$AJ748=10),"①病院一般",IF(AND($A748=31,$AJ748=41),"②病院短期","対象外")),IF($AJ748=30,"③特定消防",IF(AND(OR($A748=21,$A748=215),$AJ748=10),"④一般",IF(AND($A748=31,$AJ748=41),"⑤短期","対象外")))))</f>
        <v>⑤短期</v>
      </c>
      <c r="DC748" s="2909">
        <f>IF($A748="","",IF($AB748&amp;""='DB_設定'!$C$4,1,0))</f>
        <v>0</v>
      </c>
    </row>
    <row r="749">
      <c r="A749" t="n" s="2909">
        <v>31</v>
      </c>
      <c r="AA749" t="n" s="2909">
        <v>24</v>
      </c>
      <c r="AB749" t="inlineStr" s="2909">
        <is>
          <t>20250616</t>
        </is>
      </c>
      <c r="AD749" t="n" s="2909">
        <v>0</v>
      </c>
      <c r="AE749" t="inlineStr" s="2909">
        <is>
          <t>00000000</t>
        </is>
      </c>
      <c r="AH749" t="n" s="2909">
        <v>1</v>
      </c>
      <c r="AJ749" t="n" s="2909">
        <v>41</v>
      </c>
      <c r="AP749" t="n" s="2909">
        <v>142000</v>
      </c>
      <c r="DB749" s="2909" t="str">
        <f>IF($A749="","",IF($AH749=20,IF(AND(OR($A749=21,$A749=215),$AJ749=10),"①病院一般",IF(AND($A749=31,$AJ749=41),"②病院短期","対象外")),IF($AJ749=30,"③特定消防",IF(AND(OR($A749=21,$A749=215),$AJ749=10),"④一般",IF(AND($A749=31,$AJ749=41),"⑤短期","対象外")))))</f>
        <v>⑤短期</v>
      </c>
      <c r="DC749" s="2909">
        <f>IF($A749="","",IF($AB749&amp;""='DB_設定'!$C$4,1,0))</f>
        <v>0</v>
      </c>
    </row>
    <row r="750">
      <c r="A750" t="n" s="2909">
        <v>31</v>
      </c>
      <c r="AA750" t="n" s="2909">
        <v>21</v>
      </c>
      <c r="AB750" t="inlineStr" s="2909">
        <is>
          <t>20250601</t>
        </is>
      </c>
      <c r="AD750" t="n" s="2909">
        <v>0</v>
      </c>
      <c r="AE750" t="inlineStr" s="2909">
        <is>
          <t>00000000</t>
        </is>
      </c>
      <c r="AH750" t="n" s="2909">
        <v>11</v>
      </c>
      <c r="AJ750" t="n" s="2909">
        <v>41</v>
      </c>
      <c r="AP750" t="n" s="2909">
        <v>200000</v>
      </c>
      <c r="DB750" s="2909" t="str">
        <f>IF($A750="","",IF($AH750=20,IF(AND(OR($A750=21,$A750=215),$AJ750=10),"①病院一般",IF(AND($A750=31,$AJ750=41),"②病院短期","対象外")),IF($AJ750=30,"③特定消防",IF(AND(OR($A750=21,$A750=215),$AJ750=10),"④一般",IF(AND($A750=31,$AJ750=41),"⑤短期","対象外")))))</f>
        <v>⑤短期</v>
      </c>
      <c r="DC750" s="2909">
        <f>IF($A750="","",IF($AB750&amp;""='DB_設定'!$C$4,1,0))</f>
        <v>0</v>
      </c>
    </row>
    <row r="751">
      <c r="A751" t="n" s="2909">
        <v>31</v>
      </c>
      <c r="AA751" t="n" s="2909">
        <v>21</v>
      </c>
      <c r="AB751" t="inlineStr" s="2909">
        <is>
          <t>20250401</t>
        </is>
      </c>
      <c r="AD751" t="n" s="2909">
        <v>0</v>
      </c>
      <c r="AE751" t="inlineStr" s="2909">
        <is>
          <t>00000000</t>
        </is>
      </c>
      <c r="AH751" t="n" s="2909">
        <v>20</v>
      </c>
      <c r="AJ751" t="n" s="2909">
        <v>41</v>
      </c>
      <c r="AP751" t="n" s="2909">
        <v>260000</v>
      </c>
      <c r="DB751" s="2909" t="str">
        <f>IF($A751="","",IF($AH751=20,IF(AND(OR($A751=21,$A751=215),$AJ751=10),"①病院一般",IF(AND($A751=31,$AJ751=41),"②病院短期","対象外")),IF($AJ751=30,"③特定消防",IF(AND(OR($A751=21,$A751=215),$AJ751=10),"④一般",IF(AND($A751=31,$AJ751=41),"⑤短期","対象外")))))</f>
        <v>②病院短期</v>
      </c>
      <c r="DC751" s="2909">
        <f>IF($A751="","",IF($AB751&amp;""='DB_設定'!$C$4,1,0))</f>
        <v>1</v>
      </c>
    </row>
    <row r="752">
      <c r="A752" t="n" s="2909">
        <v>31</v>
      </c>
      <c r="AA752" t="n" s="2909">
        <v>24</v>
      </c>
      <c r="AB752" t="inlineStr" s="2909">
        <is>
          <t>20250401</t>
        </is>
      </c>
      <c r="AD752" t="n" s="2909">
        <v>0</v>
      </c>
      <c r="AE752" t="inlineStr" s="2909">
        <is>
          <t>00000000</t>
        </is>
      </c>
      <c r="AH752" t="n" s="2909">
        <v>1</v>
      </c>
      <c r="AJ752" t="n" s="2909">
        <v>41</v>
      </c>
      <c r="AP752" t="n" s="2909">
        <v>190000</v>
      </c>
      <c r="DB752" s="2909" t="str">
        <f>IF($A752="","",IF($AH752=20,IF(AND(OR($A752=21,$A752=215),$AJ752=10),"①病院一般",IF(AND($A752=31,$AJ752=41),"②病院短期","対象外")),IF($AJ752=30,"③特定消防",IF(AND(OR($A752=21,$A752=215),$AJ752=10),"④一般",IF(AND($A752=31,$AJ752=41),"⑤短期","対象外")))))</f>
        <v>⑤短期</v>
      </c>
      <c r="DC752" s="2909">
        <f>IF($A752="","",IF($AB752&amp;""='DB_設定'!$C$4,1,0))</f>
        <v>1</v>
      </c>
    </row>
    <row r="753">
      <c r="A753" t="n" s="2909">
        <v>31</v>
      </c>
      <c r="AA753" t="n" s="2909">
        <v>24</v>
      </c>
      <c r="AB753" t="inlineStr" s="2909">
        <is>
          <t>20251001</t>
        </is>
      </c>
      <c r="AD753" t="n" s="2909">
        <v>0</v>
      </c>
      <c r="AE753" t="inlineStr" s="2909">
        <is>
          <t>00000000</t>
        </is>
      </c>
      <c r="AH753" t="n" s="2909">
        <v>27</v>
      </c>
      <c r="AJ753" t="n" s="2909">
        <v>41</v>
      </c>
      <c r="AP753" t="n" s="2909">
        <v>180000</v>
      </c>
      <c r="DB753" s="2909" t="str">
        <f>IF($A753="","",IF($AH753=20,IF(AND(OR($A753=21,$A753=215),$AJ753=10),"①病院一般",IF(AND($A753=31,$AJ753=41),"②病院短期","対象外")),IF($AJ753=30,"③特定消防",IF(AND(OR($A753=21,$A753=215),$AJ753=10),"④一般",IF(AND($A753=31,$AJ753=41),"⑤短期","対象外")))))</f>
        <v>⑤短期</v>
      </c>
      <c r="DC753" s="2909">
        <f>IF($A753="","",IF($AB753&amp;""='DB_設定'!$C$4,1,0))</f>
        <v>0</v>
      </c>
    </row>
    <row r="754">
      <c r="A754" t="n" s="2909">
        <v>31</v>
      </c>
      <c r="AA754" t="n" s="2909">
        <v>24</v>
      </c>
      <c r="AB754" t="inlineStr" s="2909">
        <is>
          <t>20250701</t>
        </is>
      </c>
      <c r="AD754" t="n" s="2909">
        <v>12</v>
      </c>
      <c r="AE754" t="inlineStr" s="2909">
        <is>
          <t>20251001</t>
        </is>
      </c>
      <c r="AH754" t="n" s="2909">
        <v>1</v>
      </c>
      <c r="AJ754" t="n" s="2909">
        <v>41</v>
      </c>
      <c r="AP754" t="n" s="2909">
        <v>126000</v>
      </c>
      <c r="DB754" s="2909" t="str">
        <f>IF($A754="","",IF($AH754=20,IF(AND(OR($A754=21,$A754=215),$AJ754=10),"①病院一般",IF(AND($A754=31,$AJ754=41),"②病院短期","対象外")),IF($AJ754=30,"③特定消防",IF(AND(OR($A754=21,$A754=215),$AJ754=10),"④一般",IF(AND($A754=31,$AJ754=41),"⑤短期","対象外")))))</f>
        <v>⑤短期</v>
      </c>
      <c r="DC754" s="2909">
        <f>IF($A754="","",IF($AB754&amp;""='DB_設定'!$C$4,1,0))</f>
        <v>0</v>
      </c>
    </row>
    <row r="755">
      <c r="A755" t="n" s="2909">
        <v>31</v>
      </c>
      <c r="AA755" t="n" s="2909">
        <v>24</v>
      </c>
      <c r="AB755" t="inlineStr" s="2909">
        <is>
          <t>20250408</t>
        </is>
      </c>
      <c r="AD755" t="n" s="2909">
        <v>0</v>
      </c>
      <c r="AE755" t="inlineStr" s="2909">
        <is>
          <t>00000000</t>
        </is>
      </c>
      <c r="AH755" t="n" s="2909">
        <v>11</v>
      </c>
      <c r="AJ755" t="n" s="2909">
        <v>41</v>
      </c>
      <c r="AP755" t="n" s="2909">
        <v>142000</v>
      </c>
      <c r="DB755" s="2909" t="str">
        <f>IF($A755="","",IF($AH755=20,IF(AND(OR($A755=21,$A755=215),$AJ755=10),"①病院一般",IF(AND($A755=31,$AJ755=41),"②病院短期","対象外")),IF($AJ755=30,"③特定消防",IF(AND(OR($A755=21,$A755=215),$AJ755=10),"④一般",IF(AND($A755=31,$AJ755=41),"⑤短期","対象外")))))</f>
        <v>⑤短期</v>
      </c>
      <c r="DC755" s="2909">
        <f>IF($A755="","",IF($AB755&amp;""='DB_設定'!$C$4,1,0))</f>
        <v>0</v>
      </c>
    </row>
    <row r="756">
      <c r="A756" t="n" s="2909">
        <v>31</v>
      </c>
      <c r="AA756" t="n" s="2909">
        <v>21</v>
      </c>
      <c r="AB756" t="inlineStr" s="2909">
        <is>
          <t>20250401</t>
        </is>
      </c>
      <c r="AD756" t="n" s="2909">
        <v>0</v>
      </c>
      <c r="AE756" t="inlineStr" s="2909">
        <is>
          <t>00000000</t>
        </is>
      </c>
      <c r="AH756" t="n" s="2909">
        <v>1</v>
      </c>
      <c r="AJ756" t="n" s="2909">
        <v>41</v>
      </c>
      <c r="AP756" t="n" s="2909">
        <v>220000</v>
      </c>
      <c r="DB756" s="2909" t="str">
        <f>IF($A756="","",IF($AH756=20,IF(AND(OR($A756=21,$A756=215),$AJ756=10),"①病院一般",IF(AND($A756=31,$AJ756=41),"②病院短期","対象外")),IF($AJ756=30,"③特定消防",IF(AND(OR($A756=21,$A756=215),$AJ756=10),"④一般",IF(AND($A756=31,$AJ756=41),"⑤短期","対象外")))))</f>
        <v>⑤短期</v>
      </c>
      <c r="DC756" s="2909">
        <f>IF($A756="","",IF($AB756&amp;""='DB_設定'!$C$4,1,0))</f>
        <v>1</v>
      </c>
    </row>
    <row r="757">
      <c r="A757" t="n" s="2909">
        <v>31</v>
      </c>
      <c r="AA757" t="n" s="2909">
        <v>21</v>
      </c>
      <c r="AB757" t="inlineStr" s="2909">
        <is>
          <t>20250401</t>
        </is>
      </c>
      <c r="AD757" t="n" s="2909">
        <v>0</v>
      </c>
      <c r="AE757" t="inlineStr" s="2909">
        <is>
          <t>00000000</t>
        </is>
      </c>
      <c r="AH757" t="n" s="2909">
        <v>11</v>
      </c>
      <c r="AJ757" t="n" s="2909">
        <v>41</v>
      </c>
      <c r="AP757" t="n" s="2909">
        <v>200000</v>
      </c>
      <c r="DB757" s="2909" t="str">
        <f>IF($A757="","",IF($AH757=20,IF(AND(OR($A757=21,$A757=215),$AJ757=10),"①病院一般",IF(AND($A757=31,$AJ757=41),"②病院短期","対象外")),IF($AJ757=30,"③特定消防",IF(AND(OR($A757=21,$A757=215),$AJ757=10),"④一般",IF(AND($A757=31,$AJ757=41),"⑤短期","対象外")))))</f>
        <v>⑤短期</v>
      </c>
      <c r="DC757" s="2909">
        <f>IF($A757="","",IF($AB757&amp;""='DB_設定'!$C$4,1,0))</f>
        <v>1</v>
      </c>
    </row>
    <row r="758">
      <c r="A758" t="n" s="2909">
        <v>31</v>
      </c>
      <c r="AA758" t="n" s="2909">
        <v>21</v>
      </c>
      <c r="AB758" t="inlineStr" s="2909">
        <is>
          <t>20250401</t>
        </is>
      </c>
      <c r="AD758" t="n" s="2909">
        <v>0</v>
      </c>
      <c r="AE758" t="inlineStr" s="2909">
        <is>
          <t>00000000</t>
        </is>
      </c>
      <c r="AH758" t="n" s="2909">
        <v>11</v>
      </c>
      <c r="AJ758" t="n" s="2909">
        <v>41</v>
      </c>
      <c r="AP758" t="n" s="2909">
        <v>180000</v>
      </c>
      <c r="DB758" s="2909" t="str">
        <f>IF($A758="","",IF($AH758=20,IF(AND(OR($A758=21,$A758=215),$AJ758=10),"①病院一般",IF(AND($A758=31,$AJ758=41),"②病院短期","対象外")),IF($AJ758=30,"③特定消防",IF(AND(OR($A758=21,$A758=215),$AJ758=10),"④一般",IF(AND($A758=31,$AJ758=41),"⑤短期","対象外")))))</f>
        <v>⑤短期</v>
      </c>
      <c r="DC758" s="2909">
        <f>IF($A758="","",IF($AB758&amp;""='DB_設定'!$C$4,1,0))</f>
        <v>1</v>
      </c>
    </row>
    <row r="759">
      <c r="A759" t="n" s="2909">
        <v>31</v>
      </c>
      <c r="AA759" t="n" s="2909">
        <v>21</v>
      </c>
      <c r="AB759" t="inlineStr" s="2909">
        <is>
          <t>20250401</t>
        </is>
      </c>
      <c r="AD759" t="n" s="2909">
        <v>0</v>
      </c>
      <c r="AE759" t="inlineStr" s="2909">
        <is>
          <t>00000000</t>
        </is>
      </c>
      <c r="AH759" t="n" s="2909">
        <v>11</v>
      </c>
      <c r="AJ759" t="n" s="2909">
        <v>41</v>
      </c>
      <c r="AP759" t="n" s="2909">
        <v>190000</v>
      </c>
      <c r="DB759" s="2909" t="str">
        <f>IF($A759="","",IF($AH759=20,IF(AND(OR($A759=21,$A759=215),$AJ759=10),"①病院一般",IF(AND($A759=31,$AJ759=41),"②病院短期","対象外")),IF($AJ759=30,"③特定消防",IF(AND(OR($A759=21,$A759=215),$AJ759=10),"④一般",IF(AND($A759=31,$AJ759=41),"⑤短期","対象外")))))</f>
        <v>⑤短期</v>
      </c>
      <c r="DC759" s="2909">
        <f>IF($A759="","",IF($AB759&amp;""='DB_設定'!$C$4,1,0))</f>
        <v>1</v>
      </c>
    </row>
    <row r="760">
      <c r="A760" t="n" s="2909">
        <v>31</v>
      </c>
      <c r="AA760" t="n" s="2909">
        <v>21</v>
      </c>
      <c r="AB760" t="inlineStr" s="2909">
        <is>
          <t>20250401</t>
        </is>
      </c>
      <c r="AD760" t="n" s="2909">
        <v>0</v>
      </c>
      <c r="AE760" t="inlineStr" s="2909">
        <is>
          <t>00000000</t>
        </is>
      </c>
      <c r="AH760" t="n" s="2909">
        <v>1</v>
      </c>
      <c r="AJ760" t="n" s="2909">
        <v>41</v>
      </c>
      <c r="AP760" t="n" s="2909">
        <v>340000</v>
      </c>
      <c r="DB760" s="2909" t="str">
        <f>IF($A760="","",IF($AH760=20,IF(AND(OR($A760=21,$A760=215),$AJ760=10),"①病院一般",IF(AND($A760=31,$AJ760=41),"②病院短期","対象外")),IF($AJ760=30,"③特定消防",IF(AND(OR($A760=21,$A760=215),$AJ760=10),"④一般",IF(AND($A760=31,$AJ760=41),"⑤短期","対象外")))))</f>
        <v>⑤短期</v>
      </c>
      <c r="DC760" s="2909">
        <f>IF($A760="","",IF($AB760&amp;""='DB_設定'!$C$4,1,0))</f>
        <v>1</v>
      </c>
    </row>
    <row r="761">
      <c r="A761" t="n" s="2909">
        <v>31</v>
      </c>
      <c r="AA761" t="n" s="2909">
        <v>21</v>
      </c>
      <c r="AB761" t="inlineStr" s="2909">
        <is>
          <t>20250401</t>
        </is>
      </c>
      <c r="AD761" t="n" s="2909">
        <v>0</v>
      </c>
      <c r="AE761" t="inlineStr" s="2909">
        <is>
          <t>00000000</t>
        </is>
      </c>
      <c r="AH761" t="n" s="2909">
        <v>20</v>
      </c>
      <c r="AJ761" t="n" s="2909">
        <v>41</v>
      </c>
      <c r="AP761" t="n" s="2909">
        <v>260000</v>
      </c>
      <c r="DB761" s="2909" t="str">
        <f>IF($A761="","",IF($AH761=20,IF(AND(OR($A761=21,$A761=215),$AJ761=10),"①病院一般",IF(AND($A761=31,$AJ761=41),"②病院短期","対象外")),IF($AJ761=30,"③特定消防",IF(AND(OR($A761=21,$A761=215),$AJ761=10),"④一般",IF(AND($A761=31,$AJ761=41),"⑤短期","対象外")))))</f>
        <v>②病院短期</v>
      </c>
      <c r="DC761" s="2909">
        <f>IF($A761="","",IF($AB761&amp;""='DB_設定'!$C$4,1,0))</f>
        <v>1</v>
      </c>
    </row>
    <row r="762">
      <c r="A762" t="n" s="2909">
        <v>31</v>
      </c>
      <c r="AA762" t="n" s="2909">
        <v>21</v>
      </c>
      <c r="AB762" t="inlineStr" s="2909">
        <is>
          <t>20250401</t>
        </is>
      </c>
      <c r="AD762" t="n" s="2909">
        <v>12</v>
      </c>
      <c r="AE762" t="inlineStr" s="2909">
        <is>
          <t>20250701</t>
        </is>
      </c>
      <c r="AH762" t="n" s="2909">
        <v>1</v>
      </c>
      <c r="AJ762" t="n" s="2909">
        <v>41</v>
      </c>
      <c r="AP762" t="n" s="2909">
        <v>170000</v>
      </c>
      <c r="DB762" s="2909" t="str">
        <f>IF($A762="","",IF($AH762=20,IF(AND(OR($A762=21,$A762=215),$AJ762=10),"①病院一般",IF(AND($A762=31,$AJ762=41),"②病院短期","対象外")),IF($AJ762=30,"③特定消防",IF(AND(OR($A762=21,$A762=215),$AJ762=10),"④一般",IF(AND($A762=31,$AJ762=41),"⑤短期","対象外")))))</f>
        <v>⑤短期</v>
      </c>
      <c r="DC762" s="2909">
        <f>IF($A762="","",IF($AB762&amp;""='DB_設定'!$C$4,1,0))</f>
        <v>1</v>
      </c>
    </row>
    <row r="763">
      <c r="A763" t="n" s="2909">
        <v>31</v>
      </c>
      <c r="AA763" t="n" s="2909">
        <v>21</v>
      </c>
      <c r="AB763" t="inlineStr" s="2909">
        <is>
          <t>20250821</t>
        </is>
      </c>
      <c r="AD763" t="n" s="2909">
        <v>0</v>
      </c>
      <c r="AE763" t="inlineStr" s="2909">
        <is>
          <t>00000000</t>
        </is>
      </c>
      <c r="AH763" t="n" s="2909">
        <v>11</v>
      </c>
      <c r="AJ763" t="n" s="2909">
        <v>47</v>
      </c>
      <c r="AP763" t="n" s="2909">
        <v>110000</v>
      </c>
      <c r="DB763" s="2909" t="str">
        <f>IF($A763="","",IF($AH763=20,IF(AND(OR($A763=21,$A763=215),$AJ763=10),"①病院一般",IF(AND($A763=31,$AJ763=41),"②病院短期","対象外")),IF($AJ763=30,"③特定消防",IF(AND(OR($A763=21,$A763=215),$AJ763=10),"④一般",IF(AND($A763=31,$AJ763=41),"⑤短期","対象外")))))</f>
        <v>対象外</v>
      </c>
      <c r="DC763" s="2909">
        <f>IF($A763="","",IF($AB763&amp;""='DB_設定'!$C$4,1,0))</f>
        <v>0</v>
      </c>
    </row>
    <row r="764">
      <c r="A764" t="n" s="2909">
        <v>31</v>
      </c>
      <c r="AA764" t="n" s="2909">
        <v>24</v>
      </c>
      <c r="AB764" t="inlineStr" s="2909">
        <is>
          <t>20250501</t>
        </is>
      </c>
      <c r="AD764" t="n" s="2909">
        <v>0</v>
      </c>
      <c r="AE764" t="inlineStr" s="2909">
        <is>
          <t>00000000</t>
        </is>
      </c>
      <c r="AH764" t="n" s="2909">
        <v>1</v>
      </c>
      <c r="AJ764" t="n" s="2909">
        <v>41</v>
      </c>
      <c r="AP764" t="n" s="2909">
        <v>134000</v>
      </c>
      <c r="DB764" s="2909" t="str">
        <f>IF($A764="","",IF($AH764=20,IF(AND(OR($A764=21,$A764=215),$AJ764=10),"①病院一般",IF(AND($A764=31,$AJ764=41),"②病院短期","対象外")),IF($AJ764=30,"③特定消防",IF(AND(OR($A764=21,$A764=215),$AJ764=10),"④一般",IF(AND($A764=31,$AJ764=41),"⑤短期","対象外")))))</f>
        <v>⑤短期</v>
      </c>
      <c r="DC764" s="2909">
        <f>IF($A764="","",IF($AB764&amp;""='DB_設定'!$C$4,1,0))</f>
        <v>0</v>
      </c>
    </row>
    <row r="765">
      <c r="A765" t="n" s="2909">
        <v>31</v>
      </c>
      <c r="AA765" t="n" s="2909">
        <v>24</v>
      </c>
      <c r="AB765" t="inlineStr" s="2909">
        <is>
          <t>20250501</t>
        </is>
      </c>
      <c r="AD765" t="n" s="2909">
        <v>0</v>
      </c>
      <c r="AE765" t="inlineStr" s="2909">
        <is>
          <t>00000000</t>
        </is>
      </c>
      <c r="AH765" t="n" s="2909">
        <v>11</v>
      </c>
      <c r="AJ765" t="n" s="2909">
        <v>41</v>
      </c>
      <c r="AP765" t="n" s="2909">
        <v>126000</v>
      </c>
      <c r="DB765" s="2909" t="str">
        <f>IF($A765="","",IF($AH765=20,IF(AND(OR($A765=21,$A765=215),$AJ765=10),"①病院一般",IF(AND($A765=31,$AJ765=41),"②病院短期","対象外")),IF($AJ765=30,"③特定消防",IF(AND(OR($A765=21,$A765=215),$AJ765=10),"④一般",IF(AND($A765=31,$AJ765=41),"⑤短期","対象外")))))</f>
        <v>⑤短期</v>
      </c>
      <c r="DC765" s="2909">
        <f>IF($A765="","",IF($AB765&amp;""='DB_設定'!$C$4,1,0))</f>
        <v>0</v>
      </c>
    </row>
    <row r="766">
      <c r="A766" t="n" s="2909">
        <v>31</v>
      </c>
      <c r="AA766" t="n" s="2909">
        <v>21</v>
      </c>
      <c r="AB766" t="inlineStr" s="2909">
        <is>
          <t>20250401</t>
        </is>
      </c>
      <c r="AD766" t="n" s="2909">
        <v>0</v>
      </c>
      <c r="AE766" t="inlineStr" s="2909">
        <is>
          <t>00000000</t>
        </is>
      </c>
      <c r="AH766" t="n" s="2909">
        <v>1</v>
      </c>
      <c r="AJ766" t="n" s="2909">
        <v>41</v>
      </c>
      <c r="AP766" t="n" s="2909">
        <v>200000</v>
      </c>
      <c r="DB766" s="2909" t="str">
        <f>IF($A766="","",IF($AH766=20,IF(AND(OR($A766=21,$A766=215),$AJ766=10),"①病院一般",IF(AND($A766=31,$AJ766=41),"②病院短期","対象外")),IF($AJ766=30,"③特定消防",IF(AND(OR($A766=21,$A766=215),$AJ766=10),"④一般",IF(AND($A766=31,$AJ766=41),"⑤短期","対象外")))))</f>
        <v>⑤短期</v>
      </c>
      <c r="DC766" s="2909">
        <f>IF($A766="","",IF($AB766&amp;""='DB_設定'!$C$4,1,0))</f>
        <v>1</v>
      </c>
    </row>
    <row r="767">
      <c r="A767" t="n" s="2909">
        <v>31</v>
      </c>
      <c r="AA767" t="n" s="2909">
        <v>21</v>
      </c>
      <c r="AB767" t="inlineStr" s="2909">
        <is>
          <t>20250401</t>
        </is>
      </c>
      <c r="AD767" t="n" s="2909">
        <v>0</v>
      </c>
      <c r="AE767" t="inlineStr" s="2909">
        <is>
          <t>00000000</t>
        </is>
      </c>
      <c r="AH767" t="n" s="2909">
        <v>1</v>
      </c>
      <c r="AJ767" t="n" s="2909">
        <v>41</v>
      </c>
      <c r="AP767" t="n" s="2909">
        <v>200000</v>
      </c>
      <c r="DB767" s="2909" t="str">
        <f>IF($A767="","",IF($AH767=20,IF(AND(OR($A767=21,$A767=215),$AJ767=10),"①病院一般",IF(AND($A767=31,$AJ767=41),"②病院短期","対象外")),IF($AJ767=30,"③特定消防",IF(AND(OR($A767=21,$A767=215),$AJ767=10),"④一般",IF(AND($A767=31,$AJ767=41),"⑤短期","対象外")))))</f>
        <v>⑤短期</v>
      </c>
      <c r="DC767" s="2909">
        <f>IF($A767="","",IF($AB767&amp;""='DB_設定'!$C$4,1,0))</f>
        <v>1</v>
      </c>
    </row>
    <row r="768">
      <c r="A768" t="n" s="2909">
        <v>31</v>
      </c>
      <c r="AA768" t="n" s="2909">
        <v>24</v>
      </c>
      <c r="AB768" t="inlineStr" s="2909">
        <is>
          <t>20250401</t>
        </is>
      </c>
      <c r="AD768" t="n" s="2909">
        <v>0</v>
      </c>
      <c r="AE768" t="inlineStr" s="2909">
        <is>
          <t>00000000</t>
        </is>
      </c>
      <c r="AH768" t="n" s="2909">
        <v>1</v>
      </c>
      <c r="AJ768" t="n" s="2909">
        <v>41</v>
      </c>
      <c r="AP768" t="n" s="2909">
        <v>134000</v>
      </c>
      <c r="DB768" s="2909" t="str">
        <f>IF($A768="","",IF($AH768=20,IF(AND(OR($A768=21,$A768=215),$AJ768=10),"①病院一般",IF(AND($A768=31,$AJ768=41),"②病院短期","対象外")),IF($AJ768=30,"③特定消防",IF(AND(OR($A768=21,$A768=215),$AJ768=10),"④一般",IF(AND($A768=31,$AJ768=41),"⑤短期","対象外")))))</f>
        <v>⑤短期</v>
      </c>
      <c r="DC768" s="2909">
        <f>IF($A768="","",IF($AB768&amp;""='DB_設定'!$C$4,1,0))</f>
        <v>1</v>
      </c>
    </row>
    <row r="769">
      <c r="A769" t="n" s="2909">
        <v>31</v>
      </c>
      <c r="AA769" t="n" s="2909">
        <v>24</v>
      </c>
      <c r="AB769" t="inlineStr" s="2909">
        <is>
          <t>20250401</t>
        </is>
      </c>
      <c r="AD769" t="n" s="2909">
        <v>0</v>
      </c>
      <c r="AE769" t="inlineStr" s="2909">
        <is>
          <t>00000000</t>
        </is>
      </c>
      <c r="AH769" t="n" s="2909">
        <v>1</v>
      </c>
      <c r="AJ769" t="n" s="2909">
        <v>41</v>
      </c>
      <c r="AP769" t="n" s="2909">
        <v>200000</v>
      </c>
      <c r="DB769" s="2909" t="str">
        <f>IF($A769="","",IF($AH769=20,IF(AND(OR($A769=21,$A769=215),$AJ769=10),"①病院一般",IF(AND($A769=31,$AJ769=41),"②病院短期","対象外")),IF($AJ769=30,"③特定消防",IF(AND(OR($A769=21,$A769=215),$AJ769=10),"④一般",IF(AND($A769=31,$AJ769=41),"⑤短期","対象外")))))</f>
        <v>⑤短期</v>
      </c>
      <c r="DC769" s="2909">
        <f>IF($A769="","",IF($AB769&amp;""='DB_設定'!$C$4,1,0))</f>
        <v>1</v>
      </c>
    </row>
    <row r="770">
      <c r="A770" t="n" s="2909">
        <v>31</v>
      </c>
      <c r="AA770" t="n" s="2909">
        <v>21</v>
      </c>
      <c r="AB770" t="inlineStr" s="2909">
        <is>
          <t>20250401</t>
        </is>
      </c>
      <c r="AD770" t="n" s="2909">
        <v>0</v>
      </c>
      <c r="AE770" t="inlineStr" s="2909">
        <is>
          <t>00000000</t>
        </is>
      </c>
      <c r="AH770" t="n" s="2909">
        <v>1</v>
      </c>
      <c r="AJ770" t="n" s="2909">
        <v>41</v>
      </c>
      <c r="AP770" t="n" s="2909">
        <v>134000</v>
      </c>
      <c r="DB770" s="2909" t="str">
        <f>IF($A770="","",IF($AH770=20,IF(AND(OR($A770=21,$A770=215),$AJ770=10),"①病院一般",IF(AND($A770=31,$AJ770=41),"②病院短期","対象外")),IF($AJ770=30,"③特定消防",IF(AND(OR($A770=21,$A770=215),$AJ770=10),"④一般",IF(AND($A770=31,$AJ770=41),"⑤短期","対象外")))))</f>
        <v>⑤短期</v>
      </c>
      <c r="DC770" s="2909">
        <f>IF($A770="","",IF($AB770&amp;""='DB_設定'!$C$4,1,0))</f>
        <v>1</v>
      </c>
    </row>
    <row r="771">
      <c r="A771" t="n" s="2909">
        <v>31</v>
      </c>
      <c r="AA771" t="n" s="2909">
        <v>24</v>
      </c>
      <c r="AB771" t="inlineStr" s="2909">
        <is>
          <t>20250401</t>
        </is>
      </c>
      <c r="AD771" t="n" s="2909">
        <v>0</v>
      </c>
      <c r="AE771" t="inlineStr" s="2909">
        <is>
          <t>00000000</t>
        </is>
      </c>
      <c r="AH771" t="n" s="2909">
        <v>1</v>
      </c>
      <c r="AJ771" t="n" s="2909">
        <v>41</v>
      </c>
      <c r="AP771" t="n" s="2909">
        <v>142000</v>
      </c>
      <c r="DB771" s="2909" t="str">
        <f>IF($A771="","",IF($AH771=20,IF(AND(OR($A771=21,$A771=215),$AJ771=10),"①病院一般",IF(AND($A771=31,$AJ771=41),"②病院短期","対象外")),IF($AJ771=30,"③特定消防",IF(AND(OR($A771=21,$A771=215),$AJ771=10),"④一般",IF(AND($A771=31,$AJ771=41),"⑤短期","対象外")))))</f>
        <v>⑤短期</v>
      </c>
      <c r="DC771" s="2909">
        <f>IF($A771="","",IF($AB771&amp;""='DB_設定'!$C$4,1,0))</f>
        <v>1</v>
      </c>
    </row>
    <row r="772">
      <c r="A772" t="n" s="2909">
        <v>31</v>
      </c>
      <c r="AA772" t="n" s="2909">
        <v>24</v>
      </c>
      <c r="AB772" t="inlineStr" s="2909">
        <is>
          <t>20251001</t>
        </is>
      </c>
      <c r="AD772" t="n" s="2909">
        <v>0</v>
      </c>
      <c r="AE772" t="inlineStr" s="2909">
        <is>
          <t>00000000</t>
        </is>
      </c>
      <c r="AH772" t="n" s="2909">
        <v>1</v>
      </c>
      <c r="AJ772" t="n" s="2909">
        <v>41</v>
      </c>
      <c r="AP772" t="n" s="2909">
        <v>142000</v>
      </c>
      <c r="DB772" s="2909" t="str">
        <f>IF($A772="","",IF($AH772=20,IF(AND(OR($A772=21,$A772=215),$AJ772=10),"①病院一般",IF(AND($A772=31,$AJ772=41),"②病院短期","対象外")),IF($AJ772=30,"③特定消防",IF(AND(OR($A772=21,$A772=215),$AJ772=10),"④一般",IF(AND($A772=31,$AJ772=41),"⑤短期","対象外")))))</f>
        <v>⑤短期</v>
      </c>
      <c r="DC772" s="2909">
        <f>IF($A772="","",IF($AB772&amp;""='DB_設定'!$C$4,1,0))</f>
        <v>0</v>
      </c>
    </row>
    <row r="773">
      <c r="A773" t="n" s="2909">
        <v>31</v>
      </c>
      <c r="AA773" t="n" s="2909">
        <v>24</v>
      </c>
      <c r="AB773" t="inlineStr" s="2909">
        <is>
          <t>20250401</t>
        </is>
      </c>
      <c r="AD773" t="n" s="2909">
        <v>0</v>
      </c>
      <c r="AE773" t="inlineStr" s="2909">
        <is>
          <t>00000000</t>
        </is>
      </c>
      <c r="AH773" t="n" s="2909">
        <v>1</v>
      </c>
      <c r="AJ773" t="n" s="2909">
        <v>41</v>
      </c>
      <c r="AP773" t="n" s="2909">
        <v>200000</v>
      </c>
      <c r="DB773" s="2909" t="str">
        <f>IF($A773="","",IF($AH773=20,IF(AND(OR($A773=21,$A773=215),$AJ773=10),"①病院一般",IF(AND($A773=31,$AJ773=41),"②病院短期","対象外")),IF($AJ773=30,"③特定消防",IF(AND(OR($A773=21,$A773=215),$AJ773=10),"④一般",IF(AND($A773=31,$AJ773=41),"⑤短期","対象外")))))</f>
        <v>⑤短期</v>
      </c>
      <c r="DC773" s="2909">
        <f>IF($A773="","",IF($AB773&amp;""='DB_設定'!$C$4,1,0))</f>
        <v>1</v>
      </c>
    </row>
    <row r="774">
      <c r="A774" t="n" s="2909">
        <v>31</v>
      </c>
      <c r="AA774" t="n" s="2909">
        <v>24</v>
      </c>
      <c r="AB774" t="inlineStr" s="2909">
        <is>
          <t>20251001</t>
        </is>
      </c>
      <c r="AD774" t="n" s="2909">
        <v>0</v>
      </c>
      <c r="AE774" t="inlineStr" s="2909">
        <is>
          <t>00000000</t>
        </is>
      </c>
      <c r="AH774" t="n" s="2909">
        <v>1</v>
      </c>
      <c r="AJ774" t="n" s="2909">
        <v>41</v>
      </c>
      <c r="AP774" t="n" s="2909">
        <v>126000</v>
      </c>
      <c r="DB774" s="2909" t="str">
        <f>IF($A774="","",IF($AH774=20,IF(AND(OR($A774=21,$A774=215),$AJ774=10),"①病院一般",IF(AND($A774=31,$AJ774=41),"②病院短期","対象外")),IF($AJ774=30,"③特定消防",IF(AND(OR($A774=21,$A774=215),$AJ774=10),"④一般",IF(AND($A774=31,$AJ774=41),"⑤短期","対象外")))))</f>
        <v>⑤短期</v>
      </c>
      <c r="DC774" s="2909">
        <f>IF($A774="","",IF($AB774&amp;""='DB_設定'!$C$4,1,0))</f>
        <v>0</v>
      </c>
    </row>
    <row r="775">
      <c r="A775" t="n" s="2909">
        <v>31</v>
      </c>
      <c r="AA775" t="n" s="2909">
        <v>24</v>
      </c>
      <c r="AB775" t="inlineStr" s="2909">
        <is>
          <t>20250401</t>
        </is>
      </c>
      <c r="AD775" t="n" s="2909">
        <v>12</v>
      </c>
      <c r="AE775" t="inlineStr" s="2909">
        <is>
          <t>20250616</t>
        </is>
      </c>
      <c r="AH775" t="n" s="2909">
        <v>1</v>
      </c>
      <c r="AJ775" t="n" s="2909">
        <v>41</v>
      </c>
      <c r="AP775" t="n" s="2909">
        <v>142000</v>
      </c>
      <c r="DB775" s="2909" t="str">
        <f>IF($A775="","",IF($AH775=20,IF(AND(OR($A775=21,$A775=215),$AJ775=10),"①病院一般",IF(AND($A775=31,$AJ775=41),"②病院短期","対象外")),IF($AJ775=30,"③特定消防",IF(AND(OR($A775=21,$A775=215),$AJ775=10),"④一般",IF(AND($A775=31,$AJ775=41),"⑤短期","対象外")))))</f>
        <v>⑤短期</v>
      </c>
      <c r="DC775" s="2909">
        <f>IF($A775="","",IF($AB775&amp;""='DB_設定'!$C$4,1,0))</f>
        <v>1</v>
      </c>
    </row>
    <row r="776">
      <c r="A776" t="n" s="2909">
        <v>31</v>
      </c>
      <c r="AA776" t="n" s="2909">
        <v>21</v>
      </c>
      <c r="AB776" t="inlineStr" s="2909">
        <is>
          <t>20250408</t>
        </is>
      </c>
      <c r="AD776" t="n" s="2909">
        <v>0</v>
      </c>
      <c r="AE776" t="inlineStr" s="2909">
        <is>
          <t>00000000</t>
        </is>
      </c>
      <c r="AH776" t="n" s="2909">
        <v>11</v>
      </c>
      <c r="AJ776" t="n" s="2909">
        <v>41</v>
      </c>
      <c r="AP776" t="n" s="2909">
        <v>134000</v>
      </c>
      <c r="DB776" s="2909" t="str">
        <f>IF($A776="","",IF($AH776=20,IF(AND(OR($A776=21,$A776=215),$AJ776=10),"①病院一般",IF(AND($A776=31,$AJ776=41),"②病院短期","対象外")),IF($AJ776=30,"③特定消防",IF(AND(OR($A776=21,$A776=215),$AJ776=10),"④一般",IF(AND($A776=31,$AJ776=41),"⑤短期","対象外")))))</f>
        <v>⑤短期</v>
      </c>
      <c r="DC776" s="2909">
        <f>IF($A776="","",IF($AB776&amp;""='DB_設定'!$C$4,1,0))</f>
        <v>0</v>
      </c>
    </row>
    <row r="777">
      <c r="A777" t="n" s="2909">
        <v>31</v>
      </c>
      <c r="AA777" t="n" s="2909">
        <v>21</v>
      </c>
      <c r="AB777" t="inlineStr" s="2909">
        <is>
          <t>20250401</t>
        </is>
      </c>
      <c r="AD777" t="n" s="2909">
        <v>0</v>
      </c>
      <c r="AE777" t="inlineStr" s="2909">
        <is>
          <t>00000000</t>
        </is>
      </c>
      <c r="AH777" t="n" s="2909">
        <v>1</v>
      </c>
      <c r="AJ777" t="n" s="2909">
        <v>41</v>
      </c>
      <c r="AP777" t="n" s="2909">
        <v>190000</v>
      </c>
      <c r="DB777" s="2909" t="str">
        <f>IF($A777="","",IF($AH777=20,IF(AND(OR($A777=21,$A777=215),$AJ777=10),"①病院一般",IF(AND($A777=31,$AJ777=41),"②病院短期","対象外")),IF($AJ777=30,"③特定消防",IF(AND(OR($A777=21,$A777=215),$AJ777=10),"④一般",IF(AND($A777=31,$AJ777=41),"⑤短期","対象外")))))</f>
        <v>⑤短期</v>
      </c>
      <c r="DC777" s="2909">
        <f>IF($A777="","",IF($AB777&amp;""='DB_設定'!$C$4,1,0))</f>
        <v>1</v>
      </c>
    </row>
    <row r="778">
      <c r="A778" t="n" s="2909">
        <v>31</v>
      </c>
      <c r="AA778" t="n" s="2909">
        <v>21</v>
      </c>
      <c r="AB778" t="inlineStr" s="2909">
        <is>
          <t>20250602</t>
        </is>
      </c>
      <c r="AD778" t="n" s="2909">
        <v>0</v>
      </c>
      <c r="AE778" t="inlineStr" s="2909">
        <is>
          <t>00000000</t>
        </is>
      </c>
      <c r="AH778" t="n" s="2909">
        <v>11</v>
      </c>
      <c r="AJ778" t="n" s="2909">
        <v>41</v>
      </c>
      <c r="AP778" t="n" s="2909">
        <v>110000</v>
      </c>
      <c r="DB778" s="2909" t="str">
        <f>IF($A778="","",IF($AH778=20,IF(AND(OR($A778=21,$A778=215),$AJ778=10),"①病院一般",IF(AND($A778=31,$AJ778=41),"②病院短期","対象外")),IF($AJ778=30,"③特定消防",IF(AND(OR($A778=21,$A778=215),$AJ778=10),"④一般",IF(AND($A778=31,$AJ778=41),"⑤短期","対象外")))))</f>
        <v>⑤短期</v>
      </c>
      <c r="DC778" s="2909">
        <f>IF($A778="","",IF($AB778&amp;""='DB_設定'!$C$4,1,0))</f>
        <v>0</v>
      </c>
    </row>
    <row r="779">
      <c r="A779" t="n" s="2909">
        <v>31</v>
      </c>
      <c r="AA779" t="n" s="2909">
        <v>21</v>
      </c>
      <c r="AB779" t="inlineStr" s="2909">
        <is>
          <t>20250616</t>
        </is>
      </c>
      <c r="AD779" t="n" s="2909">
        <v>12</v>
      </c>
      <c r="AE779" t="inlineStr" s="2909">
        <is>
          <t>20250728</t>
        </is>
      </c>
      <c r="AH779" t="n" s="2909">
        <v>12</v>
      </c>
      <c r="AJ779" t="n" s="2909">
        <v>41</v>
      </c>
      <c r="AP779" t="n" s="2909">
        <v>134000</v>
      </c>
      <c r="DB779" s="2909" t="str">
        <f>IF($A779="","",IF($AH779=20,IF(AND(OR($A779=21,$A779=215),$AJ779=10),"①病院一般",IF(AND($A779=31,$AJ779=41),"②病院短期","対象外")),IF($AJ779=30,"③特定消防",IF(AND(OR($A779=21,$A779=215),$AJ779=10),"④一般",IF(AND($A779=31,$AJ779=41),"⑤短期","対象外")))))</f>
        <v>⑤短期</v>
      </c>
      <c r="DC779" s="2909">
        <f>IF($A779="","",IF($AB779&amp;""='DB_設定'!$C$4,1,0))</f>
        <v>0</v>
      </c>
    </row>
    <row r="780">
      <c r="A780" t="n" s="2909">
        <v>31</v>
      </c>
      <c r="AA780" t="n" s="2909">
        <v>24</v>
      </c>
      <c r="AB780" t="inlineStr" s="2909">
        <is>
          <t>20250408</t>
        </is>
      </c>
      <c r="AD780" t="n" s="2909">
        <v>0</v>
      </c>
      <c r="AE780" t="inlineStr" s="2909">
        <is>
          <t>00000000</t>
        </is>
      </c>
      <c r="AH780" t="n" s="2909">
        <v>11</v>
      </c>
      <c r="AJ780" t="n" s="2909">
        <v>41</v>
      </c>
      <c r="AP780" t="n" s="2909">
        <v>126000</v>
      </c>
      <c r="DB780" s="2909" t="str">
        <f>IF($A780="","",IF($AH780=20,IF(AND(OR($A780=21,$A780=215),$AJ780=10),"①病院一般",IF(AND($A780=31,$AJ780=41),"②病院短期","対象外")),IF($AJ780=30,"③特定消防",IF(AND(OR($A780=21,$A780=215),$AJ780=10),"④一般",IF(AND($A780=31,$AJ780=41),"⑤短期","対象外")))))</f>
        <v>⑤短期</v>
      </c>
      <c r="DC780" s="2909">
        <f>IF($A780="","",IF($AB780&amp;""='DB_設定'!$C$4,1,0))</f>
        <v>0</v>
      </c>
    </row>
    <row r="781">
      <c r="A781" t="n" s="2909">
        <v>31</v>
      </c>
      <c r="AA781" t="n" s="2909">
        <v>21</v>
      </c>
      <c r="AB781" t="inlineStr" s="2909">
        <is>
          <t>20250411</t>
        </is>
      </c>
      <c r="AD781" t="n" s="2909">
        <v>0</v>
      </c>
      <c r="AE781" t="inlineStr" s="2909">
        <is>
          <t>00000000</t>
        </is>
      </c>
      <c r="AH781" t="n" s="2909">
        <v>11</v>
      </c>
      <c r="AJ781" t="n" s="2909">
        <v>41</v>
      </c>
      <c r="AP781" t="n" s="2909">
        <v>134000</v>
      </c>
      <c r="DB781" s="2909" t="str">
        <f>IF($A781="","",IF($AH781=20,IF(AND(OR($A781=21,$A781=215),$AJ781=10),"①病院一般",IF(AND($A781=31,$AJ781=41),"②病院短期","対象外")),IF($AJ781=30,"③特定消防",IF(AND(OR($A781=21,$A781=215),$AJ781=10),"④一般",IF(AND($A781=31,$AJ781=41),"⑤短期","対象外")))))</f>
        <v>⑤短期</v>
      </c>
      <c r="DC781" s="2909">
        <f>IF($A781="","",IF($AB781&amp;""='DB_設定'!$C$4,1,0))</f>
        <v>0</v>
      </c>
    </row>
    <row r="782">
      <c r="A782" t="n" s="2909">
        <v>31</v>
      </c>
      <c r="AA782" t="n" s="2909">
        <v>21</v>
      </c>
      <c r="AB782" t="inlineStr" s="2909">
        <is>
          <t>20250401</t>
        </is>
      </c>
      <c r="AD782" t="n" s="2909">
        <v>0</v>
      </c>
      <c r="AE782" t="inlineStr" s="2909">
        <is>
          <t>00000000</t>
        </is>
      </c>
      <c r="AH782" t="n" s="2909">
        <v>1</v>
      </c>
      <c r="AJ782" t="n" s="2909">
        <v>41</v>
      </c>
      <c r="AP782" t="n" s="2909">
        <v>134000</v>
      </c>
      <c r="DB782" s="2909" t="str">
        <f>IF($A782="","",IF($AH782=20,IF(AND(OR($A782=21,$A782=215),$AJ782=10),"①病院一般",IF(AND($A782=31,$AJ782=41),"②病院短期","対象外")),IF($AJ782=30,"③特定消防",IF(AND(OR($A782=21,$A782=215),$AJ782=10),"④一般",IF(AND($A782=31,$AJ782=41),"⑤短期","対象外")))))</f>
        <v>⑤短期</v>
      </c>
      <c r="DC782" s="2909">
        <f>IF($A782="","",IF($AB782&amp;""='DB_設定'!$C$4,1,0))</f>
        <v>1</v>
      </c>
    </row>
    <row r="783">
      <c r="A783" t="n" s="2909">
        <v>31</v>
      </c>
      <c r="AA783" t="n" s="2909">
        <v>21</v>
      </c>
      <c r="AB783" t="inlineStr" s="2909">
        <is>
          <t>20250401</t>
        </is>
      </c>
      <c r="AD783" t="n" s="2909">
        <v>0</v>
      </c>
      <c r="AE783" t="inlineStr" s="2909">
        <is>
          <t>00000000</t>
        </is>
      </c>
      <c r="AH783" t="n" s="2909">
        <v>1</v>
      </c>
      <c r="AJ783" t="n" s="2909">
        <v>41</v>
      </c>
      <c r="AP783" t="n" s="2909">
        <v>142000</v>
      </c>
      <c r="DB783" s="2909" t="str">
        <f>IF($A783="","",IF($AH783=20,IF(AND(OR($A783=21,$A783=215),$AJ783=10),"①病院一般",IF(AND($A783=31,$AJ783=41),"②病院短期","対象外")),IF($AJ783=30,"③特定消防",IF(AND(OR($A783=21,$A783=215),$AJ783=10),"④一般",IF(AND($A783=31,$AJ783=41),"⑤短期","対象外")))))</f>
        <v>⑤短期</v>
      </c>
      <c r="DC783" s="2909">
        <f>IF($A783="","",IF($AB783&amp;""='DB_設定'!$C$4,1,0))</f>
        <v>1</v>
      </c>
    </row>
    <row r="784">
      <c r="A784" t="n" s="2909">
        <v>31</v>
      </c>
      <c r="AA784" t="n" s="2909">
        <v>21</v>
      </c>
      <c r="AB784" t="inlineStr" s="2909">
        <is>
          <t>20250408</t>
        </is>
      </c>
      <c r="AD784" t="n" s="2909">
        <v>0</v>
      </c>
      <c r="AE784" t="inlineStr" s="2909">
        <is>
          <t>00000000</t>
        </is>
      </c>
      <c r="AH784" t="n" s="2909">
        <v>11</v>
      </c>
      <c r="AJ784" t="n" s="2909">
        <v>41</v>
      </c>
      <c r="AP784" t="n" s="2909">
        <v>134000</v>
      </c>
      <c r="DB784" s="2909" t="str">
        <f>IF($A784="","",IF($AH784=20,IF(AND(OR($A784=21,$A784=215),$AJ784=10),"①病院一般",IF(AND($A784=31,$AJ784=41),"②病院短期","対象外")),IF($AJ784=30,"③特定消防",IF(AND(OR($A784=21,$A784=215),$AJ784=10),"④一般",IF(AND($A784=31,$AJ784=41),"⑤短期","対象外")))))</f>
        <v>⑤短期</v>
      </c>
      <c r="DC784" s="2909">
        <f>IF($A784="","",IF($AB784&amp;""='DB_設定'!$C$4,1,0))</f>
        <v>0</v>
      </c>
    </row>
    <row r="785">
      <c r="A785" t="n" s="2909">
        <v>31</v>
      </c>
      <c r="AA785" t="n" s="2909">
        <v>24</v>
      </c>
      <c r="AB785" t="inlineStr" s="2909">
        <is>
          <t>20250408</t>
        </is>
      </c>
      <c r="AD785" t="n" s="2909">
        <v>0</v>
      </c>
      <c r="AE785" t="inlineStr" s="2909">
        <is>
          <t>00000000</t>
        </is>
      </c>
      <c r="AH785" t="n" s="2909">
        <v>11</v>
      </c>
      <c r="AJ785" t="n" s="2909">
        <v>41</v>
      </c>
      <c r="AP785" t="n" s="2909">
        <v>126000</v>
      </c>
      <c r="DB785" s="2909" t="str">
        <f>IF($A785="","",IF($AH785=20,IF(AND(OR($A785=21,$A785=215),$AJ785=10),"①病院一般",IF(AND($A785=31,$AJ785=41),"②病院短期","対象外")),IF($AJ785=30,"③特定消防",IF(AND(OR($A785=21,$A785=215),$AJ785=10),"④一般",IF(AND($A785=31,$AJ785=41),"⑤短期","対象外")))))</f>
        <v>⑤短期</v>
      </c>
      <c r="DC785" s="2909">
        <f>IF($A785="","",IF($AB785&amp;""='DB_設定'!$C$4,1,0))</f>
        <v>0</v>
      </c>
    </row>
    <row r="786">
      <c r="A786" t="n" s="2909">
        <v>31</v>
      </c>
      <c r="AA786" t="n" s="2909">
        <v>21</v>
      </c>
      <c r="AB786" t="inlineStr" s="2909">
        <is>
          <t>20250401</t>
        </is>
      </c>
      <c r="AD786" t="n" s="2909">
        <v>0</v>
      </c>
      <c r="AE786" t="inlineStr" s="2909">
        <is>
          <t>00000000</t>
        </is>
      </c>
      <c r="AH786" t="n" s="2909">
        <v>11</v>
      </c>
      <c r="AJ786" t="n" s="2909">
        <v>41</v>
      </c>
      <c r="AP786" t="n" s="2909">
        <v>200000</v>
      </c>
      <c r="DB786" s="2909" t="str">
        <f>IF($A786="","",IF($AH786=20,IF(AND(OR($A786=21,$A786=215),$AJ786=10),"①病院一般",IF(AND($A786=31,$AJ786=41),"②病院短期","対象外")),IF($AJ786=30,"③特定消防",IF(AND(OR($A786=21,$A786=215),$AJ786=10),"④一般",IF(AND($A786=31,$AJ786=41),"⑤短期","対象外")))))</f>
        <v>⑤短期</v>
      </c>
      <c r="DC786" s="2909">
        <f>IF($A786="","",IF($AB786&amp;""='DB_設定'!$C$4,1,0))</f>
        <v>1</v>
      </c>
    </row>
    <row r="787">
      <c r="A787" t="n" s="2909">
        <v>31</v>
      </c>
      <c r="AA787" t="n" s="2909">
        <v>24</v>
      </c>
      <c r="AB787" t="inlineStr" s="2909">
        <is>
          <t>20250601</t>
        </is>
      </c>
      <c r="AD787" t="n" s="2909">
        <v>0</v>
      </c>
      <c r="AE787" t="inlineStr" s="2909">
        <is>
          <t>00000000</t>
        </is>
      </c>
      <c r="AH787" t="n" s="2909">
        <v>13</v>
      </c>
      <c r="AJ787" t="n" s="2909">
        <v>41</v>
      </c>
      <c r="AP787" t="n" s="2909">
        <v>142000</v>
      </c>
      <c r="DB787" s="2909" t="str">
        <f>IF($A787="","",IF($AH787=20,IF(AND(OR($A787=21,$A787=215),$AJ787=10),"①病院一般",IF(AND($A787=31,$AJ787=41),"②病院短期","対象外")),IF($AJ787=30,"③特定消防",IF(AND(OR($A787=21,$A787=215),$AJ787=10),"④一般",IF(AND($A787=31,$AJ787=41),"⑤短期","対象外")))))</f>
        <v>⑤短期</v>
      </c>
      <c r="DC787" s="2909">
        <f>IF($A787="","",IF($AB787&amp;""='DB_設定'!$C$4,1,0))</f>
        <v>0</v>
      </c>
    </row>
    <row r="788">
      <c r="A788" t="n" s="2909">
        <v>31</v>
      </c>
      <c r="AA788" t="n" s="2909">
        <v>24</v>
      </c>
      <c r="AB788" t="inlineStr" s="2909">
        <is>
          <t>20250601</t>
        </is>
      </c>
      <c r="AD788" t="n" s="2909">
        <v>0</v>
      </c>
      <c r="AE788" t="inlineStr" s="2909">
        <is>
          <t>00000000</t>
        </is>
      </c>
      <c r="AH788" t="n" s="2909">
        <v>1</v>
      </c>
      <c r="AJ788" t="n" s="2909">
        <v>41</v>
      </c>
      <c r="AP788" t="n" s="2909">
        <v>126000</v>
      </c>
      <c r="DB788" s="2909" t="str">
        <f>IF($A788="","",IF($AH788=20,IF(AND(OR($A788=21,$A788=215),$AJ788=10),"①病院一般",IF(AND($A788=31,$AJ788=41),"②病院短期","対象外")),IF($AJ788=30,"③特定消防",IF(AND(OR($A788=21,$A788=215),$AJ788=10),"④一般",IF(AND($A788=31,$AJ788=41),"⑤短期","対象外")))))</f>
        <v>⑤短期</v>
      </c>
      <c r="DC788" s="2909">
        <f>IF($A788="","",IF($AB788&amp;""='DB_設定'!$C$4,1,0))</f>
        <v>0</v>
      </c>
    </row>
    <row r="789">
      <c r="A789" t="n" s="2909">
        <v>31</v>
      </c>
      <c r="AA789" t="n" s="2909">
        <v>24</v>
      </c>
      <c r="AB789" t="inlineStr" s="2909">
        <is>
          <t>20250701</t>
        </is>
      </c>
      <c r="AD789" t="n" s="2909">
        <v>0</v>
      </c>
      <c r="AE789" t="inlineStr" s="2909">
        <is>
          <t>00000000</t>
        </is>
      </c>
      <c r="AH789" t="n" s="2909">
        <v>1</v>
      </c>
      <c r="AJ789" t="n" s="2909">
        <v>41</v>
      </c>
      <c r="AP789" t="n" s="2909">
        <v>134000</v>
      </c>
      <c r="DB789" s="2909" t="str">
        <f>IF($A789="","",IF($AH789=20,IF(AND(OR($A789=21,$A789=215),$AJ789=10),"①病院一般",IF(AND($A789=31,$AJ789=41),"②病院短期","対象外")),IF($AJ789=30,"③特定消防",IF(AND(OR($A789=21,$A789=215),$AJ789=10),"④一般",IF(AND($A789=31,$AJ789=41),"⑤短期","対象外")))))</f>
        <v>⑤短期</v>
      </c>
      <c r="DC789" s="2909">
        <f>IF($A789="","",IF($AB789&amp;""='DB_設定'!$C$4,1,0))</f>
        <v>0</v>
      </c>
    </row>
    <row r="790">
      <c r="A790" t="n" s="2909">
        <v>31</v>
      </c>
      <c r="AA790" t="n" s="2909">
        <v>24</v>
      </c>
      <c r="AB790" t="inlineStr" s="2909">
        <is>
          <t>20250401</t>
        </is>
      </c>
      <c r="AD790" t="n" s="2909">
        <v>0</v>
      </c>
      <c r="AE790" t="inlineStr" s="2909">
        <is>
          <t>00000000</t>
        </is>
      </c>
      <c r="AH790" t="n" s="2909">
        <v>1</v>
      </c>
      <c r="AJ790" t="n" s="2909">
        <v>41</v>
      </c>
      <c r="AP790" t="n" s="2909">
        <v>190000</v>
      </c>
      <c r="DB790" s="2909" t="str">
        <f>IF($A790="","",IF($AH790=20,IF(AND(OR($A790=21,$A790=215),$AJ790=10),"①病院一般",IF(AND($A790=31,$AJ790=41),"②病院短期","対象外")),IF($AJ790=30,"③特定消防",IF(AND(OR($A790=21,$A790=215),$AJ790=10),"④一般",IF(AND($A790=31,$AJ790=41),"⑤短期","対象外")))))</f>
        <v>⑤短期</v>
      </c>
      <c r="DC790" s="2909">
        <f>IF($A790="","",IF($AB790&amp;""='DB_設定'!$C$4,1,0))</f>
        <v>1</v>
      </c>
    </row>
    <row r="791">
      <c r="A791" t="n" s="2909">
        <v>31</v>
      </c>
      <c r="AA791" t="n" s="2909">
        <v>24</v>
      </c>
      <c r="AB791" t="inlineStr" s="2909">
        <is>
          <t>20250501</t>
        </is>
      </c>
      <c r="AD791" t="n" s="2909">
        <v>0</v>
      </c>
      <c r="AE791" t="inlineStr" s="2909">
        <is>
          <t>00000000</t>
        </is>
      </c>
      <c r="AH791" t="n" s="2909">
        <v>11</v>
      </c>
      <c r="AJ791" t="n" s="2909">
        <v>41</v>
      </c>
      <c r="AP791" t="n" s="2909">
        <v>126000</v>
      </c>
      <c r="DB791" s="2909" t="str">
        <f>IF($A791="","",IF($AH791=20,IF(AND(OR($A791=21,$A791=215),$AJ791=10),"①病院一般",IF(AND($A791=31,$AJ791=41),"②病院短期","対象外")),IF($AJ791=30,"③特定消防",IF(AND(OR($A791=21,$A791=215),$AJ791=10),"④一般",IF(AND($A791=31,$AJ791=41),"⑤短期","対象外")))))</f>
        <v>⑤短期</v>
      </c>
      <c r="DC791" s="2909">
        <f>IF($A791="","",IF($AB791&amp;""='DB_設定'!$C$4,1,0))</f>
        <v>0</v>
      </c>
    </row>
    <row r="792">
      <c r="A792" t="n" s="2909">
        <v>31</v>
      </c>
      <c r="AA792" t="n" s="2909">
        <v>21</v>
      </c>
      <c r="AB792" t="inlineStr" s="2909">
        <is>
          <t>20250401</t>
        </is>
      </c>
      <c r="AD792" t="n" s="2909">
        <v>0</v>
      </c>
      <c r="AE792" t="inlineStr" s="2909">
        <is>
          <t>00000000</t>
        </is>
      </c>
      <c r="AH792" t="n" s="2909">
        <v>1</v>
      </c>
      <c r="AJ792" t="n" s="2909">
        <v>41</v>
      </c>
      <c r="AP792" t="n" s="2909">
        <v>142000</v>
      </c>
      <c r="DB792" s="2909" t="str">
        <f>IF($A792="","",IF($AH792=20,IF(AND(OR($A792=21,$A792=215),$AJ792=10),"①病院一般",IF(AND($A792=31,$AJ792=41),"②病院短期","対象外")),IF($AJ792=30,"③特定消防",IF(AND(OR($A792=21,$A792=215),$AJ792=10),"④一般",IF(AND($A792=31,$AJ792=41),"⑤短期","対象外")))))</f>
        <v>⑤短期</v>
      </c>
      <c r="DC792" s="2909">
        <f>IF($A792="","",IF($AB792&amp;""='DB_設定'!$C$4,1,0))</f>
        <v>1</v>
      </c>
    </row>
    <row r="793">
      <c r="A793" t="n" s="2909">
        <v>31</v>
      </c>
      <c r="AA793" t="n" s="2909">
        <v>21</v>
      </c>
      <c r="AB793" t="inlineStr" s="2909">
        <is>
          <t>20250908</t>
        </is>
      </c>
      <c r="AD793" t="n" s="2909">
        <v>0</v>
      </c>
      <c r="AE793" t="inlineStr" s="2909">
        <is>
          <t>00000000</t>
        </is>
      </c>
      <c r="AH793" t="n" s="2909">
        <v>1</v>
      </c>
      <c r="AJ793" t="n" s="2909">
        <v>41</v>
      </c>
      <c r="AP793" t="n" s="2909">
        <v>126000</v>
      </c>
      <c r="DB793" s="2909" t="str">
        <f>IF($A793="","",IF($AH793=20,IF(AND(OR($A793=21,$A793=215),$AJ793=10),"①病院一般",IF(AND($A793=31,$AJ793=41),"②病院短期","対象外")),IF($AJ793=30,"③特定消防",IF(AND(OR($A793=21,$A793=215),$AJ793=10),"④一般",IF(AND($A793=31,$AJ793=41),"⑤短期","対象外")))))</f>
        <v>⑤短期</v>
      </c>
      <c r="DC793" s="2909">
        <f>IF($A793="","",IF($AB793&amp;""='DB_設定'!$C$4,1,0))</f>
        <v>0</v>
      </c>
    </row>
    <row r="794">
      <c r="A794" t="n" s="2909">
        <v>31</v>
      </c>
      <c r="AA794" t="n" s="2909">
        <v>24</v>
      </c>
      <c r="AB794" t="inlineStr" s="2909">
        <is>
          <t>20250522</t>
        </is>
      </c>
      <c r="AD794" t="n" s="2909">
        <v>0</v>
      </c>
      <c r="AE794" t="inlineStr" s="2909">
        <is>
          <t>00000000</t>
        </is>
      </c>
      <c r="AH794" t="n" s="2909">
        <v>1</v>
      </c>
      <c r="AJ794" t="n" s="2909">
        <v>41</v>
      </c>
      <c r="AP794" t="n" s="2909">
        <v>110000</v>
      </c>
      <c r="DB794" s="2909" t="str">
        <f>IF($A794="","",IF($AH794=20,IF(AND(OR($A794=21,$A794=215),$AJ794=10),"①病院一般",IF(AND($A794=31,$AJ794=41),"②病院短期","対象外")),IF($AJ794=30,"③特定消防",IF(AND(OR($A794=21,$A794=215),$AJ794=10),"④一般",IF(AND($A794=31,$AJ794=41),"⑤短期","対象外")))))</f>
        <v>⑤短期</v>
      </c>
      <c r="DC794" s="2909">
        <f>IF($A794="","",IF($AB794&amp;""='DB_設定'!$C$4,1,0))</f>
        <v>0</v>
      </c>
    </row>
    <row r="795">
      <c r="A795" t="n" s="2909">
        <v>31</v>
      </c>
      <c r="AA795" t="n" s="2909">
        <v>21</v>
      </c>
      <c r="AB795" t="inlineStr" s="2909">
        <is>
          <t>20250411</t>
        </is>
      </c>
      <c r="AD795" t="n" s="2909">
        <v>0</v>
      </c>
      <c r="AE795" t="inlineStr" s="2909">
        <is>
          <t>00000000</t>
        </is>
      </c>
      <c r="AH795" t="n" s="2909">
        <v>11</v>
      </c>
      <c r="AJ795" t="n" s="2909">
        <v>41</v>
      </c>
      <c r="AP795" t="n" s="2909">
        <v>78000</v>
      </c>
      <c r="DB795" s="2909" t="str">
        <f>IF($A795="","",IF($AH795=20,IF(AND(OR($A795=21,$A795=215),$AJ795=10),"①病院一般",IF(AND($A795=31,$AJ795=41),"②病院短期","対象外")),IF($AJ795=30,"③特定消防",IF(AND(OR($A795=21,$A795=215),$AJ795=10),"④一般",IF(AND($A795=31,$AJ795=41),"⑤短期","対象外")))))</f>
        <v>⑤短期</v>
      </c>
      <c r="DC795" s="2909">
        <f>IF($A795="","",IF($AB795&amp;""='DB_設定'!$C$4,1,0))</f>
        <v>0</v>
      </c>
    </row>
    <row r="796">
      <c r="A796" t="n" s="2909">
        <v>31</v>
      </c>
      <c r="AA796" t="n" s="2909">
        <v>24</v>
      </c>
      <c r="AB796" t="inlineStr" s="2909">
        <is>
          <t>20250801</t>
        </is>
      </c>
      <c r="AD796" t="n" s="2909">
        <v>0</v>
      </c>
      <c r="AE796" t="inlineStr" s="2909">
        <is>
          <t>00000000</t>
        </is>
      </c>
      <c r="AH796" t="n" s="2909">
        <v>1</v>
      </c>
      <c r="AJ796" t="n" s="2909">
        <v>41</v>
      </c>
      <c r="AP796" t="n" s="2909">
        <v>134000</v>
      </c>
      <c r="DB796" s="2909" t="str">
        <f>IF($A796="","",IF($AH796=20,IF(AND(OR($A796=21,$A796=215),$AJ796=10),"①病院一般",IF(AND($A796=31,$AJ796=41),"②病院短期","対象外")),IF($AJ796=30,"③特定消防",IF(AND(OR($A796=21,$A796=215),$AJ796=10),"④一般",IF(AND($A796=31,$AJ796=41),"⑤短期","対象外")))))</f>
        <v>⑤短期</v>
      </c>
      <c r="DC796" s="2909">
        <f>IF($A796="","",IF($AB796&amp;""='DB_設定'!$C$4,1,0))</f>
        <v>0</v>
      </c>
    </row>
    <row r="797">
      <c r="A797" t="n" s="2909">
        <v>31</v>
      </c>
      <c r="AA797" t="n" s="2909">
        <v>21</v>
      </c>
      <c r="AB797" t="inlineStr" s="2909">
        <is>
          <t>20250616</t>
        </is>
      </c>
      <c r="AD797" t="n" s="2909">
        <v>0</v>
      </c>
      <c r="AE797" t="inlineStr" s="2909">
        <is>
          <t>00000000</t>
        </is>
      </c>
      <c r="AH797" t="n" s="2909">
        <v>1</v>
      </c>
      <c r="AJ797" t="n" s="2909">
        <v>41</v>
      </c>
      <c r="AP797" t="n" s="2909">
        <v>142000</v>
      </c>
      <c r="DB797" s="2909" t="str">
        <f>IF($A797="","",IF($AH797=20,IF(AND(OR($A797=21,$A797=215),$AJ797=10),"①病院一般",IF(AND($A797=31,$AJ797=41),"②病院短期","対象外")),IF($AJ797=30,"③特定消防",IF(AND(OR($A797=21,$A797=215),$AJ797=10),"④一般",IF(AND($A797=31,$AJ797=41),"⑤短期","対象外")))))</f>
        <v>⑤短期</v>
      </c>
      <c r="DC797" s="2909">
        <f>IF($A797="","",IF($AB797&amp;""='DB_設定'!$C$4,1,0))</f>
        <v>0</v>
      </c>
    </row>
    <row r="798">
      <c r="A798" t="n" s="2909">
        <v>31</v>
      </c>
      <c r="AA798" t="n" s="2909">
        <v>21</v>
      </c>
      <c r="AB798" t="inlineStr" s="2909">
        <is>
          <t>20250401</t>
        </is>
      </c>
      <c r="AD798" t="n" s="2909">
        <v>0</v>
      </c>
      <c r="AE798" t="inlineStr" s="2909">
        <is>
          <t>00000000</t>
        </is>
      </c>
      <c r="AH798" t="n" s="2909">
        <v>5</v>
      </c>
      <c r="AJ798" t="n" s="2909">
        <v>41</v>
      </c>
      <c r="AP798" t="n" s="2909">
        <v>200000</v>
      </c>
      <c r="DB798" s="2909" t="str">
        <f>IF($A798="","",IF($AH798=20,IF(AND(OR($A798=21,$A798=215),$AJ798=10),"①病院一般",IF(AND($A798=31,$AJ798=41),"②病院短期","対象外")),IF($AJ798=30,"③特定消防",IF(AND(OR($A798=21,$A798=215),$AJ798=10),"④一般",IF(AND($A798=31,$AJ798=41),"⑤短期","対象外")))))</f>
        <v>⑤短期</v>
      </c>
      <c r="DC798" s="2909">
        <f>IF($A798="","",IF($AB798&amp;""='DB_設定'!$C$4,1,0))</f>
        <v>1</v>
      </c>
    </row>
    <row r="799">
      <c r="A799" t="n" s="2909">
        <v>31</v>
      </c>
      <c r="AA799" t="n" s="2909">
        <v>21</v>
      </c>
      <c r="AB799" t="inlineStr" s="2909">
        <is>
          <t>20250401</t>
        </is>
      </c>
      <c r="AD799" t="n" s="2909">
        <v>0</v>
      </c>
      <c r="AE799" t="inlineStr" s="2909">
        <is>
          <t>00000000</t>
        </is>
      </c>
      <c r="AH799" t="n" s="2909">
        <v>11</v>
      </c>
      <c r="AJ799" t="n" s="2909">
        <v>41</v>
      </c>
      <c r="AP799" t="n" s="2909">
        <v>240000</v>
      </c>
      <c r="DB799" s="2909" t="str">
        <f>IF($A799="","",IF($AH799=20,IF(AND(OR($A799=21,$A799=215),$AJ799=10),"①病院一般",IF(AND($A799=31,$AJ799=41),"②病院短期","対象外")),IF($AJ799=30,"③特定消防",IF(AND(OR($A799=21,$A799=215),$AJ799=10),"④一般",IF(AND($A799=31,$AJ799=41),"⑤短期","対象外")))))</f>
        <v>⑤短期</v>
      </c>
      <c r="DC799" s="2909">
        <f>IF($A799="","",IF($AB799&amp;""='DB_設定'!$C$4,1,0))</f>
        <v>1</v>
      </c>
    </row>
    <row r="800">
      <c r="A800" t="n" s="2909">
        <v>31</v>
      </c>
      <c r="AA800" t="n" s="2909">
        <v>21</v>
      </c>
      <c r="AB800" t="inlineStr" s="2909">
        <is>
          <t>20250410</t>
        </is>
      </c>
      <c r="AD800" t="n" s="2909">
        <v>0</v>
      </c>
      <c r="AE800" t="inlineStr" s="2909">
        <is>
          <t>00000000</t>
        </is>
      </c>
      <c r="AH800" t="n" s="2909">
        <v>11</v>
      </c>
      <c r="AJ800" t="n" s="2909">
        <v>41</v>
      </c>
      <c r="AP800" t="n" s="2909">
        <v>260000</v>
      </c>
      <c r="DB800" s="2909" t="str">
        <f>IF($A800="","",IF($AH800=20,IF(AND(OR($A800=21,$A800=215),$AJ800=10),"①病院一般",IF(AND($A800=31,$AJ800=41),"②病院短期","対象外")),IF($AJ800=30,"③特定消防",IF(AND(OR($A800=21,$A800=215),$AJ800=10),"④一般",IF(AND($A800=31,$AJ800=41),"⑤短期","対象外")))))</f>
        <v>⑤短期</v>
      </c>
      <c r="DC800" s="2909">
        <f>IF($A800="","",IF($AB800&amp;""='DB_設定'!$C$4,1,0))</f>
        <v>0</v>
      </c>
    </row>
    <row r="801">
      <c r="A801" t="n" s="2909">
        <v>31</v>
      </c>
      <c r="AA801" t="n" s="2909">
        <v>24</v>
      </c>
      <c r="AB801" t="inlineStr" s="2909">
        <is>
          <t>20250501</t>
        </is>
      </c>
      <c r="AD801" t="n" s="2909">
        <v>0</v>
      </c>
      <c r="AE801" t="inlineStr" s="2909">
        <is>
          <t>00000000</t>
        </is>
      </c>
      <c r="AH801" t="n" s="2909">
        <v>11</v>
      </c>
      <c r="AJ801" t="n" s="2909">
        <v>41</v>
      </c>
      <c r="AP801" t="n" s="2909">
        <v>134000</v>
      </c>
      <c r="DB801" s="2909" t="str">
        <f>IF($A801="","",IF($AH801=20,IF(AND(OR($A801=21,$A801=215),$AJ801=10),"①病院一般",IF(AND($A801=31,$AJ801=41),"②病院短期","対象外")),IF($AJ801=30,"③特定消防",IF(AND(OR($A801=21,$A801=215),$AJ801=10),"④一般",IF(AND($A801=31,$AJ801=41),"⑤短期","対象外")))))</f>
        <v>⑤短期</v>
      </c>
      <c r="DC801" s="2909">
        <f>IF($A801="","",IF($AB801&amp;""='DB_設定'!$C$4,1,0))</f>
        <v>0</v>
      </c>
    </row>
    <row r="802">
      <c r="A802" t="n" s="2909">
        <v>31</v>
      </c>
      <c r="AA802" t="n" s="2909">
        <v>21</v>
      </c>
      <c r="AB802" t="inlineStr" s="2909">
        <is>
          <t>20250408</t>
        </is>
      </c>
      <c r="AD802" t="n" s="2909">
        <v>0</v>
      </c>
      <c r="AE802" t="inlineStr" s="2909">
        <is>
          <t>00000000</t>
        </is>
      </c>
      <c r="AH802" t="n" s="2909">
        <v>11</v>
      </c>
      <c r="AJ802" t="n" s="2909">
        <v>41</v>
      </c>
      <c r="AP802" t="n" s="2909">
        <v>126000</v>
      </c>
      <c r="DB802" s="2909" t="str">
        <f>IF($A802="","",IF($AH802=20,IF(AND(OR($A802=21,$A802=215),$AJ802=10),"①病院一般",IF(AND($A802=31,$AJ802=41),"②病院短期","対象外")),IF($AJ802=30,"③特定消防",IF(AND(OR($A802=21,$A802=215),$AJ802=10),"④一般",IF(AND($A802=31,$AJ802=41),"⑤短期","対象外")))))</f>
        <v>⑤短期</v>
      </c>
      <c r="DC802" s="2909">
        <f>IF($A802="","",IF($AB802&amp;""='DB_設定'!$C$4,1,0))</f>
        <v>0</v>
      </c>
    </row>
    <row r="803">
      <c r="A803" t="n" s="2909">
        <v>31</v>
      </c>
      <c r="AA803" t="n" s="2909">
        <v>24</v>
      </c>
      <c r="AB803" t="inlineStr" s="2909">
        <is>
          <t>20250401</t>
        </is>
      </c>
      <c r="AD803" t="n" s="2909">
        <v>0</v>
      </c>
      <c r="AE803" t="inlineStr" s="2909">
        <is>
          <t>00000000</t>
        </is>
      </c>
      <c r="AH803" t="n" s="2909">
        <v>11</v>
      </c>
      <c r="AJ803" t="n" s="2909">
        <v>41</v>
      </c>
      <c r="AP803" t="n" s="2909">
        <v>280000</v>
      </c>
      <c r="DB803" s="2909" t="str">
        <f>IF($A803="","",IF($AH803=20,IF(AND(OR($A803=21,$A803=215),$AJ803=10),"①病院一般",IF(AND($A803=31,$AJ803=41),"②病院短期","対象外")),IF($AJ803=30,"③特定消防",IF(AND(OR($A803=21,$A803=215),$AJ803=10),"④一般",IF(AND($A803=31,$AJ803=41),"⑤短期","対象外")))))</f>
        <v>⑤短期</v>
      </c>
      <c r="DC803" s="2909">
        <f>IF($A803="","",IF($AB803&amp;""='DB_設定'!$C$4,1,0))</f>
        <v>1</v>
      </c>
    </row>
    <row r="804">
      <c r="A804" t="n" s="2909">
        <v>31</v>
      </c>
      <c r="AA804" t="n" s="2909">
        <v>24</v>
      </c>
      <c r="AB804" t="inlineStr" s="2909">
        <is>
          <t>20250613</t>
        </is>
      </c>
      <c r="AD804" t="n" s="2909">
        <v>12</v>
      </c>
      <c r="AE804" t="inlineStr" s="2909">
        <is>
          <t>20251017</t>
        </is>
      </c>
      <c r="AH804" t="n" s="2909">
        <v>1</v>
      </c>
      <c r="AJ804" t="n" s="2909">
        <v>41</v>
      </c>
      <c r="AP804" t="n" s="2909">
        <v>150000</v>
      </c>
      <c r="DB804" s="2909" t="str">
        <f>IF($A804="","",IF($AH804=20,IF(AND(OR($A804=21,$A804=215),$AJ804=10),"①病院一般",IF(AND($A804=31,$AJ804=41),"②病院短期","対象外")),IF($AJ804=30,"③特定消防",IF(AND(OR($A804=21,$A804=215),$AJ804=10),"④一般",IF(AND($A804=31,$AJ804=41),"⑤短期","対象外")))))</f>
        <v>⑤短期</v>
      </c>
      <c r="DC804" s="2909">
        <f>IF($A804="","",IF($AB804&amp;""='DB_設定'!$C$4,1,0))</f>
        <v>0</v>
      </c>
    </row>
    <row r="805">
      <c r="A805" t="n" s="2909">
        <v>31</v>
      </c>
      <c r="AA805" t="n" s="2909">
        <v>24</v>
      </c>
      <c r="AB805" t="inlineStr" s="2909">
        <is>
          <t>20250601</t>
        </is>
      </c>
      <c r="AD805" t="n" s="2909">
        <v>12</v>
      </c>
      <c r="AE805" t="inlineStr" s="2909">
        <is>
          <t>20251001</t>
        </is>
      </c>
      <c r="AH805" t="n" s="2909">
        <v>1</v>
      </c>
      <c r="AJ805" t="n" s="2909">
        <v>41</v>
      </c>
      <c r="AP805" t="n" s="2909">
        <v>142000</v>
      </c>
      <c r="DB805" s="2909" t="str">
        <f>IF($A805="","",IF($AH805=20,IF(AND(OR($A805=21,$A805=215),$AJ805=10),"①病院一般",IF(AND($A805=31,$AJ805=41),"②病院短期","対象外")),IF($AJ805=30,"③特定消防",IF(AND(OR($A805=21,$A805=215),$AJ805=10),"④一般",IF(AND($A805=31,$AJ805=41),"⑤短期","対象外")))))</f>
        <v>⑤短期</v>
      </c>
      <c r="DC805" s="2909">
        <f>IF($A805="","",IF($AB805&amp;""='DB_設定'!$C$4,1,0))</f>
        <v>0</v>
      </c>
    </row>
    <row r="806">
      <c r="A806" t="n" s="2909">
        <v>31</v>
      </c>
      <c r="AA806" t="n" s="2909">
        <v>24</v>
      </c>
      <c r="AB806" t="inlineStr" s="2909">
        <is>
          <t>20250401</t>
        </is>
      </c>
      <c r="AD806" t="n" s="2909">
        <v>0</v>
      </c>
      <c r="AE806" t="inlineStr" s="2909">
        <is>
          <t>00000000</t>
        </is>
      </c>
      <c r="AH806" t="n" s="2909">
        <v>11</v>
      </c>
      <c r="AJ806" t="n" s="2909">
        <v>41</v>
      </c>
      <c r="AP806" t="n" s="2909">
        <v>280000</v>
      </c>
      <c r="DB806" s="2909" t="str">
        <f>IF($A806="","",IF($AH806=20,IF(AND(OR($A806=21,$A806=215),$AJ806=10),"①病院一般",IF(AND($A806=31,$AJ806=41),"②病院短期","対象外")),IF($AJ806=30,"③特定消防",IF(AND(OR($A806=21,$A806=215),$AJ806=10),"④一般",IF(AND($A806=31,$AJ806=41),"⑤短期","対象外")))))</f>
        <v>⑤短期</v>
      </c>
      <c r="DC806" s="2909">
        <f>IF($A806="","",IF($AB806&amp;""='DB_設定'!$C$4,1,0))</f>
        <v>1</v>
      </c>
    </row>
    <row r="807">
      <c r="A807" t="n" s="2909">
        <v>31</v>
      </c>
      <c r="AA807" t="n" s="2909">
        <v>21</v>
      </c>
      <c r="AB807" t="inlineStr" s="2909">
        <is>
          <t>20250401</t>
        </is>
      </c>
      <c r="AD807" t="n" s="2909">
        <v>0</v>
      </c>
      <c r="AE807" t="inlineStr" s="2909">
        <is>
          <t>00000000</t>
        </is>
      </c>
      <c r="AH807" t="n" s="2909">
        <v>1</v>
      </c>
      <c r="AJ807" t="n" s="2909">
        <v>41</v>
      </c>
      <c r="AP807" t="n" s="2909">
        <v>142000</v>
      </c>
      <c r="DB807" s="2909" t="str">
        <f>IF($A807="","",IF($AH807=20,IF(AND(OR($A807=21,$A807=215),$AJ807=10),"①病院一般",IF(AND($A807=31,$AJ807=41),"②病院短期","対象外")),IF($AJ807=30,"③特定消防",IF(AND(OR($A807=21,$A807=215),$AJ807=10),"④一般",IF(AND($A807=31,$AJ807=41),"⑤短期","対象外")))))</f>
        <v>⑤短期</v>
      </c>
      <c r="DC807" s="2909">
        <f>IF($A807="","",IF($AB807&amp;""='DB_設定'!$C$4,1,0))</f>
        <v>1</v>
      </c>
    </row>
    <row r="808">
      <c r="A808" t="n" s="2909">
        <v>31</v>
      </c>
      <c r="AA808" t="n" s="2909">
        <v>21</v>
      </c>
      <c r="AB808" t="inlineStr" s="2909">
        <is>
          <t>20251001</t>
        </is>
      </c>
      <c r="AD808" t="n" s="2909">
        <v>0</v>
      </c>
      <c r="AE808" t="inlineStr" s="2909">
        <is>
          <t>00000000</t>
        </is>
      </c>
      <c r="AH808" t="n" s="2909">
        <v>1</v>
      </c>
      <c r="AJ808" t="n" s="2909">
        <v>41</v>
      </c>
      <c r="AP808" t="n" s="2909">
        <v>220000</v>
      </c>
      <c r="DB808" s="2909" t="str">
        <f>IF($A808="","",IF($AH808=20,IF(AND(OR($A808=21,$A808=215),$AJ808=10),"①病院一般",IF(AND($A808=31,$AJ808=41),"②病院短期","対象外")),IF($AJ808=30,"③特定消防",IF(AND(OR($A808=21,$A808=215),$AJ808=10),"④一般",IF(AND($A808=31,$AJ808=41),"⑤短期","対象外")))))</f>
        <v>⑤短期</v>
      </c>
      <c r="DC808" s="2909">
        <f>IF($A808="","",IF($AB808&amp;""='DB_設定'!$C$4,1,0))</f>
        <v>0</v>
      </c>
    </row>
    <row r="809">
      <c r="A809" t="n" s="2909">
        <v>31</v>
      </c>
      <c r="AA809" t="n" s="2909">
        <v>24</v>
      </c>
      <c r="AB809" t="inlineStr" s="2909">
        <is>
          <t>20251001</t>
        </is>
      </c>
      <c r="AD809" t="n" s="2909">
        <v>0</v>
      </c>
      <c r="AE809" t="inlineStr" s="2909">
        <is>
          <t>00000000</t>
        </is>
      </c>
      <c r="AH809" t="n" s="2909">
        <v>1</v>
      </c>
      <c r="AJ809" t="n" s="2909">
        <v>41</v>
      </c>
      <c r="AP809" t="n" s="2909">
        <v>126000</v>
      </c>
      <c r="DB809" s="2909" t="str">
        <f>IF($A809="","",IF($AH809=20,IF(AND(OR($A809=21,$A809=215),$AJ809=10),"①病院一般",IF(AND($A809=31,$AJ809=41),"②病院短期","対象外")),IF($AJ809=30,"③特定消防",IF(AND(OR($A809=21,$A809=215),$AJ809=10),"④一般",IF(AND($A809=31,$AJ809=41),"⑤短期","対象外")))))</f>
        <v>⑤短期</v>
      </c>
      <c r="DC809" s="2909">
        <f>IF($A809="","",IF($AB809&amp;""='DB_設定'!$C$4,1,0))</f>
        <v>0</v>
      </c>
    </row>
    <row r="810">
      <c r="A810" t="n" s="2909">
        <v>31</v>
      </c>
      <c r="AA810" t="n" s="2909">
        <v>21</v>
      </c>
      <c r="AB810" t="inlineStr" s="2909">
        <is>
          <t>20250401</t>
        </is>
      </c>
      <c r="AD810" t="n" s="2909">
        <v>0</v>
      </c>
      <c r="AE810" t="inlineStr" s="2909">
        <is>
          <t>00000000</t>
        </is>
      </c>
      <c r="AH810" t="n" s="2909">
        <v>1</v>
      </c>
      <c r="AJ810" t="n" s="2909">
        <v>41</v>
      </c>
      <c r="AP810" t="n" s="2909">
        <v>134000</v>
      </c>
      <c r="DB810" s="2909" t="str">
        <f>IF($A810="","",IF($AH810=20,IF(AND(OR($A810=21,$A810=215),$AJ810=10),"①病院一般",IF(AND($A810=31,$AJ810=41),"②病院短期","対象外")),IF($AJ810=30,"③特定消防",IF(AND(OR($A810=21,$A810=215),$AJ810=10),"④一般",IF(AND($A810=31,$AJ810=41),"⑤短期","対象外")))))</f>
        <v>⑤短期</v>
      </c>
      <c r="DC810" s="2909">
        <f>IF($A810="","",IF($AB810&amp;""='DB_設定'!$C$4,1,0))</f>
        <v>1</v>
      </c>
    </row>
    <row r="811">
      <c r="A811" t="n" s="2909">
        <v>31</v>
      </c>
      <c r="AA811" t="n" s="2909">
        <v>21</v>
      </c>
      <c r="AB811" t="inlineStr" s="2909">
        <is>
          <t>20250401</t>
        </is>
      </c>
      <c r="AD811" t="n" s="2909">
        <v>0</v>
      </c>
      <c r="AE811" t="inlineStr" s="2909">
        <is>
          <t>00000000</t>
        </is>
      </c>
      <c r="AH811" t="n" s="2909">
        <v>1</v>
      </c>
      <c r="AJ811" t="n" s="2909">
        <v>41</v>
      </c>
      <c r="AP811" t="n" s="2909">
        <v>260000</v>
      </c>
      <c r="DB811" s="2909" t="str">
        <f>IF($A811="","",IF($AH811=20,IF(AND(OR($A811=21,$A811=215),$AJ811=10),"①病院一般",IF(AND($A811=31,$AJ811=41),"②病院短期","対象外")),IF($AJ811=30,"③特定消防",IF(AND(OR($A811=21,$A811=215),$AJ811=10),"④一般",IF(AND($A811=31,$AJ811=41),"⑤短期","対象外")))))</f>
        <v>⑤短期</v>
      </c>
      <c r="DC811" s="2909">
        <f>IF($A811="","",IF($AB811&amp;""='DB_設定'!$C$4,1,0))</f>
        <v>1</v>
      </c>
    </row>
    <row r="812">
      <c r="A812" t="n" s="2909">
        <v>31</v>
      </c>
      <c r="AA812" t="n" s="2909">
        <v>24</v>
      </c>
      <c r="AB812" t="inlineStr" s="2909">
        <is>
          <t>20250408</t>
        </is>
      </c>
      <c r="AD812" t="n" s="2909">
        <v>0</v>
      </c>
      <c r="AE812" t="inlineStr" s="2909">
        <is>
          <t>00000000</t>
        </is>
      </c>
      <c r="AH812" t="n" s="2909">
        <v>11</v>
      </c>
      <c r="AJ812" t="n" s="2909">
        <v>41</v>
      </c>
      <c r="AP812" t="n" s="2909">
        <v>134000</v>
      </c>
      <c r="DB812" s="2909" t="str">
        <f>IF($A812="","",IF($AH812=20,IF(AND(OR($A812=21,$A812=215),$AJ812=10),"①病院一般",IF(AND($A812=31,$AJ812=41),"②病院短期","対象外")),IF($AJ812=30,"③特定消防",IF(AND(OR($A812=21,$A812=215),$AJ812=10),"④一般",IF(AND($A812=31,$AJ812=41),"⑤短期","対象外")))))</f>
        <v>⑤短期</v>
      </c>
      <c r="DC812" s="2909">
        <f>IF($A812="","",IF($AB812&amp;""='DB_設定'!$C$4,1,0))</f>
        <v>0</v>
      </c>
    </row>
    <row r="813">
      <c r="A813" t="n" s="2909">
        <v>31</v>
      </c>
      <c r="AA813" t="n" s="2909">
        <v>24</v>
      </c>
      <c r="AB813" t="inlineStr" s="2909">
        <is>
          <t>20250601</t>
        </is>
      </c>
      <c r="AD813" t="n" s="2909">
        <v>0</v>
      </c>
      <c r="AE813" t="inlineStr" s="2909">
        <is>
          <t>00000000</t>
        </is>
      </c>
      <c r="AH813" t="n" s="2909">
        <v>1</v>
      </c>
      <c r="AJ813" t="n" s="2909">
        <v>41</v>
      </c>
      <c r="AP813" t="n" s="2909">
        <v>134000</v>
      </c>
      <c r="DB813" s="2909" t="str">
        <f>IF($A813="","",IF($AH813=20,IF(AND(OR($A813=21,$A813=215),$AJ813=10),"①病院一般",IF(AND($A813=31,$AJ813=41),"②病院短期","対象外")),IF($AJ813=30,"③特定消防",IF(AND(OR($A813=21,$A813=215),$AJ813=10),"④一般",IF(AND($A813=31,$AJ813=41),"⑤短期","対象外")))))</f>
        <v>⑤短期</v>
      </c>
      <c r="DC813" s="2909">
        <f>IF($A813="","",IF($AB813&amp;""='DB_設定'!$C$4,1,0))</f>
        <v>0</v>
      </c>
    </row>
    <row r="814">
      <c r="A814" t="n" s="2909">
        <v>31</v>
      </c>
      <c r="AA814" t="n" s="2909">
        <v>21</v>
      </c>
      <c r="AB814" t="inlineStr" s="2909">
        <is>
          <t>20250901</t>
        </is>
      </c>
      <c r="AD814" t="n" s="2909">
        <v>0</v>
      </c>
      <c r="AE814" t="inlineStr" s="2909">
        <is>
          <t>00000000</t>
        </is>
      </c>
      <c r="AH814" t="n" s="2909">
        <v>1</v>
      </c>
      <c r="AJ814" t="n" s="2909">
        <v>41</v>
      </c>
      <c r="AP814" t="n" s="2909">
        <v>142000</v>
      </c>
      <c r="DB814" s="2909" t="str">
        <f>IF($A814="","",IF($AH814=20,IF(AND(OR($A814=21,$A814=215),$AJ814=10),"①病院一般",IF(AND($A814=31,$AJ814=41),"②病院短期","対象外")),IF($AJ814=30,"③特定消防",IF(AND(OR($A814=21,$A814=215),$AJ814=10),"④一般",IF(AND($A814=31,$AJ814=41),"⑤短期","対象外")))))</f>
        <v>⑤短期</v>
      </c>
      <c r="DC814" s="2909">
        <f>IF($A814="","",IF($AB814&amp;""='DB_設定'!$C$4,1,0))</f>
        <v>0</v>
      </c>
    </row>
    <row r="815">
      <c r="A815" t="n" s="2909">
        <v>31</v>
      </c>
      <c r="AA815" t="n" s="2909">
        <v>24</v>
      </c>
      <c r="AB815" t="inlineStr" s="2909">
        <is>
          <t>20251001</t>
        </is>
      </c>
      <c r="AD815" t="n" s="2909">
        <v>0</v>
      </c>
      <c r="AE815" t="inlineStr" s="2909">
        <is>
          <t>00000000</t>
        </is>
      </c>
      <c r="AH815" t="n" s="2909">
        <v>1</v>
      </c>
      <c r="AJ815" t="n" s="2909">
        <v>41</v>
      </c>
      <c r="AP815" t="n" s="2909">
        <v>142000</v>
      </c>
      <c r="DB815" s="2909" t="str">
        <f>IF($A815="","",IF($AH815=20,IF(AND(OR($A815=21,$A815=215),$AJ815=10),"①病院一般",IF(AND($A815=31,$AJ815=41),"②病院短期","対象外")),IF($AJ815=30,"③特定消防",IF(AND(OR($A815=21,$A815=215),$AJ815=10),"④一般",IF(AND($A815=31,$AJ815=41),"⑤短期","対象外")))))</f>
        <v>⑤短期</v>
      </c>
      <c r="DC815" s="2909">
        <f>IF($A815="","",IF($AB815&amp;""='DB_設定'!$C$4,1,0))</f>
        <v>0</v>
      </c>
    </row>
    <row r="816">
      <c r="A816" t="n" s="2909">
        <v>31</v>
      </c>
      <c r="AA816" t="n" s="2909">
        <v>24</v>
      </c>
      <c r="AB816" t="inlineStr" s="2909">
        <is>
          <t>20250901</t>
        </is>
      </c>
      <c r="AD816" t="n" s="2909">
        <v>0</v>
      </c>
      <c r="AE816" t="inlineStr" s="2909">
        <is>
          <t>00000000</t>
        </is>
      </c>
      <c r="AH816" t="n" s="2909">
        <v>1</v>
      </c>
      <c r="AJ816" t="n" s="2909">
        <v>41</v>
      </c>
      <c r="AP816" t="n" s="2909">
        <v>134000</v>
      </c>
      <c r="DB816" s="2909" t="str">
        <f>IF($A816="","",IF($AH816=20,IF(AND(OR($A816=21,$A816=215),$AJ816=10),"①病院一般",IF(AND($A816=31,$AJ816=41),"②病院短期","対象外")),IF($AJ816=30,"③特定消防",IF(AND(OR($A816=21,$A816=215),$AJ816=10),"④一般",IF(AND($A816=31,$AJ816=41),"⑤短期","対象外")))))</f>
        <v>⑤短期</v>
      </c>
      <c r="DC816" s="2909">
        <f>IF($A816="","",IF($AB816&amp;""='DB_設定'!$C$4,1,0))</f>
        <v>0</v>
      </c>
    </row>
    <row r="817">
      <c r="A817" t="n" s="2909">
        <v>31</v>
      </c>
      <c r="AA817" t="n" s="2909">
        <v>21</v>
      </c>
      <c r="AB817" t="inlineStr" s="2909">
        <is>
          <t>20250609</t>
        </is>
      </c>
      <c r="AD817" t="n" s="2909">
        <v>0</v>
      </c>
      <c r="AE817" t="inlineStr" s="2909">
        <is>
          <t>00000000</t>
        </is>
      </c>
      <c r="AH817" t="n" s="2909">
        <v>1</v>
      </c>
      <c r="AJ817" t="n" s="2909">
        <v>41</v>
      </c>
      <c r="AP817" t="n" s="2909">
        <v>190000</v>
      </c>
      <c r="DB817" s="2909" t="str">
        <f>IF($A817="","",IF($AH817=20,IF(AND(OR($A817=21,$A817=215),$AJ817=10),"①病院一般",IF(AND($A817=31,$AJ817=41),"②病院短期","対象外")),IF($AJ817=30,"③特定消防",IF(AND(OR($A817=21,$A817=215),$AJ817=10),"④一般",IF(AND($A817=31,$AJ817=41),"⑤短期","対象外")))))</f>
        <v>⑤短期</v>
      </c>
      <c r="DC817" s="2909">
        <f>IF($A817="","",IF($AB817&amp;""='DB_設定'!$C$4,1,0))</f>
        <v>0</v>
      </c>
    </row>
    <row r="818">
      <c r="A818" t="n" s="2909">
        <v>31</v>
      </c>
      <c r="AA818" t="n" s="2909">
        <v>21</v>
      </c>
      <c r="AB818" t="inlineStr" s="2909">
        <is>
          <t>20250401</t>
        </is>
      </c>
      <c r="AD818" t="n" s="2909">
        <v>0</v>
      </c>
      <c r="AE818" t="inlineStr" s="2909">
        <is>
          <t>00000000</t>
        </is>
      </c>
      <c r="AH818" t="n" s="2909">
        <v>1</v>
      </c>
      <c r="AJ818" t="n" s="2909">
        <v>41</v>
      </c>
      <c r="AP818" t="n" s="2909">
        <v>142000</v>
      </c>
      <c r="DB818" s="2909" t="str">
        <f>IF($A818="","",IF($AH818=20,IF(AND(OR($A818=21,$A818=215),$AJ818=10),"①病院一般",IF(AND($A818=31,$AJ818=41),"②病院短期","対象外")),IF($AJ818=30,"③特定消防",IF(AND(OR($A818=21,$A818=215),$AJ818=10),"④一般",IF(AND($A818=31,$AJ818=41),"⑤短期","対象外")))))</f>
        <v>⑤短期</v>
      </c>
      <c r="DC818" s="2909">
        <f>IF($A818="","",IF($AB818&amp;""='DB_設定'!$C$4,1,0))</f>
        <v>1</v>
      </c>
    </row>
    <row r="819">
      <c r="A819" t="n" s="2909">
        <v>31</v>
      </c>
      <c r="AA819" t="n" s="2909">
        <v>24</v>
      </c>
      <c r="AB819" t="inlineStr" s="2909">
        <is>
          <t>20250801</t>
        </is>
      </c>
      <c r="AD819" t="n" s="2909">
        <v>0</v>
      </c>
      <c r="AE819" t="inlineStr" s="2909">
        <is>
          <t>00000000</t>
        </is>
      </c>
      <c r="AH819" t="n" s="2909">
        <v>1</v>
      </c>
      <c r="AJ819" t="n" s="2909">
        <v>41</v>
      </c>
      <c r="AP819" t="n" s="2909">
        <v>134000</v>
      </c>
      <c r="DB819" s="2909" t="str">
        <f>IF($A819="","",IF($AH819=20,IF(AND(OR($A819=21,$A819=215),$AJ819=10),"①病院一般",IF(AND($A819=31,$AJ819=41),"②病院短期","対象外")),IF($AJ819=30,"③特定消防",IF(AND(OR($A819=21,$A819=215),$AJ819=10),"④一般",IF(AND($A819=31,$AJ819=41),"⑤短期","対象外")))))</f>
        <v>⑤短期</v>
      </c>
      <c r="DC819" s="2909">
        <f>IF($A819="","",IF($AB819&amp;""='DB_設定'!$C$4,1,0))</f>
        <v>0</v>
      </c>
    </row>
    <row r="820">
      <c r="A820" t="n" s="2909">
        <v>31</v>
      </c>
      <c r="AA820" t="n" s="2909">
        <v>24</v>
      </c>
      <c r="AB820" t="inlineStr" s="2909">
        <is>
          <t>20251012</t>
        </is>
      </c>
      <c r="AD820" t="n" s="2909">
        <v>0</v>
      </c>
      <c r="AE820" t="inlineStr" s="2909">
        <is>
          <t>00000000</t>
        </is>
      </c>
      <c r="AH820" t="n" s="2909">
        <v>1</v>
      </c>
      <c r="AJ820" t="n" s="2909">
        <v>41</v>
      </c>
      <c r="AP820" t="n" s="2909">
        <v>260000</v>
      </c>
      <c r="DB820" s="2909" t="str">
        <f>IF($A820="","",IF($AH820=20,IF(AND(OR($A820=21,$A820=215),$AJ820=10),"①病院一般",IF(AND($A820=31,$AJ820=41),"②病院短期","対象外")),IF($AJ820=30,"③特定消防",IF(AND(OR($A820=21,$A820=215),$AJ820=10),"④一般",IF(AND($A820=31,$AJ820=41),"⑤短期","対象外")))))</f>
        <v>⑤短期</v>
      </c>
      <c r="DC820" s="2909">
        <f>IF($A820="","",IF($AB820&amp;""='DB_設定'!$C$4,1,0))</f>
        <v>0</v>
      </c>
    </row>
    <row r="821">
      <c r="A821" t="n" s="2909">
        <v>31</v>
      </c>
      <c r="AA821" t="n" s="2909">
        <v>24</v>
      </c>
      <c r="AB821" t="inlineStr" s="2909">
        <is>
          <t>20250401</t>
        </is>
      </c>
      <c r="AD821" t="n" s="2909">
        <v>0</v>
      </c>
      <c r="AE821" t="inlineStr" s="2909">
        <is>
          <t>00000000</t>
        </is>
      </c>
      <c r="AH821" t="n" s="2909">
        <v>1</v>
      </c>
      <c r="AJ821" t="n" s="2909">
        <v>41</v>
      </c>
      <c r="AP821" t="n" s="2909">
        <v>134000</v>
      </c>
      <c r="DB821" s="2909" t="str">
        <f>IF($A821="","",IF($AH821=20,IF(AND(OR($A821=21,$A821=215),$AJ821=10),"①病院一般",IF(AND($A821=31,$AJ821=41),"②病院短期","対象外")),IF($AJ821=30,"③特定消防",IF(AND(OR($A821=21,$A821=215),$AJ821=10),"④一般",IF(AND($A821=31,$AJ821=41),"⑤短期","対象外")))))</f>
        <v>⑤短期</v>
      </c>
      <c r="DC821" s="2909">
        <f>IF($A821="","",IF($AB821&amp;""='DB_設定'!$C$4,1,0))</f>
        <v>1</v>
      </c>
    </row>
    <row r="822">
      <c r="A822" t="n" s="2909">
        <v>31</v>
      </c>
      <c r="AA822" t="n" s="2909">
        <v>24</v>
      </c>
      <c r="AB822" t="inlineStr" s="2909">
        <is>
          <t>20251001</t>
        </is>
      </c>
      <c r="AD822" t="n" s="2909">
        <v>0</v>
      </c>
      <c r="AE822" t="inlineStr" s="2909">
        <is>
          <t>00000000</t>
        </is>
      </c>
      <c r="AH822" t="n" s="2909">
        <v>27</v>
      </c>
      <c r="AJ822" t="n" s="2909">
        <v>41</v>
      </c>
      <c r="AP822" t="n" s="2909">
        <v>190000</v>
      </c>
      <c r="DB822" s="2909" t="str">
        <f>IF($A822="","",IF($AH822=20,IF(AND(OR($A822=21,$A822=215),$AJ822=10),"①病院一般",IF(AND($A822=31,$AJ822=41),"②病院短期","対象外")),IF($AJ822=30,"③特定消防",IF(AND(OR($A822=21,$A822=215),$AJ822=10),"④一般",IF(AND($A822=31,$AJ822=41),"⑤短期","対象外")))))</f>
        <v>⑤短期</v>
      </c>
      <c r="DC822" s="2909">
        <f>IF($A822="","",IF($AB822&amp;""='DB_設定'!$C$4,1,0))</f>
        <v>0</v>
      </c>
    </row>
    <row r="823">
      <c r="A823" t="n" s="2909">
        <v>31</v>
      </c>
      <c r="AA823" t="n" s="2909">
        <v>24</v>
      </c>
      <c r="AB823" t="inlineStr" s="2909">
        <is>
          <t>20251001</t>
        </is>
      </c>
      <c r="AD823" t="n" s="2909">
        <v>0</v>
      </c>
      <c r="AE823" t="inlineStr" s="2909">
        <is>
          <t>00000000</t>
        </is>
      </c>
      <c r="AH823" t="n" s="2909">
        <v>1</v>
      </c>
      <c r="AJ823" t="n" s="2909">
        <v>41</v>
      </c>
      <c r="AP823" t="n" s="2909">
        <v>150000</v>
      </c>
      <c r="DB823" s="2909" t="str">
        <f>IF($A823="","",IF($AH823=20,IF(AND(OR($A823=21,$A823=215),$AJ823=10),"①病院一般",IF(AND($A823=31,$AJ823=41),"②病院短期","対象外")),IF($AJ823=30,"③特定消防",IF(AND(OR($A823=21,$A823=215),$AJ823=10),"④一般",IF(AND($A823=31,$AJ823=41),"⑤短期","対象外")))))</f>
        <v>⑤短期</v>
      </c>
      <c r="DC823" s="2909">
        <f>IF($A823="","",IF($AB823&amp;""='DB_設定'!$C$4,1,0))</f>
        <v>0</v>
      </c>
    </row>
    <row r="824">
      <c r="A824" t="n" s="2909">
        <v>31</v>
      </c>
      <c r="AA824" t="n" s="2909">
        <v>21</v>
      </c>
      <c r="AB824" t="inlineStr" s="2909">
        <is>
          <t>20250411</t>
        </is>
      </c>
      <c r="AD824" t="n" s="2909">
        <v>0</v>
      </c>
      <c r="AE824" t="inlineStr" s="2909">
        <is>
          <t>00000000</t>
        </is>
      </c>
      <c r="AH824" t="n" s="2909">
        <v>11</v>
      </c>
      <c r="AJ824" t="n" s="2909">
        <v>41</v>
      </c>
      <c r="AP824" t="n" s="2909">
        <v>78000</v>
      </c>
      <c r="DB824" s="2909" t="str">
        <f>IF($A824="","",IF($AH824=20,IF(AND(OR($A824=21,$A824=215),$AJ824=10),"①病院一般",IF(AND($A824=31,$AJ824=41),"②病院短期","対象外")),IF($AJ824=30,"③特定消防",IF(AND(OR($A824=21,$A824=215),$AJ824=10),"④一般",IF(AND($A824=31,$AJ824=41),"⑤短期","対象外")))))</f>
        <v>⑤短期</v>
      </c>
      <c r="DC824" s="2909">
        <f>IF($A824="","",IF($AB824&amp;""='DB_設定'!$C$4,1,0))</f>
        <v>0</v>
      </c>
    </row>
    <row r="825">
      <c r="A825" t="n" s="2909">
        <v>31</v>
      </c>
      <c r="AA825" t="n" s="2909">
        <v>24</v>
      </c>
      <c r="AB825" t="inlineStr" s="2909">
        <is>
          <t>20250401</t>
        </is>
      </c>
      <c r="AD825" t="n" s="2909">
        <v>0</v>
      </c>
      <c r="AE825" t="inlineStr" s="2909">
        <is>
          <t>00000000</t>
        </is>
      </c>
      <c r="AH825" t="n" s="2909">
        <v>11</v>
      </c>
      <c r="AJ825" t="n" s="2909">
        <v>41</v>
      </c>
      <c r="AP825" t="n" s="2909">
        <v>280000</v>
      </c>
      <c r="DB825" s="2909" t="str">
        <f>IF($A825="","",IF($AH825=20,IF(AND(OR($A825=21,$A825=215),$AJ825=10),"①病院一般",IF(AND($A825=31,$AJ825=41),"②病院短期","対象外")),IF($AJ825=30,"③特定消防",IF(AND(OR($A825=21,$A825=215),$AJ825=10),"④一般",IF(AND($A825=31,$AJ825=41),"⑤短期","対象外")))))</f>
        <v>⑤短期</v>
      </c>
      <c r="DC825" s="2909">
        <f>IF($A825="","",IF($AB825&amp;""='DB_設定'!$C$4,1,0))</f>
        <v>1</v>
      </c>
    </row>
    <row r="826">
      <c r="A826" t="n" s="2909">
        <v>31</v>
      </c>
      <c r="AA826" t="n" s="2909">
        <v>21</v>
      </c>
      <c r="AB826" t="inlineStr" s="2909">
        <is>
          <t>20250401</t>
        </is>
      </c>
      <c r="AD826" t="n" s="2909">
        <v>0</v>
      </c>
      <c r="AE826" t="inlineStr" s="2909">
        <is>
          <t>00000000</t>
        </is>
      </c>
      <c r="AH826" t="n" s="2909">
        <v>1</v>
      </c>
      <c r="AJ826" t="n" s="2909">
        <v>41</v>
      </c>
      <c r="AP826" t="n" s="2909">
        <v>240000</v>
      </c>
      <c r="DB826" s="2909" t="str">
        <f>IF($A826="","",IF($AH826=20,IF(AND(OR($A826=21,$A826=215),$AJ826=10),"①病院一般",IF(AND($A826=31,$AJ826=41),"②病院短期","対象外")),IF($AJ826=30,"③特定消防",IF(AND(OR($A826=21,$A826=215),$AJ826=10),"④一般",IF(AND($A826=31,$AJ826=41),"⑤短期","対象外")))))</f>
        <v>⑤短期</v>
      </c>
      <c r="DC826" s="2909">
        <f>IF($A826="","",IF($AB826&amp;""='DB_設定'!$C$4,1,0))</f>
        <v>1</v>
      </c>
    </row>
    <row r="827">
      <c r="A827" t="n" s="2909">
        <v>31</v>
      </c>
      <c r="AA827" t="n" s="2909">
        <v>21</v>
      </c>
      <c r="AB827" t="inlineStr" s="2909">
        <is>
          <t>20250401</t>
        </is>
      </c>
      <c r="AD827" t="n" s="2909">
        <v>0</v>
      </c>
      <c r="AE827" t="inlineStr" s="2909">
        <is>
          <t>00000000</t>
        </is>
      </c>
      <c r="AH827" t="n" s="2909">
        <v>1</v>
      </c>
      <c r="AJ827" t="n" s="2909">
        <v>41</v>
      </c>
      <c r="AP827" t="n" s="2909">
        <v>220000</v>
      </c>
      <c r="DB827" s="2909" t="str">
        <f>IF($A827="","",IF($AH827=20,IF(AND(OR($A827=21,$A827=215),$AJ827=10),"①病院一般",IF(AND($A827=31,$AJ827=41),"②病院短期","対象外")),IF($AJ827=30,"③特定消防",IF(AND(OR($A827=21,$A827=215),$AJ827=10),"④一般",IF(AND($A827=31,$AJ827=41),"⑤短期","対象外")))))</f>
        <v>⑤短期</v>
      </c>
      <c r="DC827" s="2909">
        <f>IF($A827="","",IF($AB827&amp;""='DB_設定'!$C$4,1,0))</f>
        <v>1</v>
      </c>
    </row>
    <row r="828">
      <c r="A828" t="n" s="2909">
        <v>31</v>
      </c>
      <c r="AA828" t="n" s="2909">
        <v>21</v>
      </c>
      <c r="AB828" t="inlineStr" s="2909">
        <is>
          <t>20250401</t>
        </is>
      </c>
      <c r="AD828" t="n" s="2909">
        <v>0</v>
      </c>
      <c r="AE828" t="inlineStr" s="2909">
        <is>
          <t>00000000</t>
        </is>
      </c>
      <c r="AH828" t="n" s="2909">
        <v>1</v>
      </c>
      <c r="AJ828" t="n" s="2909">
        <v>41</v>
      </c>
      <c r="AP828" t="n" s="2909">
        <v>190000</v>
      </c>
      <c r="DB828" s="2909" t="str">
        <f>IF($A828="","",IF($AH828=20,IF(AND(OR($A828=21,$A828=215),$AJ828=10),"①病院一般",IF(AND($A828=31,$AJ828=41),"②病院短期","対象外")),IF($AJ828=30,"③特定消防",IF(AND(OR($A828=21,$A828=215),$AJ828=10),"④一般",IF(AND($A828=31,$AJ828=41),"⑤短期","対象外")))))</f>
        <v>⑤短期</v>
      </c>
      <c r="DC828" s="2909">
        <f>IF($A828="","",IF($AB828&amp;""='DB_設定'!$C$4,1,0))</f>
        <v>1</v>
      </c>
    </row>
    <row r="829">
      <c r="A829" t="n" s="2909">
        <v>31</v>
      </c>
      <c r="AA829" t="n" s="2909">
        <v>21</v>
      </c>
      <c r="AB829" t="inlineStr" s="2909">
        <is>
          <t>20250401</t>
        </is>
      </c>
      <c r="AD829" t="n" s="2909">
        <v>0</v>
      </c>
      <c r="AE829" t="inlineStr" s="2909">
        <is>
          <t>00000000</t>
        </is>
      </c>
      <c r="AH829" t="n" s="2909">
        <v>1</v>
      </c>
      <c r="AJ829" t="n" s="2909">
        <v>41</v>
      </c>
      <c r="AP829" t="n" s="2909">
        <v>190000</v>
      </c>
      <c r="DB829" s="2909" t="str">
        <f>IF($A829="","",IF($AH829=20,IF(AND(OR($A829=21,$A829=215),$AJ829=10),"①病院一般",IF(AND($A829=31,$AJ829=41),"②病院短期","対象外")),IF($AJ829=30,"③特定消防",IF(AND(OR($A829=21,$A829=215),$AJ829=10),"④一般",IF(AND($A829=31,$AJ829=41),"⑤短期","対象外")))))</f>
        <v>⑤短期</v>
      </c>
      <c r="DC829" s="2909">
        <f>IF($A829="","",IF($AB829&amp;""='DB_設定'!$C$4,1,0))</f>
        <v>1</v>
      </c>
    </row>
    <row r="830">
      <c r="A830" t="n" s="2909">
        <v>31</v>
      </c>
      <c r="AA830" t="n" s="2909">
        <v>24</v>
      </c>
      <c r="AB830" t="inlineStr" s="2909">
        <is>
          <t>20250901</t>
        </is>
      </c>
      <c r="AD830" t="n" s="2909">
        <v>0</v>
      </c>
      <c r="AE830" t="inlineStr" s="2909">
        <is>
          <t>00000000</t>
        </is>
      </c>
      <c r="AH830" t="n" s="2909">
        <v>1</v>
      </c>
      <c r="AJ830" t="n" s="2909">
        <v>41</v>
      </c>
      <c r="AP830" t="n" s="2909">
        <v>134000</v>
      </c>
      <c r="DB830" s="2909" t="str">
        <f>IF($A830="","",IF($AH830=20,IF(AND(OR($A830=21,$A830=215),$AJ830=10),"①病院一般",IF(AND($A830=31,$AJ830=41),"②病院短期","対象外")),IF($AJ830=30,"③特定消防",IF(AND(OR($A830=21,$A830=215),$AJ830=10),"④一般",IF(AND($A830=31,$AJ830=41),"⑤短期","対象外")))))</f>
        <v>⑤短期</v>
      </c>
      <c r="DC830" s="2909">
        <f>IF($A830="","",IF($AB830&amp;""='DB_設定'!$C$4,1,0))</f>
        <v>0</v>
      </c>
    </row>
    <row r="831">
      <c r="A831" t="n" s="2909">
        <v>31</v>
      </c>
      <c r="AA831" t="n" s="2909">
        <v>21</v>
      </c>
      <c r="AB831" t="inlineStr" s="2909">
        <is>
          <t>20250401</t>
        </is>
      </c>
      <c r="AD831" t="n" s="2909">
        <v>12</v>
      </c>
      <c r="AE831" t="inlineStr" s="2909">
        <is>
          <t>20250801</t>
        </is>
      </c>
      <c r="AH831" t="n" s="2909">
        <v>1</v>
      </c>
      <c r="AJ831" t="n" s="2909">
        <v>41</v>
      </c>
      <c r="AP831" t="n" s="2909">
        <v>190000</v>
      </c>
      <c r="DB831" s="2909" t="str">
        <f>IF($A831="","",IF($AH831=20,IF(AND(OR($A831=21,$A831=215),$AJ831=10),"①病院一般",IF(AND($A831=31,$AJ831=41),"②病院短期","対象外")),IF($AJ831=30,"③特定消防",IF(AND(OR($A831=21,$A831=215),$AJ831=10),"④一般",IF(AND($A831=31,$AJ831=41),"⑤短期","対象外")))))</f>
        <v>⑤短期</v>
      </c>
      <c r="DC831" s="2909">
        <f>IF($A831="","",IF($AB831&amp;""='DB_設定'!$C$4,1,0))</f>
        <v>1</v>
      </c>
    </row>
    <row r="832">
      <c r="A832" t="n" s="2909">
        <v>31</v>
      </c>
      <c r="AA832" t="n" s="2909">
        <v>21</v>
      </c>
      <c r="AB832" t="inlineStr" s="2909">
        <is>
          <t>20251001</t>
        </is>
      </c>
      <c r="AD832" t="n" s="2909">
        <v>0</v>
      </c>
      <c r="AE832" t="inlineStr" s="2909">
        <is>
          <t>00000000</t>
        </is>
      </c>
      <c r="AH832" t="n" s="2909">
        <v>1</v>
      </c>
      <c r="AJ832" t="n" s="2909">
        <v>41</v>
      </c>
      <c r="AP832" t="n" s="2909">
        <v>134000</v>
      </c>
      <c r="DB832" s="2909" t="str">
        <f>IF($A832="","",IF($AH832=20,IF(AND(OR($A832=21,$A832=215),$AJ832=10),"①病院一般",IF(AND($A832=31,$AJ832=41),"②病院短期","対象外")),IF($AJ832=30,"③特定消防",IF(AND(OR($A832=21,$A832=215),$AJ832=10),"④一般",IF(AND($A832=31,$AJ832=41),"⑤短期","対象外")))))</f>
        <v>⑤短期</v>
      </c>
      <c r="DC832" s="2909">
        <f>IF($A832="","",IF($AB832&amp;""='DB_設定'!$C$4,1,0))</f>
        <v>0</v>
      </c>
    </row>
    <row r="833">
      <c r="A833" t="n" s="2909">
        <v>31</v>
      </c>
      <c r="AA833" t="n" s="2909">
        <v>21</v>
      </c>
      <c r="AB833" t="inlineStr" s="2909">
        <is>
          <t>20251009</t>
        </is>
      </c>
      <c r="AD833" t="n" s="2909">
        <v>0</v>
      </c>
      <c r="AE833" t="inlineStr" s="2909">
        <is>
          <t>00000000</t>
        </is>
      </c>
      <c r="AH833" t="n" s="2909">
        <v>1</v>
      </c>
      <c r="AJ833" t="n" s="2909">
        <v>41</v>
      </c>
      <c r="AP833" t="n" s="2909">
        <v>260000</v>
      </c>
      <c r="DB833" s="2909" t="str">
        <f>IF($A833="","",IF($AH833=20,IF(AND(OR($A833=21,$A833=215),$AJ833=10),"①病院一般",IF(AND($A833=31,$AJ833=41),"②病院短期","対象外")),IF($AJ833=30,"③特定消防",IF(AND(OR($A833=21,$A833=215),$AJ833=10),"④一般",IF(AND($A833=31,$AJ833=41),"⑤短期","対象外")))))</f>
        <v>⑤短期</v>
      </c>
      <c r="DC833" s="2909">
        <f>IF($A833="","",IF($AB833&amp;""='DB_設定'!$C$4,1,0))</f>
        <v>0</v>
      </c>
    </row>
    <row r="834">
      <c r="A834" t="n" s="2909">
        <v>31</v>
      </c>
      <c r="AA834" t="n" s="2909">
        <v>21</v>
      </c>
      <c r="AB834" t="inlineStr" s="2909">
        <is>
          <t>20250401</t>
        </is>
      </c>
      <c r="AD834" t="n" s="2909">
        <v>0</v>
      </c>
      <c r="AE834" t="inlineStr" s="2909">
        <is>
          <t>00000000</t>
        </is>
      </c>
      <c r="AH834" t="n" s="2909">
        <v>11</v>
      </c>
      <c r="AJ834" t="n" s="2909">
        <v>41</v>
      </c>
      <c r="AP834" t="n" s="2909">
        <v>220000</v>
      </c>
      <c r="DB834" s="2909" t="str">
        <f>IF($A834="","",IF($AH834=20,IF(AND(OR($A834=21,$A834=215),$AJ834=10),"①病院一般",IF(AND($A834=31,$AJ834=41),"②病院短期","対象外")),IF($AJ834=30,"③特定消防",IF(AND(OR($A834=21,$A834=215),$AJ834=10),"④一般",IF(AND($A834=31,$AJ834=41),"⑤短期","対象外")))))</f>
        <v>⑤短期</v>
      </c>
      <c r="DC834" s="2909">
        <f>IF($A834="","",IF($AB834&amp;""='DB_設定'!$C$4,1,0))</f>
        <v>1</v>
      </c>
    </row>
    <row r="835">
      <c r="A835" t="n" s="2909">
        <v>31</v>
      </c>
      <c r="AA835" t="n" s="2909">
        <v>21</v>
      </c>
      <c r="AB835" t="inlineStr" s="2909">
        <is>
          <t>20250411</t>
        </is>
      </c>
      <c r="AD835" t="n" s="2909">
        <v>0</v>
      </c>
      <c r="AE835" t="inlineStr" s="2909">
        <is>
          <t>00000000</t>
        </is>
      </c>
      <c r="AH835" t="n" s="2909">
        <v>11</v>
      </c>
      <c r="AJ835" t="n" s="2909">
        <v>41</v>
      </c>
      <c r="AP835" t="n" s="2909">
        <v>88000</v>
      </c>
      <c r="DB835" s="2909" t="str">
        <f>IF($A835="","",IF($AH835=20,IF(AND(OR($A835=21,$A835=215),$AJ835=10),"①病院一般",IF(AND($A835=31,$AJ835=41),"②病院短期","対象外")),IF($AJ835=30,"③特定消防",IF(AND(OR($A835=21,$A835=215),$AJ835=10),"④一般",IF(AND($A835=31,$AJ835=41),"⑤短期","対象外")))))</f>
        <v>⑤短期</v>
      </c>
      <c r="DC835" s="2909">
        <f>IF($A835="","",IF($AB835&amp;""='DB_設定'!$C$4,1,0))</f>
        <v>0</v>
      </c>
    </row>
    <row r="836">
      <c r="A836" t="n" s="2909">
        <v>31</v>
      </c>
      <c r="AA836" t="n" s="2909">
        <v>21</v>
      </c>
      <c r="AB836" t="inlineStr" s="2909">
        <is>
          <t>20250701</t>
        </is>
      </c>
      <c r="AD836" t="n" s="2909">
        <v>0</v>
      </c>
      <c r="AE836" t="inlineStr" s="2909">
        <is>
          <t>00000000</t>
        </is>
      </c>
      <c r="AH836" t="n" s="2909">
        <v>11</v>
      </c>
      <c r="AJ836" t="n" s="2909">
        <v>41</v>
      </c>
      <c r="AP836" t="n" s="2909">
        <v>150000</v>
      </c>
      <c r="DB836" s="2909" t="str">
        <f>IF($A836="","",IF($AH836=20,IF(AND(OR($A836=21,$A836=215),$AJ836=10),"①病院一般",IF(AND($A836=31,$AJ836=41),"②病院短期","対象外")),IF($AJ836=30,"③特定消防",IF(AND(OR($A836=21,$A836=215),$AJ836=10),"④一般",IF(AND($A836=31,$AJ836=41),"⑤短期","対象外")))))</f>
        <v>⑤短期</v>
      </c>
      <c r="DC836" s="2909">
        <f>IF($A836="","",IF($AB836&amp;""='DB_設定'!$C$4,1,0))</f>
        <v>0</v>
      </c>
    </row>
    <row r="837">
      <c r="A837" t="n" s="2909">
        <v>31</v>
      </c>
      <c r="AA837" t="n" s="2909">
        <v>24</v>
      </c>
      <c r="AB837" t="inlineStr" s="2909">
        <is>
          <t>20250401</t>
        </is>
      </c>
      <c r="AD837" t="n" s="2909">
        <v>0</v>
      </c>
      <c r="AE837" t="inlineStr" s="2909">
        <is>
          <t>00000000</t>
        </is>
      </c>
      <c r="AH837" t="n" s="2909">
        <v>1</v>
      </c>
      <c r="AJ837" t="n" s="2909">
        <v>41</v>
      </c>
      <c r="AP837" t="n" s="2909">
        <v>200000</v>
      </c>
      <c r="DB837" s="2909" t="str">
        <f>IF($A837="","",IF($AH837=20,IF(AND(OR($A837=21,$A837=215),$AJ837=10),"①病院一般",IF(AND($A837=31,$AJ837=41),"②病院短期","対象外")),IF($AJ837=30,"③特定消防",IF(AND(OR($A837=21,$A837=215),$AJ837=10),"④一般",IF(AND($A837=31,$AJ837=41),"⑤短期","対象外")))))</f>
        <v>⑤短期</v>
      </c>
      <c r="DC837" s="2909">
        <f>IF($A837="","",IF($AB837&amp;""='DB_設定'!$C$4,1,0))</f>
        <v>1</v>
      </c>
    </row>
    <row r="838">
      <c r="A838" t="n" s="2909">
        <v>31</v>
      </c>
      <c r="AA838" t="n" s="2909">
        <v>21</v>
      </c>
      <c r="AB838" t="inlineStr" s="2909">
        <is>
          <t>20250401</t>
        </is>
      </c>
      <c r="AD838" t="n" s="2909">
        <v>0</v>
      </c>
      <c r="AE838" t="inlineStr" s="2909">
        <is>
          <t>00000000</t>
        </is>
      </c>
      <c r="AH838" t="n" s="2909">
        <v>1</v>
      </c>
      <c r="AJ838" t="n" s="2909">
        <v>41</v>
      </c>
      <c r="AP838" t="n" s="2909">
        <v>190000</v>
      </c>
      <c r="DB838" s="2909" t="str">
        <f>IF($A838="","",IF($AH838=20,IF(AND(OR($A838=21,$A838=215),$AJ838=10),"①病院一般",IF(AND($A838=31,$AJ838=41),"②病院短期","対象外")),IF($AJ838=30,"③特定消防",IF(AND(OR($A838=21,$A838=215),$AJ838=10),"④一般",IF(AND($A838=31,$AJ838=41),"⑤短期","対象外")))))</f>
        <v>⑤短期</v>
      </c>
      <c r="DC838" s="2909">
        <f>IF($A838="","",IF($AB838&amp;""='DB_設定'!$C$4,1,0))</f>
        <v>1</v>
      </c>
    </row>
    <row r="839">
      <c r="A839" t="n" s="2909">
        <v>31</v>
      </c>
      <c r="AA839" t="n" s="2909">
        <v>21</v>
      </c>
      <c r="AB839" t="inlineStr" s="2909">
        <is>
          <t>20250411</t>
        </is>
      </c>
      <c r="AD839" t="n" s="2909">
        <v>0</v>
      </c>
      <c r="AE839" t="inlineStr" s="2909">
        <is>
          <t>00000000</t>
        </is>
      </c>
      <c r="AH839" t="n" s="2909">
        <v>11</v>
      </c>
      <c r="AJ839" t="n" s="2909">
        <v>41</v>
      </c>
      <c r="AP839" t="n" s="2909">
        <v>68000</v>
      </c>
      <c r="DB839" s="2909" t="str">
        <f>IF($A839="","",IF($AH839=20,IF(AND(OR($A839=21,$A839=215),$AJ839=10),"①病院一般",IF(AND($A839=31,$AJ839=41),"②病院短期","対象外")),IF($AJ839=30,"③特定消防",IF(AND(OR($A839=21,$A839=215),$AJ839=10),"④一般",IF(AND($A839=31,$AJ839=41),"⑤短期","対象外")))))</f>
        <v>⑤短期</v>
      </c>
      <c r="DC839" s="2909">
        <f>IF($A839="","",IF($AB839&amp;""='DB_設定'!$C$4,1,0))</f>
        <v>0</v>
      </c>
    </row>
    <row r="840">
      <c r="A840" t="n" s="2909">
        <v>31</v>
      </c>
      <c r="AA840" t="n" s="2909">
        <v>21</v>
      </c>
      <c r="AB840" t="inlineStr" s="2909">
        <is>
          <t>20250401</t>
        </is>
      </c>
      <c r="AD840" t="n" s="2909">
        <v>12</v>
      </c>
      <c r="AE840" t="inlineStr" s="2909">
        <is>
          <t>20250416</t>
        </is>
      </c>
      <c r="AH840" t="n" s="2909">
        <v>1</v>
      </c>
      <c r="AJ840" t="n" s="2909">
        <v>41</v>
      </c>
      <c r="AP840" t="n" s="2909">
        <v>200000</v>
      </c>
      <c r="DB840" s="2909" t="str">
        <f>IF($A840="","",IF($AH840=20,IF(AND(OR($A840=21,$A840=215),$AJ840=10),"①病院一般",IF(AND($A840=31,$AJ840=41),"②病院短期","対象外")),IF($AJ840=30,"③特定消防",IF(AND(OR($A840=21,$A840=215),$AJ840=10),"④一般",IF(AND($A840=31,$AJ840=41),"⑤短期","対象外")))))</f>
        <v>⑤短期</v>
      </c>
      <c r="DC840" s="2909">
        <f>IF($A840="","",IF($AB840&amp;""='DB_設定'!$C$4,1,0))</f>
        <v>1</v>
      </c>
    </row>
    <row r="841">
      <c r="A841" t="n" s="2909">
        <v>31</v>
      </c>
      <c r="AA841" t="n" s="2909">
        <v>21</v>
      </c>
      <c r="AB841" t="inlineStr" s="2909">
        <is>
          <t>20250401</t>
        </is>
      </c>
      <c r="AD841" t="n" s="2909">
        <v>0</v>
      </c>
      <c r="AE841" t="inlineStr" s="2909">
        <is>
          <t>00000000</t>
        </is>
      </c>
      <c r="AH841" t="n" s="2909">
        <v>11</v>
      </c>
      <c r="AJ841" t="n" s="2909">
        <v>41</v>
      </c>
      <c r="AP841" t="n" s="2909">
        <v>180000</v>
      </c>
      <c r="DB841" s="2909" t="str">
        <f>IF($A841="","",IF($AH841=20,IF(AND(OR($A841=21,$A841=215),$AJ841=10),"①病院一般",IF(AND($A841=31,$AJ841=41),"②病院短期","対象外")),IF($AJ841=30,"③特定消防",IF(AND(OR($A841=21,$A841=215),$AJ841=10),"④一般",IF(AND($A841=31,$AJ841=41),"⑤短期","対象外")))))</f>
        <v>⑤短期</v>
      </c>
      <c r="DC841" s="2909">
        <f>IF($A841="","",IF($AB841&amp;""='DB_設定'!$C$4,1,0))</f>
        <v>1</v>
      </c>
    </row>
    <row r="842">
      <c r="A842" t="n" s="2909">
        <v>31</v>
      </c>
      <c r="AA842" t="n" s="2909">
        <v>24</v>
      </c>
      <c r="AB842" t="inlineStr" s="2909">
        <is>
          <t>20250501</t>
        </is>
      </c>
      <c r="AD842" t="n" s="2909">
        <v>0</v>
      </c>
      <c r="AE842" t="inlineStr" s="2909">
        <is>
          <t>00000000</t>
        </is>
      </c>
      <c r="AH842" t="n" s="2909">
        <v>11</v>
      </c>
      <c r="AJ842" t="n" s="2909">
        <v>41</v>
      </c>
      <c r="AP842" t="n" s="2909">
        <v>118000</v>
      </c>
      <c r="DB842" s="2909" t="str">
        <f>IF($A842="","",IF($AH842=20,IF(AND(OR($A842=21,$A842=215),$AJ842=10),"①病院一般",IF(AND($A842=31,$AJ842=41),"②病院短期","対象外")),IF($AJ842=30,"③特定消防",IF(AND(OR($A842=21,$A842=215),$AJ842=10),"④一般",IF(AND($A842=31,$AJ842=41),"⑤短期","対象外")))))</f>
        <v>⑤短期</v>
      </c>
      <c r="DC842" s="2909">
        <f>IF($A842="","",IF($AB842&amp;""='DB_設定'!$C$4,1,0))</f>
        <v>0</v>
      </c>
    </row>
    <row r="843">
      <c r="A843" t="n" s="2909">
        <v>31</v>
      </c>
      <c r="AA843" t="n" s="2909">
        <v>24</v>
      </c>
      <c r="AB843" t="inlineStr" s="2909">
        <is>
          <t>20250401</t>
        </is>
      </c>
      <c r="AD843" t="n" s="2909">
        <v>12</v>
      </c>
      <c r="AE843" t="inlineStr" s="2909">
        <is>
          <t>20250901</t>
        </is>
      </c>
      <c r="AH843" t="n" s="2909">
        <v>1</v>
      </c>
      <c r="AJ843" t="n" s="2909">
        <v>41</v>
      </c>
      <c r="AP843" t="n" s="2909">
        <v>260000</v>
      </c>
      <c r="DB843" s="2909" t="str">
        <f>IF($A843="","",IF($AH843=20,IF(AND(OR($A843=21,$A843=215),$AJ843=10),"①病院一般",IF(AND($A843=31,$AJ843=41),"②病院短期","対象外")),IF($AJ843=30,"③特定消防",IF(AND(OR($A843=21,$A843=215),$AJ843=10),"④一般",IF(AND($A843=31,$AJ843=41),"⑤短期","対象外")))))</f>
        <v>⑤短期</v>
      </c>
      <c r="DC843" s="2909">
        <f>IF($A843="","",IF($AB843&amp;""='DB_設定'!$C$4,1,0))</f>
        <v>1</v>
      </c>
    </row>
    <row r="844">
      <c r="A844" t="n" s="2909">
        <v>31</v>
      </c>
      <c r="AA844" t="n" s="2909">
        <v>21</v>
      </c>
      <c r="AB844" t="inlineStr" s="2909">
        <is>
          <t>20250901</t>
        </is>
      </c>
      <c r="AD844" t="n" s="2909">
        <v>0</v>
      </c>
      <c r="AE844" t="inlineStr" s="2909">
        <is>
          <t>00000000</t>
        </is>
      </c>
      <c r="AH844" t="n" s="2909">
        <v>1</v>
      </c>
      <c r="AJ844" t="n" s="2909">
        <v>41</v>
      </c>
      <c r="AP844" t="n" s="2909">
        <v>170000</v>
      </c>
      <c r="DB844" s="2909" t="str">
        <f>IF($A844="","",IF($AH844=20,IF(AND(OR($A844=21,$A844=215),$AJ844=10),"①病院一般",IF(AND($A844=31,$AJ844=41),"②病院短期","対象外")),IF($AJ844=30,"③特定消防",IF(AND(OR($A844=21,$A844=215),$AJ844=10),"④一般",IF(AND($A844=31,$AJ844=41),"⑤短期","対象外")))))</f>
        <v>⑤短期</v>
      </c>
      <c r="DC844" s="2909">
        <f>IF($A844="","",IF($AB844&amp;""='DB_設定'!$C$4,1,0))</f>
        <v>0</v>
      </c>
    </row>
    <row r="845">
      <c r="A845" t="n" s="2909">
        <v>31</v>
      </c>
      <c r="AA845" t="n" s="2909">
        <v>21</v>
      </c>
      <c r="AB845" t="inlineStr" s="2909">
        <is>
          <t>20250401</t>
        </is>
      </c>
      <c r="AD845" t="n" s="2909">
        <v>0</v>
      </c>
      <c r="AE845" t="inlineStr" s="2909">
        <is>
          <t>00000000</t>
        </is>
      </c>
      <c r="AH845" t="n" s="2909">
        <v>1</v>
      </c>
      <c r="AJ845" t="n" s="2909">
        <v>41</v>
      </c>
      <c r="AP845" t="n" s="2909">
        <v>134000</v>
      </c>
      <c r="DB845" s="2909" t="str">
        <f>IF($A845="","",IF($AH845=20,IF(AND(OR($A845=21,$A845=215),$AJ845=10),"①病院一般",IF(AND($A845=31,$AJ845=41),"②病院短期","対象外")),IF($AJ845=30,"③特定消防",IF(AND(OR($A845=21,$A845=215),$AJ845=10),"④一般",IF(AND($A845=31,$AJ845=41),"⑤短期","対象外")))))</f>
        <v>⑤短期</v>
      </c>
      <c r="DC845" s="2909">
        <f>IF($A845="","",IF($AB845&amp;""='DB_設定'!$C$4,1,0))</f>
        <v>1</v>
      </c>
    </row>
    <row r="846">
      <c r="A846" t="n" s="2909">
        <v>31</v>
      </c>
      <c r="AA846" t="n" s="2909">
        <v>24</v>
      </c>
      <c r="AB846" t="inlineStr" s="2909">
        <is>
          <t>20250901</t>
        </is>
      </c>
      <c r="AD846" t="n" s="2909">
        <v>0</v>
      </c>
      <c r="AE846" t="inlineStr" s="2909">
        <is>
          <t>00000000</t>
        </is>
      </c>
      <c r="AH846" t="n" s="2909">
        <v>1</v>
      </c>
      <c r="AJ846" t="n" s="2909">
        <v>41</v>
      </c>
      <c r="AP846" t="n" s="2909">
        <v>126000</v>
      </c>
      <c r="DB846" s="2909" t="str">
        <f>IF($A846="","",IF($AH846=20,IF(AND(OR($A846=21,$A846=215),$AJ846=10),"①病院一般",IF(AND($A846=31,$AJ846=41),"②病院短期","対象外")),IF($AJ846=30,"③特定消防",IF(AND(OR($A846=21,$A846=215),$AJ846=10),"④一般",IF(AND($A846=31,$AJ846=41),"⑤短期","対象外")))))</f>
        <v>⑤短期</v>
      </c>
      <c r="DC846" s="2909">
        <f>IF($A846="","",IF($AB846&amp;""='DB_設定'!$C$4,1,0))</f>
        <v>0</v>
      </c>
    </row>
    <row r="847">
      <c r="A847" t="n" s="2909">
        <v>31</v>
      </c>
      <c r="AA847" t="n" s="2909">
        <v>21</v>
      </c>
      <c r="AB847" t="inlineStr" s="2909">
        <is>
          <t>20250801</t>
        </is>
      </c>
      <c r="AD847" t="n" s="2909">
        <v>12</v>
      </c>
      <c r="AE847" t="inlineStr" s="2909">
        <is>
          <t>20250901</t>
        </is>
      </c>
      <c r="AH847" t="n" s="2909">
        <v>1</v>
      </c>
      <c r="AJ847" t="n" s="2909">
        <v>41</v>
      </c>
      <c r="AP847" t="n" s="2909">
        <v>126000</v>
      </c>
      <c r="DB847" s="2909" t="str">
        <f>IF($A847="","",IF($AH847=20,IF(AND(OR($A847=21,$A847=215),$AJ847=10),"①病院一般",IF(AND($A847=31,$AJ847=41),"②病院短期","対象外")),IF($AJ847=30,"③特定消防",IF(AND(OR($A847=21,$A847=215),$AJ847=10),"④一般",IF(AND($A847=31,$AJ847=41),"⑤短期","対象外")))))</f>
        <v>⑤短期</v>
      </c>
      <c r="DC847" s="2909">
        <f>IF($A847="","",IF($AB847&amp;""='DB_設定'!$C$4,1,0))</f>
        <v>0</v>
      </c>
    </row>
    <row r="848">
      <c r="A848" t="n" s="2909">
        <v>31</v>
      </c>
      <c r="AA848" t="n" s="2909">
        <v>21</v>
      </c>
      <c r="AB848" t="inlineStr" s="2909">
        <is>
          <t>20250401</t>
        </is>
      </c>
      <c r="AD848" t="n" s="2909">
        <v>0</v>
      </c>
      <c r="AE848" t="inlineStr" s="2909">
        <is>
          <t>00000000</t>
        </is>
      </c>
      <c r="AH848" t="n" s="2909">
        <v>20</v>
      </c>
      <c r="AJ848" t="n" s="2909">
        <v>41</v>
      </c>
      <c r="AP848" t="n" s="2909">
        <v>220000</v>
      </c>
      <c r="DB848" s="2909" t="str">
        <f>IF($A848="","",IF($AH848=20,IF(AND(OR($A848=21,$A848=215),$AJ848=10),"①病院一般",IF(AND($A848=31,$AJ848=41),"②病院短期","対象外")),IF($AJ848=30,"③特定消防",IF(AND(OR($A848=21,$A848=215),$AJ848=10),"④一般",IF(AND($A848=31,$AJ848=41),"⑤短期","対象外")))))</f>
        <v>②病院短期</v>
      </c>
      <c r="DC848" s="2909">
        <f>IF($A848="","",IF($AB848&amp;""='DB_設定'!$C$4,1,0))</f>
        <v>1</v>
      </c>
    </row>
    <row r="849">
      <c r="A849" t="n" s="2909">
        <v>31</v>
      </c>
      <c r="AA849" t="n" s="2909">
        <v>21</v>
      </c>
      <c r="AB849" t="inlineStr" s="2909">
        <is>
          <t>20250401</t>
        </is>
      </c>
      <c r="AD849" t="n" s="2909">
        <v>0</v>
      </c>
      <c r="AE849" t="inlineStr" s="2909">
        <is>
          <t>00000000</t>
        </is>
      </c>
      <c r="AH849" t="n" s="2909">
        <v>11</v>
      </c>
      <c r="AJ849" t="n" s="2909">
        <v>41</v>
      </c>
      <c r="AP849" t="n" s="2909">
        <v>220000</v>
      </c>
      <c r="DB849" s="2909" t="str">
        <f>IF($A849="","",IF($AH849=20,IF(AND(OR($A849=21,$A849=215),$AJ849=10),"①病院一般",IF(AND($A849=31,$AJ849=41),"②病院短期","対象外")),IF($AJ849=30,"③特定消防",IF(AND(OR($A849=21,$A849=215),$AJ849=10),"④一般",IF(AND($A849=31,$AJ849=41),"⑤短期","対象外")))))</f>
        <v>⑤短期</v>
      </c>
      <c r="DC849" s="2909">
        <f>IF($A849="","",IF($AB849&amp;""='DB_設定'!$C$4,1,0))</f>
        <v>1</v>
      </c>
    </row>
    <row r="850">
      <c r="A850" t="n" s="2909">
        <v>31</v>
      </c>
      <c r="AA850" t="n" s="2909">
        <v>24</v>
      </c>
      <c r="AB850" t="inlineStr" s="2909">
        <is>
          <t>20250401</t>
        </is>
      </c>
      <c r="AD850" t="n" s="2909">
        <v>12</v>
      </c>
      <c r="AE850" t="inlineStr" s="2909">
        <is>
          <t>20251001</t>
        </is>
      </c>
      <c r="AH850" t="n" s="2909">
        <v>27</v>
      </c>
      <c r="AJ850" t="n" s="2909">
        <v>41</v>
      </c>
      <c r="AP850" t="n" s="2909">
        <v>200000</v>
      </c>
      <c r="DB850" s="2909" t="str">
        <f>IF($A850="","",IF($AH850=20,IF(AND(OR($A850=21,$A850=215),$AJ850=10),"①病院一般",IF(AND($A850=31,$AJ850=41),"②病院短期","対象外")),IF($AJ850=30,"③特定消防",IF(AND(OR($A850=21,$A850=215),$AJ850=10),"④一般",IF(AND($A850=31,$AJ850=41),"⑤短期","対象外")))))</f>
        <v>⑤短期</v>
      </c>
      <c r="DC850" s="2909">
        <f>IF($A850="","",IF($AB850&amp;""='DB_設定'!$C$4,1,0))</f>
        <v>1</v>
      </c>
    </row>
    <row r="851">
      <c r="A851" t="n" s="2909">
        <v>31</v>
      </c>
      <c r="AA851" t="n" s="2909">
        <v>21</v>
      </c>
      <c r="AB851" t="inlineStr" s="2909">
        <is>
          <t>20251001</t>
        </is>
      </c>
      <c r="AD851" t="n" s="2909">
        <v>0</v>
      </c>
      <c r="AE851" t="inlineStr" s="2909">
        <is>
          <t>00000000</t>
        </is>
      </c>
      <c r="AH851" t="n" s="2909">
        <v>1</v>
      </c>
      <c r="AJ851" t="n" s="2909">
        <v>41</v>
      </c>
      <c r="AP851" t="n" s="2909">
        <v>134000</v>
      </c>
      <c r="DB851" s="2909" t="str">
        <f>IF($A851="","",IF($AH851=20,IF(AND(OR($A851=21,$A851=215),$AJ851=10),"①病院一般",IF(AND($A851=31,$AJ851=41),"②病院短期","対象外")),IF($AJ851=30,"③特定消防",IF(AND(OR($A851=21,$A851=215),$AJ851=10),"④一般",IF(AND($A851=31,$AJ851=41),"⑤短期","対象外")))))</f>
        <v>⑤短期</v>
      </c>
      <c r="DC851" s="2909">
        <f>IF($A851="","",IF($AB851&amp;""='DB_設定'!$C$4,1,0))</f>
        <v>0</v>
      </c>
    </row>
    <row r="852">
      <c r="A852" t="n" s="2909">
        <v>31</v>
      </c>
      <c r="AA852" t="n" s="2909">
        <v>21</v>
      </c>
      <c r="AB852" t="inlineStr" s="2909">
        <is>
          <t>20250401</t>
        </is>
      </c>
      <c r="AD852" t="n" s="2909">
        <v>0</v>
      </c>
      <c r="AE852" t="inlineStr" s="2909">
        <is>
          <t>00000000</t>
        </is>
      </c>
      <c r="AH852" t="n" s="2909">
        <v>1</v>
      </c>
      <c r="AJ852" t="n" s="2909">
        <v>41</v>
      </c>
      <c r="AP852" t="n" s="2909">
        <v>190000</v>
      </c>
      <c r="DB852" s="2909" t="str">
        <f>IF($A852="","",IF($AH852=20,IF(AND(OR($A852=21,$A852=215),$AJ852=10),"①病院一般",IF(AND($A852=31,$AJ852=41),"②病院短期","対象外")),IF($AJ852=30,"③特定消防",IF(AND(OR($A852=21,$A852=215),$AJ852=10),"④一般",IF(AND($A852=31,$AJ852=41),"⑤短期","対象外")))))</f>
        <v>⑤短期</v>
      </c>
      <c r="DC852" s="2909">
        <f>IF($A852="","",IF($AB852&amp;""='DB_設定'!$C$4,1,0))</f>
        <v>1</v>
      </c>
    </row>
    <row r="853">
      <c r="A853" t="n" s="2909">
        <v>31</v>
      </c>
      <c r="AA853" t="n" s="2909">
        <v>21</v>
      </c>
      <c r="AB853" t="inlineStr" s="2909">
        <is>
          <t>20250903</t>
        </is>
      </c>
      <c r="AD853" t="n" s="2909">
        <v>0</v>
      </c>
      <c r="AE853" t="inlineStr" s="2909">
        <is>
          <t>00000000</t>
        </is>
      </c>
      <c r="AH853" t="n" s="2909">
        <v>1</v>
      </c>
      <c r="AJ853" t="n" s="2909">
        <v>41</v>
      </c>
      <c r="AP853" t="n" s="2909">
        <v>126000</v>
      </c>
      <c r="DB853" s="2909" t="str">
        <f>IF($A853="","",IF($AH853=20,IF(AND(OR($A853=21,$A853=215),$AJ853=10),"①病院一般",IF(AND($A853=31,$AJ853=41),"②病院短期","対象外")),IF($AJ853=30,"③特定消防",IF(AND(OR($A853=21,$A853=215),$AJ853=10),"④一般",IF(AND($A853=31,$AJ853=41),"⑤短期","対象外")))))</f>
        <v>⑤短期</v>
      </c>
      <c r="DC853" s="2909">
        <f>IF($A853="","",IF($AB853&amp;""='DB_設定'!$C$4,1,0))</f>
        <v>0</v>
      </c>
    </row>
    <row r="854">
      <c r="A854" t="n" s="2909">
        <v>31</v>
      </c>
      <c r="AA854" t="n" s="2909">
        <v>24</v>
      </c>
      <c r="AB854" t="inlineStr" s="2909">
        <is>
          <t>20250403</t>
        </is>
      </c>
      <c r="AD854" t="n" s="2909">
        <v>12</v>
      </c>
      <c r="AE854" t="inlineStr" s="2909">
        <is>
          <t>20250801</t>
        </is>
      </c>
      <c r="AH854" t="n" s="2909">
        <v>11</v>
      </c>
      <c r="AJ854" t="n" s="2909">
        <v>41</v>
      </c>
      <c r="AP854" t="n" s="2909">
        <v>170000</v>
      </c>
      <c r="DB854" s="2909" t="str">
        <f>IF($A854="","",IF($AH854=20,IF(AND(OR($A854=21,$A854=215),$AJ854=10),"①病院一般",IF(AND($A854=31,$AJ854=41),"②病院短期","対象外")),IF($AJ854=30,"③特定消防",IF(AND(OR($A854=21,$A854=215),$AJ854=10),"④一般",IF(AND($A854=31,$AJ854=41),"⑤短期","対象外")))))</f>
        <v>⑤短期</v>
      </c>
      <c r="DC854" s="2909">
        <f>IF($A854="","",IF($AB854&amp;""='DB_設定'!$C$4,1,0))</f>
        <v>0</v>
      </c>
    </row>
    <row r="855">
      <c r="A855" t="n" s="2909">
        <v>31</v>
      </c>
      <c r="AA855" t="n" s="2909">
        <v>21</v>
      </c>
      <c r="AB855" t="inlineStr" s="2909">
        <is>
          <t>20250616</t>
        </is>
      </c>
      <c r="AD855" t="n" s="2909">
        <v>0</v>
      </c>
      <c r="AE855" t="inlineStr" s="2909">
        <is>
          <t>00000000</t>
        </is>
      </c>
      <c r="AH855" t="n" s="2909">
        <v>1</v>
      </c>
      <c r="AJ855" t="n" s="2909">
        <v>41</v>
      </c>
      <c r="AP855" t="n" s="2909">
        <v>142000</v>
      </c>
      <c r="DB855" s="2909" t="str">
        <f>IF($A855="","",IF($AH855=20,IF(AND(OR($A855=21,$A855=215),$AJ855=10),"①病院一般",IF(AND($A855=31,$AJ855=41),"②病院短期","対象外")),IF($AJ855=30,"③特定消防",IF(AND(OR($A855=21,$A855=215),$AJ855=10),"④一般",IF(AND($A855=31,$AJ855=41),"⑤短期","対象外")))))</f>
        <v>⑤短期</v>
      </c>
      <c r="DC855" s="2909">
        <f>IF($A855="","",IF($AB855&amp;""='DB_設定'!$C$4,1,0))</f>
        <v>0</v>
      </c>
    </row>
    <row r="856">
      <c r="A856" t="n" s="2909">
        <v>31</v>
      </c>
      <c r="AA856" t="n" s="2909">
        <v>24</v>
      </c>
      <c r="AB856" t="inlineStr" s="2909">
        <is>
          <t>20251001</t>
        </is>
      </c>
      <c r="AD856" t="n" s="2909">
        <v>0</v>
      </c>
      <c r="AE856" t="inlineStr" s="2909">
        <is>
          <t>00000000</t>
        </is>
      </c>
      <c r="AH856" t="n" s="2909">
        <v>1</v>
      </c>
      <c r="AJ856" t="n" s="2909">
        <v>41</v>
      </c>
      <c r="AP856" t="n" s="2909">
        <v>150000</v>
      </c>
      <c r="DB856" s="2909" t="str">
        <f>IF($A856="","",IF($AH856=20,IF(AND(OR($A856=21,$A856=215),$AJ856=10),"①病院一般",IF(AND($A856=31,$AJ856=41),"②病院短期","対象外")),IF($AJ856=30,"③特定消防",IF(AND(OR($A856=21,$A856=215),$AJ856=10),"④一般",IF(AND($A856=31,$AJ856=41),"⑤短期","対象外")))))</f>
        <v>⑤短期</v>
      </c>
      <c r="DC856" s="2909">
        <f>IF($A856="","",IF($AB856&amp;""='DB_設定'!$C$4,1,0))</f>
        <v>0</v>
      </c>
    </row>
    <row r="857">
      <c r="A857" t="n" s="2909">
        <v>31</v>
      </c>
      <c r="AA857" t="n" s="2909">
        <v>21</v>
      </c>
      <c r="AB857" t="inlineStr" s="2909">
        <is>
          <t>20250411</t>
        </is>
      </c>
      <c r="AD857" t="n" s="2909">
        <v>0</v>
      </c>
      <c r="AE857" t="inlineStr" s="2909">
        <is>
          <t>00000000</t>
        </is>
      </c>
      <c r="AH857" t="n" s="2909">
        <v>11</v>
      </c>
      <c r="AJ857" t="n" s="2909">
        <v>41</v>
      </c>
      <c r="AP857" t="n" s="2909">
        <v>68000</v>
      </c>
      <c r="DB857" s="2909" t="str">
        <f>IF($A857="","",IF($AH857=20,IF(AND(OR($A857=21,$A857=215),$AJ857=10),"①病院一般",IF(AND($A857=31,$AJ857=41),"②病院短期","対象外")),IF($AJ857=30,"③特定消防",IF(AND(OR($A857=21,$A857=215),$AJ857=10),"④一般",IF(AND($A857=31,$AJ857=41),"⑤短期","対象外")))))</f>
        <v>⑤短期</v>
      </c>
      <c r="DC857" s="2909">
        <f>IF($A857="","",IF($AB857&amp;""='DB_設定'!$C$4,1,0))</f>
        <v>0</v>
      </c>
    </row>
    <row r="858">
      <c r="A858" t="n" s="2909">
        <v>31</v>
      </c>
      <c r="AA858" t="n" s="2909">
        <v>24</v>
      </c>
      <c r="AB858" t="inlineStr" s="2909">
        <is>
          <t>20250526</t>
        </is>
      </c>
      <c r="AD858" t="n" s="2909">
        <v>0</v>
      </c>
      <c r="AE858" t="inlineStr" s="2909">
        <is>
          <t>00000000</t>
        </is>
      </c>
      <c r="AH858" t="n" s="2909">
        <v>11</v>
      </c>
      <c r="AJ858" t="n" s="2909">
        <v>41</v>
      </c>
      <c r="AP858" t="n" s="2909">
        <v>142000</v>
      </c>
      <c r="DB858" s="2909" t="str">
        <f>IF($A858="","",IF($AH858=20,IF(AND(OR($A858=21,$A858=215),$AJ858=10),"①病院一般",IF(AND($A858=31,$AJ858=41),"②病院短期","対象外")),IF($AJ858=30,"③特定消防",IF(AND(OR($A858=21,$A858=215),$AJ858=10),"④一般",IF(AND($A858=31,$AJ858=41),"⑤短期","対象外")))))</f>
        <v>⑤短期</v>
      </c>
      <c r="DC858" s="2909">
        <f>IF($A858="","",IF($AB858&amp;""='DB_設定'!$C$4,1,0))</f>
        <v>0</v>
      </c>
    </row>
    <row r="859">
      <c r="A859" t="n" s="2909">
        <v>31</v>
      </c>
      <c r="AA859" t="n" s="2909">
        <v>24</v>
      </c>
      <c r="AB859" t="inlineStr" s="2909">
        <is>
          <t>20250601</t>
        </is>
      </c>
      <c r="AD859" t="n" s="2909">
        <v>12</v>
      </c>
      <c r="AE859" t="inlineStr" s="2909">
        <is>
          <t>20251001</t>
        </is>
      </c>
      <c r="AH859" t="n" s="2909">
        <v>1</v>
      </c>
      <c r="AJ859" t="n" s="2909">
        <v>41</v>
      </c>
      <c r="AP859" t="n" s="2909">
        <v>150000</v>
      </c>
      <c r="DB859" s="2909" t="str">
        <f>IF($A859="","",IF($AH859=20,IF(AND(OR($A859=21,$A859=215),$AJ859=10),"①病院一般",IF(AND($A859=31,$AJ859=41),"②病院短期","対象外")),IF($AJ859=30,"③特定消防",IF(AND(OR($A859=21,$A859=215),$AJ859=10),"④一般",IF(AND($A859=31,$AJ859=41),"⑤短期","対象外")))))</f>
        <v>⑤短期</v>
      </c>
      <c r="DC859" s="2909">
        <f>IF($A859="","",IF($AB859&amp;""='DB_設定'!$C$4,1,0))</f>
        <v>0</v>
      </c>
    </row>
    <row r="860">
      <c r="A860" t="n" s="2909">
        <v>31</v>
      </c>
      <c r="AA860" t="n" s="2909">
        <v>21</v>
      </c>
      <c r="AB860" t="inlineStr" s="2909">
        <is>
          <t>20250901</t>
        </is>
      </c>
      <c r="AD860" t="n" s="2909">
        <v>0</v>
      </c>
      <c r="AE860" t="inlineStr" s="2909">
        <is>
          <t>00000000</t>
        </is>
      </c>
      <c r="AH860" t="n" s="2909">
        <v>1</v>
      </c>
      <c r="AJ860" t="n" s="2909">
        <v>41</v>
      </c>
      <c r="AP860" t="n" s="2909">
        <v>134000</v>
      </c>
      <c r="DB860" s="2909" t="str">
        <f>IF($A860="","",IF($AH860=20,IF(AND(OR($A860=21,$A860=215),$AJ860=10),"①病院一般",IF(AND($A860=31,$AJ860=41),"②病院短期","対象外")),IF($AJ860=30,"③特定消防",IF(AND(OR($A860=21,$A860=215),$AJ860=10),"④一般",IF(AND($A860=31,$AJ860=41),"⑤短期","対象外")))))</f>
        <v>⑤短期</v>
      </c>
      <c r="DC860" s="2909">
        <f>IF($A860="","",IF($AB860&amp;""='DB_設定'!$C$4,1,0))</f>
        <v>0</v>
      </c>
    </row>
    <row r="861">
      <c r="A861" t="n" s="2909">
        <v>31</v>
      </c>
      <c r="AA861" t="n" s="2909">
        <v>21</v>
      </c>
      <c r="AB861" t="inlineStr" s="2909">
        <is>
          <t>20250411</t>
        </is>
      </c>
      <c r="AD861" t="n" s="2909">
        <v>0</v>
      </c>
      <c r="AE861" t="inlineStr" s="2909">
        <is>
          <t>00000000</t>
        </is>
      </c>
      <c r="AH861" t="n" s="2909">
        <v>11</v>
      </c>
      <c r="AJ861" t="n" s="2909">
        <v>41</v>
      </c>
      <c r="AP861" t="n" s="2909">
        <v>78000</v>
      </c>
      <c r="DB861" s="2909" t="str">
        <f>IF($A861="","",IF($AH861=20,IF(AND(OR($A861=21,$A861=215),$AJ861=10),"①病院一般",IF(AND($A861=31,$AJ861=41),"②病院短期","対象外")),IF($AJ861=30,"③特定消防",IF(AND(OR($A861=21,$A861=215),$AJ861=10),"④一般",IF(AND($A861=31,$AJ861=41),"⑤短期","対象外")))))</f>
        <v>⑤短期</v>
      </c>
      <c r="DC861" s="2909">
        <f>IF($A861="","",IF($AB861&amp;""='DB_設定'!$C$4,1,0))</f>
        <v>0</v>
      </c>
    </row>
    <row r="862">
      <c r="A862" t="n" s="2909">
        <v>31</v>
      </c>
      <c r="AA862" t="n" s="2909">
        <v>24</v>
      </c>
      <c r="AB862" t="inlineStr" s="2909">
        <is>
          <t>20250401</t>
        </is>
      </c>
      <c r="AD862" t="n" s="2909">
        <v>12</v>
      </c>
      <c r="AE862" t="inlineStr" s="2909">
        <is>
          <t>20251001</t>
        </is>
      </c>
      <c r="AH862" t="n" s="2909">
        <v>1</v>
      </c>
      <c r="AJ862" t="n" s="2909">
        <v>41</v>
      </c>
      <c r="AP862" t="n" s="2909">
        <v>142000</v>
      </c>
      <c r="DB862" s="2909" t="str">
        <f>IF($A862="","",IF($AH862=20,IF(AND(OR($A862=21,$A862=215),$AJ862=10),"①病院一般",IF(AND($A862=31,$AJ862=41),"②病院短期","対象外")),IF($AJ862=30,"③特定消防",IF(AND(OR($A862=21,$A862=215),$AJ862=10),"④一般",IF(AND($A862=31,$AJ862=41),"⑤短期","対象外")))))</f>
        <v>⑤短期</v>
      </c>
      <c r="DC862" s="2909">
        <f>IF($A862="","",IF($AB862&amp;""='DB_設定'!$C$4,1,0))</f>
        <v>1</v>
      </c>
    </row>
    <row r="863">
      <c r="A863" t="n" s="2909">
        <v>31</v>
      </c>
      <c r="AA863" t="n" s="2909">
        <v>21</v>
      </c>
      <c r="AB863" t="inlineStr" s="2909">
        <is>
          <t>20251001</t>
        </is>
      </c>
      <c r="AD863" t="n" s="2909">
        <v>0</v>
      </c>
      <c r="AE863" t="inlineStr" s="2909">
        <is>
          <t>00000000</t>
        </is>
      </c>
      <c r="AH863" t="n" s="2909">
        <v>1</v>
      </c>
      <c r="AJ863" t="n" s="2909">
        <v>41</v>
      </c>
      <c r="AP863" t="n" s="2909">
        <v>260000</v>
      </c>
      <c r="DB863" s="2909" t="str">
        <f>IF($A863="","",IF($AH863=20,IF(AND(OR($A863=21,$A863=215),$AJ863=10),"①病院一般",IF(AND($A863=31,$AJ863=41),"②病院短期","対象外")),IF($AJ863=30,"③特定消防",IF(AND(OR($A863=21,$A863=215),$AJ863=10),"④一般",IF(AND($A863=31,$AJ863=41),"⑤短期","対象外")))))</f>
        <v>⑤短期</v>
      </c>
      <c r="DC863" s="2909">
        <f>IF($A863="","",IF($AB863&amp;""='DB_設定'!$C$4,1,0))</f>
        <v>0</v>
      </c>
    </row>
    <row r="864">
      <c r="A864" t="n" s="2909">
        <v>31</v>
      </c>
      <c r="AA864" t="n" s="2909">
        <v>24</v>
      </c>
      <c r="AB864" t="inlineStr" s="2909">
        <is>
          <t>20250730</t>
        </is>
      </c>
      <c r="AD864" t="n" s="2909">
        <v>0</v>
      </c>
      <c r="AE864" t="inlineStr" s="2909">
        <is>
          <t>00000000</t>
        </is>
      </c>
      <c r="AH864" t="n" s="2909">
        <v>11</v>
      </c>
      <c r="AJ864" t="n" s="2909">
        <v>41</v>
      </c>
      <c r="AP864" t="n" s="2909">
        <v>180000</v>
      </c>
      <c r="DB864" s="2909" t="str">
        <f>IF($A864="","",IF($AH864=20,IF(AND(OR($A864=21,$A864=215),$AJ864=10),"①病院一般",IF(AND($A864=31,$AJ864=41),"②病院短期","対象外")),IF($AJ864=30,"③特定消防",IF(AND(OR($A864=21,$A864=215),$AJ864=10),"④一般",IF(AND($A864=31,$AJ864=41),"⑤短期","対象外")))))</f>
        <v>⑤短期</v>
      </c>
      <c r="DC864" s="2909">
        <f>IF($A864="","",IF($AB864&amp;""='DB_設定'!$C$4,1,0))</f>
        <v>0</v>
      </c>
    </row>
    <row r="865">
      <c r="A865" t="n" s="2909">
        <v>31</v>
      </c>
      <c r="AA865" t="n" s="2909">
        <v>21</v>
      </c>
      <c r="AB865" t="inlineStr" s="2909">
        <is>
          <t>20250410</t>
        </is>
      </c>
      <c r="AD865" t="n" s="2909">
        <v>12</v>
      </c>
      <c r="AE865" t="inlineStr" s="2909">
        <is>
          <t>20250701</t>
        </is>
      </c>
      <c r="AH865" t="n" s="2909">
        <v>11</v>
      </c>
      <c r="AJ865" t="n" s="2909">
        <v>41</v>
      </c>
      <c r="AP865" t="n" s="2909">
        <v>126000</v>
      </c>
      <c r="DB865" s="2909" t="str">
        <f>IF($A865="","",IF($AH865=20,IF(AND(OR($A865=21,$A865=215),$AJ865=10),"①病院一般",IF(AND($A865=31,$AJ865=41),"②病院短期","対象外")),IF($AJ865=30,"③特定消防",IF(AND(OR($A865=21,$A865=215),$AJ865=10),"④一般",IF(AND($A865=31,$AJ865=41),"⑤短期","対象外")))))</f>
        <v>⑤短期</v>
      </c>
      <c r="DC865" s="2909">
        <f>IF($A865="","",IF($AB865&amp;""='DB_設定'!$C$4,1,0))</f>
        <v>0</v>
      </c>
    </row>
    <row r="866">
      <c r="A866" t="n" s="2909">
        <v>31</v>
      </c>
      <c r="AA866" t="n" s="2909">
        <v>24</v>
      </c>
      <c r="AB866" t="inlineStr" s="2909">
        <is>
          <t>20250901</t>
        </is>
      </c>
      <c r="AD866" t="n" s="2909">
        <v>0</v>
      </c>
      <c r="AE866" t="inlineStr" s="2909">
        <is>
          <t>00000000</t>
        </is>
      </c>
      <c r="AH866" t="n" s="2909">
        <v>1</v>
      </c>
      <c r="AJ866" t="n" s="2909">
        <v>41</v>
      </c>
      <c r="AP866" t="n" s="2909">
        <v>142000</v>
      </c>
      <c r="DB866" s="2909" t="str">
        <f>IF($A866="","",IF($AH866=20,IF(AND(OR($A866=21,$A866=215),$AJ866=10),"①病院一般",IF(AND($A866=31,$AJ866=41),"②病院短期","対象外")),IF($AJ866=30,"③特定消防",IF(AND(OR($A866=21,$A866=215),$AJ866=10),"④一般",IF(AND($A866=31,$AJ866=41),"⑤短期","対象外")))))</f>
        <v>⑤短期</v>
      </c>
      <c r="DC866" s="2909">
        <f>IF($A866="","",IF($AB866&amp;""='DB_設定'!$C$4,1,0))</f>
        <v>0</v>
      </c>
    </row>
    <row r="867">
      <c r="A867" t="n" s="2909">
        <v>31</v>
      </c>
      <c r="AA867" t="n" s="2909">
        <v>24</v>
      </c>
      <c r="AB867" t="inlineStr" s="2909">
        <is>
          <t>20250909</t>
        </is>
      </c>
      <c r="AD867" t="n" s="2909">
        <v>0</v>
      </c>
      <c r="AE867" t="inlineStr" s="2909">
        <is>
          <t>00000000</t>
        </is>
      </c>
      <c r="AH867" t="n" s="2909">
        <v>1</v>
      </c>
      <c r="AJ867" t="n" s="2909">
        <v>41</v>
      </c>
      <c r="AP867" t="n" s="2909">
        <v>126000</v>
      </c>
      <c r="DB867" s="2909" t="str">
        <f>IF($A867="","",IF($AH867=20,IF(AND(OR($A867=21,$A867=215),$AJ867=10),"①病院一般",IF(AND($A867=31,$AJ867=41),"②病院短期","対象外")),IF($AJ867=30,"③特定消防",IF(AND(OR($A867=21,$A867=215),$AJ867=10),"④一般",IF(AND($A867=31,$AJ867=41),"⑤短期","対象外")))))</f>
        <v>⑤短期</v>
      </c>
      <c r="DC867" s="2909">
        <f>IF($A867="","",IF($AB867&amp;""='DB_設定'!$C$4,1,0))</f>
        <v>0</v>
      </c>
    </row>
    <row r="868">
      <c r="A868" t="n" s="2909">
        <v>31</v>
      </c>
      <c r="AA868" t="n" s="2909">
        <v>24</v>
      </c>
      <c r="AB868" t="inlineStr" s="2909">
        <is>
          <t>20250401</t>
        </is>
      </c>
      <c r="AD868" t="n" s="2909">
        <v>0</v>
      </c>
      <c r="AE868" t="inlineStr" s="2909">
        <is>
          <t>00000000</t>
        </is>
      </c>
      <c r="AH868" t="n" s="2909">
        <v>1</v>
      </c>
      <c r="AJ868" t="n" s="2909">
        <v>41</v>
      </c>
      <c r="AP868" t="n" s="2909">
        <v>142000</v>
      </c>
      <c r="DB868" s="2909" t="str">
        <f>IF($A868="","",IF($AH868=20,IF(AND(OR($A868=21,$A868=215),$AJ868=10),"①病院一般",IF(AND($A868=31,$AJ868=41),"②病院短期","対象外")),IF($AJ868=30,"③特定消防",IF(AND(OR($A868=21,$A868=215),$AJ868=10),"④一般",IF(AND($A868=31,$AJ868=41),"⑤短期","対象外")))))</f>
        <v>⑤短期</v>
      </c>
      <c r="DC868" s="2909">
        <f>IF($A868="","",IF($AB868&amp;""='DB_設定'!$C$4,1,0))</f>
        <v>1</v>
      </c>
    </row>
    <row r="869">
      <c r="A869" t="n" s="2909">
        <v>31</v>
      </c>
      <c r="AA869" t="n" s="2909">
        <v>24</v>
      </c>
      <c r="AB869" t="inlineStr" s="2909">
        <is>
          <t>20250401</t>
        </is>
      </c>
      <c r="AD869" t="n" s="2909">
        <v>0</v>
      </c>
      <c r="AE869" t="inlineStr" s="2909">
        <is>
          <t>00000000</t>
        </is>
      </c>
      <c r="AH869" t="n" s="2909">
        <v>1</v>
      </c>
      <c r="AJ869" t="n" s="2909">
        <v>41</v>
      </c>
      <c r="AP869" t="n" s="2909">
        <v>142000</v>
      </c>
      <c r="DB869" s="2909" t="str">
        <f>IF($A869="","",IF($AH869=20,IF(AND(OR($A869=21,$A869=215),$AJ869=10),"①病院一般",IF(AND($A869=31,$AJ869=41),"②病院短期","対象外")),IF($AJ869=30,"③特定消防",IF(AND(OR($A869=21,$A869=215),$AJ869=10),"④一般",IF(AND($A869=31,$AJ869=41),"⑤短期","対象外")))))</f>
        <v>⑤短期</v>
      </c>
      <c r="DC869" s="2909">
        <f>IF($A869="","",IF($AB869&amp;""='DB_設定'!$C$4,1,0))</f>
        <v>1</v>
      </c>
    </row>
    <row r="870">
      <c r="A870" t="n" s="2909">
        <v>31</v>
      </c>
      <c r="AA870" t="n" s="2909">
        <v>24</v>
      </c>
      <c r="AB870" t="inlineStr" s="2909">
        <is>
          <t>20251001</t>
        </is>
      </c>
      <c r="AD870" t="n" s="2909">
        <v>0</v>
      </c>
      <c r="AE870" t="inlineStr" s="2909">
        <is>
          <t>00000000</t>
        </is>
      </c>
      <c r="AH870" t="n" s="2909">
        <v>1</v>
      </c>
      <c r="AJ870" t="n" s="2909">
        <v>41</v>
      </c>
      <c r="AP870" t="n" s="2909">
        <v>134000</v>
      </c>
      <c r="DB870" s="2909" t="str">
        <f>IF($A870="","",IF($AH870=20,IF(AND(OR($A870=21,$A870=215),$AJ870=10),"①病院一般",IF(AND($A870=31,$AJ870=41),"②病院短期","対象外")),IF($AJ870=30,"③特定消防",IF(AND(OR($A870=21,$A870=215),$AJ870=10),"④一般",IF(AND($A870=31,$AJ870=41),"⑤短期","対象外")))))</f>
        <v>⑤短期</v>
      </c>
      <c r="DC870" s="2909">
        <f>IF($A870="","",IF($AB870&amp;""='DB_設定'!$C$4,1,0))</f>
        <v>0</v>
      </c>
    </row>
    <row r="871">
      <c r="A871" t="n" s="2909">
        <v>31</v>
      </c>
      <c r="AA871" t="n" s="2909">
        <v>24</v>
      </c>
      <c r="AB871" t="inlineStr" s="2909">
        <is>
          <t>20250901</t>
        </is>
      </c>
      <c r="AD871" t="n" s="2909">
        <v>0</v>
      </c>
      <c r="AE871" t="inlineStr" s="2909">
        <is>
          <t>00000000</t>
        </is>
      </c>
      <c r="AH871" t="n" s="2909">
        <v>1</v>
      </c>
      <c r="AJ871" t="n" s="2909">
        <v>41</v>
      </c>
      <c r="AP871" t="n" s="2909">
        <v>142000</v>
      </c>
      <c r="DB871" s="2909" t="str">
        <f>IF($A871="","",IF($AH871=20,IF(AND(OR($A871=21,$A871=215),$AJ871=10),"①病院一般",IF(AND($A871=31,$AJ871=41),"②病院短期","対象外")),IF($AJ871=30,"③特定消防",IF(AND(OR($A871=21,$A871=215),$AJ871=10),"④一般",IF(AND($A871=31,$AJ871=41),"⑤短期","対象外")))))</f>
        <v>⑤短期</v>
      </c>
      <c r="DC871" s="2909">
        <f>IF($A871="","",IF($AB871&amp;""='DB_設定'!$C$4,1,0))</f>
        <v>0</v>
      </c>
    </row>
    <row r="872">
      <c r="A872" t="n" s="2909">
        <v>31</v>
      </c>
      <c r="AA872" t="n" s="2909">
        <v>24</v>
      </c>
      <c r="AB872" t="inlineStr" s="2909">
        <is>
          <t>20250401</t>
        </is>
      </c>
      <c r="AD872" t="n" s="2909">
        <v>0</v>
      </c>
      <c r="AE872" t="inlineStr" s="2909">
        <is>
          <t>00000000</t>
        </is>
      </c>
      <c r="AH872" t="n" s="2909">
        <v>1</v>
      </c>
      <c r="AJ872" t="n" s="2909">
        <v>41</v>
      </c>
      <c r="AP872" t="n" s="2909">
        <v>142000</v>
      </c>
      <c r="DB872" s="2909" t="str">
        <f>IF($A872="","",IF($AH872=20,IF(AND(OR($A872=21,$A872=215),$AJ872=10),"①病院一般",IF(AND($A872=31,$AJ872=41),"②病院短期","対象外")),IF($AJ872=30,"③特定消防",IF(AND(OR($A872=21,$A872=215),$AJ872=10),"④一般",IF(AND($A872=31,$AJ872=41),"⑤短期","対象外")))))</f>
        <v>⑤短期</v>
      </c>
      <c r="DC872" s="2909">
        <f>IF($A872="","",IF($AB872&amp;""='DB_設定'!$C$4,1,0))</f>
        <v>1</v>
      </c>
    </row>
    <row r="873">
      <c r="A873" t="n" s="2909">
        <v>31</v>
      </c>
      <c r="AA873" t="n" s="2909">
        <v>24</v>
      </c>
      <c r="AB873" t="inlineStr" s="2909">
        <is>
          <t>20250901</t>
        </is>
      </c>
      <c r="AD873" t="n" s="2909">
        <v>0</v>
      </c>
      <c r="AE873" t="inlineStr" s="2909">
        <is>
          <t>00000000</t>
        </is>
      </c>
      <c r="AH873" t="n" s="2909">
        <v>1</v>
      </c>
      <c r="AJ873" t="n" s="2909">
        <v>41</v>
      </c>
      <c r="AP873" t="n" s="2909">
        <v>142000</v>
      </c>
      <c r="DB873" s="2909" t="str">
        <f>IF($A873="","",IF($AH873=20,IF(AND(OR($A873=21,$A873=215),$AJ873=10),"①病院一般",IF(AND($A873=31,$AJ873=41),"②病院短期","対象外")),IF($AJ873=30,"③特定消防",IF(AND(OR($A873=21,$A873=215),$AJ873=10),"④一般",IF(AND($A873=31,$AJ873=41),"⑤短期","対象外")))))</f>
        <v>⑤短期</v>
      </c>
      <c r="DC873" s="2909">
        <f>IF($A873="","",IF($AB873&amp;""='DB_設定'!$C$4,1,0))</f>
        <v>0</v>
      </c>
    </row>
    <row r="874">
      <c r="A874" t="n" s="2909">
        <v>31</v>
      </c>
      <c r="AA874" t="n" s="2909">
        <v>21</v>
      </c>
      <c r="AB874" t="inlineStr" s="2909">
        <is>
          <t>20250401</t>
        </is>
      </c>
      <c r="AD874" t="n" s="2909">
        <v>0</v>
      </c>
      <c r="AE874" t="inlineStr" s="2909">
        <is>
          <t>00000000</t>
        </is>
      </c>
      <c r="AH874" t="n" s="2909">
        <v>11</v>
      </c>
      <c r="AJ874" t="n" s="2909">
        <v>41</v>
      </c>
      <c r="AP874" t="n" s="2909">
        <v>220000</v>
      </c>
      <c r="DB874" s="2909" t="str">
        <f>IF($A874="","",IF($AH874=20,IF(AND(OR($A874=21,$A874=215),$AJ874=10),"①病院一般",IF(AND($A874=31,$AJ874=41),"②病院短期","対象外")),IF($AJ874=30,"③特定消防",IF(AND(OR($A874=21,$A874=215),$AJ874=10),"④一般",IF(AND($A874=31,$AJ874=41),"⑤短期","対象外")))))</f>
        <v>⑤短期</v>
      </c>
      <c r="DC874" s="2909">
        <f>IF($A874="","",IF($AB874&amp;""='DB_設定'!$C$4,1,0))</f>
        <v>1</v>
      </c>
    </row>
    <row r="875">
      <c r="A875" t="n" s="2909">
        <v>31</v>
      </c>
      <c r="AA875" t="n" s="2909">
        <v>21</v>
      </c>
      <c r="AB875" t="inlineStr" s="2909">
        <is>
          <t>20250401</t>
        </is>
      </c>
      <c r="AD875" t="n" s="2909">
        <v>0</v>
      </c>
      <c r="AE875" t="inlineStr" s="2909">
        <is>
          <t>00000000</t>
        </is>
      </c>
      <c r="AH875" t="n" s="2909">
        <v>1</v>
      </c>
      <c r="AJ875" t="n" s="2909">
        <v>41</v>
      </c>
      <c r="AP875" t="n" s="2909">
        <v>134000</v>
      </c>
      <c r="DB875" s="2909" t="str">
        <f>IF($A875="","",IF($AH875=20,IF(AND(OR($A875=21,$A875=215),$AJ875=10),"①病院一般",IF(AND($A875=31,$AJ875=41),"②病院短期","対象外")),IF($AJ875=30,"③特定消防",IF(AND(OR($A875=21,$A875=215),$AJ875=10),"④一般",IF(AND($A875=31,$AJ875=41),"⑤短期","対象外")))))</f>
        <v>⑤短期</v>
      </c>
      <c r="DC875" s="2909">
        <f>IF($A875="","",IF($AB875&amp;""='DB_設定'!$C$4,1,0))</f>
        <v>1</v>
      </c>
    </row>
    <row r="876">
      <c r="A876" t="n" s="2909">
        <v>31</v>
      </c>
      <c r="AA876" t="n" s="2909">
        <v>21</v>
      </c>
      <c r="AB876" t="inlineStr" s="2909">
        <is>
          <t>20250901</t>
        </is>
      </c>
      <c r="AD876" t="n" s="2909">
        <v>0</v>
      </c>
      <c r="AE876" t="inlineStr" s="2909">
        <is>
          <t>00000000</t>
        </is>
      </c>
      <c r="AH876" t="n" s="2909">
        <v>1</v>
      </c>
      <c r="AJ876" t="n" s="2909">
        <v>41</v>
      </c>
      <c r="AP876" t="n" s="2909">
        <v>134000</v>
      </c>
      <c r="DB876" s="2909" t="str">
        <f>IF($A876="","",IF($AH876=20,IF(AND(OR($A876=21,$A876=215),$AJ876=10),"①病院一般",IF(AND($A876=31,$AJ876=41),"②病院短期","対象外")),IF($AJ876=30,"③特定消防",IF(AND(OR($A876=21,$A876=215),$AJ876=10),"④一般",IF(AND($A876=31,$AJ876=41),"⑤短期","対象外")))))</f>
        <v>⑤短期</v>
      </c>
      <c r="DC876" s="2909">
        <f>IF($A876="","",IF($AB876&amp;""='DB_設定'!$C$4,1,0))</f>
        <v>0</v>
      </c>
    </row>
    <row r="877">
      <c r="A877" t="n" s="2909">
        <v>31</v>
      </c>
      <c r="AA877" t="n" s="2909">
        <v>24</v>
      </c>
      <c r="AB877" t="inlineStr" s="2909">
        <is>
          <t>20250401</t>
        </is>
      </c>
      <c r="AD877" t="n" s="2909">
        <v>0</v>
      </c>
      <c r="AE877" t="inlineStr" s="2909">
        <is>
          <t>00000000</t>
        </is>
      </c>
      <c r="AH877" t="n" s="2909">
        <v>1</v>
      </c>
      <c r="AJ877" t="n" s="2909">
        <v>41</v>
      </c>
      <c r="AP877" t="n" s="2909">
        <v>150000</v>
      </c>
      <c r="DB877" s="2909" t="str">
        <f>IF($A877="","",IF($AH877=20,IF(AND(OR($A877=21,$A877=215),$AJ877=10),"①病院一般",IF(AND($A877=31,$AJ877=41),"②病院短期","対象外")),IF($AJ877=30,"③特定消防",IF(AND(OR($A877=21,$A877=215),$AJ877=10),"④一般",IF(AND($A877=31,$AJ877=41),"⑤短期","対象外")))))</f>
        <v>⑤短期</v>
      </c>
      <c r="DC877" s="2909">
        <f>IF($A877="","",IF($AB877&amp;""='DB_設定'!$C$4,1,0))</f>
        <v>1</v>
      </c>
    </row>
    <row r="878">
      <c r="A878" t="n" s="2909">
        <v>31</v>
      </c>
      <c r="AA878" t="n" s="2909">
        <v>21</v>
      </c>
      <c r="AB878" t="inlineStr" s="2909">
        <is>
          <t>20250401</t>
        </is>
      </c>
      <c r="AD878" t="n" s="2909">
        <v>0</v>
      </c>
      <c r="AE878" t="inlineStr" s="2909">
        <is>
          <t>00000000</t>
        </is>
      </c>
      <c r="AH878" t="n" s="2909">
        <v>1</v>
      </c>
      <c r="AJ878" t="n" s="2909">
        <v>41</v>
      </c>
      <c r="AP878" t="n" s="2909">
        <v>134000</v>
      </c>
      <c r="DB878" s="2909" t="str">
        <f>IF($A878="","",IF($AH878=20,IF(AND(OR($A878=21,$A878=215),$AJ878=10),"①病院一般",IF(AND($A878=31,$AJ878=41),"②病院短期","対象外")),IF($AJ878=30,"③特定消防",IF(AND(OR($A878=21,$A878=215),$AJ878=10),"④一般",IF(AND($A878=31,$AJ878=41),"⑤短期","対象外")))))</f>
        <v>⑤短期</v>
      </c>
      <c r="DC878" s="2909">
        <f>IF($A878="","",IF($AB878&amp;""='DB_設定'!$C$4,1,0))</f>
        <v>1</v>
      </c>
    </row>
    <row r="879">
      <c r="A879" t="n" s="2909">
        <v>31</v>
      </c>
      <c r="AA879" t="n" s="2909">
        <v>21</v>
      </c>
      <c r="AB879" t="inlineStr" s="2909">
        <is>
          <t>20250401</t>
        </is>
      </c>
      <c r="AD879" t="n" s="2909">
        <v>0</v>
      </c>
      <c r="AE879" t="inlineStr" s="2909">
        <is>
          <t>00000000</t>
        </is>
      </c>
      <c r="AH879" t="n" s="2909">
        <v>1</v>
      </c>
      <c r="AJ879" t="n" s="2909">
        <v>41</v>
      </c>
      <c r="AP879" t="n" s="2909">
        <v>134000</v>
      </c>
      <c r="DB879" s="2909" t="str">
        <f>IF($A879="","",IF($AH879=20,IF(AND(OR($A879=21,$A879=215),$AJ879=10),"①病院一般",IF(AND($A879=31,$AJ879=41),"②病院短期","対象外")),IF($AJ879=30,"③特定消防",IF(AND(OR($A879=21,$A879=215),$AJ879=10),"④一般",IF(AND($A879=31,$AJ879=41),"⑤短期","対象外")))))</f>
        <v>⑤短期</v>
      </c>
      <c r="DC879" s="2909">
        <f>IF($A879="","",IF($AB879&amp;""='DB_設定'!$C$4,1,0))</f>
        <v>1</v>
      </c>
    </row>
    <row r="880">
      <c r="A880" t="n" s="2909">
        <v>31</v>
      </c>
      <c r="AA880" t="n" s="2909">
        <v>24</v>
      </c>
      <c r="AB880" t="inlineStr" s="2909">
        <is>
          <t>20250701</t>
        </is>
      </c>
      <c r="AD880" t="n" s="2909">
        <v>12</v>
      </c>
      <c r="AE880" t="inlineStr" s="2909">
        <is>
          <t>20251001</t>
        </is>
      </c>
      <c r="AH880" t="n" s="2909">
        <v>1</v>
      </c>
      <c r="AJ880" t="n" s="2909">
        <v>41</v>
      </c>
      <c r="AP880" t="n" s="2909">
        <v>142000</v>
      </c>
      <c r="DB880" s="2909" t="str">
        <f>IF($A880="","",IF($AH880=20,IF(AND(OR($A880=21,$A880=215),$AJ880=10),"①病院一般",IF(AND($A880=31,$AJ880=41),"②病院短期","対象外")),IF($AJ880=30,"③特定消防",IF(AND(OR($A880=21,$A880=215),$AJ880=10),"④一般",IF(AND($A880=31,$AJ880=41),"⑤短期","対象外")))))</f>
        <v>⑤短期</v>
      </c>
      <c r="DC880" s="2909">
        <f>IF($A880="","",IF($AB880&amp;""='DB_設定'!$C$4,1,0))</f>
        <v>0</v>
      </c>
    </row>
    <row r="881">
      <c r="A881" t="n" s="2909">
        <v>31</v>
      </c>
      <c r="AA881" t="n" s="2909">
        <v>21</v>
      </c>
      <c r="AB881" t="inlineStr" s="2909">
        <is>
          <t>20250601</t>
        </is>
      </c>
      <c r="AD881" t="n" s="2909">
        <v>0</v>
      </c>
      <c r="AE881" t="inlineStr" s="2909">
        <is>
          <t>00000000</t>
        </is>
      </c>
      <c r="AH881" t="n" s="2909">
        <v>11</v>
      </c>
      <c r="AJ881" t="n" s="2909">
        <v>41</v>
      </c>
      <c r="AP881" t="n" s="2909">
        <v>134000</v>
      </c>
      <c r="DB881" s="2909" t="str">
        <f>IF($A881="","",IF($AH881=20,IF(AND(OR($A881=21,$A881=215),$AJ881=10),"①病院一般",IF(AND($A881=31,$AJ881=41),"②病院短期","対象外")),IF($AJ881=30,"③特定消防",IF(AND(OR($A881=21,$A881=215),$AJ881=10),"④一般",IF(AND($A881=31,$AJ881=41),"⑤短期","対象外")))))</f>
        <v>⑤短期</v>
      </c>
      <c r="DC881" s="2909">
        <f>IF($A881="","",IF($AB881&amp;""='DB_設定'!$C$4,1,0))</f>
        <v>0</v>
      </c>
    </row>
    <row r="882">
      <c r="A882" t="n" s="2909">
        <v>31</v>
      </c>
      <c r="AA882" t="n" s="2909">
        <v>24</v>
      </c>
      <c r="AB882" t="inlineStr" s="2909">
        <is>
          <t>20250401</t>
        </is>
      </c>
      <c r="AD882" t="n" s="2909">
        <v>0</v>
      </c>
      <c r="AE882" t="inlineStr" s="2909">
        <is>
          <t>00000000</t>
        </is>
      </c>
      <c r="AH882" t="n" s="2909">
        <v>1</v>
      </c>
      <c r="AJ882" t="n" s="2909">
        <v>41</v>
      </c>
      <c r="AP882" t="n" s="2909">
        <v>142000</v>
      </c>
      <c r="DB882" s="2909" t="str">
        <f>IF($A882="","",IF($AH882=20,IF(AND(OR($A882=21,$A882=215),$AJ882=10),"①病院一般",IF(AND($A882=31,$AJ882=41),"②病院短期","対象外")),IF($AJ882=30,"③特定消防",IF(AND(OR($A882=21,$A882=215),$AJ882=10),"④一般",IF(AND($A882=31,$AJ882=41),"⑤短期","対象外")))))</f>
        <v>⑤短期</v>
      </c>
      <c r="DC882" s="2909">
        <f>IF($A882="","",IF($AB882&amp;""='DB_設定'!$C$4,1,0))</f>
        <v>1</v>
      </c>
    </row>
    <row r="883">
      <c r="A883" t="n" s="2909">
        <v>31</v>
      </c>
      <c r="AA883" t="n" s="2909">
        <v>24</v>
      </c>
      <c r="AB883" t="inlineStr" s="2909">
        <is>
          <t>20251001</t>
        </is>
      </c>
      <c r="AD883" t="n" s="2909">
        <v>0</v>
      </c>
      <c r="AE883" t="inlineStr" s="2909">
        <is>
          <t>00000000</t>
        </is>
      </c>
      <c r="AH883" t="n" s="2909">
        <v>1</v>
      </c>
      <c r="AJ883" t="n" s="2909">
        <v>41</v>
      </c>
      <c r="AP883" t="n" s="2909">
        <v>134000</v>
      </c>
      <c r="DB883" s="2909" t="str">
        <f>IF($A883="","",IF($AH883=20,IF(AND(OR($A883=21,$A883=215),$AJ883=10),"①病院一般",IF(AND($A883=31,$AJ883=41),"②病院短期","対象外")),IF($AJ883=30,"③特定消防",IF(AND(OR($A883=21,$A883=215),$AJ883=10),"④一般",IF(AND($A883=31,$AJ883=41),"⑤短期","対象外")))))</f>
        <v>⑤短期</v>
      </c>
      <c r="DC883" s="2909">
        <f>IF($A883="","",IF($AB883&amp;""='DB_設定'!$C$4,1,0))</f>
        <v>0</v>
      </c>
    </row>
    <row r="884">
      <c r="A884" t="n" s="2909">
        <v>31</v>
      </c>
      <c r="AA884" t="n" s="2909">
        <v>21</v>
      </c>
      <c r="AB884" t="inlineStr" s="2909">
        <is>
          <t>20250701</t>
        </is>
      </c>
      <c r="AD884" t="n" s="2909">
        <v>0</v>
      </c>
      <c r="AE884" t="inlineStr" s="2909">
        <is>
          <t>00000000</t>
        </is>
      </c>
      <c r="AH884" t="n" s="2909">
        <v>1</v>
      </c>
      <c r="AJ884" t="n" s="2909">
        <v>41</v>
      </c>
      <c r="AP884" t="n" s="2909">
        <v>134000</v>
      </c>
      <c r="DB884" s="2909" t="str">
        <f>IF($A884="","",IF($AH884=20,IF(AND(OR($A884=21,$A884=215),$AJ884=10),"①病院一般",IF(AND($A884=31,$AJ884=41),"②病院短期","対象外")),IF($AJ884=30,"③特定消防",IF(AND(OR($A884=21,$A884=215),$AJ884=10),"④一般",IF(AND($A884=31,$AJ884=41),"⑤短期","対象外")))))</f>
        <v>⑤短期</v>
      </c>
      <c r="DC884" s="2909">
        <f>IF($A884="","",IF($AB884&amp;""='DB_設定'!$C$4,1,0))</f>
        <v>0</v>
      </c>
    </row>
    <row r="885">
      <c r="A885" t="n" s="2909">
        <v>31</v>
      </c>
      <c r="AA885" t="n" s="2909">
        <v>21</v>
      </c>
      <c r="AB885" t="inlineStr" s="2909">
        <is>
          <t>20250916</t>
        </is>
      </c>
      <c r="AD885" t="n" s="2909">
        <v>0</v>
      </c>
      <c r="AE885" t="inlineStr" s="2909">
        <is>
          <t>00000000</t>
        </is>
      </c>
      <c r="AH885" t="n" s="2909">
        <v>11</v>
      </c>
      <c r="AJ885" t="n" s="2909">
        <v>41</v>
      </c>
      <c r="AP885" t="n" s="2909">
        <v>260000</v>
      </c>
      <c r="DB885" s="2909" t="str">
        <f>IF($A885="","",IF($AH885=20,IF(AND(OR($A885=21,$A885=215),$AJ885=10),"①病院一般",IF(AND($A885=31,$AJ885=41),"②病院短期","対象外")),IF($AJ885=30,"③特定消防",IF(AND(OR($A885=21,$A885=215),$AJ885=10),"④一般",IF(AND($A885=31,$AJ885=41),"⑤短期","対象外")))))</f>
        <v>⑤短期</v>
      </c>
      <c r="DC885" s="2909">
        <f>IF($A885="","",IF($AB885&amp;""='DB_設定'!$C$4,1,0))</f>
        <v>0</v>
      </c>
    </row>
    <row r="886">
      <c r="A886" t="n" s="2909">
        <v>31</v>
      </c>
      <c r="AA886" t="n" s="2909">
        <v>24</v>
      </c>
      <c r="AB886" t="inlineStr" s="2909">
        <is>
          <t>20250401</t>
        </is>
      </c>
      <c r="AD886" t="n" s="2909">
        <v>0</v>
      </c>
      <c r="AE886" t="inlineStr" s="2909">
        <is>
          <t>00000000</t>
        </is>
      </c>
      <c r="AH886" t="n" s="2909">
        <v>11</v>
      </c>
      <c r="AJ886" t="n" s="2909">
        <v>41</v>
      </c>
      <c r="AP886" t="n" s="2909">
        <v>200000</v>
      </c>
      <c r="DB886" s="2909" t="str">
        <f>IF($A886="","",IF($AH886=20,IF(AND(OR($A886=21,$A886=215),$AJ886=10),"①病院一般",IF(AND($A886=31,$AJ886=41),"②病院短期","対象外")),IF($AJ886=30,"③特定消防",IF(AND(OR($A886=21,$A886=215),$AJ886=10),"④一般",IF(AND($A886=31,$AJ886=41),"⑤短期","対象外")))))</f>
        <v>⑤短期</v>
      </c>
      <c r="DC886" s="2909">
        <f>IF($A886="","",IF($AB886&amp;""='DB_設定'!$C$4,1,0))</f>
        <v>1</v>
      </c>
    </row>
    <row r="887">
      <c r="A887" t="n" s="2909">
        <v>31</v>
      </c>
      <c r="AA887" t="n" s="2909">
        <v>24</v>
      </c>
      <c r="AB887" t="inlineStr" s="2909">
        <is>
          <t>20251001</t>
        </is>
      </c>
      <c r="AD887" t="n" s="2909">
        <v>0</v>
      </c>
      <c r="AE887" t="inlineStr" s="2909">
        <is>
          <t>00000000</t>
        </is>
      </c>
      <c r="AH887" t="n" s="2909">
        <v>1</v>
      </c>
      <c r="AJ887" t="n" s="2909">
        <v>41</v>
      </c>
      <c r="AP887" t="n" s="2909">
        <v>126000</v>
      </c>
      <c r="DB887" s="2909" t="str">
        <f>IF($A887="","",IF($AH887=20,IF(AND(OR($A887=21,$A887=215),$AJ887=10),"①病院一般",IF(AND($A887=31,$AJ887=41),"②病院短期","対象外")),IF($AJ887=30,"③特定消防",IF(AND(OR($A887=21,$A887=215),$AJ887=10),"④一般",IF(AND($A887=31,$AJ887=41),"⑤短期","対象外")))))</f>
        <v>⑤短期</v>
      </c>
      <c r="DC887" s="2909">
        <f>IF($A887="","",IF($AB887&amp;""='DB_設定'!$C$4,1,0))</f>
        <v>0</v>
      </c>
    </row>
    <row r="888">
      <c r="A888" t="n" s="2909">
        <v>31</v>
      </c>
      <c r="AA888" t="n" s="2909">
        <v>21</v>
      </c>
      <c r="AB888" t="inlineStr" s="2909">
        <is>
          <t>20250411</t>
        </is>
      </c>
      <c r="AD888" t="n" s="2909">
        <v>0</v>
      </c>
      <c r="AE888" t="inlineStr" s="2909">
        <is>
          <t>00000000</t>
        </is>
      </c>
      <c r="AH888" t="n" s="2909">
        <v>11</v>
      </c>
      <c r="AJ888" t="n" s="2909">
        <v>41</v>
      </c>
      <c r="AP888" t="n" s="2909">
        <v>78000</v>
      </c>
      <c r="DB888" s="2909" t="str">
        <f>IF($A888="","",IF($AH888=20,IF(AND(OR($A888=21,$A888=215),$AJ888=10),"①病院一般",IF(AND($A888=31,$AJ888=41),"②病院短期","対象外")),IF($AJ888=30,"③特定消防",IF(AND(OR($A888=21,$A888=215),$AJ888=10),"④一般",IF(AND($A888=31,$AJ888=41),"⑤短期","対象外")))))</f>
        <v>⑤短期</v>
      </c>
      <c r="DC888" s="2909">
        <f>IF($A888="","",IF($AB888&amp;""='DB_設定'!$C$4,1,0))</f>
        <v>0</v>
      </c>
    </row>
    <row r="889">
      <c r="A889" t="n" s="2909">
        <v>31</v>
      </c>
      <c r="AA889" t="n" s="2909">
        <v>21</v>
      </c>
      <c r="AB889" t="inlineStr" s="2909">
        <is>
          <t>20250411</t>
        </is>
      </c>
      <c r="AD889" t="n" s="2909">
        <v>0</v>
      </c>
      <c r="AE889" t="inlineStr" s="2909">
        <is>
          <t>00000000</t>
        </is>
      </c>
      <c r="AH889" t="n" s="2909">
        <v>11</v>
      </c>
      <c r="AJ889" t="n" s="2909">
        <v>41</v>
      </c>
      <c r="AP889" t="n" s="2909">
        <v>78000</v>
      </c>
      <c r="DB889" s="2909" t="str">
        <f>IF($A889="","",IF($AH889=20,IF(AND(OR($A889=21,$A889=215),$AJ889=10),"①病院一般",IF(AND($A889=31,$AJ889=41),"②病院短期","対象外")),IF($AJ889=30,"③特定消防",IF(AND(OR($A889=21,$A889=215),$AJ889=10),"④一般",IF(AND($A889=31,$AJ889=41),"⑤短期","対象外")))))</f>
        <v>⑤短期</v>
      </c>
      <c r="DC889" s="2909">
        <f>IF($A889="","",IF($AB889&amp;""='DB_設定'!$C$4,1,0))</f>
        <v>0</v>
      </c>
    </row>
    <row r="890">
      <c r="A890" t="n" s="2909">
        <v>31</v>
      </c>
      <c r="AA890" t="n" s="2909">
        <v>21</v>
      </c>
      <c r="AB890" t="inlineStr" s="2909">
        <is>
          <t>20250411</t>
        </is>
      </c>
      <c r="AD890" t="n" s="2909">
        <v>0</v>
      </c>
      <c r="AE890" t="inlineStr" s="2909">
        <is>
          <t>00000000</t>
        </is>
      </c>
      <c r="AH890" t="n" s="2909">
        <v>11</v>
      </c>
      <c r="AJ890" t="n" s="2909">
        <v>41</v>
      </c>
      <c r="AP890" t="n" s="2909">
        <v>68000</v>
      </c>
      <c r="DB890" s="2909" t="str">
        <f>IF($A890="","",IF($AH890=20,IF(AND(OR($A890=21,$A890=215),$AJ890=10),"①病院一般",IF(AND($A890=31,$AJ890=41),"②病院短期","対象外")),IF($AJ890=30,"③特定消防",IF(AND(OR($A890=21,$A890=215),$AJ890=10),"④一般",IF(AND($A890=31,$AJ890=41),"⑤短期","対象外")))))</f>
        <v>⑤短期</v>
      </c>
      <c r="DC890" s="2909">
        <f>IF($A890="","",IF($AB890&amp;""='DB_設定'!$C$4,1,0))</f>
        <v>0</v>
      </c>
    </row>
    <row r="891">
      <c r="A891" t="n" s="2909">
        <v>31</v>
      </c>
      <c r="AA891" t="n" s="2909">
        <v>21</v>
      </c>
      <c r="AB891" t="inlineStr" s="2909">
        <is>
          <t>20250411</t>
        </is>
      </c>
      <c r="AD891" t="n" s="2909">
        <v>0</v>
      </c>
      <c r="AE891" t="inlineStr" s="2909">
        <is>
          <t>00000000</t>
        </is>
      </c>
      <c r="AH891" t="n" s="2909">
        <v>11</v>
      </c>
      <c r="AJ891" t="n" s="2909">
        <v>41</v>
      </c>
      <c r="AP891" t="n" s="2909">
        <v>68000</v>
      </c>
      <c r="DB891" s="2909" t="str">
        <f>IF($A891="","",IF($AH891=20,IF(AND(OR($A891=21,$A891=215),$AJ891=10),"①病院一般",IF(AND($A891=31,$AJ891=41),"②病院短期","対象外")),IF($AJ891=30,"③特定消防",IF(AND(OR($A891=21,$A891=215),$AJ891=10),"④一般",IF(AND($A891=31,$AJ891=41),"⑤短期","対象外")))))</f>
        <v>⑤短期</v>
      </c>
      <c r="DC891" s="2909">
        <f>IF($A891="","",IF($AB891&amp;""='DB_設定'!$C$4,1,0))</f>
        <v>0</v>
      </c>
    </row>
    <row r="892">
      <c r="A892" t="n" s="2909">
        <v>31</v>
      </c>
      <c r="AA892" t="n" s="2909">
        <v>21</v>
      </c>
      <c r="AB892" t="inlineStr" s="2909">
        <is>
          <t>20250411</t>
        </is>
      </c>
      <c r="AD892" t="n" s="2909">
        <v>0</v>
      </c>
      <c r="AE892" t="inlineStr" s="2909">
        <is>
          <t>00000000</t>
        </is>
      </c>
      <c r="AH892" t="n" s="2909">
        <v>11</v>
      </c>
      <c r="AJ892" t="n" s="2909">
        <v>41</v>
      </c>
      <c r="AP892" t="n" s="2909">
        <v>68000</v>
      </c>
      <c r="DB892" s="2909" t="str">
        <f>IF($A892="","",IF($AH892=20,IF(AND(OR($A892=21,$A892=215),$AJ892=10),"①病院一般",IF(AND($A892=31,$AJ892=41),"②病院短期","対象外")),IF($AJ892=30,"③特定消防",IF(AND(OR($A892=21,$A892=215),$AJ892=10),"④一般",IF(AND($A892=31,$AJ892=41),"⑤短期","対象外")))))</f>
        <v>⑤短期</v>
      </c>
      <c r="DC892" s="2909">
        <f>IF($A892="","",IF($AB892&amp;""='DB_設定'!$C$4,1,0))</f>
        <v>0</v>
      </c>
    </row>
    <row r="893">
      <c r="A893" t="n" s="2909">
        <v>31</v>
      </c>
      <c r="AA893" t="n" s="2909">
        <v>21</v>
      </c>
      <c r="AB893" t="inlineStr" s="2909">
        <is>
          <t>20250411</t>
        </is>
      </c>
      <c r="AD893" t="n" s="2909">
        <v>0</v>
      </c>
      <c r="AE893" t="inlineStr" s="2909">
        <is>
          <t>00000000</t>
        </is>
      </c>
      <c r="AH893" t="n" s="2909">
        <v>11</v>
      </c>
      <c r="AJ893" t="n" s="2909">
        <v>41</v>
      </c>
      <c r="AP893" t="n" s="2909">
        <v>88000</v>
      </c>
      <c r="DB893" s="2909" t="str">
        <f>IF($A893="","",IF($AH893=20,IF(AND(OR($A893=21,$A893=215),$AJ893=10),"①病院一般",IF(AND($A893=31,$AJ893=41),"②病院短期","対象外")),IF($AJ893=30,"③特定消防",IF(AND(OR($A893=21,$A893=215),$AJ893=10),"④一般",IF(AND($A893=31,$AJ893=41),"⑤短期","対象外")))))</f>
        <v>⑤短期</v>
      </c>
      <c r="DC893" s="2909">
        <f>IF($A893="","",IF($AB893&amp;""='DB_設定'!$C$4,1,0))</f>
        <v>0</v>
      </c>
    </row>
    <row r="894">
      <c r="A894" t="n" s="2909">
        <v>31</v>
      </c>
      <c r="AA894" t="n" s="2909">
        <v>21</v>
      </c>
      <c r="AB894" t="inlineStr" s="2909">
        <is>
          <t>20250411</t>
        </is>
      </c>
      <c r="AD894" t="n" s="2909">
        <v>0</v>
      </c>
      <c r="AE894" t="inlineStr" s="2909">
        <is>
          <t>00000000</t>
        </is>
      </c>
      <c r="AH894" t="n" s="2909">
        <v>11</v>
      </c>
      <c r="AJ894" t="n" s="2909">
        <v>41</v>
      </c>
      <c r="AP894" t="n" s="2909">
        <v>78000</v>
      </c>
      <c r="DB894" s="2909" t="str">
        <f>IF($A894="","",IF($AH894=20,IF(AND(OR($A894=21,$A894=215),$AJ894=10),"①病院一般",IF(AND($A894=31,$AJ894=41),"②病院短期","対象外")),IF($AJ894=30,"③特定消防",IF(AND(OR($A894=21,$A894=215),$AJ894=10),"④一般",IF(AND($A894=31,$AJ894=41),"⑤短期","対象外")))))</f>
        <v>⑤短期</v>
      </c>
      <c r="DC894" s="2909">
        <f>IF($A894="","",IF($AB894&amp;""='DB_設定'!$C$4,1,0))</f>
        <v>0</v>
      </c>
    </row>
    <row r="895">
      <c r="A895" t="n" s="2909">
        <v>31</v>
      </c>
      <c r="AA895" t="n" s="2909">
        <v>24</v>
      </c>
      <c r="AB895" t="inlineStr" s="2909">
        <is>
          <t>20250501</t>
        </is>
      </c>
      <c r="AD895" t="n" s="2909">
        <v>0</v>
      </c>
      <c r="AE895" t="inlineStr" s="2909">
        <is>
          <t>00000000</t>
        </is>
      </c>
      <c r="AH895" t="n" s="2909">
        <v>11</v>
      </c>
      <c r="AJ895" t="n" s="2909">
        <v>41</v>
      </c>
      <c r="AP895" t="n" s="2909">
        <v>104000</v>
      </c>
      <c r="DB895" s="2909" t="str">
        <f>IF($A895="","",IF($AH895=20,IF(AND(OR($A895=21,$A895=215),$AJ895=10),"①病院一般",IF(AND($A895=31,$AJ895=41),"②病院短期","対象外")),IF($AJ895=30,"③特定消防",IF(AND(OR($A895=21,$A895=215),$AJ895=10),"④一般",IF(AND($A895=31,$AJ895=41),"⑤短期","対象外")))))</f>
        <v>⑤短期</v>
      </c>
      <c r="DC895" s="2909">
        <f>IF($A895="","",IF($AB895&amp;""='DB_設定'!$C$4,1,0))</f>
        <v>0</v>
      </c>
    </row>
    <row r="896">
      <c r="A896" t="n" s="2909">
        <v>31</v>
      </c>
      <c r="AA896" t="n" s="2909">
        <v>24</v>
      </c>
      <c r="AB896" t="inlineStr" s="2909">
        <is>
          <t>20250501</t>
        </is>
      </c>
      <c r="AD896" t="n" s="2909">
        <v>0</v>
      </c>
      <c r="AE896" t="inlineStr" s="2909">
        <is>
          <t>00000000</t>
        </is>
      </c>
      <c r="AH896" t="n" s="2909">
        <v>11</v>
      </c>
      <c r="AJ896" t="n" s="2909">
        <v>41</v>
      </c>
      <c r="AP896" t="n" s="2909">
        <v>110000</v>
      </c>
      <c r="DB896" s="2909" t="str">
        <f>IF($A896="","",IF($AH896=20,IF(AND(OR($A896=21,$A896=215),$AJ896=10),"①病院一般",IF(AND($A896=31,$AJ896=41),"②病院短期","対象外")),IF($AJ896=30,"③特定消防",IF(AND(OR($A896=21,$A896=215),$AJ896=10),"④一般",IF(AND($A896=31,$AJ896=41),"⑤短期","対象外")))))</f>
        <v>⑤短期</v>
      </c>
      <c r="DC896" s="2909">
        <f>IF($A896="","",IF($AB896&amp;""='DB_設定'!$C$4,1,0))</f>
        <v>0</v>
      </c>
    </row>
    <row r="897">
      <c r="A897" t="n" s="2909">
        <v>31</v>
      </c>
      <c r="AA897" t="n" s="2909">
        <v>21</v>
      </c>
      <c r="AB897" t="inlineStr" s="2909">
        <is>
          <t>20250401</t>
        </is>
      </c>
      <c r="AD897" t="n" s="2909">
        <v>0</v>
      </c>
      <c r="AE897" t="inlineStr" s="2909">
        <is>
          <t>00000000</t>
        </is>
      </c>
      <c r="AH897" t="n" s="2909">
        <v>1</v>
      </c>
      <c r="AJ897" t="n" s="2909">
        <v>41</v>
      </c>
      <c r="AP897" t="n" s="2909">
        <v>134000</v>
      </c>
      <c r="DB897" s="2909" t="str">
        <f>IF($A897="","",IF($AH897=20,IF(AND(OR($A897=21,$A897=215),$AJ897=10),"①病院一般",IF(AND($A897=31,$AJ897=41),"②病院短期","対象外")),IF($AJ897=30,"③特定消防",IF(AND(OR($A897=21,$A897=215),$AJ897=10),"④一般",IF(AND($A897=31,$AJ897=41),"⑤短期","対象外")))))</f>
        <v>⑤短期</v>
      </c>
      <c r="DC897" s="2909">
        <f>IF($A897="","",IF($AB897&amp;""='DB_設定'!$C$4,1,0))</f>
        <v>1</v>
      </c>
    </row>
    <row r="898">
      <c r="A898" t="n" s="2909">
        <v>31</v>
      </c>
      <c r="AA898" t="n" s="2909">
        <v>24</v>
      </c>
      <c r="AB898" t="inlineStr" s="2909">
        <is>
          <t>20250801</t>
        </is>
      </c>
      <c r="AD898" t="n" s="2909">
        <v>0</v>
      </c>
      <c r="AE898" t="inlineStr" s="2909">
        <is>
          <t>00000000</t>
        </is>
      </c>
      <c r="AH898" t="n" s="2909">
        <v>1</v>
      </c>
      <c r="AJ898" t="n" s="2909">
        <v>41</v>
      </c>
      <c r="AP898" t="n" s="2909">
        <v>150000</v>
      </c>
      <c r="DB898" s="2909" t="str">
        <f>IF($A898="","",IF($AH898=20,IF(AND(OR($A898=21,$A898=215),$AJ898=10),"①病院一般",IF(AND($A898=31,$AJ898=41),"②病院短期","対象外")),IF($AJ898=30,"③特定消防",IF(AND(OR($A898=21,$A898=215),$AJ898=10),"④一般",IF(AND($A898=31,$AJ898=41),"⑤短期","対象外")))))</f>
        <v>⑤短期</v>
      </c>
      <c r="DC898" s="2909">
        <f>IF($A898="","",IF($AB898&amp;""='DB_設定'!$C$4,1,0))</f>
        <v>0</v>
      </c>
    </row>
    <row r="899">
      <c r="A899" t="n" s="2909">
        <v>31</v>
      </c>
      <c r="AA899" t="n" s="2909">
        <v>24</v>
      </c>
      <c r="AB899" t="inlineStr" s="2909">
        <is>
          <t>20250714</t>
        </is>
      </c>
      <c r="AD899" t="n" s="2909">
        <v>0</v>
      </c>
      <c r="AE899" t="inlineStr" s="2909">
        <is>
          <t>00000000</t>
        </is>
      </c>
      <c r="AH899" t="n" s="2909">
        <v>1</v>
      </c>
      <c r="AJ899" t="n" s="2909">
        <v>41</v>
      </c>
      <c r="AP899" t="n" s="2909">
        <v>180000</v>
      </c>
      <c r="DB899" s="2909" t="str">
        <f>IF($A899="","",IF($AH899=20,IF(AND(OR($A899=21,$A899=215),$AJ899=10),"①病院一般",IF(AND($A899=31,$AJ899=41),"②病院短期","対象外")),IF($AJ899=30,"③特定消防",IF(AND(OR($A899=21,$A899=215),$AJ899=10),"④一般",IF(AND($A899=31,$AJ899=41),"⑤短期","対象外")))))</f>
        <v>⑤短期</v>
      </c>
      <c r="DC899" s="2909">
        <f>IF($A899="","",IF($AB899&amp;""='DB_設定'!$C$4,1,0))</f>
        <v>0</v>
      </c>
    </row>
    <row r="900">
      <c r="A900" t="n" s="2909">
        <v>31</v>
      </c>
      <c r="AA900" t="n" s="2909">
        <v>21</v>
      </c>
      <c r="AB900" t="inlineStr" s="2909">
        <is>
          <t>20250411</t>
        </is>
      </c>
      <c r="AD900" t="n" s="2909">
        <v>0</v>
      </c>
      <c r="AE900" t="inlineStr" s="2909">
        <is>
          <t>00000000</t>
        </is>
      </c>
      <c r="AH900" t="n" s="2909">
        <v>11</v>
      </c>
      <c r="AJ900" t="n" s="2909">
        <v>41</v>
      </c>
      <c r="AP900" t="n" s="2909">
        <v>68000</v>
      </c>
      <c r="DB900" s="2909" t="str">
        <f>IF($A900="","",IF($AH900=20,IF(AND(OR($A900=21,$A900=215),$AJ900=10),"①病院一般",IF(AND($A900=31,$AJ900=41),"②病院短期","対象外")),IF($AJ900=30,"③特定消防",IF(AND(OR($A900=21,$A900=215),$AJ900=10),"④一般",IF(AND($A900=31,$AJ900=41),"⑤短期","対象外")))))</f>
        <v>⑤短期</v>
      </c>
      <c r="DC900" s="2909">
        <f>IF($A900="","",IF($AB900&amp;""='DB_設定'!$C$4,1,0))</f>
        <v>0</v>
      </c>
    </row>
    <row r="901">
      <c r="A901" t="n" s="2909">
        <v>31</v>
      </c>
      <c r="AA901" t="n" s="2909">
        <v>21</v>
      </c>
      <c r="AB901" t="inlineStr" s="2909">
        <is>
          <t>20250526</t>
        </is>
      </c>
      <c r="AD901" t="n" s="2909">
        <v>0</v>
      </c>
      <c r="AE901" t="inlineStr" s="2909">
        <is>
          <t>00000000</t>
        </is>
      </c>
      <c r="AH901" t="n" s="2909">
        <v>11</v>
      </c>
      <c r="AJ901" t="n" s="2909">
        <v>41</v>
      </c>
      <c r="AP901" t="n" s="2909">
        <v>126000</v>
      </c>
      <c r="DB901" s="2909" t="str">
        <f>IF($A901="","",IF($AH901=20,IF(AND(OR($A901=21,$A901=215),$AJ901=10),"①病院一般",IF(AND($A901=31,$AJ901=41),"②病院短期","対象外")),IF($AJ901=30,"③特定消防",IF(AND(OR($A901=21,$A901=215),$AJ901=10),"④一般",IF(AND($A901=31,$AJ901=41),"⑤短期","対象外")))))</f>
        <v>⑤短期</v>
      </c>
      <c r="DC901" s="2909">
        <f>IF($A901="","",IF($AB901&amp;""='DB_設定'!$C$4,1,0))</f>
        <v>0</v>
      </c>
    </row>
    <row r="902">
      <c r="A902" t="n" s="2909">
        <v>31</v>
      </c>
      <c r="AA902" t="n" s="2909">
        <v>21</v>
      </c>
      <c r="AB902" t="inlineStr" s="2909">
        <is>
          <t>20250408</t>
        </is>
      </c>
      <c r="AD902" t="n" s="2909">
        <v>0</v>
      </c>
      <c r="AE902" t="inlineStr" s="2909">
        <is>
          <t>00000000</t>
        </is>
      </c>
      <c r="AH902" t="n" s="2909">
        <v>11</v>
      </c>
      <c r="AJ902" t="n" s="2909">
        <v>41</v>
      </c>
      <c r="AP902" t="n" s="2909">
        <v>126000</v>
      </c>
      <c r="DB902" s="2909" t="str">
        <f>IF($A902="","",IF($AH902=20,IF(AND(OR($A902=21,$A902=215),$AJ902=10),"①病院一般",IF(AND($A902=31,$AJ902=41),"②病院短期","対象外")),IF($AJ902=30,"③特定消防",IF(AND(OR($A902=21,$A902=215),$AJ902=10),"④一般",IF(AND($A902=31,$AJ902=41),"⑤短期","対象外")))))</f>
        <v>⑤短期</v>
      </c>
      <c r="DC902" s="2909">
        <f>IF($A902="","",IF($AB902&amp;""='DB_設定'!$C$4,1,0))</f>
        <v>0</v>
      </c>
    </row>
    <row r="903">
      <c r="A903" t="n" s="2909">
        <v>31</v>
      </c>
      <c r="AA903" t="n" s="2909">
        <v>21</v>
      </c>
      <c r="AB903" t="inlineStr" s="2909">
        <is>
          <t>20250601</t>
        </is>
      </c>
      <c r="AD903" t="n" s="2909">
        <v>0</v>
      </c>
      <c r="AE903" t="inlineStr" s="2909">
        <is>
          <t>00000000</t>
        </is>
      </c>
      <c r="AH903" t="n" s="2909">
        <v>1</v>
      </c>
      <c r="AJ903" t="n" s="2909">
        <v>41</v>
      </c>
      <c r="AP903" t="n" s="2909">
        <v>190000</v>
      </c>
      <c r="DB903" s="2909" t="str">
        <f>IF($A903="","",IF($AH903=20,IF(AND(OR($A903=21,$A903=215),$AJ903=10),"①病院一般",IF(AND($A903=31,$AJ903=41),"②病院短期","対象外")),IF($AJ903=30,"③特定消防",IF(AND(OR($A903=21,$A903=215),$AJ903=10),"④一般",IF(AND($A903=31,$AJ903=41),"⑤短期","対象外")))))</f>
        <v>⑤短期</v>
      </c>
      <c r="DC903" s="2909">
        <f>IF($A903="","",IF($AB903&amp;""='DB_設定'!$C$4,1,0))</f>
        <v>0</v>
      </c>
    </row>
    <row r="904">
      <c r="A904" t="n" s="2909">
        <v>31</v>
      </c>
      <c r="AA904" t="n" s="2909">
        <v>21</v>
      </c>
      <c r="AB904" t="inlineStr" s="2909">
        <is>
          <t>20250411</t>
        </is>
      </c>
      <c r="AD904" t="n" s="2909">
        <v>0</v>
      </c>
      <c r="AE904" t="inlineStr" s="2909">
        <is>
          <t>00000000</t>
        </is>
      </c>
      <c r="AH904" t="n" s="2909">
        <v>11</v>
      </c>
      <c r="AJ904" t="n" s="2909">
        <v>41</v>
      </c>
      <c r="AP904" t="n" s="2909">
        <v>68000</v>
      </c>
      <c r="DB904" s="2909" t="str">
        <f>IF($A904="","",IF($AH904=20,IF(AND(OR($A904=21,$A904=215),$AJ904=10),"①病院一般",IF(AND($A904=31,$AJ904=41),"②病院短期","対象外")),IF($AJ904=30,"③特定消防",IF(AND(OR($A904=21,$A904=215),$AJ904=10),"④一般",IF(AND($A904=31,$AJ904=41),"⑤短期","対象外")))))</f>
        <v>⑤短期</v>
      </c>
      <c r="DC904" s="2909">
        <f>IF($A904="","",IF($AB904&amp;""='DB_設定'!$C$4,1,0))</f>
        <v>0</v>
      </c>
    </row>
    <row r="905">
      <c r="A905" t="n" s="2909">
        <v>31</v>
      </c>
      <c r="AA905" t="n" s="2909">
        <v>21</v>
      </c>
      <c r="AB905" t="inlineStr" s="2909">
        <is>
          <t>20250401</t>
        </is>
      </c>
      <c r="AD905" t="n" s="2909">
        <v>12</v>
      </c>
      <c r="AE905" t="inlineStr" s="2909">
        <is>
          <t>20250508</t>
        </is>
      </c>
      <c r="AH905" t="n" s="2909">
        <v>1</v>
      </c>
      <c r="AJ905" t="n" s="2909">
        <v>41</v>
      </c>
      <c r="AP905" t="n" s="2909">
        <v>150000</v>
      </c>
      <c r="DB905" s="2909" t="str">
        <f>IF($A905="","",IF($AH905=20,IF(AND(OR($A905=21,$A905=215),$AJ905=10),"①病院一般",IF(AND($A905=31,$AJ905=41),"②病院短期","対象外")),IF($AJ905=30,"③特定消防",IF(AND(OR($A905=21,$A905=215),$AJ905=10),"④一般",IF(AND($A905=31,$AJ905=41),"⑤短期","対象外")))))</f>
        <v>⑤短期</v>
      </c>
      <c r="DC905" s="2909">
        <f>IF($A905="","",IF($AB905&amp;""='DB_設定'!$C$4,1,0))</f>
        <v>1</v>
      </c>
    </row>
    <row r="906">
      <c r="A906" t="n" s="2909">
        <v>31</v>
      </c>
      <c r="AA906" t="n" s="2909">
        <v>21</v>
      </c>
      <c r="AB906" t="inlineStr" s="2909">
        <is>
          <t>20250401</t>
        </is>
      </c>
      <c r="AD906" t="n" s="2909">
        <v>0</v>
      </c>
      <c r="AE906" t="inlineStr" s="2909">
        <is>
          <t>00000000</t>
        </is>
      </c>
      <c r="AH906" t="n" s="2909">
        <v>11</v>
      </c>
      <c r="AJ906" t="n" s="2909">
        <v>41</v>
      </c>
      <c r="AP906" t="n" s="2909">
        <v>104000</v>
      </c>
      <c r="DB906" s="2909" t="str">
        <f>IF($A906="","",IF($AH906=20,IF(AND(OR($A906=21,$A906=215),$AJ906=10),"①病院一般",IF(AND($A906=31,$AJ906=41),"②病院短期","対象外")),IF($AJ906=30,"③特定消防",IF(AND(OR($A906=21,$A906=215),$AJ906=10),"④一般",IF(AND($A906=31,$AJ906=41),"⑤短期","対象外")))))</f>
        <v>⑤短期</v>
      </c>
      <c r="DC906" s="2909">
        <f>IF($A906="","",IF($AB906&amp;""='DB_設定'!$C$4,1,0))</f>
        <v>1</v>
      </c>
    </row>
    <row r="907">
      <c r="A907" t="n" s="2909">
        <v>31</v>
      </c>
      <c r="AA907" t="n" s="2909">
        <v>24</v>
      </c>
      <c r="AB907" t="inlineStr" s="2909">
        <is>
          <t>20250901</t>
        </is>
      </c>
      <c r="AD907" t="n" s="2909">
        <v>0</v>
      </c>
      <c r="AE907" t="inlineStr" s="2909">
        <is>
          <t>00000000</t>
        </is>
      </c>
      <c r="AH907" t="n" s="2909">
        <v>1</v>
      </c>
      <c r="AJ907" t="n" s="2909">
        <v>41</v>
      </c>
      <c r="AP907" t="n" s="2909">
        <v>134000</v>
      </c>
      <c r="DB907" s="2909" t="str">
        <f>IF($A907="","",IF($AH907=20,IF(AND(OR($A907=21,$A907=215),$AJ907=10),"①病院一般",IF(AND($A907=31,$AJ907=41),"②病院短期","対象外")),IF($AJ907=30,"③特定消防",IF(AND(OR($A907=21,$A907=215),$AJ907=10),"④一般",IF(AND($A907=31,$AJ907=41),"⑤短期","対象外")))))</f>
        <v>⑤短期</v>
      </c>
      <c r="DC907" s="2909">
        <f>IF($A907="","",IF($AB907&amp;""='DB_設定'!$C$4,1,0))</f>
        <v>0</v>
      </c>
    </row>
    <row r="908">
      <c r="A908" t="n" s="2909">
        <v>31</v>
      </c>
      <c r="AA908" t="n" s="2909">
        <v>21</v>
      </c>
      <c r="AB908" t="inlineStr" s="2909">
        <is>
          <t>20250613</t>
        </is>
      </c>
      <c r="AD908" t="n" s="2909">
        <v>12</v>
      </c>
      <c r="AE908" t="inlineStr" s="2909">
        <is>
          <t>20251017</t>
        </is>
      </c>
      <c r="AH908" t="n" s="2909">
        <v>1</v>
      </c>
      <c r="AJ908" t="n" s="2909">
        <v>41</v>
      </c>
      <c r="AP908" t="n" s="2909">
        <v>150000</v>
      </c>
      <c r="DB908" s="2909" t="str">
        <f>IF($A908="","",IF($AH908=20,IF(AND(OR($A908=21,$A908=215),$AJ908=10),"①病院一般",IF(AND($A908=31,$AJ908=41),"②病院短期","対象外")),IF($AJ908=30,"③特定消防",IF(AND(OR($A908=21,$A908=215),$AJ908=10),"④一般",IF(AND($A908=31,$AJ908=41),"⑤短期","対象外")))))</f>
        <v>⑤短期</v>
      </c>
      <c r="DC908" s="2909">
        <f>IF($A908="","",IF($AB908&amp;""='DB_設定'!$C$4,1,0))</f>
        <v>0</v>
      </c>
    </row>
    <row r="909">
      <c r="A909" t="n" s="2909">
        <v>31</v>
      </c>
      <c r="AA909" t="n" s="2909">
        <v>21</v>
      </c>
      <c r="AB909" t="inlineStr" s="2909">
        <is>
          <t>20250411</t>
        </is>
      </c>
      <c r="AD909" t="n" s="2909">
        <v>0</v>
      </c>
      <c r="AE909" t="inlineStr" s="2909">
        <is>
          <t>00000000</t>
        </is>
      </c>
      <c r="AH909" t="n" s="2909">
        <v>11</v>
      </c>
      <c r="AJ909" t="n" s="2909">
        <v>41</v>
      </c>
      <c r="AP909" t="n" s="2909">
        <v>68000</v>
      </c>
      <c r="DB909" s="2909" t="str">
        <f>IF($A909="","",IF($AH909=20,IF(AND(OR($A909=21,$A909=215),$AJ909=10),"①病院一般",IF(AND($A909=31,$AJ909=41),"②病院短期","対象外")),IF($AJ909=30,"③特定消防",IF(AND(OR($A909=21,$A909=215),$AJ909=10),"④一般",IF(AND($A909=31,$AJ909=41),"⑤短期","対象外")))))</f>
        <v>⑤短期</v>
      </c>
      <c r="DC909" s="2909">
        <f>IF($A909="","",IF($AB909&amp;""='DB_設定'!$C$4,1,0))</f>
        <v>0</v>
      </c>
    </row>
    <row r="910">
      <c r="A910" t="n" s="2909">
        <v>31</v>
      </c>
      <c r="AA910" t="n" s="2909">
        <v>21</v>
      </c>
      <c r="AB910" t="inlineStr" s="2909">
        <is>
          <t>20250411</t>
        </is>
      </c>
      <c r="AD910" t="n" s="2909">
        <v>0</v>
      </c>
      <c r="AE910" t="inlineStr" s="2909">
        <is>
          <t>00000000</t>
        </is>
      </c>
      <c r="AH910" t="n" s="2909">
        <v>11</v>
      </c>
      <c r="AJ910" t="n" s="2909">
        <v>41</v>
      </c>
      <c r="AP910" t="n" s="2909">
        <v>78000</v>
      </c>
      <c r="DB910" s="2909" t="str">
        <f>IF($A910="","",IF($AH910=20,IF(AND(OR($A910=21,$A910=215),$AJ910=10),"①病院一般",IF(AND($A910=31,$AJ910=41),"②病院短期","対象外")),IF($AJ910=30,"③特定消防",IF(AND(OR($A910=21,$A910=215),$AJ910=10),"④一般",IF(AND($A910=31,$AJ910=41),"⑤短期","対象外")))))</f>
        <v>⑤短期</v>
      </c>
      <c r="DC910" s="2909">
        <f>IF($A910="","",IF($AB910&amp;""='DB_設定'!$C$4,1,0))</f>
        <v>0</v>
      </c>
    </row>
    <row r="911">
      <c r="A911" t="n" s="2909">
        <v>31</v>
      </c>
      <c r="AA911" t="n" s="2909">
        <v>24</v>
      </c>
      <c r="AB911" t="inlineStr" s="2909">
        <is>
          <t>20250408</t>
        </is>
      </c>
      <c r="AD911" t="n" s="2909">
        <v>0</v>
      </c>
      <c r="AE911" t="inlineStr" s="2909">
        <is>
          <t>00000000</t>
        </is>
      </c>
      <c r="AH911" t="n" s="2909">
        <v>11</v>
      </c>
      <c r="AJ911" t="n" s="2909">
        <v>41</v>
      </c>
      <c r="AP911" t="n" s="2909">
        <v>126000</v>
      </c>
      <c r="DB911" s="2909" t="str">
        <f>IF($A911="","",IF($AH911=20,IF(AND(OR($A911=21,$A911=215),$AJ911=10),"①病院一般",IF(AND($A911=31,$AJ911=41),"②病院短期","対象外")),IF($AJ911=30,"③特定消防",IF(AND(OR($A911=21,$A911=215),$AJ911=10),"④一般",IF(AND($A911=31,$AJ911=41),"⑤短期","対象外")))))</f>
        <v>⑤短期</v>
      </c>
      <c r="DC911" s="2909">
        <f>IF($A911="","",IF($AB911&amp;""='DB_設定'!$C$4,1,0))</f>
        <v>0</v>
      </c>
    </row>
    <row r="912">
      <c r="A912" t="n" s="2909">
        <v>31</v>
      </c>
      <c r="AA912" t="n" s="2909">
        <v>24</v>
      </c>
      <c r="AB912" t="inlineStr" s="2909">
        <is>
          <t>20250901</t>
        </is>
      </c>
      <c r="AD912" t="n" s="2909">
        <v>0</v>
      </c>
      <c r="AE912" t="inlineStr" s="2909">
        <is>
          <t>00000000</t>
        </is>
      </c>
      <c r="AH912" t="n" s="2909">
        <v>1</v>
      </c>
      <c r="AJ912" t="n" s="2909">
        <v>41</v>
      </c>
      <c r="AP912" t="n" s="2909">
        <v>126000</v>
      </c>
      <c r="DB912" s="2909" t="str">
        <f>IF($A912="","",IF($AH912=20,IF(AND(OR($A912=21,$A912=215),$AJ912=10),"①病院一般",IF(AND($A912=31,$AJ912=41),"②病院短期","対象外")),IF($AJ912=30,"③特定消防",IF(AND(OR($A912=21,$A912=215),$AJ912=10),"④一般",IF(AND($A912=31,$AJ912=41),"⑤短期","対象外")))))</f>
        <v>⑤短期</v>
      </c>
      <c r="DC912" s="2909">
        <f>IF($A912="","",IF($AB912&amp;""='DB_設定'!$C$4,1,0))</f>
        <v>0</v>
      </c>
    </row>
    <row r="913">
      <c r="A913" t="n" s="2909">
        <v>31</v>
      </c>
      <c r="AA913" t="n" s="2909">
        <v>21</v>
      </c>
      <c r="AB913" t="inlineStr" s="2909">
        <is>
          <t>20250409</t>
        </is>
      </c>
      <c r="AD913" t="n" s="2909">
        <v>0</v>
      </c>
      <c r="AE913" t="inlineStr" s="2909">
        <is>
          <t>00000000</t>
        </is>
      </c>
      <c r="AH913" t="n" s="2909">
        <v>11</v>
      </c>
      <c r="AJ913" t="n" s="2909">
        <v>41</v>
      </c>
      <c r="AP913" t="n" s="2909">
        <v>190000</v>
      </c>
      <c r="DB913" s="2909" t="str">
        <f>IF($A913="","",IF($AH913=20,IF(AND(OR($A913=21,$A913=215),$AJ913=10),"①病院一般",IF(AND($A913=31,$AJ913=41),"②病院短期","対象外")),IF($AJ913=30,"③特定消防",IF(AND(OR($A913=21,$A913=215),$AJ913=10),"④一般",IF(AND($A913=31,$AJ913=41),"⑤短期","対象外")))))</f>
        <v>⑤短期</v>
      </c>
      <c r="DC913" s="2909">
        <f>IF($A913="","",IF($AB913&amp;""='DB_設定'!$C$4,1,0))</f>
        <v>0</v>
      </c>
    </row>
    <row r="914">
      <c r="A914" t="n" s="2909">
        <v>31</v>
      </c>
      <c r="AA914" t="n" s="2909">
        <v>21</v>
      </c>
      <c r="AB914" t="inlineStr" s="2909">
        <is>
          <t>20250411</t>
        </is>
      </c>
      <c r="AD914" t="n" s="2909">
        <v>0</v>
      </c>
      <c r="AE914" t="inlineStr" s="2909">
        <is>
          <t>00000000</t>
        </is>
      </c>
      <c r="AH914" t="n" s="2909">
        <v>11</v>
      </c>
      <c r="AJ914" t="n" s="2909">
        <v>41</v>
      </c>
      <c r="AP914" t="n" s="2909">
        <v>68000</v>
      </c>
      <c r="DB914" s="2909" t="str">
        <f>IF($A914="","",IF($AH914=20,IF(AND(OR($A914=21,$A914=215),$AJ914=10),"①病院一般",IF(AND($A914=31,$AJ914=41),"②病院短期","対象外")),IF($AJ914=30,"③特定消防",IF(AND(OR($A914=21,$A914=215),$AJ914=10),"④一般",IF(AND($A914=31,$AJ914=41),"⑤短期","対象外")))))</f>
        <v>⑤短期</v>
      </c>
      <c r="DC914" s="2909">
        <f>IF($A914="","",IF($AB914&amp;""='DB_設定'!$C$4,1,0))</f>
        <v>0</v>
      </c>
    </row>
    <row r="915">
      <c r="A915" t="n" s="2909">
        <v>31</v>
      </c>
      <c r="AA915" t="n" s="2909">
        <v>21</v>
      </c>
      <c r="AB915" t="inlineStr" s="2909">
        <is>
          <t>20250411</t>
        </is>
      </c>
      <c r="AD915" t="n" s="2909">
        <v>0</v>
      </c>
      <c r="AE915" t="inlineStr" s="2909">
        <is>
          <t>00000000</t>
        </is>
      </c>
      <c r="AH915" t="n" s="2909">
        <v>11</v>
      </c>
      <c r="AJ915" t="n" s="2909">
        <v>41</v>
      </c>
      <c r="AP915" t="n" s="2909">
        <v>68000</v>
      </c>
      <c r="DB915" s="2909" t="str">
        <f>IF($A915="","",IF($AH915=20,IF(AND(OR($A915=21,$A915=215),$AJ915=10),"①病院一般",IF(AND($A915=31,$AJ915=41),"②病院短期","対象外")),IF($AJ915=30,"③特定消防",IF(AND(OR($A915=21,$A915=215),$AJ915=10),"④一般",IF(AND($A915=31,$AJ915=41),"⑤短期","対象外")))))</f>
        <v>⑤短期</v>
      </c>
      <c r="DC915" s="2909">
        <f>IF($A915="","",IF($AB915&amp;""='DB_設定'!$C$4,1,0))</f>
        <v>0</v>
      </c>
    </row>
    <row r="916">
      <c r="A916" t="n" s="2909">
        <v>31</v>
      </c>
      <c r="AA916" t="n" s="2909">
        <v>21</v>
      </c>
      <c r="AB916" t="inlineStr" s="2909">
        <is>
          <t>20250411</t>
        </is>
      </c>
      <c r="AD916" t="n" s="2909">
        <v>0</v>
      </c>
      <c r="AE916" t="inlineStr" s="2909">
        <is>
          <t>00000000</t>
        </is>
      </c>
      <c r="AH916" t="n" s="2909">
        <v>11</v>
      </c>
      <c r="AJ916" t="n" s="2909">
        <v>41</v>
      </c>
      <c r="AP916" t="n" s="2909">
        <v>68000</v>
      </c>
      <c r="DB916" s="2909" t="str">
        <f>IF($A916="","",IF($AH916=20,IF(AND(OR($A916=21,$A916=215),$AJ916=10),"①病院一般",IF(AND($A916=31,$AJ916=41),"②病院短期","対象外")),IF($AJ916=30,"③特定消防",IF(AND(OR($A916=21,$A916=215),$AJ916=10),"④一般",IF(AND($A916=31,$AJ916=41),"⑤短期","対象外")))))</f>
        <v>⑤短期</v>
      </c>
      <c r="DC916" s="2909">
        <f>IF($A916="","",IF($AB916&amp;""='DB_設定'!$C$4,1,0))</f>
        <v>0</v>
      </c>
    </row>
    <row r="917">
      <c r="A917" t="n" s="2909">
        <v>31</v>
      </c>
      <c r="AA917" t="n" s="2909">
        <v>21</v>
      </c>
      <c r="AB917" t="inlineStr" s="2909">
        <is>
          <t>20250401</t>
        </is>
      </c>
      <c r="AD917" t="n" s="2909">
        <v>0</v>
      </c>
      <c r="AE917" t="inlineStr" s="2909">
        <is>
          <t>00000000</t>
        </is>
      </c>
      <c r="AH917" t="n" s="2909">
        <v>1</v>
      </c>
      <c r="AJ917" t="n" s="2909">
        <v>41</v>
      </c>
      <c r="AP917" t="n" s="2909">
        <v>260000</v>
      </c>
      <c r="DB917" s="2909" t="str">
        <f>IF($A917="","",IF($AH917=20,IF(AND(OR($A917=21,$A917=215),$AJ917=10),"①病院一般",IF(AND($A917=31,$AJ917=41),"②病院短期","対象外")),IF($AJ917=30,"③特定消防",IF(AND(OR($A917=21,$A917=215),$AJ917=10),"④一般",IF(AND($A917=31,$AJ917=41),"⑤短期","対象外")))))</f>
        <v>⑤短期</v>
      </c>
      <c r="DC917" s="2909">
        <f>IF($A917="","",IF($AB917&amp;""='DB_設定'!$C$4,1,0))</f>
        <v>1</v>
      </c>
    </row>
    <row r="918">
      <c r="A918" t="n" s="2909">
        <v>31</v>
      </c>
      <c r="AA918" t="n" s="2909">
        <v>24</v>
      </c>
      <c r="AB918" t="inlineStr" s="2909">
        <is>
          <t>20250901</t>
        </is>
      </c>
      <c r="AD918" t="n" s="2909">
        <v>0</v>
      </c>
      <c r="AE918" t="inlineStr" s="2909">
        <is>
          <t>00000000</t>
        </is>
      </c>
      <c r="AH918" t="n" s="2909">
        <v>1</v>
      </c>
      <c r="AJ918" t="n" s="2909">
        <v>41</v>
      </c>
      <c r="AP918" t="n" s="2909">
        <v>160000</v>
      </c>
      <c r="DB918" s="2909" t="str">
        <f>IF($A918="","",IF($AH918=20,IF(AND(OR($A918=21,$A918=215),$AJ918=10),"①病院一般",IF(AND($A918=31,$AJ918=41),"②病院短期","対象外")),IF($AJ918=30,"③特定消防",IF(AND(OR($A918=21,$A918=215),$AJ918=10),"④一般",IF(AND($A918=31,$AJ918=41),"⑤短期","対象外")))))</f>
        <v>⑤短期</v>
      </c>
      <c r="DC918" s="2909">
        <f>IF($A918="","",IF($AB918&amp;""='DB_設定'!$C$4,1,0))</f>
        <v>0</v>
      </c>
    </row>
    <row r="919">
      <c r="A919" t="n" s="2909">
        <v>31</v>
      </c>
      <c r="AA919" t="n" s="2909">
        <v>21</v>
      </c>
      <c r="AB919" t="inlineStr" s="2909">
        <is>
          <t>20250825</t>
        </is>
      </c>
      <c r="AD919" t="n" s="2909">
        <v>0</v>
      </c>
      <c r="AE919" t="inlineStr" s="2909">
        <is>
          <t>00000000</t>
        </is>
      </c>
      <c r="AH919" t="n" s="2909">
        <v>1</v>
      </c>
      <c r="AJ919" t="n" s="2909">
        <v>41</v>
      </c>
      <c r="AP919" t="n" s="2909">
        <v>126000</v>
      </c>
      <c r="DB919" s="2909" t="str">
        <f>IF($A919="","",IF($AH919=20,IF(AND(OR($A919=21,$A919=215),$AJ919=10),"①病院一般",IF(AND($A919=31,$AJ919=41),"②病院短期","対象外")),IF($AJ919=30,"③特定消防",IF(AND(OR($A919=21,$A919=215),$AJ919=10),"④一般",IF(AND($A919=31,$AJ919=41),"⑤短期","対象外")))))</f>
        <v>⑤短期</v>
      </c>
      <c r="DC919" s="2909">
        <f>IF($A919="","",IF($AB919&amp;""='DB_設定'!$C$4,1,0))</f>
        <v>0</v>
      </c>
    </row>
    <row r="920">
      <c r="A920" t="n" s="2909">
        <v>31</v>
      </c>
      <c r="AA920" t="n" s="2909">
        <v>21</v>
      </c>
      <c r="AB920" t="inlineStr" s="2909">
        <is>
          <t>20250401</t>
        </is>
      </c>
      <c r="AD920" t="n" s="2909">
        <v>0</v>
      </c>
      <c r="AE920" t="inlineStr" s="2909">
        <is>
          <t>00000000</t>
        </is>
      </c>
      <c r="AH920" t="n" s="2909">
        <v>11</v>
      </c>
      <c r="AJ920" t="n" s="2909">
        <v>41</v>
      </c>
      <c r="AP920" t="n" s="2909">
        <v>110000</v>
      </c>
      <c r="DB920" s="2909" t="str">
        <f>IF($A920="","",IF($AH920=20,IF(AND(OR($A920=21,$A920=215),$AJ920=10),"①病院一般",IF(AND($A920=31,$AJ920=41),"②病院短期","対象外")),IF($AJ920=30,"③特定消防",IF(AND(OR($A920=21,$A920=215),$AJ920=10),"④一般",IF(AND($A920=31,$AJ920=41),"⑤短期","対象外")))))</f>
        <v>⑤短期</v>
      </c>
      <c r="DC920" s="2909">
        <f>IF($A920="","",IF($AB920&amp;""='DB_設定'!$C$4,1,0))</f>
        <v>1</v>
      </c>
    </row>
    <row r="921">
      <c r="A921" t="n" s="2909">
        <v>31</v>
      </c>
      <c r="AA921" t="n" s="2909">
        <v>21</v>
      </c>
      <c r="AB921" t="inlineStr" s="2909">
        <is>
          <t>20250801</t>
        </is>
      </c>
      <c r="AD921" t="n" s="2909">
        <v>0</v>
      </c>
      <c r="AE921" t="inlineStr" s="2909">
        <is>
          <t>00000000</t>
        </is>
      </c>
      <c r="AH921" t="n" s="2909">
        <v>1</v>
      </c>
      <c r="AJ921" t="n" s="2909">
        <v>41</v>
      </c>
      <c r="AP921" t="n" s="2909">
        <v>126000</v>
      </c>
      <c r="DB921" s="2909" t="str">
        <f>IF($A921="","",IF($AH921=20,IF(AND(OR($A921=21,$A921=215),$AJ921=10),"①病院一般",IF(AND($A921=31,$AJ921=41),"②病院短期","対象外")),IF($AJ921=30,"③特定消防",IF(AND(OR($A921=21,$A921=215),$AJ921=10),"④一般",IF(AND($A921=31,$AJ921=41),"⑤短期","対象外")))))</f>
        <v>⑤短期</v>
      </c>
      <c r="DC921" s="2909">
        <f>IF($A921="","",IF($AB921&amp;""='DB_設定'!$C$4,1,0))</f>
        <v>0</v>
      </c>
    </row>
    <row r="922">
      <c r="A922" t="n" s="2909">
        <v>31</v>
      </c>
      <c r="AA922" t="n" s="2909">
        <v>24</v>
      </c>
      <c r="AB922" t="inlineStr" s="2909">
        <is>
          <t>20250401</t>
        </is>
      </c>
      <c r="AD922" t="n" s="2909">
        <v>12</v>
      </c>
      <c r="AE922" t="inlineStr" s="2909">
        <is>
          <t>20251001</t>
        </is>
      </c>
      <c r="AH922" t="n" s="2909">
        <v>27</v>
      </c>
      <c r="AJ922" t="n" s="2909">
        <v>41</v>
      </c>
      <c r="AP922" t="n" s="2909">
        <v>190000</v>
      </c>
      <c r="DB922" s="2909" t="str">
        <f>IF($A922="","",IF($AH922=20,IF(AND(OR($A922=21,$A922=215),$AJ922=10),"①病院一般",IF(AND($A922=31,$AJ922=41),"②病院短期","対象外")),IF($AJ922=30,"③特定消防",IF(AND(OR($A922=21,$A922=215),$AJ922=10),"④一般",IF(AND($A922=31,$AJ922=41),"⑤短期","対象外")))))</f>
        <v>⑤短期</v>
      </c>
      <c r="DC922" s="2909">
        <f>IF($A922="","",IF($AB922&amp;""='DB_設定'!$C$4,1,0))</f>
        <v>1</v>
      </c>
    </row>
    <row r="923">
      <c r="A923" t="n" s="2909">
        <v>31</v>
      </c>
      <c r="AA923" t="n" s="2909">
        <v>24</v>
      </c>
      <c r="AB923" t="inlineStr" s="2909">
        <is>
          <t>20250408</t>
        </is>
      </c>
      <c r="AD923" t="n" s="2909">
        <v>0</v>
      </c>
      <c r="AE923" t="inlineStr" s="2909">
        <is>
          <t>00000000</t>
        </is>
      </c>
      <c r="AH923" t="n" s="2909">
        <v>11</v>
      </c>
      <c r="AJ923" t="n" s="2909">
        <v>41</v>
      </c>
      <c r="AP923" t="n" s="2909">
        <v>134000</v>
      </c>
      <c r="DB923" s="2909" t="str">
        <f>IF($A923="","",IF($AH923=20,IF(AND(OR($A923=21,$A923=215),$AJ923=10),"①病院一般",IF(AND($A923=31,$AJ923=41),"②病院短期","対象外")),IF($AJ923=30,"③特定消防",IF(AND(OR($A923=21,$A923=215),$AJ923=10),"④一般",IF(AND($A923=31,$AJ923=41),"⑤短期","対象外")))))</f>
        <v>⑤短期</v>
      </c>
      <c r="DC923" s="2909">
        <f>IF($A923="","",IF($AB923&amp;""='DB_設定'!$C$4,1,0))</f>
        <v>0</v>
      </c>
    </row>
    <row r="924">
      <c r="A924" t="n" s="2909">
        <v>31</v>
      </c>
      <c r="AA924" t="n" s="2909">
        <v>21</v>
      </c>
      <c r="AB924" t="inlineStr" s="2909">
        <is>
          <t>20250411</t>
        </is>
      </c>
      <c r="AD924" t="n" s="2909">
        <v>0</v>
      </c>
      <c r="AE924" t="inlineStr" s="2909">
        <is>
          <t>00000000</t>
        </is>
      </c>
      <c r="AH924" t="n" s="2909">
        <v>11</v>
      </c>
      <c r="AJ924" t="n" s="2909">
        <v>41</v>
      </c>
      <c r="AP924" t="n" s="2909">
        <v>78000</v>
      </c>
      <c r="DB924" s="2909" t="str">
        <f>IF($A924="","",IF($AH924=20,IF(AND(OR($A924=21,$A924=215),$AJ924=10),"①病院一般",IF(AND($A924=31,$AJ924=41),"②病院短期","対象外")),IF($AJ924=30,"③特定消防",IF(AND(OR($A924=21,$A924=215),$AJ924=10),"④一般",IF(AND($A924=31,$AJ924=41),"⑤短期","対象外")))))</f>
        <v>⑤短期</v>
      </c>
      <c r="DC924" s="2909">
        <f>IF($A924="","",IF($AB924&amp;""='DB_設定'!$C$4,1,0))</f>
        <v>0</v>
      </c>
    </row>
    <row r="925">
      <c r="A925" t="n" s="2909">
        <v>31</v>
      </c>
      <c r="AA925" t="n" s="2909">
        <v>21</v>
      </c>
      <c r="AB925" t="inlineStr" s="2909">
        <is>
          <t>20250401</t>
        </is>
      </c>
      <c r="AD925" t="n" s="2909">
        <v>0</v>
      </c>
      <c r="AE925" t="inlineStr" s="2909">
        <is>
          <t>00000000</t>
        </is>
      </c>
      <c r="AH925" t="n" s="2909">
        <v>1</v>
      </c>
      <c r="AJ925" t="n" s="2909">
        <v>41</v>
      </c>
      <c r="AP925" t="n" s="2909">
        <v>150000</v>
      </c>
      <c r="DB925" s="2909" t="str">
        <f>IF($A925="","",IF($AH925=20,IF(AND(OR($A925=21,$A925=215),$AJ925=10),"①病院一般",IF(AND($A925=31,$AJ925=41),"②病院短期","対象外")),IF($AJ925=30,"③特定消防",IF(AND(OR($A925=21,$A925=215),$AJ925=10),"④一般",IF(AND($A925=31,$AJ925=41),"⑤短期","対象外")))))</f>
        <v>⑤短期</v>
      </c>
      <c r="DC925" s="2909">
        <f>IF($A925="","",IF($AB925&amp;""='DB_設定'!$C$4,1,0))</f>
        <v>1</v>
      </c>
    </row>
    <row r="926">
      <c r="A926" t="n" s="2909">
        <v>31</v>
      </c>
      <c r="AA926" t="n" s="2909">
        <v>24</v>
      </c>
      <c r="AB926" t="inlineStr" s="2909">
        <is>
          <t>20250901</t>
        </is>
      </c>
      <c r="AD926" t="n" s="2909">
        <v>0</v>
      </c>
      <c r="AE926" t="inlineStr" s="2909">
        <is>
          <t>00000000</t>
        </is>
      </c>
      <c r="AH926" t="n" s="2909">
        <v>1</v>
      </c>
      <c r="AJ926" t="n" s="2909">
        <v>41</v>
      </c>
      <c r="AP926" t="n" s="2909">
        <v>150000</v>
      </c>
      <c r="DB926" s="2909" t="str">
        <f>IF($A926="","",IF($AH926=20,IF(AND(OR($A926=21,$A926=215),$AJ926=10),"①病院一般",IF(AND($A926=31,$AJ926=41),"②病院短期","対象外")),IF($AJ926=30,"③特定消防",IF(AND(OR($A926=21,$A926=215),$AJ926=10),"④一般",IF(AND($A926=31,$AJ926=41),"⑤短期","対象外")))))</f>
        <v>⑤短期</v>
      </c>
      <c r="DC926" s="2909">
        <f>IF($A926="","",IF($AB926&amp;""='DB_設定'!$C$4,1,0))</f>
        <v>0</v>
      </c>
    </row>
    <row r="927">
      <c r="A927" t="n" s="2909">
        <v>31</v>
      </c>
      <c r="AA927" t="n" s="2909">
        <v>24</v>
      </c>
      <c r="AB927" t="inlineStr" s="2909">
        <is>
          <t>20250501</t>
        </is>
      </c>
      <c r="AD927" t="n" s="2909">
        <v>12</v>
      </c>
      <c r="AE927" t="inlineStr" s="2909">
        <is>
          <t>20250901</t>
        </is>
      </c>
      <c r="AH927" t="n" s="2909">
        <v>1</v>
      </c>
      <c r="AJ927" t="n" s="2909">
        <v>41</v>
      </c>
      <c r="AP927" t="n" s="2909">
        <v>142000</v>
      </c>
      <c r="DB927" s="2909" t="str">
        <f>IF($A927="","",IF($AH927=20,IF(AND(OR($A927=21,$A927=215),$AJ927=10),"①病院一般",IF(AND($A927=31,$AJ927=41),"②病院短期","対象外")),IF($AJ927=30,"③特定消防",IF(AND(OR($A927=21,$A927=215),$AJ927=10),"④一般",IF(AND($A927=31,$AJ927=41),"⑤短期","対象外")))))</f>
        <v>⑤短期</v>
      </c>
      <c r="DC927" s="2909">
        <f>IF($A927="","",IF($AB927&amp;""='DB_設定'!$C$4,1,0))</f>
        <v>0</v>
      </c>
    </row>
    <row r="928">
      <c r="A928" t="n" s="2909">
        <v>31</v>
      </c>
      <c r="AA928" t="n" s="2909">
        <v>21</v>
      </c>
      <c r="AB928" t="inlineStr" s="2909">
        <is>
          <t>20250401</t>
        </is>
      </c>
      <c r="AD928" t="n" s="2909">
        <v>0</v>
      </c>
      <c r="AE928" t="inlineStr" s="2909">
        <is>
          <t>00000000</t>
        </is>
      </c>
      <c r="AH928" t="n" s="2909">
        <v>11</v>
      </c>
      <c r="AJ928" t="n" s="2909">
        <v>41</v>
      </c>
      <c r="AP928" t="n" s="2909">
        <v>200000</v>
      </c>
      <c r="DB928" s="2909" t="str">
        <f>IF($A928="","",IF($AH928=20,IF(AND(OR($A928=21,$A928=215),$AJ928=10),"①病院一般",IF(AND($A928=31,$AJ928=41),"②病院短期","対象外")),IF($AJ928=30,"③特定消防",IF(AND(OR($A928=21,$A928=215),$AJ928=10),"④一般",IF(AND($A928=31,$AJ928=41),"⑤短期","対象外")))))</f>
        <v>⑤短期</v>
      </c>
      <c r="DC928" s="2909">
        <f>IF($A928="","",IF($AB928&amp;""='DB_設定'!$C$4,1,0))</f>
        <v>1</v>
      </c>
    </row>
    <row r="929">
      <c r="A929" t="n" s="2909">
        <v>31</v>
      </c>
      <c r="AA929" t="n" s="2909">
        <v>21</v>
      </c>
      <c r="AB929" t="inlineStr" s="2909">
        <is>
          <t>20250401</t>
        </is>
      </c>
      <c r="AD929" t="n" s="2909">
        <v>0</v>
      </c>
      <c r="AE929" t="inlineStr" s="2909">
        <is>
          <t>00000000</t>
        </is>
      </c>
      <c r="AH929" t="n" s="2909">
        <v>11</v>
      </c>
      <c r="AJ929" t="n" s="2909">
        <v>41</v>
      </c>
      <c r="AP929" t="n" s="2909">
        <v>180000</v>
      </c>
      <c r="DB929" s="2909" t="str">
        <f>IF($A929="","",IF($AH929=20,IF(AND(OR($A929=21,$A929=215),$AJ929=10),"①病院一般",IF(AND($A929=31,$AJ929=41),"②病院短期","対象外")),IF($AJ929=30,"③特定消防",IF(AND(OR($A929=21,$A929=215),$AJ929=10),"④一般",IF(AND($A929=31,$AJ929=41),"⑤短期","対象外")))))</f>
        <v>⑤短期</v>
      </c>
      <c r="DC929" s="2909">
        <f>IF($A929="","",IF($AB929&amp;""='DB_設定'!$C$4,1,0))</f>
        <v>1</v>
      </c>
    </row>
    <row r="930">
      <c r="A930" t="n" s="2909">
        <v>31</v>
      </c>
      <c r="AA930" t="n" s="2909">
        <v>24</v>
      </c>
      <c r="AB930" t="inlineStr" s="2909">
        <is>
          <t>20250408</t>
        </is>
      </c>
      <c r="AD930" t="n" s="2909">
        <v>0</v>
      </c>
      <c r="AE930" t="inlineStr" s="2909">
        <is>
          <t>00000000</t>
        </is>
      </c>
      <c r="AH930" t="n" s="2909">
        <v>11</v>
      </c>
      <c r="AJ930" t="n" s="2909">
        <v>41</v>
      </c>
      <c r="AP930" t="n" s="2909">
        <v>134000</v>
      </c>
      <c r="DB930" s="2909" t="str">
        <f>IF($A930="","",IF($AH930=20,IF(AND(OR($A930=21,$A930=215),$AJ930=10),"①病院一般",IF(AND($A930=31,$AJ930=41),"②病院短期","対象外")),IF($AJ930=30,"③特定消防",IF(AND(OR($A930=21,$A930=215),$AJ930=10),"④一般",IF(AND($A930=31,$AJ930=41),"⑤短期","対象外")))))</f>
        <v>⑤短期</v>
      </c>
      <c r="DC930" s="2909">
        <f>IF($A930="","",IF($AB930&amp;""='DB_設定'!$C$4,1,0))</f>
        <v>0</v>
      </c>
    </row>
    <row r="931">
      <c r="A931" t="n" s="2909">
        <v>31</v>
      </c>
      <c r="AA931" t="n" s="2909">
        <v>24</v>
      </c>
      <c r="AB931" t="inlineStr" s="2909">
        <is>
          <t>20250602</t>
        </is>
      </c>
      <c r="AD931" t="n" s="2909">
        <v>12</v>
      </c>
      <c r="AE931" t="inlineStr" s="2909">
        <is>
          <t>20251001</t>
        </is>
      </c>
      <c r="AH931" t="n" s="2909">
        <v>1</v>
      </c>
      <c r="AJ931" t="n" s="2909">
        <v>41</v>
      </c>
      <c r="AP931" t="n" s="2909">
        <v>142000</v>
      </c>
      <c r="DB931" s="2909" t="str">
        <f>IF($A931="","",IF($AH931=20,IF(AND(OR($A931=21,$A931=215),$AJ931=10),"①病院一般",IF(AND($A931=31,$AJ931=41),"②病院短期","対象外")),IF($AJ931=30,"③特定消防",IF(AND(OR($A931=21,$A931=215),$AJ931=10),"④一般",IF(AND($A931=31,$AJ931=41),"⑤短期","対象外")))))</f>
        <v>⑤短期</v>
      </c>
      <c r="DC931" s="2909">
        <f>IF($A931="","",IF($AB931&amp;""='DB_設定'!$C$4,1,0))</f>
        <v>0</v>
      </c>
    </row>
    <row r="932">
      <c r="A932" t="n" s="2909">
        <v>31</v>
      </c>
      <c r="AA932" t="n" s="2909">
        <v>21</v>
      </c>
      <c r="AB932" t="inlineStr" s="2909">
        <is>
          <t>20250601</t>
        </is>
      </c>
      <c r="AD932" t="n" s="2909">
        <v>0</v>
      </c>
      <c r="AE932" t="inlineStr" s="2909">
        <is>
          <t>00000000</t>
        </is>
      </c>
      <c r="AH932" t="n" s="2909">
        <v>1</v>
      </c>
      <c r="AJ932" t="n" s="2909">
        <v>41</v>
      </c>
      <c r="AP932" t="n" s="2909">
        <v>200000</v>
      </c>
      <c r="DB932" s="2909" t="str">
        <f>IF($A932="","",IF($AH932=20,IF(AND(OR($A932=21,$A932=215),$AJ932=10),"①病院一般",IF(AND($A932=31,$AJ932=41),"②病院短期","対象外")),IF($AJ932=30,"③特定消防",IF(AND(OR($A932=21,$A932=215),$AJ932=10),"④一般",IF(AND($A932=31,$AJ932=41),"⑤短期","対象外")))))</f>
        <v>⑤短期</v>
      </c>
      <c r="DC932" s="2909">
        <f>IF($A932="","",IF($AB932&amp;""='DB_設定'!$C$4,1,0))</f>
        <v>0</v>
      </c>
    </row>
    <row r="933">
      <c r="A933" t="n" s="2909">
        <v>31</v>
      </c>
      <c r="AA933" t="n" s="2909">
        <v>24</v>
      </c>
      <c r="AB933" t="inlineStr" s="2909">
        <is>
          <t>20250801</t>
        </is>
      </c>
      <c r="AD933" t="n" s="2909">
        <v>0</v>
      </c>
      <c r="AE933" t="inlineStr" s="2909">
        <is>
          <t>00000000</t>
        </is>
      </c>
      <c r="AH933" t="n" s="2909">
        <v>1</v>
      </c>
      <c r="AJ933" t="n" s="2909">
        <v>41</v>
      </c>
      <c r="AP933" t="n" s="2909">
        <v>200000</v>
      </c>
      <c r="DB933" s="2909" t="str">
        <f>IF($A933="","",IF($AH933=20,IF(AND(OR($A933=21,$A933=215),$AJ933=10),"①病院一般",IF(AND($A933=31,$AJ933=41),"②病院短期","対象外")),IF($AJ933=30,"③特定消防",IF(AND(OR($A933=21,$A933=215),$AJ933=10),"④一般",IF(AND($A933=31,$AJ933=41),"⑤短期","対象外")))))</f>
        <v>⑤短期</v>
      </c>
      <c r="DC933" s="2909">
        <f>IF($A933="","",IF($AB933&amp;""='DB_設定'!$C$4,1,0))</f>
        <v>0</v>
      </c>
    </row>
    <row r="934">
      <c r="A934" t="n" s="2909">
        <v>31</v>
      </c>
      <c r="AA934" t="n" s="2909">
        <v>24</v>
      </c>
      <c r="AB934" t="inlineStr" s="2909">
        <is>
          <t>20250410</t>
        </is>
      </c>
      <c r="AD934" t="n" s="2909">
        <v>0</v>
      </c>
      <c r="AE934" t="inlineStr" s="2909">
        <is>
          <t>00000000</t>
        </is>
      </c>
      <c r="AH934" t="n" s="2909">
        <v>11</v>
      </c>
      <c r="AJ934" t="n" s="2909">
        <v>41</v>
      </c>
      <c r="AP934" t="n" s="2909">
        <v>240000</v>
      </c>
      <c r="DB934" s="2909" t="str">
        <f>IF($A934="","",IF($AH934=20,IF(AND(OR($A934=21,$A934=215),$AJ934=10),"①病院一般",IF(AND($A934=31,$AJ934=41),"②病院短期","対象外")),IF($AJ934=30,"③特定消防",IF(AND(OR($A934=21,$A934=215),$AJ934=10),"④一般",IF(AND($A934=31,$AJ934=41),"⑤短期","対象外")))))</f>
        <v>⑤短期</v>
      </c>
      <c r="DC934" s="2909">
        <f>IF($A934="","",IF($AB934&amp;""='DB_設定'!$C$4,1,0))</f>
        <v>0</v>
      </c>
    </row>
    <row r="935">
      <c r="A935" t="n" s="2909">
        <v>31</v>
      </c>
      <c r="AA935" t="n" s="2909">
        <v>21</v>
      </c>
      <c r="AB935" t="inlineStr" s="2909">
        <is>
          <t>20250411</t>
        </is>
      </c>
      <c r="AD935" t="n" s="2909">
        <v>0</v>
      </c>
      <c r="AE935" t="inlineStr" s="2909">
        <is>
          <t>00000000</t>
        </is>
      </c>
      <c r="AH935" t="n" s="2909">
        <v>11</v>
      </c>
      <c r="AJ935" t="n" s="2909">
        <v>41</v>
      </c>
      <c r="AP935" t="n" s="2909">
        <v>68000</v>
      </c>
      <c r="DB935" s="2909" t="str">
        <f>IF($A935="","",IF($AH935=20,IF(AND(OR($A935=21,$A935=215),$AJ935=10),"①病院一般",IF(AND($A935=31,$AJ935=41),"②病院短期","対象外")),IF($AJ935=30,"③特定消防",IF(AND(OR($A935=21,$A935=215),$AJ935=10),"④一般",IF(AND($A935=31,$AJ935=41),"⑤短期","対象外")))))</f>
        <v>⑤短期</v>
      </c>
      <c r="DC935" s="2909">
        <f>IF($A935="","",IF($AB935&amp;""='DB_設定'!$C$4,1,0))</f>
        <v>0</v>
      </c>
    </row>
    <row r="936">
      <c r="A936" t="n" s="2909">
        <v>31</v>
      </c>
      <c r="AA936" t="n" s="2909">
        <v>24</v>
      </c>
      <c r="AB936" t="inlineStr" s="2909">
        <is>
          <t>20250410</t>
        </is>
      </c>
      <c r="AD936" t="n" s="2909">
        <v>0</v>
      </c>
      <c r="AE936" t="inlineStr" s="2909">
        <is>
          <t>00000000</t>
        </is>
      </c>
      <c r="AH936" t="n" s="2909">
        <v>11</v>
      </c>
      <c r="AJ936" t="n" s="2909">
        <v>41</v>
      </c>
      <c r="AP936" t="n" s="2909">
        <v>220000</v>
      </c>
      <c r="DB936" s="2909" t="str">
        <f>IF($A936="","",IF($AH936=20,IF(AND(OR($A936=21,$A936=215),$AJ936=10),"①病院一般",IF(AND($A936=31,$AJ936=41),"②病院短期","対象外")),IF($AJ936=30,"③特定消防",IF(AND(OR($A936=21,$A936=215),$AJ936=10),"④一般",IF(AND($A936=31,$AJ936=41),"⑤短期","対象外")))))</f>
        <v>⑤短期</v>
      </c>
      <c r="DC936" s="2909">
        <f>IF($A936="","",IF($AB936&amp;""='DB_設定'!$C$4,1,0))</f>
        <v>0</v>
      </c>
    </row>
    <row r="937">
      <c r="A937" t="n" s="2909">
        <v>31</v>
      </c>
      <c r="AA937" t="n" s="2909">
        <v>21</v>
      </c>
      <c r="AB937" t="inlineStr" s="2909">
        <is>
          <t>20250407</t>
        </is>
      </c>
      <c r="AD937" t="n" s="2909">
        <v>0</v>
      </c>
      <c r="AE937" t="inlineStr" s="2909">
        <is>
          <t>00000000</t>
        </is>
      </c>
      <c r="AH937" t="n" s="2909">
        <v>11</v>
      </c>
      <c r="AJ937" t="n" s="2909">
        <v>41</v>
      </c>
      <c r="AP937" t="n" s="2909">
        <v>78000</v>
      </c>
      <c r="DB937" s="2909" t="str">
        <f>IF($A937="","",IF($AH937=20,IF(AND(OR($A937=21,$A937=215),$AJ937=10),"①病院一般",IF(AND($A937=31,$AJ937=41),"②病院短期","対象外")),IF($AJ937=30,"③特定消防",IF(AND(OR($A937=21,$A937=215),$AJ937=10),"④一般",IF(AND($A937=31,$AJ937=41),"⑤短期","対象外")))))</f>
        <v>⑤短期</v>
      </c>
      <c r="DC937" s="2909">
        <f>IF($A937="","",IF($AB937&amp;""='DB_設定'!$C$4,1,0))</f>
        <v>0</v>
      </c>
    </row>
    <row r="938">
      <c r="A938" t="n" s="2909">
        <v>31</v>
      </c>
      <c r="AA938" t="n" s="2909">
        <v>21</v>
      </c>
      <c r="AB938" t="inlineStr" s="2909">
        <is>
          <t>20250401</t>
        </is>
      </c>
      <c r="AD938" t="n" s="2909">
        <v>0</v>
      </c>
      <c r="AE938" t="inlineStr" s="2909">
        <is>
          <t>00000000</t>
        </is>
      </c>
      <c r="AH938" t="n" s="2909">
        <v>11</v>
      </c>
      <c r="AJ938" t="n" s="2909">
        <v>41</v>
      </c>
      <c r="AP938" t="n" s="2909">
        <v>220000</v>
      </c>
      <c r="DB938" s="2909" t="str">
        <f>IF($A938="","",IF($AH938=20,IF(AND(OR($A938=21,$A938=215),$AJ938=10),"①病院一般",IF(AND($A938=31,$AJ938=41),"②病院短期","対象外")),IF($AJ938=30,"③特定消防",IF(AND(OR($A938=21,$A938=215),$AJ938=10),"④一般",IF(AND($A938=31,$AJ938=41),"⑤短期","対象外")))))</f>
        <v>⑤短期</v>
      </c>
      <c r="DC938" s="2909">
        <f>IF($A938="","",IF($AB938&amp;""='DB_設定'!$C$4,1,0))</f>
        <v>1</v>
      </c>
    </row>
    <row r="939">
      <c r="A939" t="n" s="2909">
        <v>31</v>
      </c>
      <c r="AA939" t="n" s="2909">
        <v>21</v>
      </c>
      <c r="AB939" t="inlineStr" s="2909">
        <is>
          <t>20250401</t>
        </is>
      </c>
      <c r="AD939" t="n" s="2909">
        <v>0</v>
      </c>
      <c r="AE939" t="inlineStr" s="2909">
        <is>
          <t>00000000</t>
        </is>
      </c>
      <c r="AH939" t="n" s="2909">
        <v>11</v>
      </c>
      <c r="AJ939" t="n" s="2909">
        <v>41</v>
      </c>
      <c r="AP939" t="n" s="2909">
        <v>134000</v>
      </c>
      <c r="DB939" s="2909" t="str">
        <f>IF($A939="","",IF($AH939=20,IF(AND(OR($A939=21,$A939=215),$AJ939=10),"①病院一般",IF(AND($A939=31,$AJ939=41),"②病院短期","対象外")),IF($AJ939=30,"③特定消防",IF(AND(OR($A939=21,$A939=215),$AJ939=10),"④一般",IF(AND($A939=31,$AJ939=41),"⑤短期","対象外")))))</f>
        <v>⑤短期</v>
      </c>
      <c r="DC939" s="2909">
        <f>IF($A939="","",IF($AB939&amp;""='DB_設定'!$C$4,1,0))</f>
        <v>1</v>
      </c>
    </row>
    <row r="940">
      <c r="A940" t="n" s="2909">
        <v>31</v>
      </c>
      <c r="AA940" t="n" s="2909">
        <v>24</v>
      </c>
      <c r="AB940" t="inlineStr" s="2909">
        <is>
          <t>20250501</t>
        </is>
      </c>
      <c r="AD940" t="n" s="2909">
        <v>0</v>
      </c>
      <c r="AE940" t="inlineStr" s="2909">
        <is>
          <t>00000000</t>
        </is>
      </c>
      <c r="AH940" t="n" s="2909">
        <v>11</v>
      </c>
      <c r="AJ940" t="n" s="2909">
        <v>41</v>
      </c>
      <c r="AP940" t="n" s="2909">
        <v>126000</v>
      </c>
      <c r="DB940" s="2909" t="str">
        <f>IF($A940="","",IF($AH940=20,IF(AND(OR($A940=21,$A940=215),$AJ940=10),"①病院一般",IF(AND($A940=31,$AJ940=41),"②病院短期","対象外")),IF($AJ940=30,"③特定消防",IF(AND(OR($A940=21,$A940=215),$AJ940=10),"④一般",IF(AND($A940=31,$AJ940=41),"⑤短期","対象外")))))</f>
        <v>⑤短期</v>
      </c>
      <c r="DC940" s="2909">
        <f>IF($A940="","",IF($AB940&amp;""='DB_設定'!$C$4,1,0))</f>
        <v>0</v>
      </c>
    </row>
    <row r="941">
      <c r="A941" t="n" s="2909">
        <v>31</v>
      </c>
      <c r="AA941" t="n" s="2909">
        <v>24</v>
      </c>
      <c r="AB941" t="inlineStr" s="2909">
        <is>
          <t>20250408</t>
        </is>
      </c>
      <c r="AD941" t="n" s="2909">
        <v>0</v>
      </c>
      <c r="AE941" t="inlineStr" s="2909">
        <is>
          <t>00000000</t>
        </is>
      </c>
      <c r="AH941" t="n" s="2909">
        <v>11</v>
      </c>
      <c r="AJ941" t="n" s="2909">
        <v>41</v>
      </c>
      <c r="AP941" t="n" s="2909">
        <v>126000</v>
      </c>
      <c r="DB941" s="2909" t="str">
        <f>IF($A941="","",IF($AH941=20,IF(AND(OR($A941=21,$A941=215),$AJ941=10),"①病院一般",IF(AND($A941=31,$AJ941=41),"②病院短期","対象外")),IF($AJ941=30,"③特定消防",IF(AND(OR($A941=21,$A941=215),$AJ941=10),"④一般",IF(AND($A941=31,$AJ941=41),"⑤短期","対象外")))))</f>
        <v>⑤短期</v>
      </c>
      <c r="DC941" s="2909">
        <f>IF($A941="","",IF($AB941&amp;""='DB_設定'!$C$4,1,0))</f>
        <v>0</v>
      </c>
    </row>
    <row r="942">
      <c r="A942" t="n" s="2909">
        <v>31</v>
      </c>
      <c r="AA942" t="n" s="2909">
        <v>24</v>
      </c>
      <c r="AB942" t="inlineStr" s="2909">
        <is>
          <t>20250501</t>
        </is>
      </c>
      <c r="AD942" t="n" s="2909">
        <v>0</v>
      </c>
      <c r="AE942" t="inlineStr" s="2909">
        <is>
          <t>00000000</t>
        </is>
      </c>
      <c r="AH942" t="n" s="2909">
        <v>11</v>
      </c>
      <c r="AJ942" t="n" s="2909">
        <v>41</v>
      </c>
      <c r="AP942" t="n" s="2909">
        <v>118000</v>
      </c>
      <c r="DB942" s="2909" t="str">
        <f>IF($A942="","",IF($AH942=20,IF(AND(OR($A942=21,$A942=215),$AJ942=10),"①病院一般",IF(AND($A942=31,$AJ942=41),"②病院短期","対象外")),IF($AJ942=30,"③特定消防",IF(AND(OR($A942=21,$A942=215),$AJ942=10),"④一般",IF(AND($A942=31,$AJ942=41),"⑤短期","対象外")))))</f>
        <v>⑤短期</v>
      </c>
      <c r="DC942" s="2909">
        <f>IF($A942="","",IF($AB942&amp;""='DB_設定'!$C$4,1,0))</f>
        <v>0</v>
      </c>
    </row>
    <row r="943">
      <c r="A943" t="n" s="2909">
        <v>31</v>
      </c>
      <c r="AA943" t="n" s="2909">
        <v>24</v>
      </c>
      <c r="AB943" t="inlineStr" s="2909">
        <is>
          <t>20250401</t>
        </is>
      </c>
      <c r="AD943" t="n" s="2909">
        <v>0</v>
      </c>
      <c r="AE943" t="inlineStr" s="2909">
        <is>
          <t>00000000</t>
        </is>
      </c>
      <c r="AH943" t="n" s="2909">
        <v>1</v>
      </c>
      <c r="AJ943" t="n" s="2909">
        <v>41</v>
      </c>
      <c r="AP943" t="n" s="2909">
        <v>110000</v>
      </c>
      <c r="DB943" s="2909" t="str">
        <f>IF($A943="","",IF($AH943=20,IF(AND(OR($A943=21,$A943=215),$AJ943=10),"①病院一般",IF(AND($A943=31,$AJ943=41),"②病院短期","対象外")),IF($AJ943=30,"③特定消防",IF(AND(OR($A943=21,$A943=215),$AJ943=10),"④一般",IF(AND($A943=31,$AJ943=41),"⑤短期","対象外")))))</f>
        <v>⑤短期</v>
      </c>
      <c r="DC943" s="2909">
        <f>IF($A943="","",IF($AB943&amp;""='DB_設定'!$C$4,1,0))</f>
        <v>1</v>
      </c>
    </row>
    <row r="944">
      <c r="A944" t="n" s="2909">
        <v>31</v>
      </c>
      <c r="AA944" t="n" s="2909">
        <v>24</v>
      </c>
      <c r="AB944" t="inlineStr" s="2909">
        <is>
          <t>20250828</t>
        </is>
      </c>
      <c r="AD944" t="n" s="2909">
        <v>0</v>
      </c>
      <c r="AE944" t="inlineStr" s="2909">
        <is>
          <t>00000000</t>
        </is>
      </c>
      <c r="AH944" t="n" s="2909">
        <v>11</v>
      </c>
      <c r="AJ944" t="n" s="2909">
        <v>41</v>
      </c>
      <c r="AP944" t="n" s="2909">
        <v>220000</v>
      </c>
      <c r="DB944" s="2909" t="str">
        <f>IF($A944="","",IF($AH944=20,IF(AND(OR($A944=21,$A944=215),$AJ944=10),"①病院一般",IF(AND($A944=31,$AJ944=41),"②病院短期","対象外")),IF($AJ944=30,"③特定消防",IF(AND(OR($A944=21,$A944=215),$AJ944=10),"④一般",IF(AND($A944=31,$AJ944=41),"⑤短期","対象外")))))</f>
        <v>⑤短期</v>
      </c>
      <c r="DC944" s="2909">
        <f>IF($A944="","",IF($AB944&amp;""='DB_設定'!$C$4,1,0))</f>
        <v>0</v>
      </c>
    </row>
    <row r="945">
      <c r="A945" t="n" s="2909">
        <v>31</v>
      </c>
      <c r="AA945" t="n" s="2909">
        <v>24</v>
      </c>
      <c r="AB945" t="inlineStr" s="2909">
        <is>
          <t>20250501</t>
        </is>
      </c>
      <c r="AD945" t="n" s="2909">
        <v>0</v>
      </c>
      <c r="AE945" t="inlineStr" s="2909">
        <is>
          <t>00000000</t>
        </is>
      </c>
      <c r="AH945" t="n" s="2909">
        <v>11</v>
      </c>
      <c r="AJ945" t="n" s="2909">
        <v>41</v>
      </c>
      <c r="AP945" t="n" s="2909">
        <v>170000</v>
      </c>
      <c r="DB945" s="2909" t="str">
        <f>IF($A945="","",IF($AH945=20,IF(AND(OR($A945=21,$A945=215),$AJ945=10),"①病院一般",IF(AND($A945=31,$AJ945=41),"②病院短期","対象外")),IF($AJ945=30,"③特定消防",IF(AND(OR($A945=21,$A945=215),$AJ945=10),"④一般",IF(AND($A945=31,$AJ945=41),"⑤短期","対象外")))))</f>
        <v>⑤短期</v>
      </c>
      <c r="DC945" s="2909">
        <f>IF($A945="","",IF($AB945&amp;""='DB_設定'!$C$4,1,0))</f>
        <v>0</v>
      </c>
    </row>
    <row r="946">
      <c r="A946" t="n" s="2909">
        <v>31</v>
      </c>
      <c r="AA946" t="n" s="2909">
        <v>21</v>
      </c>
      <c r="AB946" t="inlineStr" s="2909">
        <is>
          <t>20250401</t>
        </is>
      </c>
      <c r="AD946" t="n" s="2909">
        <v>0</v>
      </c>
      <c r="AE946" t="inlineStr" s="2909">
        <is>
          <t>00000000</t>
        </is>
      </c>
      <c r="AH946" t="n" s="2909">
        <v>1</v>
      </c>
      <c r="AJ946" t="n" s="2909">
        <v>41</v>
      </c>
      <c r="AP946" t="n" s="2909">
        <v>134000</v>
      </c>
      <c r="DB946" s="2909" t="str">
        <f>IF($A946="","",IF($AH946=20,IF(AND(OR($A946=21,$A946=215),$AJ946=10),"①病院一般",IF(AND($A946=31,$AJ946=41),"②病院短期","対象外")),IF($AJ946=30,"③特定消防",IF(AND(OR($A946=21,$A946=215),$AJ946=10),"④一般",IF(AND($A946=31,$AJ946=41),"⑤短期","対象外")))))</f>
        <v>⑤短期</v>
      </c>
      <c r="DC946" s="2909">
        <f>IF($A946="","",IF($AB946&amp;""='DB_設定'!$C$4,1,0))</f>
        <v>1</v>
      </c>
    </row>
    <row r="947">
      <c r="A947" t="n" s="2909">
        <v>31</v>
      </c>
      <c r="AA947" t="n" s="2909">
        <v>21</v>
      </c>
      <c r="AB947" t="inlineStr" s="2909">
        <is>
          <t>20250512</t>
        </is>
      </c>
      <c r="AD947" t="n" s="2909">
        <v>0</v>
      </c>
      <c r="AE947" t="inlineStr" s="2909">
        <is>
          <t>00000000</t>
        </is>
      </c>
      <c r="AH947" t="n" s="2909">
        <v>11</v>
      </c>
      <c r="AJ947" t="n" s="2909">
        <v>41</v>
      </c>
      <c r="AP947" t="n" s="2909">
        <v>180000</v>
      </c>
      <c r="DB947" s="2909" t="str">
        <f>IF($A947="","",IF($AH947=20,IF(AND(OR($A947=21,$A947=215),$AJ947=10),"①病院一般",IF(AND($A947=31,$AJ947=41),"②病院短期","対象外")),IF($AJ947=30,"③特定消防",IF(AND(OR($A947=21,$A947=215),$AJ947=10),"④一般",IF(AND($A947=31,$AJ947=41),"⑤短期","対象外")))))</f>
        <v>⑤短期</v>
      </c>
      <c r="DC947" s="2909">
        <f>IF($A947="","",IF($AB947&amp;""='DB_設定'!$C$4,1,0))</f>
        <v>0</v>
      </c>
    </row>
    <row r="948">
      <c r="A948" t="n" s="2909">
        <v>31</v>
      </c>
      <c r="AA948" t="n" s="2909">
        <v>21</v>
      </c>
      <c r="AB948" t="inlineStr" s="2909">
        <is>
          <t>20250401</t>
        </is>
      </c>
      <c r="AD948" t="n" s="2909">
        <v>0</v>
      </c>
      <c r="AE948" t="inlineStr" s="2909">
        <is>
          <t>00000000</t>
        </is>
      </c>
      <c r="AH948" t="n" s="2909">
        <v>11</v>
      </c>
      <c r="AJ948" t="n" s="2909">
        <v>41</v>
      </c>
      <c r="AP948" t="n" s="2909">
        <v>110000</v>
      </c>
      <c r="DB948" s="2909" t="str">
        <f>IF($A948="","",IF($AH948=20,IF(AND(OR($A948=21,$A948=215),$AJ948=10),"①病院一般",IF(AND($A948=31,$AJ948=41),"②病院短期","対象外")),IF($AJ948=30,"③特定消防",IF(AND(OR($A948=21,$A948=215),$AJ948=10),"④一般",IF(AND($A948=31,$AJ948=41),"⑤短期","対象外")))))</f>
        <v>⑤短期</v>
      </c>
      <c r="DC948" s="2909">
        <f>IF($A948="","",IF($AB948&amp;""='DB_設定'!$C$4,1,0))</f>
        <v>1</v>
      </c>
    </row>
    <row r="949">
      <c r="A949" t="n" s="2909">
        <v>31</v>
      </c>
      <c r="AA949" t="n" s="2909">
        <v>24</v>
      </c>
      <c r="AB949" t="inlineStr" s="2909">
        <is>
          <t>20250501</t>
        </is>
      </c>
      <c r="AD949" t="n" s="2909">
        <v>0</v>
      </c>
      <c r="AE949" t="inlineStr" s="2909">
        <is>
          <t>00000000</t>
        </is>
      </c>
      <c r="AH949" t="n" s="2909">
        <v>11</v>
      </c>
      <c r="AJ949" t="n" s="2909">
        <v>41</v>
      </c>
      <c r="AP949" t="n" s="2909">
        <v>118000</v>
      </c>
      <c r="DB949" s="2909" t="str">
        <f>IF($A949="","",IF($AH949=20,IF(AND(OR($A949=21,$A949=215),$AJ949=10),"①病院一般",IF(AND($A949=31,$AJ949=41),"②病院短期","対象外")),IF($AJ949=30,"③特定消防",IF(AND(OR($A949=21,$A949=215),$AJ949=10),"④一般",IF(AND($A949=31,$AJ949=41),"⑤短期","対象外")))))</f>
        <v>⑤短期</v>
      </c>
      <c r="DC949" s="2909">
        <f>IF($A949="","",IF($AB949&amp;""='DB_設定'!$C$4,1,0))</f>
        <v>0</v>
      </c>
    </row>
    <row r="950">
      <c r="A950" t="n" s="2909">
        <v>31</v>
      </c>
      <c r="AA950" t="n" s="2909">
        <v>21</v>
      </c>
      <c r="AB950" t="inlineStr" s="2909">
        <is>
          <t>20250901</t>
        </is>
      </c>
      <c r="AD950" t="n" s="2909">
        <v>0</v>
      </c>
      <c r="AE950" t="inlineStr" s="2909">
        <is>
          <t>00000000</t>
        </is>
      </c>
      <c r="AH950" t="n" s="2909">
        <v>1</v>
      </c>
      <c r="AJ950" t="n" s="2909">
        <v>41</v>
      </c>
      <c r="AP950" t="n" s="2909">
        <v>142000</v>
      </c>
      <c r="DB950" s="2909" t="str">
        <f>IF($A950="","",IF($AH950=20,IF(AND(OR($A950=21,$A950=215),$AJ950=10),"①病院一般",IF(AND($A950=31,$AJ950=41),"②病院短期","対象外")),IF($AJ950=30,"③特定消防",IF(AND(OR($A950=21,$A950=215),$AJ950=10),"④一般",IF(AND($A950=31,$AJ950=41),"⑤短期","対象外")))))</f>
        <v>⑤短期</v>
      </c>
      <c r="DC950" s="2909">
        <f>IF($A950="","",IF($AB950&amp;""='DB_設定'!$C$4,1,0))</f>
        <v>0</v>
      </c>
    </row>
    <row r="951">
      <c r="A951" t="n" s="2909">
        <v>31</v>
      </c>
      <c r="AA951" t="n" s="2909">
        <v>21</v>
      </c>
      <c r="AB951" t="inlineStr" s="2909">
        <is>
          <t>20250424</t>
        </is>
      </c>
      <c r="AD951" t="n" s="2909">
        <v>0</v>
      </c>
      <c r="AE951" t="inlineStr" s="2909">
        <is>
          <t>00000000</t>
        </is>
      </c>
      <c r="AH951" t="n" s="2909">
        <v>11</v>
      </c>
      <c r="AJ951" t="n" s="2909">
        <v>41</v>
      </c>
      <c r="AP951" t="n" s="2909">
        <v>190000</v>
      </c>
      <c r="DB951" s="2909" t="str">
        <f>IF($A951="","",IF($AH951=20,IF(AND(OR($A951=21,$A951=215),$AJ951=10),"①病院一般",IF(AND($A951=31,$AJ951=41),"②病院短期","対象外")),IF($AJ951=30,"③特定消防",IF(AND(OR($A951=21,$A951=215),$AJ951=10),"④一般",IF(AND($A951=31,$AJ951=41),"⑤短期","対象外")))))</f>
        <v>⑤短期</v>
      </c>
      <c r="DC951" s="2909">
        <f>IF($A951="","",IF($AB951&amp;""='DB_設定'!$C$4,1,0))</f>
        <v>0</v>
      </c>
    </row>
    <row r="952">
      <c r="A952" t="n" s="2909">
        <v>31</v>
      </c>
      <c r="AA952" t="n" s="2909">
        <v>24</v>
      </c>
      <c r="AB952" t="inlineStr" s="2909">
        <is>
          <t>20251001</t>
        </is>
      </c>
      <c r="AD952" t="n" s="2909">
        <v>0</v>
      </c>
      <c r="AE952" t="inlineStr" s="2909">
        <is>
          <t>00000000</t>
        </is>
      </c>
      <c r="AH952" t="n" s="2909">
        <v>1</v>
      </c>
      <c r="AJ952" t="n" s="2909">
        <v>41</v>
      </c>
      <c r="AP952" t="n" s="2909">
        <v>126000</v>
      </c>
      <c r="DB952" s="2909" t="str">
        <f>IF($A952="","",IF($AH952=20,IF(AND(OR($A952=21,$A952=215),$AJ952=10),"①病院一般",IF(AND($A952=31,$AJ952=41),"②病院短期","対象外")),IF($AJ952=30,"③特定消防",IF(AND(OR($A952=21,$A952=215),$AJ952=10),"④一般",IF(AND($A952=31,$AJ952=41),"⑤短期","対象外")))))</f>
        <v>⑤短期</v>
      </c>
      <c r="DC952" s="2909">
        <f>IF($A952="","",IF($AB952&amp;""='DB_設定'!$C$4,1,0))</f>
        <v>0</v>
      </c>
    </row>
    <row r="953">
      <c r="A953" t="n" s="2909">
        <v>31</v>
      </c>
      <c r="AA953" t="n" s="2909">
        <v>24</v>
      </c>
      <c r="AB953" t="inlineStr" s="2909">
        <is>
          <t>20250812</t>
        </is>
      </c>
      <c r="AD953" t="n" s="2909">
        <v>0</v>
      </c>
      <c r="AE953" t="inlineStr" s="2909">
        <is>
          <t>00000000</t>
        </is>
      </c>
      <c r="AH953" t="n" s="2909">
        <v>1</v>
      </c>
      <c r="AJ953" t="n" s="2909">
        <v>41</v>
      </c>
      <c r="AP953" t="n" s="2909">
        <v>134000</v>
      </c>
      <c r="DB953" s="2909" t="str">
        <f>IF($A953="","",IF($AH953=20,IF(AND(OR($A953=21,$A953=215),$AJ953=10),"①病院一般",IF(AND($A953=31,$AJ953=41),"②病院短期","対象外")),IF($AJ953=30,"③特定消防",IF(AND(OR($A953=21,$A953=215),$AJ953=10),"④一般",IF(AND($A953=31,$AJ953=41),"⑤短期","対象外")))))</f>
        <v>⑤短期</v>
      </c>
      <c r="DC953" s="2909">
        <f>IF($A953="","",IF($AB953&amp;""='DB_設定'!$C$4,1,0))</f>
        <v>0</v>
      </c>
    </row>
    <row r="954">
      <c r="A954" t="n" s="2909">
        <v>31</v>
      </c>
      <c r="AA954" t="n" s="2909">
        <v>21</v>
      </c>
      <c r="AB954" t="inlineStr" s="2909">
        <is>
          <t>20250701</t>
        </is>
      </c>
      <c r="AD954" t="n" s="2909">
        <v>0</v>
      </c>
      <c r="AE954" t="inlineStr" s="2909">
        <is>
          <t>00000000</t>
        </is>
      </c>
      <c r="AH954" t="n" s="2909">
        <v>1</v>
      </c>
      <c r="AJ954" t="n" s="2909">
        <v>41</v>
      </c>
      <c r="AP954" t="n" s="2909">
        <v>200000</v>
      </c>
      <c r="DB954" s="2909" t="str">
        <f>IF($A954="","",IF($AH954=20,IF(AND(OR($A954=21,$A954=215),$AJ954=10),"①病院一般",IF(AND($A954=31,$AJ954=41),"②病院短期","対象外")),IF($AJ954=30,"③特定消防",IF(AND(OR($A954=21,$A954=215),$AJ954=10),"④一般",IF(AND($A954=31,$AJ954=41),"⑤短期","対象外")))))</f>
        <v>⑤短期</v>
      </c>
      <c r="DC954" s="2909">
        <f>IF($A954="","",IF($AB954&amp;""='DB_設定'!$C$4,1,0))</f>
        <v>0</v>
      </c>
    </row>
    <row r="955">
      <c r="A955" t="n" s="2909">
        <v>31</v>
      </c>
      <c r="AA955" t="n" s="2909">
        <v>24</v>
      </c>
      <c r="AB955" t="inlineStr" s="2909">
        <is>
          <t>20250401</t>
        </is>
      </c>
      <c r="AD955" t="n" s="2909">
        <v>0</v>
      </c>
      <c r="AE955" t="inlineStr" s="2909">
        <is>
          <t>00000000</t>
        </is>
      </c>
      <c r="AH955" t="n" s="2909">
        <v>1</v>
      </c>
      <c r="AJ955" t="n" s="2909">
        <v>41</v>
      </c>
      <c r="AP955" t="n" s="2909">
        <v>190000</v>
      </c>
      <c r="DB955" s="2909" t="str">
        <f>IF($A955="","",IF($AH955=20,IF(AND(OR($A955=21,$A955=215),$AJ955=10),"①病院一般",IF(AND($A955=31,$AJ955=41),"②病院短期","対象外")),IF($AJ955=30,"③特定消防",IF(AND(OR($A955=21,$A955=215),$AJ955=10),"④一般",IF(AND($A955=31,$AJ955=41),"⑤短期","対象外")))))</f>
        <v>⑤短期</v>
      </c>
      <c r="DC955" s="2909">
        <f>IF($A955="","",IF($AB955&amp;""='DB_設定'!$C$4,1,0))</f>
        <v>1</v>
      </c>
    </row>
    <row r="956">
      <c r="A956" t="n" s="2909">
        <v>31</v>
      </c>
      <c r="AA956" t="n" s="2909">
        <v>21</v>
      </c>
      <c r="AB956" t="inlineStr" s="2909">
        <is>
          <t>20250501</t>
        </is>
      </c>
      <c r="AD956" t="n" s="2909">
        <v>0</v>
      </c>
      <c r="AE956" t="inlineStr" s="2909">
        <is>
          <t>00000000</t>
        </is>
      </c>
      <c r="AH956" t="n" s="2909">
        <v>1</v>
      </c>
      <c r="AJ956" t="n" s="2909">
        <v>41</v>
      </c>
      <c r="AP956" t="n" s="2909">
        <v>142000</v>
      </c>
      <c r="DB956" s="2909" t="str">
        <f>IF($A956="","",IF($AH956=20,IF(AND(OR($A956=21,$A956=215),$AJ956=10),"①病院一般",IF(AND($A956=31,$AJ956=41),"②病院短期","対象外")),IF($AJ956=30,"③特定消防",IF(AND(OR($A956=21,$A956=215),$AJ956=10),"④一般",IF(AND($A956=31,$AJ956=41),"⑤短期","対象外")))))</f>
        <v>⑤短期</v>
      </c>
      <c r="DC956" s="2909">
        <f>IF($A956="","",IF($AB956&amp;""='DB_設定'!$C$4,1,0))</f>
        <v>0</v>
      </c>
    </row>
    <row r="957">
      <c r="A957" t="n" s="2909">
        <v>31</v>
      </c>
      <c r="AA957" t="n" s="2909">
        <v>24</v>
      </c>
      <c r="AB957" t="inlineStr" s="2909">
        <is>
          <t>20250501</t>
        </is>
      </c>
      <c r="AD957" t="n" s="2909">
        <v>0</v>
      </c>
      <c r="AE957" t="inlineStr" s="2909">
        <is>
          <t>00000000</t>
        </is>
      </c>
      <c r="AH957" t="n" s="2909">
        <v>11</v>
      </c>
      <c r="AJ957" t="n" s="2909">
        <v>41</v>
      </c>
      <c r="AP957" t="n" s="2909">
        <v>126000</v>
      </c>
      <c r="DB957" s="2909" t="str">
        <f>IF($A957="","",IF($AH957=20,IF(AND(OR($A957=21,$A957=215),$AJ957=10),"①病院一般",IF(AND($A957=31,$AJ957=41),"②病院短期","対象外")),IF($AJ957=30,"③特定消防",IF(AND(OR($A957=21,$A957=215),$AJ957=10),"④一般",IF(AND($A957=31,$AJ957=41),"⑤短期","対象外")))))</f>
        <v>⑤短期</v>
      </c>
      <c r="DC957" s="2909">
        <f>IF($A957="","",IF($AB957&amp;""='DB_設定'!$C$4,1,0))</f>
        <v>0</v>
      </c>
    </row>
    <row r="958">
      <c r="A958" t="n" s="2909">
        <v>31</v>
      </c>
      <c r="AA958" t="n" s="2909">
        <v>24</v>
      </c>
      <c r="AB958" t="inlineStr" s="2909">
        <is>
          <t>20250401</t>
        </is>
      </c>
      <c r="AD958" t="n" s="2909">
        <v>0</v>
      </c>
      <c r="AE958" t="inlineStr" s="2909">
        <is>
          <t>00000000</t>
        </is>
      </c>
      <c r="AH958" t="n" s="2909">
        <v>1</v>
      </c>
      <c r="AJ958" t="n" s="2909">
        <v>41</v>
      </c>
      <c r="AP958" t="n" s="2909">
        <v>150000</v>
      </c>
      <c r="DB958" s="2909" t="str">
        <f>IF($A958="","",IF($AH958=20,IF(AND(OR($A958=21,$A958=215),$AJ958=10),"①病院一般",IF(AND($A958=31,$AJ958=41),"②病院短期","対象外")),IF($AJ958=30,"③特定消防",IF(AND(OR($A958=21,$A958=215),$AJ958=10),"④一般",IF(AND($A958=31,$AJ958=41),"⑤短期","対象外")))))</f>
        <v>⑤短期</v>
      </c>
      <c r="DC958" s="2909">
        <f>IF($A958="","",IF($AB958&amp;""='DB_設定'!$C$4,1,0))</f>
        <v>1</v>
      </c>
    </row>
    <row r="959">
      <c r="A959" t="n" s="2909">
        <v>31</v>
      </c>
      <c r="AA959" t="n" s="2909">
        <v>21</v>
      </c>
      <c r="AB959" t="inlineStr" s="2909">
        <is>
          <t>20250411</t>
        </is>
      </c>
      <c r="AD959" t="n" s="2909">
        <v>0</v>
      </c>
      <c r="AE959" t="inlineStr" s="2909">
        <is>
          <t>00000000</t>
        </is>
      </c>
      <c r="AH959" t="n" s="2909">
        <v>11</v>
      </c>
      <c r="AJ959" t="n" s="2909">
        <v>41</v>
      </c>
      <c r="AP959" t="n" s="2909">
        <v>68000</v>
      </c>
      <c r="DB959" s="2909" t="str">
        <f>IF($A959="","",IF($AH959=20,IF(AND(OR($A959=21,$A959=215),$AJ959=10),"①病院一般",IF(AND($A959=31,$AJ959=41),"②病院短期","対象外")),IF($AJ959=30,"③特定消防",IF(AND(OR($A959=21,$A959=215),$AJ959=10),"④一般",IF(AND($A959=31,$AJ959=41),"⑤短期","対象外")))))</f>
        <v>⑤短期</v>
      </c>
      <c r="DC959" s="2909">
        <f>IF($A959="","",IF($AB959&amp;""='DB_設定'!$C$4,1,0))</f>
        <v>0</v>
      </c>
    </row>
    <row r="960">
      <c r="A960" t="n" s="2909">
        <v>31</v>
      </c>
      <c r="AA960" t="n" s="2909">
        <v>21</v>
      </c>
      <c r="AB960" t="inlineStr" s="2909">
        <is>
          <t>20250401</t>
        </is>
      </c>
      <c r="AD960" t="n" s="2909">
        <v>0</v>
      </c>
      <c r="AE960" t="inlineStr" s="2909">
        <is>
          <t>00000000</t>
        </is>
      </c>
      <c r="AH960" t="n" s="2909">
        <v>1</v>
      </c>
      <c r="AJ960" t="n" s="2909">
        <v>41</v>
      </c>
      <c r="AP960" t="n" s="2909">
        <v>260000</v>
      </c>
      <c r="DB960" s="2909" t="str">
        <f>IF($A960="","",IF($AH960=20,IF(AND(OR($A960=21,$A960=215),$AJ960=10),"①病院一般",IF(AND($A960=31,$AJ960=41),"②病院短期","対象外")),IF($AJ960=30,"③特定消防",IF(AND(OR($A960=21,$A960=215),$AJ960=10),"④一般",IF(AND($A960=31,$AJ960=41),"⑤短期","対象外")))))</f>
        <v>⑤短期</v>
      </c>
      <c r="DC960" s="2909">
        <f>IF($A960="","",IF($AB960&amp;""='DB_設定'!$C$4,1,0))</f>
        <v>1</v>
      </c>
    </row>
    <row r="961">
      <c r="A961" t="n" s="2909">
        <v>31</v>
      </c>
      <c r="AA961" t="n" s="2909">
        <v>24</v>
      </c>
      <c r="AB961" t="inlineStr" s="2909">
        <is>
          <t>20250401</t>
        </is>
      </c>
      <c r="AD961" t="n" s="2909">
        <v>12</v>
      </c>
      <c r="AE961" t="inlineStr" s="2909">
        <is>
          <t>20250801</t>
        </is>
      </c>
      <c r="AH961" t="n" s="2909">
        <v>1</v>
      </c>
      <c r="AJ961" t="n" s="2909">
        <v>41</v>
      </c>
      <c r="AP961" t="n" s="2909">
        <v>142000</v>
      </c>
      <c r="DB961" s="2909" t="str">
        <f>IF($A961="","",IF($AH961=20,IF(AND(OR($A961=21,$A961=215),$AJ961=10),"①病院一般",IF(AND($A961=31,$AJ961=41),"②病院短期","対象外")),IF($AJ961=30,"③特定消防",IF(AND(OR($A961=21,$A961=215),$AJ961=10),"④一般",IF(AND($A961=31,$AJ961=41),"⑤短期","対象外")))))</f>
        <v>⑤短期</v>
      </c>
      <c r="DC961" s="2909">
        <f>IF($A961="","",IF($AB961&amp;""='DB_設定'!$C$4,1,0))</f>
        <v>1</v>
      </c>
    </row>
    <row r="962">
      <c r="A962" t="n" s="2909">
        <v>31</v>
      </c>
      <c r="AA962" t="n" s="2909">
        <v>21</v>
      </c>
      <c r="AB962" t="inlineStr" s="2909">
        <is>
          <t>20250401</t>
        </is>
      </c>
      <c r="AD962" t="n" s="2909">
        <v>0</v>
      </c>
      <c r="AE962" t="inlineStr" s="2909">
        <is>
          <t>00000000</t>
        </is>
      </c>
      <c r="AH962" t="n" s="2909">
        <v>11</v>
      </c>
      <c r="AJ962" t="n" s="2909">
        <v>41</v>
      </c>
      <c r="AP962" t="n" s="2909">
        <v>110000</v>
      </c>
      <c r="DB962" s="2909" t="str">
        <f>IF($A962="","",IF($AH962=20,IF(AND(OR($A962=21,$A962=215),$AJ962=10),"①病院一般",IF(AND($A962=31,$AJ962=41),"②病院短期","対象外")),IF($AJ962=30,"③特定消防",IF(AND(OR($A962=21,$A962=215),$AJ962=10),"④一般",IF(AND($A962=31,$AJ962=41),"⑤短期","対象外")))))</f>
        <v>⑤短期</v>
      </c>
      <c r="DC962" s="2909">
        <f>IF($A962="","",IF($AB962&amp;""='DB_設定'!$C$4,1,0))</f>
        <v>1</v>
      </c>
    </row>
    <row r="963">
      <c r="A963" t="n" s="2909">
        <v>31</v>
      </c>
      <c r="AA963" t="n" s="2909">
        <v>21</v>
      </c>
      <c r="AB963" t="inlineStr" s="2909">
        <is>
          <t>20250401</t>
        </is>
      </c>
      <c r="AD963" t="n" s="2909">
        <v>0</v>
      </c>
      <c r="AE963" t="inlineStr" s="2909">
        <is>
          <t>00000000</t>
        </is>
      </c>
      <c r="AH963" t="n" s="2909">
        <v>11</v>
      </c>
      <c r="AJ963" t="n" s="2909">
        <v>41</v>
      </c>
      <c r="AP963" t="n" s="2909">
        <v>118000</v>
      </c>
      <c r="DB963" s="2909" t="str">
        <f>IF($A963="","",IF($AH963=20,IF(AND(OR($A963=21,$A963=215),$AJ963=10),"①病院一般",IF(AND($A963=31,$AJ963=41),"②病院短期","対象外")),IF($AJ963=30,"③特定消防",IF(AND(OR($A963=21,$A963=215),$AJ963=10),"④一般",IF(AND($A963=31,$AJ963=41),"⑤短期","対象外")))))</f>
        <v>⑤短期</v>
      </c>
      <c r="DC963" s="2909">
        <f>IF($A963="","",IF($AB963&amp;""='DB_設定'!$C$4,1,0))</f>
        <v>1</v>
      </c>
    </row>
    <row r="964">
      <c r="A964" t="n" s="2909">
        <v>31</v>
      </c>
      <c r="AA964" t="n" s="2909">
        <v>21</v>
      </c>
      <c r="AB964" t="inlineStr" s="2909">
        <is>
          <t>20250501</t>
        </is>
      </c>
      <c r="AD964" t="n" s="2909">
        <v>0</v>
      </c>
      <c r="AE964" t="inlineStr" s="2909">
        <is>
          <t>00000000</t>
        </is>
      </c>
      <c r="AH964" t="n" s="2909">
        <v>11</v>
      </c>
      <c r="AJ964" t="n" s="2909">
        <v>41</v>
      </c>
      <c r="AP964" t="n" s="2909">
        <v>160000</v>
      </c>
      <c r="DB964" s="2909" t="str">
        <f>IF($A964="","",IF($AH964=20,IF(AND(OR($A964=21,$A964=215),$AJ964=10),"①病院一般",IF(AND($A964=31,$AJ964=41),"②病院短期","対象外")),IF($AJ964=30,"③特定消防",IF(AND(OR($A964=21,$A964=215),$AJ964=10),"④一般",IF(AND($A964=31,$AJ964=41),"⑤短期","対象外")))))</f>
        <v>⑤短期</v>
      </c>
      <c r="DC964" s="2909">
        <f>IF($A964="","",IF($AB964&amp;""='DB_設定'!$C$4,1,0))</f>
        <v>0</v>
      </c>
    </row>
    <row r="965">
      <c r="A965" t="n" s="2909">
        <v>31</v>
      </c>
      <c r="AA965" t="n" s="2909">
        <v>24</v>
      </c>
      <c r="AB965" t="inlineStr" s="2909">
        <is>
          <t>20250501</t>
        </is>
      </c>
      <c r="AD965" t="n" s="2909">
        <v>0</v>
      </c>
      <c r="AE965" t="inlineStr" s="2909">
        <is>
          <t>00000000</t>
        </is>
      </c>
      <c r="AH965" t="n" s="2909">
        <v>11</v>
      </c>
      <c r="AJ965" t="n" s="2909">
        <v>41</v>
      </c>
      <c r="AP965" t="n" s="2909">
        <v>180000</v>
      </c>
      <c r="DB965" s="2909" t="str">
        <f>IF($A965="","",IF($AH965=20,IF(AND(OR($A965=21,$A965=215),$AJ965=10),"①病院一般",IF(AND($A965=31,$AJ965=41),"②病院短期","対象外")),IF($AJ965=30,"③特定消防",IF(AND(OR($A965=21,$A965=215),$AJ965=10),"④一般",IF(AND($A965=31,$AJ965=41),"⑤短期","対象外")))))</f>
        <v>⑤短期</v>
      </c>
      <c r="DC965" s="2909">
        <f>IF($A965="","",IF($AB965&amp;""='DB_設定'!$C$4,1,0))</f>
        <v>0</v>
      </c>
    </row>
    <row r="966">
      <c r="A966" t="n" s="2909">
        <v>31</v>
      </c>
      <c r="AA966" t="n" s="2909">
        <v>24</v>
      </c>
      <c r="AB966" t="inlineStr" s="2909">
        <is>
          <t>20250501</t>
        </is>
      </c>
      <c r="AD966" t="n" s="2909">
        <v>0</v>
      </c>
      <c r="AE966" t="inlineStr" s="2909">
        <is>
          <t>00000000</t>
        </is>
      </c>
      <c r="AH966" t="n" s="2909">
        <v>11</v>
      </c>
      <c r="AJ966" t="n" s="2909">
        <v>41</v>
      </c>
      <c r="AP966" t="n" s="2909">
        <v>134000</v>
      </c>
      <c r="DB966" s="2909" t="str">
        <f>IF($A966="","",IF($AH966=20,IF(AND(OR($A966=21,$A966=215),$AJ966=10),"①病院一般",IF(AND($A966=31,$AJ966=41),"②病院短期","対象外")),IF($AJ966=30,"③特定消防",IF(AND(OR($A966=21,$A966=215),$AJ966=10),"④一般",IF(AND($A966=31,$AJ966=41),"⑤短期","対象外")))))</f>
        <v>⑤短期</v>
      </c>
      <c r="DC966" s="2909">
        <f>IF($A966="","",IF($AB966&amp;""='DB_設定'!$C$4,1,0))</f>
        <v>0</v>
      </c>
    </row>
    <row r="967">
      <c r="A967" t="n" s="2909">
        <v>31</v>
      </c>
      <c r="AA967" t="n" s="2909">
        <v>24</v>
      </c>
      <c r="AB967" t="inlineStr" s="2909">
        <is>
          <t>20250501</t>
        </is>
      </c>
      <c r="AD967" t="n" s="2909">
        <v>0</v>
      </c>
      <c r="AE967" t="inlineStr" s="2909">
        <is>
          <t>00000000</t>
        </is>
      </c>
      <c r="AH967" t="n" s="2909">
        <v>11</v>
      </c>
      <c r="AJ967" t="n" s="2909">
        <v>41</v>
      </c>
      <c r="AP967" t="n" s="2909">
        <v>110000</v>
      </c>
      <c r="DB967" s="2909" t="str">
        <f>IF($A967="","",IF($AH967=20,IF(AND(OR($A967=21,$A967=215),$AJ967=10),"①病院一般",IF(AND($A967=31,$AJ967=41),"②病院短期","対象外")),IF($AJ967=30,"③特定消防",IF(AND(OR($A967=21,$A967=215),$AJ967=10),"④一般",IF(AND($A967=31,$AJ967=41),"⑤短期","対象外")))))</f>
        <v>⑤短期</v>
      </c>
      <c r="DC967" s="2909">
        <f>IF($A967="","",IF($AB967&amp;""='DB_設定'!$C$4,1,0))</f>
        <v>0</v>
      </c>
    </row>
    <row r="968">
      <c r="A968" t="n" s="2909">
        <v>31</v>
      </c>
      <c r="AA968" t="n" s="2909">
        <v>21</v>
      </c>
      <c r="AB968" t="inlineStr" s="2909">
        <is>
          <t>20250401</t>
        </is>
      </c>
      <c r="AD968" t="n" s="2909">
        <v>0</v>
      </c>
      <c r="AE968" t="inlineStr" s="2909">
        <is>
          <t>00000000</t>
        </is>
      </c>
      <c r="AH968" t="n" s="2909">
        <v>1</v>
      </c>
      <c r="AJ968" t="n" s="2909">
        <v>41</v>
      </c>
      <c r="AP968" t="n" s="2909">
        <v>134000</v>
      </c>
      <c r="DB968" s="2909" t="str">
        <f>IF($A968="","",IF($AH968=20,IF(AND(OR($A968=21,$A968=215),$AJ968=10),"①病院一般",IF(AND($A968=31,$AJ968=41),"②病院短期","対象外")),IF($AJ968=30,"③特定消防",IF(AND(OR($A968=21,$A968=215),$AJ968=10),"④一般",IF(AND($A968=31,$AJ968=41),"⑤短期","対象外")))))</f>
        <v>⑤短期</v>
      </c>
      <c r="DC968" s="2909">
        <f>IF($A968="","",IF($AB968&amp;""='DB_設定'!$C$4,1,0))</f>
        <v>1</v>
      </c>
    </row>
    <row r="969">
      <c r="A969" t="n" s="2909">
        <v>31</v>
      </c>
      <c r="AA969" t="n" s="2909">
        <v>24</v>
      </c>
      <c r="AB969" t="inlineStr" s="2909">
        <is>
          <t>20250501</t>
        </is>
      </c>
      <c r="AD969" t="n" s="2909">
        <v>0</v>
      </c>
      <c r="AE969" t="inlineStr" s="2909">
        <is>
          <t>00000000</t>
        </is>
      </c>
      <c r="AH969" t="n" s="2909">
        <v>11</v>
      </c>
      <c r="AJ969" t="n" s="2909">
        <v>41</v>
      </c>
      <c r="AP969" t="n" s="2909">
        <v>118000</v>
      </c>
      <c r="DB969" s="2909" t="str">
        <f>IF($A969="","",IF($AH969=20,IF(AND(OR($A969=21,$A969=215),$AJ969=10),"①病院一般",IF(AND($A969=31,$AJ969=41),"②病院短期","対象外")),IF($AJ969=30,"③特定消防",IF(AND(OR($A969=21,$A969=215),$AJ969=10),"④一般",IF(AND($A969=31,$AJ969=41),"⑤短期","対象外")))))</f>
        <v>⑤短期</v>
      </c>
      <c r="DC969" s="2909">
        <f>IF($A969="","",IF($AB969&amp;""='DB_設定'!$C$4,1,0))</f>
        <v>0</v>
      </c>
    </row>
    <row r="970">
      <c r="A970" t="n" s="2909">
        <v>31</v>
      </c>
      <c r="AA970" t="n" s="2909">
        <v>21</v>
      </c>
      <c r="AB970" t="inlineStr" s="2909">
        <is>
          <t>20250411</t>
        </is>
      </c>
      <c r="AD970" t="n" s="2909">
        <v>0</v>
      </c>
      <c r="AE970" t="inlineStr" s="2909">
        <is>
          <t>00000000</t>
        </is>
      </c>
      <c r="AH970" t="n" s="2909">
        <v>11</v>
      </c>
      <c r="AJ970" t="n" s="2909">
        <v>41</v>
      </c>
      <c r="AP970" t="n" s="2909">
        <v>88000</v>
      </c>
      <c r="DB970" s="2909" t="str">
        <f>IF($A970="","",IF($AH970=20,IF(AND(OR($A970=21,$A970=215),$AJ970=10),"①病院一般",IF(AND($A970=31,$AJ970=41),"②病院短期","対象外")),IF($AJ970=30,"③特定消防",IF(AND(OR($A970=21,$A970=215),$AJ970=10),"④一般",IF(AND($A970=31,$AJ970=41),"⑤短期","対象外")))))</f>
        <v>⑤短期</v>
      </c>
      <c r="DC970" s="2909">
        <f>IF($A970="","",IF($AB970&amp;""='DB_設定'!$C$4,1,0))</f>
        <v>0</v>
      </c>
    </row>
    <row r="971">
      <c r="A971" t="n" s="2909">
        <v>31</v>
      </c>
      <c r="AA971" t="n" s="2909">
        <v>24</v>
      </c>
      <c r="AB971" t="inlineStr" s="2909">
        <is>
          <t>20250717</t>
        </is>
      </c>
      <c r="AD971" t="n" s="2909">
        <v>12</v>
      </c>
      <c r="AE971" t="inlineStr" s="2909">
        <is>
          <t>20250927</t>
        </is>
      </c>
      <c r="AH971" t="n" s="2909">
        <v>1</v>
      </c>
      <c r="AJ971" t="n" s="2909">
        <v>41</v>
      </c>
      <c r="AP971" t="n" s="2909">
        <v>126000</v>
      </c>
      <c r="DB971" s="2909" t="str">
        <f>IF($A971="","",IF($AH971=20,IF(AND(OR($A971=21,$A971=215),$AJ971=10),"①病院一般",IF(AND($A971=31,$AJ971=41),"②病院短期","対象外")),IF($AJ971=30,"③特定消防",IF(AND(OR($A971=21,$A971=215),$AJ971=10),"④一般",IF(AND($A971=31,$AJ971=41),"⑤短期","対象外")))))</f>
        <v>⑤短期</v>
      </c>
      <c r="DC971" s="2909">
        <f>IF($A971="","",IF($AB971&amp;""='DB_設定'!$C$4,1,0))</f>
        <v>0</v>
      </c>
    </row>
    <row r="972">
      <c r="A972" t="n" s="2909">
        <v>31</v>
      </c>
      <c r="AA972" t="n" s="2909">
        <v>24</v>
      </c>
      <c r="AB972" t="inlineStr" s="2909">
        <is>
          <t>20250801</t>
        </is>
      </c>
      <c r="AD972" t="n" s="2909">
        <v>0</v>
      </c>
      <c r="AE972" t="inlineStr" s="2909">
        <is>
          <t>00000000</t>
        </is>
      </c>
      <c r="AH972" t="n" s="2909">
        <v>11</v>
      </c>
      <c r="AJ972" t="n" s="2909">
        <v>41</v>
      </c>
      <c r="AP972" t="n" s="2909">
        <v>180000</v>
      </c>
      <c r="DB972" s="2909" t="str">
        <f>IF($A972="","",IF($AH972=20,IF(AND(OR($A972=21,$A972=215),$AJ972=10),"①病院一般",IF(AND($A972=31,$AJ972=41),"②病院短期","対象外")),IF($AJ972=30,"③特定消防",IF(AND(OR($A972=21,$A972=215),$AJ972=10),"④一般",IF(AND($A972=31,$AJ972=41),"⑤短期","対象外")))))</f>
        <v>⑤短期</v>
      </c>
      <c r="DC972" s="2909">
        <f>IF($A972="","",IF($AB972&amp;""='DB_設定'!$C$4,1,0))</f>
        <v>0</v>
      </c>
    </row>
    <row r="973">
      <c r="A973" t="n" s="2909">
        <v>31</v>
      </c>
      <c r="AA973" t="n" s="2909">
        <v>24</v>
      </c>
      <c r="AB973" t="inlineStr" s="2909">
        <is>
          <t>20250801</t>
        </is>
      </c>
      <c r="AD973" t="n" s="2909">
        <v>0</v>
      </c>
      <c r="AE973" t="inlineStr" s="2909">
        <is>
          <t>00000000</t>
        </is>
      </c>
      <c r="AH973" t="n" s="2909">
        <v>11</v>
      </c>
      <c r="AJ973" t="n" s="2909">
        <v>41</v>
      </c>
      <c r="AP973" t="n" s="2909">
        <v>190000</v>
      </c>
      <c r="DB973" s="2909" t="str">
        <f>IF($A973="","",IF($AH973=20,IF(AND(OR($A973=21,$A973=215),$AJ973=10),"①病院一般",IF(AND($A973=31,$AJ973=41),"②病院短期","対象外")),IF($AJ973=30,"③特定消防",IF(AND(OR($A973=21,$A973=215),$AJ973=10),"④一般",IF(AND($A973=31,$AJ973=41),"⑤短期","対象外")))))</f>
        <v>⑤短期</v>
      </c>
      <c r="DC973" s="2909">
        <f>IF($A973="","",IF($AB973&amp;""='DB_設定'!$C$4,1,0))</f>
        <v>0</v>
      </c>
    </row>
    <row r="974">
      <c r="A974" t="n" s="2909">
        <v>31</v>
      </c>
      <c r="AA974" t="n" s="2909">
        <v>24</v>
      </c>
      <c r="AB974" t="inlineStr" s="2909">
        <is>
          <t>20250501</t>
        </is>
      </c>
      <c r="AD974" t="n" s="2909">
        <v>0</v>
      </c>
      <c r="AE974" t="inlineStr" s="2909">
        <is>
          <t>00000000</t>
        </is>
      </c>
      <c r="AH974" t="n" s="2909">
        <v>11</v>
      </c>
      <c r="AJ974" t="n" s="2909">
        <v>41</v>
      </c>
      <c r="AP974" t="n" s="2909">
        <v>118000</v>
      </c>
      <c r="DB974" s="2909" t="str">
        <f>IF($A974="","",IF($AH974=20,IF(AND(OR($A974=21,$A974=215),$AJ974=10),"①病院一般",IF(AND($A974=31,$AJ974=41),"②病院短期","対象外")),IF($AJ974=30,"③特定消防",IF(AND(OR($A974=21,$A974=215),$AJ974=10),"④一般",IF(AND($A974=31,$AJ974=41),"⑤短期","対象外")))))</f>
        <v>⑤短期</v>
      </c>
      <c r="DC974" s="2909">
        <f>IF($A974="","",IF($AB974&amp;""='DB_設定'!$C$4,1,0))</f>
        <v>0</v>
      </c>
    </row>
    <row r="975">
      <c r="A975" t="n" s="2909">
        <v>31</v>
      </c>
      <c r="AA975" t="n" s="2909">
        <v>24</v>
      </c>
      <c r="AB975" t="inlineStr" s="2909">
        <is>
          <t>20250401</t>
        </is>
      </c>
      <c r="AD975" t="n" s="2909">
        <v>0</v>
      </c>
      <c r="AE975" t="inlineStr" s="2909">
        <is>
          <t>00000000</t>
        </is>
      </c>
      <c r="AH975" t="n" s="2909">
        <v>1</v>
      </c>
      <c r="AJ975" t="n" s="2909">
        <v>41</v>
      </c>
      <c r="AP975" t="n" s="2909">
        <v>200000</v>
      </c>
      <c r="DB975" s="2909" t="str">
        <f>IF($A975="","",IF($AH975=20,IF(AND(OR($A975=21,$A975=215),$AJ975=10),"①病院一般",IF(AND($A975=31,$AJ975=41),"②病院短期","対象外")),IF($AJ975=30,"③特定消防",IF(AND(OR($A975=21,$A975=215),$AJ975=10),"④一般",IF(AND($A975=31,$AJ975=41),"⑤短期","対象外")))))</f>
        <v>⑤短期</v>
      </c>
      <c r="DC975" s="2909">
        <f>IF($A975="","",IF($AB975&amp;""='DB_設定'!$C$4,1,0))</f>
        <v>1</v>
      </c>
    </row>
    <row r="976">
      <c r="A976" t="n" s="2909">
        <v>31</v>
      </c>
      <c r="AA976" t="n" s="2909">
        <v>24</v>
      </c>
      <c r="AB976" t="inlineStr" s="2909">
        <is>
          <t>20250804</t>
        </is>
      </c>
      <c r="AD976" t="n" s="2909">
        <v>0</v>
      </c>
      <c r="AE976" t="inlineStr" s="2909">
        <is>
          <t>00000000</t>
        </is>
      </c>
      <c r="AH976" t="n" s="2909">
        <v>11</v>
      </c>
      <c r="AJ976" t="n" s="2909">
        <v>41</v>
      </c>
      <c r="AP976" t="n" s="2909">
        <v>142000</v>
      </c>
      <c r="DB976" s="2909" t="str">
        <f>IF($A976="","",IF($AH976=20,IF(AND(OR($A976=21,$A976=215),$AJ976=10),"①病院一般",IF(AND($A976=31,$AJ976=41),"②病院短期","対象外")),IF($AJ976=30,"③特定消防",IF(AND(OR($A976=21,$A976=215),$AJ976=10),"④一般",IF(AND($A976=31,$AJ976=41),"⑤短期","対象外")))))</f>
        <v>⑤短期</v>
      </c>
      <c r="DC976" s="2909">
        <f>IF($A976="","",IF($AB976&amp;""='DB_設定'!$C$4,1,0))</f>
        <v>0</v>
      </c>
    </row>
    <row r="977">
      <c r="A977" t="n" s="2909">
        <v>31</v>
      </c>
      <c r="AA977" t="n" s="2909">
        <v>24</v>
      </c>
      <c r="AB977" t="inlineStr" s="2909">
        <is>
          <t>20250401</t>
        </is>
      </c>
      <c r="AD977" t="n" s="2909">
        <v>12</v>
      </c>
      <c r="AE977" t="inlineStr" s="2909">
        <is>
          <t>20251001</t>
        </is>
      </c>
      <c r="AH977" t="n" s="2909">
        <v>11</v>
      </c>
      <c r="AJ977" t="n" s="2909">
        <v>41</v>
      </c>
      <c r="AP977" t="n" s="2909">
        <v>142000</v>
      </c>
      <c r="DB977" s="2909" t="str">
        <f>IF($A977="","",IF($AH977=20,IF(AND(OR($A977=21,$A977=215),$AJ977=10),"①病院一般",IF(AND($A977=31,$AJ977=41),"②病院短期","対象外")),IF($AJ977=30,"③特定消防",IF(AND(OR($A977=21,$A977=215),$AJ977=10),"④一般",IF(AND($A977=31,$AJ977=41),"⑤短期","対象外")))))</f>
        <v>⑤短期</v>
      </c>
      <c r="DC977" s="2909">
        <f>IF($A977="","",IF($AB977&amp;""='DB_設定'!$C$4,1,0))</f>
        <v>1</v>
      </c>
    </row>
    <row r="978">
      <c r="A978" t="n" s="2909">
        <v>31</v>
      </c>
      <c r="AA978" t="n" s="2909">
        <v>24</v>
      </c>
      <c r="AB978" t="inlineStr" s="2909">
        <is>
          <t>20250414</t>
        </is>
      </c>
      <c r="AD978" t="n" s="2909">
        <v>0</v>
      </c>
      <c r="AE978" t="inlineStr" s="2909">
        <is>
          <t>00000000</t>
        </is>
      </c>
      <c r="AH978" t="n" s="2909">
        <v>1</v>
      </c>
      <c r="AJ978" t="n" s="2909">
        <v>41</v>
      </c>
      <c r="AP978" t="n" s="2909">
        <v>134000</v>
      </c>
      <c r="DB978" s="2909" t="str">
        <f>IF($A978="","",IF($AH978=20,IF(AND(OR($A978=21,$A978=215),$AJ978=10),"①病院一般",IF(AND($A978=31,$AJ978=41),"②病院短期","対象外")),IF($AJ978=30,"③特定消防",IF(AND(OR($A978=21,$A978=215),$AJ978=10),"④一般",IF(AND($A978=31,$AJ978=41),"⑤短期","対象外")))))</f>
        <v>⑤短期</v>
      </c>
      <c r="DC978" s="2909">
        <f>IF($A978="","",IF($AB978&amp;""='DB_設定'!$C$4,1,0))</f>
        <v>0</v>
      </c>
    </row>
    <row r="979">
      <c r="A979" t="n" s="2909">
        <v>31</v>
      </c>
      <c r="AA979" t="n" s="2909">
        <v>24</v>
      </c>
      <c r="AB979" t="inlineStr" s="2909">
        <is>
          <t>20250501</t>
        </is>
      </c>
      <c r="AD979" t="n" s="2909">
        <v>0</v>
      </c>
      <c r="AE979" t="inlineStr" s="2909">
        <is>
          <t>00000000</t>
        </is>
      </c>
      <c r="AH979" t="n" s="2909">
        <v>11</v>
      </c>
      <c r="AJ979" t="n" s="2909">
        <v>41</v>
      </c>
      <c r="AP979" t="n" s="2909">
        <v>220000</v>
      </c>
      <c r="DB979" s="2909" t="str">
        <f>IF($A979="","",IF($AH979=20,IF(AND(OR($A979=21,$A979=215),$AJ979=10),"①病院一般",IF(AND($A979=31,$AJ979=41),"②病院短期","対象外")),IF($AJ979=30,"③特定消防",IF(AND(OR($A979=21,$A979=215),$AJ979=10),"④一般",IF(AND($A979=31,$AJ979=41),"⑤短期","対象外")))))</f>
        <v>⑤短期</v>
      </c>
      <c r="DC979" s="2909">
        <f>IF($A979="","",IF($AB979&amp;""='DB_設定'!$C$4,1,0))</f>
        <v>0</v>
      </c>
    </row>
    <row r="980">
      <c r="A980" t="n" s="2909">
        <v>31</v>
      </c>
      <c r="AA980" t="n" s="2909">
        <v>21</v>
      </c>
      <c r="AB980" t="inlineStr" s="2909">
        <is>
          <t>20250401</t>
        </is>
      </c>
      <c r="AD980" t="n" s="2909">
        <v>0</v>
      </c>
      <c r="AE980" t="inlineStr" s="2909">
        <is>
          <t>00000000</t>
        </is>
      </c>
      <c r="AH980" t="n" s="2909">
        <v>1</v>
      </c>
      <c r="AJ980" t="n" s="2909">
        <v>41</v>
      </c>
      <c r="AP980" t="n" s="2909">
        <v>190000</v>
      </c>
      <c r="DB980" s="2909" t="str">
        <f>IF($A980="","",IF($AH980=20,IF(AND(OR($A980=21,$A980=215),$AJ980=10),"①病院一般",IF(AND($A980=31,$AJ980=41),"②病院短期","対象外")),IF($AJ980=30,"③特定消防",IF(AND(OR($A980=21,$A980=215),$AJ980=10),"④一般",IF(AND($A980=31,$AJ980=41),"⑤短期","対象外")))))</f>
        <v>⑤短期</v>
      </c>
      <c r="DC980" s="2909">
        <f>IF($A980="","",IF($AB980&amp;""='DB_設定'!$C$4,1,0))</f>
        <v>1</v>
      </c>
    </row>
    <row r="981">
      <c r="A981" t="n" s="2909">
        <v>31</v>
      </c>
      <c r="AA981" t="n" s="2909">
        <v>21</v>
      </c>
      <c r="AB981" t="inlineStr" s="2909">
        <is>
          <t>20250401</t>
        </is>
      </c>
      <c r="AD981" t="n" s="2909">
        <v>0</v>
      </c>
      <c r="AE981" t="inlineStr" s="2909">
        <is>
          <t>00000000</t>
        </is>
      </c>
      <c r="AH981" t="n" s="2909">
        <v>11</v>
      </c>
      <c r="AJ981" t="n" s="2909">
        <v>41</v>
      </c>
      <c r="AP981" t="n" s="2909">
        <v>118000</v>
      </c>
      <c r="DB981" s="2909" t="str">
        <f>IF($A981="","",IF($AH981=20,IF(AND(OR($A981=21,$A981=215),$AJ981=10),"①病院一般",IF(AND($A981=31,$AJ981=41),"②病院短期","対象外")),IF($AJ981=30,"③特定消防",IF(AND(OR($A981=21,$A981=215),$AJ981=10),"④一般",IF(AND($A981=31,$AJ981=41),"⑤短期","対象外")))))</f>
        <v>⑤短期</v>
      </c>
      <c r="DC981" s="2909">
        <f>IF($A981="","",IF($AB981&amp;""='DB_設定'!$C$4,1,0))</f>
        <v>1</v>
      </c>
    </row>
    <row r="982">
      <c r="A982" t="n" s="2909">
        <v>31</v>
      </c>
      <c r="AA982" t="n" s="2909">
        <v>21</v>
      </c>
      <c r="AB982" t="inlineStr" s="2909">
        <is>
          <t>20250401</t>
        </is>
      </c>
      <c r="AD982" t="n" s="2909">
        <v>0</v>
      </c>
      <c r="AE982" t="inlineStr" s="2909">
        <is>
          <t>00000000</t>
        </is>
      </c>
      <c r="AH982" t="n" s="2909">
        <v>1</v>
      </c>
      <c r="AJ982" t="n" s="2909">
        <v>41</v>
      </c>
      <c r="AP982" t="n" s="2909">
        <v>126000</v>
      </c>
      <c r="DB982" s="2909" t="str">
        <f>IF($A982="","",IF($AH982=20,IF(AND(OR($A982=21,$A982=215),$AJ982=10),"①病院一般",IF(AND($A982=31,$AJ982=41),"②病院短期","対象外")),IF($AJ982=30,"③特定消防",IF(AND(OR($A982=21,$A982=215),$AJ982=10),"④一般",IF(AND($A982=31,$AJ982=41),"⑤短期","対象外")))))</f>
        <v>⑤短期</v>
      </c>
      <c r="DC982" s="2909">
        <f>IF($A982="","",IF($AB982&amp;""='DB_設定'!$C$4,1,0))</f>
        <v>1</v>
      </c>
    </row>
    <row r="983">
      <c r="A983" t="n" s="2909">
        <v>31</v>
      </c>
      <c r="AA983" t="n" s="2909">
        <v>21</v>
      </c>
      <c r="AB983" t="inlineStr" s="2909">
        <is>
          <t>20250705</t>
        </is>
      </c>
      <c r="AD983" t="n" s="2909">
        <v>12</v>
      </c>
      <c r="AE983" t="inlineStr" s="2909">
        <is>
          <t>20250916</t>
        </is>
      </c>
      <c r="AH983" t="n" s="2909">
        <v>1</v>
      </c>
      <c r="AJ983" t="n" s="2909">
        <v>41</v>
      </c>
      <c r="AP983" t="n" s="2909">
        <v>260000</v>
      </c>
      <c r="DB983" s="2909" t="str">
        <f>IF($A983="","",IF($AH983=20,IF(AND(OR($A983=21,$A983=215),$AJ983=10),"①病院一般",IF(AND($A983=31,$AJ983=41),"②病院短期","対象外")),IF($AJ983=30,"③特定消防",IF(AND(OR($A983=21,$A983=215),$AJ983=10),"④一般",IF(AND($A983=31,$AJ983=41),"⑤短期","対象外")))))</f>
        <v>⑤短期</v>
      </c>
      <c r="DC983" s="2909">
        <f>IF($A983="","",IF($AB983&amp;""='DB_設定'!$C$4,1,0))</f>
        <v>0</v>
      </c>
    </row>
    <row r="984">
      <c r="A984" t="n" s="2909">
        <v>31</v>
      </c>
      <c r="AA984" t="n" s="2909">
        <v>21</v>
      </c>
      <c r="AB984" t="inlineStr" s="2909">
        <is>
          <t>20250501</t>
        </is>
      </c>
      <c r="AD984" t="n" s="2909">
        <v>0</v>
      </c>
      <c r="AE984" t="inlineStr" s="2909">
        <is>
          <t>00000000</t>
        </is>
      </c>
      <c r="AH984" t="n" s="2909">
        <v>20</v>
      </c>
      <c r="AJ984" t="n" s="2909">
        <v>41</v>
      </c>
      <c r="AP984" t="n" s="2909">
        <v>260000</v>
      </c>
      <c r="DB984" s="2909" t="str">
        <f>IF($A984="","",IF($AH984=20,IF(AND(OR($A984=21,$A984=215),$AJ984=10),"①病院一般",IF(AND($A984=31,$AJ984=41),"②病院短期","対象外")),IF($AJ984=30,"③特定消防",IF(AND(OR($A984=21,$A984=215),$AJ984=10),"④一般",IF(AND($A984=31,$AJ984=41),"⑤短期","対象外")))))</f>
        <v>②病院短期</v>
      </c>
      <c r="DC984" s="2909">
        <f>IF($A984="","",IF($AB984&amp;""='DB_設定'!$C$4,1,0))</f>
        <v>0</v>
      </c>
    </row>
    <row r="985">
      <c r="A985" t="n" s="2909">
        <v>31</v>
      </c>
      <c r="AA985" t="n" s="2909">
        <v>24</v>
      </c>
      <c r="AB985" t="inlineStr" s="2909">
        <is>
          <t>20250401</t>
        </is>
      </c>
      <c r="AD985" t="n" s="2909">
        <v>0</v>
      </c>
      <c r="AE985" t="inlineStr" s="2909">
        <is>
          <t>00000000</t>
        </is>
      </c>
      <c r="AH985" t="n" s="2909">
        <v>1</v>
      </c>
      <c r="AJ985" t="n" s="2909">
        <v>41</v>
      </c>
      <c r="AP985" t="n" s="2909">
        <v>160000</v>
      </c>
      <c r="DB985" s="2909" t="str">
        <f>IF($A985="","",IF($AH985=20,IF(AND(OR($A985=21,$A985=215),$AJ985=10),"①病院一般",IF(AND($A985=31,$AJ985=41),"②病院短期","対象外")),IF($AJ985=30,"③特定消防",IF(AND(OR($A985=21,$A985=215),$AJ985=10),"④一般",IF(AND($A985=31,$AJ985=41),"⑤短期","対象外")))))</f>
        <v>⑤短期</v>
      </c>
      <c r="DC985" s="2909">
        <f>IF($A985="","",IF($AB985&amp;""='DB_設定'!$C$4,1,0))</f>
        <v>1</v>
      </c>
    </row>
    <row r="986">
      <c r="A986" t="n" s="2909">
        <v>31</v>
      </c>
      <c r="AA986" t="n" s="2909">
        <v>24</v>
      </c>
      <c r="AB986" t="inlineStr" s="2909">
        <is>
          <t>20250901</t>
        </is>
      </c>
      <c r="AD986" t="n" s="2909">
        <v>0</v>
      </c>
      <c r="AE986" t="inlineStr" s="2909">
        <is>
          <t>00000000</t>
        </is>
      </c>
      <c r="AH986" t="n" s="2909">
        <v>1</v>
      </c>
      <c r="AJ986" t="n" s="2909">
        <v>41</v>
      </c>
      <c r="AP986" t="n" s="2909">
        <v>134000</v>
      </c>
      <c r="DB986" s="2909" t="str">
        <f>IF($A986="","",IF($AH986=20,IF(AND(OR($A986=21,$A986=215),$AJ986=10),"①病院一般",IF(AND($A986=31,$AJ986=41),"②病院短期","対象外")),IF($AJ986=30,"③特定消防",IF(AND(OR($A986=21,$A986=215),$AJ986=10),"④一般",IF(AND($A986=31,$AJ986=41),"⑤短期","対象外")))))</f>
        <v>⑤短期</v>
      </c>
      <c r="DC986" s="2909">
        <f>IF($A986="","",IF($AB986&amp;""='DB_設定'!$C$4,1,0))</f>
        <v>0</v>
      </c>
    </row>
    <row r="987">
      <c r="A987" t="n" s="2909">
        <v>31</v>
      </c>
      <c r="AA987" t="n" s="2909">
        <v>21</v>
      </c>
      <c r="AB987" t="inlineStr" s="2909">
        <is>
          <t>20250707</t>
        </is>
      </c>
      <c r="AD987" t="n" s="2909">
        <v>0</v>
      </c>
      <c r="AE987" t="inlineStr" s="2909">
        <is>
          <t>00000000</t>
        </is>
      </c>
      <c r="AH987" t="n" s="2909">
        <v>1</v>
      </c>
      <c r="AJ987" t="n" s="2909">
        <v>41</v>
      </c>
      <c r="AP987" t="n" s="2909">
        <v>118000</v>
      </c>
      <c r="DB987" s="2909" t="str">
        <f>IF($A987="","",IF($AH987=20,IF(AND(OR($A987=21,$A987=215),$AJ987=10),"①病院一般",IF(AND($A987=31,$AJ987=41),"②病院短期","対象外")),IF($AJ987=30,"③特定消防",IF(AND(OR($A987=21,$A987=215),$AJ987=10),"④一般",IF(AND($A987=31,$AJ987=41),"⑤短期","対象外")))))</f>
        <v>⑤短期</v>
      </c>
      <c r="DC987" s="2909">
        <f>IF($A987="","",IF($AB987&amp;""='DB_設定'!$C$4,1,0))</f>
        <v>0</v>
      </c>
    </row>
    <row r="988">
      <c r="A988" t="n" s="2909">
        <v>31</v>
      </c>
      <c r="AA988" t="n" s="2909">
        <v>24</v>
      </c>
      <c r="AB988" t="inlineStr" s="2909">
        <is>
          <t>20250501</t>
        </is>
      </c>
      <c r="AD988" t="n" s="2909">
        <v>0</v>
      </c>
      <c r="AE988" t="inlineStr" s="2909">
        <is>
          <t>00000000</t>
        </is>
      </c>
      <c r="AH988" t="n" s="2909">
        <v>11</v>
      </c>
      <c r="AJ988" t="n" s="2909">
        <v>41</v>
      </c>
      <c r="AP988" t="n" s="2909">
        <v>142000</v>
      </c>
      <c r="DB988" s="2909" t="str">
        <f>IF($A988="","",IF($AH988=20,IF(AND(OR($A988=21,$A988=215),$AJ988=10),"①病院一般",IF(AND($A988=31,$AJ988=41),"②病院短期","対象外")),IF($AJ988=30,"③特定消防",IF(AND(OR($A988=21,$A988=215),$AJ988=10),"④一般",IF(AND($A988=31,$AJ988=41),"⑤短期","対象外")))))</f>
        <v>⑤短期</v>
      </c>
      <c r="DC988" s="2909">
        <f>IF($A988="","",IF($AB988&amp;""='DB_設定'!$C$4,1,0))</f>
        <v>0</v>
      </c>
    </row>
    <row r="989">
      <c r="A989" t="n" s="2909">
        <v>31</v>
      </c>
      <c r="AA989" t="n" s="2909">
        <v>21</v>
      </c>
      <c r="AB989" t="inlineStr" s="2909">
        <is>
          <t>20250825</t>
        </is>
      </c>
      <c r="AD989" t="n" s="2909">
        <v>0</v>
      </c>
      <c r="AE989" t="inlineStr" s="2909">
        <is>
          <t>00000000</t>
        </is>
      </c>
      <c r="AH989" t="n" s="2909">
        <v>11</v>
      </c>
      <c r="AJ989" t="n" s="2909">
        <v>41</v>
      </c>
      <c r="AP989" t="n" s="2909">
        <v>200000</v>
      </c>
      <c r="DB989" s="2909" t="str">
        <f>IF($A989="","",IF($AH989=20,IF(AND(OR($A989=21,$A989=215),$AJ989=10),"①病院一般",IF(AND($A989=31,$AJ989=41),"②病院短期","対象外")),IF($AJ989=30,"③特定消防",IF(AND(OR($A989=21,$A989=215),$AJ989=10),"④一般",IF(AND($A989=31,$AJ989=41),"⑤短期","対象外")))))</f>
        <v>⑤短期</v>
      </c>
      <c r="DC989" s="2909">
        <f>IF($A989="","",IF($AB989&amp;""='DB_設定'!$C$4,1,0))</f>
        <v>0</v>
      </c>
    </row>
    <row r="990">
      <c r="A990" t="n" s="2909">
        <v>31</v>
      </c>
      <c r="AA990" t="n" s="2909">
        <v>21</v>
      </c>
      <c r="AB990" t="inlineStr" s="2909">
        <is>
          <t>20250501</t>
        </is>
      </c>
      <c r="AD990" t="n" s="2909">
        <v>0</v>
      </c>
      <c r="AE990" t="inlineStr" s="2909">
        <is>
          <t>00000000</t>
        </is>
      </c>
      <c r="AH990" t="n" s="2909">
        <v>11</v>
      </c>
      <c r="AJ990" t="n" s="2909">
        <v>41</v>
      </c>
      <c r="AP990" t="n" s="2909">
        <v>118000</v>
      </c>
      <c r="DB990" s="2909" t="str">
        <f>IF($A990="","",IF($AH990=20,IF(AND(OR($A990=21,$A990=215),$AJ990=10),"①病院一般",IF(AND($A990=31,$AJ990=41),"②病院短期","対象外")),IF($AJ990=30,"③特定消防",IF(AND(OR($A990=21,$A990=215),$AJ990=10),"④一般",IF(AND($A990=31,$AJ990=41),"⑤短期","対象外")))))</f>
        <v>⑤短期</v>
      </c>
      <c r="DC990" s="2909">
        <f>IF($A990="","",IF($AB990&amp;""='DB_設定'!$C$4,1,0))</f>
        <v>0</v>
      </c>
    </row>
    <row r="991">
      <c r="A991" t="n" s="2909">
        <v>31</v>
      </c>
      <c r="AA991" t="n" s="2909">
        <v>21</v>
      </c>
      <c r="AB991" t="inlineStr" s="2909">
        <is>
          <t>20250411</t>
        </is>
      </c>
      <c r="AD991" t="n" s="2909">
        <v>0</v>
      </c>
      <c r="AE991" t="inlineStr" s="2909">
        <is>
          <t>00000000</t>
        </is>
      </c>
      <c r="AH991" t="n" s="2909">
        <v>11</v>
      </c>
      <c r="AJ991" t="n" s="2909">
        <v>41</v>
      </c>
      <c r="AP991" t="n" s="2909">
        <v>68000</v>
      </c>
      <c r="DB991" s="2909" t="str">
        <f>IF($A991="","",IF($AH991=20,IF(AND(OR($A991=21,$A991=215),$AJ991=10),"①病院一般",IF(AND($A991=31,$AJ991=41),"②病院短期","対象外")),IF($AJ991=30,"③特定消防",IF(AND(OR($A991=21,$A991=215),$AJ991=10),"④一般",IF(AND($A991=31,$AJ991=41),"⑤短期","対象外")))))</f>
        <v>⑤短期</v>
      </c>
      <c r="DC991" s="2909">
        <f>IF($A991="","",IF($AB991&amp;""='DB_設定'!$C$4,1,0))</f>
        <v>0</v>
      </c>
    </row>
    <row r="992">
      <c r="A992" t="n" s="2909">
        <v>31</v>
      </c>
      <c r="AA992" t="n" s="2909">
        <v>21</v>
      </c>
      <c r="AB992" t="inlineStr" s="2909">
        <is>
          <t>20250501</t>
        </is>
      </c>
      <c r="AD992" t="n" s="2909">
        <v>0</v>
      </c>
      <c r="AE992" t="inlineStr" s="2909">
        <is>
          <t>00000000</t>
        </is>
      </c>
      <c r="AH992" t="n" s="2909">
        <v>11</v>
      </c>
      <c r="AJ992" t="n" s="2909">
        <v>41</v>
      </c>
      <c r="AP992" t="n" s="2909">
        <v>118000</v>
      </c>
      <c r="DB992" s="2909" t="str">
        <f>IF($A992="","",IF($AH992=20,IF(AND(OR($A992=21,$A992=215),$AJ992=10),"①病院一般",IF(AND($A992=31,$AJ992=41),"②病院短期","対象外")),IF($AJ992=30,"③特定消防",IF(AND(OR($A992=21,$A992=215),$AJ992=10),"④一般",IF(AND($A992=31,$AJ992=41),"⑤短期","対象外")))))</f>
        <v>⑤短期</v>
      </c>
      <c r="DC992" s="2909">
        <f>IF($A992="","",IF($AB992&amp;""='DB_設定'!$C$4,1,0))</f>
        <v>0</v>
      </c>
    </row>
    <row r="993">
      <c r="A993" t="n" s="2909">
        <v>31</v>
      </c>
      <c r="AA993" t="n" s="2909">
        <v>21</v>
      </c>
      <c r="AB993" t="inlineStr" s="2909">
        <is>
          <t>20250401</t>
        </is>
      </c>
      <c r="AD993" t="n" s="2909">
        <v>0</v>
      </c>
      <c r="AE993" t="inlineStr" s="2909">
        <is>
          <t>00000000</t>
        </is>
      </c>
      <c r="AH993" t="n" s="2909">
        <v>11</v>
      </c>
      <c r="AJ993" t="n" s="2909">
        <v>41</v>
      </c>
      <c r="AP993" t="n" s="2909">
        <v>104000</v>
      </c>
      <c r="DB993" s="2909" t="str">
        <f>IF($A993="","",IF($AH993=20,IF(AND(OR($A993=21,$A993=215),$AJ993=10),"①病院一般",IF(AND($A993=31,$AJ993=41),"②病院短期","対象外")),IF($AJ993=30,"③特定消防",IF(AND(OR($A993=21,$A993=215),$AJ993=10),"④一般",IF(AND($A993=31,$AJ993=41),"⑤短期","対象外")))))</f>
        <v>⑤短期</v>
      </c>
      <c r="DC993" s="2909">
        <f>IF($A993="","",IF($AB993&amp;""='DB_設定'!$C$4,1,0))</f>
        <v>1</v>
      </c>
    </row>
    <row r="994">
      <c r="A994" t="n" s="2909">
        <v>31</v>
      </c>
      <c r="AA994" t="n" s="2909">
        <v>24</v>
      </c>
      <c r="AB994" t="inlineStr" s="2909">
        <is>
          <t>20250501</t>
        </is>
      </c>
      <c r="AD994" t="n" s="2909">
        <v>0</v>
      </c>
      <c r="AE994" t="inlineStr" s="2909">
        <is>
          <t>00000000</t>
        </is>
      </c>
      <c r="AH994" t="n" s="2909">
        <v>11</v>
      </c>
      <c r="AJ994" t="n" s="2909">
        <v>41</v>
      </c>
      <c r="AP994" t="n" s="2909">
        <v>150000</v>
      </c>
      <c r="DB994" s="2909" t="str">
        <f>IF($A994="","",IF($AH994=20,IF(AND(OR($A994=21,$A994=215),$AJ994=10),"①病院一般",IF(AND($A994=31,$AJ994=41),"②病院短期","対象外")),IF($AJ994=30,"③特定消防",IF(AND(OR($A994=21,$A994=215),$AJ994=10),"④一般",IF(AND($A994=31,$AJ994=41),"⑤短期","対象外")))))</f>
        <v>⑤短期</v>
      </c>
      <c r="DC994" s="2909">
        <f>IF($A994="","",IF($AB994&amp;""='DB_設定'!$C$4,1,0))</f>
        <v>0</v>
      </c>
    </row>
    <row r="995">
      <c r="A995" t="n" s="2909">
        <v>31</v>
      </c>
      <c r="AA995" t="n" s="2909">
        <v>21</v>
      </c>
      <c r="AB995" t="inlineStr" s="2909">
        <is>
          <t>20250601</t>
        </is>
      </c>
      <c r="AD995" t="n" s="2909">
        <v>0</v>
      </c>
      <c r="AE995" t="inlineStr" s="2909">
        <is>
          <t>00000000</t>
        </is>
      </c>
      <c r="AH995" t="n" s="2909">
        <v>1</v>
      </c>
      <c r="AJ995" t="n" s="2909">
        <v>41</v>
      </c>
      <c r="AP995" t="n" s="2909">
        <v>190000</v>
      </c>
      <c r="DB995" s="2909" t="str">
        <f>IF($A995="","",IF($AH995=20,IF(AND(OR($A995=21,$A995=215),$AJ995=10),"①病院一般",IF(AND($A995=31,$AJ995=41),"②病院短期","対象外")),IF($AJ995=30,"③特定消防",IF(AND(OR($A995=21,$A995=215),$AJ995=10),"④一般",IF(AND($A995=31,$AJ995=41),"⑤短期","対象外")))))</f>
        <v>⑤短期</v>
      </c>
      <c r="DC995" s="2909">
        <f>IF($A995="","",IF($AB995&amp;""='DB_設定'!$C$4,1,0))</f>
        <v>0</v>
      </c>
    </row>
    <row r="996">
      <c r="A996" t="n" s="2909">
        <v>31</v>
      </c>
      <c r="AA996" t="n" s="2909">
        <v>21</v>
      </c>
      <c r="AB996" t="inlineStr" s="2909">
        <is>
          <t>20250411</t>
        </is>
      </c>
      <c r="AD996" t="n" s="2909">
        <v>0</v>
      </c>
      <c r="AE996" t="inlineStr" s="2909">
        <is>
          <t>00000000</t>
        </is>
      </c>
      <c r="AH996" t="n" s="2909">
        <v>11</v>
      </c>
      <c r="AJ996" t="n" s="2909">
        <v>41</v>
      </c>
      <c r="AP996" t="n" s="2909">
        <v>68000</v>
      </c>
      <c r="DB996" s="2909" t="str">
        <f>IF($A996="","",IF($AH996=20,IF(AND(OR($A996=21,$A996=215),$AJ996=10),"①病院一般",IF(AND($A996=31,$AJ996=41),"②病院短期","対象外")),IF($AJ996=30,"③特定消防",IF(AND(OR($A996=21,$A996=215),$AJ996=10),"④一般",IF(AND($A996=31,$AJ996=41),"⑤短期","対象外")))))</f>
        <v>⑤短期</v>
      </c>
      <c r="DC996" s="2909">
        <f>IF($A996="","",IF($AB996&amp;""='DB_設定'!$C$4,1,0))</f>
        <v>0</v>
      </c>
    </row>
    <row r="997">
      <c r="A997" t="n" s="2909">
        <v>31</v>
      </c>
      <c r="AA997" t="n" s="2909">
        <v>21</v>
      </c>
      <c r="AB997" t="inlineStr" s="2909">
        <is>
          <t>20250411</t>
        </is>
      </c>
      <c r="AD997" t="n" s="2909">
        <v>0</v>
      </c>
      <c r="AE997" t="inlineStr" s="2909">
        <is>
          <t>00000000</t>
        </is>
      </c>
      <c r="AH997" t="n" s="2909">
        <v>11</v>
      </c>
      <c r="AJ997" t="n" s="2909">
        <v>41</v>
      </c>
      <c r="AP997" t="n" s="2909">
        <v>68000</v>
      </c>
      <c r="DB997" s="2909" t="str">
        <f>IF($A997="","",IF($AH997=20,IF(AND(OR($A997=21,$A997=215),$AJ997=10),"①病院一般",IF(AND($A997=31,$AJ997=41),"②病院短期","対象外")),IF($AJ997=30,"③特定消防",IF(AND(OR($A997=21,$A997=215),$AJ997=10),"④一般",IF(AND($A997=31,$AJ997=41),"⑤短期","対象外")))))</f>
        <v>⑤短期</v>
      </c>
      <c r="DC997" s="2909">
        <f>IF($A997="","",IF($AB997&amp;""='DB_設定'!$C$4,1,0))</f>
        <v>0</v>
      </c>
    </row>
    <row r="998">
      <c r="A998" t="n" s="2909">
        <v>31</v>
      </c>
      <c r="AA998" t="n" s="2909">
        <v>24</v>
      </c>
      <c r="AB998" t="inlineStr" s="2909">
        <is>
          <t>20251001</t>
        </is>
      </c>
      <c r="AD998" t="n" s="2909">
        <v>0</v>
      </c>
      <c r="AE998" t="inlineStr" s="2909">
        <is>
          <t>00000000</t>
        </is>
      </c>
      <c r="AH998" t="n" s="2909">
        <v>1</v>
      </c>
      <c r="AJ998" t="n" s="2909">
        <v>41</v>
      </c>
      <c r="AP998" t="n" s="2909">
        <v>142000</v>
      </c>
      <c r="DB998" s="2909" t="str">
        <f>IF($A998="","",IF($AH998=20,IF(AND(OR($A998=21,$A998=215),$AJ998=10),"①病院一般",IF(AND($A998=31,$AJ998=41),"②病院短期","対象外")),IF($AJ998=30,"③特定消防",IF(AND(OR($A998=21,$A998=215),$AJ998=10),"④一般",IF(AND($A998=31,$AJ998=41),"⑤短期","対象外")))))</f>
        <v>⑤短期</v>
      </c>
      <c r="DC998" s="2909">
        <f>IF($A998="","",IF($AB998&amp;""='DB_設定'!$C$4,1,0))</f>
        <v>0</v>
      </c>
    </row>
    <row r="999">
      <c r="A999" t="n" s="2909">
        <v>31</v>
      </c>
      <c r="AA999" t="n" s="2909">
        <v>21</v>
      </c>
      <c r="AB999" t="inlineStr" s="2909">
        <is>
          <t>20250401</t>
        </is>
      </c>
      <c r="AD999" t="n" s="2909">
        <v>0</v>
      </c>
      <c r="AE999" t="inlineStr" s="2909">
        <is>
          <t>00000000</t>
        </is>
      </c>
      <c r="AH999" t="n" s="2909">
        <v>1</v>
      </c>
      <c r="AJ999" t="n" s="2909">
        <v>41</v>
      </c>
      <c r="AP999" t="n" s="2909">
        <v>200000</v>
      </c>
      <c r="DB999" s="2909" t="str">
        <f>IF($A999="","",IF($AH999=20,IF(AND(OR($A999=21,$A999=215),$AJ999=10),"①病院一般",IF(AND($A999=31,$AJ999=41),"②病院短期","対象外")),IF($AJ999=30,"③特定消防",IF(AND(OR($A999=21,$A999=215),$AJ999=10),"④一般",IF(AND($A999=31,$AJ999=41),"⑤短期","対象外")))))</f>
        <v>⑤短期</v>
      </c>
      <c r="DC999" s="2909">
        <f>IF($A999="","",IF($AB999&amp;""='DB_設定'!$C$4,1,0))</f>
        <v>1</v>
      </c>
    </row>
    <row r="1000">
      <c r="A1000" t="n" s="2909">
        <v>31</v>
      </c>
      <c r="AA1000" t="n" s="2909">
        <v>21</v>
      </c>
      <c r="AB1000" t="inlineStr" s="2909">
        <is>
          <t>20250601</t>
        </is>
      </c>
      <c r="AD1000" t="n" s="2909">
        <v>0</v>
      </c>
      <c r="AE1000" t="inlineStr" s="2909">
        <is>
          <t>00000000</t>
        </is>
      </c>
      <c r="AH1000" t="n" s="2909">
        <v>20</v>
      </c>
      <c r="AJ1000" t="n" s="2909">
        <v>41</v>
      </c>
      <c r="AP1000" t="n" s="2909">
        <v>260000</v>
      </c>
      <c r="DB1000" s="2909" t="str">
        <f>IF($A1000="","",IF($AH1000=20,IF(AND(OR($A1000=21,$A1000=215),$AJ1000=10),"①病院一般",IF(AND($A1000=31,$AJ1000=41),"②病院短期","対象外")),IF($AJ1000=30,"③特定消防",IF(AND(OR($A1000=21,$A1000=215),$AJ1000=10),"④一般",IF(AND($A1000=31,$AJ1000=41),"⑤短期","対象外")))))</f>
        <v>②病院短期</v>
      </c>
      <c r="DC1000" s="2909">
        <f>IF($A1000="","",IF($AB1000&amp;""='DB_設定'!$C$4,1,0))</f>
        <v>0</v>
      </c>
    </row>
    <row r="1001">
      <c r="A1001" t="n" s="2909">
        <v>31</v>
      </c>
      <c r="AA1001" t="n" s="2909">
        <v>24</v>
      </c>
      <c r="AB1001" t="inlineStr" s="2909">
        <is>
          <t>20250901</t>
        </is>
      </c>
      <c r="AD1001" t="n" s="2909">
        <v>0</v>
      </c>
      <c r="AE1001" t="inlineStr" s="2909">
        <is>
          <t>00000000</t>
        </is>
      </c>
      <c r="AH1001" t="n" s="2909">
        <v>1</v>
      </c>
      <c r="AJ1001" t="n" s="2909">
        <v>41</v>
      </c>
      <c r="AP1001" t="n" s="2909">
        <v>118000</v>
      </c>
      <c r="DB1001" s="2909" t="str">
        <f>IF($A1001="","",IF($AH1001=20,IF(AND(OR($A1001=21,$A1001=215),$AJ1001=10),"①病院一般",IF(AND($A1001=31,$AJ1001=41),"②病院短期","対象外")),IF($AJ1001=30,"③特定消防",IF(AND(OR($A1001=21,$A1001=215),$AJ1001=10),"④一般",IF(AND($A1001=31,$AJ1001=41),"⑤短期","対象外")))))</f>
        <v>⑤短期</v>
      </c>
      <c r="DC1001" s="2909">
        <f>IF($A1001="","",IF($AB1001&amp;""='DB_設定'!$C$4,1,0))</f>
        <v>0</v>
      </c>
    </row>
    <row r="1002">
      <c r="A1002" t="n" s="2909">
        <v>31</v>
      </c>
      <c r="AA1002" t="n" s="2909">
        <v>24</v>
      </c>
      <c r="AB1002" t="inlineStr" s="2909">
        <is>
          <t>20250401</t>
        </is>
      </c>
      <c r="AD1002" t="n" s="2909">
        <v>0</v>
      </c>
      <c r="AE1002" t="inlineStr" s="2909">
        <is>
          <t>00000000</t>
        </is>
      </c>
      <c r="AH1002" t="n" s="2909">
        <v>1</v>
      </c>
      <c r="AJ1002" t="n" s="2909">
        <v>41</v>
      </c>
      <c r="AP1002" t="n" s="2909">
        <v>190000</v>
      </c>
      <c r="DB1002" s="2909" t="str">
        <f>IF($A1002="","",IF($AH1002=20,IF(AND(OR($A1002=21,$A1002=215),$AJ1002=10),"①病院一般",IF(AND($A1002=31,$AJ1002=41),"②病院短期","対象外")),IF($AJ1002=30,"③特定消防",IF(AND(OR($A1002=21,$A1002=215),$AJ1002=10),"④一般",IF(AND($A1002=31,$AJ1002=41),"⑤短期","対象外")))))</f>
        <v>⑤短期</v>
      </c>
      <c r="DC1002" s="2909">
        <f>IF($A1002="","",IF($AB1002&amp;""='DB_設定'!$C$4,1,0))</f>
        <v>1</v>
      </c>
    </row>
    <row r="1003">
      <c r="A1003" t="n" s="2909">
        <v>31</v>
      </c>
      <c r="AA1003" t="n" s="2909">
        <v>21</v>
      </c>
      <c r="AB1003" t="inlineStr" s="2909">
        <is>
          <t>20250501</t>
        </is>
      </c>
      <c r="AD1003" t="n" s="2909">
        <v>0</v>
      </c>
      <c r="AE1003" t="inlineStr" s="2909">
        <is>
          <t>00000000</t>
        </is>
      </c>
      <c r="AH1003" t="n" s="2909">
        <v>11</v>
      </c>
      <c r="AJ1003" t="n" s="2909">
        <v>41</v>
      </c>
      <c r="AP1003" t="n" s="2909">
        <v>98000</v>
      </c>
      <c r="DB1003" s="2909" t="str">
        <f>IF($A1003="","",IF($AH1003=20,IF(AND(OR($A1003=21,$A1003=215),$AJ1003=10),"①病院一般",IF(AND($A1003=31,$AJ1003=41),"②病院短期","対象外")),IF($AJ1003=30,"③特定消防",IF(AND(OR($A1003=21,$A1003=215),$AJ1003=10),"④一般",IF(AND($A1003=31,$AJ1003=41),"⑤短期","対象外")))))</f>
        <v>⑤短期</v>
      </c>
      <c r="DC1003" s="2909">
        <f>IF($A1003="","",IF($AB1003&amp;""='DB_設定'!$C$4,1,0))</f>
        <v>0</v>
      </c>
    </row>
    <row r="1004">
      <c r="A1004" t="n" s="2909">
        <v>31</v>
      </c>
      <c r="AA1004" t="n" s="2909">
        <v>21</v>
      </c>
      <c r="AB1004" t="inlineStr" s="2909">
        <is>
          <t>20250410</t>
        </is>
      </c>
      <c r="AD1004" t="n" s="2909">
        <v>0</v>
      </c>
      <c r="AE1004" t="inlineStr" s="2909">
        <is>
          <t>00000000</t>
        </is>
      </c>
      <c r="AH1004" t="n" s="2909">
        <v>11</v>
      </c>
      <c r="AJ1004" t="n" s="2909">
        <v>41</v>
      </c>
      <c r="AP1004" t="n" s="2909">
        <v>240000</v>
      </c>
      <c r="DB1004" s="2909" t="str">
        <f>IF($A1004="","",IF($AH1004=20,IF(AND(OR($A1004=21,$A1004=215),$AJ1004=10),"①病院一般",IF(AND($A1004=31,$AJ1004=41),"②病院短期","対象外")),IF($AJ1004=30,"③特定消防",IF(AND(OR($A1004=21,$A1004=215),$AJ1004=10),"④一般",IF(AND($A1004=31,$AJ1004=41),"⑤短期","対象外")))))</f>
        <v>⑤短期</v>
      </c>
      <c r="DC1004" s="2909">
        <f>IF($A1004="","",IF($AB1004&amp;""='DB_設定'!$C$4,1,0))</f>
        <v>0</v>
      </c>
    </row>
    <row r="1005">
      <c r="A1005" t="n" s="2909">
        <v>31</v>
      </c>
      <c r="AA1005" t="n" s="2909">
        <v>21</v>
      </c>
      <c r="AB1005" t="inlineStr" s="2909">
        <is>
          <t>20250410</t>
        </is>
      </c>
      <c r="AD1005" t="n" s="2909">
        <v>0</v>
      </c>
      <c r="AE1005" t="inlineStr" s="2909">
        <is>
          <t>00000000</t>
        </is>
      </c>
      <c r="AH1005" t="n" s="2909">
        <v>11</v>
      </c>
      <c r="AJ1005" t="n" s="2909">
        <v>41</v>
      </c>
      <c r="AP1005" t="n" s="2909">
        <v>220000</v>
      </c>
      <c r="DB1005" s="2909" t="str">
        <f>IF($A1005="","",IF($AH1005=20,IF(AND(OR($A1005=21,$A1005=215),$AJ1005=10),"①病院一般",IF(AND($A1005=31,$AJ1005=41),"②病院短期","対象外")),IF($AJ1005=30,"③特定消防",IF(AND(OR($A1005=21,$A1005=215),$AJ1005=10),"④一般",IF(AND($A1005=31,$AJ1005=41),"⑤短期","対象外")))))</f>
        <v>⑤短期</v>
      </c>
      <c r="DC1005" s="2909">
        <f>IF($A1005="","",IF($AB1005&amp;""='DB_設定'!$C$4,1,0))</f>
        <v>0</v>
      </c>
    </row>
    <row r="1006">
      <c r="A1006" t="n" s="2909">
        <v>31</v>
      </c>
      <c r="AA1006" t="n" s="2909">
        <v>24</v>
      </c>
      <c r="AB1006" t="inlineStr" s="2909">
        <is>
          <t>20250501</t>
        </is>
      </c>
      <c r="AD1006" t="n" s="2909">
        <v>0</v>
      </c>
      <c r="AE1006" t="inlineStr" s="2909">
        <is>
          <t>00000000</t>
        </is>
      </c>
      <c r="AH1006" t="n" s="2909">
        <v>11</v>
      </c>
      <c r="AJ1006" t="n" s="2909">
        <v>41</v>
      </c>
      <c r="AP1006" t="n" s="2909">
        <v>190000</v>
      </c>
      <c r="DB1006" s="2909" t="str">
        <f>IF($A1006="","",IF($AH1006=20,IF(AND(OR($A1006=21,$A1006=215),$AJ1006=10),"①病院一般",IF(AND($A1006=31,$AJ1006=41),"②病院短期","対象外")),IF($AJ1006=30,"③特定消防",IF(AND(OR($A1006=21,$A1006=215),$AJ1006=10),"④一般",IF(AND($A1006=31,$AJ1006=41),"⑤短期","対象外")))))</f>
        <v>⑤短期</v>
      </c>
      <c r="DC1006" s="2909">
        <f>IF($A1006="","",IF($AB1006&amp;""='DB_設定'!$C$4,1,0))</f>
        <v>0</v>
      </c>
    </row>
    <row r="1007">
      <c r="A1007" t="n" s="2909">
        <v>31</v>
      </c>
      <c r="AA1007" t="n" s="2909">
        <v>21</v>
      </c>
      <c r="AB1007" t="inlineStr" s="2909">
        <is>
          <t>20250401</t>
        </is>
      </c>
      <c r="AD1007" t="n" s="2909">
        <v>12</v>
      </c>
      <c r="AE1007" t="inlineStr" s="2909">
        <is>
          <t>20251001</t>
        </is>
      </c>
      <c r="AH1007" t="n" s="2909">
        <v>1</v>
      </c>
      <c r="AJ1007" t="n" s="2909">
        <v>41</v>
      </c>
      <c r="AP1007" t="n" s="2909">
        <v>142000</v>
      </c>
      <c r="DB1007" s="2909" t="str">
        <f>IF($A1007="","",IF($AH1007=20,IF(AND(OR($A1007=21,$A1007=215),$AJ1007=10),"①病院一般",IF(AND($A1007=31,$AJ1007=41),"②病院短期","対象外")),IF($AJ1007=30,"③特定消防",IF(AND(OR($A1007=21,$A1007=215),$AJ1007=10),"④一般",IF(AND($A1007=31,$AJ1007=41),"⑤短期","対象外")))))</f>
        <v>⑤短期</v>
      </c>
      <c r="DC1007" s="2909">
        <f>IF($A1007="","",IF($AB1007&amp;""='DB_設定'!$C$4,1,0))</f>
        <v>1</v>
      </c>
    </row>
    <row r="1008">
      <c r="A1008" t="n" s="2909">
        <v>31</v>
      </c>
      <c r="AA1008" t="n" s="2909">
        <v>21</v>
      </c>
      <c r="AB1008" t="inlineStr" s="2909">
        <is>
          <t>20250411</t>
        </is>
      </c>
      <c r="AD1008" t="n" s="2909">
        <v>0</v>
      </c>
      <c r="AE1008" t="inlineStr" s="2909">
        <is>
          <t>00000000</t>
        </is>
      </c>
      <c r="AH1008" t="n" s="2909">
        <v>11</v>
      </c>
      <c r="AJ1008" t="n" s="2909">
        <v>41</v>
      </c>
      <c r="AP1008" t="n" s="2909">
        <v>58000</v>
      </c>
      <c r="DB1008" s="2909" t="str">
        <f>IF($A1008="","",IF($AH1008=20,IF(AND(OR($A1008=21,$A1008=215),$AJ1008=10),"①病院一般",IF(AND($A1008=31,$AJ1008=41),"②病院短期","対象外")),IF($AJ1008=30,"③特定消防",IF(AND(OR($A1008=21,$A1008=215),$AJ1008=10),"④一般",IF(AND($A1008=31,$AJ1008=41),"⑤短期","対象外")))))</f>
        <v>⑤短期</v>
      </c>
      <c r="DC1008" s="2909">
        <f>IF($A1008="","",IF($AB1008&amp;""='DB_設定'!$C$4,1,0))</f>
        <v>0</v>
      </c>
    </row>
    <row r="1009">
      <c r="A1009" t="n" s="2909">
        <v>31</v>
      </c>
      <c r="AA1009" t="n" s="2909">
        <v>21</v>
      </c>
      <c r="AB1009" t="inlineStr" s="2909">
        <is>
          <t>20250401</t>
        </is>
      </c>
      <c r="AD1009" t="n" s="2909">
        <v>0</v>
      </c>
      <c r="AE1009" t="inlineStr" s="2909">
        <is>
          <t>00000000</t>
        </is>
      </c>
      <c r="AH1009" t="n" s="2909">
        <v>1</v>
      </c>
      <c r="AJ1009" t="n" s="2909">
        <v>41</v>
      </c>
      <c r="AP1009" t="n" s="2909">
        <v>134000</v>
      </c>
      <c r="DB1009" s="2909" t="str">
        <f>IF($A1009="","",IF($AH1009=20,IF(AND(OR($A1009=21,$A1009=215),$AJ1009=10),"①病院一般",IF(AND($A1009=31,$AJ1009=41),"②病院短期","対象外")),IF($AJ1009=30,"③特定消防",IF(AND(OR($A1009=21,$A1009=215),$AJ1009=10),"④一般",IF(AND($A1009=31,$AJ1009=41),"⑤短期","対象外")))))</f>
        <v>⑤短期</v>
      </c>
      <c r="DC1009" s="2909">
        <f>IF($A1009="","",IF($AB1009&amp;""='DB_設定'!$C$4,1,0))</f>
        <v>1</v>
      </c>
    </row>
    <row r="1010">
      <c r="A1010" t="n" s="2909">
        <v>31</v>
      </c>
      <c r="AA1010" t="n" s="2909">
        <v>24</v>
      </c>
      <c r="AB1010" t="inlineStr" s="2909">
        <is>
          <t>20250901</t>
        </is>
      </c>
      <c r="AD1010" t="n" s="2909">
        <v>0</v>
      </c>
      <c r="AE1010" t="inlineStr" s="2909">
        <is>
          <t>00000000</t>
        </is>
      </c>
      <c r="AH1010" t="n" s="2909">
        <v>11</v>
      </c>
      <c r="AJ1010" t="n" s="2909">
        <v>41</v>
      </c>
      <c r="AP1010" t="n" s="2909">
        <v>200000</v>
      </c>
      <c r="DB1010" s="2909" t="str">
        <f>IF($A1010="","",IF($AH1010=20,IF(AND(OR($A1010=21,$A1010=215),$AJ1010=10),"①病院一般",IF(AND($A1010=31,$AJ1010=41),"②病院短期","対象外")),IF($AJ1010=30,"③特定消防",IF(AND(OR($A1010=21,$A1010=215),$AJ1010=10),"④一般",IF(AND($A1010=31,$AJ1010=41),"⑤短期","対象外")))))</f>
        <v>⑤短期</v>
      </c>
      <c r="DC1010" s="2909">
        <f>IF($A1010="","",IF($AB1010&amp;""='DB_設定'!$C$4,1,0))</f>
        <v>0</v>
      </c>
    </row>
    <row r="1011">
      <c r="A1011" t="n" s="2909">
        <v>31</v>
      </c>
      <c r="AA1011" t="n" s="2909">
        <v>21</v>
      </c>
      <c r="AB1011" t="inlineStr" s="2909">
        <is>
          <t>20250801</t>
        </is>
      </c>
      <c r="AD1011" t="n" s="2909">
        <v>12</v>
      </c>
      <c r="AE1011" t="inlineStr" s="2909">
        <is>
          <t>20251001</t>
        </is>
      </c>
      <c r="AH1011" t="n" s="2909">
        <v>1</v>
      </c>
      <c r="AJ1011" t="n" s="2909">
        <v>41</v>
      </c>
      <c r="AP1011" t="n" s="2909">
        <v>104000</v>
      </c>
      <c r="DB1011" s="2909" t="str">
        <f>IF($A1011="","",IF($AH1011=20,IF(AND(OR($A1011=21,$A1011=215),$AJ1011=10),"①病院一般",IF(AND($A1011=31,$AJ1011=41),"②病院短期","対象外")),IF($AJ1011=30,"③特定消防",IF(AND(OR($A1011=21,$A1011=215),$AJ1011=10),"④一般",IF(AND($A1011=31,$AJ1011=41),"⑤短期","対象外")))))</f>
        <v>⑤短期</v>
      </c>
      <c r="DC1011" s="2909">
        <f>IF($A1011="","",IF($AB1011&amp;""='DB_設定'!$C$4,1,0))</f>
        <v>0</v>
      </c>
    </row>
    <row r="1012">
      <c r="A1012" t="n" s="2909">
        <v>31</v>
      </c>
      <c r="AA1012" t="n" s="2909">
        <v>21</v>
      </c>
      <c r="AB1012" t="inlineStr" s="2909">
        <is>
          <t>20250801</t>
        </is>
      </c>
      <c r="AD1012" t="n" s="2909">
        <v>0</v>
      </c>
      <c r="AE1012" t="inlineStr" s="2909">
        <is>
          <t>00000000</t>
        </is>
      </c>
      <c r="AH1012" t="n" s="2909">
        <v>1</v>
      </c>
      <c r="AJ1012" t="n" s="2909">
        <v>41</v>
      </c>
      <c r="AP1012" t="n" s="2909">
        <v>150000</v>
      </c>
      <c r="DB1012" s="2909" t="str">
        <f>IF($A1012="","",IF($AH1012=20,IF(AND(OR($A1012=21,$A1012=215),$AJ1012=10),"①病院一般",IF(AND($A1012=31,$AJ1012=41),"②病院短期","対象外")),IF($AJ1012=30,"③特定消防",IF(AND(OR($A1012=21,$A1012=215),$AJ1012=10),"④一般",IF(AND($A1012=31,$AJ1012=41),"⑤短期","対象外")))))</f>
        <v>⑤短期</v>
      </c>
      <c r="DC1012" s="2909">
        <f>IF($A1012="","",IF($AB1012&amp;""='DB_設定'!$C$4,1,0))</f>
        <v>0</v>
      </c>
    </row>
    <row r="1013">
      <c r="A1013" t="n" s="2909">
        <v>31</v>
      </c>
      <c r="AA1013" t="n" s="2909">
        <v>21</v>
      </c>
      <c r="AB1013" t="inlineStr" s="2909">
        <is>
          <t>20250401</t>
        </is>
      </c>
      <c r="AD1013" t="n" s="2909">
        <v>12</v>
      </c>
      <c r="AE1013" t="inlineStr" s="2909">
        <is>
          <t>20250801</t>
        </is>
      </c>
      <c r="AH1013" t="n" s="2909">
        <v>1</v>
      </c>
      <c r="AJ1013" t="n" s="2909">
        <v>41</v>
      </c>
      <c r="AP1013" t="n" s="2909">
        <v>134000</v>
      </c>
      <c r="DB1013" s="2909" t="str">
        <f>IF($A1013="","",IF($AH1013=20,IF(AND(OR($A1013=21,$A1013=215),$AJ1013=10),"①病院一般",IF(AND($A1013=31,$AJ1013=41),"②病院短期","対象外")),IF($AJ1013=30,"③特定消防",IF(AND(OR($A1013=21,$A1013=215),$AJ1013=10),"④一般",IF(AND($A1013=31,$AJ1013=41),"⑤短期","対象外")))))</f>
        <v>⑤短期</v>
      </c>
      <c r="DC1013" s="2909">
        <f>IF($A1013="","",IF($AB1013&amp;""='DB_設定'!$C$4,1,0))</f>
        <v>1</v>
      </c>
    </row>
    <row r="1014">
      <c r="A1014" t="n" s="2909">
        <v>31</v>
      </c>
      <c r="AA1014" t="n" s="2909">
        <v>21</v>
      </c>
      <c r="AB1014" t="inlineStr" s="2909">
        <is>
          <t>20250722</t>
        </is>
      </c>
      <c r="AD1014" t="n" s="2909">
        <v>0</v>
      </c>
      <c r="AE1014" t="inlineStr" s="2909">
        <is>
          <t>00000000</t>
        </is>
      </c>
      <c r="AH1014" t="n" s="2909">
        <v>1</v>
      </c>
      <c r="AJ1014" t="n" s="2909">
        <v>41</v>
      </c>
      <c r="AP1014" t="n" s="2909">
        <v>142000</v>
      </c>
      <c r="DB1014" s="2909" t="str">
        <f>IF($A1014="","",IF($AH1014=20,IF(AND(OR($A1014=21,$A1014=215),$AJ1014=10),"①病院一般",IF(AND($A1014=31,$AJ1014=41),"②病院短期","対象外")),IF($AJ1014=30,"③特定消防",IF(AND(OR($A1014=21,$A1014=215),$AJ1014=10),"④一般",IF(AND($A1014=31,$AJ1014=41),"⑤短期","対象外")))))</f>
        <v>⑤短期</v>
      </c>
      <c r="DC1014" s="2909">
        <f>IF($A1014="","",IF($AB1014&amp;""='DB_設定'!$C$4,1,0))</f>
        <v>0</v>
      </c>
    </row>
    <row r="1015">
      <c r="A1015" t="n" s="2909">
        <v>31</v>
      </c>
      <c r="AA1015" t="n" s="2909">
        <v>24</v>
      </c>
      <c r="AB1015" t="inlineStr" s="2909">
        <is>
          <t>20250530</t>
        </is>
      </c>
      <c r="AD1015" t="n" s="2909">
        <v>12</v>
      </c>
      <c r="AE1015" t="inlineStr" s="2909">
        <is>
          <t>20250813</t>
        </is>
      </c>
      <c r="AH1015" t="n" s="2909">
        <v>1</v>
      </c>
      <c r="AJ1015" t="n" s="2909">
        <v>41</v>
      </c>
      <c r="AP1015" t="n" s="2909">
        <v>142000</v>
      </c>
      <c r="DB1015" s="2909" t="str">
        <f>IF($A1015="","",IF($AH1015=20,IF(AND(OR($A1015=21,$A1015=215),$AJ1015=10),"①病院一般",IF(AND($A1015=31,$AJ1015=41),"②病院短期","対象外")),IF($AJ1015=30,"③特定消防",IF(AND(OR($A1015=21,$A1015=215),$AJ1015=10),"④一般",IF(AND($A1015=31,$AJ1015=41),"⑤短期","対象外")))))</f>
        <v>⑤短期</v>
      </c>
      <c r="DC1015" s="2909">
        <f>IF($A1015="","",IF($AB1015&amp;""='DB_設定'!$C$4,1,0))</f>
        <v>0</v>
      </c>
    </row>
    <row r="1016">
      <c r="A1016" t="n" s="2909">
        <v>31</v>
      </c>
      <c r="AA1016" t="n" s="2909">
        <v>21</v>
      </c>
      <c r="AB1016" t="inlineStr" s="2909">
        <is>
          <t>20250401</t>
        </is>
      </c>
      <c r="AD1016" t="n" s="2909">
        <v>0</v>
      </c>
      <c r="AE1016" t="inlineStr" s="2909">
        <is>
          <t>00000000</t>
        </is>
      </c>
      <c r="AH1016" t="n" s="2909">
        <v>1</v>
      </c>
      <c r="AJ1016" t="n" s="2909">
        <v>41</v>
      </c>
      <c r="AP1016" t="n" s="2909">
        <v>142000</v>
      </c>
      <c r="DB1016" s="2909" t="str">
        <f>IF($A1016="","",IF($AH1016=20,IF(AND(OR($A1016=21,$A1016=215),$AJ1016=10),"①病院一般",IF(AND($A1016=31,$AJ1016=41),"②病院短期","対象外")),IF($AJ1016=30,"③特定消防",IF(AND(OR($A1016=21,$A1016=215),$AJ1016=10),"④一般",IF(AND($A1016=31,$AJ1016=41),"⑤短期","対象外")))))</f>
        <v>⑤短期</v>
      </c>
      <c r="DC1016" s="2909">
        <f>IF($A1016="","",IF($AB1016&amp;""='DB_設定'!$C$4,1,0))</f>
        <v>1</v>
      </c>
    </row>
    <row r="1017">
      <c r="A1017" t="n" s="2909">
        <v>31</v>
      </c>
      <c r="AA1017" t="n" s="2909">
        <v>21</v>
      </c>
      <c r="AB1017" t="inlineStr" s="2909">
        <is>
          <t>20250401</t>
        </is>
      </c>
      <c r="AD1017" t="n" s="2909">
        <v>0</v>
      </c>
      <c r="AE1017" t="inlineStr" s="2909">
        <is>
          <t>00000000</t>
        </is>
      </c>
      <c r="AH1017" t="n" s="2909">
        <v>11</v>
      </c>
      <c r="AJ1017" t="n" s="2909">
        <v>41</v>
      </c>
      <c r="AP1017" t="n" s="2909">
        <v>190000</v>
      </c>
      <c r="DB1017" s="2909" t="str">
        <f>IF($A1017="","",IF($AH1017=20,IF(AND(OR($A1017=21,$A1017=215),$AJ1017=10),"①病院一般",IF(AND($A1017=31,$AJ1017=41),"②病院短期","対象外")),IF($AJ1017=30,"③特定消防",IF(AND(OR($A1017=21,$A1017=215),$AJ1017=10),"④一般",IF(AND($A1017=31,$AJ1017=41),"⑤短期","対象外")))))</f>
        <v>⑤短期</v>
      </c>
      <c r="DC1017" s="2909">
        <f>IF($A1017="","",IF($AB1017&amp;""='DB_設定'!$C$4,1,0))</f>
        <v>1</v>
      </c>
    </row>
    <row r="1018">
      <c r="A1018" t="n" s="2909">
        <v>31</v>
      </c>
      <c r="AA1018" t="n" s="2909">
        <v>21</v>
      </c>
      <c r="AB1018" t="inlineStr" s="2909">
        <is>
          <t>20250401</t>
        </is>
      </c>
      <c r="AD1018" t="n" s="2909">
        <v>0</v>
      </c>
      <c r="AE1018" t="inlineStr" s="2909">
        <is>
          <t>00000000</t>
        </is>
      </c>
      <c r="AH1018" t="n" s="2909">
        <v>1</v>
      </c>
      <c r="AJ1018" t="n" s="2909">
        <v>41</v>
      </c>
      <c r="AP1018" t="n" s="2909">
        <v>118000</v>
      </c>
      <c r="DB1018" s="2909" t="str">
        <f>IF($A1018="","",IF($AH1018=20,IF(AND(OR($A1018=21,$A1018=215),$AJ1018=10),"①病院一般",IF(AND($A1018=31,$AJ1018=41),"②病院短期","対象外")),IF($AJ1018=30,"③特定消防",IF(AND(OR($A1018=21,$A1018=215),$AJ1018=10),"④一般",IF(AND($A1018=31,$AJ1018=41),"⑤短期","対象外")))))</f>
        <v>⑤短期</v>
      </c>
      <c r="DC1018" s="2909">
        <f>IF($A1018="","",IF($AB1018&amp;""='DB_設定'!$C$4,1,0))</f>
        <v>1</v>
      </c>
    </row>
    <row r="1019">
      <c r="A1019" t="n" s="2909">
        <v>31</v>
      </c>
      <c r="AA1019" t="n" s="2909">
        <v>21</v>
      </c>
      <c r="AB1019" t="inlineStr" s="2909">
        <is>
          <t>20250428</t>
        </is>
      </c>
      <c r="AD1019" t="n" s="2909">
        <v>12</v>
      </c>
      <c r="AE1019" t="inlineStr" s="2909">
        <is>
          <t>20250801</t>
        </is>
      </c>
      <c r="AH1019" t="n" s="2909">
        <v>1</v>
      </c>
      <c r="AJ1019" t="n" s="2909">
        <v>41</v>
      </c>
      <c r="AP1019" t="n" s="2909">
        <v>142000</v>
      </c>
      <c r="DB1019" s="2909" t="str">
        <f>IF($A1019="","",IF($AH1019=20,IF(AND(OR($A1019=21,$A1019=215),$AJ1019=10),"①病院一般",IF(AND($A1019=31,$AJ1019=41),"②病院短期","対象外")),IF($AJ1019=30,"③特定消防",IF(AND(OR($A1019=21,$A1019=215),$AJ1019=10),"④一般",IF(AND($A1019=31,$AJ1019=41),"⑤短期","対象外")))))</f>
        <v>⑤短期</v>
      </c>
      <c r="DC1019" s="2909">
        <f>IF($A1019="","",IF($AB1019&amp;""='DB_設定'!$C$4,1,0))</f>
        <v>0</v>
      </c>
    </row>
    <row r="1020">
      <c r="A1020" t="n" s="2909">
        <v>31</v>
      </c>
      <c r="AA1020" t="n" s="2909">
        <v>21</v>
      </c>
      <c r="AB1020" t="inlineStr" s="2909">
        <is>
          <t>20250401</t>
        </is>
      </c>
      <c r="AD1020" t="n" s="2909">
        <v>0</v>
      </c>
      <c r="AE1020" t="inlineStr" s="2909">
        <is>
          <t>00000000</t>
        </is>
      </c>
      <c r="AH1020" t="n" s="2909">
        <v>11</v>
      </c>
      <c r="AJ1020" t="n" s="2909">
        <v>41</v>
      </c>
      <c r="AP1020" t="n" s="2909">
        <v>180000</v>
      </c>
      <c r="DB1020" s="2909" t="str">
        <f>IF($A1020="","",IF($AH1020=20,IF(AND(OR($A1020=21,$A1020=215),$AJ1020=10),"①病院一般",IF(AND($A1020=31,$AJ1020=41),"②病院短期","対象外")),IF($AJ1020=30,"③特定消防",IF(AND(OR($A1020=21,$A1020=215),$AJ1020=10),"④一般",IF(AND($A1020=31,$AJ1020=41),"⑤短期","対象外")))))</f>
        <v>⑤短期</v>
      </c>
      <c r="DC1020" s="2909">
        <f>IF($A1020="","",IF($AB1020&amp;""='DB_設定'!$C$4,1,0))</f>
        <v>1</v>
      </c>
    </row>
    <row r="1021">
      <c r="A1021" t="n" s="2909">
        <v>31</v>
      </c>
      <c r="AA1021" t="n" s="2909">
        <v>21</v>
      </c>
      <c r="AB1021" t="inlineStr" s="2909">
        <is>
          <t>20250401</t>
        </is>
      </c>
      <c r="AD1021" t="n" s="2909">
        <v>0</v>
      </c>
      <c r="AE1021" t="inlineStr" s="2909">
        <is>
          <t>00000000</t>
        </is>
      </c>
      <c r="AH1021" t="n" s="2909">
        <v>1</v>
      </c>
      <c r="AJ1021" t="n" s="2909">
        <v>41</v>
      </c>
      <c r="AP1021" t="n" s="2909">
        <v>260000</v>
      </c>
      <c r="DB1021" s="2909" t="str">
        <f>IF($A1021="","",IF($AH1021=20,IF(AND(OR($A1021=21,$A1021=215),$AJ1021=10),"①病院一般",IF(AND($A1021=31,$AJ1021=41),"②病院短期","対象外")),IF($AJ1021=30,"③特定消防",IF(AND(OR($A1021=21,$A1021=215),$AJ1021=10),"④一般",IF(AND($A1021=31,$AJ1021=41),"⑤短期","対象外")))))</f>
        <v>⑤短期</v>
      </c>
      <c r="DC1021" s="2909">
        <f>IF($A1021="","",IF($AB1021&amp;""='DB_設定'!$C$4,1,0))</f>
        <v>1</v>
      </c>
    </row>
    <row r="1022">
      <c r="A1022" t="n" s="2909">
        <v>31</v>
      </c>
      <c r="AA1022" t="n" s="2909">
        <v>21</v>
      </c>
      <c r="AB1022" t="inlineStr" s="2909">
        <is>
          <t>20250401</t>
        </is>
      </c>
      <c r="AD1022" t="n" s="2909">
        <v>0</v>
      </c>
      <c r="AE1022" t="inlineStr" s="2909">
        <is>
          <t>00000000</t>
        </is>
      </c>
      <c r="AH1022" t="n" s="2909">
        <v>1</v>
      </c>
      <c r="AJ1022" t="n" s="2909">
        <v>41</v>
      </c>
      <c r="AP1022" t="n" s="2909">
        <v>134000</v>
      </c>
      <c r="DB1022" s="2909" t="str">
        <f>IF($A1022="","",IF($AH1022=20,IF(AND(OR($A1022=21,$A1022=215),$AJ1022=10),"①病院一般",IF(AND($A1022=31,$AJ1022=41),"②病院短期","対象外")),IF($AJ1022=30,"③特定消防",IF(AND(OR($A1022=21,$A1022=215),$AJ1022=10),"④一般",IF(AND($A1022=31,$AJ1022=41),"⑤短期","対象外")))))</f>
        <v>⑤短期</v>
      </c>
      <c r="DC1022" s="2909">
        <f>IF($A1022="","",IF($AB1022&amp;""='DB_設定'!$C$4,1,0))</f>
        <v>1</v>
      </c>
    </row>
    <row r="1023">
      <c r="A1023" t="n" s="2909">
        <v>31</v>
      </c>
      <c r="AA1023" t="n" s="2909">
        <v>21</v>
      </c>
      <c r="AB1023" t="inlineStr" s="2909">
        <is>
          <t>20250401</t>
        </is>
      </c>
      <c r="AD1023" t="n" s="2909">
        <v>0</v>
      </c>
      <c r="AE1023" t="inlineStr" s="2909">
        <is>
          <t>00000000</t>
        </is>
      </c>
      <c r="AH1023" t="n" s="2909">
        <v>1</v>
      </c>
      <c r="AJ1023" t="n" s="2909">
        <v>41</v>
      </c>
      <c r="AP1023" t="n" s="2909">
        <v>220000</v>
      </c>
      <c r="DB1023" s="2909" t="str">
        <f>IF($A1023="","",IF($AH1023=20,IF(AND(OR($A1023=21,$A1023=215),$AJ1023=10),"①病院一般",IF(AND($A1023=31,$AJ1023=41),"②病院短期","対象外")),IF($AJ1023=30,"③特定消防",IF(AND(OR($A1023=21,$A1023=215),$AJ1023=10),"④一般",IF(AND($A1023=31,$AJ1023=41),"⑤短期","対象外")))))</f>
        <v>⑤短期</v>
      </c>
      <c r="DC1023" s="2909">
        <f>IF($A1023="","",IF($AB1023&amp;""='DB_設定'!$C$4,1,0))</f>
        <v>1</v>
      </c>
    </row>
    <row r="1024">
      <c r="A1024" t="n" s="2909">
        <v>31</v>
      </c>
      <c r="AA1024" t="n" s="2909">
        <v>21</v>
      </c>
      <c r="AB1024" t="inlineStr" s="2909">
        <is>
          <t>20251001</t>
        </is>
      </c>
      <c r="AD1024" t="n" s="2909">
        <v>0</v>
      </c>
      <c r="AE1024" t="inlineStr" s="2909">
        <is>
          <t>00000000</t>
        </is>
      </c>
      <c r="AH1024" t="n" s="2909">
        <v>11</v>
      </c>
      <c r="AJ1024" t="n" s="2909">
        <v>41</v>
      </c>
      <c r="AP1024" t="n" s="2909">
        <v>98000</v>
      </c>
      <c r="DB1024" s="2909" t="str">
        <f>IF($A1024="","",IF($AH1024=20,IF(AND(OR($A1024=21,$A1024=215),$AJ1024=10),"①病院一般",IF(AND($A1024=31,$AJ1024=41),"②病院短期","対象外")),IF($AJ1024=30,"③特定消防",IF(AND(OR($A1024=21,$A1024=215),$AJ1024=10),"④一般",IF(AND($A1024=31,$AJ1024=41),"⑤短期","対象外")))))</f>
        <v>⑤短期</v>
      </c>
      <c r="DC1024" s="2909">
        <f>IF($A1024="","",IF($AB1024&amp;""='DB_設定'!$C$4,1,0))</f>
        <v>0</v>
      </c>
    </row>
    <row r="1025">
      <c r="A1025" t="n" s="2909">
        <v>31</v>
      </c>
      <c r="AA1025" t="n" s="2909">
        <v>21</v>
      </c>
      <c r="AB1025" t="inlineStr" s="2909">
        <is>
          <t>20250401</t>
        </is>
      </c>
      <c r="AD1025" t="n" s="2909">
        <v>0</v>
      </c>
      <c r="AE1025" t="inlineStr" s="2909">
        <is>
          <t>00000000</t>
        </is>
      </c>
      <c r="AH1025" t="n" s="2909">
        <v>1</v>
      </c>
      <c r="AJ1025" t="n" s="2909">
        <v>41</v>
      </c>
      <c r="AP1025" t="n" s="2909">
        <v>260000</v>
      </c>
      <c r="DB1025" s="2909" t="str">
        <f>IF($A1025="","",IF($AH1025=20,IF(AND(OR($A1025=21,$A1025=215),$AJ1025=10),"①病院一般",IF(AND($A1025=31,$AJ1025=41),"②病院短期","対象外")),IF($AJ1025=30,"③特定消防",IF(AND(OR($A1025=21,$A1025=215),$AJ1025=10),"④一般",IF(AND($A1025=31,$AJ1025=41),"⑤短期","対象外")))))</f>
        <v>⑤短期</v>
      </c>
      <c r="DC1025" s="2909">
        <f>IF($A1025="","",IF($AB1025&amp;""='DB_設定'!$C$4,1,0))</f>
        <v>1</v>
      </c>
    </row>
    <row r="1026">
      <c r="A1026" t="n" s="2909">
        <v>31</v>
      </c>
      <c r="AA1026" t="n" s="2909">
        <v>21</v>
      </c>
      <c r="AB1026" t="inlineStr" s="2909">
        <is>
          <t>20250819</t>
        </is>
      </c>
      <c r="AD1026" t="n" s="2909">
        <v>0</v>
      </c>
      <c r="AE1026" t="inlineStr" s="2909">
        <is>
          <t>00000000</t>
        </is>
      </c>
      <c r="AH1026" t="n" s="2909">
        <v>1</v>
      </c>
      <c r="AJ1026" t="n" s="2909">
        <v>41</v>
      </c>
      <c r="AP1026" t="n" s="2909">
        <v>142000</v>
      </c>
      <c r="DB1026" s="2909" t="str">
        <f>IF($A1026="","",IF($AH1026=20,IF(AND(OR($A1026=21,$A1026=215),$AJ1026=10),"①病院一般",IF(AND($A1026=31,$AJ1026=41),"②病院短期","対象外")),IF($AJ1026=30,"③特定消防",IF(AND(OR($A1026=21,$A1026=215),$AJ1026=10),"④一般",IF(AND($A1026=31,$AJ1026=41),"⑤短期","対象外")))))</f>
        <v>⑤短期</v>
      </c>
      <c r="DC1026" s="2909">
        <f>IF($A1026="","",IF($AB1026&amp;""='DB_設定'!$C$4,1,0))</f>
        <v>0</v>
      </c>
    </row>
    <row r="1027">
      <c r="A1027" t="n" s="2909">
        <v>31</v>
      </c>
      <c r="AA1027" t="n" s="2909">
        <v>21</v>
      </c>
      <c r="AB1027" t="inlineStr" s="2909">
        <is>
          <t>20250401</t>
        </is>
      </c>
      <c r="AD1027" t="n" s="2909">
        <v>0</v>
      </c>
      <c r="AE1027" t="inlineStr" s="2909">
        <is>
          <t>00000000</t>
        </is>
      </c>
      <c r="AH1027" t="n" s="2909">
        <v>1</v>
      </c>
      <c r="AJ1027" t="n" s="2909">
        <v>41</v>
      </c>
      <c r="AP1027" t="n" s="2909">
        <v>134000</v>
      </c>
      <c r="DB1027" s="2909" t="str">
        <f>IF($A1027="","",IF($AH1027=20,IF(AND(OR($A1027=21,$A1027=215),$AJ1027=10),"①病院一般",IF(AND($A1027=31,$AJ1027=41),"②病院短期","対象外")),IF($AJ1027=30,"③特定消防",IF(AND(OR($A1027=21,$A1027=215),$AJ1027=10),"④一般",IF(AND($A1027=31,$AJ1027=41),"⑤短期","対象外")))))</f>
        <v>⑤短期</v>
      </c>
      <c r="DC1027" s="2909">
        <f>IF($A1027="","",IF($AB1027&amp;""='DB_設定'!$C$4,1,0))</f>
        <v>1</v>
      </c>
    </row>
    <row r="1028">
      <c r="A1028" t="n" s="2909">
        <v>31</v>
      </c>
      <c r="AA1028" t="n" s="2909">
        <v>21</v>
      </c>
      <c r="AB1028" t="inlineStr" s="2909">
        <is>
          <t>20250401</t>
        </is>
      </c>
      <c r="AD1028" t="n" s="2909">
        <v>0</v>
      </c>
      <c r="AE1028" t="inlineStr" s="2909">
        <is>
          <t>00000000</t>
        </is>
      </c>
      <c r="AH1028" t="n" s="2909">
        <v>1</v>
      </c>
      <c r="AJ1028" t="n" s="2909">
        <v>41</v>
      </c>
      <c r="AP1028" t="n" s="2909">
        <v>134000</v>
      </c>
      <c r="DB1028" s="2909" t="str">
        <f>IF($A1028="","",IF($AH1028=20,IF(AND(OR($A1028=21,$A1028=215),$AJ1028=10),"①病院一般",IF(AND($A1028=31,$AJ1028=41),"②病院短期","対象外")),IF($AJ1028=30,"③特定消防",IF(AND(OR($A1028=21,$A1028=215),$AJ1028=10),"④一般",IF(AND($A1028=31,$AJ1028=41),"⑤短期","対象外")))))</f>
        <v>⑤短期</v>
      </c>
      <c r="DC1028" s="2909">
        <f>IF($A1028="","",IF($AB1028&amp;""='DB_設定'!$C$4,1,0))</f>
        <v>1</v>
      </c>
    </row>
    <row r="1029">
      <c r="A1029" t="n" s="2909">
        <v>31</v>
      </c>
      <c r="AA1029" t="n" s="2909">
        <v>21</v>
      </c>
      <c r="AB1029" t="inlineStr" s="2909">
        <is>
          <t>20250401</t>
        </is>
      </c>
      <c r="AD1029" t="n" s="2909">
        <v>0</v>
      </c>
      <c r="AE1029" t="inlineStr" s="2909">
        <is>
          <t>00000000</t>
        </is>
      </c>
      <c r="AH1029" t="n" s="2909">
        <v>1</v>
      </c>
      <c r="AJ1029" t="n" s="2909">
        <v>41</v>
      </c>
      <c r="AP1029" t="n" s="2909">
        <v>134000</v>
      </c>
      <c r="DB1029" s="2909" t="str">
        <f>IF($A1029="","",IF($AH1029=20,IF(AND(OR($A1029=21,$A1029=215),$AJ1029=10),"①病院一般",IF(AND($A1029=31,$AJ1029=41),"②病院短期","対象外")),IF($AJ1029=30,"③特定消防",IF(AND(OR($A1029=21,$A1029=215),$AJ1029=10),"④一般",IF(AND($A1029=31,$AJ1029=41),"⑤短期","対象外")))))</f>
        <v>⑤短期</v>
      </c>
      <c r="DC1029" s="2909">
        <f>IF($A1029="","",IF($AB1029&amp;""='DB_設定'!$C$4,1,0))</f>
        <v>1</v>
      </c>
    </row>
    <row r="1030">
      <c r="A1030" t="n" s="2909">
        <v>31</v>
      </c>
      <c r="AA1030" t="n" s="2909">
        <v>21</v>
      </c>
      <c r="AB1030" t="inlineStr" s="2909">
        <is>
          <t>20250401</t>
        </is>
      </c>
      <c r="AD1030" t="n" s="2909">
        <v>0</v>
      </c>
      <c r="AE1030" t="inlineStr" s="2909">
        <is>
          <t>00000000</t>
        </is>
      </c>
      <c r="AH1030" t="n" s="2909">
        <v>1</v>
      </c>
      <c r="AJ1030" t="n" s="2909">
        <v>41</v>
      </c>
      <c r="AP1030" t="n" s="2909">
        <v>220000</v>
      </c>
      <c r="DB1030" s="2909" t="str">
        <f>IF($A1030="","",IF($AH1030=20,IF(AND(OR($A1030=21,$A1030=215),$AJ1030=10),"①病院一般",IF(AND($A1030=31,$AJ1030=41),"②病院短期","対象外")),IF($AJ1030=30,"③特定消防",IF(AND(OR($A1030=21,$A1030=215),$AJ1030=10),"④一般",IF(AND($A1030=31,$AJ1030=41),"⑤短期","対象外")))))</f>
        <v>⑤短期</v>
      </c>
      <c r="DC1030" s="2909">
        <f>IF($A1030="","",IF($AB1030&amp;""='DB_設定'!$C$4,1,0))</f>
        <v>1</v>
      </c>
    </row>
    <row r="1031">
      <c r="A1031" t="n" s="2909">
        <v>31</v>
      </c>
      <c r="AA1031" t="n" s="2909">
        <v>21</v>
      </c>
      <c r="AB1031" t="inlineStr" s="2909">
        <is>
          <t>20250401</t>
        </is>
      </c>
      <c r="AD1031" t="n" s="2909">
        <v>12</v>
      </c>
      <c r="AE1031" t="inlineStr" s="2909">
        <is>
          <t>20250701</t>
        </is>
      </c>
      <c r="AH1031" t="n" s="2909">
        <v>1</v>
      </c>
      <c r="AJ1031" t="n" s="2909">
        <v>41</v>
      </c>
      <c r="AP1031" t="n" s="2909">
        <v>142000</v>
      </c>
      <c r="DB1031" s="2909" t="str">
        <f>IF($A1031="","",IF($AH1031=20,IF(AND(OR($A1031=21,$A1031=215),$AJ1031=10),"①病院一般",IF(AND($A1031=31,$AJ1031=41),"②病院短期","対象外")),IF($AJ1031=30,"③特定消防",IF(AND(OR($A1031=21,$A1031=215),$AJ1031=10),"④一般",IF(AND($A1031=31,$AJ1031=41),"⑤短期","対象外")))))</f>
        <v>⑤短期</v>
      </c>
      <c r="DC1031" s="2909">
        <f>IF($A1031="","",IF($AB1031&amp;""='DB_設定'!$C$4,1,0))</f>
        <v>1</v>
      </c>
    </row>
    <row r="1032">
      <c r="A1032" t="n" s="2909">
        <v>31</v>
      </c>
      <c r="AA1032" t="n" s="2909">
        <v>21</v>
      </c>
      <c r="AB1032" t="inlineStr" s="2909">
        <is>
          <t>20250409</t>
        </is>
      </c>
      <c r="AD1032" t="n" s="2909">
        <v>0</v>
      </c>
      <c r="AE1032" t="inlineStr" s="2909">
        <is>
          <t>00000000</t>
        </is>
      </c>
      <c r="AH1032" t="n" s="2909">
        <v>11</v>
      </c>
      <c r="AJ1032" t="n" s="2909">
        <v>41</v>
      </c>
      <c r="AP1032" t="n" s="2909">
        <v>118000</v>
      </c>
      <c r="DB1032" s="2909" t="str">
        <f>IF($A1032="","",IF($AH1032=20,IF(AND(OR($A1032=21,$A1032=215),$AJ1032=10),"①病院一般",IF(AND($A1032=31,$AJ1032=41),"②病院短期","対象外")),IF($AJ1032=30,"③特定消防",IF(AND(OR($A1032=21,$A1032=215),$AJ1032=10),"④一般",IF(AND($A1032=31,$AJ1032=41),"⑤短期","対象外")))))</f>
        <v>⑤短期</v>
      </c>
      <c r="DC1032" s="2909">
        <f>IF($A1032="","",IF($AB1032&amp;""='DB_設定'!$C$4,1,0))</f>
        <v>0</v>
      </c>
    </row>
    <row r="1033">
      <c r="A1033" t="n" s="2909">
        <v>31</v>
      </c>
      <c r="AA1033" t="n" s="2909">
        <v>21</v>
      </c>
      <c r="AB1033" t="inlineStr" s="2909">
        <is>
          <t>20250605</t>
        </is>
      </c>
      <c r="AD1033" t="n" s="2909">
        <v>0</v>
      </c>
      <c r="AE1033" t="inlineStr" s="2909">
        <is>
          <t>00000000</t>
        </is>
      </c>
      <c r="AH1033" t="n" s="2909">
        <v>11</v>
      </c>
      <c r="AJ1033" t="n" s="2909">
        <v>41</v>
      </c>
      <c r="AP1033" t="n" s="2909">
        <v>150000</v>
      </c>
      <c r="DB1033" s="2909" t="str">
        <f>IF($A1033="","",IF($AH1033=20,IF(AND(OR($A1033=21,$A1033=215),$AJ1033=10),"①病院一般",IF(AND($A1033=31,$AJ1033=41),"②病院短期","対象外")),IF($AJ1033=30,"③特定消防",IF(AND(OR($A1033=21,$A1033=215),$AJ1033=10),"④一般",IF(AND($A1033=31,$AJ1033=41),"⑤短期","対象外")))))</f>
        <v>⑤短期</v>
      </c>
      <c r="DC1033" s="2909">
        <f>IF($A1033="","",IF($AB1033&amp;""='DB_設定'!$C$4,1,0))</f>
        <v>0</v>
      </c>
    </row>
    <row r="1034">
      <c r="A1034" t="n" s="2909">
        <v>31</v>
      </c>
      <c r="AA1034" t="n" s="2909">
        <v>21</v>
      </c>
      <c r="AB1034" t="inlineStr" s="2909">
        <is>
          <t>20250401</t>
        </is>
      </c>
      <c r="AD1034" t="n" s="2909">
        <v>0</v>
      </c>
      <c r="AE1034" t="inlineStr" s="2909">
        <is>
          <t>00000000</t>
        </is>
      </c>
      <c r="AH1034" t="n" s="2909">
        <v>27</v>
      </c>
      <c r="AJ1034" t="n" s="2909">
        <v>41</v>
      </c>
      <c r="AP1034" t="n" s="2909">
        <v>200000</v>
      </c>
      <c r="DB1034" s="2909" t="str">
        <f>IF($A1034="","",IF($AH1034=20,IF(AND(OR($A1034=21,$A1034=215),$AJ1034=10),"①病院一般",IF(AND($A1034=31,$AJ1034=41),"②病院短期","対象外")),IF($AJ1034=30,"③特定消防",IF(AND(OR($A1034=21,$A1034=215),$AJ1034=10),"④一般",IF(AND($A1034=31,$AJ1034=41),"⑤短期","対象外")))))</f>
        <v>⑤短期</v>
      </c>
      <c r="DC1034" s="2909">
        <f>IF($A1034="","",IF($AB1034&amp;""='DB_設定'!$C$4,1,0))</f>
        <v>1</v>
      </c>
    </row>
    <row r="1035">
      <c r="A1035" t="n" s="2909">
        <v>31</v>
      </c>
      <c r="AA1035" t="n" s="2909">
        <v>21</v>
      </c>
      <c r="AB1035" t="inlineStr" s="2909">
        <is>
          <t>20250401</t>
        </is>
      </c>
      <c r="AD1035" t="n" s="2909">
        <v>0</v>
      </c>
      <c r="AE1035" t="inlineStr" s="2909">
        <is>
          <t>00000000</t>
        </is>
      </c>
      <c r="AH1035" t="n" s="2909">
        <v>20</v>
      </c>
      <c r="AJ1035" t="n" s="2909">
        <v>41</v>
      </c>
      <c r="AP1035" t="n" s="2909">
        <v>880000</v>
      </c>
      <c r="DB1035" s="2909" t="str">
        <f>IF($A1035="","",IF($AH1035=20,IF(AND(OR($A1035=21,$A1035=215),$AJ1035=10),"①病院一般",IF(AND($A1035=31,$AJ1035=41),"②病院短期","対象外")),IF($AJ1035=30,"③特定消防",IF(AND(OR($A1035=21,$A1035=215),$AJ1035=10),"④一般",IF(AND($A1035=31,$AJ1035=41),"⑤短期","対象外")))))</f>
        <v>②病院短期</v>
      </c>
      <c r="DC1035" s="2909">
        <f>IF($A1035="","",IF($AB1035&amp;""='DB_設定'!$C$4,1,0))</f>
        <v>1</v>
      </c>
    </row>
    <row r="1036">
      <c r="A1036" t="n" s="2909">
        <v>31</v>
      </c>
      <c r="AA1036" t="n" s="2909">
        <v>21</v>
      </c>
      <c r="AB1036" t="inlineStr" s="2909">
        <is>
          <t>20250401</t>
        </is>
      </c>
      <c r="AD1036" t="n" s="2909">
        <v>0</v>
      </c>
      <c r="AE1036" t="inlineStr" s="2909">
        <is>
          <t>00000000</t>
        </is>
      </c>
      <c r="AH1036" t="n" s="2909">
        <v>20</v>
      </c>
      <c r="AJ1036" t="n" s="2909">
        <v>41</v>
      </c>
      <c r="AP1036" t="n" s="2909">
        <v>680000</v>
      </c>
      <c r="DB1036" s="2909" t="str">
        <f>IF($A1036="","",IF($AH1036=20,IF(AND(OR($A1036=21,$A1036=215),$AJ1036=10),"①病院一般",IF(AND($A1036=31,$AJ1036=41),"②病院短期","対象外")),IF($AJ1036=30,"③特定消防",IF(AND(OR($A1036=21,$A1036=215),$AJ1036=10),"④一般",IF(AND($A1036=31,$AJ1036=41),"⑤短期","対象外")))))</f>
        <v>②病院短期</v>
      </c>
      <c r="DC1036" s="2909">
        <f>IF($A1036="","",IF($AB1036&amp;""='DB_設定'!$C$4,1,0))</f>
        <v>1</v>
      </c>
    </row>
    <row r="1037">
      <c r="A1037" t="n" s="2909">
        <v>31</v>
      </c>
      <c r="AA1037" t="n" s="2909">
        <v>21</v>
      </c>
      <c r="AB1037" t="inlineStr" s="2909">
        <is>
          <t>20250401</t>
        </is>
      </c>
      <c r="AD1037" t="n" s="2909">
        <v>0</v>
      </c>
      <c r="AE1037" t="inlineStr" s="2909">
        <is>
          <t>00000000</t>
        </is>
      </c>
      <c r="AH1037" t="n" s="2909">
        <v>20</v>
      </c>
      <c r="AJ1037" t="n" s="2909">
        <v>41</v>
      </c>
      <c r="AP1037" t="n" s="2909">
        <v>830000</v>
      </c>
      <c r="DB1037" s="2909" t="str">
        <f>IF($A1037="","",IF($AH1037=20,IF(AND(OR($A1037=21,$A1037=215),$AJ1037=10),"①病院一般",IF(AND($A1037=31,$AJ1037=41),"②病院短期","対象外")),IF($AJ1037=30,"③特定消防",IF(AND(OR($A1037=21,$A1037=215),$AJ1037=10),"④一般",IF(AND($A1037=31,$AJ1037=41),"⑤短期","対象外")))))</f>
        <v>②病院短期</v>
      </c>
      <c r="DC1037" s="2909">
        <f>IF($A1037="","",IF($AB1037&amp;""='DB_設定'!$C$4,1,0))</f>
        <v>1</v>
      </c>
    </row>
    <row r="1038">
      <c r="A1038" t="n" s="2909">
        <v>31</v>
      </c>
      <c r="AA1038" t="n" s="2909">
        <v>21</v>
      </c>
      <c r="AB1038" t="inlineStr" s="2909">
        <is>
          <t>20250401</t>
        </is>
      </c>
      <c r="AD1038" t="n" s="2909">
        <v>0</v>
      </c>
      <c r="AE1038" t="inlineStr" s="2909">
        <is>
          <t>00000000</t>
        </is>
      </c>
      <c r="AH1038" t="n" s="2909">
        <v>20</v>
      </c>
      <c r="AJ1038" t="n" s="2909">
        <v>41</v>
      </c>
      <c r="AP1038" t="n" s="2909">
        <v>650000</v>
      </c>
      <c r="DB1038" s="2909" t="str">
        <f>IF($A1038="","",IF($AH1038=20,IF(AND(OR($A1038=21,$A1038=215),$AJ1038=10),"①病院一般",IF(AND($A1038=31,$AJ1038=41),"②病院短期","対象外")),IF($AJ1038=30,"③特定消防",IF(AND(OR($A1038=21,$A1038=215),$AJ1038=10),"④一般",IF(AND($A1038=31,$AJ1038=41),"⑤短期","対象外")))))</f>
        <v>②病院短期</v>
      </c>
      <c r="DC1038" s="2909">
        <f>IF($A1038="","",IF($AB1038&amp;""='DB_設定'!$C$4,1,0))</f>
        <v>1</v>
      </c>
    </row>
    <row r="1039">
      <c r="A1039" t="n" s="2909">
        <v>31</v>
      </c>
      <c r="AA1039" t="n" s="2909">
        <v>21</v>
      </c>
      <c r="AB1039" t="inlineStr" s="2909">
        <is>
          <t>20250401</t>
        </is>
      </c>
      <c r="AD1039" t="n" s="2909">
        <v>0</v>
      </c>
      <c r="AE1039" t="inlineStr" s="2909">
        <is>
          <t>00000000</t>
        </is>
      </c>
      <c r="AH1039" t="n" s="2909">
        <v>20</v>
      </c>
      <c r="AJ1039" t="n" s="2909">
        <v>41</v>
      </c>
      <c r="AP1039" t="n" s="2909">
        <v>620000</v>
      </c>
      <c r="DB1039" s="2909" t="str">
        <f>IF($A1039="","",IF($AH1039=20,IF(AND(OR($A1039=21,$A1039=215),$AJ1039=10),"①病院一般",IF(AND($A1039=31,$AJ1039=41),"②病院短期","対象外")),IF($AJ1039=30,"③特定消防",IF(AND(OR($A1039=21,$A1039=215),$AJ1039=10),"④一般",IF(AND($A1039=31,$AJ1039=41),"⑤短期","対象外")))))</f>
        <v>②病院短期</v>
      </c>
      <c r="DC1039" s="2909">
        <f>IF($A1039="","",IF($AB1039&amp;""='DB_設定'!$C$4,1,0))</f>
        <v>1</v>
      </c>
    </row>
    <row r="1040">
      <c r="A1040" t="n" s="2909">
        <v>31</v>
      </c>
      <c r="AA1040" t="n" s="2909">
        <v>21</v>
      </c>
      <c r="AB1040" t="inlineStr" s="2909">
        <is>
          <t>20250401</t>
        </is>
      </c>
      <c r="AD1040" t="n" s="2909">
        <v>0</v>
      </c>
      <c r="AE1040" t="inlineStr" s="2909">
        <is>
          <t>00000000</t>
        </is>
      </c>
      <c r="AH1040" t="n" s="2909">
        <v>20</v>
      </c>
      <c r="AJ1040" t="n" s="2909">
        <v>41</v>
      </c>
      <c r="AP1040" t="n" s="2909">
        <v>790000</v>
      </c>
      <c r="DB1040" s="2909" t="str">
        <f>IF($A1040="","",IF($AH1040=20,IF(AND(OR($A1040=21,$A1040=215),$AJ1040=10),"①病院一般",IF(AND($A1040=31,$AJ1040=41),"②病院短期","対象外")),IF($AJ1040=30,"③特定消防",IF(AND(OR($A1040=21,$A1040=215),$AJ1040=10),"④一般",IF(AND($A1040=31,$AJ1040=41),"⑤短期","対象外")))))</f>
        <v>②病院短期</v>
      </c>
      <c r="DC1040" s="2909">
        <f>IF($A1040="","",IF($AB1040&amp;""='DB_設定'!$C$4,1,0))</f>
        <v>1</v>
      </c>
    </row>
    <row r="1041">
      <c r="A1041" t="n" s="2909">
        <v>31</v>
      </c>
      <c r="AA1041" t="n" s="2909">
        <v>21</v>
      </c>
      <c r="AB1041" t="inlineStr" s="2909">
        <is>
          <t>20250401</t>
        </is>
      </c>
      <c r="AD1041" t="n" s="2909">
        <v>0</v>
      </c>
      <c r="AE1041" t="inlineStr" s="2909">
        <is>
          <t>00000000</t>
        </is>
      </c>
      <c r="AH1041" t="n" s="2909">
        <v>20</v>
      </c>
      <c r="AJ1041" t="n" s="2909">
        <v>41</v>
      </c>
      <c r="AP1041" t="n" s="2909">
        <v>620000</v>
      </c>
      <c r="DB1041" s="2909" t="str">
        <f>IF($A1041="","",IF($AH1041=20,IF(AND(OR($A1041=21,$A1041=215),$AJ1041=10),"①病院一般",IF(AND($A1041=31,$AJ1041=41),"②病院短期","対象外")),IF($AJ1041=30,"③特定消防",IF(AND(OR($A1041=21,$A1041=215),$AJ1041=10),"④一般",IF(AND($A1041=31,$AJ1041=41),"⑤短期","対象外")))))</f>
        <v>②病院短期</v>
      </c>
      <c r="DC1041" s="2909">
        <f>IF($A1041="","",IF($AB1041&amp;""='DB_設定'!$C$4,1,0))</f>
        <v>1</v>
      </c>
    </row>
    <row r="1042">
      <c r="A1042" t="n" s="2909">
        <v>31</v>
      </c>
      <c r="AA1042" t="n" s="2909">
        <v>21</v>
      </c>
      <c r="AB1042" t="inlineStr" s="2909">
        <is>
          <t>20250401</t>
        </is>
      </c>
      <c r="AD1042" t="n" s="2909">
        <v>0</v>
      </c>
      <c r="AE1042" t="inlineStr" s="2909">
        <is>
          <t>00000000</t>
        </is>
      </c>
      <c r="AH1042" t="n" s="2909">
        <v>20</v>
      </c>
      <c r="AJ1042" t="n" s="2909">
        <v>41</v>
      </c>
      <c r="AP1042" t="n" s="2909">
        <v>710000</v>
      </c>
      <c r="DB1042" s="2909" t="str">
        <f>IF($A1042="","",IF($AH1042=20,IF(AND(OR($A1042=21,$A1042=215),$AJ1042=10),"①病院一般",IF(AND($A1042=31,$AJ1042=41),"②病院短期","対象外")),IF($AJ1042=30,"③特定消防",IF(AND(OR($A1042=21,$A1042=215),$AJ1042=10),"④一般",IF(AND($A1042=31,$AJ1042=41),"⑤短期","対象外")))))</f>
        <v>②病院短期</v>
      </c>
      <c r="DC1042" s="2909">
        <f>IF($A1042="","",IF($AB1042&amp;""='DB_設定'!$C$4,1,0))</f>
        <v>1</v>
      </c>
    </row>
    <row r="1043">
      <c r="A1043" t="n" s="2909">
        <v>31</v>
      </c>
      <c r="AA1043" t="n" s="2909">
        <v>21</v>
      </c>
      <c r="AB1043" t="inlineStr" s="2909">
        <is>
          <t>20250401</t>
        </is>
      </c>
      <c r="AD1043" t="n" s="2909">
        <v>0</v>
      </c>
      <c r="AE1043" t="inlineStr" s="2909">
        <is>
          <t>00000000</t>
        </is>
      </c>
      <c r="AH1043" t="n" s="2909">
        <v>20</v>
      </c>
      <c r="AJ1043" t="n" s="2909">
        <v>41</v>
      </c>
      <c r="AP1043" t="n" s="2909">
        <v>830000</v>
      </c>
      <c r="DB1043" s="2909" t="str">
        <f>IF($A1043="","",IF($AH1043=20,IF(AND(OR($A1043=21,$A1043=215),$AJ1043=10),"①病院一般",IF(AND($A1043=31,$AJ1043=41),"②病院短期","対象外")),IF($AJ1043=30,"③特定消防",IF(AND(OR($A1043=21,$A1043=215),$AJ1043=10),"④一般",IF(AND($A1043=31,$AJ1043=41),"⑤短期","対象外")))))</f>
        <v>②病院短期</v>
      </c>
      <c r="DC1043" s="2909">
        <f>IF($A1043="","",IF($AB1043&amp;""='DB_設定'!$C$4,1,0))</f>
        <v>1</v>
      </c>
    </row>
    <row r="1044">
      <c r="A1044" t="n" s="2909">
        <v>31</v>
      </c>
      <c r="AA1044" t="n" s="2909">
        <v>21</v>
      </c>
      <c r="AB1044" t="inlineStr" s="2909">
        <is>
          <t>20250401</t>
        </is>
      </c>
      <c r="AD1044" t="n" s="2909">
        <v>0</v>
      </c>
      <c r="AE1044" t="inlineStr" s="2909">
        <is>
          <t>00000000</t>
        </is>
      </c>
      <c r="AH1044" t="n" s="2909">
        <v>20</v>
      </c>
      <c r="AJ1044" t="n" s="2909">
        <v>41</v>
      </c>
      <c r="AP1044" t="n" s="2909">
        <v>750000</v>
      </c>
      <c r="DB1044" s="2909" t="str">
        <f>IF($A1044="","",IF($AH1044=20,IF(AND(OR($A1044=21,$A1044=215),$AJ1044=10),"①病院一般",IF(AND($A1044=31,$AJ1044=41),"②病院短期","対象外")),IF($AJ1044=30,"③特定消防",IF(AND(OR($A1044=21,$A1044=215),$AJ1044=10),"④一般",IF(AND($A1044=31,$AJ1044=41),"⑤短期","対象外")))))</f>
        <v>②病院短期</v>
      </c>
      <c r="DC1044" s="2909">
        <f>IF($A1044="","",IF($AB1044&amp;""='DB_設定'!$C$4,1,0))</f>
        <v>1</v>
      </c>
    </row>
    <row r="1045">
      <c r="A1045" t="n" s="2909">
        <v>31</v>
      </c>
      <c r="AA1045" t="n" s="2909">
        <v>21</v>
      </c>
      <c r="AB1045" t="inlineStr" s="2909">
        <is>
          <t>20250401</t>
        </is>
      </c>
      <c r="AD1045" t="n" s="2909">
        <v>0</v>
      </c>
      <c r="AE1045" t="inlineStr" s="2909">
        <is>
          <t>00000000</t>
        </is>
      </c>
      <c r="AH1045" t="n" s="2909">
        <v>20</v>
      </c>
      <c r="AJ1045" t="n" s="2909">
        <v>41</v>
      </c>
      <c r="AP1045" t="n" s="2909">
        <v>830000</v>
      </c>
      <c r="DB1045" s="2909" t="str">
        <f>IF($A1045="","",IF($AH1045=20,IF(AND(OR($A1045=21,$A1045=215),$AJ1045=10),"①病院一般",IF(AND($A1045=31,$AJ1045=41),"②病院短期","対象外")),IF($AJ1045=30,"③特定消防",IF(AND(OR($A1045=21,$A1045=215),$AJ1045=10),"④一般",IF(AND($A1045=31,$AJ1045=41),"⑤短期","対象外")))))</f>
        <v>②病院短期</v>
      </c>
      <c r="DC1045" s="2909">
        <f>IF($A1045="","",IF($AB1045&amp;""='DB_設定'!$C$4,1,0))</f>
        <v>1</v>
      </c>
    </row>
    <row r="1046">
      <c r="A1046" t="n" s="2909">
        <v>31</v>
      </c>
      <c r="AA1046" t="n" s="2909">
        <v>21</v>
      </c>
      <c r="AB1046" t="inlineStr" s="2909">
        <is>
          <t>20250401</t>
        </is>
      </c>
      <c r="AD1046" t="n" s="2909">
        <v>0</v>
      </c>
      <c r="AE1046" t="inlineStr" s="2909">
        <is>
          <t>00000000</t>
        </is>
      </c>
      <c r="AH1046" t="n" s="2909">
        <v>20</v>
      </c>
      <c r="AJ1046" t="n" s="2909">
        <v>41</v>
      </c>
      <c r="AP1046" t="n" s="2909">
        <v>750000</v>
      </c>
      <c r="DB1046" s="2909" t="str">
        <f>IF($A1046="","",IF($AH1046=20,IF(AND(OR($A1046=21,$A1046=215),$AJ1046=10),"①病院一般",IF(AND($A1046=31,$AJ1046=41),"②病院短期","対象外")),IF($AJ1046=30,"③特定消防",IF(AND(OR($A1046=21,$A1046=215),$AJ1046=10),"④一般",IF(AND($A1046=31,$AJ1046=41),"⑤短期","対象外")))))</f>
        <v>②病院短期</v>
      </c>
      <c r="DC1046" s="2909">
        <f>IF($A1046="","",IF($AB1046&amp;""='DB_設定'!$C$4,1,0))</f>
        <v>1</v>
      </c>
    </row>
    <row r="1047">
      <c r="A1047" t="n" s="2909">
        <v>31</v>
      </c>
      <c r="AA1047" t="n" s="2909">
        <v>21</v>
      </c>
      <c r="AB1047" t="inlineStr" s="2909">
        <is>
          <t>20250401</t>
        </is>
      </c>
      <c r="AD1047" t="n" s="2909">
        <v>0</v>
      </c>
      <c r="AE1047" t="inlineStr" s="2909">
        <is>
          <t>00000000</t>
        </is>
      </c>
      <c r="AH1047" t="n" s="2909">
        <v>20</v>
      </c>
      <c r="AJ1047" t="n" s="2909">
        <v>41</v>
      </c>
      <c r="AP1047" t="n" s="2909">
        <v>790000</v>
      </c>
      <c r="DB1047" s="2909" t="str">
        <f>IF($A1047="","",IF($AH1047=20,IF(AND(OR($A1047=21,$A1047=215),$AJ1047=10),"①病院一般",IF(AND($A1047=31,$AJ1047=41),"②病院短期","対象外")),IF($AJ1047=30,"③特定消防",IF(AND(OR($A1047=21,$A1047=215),$AJ1047=10),"④一般",IF(AND($A1047=31,$AJ1047=41),"⑤短期","対象外")))))</f>
        <v>②病院短期</v>
      </c>
      <c r="DC1047" s="2909">
        <f>IF($A1047="","",IF($AB1047&amp;""='DB_設定'!$C$4,1,0))</f>
        <v>1</v>
      </c>
    </row>
    <row r="1048">
      <c r="A1048" t="n" s="2909">
        <v>31</v>
      </c>
      <c r="AA1048" t="n" s="2909">
        <v>21</v>
      </c>
      <c r="AB1048" t="inlineStr" s="2909">
        <is>
          <t>20250401</t>
        </is>
      </c>
      <c r="AD1048" t="n" s="2909">
        <v>0</v>
      </c>
      <c r="AE1048" t="inlineStr" s="2909">
        <is>
          <t>00000000</t>
        </is>
      </c>
      <c r="AH1048" t="n" s="2909">
        <v>20</v>
      </c>
      <c r="AJ1048" t="n" s="2909">
        <v>41</v>
      </c>
      <c r="AP1048" t="n" s="2909">
        <v>750000</v>
      </c>
      <c r="DB1048" s="2909" t="str">
        <f>IF($A1048="","",IF($AH1048=20,IF(AND(OR($A1048=21,$A1048=215),$AJ1048=10),"①病院一般",IF(AND($A1048=31,$AJ1048=41),"②病院短期","対象外")),IF($AJ1048=30,"③特定消防",IF(AND(OR($A1048=21,$A1048=215),$AJ1048=10),"④一般",IF(AND($A1048=31,$AJ1048=41),"⑤短期","対象外")))))</f>
        <v>②病院短期</v>
      </c>
      <c r="DC1048" s="2909">
        <f>IF($A1048="","",IF($AB1048&amp;""='DB_設定'!$C$4,1,0))</f>
        <v>1</v>
      </c>
    </row>
    <row r="1049">
      <c r="A1049" t="n" s="2909">
        <v>31</v>
      </c>
      <c r="AA1049" t="n" s="2909">
        <v>21</v>
      </c>
      <c r="AB1049" t="inlineStr" s="2909">
        <is>
          <t>20250401</t>
        </is>
      </c>
      <c r="AD1049" t="n" s="2909">
        <v>0</v>
      </c>
      <c r="AE1049" t="inlineStr" s="2909">
        <is>
          <t>00000000</t>
        </is>
      </c>
      <c r="AH1049" t="n" s="2909">
        <v>20</v>
      </c>
      <c r="AJ1049" t="n" s="2909">
        <v>41</v>
      </c>
      <c r="AP1049" t="n" s="2909">
        <v>710000</v>
      </c>
      <c r="DB1049" s="2909" t="str">
        <f>IF($A1049="","",IF($AH1049=20,IF(AND(OR($A1049=21,$A1049=215),$AJ1049=10),"①病院一般",IF(AND($A1049=31,$AJ1049=41),"②病院短期","対象外")),IF($AJ1049=30,"③特定消防",IF(AND(OR($A1049=21,$A1049=215),$AJ1049=10),"④一般",IF(AND($A1049=31,$AJ1049=41),"⑤短期","対象外")))))</f>
        <v>②病院短期</v>
      </c>
      <c r="DC1049" s="2909">
        <f>IF($A1049="","",IF($AB1049&amp;""='DB_設定'!$C$4,1,0))</f>
        <v>1</v>
      </c>
    </row>
    <row r="1050">
      <c r="A1050" t="n" s="2909">
        <v>31</v>
      </c>
      <c r="AA1050" t="n" s="2909">
        <v>21</v>
      </c>
      <c r="AB1050" t="inlineStr" s="2909">
        <is>
          <t>20250401</t>
        </is>
      </c>
      <c r="AD1050" t="n" s="2909">
        <v>0</v>
      </c>
      <c r="AE1050" t="inlineStr" s="2909">
        <is>
          <t>00000000</t>
        </is>
      </c>
      <c r="AH1050" t="n" s="2909">
        <v>20</v>
      </c>
      <c r="AJ1050" t="n" s="2909">
        <v>41</v>
      </c>
      <c r="AP1050" t="n" s="2909">
        <v>830000</v>
      </c>
      <c r="DB1050" s="2909" t="str">
        <f>IF($A1050="","",IF($AH1050=20,IF(AND(OR($A1050=21,$A1050=215),$AJ1050=10),"①病院一般",IF(AND($A1050=31,$AJ1050=41),"②病院短期","対象外")),IF($AJ1050=30,"③特定消防",IF(AND(OR($A1050=21,$A1050=215),$AJ1050=10),"④一般",IF(AND($A1050=31,$AJ1050=41),"⑤短期","対象外")))))</f>
        <v>②病院短期</v>
      </c>
      <c r="DC1050" s="2909">
        <f>IF($A1050="","",IF($AB1050&amp;""='DB_設定'!$C$4,1,0))</f>
        <v>1</v>
      </c>
    </row>
    <row r="1051">
      <c r="A1051" t="n" s="2909">
        <v>31</v>
      </c>
      <c r="AA1051" t="n" s="2909">
        <v>21</v>
      </c>
      <c r="AB1051" t="inlineStr" s="2909">
        <is>
          <t>20250401</t>
        </is>
      </c>
      <c r="AD1051" t="n" s="2909">
        <v>0</v>
      </c>
      <c r="AE1051" t="inlineStr" s="2909">
        <is>
          <t>00000000</t>
        </is>
      </c>
      <c r="AH1051" t="n" s="2909">
        <v>20</v>
      </c>
      <c r="AJ1051" t="n" s="2909">
        <v>41</v>
      </c>
      <c r="AP1051" t="n" s="2909">
        <v>710000</v>
      </c>
      <c r="DB1051" s="2909" t="str">
        <f>IF($A1051="","",IF($AH1051=20,IF(AND(OR($A1051=21,$A1051=215),$AJ1051=10),"①病院一般",IF(AND($A1051=31,$AJ1051=41),"②病院短期","対象外")),IF($AJ1051=30,"③特定消防",IF(AND(OR($A1051=21,$A1051=215),$AJ1051=10),"④一般",IF(AND($A1051=31,$AJ1051=41),"⑤短期","対象外")))))</f>
        <v>②病院短期</v>
      </c>
      <c r="DC1051" s="2909">
        <f>IF($A1051="","",IF($AB1051&amp;""='DB_設定'!$C$4,1,0))</f>
        <v>1</v>
      </c>
    </row>
    <row r="1052">
      <c r="A1052" t="n" s="2909">
        <v>31</v>
      </c>
      <c r="AA1052" t="n" s="2909">
        <v>21</v>
      </c>
      <c r="AB1052" t="inlineStr" s="2909">
        <is>
          <t>20250401</t>
        </is>
      </c>
      <c r="AD1052" t="n" s="2909">
        <v>0</v>
      </c>
      <c r="AE1052" t="inlineStr" s="2909">
        <is>
          <t>00000000</t>
        </is>
      </c>
      <c r="AH1052" t="n" s="2909">
        <v>20</v>
      </c>
      <c r="AJ1052" t="n" s="2909">
        <v>41</v>
      </c>
      <c r="AP1052" t="n" s="2909">
        <v>750000</v>
      </c>
      <c r="DB1052" s="2909" t="str">
        <f>IF($A1052="","",IF($AH1052=20,IF(AND(OR($A1052=21,$A1052=215),$AJ1052=10),"①病院一般",IF(AND($A1052=31,$AJ1052=41),"②病院短期","対象外")),IF($AJ1052=30,"③特定消防",IF(AND(OR($A1052=21,$A1052=215),$AJ1052=10),"④一般",IF(AND($A1052=31,$AJ1052=41),"⑤短期","対象外")))))</f>
        <v>②病院短期</v>
      </c>
      <c r="DC1052" s="2909">
        <f>IF($A1052="","",IF($AB1052&amp;""='DB_設定'!$C$4,1,0))</f>
        <v>1</v>
      </c>
    </row>
    <row r="1053">
      <c r="A1053" t="n" s="2909">
        <v>31</v>
      </c>
      <c r="AA1053" t="n" s="2909">
        <v>21</v>
      </c>
      <c r="AB1053" t="inlineStr" s="2909">
        <is>
          <t>20250401</t>
        </is>
      </c>
      <c r="AD1053" t="n" s="2909">
        <v>0</v>
      </c>
      <c r="AE1053" t="inlineStr" s="2909">
        <is>
          <t>00000000</t>
        </is>
      </c>
      <c r="AH1053" t="n" s="2909">
        <v>20</v>
      </c>
      <c r="AJ1053" t="n" s="2909">
        <v>41</v>
      </c>
      <c r="AP1053" t="n" s="2909">
        <v>790000</v>
      </c>
      <c r="DB1053" s="2909" t="str">
        <f>IF($A1053="","",IF($AH1053=20,IF(AND(OR($A1053=21,$A1053=215),$AJ1053=10),"①病院一般",IF(AND($A1053=31,$AJ1053=41),"②病院短期","対象外")),IF($AJ1053=30,"③特定消防",IF(AND(OR($A1053=21,$A1053=215),$AJ1053=10),"④一般",IF(AND($A1053=31,$AJ1053=41),"⑤短期","対象外")))))</f>
        <v>②病院短期</v>
      </c>
      <c r="DC1053" s="2909">
        <f>IF($A1053="","",IF($AB1053&amp;""='DB_設定'!$C$4,1,0))</f>
        <v>1</v>
      </c>
    </row>
    <row r="1054">
      <c r="A1054" t="n" s="2909">
        <v>31</v>
      </c>
      <c r="AA1054" t="n" s="2909">
        <v>21</v>
      </c>
      <c r="AB1054" t="inlineStr" s="2909">
        <is>
          <t>20250401</t>
        </is>
      </c>
      <c r="AD1054" t="n" s="2909">
        <v>0</v>
      </c>
      <c r="AE1054" t="inlineStr" s="2909">
        <is>
          <t>00000000</t>
        </is>
      </c>
      <c r="AH1054" t="n" s="2909">
        <v>20</v>
      </c>
      <c r="AJ1054" t="n" s="2909">
        <v>41</v>
      </c>
      <c r="AP1054" t="n" s="2909">
        <v>930000</v>
      </c>
      <c r="DB1054" s="2909" t="str">
        <f>IF($A1054="","",IF($AH1054=20,IF(AND(OR($A1054=21,$A1054=215),$AJ1054=10),"①病院一般",IF(AND($A1054=31,$AJ1054=41),"②病院短期","対象外")),IF($AJ1054=30,"③特定消防",IF(AND(OR($A1054=21,$A1054=215),$AJ1054=10),"④一般",IF(AND($A1054=31,$AJ1054=41),"⑤短期","対象外")))))</f>
        <v>②病院短期</v>
      </c>
      <c r="DC1054" s="2909">
        <f>IF($A1054="","",IF($AB1054&amp;""='DB_設定'!$C$4,1,0))</f>
        <v>1</v>
      </c>
    </row>
    <row r="1055">
      <c r="A1055" t="n" s="2909">
        <v>31</v>
      </c>
      <c r="AA1055" t="n" s="2909">
        <v>21</v>
      </c>
      <c r="AB1055" t="inlineStr" s="2909">
        <is>
          <t>20250401</t>
        </is>
      </c>
      <c r="AD1055" t="n" s="2909">
        <v>0</v>
      </c>
      <c r="AE1055" t="inlineStr" s="2909">
        <is>
          <t>00000000</t>
        </is>
      </c>
      <c r="AH1055" t="n" s="2909">
        <v>20</v>
      </c>
      <c r="AJ1055" t="n" s="2909">
        <v>41</v>
      </c>
      <c r="AP1055" t="n" s="2909">
        <v>650000</v>
      </c>
      <c r="DB1055" s="2909" t="str">
        <f>IF($A1055="","",IF($AH1055=20,IF(AND(OR($A1055=21,$A1055=215),$AJ1055=10),"①病院一般",IF(AND($A1055=31,$AJ1055=41),"②病院短期","対象外")),IF($AJ1055=30,"③特定消防",IF(AND(OR($A1055=21,$A1055=215),$AJ1055=10),"④一般",IF(AND($A1055=31,$AJ1055=41),"⑤短期","対象外")))))</f>
        <v>②病院短期</v>
      </c>
      <c r="DC1055" s="2909">
        <f>IF($A1055="","",IF($AB1055&amp;""='DB_設定'!$C$4,1,0))</f>
        <v>1</v>
      </c>
    </row>
    <row r="1056">
      <c r="A1056" t="n" s="2909">
        <v>31</v>
      </c>
      <c r="AA1056" t="n" s="2909">
        <v>21</v>
      </c>
      <c r="AB1056" t="inlineStr" s="2909">
        <is>
          <t>20250401</t>
        </is>
      </c>
      <c r="AD1056" t="n" s="2909">
        <v>0</v>
      </c>
      <c r="AE1056" t="inlineStr" s="2909">
        <is>
          <t>00000000</t>
        </is>
      </c>
      <c r="AH1056" t="n" s="2909">
        <v>20</v>
      </c>
      <c r="AJ1056" t="n" s="2909">
        <v>41</v>
      </c>
      <c r="AP1056" t="n" s="2909">
        <v>590000</v>
      </c>
      <c r="DB1056" s="2909" t="str">
        <f>IF($A1056="","",IF($AH1056=20,IF(AND(OR($A1056=21,$A1056=215),$AJ1056=10),"①病院一般",IF(AND($A1056=31,$AJ1056=41),"②病院短期","対象外")),IF($AJ1056=30,"③特定消防",IF(AND(OR($A1056=21,$A1056=215),$AJ1056=10),"④一般",IF(AND($A1056=31,$AJ1056=41),"⑤短期","対象外")))))</f>
        <v>②病院短期</v>
      </c>
      <c r="DC1056" s="2909">
        <f>IF($A1056="","",IF($AB1056&amp;""='DB_設定'!$C$4,1,0))</f>
        <v>1</v>
      </c>
    </row>
    <row r="1057">
      <c r="A1057" t="n" s="2909">
        <v>31</v>
      </c>
      <c r="AA1057" t="n" s="2909">
        <v>21</v>
      </c>
      <c r="AB1057" t="inlineStr" s="2909">
        <is>
          <t>20250401</t>
        </is>
      </c>
      <c r="AD1057" t="n" s="2909">
        <v>0</v>
      </c>
      <c r="AE1057" t="inlineStr" s="2909">
        <is>
          <t>00000000</t>
        </is>
      </c>
      <c r="AH1057" t="n" s="2909">
        <v>20</v>
      </c>
      <c r="AJ1057" t="n" s="2909">
        <v>41</v>
      </c>
      <c r="AP1057" t="n" s="2909">
        <v>590000</v>
      </c>
      <c r="DB1057" s="2909" t="str">
        <f>IF($A1057="","",IF($AH1057=20,IF(AND(OR($A1057=21,$A1057=215),$AJ1057=10),"①病院一般",IF(AND($A1057=31,$AJ1057=41),"②病院短期","対象外")),IF($AJ1057=30,"③特定消防",IF(AND(OR($A1057=21,$A1057=215),$AJ1057=10),"④一般",IF(AND($A1057=31,$AJ1057=41),"⑤短期","対象外")))))</f>
        <v>②病院短期</v>
      </c>
      <c r="DC1057" s="2909">
        <f>IF($A1057="","",IF($AB1057&amp;""='DB_設定'!$C$4,1,0))</f>
        <v>1</v>
      </c>
    </row>
    <row r="1058">
      <c r="A1058" t="n" s="2909">
        <v>31</v>
      </c>
      <c r="AA1058" t="n" s="2909">
        <v>21</v>
      </c>
      <c r="AB1058" t="inlineStr" s="2909">
        <is>
          <t>20250401</t>
        </is>
      </c>
      <c r="AD1058" t="n" s="2909">
        <v>0</v>
      </c>
      <c r="AE1058" t="inlineStr" s="2909">
        <is>
          <t>00000000</t>
        </is>
      </c>
      <c r="AH1058" t="n" s="2909">
        <v>20</v>
      </c>
      <c r="AJ1058" t="n" s="2909">
        <v>41</v>
      </c>
      <c r="AP1058" t="n" s="2909">
        <v>530000</v>
      </c>
      <c r="DB1058" s="2909" t="str">
        <f>IF($A1058="","",IF($AH1058=20,IF(AND(OR($A1058=21,$A1058=215),$AJ1058=10),"①病院一般",IF(AND($A1058=31,$AJ1058=41),"②病院短期","対象外")),IF($AJ1058=30,"③特定消防",IF(AND(OR($A1058=21,$A1058=215),$AJ1058=10),"④一般",IF(AND($A1058=31,$AJ1058=41),"⑤短期","対象外")))))</f>
        <v>②病院短期</v>
      </c>
      <c r="DC1058" s="2909">
        <f>IF($A1058="","",IF($AB1058&amp;""='DB_設定'!$C$4,1,0))</f>
        <v>1</v>
      </c>
    </row>
    <row r="1059">
      <c r="A1059" t="n" s="2909">
        <v>31</v>
      </c>
      <c r="AA1059" t="n" s="2909">
        <v>21</v>
      </c>
      <c r="AB1059" t="inlineStr" s="2909">
        <is>
          <t>20250401</t>
        </is>
      </c>
      <c r="AD1059" t="n" s="2909">
        <v>0</v>
      </c>
      <c r="AE1059" t="inlineStr" s="2909">
        <is>
          <t>00000000</t>
        </is>
      </c>
      <c r="AH1059" t="n" s="2909">
        <v>20</v>
      </c>
      <c r="AJ1059" t="n" s="2909">
        <v>41</v>
      </c>
      <c r="AP1059" t="n" s="2909">
        <v>530000</v>
      </c>
      <c r="DB1059" s="2909" t="str">
        <f>IF($A1059="","",IF($AH1059=20,IF(AND(OR($A1059=21,$A1059=215),$AJ1059=10),"①病院一般",IF(AND($A1059=31,$AJ1059=41),"②病院短期","対象外")),IF($AJ1059=30,"③特定消防",IF(AND(OR($A1059=21,$A1059=215),$AJ1059=10),"④一般",IF(AND($A1059=31,$AJ1059=41),"⑤短期","対象外")))))</f>
        <v>②病院短期</v>
      </c>
      <c r="DC1059" s="2909">
        <f>IF($A1059="","",IF($AB1059&amp;""='DB_設定'!$C$4,1,0))</f>
        <v>1</v>
      </c>
    </row>
    <row r="1060">
      <c r="A1060" t="n" s="2909">
        <v>31</v>
      </c>
      <c r="AA1060" t="n" s="2909">
        <v>21</v>
      </c>
      <c r="AB1060" t="inlineStr" s="2909">
        <is>
          <t>20250401</t>
        </is>
      </c>
      <c r="AD1060" t="n" s="2909">
        <v>0</v>
      </c>
      <c r="AE1060" t="inlineStr" s="2909">
        <is>
          <t>00000000</t>
        </is>
      </c>
      <c r="AH1060" t="n" s="2909">
        <v>20</v>
      </c>
      <c r="AJ1060" t="n" s="2909">
        <v>41</v>
      </c>
      <c r="AP1060" t="n" s="2909">
        <v>530000</v>
      </c>
      <c r="DB1060" s="2909" t="str">
        <f>IF($A1060="","",IF($AH1060=20,IF(AND(OR($A1060=21,$A1060=215),$AJ1060=10),"①病院一般",IF(AND($A1060=31,$AJ1060=41),"②病院短期","対象外")),IF($AJ1060=30,"③特定消防",IF(AND(OR($A1060=21,$A1060=215),$AJ1060=10),"④一般",IF(AND($A1060=31,$AJ1060=41),"⑤短期","対象外")))))</f>
        <v>②病院短期</v>
      </c>
      <c r="DC1060" s="2909">
        <f>IF($A1060="","",IF($AB1060&amp;""='DB_設定'!$C$4,1,0))</f>
        <v>1</v>
      </c>
    </row>
    <row r="1061">
      <c r="A1061" t="n" s="2909">
        <v>31</v>
      </c>
      <c r="AA1061" t="n" s="2909">
        <v>21</v>
      </c>
      <c r="AB1061" t="inlineStr" s="2909">
        <is>
          <t>20250401</t>
        </is>
      </c>
      <c r="AD1061" t="n" s="2909">
        <v>0</v>
      </c>
      <c r="AE1061" t="inlineStr" s="2909">
        <is>
          <t>00000000</t>
        </is>
      </c>
      <c r="AH1061" t="n" s="2909">
        <v>20</v>
      </c>
      <c r="AJ1061" t="n" s="2909">
        <v>41</v>
      </c>
      <c r="AP1061" t="n" s="2909">
        <v>500000</v>
      </c>
      <c r="DB1061" s="2909" t="str">
        <f>IF($A1061="","",IF($AH1061=20,IF(AND(OR($A1061=21,$A1061=215),$AJ1061=10),"①病院一般",IF(AND($A1061=31,$AJ1061=41),"②病院短期","対象外")),IF($AJ1061=30,"③特定消防",IF(AND(OR($A1061=21,$A1061=215),$AJ1061=10),"④一般",IF(AND($A1061=31,$AJ1061=41),"⑤短期","対象外")))))</f>
        <v>②病院短期</v>
      </c>
      <c r="DC1061" s="2909">
        <f>IF($A1061="","",IF($AB1061&amp;""='DB_設定'!$C$4,1,0))</f>
        <v>1</v>
      </c>
    </row>
    <row r="1062">
      <c r="A1062" t="n" s="2909">
        <v>31</v>
      </c>
      <c r="AA1062" t="n" s="2909">
        <v>21</v>
      </c>
      <c r="AB1062" t="inlineStr" s="2909">
        <is>
          <t>20250401</t>
        </is>
      </c>
      <c r="AD1062" t="n" s="2909">
        <v>0</v>
      </c>
      <c r="AE1062" t="inlineStr" s="2909">
        <is>
          <t>00000000</t>
        </is>
      </c>
      <c r="AH1062" t="n" s="2909">
        <v>20</v>
      </c>
      <c r="AJ1062" t="n" s="2909">
        <v>41</v>
      </c>
      <c r="AP1062" t="n" s="2909">
        <v>530000</v>
      </c>
      <c r="DB1062" s="2909" t="str">
        <f>IF($A1062="","",IF($AH1062=20,IF(AND(OR($A1062=21,$A1062=215),$AJ1062=10),"①病院一般",IF(AND($A1062=31,$AJ1062=41),"②病院短期","対象外")),IF($AJ1062=30,"③特定消防",IF(AND(OR($A1062=21,$A1062=215),$AJ1062=10),"④一般",IF(AND($A1062=31,$AJ1062=41),"⑤短期","対象外")))))</f>
        <v>②病院短期</v>
      </c>
      <c r="DC1062" s="2909">
        <f>IF($A1062="","",IF($AB1062&amp;""='DB_設定'!$C$4,1,0))</f>
        <v>1</v>
      </c>
    </row>
    <row r="1063">
      <c r="A1063" t="n" s="2909">
        <v>31</v>
      </c>
      <c r="AA1063" t="n" s="2909">
        <v>21</v>
      </c>
      <c r="AB1063" t="inlineStr" s="2909">
        <is>
          <t>20250401</t>
        </is>
      </c>
      <c r="AD1063" t="n" s="2909">
        <v>0</v>
      </c>
      <c r="AE1063" t="inlineStr" s="2909">
        <is>
          <t>00000000</t>
        </is>
      </c>
      <c r="AH1063" t="n" s="2909">
        <v>20</v>
      </c>
      <c r="AJ1063" t="n" s="2909">
        <v>41</v>
      </c>
      <c r="AP1063" t="n" s="2909">
        <v>560000</v>
      </c>
      <c r="DB1063" s="2909" t="str">
        <f>IF($A1063="","",IF($AH1063=20,IF(AND(OR($A1063=21,$A1063=215),$AJ1063=10),"①病院一般",IF(AND($A1063=31,$AJ1063=41),"②病院短期","対象外")),IF($AJ1063=30,"③特定消防",IF(AND(OR($A1063=21,$A1063=215),$AJ1063=10),"④一般",IF(AND($A1063=31,$AJ1063=41),"⑤短期","対象外")))))</f>
        <v>②病院短期</v>
      </c>
      <c r="DC1063" s="2909">
        <f>IF($A1063="","",IF($AB1063&amp;""='DB_設定'!$C$4,1,0))</f>
        <v>1</v>
      </c>
    </row>
    <row r="1064">
      <c r="A1064" t="n" s="2909">
        <v>31</v>
      </c>
      <c r="AA1064" t="n" s="2909">
        <v>21</v>
      </c>
      <c r="AB1064" t="inlineStr" s="2909">
        <is>
          <t>20250401</t>
        </is>
      </c>
      <c r="AD1064" t="n" s="2909">
        <v>0</v>
      </c>
      <c r="AE1064" t="inlineStr" s="2909">
        <is>
          <t>00000000</t>
        </is>
      </c>
      <c r="AH1064" t="n" s="2909">
        <v>20</v>
      </c>
      <c r="AJ1064" t="n" s="2909">
        <v>41</v>
      </c>
      <c r="AP1064" t="n" s="2909">
        <v>530000</v>
      </c>
      <c r="DB1064" s="2909" t="str">
        <f>IF($A1064="","",IF($AH1064=20,IF(AND(OR($A1064=21,$A1064=215),$AJ1064=10),"①病院一般",IF(AND($A1064=31,$AJ1064=41),"②病院短期","対象外")),IF($AJ1064=30,"③特定消防",IF(AND(OR($A1064=21,$A1064=215),$AJ1064=10),"④一般",IF(AND($A1064=31,$AJ1064=41),"⑤短期","対象外")))))</f>
        <v>②病院短期</v>
      </c>
      <c r="DC1064" s="2909">
        <f>IF($A1064="","",IF($AB1064&amp;""='DB_設定'!$C$4,1,0))</f>
        <v>1</v>
      </c>
    </row>
    <row r="1065">
      <c r="A1065" t="n" s="2909">
        <v>31</v>
      </c>
      <c r="AA1065" t="n" s="2909">
        <v>21</v>
      </c>
      <c r="AB1065" t="inlineStr" s="2909">
        <is>
          <t>20250401</t>
        </is>
      </c>
      <c r="AD1065" t="n" s="2909">
        <v>0</v>
      </c>
      <c r="AE1065" t="inlineStr" s="2909">
        <is>
          <t>00000000</t>
        </is>
      </c>
      <c r="AH1065" t="n" s="2909">
        <v>20</v>
      </c>
      <c r="AJ1065" t="n" s="2909">
        <v>41</v>
      </c>
      <c r="AP1065" t="n" s="2909">
        <v>560000</v>
      </c>
      <c r="DB1065" s="2909" t="str">
        <f>IF($A1065="","",IF($AH1065=20,IF(AND(OR($A1065=21,$A1065=215),$AJ1065=10),"①病院一般",IF(AND($A1065=31,$AJ1065=41),"②病院短期","対象外")),IF($AJ1065=30,"③特定消防",IF(AND(OR($A1065=21,$A1065=215),$AJ1065=10),"④一般",IF(AND($A1065=31,$AJ1065=41),"⑤短期","対象外")))))</f>
        <v>②病院短期</v>
      </c>
      <c r="DC1065" s="2909">
        <f>IF($A1065="","",IF($AB1065&amp;""='DB_設定'!$C$4,1,0))</f>
        <v>1</v>
      </c>
    </row>
    <row r="1066">
      <c r="A1066" t="n" s="2909">
        <v>31</v>
      </c>
      <c r="AA1066" t="n" s="2909">
        <v>21</v>
      </c>
      <c r="AB1066" t="inlineStr" s="2909">
        <is>
          <t>20250401</t>
        </is>
      </c>
      <c r="AD1066" t="n" s="2909">
        <v>0</v>
      </c>
      <c r="AE1066" t="inlineStr" s="2909">
        <is>
          <t>00000000</t>
        </is>
      </c>
      <c r="AH1066" t="n" s="2909">
        <v>20</v>
      </c>
      <c r="AJ1066" t="n" s="2909">
        <v>41</v>
      </c>
      <c r="AP1066" t="n" s="2909">
        <v>530000</v>
      </c>
      <c r="DB1066" s="2909" t="str">
        <f>IF($A1066="","",IF($AH1066=20,IF(AND(OR($A1066=21,$A1066=215),$AJ1066=10),"①病院一般",IF(AND($A1066=31,$AJ1066=41),"②病院短期","対象外")),IF($AJ1066=30,"③特定消防",IF(AND(OR($A1066=21,$A1066=215),$AJ1066=10),"④一般",IF(AND($A1066=31,$AJ1066=41),"⑤短期","対象外")))))</f>
        <v>②病院短期</v>
      </c>
      <c r="DC1066" s="2909">
        <f>IF($A1066="","",IF($AB1066&amp;""='DB_設定'!$C$4,1,0))</f>
        <v>1</v>
      </c>
    </row>
    <row r="1067">
      <c r="A1067" t="n" s="2909">
        <v>31</v>
      </c>
      <c r="AA1067" t="n" s="2909">
        <v>21</v>
      </c>
      <c r="AB1067" t="inlineStr" s="2909">
        <is>
          <t>20250401</t>
        </is>
      </c>
      <c r="AD1067" t="n" s="2909">
        <v>0</v>
      </c>
      <c r="AE1067" t="inlineStr" s="2909">
        <is>
          <t>00000000</t>
        </is>
      </c>
      <c r="AH1067" t="n" s="2909">
        <v>20</v>
      </c>
      <c r="AJ1067" t="n" s="2909">
        <v>41</v>
      </c>
      <c r="AP1067" t="n" s="2909">
        <v>530000</v>
      </c>
      <c r="DB1067" s="2909" t="str">
        <f>IF($A1067="","",IF($AH1067=20,IF(AND(OR($A1067=21,$A1067=215),$AJ1067=10),"①病院一般",IF(AND($A1067=31,$AJ1067=41),"②病院短期","対象外")),IF($AJ1067=30,"③特定消防",IF(AND(OR($A1067=21,$A1067=215),$AJ1067=10),"④一般",IF(AND($A1067=31,$AJ1067=41),"⑤短期","対象外")))))</f>
        <v>②病院短期</v>
      </c>
      <c r="DC1067" s="2909">
        <f>IF($A1067="","",IF($AB1067&amp;""='DB_設定'!$C$4,1,0))</f>
        <v>1</v>
      </c>
    </row>
    <row r="1068">
      <c r="A1068" t="n" s="2909">
        <v>31</v>
      </c>
      <c r="AA1068" t="n" s="2909">
        <v>21</v>
      </c>
      <c r="AB1068" t="inlineStr" s="2909">
        <is>
          <t>20250401</t>
        </is>
      </c>
      <c r="AD1068" t="n" s="2909">
        <v>0</v>
      </c>
      <c r="AE1068" t="inlineStr" s="2909">
        <is>
          <t>00000000</t>
        </is>
      </c>
      <c r="AH1068" t="n" s="2909">
        <v>20</v>
      </c>
      <c r="AJ1068" t="n" s="2909">
        <v>41</v>
      </c>
      <c r="AP1068" t="n" s="2909">
        <v>500000</v>
      </c>
      <c r="DB1068" s="2909" t="str">
        <f>IF($A1068="","",IF($AH1068=20,IF(AND(OR($A1068=21,$A1068=215),$AJ1068=10),"①病院一般",IF(AND($A1068=31,$AJ1068=41),"②病院短期","対象外")),IF($AJ1068=30,"③特定消防",IF(AND(OR($A1068=21,$A1068=215),$AJ1068=10),"④一般",IF(AND($A1068=31,$AJ1068=41),"⑤短期","対象外")))))</f>
        <v>②病院短期</v>
      </c>
      <c r="DC1068" s="2909">
        <f>IF($A1068="","",IF($AB1068&amp;""='DB_設定'!$C$4,1,0))</f>
        <v>1</v>
      </c>
    </row>
    <row r="1069">
      <c r="A1069" t="n" s="2909">
        <v>31</v>
      </c>
      <c r="AA1069" t="n" s="2909">
        <v>21</v>
      </c>
      <c r="AB1069" t="inlineStr" s="2909">
        <is>
          <t>20250401</t>
        </is>
      </c>
      <c r="AD1069" t="n" s="2909">
        <v>0</v>
      </c>
      <c r="AE1069" t="inlineStr" s="2909">
        <is>
          <t>00000000</t>
        </is>
      </c>
      <c r="AH1069" t="n" s="2909">
        <v>20</v>
      </c>
      <c r="AJ1069" t="n" s="2909">
        <v>41</v>
      </c>
      <c r="AP1069" t="n" s="2909">
        <v>500000</v>
      </c>
      <c r="DB1069" s="2909" t="str">
        <f>IF($A1069="","",IF($AH1069=20,IF(AND(OR($A1069=21,$A1069=215),$AJ1069=10),"①病院一般",IF(AND($A1069=31,$AJ1069=41),"②病院短期","対象外")),IF($AJ1069=30,"③特定消防",IF(AND(OR($A1069=21,$A1069=215),$AJ1069=10),"④一般",IF(AND($A1069=31,$AJ1069=41),"⑤短期","対象外")))))</f>
        <v>②病院短期</v>
      </c>
      <c r="DC1069" s="2909">
        <f>IF($A1069="","",IF($AB1069&amp;""='DB_設定'!$C$4,1,0))</f>
        <v>1</v>
      </c>
    </row>
    <row r="1070">
      <c r="A1070" t="n" s="2909">
        <v>31</v>
      </c>
      <c r="AA1070" t="n" s="2909">
        <v>21</v>
      </c>
      <c r="AB1070" t="inlineStr" s="2909">
        <is>
          <t>20250401</t>
        </is>
      </c>
      <c r="AD1070" t="n" s="2909">
        <v>0</v>
      </c>
      <c r="AE1070" t="inlineStr" s="2909">
        <is>
          <t>00000000</t>
        </is>
      </c>
      <c r="AH1070" t="n" s="2909">
        <v>20</v>
      </c>
      <c r="AJ1070" t="n" s="2909">
        <v>41</v>
      </c>
      <c r="AP1070" t="n" s="2909">
        <v>500000</v>
      </c>
      <c r="DB1070" s="2909" t="str">
        <f>IF($A1070="","",IF($AH1070=20,IF(AND(OR($A1070=21,$A1070=215),$AJ1070=10),"①病院一般",IF(AND($A1070=31,$AJ1070=41),"②病院短期","対象外")),IF($AJ1070=30,"③特定消防",IF(AND(OR($A1070=21,$A1070=215),$AJ1070=10),"④一般",IF(AND($A1070=31,$AJ1070=41),"⑤短期","対象外")))))</f>
        <v>②病院短期</v>
      </c>
      <c r="DC1070" s="2909">
        <f>IF($A1070="","",IF($AB1070&amp;""='DB_設定'!$C$4,1,0))</f>
        <v>1</v>
      </c>
    </row>
    <row r="1071">
      <c r="A1071" t="n" s="2909">
        <v>31</v>
      </c>
      <c r="AA1071" t="n" s="2909">
        <v>21</v>
      </c>
      <c r="AB1071" t="inlineStr" s="2909">
        <is>
          <t>20250401</t>
        </is>
      </c>
      <c r="AD1071" t="n" s="2909">
        <v>0</v>
      </c>
      <c r="AE1071" t="inlineStr" s="2909">
        <is>
          <t>00000000</t>
        </is>
      </c>
      <c r="AH1071" t="n" s="2909">
        <v>20</v>
      </c>
      <c r="AJ1071" t="n" s="2909">
        <v>41</v>
      </c>
      <c r="AP1071" t="n" s="2909">
        <v>500000</v>
      </c>
      <c r="DB1071" s="2909" t="str">
        <f>IF($A1071="","",IF($AH1071=20,IF(AND(OR($A1071=21,$A1071=215),$AJ1071=10),"①病院一般",IF(AND($A1071=31,$AJ1071=41),"②病院短期","対象外")),IF($AJ1071=30,"③特定消防",IF(AND(OR($A1071=21,$A1071=215),$AJ1071=10),"④一般",IF(AND($A1071=31,$AJ1071=41),"⑤短期","対象外")))))</f>
        <v>②病院短期</v>
      </c>
      <c r="DC1071" s="2909">
        <f>IF($A1071="","",IF($AB1071&amp;""='DB_設定'!$C$4,1,0))</f>
        <v>1</v>
      </c>
    </row>
    <row r="1072">
      <c r="A1072" t="n" s="2909">
        <v>31</v>
      </c>
      <c r="AA1072" t="n" s="2909">
        <v>21</v>
      </c>
      <c r="AB1072" t="inlineStr" s="2909">
        <is>
          <t>20250401</t>
        </is>
      </c>
      <c r="AD1072" t="n" s="2909">
        <v>0</v>
      </c>
      <c r="AE1072" t="inlineStr" s="2909">
        <is>
          <t>00000000</t>
        </is>
      </c>
      <c r="AH1072" t="n" s="2909">
        <v>20</v>
      </c>
      <c r="AJ1072" t="n" s="2909">
        <v>41</v>
      </c>
      <c r="AP1072" t="n" s="2909">
        <v>500000</v>
      </c>
      <c r="DB1072" s="2909" t="str">
        <f>IF($A1072="","",IF($AH1072=20,IF(AND(OR($A1072=21,$A1072=215),$AJ1072=10),"①病院一般",IF(AND($A1072=31,$AJ1072=41),"②病院短期","対象外")),IF($AJ1072=30,"③特定消防",IF(AND(OR($A1072=21,$A1072=215),$AJ1072=10),"④一般",IF(AND($A1072=31,$AJ1072=41),"⑤短期","対象外")))))</f>
        <v>②病院短期</v>
      </c>
      <c r="DC1072" s="2909">
        <f>IF($A1072="","",IF($AB1072&amp;""='DB_設定'!$C$4,1,0))</f>
        <v>1</v>
      </c>
    </row>
    <row r="1073">
      <c r="A1073" t="n" s="2909">
        <v>31</v>
      </c>
      <c r="AA1073" t="n" s="2909">
        <v>21</v>
      </c>
      <c r="AB1073" t="inlineStr" s="2909">
        <is>
          <t>20250401</t>
        </is>
      </c>
      <c r="AD1073" t="n" s="2909">
        <v>0</v>
      </c>
      <c r="AE1073" t="inlineStr" s="2909">
        <is>
          <t>00000000</t>
        </is>
      </c>
      <c r="AH1073" t="n" s="2909">
        <v>20</v>
      </c>
      <c r="AJ1073" t="n" s="2909">
        <v>41</v>
      </c>
      <c r="AP1073" t="n" s="2909">
        <v>880000</v>
      </c>
      <c r="DB1073" s="2909" t="str">
        <f>IF($A1073="","",IF($AH1073=20,IF(AND(OR($A1073=21,$A1073=215),$AJ1073=10),"①病院一般",IF(AND($A1073=31,$AJ1073=41),"②病院短期","対象外")),IF($AJ1073=30,"③特定消防",IF(AND(OR($A1073=21,$A1073=215),$AJ1073=10),"④一般",IF(AND($A1073=31,$AJ1073=41),"⑤短期","対象外")))))</f>
        <v>②病院短期</v>
      </c>
      <c r="DC1073" s="2909">
        <f>IF($A1073="","",IF($AB1073&amp;""='DB_設定'!$C$4,1,0))</f>
        <v>1</v>
      </c>
    </row>
    <row r="1074">
      <c r="A1074" t="n" s="2909">
        <v>31</v>
      </c>
      <c r="AA1074" t="n" s="2909">
        <v>21</v>
      </c>
      <c r="AB1074" t="inlineStr" s="2909">
        <is>
          <t>20250401</t>
        </is>
      </c>
      <c r="AD1074" t="n" s="2909">
        <v>0</v>
      </c>
      <c r="AE1074" t="inlineStr" s="2909">
        <is>
          <t>00000000</t>
        </is>
      </c>
      <c r="AH1074" t="n" s="2909">
        <v>20</v>
      </c>
      <c r="AJ1074" t="n" s="2909">
        <v>41</v>
      </c>
      <c r="AP1074" t="n" s="2909">
        <v>930000</v>
      </c>
      <c r="DB1074" s="2909" t="str">
        <f>IF($A1074="","",IF($AH1074=20,IF(AND(OR($A1074=21,$A1074=215),$AJ1074=10),"①病院一般",IF(AND($A1074=31,$AJ1074=41),"②病院短期","対象外")),IF($AJ1074=30,"③特定消防",IF(AND(OR($A1074=21,$A1074=215),$AJ1074=10),"④一般",IF(AND($A1074=31,$AJ1074=41),"⑤短期","対象外")))))</f>
        <v>②病院短期</v>
      </c>
      <c r="DC1074" s="2909">
        <f>IF($A1074="","",IF($AB1074&amp;""='DB_設定'!$C$4,1,0))</f>
        <v>1</v>
      </c>
    </row>
    <row r="1075">
      <c r="A1075" t="n" s="2909">
        <v>31</v>
      </c>
      <c r="AA1075" t="n" s="2909">
        <v>21</v>
      </c>
      <c r="AB1075" t="inlineStr" s="2909">
        <is>
          <t>20250401</t>
        </is>
      </c>
      <c r="AD1075" t="n" s="2909">
        <v>12</v>
      </c>
      <c r="AE1075" t="inlineStr" s="2909">
        <is>
          <t>20251001</t>
        </is>
      </c>
      <c r="AH1075" t="n" s="2909">
        <v>20</v>
      </c>
      <c r="AJ1075" t="n" s="2909">
        <v>41</v>
      </c>
      <c r="AP1075" t="n" s="2909">
        <v>750000</v>
      </c>
      <c r="DB1075" s="2909" t="str">
        <f>IF($A1075="","",IF($AH1075=20,IF(AND(OR($A1075=21,$A1075=215),$AJ1075=10),"①病院一般",IF(AND($A1075=31,$AJ1075=41),"②病院短期","対象外")),IF($AJ1075=30,"③特定消防",IF(AND(OR($A1075=21,$A1075=215),$AJ1075=10),"④一般",IF(AND($A1075=31,$AJ1075=41),"⑤短期","対象外")))))</f>
        <v>②病院短期</v>
      </c>
      <c r="DC1075" s="2909">
        <f>IF($A1075="","",IF($AB1075&amp;""='DB_設定'!$C$4,1,0))</f>
        <v>1</v>
      </c>
    </row>
    <row r="1076">
      <c r="A1076" t="n" s="2909">
        <v>31</v>
      </c>
      <c r="AA1076" t="n" s="2909">
        <v>21</v>
      </c>
      <c r="AB1076" t="inlineStr" s="2909">
        <is>
          <t>20250401</t>
        </is>
      </c>
      <c r="AD1076" t="n" s="2909">
        <v>0</v>
      </c>
      <c r="AE1076" t="inlineStr" s="2909">
        <is>
          <t>00000000</t>
        </is>
      </c>
      <c r="AH1076" t="n" s="2909">
        <v>20</v>
      </c>
      <c r="AJ1076" t="n" s="2909">
        <v>41</v>
      </c>
      <c r="AP1076" t="n" s="2909">
        <v>880000</v>
      </c>
      <c r="DB1076" s="2909" t="str">
        <f>IF($A1076="","",IF($AH1076=20,IF(AND(OR($A1076=21,$A1076=215),$AJ1076=10),"①病院一般",IF(AND($A1076=31,$AJ1076=41),"②病院短期","対象外")),IF($AJ1076=30,"③特定消防",IF(AND(OR($A1076=21,$A1076=215),$AJ1076=10),"④一般",IF(AND($A1076=31,$AJ1076=41),"⑤短期","対象外")))))</f>
        <v>②病院短期</v>
      </c>
      <c r="DC1076" s="2909">
        <f>IF($A1076="","",IF($AB1076&amp;""='DB_設定'!$C$4,1,0))</f>
        <v>1</v>
      </c>
    </row>
    <row r="1077">
      <c r="A1077" t="n" s="2909">
        <v>31</v>
      </c>
      <c r="AA1077" t="n" s="2909">
        <v>21</v>
      </c>
      <c r="AB1077" t="inlineStr" s="2909">
        <is>
          <t>20250401</t>
        </is>
      </c>
      <c r="AD1077" t="n" s="2909">
        <v>0</v>
      </c>
      <c r="AE1077" t="inlineStr" s="2909">
        <is>
          <t>00000000</t>
        </is>
      </c>
      <c r="AH1077" t="n" s="2909">
        <v>20</v>
      </c>
      <c r="AJ1077" t="n" s="2909">
        <v>41</v>
      </c>
      <c r="AP1077" t="n" s="2909">
        <v>830000</v>
      </c>
      <c r="DB1077" s="2909" t="str">
        <f>IF($A1077="","",IF($AH1077=20,IF(AND(OR($A1077=21,$A1077=215),$AJ1077=10),"①病院一般",IF(AND($A1077=31,$AJ1077=41),"②病院短期","対象外")),IF($AJ1077=30,"③特定消防",IF(AND(OR($A1077=21,$A1077=215),$AJ1077=10),"④一般",IF(AND($A1077=31,$AJ1077=41),"⑤短期","対象外")))))</f>
        <v>②病院短期</v>
      </c>
      <c r="DC1077" s="2909">
        <f>IF($A1077="","",IF($AB1077&amp;""='DB_設定'!$C$4,1,0))</f>
        <v>1</v>
      </c>
    </row>
    <row r="1078">
      <c r="A1078" t="n" s="2909">
        <v>31</v>
      </c>
      <c r="AA1078" t="n" s="2909">
        <v>21</v>
      </c>
      <c r="AB1078" t="inlineStr" s="2909">
        <is>
          <t>20250401</t>
        </is>
      </c>
      <c r="AD1078" t="n" s="2909">
        <v>0</v>
      </c>
      <c r="AE1078" t="inlineStr" s="2909">
        <is>
          <t>00000000</t>
        </is>
      </c>
      <c r="AH1078" t="n" s="2909">
        <v>20</v>
      </c>
      <c r="AJ1078" t="n" s="2909">
        <v>41</v>
      </c>
      <c r="AP1078" t="n" s="2909">
        <v>880000</v>
      </c>
      <c r="DB1078" s="2909" t="str">
        <f>IF($A1078="","",IF($AH1078=20,IF(AND(OR($A1078=21,$A1078=215),$AJ1078=10),"①病院一般",IF(AND($A1078=31,$AJ1078=41),"②病院短期","対象外")),IF($AJ1078=30,"③特定消防",IF(AND(OR($A1078=21,$A1078=215),$AJ1078=10),"④一般",IF(AND($A1078=31,$AJ1078=41),"⑤短期","対象外")))))</f>
        <v>②病院短期</v>
      </c>
      <c r="DC1078" s="2909">
        <f>IF($A1078="","",IF($AB1078&amp;""='DB_設定'!$C$4,1,0))</f>
        <v>1</v>
      </c>
    </row>
    <row r="1079">
      <c r="A1079" t="n" s="2909">
        <v>31</v>
      </c>
      <c r="AA1079" t="n" s="2909">
        <v>21</v>
      </c>
      <c r="AB1079" t="inlineStr" s="2909">
        <is>
          <t>20250401</t>
        </is>
      </c>
      <c r="AD1079" t="n" s="2909">
        <v>0</v>
      </c>
      <c r="AE1079" t="inlineStr" s="2909">
        <is>
          <t>00000000</t>
        </is>
      </c>
      <c r="AH1079" t="n" s="2909">
        <v>20</v>
      </c>
      <c r="AJ1079" t="n" s="2909">
        <v>41</v>
      </c>
      <c r="AP1079" t="n" s="2909">
        <v>830000</v>
      </c>
      <c r="DB1079" s="2909" t="str">
        <f>IF($A1079="","",IF($AH1079=20,IF(AND(OR($A1079=21,$A1079=215),$AJ1079=10),"①病院一般",IF(AND($A1079=31,$AJ1079=41),"②病院短期","対象外")),IF($AJ1079=30,"③特定消防",IF(AND(OR($A1079=21,$A1079=215),$AJ1079=10),"④一般",IF(AND($A1079=31,$AJ1079=41),"⑤短期","対象外")))))</f>
        <v>②病院短期</v>
      </c>
      <c r="DC1079" s="2909">
        <f>IF($A1079="","",IF($AB1079&amp;""='DB_設定'!$C$4,1,0))</f>
        <v>1</v>
      </c>
    </row>
    <row r="1080">
      <c r="A1080" t="n" s="2909">
        <v>31</v>
      </c>
      <c r="AA1080" t="n" s="2909">
        <v>21</v>
      </c>
      <c r="AB1080" t="inlineStr" s="2909">
        <is>
          <t>20250401</t>
        </is>
      </c>
      <c r="AD1080" t="n" s="2909">
        <v>0</v>
      </c>
      <c r="AE1080" t="inlineStr" s="2909">
        <is>
          <t>00000000</t>
        </is>
      </c>
      <c r="AH1080" t="n" s="2909">
        <v>20</v>
      </c>
      <c r="AJ1080" t="n" s="2909">
        <v>41</v>
      </c>
      <c r="AP1080" t="n" s="2909">
        <v>930000</v>
      </c>
      <c r="DB1080" s="2909" t="str">
        <f>IF($A1080="","",IF($AH1080=20,IF(AND(OR($A1080=21,$A1080=215),$AJ1080=10),"①病院一般",IF(AND($A1080=31,$AJ1080=41),"②病院短期","対象外")),IF($AJ1080=30,"③特定消防",IF(AND(OR($A1080=21,$A1080=215),$AJ1080=10),"④一般",IF(AND($A1080=31,$AJ1080=41),"⑤短期","対象外")))))</f>
        <v>②病院短期</v>
      </c>
      <c r="DC1080" s="2909">
        <f>IF($A1080="","",IF($AB1080&amp;""='DB_設定'!$C$4,1,0))</f>
        <v>1</v>
      </c>
    </row>
    <row r="1081">
      <c r="A1081" t="n" s="2909">
        <v>31</v>
      </c>
      <c r="AA1081" t="n" s="2909">
        <v>21</v>
      </c>
      <c r="AB1081" t="inlineStr" s="2909">
        <is>
          <t>20250401</t>
        </is>
      </c>
      <c r="AD1081" t="n" s="2909">
        <v>0</v>
      </c>
      <c r="AE1081" t="inlineStr" s="2909">
        <is>
          <t>00000000</t>
        </is>
      </c>
      <c r="AH1081" t="n" s="2909">
        <v>20</v>
      </c>
      <c r="AJ1081" t="n" s="2909">
        <v>41</v>
      </c>
      <c r="AP1081" t="n" s="2909">
        <v>750000</v>
      </c>
      <c r="DB1081" s="2909" t="str">
        <f>IF($A1081="","",IF($AH1081=20,IF(AND(OR($A1081=21,$A1081=215),$AJ1081=10),"①病院一般",IF(AND($A1081=31,$AJ1081=41),"②病院短期","対象外")),IF($AJ1081=30,"③特定消防",IF(AND(OR($A1081=21,$A1081=215),$AJ1081=10),"④一般",IF(AND($A1081=31,$AJ1081=41),"⑤短期","対象外")))))</f>
        <v>②病院短期</v>
      </c>
      <c r="DC1081" s="2909">
        <f>IF($A1081="","",IF($AB1081&amp;""='DB_設定'!$C$4,1,0))</f>
        <v>1</v>
      </c>
    </row>
    <row r="1082">
      <c r="A1082" t="n" s="2909">
        <v>31</v>
      </c>
      <c r="AA1082" t="n" s="2909">
        <v>21</v>
      </c>
      <c r="AB1082" t="inlineStr" s="2909">
        <is>
          <t>20250401</t>
        </is>
      </c>
      <c r="AD1082" t="n" s="2909">
        <v>0</v>
      </c>
      <c r="AE1082" t="inlineStr" s="2909">
        <is>
          <t>00000000</t>
        </is>
      </c>
      <c r="AH1082" t="n" s="2909">
        <v>20</v>
      </c>
      <c r="AJ1082" t="n" s="2909">
        <v>41</v>
      </c>
      <c r="AP1082" t="n" s="2909">
        <v>710000</v>
      </c>
      <c r="DB1082" s="2909" t="str">
        <f>IF($A1082="","",IF($AH1082=20,IF(AND(OR($A1082=21,$A1082=215),$AJ1082=10),"①病院一般",IF(AND($A1082=31,$AJ1082=41),"②病院短期","対象外")),IF($AJ1082=30,"③特定消防",IF(AND(OR($A1082=21,$A1082=215),$AJ1082=10),"④一般",IF(AND($A1082=31,$AJ1082=41),"⑤短期","対象外")))))</f>
        <v>②病院短期</v>
      </c>
      <c r="DC1082" s="2909">
        <f>IF($A1082="","",IF($AB1082&amp;""='DB_設定'!$C$4,1,0))</f>
        <v>1</v>
      </c>
    </row>
    <row r="1083">
      <c r="A1083" t="n" s="2909">
        <v>31</v>
      </c>
      <c r="AA1083" t="n" s="2909">
        <v>21</v>
      </c>
      <c r="AB1083" t="inlineStr" s="2909">
        <is>
          <t>20250401</t>
        </is>
      </c>
      <c r="AD1083" t="n" s="2909">
        <v>0</v>
      </c>
      <c r="AE1083" t="inlineStr" s="2909">
        <is>
          <t>00000000</t>
        </is>
      </c>
      <c r="AH1083" t="n" s="2909">
        <v>20</v>
      </c>
      <c r="AJ1083" t="n" s="2909">
        <v>41</v>
      </c>
      <c r="AP1083" t="n" s="2909">
        <v>790000</v>
      </c>
      <c r="DB1083" s="2909" t="str">
        <f>IF($A1083="","",IF($AH1083=20,IF(AND(OR($A1083=21,$A1083=215),$AJ1083=10),"①病院一般",IF(AND($A1083=31,$AJ1083=41),"②病院短期","対象外")),IF($AJ1083=30,"③特定消防",IF(AND(OR($A1083=21,$A1083=215),$AJ1083=10),"④一般",IF(AND($A1083=31,$AJ1083=41),"⑤短期","対象外")))))</f>
        <v>②病院短期</v>
      </c>
      <c r="DC1083" s="2909">
        <f>IF($A1083="","",IF($AB1083&amp;""='DB_設定'!$C$4,1,0))</f>
        <v>1</v>
      </c>
    </row>
    <row r="1084">
      <c r="A1084" t="n" s="2909">
        <v>31</v>
      </c>
      <c r="AA1084" t="n" s="2909">
        <v>21</v>
      </c>
      <c r="AB1084" t="inlineStr" s="2909">
        <is>
          <t>20250401</t>
        </is>
      </c>
      <c r="AD1084" t="n" s="2909">
        <v>0</v>
      </c>
      <c r="AE1084" t="inlineStr" s="2909">
        <is>
          <t>00000000</t>
        </is>
      </c>
      <c r="AH1084" t="n" s="2909">
        <v>20</v>
      </c>
      <c r="AJ1084" t="n" s="2909">
        <v>41</v>
      </c>
      <c r="AP1084" t="n" s="2909">
        <v>830000</v>
      </c>
      <c r="DB1084" s="2909" t="str">
        <f>IF($A1084="","",IF($AH1084=20,IF(AND(OR($A1084=21,$A1084=215),$AJ1084=10),"①病院一般",IF(AND($A1084=31,$AJ1084=41),"②病院短期","対象外")),IF($AJ1084=30,"③特定消防",IF(AND(OR($A1084=21,$A1084=215),$AJ1084=10),"④一般",IF(AND($A1084=31,$AJ1084=41),"⑤短期","対象外")))))</f>
        <v>②病院短期</v>
      </c>
      <c r="DC1084" s="2909">
        <f>IF($A1084="","",IF($AB1084&amp;""='DB_設定'!$C$4,1,0))</f>
        <v>1</v>
      </c>
    </row>
    <row r="1085">
      <c r="A1085" t="n" s="2909">
        <v>31</v>
      </c>
      <c r="AA1085" t="n" s="2909">
        <v>21</v>
      </c>
      <c r="AB1085" t="inlineStr" s="2909">
        <is>
          <t>20250401</t>
        </is>
      </c>
      <c r="AD1085" t="n" s="2909">
        <v>0</v>
      </c>
      <c r="AE1085" t="inlineStr" s="2909">
        <is>
          <t>00000000</t>
        </is>
      </c>
      <c r="AH1085" t="n" s="2909">
        <v>20</v>
      </c>
      <c r="AJ1085" t="n" s="2909">
        <v>41</v>
      </c>
      <c r="AP1085" t="n" s="2909">
        <v>790000</v>
      </c>
      <c r="DB1085" s="2909" t="str">
        <f>IF($A1085="","",IF($AH1085=20,IF(AND(OR($A1085=21,$A1085=215),$AJ1085=10),"①病院一般",IF(AND($A1085=31,$AJ1085=41),"②病院短期","対象外")),IF($AJ1085=30,"③特定消防",IF(AND(OR($A1085=21,$A1085=215),$AJ1085=10),"④一般",IF(AND($A1085=31,$AJ1085=41),"⑤短期","対象外")))))</f>
        <v>②病院短期</v>
      </c>
      <c r="DC1085" s="2909">
        <f>IF($A1085="","",IF($AB1085&amp;""='DB_設定'!$C$4,1,0))</f>
        <v>1</v>
      </c>
    </row>
    <row r="1086">
      <c r="A1086" t="n" s="2909">
        <v>31</v>
      </c>
      <c r="AA1086" t="n" s="2909">
        <v>21</v>
      </c>
      <c r="AB1086" t="inlineStr" s="2909">
        <is>
          <t>20250401</t>
        </is>
      </c>
      <c r="AD1086" t="n" s="2909">
        <v>0</v>
      </c>
      <c r="AE1086" t="inlineStr" s="2909">
        <is>
          <t>00000000</t>
        </is>
      </c>
      <c r="AH1086" t="n" s="2909">
        <v>20</v>
      </c>
      <c r="AJ1086" t="n" s="2909">
        <v>41</v>
      </c>
      <c r="AP1086" t="n" s="2909">
        <v>830000</v>
      </c>
      <c r="DB1086" s="2909" t="str">
        <f>IF($A1086="","",IF($AH1086=20,IF(AND(OR($A1086=21,$A1086=215),$AJ1086=10),"①病院一般",IF(AND($A1086=31,$AJ1086=41),"②病院短期","対象外")),IF($AJ1086=30,"③特定消防",IF(AND(OR($A1086=21,$A1086=215),$AJ1086=10),"④一般",IF(AND($A1086=31,$AJ1086=41),"⑤短期","対象外")))))</f>
        <v>②病院短期</v>
      </c>
      <c r="DC1086" s="2909">
        <f>IF($A1086="","",IF($AB1086&amp;""='DB_設定'!$C$4,1,0))</f>
        <v>1</v>
      </c>
    </row>
    <row r="1087">
      <c r="A1087" t="n" s="2909">
        <v>31</v>
      </c>
      <c r="AA1087" t="n" s="2909">
        <v>21</v>
      </c>
      <c r="AB1087" t="inlineStr" s="2909">
        <is>
          <t>20250401</t>
        </is>
      </c>
      <c r="AD1087" t="n" s="2909">
        <v>0</v>
      </c>
      <c r="AE1087" t="inlineStr" s="2909">
        <is>
          <t>00000000</t>
        </is>
      </c>
      <c r="AH1087" t="n" s="2909">
        <v>20</v>
      </c>
      <c r="AJ1087" t="n" s="2909">
        <v>41</v>
      </c>
      <c r="AP1087" t="n" s="2909">
        <v>980000</v>
      </c>
      <c r="DB1087" s="2909" t="str">
        <f>IF($A1087="","",IF($AH1087=20,IF(AND(OR($A1087=21,$A1087=215),$AJ1087=10),"①病院一般",IF(AND($A1087=31,$AJ1087=41),"②病院短期","対象外")),IF($AJ1087=30,"③特定消防",IF(AND(OR($A1087=21,$A1087=215),$AJ1087=10),"④一般",IF(AND($A1087=31,$AJ1087=41),"⑤短期","対象外")))))</f>
        <v>②病院短期</v>
      </c>
      <c r="DC1087" s="2909">
        <f>IF($A1087="","",IF($AB1087&amp;""='DB_設定'!$C$4,1,0))</f>
        <v>1</v>
      </c>
    </row>
    <row r="1088">
      <c r="A1088" t="n" s="2909">
        <v>31</v>
      </c>
      <c r="AA1088" t="n" s="2909">
        <v>21</v>
      </c>
      <c r="AB1088" t="inlineStr" s="2909">
        <is>
          <t>20250401</t>
        </is>
      </c>
      <c r="AD1088" t="n" s="2909">
        <v>0</v>
      </c>
      <c r="AE1088" t="inlineStr" s="2909">
        <is>
          <t>00000000</t>
        </is>
      </c>
      <c r="AH1088" t="n" s="2909">
        <v>20</v>
      </c>
      <c r="AJ1088" t="n" s="2909">
        <v>41</v>
      </c>
      <c r="AP1088" t="n" s="2909">
        <v>790000</v>
      </c>
      <c r="DB1088" s="2909" t="str">
        <f>IF($A1088="","",IF($AH1088=20,IF(AND(OR($A1088=21,$A1088=215),$AJ1088=10),"①病院一般",IF(AND($A1088=31,$AJ1088=41),"②病院短期","対象外")),IF($AJ1088=30,"③特定消防",IF(AND(OR($A1088=21,$A1088=215),$AJ1088=10),"④一般",IF(AND($A1088=31,$AJ1088=41),"⑤短期","対象外")))))</f>
        <v>②病院短期</v>
      </c>
      <c r="DC1088" s="2909">
        <f>IF($A1088="","",IF($AB1088&amp;""='DB_設定'!$C$4,1,0))</f>
        <v>1</v>
      </c>
    </row>
    <row r="1089">
      <c r="A1089" t="n" s="2909">
        <v>31</v>
      </c>
      <c r="AA1089" t="n" s="2909">
        <v>21</v>
      </c>
      <c r="AB1089" t="inlineStr" s="2909">
        <is>
          <t>20250401</t>
        </is>
      </c>
      <c r="AD1089" t="n" s="2909">
        <v>0</v>
      </c>
      <c r="AE1089" t="inlineStr" s="2909">
        <is>
          <t>00000000</t>
        </is>
      </c>
      <c r="AH1089" t="n" s="2909">
        <v>20</v>
      </c>
      <c r="AJ1089" t="n" s="2909">
        <v>41</v>
      </c>
      <c r="AP1089" t="n" s="2909">
        <v>830000</v>
      </c>
      <c r="DB1089" s="2909" t="str">
        <f>IF($A1089="","",IF($AH1089=20,IF(AND(OR($A1089=21,$A1089=215),$AJ1089=10),"①病院一般",IF(AND($A1089=31,$AJ1089=41),"②病院短期","対象外")),IF($AJ1089=30,"③特定消防",IF(AND(OR($A1089=21,$A1089=215),$AJ1089=10),"④一般",IF(AND($A1089=31,$AJ1089=41),"⑤短期","対象外")))))</f>
        <v>②病院短期</v>
      </c>
      <c r="DC1089" s="2909">
        <f>IF($A1089="","",IF($AB1089&amp;""='DB_設定'!$C$4,1,0))</f>
        <v>1</v>
      </c>
    </row>
    <row r="1090">
      <c r="A1090" t="n" s="2909">
        <v>31</v>
      </c>
      <c r="AA1090" t="n" s="2909">
        <v>21</v>
      </c>
      <c r="AB1090" t="inlineStr" s="2909">
        <is>
          <t>20250401</t>
        </is>
      </c>
      <c r="AD1090" t="n" s="2909">
        <v>0</v>
      </c>
      <c r="AE1090" t="inlineStr" s="2909">
        <is>
          <t>00000000</t>
        </is>
      </c>
      <c r="AH1090" t="n" s="2909">
        <v>20</v>
      </c>
      <c r="AJ1090" t="n" s="2909">
        <v>41</v>
      </c>
      <c r="AP1090" t="n" s="2909">
        <v>790000</v>
      </c>
      <c r="DB1090" s="2909" t="str">
        <f>IF($A1090="","",IF($AH1090=20,IF(AND(OR($A1090=21,$A1090=215),$AJ1090=10),"①病院一般",IF(AND($A1090=31,$AJ1090=41),"②病院短期","対象外")),IF($AJ1090=30,"③特定消防",IF(AND(OR($A1090=21,$A1090=215),$AJ1090=10),"④一般",IF(AND($A1090=31,$AJ1090=41),"⑤短期","対象外")))))</f>
        <v>②病院短期</v>
      </c>
      <c r="DC1090" s="2909">
        <f>IF($A1090="","",IF($AB1090&amp;""='DB_設定'!$C$4,1,0))</f>
        <v>1</v>
      </c>
    </row>
    <row r="1091">
      <c r="A1091" t="n" s="2909">
        <v>31</v>
      </c>
      <c r="AA1091" t="n" s="2909">
        <v>21</v>
      </c>
      <c r="AB1091" t="inlineStr" s="2909">
        <is>
          <t>20250401</t>
        </is>
      </c>
      <c r="AD1091" t="n" s="2909">
        <v>0</v>
      </c>
      <c r="AE1091" t="inlineStr" s="2909">
        <is>
          <t>00000000</t>
        </is>
      </c>
      <c r="AH1091" t="n" s="2909">
        <v>20</v>
      </c>
      <c r="AJ1091" t="n" s="2909">
        <v>41</v>
      </c>
      <c r="AP1091" t="n" s="2909">
        <v>980000</v>
      </c>
      <c r="DB1091" s="2909" t="str">
        <f>IF($A1091="","",IF($AH1091=20,IF(AND(OR($A1091=21,$A1091=215),$AJ1091=10),"①病院一般",IF(AND($A1091=31,$AJ1091=41),"②病院短期","対象外")),IF($AJ1091=30,"③特定消防",IF(AND(OR($A1091=21,$A1091=215),$AJ1091=10),"④一般",IF(AND($A1091=31,$AJ1091=41),"⑤短期","対象外")))))</f>
        <v>②病院短期</v>
      </c>
      <c r="DC1091" s="2909">
        <f>IF($A1091="","",IF($AB1091&amp;""='DB_設定'!$C$4,1,0))</f>
        <v>1</v>
      </c>
    </row>
    <row r="1092">
      <c r="A1092" t="n" s="2909">
        <v>31</v>
      </c>
      <c r="AA1092" t="n" s="2909">
        <v>21</v>
      </c>
      <c r="AB1092" t="inlineStr" s="2909">
        <is>
          <t>20250401</t>
        </is>
      </c>
      <c r="AD1092" t="n" s="2909">
        <v>0</v>
      </c>
      <c r="AE1092" t="inlineStr" s="2909">
        <is>
          <t>00000000</t>
        </is>
      </c>
      <c r="AH1092" t="n" s="2909">
        <v>20</v>
      </c>
      <c r="AJ1092" t="n" s="2909">
        <v>41</v>
      </c>
      <c r="AP1092" t="n" s="2909">
        <v>530000</v>
      </c>
      <c r="DB1092" s="2909" t="str">
        <f>IF($A1092="","",IF($AH1092=20,IF(AND(OR($A1092=21,$A1092=215),$AJ1092=10),"①病院一般",IF(AND($A1092=31,$AJ1092=41),"②病院短期","対象外")),IF($AJ1092=30,"③特定消防",IF(AND(OR($A1092=21,$A1092=215),$AJ1092=10),"④一般",IF(AND($A1092=31,$AJ1092=41),"⑤短期","対象外")))))</f>
        <v>②病院短期</v>
      </c>
      <c r="DC1092" s="2909">
        <f>IF($A1092="","",IF($AB1092&amp;""='DB_設定'!$C$4,1,0))</f>
        <v>1</v>
      </c>
    </row>
    <row r="1093">
      <c r="A1093" t="n" s="2909">
        <v>31</v>
      </c>
      <c r="AA1093" t="n" s="2909">
        <v>21</v>
      </c>
      <c r="AB1093" t="inlineStr" s="2909">
        <is>
          <t>20250401</t>
        </is>
      </c>
      <c r="AD1093" t="n" s="2909">
        <v>0</v>
      </c>
      <c r="AE1093" t="inlineStr" s="2909">
        <is>
          <t>00000000</t>
        </is>
      </c>
      <c r="AH1093" t="n" s="2909">
        <v>20</v>
      </c>
      <c r="AJ1093" t="n" s="2909">
        <v>41</v>
      </c>
      <c r="AP1093" t="n" s="2909">
        <v>500000</v>
      </c>
      <c r="DB1093" s="2909" t="str">
        <f>IF($A1093="","",IF($AH1093=20,IF(AND(OR($A1093=21,$A1093=215),$AJ1093=10),"①病院一般",IF(AND($A1093=31,$AJ1093=41),"②病院短期","対象外")),IF($AJ1093=30,"③特定消防",IF(AND(OR($A1093=21,$A1093=215),$AJ1093=10),"④一般",IF(AND($A1093=31,$AJ1093=41),"⑤短期","対象外")))))</f>
        <v>②病院短期</v>
      </c>
      <c r="DC1093" s="2909">
        <f>IF($A1093="","",IF($AB1093&amp;""='DB_設定'!$C$4,1,0))</f>
        <v>1</v>
      </c>
    </row>
    <row r="1094">
      <c r="A1094" t="n" s="2909">
        <v>31</v>
      </c>
      <c r="AA1094" t="n" s="2909">
        <v>21</v>
      </c>
      <c r="AB1094" t="inlineStr" s="2909">
        <is>
          <t>20250401</t>
        </is>
      </c>
      <c r="AD1094" t="n" s="2909">
        <v>0</v>
      </c>
      <c r="AE1094" t="inlineStr" s="2909">
        <is>
          <t>00000000</t>
        </is>
      </c>
      <c r="AH1094" t="n" s="2909">
        <v>20</v>
      </c>
      <c r="AJ1094" t="n" s="2909">
        <v>41</v>
      </c>
      <c r="AP1094" t="n" s="2909">
        <v>500000</v>
      </c>
      <c r="DB1094" s="2909" t="str">
        <f>IF($A1094="","",IF($AH1094=20,IF(AND(OR($A1094=21,$A1094=215),$AJ1094=10),"①病院一般",IF(AND($A1094=31,$AJ1094=41),"②病院短期","対象外")),IF($AJ1094=30,"③特定消防",IF(AND(OR($A1094=21,$A1094=215),$AJ1094=10),"④一般",IF(AND($A1094=31,$AJ1094=41),"⑤短期","対象外")))))</f>
        <v>②病院短期</v>
      </c>
      <c r="DC1094" s="2909">
        <f>IF($A1094="","",IF($AB1094&amp;""='DB_設定'!$C$4,1,0))</f>
        <v>1</v>
      </c>
    </row>
    <row r="1095">
      <c r="A1095" t="n" s="2909">
        <v>31</v>
      </c>
      <c r="AA1095" t="n" s="2909">
        <v>21</v>
      </c>
      <c r="AB1095" t="inlineStr" s="2909">
        <is>
          <t>20250401</t>
        </is>
      </c>
      <c r="AD1095" t="n" s="2909">
        <v>0</v>
      </c>
      <c r="AE1095" t="inlineStr" s="2909">
        <is>
          <t>00000000</t>
        </is>
      </c>
      <c r="AH1095" t="n" s="2909">
        <v>20</v>
      </c>
      <c r="AJ1095" t="n" s="2909">
        <v>41</v>
      </c>
      <c r="AP1095" t="n" s="2909">
        <v>500000</v>
      </c>
      <c r="DB1095" s="2909" t="str">
        <f>IF($A1095="","",IF($AH1095=20,IF(AND(OR($A1095=21,$A1095=215),$AJ1095=10),"①病院一般",IF(AND($A1095=31,$AJ1095=41),"②病院短期","対象外")),IF($AJ1095=30,"③特定消防",IF(AND(OR($A1095=21,$A1095=215),$AJ1095=10),"④一般",IF(AND($A1095=31,$AJ1095=41),"⑤短期","対象外")))))</f>
        <v>②病院短期</v>
      </c>
      <c r="DC1095" s="2909">
        <f>IF($A1095="","",IF($AB1095&amp;""='DB_設定'!$C$4,1,0))</f>
        <v>1</v>
      </c>
    </row>
    <row r="1096">
      <c r="A1096" t="n" s="2909">
        <v>31</v>
      </c>
      <c r="AA1096" t="n" s="2909">
        <v>21</v>
      </c>
      <c r="AB1096" t="inlineStr" s="2909">
        <is>
          <t>20250401</t>
        </is>
      </c>
      <c r="AD1096" t="n" s="2909">
        <v>0</v>
      </c>
      <c r="AE1096" t="inlineStr" s="2909">
        <is>
          <t>00000000</t>
        </is>
      </c>
      <c r="AH1096" t="n" s="2909">
        <v>20</v>
      </c>
      <c r="AJ1096" t="n" s="2909">
        <v>41</v>
      </c>
      <c r="AP1096" t="n" s="2909">
        <v>530000</v>
      </c>
      <c r="DB1096" s="2909" t="str">
        <f>IF($A1096="","",IF($AH1096=20,IF(AND(OR($A1096=21,$A1096=215),$AJ1096=10),"①病院一般",IF(AND($A1096=31,$AJ1096=41),"②病院短期","対象外")),IF($AJ1096=30,"③特定消防",IF(AND(OR($A1096=21,$A1096=215),$AJ1096=10),"④一般",IF(AND($A1096=31,$AJ1096=41),"⑤短期","対象外")))))</f>
        <v>②病院短期</v>
      </c>
      <c r="DC1096" s="2909">
        <f>IF($A1096="","",IF($AB1096&amp;""='DB_設定'!$C$4,1,0))</f>
        <v>1</v>
      </c>
    </row>
    <row r="1097">
      <c r="A1097" t="n" s="2909">
        <v>31</v>
      </c>
      <c r="AA1097" t="n" s="2909">
        <v>21</v>
      </c>
      <c r="AB1097" t="inlineStr" s="2909">
        <is>
          <t>20250401</t>
        </is>
      </c>
      <c r="AD1097" t="n" s="2909">
        <v>0</v>
      </c>
      <c r="AE1097" t="inlineStr" s="2909">
        <is>
          <t>00000000</t>
        </is>
      </c>
      <c r="AH1097" t="n" s="2909">
        <v>20</v>
      </c>
      <c r="AJ1097" t="n" s="2909">
        <v>41</v>
      </c>
      <c r="AP1097" t="n" s="2909">
        <v>500000</v>
      </c>
      <c r="DB1097" s="2909" t="str">
        <f>IF($A1097="","",IF($AH1097=20,IF(AND(OR($A1097=21,$A1097=215),$AJ1097=10),"①病院一般",IF(AND($A1097=31,$AJ1097=41),"②病院短期","対象外")),IF($AJ1097=30,"③特定消防",IF(AND(OR($A1097=21,$A1097=215),$AJ1097=10),"④一般",IF(AND($A1097=31,$AJ1097=41),"⑤短期","対象外")))))</f>
        <v>②病院短期</v>
      </c>
      <c r="DC1097" s="2909">
        <f>IF($A1097="","",IF($AB1097&amp;""='DB_設定'!$C$4,1,0))</f>
        <v>1</v>
      </c>
    </row>
    <row r="1098">
      <c r="A1098" t="n" s="2909">
        <v>31</v>
      </c>
      <c r="AA1098" t="n" s="2909">
        <v>21</v>
      </c>
      <c r="AB1098" t="inlineStr" s="2909">
        <is>
          <t>20250401</t>
        </is>
      </c>
      <c r="AD1098" t="n" s="2909">
        <v>0</v>
      </c>
      <c r="AE1098" t="inlineStr" s="2909">
        <is>
          <t>00000000</t>
        </is>
      </c>
      <c r="AH1098" t="n" s="2909">
        <v>20</v>
      </c>
      <c r="AJ1098" t="n" s="2909">
        <v>41</v>
      </c>
      <c r="AP1098" t="n" s="2909">
        <v>530000</v>
      </c>
      <c r="DB1098" s="2909" t="str">
        <f>IF($A1098="","",IF($AH1098=20,IF(AND(OR($A1098=21,$A1098=215),$AJ1098=10),"①病院一般",IF(AND($A1098=31,$AJ1098=41),"②病院短期","対象外")),IF($AJ1098=30,"③特定消防",IF(AND(OR($A1098=21,$A1098=215),$AJ1098=10),"④一般",IF(AND($A1098=31,$AJ1098=41),"⑤短期","対象外")))))</f>
        <v>②病院短期</v>
      </c>
      <c r="DC1098" s="2909">
        <f>IF($A1098="","",IF($AB1098&amp;""='DB_設定'!$C$4,1,0))</f>
        <v>1</v>
      </c>
    </row>
    <row r="1099">
      <c r="A1099" t="n" s="2909">
        <v>31</v>
      </c>
      <c r="AA1099" t="n" s="2909">
        <v>21</v>
      </c>
      <c r="AB1099" t="inlineStr" s="2909">
        <is>
          <t>20250401</t>
        </is>
      </c>
      <c r="AD1099" t="n" s="2909">
        <v>0</v>
      </c>
      <c r="AE1099" t="inlineStr" s="2909">
        <is>
          <t>00000000</t>
        </is>
      </c>
      <c r="AH1099" t="n" s="2909">
        <v>20</v>
      </c>
      <c r="AJ1099" t="n" s="2909">
        <v>41</v>
      </c>
      <c r="AP1099" t="n" s="2909">
        <v>530000</v>
      </c>
      <c r="DB1099" s="2909" t="str">
        <f>IF($A1099="","",IF($AH1099=20,IF(AND(OR($A1099=21,$A1099=215),$AJ1099=10),"①病院一般",IF(AND($A1099=31,$AJ1099=41),"②病院短期","対象外")),IF($AJ1099=30,"③特定消防",IF(AND(OR($A1099=21,$A1099=215),$AJ1099=10),"④一般",IF(AND($A1099=31,$AJ1099=41),"⑤短期","対象外")))))</f>
        <v>②病院短期</v>
      </c>
      <c r="DC1099" s="2909">
        <f>IF($A1099="","",IF($AB1099&amp;""='DB_設定'!$C$4,1,0))</f>
        <v>1</v>
      </c>
    </row>
    <row r="1100">
      <c r="A1100" t="n" s="2909">
        <v>31</v>
      </c>
      <c r="AA1100" t="n" s="2909">
        <v>21</v>
      </c>
      <c r="AB1100" t="inlineStr" s="2909">
        <is>
          <t>20250401</t>
        </is>
      </c>
      <c r="AD1100" t="n" s="2909">
        <v>0</v>
      </c>
      <c r="AE1100" t="inlineStr" s="2909">
        <is>
          <t>00000000</t>
        </is>
      </c>
      <c r="AH1100" t="n" s="2909">
        <v>20</v>
      </c>
      <c r="AJ1100" t="n" s="2909">
        <v>41</v>
      </c>
      <c r="AP1100" t="n" s="2909">
        <v>530000</v>
      </c>
      <c r="DB1100" s="2909" t="str">
        <f>IF($A1100="","",IF($AH1100=20,IF(AND(OR($A1100=21,$A1100=215),$AJ1100=10),"①病院一般",IF(AND($A1100=31,$AJ1100=41),"②病院短期","対象外")),IF($AJ1100=30,"③特定消防",IF(AND(OR($A1100=21,$A1100=215),$AJ1100=10),"④一般",IF(AND($A1100=31,$AJ1100=41),"⑤短期","対象外")))))</f>
        <v>②病院短期</v>
      </c>
      <c r="DC1100" s="2909">
        <f>IF($A1100="","",IF($AB1100&amp;""='DB_設定'!$C$4,1,0))</f>
        <v>1</v>
      </c>
    </row>
    <row r="1101">
      <c r="A1101" t="n" s="2909">
        <v>31</v>
      </c>
      <c r="AA1101" t="n" s="2909">
        <v>21</v>
      </c>
      <c r="AB1101" t="inlineStr" s="2909">
        <is>
          <t>20250401</t>
        </is>
      </c>
      <c r="AD1101" t="n" s="2909">
        <v>0</v>
      </c>
      <c r="AE1101" t="inlineStr" s="2909">
        <is>
          <t>00000000</t>
        </is>
      </c>
      <c r="AH1101" t="n" s="2909">
        <v>20</v>
      </c>
      <c r="AJ1101" t="n" s="2909">
        <v>41</v>
      </c>
      <c r="AP1101" t="n" s="2909">
        <v>500000</v>
      </c>
      <c r="DB1101" s="2909" t="str">
        <f>IF($A1101="","",IF($AH1101=20,IF(AND(OR($A1101=21,$A1101=215),$AJ1101=10),"①病院一般",IF(AND($A1101=31,$AJ1101=41),"②病院短期","対象外")),IF($AJ1101=30,"③特定消防",IF(AND(OR($A1101=21,$A1101=215),$AJ1101=10),"④一般",IF(AND($A1101=31,$AJ1101=41),"⑤短期","対象外")))))</f>
        <v>②病院短期</v>
      </c>
      <c r="DC1101" s="2909">
        <f>IF($A1101="","",IF($AB1101&amp;""='DB_設定'!$C$4,1,0))</f>
        <v>1</v>
      </c>
    </row>
    <row r="1102">
      <c r="A1102" t="n" s="2909">
        <v>31</v>
      </c>
      <c r="AA1102" t="n" s="2909">
        <v>21</v>
      </c>
      <c r="AB1102" t="inlineStr" s="2909">
        <is>
          <t>20250401</t>
        </is>
      </c>
      <c r="AD1102" t="n" s="2909">
        <v>0</v>
      </c>
      <c r="AE1102" t="inlineStr" s="2909">
        <is>
          <t>00000000</t>
        </is>
      </c>
      <c r="AH1102" t="n" s="2909">
        <v>20</v>
      </c>
      <c r="AJ1102" t="n" s="2909">
        <v>41</v>
      </c>
      <c r="AP1102" t="n" s="2909">
        <v>470000</v>
      </c>
      <c r="DB1102" s="2909" t="str">
        <f>IF($A1102="","",IF($AH1102=20,IF(AND(OR($A1102=21,$A1102=215),$AJ1102=10),"①病院一般",IF(AND($A1102=31,$AJ1102=41),"②病院短期","対象外")),IF($AJ1102=30,"③特定消防",IF(AND(OR($A1102=21,$A1102=215),$AJ1102=10),"④一般",IF(AND($A1102=31,$AJ1102=41),"⑤短期","対象外")))))</f>
        <v>②病院短期</v>
      </c>
      <c r="DC1102" s="2909">
        <f>IF($A1102="","",IF($AB1102&amp;""='DB_設定'!$C$4,1,0))</f>
        <v>1</v>
      </c>
    </row>
    <row r="1103">
      <c r="A1103" t="n" s="2909">
        <v>31</v>
      </c>
      <c r="AA1103" t="n" s="2909">
        <v>21</v>
      </c>
      <c r="AB1103" t="inlineStr" s="2909">
        <is>
          <t>20250401</t>
        </is>
      </c>
      <c r="AD1103" t="n" s="2909">
        <v>0</v>
      </c>
      <c r="AE1103" t="inlineStr" s="2909">
        <is>
          <t>00000000</t>
        </is>
      </c>
      <c r="AH1103" t="n" s="2909">
        <v>20</v>
      </c>
      <c r="AJ1103" t="n" s="2909">
        <v>41</v>
      </c>
      <c r="AP1103" t="n" s="2909">
        <v>790000</v>
      </c>
      <c r="DB1103" s="2909" t="str">
        <f>IF($A1103="","",IF($AH1103=20,IF(AND(OR($A1103=21,$A1103=215),$AJ1103=10),"①病院一般",IF(AND($A1103=31,$AJ1103=41),"②病院短期","対象外")),IF($AJ1103=30,"③特定消防",IF(AND(OR($A1103=21,$A1103=215),$AJ1103=10),"④一般",IF(AND($A1103=31,$AJ1103=41),"⑤短期","対象外")))))</f>
        <v>②病院短期</v>
      </c>
      <c r="DC1103" s="2909">
        <f>IF($A1103="","",IF($AB1103&amp;""='DB_設定'!$C$4,1,0))</f>
        <v>1</v>
      </c>
    </row>
    <row r="1104">
      <c r="A1104" t="n" s="2909">
        <v>31</v>
      </c>
      <c r="AA1104" t="n" s="2909">
        <v>21</v>
      </c>
      <c r="AB1104" t="inlineStr" s="2909">
        <is>
          <t>20250401</t>
        </is>
      </c>
      <c r="AD1104" t="n" s="2909">
        <v>0</v>
      </c>
      <c r="AE1104" t="inlineStr" s="2909">
        <is>
          <t>00000000</t>
        </is>
      </c>
      <c r="AH1104" t="n" s="2909">
        <v>20</v>
      </c>
      <c r="AJ1104" t="n" s="2909">
        <v>41</v>
      </c>
      <c r="AP1104" t="n" s="2909">
        <v>790000</v>
      </c>
      <c r="DB1104" s="2909" t="str">
        <f>IF($A1104="","",IF($AH1104=20,IF(AND(OR($A1104=21,$A1104=215),$AJ1104=10),"①病院一般",IF(AND($A1104=31,$AJ1104=41),"②病院短期","対象外")),IF($AJ1104=30,"③特定消防",IF(AND(OR($A1104=21,$A1104=215),$AJ1104=10),"④一般",IF(AND($A1104=31,$AJ1104=41),"⑤短期","対象外")))))</f>
        <v>②病院短期</v>
      </c>
      <c r="DC1104" s="2909">
        <f>IF($A1104="","",IF($AB1104&amp;""='DB_設定'!$C$4,1,0))</f>
        <v>1</v>
      </c>
    </row>
    <row r="1105">
      <c r="A1105" t="n" s="2909">
        <v>31</v>
      </c>
      <c r="AA1105" t="n" s="2909">
        <v>21</v>
      </c>
      <c r="AB1105" t="inlineStr" s="2909">
        <is>
          <t>20250401</t>
        </is>
      </c>
      <c r="AD1105" t="n" s="2909">
        <v>0</v>
      </c>
      <c r="AE1105" t="inlineStr" s="2909">
        <is>
          <t>00000000</t>
        </is>
      </c>
      <c r="AH1105" t="n" s="2909">
        <v>20</v>
      </c>
      <c r="AJ1105" t="n" s="2909">
        <v>41</v>
      </c>
      <c r="AP1105" t="n" s="2909">
        <v>680000</v>
      </c>
      <c r="DB1105" s="2909" t="str">
        <f>IF($A1105="","",IF($AH1105=20,IF(AND(OR($A1105=21,$A1105=215),$AJ1105=10),"①病院一般",IF(AND($A1105=31,$AJ1105=41),"②病院短期","対象外")),IF($AJ1105=30,"③特定消防",IF(AND(OR($A1105=21,$A1105=215),$AJ1105=10),"④一般",IF(AND($A1105=31,$AJ1105=41),"⑤短期","対象外")))))</f>
        <v>②病院短期</v>
      </c>
      <c r="DC1105" s="2909">
        <f>IF($A1105="","",IF($AB1105&amp;""='DB_設定'!$C$4,1,0))</f>
        <v>1</v>
      </c>
    </row>
    <row r="1106">
      <c r="A1106" t="n" s="2909">
        <v>31</v>
      </c>
      <c r="AA1106" t="n" s="2909">
        <v>21</v>
      </c>
      <c r="AB1106" t="inlineStr" s="2909">
        <is>
          <t>20250401</t>
        </is>
      </c>
      <c r="AD1106" t="n" s="2909">
        <v>0</v>
      </c>
      <c r="AE1106" t="inlineStr" s="2909">
        <is>
          <t>00000000</t>
        </is>
      </c>
      <c r="AH1106" t="n" s="2909">
        <v>20</v>
      </c>
      <c r="AJ1106" t="n" s="2909">
        <v>41</v>
      </c>
      <c r="AP1106" t="n" s="2909">
        <v>620000</v>
      </c>
      <c r="DB1106" s="2909" t="str">
        <f>IF($A1106="","",IF($AH1106=20,IF(AND(OR($A1106=21,$A1106=215),$AJ1106=10),"①病院一般",IF(AND($A1106=31,$AJ1106=41),"②病院短期","対象外")),IF($AJ1106=30,"③特定消防",IF(AND(OR($A1106=21,$A1106=215),$AJ1106=10),"④一般",IF(AND($A1106=31,$AJ1106=41),"⑤短期","対象外")))))</f>
        <v>②病院短期</v>
      </c>
      <c r="DC1106" s="2909">
        <f>IF($A1106="","",IF($AB1106&amp;""='DB_設定'!$C$4,1,0))</f>
        <v>1</v>
      </c>
    </row>
    <row r="1107">
      <c r="A1107" t="n" s="2909">
        <v>31</v>
      </c>
      <c r="AA1107" t="n" s="2909">
        <v>21</v>
      </c>
      <c r="AB1107" t="inlineStr" s="2909">
        <is>
          <t>20250401</t>
        </is>
      </c>
      <c r="AD1107" t="n" s="2909">
        <v>12</v>
      </c>
      <c r="AE1107" t="inlineStr" s="2909">
        <is>
          <t>20251001</t>
        </is>
      </c>
      <c r="AH1107" t="n" s="2909">
        <v>20</v>
      </c>
      <c r="AJ1107" t="n" s="2909">
        <v>41</v>
      </c>
      <c r="AP1107" t="n" s="2909">
        <v>620000</v>
      </c>
      <c r="DB1107" s="2909" t="str">
        <f>IF($A1107="","",IF($AH1107=20,IF(AND(OR($A1107=21,$A1107=215),$AJ1107=10),"①病院一般",IF(AND($A1107=31,$AJ1107=41),"②病院短期","対象外")),IF($AJ1107=30,"③特定消防",IF(AND(OR($A1107=21,$A1107=215),$AJ1107=10),"④一般",IF(AND($A1107=31,$AJ1107=41),"⑤短期","対象外")))))</f>
        <v>②病院短期</v>
      </c>
      <c r="DC1107" s="2909">
        <f>IF($A1107="","",IF($AB1107&amp;""='DB_設定'!$C$4,1,0))</f>
        <v>1</v>
      </c>
    </row>
    <row r="1108">
      <c r="A1108" t="n" s="2909">
        <v>31</v>
      </c>
      <c r="AA1108" t="n" s="2909">
        <v>21</v>
      </c>
      <c r="AB1108" t="inlineStr" s="2909">
        <is>
          <t>20250401</t>
        </is>
      </c>
      <c r="AD1108" t="n" s="2909">
        <v>0</v>
      </c>
      <c r="AE1108" t="inlineStr" s="2909">
        <is>
          <t>00000000</t>
        </is>
      </c>
      <c r="AH1108" t="n" s="2909">
        <v>20</v>
      </c>
      <c r="AJ1108" t="n" s="2909">
        <v>41</v>
      </c>
      <c r="AP1108" t="n" s="2909">
        <v>320000</v>
      </c>
      <c r="DB1108" s="2909" t="str">
        <f>IF($A1108="","",IF($AH1108=20,IF(AND(OR($A1108=21,$A1108=215),$AJ1108=10),"①病院一般",IF(AND($A1108=31,$AJ1108=41),"②病院短期","対象外")),IF($AJ1108=30,"③特定消防",IF(AND(OR($A1108=21,$A1108=215),$AJ1108=10),"④一般",IF(AND($A1108=31,$AJ1108=41),"⑤短期","対象外")))))</f>
        <v>②病院短期</v>
      </c>
      <c r="DC1108" s="2909">
        <f>IF($A1108="","",IF($AB1108&amp;""='DB_設定'!$C$4,1,0))</f>
        <v>1</v>
      </c>
    </row>
    <row r="1109">
      <c r="A1109" t="n" s="2909">
        <v>31</v>
      </c>
      <c r="AA1109" t="n" s="2909">
        <v>21</v>
      </c>
      <c r="AB1109" t="inlineStr" s="2909">
        <is>
          <t>20250401</t>
        </is>
      </c>
      <c r="AD1109" t="n" s="2909">
        <v>0</v>
      </c>
      <c r="AE1109" t="inlineStr" s="2909">
        <is>
          <t>00000000</t>
        </is>
      </c>
      <c r="AH1109" t="n" s="2909">
        <v>20</v>
      </c>
      <c r="AJ1109" t="n" s="2909">
        <v>41</v>
      </c>
      <c r="AP1109" t="n" s="2909">
        <v>240000</v>
      </c>
      <c r="DB1109" s="2909" t="str">
        <f>IF($A1109="","",IF($AH1109=20,IF(AND(OR($A1109=21,$A1109=215),$AJ1109=10),"①病院一般",IF(AND($A1109=31,$AJ1109=41),"②病院短期","対象外")),IF($AJ1109=30,"③特定消防",IF(AND(OR($A1109=21,$A1109=215),$AJ1109=10),"④一般",IF(AND($A1109=31,$AJ1109=41),"⑤短期","対象外")))))</f>
        <v>②病院短期</v>
      </c>
      <c r="DC1109" s="2909">
        <f>IF($A1109="","",IF($AB1109&amp;""='DB_設定'!$C$4,1,0))</f>
        <v>1</v>
      </c>
    </row>
    <row r="1110">
      <c r="A1110" t="n" s="2909">
        <v>31</v>
      </c>
      <c r="AA1110" t="n" s="2909">
        <v>21</v>
      </c>
      <c r="AB1110" t="inlineStr" s="2909">
        <is>
          <t>20250401</t>
        </is>
      </c>
      <c r="AD1110" t="n" s="2909">
        <v>0</v>
      </c>
      <c r="AE1110" t="inlineStr" s="2909">
        <is>
          <t>00000000</t>
        </is>
      </c>
      <c r="AH1110" t="n" s="2909">
        <v>20</v>
      </c>
      <c r="AJ1110" t="n" s="2909">
        <v>41</v>
      </c>
      <c r="AP1110" t="n" s="2909">
        <v>220000</v>
      </c>
      <c r="DB1110" s="2909" t="str">
        <f>IF($A1110="","",IF($AH1110=20,IF(AND(OR($A1110=21,$A1110=215),$AJ1110=10),"①病院一般",IF(AND($A1110=31,$AJ1110=41),"②病院短期","対象外")),IF($AJ1110=30,"③特定消防",IF(AND(OR($A1110=21,$A1110=215),$AJ1110=10),"④一般",IF(AND($A1110=31,$AJ1110=41),"⑤短期","対象外")))))</f>
        <v>②病院短期</v>
      </c>
      <c r="DC1110" s="2909">
        <f>IF($A1110="","",IF($AB1110&amp;""='DB_設定'!$C$4,1,0))</f>
        <v>1</v>
      </c>
    </row>
    <row r="1111">
      <c r="A1111" t="n" s="2909">
        <v>31</v>
      </c>
      <c r="AA1111" t="n" s="2909">
        <v>21</v>
      </c>
      <c r="AB1111" t="inlineStr" s="2909">
        <is>
          <t>20250401</t>
        </is>
      </c>
      <c r="AD1111" t="n" s="2909">
        <v>0</v>
      </c>
      <c r="AE1111" t="inlineStr" s="2909">
        <is>
          <t>00000000</t>
        </is>
      </c>
      <c r="AH1111" t="n" s="2909">
        <v>20</v>
      </c>
      <c r="AJ1111" t="n" s="2909">
        <v>41</v>
      </c>
      <c r="AP1111" t="n" s="2909">
        <v>180000</v>
      </c>
      <c r="DB1111" s="2909" t="str">
        <f>IF($A1111="","",IF($AH1111=20,IF(AND(OR($A1111=21,$A1111=215),$AJ1111=10),"①病院一般",IF(AND($A1111=31,$AJ1111=41),"②病院短期","対象外")),IF($AJ1111=30,"③特定消防",IF(AND(OR($A1111=21,$A1111=215),$AJ1111=10),"④一般",IF(AND($A1111=31,$AJ1111=41),"⑤短期","対象外")))))</f>
        <v>②病院短期</v>
      </c>
      <c r="DC1111" s="2909">
        <f>IF($A1111="","",IF($AB1111&amp;""='DB_設定'!$C$4,1,0))</f>
        <v>1</v>
      </c>
    </row>
    <row r="1112">
      <c r="A1112" t="n" s="2909">
        <v>31</v>
      </c>
      <c r="AA1112" t="n" s="2909">
        <v>21</v>
      </c>
      <c r="AB1112" t="inlineStr" s="2909">
        <is>
          <t>20250401</t>
        </is>
      </c>
      <c r="AD1112" t="n" s="2909">
        <v>0</v>
      </c>
      <c r="AE1112" t="inlineStr" s="2909">
        <is>
          <t>00000000</t>
        </is>
      </c>
      <c r="AH1112" t="n" s="2909">
        <v>20</v>
      </c>
      <c r="AJ1112" t="n" s="2909">
        <v>41</v>
      </c>
      <c r="AP1112" t="n" s="2909">
        <v>220000</v>
      </c>
      <c r="DB1112" s="2909" t="str">
        <f>IF($A1112="","",IF($AH1112=20,IF(AND(OR($A1112=21,$A1112=215),$AJ1112=10),"①病院一般",IF(AND($A1112=31,$AJ1112=41),"②病院短期","対象外")),IF($AJ1112=30,"③特定消防",IF(AND(OR($A1112=21,$A1112=215),$AJ1112=10),"④一般",IF(AND($A1112=31,$AJ1112=41),"⑤短期","対象外")))))</f>
        <v>②病院短期</v>
      </c>
      <c r="DC1112" s="2909">
        <f>IF($A1112="","",IF($AB1112&amp;""='DB_設定'!$C$4,1,0))</f>
        <v>1</v>
      </c>
    </row>
    <row r="1113">
      <c r="A1113" t="n" s="2909">
        <v>31</v>
      </c>
      <c r="AA1113" t="n" s="2909">
        <v>21</v>
      </c>
      <c r="AB1113" t="inlineStr" s="2909">
        <is>
          <t>20250401</t>
        </is>
      </c>
      <c r="AD1113" t="n" s="2909">
        <v>0</v>
      </c>
      <c r="AE1113" t="inlineStr" s="2909">
        <is>
          <t>00000000</t>
        </is>
      </c>
      <c r="AH1113" t="n" s="2909">
        <v>20</v>
      </c>
      <c r="AJ1113" t="n" s="2909">
        <v>41</v>
      </c>
      <c r="AP1113" t="n" s="2909">
        <v>190000</v>
      </c>
      <c r="DB1113" s="2909" t="str">
        <f>IF($A1113="","",IF($AH1113=20,IF(AND(OR($A1113=21,$A1113=215),$AJ1113=10),"①病院一般",IF(AND($A1113=31,$AJ1113=41),"②病院短期","対象外")),IF($AJ1113=30,"③特定消防",IF(AND(OR($A1113=21,$A1113=215),$AJ1113=10),"④一般",IF(AND($A1113=31,$AJ1113=41),"⑤短期","対象外")))))</f>
        <v>②病院短期</v>
      </c>
      <c r="DC1113" s="2909">
        <f>IF($A1113="","",IF($AB1113&amp;""='DB_設定'!$C$4,1,0))</f>
        <v>1</v>
      </c>
    </row>
    <row r="1114">
      <c r="A1114" t="n" s="2909">
        <v>31</v>
      </c>
      <c r="AA1114" t="n" s="2909">
        <v>21</v>
      </c>
      <c r="AB1114" t="inlineStr" s="2909">
        <is>
          <t>20250401</t>
        </is>
      </c>
      <c r="AD1114" t="n" s="2909">
        <v>0</v>
      </c>
      <c r="AE1114" t="inlineStr" s="2909">
        <is>
          <t>00000000</t>
        </is>
      </c>
      <c r="AH1114" t="n" s="2909">
        <v>20</v>
      </c>
      <c r="AJ1114" t="n" s="2909">
        <v>41</v>
      </c>
      <c r="AP1114" t="n" s="2909">
        <v>220000</v>
      </c>
      <c r="DB1114" s="2909" t="str">
        <f>IF($A1114="","",IF($AH1114=20,IF(AND(OR($A1114=21,$A1114=215),$AJ1114=10),"①病院一般",IF(AND($A1114=31,$AJ1114=41),"②病院短期","対象外")),IF($AJ1114=30,"③特定消防",IF(AND(OR($A1114=21,$A1114=215),$AJ1114=10),"④一般",IF(AND($A1114=31,$AJ1114=41),"⑤短期","対象外")))))</f>
        <v>②病院短期</v>
      </c>
      <c r="DC1114" s="2909">
        <f>IF($A1114="","",IF($AB1114&amp;""='DB_設定'!$C$4,1,0))</f>
        <v>1</v>
      </c>
    </row>
    <row r="1115">
      <c r="A1115" t="n" s="2909">
        <v>31</v>
      </c>
      <c r="AA1115" t="n" s="2909">
        <v>21</v>
      </c>
      <c r="AB1115" t="inlineStr" s="2909">
        <is>
          <t>20250401</t>
        </is>
      </c>
      <c r="AD1115" t="n" s="2909">
        <v>0</v>
      </c>
      <c r="AE1115" t="inlineStr" s="2909">
        <is>
          <t>00000000</t>
        </is>
      </c>
      <c r="AH1115" t="n" s="2909">
        <v>20</v>
      </c>
      <c r="AJ1115" t="n" s="2909">
        <v>41</v>
      </c>
      <c r="AP1115" t="n" s="2909">
        <v>190000</v>
      </c>
      <c r="DB1115" s="2909" t="str">
        <f>IF($A1115="","",IF($AH1115=20,IF(AND(OR($A1115=21,$A1115=215),$AJ1115=10),"①病院一般",IF(AND($A1115=31,$AJ1115=41),"②病院短期","対象外")),IF($AJ1115=30,"③特定消防",IF(AND(OR($A1115=21,$A1115=215),$AJ1115=10),"④一般",IF(AND($A1115=31,$AJ1115=41),"⑤短期","対象外")))))</f>
        <v>②病院短期</v>
      </c>
      <c r="DC1115" s="2909">
        <f>IF($A1115="","",IF($AB1115&amp;""='DB_設定'!$C$4,1,0))</f>
        <v>1</v>
      </c>
    </row>
    <row r="1116">
      <c r="A1116" t="n" s="2909">
        <v>31</v>
      </c>
      <c r="AA1116" t="n" s="2909">
        <v>21</v>
      </c>
      <c r="AB1116" t="inlineStr" s="2909">
        <is>
          <t>20250401</t>
        </is>
      </c>
      <c r="AD1116" t="n" s="2909">
        <v>0</v>
      </c>
      <c r="AE1116" t="inlineStr" s="2909">
        <is>
          <t>00000000</t>
        </is>
      </c>
      <c r="AH1116" t="n" s="2909">
        <v>20</v>
      </c>
      <c r="AJ1116" t="n" s="2909">
        <v>41</v>
      </c>
      <c r="AP1116" t="n" s="2909">
        <v>190000</v>
      </c>
      <c r="DB1116" s="2909" t="str">
        <f>IF($A1116="","",IF($AH1116=20,IF(AND(OR($A1116=21,$A1116=215),$AJ1116=10),"①病院一般",IF(AND($A1116=31,$AJ1116=41),"②病院短期","対象外")),IF($AJ1116=30,"③特定消防",IF(AND(OR($A1116=21,$A1116=215),$AJ1116=10),"④一般",IF(AND($A1116=31,$AJ1116=41),"⑤短期","対象外")))))</f>
        <v>②病院短期</v>
      </c>
      <c r="DC1116" s="2909">
        <f>IF($A1116="","",IF($AB1116&amp;""='DB_設定'!$C$4,1,0))</f>
        <v>1</v>
      </c>
    </row>
    <row r="1117">
      <c r="A1117" t="n" s="2909">
        <v>31</v>
      </c>
      <c r="AA1117" t="n" s="2909">
        <v>21</v>
      </c>
      <c r="AB1117" t="inlineStr" s="2909">
        <is>
          <t>20250401</t>
        </is>
      </c>
      <c r="AD1117" t="n" s="2909">
        <v>0</v>
      </c>
      <c r="AE1117" t="inlineStr" s="2909">
        <is>
          <t>00000000</t>
        </is>
      </c>
      <c r="AH1117" t="n" s="2909">
        <v>20</v>
      </c>
      <c r="AJ1117" t="n" s="2909">
        <v>41</v>
      </c>
      <c r="AP1117" t="n" s="2909">
        <v>180000</v>
      </c>
      <c r="DB1117" s="2909" t="str">
        <f>IF($A1117="","",IF($AH1117=20,IF(AND(OR($A1117=21,$A1117=215),$AJ1117=10),"①病院一般",IF(AND($A1117=31,$AJ1117=41),"②病院短期","対象外")),IF($AJ1117=30,"③特定消防",IF(AND(OR($A1117=21,$A1117=215),$AJ1117=10),"④一般",IF(AND($A1117=31,$AJ1117=41),"⑤短期","対象外")))))</f>
        <v>②病院短期</v>
      </c>
      <c r="DC1117" s="2909">
        <f>IF($A1117="","",IF($AB1117&amp;""='DB_設定'!$C$4,1,0))</f>
        <v>1</v>
      </c>
    </row>
    <row r="1118">
      <c r="A1118" t="n" s="2909">
        <v>31</v>
      </c>
      <c r="AA1118" t="n" s="2909">
        <v>21</v>
      </c>
      <c r="AB1118" t="inlineStr" s="2909">
        <is>
          <t>20250401</t>
        </is>
      </c>
      <c r="AD1118" t="n" s="2909">
        <v>0</v>
      </c>
      <c r="AE1118" t="inlineStr" s="2909">
        <is>
          <t>00000000</t>
        </is>
      </c>
      <c r="AH1118" t="n" s="2909">
        <v>20</v>
      </c>
      <c r="AJ1118" t="n" s="2909">
        <v>41</v>
      </c>
      <c r="AP1118" t="n" s="2909">
        <v>240000</v>
      </c>
      <c r="DB1118" s="2909" t="str">
        <f>IF($A1118="","",IF($AH1118=20,IF(AND(OR($A1118=21,$A1118=215),$AJ1118=10),"①病院一般",IF(AND($A1118=31,$AJ1118=41),"②病院短期","対象外")),IF($AJ1118=30,"③特定消防",IF(AND(OR($A1118=21,$A1118=215),$AJ1118=10),"④一般",IF(AND($A1118=31,$AJ1118=41),"⑤短期","対象外")))))</f>
        <v>②病院短期</v>
      </c>
      <c r="DC1118" s="2909">
        <f>IF($A1118="","",IF($AB1118&amp;""='DB_設定'!$C$4,1,0))</f>
        <v>1</v>
      </c>
    </row>
    <row r="1119">
      <c r="A1119" t="n" s="2909">
        <v>31</v>
      </c>
      <c r="AA1119" t="n" s="2909">
        <v>21</v>
      </c>
      <c r="AB1119" t="inlineStr" s="2909">
        <is>
          <t>20250401</t>
        </is>
      </c>
      <c r="AD1119" t="n" s="2909">
        <v>0</v>
      </c>
      <c r="AE1119" t="inlineStr" s="2909">
        <is>
          <t>00000000</t>
        </is>
      </c>
      <c r="AH1119" t="n" s="2909">
        <v>20</v>
      </c>
      <c r="AJ1119" t="n" s="2909">
        <v>41</v>
      </c>
      <c r="AP1119" t="n" s="2909">
        <v>240000</v>
      </c>
      <c r="DB1119" s="2909" t="str">
        <f>IF($A1119="","",IF($AH1119=20,IF(AND(OR($A1119=21,$A1119=215),$AJ1119=10),"①病院一般",IF(AND($A1119=31,$AJ1119=41),"②病院短期","対象外")),IF($AJ1119=30,"③特定消防",IF(AND(OR($A1119=21,$A1119=215),$AJ1119=10),"④一般",IF(AND($A1119=31,$AJ1119=41),"⑤短期","対象外")))))</f>
        <v>②病院短期</v>
      </c>
      <c r="DC1119" s="2909">
        <f>IF($A1119="","",IF($AB1119&amp;""='DB_設定'!$C$4,1,0))</f>
        <v>1</v>
      </c>
    </row>
    <row r="1120">
      <c r="A1120" t="n" s="2909">
        <v>31</v>
      </c>
      <c r="AA1120" t="n" s="2909">
        <v>21</v>
      </c>
      <c r="AB1120" t="inlineStr" s="2909">
        <is>
          <t>20250401</t>
        </is>
      </c>
      <c r="AD1120" t="n" s="2909">
        <v>0</v>
      </c>
      <c r="AE1120" t="inlineStr" s="2909">
        <is>
          <t>00000000</t>
        </is>
      </c>
      <c r="AH1120" t="n" s="2909">
        <v>20</v>
      </c>
      <c r="AJ1120" t="n" s="2909">
        <v>41</v>
      </c>
      <c r="AP1120" t="n" s="2909">
        <v>200000</v>
      </c>
      <c r="DB1120" s="2909" t="str">
        <f>IF($A1120="","",IF($AH1120=20,IF(AND(OR($A1120=21,$A1120=215),$AJ1120=10),"①病院一般",IF(AND($A1120=31,$AJ1120=41),"②病院短期","対象外")),IF($AJ1120=30,"③特定消防",IF(AND(OR($A1120=21,$A1120=215),$AJ1120=10),"④一般",IF(AND($A1120=31,$AJ1120=41),"⑤短期","対象外")))))</f>
        <v>②病院短期</v>
      </c>
      <c r="DC1120" s="2909">
        <f>IF($A1120="","",IF($AB1120&amp;""='DB_設定'!$C$4,1,0))</f>
        <v>1</v>
      </c>
    </row>
    <row r="1121">
      <c r="A1121" t="n" s="2909">
        <v>31</v>
      </c>
      <c r="AA1121" t="n" s="2909">
        <v>21</v>
      </c>
      <c r="AB1121" t="inlineStr" s="2909">
        <is>
          <t>20250401</t>
        </is>
      </c>
      <c r="AD1121" t="n" s="2909">
        <v>0</v>
      </c>
      <c r="AE1121" t="inlineStr" s="2909">
        <is>
          <t>00000000</t>
        </is>
      </c>
      <c r="AH1121" t="n" s="2909">
        <v>20</v>
      </c>
      <c r="AJ1121" t="n" s="2909">
        <v>41</v>
      </c>
      <c r="AP1121" t="n" s="2909">
        <v>200000</v>
      </c>
      <c r="DB1121" s="2909" t="str">
        <f>IF($A1121="","",IF($AH1121=20,IF(AND(OR($A1121=21,$A1121=215),$AJ1121=10),"①病院一般",IF(AND($A1121=31,$AJ1121=41),"②病院短期","対象外")),IF($AJ1121=30,"③特定消防",IF(AND(OR($A1121=21,$A1121=215),$AJ1121=10),"④一般",IF(AND($A1121=31,$AJ1121=41),"⑤短期","対象外")))))</f>
        <v>②病院短期</v>
      </c>
      <c r="DC1121" s="2909">
        <f>IF($A1121="","",IF($AB1121&amp;""='DB_設定'!$C$4,1,0))</f>
        <v>1</v>
      </c>
    </row>
    <row r="1122">
      <c r="A1122" t="n" s="2909">
        <v>31</v>
      </c>
      <c r="AA1122" t="n" s="2909">
        <v>21</v>
      </c>
      <c r="AB1122" t="inlineStr" s="2909">
        <is>
          <t>20250401</t>
        </is>
      </c>
      <c r="AD1122" t="n" s="2909">
        <v>0</v>
      </c>
      <c r="AE1122" t="inlineStr" s="2909">
        <is>
          <t>00000000</t>
        </is>
      </c>
      <c r="AH1122" t="n" s="2909">
        <v>20</v>
      </c>
      <c r="AJ1122" t="n" s="2909">
        <v>41</v>
      </c>
      <c r="AP1122" t="n" s="2909">
        <v>190000</v>
      </c>
      <c r="DB1122" s="2909" t="str">
        <f>IF($A1122="","",IF($AH1122=20,IF(AND(OR($A1122=21,$A1122=215),$AJ1122=10),"①病院一般",IF(AND($A1122=31,$AJ1122=41),"②病院短期","対象外")),IF($AJ1122=30,"③特定消防",IF(AND(OR($A1122=21,$A1122=215),$AJ1122=10),"④一般",IF(AND($A1122=31,$AJ1122=41),"⑤短期","対象外")))))</f>
        <v>②病院短期</v>
      </c>
      <c r="DC1122" s="2909">
        <f>IF($A1122="","",IF($AB1122&amp;""='DB_設定'!$C$4,1,0))</f>
        <v>1</v>
      </c>
    </row>
    <row r="1123">
      <c r="A1123" t="n" s="2909">
        <v>31</v>
      </c>
      <c r="AA1123" t="n" s="2909">
        <v>21</v>
      </c>
      <c r="AB1123" t="inlineStr" s="2909">
        <is>
          <t>20250401</t>
        </is>
      </c>
      <c r="AD1123" t="n" s="2909">
        <v>0</v>
      </c>
      <c r="AE1123" t="inlineStr" s="2909">
        <is>
          <t>00000000</t>
        </is>
      </c>
      <c r="AH1123" t="n" s="2909">
        <v>20</v>
      </c>
      <c r="AJ1123" t="n" s="2909">
        <v>41</v>
      </c>
      <c r="AP1123" t="n" s="2909">
        <v>220000</v>
      </c>
      <c r="DB1123" s="2909" t="str">
        <f>IF($A1123="","",IF($AH1123=20,IF(AND(OR($A1123=21,$A1123=215),$AJ1123=10),"①病院一般",IF(AND($A1123=31,$AJ1123=41),"②病院短期","対象外")),IF($AJ1123=30,"③特定消防",IF(AND(OR($A1123=21,$A1123=215),$AJ1123=10),"④一般",IF(AND($A1123=31,$AJ1123=41),"⑤短期","対象外")))))</f>
        <v>②病院短期</v>
      </c>
      <c r="DC1123" s="2909">
        <f>IF($A1123="","",IF($AB1123&amp;""='DB_設定'!$C$4,1,0))</f>
        <v>1</v>
      </c>
    </row>
    <row r="1124">
      <c r="A1124" t="n" s="2909">
        <v>31</v>
      </c>
      <c r="AA1124" t="n" s="2909">
        <v>21</v>
      </c>
      <c r="AB1124" t="inlineStr" s="2909">
        <is>
          <t>20250401</t>
        </is>
      </c>
      <c r="AD1124" t="n" s="2909">
        <v>0</v>
      </c>
      <c r="AE1124" t="inlineStr" s="2909">
        <is>
          <t>00000000</t>
        </is>
      </c>
      <c r="AH1124" t="n" s="2909">
        <v>20</v>
      </c>
      <c r="AJ1124" t="n" s="2909">
        <v>41</v>
      </c>
      <c r="AP1124" t="n" s="2909">
        <v>180000</v>
      </c>
      <c r="DB1124" s="2909" t="str">
        <f>IF($A1124="","",IF($AH1124=20,IF(AND(OR($A1124=21,$A1124=215),$AJ1124=10),"①病院一般",IF(AND($A1124=31,$AJ1124=41),"②病院短期","対象外")),IF($AJ1124=30,"③特定消防",IF(AND(OR($A1124=21,$A1124=215),$AJ1124=10),"④一般",IF(AND($A1124=31,$AJ1124=41),"⑤短期","対象外")))))</f>
        <v>②病院短期</v>
      </c>
      <c r="DC1124" s="2909">
        <f>IF($A1124="","",IF($AB1124&amp;""='DB_設定'!$C$4,1,0))</f>
        <v>1</v>
      </c>
    </row>
    <row r="1125">
      <c r="A1125" t="n" s="2909">
        <v>31</v>
      </c>
      <c r="AA1125" t="n" s="2909">
        <v>21</v>
      </c>
      <c r="AB1125" t="inlineStr" s="2909">
        <is>
          <t>20250401</t>
        </is>
      </c>
      <c r="AD1125" t="n" s="2909">
        <v>0</v>
      </c>
      <c r="AE1125" t="inlineStr" s="2909">
        <is>
          <t>00000000</t>
        </is>
      </c>
      <c r="AH1125" t="n" s="2909">
        <v>20</v>
      </c>
      <c r="AJ1125" t="n" s="2909">
        <v>41</v>
      </c>
      <c r="AP1125" t="n" s="2909">
        <v>180000</v>
      </c>
      <c r="DB1125" s="2909" t="str">
        <f>IF($A1125="","",IF($AH1125=20,IF(AND(OR($A1125=21,$A1125=215),$AJ1125=10),"①病院一般",IF(AND($A1125=31,$AJ1125=41),"②病院短期","対象外")),IF($AJ1125=30,"③特定消防",IF(AND(OR($A1125=21,$A1125=215),$AJ1125=10),"④一般",IF(AND($A1125=31,$AJ1125=41),"⑤短期","対象外")))))</f>
        <v>②病院短期</v>
      </c>
      <c r="DC1125" s="2909">
        <f>IF($A1125="","",IF($AB1125&amp;""='DB_設定'!$C$4,1,0))</f>
        <v>1</v>
      </c>
    </row>
    <row r="1126">
      <c r="A1126" t="n" s="2909">
        <v>31</v>
      </c>
      <c r="AA1126" t="n" s="2909">
        <v>21</v>
      </c>
      <c r="AB1126" t="inlineStr" s="2909">
        <is>
          <t>20250401</t>
        </is>
      </c>
      <c r="AD1126" t="n" s="2909">
        <v>0</v>
      </c>
      <c r="AE1126" t="inlineStr" s="2909">
        <is>
          <t>00000000</t>
        </is>
      </c>
      <c r="AH1126" t="n" s="2909">
        <v>20</v>
      </c>
      <c r="AJ1126" t="n" s="2909">
        <v>41</v>
      </c>
      <c r="AP1126" t="n" s="2909">
        <v>180000</v>
      </c>
      <c r="DB1126" s="2909" t="str">
        <f>IF($A1126="","",IF($AH1126=20,IF(AND(OR($A1126=21,$A1126=215),$AJ1126=10),"①病院一般",IF(AND($A1126=31,$AJ1126=41),"②病院短期","対象外")),IF($AJ1126=30,"③特定消防",IF(AND(OR($A1126=21,$A1126=215),$AJ1126=10),"④一般",IF(AND($A1126=31,$AJ1126=41),"⑤短期","対象外")))))</f>
        <v>②病院短期</v>
      </c>
      <c r="DC1126" s="2909">
        <f>IF($A1126="","",IF($AB1126&amp;""='DB_設定'!$C$4,1,0))</f>
        <v>1</v>
      </c>
    </row>
    <row r="1127">
      <c r="A1127" t="n" s="2909">
        <v>31</v>
      </c>
      <c r="AA1127" t="n" s="2909">
        <v>21</v>
      </c>
      <c r="AB1127" t="inlineStr" s="2909">
        <is>
          <t>20250401</t>
        </is>
      </c>
      <c r="AD1127" t="n" s="2909">
        <v>0</v>
      </c>
      <c r="AE1127" t="inlineStr" s="2909">
        <is>
          <t>00000000</t>
        </is>
      </c>
      <c r="AH1127" t="n" s="2909">
        <v>20</v>
      </c>
      <c r="AJ1127" t="n" s="2909">
        <v>41</v>
      </c>
      <c r="AP1127" t="n" s="2909">
        <v>180000</v>
      </c>
      <c r="DB1127" s="2909" t="str">
        <f>IF($A1127="","",IF($AH1127=20,IF(AND(OR($A1127=21,$A1127=215),$AJ1127=10),"①病院一般",IF(AND($A1127=31,$AJ1127=41),"②病院短期","対象外")),IF($AJ1127=30,"③特定消防",IF(AND(OR($A1127=21,$A1127=215),$AJ1127=10),"④一般",IF(AND($A1127=31,$AJ1127=41),"⑤短期","対象外")))))</f>
        <v>②病院短期</v>
      </c>
      <c r="DC1127" s="2909">
        <f>IF($A1127="","",IF($AB1127&amp;""='DB_設定'!$C$4,1,0))</f>
        <v>1</v>
      </c>
    </row>
    <row r="1128">
      <c r="A1128" t="n" s="2909">
        <v>31</v>
      </c>
      <c r="AA1128" t="n" s="2909">
        <v>21</v>
      </c>
      <c r="AB1128" t="inlineStr" s="2909">
        <is>
          <t>20250601</t>
        </is>
      </c>
      <c r="AD1128" t="n" s="2909">
        <v>0</v>
      </c>
      <c r="AE1128" t="inlineStr" s="2909">
        <is>
          <t>00000000</t>
        </is>
      </c>
      <c r="AH1128" t="n" s="2909">
        <v>20</v>
      </c>
      <c r="AJ1128" t="n" s="2909">
        <v>41</v>
      </c>
      <c r="AP1128" t="n" s="2909">
        <v>500000</v>
      </c>
      <c r="DB1128" s="2909" t="str">
        <f>IF($A1128="","",IF($AH1128=20,IF(AND(OR($A1128=21,$A1128=215),$AJ1128=10),"①病院一般",IF(AND($A1128=31,$AJ1128=41),"②病院短期","対象外")),IF($AJ1128=30,"③特定消防",IF(AND(OR($A1128=21,$A1128=215),$AJ1128=10),"④一般",IF(AND($A1128=31,$AJ1128=41),"⑤短期","対象外")))))</f>
        <v>②病院短期</v>
      </c>
      <c r="DC1128" s="2909">
        <f>IF($A1128="","",IF($AB1128&amp;""='DB_設定'!$C$4,1,0))</f>
        <v>0</v>
      </c>
    </row>
    <row r="1129">
      <c r="A1129" t="n" s="2909">
        <v>31</v>
      </c>
      <c r="AA1129" t="n" s="2909">
        <v>21</v>
      </c>
      <c r="AB1129" t="inlineStr" s="2909">
        <is>
          <t>20251001</t>
        </is>
      </c>
      <c r="AD1129" t="n" s="2909">
        <v>0</v>
      </c>
      <c r="AE1129" t="inlineStr" s="2909">
        <is>
          <t>00000000</t>
        </is>
      </c>
      <c r="AH1129" t="n" s="2909">
        <v>20</v>
      </c>
      <c r="AJ1129" t="n" s="2909">
        <v>41</v>
      </c>
      <c r="AP1129" t="n" s="2909">
        <v>750000</v>
      </c>
      <c r="DB1129" s="2909" t="str">
        <f>IF($A1129="","",IF($AH1129=20,IF(AND(OR($A1129=21,$A1129=215),$AJ1129=10),"①病院一般",IF(AND($A1129=31,$AJ1129=41),"②病院短期","対象外")),IF($AJ1129=30,"③特定消防",IF(AND(OR($A1129=21,$A1129=215),$AJ1129=10),"④一般",IF(AND($A1129=31,$AJ1129=41),"⑤短期","対象外")))))</f>
        <v>②病院短期</v>
      </c>
      <c r="DC1129" s="2909">
        <f>IF($A1129="","",IF($AB1129&amp;""='DB_設定'!$C$4,1,0))</f>
        <v>0</v>
      </c>
    </row>
    <row r="1130">
      <c r="A1130" t="n" s="2909">
        <v>31</v>
      </c>
      <c r="AA1130" t="n" s="2909">
        <v>21</v>
      </c>
      <c r="AB1130" t="inlineStr" s="2909">
        <is>
          <t>20251001</t>
        </is>
      </c>
      <c r="AD1130" t="n" s="2909">
        <v>0</v>
      </c>
      <c r="AE1130" t="inlineStr" s="2909">
        <is>
          <t>00000000</t>
        </is>
      </c>
      <c r="AH1130" t="n" s="2909">
        <v>20</v>
      </c>
      <c r="AJ1130" t="n" s="2909">
        <v>41</v>
      </c>
      <c r="AP1130" t="n" s="2909">
        <v>930000</v>
      </c>
      <c r="DB1130" s="2909" t="str">
        <f>IF($A1130="","",IF($AH1130=20,IF(AND(OR($A1130=21,$A1130=215),$AJ1130=10),"①病院一般",IF(AND($A1130=31,$AJ1130=41),"②病院短期","対象外")),IF($AJ1130=30,"③特定消防",IF(AND(OR($A1130=21,$A1130=215),$AJ1130=10),"④一般",IF(AND($A1130=31,$AJ1130=41),"⑤短期","対象外")))))</f>
        <v>②病院短期</v>
      </c>
      <c r="DC1130" s="2909">
        <f>IF($A1130="","",IF($AB1130&amp;""='DB_設定'!$C$4,1,0))</f>
        <v>0</v>
      </c>
    </row>
    <row r="1131">
      <c r="A1131" t="n" s="2909">
        <v>31</v>
      </c>
      <c r="AA1131" t="n" s="2909">
        <v>21</v>
      </c>
      <c r="AB1131" t="inlineStr" s="2909">
        <is>
          <t>20251001</t>
        </is>
      </c>
      <c r="AD1131" t="n" s="2909">
        <v>0</v>
      </c>
      <c r="AE1131" t="inlineStr" s="2909">
        <is>
          <t>00000000</t>
        </is>
      </c>
      <c r="AH1131" t="n" s="2909">
        <v>20</v>
      </c>
      <c r="AJ1131" t="n" s="2909">
        <v>41</v>
      </c>
      <c r="AP1131" t="n" s="2909">
        <v>930000</v>
      </c>
      <c r="DB1131" s="2909" t="str">
        <f>IF($A1131="","",IF($AH1131=20,IF(AND(OR($A1131=21,$A1131=215),$AJ1131=10),"①病院一般",IF(AND($A1131=31,$AJ1131=41),"②病院短期","対象外")),IF($AJ1131=30,"③特定消防",IF(AND(OR($A1131=21,$A1131=215),$AJ1131=10),"④一般",IF(AND($A1131=31,$AJ1131=41),"⑤短期","対象外")))))</f>
        <v>②病院短期</v>
      </c>
      <c r="DC1131" s="2909">
        <f>IF($A1131="","",IF($AB1131&amp;""='DB_設定'!$C$4,1,0))</f>
        <v>0</v>
      </c>
    </row>
    <row r="1132">
      <c r="A1132" t="n" s="2909">
        <v>31</v>
      </c>
      <c r="AA1132" t="n" s="2909">
        <v>21</v>
      </c>
      <c r="AB1132" t="inlineStr" s="2909">
        <is>
          <t>20251001</t>
        </is>
      </c>
      <c r="AD1132" t="n" s="2909">
        <v>0</v>
      </c>
      <c r="AE1132" t="inlineStr" s="2909">
        <is>
          <t>00000000</t>
        </is>
      </c>
      <c r="AH1132" t="n" s="2909">
        <v>20</v>
      </c>
      <c r="AJ1132" t="n" s="2909">
        <v>41</v>
      </c>
      <c r="AP1132" t="n" s="2909">
        <v>710000</v>
      </c>
      <c r="DB1132" s="2909" t="str">
        <f>IF($A1132="","",IF($AH1132=20,IF(AND(OR($A1132=21,$A1132=215),$AJ1132=10),"①病院一般",IF(AND($A1132=31,$AJ1132=41),"②病院短期","対象外")),IF($AJ1132=30,"③特定消防",IF(AND(OR($A1132=21,$A1132=215),$AJ1132=10),"④一般",IF(AND($A1132=31,$AJ1132=41),"⑤短期","対象外")))))</f>
        <v>②病院短期</v>
      </c>
      <c r="DC1132" s="2909">
        <f>IF($A1132="","",IF($AB1132&amp;""='DB_設定'!$C$4,1,0))</f>
        <v>0</v>
      </c>
    </row>
    <row r="1133">
      <c r="A1133" t="n" s="2909">
        <v>31</v>
      </c>
      <c r="AA1133" t="n" s="2909">
        <v>21</v>
      </c>
      <c r="AB1133" t="inlineStr" s="2909">
        <is>
          <t>20251001</t>
        </is>
      </c>
      <c r="AD1133" t="n" s="2909">
        <v>0</v>
      </c>
      <c r="AE1133" t="inlineStr" s="2909">
        <is>
          <t>00000000</t>
        </is>
      </c>
      <c r="AH1133" t="n" s="2909">
        <v>20</v>
      </c>
      <c r="AJ1133" t="n" s="2909">
        <v>41</v>
      </c>
      <c r="AP1133" t="n" s="2909">
        <v>980000</v>
      </c>
      <c r="DB1133" s="2909" t="str">
        <f>IF($A1133="","",IF($AH1133=20,IF(AND(OR($A1133=21,$A1133=215),$AJ1133=10),"①病院一般",IF(AND($A1133=31,$AJ1133=41),"②病院短期","対象外")),IF($AJ1133=30,"③特定消防",IF(AND(OR($A1133=21,$A1133=215),$AJ1133=10),"④一般",IF(AND($A1133=31,$AJ1133=41),"⑤短期","対象外")))))</f>
        <v>②病院短期</v>
      </c>
      <c r="DC1133" s="2909">
        <f>IF($A1133="","",IF($AB1133&amp;""='DB_設定'!$C$4,1,0))</f>
        <v>0</v>
      </c>
    </row>
    <row r="1134">
      <c r="A1134" t="n" s="2909">
        <v>31</v>
      </c>
      <c r="AA1134" t="n" s="2909">
        <v>21</v>
      </c>
      <c r="AB1134" t="inlineStr" s="2909">
        <is>
          <t>20251001</t>
        </is>
      </c>
      <c r="AD1134" t="n" s="2909">
        <v>0</v>
      </c>
      <c r="AE1134" t="inlineStr" s="2909">
        <is>
          <t>00000000</t>
        </is>
      </c>
      <c r="AH1134" t="n" s="2909">
        <v>20</v>
      </c>
      <c r="AJ1134" t="n" s="2909">
        <v>41</v>
      </c>
      <c r="AP1134" t="n" s="2909">
        <v>880000</v>
      </c>
      <c r="DB1134" s="2909" t="str">
        <f>IF($A1134="","",IF($AH1134=20,IF(AND(OR($A1134=21,$A1134=215),$AJ1134=10),"①病院一般",IF(AND($A1134=31,$AJ1134=41),"②病院短期","対象外")),IF($AJ1134=30,"③特定消防",IF(AND(OR($A1134=21,$A1134=215),$AJ1134=10),"④一般",IF(AND($A1134=31,$AJ1134=41),"⑤短期","対象外")))))</f>
        <v>②病院短期</v>
      </c>
      <c r="DC1134" s="2909">
        <f>IF($A1134="","",IF($AB1134&amp;""='DB_設定'!$C$4,1,0))</f>
        <v>0</v>
      </c>
    </row>
    <row r="1135">
      <c r="A1135" t="n" s="2909">
        <v>31</v>
      </c>
      <c r="AA1135" t="n" s="2909">
        <v>21</v>
      </c>
      <c r="AB1135" t="inlineStr" s="2909">
        <is>
          <t>20251001</t>
        </is>
      </c>
      <c r="AD1135" t="n" s="2909">
        <v>0</v>
      </c>
      <c r="AE1135" t="inlineStr" s="2909">
        <is>
          <t>00000000</t>
        </is>
      </c>
      <c r="AH1135" t="n" s="2909">
        <v>20</v>
      </c>
      <c r="AJ1135" t="n" s="2909">
        <v>41</v>
      </c>
      <c r="AP1135" t="n" s="2909">
        <v>930000</v>
      </c>
      <c r="DB1135" s="2909" t="str">
        <f>IF($A1135="","",IF($AH1135=20,IF(AND(OR($A1135=21,$A1135=215),$AJ1135=10),"①病院一般",IF(AND($A1135=31,$AJ1135=41),"②病院短期","対象外")),IF($AJ1135=30,"③特定消防",IF(AND(OR($A1135=21,$A1135=215),$AJ1135=10),"④一般",IF(AND($A1135=31,$AJ1135=41),"⑤短期","対象外")))))</f>
        <v>②病院短期</v>
      </c>
      <c r="DC1135" s="2909">
        <f>IF($A1135="","",IF($AB1135&amp;""='DB_設定'!$C$4,1,0))</f>
        <v>0</v>
      </c>
    </row>
    <row r="1136">
      <c r="A1136" t="n" s="2909">
        <v>31</v>
      </c>
      <c r="AA1136" t="n" s="2909">
        <v>21</v>
      </c>
      <c r="AB1136" t="inlineStr" s="2909">
        <is>
          <t>20251001</t>
        </is>
      </c>
      <c r="AD1136" t="n" s="2909">
        <v>0</v>
      </c>
      <c r="AE1136" t="inlineStr" s="2909">
        <is>
          <t>00000000</t>
        </is>
      </c>
      <c r="AH1136" t="n" s="2909">
        <v>20</v>
      </c>
      <c r="AJ1136" t="n" s="2909">
        <v>41</v>
      </c>
      <c r="AP1136" t="n" s="2909">
        <v>1030000</v>
      </c>
      <c r="DB1136" s="2909" t="str">
        <f>IF($A1136="","",IF($AH1136=20,IF(AND(OR($A1136=21,$A1136=215),$AJ1136=10),"①病院一般",IF(AND($A1136=31,$AJ1136=41),"②病院短期","対象外")),IF($AJ1136=30,"③特定消防",IF(AND(OR($A1136=21,$A1136=215),$AJ1136=10),"④一般",IF(AND($A1136=31,$AJ1136=41),"⑤短期","対象外")))))</f>
        <v>②病院短期</v>
      </c>
      <c r="DC1136" s="2909">
        <f>IF($A1136="","",IF($AB1136&amp;""='DB_設定'!$C$4,1,0))</f>
        <v>0</v>
      </c>
    </row>
    <row r="1137">
      <c r="A1137" t="n" s="2909">
        <v>31</v>
      </c>
      <c r="AA1137" t="n" s="2909">
        <v>21</v>
      </c>
      <c r="AB1137" t="inlineStr" s="2909">
        <is>
          <t>20251001</t>
        </is>
      </c>
      <c r="AD1137" t="n" s="2909">
        <v>0</v>
      </c>
      <c r="AE1137" t="inlineStr" s="2909">
        <is>
          <t>00000000</t>
        </is>
      </c>
      <c r="AH1137" t="n" s="2909">
        <v>20</v>
      </c>
      <c r="AJ1137" t="n" s="2909">
        <v>41</v>
      </c>
      <c r="AP1137" t="n" s="2909">
        <v>930000</v>
      </c>
      <c r="DB1137" s="2909" t="str">
        <f>IF($A1137="","",IF($AH1137=20,IF(AND(OR($A1137=21,$A1137=215),$AJ1137=10),"①病院一般",IF(AND($A1137=31,$AJ1137=41),"②病院短期","対象外")),IF($AJ1137=30,"③特定消防",IF(AND(OR($A1137=21,$A1137=215),$AJ1137=10),"④一般",IF(AND($A1137=31,$AJ1137=41),"⑤短期","対象外")))))</f>
        <v>②病院短期</v>
      </c>
      <c r="DC1137" s="2909">
        <f>IF($A1137="","",IF($AB1137&amp;""='DB_設定'!$C$4,1,0))</f>
        <v>0</v>
      </c>
    </row>
    <row r="1138">
      <c r="A1138" t="n" s="2909">
        <v>31</v>
      </c>
      <c r="AA1138" t="n" s="2909">
        <v>21</v>
      </c>
      <c r="AB1138" t="inlineStr" s="2909">
        <is>
          <t>20251001</t>
        </is>
      </c>
      <c r="AD1138" t="n" s="2909">
        <v>0</v>
      </c>
      <c r="AE1138" t="inlineStr" s="2909">
        <is>
          <t>00000000</t>
        </is>
      </c>
      <c r="AH1138" t="n" s="2909">
        <v>20</v>
      </c>
      <c r="AJ1138" t="n" s="2909">
        <v>41</v>
      </c>
      <c r="AP1138" t="n" s="2909">
        <v>1150000</v>
      </c>
      <c r="DB1138" s="2909" t="str">
        <f>IF($A1138="","",IF($AH1138=20,IF(AND(OR($A1138=21,$A1138=215),$AJ1138=10),"①病院一般",IF(AND($A1138=31,$AJ1138=41),"②病院短期","対象外")),IF($AJ1138=30,"③特定消防",IF(AND(OR($A1138=21,$A1138=215),$AJ1138=10),"④一般",IF(AND($A1138=31,$AJ1138=41),"⑤短期","対象外")))))</f>
        <v>②病院短期</v>
      </c>
      <c r="DC1138" s="2909">
        <f>IF($A1138="","",IF($AB1138&amp;""='DB_設定'!$C$4,1,0))</f>
        <v>0</v>
      </c>
    </row>
    <row r="1139">
      <c r="A1139" t="n" s="2909">
        <v>31</v>
      </c>
      <c r="AA1139" t="n" s="2909">
        <v>21</v>
      </c>
      <c r="AB1139" t="inlineStr" s="2909">
        <is>
          <t>20251001</t>
        </is>
      </c>
      <c r="AD1139" t="n" s="2909">
        <v>0</v>
      </c>
      <c r="AE1139" t="inlineStr" s="2909">
        <is>
          <t>00000000</t>
        </is>
      </c>
      <c r="AH1139" t="n" s="2909">
        <v>20</v>
      </c>
      <c r="AJ1139" t="n" s="2909">
        <v>41</v>
      </c>
      <c r="AP1139" t="n" s="2909">
        <v>980000</v>
      </c>
      <c r="DB1139" s="2909" t="str">
        <f>IF($A1139="","",IF($AH1139=20,IF(AND(OR($A1139=21,$A1139=215),$AJ1139=10),"①病院一般",IF(AND($A1139=31,$AJ1139=41),"②病院短期","対象外")),IF($AJ1139=30,"③特定消防",IF(AND(OR($A1139=21,$A1139=215),$AJ1139=10),"④一般",IF(AND($A1139=31,$AJ1139=41),"⑤短期","対象外")))))</f>
        <v>②病院短期</v>
      </c>
      <c r="DC1139" s="2909">
        <f>IF($A1139="","",IF($AB1139&amp;""='DB_設定'!$C$4,1,0))</f>
        <v>0</v>
      </c>
    </row>
    <row r="1140">
      <c r="A1140" t="n" s="2909">
        <v>31</v>
      </c>
      <c r="AA1140" t="n" s="2909">
        <v>21</v>
      </c>
      <c r="AB1140" t="inlineStr" s="2909">
        <is>
          <t>20251001</t>
        </is>
      </c>
      <c r="AD1140" t="n" s="2909">
        <v>0</v>
      </c>
      <c r="AE1140" t="inlineStr" s="2909">
        <is>
          <t>00000000</t>
        </is>
      </c>
      <c r="AH1140" t="n" s="2909">
        <v>20</v>
      </c>
      <c r="AJ1140" t="n" s="2909">
        <v>41</v>
      </c>
      <c r="AP1140" t="n" s="2909">
        <v>830000</v>
      </c>
      <c r="DB1140" s="2909" t="str">
        <f>IF($A1140="","",IF($AH1140=20,IF(AND(OR($A1140=21,$A1140=215),$AJ1140=10),"①病院一般",IF(AND($A1140=31,$AJ1140=41),"②病院短期","対象外")),IF($AJ1140=30,"③特定消防",IF(AND(OR($A1140=21,$A1140=215),$AJ1140=10),"④一般",IF(AND($A1140=31,$AJ1140=41),"⑤短期","対象外")))))</f>
        <v>②病院短期</v>
      </c>
      <c r="DC1140" s="2909">
        <f>IF($A1140="","",IF($AB1140&amp;""='DB_設定'!$C$4,1,0))</f>
        <v>0</v>
      </c>
    </row>
    <row r="1141">
      <c r="A1141" t="n" s="2909">
        <v>31</v>
      </c>
      <c r="AA1141" t="n" s="2909">
        <v>21</v>
      </c>
      <c r="AB1141" t="inlineStr" s="2909">
        <is>
          <t>20251001</t>
        </is>
      </c>
      <c r="AD1141" t="n" s="2909">
        <v>0</v>
      </c>
      <c r="AE1141" t="inlineStr" s="2909">
        <is>
          <t>00000000</t>
        </is>
      </c>
      <c r="AH1141" t="n" s="2909">
        <v>20</v>
      </c>
      <c r="AJ1141" t="n" s="2909">
        <v>41</v>
      </c>
      <c r="AP1141" t="n" s="2909">
        <v>620000</v>
      </c>
      <c r="DB1141" s="2909" t="str">
        <f>IF($A1141="","",IF($AH1141=20,IF(AND(OR($A1141=21,$A1141=215),$AJ1141=10),"①病院一般",IF(AND($A1141=31,$AJ1141=41),"②病院短期","対象外")),IF($AJ1141=30,"③特定消防",IF(AND(OR($A1141=21,$A1141=215),$AJ1141=10),"④一般",IF(AND($A1141=31,$AJ1141=41),"⑤短期","対象外")))))</f>
        <v>②病院短期</v>
      </c>
      <c r="DC1141" s="2909">
        <f>IF($A1141="","",IF($AB1141&amp;""='DB_設定'!$C$4,1,0))</f>
        <v>0</v>
      </c>
    </row>
    <row r="1142">
      <c r="A1142" t="n" s="2909">
        <v>31</v>
      </c>
      <c r="AA1142" t="n" s="2909">
        <v>21</v>
      </c>
      <c r="AB1142" t="inlineStr" s="2909">
        <is>
          <t>20251001</t>
        </is>
      </c>
      <c r="AD1142" t="n" s="2909">
        <v>0</v>
      </c>
      <c r="AE1142" t="inlineStr" s="2909">
        <is>
          <t>00000000</t>
        </is>
      </c>
      <c r="AH1142" t="n" s="2909">
        <v>20</v>
      </c>
      <c r="AJ1142" t="n" s="2909">
        <v>41</v>
      </c>
      <c r="AP1142" t="n" s="2909">
        <v>830000</v>
      </c>
      <c r="DB1142" s="2909" t="str">
        <f>IF($A1142="","",IF($AH1142=20,IF(AND(OR($A1142=21,$A1142=215),$AJ1142=10),"①病院一般",IF(AND($A1142=31,$AJ1142=41),"②病院短期","対象外")),IF($AJ1142=30,"③特定消防",IF(AND(OR($A1142=21,$A1142=215),$AJ1142=10),"④一般",IF(AND($A1142=31,$AJ1142=41),"⑤短期","対象外")))))</f>
        <v>②病院短期</v>
      </c>
      <c r="DC1142" s="2909">
        <f>IF($A1142="","",IF($AB1142&amp;""='DB_設定'!$C$4,1,0))</f>
        <v>0</v>
      </c>
    </row>
    <row r="1143">
      <c r="A1143" t="n" s="2909">
        <v>31</v>
      </c>
      <c r="AA1143" t="n" s="2909">
        <v>21</v>
      </c>
      <c r="AB1143" t="inlineStr" s="2909">
        <is>
          <t>20251001</t>
        </is>
      </c>
      <c r="AD1143" t="n" s="2909">
        <v>0</v>
      </c>
      <c r="AE1143" t="inlineStr" s="2909">
        <is>
          <t>00000000</t>
        </is>
      </c>
      <c r="AH1143" t="n" s="2909">
        <v>20</v>
      </c>
      <c r="AJ1143" t="n" s="2909">
        <v>41</v>
      </c>
      <c r="AP1143" t="n" s="2909">
        <v>240000</v>
      </c>
      <c r="DB1143" s="2909" t="str">
        <f>IF($A1143="","",IF($AH1143=20,IF(AND(OR($A1143=21,$A1143=215),$AJ1143=10),"①病院一般",IF(AND($A1143=31,$AJ1143=41),"②病院短期","対象外")),IF($AJ1143=30,"③特定消防",IF(AND(OR($A1143=21,$A1143=215),$AJ1143=10),"④一般",IF(AND($A1143=31,$AJ1143=41),"⑤短期","対象外")))))</f>
        <v>②病院短期</v>
      </c>
      <c r="DC1143" s="2909">
        <f>IF($A1143="","",IF($AB1143&amp;""='DB_設定'!$C$4,1,0))</f>
        <v>0</v>
      </c>
    </row>
    <row r="1144">
      <c r="A1144" t="n" s="2909">
        <v>31</v>
      </c>
      <c r="AA1144" t="n" s="2909">
        <v>21</v>
      </c>
      <c r="AB1144" t="inlineStr" s="2909">
        <is>
          <t>20251001</t>
        </is>
      </c>
      <c r="AD1144" t="n" s="2909">
        <v>0</v>
      </c>
      <c r="AE1144" t="inlineStr" s="2909">
        <is>
          <t>00000000</t>
        </is>
      </c>
      <c r="AH1144" t="n" s="2909">
        <v>20</v>
      </c>
      <c r="AJ1144" t="n" s="2909">
        <v>41</v>
      </c>
      <c r="AP1144" t="n" s="2909">
        <v>170000</v>
      </c>
      <c r="DB1144" s="2909" t="str">
        <f>IF($A1144="","",IF($AH1144=20,IF(AND(OR($A1144=21,$A1144=215),$AJ1144=10),"①病院一般",IF(AND($A1144=31,$AJ1144=41),"②病院短期","対象外")),IF($AJ1144=30,"③特定消防",IF(AND(OR($A1144=21,$A1144=215),$AJ1144=10),"④一般",IF(AND($A1144=31,$AJ1144=41),"⑤短期","対象外")))))</f>
        <v>②病院短期</v>
      </c>
      <c r="DC1144" s="2909">
        <f>IF($A1144="","",IF($AB1144&amp;""='DB_設定'!$C$4,1,0))</f>
        <v>0</v>
      </c>
    </row>
    <row r="1145">
      <c r="A1145" t="n" s="2909">
        <v>31</v>
      </c>
      <c r="AA1145" t="n" s="2909">
        <v>21</v>
      </c>
      <c r="AB1145" t="inlineStr" s="2909">
        <is>
          <t>20251001</t>
        </is>
      </c>
      <c r="AD1145" t="n" s="2909">
        <v>0</v>
      </c>
      <c r="AE1145" t="inlineStr" s="2909">
        <is>
          <t>00000000</t>
        </is>
      </c>
      <c r="AH1145" t="n" s="2909">
        <v>20</v>
      </c>
      <c r="AJ1145" t="n" s="2909">
        <v>41</v>
      </c>
      <c r="AP1145" t="n" s="2909">
        <v>180000</v>
      </c>
      <c r="DB1145" s="2909" t="str">
        <f>IF($A1145="","",IF($AH1145=20,IF(AND(OR($A1145=21,$A1145=215),$AJ1145=10),"①病院一般",IF(AND($A1145=31,$AJ1145=41),"②病院短期","対象外")),IF($AJ1145=30,"③特定消防",IF(AND(OR($A1145=21,$A1145=215),$AJ1145=10),"④一般",IF(AND($A1145=31,$AJ1145=41),"⑤短期","対象外")))))</f>
        <v>②病院短期</v>
      </c>
      <c r="DC1145" s="2909">
        <f>IF($A1145="","",IF($AB1145&amp;""='DB_設定'!$C$4,1,0))</f>
        <v>0</v>
      </c>
    </row>
    <row r="1146">
      <c r="A1146" t="n" s="2909">
        <v>31</v>
      </c>
      <c r="AA1146" t="n" s="2909">
        <v>21</v>
      </c>
      <c r="AB1146" t="inlineStr" s="2909">
        <is>
          <t>20251001</t>
        </is>
      </c>
      <c r="AD1146" t="n" s="2909">
        <v>0</v>
      </c>
      <c r="AE1146" t="inlineStr" s="2909">
        <is>
          <t>00000000</t>
        </is>
      </c>
      <c r="AH1146" t="n" s="2909">
        <v>20</v>
      </c>
      <c r="AJ1146" t="n" s="2909">
        <v>41</v>
      </c>
      <c r="AP1146" t="n" s="2909">
        <v>180000</v>
      </c>
      <c r="DB1146" s="2909" t="str">
        <f>IF($A1146="","",IF($AH1146=20,IF(AND(OR($A1146=21,$A1146=215),$AJ1146=10),"①病院一般",IF(AND($A1146=31,$AJ1146=41),"②病院短期","対象外")),IF($AJ1146=30,"③特定消防",IF(AND(OR($A1146=21,$A1146=215),$AJ1146=10),"④一般",IF(AND($A1146=31,$AJ1146=41),"⑤短期","対象外")))))</f>
        <v>②病院短期</v>
      </c>
      <c r="DC1146" s="2909">
        <f>IF($A1146="","",IF($AB1146&amp;""='DB_設定'!$C$4,1,0))</f>
        <v>0</v>
      </c>
    </row>
    <row r="1147">
      <c r="A1147" t="n" s="2909">
        <v>31</v>
      </c>
      <c r="AA1147" t="n" s="2909">
        <v>21</v>
      </c>
      <c r="AB1147" t="inlineStr" s="2909">
        <is>
          <t>20251001</t>
        </is>
      </c>
      <c r="AD1147" t="n" s="2909">
        <v>0</v>
      </c>
      <c r="AE1147" t="inlineStr" s="2909">
        <is>
          <t>00000000</t>
        </is>
      </c>
      <c r="AH1147" t="n" s="2909">
        <v>20</v>
      </c>
      <c r="AJ1147" t="n" s="2909">
        <v>41</v>
      </c>
      <c r="AP1147" t="n" s="2909">
        <v>180000</v>
      </c>
      <c r="DB1147" s="2909" t="str">
        <f>IF($A1147="","",IF($AH1147=20,IF(AND(OR($A1147=21,$A1147=215),$AJ1147=10),"①病院一般",IF(AND($A1147=31,$AJ1147=41),"②病院短期","対象外")),IF($AJ1147=30,"③特定消防",IF(AND(OR($A1147=21,$A1147=215),$AJ1147=10),"④一般",IF(AND($A1147=31,$AJ1147=41),"⑤短期","対象外")))))</f>
        <v>②病院短期</v>
      </c>
      <c r="DC1147" s="2909">
        <f>IF($A1147="","",IF($AB1147&amp;""='DB_設定'!$C$4,1,0))</f>
        <v>0</v>
      </c>
    </row>
    <row r="1148">
      <c r="A1148" t="n" s="2909">
        <v>31</v>
      </c>
      <c r="AA1148" t="n" s="2909">
        <v>21</v>
      </c>
      <c r="AB1148" t="inlineStr" s="2909">
        <is>
          <t>20251001</t>
        </is>
      </c>
      <c r="AD1148" t="n" s="2909">
        <v>0</v>
      </c>
      <c r="AE1148" t="inlineStr" s="2909">
        <is>
          <t>00000000</t>
        </is>
      </c>
      <c r="AH1148" t="n" s="2909">
        <v>20</v>
      </c>
      <c r="AJ1148" t="n" s="2909">
        <v>41</v>
      </c>
      <c r="AP1148" t="n" s="2909">
        <v>180000</v>
      </c>
      <c r="DB1148" s="2909" t="str">
        <f>IF($A1148="","",IF($AH1148=20,IF(AND(OR($A1148=21,$A1148=215),$AJ1148=10),"①病院一般",IF(AND($A1148=31,$AJ1148=41),"②病院短期","対象外")),IF($AJ1148=30,"③特定消防",IF(AND(OR($A1148=21,$A1148=215),$AJ1148=10),"④一般",IF(AND($A1148=31,$AJ1148=41),"⑤短期","対象外")))))</f>
        <v>②病院短期</v>
      </c>
      <c r="DC1148" s="2909">
        <f>IF($A1148="","",IF($AB1148&amp;""='DB_設定'!$C$4,1,0))</f>
        <v>0</v>
      </c>
    </row>
    <row r="1149">
      <c r="A1149" t="n" s="2909">
        <v>31</v>
      </c>
      <c r="AA1149" t="n" s="2909">
        <v>21</v>
      </c>
      <c r="AB1149" t="inlineStr" s="2909">
        <is>
          <t>20251001</t>
        </is>
      </c>
      <c r="AD1149" t="n" s="2909">
        <v>0</v>
      </c>
      <c r="AE1149" t="inlineStr" s="2909">
        <is>
          <t>00000000</t>
        </is>
      </c>
      <c r="AH1149" t="n" s="2909">
        <v>20</v>
      </c>
      <c r="AJ1149" t="n" s="2909">
        <v>41</v>
      </c>
      <c r="AP1149" t="n" s="2909">
        <v>160000</v>
      </c>
      <c r="DB1149" s="2909" t="str">
        <f>IF($A1149="","",IF($AH1149=20,IF(AND(OR($A1149=21,$A1149=215),$AJ1149=10),"①病院一般",IF(AND($A1149=31,$AJ1149=41),"②病院短期","対象外")),IF($AJ1149=30,"③特定消防",IF(AND(OR($A1149=21,$A1149=215),$AJ1149=10),"④一般",IF(AND($A1149=31,$AJ1149=41),"⑤短期","対象外")))))</f>
        <v>②病院短期</v>
      </c>
      <c r="DC1149" s="2909">
        <f>IF($A1149="","",IF($AB1149&amp;""='DB_設定'!$C$4,1,0))</f>
        <v>0</v>
      </c>
    </row>
    <row r="1150">
      <c r="A1150" t="n" s="2909">
        <v>31</v>
      </c>
      <c r="AA1150" t="n" s="2909">
        <v>21</v>
      </c>
      <c r="AB1150" t="inlineStr" s="2909">
        <is>
          <t>20251001</t>
        </is>
      </c>
      <c r="AD1150" t="n" s="2909">
        <v>0</v>
      </c>
      <c r="AE1150" t="inlineStr" s="2909">
        <is>
          <t>00000000</t>
        </is>
      </c>
      <c r="AH1150" t="n" s="2909">
        <v>20</v>
      </c>
      <c r="AJ1150" t="n" s="2909">
        <v>41</v>
      </c>
      <c r="AP1150" t="n" s="2909">
        <v>180000</v>
      </c>
      <c r="DB1150" s="2909" t="str">
        <f>IF($A1150="","",IF($AH1150=20,IF(AND(OR($A1150=21,$A1150=215),$AJ1150=10),"①病院一般",IF(AND($A1150=31,$AJ1150=41),"②病院短期","対象外")),IF($AJ1150=30,"③特定消防",IF(AND(OR($A1150=21,$A1150=215),$AJ1150=10),"④一般",IF(AND($A1150=31,$AJ1150=41),"⑤短期","対象外")))))</f>
        <v>②病院短期</v>
      </c>
      <c r="DC1150" s="2909">
        <f>IF($A1150="","",IF($AB1150&amp;""='DB_設定'!$C$4,1,0))</f>
        <v>0</v>
      </c>
    </row>
    <row r="1151">
      <c r="A1151" t="n" s="2909">
        <v>31</v>
      </c>
      <c r="AA1151" t="n" s="2909">
        <v>21</v>
      </c>
      <c r="AB1151" t="inlineStr" s="2909">
        <is>
          <t>20251001</t>
        </is>
      </c>
      <c r="AD1151" t="n" s="2909">
        <v>0</v>
      </c>
      <c r="AE1151" t="inlineStr" s="2909">
        <is>
          <t>00000000</t>
        </is>
      </c>
      <c r="AH1151" t="n" s="2909">
        <v>20</v>
      </c>
      <c r="AJ1151" t="n" s="2909">
        <v>41</v>
      </c>
      <c r="AP1151" t="n" s="2909">
        <v>240000</v>
      </c>
      <c r="DB1151" s="2909" t="str">
        <f>IF($A1151="","",IF($AH1151=20,IF(AND(OR($A1151=21,$A1151=215),$AJ1151=10),"①病院一般",IF(AND($A1151=31,$AJ1151=41),"②病院短期","対象外")),IF($AJ1151=30,"③特定消防",IF(AND(OR($A1151=21,$A1151=215),$AJ1151=10),"④一般",IF(AND($A1151=31,$AJ1151=41),"⑤短期","対象外")))))</f>
        <v>②病院短期</v>
      </c>
      <c r="DC1151" s="2909">
        <f>IF($A1151="","",IF($AB1151&amp;""='DB_設定'!$C$4,1,0))</f>
        <v>0</v>
      </c>
    </row>
    <row r="1152">
      <c r="A1152" t="n" s="2909">
        <v>31</v>
      </c>
      <c r="AA1152" t="n" s="2909">
        <v>21</v>
      </c>
      <c r="AB1152" t="inlineStr" s="2909">
        <is>
          <t>20251001</t>
        </is>
      </c>
      <c r="AD1152" t="n" s="2909">
        <v>0</v>
      </c>
      <c r="AE1152" t="inlineStr" s="2909">
        <is>
          <t>00000000</t>
        </is>
      </c>
      <c r="AH1152" t="n" s="2909">
        <v>20</v>
      </c>
      <c r="AJ1152" t="n" s="2909">
        <v>41</v>
      </c>
      <c r="AP1152" t="n" s="2909">
        <v>260000</v>
      </c>
      <c r="DB1152" s="2909" t="str">
        <f>IF($A1152="","",IF($AH1152=20,IF(AND(OR($A1152=21,$A1152=215),$AJ1152=10),"①病院一般",IF(AND($A1152=31,$AJ1152=41),"②病院短期","対象外")),IF($AJ1152=30,"③特定消防",IF(AND(OR($A1152=21,$A1152=215),$AJ1152=10),"④一般",IF(AND($A1152=31,$AJ1152=41),"⑤短期","対象外")))))</f>
        <v>②病院短期</v>
      </c>
      <c r="DC1152" s="2909">
        <f>IF($A1152="","",IF($AB1152&amp;""='DB_設定'!$C$4,1,0))</f>
        <v>0</v>
      </c>
    </row>
    <row r="1153">
      <c r="A1153" t="n" s="2909">
        <v>31</v>
      </c>
      <c r="AA1153" t="n" s="2909">
        <v>21</v>
      </c>
      <c r="AB1153" t="inlineStr" s="2909">
        <is>
          <t>20251001</t>
        </is>
      </c>
      <c r="AD1153" t="n" s="2909">
        <v>0</v>
      </c>
      <c r="AE1153" t="inlineStr" s="2909">
        <is>
          <t>00000000</t>
        </is>
      </c>
      <c r="AH1153" t="n" s="2909">
        <v>20</v>
      </c>
      <c r="AJ1153" t="n" s="2909">
        <v>41</v>
      </c>
      <c r="AP1153" t="n" s="2909">
        <v>190000</v>
      </c>
      <c r="DB1153" s="2909" t="str">
        <f>IF($A1153="","",IF($AH1153=20,IF(AND(OR($A1153=21,$A1153=215),$AJ1153=10),"①病院一般",IF(AND($A1153=31,$AJ1153=41),"②病院短期","対象外")),IF($AJ1153=30,"③特定消防",IF(AND(OR($A1153=21,$A1153=215),$AJ1153=10),"④一般",IF(AND($A1153=31,$AJ1153=41),"⑤短期","対象外")))))</f>
        <v>②病院短期</v>
      </c>
      <c r="DC1153" s="2909">
        <f>IF($A1153="","",IF($AB1153&amp;""='DB_設定'!$C$4,1,0))</f>
        <v>0</v>
      </c>
    </row>
    <row r="1154">
      <c r="A1154" t="n" s="2909">
        <v>31</v>
      </c>
      <c r="AA1154" t="n" s="2909">
        <v>21</v>
      </c>
      <c r="AB1154" t="inlineStr" s="2909">
        <is>
          <t>20251001</t>
        </is>
      </c>
      <c r="AD1154" t="n" s="2909">
        <v>0</v>
      </c>
      <c r="AE1154" t="inlineStr" s="2909">
        <is>
          <t>00000000</t>
        </is>
      </c>
      <c r="AH1154" t="n" s="2909">
        <v>20</v>
      </c>
      <c r="AJ1154" t="n" s="2909">
        <v>41</v>
      </c>
      <c r="AP1154" t="n" s="2909">
        <v>180000</v>
      </c>
      <c r="DB1154" s="2909" t="str">
        <f>IF($A1154="","",IF($AH1154=20,IF(AND(OR($A1154=21,$A1154=215),$AJ1154=10),"①病院一般",IF(AND($A1154=31,$AJ1154=41),"②病院短期","対象外")),IF($AJ1154=30,"③特定消防",IF(AND(OR($A1154=21,$A1154=215),$AJ1154=10),"④一般",IF(AND($A1154=31,$AJ1154=41),"⑤短期","対象外")))))</f>
        <v>②病院短期</v>
      </c>
      <c r="DC1154" s="2909">
        <f>IF($A1154="","",IF($AB1154&amp;""='DB_設定'!$C$4,1,0))</f>
        <v>0</v>
      </c>
    </row>
    <row r="1155">
      <c r="A1155" t="n" s="2909">
        <v>31</v>
      </c>
      <c r="AA1155" t="n" s="2909">
        <v>21</v>
      </c>
      <c r="AB1155" t="inlineStr" s="2909">
        <is>
          <t>20251001</t>
        </is>
      </c>
      <c r="AD1155" t="n" s="2909">
        <v>0</v>
      </c>
      <c r="AE1155" t="inlineStr" s="2909">
        <is>
          <t>00000000</t>
        </is>
      </c>
      <c r="AH1155" t="n" s="2909">
        <v>20</v>
      </c>
      <c r="AJ1155" t="n" s="2909">
        <v>41</v>
      </c>
      <c r="AP1155" t="n" s="2909">
        <v>170000</v>
      </c>
      <c r="DB1155" s="2909" t="str">
        <f>IF($A1155="","",IF($AH1155=20,IF(AND(OR($A1155=21,$A1155=215),$AJ1155=10),"①病院一般",IF(AND($A1155=31,$AJ1155=41),"②病院短期","対象外")),IF($AJ1155=30,"③特定消防",IF(AND(OR($A1155=21,$A1155=215),$AJ1155=10),"④一般",IF(AND($A1155=31,$AJ1155=41),"⑤短期","対象外")))))</f>
        <v>②病院短期</v>
      </c>
      <c r="DC1155" s="2909">
        <f>IF($A1155="","",IF($AB1155&amp;""='DB_設定'!$C$4,1,0))</f>
        <v>0</v>
      </c>
    </row>
    <row r="1156">
      <c r="A1156" t="n" s="2909">
        <v>31</v>
      </c>
      <c r="AA1156" t="n" s="2909">
        <v>21</v>
      </c>
      <c r="AB1156" t="inlineStr" s="2909">
        <is>
          <t>20250401</t>
        </is>
      </c>
      <c r="AD1156" t="n" s="2909">
        <v>0</v>
      </c>
      <c r="AE1156" t="inlineStr" s="2909">
        <is>
          <t>00000000</t>
        </is>
      </c>
      <c r="AH1156" t="n" s="2909">
        <v>20</v>
      </c>
      <c r="AJ1156" t="n" s="2909">
        <v>41</v>
      </c>
      <c r="AP1156" t="n" s="2909">
        <v>180000</v>
      </c>
      <c r="DB1156" s="2909" t="str">
        <f>IF($A1156="","",IF($AH1156=20,IF(AND(OR($A1156=21,$A1156=215),$AJ1156=10),"①病院一般",IF(AND($A1156=31,$AJ1156=41),"②病院短期","対象外")),IF($AJ1156=30,"③特定消防",IF(AND(OR($A1156=21,$A1156=215),$AJ1156=10),"④一般",IF(AND($A1156=31,$AJ1156=41),"⑤短期","対象外")))))</f>
        <v>②病院短期</v>
      </c>
      <c r="DC1156" s="2909">
        <f>IF($A1156="","",IF($AB1156&amp;""='DB_設定'!$C$4,1,0))</f>
        <v>1</v>
      </c>
    </row>
    <row r="1157">
      <c r="A1157" t="n" s="2909">
        <v>31</v>
      </c>
      <c r="AA1157" t="n" s="2909">
        <v>21</v>
      </c>
      <c r="AB1157" t="inlineStr" s="2909">
        <is>
          <t>20250401</t>
        </is>
      </c>
      <c r="AD1157" t="n" s="2909">
        <v>0</v>
      </c>
      <c r="AE1157" t="inlineStr" s="2909">
        <is>
          <t>00000000</t>
        </is>
      </c>
      <c r="AH1157" t="n" s="2909">
        <v>20</v>
      </c>
      <c r="AJ1157" t="n" s="2909">
        <v>41</v>
      </c>
      <c r="AP1157" t="n" s="2909">
        <v>300000</v>
      </c>
      <c r="DB1157" s="2909" t="str">
        <f>IF($A1157="","",IF($AH1157=20,IF(AND(OR($A1157=21,$A1157=215),$AJ1157=10),"①病院一般",IF(AND($A1157=31,$AJ1157=41),"②病院短期","対象外")),IF($AJ1157=30,"③特定消防",IF(AND(OR($A1157=21,$A1157=215),$AJ1157=10),"④一般",IF(AND($A1157=31,$AJ1157=41),"⑤短期","対象外")))))</f>
        <v>②病院短期</v>
      </c>
      <c r="DC1157" s="2909">
        <f>IF($A1157="","",IF($AB1157&amp;""='DB_設定'!$C$4,1,0))</f>
        <v>1</v>
      </c>
    </row>
    <row r="1158">
      <c r="A1158" t="n" s="2909">
        <v>31</v>
      </c>
      <c r="AA1158" t="n" s="2909">
        <v>21</v>
      </c>
      <c r="AB1158" t="inlineStr" s="2909">
        <is>
          <t>20250401</t>
        </is>
      </c>
      <c r="AD1158" t="n" s="2909">
        <v>0</v>
      </c>
      <c r="AE1158" t="inlineStr" s="2909">
        <is>
          <t>00000000</t>
        </is>
      </c>
      <c r="AH1158" t="n" s="2909">
        <v>20</v>
      </c>
      <c r="AJ1158" t="n" s="2909">
        <v>41</v>
      </c>
      <c r="AP1158" t="n" s="2909">
        <v>300000</v>
      </c>
      <c r="DB1158" s="2909" t="str">
        <f>IF($A1158="","",IF($AH1158=20,IF(AND(OR($A1158=21,$A1158=215),$AJ1158=10),"①病院一般",IF(AND($A1158=31,$AJ1158=41),"②病院短期","対象外")),IF($AJ1158=30,"③特定消防",IF(AND(OR($A1158=21,$A1158=215),$AJ1158=10),"④一般",IF(AND($A1158=31,$AJ1158=41),"⑤短期","対象外")))))</f>
        <v>②病院短期</v>
      </c>
      <c r="DC1158" s="2909">
        <f>IF($A1158="","",IF($AB1158&amp;""='DB_設定'!$C$4,1,0))</f>
        <v>1</v>
      </c>
    </row>
    <row r="1159">
      <c r="A1159" t="n" s="2909">
        <v>31</v>
      </c>
      <c r="AA1159" t="n" s="2909">
        <v>21</v>
      </c>
      <c r="AB1159" t="inlineStr" s="2909">
        <is>
          <t>20250401</t>
        </is>
      </c>
      <c r="AD1159" t="n" s="2909">
        <v>12</v>
      </c>
      <c r="AE1159" t="inlineStr" s="2909">
        <is>
          <t>20251001</t>
        </is>
      </c>
      <c r="AH1159" t="n" s="2909">
        <v>20</v>
      </c>
      <c r="AJ1159" t="n" s="2909">
        <v>41</v>
      </c>
      <c r="AP1159" t="n" s="2909">
        <v>280000</v>
      </c>
      <c r="DB1159" s="2909" t="str">
        <f>IF($A1159="","",IF($AH1159=20,IF(AND(OR($A1159=21,$A1159=215),$AJ1159=10),"①病院一般",IF(AND($A1159=31,$AJ1159=41),"②病院短期","対象外")),IF($AJ1159=30,"③特定消防",IF(AND(OR($A1159=21,$A1159=215),$AJ1159=10),"④一般",IF(AND($A1159=31,$AJ1159=41),"⑤短期","対象外")))))</f>
        <v>②病院短期</v>
      </c>
      <c r="DC1159" s="2909">
        <f>IF($A1159="","",IF($AB1159&amp;""='DB_設定'!$C$4,1,0))</f>
        <v>1</v>
      </c>
    </row>
    <row r="1160">
      <c r="A1160" t="n" s="2909">
        <v>31</v>
      </c>
      <c r="AA1160" t="n" s="2909">
        <v>21</v>
      </c>
      <c r="AB1160" t="inlineStr" s="2909">
        <is>
          <t>20250401</t>
        </is>
      </c>
      <c r="AD1160" t="n" s="2909">
        <v>12</v>
      </c>
      <c r="AE1160" t="inlineStr" s="2909">
        <is>
          <t>20251001</t>
        </is>
      </c>
      <c r="AH1160" t="n" s="2909">
        <v>20</v>
      </c>
      <c r="AJ1160" t="n" s="2909">
        <v>41</v>
      </c>
      <c r="AP1160" t="n" s="2909">
        <v>260000</v>
      </c>
      <c r="DB1160" s="2909" t="str">
        <f>IF($A1160="","",IF($AH1160=20,IF(AND(OR($A1160=21,$A1160=215),$AJ1160=10),"①病院一般",IF(AND($A1160=31,$AJ1160=41),"②病院短期","対象外")),IF($AJ1160=30,"③特定消防",IF(AND(OR($A1160=21,$A1160=215),$AJ1160=10),"④一般",IF(AND($A1160=31,$AJ1160=41),"⑤短期","対象外")))))</f>
        <v>②病院短期</v>
      </c>
      <c r="DC1160" s="2909">
        <f>IF($A1160="","",IF($AB1160&amp;""='DB_設定'!$C$4,1,0))</f>
        <v>1</v>
      </c>
    </row>
    <row r="1161">
      <c r="A1161" t="n" s="2909">
        <v>31</v>
      </c>
      <c r="AA1161" t="n" s="2909">
        <v>21</v>
      </c>
      <c r="AB1161" t="inlineStr" s="2909">
        <is>
          <t>20250401</t>
        </is>
      </c>
      <c r="AD1161" t="n" s="2909">
        <v>0</v>
      </c>
      <c r="AE1161" t="inlineStr" s="2909">
        <is>
          <t>00000000</t>
        </is>
      </c>
      <c r="AH1161" t="n" s="2909">
        <v>20</v>
      </c>
      <c r="AJ1161" t="n" s="2909">
        <v>41</v>
      </c>
      <c r="AP1161" t="n" s="2909">
        <v>280000</v>
      </c>
      <c r="DB1161" s="2909" t="str">
        <f>IF($A1161="","",IF($AH1161=20,IF(AND(OR($A1161=21,$A1161=215),$AJ1161=10),"①病院一般",IF(AND($A1161=31,$AJ1161=41),"②病院短期","対象外")),IF($AJ1161=30,"③特定消防",IF(AND(OR($A1161=21,$A1161=215),$AJ1161=10),"④一般",IF(AND($A1161=31,$AJ1161=41),"⑤短期","対象外")))))</f>
        <v>②病院短期</v>
      </c>
      <c r="DC1161" s="2909">
        <f>IF($A1161="","",IF($AB1161&amp;""='DB_設定'!$C$4,1,0))</f>
        <v>1</v>
      </c>
    </row>
    <row r="1162">
      <c r="A1162" t="n" s="2909">
        <v>31</v>
      </c>
      <c r="AA1162" t="n" s="2909">
        <v>21</v>
      </c>
      <c r="AB1162" t="inlineStr" s="2909">
        <is>
          <t>20250401</t>
        </is>
      </c>
      <c r="AD1162" t="n" s="2909">
        <v>12</v>
      </c>
      <c r="AE1162" t="inlineStr" s="2909">
        <is>
          <t>20251001</t>
        </is>
      </c>
      <c r="AH1162" t="n" s="2909">
        <v>20</v>
      </c>
      <c r="AJ1162" t="n" s="2909">
        <v>41</v>
      </c>
      <c r="AP1162" t="n" s="2909">
        <v>180000</v>
      </c>
      <c r="DB1162" s="2909" t="str">
        <f>IF($A1162="","",IF($AH1162=20,IF(AND(OR($A1162=21,$A1162=215),$AJ1162=10),"①病院一般",IF(AND($A1162=31,$AJ1162=41),"②病院短期","対象外")),IF($AJ1162=30,"③特定消防",IF(AND(OR($A1162=21,$A1162=215),$AJ1162=10),"④一般",IF(AND($A1162=31,$AJ1162=41),"⑤短期","対象外")))))</f>
        <v>②病院短期</v>
      </c>
      <c r="DC1162" s="2909">
        <f>IF($A1162="","",IF($AB1162&amp;""='DB_設定'!$C$4,1,0))</f>
        <v>1</v>
      </c>
    </row>
    <row r="1163">
      <c r="A1163" t="n" s="2909">
        <v>31</v>
      </c>
      <c r="AA1163" t="n" s="2909">
        <v>21</v>
      </c>
      <c r="AB1163" t="inlineStr" s="2909">
        <is>
          <t>20250401</t>
        </is>
      </c>
      <c r="AD1163" t="n" s="2909">
        <v>0</v>
      </c>
      <c r="AE1163" t="inlineStr" s="2909">
        <is>
          <t>00000000</t>
        </is>
      </c>
      <c r="AH1163" t="n" s="2909">
        <v>20</v>
      </c>
      <c r="AJ1163" t="n" s="2909">
        <v>41</v>
      </c>
      <c r="AP1163" t="n" s="2909">
        <v>830000</v>
      </c>
      <c r="DB1163" s="2909" t="str">
        <f>IF($A1163="","",IF($AH1163=20,IF(AND(OR($A1163=21,$A1163=215),$AJ1163=10),"①病院一般",IF(AND($A1163=31,$AJ1163=41),"②病院短期","対象外")),IF($AJ1163=30,"③特定消防",IF(AND(OR($A1163=21,$A1163=215),$AJ1163=10),"④一般",IF(AND($A1163=31,$AJ1163=41),"⑤短期","対象外")))))</f>
        <v>②病院短期</v>
      </c>
      <c r="DC1163" s="2909">
        <f>IF($A1163="","",IF($AB1163&amp;""='DB_設定'!$C$4,1,0))</f>
        <v>1</v>
      </c>
    </row>
    <row r="1164">
      <c r="A1164" t="n" s="2909">
        <v>31</v>
      </c>
      <c r="AA1164" t="n" s="2909">
        <v>21</v>
      </c>
      <c r="AB1164" t="inlineStr" s="2909">
        <is>
          <t>20250401</t>
        </is>
      </c>
      <c r="AD1164" t="n" s="2909">
        <v>0</v>
      </c>
      <c r="AE1164" t="inlineStr" s="2909">
        <is>
          <t>00000000</t>
        </is>
      </c>
      <c r="AH1164" t="n" s="2909">
        <v>20</v>
      </c>
      <c r="AJ1164" t="n" s="2909">
        <v>41</v>
      </c>
      <c r="AP1164" t="n" s="2909">
        <v>360000</v>
      </c>
      <c r="DB1164" s="2909" t="str">
        <f>IF($A1164="","",IF($AH1164=20,IF(AND(OR($A1164=21,$A1164=215),$AJ1164=10),"①病院一般",IF(AND($A1164=31,$AJ1164=41),"②病院短期","対象外")),IF($AJ1164=30,"③特定消防",IF(AND(OR($A1164=21,$A1164=215),$AJ1164=10),"④一般",IF(AND($A1164=31,$AJ1164=41),"⑤短期","対象外")))))</f>
        <v>②病院短期</v>
      </c>
      <c r="DC1164" s="2909">
        <f>IF($A1164="","",IF($AB1164&amp;""='DB_設定'!$C$4,1,0))</f>
        <v>1</v>
      </c>
    </row>
    <row r="1165">
      <c r="A1165" t="n" s="2909">
        <v>31</v>
      </c>
      <c r="AA1165" t="n" s="2909">
        <v>21</v>
      </c>
      <c r="AB1165" t="inlineStr" s="2909">
        <is>
          <t>20250401</t>
        </is>
      </c>
      <c r="AD1165" t="n" s="2909">
        <v>0</v>
      </c>
      <c r="AE1165" t="inlineStr" s="2909">
        <is>
          <t>00000000</t>
        </is>
      </c>
      <c r="AH1165" t="n" s="2909">
        <v>20</v>
      </c>
      <c r="AJ1165" t="n" s="2909">
        <v>41</v>
      </c>
      <c r="AP1165" t="n" s="2909">
        <v>240000</v>
      </c>
      <c r="DB1165" s="2909" t="str">
        <f>IF($A1165="","",IF($AH1165=20,IF(AND(OR($A1165=21,$A1165=215),$AJ1165=10),"①病院一般",IF(AND($A1165=31,$AJ1165=41),"②病院短期","対象外")),IF($AJ1165=30,"③特定消防",IF(AND(OR($A1165=21,$A1165=215),$AJ1165=10),"④一般",IF(AND($A1165=31,$AJ1165=41),"⑤短期","対象外")))))</f>
        <v>②病院短期</v>
      </c>
      <c r="DC1165" s="2909">
        <f>IF($A1165="","",IF($AB1165&amp;""='DB_設定'!$C$4,1,0))</f>
        <v>1</v>
      </c>
    </row>
    <row r="1166">
      <c r="A1166" t="n" s="2909">
        <v>31</v>
      </c>
      <c r="AA1166" t="n" s="2909">
        <v>21</v>
      </c>
      <c r="AB1166" t="inlineStr" s="2909">
        <is>
          <t>20250401</t>
        </is>
      </c>
      <c r="AD1166" t="n" s="2909">
        <v>0</v>
      </c>
      <c r="AE1166" t="inlineStr" s="2909">
        <is>
          <t>00000000</t>
        </is>
      </c>
      <c r="AH1166" t="n" s="2909">
        <v>20</v>
      </c>
      <c r="AJ1166" t="n" s="2909">
        <v>41</v>
      </c>
      <c r="AP1166" t="n" s="2909">
        <v>340000</v>
      </c>
      <c r="DB1166" s="2909" t="str">
        <f>IF($A1166="","",IF($AH1166=20,IF(AND(OR($A1166=21,$A1166=215),$AJ1166=10),"①病院一般",IF(AND($A1166=31,$AJ1166=41),"②病院短期","対象外")),IF($AJ1166=30,"③特定消防",IF(AND(OR($A1166=21,$A1166=215),$AJ1166=10),"④一般",IF(AND($A1166=31,$AJ1166=41),"⑤短期","対象外")))))</f>
        <v>②病院短期</v>
      </c>
      <c r="DC1166" s="2909">
        <f>IF($A1166="","",IF($AB1166&amp;""='DB_設定'!$C$4,1,0))</f>
        <v>1</v>
      </c>
    </row>
    <row r="1167">
      <c r="A1167" t="n" s="2909">
        <v>31</v>
      </c>
      <c r="AA1167" t="n" s="2909">
        <v>21</v>
      </c>
      <c r="AB1167" t="inlineStr" s="2909">
        <is>
          <t>20250401</t>
        </is>
      </c>
      <c r="AD1167" t="n" s="2909">
        <v>0</v>
      </c>
      <c r="AE1167" t="inlineStr" s="2909">
        <is>
          <t>00000000</t>
        </is>
      </c>
      <c r="AH1167" t="n" s="2909">
        <v>20</v>
      </c>
      <c r="AJ1167" t="n" s="2909">
        <v>41</v>
      </c>
      <c r="AP1167" t="n" s="2909">
        <v>320000</v>
      </c>
      <c r="DB1167" s="2909" t="str">
        <f>IF($A1167="","",IF($AH1167=20,IF(AND(OR($A1167=21,$A1167=215),$AJ1167=10),"①病院一般",IF(AND($A1167=31,$AJ1167=41),"②病院短期","対象外")),IF($AJ1167=30,"③特定消防",IF(AND(OR($A1167=21,$A1167=215),$AJ1167=10),"④一般",IF(AND($A1167=31,$AJ1167=41),"⑤短期","対象外")))))</f>
        <v>②病院短期</v>
      </c>
      <c r="DC1167" s="2909">
        <f>IF($A1167="","",IF($AB1167&amp;""='DB_設定'!$C$4,1,0))</f>
        <v>1</v>
      </c>
    </row>
    <row r="1168">
      <c r="A1168" t="n" s="2909">
        <v>31</v>
      </c>
      <c r="AA1168" t="n" s="2909">
        <v>21</v>
      </c>
      <c r="AB1168" t="inlineStr" s="2909">
        <is>
          <t>20250401</t>
        </is>
      </c>
      <c r="AD1168" t="n" s="2909">
        <v>0</v>
      </c>
      <c r="AE1168" t="inlineStr" s="2909">
        <is>
          <t>00000000</t>
        </is>
      </c>
      <c r="AH1168" t="n" s="2909">
        <v>20</v>
      </c>
      <c r="AJ1168" t="n" s="2909">
        <v>41</v>
      </c>
      <c r="AP1168" t="n" s="2909">
        <v>240000</v>
      </c>
      <c r="DB1168" s="2909" t="str">
        <f>IF($A1168="","",IF($AH1168=20,IF(AND(OR($A1168=21,$A1168=215),$AJ1168=10),"①病院一般",IF(AND($A1168=31,$AJ1168=41),"②病院短期","対象外")),IF($AJ1168=30,"③特定消防",IF(AND(OR($A1168=21,$A1168=215),$AJ1168=10),"④一般",IF(AND($A1168=31,$AJ1168=41),"⑤短期","対象外")))))</f>
        <v>②病院短期</v>
      </c>
      <c r="DC1168" s="2909">
        <f>IF($A1168="","",IF($AB1168&amp;""='DB_設定'!$C$4,1,0))</f>
        <v>1</v>
      </c>
    </row>
    <row r="1169">
      <c r="A1169" t="n" s="2909">
        <v>31</v>
      </c>
      <c r="AA1169" t="n" s="2909">
        <v>21</v>
      </c>
      <c r="AB1169" t="inlineStr" s="2909">
        <is>
          <t>20250401</t>
        </is>
      </c>
      <c r="AD1169" t="n" s="2909">
        <v>12</v>
      </c>
      <c r="AE1169" t="inlineStr" s="2909">
        <is>
          <t>20251001</t>
        </is>
      </c>
      <c r="AH1169" t="n" s="2909">
        <v>20</v>
      </c>
      <c r="AJ1169" t="n" s="2909">
        <v>41</v>
      </c>
      <c r="AP1169" t="n" s="2909">
        <v>180000</v>
      </c>
      <c r="DB1169" s="2909" t="str">
        <f>IF($A1169="","",IF($AH1169=20,IF(AND(OR($A1169=21,$A1169=215),$AJ1169=10),"①病院一般",IF(AND($A1169=31,$AJ1169=41),"②病院短期","対象外")),IF($AJ1169=30,"③特定消防",IF(AND(OR($A1169=21,$A1169=215),$AJ1169=10),"④一般",IF(AND($A1169=31,$AJ1169=41),"⑤短期","対象外")))))</f>
        <v>②病院短期</v>
      </c>
      <c r="DC1169" s="2909">
        <f>IF($A1169="","",IF($AB1169&amp;""='DB_設定'!$C$4,1,0))</f>
        <v>1</v>
      </c>
    </row>
    <row r="1170">
      <c r="A1170" t="n" s="2909">
        <v>31</v>
      </c>
      <c r="AA1170" t="n" s="2909">
        <v>21</v>
      </c>
      <c r="AB1170" t="inlineStr" s="2909">
        <is>
          <t>20250414</t>
        </is>
      </c>
      <c r="AD1170" t="n" s="2909">
        <v>0</v>
      </c>
      <c r="AE1170" t="inlineStr" s="2909">
        <is>
          <t>00000000</t>
        </is>
      </c>
      <c r="AH1170" t="n" s="2909">
        <v>20</v>
      </c>
      <c r="AJ1170" t="n" s="2909">
        <v>41</v>
      </c>
      <c r="AP1170" t="n" s="2909">
        <v>160000</v>
      </c>
      <c r="DB1170" s="2909" t="str">
        <f>IF($A1170="","",IF($AH1170=20,IF(AND(OR($A1170=21,$A1170=215),$AJ1170=10),"①病院一般",IF(AND($A1170=31,$AJ1170=41),"②病院短期","対象外")),IF($AJ1170=30,"③特定消防",IF(AND(OR($A1170=21,$A1170=215),$AJ1170=10),"④一般",IF(AND($A1170=31,$AJ1170=41),"⑤短期","対象外")))))</f>
        <v>②病院短期</v>
      </c>
      <c r="DC1170" s="2909">
        <f>IF($A1170="","",IF($AB1170&amp;""='DB_設定'!$C$4,1,0))</f>
        <v>0</v>
      </c>
    </row>
    <row r="1171">
      <c r="A1171" t="n" s="2909">
        <v>31</v>
      </c>
      <c r="AA1171" t="n" s="2909">
        <v>21</v>
      </c>
      <c r="AB1171" t="inlineStr" s="2909">
        <is>
          <t>20250401</t>
        </is>
      </c>
      <c r="AD1171" t="n" s="2909">
        <v>0</v>
      </c>
      <c r="AE1171" t="inlineStr" s="2909">
        <is>
          <t>00000000</t>
        </is>
      </c>
      <c r="AH1171" t="n" s="2909">
        <v>20</v>
      </c>
      <c r="AJ1171" t="n" s="2909">
        <v>41</v>
      </c>
      <c r="AP1171" t="n" s="2909">
        <v>180000</v>
      </c>
      <c r="DB1171" s="2909" t="str">
        <f>IF($A1171="","",IF($AH1171=20,IF(AND(OR($A1171=21,$A1171=215),$AJ1171=10),"①病院一般",IF(AND($A1171=31,$AJ1171=41),"②病院短期","対象外")),IF($AJ1171=30,"③特定消防",IF(AND(OR($A1171=21,$A1171=215),$AJ1171=10),"④一般",IF(AND($A1171=31,$AJ1171=41),"⑤短期","対象外")))))</f>
        <v>②病院短期</v>
      </c>
      <c r="DC1171" s="2909">
        <f>IF($A1171="","",IF($AB1171&amp;""='DB_設定'!$C$4,1,0))</f>
        <v>1</v>
      </c>
    </row>
    <row r="1172">
      <c r="A1172" t="n" s="2909">
        <v>31</v>
      </c>
      <c r="AA1172" t="n" s="2909">
        <v>21</v>
      </c>
      <c r="AB1172" t="inlineStr" s="2909">
        <is>
          <t>20250401</t>
        </is>
      </c>
      <c r="AD1172" t="n" s="2909">
        <v>12</v>
      </c>
      <c r="AE1172" t="inlineStr" s="2909">
        <is>
          <t>20250501</t>
        </is>
      </c>
      <c r="AH1172" t="n" s="2909">
        <v>20</v>
      </c>
      <c r="AJ1172" t="n" s="2909">
        <v>41</v>
      </c>
      <c r="AP1172" t="n" s="2909">
        <v>160000</v>
      </c>
      <c r="DB1172" s="2909" t="str">
        <f>IF($A1172="","",IF($AH1172=20,IF(AND(OR($A1172=21,$A1172=215),$AJ1172=10),"①病院一般",IF(AND($A1172=31,$AJ1172=41),"②病院短期","対象外")),IF($AJ1172=30,"③特定消防",IF(AND(OR($A1172=21,$A1172=215),$AJ1172=10),"④一般",IF(AND($A1172=31,$AJ1172=41),"⑤短期","対象外")))))</f>
        <v>②病院短期</v>
      </c>
      <c r="DC1172" s="2909">
        <f>IF($A1172="","",IF($AB1172&amp;""='DB_設定'!$C$4,1,0))</f>
        <v>1</v>
      </c>
    </row>
    <row r="1173">
      <c r="A1173" t="n" s="2909">
        <v>31</v>
      </c>
      <c r="AA1173" t="n" s="2909">
        <v>21</v>
      </c>
      <c r="AB1173" t="inlineStr" s="2909">
        <is>
          <t>20250401</t>
        </is>
      </c>
      <c r="AD1173" t="n" s="2909">
        <v>12</v>
      </c>
      <c r="AE1173" t="inlineStr" s="2909">
        <is>
          <t>20251001</t>
        </is>
      </c>
      <c r="AH1173" t="n" s="2909">
        <v>20</v>
      </c>
      <c r="AJ1173" t="n" s="2909">
        <v>41</v>
      </c>
      <c r="AP1173" t="n" s="2909">
        <v>260000</v>
      </c>
      <c r="DB1173" s="2909" t="str">
        <f>IF($A1173="","",IF($AH1173=20,IF(AND(OR($A1173=21,$A1173=215),$AJ1173=10),"①病院一般",IF(AND($A1173=31,$AJ1173=41),"②病院短期","対象外")),IF($AJ1173=30,"③特定消防",IF(AND(OR($A1173=21,$A1173=215),$AJ1173=10),"④一般",IF(AND($A1173=31,$AJ1173=41),"⑤短期","対象外")))))</f>
        <v>②病院短期</v>
      </c>
      <c r="DC1173" s="2909">
        <f>IF($A1173="","",IF($AB1173&amp;""='DB_設定'!$C$4,1,0))</f>
        <v>1</v>
      </c>
    </row>
    <row r="1174">
      <c r="A1174" t="n" s="2909">
        <v>31</v>
      </c>
      <c r="AA1174" t="n" s="2909">
        <v>21</v>
      </c>
      <c r="AB1174" t="inlineStr" s="2909">
        <is>
          <t>20250403</t>
        </is>
      </c>
      <c r="AD1174" t="n" s="2909">
        <v>12</v>
      </c>
      <c r="AE1174" t="inlineStr" s="2909">
        <is>
          <t>20250601</t>
        </is>
      </c>
      <c r="AH1174" t="n" s="2909">
        <v>20</v>
      </c>
      <c r="AJ1174" t="n" s="2909">
        <v>41</v>
      </c>
      <c r="AP1174" t="n" s="2909">
        <v>190000</v>
      </c>
      <c r="DB1174" s="2909" t="str">
        <f>IF($A1174="","",IF($AH1174=20,IF(AND(OR($A1174=21,$A1174=215),$AJ1174=10),"①病院一般",IF(AND($A1174=31,$AJ1174=41),"②病院短期","対象外")),IF($AJ1174=30,"③特定消防",IF(AND(OR($A1174=21,$A1174=215),$AJ1174=10),"④一般",IF(AND($A1174=31,$AJ1174=41),"⑤短期","対象外")))))</f>
        <v>②病院短期</v>
      </c>
      <c r="DC1174" s="2909">
        <f>IF($A1174="","",IF($AB1174&amp;""='DB_設定'!$C$4,1,0))</f>
        <v>0</v>
      </c>
    </row>
    <row r="1175">
      <c r="A1175" t="n" s="2909">
        <v>31</v>
      </c>
      <c r="AA1175" t="n" s="2909">
        <v>21</v>
      </c>
      <c r="AB1175" t="inlineStr" s="2909">
        <is>
          <t>20250401</t>
        </is>
      </c>
      <c r="AD1175" t="n" s="2909">
        <v>0</v>
      </c>
      <c r="AE1175" t="inlineStr" s="2909">
        <is>
          <t>00000000</t>
        </is>
      </c>
      <c r="AH1175" t="n" s="2909">
        <v>20</v>
      </c>
      <c r="AJ1175" t="n" s="2909">
        <v>41</v>
      </c>
      <c r="AP1175" t="n" s="2909">
        <v>180000</v>
      </c>
      <c r="DB1175" s="2909" t="str">
        <f>IF($A1175="","",IF($AH1175=20,IF(AND(OR($A1175=21,$A1175=215),$AJ1175=10),"①病院一般",IF(AND($A1175=31,$AJ1175=41),"②病院短期","対象外")),IF($AJ1175=30,"③特定消防",IF(AND(OR($A1175=21,$A1175=215),$AJ1175=10),"④一般",IF(AND($A1175=31,$AJ1175=41),"⑤短期","対象外")))))</f>
        <v>②病院短期</v>
      </c>
      <c r="DC1175" s="2909">
        <f>IF($A1175="","",IF($AB1175&amp;""='DB_設定'!$C$4,1,0))</f>
        <v>1</v>
      </c>
    </row>
    <row r="1176">
      <c r="A1176" t="n" s="2909">
        <v>31</v>
      </c>
      <c r="AA1176" t="n" s="2909">
        <v>21</v>
      </c>
      <c r="AB1176" t="inlineStr" s="2909">
        <is>
          <t>20250401</t>
        </is>
      </c>
      <c r="AD1176" t="n" s="2909">
        <v>0</v>
      </c>
      <c r="AE1176" t="inlineStr" s="2909">
        <is>
          <t>00000000</t>
        </is>
      </c>
      <c r="AH1176" t="n" s="2909">
        <v>20</v>
      </c>
      <c r="AJ1176" t="n" s="2909">
        <v>41</v>
      </c>
      <c r="AP1176" t="n" s="2909">
        <v>280000</v>
      </c>
      <c r="DB1176" s="2909" t="str">
        <f>IF($A1176="","",IF($AH1176=20,IF(AND(OR($A1176=21,$A1176=215),$AJ1176=10),"①病院一般",IF(AND($A1176=31,$AJ1176=41),"②病院短期","対象外")),IF($AJ1176=30,"③特定消防",IF(AND(OR($A1176=21,$A1176=215),$AJ1176=10),"④一般",IF(AND($A1176=31,$AJ1176=41),"⑤短期","対象外")))))</f>
        <v>②病院短期</v>
      </c>
      <c r="DC1176" s="2909">
        <f>IF($A1176="","",IF($AB1176&amp;""='DB_設定'!$C$4,1,0))</f>
        <v>1</v>
      </c>
    </row>
    <row r="1177">
      <c r="A1177" t="n" s="2909">
        <v>31</v>
      </c>
      <c r="AA1177" t="n" s="2909">
        <v>21</v>
      </c>
      <c r="AB1177" t="inlineStr" s="2909">
        <is>
          <t>20250401</t>
        </is>
      </c>
      <c r="AD1177" t="n" s="2909">
        <v>0</v>
      </c>
      <c r="AE1177" t="inlineStr" s="2909">
        <is>
          <t>00000000</t>
        </is>
      </c>
      <c r="AH1177" t="n" s="2909">
        <v>20</v>
      </c>
      <c r="AJ1177" t="n" s="2909">
        <v>41</v>
      </c>
      <c r="AP1177" t="n" s="2909">
        <v>220000</v>
      </c>
      <c r="DB1177" s="2909" t="str">
        <f>IF($A1177="","",IF($AH1177=20,IF(AND(OR($A1177=21,$A1177=215),$AJ1177=10),"①病院一般",IF(AND($A1177=31,$AJ1177=41),"②病院短期","対象外")),IF($AJ1177=30,"③特定消防",IF(AND(OR($A1177=21,$A1177=215),$AJ1177=10),"④一般",IF(AND($A1177=31,$AJ1177=41),"⑤短期","対象外")))))</f>
        <v>②病院短期</v>
      </c>
      <c r="DC1177" s="2909">
        <f>IF($A1177="","",IF($AB1177&amp;""='DB_設定'!$C$4,1,0))</f>
        <v>1</v>
      </c>
    </row>
    <row r="1178">
      <c r="A1178" t="n" s="2909">
        <v>31</v>
      </c>
      <c r="AA1178" t="n" s="2909">
        <v>21</v>
      </c>
      <c r="AB1178" t="inlineStr" s="2909">
        <is>
          <t>20250701</t>
        </is>
      </c>
      <c r="AD1178" t="n" s="2909">
        <v>0</v>
      </c>
      <c r="AE1178" t="inlineStr" s="2909">
        <is>
          <t>00000000</t>
        </is>
      </c>
      <c r="AH1178" t="n" s="2909">
        <v>20</v>
      </c>
      <c r="AJ1178" t="n" s="2909">
        <v>41</v>
      </c>
      <c r="AP1178" t="n" s="2909">
        <v>560000</v>
      </c>
      <c r="DB1178" s="2909" t="str">
        <f>IF($A1178="","",IF($AH1178=20,IF(AND(OR($A1178=21,$A1178=215),$AJ1178=10),"①病院一般",IF(AND($A1178=31,$AJ1178=41),"②病院短期","対象外")),IF($AJ1178=30,"③特定消防",IF(AND(OR($A1178=21,$A1178=215),$AJ1178=10),"④一般",IF(AND($A1178=31,$AJ1178=41),"⑤短期","対象外")))))</f>
        <v>②病院短期</v>
      </c>
      <c r="DC1178" s="2909">
        <f>IF($A1178="","",IF($AB1178&amp;""='DB_設定'!$C$4,1,0))</f>
        <v>0</v>
      </c>
    </row>
    <row r="1179">
      <c r="A1179" t="n" s="2909">
        <v>31</v>
      </c>
      <c r="AA1179" t="n" s="2909">
        <v>21</v>
      </c>
      <c r="AB1179" t="inlineStr" s="2909">
        <is>
          <t>20250402</t>
        </is>
      </c>
      <c r="AD1179" t="n" s="2909">
        <v>12</v>
      </c>
      <c r="AE1179" t="inlineStr" s="2909">
        <is>
          <t>20251001</t>
        </is>
      </c>
      <c r="AH1179" t="n" s="2909">
        <v>20</v>
      </c>
      <c r="AJ1179" t="n" s="2909">
        <v>41</v>
      </c>
      <c r="AP1179" t="n" s="2909">
        <v>340000</v>
      </c>
      <c r="DB1179" s="2909" t="str">
        <f>IF($A1179="","",IF($AH1179=20,IF(AND(OR($A1179=21,$A1179=215),$AJ1179=10),"①病院一般",IF(AND($A1179=31,$AJ1179=41),"②病院短期","対象外")),IF($AJ1179=30,"③特定消防",IF(AND(OR($A1179=21,$A1179=215),$AJ1179=10),"④一般",IF(AND($A1179=31,$AJ1179=41),"⑤短期","対象外")))))</f>
        <v>②病院短期</v>
      </c>
      <c r="DC1179" s="2909">
        <f>IF($A1179="","",IF($AB1179&amp;""='DB_設定'!$C$4,1,0))</f>
        <v>0</v>
      </c>
    </row>
    <row r="1180">
      <c r="A1180" t="n" s="2909">
        <v>31</v>
      </c>
      <c r="AA1180" t="n" s="2909">
        <v>21</v>
      </c>
      <c r="AB1180" t="inlineStr" s="2909">
        <is>
          <t>20250401</t>
        </is>
      </c>
      <c r="AD1180" t="n" s="2909">
        <v>0</v>
      </c>
      <c r="AE1180" t="inlineStr" s="2909">
        <is>
          <t>00000000</t>
        </is>
      </c>
      <c r="AH1180" t="n" s="2909">
        <v>20</v>
      </c>
      <c r="AJ1180" t="n" s="2909">
        <v>41</v>
      </c>
      <c r="AP1180" t="n" s="2909">
        <v>280000</v>
      </c>
      <c r="DB1180" s="2909" t="str">
        <f>IF($A1180="","",IF($AH1180=20,IF(AND(OR($A1180=21,$A1180=215),$AJ1180=10),"①病院一般",IF(AND($A1180=31,$AJ1180=41),"②病院短期","対象外")),IF($AJ1180=30,"③特定消防",IF(AND(OR($A1180=21,$A1180=215),$AJ1180=10),"④一般",IF(AND($A1180=31,$AJ1180=41),"⑤短期","対象外")))))</f>
        <v>②病院短期</v>
      </c>
      <c r="DC1180" s="2909">
        <f>IF($A1180="","",IF($AB1180&amp;""='DB_設定'!$C$4,1,0))</f>
        <v>1</v>
      </c>
    </row>
    <row r="1181">
      <c r="A1181" t="n" s="2909">
        <v>31</v>
      </c>
      <c r="AA1181" t="n" s="2909">
        <v>21</v>
      </c>
      <c r="AB1181" t="inlineStr" s="2909">
        <is>
          <t>20250411</t>
        </is>
      </c>
      <c r="AD1181" t="n" s="2909">
        <v>0</v>
      </c>
      <c r="AE1181" t="inlineStr" s="2909">
        <is>
          <t>00000000</t>
        </is>
      </c>
      <c r="AH1181" t="n" s="2909">
        <v>20</v>
      </c>
      <c r="AJ1181" t="n" s="2909">
        <v>41</v>
      </c>
      <c r="AP1181" t="n" s="2909">
        <v>200000</v>
      </c>
      <c r="DB1181" s="2909" t="str">
        <f>IF($A1181="","",IF($AH1181=20,IF(AND(OR($A1181=21,$A1181=215),$AJ1181=10),"①病院一般",IF(AND($A1181=31,$AJ1181=41),"②病院短期","対象外")),IF($AJ1181=30,"③特定消防",IF(AND(OR($A1181=21,$A1181=215),$AJ1181=10),"④一般",IF(AND($A1181=31,$AJ1181=41),"⑤短期","対象外")))))</f>
        <v>②病院短期</v>
      </c>
      <c r="DC1181" s="2909">
        <f>IF($A1181="","",IF($AB1181&amp;""='DB_設定'!$C$4,1,0))</f>
        <v>0</v>
      </c>
    </row>
    <row r="1182">
      <c r="A1182" t="n" s="2909">
        <v>31</v>
      </c>
      <c r="AA1182" t="n" s="2909">
        <v>21</v>
      </c>
      <c r="AB1182" t="inlineStr" s="2909">
        <is>
          <t>20250414</t>
        </is>
      </c>
      <c r="AD1182" t="n" s="2909">
        <v>0</v>
      </c>
      <c r="AE1182" t="inlineStr" s="2909">
        <is>
          <t>00000000</t>
        </is>
      </c>
      <c r="AH1182" t="n" s="2909">
        <v>20</v>
      </c>
      <c r="AJ1182" t="n" s="2909">
        <v>41</v>
      </c>
      <c r="AP1182" t="n" s="2909">
        <v>200000</v>
      </c>
      <c r="DB1182" s="2909" t="str">
        <f>IF($A1182="","",IF($AH1182=20,IF(AND(OR($A1182=21,$A1182=215),$AJ1182=10),"①病院一般",IF(AND($A1182=31,$AJ1182=41),"②病院短期","対象外")),IF($AJ1182=30,"③特定消防",IF(AND(OR($A1182=21,$A1182=215),$AJ1182=10),"④一般",IF(AND($A1182=31,$AJ1182=41),"⑤短期","対象外")))))</f>
        <v>②病院短期</v>
      </c>
      <c r="DC1182" s="2909">
        <f>IF($A1182="","",IF($AB1182&amp;""='DB_設定'!$C$4,1,0))</f>
        <v>0</v>
      </c>
    </row>
    <row r="1183">
      <c r="A1183" t="n" s="2909">
        <v>31</v>
      </c>
      <c r="AA1183" t="n" s="2909">
        <v>21</v>
      </c>
      <c r="AB1183" t="inlineStr" s="2909">
        <is>
          <t>20250410</t>
        </is>
      </c>
      <c r="AD1183" t="n" s="2909">
        <v>0</v>
      </c>
      <c r="AE1183" t="inlineStr" s="2909">
        <is>
          <t>00000000</t>
        </is>
      </c>
      <c r="AH1183" t="n" s="2909">
        <v>20</v>
      </c>
      <c r="AJ1183" t="n" s="2909">
        <v>41</v>
      </c>
      <c r="AP1183" t="n" s="2909">
        <v>190000</v>
      </c>
      <c r="DB1183" s="2909" t="str">
        <f>IF($A1183="","",IF($AH1183=20,IF(AND(OR($A1183=21,$A1183=215),$AJ1183=10),"①病院一般",IF(AND($A1183=31,$AJ1183=41),"②病院短期","対象外")),IF($AJ1183=30,"③特定消防",IF(AND(OR($A1183=21,$A1183=215),$AJ1183=10),"④一般",IF(AND($A1183=31,$AJ1183=41),"⑤短期","対象外")))))</f>
        <v>②病院短期</v>
      </c>
      <c r="DC1183" s="2909">
        <f>IF($A1183="","",IF($AB1183&amp;""='DB_設定'!$C$4,1,0))</f>
        <v>0</v>
      </c>
    </row>
    <row r="1184">
      <c r="A1184" t="n" s="2909">
        <v>31</v>
      </c>
      <c r="AA1184" t="n" s="2909">
        <v>21</v>
      </c>
      <c r="AB1184" t="inlineStr" s="2909">
        <is>
          <t>20250414</t>
        </is>
      </c>
      <c r="AD1184" t="n" s="2909">
        <v>0</v>
      </c>
      <c r="AE1184" t="inlineStr" s="2909">
        <is>
          <t>00000000</t>
        </is>
      </c>
      <c r="AH1184" t="n" s="2909">
        <v>20</v>
      </c>
      <c r="AJ1184" t="n" s="2909">
        <v>41</v>
      </c>
      <c r="AP1184" t="n" s="2909">
        <v>150000</v>
      </c>
      <c r="DB1184" s="2909" t="str">
        <f>IF($A1184="","",IF($AH1184=20,IF(AND(OR($A1184=21,$A1184=215),$AJ1184=10),"①病院一般",IF(AND($A1184=31,$AJ1184=41),"②病院短期","対象外")),IF($AJ1184=30,"③特定消防",IF(AND(OR($A1184=21,$A1184=215),$AJ1184=10),"④一般",IF(AND($A1184=31,$AJ1184=41),"⑤短期","対象外")))))</f>
        <v>②病院短期</v>
      </c>
      <c r="DC1184" s="2909">
        <f>IF($A1184="","",IF($AB1184&amp;""='DB_設定'!$C$4,1,0))</f>
        <v>0</v>
      </c>
    </row>
    <row r="1185">
      <c r="A1185" t="n" s="2909">
        <v>31</v>
      </c>
      <c r="AA1185" t="n" s="2909">
        <v>21</v>
      </c>
      <c r="AB1185" t="inlineStr" s="2909">
        <is>
          <t>20250414</t>
        </is>
      </c>
      <c r="AD1185" t="n" s="2909">
        <v>0</v>
      </c>
      <c r="AE1185" t="inlineStr" s="2909">
        <is>
          <t>00000000</t>
        </is>
      </c>
      <c r="AH1185" t="n" s="2909">
        <v>20</v>
      </c>
      <c r="AJ1185" t="n" s="2909">
        <v>41</v>
      </c>
      <c r="AP1185" t="n" s="2909">
        <v>160000</v>
      </c>
      <c r="DB1185" s="2909" t="str">
        <f>IF($A1185="","",IF($AH1185=20,IF(AND(OR($A1185=21,$A1185=215),$AJ1185=10),"①病院一般",IF(AND($A1185=31,$AJ1185=41),"②病院短期","対象外")),IF($AJ1185=30,"③特定消防",IF(AND(OR($A1185=21,$A1185=215),$AJ1185=10),"④一般",IF(AND($A1185=31,$AJ1185=41),"⑤短期","対象外")))))</f>
        <v>②病院短期</v>
      </c>
      <c r="DC1185" s="2909">
        <f>IF($A1185="","",IF($AB1185&amp;""='DB_設定'!$C$4,1,0))</f>
        <v>0</v>
      </c>
    </row>
    <row r="1186">
      <c r="A1186" t="n" s="2909">
        <v>31</v>
      </c>
      <c r="AA1186" t="n" s="2909">
        <v>21</v>
      </c>
      <c r="AB1186" t="inlineStr" s="2909">
        <is>
          <t>20250414</t>
        </is>
      </c>
      <c r="AD1186" t="n" s="2909">
        <v>0</v>
      </c>
      <c r="AE1186" t="inlineStr" s="2909">
        <is>
          <t>00000000</t>
        </is>
      </c>
      <c r="AH1186" t="n" s="2909">
        <v>20</v>
      </c>
      <c r="AJ1186" t="n" s="2909">
        <v>41</v>
      </c>
      <c r="AP1186" t="n" s="2909">
        <v>200000</v>
      </c>
      <c r="DB1186" s="2909" t="str">
        <f>IF($A1186="","",IF($AH1186=20,IF(AND(OR($A1186=21,$A1186=215),$AJ1186=10),"①病院一般",IF(AND($A1186=31,$AJ1186=41),"②病院短期","対象外")),IF($AJ1186=30,"③特定消防",IF(AND(OR($A1186=21,$A1186=215),$AJ1186=10),"④一般",IF(AND($A1186=31,$AJ1186=41),"⑤短期","対象外")))))</f>
        <v>②病院短期</v>
      </c>
      <c r="DC1186" s="2909">
        <f>IF($A1186="","",IF($AB1186&amp;""='DB_設定'!$C$4,1,0))</f>
        <v>0</v>
      </c>
    </row>
    <row r="1187">
      <c r="A1187" t="n" s="2909">
        <v>31</v>
      </c>
      <c r="AA1187" t="n" s="2909">
        <v>21</v>
      </c>
      <c r="AB1187" t="inlineStr" s="2909">
        <is>
          <t>20250418</t>
        </is>
      </c>
      <c r="AD1187" t="n" s="2909">
        <v>0</v>
      </c>
      <c r="AE1187" t="inlineStr" s="2909">
        <is>
          <t>00000000</t>
        </is>
      </c>
      <c r="AH1187" t="n" s="2909">
        <v>20</v>
      </c>
      <c r="AJ1187" t="n" s="2909">
        <v>41</v>
      </c>
      <c r="AP1187" t="n" s="2909">
        <v>200000</v>
      </c>
      <c r="DB1187" s="2909" t="str">
        <f>IF($A1187="","",IF($AH1187=20,IF(AND(OR($A1187=21,$A1187=215),$AJ1187=10),"①病院一般",IF(AND($A1187=31,$AJ1187=41),"②病院短期","対象外")),IF($AJ1187=30,"③特定消防",IF(AND(OR($A1187=21,$A1187=215),$AJ1187=10),"④一般",IF(AND($A1187=31,$AJ1187=41),"⑤短期","対象外")))))</f>
        <v>②病院短期</v>
      </c>
      <c r="DC1187" s="2909">
        <f>IF($A1187="","",IF($AB1187&amp;""='DB_設定'!$C$4,1,0))</f>
        <v>0</v>
      </c>
    </row>
    <row r="1188">
      <c r="A1188" t="n" s="2909">
        <v>31</v>
      </c>
      <c r="AA1188" t="n" s="2909">
        <v>21</v>
      </c>
      <c r="AB1188" t="inlineStr" s="2909">
        <is>
          <t>20250512</t>
        </is>
      </c>
      <c r="AD1188" t="n" s="2909">
        <v>0</v>
      </c>
      <c r="AE1188" t="inlineStr" s="2909">
        <is>
          <t>00000000</t>
        </is>
      </c>
      <c r="AH1188" t="n" s="2909">
        <v>20</v>
      </c>
      <c r="AJ1188" t="n" s="2909">
        <v>41</v>
      </c>
      <c r="AP1188" t="n" s="2909">
        <v>180000</v>
      </c>
      <c r="DB1188" s="2909" t="str">
        <f>IF($A1188="","",IF($AH1188=20,IF(AND(OR($A1188=21,$A1188=215),$AJ1188=10),"①病院一般",IF(AND($A1188=31,$AJ1188=41),"②病院短期","対象外")),IF($AJ1188=30,"③特定消防",IF(AND(OR($A1188=21,$A1188=215),$AJ1188=10),"④一般",IF(AND($A1188=31,$AJ1188=41),"⑤短期","対象外")))))</f>
        <v>②病院短期</v>
      </c>
      <c r="DC1188" s="2909">
        <f>IF($A1188="","",IF($AB1188&amp;""='DB_設定'!$C$4,1,0))</f>
        <v>0</v>
      </c>
    </row>
    <row r="1189">
      <c r="A1189" t="n" s="2909">
        <v>31</v>
      </c>
      <c r="AA1189" t="n" s="2909">
        <v>21</v>
      </c>
      <c r="AB1189" t="inlineStr" s="2909">
        <is>
          <t>20250512</t>
        </is>
      </c>
      <c r="AD1189" t="n" s="2909">
        <v>0</v>
      </c>
      <c r="AE1189" t="inlineStr" s="2909">
        <is>
          <t>00000000</t>
        </is>
      </c>
      <c r="AH1189" t="n" s="2909">
        <v>20</v>
      </c>
      <c r="AJ1189" t="n" s="2909">
        <v>41</v>
      </c>
      <c r="AP1189" t="n" s="2909">
        <v>180000</v>
      </c>
      <c r="DB1189" s="2909" t="str">
        <f>IF($A1189="","",IF($AH1189=20,IF(AND(OR($A1189=21,$A1189=215),$AJ1189=10),"①病院一般",IF(AND($A1189=31,$AJ1189=41),"②病院短期","対象外")),IF($AJ1189=30,"③特定消防",IF(AND(OR($A1189=21,$A1189=215),$AJ1189=10),"④一般",IF(AND($A1189=31,$AJ1189=41),"⑤短期","対象外")))))</f>
        <v>②病院短期</v>
      </c>
      <c r="DC1189" s="2909">
        <f>IF($A1189="","",IF($AB1189&amp;""='DB_設定'!$C$4,1,0))</f>
        <v>0</v>
      </c>
    </row>
    <row r="1190">
      <c r="A1190" t="n" s="2909">
        <v>31</v>
      </c>
      <c r="AA1190" t="n" s="2909">
        <v>21</v>
      </c>
      <c r="AB1190" t="inlineStr" s="2909">
        <is>
          <t>20250507</t>
        </is>
      </c>
      <c r="AD1190" t="n" s="2909">
        <v>0</v>
      </c>
      <c r="AE1190" t="inlineStr" s="2909">
        <is>
          <t>00000000</t>
        </is>
      </c>
      <c r="AH1190" t="n" s="2909">
        <v>20</v>
      </c>
      <c r="AJ1190" t="n" s="2909">
        <v>41</v>
      </c>
      <c r="AP1190" t="n" s="2909">
        <v>170000</v>
      </c>
      <c r="DB1190" s="2909" t="str">
        <f>IF($A1190="","",IF($AH1190=20,IF(AND(OR($A1190=21,$A1190=215),$AJ1190=10),"①病院一般",IF(AND($A1190=31,$AJ1190=41),"②病院短期","対象外")),IF($AJ1190=30,"③特定消防",IF(AND(OR($A1190=21,$A1190=215),$AJ1190=10),"④一般",IF(AND($A1190=31,$AJ1190=41),"⑤短期","対象外")))))</f>
        <v>②病院短期</v>
      </c>
      <c r="DC1190" s="2909">
        <f>IF($A1190="","",IF($AB1190&amp;""='DB_設定'!$C$4,1,0))</f>
        <v>0</v>
      </c>
    </row>
    <row r="1191">
      <c r="A1191" t="n" s="2909">
        <v>31</v>
      </c>
      <c r="AA1191" t="n" s="2909">
        <v>21</v>
      </c>
      <c r="AB1191" t="inlineStr" s="2909">
        <is>
          <t>20250512</t>
        </is>
      </c>
      <c r="AD1191" t="n" s="2909">
        <v>0</v>
      </c>
      <c r="AE1191" t="inlineStr" s="2909">
        <is>
          <t>00000000</t>
        </is>
      </c>
      <c r="AH1191" t="n" s="2909">
        <v>20</v>
      </c>
      <c r="AJ1191" t="n" s="2909">
        <v>41</v>
      </c>
      <c r="AP1191" t="n" s="2909">
        <v>260000</v>
      </c>
      <c r="DB1191" s="2909" t="str">
        <f>IF($A1191="","",IF($AH1191=20,IF(AND(OR($A1191=21,$A1191=215),$AJ1191=10),"①病院一般",IF(AND($A1191=31,$AJ1191=41),"②病院短期","対象外")),IF($AJ1191=30,"③特定消防",IF(AND(OR($A1191=21,$A1191=215),$AJ1191=10),"④一般",IF(AND($A1191=31,$AJ1191=41),"⑤短期","対象外")))))</f>
        <v>②病院短期</v>
      </c>
      <c r="DC1191" s="2909">
        <f>IF($A1191="","",IF($AB1191&amp;""='DB_設定'!$C$4,1,0))</f>
        <v>0</v>
      </c>
    </row>
    <row r="1192">
      <c r="A1192" t="n" s="2909">
        <v>31</v>
      </c>
      <c r="AA1192" t="n" s="2909">
        <v>21</v>
      </c>
      <c r="AB1192" t="inlineStr" s="2909">
        <is>
          <t>20250507</t>
        </is>
      </c>
      <c r="AD1192" t="n" s="2909">
        <v>0</v>
      </c>
      <c r="AE1192" t="inlineStr" s="2909">
        <is>
          <t>00000000</t>
        </is>
      </c>
      <c r="AH1192" t="n" s="2909">
        <v>20</v>
      </c>
      <c r="AJ1192" t="n" s="2909">
        <v>41</v>
      </c>
      <c r="AP1192" t="n" s="2909">
        <v>170000</v>
      </c>
      <c r="DB1192" s="2909" t="str">
        <f>IF($A1192="","",IF($AH1192=20,IF(AND(OR($A1192=21,$A1192=215),$AJ1192=10),"①病院一般",IF(AND($A1192=31,$AJ1192=41),"②病院短期","対象外")),IF($AJ1192=30,"③特定消防",IF(AND(OR($A1192=21,$A1192=215),$AJ1192=10),"④一般",IF(AND($A1192=31,$AJ1192=41),"⑤短期","対象外")))))</f>
        <v>②病院短期</v>
      </c>
      <c r="DC1192" s="2909">
        <f>IF($A1192="","",IF($AB1192&amp;""='DB_設定'!$C$4,1,0))</f>
        <v>0</v>
      </c>
    </row>
    <row r="1193">
      <c r="A1193" t="n" s="2909">
        <v>31</v>
      </c>
      <c r="AA1193" t="n" s="2909">
        <v>21</v>
      </c>
      <c r="AB1193" t="inlineStr" s="2909">
        <is>
          <t>20250507</t>
        </is>
      </c>
      <c r="AD1193" t="n" s="2909">
        <v>12</v>
      </c>
      <c r="AE1193" t="inlineStr" s="2909">
        <is>
          <t>20250701</t>
        </is>
      </c>
      <c r="AH1193" t="n" s="2909">
        <v>20</v>
      </c>
      <c r="AJ1193" t="n" s="2909">
        <v>41</v>
      </c>
      <c r="AP1193" t="n" s="2909">
        <v>180000</v>
      </c>
      <c r="DB1193" s="2909" t="str">
        <f>IF($A1193="","",IF($AH1193=20,IF(AND(OR($A1193=21,$A1193=215),$AJ1193=10),"①病院一般",IF(AND($A1193=31,$AJ1193=41),"②病院短期","対象外")),IF($AJ1193=30,"③特定消防",IF(AND(OR($A1193=21,$A1193=215),$AJ1193=10),"④一般",IF(AND($A1193=31,$AJ1193=41),"⑤短期","対象外")))))</f>
        <v>②病院短期</v>
      </c>
      <c r="DC1193" s="2909">
        <f>IF($A1193="","",IF($AB1193&amp;""='DB_設定'!$C$4,1,0))</f>
        <v>0</v>
      </c>
    </row>
    <row r="1194">
      <c r="A1194" t="n" s="2909">
        <v>31</v>
      </c>
      <c r="AA1194" t="n" s="2909">
        <v>21</v>
      </c>
      <c r="AB1194" t="inlineStr" s="2909">
        <is>
          <t>20250602</t>
        </is>
      </c>
      <c r="AD1194" t="n" s="2909">
        <v>0</v>
      </c>
      <c r="AE1194" t="inlineStr" s="2909">
        <is>
          <t>00000000</t>
        </is>
      </c>
      <c r="AH1194" t="n" s="2909">
        <v>20</v>
      </c>
      <c r="AJ1194" t="n" s="2909">
        <v>41</v>
      </c>
      <c r="AP1194" t="n" s="2909">
        <v>170000</v>
      </c>
      <c r="DB1194" s="2909" t="str">
        <f>IF($A1194="","",IF($AH1194=20,IF(AND(OR($A1194=21,$A1194=215),$AJ1194=10),"①病院一般",IF(AND($A1194=31,$AJ1194=41),"②病院短期","対象外")),IF($AJ1194=30,"③特定消防",IF(AND(OR($A1194=21,$A1194=215),$AJ1194=10),"④一般",IF(AND($A1194=31,$AJ1194=41),"⑤短期","対象外")))))</f>
        <v>②病院短期</v>
      </c>
      <c r="DC1194" s="2909">
        <f>IF($A1194="","",IF($AB1194&amp;""='DB_設定'!$C$4,1,0))</f>
        <v>0</v>
      </c>
    </row>
    <row r="1195">
      <c r="A1195" t="n" s="2909">
        <v>31</v>
      </c>
      <c r="AA1195" t="n" s="2909">
        <v>21</v>
      </c>
      <c r="AB1195" t="inlineStr" s="2909">
        <is>
          <t>20250515</t>
        </is>
      </c>
      <c r="AD1195" t="n" s="2909">
        <v>0</v>
      </c>
      <c r="AE1195" t="inlineStr" s="2909">
        <is>
          <t>00000000</t>
        </is>
      </c>
      <c r="AH1195" t="n" s="2909">
        <v>20</v>
      </c>
      <c r="AJ1195" t="n" s="2909">
        <v>41</v>
      </c>
      <c r="AP1195" t="n" s="2909">
        <v>180000</v>
      </c>
      <c r="DB1195" s="2909" t="str">
        <f>IF($A1195="","",IF($AH1195=20,IF(AND(OR($A1195=21,$A1195=215),$AJ1195=10),"①病院一般",IF(AND($A1195=31,$AJ1195=41),"②病院短期","対象外")),IF($AJ1195=30,"③特定消防",IF(AND(OR($A1195=21,$A1195=215),$AJ1195=10),"④一般",IF(AND($A1195=31,$AJ1195=41),"⑤短期","対象外")))))</f>
        <v>②病院短期</v>
      </c>
      <c r="DC1195" s="2909">
        <f>IF($A1195="","",IF($AB1195&amp;""='DB_設定'!$C$4,1,0))</f>
        <v>0</v>
      </c>
    </row>
    <row r="1196">
      <c r="A1196" t="n" s="2909">
        <v>31</v>
      </c>
      <c r="AA1196" t="n" s="2909">
        <v>21</v>
      </c>
      <c r="AB1196" t="inlineStr" s="2909">
        <is>
          <t>20250601</t>
        </is>
      </c>
      <c r="AD1196" t="n" s="2909">
        <v>0</v>
      </c>
      <c r="AE1196" t="inlineStr" s="2909">
        <is>
          <t>00000000</t>
        </is>
      </c>
      <c r="AH1196" t="n" s="2909">
        <v>20</v>
      </c>
      <c r="AJ1196" t="n" s="2909">
        <v>41</v>
      </c>
      <c r="AP1196" t="n" s="2909">
        <v>170000</v>
      </c>
      <c r="DB1196" s="2909" t="str">
        <f>IF($A1196="","",IF($AH1196=20,IF(AND(OR($A1196=21,$A1196=215),$AJ1196=10),"①病院一般",IF(AND($A1196=31,$AJ1196=41),"②病院短期","対象外")),IF($AJ1196=30,"③特定消防",IF(AND(OR($A1196=21,$A1196=215),$AJ1196=10),"④一般",IF(AND($A1196=31,$AJ1196=41),"⑤短期","対象外")))))</f>
        <v>②病院短期</v>
      </c>
      <c r="DC1196" s="2909">
        <f>IF($A1196="","",IF($AB1196&amp;""='DB_設定'!$C$4,1,0))</f>
        <v>0</v>
      </c>
    </row>
    <row r="1197">
      <c r="A1197" t="n" s="2909">
        <v>31</v>
      </c>
      <c r="AA1197" t="n" s="2909">
        <v>21</v>
      </c>
      <c r="AB1197" t="inlineStr" s="2909">
        <is>
          <t>20250601</t>
        </is>
      </c>
      <c r="AD1197" t="n" s="2909">
        <v>0</v>
      </c>
      <c r="AE1197" t="inlineStr" s="2909">
        <is>
          <t>00000000</t>
        </is>
      </c>
      <c r="AH1197" t="n" s="2909">
        <v>20</v>
      </c>
      <c r="AJ1197" t="n" s="2909">
        <v>41</v>
      </c>
      <c r="AP1197" t="n" s="2909">
        <v>170000</v>
      </c>
      <c r="DB1197" s="2909" t="str">
        <f>IF($A1197="","",IF($AH1197=20,IF(AND(OR($A1197=21,$A1197=215),$AJ1197=10),"①病院一般",IF(AND($A1197=31,$AJ1197=41),"②病院短期","対象外")),IF($AJ1197=30,"③特定消防",IF(AND(OR($A1197=21,$A1197=215),$AJ1197=10),"④一般",IF(AND($A1197=31,$AJ1197=41),"⑤短期","対象外")))))</f>
        <v>②病院短期</v>
      </c>
      <c r="DC1197" s="2909">
        <f>IF($A1197="","",IF($AB1197&amp;""='DB_設定'!$C$4,1,0))</f>
        <v>0</v>
      </c>
    </row>
    <row r="1198">
      <c r="A1198" t="n" s="2909">
        <v>31</v>
      </c>
      <c r="AA1198" t="n" s="2909">
        <v>21</v>
      </c>
      <c r="AB1198" t="inlineStr" s="2909">
        <is>
          <t>20250601</t>
        </is>
      </c>
      <c r="AD1198" t="n" s="2909">
        <v>0</v>
      </c>
      <c r="AE1198" t="inlineStr" s="2909">
        <is>
          <t>00000000</t>
        </is>
      </c>
      <c r="AH1198" t="n" s="2909">
        <v>20</v>
      </c>
      <c r="AJ1198" t="n" s="2909">
        <v>41</v>
      </c>
      <c r="AP1198" t="n" s="2909">
        <v>240000</v>
      </c>
      <c r="DB1198" s="2909" t="str">
        <f>IF($A1198="","",IF($AH1198=20,IF(AND(OR($A1198=21,$A1198=215),$AJ1198=10),"①病院一般",IF(AND($A1198=31,$AJ1198=41),"②病院短期","対象外")),IF($AJ1198=30,"③特定消防",IF(AND(OR($A1198=21,$A1198=215),$AJ1198=10),"④一般",IF(AND($A1198=31,$AJ1198=41),"⑤短期","対象外")))))</f>
        <v>②病院短期</v>
      </c>
      <c r="DC1198" s="2909">
        <f>IF($A1198="","",IF($AB1198&amp;""='DB_設定'!$C$4,1,0))</f>
        <v>0</v>
      </c>
    </row>
    <row r="1199">
      <c r="A1199" t="n" s="2909">
        <v>31</v>
      </c>
      <c r="AA1199" t="n" s="2909">
        <v>21</v>
      </c>
      <c r="AB1199" t="inlineStr" s="2909">
        <is>
          <t>20250602</t>
        </is>
      </c>
      <c r="AD1199" t="n" s="2909">
        <v>0</v>
      </c>
      <c r="AE1199" t="inlineStr" s="2909">
        <is>
          <t>00000000</t>
        </is>
      </c>
      <c r="AH1199" t="n" s="2909">
        <v>20</v>
      </c>
      <c r="AJ1199" t="n" s="2909">
        <v>41</v>
      </c>
      <c r="AP1199" t="n" s="2909">
        <v>260000</v>
      </c>
      <c r="DB1199" s="2909" t="str">
        <f>IF($A1199="","",IF($AH1199=20,IF(AND(OR($A1199=21,$A1199=215),$AJ1199=10),"①病院一般",IF(AND($A1199=31,$AJ1199=41),"②病院短期","対象外")),IF($AJ1199=30,"③特定消防",IF(AND(OR($A1199=21,$A1199=215),$AJ1199=10),"④一般",IF(AND($A1199=31,$AJ1199=41),"⑤短期","対象外")))))</f>
        <v>②病院短期</v>
      </c>
      <c r="DC1199" s="2909">
        <f>IF($A1199="","",IF($AB1199&amp;""='DB_設定'!$C$4,1,0))</f>
        <v>0</v>
      </c>
    </row>
    <row r="1200">
      <c r="A1200" t="n" s="2909">
        <v>31</v>
      </c>
      <c r="AA1200" t="n" s="2909">
        <v>21</v>
      </c>
      <c r="AB1200" t="inlineStr" s="2909">
        <is>
          <t>20250601</t>
        </is>
      </c>
      <c r="AD1200" t="n" s="2909">
        <v>12</v>
      </c>
      <c r="AE1200" t="inlineStr" s="2909">
        <is>
          <t>20250604</t>
        </is>
      </c>
      <c r="AH1200" t="n" s="2909">
        <v>20</v>
      </c>
      <c r="AJ1200" t="n" s="2909">
        <v>41</v>
      </c>
      <c r="AP1200" t="n" s="2909">
        <v>170000</v>
      </c>
      <c r="DB1200" s="2909" t="str">
        <f>IF($A1200="","",IF($AH1200=20,IF(AND(OR($A1200=21,$A1200=215),$AJ1200=10),"①病院一般",IF(AND($A1200=31,$AJ1200=41),"②病院短期","対象外")),IF($AJ1200=30,"③特定消防",IF(AND(OR($A1200=21,$A1200=215),$AJ1200=10),"④一般",IF(AND($A1200=31,$AJ1200=41),"⑤短期","対象外")))))</f>
        <v>②病院短期</v>
      </c>
      <c r="DC1200" s="2909">
        <f>IF($A1200="","",IF($AB1200&amp;""='DB_設定'!$C$4,1,0))</f>
        <v>0</v>
      </c>
    </row>
    <row r="1201">
      <c r="A1201" t="n" s="2909">
        <v>31</v>
      </c>
      <c r="AA1201" t="n" s="2909">
        <v>21</v>
      </c>
      <c r="AB1201" t="inlineStr" s="2909">
        <is>
          <t>20250609</t>
        </is>
      </c>
      <c r="AD1201" t="n" s="2909">
        <v>0</v>
      </c>
      <c r="AE1201" t="inlineStr" s="2909">
        <is>
          <t>00000000</t>
        </is>
      </c>
      <c r="AH1201" t="n" s="2909">
        <v>20</v>
      </c>
      <c r="AJ1201" t="n" s="2909">
        <v>41</v>
      </c>
      <c r="AP1201" t="n" s="2909">
        <v>170000</v>
      </c>
      <c r="DB1201" s="2909" t="str">
        <f>IF($A1201="","",IF($AH1201=20,IF(AND(OR($A1201=21,$A1201=215),$AJ1201=10),"①病院一般",IF(AND($A1201=31,$AJ1201=41),"②病院短期","対象外")),IF($AJ1201=30,"③特定消防",IF(AND(OR($A1201=21,$A1201=215),$AJ1201=10),"④一般",IF(AND($A1201=31,$AJ1201=41),"⑤短期","対象外")))))</f>
        <v>②病院短期</v>
      </c>
      <c r="DC1201" s="2909">
        <f>IF($A1201="","",IF($AB1201&amp;""='DB_設定'!$C$4,1,0))</f>
        <v>0</v>
      </c>
    </row>
    <row r="1202">
      <c r="A1202" t="n" s="2909">
        <v>31</v>
      </c>
      <c r="AA1202" t="n" s="2909">
        <v>21</v>
      </c>
      <c r="AB1202" t="inlineStr" s="2909">
        <is>
          <t>20250616</t>
        </is>
      </c>
      <c r="AD1202" t="n" s="2909">
        <v>0</v>
      </c>
      <c r="AE1202" t="inlineStr" s="2909">
        <is>
          <t>00000000</t>
        </is>
      </c>
      <c r="AH1202" t="n" s="2909">
        <v>20</v>
      </c>
      <c r="AJ1202" t="n" s="2909">
        <v>41</v>
      </c>
      <c r="AP1202" t="n" s="2909">
        <v>160000</v>
      </c>
      <c r="DB1202" s="2909" t="str">
        <f>IF($A1202="","",IF($AH1202=20,IF(AND(OR($A1202=21,$A1202=215),$AJ1202=10),"①病院一般",IF(AND($A1202=31,$AJ1202=41),"②病院短期","対象外")),IF($AJ1202=30,"③特定消防",IF(AND(OR($A1202=21,$A1202=215),$AJ1202=10),"④一般",IF(AND($A1202=31,$AJ1202=41),"⑤短期","対象外")))))</f>
        <v>②病院短期</v>
      </c>
      <c r="DC1202" s="2909">
        <f>IF($A1202="","",IF($AB1202&amp;""='DB_設定'!$C$4,1,0))</f>
        <v>0</v>
      </c>
    </row>
    <row r="1203">
      <c r="A1203" t="n" s="2909">
        <v>31</v>
      </c>
      <c r="AA1203" t="n" s="2909">
        <v>21</v>
      </c>
      <c r="AB1203" t="inlineStr" s="2909">
        <is>
          <t>20250616</t>
        </is>
      </c>
      <c r="AD1203" t="n" s="2909">
        <v>0</v>
      </c>
      <c r="AE1203" t="inlineStr" s="2909">
        <is>
          <t>00000000</t>
        </is>
      </c>
      <c r="AH1203" t="n" s="2909">
        <v>20</v>
      </c>
      <c r="AJ1203" t="n" s="2909">
        <v>41</v>
      </c>
      <c r="AP1203" t="n" s="2909">
        <v>190000</v>
      </c>
      <c r="DB1203" s="2909" t="str">
        <f>IF($A1203="","",IF($AH1203=20,IF(AND(OR($A1203=21,$A1203=215),$AJ1203=10),"①病院一般",IF(AND($A1203=31,$AJ1203=41),"②病院短期","対象外")),IF($AJ1203=30,"③特定消防",IF(AND(OR($A1203=21,$A1203=215),$AJ1203=10),"④一般",IF(AND($A1203=31,$AJ1203=41),"⑤短期","対象外")))))</f>
        <v>②病院短期</v>
      </c>
      <c r="DC1203" s="2909">
        <f>IF($A1203="","",IF($AB1203&amp;""='DB_設定'!$C$4,1,0))</f>
        <v>0</v>
      </c>
    </row>
    <row r="1204">
      <c r="A1204" t="n" s="2909">
        <v>31</v>
      </c>
      <c r="AA1204" t="n" s="2909">
        <v>21</v>
      </c>
      <c r="AB1204" t="inlineStr" s="2909">
        <is>
          <t>20250701</t>
        </is>
      </c>
      <c r="AD1204" t="n" s="2909">
        <v>0</v>
      </c>
      <c r="AE1204" t="inlineStr" s="2909">
        <is>
          <t>00000000</t>
        </is>
      </c>
      <c r="AH1204" t="n" s="2909">
        <v>20</v>
      </c>
      <c r="AJ1204" t="n" s="2909">
        <v>41</v>
      </c>
      <c r="AP1204" t="n" s="2909">
        <v>240000</v>
      </c>
      <c r="DB1204" s="2909" t="str">
        <f>IF($A1204="","",IF($AH1204=20,IF(AND(OR($A1204=21,$A1204=215),$AJ1204=10),"①病院一般",IF(AND($A1204=31,$AJ1204=41),"②病院短期","対象外")),IF($AJ1204=30,"③特定消防",IF(AND(OR($A1204=21,$A1204=215),$AJ1204=10),"④一般",IF(AND($A1204=31,$AJ1204=41),"⑤短期","対象外")))))</f>
        <v>②病院短期</v>
      </c>
      <c r="DC1204" s="2909">
        <f>IF($A1204="","",IF($AB1204&amp;""='DB_設定'!$C$4,1,0))</f>
        <v>0</v>
      </c>
    </row>
    <row r="1205">
      <c r="A1205" t="n" s="2909">
        <v>31</v>
      </c>
      <c r="AA1205" t="n" s="2909">
        <v>21</v>
      </c>
      <c r="AB1205" t="inlineStr" s="2909">
        <is>
          <t>20250801</t>
        </is>
      </c>
      <c r="AD1205" t="n" s="2909">
        <v>0</v>
      </c>
      <c r="AE1205" t="inlineStr" s="2909">
        <is>
          <t>00000000</t>
        </is>
      </c>
      <c r="AH1205" t="n" s="2909">
        <v>20</v>
      </c>
      <c r="AJ1205" t="n" s="2909">
        <v>41</v>
      </c>
      <c r="AP1205" t="n" s="2909">
        <v>260000</v>
      </c>
      <c r="DB1205" s="2909" t="str">
        <f>IF($A1205="","",IF($AH1205=20,IF(AND(OR($A1205=21,$A1205=215),$AJ1205=10),"①病院一般",IF(AND($A1205=31,$AJ1205=41),"②病院短期","対象外")),IF($AJ1205=30,"③特定消防",IF(AND(OR($A1205=21,$A1205=215),$AJ1205=10),"④一般",IF(AND($A1205=31,$AJ1205=41),"⑤短期","対象外")))))</f>
        <v>②病院短期</v>
      </c>
      <c r="DC1205" s="2909">
        <f>IF($A1205="","",IF($AB1205&amp;""='DB_設定'!$C$4,1,0))</f>
        <v>0</v>
      </c>
    </row>
    <row r="1206">
      <c r="A1206" t="n" s="2909">
        <v>31</v>
      </c>
      <c r="AA1206" t="n" s="2909">
        <v>21</v>
      </c>
      <c r="AB1206" t="inlineStr" s="2909">
        <is>
          <t>20250714</t>
        </is>
      </c>
      <c r="AD1206" t="n" s="2909">
        <v>0</v>
      </c>
      <c r="AE1206" t="inlineStr" s="2909">
        <is>
          <t>00000000</t>
        </is>
      </c>
      <c r="AH1206" t="n" s="2909">
        <v>20</v>
      </c>
      <c r="AJ1206" t="n" s="2909">
        <v>41</v>
      </c>
      <c r="AP1206" t="n" s="2909">
        <v>260000</v>
      </c>
      <c r="DB1206" s="2909" t="str">
        <f>IF($A1206="","",IF($AH1206=20,IF(AND(OR($A1206=21,$A1206=215),$AJ1206=10),"①病院一般",IF(AND($A1206=31,$AJ1206=41),"②病院短期","対象外")),IF($AJ1206=30,"③特定消防",IF(AND(OR($A1206=21,$A1206=215),$AJ1206=10),"④一般",IF(AND($A1206=31,$AJ1206=41),"⑤短期","対象外")))))</f>
        <v>②病院短期</v>
      </c>
      <c r="DC1206" s="2909">
        <f>IF($A1206="","",IF($AB1206&amp;""='DB_設定'!$C$4,1,0))</f>
        <v>0</v>
      </c>
    </row>
    <row r="1207">
      <c r="A1207" t="n" s="2909">
        <v>31</v>
      </c>
      <c r="AA1207" t="n" s="2909">
        <v>21</v>
      </c>
      <c r="AB1207" t="inlineStr" s="2909">
        <is>
          <t>20250707</t>
        </is>
      </c>
      <c r="AD1207" t="n" s="2909">
        <v>0</v>
      </c>
      <c r="AE1207" t="inlineStr" s="2909">
        <is>
          <t>00000000</t>
        </is>
      </c>
      <c r="AH1207" t="n" s="2909">
        <v>20</v>
      </c>
      <c r="AJ1207" t="n" s="2909">
        <v>41</v>
      </c>
      <c r="AP1207" t="n" s="2909">
        <v>180000</v>
      </c>
      <c r="DB1207" s="2909" t="str">
        <f>IF($A1207="","",IF($AH1207=20,IF(AND(OR($A1207=21,$A1207=215),$AJ1207=10),"①病院一般",IF(AND($A1207=31,$AJ1207=41),"②病院短期","対象外")),IF($AJ1207=30,"③特定消防",IF(AND(OR($A1207=21,$A1207=215),$AJ1207=10),"④一般",IF(AND($A1207=31,$AJ1207=41),"⑤短期","対象外")))))</f>
        <v>②病院短期</v>
      </c>
      <c r="DC1207" s="2909">
        <f>IF($A1207="","",IF($AB1207&amp;""='DB_設定'!$C$4,1,0))</f>
        <v>0</v>
      </c>
    </row>
    <row r="1208">
      <c r="A1208" t="n" s="2909">
        <v>31</v>
      </c>
      <c r="AA1208" t="n" s="2909">
        <v>21</v>
      </c>
      <c r="AB1208" t="inlineStr" s="2909">
        <is>
          <t>20250714</t>
        </is>
      </c>
      <c r="AD1208" t="n" s="2909">
        <v>0</v>
      </c>
      <c r="AE1208" t="inlineStr" s="2909">
        <is>
          <t>00000000</t>
        </is>
      </c>
      <c r="AH1208" t="n" s="2909">
        <v>20</v>
      </c>
      <c r="AJ1208" t="n" s="2909">
        <v>41</v>
      </c>
      <c r="AP1208" t="n" s="2909">
        <v>180000</v>
      </c>
      <c r="DB1208" s="2909" t="str">
        <f>IF($A1208="","",IF($AH1208=20,IF(AND(OR($A1208=21,$A1208=215),$AJ1208=10),"①病院一般",IF(AND($A1208=31,$AJ1208=41),"②病院短期","対象外")),IF($AJ1208=30,"③特定消防",IF(AND(OR($A1208=21,$A1208=215),$AJ1208=10),"④一般",IF(AND($A1208=31,$AJ1208=41),"⑤短期","対象外")))))</f>
        <v>②病院短期</v>
      </c>
      <c r="DC1208" s="2909">
        <f>IF($A1208="","",IF($AB1208&amp;""='DB_設定'!$C$4,1,0))</f>
        <v>0</v>
      </c>
    </row>
    <row r="1209">
      <c r="A1209" t="n" s="2909">
        <v>31</v>
      </c>
      <c r="AA1209" t="n" s="2909">
        <v>21</v>
      </c>
      <c r="AB1209" t="inlineStr" s="2909">
        <is>
          <t>20250801</t>
        </is>
      </c>
      <c r="AD1209" t="n" s="2909">
        <v>0</v>
      </c>
      <c r="AE1209" t="inlineStr" s="2909">
        <is>
          <t>00000000</t>
        </is>
      </c>
      <c r="AH1209" t="n" s="2909">
        <v>20</v>
      </c>
      <c r="AJ1209" t="n" s="2909">
        <v>41</v>
      </c>
      <c r="AP1209" t="n" s="2909">
        <v>170000</v>
      </c>
      <c r="DB1209" s="2909" t="str">
        <f>IF($A1209="","",IF($AH1209=20,IF(AND(OR($A1209=21,$A1209=215),$AJ1209=10),"①病院一般",IF(AND($A1209=31,$AJ1209=41),"②病院短期","対象外")),IF($AJ1209=30,"③特定消防",IF(AND(OR($A1209=21,$A1209=215),$AJ1209=10),"④一般",IF(AND($A1209=31,$AJ1209=41),"⑤短期","対象外")))))</f>
        <v>②病院短期</v>
      </c>
      <c r="DC1209" s="2909">
        <f>IF($A1209="","",IF($AB1209&amp;""='DB_設定'!$C$4,1,0))</f>
        <v>0</v>
      </c>
    </row>
    <row r="1210">
      <c r="A1210" t="n" s="2909">
        <v>31</v>
      </c>
      <c r="AA1210" t="n" s="2909">
        <v>21</v>
      </c>
      <c r="AB1210" t="inlineStr" s="2909">
        <is>
          <t>20250714</t>
        </is>
      </c>
      <c r="AD1210" t="n" s="2909">
        <v>0</v>
      </c>
      <c r="AE1210" t="inlineStr" s="2909">
        <is>
          <t>00000000</t>
        </is>
      </c>
      <c r="AH1210" t="n" s="2909">
        <v>20</v>
      </c>
      <c r="AJ1210" t="n" s="2909">
        <v>41</v>
      </c>
      <c r="AP1210" t="n" s="2909">
        <v>220000</v>
      </c>
      <c r="DB1210" s="2909" t="str">
        <f>IF($A1210="","",IF($AH1210=20,IF(AND(OR($A1210=21,$A1210=215),$AJ1210=10),"①病院一般",IF(AND($A1210=31,$AJ1210=41),"②病院短期","対象外")),IF($AJ1210=30,"③特定消防",IF(AND(OR($A1210=21,$A1210=215),$AJ1210=10),"④一般",IF(AND($A1210=31,$AJ1210=41),"⑤短期","対象外")))))</f>
        <v>②病院短期</v>
      </c>
      <c r="DC1210" s="2909">
        <f>IF($A1210="","",IF($AB1210&amp;""='DB_設定'!$C$4,1,0))</f>
        <v>0</v>
      </c>
    </row>
    <row r="1211">
      <c r="A1211" t="n" s="2909">
        <v>31</v>
      </c>
      <c r="AA1211" t="n" s="2909">
        <v>21</v>
      </c>
      <c r="AB1211" t="inlineStr" s="2909">
        <is>
          <t>20250714</t>
        </is>
      </c>
      <c r="AD1211" t="n" s="2909">
        <v>0</v>
      </c>
      <c r="AE1211" t="inlineStr" s="2909">
        <is>
          <t>00000000</t>
        </is>
      </c>
      <c r="AH1211" t="n" s="2909">
        <v>20</v>
      </c>
      <c r="AJ1211" t="n" s="2909">
        <v>41</v>
      </c>
      <c r="AP1211" t="n" s="2909">
        <v>200000</v>
      </c>
      <c r="DB1211" s="2909" t="str">
        <f>IF($A1211="","",IF($AH1211=20,IF(AND(OR($A1211=21,$A1211=215),$AJ1211=10),"①病院一般",IF(AND($A1211=31,$AJ1211=41),"②病院短期","対象外")),IF($AJ1211=30,"③特定消防",IF(AND(OR($A1211=21,$A1211=215),$AJ1211=10),"④一般",IF(AND($A1211=31,$AJ1211=41),"⑤短期","対象外")))))</f>
        <v>②病院短期</v>
      </c>
      <c r="DC1211" s="2909">
        <f>IF($A1211="","",IF($AB1211&amp;""='DB_設定'!$C$4,1,0))</f>
        <v>0</v>
      </c>
    </row>
    <row r="1212">
      <c r="A1212" t="n" s="2909">
        <v>31</v>
      </c>
      <c r="AA1212" t="n" s="2909">
        <v>21</v>
      </c>
      <c r="AB1212" t="inlineStr" s="2909">
        <is>
          <t>20250801</t>
        </is>
      </c>
      <c r="AD1212" t="n" s="2909">
        <v>0</v>
      </c>
      <c r="AE1212" t="inlineStr" s="2909">
        <is>
          <t>00000000</t>
        </is>
      </c>
      <c r="AH1212" t="n" s="2909">
        <v>20</v>
      </c>
      <c r="AJ1212" t="n" s="2909">
        <v>41</v>
      </c>
      <c r="AP1212" t="n" s="2909">
        <v>190000</v>
      </c>
      <c r="DB1212" s="2909" t="str">
        <f>IF($A1212="","",IF($AH1212=20,IF(AND(OR($A1212=21,$A1212=215),$AJ1212=10),"①病院一般",IF(AND($A1212=31,$AJ1212=41),"②病院短期","対象外")),IF($AJ1212=30,"③特定消防",IF(AND(OR($A1212=21,$A1212=215),$AJ1212=10),"④一般",IF(AND($A1212=31,$AJ1212=41),"⑤短期","対象外")))))</f>
        <v>②病院短期</v>
      </c>
      <c r="DC1212" s="2909">
        <f>IF($A1212="","",IF($AB1212&amp;""='DB_設定'!$C$4,1,0))</f>
        <v>0</v>
      </c>
    </row>
    <row r="1213">
      <c r="A1213" t="n" s="2909">
        <v>31</v>
      </c>
      <c r="AA1213" t="n" s="2909">
        <v>21</v>
      </c>
      <c r="AB1213" t="inlineStr" s="2909">
        <is>
          <t>20250801</t>
        </is>
      </c>
      <c r="AD1213" t="n" s="2909">
        <v>0</v>
      </c>
      <c r="AE1213" t="inlineStr" s="2909">
        <is>
          <t>00000000</t>
        </is>
      </c>
      <c r="AH1213" t="n" s="2909">
        <v>20</v>
      </c>
      <c r="AJ1213" t="n" s="2909">
        <v>41</v>
      </c>
      <c r="AP1213" t="n" s="2909">
        <v>160000</v>
      </c>
      <c r="DB1213" s="2909" t="str">
        <f>IF($A1213="","",IF($AH1213=20,IF(AND(OR($A1213=21,$A1213=215),$AJ1213=10),"①病院一般",IF(AND($A1213=31,$AJ1213=41),"②病院短期","対象外")),IF($AJ1213=30,"③特定消防",IF(AND(OR($A1213=21,$A1213=215),$AJ1213=10),"④一般",IF(AND($A1213=31,$AJ1213=41),"⑤短期","対象外")))))</f>
        <v>②病院短期</v>
      </c>
      <c r="DC1213" s="2909">
        <f>IF($A1213="","",IF($AB1213&amp;""='DB_設定'!$C$4,1,0))</f>
        <v>0</v>
      </c>
    </row>
    <row r="1214">
      <c r="A1214" t="n" s="2909">
        <v>31</v>
      </c>
      <c r="AA1214" t="n" s="2909">
        <v>21</v>
      </c>
      <c r="AB1214" t="inlineStr" s="2909">
        <is>
          <t>20250801</t>
        </is>
      </c>
      <c r="AD1214" t="n" s="2909">
        <v>0</v>
      </c>
      <c r="AE1214" t="inlineStr" s="2909">
        <is>
          <t>00000000</t>
        </is>
      </c>
      <c r="AH1214" t="n" s="2909">
        <v>20</v>
      </c>
      <c r="AJ1214" t="n" s="2909">
        <v>41</v>
      </c>
      <c r="AP1214" t="n" s="2909">
        <v>170000</v>
      </c>
      <c r="DB1214" s="2909" t="str">
        <f>IF($A1214="","",IF($AH1214=20,IF(AND(OR($A1214=21,$A1214=215),$AJ1214=10),"①病院一般",IF(AND($A1214=31,$AJ1214=41),"②病院短期","対象外")),IF($AJ1214=30,"③特定消防",IF(AND(OR($A1214=21,$A1214=215),$AJ1214=10),"④一般",IF(AND($A1214=31,$AJ1214=41),"⑤短期","対象外")))))</f>
        <v>②病院短期</v>
      </c>
      <c r="DC1214" s="2909">
        <f>IF($A1214="","",IF($AB1214&amp;""='DB_設定'!$C$4,1,0))</f>
        <v>0</v>
      </c>
    </row>
    <row r="1215">
      <c r="A1215" t="n" s="2909">
        <v>31</v>
      </c>
      <c r="AA1215" t="n" s="2909">
        <v>21</v>
      </c>
      <c r="AB1215" t="inlineStr" s="2909">
        <is>
          <t>20250801</t>
        </is>
      </c>
      <c r="AD1215" t="n" s="2909">
        <v>0</v>
      </c>
      <c r="AE1215" t="inlineStr" s="2909">
        <is>
          <t>00000000</t>
        </is>
      </c>
      <c r="AH1215" t="n" s="2909">
        <v>20</v>
      </c>
      <c r="AJ1215" t="n" s="2909">
        <v>41</v>
      </c>
      <c r="AP1215" t="n" s="2909">
        <v>220000</v>
      </c>
      <c r="DB1215" s="2909" t="str">
        <f>IF($A1215="","",IF($AH1215=20,IF(AND(OR($A1215=21,$A1215=215),$AJ1215=10),"①病院一般",IF(AND($A1215=31,$AJ1215=41),"②病院短期","対象外")),IF($AJ1215=30,"③特定消防",IF(AND(OR($A1215=21,$A1215=215),$AJ1215=10),"④一般",IF(AND($A1215=31,$AJ1215=41),"⑤短期","対象外")))))</f>
        <v>②病院短期</v>
      </c>
      <c r="DC1215" s="2909">
        <f>IF($A1215="","",IF($AB1215&amp;""='DB_設定'!$C$4,1,0))</f>
        <v>0</v>
      </c>
    </row>
    <row r="1216">
      <c r="A1216" t="n" s="2909">
        <v>31</v>
      </c>
      <c r="AA1216" t="n" s="2909">
        <v>21</v>
      </c>
      <c r="AB1216" t="inlineStr" s="2909">
        <is>
          <t>20250804</t>
        </is>
      </c>
      <c r="AD1216" t="n" s="2909">
        <v>0</v>
      </c>
      <c r="AE1216" t="inlineStr" s="2909">
        <is>
          <t>00000000</t>
        </is>
      </c>
      <c r="AH1216" t="n" s="2909">
        <v>20</v>
      </c>
      <c r="AJ1216" t="n" s="2909">
        <v>41</v>
      </c>
      <c r="AP1216" t="n" s="2909">
        <v>200000</v>
      </c>
      <c r="DB1216" s="2909" t="str">
        <f>IF($A1216="","",IF($AH1216=20,IF(AND(OR($A1216=21,$A1216=215),$AJ1216=10),"①病院一般",IF(AND($A1216=31,$AJ1216=41),"②病院短期","対象外")),IF($AJ1216=30,"③特定消防",IF(AND(OR($A1216=21,$A1216=215),$AJ1216=10),"④一般",IF(AND($A1216=31,$AJ1216=41),"⑤短期","対象外")))))</f>
        <v>②病院短期</v>
      </c>
      <c r="DC1216" s="2909">
        <f>IF($A1216="","",IF($AB1216&amp;""='DB_設定'!$C$4,1,0))</f>
        <v>0</v>
      </c>
    </row>
    <row r="1217">
      <c r="A1217" t="n" s="2909">
        <v>31</v>
      </c>
      <c r="AA1217" t="n" s="2909">
        <v>21</v>
      </c>
      <c r="AB1217" t="inlineStr" s="2909">
        <is>
          <t>20250807</t>
        </is>
      </c>
      <c r="AD1217" t="n" s="2909">
        <v>0</v>
      </c>
      <c r="AE1217" t="inlineStr" s="2909">
        <is>
          <t>00000000</t>
        </is>
      </c>
      <c r="AH1217" t="n" s="2909">
        <v>20</v>
      </c>
      <c r="AJ1217" t="n" s="2909">
        <v>41</v>
      </c>
      <c r="AP1217" t="n" s="2909">
        <v>170000</v>
      </c>
      <c r="DB1217" s="2909" t="str">
        <f>IF($A1217="","",IF($AH1217=20,IF(AND(OR($A1217=21,$A1217=215),$AJ1217=10),"①病院一般",IF(AND($A1217=31,$AJ1217=41),"②病院短期","対象外")),IF($AJ1217=30,"③特定消防",IF(AND(OR($A1217=21,$A1217=215),$AJ1217=10),"④一般",IF(AND($A1217=31,$AJ1217=41),"⑤短期","対象外")))))</f>
        <v>②病院短期</v>
      </c>
      <c r="DC1217" s="2909">
        <f>IF($A1217="","",IF($AB1217&amp;""='DB_設定'!$C$4,1,0))</f>
        <v>0</v>
      </c>
    </row>
    <row r="1218">
      <c r="A1218" t="n" s="2909">
        <v>31</v>
      </c>
      <c r="AA1218" t="n" s="2909">
        <v>21</v>
      </c>
      <c r="AB1218" t="inlineStr" s="2909">
        <is>
          <t>20250812</t>
        </is>
      </c>
      <c r="AD1218" t="n" s="2909">
        <v>12</v>
      </c>
      <c r="AE1218" t="inlineStr" s="2909">
        <is>
          <t>20250901</t>
        </is>
      </c>
      <c r="AH1218" t="n" s="2909">
        <v>20</v>
      </c>
      <c r="AJ1218" t="n" s="2909">
        <v>41</v>
      </c>
      <c r="AP1218" t="n" s="2909">
        <v>220000</v>
      </c>
      <c r="DB1218" s="2909" t="str">
        <f>IF($A1218="","",IF($AH1218=20,IF(AND(OR($A1218=21,$A1218=215),$AJ1218=10),"①病院一般",IF(AND($A1218=31,$AJ1218=41),"②病院短期","対象外")),IF($AJ1218=30,"③特定消防",IF(AND(OR($A1218=21,$A1218=215),$AJ1218=10),"④一般",IF(AND($A1218=31,$AJ1218=41),"⑤短期","対象外")))))</f>
        <v>②病院短期</v>
      </c>
      <c r="DC1218" s="2909">
        <f>IF($A1218="","",IF($AB1218&amp;""='DB_設定'!$C$4,1,0))</f>
        <v>0</v>
      </c>
    </row>
    <row r="1219">
      <c r="A1219" t="n" s="2909">
        <v>31</v>
      </c>
      <c r="AA1219" t="n" s="2909">
        <v>21</v>
      </c>
      <c r="AB1219" t="inlineStr" s="2909">
        <is>
          <t>20250901</t>
        </is>
      </c>
      <c r="AD1219" t="n" s="2909">
        <v>0</v>
      </c>
      <c r="AE1219" t="inlineStr" s="2909">
        <is>
          <t>00000000</t>
        </is>
      </c>
      <c r="AH1219" t="n" s="2909">
        <v>20</v>
      </c>
      <c r="AJ1219" t="n" s="2909">
        <v>41</v>
      </c>
      <c r="AP1219" t="n" s="2909">
        <v>260000</v>
      </c>
      <c r="DB1219" s="2909" t="str">
        <f>IF($A1219="","",IF($AH1219=20,IF(AND(OR($A1219=21,$A1219=215),$AJ1219=10),"①病院一般",IF(AND($A1219=31,$AJ1219=41),"②病院短期","対象外")),IF($AJ1219=30,"③特定消防",IF(AND(OR($A1219=21,$A1219=215),$AJ1219=10),"④一般",IF(AND($A1219=31,$AJ1219=41),"⑤短期","対象外")))))</f>
        <v>②病院短期</v>
      </c>
      <c r="DC1219" s="2909">
        <f>IF($A1219="","",IF($AB1219&amp;""='DB_設定'!$C$4,1,0))</f>
        <v>0</v>
      </c>
    </row>
    <row r="1220">
      <c r="A1220" t="n" s="2909">
        <v>31</v>
      </c>
      <c r="AA1220" t="n" s="2909">
        <v>21</v>
      </c>
      <c r="AB1220" t="inlineStr" s="2909">
        <is>
          <t>20250901</t>
        </is>
      </c>
      <c r="AD1220" t="n" s="2909">
        <v>0</v>
      </c>
      <c r="AE1220" t="inlineStr" s="2909">
        <is>
          <t>00000000</t>
        </is>
      </c>
      <c r="AH1220" t="n" s="2909">
        <v>20</v>
      </c>
      <c r="AJ1220" t="n" s="2909">
        <v>41</v>
      </c>
      <c r="AP1220" t="n" s="2909">
        <v>260000</v>
      </c>
      <c r="DB1220" s="2909" t="str">
        <f>IF($A1220="","",IF($AH1220=20,IF(AND(OR($A1220=21,$A1220=215),$AJ1220=10),"①病院一般",IF(AND($A1220=31,$AJ1220=41),"②病院短期","対象外")),IF($AJ1220=30,"③特定消防",IF(AND(OR($A1220=21,$A1220=215),$AJ1220=10),"④一般",IF(AND($A1220=31,$AJ1220=41),"⑤短期","対象外")))))</f>
        <v>②病院短期</v>
      </c>
      <c r="DC1220" s="2909">
        <f>IF($A1220="","",IF($AB1220&amp;""='DB_設定'!$C$4,1,0))</f>
        <v>0</v>
      </c>
    </row>
    <row r="1221">
      <c r="A1221" t="n" s="2909">
        <v>31</v>
      </c>
      <c r="AA1221" t="n" s="2909">
        <v>21</v>
      </c>
      <c r="AB1221" t="inlineStr" s="2909">
        <is>
          <t>20250901</t>
        </is>
      </c>
      <c r="AD1221" t="n" s="2909">
        <v>0</v>
      </c>
      <c r="AE1221" t="inlineStr" s="2909">
        <is>
          <t>00000000</t>
        </is>
      </c>
      <c r="AH1221" t="n" s="2909">
        <v>20</v>
      </c>
      <c r="AJ1221" t="n" s="2909">
        <v>41</v>
      </c>
      <c r="AP1221" t="n" s="2909">
        <v>260000</v>
      </c>
      <c r="DB1221" s="2909" t="str">
        <f>IF($A1221="","",IF($AH1221=20,IF(AND(OR($A1221=21,$A1221=215),$AJ1221=10),"①病院一般",IF(AND($A1221=31,$AJ1221=41),"②病院短期","対象外")),IF($AJ1221=30,"③特定消防",IF(AND(OR($A1221=21,$A1221=215),$AJ1221=10),"④一般",IF(AND($A1221=31,$AJ1221=41),"⑤短期","対象外")))))</f>
        <v>②病院短期</v>
      </c>
      <c r="DC1221" s="2909">
        <f>IF($A1221="","",IF($AB1221&amp;""='DB_設定'!$C$4,1,0))</f>
        <v>0</v>
      </c>
    </row>
    <row r="1222">
      <c r="A1222" t="n" s="2909">
        <v>31</v>
      </c>
      <c r="AA1222" t="n" s="2909">
        <v>21</v>
      </c>
      <c r="AB1222" t="inlineStr" s="2909">
        <is>
          <t>20250910</t>
        </is>
      </c>
      <c r="AD1222" t="n" s="2909">
        <v>0</v>
      </c>
      <c r="AE1222" t="inlineStr" s="2909">
        <is>
          <t>00000000</t>
        </is>
      </c>
      <c r="AH1222" t="n" s="2909">
        <v>20</v>
      </c>
      <c r="AJ1222" t="n" s="2909">
        <v>41</v>
      </c>
      <c r="AP1222" t="n" s="2909">
        <v>220000</v>
      </c>
      <c r="DB1222" s="2909" t="str">
        <f>IF($A1222="","",IF($AH1222=20,IF(AND(OR($A1222=21,$A1222=215),$AJ1222=10),"①病院一般",IF(AND($A1222=31,$AJ1222=41),"②病院短期","対象外")),IF($AJ1222=30,"③特定消防",IF(AND(OR($A1222=21,$A1222=215),$AJ1222=10),"④一般",IF(AND($A1222=31,$AJ1222=41),"⑤短期","対象外")))))</f>
        <v>②病院短期</v>
      </c>
      <c r="DC1222" s="2909">
        <f>IF($A1222="","",IF($AB1222&amp;""='DB_設定'!$C$4,1,0))</f>
        <v>0</v>
      </c>
    </row>
    <row r="1223">
      <c r="A1223" t="n" s="2909">
        <v>31</v>
      </c>
      <c r="AA1223" t="n" s="2909">
        <v>21</v>
      </c>
      <c r="AB1223" t="inlineStr" s="2909">
        <is>
          <t>20250901</t>
        </is>
      </c>
      <c r="AD1223" t="n" s="2909">
        <v>0</v>
      </c>
      <c r="AE1223" t="inlineStr" s="2909">
        <is>
          <t>00000000</t>
        </is>
      </c>
      <c r="AH1223" t="n" s="2909">
        <v>20</v>
      </c>
      <c r="AJ1223" t="n" s="2909">
        <v>41</v>
      </c>
      <c r="AP1223" t="n" s="2909">
        <v>190000</v>
      </c>
      <c r="DB1223" s="2909" t="str">
        <f>IF($A1223="","",IF($AH1223=20,IF(AND(OR($A1223=21,$A1223=215),$AJ1223=10),"①病院一般",IF(AND($A1223=31,$AJ1223=41),"②病院短期","対象外")),IF($AJ1223=30,"③特定消防",IF(AND(OR($A1223=21,$A1223=215),$AJ1223=10),"④一般",IF(AND($A1223=31,$AJ1223=41),"⑤短期","対象外")))))</f>
        <v>②病院短期</v>
      </c>
      <c r="DC1223" s="2909">
        <f>IF($A1223="","",IF($AB1223&amp;""='DB_設定'!$C$4,1,0))</f>
        <v>0</v>
      </c>
    </row>
    <row r="1224">
      <c r="A1224" t="n" s="2909">
        <v>31</v>
      </c>
      <c r="AA1224" t="n" s="2909">
        <v>21</v>
      </c>
      <c r="AB1224" t="inlineStr" s="2909">
        <is>
          <t>20250901</t>
        </is>
      </c>
      <c r="AD1224" t="n" s="2909">
        <v>0</v>
      </c>
      <c r="AE1224" t="inlineStr" s="2909">
        <is>
          <t>00000000</t>
        </is>
      </c>
      <c r="AH1224" t="n" s="2909">
        <v>20</v>
      </c>
      <c r="AJ1224" t="n" s="2909">
        <v>41</v>
      </c>
      <c r="AP1224" t="n" s="2909">
        <v>190000</v>
      </c>
      <c r="DB1224" s="2909" t="str">
        <f>IF($A1224="","",IF($AH1224=20,IF(AND(OR($A1224=21,$A1224=215),$AJ1224=10),"①病院一般",IF(AND($A1224=31,$AJ1224=41),"②病院短期","対象外")),IF($AJ1224=30,"③特定消防",IF(AND(OR($A1224=21,$A1224=215),$AJ1224=10),"④一般",IF(AND($A1224=31,$AJ1224=41),"⑤短期","対象外")))))</f>
        <v>②病院短期</v>
      </c>
      <c r="DC1224" s="2909">
        <f>IF($A1224="","",IF($AB1224&amp;""='DB_設定'!$C$4,1,0))</f>
        <v>0</v>
      </c>
    </row>
    <row r="1225">
      <c r="A1225" t="n" s="2909">
        <v>31</v>
      </c>
      <c r="AA1225" t="n" s="2909">
        <v>21</v>
      </c>
      <c r="AB1225" t="inlineStr" s="2909">
        <is>
          <t>20250922</t>
        </is>
      </c>
      <c r="AD1225" t="n" s="2909">
        <v>0</v>
      </c>
      <c r="AE1225" t="inlineStr" s="2909">
        <is>
          <t>00000000</t>
        </is>
      </c>
      <c r="AH1225" t="n" s="2909">
        <v>20</v>
      </c>
      <c r="AJ1225" t="n" s="2909">
        <v>41</v>
      </c>
      <c r="AP1225" t="n" s="2909">
        <v>200000</v>
      </c>
      <c r="DB1225" s="2909" t="str">
        <f>IF($A1225="","",IF($AH1225=20,IF(AND(OR($A1225=21,$A1225=215),$AJ1225=10),"①病院一般",IF(AND($A1225=31,$AJ1225=41),"②病院短期","対象外")),IF($AJ1225=30,"③特定消防",IF(AND(OR($A1225=21,$A1225=215),$AJ1225=10),"④一般",IF(AND($A1225=31,$AJ1225=41),"⑤短期","対象外")))))</f>
        <v>②病院短期</v>
      </c>
      <c r="DC1225" s="2909">
        <f>IF($A1225="","",IF($AB1225&amp;""='DB_設定'!$C$4,1,0))</f>
        <v>0</v>
      </c>
    </row>
    <row r="1226">
      <c r="A1226" t="n" s="2909">
        <v>31</v>
      </c>
      <c r="AA1226" t="n" s="2909">
        <v>21</v>
      </c>
      <c r="AB1226" t="inlineStr" s="2909">
        <is>
          <t>20250910</t>
        </is>
      </c>
      <c r="AD1226" t="n" s="2909">
        <v>0</v>
      </c>
      <c r="AE1226" t="inlineStr" s="2909">
        <is>
          <t>00000000</t>
        </is>
      </c>
      <c r="AH1226" t="n" s="2909">
        <v>20</v>
      </c>
      <c r="AJ1226" t="n" s="2909">
        <v>41</v>
      </c>
      <c r="AP1226" t="n" s="2909">
        <v>200000</v>
      </c>
      <c r="DB1226" s="2909" t="str">
        <f>IF($A1226="","",IF($AH1226=20,IF(AND(OR($A1226=21,$A1226=215),$AJ1226=10),"①病院一般",IF(AND($A1226=31,$AJ1226=41),"②病院短期","対象外")),IF($AJ1226=30,"③特定消防",IF(AND(OR($A1226=21,$A1226=215),$AJ1226=10),"④一般",IF(AND($A1226=31,$AJ1226=41),"⑤短期","対象外")))))</f>
        <v>②病院短期</v>
      </c>
      <c r="DC1226" s="2909">
        <f>IF($A1226="","",IF($AB1226&amp;""='DB_設定'!$C$4,1,0))</f>
        <v>0</v>
      </c>
    </row>
    <row r="1227">
      <c r="A1227" t="n" s="2909">
        <v>31</v>
      </c>
      <c r="AA1227" t="n" s="2909">
        <v>21</v>
      </c>
      <c r="AB1227" t="inlineStr" s="2909">
        <is>
          <t>20250916</t>
        </is>
      </c>
      <c r="AD1227" t="n" s="2909">
        <v>0</v>
      </c>
      <c r="AE1227" t="inlineStr" s="2909">
        <is>
          <t>00000000</t>
        </is>
      </c>
      <c r="AH1227" t="n" s="2909">
        <v>20</v>
      </c>
      <c r="AJ1227" t="n" s="2909">
        <v>41</v>
      </c>
      <c r="AP1227" t="n" s="2909">
        <v>170000</v>
      </c>
      <c r="DB1227" s="2909" t="str">
        <f>IF($A1227="","",IF($AH1227=20,IF(AND(OR($A1227=21,$A1227=215),$AJ1227=10),"①病院一般",IF(AND($A1227=31,$AJ1227=41),"②病院短期","対象外")),IF($AJ1227=30,"③特定消防",IF(AND(OR($A1227=21,$A1227=215),$AJ1227=10),"④一般",IF(AND($A1227=31,$AJ1227=41),"⑤短期","対象外")))))</f>
        <v>②病院短期</v>
      </c>
      <c r="DC1227" s="2909">
        <f>IF($A1227="","",IF($AB1227&amp;""='DB_設定'!$C$4,1,0))</f>
        <v>0</v>
      </c>
    </row>
    <row r="1228">
      <c r="A1228" t="n" s="2909">
        <v>31</v>
      </c>
      <c r="AA1228" t="n" s="2909">
        <v>21</v>
      </c>
      <c r="AB1228" t="inlineStr" s="2909">
        <is>
          <t>20250917</t>
        </is>
      </c>
      <c r="AD1228" t="n" s="2909">
        <v>0</v>
      </c>
      <c r="AE1228" t="inlineStr" s="2909">
        <is>
          <t>00000000</t>
        </is>
      </c>
      <c r="AH1228" t="n" s="2909">
        <v>20</v>
      </c>
      <c r="AJ1228" t="n" s="2909">
        <v>41</v>
      </c>
      <c r="AP1228" t="n" s="2909">
        <v>220000</v>
      </c>
      <c r="DB1228" s="2909" t="str">
        <f>IF($A1228="","",IF($AH1228=20,IF(AND(OR($A1228=21,$A1228=215),$AJ1228=10),"①病院一般",IF(AND($A1228=31,$AJ1228=41),"②病院短期","対象外")),IF($AJ1228=30,"③特定消防",IF(AND(OR($A1228=21,$A1228=215),$AJ1228=10),"④一般",IF(AND($A1228=31,$AJ1228=41),"⑤短期","対象外")))))</f>
        <v>②病院短期</v>
      </c>
      <c r="DC1228" s="2909">
        <f>IF($A1228="","",IF($AB1228&amp;""='DB_設定'!$C$4,1,0))</f>
        <v>0</v>
      </c>
    </row>
    <row r="1229">
      <c r="A1229" t="n" s="2909">
        <v>31</v>
      </c>
      <c r="AA1229" t="n" s="2909">
        <v>21</v>
      </c>
      <c r="AB1229" t="inlineStr" s="2909">
        <is>
          <t>20250924</t>
        </is>
      </c>
      <c r="AD1229" t="n" s="2909">
        <v>0</v>
      </c>
      <c r="AE1229" t="inlineStr" s="2909">
        <is>
          <t>00000000</t>
        </is>
      </c>
      <c r="AH1229" t="n" s="2909">
        <v>20</v>
      </c>
      <c r="AJ1229" t="n" s="2909">
        <v>41</v>
      </c>
      <c r="AP1229" t="n" s="2909">
        <v>240000</v>
      </c>
      <c r="DB1229" s="2909" t="str">
        <f>IF($A1229="","",IF($AH1229=20,IF(AND(OR($A1229=21,$A1229=215),$AJ1229=10),"①病院一般",IF(AND($A1229=31,$AJ1229=41),"②病院短期","対象外")),IF($AJ1229=30,"③特定消防",IF(AND(OR($A1229=21,$A1229=215),$AJ1229=10),"④一般",IF(AND($A1229=31,$AJ1229=41),"⑤短期","対象外")))))</f>
        <v>②病院短期</v>
      </c>
      <c r="DC1229" s="2909">
        <f>IF($A1229="","",IF($AB1229&amp;""='DB_設定'!$C$4,1,0))</f>
        <v>0</v>
      </c>
    </row>
    <row r="1230">
      <c r="A1230" t="n" s="2909">
        <v>31</v>
      </c>
      <c r="AA1230" t="n" s="2909">
        <v>21</v>
      </c>
      <c r="AB1230" t="inlineStr" s="2909">
        <is>
          <t>20251001</t>
        </is>
      </c>
      <c r="AD1230" t="n" s="2909">
        <v>0</v>
      </c>
      <c r="AE1230" t="inlineStr" s="2909">
        <is>
          <t>00000000</t>
        </is>
      </c>
      <c r="AH1230" t="n" s="2909">
        <v>20</v>
      </c>
      <c r="AJ1230" t="n" s="2909">
        <v>41</v>
      </c>
      <c r="AP1230" t="n" s="2909">
        <v>220000</v>
      </c>
      <c r="DB1230" s="2909" t="str">
        <f>IF($A1230="","",IF($AH1230=20,IF(AND(OR($A1230=21,$A1230=215),$AJ1230=10),"①病院一般",IF(AND($A1230=31,$AJ1230=41),"②病院短期","対象外")),IF($AJ1230=30,"③特定消防",IF(AND(OR($A1230=21,$A1230=215),$AJ1230=10),"④一般",IF(AND($A1230=31,$AJ1230=41),"⑤短期","対象外")))))</f>
        <v>②病院短期</v>
      </c>
      <c r="DC1230" s="2909">
        <f>IF($A1230="","",IF($AB1230&amp;""='DB_設定'!$C$4,1,0))</f>
        <v>0</v>
      </c>
    </row>
    <row r="1231">
      <c r="A1231" t="n" s="2909">
        <v>31</v>
      </c>
      <c r="AA1231" t="n" s="2909">
        <v>21</v>
      </c>
      <c r="AB1231" t="inlineStr" s="2909">
        <is>
          <t>20251001</t>
        </is>
      </c>
      <c r="AD1231" t="n" s="2909">
        <v>0</v>
      </c>
      <c r="AE1231" t="inlineStr" s="2909">
        <is>
          <t>00000000</t>
        </is>
      </c>
      <c r="AH1231" t="n" s="2909">
        <v>20</v>
      </c>
      <c r="AJ1231" t="n" s="2909">
        <v>41</v>
      </c>
      <c r="AP1231" t="n" s="2909">
        <v>170000</v>
      </c>
      <c r="DB1231" s="2909" t="str">
        <f>IF($A1231="","",IF($AH1231=20,IF(AND(OR($A1231=21,$A1231=215),$AJ1231=10),"①病院一般",IF(AND($A1231=31,$AJ1231=41),"②病院短期","対象外")),IF($AJ1231=30,"③特定消防",IF(AND(OR($A1231=21,$A1231=215),$AJ1231=10),"④一般",IF(AND($A1231=31,$AJ1231=41),"⑤短期","対象外")))))</f>
        <v>②病院短期</v>
      </c>
      <c r="DC1231" s="2909">
        <f>IF($A1231="","",IF($AB1231&amp;""='DB_設定'!$C$4,1,0))</f>
        <v>0</v>
      </c>
    </row>
    <row r="1232">
      <c r="A1232" t="n" s="2909">
        <v>31</v>
      </c>
      <c r="AA1232" t="n" s="2909">
        <v>21</v>
      </c>
      <c r="AB1232" t="inlineStr" s="2909">
        <is>
          <t>20251011</t>
        </is>
      </c>
      <c r="AD1232" t="n" s="2909">
        <v>0</v>
      </c>
      <c r="AE1232" t="inlineStr" s="2909">
        <is>
          <t>00000000</t>
        </is>
      </c>
      <c r="AH1232" t="n" s="2909">
        <v>20</v>
      </c>
      <c r="AJ1232" t="n" s="2909">
        <v>41</v>
      </c>
      <c r="AP1232" t="n" s="2909">
        <v>200000</v>
      </c>
      <c r="DB1232" s="2909" t="str">
        <f>IF($A1232="","",IF($AH1232=20,IF(AND(OR($A1232=21,$A1232=215),$AJ1232=10),"①病院一般",IF(AND($A1232=31,$AJ1232=41),"②病院短期","対象外")),IF($AJ1232=30,"③特定消防",IF(AND(OR($A1232=21,$A1232=215),$AJ1232=10),"④一般",IF(AND($A1232=31,$AJ1232=41),"⑤短期","対象外")))))</f>
        <v>②病院短期</v>
      </c>
      <c r="DC1232" s="2909">
        <f>IF($A1232="","",IF($AB1232&amp;""='DB_設定'!$C$4,1,0))</f>
        <v>0</v>
      </c>
    </row>
    <row r="1233">
      <c r="A1233" t="n" s="2909">
        <v>31</v>
      </c>
      <c r="AA1233" t="n" s="2909">
        <v>21</v>
      </c>
      <c r="AB1233" t="inlineStr" s="2909">
        <is>
          <t>20251001</t>
        </is>
      </c>
      <c r="AD1233" t="n" s="2909">
        <v>0</v>
      </c>
      <c r="AE1233" t="inlineStr" s="2909">
        <is>
          <t>00000000</t>
        </is>
      </c>
      <c r="AH1233" t="n" s="2909">
        <v>20</v>
      </c>
      <c r="AJ1233" t="n" s="2909">
        <v>41</v>
      </c>
      <c r="AP1233" t="n" s="2909">
        <v>220000</v>
      </c>
      <c r="DB1233" s="2909" t="str">
        <f>IF($A1233="","",IF($AH1233=20,IF(AND(OR($A1233=21,$A1233=215),$AJ1233=10),"①病院一般",IF(AND($A1233=31,$AJ1233=41),"②病院短期","対象外")),IF($AJ1233=30,"③特定消防",IF(AND(OR($A1233=21,$A1233=215),$AJ1233=10),"④一般",IF(AND($A1233=31,$AJ1233=41),"⑤短期","対象外")))))</f>
        <v>②病院短期</v>
      </c>
      <c r="DC1233" s="2909">
        <f>IF($A1233="","",IF($AB1233&amp;""='DB_設定'!$C$4,1,0))</f>
        <v>0</v>
      </c>
    </row>
    <row r="1234">
      <c r="A1234" t="n" s="2909">
        <v>31</v>
      </c>
      <c r="AA1234" t="n" s="2909">
        <v>21</v>
      </c>
      <c r="AB1234" t="inlineStr" s="2909">
        <is>
          <t>20251009</t>
        </is>
      </c>
      <c r="AD1234" t="n" s="2909">
        <v>0</v>
      </c>
      <c r="AE1234" t="inlineStr" s="2909">
        <is>
          <t>00000000</t>
        </is>
      </c>
      <c r="AH1234" t="n" s="2909">
        <v>20</v>
      </c>
      <c r="AJ1234" t="n" s="2909">
        <v>41</v>
      </c>
      <c r="AP1234" t="n" s="2909">
        <v>170000</v>
      </c>
      <c r="DB1234" s="2909" t="str">
        <f>IF($A1234="","",IF($AH1234=20,IF(AND(OR($A1234=21,$A1234=215),$AJ1234=10),"①病院一般",IF(AND($A1234=31,$AJ1234=41),"②病院短期","対象外")),IF($AJ1234=30,"③特定消防",IF(AND(OR($A1234=21,$A1234=215),$AJ1234=10),"④一般",IF(AND($A1234=31,$AJ1234=41),"⑤短期","対象外")))))</f>
        <v>②病院短期</v>
      </c>
      <c r="DC1234" s="2909">
        <f>IF($A1234="","",IF($AB1234&amp;""='DB_設定'!$C$4,1,0))</f>
        <v>0</v>
      </c>
    </row>
    <row r="1235">
      <c r="A1235" t="n" s="2909">
        <v>31</v>
      </c>
      <c r="AA1235" t="n" s="2909">
        <v>21</v>
      </c>
      <c r="AB1235" t="inlineStr" s="2909">
        <is>
          <t>20251014</t>
        </is>
      </c>
      <c r="AD1235" t="n" s="2909">
        <v>0</v>
      </c>
      <c r="AE1235" t="inlineStr" s="2909">
        <is>
          <t>00000000</t>
        </is>
      </c>
      <c r="AH1235" t="n" s="2909">
        <v>20</v>
      </c>
      <c r="AJ1235" t="n" s="2909">
        <v>41</v>
      </c>
      <c r="AP1235" t="n" s="2909">
        <v>170000</v>
      </c>
      <c r="DB1235" s="2909" t="str">
        <f>IF($A1235="","",IF($AH1235=20,IF(AND(OR($A1235=21,$A1235=215),$AJ1235=10),"①病院一般",IF(AND($A1235=31,$AJ1235=41),"②病院短期","対象外")),IF($AJ1235=30,"③特定消防",IF(AND(OR($A1235=21,$A1235=215),$AJ1235=10),"④一般",IF(AND($A1235=31,$AJ1235=41),"⑤短期","対象外")))))</f>
        <v>②病院短期</v>
      </c>
      <c r="DC1235" s="2909">
        <f>IF($A1235="","",IF($AB1235&amp;""='DB_設定'!$C$4,1,0))</f>
        <v>0</v>
      </c>
    </row>
    <row r="1236">
      <c r="A1236" t="n" s="2909">
        <v>31</v>
      </c>
      <c r="AA1236" t="n" s="2909">
        <v>21</v>
      </c>
      <c r="AB1236" t="inlineStr" s="2909">
        <is>
          <t>20251014</t>
        </is>
      </c>
      <c r="AD1236" t="n" s="2909">
        <v>0</v>
      </c>
      <c r="AE1236" t="inlineStr" s="2909">
        <is>
          <t>00000000</t>
        </is>
      </c>
      <c r="AH1236" t="n" s="2909">
        <v>20</v>
      </c>
      <c r="AJ1236" t="n" s="2909">
        <v>41</v>
      </c>
      <c r="AP1236" t="n" s="2909">
        <v>190000</v>
      </c>
      <c r="DB1236" s="2909" t="str">
        <f>IF($A1236="","",IF($AH1236=20,IF(AND(OR($A1236=21,$A1236=215),$AJ1236=10),"①病院一般",IF(AND($A1236=31,$AJ1236=41),"②病院短期","対象外")),IF($AJ1236=30,"③特定消防",IF(AND(OR($A1236=21,$A1236=215),$AJ1236=10),"④一般",IF(AND($A1236=31,$AJ1236=41),"⑤短期","対象外")))))</f>
        <v>②病院短期</v>
      </c>
      <c r="DC1236" s="2909">
        <f>IF($A1236="","",IF($AB1236&amp;""='DB_設定'!$C$4,1,0))</f>
        <v>0</v>
      </c>
    </row>
    <row r="1237">
      <c r="A1237" t="n" s="2909">
        <v>31</v>
      </c>
      <c r="AA1237" t="n" s="2909">
        <v>21</v>
      </c>
      <c r="AB1237" t="inlineStr" s="2909">
        <is>
          <t>20251014</t>
        </is>
      </c>
      <c r="AD1237" t="n" s="2909">
        <v>0</v>
      </c>
      <c r="AE1237" t="inlineStr" s="2909">
        <is>
          <t>00000000</t>
        </is>
      </c>
      <c r="AH1237" t="n" s="2909">
        <v>20</v>
      </c>
      <c r="AJ1237" t="n" s="2909">
        <v>41</v>
      </c>
      <c r="AP1237" t="n" s="2909">
        <v>260000</v>
      </c>
      <c r="DB1237" s="2909" t="str">
        <f>IF($A1237="","",IF($AH1237=20,IF(AND(OR($A1237=21,$A1237=215),$AJ1237=10),"①病院一般",IF(AND($A1237=31,$AJ1237=41),"②病院短期","対象外")),IF($AJ1237=30,"③特定消防",IF(AND(OR($A1237=21,$A1237=215),$AJ1237=10),"④一般",IF(AND($A1237=31,$AJ1237=41),"⑤短期","対象外")))))</f>
        <v>②病院短期</v>
      </c>
      <c r="DC1237" s="2909">
        <f>IF($A1237="","",IF($AB1237&amp;""='DB_設定'!$C$4,1,0))</f>
        <v>0</v>
      </c>
    </row>
    <row r="1238">
      <c r="A1238" t="n" s="2909">
        <v>31</v>
      </c>
      <c r="AA1238" t="n" s="2909">
        <v>21</v>
      </c>
      <c r="AB1238" t="inlineStr" s="2909">
        <is>
          <t>20251014</t>
        </is>
      </c>
      <c r="AD1238" t="n" s="2909">
        <v>0</v>
      </c>
      <c r="AE1238" t="inlineStr" s="2909">
        <is>
          <t>00000000</t>
        </is>
      </c>
      <c r="AH1238" t="n" s="2909">
        <v>20</v>
      </c>
      <c r="AJ1238" t="n" s="2909">
        <v>41</v>
      </c>
      <c r="AP1238" t="n" s="2909">
        <v>260000</v>
      </c>
      <c r="DB1238" s="2909" t="str">
        <f>IF($A1238="","",IF($AH1238=20,IF(AND(OR($A1238=21,$A1238=215),$AJ1238=10),"①病院一般",IF(AND($A1238=31,$AJ1238=41),"②病院短期","対象外")),IF($AJ1238=30,"③特定消防",IF(AND(OR($A1238=21,$A1238=215),$AJ1238=10),"④一般",IF(AND($A1238=31,$AJ1238=41),"⑤短期","対象外")))))</f>
        <v>②病院短期</v>
      </c>
      <c r="DC1238" s="2909">
        <f>IF($A1238="","",IF($AB1238&amp;""='DB_設定'!$C$4,1,0))</f>
        <v>0</v>
      </c>
    </row>
    <row r="1239">
      <c r="A1239" t="n" s="2909">
        <v>31</v>
      </c>
      <c r="AA1239" t="n" s="2909">
        <v>21</v>
      </c>
      <c r="AB1239" t="inlineStr" s="2909">
        <is>
          <t>20250401</t>
        </is>
      </c>
      <c r="AD1239" t="n" s="2909">
        <v>0</v>
      </c>
      <c r="AE1239" t="inlineStr" s="2909">
        <is>
          <t>00000000</t>
        </is>
      </c>
      <c r="AH1239" t="n" s="2909">
        <v>11</v>
      </c>
      <c r="AJ1239" t="n" s="2909">
        <v>41</v>
      </c>
      <c r="AP1239" t="n" s="2909">
        <v>200000</v>
      </c>
      <c r="DB1239" s="2909" t="str">
        <f>IF($A1239="","",IF($AH1239=20,IF(AND(OR($A1239=21,$A1239=215),$AJ1239=10),"①病院一般",IF(AND($A1239=31,$AJ1239=41),"②病院短期","対象外")),IF($AJ1239=30,"③特定消防",IF(AND(OR($A1239=21,$A1239=215),$AJ1239=10),"④一般",IF(AND($A1239=31,$AJ1239=41),"⑤短期","対象外")))))</f>
        <v>⑤短期</v>
      </c>
      <c r="DC1239" s="2909">
        <f>IF($A1239="","",IF($AB1239&amp;""='DB_設定'!$C$4,1,0))</f>
        <v>1</v>
      </c>
    </row>
    <row r="1240">
      <c r="A1240" t="n" s="2909">
        <v>31</v>
      </c>
      <c r="AA1240" t="n" s="2909">
        <v>21</v>
      </c>
      <c r="AB1240" t="inlineStr" s="2909">
        <is>
          <t>20250401</t>
        </is>
      </c>
      <c r="AD1240" t="n" s="2909">
        <v>0</v>
      </c>
      <c r="AE1240" t="inlineStr" s="2909">
        <is>
          <t>00000000</t>
        </is>
      </c>
      <c r="AH1240" t="n" s="2909">
        <v>11</v>
      </c>
      <c r="AJ1240" t="n" s="2909">
        <v>41</v>
      </c>
      <c r="AP1240" t="n" s="2909">
        <v>220000</v>
      </c>
      <c r="DB1240" s="2909" t="str">
        <f>IF($A1240="","",IF($AH1240=20,IF(AND(OR($A1240=21,$A1240=215),$AJ1240=10),"①病院一般",IF(AND($A1240=31,$AJ1240=41),"②病院短期","対象外")),IF($AJ1240=30,"③特定消防",IF(AND(OR($A1240=21,$A1240=215),$AJ1240=10),"④一般",IF(AND($A1240=31,$AJ1240=41),"⑤短期","対象外")))))</f>
        <v>⑤短期</v>
      </c>
      <c r="DC1240" s="2909">
        <f>IF($A1240="","",IF($AB1240&amp;""='DB_設定'!$C$4,1,0))</f>
        <v>1</v>
      </c>
    </row>
    <row r="1241">
      <c r="A1241" t="n" s="2909">
        <v>31</v>
      </c>
      <c r="AA1241" t="n" s="2909">
        <v>21</v>
      </c>
      <c r="AB1241" t="inlineStr" s="2909">
        <is>
          <t>20250401</t>
        </is>
      </c>
      <c r="AD1241" t="n" s="2909">
        <v>0</v>
      </c>
      <c r="AE1241" t="inlineStr" s="2909">
        <is>
          <t>00000000</t>
        </is>
      </c>
      <c r="AH1241" t="n" s="2909">
        <v>11</v>
      </c>
      <c r="AJ1241" t="n" s="2909">
        <v>41</v>
      </c>
      <c r="AP1241" t="n" s="2909">
        <v>240000</v>
      </c>
      <c r="DB1241" s="2909" t="str">
        <f>IF($A1241="","",IF($AH1241=20,IF(AND(OR($A1241=21,$A1241=215),$AJ1241=10),"①病院一般",IF(AND($A1241=31,$AJ1241=41),"②病院短期","対象外")),IF($AJ1241=30,"③特定消防",IF(AND(OR($A1241=21,$A1241=215),$AJ1241=10),"④一般",IF(AND($A1241=31,$AJ1241=41),"⑤短期","対象外")))))</f>
        <v>⑤短期</v>
      </c>
      <c r="DC1241" s="2909">
        <f>IF($A1241="","",IF($AB1241&amp;""='DB_設定'!$C$4,1,0))</f>
        <v>1</v>
      </c>
    </row>
    <row r="1242">
      <c r="A1242" t="n" s="2909">
        <v>31</v>
      </c>
      <c r="AA1242" t="n" s="2909">
        <v>21</v>
      </c>
      <c r="AB1242" t="inlineStr" s="2909">
        <is>
          <t>20250401</t>
        </is>
      </c>
      <c r="AD1242" t="n" s="2909">
        <v>0</v>
      </c>
      <c r="AE1242" t="inlineStr" s="2909">
        <is>
          <t>00000000</t>
        </is>
      </c>
      <c r="AH1242" t="n" s="2909">
        <v>11</v>
      </c>
      <c r="AJ1242" t="n" s="2909">
        <v>41</v>
      </c>
      <c r="AP1242" t="n" s="2909">
        <v>240000</v>
      </c>
      <c r="DB1242" s="2909" t="str">
        <f>IF($A1242="","",IF($AH1242=20,IF(AND(OR($A1242=21,$A1242=215),$AJ1242=10),"①病院一般",IF(AND($A1242=31,$AJ1242=41),"②病院短期","対象外")),IF($AJ1242=30,"③特定消防",IF(AND(OR($A1242=21,$A1242=215),$AJ1242=10),"④一般",IF(AND($A1242=31,$AJ1242=41),"⑤短期","対象外")))))</f>
        <v>⑤短期</v>
      </c>
      <c r="DC1242" s="2909">
        <f>IF($A1242="","",IF($AB1242&amp;""='DB_設定'!$C$4,1,0))</f>
        <v>1</v>
      </c>
    </row>
    <row r="1243">
      <c r="A1243" t="n" s="2909">
        <v>31</v>
      </c>
      <c r="AA1243" t="n" s="2909">
        <v>21</v>
      </c>
      <c r="AB1243" t="inlineStr" s="2909">
        <is>
          <t>20250401</t>
        </is>
      </c>
      <c r="AD1243" t="n" s="2909">
        <v>0</v>
      </c>
      <c r="AE1243" t="inlineStr" s="2909">
        <is>
          <t>00000000</t>
        </is>
      </c>
      <c r="AH1243" t="n" s="2909">
        <v>5</v>
      </c>
      <c r="AJ1243" t="n" s="2909">
        <v>41</v>
      </c>
      <c r="AP1243" t="n" s="2909">
        <v>200000</v>
      </c>
      <c r="DB1243" s="2909" t="str">
        <f>IF($A1243="","",IF($AH1243=20,IF(AND(OR($A1243=21,$A1243=215),$AJ1243=10),"①病院一般",IF(AND($A1243=31,$AJ1243=41),"②病院短期","対象外")),IF($AJ1243=30,"③特定消防",IF(AND(OR($A1243=21,$A1243=215),$AJ1243=10),"④一般",IF(AND($A1243=31,$AJ1243=41),"⑤短期","対象外")))))</f>
        <v>⑤短期</v>
      </c>
      <c r="DC1243" s="2909">
        <f>IF($A1243="","",IF($AB1243&amp;""='DB_設定'!$C$4,1,0))</f>
        <v>1</v>
      </c>
    </row>
    <row r="1244">
      <c r="A1244" t="n" s="2909">
        <v>31</v>
      </c>
      <c r="AA1244" t="n" s="2909">
        <v>21</v>
      </c>
      <c r="AB1244" t="inlineStr" s="2909">
        <is>
          <t>20250401</t>
        </is>
      </c>
      <c r="AD1244" t="n" s="2909">
        <v>0</v>
      </c>
      <c r="AE1244" t="inlineStr" s="2909">
        <is>
          <t>00000000</t>
        </is>
      </c>
      <c r="AH1244" t="n" s="2909">
        <v>5</v>
      </c>
      <c r="AJ1244" t="n" s="2909">
        <v>41</v>
      </c>
      <c r="AP1244" t="n" s="2909">
        <v>200000</v>
      </c>
      <c r="DB1244" s="2909" t="str">
        <f>IF($A1244="","",IF($AH1244=20,IF(AND(OR($A1244=21,$A1244=215),$AJ1244=10),"①病院一般",IF(AND($A1244=31,$AJ1244=41),"②病院短期","対象外")),IF($AJ1244=30,"③特定消防",IF(AND(OR($A1244=21,$A1244=215),$AJ1244=10),"④一般",IF(AND($A1244=31,$AJ1244=41),"⑤短期","対象外")))))</f>
        <v>⑤短期</v>
      </c>
      <c r="DC1244" s="2909">
        <f>IF($A1244="","",IF($AB1244&amp;""='DB_設定'!$C$4,1,0))</f>
        <v>1</v>
      </c>
    </row>
    <row r="1245">
      <c r="A1245" t="n" s="2909">
        <v>31</v>
      </c>
      <c r="AA1245" t="n" s="2909">
        <v>21</v>
      </c>
      <c r="AB1245" t="inlineStr" s="2909">
        <is>
          <t>20250401</t>
        </is>
      </c>
      <c r="AD1245" t="n" s="2909">
        <v>0</v>
      </c>
      <c r="AE1245" t="inlineStr" s="2909">
        <is>
          <t>00000000</t>
        </is>
      </c>
      <c r="AH1245" t="n" s="2909">
        <v>11</v>
      </c>
      <c r="AJ1245" t="n" s="2909">
        <v>41</v>
      </c>
      <c r="AP1245" t="n" s="2909">
        <v>200000</v>
      </c>
      <c r="DB1245" s="2909" t="str">
        <f>IF($A1245="","",IF($AH1245=20,IF(AND(OR($A1245=21,$A1245=215),$AJ1245=10),"①病院一般",IF(AND($A1245=31,$AJ1245=41),"②病院短期","対象外")),IF($AJ1245=30,"③特定消防",IF(AND(OR($A1245=21,$A1245=215),$AJ1245=10),"④一般",IF(AND($A1245=31,$AJ1245=41),"⑤短期","対象外")))))</f>
        <v>⑤短期</v>
      </c>
      <c r="DC1245" s="2909">
        <f>IF($A1245="","",IF($AB1245&amp;""='DB_設定'!$C$4,1,0))</f>
        <v>1</v>
      </c>
    </row>
    <row r="1246">
      <c r="A1246" t="n" s="2909">
        <v>31</v>
      </c>
      <c r="AA1246" t="n" s="2909">
        <v>21</v>
      </c>
      <c r="AB1246" t="inlineStr" s="2909">
        <is>
          <t>20250401</t>
        </is>
      </c>
      <c r="AD1246" t="n" s="2909">
        <v>0</v>
      </c>
      <c r="AE1246" t="inlineStr" s="2909">
        <is>
          <t>00000000</t>
        </is>
      </c>
      <c r="AH1246" t="n" s="2909">
        <v>11</v>
      </c>
      <c r="AJ1246" t="n" s="2909">
        <v>41</v>
      </c>
      <c r="AP1246" t="n" s="2909">
        <v>260000</v>
      </c>
      <c r="DB1246" s="2909" t="str">
        <f>IF($A1246="","",IF($AH1246=20,IF(AND(OR($A1246=21,$A1246=215),$AJ1246=10),"①病院一般",IF(AND($A1246=31,$AJ1246=41),"②病院短期","対象外")),IF($AJ1246=30,"③特定消防",IF(AND(OR($A1246=21,$A1246=215),$AJ1246=10),"④一般",IF(AND($A1246=31,$AJ1246=41),"⑤短期","対象外")))))</f>
        <v>⑤短期</v>
      </c>
      <c r="DC1246" s="2909">
        <f>IF($A1246="","",IF($AB1246&amp;""='DB_設定'!$C$4,1,0))</f>
        <v>1</v>
      </c>
    </row>
    <row r="1247">
      <c r="A1247" t="n" s="2909">
        <v>31</v>
      </c>
      <c r="AA1247" t="n" s="2909">
        <v>21</v>
      </c>
      <c r="AB1247" t="inlineStr" s="2909">
        <is>
          <t>20250401</t>
        </is>
      </c>
      <c r="AD1247" t="n" s="2909">
        <v>0</v>
      </c>
      <c r="AE1247" t="inlineStr" s="2909">
        <is>
          <t>00000000</t>
        </is>
      </c>
      <c r="AH1247" t="n" s="2909">
        <v>11</v>
      </c>
      <c r="AJ1247" t="n" s="2909">
        <v>41</v>
      </c>
      <c r="AP1247" t="n" s="2909">
        <v>180000</v>
      </c>
      <c r="DB1247" s="2909" t="str">
        <f>IF($A1247="","",IF($AH1247=20,IF(AND(OR($A1247=21,$A1247=215),$AJ1247=10),"①病院一般",IF(AND($A1247=31,$AJ1247=41),"②病院短期","対象外")),IF($AJ1247=30,"③特定消防",IF(AND(OR($A1247=21,$A1247=215),$AJ1247=10),"④一般",IF(AND($A1247=31,$AJ1247=41),"⑤短期","対象外")))))</f>
        <v>⑤短期</v>
      </c>
      <c r="DC1247" s="2909">
        <f>IF($A1247="","",IF($AB1247&amp;""='DB_設定'!$C$4,1,0))</f>
        <v>1</v>
      </c>
    </row>
    <row r="1248">
      <c r="A1248" t="n" s="2909">
        <v>31</v>
      </c>
      <c r="AA1248" t="n" s="2909">
        <v>21</v>
      </c>
      <c r="AB1248" t="inlineStr" s="2909">
        <is>
          <t>20250401</t>
        </is>
      </c>
      <c r="AD1248" t="n" s="2909">
        <v>0</v>
      </c>
      <c r="AE1248" t="inlineStr" s="2909">
        <is>
          <t>00000000</t>
        </is>
      </c>
      <c r="AH1248" t="n" s="2909">
        <v>11</v>
      </c>
      <c r="AJ1248" t="n" s="2909">
        <v>41</v>
      </c>
      <c r="AP1248" t="n" s="2909">
        <v>180000</v>
      </c>
      <c r="DB1248" s="2909" t="str">
        <f>IF($A1248="","",IF($AH1248=20,IF(AND(OR($A1248=21,$A1248=215),$AJ1248=10),"①病院一般",IF(AND($A1248=31,$AJ1248=41),"②病院短期","対象外")),IF($AJ1248=30,"③特定消防",IF(AND(OR($A1248=21,$A1248=215),$AJ1248=10),"④一般",IF(AND($A1248=31,$AJ1248=41),"⑤短期","対象外")))))</f>
        <v>⑤短期</v>
      </c>
      <c r="DC1248" s="2909">
        <f>IF($A1248="","",IF($AB1248&amp;""='DB_設定'!$C$4,1,0))</f>
        <v>1</v>
      </c>
    </row>
    <row r="1249">
      <c r="A1249" t="n" s="2909">
        <v>31</v>
      </c>
      <c r="AA1249" t="n" s="2909">
        <v>21</v>
      </c>
      <c r="AB1249" t="inlineStr" s="2909">
        <is>
          <t>20250401</t>
        </is>
      </c>
      <c r="AD1249" t="n" s="2909">
        <v>0</v>
      </c>
      <c r="AE1249" t="inlineStr" s="2909">
        <is>
          <t>00000000</t>
        </is>
      </c>
      <c r="AH1249" t="n" s="2909">
        <v>11</v>
      </c>
      <c r="AJ1249" t="n" s="2909">
        <v>41</v>
      </c>
      <c r="AP1249" t="n" s="2909">
        <v>180000</v>
      </c>
      <c r="DB1249" s="2909" t="str">
        <f>IF($A1249="","",IF($AH1249=20,IF(AND(OR($A1249=21,$A1249=215),$AJ1249=10),"①病院一般",IF(AND($A1249=31,$AJ1249=41),"②病院短期","対象外")),IF($AJ1249=30,"③特定消防",IF(AND(OR($A1249=21,$A1249=215),$AJ1249=10),"④一般",IF(AND($A1249=31,$AJ1249=41),"⑤短期","対象外")))))</f>
        <v>⑤短期</v>
      </c>
      <c r="DC1249" s="2909">
        <f>IF($A1249="","",IF($AB1249&amp;""='DB_設定'!$C$4,1,0))</f>
        <v>1</v>
      </c>
    </row>
    <row r="1250">
      <c r="A1250" t="n" s="2909">
        <v>31</v>
      </c>
      <c r="AA1250" t="n" s="2909">
        <v>21</v>
      </c>
      <c r="AB1250" t="inlineStr" s="2909">
        <is>
          <t>20250401</t>
        </is>
      </c>
      <c r="AD1250" t="n" s="2909">
        <v>0</v>
      </c>
      <c r="AE1250" t="inlineStr" s="2909">
        <is>
          <t>00000000</t>
        </is>
      </c>
      <c r="AH1250" t="n" s="2909">
        <v>11</v>
      </c>
      <c r="AJ1250" t="n" s="2909">
        <v>41</v>
      </c>
      <c r="AP1250" t="n" s="2909">
        <v>180000</v>
      </c>
      <c r="DB1250" s="2909" t="str">
        <f>IF($A1250="","",IF($AH1250=20,IF(AND(OR($A1250=21,$A1250=215),$AJ1250=10),"①病院一般",IF(AND($A1250=31,$AJ1250=41),"②病院短期","対象外")),IF($AJ1250=30,"③特定消防",IF(AND(OR($A1250=21,$A1250=215),$AJ1250=10),"④一般",IF(AND($A1250=31,$AJ1250=41),"⑤短期","対象外")))))</f>
        <v>⑤短期</v>
      </c>
      <c r="DC1250" s="2909">
        <f>IF($A1250="","",IF($AB1250&amp;""='DB_設定'!$C$4,1,0))</f>
        <v>1</v>
      </c>
    </row>
    <row r="1251">
      <c r="A1251" t="n" s="2909">
        <v>31</v>
      </c>
      <c r="AA1251" t="n" s="2909">
        <v>21</v>
      </c>
      <c r="AB1251" t="inlineStr" s="2909">
        <is>
          <t>20250401</t>
        </is>
      </c>
      <c r="AD1251" t="n" s="2909">
        <v>0</v>
      </c>
      <c r="AE1251" t="inlineStr" s="2909">
        <is>
          <t>00000000</t>
        </is>
      </c>
      <c r="AH1251" t="n" s="2909">
        <v>11</v>
      </c>
      <c r="AJ1251" t="n" s="2909">
        <v>41</v>
      </c>
      <c r="AP1251" t="n" s="2909">
        <v>180000</v>
      </c>
      <c r="DB1251" s="2909" t="str">
        <f>IF($A1251="","",IF($AH1251=20,IF(AND(OR($A1251=21,$A1251=215),$AJ1251=10),"①病院一般",IF(AND($A1251=31,$AJ1251=41),"②病院短期","対象外")),IF($AJ1251=30,"③特定消防",IF(AND(OR($A1251=21,$A1251=215),$AJ1251=10),"④一般",IF(AND($A1251=31,$AJ1251=41),"⑤短期","対象外")))))</f>
        <v>⑤短期</v>
      </c>
      <c r="DC1251" s="2909">
        <f>IF($A1251="","",IF($AB1251&amp;""='DB_設定'!$C$4,1,0))</f>
        <v>1</v>
      </c>
    </row>
    <row r="1252">
      <c r="A1252" t="n" s="2909">
        <v>31</v>
      </c>
      <c r="AA1252" t="n" s="2909">
        <v>21</v>
      </c>
      <c r="AB1252" t="inlineStr" s="2909">
        <is>
          <t>20250401</t>
        </is>
      </c>
      <c r="AD1252" t="n" s="2909">
        <v>0</v>
      </c>
      <c r="AE1252" t="inlineStr" s="2909">
        <is>
          <t>00000000</t>
        </is>
      </c>
      <c r="AH1252" t="n" s="2909">
        <v>11</v>
      </c>
      <c r="AJ1252" t="n" s="2909">
        <v>41</v>
      </c>
      <c r="AP1252" t="n" s="2909">
        <v>180000</v>
      </c>
      <c r="DB1252" s="2909" t="str">
        <f>IF($A1252="","",IF($AH1252=20,IF(AND(OR($A1252=21,$A1252=215),$AJ1252=10),"①病院一般",IF(AND($A1252=31,$AJ1252=41),"②病院短期","対象外")),IF($AJ1252=30,"③特定消防",IF(AND(OR($A1252=21,$A1252=215),$AJ1252=10),"④一般",IF(AND($A1252=31,$AJ1252=41),"⑤短期","対象外")))))</f>
        <v>⑤短期</v>
      </c>
      <c r="DC1252" s="2909">
        <f>IF($A1252="","",IF($AB1252&amp;""='DB_設定'!$C$4,1,0))</f>
        <v>1</v>
      </c>
    </row>
    <row r="1253">
      <c r="A1253" t="n" s="2909">
        <v>31</v>
      </c>
      <c r="AA1253" t="n" s="2909">
        <v>21</v>
      </c>
      <c r="AB1253" t="inlineStr" s="2909">
        <is>
          <t>20250401</t>
        </is>
      </c>
      <c r="AD1253" t="n" s="2909">
        <v>0</v>
      </c>
      <c r="AE1253" t="inlineStr" s="2909">
        <is>
          <t>00000000</t>
        </is>
      </c>
      <c r="AH1253" t="n" s="2909">
        <v>11</v>
      </c>
      <c r="AJ1253" t="n" s="2909">
        <v>41</v>
      </c>
      <c r="AP1253" t="n" s="2909">
        <v>200000</v>
      </c>
      <c r="DB1253" s="2909" t="str">
        <f>IF($A1253="","",IF($AH1253=20,IF(AND(OR($A1253=21,$A1253=215),$AJ1253=10),"①病院一般",IF(AND($A1253=31,$AJ1253=41),"②病院短期","対象外")),IF($AJ1253=30,"③特定消防",IF(AND(OR($A1253=21,$A1253=215),$AJ1253=10),"④一般",IF(AND($A1253=31,$AJ1253=41),"⑤短期","対象外")))))</f>
        <v>⑤短期</v>
      </c>
      <c r="DC1253" s="2909">
        <f>IF($A1253="","",IF($AB1253&amp;""='DB_設定'!$C$4,1,0))</f>
        <v>1</v>
      </c>
    </row>
    <row r="1254">
      <c r="A1254" t="n" s="2909">
        <v>31</v>
      </c>
      <c r="AA1254" t="n" s="2909">
        <v>21</v>
      </c>
      <c r="AB1254" t="inlineStr" s="2909">
        <is>
          <t>20250401</t>
        </is>
      </c>
      <c r="AD1254" t="n" s="2909">
        <v>0</v>
      </c>
      <c r="AE1254" t="inlineStr" s="2909">
        <is>
          <t>00000000</t>
        </is>
      </c>
      <c r="AH1254" t="n" s="2909">
        <v>11</v>
      </c>
      <c r="AJ1254" t="n" s="2909">
        <v>41</v>
      </c>
      <c r="AP1254" t="n" s="2909">
        <v>134000</v>
      </c>
      <c r="DB1254" s="2909" t="str">
        <f>IF($A1254="","",IF($AH1254=20,IF(AND(OR($A1254=21,$A1254=215),$AJ1254=10),"①病院一般",IF(AND($A1254=31,$AJ1254=41),"②病院短期","対象外")),IF($AJ1254=30,"③特定消防",IF(AND(OR($A1254=21,$A1254=215),$AJ1254=10),"④一般",IF(AND($A1254=31,$AJ1254=41),"⑤短期","対象外")))))</f>
        <v>⑤短期</v>
      </c>
      <c r="DC1254" s="2909">
        <f>IF($A1254="","",IF($AB1254&amp;""='DB_設定'!$C$4,1,0))</f>
        <v>1</v>
      </c>
    </row>
    <row r="1255">
      <c r="A1255" t="n" s="2909">
        <v>31</v>
      </c>
      <c r="AA1255" t="n" s="2909">
        <v>21</v>
      </c>
      <c r="AB1255" t="inlineStr" s="2909">
        <is>
          <t>20250401</t>
        </is>
      </c>
      <c r="AD1255" t="n" s="2909">
        <v>0</v>
      </c>
      <c r="AE1255" t="inlineStr" s="2909">
        <is>
          <t>00000000</t>
        </is>
      </c>
      <c r="AH1255" t="n" s="2909">
        <v>1</v>
      </c>
      <c r="AJ1255" t="n" s="2909">
        <v>41</v>
      </c>
      <c r="AP1255" t="n" s="2909">
        <v>180000</v>
      </c>
      <c r="DB1255" s="2909" t="str">
        <f>IF($A1255="","",IF($AH1255=20,IF(AND(OR($A1255=21,$A1255=215),$AJ1255=10),"①病院一般",IF(AND($A1255=31,$AJ1255=41),"②病院短期","対象外")),IF($AJ1255=30,"③特定消防",IF(AND(OR($A1255=21,$A1255=215),$AJ1255=10),"④一般",IF(AND($A1255=31,$AJ1255=41),"⑤短期","対象外")))))</f>
        <v>⑤短期</v>
      </c>
      <c r="DC1255" s="2909">
        <f>IF($A1255="","",IF($AB1255&amp;""='DB_設定'!$C$4,1,0))</f>
        <v>1</v>
      </c>
    </row>
    <row r="1256">
      <c r="A1256" t="n" s="2909">
        <v>31</v>
      </c>
      <c r="AA1256" t="n" s="2909">
        <v>21</v>
      </c>
      <c r="AB1256" t="inlineStr" s="2909">
        <is>
          <t>20250401</t>
        </is>
      </c>
      <c r="AD1256" t="n" s="2909">
        <v>0</v>
      </c>
      <c r="AE1256" t="inlineStr" s="2909">
        <is>
          <t>00000000</t>
        </is>
      </c>
      <c r="AH1256" t="n" s="2909">
        <v>11</v>
      </c>
      <c r="AJ1256" t="n" s="2909">
        <v>41</v>
      </c>
      <c r="AP1256" t="n" s="2909">
        <v>190000</v>
      </c>
      <c r="DB1256" s="2909" t="str">
        <f>IF($A1256="","",IF($AH1256=20,IF(AND(OR($A1256=21,$A1256=215),$AJ1256=10),"①病院一般",IF(AND($A1256=31,$AJ1256=41),"②病院短期","対象外")),IF($AJ1256=30,"③特定消防",IF(AND(OR($A1256=21,$A1256=215),$AJ1256=10),"④一般",IF(AND($A1256=31,$AJ1256=41),"⑤短期","対象外")))))</f>
        <v>⑤短期</v>
      </c>
      <c r="DC1256" s="2909">
        <f>IF($A1256="","",IF($AB1256&amp;""='DB_設定'!$C$4,1,0))</f>
        <v>1</v>
      </c>
    </row>
    <row r="1257">
      <c r="A1257" t="n" s="2909">
        <v>31</v>
      </c>
      <c r="AA1257" t="n" s="2909">
        <v>21</v>
      </c>
      <c r="AB1257" t="inlineStr" s="2909">
        <is>
          <t>20250401</t>
        </is>
      </c>
      <c r="AD1257" t="n" s="2909">
        <v>0</v>
      </c>
      <c r="AE1257" t="inlineStr" s="2909">
        <is>
          <t>00000000</t>
        </is>
      </c>
      <c r="AH1257" t="n" s="2909">
        <v>11</v>
      </c>
      <c r="AJ1257" t="n" s="2909">
        <v>41</v>
      </c>
      <c r="AP1257" t="n" s="2909">
        <v>180000</v>
      </c>
      <c r="DB1257" s="2909" t="str">
        <f>IF($A1257="","",IF($AH1257=20,IF(AND(OR($A1257=21,$A1257=215),$AJ1257=10),"①病院一般",IF(AND($A1257=31,$AJ1257=41),"②病院短期","対象外")),IF($AJ1257=30,"③特定消防",IF(AND(OR($A1257=21,$A1257=215),$AJ1257=10),"④一般",IF(AND($A1257=31,$AJ1257=41),"⑤短期","対象外")))))</f>
        <v>⑤短期</v>
      </c>
      <c r="DC1257" s="2909">
        <f>IF($A1257="","",IF($AB1257&amp;""='DB_設定'!$C$4,1,0))</f>
        <v>1</v>
      </c>
    </row>
    <row r="1258">
      <c r="A1258" t="n" s="2909">
        <v>31</v>
      </c>
      <c r="AA1258" t="n" s="2909">
        <v>21</v>
      </c>
      <c r="AB1258" t="inlineStr" s="2909">
        <is>
          <t>20250401</t>
        </is>
      </c>
      <c r="AD1258" t="n" s="2909">
        <v>0</v>
      </c>
      <c r="AE1258" t="inlineStr" s="2909">
        <is>
          <t>00000000</t>
        </is>
      </c>
      <c r="AH1258" t="n" s="2909">
        <v>1</v>
      </c>
      <c r="AJ1258" t="n" s="2909">
        <v>41</v>
      </c>
      <c r="AP1258" t="n" s="2909">
        <v>190000</v>
      </c>
      <c r="DB1258" s="2909" t="str">
        <f>IF($A1258="","",IF($AH1258=20,IF(AND(OR($A1258=21,$A1258=215),$AJ1258=10),"①病院一般",IF(AND($A1258=31,$AJ1258=41),"②病院短期","対象外")),IF($AJ1258=30,"③特定消防",IF(AND(OR($A1258=21,$A1258=215),$AJ1258=10),"④一般",IF(AND($A1258=31,$AJ1258=41),"⑤短期","対象外")))))</f>
        <v>⑤短期</v>
      </c>
      <c r="DC1258" s="2909">
        <f>IF($A1258="","",IF($AB1258&amp;""='DB_設定'!$C$4,1,0))</f>
        <v>1</v>
      </c>
    </row>
    <row r="1259">
      <c r="A1259" t="n" s="2909">
        <v>31</v>
      </c>
      <c r="AA1259" t="n" s="2909">
        <v>21</v>
      </c>
      <c r="AB1259" t="inlineStr" s="2909">
        <is>
          <t>20250401</t>
        </is>
      </c>
      <c r="AD1259" t="n" s="2909">
        <v>12</v>
      </c>
      <c r="AE1259" t="inlineStr" s="2909">
        <is>
          <t>20250701</t>
        </is>
      </c>
      <c r="AH1259" t="n" s="2909">
        <v>1</v>
      </c>
      <c r="AJ1259" t="n" s="2909">
        <v>41</v>
      </c>
      <c r="AP1259" t="n" s="2909">
        <v>134000</v>
      </c>
      <c r="DB1259" s="2909" t="str">
        <f>IF($A1259="","",IF($AH1259=20,IF(AND(OR($A1259=21,$A1259=215),$AJ1259=10),"①病院一般",IF(AND($A1259=31,$AJ1259=41),"②病院短期","対象外")),IF($AJ1259=30,"③特定消防",IF(AND(OR($A1259=21,$A1259=215),$AJ1259=10),"④一般",IF(AND($A1259=31,$AJ1259=41),"⑤短期","対象外")))))</f>
        <v>⑤短期</v>
      </c>
      <c r="DC1259" s="2909">
        <f>IF($A1259="","",IF($AB1259&amp;""='DB_設定'!$C$4,1,0))</f>
        <v>1</v>
      </c>
    </row>
    <row r="1260">
      <c r="A1260" t="n" s="2909">
        <v>31</v>
      </c>
      <c r="AA1260" t="n" s="2909">
        <v>21</v>
      </c>
      <c r="AB1260" t="inlineStr" s="2909">
        <is>
          <t>20250401</t>
        </is>
      </c>
      <c r="AD1260" t="n" s="2909">
        <v>0</v>
      </c>
      <c r="AE1260" t="inlineStr" s="2909">
        <is>
          <t>00000000</t>
        </is>
      </c>
      <c r="AH1260" t="n" s="2909">
        <v>1</v>
      </c>
      <c r="AJ1260" t="n" s="2909">
        <v>41</v>
      </c>
      <c r="AP1260" t="n" s="2909">
        <v>134000</v>
      </c>
      <c r="DB1260" s="2909" t="str">
        <f>IF($A1260="","",IF($AH1260=20,IF(AND(OR($A1260=21,$A1260=215),$AJ1260=10),"①病院一般",IF(AND($A1260=31,$AJ1260=41),"②病院短期","対象外")),IF($AJ1260=30,"③特定消防",IF(AND(OR($A1260=21,$A1260=215),$AJ1260=10),"④一般",IF(AND($A1260=31,$AJ1260=41),"⑤短期","対象外")))))</f>
        <v>⑤短期</v>
      </c>
      <c r="DC1260" s="2909">
        <f>IF($A1260="","",IF($AB1260&amp;""='DB_設定'!$C$4,1,0))</f>
        <v>1</v>
      </c>
    </row>
    <row r="1261">
      <c r="A1261" t="n" s="2909">
        <v>31</v>
      </c>
      <c r="AA1261" t="n" s="2909">
        <v>21</v>
      </c>
      <c r="AB1261" t="inlineStr" s="2909">
        <is>
          <t>20250401</t>
        </is>
      </c>
      <c r="AD1261" t="n" s="2909">
        <v>0</v>
      </c>
      <c r="AE1261" t="inlineStr" s="2909">
        <is>
          <t>00000000</t>
        </is>
      </c>
      <c r="AH1261" t="n" s="2909">
        <v>1</v>
      </c>
      <c r="AJ1261" t="n" s="2909">
        <v>41</v>
      </c>
      <c r="AP1261" t="n" s="2909">
        <v>200000</v>
      </c>
      <c r="DB1261" s="2909" t="str">
        <f>IF($A1261="","",IF($AH1261=20,IF(AND(OR($A1261=21,$A1261=215),$AJ1261=10),"①病院一般",IF(AND($A1261=31,$AJ1261=41),"②病院短期","対象外")),IF($AJ1261=30,"③特定消防",IF(AND(OR($A1261=21,$A1261=215),$AJ1261=10),"④一般",IF(AND($A1261=31,$AJ1261=41),"⑤短期","対象外")))))</f>
        <v>⑤短期</v>
      </c>
      <c r="DC1261" s="2909">
        <f>IF($A1261="","",IF($AB1261&amp;""='DB_設定'!$C$4,1,0))</f>
        <v>1</v>
      </c>
    </row>
    <row r="1262">
      <c r="A1262" t="n" s="2909">
        <v>31</v>
      </c>
      <c r="AA1262" t="n" s="2909">
        <v>21</v>
      </c>
      <c r="AB1262" t="inlineStr" s="2909">
        <is>
          <t>20250401</t>
        </is>
      </c>
      <c r="AD1262" t="n" s="2909">
        <v>0</v>
      </c>
      <c r="AE1262" t="inlineStr" s="2909">
        <is>
          <t>00000000</t>
        </is>
      </c>
      <c r="AH1262" t="n" s="2909">
        <v>1</v>
      </c>
      <c r="AJ1262" t="n" s="2909">
        <v>41</v>
      </c>
      <c r="AP1262" t="n" s="2909">
        <v>200000</v>
      </c>
      <c r="DB1262" s="2909" t="str">
        <f>IF($A1262="","",IF($AH1262=20,IF(AND(OR($A1262=21,$A1262=215),$AJ1262=10),"①病院一般",IF(AND($A1262=31,$AJ1262=41),"②病院短期","対象外")),IF($AJ1262=30,"③特定消防",IF(AND(OR($A1262=21,$A1262=215),$AJ1262=10),"④一般",IF(AND($A1262=31,$AJ1262=41),"⑤短期","対象外")))))</f>
        <v>⑤短期</v>
      </c>
      <c r="DC1262" s="2909">
        <f>IF($A1262="","",IF($AB1262&amp;""='DB_設定'!$C$4,1,0))</f>
        <v>1</v>
      </c>
    </row>
    <row r="1263">
      <c r="A1263" t="n" s="2909">
        <v>31</v>
      </c>
      <c r="AA1263" t="n" s="2909">
        <v>21</v>
      </c>
      <c r="AB1263" t="inlineStr" s="2909">
        <is>
          <t>20250401</t>
        </is>
      </c>
      <c r="AD1263" t="n" s="2909">
        <v>0</v>
      </c>
      <c r="AE1263" t="inlineStr" s="2909">
        <is>
          <t>00000000</t>
        </is>
      </c>
      <c r="AH1263" t="n" s="2909">
        <v>1</v>
      </c>
      <c r="AJ1263" t="n" s="2909">
        <v>41</v>
      </c>
      <c r="AP1263" t="n" s="2909">
        <v>142000</v>
      </c>
      <c r="DB1263" s="2909" t="str">
        <f>IF($A1263="","",IF($AH1263=20,IF(AND(OR($A1263=21,$A1263=215),$AJ1263=10),"①病院一般",IF(AND($A1263=31,$AJ1263=41),"②病院短期","対象外")),IF($AJ1263=30,"③特定消防",IF(AND(OR($A1263=21,$A1263=215),$AJ1263=10),"④一般",IF(AND($A1263=31,$AJ1263=41),"⑤短期","対象外")))))</f>
        <v>⑤短期</v>
      </c>
      <c r="DC1263" s="2909">
        <f>IF($A1263="","",IF($AB1263&amp;""='DB_設定'!$C$4,1,0))</f>
        <v>1</v>
      </c>
    </row>
    <row r="1264">
      <c r="A1264" t="n" s="2909">
        <v>31</v>
      </c>
      <c r="AA1264" t="n" s="2909">
        <v>21</v>
      </c>
      <c r="AB1264" t="inlineStr" s="2909">
        <is>
          <t>20250401</t>
        </is>
      </c>
      <c r="AD1264" t="n" s="2909">
        <v>0</v>
      </c>
      <c r="AE1264" t="inlineStr" s="2909">
        <is>
          <t>00000000</t>
        </is>
      </c>
      <c r="AH1264" t="n" s="2909">
        <v>1</v>
      </c>
      <c r="AJ1264" t="n" s="2909">
        <v>41</v>
      </c>
      <c r="AP1264" t="n" s="2909">
        <v>142000</v>
      </c>
      <c r="DB1264" s="2909" t="str">
        <f>IF($A1264="","",IF($AH1264=20,IF(AND(OR($A1264=21,$A1264=215),$AJ1264=10),"①病院一般",IF(AND($A1264=31,$AJ1264=41),"②病院短期","対象外")),IF($AJ1264=30,"③特定消防",IF(AND(OR($A1264=21,$A1264=215),$AJ1264=10),"④一般",IF(AND($A1264=31,$AJ1264=41),"⑤短期","対象外")))))</f>
        <v>⑤短期</v>
      </c>
      <c r="DC1264" s="2909">
        <f>IF($A1264="","",IF($AB1264&amp;""='DB_設定'!$C$4,1,0))</f>
        <v>1</v>
      </c>
    </row>
    <row r="1265">
      <c r="A1265" t="n" s="2909">
        <v>31</v>
      </c>
      <c r="AA1265" t="n" s="2909">
        <v>21</v>
      </c>
      <c r="AB1265" t="inlineStr" s="2909">
        <is>
          <t>20250401</t>
        </is>
      </c>
      <c r="AD1265" t="n" s="2909">
        <v>0</v>
      </c>
      <c r="AE1265" t="inlineStr" s="2909">
        <is>
          <t>00000000</t>
        </is>
      </c>
      <c r="AH1265" t="n" s="2909">
        <v>1</v>
      </c>
      <c r="AJ1265" t="n" s="2909">
        <v>41</v>
      </c>
      <c r="AP1265" t="n" s="2909">
        <v>200000</v>
      </c>
      <c r="DB1265" s="2909" t="str">
        <f>IF($A1265="","",IF($AH1265=20,IF(AND(OR($A1265=21,$A1265=215),$AJ1265=10),"①病院一般",IF(AND($A1265=31,$AJ1265=41),"②病院短期","対象外")),IF($AJ1265=30,"③特定消防",IF(AND(OR($A1265=21,$A1265=215),$AJ1265=10),"④一般",IF(AND($A1265=31,$AJ1265=41),"⑤短期","対象外")))))</f>
        <v>⑤短期</v>
      </c>
      <c r="DC1265" s="2909">
        <f>IF($A1265="","",IF($AB1265&amp;""='DB_設定'!$C$4,1,0))</f>
        <v>1</v>
      </c>
    </row>
    <row r="1266">
      <c r="A1266" t="n" s="2909">
        <v>31</v>
      </c>
      <c r="AA1266" t="n" s="2909">
        <v>21</v>
      </c>
      <c r="AB1266" t="inlineStr" s="2909">
        <is>
          <t>20250401</t>
        </is>
      </c>
      <c r="AD1266" t="n" s="2909">
        <v>0</v>
      </c>
      <c r="AE1266" t="inlineStr" s="2909">
        <is>
          <t>00000000</t>
        </is>
      </c>
      <c r="AH1266" t="n" s="2909">
        <v>1</v>
      </c>
      <c r="AJ1266" t="n" s="2909">
        <v>41</v>
      </c>
      <c r="AP1266" t="n" s="2909">
        <v>134000</v>
      </c>
      <c r="DB1266" s="2909" t="str">
        <f>IF($A1266="","",IF($AH1266=20,IF(AND(OR($A1266=21,$A1266=215),$AJ1266=10),"①病院一般",IF(AND($A1266=31,$AJ1266=41),"②病院短期","対象外")),IF($AJ1266=30,"③特定消防",IF(AND(OR($A1266=21,$A1266=215),$AJ1266=10),"④一般",IF(AND($A1266=31,$AJ1266=41),"⑤短期","対象外")))))</f>
        <v>⑤短期</v>
      </c>
      <c r="DC1266" s="2909">
        <f>IF($A1266="","",IF($AB1266&amp;""='DB_設定'!$C$4,1,0))</f>
        <v>1</v>
      </c>
    </row>
    <row r="1267">
      <c r="A1267" t="n" s="2909">
        <v>31</v>
      </c>
      <c r="AA1267" t="n" s="2909">
        <v>21</v>
      </c>
      <c r="AB1267" t="inlineStr" s="2909">
        <is>
          <t>20250401</t>
        </is>
      </c>
      <c r="AD1267" t="n" s="2909">
        <v>0</v>
      </c>
      <c r="AE1267" t="inlineStr" s="2909">
        <is>
          <t>00000000</t>
        </is>
      </c>
      <c r="AH1267" t="n" s="2909">
        <v>1</v>
      </c>
      <c r="AJ1267" t="n" s="2909">
        <v>41</v>
      </c>
      <c r="AP1267" t="n" s="2909">
        <v>134000</v>
      </c>
      <c r="DB1267" s="2909" t="str">
        <f>IF($A1267="","",IF($AH1267=20,IF(AND(OR($A1267=21,$A1267=215),$AJ1267=10),"①病院一般",IF(AND($A1267=31,$AJ1267=41),"②病院短期","対象外")),IF($AJ1267=30,"③特定消防",IF(AND(OR($A1267=21,$A1267=215),$AJ1267=10),"④一般",IF(AND($A1267=31,$AJ1267=41),"⑤短期","対象外")))))</f>
        <v>⑤短期</v>
      </c>
      <c r="DC1267" s="2909">
        <f>IF($A1267="","",IF($AB1267&amp;""='DB_設定'!$C$4,1,0))</f>
        <v>1</v>
      </c>
    </row>
    <row r="1268">
      <c r="A1268" t="n" s="2909">
        <v>31</v>
      </c>
      <c r="AA1268" t="n" s="2909">
        <v>21</v>
      </c>
      <c r="AB1268" t="inlineStr" s="2909">
        <is>
          <t>20250401</t>
        </is>
      </c>
      <c r="AD1268" t="n" s="2909">
        <v>0</v>
      </c>
      <c r="AE1268" t="inlineStr" s="2909">
        <is>
          <t>00000000</t>
        </is>
      </c>
      <c r="AH1268" t="n" s="2909">
        <v>1</v>
      </c>
      <c r="AJ1268" t="n" s="2909">
        <v>41</v>
      </c>
      <c r="AP1268" t="n" s="2909">
        <v>200000</v>
      </c>
      <c r="DB1268" s="2909" t="str">
        <f>IF($A1268="","",IF($AH1268=20,IF(AND(OR($A1268=21,$A1268=215),$AJ1268=10),"①病院一般",IF(AND($A1268=31,$AJ1268=41),"②病院短期","対象外")),IF($AJ1268=30,"③特定消防",IF(AND(OR($A1268=21,$A1268=215),$AJ1268=10),"④一般",IF(AND($A1268=31,$AJ1268=41),"⑤短期","対象外")))))</f>
        <v>⑤短期</v>
      </c>
      <c r="DC1268" s="2909">
        <f>IF($A1268="","",IF($AB1268&amp;""='DB_設定'!$C$4,1,0))</f>
        <v>1</v>
      </c>
    </row>
    <row r="1269">
      <c r="A1269" t="n" s="2909">
        <v>31</v>
      </c>
      <c r="AA1269" t="n" s="2909">
        <v>21</v>
      </c>
      <c r="AB1269" t="inlineStr" s="2909">
        <is>
          <t>20250401</t>
        </is>
      </c>
      <c r="AD1269" t="n" s="2909">
        <v>0</v>
      </c>
      <c r="AE1269" t="inlineStr" s="2909">
        <is>
          <t>00000000</t>
        </is>
      </c>
      <c r="AH1269" t="n" s="2909">
        <v>1</v>
      </c>
      <c r="AJ1269" t="n" s="2909">
        <v>41</v>
      </c>
      <c r="AP1269" t="n" s="2909">
        <v>160000</v>
      </c>
      <c r="DB1269" s="2909" t="str">
        <f>IF($A1269="","",IF($AH1269=20,IF(AND(OR($A1269=21,$A1269=215),$AJ1269=10),"①病院一般",IF(AND($A1269=31,$AJ1269=41),"②病院短期","対象外")),IF($AJ1269=30,"③特定消防",IF(AND(OR($A1269=21,$A1269=215),$AJ1269=10),"④一般",IF(AND($A1269=31,$AJ1269=41),"⑤短期","対象外")))))</f>
        <v>⑤短期</v>
      </c>
      <c r="DC1269" s="2909">
        <f>IF($A1269="","",IF($AB1269&amp;""='DB_設定'!$C$4,1,0))</f>
        <v>1</v>
      </c>
    </row>
    <row r="1270">
      <c r="A1270" t="n" s="2909">
        <v>31</v>
      </c>
      <c r="AA1270" t="n" s="2909">
        <v>21</v>
      </c>
      <c r="AB1270" t="inlineStr" s="2909">
        <is>
          <t>20250401</t>
        </is>
      </c>
      <c r="AD1270" t="n" s="2909">
        <v>0</v>
      </c>
      <c r="AE1270" t="inlineStr" s="2909">
        <is>
          <t>00000000</t>
        </is>
      </c>
      <c r="AH1270" t="n" s="2909">
        <v>1</v>
      </c>
      <c r="AJ1270" t="n" s="2909">
        <v>41</v>
      </c>
      <c r="AP1270" t="n" s="2909">
        <v>142000</v>
      </c>
      <c r="DB1270" s="2909" t="str">
        <f>IF($A1270="","",IF($AH1270=20,IF(AND(OR($A1270=21,$A1270=215),$AJ1270=10),"①病院一般",IF(AND($A1270=31,$AJ1270=41),"②病院短期","対象外")),IF($AJ1270=30,"③特定消防",IF(AND(OR($A1270=21,$A1270=215),$AJ1270=10),"④一般",IF(AND($A1270=31,$AJ1270=41),"⑤短期","対象外")))))</f>
        <v>⑤短期</v>
      </c>
      <c r="DC1270" s="2909">
        <f>IF($A1270="","",IF($AB1270&amp;""='DB_設定'!$C$4,1,0))</f>
        <v>1</v>
      </c>
    </row>
    <row r="1271">
      <c r="A1271" t="n" s="2909">
        <v>31</v>
      </c>
      <c r="AA1271" t="n" s="2909">
        <v>21</v>
      </c>
      <c r="AB1271" t="inlineStr" s="2909">
        <is>
          <t>20250401</t>
        </is>
      </c>
      <c r="AD1271" t="n" s="2909">
        <v>12</v>
      </c>
      <c r="AE1271" t="inlineStr" s="2909">
        <is>
          <t>20250801</t>
        </is>
      </c>
      <c r="AH1271" t="n" s="2909">
        <v>1</v>
      </c>
      <c r="AJ1271" t="n" s="2909">
        <v>41</v>
      </c>
      <c r="AP1271" t="n" s="2909">
        <v>142000</v>
      </c>
      <c r="DB1271" s="2909" t="str">
        <f>IF($A1271="","",IF($AH1271=20,IF(AND(OR($A1271=21,$A1271=215),$AJ1271=10),"①病院一般",IF(AND($A1271=31,$AJ1271=41),"②病院短期","対象外")),IF($AJ1271=30,"③特定消防",IF(AND(OR($A1271=21,$A1271=215),$AJ1271=10),"④一般",IF(AND($A1271=31,$AJ1271=41),"⑤短期","対象外")))))</f>
        <v>⑤短期</v>
      </c>
      <c r="DC1271" s="2909">
        <f>IF($A1271="","",IF($AB1271&amp;""='DB_設定'!$C$4,1,0))</f>
        <v>1</v>
      </c>
    </row>
    <row r="1272">
      <c r="A1272" t="n" s="2909">
        <v>31</v>
      </c>
      <c r="AA1272" t="n" s="2909">
        <v>21</v>
      </c>
      <c r="AB1272" t="inlineStr" s="2909">
        <is>
          <t>20250401</t>
        </is>
      </c>
      <c r="AD1272" t="n" s="2909">
        <v>0</v>
      </c>
      <c r="AE1272" t="inlineStr" s="2909">
        <is>
          <t>00000000</t>
        </is>
      </c>
      <c r="AH1272" t="n" s="2909">
        <v>1</v>
      </c>
      <c r="AJ1272" t="n" s="2909">
        <v>41</v>
      </c>
      <c r="AP1272" t="n" s="2909">
        <v>200000</v>
      </c>
      <c r="DB1272" s="2909" t="str">
        <f>IF($A1272="","",IF($AH1272=20,IF(AND(OR($A1272=21,$A1272=215),$AJ1272=10),"①病院一般",IF(AND($A1272=31,$AJ1272=41),"②病院短期","対象外")),IF($AJ1272=30,"③特定消防",IF(AND(OR($A1272=21,$A1272=215),$AJ1272=10),"④一般",IF(AND($A1272=31,$AJ1272=41),"⑤短期","対象外")))))</f>
        <v>⑤短期</v>
      </c>
      <c r="DC1272" s="2909">
        <f>IF($A1272="","",IF($AB1272&amp;""='DB_設定'!$C$4,1,0))</f>
        <v>1</v>
      </c>
    </row>
    <row r="1273">
      <c r="A1273" t="n" s="2909">
        <v>31</v>
      </c>
      <c r="AA1273" t="n" s="2909">
        <v>21</v>
      </c>
      <c r="AB1273" t="inlineStr" s="2909">
        <is>
          <t>20250401</t>
        </is>
      </c>
      <c r="AD1273" t="n" s="2909">
        <v>0</v>
      </c>
      <c r="AE1273" t="inlineStr" s="2909">
        <is>
          <t>00000000</t>
        </is>
      </c>
      <c r="AH1273" t="n" s="2909">
        <v>1</v>
      </c>
      <c r="AJ1273" t="n" s="2909">
        <v>41</v>
      </c>
      <c r="AP1273" t="n" s="2909">
        <v>126000</v>
      </c>
      <c r="DB1273" s="2909" t="str">
        <f>IF($A1273="","",IF($AH1273=20,IF(AND(OR($A1273=21,$A1273=215),$AJ1273=10),"①病院一般",IF(AND($A1273=31,$AJ1273=41),"②病院短期","対象外")),IF($AJ1273=30,"③特定消防",IF(AND(OR($A1273=21,$A1273=215),$AJ1273=10),"④一般",IF(AND($A1273=31,$AJ1273=41),"⑤短期","対象外")))))</f>
        <v>⑤短期</v>
      </c>
      <c r="DC1273" s="2909">
        <f>IF($A1273="","",IF($AB1273&amp;""='DB_設定'!$C$4,1,0))</f>
        <v>1</v>
      </c>
    </row>
    <row r="1274">
      <c r="A1274" t="n" s="2909">
        <v>31</v>
      </c>
      <c r="AA1274" t="n" s="2909">
        <v>21</v>
      </c>
      <c r="AB1274" t="inlineStr" s="2909">
        <is>
          <t>20250401</t>
        </is>
      </c>
      <c r="AD1274" t="n" s="2909">
        <v>0</v>
      </c>
      <c r="AE1274" t="inlineStr" s="2909">
        <is>
          <t>00000000</t>
        </is>
      </c>
      <c r="AH1274" t="n" s="2909">
        <v>1</v>
      </c>
      <c r="AJ1274" t="n" s="2909">
        <v>41</v>
      </c>
      <c r="AP1274" t="n" s="2909">
        <v>142000</v>
      </c>
      <c r="DB1274" s="2909" t="str">
        <f>IF($A1274="","",IF($AH1274=20,IF(AND(OR($A1274=21,$A1274=215),$AJ1274=10),"①病院一般",IF(AND($A1274=31,$AJ1274=41),"②病院短期","対象外")),IF($AJ1274=30,"③特定消防",IF(AND(OR($A1274=21,$A1274=215),$AJ1274=10),"④一般",IF(AND($A1274=31,$AJ1274=41),"⑤短期","対象外")))))</f>
        <v>⑤短期</v>
      </c>
      <c r="DC1274" s="2909">
        <f>IF($A1274="","",IF($AB1274&amp;""='DB_設定'!$C$4,1,0))</f>
        <v>1</v>
      </c>
    </row>
    <row r="1275">
      <c r="A1275" t="n" s="2909">
        <v>31</v>
      </c>
      <c r="AA1275" t="n" s="2909">
        <v>21</v>
      </c>
      <c r="AB1275" t="inlineStr" s="2909">
        <is>
          <t>20250401</t>
        </is>
      </c>
      <c r="AD1275" t="n" s="2909">
        <v>0</v>
      </c>
      <c r="AE1275" t="inlineStr" s="2909">
        <is>
          <t>00000000</t>
        </is>
      </c>
      <c r="AH1275" t="n" s="2909">
        <v>11</v>
      </c>
      <c r="AJ1275" t="n" s="2909">
        <v>41</v>
      </c>
      <c r="AP1275" t="n" s="2909">
        <v>200000</v>
      </c>
      <c r="DB1275" s="2909" t="str">
        <f>IF($A1275="","",IF($AH1275=20,IF(AND(OR($A1275=21,$A1275=215),$AJ1275=10),"①病院一般",IF(AND($A1275=31,$AJ1275=41),"②病院短期","対象外")),IF($AJ1275=30,"③特定消防",IF(AND(OR($A1275=21,$A1275=215),$AJ1275=10),"④一般",IF(AND($A1275=31,$AJ1275=41),"⑤短期","対象外")))))</f>
        <v>⑤短期</v>
      </c>
      <c r="DC1275" s="2909">
        <f>IF($A1275="","",IF($AB1275&amp;""='DB_設定'!$C$4,1,0))</f>
        <v>1</v>
      </c>
    </row>
    <row r="1276">
      <c r="A1276" t="n" s="2909">
        <v>31</v>
      </c>
      <c r="AA1276" t="n" s="2909">
        <v>21</v>
      </c>
      <c r="AB1276" t="inlineStr" s="2909">
        <is>
          <t>20250401</t>
        </is>
      </c>
      <c r="AD1276" t="n" s="2909">
        <v>0</v>
      </c>
      <c r="AE1276" t="inlineStr" s="2909">
        <is>
          <t>00000000</t>
        </is>
      </c>
      <c r="AH1276" t="n" s="2909">
        <v>1</v>
      </c>
      <c r="AJ1276" t="n" s="2909">
        <v>41</v>
      </c>
      <c r="AP1276" t="n" s="2909">
        <v>200000</v>
      </c>
      <c r="DB1276" s="2909" t="str">
        <f>IF($A1276="","",IF($AH1276=20,IF(AND(OR($A1276=21,$A1276=215),$AJ1276=10),"①病院一般",IF(AND($A1276=31,$AJ1276=41),"②病院短期","対象外")),IF($AJ1276=30,"③特定消防",IF(AND(OR($A1276=21,$A1276=215),$AJ1276=10),"④一般",IF(AND($A1276=31,$AJ1276=41),"⑤短期","対象外")))))</f>
        <v>⑤短期</v>
      </c>
      <c r="DC1276" s="2909">
        <f>IF($A1276="","",IF($AB1276&amp;""='DB_設定'!$C$4,1,0))</f>
        <v>1</v>
      </c>
    </row>
    <row r="1277">
      <c r="A1277" t="n" s="2909">
        <v>31</v>
      </c>
      <c r="AA1277" t="n" s="2909">
        <v>21</v>
      </c>
      <c r="AB1277" t="inlineStr" s="2909">
        <is>
          <t>20250401</t>
        </is>
      </c>
      <c r="AD1277" t="n" s="2909">
        <v>0</v>
      </c>
      <c r="AE1277" t="inlineStr" s="2909">
        <is>
          <t>00000000</t>
        </is>
      </c>
      <c r="AH1277" t="n" s="2909">
        <v>1</v>
      </c>
      <c r="AJ1277" t="n" s="2909">
        <v>41</v>
      </c>
      <c r="AP1277" t="n" s="2909">
        <v>142000</v>
      </c>
      <c r="DB1277" s="2909" t="str">
        <f>IF($A1277="","",IF($AH1277=20,IF(AND(OR($A1277=21,$A1277=215),$AJ1277=10),"①病院一般",IF(AND($A1277=31,$AJ1277=41),"②病院短期","対象外")),IF($AJ1277=30,"③特定消防",IF(AND(OR($A1277=21,$A1277=215),$AJ1277=10),"④一般",IF(AND($A1277=31,$AJ1277=41),"⑤短期","対象外")))))</f>
        <v>⑤短期</v>
      </c>
      <c r="DC1277" s="2909">
        <f>IF($A1277="","",IF($AB1277&amp;""='DB_設定'!$C$4,1,0))</f>
        <v>1</v>
      </c>
    </row>
    <row r="1278">
      <c r="A1278" t="n" s="2909">
        <v>31</v>
      </c>
      <c r="AA1278" t="n" s="2909">
        <v>21</v>
      </c>
      <c r="AB1278" t="inlineStr" s="2909">
        <is>
          <t>20250401</t>
        </is>
      </c>
      <c r="AD1278" t="n" s="2909">
        <v>0</v>
      </c>
      <c r="AE1278" t="inlineStr" s="2909">
        <is>
          <t>00000000</t>
        </is>
      </c>
      <c r="AH1278" t="n" s="2909">
        <v>1</v>
      </c>
      <c r="AJ1278" t="n" s="2909">
        <v>41</v>
      </c>
      <c r="AP1278" t="n" s="2909">
        <v>190000</v>
      </c>
      <c r="DB1278" s="2909" t="str">
        <f>IF($A1278="","",IF($AH1278=20,IF(AND(OR($A1278=21,$A1278=215),$AJ1278=10),"①病院一般",IF(AND($A1278=31,$AJ1278=41),"②病院短期","対象外")),IF($AJ1278=30,"③特定消防",IF(AND(OR($A1278=21,$A1278=215),$AJ1278=10),"④一般",IF(AND($A1278=31,$AJ1278=41),"⑤短期","対象外")))))</f>
        <v>⑤短期</v>
      </c>
      <c r="DC1278" s="2909">
        <f>IF($A1278="","",IF($AB1278&amp;""='DB_設定'!$C$4,1,0))</f>
        <v>1</v>
      </c>
    </row>
    <row r="1279">
      <c r="A1279" t="n" s="2909">
        <v>31</v>
      </c>
      <c r="AA1279" t="n" s="2909">
        <v>21</v>
      </c>
      <c r="AB1279" t="inlineStr" s="2909">
        <is>
          <t>20250401</t>
        </is>
      </c>
      <c r="AD1279" t="n" s="2909">
        <v>0</v>
      </c>
      <c r="AE1279" t="inlineStr" s="2909">
        <is>
          <t>00000000</t>
        </is>
      </c>
      <c r="AH1279" t="n" s="2909">
        <v>1</v>
      </c>
      <c r="AJ1279" t="n" s="2909">
        <v>41</v>
      </c>
      <c r="AP1279" t="n" s="2909">
        <v>134000</v>
      </c>
      <c r="DB1279" s="2909" t="str">
        <f>IF($A1279="","",IF($AH1279=20,IF(AND(OR($A1279=21,$A1279=215),$AJ1279=10),"①病院一般",IF(AND($A1279=31,$AJ1279=41),"②病院短期","対象外")),IF($AJ1279=30,"③特定消防",IF(AND(OR($A1279=21,$A1279=215),$AJ1279=10),"④一般",IF(AND($A1279=31,$AJ1279=41),"⑤短期","対象外")))))</f>
        <v>⑤短期</v>
      </c>
      <c r="DC1279" s="2909">
        <f>IF($A1279="","",IF($AB1279&amp;""='DB_設定'!$C$4,1,0))</f>
        <v>1</v>
      </c>
    </row>
    <row r="1280">
      <c r="A1280" t="n" s="2909">
        <v>31</v>
      </c>
      <c r="AA1280" t="n" s="2909">
        <v>21</v>
      </c>
      <c r="AB1280" t="inlineStr" s="2909">
        <is>
          <t>20250401</t>
        </is>
      </c>
      <c r="AD1280" t="n" s="2909">
        <v>0</v>
      </c>
      <c r="AE1280" t="inlineStr" s="2909">
        <is>
          <t>00000000</t>
        </is>
      </c>
      <c r="AH1280" t="n" s="2909">
        <v>1</v>
      </c>
      <c r="AJ1280" t="n" s="2909">
        <v>41</v>
      </c>
      <c r="AP1280" t="n" s="2909">
        <v>170000</v>
      </c>
      <c r="DB1280" s="2909" t="str">
        <f>IF($A1280="","",IF($AH1280=20,IF(AND(OR($A1280=21,$A1280=215),$AJ1280=10),"①病院一般",IF(AND($A1280=31,$AJ1280=41),"②病院短期","対象外")),IF($AJ1280=30,"③特定消防",IF(AND(OR($A1280=21,$A1280=215),$AJ1280=10),"④一般",IF(AND($A1280=31,$AJ1280=41),"⑤短期","対象外")))))</f>
        <v>⑤短期</v>
      </c>
      <c r="DC1280" s="2909">
        <f>IF($A1280="","",IF($AB1280&amp;""='DB_設定'!$C$4,1,0))</f>
        <v>1</v>
      </c>
    </row>
    <row r="1281">
      <c r="A1281" t="n" s="2909">
        <v>31</v>
      </c>
      <c r="AA1281" t="n" s="2909">
        <v>21</v>
      </c>
      <c r="AB1281" t="inlineStr" s="2909">
        <is>
          <t>20250401</t>
        </is>
      </c>
      <c r="AD1281" t="n" s="2909">
        <v>0</v>
      </c>
      <c r="AE1281" t="inlineStr" s="2909">
        <is>
          <t>00000000</t>
        </is>
      </c>
      <c r="AH1281" t="n" s="2909">
        <v>1</v>
      </c>
      <c r="AJ1281" t="n" s="2909">
        <v>41</v>
      </c>
      <c r="AP1281" t="n" s="2909">
        <v>126000</v>
      </c>
      <c r="DB1281" s="2909" t="str">
        <f>IF($A1281="","",IF($AH1281=20,IF(AND(OR($A1281=21,$A1281=215),$AJ1281=10),"①病院一般",IF(AND($A1281=31,$AJ1281=41),"②病院短期","対象外")),IF($AJ1281=30,"③特定消防",IF(AND(OR($A1281=21,$A1281=215),$AJ1281=10),"④一般",IF(AND($A1281=31,$AJ1281=41),"⑤短期","対象外")))))</f>
        <v>⑤短期</v>
      </c>
      <c r="DC1281" s="2909">
        <f>IF($A1281="","",IF($AB1281&amp;""='DB_設定'!$C$4,1,0))</f>
        <v>1</v>
      </c>
    </row>
    <row r="1282">
      <c r="A1282" t="n" s="2909">
        <v>31</v>
      </c>
      <c r="AA1282" t="n" s="2909">
        <v>21</v>
      </c>
      <c r="AB1282" t="inlineStr" s="2909">
        <is>
          <t>20250401</t>
        </is>
      </c>
      <c r="AD1282" t="n" s="2909">
        <v>0</v>
      </c>
      <c r="AE1282" t="inlineStr" s="2909">
        <is>
          <t>00000000</t>
        </is>
      </c>
      <c r="AH1282" t="n" s="2909">
        <v>1</v>
      </c>
      <c r="AJ1282" t="n" s="2909">
        <v>41</v>
      </c>
      <c r="AP1282" t="n" s="2909">
        <v>118000</v>
      </c>
      <c r="DB1282" s="2909" t="str">
        <f>IF($A1282="","",IF($AH1282=20,IF(AND(OR($A1282=21,$A1282=215),$AJ1282=10),"①病院一般",IF(AND($A1282=31,$AJ1282=41),"②病院短期","対象外")),IF($AJ1282=30,"③特定消防",IF(AND(OR($A1282=21,$A1282=215),$AJ1282=10),"④一般",IF(AND($A1282=31,$AJ1282=41),"⑤短期","対象外")))))</f>
        <v>⑤短期</v>
      </c>
      <c r="DC1282" s="2909">
        <f>IF($A1282="","",IF($AB1282&amp;""='DB_設定'!$C$4,1,0))</f>
        <v>1</v>
      </c>
    </row>
    <row r="1283">
      <c r="A1283" t="n" s="2909">
        <v>31</v>
      </c>
      <c r="AA1283" t="n" s="2909">
        <v>21</v>
      </c>
      <c r="AB1283" t="inlineStr" s="2909">
        <is>
          <t>20250401</t>
        </is>
      </c>
      <c r="AD1283" t="n" s="2909">
        <v>0</v>
      </c>
      <c r="AE1283" t="inlineStr" s="2909">
        <is>
          <t>00000000</t>
        </is>
      </c>
      <c r="AH1283" t="n" s="2909">
        <v>1</v>
      </c>
      <c r="AJ1283" t="n" s="2909">
        <v>41</v>
      </c>
      <c r="AP1283" t="n" s="2909">
        <v>200000</v>
      </c>
      <c r="DB1283" s="2909" t="str">
        <f>IF($A1283="","",IF($AH1283=20,IF(AND(OR($A1283=21,$A1283=215),$AJ1283=10),"①病院一般",IF(AND($A1283=31,$AJ1283=41),"②病院短期","対象外")),IF($AJ1283=30,"③特定消防",IF(AND(OR($A1283=21,$A1283=215),$AJ1283=10),"④一般",IF(AND($A1283=31,$AJ1283=41),"⑤短期","対象外")))))</f>
        <v>⑤短期</v>
      </c>
      <c r="DC1283" s="2909">
        <f>IF($A1283="","",IF($AB1283&amp;""='DB_設定'!$C$4,1,0))</f>
        <v>1</v>
      </c>
    </row>
    <row r="1284">
      <c r="A1284" t="n" s="2909">
        <v>31</v>
      </c>
      <c r="AA1284" t="n" s="2909">
        <v>21</v>
      </c>
      <c r="AB1284" t="inlineStr" s="2909">
        <is>
          <t>20250401</t>
        </is>
      </c>
      <c r="AD1284" t="n" s="2909">
        <v>0</v>
      </c>
      <c r="AE1284" t="inlineStr" s="2909">
        <is>
          <t>00000000</t>
        </is>
      </c>
      <c r="AH1284" t="n" s="2909">
        <v>1</v>
      </c>
      <c r="AJ1284" t="n" s="2909">
        <v>41</v>
      </c>
      <c r="AP1284" t="n" s="2909">
        <v>126000</v>
      </c>
      <c r="DB1284" s="2909" t="str">
        <f>IF($A1284="","",IF($AH1284=20,IF(AND(OR($A1284=21,$A1284=215),$AJ1284=10),"①病院一般",IF(AND($A1284=31,$AJ1284=41),"②病院短期","対象外")),IF($AJ1284=30,"③特定消防",IF(AND(OR($A1284=21,$A1284=215),$AJ1284=10),"④一般",IF(AND($A1284=31,$AJ1284=41),"⑤短期","対象外")))))</f>
        <v>⑤短期</v>
      </c>
      <c r="DC1284" s="2909">
        <f>IF($A1284="","",IF($AB1284&amp;""='DB_設定'!$C$4,1,0))</f>
        <v>1</v>
      </c>
    </row>
    <row r="1285">
      <c r="A1285" t="n" s="2909">
        <v>31</v>
      </c>
      <c r="AA1285" t="n" s="2909">
        <v>21</v>
      </c>
      <c r="AB1285" t="inlineStr" s="2909">
        <is>
          <t>20250401</t>
        </is>
      </c>
      <c r="AD1285" t="n" s="2909">
        <v>0</v>
      </c>
      <c r="AE1285" t="inlineStr" s="2909">
        <is>
          <t>00000000</t>
        </is>
      </c>
      <c r="AH1285" t="n" s="2909">
        <v>1</v>
      </c>
      <c r="AJ1285" t="n" s="2909">
        <v>41</v>
      </c>
      <c r="AP1285" t="n" s="2909">
        <v>126000</v>
      </c>
      <c r="DB1285" s="2909" t="str">
        <f>IF($A1285="","",IF($AH1285=20,IF(AND(OR($A1285=21,$A1285=215),$AJ1285=10),"①病院一般",IF(AND($A1285=31,$AJ1285=41),"②病院短期","対象外")),IF($AJ1285=30,"③特定消防",IF(AND(OR($A1285=21,$A1285=215),$AJ1285=10),"④一般",IF(AND($A1285=31,$AJ1285=41),"⑤短期","対象外")))))</f>
        <v>⑤短期</v>
      </c>
      <c r="DC1285" s="2909">
        <f>IF($A1285="","",IF($AB1285&amp;""='DB_設定'!$C$4,1,0))</f>
        <v>1</v>
      </c>
    </row>
    <row r="1286">
      <c r="A1286" t="n" s="2909">
        <v>31</v>
      </c>
      <c r="AA1286" t="n" s="2909">
        <v>21</v>
      </c>
      <c r="AB1286" t="inlineStr" s="2909">
        <is>
          <t>20250401</t>
        </is>
      </c>
      <c r="AD1286" t="n" s="2909">
        <v>0</v>
      </c>
      <c r="AE1286" t="inlineStr" s="2909">
        <is>
          <t>00000000</t>
        </is>
      </c>
      <c r="AH1286" t="n" s="2909">
        <v>1</v>
      </c>
      <c r="AJ1286" t="n" s="2909">
        <v>41</v>
      </c>
      <c r="AP1286" t="n" s="2909">
        <v>134000</v>
      </c>
      <c r="DB1286" s="2909" t="str">
        <f>IF($A1286="","",IF($AH1286=20,IF(AND(OR($A1286=21,$A1286=215),$AJ1286=10),"①病院一般",IF(AND($A1286=31,$AJ1286=41),"②病院短期","対象外")),IF($AJ1286=30,"③特定消防",IF(AND(OR($A1286=21,$A1286=215),$AJ1286=10),"④一般",IF(AND($A1286=31,$AJ1286=41),"⑤短期","対象外")))))</f>
        <v>⑤短期</v>
      </c>
      <c r="DC1286" s="2909">
        <f>IF($A1286="","",IF($AB1286&amp;""='DB_設定'!$C$4,1,0))</f>
        <v>1</v>
      </c>
    </row>
    <row r="1287">
      <c r="A1287" t="n" s="2909">
        <v>31</v>
      </c>
      <c r="AA1287" t="n" s="2909">
        <v>21</v>
      </c>
      <c r="AB1287" t="inlineStr" s="2909">
        <is>
          <t>20250501</t>
        </is>
      </c>
      <c r="AD1287" t="n" s="2909">
        <v>0</v>
      </c>
      <c r="AE1287" t="inlineStr" s="2909">
        <is>
          <t>00000000</t>
        </is>
      </c>
      <c r="AH1287" t="n" s="2909">
        <v>1</v>
      </c>
      <c r="AJ1287" t="n" s="2909">
        <v>41</v>
      </c>
      <c r="AP1287" t="n" s="2909">
        <v>142000</v>
      </c>
      <c r="DB1287" s="2909" t="str">
        <f>IF($A1287="","",IF($AH1287=20,IF(AND(OR($A1287=21,$A1287=215),$AJ1287=10),"①病院一般",IF(AND($A1287=31,$AJ1287=41),"②病院短期","対象外")),IF($AJ1287=30,"③特定消防",IF(AND(OR($A1287=21,$A1287=215),$AJ1287=10),"④一般",IF(AND($A1287=31,$AJ1287=41),"⑤短期","対象外")))))</f>
        <v>⑤短期</v>
      </c>
      <c r="DC1287" s="2909">
        <f>IF($A1287="","",IF($AB1287&amp;""='DB_設定'!$C$4,1,0))</f>
        <v>0</v>
      </c>
    </row>
    <row r="1288">
      <c r="A1288" t="n" s="2909">
        <v>31</v>
      </c>
      <c r="AA1288" t="n" s="2909">
        <v>21</v>
      </c>
      <c r="AB1288" t="inlineStr" s="2909">
        <is>
          <t>20250401</t>
        </is>
      </c>
      <c r="AD1288" t="n" s="2909">
        <v>0</v>
      </c>
      <c r="AE1288" t="inlineStr" s="2909">
        <is>
          <t>00000000</t>
        </is>
      </c>
      <c r="AH1288" t="n" s="2909">
        <v>1</v>
      </c>
      <c r="AJ1288" t="n" s="2909">
        <v>41</v>
      </c>
      <c r="AP1288" t="n" s="2909">
        <v>190000</v>
      </c>
      <c r="DB1288" s="2909" t="str">
        <f>IF($A1288="","",IF($AH1288=20,IF(AND(OR($A1288=21,$A1288=215),$AJ1288=10),"①病院一般",IF(AND($A1288=31,$AJ1288=41),"②病院短期","対象外")),IF($AJ1288=30,"③特定消防",IF(AND(OR($A1288=21,$A1288=215),$AJ1288=10),"④一般",IF(AND($A1288=31,$AJ1288=41),"⑤短期","対象外")))))</f>
        <v>⑤短期</v>
      </c>
      <c r="DC1288" s="2909">
        <f>IF($A1288="","",IF($AB1288&amp;""='DB_設定'!$C$4,1,0))</f>
        <v>1</v>
      </c>
    </row>
    <row r="1289">
      <c r="A1289" t="n" s="2909">
        <v>31</v>
      </c>
      <c r="AA1289" t="n" s="2909">
        <v>21</v>
      </c>
      <c r="AB1289" t="inlineStr" s="2909">
        <is>
          <t>20250401</t>
        </is>
      </c>
      <c r="AD1289" t="n" s="2909">
        <v>0</v>
      </c>
      <c r="AE1289" t="inlineStr" s="2909">
        <is>
          <t>00000000</t>
        </is>
      </c>
      <c r="AH1289" t="n" s="2909">
        <v>1</v>
      </c>
      <c r="AJ1289" t="n" s="2909">
        <v>41</v>
      </c>
      <c r="AP1289" t="n" s="2909">
        <v>190000</v>
      </c>
      <c r="DB1289" s="2909" t="str">
        <f>IF($A1289="","",IF($AH1289=20,IF(AND(OR($A1289=21,$A1289=215),$AJ1289=10),"①病院一般",IF(AND($A1289=31,$AJ1289=41),"②病院短期","対象外")),IF($AJ1289=30,"③特定消防",IF(AND(OR($A1289=21,$A1289=215),$AJ1289=10),"④一般",IF(AND($A1289=31,$AJ1289=41),"⑤短期","対象外")))))</f>
        <v>⑤短期</v>
      </c>
      <c r="DC1289" s="2909">
        <f>IF($A1289="","",IF($AB1289&amp;""='DB_設定'!$C$4,1,0))</f>
        <v>1</v>
      </c>
    </row>
    <row r="1290">
      <c r="A1290" t="n" s="2909">
        <v>31</v>
      </c>
      <c r="AA1290" t="n" s="2909">
        <v>21</v>
      </c>
      <c r="AB1290" t="inlineStr" s="2909">
        <is>
          <t>20250401</t>
        </is>
      </c>
      <c r="AD1290" t="n" s="2909">
        <v>0</v>
      </c>
      <c r="AE1290" t="inlineStr" s="2909">
        <is>
          <t>00000000</t>
        </is>
      </c>
      <c r="AH1290" t="n" s="2909">
        <v>1</v>
      </c>
      <c r="AJ1290" t="n" s="2909">
        <v>41</v>
      </c>
      <c r="AP1290" t="n" s="2909">
        <v>126000</v>
      </c>
      <c r="DB1290" s="2909" t="str">
        <f>IF($A1290="","",IF($AH1290=20,IF(AND(OR($A1290=21,$A1290=215),$AJ1290=10),"①病院一般",IF(AND($A1290=31,$AJ1290=41),"②病院短期","対象外")),IF($AJ1290=30,"③特定消防",IF(AND(OR($A1290=21,$A1290=215),$AJ1290=10),"④一般",IF(AND($A1290=31,$AJ1290=41),"⑤短期","対象外")))))</f>
        <v>⑤短期</v>
      </c>
      <c r="DC1290" s="2909">
        <f>IF($A1290="","",IF($AB1290&amp;""='DB_設定'!$C$4,1,0))</f>
        <v>1</v>
      </c>
    </row>
    <row r="1291">
      <c r="A1291" t="n" s="2909">
        <v>31</v>
      </c>
      <c r="AA1291" t="n" s="2909">
        <v>21</v>
      </c>
      <c r="AB1291" t="inlineStr" s="2909">
        <is>
          <t>20250401</t>
        </is>
      </c>
      <c r="AD1291" t="n" s="2909">
        <v>0</v>
      </c>
      <c r="AE1291" t="inlineStr" s="2909">
        <is>
          <t>00000000</t>
        </is>
      </c>
      <c r="AH1291" t="n" s="2909">
        <v>1</v>
      </c>
      <c r="AJ1291" t="n" s="2909">
        <v>41</v>
      </c>
      <c r="AP1291" t="n" s="2909">
        <v>180000</v>
      </c>
      <c r="DB1291" s="2909" t="str">
        <f>IF($A1291="","",IF($AH1291=20,IF(AND(OR($A1291=21,$A1291=215),$AJ1291=10),"①病院一般",IF(AND($A1291=31,$AJ1291=41),"②病院短期","対象外")),IF($AJ1291=30,"③特定消防",IF(AND(OR($A1291=21,$A1291=215),$AJ1291=10),"④一般",IF(AND($A1291=31,$AJ1291=41),"⑤短期","対象外")))))</f>
        <v>⑤短期</v>
      </c>
      <c r="DC1291" s="2909">
        <f>IF($A1291="","",IF($AB1291&amp;""='DB_設定'!$C$4,1,0))</f>
        <v>1</v>
      </c>
    </row>
    <row r="1292">
      <c r="A1292" t="n" s="2909">
        <v>31</v>
      </c>
      <c r="AA1292" t="n" s="2909">
        <v>21</v>
      </c>
      <c r="AB1292" t="inlineStr" s="2909">
        <is>
          <t>20250401</t>
        </is>
      </c>
      <c r="AD1292" t="n" s="2909">
        <v>0</v>
      </c>
      <c r="AE1292" t="inlineStr" s="2909">
        <is>
          <t>00000000</t>
        </is>
      </c>
      <c r="AH1292" t="n" s="2909">
        <v>1</v>
      </c>
      <c r="AJ1292" t="n" s="2909">
        <v>41</v>
      </c>
      <c r="AP1292" t="n" s="2909">
        <v>190000</v>
      </c>
      <c r="DB1292" s="2909" t="str">
        <f>IF($A1292="","",IF($AH1292=20,IF(AND(OR($A1292=21,$A1292=215),$AJ1292=10),"①病院一般",IF(AND($A1292=31,$AJ1292=41),"②病院短期","対象外")),IF($AJ1292=30,"③特定消防",IF(AND(OR($A1292=21,$A1292=215),$AJ1292=10),"④一般",IF(AND($A1292=31,$AJ1292=41),"⑤短期","対象外")))))</f>
        <v>⑤短期</v>
      </c>
      <c r="DC1292" s="2909">
        <f>IF($A1292="","",IF($AB1292&amp;""='DB_設定'!$C$4,1,0))</f>
        <v>1</v>
      </c>
    </row>
    <row r="1293">
      <c r="A1293" t="n" s="2909">
        <v>31</v>
      </c>
      <c r="AA1293" t="n" s="2909">
        <v>21</v>
      </c>
      <c r="AB1293" t="inlineStr" s="2909">
        <is>
          <t>20250401</t>
        </is>
      </c>
      <c r="AD1293" t="n" s="2909">
        <v>0</v>
      </c>
      <c r="AE1293" t="inlineStr" s="2909">
        <is>
          <t>00000000</t>
        </is>
      </c>
      <c r="AH1293" t="n" s="2909">
        <v>1</v>
      </c>
      <c r="AJ1293" t="n" s="2909">
        <v>41</v>
      </c>
      <c r="AP1293" t="n" s="2909">
        <v>134000</v>
      </c>
      <c r="DB1293" s="2909" t="str">
        <f>IF($A1293="","",IF($AH1293=20,IF(AND(OR($A1293=21,$A1293=215),$AJ1293=10),"①病院一般",IF(AND($A1293=31,$AJ1293=41),"②病院短期","対象外")),IF($AJ1293=30,"③特定消防",IF(AND(OR($A1293=21,$A1293=215),$AJ1293=10),"④一般",IF(AND($A1293=31,$AJ1293=41),"⑤短期","対象外")))))</f>
        <v>⑤短期</v>
      </c>
      <c r="DC1293" s="2909">
        <f>IF($A1293="","",IF($AB1293&amp;""='DB_設定'!$C$4,1,0))</f>
        <v>1</v>
      </c>
    </row>
    <row r="1294">
      <c r="A1294" t="n" s="2909">
        <v>31</v>
      </c>
      <c r="AA1294" t="n" s="2909">
        <v>21</v>
      </c>
      <c r="AB1294" t="inlineStr" s="2909">
        <is>
          <t>20250401</t>
        </is>
      </c>
      <c r="AD1294" t="n" s="2909">
        <v>0</v>
      </c>
      <c r="AE1294" t="inlineStr" s="2909">
        <is>
          <t>00000000</t>
        </is>
      </c>
      <c r="AH1294" t="n" s="2909">
        <v>1</v>
      </c>
      <c r="AJ1294" t="n" s="2909">
        <v>41</v>
      </c>
      <c r="AP1294" t="n" s="2909">
        <v>180000</v>
      </c>
      <c r="DB1294" s="2909" t="str">
        <f>IF($A1294="","",IF($AH1294=20,IF(AND(OR($A1294=21,$A1294=215),$AJ1294=10),"①病院一般",IF(AND($A1294=31,$AJ1294=41),"②病院短期","対象外")),IF($AJ1294=30,"③特定消防",IF(AND(OR($A1294=21,$A1294=215),$AJ1294=10),"④一般",IF(AND($A1294=31,$AJ1294=41),"⑤短期","対象外")))))</f>
        <v>⑤短期</v>
      </c>
      <c r="DC1294" s="2909">
        <f>IF($A1294="","",IF($AB1294&amp;""='DB_設定'!$C$4,1,0))</f>
        <v>1</v>
      </c>
    </row>
    <row r="1295">
      <c r="A1295" t="n" s="2909">
        <v>31</v>
      </c>
      <c r="AA1295" t="n" s="2909">
        <v>21</v>
      </c>
      <c r="AB1295" t="inlineStr" s="2909">
        <is>
          <t>20250401</t>
        </is>
      </c>
      <c r="AD1295" t="n" s="2909">
        <v>0</v>
      </c>
      <c r="AE1295" t="inlineStr" s="2909">
        <is>
          <t>00000000</t>
        </is>
      </c>
      <c r="AH1295" t="n" s="2909">
        <v>1</v>
      </c>
      <c r="AJ1295" t="n" s="2909">
        <v>41</v>
      </c>
      <c r="AP1295" t="n" s="2909">
        <v>142000</v>
      </c>
      <c r="DB1295" s="2909" t="str">
        <f>IF($A1295="","",IF($AH1295=20,IF(AND(OR($A1295=21,$A1295=215),$AJ1295=10),"①病院一般",IF(AND($A1295=31,$AJ1295=41),"②病院短期","対象外")),IF($AJ1295=30,"③特定消防",IF(AND(OR($A1295=21,$A1295=215),$AJ1295=10),"④一般",IF(AND($A1295=31,$AJ1295=41),"⑤短期","対象外")))))</f>
        <v>⑤短期</v>
      </c>
      <c r="DC1295" s="2909">
        <f>IF($A1295="","",IF($AB1295&amp;""='DB_設定'!$C$4,1,0))</f>
        <v>1</v>
      </c>
    </row>
    <row r="1296">
      <c r="A1296" t="n" s="2909">
        <v>31</v>
      </c>
      <c r="AA1296" t="n" s="2909">
        <v>21</v>
      </c>
      <c r="AB1296" t="inlineStr" s="2909">
        <is>
          <t>20250401</t>
        </is>
      </c>
      <c r="AD1296" t="n" s="2909">
        <v>0</v>
      </c>
      <c r="AE1296" t="inlineStr" s="2909">
        <is>
          <t>00000000</t>
        </is>
      </c>
      <c r="AH1296" t="n" s="2909">
        <v>1</v>
      </c>
      <c r="AJ1296" t="n" s="2909">
        <v>41</v>
      </c>
      <c r="AP1296" t="n" s="2909">
        <v>180000</v>
      </c>
      <c r="DB1296" s="2909" t="str">
        <f>IF($A1296="","",IF($AH1296=20,IF(AND(OR($A1296=21,$A1296=215),$AJ1296=10),"①病院一般",IF(AND($A1296=31,$AJ1296=41),"②病院短期","対象外")),IF($AJ1296=30,"③特定消防",IF(AND(OR($A1296=21,$A1296=215),$AJ1296=10),"④一般",IF(AND($A1296=31,$AJ1296=41),"⑤短期","対象外")))))</f>
        <v>⑤短期</v>
      </c>
      <c r="DC1296" s="2909">
        <f>IF($A1296="","",IF($AB1296&amp;""='DB_設定'!$C$4,1,0))</f>
        <v>1</v>
      </c>
    </row>
    <row r="1297">
      <c r="A1297" t="n" s="2909">
        <v>31</v>
      </c>
      <c r="AA1297" t="n" s="2909">
        <v>21</v>
      </c>
      <c r="AB1297" t="inlineStr" s="2909">
        <is>
          <t>20250401</t>
        </is>
      </c>
      <c r="AD1297" t="n" s="2909">
        <v>0</v>
      </c>
      <c r="AE1297" t="inlineStr" s="2909">
        <is>
          <t>00000000</t>
        </is>
      </c>
      <c r="AH1297" t="n" s="2909">
        <v>1</v>
      </c>
      <c r="AJ1297" t="n" s="2909">
        <v>41</v>
      </c>
      <c r="AP1297" t="n" s="2909">
        <v>190000</v>
      </c>
      <c r="DB1297" s="2909" t="str">
        <f>IF($A1297="","",IF($AH1297=20,IF(AND(OR($A1297=21,$A1297=215),$AJ1297=10),"①病院一般",IF(AND($A1297=31,$AJ1297=41),"②病院短期","対象外")),IF($AJ1297=30,"③特定消防",IF(AND(OR($A1297=21,$A1297=215),$AJ1297=10),"④一般",IF(AND($A1297=31,$AJ1297=41),"⑤短期","対象外")))))</f>
        <v>⑤短期</v>
      </c>
      <c r="DC1297" s="2909">
        <f>IF($A1297="","",IF($AB1297&amp;""='DB_設定'!$C$4,1,0))</f>
        <v>1</v>
      </c>
    </row>
    <row r="1298">
      <c r="A1298" t="n" s="2909">
        <v>31</v>
      </c>
      <c r="AA1298" t="n" s="2909">
        <v>21</v>
      </c>
      <c r="AB1298" t="inlineStr" s="2909">
        <is>
          <t>20250401</t>
        </is>
      </c>
      <c r="AD1298" t="n" s="2909">
        <v>0</v>
      </c>
      <c r="AE1298" t="inlineStr" s="2909">
        <is>
          <t>00000000</t>
        </is>
      </c>
      <c r="AH1298" t="n" s="2909">
        <v>1</v>
      </c>
      <c r="AJ1298" t="n" s="2909">
        <v>41</v>
      </c>
      <c r="AP1298" t="n" s="2909">
        <v>190000</v>
      </c>
      <c r="DB1298" s="2909" t="str">
        <f>IF($A1298="","",IF($AH1298=20,IF(AND(OR($A1298=21,$A1298=215),$AJ1298=10),"①病院一般",IF(AND($A1298=31,$AJ1298=41),"②病院短期","対象外")),IF($AJ1298=30,"③特定消防",IF(AND(OR($A1298=21,$A1298=215),$AJ1298=10),"④一般",IF(AND($A1298=31,$AJ1298=41),"⑤短期","対象外")))))</f>
        <v>⑤短期</v>
      </c>
      <c r="DC1298" s="2909">
        <f>IF($A1298="","",IF($AB1298&amp;""='DB_設定'!$C$4,1,0))</f>
        <v>1</v>
      </c>
    </row>
    <row r="1299">
      <c r="A1299" t="n" s="2909">
        <v>31</v>
      </c>
      <c r="AA1299" t="n" s="2909">
        <v>21</v>
      </c>
      <c r="AB1299" t="inlineStr" s="2909">
        <is>
          <t>20250401</t>
        </is>
      </c>
      <c r="AD1299" t="n" s="2909">
        <v>0</v>
      </c>
      <c r="AE1299" t="inlineStr" s="2909">
        <is>
          <t>00000000</t>
        </is>
      </c>
      <c r="AH1299" t="n" s="2909">
        <v>1</v>
      </c>
      <c r="AJ1299" t="n" s="2909">
        <v>41</v>
      </c>
      <c r="AP1299" t="n" s="2909">
        <v>220000</v>
      </c>
      <c r="DB1299" s="2909" t="str">
        <f>IF($A1299="","",IF($AH1299=20,IF(AND(OR($A1299=21,$A1299=215),$AJ1299=10),"①病院一般",IF(AND($A1299=31,$AJ1299=41),"②病院短期","対象外")),IF($AJ1299=30,"③特定消防",IF(AND(OR($A1299=21,$A1299=215),$AJ1299=10),"④一般",IF(AND($A1299=31,$AJ1299=41),"⑤短期","対象外")))))</f>
        <v>⑤短期</v>
      </c>
      <c r="DC1299" s="2909">
        <f>IF($A1299="","",IF($AB1299&amp;""='DB_設定'!$C$4,1,0))</f>
        <v>1</v>
      </c>
    </row>
    <row r="1300">
      <c r="A1300" t="n" s="2909">
        <v>31</v>
      </c>
      <c r="AA1300" t="n" s="2909">
        <v>21</v>
      </c>
      <c r="AB1300" t="inlineStr" s="2909">
        <is>
          <t>20250401</t>
        </is>
      </c>
      <c r="AD1300" t="n" s="2909">
        <v>0</v>
      </c>
      <c r="AE1300" t="inlineStr" s="2909">
        <is>
          <t>00000000</t>
        </is>
      </c>
      <c r="AH1300" t="n" s="2909">
        <v>1</v>
      </c>
      <c r="AJ1300" t="n" s="2909">
        <v>41</v>
      </c>
      <c r="AP1300" t="n" s="2909">
        <v>134000</v>
      </c>
      <c r="DB1300" s="2909" t="str">
        <f>IF($A1300="","",IF($AH1300=20,IF(AND(OR($A1300=21,$A1300=215),$AJ1300=10),"①病院一般",IF(AND($A1300=31,$AJ1300=41),"②病院短期","対象外")),IF($AJ1300=30,"③特定消防",IF(AND(OR($A1300=21,$A1300=215),$AJ1300=10),"④一般",IF(AND($A1300=31,$AJ1300=41),"⑤短期","対象外")))))</f>
        <v>⑤短期</v>
      </c>
      <c r="DC1300" s="2909">
        <f>IF($A1300="","",IF($AB1300&amp;""='DB_設定'!$C$4,1,0))</f>
        <v>1</v>
      </c>
    </row>
    <row r="1301">
      <c r="A1301" t="n" s="2909">
        <v>31</v>
      </c>
      <c r="AA1301" t="n" s="2909">
        <v>21</v>
      </c>
      <c r="AB1301" t="inlineStr" s="2909">
        <is>
          <t>20250401</t>
        </is>
      </c>
      <c r="AD1301" t="n" s="2909">
        <v>0</v>
      </c>
      <c r="AE1301" t="inlineStr" s="2909">
        <is>
          <t>00000000</t>
        </is>
      </c>
      <c r="AH1301" t="n" s="2909">
        <v>1</v>
      </c>
      <c r="AJ1301" t="n" s="2909">
        <v>41</v>
      </c>
      <c r="AP1301" t="n" s="2909">
        <v>200000</v>
      </c>
      <c r="DB1301" s="2909" t="str">
        <f>IF($A1301="","",IF($AH1301=20,IF(AND(OR($A1301=21,$A1301=215),$AJ1301=10),"①病院一般",IF(AND($A1301=31,$AJ1301=41),"②病院短期","対象外")),IF($AJ1301=30,"③特定消防",IF(AND(OR($A1301=21,$A1301=215),$AJ1301=10),"④一般",IF(AND($A1301=31,$AJ1301=41),"⑤短期","対象外")))))</f>
        <v>⑤短期</v>
      </c>
      <c r="DC1301" s="2909">
        <f>IF($A1301="","",IF($AB1301&amp;""='DB_設定'!$C$4,1,0))</f>
        <v>1</v>
      </c>
    </row>
    <row r="1302">
      <c r="A1302" t="n" s="2909">
        <v>31</v>
      </c>
      <c r="AA1302" t="n" s="2909">
        <v>21</v>
      </c>
      <c r="AB1302" t="inlineStr" s="2909">
        <is>
          <t>20250401</t>
        </is>
      </c>
      <c r="AD1302" t="n" s="2909">
        <v>0</v>
      </c>
      <c r="AE1302" t="inlineStr" s="2909">
        <is>
          <t>00000000</t>
        </is>
      </c>
      <c r="AH1302" t="n" s="2909">
        <v>1</v>
      </c>
      <c r="AJ1302" t="n" s="2909">
        <v>41</v>
      </c>
      <c r="AP1302" t="n" s="2909">
        <v>200000</v>
      </c>
      <c r="DB1302" s="2909" t="str">
        <f>IF($A1302="","",IF($AH1302=20,IF(AND(OR($A1302=21,$A1302=215),$AJ1302=10),"①病院一般",IF(AND($A1302=31,$AJ1302=41),"②病院短期","対象外")),IF($AJ1302=30,"③特定消防",IF(AND(OR($A1302=21,$A1302=215),$AJ1302=10),"④一般",IF(AND($A1302=31,$AJ1302=41),"⑤短期","対象外")))))</f>
        <v>⑤短期</v>
      </c>
      <c r="DC1302" s="2909">
        <f>IF($A1302="","",IF($AB1302&amp;""='DB_設定'!$C$4,1,0))</f>
        <v>1</v>
      </c>
    </row>
    <row r="1303">
      <c r="A1303" t="n" s="2909">
        <v>31</v>
      </c>
      <c r="AA1303" t="n" s="2909">
        <v>21</v>
      </c>
      <c r="AB1303" t="inlineStr" s="2909">
        <is>
          <t>20250401</t>
        </is>
      </c>
      <c r="AD1303" t="n" s="2909">
        <v>0</v>
      </c>
      <c r="AE1303" t="inlineStr" s="2909">
        <is>
          <t>00000000</t>
        </is>
      </c>
      <c r="AH1303" t="n" s="2909">
        <v>1</v>
      </c>
      <c r="AJ1303" t="n" s="2909">
        <v>41</v>
      </c>
      <c r="AP1303" t="n" s="2909">
        <v>200000</v>
      </c>
      <c r="DB1303" s="2909" t="str">
        <f>IF($A1303="","",IF($AH1303=20,IF(AND(OR($A1303=21,$A1303=215),$AJ1303=10),"①病院一般",IF(AND($A1303=31,$AJ1303=41),"②病院短期","対象外")),IF($AJ1303=30,"③特定消防",IF(AND(OR($A1303=21,$A1303=215),$AJ1303=10),"④一般",IF(AND($A1303=31,$AJ1303=41),"⑤短期","対象外")))))</f>
        <v>⑤短期</v>
      </c>
      <c r="DC1303" s="2909">
        <f>IF($A1303="","",IF($AB1303&amp;""='DB_設定'!$C$4,1,0))</f>
        <v>1</v>
      </c>
    </row>
    <row r="1304">
      <c r="A1304" t="n" s="2909">
        <v>31</v>
      </c>
      <c r="AA1304" t="n" s="2909">
        <v>21</v>
      </c>
      <c r="AB1304" t="inlineStr" s="2909">
        <is>
          <t>20250401</t>
        </is>
      </c>
      <c r="AD1304" t="n" s="2909">
        <v>0</v>
      </c>
      <c r="AE1304" t="inlineStr" s="2909">
        <is>
          <t>00000000</t>
        </is>
      </c>
      <c r="AH1304" t="n" s="2909">
        <v>1</v>
      </c>
      <c r="AJ1304" t="n" s="2909">
        <v>41</v>
      </c>
      <c r="AP1304" t="n" s="2909">
        <v>126000</v>
      </c>
      <c r="DB1304" s="2909" t="str">
        <f>IF($A1304="","",IF($AH1304=20,IF(AND(OR($A1304=21,$A1304=215),$AJ1304=10),"①病院一般",IF(AND($A1304=31,$AJ1304=41),"②病院短期","対象外")),IF($AJ1304=30,"③特定消防",IF(AND(OR($A1304=21,$A1304=215),$AJ1304=10),"④一般",IF(AND($A1304=31,$AJ1304=41),"⑤短期","対象外")))))</f>
        <v>⑤短期</v>
      </c>
      <c r="DC1304" s="2909">
        <f>IF($A1304="","",IF($AB1304&amp;""='DB_設定'!$C$4,1,0))</f>
        <v>1</v>
      </c>
    </row>
    <row r="1305">
      <c r="A1305" t="n" s="2909">
        <v>31</v>
      </c>
      <c r="AA1305" t="n" s="2909">
        <v>21</v>
      </c>
      <c r="AB1305" t="inlineStr" s="2909">
        <is>
          <t>20250401</t>
        </is>
      </c>
      <c r="AD1305" t="n" s="2909">
        <v>0</v>
      </c>
      <c r="AE1305" t="inlineStr" s="2909">
        <is>
          <t>00000000</t>
        </is>
      </c>
      <c r="AH1305" t="n" s="2909">
        <v>1</v>
      </c>
      <c r="AJ1305" t="n" s="2909">
        <v>41</v>
      </c>
      <c r="AP1305" t="n" s="2909">
        <v>260000</v>
      </c>
      <c r="DB1305" s="2909" t="str">
        <f>IF($A1305="","",IF($AH1305=20,IF(AND(OR($A1305=21,$A1305=215),$AJ1305=10),"①病院一般",IF(AND($A1305=31,$AJ1305=41),"②病院短期","対象外")),IF($AJ1305=30,"③特定消防",IF(AND(OR($A1305=21,$A1305=215),$AJ1305=10),"④一般",IF(AND($A1305=31,$AJ1305=41),"⑤短期","対象外")))))</f>
        <v>⑤短期</v>
      </c>
      <c r="DC1305" s="2909">
        <f>IF($A1305="","",IF($AB1305&amp;""='DB_設定'!$C$4,1,0))</f>
        <v>1</v>
      </c>
    </row>
    <row r="1306">
      <c r="A1306" t="n" s="2909">
        <v>31</v>
      </c>
      <c r="AA1306" t="n" s="2909">
        <v>21</v>
      </c>
      <c r="AB1306" t="inlineStr" s="2909">
        <is>
          <t>20250401</t>
        </is>
      </c>
      <c r="AD1306" t="n" s="2909">
        <v>0</v>
      </c>
      <c r="AE1306" t="inlineStr" s="2909">
        <is>
          <t>00000000</t>
        </is>
      </c>
      <c r="AH1306" t="n" s="2909">
        <v>1</v>
      </c>
      <c r="AJ1306" t="n" s="2909">
        <v>41</v>
      </c>
      <c r="AP1306" t="n" s="2909">
        <v>260000</v>
      </c>
      <c r="DB1306" s="2909" t="str">
        <f>IF($A1306="","",IF($AH1306=20,IF(AND(OR($A1306=21,$A1306=215),$AJ1306=10),"①病院一般",IF(AND($A1306=31,$AJ1306=41),"②病院短期","対象外")),IF($AJ1306=30,"③特定消防",IF(AND(OR($A1306=21,$A1306=215),$AJ1306=10),"④一般",IF(AND($A1306=31,$AJ1306=41),"⑤短期","対象外")))))</f>
        <v>⑤短期</v>
      </c>
      <c r="DC1306" s="2909">
        <f>IF($A1306="","",IF($AB1306&amp;""='DB_設定'!$C$4,1,0))</f>
        <v>1</v>
      </c>
    </row>
    <row r="1307">
      <c r="A1307" t="n" s="2909">
        <v>31</v>
      </c>
      <c r="AA1307" t="n" s="2909">
        <v>21</v>
      </c>
      <c r="AB1307" t="inlineStr" s="2909">
        <is>
          <t>20250401</t>
        </is>
      </c>
      <c r="AD1307" t="n" s="2909">
        <v>0</v>
      </c>
      <c r="AE1307" t="inlineStr" s="2909">
        <is>
          <t>00000000</t>
        </is>
      </c>
      <c r="AH1307" t="n" s="2909">
        <v>1</v>
      </c>
      <c r="AJ1307" t="n" s="2909">
        <v>41</v>
      </c>
      <c r="AP1307" t="n" s="2909">
        <v>260000</v>
      </c>
      <c r="DB1307" s="2909" t="str">
        <f>IF($A1307="","",IF($AH1307=20,IF(AND(OR($A1307=21,$A1307=215),$AJ1307=10),"①病院一般",IF(AND($A1307=31,$AJ1307=41),"②病院短期","対象外")),IF($AJ1307=30,"③特定消防",IF(AND(OR($A1307=21,$A1307=215),$AJ1307=10),"④一般",IF(AND($A1307=31,$AJ1307=41),"⑤短期","対象外")))))</f>
        <v>⑤短期</v>
      </c>
      <c r="DC1307" s="2909">
        <f>IF($A1307="","",IF($AB1307&amp;""='DB_設定'!$C$4,1,0))</f>
        <v>1</v>
      </c>
    </row>
    <row r="1308">
      <c r="A1308" t="n" s="2909">
        <v>31</v>
      </c>
      <c r="AA1308" t="n" s="2909">
        <v>21</v>
      </c>
      <c r="AB1308" t="inlineStr" s="2909">
        <is>
          <t>20250401</t>
        </is>
      </c>
      <c r="AD1308" t="n" s="2909">
        <v>0</v>
      </c>
      <c r="AE1308" t="inlineStr" s="2909">
        <is>
          <t>00000000</t>
        </is>
      </c>
      <c r="AH1308" t="n" s="2909">
        <v>1</v>
      </c>
      <c r="AJ1308" t="n" s="2909">
        <v>41</v>
      </c>
      <c r="AP1308" t="n" s="2909">
        <v>134000</v>
      </c>
      <c r="DB1308" s="2909" t="str">
        <f>IF($A1308="","",IF($AH1308=20,IF(AND(OR($A1308=21,$A1308=215),$AJ1308=10),"①病院一般",IF(AND($A1308=31,$AJ1308=41),"②病院短期","対象外")),IF($AJ1308=30,"③特定消防",IF(AND(OR($A1308=21,$A1308=215),$AJ1308=10),"④一般",IF(AND($A1308=31,$AJ1308=41),"⑤短期","対象外")))))</f>
        <v>⑤短期</v>
      </c>
      <c r="DC1308" s="2909">
        <f>IF($A1308="","",IF($AB1308&amp;""='DB_設定'!$C$4,1,0))</f>
        <v>1</v>
      </c>
    </row>
    <row r="1309">
      <c r="A1309" t="n" s="2909">
        <v>31</v>
      </c>
      <c r="AA1309" t="n" s="2909">
        <v>21</v>
      </c>
      <c r="AB1309" t="inlineStr" s="2909">
        <is>
          <t>20250401</t>
        </is>
      </c>
      <c r="AD1309" t="n" s="2909">
        <v>0</v>
      </c>
      <c r="AE1309" t="inlineStr" s="2909">
        <is>
          <t>00000000</t>
        </is>
      </c>
      <c r="AH1309" t="n" s="2909">
        <v>1</v>
      </c>
      <c r="AJ1309" t="n" s="2909">
        <v>41</v>
      </c>
      <c r="AP1309" t="n" s="2909">
        <v>260000</v>
      </c>
      <c r="DB1309" s="2909" t="str">
        <f>IF($A1309="","",IF($AH1309=20,IF(AND(OR($A1309=21,$A1309=215),$AJ1309=10),"①病院一般",IF(AND($A1309=31,$AJ1309=41),"②病院短期","対象外")),IF($AJ1309=30,"③特定消防",IF(AND(OR($A1309=21,$A1309=215),$AJ1309=10),"④一般",IF(AND($A1309=31,$AJ1309=41),"⑤短期","対象外")))))</f>
        <v>⑤短期</v>
      </c>
      <c r="DC1309" s="2909">
        <f>IF($A1309="","",IF($AB1309&amp;""='DB_設定'!$C$4,1,0))</f>
        <v>1</v>
      </c>
    </row>
    <row r="1310">
      <c r="A1310" t="n" s="2909">
        <v>31</v>
      </c>
      <c r="AA1310" t="n" s="2909">
        <v>21</v>
      </c>
      <c r="AB1310" t="inlineStr" s="2909">
        <is>
          <t>20250401</t>
        </is>
      </c>
      <c r="AD1310" t="n" s="2909">
        <v>0</v>
      </c>
      <c r="AE1310" t="inlineStr" s="2909">
        <is>
          <t>00000000</t>
        </is>
      </c>
      <c r="AH1310" t="n" s="2909">
        <v>1</v>
      </c>
      <c r="AJ1310" t="n" s="2909">
        <v>41</v>
      </c>
      <c r="AP1310" t="n" s="2909">
        <v>200000</v>
      </c>
      <c r="DB1310" s="2909" t="str">
        <f>IF($A1310="","",IF($AH1310=20,IF(AND(OR($A1310=21,$A1310=215),$AJ1310=10),"①病院一般",IF(AND($A1310=31,$AJ1310=41),"②病院短期","対象外")),IF($AJ1310=30,"③特定消防",IF(AND(OR($A1310=21,$A1310=215),$AJ1310=10),"④一般",IF(AND($A1310=31,$AJ1310=41),"⑤短期","対象外")))))</f>
        <v>⑤短期</v>
      </c>
      <c r="DC1310" s="2909">
        <f>IF($A1310="","",IF($AB1310&amp;""='DB_設定'!$C$4,1,0))</f>
        <v>1</v>
      </c>
    </row>
    <row r="1311">
      <c r="A1311" t="n" s="2909">
        <v>31</v>
      </c>
      <c r="AA1311" t="n" s="2909">
        <v>21</v>
      </c>
      <c r="AB1311" t="inlineStr" s="2909">
        <is>
          <t>20250401</t>
        </is>
      </c>
      <c r="AD1311" t="n" s="2909">
        <v>0</v>
      </c>
      <c r="AE1311" t="inlineStr" s="2909">
        <is>
          <t>00000000</t>
        </is>
      </c>
      <c r="AH1311" t="n" s="2909">
        <v>1</v>
      </c>
      <c r="AJ1311" t="n" s="2909">
        <v>41</v>
      </c>
      <c r="AP1311" t="n" s="2909">
        <v>190000</v>
      </c>
      <c r="DB1311" s="2909" t="str">
        <f>IF($A1311="","",IF($AH1311=20,IF(AND(OR($A1311=21,$A1311=215),$AJ1311=10),"①病院一般",IF(AND($A1311=31,$AJ1311=41),"②病院短期","対象外")),IF($AJ1311=30,"③特定消防",IF(AND(OR($A1311=21,$A1311=215),$AJ1311=10),"④一般",IF(AND($A1311=31,$AJ1311=41),"⑤短期","対象外")))))</f>
        <v>⑤短期</v>
      </c>
      <c r="DC1311" s="2909">
        <f>IF($A1311="","",IF($AB1311&amp;""='DB_設定'!$C$4,1,0))</f>
        <v>1</v>
      </c>
    </row>
    <row r="1312">
      <c r="A1312" t="n" s="2909">
        <v>31</v>
      </c>
      <c r="AA1312" t="n" s="2909">
        <v>21</v>
      </c>
      <c r="AB1312" t="inlineStr" s="2909">
        <is>
          <t>20250401</t>
        </is>
      </c>
      <c r="AD1312" t="n" s="2909">
        <v>0</v>
      </c>
      <c r="AE1312" t="inlineStr" s="2909">
        <is>
          <t>00000000</t>
        </is>
      </c>
      <c r="AH1312" t="n" s="2909">
        <v>1</v>
      </c>
      <c r="AJ1312" t="n" s="2909">
        <v>41</v>
      </c>
      <c r="AP1312" t="n" s="2909">
        <v>190000</v>
      </c>
      <c r="DB1312" s="2909" t="str">
        <f>IF($A1312="","",IF($AH1312=20,IF(AND(OR($A1312=21,$A1312=215),$AJ1312=10),"①病院一般",IF(AND($A1312=31,$AJ1312=41),"②病院短期","対象外")),IF($AJ1312=30,"③特定消防",IF(AND(OR($A1312=21,$A1312=215),$AJ1312=10),"④一般",IF(AND($A1312=31,$AJ1312=41),"⑤短期","対象外")))))</f>
        <v>⑤短期</v>
      </c>
      <c r="DC1312" s="2909">
        <f>IF($A1312="","",IF($AB1312&amp;""='DB_設定'!$C$4,1,0))</f>
        <v>1</v>
      </c>
    </row>
    <row r="1313">
      <c r="A1313" t="n" s="2909">
        <v>31</v>
      </c>
      <c r="AA1313" t="n" s="2909">
        <v>21</v>
      </c>
      <c r="AB1313" t="inlineStr" s="2909">
        <is>
          <t>20250401</t>
        </is>
      </c>
      <c r="AD1313" t="n" s="2909">
        <v>12</v>
      </c>
      <c r="AE1313" t="inlineStr" s="2909">
        <is>
          <t>20250701</t>
        </is>
      </c>
      <c r="AH1313" t="n" s="2909">
        <v>1</v>
      </c>
      <c r="AJ1313" t="n" s="2909">
        <v>41</v>
      </c>
      <c r="AP1313" t="n" s="2909">
        <v>190000</v>
      </c>
      <c r="DB1313" s="2909" t="str">
        <f>IF($A1313="","",IF($AH1313=20,IF(AND(OR($A1313=21,$A1313=215),$AJ1313=10),"①病院一般",IF(AND($A1313=31,$AJ1313=41),"②病院短期","対象外")),IF($AJ1313=30,"③特定消防",IF(AND(OR($A1313=21,$A1313=215),$AJ1313=10),"④一般",IF(AND($A1313=31,$AJ1313=41),"⑤短期","対象外")))))</f>
        <v>⑤短期</v>
      </c>
      <c r="DC1313" s="2909">
        <f>IF($A1313="","",IF($AB1313&amp;""='DB_設定'!$C$4,1,0))</f>
        <v>1</v>
      </c>
    </row>
    <row r="1314">
      <c r="A1314" t="n" s="2909">
        <v>31</v>
      </c>
      <c r="AA1314" t="n" s="2909">
        <v>21</v>
      </c>
      <c r="AB1314" t="inlineStr" s="2909">
        <is>
          <t>20250401</t>
        </is>
      </c>
      <c r="AD1314" t="n" s="2909">
        <v>0</v>
      </c>
      <c r="AE1314" t="inlineStr" s="2909">
        <is>
          <t>00000000</t>
        </is>
      </c>
      <c r="AH1314" t="n" s="2909">
        <v>1</v>
      </c>
      <c r="AJ1314" t="n" s="2909">
        <v>41</v>
      </c>
      <c r="AP1314" t="n" s="2909">
        <v>190000</v>
      </c>
      <c r="DB1314" s="2909" t="str">
        <f>IF($A1314="","",IF($AH1314=20,IF(AND(OR($A1314=21,$A1314=215),$AJ1314=10),"①病院一般",IF(AND($A1314=31,$AJ1314=41),"②病院短期","対象外")),IF($AJ1314=30,"③特定消防",IF(AND(OR($A1314=21,$A1314=215),$AJ1314=10),"④一般",IF(AND($A1314=31,$AJ1314=41),"⑤短期","対象外")))))</f>
        <v>⑤短期</v>
      </c>
      <c r="DC1314" s="2909">
        <f>IF($A1314="","",IF($AB1314&amp;""='DB_設定'!$C$4,1,0))</f>
        <v>1</v>
      </c>
    </row>
    <row r="1315">
      <c r="A1315" t="n" s="2909">
        <v>31</v>
      </c>
      <c r="AA1315" t="n" s="2909">
        <v>21</v>
      </c>
      <c r="AB1315" t="inlineStr" s="2909">
        <is>
          <t>20250401</t>
        </is>
      </c>
      <c r="AD1315" t="n" s="2909">
        <v>0</v>
      </c>
      <c r="AE1315" t="inlineStr" s="2909">
        <is>
          <t>00000000</t>
        </is>
      </c>
      <c r="AH1315" t="n" s="2909">
        <v>1</v>
      </c>
      <c r="AJ1315" t="n" s="2909">
        <v>41</v>
      </c>
      <c r="AP1315" t="n" s="2909">
        <v>200000</v>
      </c>
      <c r="DB1315" s="2909" t="str">
        <f>IF($A1315="","",IF($AH1315=20,IF(AND(OR($A1315=21,$A1315=215),$AJ1315=10),"①病院一般",IF(AND($A1315=31,$AJ1315=41),"②病院短期","対象外")),IF($AJ1315=30,"③特定消防",IF(AND(OR($A1315=21,$A1315=215),$AJ1315=10),"④一般",IF(AND($A1315=31,$AJ1315=41),"⑤短期","対象外")))))</f>
        <v>⑤短期</v>
      </c>
      <c r="DC1315" s="2909">
        <f>IF($A1315="","",IF($AB1315&amp;""='DB_設定'!$C$4,1,0))</f>
        <v>1</v>
      </c>
    </row>
    <row r="1316">
      <c r="A1316" t="n" s="2909">
        <v>31</v>
      </c>
      <c r="AA1316" t="n" s="2909">
        <v>21</v>
      </c>
      <c r="AB1316" t="inlineStr" s="2909">
        <is>
          <t>20250401</t>
        </is>
      </c>
      <c r="AD1316" t="n" s="2909">
        <v>0</v>
      </c>
      <c r="AE1316" t="inlineStr" s="2909">
        <is>
          <t>00000000</t>
        </is>
      </c>
      <c r="AH1316" t="n" s="2909">
        <v>1</v>
      </c>
      <c r="AJ1316" t="n" s="2909">
        <v>41</v>
      </c>
      <c r="AP1316" t="n" s="2909">
        <v>190000</v>
      </c>
      <c r="DB1316" s="2909" t="str">
        <f>IF($A1316="","",IF($AH1316=20,IF(AND(OR($A1316=21,$A1316=215),$AJ1316=10),"①病院一般",IF(AND($A1316=31,$AJ1316=41),"②病院短期","対象外")),IF($AJ1316=30,"③特定消防",IF(AND(OR($A1316=21,$A1316=215),$AJ1316=10),"④一般",IF(AND($A1316=31,$AJ1316=41),"⑤短期","対象外")))))</f>
        <v>⑤短期</v>
      </c>
      <c r="DC1316" s="2909">
        <f>IF($A1316="","",IF($AB1316&amp;""='DB_設定'!$C$4,1,0))</f>
        <v>1</v>
      </c>
    </row>
    <row r="1317">
      <c r="A1317" t="n" s="2909">
        <v>31</v>
      </c>
      <c r="AA1317" t="n" s="2909">
        <v>21</v>
      </c>
      <c r="AB1317" t="inlineStr" s="2909">
        <is>
          <t>20250401</t>
        </is>
      </c>
      <c r="AD1317" t="n" s="2909">
        <v>0</v>
      </c>
      <c r="AE1317" t="inlineStr" s="2909">
        <is>
          <t>00000000</t>
        </is>
      </c>
      <c r="AH1317" t="n" s="2909">
        <v>1</v>
      </c>
      <c r="AJ1317" t="n" s="2909">
        <v>41</v>
      </c>
      <c r="AP1317" t="n" s="2909">
        <v>190000</v>
      </c>
      <c r="DB1317" s="2909" t="str">
        <f>IF($A1317="","",IF($AH1317=20,IF(AND(OR($A1317=21,$A1317=215),$AJ1317=10),"①病院一般",IF(AND($A1317=31,$AJ1317=41),"②病院短期","対象外")),IF($AJ1317=30,"③特定消防",IF(AND(OR($A1317=21,$A1317=215),$AJ1317=10),"④一般",IF(AND($A1317=31,$AJ1317=41),"⑤短期","対象外")))))</f>
        <v>⑤短期</v>
      </c>
      <c r="DC1317" s="2909">
        <f>IF($A1317="","",IF($AB1317&amp;""='DB_設定'!$C$4,1,0))</f>
        <v>1</v>
      </c>
    </row>
    <row r="1318">
      <c r="A1318" t="n" s="2909">
        <v>31</v>
      </c>
      <c r="AA1318" t="n" s="2909">
        <v>21</v>
      </c>
      <c r="AB1318" t="inlineStr" s="2909">
        <is>
          <t>20250401</t>
        </is>
      </c>
      <c r="AD1318" t="n" s="2909">
        <v>0</v>
      </c>
      <c r="AE1318" t="inlineStr" s="2909">
        <is>
          <t>00000000</t>
        </is>
      </c>
      <c r="AH1318" t="n" s="2909">
        <v>1</v>
      </c>
      <c r="AJ1318" t="n" s="2909">
        <v>41</v>
      </c>
      <c r="AP1318" t="n" s="2909">
        <v>170000</v>
      </c>
      <c r="DB1318" s="2909" t="str">
        <f>IF($A1318="","",IF($AH1318=20,IF(AND(OR($A1318=21,$A1318=215),$AJ1318=10),"①病院一般",IF(AND($A1318=31,$AJ1318=41),"②病院短期","対象外")),IF($AJ1318=30,"③特定消防",IF(AND(OR($A1318=21,$A1318=215),$AJ1318=10),"④一般",IF(AND($A1318=31,$AJ1318=41),"⑤短期","対象外")))))</f>
        <v>⑤短期</v>
      </c>
      <c r="DC1318" s="2909">
        <f>IF($A1318="","",IF($AB1318&amp;""='DB_設定'!$C$4,1,0))</f>
        <v>1</v>
      </c>
    </row>
    <row r="1319">
      <c r="A1319" t="n" s="2909">
        <v>31</v>
      </c>
      <c r="AA1319" t="n" s="2909">
        <v>21</v>
      </c>
      <c r="AB1319" t="inlineStr" s="2909">
        <is>
          <t>20250401</t>
        </is>
      </c>
      <c r="AD1319" t="n" s="2909">
        <v>0</v>
      </c>
      <c r="AE1319" t="inlineStr" s="2909">
        <is>
          <t>00000000</t>
        </is>
      </c>
      <c r="AH1319" t="n" s="2909">
        <v>1</v>
      </c>
      <c r="AJ1319" t="n" s="2909">
        <v>41</v>
      </c>
      <c r="AP1319" t="n" s="2909">
        <v>190000</v>
      </c>
      <c r="DB1319" s="2909" t="str">
        <f>IF($A1319="","",IF($AH1319=20,IF(AND(OR($A1319=21,$A1319=215),$AJ1319=10),"①病院一般",IF(AND($A1319=31,$AJ1319=41),"②病院短期","対象外")),IF($AJ1319=30,"③特定消防",IF(AND(OR($A1319=21,$A1319=215),$AJ1319=10),"④一般",IF(AND($A1319=31,$AJ1319=41),"⑤短期","対象外")))))</f>
        <v>⑤短期</v>
      </c>
      <c r="DC1319" s="2909">
        <f>IF($A1319="","",IF($AB1319&amp;""='DB_設定'!$C$4,1,0))</f>
        <v>1</v>
      </c>
    </row>
    <row r="1320">
      <c r="A1320" t="n" s="2909">
        <v>31</v>
      </c>
      <c r="AA1320" t="n" s="2909">
        <v>21</v>
      </c>
      <c r="AB1320" t="inlineStr" s="2909">
        <is>
          <t>20250401</t>
        </is>
      </c>
      <c r="AD1320" t="n" s="2909">
        <v>0</v>
      </c>
      <c r="AE1320" t="inlineStr" s="2909">
        <is>
          <t>00000000</t>
        </is>
      </c>
      <c r="AH1320" t="n" s="2909">
        <v>1</v>
      </c>
      <c r="AJ1320" t="n" s="2909">
        <v>41</v>
      </c>
      <c r="AP1320" t="n" s="2909">
        <v>134000</v>
      </c>
      <c r="DB1320" s="2909" t="str">
        <f>IF($A1320="","",IF($AH1320=20,IF(AND(OR($A1320=21,$A1320=215),$AJ1320=10),"①病院一般",IF(AND($A1320=31,$AJ1320=41),"②病院短期","対象外")),IF($AJ1320=30,"③特定消防",IF(AND(OR($A1320=21,$A1320=215),$AJ1320=10),"④一般",IF(AND($A1320=31,$AJ1320=41),"⑤短期","対象外")))))</f>
        <v>⑤短期</v>
      </c>
      <c r="DC1320" s="2909">
        <f>IF($A1320="","",IF($AB1320&amp;""='DB_設定'!$C$4,1,0))</f>
        <v>1</v>
      </c>
    </row>
    <row r="1321">
      <c r="A1321" t="n" s="2909">
        <v>31</v>
      </c>
      <c r="AA1321" t="n" s="2909">
        <v>21</v>
      </c>
      <c r="AB1321" t="inlineStr" s="2909">
        <is>
          <t>20250401</t>
        </is>
      </c>
      <c r="AD1321" t="n" s="2909">
        <v>0</v>
      </c>
      <c r="AE1321" t="inlineStr" s="2909">
        <is>
          <t>00000000</t>
        </is>
      </c>
      <c r="AH1321" t="n" s="2909">
        <v>1</v>
      </c>
      <c r="AJ1321" t="n" s="2909">
        <v>41</v>
      </c>
      <c r="AP1321" t="n" s="2909">
        <v>200000</v>
      </c>
      <c r="DB1321" s="2909" t="str">
        <f>IF($A1321="","",IF($AH1321=20,IF(AND(OR($A1321=21,$A1321=215),$AJ1321=10),"①病院一般",IF(AND($A1321=31,$AJ1321=41),"②病院短期","対象外")),IF($AJ1321=30,"③特定消防",IF(AND(OR($A1321=21,$A1321=215),$AJ1321=10),"④一般",IF(AND($A1321=31,$AJ1321=41),"⑤短期","対象外")))))</f>
        <v>⑤短期</v>
      </c>
      <c r="DC1321" s="2909">
        <f>IF($A1321="","",IF($AB1321&amp;""='DB_設定'!$C$4,1,0))</f>
        <v>1</v>
      </c>
    </row>
    <row r="1322">
      <c r="A1322" t="n" s="2909">
        <v>31</v>
      </c>
      <c r="AA1322" t="n" s="2909">
        <v>21</v>
      </c>
      <c r="AB1322" t="inlineStr" s="2909">
        <is>
          <t>20250401</t>
        </is>
      </c>
      <c r="AD1322" t="n" s="2909">
        <v>0</v>
      </c>
      <c r="AE1322" t="inlineStr" s="2909">
        <is>
          <t>00000000</t>
        </is>
      </c>
      <c r="AH1322" t="n" s="2909">
        <v>1</v>
      </c>
      <c r="AJ1322" t="n" s="2909">
        <v>41</v>
      </c>
      <c r="AP1322" t="n" s="2909">
        <v>190000</v>
      </c>
      <c r="DB1322" s="2909" t="str">
        <f>IF($A1322="","",IF($AH1322=20,IF(AND(OR($A1322=21,$A1322=215),$AJ1322=10),"①病院一般",IF(AND($A1322=31,$AJ1322=41),"②病院短期","対象外")),IF($AJ1322=30,"③特定消防",IF(AND(OR($A1322=21,$A1322=215),$AJ1322=10),"④一般",IF(AND($A1322=31,$AJ1322=41),"⑤短期","対象外")))))</f>
        <v>⑤短期</v>
      </c>
      <c r="DC1322" s="2909">
        <f>IF($A1322="","",IF($AB1322&amp;""='DB_設定'!$C$4,1,0))</f>
        <v>1</v>
      </c>
    </row>
    <row r="1323">
      <c r="A1323" t="n" s="2909">
        <v>31</v>
      </c>
      <c r="AA1323" t="n" s="2909">
        <v>21</v>
      </c>
      <c r="AB1323" t="inlineStr" s="2909">
        <is>
          <t>20250401</t>
        </is>
      </c>
      <c r="AD1323" t="n" s="2909">
        <v>0</v>
      </c>
      <c r="AE1323" t="inlineStr" s="2909">
        <is>
          <t>00000000</t>
        </is>
      </c>
      <c r="AH1323" t="n" s="2909">
        <v>1</v>
      </c>
      <c r="AJ1323" t="n" s="2909">
        <v>41</v>
      </c>
      <c r="AP1323" t="n" s="2909">
        <v>142000</v>
      </c>
      <c r="DB1323" s="2909" t="str">
        <f>IF($A1323="","",IF($AH1323=20,IF(AND(OR($A1323=21,$A1323=215),$AJ1323=10),"①病院一般",IF(AND($A1323=31,$AJ1323=41),"②病院短期","対象外")),IF($AJ1323=30,"③特定消防",IF(AND(OR($A1323=21,$A1323=215),$AJ1323=10),"④一般",IF(AND($A1323=31,$AJ1323=41),"⑤短期","対象外")))))</f>
        <v>⑤短期</v>
      </c>
      <c r="DC1323" s="2909">
        <f>IF($A1323="","",IF($AB1323&amp;""='DB_設定'!$C$4,1,0))</f>
        <v>1</v>
      </c>
    </row>
    <row r="1324">
      <c r="A1324" t="n" s="2909">
        <v>31</v>
      </c>
      <c r="AA1324" t="n" s="2909">
        <v>21</v>
      </c>
      <c r="AB1324" t="inlineStr" s="2909">
        <is>
          <t>20250401</t>
        </is>
      </c>
      <c r="AD1324" t="n" s="2909">
        <v>0</v>
      </c>
      <c r="AE1324" t="inlineStr" s="2909">
        <is>
          <t>00000000</t>
        </is>
      </c>
      <c r="AH1324" t="n" s="2909">
        <v>1</v>
      </c>
      <c r="AJ1324" t="n" s="2909">
        <v>41</v>
      </c>
      <c r="AP1324" t="n" s="2909">
        <v>190000</v>
      </c>
      <c r="DB1324" s="2909" t="str">
        <f>IF($A1324="","",IF($AH1324=20,IF(AND(OR($A1324=21,$A1324=215),$AJ1324=10),"①病院一般",IF(AND($A1324=31,$AJ1324=41),"②病院短期","対象外")),IF($AJ1324=30,"③特定消防",IF(AND(OR($A1324=21,$A1324=215),$AJ1324=10),"④一般",IF(AND($A1324=31,$AJ1324=41),"⑤短期","対象外")))))</f>
        <v>⑤短期</v>
      </c>
      <c r="DC1324" s="2909">
        <f>IF($A1324="","",IF($AB1324&amp;""='DB_設定'!$C$4,1,0))</f>
        <v>1</v>
      </c>
    </row>
    <row r="1325">
      <c r="A1325" t="n" s="2909">
        <v>31</v>
      </c>
      <c r="AA1325" t="n" s="2909">
        <v>21</v>
      </c>
      <c r="AB1325" t="inlineStr" s="2909">
        <is>
          <t>20250401</t>
        </is>
      </c>
      <c r="AD1325" t="n" s="2909">
        <v>0</v>
      </c>
      <c r="AE1325" t="inlineStr" s="2909">
        <is>
          <t>00000000</t>
        </is>
      </c>
      <c r="AH1325" t="n" s="2909">
        <v>5</v>
      </c>
      <c r="AJ1325" t="n" s="2909">
        <v>41</v>
      </c>
      <c r="AP1325" t="n" s="2909">
        <v>150000</v>
      </c>
      <c r="DB1325" s="2909" t="str">
        <f>IF($A1325="","",IF($AH1325=20,IF(AND(OR($A1325=21,$A1325=215),$AJ1325=10),"①病院一般",IF(AND($A1325=31,$AJ1325=41),"②病院短期","対象外")),IF($AJ1325=30,"③特定消防",IF(AND(OR($A1325=21,$A1325=215),$AJ1325=10),"④一般",IF(AND($A1325=31,$AJ1325=41),"⑤短期","対象外")))))</f>
        <v>⑤短期</v>
      </c>
      <c r="DC1325" s="2909">
        <f>IF($A1325="","",IF($AB1325&amp;""='DB_設定'!$C$4,1,0))</f>
        <v>1</v>
      </c>
    </row>
    <row r="1326">
      <c r="A1326" t="n" s="2909">
        <v>31</v>
      </c>
      <c r="AA1326" t="n" s="2909">
        <v>21</v>
      </c>
      <c r="AB1326" t="inlineStr" s="2909">
        <is>
          <t>20250401</t>
        </is>
      </c>
      <c r="AD1326" t="n" s="2909">
        <v>0</v>
      </c>
      <c r="AE1326" t="inlineStr" s="2909">
        <is>
          <t>00000000</t>
        </is>
      </c>
      <c r="AH1326" t="n" s="2909">
        <v>1</v>
      </c>
      <c r="AJ1326" t="n" s="2909">
        <v>41</v>
      </c>
      <c r="AP1326" t="n" s="2909">
        <v>190000</v>
      </c>
      <c r="DB1326" s="2909" t="str">
        <f>IF($A1326="","",IF($AH1326=20,IF(AND(OR($A1326=21,$A1326=215),$AJ1326=10),"①病院一般",IF(AND($A1326=31,$AJ1326=41),"②病院短期","対象外")),IF($AJ1326=30,"③特定消防",IF(AND(OR($A1326=21,$A1326=215),$AJ1326=10),"④一般",IF(AND($A1326=31,$AJ1326=41),"⑤短期","対象外")))))</f>
        <v>⑤短期</v>
      </c>
      <c r="DC1326" s="2909">
        <f>IF($A1326="","",IF($AB1326&amp;""='DB_設定'!$C$4,1,0))</f>
        <v>1</v>
      </c>
    </row>
    <row r="1327">
      <c r="A1327" t="n" s="2909">
        <v>31</v>
      </c>
      <c r="AA1327" t="n" s="2909">
        <v>21</v>
      </c>
      <c r="AB1327" t="inlineStr" s="2909">
        <is>
          <t>20250401</t>
        </is>
      </c>
      <c r="AD1327" t="n" s="2909">
        <v>0</v>
      </c>
      <c r="AE1327" t="inlineStr" s="2909">
        <is>
          <t>00000000</t>
        </is>
      </c>
      <c r="AH1327" t="n" s="2909">
        <v>1</v>
      </c>
      <c r="AJ1327" t="n" s="2909">
        <v>41</v>
      </c>
      <c r="AP1327" t="n" s="2909">
        <v>190000</v>
      </c>
      <c r="DB1327" s="2909" t="str">
        <f>IF($A1327="","",IF($AH1327=20,IF(AND(OR($A1327=21,$A1327=215),$AJ1327=10),"①病院一般",IF(AND($A1327=31,$AJ1327=41),"②病院短期","対象外")),IF($AJ1327=30,"③特定消防",IF(AND(OR($A1327=21,$A1327=215),$AJ1327=10),"④一般",IF(AND($A1327=31,$AJ1327=41),"⑤短期","対象外")))))</f>
        <v>⑤短期</v>
      </c>
      <c r="DC1327" s="2909">
        <f>IF($A1327="","",IF($AB1327&amp;""='DB_設定'!$C$4,1,0))</f>
        <v>1</v>
      </c>
    </row>
    <row r="1328">
      <c r="A1328" t="n" s="2909">
        <v>31</v>
      </c>
      <c r="AA1328" t="n" s="2909">
        <v>21</v>
      </c>
      <c r="AB1328" t="inlineStr" s="2909">
        <is>
          <t>20250401</t>
        </is>
      </c>
      <c r="AD1328" t="n" s="2909">
        <v>0</v>
      </c>
      <c r="AE1328" t="inlineStr" s="2909">
        <is>
          <t>00000000</t>
        </is>
      </c>
      <c r="AH1328" t="n" s="2909">
        <v>1</v>
      </c>
      <c r="AJ1328" t="n" s="2909">
        <v>41</v>
      </c>
      <c r="AP1328" t="n" s="2909">
        <v>190000</v>
      </c>
      <c r="DB1328" s="2909" t="str">
        <f>IF($A1328="","",IF($AH1328=20,IF(AND(OR($A1328=21,$A1328=215),$AJ1328=10),"①病院一般",IF(AND($A1328=31,$AJ1328=41),"②病院短期","対象外")),IF($AJ1328=30,"③特定消防",IF(AND(OR($A1328=21,$A1328=215),$AJ1328=10),"④一般",IF(AND($A1328=31,$AJ1328=41),"⑤短期","対象外")))))</f>
        <v>⑤短期</v>
      </c>
      <c r="DC1328" s="2909">
        <f>IF($A1328="","",IF($AB1328&amp;""='DB_設定'!$C$4,1,0))</f>
        <v>1</v>
      </c>
    </row>
    <row r="1329">
      <c r="A1329" t="n" s="2909">
        <v>31</v>
      </c>
      <c r="AA1329" t="n" s="2909">
        <v>21</v>
      </c>
      <c r="AB1329" t="inlineStr" s="2909">
        <is>
          <t>20250401</t>
        </is>
      </c>
      <c r="AD1329" t="n" s="2909">
        <v>0</v>
      </c>
      <c r="AE1329" t="inlineStr" s="2909">
        <is>
          <t>00000000</t>
        </is>
      </c>
      <c r="AH1329" t="n" s="2909">
        <v>1</v>
      </c>
      <c r="AJ1329" t="n" s="2909">
        <v>41</v>
      </c>
      <c r="AP1329" t="n" s="2909">
        <v>150000</v>
      </c>
      <c r="DB1329" s="2909" t="str">
        <f>IF($A1329="","",IF($AH1329=20,IF(AND(OR($A1329=21,$A1329=215),$AJ1329=10),"①病院一般",IF(AND($A1329=31,$AJ1329=41),"②病院短期","対象外")),IF($AJ1329=30,"③特定消防",IF(AND(OR($A1329=21,$A1329=215),$AJ1329=10),"④一般",IF(AND($A1329=31,$AJ1329=41),"⑤短期","対象外")))))</f>
        <v>⑤短期</v>
      </c>
      <c r="DC1329" s="2909">
        <f>IF($A1329="","",IF($AB1329&amp;""='DB_設定'!$C$4,1,0))</f>
        <v>1</v>
      </c>
    </row>
    <row r="1330">
      <c r="A1330" t="n" s="2909">
        <v>31</v>
      </c>
      <c r="AA1330" t="n" s="2909">
        <v>21</v>
      </c>
      <c r="AB1330" t="inlineStr" s="2909">
        <is>
          <t>20250401</t>
        </is>
      </c>
      <c r="AD1330" t="n" s="2909">
        <v>0</v>
      </c>
      <c r="AE1330" t="inlineStr" s="2909">
        <is>
          <t>00000000</t>
        </is>
      </c>
      <c r="AH1330" t="n" s="2909">
        <v>1</v>
      </c>
      <c r="AJ1330" t="n" s="2909">
        <v>41</v>
      </c>
      <c r="AP1330" t="n" s="2909">
        <v>142000</v>
      </c>
      <c r="DB1330" s="2909" t="str">
        <f>IF($A1330="","",IF($AH1330=20,IF(AND(OR($A1330=21,$A1330=215),$AJ1330=10),"①病院一般",IF(AND($A1330=31,$AJ1330=41),"②病院短期","対象外")),IF($AJ1330=30,"③特定消防",IF(AND(OR($A1330=21,$A1330=215),$AJ1330=10),"④一般",IF(AND($A1330=31,$AJ1330=41),"⑤短期","対象外")))))</f>
        <v>⑤短期</v>
      </c>
      <c r="DC1330" s="2909">
        <f>IF($A1330="","",IF($AB1330&amp;""='DB_設定'!$C$4,1,0))</f>
        <v>1</v>
      </c>
    </row>
    <row r="1331">
      <c r="A1331" t="n" s="2909">
        <v>31</v>
      </c>
      <c r="AA1331" t="n" s="2909">
        <v>21</v>
      </c>
      <c r="AB1331" t="inlineStr" s="2909">
        <is>
          <t>20250401</t>
        </is>
      </c>
      <c r="AD1331" t="n" s="2909">
        <v>0</v>
      </c>
      <c r="AE1331" t="inlineStr" s="2909">
        <is>
          <t>00000000</t>
        </is>
      </c>
      <c r="AH1331" t="n" s="2909">
        <v>1</v>
      </c>
      <c r="AJ1331" t="n" s="2909">
        <v>41</v>
      </c>
      <c r="AP1331" t="n" s="2909">
        <v>134000</v>
      </c>
      <c r="DB1331" s="2909" t="str">
        <f>IF($A1331="","",IF($AH1331=20,IF(AND(OR($A1331=21,$A1331=215),$AJ1331=10),"①病院一般",IF(AND($A1331=31,$AJ1331=41),"②病院短期","対象外")),IF($AJ1331=30,"③特定消防",IF(AND(OR($A1331=21,$A1331=215),$AJ1331=10),"④一般",IF(AND($A1331=31,$AJ1331=41),"⑤短期","対象外")))))</f>
        <v>⑤短期</v>
      </c>
      <c r="DC1331" s="2909">
        <f>IF($A1331="","",IF($AB1331&amp;""='DB_設定'!$C$4,1,0))</f>
        <v>1</v>
      </c>
    </row>
    <row r="1332">
      <c r="A1332" t="n" s="2909">
        <v>31</v>
      </c>
      <c r="AA1332" t="n" s="2909">
        <v>21</v>
      </c>
      <c r="AB1332" t="inlineStr" s="2909">
        <is>
          <t>20250401</t>
        </is>
      </c>
      <c r="AD1332" t="n" s="2909">
        <v>0</v>
      </c>
      <c r="AE1332" t="inlineStr" s="2909">
        <is>
          <t>00000000</t>
        </is>
      </c>
      <c r="AH1332" t="n" s="2909">
        <v>1</v>
      </c>
      <c r="AJ1332" t="n" s="2909">
        <v>41</v>
      </c>
      <c r="AP1332" t="n" s="2909">
        <v>200000</v>
      </c>
      <c r="DB1332" s="2909" t="str">
        <f>IF($A1332="","",IF($AH1332=20,IF(AND(OR($A1332=21,$A1332=215),$AJ1332=10),"①病院一般",IF(AND($A1332=31,$AJ1332=41),"②病院短期","対象外")),IF($AJ1332=30,"③特定消防",IF(AND(OR($A1332=21,$A1332=215),$AJ1332=10),"④一般",IF(AND($A1332=31,$AJ1332=41),"⑤短期","対象外")))))</f>
        <v>⑤短期</v>
      </c>
      <c r="DC1332" s="2909">
        <f>IF($A1332="","",IF($AB1332&amp;""='DB_設定'!$C$4,1,0))</f>
        <v>1</v>
      </c>
    </row>
    <row r="1333">
      <c r="A1333" t="n" s="2909">
        <v>31</v>
      </c>
      <c r="AA1333" t="n" s="2909">
        <v>21</v>
      </c>
      <c r="AB1333" t="inlineStr" s="2909">
        <is>
          <t>20250401</t>
        </is>
      </c>
      <c r="AD1333" t="n" s="2909">
        <v>0</v>
      </c>
      <c r="AE1333" t="inlineStr" s="2909">
        <is>
          <t>00000000</t>
        </is>
      </c>
      <c r="AH1333" t="n" s="2909">
        <v>1</v>
      </c>
      <c r="AJ1333" t="n" s="2909">
        <v>41</v>
      </c>
      <c r="AP1333" t="n" s="2909">
        <v>142000</v>
      </c>
      <c r="DB1333" s="2909" t="str">
        <f>IF($A1333="","",IF($AH1333=20,IF(AND(OR($A1333=21,$A1333=215),$AJ1333=10),"①病院一般",IF(AND($A1333=31,$AJ1333=41),"②病院短期","対象外")),IF($AJ1333=30,"③特定消防",IF(AND(OR($A1333=21,$A1333=215),$AJ1333=10),"④一般",IF(AND($A1333=31,$AJ1333=41),"⑤短期","対象外")))))</f>
        <v>⑤短期</v>
      </c>
      <c r="DC1333" s="2909">
        <f>IF($A1333="","",IF($AB1333&amp;""='DB_設定'!$C$4,1,0))</f>
        <v>1</v>
      </c>
    </row>
    <row r="1334">
      <c r="A1334" t="n" s="2909">
        <v>31</v>
      </c>
      <c r="AA1334" t="n" s="2909">
        <v>21</v>
      </c>
      <c r="AB1334" t="inlineStr" s="2909">
        <is>
          <t>20250401</t>
        </is>
      </c>
      <c r="AD1334" t="n" s="2909">
        <v>0</v>
      </c>
      <c r="AE1334" t="inlineStr" s="2909">
        <is>
          <t>00000000</t>
        </is>
      </c>
      <c r="AH1334" t="n" s="2909">
        <v>1</v>
      </c>
      <c r="AJ1334" t="n" s="2909">
        <v>41</v>
      </c>
      <c r="AP1334" t="n" s="2909">
        <v>190000</v>
      </c>
      <c r="DB1334" s="2909" t="str">
        <f>IF($A1334="","",IF($AH1334=20,IF(AND(OR($A1334=21,$A1334=215),$AJ1334=10),"①病院一般",IF(AND($A1334=31,$AJ1334=41),"②病院短期","対象外")),IF($AJ1334=30,"③特定消防",IF(AND(OR($A1334=21,$A1334=215),$AJ1334=10),"④一般",IF(AND($A1334=31,$AJ1334=41),"⑤短期","対象外")))))</f>
        <v>⑤短期</v>
      </c>
      <c r="DC1334" s="2909">
        <f>IF($A1334="","",IF($AB1334&amp;""='DB_設定'!$C$4,1,0))</f>
        <v>1</v>
      </c>
    </row>
    <row r="1335">
      <c r="A1335" t="n" s="2909">
        <v>31</v>
      </c>
      <c r="AA1335" t="n" s="2909">
        <v>21</v>
      </c>
      <c r="AB1335" t="inlineStr" s="2909">
        <is>
          <t>20250401</t>
        </is>
      </c>
      <c r="AD1335" t="n" s="2909">
        <v>0</v>
      </c>
      <c r="AE1335" t="inlineStr" s="2909">
        <is>
          <t>00000000</t>
        </is>
      </c>
      <c r="AH1335" t="n" s="2909">
        <v>1</v>
      </c>
      <c r="AJ1335" t="n" s="2909">
        <v>41</v>
      </c>
      <c r="AP1335" t="n" s="2909">
        <v>260000</v>
      </c>
      <c r="DB1335" s="2909" t="str">
        <f>IF($A1335="","",IF($AH1335=20,IF(AND(OR($A1335=21,$A1335=215),$AJ1335=10),"①病院一般",IF(AND($A1335=31,$AJ1335=41),"②病院短期","対象外")),IF($AJ1335=30,"③特定消防",IF(AND(OR($A1335=21,$A1335=215),$AJ1335=10),"④一般",IF(AND($A1335=31,$AJ1335=41),"⑤短期","対象外")))))</f>
        <v>⑤短期</v>
      </c>
      <c r="DC1335" s="2909">
        <f>IF($A1335="","",IF($AB1335&amp;""='DB_設定'!$C$4,1,0))</f>
        <v>1</v>
      </c>
    </row>
    <row r="1336">
      <c r="A1336" t="n" s="2909">
        <v>31</v>
      </c>
      <c r="AA1336" t="n" s="2909">
        <v>21</v>
      </c>
      <c r="AB1336" t="inlineStr" s="2909">
        <is>
          <t>20250401</t>
        </is>
      </c>
      <c r="AD1336" t="n" s="2909">
        <v>0</v>
      </c>
      <c r="AE1336" t="inlineStr" s="2909">
        <is>
          <t>00000000</t>
        </is>
      </c>
      <c r="AH1336" t="n" s="2909">
        <v>1</v>
      </c>
      <c r="AJ1336" t="n" s="2909">
        <v>41</v>
      </c>
      <c r="AP1336" t="n" s="2909">
        <v>190000</v>
      </c>
      <c r="DB1336" s="2909" t="str">
        <f>IF($A1336="","",IF($AH1336=20,IF(AND(OR($A1336=21,$A1336=215),$AJ1336=10),"①病院一般",IF(AND($A1336=31,$AJ1336=41),"②病院短期","対象外")),IF($AJ1336=30,"③特定消防",IF(AND(OR($A1336=21,$A1336=215),$AJ1336=10),"④一般",IF(AND($A1336=31,$AJ1336=41),"⑤短期","対象外")))))</f>
        <v>⑤短期</v>
      </c>
      <c r="DC1336" s="2909">
        <f>IF($A1336="","",IF($AB1336&amp;""='DB_設定'!$C$4,1,0))</f>
        <v>1</v>
      </c>
    </row>
    <row r="1337">
      <c r="A1337" t="n" s="2909">
        <v>31</v>
      </c>
      <c r="AA1337" t="n" s="2909">
        <v>21</v>
      </c>
      <c r="AB1337" t="inlineStr" s="2909">
        <is>
          <t>20250401</t>
        </is>
      </c>
      <c r="AD1337" t="n" s="2909">
        <v>0</v>
      </c>
      <c r="AE1337" t="inlineStr" s="2909">
        <is>
          <t>00000000</t>
        </is>
      </c>
      <c r="AH1337" t="n" s="2909">
        <v>1</v>
      </c>
      <c r="AJ1337" t="n" s="2909">
        <v>41</v>
      </c>
      <c r="AP1337" t="n" s="2909">
        <v>260000</v>
      </c>
      <c r="DB1337" s="2909" t="str">
        <f>IF($A1337="","",IF($AH1337=20,IF(AND(OR($A1337=21,$A1337=215),$AJ1337=10),"①病院一般",IF(AND($A1337=31,$AJ1337=41),"②病院短期","対象外")),IF($AJ1337=30,"③特定消防",IF(AND(OR($A1337=21,$A1337=215),$AJ1337=10),"④一般",IF(AND($A1337=31,$AJ1337=41),"⑤短期","対象外")))))</f>
        <v>⑤短期</v>
      </c>
      <c r="DC1337" s="2909">
        <f>IF($A1337="","",IF($AB1337&amp;""='DB_設定'!$C$4,1,0))</f>
        <v>1</v>
      </c>
    </row>
    <row r="1338">
      <c r="A1338" t="n" s="2909">
        <v>31</v>
      </c>
      <c r="AA1338" t="n" s="2909">
        <v>21</v>
      </c>
      <c r="AB1338" t="inlineStr" s="2909">
        <is>
          <t>20250401</t>
        </is>
      </c>
      <c r="AD1338" t="n" s="2909">
        <v>0</v>
      </c>
      <c r="AE1338" t="inlineStr" s="2909">
        <is>
          <t>00000000</t>
        </is>
      </c>
      <c r="AH1338" t="n" s="2909">
        <v>1</v>
      </c>
      <c r="AJ1338" t="n" s="2909">
        <v>41</v>
      </c>
      <c r="AP1338" t="n" s="2909">
        <v>260000</v>
      </c>
      <c r="DB1338" s="2909" t="str">
        <f>IF($A1338="","",IF($AH1338=20,IF(AND(OR($A1338=21,$A1338=215),$AJ1338=10),"①病院一般",IF(AND($A1338=31,$AJ1338=41),"②病院短期","対象外")),IF($AJ1338=30,"③特定消防",IF(AND(OR($A1338=21,$A1338=215),$AJ1338=10),"④一般",IF(AND($A1338=31,$AJ1338=41),"⑤短期","対象外")))))</f>
        <v>⑤短期</v>
      </c>
      <c r="DC1338" s="2909">
        <f>IF($A1338="","",IF($AB1338&amp;""='DB_設定'!$C$4,1,0))</f>
        <v>1</v>
      </c>
    </row>
    <row r="1339">
      <c r="A1339" t="n" s="2909">
        <v>31</v>
      </c>
      <c r="AA1339" t="n" s="2909">
        <v>21</v>
      </c>
      <c r="AB1339" t="inlineStr" s="2909">
        <is>
          <t>20250401</t>
        </is>
      </c>
      <c r="AD1339" t="n" s="2909">
        <v>0</v>
      </c>
      <c r="AE1339" t="inlineStr" s="2909">
        <is>
          <t>00000000</t>
        </is>
      </c>
      <c r="AH1339" t="n" s="2909">
        <v>1</v>
      </c>
      <c r="AJ1339" t="n" s="2909">
        <v>41</v>
      </c>
      <c r="AP1339" t="n" s="2909">
        <v>260000</v>
      </c>
      <c r="DB1339" s="2909" t="str">
        <f>IF($A1339="","",IF($AH1339=20,IF(AND(OR($A1339=21,$A1339=215),$AJ1339=10),"①病院一般",IF(AND($A1339=31,$AJ1339=41),"②病院短期","対象外")),IF($AJ1339=30,"③特定消防",IF(AND(OR($A1339=21,$A1339=215),$AJ1339=10),"④一般",IF(AND($A1339=31,$AJ1339=41),"⑤短期","対象外")))))</f>
        <v>⑤短期</v>
      </c>
      <c r="DC1339" s="2909">
        <f>IF($A1339="","",IF($AB1339&amp;""='DB_設定'!$C$4,1,0))</f>
        <v>1</v>
      </c>
    </row>
    <row r="1340">
      <c r="A1340" t="n" s="2909">
        <v>31</v>
      </c>
      <c r="AA1340" t="n" s="2909">
        <v>21</v>
      </c>
      <c r="AB1340" t="inlineStr" s="2909">
        <is>
          <t>20250401</t>
        </is>
      </c>
      <c r="AD1340" t="n" s="2909">
        <v>0</v>
      </c>
      <c r="AE1340" t="inlineStr" s="2909">
        <is>
          <t>00000000</t>
        </is>
      </c>
      <c r="AH1340" t="n" s="2909">
        <v>1</v>
      </c>
      <c r="AJ1340" t="n" s="2909">
        <v>41</v>
      </c>
      <c r="AP1340" t="n" s="2909">
        <v>260000</v>
      </c>
      <c r="DB1340" s="2909" t="str">
        <f>IF($A1340="","",IF($AH1340=20,IF(AND(OR($A1340=21,$A1340=215),$AJ1340=10),"①病院一般",IF(AND($A1340=31,$AJ1340=41),"②病院短期","対象外")),IF($AJ1340=30,"③特定消防",IF(AND(OR($A1340=21,$A1340=215),$AJ1340=10),"④一般",IF(AND($A1340=31,$AJ1340=41),"⑤短期","対象外")))))</f>
        <v>⑤短期</v>
      </c>
      <c r="DC1340" s="2909">
        <f>IF($A1340="","",IF($AB1340&amp;""='DB_設定'!$C$4,1,0))</f>
        <v>1</v>
      </c>
    </row>
    <row r="1341">
      <c r="A1341" t="n" s="2909">
        <v>31</v>
      </c>
      <c r="AA1341" t="n" s="2909">
        <v>21</v>
      </c>
      <c r="AB1341" t="inlineStr" s="2909">
        <is>
          <t>20250401</t>
        </is>
      </c>
      <c r="AD1341" t="n" s="2909">
        <v>0</v>
      </c>
      <c r="AE1341" t="inlineStr" s="2909">
        <is>
          <t>00000000</t>
        </is>
      </c>
      <c r="AH1341" t="n" s="2909">
        <v>1</v>
      </c>
      <c r="AJ1341" t="n" s="2909">
        <v>41</v>
      </c>
      <c r="AP1341" t="n" s="2909">
        <v>260000</v>
      </c>
      <c r="DB1341" s="2909" t="str">
        <f>IF($A1341="","",IF($AH1341=20,IF(AND(OR($A1341=21,$A1341=215),$AJ1341=10),"①病院一般",IF(AND($A1341=31,$AJ1341=41),"②病院短期","対象外")),IF($AJ1341=30,"③特定消防",IF(AND(OR($A1341=21,$A1341=215),$AJ1341=10),"④一般",IF(AND($A1341=31,$AJ1341=41),"⑤短期","対象外")))))</f>
        <v>⑤短期</v>
      </c>
      <c r="DC1341" s="2909">
        <f>IF($A1341="","",IF($AB1341&amp;""='DB_設定'!$C$4,1,0))</f>
        <v>1</v>
      </c>
    </row>
    <row r="1342">
      <c r="A1342" t="n" s="2909">
        <v>31</v>
      </c>
      <c r="AA1342" t="n" s="2909">
        <v>21</v>
      </c>
      <c r="AB1342" t="inlineStr" s="2909">
        <is>
          <t>20250401</t>
        </is>
      </c>
      <c r="AD1342" t="n" s="2909">
        <v>0</v>
      </c>
      <c r="AE1342" t="inlineStr" s="2909">
        <is>
          <t>00000000</t>
        </is>
      </c>
      <c r="AH1342" t="n" s="2909">
        <v>1</v>
      </c>
      <c r="AJ1342" t="n" s="2909">
        <v>41</v>
      </c>
      <c r="AP1342" t="n" s="2909">
        <v>260000</v>
      </c>
      <c r="DB1342" s="2909" t="str">
        <f>IF($A1342="","",IF($AH1342=20,IF(AND(OR($A1342=21,$A1342=215),$AJ1342=10),"①病院一般",IF(AND($A1342=31,$AJ1342=41),"②病院短期","対象外")),IF($AJ1342=30,"③特定消防",IF(AND(OR($A1342=21,$A1342=215),$AJ1342=10),"④一般",IF(AND($A1342=31,$AJ1342=41),"⑤短期","対象外")))))</f>
        <v>⑤短期</v>
      </c>
      <c r="DC1342" s="2909">
        <f>IF($A1342="","",IF($AB1342&amp;""='DB_設定'!$C$4,1,0))</f>
        <v>1</v>
      </c>
    </row>
    <row r="1343">
      <c r="A1343" t="n" s="2909">
        <v>31</v>
      </c>
      <c r="AA1343" t="n" s="2909">
        <v>21</v>
      </c>
      <c r="AB1343" t="inlineStr" s="2909">
        <is>
          <t>20250401</t>
        </is>
      </c>
      <c r="AD1343" t="n" s="2909">
        <v>0</v>
      </c>
      <c r="AE1343" t="inlineStr" s="2909">
        <is>
          <t>00000000</t>
        </is>
      </c>
      <c r="AH1343" t="n" s="2909">
        <v>1</v>
      </c>
      <c r="AJ1343" t="n" s="2909">
        <v>41</v>
      </c>
      <c r="AP1343" t="n" s="2909">
        <v>260000</v>
      </c>
      <c r="DB1343" s="2909" t="str">
        <f>IF($A1343="","",IF($AH1343=20,IF(AND(OR($A1343=21,$A1343=215),$AJ1343=10),"①病院一般",IF(AND($A1343=31,$AJ1343=41),"②病院短期","対象外")),IF($AJ1343=30,"③特定消防",IF(AND(OR($A1343=21,$A1343=215),$AJ1343=10),"④一般",IF(AND($A1343=31,$AJ1343=41),"⑤短期","対象外")))))</f>
        <v>⑤短期</v>
      </c>
      <c r="DC1343" s="2909">
        <f>IF($A1343="","",IF($AB1343&amp;""='DB_設定'!$C$4,1,0))</f>
        <v>1</v>
      </c>
    </row>
    <row r="1344">
      <c r="A1344" t="n" s="2909">
        <v>31</v>
      </c>
      <c r="AA1344" t="n" s="2909">
        <v>21</v>
      </c>
      <c r="AB1344" t="inlineStr" s="2909">
        <is>
          <t>20250401</t>
        </is>
      </c>
      <c r="AD1344" t="n" s="2909">
        <v>0</v>
      </c>
      <c r="AE1344" t="inlineStr" s="2909">
        <is>
          <t>00000000</t>
        </is>
      </c>
      <c r="AH1344" t="n" s="2909">
        <v>1</v>
      </c>
      <c r="AJ1344" t="n" s="2909">
        <v>41</v>
      </c>
      <c r="AP1344" t="n" s="2909">
        <v>260000</v>
      </c>
      <c r="DB1344" s="2909" t="str">
        <f>IF($A1344="","",IF($AH1344=20,IF(AND(OR($A1344=21,$A1344=215),$AJ1344=10),"①病院一般",IF(AND($A1344=31,$AJ1344=41),"②病院短期","対象外")),IF($AJ1344=30,"③特定消防",IF(AND(OR($A1344=21,$A1344=215),$AJ1344=10),"④一般",IF(AND($A1344=31,$AJ1344=41),"⑤短期","対象外")))))</f>
        <v>⑤短期</v>
      </c>
      <c r="DC1344" s="2909">
        <f>IF($A1344="","",IF($AB1344&amp;""='DB_設定'!$C$4,1,0))</f>
        <v>1</v>
      </c>
    </row>
    <row r="1345">
      <c r="A1345" t="n" s="2909">
        <v>31</v>
      </c>
      <c r="AA1345" t="n" s="2909">
        <v>21</v>
      </c>
      <c r="AB1345" t="inlineStr" s="2909">
        <is>
          <t>20250401</t>
        </is>
      </c>
      <c r="AD1345" t="n" s="2909">
        <v>0</v>
      </c>
      <c r="AE1345" t="inlineStr" s="2909">
        <is>
          <t>00000000</t>
        </is>
      </c>
      <c r="AH1345" t="n" s="2909">
        <v>1</v>
      </c>
      <c r="AJ1345" t="n" s="2909">
        <v>41</v>
      </c>
      <c r="AP1345" t="n" s="2909">
        <v>260000</v>
      </c>
      <c r="DB1345" s="2909" t="str">
        <f>IF($A1345="","",IF($AH1345=20,IF(AND(OR($A1345=21,$A1345=215),$AJ1345=10),"①病院一般",IF(AND($A1345=31,$AJ1345=41),"②病院短期","対象外")),IF($AJ1345=30,"③特定消防",IF(AND(OR($A1345=21,$A1345=215),$AJ1345=10),"④一般",IF(AND($A1345=31,$AJ1345=41),"⑤短期","対象外")))))</f>
        <v>⑤短期</v>
      </c>
      <c r="DC1345" s="2909">
        <f>IF($A1345="","",IF($AB1345&amp;""='DB_設定'!$C$4,1,0))</f>
        <v>1</v>
      </c>
    </row>
    <row r="1346">
      <c r="A1346" t="n" s="2909">
        <v>31</v>
      </c>
      <c r="AA1346" t="n" s="2909">
        <v>21</v>
      </c>
      <c r="AB1346" t="inlineStr" s="2909">
        <is>
          <t>20250401</t>
        </is>
      </c>
      <c r="AD1346" t="n" s="2909">
        <v>0</v>
      </c>
      <c r="AE1346" t="inlineStr" s="2909">
        <is>
          <t>00000000</t>
        </is>
      </c>
      <c r="AH1346" t="n" s="2909">
        <v>1</v>
      </c>
      <c r="AJ1346" t="n" s="2909">
        <v>41</v>
      </c>
      <c r="AP1346" t="n" s="2909">
        <v>260000</v>
      </c>
      <c r="DB1346" s="2909" t="str">
        <f>IF($A1346="","",IF($AH1346=20,IF(AND(OR($A1346=21,$A1346=215),$AJ1346=10),"①病院一般",IF(AND($A1346=31,$AJ1346=41),"②病院短期","対象外")),IF($AJ1346=30,"③特定消防",IF(AND(OR($A1346=21,$A1346=215),$AJ1346=10),"④一般",IF(AND($A1346=31,$AJ1346=41),"⑤短期","対象外")))))</f>
        <v>⑤短期</v>
      </c>
      <c r="DC1346" s="2909">
        <f>IF($A1346="","",IF($AB1346&amp;""='DB_設定'!$C$4,1,0))</f>
        <v>1</v>
      </c>
    </row>
    <row r="1347">
      <c r="A1347" t="n" s="2909">
        <v>31</v>
      </c>
      <c r="AA1347" t="n" s="2909">
        <v>21</v>
      </c>
      <c r="AB1347" t="inlineStr" s="2909">
        <is>
          <t>20250401</t>
        </is>
      </c>
      <c r="AD1347" t="n" s="2909">
        <v>0</v>
      </c>
      <c r="AE1347" t="inlineStr" s="2909">
        <is>
          <t>00000000</t>
        </is>
      </c>
      <c r="AH1347" t="n" s="2909">
        <v>1</v>
      </c>
      <c r="AJ1347" t="n" s="2909">
        <v>41</v>
      </c>
      <c r="AP1347" t="n" s="2909">
        <v>260000</v>
      </c>
      <c r="DB1347" s="2909" t="str">
        <f>IF($A1347="","",IF($AH1347=20,IF(AND(OR($A1347=21,$A1347=215),$AJ1347=10),"①病院一般",IF(AND($A1347=31,$AJ1347=41),"②病院短期","対象外")),IF($AJ1347=30,"③特定消防",IF(AND(OR($A1347=21,$A1347=215),$AJ1347=10),"④一般",IF(AND($A1347=31,$AJ1347=41),"⑤短期","対象外")))))</f>
        <v>⑤短期</v>
      </c>
      <c r="DC1347" s="2909">
        <f>IF($A1347="","",IF($AB1347&amp;""='DB_設定'!$C$4,1,0))</f>
        <v>1</v>
      </c>
    </row>
    <row r="1348">
      <c r="A1348" t="n" s="2909">
        <v>31</v>
      </c>
      <c r="AA1348" t="n" s="2909">
        <v>21</v>
      </c>
      <c r="AB1348" t="inlineStr" s="2909">
        <is>
          <t>20250401</t>
        </is>
      </c>
      <c r="AD1348" t="n" s="2909">
        <v>0</v>
      </c>
      <c r="AE1348" t="inlineStr" s="2909">
        <is>
          <t>00000000</t>
        </is>
      </c>
      <c r="AH1348" t="n" s="2909">
        <v>1</v>
      </c>
      <c r="AJ1348" t="n" s="2909">
        <v>41</v>
      </c>
      <c r="AP1348" t="n" s="2909">
        <v>260000</v>
      </c>
      <c r="DB1348" s="2909" t="str">
        <f>IF($A1348="","",IF($AH1348=20,IF(AND(OR($A1348=21,$A1348=215),$AJ1348=10),"①病院一般",IF(AND($A1348=31,$AJ1348=41),"②病院短期","対象外")),IF($AJ1348=30,"③特定消防",IF(AND(OR($A1348=21,$A1348=215),$AJ1348=10),"④一般",IF(AND($A1348=31,$AJ1348=41),"⑤短期","対象外")))))</f>
        <v>⑤短期</v>
      </c>
      <c r="DC1348" s="2909">
        <f>IF($A1348="","",IF($AB1348&amp;""='DB_設定'!$C$4,1,0))</f>
        <v>1</v>
      </c>
    </row>
    <row r="1349">
      <c r="A1349" t="n" s="2909">
        <v>31</v>
      </c>
      <c r="AA1349" t="n" s="2909">
        <v>21</v>
      </c>
      <c r="AB1349" t="inlineStr" s="2909">
        <is>
          <t>20250401</t>
        </is>
      </c>
      <c r="AD1349" t="n" s="2909">
        <v>0</v>
      </c>
      <c r="AE1349" t="inlineStr" s="2909">
        <is>
          <t>00000000</t>
        </is>
      </c>
      <c r="AH1349" t="n" s="2909">
        <v>1</v>
      </c>
      <c r="AJ1349" t="n" s="2909">
        <v>41</v>
      </c>
      <c r="AP1349" t="n" s="2909">
        <v>280000</v>
      </c>
      <c r="DB1349" s="2909" t="str">
        <f>IF($A1349="","",IF($AH1349=20,IF(AND(OR($A1349=21,$A1349=215),$AJ1349=10),"①病院一般",IF(AND($A1349=31,$AJ1349=41),"②病院短期","対象外")),IF($AJ1349=30,"③特定消防",IF(AND(OR($A1349=21,$A1349=215),$AJ1349=10),"④一般",IF(AND($A1349=31,$AJ1349=41),"⑤短期","対象外")))))</f>
        <v>⑤短期</v>
      </c>
      <c r="DC1349" s="2909">
        <f>IF($A1349="","",IF($AB1349&amp;""='DB_設定'!$C$4,1,0))</f>
        <v>1</v>
      </c>
    </row>
    <row r="1350">
      <c r="A1350" t="n" s="2909">
        <v>31</v>
      </c>
      <c r="AA1350" t="n" s="2909">
        <v>21</v>
      </c>
      <c r="AB1350" t="inlineStr" s="2909">
        <is>
          <t>20250401</t>
        </is>
      </c>
      <c r="AD1350" t="n" s="2909">
        <v>0</v>
      </c>
      <c r="AE1350" t="inlineStr" s="2909">
        <is>
          <t>00000000</t>
        </is>
      </c>
      <c r="AH1350" t="n" s="2909">
        <v>1</v>
      </c>
      <c r="AJ1350" t="n" s="2909">
        <v>41</v>
      </c>
      <c r="AP1350" t="n" s="2909">
        <v>260000</v>
      </c>
      <c r="DB1350" s="2909" t="str">
        <f>IF($A1350="","",IF($AH1350=20,IF(AND(OR($A1350=21,$A1350=215),$AJ1350=10),"①病院一般",IF(AND($A1350=31,$AJ1350=41),"②病院短期","対象外")),IF($AJ1350=30,"③特定消防",IF(AND(OR($A1350=21,$A1350=215),$AJ1350=10),"④一般",IF(AND($A1350=31,$AJ1350=41),"⑤短期","対象外")))))</f>
        <v>⑤短期</v>
      </c>
      <c r="DC1350" s="2909">
        <f>IF($A1350="","",IF($AB1350&amp;""='DB_設定'!$C$4,1,0))</f>
        <v>1</v>
      </c>
    </row>
    <row r="1351">
      <c r="A1351" t="n" s="2909">
        <v>31</v>
      </c>
      <c r="AA1351" t="n" s="2909">
        <v>21</v>
      </c>
      <c r="AB1351" t="inlineStr" s="2909">
        <is>
          <t>20250401</t>
        </is>
      </c>
      <c r="AD1351" t="n" s="2909">
        <v>0</v>
      </c>
      <c r="AE1351" t="inlineStr" s="2909">
        <is>
          <t>00000000</t>
        </is>
      </c>
      <c r="AH1351" t="n" s="2909">
        <v>1</v>
      </c>
      <c r="AJ1351" t="n" s="2909">
        <v>41</v>
      </c>
      <c r="AP1351" t="n" s="2909">
        <v>260000</v>
      </c>
      <c r="DB1351" s="2909" t="str">
        <f>IF($A1351="","",IF($AH1351=20,IF(AND(OR($A1351=21,$A1351=215),$AJ1351=10),"①病院一般",IF(AND($A1351=31,$AJ1351=41),"②病院短期","対象外")),IF($AJ1351=30,"③特定消防",IF(AND(OR($A1351=21,$A1351=215),$AJ1351=10),"④一般",IF(AND($A1351=31,$AJ1351=41),"⑤短期","対象外")))))</f>
        <v>⑤短期</v>
      </c>
      <c r="DC1351" s="2909">
        <f>IF($A1351="","",IF($AB1351&amp;""='DB_設定'!$C$4,1,0))</f>
        <v>1</v>
      </c>
    </row>
    <row r="1352">
      <c r="A1352" t="n" s="2909">
        <v>31</v>
      </c>
      <c r="AA1352" t="n" s="2909">
        <v>21</v>
      </c>
      <c r="AB1352" t="inlineStr" s="2909">
        <is>
          <t>20250401</t>
        </is>
      </c>
      <c r="AD1352" t="n" s="2909">
        <v>0</v>
      </c>
      <c r="AE1352" t="inlineStr" s="2909">
        <is>
          <t>00000000</t>
        </is>
      </c>
      <c r="AH1352" t="n" s="2909">
        <v>1</v>
      </c>
      <c r="AJ1352" t="n" s="2909">
        <v>41</v>
      </c>
      <c r="AP1352" t="n" s="2909">
        <v>260000</v>
      </c>
      <c r="DB1352" s="2909" t="str">
        <f>IF($A1352="","",IF($AH1352=20,IF(AND(OR($A1352=21,$A1352=215),$AJ1352=10),"①病院一般",IF(AND($A1352=31,$AJ1352=41),"②病院短期","対象外")),IF($AJ1352=30,"③特定消防",IF(AND(OR($A1352=21,$A1352=215),$AJ1352=10),"④一般",IF(AND($A1352=31,$AJ1352=41),"⑤短期","対象外")))))</f>
        <v>⑤短期</v>
      </c>
      <c r="DC1352" s="2909">
        <f>IF($A1352="","",IF($AB1352&amp;""='DB_設定'!$C$4,1,0))</f>
        <v>1</v>
      </c>
    </row>
    <row r="1353">
      <c r="A1353" t="n" s="2909">
        <v>31</v>
      </c>
      <c r="AA1353" t="n" s="2909">
        <v>21</v>
      </c>
      <c r="AB1353" t="inlineStr" s="2909">
        <is>
          <t>20250401</t>
        </is>
      </c>
      <c r="AD1353" t="n" s="2909">
        <v>0</v>
      </c>
      <c r="AE1353" t="inlineStr" s="2909">
        <is>
          <t>00000000</t>
        </is>
      </c>
      <c r="AH1353" t="n" s="2909">
        <v>1</v>
      </c>
      <c r="AJ1353" t="n" s="2909">
        <v>41</v>
      </c>
      <c r="AP1353" t="n" s="2909">
        <v>280000</v>
      </c>
      <c r="DB1353" s="2909" t="str">
        <f>IF($A1353="","",IF($AH1353=20,IF(AND(OR($A1353=21,$A1353=215),$AJ1353=10),"①病院一般",IF(AND($A1353=31,$AJ1353=41),"②病院短期","対象外")),IF($AJ1353=30,"③特定消防",IF(AND(OR($A1353=21,$A1353=215),$AJ1353=10),"④一般",IF(AND($A1353=31,$AJ1353=41),"⑤短期","対象外")))))</f>
        <v>⑤短期</v>
      </c>
      <c r="DC1353" s="2909">
        <f>IF($A1353="","",IF($AB1353&amp;""='DB_設定'!$C$4,1,0))</f>
        <v>1</v>
      </c>
    </row>
    <row r="1354">
      <c r="A1354" t="n" s="2909">
        <v>31</v>
      </c>
      <c r="AA1354" t="n" s="2909">
        <v>21</v>
      </c>
      <c r="AB1354" t="inlineStr" s="2909">
        <is>
          <t>20250401</t>
        </is>
      </c>
      <c r="AD1354" t="n" s="2909">
        <v>0</v>
      </c>
      <c r="AE1354" t="inlineStr" s="2909">
        <is>
          <t>00000000</t>
        </is>
      </c>
      <c r="AH1354" t="n" s="2909">
        <v>1</v>
      </c>
      <c r="AJ1354" t="n" s="2909">
        <v>41</v>
      </c>
      <c r="AP1354" t="n" s="2909">
        <v>142000</v>
      </c>
      <c r="DB1354" s="2909" t="str">
        <f>IF($A1354="","",IF($AH1354=20,IF(AND(OR($A1354=21,$A1354=215),$AJ1354=10),"①病院一般",IF(AND($A1354=31,$AJ1354=41),"②病院短期","対象外")),IF($AJ1354=30,"③特定消防",IF(AND(OR($A1354=21,$A1354=215),$AJ1354=10),"④一般",IF(AND($A1354=31,$AJ1354=41),"⑤短期","対象外")))))</f>
        <v>⑤短期</v>
      </c>
      <c r="DC1354" s="2909">
        <f>IF($A1354="","",IF($AB1354&amp;""='DB_設定'!$C$4,1,0))</f>
        <v>1</v>
      </c>
    </row>
    <row r="1355">
      <c r="A1355" t="n" s="2909">
        <v>31</v>
      </c>
      <c r="AA1355" t="n" s="2909">
        <v>21</v>
      </c>
      <c r="AB1355" t="inlineStr" s="2909">
        <is>
          <t>20250401</t>
        </is>
      </c>
      <c r="AD1355" t="n" s="2909">
        <v>0</v>
      </c>
      <c r="AE1355" t="inlineStr" s="2909">
        <is>
          <t>00000000</t>
        </is>
      </c>
      <c r="AH1355" t="n" s="2909">
        <v>1</v>
      </c>
      <c r="AJ1355" t="n" s="2909">
        <v>41</v>
      </c>
      <c r="AP1355" t="n" s="2909">
        <v>260000</v>
      </c>
      <c r="DB1355" s="2909" t="str">
        <f>IF($A1355="","",IF($AH1355=20,IF(AND(OR($A1355=21,$A1355=215),$AJ1355=10),"①病院一般",IF(AND($A1355=31,$AJ1355=41),"②病院短期","対象外")),IF($AJ1355=30,"③特定消防",IF(AND(OR($A1355=21,$A1355=215),$AJ1355=10),"④一般",IF(AND($A1355=31,$AJ1355=41),"⑤短期","対象外")))))</f>
        <v>⑤短期</v>
      </c>
      <c r="DC1355" s="2909">
        <f>IF($A1355="","",IF($AB1355&amp;""='DB_設定'!$C$4,1,0))</f>
        <v>1</v>
      </c>
    </row>
    <row r="1356">
      <c r="A1356" t="n" s="2909">
        <v>31</v>
      </c>
      <c r="AA1356" t="n" s="2909">
        <v>21</v>
      </c>
      <c r="AB1356" t="inlineStr" s="2909">
        <is>
          <t>20250401</t>
        </is>
      </c>
      <c r="AD1356" t="n" s="2909">
        <v>0</v>
      </c>
      <c r="AE1356" t="inlineStr" s="2909">
        <is>
          <t>00000000</t>
        </is>
      </c>
      <c r="AH1356" t="n" s="2909">
        <v>1</v>
      </c>
      <c r="AJ1356" t="n" s="2909">
        <v>41</v>
      </c>
      <c r="AP1356" t="n" s="2909">
        <v>260000</v>
      </c>
      <c r="DB1356" s="2909" t="str">
        <f>IF($A1356="","",IF($AH1356=20,IF(AND(OR($A1356=21,$A1356=215),$AJ1356=10),"①病院一般",IF(AND($A1356=31,$AJ1356=41),"②病院短期","対象外")),IF($AJ1356=30,"③特定消防",IF(AND(OR($A1356=21,$A1356=215),$AJ1356=10),"④一般",IF(AND($A1356=31,$AJ1356=41),"⑤短期","対象外")))))</f>
        <v>⑤短期</v>
      </c>
      <c r="DC1356" s="2909">
        <f>IF($A1356="","",IF($AB1356&amp;""='DB_設定'!$C$4,1,0))</f>
        <v>1</v>
      </c>
    </row>
    <row r="1357">
      <c r="A1357" t="n" s="2909">
        <v>31</v>
      </c>
      <c r="AA1357" t="n" s="2909">
        <v>21</v>
      </c>
      <c r="AB1357" t="inlineStr" s="2909">
        <is>
          <t>20250401</t>
        </is>
      </c>
      <c r="AD1357" t="n" s="2909">
        <v>0</v>
      </c>
      <c r="AE1357" t="inlineStr" s="2909">
        <is>
          <t>00000000</t>
        </is>
      </c>
      <c r="AH1357" t="n" s="2909">
        <v>1</v>
      </c>
      <c r="AJ1357" t="n" s="2909">
        <v>41</v>
      </c>
      <c r="AP1357" t="n" s="2909">
        <v>134000</v>
      </c>
      <c r="DB1357" s="2909" t="str">
        <f>IF($A1357="","",IF($AH1357=20,IF(AND(OR($A1357=21,$A1357=215),$AJ1357=10),"①病院一般",IF(AND($A1357=31,$AJ1357=41),"②病院短期","対象外")),IF($AJ1357=30,"③特定消防",IF(AND(OR($A1357=21,$A1357=215),$AJ1357=10),"④一般",IF(AND($A1357=31,$AJ1357=41),"⑤短期","対象外")))))</f>
        <v>⑤短期</v>
      </c>
      <c r="DC1357" s="2909">
        <f>IF($A1357="","",IF($AB1357&amp;""='DB_設定'!$C$4,1,0))</f>
        <v>1</v>
      </c>
    </row>
    <row r="1358">
      <c r="A1358" t="n" s="2909">
        <v>31</v>
      </c>
      <c r="AA1358" t="n" s="2909">
        <v>21</v>
      </c>
      <c r="AB1358" t="inlineStr" s="2909">
        <is>
          <t>20250401</t>
        </is>
      </c>
      <c r="AD1358" t="n" s="2909">
        <v>0</v>
      </c>
      <c r="AE1358" t="inlineStr" s="2909">
        <is>
          <t>00000000</t>
        </is>
      </c>
      <c r="AH1358" t="n" s="2909">
        <v>1</v>
      </c>
      <c r="AJ1358" t="n" s="2909">
        <v>41</v>
      </c>
      <c r="AP1358" t="n" s="2909">
        <v>200000</v>
      </c>
      <c r="DB1358" s="2909" t="str">
        <f>IF($A1358="","",IF($AH1358=20,IF(AND(OR($A1358=21,$A1358=215),$AJ1358=10),"①病院一般",IF(AND($A1358=31,$AJ1358=41),"②病院短期","対象外")),IF($AJ1358=30,"③特定消防",IF(AND(OR($A1358=21,$A1358=215),$AJ1358=10),"④一般",IF(AND($A1358=31,$AJ1358=41),"⑤短期","対象外")))))</f>
        <v>⑤短期</v>
      </c>
      <c r="DC1358" s="2909">
        <f>IF($A1358="","",IF($AB1358&amp;""='DB_設定'!$C$4,1,0))</f>
        <v>1</v>
      </c>
    </row>
    <row r="1359">
      <c r="A1359" t="n" s="2909">
        <v>31</v>
      </c>
      <c r="AA1359" t="n" s="2909">
        <v>21</v>
      </c>
      <c r="AB1359" t="inlineStr" s="2909">
        <is>
          <t>20250401</t>
        </is>
      </c>
      <c r="AD1359" t="n" s="2909">
        <v>0</v>
      </c>
      <c r="AE1359" t="inlineStr" s="2909">
        <is>
          <t>00000000</t>
        </is>
      </c>
      <c r="AH1359" t="n" s="2909">
        <v>1</v>
      </c>
      <c r="AJ1359" t="n" s="2909">
        <v>41</v>
      </c>
      <c r="AP1359" t="n" s="2909">
        <v>190000</v>
      </c>
      <c r="DB1359" s="2909" t="str">
        <f>IF($A1359="","",IF($AH1359=20,IF(AND(OR($A1359=21,$A1359=215),$AJ1359=10),"①病院一般",IF(AND($A1359=31,$AJ1359=41),"②病院短期","対象外")),IF($AJ1359=30,"③特定消防",IF(AND(OR($A1359=21,$A1359=215),$AJ1359=10),"④一般",IF(AND($A1359=31,$AJ1359=41),"⑤短期","対象外")))))</f>
        <v>⑤短期</v>
      </c>
      <c r="DC1359" s="2909">
        <f>IF($A1359="","",IF($AB1359&amp;""='DB_設定'!$C$4,1,0))</f>
        <v>1</v>
      </c>
    </row>
    <row r="1360">
      <c r="A1360" t="n" s="2909">
        <v>31</v>
      </c>
      <c r="AA1360" t="n" s="2909">
        <v>21</v>
      </c>
      <c r="AB1360" t="inlineStr" s="2909">
        <is>
          <t>20250401</t>
        </is>
      </c>
      <c r="AD1360" t="n" s="2909">
        <v>0</v>
      </c>
      <c r="AE1360" t="inlineStr" s="2909">
        <is>
          <t>00000000</t>
        </is>
      </c>
      <c r="AH1360" t="n" s="2909">
        <v>1</v>
      </c>
      <c r="AJ1360" t="n" s="2909">
        <v>41</v>
      </c>
      <c r="AP1360" t="n" s="2909">
        <v>200000</v>
      </c>
      <c r="DB1360" s="2909" t="str">
        <f>IF($A1360="","",IF($AH1360=20,IF(AND(OR($A1360=21,$A1360=215),$AJ1360=10),"①病院一般",IF(AND($A1360=31,$AJ1360=41),"②病院短期","対象外")),IF($AJ1360=30,"③特定消防",IF(AND(OR($A1360=21,$A1360=215),$AJ1360=10),"④一般",IF(AND($A1360=31,$AJ1360=41),"⑤短期","対象外")))))</f>
        <v>⑤短期</v>
      </c>
      <c r="DC1360" s="2909">
        <f>IF($A1360="","",IF($AB1360&amp;""='DB_設定'!$C$4,1,0))</f>
        <v>1</v>
      </c>
    </row>
    <row r="1361">
      <c r="A1361" t="n" s="2909">
        <v>31</v>
      </c>
      <c r="AA1361" t="n" s="2909">
        <v>21</v>
      </c>
      <c r="AB1361" t="inlineStr" s="2909">
        <is>
          <t>20250401</t>
        </is>
      </c>
      <c r="AD1361" t="n" s="2909">
        <v>0</v>
      </c>
      <c r="AE1361" t="inlineStr" s="2909">
        <is>
          <t>00000000</t>
        </is>
      </c>
      <c r="AH1361" t="n" s="2909">
        <v>1</v>
      </c>
      <c r="AJ1361" t="n" s="2909">
        <v>41</v>
      </c>
      <c r="AP1361" t="n" s="2909">
        <v>260000</v>
      </c>
      <c r="DB1361" s="2909" t="str">
        <f>IF($A1361="","",IF($AH1361=20,IF(AND(OR($A1361=21,$A1361=215),$AJ1361=10),"①病院一般",IF(AND($A1361=31,$AJ1361=41),"②病院短期","対象外")),IF($AJ1361=30,"③特定消防",IF(AND(OR($A1361=21,$A1361=215),$AJ1361=10),"④一般",IF(AND($A1361=31,$AJ1361=41),"⑤短期","対象外")))))</f>
        <v>⑤短期</v>
      </c>
      <c r="DC1361" s="2909">
        <f>IF($A1361="","",IF($AB1361&amp;""='DB_設定'!$C$4,1,0))</f>
        <v>1</v>
      </c>
    </row>
    <row r="1362">
      <c r="A1362" t="n" s="2909">
        <v>31</v>
      </c>
      <c r="AA1362" t="n" s="2909">
        <v>21</v>
      </c>
      <c r="AB1362" t="inlineStr" s="2909">
        <is>
          <t>20250401</t>
        </is>
      </c>
      <c r="AD1362" t="n" s="2909">
        <v>0</v>
      </c>
      <c r="AE1362" t="inlineStr" s="2909">
        <is>
          <t>00000000</t>
        </is>
      </c>
      <c r="AH1362" t="n" s="2909">
        <v>1</v>
      </c>
      <c r="AJ1362" t="n" s="2909">
        <v>41</v>
      </c>
      <c r="AP1362" t="n" s="2909">
        <v>200000</v>
      </c>
      <c r="DB1362" s="2909" t="str">
        <f>IF($A1362="","",IF($AH1362=20,IF(AND(OR($A1362=21,$A1362=215),$AJ1362=10),"①病院一般",IF(AND($A1362=31,$AJ1362=41),"②病院短期","対象外")),IF($AJ1362=30,"③特定消防",IF(AND(OR($A1362=21,$A1362=215),$AJ1362=10),"④一般",IF(AND($A1362=31,$AJ1362=41),"⑤短期","対象外")))))</f>
        <v>⑤短期</v>
      </c>
      <c r="DC1362" s="2909">
        <f>IF($A1362="","",IF($AB1362&amp;""='DB_設定'!$C$4,1,0))</f>
        <v>1</v>
      </c>
    </row>
    <row r="1363">
      <c r="A1363" t="n" s="2909">
        <v>31</v>
      </c>
      <c r="AA1363" t="n" s="2909">
        <v>21</v>
      </c>
      <c r="AB1363" t="inlineStr" s="2909">
        <is>
          <t>20250401</t>
        </is>
      </c>
      <c r="AD1363" t="n" s="2909">
        <v>0</v>
      </c>
      <c r="AE1363" t="inlineStr" s="2909">
        <is>
          <t>00000000</t>
        </is>
      </c>
      <c r="AH1363" t="n" s="2909">
        <v>1</v>
      </c>
      <c r="AJ1363" t="n" s="2909">
        <v>41</v>
      </c>
      <c r="AP1363" t="n" s="2909">
        <v>200000</v>
      </c>
      <c r="DB1363" s="2909" t="str">
        <f>IF($A1363="","",IF($AH1363=20,IF(AND(OR($A1363=21,$A1363=215),$AJ1363=10),"①病院一般",IF(AND($A1363=31,$AJ1363=41),"②病院短期","対象外")),IF($AJ1363=30,"③特定消防",IF(AND(OR($A1363=21,$A1363=215),$AJ1363=10),"④一般",IF(AND($A1363=31,$AJ1363=41),"⑤短期","対象外")))))</f>
        <v>⑤短期</v>
      </c>
      <c r="DC1363" s="2909">
        <f>IF($A1363="","",IF($AB1363&amp;""='DB_設定'!$C$4,1,0))</f>
        <v>1</v>
      </c>
    </row>
    <row r="1364">
      <c r="A1364" t="n" s="2909">
        <v>31</v>
      </c>
      <c r="AA1364" t="n" s="2909">
        <v>21</v>
      </c>
      <c r="AB1364" t="inlineStr" s="2909">
        <is>
          <t>20250401</t>
        </is>
      </c>
      <c r="AD1364" t="n" s="2909">
        <v>0</v>
      </c>
      <c r="AE1364" t="inlineStr" s="2909">
        <is>
          <t>00000000</t>
        </is>
      </c>
      <c r="AH1364" t="n" s="2909">
        <v>1</v>
      </c>
      <c r="AJ1364" t="n" s="2909">
        <v>41</v>
      </c>
      <c r="AP1364" t="n" s="2909">
        <v>190000</v>
      </c>
      <c r="DB1364" s="2909" t="str">
        <f>IF($A1364="","",IF($AH1364=20,IF(AND(OR($A1364=21,$A1364=215),$AJ1364=10),"①病院一般",IF(AND($A1364=31,$AJ1364=41),"②病院短期","対象外")),IF($AJ1364=30,"③特定消防",IF(AND(OR($A1364=21,$A1364=215),$AJ1364=10),"④一般",IF(AND($A1364=31,$AJ1364=41),"⑤短期","対象外")))))</f>
        <v>⑤短期</v>
      </c>
      <c r="DC1364" s="2909">
        <f>IF($A1364="","",IF($AB1364&amp;""='DB_設定'!$C$4,1,0))</f>
        <v>1</v>
      </c>
    </row>
    <row r="1365">
      <c r="A1365" t="n" s="2909">
        <v>31</v>
      </c>
      <c r="AA1365" t="n" s="2909">
        <v>21</v>
      </c>
      <c r="AB1365" t="inlineStr" s="2909">
        <is>
          <t>20250401</t>
        </is>
      </c>
      <c r="AD1365" t="n" s="2909">
        <v>0</v>
      </c>
      <c r="AE1365" t="inlineStr" s="2909">
        <is>
          <t>00000000</t>
        </is>
      </c>
      <c r="AH1365" t="n" s="2909">
        <v>1</v>
      </c>
      <c r="AJ1365" t="n" s="2909">
        <v>41</v>
      </c>
      <c r="AP1365" t="n" s="2909">
        <v>190000</v>
      </c>
      <c r="DB1365" s="2909" t="str">
        <f>IF($A1365="","",IF($AH1365=20,IF(AND(OR($A1365=21,$A1365=215),$AJ1365=10),"①病院一般",IF(AND($A1365=31,$AJ1365=41),"②病院短期","対象外")),IF($AJ1365=30,"③特定消防",IF(AND(OR($A1365=21,$A1365=215),$AJ1365=10),"④一般",IF(AND($A1365=31,$AJ1365=41),"⑤短期","対象外")))))</f>
        <v>⑤短期</v>
      </c>
      <c r="DC1365" s="2909">
        <f>IF($A1365="","",IF($AB1365&amp;""='DB_設定'!$C$4,1,0))</f>
        <v>1</v>
      </c>
    </row>
    <row r="1366">
      <c r="A1366" t="n" s="2909">
        <v>31</v>
      </c>
      <c r="AA1366" t="n" s="2909">
        <v>21</v>
      </c>
      <c r="AB1366" t="inlineStr" s="2909">
        <is>
          <t>20250401</t>
        </is>
      </c>
      <c r="AD1366" t="n" s="2909">
        <v>0</v>
      </c>
      <c r="AE1366" t="inlineStr" s="2909">
        <is>
          <t>00000000</t>
        </is>
      </c>
      <c r="AH1366" t="n" s="2909">
        <v>1</v>
      </c>
      <c r="AJ1366" t="n" s="2909">
        <v>41</v>
      </c>
      <c r="AP1366" t="n" s="2909">
        <v>220000</v>
      </c>
      <c r="DB1366" s="2909" t="str">
        <f>IF($A1366="","",IF($AH1366=20,IF(AND(OR($A1366=21,$A1366=215),$AJ1366=10),"①病院一般",IF(AND($A1366=31,$AJ1366=41),"②病院短期","対象外")),IF($AJ1366=30,"③特定消防",IF(AND(OR($A1366=21,$A1366=215),$AJ1366=10),"④一般",IF(AND($A1366=31,$AJ1366=41),"⑤短期","対象外")))))</f>
        <v>⑤短期</v>
      </c>
      <c r="DC1366" s="2909">
        <f>IF($A1366="","",IF($AB1366&amp;""='DB_設定'!$C$4,1,0))</f>
        <v>1</v>
      </c>
    </row>
    <row r="1367">
      <c r="A1367" t="n" s="2909">
        <v>31</v>
      </c>
      <c r="AA1367" t="n" s="2909">
        <v>21</v>
      </c>
      <c r="AB1367" t="inlineStr" s="2909">
        <is>
          <t>20250401</t>
        </is>
      </c>
      <c r="AD1367" t="n" s="2909">
        <v>0</v>
      </c>
      <c r="AE1367" t="inlineStr" s="2909">
        <is>
          <t>00000000</t>
        </is>
      </c>
      <c r="AH1367" t="n" s="2909">
        <v>1</v>
      </c>
      <c r="AJ1367" t="n" s="2909">
        <v>41</v>
      </c>
      <c r="AP1367" t="n" s="2909">
        <v>190000</v>
      </c>
      <c r="DB1367" s="2909" t="str">
        <f>IF($A1367="","",IF($AH1367=20,IF(AND(OR($A1367=21,$A1367=215),$AJ1367=10),"①病院一般",IF(AND($A1367=31,$AJ1367=41),"②病院短期","対象外")),IF($AJ1367=30,"③特定消防",IF(AND(OR($A1367=21,$A1367=215),$AJ1367=10),"④一般",IF(AND($A1367=31,$AJ1367=41),"⑤短期","対象外")))))</f>
        <v>⑤短期</v>
      </c>
      <c r="DC1367" s="2909">
        <f>IF($A1367="","",IF($AB1367&amp;""='DB_設定'!$C$4,1,0))</f>
        <v>1</v>
      </c>
    </row>
    <row r="1368">
      <c r="A1368" t="n" s="2909">
        <v>31</v>
      </c>
      <c r="AA1368" t="n" s="2909">
        <v>21</v>
      </c>
      <c r="AB1368" t="inlineStr" s="2909">
        <is>
          <t>20250401</t>
        </is>
      </c>
      <c r="AD1368" t="n" s="2909">
        <v>0</v>
      </c>
      <c r="AE1368" t="inlineStr" s="2909">
        <is>
          <t>00000000</t>
        </is>
      </c>
      <c r="AH1368" t="n" s="2909">
        <v>1</v>
      </c>
      <c r="AJ1368" t="n" s="2909">
        <v>41</v>
      </c>
      <c r="AP1368" t="n" s="2909">
        <v>190000</v>
      </c>
      <c r="DB1368" s="2909" t="str">
        <f>IF($A1368="","",IF($AH1368=20,IF(AND(OR($A1368=21,$A1368=215),$AJ1368=10),"①病院一般",IF(AND($A1368=31,$AJ1368=41),"②病院短期","対象外")),IF($AJ1368=30,"③特定消防",IF(AND(OR($A1368=21,$A1368=215),$AJ1368=10),"④一般",IF(AND($A1368=31,$AJ1368=41),"⑤短期","対象外")))))</f>
        <v>⑤短期</v>
      </c>
      <c r="DC1368" s="2909">
        <f>IF($A1368="","",IF($AB1368&amp;""='DB_設定'!$C$4,1,0))</f>
        <v>1</v>
      </c>
    </row>
    <row r="1369">
      <c r="A1369" t="n" s="2909">
        <v>31</v>
      </c>
      <c r="AA1369" t="n" s="2909">
        <v>21</v>
      </c>
      <c r="AB1369" t="inlineStr" s="2909">
        <is>
          <t>20250401</t>
        </is>
      </c>
      <c r="AD1369" t="n" s="2909">
        <v>0</v>
      </c>
      <c r="AE1369" t="inlineStr" s="2909">
        <is>
          <t>00000000</t>
        </is>
      </c>
      <c r="AH1369" t="n" s="2909">
        <v>1</v>
      </c>
      <c r="AJ1369" t="n" s="2909">
        <v>41</v>
      </c>
      <c r="AP1369" t="n" s="2909">
        <v>190000</v>
      </c>
      <c r="DB1369" s="2909" t="str">
        <f>IF($A1369="","",IF($AH1369=20,IF(AND(OR($A1369=21,$A1369=215),$AJ1369=10),"①病院一般",IF(AND($A1369=31,$AJ1369=41),"②病院短期","対象外")),IF($AJ1369=30,"③特定消防",IF(AND(OR($A1369=21,$A1369=215),$AJ1369=10),"④一般",IF(AND($A1369=31,$AJ1369=41),"⑤短期","対象外")))))</f>
        <v>⑤短期</v>
      </c>
      <c r="DC1369" s="2909">
        <f>IF($A1369="","",IF($AB1369&amp;""='DB_設定'!$C$4,1,0))</f>
        <v>1</v>
      </c>
    </row>
    <row r="1370">
      <c r="A1370" t="n" s="2909">
        <v>31</v>
      </c>
      <c r="AA1370" t="n" s="2909">
        <v>21</v>
      </c>
      <c r="AB1370" t="inlineStr" s="2909">
        <is>
          <t>20250401</t>
        </is>
      </c>
      <c r="AD1370" t="n" s="2909">
        <v>0</v>
      </c>
      <c r="AE1370" t="inlineStr" s="2909">
        <is>
          <t>00000000</t>
        </is>
      </c>
      <c r="AH1370" t="n" s="2909">
        <v>1</v>
      </c>
      <c r="AJ1370" t="n" s="2909">
        <v>41</v>
      </c>
      <c r="AP1370" t="n" s="2909">
        <v>200000</v>
      </c>
      <c r="DB1370" s="2909" t="str">
        <f>IF($A1370="","",IF($AH1370=20,IF(AND(OR($A1370=21,$A1370=215),$AJ1370=10),"①病院一般",IF(AND($A1370=31,$AJ1370=41),"②病院短期","対象外")),IF($AJ1370=30,"③特定消防",IF(AND(OR($A1370=21,$A1370=215),$AJ1370=10),"④一般",IF(AND($A1370=31,$AJ1370=41),"⑤短期","対象外")))))</f>
        <v>⑤短期</v>
      </c>
      <c r="DC1370" s="2909">
        <f>IF($A1370="","",IF($AB1370&amp;""='DB_設定'!$C$4,1,0))</f>
        <v>1</v>
      </c>
    </row>
    <row r="1371">
      <c r="A1371" t="n" s="2909">
        <v>31</v>
      </c>
      <c r="AA1371" t="n" s="2909">
        <v>21</v>
      </c>
      <c r="AB1371" t="inlineStr" s="2909">
        <is>
          <t>20250401</t>
        </is>
      </c>
      <c r="AD1371" t="n" s="2909">
        <v>0</v>
      </c>
      <c r="AE1371" t="inlineStr" s="2909">
        <is>
          <t>00000000</t>
        </is>
      </c>
      <c r="AH1371" t="n" s="2909">
        <v>1</v>
      </c>
      <c r="AJ1371" t="n" s="2909">
        <v>41</v>
      </c>
      <c r="AP1371" t="n" s="2909">
        <v>190000</v>
      </c>
      <c r="DB1371" s="2909" t="str">
        <f>IF($A1371="","",IF($AH1371=20,IF(AND(OR($A1371=21,$A1371=215),$AJ1371=10),"①病院一般",IF(AND($A1371=31,$AJ1371=41),"②病院短期","対象外")),IF($AJ1371=30,"③特定消防",IF(AND(OR($A1371=21,$A1371=215),$AJ1371=10),"④一般",IF(AND($A1371=31,$AJ1371=41),"⑤短期","対象外")))))</f>
        <v>⑤短期</v>
      </c>
      <c r="DC1371" s="2909">
        <f>IF($A1371="","",IF($AB1371&amp;""='DB_設定'!$C$4,1,0))</f>
        <v>1</v>
      </c>
    </row>
    <row r="1372">
      <c r="A1372" t="n" s="2909">
        <v>31</v>
      </c>
      <c r="AA1372" t="n" s="2909">
        <v>21</v>
      </c>
      <c r="AB1372" t="inlineStr" s="2909">
        <is>
          <t>20250401</t>
        </is>
      </c>
      <c r="AD1372" t="n" s="2909">
        <v>0</v>
      </c>
      <c r="AE1372" t="inlineStr" s="2909">
        <is>
          <t>00000000</t>
        </is>
      </c>
      <c r="AH1372" t="n" s="2909">
        <v>1</v>
      </c>
      <c r="AJ1372" t="n" s="2909">
        <v>41</v>
      </c>
      <c r="AP1372" t="n" s="2909">
        <v>190000</v>
      </c>
      <c r="DB1372" s="2909" t="str">
        <f>IF($A1372="","",IF($AH1372=20,IF(AND(OR($A1372=21,$A1372=215),$AJ1372=10),"①病院一般",IF(AND($A1372=31,$AJ1372=41),"②病院短期","対象外")),IF($AJ1372=30,"③特定消防",IF(AND(OR($A1372=21,$A1372=215),$AJ1372=10),"④一般",IF(AND($A1372=31,$AJ1372=41),"⑤短期","対象外")))))</f>
        <v>⑤短期</v>
      </c>
      <c r="DC1372" s="2909">
        <f>IF($A1372="","",IF($AB1372&amp;""='DB_設定'!$C$4,1,0))</f>
        <v>1</v>
      </c>
    </row>
    <row r="1373">
      <c r="A1373" t="n" s="2909">
        <v>31</v>
      </c>
      <c r="AA1373" t="n" s="2909">
        <v>21</v>
      </c>
      <c r="AB1373" t="inlineStr" s="2909">
        <is>
          <t>20250401</t>
        </is>
      </c>
      <c r="AD1373" t="n" s="2909">
        <v>0</v>
      </c>
      <c r="AE1373" t="inlineStr" s="2909">
        <is>
          <t>00000000</t>
        </is>
      </c>
      <c r="AH1373" t="n" s="2909">
        <v>1</v>
      </c>
      <c r="AJ1373" t="n" s="2909">
        <v>41</v>
      </c>
      <c r="AP1373" t="n" s="2909">
        <v>200000</v>
      </c>
      <c r="DB1373" s="2909" t="str">
        <f>IF($A1373="","",IF($AH1373=20,IF(AND(OR($A1373=21,$A1373=215),$AJ1373=10),"①病院一般",IF(AND($A1373=31,$AJ1373=41),"②病院短期","対象外")),IF($AJ1373=30,"③特定消防",IF(AND(OR($A1373=21,$A1373=215),$AJ1373=10),"④一般",IF(AND($A1373=31,$AJ1373=41),"⑤短期","対象外")))))</f>
        <v>⑤短期</v>
      </c>
      <c r="DC1373" s="2909">
        <f>IF($A1373="","",IF($AB1373&amp;""='DB_設定'!$C$4,1,0))</f>
        <v>1</v>
      </c>
    </row>
    <row r="1374">
      <c r="A1374" t="n" s="2909">
        <v>31</v>
      </c>
      <c r="AA1374" t="n" s="2909">
        <v>21</v>
      </c>
      <c r="AB1374" t="inlineStr" s="2909">
        <is>
          <t>20250401</t>
        </is>
      </c>
      <c r="AD1374" t="n" s="2909">
        <v>0</v>
      </c>
      <c r="AE1374" t="inlineStr" s="2909">
        <is>
          <t>00000000</t>
        </is>
      </c>
      <c r="AH1374" t="n" s="2909">
        <v>1</v>
      </c>
      <c r="AJ1374" t="n" s="2909">
        <v>41</v>
      </c>
      <c r="AP1374" t="n" s="2909">
        <v>190000</v>
      </c>
      <c r="DB1374" s="2909" t="str">
        <f>IF($A1374="","",IF($AH1374=20,IF(AND(OR($A1374=21,$A1374=215),$AJ1374=10),"①病院一般",IF(AND($A1374=31,$AJ1374=41),"②病院短期","対象外")),IF($AJ1374=30,"③特定消防",IF(AND(OR($A1374=21,$A1374=215),$AJ1374=10),"④一般",IF(AND($A1374=31,$AJ1374=41),"⑤短期","対象外")))))</f>
        <v>⑤短期</v>
      </c>
      <c r="DC1374" s="2909">
        <f>IF($A1374="","",IF($AB1374&amp;""='DB_設定'!$C$4,1,0))</f>
        <v>1</v>
      </c>
    </row>
    <row r="1375">
      <c r="A1375" t="n" s="2909">
        <v>31</v>
      </c>
      <c r="AA1375" t="n" s="2909">
        <v>21</v>
      </c>
      <c r="AB1375" t="inlineStr" s="2909">
        <is>
          <t>20250401</t>
        </is>
      </c>
      <c r="AD1375" t="n" s="2909">
        <v>0</v>
      </c>
      <c r="AE1375" t="inlineStr" s="2909">
        <is>
          <t>00000000</t>
        </is>
      </c>
      <c r="AH1375" t="n" s="2909">
        <v>1</v>
      </c>
      <c r="AJ1375" t="n" s="2909">
        <v>41</v>
      </c>
      <c r="AP1375" t="n" s="2909">
        <v>190000</v>
      </c>
      <c r="DB1375" s="2909" t="str">
        <f>IF($A1375="","",IF($AH1375=20,IF(AND(OR($A1375=21,$A1375=215),$AJ1375=10),"①病院一般",IF(AND($A1375=31,$AJ1375=41),"②病院短期","対象外")),IF($AJ1375=30,"③特定消防",IF(AND(OR($A1375=21,$A1375=215),$AJ1375=10),"④一般",IF(AND($A1375=31,$AJ1375=41),"⑤短期","対象外")))))</f>
        <v>⑤短期</v>
      </c>
      <c r="DC1375" s="2909">
        <f>IF($A1375="","",IF($AB1375&amp;""='DB_設定'!$C$4,1,0))</f>
        <v>1</v>
      </c>
    </row>
    <row r="1376">
      <c r="A1376" t="n" s="2909">
        <v>31</v>
      </c>
      <c r="AA1376" t="n" s="2909">
        <v>21</v>
      </c>
      <c r="AB1376" t="inlineStr" s="2909">
        <is>
          <t>20250401</t>
        </is>
      </c>
      <c r="AD1376" t="n" s="2909">
        <v>0</v>
      </c>
      <c r="AE1376" t="inlineStr" s="2909">
        <is>
          <t>00000000</t>
        </is>
      </c>
      <c r="AH1376" t="n" s="2909">
        <v>1</v>
      </c>
      <c r="AJ1376" t="n" s="2909">
        <v>41</v>
      </c>
      <c r="AP1376" t="n" s="2909">
        <v>190000</v>
      </c>
      <c r="DB1376" s="2909" t="str">
        <f>IF($A1376="","",IF($AH1376=20,IF(AND(OR($A1376=21,$A1376=215),$AJ1376=10),"①病院一般",IF(AND($A1376=31,$AJ1376=41),"②病院短期","対象外")),IF($AJ1376=30,"③特定消防",IF(AND(OR($A1376=21,$A1376=215),$AJ1376=10),"④一般",IF(AND($A1376=31,$AJ1376=41),"⑤短期","対象外")))))</f>
        <v>⑤短期</v>
      </c>
      <c r="DC1376" s="2909">
        <f>IF($A1376="","",IF($AB1376&amp;""='DB_設定'!$C$4,1,0))</f>
        <v>1</v>
      </c>
    </row>
    <row r="1377">
      <c r="A1377" t="n" s="2909">
        <v>31</v>
      </c>
      <c r="AA1377" t="n" s="2909">
        <v>21</v>
      </c>
      <c r="AB1377" t="inlineStr" s="2909">
        <is>
          <t>20250401</t>
        </is>
      </c>
      <c r="AD1377" t="n" s="2909">
        <v>0</v>
      </c>
      <c r="AE1377" t="inlineStr" s="2909">
        <is>
          <t>00000000</t>
        </is>
      </c>
      <c r="AH1377" t="n" s="2909">
        <v>1</v>
      </c>
      <c r="AJ1377" t="n" s="2909">
        <v>41</v>
      </c>
      <c r="AP1377" t="n" s="2909">
        <v>190000</v>
      </c>
      <c r="DB1377" s="2909" t="str">
        <f>IF($A1377="","",IF($AH1377=20,IF(AND(OR($A1377=21,$A1377=215),$AJ1377=10),"①病院一般",IF(AND($A1377=31,$AJ1377=41),"②病院短期","対象外")),IF($AJ1377=30,"③特定消防",IF(AND(OR($A1377=21,$A1377=215),$AJ1377=10),"④一般",IF(AND($A1377=31,$AJ1377=41),"⑤短期","対象外")))))</f>
        <v>⑤短期</v>
      </c>
      <c r="DC1377" s="2909">
        <f>IF($A1377="","",IF($AB1377&amp;""='DB_設定'!$C$4,1,0))</f>
        <v>1</v>
      </c>
    </row>
    <row r="1378">
      <c r="A1378" t="n" s="2909">
        <v>31</v>
      </c>
      <c r="AA1378" t="n" s="2909">
        <v>21</v>
      </c>
      <c r="AB1378" t="inlineStr" s="2909">
        <is>
          <t>20250401</t>
        </is>
      </c>
      <c r="AD1378" t="n" s="2909">
        <v>0</v>
      </c>
      <c r="AE1378" t="inlineStr" s="2909">
        <is>
          <t>00000000</t>
        </is>
      </c>
      <c r="AH1378" t="n" s="2909">
        <v>1</v>
      </c>
      <c r="AJ1378" t="n" s="2909">
        <v>41</v>
      </c>
      <c r="AP1378" t="n" s="2909">
        <v>190000</v>
      </c>
      <c r="DB1378" s="2909" t="str">
        <f>IF($A1378="","",IF($AH1378=20,IF(AND(OR($A1378=21,$A1378=215),$AJ1378=10),"①病院一般",IF(AND($A1378=31,$AJ1378=41),"②病院短期","対象外")),IF($AJ1378=30,"③特定消防",IF(AND(OR($A1378=21,$A1378=215),$AJ1378=10),"④一般",IF(AND($A1378=31,$AJ1378=41),"⑤短期","対象外")))))</f>
        <v>⑤短期</v>
      </c>
      <c r="DC1378" s="2909">
        <f>IF($A1378="","",IF($AB1378&amp;""='DB_設定'!$C$4,1,0))</f>
        <v>1</v>
      </c>
    </row>
    <row r="1379">
      <c r="A1379" t="n" s="2909">
        <v>31</v>
      </c>
      <c r="AA1379" t="n" s="2909">
        <v>21</v>
      </c>
      <c r="AB1379" t="inlineStr" s="2909">
        <is>
          <t>20250401</t>
        </is>
      </c>
      <c r="AD1379" t="n" s="2909">
        <v>0</v>
      </c>
      <c r="AE1379" t="inlineStr" s="2909">
        <is>
          <t>00000000</t>
        </is>
      </c>
      <c r="AH1379" t="n" s="2909">
        <v>1</v>
      </c>
      <c r="AJ1379" t="n" s="2909">
        <v>41</v>
      </c>
      <c r="AP1379" t="n" s="2909">
        <v>190000</v>
      </c>
      <c r="DB1379" s="2909" t="str">
        <f>IF($A1379="","",IF($AH1379=20,IF(AND(OR($A1379=21,$A1379=215),$AJ1379=10),"①病院一般",IF(AND($A1379=31,$AJ1379=41),"②病院短期","対象外")),IF($AJ1379=30,"③特定消防",IF(AND(OR($A1379=21,$A1379=215),$AJ1379=10),"④一般",IF(AND($A1379=31,$AJ1379=41),"⑤短期","対象外")))))</f>
        <v>⑤短期</v>
      </c>
      <c r="DC1379" s="2909">
        <f>IF($A1379="","",IF($AB1379&amp;""='DB_設定'!$C$4,1,0))</f>
        <v>1</v>
      </c>
    </row>
    <row r="1380">
      <c r="A1380" t="n" s="2909">
        <v>31</v>
      </c>
      <c r="AA1380" t="n" s="2909">
        <v>21</v>
      </c>
      <c r="AB1380" t="inlineStr" s="2909">
        <is>
          <t>20250401</t>
        </is>
      </c>
      <c r="AD1380" t="n" s="2909">
        <v>0</v>
      </c>
      <c r="AE1380" t="inlineStr" s="2909">
        <is>
          <t>00000000</t>
        </is>
      </c>
      <c r="AH1380" t="n" s="2909">
        <v>1</v>
      </c>
      <c r="AJ1380" t="n" s="2909">
        <v>41</v>
      </c>
      <c r="AP1380" t="n" s="2909">
        <v>200000</v>
      </c>
      <c r="DB1380" s="2909" t="str">
        <f>IF($A1380="","",IF($AH1380=20,IF(AND(OR($A1380=21,$A1380=215),$AJ1380=10),"①病院一般",IF(AND($A1380=31,$AJ1380=41),"②病院短期","対象外")),IF($AJ1380=30,"③特定消防",IF(AND(OR($A1380=21,$A1380=215),$AJ1380=10),"④一般",IF(AND($A1380=31,$AJ1380=41),"⑤短期","対象外")))))</f>
        <v>⑤短期</v>
      </c>
      <c r="DC1380" s="2909">
        <f>IF($A1380="","",IF($AB1380&amp;""='DB_設定'!$C$4,1,0))</f>
        <v>1</v>
      </c>
    </row>
    <row r="1381">
      <c r="A1381" t="n" s="2909">
        <v>31</v>
      </c>
      <c r="AA1381" t="n" s="2909">
        <v>21</v>
      </c>
      <c r="AB1381" t="inlineStr" s="2909">
        <is>
          <t>20250401</t>
        </is>
      </c>
      <c r="AD1381" t="n" s="2909">
        <v>0</v>
      </c>
      <c r="AE1381" t="inlineStr" s="2909">
        <is>
          <t>00000000</t>
        </is>
      </c>
      <c r="AH1381" t="n" s="2909">
        <v>1</v>
      </c>
      <c r="AJ1381" t="n" s="2909">
        <v>41</v>
      </c>
      <c r="AP1381" t="n" s="2909">
        <v>190000</v>
      </c>
      <c r="DB1381" s="2909" t="str">
        <f>IF($A1381="","",IF($AH1381=20,IF(AND(OR($A1381=21,$A1381=215),$AJ1381=10),"①病院一般",IF(AND($A1381=31,$AJ1381=41),"②病院短期","対象外")),IF($AJ1381=30,"③特定消防",IF(AND(OR($A1381=21,$A1381=215),$AJ1381=10),"④一般",IF(AND($A1381=31,$AJ1381=41),"⑤短期","対象外")))))</f>
        <v>⑤短期</v>
      </c>
      <c r="DC1381" s="2909">
        <f>IF($A1381="","",IF($AB1381&amp;""='DB_設定'!$C$4,1,0))</f>
        <v>1</v>
      </c>
    </row>
    <row r="1382">
      <c r="A1382" t="n" s="2909">
        <v>31</v>
      </c>
      <c r="AA1382" t="n" s="2909">
        <v>21</v>
      </c>
      <c r="AB1382" t="inlineStr" s="2909">
        <is>
          <t>20250401</t>
        </is>
      </c>
      <c r="AD1382" t="n" s="2909">
        <v>0</v>
      </c>
      <c r="AE1382" t="inlineStr" s="2909">
        <is>
          <t>00000000</t>
        </is>
      </c>
      <c r="AH1382" t="n" s="2909">
        <v>1</v>
      </c>
      <c r="AJ1382" t="n" s="2909">
        <v>41</v>
      </c>
      <c r="AP1382" t="n" s="2909">
        <v>200000</v>
      </c>
      <c r="DB1382" s="2909" t="str">
        <f>IF($A1382="","",IF($AH1382=20,IF(AND(OR($A1382=21,$A1382=215),$AJ1382=10),"①病院一般",IF(AND($A1382=31,$AJ1382=41),"②病院短期","対象外")),IF($AJ1382=30,"③特定消防",IF(AND(OR($A1382=21,$A1382=215),$AJ1382=10),"④一般",IF(AND($A1382=31,$AJ1382=41),"⑤短期","対象外")))))</f>
        <v>⑤短期</v>
      </c>
      <c r="DC1382" s="2909">
        <f>IF($A1382="","",IF($AB1382&amp;""='DB_設定'!$C$4,1,0))</f>
        <v>1</v>
      </c>
    </row>
    <row r="1383">
      <c r="A1383" t="n" s="2909">
        <v>31</v>
      </c>
      <c r="AA1383" t="n" s="2909">
        <v>21</v>
      </c>
      <c r="AB1383" t="inlineStr" s="2909">
        <is>
          <t>20250401</t>
        </is>
      </c>
      <c r="AD1383" t="n" s="2909">
        <v>0</v>
      </c>
      <c r="AE1383" t="inlineStr" s="2909">
        <is>
          <t>00000000</t>
        </is>
      </c>
      <c r="AH1383" t="n" s="2909">
        <v>1</v>
      </c>
      <c r="AJ1383" t="n" s="2909">
        <v>41</v>
      </c>
      <c r="AP1383" t="n" s="2909">
        <v>190000</v>
      </c>
      <c r="DB1383" s="2909" t="str">
        <f>IF($A1383="","",IF($AH1383=20,IF(AND(OR($A1383=21,$A1383=215),$AJ1383=10),"①病院一般",IF(AND($A1383=31,$AJ1383=41),"②病院短期","対象外")),IF($AJ1383=30,"③特定消防",IF(AND(OR($A1383=21,$A1383=215),$AJ1383=10),"④一般",IF(AND($A1383=31,$AJ1383=41),"⑤短期","対象外")))))</f>
        <v>⑤短期</v>
      </c>
      <c r="DC1383" s="2909">
        <f>IF($A1383="","",IF($AB1383&amp;""='DB_設定'!$C$4,1,0))</f>
        <v>1</v>
      </c>
    </row>
    <row r="1384">
      <c r="A1384" t="n" s="2909">
        <v>31</v>
      </c>
      <c r="AA1384" t="n" s="2909">
        <v>21</v>
      </c>
      <c r="AB1384" t="inlineStr" s="2909">
        <is>
          <t>20250401</t>
        </is>
      </c>
      <c r="AD1384" t="n" s="2909">
        <v>0</v>
      </c>
      <c r="AE1384" t="inlineStr" s="2909">
        <is>
          <t>00000000</t>
        </is>
      </c>
      <c r="AH1384" t="n" s="2909">
        <v>1</v>
      </c>
      <c r="AJ1384" t="n" s="2909">
        <v>41</v>
      </c>
      <c r="AP1384" t="n" s="2909">
        <v>200000</v>
      </c>
      <c r="DB1384" s="2909" t="str">
        <f>IF($A1384="","",IF($AH1384=20,IF(AND(OR($A1384=21,$A1384=215),$AJ1384=10),"①病院一般",IF(AND($A1384=31,$AJ1384=41),"②病院短期","対象外")),IF($AJ1384=30,"③特定消防",IF(AND(OR($A1384=21,$A1384=215),$AJ1384=10),"④一般",IF(AND($A1384=31,$AJ1384=41),"⑤短期","対象外")))))</f>
        <v>⑤短期</v>
      </c>
      <c r="DC1384" s="2909">
        <f>IF($A1384="","",IF($AB1384&amp;""='DB_設定'!$C$4,1,0))</f>
        <v>1</v>
      </c>
    </row>
    <row r="1385">
      <c r="A1385" t="n" s="2909">
        <v>31</v>
      </c>
      <c r="AA1385" t="n" s="2909">
        <v>21</v>
      </c>
      <c r="AB1385" t="inlineStr" s="2909">
        <is>
          <t>20250401</t>
        </is>
      </c>
      <c r="AD1385" t="n" s="2909">
        <v>0</v>
      </c>
      <c r="AE1385" t="inlineStr" s="2909">
        <is>
          <t>00000000</t>
        </is>
      </c>
      <c r="AH1385" t="n" s="2909">
        <v>1</v>
      </c>
      <c r="AJ1385" t="n" s="2909">
        <v>41</v>
      </c>
      <c r="AP1385" t="n" s="2909">
        <v>190000</v>
      </c>
      <c r="DB1385" s="2909" t="str">
        <f>IF($A1385="","",IF($AH1385=20,IF(AND(OR($A1385=21,$A1385=215),$AJ1385=10),"①病院一般",IF(AND($A1385=31,$AJ1385=41),"②病院短期","対象外")),IF($AJ1385=30,"③特定消防",IF(AND(OR($A1385=21,$A1385=215),$AJ1385=10),"④一般",IF(AND($A1385=31,$AJ1385=41),"⑤短期","対象外")))))</f>
        <v>⑤短期</v>
      </c>
      <c r="DC1385" s="2909">
        <f>IF($A1385="","",IF($AB1385&amp;""='DB_設定'!$C$4,1,0))</f>
        <v>1</v>
      </c>
    </row>
    <row r="1386">
      <c r="A1386" t="n" s="2909">
        <v>31</v>
      </c>
      <c r="AA1386" t="n" s="2909">
        <v>21</v>
      </c>
      <c r="AB1386" t="inlineStr" s="2909">
        <is>
          <t>20250401</t>
        </is>
      </c>
      <c r="AD1386" t="n" s="2909">
        <v>0</v>
      </c>
      <c r="AE1386" t="inlineStr" s="2909">
        <is>
          <t>00000000</t>
        </is>
      </c>
      <c r="AH1386" t="n" s="2909">
        <v>1</v>
      </c>
      <c r="AJ1386" t="n" s="2909">
        <v>41</v>
      </c>
      <c r="AP1386" t="n" s="2909">
        <v>190000</v>
      </c>
      <c r="DB1386" s="2909" t="str">
        <f>IF($A1386="","",IF($AH1386=20,IF(AND(OR($A1386=21,$A1386=215),$AJ1386=10),"①病院一般",IF(AND($A1386=31,$AJ1386=41),"②病院短期","対象外")),IF($AJ1386=30,"③特定消防",IF(AND(OR($A1386=21,$A1386=215),$AJ1386=10),"④一般",IF(AND($A1386=31,$AJ1386=41),"⑤短期","対象外")))))</f>
        <v>⑤短期</v>
      </c>
      <c r="DC1386" s="2909">
        <f>IF($A1386="","",IF($AB1386&amp;""='DB_設定'!$C$4,1,0))</f>
        <v>1</v>
      </c>
    </row>
    <row r="1387">
      <c r="A1387" t="n" s="2909">
        <v>31</v>
      </c>
      <c r="AA1387" t="n" s="2909">
        <v>21</v>
      </c>
      <c r="AB1387" t="inlineStr" s="2909">
        <is>
          <t>20250401</t>
        </is>
      </c>
      <c r="AD1387" t="n" s="2909">
        <v>0</v>
      </c>
      <c r="AE1387" t="inlineStr" s="2909">
        <is>
          <t>00000000</t>
        </is>
      </c>
      <c r="AH1387" t="n" s="2909">
        <v>1</v>
      </c>
      <c r="AJ1387" t="n" s="2909">
        <v>41</v>
      </c>
      <c r="AP1387" t="n" s="2909">
        <v>190000</v>
      </c>
      <c r="DB1387" s="2909" t="str">
        <f>IF($A1387="","",IF($AH1387=20,IF(AND(OR($A1387=21,$A1387=215),$AJ1387=10),"①病院一般",IF(AND($A1387=31,$AJ1387=41),"②病院短期","対象外")),IF($AJ1387=30,"③特定消防",IF(AND(OR($A1387=21,$A1387=215),$AJ1387=10),"④一般",IF(AND($A1387=31,$AJ1387=41),"⑤短期","対象外")))))</f>
        <v>⑤短期</v>
      </c>
      <c r="DC1387" s="2909">
        <f>IF($A1387="","",IF($AB1387&amp;""='DB_設定'!$C$4,1,0))</f>
        <v>1</v>
      </c>
    </row>
    <row r="1388">
      <c r="A1388" t="n" s="2909">
        <v>31</v>
      </c>
      <c r="AA1388" t="n" s="2909">
        <v>21</v>
      </c>
      <c r="AB1388" t="inlineStr" s="2909">
        <is>
          <t>20250401</t>
        </is>
      </c>
      <c r="AD1388" t="n" s="2909">
        <v>0</v>
      </c>
      <c r="AE1388" t="inlineStr" s="2909">
        <is>
          <t>00000000</t>
        </is>
      </c>
      <c r="AH1388" t="n" s="2909">
        <v>1</v>
      </c>
      <c r="AJ1388" t="n" s="2909">
        <v>41</v>
      </c>
      <c r="AP1388" t="n" s="2909">
        <v>200000</v>
      </c>
      <c r="DB1388" s="2909" t="str">
        <f>IF($A1388="","",IF($AH1388=20,IF(AND(OR($A1388=21,$A1388=215),$AJ1388=10),"①病院一般",IF(AND($A1388=31,$AJ1388=41),"②病院短期","対象外")),IF($AJ1388=30,"③特定消防",IF(AND(OR($A1388=21,$A1388=215),$AJ1388=10),"④一般",IF(AND($A1388=31,$AJ1388=41),"⑤短期","対象外")))))</f>
        <v>⑤短期</v>
      </c>
      <c r="DC1388" s="2909">
        <f>IF($A1388="","",IF($AB1388&amp;""='DB_設定'!$C$4,1,0))</f>
        <v>1</v>
      </c>
    </row>
    <row r="1389">
      <c r="A1389" t="n" s="2909">
        <v>31</v>
      </c>
      <c r="AA1389" t="n" s="2909">
        <v>21</v>
      </c>
      <c r="AB1389" t="inlineStr" s="2909">
        <is>
          <t>20250401</t>
        </is>
      </c>
      <c r="AD1389" t="n" s="2909">
        <v>0</v>
      </c>
      <c r="AE1389" t="inlineStr" s="2909">
        <is>
          <t>00000000</t>
        </is>
      </c>
      <c r="AH1389" t="n" s="2909">
        <v>1</v>
      </c>
      <c r="AJ1389" t="n" s="2909">
        <v>41</v>
      </c>
      <c r="AP1389" t="n" s="2909">
        <v>200000</v>
      </c>
      <c r="DB1389" s="2909" t="str">
        <f>IF($A1389="","",IF($AH1389=20,IF(AND(OR($A1389=21,$A1389=215),$AJ1389=10),"①病院一般",IF(AND($A1389=31,$AJ1389=41),"②病院短期","対象外")),IF($AJ1389=30,"③特定消防",IF(AND(OR($A1389=21,$A1389=215),$AJ1389=10),"④一般",IF(AND($A1389=31,$AJ1389=41),"⑤短期","対象外")))))</f>
        <v>⑤短期</v>
      </c>
      <c r="DC1389" s="2909">
        <f>IF($A1389="","",IF($AB1389&amp;""='DB_設定'!$C$4,1,0))</f>
        <v>1</v>
      </c>
    </row>
    <row r="1390">
      <c r="A1390" t="n" s="2909">
        <v>31</v>
      </c>
      <c r="AA1390" t="n" s="2909">
        <v>21</v>
      </c>
      <c r="AB1390" t="inlineStr" s="2909">
        <is>
          <t>20250401</t>
        </is>
      </c>
      <c r="AD1390" t="n" s="2909">
        <v>0</v>
      </c>
      <c r="AE1390" t="inlineStr" s="2909">
        <is>
          <t>00000000</t>
        </is>
      </c>
      <c r="AH1390" t="n" s="2909">
        <v>1</v>
      </c>
      <c r="AJ1390" t="n" s="2909">
        <v>41</v>
      </c>
      <c r="AP1390" t="n" s="2909">
        <v>190000</v>
      </c>
      <c r="DB1390" s="2909" t="str">
        <f>IF($A1390="","",IF($AH1390=20,IF(AND(OR($A1390=21,$A1390=215),$AJ1390=10),"①病院一般",IF(AND($A1390=31,$AJ1390=41),"②病院短期","対象外")),IF($AJ1390=30,"③特定消防",IF(AND(OR($A1390=21,$A1390=215),$AJ1390=10),"④一般",IF(AND($A1390=31,$AJ1390=41),"⑤短期","対象外")))))</f>
        <v>⑤短期</v>
      </c>
      <c r="DC1390" s="2909">
        <f>IF($A1390="","",IF($AB1390&amp;""='DB_設定'!$C$4,1,0))</f>
        <v>1</v>
      </c>
    </row>
    <row r="1391">
      <c r="A1391" t="n" s="2909">
        <v>31</v>
      </c>
      <c r="AA1391" t="n" s="2909">
        <v>21</v>
      </c>
      <c r="AB1391" t="inlineStr" s="2909">
        <is>
          <t>20250401</t>
        </is>
      </c>
      <c r="AD1391" t="n" s="2909">
        <v>0</v>
      </c>
      <c r="AE1391" t="inlineStr" s="2909">
        <is>
          <t>00000000</t>
        </is>
      </c>
      <c r="AH1391" t="n" s="2909">
        <v>1</v>
      </c>
      <c r="AJ1391" t="n" s="2909">
        <v>41</v>
      </c>
      <c r="AP1391" t="n" s="2909">
        <v>200000</v>
      </c>
      <c r="DB1391" s="2909" t="str">
        <f>IF($A1391="","",IF($AH1391=20,IF(AND(OR($A1391=21,$A1391=215),$AJ1391=10),"①病院一般",IF(AND($A1391=31,$AJ1391=41),"②病院短期","対象外")),IF($AJ1391=30,"③特定消防",IF(AND(OR($A1391=21,$A1391=215),$AJ1391=10),"④一般",IF(AND($A1391=31,$AJ1391=41),"⑤短期","対象外")))))</f>
        <v>⑤短期</v>
      </c>
      <c r="DC1391" s="2909">
        <f>IF($A1391="","",IF($AB1391&amp;""='DB_設定'!$C$4,1,0))</f>
        <v>1</v>
      </c>
    </row>
    <row r="1392">
      <c r="A1392" t="n" s="2909">
        <v>31</v>
      </c>
      <c r="AA1392" t="n" s="2909">
        <v>21</v>
      </c>
      <c r="AB1392" t="inlineStr" s="2909">
        <is>
          <t>20250401</t>
        </is>
      </c>
      <c r="AD1392" t="n" s="2909">
        <v>0</v>
      </c>
      <c r="AE1392" t="inlineStr" s="2909">
        <is>
          <t>00000000</t>
        </is>
      </c>
      <c r="AH1392" t="n" s="2909">
        <v>1</v>
      </c>
      <c r="AJ1392" t="n" s="2909">
        <v>41</v>
      </c>
      <c r="AP1392" t="n" s="2909">
        <v>190000</v>
      </c>
      <c r="DB1392" s="2909" t="str">
        <f>IF($A1392="","",IF($AH1392=20,IF(AND(OR($A1392=21,$A1392=215),$AJ1392=10),"①病院一般",IF(AND($A1392=31,$AJ1392=41),"②病院短期","対象外")),IF($AJ1392=30,"③特定消防",IF(AND(OR($A1392=21,$A1392=215),$AJ1392=10),"④一般",IF(AND($A1392=31,$AJ1392=41),"⑤短期","対象外")))))</f>
        <v>⑤短期</v>
      </c>
      <c r="DC1392" s="2909">
        <f>IF($A1392="","",IF($AB1392&amp;""='DB_設定'!$C$4,1,0))</f>
        <v>1</v>
      </c>
    </row>
    <row r="1393">
      <c r="A1393" t="n" s="2909">
        <v>31</v>
      </c>
      <c r="AA1393" t="n" s="2909">
        <v>21</v>
      </c>
      <c r="AB1393" t="inlineStr" s="2909">
        <is>
          <t>20250401</t>
        </is>
      </c>
      <c r="AD1393" t="n" s="2909">
        <v>0</v>
      </c>
      <c r="AE1393" t="inlineStr" s="2909">
        <is>
          <t>00000000</t>
        </is>
      </c>
      <c r="AH1393" t="n" s="2909">
        <v>1</v>
      </c>
      <c r="AJ1393" t="n" s="2909">
        <v>41</v>
      </c>
      <c r="AP1393" t="n" s="2909">
        <v>200000</v>
      </c>
      <c r="DB1393" s="2909" t="str">
        <f>IF($A1393="","",IF($AH1393=20,IF(AND(OR($A1393=21,$A1393=215),$AJ1393=10),"①病院一般",IF(AND($A1393=31,$AJ1393=41),"②病院短期","対象外")),IF($AJ1393=30,"③特定消防",IF(AND(OR($A1393=21,$A1393=215),$AJ1393=10),"④一般",IF(AND($A1393=31,$AJ1393=41),"⑤短期","対象外")))))</f>
        <v>⑤短期</v>
      </c>
      <c r="DC1393" s="2909">
        <f>IF($A1393="","",IF($AB1393&amp;""='DB_設定'!$C$4,1,0))</f>
        <v>1</v>
      </c>
    </row>
    <row r="1394">
      <c r="A1394" t="n" s="2909">
        <v>31</v>
      </c>
      <c r="AA1394" t="n" s="2909">
        <v>21</v>
      </c>
      <c r="AB1394" t="inlineStr" s="2909">
        <is>
          <t>20250401</t>
        </is>
      </c>
      <c r="AD1394" t="n" s="2909">
        <v>0</v>
      </c>
      <c r="AE1394" t="inlineStr" s="2909">
        <is>
          <t>00000000</t>
        </is>
      </c>
      <c r="AH1394" t="n" s="2909">
        <v>1</v>
      </c>
      <c r="AJ1394" t="n" s="2909">
        <v>41</v>
      </c>
      <c r="AP1394" t="n" s="2909">
        <v>190000</v>
      </c>
      <c r="DB1394" s="2909" t="str">
        <f>IF($A1394="","",IF($AH1394=20,IF(AND(OR($A1394=21,$A1394=215),$AJ1394=10),"①病院一般",IF(AND($A1394=31,$AJ1394=41),"②病院短期","対象外")),IF($AJ1394=30,"③特定消防",IF(AND(OR($A1394=21,$A1394=215),$AJ1394=10),"④一般",IF(AND($A1394=31,$AJ1394=41),"⑤短期","対象外")))))</f>
        <v>⑤短期</v>
      </c>
      <c r="DC1394" s="2909">
        <f>IF($A1394="","",IF($AB1394&amp;""='DB_設定'!$C$4,1,0))</f>
        <v>1</v>
      </c>
    </row>
    <row r="1395">
      <c r="A1395" t="n" s="2909">
        <v>31</v>
      </c>
      <c r="AA1395" t="n" s="2909">
        <v>21</v>
      </c>
      <c r="AB1395" t="inlineStr" s="2909">
        <is>
          <t>20250401</t>
        </is>
      </c>
      <c r="AD1395" t="n" s="2909">
        <v>0</v>
      </c>
      <c r="AE1395" t="inlineStr" s="2909">
        <is>
          <t>00000000</t>
        </is>
      </c>
      <c r="AH1395" t="n" s="2909">
        <v>1</v>
      </c>
      <c r="AJ1395" t="n" s="2909">
        <v>41</v>
      </c>
      <c r="AP1395" t="n" s="2909">
        <v>190000</v>
      </c>
      <c r="DB1395" s="2909" t="str">
        <f>IF($A1395="","",IF($AH1395=20,IF(AND(OR($A1395=21,$A1395=215),$AJ1395=10),"①病院一般",IF(AND($A1395=31,$AJ1395=41),"②病院短期","対象外")),IF($AJ1395=30,"③特定消防",IF(AND(OR($A1395=21,$A1395=215),$AJ1395=10),"④一般",IF(AND($A1395=31,$AJ1395=41),"⑤短期","対象外")))))</f>
        <v>⑤短期</v>
      </c>
      <c r="DC1395" s="2909">
        <f>IF($A1395="","",IF($AB1395&amp;""='DB_設定'!$C$4,1,0))</f>
        <v>1</v>
      </c>
    </row>
    <row r="1396">
      <c r="A1396" t="n" s="2909">
        <v>31</v>
      </c>
      <c r="AA1396" t="n" s="2909">
        <v>21</v>
      </c>
      <c r="AB1396" t="inlineStr" s="2909">
        <is>
          <t>20250401</t>
        </is>
      </c>
      <c r="AD1396" t="n" s="2909">
        <v>0</v>
      </c>
      <c r="AE1396" t="inlineStr" s="2909">
        <is>
          <t>00000000</t>
        </is>
      </c>
      <c r="AH1396" t="n" s="2909">
        <v>1</v>
      </c>
      <c r="AJ1396" t="n" s="2909">
        <v>41</v>
      </c>
      <c r="AP1396" t="n" s="2909">
        <v>200000</v>
      </c>
      <c r="DB1396" s="2909" t="str">
        <f>IF($A1396="","",IF($AH1396=20,IF(AND(OR($A1396=21,$A1396=215),$AJ1396=10),"①病院一般",IF(AND($A1396=31,$AJ1396=41),"②病院短期","対象外")),IF($AJ1396=30,"③特定消防",IF(AND(OR($A1396=21,$A1396=215),$AJ1396=10),"④一般",IF(AND($A1396=31,$AJ1396=41),"⑤短期","対象外")))))</f>
        <v>⑤短期</v>
      </c>
      <c r="DC1396" s="2909">
        <f>IF($A1396="","",IF($AB1396&amp;""='DB_設定'!$C$4,1,0))</f>
        <v>1</v>
      </c>
    </row>
    <row r="1397">
      <c r="A1397" t="n" s="2909">
        <v>31</v>
      </c>
      <c r="AA1397" t="n" s="2909">
        <v>21</v>
      </c>
      <c r="AB1397" t="inlineStr" s="2909">
        <is>
          <t>20250401</t>
        </is>
      </c>
      <c r="AD1397" t="n" s="2909">
        <v>0</v>
      </c>
      <c r="AE1397" t="inlineStr" s="2909">
        <is>
          <t>00000000</t>
        </is>
      </c>
      <c r="AH1397" t="n" s="2909">
        <v>1</v>
      </c>
      <c r="AJ1397" t="n" s="2909">
        <v>41</v>
      </c>
      <c r="AP1397" t="n" s="2909">
        <v>190000</v>
      </c>
      <c r="DB1397" s="2909" t="str">
        <f>IF($A1397="","",IF($AH1397=20,IF(AND(OR($A1397=21,$A1397=215),$AJ1397=10),"①病院一般",IF(AND($A1397=31,$AJ1397=41),"②病院短期","対象外")),IF($AJ1397=30,"③特定消防",IF(AND(OR($A1397=21,$A1397=215),$AJ1397=10),"④一般",IF(AND($A1397=31,$AJ1397=41),"⑤短期","対象外")))))</f>
        <v>⑤短期</v>
      </c>
      <c r="DC1397" s="2909">
        <f>IF($A1397="","",IF($AB1397&amp;""='DB_設定'!$C$4,1,0))</f>
        <v>1</v>
      </c>
    </row>
    <row r="1398">
      <c r="A1398" t="n" s="2909">
        <v>31</v>
      </c>
      <c r="AA1398" t="n" s="2909">
        <v>21</v>
      </c>
      <c r="AB1398" t="inlineStr" s="2909">
        <is>
          <t>20250401</t>
        </is>
      </c>
      <c r="AD1398" t="n" s="2909">
        <v>0</v>
      </c>
      <c r="AE1398" t="inlineStr" s="2909">
        <is>
          <t>00000000</t>
        </is>
      </c>
      <c r="AH1398" t="n" s="2909">
        <v>1</v>
      </c>
      <c r="AJ1398" t="n" s="2909">
        <v>41</v>
      </c>
      <c r="AP1398" t="n" s="2909">
        <v>190000</v>
      </c>
      <c r="DB1398" s="2909" t="str">
        <f>IF($A1398="","",IF($AH1398=20,IF(AND(OR($A1398=21,$A1398=215),$AJ1398=10),"①病院一般",IF(AND($A1398=31,$AJ1398=41),"②病院短期","対象外")),IF($AJ1398=30,"③特定消防",IF(AND(OR($A1398=21,$A1398=215),$AJ1398=10),"④一般",IF(AND($A1398=31,$AJ1398=41),"⑤短期","対象外")))))</f>
        <v>⑤短期</v>
      </c>
      <c r="DC1398" s="2909">
        <f>IF($A1398="","",IF($AB1398&amp;""='DB_設定'!$C$4,1,0))</f>
        <v>1</v>
      </c>
    </row>
    <row r="1399">
      <c r="A1399" t="n" s="2909">
        <v>31</v>
      </c>
      <c r="AA1399" t="n" s="2909">
        <v>21</v>
      </c>
      <c r="AB1399" t="inlineStr" s="2909">
        <is>
          <t>20250401</t>
        </is>
      </c>
      <c r="AD1399" t="n" s="2909">
        <v>0</v>
      </c>
      <c r="AE1399" t="inlineStr" s="2909">
        <is>
          <t>00000000</t>
        </is>
      </c>
      <c r="AH1399" t="n" s="2909">
        <v>1</v>
      </c>
      <c r="AJ1399" t="n" s="2909">
        <v>41</v>
      </c>
      <c r="AP1399" t="n" s="2909">
        <v>190000</v>
      </c>
      <c r="DB1399" s="2909" t="str">
        <f>IF($A1399="","",IF($AH1399=20,IF(AND(OR($A1399=21,$A1399=215),$AJ1399=10),"①病院一般",IF(AND($A1399=31,$AJ1399=41),"②病院短期","対象外")),IF($AJ1399=30,"③特定消防",IF(AND(OR($A1399=21,$A1399=215),$AJ1399=10),"④一般",IF(AND($A1399=31,$AJ1399=41),"⑤短期","対象外")))))</f>
        <v>⑤短期</v>
      </c>
      <c r="DC1399" s="2909">
        <f>IF($A1399="","",IF($AB1399&amp;""='DB_設定'!$C$4,1,0))</f>
        <v>1</v>
      </c>
    </row>
    <row r="1400">
      <c r="A1400" t="n" s="2909">
        <v>31</v>
      </c>
      <c r="AA1400" t="n" s="2909">
        <v>21</v>
      </c>
      <c r="AB1400" t="inlineStr" s="2909">
        <is>
          <t>20250401</t>
        </is>
      </c>
      <c r="AD1400" t="n" s="2909">
        <v>0</v>
      </c>
      <c r="AE1400" t="inlineStr" s="2909">
        <is>
          <t>00000000</t>
        </is>
      </c>
      <c r="AH1400" t="n" s="2909">
        <v>1</v>
      </c>
      <c r="AJ1400" t="n" s="2909">
        <v>41</v>
      </c>
      <c r="AP1400" t="n" s="2909">
        <v>190000</v>
      </c>
      <c r="DB1400" s="2909" t="str">
        <f>IF($A1400="","",IF($AH1400=20,IF(AND(OR($A1400=21,$A1400=215),$AJ1400=10),"①病院一般",IF(AND($A1400=31,$AJ1400=41),"②病院短期","対象外")),IF($AJ1400=30,"③特定消防",IF(AND(OR($A1400=21,$A1400=215),$AJ1400=10),"④一般",IF(AND($A1400=31,$AJ1400=41),"⑤短期","対象外")))))</f>
        <v>⑤短期</v>
      </c>
      <c r="DC1400" s="2909">
        <f>IF($A1400="","",IF($AB1400&amp;""='DB_設定'!$C$4,1,0))</f>
        <v>1</v>
      </c>
    </row>
    <row r="1401">
      <c r="A1401" t="n" s="2909">
        <v>31</v>
      </c>
      <c r="AA1401" t="n" s="2909">
        <v>21</v>
      </c>
      <c r="AB1401" t="inlineStr" s="2909">
        <is>
          <t>20250401</t>
        </is>
      </c>
      <c r="AD1401" t="n" s="2909">
        <v>0</v>
      </c>
      <c r="AE1401" t="inlineStr" s="2909">
        <is>
          <t>00000000</t>
        </is>
      </c>
      <c r="AH1401" t="n" s="2909">
        <v>1</v>
      </c>
      <c r="AJ1401" t="n" s="2909">
        <v>41</v>
      </c>
      <c r="AP1401" t="n" s="2909">
        <v>200000</v>
      </c>
      <c r="DB1401" s="2909" t="str">
        <f>IF($A1401="","",IF($AH1401=20,IF(AND(OR($A1401=21,$A1401=215),$AJ1401=10),"①病院一般",IF(AND($A1401=31,$AJ1401=41),"②病院短期","対象外")),IF($AJ1401=30,"③特定消防",IF(AND(OR($A1401=21,$A1401=215),$AJ1401=10),"④一般",IF(AND($A1401=31,$AJ1401=41),"⑤短期","対象外")))))</f>
        <v>⑤短期</v>
      </c>
      <c r="DC1401" s="2909">
        <f>IF($A1401="","",IF($AB1401&amp;""='DB_設定'!$C$4,1,0))</f>
        <v>1</v>
      </c>
    </row>
    <row r="1402">
      <c r="A1402" t="n" s="2909">
        <v>31</v>
      </c>
      <c r="AA1402" t="n" s="2909">
        <v>21</v>
      </c>
      <c r="AB1402" t="inlineStr" s="2909">
        <is>
          <t>20250401</t>
        </is>
      </c>
      <c r="AD1402" t="n" s="2909">
        <v>0</v>
      </c>
      <c r="AE1402" t="inlineStr" s="2909">
        <is>
          <t>00000000</t>
        </is>
      </c>
      <c r="AH1402" t="n" s="2909">
        <v>1</v>
      </c>
      <c r="AJ1402" t="n" s="2909">
        <v>41</v>
      </c>
      <c r="AP1402" t="n" s="2909">
        <v>190000</v>
      </c>
      <c r="DB1402" s="2909" t="str">
        <f>IF($A1402="","",IF($AH1402=20,IF(AND(OR($A1402=21,$A1402=215),$AJ1402=10),"①病院一般",IF(AND($A1402=31,$AJ1402=41),"②病院短期","対象外")),IF($AJ1402=30,"③特定消防",IF(AND(OR($A1402=21,$A1402=215),$AJ1402=10),"④一般",IF(AND($A1402=31,$AJ1402=41),"⑤短期","対象外")))))</f>
        <v>⑤短期</v>
      </c>
      <c r="DC1402" s="2909">
        <f>IF($A1402="","",IF($AB1402&amp;""='DB_設定'!$C$4,1,0))</f>
        <v>1</v>
      </c>
    </row>
    <row r="1403">
      <c r="A1403" t="n" s="2909">
        <v>31</v>
      </c>
      <c r="AA1403" t="n" s="2909">
        <v>21</v>
      </c>
      <c r="AB1403" t="inlineStr" s="2909">
        <is>
          <t>20250401</t>
        </is>
      </c>
      <c r="AD1403" t="n" s="2909">
        <v>0</v>
      </c>
      <c r="AE1403" t="inlineStr" s="2909">
        <is>
          <t>00000000</t>
        </is>
      </c>
      <c r="AH1403" t="n" s="2909">
        <v>1</v>
      </c>
      <c r="AJ1403" t="n" s="2909">
        <v>41</v>
      </c>
      <c r="AP1403" t="n" s="2909">
        <v>190000</v>
      </c>
      <c r="DB1403" s="2909" t="str">
        <f>IF($A1403="","",IF($AH1403=20,IF(AND(OR($A1403=21,$A1403=215),$AJ1403=10),"①病院一般",IF(AND($A1403=31,$AJ1403=41),"②病院短期","対象外")),IF($AJ1403=30,"③特定消防",IF(AND(OR($A1403=21,$A1403=215),$AJ1403=10),"④一般",IF(AND($A1403=31,$AJ1403=41),"⑤短期","対象外")))))</f>
        <v>⑤短期</v>
      </c>
      <c r="DC1403" s="2909">
        <f>IF($A1403="","",IF($AB1403&amp;""='DB_設定'!$C$4,1,0))</f>
        <v>1</v>
      </c>
    </row>
    <row r="1404">
      <c r="A1404" t="n" s="2909">
        <v>31</v>
      </c>
      <c r="AA1404" t="n" s="2909">
        <v>21</v>
      </c>
      <c r="AB1404" t="inlineStr" s="2909">
        <is>
          <t>20250401</t>
        </is>
      </c>
      <c r="AD1404" t="n" s="2909">
        <v>0</v>
      </c>
      <c r="AE1404" t="inlineStr" s="2909">
        <is>
          <t>00000000</t>
        </is>
      </c>
      <c r="AH1404" t="n" s="2909">
        <v>1</v>
      </c>
      <c r="AJ1404" t="n" s="2909">
        <v>41</v>
      </c>
      <c r="AP1404" t="n" s="2909">
        <v>190000</v>
      </c>
      <c r="DB1404" s="2909" t="str">
        <f>IF($A1404="","",IF($AH1404=20,IF(AND(OR($A1404=21,$A1404=215),$AJ1404=10),"①病院一般",IF(AND($A1404=31,$AJ1404=41),"②病院短期","対象外")),IF($AJ1404=30,"③特定消防",IF(AND(OR($A1404=21,$A1404=215),$AJ1404=10),"④一般",IF(AND($A1404=31,$AJ1404=41),"⑤短期","対象外")))))</f>
        <v>⑤短期</v>
      </c>
      <c r="DC1404" s="2909">
        <f>IF($A1404="","",IF($AB1404&amp;""='DB_設定'!$C$4,1,0))</f>
        <v>1</v>
      </c>
    </row>
    <row r="1405">
      <c r="A1405" t="n" s="2909">
        <v>31</v>
      </c>
      <c r="AA1405" t="n" s="2909">
        <v>21</v>
      </c>
      <c r="AB1405" t="inlineStr" s="2909">
        <is>
          <t>20250401</t>
        </is>
      </c>
      <c r="AD1405" t="n" s="2909">
        <v>12</v>
      </c>
      <c r="AE1405" t="inlineStr" s="2909">
        <is>
          <t>20251001</t>
        </is>
      </c>
      <c r="AH1405" t="n" s="2909">
        <v>1</v>
      </c>
      <c r="AJ1405" t="n" s="2909">
        <v>41</v>
      </c>
      <c r="AP1405" t="n" s="2909">
        <v>190000</v>
      </c>
      <c r="DB1405" s="2909" t="str">
        <f>IF($A1405="","",IF($AH1405=20,IF(AND(OR($A1405=21,$A1405=215),$AJ1405=10),"①病院一般",IF(AND($A1405=31,$AJ1405=41),"②病院短期","対象外")),IF($AJ1405=30,"③特定消防",IF(AND(OR($A1405=21,$A1405=215),$AJ1405=10),"④一般",IF(AND($A1405=31,$AJ1405=41),"⑤短期","対象外")))))</f>
        <v>⑤短期</v>
      </c>
      <c r="DC1405" s="2909">
        <f>IF($A1405="","",IF($AB1405&amp;""='DB_設定'!$C$4,1,0))</f>
        <v>1</v>
      </c>
    </row>
    <row r="1406">
      <c r="A1406" t="n" s="2909">
        <v>31</v>
      </c>
      <c r="AA1406" t="n" s="2909">
        <v>21</v>
      </c>
      <c r="AB1406" t="inlineStr" s="2909">
        <is>
          <t>20250401</t>
        </is>
      </c>
      <c r="AD1406" t="n" s="2909">
        <v>0</v>
      </c>
      <c r="AE1406" t="inlineStr" s="2909">
        <is>
          <t>00000000</t>
        </is>
      </c>
      <c r="AH1406" t="n" s="2909">
        <v>1</v>
      </c>
      <c r="AJ1406" t="n" s="2909">
        <v>41</v>
      </c>
      <c r="AP1406" t="n" s="2909">
        <v>190000</v>
      </c>
      <c r="DB1406" s="2909" t="str">
        <f>IF($A1406="","",IF($AH1406=20,IF(AND(OR($A1406=21,$A1406=215),$AJ1406=10),"①病院一般",IF(AND($A1406=31,$AJ1406=41),"②病院短期","対象外")),IF($AJ1406=30,"③特定消防",IF(AND(OR($A1406=21,$A1406=215),$AJ1406=10),"④一般",IF(AND($A1406=31,$AJ1406=41),"⑤短期","対象外")))))</f>
        <v>⑤短期</v>
      </c>
      <c r="DC1406" s="2909">
        <f>IF($A1406="","",IF($AB1406&amp;""='DB_設定'!$C$4,1,0))</f>
        <v>1</v>
      </c>
    </row>
    <row r="1407">
      <c r="A1407" t="n" s="2909">
        <v>31</v>
      </c>
      <c r="AA1407" t="n" s="2909">
        <v>21</v>
      </c>
      <c r="AB1407" t="inlineStr" s="2909">
        <is>
          <t>20250401</t>
        </is>
      </c>
      <c r="AD1407" t="n" s="2909">
        <v>0</v>
      </c>
      <c r="AE1407" t="inlineStr" s="2909">
        <is>
          <t>00000000</t>
        </is>
      </c>
      <c r="AH1407" t="n" s="2909">
        <v>1</v>
      </c>
      <c r="AJ1407" t="n" s="2909">
        <v>41</v>
      </c>
      <c r="AP1407" t="n" s="2909">
        <v>134000</v>
      </c>
      <c r="DB1407" s="2909" t="str">
        <f>IF($A1407="","",IF($AH1407=20,IF(AND(OR($A1407=21,$A1407=215),$AJ1407=10),"①病院一般",IF(AND($A1407=31,$AJ1407=41),"②病院短期","対象外")),IF($AJ1407=30,"③特定消防",IF(AND(OR($A1407=21,$A1407=215),$AJ1407=10),"④一般",IF(AND($A1407=31,$AJ1407=41),"⑤短期","対象外")))))</f>
        <v>⑤短期</v>
      </c>
      <c r="DC1407" s="2909">
        <f>IF($A1407="","",IF($AB1407&amp;""='DB_設定'!$C$4,1,0))</f>
        <v>1</v>
      </c>
    </row>
    <row r="1408">
      <c r="A1408" t="n" s="2909">
        <v>31</v>
      </c>
      <c r="AA1408" t="n" s="2909">
        <v>21</v>
      </c>
      <c r="AB1408" t="inlineStr" s="2909">
        <is>
          <t>20250401</t>
        </is>
      </c>
      <c r="AD1408" t="n" s="2909">
        <v>12</v>
      </c>
      <c r="AE1408" t="inlineStr" s="2909">
        <is>
          <t>20250605</t>
        </is>
      </c>
      <c r="AH1408" t="n" s="2909">
        <v>1</v>
      </c>
      <c r="AJ1408" t="n" s="2909">
        <v>41</v>
      </c>
      <c r="AP1408" t="n" s="2909">
        <v>190000</v>
      </c>
      <c r="DB1408" s="2909" t="str">
        <f>IF($A1408="","",IF($AH1408=20,IF(AND(OR($A1408=21,$A1408=215),$AJ1408=10),"①病院一般",IF(AND($A1408=31,$AJ1408=41),"②病院短期","対象外")),IF($AJ1408=30,"③特定消防",IF(AND(OR($A1408=21,$A1408=215),$AJ1408=10),"④一般",IF(AND($A1408=31,$AJ1408=41),"⑤短期","対象外")))))</f>
        <v>⑤短期</v>
      </c>
      <c r="DC1408" s="2909">
        <f>IF($A1408="","",IF($AB1408&amp;""='DB_設定'!$C$4,1,0))</f>
        <v>1</v>
      </c>
    </row>
    <row r="1409">
      <c r="A1409" t="n" s="2909">
        <v>31</v>
      </c>
      <c r="AA1409" t="n" s="2909">
        <v>21</v>
      </c>
      <c r="AB1409" t="inlineStr" s="2909">
        <is>
          <t>20250401</t>
        </is>
      </c>
      <c r="AD1409" t="n" s="2909">
        <v>0</v>
      </c>
      <c r="AE1409" t="inlineStr" s="2909">
        <is>
          <t>00000000</t>
        </is>
      </c>
      <c r="AH1409" t="n" s="2909">
        <v>1</v>
      </c>
      <c r="AJ1409" t="n" s="2909">
        <v>41</v>
      </c>
      <c r="AP1409" t="n" s="2909">
        <v>142000</v>
      </c>
      <c r="DB1409" s="2909" t="str">
        <f>IF($A1409="","",IF($AH1409=20,IF(AND(OR($A1409=21,$A1409=215),$AJ1409=10),"①病院一般",IF(AND($A1409=31,$AJ1409=41),"②病院短期","対象外")),IF($AJ1409=30,"③特定消防",IF(AND(OR($A1409=21,$A1409=215),$AJ1409=10),"④一般",IF(AND($A1409=31,$AJ1409=41),"⑤短期","対象外")))))</f>
        <v>⑤短期</v>
      </c>
      <c r="DC1409" s="2909">
        <f>IF($A1409="","",IF($AB1409&amp;""='DB_設定'!$C$4,1,0))</f>
        <v>1</v>
      </c>
    </row>
    <row r="1410">
      <c r="A1410" t="n" s="2909">
        <v>31</v>
      </c>
      <c r="AA1410" t="n" s="2909">
        <v>21</v>
      </c>
      <c r="AB1410" t="inlineStr" s="2909">
        <is>
          <t>20250401</t>
        </is>
      </c>
      <c r="AD1410" t="n" s="2909">
        <v>0</v>
      </c>
      <c r="AE1410" t="inlineStr" s="2909">
        <is>
          <t>00000000</t>
        </is>
      </c>
      <c r="AH1410" t="n" s="2909">
        <v>1</v>
      </c>
      <c r="AJ1410" t="n" s="2909">
        <v>41</v>
      </c>
      <c r="AP1410" t="n" s="2909">
        <v>142000</v>
      </c>
      <c r="DB1410" s="2909" t="str">
        <f>IF($A1410="","",IF($AH1410=20,IF(AND(OR($A1410=21,$A1410=215),$AJ1410=10),"①病院一般",IF(AND($A1410=31,$AJ1410=41),"②病院短期","対象外")),IF($AJ1410=30,"③特定消防",IF(AND(OR($A1410=21,$A1410=215),$AJ1410=10),"④一般",IF(AND($A1410=31,$AJ1410=41),"⑤短期","対象外")))))</f>
        <v>⑤短期</v>
      </c>
      <c r="DC1410" s="2909">
        <f>IF($A1410="","",IF($AB1410&amp;""='DB_設定'!$C$4,1,0))</f>
        <v>1</v>
      </c>
    </row>
    <row r="1411">
      <c r="A1411" t="n" s="2909">
        <v>31</v>
      </c>
      <c r="AA1411" t="n" s="2909">
        <v>21</v>
      </c>
      <c r="AB1411" t="inlineStr" s="2909">
        <is>
          <t>20250401</t>
        </is>
      </c>
      <c r="AD1411" t="n" s="2909">
        <v>0</v>
      </c>
      <c r="AE1411" t="inlineStr" s="2909">
        <is>
          <t>00000000</t>
        </is>
      </c>
      <c r="AH1411" t="n" s="2909">
        <v>1</v>
      </c>
      <c r="AJ1411" t="n" s="2909">
        <v>41</v>
      </c>
      <c r="AP1411" t="n" s="2909">
        <v>200000</v>
      </c>
      <c r="DB1411" s="2909" t="str">
        <f>IF($A1411="","",IF($AH1411=20,IF(AND(OR($A1411=21,$A1411=215),$AJ1411=10),"①病院一般",IF(AND($A1411=31,$AJ1411=41),"②病院短期","対象外")),IF($AJ1411=30,"③特定消防",IF(AND(OR($A1411=21,$A1411=215),$AJ1411=10),"④一般",IF(AND($A1411=31,$AJ1411=41),"⑤短期","対象外")))))</f>
        <v>⑤短期</v>
      </c>
      <c r="DC1411" s="2909">
        <f>IF($A1411="","",IF($AB1411&amp;""='DB_設定'!$C$4,1,0))</f>
        <v>1</v>
      </c>
    </row>
    <row r="1412">
      <c r="A1412" t="n" s="2909">
        <v>31</v>
      </c>
      <c r="AA1412" t="n" s="2909">
        <v>21</v>
      </c>
      <c r="AB1412" t="inlineStr" s="2909">
        <is>
          <t>20250401</t>
        </is>
      </c>
      <c r="AD1412" t="n" s="2909">
        <v>0</v>
      </c>
      <c r="AE1412" t="inlineStr" s="2909">
        <is>
          <t>00000000</t>
        </is>
      </c>
      <c r="AH1412" t="n" s="2909">
        <v>1</v>
      </c>
      <c r="AJ1412" t="n" s="2909">
        <v>41</v>
      </c>
      <c r="AP1412" t="n" s="2909">
        <v>200000</v>
      </c>
      <c r="DB1412" s="2909" t="str">
        <f>IF($A1412="","",IF($AH1412=20,IF(AND(OR($A1412=21,$A1412=215),$AJ1412=10),"①病院一般",IF(AND($A1412=31,$AJ1412=41),"②病院短期","対象外")),IF($AJ1412=30,"③特定消防",IF(AND(OR($A1412=21,$A1412=215),$AJ1412=10),"④一般",IF(AND($A1412=31,$AJ1412=41),"⑤短期","対象外")))))</f>
        <v>⑤短期</v>
      </c>
      <c r="DC1412" s="2909">
        <f>IF($A1412="","",IF($AB1412&amp;""='DB_設定'!$C$4,1,0))</f>
        <v>1</v>
      </c>
    </row>
    <row r="1413">
      <c r="A1413" t="n" s="2909">
        <v>31</v>
      </c>
      <c r="AA1413" t="n" s="2909">
        <v>21</v>
      </c>
      <c r="AB1413" t="inlineStr" s="2909">
        <is>
          <t>20250401</t>
        </is>
      </c>
      <c r="AD1413" t="n" s="2909">
        <v>0</v>
      </c>
      <c r="AE1413" t="inlineStr" s="2909">
        <is>
          <t>00000000</t>
        </is>
      </c>
      <c r="AH1413" t="n" s="2909">
        <v>1</v>
      </c>
      <c r="AJ1413" t="n" s="2909">
        <v>41</v>
      </c>
      <c r="AP1413" t="n" s="2909">
        <v>200000</v>
      </c>
      <c r="DB1413" s="2909" t="str">
        <f>IF($A1413="","",IF($AH1413=20,IF(AND(OR($A1413=21,$A1413=215),$AJ1413=10),"①病院一般",IF(AND($A1413=31,$AJ1413=41),"②病院短期","対象外")),IF($AJ1413=30,"③特定消防",IF(AND(OR($A1413=21,$A1413=215),$AJ1413=10),"④一般",IF(AND($A1413=31,$AJ1413=41),"⑤短期","対象外")))))</f>
        <v>⑤短期</v>
      </c>
      <c r="DC1413" s="2909">
        <f>IF($A1413="","",IF($AB1413&amp;""='DB_設定'!$C$4,1,0))</f>
        <v>1</v>
      </c>
    </row>
    <row r="1414">
      <c r="A1414" t="n" s="2909">
        <v>31</v>
      </c>
      <c r="AA1414" t="n" s="2909">
        <v>21</v>
      </c>
      <c r="AB1414" t="inlineStr" s="2909">
        <is>
          <t>20250408</t>
        </is>
      </c>
      <c r="AD1414" t="n" s="2909">
        <v>0</v>
      </c>
      <c r="AE1414" t="inlineStr" s="2909">
        <is>
          <t>00000000</t>
        </is>
      </c>
      <c r="AH1414" t="n" s="2909">
        <v>11</v>
      </c>
      <c r="AJ1414" t="n" s="2909">
        <v>41</v>
      </c>
      <c r="AP1414" t="n" s="2909">
        <v>126000</v>
      </c>
      <c r="DB1414" s="2909" t="str">
        <f>IF($A1414="","",IF($AH1414=20,IF(AND(OR($A1414=21,$A1414=215),$AJ1414=10),"①病院一般",IF(AND($A1414=31,$AJ1414=41),"②病院短期","対象外")),IF($AJ1414=30,"③特定消防",IF(AND(OR($A1414=21,$A1414=215),$AJ1414=10),"④一般",IF(AND($A1414=31,$AJ1414=41),"⑤短期","対象外")))))</f>
        <v>⑤短期</v>
      </c>
      <c r="DC1414" s="2909">
        <f>IF($A1414="","",IF($AB1414&amp;""='DB_設定'!$C$4,1,0))</f>
        <v>0</v>
      </c>
    </row>
    <row r="1415">
      <c r="A1415" t="n" s="2909">
        <v>31</v>
      </c>
      <c r="AA1415" t="n" s="2909">
        <v>21</v>
      </c>
      <c r="AB1415" t="inlineStr" s="2909">
        <is>
          <t>20250401</t>
        </is>
      </c>
      <c r="AD1415" t="n" s="2909">
        <v>0</v>
      </c>
      <c r="AE1415" t="inlineStr" s="2909">
        <is>
          <t>00000000</t>
        </is>
      </c>
      <c r="AH1415" t="n" s="2909">
        <v>1</v>
      </c>
      <c r="AJ1415" t="n" s="2909">
        <v>41</v>
      </c>
      <c r="AP1415" t="n" s="2909">
        <v>260000</v>
      </c>
      <c r="DB1415" s="2909" t="str">
        <f>IF($A1415="","",IF($AH1415=20,IF(AND(OR($A1415=21,$A1415=215),$AJ1415=10),"①病院一般",IF(AND($A1415=31,$AJ1415=41),"②病院短期","対象外")),IF($AJ1415=30,"③特定消防",IF(AND(OR($A1415=21,$A1415=215),$AJ1415=10),"④一般",IF(AND($A1415=31,$AJ1415=41),"⑤短期","対象外")))))</f>
        <v>⑤短期</v>
      </c>
      <c r="DC1415" s="2909">
        <f>IF($A1415="","",IF($AB1415&amp;""='DB_設定'!$C$4,1,0))</f>
        <v>1</v>
      </c>
    </row>
    <row r="1416">
      <c r="A1416" t="n" s="2909">
        <v>31</v>
      </c>
      <c r="AA1416" t="n" s="2909">
        <v>21</v>
      </c>
      <c r="AB1416" t="inlineStr" s="2909">
        <is>
          <t>20250401</t>
        </is>
      </c>
      <c r="AD1416" t="n" s="2909">
        <v>0</v>
      </c>
      <c r="AE1416" t="inlineStr" s="2909">
        <is>
          <t>00000000</t>
        </is>
      </c>
      <c r="AH1416" t="n" s="2909">
        <v>1</v>
      </c>
      <c r="AJ1416" t="n" s="2909">
        <v>41</v>
      </c>
      <c r="AP1416" t="n" s="2909">
        <v>126000</v>
      </c>
      <c r="DB1416" s="2909" t="str">
        <f>IF($A1416="","",IF($AH1416=20,IF(AND(OR($A1416=21,$A1416=215),$AJ1416=10),"①病院一般",IF(AND($A1416=31,$AJ1416=41),"②病院短期","対象外")),IF($AJ1416=30,"③特定消防",IF(AND(OR($A1416=21,$A1416=215),$AJ1416=10),"④一般",IF(AND($A1416=31,$AJ1416=41),"⑤短期","対象外")))))</f>
        <v>⑤短期</v>
      </c>
      <c r="DC1416" s="2909">
        <f>IF($A1416="","",IF($AB1416&amp;""='DB_設定'!$C$4,1,0))</f>
        <v>1</v>
      </c>
    </row>
    <row r="1417">
      <c r="A1417" t="n" s="2909">
        <v>31</v>
      </c>
      <c r="AA1417" t="n" s="2909">
        <v>21</v>
      </c>
      <c r="AB1417" t="inlineStr" s="2909">
        <is>
          <t>20250401</t>
        </is>
      </c>
      <c r="AD1417" t="n" s="2909">
        <v>0</v>
      </c>
      <c r="AE1417" t="inlineStr" s="2909">
        <is>
          <t>00000000</t>
        </is>
      </c>
      <c r="AH1417" t="n" s="2909">
        <v>1</v>
      </c>
      <c r="AJ1417" t="n" s="2909">
        <v>41</v>
      </c>
      <c r="AP1417" t="n" s="2909">
        <v>260000</v>
      </c>
      <c r="DB1417" s="2909" t="str">
        <f>IF($A1417="","",IF($AH1417=20,IF(AND(OR($A1417=21,$A1417=215),$AJ1417=10),"①病院一般",IF(AND($A1417=31,$AJ1417=41),"②病院短期","対象外")),IF($AJ1417=30,"③特定消防",IF(AND(OR($A1417=21,$A1417=215),$AJ1417=10),"④一般",IF(AND($A1417=31,$AJ1417=41),"⑤短期","対象外")))))</f>
        <v>⑤短期</v>
      </c>
      <c r="DC1417" s="2909">
        <f>IF($A1417="","",IF($AB1417&amp;""='DB_設定'!$C$4,1,0))</f>
        <v>1</v>
      </c>
    </row>
    <row r="1418">
      <c r="A1418" t="n" s="2909">
        <v>31</v>
      </c>
      <c r="AA1418" t="n" s="2909">
        <v>21</v>
      </c>
      <c r="AB1418" t="inlineStr" s="2909">
        <is>
          <t>20250401</t>
        </is>
      </c>
      <c r="AD1418" t="n" s="2909">
        <v>0</v>
      </c>
      <c r="AE1418" t="inlineStr" s="2909">
        <is>
          <t>00000000</t>
        </is>
      </c>
      <c r="AH1418" t="n" s="2909">
        <v>1</v>
      </c>
      <c r="AJ1418" t="n" s="2909">
        <v>41</v>
      </c>
      <c r="AP1418" t="n" s="2909">
        <v>190000</v>
      </c>
      <c r="DB1418" s="2909" t="str">
        <f>IF($A1418="","",IF($AH1418=20,IF(AND(OR($A1418=21,$A1418=215),$AJ1418=10),"①病院一般",IF(AND($A1418=31,$AJ1418=41),"②病院短期","対象外")),IF($AJ1418=30,"③特定消防",IF(AND(OR($A1418=21,$A1418=215),$AJ1418=10),"④一般",IF(AND($A1418=31,$AJ1418=41),"⑤短期","対象外")))))</f>
        <v>⑤短期</v>
      </c>
      <c r="DC1418" s="2909">
        <f>IF($A1418="","",IF($AB1418&amp;""='DB_設定'!$C$4,1,0))</f>
        <v>1</v>
      </c>
    </row>
    <row r="1419">
      <c r="A1419" t="n" s="2909">
        <v>31</v>
      </c>
      <c r="AA1419" t="n" s="2909">
        <v>21</v>
      </c>
      <c r="AB1419" t="inlineStr" s="2909">
        <is>
          <t>20250401</t>
        </is>
      </c>
      <c r="AD1419" t="n" s="2909">
        <v>0</v>
      </c>
      <c r="AE1419" t="inlineStr" s="2909">
        <is>
          <t>00000000</t>
        </is>
      </c>
      <c r="AH1419" t="n" s="2909">
        <v>1</v>
      </c>
      <c r="AJ1419" t="n" s="2909">
        <v>41</v>
      </c>
      <c r="AP1419" t="n" s="2909">
        <v>200000</v>
      </c>
      <c r="DB1419" s="2909" t="str">
        <f>IF($A1419="","",IF($AH1419=20,IF(AND(OR($A1419=21,$A1419=215),$AJ1419=10),"①病院一般",IF(AND($A1419=31,$AJ1419=41),"②病院短期","対象外")),IF($AJ1419=30,"③特定消防",IF(AND(OR($A1419=21,$A1419=215),$AJ1419=10),"④一般",IF(AND($A1419=31,$AJ1419=41),"⑤短期","対象外")))))</f>
        <v>⑤短期</v>
      </c>
      <c r="DC1419" s="2909">
        <f>IF($A1419="","",IF($AB1419&amp;""='DB_設定'!$C$4,1,0))</f>
        <v>1</v>
      </c>
    </row>
    <row r="1420">
      <c r="A1420" t="n" s="2909">
        <v>31</v>
      </c>
      <c r="AA1420" t="n" s="2909">
        <v>21</v>
      </c>
      <c r="AB1420" t="inlineStr" s="2909">
        <is>
          <t>20250401</t>
        </is>
      </c>
      <c r="AD1420" t="n" s="2909">
        <v>0</v>
      </c>
      <c r="AE1420" t="inlineStr" s="2909">
        <is>
          <t>00000000</t>
        </is>
      </c>
      <c r="AH1420" t="n" s="2909">
        <v>1</v>
      </c>
      <c r="AJ1420" t="n" s="2909">
        <v>41</v>
      </c>
      <c r="AP1420" t="n" s="2909">
        <v>142000</v>
      </c>
      <c r="DB1420" s="2909" t="str">
        <f>IF($A1420="","",IF($AH1420=20,IF(AND(OR($A1420=21,$A1420=215),$AJ1420=10),"①病院一般",IF(AND($A1420=31,$AJ1420=41),"②病院短期","対象外")),IF($AJ1420=30,"③特定消防",IF(AND(OR($A1420=21,$A1420=215),$AJ1420=10),"④一般",IF(AND($A1420=31,$AJ1420=41),"⑤短期","対象外")))))</f>
        <v>⑤短期</v>
      </c>
      <c r="DC1420" s="2909">
        <f>IF($A1420="","",IF($AB1420&amp;""='DB_設定'!$C$4,1,0))</f>
        <v>1</v>
      </c>
    </row>
    <row r="1421">
      <c r="A1421" t="n" s="2909">
        <v>31</v>
      </c>
      <c r="AA1421" t="n" s="2909">
        <v>21</v>
      </c>
      <c r="AB1421" t="inlineStr" s="2909">
        <is>
          <t>20250401</t>
        </is>
      </c>
      <c r="AD1421" t="n" s="2909">
        <v>0</v>
      </c>
      <c r="AE1421" t="inlineStr" s="2909">
        <is>
          <t>00000000</t>
        </is>
      </c>
      <c r="AH1421" t="n" s="2909">
        <v>1</v>
      </c>
      <c r="AJ1421" t="n" s="2909">
        <v>41</v>
      </c>
      <c r="AP1421" t="n" s="2909">
        <v>134000</v>
      </c>
      <c r="DB1421" s="2909" t="str">
        <f>IF($A1421="","",IF($AH1421=20,IF(AND(OR($A1421=21,$A1421=215),$AJ1421=10),"①病院一般",IF(AND($A1421=31,$AJ1421=41),"②病院短期","対象外")),IF($AJ1421=30,"③特定消防",IF(AND(OR($A1421=21,$A1421=215),$AJ1421=10),"④一般",IF(AND($A1421=31,$AJ1421=41),"⑤短期","対象外")))))</f>
        <v>⑤短期</v>
      </c>
      <c r="DC1421" s="2909">
        <f>IF($A1421="","",IF($AB1421&amp;""='DB_設定'!$C$4,1,0))</f>
        <v>1</v>
      </c>
    </row>
    <row r="1422">
      <c r="A1422" t="n" s="2909">
        <v>31</v>
      </c>
      <c r="AA1422" t="n" s="2909">
        <v>21</v>
      </c>
      <c r="AB1422" t="inlineStr" s="2909">
        <is>
          <t>20250401</t>
        </is>
      </c>
      <c r="AD1422" t="n" s="2909">
        <v>0</v>
      </c>
      <c r="AE1422" t="inlineStr" s="2909">
        <is>
          <t>00000000</t>
        </is>
      </c>
      <c r="AH1422" t="n" s="2909">
        <v>1</v>
      </c>
      <c r="AJ1422" t="n" s="2909">
        <v>41</v>
      </c>
      <c r="AP1422" t="n" s="2909">
        <v>200000</v>
      </c>
      <c r="DB1422" s="2909" t="str">
        <f>IF($A1422="","",IF($AH1422=20,IF(AND(OR($A1422=21,$A1422=215),$AJ1422=10),"①病院一般",IF(AND($A1422=31,$AJ1422=41),"②病院短期","対象外")),IF($AJ1422=30,"③特定消防",IF(AND(OR($A1422=21,$A1422=215),$AJ1422=10),"④一般",IF(AND($A1422=31,$AJ1422=41),"⑤短期","対象外")))))</f>
        <v>⑤短期</v>
      </c>
      <c r="DC1422" s="2909">
        <f>IF($A1422="","",IF($AB1422&amp;""='DB_設定'!$C$4,1,0))</f>
        <v>1</v>
      </c>
    </row>
    <row r="1423">
      <c r="A1423" t="n" s="2909">
        <v>31</v>
      </c>
      <c r="AA1423" t="n" s="2909">
        <v>21</v>
      </c>
      <c r="AB1423" t="inlineStr" s="2909">
        <is>
          <t>20250401</t>
        </is>
      </c>
      <c r="AD1423" t="n" s="2909">
        <v>0</v>
      </c>
      <c r="AE1423" t="inlineStr" s="2909">
        <is>
          <t>00000000</t>
        </is>
      </c>
      <c r="AH1423" t="n" s="2909">
        <v>1</v>
      </c>
      <c r="AJ1423" t="n" s="2909">
        <v>41</v>
      </c>
      <c r="AP1423" t="n" s="2909">
        <v>142000</v>
      </c>
      <c r="DB1423" s="2909" t="str">
        <f>IF($A1423="","",IF($AH1423=20,IF(AND(OR($A1423=21,$A1423=215),$AJ1423=10),"①病院一般",IF(AND($A1423=31,$AJ1423=41),"②病院短期","対象外")),IF($AJ1423=30,"③特定消防",IF(AND(OR($A1423=21,$A1423=215),$AJ1423=10),"④一般",IF(AND($A1423=31,$AJ1423=41),"⑤短期","対象外")))))</f>
        <v>⑤短期</v>
      </c>
      <c r="DC1423" s="2909">
        <f>IF($A1423="","",IF($AB1423&amp;""='DB_設定'!$C$4,1,0))</f>
        <v>1</v>
      </c>
    </row>
    <row r="1424">
      <c r="A1424" t="n" s="2909">
        <v>31</v>
      </c>
      <c r="AA1424" t="n" s="2909">
        <v>21</v>
      </c>
      <c r="AB1424" t="inlineStr" s="2909">
        <is>
          <t>20250401</t>
        </is>
      </c>
      <c r="AD1424" t="n" s="2909">
        <v>0</v>
      </c>
      <c r="AE1424" t="inlineStr" s="2909">
        <is>
          <t>00000000</t>
        </is>
      </c>
      <c r="AH1424" t="n" s="2909">
        <v>11</v>
      </c>
      <c r="AJ1424" t="n" s="2909">
        <v>41</v>
      </c>
      <c r="AP1424" t="n" s="2909">
        <v>190000</v>
      </c>
      <c r="DB1424" s="2909" t="str">
        <f>IF($A1424="","",IF($AH1424=20,IF(AND(OR($A1424=21,$A1424=215),$AJ1424=10),"①病院一般",IF(AND($A1424=31,$AJ1424=41),"②病院短期","対象外")),IF($AJ1424=30,"③特定消防",IF(AND(OR($A1424=21,$A1424=215),$AJ1424=10),"④一般",IF(AND($A1424=31,$AJ1424=41),"⑤短期","対象外")))))</f>
        <v>⑤短期</v>
      </c>
      <c r="DC1424" s="2909">
        <f>IF($A1424="","",IF($AB1424&amp;""='DB_設定'!$C$4,1,0))</f>
        <v>1</v>
      </c>
    </row>
    <row r="1425">
      <c r="A1425" t="n" s="2909">
        <v>31</v>
      </c>
      <c r="AA1425" t="n" s="2909">
        <v>21</v>
      </c>
      <c r="AB1425" t="inlineStr" s="2909">
        <is>
          <t>20250401</t>
        </is>
      </c>
      <c r="AD1425" t="n" s="2909">
        <v>0</v>
      </c>
      <c r="AE1425" t="inlineStr" s="2909">
        <is>
          <t>00000000</t>
        </is>
      </c>
      <c r="AH1425" t="n" s="2909">
        <v>11</v>
      </c>
      <c r="AJ1425" t="n" s="2909">
        <v>41</v>
      </c>
      <c r="AP1425" t="n" s="2909">
        <v>142000</v>
      </c>
      <c r="DB1425" s="2909" t="str">
        <f>IF($A1425="","",IF($AH1425=20,IF(AND(OR($A1425=21,$A1425=215),$AJ1425=10),"①病院一般",IF(AND($A1425=31,$AJ1425=41),"②病院短期","対象外")),IF($AJ1425=30,"③特定消防",IF(AND(OR($A1425=21,$A1425=215),$AJ1425=10),"④一般",IF(AND($A1425=31,$AJ1425=41),"⑤短期","対象外")))))</f>
        <v>⑤短期</v>
      </c>
      <c r="DC1425" s="2909">
        <f>IF($A1425="","",IF($AB1425&amp;""='DB_設定'!$C$4,1,0))</f>
        <v>1</v>
      </c>
    </row>
    <row r="1426">
      <c r="A1426" t="n" s="2909">
        <v>31</v>
      </c>
      <c r="AA1426" t="n" s="2909">
        <v>21</v>
      </c>
      <c r="AB1426" t="inlineStr" s="2909">
        <is>
          <t>20250401</t>
        </is>
      </c>
      <c r="AD1426" t="n" s="2909">
        <v>0</v>
      </c>
      <c r="AE1426" t="inlineStr" s="2909">
        <is>
          <t>00000000</t>
        </is>
      </c>
      <c r="AH1426" t="n" s="2909">
        <v>11</v>
      </c>
      <c r="AJ1426" t="n" s="2909">
        <v>41</v>
      </c>
      <c r="AP1426" t="n" s="2909">
        <v>180000</v>
      </c>
      <c r="DB1426" s="2909" t="str">
        <f>IF($A1426="","",IF($AH1426=20,IF(AND(OR($A1426=21,$A1426=215),$AJ1426=10),"①病院一般",IF(AND($A1426=31,$AJ1426=41),"②病院短期","対象外")),IF($AJ1426=30,"③特定消防",IF(AND(OR($A1426=21,$A1426=215),$AJ1426=10),"④一般",IF(AND($A1426=31,$AJ1426=41),"⑤短期","対象外")))))</f>
        <v>⑤短期</v>
      </c>
      <c r="DC1426" s="2909">
        <f>IF($A1426="","",IF($AB1426&amp;""='DB_設定'!$C$4,1,0))</f>
        <v>1</v>
      </c>
    </row>
    <row r="1427">
      <c r="A1427" t="n" s="2909">
        <v>31</v>
      </c>
      <c r="AA1427" t="n" s="2909">
        <v>21</v>
      </c>
      <c r="AB1427" t="inlineStr" s="2909">
        <is>
          <t>20250401</t>
        </is>
      </c>
      <c r="AD1427" t="n" s="2909">
        <v>0</v>
      </c>
      <c r="AE1427" t="inlineStr" s="2909">
        <is>
          <t>00000000</t>
        </is>
      </c>
      <c r="AH1427" t="n" s="2909">
        <v>11</v>
      </c>
      <c r="AJ1427" t="n" s="2909">
        <v>41</v>
      </c>
      <c r="AP1427" t="n" s="2909">
        <v>180000</v>
      </c>
      <c r="DB1427" s="2909" t="str">
        <f>IF($A1427="","",IF($AH1427=20,IF(AND(OR($A1427=21,$A1427=215),$AJ1427=10),"①病院一般",IF(AND($A1427=31,$AJ1427=41),"②病院短期","対象外")),IF($AJ1427=30,"③特定消防",IF(AND(OR($A1427=21,$A1427=215),$AJ1427=10),"④一般",IF(AND($A1427=31,$AJ1427=41),"⑤短期","対象外")))))</f>
        <v>⑤短期</v>
      </c>
      <c r="DC1427" s="2909">
        <f>IF($A1427="","",IF($AB1427&amp;""='DB_設定'!$C$4,1,0))</f>
        <v>1</v>
      </c>
    </row>
    <row r="1428">
      <c r="A1428" t="n" s="2909">
        <v>31</v>
      </c>
      <c r="AA1428" t="n" s="2909">
        <v>21</v>
      </c>
      <c r="AB1428" t="inlineStr" s="2909">
        <is>
          <t>20250401</t>
        </is>
      </c>
      <c r="AD1428" t="n" s="2909">
        <v>0</v>
      </c>
      <c r="AE1428" t="inlineStr" s="2909">
        <is>
          <t>00000000</t>
        </is>
      </c>
      <c r="AH1428" t="n" s="2909">
        <v>1</v>
      </c>
      <c r="AJ1428" t="n" s="2909">
        <v>41</v>
      </c>
      <c r="AP1428" t="n" s="2909">
        <v>170000</v>
      </c>
      <c r="DB1428" s="2909" t="str">
        <f>IF($A1428="","",IF($AH1428=20,IF(AND(OR($A1428=21,$A1428=215),$AJ1428=10),"①病院一般",IF(AND($A1428=31,$AJ1428=41),"②病院短期","対象外")),IF($AJ1428=30,"③特定消防",IF(AND(OR($A1428=21,$A1428=215),$AJ1428=10),"④一般",IF(AND($A1428=31,$AJ1428=41),"⑤短期","対象外")))))</f>
        <v>⑤短期</v>
      </c>
      <c r="DC1428" s="2909">
        <f>IF($A1428="","",IF($AB1428&amp;""='DB_設定'!$C$4,1,0))</f>
        <v>1</v>
      </c>
    </row>
    <row r="1429">
      <c r="A1429" t="n" s="2909">
        <v>31</v>
      </c>
      <c r="AA1429" t="n" s="2909">
        <v>21</v>
      </c>
      <c r="AB1429" t="inlineStr" s="2909">
        <is>
          <t>20250401</t>
        </is>
      </c>
      <c r="AD1429" t="n" s="2909">
        <v>0</v>
      </c>
      <c r="AE1429" t="inlineStr" s="2909">
        <is>
          <t>00000000</t>
        </is>
      </c>
      <c r="AH1429" t="n" s="2909">
        <v>1</v>
      </c>
      <c r="AJ1429" t="n" s="2909">
        <v>41</v>
      </c>
      <c r="AP1429" t="n" s="2909">
        <v>126000</v>
      </c>
      <c r="DB1429" s="2909" t="str">
        <f>IF($A1429="","",IF($AH1429=20,IF(AND(OR($A1429=21,$A1429=215),$AJ1429=10),"①病院一般",IF(AND($A1429=31,$AJ1429=41),"②病院短期","対象外")),IF($AJ1429=30,"③特定消防",IF(AND(OR($A1429=21,$A1429=215),$AJ1429=10),"④一般",IF(AND($A1429=31,$AJ1429=41),"⑤短期","対象外")))))</f>
        <v>⑤短期</v>
      </c>
      <c r="DC1429" s="2909">
        <f>IF($A1429="","",IF($AB1429&amp;""='DB_設定'!$C$4,1,0))</f>
        <v>1</v>
      </c>
    </row>
    <row r="1430">
      <c r="A1430" t="n" s="2909">
        <v>31</v>
      </c>
      <c r="AA1430" t="n" s="2909">
        <v>21</v>
      </c>
      <c r="AB1430" t="inlineStr" s="2909">
        <is>
          <t>20250408</t>
        </is>
      </c>
      <c r="AD1430" t="n" s="2909">
        <v>0</v>
      </c>
      <c r="AE1430" t="inlineStr" s="2909">
        <is>
          <t>00000000</t>
        </is>
      </c>
      <c r="AH1430" t="n" s="2909">
        <v>11</v>
      </c>
      <c r="AJ1430" t="n" s="2909">
        <v>41</v>
      </c>
      <c r="AP1430" t="n" s="2909">
        <v>126000</v>
      </c>
      <c r="DB1430" s="2909" t="str">
        <f>IF($A1430="","",IF($AH1430=20,IF(AND(OR($A1430=21,$A1430=215),$AJ1430=10),"①病院一般",IF(AND($A1430=31,$AJ1430=41),"②病院短期","対象外")),IF($AJ1430=30,"③特定消防",IF(AND(OR($A1430=21,$A1430=215),$AJ1430=10),"④一般",IF(AND($A1430=31,$AJ1430=41),"⑤短期","対象外")))))</f>
        <v>⑤短期</v>
      </c>
      <c r="DC1430" s="2909">
        <f>IF($A1430="","",IF($AB1430&amp;""='DB_設定'!$C$4,1,0))</f>
        <v>0</v>
      </c>
    </row>
    <row r="1431">
      <c r="A1431" t="n" s="2909">
        <v>31</v>
      </c>
      <c r="AA1431" t="n" s="2909">
        <v>21</v>
      </c>
      <c r="AB1431" t="inlineStr" s="2909">
        <is>
          <t>20250408</t>
        </is>
      </c>
      <c r="AD1431" t="n" s="2909">
        <v>0</v>
      </c>
      <c r="AE1431" t="inlineStr" s="2909">
        <is>
          <t>00000000</t>
        </is>
      </c>
      <c r="AH1431" t="n" s="2909">
        <v>11</v>
      </c>
      <c r="AJ1431" t="n" s="2909">
        <v>41</v>
      </c>
      <c r="AP1431" t="n" s="2909">
        <v>134000</v>
      </c>
      <c r="DB1431" s="2909" t="str">
        <f>IF($A1431="","",IF($AH1431=20,IF(AND(OR($A1431=21,$A1431=215),$AJ1431=10),"①病院一般",IF(AND($A1431=31,$AJ1431=41),"②病院短期","対象外")),IF($AJ1431=30,"③特定消防",IF(AND(OR($A1431=21,$A1431=215),$AJ1431=10),"④一般",IF(AND($A1431=31,$AJ1431=41),"⑤短期","対象外")))))</f>
        <v>⑤短期</v>
      </c>
      <c r="DC1431" s="2909">
        <f>IF($A1431="","",IF($AB1431&amp;""='DB_設定'!$C$4,1,0))</f>
        <v>0</v>
      </c>
    </row>
    <row r="1432">
      <c r="A1432" t="n" s="2909">
        <v>31</v>
      </c>
      <c r="AA1432" t="n" s="2909">
        <v>21</v>
      </c>
      <c r="AB1432" t="inlineStr" s="2909">
        <is>
          <t>20250401</t>
        </is>
      </c>
      <c r="AD1432" t="n" s="2909">
        <v>0</v>
      </c>
      <c r="AE1432" t="inlineStr" s="2909">
        <is>
          <t>00000000</t>
        </is>
      </c>
      <c r="AH1432" t="n" s="2909">
        <v>4</v>
      </c>
      <c r="AJ1432" t="n" s="2909">
        <v>41</v>
      </c>
      <c r="AP1432" t="n" s="2909">
        <v>200000</v>
      </c>
      <c r="DB1432" s="2909" t="str">
        <f>IF($A1432="","",IF($AH1432=20,IF(AND(OR($A1432=21,$A1432=215),$AJ1432=10),"①病院一般",IF(AND($A1432=31,$AJ1432=41),"②病院短期","対象外")),IF($AJ1432=30,"③特定消防",IF(AND(OR($A1432=21,$A1432=215),$AJ1432=10),"④一般",IF(AND($A1432=31,$AJ1432=41),"⑤短期","対象外")))))</f>
        <v>⑤短期</v>
      </c>
      <c r="DC1432" s="2909">
        <f>IF($A1432="","",IF($AB1432&amp;""='DB_設定'!$C$4,1,0))</f>
        <v>1</v>
      </c>
    </row>
    <row r="1433">
      <c r="A1433" t="n" s="2909">
        <v>31</v>
      </c>
      <c r="AA1433" t="n" s="2909">
        <v>21</v>
      </c>
      <c r="AB1433" t="inlineStr" s="2909">
        <is>
          <t>20250401</t>
        </is>
      </c>
      <c r="AD1433" t="n" s="2909">
        <v>0</v>
      </c>
      <c r="AE1433" t="inlineStr" s="2909">
        <is>
          <t>00000000</t>
        </is>
      </c>
      <c r="AH1433" t="n" s="2909">
        <v>1</v>
      </c>
      <c r="AJ1433" t="n" s="2909">
        <v>41</v>
      </c>
      <c r="AP1433" t="n" s="2909">
        <v>134000</v>
      </c>
      <c r="DB1433" s="2909" t="str">
        <f>IF($A1433="","",IF($AH1433=20,IF(AND(OR($A1433=21,$A1433=215),$AJ1433=10),"①病院一般",IF(AND($A1433=31,$AJ1433=41),"②病院短期","対象外")),IF($AJ1433=30,"③特定消防",IF(AND(OR($A1433=21,$A1433=215),$AJ1433=10),"④一般",IF(AND($A1433=31,$AJ1433=41),"⑤短期","対象外")))))</f>
        <v>⑤短期</v>
      </c>
      <c r="DC1433" s="2909">
        <f>IF($A1433="","",IF($AB1433&amp;""='DB_設定'!$C$4,1,0))</f>
        <v>1</v>
      </c>
    </row>
    <row r="1434">
      <c r="A1434" t="n" s="2909">
        <v>31</v>
      </c>
      <c r="AA1434" t="n" s="2909">
        <v>21</v>
      </c>
      <c r="AB1434" t="inlineStr" s="2909">
        <is>
          <t>20250408</t>
        </is>
      </c>
      <c r="AD1434" t="n" s="2909">
        <v>0</v>
      </c>
      <c r="AE1434" t="inlineStr" s="2909">
        <is>
          <t>00000000</t>
        </is>
      </c>
      <c r="AH1434" t="n" s="2909">
        <v>11</v>
      </c>
      <c r="AJ1434" t="n" s="2909">
        <v>41</v>
      </c>
      <c r="AP1434" t="n" s="2909">
        <v>126000</v>
      </c>
      <c r="DB1434" s="2909" t="str">
        <f>IF($A1434="","",IF($AH1434=20,IF(AND(OR($A1434=21,$A1434=215),$AJ1434=10),"①病院一般",IF(AND($A1434=31,$AJ1434=41),"②病院短期","対象外")),IF($AJ1434=30,"③特定消防",IF(AND(OR($A1434=21,$A1434=215),$AJ1434=10),"④一般",IF(AND($A1434=31,$AJ1434=41),"⑤短期","対象外")))))</f>
        <v>⑤短期</v>
      </c>
      <c r="DC1434" s="2909">
        <f>IF($A1434="","",IF($AB1434&amp;""='DB_設定'!$C$4,1,0))</f>
        <v>0</v>
      </c>
    </row>
    <row r="1435">
      <c r="A1435" t="n" s="2909">
        <v>31</v>
      </c>
      <c r="AA1435" t="n" s="2909">
        <v>21</v>
      </c>
      <c r="AB1435" t="inlineStr" s="2909">
        <is>
          <t>20250401</t>
        </is>
      </c>
      <c r="AD1435" t="n" s="2909">
        <v>0</v>
      </c>
      <c r="AE1435" t="inlineStr" s="2909">
        <is>
          <t>00000000</t>
        </is>
      </c>
      <c r="AH1435" t="n" s="2909">
        <v>11</v>
      </c>
      <c r="AJ1435" t="n" s="2909">
        <v>41</v>
      </c>
      <c r="AP1435" t="n" s="2909">
        <v>142000</v>
      </c>
      <c r="DB1435" s="2909" t="str">
        <f>IF($A1435="","",IF($AH1435=20,IF(AND(OR($A1435=21,$A1435=215),$AJ1435=10),"①病院一般",IF(AND($A1435=31,$AJ1435=41),"②病院短期","対象外")),IF($AJ1435=30,"③特定消防",IF(AND(OR($A1435=21,$A1435=215),$AJ1435=10),"④一般",IF(AND($A1435=31,$AJ1435=41),"⑤短期","対象外")))))</f>
        <v>⑤短期</v>
      </c>
      <c r="DC1435" s="2909">
        <f>IF($A1435="","",IF($AB1435&amp;""='DB_設定'!$C$4,1,0))</f>
        <v>1</v>
      </c>
    </row>
    <row r="1436">
      <c r="A1436" t="n" s="2909">
        <v>31</v>
      </c>
      <c r="AA1436" t="n" s="2909">
        <v>21</v>
      </c>
      <c r="AB1436" t="inlineStr" s="2909">
        <is>
          <t>20250401</t>
        </is>
      </c>
      <c r="AD1436" t="n" s="2909">
        <v>0</v>
      </c>
      <c r="AE1436" t="inlineStr" s="2909">
        <is>
          <t>00000000</t>
        </is>
      </c>
      <c r="AH1436" t="n" s="2909">
        <v>1</v>
      </c>
      <c r="AJ1436" t="n" s="2909">
        <v>41</v>
      </c>
      <c r="AP1436" t="n" s="2909">
        <v>134000</v>
      </c>
      <c r="DB1436" s="2909" t="str">
        <f>IF($A1436="","",IF($AH1436=20,IF(AND(OR($A1436=21,$A1436=215),$AJ1436=10),"①病院一般",IF(AND($A1436=31,$AJ1436=41),"②病院短期","対象外")),IF($AJ1436=30,"③特定消防",IF(AND(OR($A1436=21,$A1436=215),$AJ1436=10),"④一般",IF(AND($A1436=31,$AJ1436=41),"⑤短期","対象外")))))</f>
        <v>⑤短期</v>
      </c>
      <c r="DC1436" s="2909">
        <f>IF($A1436="","",IF($AB1436&amp;""='DB_設定'!$C$4,1,0))</f>
        <v>1</v>
      </c>
    </row>
    <row r="1437">
      <c r="A1437" t="n" s="2909">
        <v>31</v>
      </c>
      <c r="AA1437" t="n" s="2909">
        <v>21</v>
      </c>
      <c r="AB1437" t="inlineStr" s="2909">
        <is>
          <t>20250401</t>
        </is>
      </c>
      <c r="AD1437" t="n" s="2909">
        <v>0</v>
      </c>
      <c r="AE1437" t="inlineStr" s="2909">
        <is>
          <t>00000000</t>
        </is>
      </c>
      <c r="AH1437" t="n" s="2909">
        <v>1</v>
      </c>
      <c r="AJ1437" t="n" s="2909">
        <v>41</v>
      </c>
      <c r="AP1437" t="n" s="2909">
        <v>134000</v>
      </c>
      <c r="DB1437" s="2909" t="str">
        <f>IF($A1437="","",IF($AH1437=20,IF(AND(OR($A1437=21,$A1437=215),$AJ1437=10),"①病院一般",IF(AND($A1437=31,$AJ1437=41),"②病院短期","対象外")),IF($AJ1437=30,"③特定消防",IF(AND(OR($A1437=21,$A1437=215),$AJ1437=10),"④一般",IF(AND($A1437=31,$AJ1437=41),"⑤短期","対象外")))))</f>
        <v>⑤短期</v>
      </c>
      <c r="DC1437" s="2909">
        <f>IF($A1437="","",IF($AB1437&amp;""='DB_設定'!$C$4,1,0))</f>
        <v>1</v>
      </c>
    </row>
    <row r="1438">
      <c r="A1438" t="n" s="2909">
        <v>31</v>
      </c>
      <c r="AA1438" t="n" s="2909">
        <v>21</v>
      </c>
      <c r="AB1438" t="inlineStr" s="2909">
        <is>
          <t>20250409</t>
        </is>
      </c>
      <c r="AD1438" t="n" s="2909">
        <v>0</v>
      </c>
      <c r="AE1438" t="inlineStr" s="2909">
        <is>
          <t>00000000</t>
        </is>
      </c>
      <c r="AH1438" t="n" s="2909">
        <v>1</v>
      </c>
      <c r="AJ1438" t="n" s="2909">
        <v>41</v>
      </c>
      <c r="AP1438" t="n" s="2909">
        <v>190000</v>
      </c>
      <c r="DB1438" s="2909" t="str">
        <f>IF($A1438="","",IF($AH1438=20,IF(AND(OR($A1438=21,$A1438=215),$AJ1438=10),"①病院一般",IF(AND($A1438=31,$AJ1438=41),"②病院短期","対象外")),IF($AJ1438=30,"③特定消防",IF(AND(OR($A1438=21,$A1438=215),$AJ1438=10),"④一般",IF(AND($A1438=31,$AJ1438=41),"⑤短期","対象外")))))</f>
        <v>⑤短期</v>
      </c>
      <c r="DC1438" s="2909">
        <f>IF($A1438="","",IF($AB1438&amp;""='DB_設定'!$C$4,1,0))</f>
        <v>0</v>
      </c>
    </row>
    <row r="1439">
      <c r="A1439" t="n" s="2909">
        <v>31</v>
      </c>
      <c r="AA1439" t="n" s="2909">
        <v>21</v>
      </c>
      <c r="AB1439" t="inlineStr" s="2909">
        <is>
          <t>20250401</t>
        </is>
      </c>
      <c r="AD1439" t="n" s="2909">
        <v>0</v>
      </c>
      <c r="AE1439" t="inlineStr" s="2909">
        <is>
          <t>00000000</t>
        </is>
      </c>
      <c r="AH1439" t="n" s="2909">
        <v>1</v>
      </c>
      <c r="AJ1439" t="n" s="2909">
        <v>41</v>
      </c>
      <c r="AP1439" t="n" s="2909">
        <v>260000</v>
      </c>
      <c r="DB1439" s="2909" t="str">
        <f>IF($A1439="","",IF($AH1439=20,IF(AND(OR($A1439=21,$A1439=215),$AJ1439=10),"①病院一般",IF(AND($A1439=31,$AJ1439=41),"②病院短期","対象外")),IF($AJ1439=30,"③特定消防",IF(AND(OR($A1439=21,$A1439=215),$AJ1439=10),"④一般",IF(AND($A1439=31,$AJ1439=41),"⑤短期","対象外")))))</f>
        <v>⑤短期</v>
      </c>
      <c r="DC1439" s="2909">
        <f>IF($A1439="","",IF($AB1439&amp;""='DB_設定'!$C$4,1,0))</f>
        <v>1</v>
      </c>
    </row>
    <row r="1440">
      <c r="A1440" t="n" s="2909">
        <v>31</v>
      </c>
      <c r="AA1440" t="n" s="2909">
        <v>21</v>
      </c>
      <c r="AB1440" t="inlineStr" s="2909">
        <is>
          <t>20250401</t>
        </is>
      </c>
      <c r="AD1440" t="n" s="2909">
        <v>12</v>
      </c>
      <c r="AE1440" t="inlineStr" s="2909">
        <is>
          <t>20250801</t>
        </is>
      </c>
      <c r="AH1440" t="n" s="2909">
        <v>1</v>
      </c>
      <c r="AJ1440" t="n" s="2909">
        <v>41</v>
      </c>
      <c r="AP1440" t="n" s="2909">
        <v>134000</v>
      </c>
      <c r="DB1440" s="2909" t="str">
        <f>IF($A1440="","",IF($AH1440=20,IF(AND(OR($A1440=21,$A1440=215),$AJ1440=10),"①病院一般",IF(AND($A1440=31,$AJ1440=41),"②病院短期","対象外")),IF($AJ1440=30,"③特定消防",IF(AND(OR($A1440=21,$A1440=215),$AJ1440=10),"④一般",IF(AND($A1440=31,$AJ1440=41),"⑤短期","対象外")))))</f>
        <v>⑤短期</v>
      </c>
      <c r="DC1440" s="2909">
        <f>IF($A1440="","",IF($AB1440&amp;""='DB_設定'!$C$4,1,0))</f>
        <v>1</v>
      </c>
    </row>
    <row r="1441">
      <c r="A1441" t="n" s="2909">
        <v>31</v>
      </c>
      <c r="AA1441" t="n" s="2909">
        <v>21</v>
      </c>
      <c r="AB1441" t="inlineStr" s="2909">
        <is>
          <t>20250401</t>
        </is>
      </c>
      <c r="AD1441" t="n" s="2909">
        <v>0</v>
      </c>
      <c r="AE1441" t="inlineStr" s="2909">
        <is>
          <t>00000000</t>
        </is>
      </c>
      <c r="AH1441" t="n" s="2909">
        <v>1</v>
      </c>
      <c r="AJ1441" t="n" s="2909">
        <v>41</v>
      </c>
      <c r="AP1441" t="n" s="2909">
        <v>260000</v>
      </c>
      <c r="DB1441" s="2909" t="str">
        <f>IF($A1441="","",IF($AH1441=20,IF(AND(OR($A1441=21,$A1441=215),$AJ1441=10),"①病院一般",IF(AND($A1441=31,$AJ1441=41),"②病院短期","対象外")),IF($AJ1441=30,"③特定消防",IF(AND(OR($A1441=21,$A1441=215),$AJ1441=10),"④一般",IF(AND($A1441=31,$AJ1441=41),"⑤短期","対象外")))))</f>
        <v>⑤短期</v>
      </c>
      <c r="DC1441" s="2909">
        <f>IF($A1441="","",IF($AB1441&amp;""='DB_設定'!$C$4,1,0))</f>
        <v>1</v>
      </c>
    </row>
    <row r="1442">
      <c r="A1442" t="n" s="2909">
        <v>31</v>
      </c>
      <c r="AA1442" t="n" s="2909">
        <v>21</v>
      </c>
      <c r="AB1442" t="inlineStr" s="2909">
        <is>
          <t>20250401</t>
        </is>
      </c>
      <c r="AD1442" t="n" s="2909">
        <v>0</v>
      </c>
      <c r="AE1442" t="inlineStr" s="2909">
        <is>
          <t>00000000</t>
        </is>
      </c>
      <c r="AH1442" t="n" s="2909">
        <v>1</v>
      </c>
      <c r="AJ1442" t="n" s="2909">
        <v>41</v>
      </c>
      <c r="AP1442" t="n" s="2909">
        <v>142000</v>
      </c>
      <c r="DB1442" s="2909" t="str">
        <f>IF($A1442="","",IF($AH1442=20,IF(AND(OR($A1442=21,$A1442=215),$AJ1442=10),"①病院一般",IF(AND($A1442=31,$AJ1442=41),"②病院短期","対象外")),IF($AJ1442=30,"③特定消防",IF(AND(OR($A1442=21,$A1442=215),$AJ1442=10),"④一般",IF(AND($A1442=31,$AJ1442=41),"⑤短期","対象外")))))</f>
        <v>⑤短期</v>
      </c>
      <c r="DC1442" s="2909">
        <f>IF($A1442="","",IF($AB1442&amp;""='DB_設定'!$C$4,1,0))</f>
        <v>1</v>
      </c>
    </row>
    <row r="1443">
      <c r="A1443" t="n" s="2909">
        <v>31</v>
      </c>
      <c r="AA1443" t="n" s="2909">
        <v>21</v>
      </c>
      <c r="AB1443" t="inlineStr" s="2909">
        <is>
          <t>20250401</t>
        </is>
      </c>
      <c r="AD1443" t="n" s="2909">
        <v>0</v>
      </c>
      <c r="AE1443" t="inlineStr" s="2909">
        <is>
          <t>00000000</t>
        </is>
      </c>
      <c r="AH1443" t="n" s="2909">
        <v>1</v>
      </c>
      <c r="AJ1443" t="n" s="2909">
        <v>41</v>
      </c>
      <c r="AP1443" t="n" s="2909">
        <v>260000</v>
      </c>
      <c r="DB1443" s="2909" t="str">
        <f>IF($A1443="","",IF($AH1443=20,IF(AND(OR($A1443=21,$A1443=215),$AJ1443=10),"①病院一般",IF(AND($A1443=31,$AJ1443=41),"②病院短期","対象外")),IF($AJ1443=30,"③特定消防",IF(AND(OR($A1443=21,$A1443=215),$AJ1443=10),"④一般",IF(AND($A1443=31,$AJ1443=41),"⑤短期","対象外")))))</f>
        <v>⑤短期</v>
      </c>
      <c r="DC1443" s="2909">
        <f>IF($A1443="","",IF($AB1443&amp;""='DB_設定'!$C$4,1,0))</f>
        <v>1</v>
      </c>
    </row>
    <row r="1444">
      <c r="A1444" t="n" s="2909">
        <v>31</v>
      </c>
      <c r="AA1444" t="n" s="2909">
        <v>21</v>
      </c>
      <c r="AB1444" t="inlineStr" s="2909">
        <is>
          <t>20250401</t>
        </is>
      </c>
      <c r="AD1444" t="n" s="2909">
        <v>12</v>
      </c>
      <c r="AE1444" t="inlineStr" s="2909">
        <is>
          <t>20251001</t>
        </is>
      </c>
      <c r="AH1444" t="n" s="2909">
        <v>1</v>
      </c>
      <c r="AJ1444" t="n" s="2909">
        <v>41</v>
      </c>
      <c r="AP1444" t="n" s="2909">
        <v>200000</v>
      </c>
      <c r="DB1444" s="2909" t="str">
        <f>IF($A1444="","",IF($AH1444=20,IF(AND(OR($A1444=21,$A1444=215),$AJ1444=10),"①病院一般",IF(AND($A1444=31,$AJ1444=41),"②病院短期","対象外")),IF($AJ1444=30,"③特定消防",IF(AND(OR($A1444=21,$A1444=215),$AJ1444=10),"④一般",IF(AND($A1444=31,$AJ1444=41),"⑤短期","対象外")))))</f>
        <v>⑤短期</v>
      </c>
      <c r="DC1444" s="2909">
        <f>IF($A1444="","",IF($AB1444&amp;""='DB_設定'!$C$4,1,0))</f>
        <v>1</v>
      </c>
    </row>
    <row r="1445">
      <c r="A1445" t="n" s="2909">
        <v>31</v>
      </c>
      <c r="AA1445" t="n" s="2909">
        <v>21</v>
      </c>
      <c r="AB1445" t="inlineStr" s="2909">
        <is>
          <t>20250401</t>
        </is>
      </c>
      <c r="AD1445" t="n" s="2909">
        <v>12</v>
      </c>
      <c r="AE1445" t="inlineStr" s="2909">
        <is>
          <t>20251001</t>
        </is>
      </c>
      <c r="AH1445" t="n" s="2909">
        <v>1</v>
      </c>
      <c r="AJ1445" t="n" s="2909">
        <v>41</v>
      </c>
      <c r="AP1445" t="n" s="2909">
        <v>200000</v>
      </c>
      <c r="DB1445" s="2909" t="str">
        <f>IF($A1445="","",IF($AH1445=20,IF(AND(OR($A1445=21,$A1445=215),$AJ1445=10),"①病院一般",IF(AND($A1445=31,$AJ1445=41),"②病院短期","対象外")),IF($AJ1445=30,"③特定消防",IF(AND(OR($A1445=21,$A1445=215),$AJ1445=10),"④一般",IF(AND($A1445=31,$AJ1445=41),"⑤短期","対象外")))))</f>
        <v>⑤短期</v>
      </c>
      <c r="DC1445" s="2909">
        <f>IF($A1445="","",IF($AB1445&amp;""='DB_設定'!$C$4,1,0))</f>
        <v>1</v>
      </c>
    </row>
    <row r="1446">
      <c r="A1446" t="n" s="2909">
        <v>31</v>
      </c>
      <c r="AA1446" t="n" s="2909">
        <v>21</v>
      </c>
      <c r="AB1446" t="inlineStr" s="2909">
        <is>
          <t>20250407</t>
        </is>
      </c>
      <c r="AD1446" t="n" s="2909">
        <v>0</v>
      </c>
      <c r="AE1446" t="inlineStr" s="2909">
        <is>
          <t>00000000</t>
        </is>
      </c>
      <c r="AH1446" t="n" s="2909">
        <v>1</v>
      </c>
      <c r="AJ1446" t="n" s="2909">
        <v>41</v>
      </c>
      <c r="AP1446" t="n" s="2909">
        <v>134000</v>
      </c>
      <c r="DB1446" s="2909" t="str">
        <f>IF($A1446="","",IF($AH1446=20,IF(AND(OR($A1446=21,$A1446=215),$AJ1446=10),"①病院一般",IF(AND($A1446=31,$AJ1446=41),"②病院短期","対象外")),IF($AJ1446=30,"③特定消防",IF(AND(OR($A1446=21,$A1446=215),$AJ1446=10),"④一般",IF(AND($A1446=31,$AJ1446=41),"⑤短期","対象外")))))</f>
        <v>⑤短期</v>
      </c>
      <c r="DC1446" s="2909">
        <f>IF($A1446="","",IF($AB1446&amp;""='DB_設定'!$C$4,1,0))</f>
        <v>0</v>
      </c>
    </row>
    <row r="1447">
      <c r="A1447" t="n" s="2909">
        <v>31</v>
      </c>
      <c r="AA1447" t="n" s="2909">
        <v>21</v>
      </c>
      <c r="AB1447" t="inlineStr" s="2909">
        <is>
          <t>20250410</t>
        </is>
      </c>
      <c r="AD1447" t="n" s="2909">
        <v>0</v>
      </c>
      <c r="AE1447" t="inlineStr" s="2909">
        <is>
          <t>00000000</t>
        </is>
      </c>
      <c r="AH1447" t="n" s="2909">
        <v>1</v>
      </c>
      <c r="AJ1447" t="n" s="2909">
        <v>41</v>
      </c>
      <c r="AP1447" t="n" s="2909">
        <v>190000</v>
      </c>
      <c r="DB1447" s="2909" t="str">
        <f>IF($A1447="","",IF($AH1447=20,IF(AND(OR($A1447=21,$A1447=215),$AJ1447=10),"①病院一般",IF(AND($A1447=31,$AJ1447=41),"②病院短期","対象外")),IF($AJ1447=30,"③特定消防",IF(AND(OR($A1447=21,$A1447=215),$AJ1447=10),"④一般",IF(AND($A1447=31,$AJ1447=41),"⑤短期","対象外")))))</f>
        <v>⑤短期</v>
      </c>
      <c r="DC1447" s="2909">
        <f>IF($A1447="","",IF($AB1447&amp;""='DB_設定'!$C$4,1,0))</f>
        <v>0</v>
      </c>
    </row>
    <row r="1448">
      <c r="A1448" t="n" s="2909">
        <v>31</v>
      </c>
      <c r="AA1448" t="n" s="2909">
        <v>21</v>
      </c>
      <c r="AB1448" t="inlineStr" s="2909">
        <is>
          <t>20250408</t>
        </is>
      </c>
      <c r="AD1448" t="n" s="2909">
        <v>12</v>
      </c>
      <c r="AE1448" t="inlineStr" s="2909">
        <is>
          <t>20250513</t>
        </is>
      </c>
      <c r="AH1448" t="n" s="2909">
        <v>11</v>
      </c>
      <c r="AJ1448" t="n" s="2909">
        <v>41</v>
      </c>
      <c r="AP1448" t="n" s="2909">
        <v>110000</v>
      </c>
      <c r="DB1448" s="2909" t="str">
        <f>IF($A1448="","",IF($AH1448=20,IF(AND(OR($A1448=21,$A1448=215),$AJ1448=10),"①病院一般",IF(AND($A1448=31,$AJ1448=41),"②病院短期","対象外")),IF($AJ1448=30,"③特定消防",IF(AND(OR($A1448=21,$A1448=215),$AJ1448=10),"④一般",IF(AND($A1448=31,$AJ1448=41),"⑤短期","対象外")))))</f>
        <v>⑤短期</v>
      </c>
      <c r="DC1448" s="2909">
        <f>IF($A1448="","",IF($AB1448&amp;""='DB_設定'!$C$4,1,0))</f>
        <v>0</v>
      </c>
    </row>
    <row r="1449">
      <c r="A1449" t="n" s="2909">
        <v>31</v>
      </c>
      <c r="AA1449" t="n" s="2909">
        <v>21</v>
      </c>
      <c r="AB1449" t="inlineStr" s="2909">
        <is>
          <t>20250408</t>
        </is>
      </c>
      <c r="AD1449" t="n" s="2909">
        <v>0</v>
      </c>
      <c r="AE1449" t="inlineStr" s="2909">
        <is>
          <t>00000000</t>
        </is>
      </c>
      <c r="AH1449" t="n" s="2909">
        <v>11</v>
      </c>
      <c r="AJ1449" t="n" s="2909">
        <v>41</v>
      </c>
      <c r="AP1449" t="n" s="2909">
        <v>126000</v>
      </c>
      <c r="DB1449" s="2909" t="str">
        <f>IF($A1449="","",IF($AH1449=20,IF(AND(OR($A1449=21,$A1449=215),$AJ1449=10),"①病院一般",IF(AND($A1449=31,$AJ1449=41),"②病院短期","対象外")),IF($AJ1449=30,"③特定消防",IF(AND(OR($A1449=21,$A1449=215),$AJ1449=10),"④一般",IF(AND($A1449=31,$AJ1449=41),"⑤短期","対象外")))))</f>
        <v>⑤短期</v>
      </c>
      <c r="DC1449" s="2909">
        <f>IF($A1449="","",IF($AB1449&amp;""='DB_設定'!$C$4,1,0))</f>
        <v>0</v>
      </c>
    </row>
    <row r="1450">
      <c r="A1450" t="n" s="2909">
        <v>31</v>
      </c>
      <c r="AA1450" t="n" s="2909">
        <v>21</v>
      </c>
      <c r="AB1450" t="inlineStr" s="2909">
        <is>
          <t>20250408</t>
        </is>
      </c>
      <c r="AD1450" t="n" s="2909">
        <v>12</v>
      </c>
      <c r="AE1450" t="inlineStr" s="2909">
        <is>
          <t>20251001</t>
        </is>
      </c>
      <c r="AH1450" t="n" s="2909">
        <v>11</v>
      </c>
      <c r="AJ1450" t="n" s="2909">
        <v>41</v>
      </c>
      <c r="AP1450" t="n" s="2909">
        <v>126000</v>
      </c>
      <c r="DB1450" s="2909" t="str">
        <f>IF($A1450="","",IF($AH1450=20,IF(AND(OR($A1450=21,$A1450=215),$AJ1450=10),"①病院一般",IF(AND($A1450=31,$AJ1450=41),"②病院短期","対象外")),IF($AJ1450=30,"③特定消防",IF(AND(OR($A1450=21,$A1450=215),$AJ1450=10),"④一般",IF(AND($A1450=31,$AJ1450=41),"⑤短期","対象外")))))</f>
        <v>⑤短期</v>
      </c>
      <c r="DC1450" s="2909">
        <f>IF($A1450="","",IF($AB1450&amp;""='DB_設定'!$C$4,1,0))</f>
        <v>0</v>
      </c>
    </row>
    <row r="1451">
      <c r="A1451" t="n" s="2909">
        <v>31</v>
      </c>
      <c r="AA1451" t="n" s="2909">
        <v>21</v>
      </c>
      <c r="AB1451" t="inlineStr" s="2909">
        <is>
          <t>20250408</t>
        </is>
      </c>
      <c r="AD1451" t="n" s="2909">
        <v>0</v>
      </c>
      <c r="AE1451" t="inlineStr" s="2909">
        <is>
          <t>00000000</t>
        </is>
      </c>
      <c r="AH1451" t="n" s="2909">
        <v>11</v>
      </c>
      <c r="AJ1451" t="n" s="2909">
        <v>41</v>
      </c>
      <c r="AP1451" t="n" s="2909">
        <v>134000</v>
      </c>
      <c r="DB1451" s="2909" t="str">
        <f>IF($A1451="","",IF($AH1451=20,IF(AND(OR($A1451=21,$A1451=215),$AJ1451=10),"①病院一般",IF(AND($A1451=31,$AJ1451=41),"②病院短期","対象外")),IF($AJ1451=30,"③特定消防",IF(AND(OR($A1451=21,$A1451=215),$AJ1451=10),"④一般",IF(AND($A1451=31,$AJ1451=41),"⑤短期","対象外")))))</f>
        <v>⑤短期</v>
      </c>
      <c r="DC1451" s="2909">
        <f>IF($A1451="","",IF($AB1451&amp;""='DB_設定'!$C$4,1,0))</f>
        <v>0</v>
      </c>
    </row>
    <row r="1452">
      <c r="A1452" t="n" s="2909">
        <v>31</v>
      </c>
      <c r="AA1452" t="n" s="2909">
        <v>21</v>
      </c>
      <c r="AB1452" t="inlineStr" s="2909">
        <is>
          <t>20250408</t>
        </is>
      </c>
      <c r="AD1452" t="n" s="2909">
        <v>0</v>
      </c>
      <c r="AE1452" t="inlineStr" s="2909">
        <is>
          <t>00000000</t>
        </is>
      </c>
      <c r="AH1452" t="n" s="2909">
        <v>11</v>
      </c>
      <c r="AJ1452" t="n" s="2909">
        <v>41</v>
      </c>
      <c r="AP1452" t="n" s="2909">
        <v>180000</v>
      </c>
      <c r="DB1452" s="2909" t="str">
        <f>IF($A1452="","",IF($AH1452=20,IF(AND(OR($A1452=21,$A1452=215),$AJ1452=10),"①病院一般",IF(AND($A1452=31,$AJ1452=41),"②病院短期","対象外")),IF($AJ1452=30,"③特定消防",IF(AND(OR($A1452=21,$A1452=215),$AJ1452=10),"④一般",IF(AND($A1452=31,$AJ1452=41),"⑤短期","対象外")))))</f>
        <v>⑤短期</v>
      </c>
      <c r="DC1452" s="2909">
        <f>IF($A1452="","",IF($AB1452&amp;""='DB_設定'!$C$4,1,0))</f>
        <v>0</v>
      </c>
    </row>
    <row r="1453">
      <c r="A1453" t="n" s="2909">
        <v>31</v>
      </c>
      <c r="AA1453" t="n" s="2909">
        <v>21</v>
      </c>
      <c r="AB1453" t="inlineStr" s="2909">
        <is>
          <t>20250408</t>
        </is>
      </c>
      <c r="AD1453" t="n" s="2909">
        <v>0</v>
      </c>
      <c r="AE1453" t="inlineStr" s="2909">
        <is>
          <t>00000000</t>
        </is>
      </c>
      <c r="AH1453" t="n" s="2909">
        <v>11</v>
      </c>
      <c r="AJ1453" t="n" s="2909">
        <v>41</v>
      </c>
      <c r="AP1453" t="n" s="2909">
        <v>126000</v>
      </c>
      <c r="DB1453" s="2909" t="str">
        <f>IF($A1453="","",IF($AH1453=20,IF(AND(OR($A1453=21,$A1453=215),$AJ1453=10),"①病院一般",IF(AND($A1453=31,$AJ1453=41),"②病院短期","対象外")),IF($AJ1453=30,"③特定消防",IF(AND(OR($A1453=21,$A1453=215),$AJ1453=10),"④一般",IF(AND($A1453=31,$AJ1453=41),"⑤短期","対象外")))))</f>
        <v>⑤短期</v>
      </c>
      <c r="DC1453" s="2909">
        <f>IF($A1453="","",IF($AB1453&amp;""='DB_設定'!$C$4,1,0))</f>
        <v>0</v>
      </c>
    </row>
    <row r="1454">
      <c r="A1454" t="n" s="2909">
        <v>31</v>
      </c>
      <c r="AA1454" t="n" s="2909">
        <v>21</v>
      </c>
      <c r="AB1454" t="inlineStr" s="2909">
        <is>
          <t>20250408</t>
        </is>
      </c>
      <c r="AD1454" t="n" s="2909">
        <v>0</v>
      </c>
      <c r="AE1454" t="inlineStr" s="2909">
        <is>
          <t>00000000</t>
        </is>
      </c>
      <c r="AH1454" t="n" s="2909">
        <v>11</v>
      </c>
      <c r="AJ1454" t="n" s="2909">
        <v>41</v>
      </c>
      <c r="AP1454" t="n" s="2909">
        <v>126000</v>
      </c>
      <c r="DB1454" s="2909" t="str">
        <f>IF($A1454="","",IF($AH1454=20,IF(AND(OR($A1454=21,$A1454=215),$AJ1454=10),"①病院一般",IF(AND($A1454=31,$AJ1454=41),"②病院短期","対象外")),IF($AJ1454=30,"③特定消防",IF(AND(OR($A1454=21,$A1454=215),$AJ1454=10),"④一般",IF(AND($A1454=31,$AJ1454=41),"⑤短期","対象外")))))</f>
        <v>⑤短期</v>
      </c>
      <c r="DC1454" s="2909">
        <f>IF($A1454="","",IF($AB1454&amp;""='DB_設定'!$C$4,1,0))</f>
        <v>0</v>
      </c>
    </row>
    <row r="1455">
      <c r="A1455" t="n" s="2909">
        <v>31</v>
      </c>
      <c r="AA1455" t="n" s="2909">
        <v>21</v>
      </c>
      <c r="AB1455" t="inlineStr" s="2909">
        <is>
          <t>20250501</t>
        </is>
      </c>
      <c r="AD1455" t="n" s="2909">
        <v>0</v>
      </c>
      <c r="AE1455" t="inlineStr" s="2909">
        <is>
          <t>00000000</t>
        </is>
      </c>
      <c r="AH1455" t="n" s="2909">
        <v>11</v>
      </c>
      <c r="AJ1455" t="n" s="2909">
        <v>41</v>
      </c>
      <c r="AP1455" t="n" s="2909">
        <v>126000</v>
      </c>
      <c r="DB1455" s="2909" t="str">
        <f>IF($A1455="","",IF($AH1455=20,IF(AND(OR($A1455=21,$A1455=215),$AJ1455=10),"①病院一般",IF(AND($A1455=31,$AJ1455=41),"②病院短期","対象外")),IF($AJ1455=30,"③特定消防",IF(AND(OR($A1455=21,$A1455=215),$AJ1455=10),"④一般",IF(AND($A1455=31,$AJ1455=41),"⑤短期","対象外")))))</f>
        <v>⑤短期</v>
      </c>
      <c r="DC1455" s="2909">
        <f>IF($A1455="","",IF($AB1455&amp;""='DB_設定'!$C$4,1,0))</f>
        <v>0</v>
      </c>
    </row>
    <row r="1456">
      <c r="A1456" t="n" s="2909">
        <v>31</v>
      </c>
      <c r="AA1456" t="n" s="2909">
        <v>21</v>
      </c>
      <c r="AB1456" t="inlineStr" s="2909">
        <is>
          <t>20250408</t>
        </is>
      </c>
      <c r="AD1456" t="n" s="2909">
        <v>0</v>
      </c>
      <c r="AE1456" t="inlineStr" s="2909">
        <is>
          <t>00000000</t>
        </is>
      </c>
      <c r="AH1456" t="n" s="2909">
        <v>11</v>
      </c>
      <c r="AJ1456" t="n" s="2909">
        <v>41</v>
      </c>
      <c r="AP1456" t="n" s="2909">
        <v>126000</v>
      </c>
      <c r="DB1456" s="2909" t="str">
        <f>IF($A1456="","",IF($AH1456=20,IF(AND(OR($A1456=21,$A1456=215),$AJ1456=10),"①病院一般",IF(AND($A1456=31,$AJ1456=41),"②病院短期","対象外")),IF($AJ1456=30,"③特定消防",IF(AND(OR($A1456=21,$A1456=215),$AJ1456=10),"④一般",IF(AND($A1456=31,$AJ1456=41),"⑤短期","対象外")))))</f>
        <v>⑤短期</v>
      </c>
      <c r="DC1456" s="2909">
        <f>IF($A1456="","",IF($AB1456&amp;""='DB_設定'!$C$4,1,0))</f>
        <v>0</v>
      </c>
    </row>
    <row r="1457">
      <c r="A1457" t="n" s="2909">
        <v>31</v>
      </c>
      <c r="AA1457" t="n" s="2909">
        <v>21</v>
      </c>
      <c r="AB1457" t="inlineStr" s="2909">
        <is>
          <t>20250408</t>
        </is>
      </c>
      <c r="AD1457" t="n" s="2909">
        <v>0</v>
      </c>
      <c r="AE1457" t="inlineStr" s="2909">
        <is>
          <t>00000000</t>
        </is>
      </c>
      <c r="AH1457" t="n" s="2909">
        <v>11</v>
      </c>
      <c r="AJ1457" t="n" s="2909">
        <v>41</v>
      </c>
      <c r="AP1457" t="n" s="2909">
        <v>126000</v>
      </c>
      <c r="DB1457" s="2909" t="str">
        <f>IF($A1457="","",IF($AH1457=20,IF(AND(OR($A1457=21,$A1457=215),$AJ1457=10),"①病院一般",IF(AND($A1457=31,$AJ1457=41),"②病院短期","対象外")),IF($AJ1457=30,"③特定消防",IF(AND(OR($A1457=21,$A1457=215),$AJ1457=10),"④一般",IF(AND($A1457=31,$AJ1457=41),"⑤短期","対象外")))))</f>
        <v>⑤短期</v>
      </c>
      <c r="DC1457" s="2909">
        <f>IF($A1457="","",IF($AB1457&amp;""='DB_設定'!$C$4,1,0))</f>
        <v>0</v>
      </c>
    </row>
    <row r="1458">
      <c r="A1458" t="n" s="2909">
        <v>31</v>
      </c>
      <c r="AA1458" t="n" s="2909">
        <v>24</v>
      </c>
      <c r="AB1458" t="inlineStr" s="2909">
        <is>
          <t>20251001</t>
        </is>
      </c>
      <c r="AD1458" t="n" s="2909">
        <v>0</v>
      </c>
      <c r="AE1458" t="inlineStr" s="2909">
        <is>
          <t>00000000</t>
        </is>
      </c>
      <c r="AH1458" t="n" s="2909">
        <v>1</v>
      </c>
      <c r="AJ1458" t="n" s="2909">
        <v>41</v>
      </c>
      <c r="AP1458" t="n" s="2909">
        <v>200000</v>
      </c>
      <c r="DB1458" s="2909" t="str">
        <f>IF($A1458="","",IF($AH1458=20,IF(AND(OR($A1458=21,$A1458=215),$AJ1458=10),"①病院一般",IF(AND($A1458=31,$AJ1458=41),"②病院短期","対象外")),IF($AJ1458=30,"③特定消防",IF(AND(OR($A1458=21,$A1458=215),$AJ1458=10),"④一般",IF(AND($A1458=31,$AJ1458=41),"⑤短期","対象外")))))</f>
        <v>⑤短期</v>
      </c>
      <c r="DC1458" s="2909">
        <f>IF($A1458="","",IF($AB1458&amp;""='DB_設定'!$C$4,1,0))</f>
        <v>0</v>
      </c>
    </row>
    <row r="1459">
      <c r="A1459" t="n" s="2909">
        <v>31</v>
      </c>
      <c r="AA1459" t="n" s="2909">
        <v>21</v>
      </c>
      <c r="AB1459" t="inlineStr" s="2909">
        <is>
          <t>20250501</t>
        </is>
      </c>
      <c r="AD1459" t="n" s="2909">
        <v>12</v>
      </c>
      <c r="AE1459" t="inlineStr" s="2909">
        <is>
          <t>20250510</t>
        </is>
      </c>
      <c r="AH1459" t="n" s="2909">
        <v>11</v>
      </c>
      <c r="AJ1459" t="n" s="2909">
        <v>41</v>
      </c>
      <c r="AP1459" t="n" s="2909">
        <v>104000</v>
      </c>
      <c r="DB1459" s="2909" t="str">
        <f>IF($A1459="","",IF($AH1459=20,IF(AND(OR($A1459=21,$A1459=215),$AJ1459=10),"①病院一般",IF(AND($A1459=31,$AJ1459=41),"②病院短期","対象外")),IF($AJ1459=30,"③特定消防",IF(AND(OR($A1459=21,$A1459=215),$AJ1459=10),"④一般",IF(AND($A1459=31,$AJ1459=41),"⑤短期","対象外")))))</f>
        <v>⑤短期</v>
      </c>
      <c r="DC1459" s="2909">
        <f>IF($A1459="","",IF($AB1459&amp;""='DB_設定'!$C$4,1,0))</f>
        <v>0</v>
      </c>
    </row>
    <row r="1460">
      <c r="A1460" t="n" s="2909">
        <v>31</v>
      </c>
      <c r="AA1460" t="n" s="2909">
        <v>21</v>
      </c>
      <c r="AB1460" t="inlineStr" s="2909">
        <is>
          <t>20250414</t>
        </is>
      </c>
      <c r="AD1460" t="n" s="2909">
        <v>0</v>
      </c>
      <c r="AE1460" t="inlineStr" s="2909">
        <is>
          <t>00000000</t>
        </is>
      </c>
      <c r="AH1460" t="n" s="2909">
        <v>1</v>
      </c>
      <c r="AJ1460" t="n" s="2909">
        <v>41</v>
      </c>
      <c r="AP1460" t="n" s="2909">
        <v>200000</v>
      </c>
      <c r="DB1460" s="2909" t="str">
        <f>IF($A1460="","",IF($AH1460=20,IF(AND(OR($A1460=21,$A1460=215),$AJ1460=10),"①病院一般",IF(AND($A1460=31,$AJ1460=41),"②病院短期","対象外")),IF($AJ1460=30,"③特定消防",IF(AND(OR($A1460=21,$A1460=215),$AJ1460=10),"④一般",IF(AND($A1460=31,$AJ1460=41),"⑤短期","対象外")))))</f>
        <v>⑤短期</v>
      </c>
      <c r="DC1460" s="2909">
        <f>IF($A1460="","",IF($AB1460&amp;""='DB_設定'!$C$4,1,0))</f>
        <v>0</v>
      </c>
    </row>
    <row r="1461">
      <c r="A1461" t="n" s="2909">
        <v>31</v>
      </c>
      <c r="AA1461" t="n" s="2909">
        <v>21</v>
      </c>
      <c r="AB1461" t="inlineStr" s="2909">
        <is>
          <t>20250421</t>
        </is>
      </c>
      <c r="AD1461" t="n" s="2909">
        <v>0</v>
      </c>
      <c r="AE1461" t="inlineStr" s="2909">
        <is>
          <t>00000000</t>
        </is>
      </c>
      <c r="AH1461" t="n" s="2909">
        <v>1</v>
      </c>
      <c r="AJ1461" t="n" s="2909">
        <v>41</v>
      </c>
      <c r="AP1461" t="n" s="2909">
        <v>142000</v>
      </c>
      <c r="DB1461" s="2909" t="str">
        <f>IF($A1461="","",IF($AH1461=20,IF(AND(OR($A1461=21,$A1461=215),$AJ1461=10),"①病院一般",IF(AND($A1461=31,$AJ1461=41),"②病院短期","対象外")),IF($AJ1461=30,"③特定消防",IF(AND(OR($A1461=21,$A1461=215),$AJ1461=10),"④一般",IF(AND($A1461=31,$AJ1461=41),"⑤短期","対象外")))))</f>
        <v>⑤短期</v>
      </c>
      <c r="DC1461" s="2909">
        <f>IF($A1461="","",IF($AB1461&amp;""='DB_設定'!$C$4,1,0))</f>
        <v>0</v>
      </c>
    </row>
    <row r="1462">
      <c r="A1462" t="n" s="2909">
        <v>31</v>
      </c>
      <c r="AA1462" t="n" s="2909">
        <v>21</v>
      </c>
      <c r="AB1462" t="inlineStr" s="2909">
        <is>
          <t>20250428</t>
        </is>
      </c>
      <c r="AD1462" t="n" s="2909">
        <v>0</v>
      </c>
      <c r="AE1462" t="inlineStr" s="2909">
        <is>
          <t>00000000</t>
        </is>
      </c>
      <c r="AH1462" t="n" s="2909">
        <v>11</v>
      </c>
      <c r="AJ1462" t="n" s="2909">
        <v>41</v>
      </c>
      <c r="AP1462" t="n" s="2909">
        <v>126000</v>
      </c>
      <c r="DB1462" s="2909" t="str">
        <f>IF($A1462="","",IF($AH1462=20,IF(AND(OR($A1462=21,$A1462=215),$AJ1462=10),"①病院一般",IF(AND($A1462=31,$AJ1462=41),"②病院短期","対象外")),IF($AJ1462=30,"③特定消防",IF(AND(OR($A1462=21,$A1462=215),$AJ1462=10),"④一般",IF(AND($A1462=31,$AJ1462=41),"⑤短期","対象外")))))</f>
        <v>⑤短期</v>
      </c>
      <c r="DC1462" s="2909">
        <f>IF($A1462="","",IF($AB1462&amp;""='DB_設定'!$C$4,1,0))</f>
        <v>0</v>
      </c>
    </row>
    <row r="1463">
      <c r="A1463" t="n" s="2909">
        <v>31</v>
      </c>
      <c r="AA1463" t="n" s="2909">
        <v>21</v>
      </c>
      <c r="AB1463" t="inlineStr" s="2909">
        <is>
          <t>20250422</t>
        </is>
      </c>
      <c r="AD1463" t="n" s="2909">
        <v>0</v>
      </c>
      <c r="AE1463" t="inlineStr" s="2909">
        <is>
          <t>00000000</t>
        </is>
      </c>
      <c r="AH1463" t="n" s="2909">
        <v>11</v>
      </c>
      <c r="AJ1463" t="n" s="2909">
        <v>41</v>
      </c>
      <c r="AP1463" t="n" s="2909">
        <v>142000</v>
      </c>
      <c r="DB1463" s="2909" t="str">
        <f>IF($A1463="","",IF($AH1463=20,IF(AND(OR($A1463=21,$A1463=215),$AJ1463=10),"①病院一般",IF(AND($A1463=31,$AJ1463=41),"②病院短期","対象外")),IF($AJ1463=30,"③特定消防",IF(AND(OR($A1463=21,$A1463=215),$AJ1463=10),"④一般",IF(AND($A1463=31,$AJ1463=41),"⑤短期","対象外")))))</f>
        <v>⑤短期</v>
      </c>
      <c r="DC1463" s="2909">
        <f>IF($A1463="","",IF($AB1463&amp;""='DB_設定'!$C$4,1,0))</f>
        <v>0</v>
      </c>
    </row>
    <row r="1464">
      <c r="A1464" t="n" s="2909">
        <v>31</v>
      </c>
      <c r="AA1464" t="n" s="2909">
        <v>21</v>
      </c>
      <c r="AB1464" t="inlineStr" s="2909">
        <is>
          <t>20250509</t>
        </is>
      </c>
      <c r="AD1464" t="n" s="2909">
        <v>12</v>
      </c>
      <c r="AE1464" t="inlineStr" s="2909">
        <is>
          <t>20250514</t>
        </is>
      </c>
      <c r="AH1464" t="n" s="2909">
        <v>11</v>
      </c>
      <c r="AJ1464" t="n" s="2909">
        <v>41</v>
      </c>
      <c r="AP1464" t="n" s="2909">
        <v>110000</v>
      </c>
      <c r="DB1464" s="2909" t="str">
        <f>IF($A1464="","",IF($AH1464=20,IF(AND(OR($A1464=21,$A1464=215),$AJ1464=10),"①病院一般",IF(AND($A1464=31,$AJ1464=41),"②病院短期","対象外")),IF($AJ1464=30,"③特定消防",IF(AND(OR($A1464=21,$A1464=215),$AJ1464=10),"④一般",IF(AND($A1464=31,$AJ1464=41),"⑤短期","対象外")))))</f>
        <v>⑤短期</v>
      </c>
      <c r="DC1464" s="2909">
        <f>IF($A1464="","",IF($AB1464&amp;""='DB_設定'!$C$4,1,0))</f>
        <v>0</v>
      </c>
    </row>
    <row r="1465">
      <c r="A1465" t="n" s="2909">
        <v>31</v>
      </c>
      <c r="AA1465" t="n" s="2909">
        <v>21</v>
      </c>
      <c r="AB1465" t="inlineStr" s="2909">
        <is>
          <t>20250501</t>
        </is>
      </c>
      <c r="AD1465" t="n" s="2909">
        <v>0</v>
      </c>
      <c r="AE1465" t="inlineStr" s="2909">
        <is>
          <t>00000000</t>
        </is>
      </c>
      <c r="AH1465" t="n" s="2909">
        <v>11</v>
      </c>
      <c r="AJ1465" t="n" s="2909">
        <v>41</v>
      </c>
      <c r="AP1465" t="n" s="2909">
        <v>126000</v>
      </c>
      <c r="DB1465" s="2909" t="str">
        <f>IF($A1465="","",IF($AH1465=20,IF(AND(OR($A1465=21,$A1465=215),$AJ1465=10),"①病院一般",IF(AND($A1465=31,$AJ1465=41),"②病院短期","対象外")),IF($AJ1465=30,"③特定消防",IF(AND(OR($A1465=21,$A1465=215),$AJ1465=10),"④一般",IF(AND($A1465=31,$AJ1465=41),"⑤短期","対象外")))))</f>
        <v>⑤短期</v>
      </c>
      <c r="DC1465" s="2909">
        <f>IF($A1465="","",IF($AB1465&amp;""='DB_設定'!$C$4,1,0))</f>
        <v>0</v>
      </c>
    </row>
    <row r="1466">
      <c r="A1466" t="n" s="2909">
        <v>31</v>
      </c>
      <c r="AA1466" t="n" s="2909">
        <v>21</v>
      </c>
      <c r="AB1466" t="inlineStr" s="2909">
        <is>
          <t>20250421</t>
        </is>
      </c>
      <c r="AD1466" t="n" s="2909">
        <v>12</v>
      </c>
      <c r="AE1466" t="inlineStr" s="2909">
        <is>
          <t>20250901</t>
        </is>
      </c>
      <c r="AH1466" t="n" s="2909">
        <v>1</v>
      </c>
      <c r="AJ1466" t="n" s="2909">
        <v>41</v>
      </c>
      <c r="AP1466" t="n" s="2909">
        <v>134000</v>
      </c>
      <c r="DB1466" s="2909" t="str">
        <f>IF($A1466="","",IF($AH1466=20,IF(AND(OR($A1466=21,$A1466=215),$AJ1466=10),"①病院一般",IF(AND($A1466=31,$AJ1466=41),"②病院短期","対象外")),IF($AJ1466=30,"③特定消防",IF(AND(OR($A1466=21,$A1466=215),$AJ1466=10),"④一般",IF(AND($A1466=31,$AJ1466=41),"⑤短期","対象外")))))</f>
        <v>⑤短期</v>
      </c>
      <c r="DC1466" s="2909">
        <f>IF($A1466="","",IF($AB1466&amp;""='DB_設定'!$C$4,1,0))</f>
        <v>0</v>
      </c>
    </row>
    <row r="1467">
      <c r="A1467" t="n" s="2909">
        <v>31</v>
      </c>
      <c r="AA1467" t="n" s="2909">
        <v>21</v>
      </c>
      <c r="AB1467" t="inlineStr" s="2909">
        <is>
          <t>20250501</t>
        </is>
      </c>
      <c r="AD1467" t="n" s="2909">
        <v>12</v>
      </c>
      <c r="AE1467" t="inlineStr" s="2909">
        <is>
          <t>20250901</t>
        </is>
      </c>
      <c r="AH1467" t="n" s="2909">
        <v>1</v>
      </c>
      <c r="AJ1467" t="n" s="2909">
        <v>41</v>
      </c>
      <c r="AP1467" t="n" s="2909">
        <v>260000</v>
      </c>
      <c r="DB1467" s="2909" t="str">
        <f>IF($A1467="","",IF($AH1467=20,IF(AND(OR($A1467=21,$A1467=215),$AJ1467=10),"①病院一般",IF(AND($A1467=31,$AJ1467=41),"②病院短期","対象外")),IF($AJ1467=30,"③特定消防",IF(AND(OR($A1467=21,$A1467=215),$AJ1467=10),"④一般",IF(AND($A1467=31,$AJ1467=41),"⑤短期","対象外")))))</f>
        <v>⑤短期</v>
      </c>
      <c r="DC1467" s="2909">
        <f>IF($A1467="","",IF($AB1467&amp;""='DB_設定'!$C$4,1,0))</f>
        <v>0</v>
      </c>
    </row>
    <row r="1468">
      <c r="A1468" t="n" s="2909">
        <v>31</v>
      </c>
      <c r="AA1468" t="n" s="2909">
        <v>21</v>
      </c>
      <c r="AB1468" t="inlineStr" s="2909">
        <is>
          <t>20250501</t>
        </is>
      </c>
      <c r="AD1468" t="n" s="2909">
        <v>0</v>
      </c>
      <c r="AE1468" t="inlineStr" s="2909">
        <is>
          <t>00000000</t>
        </is>
      </c>
      <c r="AH1468" t="n" s="2909">
        <v>1</v>
      </c>
      <c r="AJ1468" t="n" s="2909">
        <v>41</v>
      </c>
      <c r="AP1468" t="n" s="2909">
        <v>190000</v>
      </c>
      <c r="DB1468" s="2909" t="str">
        <f>IF($A1468="","",IF($AH1468=20,IF(AND(OR($A1468=21,$A1468=215),$AJ1468=10),"①病院一般",IF(AND($A1468=31,$AJ1468=41),"②病院短期","対象外")),IF($AJ1468=30,"③特定消防",IF(AND(OR($A1468=21,$A1468=215),$AJ1468=10),"④一般",IF(AND($A1468=31,$AJ1468=41),"⑤短期","対象外")))))</f>
        <v>⑤短期</v>
      </c>
      <c r="DC1468" s="2909">
        <f>IF($A1468="","",IF($AB1468&amp;""='DB_設定'!$C$4,1,0))</f>
        <v>0</v>
      </c>
    </row>
    <row r="1469">
      <c r="A1469" t="n" s="2909">
        <v>31</v>
      </c>
      <c r="AA1469" t="n" s="2909">
        <v>21</v>
      </c>
      <c r="AB1469" t="inlineStr" s="2909">
        <is>
          <t>20250501</t>
        </is>
      </c>
      <c r="AD1469" t="n" s="2909">
        <v>0</v>
      </c>
      <c r="AE1469" t="inlineStr" s="2909">
        <is>
          <t>00000000</t>
        </is>
      </c>
      <c r="AH1469" t="n" s="2909">
        <v>1</v>
      </c>
      <c r="AJ1469" t="n" s="2909">
        <v>41</v>
      </c>
      <c r="AP1469" t="n" s="2909">
        <v>200000</v>
      </c>
      <c r="DB1469" s="2909" t="str">
        <f>IF($A1469="","",IF($AH1469=20,IF(AND(OR($A1469=21,$A1469=215),$AJ1469=10),"①病院一般",IF(AND($A1469=31,$AJ1469=41),"②病院短期","対象外")),IF($AJ1469=30,"③特定消防",IF(AND(OR($A1469=21,$A1469=215),$AJ1469=10),"④一般",IF(AND($A1469=31,$AJ1469=41),"⑤短期","対象外")))))</f>
        <v>⑤短期</v>
      </c>
      <c r="DC1469" s="2909">
        <f>IF($A1469="","",IF($AB1469&amp;""='DB_設定'!$C$4,1,0))</f>
        <v>0</v>
      </c>
    </row>
    <row r="1470">
      <c r="A1470" t="n" s="2909">
        <v>31</v>
      </c>
      <c r="AA1470" t="n" s="2909">
        <v>21</v>
      </c>
      <c r="AB1470" t="inlineStr" s="2909">
        <is>
          <t>20250501</t>
        </is>
      </c>
      <c r="AD1470" t="n" s="2909">
        <v>0</v>
      </c>
      <c r="AE1470" t="inlineStr" s="2909">
        <is>
          <t>00000000</t>
        </is>
      </c>
      <c r="AH1470" t="n" s="2909">
        <v>1</v>
      </c>
      <c r="AJ1470" t="n" s="2909">
        <v>41</v>
      </c>
      <c r="AP1470" t="n" s="2909">
        <v>190000</v>
      </c>
      <c r="DB1470" s="2909" t="str">
        <f>IF($A1470="","",IF($AH1470=20,IF(AND(OR($A1470=21,$A1470=215),$AJ1470=10),"①病院一般",IF(AND($A1470=31,$AJ1470=41),"②病院短期","対象外")),IF($AJ1470=30,"③特定消防",IF(AND(OR($A1470=21,$A1470=215),$AJ1470=10),"④一般",IF(AND($A1470=31,$AJ1470=41),"⑤短期","対象外")))))</f>
        <v>⑤短期</v>
      </c>
      <c r="DC1470" s="2909">
        <f>IF($A1470="","",IF($AB1470&amp;""='DB_設定'!$C$4,1,0))</f>
        <v>0</v>
      </c>
    </row>
    <row r="1471">
      <c r="A1471" t="n" s="2909">
        <v>31</v>
      </c>
      <c r="AA1471" t="n" s="2909">
        <v>21</v>
      </c>
      <c r="AB1471" t="inlineStr" s="2909">
        <is>
          <t>20250501</t>
        </is>
      </c>
      <c r="AD1471" t="n" s="2909">
        <v>0</v>
      </c>
      <c r="AE1471" t="inlineStr" s="2909">
        <is>
          <t>00000000</t>
        </is>
      </c>
      <c r="AH1471" t="n" s="2909">
        <v>1</v>
      </c>
      <c r="AJ1471" t="n" s="2909">
        <v>41</v>
      </c>
      <c r="AP1471" t="n" s="2909">
        <v>142000</v>
      </c>
      <c r="DB1471" s="2909" t="str">
        <f>IF($A1471="","",IF($AH1471=20,IF(AND(OR($A1471=21,$A1471=215),$AJ1471=10),"①病院一般",IF(AND($A1471=31,$AJ1471=41),"②病院短期","対象外")),IF($AJ1471=30,"③特定消防",IF(AND(OR($A1471=21,$A1471=215),$AJ1471=10),"④一般",IF(AND($A1471=31,$AJ1471=41),"⑤短期","対象外")))))</f>
        <v>⑤短期</v>
      </c>
      <c r="DC1471" s="2909">
        <f>IF($A1471="","",IF($AB1471&amp;""='DB_設定'!$C$4,1,0))</f>
        <v>0</v>
      </c>
    </row>
    <row r="1472">
      <c r="A1472" t="n" s="2909">
        <v>31</v>
      </c>
      <c r="AA1472" t="n" s="2909">
        <v>21</v>
      </c>
      <c r="AB1472" t="inlineStr" s="2909">
        <is>
          <t>20250423</t>
        </is>
      </c>
      <c r="AD1472" t="n" s="2909">
        <v>0</v>
      </c>
      <c r="AE1472" t="inlineStr" s="2909">
        <is>
          <t>00000000</t>
        </is>
      </c>
      <c r="AH1472" t="n" s="2909">
        <v>11</v>
      </c>
      <c r="AJ1472" t="n" s="2909">
        <v>41</v>
      </c>
      <c r="AP1472" t="n" s="2909">
        <v>126000</v>
      </c>
      <c r="DB1472" s="2909" t="str">
        <f>IF($A1472="","",IF($AH1472=20,IF(AND(OR($A1472=21,$A1472=215),$AJ1472=10),"①病院一般",IF(AND($A1472=31,$AJ1472=41),"②病院短期","対象外")),IF($AJ1472=30,"③特定消防",IF(AND(OR($A1472=21,$A1472=215),$AJ1472=10),"④一般",IF(AND($A1472=31,$AJ1472=41),"⑤短期","対象外")))))</f>
        <v>⑤短期</v>
      </c>
      <c r="DC1472" s="2909">
        <f>IF($A1472="","",IF($AB1472&amp;""='DB_設定'!$C$4,1,0))</f>
        <v>0</v>
      </c>
    </row>
    <row r="1473">
      <c r="A1473" t="n" s="2909">
        <v>31</v>
      </c>
      <c r="AA1473" t="n" s="2909">
        <v>21</v>
      </c>
      <c r="AB1473" t="inlineStr" s="2909">
        <is>
          <t>20250501</t>
        </is>
      </c>
      <c r="AD1473" t="n" s="2909">
        <v>0</v>
      </c>
      <c r="AE1473" t="inlineStr" s="2909">
        <is>
          <t>00000000</t>
        </is>
      </c>
      <c r="AH1473" t="n" s="2909">
        <v>1</v>
      </c>
      <c r="AJ1473" t="n" s="2909">
        <v>41</v>
      </c>
      <c r="AP1473" t="n" s="2909">
        <v>260000</v>
      </c>
      <c r="DB1473" s="2909" t="str">
        <f>IF($A1473="","",IF($AH1473=20,IF(AND(OR($A1473=21,$A1473=215),$AJ1473=10),"①病院一般",IF(AND($A1473=31,$AJ1473=41),"②病院短期","対象外")),IF($AJ1473=30,"③特定消防",IF(AND(OR($A1473=21,$A1473=215),$AJ1473=10),"④一般",IF(AND($A1473=31,$AJ1473=41),"⑤短期","対象外")))))</f>
        <v>⑤短期</v>
      </c>
      <c r="DC1473" s="2909">
        <f>IF($A1473="","",IF($AB1473&amp;""='DB_設定'!$C$4,1,0))</f>
        <v>0</v>
      </c>
    </row>
    <row r="1474">
      <c r="A1474" t="n" s="2909">
        <v>31</v>
      </c>
      <c r="AA1474" t="n" s="2909">
        <v>21</v>
      </c>
      <c r="AB1474" t="inlineStr" s="2909">
        <is>
          <t>20250428</t>
        </is>
      </c>
      <c r="AD1474" t="n" s="2909">
        <v>12</v>
      </c>
      <c r="AE1474" t="inlineStr" s="2909">
        <is>
          <t>20250429</t>
        </is>
      </c>
      <c r="AH1474" t="n" s="2909">
        <v>11</v>
      </c>
      <c r="AJ1474" t="n" s="2909">
        <v>41</v>
      </c>
      <c r="AP1474" t="n" s="2909">
        <v>104000</v>
      </c>
      <c r="DB1474" s="2909" t="str">
        <f>IF($A1474="","",IF($AH1474=20,IF(AND(OR($A1474=21,$A1474=215),$AJ1474=10),"①病院一般",IF(AND($A1474=31,$AJ1474=41),"②病院短期","対象外")),IF($AJ1474=30,"③特定消防",IF(AND(OR($A1474=21,$A1474=215),$AJ1474=10),"④一般",IF(AND($A1474=31,$AJ1474=41),"⑤短期","対象外")))))</f>
        <v>⑤短期</v>
      </c>
      <c r="DC1474" s="2909">
        <f>IF($A1474="","",IF($AB1474&amp;""='DB_設定'!$C$4,1,0))</f>
        <v>0</v>
      </c>
    </row>
    <row r="1475">
      <c r="A1475" t="n" s="2909">
        <v>31</v>
      </c>
      <c r="AA1475" t="n" s="2909">
        <v>21</v>
      </c>
      <c r="AB1475" t="inlineStr" s="2909">
        <is>
          <t>20250501</t>
        </is>
      </c>
      <c r="AD1475" t="n" s="2909">
        <v>0</v>
      </c>
      <c r="AE1475" t="inlineStr" s="2909">
        <is>
          <t>00000000</t>
        </is>
      </c>
      <c r="AH1475" t="n" s="2909">
        <v>1</v>
      </c>
      <c r="AJ1475" t="n" s="2909">
        <v>41</v>
      </c>
      <c r="AP1475" t="n" s="2909">
        <v>134000</v>
      </c>
      <c r="DB1475" s="2909" t="str">
        <f>IF($A1475="","",IF($AH1475=20,IF(AND(OR($A1475=21,$A1475=215),$AJ1475=10),"①病院一般",IF(AND($A1475=31,$AJ1475=41),"②病院短期","対象外")),IF($AJ1475=30,"③特定消防",IF(AND(OR($A1475=21,$A1475=215),$AJ1475=10),"④一般",IF(AND($A1475=31,$AJ1475=41),"⑤短期","対象外")))))</f>
        <v>⑤短期</v>
      </c>
      <c r="DC1475" s="2909">
        <f>IF($A1475="","",IF($AB1475&amp;""='DB_設定'!$C$4,1,0))</f>
        <v>0</v>
      </c>
    </row>
    <row r="1476">
      <c r="A1476" t="n" s="2909">
        <v>31</v>
      </c>
      <c r="AA1476" t="n" s="2909">
        <v>21</v>
      </c>
      <c r="AB1476" t="inlineStr" s="2909">
        <is>
          <t>20250507</t>
        </is>
      </c>
      <c r="AD1476" t="n" s="2909">
        <v>0</v>
      </c>
      <c r="AE1476" t="inlineStr" s="2909">
        <is>
          <t>00000000</t>
        </is>
      </c>
      <c r="AH1476" t="n" s="2909">
        <v>1</v>
      </c>
      <c r="AJ1476" t="n" s="2909">
        <v>41</v>
      </c>
      <c r="AP1476" t="n" s="2909">
        <v>134000</v>
      </c>
      <c r="DB1476" s="2909" t="str">
        <f>IF($A1476="","",IF($AH1476=20,IF(AND(OR($A1476=21,$A1476=215),$AJ1476=10),"①病院一般",IF(AND($A1476=31,$AJ1476=41),"②病院短期","対象外")),IF($AJ1476=30,"③特定消防",IF(AND(OR($A1476=21,$A1476=215),$AJ1476=10),"④一般",IF(AND($A1476=31,$AJ1476=41),"⑤短期","対象外")))))</f>
        <v>⑤短期</v>
      </c>
      <c r="DC1476" s="2909">
        <f>IF($A1476="","",IF($AB1476&amp;""='DB_設定'!$C$4,1,0))</f>
        <v>0</v>
      </c>
    </row>
    <row r="1477">
      <c r="A1477" t="n" s="2909">
        <v>31</v>
      </c>
      <c r="AA1477" t="n" s="2909">
        <v>21</v>
      </c>
      <c r="AB1477" t="inlineStr" s="2909">
        <is>
          <t>20250601</t>
        </is>
      </c>
      <c r="AD1477" t="n" s="2909">
        <v>0</v>
      </c>
      <c r="AE1477" t="inlineStr" s="2909">
        <is>
          <t>00000000</t>
        </is>
      </c>
      <c r="AH1477" t="n" s="2909">
        <v>1</v>
      </c>
      <c r="AJ1477" t="n" s="2909">
        <v>41</v>
      </c>
      <c r="AP1477" t="n" s="2909">
        <v>170000</v>
      </c>
      <c r="DB1477" s="2909" t="str">
        <f>IF($A1477="","",IF($AH1477=20,IF(AND(OR($A1477=21,$A1477=215),$AJ1477=10),"①病院一般",IF(AND($A1477=31,$AJ1477=41),"②病院短期","対象外")),IF($AJ1477=30,"③特定消防",IF(AND(OR($A1477=21,$A1477=215),$AJ1477=10),"④一般",IF(AND($A1477=31,$AJ1477=41),"⑤短期","対象外")))))</f>
        <v>⑤短期</v>
      </c>
      <c r="DC1477" s="2909">
        <f>IF($A1477="","",IF($AB1477&amp;""='DB_設定'!$C$4,1,0))</f>
        <v>0</v>
      </c>
    </row>
    <row r="1478">
      <c r="A1478" t="n" s="2909">
        <v>31</v>
      </c>
      <c r="AA1478" t="n" s="2909">
        <v>21</v>
      </c>
      <c r="AB1478" t="inlineStr" s="2909">
        <is>
          <t>20250601</t>
        </is>
      </c>
      <c r="AD1478" t="n" s="2909">
        <v>0</v>
      </c>
      <c r="AE1478" t="inlineStr" s="2909">
        <is>
          <t>00000000</t>
        </is>
      </c>
      <c r="AH1478" t="n" s="2909">
        <v>11</v>
      </c>
      <c r="AJ1478" t="n" s="2909">
        <v>41</v>
      </c>
      <c r="AP1478" t="n" s="2909">
        <v>200000</v>
      </c>
      <c r="DB1478" s="2909" t="str">
        <f>IF($A1478="","",IF($AH1478=20,IF(AND(OR($A1478=21,$A1478=215),$AJ1478=10),"①病院一般",IF(AND($A1478=31,$AJ1478=41),"②病院短期","対象外")),IF($AJ1478=30,"③特定消防",IF(AND(OR($A1478=21,$A1478=215),$AJ1478=10),"④一般",IF(AND($A1478=31,$AJ1478=41),"⑤短期","対象外")))))</f>
        <v>⑤短期</v>
      </c>
      <c r="DC1478" s="2909">
        <f>IF($A1478="","",IF($AB1478&amp;""='DB_設定'!$C$4,1,0))</f>
        <v>0</v>
      </c>
    </row>
    <row r="1479">
      <c r="A1479" t="n" s="2909">
        <v>31</v>
      </c>
      <c r="AA1479" t="n" s="2909">
        <v>21</v>
      </c>
      <c r="AB1479" t="inlineStr" s="2909">
        <is>
          <t>20250601</t>
        </is>
      </c>
      <c r="AD1479" t="n" s="2909">
        <v>0</v>
      </c>
      <c r="AE1479" t="inlineStr" s="2909">
        <is>
          <t>00000000</t>
        </is>
      </c>
      <c r="AH1479" t="n" s="2909">
        <v>11</v>
      </c>
      <c r="AJ1479" t="n" s="2909">
        <v>41</v>
      </c>
      <c r="AP1479" t="n" s="2909">
        <v>200000</v>
      </c>
      <c r="DB1479" s="2909" t="str">
        <f>IF($A1479="","",IF($AH1479=20,IF(AND(OR($A1479=21,$A1479=215),$AJ1479=10),"①病院一般",IF(AND($A1479=31,$AJ1479=41),"②病院短期","対象外")),IF($AJ1479=30,"③特定消防",IF(AND(OR($A1479=21,$A1479=215),$AJ1479=10),"④一般",IF(AND($A1479=31,$AJ1479=41),"⑤短期","対象外")))))</f>
        <v>⑤短期</v>
      </c>
      <c r="DC1479" s="2909">
        <f>IF($A1479="","",IF($AB1479&amp;""='DB_設定'!$C$4,1,0))</f>
        <v>0</v>
      </c>
    </row>
    <row r="1480">
      <c r="A1480" t="n" s="2909">
        <v>31</v>
      </c>
      <c r="AA1480" t="n" s="2909">
        <v>21</v>
      </c>
      <c r="AB1480" t="inlineStr" s="2909">
        <is>
          <t>20250601</t>
        </is>
      </c>
      <c r="AD1480" t="n" s="2909">
        <v>0</v>
      </c>
      <c r="AE1480" t="inlineStr" s="2909">
        <is>
          <t>00000000</t>
        </is>
      </c>
      <c r="AH1480" t="n" s="2909">
        <v>1</v>
      </c>
      <c r="AJ1480" t="n" s="2909">
        <v>41</v>
      </c>
      <c r="AP1480" t="n" s="2909">
        <v>220000</v>
      </c>
      <c r="DB1480" s="2909" t="str">
        <f>IF($A1480="","",IF($AH1480=20,IF(AND(OR($A1480=21,$A1480=215),$AJ1480=10),"①病院一般",IF(AND($A1480=31,$AJ1480=41),"②病院短期","対象外")),IF($AJ1480=30,"③特定消防",IF(AND(OR($A1480=21,$A1480=215),$AJ1480=10),"④一般",IF(AND($A1480=31,$AJ1480=41),"⑤短期","対象外")))))</f>
        <v>⑤短期</v>
      </c>
      <c r="DC1480" s="2909">
        <f>IF($A1480="","",IF($AB1480&amp;""='DB_設定'!$C$4,1,0))</f>
        <v>0</v>
      </c>
    </row>
    <row r="1481">
      <c r="A1481" t="n" s="2909">
        <v>31</v>
      </c>
      <c r="AA1481" t="n" s="2909">
        <v>21</v>
      </c>
      <c r="AB1481" t="inlineStr" s="2909">
        <is>
          <t>20250526</t>
        </is>
      </c>
      <c r="AD1481" t="n" s="2909">
        <v>0</v>
      </c>
      <c r="AE1481" t="inlineStr" s="2909">
        <is>
          <t>00000000</t>
        </is>
      </c>
      <c r="AH1481" t="n" s="2909">
        <v>11</v>
      </c>
      <c r="AJ1481" t="n" s="2909">
        <v>41</v>
      </c>
      <c r="AP1481" t="n" s="2909">
        <v>134000</v>
      </c>
      <c r="DB1481" s="2909" t="str">
        <f>IF($A1481="","",IF($AH1481=20,IF(AND(OR($A1481=21,$A1481=215),$AJ1481=10),"①病院一般",IF(AND($A1481=31,$AJ1481=41),"②病院短期","対象外")),IF($AJ1481=30,"③特定消防",IF(AND(OR($A1481=21,$A1481=215),$AJ1481=10),"④一般",IF(AND($A1481=31,$AJ1481=41),"⑤短期","対象外")))))</f>
        <v>⑤短期</v>
      </c>
      <c r="DC1481" s="2909">
        <f>IF($A1481="","",IF($AB1481&amp;""='DB_設定'!$C$4,1,0))</f>
        <v>0</v>
      </c>
    </row>
    <row r="1482">
      <c r="A1482" t="n" s="2909">
        <v>31</v>
      </c>
      <c r="AA1482" t="n" s="2909">
        <v>21</v>
      </c>
      <c r="AB1482" t="inlineStr" s="2909">
        <is>
          <t>20250601</t>
        </is>
      </c>
      <c r="AD1482" t="n" s="2909">
        <v>0</v>
      </c>
      <c r="AE1482" t="inlineStr" s="2909">
        <is>
          <t>00000000</t>
        </is>
      </c>
      <c r="AH1482" t="n" s="2909">
        <v>1</v>
      </c>
      <c r="AJ1482" t="n" s="2909">
        <v>41</v>
      </c>
      <c r="AP1482" t="n" s="2909">
        <v>200000</v>
      </c>
      <c r="DB1482" s="2909" t="str">
        <f>IF($A1482="","",IF($AH1482=20,IF(AND(OR($A1482=21,$A1482=215),$AJ1482=10),"①病院一般",IF(AND($A1482=31,$AJ1482=41),"②病院短期","対象外")),IF($AJ1482=30,"③特定消防",IF(AND(OR($A1482=21,$A1482=215),$AJ1482=10),"④一般",IF(AND($A1482=31,$AJ1482=41),"⑤短期","対象外")))))</f>
        <v>⑤短期</v>
      </c>
      <c r="DC1482" s="2909">
        <f>IF($A1482="","",IF($AB1482&amp;""='DB_設定'!$C$4,1,0))</f>
        <v>0</v>
      </c>
    </row>
    <row r="1483">
      <c r="A1483" t="n" s="2909">
        <v>31</v>
      </c>
      <c r="AA1483" t="n" s="2909">
        <v>21</v>
      </c>
      <c r="AB1483" t="inlineStr" s="2909">
        <is>
          <t>20250601</t>
        </is>
      </c>
      <c r="AD1483" t="n" s="2909">
        <v>0</v>
      </c>
      <c r="AE1483" t="inlineStr" s="2909">
        <is>
          <t>00000000</t>
        </is>
      </c>
      <c r="AH1483" t="n" s="2909">
        <v>1</v>
      </c>
      <c r="AJ1483" t="n" s="2909">
        <v>41</v>
      </c>
      <c r="AP1483" t="n" s="2909">
        <v>134000</v>
      </c>
      <c r="DB1483" s="2909" t="str">
        <f>IF($A1483="","",IF($AH1483=20,IF(AND(OR($A1483=21,$A1483=215),$AJ1483=10),"①病院一般",IF(AND($A1483=31,$AJ1483=41),"②病院短期","対象外")),IF($AJ1483=30,"③特定消防",IF(AND(OR($A1483=21,$A1483=215),$AJ1483=10),"④一般",IF(AND($A1483=31,$AJ1483=41),"⑤短期","対象外")))))</f>
        <v>⑤短期</v>
      </c>
      <c r="DC1483" s="2909">
        <f>IF($A1483="","",IF($AB1483&amp;""='DB_設定'!$C$4,1,0))</f>
        <v>0</v>
      </c>
    </row>
    <row r="1484">
      <c r="A1484" t="n" s="2909">
        <v>31</v>
      </c>
      <c r="AA1484" t="n" s="2909">
        <v>21</v>
      </c>
      <c r="AB1484" t="inlineStr" s="2909">
        <is>
          <t>20250519</t>
        </is>
      </c>
      <c r="AD1484" t="n" s="2909">
        <v>0</v>
      </c>
      <c r="AE1484" t="inlineStr" s="2909">
        <is>
          <t>00000000</t>
        </is>
      </c>
      <c r="AH1484" t="n" s="2909">
        <v>11</v>
      </c>
      <c r="AJ1484" t="n" s="2909">
        <v>41</v>
      </c>
      <c r="AP1484" t="n" s="2909">
        <v>126000</v>
      </c>
      <c r="DB1484" s="2909" t="str">
        <f>IF($A1484="","",IF($AH1484=20,IF(AND(OR($A1484=21,$A1484=215),$AJ1484=10),"①病院一般",IF(AND($A1484=31,$AJ1484=41),"②病院短期","対象外")),IF($AJ1484=30,"③特定消防",IF(AND(OR($A1484=21,$A1484=215),$AJ1484=10),"④一般",IF(AND($A1484=31,$AJ1484=41),"⑤短期","対象外")))))</f>
        <v>⑤短期</v>
      </c>
      <c r="DC1484" s="2909">
        <f>IF($A1484="","",IF($AB1484&amp;""='DB_設定'!$C$4,1,0))</f>
        <v>0</v>
      </c>
    </row>
    <row r="1485">
      <c r="A1485" t="n" s="2909">
        <v>31</v>
      </c>
      <c r="AA1485" t="n" s="2909">
        <v>21</v>
      </c>
      <c r="AB1485" t="inlineStr" s="2909">
        <is>
          <t>20250601</t>
        </is>
      </c>
      <c r="AD1485" t="n" s="2909">
        <v>0</v>
      </c>
      <c r="AE1485" t="inlineStr" s="2909">
        <is>
          <t>00000000</t>
        </is>
      </c>
      <c r="AH1485" t="n" s="2909">
        <v>1</v>
      </c>
      <c r="AJ1485" t="n" s="2909">
        <v>41</v>
      </c>
      <c r="AP1485" t="n" s="2909">
        <v>142000</v>
      </c>
      <c r="DB1485" s="2909" t="str">
        <f>IF($A1485="","",IF($AH1485=20,IF(AND(OR($A1485=21,$A1485=215),$AJ1485=10),"①病院一般",IF(AND($A1485=31,$AJ1485=41),"②病院短期","対象外")),IF($AJ1485=30,"③特定消防",IF(AND(OR($A1485=21,$A1485=215),$AJ1485=10),"④一般",IF(AND($A1485=31,$AJ1485=41),"⑤短期","対象外")))))</f>
        <v>⑤短期</v>
      </c>
      <c r="DC1485" s="2909">
        <f>IF($A1485="","",IF($AB1485&amp;""='DB_設定'!$C$4,1,0))</f>
        <v>0</v>
      </c>
    </row>
    <row r="1486">
      <c r="A1486" t="n" s="2909">
        <v>31</v>
      </c>
      <c r="AA1486" t="n" s="2909">
        <v>21</v>
      </c>
      <c r="AB1486" t="inlineStr" s="2909">
        <is>
          <t>20250601</t>
        </is>
      </c>
      <c r="AD1486" t="n" s="2909">
        <v>0</v>
      </c>
      <c r="AE1486" t="inlineStr" s="2909">
        <is>
          <t>00000000</t>
        </is>
      </c>
      <c r="AH1486" t="n" s="2909">
        <v>1</v>
      </c>
      <c r="AJ1486" t="n" s="2909">
        <v>41</v>
      </c>
      <c r="AP1486" t="n" s="2909">
        <v>190000</v>
      </c>
      <c r="DB1486" s="2909" t="str">
        <f>IF($A1486="","",IF($AH1486=20,IF(AND(OR($A1486=21,$A1486=215),$AJ1486=10),"①病院一般",IF(AND($A1486=31,$AJ1486=41),"②病院短期","対象外")),IF($AJ1486=30,"③特定消防",IF(AND(OR($A1486=21,$A1486=215),$AJ1486=10),"④一般",IF(AND($A1486=31,$AJ1486=41),"⑤短期","対象外")))))</f>
        <v>⑤短期</v>
      </c>
      <c r="DC1486" s="2909">
        <f>IF($A1486="","",IF($AB1486&amp;""='DB_設定'!$C$4,1,0))</f>
        <v>0</v>
      </c>
    </row>
    <row r="1487">
      <c r="A1487" t="n" s="2909">
        <v>31</v>
      </c>
      <c r="AA1487" t="n" s="2909">
        <v>21</v>
      </c>
      <c r="AB1487" t="inlineStr" s="2909">
        <is>
          <t>20250601</t>
        </is>
      </c>
      <c r="AD1487" t="n" s="2909">
        <v>0</v>
      </c>
      <c r="AE1487" t="inlineStr" s="2909">
        <is>
          <t>00000000</t>
        </is>
      </c>
      <c r="AH1487" t="n" s="2909">
        <v>1</v>
      </c>
      <c r="AJ1487" t="n" s="2909">
        <v>41</v>
      </c>
      <c r="AP1487" t="n" s="2909">
        <v>190000</v>
      </c>
      <c r="DB1487" s="2909" t="str">
        <f>IF($A1487="","",IF($AH1487=20,IF(AND(OR($A1487=21,$A1487=215),$AJ1487=10),"①病院一般",IF(AND($A1487=31,$AJ1487=41),"②病院短期","対象外")),IF($AJ1487=30,"③特定消防",IF(AND(OR($A1487=21,$A1487=215),$AJ1487=10),"④一般",IF(AND($A1487=31,$AJ1487=41),"⑤短期","対象外")))))</f>
        <v>⑤短期</v>
      </c>
      <c r="DC1487" s="2909">
        <f>IF($A1487="","",IF($AB1487&amp;""='DB_設定'!$C$4,1,0))</f>
        <v>0</v>
      </c>
    </row>
    <row r="1488">
      <c r="A1488" t="n" s="2909">
        <v>31</v>
      </c>
      <c r="AA1488" t="n" s="2909">
        <v>21</v>
      </c>
      <c r="AB1488" t="inlineStr" s="2909">
        <is>
          <t>20250601</t>
        </is>
      </c>
      <c r="AD1488" t="n" s="2909">
        <v>0</v>
      </c>
      <c r="AE1488" t="inlineStr" s="2909">
        <is>
          <t>00000000</t>
        </is>
      </c>
      <c r="AH1488" t="n" s="2909">
        <v>1</v>
      </c>
      <c r="AJ1488" t="n" s="2909">
        <v>41</v>
      </c>
      <c r="AP1488" t="n" s="2909">
        <v>190000</v>
      </c>
      <c r="DB1488" s="2909" t="str">
        <f>IF($A1488="","",IF($AH1488=20,IF(AND(OR($A1488=21,$A1488=215),$AJ1488=10),"①病院一般",IF(AND($A1488=31,$AJ1488=41),"②病院短期","対象外")),IF($AJ1488=30,"③特定消防",IF(AND(OR($A1488=21,$A1488=215),$AJ1488=10),"④一般",IF(AND($A1488=31,$AJ1488=41),"⑤短期","対象外")))))</f>
        <v>⑤短期</v>
      </c>
      <c r="DC1488" s="2909">
        <f>IF($A1488="","",IF($AB1488&amp;""='DB_設定'!$C$4,1,0))</f>
        <v>0</v>
      </c>
    </row>
    <row r="1489">
      <c r="A1489" t="n" s="2909">
        <v>31</v>
      </c>
      <c r="AA1489" t="n" s="2909">
        <v>21</v>
      </c>
      <c r="AB1489" t="inlineStr" s="2909">
        <is>
          <t>20250601</t>
        </is>
      </c>
      <c r="AD1489" t="n" s="2909">
        <v>0</v>
      </c>
      <c r="AE1489" t="inlineStr" s="2909">
        <is>
          <t>00000000</t>
        </is>
      </c>
      <c r="AH1489" t="n" s="2909">
        <v>1</v>
      </c>
      <c r="AJ1489" t="n" s="2909">
        <v>41</v>
      </c>
      <c r="AP1489" t="n" s="2909">
        <v>190000</v>
      </c>
      <c r="DB1489" s="2909" t="str">
        <f>IF($A1489="","",IF($AH1489=20,IF(AND(OR($A1489=21,$A1489=215),$AJ1489=10),"①病院一般",IF(AND($A1489=31,$AJ1489=41),"②病院短期","対象外")),IF($AJ1489=30,"③特定消防",IF(AND(OR($A1489=21,$A1489=215),$AJ1489=10),"④一般",IF(AND($A1489=31,$AJ1489=41),"⑤短期","対象外")))))</f>
        <v>⑤短期</v>
      </c>
      <c r="DC1489" s="2909">
        <f>IF($A1489="","",IF($AB1489&amp;""='DB_設定'!$C$4,1,0))</f>
        <v>0</v>
      </c>
    </row>
    <row r="1490">
      <c r="A1490" t="n" s="2909">
        <v>31</v>
      </c>
      <c r="AA1490" t="n" s="2909">
        <v>21</v>
      </c>
      <c r="AB1490" t="inlineStr" s="2909">
        <is>
          <t>20250601</t>
        </is>
      </c>
      <c r="AD1490" t="n" s="2909">
        <v>0</v>
      </c>
      <c r="AE1490" t="inlineStr" s="2909">
        <is>
          <t>00000000</t>
        </is>
      </c>
      <c r="AH1490" t="n" s="2909">
        <v>1</v>
      </c>
      <c r="AJ1490" t="n" s="2909">
        <v>41</v>
      </c>
      <c r="AP1490" t="n" s="2909">
        <v>200000</v>
      </c>
      <c r="DB1490" s="2909" t="str">
        <f>IF($A1490="","",IF($AH1490=20,IF(AND(OR($A1490=21,$A1490=215),$AJ1490=10),"①病院一般",IF(AND($A1490=31,$AJ1490=41),"②病院短期","対象外")),IF($AJ1490=30,"③特定消防",IF(AND(OR($A1490=21,$A1490=215),$AJ1490=10),"④一般",IF(AND($A1490=31,$AJ1490=41),"⑤短期","対象外")))))</f>
        <v>⑤短期</v>
      </c>
      <c r="DC1490" s="2909">
        <f>IF($A1490="","",IF($AB1490&amp;""='DB_設定'!$C$4,1,0))</f>
        <v>0</v>
      </c>
    </row>
    <row r="1491">
      <c r="A1491" t="n" s="2909">
        <v>31</v>
      </c>
      <c r="AA1491" t="n" s="2909">
        <v>21</v>
      </c>
      <c r="AB1491" t="inlineStr" s="2909">
        <is>
          <t>20250601</t>
        </is>
      </c>
      <c r="AD1491" t="n" s="2909">
        <v>0</v>
      </c>
      <c r="AE1491" t="inlineStr" s="2909">
        <is>
          <t>00000000</t>
        </is>
      </c>
      <c r="AH1491" t="n" s="2909">
        <v>11</v>
      </c>
      <c r="AJ1491" t="n" s="2909">
        <v>41</v>
      </c>
      <c r="AP1491" t="n" s="2909">
        <v>200000</v>
      </c>
      <c r="DB1491" s="2909" t="str">
        <f>IF($A1491="","",IF($AH1491=20,IF(AND(OR($A1491=21,$A1491=215),$AJ1491=10),"①病院一般",IF(AND($A1491=31,$AJ1491=41),"②病院短期","対象外")),IF($AJ1491=30,"③特定消防",IF(AND(OR($A1491=21,$A1491=215),$AJ1491=10),"④一般",IF(AND($A1491=31,$AJ1491=41),"⑤短期","対象外")))))</f>
        <v>⑤短期</v>
      </c>
      <c r="DC1491" s="2909">
        <f>IF($A1491="","",IF($AB1491&amp;""='DB_設定'!$C$4,1,0))</f>
        <v>0</v>
      </c>
    </row>
    <row r="1492">
      <c r="A1492" t="n" s="2909">
        <v>31</v>
      </c>
      <c r="AA1492" t="n" s="2909">
        <v>21</v>
      </c>
      <c r="AB1492" t="inlineStr" s="2909">
        <is>
          <t>20250602</t>
        </is>
      </c>
      <c r="AD1492" t="n" s="2909">
        <v>0</v>
      </c>
      <c r="AE1492" t="inlineStr" s="2909">
        <is>
          <t>00000000</t>
        </is>
      </c>
      <c r="AH1492" t="n" s="2909">
        <v>11</v>
      </c>
      <c r="AJ1492" t="n" s="2909">
        <v>41</v>
      </c>
      <c r="AP1492" t="n" s="2909">
        <v>110000</v>
      </c>
      <c r="DB1492" s="2909" t="str">
        <f>IF($A1492="","",IF($AH1492=20,IF(AND(OR($A1492=21,$A1492=215),$AJ1492=10),"①病院一般",IF(AND($A1492=31,$AJ1492=41),"②病院短期","対象外")),IF($AJ1492=30,"③特定消防",IF(AND(OR($A1492=21,$A1492=215),$AJ1492=10),"④一般",IF(AND($A1492=31,$AJ1492=41),"⑤短期","対象外")))))</f>
        <v>⑤短期</v>
      </c>
      <c r="DC1492" s="2909">
        <f>IF($A1492="","",IF($AB1492&amp;""='DB_設定'!$C$4,1,0))</f>
        <v>0</v>
      </c>
    </row>
    <row r="1493">
      <c r="A1493" t="n" s="2909">
        <v>31</v>
      </c>
      <c r="AA1493" t="n" s="2909">
        <v>21</v>
      </c>
      <c r="AB1493" t="inlineStr" s="2909">
        <is>
          <t>20250527</t>
        </is>
      </c>
      <c r="AD1493" t="n" s="2909">
        <v>12</v>
      </c>
      <c r="AE1493" t="inlineStr" s="2909">
        <is>
          <t>20250821</t>
        </is>
      </c>
      <c r="AH1493" t="n" s="2909">
        <v>1</v>
      </c>
      <c r="AJ1493" t="n" s="2909">
        <v>41</v>
      </c>
      <c r="AP1493" t="n" s="2909">
        <v>180000</v>
      </c>
      <c r="DB1493" s="2909" t="str">
        <f>IF($A1493="","",IF($AH1493=20,IF(AND(OR($A1493=21,$A1493=215),$AJ1493=10),"①病院一般",IF(AND($A1493=31,$AJ1493=41),"②病院短期","対象外")),IF($AJ1493=30,"③特定消防",IF(AND(OR($A1493=21,$A1493=215),$AJ1493=10),"④一般",IF(AND($A1493=31,$AJ1493=41),"⑤短期","対象外")))))</f>
        <v>⑤短期</v>
      </c>
      <c r="DC1493" s="2909">
        <f>IF($A1493="","",IF($AB1493&amp;""='DB_設定'!$C$4,1,0))</f>
        <v>0</v>
      </c>
    </row>
    <row r="1494">
      <c r="A1494" t="n" s="2909">
        <v>31</v>
      </c>
      <c r="AA1494" t="n" s="2909">
        <v>21</v>
      </c>
      <c r="AB1494" t="inlineStr" s="2909">
        <is>
          <t>20250609</t>
        </is>
      </c>
      <c r="AD1494" t="n" s="2909">
        <v>0</v>
      </c>
      <c r="AE1494" t="inlineStr" s="2909">
        <is>
          <t>00000000</t>
        </is>
      </c>
      <c r="AH1494" t="n" s="2909">
        <v>11</v>
      </c>
      <c r="AJ1494" t="n" s="2909">
        <v>41</v>
      </c>
      <c r="AP1494" t="n" s="2909">
        <v>110000</v>
      </c>
      <c r="DB1494" s="2909" t="str">
        <f>IF($A1494="","",IF($AH1494=20,IF(AND(OR($A1494=21,$A1494=215),$AJ1494=10),"①病院一般",IF(AND($A1494=31,$AJ1494=41),"②病院短期","対象外")),IF($AJ1494=30,"③特定消防",IF(AND(OR($A1494=21,$A1494=215),$AJ1494=10),"④一般",IF(AND($A1494=31,$AJ1494=41),"⑤短期","対象外")))))</f>
        <v>⑤短期</v>
      </c>
      <c r="DC1494" s="2909">
        <f>IF($A1494="","",IF($AB1494&amp;""='DB_設定'!$C$4,1,0))</f>
        <v>0</v>
      </c>
    </row>
    <row r="1495">
      <c r="A1495" t="n" s="2909">
        <v>31</v>
      </c>
      <c r="AA1495" t="n" s="2909">
        <v>21</v>
      </c>
      <c r="AB1495" t="inlineStr" s="2909">
        <is>
          <t>20250610</t>
        </is>
      </c>
      <c r="AD1495" t="n" s="2909">
        <v>12</v>
      </c>
      <c r="AE1495" t="inlineStr" s="2909">
        <is>
          <t>20250701</t>
        </is>
      </c>
      <c r="AH1495" t="n" s="2909">
        <v>11</v>
      </c>
      <c r="AJ1495" t="n" s="2909">
        <v>41</v>
      </c>
      <c r="AP1495" t="n" s="2909">
        <v>104000</v>
      </c>
      <c r="DB1495" s="2909" t="str">
        <f>IF($A1495="","",IF($AH1495=20,IF(AND(OR($A1495=21,$A1495=215),$AJ1495=10),"①病院一般",IF(AND($A1495=31,$AJ1495=41),"②病院短期","対象外")),IF($AJ1495=30,"③特定消防",IF(AND(OR($A1495=21,$A1495=215),$AJ1495=10),"④一般",IF(AND($A1495=31,$AJ1495=41),"⑤短期","対象外")))))</f>
        <v>⑤短期</v>
      </c>
      <c r="DC1495" s="2909">
        <f>IF($A1495="","",IF($AB1495&amp;""='DB_設定'!$C$4,1,0))</f>
        <v>0</v>
      </c>
    </row>
    <row r="1496">
      <c r="A1496" t="n" s="2909">
        <v>31</v>
      </c>
      <c r="AA1496" t="n" s="2909">
        <v>21</v>
      </c>
      <c r="AB1496" t="inlineStr" s="2909">
        <is>
          <t>20250601</t>
        </is>
      </c>
      <c r="AD1496" t="n" s="2909">
        <v>0</v>
      </c>
      <c r="AE1496" t="inlineStr" s="2909">
        <is>
          <t>00000000</t>
        </is>
      </c>
      <c r="AH1496" t="n" s="2909">
        <v>1</v>
      </c>
      <c r="AJ1496" t="n" s="2909">
        <v>41</v>
      </c>
      <c r="AP1496" t="n" s="2909">
        <v>190000</v>
      </c>
      <c r="DB1496" s="2909" t="str">
        <f>IF($A1496="","",IF($AH1496=20,IF(AND(OR($A1496=21,$A1496=215),$AJ1496=10),"①病院一般",IF(AND($A1496=31,$AJ1496=41),"②病院短期","対象外")),IF($AJ1496=30,"③特定消防",IF(AND(OR($A1496=21,$A1496=215),$AJ1496=10),"④一般",IF(AND($A1496=31,$AJ1496=41),"⑤短期","対象外")))))</f>
        <v>⑤短期</v>
      </c>
      <c r="DC1496" s="2909">
        <f>IF($A1496="","",IF($AB1496&amp;""='DB_設定'!$C$4,1,0))</f>
        <v>0</v>
      </c>
    </row>
    <row r="1497">
      <c r="A1497" t="n" s="2909">
        <v>31</v>
      </c>
      <c r="AA1497" t="n" s="2909">
        <v>21</v>
      </c>
      <c r="AB1497" t="inlineStr" s="2909">
        <is>
          <t>20250611</t>
        </is>
      </c>
      <c r="AD1497" t="n" s="2909">
        <v>12</v>
      </c>
      <c r="AE1497" t="inlineStr" s="2909">
        <is>
          <t>20251001</t>
        </is>
      </c>
      <c r="AH1497" t="n" s="2909">
        <v>1</v>
      </c>
      <c r="AJ1497" t="n" s="2909">
        <v>41</v>
      </c>
      <c r="AP1497" t="n" s="2909">
        <v>190000</v>
      </c>
      <c r="DB1497" s="2909" t="str">
        <f>IF($A1497="","",IF($AH1497=20,IF(AND(OR($A1497=21,$A1497=215),$AJ1497=10),"①病院一般",IF(AND($A1497=31,$AJ1497=41),"②病院短期","対象外")),IF($AJ1497=30,"③特定消防",IF(AND(OR($A1497=21,$A1497=215),$AJ1497=10),"④一般",IF(AND($A1497=31,$AJ1497=41),"⑤短期","対象外")))))</f>
        <v>⑤短期</v>
      </c>
      <c r="DC1497" s="2909">
        <f>IF($A1497="","",IF($AB1497&amp;""='DB_設定'!$C$4,1,0))</f>
        <v>0</v>
      </c>
    </row>
    <row r="1498">
      <c r="A1498" t="n" s="2909">
        <v>31</v>
      </c>
      <c r="AA1498" t="n" s="2909">
        <v>21</v>
      </c>
      <c r="AB1498" t="inlineStr" s="2909">
        <is>
          <t>20250623</t>
        </is>
      </c>
      <c r="AD1498" t="n" s="2909">
        <v>0</v>
      </c>
      <c r="AE1498" t="inlineStr" s="2909">
        <is>
          <t>00000000</t>
        </is>
      </c>
      <c r="AH1498" t="n" s="2909">
        <v>1</v>
      </c>
      <c r="AJ1498" t="n" s="2909">
        <v>41</v>
      </c>
      <c r="AP1498" t="n" s="2909">
        <v>104000</v>
      </c>
      <c r="DB1498" s="2909" t="str">
        <f>IF($A1498="","",IF($AH1498=20,IF(AND(OR($A1498=21,$A1498=215),$AJ1498=10),"①病院一般",IF(AND($A1498=31,$AJ1498=41),"②病院短期","対象外")),IF($AJ1498=30,"③特定消防",IF(AND(OR($A1498=21,$A1498=215),$AJ1498=10),"④一般",IF(AND($A1498=31,$AJ1498=41),"⑤短期","対象外")))))</f>
        <v>⑤短期</v>
      </c>
      <c r="DC1498" s="2909">
        <f>IF($A1498="","",IF($AB1498&amp;""='DB_設定'!$C$4,1,0))</f>
        <v>0</v>
      </c>
    </row>
    <row r="1499">
      <c r="A1499" t="n" s="2909">
        <v>31</v>
      </c>
      <c r="AA1499" t="n" s="2909">
        <v>21</v>
      </c>
      <c r="AB1499" t="inlineStr" s="2909">
        <is>
          <t>20250701</t>
        </is>
      </c>
      <c r="AD1499" t="n" s="2909">
        <v>0</v>
      </c>
      <c r="AE1499" t="inlineStr" s="2909">
        <is>
          <t>00000000</t>
        </is>
      </c>
      <c r="AH1499" t="n" s="2909">
        <v>1</v>
      </c>
      <c r="AJ1499" t="n" s="2909">
        <v>41</v>
      </c>
      <c r="AP1499" t="n" s="2909">
        <v>190000</v>
      </c>
      <c r="DB1499" s="2909" t="str">
        <f>IF($A1499="","",IF($AH1499=20,IF(AND(OR($A1499=21,$A1499=215),$AJ1499=10),"①病院一般",IF(AND($A1499=31,$AJ1499=41),"②病院短期","対象外")),IF($AJ1499=30,"③特定消防",IF(AND(OR($A1499=21,$A1499=215),$AJ1499=10),"④一般",IF(AND($A1499=31,$AJ1499=41),"⑤短期","対象外")))))</f>
        <v>⑤短期</v>
      </c>
      <c r="DC1499" s="2909">
        <f>IF($A1499="","",IF($AB1499&amp;""='DB_設定'!$C$4,1,0))</f>
        <v>0</v>
      </c>
    </row>
    <row r="1500">
      <c r="A1500" t="n" s="2909">
        <v>31</v>
      </c>
      <c r="AA1500" t="n" s="2909">
        <v>21</v>
      </c>
      <c r="AB1500" t="inlineStr" s="2909">
        <is>
          <t>20250701</t>
        </is>
      </c>
      <c r="AD1500" t="n" s="2909">
        <v>12</v>
      </c>
      <c r="AE1500" t="inlineStr" s="2909">
        <is>
          <t>20250801</t>
        </is>
      </c>
      <c r="AH1500" t="n" s="2909">
        <v>1</v>
      </c>
      <c r="AJ1500" t="n" s="2909">
        <v>41</v>
      </c>
      <c r="AP1500" t="n" s="2909">
        <v>190000</v>
      </c>
      <c r="DB1500" s="2909" t="str">
        <f>IF($A1500="","",IF($AH1500=20,IF(AND(OR($A1500=21,$A1500=215),$AJ1500=10),"①病院一般",IF(AND($A1500=31,$AJ1500=41),"②病院短期","対象外")),IF($AJ1500=30,"③特定消防",IF(AND(OR($A1500=21,$A1500=215),$AJ1500=10),"④一般",IF(AND($A1500=31,$AJ1500=41),"⑤短期","対象外")))))</f>
        <v>⑤短期</v>
      </c>
      <c r="DC1500" s="2909">
        <f>IF($A1500="","",IF($AB1500&amp;""='DB_設定'!$C$4,1,0))</f>
        <v>0</v>
      </c>
    </row>
    <row r="1501">
      <c r="A1501" t="n" s="2909">
        <v>31</v>
      </c>
      <c r="AA1501" t="n" s="2909">
        <v>21</v>
      </c>
      <c r="AB1501" t="inlineStr" s="2909">
        <is>
          <t>20250701</t>
        </is>
      </c>
      <c r="AD1501" t="n" s="2909">
        <v>0</v>
      </c>
      <c r="AE1501" t="inlineStr" s="2909">
        <is>
          <t>00000000</t>
        </is>
      </c>
      <c r="AH1501" t="n" s="2909">
        <v>1</v>
      </c>
      <c r="AJ1501" t="n" s="2909">
        <v>41</v>
      </c>
      <c r="AP1501" t="n" s="2909">
        <v>190000</v>
      </c>
      <c r="DB1501" s="2909" t="str">
        <f>IF($A1501="","",IF($AH1501=20,IF(AND(OR($A1501=21,$A1501=215),$AJ1501=10),"①病院一般",IF(AND($A1501=31,$AJ1501=41),"②病院短期","対象外")),IF($AJ1501=30,"③特定消防",IF(AND(OR($A1501=21,$A1501=215),$AJ1501=10),"④一般",IF(AND($A1501=31,$AJ1501=41),"⑤短期","対象外")))))</f>
        <v>⑤短期</v>
      </c>
      <c r="DC1501" s="2909">
        <f>IF($A1501="","",IF($AB1501&amp;""='DB_設定'!$C$4,1,0))</f>
        <v>0</v>
      </c>
    </row>
    <row r="1502">
      <c r="A1502" t="n" s="2909">
        <v>31</v>
      </c>
      <c r="AA1502" t="n" s="2909">
        <v>21</v>
      </c>
      <c r="AB1502" t="inlineStr" s="2909">
        <is>
          <t>20250701</t>
        </is>
      </c>
      <c r="AD1502" t="n" s="2909">
        <v>0</v>
      </c>
      <c r="AE1502" t="inlineStr" s="2909">
        <is>
          <t>00000000</t>
        </is>
      </c>
      <c r="AH1502" t="n" s="2909">
        <v>1</v>
      </c>
      <c r="AJ1502" t="n" s="2909">
        <v>41</v>
      </c>
      <c r="AP1502" t="n" s="2909">
        <v>190000</v>
      </c>
      <c r="DB1502" s="2909" t="str">
        <f>IF($A1502="","",IF($AH1502=20,IF(AND(OR($A1502=21,$A1502=215),$AJ1502=10),"①病院一般",IF(AND($A1502=31,$AJ1502=41),"②病院短期","対象外")),IF($AJ1502=30,"③特定消防",IF(AND(OR($A1502=21,$A1502=215),$AJ1502=10),"④一般",IF(AND($A1502=31,$AJ1502=41),"⑤短期","対象外")))))</f>
        <v>⑤短期</v>
      </c>
      <c r="DC1502" s="2909">
        <f>IF($A1502="","",IF($AB1502&amp;""='DB_設定'!$C$4,1,0))</f>
        <v>0</v>
      </c>
    </row>
    <row r="1503">
      <c r="A1503" t="n" s="2909">
        <v>31</v>
      </c>
      <c r="AA1503" t="n" s="2909">
        <v>21</v>
      </c>
      <c r="AB1503" t="inlineStr" s="2909">
        <is>
          <t>20250701</t>
        </is>
      </c>
      <c r="AD1503" t="n" s="2909">
        <v>0</v>
      </c>
      <c r="AE1503" t="inlineStr" s="2909">
        <is>
          <t>00000000</t>
        </is>
      </c>
      <c r="AH1503" t="n" s="2909">
        <v>1</v>
      </c>
      <c r="AJ1503" t="n" s="2909">
        <v>41</v>
      </c>
      <c r="AP1503" t="n" s="2909">
        <v>190000</v>
      </c>
      <c r="DB1503" s="2909" t="str">
        <f>IF($A1503="","",IF($AH1503=20,IF(AND(OR($A1503=21,$A1503=215),$AJ1503=10),"①病院一般",IF(AND($A1503=31,$AJ1503=41),"②病院短期","対象外")),IF($AJ1503=30,"③特定消防",IF(AND(OR($A1503=21,$A1503=215),$AJ1503=10),"④一般",IF(AND($A1503=31,$AJ1503=41),"⑤短期","対象外")))))</f>
        <v>⑤短期</v>
      </c>
      <c r="DC1503" s="2909">
        <f>IF($A1503="","",IF($AB1503&amp;""='DB_設定'!$C$4,1,0))</f>
        <v>0</v>
      </c>
    </row>
    <row r="1504">
      <c r="A1504" t="n" s="2909">
        <v>31</v>
      </c>
      <c r="AA1504" t="n" s="2909">
        <v>21</v>
      </c>
      <c r="AB1504" t="inlineStr" s="2909">
        <is>
          <t>20250701</t>
        </is>
      </c>
      <c r="AD1504" t="n" s="2909">
        <v>0</v>
      </c>
      <c r="AE1504" t="inlineStr" s="2909">
        <is>
          <t>00000000</t>
        </is>
      </c>
      <c r="AH1504" t="n" s="2909">
        <v>1</v>
      </c>
      <c r="AJ1504" t="n" s="2909">
        <v>41</v>
      </c>
      <c r="AP1504" t="n" s="2909">
        <v>190000</v>
      </c>
      <c r="DB1504" s="2909" t="str">
        <f>IF($A1504="","",IF($AH1504=20,IF(AND(OR($A1504=21,$A1504=215),$AJ1504=10),"①病院一般",IF(AND($A1504=31,$AJ1504=41),"②病院短期","対象外")),IF($AJ1504=30,"③特定消防",IF(AND(OR($A1504=21,$A1504=215),$AJ1504=10),"④一般",IF(AND($A1504=31,$AJ1504=41),"⑤短期","対象外")))))</f>
        <v>⑤短期</v>
      </c>
      <c r="DC1504" s="2909">
        <f>IF($A1504="","",IF($AB1504&amp;""='DB_設定'!$C$4,1,0))</f>
        <v>0</v>
      </c>
    </row>
    <row r="1505">
      <c r="A1505" t="n" s="2909">
        <v>31</v>
      </c>
      <c r="AA1505" t="n" s="2909">
        <v>21</v>
      </c>
      <c r="AB1505" t="inlineStr" s="2909">
        <is>
          <t>20250701</t>
        </is>
      </c>
      <c r="AD1505" t="n" s="2909">
        <v>0</v>
      </c>
      <c r="AE1505" t="inlineStr" s="2909">
        <is>
          <t>00000000</t>
        </is>
      </c>
      <c r="AH1505" t="n" s="2909">
        <v>1</v>
      </c>
      <c r="AJ1505" t="n" s="2909">
        <v>41</v>
      </c>
      <c r="AP1505" t="n" s="2909">
        <v>200000</v>
      </c>
      <c r="DB1505" s="2909" t="str">
        <f>IF($A1505="","",IF($AH1505=20,IF(AND(OR($A1505=21,$A1505=215),$AJ1505=10),"①病院一般",IF(AND($A1505=31,$AJ1505=41),"②病院短期","対象外")),IF($AJ1505=30,"③特定消防",IF(AND(OR($A1505=21,$A1505=215),$AJ1505=10),"④一般",IF(AND($A1505=31,$AJ1505=41),"⑤短期","対象外")))))</f>
        <v>⑤短期</v>
      </c>
      <c r="DC1505" s="2909">
        <f>IF($A1505="","",IF($AB1505&amp;""='DB_設定'!$C$4,1,0))</f>
        <v>0</v>
      </c>
    </row>
    <row r="1506">
      <c r="A1506" t="n" s="2909">
        <v>31</v>
      </c>
      <c r="AA1506" t="n" s="2909">
        <v>21</v>
      </c>
      <c r="AB1506" t="inlineStr" s="2909">
        <is>
          <t>20250701</t>
        </is>
      </c>
      <c r="AD1506" t="n" s="2909">
        <v>0</v>
      </c>
      <c r="AE1506" t="inlineStr" s="2909">
        <is>
          <t>00000000</t>
        </is>
      </c>
      <c r="AH1506" t="n" s="2909">
        <v>1</v>
      </c>
      <c r="AJ1506" t="n" s="2909">
        <v>41</v>
      </c>
      <c r="AP1506" t="n" s="2909">
        <v>190000</v>
      </c>
      <c r="DB1506" s="2909" t="str">
        <f>IF($A1506="","",IF($AH1506=20,IF(AND(OR($A1506=21,$A1506=215),$AJ1506=10),"①病院一般",IF(AND($A1506=31,$AJ1506=41),"②病院短期","対象外")),IF($AJ1506=30,"③特定消防",IF(AND(OR($A1506=21,$A1506=215),$AJ1506=10),"④一般",IF(AND($A1506=31,$AJ1506=41),"⑤短期","対象外")))))</f>
        <v>⑤短期</v>
      </c>
      <c r="DC1506" s="2909">
        <f>IF($A1506="","",IF($AB1506&amp;""='DB_設定'!$C$4,1,0))</f>
        <v>0</v>
      </c>
    </row>
    <row r="1507">
      <c r="A1507" t="n" s="2909">
        <v>31</v>
      </c>
      <c r="AA1507" t="n" s="2909">
        <v>21</v>
      </c>
      <c r="AB1507" t="inlineStr" s="2909">
        <is>
          <t>20250701</t>
        </is>
      </c>
      <c r="AD1507" t="n" s="2909">
        <v>0</v>
      </c>
      <c r="AE1507" t="inlineStr" s="2909">
        <is>
          <t>00000000</t>
        </is>
      </c>
      <c r="AH1507" t="n" s="2909">
        <v>1</v>
      </c>
      <c r="AJ1507" t="n" s="2909">
        <v>41</v>
      </c>
      <c r="AP1507" t="n" s="2909">
        <v>190000</v>
      </c>
      <c r="DB1507" s="2909" t="str">
        <f>IF($A1507="","",IF($AH1507=20,IF(AND(OR($A1507=21,$A1507=215),$AJ1507=10),"①病院一般",IF(AND($A1507=31,$AJ1507=41),"②病院短期","対象外")),IF($AJ1507=30,"③特定消防",IF(AND(OR($A1507=21,$A1507=215),$AJ1507=10),"④一般",IF(AND($A1507=31,$AJ1507=41),"⑤短期","対象外")))))</f>
        <v>⑤短期</v>
      </c>
      <c r="DC1507" s="2909">
        <f>IF($A1507="","",IF($AB1507&amp;""='DB_設定'!$C$4,1,0))</f>
        <v>0</v>
      </c>
    </row>
    <row r="1508">
      <c r="A1508" t="n" s="2909">
        <v>31</v>
      </c>
      <c r="AA1508" t="n" s="2909">
        <v>21</v>
      </c>
      <c r="AB1508" t="inlineStr" s="2909">
        <is>
          <t>20250707</t>
        </is>
      </c>
      <c r="AD1508" t="n" s="2909">
        <v>0</v>
      </c>
      <c r="AE1508" t="inlineStr" s="2909">
        <is>
          <t>00000000</t>
        </is>
      </c>
      <c r="AH1508" t="n" s="2909">
        <v>1</v>
      </c>
      <c r="AJ1508" t="n" s="2909">
        <v>41</v>
      </c>
      <c r="AP1508" t="n" s="2909">
        <v>190000</v>
      </c>
      <c r="DB1508" s="2909" t="str">
        <f>IF($A1508="","",IF($AH1508=20,IF(AND(OR($A1508=21,$A1508=215),$AJ1508=10),"①病院一般",IF(AND($A1508=31,$AJ1508=41),"②病院短期","対象外")),IF($AJ1508=30,"③特定消防",IF(AND(OR($A1508=21,$A1508=215),$AJ1508=10),"④一般",IF(AND($A1508=31,$AJ1508=41),"⑤短期","対象外")))))</f>
        <v>⑤短期</v>
      </c>
      <c r="DC1508" s="2909">
        <f>IF($A1508="","",IF($AB1508&amp;""='DB_設定'!$C$4,1,0))</f>
        <v>0</v>
      </c>
    </row>
    <row r="1509">
      <c r="A1509" t="n" s="2909">
        <v>31</v>
      </c>
      <c r="AA1509" t="n" s="2909">
        <v>21</v>
      </c>
      <c r="AB1509" t="inlineStr" s="2909">
        <is>
          <t>20250701</t>
        </is>
      </c>
      <c r="AD1509" t="n" s="2909">
        <v>0</v>
      </c>
      <c r="AE1509" t="inlineStr" s="2909">
        <is>
          <t>00000000</t>
        </is>
      </c>
      <c r="AH1509" t="n" s="2909">
        <v>1</v>
      </c>
      <c r="AJ1509" t="n" s="2909">
        <v>41</v>
      </c>
      <c r="AP1509" t="n" s="2909">
        <v>190000</v>
      </c>
      <c r="DB1509" s="2909" t="str">
        <f>IF($A1509="","",IF($AH1509=20,IF(AND(OR($A1509=21,$A1509=215),$AJ1509=10),"①病院一般",IF(AND($A1509=31,$AJ1509=41),"②病院短期","対象外")),IF($AJ1509=30,"③特定消防",IF(AND(OR($A1509=21,$A1509=215),$AJ1509=10),"④一般",IF(AND($A1509=31,$AJ1509=41),"⑤短期","対象外")))))</f>
        <v>⑤短期</v>
      </c>
      <c r="DC1509" s="2909">
        <f>IF($A1509="","",IF($AB1509&amp;""='DB_設定'!$C$4,1,0))</f>
        <v>0</v>
      </c>
    </row>
    <row r="1510">
      <c r="A1510" t="n" s="2909">
        <v>31</v>
      </c>
      <c r="AA1510" t="n" s="2909">
        <v>21</v>
      </c>
      <c r="AB1510" t="inlineStr" s="2909">
        <is>
          <t>20250701</t>
        </is>
      </c>
      <c r="AD1510" t="n" s="2909">
        <v>0</v>
      </c>
      <c r="AE1510" t="inlineStr" s="2909">
        <is>
          <t>00000000</t>
        </is>
      </c>
      <c r="AH1510" t="n" s="2909">
        <v>1</v>
      </c>
      <c r="AJ1510" t="n" s="2909">
        <v>41</v>
      </c>
      <c r="AP1510" t="n" s="2909">
        <v>180000</v>
      </c>
      <c r="DB1510" s="2909" t="str">
        <f>IF($A1510="","",IF($AH1510=20,IF(AND(OR($A1510=21,$A1510=215),$AJ1510=10),"①病院一般",IF(AND($A1510=31,$AJ1510=41),"②病院短期","対象外")),IF($AJ1510=30,"③特定消防",IF(AND(OR($A1510=21,$A1510=215),$AJ1510=10),"④一般",IF(AND($A1510=31,$AJ1510=41),"⑤短期","対象外")))))</f>
        <v>⑤短期</v>
      </c>
      <c r="DC1510" s="2909">
        <f>IF($A1510="","",IF($AB1510&amp;""='DB_設定'!$C$4,1,0))</f>
        <v>0</v>
      </c>
    </row>
    <row r="1511">
      <c r="A1511" t="n" s="2909">
        <v>31</v>
      </c>
      <c r="AA1511" t="n" s="2909">
        <v>21</v>
      </c>
      <c r="AB1511" t="inlineStr" s="2909">
        <is>
          <t>20250701</t>
        </is>
      </c>
      <c r="AD1511" t="n" s="2909">
        <v>0</v>
      </c>
      <c r="AE1511" t="inlineStr" s="2909">
        <is>
          <t>00000000</t>
        </is>
      </c>
      <c r="AH1511" t="n" s="2909">
        <v>1</v>
      </c>
      <c r="AJ1511" t="n" s="2909">
        <v>41</v>
      </c>
      <c r="AP1511" t="n" s="2909">
        <v>220000</v>
      </c>
      <c r="DB1511" s="2909" t="str">
        <f>IF($A1511="","",IF($AH1511=20,IF(AND(OR($A1511=21,$A1511=215),$AJ1511=10),"①病院一般",IF(AND($A1511=31,$AJ1511=41),"②病院短期","対象外")),IF($AJ1511=30,"③特定消防",IF(AND(OR($A1511=21,$A1511=215),$AJ1511=10),"④一般",IF(AND($A1511=31,$AJ1511=41),"⑤短期","対象外")))))</f>
        <v>⑤短期</v>
      </c>
      <c r="DC1511" s="2909">
        <f>IF($A1511="","",IF($AB1511&amp;""='DB_設定'!$C$4,1,0))</f>
        <v>0</v>
      </c>
    </row>
    <row r="1512">
      <c r="A1512" t="n" s="2909">
        <v>31</v>
      </c>
      <c r="AA1512" t="n" s="2909">
        <v>21</v>
      </c>
      <c r="AB1512" t="inlineStr" s="2909">
        <is>
          <t>20250701</t>
        </is>
      </c>
      <c r="AD1512" t="n" s="2909">
        <v>0</v>
      </c>
      <c r="AE1512" t="inlineStr" s="2909">
        <is>
          <t>00000000</t>
        </is>
      </c>
      <c r="AH1512" t="n" s="2909">
        <v>1</v>
      </c>
      <c r="AJ1512" t="n" s="2909">
        <v>41</v>
      </c>
      <c r="AP1512" t="n" s="2909">
        <v>200000</v>
      </c>
      <c r="DB1512" s="2909" t="str">
        <f>IF($A1512="","",IF($AH1512=20,IF(AND(OR($A1512=21,$A1512=215),$AJ1512=10),"①病院一般",IF(AND($A1512=31,$AJ1512=41),"②病院短期","対象外")),IF($AJ1512=30,"③特定消防",IF(AND(OR($A1512=21,$A1512=215),$AJ1512=10),"④一般",IF(AND($A1512=31,$AJ1512=41),"⑤短期","対象外")))))</f>
        <v>⑤短期</v>
      </c>
      <c r="DC1512" s="2909">
        <f>IF($A1512="","",IF($AB1512&amp;""='DB_設定'!$C$4,1,0))</f>
        <v>0</v>
      </c>
    </row>
    <row r="1513">
      <c r="A1513" t="n" s="2909">
        <v>31</v>
      </c>
      <c r="AA1513" t="n" s="2909">
        <v>21</v>
      </c>
      <c r="AB1513" t="inlineStr" s="2909">
        <is>
          <t>20250701</t>
        </is>
      </c>
      <c r="AD1513" t="n" s="2909">
        <v>0</v>
      </c>
      <c r="AE1513" t="inlineStr" s="2909">
        <is>
          <t>00000000</t>
        </is>
      </c>
      <c r="AH1513" t="n" s="2909">
        <v>1</v>
      </c>
      <c r="AJ1513" t="n" s="2909">
        <v>41</v>
      </c>
      <c r="AP1513" t="n" s="2909">
        <v>200000</v>
      </c>
      <c r="DB1513" s="2909" t="str">
        <f>IF($A1513="","",IF($AH1513=20,IF(AND(OR($A1513=21,$A1513=215),$AJ1513=10),"①病院一般",IF(AND($A1513=31,$AJ1513=41),"②病院短期","対象外")),IF($AJ1513=30,"③特定消防",IF(AND(OR($A1513=21,$A1513=215),$AJ1513=10),"④一般",IF(AND($A1513=31,$AJ1513=41),"⑤短期","対象外")))))</f>
        <v>⑤短期</v>
      </c>
      <c r="DC1513" s="2909">
        <f>IF($A1513="","",IF($AB1513&amp;""='DB_設定'!$C$4,1,0))</f>
        <v>0</v>
      </c>
    </row>
    <row r="1514">
      <c r="A1514" t="n" s="2909">
        <v>31</v>
      </c>
      <c r="AA1514" t="n" s="2909">
        <v>21</v>
      </c>
      <c r="AB1514" t="inlineStr" s="2909">
        <is>
          <t>20250701</t>
        </is>
      </c>
      <c r="AD1514" t="n" s="2909">
        <v>0</v>
      </c>
      <c r="AE1514" t="inlineStr" s="2909">
        <is>
          <t>00000000</t>
        </is>
      </c>
      <c r="AH1514" t="n" s="2909">
        <v>1</v>
      </c>
      <c r="AJ1514" t="n" s="2909">
        <v>41</v>
      </c>
      <c r="AP1514" t="n" s="2909">
        <v>200000</v>
      </c>
      <c r="DB1514" s="2909" t="str">
        <f>IF($A1514="","",IF($AH1514=20,IF(AND(OR($A1514=21,$A1514=215),$AJ1514=10),"①病院一般",IF(AND($A1514=31,$AJ1514=41),"②病院短期","対象外")),IF($AJ1514=30,"③特定消防",IF(AND(OR($A1514=21,$A1514=215),$AJ1514=10),"④一般",IF(AND($A1514=31,$AJ1514=41),"⑤短期","対象外")))))</f>
        <v>⑤短期</v>
      </c>
      <c r="DC1514" s="2909">
        <f>IF($A1514="","",IF($AB1514&amp;""='DB_設定'!$C$4,1,0))</f>
        <v>0</v>
      </c>
    </row>
    <row r="1515">
      <c r="A1515" t="n" s="2909">
        <v>31</v>
      </c>
      <c r="AA1515" t="n" s="2909">
        <v>21</v>
      </c>
      <c r="AB1515" t="inlineStr" s="2909">
        <is>
          <t>20250707</t>
        </is>
      </c>
      <c r="AD1515" t="n" s="2909">
        <v>0</v>
      </c>
      <c r="AE1515" t="inlineStr" s="2909">
        <is>
          <t>00000000</t>
        </is>
      </c>
      <c r="AH1515" t="n" s="2909">
        <v>1</v>
      </c>
      <c r="AJ1515" t="n" s="2909">
        <v>41</v>
      </c>
      <c r="AP1515" t="n" s="2909">
        <v>134000</v>
      </c>
      <c r="DB1515" s="2909" t="str">
        <f>IF($A1515="","",IF($AH1515=20,IF(AND(OR($A1515=21,$A1515=215),$AJ1515=10),"①病院一般",IF(AND($A1515=31,$AJ1515=41),"②病院短期","対象外")),IF($AJ1515=30,"③特定消防",IF(AND(OR($A1515=21,$A1515=215),$AJ1515=10),"④一般",IF(AND($A1515=31,$AJ1515=41),"⑤短期","対象外")))))</f>
        <v>⑤短期</v>
      </c>
      <c r="DC1515" s="2909">
        <f>IF($A1515="","",IF($AB1515&amp;""='DB_設定'!$C$4,1,0))</f>
        <v>0</v>
      </c>
    </row>
    <row r="1516">
      <c r="A1516" t="n" s="2909">
        <v>31</v>
      </c>
      <c r="AA1516" t="n" s="2909">
        <v>21</v>
      </c>
      <c r="AB1516" t="inlineStr" s="2909">
        <is>
          <t>20250801</t>
        </is>
      </c>
      <c r="AD1516" t="n" s="2909">
        <v>0</v>
      </c>
      <c r="AE1516" t="inlineStr" s="2909">
        <is>
          <t>00000000</t>
        </is>
      </c>
      <c r="AH1516" t="n" s="2909">
        <v>11</v>
      </c>
      <c r="AJ1516" t="n" s="2909">
        <v>41</v>
      </c>
      <c r="AP1516" t="n" s="2909">
        <v>180000</v>
      </c>
      <c r="DB1516" s="2909" t="str">
        <f>IF($A1516="","",IF($AH1516=20,IF(AND(OR($A1516=21,$A1516=215),$AJ1516=10),"①病院一般",IF(AND($A1516=31,$AJ1516=41),"②病院短期","対象外")),IF($AJ1516=30,"③特定消防",IF(AND(OR($A1516=21,$A1516=215),$AJ1516=10),"④一般",IF(AND($A1516=31,$AJ1516=41),"⑤短期","対象外")))))</f>
        <v>⑤短期</v>
      </c>
      <c r="DC1516" s="2909">
        <f>IF($A1516="","",IF($AB1516&amp;""='DB_設定'!$C$4,1,0))</f>
        <v>0</v>
      </c>
    </row>
    <row r="1517">
      <c r="A1517" t="n" s="2909">
        <v>31</v>
      </c>
      <c r="AA1517" t="n" s="2909">
        <v>21</v>
      </c>
      <c r="AB1517" t="inlineStr" s="2909">
        <is>
          <t>20250801</t>
        </is>
      </c>
      <c r="AD1517" t="n" s="2909">
        <v>0</v>
      </c>
      <c r="AE1517" t="inlineStr" s="2909">
        <is>
          <t>00000000</t>
        </is>
      </c>
      <c r="AH1517" t="n" s="2909">
        <v>1</v>
      </c>
      <c r="AJ1517" t="n" s="2909">
        <v>41</v>
      </c>
      <c r="AP1517" t="n" s="2909">
        <v>190000</v>
      </c>
      <c r="DB1517" s="2909" t="str">
        <f>IF($A1517="","",IF($AH1517=20,IF(AND(OR($A1517=21,$A1517=215),$AJ1517=10),"①病院一般",IF(AND($A1517=31,$AJ1517=41),"②病院短期","対象外")),IF($AJ1517=30,"③特定消防",IF(AND(OR($A1517=21,$A1517=215),$AJ1517=10),"④一般",IF(AND($A1517=31,$AJ1517=41),"⑤短期","対象外")))))</f>
        <v>⑤短期</v>
      </c>
      <c r="DC1517" s="2909">
        <f>IF($A1517="","",IF($AB1517&amp;""='DB_設定'!$C$4,1,0))</f>
        <v>0</v>
      </c>
    </row>
    <row r="1518">
      <c r="A1518" t="n" s="2909">
        <v>31</v>
      </c>
      <c r="AA1518" t="n" s="2909">
        <v>21</v>
      </c>
      <c r="AB1518" t="inlineStr" s="2909">
        <is>
          <t>20250801</t>
        </is>
      </c>
      <c r="AD1518" t="n" s="2909">
        <v>0</v>
      </c>
      <c r="AE1518" t="inlineStr" s="2909">
        <is>
          <t>00000000</t>
        </is>
      </c>
      <c r="AH1518" t="n" s="2909">
        <v>1</v>
      </c>
      <c r="AJ1518" t="n" s="2909">
        <v>41</v>
      </c>
      <c r="AP1518" t="n" s="2909">
        <v>142000</v>
      </c>
      <c r="DB1518" s="2909" t="str">
        <f>IF($A1518="","",IF($AH1518=20,IF(AND(OR($A1518=21,$A1518=215),$AJ1518=10),"①病院一般",IF(AND($A1518=31,$AJ1518=41),"②病院短期","対象外")),IF($AJ1518=30,"③特定消防",IF(AND(OR($A1518=21,$A1518=215),$AJ1518=10),"④一般",IF(AND($A1518=31,$AJ1518=41),"⑤短期","対象外")))))</f>
        <v>⑤短期</v>
      </c>
      <c r="DC1518" s="2909">
        <f>IF($A1518="","",IF($AB1518&amp;""='DB_設定'!$C$4,1,0))</f>
        <v>0</v>
      </c>
    </row>
    <row r="1519">
      <c r="A1519" t="n" s="2909">
        <v>31</v>
      </c>
      <c r="AA1519" t="n" s="2909">
        <v>21</v>
      </c>
      <c r="AB1519" t="inlineStr" s="2909">
        <is>
          <t>20250801</t>
        </is>
      </c>
      <c r="AD1519" t="n" s="2909">
        <v>0</v>
      </c>
      <c r="AE1519" t="inlineStr" s="2909">
        <is>
          <t>00000000</t>
        </is>
      </c>
      <c r="AH1519" t="n" s="2909">
        <v>1</v>
      </c>
      <c r="AJ1519" t="n" s="2909">
        <v>41</v>
      </c>
      <c r="AP1519" t="n" s="2909">
        <v>142000</v>
      </c>
      <c r="DB1519" s="2909" t="str">
        <f>IF($A1519="","",IF($AH1519=20,IF(AND(OR($A1519=21,$A1519=215),$AJ1519=10),"①病院一般",IF(AND($A1519=31,$AJ1519=41),"②病院短期","対象外")),IF($AJ1519=30,"③特定消防",IF(AND(OR($A1519=21,$A1519=215),$AJ1519=10),"④一般",IF(AND($A1519=31,$AJ1519=41),"⑤短期","対象外")))))</f>
        <v>⑤短期</v>
      </c>
      <c r="DC1519" s="2909">
        <f>IF($A1519="","",IF($AB1519&amp;""='DB_設定'!$C$4,1,0))</f>
        <v>0</v>
      </c>
    </row>
    <row r="1520">
      <c r="A1520" t="n" s="2909">
        <v>31</v>
      </c>
      <c r="AA1520" t="n" s="2909">
        <v>21</v>
      </c>
      <c r="AB1520" t="inlineStr" s="2909">
        <is>
          <t>20250801</t>
        </is>
      </c>
      <c r="AD1520" t="n" s="2909">
        <v>0</v>
      </c>
      <c r="AE1520" t="inlineStr" s="2909">
        <is>
          <t>00000000</t>
        </is>
      </c>
      <c r="AH1520" t="n" s="2909">
        <v>1</v>
      </c>
      <c r="AJ1520" t="n" s="2909">
        <v>41</v>
      </c>
      <c r="AP1520" t="n" s="2909">
        <v>142000</v>
      </c>
      <c r="DB1520" s="2909" t="str">
        <f>IF($A1520="","",IF($AH1520=20,IF(AND(OR($A1520=21,$A1520=215),$AJ1520=10),"①病院一般",IF(AND($A1520=31,$AJ1520=41),"②病院短期","対象外")),IF($AJ1520=30,"③特定消防",IF(AND(OR($A1520=21,$A1520=215),$AJ1520=10),"④一般",IF(AND($A1520=31,$AJ1520=41),"⑤短期","対象外")))))</f>
        <v>⑤短期</v>
      </c>
      <c r="DC1520" s="2909">
        <f>IF($A1520="","",IF($AB1520&amp;""='DB_設定'!$C$4,1,0))</f>
        <v>0</v>
      </c>
    </row>
    <row r="1521">
      <c r="A1521" t="n" s="2909">
        <v>31</v>
      </c>
      <c r="AA1521" t="n" s="2909">
        <v>21</v>
      </c>
      <c r="AB1521" t="inlineStr" s="2909">
        <is>
          <t>20250801</t>
        </is>
      </c>
      <c r="AD1521" t="n" s="2909">
        <v>0</v>
      </c>
      <c r="AE1521" t="inlineStr" s="2909">
        <is>
          <t>00000000</t>
        </is>
      </c>
      <c r="AH1521" t="n" s="2909">
        <v>1</v>
      </c>
      <c r="AJ1521" t="n" s="2909">
        <v>41</v>
      </c>
      <c r="AP1521" t="n" s="2909">
        <v>142000</v>
      </c>
      <c r="DB1521" s="2909" t="str">
        <f>IF($A1521="","",IF($AH1521=20,IF(AND(OR($A1521=21,$A1521=215),$AJ1521=10),"①病院一般",IF(AND($A1521=31,$AJ1521=41),"②病院短期","対象外")),IF($AJ1521=30,"③特定消防",IF(AND(OR($A1521=21,$A1521=215),$AJ1521=10),"④一般",IF(AND($A1521=31,$AJ1521=41),"⑤短期","対象外")))))</f>
        <v>⑤短期</v>
      </c>
      <c r="DC1521" s="2909">
        <f>IF($A1521="","",IF($AB1521&amp;""='DB_設定'!$C$4,1,0))</f>
        <v>0</v>
      </c>
    </row>
    <row r="1522">
      <c r="A1522" t="n" s="2909">
        <v>31</v>
      </c>
      <c r="AA1522" t="n" s="2909">
        <v>21</v>
      </c>
      <c r="AB1522" t="inlineStr" s="2909">
        <is>
          <t>20250801</t>
        </is>
      </c>
      <c r="AD1522" t="n" s="2909">
        <v>0</v>
      </c>
      <c r="AE1522" t="inlineStr" s="2909">
        <is>
          <t>00000000</t>
        </is>
      </c>
      <c r="AH1522" t="n" s="2909">
        <v>1</v>
      </c>
      <c r="AJ1522" t="n" s="2909">
        <v>41</v>
      </c>
      <c r="AP1522" t="n" s="2909">
        <v>260000</v>
      </c>
      <c r="DB1522" s="2909" t="str">
        <f>IF($A1522="","",IF($AH1522=20,IF(AND(OR($A1522=21,$A1522=215),$AJ1522=10),"①病院一般",IF(AND($A1522=31,$AJ1522=41),"②病院短期","対象外")),IF($AJ1522=30,"③特定消防",IF(AND(OR($A1522=21,$A1522=215),$AJ1522=10),"④一般",IF(AND($A1522=31,$AJ1522=41),"⑤短期","対象外")))))</f>
        <v>⑤短期</v>
      </c>
      <c r="DC1522" s="2909">
        <f>IF($A1522="","",IF($AB1522&amp;""='DB_設定'!$C$4,1,0))</f>
        <v>0</v>
      </c>
    </row>
    <row r="1523">
      <c r="A1523" t="n" s="2909">
        <v>31</v>
      </c>
      <c r="AA1523" t="n" s="2909">
        <v>21</v>
      </c>
      <c r="AB1523" t="inlineStr" s="2909">
        <is>
          <t>20250801</t>
        </is>
      </c>
      <c r="AD1523" t="n" s="2909">
        <v>0</v>
      </c>
      <c r="AE1523" t="inlineStr" s="2909">
        <is>
          <t>00000000</t>
        </is>
      </c>
      <c r="AH1523" t="n" s="2909">
        <v>1</v>
      </c>
      <c r="AJ1523" t="n" s="2909">
        <v>41</v>
      </c>
      <c r="AP1523" t="n" s="2909">
        <v>126000</v>
      </c>
      <c r="DB1523" s="2909" t="str">
        <f>IF($A1523="","",IF($AH1523=20,IF(AND(OR($A1523=21,$A1523=215),$AJ1523=10),"①病院一般",IF(AND($A1523=31,$AJ1523=41),"②病院短期","対象外")),IF($AJ1523=30,"③特定消防",IF(AND(OR($A1523=21,$A1523=215),$AJ1523=10),"④一般",IF(AND($A1523=31,$AJ1523=41),"⑤短期","対象外")))))</f>
        <v>⑤短期</v>
      </c>
      <c r="DC1523" s="2909">
        <f>IF($A1523="","",IF($AB1523&amp;""='DB_設定'!$C$4,1,0))</f>
        <v>0</v>
      </c>
    </row>
    <row r="1524">
      <c r="A1524" t="n" s="2909">
        <v>31</v>
      </c>
      <c r="AA1524" t="n" s="2909">
        <v>21</v>
      </c>
      <c r="AB1524" t="inlineStr" s="2909">
        <is>
          <t>20250801</t>
        </is>
      </c>
      <c r="AD1524" t="n" s="2909">
        <v>0</v>
      </c>
      <c r="AE1524" t="inlineStr" s="2909">
        <is>
          <t>00000000</t>
        </is>
      </c>
      <c r="AH1524" t="n" s="2909">
        <v>1</v>
      </c>
      <c r="AJ1524" t="n" s="2909">
        <v>41</v>
      </c>
      <c r="AP1524" t="n" s="2909">
        <v>126000</v>
      </c>
      <c r="DB1524" s="2909" t="str">
        <f>IF($A1524="","",IF($AH1524=20,IF(AND(OR($A1524=21,$A1524=215),$AJ1524=10),"①病院一般",IF(AND($A1524=31,$AJ1524=41),"②病院短期","対象外")),IF($AJ1524=30,"③特定消防",IF(AND(OR($A1524=21,$A1524=215),$AJ1524=10),"④一般",IF(AND($A1524=31,$AJ1524=41),"⑤短期","対象外")))))</f>
        <v>⑤短期</v>
      </c>
      <c r="DC1524" s="2909">
        <f>IF($A1524="","",IF($AB1524&amp;""='DB_設定'!$C$4,1,0))</f>
        <v>0</v>
      </c>
    </row>
    <row r="1525">
      <c r="A1525" t="n" s="2909">
        <v>31</v>
      </c>
      <c r="AA1525" t="n" s="2909">
        <v>21</v>
      </c>
      <c r="AB1525" t="inlineStr" s="2909">
        <is>
          <t>20250801</t>
        </is>
      </c>
      <c r="AD1525" t="n" s="2909">
        <v>0</v>
      </c>
      <c r="AE1525" t="inlineStr" s="2909">
        <is>
          <t>00000000</t>
        </is>
      </c>
      <c r="AH1525" t="n" s="2909">
        <v>1</v>
      </c>
      <c r="AJ1525" t="n" s="2909">
        <v>41</v>
      </c>
      <c r="AP1525" t="n" s="2909">
        <v>118000</v>
      </c>
      <c r="DB1525" s="2909" t="str">
        <f>IF($A1525="","",IF($AH1525=20,IF(AND(OR($A1525=21,$A1525=215),$AJ1525=10),"①病院一般",IF(AND($A1525=31,$AJ1525=41),"②病院短期","対象外")),IF($AJ1525=30,"③特定消防",IF(AND(OR($A1525=21,$A1525=215),$AJ1525=10),"④一般",IF(AND($A1525=31,$AJ1525=41),"⑤短期","対象外")))))</f>
        <v>⑤短期</v>
      </c>
      <c r="DC1525" s="2909">
        <f>IF($A1525="","",IF($AB1525&amp;""='DB_設定'!$C$4,1,0))</f>
        <v>0</v>
      </c>
    </row>
    <row r="1526">
      <c r="A1526" t="n" s="2909">
        <v>31</v>
      </c>
      <c r="AA1526" t="n" s="2909">
        <v>21</v>
      </c>
      <c r="AB1526" t="inlineStr" s="2909">
        <is>
          <t>20250801</t>
        </is>
      </c>
      <c r="AD1526" t="n" s="2909">
        <v>0</v>
      </c>
      <c r="AE1526" t="inlineStr" s="2909">
        <is>
          <t>00000000</t>
        </is>
      </c>
      <c r="AH1526" t="n" s="2909">
        <v>1</v>
      </c>
      <c r="AJ1526" t="n" s="2909">
        <v>41</v>
      </c>
      <c r="AP1526" t="n" s="2909">
        <v>126000</v>
      </c>
      <c r="DB1526" s="2909" t="str">
        <f>IF($A1526="","",IF($AH1526=20,IF(AND(OR($A1526=21,$A1526=215),$AJ1526=10),"①病院一般",IF(AND($A1526=31,$AJ1526=41),"②病院短期","対象外")),IF($AJ1526=30,"③特定消防",IF(AND(OR($A1526=21,$A1526=215),$AJ1526=10),"④一般",IF(AND($A1526=31,$AJ1526=41),"⑤短期","対象外")))))</f>
        <v>⑤短期</v>
      </c>
      <c r="DC1526" s="2909">
        <f>IF($A1526="","",IF($AB1526&amp;""='DB_設定'!$C$4,1,0))</f>
        <v>0</v>
      </c>
    </row>
    <row r="1527">
      <c r="A1527" t="n" s="2909">
        <v>31</v>
      </c>
      <c r="AA1527" t="n" s="2909">
        <v>21</v>
      </c>
      <c r="AB1527" t="inlineStr" s="2909">
        <is>
          <t>20250801</t>
        </is>
      </c>
      <c r="AD1527" t="n" s="2909">
        <v>0</v>
      </c>
      <c r="AE1527" t="inlineStr" s="2909">
        <is>
          <t>00000000</t>
        </is>
      </c>
      <c r="AH1527" t="n" s="2909">
        <v>1</v>
      </c>
      <c r="AJ1527" t="n" s="2909">
        <v>41</v>
      </c>
      <c r="AP1527" t="n" s="2909">
        <v>118000</v>
      </c>
      <c r="DB1527" s="2909" t="str">
        <f>IF($A1527="","",IF($AH1527=20,IF(AND(OR($A1527=21,$A1527=215),$AJ1527=10),"①病院一般",IF(AND($A1527=31,$AJ1527=41),"②病院短期","対象外")),IF($AJ1527=30,"③特定消防",IF(AND(OR($A1527=21,$A1527=215),$AJ1527=10),"④一般",IF(AND($A1527=31,$AJ1527=41),"⑤短期","対象外")))))</f>
        <v>⑤短期</v>
      </c>
      <c r="DC1527" s="2909">
        <f>IF($A1527="","",IF($AB1527&amp;""='DB_設定'!$C$4,1,0))</f>
        <v>0</v>
      </c>
    </row>
    <row r="1528">
      <c r="A1528" t="n" s="2909">
        <v>31</v>
      </c>
      <c r="AA1528" t="n" s="2909">
        <v>21</v>
      </c>
      <c r="AB1528" t="inlineStr" s="2909">
        <is>
          <t>20250801</t>
        </is>
      </c>
      <c r="AD1528" t="n" s="2909">
        <v>0</v>
      </c>
      <c r="AE1528" t="inlineStr" s="2909">
        <is>
          <t>00000000</t>
        </is>
      </c>
      <c r="AH1528" t="n" s="2909">
        <v>1</v>
      </c>
      <c r="AJ1528" t="n" s="2909">
        <v>41</v>
      </c>
      <c r="AP1528" t="n" s="2909">
        <v>118000</v>
      </c>
      <c r="DB1528" s="2909" t="str">
        <f>IF($A1528="","",IF($AH1528=20,IF(AND(OR($A1528=21,$A1528=215),$AJ1528=10),"①病院一般",IF(AND($A1528=31,$AJ1528=41),"②病院短期","対象外")),IF($AJ1528=30,"③特定消防",IF(AND(OR($A1528=21,$A1528=215),$AJ1528=10),"④一般",IF(AND($A1528=31,$AJ1528=41),"⑤短期","対象外")))))</f>
        <v>⑤短期</v>
      </c>
      <c r="DC1528" s="2909">
        <f>IF($A1528="","",IF($AB1528&amp;""='DB_設定'!$C$4,1,0))</f>
        <v>0</v>
      </c>
    </row>
    <row r="1529">
      <c r="A1529" t="n" s="2909">
        <v>31</v>
      </c>
      <c r="AA1529" t="n" s="2909">
        <v>21</v>
      </c>
      <c r="AB1529" t="inlineStr" s="2909">
        <is>
          <t>20250730</t>
        </is>
      </c>
      <c r="AD1529" t="n" s="2909">
        <v>0</v>
      </c>
      <c r="AE1529" t="inlineStr" s="2909">
        <is>
          <t>00000000</t>
        </is>
      </c>
      <c r="AH1529" t="n" s="2909">
        <v>11</v>
      </c>
      <c r="AJ1529" t="n" s="2909">
        <v>41</v>
      </c>
      <c r="AP1529" t="n" s="2909">
        <v>180000</v>
      </c>
      <c r="DB1529" s="2909" t="str">
        <f>IF($A1529="","",IF($AH1529=20,IF(AND(OR($A1529=21,$A1529=215),$AJ1529=10),"①病院一般",IF(AND($A1529=31,$AJ1529=41),"②病院短期","対象外")),IF($AJ1529=30,"③特定消防",IF(AND(OR($A1529=21,$A1529=215),$AJ1529=10),"④一般",IF(AND($A1529=31,$AJ1529=41),"⑤短期","対象外")))))</f>
        <v>⑤短期</v>
      </c>
      <c r="DC1529" s="2909">
        <f>IF($A1529="","",IF($AB1529&amp;""='DB_設定'!$C$4,1,0))</f>
        <v>0</v>
      </c>
    </row>
    <row r="1530">
      <c r="A1530" t="n" s="2909">
        <v>31</v>
      </c>
      <c r="AA1530" t="n" s="2909">
        <v>21</v>
      </c>
      <c r="AB1530" t="inlineStr" s="2909">
        <is>
          <t>20250730</t>
        </is>
      </c>
      <c r="AD1530" t="n" s="2909">
        <v>0</v>
      </c>
      <c r="AE1530" t="inlineStr" s="2909">
        <is>
          <t>00000000</t>
        </is>
      </c>
      <c r="AH1530" t="n" s="2909">
        <v>11</v>
      </c>
      <c r="AJ1530" t="n" s="2909">
        <v>41</v>
      </c>
      <c r="AP1530" t="n" s="2909">
        <v>180000</v>
      </c>
      <c r="DB1530" s="2909" t="str">
        <f>IF($A1530="","",IF($AH1530=20,IF(AND(OR($A1530=21,$A1530=215),$AJ1530=10),"①病院一般",IF(AND($A1530=31,$AJ1530=41),"②病院短期","対象外")),IF($AJ1530=30,"③特定消防",IF(AND(OR($A1530=21,$A1530=215),$AJ1530=10),"④一般",IF(AND($A1530=31,$AJ1530=41),"⑤短期","対象外")))))</f>
        <v>⑤短期</v>
      </c>
      <c r="DC1530" s="2909">
        <f>IF($A1530="","",IF($AB1530&amp;""='DB_設定'!$C$4,1,0))</f>
        <v>0</v>
      </c>
    </row>
    <row r="1531">
      <c r="A1531" t="n" s="2909">
        <v>31</v>
      </c>
      <c r="AA1531" t="n" s="2909">
        <v>21</v>
      </c>
      <c r="AB1531" t="inlineStr" s="2909">
        <is>
          <t>20250901</t>
        </is>
      </c>
      <c r="AD1531" t="n" s="2909">
        <v>0</v>
      </c>
      <c r="AE1531" t="inlineStr" s="2909">
        <is>
          <t>00000000</t>
        </is>
      </c>
      <c r="AH1531" t="n" s="2909">
        <v>1</v>
      </c>
      <c r="AJ1531" t="n" s="2909">
        <v>41</v>
      </c>
      <c r="AP1531" t="n" s="2909">
        <v>200000</v>
      </c>
      <c r="DB1531" s="2909" t="str">
        <f>IF($A1531="","",IF($AH1531=20,IF(AND(OR($A1531=21,$A1531=215),$AJ1531=10),"①病院一般",IF(AND($A1531=31,$AJ1531=41),"②病院短期","対象外")),IF($AJ1531=30,"③特定消防",IF(AND(OR($A1531=21,$A1531=215),$AJ1531=10),"④一般",IF(AND($A1531=31,$AJ1531=41),"⑤短期","対象外")))))</f>
        <v>⑤短期</v>
      </c>
      <c r="DC1531" s="2909">
        <f>IF($A1531="","",IF($AB1531&amp;""='DB_設定'!$C$4,1,0))</f>
        <v>0</v>
      </c>
    </row>
    <row r="1532">
      <c r="A1532" t="n" s="2909">
        <v>31</v>
      </c>
      <c r="AA1532" t="n" s="2909">
        <v>21</v>
      </c>
      <c r="AB1532" t="inlineStr" s="2909">
        <is>
          <t>20250827</t>
        </is>
      </c>
      <c r="AD1532" t="n" s="2909">
        <v>0</v>
      </c>
      <c r="AE1532" t="inlineStr" s="2909">
        <is>
          <t>00000000</t>
        </is>
      </c>
      <c r="AH1532" t="n" s="2909">
        <v>11</v>
      </c>
      <c r="AJ1532" t="n" s="2909">
        <v>41</v>
      </c>
      <c r="AP1532" t="n" s="2909">
        <v>110000</v>
      </c>
      <c r="DB1532" s="2909" t="str">
        <f>IF($A1532="","",IF($AH1532=20,IF(AND(OR($A1532=21,$A1532=215),$AJ1532=10),"①病院一般",IF(AND($A1532=31,$AJ1532=41),"②病院短期","対象外")),IF($AJ1532=30,"③特定消防",IF(AND(OR($A1532=21,$A1532=215),$AJ1532=10),"④一般",IF(AND($A1532=31,$AJ1532=41),"⑤短期","対象外")))))</f>
        <v>⑤短期</v>
      </c>
      <c r="DC1532" s="2909">
        <f>IF($A1532="","",IF($AB1532&amp;""='DB_設定'!$C$4,1,0))</f>
        <v>0</v>
      </c>
    </row>
    <row r="1533">
      <c r="A1533" t="n" s="2909">
        <v>31</v>
      </c>
      <c r="AA1533" t="n" s="2909">
        <v>21</v>
      </c>
      <c r="AB1533" t="inlineStr" s="2909">
        <is>
          <t>20250821</t>
        </is>
      </c>
      <c r="AD1533" t="n" s="2909">
        <v>0</v>
      </c>
      <c r="AE1533" t="inlineStr" s="2909">
        <is>
          <t>00000000</t>
        </is>
      </c>
      <c r="AH1533" t="n" s="2909">
        <v>11</v>
      </c>
      <c r="AJ1533" t="n" s="2909">
        <v>41</v>
      </c>
      <c r="AP1533" t="n" s="2909">
        <v>110000</v>
      </c>
      <c r="DB1533" s="2909" t="str">
        <f>IF($A1533="","",IF($AH1533=20,IF(AND(OR($A1533=21,$A1533=215),$AJ1533=10),"①病院一般",IF(AND($A1533=31,$AJ1533=41),"②病院短期","対象外")),IF($AJ1533=30,"③特定消防",IF(AND(OR($A1533=21,$A1533=215),$AJ1533=10),"④一般",IF(AND($A1533=31,$AJ1533=41),"⑤短期","対象外")))))</f>
        <v>⑤短期</v>
      </c>
      <c r="DC1533" s="2909">
        <f>IF($A1533="","",IF($AB1533&amp;""='DB_設定'!$C$4,1,0))</f>
        <v>0</v>
      </c>
    </row>
    <row r="1534">
      <c r="A1534" t="n" s="2909">
        <v>31</v>
      </c>
      <c r="AA1534" t="n" s="2909">
        <v>21</v>
      </c>
      <c r="AB1534" t="inlineStr" s="2909">
        <is>
          <t>20250821</t>
        </is>
      </c>
      <c r="AD1534" t="n" s="2909">
        <v>0</v>
      </c>
      <c r="AE1534" t="inlineStr" s="2909">
        <is>
          <t>00000000</t>
        </is>
      </c>
      <c r="AH1534" t="n" s="2909">
        <v>11</v>
      </c>
      <c r="AJ1534" t="n" s="2909">
        <v>41</v>
      </c>
      <c r="AP1534" t="n" s="2909">
        <v>110000</v>
      </c>
      <c r="DB1534" s="2909" t="str">
        <f>IF($A1534="","",IF($AH1534=20,IF(AND(OR($A1534=21,$A1534=215),$AJ1534=10),"①病院一般",IF(AND($A1534=31,$AJ1534=41),"②病院短期","対象外")),IF($AJ1534=30,"③特定消防",IF(AND(OR($A1534=21,$A1534=215),$AJ1534=10),"④一般",IF(AND($A1534=31,$AJ1534=41),"⑤短期","対象外")))))</f>
        <v>⑤短期</v>
      </c>
      <c r="DC1534" s="2909">
        <f>IF($A1534="","",IF($AB1534&amp;""='DB_設定'!$C$4,1,0))</f>
        <v>0</v>
      </c>
    </row>
    <row r="1535">
      <c r="A1535" t="n" s="2909">
        <v>31</v>
      </c>
      <c r="AA1535" t="n" s="2909">
        <v>21</v>
      </c>
      <c r="AB1535" t="inlineStr" s="2909">
        <is>
          <t>20250821</t>
        </is>
      </c>
      <c r="AD1535" t="n" s="2909">
        <v>0</v>
      </c>
      <c r="AE1535" t="inlineStr" s="2909">
        <is>
          <t>00000000</t>
        </is>
      </c>
      <c r="AH1535" t="n" s="2909">
        <v>11</v>
      </c>
      <c r="AJ1535" t="n" s="2909">
        <v>41</v>
      </c>
      <c r="AP1535" t="n" s="2909">
        <v>104000</v>
      </c>
      <c r="DB1535" s="2909" t="str">
        <f>IF($A1535="","",IF($AH1535=20,IF(AND(OR($A1535=21,$A1535=215),$AJ1535=10),"①病院一般",IF(AND($A1535=31,$AJ1535=41),"②病院短期","対象外")),IF($AJ1535=30,"③特定消防",IF(AND(OR($A1535=21,$A1535=215),$AJ1535=10),"④一般",IF(AND($A1535=31,$AJ1535=41),"⑤短期","対象外")))))</f>
        <v>⑤短期</v>
      </c>
      <c r="DC1535" s="2909">
        <f>IF($A1535="","",IF($AB1535&amp;""='DB_設定'!$C$4,1,0))</f>
        <v>0</v>
      </c>
    </row>
    <row r="1536">
      <c r="A1536" t="n" s="2909">
        <v>31</v>
      </c>
      <c r="AA1536" t="n" s="2909">
        <v>21</v>
      </c>
      <c r="AB1536" t="inlineStr" s="2909">
        <is>
          <t>20250901</t>
        </is>
      </c>
      <c r="AD1536" t="n" s="2909">
        <v>0</v>
      </c>
      <c r="AE1536" t="inlineStr" s="2909">
        <is>
          <t>00000000</t>
        </is>
      </c>
      <c r="AH1536" t="n" s="2909">
        <v>1</v>
      </c>
      <c r="AJ1536" t="n" s="2909">
        <v>41</v>
      </c>
      <c r="AP1536" t="n" s="2909">
        <v>190000</v>
      </c>
      <c r="DB1536" s="2909" t="str">
        <f>IF($A1536="","",IF($AH1536=20,IF(AND(OR($A1536=21,$A1536=215),$AJ1536=10),"①病院一般",IF(AND($A1536=31,$AJ1536=41),"②病院短期","対象外")),IF($AJ1536=30,"③特定消防",IF(AND(OR($A1536=21,$A1536=215),$AJ1536=10),"④一般",IF(AND($A1536=31,$AJ1536=41),"⑤短期","対象外")))))</f>
        <v>⑤短期</v>
      </c>
      <c r="DC1536" s="2909">
        <f>IF($A1536="","",IF($AB1536&amp;""='DB_設定'!$C$4,1,0))</f>
        <v>0</v>
      </c>
    </row>
    <row r="1537">
      <c r="A1537" t="n" s="2909">
        <v>31</v>
      </c>
      <c r="AA1537" t="n" s="2909">
        <v>21</v>
      </c>
      <c r="AB1537" t="inlineStr" s="2909">
        <is>
          <t>20250901</t>
        </is>
      </c>
      <c r="AD1537" t="n" s="2909">
        <v>0</v>
      </c>
      <c r="AE1537" t="inlineStr" s="2909">
        <is>
          <t>00000000</t>
        </is>
      </c>
      <c r="AH1537" t="n" s="2909">
        <v>1</v>
      </c>
      <c r="AJ1537" t="n" s="2909">
        <v>41</v>
      </c>
      <c r="AP1537" t="n" s="2909">
        <v>190000</v>
      </c>
      <c r="DB1537" s="2909" t="str">
        <f>IF($A1537="","",IF($AH1537=20,IF(AND(OR($A1537=21,$A1537=215),$AJ1537=10),"①病院一般",IF(AND($A1537=31,$AJ1537=41),"②病院短期","対象外")),IF($AJ1537=30,"③特定消防",IF(AND(OR($A1537=21,$A1537=215),$AJ1537=10),"④一般",IF(AND($A1537=31,$AJ1537=41),"⑤短期","対象外")))))</f>
        <v>⑤短期</v>
      </c>
      <c r="DC1537" s="2909">
        <f>IF($A1537="","",IF($AB1537&amp;""='DB_設定'!$C$4,1,0))</f>
        <v>0</v>
      </c>
    </row>
    <row r="1538">
      <c r="A1538" t="n" s="2909">
        <v>31</v>
      </c>
      <c r="AA1538" t="n" s="2909">
        <v>21</v>
      </c>
      <c r="AB1538" t="inlineStr" s="2909">
        <is>
          <t>20250901</t>
        </is>
      </c>
      <c r="AD1538" t="n" s="2909">
        <v>0</v>
      </c>
      <c r="AE1538" t="inlineStr" s="2909">
        <is>
          <t>00000000</t>
        </is>
      </c>
      <c r="AH1538" t="n" s="2909">
        <v>1</v>
      </c>
      <c r="AJ1538" t="n" s="2909">
        <v>41</v>
      </c>
      <c r="AP1538" t="n" s="2909">
        <v>190000</v>
      </c>
      <c r="DB1538" s="2909" t="str">
        <f>IF($A1538="","",IF($AH1538=20,IF(AND(OR($A1538=21,$A1538=215),$AJ1538=10),"①病院一般",IF(AND($A1538=31,$AJ1538=41),"②病院短期","対象外")),IF($AJ1538=30,"③特定消防",IF(AND(OR($A1538=21,$A1538=215),$AJ1538=10),"④一般",IF(AND($A1538=31,$AJ1538=41),"⑤短期","対象外")))))</f>
        <v>⑤短期</v>
      </c>
      <c r="DC1538" s="2909">
        <f>IF($A1538="","",IF($AB1538&amp;""='DB_設定'!$C$4,1,0))</f>
        <v>0</v>
      </c>
    </row>
    <row r="1539">
      <c r="A1539" t="n" s="2909">
        <v>31</v>
      </c>
      <c r="AA1539" t="n" s="2909">
        <v>21</v>
      </c>
      <c r="AB1539" t="inlineStr" s="2909">
        <is>
          <t>20250901</t>
        </is>
      </c>
      <c r="AD1539" t="n" s="2909">
        <v>0</v>
      </c>
      <c r="AE1539" t="inlineStr" s="2909">
        <is>
          <t>00000000</t>
        </is>
      </c>
      <c r="AH1539" t="n" s="2909">
        <v>1</v>
      </c>
      <c r="AJ1539" t="n" s="2909">
        <v>41</v>
      </c>
      <c r="AP1539" t="n" s="2909">
        <v>190000</v>
      </c>
      <c r="DB1539" s="2909" t="str">
        <f>IF($A1539="","",IF($AH1539=20,IF(AND(OR($A1539=21,$A1539=215),$AJ1539=10),"①病院一般",IF(AND($A1539=31,$AJ1539=41),"②病院短期","対象外")),IF($AJ1539=30,"③特定消防",IF(AND(OR($A1539=21,$A1539=215),$AJ1539=10),"④一般",IF(AND($A1539=31,$AJ1539=41),"⑤短期","対象外")))))</f>
        <v>⑤短期</v>
      </c>
      <c r="DC1539" s="2909">
        <f>IF($A1539="","",IF($AB1539&amp;""='DB_設定'!$C$4,1,0))</f>
        <v>0</v>
      </c>
    </row>
    <row r="1540">
      <c r="A1540" t="n" s="2909">
        <v>31</v>
      </c>
      <c r="AA1540" t="n" s="2909">
        <v>21</v>
      </c>
      <c r="AB1540" t="inlineStr" s="2909">
        <is>
          <t>20250901</t>
        </is>
      </c>
      <c r="AD1540" t="n" s="2909">
        <v>0</v>
      </c>
      <c r="AE1540" t="inlineStr" s="2909">
        <is>
          <t>00000000</t>
        </is>
      </c>
      <c r="AH1540" t="n" s="2909">
        <v>1</v>
      </c>
      <c r="AJ1540" t="n" s="2909">
        <v>41</v>
      </c>
      <c r="AP1540" t="n" s="2909">
        <v>200000</v>
      </c>
      <c r="DB1540" s="2909" t="str">
        <f>IF($A1540="","",IF($AH1540=20,IF(AND(OR($A1540=21,$A1540=215),$AJ1540=10),"①病院一般",IF(AND($A1540=31,$AJ1540=41),"②病院短期","対象外")),IF($AJ1540=30,"③特定消防",IF(AND(OR($A1540=21,$A1540=215),$AJ1540=10),"④一般",IF(AND($A1540=31,$AJ1540=41),"⑤短期","対象外")))))</f>
        <v>⑤短期</v>
      </c>
      <c r="DC1540" s="2909">
        <f>IF($A1540="","",IF($AB1540&amp;""='DB_設定'!$C$4,1,0))</f>
        <v>0</v>
      </c>
    </row>
    <row r="1541">
      <c r="A1541" t="n" s="2909">
        <v>31</v>
      </c>
      <c r="AA1541" t="n" s="2909">
        <v>21</v>
      </c>
      <c r="AB1541" t="inlineStr" s="2909">
        <is>
          <t>20250901</t>
        </is>
      </c>
      <c r="AD1541" t="n" s="2909">
        <v>0</v>
      </c>
      <c r="AE1541" t="inlineStr" s="2909">
        <is>
          <t>00000000</t>
        </is>
      </c>
      <c r="AH1541" t="n" s="2909">
        <v>11</v>
      </c>
      <c r="AJ1541" t="n" s="2909">
        <v>41</v>
      </c>
      <c r="AP1541" t="n" s="2909">
        <v>110000</v>
      </c>
      <c r="DB1541" s="2909" t="str">
        <f>IF($A1541="","",IF($AH1541=20,IF(AND(OR($A1541=21,$A1541=215),$AJ1541=10),"①病院一般",IF(AND($A1541=31,$AJ1541=41),"②病院短期","対象外")),IF($AJ1541=30,"③特定消防",IF(AND(OR($A1541=21,$A1541=215),$AJ1541=10),"④一般",IF(AND($A1541=31,$AJ1541=41),"⑤短期","対象外")))))</f>
        <v>⑤短期</v>
      </c>
      <c r="DC1541" s="2909">
        <f>IF($A1541="","",IF($AB1541&amp;""='DB_設定'!$C$4,1,0))</f>
        <v>0</v>
      </c>
    </row>
    <row r="1542">
      <c r="A1542" t="n" s="2909">
        <v>31</v>
      </c>
      <c r="AA1542" t="n" s="2909">
        <v>21</v>
      </c>
      <c r="AB1542" t="inlineStr" s="2909">
        <is>
          <t>20250901</t>
        </is>
      </c>
      <c r="AD1542" t="n" s="2909">
        <v>0</v>
      </c>
      <c r="AE1542" t="inlineStr" s="2909">
        <is>
          <t>00000000</t>
        </is>
      </c>
      <c r="AH1542" t="n" s="2909">
        <v>11</v>
      </c>
      <c r="AJ1542" t="n" s="2909">
        <v>41</v>
      </c>
      <c r="AP1542" t="n" s="2909">
        <v>118000</v>
      </c>
      <c r="DB1542" s="2909" t="str">
        <f>IF($A1542="","",IF($AH1542=20,IF(AND(OR($A1542=21,$A1542=215),$AJ1542=10),"①病院一般",IF(AND($A1542=31,$AJ1542=41),"②病院短期","対象外")),IF($AJ1542=30,"③特定消防",IF(AND(OR($A1542=21,$A1542=215),$AJ1542=10),"④一般",IF(AND($A1542=31,$AJ1542=41),"⑤短期","対象外")))))</f>
        <v>⑤短期</v>
      </c>
      <c r="DC1542" s="2909">
        <f>IF($A1542="","",IF($AB1542&amp;""='DB_設定'!$C$4,1,0))</f>
        <v>0</v>
      </c>
    </row>
    <row r="1543">
      <c r="A1543" t="n" s="2909">
        <v>31</v>
      </c>
      <c r="AA1543" t="n" s="2909">
        <v>21</v>
      </c>
      <c r="AB1543" t="inlineStr" s="2909">
        <is>
          <t>20250901</t>
        </is>
      </c>
      <c r="AD1543" t="n" s="2909">
        <v>0</v>
      </c>
      <c r="AE1543" t="inlineStr" s="2909">
        <is>
          <t>00000000</t>
        </is>
      </c>
      <c r="AH1543" t="n" s="2909">
        <v>11</v>
      </c>
      <c r="AJ1543" t="n" s="2909">
        <v>41</v>
      </c>
      <c r="AP1543" t="n" s="2909">
        <v>150000</v>
      </c>
      <c r="DB1543" s="2909" t="str">
        <f>IF($A1543="","",IF($AH1543=20,IF(AND(OR($A1543=21,$A1543=215),$AJ1543=10),"①病院一般",IF(AND($A1543=31,$AJ1543=41),"②病院短期","対象外")),IF($AJ1543=30,"③特定消防",IF(AND(OR($A1543=21,$A1543=215),$AJ1543=10),"④一般",IF(AND($A1543=31,$AJ1543=41),"⑤短期","対象外")))))</f>
        <v>⑤短期</v>
      </c>
      <c r="DC1543" s="2909">
        <f>IF($A1543="","",IF($AB1543&amp;""='DB_設定'!$C$4,1,0))</f>
        <v>0</v>
      </c>
    </row>
    <row r="1544">
      <c r="A1544" t="n" s="2909">
        <v>31</v>
      </c>
      <c r="AA1544" t="n" s="2909">
        <v>21</v>
      </c>
      <c r="AB1544" t="inlineStr" s="2909">
        <is>
          <t>20250901</t>
        </is>
      </c>
      <c r="AD1544" t="n" s="2909">
        <v>0</v>
      </c>
      <c r="AE1544" t="inlineStr" s="2909">
        <is>
          <t>00000000</t>
        </is>
      </c>
      <c r="AH1544" t="n" s="2909">
        <v>1</v>
      </c>
      <c r="AJ1544" t="n" s="2909">
        <v>41</v>
      </c>
      <c r="AP1544" t="n" s="2909">
        <v>200000</v>
      </c>
      <c r="DB1544" s="2909" t="str">
        <f>IF($A1544="","",IF($AH1544=20,IF(AND(OR($A1544=21,$A1544=215),$AJ1544=10),"①病院一般",IF(AND($A1544=31,$AJ1544=41),"②病院短期","対象外")),IF($AJ1544=30,"③特定消防",IF(AND(OR($A1544=21,$A1544=215),$AJ1544=10),"④一般",IF(AND($A1544=31,$AJ1544=41),"⑤短期","対象外")))))</f>
        <v>⑤短期</v>
      </c>
      <c r="DC1544" s="2909">
        <f>IF($A1544="","",IF($AB1544&amp;""='DB_設定'!$C$4,1,0))</f>
        <v>0</v>
      </c>
    </row>
    <row r="1545">
      <c r="A1545" t="n" s="2909">
        <v>31</v>
      </c>
      <c r="AA1545" t="n" s="2909">
        <v>21</v>
      </c>
      <c r="AB1545" t="inlineStr" s="2909">
        <is>
          <t>20250901</t>
        </is>
      </c>
      <c r="AD1545" t="n" s="2909">
        <v>0</v>
      </c>
      <c r="AE1545" t="inlineStr" s="2909">
        <is>
          <t>00000000</t>
        </is>
      </c>
      <c r="AH1545" t="n" s="2909">
        <v>1</v>
      </c>
      <c r="AJ1545" t="n" s="2909">
        <v>41</v>
      </c>
      <c r="AP1545" t="n" s="2909">
        <v>134000</v>
      </c>
      <c r="DB1545" s="2909" t="str">
        <f>IF($A1545="","",IF($AH1545=20,IF(AND(OR($A1545=21,$A1545=215),$AJ1545=10),"①病院一般",IF(AND($A1545=31,$AJ1545=41),"②病院短期","対象外")),IF($AJ1545=30,"③特定消防",IF(AND(OR($A1545=21,$A1545=215),$AJ1545=10),"④一般",IF(AND($A1545=31,$AJ1545=41),"⑤短期","対象外")))))</f>
        <v>⑤短期</v>
      </c>
      <c r="DC1545" s="2909">
        <f>IF($A1545="","",IF($AB1545&amp;""='DB_設定'!$C$4,1,0))</f>
        <v>0</v>
      </c>
    </row>
    <row r="1546">
      <c r="A1546" t="n" s="2909">
        <v>31</v>
      </c>
      <c r="AA1546" t="n" s="2909">
        <v>21</v>
      </c>
      <c r="AB1546" t="inlineStr" s="2909">
        <is>
          <t>20250903</t>
        </is>
      </c>
      <c r="AD1546" t="n" s="2909">
        <v>0</v>
      </c>
      <c r="AE1546" t="inlineStr" s="2909">
        <is>
          <t>00000000</t>
        </is>
      </c>
      <c r="AH1546" t="n" s="2909">
        <v>1</v>
      </c>
      <c r="AJ1546" t="n" s="2909">
        <v>41</v>
      </c>
      <c r="AP1546" t="n" s="2909">
        <v>126000</v>
      </c>
      <c r="DB1546" s="2909" t="str">
        <f>IF($A1546="","",IF($AH1546=20,IF(AND(OR($A1546=21,$A1546=215),$AJ1546=10),"①病院一般",IF(AND($A1546=31,$AJ1546=41),"②病院短期","対象外")),IF($AJ1546=30,"③特定消防",IF(AND(OR($A1546=21,$A1546=215),$AJ1546=10),"④一般",IF(AND($A1546=31,$AJ1546=41),"⑤短期","対象外")))))</f>
        <v>⑤短期</v>
      </c>
      <c r="DC1546" s="2909">
        <f>IF($A1546="","",IF($AB1546&amp;""='DB_設定'!$C$4,1,0))</f>
        <v>0</v>
      </c>
    </row>
    <row r="1547">
      <c r="A1547" t="n" s="2909">
        <v>31</v>
      </c>
      <c r="AA1547" t="n" s="2909">
        <v>21</v>
      </c>
      <c r="AB1547" t="inlineStr" s="2909">
        <is>
          <t>20250905</t>
        </is>
      </c>
      <c r="AD1547" t="n" s="2909">
        <v>0</v>
      </c>
      <c r="AE1547" t="inlineStr" s="2909">
        <is>
          <t>00000000</t>
        </is>
      </c>
      <c r="AH1547" t="n" s="2909">
        <v>1</v>
      </c>
      <c r="AJ1547" t="n" s="2909">
        <v>41</v>
      </c>
      <c r="AP1547" t="n" s="2909">
        <v>126000</v>
      </c>
      <c r="DB1547" s="2909" t="str">
        <f>IF($A1547="","",IF($AH1547=20,IF(AND(OR($A1547=21,$A1547=215),$AJ1547=10),"①病院一般",IF(AND($A1547=31,$AJ1547=41),"②病院短期","対象外")),IF($AJ1547=30,"③特定消防",IF(AND(OR($A1547=21,$A1547=215),$AJ1547=10),"④一般",IF(AND($A1547=31,$AJ1547=41),"⑤短期","対象外")))))</f>
        <v>⑤短期</v>
      </c>
      <c r="DC1547" s="2909">
        <f>IF($A1547="","",IF($AB1547&amp;""='DB_設定'!$C$4,1,0))</f>
        <v>0</v>
      </c>
    </row>
    <row r="1548">
      <c r="A1548" t="n" s="2909">
        <v>31</v>
      </c>
      <c r="AA1548" t="n" s="2909">
        <v>21</v>
      </c>
      <c r="AB1548" t="inlineStr" s="2909">
        <is>
          <t>20250901</t>
        </is>
      </c>
      <c r="AD1548" t="n" s="2909">
        <v>0</v>
      </c>
      <c r="AE1548" t="inlineStr" s="2909">
        <is>
          <t>00000000</t>
        </is>
      </c>
      <c r="AH1548" t="n" s="2909">
        <v>1</v>
      </c>
      <c r="AJ1548" t="n" s="2909">
        <v>41</v>
      </c>
      <c r="AP1548" t="n" s="2909">
        <v>190000</v>
      </c>
      <c r="DB1548" s="2909" t="str">
        <f>IF($A1548="","",IF($AH1548=20,IF(AND(OR($A1548=21,$A1548=215),$AJ1548=10),"①病院一般",IF(AND($A1548=31,$AJ1548=41),"②病院短期","対象外")),IF($AJ1548=30,"③特定消防",IF(AND(OR($A1548=21,$A1548=215),$AJ1548=10),"④一般",IF(AND($A1548=31,$AJ1548=41),"⑤短期","対象外")))))</f>
        <v>⑤短期</v>
      </c>
      <c r="DC1548" s="2909">
        <f>IF($A1548="","",IF($AB1548&amp;""='DB_設定'!$C$4,1,0))</f>
        <v>0</v>
      </c>
    </row>
    <row r="1549">
      <c r="A1549" t="n" s="2909">
        <v>31</v>
      </c>
      <c r="AA1549" t="n" s="2909">
        <v>21</v>
      </c>
      <c r="AB1549" t="inlineStr" s="2909">
        <is>
          <t>20251001</t>
        </is>
      </c>
      <c r="AD1549" t="n" s="2909">
        <v>0</v>
      </c>
      <c r="AE1549" t="inlineStr" s="2909">
        <is>
          <t>00000000</t>
        </is>
      </c>
      <c r="AH1549" t="n" s="2909">
        <v>1</v>
      </c>
      <c r="AJ1549" t="n" s="2909">
        <v>41</v>
      </c>
      <c r="AP1549" t="n" s="2909">
        <v>200000</v>
      </c>
      <c r="DB1549" s="2909" t="str">
        <f>IF($A1549="","",IF($AH1549=20,IF(AND(OR($A1549=21,$A1549=215),$AJ1549=10),"①病院一般",IF(AND($A1549=31,$AJ1549=41),"②病院短期","対象外")),IF($AJ1549=30,"③特定消防",IF(AND(OR($A1549=21,$A1549=215),$AJ1549=10),"④一般",IF(AND($A1549=31,$AJ1549=41),"⑤短期","対象外")))))</f>
        <v>⑤短期</v>
      </c>
      <c r="DC1549" s="2909">
        <f>IF($A1549="","",IF($AB1549&amp;""='DB_設定'!$C$4,1,0))</f>
        <v>0</v>
      </c>
    </row>
    <row r="1550">
      <c r="A1550" t="n" s="2909">
        <v>31</v>
      </c>
      <c r="AA1550" t="n" s="2909">
        <v>21</v>
      </c>
      <c r="AB1550" t="inlineStr" s="2909">
        <is>
          <t>20251001</t>
        </is>
      </c>
      <c r="AD1550" t="n" s="2909">
        <v>0</v>
      </c>
      <c r="AE1550" t="inlineStr" s="2909">
        <is>
          <t>00000000</t>
        </is>
      </c>
      <c r="AH1550" t="n" s="2909">
        <v>11</v>
      </c>
      <c r="AJ1550" t="n" s="2909">
        <v>41</v>
      </c>
      <c r="AP1550" t="n" s="2909">
        <v>220000</v>
      </c>
      <c r="DB1550" s="2909" t="str">
        <f>IF($A1550="","",IF($AH1550=20,IF(AND(OR($A1550=21,$A1550=215),$AJ1550=10),"①病院一般",IF(AND($A1550=31,$AJ1550=41),"②病院短期","対象外")),IF($AJ1550=30,"③特定消防",IF(AND(OR($A1550=21,$A1550=215),$AJ1550=10),"④一般",IF(AND($A1550=31,$AJ1550=41),"⑤短期","対象外")))))</f>
        <v>⑤短期</v>
      </c>
      <c r="DC1550" s="2909">
        <f>IF($A1550="","",IF($AB1550&amp;""='DB_設定'!$C$4,1,0))</f>
        <v>0</v>
      </c>
    </row>
    <row r="1551">
      <c r="A1551" t="n" s="2909">
        <v>31</v>
      </c>
      <c r="AA1551" t="n" s="2909">
        <v>21</v>
      </c>
      <c r="AB1551" t="inlineStr" s="2909">
        <is>
          <t>20251001</t>
        </is>
      </c>
      <c r="AD1551" t="n" s="2909">
        <v>0</v>
      </c>
      <c r="AE1551" t="inlineStr" s="2909">
        <is>
          <t>00000000</t>
        </is>
      </c>
      <c r="AH1551" t="n" s="2909">
        <v>11</v>
      </c>
      <c r="AJ1551" t="n" s="2909">
        <v>41</v>
      </c>
      <c r="AP1551" t="n" s="2909">
        <v>220000</v>
      </c>
      <c r="DB1551" s="2909" t="str">
        <f>IF($A1551="","",IF($AH1551=20,IF(AND(OR($A1551=21,$A1551=215),$AJ1551=10),"①病院一般",IF(AND($A1551=31,$AJ1551=41),"②病院短期","対象外")),IF($AJ1551=30,"③特定消防",IF(AND(OR($A1551=21,$A1551=215),$AJ1551=10),"④一般",IF(AND($A1551=31,$AJ1551=41),"⑤短期","対象外")))))</f>
        <v>⑤短期</v>
      </c>
      <c r="DC1551" s="2909">
        <f>IF($A1551="","",IF($AB1551&amp;""='DB_設定'!$C$4,1,0))</f>
        <v>0</v>
      </c>
    </row>
    <row r="1552">
      <c r="A1552" t="n" s="2909">
        <v>31</v>
      </c>
      <c r="AA1552" t="n" s="2909">
        <v>21</v>
      </c>
      <c r="AB1552" t="inlineStr" s="2909">
        <is>
          <t>20251001</t>
        </is>
      </c>
      <c r="AD1552" t="n" s="2909">
        <v>0</v>
      </c>
      <c r="AE1552" t="inlineStr" s="2909">
        <is>
          <t>00000000</t>
        </is>
      </c>
      <c r="AH1552" t="n" s="2909">
        <v>1</v>
      </c>
      <c r="AJ1552" t="n" s="2909">
        <v>41</v>
      </c>
      <c r="AP1552" t="n" s="2909">
        <v>200000</v>
      </c>
      <c r="DB1552" s="2909" t="str">
        <f>IF($A1552="","",IF($AH1552=20,IF(AND(OR($A1552=21,$A1552=215),$AJ1552=10),"①病院一般",IF(AND($A1552=31,$AJ1552=41),"②病院短期","対象外")),IF($AJ1552=30,"③特定消防",IF(AND(OR($A1552=21,$A1552=215),$AJ1552=10),"④一般",IF(AND($A1552=31,$AJ1552=41),"⑤短期","対象外")))))</f>
        <v>⑤短期</v>
      </c>
      <c r="DC1552" s="2909">
        <f>IF($A1552="","",IF($AB1552&amp;""='DB_設定'!$C$4,1,0))</f>
        <v>0</v>
      </c>
    </row>
    <row r="1553">
      <c r="A1553" t="n" s="2909">
        <v>31</v>
      </c>
      <c r="AA1553" t="n" s="2909">
        <v>21</v>
      </c>
      <c r="AB1553" t="inlineStr" s="2909">
        <is>
          <t>20251001</t>
        </is>
      </c>
      <c r="AD1553" t="n" s="2909">
        <v>0</v>
      </c>
      <c r="AE1553" t="inlineStr" s="2909">
        <is>
          <t>00000000</t>
        </is>
      </c>
      <c r="AH1553" t="n" s="2909">
        <v>1</v>
      </c>
      <c r="AJ1553" t="n" s="2909">
        <v>41</v>
      </c>
      <c r="AP1553" t="n" s="2909">
        <v>200000</v>
      </c>
      <c r="DB1553" s="2909" t="str">
        <f>IF($A1553="","",IF($AH1553=20,IF(AND(OR($A1553=21,$A1553=215),$AJ1553=10),"①病院一般",IF(AND($A1553=31,$AJ1553=41),"②病院短期","対象外")),IF($AJ1553=30,"③特定消防",IF(AND(OR($A1553=21,$A1553=215),$AJ1553=10),"④一般",IF(AND($A1553=31,$AJ1553=41),"⑤短期","対象外")))))</f>
        <v>⑤短期</v>
      </c>
      <c r="DC1553" s="2909">
        <f>IF($A1553="","",IF($AB1553&amp;""='DB_設定'!$C$4,1,0))</f>
        <v>0</v>
      </c>
    </row>
    <row r="1554">
      <c r="A1554" t="n" s="2909">
        <v>31</v>
      </c>
      <c r="AA1554" t="n" s="2909">
        <v>21</v>
      </c>
      <c r="AB1554" t="inlineStr" s="2909">
        <is>
          <t>20251001</t>
        </is>
      </c>
      <c r="AD1554" t="n" s="2909">
        <v>0</v>
      </c>
      <c r="AE1554" t="inlineStr" s="2909">
        <is>
          <t>00000000</t>
        </is>
      </c>
      <c r="AH1554" t="n" s="2909">
        <v>1</v>
      </c>
      <c r="AJ1554" t="n" s="2909">
        <v>41</v>
      </c>
      <c r="AP1554" t="n" s="2909">
        <v>220000</v>
      </c>
      <c r="DB1554" s="2909" t="str">
        <f>IF($A1554="","",IF($AH1554=20,IF(AND(OR($A1554=21,$A1554=215),$AJ1554=10),"①病院一般",IF(AND($A1554=31,$AJ1554=41),"②病院短期","対象外")),IF($AJ1554=30,"③特定消防",IF(AND(OR($A1554=21,$A1554=215),$AJ1554=10),"④一般",IF(AND($A1554=31,$AJ1554=41),"⑤短期","対象外")))))</f>
        <v>⑤短期</v>
      </c>
      <c r="DC1554" s="2909">
        <f>IF($A1554="","",IF($AB1554&amp;""='DB_設定'!$C$4,1,0))</f>
        <v>0</v>
      </c>
    </row>
    <row r="1555">
      <c r="A1555" t="n" s="2909">
        <v>31</v>
      </c>
      <c r="AA1555" t="n" s="2909">
        <v>21</v>
      </c>
      <c r="AB1555" t="inlineStr" s="2909">
        <is>
          <t>20250921</t>
        </is>
      </c>
      <c r="AD1555" t="n" s="2909">
        <v>0</v>
      </c>
      <c r="AE1555" t="inlineStr" s="2909">
        <is>
          <t>00000000</t>
        </is>
      </c>
      <c r="AH1555" t="n" s="2909">
        <v>1</v>
      </c>
      <c r="AJ1555" t="n" s="2909">
        <v>41</v>
      </c>
      <c r="AP1555" t="n" s="2909">
        <v>126000</v>
      </c>
      <c r="DB1555" s="2909" t="str">
        <f>IF($A1555="","",IF($AH1555=20,IF(AND(OR($A1555=21,$A1555=215),$AJ1555=10),"①病院一般",IF(AND($A1555=31,$AJ1555=41),"②病院短期","対象外")),IF($AJ1555=30,"③特定消防",IF(AND(OR($A1555=21,$A1555=215),$AJ1555=10),"④一般",IF(AND($A1555=31,$AJ1555=41),"⑤短期","対象外")))))</f>
        <v>⑤短期</v>
      </c>
      <c r="DC1555" s="2909">
        <f>IF($A1555="","",IF($AB1555&amp;""='DB_設定'!$C$4,1,0))</f>
        <v>0</v>
      </c>
    </row>
    <row r="1556">
      <c r="A1556" t="n" s="2909">
        <v>31</v>
      </c>
      <c r="AA1556" t="n" s="2909">
        <v>21</v>
      </c>
      <c r="AB1556" t="inlineStr" s="2909">
        <is>
          <t>20250922</t>
        </is>
      </c>
      <c r="AD1556" t="n" s="2909">
        <v>12</v>
      </c>
      <c r="AE1556" t="inlineStr" s="2909">
        <is>
          <t>20251003</t>
        </is>
      </c>
      <c r="AH1556" t="n" s="2909">
        <v>1</v>
      </c>
      <c r="AJ1556" t="n" s="2909">
        <v>41</v>
      </c>
      <c r="AP1556" t="n" s="2909">
        <v>180000</v>
      </c>
      <c r="DB1556" s="2909" t="str">
        <f>IF($A1556="","",IF($AH1556=20,IF(AND(OR($A1556=21,$A1556=215),$AJ1556=10),"①病院一般",IF(AND($A1556=31,$AJ1556=41),"②病院短期","対象外")),IF($AJ1556=30,"③特定消防",IF(AND(OR($A1556=21,$A1556=215),$AJ1556=10),"④一般",IF(AND($A1556=31,$AJ1556=41),"⑤短期","対象外")))))</f>
        <v>⑤短期</v>
      </c>
      <c r="DC1556" s="2909">
        <f>IF($A1556="","",IF($AB1556&amp;""='DB_設定'!$C$4,1,0))</f>
        <v>0</v>
      </c>
    </row>
    <row r="1557">
      <c r="A1557" t="n" s="2909">
        <v>31</v>
      </c>
      <c r="AA1557" t="n" s="2909">
        <v>21</v>
      </c>
      <c r="AB1557" t="inlineStr" s="2909">
        <is>
          <t>20251001</t>
        </is>
      </c>
      <c r="AD1557" t="n" s="2909">
        <v>0</v>
      </c>
      <c r="AE1557" t="inlineStr" s="2909">
        <is>
          <t>00000000</t>
        </is>
      </c>
      <c r="AH1557" t="n" s="2909">
        <v>1</v>
      </c>
      <c r="AJ1557" t="n" s="2909">
        <v>41</v>
      </c>
      <c r="AP1557" t="n" s="2909">
        <v>190000</v>
      </c>
      <c r="DB1557" s="2909" t="str">
        <f>IF($A1557="","",IF($AH1557=20,IF(AND(OR($A1557=21,$A1557=215),$AJ1557=10),"①病院一般",IF(AND($A1557=31,$AJ1557=41),"②病院短期","対象外")),IF($AJ1557=30,"③特定消防",IF(AND(OR($A1557=21,$A1557=215),$AJ1557=10),"④一般",IF(AND($A1557=31,$AJ1557=41),"⑤短期","対象外")))))</f>
        <v>⑤短期</v>
      </c>
      <c r="DC1557" s="2909">
        <f>IF($A1557="","",IF($AB1557&amp;""='DB_設定'!$C$4,1,0))</f>
        <v>0</v>
      </c>
    </row>
    <row r="1558">
      <c r="A1558" t="n" s="2909">
        <v>31</v>
      </c>
      <c r="AA1558" t="n" s="2909">
        <v>21</v>
      </c>
      <c r="AB1558" t="inlineStr" s="2909">
        <is>
          <t>20251001</t>
        </is>
      </c>
      <c r="AD1558" t="n" s="2909">
        <v>0</v>
      </c>
      <c r="AE1558" t="inlineStr" s="2909">
        <is>
          <t>00000000</t>
        </is>
      </c>
      <c r="AH1558" t="n" s="2909">
        <v>1</v>
      </c>
      <c r="AJ1558" t="n" s="2909">
        <v>41</v>
      </c>
      <c r="AP1558" t="n" s="2909">
        <v>260000</v>
      </c>
      <c r="DB1558" s="2909" t="str">
        <f>IF($A1558="","",IF($AH1558=20,IF(AND(OR($A1558=21,$A1558=215),$AJ1558=10),"①病院一般",IF(AND($A1558=31,$AJ1558=41),"②病院短期","対象外")),IF($AJ1558=30,"③特定消防",IF(AND(OR($A1558=21,$A1558=215),$AJ1558=10),"④一般",IF(AND($A1558=31,$AJ1558=41),"⑤短期","対象外")))))</f>
        <v>⑤短期</v>
      </c>
      <c r="DC1558" s="2909">
        <f>IF($A1558="","",IF($AB1558&amp;""='DB_設定'!$C$4,1,0))</f>
        <v>0</v>
      </c>
    </row>
    <row r="1559">
      <c r="A1559" t="n" s="2909">
        <v>31</v>
      </c>
      <c r="AA1559" t="n" s="2909">
        <v>21</v>
      </c>
      <c r="AB1559" t="inlineStr" s="2909">
        <is>
          <t>20251001</t>
        </is>
      </c>
      <c r="AD1559" t="n" s="2909">
        <v>0</v>
      </c>
      <c r="AE1559" t="inlineStr" s="2909">
        <is>
          <t>00000000</t>
        </is>
      </c>
      <c r="AH1559" t="n" s="2909">
        <v>1</v>
      </c>
      <c r="AJ1559" t="n" s="2909">
        <v>41</v>
      </c>
      <c r="AP1559" t="n" s="2909">
        <v>126000</v>
      </c>
      <c r="DB1559" s="2909" t="str">
        <f>IF($A1559="","",IF($AH1559=20,IF(AND(OR($A1559=21,$A1559=215),$AJ1559=10),"①病院一般",IF(AND($A1559=31,$AJ1559=41),"②病院短期","対象外")),IF($AJ1559=30,"③特定消防",IF(AND(OR($A1559=21,$A1559=215),$AJ1559=10),"④一般",IF(AND($A1559=31,$AJ1559=41),"⑤短期","対象外")))))</f>
        <v>⑤短期</v>
      </c>
      <c r="DC1559" s="2909">
        <f>IF($A1559="","",IF($AB1559&amp;""='DB_設定'!$C$4,1,0))</f>
        <v>0</v>
      </c>
    </row>
    <row r="1560">
      <c r="A1560" t="n" s="2909">
        <v>31</v>
      </c>
      <c r="AA1560" t="n" s="2909">
        <v>21</v>
      </c>
      <c r="AB1560" t="inlineStr" s="2909">
        <is>
          <t>20251008</t>
        </is>
      </c>
      <c r="AD1560" t="n" s="2909">
        <v>0</v>
      </c>
      <c r="AE1560" t="inlineStr" s="2909">
        <is>
          <t>00000000</t>
        </is>
      </c>
      <c r="AH1560" t="n" s="2909">
        <v>11</v>
      </c>
      <c r="AJ1560" t="n" s="2909">
        <v>41</v>
      </c>
      <c r="AP1560" t="n" s="2909">
        <v>104000</v>
      </c>
      <c r="DB1560" s="2909" t="str">
        <f>IF($A1560="","",IF($AH1560=20,IF(AND(OR($A1560=21,$A1560=215),$AJ1560=10),"①病院一般",IF(AND($A1560=31,$AJ1560=41),"②病院短期","対象外")),IF($AJ1560=30,"③特定消防",IF(AND(OR($A1560=21,$A1560=215),$AJ1560=10),"④一般",IF(AND($A1560=31,$AJ1560=41),"⑤短期","対象外")))))</f>
        <v>⑤短期</v>
      </c>
      <c r="DC1560" s="2909">
        <f>IF($A1560="","",IF($AB1560&amp;""='DB_設定'!$C$4,1,0))</f>
        <v>0</v>
      </c>
    </row>
    <row r="1561">
      <c r="A1561" t="n" s="2909">
        <v>31</v>
      </c>
      <c r="AA1561" t="n" s="2909">
        <v>21</v>
      </c>
      <c r="AB1561" t="inlineStr" s="2909">
        <is>
          <t>20251001</t>
        </is>
      </c>
      <c r="AD1561" t="n" s="2909">
        <v>0</v>
      </c>
      <c r="AE1561" t="inlineStr" s="2909">
        <is>
          <t>00000000</t>
        </is>
      </c>
      <c r="AH1561" t="n" s="2909">
        <v>1</v>
      </c>
      <c r="AJ1561" t="n" s="2909">
        <v>41</v>
      </c>
      <c r="AP1561" t="n" s="2909">
        <v>260000</v>
      </c>
      <c r="DB1561" s="2909" t="str">
        <f>IF($A1561="","",IF($AH1561=20,IF(AND(OR($A1561=21,$A1561=215),$AJ1561=10),"①病院一般",IF(AND($A1561=31,$AJ1561=41),"②病院短期","対象外")),IF($AJ1561=30,"③特定消防",IF(AND(OR($A1561=21,$A1561=215),$AJ1561=10),"④一般",IF(AND($A1561=31,$AJ1561=41),"⑤短期","対象外")))))</f>
        <v>⑤短期</v>
      </c>
      <c r="DC1561" s="2909">
        <f>IF($A1561="","",IF($AB1561&amp;""='DB_設定'!$C$4,1,0))</f>
        <v>0</v>
      </c>
    </row>
    <row r="1562">
      <c r="A1562" t="n" s="2909">
        <v>31</v>
      </c>
      <c r="AA1562" t="n" s="2909">
        <v>21</v>
      </c>
      <c r="AB1562" t="inlineStr" s="2909">
        <is>
          <t>20250401</t>
        </is>
      </c>
      <c r="AD1562" t="n" s="2909">
        <v>12</v>
      </c>
      <c r="AE1562" t="inlineStr" s="2909">
        <is>
          <t>20250701</t>
        </is>
      </c>
      <c r="AH1562" t="n" s="2909">
        <v>1</v>
      </c>
      <c r="AJ1562" t="n" s="2909">
        <v>41</v>
      </c>
      <c r="AP1562" t="n" s="2909">
        <v>126000</v>
      </c>
      <c r="DB1562" s="2909" t="str">
        <f>IF($A1562="","",IF($AH1562=20,IF(AND(OR($A1562=21,$A1562=215),$AJ1562=10),"①病院一般",IF(AND($A1562=31,$AJ1562=41),"②病院短期","対象外")),IF($AJ1562=30,"③特定消防",IF(AND(OR($A1562=21,$A1562=215),$AJ1562=10),"④一般",IF(AND($A1562=31,$AJ1562=41),"⑤短期","対象外")))))</f>
        <v>⑤短期</v>
      </c>
      <c r="DC1562" s="2909">
        <f>IF($A1562="","",IF($AB1562&amp;""='DB_設定'!$C$4,1,0))</f>
        <v>1</v>
      </c>
    </row>
    <row r="1563">
      <c r="A1563" t="n" s="2909">
        <v>31</v>
      </c>
      <c r="AA1563" t="n" s="2909">
        <v>21</v>
      </c>
      <c r="AB1563" t="inlineStr" s="2909">
        <is>
          <t>20250801</t>
        </is>
      </c>
      <c r="AD1563" t="n" s="2909">
        <v>0</v>
      </c>
      <c r="AE1563" t="inlineStr" s="2909">
        <is>
          <t>00000000</t>
        </is>
      </c>
      <c r="AH1563" t="n" s="2909">
        <v>1</v>
      </c>
      <c r="AJ1563" t="n" s="2909">
        <v>41</v>
      </c>
      <c r="AP1563" t="n" s="2909">
        <v>142000</v>
      </c>
      <c r="DB1563" s="2909" t="str">
        <f>IF($A1563="","",IF($AH1563=20,IF(AND(OR($A1563=21,$A1563=215),$AJ1563=10),"①病院一般",IF(AND($A1563=31,$AJ1563=41),"②病院短期","対象外")),IF($AJ1563=30,"③特定消防",IF(AND(OR($A1563=21,$A1563=215),$AJ1563=10),"④一般",IF(AND($A1563=31,$AJ1563=41),"⑤短期","対象外")))))</f>
        <v>⑤短期</v>
      </c>
      <c r="DC1563" s="2909">
        <f>IF($A1563="","",IF($AB1563&amp;""='DB_設定'!$C$4,1,0))</f>
        <v>0</v>
      </c>
    </row>
    <row r="1564">
      <c r="A1564" t="n" s="2909">
        <v>31</v>
      </c>
      <c r="AA1564" t="n" s="2909">
        <v>21</v>
      </c>
      <c r="AB1564" t="inlineStr" s="2909">
        <is>
          <t>20250423</t>
        </is>
      </c>
      <c r="AD1564" t="n" s="2909">
        <v>0</v>
      </c>
      <c r="AE1564" t="inlineStr" s="2909">
        <is>
          <t>00000000</t>
        </is>
      </c>
      <c r="AH1564" t="n" s="2909">
        <v>1</v>
      </c>
      <c r="AJ1564" t="n" s="2909">
        <v>41</v>
      </c>
      <c r="AP1564" t="n" s="2909">
        <v>110000</v>
      </c>
      <c r="DB1564" s="2909" t="str">
        <f>IF($A1564="","",IF($AH1564=20,IF(AND(OR($A1564=21,$A1564=215),$AJ1564=10),"①病院一般",IF(AND($A1564=31,$AJ1564=41),"②病院短期","対象外")),IF($AJ1564=30,"③特定消防",IF(AND(OR($A1564=21,$A1564=215),$AJ1564=10),"④一般",IF(AND($A1564=31,$AJ1564=41),"⑤短期","対象外")))))</f>
        <v>⑤短期</v>
      </c>
      <c r="DC1564" s="2909">
        <f>IF($A1564="","",IF($AB1564&amp;""='DB_設定'!$C$4,1,0))</f>
        <v>0</v>
      </c>
    </row>
    <row r="1565">
      <c r="A1565" t="n" s="2909">
        <v>31</v>
      </c>
      <c r="AA1565" t="n" s="2909">
        <v>21</v>
      </c>
      <c r="AB1565" t="inlineStr" s="2909">
        <is>
          <t>20250501</t>
        </is>
      </c>
      <c r="AD1565" t="n" s="2909">
        <v>0</v>
      </c>
      <c r="AE1565" t="inlineStr" s="2909">
        <is>
          <t>00000000</t>
        </is>
      </c>
      <c r="AH1565" t="n" s="2909">
        <v>11</v>
      </c>
      <c r="AJ1565" t="n" s="2909">
        <v>41</v>
      </c>
      <c r="AP1565" t="n" s="2909">
        <v>190000</v>
      </c>
      <c r="DB1565" s="2909" t="str">
        <f>IF($A1565="","",IF($AH1565=20,IF(AND(OR($A1565=21,$A1565=215),$AJ1565=10),"①病院一般",IF(AND($A1565=31,$AJ1565=41),"②病院短期","対象外")),IF($AJ1565=30,"③特定消防",IF(AND(OR($A1565=21,$A1565=215),$AJ1565=10),"④一般",IF(AND($A1565=31,$AJ1565=41),"⑤短期","対象外")))))</f>
        <v>⑤短期</v>
      </c>
      <c r="DC1565" s="2909">
        <f>IF($A1565="","",IF($AB1565&amp;""='DB_設定'!$C$4,1,0))</f>
        <v>0</v>
      </c>
    </row>
    <row r="1566">
      <c r="A1566" t="n" s="2909">
        <v>31</v>
      </c>
      <c r="AA1566" t="n" s="2909">
        <v>21</v>
      </c>
      <c r="AB1566" t="inlineStr" s="2909">
        <is>
          <t>20250513</t>
        </is>
      </c>
      <c r="AD1566" t="n" s="2909">
        <v>12</v>
      </c>
      <c r="AE1566" t="inlineStr" s="2909">
        <is>
          <t>20251001</t>
        </is>
      </c>
      <c r="AH1566" t="n" s="2909">
        <v>1</v>
      </c>
      <c r="AJ1566" t="n" s="2909">
        <v>41</v>
      </c>
      <c r="AP1566" t="n" s="2909">
        <v>220000</v>
      </c>
      <c r="DB1566" s="2909" t="str">
        <f>IF($A1566="","",IF($AH1566=20,IF(AND(OR($A1566=21,$A1566=215),$AJ1566=10),"①病院一般",IF(AND($A1566=31,$AJ1566=41),"②病院短期","対象外")),IF($AJ1566=30,"③特定消防",IF(AND(OR($A1566=21,$A1566=215),$AJ1566=10),"④一般",IF(AND($A1566=31,$AJ1566=41),"⑤短期","対象外")))))</f>
        <v>⑤短期</v>
      </c>
      <c r="DC1566" s="2909">
        <f>IF($A1566="","",IF($AB1566&amp;""='DB_設定'!$C$4,1,0))</f>
        <v>0</v>
      </c>
    </row>
    <row r="1567">
      <c r="A1567" t="n" s="2909">
        <v>31</v>
      </c>
      <c r="AA1567" t="n" s="2909">
        <v>21</v>
      </c>
      <c r="AB1567" t="inlineStr" s="2909">
        <is>
          <t>20250512</t>
        </is>
      </c>
      <c r="AD1567" t="n" s="2909">
        <v>0</v>
      </c>
      <c r="AE1567" t="inlineStr" s="2909">
        <is>
          <t>00000000</t>
        </is>
      </c>
      <c r="AH1567" t="n" s="2909">
        <v>11</v>
      </c>
      <c r="AJ1567" t="n" s="2909">
        <v>41</v>
      </c>
      <c r="AP1567" t="n" s="2909">
        <v>98000</v>
      </c>
      <c r="DB1567" s="2909" t="str">
        <f>IF($A1567="","",IF($AH1567=20,IF(AND(OR($A1567=21,$A1567=215),$AJ1567=10),"①病院一般",IF(AND($A1567=31,$AJ1567=41),"②病院短期","対象外")),IF($AJ1567=30,"③特定消防",IF(AND(OR($A1567=21,$A1567=215),$AJ1567=10),"④一般",IF(AND($A1567=31,$AJ1567=41),"⑤短期","対象外")))))</f>
        <v>⑤短期</v>
      </c>
      <c r="DC1567" s="2909">
        <f>IF($A1567="","",IF($AB1567&amp;""='DB_設定'!$C$4,1,0))</f>
        <v>0</v>
      </c>
    </row>
    <row r="1568">
      <c r="A1568" t="n" s="2909">
        <v>31</v>
      </c>
      <c r="AA1568" t="n" s="2909">
        <v>21</v>
      </c>
      <c r="AB1568" t="inlineStr" s="2909">
        <is>
          <t>20250501</t>
        </is>
      </c>
      <c r="AD1568" t="n" s="2909">
        <v>0</v>
      </c>
      <c r="AE1568" t="inlineStr" s="2909">
        <is>
          <t>00000000</t>
        </is>
      </c>
      <c r="AH1568" t="n" s="2909">
        <v>11</v>
      </c>
      <c r="AJ1568" t="n" s="2909">
        <v>41</v>
      </c>
      <c r="AP1568" t="n" s="2909">
        <v>160000</v>
      </c>
      <c r="DB1568" s="2909" t="str">
        <f>IF($A1568="","",IF($AH1568=20,IF(AND(OR($A1568=21,$A1568=215),$AJ1568=10),"①病院一般",IF(AND($A1568=31,$AJ1568=41),"②病院短期","対象外")),IF($AJ1568=30,"③特定消防",IF(AND(OR($A1568=21,$A1568=215),$AJ1568=10),"④一般",IF(AND($A1568=31,$AJ1568=41),"⑤短期","対象外")))))</f>
        <v>⑤短期</v>
      </c>
      <c r="DC1568" s="2909">
        <f>IF($A1568="","",IF($AB1568&amp;""='DB_設定'!$C$4,1,0))</f>
        <v>0</v>
      </c>
    </row>
    <row r="1569">
      <c r="A1569" t="n" s="2909">
        <v>31</v>
      </c>
      <c r="AA1569" t="n" s="2909">
        <v>21</v>
      </c>
      <c r="AB1569" t="inlineStr" s="2909">
        <is>
          <t>20250619</t>
        </is>
      </c>
      <c r="AD1569" t="n" s="2909">
        <v>0</v>
      </c>
      <c r="AE1569" t="inlineStr" s="2909">
        <is>
          <t>00000000</t>
        </is>
      </c>
      <c r="AH1569" t="n" s="2909">
        <v>1</v>
      </c>
      <c r="AJ1569" t="n" s="2909">
        <v>41</v>
      </c>
      <c r="AP1569" t="n" s="2909">
        <v>142000</v>
      </c>
      <c r="DB1569" s="2909" t="str">
        <f>IF($A1569="","",IF($AH1569=20,IF(AND(OR($A1569=21,$A1569=215),$AJ1569=10),"①病院一般",IF(AND($A1569=31,$AJ1569=41),"②病院短期","対象外")),IF($AJ1569=30,"③特定消防",IF(AND(OR($A1569=21,$A1569=215),$AJ1569=10),"④一般",IF(AND($A1569=31,$AJ1569=41),"⑤短期","対象外")))))</f>
        <v>⑤短期</v>
      </c>
      <c r="DC1569" s="2909">
        <f>IF($A1569="","",IF($AB1569&amp;""='DB_設定'!$C$4,1,0))</f>
        <v>0</v>
      </c>
    </row>
    <row r="1570">
      <c r="A1570" t="n" s="2909">
        <v>31</v>
      </c>
      <c r="AA1570" t="n" s="2909">
        <v>21</v>
      </c>
      <c r="AB1570" t="inlineStr" s="2909">
        <is>
          <t>20250609</t>
        </is>
      </c>
      <c r="AD1570" t="n" s="2909">
        <v>12</v>
      </c>
      <c r="AE1570" t="inlineStr" s="2909">
        <is>
          <t>20251001</t>
        </is>
      </c>
      <c r="AH1570" t="n" s="2909">
        <v>1</v>
      </c>
      <c r="AJ1570" t="n" s="2909">
        <v>41</v>
      </c>
      <c r="AP1570" t="n" s="2909">
        <v>160000</v>
      </c>
      <c r="DB1570" s="2909" t="str">
        <f>IF($A1570="","",IF($AH1570=20,IF(AND(OR($A1570=21,$A1570=215),$AJ1570=10),"①病院一般",IF(AND($A1570=31,$AJ1570=41),"②病院短期","対象外")),IF($AJ1570=30,"③特定消防",IF(AND(OR($A1570=21,$A1570=215),$AJ1570=10),"④一般",IF(AND($A1570=31,$AJ1570=41),"⑤短期","対象外")))))</f>
        <v>⑤短期</v>
      </c>
      <c r="DC1570" s="2909">
        <f>IF($A1570="","",IF($AB1570&amp;""='DB_設定'!$C$4,1,0))</f>
        <v>0</v>
      </c>
    </row>
    <row r="1571">
      <c r="A1571" t="n" s="2909">
        <v>31</v>
      </c>
      <c r="AA1571" t="n" s="2909">
        <v>21</v>
      </c>
      <c r="AB1571" t="inlineStr" s="2909">
        <is>
          <t>20250601</t>
        </is>
      </c>
      <c r="AD1571" t="n" s="2909">
        <v>12</v>
      </c>
      <c r="AE1571" t="inlineStr" s="2909">
        <is>
          <t>20251001</t>
        </is>
      </c>
      <c r="AH1571" t="n" s="2909">
        <v>1</v>
      </c>
      <c r="AJ1571" t="n" s="2909">
        <v>41</v>
      </c>
      <c r="AP1571" t="n" s="2909">
        <v>190000</v>
      </c>
      <c r="DB1571" s="2909" t="str">
        <f>IF($A1571="","",IF($AH1571=20,IF(AND(OR($A1571=21,$A1571=215),$AJ1571=10),"①病院一般",IF(AND($A1571=31,$AJ1571=41),"②病院短期","対象外")),IF($AJ1571=30,"③特定消防",IF(AND(OR($A1571=21,$A1571=215),$AJ1571=10),"④一般",IF(AND($A1571=31,$AJ1571=41),"⑤短期","対象外")))))</f>
        <v>⑤短期</v>
      </c>
      <c r="DC1571" s="2909">
        <f>IF($A1571="","",IF($AB1571&amp;""='DB_設定'!$C$4,1,0))</f>
        <v>0</v>
      </c>
    </row>
    <row r="1572">
      <c r="A1572" t="n" s="2909">
        <v>31</v>
      </c>
      <c r="AA1572" t="n" s="2909">
        <v>21</v>
      </c>
      <c r="AB1572" t="inlineStr" s="2909">
        <is>
          <t>20250901</t>
        </is>
      </c>
      <c r="AD1572" t="n" s="2909">
        <v>0</v>
      </c>
      <c r="AE1572" t="inlineStr" s="2909">
        <is>
          <t>00000000</t>
        </is>
      </c>
      <c r="AH1572" t="n" s="2909">
        <v>1</v>
      </c>
      <c r="AJ1572" t="n" s="2909">
        <v>41</v>
      </c>
      <c r="AP1572" t="n" s="2909">
        <v>150000</v>
      </c>
      <c r="DB1572" s="2909" t="str">
        <f>IF($A1572="","",IF($AH1572=20,IF(AND(OR($A1572=21,$A1572=215),$AJ1572=10),"①病院一般",IF(AND($A1572=31,$AJ1572=41),"②病院短期","対象外")),IF($AJ1572=30,"③特定消防",IF(AND(OR($A1572=21,$A1572=215),$AJ1572=10),"④一般",IF(AND($A1572=31,$AJ1572=41),"⑤短期","対象外")))))</f>
        <v>⑤短期</v>
      </c>
      <c r="DC1572" s="2909">
        <f>IF($A1572="","",IF($AB1572&amp;""='DB_設定'!$C$4,1,0))</f>
        <v>0</v>
      </c>
    </row>
    <row r="1573">
      <c r="A1573" t="n" s="2909">
        <v>31</v>
      </c>
      <c r="AA1573" t="n" s="2909">
        <v>21</v>
      </c>
      <c r="AB1573" t="inlineStr" s="2909">
        <is>
          <t>20250725</t>
        </is>
      </c>
      <c r="AD1573" t="n" s="2909">
        <v>0</v>
      </c>
      <c r="AE1573" t="inlineStr" s="2909">
        <is>
          <t>00000000</t>
        </is>
      </c>
      <c r="AH1573" t="n" s="2909">
        <v>1</v>
      </c>
      <c r="AJ1573" t="n" s="2909">
        <v>41</v>
      </c>
      <c r="AP1573" t="n" s="2909">
        <v>134000</v>
      </c>
      <c r="DB1573" s="2909" t="str">
        <f>IF($A1573="","",IF($AH1573=20,IF(AND(OR($A1573=21,$A1573=215),$AJ1573=10),"①病院一般",IF(AND($A1573=31,$AJ1573=41),"②病院短期","対象外")),IF($AJ1573=30,"③特定消防",IF(AND(OR($A1573=21,$A1573=215),$AJ1573=10),"④一般",IF(AND($A1573=31,$AJ1573=41),"⑤短期","対象外")))))</f>
        <v>⑤短期</v>
      </c>
      <c r="DC1573" s="2909">
        <f>IF($A1573="","",IF($AB1573&amp;""='DB_設定'!$C$4,1,0))</f>
        <v>0</v>
      </c>
    </row>
    <row r="1574">
      <c r="A1574" t="n" s="2909">
        <v>31</v>
      </c>
      <c r="AA1574" t="n" s="2909">
        <v>21</v>
      </c>
      <c r="AB1574" t="inlineStr" s="2909">
        <is>
          <t>20250701</t>
        </is>
      </c>
      <c r="AD1574" t="n" s="2909">
        <v>0</v>
      </c>
      <c r="AE1574" t="inlineStr" s="2909">
        <is>
          <t>00000000</t>
        </is>
      </c>
      <c r="AH1574" t="n" s="2909">
        <v>1</v>
      </c>
      <c r="AJ1574" t="n" s="2909">
        <v>41</v>
      </c>
      <c r="AP1574" t="n" s="2909">
        <v>134000</v>
      </c>
      <c r="DB1574" s="2909" t="str">
        <f>IF($A1574="","",IF($AH1574=20,IF(AND(OR($A1574=21,$A1574=215),$AJ1574=10),"①病院一般",IF(AND($A1574=31,$AJ1574=41),"②病院短期","対象外")),IF($AJ1574=30,"③特定消防",IF(AND(OR($A1574=21,$A1574=215),$AJ1574=10),"④一般",IF(AND($A1574=31,$AJ1574=41),"⑤短期","対象外")))))</f>
        <v>⑤短期</v>
      </c>
      <c r="DC1574" s="2909">
        <f>IF($A1574="","",IF($AB1574&amp;""='DB_設定'!$C$4,1,0))</f>
        <v>0</v>
      </c>
    </row>
    <row r="1575">
      <c r="A1575" t="n" s="2909">
        <v>31</v>
      </c>
      <c r="AA1575" t="n" s="2909">
        <v>21</v>
      </c>
      <c r="AB1575" t="inlineStr" s="2909">
        <is>
          <t>20251001</t>
        </is>
      </c>
      <c r="AD1575" t="n" s="2909">
        <v>0</v>
      </c>
      <c r="AE1575" t="inlineStr" s="2909">
        <is>
          <t>00000000</t>
        </is>
      </c>
      <c r="AH1575" t="n" s="2909">
        <v>1</v>
      </c>
      <c r="AJ1575" t="n" s="2909">
        <v>41</v>
      </c>
      <c r="AP1575" t="n" s="2909">
        <v>126000</v>
      </c>
      <c r="DB1575" s="2909" t="str">
        <f>IF($A1575="","",IF($AH1575=20,IF(AND(OR($A1575=21,$A1575=215),$AJ1575=10),"①病院一般",IF(AND($A1575=31,$AJ1575=41),"②病院短期","対象外")),IF($AJ1575=30,"③特定消防",IF(AND(OR($A1575=21,$A1575=215),$AJ1575=10),"④一般",IF(AND($A1575=31,$AJ1575=41),"⑤短期","対象外")))))</f>
        <v>⑤短期</v>
      </c>
      <c r="DC1575" s="2909">
        <f>IF($A1575="","",IF($AB1575&amp;""='DB_設定'!$C$4,1,0))</f>
        <v>0</v>
      </c>
    </row>
    <row r="1576">
      <c r="A1576" t="n" s="2909">
        <v>31</v>
      </c>
      <c r="AA1576" t="n" s="2909">
        <v>21</v>
      </c>
      <c r="AB1576" t="inlineStr" s="2909">
        <is>
          <t>20250613</t>
        </is>
      </c>
      <c r="AD1576" t="n" s="2909">
        <v>0</v>
      </c>
      <c r="AE1576" t="inlineStr" s="2909">
        <is>
          <t>00000000</t>
        </is>
      </c>
      <c r="AH1576" t="n" s="2909">
        <v>11</v>
      </c>
      <c r="AJ1576" t="n" s="2909">
        <v>41</v>
      </c>
      <c r="AP1576" t="n" s="2909">
        <v>240000</v>
      </c>
      <c r="DB1576" s="2909" t="str">
        <f>IF($A1576="","",IF($AH1576=20,IF(AND(OR($A1576=21,$A1576=215),$AJ1576=10),"①病院一般",IF(AND($A1576=31,$AJ1576=41),"②病院短期","対象外")),IF($AJ1576=30,"③特定消防",IF(AND(OR($A1576=21,$A1576=215),$AJ1576=10),"④一般",IF(AND($A1576=31,$AJ1576=41),"⑤短期","対象外")))))</f>
        <v>⑤短期</v>
      </c>
      <c r="DC1576" s="2909">
        <f>IF($A1576="","",IF($AB1576&amp;""='DB_設定'!$C$4,1,0))</f>
        <v>0</v>
      </c>
    </row>
    <row r="1577">
      <c r="A1577" t="n" s="2909">
        <v>31</v>
      </c>
      <c r="AA1577" t="n" s="2909">
        <v>21</v>
      </c>
      <c r="AB1577" t="inlineStr" s="2909">
        <is>
          <t>20250716</t>
        </is>
      </c>
      <c r="AD1577" t="n" s="2909">
        <v>0</v>
      </c>
      <c r="AE1577" t="inlineStr" s="2909">
        <is>
          <t>00000000</t>
        </is>
      </c>
      <c r="AH1577" t="n" s="2909">
        <v>1</v>
      </c>
      <c r="AJ1577" t="n" s="2909">
        <v>41</v>
      </c>
      <c r="AP1577" t="n" s="2909">
        <v>126000</v>
      </c>
      <c r="DB1577" s="2909" t="str">
        <f>IF($A1577="","",IF($AH1577=20,IF(AND(OR($A1577=21,$A1577=215),$AJ1577=10),"①病院一般",IF(AND($A1577=31,$AJ1577=41),"②病院短期","対象外")),IF($AJ1577=30,"③特定消防",IF(AND(OR($A1577=21,$A1577=215),$AJ1577=10),"④一般",IF(AND($A1577=31,$AJ1577=41),"⑤短期","対象外")))))</f>
        <v>⑤短期</v>
      </c>
      <c r="DC1577" s="2909">
        <f>IF($A1577="","",IF($AB1577&amp;""='DB_設定'!$C$4,1,0))</f>
        <v>0</v>
      </c>
    </row>
    <row r="1578">
      <c r="A1578" t="n" s="2909">
        <v>31</v>
      </c>
      <c r="AA1578" t="n" s="2909">
        <v>21</v>
      </c>
      <c r="AB1578" t="inlineStr" s="2909">
        <is>
          <t>20250901</t>
        </is>
      </c>
      <c r="AD1578" t="n" s="2909">
        <v>0</v>
      </c>
      <c r="AE1578" t="inlineStr" s="2909">
        <is>
          <t>00000000</t>
        </is>
      </c>
      <c r="AH1578" t="n" s="2909">
        <v>1</v>
      </c>
      <c r="AJ1578" t="n" s="2909">
        <v>41</v>
      </c>
      <c r="AP1578" t="n" s="2909">
        <v>190000</v>
      </c>
      <c r="DB1578" s="2909" t="str">
        <f>IF($A1578="","",IF($AH1578=20,IF(AND(OR($A1578=21,$A1578=215),$AJ1578=10),"①病院一般",IF(AND($A1578=31,$AJ1578=41),"②病院短期","対象外")),IF($AJ1578=30,"③特定消防",IF(AND(OR($A1578=21,$A1578=215),$AJ1578=10),"④一般",IF(AND($A1578=31,$AJ1578=41),"⑤短期","対象外")))))</f>
        <v>⑤短期</v>
      </c>
      <c r="DC1578" s="2909">
        <f>IF($A1578="","",IF($AB1578&amp;""='DB_設定'!$C$4,1,0))</f>
        <v>0</v>
      </c>
    </row>
    <row r="1579">
      <c r="A1579" t="n" s="2909">
        <v>31</v>
      </c>
      <c r="AA1579" t="n" s="2909">
        <v>21</v>
      </c>
      <c r="AB1579" t="inlineStr" s="2909">
        <is>
          <t>20251001</t>
        </is>
      </c>
      <c r="AD1579" t="n" s="2909">
        <v>0</v>
      </c>
      <c r="AE1579" t="inlineStr" s="2909">
        <is>
          <t>00000000</t>
        </is>
      </c>
      <c r="AH1579" t="n" s="2909">
        <v>11</v>
      </c>
      <c r="AJ1579" t="n" s="2909">
        <v>41</v>
      </c>
      <c r="AP1579" t="n" s="2909">
        <v>142000</v>
      </c>
      <c r="DB1579" s="2909" t="str">
        <f>IF($A1579="","",IF($AH1579=20,IF(AND(OR($A1579=21,$A1579=215),$AJ1579=10),"①病院一般",IF(AND($A1579=31,$AJ1579=41),"②病院短期","対象外")),IF($AJ1579=30,"③特定消防",IF(AND(OR($A1579=21,$A1579=215),$AJ1579=10),"④一般",IF(AND($A1579=31,$AJ1579=41),"⑤短期","対象外")))))</f>
        <v>⑤短期</v>
      </c>
      <c r="DC1579" s="2909">
        <f>IF($A1579="","",IF($AB1579&amp;""='DB_設定'!$C$4,1,0))</f>
        <v>0</v>
      </c>
    </row>
    <row r="1580">
      <c r="A1580" t="n" s="2909">
        <v>31</v>
      </c>
      <c r="AA1580" t="n" s="2909">
        <v>21</v>
      </c>
      <c r="AB1580" t="inlineStr" s="2909">
        <is>
          <t>20250828</t>
        </is>
      </c>
      <c r="AD1580" t="n" s="2909">
        <v>0</v>
      </c>
      <c r="AE1580" t="inlineStr" s="2909">
        <is>
          <t>00000000</t>
        </is>
      </c>
      <c r="AH1580" t="n" s="2909">
        <v>11</v>
      </c>
      <c r="AJ1580" t="n" s="2909">
        <v>41</v>
      </c>
      <c r="AP1580" t="n" s="2909">
        <v>200000</v>
      </c>
      <c r="DB1580" s="2909" t="str">
        <f>IF($A1580="","",IF($AH1580=20,IF(AND(OR($A1580=21,$A1580=215),$AJ1580=10),"①病院一般",IF(AND($A1580=31,$AJ1580=41),"②病院短期","対象外")),IF($AJ1580=30,"③特定消防",IF(AND(OR($A1580=21,$A1580=215),$AJ1580=10),"④一般",IF(AND($A1580=31,$AJ1580=41),"⑤短期","対象外")))))</f>
        <v>⑤短期</v>
      </c>
      <c r="DC1580" s="2909">
        <f>IF($A1580="","",IF($AB1580&amp;""='DB_設定'!$C$4,1,0))</f>
        <v>0</v>
      </c>
    </row>
    <row r="1581">
      <c r="A1581" t="n" s="2909">
        <v>31</v>
      </c>
      <c r="AA1581" t="n" s="2909">
        <v>21</v>
      </c>
      <c r="AB1581" t="inlineStr" s="2909">
        <is>
          <t>20251001</t>
        </is>
      </c>
      <c r="AD1581" t="n" s="2909">
        <v>0</v>
      </c>
      <c r="AE1581" t="inlineStr" s="2909">
        <is>
          <t>00000000</t>
        </is>
      </c>
      <c r="AH1581" t="n" s="2909">
        <v>1</v>
      </c>
      <c r="AJ1581" t="n" s="2909">
        <v>41</v>
      </c>
      <c r="AP1581" t="n" s="2909">
        <v>142000</v>
      </c>
      <c r="DB1581" s="2909" t="str">
        <f>IF($A1581="","",IF($AH1581=20,IF(AND(OR($A1581=21,$A1581=215),$AJ1581=10),"①病院一般",IF(AND($A1581=31,$AJ1581=41),"②病院短期","対象外")),IF($AJ1581=30,"③特定消防",IF(AND(OR($A1581=21,$A1581=215),$AJ1581=10),"④一般",IF(AND($A1581=31,$AJ1581=41),"⑤短期","対象外")))))</f>
        <v>⑤短期</v>
      </c>
      <c r="DC1581" s="2909">
        <f>IF($A1581="","",IF($AB1581&amp;""='DB_設定'!$C$4,1,0))</f>
        <v>0</v>
      </c>
    </row>
    <row r="1582">
      <c r="A1582" t="n" s="2909">
        <v>31</v>
      </c>
      <c r="AA1582" t="n" s="2909">
        <v>21</v>
      </c>
      <c r="AB1582" t="inlineStr" s="2909">
        <is>
          <t>20251022</t>
        </is>
      </c>
      <c r="AD1582" t="n" s="2909">
        <v>0</v>
      </c>
      <c r="AE1582" t="inlineStr" s="2909">
        <is>
          <t>00000000</t>
        </is>
      </c>
      <c r="AH1582" t="n" s="2909">
        <v>1</v>
      </c>
      <c r="AJ1582" t="n" s="2909">
        <v>41</v>
      </c>
      <c r="AP1582" t="n" s="2909">
        <v>260000</v>
      </c>
      <c r="DB1582" s="2909" t="str">
        <f>IF($A1582="","",IF($AH1582=20,IF(AND(OR($A1582=21,$A1582=215),$AJ1582=10),"①病院一般",IF(AND($A1582=31,$AJ1582=41),"②病院短期","対象外")),IF($AJ1582=30,"③特定消防",IF(AND(OR($A1582=21,$A1582=215),$AJ1582=10),"④一般",IF(AND($A1582=31,$AJ1582=41),"⑤短期","対象外")))))</f>
        <v>⑤短期</v>
      </c>
      <c r="DC1582" s="2909">
        <f>IF($A1582="","",IF($AB1582&amp;""='DB_設定'!$C$4,1,0))</f>
        <v>0</v>
      </c>
    </row>
    <row r="1583">
      <c r="A1583" t="n" s="2909">
        <v>31</v>
      </c>
      <c r="AA1583" t="n" s="2909">
        <v>21</v>
      </c>
      <c r="AB1583" t="inlineStr" s="2909">
        <is>
          <t>20251016</t>
        </is>
      </c>
      <c r="AD1583" t="n" s="2909">
        <v>0</v>
      </c>
      <c r="AE1583" t="inlineStr" s="2909">
        <is>
          <t>00000000</t>
        </is>
      </c>
      <c r="AH1583" t="n" s="2909">
        <v>1</v>
      </c>
      <c r="AJ1583" t="n" s="2909">
        <v>41</v>
      </c>
      <c r="AP1583" t="n" s="2909">
        <v>260000</v>
      </c>
      <c r="DB1583" s="2909" t="str">
        <f>IF($A1583="","",IF($AH1583=20,IF(AND(OR($A1583=21,$A1583=215),$AJ1583=10),"①病院一般",IF(AND($A1583=31,$AJ1583=41),"②病院短期","対象外")),IF($AJ1583=30,"③特定消防",IF(AND(OR($A1583=21,$A1583=215),$AJ1583=10),"④一般",IF(AND($A1583=31,$AJ1583=41),"⑤短期","対象外")))))</f>
        <v>⑤短期</v>
      </c>
      <c r="DC1583" s="2909">
        <f>IF($A1583="","",IF($AB1583&amp;""='DB_設定'!$C$4,1,0))</f>
        <v>0</v>
      </c>
    </row>
    <row r="1584">
      <c r="A1584" t="n" s="2909">
        <v>31</v>
      </c>
      <c r="AA1584" t="n" s="2909">
        <v>21</v>
      </c>
      <c r="AB1584" t="inlineStr" s="2909">
        <is>
          <t>20251022</t>
        </is>
      </c>
      <c r="AD1584" t="n" s="2909">
        <v>0</v>
      </c>
      <c r="AE1584" t="inlineStr" s="2909">
        <is>
          <t>00000000</t>
        </is>
      </c>
      <c r="AH1584" t="n" s="2909">
        <v>1</v>
      </c>
      <c r="AJ1584" t="n" s="2909">
        <v>41</v>
      </c>
      <c r="AP1584" t="n" s="2909">
        <v>260000</v>
      </c>
      <c r="DB1584" s="2909" t="str">
        <f>IF($A1584="","",IF($AH1584=20,IF(AND(OR($A1584=21,$A1584=215),$AJ1584=10),"①病院一般",IF(AND($A1584=31,$AJ1584=41),"②病院短期","対象外")),IF($AJ1584=30,"③特定消防",IF(AND(OR($A1584=21,$A1584=215),$AJ1584=10),"④一般",IF(AND($A1584=31,$AJ1584=41),"⑤短期","対象外")))))</f>
        <v>⑤短期</v>
      </c>
      <c r="DC1584" s="2909">
        <f>IF($A1584="","",IF($AB1584&amp;""='DB_設定'!$C$4,1,0))</f>
        <v>0</v>
      </c>
    </row>
    <row r="1585">
      <c r="A1585" t="n" s="2909">
        <v>215</v>
      </c>
      <c r="AA1585" t="n" s="2909">
        <v>24</v>
      </c>
      <c r="AB1585" t="inlineStr" s="2909">
        <is>
          <t>20250401</t>
        </is>
      </c>
      <c r="AD1585" t="n" s="2909">
        <v>0</v>
      </c>
      <c r="AE1585" t="inlineStr" s="2909">
        <is>
          <t>00000000</t>
        </is>
      </c>
      <c r="AH1585" t="n" s="2909">
        <v>1</v>
      </c>
      <c r="AJ1585" t="n" s="2909">
        <v>10</v>
      </c>
      <c r="AP1585" t="n" s="2909">
        <v>300000</v>
      </c>
      <c r="DB1585" s="2909" t="str">
        <f>IF($A1585="","",IF($AH1585=20,IF(AND(OR($A1585=21,$A1585=215),$AJ1585=10),"①病院一般",IF(AND($A1585=31,$AJ1585=41),"②病院短期","対象外")),IF($AJ1585=30,"③特定消防",IF(AND(OR($A1585=21,$A1585=215),$AJ1585=10),"④一般",IF(AND($A1585=31,$AJ1585=41),"⑤短期","対象外")))))</f>
        <v>④一般</v>
      </c>
      <c r="DC1585" s="2909">
        <f>IF($A1585="","",IF($AB1585&amp;""='DB_設定'!$C$4,1,0))</f>
        <v>1</v>
      </c>
    </row>
    <row r="1586">
      <c r="A1586" t="n" s="2909">
        <v>215</v>
      </c>
      <c r="AA1586" t="n" s="2909">
        <v>21</v>
      </c>
      <c r="AB1586" t="inlineStr" s="2909">
        <is>
          <t>20250401</t>
        </is>
      </c>
      <c r="AD1586" t="n" s="2909">
        <v>0</v>
      </c>
      <c r="AE1586" t="inlineStr" s="2909">
        <is>
          <t>00000000</t>
        </is>
      </c>
      <c r="AH1586" t="n" s="2909">
        <v>1</v>
      </c>
      <c r="AJ1586" t="n" s="2909">
        <v>10</v>
      </c>
      <c r="AP1586" t="n" s="2909">
        <v>320000</v>
      </c>
      <c r="DB1586" s="2909" t="str">
        <f>IF($A1586="","",IF($AH1586=20,IF(AND(OR($A1586=21,$A1586=215),$AJ1586=10),"①病院一般",IF(AND($A1586=31,$AJ1586=41),"②病院短期","対象外")),IF($AJ1586=30,"③特定消防",IF(AND(OR($A1586=21,$A1586=215),$AJ1586=10),"④一般",IF(AND($A1586=31,$AJ1586=41),"⑤短期","対象外")))))</f>
        <v>④一般</v>
      </c>
      <c r="DC1586" s="2909">
        <f>IF($A1586="","",IF($AB1586&amp;""='DB_設定'!$C$4,1,0))</f>
        <v>1</v>
      </c>
    </row>
    <row r="1587">
      <c r="A1587" t="n" s="2909">
        <v>215</v>
      </c>
      <c r="AA1587" t="n" s="2909">
        <v>21</v>
      </c>
      <c r="AB1587" t="inlineStr" s="2909">
        <is>
          <t>20250401</t>
        </is>
      </c>
      <c r="AD1587" t="n" s="2909">
        <v>0</v>
      </c>
      <c r="AE1587" t="inlineStr" s="2909">
        <is>
          <t>00000000</t>
        </is>
      </c>
      <c r="AH1587" t="n" s="2909">
        <v>1</v>
      </c>
      <c r="AJ1587" t="n" s="2909">
        <v>10</v>
      </c>
      <c r="AP1587" t="n" s="2909">
        <v>340000</v>
      </c>
      <c r="DB1587" s="2909" t="str">
        <f>IF($A1587="","",IF($AH1587=20,IF(AND(OR($A1587=21,$A1587=215),$AJ1587=10),"①病院一般",IF(AND($A1587=31,$AJ1587=41),"②病院短期","対象外")),IF($AJ1587=30,"③特定消防",IF(AND(OR($A1587=21,$A1587=215),$AJ1587=10),"④一般",IF(AND($A1587=31,$AJ1587=41),"⑤短期","対象外")))))</f>
        <v>④一般</v>
      </c>
      <c r="DC1587" s="2909">
        <f>IF($A1587="","",IF($AB1587&amp;""='DB_設定'!$C$4,1,0))</f>
        <v>1</v>
      </c>
    </row>
    <row r="1588">
      <c r="A1588" t="n" s="2909">
        <v>215</v>
      </c>
      <c r="AA1588" t="n" s="2909">
        <v>21</v>
      </c>
      <c r="AB1588" t="inlineStr" s="2909">
        <is>
          <t>20250401</t>
        </is>
      </c>
      <c r="AD1588" t="n" s="2909">
        <v>0</v>
      </c>
      <c r="AE1588" t="inlineStr" s="2909">
        <is>
          <t>00000000</t>
        </is>
      </c>
      <c r="AH1588" t="n" s="2909">
        <v>1</v>
      </c>
      <c r="AJ1588" t="n" s="2909">
        <v>10</v>
      </c>
      <c r="AP1588" t="n" s="2909">
        <v>300000</v>
      </c>
      <c r="DB1588" s="2909" t="str">
        <f>IF($A1588="","",IF($AH1588=20,IF(AND(OR($A1588=21,$A1588=215),$AJ1588=10),"①病院一般",IF(AND($A1588=31,$AJ1588=41),"②病院短期","対象外")),IF($AJ1588=30,"③特定消防",IF(AND(OR($A1588=21,$A1588=215),$AJ1588=10),"④一般",IF(AND($A1588=31,$AJ1588=41),"⑤短期","対象外")))))</f>
        <v>④一般</v>
      </c>
      <c r="DC1588" s="2909">
        <f>IF($A1588="","",IF($AB1588&amp;""='DB_設定'!$C$4,1,0))</f>
        <v>1</v>
      </c>
    </row>
    <row r="1589">
      <c r="A1589" t="n" s="2909">
        <v>215</v>
      </c>
      <c r="AA1589" t="n" s="2909">
        <v>21</v>
      </c>
      <c r="AB1589" t="inlineStr" s="2909">
        <is>
          <t>20250401</t>
        </is>
      </c>
      <c r="AD1589" t="n" s="2909">
        <v>0</v>
      </c>
      <c r="AE1589" t="inlineStr" s="2909">
        <is>
          <t>00000000</t>
        </is>
      </c>
      <c r="AH1589" t="n" s="2909">
        <v>1</v>
      </c>
      <c r="AJ1589" t="n" s="2909">
        <v>10</v>
      </c>
      <c r="AP1589" t="n" s="2909">
        <v>340000</v>
      </c>
      <c r="DB1589" s="2909" t="str">
        <f>IF($A1589="","",IF($AH1589=20,IF(AND(OR($A1589=21,$A1589=215),$AJ1589=10),"①病院一般",IF(AND($A1589=31,$AJ1589=41),"②病院短期","対象外")),IF($AJ1589=30,"③特定消防",IF(AND(OR($A1589=21,$A1589=215),$AJ1589=10),"④一般",IF(AND($A1589=31,$AJ1589=41),"⑤短期","対象外")))))</f>
        <v>④一般</v>
      </c>
      <c r="DC1589" s="2909">
        <f>IF($A1589="","",IF($AB1589&amp;""='DB_設定'!$C$4,1,0))</f>
        <v>1</v>
      </c>
    </row>
    <row r="1590">
      <c r="A1590" t="n" s="2909">
        <v>215</v>
      </c>
      <c r="AA1590" t="n" s="2909">
        <v>21</v>
      </c>
      <c r="AB1590" t="inlineStr" s="2909">
        <is>
          <t>20250401</t>
        </is>
      </c>
      <c r="AD1590" t="n" s="2909">
        <v>0</v>
      </c>
      <c r="AE1590" t="inlineStr" s="2909">
        <is>
          <t>00000000</t>
        </is>
      </c>
      <c r="AH1590" t="n" s="2909">
        <v>1</v>
      </c>
      <c r="AJ1590" t="n" s="2909">
        <v>10</v>
      </c>
      <c r="AP1590" t="n" s="2909">
        <v>300000</v>
      </c>
      <c r="DB1590" s="2909" t="str">
        <f>IF($A1590="","",IF($AH1590=20,IF(AND(OR($A1590=21,$A1590=215),$AJ1590=10),"①病院一般",IF(AND($A1590=31,$AJ1590=41),"②病院短期","対象外")),IF($AJ1590=30,"③特定消防",IF(AND(OR($A1590=21,$A1590=215),$AJ1590=10),"④一般",IF(AND($A1590=31,$AJ1590=41),"⑤短期","対象外")))))</f>
        <v>④一般</v>
      </c>
      <c r="DC1590" s="2909">
        <f>IF($A1590="","",IF($AB1590&amp;""='DB_設定'!$C$4,1,0))</f>
        <v>1</v>
      </c>
    </row>
    <row r="1591">
      <c r="A1591" t="n" s="2909">
        <v>215</v>
      </c>
      <c r="AA1591" t="n" s="2909">
        <v>21</v>
      </c>
      <c r="AB1591" t="inlineStr" s="2909">
        <is>
          <t>20250401</t>
        </is>
      </c>
      <c r="AD1591" t="n" s="2909">
        <v>0</v>
      </c>
      <c r="AE1591" t="inlineStr" s="2909">
        <is>
          <t>00000000</t>
        </is>
      </c>
      <c r="AH1591" t="n" s="2909">
        <v>1</v>
      </c>
      <c r="AJ1591" t="n" s="2909">
        <v>10</v>
      </c>
      <c r="AP1591" t="n" s="2909">
        <v>300000</v>
      </c>
      <c r="DB1591" s="2909" t="str">
        <f>IF($A1591="","",IF($AH1591=20,IF(AND(OR($A1591=21,$A1591=215),$AJ1591=10),"①病院一般",IF(AND($A1591=31,$AJ1591=41),"②病院短期","対象外")),IF($AJ1591=30,"③特定消防",IF(AND(OR($A1591=21,$A1591=215),$AJ1591=10),"④一般",IF(AND($A1591=31,$AJ1591=41),"⑤短期","対象外")))))</f>
        <v>④一般</v>
      </c>
      <c r="DC1591" s="2909">
        <f>IF($A1591="","",IF($AB1591&amp;""='DB_設定'!$C$4,1,0))</f>
        <v>1</v>
      </c>
    </row>
    <row r="1592">
      <c r="A1592" t="n" s="2909">
        <v>215</v>
      </c>
      <c r="AA1592" t="n" s="2909">
        <v>21</v>
      </c>
      <c r="AB1592" t="inlineStr" s="2909">
        <is>
          <t>20250401</t>
        </is>
      </c>
      <c r="AD1592" t="n" s="2909">
        <v>0</v>
      </c>
      <c r="AE1592" t="inlineStr" s="2909">
        <is>
          <t>00000000</t>
        </is>
      </c>
      <c r="AH1592" t="n" s="2909">
        <v>1</v>
      </c>
      <c r="AJ1592" t="n" s="2909">
        <v>10</v>
      </c>
      <c r="AP1592" t="n" s="2909">
        <v>280000</v>
      </c>
      <c r="DB1592" s="2909" t="str">
        <f>IF($A1592="","",IF($AH1592=20,IF(AND(OR($A1592=21,$A1592=215),$AJ1592=10),"①病院一般",IF(AND($A1592=31,$AJ1592=41),"②病院短期","対象外")),IF($AJ1592=30,"③特定消防",IF(AND(OR($A1592=21,$A1592=215),$AJ1592=10),"④一般",IF(AND($A1592=31,$AJ1592=41),"⑤短期","対象外")))))</f>
        <v>④一般</v>
      </c>
      <c r="DC1592" s="2909">
        <f>IF($A1592="","",IF($AB1592&amp;""='DB_設定'!$C$4,1,0))</f>
        <v>1</v>
      </c>
    </row>
    <row r="1593">
      <c r="A1593" t="n" s="2909">
        <v>215</v>
      </c>
      <c r="AA1593" t="n" s="2909">
        <v>21</v>
      </c>
      <c r="AB1593" t="inlineStr" s="2909">
        <is>
          <t>20250401</t>
        </is>
      </c>
      <c r="AD1593" t="n" s="2909">
        <v>0</v>
      </c>
      <c r="AE1593" t="inlineStr" s="2909">
        <is>
          <t>00000000</t>
        </is>
      </c>
      <c r="AH1593" t="n" s="2909">
        <v>1</v>
      </c>
      <c r="AJ1593" t="n" s="2909">
        <v>10</v>
      </c>
      <c r="AP1593" t="n" s="2909">
        <v>300000</v>
      </c>
      <c r="DB1593" s="2909" t="str">
        <f>IF($A1593="","",IF($AH1593=20,IF(AND(OR($A1593=21,$A1593=215),$AJ1593=10),"①病院一般",IF(AND($A1593=31,$AJ1593=41),"②病院短期","対象外")),IF($AJ1593=30,"③特定消防",IF(AND(OR($A1593=21,$A1593=215),$AJ1593=10),"④一般",IF(AND($A1593=31,$AJ1593=41),"⑤短期","対象外")))))</f>
        <v>④一般</v>
      </c>
      <c r="DC1593" s="2909">
        <f>IF($A1593="","",IF($AB1593&amp;""='DB_設定'!$C$4,1,0))</f>
        <v>1</v>
      </c>
    </row>
    <row r="1594">
      <c r="A1594" t="n" s="2909">
        <v>215</v>
      </c>
      <c r="AA1594" t="n" s="2909">
        <v>21</v>
      </c>
      <c r="AB1594" t="inlineStr" s="2909">
        <is>
          <t>20250401</t>
        </is>
      </c>
      <c r="AD1594" t="n" s="2909">
        <v>0</v>
      </c>
      <c r="AE1594" t="inlineStr" s="2909">
        <is>
          <t>00000000</t>
        </is>
      </c>
      <c r="AH1594" t="n" s="2909">
        <v>1</v>
      </c>
      <c r="AJ1594" t="n" s="2909">
        <v>10</v>
      </c>
      <c r="AP1594" t="n" s="2909">
        <v>300000</v>
      </c>
      <c r="DB1594" s="2909" t="str">
        <f>IF($A1594="","",IF($AH1594=20,IF(AND(OR($A1594=21,$A1594=215),$AJ1594=10),"①病院一般",IF(AND($A1594=31,$AJ1594=41),"②病院短期","対象外")),IF($AJ1594=30,"③特定消防",IF(AND(OR($A1594=21,$A1594=215),$AJ1594=10),"④一般",IF(AND($A1594=31,$AJ1594=41),"⑤短期","対象外")))))</f>
        <v>④一般</v>
      </c>
      <c r="DC1594" s="2909">
        <f>IF($A1594="","",IF($AB1594&amp;""='DB_設定'!$C$4,1,0))</f>
        <v>1</v>
      </c>
    </row>
    <row r="1595">
      <c r="A1595" t="n" s="2909">
        <v>215</v>
      </c>
      <c r="AA1595" t="n" s="2909">
        <v>21</v>
      </c>
      <c r="AB1595" t="inlineStr" s="2909">
        <is>
          <t>20250401</t>
        </is>
      </c>
      <c r="AD1595" t="n" s="2909">
        <v>0</v>
      </c>
      <c r="AE1595" t="inlineStr" s="2909">
        <is>
          <t>00000000</t>
        </is>
      </c>
      <c r="AH1595" t="n" s="2909">
        <v>5</v>
      </c>
      <c r="AJ1595" t="n" s="2909">
        <v>30</v>
      </c>
      <c r="AP1595" t="n" s="2909">
        <v>280000</v>
      </c>
      <c r="DB1595" s="2909" t="str">
        <f>IF($A1595="","",IF($AH1595=20,IF(AND(OR($A1595=21,$A1595=215),$AJ1595=10),"①病院一般",IF(AND($A1595=31,$AJ1595=41),"②病院短期","対象外")),IF($AJ1595=30,"③特定消防",IF(AND(OR($A1595=21,$A1595=215),$AJ1595=10),"④一般",IF(AND($A1595=31,$AJ1595=41),"⑤短期","対象外")))))</f>
        <v>③特定消防</v>
      </c>
      <c r="DC1595" s="2909">
        <f>IF($A1595="","",IF($AB1595&amp;""='DB_設定'!$C$4,1,0))</f>
        <v>1</v>
      </c>
    </row>
    <row r="1596">
      <c r="A1596" t="n" s="2909">
        <v>215</v>
      </c>
      <c r="AA1596" t="n" s="2909">
        <v>21</v>
      </c>
      <c r="AB1596" t="inlineStr" s="2909">
        <is>
          <t>20250401</t>
        </is>
      </c>
      <c r="AD1596" t="n" s="2909">
        <v>0</v>
      </c>
      <c r="AE1596" t="inlineStr" s="2909">
        <is>
          <t>00000000</t>
        </is>
      </c>
      <c r="AH1596" t="n" s="2909">
        <v>5</v>
      </c>
      <c r="AJ1596" t="n" s="2909">
        <v>30</v>
      </c>
      <c r="AP1596" t="n" s="2909">
        <v>320000</v>
      </c>
      <c r="DB1596" s="2909" t="str">
        <f>IF($A1596="","",IF($AH1596=20,IF(AND(OR($A1596=21,$A1596=215),$AJ1596=10),"①病院一般",IF(AND($A1596=31,$AJ1596=41),"②病院短期","対象外")),IF($AJ1596=30,"③特定消防",IF(AND(OR($A1596=21,$A1596=215),$AJ1596=10),"④一般",IF(AND($A1596=31,$AJ1596=41),"⑤短期","対象外")))))</f>
        <v>③特定消防</v>
      </c>
      <c r="DC1596" s="2909">
        <f>IF($A1596="","",IF($AB1596&amp;""='DB_設定'!$C$4,1,0))</f>
        <v>1</v>
      </c>
    </row>
    <row r="1597">
      <c r="A1597" t="n" s="2909">
        <v>215</v>
      </c>
      <c r="AA1597" t="n" s="2909">
        <v>21</v>
      </c>
      <c r="AB1597" t="inlineStr" s="2909">
        <is>
          <t>20250401</t>
        </is>
      </c>
      <c r="AD1597" t="n" s="2909">
        <v>0</v>
      </c>
      <c r="AE1597" t="inlineStr" s="2909">
        <is>
          <t>00000000</t>
        </is>
      </c>
      <c r="AH1597" t="n" s="2909">
        <v>5</v>
      </c>
      <c r="AJ1597" t="n" s="2909">
        <v>30</v>
      </c>
      <c r="AP1597" t="n" s="2909">
        <v>340000</v>
      </c>
      <c r="DB1597" s="2909" t="str">
        <f>IF($A1597="","",IF($AH1597=20,IF(AND(OR($A1597=21,$A1597=215),$AJ1597=10),"①病院一般",IF(AND($A1597=31,$AJ1597=41),"②病院短期","対象外")),IF($AJ1597=30,"③特定消防",IF(AND(OR($A1597=21,$A1597=215),$AJ1597=10),"④一般",IF(AND($A1597=31,$AJ1597=41),"⑤短期","対象外")))))</f>
        <v>③特定消防</v>
      </c>
      <c r="DC1597" s="2909">
        <f>IF($A1597="","",IF($AB1597&amp;""='DB_設定'!$C$4,1,0))</f>
        <v>1</v>
      </c>
    </row>
    <row r="1598">
      <c r="A1598" t="n" s="2909">
        <v>215</v>
      </c>
      <c r="AA1598" t="n" s="2909">
        <v>21</v>
      </c>
      <c r="AB1598" t="inlineStr" s="2909">
        <is>
          <t>20250401</t>
        </is>
      </c>
      <c r="AD1598" t="n" s="2909">
        <v>0</v>
      </c>
      <c r="AE1598" t="inlineStr" s="2909">
        <is>
          <t>00000000</t>
        </is>
      </c>
      <c r="AH1598" t="n" s="2909">
        <v>4</v>
      </c>
      <c r="AJ1598" t="n" s="2909">
        <v>10</v>
      </c>
      <c r="AP1598" t="n" s="2909">
        <v>300000</v>
      </c>
      <c r="DB1598" s="2909" t="str">
        <f>IF($A1598="","",IF($AH1598=20,IF(AND(OR($A1598=21,$A1598=215),$AJ1598=10),"①病院一般",IF(AND($A1598=31,$AJ1598=41),"②病院短期","対象外")),IF($AJ1598=30,"③特定消防",IF(AND(OR($A1598=21,$A1598=215),$AJ1598=10),"④一般",IF(AND($A1598=31,$AJ1598=41),"⑤短期","対象外")))))</f>
        <v>④一般</v>
      </c>
      <c r="DC1598" s="2909">
        <f>IF($A1598="","",IF($AB1598&amp;""='DB_設定'!$C$4,1,0))</f>
        <v>1</v>
      </c>
    </row>
    <row r="1599">
      <c r="A1599" t="n" s="2909">
        <v>215</v>
      </c>
      <c r="AA1599" t="n" s="2909">
        <v>21</v>
      </c>
      <c r="AB1599" t="inlineStr" s="2909">
        <is>
          <t>20250401</t>
        </is>
      </c>
      <c r="AD1599" t="n" s="2909">
        <v>0</v>
      </c>
      <c r="AE1599" t="inlineStr" s="2909">
        <is>
          <t>00000000</t>
        </is>
      </c>
      <c r="AH1599" t="n" s="2909">
        <v>11</v>
      </c>
      <c r="AJ1599" t="n" s="2909">
        <v>10</v>
      </c>
      <c r="AP1599" t="n" s="2909">
        <v>280000</v>
      </c>
      <c r="DB1599" s="2909" t="str">
        <f>IF($A1599="","",IF($AH1599=20,IF(AND(OR($A1599=21,$A1599=215),$AJ1599=10),"①病院一般",IF(AND($A1599=31,$AJ1599=41),"②病院短期","対象外")),IF($AJ1599=30,"③特定消防",IF(AND(OR($A1599=21,$A1599=215),$AJ1599=10),"④一般",IF(AND($A1599=31,$AJ1599=41),"⑤短期","対象外")))))</f>
        <v>④一般</v>
      </c>
      <c r="DC1599" s="2909">
        <f>IF($A1599="","",IF($AB1599&amp;""='DB_設定'!$C$4,1,0))</f>
        <v>1</v>
      </c>
    </row>
    <row r="1600">
      <c r="A1600" t="n" s="2909">
        <v>215</v>
      </c>
      <c r="AA1600" t="n" s="2909">
        <v>21</v>
      </c>
      <c r="AB1600" t="inlineStr" s="2909">
        <is>
          <t>20250401</t>
        </is>
      </c>
      <c r="AD1600" t="n" s="2909">
        <v>0</v>
      </c>
      <c r="AE1600" t="inlineStr" s="2909">
        <is>
          <t>00000000</t>
        </is>
      </c>
      <c r="AH1600" t="n" s="2909">
        <v>1</v>
      </c>
      <c r="AJ1600" t="n" s="2909">
        <v>10</v>
      </c>
      <c r="AP1600" t="n" s="2909">
        <v>320000</v>
      </c>
      <c r="DB1600" s="2909" t="str">
        <f>IF($A1600="","",IF($AH1600=20,IF(AND(OR($A1600=21,$A1600=215),$AJ1600=10),"①病院一般",IF(AND($A1600=31,$AJ1600=41),"②病院短期","対象外")),IF($AJ1600=30,"③特定消防",IF(AND(OR($A1600=21,$A1600=215),$AJ1600=10),"④一般",IF(AND($A1600=31,$AJ1600=41),"⑤短期","対象外")))))</f>
        <v>④一般</v>
      </c>
      <c r="DC1600" s="2909">
        <f>IF($A1600="","",IF($AB1600&amp;""='DB_設定'!$C$4,1,0))</f>
        <v>1</v>
      </c>
    </row>
    <row r="1601">
      <c r="A1601" t="n" s="2909">
        <v>215</v>
      </c>
      <c r="AA1601" t="n" s="2909">
        <v>21</v>
      </c>
      <c r="AB1601" t="inlineStr" s="2909">
        <is>
          <t>20250401</t>
        </is>
      </c>
      <c r="AD1601" t="n" s="2909">
        <v>0</v>
      </c>
      <c r="AE1601" t="inlineStr" s="2909">
        <is>
          <t>00000000</t>
        </is>
      </c>
      <c r="AH1601" t="n" s="2909">
        <v>20</v>
      </c>
      <c r="AJ1601" t="n" s="2909">
        <v>10</v>
      </c>
      <c r="AP1601" t="n" s="2909">
        <v>380000</v>
      </c>
      <c r="DB1601" s="2909" t="str">
        <f>IF($A1601="","",IF($AH1601=20,IF(AND(OR($A1601=21,$A1601=215),$AJ1601=10),"①病院一般",IF(AND($A1601=31,$AJ1601=41),"②病院短期","対象外")),IF($AJ1601=30,"③特定消防",IF(AND(OR($A1601=21,$A1601=215),$AJ1601=10),"④一般",IF(AND($A1601=31,$AJ1601=41),"⑤短期","対象外")))))</f>
        <v>①病院一般</v>
      </c>
      <c r="DC1601" s="2909">
        <f>IF($A1601="","",IF($AB1601&amp;""='DB_設定'!$C$4,1,0))</f>
        <v>1</v>
      </c>
    </row>
    <row r="1602">
      <c r="A1602" t="n" s="2909">
        <v>215</v>
      </c>
      <c r="AA1602" t="n" s="2909">
        <v>21</v>
      </c>
      <c r="AB1602" t="inlineStr" s="2909">
        <is>
          <t>20250401</t>
        </is>
      </c>
      <c r="AD1602" t="n" s="2909">
        <v>0</v>
      </c>
      <c r="AE1602" t="inlineStr" s="2909">
        <is>
          <t>00000000</t>
        </is>
      </c>
      <c r="AH1602" t="n" s="2909">
        <v>5</v>
      </c>
      <c r="AJ1602" t="n" s="2909">
        <v>30</v>
      </c>
      <c r="AP1602" t="n" s="2909">
        <v>300000</v>
      </c>
      <c r="DB1602" s="2909" t="str">
        <f>IF($A1602="","",IF($AH1602=20,IF(AND(OR($A1602=21,$A1602=215),$AJ1602=10),"①病院一般",IF(AND($A1602=31,$AJ1602=41),"②病院短期","対象外")),IF($AJ1602=30,"③特定消防",IF(AND(OR($A1602=21,$A1602=215),$AJ1602=10),"④一般",IF(AND($A1602=31,$AJ1602=41),"⑤短期","対象外")))))</f>
        <v>③特定消防</v>
      </c>
      <c r="DC1602" s="2909">
        <f>IF($A1602="","",IF($AB1602&amp;""='DB_設定'!$C$4,1,0))</f>
        <v>1</v>
      </c>
    </row>
    <row r="1603">
      <c r="A1603" t="n" s="2909">
        <v>215</v>
      </c>
      <c r="AA1603" t="n" s="2909">
        <v>21</v>
      </c>
      <c r="AB1603" t="inlineStr" s="2909">
        <is>
          <t>20250401</t>
        </is>
      </c>
      <c r="AD1603" t="n" s="2909">
        <v>0</v>
      </c>
      <c r="AE1603" t="inlineStr" s="2909">
        <is>
          <t>00000000</t>
        </is>
      </c>
      <c r="AH1603" t="n" s="2909">
        <v>5</v>
      </c>
      <c r="AJ1603" t="n" s="2909">
        <v>30</v>
      </c>
      <c r="AP1603" t="n" s="2909">
        <v>300000</v>
      </c>
      <c r="DB1603" s="2909" t="str">
        <f>IF($A1603="","",IF($AH1603=20,IF(AND(OR($A1603=21,$A1603=215),$AJ1603=10),"①病院一般",IF(AND($A1603=31,$AJ1603=41),"②病院短期","対象外")),IF($AJ1603=30,"③特定消防",IF(AND(OR($A1603=21,$A1603=215),$AJ1603=10),"④一般",IF(AND($A1603=31,$AJ1603=41),"⑤短期","対象外")))))</f>
        <v>③特定消防</v>
      </c>
      <c r="DC1603" s="2909">
        <f>IF($A1603="","",IF($AB1603&amp;""='DB_設定'!$C$4,1,0))</f>
        <v>1</v>
      </c>
    </row>
    <row r="1604">
      <c r="A1604" t="n" s="2909">
        <v>215</v>
      </c>
      <c r="AA1604" t="n" s="2909">
        <v>21</v>
      </c>
      <c r="AB1604" t="inlineStr" s="2909">
        <is>
          <t>20250401</t>
        </is>
      </c>
      <c r="AD1604" t="n" s="2909">
        <v>0</v>
      </c>
      <c r="AE1604" t="inlineStr" s="2909">
        <is>
          <t>00000000</t>
        </is>
      </c>
      <c r="AH1604" t="n" s="2909">
        <v>5</v>
      </c>
      <c r="AJ1604" t="n" s="2909">
        <v>30</v>
      </c>
      <c r="AP1604" t="n" s="2909">
        <v>320000</v>
      </c>
      <c r="DB1604" s="2909" t="str">
        <f>IF($A1604="","",IF($AH1604=20,IF(AND(OR($A1604=21,$A1604=215),$AJ1604=10),"①病院一般",IF(AND($A1604=31,$AJ1604=41),"②病院短期","対象外")),IF($AJ1604=30,"③特定消防",IF(AND(OR($A1604=21,$A1604=215),$AJ1604=10),"④一般",IF(AND($A1604=31,$AJ1604=41),"⑤短期","対象外")))))</f>
        <v>③特定消防</v>
      </c>
      <c r="DC1604" s="2909">
        <f>IF($A1604="","",IF($AB1604&amp;""='DB_設定'!$C$4,1,0))</f>
        <v>1</v>
      </c>
    </row>
    <row r="1605">
      <c r="A1605" t="n" s="2909">
        <v>215</v>
      </c>
      <c r="AA1605" t="n" s="2909">
        <v>21</v>
      </c>
      <c r="AB1605" t="inlineStr" s="2909">
        <is>
          <t>20250401</t>
        </is>
      </c>
      <c r="AD1605" t="n" s="2909">
        <v>0</v>
      </c>
      <c r="AE1605" t="inlineStr" s="2909">
        <is>
          <t>00000000</t>
        </is>
      </c>
      <c r="AH1605" t="n" s="2909">
        <v>1</v>
      </c>
      <c r="AJ1605" t="n" s="2909">
        <v>10</v>
      </c>
      <c r="AP1605" t="n" s="2909">
        <v>300000</v>
      </c>
      <c r="DB1605" s="2909" t="str">
        <f>IF($A1605="","",IF($AH1605=20,IF(AND(OR($A1605=21,$A1605=215),$AJ1605=10),"①病院一般",IF(AND($A1605=31,$AJ1605=41),"②病院短期","対象外")),IF($AJ1605=30,"③特定消防",IF(AND(OR($A1605=21,$A1605=215),$AJ1605=10),"④一般",IF(AND($A1605=31,$AJ1605=41),"⑤短期","対象外")))))</f>
        <v>④一般</v>
      </c>
      <c r="DC1605" s="2909">
        <f>IF($A1605="","",IF($AB1605&amp;""='DB_設定'!$C$4,1,0))</f>
        <v>1</v>
      </c>
    </row>
    <row r="1606">
      <c r="A1606" t="n" s="2909">
        <v>215</v>
      </c>
      <c r="AA1606" t="n" s="2909">
        <v>21</v>
      </c>
      <c r="AB1606" t="inlineStr" s="2909">
        <is>
          <t>20250401</t>
        </is>
      </c>
      <c r="AD1606" t="n" s="2909">
        <v>0</v>
      </c>
      <c r="AE1606" t="inlineStr" s="2909">
        <is>
          <t>00000000</t>
        </is>
      </c>
      <c r="AH1606" t="n" s="2909">
        <v>1</v>
      </c>
      <c r="AJ1606" t="n" s="2909">
        <v>10</v>
      </c>
      <c r="AP1606" t="n" s="2909">
        <v>360000</v>
      </c>
      <c r="DB1606" s="2909" t="str">
        <f>IF($A1606="","",IF($AH1606=20,IF(AND(OR($A1606=21,$A1606=215),$AJ1606=10),"①病院一般",IF(AND($A1606=31,$AJ1606=41),"②病院短期","対象外")),IF($AJ1606=30,"③特定消防",IF(AND(OR($A1606=21,$A1606=215),$AJ1606=10),"④一般",IF(AND($A1606=31,$AJ1606=41),"⑤短期","対象外")))))</f>
        <v>④一般</v>
      </c>
      <c r="DC1606" s="2909">
        <f>IF($A1606="","",IF($AB1606&amp;""='DB_設定'!$C$4,1,0))</f>
        <v>1</v>
      </c>
    </row>
    <row r="1607">
      <c r="A1607" t="n" s="2909">
        <v>215</v>
      </c>
      <c r="AA1607" t="n" s="2909">
        <v>21</v>
      </c>
      <c r="AB1607" t="inlineStr" s="2909">
        <is>
          <t>20250401</t>
        </is>
      </c>
      <c r="AD1607" t="n" s="2909">
        <v>0</v>
      </c>
      <c r="AE1607" t="inlineStr" s="2909">
        <is>
          <t>00000000</t>
        </is>
      </c>
      <c r="AH1607" t="n" s="2909">
        <v>4</v>
      </c>
      <c r="AJ1607" t="n" s="2909">
        <v>10</v>
      </c>
      <c r="AP1607" t="n" s="2909">
        <v>320000</v>
      </c>
      <c r="DB1607" s="2909" t="str">
        <f>IF($A1607="","",IF($AH1607=20,IF(AND(OR($A1607=21,$A1607=215),$AJ1607=10),"①病院一般",IF(AND($A1607=31,$AJ1607=41),"②病院短期","対象外")),IF($AJ1607=30,"③特定消防",IF(AND(OR($A1607=21,$A1607=215),$AJ1607=10),"④一般",IF(AND($A1607=31,$AJ1607=41),"⑤短期","対象外")))))</f>
        <v>④一般</v>
      </c>
      <c r="DC1607" s="2909">
        <f>IF($A1607="","",IF($AB1607&amp;""='DB_設定'!$C$4,1,0))</f>
        <v>1</v>
      </c>
    </row>
    <row r="1608">
      <c r="A1608" t="n" s="2909">
        <v>215</v>
      </c>
      <c r="AA1608" t="n" s="2909">
        <v>21</v>
      </c>
      <c r="AB1608" t="inlineStr" s="2909">
        <is>
          <t>20250401</t>
        </is>
      </c>
      <c r="AD1608" t="n" s="2909">
        <v>0</v>
      </c>
      <c r="AE1608" t="inlineStr" s="2909">
        <is>
          <t>00000000</t>
        </is>
      </c>
      <c r="AH1608" t="n" s="2909">
        <v>1</v>
      </c>
      <c r="AJ1608" t="n" s="2909">
        <v>10</v>
      </c>
      <c r="AP1608" t="n" s="2909">
        <v>300000</v>
      </c>
      <c r="DB1608" s="2909" t="str">
        <f>IF($A1608="","",IF($AH1608=20,IF(AND(OR($A1608=21,$A1608=215),$AJ1608=10),"①病院一般",IF(AND($A1608=31,$AJ1608=41),"②病院短期","対象外")),IF($AJ1608=30,"③特定消防",IF(AND(OR($A1608=21,$A1608=215),$AJ1608=10),"④一般",IF(AND($A1608=31,$AJ1608=41),"⑤短期","対象外")))))</f>
        <v>④一般</v>
      </c>
      <c r="DC1608" s="2909">
        <f>IF($A1608="","",IF($AB1608&amp;""='DB_設定'!$C$4,1,0))</f>
        <v>1</v>
      </c>
    </row>
    <row r="1609">
      <c r="A1609" t="n" s="2909">
        <v>215</v>
      </c>
      <c r="AA1609" t="n" s="2909">
        <v>21</v>
      </c>
      <c r="AB1609" t="inlineStr" s="2909">
        <is>
          <t>20250401</t>
        </is>
      </c>
      <c r="AD1609" t="n" s="2909">
        <v>0</v>
      </c>
      <c r="AE1609" t="inlineStr" s="2909">
        <is>
          <t>00000000</t>
        </is>
      </c>
      <c r="AH1609" t="n" s="2909">
        <v>1</v>
      </c>
      <c r="AJ1609" t="n" s="2909">
        <v>10</v>
      </c>
      <c r="AP1609" t="n" s="2909">
        <v>300000</v>
      </c>
      <c r="DB1609" s="2909" t="str">
        <f>IF($A1609="","",IF($AH1609=20,IF(AND(OR($A1609=21,$A1609=215),$AJ1609=10),"①病院一般",IF(AND($A1609=31,$AJ1609=41),"②病院短期","対象外")),IF($AJ1609=30,"③特定消防",IF(AND(OR($A1609=21,$A1609=215),$AJ1609=10),"④一般",IF(AND($A1609=31,$AJ1609=41),"⑤短期","対象外")))))</f>
        <v>④一般</v>
      </c>
      <c r="DC1609" s="2909">
        <f>IF($A1609="","",IF($AB1609&amp;""='DB_設定'!$C$4,1,0))</f>
        <v>1</v>
      </c>
    </row>
    <row r="1610">
      <c r="A1610" t="n" s="2909">
        <v>215</v>
      </c>
      <c r="AA1610" t="n" s="2909">
        <v>21</v>
      </c>
      <c r="AB1610" t="inlineStr" s="2909">
        <is>
          <t>20250401</t>
        </is>
      </c>
      <c r="AD1610" t="n" s="2909">
        <v>0</v>
      </c>
      <c r="AE1610" t="inlineStr" s="2909">
        <is>
          <t>00000000</t>
        </is>
      </c>
      <c r="AH1610" t="n" s="2909">
        <v>1</v>
      </c>
      <c r="AJ1610" t="n" s="2909">
        <v>15</v>
      </c>
      <c r="AP1610" t="n" s="2909">
        <v>320000</v>
      </c>
      <c r="DB1610" s="2909" t="str">
        <f>IF($A1610="","",IF($AH1610=20,IF(AND(OR($A1610=21,$A1610=215),$AJ1610=10),"①病院一般",IF(AND($A1610=31,$AJ1610=41),"②病院短期","対象外")),IF($AJ1610=30,"③特定消防",IF(AND(OR($A1610=21,$A1610=215),$AJ1610=10),"④一般",IF(AND($A1610=31,$AJ1610=41),"⑤短期","対象外")))))</f>
        <v>対象外</v>
      </c>
      <c r="DC1610" s="2909">
        <f>IF($A1610="","",IF($AB1610&amp;""='DB_設定'!$C$4,1,0))</f>
        <v>1</v>
      </c>
    </row>
    <row r="1611">
      <c r="A1611" t="n" s="2909">
        <v>215</v>
      </c>
      <c r="AA1611" t="n" s="2909">
        <v>21</v>
      </c>
      <c r="AB1611" t="inlineStr" s="2909">
        <is>
          <t>20250401</t>
        </is>
      </c>
      <c r="AD1611" t="n" s="2909">
        <v>0</v>
      </c>
      <c r="AE1611" t="inlineStr" s="2909">
        <is>
          <t>00000000</t>
        </is>
      </c>
      <c r="AH1611" t="n" s="2909">
        <v>1</v>
      </c>
      <c r="AJ1611" t="n" s="2909">
        <v>10</v>
      </c>
      <c r="AP1611" t="n" s="2909">
        <v>360000</v>
      </c>
      <c r="DB1611" s="2909" t="str">
        <f>IF($A1611="","",IF($AH1611=20,IF(AND(OR($A1611=21,$A1611=215),$AJ1611=10),"①病院一般",IF(AND($A1611=31,$AJ1611=41),"②病院短期","対象外")),IF($AJ1611=30,"③特定消防",IF(AND(OR($A1611=21,$A1611=215),$AJ1611=10),"④一般",IF(AND($A1611=31,$AJ1611=41),"⑤短期","対象外")))))</f>
        <v>④一般</v>
      </c>
      <c r="DC1611" s="2909">
        <f>IF($A1611="","",IF($AB1611&amp;""='DB_設定'!$C$4,1,0))</f>
        <v>1</v>
      </c>
    </row>
    <row r="1612">
      <c r="A1612" t="n" s="2909">
        <v>215</v>
      </c>
      <c r="AA1612" t="n" s="2909">
        <v>21</v>
      </c>
      <c r="AB1612" t="inlineStr" s="2909">
        <is>
          <t>20250401</t>
        </is>
      </c>
      <c r="AD1612" t="n" s="2909">
        <v>0</v>
      </c>
      <c r="AE1612" t="inlineStr" s="2909">
        <is>
          <t>00000000</t>
        </is>
      </c>
      <c r="AH1612" t="n" s="2909">
        <v>4</v>
      </c>
      <c r="AJ1612" t="n" s="2909">
        <v>10</v>
      </c>
      <c r="AP1612" t="n" s="2909">
        <v>320000</v>
      </c>
      <c r="DB1612" s="2909" t="str">
        <f>IF($A1612="","",IF($AH1612=20,IF(AND(OR($A1612=21,$A1612=215),$AJ1612=10),"①病院一般",IF(AND($A1612=31,$AJ1612=41),"②病院短期","対象外")),IF($AJ1612=30,"③特定消防",IF(AND(OR($A1612=21,$A1612=215),$AJ1612=10),"④一般",IF(AND($A1612=31,$AJ1612=41),"⑤短期","対象外")))))</f>
        <v>④一般</v>
      </c>
      <c r="DC1612" s="2909">
        <f>IF($A1612="","",IF($AB1612&amp;""='DB_設定'!$C$4,1,0))</f>
        <v>1</v>
      </c>
    </row>
    <row r="1613">
      <c r="A1613" t="n" s="2909">
        <v>215</v>
      </c>
      <c r="AA1613" t="n" s="2909">
        <v>21</v>
      </c>
      <c r="AB1613" t="inlineStr" s="2909">
        <is>
          <t>20250401</t>
        </is>
      </c>
      <c r="AD1613" t="n" s="2909">
        <v>0</v>
      </c>
      <c r="AE1613" t="inlineStr" s="2909">
        <is>
          <t>00000000</t>
        </is>
      </c>
      <c r="AH1613" t="n" s="2909">
        <v>4</v>
      </c>
      <c r="AJ1613" t="n" s="2909">
        <v>10</v>
      </c>
      <c r="AP1613" t="n" s="2909">
        <v>300000</v>
      </c>
      <c r="DB1613" s="2909" t="str">
        <f>IF($A1613="","",IF($AH1613=20,IF(AND(OR($A1613=21,$A1613=215),$AJ1613=10),"①病院一般",IF(AND($A1613=31,$AJ1613=41),"②病院短期","対象外")),IF($AJ1613=30,"③特定消防",IF(AND(OR($A1613=21,$A1613=215),$AJ1613=10),"④一般",IF(AND($A1613=31,$AJ1613=41),"⑤短期","対象外")))))</f>
        <v>④一般</v>
      </c>
      <c r="DC1613" s="2909">
        <f>IF($A1613="","",IF($AB1613&amp;""='DB_設定'!$C$4,1,0))</f>
        <v>1</v>
      </c>
    </row>
    <row r="1614">
      <c r="A1614" t="n" s="2909">
        <v>215</v>
      </c>
      <c r="AA1614" t="n" s="2909">
        <v>21</v>
      </c>
      <c r="AB1614" t="inlineStr" s="2909">
        <is>
          <t>20250401</t>
        </is>
      </c>
      <c r="AD1614" t="n" s="2909">
        <v>0</v>
      </c>
      <c r="AE1614" t="inlineStr" s="2909">
        <is>
          <t>00000000</t>
        </is>
      </c>
      <c r="AH1614" t="n" s="2909">
        <v>1</v>
      </c>
      <c r="AJ1614" t="n" s="2909">
        <v>10</v>
      </c>
      <c r="AP1614" t="n" s="2909">
        <v>300000</v>
      </c>
      <c r="DB1614" s="2909" t="str">
        <f>IF($A1614="","",IF($AH1614=20,IF(AND(OR($A1614=21,$A1614=215),$AJ1614=10),"①病院一般",IF(AND($A1614=31,$AJ1614=41),"②病院短期","対象外")),IF($AJ1614=30,"③特定消防",IF(AND(OR($A1614=21,$A1614=215),$AJ1614=10),"④一般",IF(AND($A1614=31,$AJ1614=41),"⑤短期","対象外")))))</f>
        <v>④一般</v>
      </c>
      <c r="DC1614" s="2909">
        <f>IF($A1614="","",IF($AB1614&amp;""='DB_設定'!$C$4,1,0))</f>
        <v>1</v>
      </c>
    </row>
    <row r="1615">
      <c r="A1615" t="n" s="2909">
        <v>215</v>
      </c>
      <c r="AA1615" t="n" s="2909">
        <v>22</v>
      </c>
      <c r="AB1615" t="inlineStr" s="2909">
        <is>
          <t>20250401</t>
        </is>
      </c>
      <c r="AD1615" t="n" s="2909">
        <v>0</v>
      </c>
      <c r="AE1615" t="inlineStr" s="2909">
        <is>
          <t>00000000</t>
        </is>
      </c>
      <c r="AH1615" t="n" s="2909">
        <v>20</v>
      </c>
      <c r="AJ1615" t="n" s="2909">
        <v>10</v>
      </c>
      <c r="AP1615" t="n" s="2909">
        <v>300000</v>
      </c>
      <c r="DB1615" s="2909" t="str">
        <f>IF($A1615="","",IF($AH1615=20,IF(AND(OR($A1615=21,$A1615=215),$AJ1615=10),"①病院一般",IF(AND($A1615=31,$AJ1615=41),"②病院短期","対象外")),IF($AJ1615=30,"③特定消防",IF(AND(OR($A1615=21,$A1615=215),$AJ1615=10),"④一般",IF(AND($A1615=31,$AJ1615=41),"⑤短期","対象外")))))</f>
        <v>①病院一般</v>
      </c>
      <c r="DC1615" s="2909">
        <f>IF($A1615="","",IF($AB1615&amp;""='DB_設定'!$C$4,1,0))</f>
        <v>1</v>
      </c>
    </row>
    <row r="1616">
      <c r="A1616" t="n" s="2909">
        <v>215</v>
      </c>
      <c r="AA1616" t="n" s="2909">
        <v>21</v>
      </c>
      <c r="AB1616" t="inlineStr" s="2909">
        <is>
          <t>20250401</t>
        </is>
      </c>
      <c r="AD1616" t="n" s="2909">
        <v>0</v>
      </c>
      <c r="AE1616" t="inlineStr" s="2909">
        <is>
          <t>00000000</t>
        </is>
      </c>
      <c r="AH1616" t="n" s="2909">
        <v>20</v>
      </c>
      <c r="AJ1616" t="n" s="2909">
        <v>10</v>
      </c>
      <c r="AP1616" t="n" s="2909">
        <v>320000</v>
      </c>
      <c r="DB1616" s="2909" t="str">
        <f>IF($A1616="","",IF($AH1616=20,IF(AND(OR($A1616=21,$A1616=215),$AJ1616=10),"①病院一般",IF(AND($A1616=31,$AJ1616=41),"②病院短期","対象外")),IF($AJ1616=30,"③特定消防",IF(AND(OR($A1616=21,$A1616=215),$AJ1616=10),"④一般",IF(AND($A1616=31,$AJ1616=41),"⑤短期","対象外")))))</f>
        <v>①病院一般</v>
      </c>
      <c r="DC1616" s="2909">
        <f>IF($A1616="","",IF($AB1616&amp;""='DB_設定'!$C$4,1,0))</f>
        <v>1</v>
      </c>
    </row>
    <row r="1617">
      <c r="A1617" t="n" s="2909">
        <v>215</v>
      </c>
      <c r="AA1617" t="n" s="2909">
        <v>21</v>
      </c>
      <c r="AB1617" t="inlineStr" s="2909">
        <is>
          <t>20250401</t>
        </is>
      </c>
      <c r="AD1617" t="n" s="2909">
        <v>0</v>
      </c>
      <c r="AE1617" t="inlineStr" s="2909">
        <is>
          <t>00000000</t>
        </is>
      </c>
      <c r="AH1617" t="n" s="2909">
        <v>20</v>
      </c>
      <c r="AJ1617" t="n" s="2909">
        <v>10</v>
      </c>
      <c r="AP1617" t="n" s="2909">
        <v>440000</v>
      </c>
      <c r="DB1617" s="2909" t="str">
        <f>IF($A1617="","",IF($AH1617=20,IF(AND(OR($A1617=21,$A1617=215),$AJ1617=10),"①病院一般",IF(AND($A1617=31,$AJ1617=41),"②病院短期","対象外")),IF($AJ1617=30,"③特定消防",IF(AND(OR($A1617=21,$A1617=215),$AJ1617=10),"④一般",IF(AND($A1617=31,$AJ1617=41),"⑤短期","対象外")))))</f>
        <v>①病院一般</v>
      </c>
      <c r="DC1617" s="2909">
        <f>IF($A1617="","",IF($AB1617&amp;""='DB_設定'!$C$4,1,0))</f>
        <v>1</v>
      </c>
    </row>
    <row r="1618">
      <c r="A1618" t="n" s="2909">
        <v>215</v>
      </c>
      <c r="AA1618" t="n" s="2909">
        <v>21</v>
      </c>
      <c r="AB1618" t="inlineStr" s="2909">
        <is>
          <t>20250401</t>
        </is>
      </c>
      <c r="AD1618" t="n" s="2909">
        <v>0</v>
      </c>
      <c r="AE1618" t="inlineStr" s="2909">
        <is>
          <t>00000000</t>
        </is>
      </c>
      <c r="AH1618" t="n" s="2909">
        <v>5</v>
      </c>
      <c r="AJ1618" t="n" s="2909">
        <v>30</v>
      </c>
      <c r="AP1618" t="n" s="2909">
        <v>300000</v>
      </c>
      <c r="DB1618" s="2909" t="str">
        <f>IF($A1618="","",IF($AH1618=20,IF(AND(OR($A1618=21,$A1618=215),$AJ1618=10),"①病院一般",IF(AND($A1618=31,$AJ1618=41),"②病院短期","対象外")),IF($AJ1618=30,"③特定消防",IF(AND(OR($A1618=21,$A1618=215),$AJ1618=10),"④一般",IF(AND($A1618=31,$AJ1618=41),"⑤短期","対象外")))))</f>
        <v>③特定消防</v>
      </c>
      <c r="DC1618" s="2909">
        <f>IF($A1618="","",IF($AB1618&amp;""='DB_設定'!$C$4,1,0))</f>
        <v>1</v>
      </c>
    </row>
    <row r="1619">
      <c r="A1619" t="n" s="2909">
        <v>215</v>
      </c>
      <c r="AA1619" t="n" s="2909">
        <v>21</v>
      </c>
      <c r="AB1619" t="inlineStr" s="2909">
        <is>
          <t>20250401</t>
        </is>
      </c>
      <c r="AD1619" t="n" s="2909">
        <v>0</v>
      </c>
      <c r="AE1619" t="inlineStr" s="2909">
        <is>
          <t>00000000</t>
        </is>
      </c>
      <c r="AH1619" t="n" s="2909">
        <v>5</v>
      </c>
      <c r="AJ1619" t="n" s="2909">
        <v>30</v>
      </c>
      <c r="AP1619" t="n" s="2909">
        <v>300000</v>
      </c>
      <c r="DB1619" s="2909" t="str">
        <f>IF($A1619="","",IF($AH1619=20,IF(AND(OR($A1619=21,$A1619=215),$AJ1619=10),"①病院一般",IF(AND($A1619=31,$AJ1619=41),"②病院短期","対象外")),IF($AJ1619=30,"③特定消防",IF(AND(OR($A1619=21,$A1619=215),$AJ1619=10),"④一般",IF(AND($A1619=31,$AJ1619=41),"⑤短期","対象外")))))</f>
        <v>③特定消防</v>
      </c>
      <c r="DC1619" s="2909">
        <f>IF($A1619="","",IF($AB1619&amp;""='DB_設定'!$C$4,1,0))</f>
        <v>1</v>
      </c>
    </row>
    <row r="1620">
      <c r="A1620" t="n" s="2909">
        <v>215</v>
      </c>
      <c r="AA1620" t="n" s="2909">
        <v>21</v>
      </c>
      <c r="AB1620" t="inlineStr" s="2909">
        <is>
          <t>20250401</t>
        </is>
      </c>
      <c r="AD1620" t="n" s="2909">
        <v>0</v>
      </c>
      <c r="AE1620" t="inlineStr" s="2909">
        <is>
          <t>00000000</t>
        </is>
      </c>
      <c r="AH1620" t="n" s="2909">
        <v>1</v>
      </c>
      <c r="AJ1620" t="n" s="2909">
        <v>10</v>
      </c>
      <c r="AP1620" t="n" s="2909">
        <v>320000</v>
      </c>
      <c r="DB1620" s="2909" t="str">
        <f>IF($A1620="","",IF($AH1620=20,IF(AND(OR($A1620=21,$A1620=215),$AJ1620=10),"①病院一般",IF(AND($A1620=31,$AJ1620=41),"②病院短期","対象外")),IF($AJ1620=30,"③特定消防",IF(AND(OR($A1620=21,$A1620=215),$AJ1620=10),"④一般",IF(AND($A1620=31,$AJ1620=41),"⑤短期","対象外")))))</f>
        <v>④一般</v>
      </c>
      <c r="DC1620" s="2909">
        <f>IF($A1620="","",IF($AB1620&amp;""='DB_設定'!$C$4,1,0))</f>
        <v>1</v>
      </c>
    </row>
    <row r="1621">
      <c r="A1621" t="n" s="2909">
        <v>215</v>
      </c>
      <c r="AA1621" t="n" s="2909">
        <v>21</v>
      </c>
      <c r="AB1621" t="inlineStr" s="2909">
        <is>
          <t>20250401</t>
        </is>
      </c>
      <c r="AD1621" t="n" s="2909">
        <v>0</v>
      </c>
      <c r="AE1621" t="inlineStr" s="2909">
        <is>
          <t>00000000</t>
        </is>
      </c>
      <c r="AH1621" t="n" s="2909">
        <v>14</v>
      </c>
      <c r="AJ1621" t="n" s="2909">
        <v>10</v>
      </c>
      <c r="AP1621" t="n" s="2909">
        <v>300000</v>
      </c>
      <c r="DB1621" s="2909" t="str">
        <f>IF($A1621="","",IF($AH1621=20,IF(AND(OR($A1621=21,$A1621=215),$AJ1621=10),"①病院一般",IF(AND($A1621=31,$AJ1621=41),"②病院短期","対象外")),IF($AJ1621=30,"③特定消防",IF(AND(OR($A1621=21,$A1621=215),$AJ1621=10),"④一般",IF(AND($A1621=31,$AJ1621=41),"⑤短期","対象外")))))</f>
        <v>④一般</v>
      </c>
      <c r="DC1621" s="2909">
        <f>IF($A1621="","",IF($AB1621&amp;""='DB_設定'!$C$4,1,0))</f>
        <v>1</v>
      </c>
    </row>
    <row r="1622">
      <c r="A1622" t="n" s="2909">
        <v>215</v>
      </c>
      <c r="AA1622" t="n" s="2909">
        <v>21</v>
      </c>
      <c r="AB1622" t="inlineStr" s="2909">
        <is>
          <t>20250401</t>
        </is>
      </c>
      <c r="AD1622" t="n" s="2909">
        <v>0</v>
      </c>
      <c r="AE1622" t="inlineStr" s="2909">
        <is>
          <t>00000000</t>
        </is>
      </c>
      <c r="AH1622" t="n" s="2909">
        <v>20</v>
      </c>
      <c r="AJ1622" t="n" s="2909">
        <v>10</v>
      </c>
      <c r="AP1622" t="n" s="2909">
        <v>440000</v>
      </c>
      <c r="DB1622" s="2909" t="str">
        <f>IF($A1622="","",IF($AH1622=20,IF(AND(OR($A1622=21,$A1622=215),$AJ1622=10),"①病院一般",IF(AND($A1622=31,$AJ1622=41),"②病院短期","対象外")),IF($AJ1622=30,"③特定消防",IF(AND(OR($A1622=21,$A1622=215),$AJ1622=10),"④一般",IF(AND($A1622=31,$AJ1622=41),"⑤短期","対象外")))))</f>
        <v>①病院一般</v>
      </c>
      <c r="DC1622" s="2909">
        <f>IF($A1622="","",IF($AB1622&amp;""='DB_設定'!$C$4,1,0))</f>
        <v>1</v>
      </c>
    </row>
    <row r="1623">
      <c r="A1623" t="n" s="2909">
        <v>215</v>
      </c>
      <c r="AA1623" t="n" s="2909">
        <v>21</v>
      </c>
      <c r="AB1623" t="inlineStr" s="2909">
        <is>
          <t>20250401</t>
        </is>
      </c>
      <c r="AD1623" t="n" s="2909">
        <v>0</v>
      </c>
      <c r="AE1623" t="inlineStr" s="2909">
        <is>
          <t>00000000</t>
        </is>
      </c>
      <c r="AH1623" t="n" s="2909">
        <v>11</v>
      </c>
      <c r="AJ1623" t="n" s="2909">
        <v>10</v>
      </c>
      <c r="AP1623" t="n" s="2909">
        <v>320000</v>
      </c>
      <c r="DB1623" s="2909" t="str">
        <f>IF($A1623="","",IF($AH1623=20,IF(AND(OR($A1623=21,$A1623=215),$AJ1623=10),"①病院一般",IF(AND($A1623=31,$AJ1623=41),"②病院短期","対象外")),IF($AJ1623=30,"③特定消防",IF(AND(OR($A1623=21,$A1623=215),$AJ1623=10),"④一般",IF(AND($A1623=31,$AJ1623=41),"⑤短期","対象外")))))</f>
        <v>④一般</v>
      </c>
      <c r="DC1623" s="2909">
        <f>IF($A1623="","",IF($AB1623&amp;""='DB_設定'!$C$4,1,0))</f>
        <v>1</v>
      </c>
    </row>
    <row r="1624">
      <c r="A1624" t="n" s="2909">
        <v>215</v>
      </c>
      <c r="AA1624" t="n" s="2909">
        <v>21</v>
      </c>
      <c r="AB1624" t="inlineStr" s="2909">
        <is>
          <t>20250401</t>
        </is>
      </c>
      <c r="AD1624" t="n" s="2909">
        <v>0</v>
      </c>
      <c r="AE1624" t="inlineStr" s="2909">
        <is>
          <t>00000000</t>
        </is>
      </c>
      <c r="AH1624" t="n" s="2909">
        <v>1</v>
      </c>
      <c r="AJ1624" t="n" s="2909">
        <v>10</v>
      </c>
      <c r="AP1624" t="n" s="2909">
        <v>380000</v>
      </c>
      <c r="DB1624" s="2909" t="str">
        <f>IF($A1624="","",IF($AH1624=20,IF(AND(OR($A1624=21,$A1624=215),$AJ1624=10),"①病院一般",IF(AND($A1624=31,$AJ1624=41),"②病院短期","対象外")),IF($AJ1624=30,"③特定消防",IF(AND(OR($A1624=21,$A1624=215),$AJ1624=10),"④一般",IF(AND($A1624=31,$AJ1624=41),"⑤短期","対象外")))))</f>
        <v>④一般</v>
      </c>
      <c r="DC1624" s="2909">
        <f>IF($A1624="","",IF($AB1624&amp;""='DB_設定'!$C$4,1,0))</f>
        <v>1</v>
      </c>
    </row>
    <row r="1625">
      <c r="A1625" t="n" s="2909">
        <v>215</v>
      </c>
      <c r="AA1625" t="n" s="2909">
        <v>21</v>
      </c>
      <c r="AB1625" t="inlineStr" s="2909">
        <is>
          <t>20250401</t>
        </is>
      </c>
      <c r="AD1625" t="n" s="2909">
        <v>0</v>
      </c>
      <c r="AE1625" t="inlineStr" s="2909">
        <is>
          <t>00000000</t>
        </is>
      </c>
      <c r="AH1625" t="n" s="2909">
        <v>1</v>
      </c>
      <c r="AJ1625" t="n" s="2909">
        <v>10</v>
      </c>
      <c r="AP1625" t="n" s="2909">
        <v>280000</v>
      </c>
      <c r="DB1625" s="2909" t="str">
        <f>IF($A1625="","",IF($AH1625=20,IF(AND(OR($A1625=21,$A1625=215),$AJ1625=10),"①病院一般",IF(AND($A1625=31,$AJ1625=41),"②病院短期","対象外")),IF($AJ1625=30,"③特定消防",IF(AND(OR($A1625=21,$A1625=215),$AJ1625=10),"④一般",IF(AND($A1625=31,$AJ1625=41),"⑤短期","対象外")))))</f>
        <v>④一般</v>
      </c>
      <c r="DC1625" s="2909">
        <f>IF($A1625="","",IF($AB1625&amp;""='DB_設定'!$C$4,1,0))</f>
        <v>1</v>
      </c>
    </row>
    <row r="1626">
      <c r="A1626" t="n" s="2909">
        <v>215</v>
      </c>
      <c r="AA1626" t="n" s="2909">
        <v>21</v>
      </c>
      <c r="AB1626" t="inlineStr" s="2909">
        <is>
          <t>20250401</t>
        </is>
      </c>
      <c r="AD1626" t="n" s="2909">
        <v>0</v>
      </c>
      <c r="AE1626" t="inlineStr" s="2909">
        <is>
          <t>00000000</t>
        </is>
      </c>
      <c r="AH1626" t="n" s="2909">
        <v>1</v>
      </c>
      <c r="AJ1626" t="n" s="2909">
        <v>10</v>
      </c>
      <c r="AP1626" t="n" s="2909">
        <v>280000</v>
      </c>
      <c r="DB1626" s="2909" t="str">
        <f>IF($A1626="","",IF($AH1626=20,IF(AND(OR($A1626=21,$A1626=215),$AJ1626=10),"①病院一般",IF(AND($A1626=31,$AJ1626=41),"②病院短期","対象外")),IF($AJ1626=30,"③特定消防",IF(AND(OR($A1626=21,$A1626=215),$AJ1626=10),"④一般",IF(AND($A1626=31,$AJ1626=41),"⑤短期","対象外")))))</f>
        <v>④一般</v>
      </c>
      <c r="DC1626" s="2909">
        <f>IF($A1626="","",IF($AB1626&amp;""='DB_設定'!$C$4,1,0))</f>
        <v>1</v>
      </c>
    </row>
    <row r="1627">
      <c r="A1627" t="n" s="2909">
        <v>215</v>
      </c>
      <c r="AA1627" t="n" s="2909">
        <v>21</v>
      </c>
      <c r="AB1627" t="inlineStr" s="2909">
        <is>
          <t>20250401</t>
        </is>
      </c>
      <c r="AD1627" t="n" s="2909">
        <v>0</v>
      </c>
      <c r="AE1627" t="inlineStr" s="2909">
        <is>
          <t>00000000</t>
        </is>
      </c>
      <c r="AH1627" t="n" s="2909">
        <v>3</v>
      </c>
      <c r="AJ1627" t="n" s="2909">
        <v>10</v>
      </c>
      <c r="AP1627" t="n" s="2909">
        <v>340000</v>
      </c>
      <c r="DB1627" s="2909" t="str">
        <f>IF($A1627="","",IF($AH1627=20,IF(AND(OR($A1627=21,$A1627=215),$AJ1627=10),"①病院一般",IF(AND($A1627=31,$AJ1627=41),"②病院短期","対象外")),IF($AJ1627=30,"③特定消防",IF(AND(OR($A1627=21,$A1627=215),$AJ1627=10),"④一般",IF(AND($A1627=31,$AJ1627=41),"⑤短期","対象外")))))</f>
        <v>④一般</v>
      </c>
      <c r="DC1627" s="2909">
        <f>IF($A1627="","",IF($AB1627&amp;""='DB_設定'!$C$4,1,0))</f>
        <v>1</v>
      </c>
    </row>
    <row r="1628">
      <c r="A1628" t="n" s="2909">
        <v>215</v>
      </c>
      <c r="AA1628" t="n" s="2909">
        <v>21</v>
      </c>
      <c r="AB1628" t="inlineStr" s="2909">
        <is>
          <t>20250401</t>
        </is>
      </c>
      <c r="AD1628" t="n" s="2909">
        <v>0</v>
      </c>
      <c r="AE1628" t="inlineStr" s="2909">
        <is>
          <t>00000000</t>
        </is>
      </c>
      <c r="AH1628" t="n" s="2909">
        <v>4</v>
      </c>
      <c r="AJ1628" t="n" s="2909">
        <v>10</v>
      </c>
      <c r="AP1628" t="n" s="2909">
        <v>300000</v>
      </c>
      <c r="DB1628" s="2909" t="str">
        <f>IF($A1628="","",IF($AH1628=20,IF(AND(OR($A1628=21,$A1628=215),$AJ1628=10),"①病院一般",IF(AND($A1628=31,$AJ1628=41),"②病院短期","対象外")),IF($AJ1628=30,"③特定消防",IF(AND(OR($A1628=21,$A1628=215),$AJ1628=10),"④一般",IF(AND($A1628=31,$AJ1628=41),"⑤短期","対象外")))))</f>
        <v>④一般</v>
      </c>
      <c r="DC1628" s="2909">
        <f>IF($A1628="","",IF($AB1628&amp;""='DB_設定'!$C$4,1,0))</f>
        <v>1</v>
      </c>
    </row>
    <row r="1629">
      <c r="A1629" t="n" s="2909">
        <v>215</v>
      </c>
      <c r="AA1629" t="n" s="2909">
        <v>21</v>
      </c>
      <c r="AB1629" t="inlineStr" s="2909">
        <is>
          <t>20250401</t>
        </is>
      </c>
      <c r="AD1629" t="n" s="2909">
        <v>0</v>
      </c>
      <c r="AE1629" t="inlineStr" s="2909">
        <is>
          <t>00000000</t>
        </is>
      </c>
      <c r="AH1629" t="n" s="2909">
        <v>20</v>
      </c>
      <c r="AJ1629" t="n" s="2909">
        <v>10</v>
      </c>
      <c r="AP1629" t="n" s="2909">
        <v>300000</v>
      </c>
      <c r="DB1629" s="2909" t="str">
        <f>IF($A1629="","",IF($AH1629=20,IF(AND(OR($A1629=21,$A1629=215),$AJ1629=10),"①病院一般",IF(AND($A1629=31,$AJ1629=41),"②病院短期","対象外")),IF($AJ1629=30,"③特定消防",IF(AND(OR($A1629=21,$A1629=215),$AJ1629=10),"④一般",IF(AND($A1629=31,$AJ1629=41),"⑤短期","対象外")))))</f>
        <v>①病院一般</v>
      </c>
      <c r="DC1629" s="2909">
        <f>IF($A1629="","",IF($AB1629&amp;""='DB_設定'!$C$4,1,0))</f>
        <v>1</v>
      </c>
    </row>
    <row r="1630">
      <c r="A1630" t="n" s="2909">
        <v>215</v>
      </c>
      <c r="AA1630" t="n" s="2909">
        <v>21</v>
      </c>
      <c r="AB1630" t="inlineStr" s="2909">
        <is>
          <t>20250401</t>
        </is>
      </c>
      <c r="AD1630" t="n" s="2909">
        <v>0</v>
      </c>
      <c r="AE1630" t="inlineStr" s="2909">
        <is>
          <t>00000000</t>
        </is>
      </c>
      <c r="AH1630" t="n" s="2909">
        <v>5</v>
      </c>
      <c r="AJ1630" t="n" s="2909">
        <v>30</v>
      </c>
      <c r="AP1630" t="n" s="2909">
        <v>340000</v>
      </c>
      <c r="DB1630" s="2909" t="str">
        <f>IF($A1630="","",IF($AH1630=20,IF(AND(OR($A1630=21,$A1630=215),$AJ1630=10),"①病院一般",IF(AND($A1630=31,$AJ1630=41),"②病院短期","対象外")),IF($AJ1630=30,"③特定消防",IF(AND(OR($A1630=21,$A1630=215),$AJ1630=10),"④一般",IF(AND($A1630=31,$AJ1630=41),"⑤短期","対象外")))))</f>
        <v>③特定消防</v>
      </c>
      <c r="DC1630" s="2909">
        <f>IF($A1630="","",IF($AB1630&amp;""='DB_設定'!$C$4,1,0))</f>
        <v>1</v>
      </c>
    </row>
    <row r="1631">
      <c r="A1631" t="n" s="2909">
        <v>215</v>
      </c>
      <c r="AA1631" t="n" s="2909">
        <v>21</v>
      </c>
      <c r="AB1631" t="inlineStr" s="2909">
        <is>
          <t>20250401</t>
        </is>
      </c>
      <c r="AD1631" t="n" s="2909">
        <v>0</v>
      </c>
      <c r="AE1631" t="inlineStr" s="2909">
        <is>
          <t>00000000</t>
        </is>
      </c>
      <c r="AH1631" t="n" s="2909">
        <v>1</v>
      </c>
      <c r="AJ1631" t="n" s="2909">
        <v>10</v>
      </c>
      <c r="AP1631" t="n" s="2909">
        <v>360000</v>
      </c>
      <c r="DB1631" s="2909" t="str">
        <f>IF($A1631="","",IF($AH1631=20,IF(AND(OR($A1631=21,$A1631=215),$AJ1631=10),"①病院一般",IF(AND($A1631=31,$AJ1631=41),"②病院短期","対象外")),IF($AJ1631=30,"③特定消防",IF(AND(OR($A1631=21,$A1631=215),$AJ1631=10),"④一般",IF(AND($A1631=31,$AJ1631=41),"⑤短期","対象外")))))</f>
        <v>④一般</v>
      </c>
      <c r="DC1631" s="2909">
        <f>IF($A1631="","",IF($AB1631&amp;""='DB_設定'!$C$4,1,0))</f>
        <v>1</v>
      </c>
    </row>
    <row r="1632">
      <c r="A1632" t="n" s="2909">
        <v>215</v>
      </c>
      <c r="AA1632" t="n" s="2909">
        <v>21</v>
      </c>
      <c r="AB1632" t="inlineStr" s="2909">
        <is>
          <t>20250401</t>
        </is>
      </c>
      <c r="AD1632" t="n" s="2909">
        <v>0</v>
      </c>
      <c r="AE1632" t="inlineStr" s="2909">
        <is>
          <t>00000000</t>
        </is>
      </c>
      <c r="AH1632" t="n" s="2909">
        <v>1</v>
      </c>
      <c r="AJ1632" t="n" s="2909">
        <v>10</v>
      </c>
      <c r="AP1632" t="n" s="2909">
        <v>300000</v>
      </c>
      <c r="DB1632" s="2909" t="str">
        <f>IF($A1632="","",IF($AH1632=20,IF(AND(OR($A1632=21,$A1632=215),$AJ1632=10),"①病院一般",IF(AND($A1632=31,$AJ1632=41),"②病院短期","対象外")),IF($AJ1632=30,"③特定消防",IF(AND(OR($A1632=21,$A1632=215),$AJ1632=10),"④一般",IF(AND($A1632=31,$AJ1632=41),"⑤短期","対象外")))))</f>
        <v>④一般</v>
      </c>
      <c r="DC1632" s="2909">
        <f>IF($A1632="","",IF($AB1632&amp;""='DB_設定'!$C$4,1,0))</f>
        <v>1</v>
      </c>
    </row>
    <row r="1633">
      <c r="A1633" t="n" s="2909">
        <v>215</v>
      </c>
      <c r="AA1633" t="n" s="2909">
        <v>21</v>
      </c>
      <c r="AB1633" t="inlineStr" s="2909">
        <is>
          <t>20250401</t>
        </is>
      </c>
      <c r="AD1633" t="n" s="2909">
        <v>0</v>
      </c>
      <c r="AE1633" t="inlineStr" s="2909">
        <is>
          <t>00000000</t>
        </is>
      </c>
      <c r="AH1633" t="n" s="2909">
        <v>20</v>
      </c>
      <c r="AJ1633" t="n" s="2909">
        <v>11</v>
      </c>
      <c r="AP1633" t="n" s="2909">
        <v>620000</v>
      </c>
      <c r="DB1633" s="2909" t="str">
        <f>IF($A1633="","",IF($AH1633=20,IF(AND(OR($A1633=21,$A1633=215),$AJ1633=10),"①病院一般",IF(AND($A1633=31,$AJ1633=41),"②病院短期","対象外")),IF($AJ1633=30,"③特定消防",IF(AND(OR($A1633=21,$A1633=215),$AJ1633=10),"④一般",IF(AND($A1633=31,$AJ1633=41),"⑤短期","対象外")))))</f>
        <v>対象外</v>
      </c>
      <c r="DC1633" s="2909">
        <f>IF($A1633="","",IF($AB1633&amp;""='DB_設定'!$C$4,1,0))</f>
        <v>1</v>
      </c>
    </row>
    <row r="1634">
      <c r="A1634" t="n" s="2909">
        <v>215</v>
      </c>
      <c r="AA1634" t="n" s="2909">
        <v>21</v>
      </c>
      <c r="AB1634" t="inlineStr" s="2909">
        <is>
          <t>20250401</t>
        </is>
      </c>
      <c r="AD1634" t="n" s="2909">
        <v>0</v>
      </c>
      <c r="AE1634" t="inlineStr" s="2909">
        <is>
          <t>00000000</t>
        </is>
      </c>
      <c r="AH1634" t="n" s="2909">
        <v>1</v>
      </c>
      <c r="AJ1634" t="n" s="2909">
        <v>10</v>
      </c>
      <c r="AP1634" t="n" s="2909">
        <v>320000</v>
      </c>
      <c r="DB1634" s="2909" t="str">
        <f>IF($A1634="","",IF($AH1634=20,IF(AND(OR($A1634=21,$A1634=215),$AJ1634=10),"①病院一般",IF(AND($A1634=31,$AJ1634=41),"②病院短期","対象外")),IF($AJ1634=30,"③特定消防",IF(AND(OR($A1634=21,$A1634=215),$AJ1634=10),"④一般",IF(AND($A1634=31,$AJ1634=41),"⑤短期","対象外")))))</f>
        <v>④一般</v>
      </c>
      <c r="DC1634" s="2909">
        <f>IF($A1634="","",IF($AB1634&amp;""='DB_設定'!$C$4,1,0))</f>
        <v>1</v>
      </c>
    </row>
    <row r="1635">
      <c r="A1635" t="n" s="2909">
        <v>215</v>
      </c>
      <c r="AA1635" t="n" s="2909">
        <v>21</v>
      </c>
      <c r="AB1635" t="inlineStr" s="2909">
        <is>
          <t>20250401</t>
        </is>
      </c>
      <c r="AD1635" t="n" s="2909">
        <v>0</v>
      </c>
      <c r="AE1635" t="inlineStr" s="2909">
        <is>
          <t>00000000</t>
        </is>
      </c>
      <c r="AH1635" t="n" s="2909">
        <v>1</v>
      </c>
      <c r="AJ1635" t="n" s="2909">
        <v>10</v>
      </c>
      <c r="AP1635" t="n" s="2909">
        <v>340000</v>
      </c>
      <c r="DB1635" s="2909" t="str">
        <f>IF($A1635="","",IF($AH1635=20,IF(AND(OR($A1635=21,$A1635=215),$AJ1635=10),"①病院一般",IF(AND($A1635=31,$AJ1635=41),"②病院短期","対象外")),IF($AJ1635=30,"③特定消防",IF(AND(OR($A1635=21,$A1635=215),$AJ1635=10),"④一般",IF(AND($A1635=31,$AJ1635=41),"⑤短期","対象外")))))</f>
        <v>④一般</v>
      </c>
      <c r="DC1635" s="2909">
        <f>IF($A1635="","",IF($AB1635&amp;""='DB_設定'!$C$4,1,0))</f>
        <v>1</v>
      </c>
    </row>
    <row r="1636">
      <c r="A1636" t="n" s="2909">
        <v>215</v>
      </c>
      <c r="AA1636" t="n" s="2909">
        <v>21</v>
      </c>
      <c r="AB1636" t="inlineStr" s="2909">
        <is>
          <t>20250401</t>
        </is>
      </c>
      <c r="AD1636" t="n" s="2909">
        <v>0</v>
      </c>
      <c r="AE1636" t="inlineStr" s="2909">
        <is>
          <t>00000000</t>
        </is>
      </c>
      <c r="AH1636" t="n" s="2909">
        <v>1</v>
      </c>
      <c r="AJ1636" t="n" s="2909">
        <v>10</v>
      </c>
      <c r="AP1636" t="n" s="2909">
        <v>360000</v>
      </c>
      <c r="DB1636" s="2909" t="str">
        <f>IF($A1636="","",IF($AH1636=20,IF(AND(OR($A1636=21,$A1636=215),$AJ1636=10),"①病院一般",IF(AND($A1636=31,$AJ1636=41),"②病院短期","対象外")),IF($AJ1636=30,"③特定消防",IF(AND(OR($A1636=21,$A1636=215),$AJ1636=10),"④一般",IF(AND($A1636=31,$AJ1636=41),"⑤短期","対象外")))))</f>
        <v>④一般</v>
      </c>
      <c r="DC1636" s="2909">
        <f>IF($A1636="","",IF($AB1636&amp;""='DB_設定'!$C$4,1,0))</f>
        <v>1</v>
      </c>
    </row>
    <row r="1637">
      <c r="A1637" t="n" s="2909">
        <v>215</v>
      </c>
      <c r="AA1637" t="n" s="2909">
        <v>21</v>
      </c>
      <c r="AB1637" t="inlineStr" s="2909">
        <is>
          <t>20250401</t>
        </is>
      </c>
      <c r="AD1637" t="n" s="2909">
        <v>0</v>
      </c>
      <c r="AE1637" t="inlineStr" s="2909">
        <is>
          <t>00000000</t>
        </is>
      </c>
      <c r="AH1637" t="n" s="2909">
        <v>1</v>
      </c>
      <c r="AJ1637" t="n" s="2909">
        <v>10</v>
      </c>
      <c r="AP1637" t="n" s="2909">
        <v>300000</v>
      </c>
      <c r="DB1637" s="2909" t="str">
        <f>IF($A1637="","",IF($AH1637=20,IF(AND(OR($A1637=21,$A1637=215),$AJ1637=10),"①病院一般",IF(AND($A1637=31,$AJ1637=41),"②病院短期","対象外")),IF($AJ1637=30,"③特定消防",IF(AND(OR($A1637=21,$A1637=215),$AJ1637=10),"④一般",IF(AND($A1637=31,$AJ1637=41),"⑤短期","対象外")))))</f>
        <v>④一般</v>
      </c>
      <c r="DC1637" s="2909">
        <f>IF($A1637="","",IF($AB1637&amp;""='DB_設定'!$C$4,1,0))</f>
        <v>1</v>
      </c>
    </row>
    <row r="1638">
      <c r="A1638" t="n" s="2909">
        <v>215</v>
      </c>
      <c r="AA1638" t="n" s="2909">
        <v>21</v>
      </c>
      <c r="AB1638" t="inlineStr" s="2909">
        <is>
          <t>20250401</t>
        </is>
      </c>
      <c r="AD1638" t="n" s="2909">
        <v>0</v>
      </c>
      <c r="AE1638" t="inlineStr" s="2909">
        <is>
          <t>00000000</t>
        </is>
      </c>
      <c r="AH1638" t="n" s="2909">
        <v>3</v>
      </c>
      <c r="AJ1638" t="n" s="2909">
        <v>10</v>
      </c>
      <c r="AP1638" t="n" s="2909">
        <v>340000</v>
      </c>
      <c r="DB1638" s="2909" t="str">
        <f>IF($A1638="","",IF($AH1638=20,IF(AND(OR($A1638=21,$A1638=215),$AJ1638=10),"①病院一般",IF(AND($A1638=31,$AJ1638=41),"②病院短期","対象外")),IF($AJ1638=30,"③特定消防",IF(AND(OR($A1638=21,$A1638=215),$AJ1638=10),"④一般",IF(AND($A1638=31,$AJ1638=41),"⑤短期","対象外")))))</f>
        <v>④一般</v>
      </c>
      <c r="DC1638" s="2909">
        <f>IF($A1638="","",IF($AB1638&amp;""='DB_設定'!$C$4,1,0))</f>
        <v>1</v>
      </c>
    </row>
    <row r="1639">
      <c r="A1639" t="n" s="2909">
        <v>215</v>
      </c>
      <c r="AA1639" t="n" s="2909">
        <v>21</v>
      </c>
      <c r="AB1639" t="inlineStr" s="2909">
        <is>
          <t>20250401</t>
        </is>
      </c>
      <c r="AD1639" t="n" s="2909">
        <v>0</v>
      </c>
      <c r="AE1639" t="inlineStr" s="2909">
        <is>
          <t>00000000</t>
        </is>
      </c>
      <c r="AH1639" t="n" s="2909">
        <v>4</v>
      </c>
      <c r="AJ1639" t="n" s="2909">
        <v>10</v>
      </c>
      <c r="AP1639" t="n" s="2909">
        <v>320000</v>
      </c>
      <c r="DB1639" s="2909" t="str">
        <f>IF($A1639="","",IF($AH1639=20,IF(AND(OR($A1639=21,$A1639=215),$AJ1639=10),"①病院一般",IF(AND($A1639=31,$AJ1639=41),"②病院短期","対象外")),IF($AJ1639=30,"③特定消防",IF(AND(OR($A1639=21,$A1639=215),$AJ1639=10),"④一般",IF(AND($A1639=31,$AJ1639=41),"⑤短期","対象外")))))</f>
        <v>④一般</v>
      </c>
      <c r="DC1639" s="2909">
        <f>IF($A1639="","",IF($AB1639&amp;""='DB_設定'!$C$4,1,0))</f>
        <v>1</v>
      </c>
    </row>
    <row r="1640">
      <c r="A1640" t="n" s="2909">
        <v>215</v>
      </c>
      <c r="AA1640" t="n" s="2909">
        <v>21</v>
      </c>
      <c r="AB1640" t="inlineStr" s="2909">
        <is>
          <t>20250401</t>
        </is>
      </c>
      <c r="AD1640" t="n" s="2909">
        <v>0</v>
      </c>
      <c r="AE1640" t="inlineStr" s="2909">
        <is>
          <t>00000000</t>
        </is>
      </c>
      <c r="AH1640" t="n" s="2909">
        <v>1</v>
      </c>
      <c r="AJ1640" t="n" s="2909">
        <v>10</v>
      </c>
      <c r="AP1640" t="n" s="2909">
        <v>340000</v>
      </c>
      <c r="DB1640" s="2909" t="str">
        <f>IF($A1640="","",IF($AH1640=20,IF(AND(OR($A1640=21,$A1640=215),$AJ1640=10),"①病院一般",IF(AND($A1640=31,$AJ1640=41),"②病院短期","対象外")),IF($AJ1640=30,"③特定消防",IF(AND(OR($A1640=21,$A1640=215),$AJ1640=10),"④一般",IF(AND($A1640=31,$AJ1640=41),"⑤短期","対象外")))))</f>
        <v>④一般</v>
      </c>
      <c r="DC1640" s="2909">
        <f>IF($A1640="","",IF($AB1640&amp;""='DB_設定'!$C$4,1,0))</f>
        <v>1</v>
      </c>
    </row>
    <row r="1641">
      <c r="A1641" t="n" s="2909">
        <v>215</v>
      </c>
      <c r="AA1641" t="n" s="2909">
        <v>21</v>
      </c>
      <c r="AB1641" t="inlineStr" s="2909">
        <is>
          <t>20250401</t>
        </is>
      </c>
      <c r="AD1641" t="n" s="2909">
        <v>0</v>
      </c>
      <c r="AE1641" t="inlineStr" s="2909">
        <is>
          <t>00000000</t>
        </is>
      </c>
      <c r="AH1641" t="n" s="2909">
        <v>20</v>
      </c>
      <c r="AJ1641" t="n" s="2909">
        <v>10</v>
      </c>
      <c r="AP1641" t="n" s="2909">
        <v>300000</v>
      </c>
      <c r="DB1641" s="2909" t="str">
        <f>IF($A1641="","",IF($AH1641=20,IF(AND(OR($A1641=21,$A1641=215),$AJ1641=10),"①病院一般",IF(AND($A1641=31,$AJ1641=41),"②病院短期","対象外")),IF($AJ1641=30,"③特定消防",IF(AND(OR($A1641=21,$A1641=215),$AJ1641=10),"④一般",IF(AND($A1641=31,$AJ1641=41),"⑤短期","対象外")))))</f>
        <v>①病院一般</v>
      </c>
      <c r="DC1641" s="2909">
        <f>IF($A1641="","",IF($AB1641&amp;""='DB_設定'!$C$4,1,0))</f>
        <v>1</v>
      </c>
    </row>
    <row r="1642">
      <c r="A1642" t="n" s="2909">
        <v>215</v>
      </c>
      <c r="AA1642" t="n" s="2909">
        <v>21</v>
      </c>
      <c r="AB1642" t="inlineStr" s="2909">
        <is>
          <t>20250401</t>
        </is>
      </c>
      <c r="AD1642" t="n" s="2909">
        <v>0</v>
      </c>
      <c r="AE1642" t="inlineStr" s="2909">
        <is>
          <t>00000000</t>
        </is>
      </c>
      <c r="AH1642" t="n" s="2909">
        <v>1</v>
      </c>
      <c r="AJ1642" t="n" s="2909">
        <v>10</v>
      </c>
      <c r="AP1642" t="n" s="2909">
        <v>320000</v>
      </c>
      <c r="DB1642" s="2909" t="str">
        <f>IF($A1642="","",IF($AH1642=20,IF(AND(OR($A1642=21,$A1642=215),$AJ1642=10),"①病院一般",IF(AND($A1642=31,$AJ1642=41),"②病院短期","対象外")),IF($AJ1642=30,"③特定消防",IF(AND(OR($A1642=21,$A1642=215),$AJ1642=10),"④一般",IF(AND($A1642=31,$AJ1642=41),"⑤短期","対象外")))))</f>
        <v>④一般</v>
      </c>
      <c r="DC1642" s="2909">
        <f>IF($A1642="","",IF($AB1642&amp;""='DB_設定'!$C$4,1,0))</f>
        <v>1</v>
      </c>
    </row>
    <row r="1643">
      <c r="A1643" t="n" s="2909">
        <v>215</v>
      </c>
      <c r="AA1643" t="n" s="2909">
        <v>21</v>
      </c>
      <c r="AB1643" t="inlineStr" s="2909">
        <is>
          <t>20250401</t>
        </is>
      </c>
      <c r="AD1643" t="n" s="2909">
        <v>0</v>
      </c>
      <c r="AE1643" t="inlineStr" s="2909">
        <is>
          <t>00000000</t>
        </is>
      </c>
      <c r="AH1643" t="n" s="2909">
        <v>1</v>
      </c>
      <c r="AJ1643" t="n" s="2909">
        <v>10</v>
      </c>
      <c r="AP1643" t="n" s="2909">
        <v>300000</v>
      </c>
      <c r="DB1643" s="2909" t="str">
        <f>IF($A1643="","",IF($AH1643=20,IF(AND(OR($A1643=21,$A1643=215),$AJ1643=10),"①病院一般",IF(AND($A1643=31,$AJ1643=41),"②病院短期","対象外")),IF($AJ1643=30,"③特定消防",IF(AND(OR($A1643=21,$A1643=215),$AJ1643=10),"④一般",IF(AND($A1643=31,$AJ1643=41),"⑤短期","対象外")))))</f>
        <v>④一般</v>
      </c>
      <c r="DC1643" s="2909">
        <f>IF($A1643="","",IF($AB1643&amp;""='DB_設定'!$C$4,1,0))</f>
        <v>1</v>
      </c>
    </row>
    <row r="1644">
      <c r="A1644" t="n" s="2909">
        <v>215</v>
      </c>
      <c r="AA1644" t="n" s="2909">
        <v>21</v>
      </c>
      <c r="AB1644" t="inlineStr" s="2909">
        <is>
          <t>20250401</t>
        </is>
      </c>
      <c r="AD1644" t="n" s="2909">
        <v>0</v>
      </c>
      <c r="AE1644" t="inlineStr" s="2909">
        <is>
          <t>00000000</t>
        </is>
      </c>
      <c r="AH1644" t="n" s="2909">
        <v>1</v>
      </c>
      <c r="AJ1644" t="n" s="2909">
        <v>10</v>
      </c>
      <c r="AP1644" t="n" s="2909">
        <v>300000</v>
      </c>
      <c r="DB1644" s="2909" t="str">
        <f>IF($A1644="","",IF($AH1644=20,IF(AND(OR($A1644=21,$A1644=215),$AJ1644=10),"①病院一般",IF(AND($A1644=31,$AJ1644=41),"②病院短期","対象外")),IF($AJ1644=30,"③特定消防",IF(AND(OR($A1644=21,$A1644=215),$AJ1644=10),"④一般",IF(AND($A1644=31,$AJ1644=41),"⑤短期","対象外")))))</f>
        <v>④一般</v>
      </c>
      <c r="DC1644" s="2909">
        <f>IF($A1644="","",IF($AB1644&amp;""='DB_設定'!$C$4,1,0))</f>
        <v>1</v>
      </c>
    </row>
    <row r="1645">
      <c r="A1645" t="n" s="2909">
        <v>215</v>
      </c>
      <c r="AA1645" t="n" s="2909">
        <v>21</v>
      </c>
      <c r="AB1645" t="inlineStr" s="2909">
        <is>
          <t>20250401</t>
        </is>
      </c>
      <c r="AD1645" t="n" s="2909">
        <v>0</v>
      </c>
      <c r="AE1645" t="inlineStr" s="2909">
        <is>
          <t>00000000</t>
        </is>
      </c>
      <c r="AH1645" t="n" s="2909">
        <v>1</v>
      </c>
      <c r="AJ1645" t="n" s="2909">
        <v>10</v>
      </c>
      <c r="AP1645" t="n" s="2909">
        <v>320000</v>
      </c>
      <c r="DB1645" s="2909" t="str">
        <f>IF($A1645="","",IF($AH1645=20,IF(AND(OR($A1645=21,$A1645=215),$AJ1645=10),"①病院一般",IF(AND($A1645=31,$AJ1645=41),"②病院短期","対象外")),IF($AJ1645=30,"③特定消防",IF(AND(OR($A1645=21,$A1645=215),$AJ1645=10),"④一般",IF(AND($A1645=31,$AJ1645=41),"⑤短期","対象外")))))</f>
        <v>④一般</v>
      </c>
      <c r="DC1645" s="2909">
        <f>IF($A1645="","",IF($AB1645&amp;""='DB_設定'!$C$4,1,0))</f>
        <v>1</v>
      </c>
    </row>
    <row r="1646">
      <c r="A1646" t="n" s="2909">
        <v>215</v>
      </c>
      <c r="AA1646" t="n" s="2909">
        <v>21</v>
      </c>
      <c r="AB1646" t="inlineStr" s="2909">
        <is>
          <t>20250401</t>
        </is>
      </c>
      <c r="AD1646" t="n" s="2909">
        <v>0</v>
      </c>
      <c r="AE1646" t="inlineStr" s="2909">
        <is>
          <t>00000000</t>
        </is>
      </c>
      <c r="AH1646" t="n" s="2909">
        <v>1</v>
      </c>
      <c r="AJ1646" t="n" s="2909">
        <v>10</v>
      </c>
      <c r="AP1646" t="n" s="2909">
        <v>340000</v>
      </c>
      <c r="DB1646" s="2909" t="str">
        <f>IF($A1646="","",IF($AH1646=20,IF(AND(OR($A1646=21,$A1646=215),$AJ1646=10),"①病院一般",IF(AND($A1646=31,$AJ1646=41),"②病院短期","対象外")),IF($AJ1646=30,"③特定消防",IF(AND(OR($A1646=21,$A1646=215),$AJ1646=10),"④一般",IF(AND($A1646=31,$AJ1646=41),"⑤短期","対象外")))))</f>
        <v>④一般</v>
      </c>
      <c r="DC1646" s="2909">
        <f>IF($A1646="","",IF($AB1646&amp;""='DB_設定'!$C$4,1,0))</f>
        <v>1</v>
      </c>
    </row>
    <row r="1647">
      <c r="A1647" t="n" s="2909">
        <v>215</v>
      </c>
      <c r="AA1647" t="n" s="2909">
        <v>21</v>
      </c>
      <c r="AB1647" t="inlineStr" s="2909">
        <is>
          <t>20250401</t>
        </is>
      </c>
      <c r="AD1647" t="n" s="2909">
        <v>0</v>
      </c>
      <c r="AE1647" t="inlineStr" s="2909">
        <is>
          <t>00000000</t>
        </is>
      </c>
      <c r="AH1647" t="n" s="2909">
        <v>3</v>
      </c>
      <c r="AJ1647" t="n" s="2909">
        <v>10</v>
      </c>
      <c r="AP1647" t="n" s="2909">
        <v>340000</v>
      </c>
      <c r="DB1647" s="2909" t="str">
        <f>IF($A1647="","",IF($AH1647=20,IF(AND(OR($A1647=21,$A1647=215),$AJ1647=10),"①病院一般",IF(AND($A1647=31,$AJ1647=41),"②病院短期","対象外")),IF($AJ1647=30,"③特定消防",IF(AND(OR($A1647=21,$A1647=215),$AJ1647=10),"④一般",IF(AND($A1647=31,$AJ1647=41),"⑤短期","対象外")))))</f>
        <v>④一般</v>
      </c>
      <c r="DC1647" s="2909">
        <f>IF($A1647="","",IF($AB1647&amp;""='DB_設定'!$C$4,1,0))</f>
        <v>1</v>
      </c>
    </row>
    <row r="1648">
      <c r="A1648" t="n" s="2909">
        <v>215</v>
      </c>
      <c r="AA1648" t="n" s="2909">
        <v>21</v>
      </c>
      <c r="AB1648" t="inlineStr" s="2909">
        <is>
          <t>20250401</t>
        </is>
      </c>
      <c r="AD1648" t="n" s="2909">
        <v>0</v>
      </c>
      <c r="AE1648" t="inlineStr" s="2909">
        <is>
          <t>00000000</t>
        </is>
      </c>
      <c r="AH1648" t="n" s="2909">
        <v>1</v>
      </c>
      <c r="AJ1648" t="n" s="2909">
        <v>10</v>
      </c>
      <c r="AP1648" t="n" s="2909">
        <v>280000</v>
      </c>
      <c r="DB1648" s="2909" t="str">
        <f>IF($A1648="","",IF($AH1648=20,IF(AND(OR($A1648=21,$A1648=215),$AJ1648=10),"①病院一般",IF(AND($A1648=31,$AJ1648=41),"②病院短期","対象外")),IF($AJ1648=30,"③特定消防",IF(AND(OR($A1648=21,$A1648=215),$AJ1648=10),"④一般",IF(AND($A1648=31,$AJ1648=41),"⑤短期","対象外")))))</f>
        <v>④一般</v>
      </c>
      <c r="DC1648" s="2909">
        <f>IF($A1648="","",IF($AB1648&amp;""='DB_設定'!$C$4,1,0))</f>
        <v>1</v>
      </c>
    </row>
    <row r="1649">
      <c r="A1649" t="n" s="2909">
        <v>215</v>
      </c>
      <c r="AA1649" t="n" s="2909">
        <v>21</v>
      </c>
      <c r="AB1649" t="inlineStr" s="2909">
        <is>
          <t>20250401</t>
        </is>
      </c>
      <c r="AD1649" t="n" s="2909">
        <v>0</v>
      </c>
      <c r="AE1649" t="inlineStr" s="2909">
        <is>
          <t>00000000</t>
        </is>
      </c>
      <c r="AH1649" t="n" s="2909">
        <v>1</v>
      </c>
      <c r="AJ1649" t="n" s="2909">
        <v>10</v>
      </c>
      <c r="AP1649" t="n" s="2909">
        <v>360000</v>
      </c>
      <c r="DB1649" s="2909" t="str">
        <f>IF($A1649="","",IF($AH1649=20,IF(AND(OR($A1649=21,$A1649=215),$AJ1649=10),"①病院一般",IF(AND($A1649=31,$AJ1649=41),"②病院短期","対象外")),IF($AJ1649=30,"③特定消防",IF(AND(OR($A1649=21,$A1649=215),$AJ1649=10),"④一般",IF(AND($A1649=31,$AJ1649=41),"⑤短期","対象外")))))</f>
        <v>④一般</v>
      </c>
      <c r="DC1649" s="2909">
        <f>IF($A1649="","",IF($AB1649&amp;""='DB_設定'!$C$4,1,0))</f>
        <v>1</v>
      </c>
    </row>
    <row r="1650">
      <c r="A1650" t="n" s="2909">
        <v>215</v>
      </c>
      <c r="AA1650" t="n" s="2909">
        <v>21</v>
      </c>
      <c r="AB1650" t="inlineStr" s="2909">
        <is>
          <t>20250401</t>
        </is>
      </c>
      <c r="AD1650" t="n" s="2909">
        <v>0</v>
      </c>
      <c r="AE1650" t="inlineStr" s="2909">
        <is>
          <t>00000000</t>
        </is>
      </c>
      <c r="AH1650" t="n" s="2909">
        <v>1</v>
      </c>
      <c r="AJ1650" t="n" s="2909">
        <v>10</v>
      </c>
      <c r="AP1650" t="n" s="2909">
        <v>380000</v>
      </c>
      <c r="DB1650" s="2909" t="str">
        <f>IF($A1650="","",IF($AH1650=20,IF(AND(OR($A1650=21,$A1650=215),$AJ1650=10),"①病院一般",IF(AND($A1650=31,$AJ1650=41),"②病院短期","対象外")),IF($AJ1650=30,"③特定消防",IF(AND(OR($A1650=21,$A1650=215),$AJ1650=10),"④一般",IF(AND($A1650=31,$AJ1650=41),"⑤短期","対象外")))))</f>
        <v>④一般</v>
      </c>
      <c r="DC1650" s="2909">
        <f>IF($A1650="","",IF($AB1650&amp;""='DB_設定'!$C$4,1,0))</f>
        <v>1</v>
      </c>
    </row>
    <row r="1651">
      <c r="A1651" t="n" s="2909">
        <v>215</v>
      </c>
      <c r="AA1651" t="n" s="2909">
        <v>21</v>
      </c>
      <c r="AB1651" t="inlineStr" s="2909">
        <is>
          <t>20250401</t>
        </is>
      </c>
      <c r="AD1651" t="n" s="2909">
        <v>0</v>
      </c>
      <c r="AE1651" t="inlineStr" s="2909">
        <is>
          <t>00000000</t>
        </is>
      </c>
      <c r="AH1651" t="n" s="2909">
        <v>1</v>
      </c>
      <c r="AJ1651" t="n" s="2909">
        <v>10</v>
      </c>
      <c r="AP1651" t="n" s="2909">
        <v>320000</v>
      </c>
      <c r="DB1651" s="2909" t="str">
        <f>IF($A1651="","",IF($AH1651=20,IF(AND(OR($A1651=21,$A1651=215),$AJ1651=10),"①病院一般",IF(AND($A1651=31,$AJ1651=41),"②病院短期","対象外")),IF($AJ1651=30,"③特定消防",IF(AND(OR($A1651=21,$A1651=215),$AJ1651=10),"④一般",IF(AND($A1651=31,$AJ1651=41),"⑤短期","対象外")))))</f>
        <v>④一般</v>
      </c>
      <c r="DC1651" s="2909">
        <f>IF($A1651="","",IF($AB1651&amp;""='DB_設定'!$C$4,1,0))</f>
        <v>1</v>
      </c>
    </row>
    <row r="1652">
      <c r="A1652" t="n" s="2909">
        <v>215</v>
      </c>
      <c r="AA1652" t="n" s="2909">
        <v>21</v>
      </c>
      <c r="AB1652" t="inlineStr" s="2909">
        <is>
          <t>20250401</t>
        </is>
      </c>
      <c r="AD1652" t="n" s="2909">
        <v>0</v>
      </c>
      <c r="AE1652" t="inlineStr" s="2909">
        <is>
          <t>00000000</t>
        </is>
      </c>
      <c r="AH1652" t="n" s="2909">
        <v>3</v>
      </c>
      <c r="AJ1652" t="n" s="2909">
        <v>10</v>
      </c>
      <c r="AP1652" t="n" s="2909">
        <v>340000</v>
      </c>
      <c r="DB1652" s="2909" t="str">
        <f>IF($A1652="","",IF($AH1652=20,IF(AND(OR($A1652=21,$A1652=215),$AJ1652=10),"①病院一般",IF(AND($A1652=31,$AJ1652=41),"②病院短期","対象外")),IF($AJ1652=30,"③特定消防",IF(AND(OR($A1652=21,$A1652=215),$AJ1652=10),"④一般",IF(AND($A1652=31,$AJ1652=41),"⑤短期","対象外")))))</f>
        <v>④一般</v>
      </c>
      <c r="DC1652" s="2909">
        <f>IF($A1652="","",IF($AB1652&amp;""='DB_設定'!$C$4,1,0))</f>
        <v>1</v>
      </c>
    </row>
    <row r="1653">
      <c r="A1653" t="n" s="2909">
        <v>215</v>
      </c>
      <c r="AA1653" t="n" s="2909">
        <v>21</v>
      </c>
      <c r="AB1653" t="inlineStr" s="2909">
        <is>
          <t>20250401</t>
        </is>
      </c>
      <c r="AD1653" t="n" s="2909">
        <v>0</v>
      </c>
      <c r="AE1653" t="inlineStr" s="2909">
        <is>
          <t>00000000</t>
        </is>
      </c>
      <c r="AH1653" t="n" s="2909">
        <v>20</v>
      </c>
      <c r="AJ1653" t="n" s="2909">
        <v>10</v>
      </c>
      <c r="AP1653" t="n" s="2909">
        <v>380000</v>
      </c>
      <c r="DB1653" s="2909" t="str">
        <f>IF($A1653="","",IF($AH1653=20,IF(AND(OR($A1653=21,$A1653=215),$AJ1653=10),"①病院一般",IF(AND($A1653=31,$AJ1653=41),"②病院短期","対象外")),IF($AJ1653=30,"③特定消防",IF(AND(OR($A1653=21,$A1653=215),$AJ1653=10),"④一般",IF(AND($A1653=31,$AJ1653=41),"⑤短期","対象外")))))</f>
        <v>①病院一般</v>
      </c>
      <c r="DC1653" s="2909">
        <f>IF($A1653="","",IF($AB1653&amp;""='DB_設定'!$C$4,1,0))</f>
        <v>1</v>
      </c>
    </row>
    <row r="1654">
      <c r="A1654" t="n" s="2909">
        <v>215</v>
      </c>
      <c r="AA1654" t="n" s="2909">
        <v>21</v>
      </c>
      <c r="AB1654" t="inlineStr" s="2909">
        <is>
          <t>20250401</t>
        </is>
      </c>
      <c r="AD1654" t="n" s="2909">
        <v>0</v>
      </c>
      <c r="AE1654" t="inlineStr" s="2909">
        <is>
          <t>00000000</t>
        </is>
      </c>
      <c r="AH1654" t="n" s="2909">
        <v>1</v>
      </c>
      <c r="AJ1654" t="n" s="2909">
        <v>10</v>
      </c>
      <c r="AP1654" t="n" s="2909">
        <v>360000</v>
      </c>
      <c r="DB1654" s="2909" t="str">
        <f>IF($A1654="","",IF($AH1654=20,IF(AND(OR($A1654=21,$A1654=215),$AJ1654=10),"①病院一般",IF(AND($A1654=31,$AJ1654=41),"②病院短期","対象外")),IF($AJ1654=30,"③特定消防",IF(AND(OR($A1654=21,$A1654=215),$AJ1654=10),"④一般",IF(AND($A1654=31,$AJ1654=41),"⑤短期","対象外")))))</f>
        <v>④一般</v>
      </c>
      <c r="DC1654" s="2909">
        <f>IF($A1654="","",IF($AB1654&amp;""='DB_設定'!$C$4,1,0))</f>
        <v>1</v>
      </c>
    </row>
    <row r="1655">
      <c r="A1655" t="n" s="2909">
        <v>215</v>
      </c>
      <c r="AA1655" t="n" s="2909">
        <v>21</v>
      </c>
      <c r="AB1655" t="inlineStr" s="2909">
        <is>
          <t>20250401</t>
        </is>
      </c>
      <c r="AD1655" t="n" s="2909">
        <v>0</v>
      </c>
      <c r="AE1655" t="inlineStr" s="2909">
        <is>
          <t>00000000</t>
        </is>
      </c>
      <c r="AH1655" t="n" s="2909">
        <v>1</v>
      </c>
      <c r="AJ1655" t="n" s="2909">
        <v>10</v>
      </c>
      <c r="AP1655" t="n" s="2909">
        <v>300000</v>
      </c>
      <c r="DB1655" s="2909" t="str">
        <f>IF($A1655="","",IF($AH1655=20,IF(AND(OR($A1655=21,$A1655=215),$AJ1655=10),"①病院一般",IF(AND($A1655=31,$AJ1655=41),"②病院短期","対象外")),IF($AJ1655=30,"③特定消防",IF(AND(OR($A1655=21,$A1655=215),$AJ1655=10),"④一般",IF(AND($A1655=31,$AJ1655=41),"⑤短期","対象外")))))</f>
        <v>④一般</v>
      </c>
      <c r="DC1655" s="2909">
        <f>IF($A1655="","",IF($AB1655&amp;""='DB_設定'!$C$4,1,0))</f>
        <v>1</v>
      </c>
    </row>
    <row r="1656">
      <c r="A1656" t="n" s="2909">
        <v>215</v>
      </c>
      <c r="AA1656" t="n" s="2909">
        <v>21</v>
      </c>
      <c r="AB1656" t="inlineStr" s="2909">
        <is>
          <t>20250401</t>
        </is>
      </c>
      <c r="AD1656" t="n" s="2909">
        <v>0</v>
      </c>
      <c r="AE1656" t="inlineStr" s="2909">
        <is>
          <t>00000000</t>
        </is>
      </c>
      <c r="AH1656" t="n" s="2909">
        <v>1</v>
      </c>
      <c r="AJ1656" t="n" s="2909">
        <v>10</v>
      </c>
      <c r="AP1656" t="n" s="2909">
        <v>360000</v>
      </c>
      <c r="DB1656" s="2909" t="str">
        <f>IF($A1656="","",IF($AH1656=20,IF(AND(OR($A1656=21,$A1656=215),$AJ1656=10),"①病院一般",IF(AND($A1656=31,$AJ1656=41),"②病院短期","対象外")),IF($AJ1656=30,"③特定消防",IF(AND(OR($A1656=21,$A1656=215),$AJ1656=10),"④一般",IF(AND($A1656=31,$AJ1656=41),"⑤短期","対象外")))))</f>
        <v>④一般</v>
      </c>
      <c r="DC1656" s="2909">
        <f>IF($A1656="","",IF($AB1656&amp;""='DB_設定'!$C$4,1,0))</f>
        <v>1</v>
      </c>
    </row>
    <row r="1657">
      <c r="A1657" t="n" s="2909">
        <v>215</v>
      </c>
      <c r="AA1657" t="n" s="2909">
        <v>21</v>
      </c>
      <c r="AB1657" t="inlineStr" s="2909">
        <is>
          <t>20250401</t>
        </is>
      </c>
      <c r="AD1657" t="n" s="2909">
        <v>0</v>
      </c>
      <c r="AE1657" t="inlineStr" s="2909">
        <is>
          <t>00000000</t>
        </is>
      </c>
      <c r="AH1657" t="n" s="2909">
        <v>3</v>
      </c>
      <c r="AJ1657" t="n" s="2909">
        <v>10</v>
      </c>
      <c r="AP1657" t="n" s="2909">
        <v>340000</v>
      </c>
      <c r="DB1657" s="2909" t="str">
        <f>IF($A1657="","",IF($AH1657=20,IF(AND(OR($A1657=21,$A1657=215),$AJ1657=10),"①病院一般",IF(AND($A1657=31,$AJ1657=41),"②病院短期","対象外")),IF($AJ1657=30,"③特定消防",IF(AND(OR($A1657=21,$A1657=215),$AJ1657=10),"④一般",IF(AND($A1657=31,$AJ1657=41),"⑤短期","対象外")))))</f>
        <v>④一般</v>
      </c>
      <c r="DC1657" s="2909">
        <f>IF($A1657="","",IF($AB1657&amp;""='DB_設定'!$C$4,1,0))</f>
        <v>1</v>
      </c>
    </row>
    <row r="1658">
      <c r="A1658" t="n" s="2909">
        <v>215</v>
      </c>
      <c r="AA1658" t="n" s="2909">
        <v>21</v>
      </c>
      <c r="AB1658" t="inlineStr" s="2909">
        <is>
          <t>20250401</t>
        </is>
      </c>
      <c r="AD1658" t="n" s="2909">
        <v>0</v>
      </c>
      <c r="AE1658" t="inlineStr" s="2909">
        <is>
          <t>00000000</t>
        </is>
      </c>
      <c r="AH1658" t="n" s="2909">
        <v>1</v>
      </c>
      <c r="AJ1658" t="n" s="2909">
        <v>10</v>
      </c>
      <c r="AP1658" t="n" s="2909">
        <v>320000</v>
      </c>
      <c r="DB1658" s="2909" t="str">
        <f>IF($A1658="","",IF($AH1658=20,IF(AND(OR($A1658=21,$A1658=215),$AJ1658=10),"①病院一般",IF(AND($A1658=31,$AJ1658=41),"②病院短期","対象外")),IF($AJ1658=30,"③特定消防",IF(AND(OR($A1658=21,$A1658=215),$AJ1658=10),"④一般",IF(AND($A1658=31,$AJ1658=41),"⑤短期","対象外")))))</f>
        <v>④一般</v>
      </c>
      <c r="DC1658" s="2909">
        <f>IF($A1658="","",IF($AB1658&amp;""='DB_設定'!$C$4,1,0))</f>
        <v>1</v>
      </c>
    </row>
    <row r="1659">
      <c r="A1659" t="n" s="2909">
        <v>215</v>
      </c>
      <c r="AA1659" t="n" s="2909">
        <v>21</v>
      </c>
      <c r="AB1659" t="inlineStr" s="2909">
        <is>
          <t>20250401</t>
        </is>
      </c>
      <c r="AD1659" t="n" s="2909">
        <v>0</v>
      </c>
      <c r="AE1659" t="inlineStr" s="2909">
        <is>
          <t>00000000</t>
        </is>
      </c>
      <c r="AH1659" t="n" s="2909">
        <v>11</v>
      </c>
      <c r="AJ1659" t="n" s="2909">
        <v>10</v>
      </c>
      <c r="AP1659" t="n" s="2909">
        <v>300000</v>
      </c>
      <c r="DB1659" s="2909" t="str">
        <f>IF($A1659="","",IF($AH1659=20,IF(AND(OR($A1659=21,$A1659=215),$AJ1659=10),"①病院一般",IF(AND($A1659=31,$AJ1659=41),"②病院短期","対象外")),IF($AJ1659=30,"③特定消防",IF(AND(OR($A1659=21,$A1659=215),$AJ1659=10),"④一般",IF(AND($A1659=31,$AJ1659=41),"⑤短期","対象外")))))</f>
        <v>④一般</v>
      </c>
      <c r="DC1659" s="2909">
        <f>IF($A1659="","",IF($AB1659&amp;""='DB_設定'!$C$4,1,0))</f>
        <v>1</v>
      </c>
    </row>
    <row r="1660">
      <c r="A1660" t="n" s="2909">
        <v>215</v>
      </c>
      <c r="AA1660" t="n" s="2909">
        <v>21</v>
      </c>
      <c r="AB1660" t="inlineStr" s="2909">
        <is>
          <t>20250401</t>
        </is>
      </c>
      <c r="AD1660" t="n" s="2909">
        <v>0</v>
      </c>
      <c r="AE1660" t="inlineStr" s="2909">
        <is>
          <t>00000000</t>
        </is>
      </c>
      <c r="AH1660" t="n" s="2909">
        <v>1</v>
      </c>
      <c r="AJ1660" t="n" s="2909">
        <v>10</v>
      </c>
      <c r="AP1660" t="n" s="2909">
        <v>340000</v>
      </c>
      <c r="DB1660" s="2909" t="str">
        <f>IF($A1660="","",IF($AH1660=20,IF(AND(OR($A1660=21,$A1660=215),$AJ1660=10),"①病院一般",IF(AND($A1660=31,$AJ1660=41),"②病院短期","対象外")),IF($AJ1660=30,"③特定消防",IF(AND(OR($A1660=21,$A1660=215),$AJ1660=10),"④一般",IF(AND($A1660=31,$AJ1660=41),"⑤短期","対象外")))))</f>
        <v>④一般</v>
      </c>
      <c r="DC1660" s="2909">
        <f>IF($A1660="","",IF($AB1660&amp;""='DB_設定'!$C$4,1,0))</f>
        <v>1</v>
      </c>
    </row>
    <row r="1661">
      <c r="A1661" t="n" s="2909">
        <v>215</v>
      </c>
      <c r="AA1661" t="n" s="2909">
        <v>21</v>
      </c>
      <c r="AB1661" t="inlineStr" s="2909">
        <is>
          <t>20250401</t>
        </is>
      </c>
      <c r="AD1661" t="n" s="2909">
        <v>0</v>
      </c>
      <c r="AE1661" t="inlineStr" s="2909">
        <is>
          <t>00000000</t>
        </is>
      </c>
      <c r="AH1661" t="n" s="2909">
        <v>11</v>
      </c>
      <c r="AJ1661" t="n" s="2909">
        <v>10</v>
      </c>
      <c r="AP1661" t="n" s="2909">
        <v>280000</v>
      </c>
      <c r="DB1661" s="2909" t="str">
        <f>IF($A1661="","",IF($AH1661=20,IF(AND(OR($A1661=21,$A1661=215),$AJ1661=10),"①病院一般",IF(AND($A1661=31,$AJ1661=41),"②病院短期","対象外")),IF($AJ1661=30,"③特定消防",IF(AND(OR($A1661=21,$A1661=215),$AJ1661=10),"④一般",IF(AND($A1661=31,$AJ1661=41),"⑤短期","対象外")))))</f>
        <v>④一般</v>
      </c>
      <c r="DC1661" s="2909">
        <f>IF($A1661="","",IF($AB1661&amp;""='DB_設定'!$C$4,1,0))</f>
        <v>1</v>
      </c>
    </row>
    <row r="1662">
      <c r="A1662" t="n" s="2909">
        <v>215</v>
      </c>
      <c r="AA1662" t="n" s="2909">
        <v>21</v>
      </c>
      <c r="AB1662" t="inlineStr" s="2909">
        <is>
          <t>20250401</t>
        </is>
      </c>
      <c r="AD1662" t="n" s="2909">
        <v>0</v>
      </c>
      <c r="AE1662" t="inlineStr" s="2909">
        <is>
          <t>00000000</t>
        </is>
      </c>
      <c r="AH1662" t="n" s="2909">
        <v>11</v>
      </c>
      <c r="AJ1662" t="n" s="2909">
        <v>10</v>
      </c>
      <c r="AP1662" t="n" s="2909">
        <v>280000</v>
      </c>
      <c r="DB1662" s="2909" t="str">
        <f>IF($A1662="","",IF($AH1662=20,IF(AND(OR($A1662=21,$A1662=215),$AJ1662=10),"①病院一般",IF(AND($A1662=31,$AJ1662=41),"②病院短期","対象外")),IF($AJ1662=30,"③特定消防",IF(AND(OR($A1662=21,$A1662=215),$AJ1662=10),"④一般",IF(AND($A1662=31,$AJ1662=41),"⑤短期","対象外")))))</f>
        <v>④一般</v>
      </c>
      <c r="DC1662" s="2909">
        <f>IF($A1662="","",IF($AB1662&amp;""='DB_設定'!$C$4,1,0))</f>
        <v>1</v>
      </c>
    </row>
    <row r="1663">
      <c r="A1663" t="n" s="2909">
        <v>215</v>
      </c>
      <c r="AA1663" t="n" s="2909">
        <v>21</v>
      </c>
      <c r="AB1663" t="inlineStr" s="2909">
        <is>
          <t>20250401</t>
        </is>
      </c>
      <c r="AD1663" t="n" s="2909">
        <v>0</v>
      </c>
      <c r="AE1663" t="inlineStr" s="2909">
        <is>
          <t>00000000</t>
        </is>
      </c>
      <c r="AH1663" t="n" s="2909">
        <v>20</v>
      </c>
      <c r="AJ1663" t="n" s="2909">
        <v>10</v>
      </c>
      <c r="AP1663" t="n" s="2909">
        <v>750000</v>
      </c>
      <c r="DB1663" s="2909" t="str">
        <f>IF($A1663="","",IF($AH1663=20,IF(AND(OR($A1663=21,$A1663=215),$AJ1663=10),"①病院一般",IF(AND($A1663=31,$AJ1663=41),"②病院短期","対象外")),IF($AJ1663=30,"③特定消防",IF(AND(OR($A1663=21,$A1663=215),$AJ1663=10),"④一般",IF(AND($A1663=31,$AJ1663=41),"⑤短期","対象外")))))</f>
        <v>①病院一般</v>
      </c>
      <c r="DC1663" s="2909">
        <f>IF($A1663="","",IF($AB1663&amp;""='DB_設定'!$C$4,1,0))</f>
        <v>1</v>
      </c>
    </row>
    <row r="1664">
      <c r="A1664" t="n" s="2909">
        <v>215</v>
      </c>
      <c r="AA1664" t="n" s="2909">
        <v>21</v>
      </c>
      <c r="AB1664" t="inlineStr" s="2909">
        <is>
          <t>20250401</t>
        </is>
      </c>
      <c r="AD1664" t="n" s="2909">
        <v>0</v>
      </c>
      <c r="AE1664" t="inlineStr" s="2909">
        <is>
          <t>00000000</t>
        </is>
      </c>
      <c r="AH1664" t="n" s="2909">
        <v>1</v>
      </c>
      <c r="AJ1664" t="n" s="2909">
        <v>10</v>
      </c>
      <c r="AP1664" t="n" s="2909">
        <v>280000</v>
      </c>
      <c r="DB1664" s="2909" t="str">
        <f>IF($A1664="","",IF($AH1664=20,IF(AND(OR($A1664=21,$A1664=215),$AJ1664=10),"①病院一般",IF(AND($A1664=31,$AJ1664=41),"②病院短期","対象外")),IF($AJ1664=30,"③特定消防",IF(AND(OR($A1664=21,$A1664=215),$AJ1664=10),"④一般",IF(AND($A1664=31,$AJ1664=41),"⑤短期","対象外")))))</f>
        <v>④一般</v>
      </c>
      <c r="DC1664" s="2909">
        <f>IF($A1664="","",IF($AB1664&amp;""='DB_設定'!$C$4,1,0))</f>
        <v>1</v>
      </c>
    </row>
    <row r="1665">
      <c r="A1665" t="n" s="2909">
        <v>215</v>
      </c>
      <c r="AA1665" t="n" s="2909">
        <v>21</v>
      </c>
      <c r="AB1665" t="inlineStr" s="2909">
        <is>
          <t>20250401</t>
        </is>
      </c>
      <c r="AD1665" t="n" s="2909">
        <v>0</v>
      </c>
      <c r="AE1665" t="inlineStr" s="2909">
        <is>
          <t>00000000</t>
        </is>
      </c>
      <c r="AH1665" t="n" s="2909">
        <v>1</v>
      </c>
      <c r="AJ1665" t="n" s="2909">
        <v>10</v>
      </c>
      <c r="AP1665" t="n" s="2909">
        <v>320000</v>
      </c>
      <c r="DB1665" s="2909" t="str">
        <f>IF($A1665="","",IF($AH1665=20,IF(AND(OR($A1665=21,$A1665=215),$AJ1665=10),"①病院一般",IF(AND($A1665=31,$AJ1665=41),"②病院短期","対象外")),IF($AJ1665=30,"③特定消防",IF(AND(OR($A1665=21,$A1665=215),$AJ1665=10),"④一般",IF(AND($A1665=31,$AJ1665=41),"⑤短期","対象外")))))</f>
        <v>④一般</v>
      </c>
      <c r="DC1665" s="2909">
        <f>IF($A1665="","",IF($AB1665&amp;""='DB_設定'!$C$4,1,0))</f>
        <v>1</v>
      </c>
    </row>
    <row r="1666">
      <c r="A1666" t="n" s="2909">
        <v>215</v>
      </c>
      <c r="AA1666" t="n" s="2909">
        <v>21</v>
      </c>
      <c r="AB1666" t="inlineStr" s="2909">
        <is>
          <t>20250401</t>
        </is>
      </c>
      <c r="AD1666" t="n" s="2909">
        <v>0</v>
      </c>
      <c r="AE1666" t="inlineStr" s="2909">
        <is>
          <t>00000000</t>
        </is>
      </c>
      <c r="AH1666" t="n" s="2909">
        <v>1</v>
      </c>
      <c r="AJ1666" t="n" s="2909">
        <v>10</v>
      </c>
      <c r="AP1666" t="n" s="2909">
        <v>360000</v>
      </c>
      <c r="DB1666" s="2909" t="str">
        <f>IF($A1666="","",IF($AH1666=20,IF(AND(OR($A1666=21,$A1666=215),$AJ1666=10),"①病院一般",IF(AND($A1666=31,$AJ1666=41),"②病院短期","対象外")),IF($AJ1666=30,"③特定消防",IF(AND(OR($A1666=21,$A1666=215),$AJ1666=10),"④一般",IF(AND($A1666=31,$AJ1666=41),"⑤短期","対象外")))))</f>
        <v>④一般</v>
      </c>
      <c r="DC1666" s="2909">
        <f>IF($A1666="","",IF($AB1666&amp;""='DB_設定'!$C$4,1,0))</f>
        <v>1</v>
      </c>
    </row>
    <row r="1667">
      <c r="A1667" t="n" s="2909">
        <v>215</v>
      </c>
      <c r="AA1667" t="n" s="2909">
        <v>21</v>
      </c>
      <c r="AB1667" t="inlineStr" s="2909">
        <is>
          <t>20250401</t>
        </is>
      </c>
      <c r="AD1667" t="n" s="2909">
        <v>0</v>
      </c>
      <c r="AE1667" t="inlineStr" s="2909">
        <is>
          <t>00000000</t>
        </is>
      </c>
      <c r="AH1667" t="n" s="2909">
        <v>1</v>
      </c>
      <c r="AJ1667" t="n" s="2909">
        <v>10</v>
      </c>
      <c r="AP1667" t="n" s="2909">
        <v>320000</v>
      </c>
      <c r="DB1667" s="2909" t="str">
        <f>IF($A1667="","",IF($AH1667=20,IF(AND(OR($A1667=21,$A1667=215),$AJ1667=10),"①病院一般",IF(AND($A1667=31,$AJ1667=41),"②病院短期","対象外")),IF($AJ1667=30,"③特定消防",IF(AND(OR($A1667=21,$A1667=215),$AJ1667=10),"④一般",IF(AND($A1667=31,$AJ1667=41),"⑤短期","対象外")))))</f>
        <v>④一般</v>
      </c>
      <c r="DC1667" s="2909">
        <f>IF($A1667="","",IF($AB1667&amp;""='DB_設定'!$C$4,1,0))</f>
        <v>1</v>
      </c>
    </row>
    <row r="1668">
      <c r="A1668" t="n" s="2909">
        <v>215</v>
      </c>
      <c r="AA1668" t="n" s="2909">
        <v>21</v>
      </c>
      <c r="AB1668" t="inlineStr" s="2909">
        <is>
          <t>20250401</t>
        </is>
      </c>
      <c r="AD1668" t="n" s="2909">
        <v>0</v>
      </c>
      <c r="AE1668" t="inlineStr" s="2909">
        <is>
          <t>00000000</t>
        </is>
      </c>
      <c r="AH1668" t="n" s="2909">
        <v>11</v>
      </c>
      <c r="AJ1668" t="n" s="2909">
        <v>10</v>
      </c>
      <c r="AP1668" t="n" s="2909">
        <v>300000</v>
      </c>
      <c r="DB1668" s="2909" t="str">
        <f>IF($A1668="","",IF($AH1668=20,IF(AND(OR($A1668=21,$A1668=215),$AJ1668=10),"①病院一般",IF(AND($A1668=31,$AJ1668=41),"②病院短期","対象外")),IF($AJ1668=30,"③特定消防",IF(AND(OR($A1668=21,$A1668=215),$AJ1668=10),"④一般",IF(AND($A1668=31,$AJ1668=41),"⑤短期","対象外")))))</f>
        <v>④一般</v>
      </c>
      <c r="DC1668" s="2909">
        <f>IF($A1668="","",IF($AB1668&amp;""='DB_設定'!$C$4,1,0))</f>
        <v>1</v>
      </c>
    </row>
    <row r="1669">
      <c r="A1669" t="n" s="2909">
        <v>215</v>
      </c>
      <c r="AA1669" t="n" s="2909">
        <v>21</v>
      </c>
      <c r="AB1669" t="inlineStr" s="2909">
        <is>
          <t>20250401</t>
        </is>
      </c>
      <c r="AD1669" t="n" s="2909">
        <v>0</v>
      </c>
      <c r="AE1669" t="inlineStr" s="2909">
        <is>
          <t>00000000</t>
        </is>
      </c>
      <c r="AH1669" t="n" s="2909">
        <v>1</v>
      </c>
      <c r="AJ1669" t="n" s="2909">
        <v>10</v>
      </c>
      <c r="AP1669" t="n" s="2909">
        <v>360000</v>
      </c>
      <c r="DB1669" s="2909" t="str">
        <f>IF($A1669="","",IF($AH1669=20,IF(AND(OR($A1669=21,$A1669=215),$AJ1669=10),"①病院一般",IF(AND($A1669=31,$AJ1669=41),"②病院短期","対象外")),IF($AJ1669=30,"③特定消防",IF(AND(OR($A1669=21,$A1669=215),$AJ1669=10),"④一般",IF(AND($A1669=31,$AJ1669=41),"⑤短期","対象外")))))</f>
        <v>④一般</v>
      </c>
      <c r="DC1669" s="2909">
        <f>IF($A1669="","",IF($AB1669&amp;""='DB_設定'!$C$4,1,0))</f>
        <v>1</v>
      </c>
    </row>
    <row r="1670">
      <c r="A1670" t="n" s="2909">
        <v>215</v>
      </c>
      <c r="AA1670" t="n" s="2909">
        <v>21</v>
      </c>
      <c r="AB1670" t="inlineStr" s="2909">
        <is>
          <t>20250401</t>
        </is>
      </c>
      <c r="AD1670" t="n" s="2909">
        <v>0</v>
      </c>
      <c r="AE1670" t="inlineStr" s="2909">
        <is>
          <t>00000000</t>
        </is>
      </c>
      <c r="AH1670" t="n" s="2909">
        <v>11</v>
      </c>
      <c r="AJ1670" t="n" s="2909">
        <v>10</v>
      </c>
      <c r="AP1670" t="n" s="2909">
        <v>280000</v>
      </c>
      <c r="DB1670" s="2909" t="str">
        <f>IF($A1670="","",IF($AH1670=20,IF(AND(OR($A1670=21,$A1670=215),$AJ1670=10),"①病院一般",IF(AND($A1670=31,$AJ1670=41),"②病院短期","対象外")),IF($AJ1670=30,"③特定消防",IF(AND(OR($A1670=21,$A1670=215),$AJ1670=10),"④一般",IF(AND($A1670=31,$AJ1670=41),"⑤短期","対象外")))))</f>
        <v>④一般</v>
      </c>
      <c r="DC1670" s="2909">
        <f>IF($A1670="","",IF($AB1670&amp;""='DB_設定'!$C$4,1,0))</f>
        <v>1</v>
      </c>
    </row>
    <row r="1671">
      <c r="A1671" t="n" s="2909">
        <v>215</v>
      </c>
      <c r="AA1671" t="n" s="2909">
        <v>21</v>
      </c>
      <c r="AB1671" t="inlineStr" s="2909">
        <is>
          <t>20250401</t>
        </is>
      </c>
      <c r="AD1671" t="n" s="2909">
        <v>0</v>
      </c>
      <c r="AE1671" t="inlineStr" s="2909">
        <is>
          <t>00000000</t>
        </is>
      </c>
      <c r="AH1671" t="n" s="2909">
        <v>1</v>
      </c>
      <c r="AJ1671" t="n" s="2909">
        <v>10</v>
      </c>
      <c r="AP1671" t="n" s="2909">
        <v>280000</v>
      </c>
      <c r="DB1671" s="2909" t="str">
        <f>IF($A1671="","",IF($AH1671=20,IF(AND(OR($A1671=21,$A1671=215),$AJ1671=10),"①病院一般",IF(AND($A1671=31,$AJ1671=41),"②病院短期","対象外")),IF($AJ1671=30,"③特定消防",IF(AND(OR($A1671=21,$A1671=215),$AJ1671=10),"④一般",IF(AND($A1671=31,$AJ1671=41),"⑤短期","対象外")))))</f>
        <v>④一般</v>
      </c>
      <c r="DC1671" s="2909">
        <f>IF($A1671="","",IF($AB1671&amp;""='DB_設定'!$C$4,1,0))</f>
        <v>1</v>
      </c>
    </row>
    <row r="1672">
      <c r="A1672" t="n" s="2909">
        <v>215</v>
      </c>
      <c r="AA1672" t="n" s="2909">
        <v>21</v>
      </c>
      <c r="AB1672" t="inlineStr" s="2909">
        <is>
          <t>20250401</t>
        </is>
      </c>
      <c r="AD1672" t="n" s="2909">
        <v>0</v>
      </c>
      <c r="AE1672" t="inlineStr" s="2909">
        <is>
          <t>00000000</t>
        </is>
      </c>
      <c r="AH1672" t="n" s="2909">
        <v>20</v>
      </c>
      <c r="AJ1672" t="n" s="2909">
        <v>10</v>
      </c>
      <c r="AP1672" t="n" s="2909">
        <v>980000</v>
      </c>
      <c r="DB1672" s="2909" t="str">
        <f>IF($A1672="","",IF($AH1672=20,IF(AND(OR($A1672=21,$A1672=215),$AJ1672=10),"①病院一般",IF(AND($A1672=31,$AJ1672=41),"②病院短期","対象外")),IF($AJ1672=30,"③特定消防",IF(AND(OR($A1672=21,$A1672=215),$AJ1672=10),"④一般",IF(AND($A1672=31,$AJ1672=41),"⑤短期","対象外")))))</f>
        <v>①病院一般</v>
      </c>
      <c r="DC1672" s="2909">
        <f>IF($A1672="","",IF($AB1672&amp;""='DB_設定'!$C$4,1,0))</f>
        <v>1</v>
      </c>
    </row>
    <row r="1673">
      <c r="A1673" t="n" s="2909">
        <v>215</v>
      </c>
      <c r="AA1673" t="n" s="2909">
        <v>21</v>
      </c>
      <c r="AB1673" t="inlineStr" s="2909">
        <is>
          <t>20250401</t>
        </is>
      </c>
      <c r="AD1673" t="n" s="2909">
        <v>0</v>
      </c>
      <c r="AE1673" t="inlineStr" s="2909">
        <is>
          <t>00000000</t>
        </is>
      </c>
      <c r="AH1673" t="n" s="2909">
        <v>1</v>
      </c>
      <c r="AJ1673" t="n" s="2909">
        <v>10</v>
      </c>
      <c r="AP1673" t="n" s="2909">
        <v>300000</v>
      </c>
      <c r="DB1673" s="2909" t="str">
        <f>IF($A1673="","",IF($AH1673=20,IF(AND(OR($A1673=21,$A1673=215),$AJ1673=10),"①病院一般",IF(AND($A1673=31,$AJ1673=41),"②病院短期","対象外")),IF($AJ1673=30,"③特定消防",IF(AND(OR($A1673=21,$A1673=215),$AJ1673=10),"④一般",IF(AND($A1673=31,$AJ1673=41),"⑤短期","対象外")))))</f>
        <v>④一般</v>
      </c>
      <c r="DC1673" s="2909">
        <f>IF($A1673="","",IF($AB1673&amp;""='DB_設定'!$C$4,1,0))</f>
        <v>1</v>
      </c>
    </row>
    <row r="1674">
      <c r="A1674" t="n" s="2909">
        <v>215</v>
      </c>
      <c r="AA1674" t="n" s="2909">
        <v>21</v>
      </c>
      <c r="AB1674" t="inlineStr" s="2909">
        <is>
          <t>20250401</t>
        </is>
      </c>
      <c r="AD1674" t="n" s="2909">
        <v>0</v>
      </c>
      <c r="AE1674" t="inlineStr" s="2909">
        <is>
          <t>00000000</t>
        </is>
      </c>
      <c r="AH1674" t="n" s="2909">
        <v>1</v>
      </c>
      <c r="AJ1674" t="n" s="2909">
        <v>10</v>
      </c>
      <c r="AP1674" t="n" s="2909">
        <v>360000</v>
      </c>
      <c r="DB1674" s="2909" t="str">
        <f>IF($A1674="","",IF($AH1674=20,IF(AND(OR($A1674=21,$A1674=215),$AJ1674=10),"①病院一般",IF(AND($A1674=31,$AJ1674=41),"②病院短期","対象外")),IF($AJ1674=30,"③特定消防",IF(AND(OR($A1674=21,$A1674=215),$AJ1674=10),"④一般",IF(AND($A1674=31,$AJ1674=41),"⑤短期","対象外")))))</f>
        <v>④一般</v>
      </c>
      <c r="DC1674" s="2909">
        <f>IF($A1674="","",IF($AB1674&amp;""='DB_設定'!$C$4,1,0))</f>
        <v>1</v>
      </c>
    </row>
    <row r="1675">
      <c r="A1675" t="n" s="2909">
        <v>215</v>
      </c>
      <c r="AA1675" t="n" s="2909">
        <v>21</v>
      </c>
      <c r="AB1675" t="inlineStr" s="2909">
        <is>
          <t>20250401</t>
        </is>
      </c>
      <c r="AD1675" t="n" s="2909">
        <v>0</v>
      </c>
      <c r="AE1675" t="inlineStr" s="2909">
        <is>
          <t>00000000</t>
        </is>
      </c>
      <c r="AH1675" t="n" s="2909">
        <v>20</v>
      </c>
      <c r="AJ1675" t="n" s="2909">
        <v>10</v>
      </c>
      <c r="AP1675" t="n" s="2909">
        <v>790000</v>
      </c>
      <c r="DB1675" s="2909" t="str">
        <f>IF($A1675="","",IF($AH1675=20,IF(AND(OR($A1675=21,$A1675=215),$AJ1675=10),"①病院一般",IF(AND($A1675=31,$AJ1675=41),"②病院短期","対象外")),IF($AJ1675=30,"③特定消防",IF(AND(OR($A1675=21,$A1675=215),$AJ1675=10),"④一般",IF(AND($A1675=31,$AJ1675=41),"⑤短期","対象外")))))</f>
        <v>①病院一般</v>
      </c>
      <c r="DC1675" s="2909">
        <f>IF($A1675="","",IF($AB1675&amp;""='DB_設定'!$C$4,1,0))</f>
        <v>1</v>
      </c>
    </row>
    <row r="1676">
      <c r="A1676" t="n" s="2909">
        <v>215</v>
      </c>
      <c r="AA1676" t="n" s="2909">
        <v>21</v>
      </c>
      <c r="AB1676" t="inlineStr" s="2909">
        <is>
          <t>20250401</t>
        </is>
      </c>
      <c r="AD1676" t="n" s="2909">
        <v>0</v>
      </c>
      <c r="AE1676" t="inlineStr" s="2909">
        <is>
          <t>00000000</t>
        </is>
      </c>
      <c r="AH1676" t="n" s="2909">
        <v>20</v>
      </c>
      <c r="AJ1676" t="n" s="2909">
        <v>10</v>
      </c>
      <c r="AP1676" t="n" s="2909">
        <v>300000</v>
      </c>
      <c r="DB1676" s="2909" t="str">
        <f>IF($A1676="","",IF($AH1676=20,IF(AND(OR($A1676=21,$A1676=215),$AJ1676=10),"①病院一般",IF(AND($A1676=31,$AJ1676=41),"②病院短期","対象外")),IF($AJ1676=30,"③特定消防",IF(AND(OR($A1676=21,$A1676=215),$AJ1676=10),"④一般",IF(AND($A1676=31,$AJ1676=41),"⑤短期","対象外")))))</f>
        <v>①病院一般</v>
      </c>
      <c r="DC1676" s="2909">
        <f>IF($A1676="","",IF($AB1676&amp;""='DB_設定'!$C$4,1,0))</f>
        <v>1</v>
      </c>
    </row>
    <row r="1677">
      <c r="A1677" t="n" s="2909">
        <v>215</v>
      </c>
      <c r="AA1677" t="n" s="2909">
        <v>21</v>
      </c>
      <c r="AB1677" t="inlineStr" s="2909">
        <is>
          <t>20250401</t>
        </is>
      </c>
      <c r="AD1677" t="n" s="2909">
        <v>0</v>
      </c>
      <c r="AE1677" t="inlineStr" s="2909">
        <is>
          <t>00000000</t>
        </is>
      </c>
      <c r="AH1677" t="n" s="2909">
        <v>1</v>
      </c>
      <c r="AJ1677" t="n" s="2909">
        <v>10</v>
      </c>
      <c r="AP1677" t="n" s="2909">
        <v>320000</v>
      </c>
      <c r="DB1677" s="2909" t="str">
        <f>IF($A1677="","",IF($AH1677=20,IF(AND(OR($A1677=21,$A1677=215),$AJ1677=10),"①病院一般",IF(AND($A1677=31,$AJ1677=41),"②病院短期","対象外")),IF($AJ1677=30,"③特定消防",IF(AND(OR($A1677=21,$A1677=215),$AJ1677=10),"④一般",IF(AND($A1677=31,$AJ1677=41),"⑤短期","対象外")))))</f>
        <v>④一般</v>
      </c>
      <c r="DC1677" s="2909">
        <f>IF($A1677="","",IF($AB1677&amp;""='DB_設定'!$C$4,1,0))</f>
        <v>1</v>
      </c>
    </row>
    <row r="1678">
      <c r="DB1678" s="2909">
        <f>IF($A1678="","",IF($AH1678=20,IF(AND(OR($A1678=21,$A1678=215),$AJ1678=10),"①病院一般",IF(AND($A1678=31,$AJ1678=41),"②病院短期","対象外")),IF($AJ1678=30,"③特定消防",IF(AND(OR($A1678=21,$A1678=215),$AJ1678=10),"④一般",IF(AND($A1678=31,$AJ1678=41),"⑤短期","対象外")))))</f>
      </c>
      <c r="DC1678" s="2909">
        <f>IF($A1678="","",IF($AB1678&amp;""='DB_設定'!$C$4,1,0))</f>
      </c>
    </row>
    <row r="1679">
      <c r="DB1679" s="2909">
        <f>IF($A1679="","",IF($AH1679=20,IF(AND(OR($A1679=21,$A1679=215),$AJ1679=10),"①病院一般",IF(AND($A1679=31,$AJ1679=41),"②病院短期","対象外")),IF($AJ1679=30,"③特定消防",IF(AND(OR($A1679=21,$A1679=215),$AJ1679=10),"④一般",IF(AND($A1679=31,$AJ1679=41),"⑤短期","対象外")))))</f>
      </c>
      <c r="DC1679" s="2909">
        <f>IF($A1679="","",IF($AB1679&amp;""='DB_設定'!$C$4,1,0))</f>
      </c>
    </row>
    <row r="1680">
      <c r="DB1680" s="2909">
        <f>IF($A1680="","",IF($AH1680=20,IF(AND(OR($A1680=21,$A1680=215),$AJ1680=10),"①病院一般",IF(AND($A1680=31,$AJ1680=41),"②病院短期","対象外")),IF($AJ1680=30,"③特定消防",IF(AND(OR($A1680=21,$A1680=215),$AJ1680=10),"④一般",IF(AND($A1680=31,$AJ1680=41),"⑤短期","対象外")))))</f>
      </c>
      <c r="DC1680" s="2909">
        <f>IF($A1680="","",IF($AB1680&amp;""='DB_設定'!$C$4,1,0))</f>
      </c>
    </row>
    <row r="1681">
      <c r="DB1681" s="2909">
        <f>IF($A1681="","",IF($AH1681=20,IF(AND(OR($A1681=21,$A1681=215),$AJ1681=10),"①病院一般",IF(AND($A1681=31,$AJ1681=41),"②病院短期","対象外")),IF($AJ1681=30,"③特定消防",IF(AND(OR($A1681=21,$A1681=215),$AJ1681=10),"④一般",IF(AND($A1681=31,$AJ1681=41),"⑤短期","対象外")))))</f>
      </c>
      <c r="DC1681" s="2909">
        <f>IF($A1681="","",IF($AB1681&amp;""='DB_設定'!$C$4,1,0))</f>
      </c>
    </row>
    <row r="1682">
      <c r="DB1682" s="2909">
        <f>IF($A1682="","",IF($AH1682=20,IF(AND(OR($A1682=21,$A1682=215),$AJ1682=10),"①病院一般",IF(AND($A1682=31,$AJ1682=41),"②病院短期","対象外")),IF($AJ1682=30,"③特定消防",IF(AND(OR($A1682=21,$A1682=215),$AJ1682=10),"④一般",IF(AND($A1682=31,$AJ1682=41),"⑤短期","対象外")))))</f>
      </c>
      <c r="DC1682" s="2909">
        <f>IF($A1682="","",IF($AB1682&amp;""='DB_設定'!$C$4,1,0))</f>
      </c>
    </row>
    <row r="1683">
      <c r="DB1683" s="2909">
        <f>IF($A1683="","",IF($AH1683=20,IF(AND(OR($A1683=21,$A1683=215),$AJ1683=10),"①病院一般",IF(AND($A1683=31,$AJ1683=41),"②病院短期","対象外")),IF($AJ1683=30,"③特定消防",IF(AND(OR($A1683=21,$A1683=215),$AJ1683=10),"④一般",IF(AND($A1683=31,$AJ1683=41),"⑤短期","対象外")))))</f>
      </c>
      <c r="DC1683" s="2909">
        <f>IF($A1683="","",IF($AB1683&amp;""='DB_設定'!$C$4,1,0))</f>
      </c>
    </row>
    <row r="1684">
      <c r="DB1684" s="2909">
        <f>IF($A1684="","",IF($AH1684=20,IF(AND(OR($A1684=21,$A1684=215),$AJ1684=10),"①病院一般",IF(AND($A1684=31,$AJ1684=41),"②病院短期","対象外")),IF($AJ1684=30,"③特定消防",IF(AND(OR($A1684=21,$A1684=215),$AJ1684=10),"④一般",IF(AND($A1684=31,$AJ1684=41),"⑤短期","対象外")))))</f>
      </c>
      <c r="DC1684" s="2909">
        <f>IF($A1684="","",IF($AB1684&amp;""='DB_設定'!$C$4,1,0))</f>
      </c>
    </row>
    <row r="1685">
      <c r="DB1685" s="2909">
        <f>IF($A1685="","",IF($AH1685=20,IF(AND(OR($A1685=21,$A1685=215),$AJ1685=10),"①病院一般",IF(AND($A1685=31,$AJ1685=41),"②病院短期","対象外")),IF($AJ1685=30,"③特定消防",IF(AND(OR($A1685=21,$A1685=215),$AJ1685=10),"④一般",IF(AND($A1685=31,$AJ1685=41),"⑤短期","対象外")))))</f>
      </c>
      <c r="DC1685" s="2909">
        <f>IF($A1685="","",IF($AB1685&amp;""='DB_設定'!$C$4,1,0))</f>
      </c>
    </row>
    <row r="1686">
      <c r="DB1686" s="2909">
        <f>IF($A1686="","",IF($AH1686=20,IF(AND(OR($A1686=21,$A1686=215),$AJ1686=10),"①病院一般",IF(AND($A1686=31,$AJ1686=41),"②病院短期","対象外")),IF($AJ1686=30,"③特定消防",IF(AND(OR($A1686=21,$A1686=215),$AJ1686=10),"④一般",IF(AND($A1686=31,$AJ1686=41),"⑤短期","対象外")))))</f>
      </c>
      <c r="DC1686" s="2909">
        <f>IF($A1686="","",IF($AB1686&amp;""='DB_設定'!$C$4,1,0))</f>
      </c>
    </row>
    <row r="1687">
      <c r="DB1687" s="2909">
        <f>IF($A1687="","",IF($AH1687=20,IF(AND(OR($A1687=21,$A1687=215),$AJ1687=10),"①病院一般",IF(AND($A1687=31,$AJ1687=41),"②病院短期","対象外")),IF($AJ1687=30,"③特定消防",IF(AND(OR($A1687=21,$A1687=215),$AJ1687=10),"④一般",IF(AND($A1687=31,$AJ1687=41),"⑤短期","対象外")))))</f>
      </c>
      <c r="DC1687" s="2909">
        <f>IF($A1687="","",IF($AB1687&amp;""='DB_設定'!$C$4,1,0))</f>
      </c>
    </row>
    <row r="1688">
      <c r="DB1688" s="2909">
        <f>IF($A1688="","",IF($AH1688=20,IF(AND(OR($A1688=21,$A1688=215),$AJ1688=10),"①病院一般",IF(AND($A1688=31,$AJ1688=41),"②病院短期","対象外")),IF($AJ1688=30,"③特定消防",IF(AND(OR($A1688=21,$A1688=215),$AJ1688=10),"④一般",IF(AND($A1688=31,$AJ1688=41),"⑤短期","対象外")))))</f>
      </c>
      <c r="DC1688" s="2909">
        <f>IF($A1688="","",IF($AB1688&amp;""='DB_設定'!$C$4,1,0))</f>
      </c>
    </row>
    <row r="1689">
      <c r="DB1689" s="2909">
        <f>IF($A1689="","",IF($AH1689=20,IF(AND(OR($A1689=21,$A1689=215),$AJ1689=10),"①病院一般",IF(AND($A1689=31,$AJ1689=41),"②病院短期","対象外")),IF($AJ1689=30,"③特定消防",IF(AND(OR($A1689=21,$A1689=215),$AJ1689=10),"④一般",IF(AND($A1689=31,$AJ1689=41),"⑤短期","対象外")))))</f>
      </c>
      <c r="DC1689" s="2909">
        <f>IF($A1689="","",IF($AB1689&amp;""='DB_設定'!$C$4,1,0))</f>
      </c>
    </row>
    <row r="1690">
      <c r="DB1690" s="2909">
        <f>IF($A1690="","",IF($AH1690=20,IF(AND(OR($A1690=21,$A1690=215),$AJ1690=10),"①病院一般",IF(AND($A1690=31,$AJ1690=41),"②病院短期","対象外")),IF($AJ1690=30,"③特定消防",IF(AND(OR($A1690=21,$A1690=215),$AJ1690=10),"④一般",IF(AND($A1690=31,$AJ1690=41),"⑤短期","対象外")))))</f>
      </c>
      <c r="DC1690" s="2909">
        <f>IF($A1690="","",IF($AB1690&amp;""='DB_設定'!$C$4,1,0))</f>
      </c>
    </row>
    <row r="1691">
      <c r="DB1691" s="2909">
        <f>IF($A1691="","",IF($AH1691=20,IF(AND(OR($A1691=21,$A1691=215),$AJ1691=10),"①病院一般",IF(AND($A1691=31,$AJ1691=41),"②病院短期","対象外")),IF($AJ1691=30,"③特定消防",IF(AND(OR($A1691=21,$A1691=215),$AJ1691=10),"④一般",IF(AND($A1691=31,$AJ1691=41),"⑤短期","対象外")))))</f>
      </c>
      <c r="DC1691" s="2909">
        <f>IF($A1691="","",IF($AB1691&amp;""='DB_設定'!$C$4,1,0))</f>
      </c>
    </row>
    <row r="1692">
      <c r="DB1692" s="2909">
        <f>IF($A1692="","",IF($AH1692=20,IF(AND(OR($A1692=21,$A1692=215),$AJ1692=10),"①病院一般",IF(AND($A1692=31,$AJ1692=41),"②病院短期","対象外")),IF($AJ1692=30,"③特定消防",IF(AND(OR($A1692=21,$A1692=215),$AJ1692=10),"④一般",IF(AND($A1692=31,$AJ1692=41),"⑤短期","対象外")))))</f>
      </c>
      <c r="DC1692" s="2909">
        <f>IF($A1692="","",IF($AB1692&amp;""='DB_設定'!$C$4,1,0))</f>
      </c>
    </row>
    <row r="1693">
      <c r="DB1693" s="2909">
        <f>IF($A1693="","",IF($AH1693=20,IF(AND(OR($A1693=21,$A1693=215),$AJ1693=10),"①病院一般",IF(AND($A1693=31,$AJ1693=41),"②病院短期","対象外")),IF($AJ1693=30,"③特定消防",IF(AND(OR($A1693=21,$A1693=215),$AJ1693=10),"④一般",IF(AND($A1693=31,$AJ1693=41),"⑤短期","対象外")))))</f>
      </c>
      <c r="DC1693" s="2909">
        <f>IF($A1693="","",IF($AB1693&amp;""='DB_設定'!$C$4,1,0))</f>
      </c>
    </row>
    <row r="1694">
      <c r="DB1694" s="2909">
        <f>IF($A1694="","",IF($AH1694=20,IF(AND(OR($A1694=21,$A1694=215),$AJ1694=10),"①病院一般",IF(AND($A1694=31,$AJ1694=41),"②病院短期","対象外")),IF($AJ1694=30,"③特定消防",IF(AND(OR($A1694=21,$A1694=215),$AJ1694=10),"④一般",IF(AND($A1694=31,$AJ1694=41),"⑤短期","対象外")))))</f>
      </c>
      <c r="DC1694" s="2909">
        <f>IF($A1694="","",IF($AB1694&amp;""='DB_設定'!$C$4,1,0))</f>
      </c>
    </row>
    <row r="1695">
      <c r="DB1695" s="2909">
        <f>IF($A1695="","",IF($AH1695=20,IF(AND(OR($A1695=21,$A1695=215),$AJ1695=10),"①病院一般",IF(AND($A1695=31,$AJ1695=41),"②病院短期","対象外")),IF($AJ1695=30,"③特定消防",IF(AND(OR($A1695=21,$A1695=215),$AJ1695=10),"④一般",IF(AND($A1695=31,$AJ1695=41),"⑤短期","対象外")))))</f>
      </c>
      <c r="DC1695" s="2909">
        <f>IF($A1695="","",IF($AB1695&amp;""='DB_設定'!$C$4,1,0))</f>
      </c>
    </row>
    <row r="1696">
      <c r="DB1696" s="2909">
        <f>IF($A1696="","",IF($AH1696=20,IF(AND(OR($A1696=21,$A1696=215),$AJ1696=10),"①病院一般",IF(AND($A1696=31,$AJ1696=41),"②病院短期","対象外")),IF($AJ1696=30,"③特定消防",IF(AND(OR($A1696=21,$A1696=215),$AJ1696=10),"④一般",IF(AND($A1696=31,$AJ1696=41),"⑤短期","対象外")))))</f>
      </c>
      <c r="DC1696" s="2909">
        <f>IF($A1696="","",IF($AB1696&amp;""='DB_設定'!$C$4,1,0))</f>
      </c>
    </row>
    <row r="1697">
      <c r="DB1697" s="2909">
        <f>IF($A1697="","",IF($AH1697=20,IF(AND(OR($A1697=21,$A1697=215),$AJ1697=10),"①病院一般",IF(AND($A1697=31,$AJ1697=41),"②病院短期","対象外")),IF($AJ1697=30,"③特定消防",IF(AND(OR($A1697=21,$A1697=215),$AJ1697=10),"④一般",IF(AND($A1697=31,$AJ1697=41),"⑤短期","対象外")))))</f>
      </c>
      <c r="DC1697" s="2909">
        <f>IF($A1697="","",IF($AB1697&amp;""='DB_設定'!$C$4,1,0))</f>
      </c>
    </row>
    <row r="1698">
      <c r="DB1698" s="2909">
        <f>IF($A1698="","",IF($AH1698=20,IF(AND(OR($A1698=21,$A1698=215),$AJ1698=10),"①病院一般",IF(AND($A1698=31,$AJ1698=41),"②病院短期","対象外")),IF($AJ1698=30,"③特定消防",IF(AND(OR($A1698=21,$A1698=215),$AJ1698=10),"④一般",IF(AND($A1698=31,$AJ1698=41),"⑤短期","対象外")))))</f>
      </c>
      <c r="DC1698" s="2909">
        <f>IF($A1698="","",IF($AB1698&amp;""='DB_設定'!$C$4,1,0))</f>
      </c>
    </row>
    <row r="1699">
      <c r="DB1699" s="2909">
        <f>IF($A1699="","",IF($AH1699=20,IF(AND(OR($A1699=21,$A1699=215),$AJ1699=10),"①病院一般",IF(AND($A1699=31,$AJ1699=41),"②病院短期","対象外")),IF($AJ1699=30,"③特定消防",IF(AND(OR($A1699=21,$A1699=215),$AJ1699=10),"④一般",IF(AND($A1699=31,$AJ1699=41),"⑤短期","対象外")))))</f>
      </c>
      <c r="DC1699" s="2909">
        <f>IF($A1699="","",IF($AB1699&amp;""='DB_設定'!$C$4,1,0))</f>
      </c>
    </row>
    <row r="1700">
      <c r="DB1700" s="2909">
        <f>IF($A1700="","",IF($AH1700=20,IF(AND(OR($A1700=21,$A1700=215),$AJ1700=10),"①病院一般",IF(AND($A1700=31,$AJ1700=41),"②病院短期","対象外")),IF($AJ1700=30,"③特定消防",IF(AND(OR($A1700=21,$A1700=215),$AJ1700=10),"④一般",IF(AND($A1700=31,$AJ1700=41),"⑤短期","対象外")))))</f>
      </c>
      <c r="DC1700" s="2909">
        <f>IF($A1700="","",IF($AB1700&amp;""='DB_設定'!$C$4,1,0))</f>
      </c>
    </row>
    <row r="1701">
      <c r="DB1701" s="2909">
        <f>IF($A1701="","",IF($AH1701=20,IF(AND(OR($A1701=21,$A1701=215),$AJ1701=10),"①病院一般",IF(AND($A1701=31,$AJ1701=41),"②病院短期","対象外")),IF($AJ1701=30,"③特定消防",IF(AND(OR($A1701=21,$A1701=215),$AJ1701=10),"④一般",IF(AND($A1701=31,$AJ1701=41),"⑤短期","対象外")))))</f>
      </c>
      <c r="DC1701" s="2909">
        <f>IF($A1701="","",IF($AB1701&amp;""='DB_設定'!$C$4,1,0))</f>
      </c>
    </row>
    <row r="1702">
      <c r="DB1702" s="2909">
        <f>IF($A1702="","",IF($AH1702=20,IF(AND(OR($A1702=21,$A1702=215),$AJ1702=10),"①病院一般",IF(AND($A1702=31,$AJ1702=41),"②病院短期","対象外")),IF($AJ1702=30,"③特定消防",IF(AND(OR($A1702=21,$A1702=215),$AJ1702=10),"④一般",IF(AND($A1702=31,$AJ1702=41),"⑤短期","対象外")))))</f>
      </c>
      <c r="DC1702" s="2909">
        <f>IF($A1702="","",IF($AB1702&amp;""='DB_設定'!$C$4,1,0))</f>
      </c>
    </row>
    <row r="1703">
      <c r="DB1703" s="2909">
        <f>IF($A1703="","",IF($AH1703=20,IF(AND(OR($A1703=21,$A1703=215),$AJ1703=10),"①病院一般",IF(AND($A1703=31,$AJ1703=41),"②病院短期","対象外")),IF($AJ1703=30,"③特定消防",IF(AND(OR($A1703=21,$A1703=215),$AJ1703=10),"④一般",IF(AND($A1703=31,$AJ1703=41),"⑤短期","対象外")))))</f>
      </c>
      <c r="DC1703" s="2909">
        <f>IF($A1703="","",IF($AB1703&amp;""='DB_設定'!$C$4,1,0))</f>
      </c>
    </row>
    <row r="1704">
      <c r="DB1704" s="2909">
        <f>IF($A1704="","",IF($AH1704=20,IF(AND(OR($A1704=21,$A1704=215),$AJ1704=10),"①病院一般",IF(AND($A1704=31,$AJ1704=41),"②病院短期","対象外")),IF($AJ1704=30,"③特定消防",IF(AND(OR($A1704=21,$A1704=215),$AJ1704=10),"④一般",IF(AND($A1704=31,$AJ1704=41),"⑤短期","対象外")))))</f>
      </c>
      <c r="DC1704" s="2909">
        <f>IF($A1704="","",IF($AB1704&amp;""='DB_設定'!$C$4,1,0))</f>
      </c>
    </row>
    <row r="1705">
      <c r="DB1705" s="2909">
        <f>IF($A1705="","",IF($AH1705=20,IF(AND(OR($A1705=21,$A1705=215),$AJ1705=10),"①病院一般",IF(AND($A1705=31,$AJ1705=41),"②病院短期","対象外")),IF($AJ1705=30,"③特定消防",IF(AND(OR($A1705=21,$A1705=215),$AJ1705=10),"④一般",IF(AND($A1705=31,$AJ1705=41),"⑤短期","対象外")))))</f>
      </c>
      <c r="DC1705" s="2909">
        <f>IF($A1705="","",IF($AB1705&amp;""='DB_設定'!$C$4,1,0))</f>
      </c>
    </row>
    <row r="1706">
      <c r="DB1706" s="2909">
        <f>IF($A1706="","",IF($AH1706=20,IF(AND(OR($A1706=21,$A1706=215),$AJ1706=10),"①病院一般",IF(AND($A1706=31,$AJ1706=41),"②病院短期","対象外")),IF($AJ1706=30,"③特定消防",IF(AND(OR($A1706=21,$A1706=215),$AJ1706=10),"④一般",IF(AND($A1706=31,$AJ1706=41),"⑤短期","対象外")))))</f>
      </c>
      <c r="DC1706" s="2909">
        <f>IF($A1706="","",IF($AB1706&amp;""='DB_設定'!$C$4,1,0))</f>
      </c>
    </row>
    <row r="1707">
      <c r="DB1707" s="2909">
        <f>IF($A1707="","",IF($AH1707=20,IF(AND(OR($A1707=21,$A1707=215),$AJ1707=10),"①病院一般",IF(AND($A1707=31,$AJ1707=41),"②病院短期","対象外")),IF($AJ1707=30,"③特定消防",IF(AND(OR($A1707=21,$A1707=215),$AJ1707=10),"④一般",IF(AND($A1707=31,$AJ1707=41),"⑤短期","対象外")))))</f>
      </c>
      <c r="DC1707" s="2909">
        <f>IF($A1707="","",IF($AB1707&amp;""='DB_設定'!$C$4,1,0))</f>
      </c>
    </row>
    <row r="1708">
      <c r="DB1708" s="2909">
        <f>IF($A1708="","",IF($AH1708=20,IF(AND(OR($A1708=21,$A1708=215),$AJ1708=10),"①病院一般",IF(AND($A1708=31,$AJ1708=41),"②病院短期","対象外")),IF($AJ1708=30,"③特定消防",IF(AND(OR($A1708=21,$A1708=215),$AJ1708=10),"④一般",IF(AND($A1708=31,$AJ1708=41),"⑤短期","対象外")))))</f>
      </c>
      <c r="DC1708" s="2909">
        <f>IF($A1708="","",IF($AB1708&amp;""='DB_設定'!$C$4,1,0))</f>
      </c>
    </row>
    <row r="1709">
      <c r="DB1709" s="2909">
        <f>IF($A1709="","",IF($AH1709=20,IF(AND(OR($A1709=21,$A1709=215),$AJ1709=10),"①病院一般",IF(AND($A1709=31,$AJ1709=41),"②病院短期","対象外")),IF($AJ1709=30,"③特定消防",IF(AND(OR($A1709=21,$A1709=215),$AJ1709=10),"④一般",IF(AND($A1709=31,$AJ1709=41),"⑤短期","対象外")))))</f>
      </c>
      <c r="DC1709" s="2909">
        <f>IF($A1709="","",IF($AB1709&amp;""='DB_設定'!$C$4,1,0))</f>
      </c>
    </row>
    <row r="1710">
      <c r="DB1710" s="2909">
        <f>IF($A1710="","",IF($AH1710=20,IF(AND(OR($A1710=21,$A1710=215),$AJ1710=10),"①病院一般",IF(AND($A1710=31,$AJ1710=41),"②病院短期","対象外")),IF($AJ1710=30,"③特定消防",IF(AND(OR($A1710=21,$A1710=215),$AJ1710=10),"④一般",IF(AND($A1710=31,$AJ1710=41),"⑤短期","対象外")))))</f>
      </c>
      <c r="DC1710" s="2909">
        <f>IF($A1710="","",IF($AB1710&amp;""='DB_設定'!$C$4,1,0))</f>
      </c>
    </row>
    <row r="1711">
      <c r="DB1711" s="2909">
        <f>IF($A1711="","",IF($AH1711=20,IF(AND(OR($A1711=21,$A1711=215),$AJ1711=10),"①病院一般",IF(AND($A1711=31,$AJ1711=41),"②病院短期","対象外")),IF($AJ1711=30,"③特定消防",IF(AND(OR($A1711=21,$A1711=215),$AJ1711=10),"④一般",IF(AND($A1711=31,$AJ1711=41),"⑤短期","対象外")))))</f>
      </c>
      <c r="DC1711" s="2909">
        <f>IF($A1711="","",IF($AB1711&amp;""='DB_設定'!$C$4,1,0))</f>
      </c>
    </row>
    <row r="1712">
      <c r="DB1712" s="2909">
        <f>IF($A1712="","",IF($AH1712=20,IF(AND(OR($A1712=21,$A1712=215),$AJ1712=10),"①病院一般",IF(AND($A1712=31,$AJ1712=41),"②病院短期","対象外")),IF($AJ1712=30,"③特定消防",IF(AND(OR($A1712=21,$A1712=215),$AJ1712=10),"④一般",IF(AND($A1712=31,$AJ1712=41),"⑤短期","対象外")))))</f>
      </c>
      <c r="DC1712" s="2909">
        <f>IF($A1712="","",IF($AB1712&amp;""='DB_設定'!$C$4,1,0))</f>
      </c>
    </row>
    <row r="1713">
      <c r="DB1713" s="2909">
        <f>IF($A1713="","",IF($AH1713=20,IF(AND(OR($A1713=21,$A1713=215),$AJ1713=10),"①病院一般",IF(AND($A1713=31,$AJ1713=41),"②病院短期","対象外")),IF($AJ1713=30,"③特定消防",IF(AND(OR($A1713=21,$A1713=215),$AJ1713=10),"④一般",IF(AND($A1713=31,$AJ1713=41),"⑤短期","対象外")))))</f>
      </c>
      <c r="DC1713" s="2909">
        <f>IF($A1713="","",IF($AB1713&amp;""='DB_設定'!$C$4,1,0))</f>
      </c>
    </row>
    <row r="1714">
      <c r="DB1714" s="2909">
        <f>IF($A1714="","",IF($AH1714=20,IF(AND(OR($A1714=21,$A1714=215),$AJ1714=10),"①病院一般",IF(AND($A1714=31,$AJ1714=41),"②病院短期","対象外")),IF($AJ1714=30,"③特定消防",IF(AND(OR($A1714=21,$A1714=215),$AJ1714=10),"④一般",IF(AND($A1714=31,$AJ1714=41),"⑤短期","対象外")))))</f>
      </c>
      <c r="DC1714" s="2909">
        <f>IF($A1714="","",IF($AB1714&amp;""='DB_設定'!$C$4,1,0))</f>
      </c>
    </row>
    <row r="1715">
      <c r="DB1715" s="2909">
        <f>IF($A1715="","",IF($AH1715=20,IF(AND(OR($A1715=21,$A1715=215),$AJ1715=10),"①病院一般",IF(AND($A1715=31,$AJ1715=41),"②病院短期","対象外")),IF($AJ1715=30,"③特定消防",IF(AND(OR($A1715=21,$A1715=215),$AJ1715=10),"④一般",IF(AND($A1715=31,$AJ1715=41),"⑤短期","対象外")))))</f>
      </c>
      <c r="DC1715" s="2909">
        <f>IF($A1715="","",IF($AB1715&amp;""='DB_設定'!$C$4,1,0))</f>
      </c>
    </row>
    <row r="1716">
      <c r="DB1716" s="2909">
        <f>IF($A1716="","",IF($AH1716=20,IF(AND(OR($A1716=21,$A1716=215),$AJ1716=10),"①病院一般",IF(AND($A1716=31,$AJ1716=41),"②病院短期","対象外")),IF($AJ1716=30,"③特定消防",IF(AND(OR($A1716=21,$A1716=215),$AJ1716=10),"④一般",IF(AND($A1716=31,$AJ1716=41),"⑤短期","対象外")))))</f>
      </c>
      <c r="DC1716" s="2909">
        <f>IF($A1716="","",IF($AB1716&amp;""='DB_設定'!$C$4,1,0))</f>
      </c>
    </row>
    <row r="1717">
      <c r="DB1717" s="2909">
        <f>IF($A1717="","",IF($AH1717=20,IF(AND(OR($A1717=21,$A1717=215),$AJ1717=10),"①病院一般",IF(AND($A1717=31,$AJ1717=41),"②病院短期","対象外")),IF($AJ1717=30,"③特定消防",IF(AND(OR($A1717=21,$A1717=215),$AJ1717=10),"④一般",IF(AND($A1717=31,$AJ1717=41),"⑤短期","対象外")))))</f>
      </c>
      <c r="DC1717" s="2909">
        <f>IF($A1717="","",IF($AB1717&amp;""='DB_設定'!$C$4,1,0))</f>
      </c>
    </row>
    <row r="1718">
      <c r="DB1718" s="2909">
        <f>IF($A1718="","",IF($AH1718=20,IF(AND(OR($A1718=21,$A1718=215),$AJ1718=10),"①病院一般",IF(AND($A1718=31,$AJ1718=41),"②病院短期","対象外")),IF($AJ1718=30,"③特定消防",IF(AND(OR($A1718=21,$A1718=215),$AJ1718=10),"④一般",IF(AND($A1718=31,$AJ1718=41),"⑤短期","対象外")))))</f>
      </c>
      <c r="DC1718" s="2909">
        <f>IF($A1718="","",IF($AB1718&amp;""='DB_設定'!$C$4,1,0))</f>
      </c>
    </row>
    <row r="1719">
      <c r="DB1719" s="2909">
        <f>IF($A1719="","",IF($AH1719=20,IF(AND(OR($A1719=21,$A1719=215),$AJ1719=10),"①病院一般",IF(AND($A1719=31,$AJ1719=41),"②病院短期","対象外")),IF($AJ1719=30,"③特定消防",IF(AND(OR($A1719=21,$A1719=215),$AJ1719=10),"④一般",IF(AND($A1719=31,$AJ1719=41),"⑤短期","対象外")))))</f>
      </c>
      <c r="DC1719" s="2909">
        <f>IF($A1719="","",IF($AB1719&amp;""='DB_設定'!$C$4,1,0))</f>
      </c>
    </row>
    <row r="1720">
      <c r="DB1720" s="2909">
        <f>IF($A1720="","",IF($AH1720=20,IF(AND(OR($A1720=21,$A1720=215),$AJ1720=10),"①病院一般",IF(AND($A1720=31,$AJ1720=41),"②病院短期","対象外")),IF($AJ1720=30,"③特定消防",IF(AND(OR($A1720=21,$A1720=215),$AJ1720=10),"④一般",IF(AND($A1720=31,$AJ1720=41),"⑤短期","対象外")))))</f>
      </c>
      <c r="DC1720" s="2909">
        <f>IF($A1720="","",IF($AB1720&amp;""='DB_設定'!$C$4,1,0))</f>
      </c>
    </row>
    <row r="1721">
      <c r="DB1721" s="2909">
        <f>IF($A1721="","",IF($AH1721=20,IF(AND(OR($A1721=21,$A1721=215),$AJ1721=10),"①病院一般",IF(AND($A1721=31,$AJ1721=41),"②病院短期","対象外")),IF($AJ1721=30,"③特定消防",IF(AND(OR($A1721=21,$A1721=215),$AJ1721=10),"④一般",IF(AND($A1721=31,$AJ1721=41),"⑤短期","対象外")))))</f>
      </c>
      <c r="DC1721" s="2909">
        <f>IF($A1721="","",IF($AB1721&amp;""='DB_設定'!$C$4,1,0))</f>
      </c>
    </row>
    <row r="1722">
      <c r="DB1722" s="2909">
        <f>IF($A1722="","",IF($AH1722=20,IF(AND(OR($A1722=21,$A1722=215),$AJ1722=10),"①病院一般",IF(AND($A1722=31,$AJ1722=41),"②病院短期","対象外")),IF($AJ1722=30,"③特定消防",IF(AND(OR($A1722=21,$A1722=215),$AJ1722=10),"④一般",IF(AND($A1722=31,$AJ1722=41),"⑤短期","対象外")))))</f>
      </c>
      <c r="DC1722" s="2909">
        <f>IF($A1722="","",IF($AB1722&amp;""='DB_設定'!$C$4,1,0))</f>
      </c>
    </row>
    <row r="1723">
      <c r="DB1723" s="2909">
        <f>IF($A1723="","",IF($AH1723=20,IF(AND(OR($A1723=21,$A1723=215),$AJ1723=10),"①病院一般",IF(AND($A1723=31,$AJ1723=41),"②病院短期","対象外")),IF($AJ1723=30,"③特定消防",IF(AND(OR($A1723=21,$A1723=215),$AJ1723=10),"④一般",IF(AND($A1723=31,$AJ1723=41),"⑤短期","対象外")))))</f>
      </c>
      <c r="DC1723" s="2909">
        <f>IF($A1723="","",IF($AB1723&amp;""='DB_設定'!$C$4,1,0))</f>
      </c>
    </row>
    <row r="1724">
      <c r="DB1724" s="2909">
        <f>IF($A1724="","",IF($AH1724=20,IF(AND(OR($A1724=21,$A1724=215),$AJ1724=10),"①病院一般",IF(AND($A1724=31,$AJ1724=41),"②病院短期","対象外")),IF($AJ1724=30,"③特定消防",IF(AND(OR($A1724=21,$A1724=215),$AJ1724=10),"④一般",IF(AND($A1724=31,$AJ1724=41),"⑤短期","対象外")))))</f>
      </c>
      <c r="DC1724" s="2909">
        <f>IF($A1724="","",IF($AB1724&amp;""='DB_設定'!$C$4,1,0))</f>
      </c>
    </row>
    <row r="1725">
      <c r="DB1725" s="2909">
        <f>IF($A1725="","",IF($AH1725=20,IF(AND(OR($A1725=21,$A1725=215),$AJ1725=10),"①病院一般",IF(AND($A1725=31,$AJ1725=41),"②病院短期","対象外")),IF($AJ1725=30,"③特定消防",IF(AND(OR($A1725=21,$A1725=215),$AJ1725=10),"④一般",IF(AND($A1725=31,$AJ1725=41),"⑤短期","対象外")))))</f>
      </c>
      <c r="DC1725" s="2909">
        <f>IF($A1725="","",IF($AB1725&amp;""='DB_設定'!$C$4,1,0))</f>
      </c>
    </row>
    <row r="1726">
      <c r="DB1726" s="2909">
        <f>IF($A1726="","",IF($AH1726=20,IF(AND(OR($A1726=21,$A1726=215),$AJ1726=10),"①病院一般",IF(AND($A1726=31,$AJ1726=41),"②病院短期","対象外")),IF($AJ1726=30,"③特定消防",IF(AND(OR($A1726=21,$A1726=215),$AJ1726=10),"④一般",IF(AND($A1726=31,$AJ1726=41),"⑤短期","対象外")))))</f>
      </c>
      <c r="DC1726" s="2909">
        <f>IF($A1726="","",IF($AB1726&amp;""='DB_設定'!$C$4,1,0))</f>
      </c>
    </row>
    <row r="1727">
      <c r="DB1727" s="2909">
        <f>IF($A1727="","",IF($AH1727=20,IF(AND(OR($A1727=21,$A1727=215),$AJ1727=10),"①病院一般",IF(AND($A1727=31,$AJ1727=41),"②病院短期","対象外")),IF($AJ1727=30,"③特定消防",IF(AND(OR($A1727=21,$A1727=215),$AJ1727=10),"④一般",IF(AND($A1727=31,$AJ1727=41),"⑤短期","対象外")))))</f>
      </c>
      <c r="DC1727" s="2909">
        <f>IF($A1727="","",IF($AB1727&amp;""='DB_設定'!$C$4,1,0))</f>
      </c>
    </row>
    <row r="1728">
      <c r="DB1728" s="2909">
        <f>IF($A1728="","",IF($AH1728=20,IF(AND(OR($A1728=21,$A1728=215),$AJ1728=10),"①病院一般",IF(AND($A1728=31,$AJ1728=41),"②病院短期","対象外")),IF($AJ1728=30,"③特定消防",IF(AND(OR($A1728=21,$A1728=215),$AJ1728=10),"④一般",IF(AND($A1728=31,$AJ1728=41),"⑤短期","対象外")))))</f>
      </c>
      <c r="DC1728" s="2909">
        <f>IF($A1728="","",IF($AB1728&amp;""='DB_設定'!$C$4,1,0))</f>
      </c>
    </row>
    <row r="1729">
      <c r="DB1729" s="2909">
        <f>IF($A1729="","",IF($AH1729=20,IF(AND(OR($A1729=21,$A1729=215),$AJ1729=10),"①病院一般",IF(AND($A1729=31,$AJ1729=41),"②病院短期","対象外")),IF($AJ1729=30,"③特定消防",IF(AND(OR($A1729=21,$A1729=215),$AJ1729=10),"④一般",IF(AND($A1729=31,$AJ1729=41),"⑤短期","対象外")))))</f>
      </c>
      <c r="DC1729" s="2909">
        <f>IF($A1729="","",IF($AB1729&amp;""='DB_設定'!$C$4,1,0))</f>
      </c>
    </row>
    <row r="1730">
      <c r="DB1730" s="2909">
        <f>IF($A1730="","",IF($AH1730=20,IF(AND(OR($A1730=21,$A1730=215),$AJ1730=10),"①病院一般",IF(AND($A1730=31,$AJ1730=41),"②病院短期","対象外")),IF($AJ1730=30,"③特定消防",IF(AND(OR($A1730=21,$A1730=215),$AJ1730=10),"④一般",IF(AND($A1730=31,$AJ1730=41),"⑤短期","対象外")))))</f>
      </c>
      <c r="DC1730" s="2909">
        <f>IF($A1730="","",IF($AB1730&amp;""='DB_設定'!$C$4,1,0))</f>
      </c>
    </row>
    <row r="1731">
      <c r="DB1731" s="2909">
        <f>IF($A1731="","",IF($AH1731=20,IF(AND(OR($A1731=21,$A1731=215),$AJ1731=10),"①病院一般",IF(AND($A1731=31,$AJ1731=41),"②病院短期","対象外")),IF($AJ1731=30,"③特定消防",IF(AND(OR($A1731=21,$A1731=215),$AJ1731=10),"④一般",IF(AND($A1731=31,$AJ1731=41),"⑤短期","対象外")))))</f>
      </c>
      <c r="DC1731" s="2909">
        <f>IF($A1731="","",IF($AB1731&amp;""='DB_設定'!$C$4,1,0))</f>
      </c>
    </row>
    <row r="1732">
      <c r="DB1732" s="2909">
        <f>IF($A1732="","",IF($AH1732=20,IF(AND(OR($A1732=21,$A1732=215),$AJ1732=10),"①病院一般",IF(AND($A1732=31,$AJ1732=41),"②病院短期","対象外")),IF($AJ1732=30,"③特定消防",IF(AND(OR($A1732=21,$A1732=215),$AJ1732=10),"④一般",IF(AND($A1732=31,$AJ1732=41),"⑤短期","対象外")))))</f>
      </c>
      <c r="DC1732" s="2909">
        <f>IF($A1732="","",IF($AB1732&amp;""='DB_設定'!$C$4,1,0))</f>
      </c>
    </row>
    <row r="1733">
      <c r="DB1733" s="2909">
        <f>IF($A1733="","",IF($AH1733=20,IF(AND(OR($A1733=21,$A1733=215),$AJ1733=10),"①病院一般",IF(AND($A1733=31,$AJ1733=41),"②病院短期","対象外")),IF($AJ1733=30,"③特定消防",IF(AND(OR($A1733=21,$A1733=215),$AJ1733=10),"④一般",IF(AND($A1733=31,$AJ1733=41),"⑤短期","対象外")))))</f>
      </c>
      <c r="DC1733" s="2909">
        <f>IF($A1733="","",IF($AB1733&amp;""='DB_設定'!$C$4,1,0))</f>
      </c>
    </row>
    <row r="1734">
      <c r="DB1734" s="2909">
        <f>IF($A1734="","",IF($AH1734=20,IF(AND(OR($A1734=21,$A1734=215),$AJ1734=10),"①病院一般",IF(AND($A1734=31,$AJ1734=41),"②病院短期","対象外")),IF($AJ1734=30,"③特定消防",IF(AND(OR($A1734=21,$A1734=215),$AJ1734=10),"④一般",IF(AND($A1734=31,$AJ1734=41),"⑤短期","対象外")))))</f>
      </c>
      <c r="DC1734" s="2909">
        <f>IF($A1734="","",IF($AB1734&amp;""='DB_設定'!$C$4,1,0))</f>
      </c>
    </row>
    <row r="1735">
      <c r="DB1735" s="2909">
        <f>IF($A1735="","",IF($AH1735=20,IF(AND(OR($A1735=21,$A1735=215),$AJ1735=10),"①病院一般",IF(AND($A1735=31,$AJ1735=41),"②病院短期","対象外")),IF($AJ1735=30,"③特定消防",IF(AND(OR($A1735=21,$A1735=215),$AJ1735=10),"④一般",IF(AND($A1735=31,$AJ1735=41),"⑤短期","対象外")))))</f>
      </c>
      <c r="DC1735" s="2909">
        <f>IF($A1735="","",IF($AB1735&amp;""='DB_設定'!$C$4,1,0))</f>
      </c>
    </row>
    <row r="1736">
      <c r="DB1736" s="2909">
        <f>IF($A1736="","",IF($AH1736=20,IF(AND(OR($A1736=21,$A1736=215),$AJ1736=10),"①病院一般",IF(AND($A1736=31,$AJ1736=41),"②病院短期","対象外")),IF($AJ1736=30,"③特定消防",IF(AND(OR($A1736=21,$A1736=215),$AJ1736=10),"④一般",IF(AND($A1736=31,$AJ1736=41),"⑤短期","対象外")))))</f>
      </c>
      <c r="DC1736" s="2909">
        <f>IF($A1736="","",IF($AB1736&amp;""='DB_設定'!$C$4,1,0))</f>
      </c>
    </row>
    <row r="1737">
      <c r="DB1737" s="2909">
        <f>IF($A1737="","",IF($AH1737=20,IF(AND(OR($A1737=21,$A1737=215),$AJ1737=10),"①病院一般",IF(AND($A1737=31,$AJ1737=41),"②病院短期","対象外")),IF($AJ1737=30,"③特定消防",IF(AND(OR($A1737=21,$A1737=215),$AJ1737=10),"④一般",IF(AND($A1737=31,$AJ1737=41),"⑤短期","対象外")))))</f>
      </c>
      <c r="DC1737" s="2909">
        <f>IF($A1737="","",IF($AB1737&amp;""='DB_設定'!$C$4,1,0))</f>
      </c>
    </row>
    <row r="1738">
      <c r="DB1738" s="2909">
        <f>IF($A1738="","",IF($AH1738=20,IF(AND(OR($A1738=21,$A1738=215),$AJ1738=10),"①病院一般",IF(AND($A1738=31,$AJ1738=41),"②病院短期","対象外")),IF($AJ1738=30,"③特定消防",IF(AND(OR($A1738=21,$A1738=215),$AJ1738=10),"④一般",IF(AND($A1738=31,$AJ1738=41),"⑤短期","対象外")))))</f>
      </c>
      <c r="DC1738" s="2909">
        <f>IF($A1738="","",IF($AB1738&amp;""='DB_設定'!$C$4,1,0))</f>
      </c>
    </row>
    <row r="1739">
      <c r="DB1739" s="2909">
        <f>IF($A1739="","",IF($AH1739=20,IF(AND(OR($A1739=21,$A1739=215),$AJ1739=10),"①病院一般",IF(AND($A1739=31,$AJ1739=41),"②病院短期","対象外")),IF($AJ1739=30,"③特定消防",IF(AND(OR($A1739=21,$A1739=215),$AJ1739=10),"④一般",IF(AND($A1739=31,$AJ1739=41),"⑤短期","対象外")))))</f>
      </c>
      <c r="DC1739" s="2909">
        <f>IF($A1739="","",IF($AB1739&amp;""='DB_設定'!$C$4,1,0))</f>
      </c>
    </row>
    <row r="1740">
      <c r="DB1740" s="2909">
        <f>IF($A1740="","",IF($AH1740=20,IF(AND(OR($A1740=21,$A1740=215),$AJ1740=10),"①病院一般",IF(AND($A1740=31,$AJ1740=41),"②病院短期","対象外")),IF($AJ1740=30,"③特定消防",IF(AND(OR($A1740=21,$A1740=215),$AJ1740=10),"④一般",IF(AND($A1740=31,$AJ1740=41),"⑤短期","対象外")))))</f>
      </c>
      <c r="DC1740" s="2909">
        <f>IF($A1740="","",IF($AB1740&amp;""='DB_設定'!$C$4,1,0))</f>
      </c>
    </row>
    <row r="1741">
      <c r="DB1741" s="2909">
        <f>IF($A1741="","",IF($AH1741=20,IF(AND(OR($A1741=21,$A1741=215),$AJ1741=10),"①病院一般",IF(AND($A1741=31,$AJ1741=41),"②病院短期","対象外")),IF($AJ1741=30,"③特定消防",IF(AND(OR($A1741=21,$A1741=215),$AJ1741=10),"④一般",IF(AND($A1741=31,$AJ1741=41),"⑤短期","対象外")))))</f>
      </c>
      <c r="DC1741" s="2909">
        <f>IF($A1741="","",IF($AB1741&amp;""='DB_設定'!$C$4,1,0))</f>
      </c>
    </row>
    <row r="1742">
      <c r="DB1742" s="2909">
        <f>IF($A1742="","",IF($AH1742=20,IF(AND(OR($A1742=21,$A1742=215),$AJ1742=10),"①病院一般",IF(AND($A1742=31,$AJ1742=41),"②病院短期","対象外")),IF($AJ1742=30,"③特定消防",IF(AND(OR($A1742=21,$A1742=215),$AJ1742=10),"④一般",IF(AND($A1742=31,$AJ1742=41),"⑤短期","対象外")))))</f>
      </c>
      <c r="DC1742" s="2909">
        <f>IF($A1742="","",IF($AB1742&amp;""='DB_設定'!$C$4,1,0))</f>
      </c>
    </row>
    <row r="1743">
      <c r="DB1743" s="2909">
        <f>IF($A1743="","",IF($AH1743=20,IF(AND(OR($A1743=21,$A1743=215),$AJ1743=10),"①病院一般",IF(AND($A1743=31,$AJ1743=41),"②病院短期","対象外")),IF($AJ1743=30,"③特定消防",IF(AND(OR($A1743=21,$A1743=215),$AJ1743=10),"④一般",IF(AND($A1743=31,$AJ1743=41),"⑤短期","対象外")))))</f>
      </c>
      <c r="DC1743" s="2909">
        <f>IF($A1743="","",IF($AB1743&amp;""='DB_設定'!$C$4,1,0))</f>
      </c>
    </row>
    <row r="1744">
      <c r="DB1744" s="2909">
        <f>IF($A1744="","",IF($AH1744=20,IF(AND(OR($A1744=21,$A1744=215),$AJ1744=10),"①病院一般",IF(AND($A1744=31,$AJ1744=41),"②病院短期","対象外")),IF($AJ1744=30,"③特定消防",IF(AND(OR($A1744=21,$A1744=215),$AJ1744=10),"④一般",IF(AND($A1744=31,$AJ1744=41),"⑤短期","対象外")))))</f>
      </c>
      <c r="DC1744" s="2909">
        <f>IF($A1744="","",IF($AB1744&amp;""='DB_設定'!$C$4,1,0))</f>
      </c>
    </row>
    <row r="1745">
      <c r="DB1745" s="2909">
        <f>IF($A1745="","",IF($AH1745=20,IF(AND(OR($A1745=21,$A1745=215),$AJ1745=10),"①病院一般",IF(AND($A1745=31,$AJ1745=41),"②病院短期","対象外")),IF($AJ1745=30,"③特定消防",IF(AND(OR($A1745=21,$A1745=215),$AJ1745=10),"④一般",IF(AND($A1745=31,$AJ1745=41),"⑤短期","対象外")))))</f>
      </c>
      <c r="DC1745" s="2909">
        <f>IF($A1745="","",IF($AB1745&amp;""='DB_設定'!$C$4,1,0))</f>
      </c>
    </row>
    <row r="1746">
      <c r="DB1746" s="2909">
        <f>IF($A1746="","",IF($AH1746=20,IF(AND(OR($A1746=21,$A1746=215),$AJ1746=10),"①病院一般",IF(AND($A1746=31,$AJ1746=41),"②病院短期","対象外")),IF($AJ1746=30,"③特定消防",IF(AND(OR($A1746=21,$A1746=215),$AJ1746=10),"④一般",IF(AND($A1746=31,$AJ1746=41),"⑤短期","対象外")))))</f>
      </c>
      <c r="DC1746" s="2909">
        <f>IF($A1746="","",IF($AB1746&amp;""='DB_設定'!$C$4,1,0))</f>
      </c>
    </row>
    <row r="1747">
      <c r="DB1747" s="2909">
        <f>IF($A1747="","",IF($AH1747=20,IF(AND(OR($A1747=21,$A1747=215),$AJ1747=10),"①病院一般",IF(AND($A1747=31,$AJ1747=41),"②病院短期","対象外")),IF($AJ1747=30,"③特定消防",IF(AND(OR($A1747=21,$A1747=215),$AJ1747=10),"④一般",IF(AND($A1747=31,$AJ1747=41),"⑤短期","対象外")))))</f>
      </c>
      <c r="DC1747" s="2909">
        <f>IF($A1747="","",IF($AB1747&amp;""='DB_設定'!$C$4,1,0))</f>
      </c>
    </row>
    <row r="1748">
      <c r="DB1748" s="2909">
        <f>IF($A1748="","",IF($AH1748=20,IF(AND(OR($A1748=21,$A1748=215),$AJ1748=10),"①病院一般",IF(AND($A1748=31,$AJ1748=41),"②病院短期","対象外")),IF($AJ1748=30,"③特定消防",IF(AND(OR($A1748=21,$A1748=215),$AJ1748=10),"④一般",IF(AND($A1748=31,$AJ1748=41),"⑤短期","対象外")))))</f>
      </c>
      <c r="DC1748" s="2909">
        <f>IF($A1748="","",IF($AB1748&amp;""='DB_設定'!$C$4,1,0))</f>
      </c>
    </row>
    <row r="1749">
      <c r="DB1749" s="2909">
        <f>IF($A1749="","",IF($AH1749=20,IF(AND(OR($A1749=21,$A1749=215),$AJ1749=10),"①病院一般",IF(AND($A1749=31,$AJ1749=41),"②病院短期","対象外")),IF($AJ1749=30,"③特定消防",IF(AND(OR($A1749=21,$A1749=215),$AJ1749=10),"④一般",IF(AND($A1749=31,$AJ1749=41),"⑤短期","対象外")))))</f>
      </c>
      <c r="DC1749" s="2909">
        <f>IF($A1749="","",IF($AB1749&amp;""='DB_設定'!$C$4,1,0))</f>
      </c>
    </row>
    <row r="1750">
      <c r="DB1750" s="2909">
        <f>IF($A1750="","",IF($AH1750=20,IF(AND(OR($A1750=21,$A1750=215),$AJ1750=10),"①病院一般",IF(AND($A1750=31,$AJ1750=41),"②病院短期","対象外")),IF($AJ1750=30,"③特定消防",IF(AND(OR($A1750=21,$A1750=215),$AJ1750=10),"④一般",IF(AND($A1750=31,$AJ1750=41),"⑤短期","対象外")))))</f>
      </c>
      <c r="DC1750" s="2909">
        <f>IF($A1750="","",IF($AB1750&amp;""='DB_設定'!$C$4,1,0))</f>
      </c>
    </row>
    <row r="1751">
      <c r="DB1751" s="2909">
        <f>IF($A1751="","",IF($AH1751=20,IF(AND(OR($A1751=21,$A1751=215),$AJ1751=10),"①病院一般",IF(AND($A1751=31,$AJ1751=41),"②病院短期","対象外")),IF($AJ1751=30,"③特定消防",IF(AND(OR($A1751=21,$A1751=215),$AJ1751=10),"④一般",IF(AND($A1751=31,$AJ1751=41),"⑤短期","対象外")))))</f>
      </c>
      <c r="DC1751" s="2909">
        <f>IF($A1751="","",IF($AB1751&amp;""='DB_設定'!$C$4,1,0))</f>
      </c>
    </row>
    <row r="1752">
      <c r="DB1752" s="2909">
        <f>IF($A1752="","",IF($AH1752=20,IF(AND(OR($A1752=21,$A1752=215),$AJ1752=10),"①病院一般",IF(AND($A1752=31,$AJ1752=41),"②病院短期","対象外")),IF($AJ1752=30,"③特定消防",IF(AND(OR($A1752=21,$A1752=215),$AJ1752=10),"④一般",IF(AND($A1752=31,$AJ1752=41),"⑤短期","対象外")))))</f>
      </c>
      <c r="DC1752" s="2909">
        <f>IF($A1752="","",IF($AB1752&amp;""='DB_設定'!$C$4,1,0))</f>
      </c>
    </row>
    <row r="1753">
      <c r="DB1753" s="2909">
        <f>IF($A1753="","",IF($AH1753=20,IF(AND(OR($A1753=21,$A1753=215),$AJ1753=10),"①病院一般",IF(AND($A1753=31,$AJ1753=41),"②病院短期","対象外")),IF($AJ1753=30,"③特定消防",IF(AND(OR($A1753=21,$A1753=215),$AJ1753=10),"④一般",IF(AND($A1753=31,$AJ1753=41),"⑤短期","対象外")))))</f>
      </c>
      <c r="DC1753" s="2909">
        <f>IF($A1753="","",IF($AB1753&amp;""='DB_設定'!$C$4,1,0))</f>
      </c>
    </row>
    <row r="1754">
      <c r="DB1754" s="2909">
        <f>IF($A1754="","",IF($AH1754=20,IF(AND(OR($A1754=21,$A1754=215),$AJ1754=10),"①病院一般",IF(AND($A1754=31,$AJ1754=41),"②病院短期","対象外")),IF($AJ1754=30,"③特定消防",IF(AND(OR($A1754=21,$A1754=215),$AJ1754=10),"④一般",IF(AND($A1754=31,$AJ1754=41),"⑤短期","対象外")))))</f>
      </c>
      <c r="DC1754" s="2909">
        <f>IF($A1754="","",IF($AB1754&amp;""='DB_設定'!$C$4,1,0))</f>
      </c>
    </row>
    <row r="1755">
      <c r="DB1755" s="2909">
        <f>IF($A1755="","",IF($AH1755=20,IF(AND(OR($A1755=21,$A1755=215),$AJ1755=10),"①病院一般",IF(AND($A1755=31,$AJ1755=41),"②病院短期","対象外")),IF($AJ1755=30,"③特定消防",IF(AND(OR($A1755=21,$A1755=215),$AJ1755=10),"④一般",IF(AND($A1755=31,$AJ1755=41),"⑤短期","対象外")))))</f>
      </c>
      <c r="DC1755" s="2909">
        <f>IF($A1755="","",IF($AB1755&amp;""='DB_設定'!$C$4,1,0))</f>
      </c>
    </row>
    <row r="1756">
      <c r="DB1756" s="2909">
        <f>IF($A1756="","",IF($AH1756=20,IF(AND(OR($A1756=21,$A1756=215),$AJ1756=10),"①病院一般",IF(AND($A1756=31,$AJ1756=41),"②病院短期","対象外")),IF($AJ1756=30,"③特定消防",IF(AND(OR($A1756=21,$A1756=215),$AJ1756=10),"④一般",IF(AND($A1756=31,$AJ1756=41),"⑤短期","対象外")))))</f>
      </c>
      <c r="DC1756" s="2909">
        <f>IF($A1756="","",IF($AB1756&amp;""='DB_設定'!$C$4,1,0))</f>
      </c>
    </row>
    <row r="1757">
      <c r="DB1757" s="2909">
        <f>IF($A1757="","",IF($AH1757=20,IF(AND(OR($A1757=21,$A1757=215),$AJ1757=10),"①病院一般",IF(AND($A1757=31,$AJ1757=41),"②病院短期","対象外")),IF($AJ1757=30,"③特定消防",IF(AND(OR($A1757=21,$A1757=215),$AJ1757=10),"④一般",IF(AND($A1757=31,$AJ1757=41),"⑤短期","対象外")))))</f>
      </c>
      <c r="DC1757" s="2909">
        <f>IF($A1757="","",IF($AB1757&amp;""='DB_設定'!$C$4,1,0))</f>
      </c>
    </row>
    <row r="1758">
      <c r="DB1758" s="2909">
        <f>IF($A1758="","",IF($AH1758=20,IF(AND(OR($A1758=21,$A1758=215),$AJ1758=10),"①病院一般",IF(AND($A1758=31,$AJ1758=41),"②病院短期","対象外")),IF($AJ1758=30,"③特定消防",IF(AND(OR($A1758=21,$A1758=215),$AJ1758=10),"④一般",IF(AND($A1758=31,$AJ1758=41),"⑤短期","対象外")))))</f>
      </c>
      <c r="DC1758" s="2909">
        <f>IF($A1758="","",IF($AB1758&amp;""='DB_設定'!$C$4,1,0))</f>
      </c>
    </row>
    <row r="1759">
      <c r="DB1759" s="2909">
        <f>IF($A1759="","",IF($AH1759=20,IF(AND(OR($A1759=21,$A1759=215),$AJ1759=10),"①病院一般",IF(AND($A1759=31,$AJ1759=41),"②病院短期","対象外")),IF($AJ1759=30,"③特定消防",IF(AND(OR($A1759=21,$A1759=215),$AJ1759=10),"④一般",IF(AND($A1759=31,$AJ1759=41),"⑤短期","対象外")))))</f>
      </c>
      <c r="DC1759" s="2909">
        <f>IF($A1759="","",IF($AB1759&amp;""='DB_設定'!$C$4,1,0))</f>
      </c>
    </row>
    <row r="1760">
      <c r="DB1760" s="2909">
        <f>IF($A1760="","",IF($AH1760=20,IF(AND(OR($A1760=21,$A1760=215),$AJ1760=10),"①病院一般",IF(AND($A1760=31,$AJ1760=41),"②病院短期","対象外")),IF($AJ1760=30,"③特定消防",IF(AND(OR($A1760=21,$A1760=215),$AJ1760=10),"④一般",IF(AND($A1760=31,$AJ1760=41),"⑤短期","対象外")))))</f>
      </c>
      <c r="DC1760" s="2909">
        <f>IF($A1760="","",IF($AB1760&amp;""='DB_設定'!$C$4,1,0))</f>
      </c>
    </row>
    <row r="1761">
      <c r="DB1761" s="2909">
        <f>IF($A1761="","",IF($AH1761=20,IF(AND(OR($A1761=21,$A1761=215),$AJ1761=10),"①病院一般",IF(AND($A1761=31,$AJ1761=41),"②病院短期","対象外")),IF($AJ1761=30,"③特定消防",IF(AND(OR($A1761=21,$A1761=215),$AJ1761=10),"④一般",IF(AND($A1761=31,$AJ1761=41),"⑤短期","対象外")))))</f>
      </c>
      <c r="DC1761" s="2909">
        <f>IF($A1761="","",IF($AB1761&amp;""='DB_設定'!$C$4,1,0))</f>
      </c>
    </row>
    <row r="1762">
      <c r="DB1762" s="2909">
        <f>IF($A1762="","",IF($AH1762=20,IF(AND(OR($A1762=21,$A1762=215),$AJ1762=10),"①病院一般",IF(AND($A1762=31,$AJ1762=41),"②病院短期","対象外")),IF($AJ1762=30,"③特定消防",IF(AND(OR($A1762=21,$A1762=215),$AJ1762=10),"④一般",IF(AND($A1762=31,$AJ1762=41),"⑤短期","対象外")))))</f>
      </c>
      <c r="DC1762" s="2909">
        <f>IF($A1762="","",IF($AB1762&amp;""='DB_設定'!$C$4,1,0))</f>
      </c>
    </row>
    <row r="1763">
      <c r="DB1763" s="2909">
        <f>IF($A1763="","",IF($AH1763=20,IF(AND(OR($A1763=21,$A1763=215),$AJ1763=10),"①病院一般",IF(AND($A1763=31,$AJ1763=41),"②病院短期","対象外")),IF($AJ1763=30,"③特定消防",IF(AND(OR($A1763=21,$A1763=215),$AJ1763=10),"④一般",IF(AND($A1763=31,$AJ1763=41),"⑤短期","対象外")))))</f>
      </c>
      <c r="DC1763" s="2909">
        <f>IF($A1763="","",IF($AB1763&amp;""='DB_設定'!$C$4,1,0))</f>
      </c>
    </row>
    <row r="1764">
      <c r="DB1764" s="2909">
        <f>IF($A1764="","",IF($AH1764=20,IF(AND(OR($A1764=21,$A1764=215),$AJ1764=10),"①病院一般",IF(AND($A1764=31,$AJ1764=41),"②病院短期","対象外")),IF($AJ1764=30,"③特定消防",IF(AND(OR($A1764=21,$A1764=215),$AJ1764=10),"④一般",IF(AND($A1764=31,$AJ1764=41),"⑤短期","対象外")))))</f>
      </c>
      <c r="DC1764" s="2909">
        <f>IF($A1764="","",IF($AB1764&amp;""='DB_設定'!$C$4,1,0))</f>
      </c>
    </row>
    <row r="1765">
      <c r="DB1765" s="2909">
        <f>IF($A1765="","",IF($AH1765=20,IF(AND(OR($A1765=21,$A1765=215),$AJ1765=10),"①病院一般",IF(AND($A1765=31,$AJ1765=41),"②病院短期","対象外")),IF($AJ1765=30,"③特定消防",IF(AND(OR($A1765=21,$A1765=215),$AJ1765=10),"④一般",IF(AND($A1765=31,$AJ1765=41),"⑤短期","対象外")))))</f>
      </c>
      <c r="DC1765" s="2909">
        <f>IF($A1765="","",IF($AB1765&amp;""='DB_設定'!$C$4,1,0))</f>
      </c>
    </row>
    <row r="1766">
      <c r="DB1766" s="2909">
        <f>IF($A1766="","",IF($AH1766=20,IF(AND(OR($A1766=21,$A1766=215),$AJ1766=10),"①病院一般",IF(AND($A1766=31,$AJ1766=41),"②病院短期","対象外")),IF($AJ1766=30,"③特定消防",IF(AND(OR($A1766=21,$A1766=215),$AJ1766=10),"④一般",IF(AND($A1766=31,$AJ1766=41),"⑤短期","対象外")))))</f>
      </c>
      <c r="DC1766" s="2909">
        <f>IF($A1766="","",IF($AB1766&amp;""='DB_設定'!$C$4,1,0))</f>
      </c>
    </row>
    <row r="1767">
      <c r="DB1767" s="2909">
        <f>IF($A1767="","",IF($AH1767=20,IF(AND(OR($A1767=21,$A1767=215),$AJ1767=10),"①病院一般",IF(AND($A1767=31,$AJ1767=41),"②病院短期","対象外")),IF($AJ1767=30,"③特定消防",IF(AND(OR($A1767=21,$A1767=215),$AJ1767=10),"④一般",IF(AND($A1767=31,$AJ1767=41),"⑤短期","対象外")))))</f>
      </c>
      <c r="DC1767" s="2909">
        <f>IF($A1767="","",IF($AB1767&amp;""='DB_設定'!$C$4,1,0))</f>
      </c>
    </row>
    <row r="1768">
      <c r="DB1768" s="2909">
        <f>IF($A1768="","",IF($AH1768=20,IF(AND(OR($A1768=21,$A1768=215),$AJ1768=10),"①病院一般",IF(AND($A1768=31,$AJ1768=41),"②病院短期","対象外")),IF($AJ1768=30,"③特定消防",IF(AND(OR($A1768=21,$A1768=215),$AJ1768=10),"④一般",IF(AND($A1768=31,$AJ1768=41),"⑤短期","対象外")))))</f>
      </c>
      <c r="DC1768" s="2909">
        <f>IF($A1768="","",IF($AB1768&amp;""='DB_設定'!$C$4,1,0))</f>
      </c>
    </row>
    <row r="1769">
      <c r="DB1769" s="2909">
        <f>IF($A1769="","",IF($AH1769=20,IF(AND(OR($A1769=21,$A1769=215),$AJ1769=10),"①病院一般",IF(AND($A1769=31,$AJ1769=41),"②病院短期","対象外")),IF($AJ1769=30,"③特定消防",IF(AND(OR($A1769=21,$A1769=215),$AJ1769=10),"④一般",IF(AND($A1769=31,$AJ1769=41),"⑤短期","対象外")))))</f>
      </c>
      <c r="DC1769" s="2909">
        <f>IF($A1769="","",IF($AB1769&amp;""='DB_設定'!$C$4,1,0))</f>
      </c>
    </row>
    <row r="1770">
      <c r="DB1770" s="2909">
        <f>IF($A1770="","",IF($AH1770=20,IF(AND(OR($A1770=21,$A1770=215),$AJ1770=10),"①病院一般",IF(AND($A1770=31,$AJ1770=41),"②病院短期","対象外")),IF($AJ1770=30,"③特定消防",IF(AND(OR($A1770=21,$A1770=215),$AJ1770=10),"④一般",IF(AND($A1770=31,$AJ1770=41),"⑤短期","対象外")))))</f>
      </c>
      <c r="DC1770" s="2909">
        <f>IF($A1770="","",IF($AB1770&amp;""='DB_設定'!$C$4,1,0))</f>
      </c>
    </row>
    <row r="1771">
      <c r="DB1771" s="2909">
        <f>IF($A1771="","",IF($AH1771=20,IF(AND(OR($A1771=21,$A1771=215),$AJ1771=10),"①病院一般",IF(AND($A1771=31,$AJ1771=41),"②病院短期","対象外")),IF($AJ1771=30,"③特定消防",IF(AND(OR($A1771=21,$A1771=215),$AJ1771=10),"④一般",IF(AND($A1771=31,$AJ1771=41),"⑤短期","対象外")))))</f>
      </c>
      <c r="DC1771" s="2909">
        <f>IF($A1771="","",IF($AB1771&amp;""='DB_設定'!$C$4,1,0))</f>
      </c>
    </row>
    <row r="1772">
      <c r="DB1772" s="2909">
        <f>IF($A1772="","",IF($AH1772=20,IF(AND(OR($A1772=21,$A1772=215),$AJ1772=10),"①病院一般",IF(AND($A1772=31,$AJ1772=41),"②病院短期","対象外")),IF($AJ1772=30,"③特定消防",IF(AND(OR($A1772=21,$A1772=215),$AJ1772=10),"④一般",IF(AND($A1772=31,$AJ1772=41),"⑤短期","対象外")))))</f>
      </c>
      <c r="DC1772" s="2909">
        <f>IF($A1772="","",IF($AB1772&amp;""='DB_設定'!$C$4,1,0))</f>
      </c>
    </row>
    <row r="1773">
      <c r="DB1773" s="2909">
        <f>IF($A1773="","",IF($AH1773=20,IF(AND(OR($A1773=21,$A1773=215),$AJ1773=10),"①病院一般",IF(AND($A1773=31,$AJ1773=41),"②病院短期","対象外")),IF($AJ1773=30,"③特定消防",IF(AND(OR($A1773=21,$A1773=215),$AJ1773=10),"④一般",IF(AND($A1773=31,$AJ1773=41),"⑤短期","対象外")))))</f>
      </c>
      <c r="DC1773" s="2909">
        <f>IF($A1773="","",IF($AB1773&amp;""='DB_設定'!$C$4,1,0))</f>
      </c>
    </row>
    <row r="1774">
      <c r="DB1774" s="2909">
        <f>IF($A1774="","",IF($AH1774=20,IF(AND(OR($A1774=21,$A1774=215),$AJ1774=10),"①病院一般",IF(AND($A1774=31,$AJ1774=41),"②病院短期","対象外")),IF($AJ1774=30,"③特定消防",IF(AND(OR($A1774=21,$A1774=215),$AJ1774=10),"④一般",IF(AND($A1774=31,$AJ1774=41),"⑤短期","対象外")))))</f>
      </c>
      <c r="DC1774" s="2909">
        <f>IF($A1774="","",IF($AB1774&amp;""='DB_設定'!$C$4,1,0))</f>
      </c>
    </row>
    <row r="1775">
      <c r="DB1775" s="2909">
        <f>IF($A1775="","",IF($AH1775=20,IF(AND(OR($A1775=21,$A1775=215),$AJ1775=10),"①病院一般",IF(AND($A1775=31,$AJ1775=41),"②病院短期","対象外")),IF($AJ1775=30,"③特定消防",IF(AND(OR($A1775=21,$A1775=215),$AJ1775=10),"④一般",IF(AND($A1775=31,$AJ1775=41),"⑤短期","対象外")))))</f>
      </c>
      <c r="DC1775" s="2909">
        <f>IF($A1775="","",IF($AB1775&amp;""='DB_設定'!$C$4,1,0))</f>
      </c>
    </row>
    <row r="1776">
      <c r="DB1776" s="2909">
        <f>IF($A1776="","",IF($AH1776=20,IF(AND(OR($A1776=21,$A1776=215),$AJ1776=10),"①病院一般",IF(AND($A1776=31,$AJ1776=41),"②病院短期","対象外")),IF($AJ1776=30,"③特定消防",IF(AND(OR($A1776=21,$A1776=215),$AJ1776=10),"④一般",IF(AND($A1776=31,$AJ1776=41),"⑤短期","対象外")))))</f>
      </c>
      <c r="DC1776" s="2909">
        <f>IF($A1776="","",IF($AB1776&amp;""='DB_設定'!$C$4,1,0))</f>
      </c>
    </row>
    <row r="1777">
      <c r="DB1777" s="2909">
        <f>IF($A1777="","",IF($AH1777=20,IF(AND(OR($A1777=21,$A1777=215),$AJ1777=10),"①病院一般",IF(AND($A1777=31,$AJ1777=41),"②病院短期","対象外")),IF($AJ1777=30,"③特定消防",IF(AND(OR($A1777=21,$A1777=215),$AJ1777=10),"④一般",IF(AND($A1777=31,$AJ1777=41),"⑤短期","対象外")))))</f>
      </c>
      <c r="DC1777" s="2909">
        <f>IF($A1777="","",IF($AB1777&amp;""='DB_設定'!$C$4,1,0))</f>
      </c>
    </row>
    <row r="1778">
      <c r="DB1778" s="2909">
        <f>IF($A1778="","",IF($AH1778=20,IF(AND(OR($A1778=21,$A1778=215),$AJ1778=10),"①病院一般",IF(AND($A1778=31,$AJ1778=41),"②病院短期","対象外")),IF($AJ1778=30,"③特定消防",IF(AND(OR($A1778=21,$A1778=215),$AJ1778=10),"④一般",IF(AND($A1778=31,$AJ1778=41),"⑤短期","対象外")))))</f>
      </c>
      <c r="DC1778" s="2909">
        <f>IF($A1778="","",IF($AB1778&amp;""='DB_設定'!$C$4,1,0))</f>
      </c>
    </row>
    <row r="1779">
      <c r="DB1779" s="2909">
        <f>IF($A1779="","",IF($AH1779=20,IF(AND(OR($A1779=21,$A1779=215),$AJ1779=10),"①病院一般",IF(AND($A1779=31,$AJ1779=41),"②病院短期","対象外")),IF($AJ1779=30,"③特定消防",IF(AND(OR($A1779=21,$A1779=215),$AJ1779=10),"④一般",IF(AND($A1779=31,$AJ1779=41),"⑤短期","対象外")))))</f>
      </c>
      <c r="DC1779" s="2909">
        <f>IF($A1779="","",IF($AB1779&amp;""='DB_設定'!$C$4,1,0))</f>
      </c>
    </row>
    <row r="1780">
      <c r="DB1780" s="2909">
        <f>IF($A1780="","",IF($AH1780=20,IF(AND(OR($A1780=21,$A1780=215),$AJ1780=10),"①病院一般",IF(AND($A1780=31,$AJ1780=41),"②病院短期","対象外")),IF($AJ1780=30,"③特定消防",IF(AND(OR($A1780=21,$A1780=215),$AJ1780=10),"④一般",IF(AND($A1780=31,$AJ1780=41),"⑤短期","対象外")))))</f>
      </c>
      <c r="DC1780" s="2909">
        <f>IF($A1780="","",IF($AB1780&amp;""='DB_設定'!$C$4,1,0))</f>
      </c>
    </row>
    <row r="1781">
      <c r="DB1781" s="2909">
        <f>IF($A1781="","",IF($AH1781=20,IF(AND(OR($A1781=21,$A1781=215),$AJ1781=10),"①病院一般",IF(AND($A1781=31,$AJ1781=41),"②病院短期","対象外")),IF($AJ1781=30,"③特定消防",IF(AND(OR($A1781=21,$A1781=215),$AJ1781=10),"④一般",IF(AND($A1781=31,$AJ1781=41),"⑤短期","対象外")))))</f>
      </c>
      <c r="DC1781" s="2909">
        <f>IF($A1781="","",IF($AB1781&amp;""='DB_設定'!$C$4,1,0))</f>
      </c>
    </row>
    <row r="1782">
      <c r="DB1782" s="2909">
        <f>IF($A1782="","",IF($AH1782=20,IF(AND(OR($A1782=21,$A1782=215),$AJ1782=10),"①病院一般",IF(AND($A1782=31,$AJ1782=41),"②病院短期","対象外")),IF($AJ1782=30,"③特定消防",IF(AND(OR($A1782=21,$A1782=215),$AJ1782=10),"④一般",IF(AND($A1782=31,$AJ1782=41),"⑤短期","対象外")))))</f>
      </c>
      <c r="DC1782" s="2909">
        <f>IF($A1782="","",IF($AB1782&amp;""='DB_設定'!$C$4,1,0))</f>
      </c>
    </row>
    <row r="1783">
      <c r="DB1783" s="2909">
        <f>IF($A1783="","",IF($AH1783=20,IF(AND(OR($A1783=21,$A1783=215),$AJ1783=10),"①病院一般",IF(AND($A1783=31,$AJ1783=41),"②病院短期","対象外")),IF($AJ1783=30,"③特定消防",IF(AND(OR($A1783=21,$A1783=215),$AJ1783=10),"④一般",IF(AND($A1783=31,$AJ1783=41),"⑤短期","対象外")))))</f>
      </c>
      <c r="DC1783" s="2909">
        <f>IF($A1783="","",IF($AB1783&amp;""='DB_設定'!$C$4,1,0))</f>
      </c>
    </row>
    <row r="1784">
      <c r="DB1784" s="2909">
        <f>IF($A1784="","",IF($AH1784=20,IF(AND(OR($A1784=21,$A1784=215),$AJ1784=10),"①病院一般",IF(AND($A1784=31,$AJ1784=41),"②病院短期","対象外")),IF($AJ1784=30,"③特定消防",IF(AND(OR($A1784=21,$A1784=215),$AJ1784=10),"④一般",IF(AND($A1784=31,$AJ1784=41),"⑤短期","対象外")))))</f>
      </c>
      <c r="DC1784" s="2909">
        <f>IF($A1784="","",IF($AB1784&amp;""='DB_設定'!$C$4,1,0))</f>
      </c>
    </row>
    <row r="1785">
      <c r="DB1785" s="2909">
        <f>IF($A1785="","",IF($AH1785=20,IF(AND(OR($A1785=21,$A1785=215),$AJ1785=10),"①病院一般",IF(AND($A1785=31,$AJ1785=41),"②病院短期","対象外")),IF($AJ1785=30,"③特定消防",IF(AND(OR($A1785=21,$A1785=215),$AJ1785=10),"④一般",IF(AND($A1785=31,$AJ1785=41),"⑤短期","対象外")))))</f>
      </c>
      <c r="DC1785" s="2909">
        <f>IF($A1785="","",IF($AB1785&amp;""='DB_設定'!$C$4,1,0))</f>
      </c>
    </row>
    <row r="1786">
      <c r="DB1786" s="2909">
        <f>IF($A1786="","",IF($AH1786=20,IF(AND(OR($A1786=21,$A1786=215),$AJ1786=10),"①病院一般",IF(AND($A1786=31,$AJ1786=41),"②病院短期","対象外")),IF($AJ1786=30,"③特定消防",IF(AND(OR($A1786=21,$A1786=215),$AJ1786=10),"④一般",IF(AND($A1786=31,$AJ1786=41),"⑤短期","対象外")))))</f>
      </c>
      <c r="DC1786" s="2909">
        <f>IF($A1786="","",IF($AB1786&amp;""='DB_設定'!$C$4,1,0))</f>
      </c>
    </row>
    <row r="1787">
      <c r="DB1787" s="2909">
        <f>IF($A1787="","",IF($AH1787=20,IF(AND(OR($A1787=21,$A1787=215),$AJ1787=10),"①病院一般",IF(AND($A1787=31,$AJ1787=41),"②病院短期","対象外")),IF($AJ1787=30,"③特定消防",IF(AND(OR($A1787=21,$A1787=215),$AJ1787=10),"④一般",IF(AND($A1787=31,$AJ1787=41),"⑤短期","対象外")))))</f>
      </c>
      <c r="DC1787" s="2909">
        <f>IF($A1787="","",IF($AB1787&amp;""='DB_設定'!$C$4,1,0))</f>
      </c>
    </row>
    <row r="1788">
      <c r="DB1788" s="2909">
        <f>IF($A1788="","",IF($AH1788=20,IF(AND(OR($A1788=21,$A1788=215),$AJ1788=10),"①病院一般",IF(AND($A1788=31,$AJ1788=41),"②病院短期","対象外")),IF($AJ1788=30,"③特定消防",IF(AND(OR($A1788=21,$A1788=215),$AJ1788=10),"④一般",IF(AND($A1788=31,$AJ1788=41),"⑤短期","対象外")))))</f>
      </c>
      <c r="DC1788" s="2909">
        <f>IF($A1788="","",IF($AB1788&amp;""='DB_設定'!$C$4,1,0))</f>
      </c>
    </row>
    <row r="1789">
      <c r="DB1789" s="2909">
        <f>IF($A1789="","",IF($AH1789=20,IF(AND(OR($A1789=21,$A1789=215),$AJ1789=10),"①病院一般",IF(AND($A1789=31,$AJ1789=41),"②病院短期","対象外")),IF($AJ1789=30,"③特定消防",IF(AND(OR($A1789=21,$A1789=215),$AJ1789=10),"④一般",IF(AND($A1789=31,$AJ1789=41),"⑤短期","対象外")))))</f>
      </c>
      <c r="DC1789" s="2909">
        <f>IF($A1789="","",IF($AB1789&amp;""='DB_設定'!$C$4,1,0))</f>
      </c>
    </row>
    <row r="1790">
      <c r="DB1790" s="2909">
        <f>IF($A1790="","",IF($AH1790=20,IF(AND(OR($A1790=21,$A1790=215),$AJ1790=10),"①病院一般",IF(AND($A1790=31,$AJ1790=41),"②病院短期","対象外")),IF($AJ1790=30,"③特定消防",IF(AND(OR($A1790=21,$A1790=215),$AJ1790=10),"④一般",IF(AND($A1790=31,$AJ1790=41),"⑤短期","対象外")))))</f>
      </c>
      <c r="DC1790" s="2909">
        <f>IF($A1790="","",IF($AB1790&amp;""='DB_設定'!$C$4,1,0))</f>
      </c>
    </row>
    <row r="1791">
      <c r="DB1791" s="2909">
        <f>IF($A1791="","",IF($AH1791=20,IF(AND(OR($A1791=21,$A1791=215),$AJ1791=10),"①病院一般",IF(AND($A1791=31,$AJ1791=41),"②病院短期","対象外")),IF($AJ1791=30,"③特定消防",IF(AND(OR($A1791=21,$A1791=215),$AJ1791=10),"④一般",IF(AND($A1791=31,$AJ1791=41),"⑤短期","対象外")))))</f>
      </c>
      <c r="DC1791" s="2909">
        <f>IF($A1791="","",IF($AB1791&amp;""='DB_設定'!$C$4,1,0))</f>
      </c>
    </row>
    <row r="1792">
      <c r="DB1792" s="2909">
        <f>IF($A1792="","",IF($AH1792=20,IF(AND(OR($A1792=21,$A1792=215),$AJ1792=10),"①病院一般",IF(AND($A1792=31,$AJ1792=41),"②病院短期","対象外")),IF($AJ1792=30,"③特定消防",IF(AND(OR($A1792=21,$A1792=215),$AJ1792=10),"④一般",IF(AND($A1792=31,$AJ1792=41),"⑤短期","対象外")))))</f>
      </c>
      <c r="DC1792" s="2909">
        <f>IF($A1792="","",IF($AB1792&amp;""='DB_設定'!$C$4,1,0))</f>
      </c>
    </row>
    <row r="1793">
      <c r="DB1793" s="2909">
        <f>IF($A1793="","",IF($AH1793=20,IF(AND(OR($A1793=21,$A1793=215),$AJ1793=10),"①病院一般",IF(AND($A1793=31,$AJ1793=41),"②病院短期","対象外")),IF($AJ1793=30,"③特定消防",IF(AND(OR($A1793=21,$A1793=215),$AJ1793=10),"④一般",IF(AND($A1793=31,$AJ1793=41),"⑤短期","対象外")))))</f>
      </c>
      <c r="DC1793" s="2909">
        <f>IF($A1793="","",IF($AB1793&amp;""='DB_設定'!$C$4,1,0))</f>
      </c>
    </row>
    <row r="1794">
      <c r="DB1794" s="2909">
        <f>IF($A1794="","",IF($AH1794=20,IF(AND(OR($A1794=21,$A1794=215),$AJ1794=10),"①病院一般",IF(AND($A1794=31,$AJ1794=41),"②病院短期","対象外")),IF($AJ1794=30,"③特定消防",IF(AND(OR($A1794=21,$A1794=215),$AJ1794=10),"④一般",IF(AND($A1794=31,$AJ1794=41),"⑤短期","対象外")))))</f>
      </c>
      <c r="DC1794" s="2909">
        <f>IF($A1794="","",IF($AB1794&amp;""='DB_設定'!$C$4,1,0))</f>
      </c>
    </row>
    <row r="1795">
      <c r="DB1795" s="2909">
        <f>IF($A1795="","",IF($AH1795=20,IF(AND(OR($A1795=21,$A1795=215),$AJ1795=10),"①病院一般",IF(AND($A1795=31,$AJ1795=41),"②病院短期","対象外")),IF($AJ1795=30,"③特定消防",IF(AND(OR($A1795=21,$A1795=215),$AJ1795=10),"④一般",IF(AND($A1795=31,$AJ1795=41),"⑤短期","対象外")))))</f>
      </c>
      <c r="DC1795" s="2909">
        <f>IF($A1795="","",IF($AB1795&amp;""='DB_設定'!$C$4,1,0))</f>
      </c>
    </row>
    <row r="1796">
      <c r="DB1796" s="2909">
        <f>IF($A1796="","",IF($AH1796=20,IF(AND(OR($A1796=21,$A1796=215),$AJ1796=10),"①病院一般",IF(AND($A1796=31,$AJ1796=41),"②病院短期","対象外")),IF($AJ1796=30,"③特定消防",IF(AND(OR($A1796=21,$A1796=215),$AJ1796=10),"④一般",IF(AND($A1796=31,$AJ1796=41),"⑤短期","対象外")))))</f>
      </c>
      <c r="DC1796" s="2909">
        <f>IF($A1796="","",IF($AB1796&amp;""='DB_設定'!$C$4,1,0))</f>
      </c>
    </row>
    <row r="1797">
      <c r="DB1797" s="2909">
        <f>IF($A1797="","",IF($AH1797=20,IF(AND(OR($A1797=21,$A1797=215),$AJ1797=10),"①病院一般",IF(AND($A1797=31,$AJ1797=41),"②病院短期","対象外")),IF($AJ1797=30,"③特定消防",IF(AND(OR($A1797=21,$A1797=215),$AJ1797=10),"④一般",IF(AND($A1797=31,$AJ1797=41),"⑤短期","対象外")))))</f>
      </c>
      <c r="DC1797" s="2909">
        <f>IF($A1797="","",IF($AB1797&amp;""='DB_設定'!$C$4,1,0))</f>
      </c>
    </row>
    <row r="1798">
      <c r="DB1798" s="2909">
        <f>IF($A1798="","",IF($AH1798=20,IF(AND(OR($A1798=21,$A1798=215),$AJ1798=10),"①病院一般",IF(AND($A1798=31,$AJ1798=41),"②病院短期","対象外")),IF($AJ1798=30,"③特定消防",IF(AND(OR($A1798=21,$A1798=215),$AJ1798=10),"④一般",IF(AND($A1798=31,$AJ1798=41),"⑤短期","対象外")))))</f>
      </c>
      <c r="DC1798" s="2909">
        <f>IF($A1798="","",IF($AB1798&amp;""='DB_設定'!$C$4,1,0))</f>
      </c>
    </row>
    <row r="1799">
      <c r="DB1799" s="2909">
        <f>IF($A1799="","",IF($AH1799=20,IF(AND(OR($A1799=21,$A1799=215),$AJ1799=10),"①病院一般",IF(AND($A1799=31,$AJ1799=41),"②病院短期","対象外")),IF($AJ1799=30,"③特定消防",IF(AND(OR($A1799=21,$A1799=215),$AJ1799=10),"④一般",IF(AND($A1799=31,$AJ1799=41),"⑤短期","対象外")))))</f>
      </c>
      <c r="DC1799" s="2909">
        <f>IF($A1799="","",IF($AB1799&amp;""='DB_設定'!$C$4,1,0))</f>
      </c>
    </row>
    <row r="1800">
      <c r="DB1800" s="2909">
        <f>IF($A1800="","",IF($AH1800=20,IF(AND(OR($A1800=21,$A1800=215),$AJ1800=10),"①病院一般",IF(AND($A1800=31,$AJ1800=41),"②病院短期","対象外")),IF($AJ1800=30,"③特定消防",IF(AND(OR($A1800=21,$A1800=215),$AJ1800=10),"④一般",IF(AND($A1800=31,$AJ1800=41),"⑤短期","対象外")))))</f>
      </c>
      <c r="DC1800" s="2909">
        <f>IF($A1800="","",IF($AB1800&amp;""='DB_設定'!$C$4,1,0))</f>
      </c>
    </row>
    <row r="1801">
      <c r="DB1801" s="2909">
        <f>IF($A1801="","",IF($AH1801=20,IF(AND(OR($A1801=21,$A1801=215),$AJ1801=10),"①病院一般",IF(AND($A1801=31,$AJ1801=41),"②病院短期","対象外")),IF($AJ1801=30,"③特定消防",IF(AND(OR($A1801=21,$A1801=215),$AJ1801=10),"④一般",IF(AND($A1801=31,$AJ1801=41),"⑤短期","対象外")))))</f>
      </c>
      <c r="DC1801" s="2909">
        <f>IF($A1801="","",IF($AB1801&amp;""='DB_設定'!$C$4,1,0))</f>
      </c>
    </row>
    <row r="1802">
      <c r="DB1802" s="2909">
        <f>IF($A1802="","",IF($AH1802=20,IF(AND(OR($A1802=21,$A1802=215),$AJ1802=10),"①病院一般",IF(AND($A1802=31,$AJ1802=41),"②病院短期","対象外")),IF($AJ1802=30,"③特定消防",IF(AND(OR($A1802=21,$A1802=215),$AJ1802=10),"④一般",IF(AND($A1802=31,$AJ1802=41),"⑤短期","対象外")))))</f>
      </c>
      <c r="DC1802" s="2909">
        <f>IF($A1802="","",IF($AB1802&amp;""='DB_設定'!$C$4,1,0))</f>
      </c>
    </row>
    <row r="1803">
      <c r="DB1803" s="2909">
        <f>IF($A1803="","",IF($AH1803=20,IF(AND(OR($A1803=21,$A1803=215),$AJ1803=10),"①病院一般",IF(AND($A1803=31,$AJ1803=41),"②病院短期","対象外")),IF($AJ1803=30,"③特定消防",IF(AND(OR($A1803=21,$A1803=215),$AJ1803=10),"④一般",IF(AND($A1803=31,$AJ1803=41),"⑤短期","対象外")))))</f>
      </c>
      <c r="DC1803" s="2909">
        <f>IF($A1803="","",IF($AB1803&amp;""='DB_設定'!$C$4,1,0))</f>
      </c>
    </row>
    <row r="1804">
      <c r="DB1804" s="2909">
        <f>IF($A1804="","",IF($AH1804=20,IF(AND(OR($A1804=21,$A1804=215),$AJ1804=10),"①病院一般",IF(AND($A1804=31,$AJ1804=41),"②病院短期","対象外")),IF($AJ1804=30,"③特定消防",IF(AND(OR($A1804=21,$A1804=215),$AJ1804=10),"④一般",IF(AND($A1804=31,$AJ1804=41),"⑤短期","対象外")))))</f>
      </c>
      <c r="DC1804" s="2909">
        <f>IF($A1804="","",IF($AB1804&amp;""='DB_設定'!$C$4,1,0))</f>
      </c>
    </row>
    <row r="1805">
      <c r="DB1805" s="2909">
        <f>IF($A1805="","",IF($AH1805=20,IF(AND(OR($A1805=21,$A1805=215),$AJ1805=10),"①病院一般",IF(AND($A1805=31,$AJ1805=41),"②病院短期","対象外")),IF($AJ1805=30,"③特定消防",IF(AND(OR($A1805=21,$A1805=215),$AJ1805=10),"④一般",IF(AND($A1805=31,$AJ1805=41),"⑤短期","対象外")))))</f>
      </c>
      <c r="DC1805" s="2909">
        <f>IF($A1805="","",IF($AB1805&amp;""='DB_設定'!$C$4,1,0))</f>
      </c>
    </row>
    <row r="1806">
      <c r="DB1806" s="2909">
        <f>IF($A1806="","",IF($AH1806=20,IF(AND(OR($A1806=21,$A1806=215),$AJ1806=10),"①病院一般",IF(AND($A1806=31,$AJ1806=41),"②病院短期","対象外")),IF($AJ1806=30,"③特定消防",IF(AND(OR($A1806=21,$A1806=215),$AJ1806=10),"④一般",IF(AND($A1806=31,$AJ1806=41),"⑤短期","対象外")))))</f>
      </c>
      <c r="DC1806" s="2909">
        <f>IF($A1806="","",IF($AB1806&amp;""='DB_設定'!$C$4,1,0))</f>
      </c>
    </row>
    <row r="1807">
      <c r="DB1807" s="2909">
        <f>IF($A1807="","",IF($AH1807=20,IF(AND(OR($A1807=21,$A1807=215),$AJ1807=10),"①病院一般",IF(AND($A1807=31,$AJ1807=41),"②病院短期","対象外")),IF($AJ1807=30,"③特定消防",IF(AND(OR($A1807=21,$A1807=215),$AJ1807=10),"④一般",IF(AND($A1807=31,$AJ1807=41),"⑤短期","対象外")))))</f>
      </c>
      <c r="DC1807" s="2909">
        <f>IF($A1807="","",IF($AB1807&amp;""='DB_設定'!$C$4,1,0))</f>
      </c>
    </row>
    <row r="1808">
      <c r="DB1808" s="2909">
        <f>IF($A1808="","",IF($AH1808=20,IF(AND(OR($A1808=21,$A1808=215),$AJ1808=10),"①病院一般",IF(AND($A1808=31,$AJ1808=41),"②病院短期","対象外")),IF($AJ1808=30,"③特定消防",IF(AND(OR($A1808=21,$A1808=215),$AJ1808=10),"④一般",IF(AND($A1808=31,$AJ1808=41),"⑤短期","対象外")))))</f>
      </c>
      <c r="DC1808" s="2909">
        <f>IF($A1808="","",IF($AB1808&amp;""='DB_設定'!$C$4,1,0))</f>
      </c>
    </row>
    <row r="1809">
      <c r="DB1809" s="2909">
        <f>IF($A1809="","",IF($AH1809=20,IF(AND(OR($A1809=21,$A1809=215),$AJ1809=10),"①病院一般",IF(AND($A1809=31,$AJ1809=41),"②病院短期","対象外")),IF($AJ1809=30,"③特定消防",IF(AND(OR($A1809=21,$A1809=215),$AJ1809=10),"④一般",IF(AND($A1809=31,$AJ1809=41),"⑤短期","対象外")))))</f>
      </c>
      <c r="DC1809" s="2909">
        <f>IF($A1809="","",IF($AB1809&amp;""='DB_設定'!$C$4,1,0))</f>
      </c>
    </row>
    <row r="1810">
      <c r="DB1810" s="2909">
        <f>IF($A1810="","",IF($AH1810=20,IF(AND(OR($A1810=21,$A1810=215),$AJ1810=10),"①病院一般",IF(AND($A1810=31,$AJ1810=41),"②病院短期","対象外")),IF($AJ1810=30,"③特定消防",IF(AND(OR($A1810=21,$A1810=215),$AJ1810=10),"④一般",IF(AND($A1810=31,$AJ1810=41),"⑤短期","対象外")))))</f>
      </c>
      <c r="DC1810" s="2909">
        <f>IF($A1810="","",IF($AB1810&amp;""='DB_設定'!$C$4,1,0))</f>
      </c>
    </row>
    <row r="1811">
      <c r="DB1811" s="2909">
        <f>IF($A1811="","",IF($AH1811=20,IF(AND(OR($A1811=21,$A1811=215),$AJ1811=10),"①病院一般",IF(AND($A1811=31,$AJ1811=41),"②病院短期","対象外")),IF($AJ1811=30,"③特定消防",IF(AND(OR($A1811=21,$A1811=215),$AJ1811=10),"④一般",IF(AND($A1811=31,$AJ1811=41),"⑤短期","対象外")))))</f>
      </c>
      <c r="DC1811" s="2909">
        <f>IF($A1811="","",IF($AB1811&amp;""='DB_設定'!$C$4,1,0))</f>
      </c>
    </row>
    <row r="1812">
      <c r="DB1812" s="2909">
        <f>IF($A1812="","",IF($AH1812=20,IF(AND(OR($A1812=21,$A1812=215),$AJ1812=10),"①病院一般",IF(AND($A1812=31,$AJ1812=41),"②病院短期","対象外")),IF($AJ1812=30,"③特定消防",IF(AND(OR($A1812=21,$A1812=215),$AJ1812=10),"④一般",IF(AND($A1812=31,$AJ1812=41),"⑤短期","対象外")))))</f>
      </c>
      <c r="DC1812" s="2909">
        <f>IF($A1812="","",IF($AB1812&amp;""='DB_設定'!$C$4,1,0))</f>
      </c>
    </row>
    <row r="1813">
      <c r="DB1813" s="2909">
        <f>IF($A1813="","",IF($AH1813=20,IF(AND(OR($A1813=21,$A1813=215),$AJ1813=10),"①病院一般",IF(AND($A1813=31,$AJ1813=41),"②病院短期","対象外")),IF($AJ1813=30,"③特定消防",IF(AND(OR($A1813=21,$A1813=215),$AJ1813=10),"④一般",IF(AND($A1813=31,$AJ1813=41),"⑤短期","対象外")))))</f>
      </c>
      <c r="DC1813" s="2909">
        <f>IF($A1813="","",IF($AB1813&amp;""='DB_設定'!$C$4,1,0))</f>
      </c>
    </row>
    <row r="1814">
      <c r="DB1814" s="2909">
        <f>IF($A1814="","",IF($AH1814=20,IF(AND(OR($A1814=21,$A1814=215),$AJ1814=10),"①病院一般",IF(AND($A1814=31,$AJ1814=41),"②病院短期","対象外")),IF($AJ1814=30,"③特定消防",IF(AND(OR($A1814=21,$A1814=215),$AJ1814=10),"④一般",IF(AND($A1814=31,$AJ1814=41),"⑤短期","対象外")))))</f>
      </c>
      <c r="DC1814" s="2909">
        <f>IF($A1814="","",IF($AB1814&amp;""='DB_設定'!$C$4,1,0))</f>
      </c>
    </row>
    <row r="1815">
      <c r="DB1815" s="2909">
        <f>IF($A1815="","",IF($AH1815=20,IF(AND(OR($A1815=21,$A1815=215),$AJ1815=10),"①病院一般",IF(AND($A1815=31,$AJ1815=41),"②病院短期","対象外")),IF($AJ1815=30,"③特定消防",IF(AND(OR($A1815=21,$A1815=215),$AJ1815=10),"④一般",IF(AND($A1815=31,$AJ1815=41),"⑤短期","対象外")))))</f>
      </c>
      <c r="DC1815" s="2909">
        <f>IF($A1815="","",IF($AB1815&amp;""='DB_設定'!$C$4,1,0))</f>
      </c>
    </row>
    <row r="1816">
      <c r="DB1816" s="2909">
        <f>IF($A1816="","",IF($AH1816=20,IF(AND(OR($A1816=21,$A1816=215),$AJ1816=10),"①病院一般",IF(AND($A1816=31,$AJ1816=41),"②病院短期","対象外")),IF($AJ1816=30,"③特定消防",IF(AND(OR($A1816=21,$A1816=215),$AJ1816=10),"④一般",IF(AND($A1816=31,$AJ1816=41),"⑤短期","対象外")))))</f>
      </c>
      <c r="DC1816" s="2909">
        <f>IF($A1816="","",IF($AB1816&amp;""='DB_設定'!$C$4,1,0))</f>
      </c>
    </row>
    <row r="1817">
      <c r="DB1817" s="2909">
        <f>IF($A1817="","",IF($AH1817=20,IF(AND(OR($A1817=21,$A1817=215),$AJ1817=10),"①病院一般",IF(AND($A1817=31,$AJ1817=41),"②病院短期","対象外")),IF($AJ1817=30,"③特定消防",IF(AND(OR($A1817=21,$A1817=215),$AJ1817=10),"④一般",IF(AND($A1817=31,$AJ1817=41),"⑤短期","対象外")))))</f>
      </c>
      <c r="DC1817" s="2909">
        <f>IF($A1817="","",IF($AB1817&amp;""='DB_設定'!$C$4,1,0))</f>
      </c>
    </row>
    <row r="1818">
      <c r="DB1818" s="2909">
        <f>IF($A1818="","",IF($AH1818=20,IF(AND(OR($A1818=21,$A1818=215),$AJ1818=10),"①病院一般",IF(AND($A1818=31,$AJ1818=41),"②病院短期","対象外")),IF($AJ1818=30,"③特定消防",IF(AND(OR($A1818=21,$A1818=215),$AJ1818=10),"④一般",IF(AND($A1818=31,$AJ1818=41),"⑤短期","対象外")))))</f>
      </c>
      <c r="DC1818" s="2909">
        <f>IF($A1818="","",IF($AB1818&amp;""='DB_設定'!$C$4,1,0))</f>
      </c>
    </row>
    <row r="1819">
      <c r="DB1819" s="2909">
        <f>IF($A1819="","",IF($AH1819=20,IF(AND(OR($A1819=21,$A1819=215),$AJ1819=10),"①病院一般",IF(AND($A1819=31,$AJ1819=41),"②病院短期","対象外")),IF($AJ1819=30,"③特定消防",IF(AND(OR($A1819=21,$A1819=215),$AJ1819=10),"④一般",IF(AND($A1819=31,$AJ1819=41),"⑤短期","対象外")))))</f>
      </c>
      <c r="DC1819" s="2909">
        <f>IF($A1819="","",IF($AB1819&amp;""='DB_設定'!$C$4,1,0))</f>
      </c>
    </row>
    <row r="1820">
      <c r="DB1820" s="2909">
        <f>IF($A1820="","",IF($AH1820=20,IF(AND(OR($A1820=21,$A1820=215),$AJ1820=10),"①病院一般",IF(AND($A1820=31,$AJ1820=41),"②病院短期","対象外")),IF($AJ1820=30,"③特定消防",IF(AND(OR($A1820=21,$A1820=215),$AJ1820=10),"④一般",IF(AND($A1820=31,$AJ1820=41),"⑤短期","対象外")))))</f>
      </c>
      <c r="DC1820" s="2909">
        <f>IF($A1820="","",IF($AB1820&amp;""='DB_設定'!$C$4,1,0))</f>
      </c>
    </row>
    <row r="1821">
      <c r="DB1821" s="2909">
        <f>IF($A1821="","",IF($AH1821=20,IF(AND(OR($A1821=21,$A1821=215),$AJ1821=10),"①病院一般",IF(AND($A1821=31,$AJ1821=41),"②病院短期","対象外")),IF($AJ1821=30,"③特定消防",IF(AND(OR($A1821=21,$A1821=215),$AJ1821=10),"④一般",IF(AND($A1821=31,$AJ1821=41),"⑤短期","対象外")))))</f>
      </c>
      <c r="DC1821" s="2909">
        <f>IF($A1821="","",IF($AB1821&amp;""='DB_設定'!$C$4,1,0))</f>
      </c>
    </row>
    <row r="1822">
      <c r="DB1822" s="2909">
        <f>IF($A1822="","",IF($AH1822=20,IF(AND(OR($A1822=21,$A1822=215),$AJ1822=10),"①病院一般",IF(AND($A1822=31,$AJ1822=41),"②病院短期","対象外")),IF($AJ1822=30,"③特定消防",IF(AND(OR($A1822=21,$A1822=215),$AJ1822=10),"④一般",IF(AND($A1822=31,$AJ1822=41),"⑤短期","対象外")))))</f>
      </c>
      <c r="DC1822" s="2909">
        <f>IF($A1822="","",IF($AB1822&amp;""='DB_設定'!$C$4,1,0))</f>
      </c>
    </row>
    <row r="1823">
      <c r="DB1823" s="2909">
        <f>IF($A1823="","",IF($AH1823=20,IF(AND(OR($A1823=21,$A1823=215),$AJ1823=10),"①病院一般",IF(AND($A1823=31,$AJ1823=41),"②病院短期","対象外")),IF($AJ1823=30,"③特定消防",IF(AND(OR($A1823=21,$A1823=215),$AJ1823=10),"④一般",IF(AND($A1823=31,$AJ1823=41),"⑤短期","対象外")))))</f>
      </c>
      <c r="DC1823" s="2909">
        <f>IF($A1823="","",IF($AB1823&amp;""='DB_設定'!$C$4,1,0))</f>
      </c>
    </row>
    <row r="1824">
      <c r="DB1824" s="2909">
        <f>IF($A1824="","",IF($AH1824=20,IF(AND(OR($A1824=21,$A1824=215),$AJ1824=10),"①病院一般",IF(AND($A1824=31,$AJ1824=41),"②病院短期","対象外")),IF($AJ1824=30,"③特定消防",IF(AND(OR($A1824=21,$A1824=215),$AJ1824=10),"④一般",IF(AND($A1824=31,$AJ1824=41),"⑤短期","対象外")))))</f>
      </c>
      <c r="DC1824" s="2909">
        <f>IF($A1824="","",IF($AB1824&amp;""='DB_設定'!$C$4,1,0))</f>
      </c>
    </row>
    <row r="1825">
      <c r="DB1825" s="2909">
        <f>IF($A1825="","",IF($AH1825=20,IF(AND(OR($A1825=21,$A1825=215),$AJ1825=10),"①病院一般",IF(AND($A1825=31,$AJ1825=41),"②病院短期","対象外")),IF($AJ1825=30,"③特定消防",IF(AND(OR($A1825=21,$A1825=215),$AJ1825=10),"④一般",IF(AND($A1825=31,$AJ1825=41),"⑤短期","対象外")))))</f>
      </c>
      <c r="DC1825" s="2909">
        <f>IF($A1825="","",IF($AB1825&amp;""='DB_設定'!$C$4,1,0))</f>
      </c>
    </row>
    <row r="1826">
      <c r="DB1826" s="2909">
        <f>IF($A1826="","",IF($AH1826=20,IF(AND(OR($A1826=21,$A1826=215),$AJ1826=10),"①病院一般",IF(AND($A1826=31,$AJ1826=41),"②病院短期","対象外")),IF($AJ1826=30,"③特定消防",IF(AND(OR($A1826=21,$A1826=215),$AJ1826=10),"④一般",IF(AND($A1826=31,$AJ1826=41),"⑤短期","対象外")))))</f>
      </c>
      <c r="DC1826" s="2909">
        <f>IF($A1826="","",IF($AB1826&amp;""='DB_設定'!$C$4,1,0))</f>
      </c>
    </row>
    <row r="1827">
      <c r="DB1827" s="2909">
        <f>IF($A1827="","",IF($AH1827=20,IF(AND(OR($A1827=21,$A1827=215),$AJ1827=10),"①病院一般",IF(AND($A1827=31,$AJ1827=41),"②病院短期","対象外")),IF($AJ1827=30,"③特定消防",IF(AND(OR($A1827=21,$A1827=215),$AJ1827=10),"④一般",IF(AND($A1827=31,$AJ1827=41),"⑤短期","対象外")))))</f>
      </c>
      <c r="DC1827" s="2909">
        <f>IF($A1827="","",IF($AB1827&amp;""='DB_設定'!$C$4,1,0))</f>
      </c>
    </row>
    <row r="1828">
      <c r="DB1828" s="2909">
        <f>IF($A1828="","",IF($AH1828=20,IF(AND(OR($A1828=21,$A1828=215),$AJ1828=10),"①病院一般",IF(AND($A1828=31,$AJ1828=41),"②病院短期","対象外")),IF($AJ1828=30,"③特定消防",IF(AND(OR($A1828=21,$A1828=215),$AJ1828=10),"④一般",IF(AND($A1828=31,$AJ1828=41),"⑤短期","対象外")))))</f>
      </c>
      <c r="DC1828" s="2909">
        <f>IF($A1828="","",IF($AB1828&amp;""='DB_設定'!$C$4,1,0))</f>
      </c>
    </row>
    <row r="1829">
      <c r="DB1829" s="2909">
        <f>IF($A1829="","",IF($AH1829=20,IF(AND(OR($A1829=21,$A1829=215),$AJ1829=10),"①病院一般",IF(AND($A1829=31,$AJ1829=41),"②病院短期","対象外")),IF($AJ1829=30,"③特定消防",IF(AND(OR($A1829=21,$A1829=215),$AJ1829=10),"④一般",IF(AND($A1829=31,$AJ1829=41),"⑤短期","対象外")))))</f>
      </c>
      <c r="DC1829" s="2909">
        <f>IF($A1829="","",IF($AB1829&amp;""='DB_設定'!$C$4,1,0))</f>
      </c>
    </row>
    <row r="1830">
      <c r="DB1830" s="2909">
        <f>IF($A1830="","",IF($AH1830=20,IF(AND(OR($A1830=21,$A1830=215),$AJ1830=10),"①病院一般",IF(AND($A1830=31,$AJ1830=41),"②病院短期","対象外")),IF($AJ1830=30,"③特定消防",IF(AND(OR($A1830=21,$A1830=215),$AJ1830=10),"④一般",IF(AND($A1830=31,$AJ1830=41),"⑤短期","対象外")))))</f>
      </c>
      <c r="DC1830" s="2909">
        <f>IF($A1830="","",IF($AB1830&amp;""='DB_設定'!$C$4,1,0))</f>
      </c>
    </row>
    <row r="1831">
      <c r="DB1831" s="2909">
        <f>IF($A1831="","",IF($AH1831=20,IF(AND(OR($A1831=21,$A1831=215),$AJ1831=10),"①病院一般",IF(AND($A1831=31,$AJ1831=41),"②病院短期","対象外")),IF($AJ1831=30,"③特定消防",IF(AND(OR($A1831=21,$A1831=215),$AJ1831=10),"④一般",IF(AND($A1831=31,$AJ1831=41),"⑤短期","対象外")))))</f>
      </c>
      <c r="DC1831" s="2909">
        <f>IF($A1831="","",IF($AB1831&amp;""='DB_設定'!$C$4,1,0))</f>
      </c>
    </row>
    <row r="1832">
      <c r="DB1832" s="2909">
        <f>IF($A1832="","",IF($AH1832=20,IF(AND(OR($A1832=21,$A1832=215),$AJ1832=10),"①病院一般",IF(AND($A1832=31,$AJ1832=41),"②病院短期","対象外")),IF($AJ1832=30,"③特定消防",IF(AND(OR($A1832=21,$A1832=215),$AJ1832=10),"④一般",IF(AND($A1832=31,$AJ1832=41),"⑤短期","対象外")))))</f>
      </c>
      <c r="DC1832" s="2909">
        <f>IF($A1832="","",IF($AB1832&amp;""='DB_設定'!$C$4,1,0))</f>
      </c>
    </row>
    <row r="1833">
      <c r="DB1833" s="2909">
        <f>IF($A1833="","",IF($AH1833=20,IF(AND(OR($A1833=21,$A1833=215),$AJ1833=10),"①病院一般",IF(AND($A1833=31,$AJ1833=41),"②病院短期","対象外")),IF($AJ1833=30,"③特定消防",IF(AND(OR($A1833=21,$A1833=215),$AJ1833=10),"④一般",IF(AND($A1833=31,$AJ1833=41),"⑤短期","対象外")))))</f>
      </c>
      <c r="DC1833" s="2909">
        <f>IF($A1833="","",IF($AB1833&amp;""='DB_設定'!$C$4,1,0))</f>
      </c>
    </row>
    <row r="1834">
      <c r="DB1834" s="2909">
        <f>IF($A1834="","",IF($AH1834=20,IF(AND(OR($A1834=21,$A1834=215),$AJ1834=10),"①病院一般",IF(AND($A1834=31,$AJ1834=41),"②病院短期","対象外")),IF($AJ1834=30,"③特定消防",IF(AND(OR($A1834=21,$A1834=215),$AJ1834=10),"④一般",IF(AND($A1834=31,$AJ1834=41),"⑤短期","対象外")))))</f>
      </c>
      <c r="DC1834" s="2909">
        <f>IF($A1834="","",IF($AB1834&amp;""='DB_設定'!$C$4,1,0))</f>
      </c>
    </row>
    <row r="1835">
      <c r="DB1835" s="2909">
        <f>IF($A1835="","",IF($AH1835=20,IF(AND(OR($A1835=21,$A1835=215),$AJ1835=10),"①病院一般",IF(AND($A1835=31,$AJ1835=41),"②病院短期","対象外")),IF($AJ1835=30,"③特定消防",IF(AND(OR($A1835=21,$A1835=215),$AJ1835=10),"④一般",IF(AND($A1835=31,$AJ1835=41),"⑤短期","対象外")))))</f>
      </c>
      <c r="DC1835" s="2909">
        <f>IF($A1835="","",IF($AB1835&amp;""='DB_設定'!$C$4,1,0))</f>
      </c>
    </row>
    <row r="1836">
      <c r="DB1836" s="2909">
        <f>IF($A1836="","",IF($AH1836=20,IF(AND(OR($A1836=21,$A1836=215),$AJ1836=10),"①病院一般",IF(AND($A1836=31,$AJ1836=41),"②病院短期","対象外")),IF($AJ1836=30,"③特定消防",IF(AND(OR($A1836=21,$A1836=215),$AJ1836=10),"④一般",IF(AND($A1836=31,$AJ1836=41),"⑤短期","対象外")))))</f>
      </c>
      <c r="DC1836" s="2909">
        <f>IF($A1836="","",IF($AB1836&amp;""='DB_設定'!$C$4,1,0))</f>
      </c>
    </row>
    <row r="1837">
      <c r="DB1837" s="2909">
        <f>IF($A1837="","",IF($AH1837=20,IF(AND(OR($A1837=21,$A1837=215),$AJ1837=10),"①病院一般",IF(AND($A1837=31,$AJ1837=41),"②病院短期","対象外")),IF($AJ1837=30,"③特定消防",IF(AND(OR($A1837=21,$A1837=215),$AJ1837=10),"④一般",IF(AND($A1837=31,$AJ1837=41),"⑤短期","対象外")))))</f>
      </c>
      <c r="DC1837" s="2909">
        <f>IF($A1837="","",IF($AB1837&amp;""='DB_設定'!$C$4,1,0))</f>
      </c>
    </row>
    <row r="1838">
      <c r="DB1838" s="2909">
        <f>IF($A1838="","",IF($AH1838=20,IF(AND(OR($A1838=21,$A1838=215),$AJ1838=10),"①病院一般",IF(AND($A1838=31,$AJ1838=41),"②病院短期","対象外")),IF($AJ1838=30,"③特定消防",IF(AND(OR($A1838=21,$A1838=215),$AJ1838=10),"④一般",IF(AND($A1838=31,$AJ1838=41),"⑤短期","対象外")))))</f>
      </c>
      <c r="DC1838" s="2909">
        <f>IF($A1838="","",IF($AB1838&amp;""='DB_設定'!$C$4,1,0))</f>
      </c>
    </row>
    <row r="1839">
      <c r="DB1839" s="2909">
        <f>IF($A1839="","",IF($AH1839=20,IF(AND(OR($A1839=21,$A1839=215),$AJ1839=10),"①病院一般",IF(AND($A1839=31,$AJ1839=41),"②病院短期","対象外")),IF($AJ1839=30,"③特定消防",IF(AND(OR($A1839=21,$A1839=215),$AJ1839=10),"④一般",IF(AND($A1839=31,$AJ1839=41),"⑤短期","対象外")))))</f>
      </c>
      <c r="DC1839" s="2909">
        <f>IF($A1839="","",IF($AB1839&amp;""='DB_設定'!$C$4,1,0))</f>
      </c>
    </row>
    <row r="1840">
      <c r="DB1840" s="2909">
        <f>IF($A1840="","",IF($AH1840=20,IF(AND(OR($A1840=21,$A1840=215),$AJ1840=10),"①病院一般",IF(AND($A1840=31,$AJ1840=41),"②病院短期","対象外")),IF($AJ1840=30,"③特定消防",IF(AND(OR($A1840=21,$A1840=215),$AJ1840=10),"④一般",IF(AND($A1840=31,$AJ1840=41),"⑤短期","対象外")))))</f>
      </c>
      <c r="DC1840" s="2909">
        <f>IF($A1840="","",IF($AB1840&amp;""='DB_設定'!$C$4,1,0))</f>
      </c>
    </row>
    <row r="1841">
      <c r="DB1841" s="2909">
        <f>IF($A1841="","",IF($AH1841=20,IF(AND(OR($A1841=21,$A1841=215),$AJ1841=10),"①病院一般",IF(AND($A1841=31,$AJ1841=41),"②病院短期","対象外")),IF($AJ1841=30,"③特定消防",IF(AND(OR($A1841=21,$A1841=215),$AJ1841=10),"④一般",IF(AND($A1841=31,$AJ1841=41),"⑤短期","対象外")))))</f>
      </c>
      <c r="DC1841" s="2909">
        <f>IF($A1841="","",IF($AB1841&amp;""='DB_設定'!$C$4,1,0))</f>
      </c>
    </row>
    <row r="1842">
      <c r="DB1842" s="2909">
        <f>IF($A1842="","",IF($AH1842=20,IF(AND(OR($A1842=21,$A1842=215),$AJ1842=10),"①病院一般",IF(AND($A1842=31,$AJ1842=41),"②病院短期","対象外")),IF($AJ1842=30,"③特定消防",IF(AND(OR($A1842=21,$A1842=215),$AJ1842=10),"④一般",IF(AND($A1842=31,$AJ1842=41),"⑤短期","対象外")))))</f>
      </c>
      <c r="DC1842" s="2909">
        <f>IF($A1842="","",IF($AB1842&amp;""='DB_設定'!$C$4,1,0))</f>
      </c>
    </row>
    <row r="1843">
      <c r="DB1843" s="2909">
        <f>IF($A1843="","",IF($AH1843=20,IF(AND(OR($A1843=21,$A1843=215),$AJ1843=10),"①病院一般",IF(AND($A1843=31,$AJ1843=41),"②病院短期","対象外")),IF($AJ1843=30,"③特定消防",IF(AND(OR($A1843=21,$A1843=215),$AJ1843=10),"④一般",IF(AND($A1843=31,$AJ1843=41),"⑤短期","対象外")))))</f>
      </c>
      <c r="DC1843" s="2909">
        <f>IF($A1843="","",IF($AB1843&amp;""='DB_設定'!$C$4,1,0))</f>
      </c>
    </row>
    <row r="1844">
      <c r="DB1844" s="2909">
        <f>IF($A1844="","",IF($AH1844=20,IF(AND(OR($A1844=21,$A1844=215),$AJ1844=10),"①病院一般",IF(AND($A1844=31,$AJ1844=41),"②病院短期","対象外")),IF($AJ1844=30,"③特定消防",IF(AND(OR($A1844=21,$A1844=215),$AJ1844=10),"④一般",IF(AND($A1844=31,$AJ1844=41),"⑤短期","対象外")))))</f>
      </c>
      <c r="DC1844" s="2909">
        <f>IF($A1844="","",IF($AB1844&amp;""='DB_設定'!$C$4,1,0))</f>
      </c>
    </row>
    <row r="1845">
      <c r="DB1845" s="2909">
        <f>IF($A1845="","",IF($AH1845=20,IF(AND(OR($A1845=21,$A1845=215),$AJ1845=10),"①病院一般",IF(AND($A1845=31,$AJ1845=41),"②病院短期","対象外")),IF($AJ1845=30,"③特定消防",IF(AND(OR($A1845=21,$A1845=215),$AJ1845=10),"④一般",IF(AND($A1845=31,$AJ1845=41),"⑤短期","対象外")))))</f>
      </c>
      <c r="DC1845" s="2909">
        <f>IF($A1845="","",IF($AB1845&amp;""='DB_設定'!$C$4,1,0))</f>
      </c>
    </row>
    <row r="1846">
      <c r="DB1846" s="2909">
        <f>IF($A1846="","",IF($AH1846=20,IF(AND(OR($A1846=21,$A1846=215),$AJ1846=10),"①病院一般",IF(AND($A1846=31,$AJ1846=41),"②病院短期","対象外")),IF($AJ1846=30,"③特定消防",IF(AND(OR($A1846=21,$A1846=215),$AJ1846=10),"④一般",IF(AND($A1846=31,$AJ1846=41),"⑤短期","対象外")))))</f>
      </c>
      <c r="DC1846" s="2909">
        <f>IF($A1846="","",IF($AB1846&amp;""='DB_設定'!$C$4,1,0))</f>
      </c>
    </row>
    <row r="1847">
      <c r="DB1847" s="2909">
        <f>IF($A1847="","",IF($AH1847=20,IF(AND(OR($A1847=21,$A1847=215),$AJ1847=10),"①病院一般",IF(AND($A1847=31,$AJ1847=41),"②病院短期","対象外")),IF($AJ1847=30,"③特定消防",IF(AND(OR($A1847=21,$A1847=215),$AJ1847=10),"④一般",IF(AND($A1847=31,$AJ1847=41),"⑤短期","対象外")))))</f>
      </c>
      <c r="DC1847" s="2909">
        <f>IF($A1847="","",IF($AB1847&amp;""='DB_設定'!$C$4,1,0))</f>
      </c>
    </row>
    <row r="1848">
      <c r="DB1848" s="2909">
        <f>IF($A1848="","",IF($AH1848=20,IF(AND(OR($A1848=21,$A1848=215),$AJ1848=10),"①病院一般",IF(AND($A1848=31,$AJ1848=41),"②病院短期","対象外")),IF($AJ1848=30,"③特定消防",IF(AND(OR($A1848=21,$A1848=215),$AJ1848=10),"④一般",IF(AND($A1848=31,$AJ1848=41),"⑤短期","対象外")))))</f>
      </c>
      <c r="DC1848" s="2909">
        <f>IF($A1848="","",IF($AB1848&amp;""='DB_設定'!$C$4,1,0))</f>
      </c>
    </row>
    <row r="1849">
      <c r="DB1849" s="2909">
        <f>IF($A1849="","",IF($AH1849=20,IF(AND(OR($A1849=21,$A1849=215),$AJ1849=10),"①病院一般",IF(AND($A1849=31,$AJ1849=41),"②病院短期","対象外")),IF($AJ1849=30,"③特定消防",IF(AND(OR($A1849=21,$A1849=215),$AJ1849=10),"④一般",IF(AND($A1849=31,$AJ1849=41),"⑤短期","対象外")))))</f>
      </c>
      <c r="DC1849" s="2909">
        <f>IF($A1849="","",IF($AB1849&amp;""='DB_設定'!$C$4,1,0))</f>
      </c>
    </row>
    <row r="1850">
      <c r="DB1850" s="2909">
        <f>IF($A1850="","",IF($AH1850=20,IF(AND(OR($A1850=21,$A1850=215),$AJ1850=10),"①病院一般",IF(AND($A1850=31,$AJ1850=41),"②病院短期","対象外")),IF($AJ1850=30,"③特定消防",IF(AND(OR($A1850=21,$A1850=215),$AJ1850=10),"④一般",IF(AND($A1850=31,$AJ1850=41),"⑤短期","対象外")))))</f>
      </c>
      <c r="DC1850" s="2909">
        <f>IF($A1850="","",IF($AB1850&amp;""='DB_設定'!$C$4,1,0))</f>
      </c>
    </row>
    <row r="1851">
      <c r="DB1851" s="2909">
        <f>IF($A1851="","",IF($AH1851=20,IF(AND(OR($A1851=21,$A1851=215),$AJ1851=10),"①病院一般",IF(AND($A1851=31,$AJ1851=41),"②病院短期","対象外")),IF($AJ1851=30,"③特定消防",IF(AND(OR($A1851=21,$A1851=215),$AJ1851=10),"④一般",IF(AND($A1851=31,$AJ1851=41),"⑤短期","対象外")))))</f>
      </c>
      <c r="DC1851" s="2909">
        <f>IF($A1851="","",IF($AB1851&amp;""='DB_設定'!$C$4,1,0))</f>
      </c>
    </row>
    <row r="1852">
      <c r="DB1852" s="2909">
        <f>IF($A1852="","",IF($AH1852=20,IF(AND(OR($A1852=21,$A1852=215),$AJ1852=10),"①病院一般",IF(AND($A1852=31,$AJ1852=41),"②病院短期","対象外")),IF($AJ1852=30,"③特定消防",IF(AND(OR($A1852=21,$A1852=215),$AJ1852=10),"④一般",IF(AND($A1852=31,$AJ1852=41),"⑤短期","対象外")))))</f>
      </c>
      <c r="DC1852" s="2909">
        <f>IF($A1852="","",IF($AB1852&amp;""='DB_設定'!$C$4,1,0))</f>
      </c>
    </row>
    <row r="1853">
      <c r="DB1853" s="2909">
        <f>IF($A1853="","",IF($AH1853=20,IF(AND(OR($A1853=21,$A1853=215),$AJ1853=10),"①病院一般",IF(AND($A1853=31,$AJ1853=41),"②病院短期","対象外")),IF($AJ1853=30,"③特定消防",IF(AND(OR($A1853=21,$A1853=215),$AJ1853=10),"④一般",IF(AND($A1853=31,$AJ1853=41),"⑤短期","対象外")))))</f>
      </c>
      <c r="DC1853" s="2909">
        <f>IF($A1853="","",IF($AB1853&amp;""='DB_設定'!$C$4,1,0))</f>
      </c>
    </row>
    <row r="1854">
      <c r="DB1854" s="2909">
        <f>IF($A1854="","",IF($AH1854=20,IF(AND(OR($A1854=21,$A1854=215),$AJ1854=10),"①病院一般",IF(AND($A1854=31,$AJ1854=41),"②病院短期","対象外")),IF($AJ1854=30,"③特定消防",IF(AND(OR($A1854=21,$A1854=215),$AJ1854=10),"④一般",IF(AND($A1854=31,$AJ1854=41),"⑤短期","対象外")))))</f>
      </c>
      <c r="DC1854" s="2909">
        <f>IF($A1854="","",IF($AB1854&amp;""='DB_設定'!$C$4,1,0))</f>
      </c>
    </row>
    <row r="1855">
      <c r="DB1855" s="2909">
        <f>IF($A1855="","",IF($AH1855=20,IF(AND(OR($A1855=21,$A1855=215),$AJ1855=10),"①病院一般",IF(AND($A1855=31,$AJ1855=41),"②病院短期","対象外")),IF($AJ1855=30,"③特定消防",IF(AND(OR($A1855=21,$A1855=215),$AJ1855=10),"④一般",IF(AND($A1855=31,$AJ1855=41),"⑤短期","対象外")))))</f>
      </c>
      <c r="DC1855" s="2909">
        <f>IF($A1855="","",IF($AB1855&amp;""='DB_設定'!$C$4,1,0))</f>
      </c>
    </row>
    <row r="1856">
      <c r="DB1856" s="2909">
        <f>IF($A1856="","",IF($AH1856=20,IF(AND(OR($A1856=21,$A1856=215),$AJ1856=10),"①病院一般",IF(AND($A1856=31,$AJ1856=41),"②病院短期","対象外")),IF($AJ1856=30,"③特定消防",IF(AND(OR($A1856=21,$A1856=215),$AJ1856=10),"④一般",IF(AND($A1856=31,$AJ1856=41),"⑤短期","対象外")))))</f>
      </c>
      <c r="DC1856" s="2909">
        <f>IF($A1856="","",IF($AB1856&amp;""='DB_設定'!$C$4,1,0))</f>
      </c>
    </row>
    <row r="1857">
      <c r="DB1857" s="2909">
        <f>IF($A1857="","",IF($AH1857=20,IF(AND(OR($A1857=21,$A1857=215),$AJ1857=10),"①病院一般",IF(AND($A1857=31,$AJ1857=41),"②病院短期","対象外")),IF($AJ1857=30,"③特定消防",IF(AND(OR($A1857=21,$A1857=215),$AJ1857=10),"④一般",IF(AND($A1857=31,$AJ1857=41),"⑤短期","対象外")))))</f>
      </c>
      <c r="DC1857" s="2909">
        <f>IF($A1857="","",IF($AB1857&amp;""='DB_設定'!$C$4,1,0))</f>
      </c>
    </row>
    <row r="1858">
      <c r="DB1858" s="2909">
        <f>IF($A1858="","",IF($AH1858=20,IF(AND(OR($A1858=21,$A1858=215),$AJ1858=10),"①病院一般",IF(AND($A1858=31,$AJ1858=41),"②病院短期","対象外")),IF($AJ1858=30,"③特定消防",IF(AND(OR($A1858=21,$A1858=215),$AJ1858=10),"④一般",IF(AND($A1858=31,$AJ1858=41),"⑤短期","対象外")))))</f>
      </c>
      <c r="DC1858" s="2909">
        <f>IF($A1858="","",IF($AB1858&amp;""='DB_設定'!$C$4,1,0))</f>
      </c>
    </row>
    <row r="1859">
      <c r="DB1859" s="2909">
        <f>IF($A1859="","",IF($AH1859=20,IF(AND(OR($A1859=21,$A1859=215),$AJ1859=10),"①病院一般",IF(AND($A1859=31,$AJ1859=41),"②病院短期","対象外")),IF($AJ1859=30,"③特定消防",IF(AND(OR($A1859=21,$A1859=215),$AJ1859=10),"④一般",IF(AND($A1859=31,$AJ1859=41),"⑤短期","対象外")))))</f>
      </c>
      <c r="DC1859" s="2909">
        <f>IF($A1859="","",IF($AB1859&amp;""='DB_設定'!$C$4,1,0))</f>
      </c>
    </row>
    <row r="1860">
      <c r="DB1860" s="2909">
        <f>IF($A1860="","",IF($AH1860=20,IF(AND(OR($A1860=21,$A1860=215),$AJ1860=10),"①病院一般",IF(AND($A1860=31,$AJ1860=41),"②病院短期","対象外")),IF($AJ1860=30,"③特定消防",IF(AND(OR($A1860=21,$A1860=215),$AJ1860=10),"④一般",IF(AND($A1860=31,$AJ1860=41),"⑤短期","対象外")))))</f>
      </c>
      <c r="DC1860" s="2909">
        <f>IF($A1860="","",IF($AB1860&amp;""='DB_設定'!$C$4,1,0))</f>
      </c>
    </row>
    <row r="1861">
      <c r="DB1861" s="2909">
        <f>IF($A1861="","",IF($AH1861=20,IF(AND(OR($A1861=21,$A1861=215),$AJ1861=10),"①病院一般",IF(AND($A1861=31,$AJ1861=41),"②病院短期","対象外")),IF($AJ1861=30,"③特定消防",IF(AND(OR($A1861=21,$A1861=215),$AJ1861=10),"④一般",IF(AND($A1861=31,$AJ1861=41),"⑤短期","対象外")))))</f>
      </c>
      <c r="DC1861" s="2909">
        <f>IF($A1861="","",IF($AB1861&amp;""='DB_設定'!$C$4,1,0))</f>
      </c>
    </row>
    <row r="1862">
      <c r="DB1862" s="2909">
        <f>IF($A1862="","",IF($AH1862=20,IF(AND(OR($A1862=21,$A1862=215),$AJ1862=10),"①病院一般",IF(AND($A1862=31,$AJ1862=41),"②病院短期","対象外")),IF($AJ1862=30,"③特定消防",IF(AND(OR($A1862=21,$A1862=215),$AJ1862=10),"④一般",IF(AND($A1862=31,$AJ1862=41),"⑤短期","対象外")))))</f>
      </c>
      <c r="DC1862" s="2909">
        <f>IF($A1862="","",IF($AB1862&amp;""='DB_設定'!$C$4,1,0))</f>
      </c>
    </row>
    <row r="1863">
      <c r="DB1863" s="2909">
        <f>IF($A1863="","",IF($AH1863=20,IF(AND(OR($A1863=21,$A1863=215),$AJ1863=10),"①病院一般",IF(AND($A1863=31,$AJ1863=41),"②病院短期","対象外")),IF($AJ1863=30,"③特定消防",IF(AND(OR($A1863=21,$A1863=215),$AJ1863=10),"④一般",IF(AND($A1863=31,$AJ1863=41),"⑤短期","対象外")))))</f>
      </c>
      <c r="DC1863" s="2909">
        <f>IF($A1863="","",IF($AB1863&amp;""='DB_設定'!$C$4,1,0))</f>
      </c>
    </row>
    <row r="1864">
      <c r="DB1864" s="2909">
        <f>IF($A1864="","",IF($AH1864=20,IF(AND(OR($A1864=21,$A1864=215),$AJ1864=10),"①病院一般",IF(AND($A1864=31,$AJ1864=41),"②病院短期","対象外")),IF($AJ1864=30,"③特定消防",IF(AND(OR($A1864=21,$A1864=215),$AJ1864=10),"④一般",IF(AND($A1864=31,$AJ1864=41),"⑤短期","対象外")))))</f>
      </c>
      <c r="DC1864" s="2909">
        <f>IF($A1864="","",IF($AB1864&amp;""='DB_設定'!$C$4,1,0))</f>
      </c>
    </row>
    <row r="1865">
      <c r="DB1865" s="2909">
        <f>IF($A1865="","",IF($AH1865=20,IF(AND(OR($A1865=21,$A1865=215),$AJ1865=10),"①病院一般",IF(AND($A1865=31,$AJ1865=41),"②病院短期","対象外")),IF($AJ1865=30,"③特定消防",IF(AND(OR($A1865=21,$A1865=215),$AJ1865=10),"④一般",IF(AND($A1865=31,$AJ1865=41),"⑤短期","対象外")))))</f>
      </c>
      <c r="DC1865" s="2909">
        <f>IF($A1865="","",IF($AB1865&amp;""='DB_設定'!$C$4,1,0))</f>
      </c>
    </row>
    <row r="1866">
      <c r="DB1866" s="2909">
        <f>IF($A1866="","",IF($AH1866=20,IF(AND(OR($A1866=21,$A1866=215),$AJ1866=10),"①病院一般",IF(AND($A1866=31,$AJ1866=41),"②病院短期","対象外")),IF($AJ1866=30,"③特定消防",IF(AND(OR($A1866=21,$A1866=215),$AJ1866=10),"④一般",IF(AND($A1866=31,$AJ1866=41),"⑤短期","対象外")))))</f>
      </c>
      <c r="DC1866" s="2909">
        <f>IF($A1866="","",IF($AB1866&amp;""='DB_設定'!$C$4,1,0))</f>
      </c>
    </row>
    <row r="1867">
      <c r="DB1867" s="2909">
        <f>IF($A1867="","",IF($AH1867=20,IF(AND(OR($A1867=21,$A1867=215),$AJ1867=10),"①病院一般",IF(AND($A1867=31,$AJ1867=41),"②病院短期","対象外")),IF($AJ1867=30,"③特定消防",IF(AND(OR($A1867=21,$A1867=215),$AJ1867=10),"④一般",IF(AND($A1867=31,$AJ1867=41),"⑤短期","対象外")))))</f>
      </c>
      <c r="DC1867" s="2909">
        <f>IF($A1867="","",IF($AB1867&amp;""='DB_設定'!$C$4,1,0))</f>
      </c>
    </row>
    <row r="1868">
      <c r="DB1868" s="2909">
        <f>IF($A1868="","",IF($AH1868=20,IF(AND(OR($A1868=21,$A1868=215),$AJ1868=10),"①病院一般",IF(AND($A1868=31,$AJ1868=41),"②病院短期","対象外")),IF($AJ1868=30,"③特定消防",IF(AND(OR($A1868=21,$A1868=215),$AJ1868=10),"④一般",IF(AND($A1868=31,$AJ1868=41),"⑤短期","対象外")))))</f>
      </c>
      <c r="DC1868" s="2909">
        <f>IF($A1868="","",IF($AB1868&amp;""='DB_設定'!$C$4,1,0))</f>
      </c>
    </row>
    <row r="1869">
      <c r="DB1869" s="2909">
        <f>IF($A1869="","",IF($AH1869=20,IF(AND(OR($A1869=21,$A1869=215),$AJ1869=10),"①病院一般",IF(AND($A1869=31,$AJ1869=41),"②病院短期","対象外")),IF($AJ1869=30,"③特定消防",IF(AND(OR($A1869=21,$A1869=215),$AJ1869=10),"④一般",IF(AND($A1869=31,$AJ1869=41),"⑤短期","対象外")))))</f>
      </c>
      <c r="DC1869" s="2909">
        <f>IF($A1869="","",IF($AB1869&amp;""='DB_設定'!$C$4,1,0))</f>
      </c>
    </row>
    <row r="1870">
      <c r="DB1870" s="2909">
        <f>IF($A1870="","",IF($AH1870=20,IF(AND(OR($A1870=21,$A1870=215),$AJ1870=10),"①病院一般",IF(AND($A1870=31,$AJ1870=41),"②病院短期","対象外")),IF($AJ1870=30,"③特定消防",IF(AND(OR($A1870=21,$A1870=215),$AJ1870=10),"④一般",IF(AND($A1870=31,$AJ1870=41),"⑤短期","対象外")))))</f>
      </c>
      <c r="DC1870" s="2909">
        <f>IF($A1870="","",IF($AB1870&amp;""='DB_設定'!$C$4,1,0))</f>
      </c>
    </row>
    <row r="1871">
      <c r="DB1871" s="2909">
        <f>IF($A1871="","",IF($AH1871=20,IF(AND(OR($A1871=21,$A1871=215),$AJ1871=10),"①病院一般",IF(AND($A1871=31,$AJ1871=41),"②病院短期","対象外")),IF($AJ1871=30,"③特定消防",IF(AND(OR($A1871=21,$A1871=215),$AJ1871=10),"④一般",IF(AND($A1871=31,$AJ1871=41),"⑤短期","対象外")))))</f>
      </c>
      <c r="DC1871" s="2909">
        <f>IF($A1871="","",IF($AB1871&amp;""='DB_設定'!$C$4,1,0))</f>
      </c>
    </row>
    <row r="1872">
      <c r="DB1872" s="2909">
        <f>IF($A1872="","",IF($AH1872=20,IF(AND(OR($A1872=21,$A1872=215),$AJ1872=10),"①病院一般",IF(AND($A1872=31,$AJ1872=41),"②病院短期","対象外")),IF($AJ1872=30,"③特定消防",IF(AND(OR($A1872=21,$A1872=215),$AJ1872=10),"④一般",IF(AND($A1872=31,$AJ1872=41),"⑤短期","対象外")))))</f>
      </c>
      <c r="DC1872" s="2909">
        <f>IF($A1872="","",IF($AB1872&amp;""='DB_設定'!$C$4,1,0))</f>
      </c>
    </row>
    <row r="1873">
      <c r="DB1873" s="2909">
        <f>IF($A1873="","",IF($AH1873=20,IF(AND(OR($A1873=21,$A1873=215),$AJ1873=10),"①病院一般",IF(AND($A1873=31,$AJ1873=41),"②病院短期","対象外")),IF($AJ1873=30,"③特定消防",IF(AND(OR($A1873=21,$A1873=215),$AJ1873=10),"④一般",IF(AND($A1873=31,$AJ1873=41),"⑤短期","対象外")))))</f>
      </c>
      <c r="DC1873" s="2909">
        <f>IF($A1873="","",IF($AB1873&amp;""='DB_設定'!$C$4,1,0))</f>
      </c>
    </row>
    <row r="1874">
      <c r="DB1874" s="2909">
        <f>IF($A1874="","",IF($AH1874=20,IF(AND(OR($A1874=21,$A1874=215),$AJ1874=10),"①病院一般",IF(AND($A1874=31,$AJ1874=41),"②病院短期","対象外")),IF($AJ1874=30,"③特定消防",IF(AND(OR($A1874=21,$A1874=215),$AJ1874=10),"④一般",IF(AND($A1874=31,$AJ1874=41),"⑤短期","対象外")))))</f>
      </c>
      <c r="DC1874" s="2909">
        <f>IF($A1874="","",IF($AB1874&amp;""='DB_設定'!$C$4,1,0))</f>
      </c>
    </row>
    <row r="1875">
      <c r="DB1875" s="2909">
        <f>IF($A1875="","",IF($AH1875=20,IF(AND(OR($A1875=21,$A1875=215),$AJ1875=10),"①病院一般",IF(AND($A1875=31,$AJ1875=41),"②病院短期","対象外")),IF($AJ1875=30,"③特定消防",IF(AND(OR($A1875=21,$A1875=215),$AJ1875=10),"④一般",IF(AND($A1875=31,$AJ1875=41),"⑤短期","対象外")))))</f>
      </c>
      <c r="DC1875" s="2909">
        <f>IF($A1875="","",IF($AB1875&amp;""='DB_設定'!$C$4,1,0))</f>
      </c>
    </row>
    <row r="1876">
      <c r="DB1876" s="2909">
        <f>IF($A1876="","",IF($AH1876=20,IF(AND(OR($A1876=21,$A1876=215),$AJ1876=10),"①病院一般",IF(AND($A1876=31,$AJ1876=41),"②病院短期","対象外")),IF($AJ1876=30,"③特定消防",IF(AND(OR($A1876=21,$A1876=215),$AJ1876=10),"④一般",IF(AND($A1876=31,$AJ1876=41),"⑤短期","対象外")))))</f>
      </c>
      <c r="DC1876" s="2909">
        <f>IF($A1876="","",IF($AB1876&amp;""='DB_設定'!$C$4,1,0))</f>
      </c>
    </row>
    <row r="1877">
      <c r="DB1877" s="2909">
        <f>IF($A1877="","",IF($AH1877=20,IF(AND(OR($A1877=21,$A1877=215),$AJ1877=10),"①病院一般",IF(AND($A1877=31,$AJ1877=41),"②病院短期","対象外")),IF($AJ1877=30,"③特定消防",IF(AND(OR($A1877=21,$A1877=215),$AJ1877=10),"④一般",IF(AND($A1877=31,$AJ1877=41),"⑤短期","対象外")))))</f>
      </c>
      <c r="DC1877" s="2909">
        <f>IF($A1877="","",IF($AB1877&amp;""='DB_設定'!$C$4,1,0))</f>
      </c>
    </row>
    <row r="1878">
      <c r="DB1878" s="2909">
        <f>IF($A1878="","",IF($AH1878=20,IF(AND(OR($A1878=21,$A1878=215),$AJ1878=10),"①病院一般",IF(AND($A1878=31,$AJ1878=41),"②病院短期","対象外")),IF($AJ1878=30,"③特定消防",IF(AND(OR($A1878=21,$A1878=215),$AJ1878=10),"④一般",IF(AND($A1878=31,$AJ1878=41),"⑤短期","対象外")))))</f>
      </c>
      <c r="DC1878" s="2909">
        <f>IF($A1878="","",IF($AB1878&amp;""='DB_設定'!$C$4,1,0))</f>
      </c>
    </row>
    <row r="1879">
      <c r="DB1879" s="2909">
        <f>IF($A1879="","",IF($AH1879=20,IF(AND(OR($A1879=21,$A1879=215),$AJ1879=10),"①病院一般",IF(AND($A1879=31,$AJ1879=41),"②病院短期","対象外")),IF($AJ1879=30,"③特定消防",IF(AND(OR($A1879=21,$A1879=215),$AJ1879=10),"④一般",IF(AND($A1879=31,$AJ1879=41),"⑤短期","対象外")))))</f>
      </c>
      <c r="DC1879" s="2909">
        <f>IF($A1879="","",IF($AB1879&amp;""='DB_設定'!$C$4,1,0))</f>
      </c>
    </row>
    <row r="1880">
      <c r="DB1880" s="2909">
        <f>IF($A1880="","",IF($AH1880=20,IF(AND(OR($A1880=21,$A1880=215),$AJ1880=10),"①病院一般",IF(AND($A1880=31,$AJ1880=41),"②病院短期","対象外")),IF($AJ1880=30,"③特定消防",IF(AND(OR($A1880=21,$A1880=215),$AJ1880=10),"④一般",IF(AND($A1880=31,$AJ1880=41),"⑤短期","対象外")))))</f>
      </c>
      <c r="DC1880" s="2909">
        <f>IF($A1880="","",IF($AB1880&amp;""='DB_設定'!$C$4,1,0))</f>
      </c>
    </row>
    <row r="1881">
      <c r="DB1881" s="2909">
        <f>IF($A1881="","",IF($AH1881=20,IF(AND(OR($A1881=21,$A1881=215),$AJ1881=10),"①病院一般",IF(AND($A1881=31,$AJ1881=41),"②病院短期","対象外")),IF($AJ1881=30,"③特定消防",IF(AND(OR($A1881=21,$A1881=215),$AJ1881=10),"④一般",IF(AND($A1881=31,$AJ1881=41),"⑤短期","対象外")))))</f>
      </c>
      <c r="DC1881" s="2909">
        <f>IF($A1881="","",IF($AB1881&amp;""='DB_設定'!$C$4,1,0))</f>
      </c>
    </row>
    <row r="1882">
      <c r="DB1882" s="2909">
        <f>IF($A1882="","",IF($AH1882=20,IF(AND(OR($A1882=21,$A1882=215),$AJ1882=10),"①病院一般",IF(AND($A1882=31,$AJ1882=41),"②病院短期","対象外")),IF($AJ1882=30,"③特定消防",IF(AND(OR($A1882=21,$A1882=215),$AJ1882=10),"④一般",IF(AND($A1882=31,$AJ1882=41),"⑤短期","対象外")))))</f>
      </c>
      <c r="DC1882" s="2909">
        <f>IF($A1882="","",IF($AB1882&amp;""='DB_設定'!$C$4,1,0))</f>
      </c>
    </row>
    <row r="1883">
      <c r="DB1883" s="2909">
        <f>IF($A1883="","",IF($AH1883=20,IF(AND(OR($A1883=21,$A1883=215),$AJ1883=10),"①病院一般",IF(AND($A1883=31,$AJ1883=41),"②病院短期","対象外")),IF($AJ1883=30,"③特定消防",IF(AND(OR($A1883=21,$A1883=215),$AJ1883=10),"④一般",IF(AND($A1883=31,$AJ1883=41),"⑤短期","対象外")))))</f>
      </c>
      <c r="DC1883" s="2909">
        <f>IF($A1883="","",IF($AB1883&amp;""='DB_設定'!$C$4,1,0))</f>
      </c>
    </row>
    <row r="1884">
      <c r="DB1884" s="2909">
        <f>IF($A1884="","",IF($AH1884=20,IF(AND(OR($A1884=21,$A1884=215),$AJ1884=10),"①病院一般",IF(AND($A1884=31,$AJ1884=41),"②病院短期","対象外")),IF($AJ1884=30,"③特定消防",IF(AND(OR($A1884=21,$A1884=215),$AJ1884=10),"④一般",IF(AND($A1884=31,$AJ1884=41),"⑤短期","対象外")))))</f>
      </c>
      <c r="DC1884" s="2909">
        <f>IF($A1884="","",IF($AB1884&amp;""='DB_設定'!$C$4,1,0))</f>
      </c>
    </row>
    <row r="1885">
      <c r="DB1885" s="2909">
        <f>IF($A1885="","",IF($AH1885=20,IF(AND(OR($A1885=21,$A1885=215),$AJ1885=10),"①病院一般",IF(AND($A1885=31,$AJ1885=41),"②病院短期","対象外")),IF($AJ1885=30,"③特定消防",IF(AND(OR($A1885=21,$A1885=215),$AJ1885=10),"④一般",IF(AND($A1885=31,$AJ1885=41),"⑤短期","対象外")))))</f>
      </c>
      <c r="DC1885" s="2909">
        <f>IF($A1885="","",IF($AB1885&amp;""='DB_設定'!$C$4,1,0))</f>
      </c>
    </row>
    <row r="1886">
      <c r="DB1886" s="2909">
        <f>IF($A1886="","",IF($AH1886=20,IF(AND(OR($A1886=21,$A1886=215),$AJ1886=10),"①病院一般",IF(AND($A1886=31,$AJ1886=41),"②病院短期","対象外")),IF($AJ1886=30,"③特定消防",IF(AND(OR($A1886=21,$A1886=215),$AJ1886=10),"④一般",IF(AND($A1886=31,$AJ1886=41),"⑤短期","対象外")))))</f>
      </c>
      <c r="DC1886" s="2909">
        <f>IF($A1886="","",IF($AB1886&amp;""='DB_設定'!$C$4,1,0))</f>
      </c>
    </row>
    <row r="1887">
      <c r="DB1887" s="2909">
        <f>IF($A1887="","",IF($AH1887=20,IF(AND(OR($A1887=21,$A1887=215),$AJ1887=10),"①病院一般",IF(AND($A1887=31,$AJ1887=41),"②病院短期","対象外")),IF($AJ1887=30,"③特定消防",IF(AND(OR($A1887=21,$A1887=215),$AJ1887=10),"④一般",IF(AND($A1887=31,$AJ1887=41),"⑤短期","対象外")))))</f>
      </c>
      <c r="DC1887" s="2909">
        <f>IF($A1887="","",IF($AB1887&amp;""='DB_設定'!$C$4,1,0))</f>
      </c>
    </row>
    <row r="1888">
      <c r="DB1888" s="2909">
        <f>IF($A1888="","",IF($AH1888=20,IF(AND(OR($A1888=21,$A1888=215),$AJ1888=10),"①病院一般",IF(AND($A1888=31,$AJ1888=41),"②病院短期","対象外")),IF($AJ1888=30,"③特定消防",IF(AND(OR($A1888=21,$A1888=215),$AJ1888=10),"④一般",IF(AND($A1888=31,$AJ1888=41),"⑤短期","対象外")))))</f>
      </c>
      <c r="DC1888" s="2909">
        <f>IF($A1888="","",IF($AB1888&amp;""='DB_設定'!$C$4,1,0))</f>
      </c>
    </row>
    <row r="1889">
      <c r="DB1889" s="2909">
        <f>IF($A1889="","",IF($AH1889=20,IF(AND(OR($A1889=21,$A1889=215),$AJ1889=10),"①病院一般",IF(AND($A1889=31,$AJ1889=41),"②病院短期","対象外")),IF($AJ1889=30,"③特定消防",IF(AND(OR($A1889=21,$A1889=215),$AJ1889=10),"④一般",IF(AND($A1889=31,$AJ1889=41),"⑤短期","対象外")))))</f>
      </c>
      <c r="DC1889" s="2909">
        <f>IF($A1889="","",IF($AB1889&amp;""='DB_設定'!$C$4,1,0))</f>
      </c>
    </row>
    <row r="1890">
      <c r="DB1890" s="2909">
        <f>IF($A1890="","",IF($AH1890=20,IF(AND(OR($A1890=21,$A1890=215),$AJ1890=10),"①病院一般",IF(AND($A1890=31,$AJ1890=41),"②病院短期","対象外")),IF($AJ1890=30,"③特定消防",IF(AND(OR($A1890=21,$A1890=215),$AJ1890=10),"④一般",IF(AND($A1890=31,$AJ1890=41),"⑤短期","対象外")))))</f>
      </c>
      <c r="DC1890" s="2909">
        <f>IF($A1890="","",IF($AB1890&amp;""='DB_設定'!$C$4,1,0))</f>
      </c>
    </row>
    <row r="1891">
      <c r="DB1891" s="2909">
        <f>IF($A1891="","",IF($AH1891=20,IF(AND(OR($A1891=21,$A1891=215),$AJ1891=10),"①病院一般",IF(AND($A1891=31,$AJ1891=41),"②病院短期","対象外")),IF($AJ1891=30,"③特定消防",IF(AND(OR($A1891=21,$A1891=215),$AJ1891=10),"④一般",IF(AND($A1891=31,$AJ1891=41),"⑤短期","対象外")))))</f>
      </c>
      <c r="DC1891" s="2909">
        <f>IF($A1891="","",IF($AB1891&amp;""='DB_設定'!$C$4,1,0))</f>
      </c>
    </row>
    <row r="1892">
      <c r="DB1892" s="2909">
        <f>IF($A1892="","",IF($AH1892=20,IF(AND(OR($A1892=21,$A1892=215),$AJ1892=10),"①病院一般",IF(AND($A1892=31,$AJ1892=41),"②病院短期","対象外")),IF($AJ1892=30,"③特定消防",IF(AND(OR($A1892=21,$A1892=215),$AJ1892=10),"④一般",IF(AND($A1892=31,$AJ1892=41),"⑤短期","対象外")))))</f>
      </c>
      <c r="DC1892" s="2909">
        <f>IF($A1892="","",IF($AB1892&amp;""='DB_設定'!$C$4,1,0))</f>
      </c>
    </row>
    <row r="1893">
      <c r="DB1893" s="2909">
        <f>IF($A1893="","",IF($AH1893=20,IF(AND(OR($A1893=21,$A1893=215),$AJ1893=10),"①病院一般",IF(AND($A1893=31,$AJ1893=41),"②病院短期","対象外")),IF($AJ1893=30,"③特定消防",IF(AND(OR($A1893=21,$A1893=215),$AJ1893=10),"④一般",IF(AND($A1893=31,$AJ1893=41),"⑤短期","対象外")))))</f>
      </c>
      <c r="DC1893" s="2909">
        <f>IF($A1893="","",IF($AB1893&amp;""='DB_設定'!$C$4,1,0))</f>
      </c>
    </row>
    <row r="1894">
      <c r="DB1894" s="2909">
        <f>IF($A1894="","",IF($AH1894=20,IF(AND(OR($A1894=21,$A1894=215),$AJ1894=10),"①病院一般",IF(AND($A1894=31,$AJ1894=41),"②病院短期","対象外")),IF($AJ1894=30,"③特定消防",IF(AND(OR($A1894=21,$A1894=215),$AJ1894=10),"④一般",IF(AND($A1894=31,$AJ1894=41),"⑤短期","対象外")))))</f>
      </c>
      <c r="DC1894" s="2909">
        <f>IF($A1894="","",IF($AB1894&amp;""='DB_設定'!$C$4,1,0))</f>
      </c>
    </row>
    <row r="1895">
      <c r="DB1895" s="2909">
        <f>IF($A1895="","",IF($AH1895=20,IF(AND(OR($A1895=21,$A1895=215),$AJ1895=10),"①病院一般",IF(AND($A1895=31,$AJ1895=41),"②病院短期","対象外")),IF($AJ1895=30,"③特定消防",IF(AND(OR($A1895=21,$A1895=215),$AJ1895=10),"④一般",IF(AND($A1895=31,$AJ1895=41),"⑤短期","対象外")))))</f>
      </c>
      <c r="DC1895" s="2909">
        <f>IF($A1895="","",IF($AB1895&amp;""='DB_設定'!$C$4,1,0))</f>
      </c>
    </row>
    <row r="1896">
      <c r="DB1896" s="2909">
        <f>IF($A1896="","",IF($AH1896=20,IF(AND(OR($A1896=21,$A1896=215),$AJ1896=10),"①病院一般",IF(AND($A1896=31,$AJ1896=41),"②病院短期","対象外")),IF($AJ1896=30,"③特定消防",IF(AND(OR($A1896=21,$A1896=215),$AJ1896=10),"④一般",IF(AND($A1896=31,$AJ1896=41),"⑤短期","対象外")))))</f>
      </c>
      <c r="DC1896" s="2909">
        <f>IF($A1896="","",IF($AB1896&amp;""='DB_設定'!$C$4,1,0))</f>
      </c>
    </row>
    <row r="1897">
      <c r="DB1897" s="2909">
        <f>IF($A1897="","",IF($AH1897=20,IF(AND(OR($A1897=21,$A1897=215),$AJ1897=10),"①病院一般",IF(AND($A1897=31,$AJ1897=41),"②病院短期","対象外")),IF($AJ1897=30,"③特定消防",IF(AND(OR($A1897=21,$A1897=215),$AJ1897=10),"④一般",IF(AND($A1897=31,$AJ1897=41),"⑤短期","対象外")))))</f>
      </c>
      <c r="DC1897" s="2909">
        <f>IF($A1897="","",IF($AB1897&amp;""='DB_設定'!$C$4,1,0))</f>
      </c>
    </row>
    <row r="1898">
      <c r="DB1898" s="2909">
        <f>IF($A1898="","",IF($AH1898=20,IF(AND(OR($A1898=21,$A1898=215),$AJ1898=10),"①病院一般",IF(AND($A1898=31,$AJ1898=41),"②病院短期","対象外")),IF($AJ1898=30,"③特定消防",IF(AND(OR($A1898=21,$A1898=215),$AJ1898=10),"④一般",IF(AND($A1898=31,$AJ1898=41),"⑤短期","対象外")))))</f>
      </c>
      <c r="DC1898" s="2909">
        <f>IF($A1898="","",IF($AB1898&amp;""='DB_設定'!$C$4,1,0))</f>
      </c>
    </row>
    <row r="1899">
      <c r="DB1899" s="2909">
        <f>IF($A1899="","",IF($AH1899=20,IF(AND(OR($A1899=21,$A1899=215),$AJ1899=10),"①病院一般",IF(AND($A1899=31,$AJ1899=41),"②病院短期","対象外")),IF($AJ1899=30,"③特定消防",IF(AND(OR($A1899=21,$A1899=215),$AJ1899=10),"④一般",IF(AND($A1899=31,$AJ1899=41),"⑤短期","対象外")))))</f>
      </c>
      <c r="DC1899" s="2909">
        <f>IF($A1899="","",IF($AB1899&amp;""='DB_設定'!$C$4,1,0))</f>
      </c>
    </row>
    <row r="1900">
      <c r="DB1900" s="2909">
        <f>IF($A1900="","",IF($AH1900=20,IF(AND(OR($A1900=21,$A1900=215),$AJ1900=10),"①病院一般",IF(AND($A1900=31,$AJ1900=41),"②病院短期","対象外")),IF($AJ1900=30,"③特定消防",IF(AND(OR($A1900=21,$A1900=215),$AJ1900=10),"④一般",IF(AND($A1900=31,$AJ1900=41),"⑤短期","対象外")))))</f>
      </c>
      <c r="DC1900" s="2909">
        <f>IF($A1900="","",IF($AB1900&amp;""='DB_設定'!$C$4,1,0))</f>
      </c>
    </row>
    <row r="1901">
      <c r="DB1901" s="2909">
        <f>IF($A1901="","",IF($AH1901=20,IF(AND(OR($A1901=21,$A1901=215),$AJ1901=10),"①病院一般",IF(AND($A1901=31,$AJ1901=41),"②病院短期","対象外")),IF($AJ1901=30,"③特定消防",IF(AND(OR($A1901=21,$A1901=215),$AJ1901=10),"④一般",IF(AND($A1901=31,$AJ1901=41),"⑤短期","対象外")))))</f>
      </c>
      <c r="DC1901" s="2909">
        <f>IF($A1901="","",IF($AB1901&amp;""='DB_設定'!$C$4,1,0))</f>
      </c>
    </row>
    <row r="1902">
      <c r="DB1902" s="2909">
        <f>IF($A1902="","",IF($AH1902=20,IF(AND(OR($A1902=21,$A1902=215),$AJ1902=10),"①病院一般",IF(AND($A1902=31,$AJ1902=41),"②病院短期","対象外")),IF($AJ1902=30,"③特定消防",IF(AND(OR($A1902=21,$A1902=215),$AJ1902=10),"④一般",IF(AND($A1902=31,$AJ1902=41),"⑤短期","対象外")))))</f>
      </c>
      <c r="DC1902" s="2909">
        <f>IF($A1902="","",IF($AB1902&amp;""='DB_設定'!$C$4,1,0))</f>
      </c>
    </row>
    <row r="1903">
      <c r="DB1903" s="2909">
        <f>IF($A1903="","",IF($AH1903=20,IF(AND(OR($A1903=21,$A1903=215),$AJ1903=10),"①病院一般",IF(AND($A1903=31,$AJ1903=41),"②病院短期","対象外")),IF($AJ1903=30,"③特定消防",IF(AND(OR($A1903=21,$A1903=215),$AJ1903=10),"④一般",IF(AND($A1903=31,$AJ1903=41),"⑤短期","対象外")))))</f>
      </c>
      <c r="DC1903" s="2909">
        <f>IF($A1903="","",IF($AB1903&amp;""='DB_設定'!$C$4,1,0))</f>
      </c>
    </row>
    <row r="1904">
      <c r="DB1904" s="2909">
        <f>IF($A1904="","",IF($AH1904=20,IF(AND(OR($A1904=21,$A1904=215),$AJ1904=10),"①病院一般",IF(AND($A1904=31,$AJ1904=41),"②病院短期","対象外")),IF($AJ1904=30,"③特定消防",IF(AND(OR($A1904=21,$A1904=215),$AJ1904=10),"④一般",IF(AND($A1904=31,$AJ1904=41),"⑤短期","対象外")))))</f>
      </c>
      <c r="DC1904" s="2909">
        <f>IF($A1904="","",IF($AB1904&amp;""='DB_設定'!$C$4,1,0))</f>
      </c>
    </row>
    <row r="1905">
      <c r="DB1905" s="2909">
        <f>IF($A1905="","",IF($AH1905=20,IF(AND(OR($A1905=21,$A1905=215),$AJ1905=10),"①病院一般",IF(AND($A1905=31,$AJ1905=41),"②病院短期","対象外")),IF($AJ1905=30,"③特定消防",IF(AND(OR($A1905=21,$A1905=215),$AJ1905=10),"④一般",IF(AND($A1905=31,$AJ1905=41),"⑤短期","対象外")))))</f>
      </c>
      <c r="DC1905" s="2909">
        <f>IF($A1905="","",IF($AB1905&amp;""='DB_設定'!$C$4,1,0))</f>
      </c>
    </row>
    <row r="1906">
      <c r="DB1906" s="2909">
        <f>IF($A1906="","",IF($AH1906=20,IF(AND(OR($A1906=21,$A1906=215),$AJ1906=10),"①病院一般",IF(AND($A1906=31,$AJ1906=41),"②病院短期","対象外")),IF($AJ1906=30,"③特定消防",IF(AND(OR($A1906=21,$A1906=215),$AJ1906=10),"④一般",IF(AND($A1906=31,$AJ1906=41),"⑤短期","対象外")))))</f>
      </c>
      <c r="DC1906" s="2909">
        <f>IF($A1906="","",IF($AB1906&amp;""='DB_設定'!$C$4,1,0))</f>
      </c>
    </row>
    <row r="1907">
      <c r="DB1907" s="2909">
        <f>IF($A1907="","",IF($AH1907=20,IF(AND(OR($A1907=21,$A1907=215),$AJ1907=10),"①病院一般",IF(AND($A1907=31,$AJ1907=41),"②病院短期","対象外")),IF($AJ1907=30,"③特定消防",IF(AND(OR($A1907=21,$A1907=215),$AJ1907=10),"④一般",IF(AND($A1907=31,$AJ1907=41),"⑤短期","対象外")))))</f>
      </c>
      <c r="DC1907" s="2909">
        <f>IF($A1907="","",IF($AB1907&amp;""='DB_設定'!$C$4,1,0))</f>
      </c>
    </row>
    <row r="1908">
      <c r="DB1908" s="2909">
        <f>IF($A1908="","",IF($AH1908=20,IF(AND(OR($A1908=21,$A1908=215),$AJ1908=10),"①病院一般",IF(AND($A1908=31,$AJ1908=41),"②病院短期","対象外")),IF($AJ1908=30,"③特定消防",IF(AND(OR($A1908=21,$A1908=215),$AJ1908=10),"④一般",IF(AND($A1908=31,$AJ1908=41),"⑤短期","対象外")))))</f>
      </c>
      <c r="DC1908" s="2909">
        <f>IF($A1908="","",IF($AB1908&amp;""='DB_設定'!$C$4,1,0))</f>
      </c>
    </row>
    <row r="1909">
      <c r="DB1909" s="2909">
        <f>IF($A1909="","",IF($AH1909=20,IF(AND(OR($A1909=21,$A1909=215),$AJ1909=10),"①病院一般",IF(AND($A1909=31,$AJ1909=41),"②病院短期","対象外")),IF($AJ1909=30,"③特定消防",IF(AND(OR($A1909=21,$A1909=215),$AJ1909=10),"④一般",IF(AND($A1909=31,$AJ1909=41),"⑤短期","対象外")))))</f>
      </c>
      <c r="DC1909" s="2909">
        <f>IF($A1909="","",IF($AB1909&amp;""='DB_設定'!$C$4,1,0))</f>
      </c>
    </row>
    <row r="1910">
      <c r="DB1910" s="2909">
        <f>IF($A1910="","",IF($AH1910=20,IF(AND(OR($A1910=21,$A1910=215),$AJ1910=10),"①病院一般",IF(AND($A1910=31,$AJ1910=41),"②病院短期","対象外")),IF($AJ1910=30,"③特定消防",IF(AND(OR($A1910=21,$A1910=215),$AJ1910=10),"④一般",IF(AND($A1910=31,$AJ1910=41),"⑤短期","対象外")))))</f>
      </c>
      <c r="DC1910" s="2909">
        <f>IF($A1910="","",IF($AB1910&amp;""='DB_設定'!$C$4,1,0))</f>
      </c>
    </row>
    <row r="1911">
      <c r="DB1911" s="2909">
        <f>IF($A1911="","",IF($AH1911=20,IF(AND(OR($A1911=21,$A1911=215),$AJ1911=10),"①病院一般",IF(AND($A1911=31,$AJ1911=41),"②病院短期","対象外")),IF($AJ1911=30,"③特定消防",IF(AND(OR($A1911=21,$A1911=215),$AJ1911=10),"④一般",IF(AND($A1911=31,$AJ1911=41),"⑤短期","対象外")))))</f>
      </c>
      <c r="DC1911" s="2909">
        <f>IF($A1911="","",IF($AB1911&amp;""='DB_設定'!$C$4,1,0))</f>
      </c>
    </row>
    <row r="1912">
      <c r="DB1912" s="2909">
        <f>IF($A1912="","",IF($AH1912=20,IF(AND(OR($A1912=21,$A1912=215),$AJ1912=10),"①病院一般",IF(AND($A1912=31,$AJ1912=41),"②病院短期","対象外")),IF($AJ1912=30,"③特定消防",IF(AND(OR($A1912=21,$A1912=215),$AJ1912=10),"④一般",IF(AND($A1912=31,$AJ1912=41),"⑤短期","対象外")))))</f>
      </c>
      <c r="DC1912" s="2909">
        <f>IF($A1912="","",IF($AB1912&amp;""='DB_設定'!$C$4,1,0))</f>
      </c>
    </row>
    <row r="1913">
      <c r="DB1913" s="2909">
        <f>IF($A1913="","",IF($AH1913=20,IF(AND(OR($A1913=21,$A1913=215),$AJ1913=10),"①病院一般",IF(AND($A1913=31,$AJ1913=41),"②病院短期","対象外")),IF($AJ1913=30,"③特定消防",IF(AND(OR($A1913=21,$A1913=215),$AJ1913=10),"④一般",IF(AND($A1913=31,$AJ1913=41),"⑤短期","対象外")))))</f>
      </c>
      <c r="DC1913" s="2909">
        <f>IF($A1913="","",IF($AB1913&amp;""='DB_設定'!$C$4,1,0))</f>
      </c>
    </row>
    <row r="1914">
      <c r="DB1914" s="2909">
        <f>IF($A1914="","",IF($AH1914=20,IF(AND(OR($A1914=21,$A1914=215),$AJ1914=10),"①病院一般",IF(AND($A1914=31,$AJ1914=41),"②病院短期","対象外")),IF($AJ1914=30,"③特定消防",IF(AND(OR($A1914=21,$A1914=215),$AJ1914=10),"④一般",IF(AND($A1914=31,$AJ1914=41),"⑤短期","対象外")))))</f>
      </c>
      <c r="DC1914" s="2909">
        <f>IF($A1914="","",IF($AB1914&amp;""='DB_設定'!$C$4,1,0))</f>
      </c>
    </row>
    <row r="1915">
      <c r="DB1915" s="2909">
        <f>IF($A1915="","",IF($AH1915=20,IF(AND(OR($A1915=21,$A1915=215),$AJ1915=10),"①病院一般",IF(AND($A1915=31,$AJ1915=41),"②病院短期","対象外")),IF($AJ1915=30,"③特定消防",IF(AND(OR($A1915=21,$A1915=215),$AJ1915=10),"④一般",IF(AND($A1915=31,$AJ1915=41),"⑤短期","対象外")))))</f>
      </c>
      <c r="DC1915" s="2909">
        <f>IF($A1915="","",IF($AB1915&amp;""='DB_設定'!$C$4,1,0))</f>
      </c>
    </row>
    <row r="1916">
      <c r="DB1916" s="2909">
        <f>IF($A1916="","",IF($AH1916=20,IF(AND(OR($A1916=21,$A1916=215),$AJ1916=10),"①病院一般",IF(AND($A1916=31,$AJ1916=41),"②病院短期","対象外")),IF($AJ1916=30,"③特定消防",IF(AND(OR($A1916=21,$A1916=215),$AJ1916=10),"④一般",IF(AND($A1916=31,$AJ1916=41),"⑤短期","対象外")))))</f>
      </c>
      <c r="DC1916" s="2909">
        <f>IF($A1916="","",IF($AB1916&amp;""='DB_設定'!$C$4,1,0))</f>
      </c>
    </row>
    <row r="1917">
      <c r="DB1917" s="2909">
        <f>IF($A1917="","",IF($AH1917=20,IF(AND(OR($A1917=21,$A1917=215),$AJ1917=10),"①病院一般",IF(AND($A1917=31,$AJ1917=41),"②病院短期","対象外")),IF($AJ1917=30,"③特定消防",IF(AND(OR($A1917=21,$A1917=215),$AJ1917=10),"④一般",IF(AND($A1917=31,$AJ1917=41),"⑤短期","対象外")))))</f>
      </c>
      <c r="DC1917" s="2909">
        <f>IF($A1917="","",IF($AB1917&amp;""='DB_設定'!$C$4,1,0))</f>
      </c>
    </row>
    <row r="1918">
      <c r="DB1918" s="2909">
        <f>IF($A1918="","",IF($AH1918=20,IF(AND(OR($A1918=21,$A1918=215),$AJ1918=10),"①病院一般",IF(AND($A1918=31,$AJ1918=41),"②病院短期","対象外")),IF($AJ1918=30,"③特定消防",IF(AND(OR($A1918=21,$A1918=215),$AJ1918=10),"④一般",IF(AND($A1918=31,$AJ1918=41),"⑤短期","対象外")))))</f>
      </c>
      <c r="DC1918" s="2909">
        <f>IF($A1918="","",IF($AB1918&amp;""='DB_設定'!$C$4,1,0))</f>
      </c>
    </row>
    <row r="1919">
      <c r="DB1919" s="2909">
        <f>IF($A1919="","",IF($AH1919=20,IF(AND(OR($A1919=21,$A1919=215),$AJ1919=10),"①病院一般",IF(AND($A1919=31,$AJ1919=41),"②病院短期","対象外")),IF($AJ1919=30,"③特定消防",IF(AND(OR($A1919=21,$A1919=215),$AJ1919=10),"④一般",IF(AND($A1919=31,$AJ1919=41),"⑤短期","対象外")))))</f>
      </c>
      <c r="DC1919" s="2909">
        <f>IF($A1919="","",IF($AB1919&amp;""='DB_設定'!$C$4,1,0))</f>
      </c>
    </row>
    <row r="1920">
      <c r="DB1920" s="2909">
        <f>IF($A1920="","",IF($AH1920=20,IF(AND(OR($A1920=21,$A1920=215),$AJ1920=10),"①病院一般",IF(AND($A1920=31,$AJ1920=41),"②病院短期","対象外")),IF($AJ1920=30,"③特定消防",IF(AND(OR($A1920=21,$A1920=215),$AJ1920=10),"④一般",IF(AND($A1920=31,$AJ1920=41),"⑤短期","対象外")))))</f>
      </c>
      <c r="DC1920" s="2909">
        <f>IF($A1920="","",IF($AB1920&amp;""='DB_設定'!$C$4,1,0))</f>
      </c>
    </row>
    <row r="1921">
      <c r="DB1921" s="2909">
        <f>IF($A1921="","",IF($AH1921=20,IF(AND(OR($A1921=21,$A1921=215),$AJ1921=10),"①病院一般",IF(AND($A1921=31,$AJ1921=41),"②病院短期","対象外")),IF($AJ1921=30,"③特定消防",IF(AND(OR($A1921=21,$A1921=215),$AJ1921=10),"④一般",IF(AND($A1921=31,$AJ1921=41),"⑤短期","対象外")))))</f>
      </c>
      <c r="DC1921" s="2909">
        <f>IF($A1921="","",IF($AB1921&amp;""='DB_設定'!$C$4,1,0))</f>
      </c>
    </row>
    <row r="1922">
      <c r="DB1922" s="2909">
        <f>IF($A1922="","",IF($AH1922=20,IF(AND(OR($A1922=21,$A1922=215),$AJ1922=10),"①病院一般",IF(AND($A1922=31,$AJ1922=41),"②病院短期","対象外")),IF($AJ1922=30,"③特定消防",IF(AND(OR($A1922=21,$A1922=215),$AJ1922=10),"④一般",IF(AND($A1922=31,$AJ1922=41),"⑤短期","対象外")))))</f>
      </c>
      <c r="DC1922" s="2909">
        <f>IF($A1922="","",IF($AB1922&amp;""='DB_設定'!$C$4,1,0))</f>
      </c>
    </row>
    <row r="1923">
      <c r="DB1923" s="2909">
        <f>IF($A1923="","",IF($AH1923=20,IF(AND(OR($A1923=21,$A1923=215),$AJ1923=10),"①病院一般",IF(AND($A1923=31,$AJ1923=41),"②病院短期","対象外")),IF($AJ1923=30,"③特定消防",IF(AND(OR($A1923=21,$A1923=215),$AJ1923=10),"④一般",IF(AND($A1923=31,$AJ1923=41),"⑤短期","対象外")))))</f>
      </c>
      <c r="DC1923" s="2909">
        <f>IF($A1923="","",IF($AB1923&amp;""='DB_設定'!$C$4,1,0))</f>
      </c>
    </row>
    <row r="1924">
      <c r="DB1924" s="2909">
        <f>IF($A1924="","",IF($AH1924=20,IF(AND(OR($A1924=21,$A1924=215),$AJ1924=10),"①病院一般",IF(AND($A1924=31,$AJ1924=41),"②病院短期","対象外")),IF($AJ1924=30,"③特定消防",IF(AND(OR($A1924=21,$A1924=215),$AJ1924=10),"④一般",IF(AND($A1924=31,$AJ1924=41),"⑤短期","対象外")))))</f>
      </c>
      <c r="DC1924" s="2909">
        <f>IF($A1924="","",IF($AB1924&amp;""='DB_設定'!$C$4,1,0))</f>
      </c>
    </row>
    <row r="1925">
      <c r="DB1925" s="2909">
        <f>IF($A1925="","",IF($AH1925=20,IF(AND(OR($A1925=21,$A1925=215),$AJ1925=10),"①病院一般",IF(AND($A1925=31,$AJ1925=41),"②病院短期","対象外")),IF($AJ1925=30,"③特定消防",IF(AND(OR($A1925=21,$A1925=215),$AJ1925=10),"④一般",IF(AND($A1925=31,$AJ1925=41),"⑤短期","対象外")))))</f>
      </c>
      <c r="DC1925" s="2909">
        <f>IF($A1925="","",IF($AB1925&amp;""='DB_設定'!$C$4,1,0))</f>
      </c>
    </row>
    <row r="1926">
      <c r="DB1926" s="2909">
        <f>IF($A1926="","",IF($AH1926=20,IF(AND(OR($A1926=21,$A1926=215),$AJ1926=10),"①病院一般",IF(AND($A1926=31,$AJ1926=41),"②病院短期","対象外")),IF($AJ1926=30,"③特定消防",IF(AND(OR($A1926=21,$A1926=215),$AJ1926=10),"④一般",IF(AND($A1926=31,$AJ1926=41),"⑤短期","対象外")))))</f>
      </c>
      <c r="DC1926" s="2909">
        <f>IF($A1926="","",IF($AB1926&amp;""='DB_設定'!$C$4,1,0))</f>
      </c>
    </row>
    <row r="1927">
      <c r="DB1927" s="2909">
        <f>IF($A1927="","",IF($AH1927=20,IF(AND(OR($A1927=21,$A1927=215),$AJ1927=10),"①病院一般",IF(AND($A1927=31,$AJ1927=41),"②病院短期","対象外")),IF($AJ1927=30,"③特定消防",IF(AND(OR($A1927=21,$A1927=215),$AJ1927=10),"④一般",IF(AND($A1927=31,$AJ1927=41),"⑤短期","対象外")))))</f>
      </c>
      <c r="DC1927" s="2909">
        <f>IF($A1927="","",IF($AB1927&amp;""='DB_設定'!$C$4,1,0))</f>
      </c>
    </row>
    <row r="1928">
      <c r="DB1928" s="2909">
        <f>IF($A1928="","",IF($AH1928=20,IF(AND(OR($A1928=21,$A1928=215),$AJ1928=10),"①病院一般",IF(AND($A1928=31,$AJ1928=41),"②病院短期","対象外")),IF($AJ1928=30,"③特定消防",IF(AND(OR($A1928=21,$A1928=215),$AJ1928=10),"④一般",IF(AND($A1928=31,$AJ1928=41),"⑤短期","対象外")))))</f>
      </c>
      <c r="DC1928" s="2909">
        <f>IF($A1928="","",IF($AB1928&amp;""='DB_設定'!$C$4,1,0))</f>
      </c>
    </row>
    <row r="1929">
      <c r="DB1929" s="2909">
        <f>IF($A1929="","",IF($AH1929=20,IF(AND(OR($A1929=21,$A1929=215),$AJ1929=10),"①病院一般",IF(AND($A1929=31,$AJ1929=41),"②病院短期","対象外")),IF($AJ1929=30,"③特定消防",IF(AND(OR($A1929=21,$A1929=215),$AJ1929=10),"④一般",IF(AND($A1929=31,$AJ1929=41),"⑤短期","対象外")))))</f>
      </c>
      <c r="DC1929" s="2909">
        <f>IF($A1929="","",IF($AB1929&amp;""='DB_設定'!$C$4,1,0))</f>
      </c>
    </row>
    <row r="1930">
      <c r="DB1930" s="2909">
        <f>IF($A1930="","",IF($AH1930=20,IF(AND(OR($A1930=21,$A1930=215),$AJ1930=10),"①病院一般",IF(AND($A1930=31,$AJ1930=41),"②病院短期","対象外")),IF($AJ1930=30,"③特定消防",IF(AND(OR($A1930=21,$A1930=215),$AJ1930=10),"④一般",IF(AND($A1930=31,$AJ1930=41),"⑤短期","対象外")))))</f>
      </c>
      <c r="DC1930" s="2909">
        <f>IF($A1930="","",IF($AB1930&amp;""='DB_設定'!$C$4,1,0))</f>
      </c>
    </row>
    <row r="1931">
      <c r="DB1931" s="2909">
        <f>IF($A1931="","",IF($AH1931=20,IF(AND(OR($A1931=21,$A1931=215),$AJ1931=10),"①病院一般",IF(AND($A1931=31,$AJ1931=41),"②病院短期","対象外")),IF($AJ1931=30,"③特定消防",IF(AND(OR($A1931=21,$A1931=215),$AJ1931=10),"④一般",IF(AND($A1931=31,$AJ1931=41),"⑤短期","対象外")))))</f>
      </c>
      <c r="DC1931" s="2909">
        <f>IF($A1931="","",IF($AB1931&amp;""='DB_設定'!$C$4,1,0))</f>
      </c>
    </row>
    <row r="1932">
      <c r="DB1932" s="2909">
        <f>IF($A1932="","",IF($AH1932=20,IF(AND(OR($A1932=21,$A1932=215),$AJ1932=10),"①病院一般",IF(AND($A1932=31,$AJ1932=41),"②病院短期","対象外")),IF($AJ1932=30,"③特定消防",IF(AND(OR($A1932=21,$A1932=215),$AJ1932=10),"④一般",IF(AND($A1932=31,$AJ1932=41),"⑤短期","対象外")))))</f>
      </c>
      <c r="DC1932" s="2909">
        <f>IF($A1932="","",IF($AB1932&amp;""='DB_設定'!$C$4,1,0))</f>
      </c>
    </row>
    <row r="1933">
      <c r="DB1933" s="2909">
        <f>IF($A1933="","",IF($AH1933=20,IF(AND(OR($A1933=21,$A1933=215),$AJ1933=10),"①病院一般",IF(AND($A1933=31,$AJ1933=41),"②病院短期","対象外")),IF($AJ1933=30,"③特定消防",IF(AND(OR($A1933=21,$A1933=215),$AJ1933=10),"④一般",IF(AND($A1933=31,$AJ1933=41),"⑤短期","対象外")))))</f>
      </c>
      <c r="DC1933" s="2909">
        <f>IF($A1933="","",IF($AB1933&amp;""='DB_設定'!$C$4,1,0))</f>
      </c>
    </row>
    <row r="1934">
      <c r="DB1934" s="2909">
        <f>IF($A1934="","",IF($AH1934=20,IF(AND(OR($A1934=21,$A1934=215),$AJ1934=10),"①病院一般",IF(AND($A1934=31,$AJ1934=41),"②病院短期","対象外")),IF($AJ1934=30,"③特定消防",IF(AND(OR($A1934=21,$A1934=215),$AJ1934=10),"④一般",IF(AND($A1934=31,$AJ1934=41),"⑤短期","対象外")))))</f>
      </c>
      <c r="DC1934" s="2909">
        <f>IF($A1934="","",IF($AB1934&amp;""='DB_設定'!$C$4,1,0))</f>
      </c>
    </row>
    <row r="1935">
      <c r="DB1935" s="2909">
        <f>IF($A1935="","",IF($AH1935=20,IF(AND(OR($A1935=21,$A1935=215),$AJ1935=10),"①病院一般",IF(AND($A1935=31,$AJ1935=41),"②病院短期","対象外")),IF($AJ1935=30,"③特定消防",IF(AND(OR($A1935=21,$A1935=215),$AJ1935=10),"④一般",IF(AND($A1935=31,$AJ1935=41),"⑤短期","対象外")))))</f>
      </c>
      <c r="DC1935" s="2909">
        <f>IF($A1935="","",IF($AB1935&amp;""='DB_設定'!$C$4,1,0))</f>
      </c>
    </row>
    <row r="1936">
      <c r="DB1936" s="2909">
        <f>IF($A1936="","",IF($AH1936=20,IF(AND(OR($A1936=21,$A1936=215),$AJ1936=10),"①病院一般",IF(AND($A1936=31,$AJ1936=41),"②病院短期","対象外")),IF($AJ1936=30,"③特定消防",IF(AND(OR($A1936=21,$A1936=215),$AJ1936=10),"④一般",IF(AND($A1936=31,$AJ1936=41),"⑤短期","対象外")))))</f>
      </c>
      <c r="DC1936" s="2909">
        <f>IF($A1936="","",IF($AB1936&amp;""='DB_設定'!$C$4,1,0))</f>
      </c>
    </row>
    <row r="1937">
      <c r="DB1937" s="2909">
        <f>IF($A1937="","",IF($AH1937=20,IF(AND(OR($A1937=21,$A1937=215),$AJ1937=10),"①病院一般",IF(AND($A1937=31,$AJ1937=41),"②病院短期","対象外")),IF($AJ1937=30,"③特定消防",IF(AND(OR($A1937=21,$A1937=215),$AJ1937=10),"④一般",IF(AND($A1937=31,$AJ1937=41),"⑤短期","対象外")))))</f>
      </c>
      <c r="DC1937" s="2909">
        <f>IF($A1937="","",IF($AB1937&amp;""='DB_設定'!$C$4,1,0))</f>
      </c>
    </row>
    <row r="1938">
      <c r="DB1938" s="2909">
        <f>IF($A1938="","",IF($AH1938=20,IF(AND(OR($A1938=21,$A1938=215),$AJ1938=10),"①病院一般",IF(AND($A1938=31,$AJ1938=41),"②病院短期","対象外")),IF($AJ1938=30,"③特定消防",IF(AND(OR($A1938=21,$A1938=215),$AJ1938=10),"④一般",IF(AND($A1938=31,$AJ1938=41),"⑤短期","対象外")))))</f>
      </c>
      <c r="DC1938" s="2909">
        <f>IF($A1938="","",IF($AB1938&amp;""='DB_設定'!$C$4,1,0))</f>
      </c>
    </row>
    <row r="1939">
      <c r="DB1939" s="2909">
        <f>IF($A1939="","",IF($AH1939=20,IF(AND(OR($A1939=21,$A1939=215),$AJ1939=10),"①病院一般",IF(AND($A1939=31,$AJ1939=41),"②病院短期","対象外")),IF($AJ1939=30,"③特定消防",IF(AND(OR($A1939=21,$A1939=215),$AJ1939=10),"④一般",IF(AND($A1939=31,$AJ1939=41),"⑤短期","対象外")))))</f>
      </c>
      <c r="DC1939" s="2909">
        <f>IF($A1939="","",IF($AB1939&amp;""='DB_設定'!$C$4,1,0))</f>
      </c>
    </row>
    <row r="1940">
      <c r="DB1940" s="2909">
        <f>IF($A1940="","",IF($AH1940=20,IF(AND(OR($A1940=21,$A1940=215),$AJ1940=10),"①病院一般",IF(AND($A1940=31,$AJ1940=41),"②病院短期","対象外")),IF($AJ1940=30,"③特定消防",IF(AND(OR($A1940=21,$A1940=215),$AJ1940=10),"④一般",IF(AND($A1940=31,$AJ1940=41),"⑤短期","対象外")))))</f>
      </c>
      <c r="DC1940" s="2909">
        <f>IF($A1940="","",IF($AB1940&amp;""='DB_設定'!$C$4,1,0))</f>
      </c>
    </row>
    <row r="1941">
      <c r="DB1941" s="2909">
        <f>IF($A1941="","",IF($AH1941=20,IF(AND(OR($A1941=21,$A1941=215),$AJ1941=10),"①病院一般",IF(AND($A1941=31,$AJ1941=41),"②病院短期","対象外")),IF($AJ1941=30,"③特定消防",IF(AND(OR($A1941=21,$A1941=215),$AJ1941=10),"④一般",IF(AND($A1941=31,$AJ1941=41),"⑤短期","対象外")))))</f>
      </c>
      <c r="DC1941" s="2909">
        <f>IF($A1941="","",IF($AB1941&amp;""='DB_設定'!$C$4,1,0))</f>
      </c>
    </row>
    <row r="1942">
      <c r="DB1942" s="2909">
        <f>IF($A1942="","",IF($AH1942=20,IF(AND(OR($A1942=21,$A1942=215),$AJ1942=10),"①病院一般",IF(AND($A1942=31,$AJ1942=41),"②病院短期","対象外")),IF($AJ1942=30,"③特定消防",IF(AND(OR($A1942=21,$A1942=215),$AJ1942=10),"④一般",IF(AND($A1942=31,$AJ1942=41),"⑤短期","対象外")))))</f>
      </c>
      <c r="DC1942" s="2909">
        <f>IF($A1942="","",IF($AB1942&amp;""='DB_設定'!$C$4,1,0))</f>
      </c>
    </row>
    <row r="1943">
      <c r="DB1943" s="2909">
        <f>IF($A1943="","",IF($AH1943=20,IF(AND(OR($A1943=21,$A1943=215),$AJ1943=10),"①病院一般",IF(AND($A1943=31,$AJ1943=41),"②病院短期","対象外")),IF($AJ1943=30,"③特定消防",IF(AND(OR($A1943=21,$A1943=215),$AJ1943=10),"④一般",IF(AND($A1943=31,$AJ1943=41),"⑤短期","対象外")))))</f>
      </c>
      <c r="DC1943" s="2909">
        <f>IF($A1943="","",IF($AB1943&amp;""='DB_設定'!$C$4,1,0))</f>
      </c>
    </row>
    <row r="1944">
      <c r="DB1944" s="2909">
        <f>IF($A1944="","",IF($AH1944=20,IF(AND(OR($A1944=21,$A1944=215),$AJ1944=10),"①病院一般",IF(AND($A1944=31,$AJ1944=41),"②病院短期","対象外")),IF($AJ1944=30,"③特定消防",IF(AND(OR($A1944=21,$A1944=215),$AJ1944=10),"④一般",IF(AND($A1944=31,$AJ1944=41),"⑤短期","対象外")))))</f>
      </c>
      <c r="DC1944" s="2909">
        <f>IF($A1944="","",IF($AB1944&amp;""='DB_設定'!$C$4,1,0))</f>
      </c>
    </row>
    <row r="1945">
      <c r="DB1945" s="2909">
        <f>IF($A1945="","",IF($AH1945=20,IF(AND(OR($A1945=21,$A1945=215),$AJ1945=10),"①病院一般",IF(AND($A1945=31,$AJ1945=41),"②病院短期","対象外")),IF($AJ1945=30,"③特定消防",IF(AND(OR($A1945=21,$A1945=215),$AJ1945=10),"④一般",IF(AND($A1945=31,$AJ1945=41),"⑤短期","対象外")))))</f>
      </c>
      <c r="DC1945" s="2909">
        <f>IF($A1945="","",IF($AB1945&amp;""='DB_設定'!$C$4,1,0))</f>
      </c>
    </row>
    <row r="1946">
      <c r="DB1946" s="2909">
        <f>IF($A1946="","",IF($AH1946=20,IF(AND(OR($A1946=21,$A1946=215),$AJ1946=10),"①病院一般",IF(AND($A1946=31,$AJ1946=41),"②病院短期","対象外")),IF($AJ1946=30,"③特定消防",IF(AND(OR($A1946=21,$A1946=215),$AJ1946=10),"④一般",IF(AND($A1946=31,$AJ1946=41),"⑤短期","対象外")))))</f>
      </c>
      <c r="DC1946" s="2909">
        <f>IF($A1946="","",IF($AB1946&amp;""='DB_設定'!$C$4,1,0))</f>
      </c>
    </row>
    <row r="1947">
      <c r="DB1947" s="2909">
        <f>IF($A1947="","",IF($AH1947=20,IF(AND(OR($A1947=21,$A1947=215),$AJ1947=10),"①病院一般",IF(AND($A1947=31,$AJ1947=41),"②病院短期","対象外")),IF($AJ1947=30,"③特定消防",IF(AND(OR($A1947=21,$A1947=215),$AJ1947=10),"④一般",IF(AND($A1947=31,$AJ1947=41),"⑤短期","対象外")))))</f>
      </c>
      <c r="DC1947" s="2909">
        <f>IF($A1947="","",IF($AB1947&amp;""='DB_設定'!$C$4,1,0))</f>
      </c>
    </row>
    <row r="1948">
      <c r="DB1948" s="2909">
        <f>IF($A1948="","",IF($AH1948=20,IF(AND(OR($A1948=21,$A1948=215),$AJ1948=10),"①病院一般",IF(AND($A1948=31,$AJ1948=41),"②病院短期","対象外")),IF($AJ1948=30,"③特定消防",IF(AND(OR($A1948=21,$A1948=215),$AJ1948=10),"④一般",IF(AND($A1948=31,$AJ1948=41),"⑤短期","対象外")))))</f>
      </c>
      <c r="DC1948" s="2909">
        <f>IF($A1948="","",IF($AB1948&amp;""='DB_設定'!$C$4,1,0))</f>
      </c>
    </row>
    <row r="1949">
      <c r="DB1949" s="2909">
        <f>IF($A1949="","",IF($AH1949=20,IF(AND(OR($A1949=21,$A1949=215),$AJ1949=10),"①病院一般",IF(AND($A1949=31,$AJ1949=41),"②病院短期","対象外")),IF($AJ1949=30,"③特定消防",IF(AND(OR($A1949=21,$A1949=215),$AJ1949=10),"④一般",IF(AND($A1949=31,$AJ1949=41),"⑤短期","対象外")))))</f>
      </c>
      <c r="DC1949" s="2909">
        <f>IF($A1949="","",IF($AB1949&amp;""='DB_設定'!$C$4,1,0))</f>
      </c>
    </row>
    <row r="1950">
      <c r="DB1950" s="2909">
        <f>IF($A1950="","",IF($AH1950=20,IF(AND(OR($A1950=21,$A1950=215),$AJ1950=10),"①病院一般",IF(AND($A1950=31,$AJ1950=41),"②病院短期","対象外")),IF($AJ1950=30,"③特定消防",IF(AND(OR($A1950=21,$A1950=215),$AJ1950=10),"④一般",IF(AND($A1950=31,$AJ1950=41),"⑤短期","対象外")))))</f>
      </c>
      <c r="DC1950" s="2909">
        <f>IF($A1950="","",IF($AB1950&amp;""='DB_設定'!$C$4,1,0))</f>
      </c>
    </row>
    <row r="1951">
      <c r="DB1951" s="2909">
        <f>IF($A1951="","",IF($AH1951=20,IF(AND(OR($A1951=21,$A1951=215),$AJ1951=10),"①病院一般",IF(AND($A1951=31,$AJ1951=41),"②病院短期","対象外")),IF($AJ1951=30,"③特定消防",IF(AND(OR($A1951=21,$A1951=215),$AJ1951=10),"④一般",IF(AND($A1951=31,$AJ1951=41),"⑤短期","対象外")))))</f>
      </c>
      <c r="DC1951" s="2909">
        <f>IF($A1951="","",IF($AB1951&amp;""='DB_設定'!$C$4,1,0))</f>
      </c>
    </row>
    <row r="1952">
      <c r="DB1952" s="2909">
        <f>IF($A1952="","",IF($AH1952=20,IF(AND(OR($A1952=21,$A1952=215),$AJ1952=10),"①病院一般",IF(AND($A1952=31,$AJ1952=41),"②病院短期","対象外")),IF($AJ1952=30,"③特定消防",IF(AND(OR($A1952=21,$A1952=215),$AJ1952=10),"④一般",IF(AND($A1952=31,$AJ1952=41),"⑤短期","対象外")))))</f>
      </c>
      <c r="DC1952" s="2909">
        <f>IF($A1952="","",IF($AB1952&amp;""='DB_設定'!$C$4,1,0))</f>
      </c>
    </row>
    <row r="1953">
      <c r="DB1953" s="2909">
        <f>IF($A1953="","",IF($AH1953=20,IF(AND(OR($A1953=21,$A1953=215),$AJ1953=10),"①病院一般",IF(AND($A1953=31,$AJ1953=41),"②病院短期","対象外")),IF($AJ1953=30,"③特定消防",IF(AND(OR($A1953=21,$A1953=215),$AJ1953=10),"④一般",IF(AND($A1953=31,$AJ1953=41),"⑤短期","対象外")))))</f>
      </c>
      <c r="DC1953" s="2909">
        <f>IF($A1953="","",IF($AB1953&amp;""='DB_設定'!$C$4,1,0))</f>
      </c>
    </row>
    <row r="1954">
      <c r="DB1954" s="2909">
        <f>IF($A1954="","",IF($AH1954=20,IF(AND(OR($A1954=21,$A1954=215),$AJ1954=10),"①病院一般",IF(AND($A1954=31,$AJ1954=41),"②病院短期","対象外")),IF($AJ1954=30,"③特定消防",IF(AND(OR($A1954=21,$A1954=215),$AJ1954=10),"④一般",IF(AND($A1954=31,$AJ1954=41),"⑤短期","対象外")))))</f>
      </c>
      <c r="DC1954" s="2909">
        <f>IF($A1954="","",IF($AB1954&amp;""='DB_設定'!$C$4,1,0))</f>
      </c>
    </row>
    <row r="1955">
      <c r="DB1955" s="2909">
        <f>IF($A1955="","",IF($AH1955=20,IF(AND(OR($A1955=21,$A1955=215),$AJ1955=10),"①病院一般",IF(AND($A1955=31,$AJ1955=41),"②病院短期","対象外")),IF($AJ1955=30,"③特定消防",IF(AND(OR($A1955=21,$A1955=215),$AJ1955=10),"④一般",IF(AND($A1955=31,$AJ1955=41),"⑤短期","対象外")))))</f>
      </c>
      <c r="DC1955" s="2909">
        <f>IF($A1955="","",IF($AB1955&amp;""='DB_設定'!$C$4,1,0))</f>
      </c>
    </row>
    <row r="1956">
      <c r="DB1956" s="2909">
        <f>IF($A1956="","",IF($AH1956=20,IF(AND(OR($A1956=21,$A1956=215),$AJ1956=10),"①病院一般",IF(AND($A1956=31,$AJ1956=41),"②病院短期","対象外")),IF($AJ1956=30,"③特定消防",IF(AND(OR($A1956=21,$A1956=215),$AJ1956=10),"④一般",IF(AND($A1956=31,$AJ1956=41),"⑤短期","対象外")))))</f>
      </c>
      <c r="DC1956" s="2909">
        <f>IF($A1956="","",IF($AB1956&amp;""='DB_設定'!$C$4,1,0))</f>
      </c>
    </row>
    <row r="1957">
      <c r="DB1957" s="2909">
        <f>IF($A1957="","",IF($AH1957=20,IF(AND(OR($A1957=21,$A1957=215),$AJ1957=10),"①病院一般",IF(AND($A1957=31,$AJ1957=41),"②病院短期","対象外")),IF($AJ1957=30,"③特定消防",IF(AND(OR($A1957=21,$A1957=215),$AJ1957=10),"④一般",IF(AND($A1957=31,$AJ1957=41),"⑤短期","対象外")))))</f>
      </c>
      <c r="DC1957" s="2909">
        <f>IF($A1957="","",IF($AB1957&amp;""='DB_設定'!$C$4,1,0))</f>
      </c>
    </row>
    <row r="1958">
      <c r="DB1958" s="2909">
        <f>IF($A1958="","",IF($AH1958=20,IF(AND(OR($A1958=21,$A1958=215),$AJ1958=10),"①病院一般",IF(AND($A1958=31,$AJ1958=41),"②病院短期","対象外")),IF($AJ1958=30,"③特定消防",IF(AND(OR($A1958=21,$A1958=215),$AJ1958=10),"④一般",IF(AND($A1958=31,$AJ1958=41),"⑤短期","対象外")))))</f>
      </c>
      <c r="DC1958" s="2909">
        <f>IF($A1958="","",IF($AB1958&amp;""='DB_設定'!$C$4,1,0))</f>
      </c>
    </row>
    <row r="1959">
      <c r="DB1959" s="2909">
        <f>IF($A1959="","",IF($AH1959=20,IF(AND(OR($A1959=21,$A1959=215),$AJ1959=10),"①病院一般",IF(AND($A1959=31,$AJ1959=41),"②病院短期","対象外")),IF($AJ1959=30,"③特定消防",IF(AND(OR($A1959=21,$A1959=215),$AJ1959=10),"④一般",IF(AND($A1959=31,$AJ1959=41),"⑤短期","対象外")))))</f>
      </c>
      <c r="DC1959" s="2909">
        <f>IF($A1959="","",IF($AB1959&amp;""='DB_設定'!$C$4,1,0))</f>
      </c>
    </row>
    <row r="1960">
      <c r="DB1960" s="2909">
        <f>IF($A1960="","",IF($AH1960=20,IF(AND(OR($A1960=21,$A1960=215),$AJ1960=10),"①病院一般",IF(AND($A1960=31,$AJ1960=41),"②病院短期","対象外")),IF($AJ1960=30,"③特定消防",IF(AND(OR($A1960=21,$A1960=215),$AJ1960=10),"④一般",IF(AND($A1960=31,$AJ1960=41),"⑤短期","対象外")))))</f>
      </c>
      <c r="DC1960" s="2909">
        <f>IF($A1960="","",IF($AB1960&amp;""='DB_設定'!$C$4,1,0))</f>
      </c>
    </row>
    <row r="1961">
      <c r="DB1961" s="2909">
        <f>IF($A1961="","",IF($AH1961=20,IF(AND(OR($A1961=21,$A1961=215),$AJ1961=10),"①病院一般",IF(AND($A1961=31,$AJ1961=41),"②病院短期","対象外")),IF($AJ1961=30,"③特定消防",IF(AND(OR($A1961=21,$A1961=215),$AJ1961=10),"④一般",IF(AND($A1961=31,$AJ1961=41),"⑤短期","対象外")))))</f>
      </c>
      <c r="DC1961" s="2909">
        <f>IF($A1961="","",IF($AB1961&amp;""='DB_設定'!$C$4,1,0))</f>
      </c>
    </row>
    <row r="1962">
      <c r="DB1962" s="2909">
        <f>IF($A1962="","",IF($AH1962=20,IF(AND(OR($A1962=21,$A1962=215),$AJ1962=10),"①病院一般",IF(AND($A1962=31,$AJ1962=41),"②病院短期","対象外")),IF($AJ1962=30,"③特定消防",IF(AND(OR($A1962=21,$A1962=215),$AJ1962=10),"④一般",IF(AND($A1962=31,$AJ1962=41),"⑤短期","対象外")))))</f>
      </c>
      <c r="DC1962" s="2909">
        <f>IF($A1962="","",IF($AB1962&amp;""='DB_設定'!$C$4,1,0))</f>
      </c>
    </row>
    <row r="1963">
      <c r="DB1963" s="2909">
        <f>IF($A1963="","",IF($AH1963=20,IF(AND(OR($A1963=21,$A1963=215),$AJ1963=10),"①病院一般",IF(AND($A1963=31,$AJ1963=41),"②病院短期","対象外")),IF($AJ1963=30,"③特定消防",IF(AND(OR($A1963=21,$A1963=215),$AJ1963=10),"④一般",IF(AND($A1963=31,$AJ1963=41),"⑤短期","対象外")))))</f>
      </c>
      <c r="DC1963" s="2909">
        <f>IF($A1963="","",IF($AB1963&amp;""='DB_設定'!$C$4,1,0))</f>
      </c>
    </row>
    <row r="1964">
      <c r="DB1964" s="2909">
        <f>IF($A1964="","",IF($AH1964=20,IF(AND(OR($A1964=21,$A1964=215),$AJ1964=10),"①病院一般",IF(AND($A1964=31,$AJ1964=41),"②病院短期","対象外")),IF($AJ1964=30,"③特定消防",IF(AND(OR($A1964=21,$A1964=215),$AJ1964=10),"④一般",IF(AND($A1964=31,$AJ1964=41),"⑤短期","対象外")))))</f>
      </c>
      <c r="DC1964" s="2909">
        <f>IF($A1964="","",IF($AB1964&amp;""='DB_設定'!$C$4,1,0))</f>
      </c>
    </row>
    <row r="1965">
      <c r="DB1965" s="2909">
        <f>IF($A1965="","",IF($AH1965=20,IF(AND(OR($A1965=21,$A1965=215),$AJ1965=10),"①病院一般",IF(AND($A1965=31,$AJ1965=41),"②病院短期","対象外")),IF($AJ1965=30,"③特定消防",IF(AND(OR($A1965=21,$A1965=215),$AJ1965=10),"④一般",IF(AND($A1965=31,$AJ1965=41),"⑤短期","対象外")))))</f>
      </c>
      <c r="DC1965" s="2909">
        <f>IF($A1965="","",IF($AB1965&amp;""='DB_設定'!$C$4,1,0))</f>
      </c>
    </row>
    <row r="1966">
      <c r="DB1966" s="2909">
        <f>IF($A1966="","",IF($AH1966=20,IF(AND(OR($A1966=21,$A1966=215),$AJ1966=10),"①病院一般",IF(AND($A1966=31,$AJ1966=41),"②病院短期","対象外")),IF($AJ1966=30,"③特定消防",IF(AND(OR($A1966=21,$A1966=215),$AJ1966=10),"④一般",IF(AND($A1966=31,$AJ1966=41),"⑤短期","対象外")))))</f>
      </c>
      <c r="DC1966" s="2909">
        <f>IF($A1966="","",IF($AB1966&amp;""='DB_設定'!$C$4,1,0))</f>
      </c>
    </row>
    <row r="1967">
      <c r="DB1967" s="2909">
        <f>IF($A1967="","",IF($AH1967=20,IF(AND(OR($A1967=21,$A1967=215),$AJ1967=10),"①病院一般",IF(AND($A1967=31,$AJ1967=41),"②病院短期","対象外")),IF($AJ1967=30,"③特定消防",IF(AND(OR($A1967=21,$A1967=215),$AJ1967=10),"④一般",IF(AND($A1967=31,$AJ1967=41),"⑤短期","対象外")))))</f>
      </c>
      <c r="DC1967" s="2909">
        <f>IF($A1967="","",IF($AB1967&amp;""='DB_設定'!$C$4,1,0))</f>
      </c>
    </row>
    <row r="1968">
      <c r="DB1968" s="2909">
        <f>IF($A1968="","",IF($AH1968=20,IF(AND(OR($A1968=21,$A1968=215),$AJ1968=10),"①病院一般",IF(AND($A1968=31,$AJ1968=41),"②病院短期","対象外")),IF($AJ1968=30,"③特定消防",IF(AND(OR($A1968=21,$A1968=215),$AJ1968=10),"④一般",IF(AND($A1968=31,$AJ1968=41),"⑤短期","対象外")))))</f>
      </c>
      <c r="DC1968" s="2909">
        <f>IF($A1968="","",IF($AB1968&amp;""='DB_設定'!$C$4,1,0))</f>
      </c>
    </row>
    <row r="1969">
      <c r="DB1969" s="2909">
        <f>IF($A1969="","",IF($AH1969=20,IF(AND(OR($A1969=21,$A1969=215),$AJ1969=10),"①病院一般",IF(AND($A1969=31,$AJ1969=41),"②病院短期","対象外")),IF($AJ1969=30,"③特定消防",IF(AND(OR($A1969=21,$A1969=215),$AJ1969=10),"④一般",IF(AND($A1969=31,$AJ1969=41),"⑤短期","対象外")))))</f>
      </c>
      <c r="DC1969" s="2909">
        <f>IF($A1969="","",IF($AB1969&amp;""='DB_設定'!$C$4,1,0))</f>
      </c>
    </row>
    <row r="1970">
      <c r="DB1970" s="2909">
        <f>IF($A1970="","",IF($AH1970=20,IF(AND(OR($A1970=21,$A1970=215),$AJ1970=10),"①病院一般",IF(AND($A1970=31,$AJ1970=41),"②病院短期","対象外")),IF($AJ1970=30,"③特定消防",IF(AND(OR($A1970=21,$A1970=215),$AJ1970=10),"④一般",IF(AND($A1970=31,$AJ1970=41),"⑤短期","対象外")))))</f>
      </c>
      <c r="DC1970" s="2909">
        <f>IF($A1970="","",IF($AB1970&amp;""='DB_設定'!$C$4,1,0))</f>
      </c>
    </row>
    <row r="1971">
      <c r="DB1971" s="2909">
        <f>IF($A1971="","",IF($AH1971=20,IF(AND(OR($A1971=21,$A1971=215),$AJ1971=10),"①病院一般",IF(AND($A1971=31,$AJ1971=41),"②病院短期","対象外")),IF($AJ1971=30,"③特定消防",IF(AND(OR($A1971=21,$A1971=215),$AJ1971=10),"④一般",IF(AND($A1971=31,$AJ1971=41),"⑤短期","対象外")))))</f>
      </c>
      <c r="DC1971" s="2909">
        <f>IF($A1971="","",IF($AB1971&amp;""='DB_設定'!$C$4,1,0))</f>
      </c>
    </row>
    <row r="1972">
      <c r="DB1972" s="2909">
        <f>IF($A1972="","",IF($AH1972=20,IF(AND(OR($A1972=21,$A1972=215),$AJ1972=10),"①病院一般",IF(AND($A1972=31,$AJ1972=41),"②病院短期","対象外")),IF($AJ1972=30,"③特定消防",IF(AND(OR($A1972=21,$A1972=215),$AJ1972=10),"④一般",IF(AND($A1972=31,$AJ1972=41),"⑤短期","対象外")))))</f>
      </c>
      <c r="DC1972" s="2909">
        <f>IF($A1972="","",IF($AB1972&amp;""='DB_設定'!$C$4,1,0))</f>
      </c>
    </row>
    <row r="1973">
      <c r="DB1973" s="2909">
        <f>IF($A1973="","",IF($AH1973=20,IF(AND(OR($A1973=21,$A1973=215),$AJ1973=10),"①病院一般",IF(AND($A1973=31,$AJ1973=41),"②病院短期","対象外")),IF($AJ1973=30,"③特定消防",IF(AND(OR($A1973=21,$A1973=215),$AJ1973=10),"④一般",IF(AND($A1973=31,$AJ1973=41),"⑤短期","対象外")))))</f>
      </c>
      <c r="DC1973" s="2909">
        <f>IF($A1973="","",IF($AB1973&amp;""='DB_設定'!$C$4,1,0))</f>
      </c>
    </row>
    <row r="1974">
      <c r="DB1974" s="2909">
        <f>IF($A1974="","",IF($AH1974=20,IF(AND(OR($A1974=21,$A1974=215),$AJ1974=10),"①病院一般",IF(AND($A1974=31,$AJ1974=41),"②病院短期","対象外")),IF($AJ1974=30,"③特定消防",IF(AND(OR($A1974=21,$A1974=215),$AJ1974=10),"④一般",IF(AND($A1974=31,$AJ1974=41),"⑤短期","対象外")))))</f>
      </c>
      <c r="DC1974" s="2909">
        <f>IF($A1974="","",IF($AB1974&amp;""='DB_設定'!$C$4,1,0))</f>
      </c>
    </row>
    <row r="1975">
      <c r="DB1975" s="2909">
        <f>IF($A1975="","",IF($AH1975=20,IF(AND(OR($A1975=21,$A1975=215),$AJ1975=10),"①病院一般",IF(AND($A1975=31,$AJ1975=41),"②病院短期","対象外")),IF($AJ1975=30,"③特定消防",IF(AND(OR($A1975=21,$A1975=215),$AJ1975=10),"④一般",IF(AND($A1975=31,$AJ1975=41),"⑤短期","対象外")))))</f>
      </c>
      <c r="DC1975" s="2909">
        <f>IF($A1975="","",IF($AB1975&amp;""='DB_設定'!$C$4,1,0))</f>
      </c>
    </row>
    <row r="1976">
      <c r="DB1976" s="2909">
        <f>IF($A1976="","",IF($AH1976=20,IF(AND(OR($A1976=21,$A1976=215),$AJ1976=10),"①病院一般",IF(AND($A1976=31,$AJ1976=41),"②病院短期","対象外")),IF($AJ1976=30,"③特定消防",IF(AND(OR($A1976=21,$A1976=215),$AJ1976=10),"④一般",IF(AND($A1976=31,$AJ1976=41),"⑤短期","対象外")))))</f>
      </c>
      <c r="DC1976" s="2909">
        <f>IF($A1976="","",IF($AB1976&amp;""='DB_設定'!$C$4,1,0))</f>
      </c>
    </row>
    <row r="1977">
      <c r="DB1977" s="2909">
        <f>IF($A1977="","",IF($AH1977=20,IF(AND(OR($A1977=21,$A1977=215),$AJ1977=10),"①病院一般",IF(AND($A1977=31,$AJ1977=41),"②病院短期","対象外")),IF($AJ1977=30,"③特定消防",IF(AND(OR($A1977=21,$A1977=215),$AJ1977=10),"④一般",IF(AND($A1977=31,$AJ1977=41),"⑤短期","対象外")))))</f>
      </c>
      <c r="DC1977" s="2909">
        <f>IF($A1977="","",IF($AB1977&amp;""='DB_設定'!$C$4,1,0))</f>
      </c>
    </row>
    <row r="1978">
      <c r="DB1978" s="2909">
        <f>IF($A1978="","",IF($AH1978=20,IF(AND(OR($A1978=21,$A1978=215),$AJ1978=10),"①病院一般",IF(AND($A1978=31,$AJ1978=41),"②病院短期","対象外")),IF($AJ1978=30,"③特定消防",IF(AND(OR($A1978=21,$A1978=215),$AJ1978=10),"④一般",IF(AND($A1978=31,$AJ1978=41),"⑤短期","対象外")))))</f>
      </c>
      <c r="DC1978" s="2909">
        <f>IF($A1978="","",IF($AB1978&amp;""='DB_設定'!$C$4,1,0))</f>
      </c>
    </row>
    <row r="1979">
      <c r="DB1979" s="2909">
        <f>IF($A1979="","",IF($AH1979=20,IF(AND(OR($A1979=21,$A1979=215),$AJ1979=10),"①病院一般",IF(AND($A1979=31,$AJ1979=41),"②病院短期","対象外")),IF($AJ1979=30,"③特定消防",IF(AND(OR($A1979=21,$A1979=215),$AJ1979=10),"④一般",IF(AND($A1979=31,$AJ1979=41),"⑤短期","対象外")))))</f>
      </c>
      <c r="DC1979" s="2909">
        <f>IF($A1979="","",IF($AB1979&amp;""='DB_設定'!$C$4,1,0))</f>
      </c>
    </row>
    <row r="1980">
      <c r="DB1980" s="2909">
        <f>IF($A1980="","",IF($AH1980=20,IF(AND(OR($A1980=21,$A1980=215),$AJ1980=10),"①病院一般",IF(AND($A1980=31,$AJ1980=41),"②病院短期","対象外")),IF($AJ1980=30,"③特定消防",IF(AND(OR($A1980=21,$A1980=215),$AJ1980=10),"④一般",IF(AND($A1980=31,$AJ1980=41),"⑤短期","対象外")))))</f>
      </c>
      <c r="DC1980" s="2909">
        <f>IF($A1980="","",IF($AB1980&amp;""='DB_設定'!$C$4,1,0))</f>
      </c>
    </row>
    <row r="1981">
      <c r="DB1981" s="2909">
        <f>IF($A1981="","",IF($AH1981=20,IF(AND(OR($A1981=21,$A1981=215),$AJ1981=10),"①病院一般",IF(AND($A1981=31,$AJ1981=41),"②病院短期","対象外")),IF($AJ1981=30,"③特定消防",IF(AND(OR($A1981=21,$A1981=215),$AJ1981=10),"④一般",IF(AND($A1981=31,$AJ1981=41),"⑤短期","対象外")))))</f>
      </c>
      <c r="DC1981" s="2909">
        <f>IF($A1981="","",IF($AB1981&amp;""='DB_設定'!$C$4,1,0))</f>
      </c>
    </row>
    <row r="1982">
      <c r="DB1982" s="2909">
        <f>IF($A1982="","",IF($AH1982=20,IF(AND(OR($A1982=21,$A1982=215),$AJ1982=10),"①病院一般",IF(AND($A1982=31,$AJ1982=41),"②病院短期","対象外")),IF($AJ1982=30,"③特定消防",IF(AND(OR($A1982=21,$A1982=215),$AJ1982=10),"④一般",IF(AND($A1982=31,$AJ1982=41),"⑤短期","対象外")))))</f>
      </c>
      <c r="DC1982" s="2909">
        <f>IF($A1982="","",IF($AB1982&amp;""='DB_設定'!$C$4,1,0))</f>
      </c>
    </row>
    <row r="1983">
      <c r="DB1983" s="2909">
        <f>IF($A1983="","",IF($AH1983=20,IF(AND(OR($A1983=21,$A1983=215),$AJ1983=10),"①病院一般",IF(AND($A1983=31,$AJ1983=41),"②病院短期","対象外")),IF($AJ1983=30,"③特定消防",IF(AND(OR($A1983=21,$A1983=215),$AJ1983=10),"④一般",IF(AND($A1983=31,$AJ1983=41),"⑤短期","対象外")))))</f>
      </c>
      <c r="DC1983" s="2909">
        <f>IF($A1983="","",IF($AB1983&amp;""='DB_設定'!$C$4,1,0))</f>
      </c>
    </row>
    <row r="1984">
      <c r="DB1984" s="2909">
        <f>IF($A1984="","",IF($AH1984=20,IF(AND(OR($A1984=21,$A1984=215),$AJ1984=10),"①病院一般",IF(AND($A1984=31,$AJ1984=41),"②病院短期","対象外")),IF($AJ1984=30,"③特定消防",IF(AND(OR($A1984=21,$A1984=215),$AJ1984=10),"④一般",IF(AND($A1984=31,$AJ1984=41),"⑤短期","対象外")))))</f>
      </c>
      <c r="DC1984" s="2909">
        <f>IF($A1984="","",IF($AB1984&amp;""='DB_設定'!$C$4,1,0))</f>
      </c>
    </row>
    <row r="1985">
      <c r="DB1985" s="2909">
        <f>IF($A1985="","",IF($AH1985=20,IF(AND(OR($A1985=21,$A1985=215),$AJ1985=10),"①病院一般",IF(AND($A1985=31,$AJ1985=41),"②病院短期","対象外")),IF($AJ1985=30,"③特定消防",IF(AND(OR($A1985=21,$A1985=215),$AJ1985=10),"④一般",IF(AND($A1985=31,$AJ1985=41),"⑤短期","対象外")))))</f>
      </c>
      <c r="DC1985" s="2909">
        <f>IF($A1985="","",IF($AB1985&amp;""='DB_設定'!$C$4,1,0))</f>
      </c>
    </row>
    <row r="1986">
      <c r="DB1986" s="2909">
        <f>IF($A1986="","",IF($AH1986=20,IF(AND(OR($A1986=21,$A1986=215),$AJ1986=10),"①病院一般",IF(AND($A1986=31,$AJ1986=41),"②病院短期","対象外")),IF($AJ1986=30,"③特定消防",IF(AND(OR($A1986=21,$A1986=215),$AJ1986=10),"④一般",IF(AND($A1986=31,$AJ1986=41),"⑤短期","対象外")))))</f>
      </c>
      <c r="DC1986" s="2909">
        <f>IF($A1986="","",IF($AB1986&amp;""='DB_設定'!$C$4,1,0))</f>
      </c>
    </row>
    <row r="1987">
      <c r="DB1987" s="2909">
        <f>IF($A1987="","",IF($AH1987=20,IF(AND(OR($A1987=21,$A1987=215),$AJ1987=10),"①病院一般",IF(AND($A1987=31,$AJ1987=41),"②病院短期","対象外")),IF($AJ1987=30,"③特定消防",IF(AND(OR($A1987=21,$A1987=215),$AJ1987=10),"④一般",IF(AND($A1987=31,$AJ1987=41),"⑤短期","対象外")))))</f>
      </c>
      <c r="DC1987" s="2909">
        <f>IF($A1987="","",IF($AB1987&amp;""='DB_設定'!$C$4,1,0))</f>
      </c>
    </row>
    <row r="1988">
      <c r="DB1988" s="2909">
        <f>IF($A1988="","",IF($AH1988=20,IF(AND(OR($A1988=21,$A1988=215),$AJ1988=10),"①病院一般",IF(AND($A1988=31,$AJ1988=41),"②病院短期","対象外")),IF($AJ1988=30,"③特定消防",IF(AND(OR($A1988=21,$A1988=215),$AJ1988=10),"④一般",IF(AND($A1988=31,$AJ1988=41),"⑤短期","対象外")))))</f>
      </c>
      <c r="DC1988" s="2909">
        <f>IF($A1988="","",IF($AB1988&amp;""='DB_設定'!$C$4,1,0))</f>
      </c>
    </row>
    <row r="1989">
      <c r="DB1989" s="2909">
        <f>IF($A1989="","",IF($AH1989=20,IF(AND(OR($A1989=21,$A1989=215),$AJ1989=10),"①病院一般",IF(AND($A1989=31,$AJ1989=41),"②病院短期","対象外")),IF($AJ1989=30,"③特定消防",IF(AND(OR($A1989=21,$A1989=215),$AJ1989=10),"④一般",IF(AND($A1989=31,$AJ1989=41),"⑤短期","対象外")))))</f>
      </c>
      <c r="DC1989" s="2909">
        <f>IF($A1989="","",IF($AB1989&amp;""='DB_設定'!$C$4,1,0))</f>
      </c>
    </row>
    <row r="1990">
      <c r="DB1990" s="2909">
        <f>IF($A1990="","",IF($AH1990=20,IF(AND(OR($A1990=21,$A1990=215),$AJ1990=10),"①病院一般",IF(AND($A1990=31,$AJ1990=41),"②病院短期","対象外")),IF($AJ1990=30,"③特定消防",IF(AND(OR($A1990=21,$A1990=215),$AJ1990=10),"④一般",IF(AND($A1990=31,$AJ1990=41),"⑤短期","対象外")))))</f>
      </c>
      <c r="DC1990" s="2909">
        <f>IF($A1990="","",IF($AB1990&amp;""='DB_設定'!$C$4,1,0))</f>
      </c>
    </row>
    <row r="1991">
      <c r="DB1991" s="2909">
        <f>IF($A1991="","",IF($AH1991=20,IF(AND(OR($A1991=21,$A1991=215),$AJ1991=10),"①病院一般",IF(AND($A1991=31,$AJ1991=41),"②病院短期","対象外")),IF($AJ1991=30,"③特定消防",IF(AND(OR($A1991=21,$A1991=215),$AJ1991=10),"④一般",IF(AND($A1991=31,$AJ1991=41),"⑤短期","対象外")))))</f>
      </c>
      <c r="DC1991" s="2909">
        <f>IF($A1991="","",IF($AB1991&amp;""='DB_設定'!$C$4,1,0))</f>
      </c>
    </row>
    <row r="1992">
      <c r="DB1992" s="2909">
        <f>IF($A1992="","",IF($AH1992=20,IF(AND(OR($A1992=21,$A1992=215),$AJ1992=10),"①病院一般",IF(AND($A1992=31,$AJ1992=41),"②病院短期","対象外")),IF($AJ1992=30,"③特定消防",IF(AND(OR($A1992=21,$A1992=215),$AJ1992=10),"④一般",IF(AND($A1992=31,$AJ1992=41),"⑤短期","対象外")))))</f>
      </c>
      <c r="DC1992" s="2909">
        <f>IF($A1992="","",IF($AB1992&amp;""='DB_設定'!$C$4,1,0))</f>
      </c>
    </row>
    <row r="1993">
      <c r="DB1993" s="2909">
        <f>IF($A1993="","",IF($AH1993=20,IF(AND(OR($A1993=21,$A1993=215),$AJ1993=10),"①病院一般",IF(AND($A1993=31,$AJ1993=41),"②病院短期","対象外")),IF($AJ1993=30,"③特定消防",IF(AND(OR($A1993=21,$A1993=215),$AJ1993=10),"④一般",IF(AND($A1993=31,$AJ1993=41),"⑤短期","対象外")))))</f>
      </c>
      <c r="DC1993" s="2909">
        <f>IF($A1993="","",IF($AB1993&amp;""='DB_設定'!$C$4,1,0))</f>
      </c>
    </row>
    <row r="1994">
      <c r="DB1994" s="2909">
        <f>IF($A1994="","",IF($AH1994=20,IF(AND(OR($A1994=21,$A1994=215),$AJ1994=10),"①病院一般",IF(AND($A1994=31,$AJ1994=41),"②病院短期","対象外")),IF($AJ1994=30,"③特定消防",IF(AND(OR($A1994=21,$A1994=215),$AJ1994=10),"④一般",IF(AND($A1994=31,$AJ1994=41),"⑤短期","対象外")))))</f>
      </c>
      <c r="DC1994" s="2909">
        <f>IF($A1994="","",IF($AB1994&amp;""='DB_設定'!$C$4,1,0))</f>
      </c>
    </row>
    <row r="1995">
      <c r="DB1995" s="2909">
        <f>IF($A1995="","",IF($AH1995=20,IF(AND(OR($A1995=21,$A1995=215),$AJ1995=10),"①病院一般",IF(AND($A1995=31,$AJ1995=41),"②病院短期","対象外")),IF($AJ1995=30,"③特定消防",IF(AND(OR($A1995=21,$A1995=215),$AJ1995=10),"④一般",IF(AND($A1995=31,$AJ1995=41),"⑤短期","対象外")))))</f>
      </c>
      <c r="DC1995" s="2909">
        <f>IF($A1995="","",IF($AB1995&amp;""='DB_設定'!$C$4,1,0))</f>
      </c>
    </row>
    <row r="1996">
      <c r="DB1996" s="2909">
        <f>IF($A1996="","",IF($AH1996=20,IF(AND(OR($A1996=21,$A1996=215),$AJ1996=10),"①病院一般",IF(AND($A1996=31,$AJ1996=41),"②病院短期","対象外")),IF($AJ1996=30,"③特定消防",IF(AND(OR($A1996=21,$A1996=215),$AJ1996=10),"④一般",IF(AND($A1996=31,$AJ1996=41),"⑤短期","対象外")))))</f>
      </c>
      <c r="DC1996" s="2909">
        <f>IF($A1996="","",IF($AB1996&amp;""='DB_設定'!$C$4,1,0))</f>
      </c>
    </row>
    <row r="1997">
      <c r="DB1997" s="2909">
        <f>IF($A1997="","",IF($AH1997=20,IF(AND(OR($A1997=21,$A1997=215),$AJ1997=10),"①病院一般",IF(AND($A1997=31,$AJ1997=41),"②病院短期","対象外")),IF($AJ1997=30,"③特定消防",IF(AND(OR($A1997=21,$A1997=215),$AJ1997=10),"④一般",IF(AND($A1997=31,$AJ1997=41),"⑤短期","対象外")))))</f>
      </c>
      <c r="DC1997" s="2909">
        <f>IF($A1997="","",IF($AB1997&amp;""='DB_設定'!$C$4,1,0))</f>
      </c>
    </row>
    <row r="1998">
      <c r="DB1998" s="2909">
        <f>IF($A1998="","",IF($AH1998=20,IF(AND(OR($A1998=21,$A1998=215),$AJ1998=10),"①病院一般",IF(AND($A1998=31,$AJ1998=41),"②病院短期","対象外")),IF($AJ1998=30,"③特定消防",IF(AND(OR($A1998=21,$A1998=215),$AJ1998=10),"④一般",IF(AND($A1998=31,$AJ1998=41),"⑤短期","対象外")))))</f>
      </c>
      <c r="DC1998" s="2909">
        <f>IF($A1998="","",IF($AB1998&amp;""='DB_設定'!$C$4,1,0))</f>
      </c>
    </row>
    <row r="1999">
      <c r="DB1999" s="2909">
        <f>IF($A1999="","",IF($AH1999=20,IF(AND(OR($A1999=21,$A1999=215),$AJ1999=10),"①病院一般",IF(AND($A1999=31,$AJ1999=41),"②病院短期","対象外")),IF($AJ1999=30,"③特定消防",IF(AND(OR($A1999=21,$A1999=215),$AJ1999=10),"④一般",IF(AND($A1999=31,$AJ1999=41),"⑤短期","対象外")))))</f>
      </c>
      <c r="DC1999" s="2909">
        <f>IF($A1999="","",IF($AB1999&amp;""='DB_設定'!$C$4,1,0))</f>
      </c>
    </row>
    <row r="2000">
      <c r="DB2000" s="2909">
        <f>IF($A2000="","",IF($AH2000=20,IF(AND(OR($A2000=21,$A2000=215),$AJ2000=10),"①病院一般",IF(AND($A2000=31,$AJ2000=41),"②病院短期","対象外")),IF($AJ2000=30,"③特定消防",IF(AND(OR($A2000=21,$A2000=215),$AJ2000=10),"④一般",IF(AND($A2000=31,$AJ2000=41),"⑤短期","対象外")))))</f>
      </c>
      <c r="DC2000" s="2909">
        <f>IF($A2000="","",IF($AB2000&amp;""='DB_設定'!$C$4,1,0))</f>
      </c>
    </row>
    <row r="2001">
      <c r="DB2001" s="2909">
        <f>IF($A2001="","",IF($AH2001=20,IF(AND(OR($A2001=21,$A2001=215),$AJ2001=10),"①病院一般",IF(AND($A2001=31,$AJ2001=41),"②病院短期","対象外")),IF($AJ2001=30,"③特定消防",IF(AND(OR($A2001=21,$A2001=215),$AJ2001=10),"④一般",IF(AND($A2001=31,$AJ2001=41),"⑤短期","対象外")))))</f>
      </c>
      <c r="DC2001" s="2909">
        <f>IF($A2001="","",IF($AB2001&amp;""='DB_設定'!$C$4,1,0))</f>
      </c>
    </row>
    <row r="2002">
      <c r="DB2002" s="2909">
        <f>IF($A2002="","",IF($AH2002=20,IF(AND(OR($A2002=21,$A2002=215),$AJ2002=10),"①病院一般",IF(AND($A2002=31,$AJ2002=41),"②病院短期","対象外")),IF($AJ2002=30,"③特定消防",IF(AND(OR($A2002=21,$A2002=215),$AJ2002=10),"④一般",IF(AND($A2002=31,$AJ2002=41),"⑤短期","対象外")))))</f>
      </c>
      <c r="DC2002" s="2909">
        <f>IF($A2002="","",IF($AB2002&amp;""='DB_設定'!$C$4,1,0))</f>
      </c>
    </row>
    <row r="2003">
      <c r="DB2003" s="2909">
        <f>IF($A2003="","",IF($AH2003=20,IF(AND(OR($A2003=21,$A2003=215),$AJ2003=10),"①病院一般",IF(AND($A2003=31,$AJ2003=41),"②病院短期","対象外")),IF($AJ2003=30,"③特定消防",IF(AND(OR($A2003=21,$A2003=215),$AJ2003=10),"④一般",IF(AND($A2003=31,$AJ2003=41),"⑤短期","対象外")))))</f>
      </c>
      <c r="DC2003" s="2909">
        <f>IF($A2003="","",IF($AB2003&amp;""='DB_設定'!$C$4,1,0))</f>
      </c>
    </row>
    <row r="2004">
      <c r="DB2004" s="2909">
        <f>IF($A2004="","",IF($AH2004=20,IF(AND(OR($A2004=21,$A2004=215),$AJ2004=10),"①病院一般",IF(AND($A2004=31,$AJ2004=41),"②病院短期","対象外")),IF($AJ2004=30,"③特定消防",IF(AND(OR($A2004=21,$A2004=215),$AJ2004=10),"④一般",IF(AND($A2004=31,$AJ2004=41),"⑤短期","対象外")))))</f>
      </c>
      <c r="DC2004" s="2909">
        <f>IF($A2004="","",IF($AB2004&amp;""='DB_設定'!$C$4,1,0))</f>
      </c>
    </row>
    <row r="2005">
      <c r="DB2005" s="2909">
        <f>IF($A2005="","",IF($AH2005=20,IF(AND(OR($A2005=21,$A2005=215),$AJ2005=10),"①病院一般",IF(AND($A2005=31,$AJ2005=41),"②病院短期","対象外")),IF($AJ2005=30,"③特定消防",IF(AND(OR($A2005=21,$A2005=215),$AJ2005=10),"④一般",IF(AND($A2005=31,$AJ2005=41),"⑤短期","対象外")))))</f>
      </c>
      <c r="DC2005" s="2909">
        <f>IF($A2005="","",IF($AB2005&amp;""='DB_設定'!$C$4,1,0))</f>
      </c>
    </row>
    <row r="2006">
      <c r="DB2006" s="2909">
        <f>IF($A2006="","",IF($AH2006=20,IF(AND(OR($A2006=21,$A2006=215),$AJ2006=10),"①病院一般",IF(AND($A2006=31,$AJ2006=41),"②病院短期","対象外")),IF($AJ2006=30,"③特定消防",IF(AND(OR($A2006=21,$A2006=215),$AJ2006=10),"④一般",IF(AND($A2006=31,$AJ2006=41),"⑤短期","対象外")))))</f>
      </c>
      <c r="DC2006" s="2909">
        <f>IF($A2006="","",IF($AB2006&amp;""='DB_設定'!$C$4,1,0))</f>
      </c>
    </row>
    <row r="2007">
      <c r="DB2007" s="2909">
        <f>IF($A2007="","",IF($AH2007=20,IF(AND(OR($A2007=21,$A2007=215),$AJ2007=10),"①病院一般",IF(AND($A2007=31,$AJ2007=41),"②病院短期","対象外")),IF($AJ2007=30,"③特定消防",IF(AND(OR($A2007=21,$A2007=215),$AJ2007=10),"④一般",IF(AND($A2007=31,$AJ2007=41),"⑤短期","対象外")))))</f>
      </c>
      <c r="DC2007" s="2909">
        <f>IF($A2007="","",IF($AB2007&amp;""='DB_設定'!$C$4,1,0))</f>
      </c>
    </row>
    <row r="2008">
      <c r="DB2008" s="2909">
        <f>IF($A2008="","",IF($AH2008=20,IF(AND(OR($A2008=21,$A2008=215),$AJ2008=10),"①病院一般",IF(AND($A2008=31,$AJ2008=41),"②病院短期","対象外")),IF($AJ2008=30,"③特定消防",IF(AND(OR($A2008=21,$A2008=215),$AJ2008=10),"④一般",IF(AND($A2008=31,$AJ2008=41),"⑤短期","対象外")))))</f>
      </c>
      <c r="DC2008" s="2909">
        <f>IF($A2008="","",IF($AB2008&amp;""='DB_設定'!$C$4,1,0))</f>
      </c>
    </row>
    <row r="2009">
      <c r="DB2009" s="2909">
        <f>IF($A2009="","",IF($AH2009=20,IF(AND(OR($A2009=21,$A2009=215),$AJ2009=10),"①病院一般",IF(AND($A2009=31,$AJ2009=41),"②病院短期","対象外")),IF($AJ2009=30,"③特定消防",IF(AND(OR($A2009=21,$A2009=215),$AJ2009=10),"④一般",IF(AND($A2009=31,$AJ2009=41),"⑤短期","対象外")))))</f>
      </c>
      <c r="DC2009" s="2909">
        <f>IF($A2009="","",IF($AB2009&amp;""='DB_設定'!$C$4,1,0))</f>
      </c>
    </row>
    <row r="2010">
      <c r="DB2010" s="2909">
        <f>IF($A2010="","",IF($AH2010=20,IF(AND(OR($A2010=21,$A2010=215),$AJ2010=10),"①病院一般",IF(AND($A2010=31,$AJ2010=41),"②病院短期","対象外")),IF($AJ2010=30,"③特定消防",IF(AND(OR($A2010=21,$A2010=215),$AJ2010=10),"④一般",IF(AND($A2010=31,$AJ2010=41),"⑤短期","対象外")))))</f>
      </c>
      <c r="DC2010" s="2909">
        <f>IF($A2010="","",IF($AB2010&amp;""='DB_設定'!$C$4,1,0))</f>
      </c>
    </row>
    <row r="2011">
      <c r="DB2011" s="2909">
        <f>IF($A2011="","",IF($AH2011=20,IF(AND(OR($A2011=21,$A2011=215),$AJ2011=10),"①病院一般",IF(AND($A2011=31,$AJ2011=41),"②病院短期","対象外")),IF($AJ2011=30,"③特定消防",IF(AND(OR($A2011=21,$A2011=215),$AJ2011=10),"④一般",IF(AND($A2011=31,$AJ2011=41),"⑤短期","対象外")))))</f>
      </c>
      <c r="DC2011" s="2909">
        <f>IF($A2011="","",IF($AB2011&amp;""='DB_設定'!$C$4,1,0))</f>
      </c>
    </row>
    <row r="2012">
      <c r="DB2012" s="2909">
        <f>IF($A2012="","",IF($AH2012=20,IF(AND(OR($A2012=21,$A2012=215),$AJ2012=10),"①病院一般",IF(AND($A2012=31,$AJ2012=41),"②病院短期","対象外")),IF($AJ2012=30,"③特定消防",IF(AND(OR($A2012=21,$A2012=215),$AJ2012=10),"④一般",IF(AND($A2012=31,$AJ2012=41),"⑤短期","対象外")))))</f>
      </c>
      <c r="DC2012" s="2909">
        <f>IF($A2012="","",IF($AB2012&amp;""='DB_設定'!$C$4,1,0))</f>
      </c>
    </row>
    <row r="2013">
      <c r="DB2013" s="2909">
        <f>IF($A2013="","",IF($AH2013=20,IF(AND(OR($A2013=21,$A2013=215),$AJ2013=10),"①病院一般",IF(AND($A2013=31,$AJ2013=41),"②病院短期","対象外")),IF($AJ2013=30,"③特定消防",IF(AND(OR($A2013=21,$A2013=215),$AJ2013=10),"④一般",IF(AND($A2013=31,$AJ2013=41),"⑤短期","対象外")))))</f>
      </c>
      <c r="DC2013" s="2909">
        <f>IF($A2013="","",IF($AB2013&amp;""='DB_設定'!$C$4,1,0))</f>
      </c>
    </row>
    <row r="2014">
      <c r="DB2014" s="2909">
        <f>IF($A2014="","",IF($AH2014=20,IF(AND(OR($A2014=21,$A2014=215),$AJ2014=10),"①病院一般",IF(AND($A2014=31,$AJ2014=41),"②病院短期","対象外")),IF($AJ2014=30,"③特定消防",IF(AND(OR($A2014=21,$A2014=215),$AJ2014=10),"④一般",IF(AND($A2014=31,$AJ2014=41),"⑤短期","対象外")))))</f>
      </c>
      <c r="DC2014" s="2909">
        <f>IF($A2014="","",IF($AB2014&amp;""='DB_設定'!$C$4,1,0))</f>
      </c>
    </row>
    <row r="2015">
      <c r="DB2015" s="2909">
        <f>IF($A2015="","",IF($AH2015=20,IF(AND(OR($A2015=21,$A2015=215),$AJ2015=10),"①病院一般",IF(AND($A2015=31,$AJ2015=41),"②病院短期","対象外")),IF($AJ2015=30,"③特定消防",IF(AND(OR($A2015=21,$A2015=215),$AJ2015=10),"④一般",IF(AND($A2015=31,$AJ2015=41),"⑤短期","対象外")))))</f>
      </c>
      <c r="DC2015" s="2909">
        <f>IF($A2015="","",IF($AB2015&amp;""='DB_設定'!$C$4,1,0))</f>
      </c>
    </row>
    <row r="2016">
      <c r="DB2016" s="2909">
        <f>IF($A2016="","",IF($AH2016=20,IF(AND(OR($A2016=21,$A2016=215),$AJ2016=10),"①病院一般",IF(AND($A2016=31,$AJ2016=41),"②病院短期","対象外")),IF($AJ2016=30,"③特定消防",IF(AND(OR($A2016=21,$A2016=215),$AJ2016=10),"④一般",IF(AND($A2016=31,$AJ2016=41),"⑤短期","対象外")))))</f>
      </c>
      <c r="DC2016" s="2909">
        <f>IF($A2016="","",IF($AB2016&amp;""='DB_設定'!$C$4,1,0))</f>
      </c>
    </row>
    <row r="2017">
      <c r="DB2017" s="2909">
        <f>IF($A2017="","",IF($AH2017=20,IF(AND(OR($A2017=21,$A2017=215),$AJ2017=10),"①病院一般",IF(AND($A2017=31,$AJ2017=41),"②病院短期","対象外")),IF($AJ2017=30,"③特定消防",IF(AND(OR($A2017=21,$A2017=215),$AJ2017=10),"④一般",IF(AND($A2017=31,$AJ2017=41),"⑤短期","対象外")))))</f>
      </c>
      <c r="DC2017" s="2909">
        <f>IF($A2017="","",IF($AB2017&amp;""='DB_設定'!$C$4,1,0))</f>
      </c>
    </row>
    <row r="2018">
      <c r="DB2018" s="2909">
        <f>IF($A2018="","",IF($AH2018=20,IF(AND(OR($A2018=21,$A2018=215),$AJ2018=10),"①病院一般",IF(AND($A2018=31,$AJ2018=41),"②病院短期","対象外")),IF($AJ2018=30,"③特定消防",IF(AND(OR($A2018=21,$A2018=215),$AJ2018=10),"④一般",IF(AND($A2018=31,$AJ2018=41),"⑤短期","対象外")))))</f>
      </c>
      <c r="DC2018" s="2909">
        <f>IF($A2018="","",IF($AB2018&amp;""='DB_設定'!$C$4,1,0))</f>
      </c>
    </row>
    <row r="2019">
      <c r="DB2019" s="2909">
        <f>IF($A2019="","",IF($AH2019=20,IF(AND(OR($A2019=21,$A2019=215),$AJ2019=10),"①病院一般",IF(AND($A2019=31,$AJ2019=41),"②病院短期","対象外")),IF($AJ2019=30,"③特定消防",IF(AND(OR($A2019=21,$A2019=215),$AJ2019=10),"④一般",IF(AND($A2019=31,$AJ2019=41),"⑤短期","対象外")))))</f>
      </c>
      <c r="DC2019" s="2909">
        <f>IF($A2019="","",IF($AB2019&amp;""='DB_設定'!$C$4,1,0))</f>
      </c>
    </row>
    <row r="2020">
      <c r="DB2020" s="2909">
        <f>IF($A2020="","",IF($AH2020=20,IF(AND(OR($A2020=21,$A2020=215),$AJ2020=10),"①病院一般",IF(AND($A2020=31,$AJ2020=41),"②病院短期","対象外")),IF($AJ2020=30,"③特定消防",IF(AND(OR($A2020=21,$A2020=215),$AJ2020=10),"④一般",IF(AND($A2020=31,$AJ2020=41),"⑤短期","対象外")))))</f>
      </c>
      <c r="DC2020" s="2909">
        <f>IF($A2020="","",IF($AB2020&amp;""='DB_設定'!$C$4,1,0))</f>
      </c>
    </row>
    <row r="2021">
      <c r="DB2021" s="2909">
        <f>IF($A2021="","",IF($AH2021=20,IF(AND(OR($A2021=21,$A2021=215),$AJ2021=10),"①病院一般",IF(AND($A2021=31,$AJ2021=41),"②病院短期","対象外")),IF($AJ2021=30,"③特定消防",IF(AND(OR($A2021=21,$A2021=215),$AJ2021=10),"④一般",IF(AND($A2021=31,$AJ2021=41),"⑤短期","対象外")))))</f>
      </c>
      <c r="DC2021" s="2909">
        <f>IF($A2021="","",IF($AB2021&amp;""='DB_設定'!$C$4,1,0))</f>
      </c>
    </row>
    <row r="2022">
      <c r="DB2022" s="2909">
        <f>IF($A2022="","",IF($AH2022=20,IF(AND(OR($A2022=21,$A2022=215),$AJ2022=10),"①病院一般",IF(AND($A2022=31,$AJ2022=41),"②病院短期","対象外")),IF($AJ2022=30,"③特定消防",IF(AND(OR($A2022=21,$A2022=215),$AJ2022=10),"④一般",IF(AND($A2022=31,$AJ2022=41),"⑤短期","対象外")))))</f>
      </c>
      <c r="DC2022" s="2909">
        <f>IF($A2022="","",IF($AB2022&amp;""='DB_設定'!$C$4,1,0))</f>
      </c>
    </row>
    <row r="2023">
      <c r="DB2023" s="2909">
        <f>IF($A2023="","",IF($AH2023=20,IF(AND(OR($A2023=21,$A2023=215),$AJ2023=10),"①病院一般",IF(AND($A2023=31,$AJ2023=41),"②病院短期","対象外")),IF($AJ2023=30,"③特定消防",IF(AND(OR($A2023=21,$A2023=215),$AJ2023=10),"④一般",IF(AND($A2023=31,$AJ2023=41),"⑤短期","対象外")))))</f>
      </c>
      <c r="DC2023" s="2909">
        <f>IF($A2023="","",IF($AB2023&amp;""='DB_設定'!$C$4,1,0))</f>
      </c>
    </row>
    <row r="2024">
      <c r="DB2024" s="2909">
        <f>IF($A2024="","",IF($AH2024=20,IF(AND(OR($A2024=21,$A2024=215),$AJ2024=10),"①病院一般",IF(AND($A2024=31,$AJ2024=41),"②病院短期","対象外")),IF($AJ2024=30,"③特定消防",IF(AND(OR($A2024=21,$A2024=215),$AJ2024=10),"④一般",IF(AND($A2024=31,$AJ2024=41),"⑤短期","対象外")))))</f>
      </c>
      <c r="DC2024" s="2909">
        <f>IF($A2024="","",IF($AB2024&amp;""='DB_設定'!$C$4,1,0))</f>
      </c>
    </row>
    <row r="2025">
      <c r="DB2025" s="2909">
        <f>IF($A2025="","",IF($AH2025=20,IF(AND(OR($A2025=21,$A2025=215),$AJ2025=10),"①病院一般",IF(AND($A2025=31,$AJ2025=41),"②病院短期","対象外")),IF($AJ2025=30,"③特定消防",IF(AND(OR($A2025=21,$A2025=215),$AJ2025=10),"④一般",IF(AND($A2025=31,$AJ2025=41),"⑤短期","対象外")))))</f>
      </c>
      <c r="DC2025" s="2909">
        <f>IF($A2025="","",IF($AB2025&amp;""='DB_設定'!$C$4,1,0))</f>
      </c>
    </row>
    <row r="2026">
      <c r="DB2026" s="2909">
        <f>IF($A2026="","",IF($AH2026=20,IF(AND(OR($A2026=21,$A2026=215),$AJ2026=10),"①病院一般",IF(AND($A2026=31,$AJ2026=41),"②病院短期","対象外")),IF($AJ2026=30,"③特定消防",IF(AND(OR($A2026=21,$A2026=215),$AJ2026=10),"④一般",IF(AND($A2026=31,$AJ2026=41),"⑤短期","対象外")))))</f>
      </c>
      <c r="DC2026" s="2909">
        <f>IF($A2026="","",IF($AB2026&amp;""='DB_設定'!$C$4,1,0))</f>
      </c>
    </row>
    <row r="2027">
      <c r="DB2027" s="2909">
        <f>IF($A2027="","",IF($AH2027=20,IF(AND(OR($A2027=21,$A2027=215),$AJ2027=10),"①病院一般",IF(AND($A2027=31,$AJ2027=41),"②病院短期","対象外")),IF($AJ2027=30,"③特定消防",IF(AND(OR($A2027=21,$A2027=215),$AJ2027=10),"④一般",IF(AND($A2027=31,$AJ2027=41),"⑤短期","対象外")))))</f>
      </c>
      <c r="DC2027" s="2909">
        <f>IF($A2027="","",IF($AB2027&amp;""='DB_設定'!$C$4,1,0))</f>
      </c>
    </row>
    <row r="2028">
      <c r="DB2028" s="2909">
        <f>IF($A2028="","",IF($AH2028=20,IF(AND(OR($A2028=21,$A2028=215),$AJ2028=10),"①病院一般",IF(AND($A2028=31,$AJ2028=41),"②病院短期","対象外")),IF($AJ2028=30,"③特定消防",IF(AND(OR($A2028=21,$A2028=215),$AJ2028=10),"④一般",IF(AND($A2028=31,$AJ2028=41),"⑤短期","対象外")))))</f>
      </c>
      <c r="DC2028" s="2909">
        <f>IF($A2028="","",IF($AB2028&amp;""='DB_設定'!$C$4,1,0))</f>
      </c>
    </row>
    <row r="2029">
      <c r="DB2029" s="2909">
        <f>IF($A2029="","",IF($AH2029=20,IF(AND(OR($A2029=21,$A2029=215),$AJ2029=10),"①病院一般",IF(AND($A2029=31,$AJ2029=41),"②病院短期","対象外")),IF($AJ2029=30,"③特定消防",IF(AND(OR($A2029=21,$A2029=215),$AJ2029=10),"④一般",IF(AND($A2029=31,$AJ2029=41),"⑤短期","対象外")))))</f>
      </c>
      <c r="DC2029" s="2909">
        <f>IF($A2029="","",IF($AB2029&amp;""='DB_設定'!$C$4,1,0))</f>
      </c>
    </row>
    <row r="2030">
      <c r="DB2030" s="2909">
        <f>IF($A2030="","",IF($AH2030=20,IF(AND(OR($A2030=21,$A2030=215),$AJ2030=10),"①病院一般",IF(AND($A2030=31,$AJ2030=41),"②病院短期","対象外")),IF($AJ2030=30,"③特定消防",IF(AND(OR($A2030=21,$A2030=215),$AJ2030=10),"④一般",IF(AND($A2030=31,$AJ2030=41),"⑤短期","対象外")))))</f>
      </c>
      <c r="DC2030" s="2909">
        <f>IF($A2030="","",IF($AB2030&amp;""='DB_設定'!$C$4,1,0))</f>
      </c>
    </row>
    <row r="2031">
      <c r="DB2031" s="2909">
        <f>IF($A2031="","",IF($AH2031=20,IF(AND(OR($A2031=21,$A2031=215),$AJ2031=10),"①病院一般",IF(AND($A2031=31,$AJ2031=41),"②病院短期","対象外")),IF($AJ2031=30,"③特定消防",IF(AND(OR($A2031=21,$A2031=215),$AJ2031=10),"④一般",IF(AND($A2031=31,$AJ2031=41),"⑤短期","対象外")))))</f>
      </c>
      <c r="DC2031" s="2909">
        <f>IF($A2031="","",IF($AB2031&amp;""='DB_設定'!$C$4,1,0))</f>
      </c>
    </row>
    <row r="2032">
      <c r="DB2032" s="2909">
        <f>IF($A2032="","",IF($AH2032=20,IF(AND(OR($A2032=21,$A2032=215),$AJ2032=10),"①病院一般",IF(AND($A2032=31,$AJ2032=41),"②病院短期","対象外")),IF($AJ2032=30,"③特定消防",IF(AND(OR($A2032=21,$A2032=215),$AJ2032=10),"④一般",IF(AND($A2032=31,$AJ2032=41),"⑤短期","対象外")))))</f>
      </c>
      <c r="DC2032" s="2909">
        <f>IF($A2032="","",IF($AB2032&amp;""='DB_設定'!$C$4,1,0))</f>
      </c>
    </row>
    <row r="2033">
      <c r="DB2033" s="2909">
        <f>IF($A2033="","",IF($AH2033=20,IF(AND(OR($A2033=21,$A2033=215),$AJ2033=10),"①病院一般",IF(AND($A2033=31,$AJ2033=41),"②病院短期","対象外")),IF($AJ2033=30,"③特定消防",IF(AND(OR($A2033=21,$A2033=215),$AJ2033=10),"④一般",IF(AND($A2033=31,$AJ2033=41),"⑤短期","対象外")))))</f>
      </c>
      <c r="DC2033" s="2909">
        <f>IF($A2033="","",IF($AB2033&amp;""='DB_設定'!$C$4,1,0))</f>
      </c>
    </row>
    <row r="2034">
      <c r="DB2034" s="2909">
        <f>IF($A2034="","",IF($AH2034=20,IF(AND(OR($A2034=21,$A2034=215),$AJ2034=10),"①病院一般",IF(AND($A2034=31,$AJ2034=41),"②病院短期","対象外")),IF($AJ2034=30,"③特定消防",IF(AND(OR($A2034=21,$A2034=215),$AJ2034=10),"④一般",IF(AND($A2034=31,$AJ2034=41),"⑤短期","対象外")))))</f>
      </c>
      <c r="DC2034" s="2909">
        <f>IF($A2034="","",IF($AB2034&amp;""='DB_設定'!$C$4,1,0))</f>
      </c>
    </row>
    <row r="2035">
      <c r="DB2035" s="2909">
        <f>IF($A2035="","",IF($AH2035=20,IF(AND(OR($A2035=21,$A2035=215),$AJ2035=10),"①病院一般",IF(AND($A2035=31,$AJ2035=41),"②病院短期","対象外")),IF($AJ2035=30,"③特定消防",IF(AND(OR($A2035=21,$A2035=215),$AJ2035=10),"④一般",IF(AND($A2035=31,$AJ2035=41),"⑤短期","対象外")))))</f>
      </c>
      <c r="DC2035" s="2909">
        <f>IF($A2035="","",IF($AB2035&amp;""='DB_設定'!$C$4,1,0))</f>
      </c>
    </row>
    <row r="2036">
      <c r="DB2036" s="2909">
        <f>IF($A2036="","",IF($AH2036=20,IF(AND(OR($A2036=21,$A2036=215),$AJ2036=10),"①病院一般",IF(AND($A2036=31,$AJ2036=41),"②病院短期","対象外")),IF($AJ2036=30,"③特定消防",IF(AND(OR($A2036=21,$A2036=215),$AJ2036=10),"④一般",IF(AND($A2036=31,$AJ2036=41),"⑤短期","対象外")))))</f>
      </c>
      <c r="DC2036" s="2909">
        <f>IF($A2036="","",IF($AB2036&amp;""='DB_設定'!$C$4,1,0))</f>
      </c>
    </row>
    <row r="2037">
      <c r="DB2037" s="2909">
        <f>IF($A2037="","",IF($AH2037=20,IF(AND(OR($A2037=21,$A2037=215),$AJ2037=10),"①病院一般",IF(AND($A2037=31,$AJ2037=41),"②病院短期","対象外")),IF($AJ2037=30,"③特定消防",IF(AND(OR($A2037=21,$A2037=215),$AJ2037=10),"④一般",IF(AND($A2037=31,$AJ2037=41),"⑤短期","対象外")))))</f>
      </c>
      <c r="DC2037" s="2909">
        <f>IF($A2037="","",IF($AB2037&amp;""='DB_設定'!$C$4,1,0))</f>
      </c>
    </row>
    <row r="2038">
      <c r="DB2038" s="2909">
        <f>IF($A2038="","",IF($AH2038=20,IF(AND(OR($A2038=21,$A2038=215),$AJ2038=10),"①病院一般",IF(AND($A2038=31,$AJ2038=41),"②病院短期","対象外")),IF($AJ2038=30,"③特定消防",IF(AND(OR($A2038=21,$A2038=215),$AJ2038=10),"④一般",IF(AND($A2038=31,$AJ2038=41),"⑤短期","対象外")))))</f>
      </c>
      <c r="DC2038" s="2909">
        <f>IF($A2038="","",IF($AB2038&amp;""='DB_設定'!$C$4,1,0))</f>
      </c>
    </row>
    <row r="2039">
      <c r="DB2039" s="2909">
        <f>IF($A2039="","",IF($AH2039=20,IF(AND(OR($A2039=21,$A2039=215),$AJ2039=10),"①病院一般",IF(AND($A2039=31,$AJ2039=41),"②病院短期","対象外")),IF($AJ2039=30,"③特定消防",IF(AND(OR($A2039=21,$A2039=215),$AJ2039=10),"④一般",IF(AND($A2039=31,$AJ2039=41),"⑤短期","対象外")))))</f>
      </c>
      <c r="DC2039" s="2909">
        <f>IF($A2039="","",IF($AB2039&amp;""='DB_設定'!$C$4,1,0))</f>
      </c>
    </row>
    <row r="2040">
      <c r="DB2040" s="2909">
        <f>IF($A2040="","",IF($AH2040=20,IF(AND(OR($A2040=21,$A2040=215),$AJ2040=10),"①病院一般",IF(AND($A2040=31,$AJ2040=41),"②病院短期","対象外")),IF($AJ2040=30,"③特定消防",IF(AND(OR($A2040=21,$A2040=215),$AJ2040=10),"④一般",IF(AND($A2040=31,$AJ2040=41),"⑤短期","対象外")))))</f>
      </c>
      <c r="DC2040" s="2909">
        <f>IF($A2040="","",IF($AB2040&amp;""='DB_設定'!$C$4,1,0))</f>
      </c>
    </row>
    <row r="2041">
      <c r="DB2041" s="2909">
        <f>IF($A2041="","",IF($AH2041=20,IF(AND(OR($A2041=21,$A2041=215),$AJ2041=10),"①病院一般",IF(AND($A2041=31,$AJ2041=41),"②病院短期","対象外")),IF($AJ2041=30,"③特定消防",IF(AND(OR($A2041=21,$A2041=215),$AJ2041=10),"④一般",IF(AND($A2041=31,$AJ2041=41),"⑤短期","対象外")))))</f>
      </c>
      <c r="DC2041" s="2909">
        <f>IF($A2041="","",IF($AB2041&amp;""='DB_設定'!$C$4,1,0))</f>
      </c>
    </row>
    <row r="2042">
      <c r="DB2042" s="2909">
        <f>IF($A2042="","",IF($AH2042=20,IF(AND(OR($A2042=21,$A2042=215),$AJ2042=10),"①病院一般",IF(AND($A2042=31,$AJ2042=41),"②病院短期","対象外")),IF($AJ2042=30,"③特定消防",IF(AND(OR($A2042=21,$A2042=215),$AJ2042=10),"④一般",IF(AND($A2042=31,$AJ2042=41),"⑤短期","対象外")))))</f>
      </c>
      <c r="DC2042" s="2909">
        <f>IF($A2042="","",IF($AB2042&amp;""='DB_設定'!$C$4,1,0))</f>
      </c>
    </row>
    <row r="2043">
      <c r="DB2043" s="2909">
        <f>IF($A2043="","",IF($AH2043=20,IF(AND(OR($A2043=21,$A2043=215),$AJ2043=10),"①病院一般",IF(AND($A2043=31,$AJ2043=41),"②病院短期","対象外")),IF($AJ2043=30,"③特定消防",IF(AND(OR($A2043=21,$A2043=215),$AJ2043=10),"④一般",IF(AND($A2043=31,$AJ2043=41),"⑤短期","対象外")))))</f>
      </c>
      <c r="DC2043" s="2909">
        <f>IF($A2043="","",IF($AB2043&amp;""='DB_設定'!$C$4,1,0))</f>
      </c>
    </row>
    <row r="2044">
      <c r="DB2044" s="2909">
        <f>IF($A2044="","",IF($AH2044=20,IF(AND(OR($A2044=21,$A2044=215),$AJ2044=10),"①病院一般",IF(AND($A2044=31,$AJ2044=41),"②病院短期","対象外")),IF($AJ2044=30,"③特定消防",IF(AND(OR($A2044=21,$A2044=215),$AJ2044=10),"④一般",IF(AND($A2044=31,$AJ2044=41),"⑤短期","対象外")))))</f>
      </c>
      <c r="DC2044" s="2909">
        <f>IF($A2044="","",IF($AB2044&amp;""='DB_設定'!$C$4,1,0))</f>
      </c>
    </row>
    <row r="2045">
      <c r="DB2045" s="2909">
        <f>IF($A2045="","",IF($AH2045=20,IF(AND(OR($A2045=21,$A2045=215),$AJ2045=10),"①病院一般",IF(AND($A2045=31,$AJ2045=41),"②病院短期","対象外")),IF($AJ2045=30,"③特定消防",IF(AND(OR($A2045=21,$A2045=215),$AJ2045=10),"④一般",IF(AND($A2045=31,$AJ2045=41),"⑤短期","対象外")))))</f>
      </c>
      <c r="DC2045" s="2909">
        <f>IF($A2045="","",IF($AB2045&amp;""='DB_設定'!$C$4,1,0))</f>
      </c>
    </row>
    <row r="2046">
      <c r="DB2046" s="2909">
        <f>IF($A2046="","",IF($AH2046=20,IF(AND(OR($A2046=21,$A2046=215),$AJ2046=10),"①病院一般",IF(AND($A2046=31,$AJ2046=41),"②病院短期","対象外")),IF($AJ2046=30,"③特定消防",IF(AND(OR($A2046=21,$A2046=215),$AJ2046=10),"④一般",IF(AND($A2046=31,$AJ2046=41),"⑤短期","対象外")))))</f>
      </c>
      <c r="DC2046" s="2909">
        <f>IF($A2046="","",IF($AB2046&amp;""='DB_設定'!$C$4,1,0))</f>
      </c>
    </row>
    <row r="2047">
      <c r="DB2047" s="2909">
        <f>IF($A2047="","",IF($AH2047=20,IF(AND(OR($A2047=21,$A2047=215),$AJ2047=10),"①病院一般",IF(AND($A2047=31,$AJ2047=41),"②病院短期","対象外")),IF($AJ2047=30,"③特定消防",IF(AND(OR($A2047=21,$A2047=215),$AJ2047=10),"④一般",IF(AND($A2047=31,$AJ2047=41),"⑤短期","対象外")))))</f>
      </c>
      <c r="DC2047" s="2909">
        <f>IF($A2047="","",IF($AB2047&amp;""='DB_設定'!$C$4,1,0))</f>
      </c>
    </row>
    <row r="2048">
      <c r="DB2048" s="2909">
        <f>IF($A2048="","",IF($AH2048=20,IF(AND(OR($A2048=21,$A2048=215),$AJ2048=10),"①病院一般",IF(AND($A2048=31,$AJ2048=41),"②病院短期","対象外")),IF($AJ2048=30,"③特定消防",IF(AND(OR($A2048=21,$A2048=215),$AJ2048=10),"④一般",IF(AND($A2048=31,$AJ2048=41),"⑤短期","対象外")))))</f>
      </c>
      <c r="DC2048" s="2909">
        <f>IF($A2048="","",IF($AB2048&amp;""='DB_設定'!$C$4,1,0))</f>
      </c>
    </row>
    <row r="2049">
      <c r="DB2049" s="2909">
        <f>IF($A2049="","",IF($AH2049=20,IF(AND(OR($A2049=21,$A2049=215),$AJ2049=10),"①病院一般",IF(AND($A2049=31,$AJ2049=41),"②病院短期","対象外")),IF($AJ2049=30,"③特定消防",IF(AND(OR($A2049=21,$A2049=215),$AJ2049=10),"④一般",IF(AND($A2049=31,$AJ2049=41),"⑤短期","対象外")))))</f>
      </c>
      <c r="DC2049" s="2909">
        <f>IF($A2049="","",IF($AB2049&amp;""='DB_設定'!$C$4,1,0))</f>
      </c>
    </row>
    <row r="2050">
      <c r="DB2050" s="2909">
        <f>IF($A2050="","",IF($AH2050=20,IF(AND(OR($A2050=21,$A2050=215),$AJ2050=10),"①病院一般",IF(AND($A2050=31,$AJ2050=41),"②病院短期","対象外")),IF($AJ2050=30,"③特定消防",IF(AND(OR($A2050=21,$A2050=215),$AJ2050=10),"④一般",IF(AND($A2050=31,$AJ2050=41),"⑤短期","対象外")))))</f>
      </c>
      <c r="DC2050" s="2909">
        <f>IF($A2050="","",IF($AB2050&amp;""='DB_設定'!$C$4,1,0))</f>
      </c>
    </row>
    <row r="2051">
      <c r="DB2051" s="2909">
        <f>IF($A2051="","",IF($AH2051=20,IF(AND(OR($A2051=21,$A2051=215),$AJ2051=10),"①病院一般",IF(AND($A2051=31,$AJ2051=41),"②病院短期","対象外")),IF($AJ2051=30,"③特定消防",IF(AND(OR($A2051=21,$A2051=215),$AJ2051=10),"④一般",IF(AND($A2051=31,$AJ2051=41),"⑤短期","対象外")))))</f>
      </c>
      <c r="DC2051" s="2909">
        <f>IF($A2051="","",IF($AB2051&amp;""='DB_設定'!$C$4,1,0))</f>
      </c>
    </row>
    <row r="2052">
      <c r="DB2052" s="2909">
        <f>IF($A2052="","",IF($AH2052=20,IF(AND(OR($A2052=21,$A2052=215),$AJ2052=10),"①病院一般",IF(AND($A2052=31,$AJ2052=41),"②病院短期","対象外")),IF($AJ2052=30,"③特定消防",IF(AND(OR($A2052=21,$A2052=215),$AJ2052=10),"④一般",IF(AND($A2052=31,$AJ2052=41),"⑤短期","対象外")))))</f>
      </c>
      <c r="DC2052" s="2909">
        <f>IF($A2052="","",IF($AB2052&amp;""='DB_設定'!$C$4,1,0))</f>
      </c>
    </row>
    <row r="2053">
      <c r="DB2053" s="2909">
        <f>IF($A2053="","",IF($AH2053=20,IF(AND(OR($A2053=21,$A2053=215),$AJ2053=10),"①病院一般",IF(AND($A2053=31,$AJ2053=41),"②病院短期","対象外")),IF($AJ2053=30,"③特定消防",IF(AND(OR($A2053=21,$A2053=215),$AJ2053=10),"④一般",IF(AND($A2053=31,$AJ2053=41),"⑤短期","対象外")))))</f>
      </c>
      <c r="DC2053" s="2909">
        <f>IF($A2053="","",IF($AB2053&amp;""='DB_設定'!$C$4,1,0))</f>
      </c>
    </row>
    <row r="2054">
      <c r="DB2054" s="2909">
        <f>IF($A2054="","",IF($AH2054=20,IF(AND(OR($A2054=21,$A2054=215),$AJ2054=10),"①病院一般",IF(AND($A2054=31,$AJ2054=41),"②病院短期","対象外")),IF($AJ2054=30,"③特定消防",IF(AND(OR($A2054=21,$A2054=215),$AJ2054=10),"④一般",IF(AND($A2054=31,$AJ2054=41),"⑤短期","対象外")))))</f>
      </c>
      <c r="DC2054" s="2909">
        <f>IF($A2054="","",IF($AB2054&amp;""='DB_設定'!$C$4,1,0))</f>
      </c>
    </row>
    <row r="2055">
      <c r="DB2055" s="2909">
        <f>IF($A2055="","",IF($AH2055=20,IF(AND(OR($A2055=21,$A2055=215),$AJ2055=10),"①病院一般",IF(AND($A2055=31,$AJ2055=41),"②病院短期","対象外")),IF($AJ2055=30,"③特定消防",IF(AND(OR($A2055=21,$A2055=215),$AJ2055=10),"④一般",IF(AND($A2055=31,$AJ2055=41),"⑤短期","対象外")))))</f>
      </c>
      <c r="DC2055" s="2909">
        <f>IF($A2055="","",IF($AB2055&amp;""='DB_設定'!$C$4,1,0))</f>
      </c>
    </row>
    <row r="2056">
      <c r="DB2056" s="2909">
        <f>IF($A2056="","",IF($AH2056=20,IF(AND(OR($A2056=21,$A2056=215),$AJ2056=10),"①病院一般",IF(AND($A2056=31,$AJ2056=41),"②病院短期","対象外")),IF($AJ2056=30,"③特定消防",IF(AND(OR($A2056=21,$A2056=215),$AJ2056=10),"④一般",IF(AND($A2056=31,$AJ2056=41),"⑤短期","対象外")))))</f>
      </c>
      <c r="DC2056" s="2909">
        <f>IF($A2056="","",IF($AB2056&amp;""='DB_設定'!$C$4,1,0))</f>
      </c>
    </row>
    <row r="2057">
      <c r="DB2057" s="2909">
        <f>IF($A2057="","",IF($AH2057=20,IF(AND(OR($A2057=21,$A2057=215),$AJ2057=10),"①病院一般",IF(AND($A2057=31,$AJ2057=41),"②病院短期","対象外")),IF($AJ2057=30,"③特定消防",IF(AND(OR($A2057=21,$A2057=215),$AJ2057=10),"④一般",IF(AND($A2057=31,$AJ2057=41),"⑤短期","対象外")))))</f>
      </c>
      <c r="DC2057" s="2909">
        <f>IF($A2057="","",IF($AB2057&amp;""='DB_設定'!$C$4,1,0))</f>
      </c>
    </row>
    <row r="2058">
      <c r="DB2058" s="2909">
        <f>IF($A2058="","",IF($AH2058=20,IF(AND(OR($A2058=21,$A2058=215),$AJ2058=10),"①病院一般",IF(AND($A2058=31,$AJ2058=41),"②病院短期","対象外")),IF($AJ2058=30,"③特定消防",IF(AND(OR($A2058=21,$A2058=215),$AJ2058=10),"④一般",IF(AND($A2058=31,$AJ2058=41),"⑤短期","対象外")))))</f>
      </c>
      <c r="DC2058" s="2909">
        <f>IF($A2058="","",IF($AB2058&amp;""='DB_設定'!$C$4,1,0))</f>
      </c>
    </row>
    <row r="2059">
      <c r="DB2059" s="2909">
        <f>IF($A2059="","",IF($AH2059=20,IF(AND(OR($A2059=21,$A2059=215),$AJ2059=10),"①病院一般",IF(AND($A2059=31,$AJ2059=41),"②病院短期","対象外")),IF($AJ2059=30,"③特定消防",IF(AND(OR($A2059=21,$A2059=215),$AJ2059=10),"④一般",IF(AND($A2059=31,$AJ2059=41),"⑤短期","対象外")))))</f>
      </c>
      <c r="DC2059" s="2909">
        <f>IF($A2059="","",IF($AB2059&amp;""='DB_設定'!$C$4,1,0))</f>
      </c>
    </row>
    <row r="2060">
      <c r="DB2060" s="2909">
        <f>IF($A2060="","",IF($AH2060=20,IF(AND(OR($A2060=21,$A2060=215),$AJ2060=10),"①病院一般",IF(AND($A2060=31,$AJ2060=41),"②病院短期","対象外")),IF($AJ2060=30,"③特定消防",IF(AND(OR($A2060=21,$A2060=215),$AJ2060=10),"④一般",IF(AND($A2060=31,$AJ2060=41),"⑤短期","対象外")))))</f>
      </c>
      <c r="DC2060" s="2909">
        <f>IF($A2060="","",IF($AB2060&amp;""='DB_設定'!$C$4,1,0))</f>
      </c>
    </row>
    <row r="2061">
      <c r="DB2061" s="2909">
        <f>IF($A2061="","",IF($AH2061=20,IF(AND(OR($A2061=21,$A2061=215),$AJ2061=10),"①病院一般",IF(AND($A2061=31,$AJ2061=41),"②病院短期","対象外")),IF($AJ2061=30,"③特定消防",IF(AND(OR($A2061=21,$A2061=215),$AJ2061=10),"④一般",IF(AND($A2061=31,$AJ2061=41),"⑤短期","対象外")))))</f>
      </c>
      <c r="DC2061" s="2909">
        <f>IF($A2061="","",IF($AB2061&amp;""='DB_設定'!$C$4,1,0))</f>
      </c>
    </row>
    <row r="2062">
      <c r="DB2062" s="2909">
        <f>IF($A2062="","",IF($AH2062=20,IF(AND(OR($A2062=21,$A2062=215),$AJ2062=10),"①病院一般",IF(AND($A2062=31,$AJ2062=41),"②病院短期","対象外")),IF($AJ2062=30,"③特定消防",IF(AND(OR($A2062=21,$A2062=215),$AJ2062=10),"④一般",IF(AND($A2062=31,$AJ2062=41),"⑤短期","対象外")))))</f>
      </c>
      <c r="DC2062" s="2909">
        <f>IF($A2062="","",IF($AB2062&amp;""='DB_設定'!$C$4,1,0))</f>
      </c>
    </row>
    <row r="2063">
      <c r="DB2063" s="2909">
        <f>IF($A2063="","",IF($AH2063=20,IF(AND(OR($A2063=21,$A2063=215),$AJ2063=10),"①病院一般",IF(AND($A2063=31,$AJ2063=41),"②病院短期","対象外")),IF($AJ2063=30,"③特定消防",IF(AND(OR($A2063=21,$A2063=215),$AJ2063=10),"④一般",IF(AND($A2063=31,$AJ2063=41),"⑤短期","対象外")))))</f>
      </c>
      <c r="DC2063" s="2909">
        <f>IF($A2063="","",IF($AB2063&amp;""='DB_設定'!$C$4,1,0))</f>
      </c>
    </row>
    <row r="2064">
      <c r="DB2064" s="2909">
        <f>IF($A2064="","",IF($AH2064=20,IF(AND(OR($A2064=21,$A2064=215),$AJ2064=10),"①病院一般",IF(AND($A2064=31,$AJ2064=41),"②病院短期","対象外")),IF($AJ2064=30,"③特定消防",IF(AND(OR($A2064=21,$A2064=215),$AJ2064=10),"④一般",IF(AND($A2064=31,$AJ2064=41),"⑤短期","対象外")))))</f>
      </c>
      <c r="DC2064" s="2909">
        <f>IF($A2064="","",IF($AB2064&amp;""='DB_設定'!$C$4,1,0))</f>
      </c>
    </row>
    <row r="2065">
      <c r="DB2065" s="2909">
        <f>IF($A2065="","",IF($AH2065=20,IF(AND(OR($A2065=21,$A2065=215),$AJ2065=10),"①病院一般",IF(AND($A2065=31,$AJ2065=41),"②病院短期","対象外")),IF($AJ2065=30,"③特定消防",IF(AND(OR($A2065=21,$A2065=215),$AJ2065=10),"④一般",IF(AND($A2065=31,$AJ2065=41),"⑤短期","対象外")))))</f>
      </c>
      <c r="DC2065" s="2909">
        <f>IF($A2065="","",IF($AB2065&amp;""='DB_設定'!$C$4,1,0))</f>
      </c>
    </row>
    <row r="2066">
      <c r="DB2066" s="2909">
        <f>IF($A2066="","",IF($AH2066=20,IF(AND(OR($A2066=21,$A2066=215),$AJ2066=10),"①病院一般",IF(AND($A2066=31,$AJ2066=41),"②病院短期","対象外")),IF($AJ2066=30,"③特定消防",IF(AND(OR($A2066=21,$A2066=215),$AJ2066=10),"④一般",IF(AND($A2066=31,$AJ2066=41),"⑤短期","対象外")))))</f>
      </c>
      <c r="DC2066" s="2909">
        <f>IF($A2066="","",IF($AB2066&amp;""='DB_設定'!$C$4,1,0))</f>
      </c>
    </row>
    <row r="2067">
      <c r="DB2067" s="2909">
        <f>IF($A2067="","",IF($AH2067=20,IF(AND(OR($A2067=21,$A2067=215),$AJ2067=10),"①病院一般",IF(AND($A2067=31,$AJ2067=41),"②病院短期","対象外")),IF($AJ2067=30,"③特定消防",IF(AND(OR($A2067=21,$A2067=215),$AJ2067=10),"④一般",IF(AND($A2067=31,$AJ2067=41),"⑤短期","対象外")))))</f>
      </c>
      <c r="DC2067" s="2909">
        <f>IF($A2067="","",IF($AB2067&amp;""='DB_設定'!$C$4,1,0))</f>
      </c>
    </row>
    <row r="2068">
      <c r="DB2068" s="2909">
        <f>IF($A2068="","",IF($AH2068=20,IF(AND(OR($A2068=21,$A2068=215),$AJ2068=10),"①病院一般",IF(AND($A2068=31,$AJ2068=41),"②病院短期","対象外")),IF($AJ2068=30,"③特定消防",IF(AND(OR($A2068=21,$A2068=215),$AJ2068=10),"④一般",IF(AND($A2068=31,$AJ2068=41),"⑤短期","対象外")))))</f>
      </c>
      <c r="DC2068" s="2909">
        <f>IF($A2068="","",IF($AB2068&amp;""='DB_設定'!$C$4,1,0))</f>
      </c>
    </row>
    <row r="2069">
      <c r="DB2069" s="2909">
        <f>IF($A2069="","",IF($AH2069=20,IF(AND(OR($A2069=21,$A2069=215),$AJ2069=10),"①病院一般",IF(AND($A2069=31,$AJ2069=41),"②病院短期","対象外")),IF($AJ2069=30,"③特定消防",IF(AND(OR($A2069=21,$A2069=215),$AJ2069=10),"④一般",IF(AND($A2069=31,$AJ2069=41),"⑤短期","対象外")))))</f>
      </c>
      <c r="DC2069" s="2909">
        <f>IF($A2069="","",IF($AB2069&amp;""='DB_設定'!$C$4,1,0))</f>
      </c>
    </row>
    <row r="2070">
      <c r="DB2070" s="2909">
        <f>IF($A2070="","",IF($AH2070=20,IF(AND(OR($A2070=21,$A2070=215),$AJ2070=10),"①病院一般",IF(AND($A2070=31,$AJ2070=41),"②病院短期","対象外")),IF($AJ2070=30,"③特定消防",IF(AND(OR($A2070=21,$A2070=215),$AJ2070=10),"④一般",IF(AND($A2070=31,$AJ2070=41),"⑤短期","対象外")))))</f>
      </c>
      <c r="DC2070" s="2909">
        <f>IF($A2070="","",IF($AB2070&amp;""='DB_設定'!$C$4,1,0))</f>
      </c>
    </row>
    <row r="2071">
      <c r="DB2071" s="2909">
        <f>IF($A2071="","",IF($AH2071=20,IF(AND(OR($A2071=21,$A2071=215),$AJ2071=10),"①病院一般",IF(AND($A2071=31,$AJ2071=41),"②病院短期","対象外")),IF($AJ2071=30,"③特定消防",IF(AND(OR($A2071=21,$A2071=215),$AJ2071=10),"④一般",IF(AND($A2071=31,$AJ2071=41),"⑤短期","対象外")))))</f>
      </c>
      <c r="DC2071" s="2909">
        <f>IF($A2071="","",IF($AB2071&amp;""='DB_設定'!$C$4,1,0))</f>
      </c>
    </row>
    <row r="2072">
      <c r="DB2072" s="2909">
        <f>IF($A2072="","",IF($AH2072=20,IF(AND(OR($A2072=21,$A2072=215),$AJ2072=10),"①病院一般",IF(AND($A2072=31,$AJ2072=41),"②病院短期","対象外")),IF($AJ2072=30,"③特定消防",IF(AND(OR($A2072=21,$A2072=215),$AJ2072=10),"④一般",IF(AND($A2072=31,$AJ2072=41),"⑤短期","対象外")))))</f>
      </c>
      <c r="DC2072" s="2909">
        <f>IF($A2072="","",IF($AB2072&amp;""='DB_設定'!$C$4,1,0))</f>
      </c>
    </row>
    <row r="2073">
      <c r="DB2073" s="2909">
        <f>IF($A2073="","",IF($AH2073=20,IF(AND(OR($A2073=21,$A2073=215),$AJ2073=10),"①病院一般",IF(AND($A2073=31,$AJ2073=41),"②病院短期","対象外")),IF($AJ2073=30,"③特定消防",IF(AND(OR($A2073=21,$A2073=215),$AJ2073=10),"④一般",IF(AND($A2073=31,$AJ2073=41),"⑤短期","対象外")))))</f>
      </c>
      <c r="DC2073" s="2909">
        <f>IF($A2073="","",IF($AB2073&amp;""='DB_設定'!$C$4,1,0))</f>
      </c>
    </row>
    <row r="2074">
      <c r="DB2074" s="2909">
        <f>IF($A2074="","",IF($AH2074=20,IF(AND(OR($A2074=21,$A2074=215),$AJ2074=10),"①病院一般",IF(AND($A2074=31,$AJ2074=41),"②病院短期","対象外")),IF($AJ2074=30,"③特定消防",IF(AND(OR($A2074=21,$A2074=215),$AJ2074=10),"④一般",IF(AND($A2074=31,$AJ2074=41),"⑤短期","対象外")))))</f>
      </c>
      <c r="DC2074" s="2909">
        <f>IF($A2074="","",IF($AB2074&amp;""='DB_設定'!$C$4,1,0))</f>
      </c>
    </row>
    <row r="2075">
      <c r="DB2075" s="2909">
        <f>IF($A2075="","",IF($AH2075=20,IF(AND(OR($A2075=21,$A2075=215),$AJ2075=10),"①病院一般",IF(AND($A2075=31,$AJ2075=41),"②病院短期","対象外")),IF($AJ2075=30,"③特定消防",IF(AND(OR($A2075=21,$A2075=215),$AJ2075=10),"④一般",IF(AND($A2075=31,$AJ2075=41),"⑤短期","対象外")))))</f>
      </c>
      <c r="DC2075" s="2909">
        <f>IF($A2075="","",IF($AB2075&amp;""='DB_設定'!$C$4,1,0))</f>
      </c>
    </row>
    <row r="2076">
      <c r="DB2076" s="2909">
        <f>IF($A2076="","",IF($AH2076=20,IF(AND(OR($A2076=21,$A2076=215),$AJ2076=10),"①病院一般",IF(AND($A2076=31,$AJ2076=41),"②病院短期","対象外")),IF($AJ2076=30,"③特定消防",IF(AND(OR($A2076=21,$A2076=215),$AJ2076=10),"④一般",IF(AND($A2076=31,$AJ2076=41),"⑤短期","対象外")))))</f>
      </c>
      <c r="DC2076" s="2909">
        <f>IF($A2076="","",IF($AB2076&amp;""='DB_設定'!$C$4,1,0))</f>
      </c>
    </row>
    <row r="2077">
      <c r="DB2077" s="2909">
        <f>IF($A2077="","",IF($AH2077=20,IF(AND(OR($A2077=21,$A2077=215),$AJ2077=10),"①病院一般",IF(AND($A2077=31,$AJ2077=41),"②病院短期","対象外")),IF($AJ2077=30,"③特定消防",IF(AND(OR($A2077=21,$A2077=215),$AJ2077=10),"④一般",IF(AND($A2077=31,$AJ2077=41),"⑤短期","対象外")))))</f>
      </c>
      <c r="DC2077" s="2909">
        <f>IF($A2077="","",IF($AB2077&amp;""='DB_設定'!$C$4,1,0))</f>
      </c>
    </row>
    <row r="2078">
      <c r="DB2078" s="2909">
        <f>IF($A2078="","",IF($AH2078=20,IF(AND(OR($A2078=21,$A2078=215),$AJ2078=10),"①病院一般",IF(AND($A2078=31,$AJ2078=41),"②病院短期","対象外")),IF($AJ2078=30,"③特定消防",IF(AND(OR($A2078=21,$A2078=215),$AJ2078=10),"④一般",IF(AND($A2078=31,$AJ2078=41),"⑤短期","対象外")))))</f>
      </c>
      <c r="DC2078" s="2909">
        <f>IF($A2078="","",IF($AB2078&amp;""='DB_設定'!$C$4,1,0))</f>
      </c>
    </row>
    <row r="2079">
      <c r="DB2079" s="2909">
        <f>IF($A2079="","",IF($AH2079=20,IF(AND(OR($A2079=21,$A2079=215),$AJ2079=10),"①病院一般",IF(AND($A2079=31,$AJ2079=41),"②病院短期","対象外")),IF($AJ2079=30,"③特定消防",IF(AND(OR($A2079=21,$A2079=215),$AJ2079=10),"④一般",IF(AND($A2079=31,$AJ2079=41),"⑤短期","対象外")))))</f>
      </c>
      <c r="DC2079" s="2909">
        <f>IF($A2079="","",IF($AB2079&amp;""='DB_設定'!$C$4,1,0))</f>
      </c>
    </row>
    <row r="2080">
      <c r="DB2080" s="2909">
        <f>IF($A2080="","",IF($AH2080=20,IF(AND(OR($A2080=21,$A2080=215),$AJ2080=10),"①病院一般",IF(AND($A2080=31,$AJ2080=41),"②病院短期","対象外")),IF($AJ2080=30,"③特定消防",IF(AND(OR($A2080=21,$A2080=215),$AJ2080=10),"④一般",IF(AND($A2080=31,$AJ2080=41),"⑤短期","対象外")))))</f>
      </c>
      <c r="DC2080" s="2909">
        <f>IF($A2080="","",IF($AB2080&amp;""='DB_設定'!$C$4,1,0))</f>
      </c>
    </row>
    <row r="2081">
      <c r="DB2081" s="2909">
        <f>IF($A2081="","",IF($AH2081=20,IF(AND(OR($A2081=21,$A2081=215),$AJ2081=10),"①病院一般",IF(AND($A2081=31,$AJ2081=41),"②病院短期","対象外")),IF($AJ2081=30,"③特定消防",IF(AND(OR($A2081=21,$A2081=215),$AJ2081=10),"④一般",IF(AND($A2081=31,$AJ2081=41),"⑤短期","対象外")))))</f>
      </c>
      <c r="DC2081" s="2909">
        <f>IF($A2081="","",IF($AB2081&amp;""='DB_設定'!$C$4,1,0))</f>
      </c>
    </row>
    <row r="2082">
      <c r="DB2082" s="2909">
        <f>IF($A2082="","",IF($AH2082=20,IF(AND(OR($A2082=21,$A2082=215),$AJ2082=10),"①病院一般",IF(AND($A2082=31,$AJ2082=41),"②病院短期","対象外")),IF($AJ2082=30,"③特定消防",IF(AND(OR($A2082=21,$A2082=215),$AJ2082=10),"④一般",IF(AND($A2082=31,$AJ2082=41),"⑤短期","対象外")))))</f>
      </c>
      <c r="DC2082" s="2909">
        <f>IF($A2082="","",IF($AB2082&amp;""='DB_設定'!$C$4,1,0))</f>
      </c>
    </row>
    <row r="2083">
      <c r="DB2083" s="2909">
        <f>IF($A2083="","",IF($AH2083=20,IF(AND(OR($A2083=21,$A2083=215),$AJ2083=10),"①病院一般",IF(AND($A2083=31,$AJ2083=41),"②病院短期","対象外")),IF($AJ2083=30,"③特定消防",IF(AND(OR($A2083=21,$A2083=215),$AJ2083=10),"④一般",IF(AND($A2083=31,$AJ2083=41),"⑤短期","対象外")))))</f>
      </c>
      <c r="DC2083" s="2909">
        <f>IF($A2083="","",IF($AB2083&amp;""='DB_設定'!$C$4,1,0))</f>
      </c>
    </row>
    <row r="2084">
      <c r="DB2084" s="2909">
        <f>IF($A2084="","",IF($AH2084=20,IF(AND(OR($A2084=21,$A2084=215),$AJ2084=10),"①病院一般",IF(AND($A2084=31,$AJ2084=41),"②病院短期","対象外")),IF($AJ2084=30,"③特定消防",IF(AND(OR($A2084=21,$A2084=215),$AJ2084=10),"④一般",IF(AND($A2084=31,$AJ2084=41),"⑤短期","対象外")))))</f>
      </c>
      <c r="DC2084" s="2909">
        <f>IF($A2084="","",IF($AB2084&amp;""='DB_設定'!$C$4,1,0))</f>
      </c>
    </row>
    <row r="2085">
      <c r="DB2085" s="2909">
        <f>IF($A2085="","",IF($AH2085=20,IF(AND(OR($A2085=21,$A2085=215),$AJ2085=10),"①病院一般",IF(AND($A2085=31,$AJ2085=41),"②病院短期","対象外")),IF($AJ2085=30,"③特定消防",IF(AND(OR($A2085=21,$A2085=215),$AJ2085=10),"④一般",IF(AND($A2085=31,$AJ2085=41),"⑤短期","対象外")))))</f>
      </c>
      <c r="DC2085" s="2909">
        <f>IF($A2085="","",IF($AB2085&amp;""='DB_設定'!$C$4,1,0))</f>
      </c>
    </row>
    <row r="2086">
      <c r="DB2086" s="2909">
        <f>IF($A2086="","",IF($AH2086=20,IF(AND(OR($A2086=21,$A2086=215),$AJ2086=10),"①病院一般",IF(AND($A2086=31,$AJ2086=41),"②病院短期","対象外")),IF($AJ2086=30,"③特定消防",IF(AND(OR($A2086=21,$A2086=215),$AJ2086=10),"④一般",IF(AND($A2086=31,$AJ2086=41),"⑤短期","対象外")))))</f>
      </c>
      <c r="DC2086" s="2909">
        <f>IF($A2086="","",IF($AB2086&amp;""='DB_設定'!$C$4,1,0))</f>
      </c>
    </row>
    <row r="2087">
      <c r="DB2087" s="2909">
        <f>IF($A2087="","",IF($AH2087=20,IF(AND(OR($A2087=21,$A2087=215),$AJ2087=10),"①病院一般",IF(AND($A2087=31,$AJ2087=41),"②病院短期","対象外")),IF($AJ2087=30,"③特定消防",IF(AND(OR($A2087=21,$A2087=215),$AJ2087=10),"④一般",IF(AND($A2087=31,$AJ2087=41),"⑤短期","対象外")))))</f>
      </c>
      <c r="DC2087" s="2909">
        <f>IF($A2087="","",IF($AB2087&amp;""='DB_設定'!$C$4,1,0))</f>
      </c>
    </row>
    <row r="2088">
      <c r="DB2088" s="2909">
        <f>IF($A2088="","",IF($AH2088=20,IF(AND(OR($A2088=21,$A2088=215),$AJ2088=10),"①病院一般",IF(AND($A2088=31,$AJ2088=41),"②病院短期","対象外")),IF($AJ2088=30,"③特定消防",IF(AND(OR($A2088=21,$A2088=215),$AJ2088=10),"④一般",IF(AND($A2088=31,$AJ2088=41),"⑤短期","対象外")))))</f>
      </c>
      <c r="DC2088" s="2909">
        <f>IF($A2088="","",IF($AB2088&amp;""='DB_設定'!$C$4,1,0))</f>
      </c>
    </row>
    <row r="2089">
      <c r="DB2089" s="2909">
        <f>IF($A2089="","",IF($AH2089=20,IF(AND(OR($A2089=21,$A2089=215),$AJ2089=10),"①病院一般",IF(AND($A2089=31,$AJ2089=41),"②病院短期","対象外")),IF($AJ2089=30,"③特定消防",IF(AND(OR($A2089=21,$A2089=215),$AJ2089=10),"④一般",IF(AND($A2089=31,$AJ2089=41),"⑤短期","対象外")))))</f>
      </c>
      <c r="DC2089" s="2909">
        <f>IF($A2089="","",IF($AB2089&amp;""='DB_設定'!$C$4,1,0))</f>
      </c>
    </row>
    <row r="2090">
      <c r="DB2090" s="2909">
        <f>IF($A2090="","",IF($AH2090=20,IF(AND(OR($A2090=21,$A2090=215),$AJ2090=10),"①病院一般",IF(AND($A2090=31,$AJ2090=41),"②病院短期","対象外")),IF($AJ2090=30,"③特定消防",IF(AND(OR($A2090=21,$A2090=215),$AJ2090=10),"④一般",IF(AND($A2090=31,$AJ2090=41),"⑤短期","対象外")))))</f>
      </c>
      <c r="DC2090" s="2909">
        <f>IF($A2090="","",IF($AB2090&amp;""='DB_設定'!$C$4,1,0))</f>
      </c>
    </row>
    <row r="2091">
      <c r="DB2091" s="2909">
        <f>IF($A2091="","",IF($AH2091=20,IF(AND(OR($A2091=21,$A2091=215),$AJ2091=10),"①病院一般",IF(AND($A2091=31,$AJ2091=41),"②病院短期","対象外")),IF($AJ2091=30,"③特定消防",IF(AND(OR($A2091=21,$A2091=215),$AJ2091=10),"④一般",IF(AND($A2091=31,$AJ2091=41),"⑤短期","対象外")))))</f>
      </c>
      <c r="DC2091" s="2909">
        <f>IF($A2091="","",IF($AB2091&amp;""='DB_設定'!$C$4,1,0))</f>
      </c>
    </row>
    <row r="2092">
      <c r="DB2092" s="2909">
        <f>IF($A2092="","",IF($AH2092=20,IF(AND(OR($A2092=21,$A2092=215),$AJ2092=10),"①病院一般",IF(AND($A2092=31,$AJ2092=41),"②病院短期","対象外")),IF($AJ2092=30,"③特定消防",IF(AND(OR($A2092=21,$A2092=215),$AJ2092=10),"④一般",IF(AND($A2092=31,$AJ2092=41),"⑤短期","対象外")))))</f>
      </c>
      <c r="DC2092" s="2909">
        <f>IF($A2092="","",IF($AB2092&amp;""='DB_設定'!$C$4,1,0))</f>
      </c>
    </row>
    <row r="2093">
      <c r="DB2093" s="2909">
        <f>IF($A2093="","",IF($AH2093=20,IF(AND(OR($A2093=21,$A2093=215),$AJ2093=10),"①病院一般",IF(AND($A2093=31,$AJ2093=41),"②病院短期","対象外")),IF($AJ2093=30,"③特定消防",IF(AND(OR($A2093=21,$A2093=215),$AJ2093=10),"④一般",IF(AND($A2093=31,$AJ2093=41),"⑤短期","対象外")))))</f>
      </c>
      <c r="DC2093" s="2909">
        <f>IF($A2093="","",IF($AB2093&amp;""='DB_設定'!$C$4,1,0))</f>
      </c>
    </row>
    <row r="2094">
      <c r="DB2094" s="2909">
        <f>IF($A2094="","",IF($AH2094=20,IF(AND(OR($A2094=21,$A2094=215),$AJ2094=10),"①病院一般",IF(AND($A2094=31,$AJ2094=41),"②病院短期","対象外")),IF($AJ2094=30,"③特定消防",IF(AND(OR($A2094=21,$A2094=215),$AJ2094=10),"④一般",IF(AND($A2094=31,$AJ2094=41),"⑤短期","対象外")))))</f>
      </c>
      <c r="DC2094" s="2909">
        <f>IF($A2094="","",IF($AB2094&amp;""='DB_設定'!$C$4,1,0))</f>
      </c>
    </row>
    <row r="2095">
      <c r="DB2095" s="2909">
        <f>IF($A2095="","",IF($AH2095=20,IF(AND(OR($A2095=21,$A2095=215),$AJ2095=10),"①病院一般",IF(AND($A2095=31,$AJ2095=41),"②病院短期","対象外")),IF($AJ2095=30,"③特定消防",IF(AND(OR($A2095=21,$A2095=215),$AJ2095=10),"④一般",IF(AND($A2095=31,$AJ2095=41),"⑤短期","対象外")))))</f>
      </c>
      <c r="DC2095" s="2909">
        <f>IF($A2095="","",IF($AB2095&amp;""='DB_設定'!$C$4,1,0))</f>
      </c>
    </row>
    <row r="2096">
      <c r="DB2096" s="2909">
        <f>IF($A2096="","",IF($AH2096=20,IF(AND(OR($A2096=21,$A2096=215),$AJ2096=10),"①病院一般",IF(AND($A2096=31,$AJ2096=41),"②病院短期","対象外")),IF($AJ2096=30,"③特定消防",IF(AND(OR($A2096=21,$A2096=215),$AJ2096=10),"④一般",IF(AND($A2096=31,$AJ2096=41),"⑤短期","対象外")))))</f>
      </c>
      <c r="DC2096" s="2909">
        <f>IF($A2096="","",IF($AB2096&amp;""='DB_設定'!$C$4,1,0))</f>
      </c>
    </row>
    <row r="2097">
      <c r="DB2097" s="2909">
        <f>IF($A2097="","",IF($AH2097=20,IF(AND(OR($A2097=21,$A2097=215),$AJ2097=10),"①病院一般",IF(AND($A2097=31,$AJ2097=41),"②病院短期","対象外")),IF($AJ2097=30,"③特定消防",IF(AND(OR($A2097=21,$A2097=215),$AJ2097=10),"④一般",IF(AND($A2097=31,$AJ2097=41),"⑤短期","対象外")))))</f>
      </c>
      <c r="DC2097" s="2909">
        <f>IF($A2097="","",IF($AB2097&amp;""='DB_設定'!$C$4,1,0))</f>
      </c>
    </row>
    <row r="2098">
      <c r="DB2098" s="2909">
        <f>IF($A2098="","",IF($AH2098=20,IF(AND(OR($A2098=21,$A2098=215),$AJ2098=10),"①病院一般",IF(AND($A2098=31,$AJ2098=41),"②病院短期","対象外")),IF($AJ2098=30,"③特定消防",IF(AND(OR($A2098=21,$A2098=215),$AJ2098=10),"④一般",IF(AND($A2098=31,$AJ2098=41),"⑤短期","対象外")))))</f>
      </c>
      <c r="DC2098" s="2909">
        <f>IF($A2098="","",IF($AB2098&amp;""='DB_設定'!$C$4,1,0))</f>
      </c>
    </row>
    <row r="2099">
      <c r="DB2099" s="2909">
        <f>IF($A2099="","",IF($AH2099=20,IF(AND(OR($A2099=21,$A2099=215),$AJ2099=10),"①病院一般",IF(AND($A2099=31,$AJ2099=41),"②病院短期","対象外")),IF($AJ2099=30,"③特定消防",IF(AND(OR($A2099=21,$A2099=215),$AJ2099=10),"④一般",IF(AND($A2099=31,$AJ2099=41),"⑤短期","対象外")))))</f>
      </c>
      <c r="DC2099" s="2909">
        <f>IF($A2099="","",IF($AB2099&amp;""='DB_設定'!$C$4,1,0))</f>
      </c>
    </row>
    <row r="2100">
      <c r="DB2100" s="2909">
        <f>IF($A2100="","",IF($AH2100=20,IF(AND(OR($A2100=21,$A2100=215),$AJ2100=10),"①病院一般",IF(AND($A2100=31,$AJ2100=41),"②病院短期","対象外")),IF($AJ2100=30,"③特定消防",IF(AND(OR($A2100=21,$A2100=215),$AJ2100=10),"④一般",IF(AND($A2100=31,$AJ2100=41),"⑤短期","対象外")))))</f>
      </c>
      <c r="DC2100" s="2909">
        <f>IF($A2100="","",IF($AB2100&amp;""='DB_設定'!$C$4,1,0))</f>
      </c>
    </row>
    <row r="2101">
      <c r="DB2101" s="2909">
        <f>IF($A2101="","",IF($AH2101=20,IF(AND(OR($A2101=21,$A2101=215),$AJ2101=10),"①病院一般",IF(AND($A2101=31,$AJ2101=41),"②病院短期","対象外")),IF($AJ2101=30,"③特定消防",IF(AND(OR($A2101=21,$A2101=215),$AJ2101=10),"④一般",IF(AND($A2101=31,$AJ2101=41),"⑤短期","対象外")))))</f>
      </c>
      <c r="DC2101" s="2909">
        <f>IF($A2101="","",IF($AB2101&amp;""='DB_設定'!$C$4,1,0))</f>
      </c>
    </row>
    <row r="2102">
      <c r="DB2102" s="2909">
        <f>IF($A2102="","",IF($AH2102=20,IF(AND(OR($A2102=21,$A2102=215),$AJ2102=10),"①病院一般",IF(AND($A2102=31,$AJ2102=41),"②病院短期","対象外")),IF($AJ2102=30,"③特定消防",IF(AND(OR($A2102=21,$A2102=215),$AJ2102=10),"④一般",IF(AND($A2102=31,$AJ2102=41),"⑤短期","対象外")))))</f>
      </c>
      <c r="DC2102" s="2909">
        <f>IF($A2102="","",IF($AB2102&amp;""='DB_設定'!$C$4,1,0))</f>
      </c>
    </row>
    <row r="2103">
      <c r="DB2103" s="2909">
        <f>IF($A2103="","",IF($AH2103=20,IF(AND(OR($A2103=21,$A2103=215),$AJ2103=10),"①病院一般",IF(AND($A2103=31,$AJ2103=41),"②病院短期","対象外")),IF($AJ2103=30,"③特定消防",IF(AND(OR($A2103=21,$A2103=215),$AJ2103=10),"④一般",IF(AND($A2103=31,$AJ2103=41),"⑤短期","対象外")))))</f>
      </c>
      <c r="DC2103" s="2909">
        <f>IF($A2103="","",IF($AB2103&amp;""='DB_設定'!$C$4,1,0))</f>
      </c>
    </row>
    <row r="2104">
      <c r="DB2104" s="2909">
        <f>IF($A2104="","",IF($AH2104=20,IF(AND(OR($A2104=21,$A2104=215),$AJ2104=10),"①病院一般",IF(AND($A2104=31,$AJ2104=41),"②病院短期","対象外")),IF($AJ2104=30,"③特定消防",IF(AND(OR($A2104=21,$A2104=215),$AJ2104=10),"④一般",IF(AND($A2104=31,$AJ2104=41),"⑤短期","対象外")))))</f>
      </c>
      <c r="DC2104" s="2909">
        <f>IF($A2104="","",IF($AB2104&amp;""='DB_設定'!$C$4,1,0))</f>
      </c>
    </row>
    <row r="2105">
      <c r="DB2105" s="2909">
        <f>IF($A2105="","",IF($AH2105=20,IF(AND(OR($A2105=21,$A2105=215),$AJ2105=10),"①病院一般",IF(AND($A2105=31,$AJ2105=41),"②病院短期","対象外")),IF($AJ2105=30,"③特定消防",IF(AND(OR($A2105=21,$A2105=215),$AJ2105=10),"④一般",IF(AND($A2105=31,$AJ2105=41),"⑤短期","対象外")))))</f>
      </c>
      <c r="DC2105" s="2909">
        <f>IF($A2105="","",IF($AB2105&amp;""='DB_設定'!$C$4,1,0))</f>
      </c>
    </row>
    <row r="2106">
      <c r="DB2106" s="2909">
        <f>IF($A2106="","",IF($AH2106=20,IF(AND(OR($A2106=21,$A2106=215),$AJ2106=10),"①病院一般",IF(AND($A2106=31,$AJ2106=41),"②病院短期","対象外")),IF($AJ2106=30,"③特定消防",IF(AND(OR($A2106=21,$A2106=215),$AJ2106=10),"④一般",IF(AND($A2106=31,$AJ2106=41),"⑤短期","対象外")))))</f>
      </c>
      <c r="DC2106" s="2909">
        <f>IF($A2106="","",IF($AB2106&amp;""='DB_設定'!$C$4,1,0))</f>
      </c>
    </row>
    <row r="2107">
      <c r="DB2107" s="2909">
        <f>IF($A2107="","",IF($AH2107=20,IF(AND(OR($A2107=21,$A2107=215),$AJ2107=10),"①病院一般",IF(AND($A2107=31,$AJ2107=41),"②病院短期","対象外")),IF($AJ2107=30,"③特定消防",IF(AND(OR($A2107=21,$A2107=215),$AJ2107=10),"④一般",IF(AND($A2107=31,$AJ2107=41),"⑤短期","対象外")))))</f>
      </c>
      <c r="DC2107" s="2909">
        <f>IF($A2107="","",IF($AB2107&amp;""='DB_設定'!$C$4,1,0))</f>
      </c>
    </row>
    <row r="2108">
      <c r="DB2108" s="2909">
        <f>IF($A2108="","",IF($AH2108=20,IF(AND(OR($A2108=21,$A2108=215),$AJ2108=10),"①病院一般",IF(AND($A2108=31,$AJ2108=41),"②病院短期","対象外")),IF($AJ2108=30,"③特定消防",IF(AND(OR($A2108=21,$A2108=215),$AJ2108=10),"④一般",IF(AND($A2108=31,$AJ2108=41),"⑤短期","対象外")))))</f>
      </c>
      <c r="DC2108" s="2909">
        <f>IF($A2108="","",IF($AB2108&amp;""='DB_設定'!$C$4,1,0))</f>
      </c>
    </row>
    <row r="2109">
      <c r="DB2109" s="2909">
        <f>IF($A2109="","",IF($AH2109=20,IF(AND(OR($A2109=21,$A2109=215),$AJ2109=10),"①病院一般",IF(AND($A2109=31,$AJ2109=41),"②病院短期","対象外")),IF($AJ2109=30,"③特定消防",IF(AND(OR($A2109=21,$A2109=215),$AJ2109=10),"④一般",IF(AND($A2109=31,$AJ2109=41),"⑤短期","対象外")))))</f>
      </c>
      <c r="DC2109" s="2909">
        <f>IF($A2109="","",IF($AB2109&amp;""='DB_設定'!$C$4,1,0))</f>
      </c>
    </row>
    <row r="2110">
      <c r="DB2110" s="2909">
        <f>IF($A2110="","",IF($AH2110=20,IF(AND(OR($A2110=21,$A2110=215),$AJ2110=10),"①病院一般",IF(AND($A2110=31,$AJ2110=41),"②病院短期","対象外")),IF($AJ2110=30,"③特定消防",IF(AND(OR($A2110=21,$A2110=215),$AJ2110=10),"④一般",IF(AND($A2110=31,$AJ2110=41),"⑤短期","対象外")))))</f>
      </c>
      <c r="DC2110" s="2909">
        <f>IF($A2110="","",IF($AB2110&amp;""='DB_設定'!$C$4,1,0))</f>
      </c>
    </row>
    <row r="2111">
      <c r="DB2111" s="2909">
        <f>IF($A2111="","",IF($AH2111=20,IF(AND(OR($A2111=21,$A2111=215),$AJ2111=10),"①病院一般",IF(AND($A2111=31,$AJ2111=41),"②病院短期","対象外")),IF($AJ2111=30,"③特定消防",IF(AND(OR($A2111=21,$A2111=215),$AJ2111=10),"④一般",IF(AND($A2111=31,$AJ2111=41),"⑤短期","対象外")))))</f>
      </c>
      <c r="DC2111" s="2909">
        <f>IF($A2111="","",IF($AB2111&amp;""='DB_設定'!$C$4,1,0))</f>
      </c>
    </row>
    <row r="2112">
      <c r="DB2112" s="2909">
        <f>IF($A2112="","",IF($AH2112=20,IF(AND(OR($A2112=21,$A2112=215),$AJ2112=10),"①病院一般",IF(AND($A2112=31,$AJ2112=41),"②病院短期","対象外")),IF($AJ2112=30,"③特定消防",IF(AND(OR($A2112=21,$A2112=215),$AJ2112=10),"④一般",IF(AND($A2112=31,$AJ2112=41),"⑤短期","対象外")))))</f>
      </c>
      <c r="DC2112" s="2909">
        <f>IF($A2112="","",IF($AB2112&amp;""='DB_設定'!$C$4,1,0))</f>
      </c>
    </row>
    <row r="2113">
      <c r="DB2113" s="2909">
        <f>IF($A2113="","",IF($AH2113=20,IF(AND(OR($A2113=21,$A2113=215),$AJ2113=10),"①病院一般",IF(AND($A2113=31,$AJ2113=41),"②病院短期","対象外")),IF($AJ2113=30,"③特定消防",IF(AND(OR($A2113=21,$A2113=215),$AJ2113=10),"④一般",IF(AND($A2113=31,$AJ2113=41),"⑤短期","対象外")))))</f>
      </c>
      <c r="DC2113" s="2909">
        <f>IF($A2113="","",IF($AB2113&amp;""='DB_設定'!$C$4,1,0))</f>
      </c>
    </row>
    <row r="2114">
      <c r="DB2114" s="2909">
        <f>IF($A2114="","",IF($AH2114=20,IF(AND(OR($A2114=21,$A2114=215),$AJ2114=10),"①病院一般",IF(AND($A2114=31,$AJ2114=41),"②病院短期","対象外")),IF($AJ2114=30,"③特定消防",IF(AND(OR($A2114=21,$A2114=215),$AJ2114=10),"④一般",IF(AND($A2114=31,$AJ2114=41),"⑤短期","対象外")))))</f>
      </c>
      <c r="DC2114" s="2909">
        <f>IF($A2114="","",IF($AB2114&amp;""='DB_設定'!$C$4,1,0))</f>
      </c>
    </row>
    <row r="2115">
      <c r="DB2115" s="2909">
        <f>IF($A2115="","",IF($AH2115=20,IF(AND(OR($A2115=21,$A2115=215),$AJ2115=10),"①病院一般",IF(AND($A2115=31,$AJ2115=41),"②病院短期","対象外")),IF($AJ2115=30,"③特定消防",IF(AND(OR($A2115=21,$A2115=215),$AJ2115=10),"④一般",IF(AND($A2115=31,$AJ2115=41),"⑤短期","対象外")))))</f>
      </c>
      <c r="DC2115" s="2909">
        <f>IF($A2115="","",IF($AB2115&amp;""='DB_設定'!$C$4,1,0))</f>
      </c>
    </row>
    <row r="2116">
      <c r="DB2116" s="2909">
        <f>IF($A2116="","",IF($AH2116=20,IF(AND(OR($A2116=21,$A2116=215),$AJ2116=10),"①病院一般",IF(AND($A2116=31,$AJ2116=41),"②病院短期","対象外")),IF($AJ2116=30,"③特定消防",IF(AND(OR($A2116=21,$A2116=215),$AJ2116=10),"④一般",IF(AND($A2116=31,$AJ2116=41),"⑤短期","対象外")))))</f>
      </c>
      <c r="DC2116" s="2909">
        <f>IF($A2116="","",IF($AB2116&amp;""='DB_設定'!$C$4,1,0))</f>
      </c>
    </row>
    <row r="2117">
      <c r="DB2117" s="2909">
        <f>IF($A2117="","",IF($AH2117=20,IF(AND(OR($A2117=21,$A2117=215),$AJ2117=10),"①病院一般",IF(AND($A2117=31,$AJ2117=41),"②病院短期","対象外")),IF($AJ2117=30,"③特定消防",IF(AND(OR($A2117=21,$A2117=215),$AJ2117=10),"④一般",IF(AND($A2117=31,$AJ2117=41),"⑤短期","対象外")))))</f>
      </c>
      <c r="DC2117" s="2909">
        <f>IF($A2117="","",IF($AB2117&amp;""='DB_設定'!$C$4,1,0))</f>
      </c>
    </row>
    <row r="2118">
      <c r="DB2118" s="2909">
        <f>IF($A2118="","",IF($AH2118=20,IF(AND(OR($A2118=21,$A2118=215),$AJ2118=10),"①病院一般",IF(AND($A2118=31,$AJ2118=41),"②病院短期","対象外")),IF($AJ2118=30,"③特定消防",IF(AND(OR($A2118=21,$A2118=215),$AJ2118=10),"④一般",IF(AND($A2118=31,$AJ2118=41),"⑤短期","対象外")))))</f>
      </c>
      <c r="DC2118" s="2909">
        <f>IF($A2118="","",IF($AB2118&amp;""='DB_設定'!$C$4,1,0))</f>
      </c>
    </row>
    <row r="2119">
      <c r="DB2119" s="2909">
        <f>IF($A2119="","",IF($AH2119=20,IF(AND(OR($A2119=21,$A2119=215),$AJ2119=10),"①病院一般",IF(AND($A2119=31,$AJ2119=41),"②病院短期","対象外")),IF($AJ2119=30,"③特定消防",IF(AND(OR($A2119=21,$A2119=215),$AJ2119=10),"④一般",IF(AND($A2119=31,$AJ2119=41),"⑤短期","対象外")))))</f>
      </c>
      <c r="DC2119" s="2909">
        <f>IF($A2119="","",IF($AB2119&amp;""='DB_設定'!$C$4,1,0))</f>
      </c>
    </row>
    <row r="2120">
      <c r="DB2120" s="2909">
        <f>IF($A2120="","",IF($AH2120=20,IF(AND(OR($A2120=21,$A2120=215),$AJ2120=10),"①病院一般",IF(AND($A2120=31,$AJ2120=41),"②病院短期","対象外")),IF($AJ2120=30,"③特定消防",IF(AND(OR($A2120=21,$A2120=215),$AJ2120=10),"④一般",IF(AND($A2120=31,$AJ2120=41),"⑤短期","対象外")))))</f>
      </c>
      <c r="DC2120" s="2909">
        <f>IF($A2120="","",IF($AB2120&amp;""='DB_設定'!$C$4,1,0))</f>
      </c>
    </row>
    <row r="2121">
      <c r="DB2121" s="2909">
        <f>IF($A2121="","",IF($AH2121=20,IF(AND(OR($A2121=21,$A2121=215),$AJ2121=10),"①病院一般",IF(AND($A2121=31,$AJ2121=41),"②病院短期","対象外")),IF($AJ2121=30,"③特定消防",IF(AND(OR($A2121=21,$A2121=215),$AJ2121=10),"④一般",IF(AND($A2121=31,$AJ2121=41),"⑤短期","対象外")))))</f>
      </c>
      <c r="DC2121" s="2909">
        <f>IF($A2121="","",IF($AB2121&amp;""='DB_設定'!$C$4,1,0))</f>
      </c>
    </row>
    <row r="2122">
      <c r="DB2122" s="2909">
        <f>IF($A2122="","",IF($AH2122=20,IF(AND(OR($A2122=21,$A2122=215),$AJ2122=10),"①病院一般",IF(AND($A2122=31,$AJ2122=41),"②病院短期","対象外")),IF($AJ2122=30,"③特定消防",IF(AND(OR($A2122=21,$A2122=215),$AJ2122=10),"④一般",IF(AND($A2122=31,$AJ2122=41),"⑤短期","対象外")))))</f>
      </c>
      <c r="DC2122" s="2909">
        <f>IF($A2122="","",IF($AB2122&amp;""='DB_設定'!$C$4,1,0))</f>
      </c>
    </row>
    <row r="2123">
      <c r="DB2123" s="2909">
        <f>IF($A2123="","",IF($AH2123=20,IF(AND(OR($A2123=21,$A2123=215),$AJ2123=10),"①病院一般",IF(AND($A2123=31,$AJ2123=41),"②病院短期","対象外")),IF($AJ2123=30,"③特定消防",IF(AND(OR($A2123=21,$A2123=215),$AJ2123=10),"④一般",IF(AND($A2123=31,$AJ2123=41),"⑤短期","対象外")))))</f>
      </c>
      <c r="DC2123" s="2909">
        <f>IF($A2123="","",IF($AB2123&amp;""='DB_設定'!$C$4,1,0))</f>
      </c>
    </row>
    <row r="2124">
      <c r="DB2124" s="2909">
        <f>IF($A2124="","",IF($AH2124=20,IF(AND(OR($A2124=21,$A2124=215),$AJ2124=10),"①病院一般",IF(AND($A2124=31,$AJ2124=41),"②病院短期","対象外")),IF($AJ2124=30,"③特定消防",IF(AND(OR($A2124=21,$A2124=215),$AJ2124=10),"④一般",IF(AND($A2124=31,$AJ2124=41),"⑤短期","対象外")))))</f>
      </c>
      <c r="DC2124" s="2909">
        <f>IF($A2124="","",IF($AB2124&amp;""='DB_設定'!$C$4,1,0))</f>
      </c>
    </row>
    <row r="2125">
      <c r="DB2125" s="2909">
        <f>IF($A2125="","",IF($AH2125=20,IF(AND(OR($A2125=21,$A2125=215),$AJ2125=10),"①病院一般",IF(AND($A2125=31,$AJ2125=41),"②病院短期","対象外")),IF($AJ2125=30,"③特定消防",IF(AND(OR($A2125=21,$A2125=215),$AJ2125=10),"④一般",IF(AND($A2125=31,$AJ2125=41),"⑤短期","対象外")))))</f>
      </c>
      <c r="DC2125" s="2909">
        <f>IF($A2125="","",IF($AB2125&amp;""='DB_設定'!$C$4,1,0))</f>
      </c>
    </row>
    <row r="2126">
      <c r="DB2126" s="2909">
        <f>IF($A2126="","",IF($AH2126=20,IF(AND(OR($A2126=21,$A2126=215),$AJ2126=10),"①病院一般",IF(AND($A2126=31,$AJ2126=41),"②病院短期","対象外")),IF($AJ2126=30,"③特定消防",IF(AND(OR($A2126=21,$A2126=215),$AJ2126=10),"④一般",IF(AND($A2126=31,$AJ2126=41),"⑤短期","対象外")))))</f>
      </c>
      <c r="DC2126" s="2909">
        <f>IF($A2126="","",IF($AB2126&amp;""='DB_設定'!$C$4,1,0))</f>
      </c>
    </row>
    <row r="2127">
      <c r="DB2127" s="2909">
        <f>IF($A2127="","",IF($AH2127=20,IF(AND(OR($A2127=21,$A2127=215),$AJ2127=10),"①病院一般",IF(AND($A2127=31,$AJ2127=41),"②病院短期","対象外")),IF($AJ2127=30,"③特定消防",IF(AND(OR($A2127=21,$A2127=215),$AJ2127=10),"④一般",IF(AND($A2127=31,$AJ2127=41),"⑤短期","対象外")))))</f>
      </c>
      <c r="DC2127" s="2909">
        <f>IF($A2127="","",IF($AB2127&amp;""='DB_設定'!$C$4,1,0))</f>
      </c>
    </row>
    <row r="2128">
      <c r="DB2128" s="2909">
        <f>IF($A2128="","",IF($AH2128=20,IF(AND(OR($A2128=21,$A2128=215),$AJ2128=10),"①病院一般",IF(AND($A2128=31,$AJ2128=41),"②病院短期","対象外")),IF($AJ2128=30,"③特定消防",IF(AND(OR($A2128=21,$A2128=215),$AJ2128=10),"④一般",IF(AND($A2128=31,$AJ2128=41),"⑤短期","対象外")))))</f>
      </c>
      <c r="DC2128" s="2909">
        <f>IF($A2128="","",IF($AB2128&amp;""='DB_設定'!$C$4,1,0))</f>
      </c>
    </row>
    <row r="2129">
      <c r="DB2129" s="2909">
        <f>IF($A2129="","",IF($AH2129=20,IF(AND(OR($A2129=21,$A2129=215),$AJ2129=10),"①病院一般",IF(AND($A2129=31,$AJ2129=41),"②病院短期","対象外")),IF($AJ2129=30,"③特定消防",IF(AND(OR($A2129=21,$A2129=215),$AJ2129=10),"④一般",IF(AND($A2129=31,$AJ2129=41),"⑤短期","対象外")))))</f>
      </c>
      <c r="DC2129" s="2909">
        <f>IF($A2129="","",IF($AB2129&amp;""='DB_設定'!$C$4,1,0))</f>
      </c>
    </row>
    <row r="2130">
      <c r="DB2130" s="2909">
        <f>IF($A2130="","",IF($AH2130=20,IF(AND(OR($A2130=21,$A2130=215),$AJ2130=10),"①病院一般",IF(AND($A2130=31,$AJ2130=41),"②病院短期","対象外")),IF($AJ2130=30,"③特定消防",IF(AND(OR($A2130=21,$A2130=215),$AJ2130=10),"④一般",IF(AND($A2130=31,$AJ2130=41),"⑤短期","対象外")))))</f>
      </c>
      <c r="DC2130" s="2909">
        <f>IF($A2130="","",IF($AB2130&amp;""='DB_設定'!$C$4,1,0))</f>
      </c>
    </row>
    <row r="2131">
      <c r="DB2131" s="2909">
        <f>IF($A2131="","",IF($AH2131=20,IF(AND(OR($A2131=21,$A2131=215),$AJ2131=10),"①病院一般",IF(AND($A2131=31,$AJ2131=41),"②病院短期","対象外")),IF($AJ2131=30,"③特定消防",IF(AND(OR($A2131=21,$A2131=215),$AJ2131=10),"④一般",IF(AND($A2131=31,$AJ2131=41),"⑤短期","対象外")))))</f>
      </c>
      <c r="DC2131" s="2909">
        <f>IF($A2131="","",IF($AB2131&amp;""='DB_設定'!$C$4,1,0))</f>
      </c>
    </row>
    <row r="2132">
      <c r="DB2132" s="2909">
        <f>IF($A2132="","",IF($AH2132=20,IF(AND(OR($A2132=21,$A2132=215),$AJ2132=10),"①病院一般",IF(AND($A2132=31,$AJ2132=41),"②病院短期","対象外")),IF($AJ2132=30,"③特定消防",IF(AND(OR($A2132=21,$A2132=215),$AJ2132=10),"④一般",IF(AND($A2132=31,$AJ2132=41),"⑤短期","対象外")))))</f>
      </c>
      <c r="DC2132" s="2909">
        <f>IF($A2132="","",IF($AB2132&amp;""='DB_設定'!$C$4,1,0))</f>
      </c>
    </row>
    <row r="2133">
      <c r="DB2133" s="2909">
        <f>IF($A2133="","",IF($AH2133=20,IF(AND(OR($A2133=21,$A2133=215),$AJ2133=10),"①病院一般",IF(AND($A2133=31,$AJ2133=41),"②病院短期","対象外")),IF($AJ2133=30,"③特定消防",IF(AND(OR($A2133=21,$A2133=215),$AJ2133=10),"④一般",IF(AND($A2133=31,$AJ2133=41),"⑤短期","対象外")))))</f>
      </c>
      <c r="DC2133" s="2909">
        <f>IF($A2133="","",IF($AB2133&amp;""='DB_設定'!$C$4,1,0))</f>
      </c>
    </row>
    <row r="2134">
      <c r="DB2134" s="2909">
        <f>IF($A2134="","",IF($AH2134=20,IF(AND(OR($A2134=21,$A2134=215),$AJ2134=10),"①病院一般",IF(AND($A2134=31,$AJ2134=41),"②病院短期","対象外")),IF($AJ2134=30,"③特定消防",IF(AND(OR($A2134=21,$A2134=215),$AJ2134=10),"④一般",IF(AND($A2134=31,$AJ2134=41),"⑤短期","対象外")))))</f>
      </c>
      <c r="DC2134" s="2909">
        <f>IF($A2134="","",IF($AB2134&amp;""='DB_設定'!$C$4,1,0))</f>
      </c>
    </row>
    <row r="2135">
      <c r="DB2135" s="2909">
        <f>IF($A2135="","",IF($AH2135=20,IF(AND(OR($A2135=21,$A2135=215),$AJ2135=10),"①病院一般",IF(AND($A2135=31,$AJ2135=41),"②病院短期","対象外")),IF($AJ2135=30,"③特定消防",IF(AND(OR($A2135=21,$A2135=215),$AJ2135=10),"④一般",IF(AND($A2135=31,$AJ2135=41),"⑤短期","対象外")))))</f>
      </c>
      <c r="DC2135" s="2909">
        <f>IF($A2135="","",IF($AB2135&amp;""='DB_設定'!$C$4,1,0))</f>
      </c>
    </row>
    <row r="2136">
      <c r="DB2136" s="2909">
        <f>IF($A2136="","",IF($AH2136=20,IF(AND(OR($A2136=21,$A2136=215),$AJ2136=10),"①病院一般",IF(AND($A2136=31,$AJ2136=41),"②病院短期","対象外")),IF($AJ2136=30,"③特定消防",IF(AND(OR($A2136=21,$A2136=215),$AJ2136=10),"④一般",IF(AND($A2136=31,$AJ2136=41),"⑤短期","対象外")))))</f>
      </c>
      <c r="DC2136" s="2909">
        <f>IF($A2136="","",IF($AB2136&amp;""='DB_設定'!$C$4,1,0))</f>
      </c>
    </row>
    <row r="2137">
      <c r="DB2137" s="2909">
        <f>IF($A2137="","",IF($AH2137=20,IF(AND(OR($A2137=21,$A2137=215),$AJ2137=10),"①病院一般",IF(AND($A2137=31,$AJ2137=41),"②病院短期","対象外")),IF($AJ2137=30,"③特定消防",IF(AND(OR($A2137=21,$A2137=215),$AJ2137=10),"④一般",IF(AND($A2137=31,$AJ2137=41),"⑤短期","対象外")))))</f>
      </c>
      <c r="DC2137" s="2909">
        <f>IF($A2137="","",IF($AB2137&amp;""='DB_設定'!$C$4,1,0))</f>
      </c>
    </row>
    <row r="2138">
      <c r="DB2138" s="2909">
        <f>IF($A2138="","",IF($AH2138=20,IF(AND(OR($A2138=21,$A2138=215),$AJ2138=10),"①病院一般",IF(AND($A2138=31,$AJ2138=41),"②病院短期","対象外")),IF($AJ2138=30,"③特定消防",IF(AND(OR($A2138=21,$A2138=215),$AJ2138=10),"④一般",IF(AND($A2138=31,$AJ2138=41),"⑤短期","対象外")))))</f>
      </c>
      <c r="DC2138" s="2909">
        <f>IF($A2138="","",IF($AB2138&amp;""='DB_設定'!$C$4,1,0))</f>
      </c>
    </row>
    <row r="2139">
      <c r="DB2139" s="2909">
        <f>IF($A2139="","",IF($AH2139=20,IF(AND(OR($A2139=21,$A2139=215),$AJ2139=10),"①病院一般",IF(AND($A2139=31,$AJ2139=41),"②病院短期","対象外")),IF($AJ2139=30,"③特定消防",IF(AND(OR($A2139=21,$A2139=215),$AJ2139=10),"④一般",IF(AND($A2139=31,$AJ2139=41),"⑤短期","対象外")))))</f>
      </c>
      <c r="DC2139" s="2909">
        <f>IF($A2139="","",IF($AB2139&amp;""='DB_設定'!$C$4,1,0))</f>
      </c>
    </row>
    <row r="2140">
      <c r="DB2140" s="2909">
        <f>IF($A2140="","",IF($AH2140=20,IF(AND(OR($A2140=21,$A2140=215),$AJ2140=10),"①病院一般",IF(AND($A2140=31,$AJ2140=41),"②病院短期","対象外")),IF($AJ2140=30,"③特定消防",IF(AND(OR($A2140=21,$A2140=215),$AJ2140=10),"④一般",IF(AND($A2140=31,$AJ2140=41),"⑤短期","対象外")))))</f>
      </c>
      <c r="DC2140" s="2909">
        <f>IF($A2140="","",IF($AB2140&amp;""='DB_設定'!$C$4,1,0))</f>
      </c>
    </row>
    <row r="2141">
      <c r="DB2141" s="2909">
        <f>IF($A2141="","",IF($AH2141=20,IF(AND(OR($A2141=21,$A2141=215),$AJ2141=10),"①病院一般",IF(AND($A2141=31,$AJ2141=41),"②病院短期","対象外")),IF($AJ2141=30,"③特定消防",IF(AND(OR($A2141=21,$A2141=215),$AJ2141=10),"④一般",IF(AND($A2141=31,$AJ2141=41),"⑤短期","対象外")))))</f>
      </c>
      <c r="DC2141" s="2909">
        <f>IF($A2141="","",IF($AB2141&amp;""='DB_設定'!$C$4,1,0))</f>
      </c>
    </row>
    <row r="2142">
      <c r="DB2142" s="2909">
        <f>IF($A2142="","",IF($AH2142=20,IF(AND(OR($A2142=21,$A2142=215),$AJ2142=10),"①病院一般",IF(AND($A2142=31,$AJ2142=41),"②病院短期","対象外")),IF($AJ2142=30,"③特定消防",IF(AND(OR($A2142=21,$A2142=215),$AJ2142=10),"④一般",IF(AND($A2142=31,$AJ2142=41),"⑤短期","対象外")))))</f>
      </c>
      <c r="DC2142" s="2909">
        <f>IF($A2142="","",IF($AB2142&amp;""='DB_設定'!$C$4,1,0))</f>
      </c>
    </row>
    <row r="2143">
      <c r="DB2143" s="2909">
        <f>IF($A2143="","",IF($AH2143=20,IF(AND(OR($A2143=21,$A2143=215),$AJ2143=10),"①病院一般",IF(AND($A2143=31,$AJ2143=41),"②病院短期","対象外")),IF($AJ2143=30,"③特定消防",IF(AND(OR($A2143=21,$A2143=215),$AJ2143=10),"④一般",IF(AND($A2143=31,$AJ2143=41),"⑤短期","対象外")))))</f>
      </c>
      <c r="DC2143" s="2909">
        <f>IF($A2143="","",IF($AB2143&amp;""='DB_設定'!$C$4,1,0))</f>
      </c>
    </row>
    <row r="2144">
      <c r="DB2144" s="2909">
        <f>IF($A2144="","",IF($AH2144=20,IF(AND(OR($A2144=21,$A2144=215),$AJ2144=10),"①病院一般",IF(AND($A2144=31,$AJ2144=41),"②病院短期","対象外")),IF($AJ2144=30,"③特定消防",IF(AND(OR($A2144=21,$A2144=215),$AJ2144=10),"④一般",IF(AND($A2144=31,$AJ2144=41),"⑤短期","対象外")))))</f>
      </c>
      <c r="DC2144" s="2909">
        <f>IF($A2144="","",IF($AB2144&amp;""='DB_設定'!$C$4,1,0))</f>
      </c>
    </row>
    <row r="2145">
      <c r="DB2145" s="2909">
        <f>IF($A2145="","",IF($AH2145=20,IF(AND(OR($A2145=21,$A2145=215),$AJ2145=10),"①病院一般",IF(AND($A2145=31,$AJ2145=41),"②病院短期","対象外")),IF($AJ2145=30,"③特定消防",IF(AND(OR($A2145=21,$A2145=215),$AJ2145=10),"④一般",IF(AND($A2145=31,$AJ2145=41),"⑤短期","対象外")))))</f>
      </c>
      <c r="DC2145" s="2909">
        <f>IF($A2145="","",IF($AB2145&amp;""='DB_設定'!$C$4,1,0))</f>
      </c>
    </row>
    <row r="2146">
      <c r="DB2146" s="2909">
        <f>IF($A2146="","",IF($AH2146=20,IF(AND(OR($A2146=21,$A2146=215),$AJ2146=10),"①病院一般",IF(AND($A2146=31,$AJ2146=41),"②病院短期","対象外")),IF($AJ2146=30,"③特定消防",IF(AND(OR($A2146=21,$A2146=215),$AJ2146=10),"④一般",IF(AND($A2146=31,$AJ2146=41),"⑤短期","対象外")))))</f>
      </c>
      <c r="DC2146" s="2909">
        <f>IF($A2146="","",IF($AB2146&amp;""='DB_設定'!$C$4,1,0))</f>
      </c>
    </row>
    <row r="2147">
      <c r="DB2147" s="2909">
        <f>IF($A2147="","",IF($AH2147=20,IF(AND(OR($A2147=21,$A2147=215),$AJ2147=10),"①病院一般",IF(AND($A2147=31,$AJ2147=41),"②病院短期","対象外")),IF($AJ2147=30,"③特定消防",IF(AND(OR($A2147=21,$A2147=215),$AJ2147=10),"④一般",IF(AND($A2147=31,$AJ2147=41),"⑤短期","対象外")))))</f>
      </c>
      <c r="DC2147" s="2909">
        <f>IF($A2147="","",IF($AB2147&amp;""='DB_設定'!$C$4,1,0))</f>
      </c>
    </row>
    <row r="2148">
      <c r="DB2148" s="2909">
        <f>IF($A2148="","",IF($AH2148=20,IF(AND(OR($A2148=21,$A2148=215),$AJ2148=10),"①病院一般",IF(AND($A2148=31,$AJ2148=41),"②病院短期","対象外")),IF($AJ2148=30,"③特定消防",IF(AND(OR($A2148=21,$A2148=215),$AJ2148=10),"④一般",IF(AND($A2148=31,$AJ2148=41),"⑤短期","対象外")))))</f>
      </c>
      <c r="DC2148" s="2909">
        <f>IF($A2148="","",IF($AB2148&amp;""='DB_設定'!$C$4,1,0))</f>
      </c>
    </row>
    <row r="2149">
      <c r="DB2149" s="2909">
        <f>IF($A2149="","",IF($AH2149=20,IF(AND(OR($A2149=21,$A2149=215),$AJ2149=10),"①病院一般",IF(AND($A2149=31,$AJ2149=41),"②病院短期","対象外")),IF($AJ2149=30,"③特定消防",IF(AND(OR($A2149=21,$A2149=215),$AJ2149=10),"④一般",IF(AND($A2149=31,$AJ2149=41),"⑤短期","対象外")))))</f>
      </c>
      <c r="DC2149" s="2909">
        <f>IF($A2149="","",IF($AB2149&amp;""='DB_設定'!$C$4,1,0))</f>
      </c>
    </row>
    <row r="2150">
      <c r="DB2150" s="2909">
        <f>IF($A2150="","",IF($AH2150=20,IF(AND(OR($A2150=21,$A2150=215),$AJ2150=10),"①病院一般",IF(AND($A2150=31,$AJ2150=41),"②病院短期","対象外")),IF($AJ2150=30,"③特定消防",IF(AND(OR($A2150=21,$A2150=215),$AJ2150=10),"④一般",IF(AND($A2150=31,$AJ2150=41),"⑤短期","対象外")))))</f>
      </c>
      <c r="DC2150" s="2909">
        <f>IF($A2150="","",IF($AB2150&amp;""='DB_設定'!$C$4,1,0))</f>
      </c>
    </row>
    <row r="2151">
      <c r="DB2151" s="2909">
        <f>IF($A2151="","",IF($AH2151=20,IF(AND(OR($A2151=21,$A2151=215),$AJ2151=10),"①病院一般",IF(AND($A2151=31,$AJ2151=41),"②病院短期","対象外")),IF($AJ2151=30,"③特定消防",IF(AND(OR($A2151=21,$A2151=215),$AJ2151=10),"④一般",IF(AND($A2151=31,$AJ2151=41),"⑤短期","対象外")))))</f>
      </c>
      <c r="DC2151" s="2909">
        <f>IF($A2151="","",IF($AB2151&amp;""='DB_設定'!$C$4,1,0))</f>
      </c>
    </row>
    <row r="2152">
      <c r="DB2152" s="2909">
        <f>IF($A2152="","",IF($AH2152=20,IF(AND(OR($A2152=21,$A2152=215),$AJ2152=10),"①病院一般",IF(AND($A2152=31,$AJ2152=41),"②病院短期","対象外")),IF($AJ2152=30,"③特定消防",IF(AND(OR($A2152=21,$A2152=215),$AJ2152=10),"④一般",IF(AND($A2152=31,$AJ2152=41),"⑤短期","対象外")))))</f>
      </c>
      <c r="DC2152" s="2909">
        <f>IF($A2152="","",IF($AB2152&amp;""='DB_設定'!$C$4,1,0))</f>
      </c>
    </row>
    <row r="2153">
      <c r="DB2153" s="2909">
        <f>IF($A2153="","",IF($AH2153=20,IF(AND(OR($A2153=21,$A2153=215),$AJ2153=10),"①病院一般",IF(AND($A2153=31,$AJ2153=41),"②病院短期","対象外")),IF($AJ2153=30,"③特定消防",IF(AND(OR($A2153=21,$A2153=215),$AJ2153=10),"④一般",IF(AND($A2153=31,$AJ2153=41),"⑤短期","対象外")))))</f>
      </c>
      <c r="DC2153" s="2909">
        <f>IF($A2153="","",IF($AB2153&amp;""='DB_設定'!$C$4,1,0))</f>
      </c>
    </row>
    <row r="2154">
      <c r="DB2154" s="2909">
        <f>IF($A2154="","",IF($AH2154=20,IF(AND(OR($A2154=21,$A2154=215),$AJ2154=10),"①病院一般",IF(AND($A2154=31,$AJ2154=41),"②病院短期","対象外")),IF($AJ2154=30,"③特定消防",IF(AND(OR($A2154=21,$A2154=215),$AJ2154=10),"④一般",IF(AND($A2154=31,$AJ2154=41),"⑤短期","対象外")))))</f>
      </c>
      <c r="DC2154" s="2909">
        <f>IF($A2154="","",IF($AB2154&amp;""='DB_設定'!$C$4,1,0))</f>
      </c>
    </row>
    <row r="2155">
      <c r="DB2155" s="2909">
        <f>IF($A2155="","",IF($AH2155=20,IF(AND(OR($A2155=21,$A2155=215),$AJ2155=10),"①病院一般",IF(AND($A2155=31,$AJ2155=41),"②病院短期","対象外")),IF($AJ2155=30,"③特定消防",IF(AND(OR($A2155=21,$A2155=215),$AJ2155=10),"④一般",IF(AND($A2155=31,$AJ2155=41),"⑤短期","対象外")))))</f>
      </c>
      <c r="DC2155" s="2909">
        <f>IF($A2155="","",IF($AB2155&amp;""='DB_設定'!$C$4,1,0))</f>
      </c>
    </row>
    <row r="2156">
      <c r="DB2156" s="2909">
        <f>IF($A2156="","",IF($AH2156=20,IF(AND(OR($A2156=21,$A2156=215),$AJ2156=10),"①病院一般",IF(AND($A2156=31,$AJ2156=41),"②病院短期","対象外")),IF($AJ2156=30,"③特定消防",IF(AND(OR($A2156=21,$A2156=215),$AJ2156=10),"④一般",IF(AND($A2156=31,$AJ2156=41),"⑤短期","対象外")))))</f>
      </c>
      <c r="DC2156" s="2909">
        <f>IF($A2156="","",IF($AB2156&amp;""='DB_設定'!$C$4,1,0))</f>
      </c>
    </row>
    <row r="2157">
      <c r="DB2157" s="2909">
        <f>IF($A2157="","",IF($AH2157=20,IF(AND(OR($A2157=21,$A2157=215),$AJ2157=10),"①病院一般",IF(AND($A2157=31,$AJ2157=41),"②病院短期","対象外")),IF($AJ2157=30,"③特定消防",IF(AND(OR($A2157=21,$A2157=215),$AJ2157=10),"④一般",IF(AND($A2157=31,$AJ2157=41),"⑤短期","対象外")))))</f>
      </c>
      <c r="DC2157" s="2909">
        <f>IF($A2157="","",IF($AB2157&amp;""='DB_設定'!$C$4,1,0))</f>
      </c>
    </row>
    <row r="2158">
      <c r="DB2158" s="2909">
        <f>IF($A2158="","",IF($AH2158=20,IF(AND(OR($A2158=21,$A2158=215),$AJ2158=10),"①病院一般",IF(AND($A2158=31,$AJ2158=41),"②病院短期","対象外")),IF($AJ2158=30,"③特定消防",IF(AND(OR($A2158=21,$A2158=215),$AJ2158=10),"④一般",IF(AND($A2158=31,$AJ2158=41),"⑤短期","対象外")))))</f>
      </c>
      <c r="DC2158" s="2909">
        <f>IF($A2158="","",IF($AB2158&amp;""='DB_設定'!$C$4,1,0))</f>
      </c>
    </row>
    <row r="2159">
      <c r="DB2159" s="2909">
        <f>IF($A2159="","",IF($AH2159=20,IF(AND(OR($A2159=21,$A2159=215),$AJ2159=10),"①病院一般",IF(AND($A2159=31,$AJ2159=41),"②病院短期","対象外")),IF($AJ2159=30,"③特定消防",IF(AND(OR($A2159=21,$A2159=215),$AJ2159=10),"④一般",IF(AND($A2159=31,$AJ2159=41),"⑤短期","対象外")))))</f>
      </c>
      <c r="DC2159" s="2909">
        <f>IF($A2159="","",IF($AB2159&amp;""='DB_設定'!$C$4,1,0))</f>
      </c>
    </row>
    <row r="2160">
      <c r="DB2160" s="2909">
        <f>IF($A2160="","",IF($AH2160=20,IF(AND(OR($A2160=21,$A2160=215),$AJ2160=10),"①病院一般",IF(AND($A2160=31,$AJ2160=41),"②病院短期","対象外")),IF($AJ2160=30,"③特定消防",IF(AND(OR($A2160=21,$A2160=215),$AJ2160=10),"④一般",IF(AND($A2160=31,$AJ2160=41),"⑤短期","対象外")))))</f>
      </c>
      <c r="DC2160" s="2909">
        <f>IF($A2160="","",IF($AB2160&amp;""='DB_設定'!$C$4,1,0))</f>
      </c>
    </row>
    <row r="2161">
      <c r="DB2161" s="2909">
        <f>IF($A2161="","",IF($AH2161=20,IF(AND(OR($A2161=21,$A2161=215),$AJ2161=10),"①病院一般",IF(AND($A2161=31,$AJ2161=41),"②病院短期","対象外")),IF($AJ2161=30,"③特定消防",IF(AND(OR($A2161=21,$A2161=215),$AJ2161=10),"④一般",IF(AND($A2161=31,$AJ2161=41),"⑤短期","対象外")))))</f>
      </c>
      <c r="DC2161" s="2909">
        <f>IF($A2161="","",IF($AB2161&amp;""='DB_設定'!$C$4,1,0))</f>
      </c>
    </row>
    <row r="2162">
      <c r="DB2162" s="2909">
        <f>IF($A2162="","",IF($AH2162=20,IF(AND(OR($A2162=21,$A2162=215),$AJ2162=10),"①病院一般",IF(AND($A2162=31,$AJ2162=41),"②病院短期","対象外")),IF($AJ2162=30,"③特定消防",IF(AND(OR($A2162=21,$A2162=215),$AJ2162=10),"④一般",IF(AND($A2162=31,$AJ2162=41),"⑤短期","対象外")))))</f>
      </c>
      <c r="DC2162" s="2909">
        <f>IF($A2162="","",IF($AB2162&amp;""='DB_設定'!$C$4,1,0))</f>
      </c>
    </row>
    <row r="2163">
      <c r="DB2163" s="2909">
        <f>IF($A2163="","",IF($AH2163=20,IF(AND(OR($A2163=21,$A2163=215),$AJ2163=10),"①病院一般",IF(AND($A2163=31,$AJ2163=41),"②病院短期","対象外")),IF($AJ2163=30,"③特定消防",IF(AND(OR($A2163=21,$A2163=215),$AJ2163=10),"④一般",IF(AND($A2163=31,$AJ2163=41),"⑤短期","対象外")))))</f>
      </c>
      <c r="DC2163" s="2909">
        <f>IF($A2163="","",IF($AB2163&amp;""='DB_設定'!$C$4,1,0))</f>
      </c>
    </row>
    <row r="2164">
      <c r="DB2164" s="2909">
        <f>IF($A2164="","",IF($AH2164=20,IF(AND(OR($A2164=21,$A2164=215),$AJ2164=10),"①病院一般",IF(AND($A2164=31,$AJ2164=41),"②病院短期","対象外")),IF($AJ2164=30,"③特定消防",IF(AND(OR($A2164=21,$A2164=215),$AJ2164=10),"④一般",IF(AND($A2164=31,$AJ2164=41),"⑤短期","対象外")))))</f>
      </c>
      <c r="DC2164" s="2909">
        <f>IF($A2164="","",IF($AB2164&amp;""='DB_設定'!$C$4,1,0))</f>
      </c>
    </row>
    <row r="2165">
      <c r="DB2165" s="2909">
        <f>IF($A2165="","",IF($AH2165=20,IF(AND(OR($A2165=21,$A2165=215),$AJ2165=10),"①病院一般",IF(AND($A2165=31,$AJ2165=41),"②病院短期","対象外")),IF($AJ2165=30,"③特定消防",IF(AND(OR($A2165=21,$A2165=215),$AJ2165=10),"④一般",IF(AND($A2165=31,$AJ2165=41),"⑤短期","対象外")))))</f>
      </c>
      <c r="DC2165" s="2909">
        <f>IF($A2165="","",IF($AB2165&amp;""='DB_設定'!$C$4,1,0))</f>
      </c>
    </row>
    <row r="2166">
      <c r="DB2166" s="2909">
        <f>IF($A2166="","",IF($AH2166=20,IF(AND(OR($A2166=21,$A2166=215),$AJ2166=10),"①病院一般",IF(AND($A2166=31,$AJ2166=41),"②病院短期","対象外")),IF($AJ2166=30,"③特定消防",IF(AND(OR($A2166=21,$A2166=215),$AJ2166=10),"④一般",IF(AND($A2166=31,$AJ2166=41),"⑤短期","対象外")))))</f>
      </c>
      <c r="DC2166" s="2909">
        <f>IF($A2166="","",IF($AB2166&amp;""='DB_設定'!$C$4,1,0))</f>
      </c>
    </row>
    <row r="2167">
      <c r="DB2167" s="2909">
        <f>IF($A2167="","",IF($AH2167=20,IF(AND(OR($A2167=21,$A2167=215),$AJ2167=10),"①病院一般",IF(AND($A2167=31,$AJ2167=41),"②病院短期","対象外")),IF($AJ2167=30,"③特定消防",IF(AND(OR($A2167=21,$A2167=215),$AJ2167=10),"④一般",IF(AND($A2167=31,$AJ2167=41),"⑤短期","対象外")))))</f>
      </c>
      <c r="DC2167" s="2909">
        <f>IF($A2167="","",IF($AB2167&amp;""='DB_設定'!$C$4,1,0))</f>
      </c>
    </row>
    <row r="2168">
      <c r="DB2168" s="2909">
        <f>IF($A2168="","",IF($AH2168=20,IF(AND(OR($A2168=21,$A2168=215),$AJ2168=10),"①病院一般",IF(AND($A2168=31,$AJ2168=41),"②病院短期","対象外")),IF($AJ2168=30,"③特定消防",IF(AND(OR($A2168=21,$A2168=215),$AJ2168=10),"④一般",IF(AND($A2168=31,$AJ2168=41),"⑤短期","対象外")))))</f>
      </c>
      <c r="DC2168" s="2909">
        <f>IF($A2168="","",IF($AB2168&amp;""='DB_設定'!$C$4,1,0))</f>
      </c>
    </row>
    <row r="2169">
      <c r="DB2169" s="2909">
        <f>IF($A2169="","",IF($AH2169=20,IF(AND(OR($A2169=21,$A2169=215),$AJ2169=10),"①病院一般",IF(AND($A2169=31,$AJ2169=41),"②病院短期","対象外")),IF($AJ2169=30,"③特定消防",IF(AND(OR($A2169=21,$A2169=215),$AJ2169=10),"④一般",IF(AND($A2169=31,$AJ2169=41),"⑤短期","対象外")))))</f>
      </c>
      <c r="DC2169" s="2909">
        <f>IF($A2169="","",IF($AB2169&amp;""='DB_設定'!$C$4,1,0))</f>
      </c>
    </row>
    <row r="2170">
      <c r="DB2170" s="2909">
        <f>IF($A2170="","",IF($AH2170=20,IF(AND(OR($A2170=21,$A2170=215),$AJ2170=10),"①病院一般",IF(AND($A2170=31,$AJ2170=41),"②病院短期","対象外")),IF($AJ2170=30,"③特定消防",IF(AND(OR($A2170=21,$A2170=215),$AJ2170=10),"④一般",IF(AND($A2170=31,$AJ2170=41),"⑤短期","対象外")))))</f>
      </c>
      <c r="DC2170" s="2909">
        <f>IF($A2170="","",IF($AB2170&amp;""='DB_設定'!$C$4,1,0))</f>
      </c>
    </row>
    <row r="2171">
      <c r="DB2171" s="2909">
        <f>IF($A2171="","",IF($AH2171=20,IF(AND(OR($A2171=21,$A2171=215),$AJ2171=10),"①病院一般",IF(AND($A2171=31,$AJ2171=41),"②病院短期","対象外")),IF($AJ2171=30,"③特定消防",IF(AND(OR($A2171=21,$A2171=215),$AJ2171=10),"④一般",IF(AND($A2171=31,$AJ2171=41),"⑤短期","対象外")))))</f>
      </c>
      <c r="DC2171" s="2909">
        <f>IF($A2171="","",IF($AB2171&amp;""='DB_設定'!$C$4,1,0))</f>
      </c>
    </row>
    <row r="2172">
      <c r="DB2172" s="2909">
        <f>IF($A2172="","",IF($AH2172=20,IF(AND(OR($A2172=21,$A2172=215),$AJ2172=10),"①病院一般",IF(AND($A2172=31,$AJ2172=41),"②病院短期","対象外")),IF($AJ2172=30,"③特定消防",IF(AND(OR($A2172=21,$A2172=215),$AJ2172=10),"④一般",IF(AND($A2172=31,$AJ2172=41),"⑤短期","対象外")))))</f>
      </c>
      <c r="DC2172" s="2909">
        <f>IF($A2172="","",IF($AB2172&amp;""='DB_設定'!$C$4,1,0))</f>
      </c>
    </row>
    <row r="2173">
      <c r="DB2173" s="2909">
        <f>IF($A2173="","",IF($AH2173=20,IF(AND(OR($A2173=21,$A2173=215),$AJ2173=10),"①病院一般",IF(AND($A2173=31,$AJ2173=41),"②病院短期","対象外")),IF($AJ2173=30,"③特定消防",IF(AND(OR($A2173=21,$A2173=215),$AJ2173=10),"④一般",IF(AND($A2173=31,$AJ2173=41),"⑤短期","対象外")))))</f>
      </c>
      <c r="DC2173" s="2909">
        <f>IF($A2173="","",IF($AB2173&amp;""='DB_設定'!$C$4,1,0))</f>
      </c>
    </row>
    <row r="2174">
      <c r="DB2174" s="2909">
        <f>IF($A2174="","",IF($AH2174=20,IF(AND(OR($A2174=21,$A2174=215),$AJ2174=10),"①病院一般",IF(AND($A2174=31,$AJ2174=41),"②病院短期","対象外")),IF($AJ2174=30,"③特定消防",IF(AND(OR($A2174=21,$A2174=215),$AJ2174=10),"④一般",IF(AND($A2174=31,$AJ2174=41),"⑤短期","対象外")))))</f>
      </c>
      <c r="DC2174" s="2909">
        <f>IF($A2174="","",IF($AB2174&amp;""='DB_設定'!$C$4,1,0))</f>
      </c>
    </row>
    <row r="2175">
      <c r="DB2175" s="2909">
        <f>IF($A2175="","",IF($AH2175=20,IF(AND(OR($A2175=21,$A2175=215),$AJ2175=10),"①病院一般",IF(AND($A2175=31,$AJ2175=41),"②病院短期","対象外")),IF($AJ2175=30,"③特定消防",IF(AND(OR($A2175=21,$A2175=215),$AJ2175=10),"④一般",IF(AND($A2175=31,$AJ2175=41),"⑤短期","対象外")))))</f>
      </c>
      <c r="DC2175" s="2909">
        <f>IF($A2175="","",IF($AB2175&amp;""='DB_設定'!$C$4,1,0))</f>
      </c>
    </row>
    <row r="2176">
      <c r="DB2176" s="2909">
        <f>IF($A2176="","",IF($AH2176=20,IF(AND(OR($A2176=21,$A2176=215),$AJ2176=10),"①病院一般",IF(AND($A2176=31,$AJ2176=41),"②病院短期","対象外")),IF($AJ2176=30,"③特定消防",IF(AND(OR($A2176=21,$A2176=215),$AJ2176=10),"④一般",IF(AND($A2176=31,$AJ2176=41),"⑤短期","対象外")))))</f>
      </c>
      <c r="DC2176" s="2909">
        <f>IF($A2176="","",IF($AB2176&amp;""='DB_設定'!$C$4,1,0))</f>
      </c>
    </row>
    <row r="2177">
      <c r="DB2177" s="2909">
        <f>IF($A2177="","",IF($AH2177=20,IF(AND(OR($A2177=21,$A2177=215),$AJ2177=10),"①病院一般",IF(AND($A2177=31,$AJ2177=41),"②病院短期","対象外")),IF($AJ2177=30,"③特定消防",IF(AND(OR($A2177=21,$A2177=215),$AJ2177=10),"④一般",IF(AND($A2177=31,$AJ2177=41),"⑤短期","対象外")))))</f>
      </c>
      <c r="DC2177" s="2909">
        <f>IF($A2177="","",IF($AB2177&amp;""='DB_設定'!$C$4,1,0))</f>
      </c>
    </row>
    <row r="2178">
      <c r="DB2178" s="2909">
        <f>IF($A2178="","",IF($AH2178=20,IF(AND(OR($A2178=21,$A2178=215),$AJ2178=10),"①病院一般",IF(AND($A2178=31,$AJ2178=41),"②病院短期","対象外")),IF($AJ2178=30,"③特定消防",IF(AND(OR($A2178=21,$A2178=215),$AJ2178=10),"④一般",IF(AND($A2178=31,$AJ2178=41),"⑤短期","対象外")))))</f>
      </c>
      <c r="DC2178" s="2909">
        <f>IF($A2178="","",IF($AB2178&amp;""='DB_設定'!$C$4,1,0))</f>
      </c>
    </row>
    <row r="2179">
      <c r="DB2179" s="2909">
        <f>IF($A2179="","",IF($AH2179=20,IF(AND(OR($A2179=21,$A2179=215),$AJ2179=10),"①病院一般",IF(AND($A2179=31,$AJ2179=41),"②病院短期","対象外")),IF($AJ2179=30,"③特定消防",IF(AND(OR($A2179=21,$A2179=215),$AJ2179=10),"④一般",IF(AND($A2179=31,$AJ2179=41),"⑤短期","対象外")))))</f>
      </c>
      <c r="DC2179" s="2909">
        <f>IF($A2179="","",IF($AB2179&amp;""='DB_設定'!$C$4,1,0))</f>
      </c>
    </row>
    <row r="2180">
      <c r="DB2180" s="2909">
        <f>IF($A2180="","",IF($AH2180=20,IF(AND(OR($A2180=21,$A2180=215),$AJ2180=10),"①病院一般",IF(AND($A2180=31,$AJ2180=41),"②病院短期","対象外")),IF($AJ2180=30,"③特定消防",IF(AND(OR($A2180=21,$A2180=215),$AJ2180=10),"④一般",IF(AND($A2180=31,$AJ2180=41),"⑤短期","対象外")))))</f>
      </c>
      <c r="DC2180" s="2909">
        <f>IF($A2180="","",IF($AB2180&amp;""='DB_設定'!$C$4,1,0))</f>
      </c>
    </row>
    <row r="2181">
      <c r="DB2181" s="2909">
        <f>IF($A2181="","",IF($AH2181=20,IF(AND(OR($A2181=21,$A2181=215),$AJ2181=10),"①病院一般",IF(AND($A2181=31,$AJ2181=41),"②病院短期","対象外")),IF($AJ2181=30,"③特定消防",IF(AND(OR($A2181=21,$A2181=215),$AJ2181=10),"④一般",IF(AND($A2181=31,$AJ2181=41),"⑤短期","対象外")))))</f>
      </c>
      <c r="DC2181" s="2909">
        <f>IF($A2181="","",IF($AB2181&amp;""='DB_設定'!$C$4,1,0))</f>
      </c>
    </row>
    <row r="2182">
      <c r="DB2182" s="2909">
        <f>IF($A2182="","",IF($AH2182=20,IF(AND(OR($A2182=21,$A2182=215),$AJ2182=10),"①病院一般",IF(AND($A2182=31,$AJ2182=41),"②病院短期","対象外")),IF($AJ2182=30,"③特定消防",IF(AND(OR($A2182=21,$A2182=215),$AJ2182=10),"④一般",IF(AND($A2182=31,$AJ2182=41),"⑤短期","対象外")))))</f>
      </c>
      <c r="DC2182" s="2909">
        <f>IF($A2182="","",IF($AB2182&amp;""='DB_設定'!$C$4,1,0))</f>
      </c>
    </row>
    <row r="2183">
      <c r="DB2183" s="2909">
        <f>IF($A2183="","",IF($AH2183=20,IF(AND(OR($A2183=21,$A2183=215),$AJ2183=10),"①病院一般",IF(AND($A2183=31,$AJ2183=41),"②病院短期","対象外")),IF($AJ2183=30,"③特定消防",IF(AND(OR($A2183=21,$A2183=215),$AJ2183=10),"④一般",IF(AND($A2183=31,$AJ2183=41),"⑤短期","対象外")))))</f>
      </c>
      <c r="DC2183" s="2909">
        <f>IF($A2183="","",IF($AB2183&amp;""='DB_設定'!$C$4,1,0))</f>
      </c>
    </row>
    <row r="2184">
      <c r="DB2184" s="2909">
        <f>IF($A2184="","",IF($AH2184=20,IF(AND(OR($A2184=21,$A2184=215),$AJ2184=10),"①病院一般",IF(AND($A2184=31,$AJ2184=41),"②病院短期","対象外")),IF($AJ2184=30,"③特定消防",IF(AND(OR($A2184=21,$A2184=215),$AJ2184=10),"④一般",IF(AND($A2184=31,$AJ2184=41),"⑤短期","対象外")))))</f>
      </c>
      <c r="DC2184" s="2909">
        <f>IF($A2184="","",IF($AB2184&amp;""='DB_設定'!$C$4,1,0))</f>
      </c>
    </row>
    <row r="2185">
      <c r="DB2185" s="2909">
        <f>IF($A2185="","",IF($AH2185=20,IF(AND(OR($A2185=21,$A2185=215),$AJ2185=10),"①病院一般",IF(AND($A2185=31,$AJ2185=41),"②病院短期","対象外")),IF($AJ2185=30,"③特定消防",IF(AND(OR($A2185=21,$A2185=215),$AJ2185=10),"④一般",IF(AND($A2185=31,$AJ2185=41),"⑤短期","対象外")))))</f>
      </c>
      <c r="DC2185" s="2909">
        <f>IF($A2185="","",IF($AB2185&amp;""='DB_設定'!$C$4,1,0))</f>
      </c>
    </row>
    <row r="2186">
      <c r="DB2186" s="2909">
        <f>IF($A2186="","",IF($AH2186=20,IF(AND(OR($A2186=21,$A2186=215),$AJ2186=10),"①病院一般",IF(AND($A2186=31,$AJ2186=41),"②病院短期","対象外")),IF($AJ2186=30,"③特定消防",IF(AND(OR($A2186=21,$A2186=215),$AJ2186=10),"④一般",IF(AND($A2186=31,$AJ2186=41),"⑤短期","対象外")))))</f>
      </c>
      <c r="DC2186" s="2909">
        <f>IF($A2186="","",IF($AB2186&amp;""='DB_設定'!$C$4,1,0))</f>
      </c>
    </row>
    <row r="2187">
      <c r="DB2187" s="2909">
        <f>IF($A2187="","",IF($AH2187=20,IF(AND(OR($A2187=21,$A2187=215),$AJ2187=10),"①病院一般",IF(AND($A2187=31,$AJ2187=41),"②病院短期","対象外")),IF($AJ2187=30,"③特定消防",IF(AND(OR($A2187=21,$A2187=215),$AJ2187=10),"④一般",IF(AND($A2187=31,$AJ2187=41),"⑤短期","対象外")))))</f>
      </c>
      <c r="DC2187" s="2909">
        <f>IF($A2187="","",IF($AB2187&amp;""='DB_設定'!$C$4,1,0))</f>
      </c>
    </row>
    <row r="2188">
      <c r="DB2188" s="2909">
        <f>IF($A2188="","",IF($AH2188=20,IF(AND(OR($A2188=21,$A2188=215),$AJ2188=10),"①病院一般",IF(AND($A2188=31,$AJ2188=41),"②病院短期","対象外")),IF($AJ2188=30,"③特定消防",IF(AND(OR($A2188=21,$A2188=215),$AJ2188=10),"④一般",IF(AND($A2188=31,$AJ2188=41),"⑤短期","対象外")))))</f>
      </c>
      <c r="DC2188" s="2909">
        <f>IF($A2188="","",IF($AB2188&amp;""='DB_設定'!$C$4,1,0))</f>
      </c>
    </row>
    <row r="2189">
      <c r="DB2189" s="2909">
        <f>IF($A2189="","",IF($AH2189=20,IF(AND(OR($A2189=21,$A2189=215),$AJ2189=10),"①病院一般",IF(AND($A2189=31,$AJ2189=41),"②病院短期","対象外")),IF($AJ2189=30,"③特定消防",IF(AND(OR($A2189=21,$A2189=215),$AJ2189=10),"④一般",IF(AND($A2189=31,$AJ2189=41),"⑤短期","対象外")))))</f>
      </c>
      <c r="DC2189" s="2909">
        <f>IF($A2189="","",IF($AB2189&amp;""='DB_設定'!$C$4,1,0))</f>
      </c>
    </row>
    <row r="2190">
      <c r="DB2190" s="2909">
        <f>IF($A2190="","",IF($AH2190=20,IF(AND(OR($A2190=21,$A2190=215),$AJ2190=10),"①病院一般",IF(AND($A2190=31,$AJ2190=41),"②病院短期","対象外")),IF($AJ2190=30,"③特定消防",IF(AND(OR($A2190=21,$A2190=215),$AJ2190=10),"④一般",IF(AND($A2190=31,$AJ2190=41),"⑤短期","対象外")))))</f>
      </c>
      <c r="DC2190" s="2909">
        <f>IF($A2190="","",IF($AB2190&amp;""='DB_設定'!$C$4,1,0))</f>
      </c>
    </row>
    <row r="2191">
      <c r="DB2191" s="2909">
        <f>IF($A2191="","",IF($AH2191=20,IF(AND(OR($A2191=21,$A2191=215),$AJ2191=10),"①病院一般",IF(AND($A2191=31,$AJ2191=41),"②病院短期","対象外")),IF($AJ2191=30,"③特定消防",IF(AND(OR($A2191=21,$A2191=215),$AJ2191=10),"④一般",IF(AND($A2191=31,$AJ2191=41),"⑤短期","対象外")))))</f>
      </c>
      <c r="DC2191" s="2909">
        <f>IF($A2191="","",IF($AB2191&amp;""='DB_設定'!$C$4,1,0))</f>
      </c>
    </row>
    <row r="2192">
      <c r="DB2192" s="2909">
        <f>IF($A2192="","",IF($AH2192=20,IF(AND(OR($A2192=21,$A2192=215),$AJ2192=10),"①病院一般",IF(AND($A2192=31,$AJ2192=41),"②病院短期","対象外")),IF($AJ2192=30,"③特定消防",IF(AND(OR($A2192=21,$A2192=215),$AJ2192=10),"④一般",IF(AND($A2192=31,$AJ2192=41),"⑤短期","対象外")))))</f>
      </c>
      <c r="DC2192" s="2909">
        <f>IF($A2192="","",IF($AB2192&amp;""='DB_設定'!$C$4,1,0))</f>
      </c>
    </row>
    <row r="2193">
      <c r="DB2193" s="2909">
        <f>IF($A2193="","",IF($AH2193=20,IF(AND(OR($A2193=21,$A2193=215),$AJ2193=10),"①病院一般",IF(AND($A2193=31,$AJ2193=41),"②病院短期","対象外")),IF($AJ2193=30,"③特定消防",IF(AND(OR($A2193=21,$A2193=215),$AJ2193=10),"④一般",IF(AND($A2193=31,$AJ2193=41),"⑤短期","対象外")))))</f>
      </c>
      <c r="DC2193" s="2909">
        <f>IF($A2193="","",IF($AB2193&amp;""='DB_設定'!$C$4,1,0))</f>
      </c>
    </row>
    <row r="2194">
      <c r="DB2194" s="2909">
        <f>IF($A2194="","",IF($AH2194=20,IF(AND(OR($A2194=21,$A2194=215),$AJ2194=10),"①病院一般",IF(AND($A2194=31,$AJ2194=41),"②病院短期","対象外")),IF($AJ2194=30,"③特定消防",IF(AND(OR($A2194=21,$A2194=215),$AJ2194=10),"④一般",IF(AND($A2194=31,$AJ2194=41),"⑤短期","対象外")))))</f>
      </c>
      <c r="DC2194" s="2909">
        <f>IF($A2194="","",IF($AB2194&amp;""='DB_設定'!$C$4,1,0))</f>
      </c>
    </row>
    <row r="2195">
      <c r="DB2195" s="2909">
        <f>IF($A2195="","",IF($AH2195=20,IF(AND(OR($A2195=21,$A2195=215),$AJ2195=10),"①病院一般",IF(AND($A2195=31,$AJ2195=41),"②病院短期","対象外")),IF($AJ2195=30,"③特定消防",IF(AND(OR($A2195=21,$A2195=215),$AJ2195=10),"④一般",IF(AND($A2195=31,$AJ2195=41),"⑤短期","対象外")))))</f>
      </c>
      <c r="DC2195" s="2909">
        <f>IF($A2195="","",IF($AB2195&amp;""='DB_設定'!$C$4,1,0))</f>
      </c>
    </row>
    <row r="2196">
      <c r="DB2196" s="2909">
        <f>IF($A2196="","",IF($AH2196=20,IF(AND(OR($A2196=21,$A2196=215),$AJ2196=10),"①病院一般",IF(AND($A2196=31,$AJ2196=41),"②病院短期","対象外")),IF($AJ2196=30,"③特定消防",IF(AND(OR($A2196=21,$A2196=215),$AJ2196=10),"④一般",IF(AND($A2196=31,$AJ2196=41),"⑤短期","対象外")))))</f>
      </c>
      <c r="DC2196" s="2909">
        <f>IF($A2196="","",IF($AB2196&amp;""='DB_設定'!$C$4,1,0))</f>
      </c>
    </row>
    <row r="2197">
      <c r="DB2197" s="2909">
        <f>IF($A2197="","",IF($AH2197=20,IF(AND(OR($A2197=21,$A2197=215),$AJ2197=10),"①病院一般",IF(AND($A2197=31,$AJ2197=41),"②病院短期","対象外")),IF($AJ2197=30,"③特定消防",IF(AND(OR($A2197=21,$A2197=215),$AJ2197=10),"④一般",IF(AND($A2197=31,$AJ2197=41),"⑤短期","対象外")))))</f>
      </c>
      <c r="DC2197" s="2909">
        <f>IF($A2197="","",IF($AB2197&amp;""='DB_設定'!$C$4,1,0))</f>
      </c>
    </row>
    <row r="2198">
      <c r="DB2198" s="2909">
        <f>IF($A2198="","",IF($AH2198=20,IF(AND(OR($A2198=21,$A2198=215),$AJ2198=10),"①病院一般",IF(AND($A2198=31,$AJ2198=41),"②病院短期","対象外")),IF($AJ2198=30,"③特定消防",IF(AND(OR($A2198=21,$A2198=215),$AJ2198=10),"④一般",IF(AND($A2198=31,$AJ2198=41),"⑤短期","対象外")))))</f>
      </c>
      <c r="DC2198" s="2909">
        <f>IF($A2198="","",IF($AB2198&amp;""='DB_設定'!$C$4,1,0))</f>
      </c>
    </row>
    <row r="2199">
      <c r="DB2199" s="2909">
        <f>IF($A2199="","",IF($AH2199=20,IF(AND(OR($A2199=21,$A2199=215),$AJ2199=10),"①病院一般",IF(AND($A2199=31,$AJ2199=41),"②病院短期","対象外")),IF($AJ2199=30,"③特定消防",IF(AND(OR($A2199=21,$A2199=215),$AJ2199=10),"④一般",IF(AND($A2199=31,$AJ2199=41),"⑤短期","対象外")))))</f>
      </c>
      <c r="DC2199" s="2909">
        <f>IF($A2199="","",IF($AB2199&amp;""='DB_設定'!$C$4,1,0))</f>
      </c>
    </row>
    <row r="2200">
      <c r="DB2200" s="2909">
        <f>IF($A2200="","",IF($AH2200=20,IF(AND(OR($A2200=21,$A2200=215),$AJ2200=10),"①病院一般",IF(AND($A2200=31,$AJ2200=41),"②病院短期","対象外")),IF($AJ2200=30,"③特定消防",IF(AND(OR($A2200=21,$A2200=215),$AJ2200=10),"④一般",IF(AND($A2200=31,$AJ2200=41),"⑤短期","対象外")))))</f>
      </c>
      <c r="DC2200" s="2909">
        <f>IF($A2200="","",IF($AB2200&amp;""='DB_設定'!$C$4,1,0))</f>
      </c>
    </row>
    <row r="2201">
      <c r="DB2201" s="2909">
        <f>IF($A2201="","",IF($AH2201=20,IF(AND(OR($A2201=21,$A2201=215),$AJ2201=10),"①病院一般",IF(AND($A2201=31,$AJ2201=41),"②病院短期","対象外")),IF($AJ2201=30,"③特定消防",IF(AND(OR($A2201=21,$A2201=215),$AJ2201=10),"④一般",IF(AND($A2201=31,$AJ2201=41),"⑤短期","対象外")))))</f>
      </c>
      <c r="DC2201" s="2909">
        <f>IF($A2201="","",IF($AB2201&amp;""='DB_設定'!$C$4,1,0))</f>
      </c>
    </row>
    <row r="2202">
      <c r="DB2202" s="2909">
        <f>IF($A2202="","",IF($AH2202=20,IF(AND(OR($A2202=21,$A2202=215),$AJ2202=10),"①病院一般",IF(AND($A2202=31,$AJ2202=41),"②病院短期","対象外")),IF($AJ2202=30,"③特定消防",IF(AND(OR($A2202=21,$A2202=215),$AJ2202=10),"④一般",IF(AND($A2202=31,$AJ2202=41),"⑤短期","対象外")))))</f>
      </c>
      <c r="DC2202" s="2909">
        <f>IF($A2202="","",IF($AB2202&amp;""='DB_設定'!$C$4,1,0))</f>
      </c>
    </row>
    <row r="2203">
      <c r="DB2203" s="2909">
        <f>IF($A2203="","",IF($AH2203=20,IF(AND(OR($A2203=21,$A2203=215),$AJ2203=10),"①病院一般",IF(AND($A2203=31,$AJ2203=41),"②病院短期","対象外")),IF($AJ2203=30,"③特定消防",IF(AND(OR($A2203=21,$A2203=215),$AJ2203=10),"④一般",IF(AND($A2203=31,$AJ2203=41),"⑤短期","対象外")))))</f>
      </c>
      <c r="DC2203" s="2909">
        <f>IF($A2203="","",IF($AB2203&amp;""='DB_設定'!$C$4,1,0))</f>
      </c>
    </row>
    <row r="2204">
      <c r="DB2204" s="2909">
        <f>IF($A2204="","",IF($AH2204=20,IF(AND(OR($A2204=21,$A2204=215),$AJ2204=10),"①病院一般",IF(AND($A2204=31,$AJ2204=41),"②病院短期","対象外")),IF($AJ2204=30,"③特定消防",IF(AND(OR($A2204=21,$A2204=215),$AJ2204=10),"④一般",IF(AND($A2204=31,$AJ2204=41),"⑤短期","対象外")))))</f>
      </c>
      <c r="DC2204" s="2909">
        <f>IF($A2204="","",IF($AB2204&amp;""='DB_設定'!$C$4,1,0))</f>
      </c>
    </row>
    <row r="2205">
      <c r="DB2205" s="2909">
        <f>IF($A2205="","",IF($AH2205=20,IF(AND(OR($A2205=21,$A2205=215),$AJ2205=10),"①病院一般",IF(AND($A2205=31,$AJ2205=41),"②病院短期","対象外")),IF($AJ2205=30,"③特定消防",IF(AND(OR($A2205=21,$A2205=215),$AJ2205=10),"④一般",IF(AND($A2205=31,$AJ2205=41),"⑤短期","対象外")))))</f>
      </c>
      <c r="DC2205" s="2909">
        <f>IF($A2205="","",IF($AB2205&amp;""='DB_設定'!$C$4,1,0))</f>
      </c>
    </row>
    <row r="2206">
      <c r="DB2206" s="2909">
        <f>IF($A2206="","",IF($AH2206=20,IF(AND(OR($A2206=21,$A2206=215),$AJ2206=10),"①病院一般",IF(AND($A2206=31,$AJ2206=41),"②病院短期","対象外")),IF($AJ2206=30,"③特定消防",IF(AND(OR($A2206=21,$A2206=215),$AJ2206=10),"④一般",IF(AND($A2206=31,$AJ2206=41),"⑤短期","対象外")))))</f>
      </c>
      <c r="DC2206" s="2909">
        <f>IF($A2206="","",IF($AB2206&amp;""='DB_設定'!$C$4,1,0))</f>
      </c>
    </row>
    <row r="2207">
      <c r="DB2207" s="2909">
        <f>IF($A2207="","",IF($AH2207=20,IF(AND(OR($A2207=21,$A2207=215),$AJ2207=10),"①病院一般",IF(AND($A2207=31,$AJ2207=41),"②病院短期","対象外")),IF($AJ2207=30,"③特定消防",IF(AND(OR($A2207=21,$A2207=215),$AJ2207=10),"④一般",IF(AND($A2207=31,$AJ2207=41),"⑤短期","対象外")))))</f>
      </c>
      <c r="DC2207" s="2909">
        <f>IF($A2207="","",IF($AB2207&amp;""='DB_設定'!$C$4,1,0))</f>
      </c>
    </row>
    <row r="2208">
      <c r="DB2208" s="2909">
        <f>IF($A2208="","",IF($AH2208=20,IF(AND(OR($A2208=21,$A2208=215),$AJ2208=10),"①病院一般",IF(AND($A2208=31,$AJ2208=41),"②病院短期","対象外")),IF($AJ2208=30,"③特定消防",IF(AND(OR($A2208=21,$A2208=215),$AJ2208=10),"④一般",IF(AND($A2208=31,$AJ2208=41),"⑤短期","対象外")))))</f>
      </c>
      <c r="DC2208" s="2909">
        <f>IF($A2208="","",IF($AB2208&amp;""='DB_設定'!$C$4,1,0))</f>
      </c>
    </row>
    <row r="2209">
      <c r="DB2209" s="2909">
        <f>IF($A2209="","",IF($AH2209=20,IF(AND(OR($A2209=21,$A2209=215),$AJ2209=10),"①病院一般",IF(AND($A2209=31,$AJ2209=41),"②病院短期","対象外")),IF($AJ2209=30,"③特定消防",IF(AND(OR($A2209=21,$A2209=215),$AJ2209=10),"④一般",IF(AND($A2209=31,$AJ2209=41),"⑤短期","対象外")))))</f>
      </c>
      <c r="DC2209" s="2909">
        <f>IF($A2209="","",IF($AB2209&amp;""='DB_設定'!$C$4,1,0))</f>
      </c>
    </row>
    <row r="2210">
      <c r="DB2210" s="2909">
        <f>IF($A2210="","",IF($AH2210=20,IF(AND(OR($A2210=21,$A2210=215),$AJ2210=10),"①病院一般",IF(AND($A2210=31,$AJ2210=41),"②病院短期","対象外")),IF($AJ2210=30,"③特定消防",IF(AND(OR($A2210=21,$A2210=215),$AJ2210=10),"④一般",IF(AND($A2210=31,$AJ2210=41),"⑤短期","対象外")))))</f>
      </c>
      <c r="DC2210" s="2909">
        <f>IF($A2210="","",IF($AB2210&amp;""='DB_設定'!$C$4,1,0))</f>
      </c>
    </row>
    <row r="2211">
      <c r="DB2211" s="2909">
        <f>IF($A2211="","",IF($AH2211=20,IF(AND(OR($A2211=21,$A2211=215),$AJ2211=10),"①病院一般",IF(AND($A2211=31,$AJ2211=41),"②病院短期","対象外")),IF($AJ2211=30,"③特定消防",IF(AND(OR($A2211=21,$A2211=215),$AJ2211=10),"④一般",IF(AND($A2211=31,$AJ2211=41),"⑤短期","対象外")))))</f>
      </c>
      <c r="DC2211" s="2909">
        <f>IF($A2211="","",IF($AB2211&amp;""='DB_設定'!$C$4,1,0))</f>
      </c>
    </row>
    <row r="2212">
      <c r="DB2212" s="2909">
        <f>IF($A2212="","",IF($AH2212=20,IF(AND(OR($A2212=21,$A2212=215),$AJ2212=10),"①病院一般",IF(AND($A2212=31,$AJ2212=41),"②病院短期","対象外")),IF($AJ2212=30,"③特定消防",IF(AND(OR($A2212=21,$A2212=215),$AJ2212=10),"④一般",IF(AND($A2212=31,$AJ2212=41),"⑤短期","対象外")))))</f>
      </c>
      <c r="DC2212" s="2909">
        <f>IF($A2212="","",IF($AB2212&amp;""='DB_設定'!$C$4,1,0))</f>
      </c>
    </row>
    <row r="2213">
      <c r="DB2213" s="2909">
        <f>IF($A2213="","",IF($AH2213=20,IF(AND(OR($A2213=21,$A2213=215),$AJ2213=10),"①病院一般",IF(AND($A2213=31,$AJ2213=41),"②病院短期","対象外")),IF($AJ2213=30,"③特定消防",IF(AND(OR($A2213=21,$A2213=215),$AJ2213=10),"④一般",IF(AND($A2213=31,$AJ2213=41),"⑤短期","対象外")))))</f>
      </c>
      <c r="DC2213" s="2909">
        <f>IF($A2213="","",IF($AB2213&amp;""='DB_設定'!$C$4,1,0))</f>
      </c>
    </row>
    <row r="2214">
      <c r="DB2214" s="2909">
        <f>IF($A2214="","",IF($AH2214=20,IF(AND(OR($A2214=21,$A2214=215),$AJ2214=10),"①病院一般",IF(AND($A2214=31,$AJ2214=41),"②病院短期","対象外")),IF($AJ2214=30,"③特定消防",IF(AND(OR($A2214=21,$A2214=215),$AJ2214=10),"④一般",IF(AND($A2214=31,$AJ2214=41),"⑤短期","対象外")))))</f>
      </c>
      <c r="DC2214" s="2909">
        <f>IF($A2214="","",IF($AB2214&amp;""='DB_設定'!$C$4,1,0))</f>
      </c>
    </row>
    <row r="2215">
      <c r="DB2215" s="2909">
        <f>IF($A2215="","",IF($AH2215=20,IF(AND(OR($A2215=21,$A2215=215),$AJ2215=10),"①病院一般",IF(AND($A2215=31,$AJ2215=41),"②病院短期","対象外")),IF($AJ2215=30,"③特定消防",IF(AND(OR($A2215=21,$A2215=215),$AJ2215=10),"④一般",IF(AND($A2215=31,$AJ2215=41),"⑤短期","対象外")))))</f>
      </c>
      <c r="DC2215" s="2909">
        <f>IF($A2215="","",IF($AB2215&amp;""='DB_設定'!$C$4,1,0))</f>
      </c>
    </row>
    <row r="2216">
      <c r="DB2216" s="2909">
        <f>IF($A2216="","",IF($AH2216=20,IF(AND(OR($A2216=21,$A2216=215),$AJ2216=10),"①病院一般",IF(AND($A2216=31,$AJ2216=41),"②病院短期","対象外")),IF($AJ2216=30,"③特定消防",IF(AND(OR($A2216=21,$A2216=215),$AJ2216=10),"④一般",IF(AND($A2216=31,$AJ2216=41),"⑤短期","対象外")))))</f>
      </c>
      <c r="DC2216" s="2909">
        <f>IF($A2216="","",IF($AB2216&amp;""='DB_設定'!$C$4,1,0))</f>
      </c>
    </row>
    <row r="2217">
      <c r="DB2217" s="2909">
        <f>IF($A2217="","",IF($AH2217=20,IF(AND(OR($A2217=21,$A2217=215),$AJ2217=10),"①病院一般",IF(AND($A2217=31,$AJ2217=41),"②病院短期","対象外")),IF($AJ2217=30,"③特定消防",IF(AND(OR($A2217=21,$A2217=215),$AJ2217=10),"④一般",IF(AND($A2217=31,$AJ2217=41),"⑤短期","対象外")))))</f>
      </c>
      <c r="DC2217" s="2909">
        <f>IF($A2217="","",IF($AB2217&amp;""='DB_設定'!$C$4,1,0))</f>
      </c>
    </row>
    <row r="2218">
      <c r="DB2218" s="2909">
        <f>IF($A2218="","",IF($AH2218=20,IF(AND(OR($A2218=21,$A2218=215),$AJ2218=10),"①病院一般",IF(AND($A2218=31,$AJ2218=41),"②病院短期","対象外")),IF($AJ2218=30,"③特定消防",IF(AND(OR($A2218=21,$A2218=215),$AJ2218=10),"④一般",IF(AND($A2218=31,$AJ2218=41),"⑤短期","対象外")))))</f>
      </c>
      <c r="DC2218" s="2909">
        <f>IF($A2218="","",IF($AB2218&amp;""='DB_設定'!$C$4,1,0))</f>
      </c>
    </row>
    <row r="2219">
      <c r="DB2219" s="2909">
        <f>IF($A2219="","",IF($AH2219=20,IF(AND(OR($A2219=21,$A2219=215),$AJ2219=10),"①病院一般",IF(AND($A2219=31,$AJ2219=41),"②病院短期","対象外")),IF($AJ2219=30,"③特定消防",IF(AND(OR($A2219=21,$A2219=215),$AJ2219=10),"④一般",IF(AND($A2219=31,$AJ2219=41),"⑤短期","対象外")))))</f>
      </c>
      <c r="DC2219" s="2909">
        <f>IF($A2219="","",IF($AB2219&amp;""='DB_設定'!$C$4,1,0))</f>
      </c>
    </row>
    <row r="2220">
      <c r="DB2220" s="2909">
        <f>IF($A2220="","",IF($AH2220=20,IF(AND(OR($A2220=21,$A2220=215),$AJ2220=10),"①病院一般",IF(AND($A2220=31,$AJ2220=41),"②病院短期","対象外")),IF($AJ2220=30,"③特定消防",IF(AND(OR($A2220=21,$A2220=215),$AJ2220=10),"④一般",IF(AND($A2220=31,$AJ2220=41),"⑤短期","対象外")))))</f>
      </c>
      <c r="DC2220" s="2909">
        <f>IF($A2220="","",IF($AB2220&amp;""='DB_設定'!$C$4,1,0))</f>
      </c>
    </row>
    <row r="2221">
      <c r="DB2221" s="2909">
        <f>IF($A2221="","",IF($AH2221=20,IF(AND(OR($A2221=21,$A2221=215),$AJ2221=10),"①病院一般",IF(AND($A2221=31,$AJ2221=41),"②病院短期","対象外")),IF($AJ2221=30,"③特定消防",IF(AND(OR($A2221=21,$A2221=215),$AJ2221=10),"④一般",IF(AND($A2221=31,$AJ2221=41),"⑤短期","対象外")))))</f>
      </c>
      <c r="DC2221" s="2909">
        <f>IF($A2221="","",IF($AB2221&amp;""='DB_設定'!$C$4,1,0))</f>
      </c>
    </row>
    <row r="2222">
      <c r="DB2222" s="2909">
        <f>IF($A2222="","",IF($AH2222=20,IF(AND(OR($A2222=21,$A2222=215),$AJ2222=10),"①病院一般",IF(AND($A2222=31,$AJ2222=41),"②病院短期","対象外")),IF($AJ2222=30,"③特定消防",IF(AND(OR($A2222=21,$A2222=215),$AJ2222=10),"④一般",IF(AND($A2222=31,$AJ2222=41),"⑤短期","対象外")))))</f>
      </c>
      <c r="DC2222" s="2909">
        <f>IF($A2222="","",IF($AB2222&amp;""='DB_設定'!$C$4,1,0))</f>
      </c>
    </row>
    <row r="2223">
      <c r="DB2223" s="2909">
        <f>IF($A2223="","",IF($AH2223=20,IF(AND(OR($A2223=21,$A2223=215),$AJ2223=10),"①病院一般",IF(AND($A2223=31,$AJ2223=41),"②病院短期","対象外")),IF($AJ2223=30,"③特定消防",IF(AND(OR($A2223=21,$A2223=215),$AJ2223=10),"④一般",IF(AND($A2223=31,$AJ2223=41),"⑤短期","対象外")))))</f>
      </c>
      <c r="DC2223" s="2909">
        <f>IF($A2223="","",IF($AB2223&amp;""='DB_設定'!$C$4,1,0))</f>
      </c>
    </row>
    <row r="2224">
      <c r="DB2224" s="2909">
        <f>IF($A2224="","",IF($AH2224=20,IF(AND(OR($A2224=21,$A2224=215),$AJ2224=10),"①病院一般",IF(AND($A2224=31,$AJ2224=41),"②病院短期","対象外")),IF($AJ2224=30,"③特定消防",IF(AND(OR($A2224=21,$A2224=215),$AJ2224=10),"④一般",IF(AND($A2224=31,$AJ2224=41),"⑤短期","対象外")))))</f>
      </c>
      <c r="DC2224" s="2909">
        <f>IF($A2224="","",IF($AB2224&amp;""='DB_設定'!$C$4,1,0))</f>
      </c>
    </row>
    <row r="2225">
      <c r="DB2225" s="2909">
        <f>IF($A2225="","",IF($AH2225=20,IF(AND(OR($A2225=21,$A2225=215),$AJ2225=10),"①病院一般",IF(AND($A2225=31,$AJ2225=41),"②病院短期","対象外")),IF($AJ2225=30,"③特定消防",IF(AND(OR($A2225=21,$A2225=215),$AJ2225=10),"④一般",IF(AND($A2225=31,$AJ2225=41),"⑤短期","対象外")))))</f>
      </c>
      <c r="DC2225" s="2909">
        <f>IF($A2225="","",IF($AB2225&amp;""='DB_設定'!$C$4,1,0))</f>
      </c>
    </row>
    <row r="2226">
      <c r="DB2226" s="2909">
        <f>IF($A2226="","",IF($AH2226=20,IF(AND(OR($A2226=21,$A2226=215),$AJ2226=10),"①病院一般",IF(AND($A2226=31,$AJ2226=41),"②病院短期","対象外")),IF($AJ2226=30,"③特定消防",IF(AND(OR($A2226=21,$A2226=215),$AJ2226=10),"④一般",IF(AND($A2226=31,$AJ2226=41),"⑤短期","対象外")))))</f>
      </c>
      <c r="DC2226" s="2909">
        <f>IF($A2226="","",IF($AB2226&amp;""='DB_設定'!$C$4,1,0))</f>
      </c>
    </row>
    <row r="2227">
      <c r="DB2227" s="2909">
        <f>IF($A2227="","",IF($AH2227=20,IF(AND(OR($A2227=21,$A2227=215),$AJ2227=10),"①病院一般",IF(AND($A2227=31,$AJ2227=41),"②病院短期","対象外")),IF($AJ2227=30,"③特定消防",IF(AND(OR($A2227=21,$A2227=215),$AJ2227=10),"④一般",IF(AND($A2227=31,$AJ2227=41),"⑤短期","対象外")))))</f>
      </c>
      <c r="DC2227" s="2909">
        <f>IF($A2227="","",IF($AB2227&amp;""='DB_設定'!$C$4,1,0))</f>
      </c>
    </row>
    <row r="2228">
      <c r="DB2228" s="2909">
        <f>IF($A2228="","",IF($AH2228=20,IF(AND(OR($A2228=21,$A2228=215),$AJ2228=10),"①病院一般",IF(AND($A2228=31,$AJ2228=41),"②病院短期","対象外")),IF($AJ2228=30,"③特定消防",IF(AND(OR($A2228=21,$A2228=215),$AJ2228=10),"④一般",IF(AND($A2228=31,$AJ2228=41),"⑤短期","対象外")))))</f>
      </c>
      <c r="DC2228" s="2909">
        <f>IF($A2228="","",IF($AB2228&amp;""='DB_設定'!$C$4,1,0))</f>
      </c>
    </row>
    <row r="2229">
      <c r="DB2229" s="2909">
        <f>IF($A2229="","",IF($AH2229=20,IF(AND(OR($A2229=21,$A2229=215),$AJ2229=10),"①病院一般",IF(AND($A2229=31,$AJ2229=41),"②病院短期","対象外")),IF($AJ2229=30,"③特定消防",IF(AND(OR($A2229=21,$A2229=215),$AJ2229=10),"④一般",IF(AND($A2229=31,$AJ2229=41),"⑤短期","対象外")))))</f>
      </c>
      <c r="DC2229" s="2909">
        <f>IF($A2229="","",IF($AB2229&amp;""='DB_設定'!$C$4,1,0))</f>
      </c>
    </row>
    <row r="2230">
      <c r="DB2230" s="2909">
        <f>IF($A2230="","",IF($AH2230=20,IF(AND(OR($A2230=21,$A2230=215),$AJ2230=10),"①病院一般",IF(AND($A2230=31,$AJ2230=41),"②病院短期","対象外")),IF($AJ2230=30,"③特定消防",IF(AND(OR($A2230=21,$A2230=215),$AJ2230=10),"④一般",IF(AND($A2230=31,$AJ2230=41),"⑤短期","対象外")))))</f>
      </c>
      <c r="DC2230" s="2909">
        <f>IF($A2230="","",IF($AB2230&amp;""='DB_設定'!$C$4,1,0))</f>
      </c>
    </row>
    <row r="2231">
      <c r="DB2231" s="2909">
        <f>IF($A2231="","",IF($AH2231=20,IF(AND(OR($A2231=21,$A2231=215),$AJ2231=10),"①病院一般",IF(AND($A2231=31,$AJ2231=41),"②病院短期","対象外")),IF($AJ2231=30,"③特定消防",IF(AND(OR($A2231=21,$A2231=215),$AJ2231=10),"④一般",IF(AND($A2231=31,$AJ2231=41),"⑤短期","対象外")))))</f>
      </c>
      <c r="DC2231" s="2909">
        <f>IF($A2231="","",IF($AB2231&amp;""='DB_設定'!$C$4,1,0))</f>
      </c>
    </row>
    <row r="2232">
      <c r="DB2232" s="2909">
        <f>IF($A2232="","",IF($AH2232=20,IF(AND(OR($A2232=21,$A2232=215),$AJ2232=10),"①病院一般",IF(AND($A2232=31,$AJ2232=41),"②病院短期","対象外")),IF($AJ2232=30,"③特定消防",IF(AND(OR($A2232=21,$A2232=215),$AJ2232=10),"④一般",IF(AND($A2232=31,$AJ2232=41),"⑤短期","対象外")))))</f>
      </c>
      <c r="DC2232" s="2909">
        <f>IF($A2232="","",IF($AB2232&amp;""='DB_設定'!$C$4,1,0))</f>
      </c>
    </row>
    <row r="2233">
      <c r="DB2233" s="2909">
        <f>IF($A2233="","",IF($AH2233=20,IF(AND(OR($A2233=21,$A2233=215),$AJ2233=10),"①病院一般",IF(AND($A2233=31,$AJ2233=41),"②病院短期","対象外")),IF($AJ2233=30,"③特定消防",IF(AND(OR($A2233=21,$A2233=215),$AJ2233=10),"④一般",IF(AND($A2233=31,$AJ2233=41),"⑤短期","対象外")))))</f>
      </c>
      <c r="DC2233" s="2909">
        <f>IF($A2233="","",IF($AB2233&amp;""='DB_設定'!$C$4,1,0))</f>
      </c>
    </row>
    <row r="2234">
      <c r="DB2234" s="2909">
        <f>IF($A2234="","",IF($AH2234=20,IF(AND(OR($A2234=21,$A2234=215),$AJ2234=10),"①病院一般",IF(AND($A2234=31,$AJ2234=41),"②病院短期","対象外")),IF($AJ2234=30,"③特定消防",IF(AND(OR($A2234=21,$A2234=215),$AJ2234=10),"④一般",IF(AND($A2234=31,$AJ2234=41),"⑤短期","対象外")))))</f>
      </c>
      <c r="DC2234" s="2909">
        <f>IF($A2234="","",IF($AB2234&amp;""='DB_設定'!$C$4,1,0))</f>
      </c>
    </row>
    <row r="2235">
      <c r="DB2235" s="2909">
        <f>IF($A2235="","",IF($AH2235=20,IF(AND(OR($A2235=21,$A2235=215),$AJ2235=10),"①病院一般",IF(AND($A2235=31,$AJ2235=41),"②病院短期","対象外")),IF($AJ2235=30,"③特定消防",IF(AND(OR($A2235=21,$A2235=215),$AJ2235=10),"④一般",IF(AND($A2235=31,$AJ2235=41),"⑤短期","対象外")))))</f>
      </c>
      <c r="DC2235" s="2909">
        <f>IF($A2235="","",IF($AB2235&amp;""='DB_設定'!$C$4,1,0))</f>
      </c>
    </row>
    <row r="2236">
      <c r="DB2236" s="2909">
        <f>IF($A2236="","",IF($AH2236=20,IF(AND(OR($A2236=21,$A2236=215),$AJ2236=10),"①病院一般",IF(AND($A2236=31,$AJ2236=41),"②病院短期","対象外")),IF($AJ2236=30,"③特定消防",IF(AND(OR($A2236=21,$A2236=215),$AJ2236=10),"④一般",IF(AND($A2236=31,$AJ2236=41),"⑤短期","対象外")))))</f>
      </c>
      <c r="DC2236" s="2909">
        <f>IF($A2236="","",IF($AB2236&amp;""='DB_設定'!$C$4,1,0))</f>
      </c>
    </row>
    <row r="2237">
      <c r="DB2237" s="2909">
        <f>IF($A2237="","",IF($AH2237=20,IF(AND(OR($A2237=21,$A2237=215),$AJ2237=10),"①病院一般",IF(AND($A2237=31,$AJ2237=41),"②病院短期","対象外")),IF($AJ2237=30,"③特定消防",IF(AND(OR($A2237=21,$A2237=215),$AJ2237=10),"④一般",IF(AND($A2237=31,$AJ2237=41),"⑤短期","対象外")))))</f>
      </c>
      <c r="DC2237" s="2909">
        <f>IF($A2237="","",IF($AB2237&amp;""='DB_設定'!$C$4,1,0))</f>
      </c>
    </row>
    <row r="2238">
      <c r="DB2238" s="2909">
        <f>IF($A2238="","",IF($AH2238=20,IF(AND(OR($A2238=21,$A2238=215),$AJ2238=10),"①病院一般",IF(AND($A2238=31,$AJ2238=41),"②病院短期","対象外")),IF($AJ2238=30,"③特定消防",IF(AND(OR($A2238=21,$A2238=215),$AJ2238=10),"④一般",IF(AND($A2238=31,$AJ2238=41),"⑤短期","対象外")))))</f>
      </c>
      <c r="DC2238" s="2909">
        <f>IF($A2238="","",IF($AB2238&amp;""='DB_設定'!$C$4,1,0))</f>
      </c>
    </row>
    <row r="2239">
      <c r="DB2239" s="2909">
        <f>IF($A2239="","",IF($AH2239=20,IF(AND(OR($A2239=21,$A2239=215),$AJ2239=10),"①病院一般",IF(AND($A2239=31,$AJ2239=41),"②病院短期","対象外")),IF($AJ2239=30,"③特定消防",IF(AND(OR($A2239=21,$A2239=215),$AJ2239=10),"④一般",IF(AND($A2239=31,$AJ2239=41),"⑤短期","対象外")))))</f>
      </c>
      <c r="DC2239" s="2909">
        <f>IF($A2239="","",IF($AB2239&amp;""='DB_設定'!$C$4,1,0))</f>
      </c>
    </row>
    <row r="2240">
      <c r="DB2240" s="2909">
        <f>IF($A2240="","",IF($AH2240=20,IF(AND(OR($A2240=21,$A2240=215),$AJ2240=10),"①病院一般",IF(AND($A2240=31,$AJ2240=41),"②病院短期","対象外")),IF($AJ2240=30,"③特定消防",IF(AND(OR($A2240=21,$A2240=215),$AJ2240=10),"④一般",IF(AND($A2240=31,$AJ2240=41),"⑤短期","対象外")))))</f>
      </c>
      <c r="DC2240" s="2909">
        <f>IF($A2240="","",IF($AB2240&amp;""='DB_設定'!$C$4,1,0))</f>
      </c>
    </row>
    <row r="2241">
      <c r="DB2241" s="2909">
        <f>IF($A2241="","",IF($AH2241=20,IF(AND(OR($A2241=21,$A2241=215),$AJ2241=10),"①病院一般",IF(AND($A2241=31,$AJ2241=41),"②病院短期","対象外")),IF($AJ2241=30,"③特定消防",IF(AND(OR($A2241=21,$A2241=215),$AJ2241=10),"④一般",IF(AND($A2241=31,$AJ2241=41),"⑤短期","対象外")))))</f>
      </c>
      <c r="DC2241" s="2909">
        <f>IF($A2241="","",IF($AB2241&amp;""='DB_設定'!$C$4,1,0))</f>
      </c>
    </row>
    <row r="2242">
      <c r="DB2242" s="2909">
        <f>IF($A2242="","",IF($AH2242=20,IF(AND(OR($A2242=21,$A2242=215),$AJ2242=10),"①病院一般",IF(AND($A2242=31,$AJ2242=41),"②病院短期","対象外")),IF($AJ2242=30,"③特定消防",IF(AND(OR($A2242=21,$A2242=215),$AJ2242=10),"④一般",IF(AND($A2242=31,$AJ2242=41),"⑤短期","対象外")))))</f>
      </c>
      <c r="DC2242" s="2909">
        <f>IF($A2242="","",IF($AB2242&amp;""='DB_設定'!$C$4,1,0))</f>
      </c>
    </row>
    <row r="2243">
      <c r="DB2243" s="2909">
        <f>IF($A2243="","",IF($AH2243=20,IF(AND(OR($A2243=21,$A2243=215),$AJ2243=10),"①病院一般",IF(AND($A2243=31,$AJ2243=41),"②病院短期","対象外")),IF($AJ2243=30,"③特定消防",IF(AND(OR($A2243=21,$A2243=215),$AJ2243=10),"④一般",IF(AND($A2243=31,$AJ2243=41),"⑤短期","対象外")))))</f>
      </c>
      <c r="DC2243" s="2909">
        <f>IF($A2243="","",IF($AB2243&amp;""='DB_設定'!$C$4,1,0))</f>
      </c>
    </row>
    <row r="2244">
      <c r="DB2244" s="2909">
        <f>IF($A2244="","",IF($AH2244=20,IF(AND(OR($A2244=21,$A2244=215),$AJ2244=10),"①病院一般",IF(AND($A2244=31,$AJ2244=41),"②病院短期","対象外")),IF($AJ2244=30,"③特定消防",IF(AND(OR($A2244=21,$A2244=215),$AJ2244=10),"④一般",IF(AND($A2244=31,$AJ2244=41),"⑤短期","対象外")))))</f>
      </c>
      <c r="DC2244" s="2909">
        <f>IF($A2244="","",IF($AB2244&amp;""='DB_設定'!$C$4,1,0))</f>
      </c>
    </row>
    <row r="2245">
      <c r="DB2245" s="2909">
        <f>IF($A2245="","",IF($AH2245=20,IF(AND(OR($A2245=21,$A2245=215),$AJ2245=10),"①病院一般",IF(AND($A2245=31,$AJ2245=41),"②病院短期","対象外")),IF($AJ2245=30,"③特定消防",IF(AND(OR($A2245=21,$A2245=215),$AJ2245=10),"④一般",IF(AND($A2245=31,$AJ2245=41),"⑤短期","対象外")))))</f>
      </c>
      <c r="DC2245" s="2909">
        <f>IF($A2245="","",IF($AB2245&amp;""='DB_設定'!$C$4,1,0))</f>
      </c>
    </row>
    <row r="2246">
      <c r="DB2246" s="2909">
        <f>IF($A2246="","",IF($AH2246=20,IF(AND(OR($A2246=21,$A2246=215),$AJ2246=10),"①病院一般",IF(AND($A2246=31,$AJ2246=41),"②病院短期","対象外")),IF($AJ2246=30,"③特定消防",IF(AND(OR($A2246=21,$A2246=215),$AJ2246=10),"④一般",IF(AND($A2246=31,$AJ2246=41),"⑤短期","対象外")))))</f>
      </c>
      <c r="DC2246" s="2909">
        <f>IF($A2246="","",IF($AB2246&amp;""='DB_設定'!$C$4,1,0))</f>
      </c>
    </row>
    <row r="2247">
      <c r="DB2247" s="2909">
        <f>IF($A2247="","",IF($AH2247=20,IF(AND(OR($A2247=21,$A2247=215),$AJ2247=10),"①病院一般",IF(AND($A2247=31,$AJ2247=41),"②病院短期","対象外")),IF($AJ2247=30,"③特定消防",IF(AND(OR($A2247=21,$A2247=215),$AJ2247=10),"④一般",IF(AND($A2247=31,$AJ2247=41),"⑤短期","対象外")))))</f>
      </c>
      <c r="DC2247" s="2909">
        <f>IF($A2247="","",IF($AB2247&amp;""='DB_設定'!$C$4,1,0))</f>
      </c>
    </row>
    <row r="2248">
      <c r="DB2248" s="2909">
        <f>IF($A2248="","",IF($AH2248=20,IF(AND(OR($A2248=21,$A2248=215),$AJ2248=10),"①病院一般",IF(AND($A2248=31,$AJ2248=41),"②病院短期","対象外")),IF($AJ2248=30,"③特定消防",IF(AND(OR($A2248=21,$A2248=215),$AJ2248=10),"④一般",IF(AND($A2248=31,$AJ2248=41),"⑤短期","対象外")))))</f>
      </c>
      <c r="DC2248" s="2909">
        <f>IF($A2248="","",IF($AB2248&amp;""='DB_設定'!$C$4,1,0))</f>
      </c>
    </row>
    <row r="2249">
      <c r="DB2249" s="2909">
        <f>IF($A2249="","",IF($AH2249=20,IF(AND(OR($A2249=21,$A2249=215),$AJ2249=10),"①病院一般",IF(AND($A2249=31,$AJ2249=41),"②病院短期","対象外")),IF($AJ2249=30,"③特定消防",IF(AND(OR($A2249=21,$A2249=215),$AJ2249=10),"④一般",IF(AND($A2249=31,$AJ2249=41),"⑤短期","対象外")))))</f>
      </c>
      <c r="DC2249" s="2909">
        <f>IF($A2249="","",IF($AB2249&amp;""='DB_設定'!$C$4,1,0))</f>
      </c>
    </row>
    <row r="2250">
      <c r="DB2250" s="2909">
        <f>IF($A2250="","",IF($AH2250=20,IF(AND(OR($A2250=21,$A2250=215),$AJ2250=10),"①病院一般",IF(AND($A2250=31,$AJ2250=41),"②病院短期","対象外")),IF($AJ2250=30,"③特定消防",IF(AND(OR($A2250=21,$A2250=215),$AJ2250=10),"④一般",IF(AND($A2250=31,$AJ2250=41),"⑤短期","対象外")))))</f>
      </c>
      <c r="DC2250" s="2909">
        <f>IF($A2250="","",IF($AB2250&amp;""='DB_設定'!$C$4,1,0))</f>
      </c>
    </row>
    <row r="2251">
      <c r="DB2251" s="2909">
        <f>IF($A2251="","",IF($AH2251=20,IF(AND(OR($A2251=21,$A2251=215),$AJ2251=10),"①病院一般",IF(AND($A2251=31,$AJ2251=41),"②病院短期","対象外")),IF($AJ2251=30,"③特定消防",IF(AND(OR($A2251=21,$A2251=215),$AJ2251=10),"④一般",IF(AND($A2251=31,$AJ2251=41),"⑤短期","対象外")))))</f>
      </c>
      <c r="DC2251" s="2909">
        <f>IF($A2251="","",IF($AB2251&amp;""='DB_設定'!$C$4,1,0))</f>
      </c>
    </row>
    <row r="2252">
      <c r="DB2252" s="2909">
        <f>IF($A2252="","",IF($AH2252=20,IF(AND(OR($A2252=21,$A2252=215),$AJ2252=10),"①病院一般",IF(AND($A2252=31,$AJ2252=41),"②病院短期","対象外")),IF($AJ2252=30,"③特定消防",IF(AND(OR($A2252=21,$A2252=215),$AJ2252=10),"④一般",IF(AND($A2252=31,$AJ2252=41),"⑤短期","対象外")))))</f>
      </c>
      <c r="DC2252" s="2909">
        <f>IF($A2252="","",IF($AB2252&amp;""='DB_設定'!$C$4,1,0))</f>
      </c>
    </row>
    <row r="2253">
      <c r="DB2253" s="2909">
        <f>IF($A2253="","",IF($AH2253=20,IF(AND(OR($A2253=21,$A2253=215),$AJ2253=10),"①病院一般",IF(AND($A2253=31,$AJ2253=41),"②病院短期","対象外")),IF($AJ2253=30,"③特定消防",IF(AND(OR($A2253=21,$A2253=215),$AJ2253=10),"④一般",IF(AND($A2253=31,$AJ2253=41),"⑤短期","対象外")))))</f>
      </c>
      <c r="DC2253" s="2909">
        <f>IF($A2253="","",IF($AB2253&amp;""='DB_設定'!$C$4,1,0))</f>
      </c>
    </row>
    <row r="2254">
      <c r="DB2254" s="2909">
        <f>IF($A2254="","",IF($AH2254=20,IF(AND(OR($A2254=21,$A2254=215),$AJ2254=10),"①病院一般",IF(AND($A2254=31,$AJ2254=41),"②病院短期","対象外")),IF($AJ2254=30,"③特定消防",IF(AND(OR($A2254=21,$A2254=215),$AJ2254=10),"④一般",IF(AND($A2254=31,$AJ2254=41),"⑤短期","対象外")))))</f>
      </c>
      <c r="DC2254" s="2909">
        <f>IF($A2254="","",IF($AB2254&amp;""='DB_設定'!$C$4,1,0))</f>
      </c>
    </row>
    <row r="2255">
      <c r="DB2255" s="2909">
        <f>IF($A2255="","",IF($AH2255=20,IF(AND(OR($A2255=21,$A2255=215),$AJ2255=10),"①病院一般",IF(AND($A2255=31,$AJ2255=41),"②病院短期","対象外")),IF($AJ2255=30,"③特定消防",IF(AND(OR($A2255=21,$A2255=215),$AJ2255=10),"④一般",IF(AND($A2255=31,$AJ2255=41),"⑤短期","対象外")))))</f>
      </c>
      <c r="DC2255" s="2909">
        <f>IF($A2255="","",IF($AB2255&amp;""='DB_設定'!$C$4,1,0))</f>
      </c>
    </row>
    <row r="2256">
      <c r="DB2256" s="2909">
        <f>IF($A2256="","",IF($AH2256=20,IF(AND(OR($A2256=21,$A2256=215),$AJ2256=10),"①病院一般",IF(AND($A2256=31,$AJ2256=41),"②病院短期","対象外")),IF($AJ2256=30,"③特定消防",IF(AND(OR($A2256=21,$A2256=215),$AJ2256=10),"④一般",IF(AND($A2256=31,$AJ2256=41),"⑤短期","対象外")))))</f>
      </c>
      <c r="DC2256" s="2909">
        <f>IF($A2256="","",IF($AB2256&amp;""='DB_設定'!$C$4,1,0))</f>
      </c>
    </row>
    <row r="2257">
      <c r="DB2257" s="2909">
        <f>IF($A2257="","",IF($AH2257=20,IF(AND(OR($A2257=21,$A2257=215),$AJ2257=10),"①病院一般",IF(AND($A2257=31,$AJ2257=41),"②病院短期","対象外")),IF($AJ2257=30,"③特定消防",IF(AND(OR($A2257=21,$A2257=215),$AJ2257=10),"④一般",IF(AND($A2257=31,$AJ2257=41),"⑤短期","対象外")))))</f>
      </c>
      <c r="DC2257" s="2909">
        <f>IF($A2257="","",IF($AB2257&amp;""='DB_設定'!$C$4,1,0))</f>
      </c>
    </row>
    <row r="2258">
      <c r="DB2258" s="2909">
        <f>IF($A2258="","",IF($AH2258=20,IF(AND(OR($A2258=21,$A2258=215),$AJ2258=10),"①病院一般",IF(AND($A2258=31,$AJ2258=41),"②病院短期","対象外")),IF($AJ2258=30,"③特定消防",IF(AND(OR($A2258=21,$A2258=215),$AJ2258=10),"④一般",IF(AND($A2258=31,$AJ2258=41),"⑤短期","対象外")))))</f>
      </c>
      <c r="DC2258" s="2909">
        <f>IF($A2258="","",IF($AB2258&amp;""='DB_設定'!$C$4,1,0))</f>
      </c>
    </row>
    <row r="2259">
      <c r="DB2259" s="2909">
        <f>IF($A2259="","",IF($AH2259=20,IF(AND(OR($A2259=21,$A2259=215),$AJ2259=10),"①病院一般",IF(AND($A2259=31,$AJ2259=41),"②病院短期","対象外")),IF($AJ2259=30,"③特定消防",IF(AND(OR($A2259=21,$A2259=215),$AJ2259=10),"④一般",IF(AND($A2259=31,$AJ2259=41),"⑤短期","対象外")))))</f>
      </c>
      <c r="DC2259" s="2909">
        <f>IF($A2259="","",IF($AB2259&amp;""='DB_設定'!$C$4,1,0))</f>
      </c>
    </row>
    <row r="2260">
      <c r="DB2260" s="2909">
        <f>IF($A2260="","",IF($AH2260=20,IF(AND(OR($A2260=21,$A2260=215),$AJ2260=10),"①病院一般",IF(AND($A2260=31,$AJ2260=41),"②病院短期","対象外")),IF($AJ2260=30,"③特定消防",IF(AND(OR($A2260=21,$A2260=215),$AJ2260=10),"④一般",IF(AND($A2260=31,$AJ2260=41),"⑤短期","対象外")))))</f>
      </c>
      <c r="DC2260" s="2909">
        <f>IF($A2260="","",IF($AB2260&amp;""='DB_設定'!$C$4,1,0))</f>
      </c>
    </row>
    <row r="2261">
      <c r="DB2261" s="2909">
        <f>IF($A2261="","",IF($AH2261=20,IF(AND(OR($A2261=21,$A2261=215),$AJ2261=10),"①病院一般",IF(AND($A2261=31,$AJ2261=41),"②病院短期","対象外")),IF($AJ2261=30,"③特定消防",IF(AND(OR($A2261=21,$A2261=215),$AJ2261=10),"④一般",IF(AND($A2261=31,$AJ2261=41),"⑤短期","対象外")))))</f>
      </c>
      <c r="DC2261" s="2909">
        <f>IF($A2261="","",IF($AB2261&amp;""='DB_設定'!$C$4,1,0))</f>
      </c>
    </row>
    <row r="2262">
      <c r="DB2262" s="2909">
        <f>IF($A2262="","",IF($AH2262=20,IF(AND(OR($A2262=21,$A2262=215),$AJ2262=10),"①病院一般",IF(AND($A2262=31,$AJ2262=41),"②病院短期","対象外")),IF($AJ2262=30,"③特定消防",IF(AND(OR($A2262=21,$A2262=215),$AJ2262=10),"④一般",IF(AND($A2262=31,$AJ2262=41),"⑤短期","対象外")))))</f>
      </c>
      <c r="DC2262" s="2909">
        <f>IF($A2262="","",IF($AB2262&amp;""='DB_設定'!$C$4,1,0))</f>
      </c>
    </row>
    <row r="2263">
      <c r="DB2263" s="2909">
        <f>IF($A2263="","",IF($AH2263=20,IF(AND(OR($A2263=21,$A2263=215),$AJ2263=10),"①病院一般",IF(AND($A2263=31,$AJ2263=41),"②病院短期","対象外")),IF($AJ2263=30,"③特定消防",IF(AND(OR($A2263=21,$A2263=215),$AJ2263=10),"④一般",IF(AND($A2263=31,$AJ2263=41),"⑤短期","対象外")))))</f>
      </c>
      <c r="DC2263" s="2909">
        <f>IF($A2263="","",IF($AB2263&amp;""='DB_設定'!$C$4,1,0))</f>
      </c>
    </row>
    <row r="2264">
      <c r="DB2264" s="2909">
        <f>IF($A2264="","",IF($AH2264=20,IF(AND(OR($A2264=21,$A2264=215),$AJ2264=10),"①病院一般",IF(AND($A2264=31,$AJ2264=41),"②病院短期","対象外")),IF($AJ2264=30,"③特定消防",IF(AND(OR($A2264=21,$A2264=215),$AJ2264=10),"④一般",IF(AND($A2264=31,$AJ2264=41),"⑤短期","対象外")))))</f>
      </c>
      <c r="DC2264" s="2909">
        <f>IF($A2264="","",IF($AB2264&amp;""='DB_設定'!$C$4,1,0))</f>
      </c>
    </row>
    <row r="2265">
      <c r="DB2265" s="2909">
        <f>IF($A2265="","",IF($AH2265=20,IF(AND(OR($A2265=21,$A2265=215),$AJ2265=10),"①病院一般",IF(AND($A2265=31,$AJ2265=41),"②病院短期","対象外")),IF($AJ2265=30,"③特定消防",IF(AND(OR($A2265=21,$A2265=215),$AJ2265=10),"④一般",IF(AND($A2265=31,$AJ2265=41),"⑤短期","対象外")))))</f>
      </c>
      <c r="DC2265" s="2909">
        <f>IF($A2265="","",IF($AB2265&amp;""='DB_設定'!$C$4,1,0))</f>
      </c>
    </row>
    <row r="2266">
      <c r="DB2266" s="2909">
        <f>IF($A2266="","",IF($AH2266=20,IF(AND(OR($A2266=21,$A2266=215),$AJ2266=10),"①病院一般",IF(AND($A2266=31,$AJ2266=41),"②病院短期","対象外")),IF($AJ2266=30,"③特定消防",IF(AND(OR($A2266=21,$A2266=215),$AJ2266=10),"④一般",IF(AND($A2266=31,$AJ2266=41),"⑤短期","対象外")))))</f>
      </c>
      <c r="DC2266" s="2909">
        <f>IF($A2266="","",IF($AB2266&amp;""='DB_設定'!$C$4,1,0))</f>
      </c>
    </row>
    <row r="2267">
      <c r="DB2267" s="2909">
        <f>IF($A2267="","",IF($AH2267=20,IF(AND(OR($A2267=21,$A2267=215),$AJ2267=10),"①病院一般",IF(AND($A2267=31,$AJ2267=41),"②病院短期","対象外")),IF($AJ2267=30,"③特定消防",IF(AND(OR($A2267=21,$A2267=215),$AJ2267=10),"④一般",IF(AND($A2267=31,$AJ2267=41),"⑤短期","対象外")))))</f>
      </c>
      <c r="DC2267" s="2909">
        <f>IF($A2267="","",IF($AB2267&amp;""='DB_設定'!$C$4,1,0))</f>
      </c>
    </row>
    <row r="2268">
      <c r="DB2268" s="2909">
        <f>IF($A2268="","",IF($AH2268=20,IF(AND(OR($A2268=21,$A2268=215),$AJ2268=10),"①病院一般",IF(AND($A2268=31,$AJ2268=41),"②病院短期","対象外")),IF($AJ2268=30,"③特定消防",IF(AND(OR($A2268=21,$A2268=215),$AJ2268=10),"④一般",IF(AND($A2268=31,$AJ2268=41),"⑤短期","対象外")))))</f>
      </c>
      <c r="DC2268" s="2909">
        <f>IF($A2268="","",IF($AB2268&amp;""='DB_設定'!$C$4,1,0))</f>
      </c>
    </row>
    <row r="2269">
      <c r="DB2269" s="2909">
        <f>IF($A2269="","",IF($AH2269=20,IF(AND(OR($A2269=21,$A2269=215),$AJ2269=10),"①病院一般",IF(AND($A2269=31,$AJ2269=41),"②病院短期","対象外")),IF($AJ2269=30,"③特定消防",IF(AND(OR($A2269=21,$A2269=215),$AJ2269=10),"④一般",IF(AND($A2269=31,$AJ2269=41),"⑤短期","対象外")))))</f>
      </c>
      <c r="DC2269" s="2909">
        <f>IF($A2269="","",IF($AB2269&amp;""='DB_設定'!$C$4,1,0))</f>
      </c>
    </row>
    <row r="2270">
      <c r="DB2270" s="2909">
        <f>IF($A2270="","",IF($AH2270=20,IF(AND(OR($A2270=21,$A2270=215),$AJ2270=10),"①病院一般",IF(AND($A2270=31,$AJ2270=41),"②病院短期","対象外")),IF($AJ2270=30,"③特定消防",IF(AND(OR($A2270=21,$A2270=215),$AJ2270=10),"④一般",IF(AND($A2270=31,$AJ2270=41),"⑤短期","対象外")))))</f>
      </c>
      <c r="DC2270" s="2909">
        <f>IF($A2270="","",IF($AB2270&amp;""='DB_設定'!$C$4,1,0))</f>
      </c>
    </row>
    <row r="2271">
      <c r="DB2271" s="2909">
        <f>IF($A2271="","",IF($AH2271=20,IF(AND(OR($A2271=21,$A2271=215),$AJ2271=10),"①病院一般",IF(AND($A2271=31,$AJ2271=41),"②病院短期","対象外")),IF($AJ2271=30,"③特定消防",IF(AND(OR($A2271=21,$A2271=215),$AJ2271=10),"④一般",IF(AND($A2271=31,$AJ2271=41),"⑤短期","対象外")))))</f>
      </c>
      <c r="DC2271" s="2909">
        <f>IF($A2271="","",IF($AB2271&amp;""='DB_設定'!$C$4,1,0))</f>
      </c>
    </row>
    <row r="2272">
      <c r="DB2272" s="2909">
        <f>IF($A2272="","",IF($AH2272=20,IF(AND(OR($A2272=21,$A2272=215),$AJ2272=10),"①病院一般",IF(AND($A2272=31,$AJ2272=41),"②病院短期","対象外")),IF($AJ2272=30,"③特定消防",IF(AND(OR($A2272=21,$A2272=215),$AJ2272=10),"④一般",IF(AND($A2272=31,$AJ2272=41),"⑤短期","対象外")))))</f>
      </c>
      <c r="DC2272" s="2909">
        <f>IF($A2272="","",IF($AB2272&amp;""='DB_設定'!$C$4,1,0))</f>
      </c>
    </row>
    <row r="2273">
      <c r="DB2273" s="2909">
        <f>IF($A2273="","",IF($AH2273=20,IF(AND(OR($A2273=21,$A2273=215),$AJ2273=10),"①病院一般",IF(AND($A2273=31,$AJ2273=41),"②病院短期","対象外")),IF($AJ2273=30,"③特定消防",IF(AND(OR($A2273=21,$A2273=215),$AJ2273=10),"④一般",IF(AND($A2273=31,$AJ2273=41),"⑤短期","対象外")))))</f>
      </c>
      <c r="DC2273" s="2909">
        <f>IF($A2273="","",IF($AB2273&amp;""='DB_設定'!$C$4,1,0))</f>
      </c>
    </row>
    <row r="2274">
      <c r="DB2274" s="2909">
        <f>IF($A2274="","",IF($AH2274=20,IF(AND(OR($A2274=21,$A2274=215),$AJ2274=10),"①病院一般",IF(AND($A2274=31,$AJ2274=41),"②病院短期","対象外")),IF($AJ2274=30,"③特定消防",IF(AND(OR($A2274=21,$A2274=215),$AJ2274=10),"④一般",IF(AND($A2274=31,$AJ2274=41),"⑤短期","対象外")))))</f>
      </c>
      <c r="DC2274" s="2909">
        <f>IF($A2274="","",IF($AB2274&amp;""='DB_設定'!$C$4,1,0))</f>
      </c>
    </row>
    <row r="2275">
      <c r="DB2275" s="2909">
        <f>IF($A2275="","",IF($AH2275=20,IF(AND(OR($A2275=21,$A2275=215),$AJ2275=10),"①病院一般",IF(AND($A2275=31,$AJ2275=41),"②病院短期","対象外")),IF($AJ2275=30,"③特定消防",IF(AND(OR($A2275=21,$A2275=215),$AJ2275=10),"④一般",IF(AND($A2275=31,$AJ2275=41),"⑤短期","対象外")))))</f>
      </c>
      <c r="DC2275" s="2909">
        <f>IF($A2275="","",IF($AB2275&amp;""='DB_設定'!$C$4,1,0))</f>
      </c>
    </row>
    <row r="2276">
      <c r="DB2276" s="2909">
        <f>IF($A2276="","",IF($AH2276=20,IF(AND(OR($A2276=21,$A2276=215),$AJ2276=10),"①病院一般",IF(AND($A2276=31,$AJ2276=41),"②病院短期","対象外")),IF($AJ2276=30,"③特定消防",IF(AND(OR($A2276=21,$A2276=215),$AJ2276=10),"④一般",IF(AND($A2276=31,$AJ2276=41),"⑤短期","対象外")))))</f>
      </c>
      <c r="DC2276" s="2909">
        <f>IF($A2276="","",IF($AB2276&amp;""='DB_設定'!$C$4,1,0))</f>
      </c>
    </row>
    <row r="2277">
      <c r="DB2277" s="2909">
        <f>IF($A2277="","",IF($AH2277=20,IF(AND(OR($A2277=21,$A2277=215),$AJ2277=10),"①病院一般",IF(AND($A2277=31,$AJ2277=41),"②病院短期","対象外")),IF($AJ2277=30,"③特定消防",IF(AND(OR($A2277=21,$A2277=215),$AJ2277=10),"④一般",IF(AND($A2277=31,$AJ2277=41),"⑤短期","対象外")))))</f>
      </c>
      <c r="DC2277" s="2909">
        <f>IF($A2277="","",IF($AB2277&amp;""='DB_設定'!$C$4,1,0))</f>
      </c>
    </row>
    <row r="2278">
      <c r="DB2278" s="2909">
        <f>IF($A2278="","",IF($AH2278=20,IF(AND(OR($A2278=21,$A2278=215),$AJ2278=10),"①病院一般",IF(AND($A2278=31,$AJ2278=41),"②病院短期","対象外")),IF($AJ2278=30,"③特定消防",IF(AND(OR($A2278=21,$A2278=215),$AJ2278=10),"④一般",IF(AND($A2278=31,$AJ2278=41),"⑤短期","対象外")))))</f>
      </c>
      <c r="DC2278" s="2909">
        <f>IF($A2278="","",IF($AB2278&amp;""='DB_設定'!$C$4,1,0))</f>
      </c>
    </row>
    <row r="2279">
      <c r="DB2279" s="2909">
        <f>IF($A2279="","",IF($AH2279=20,IF(AND(OR($A2279=21,$A2279=215),$AJ2279=10),"①病院一般",IF(AND($A2279=31,$AJ2279=41),"②病院短期","対象外")),IF($AJ2279=30,"③特定消防",IF(AND(OR($A2279=21,$A2279=215),$AJ2279=10),"④一般",IF(AND($A2279=31,$AJ2279=41),"⑤短期","対象外")))))</f>
      </c>
      <c r="DC2279" s="2909">
        <f>IF($A2279="","",IF($AB2279&amp;""='DB_設定'!$C$4,1,0))</f>
      </c>
    </row>
    <row r="2280">
      <c r="DB2280" s="2909">
        <f>IF($A2280="","",IF($AH2280=20,IF(AND(OR($A2280=21,$A2280=215),$AJ2280=10),"①病院一般",IF(AND($A2280=31,$AJ2280=41),"②病院短期","対象外")),IF($AJ2280=30,"③特定消防",IF(AND(OR($A2280=21,$A2280=215),$AJ2280=10),"④一般",IF(AND($A2280=31,$AJ2280=41),"⑤短期","対象外")))))</f>
      </c>
      <c r="DC2280" s="2909">
        <f>IF($A2280="","",IF($AB2280&amp;""='DB_設定'!$C$4,1,0))</f>
      </c>
    </row>
    <row r="2281">
      <c r="DB2281" s="2909">
        <f>IF($A2281="","",IF($AH2281=20,IF(AND(OR($A2281=21,$A2281=215),$AJ2281=10),"①病院一般",IF(AND($A2281=31,$AJ2281=41),"②病院短期","対象外")),IF($AJ2281=30,"③特定消防",IF(AND(OR($A2281=21,$A2281=215),$AJ2281=10),"④一般",IF(AND($A2281=31,$AJ2281=41),"⑤短期","対象外")))))</f>
      </c>
      <c r="DC2281" s="2909">
        <f>IF($A2281="","",IF($AB2281&amp;""='DB_設定'!$C$4,1,0))</f>
      </c>
    </row>
    <row r="2282">
      <c r="DB2282" s="2909">
        <f>IF($A2282="","",IF($AH2282=20,IF(AND(OR($A2282=21,$A2282=215),$AJ2282=10),"①病院一般",IF(AND($A2282=31,$AJ2282=41),"②病院短期","対象外")),IF($AJ2282=30,"③特定消防",IF(AND(OR($A2282=21,$A2282=215),$AJ2282=10),"④一般",IF(AND($A2282=31,$AJ2282=41),"⑤短期","対象外")))))</f>
      </c>
      <c r="DC2282" s="2909">
        <f>IF($A2282="","",IF($AB2282&amp;""='DB_設定'!$C$4,1,0))</f>
      </c>
    </row>
    <row r="2283">
      <c r="DB2283" s="2909">
        <f>IF($A2283="","",IF($AH2283=20,IF(AND(OR($A2283=21,$A2283=215),$AJ2283=10),"①病院一般",IF(AND($A2283=31,$AJ2283=41),"②病院短期","対象外")),IF($AJ2283=30,"③特定消防",IF(AND(OR($A2283=21,$A2283=215),$AJ2283=10),"④一般",IF(AND($A2283=31,$AJ2283=41),"⑤短期","対象外")))))</f>
      </c>
      <c r="DC2283" s="2909">
        <f>IF($A2283="","",IF($AB2283&amp;""='DB_設定'!$C$4,1,0))</f>
      </c>
    </row>
    <row r="2284">
      <c r="DB2284" s="2909">
        <f>IF($A2284="","",IF($AH2284=20,IF(AND(OR($A2284=21,$A2284=215),$AJ2284=10),"①病院一般",IF(AND($A2284=31,$AJ2284=41),"②病院短期","対象外")),IF($AJ2284=30,"③特定消防",IF(AND(OR($A2284=21,$A2284=215),$AJ2284=10),"④一般",IF(AND($A2284=31,$AJ2284=41),"⑤短期","対象外")))))</f>
      </c>
      <c r="DC2284" s="2909">
        <f>IF($A2284="","",IF($AB2284&amp;""='DB_設定'!$C$4,1,0))</f>
      </c>
    </row>
    <row r="2285">
      <c r="DB2285" s="2909">
        <f>IF($A2285="","",IF($AH2285=20,IF(AND(OR($A2285=21,$A2285=215),$AJ2285=10),"①病院一般",IF(AND($A2285=31,$AJ2285=41),"②病院短期","対象外")),IF($AJ2285=30,"③特定消防",IF(AND(OR($A2285=21,$A2285=215),$AJ2285=10),"④一般",IF(AND($A2285=31,$AJ2285=41),"⑤短期","対象外")))))</f>
      </c>
      <c r="DC2285" s="2909">
        <f>IF($A2285="","",IF($AB2285&amp;""='DB_設定'!$C$4,1,0))</f>
      </c>
    </row>
    <row r="2286">
      <c r="DB2286" s="2909">
        <f>IF($A2286="","",IF($AH2286=20,IF(AND(OR($A2286=21,$A2286=215),$AJ2286=10),"①病院一般",IF(AND($A2286=31,$AJ2286=41),"②病院短期","対象外")),IF($AJ2286=30,"③特定消防",IF(AND(OR($A2286=21,$A2286=215),$AJ2286=10),"④一般",IF(AND($A2286=31,$AJ2286=41),"⑤短期","対象外")))))</f>
      </c>
      <c r="DC2286" s="2909">
        <f>IF($A2286="","",IF($AB2286&amp;""='DB_設定'!$C$4,1,0))</f>
      </c>
    </row>
    <row r="2287">
      <c r="DB2287" s="2909">
        <f>IF($A2287="","",IF($AH2287=20,IF(AND(OR($A2287=21,$A2287=215),$AJ2287=10),"①病院一般",IF(AND($A2287=31,$AJ2287=41),"②病院短期","対象外")),IF($AJ2287=30,"③特定消防",IF(AND(OR($A2287=21,$A2287=215),$AJ2287=10),"④一般",IF(AND($A2287=31,$AJ2287=41),"⑤短期","対象外")))))</f>
      </c>
      <c r="DC2287" s="2909">
        <f>IF($A2287="","",IF($AB2287&amp;""='DB_設定'!$C$4,1,0))</f>
      </c>
    </row>
    <row r="2288">
      <c r="DB2288" s="2909">
        <f>IF($A2288="","",IF($AH2288=20,IF(AND(OR($A2288=21,$A2288=215),$AJ2288=10),"①病院一般",IF(AND($A2288=31,$AJ2288=41),"②病院短期","対象外")),IF($AJ2288=30,"③特定消防",IF(AND(OR($A2288=21,$A2288=215),$AJ2288=10),"④一般",IF(AND($A2288=31,$AJ2288=41),"⑤短期","対象外")))))</f>
      </c>
      <c r="DC2288" s="2909">
        <f>IF($A2288="","",IF($AB2288&amp;""='DB_設定'!$C$4,1,0))</f>
      </c>
    </row>
    <row r="2289">
      <c r="DB2289" s="2909">
        <f>IF($A2289="","",IF($AH2289=20,IF(AND(OR($A2289=21,$A2289=215),$AJ2289=10),"①病院一般",IF(AND($A2289=31,$AJ2289=41),"②病院短期","対象外")),IF($AJ2289=30,"③特定消防",IF(AND(OR($A2289=21,$A2289=215),$AJ2289=10),"④一般",IF(AND($A2289=31,$AJ2289=41),"⑤短期","対象外")))))</f>
      </c>
      <c r="DC2289" s="2909">
        <f>IF($A2289="","",IF($AB2289&amp;""='DB_設定'!$C$4,1,0))</f>
      </c>
    </row>
    <row r="2290">
      <c r="DB2290" s="2909">
        <f>IF($A2290="","",IF($AH2290=20,IF(AND(OR($A2290=21,$A2290=215),$AJ2290=10),"①病院一般",IF(AND($A2290=31,$AJ2290=41),"②病院短期","対象外")),IF($AJ2290=30,"③特定消防",IF(AND(OR($A2290=21,$A2290=215),$AJ2290=10),"④一般",IF(AND($A2290=31,$AJ2290=41),"⑤短期","対象外")))))</f>
      </c>
      <c r="DC2290" s="2909">
        <f>IF($A2290="","",IF($AB2290&amp;""='DB_設定'!$C$4,1,0))</f>
      </c>
    </row>
    <row r="2291">
      <c r="DB2291" s="2909">
        <f>IF($A2291="","",IF($AH2291=20,IF(AND(OR($A2291=21,$A2291=215),$AJ2291=10),"①病院一般",IF(AND($A2291=31,$AJ2291=41),"②病院短期","対象外")),IF($AJ2291=30,"③特定消防",IF(AND(OR($A2291=21,$A2291=215),$AJ2291=10),"④一般",IF(AND($A2291=31,$AJ2291=41),"⑤短期","対象外")))))</f>
      </c>
      <c r="DC2291" s="2909">
        <f>IF($A2291="","",IF($AB2291&amp;""='DB_設定'!$C$4,1,0))</f>
      </c>
    </row>
    <row r="2292">
      <c r="DB2292" s="2909">
        <f>IF($A2292="","",IF($AH2292=20,IF(AND(OR($A2292=21,$A2292=215),$AJ2292=10),"①病院一般",IF(AND($A2292=31,$AJ2292=41),"②病院短期","対象外")),IF($AJ2292=30,"③特定消防",IF(AND(OR($A2292=21,$A2292=215),$AJ2292=10),"④一般",IF(AND($A2292=31,$AJ2292=41),"⑤短期","対象外")))))</f>
      </c>
      <c r="DC2292" s="2909">
        <f>IF($A2292="","",IF($AB2292&amp;""='DB_設定'!$C$4,1,0))</f>
      </c>
    </row>
    <row r="2293">
      <c r="DB2293" s="2909">
        <f>IF($A2293="","",IF($AH2293=20,IF(AND(OR($A2293=21,$A2293=215),$AJ2293=10),"①病院一般",IF(AND($A2293=31,$AJ2293=41),"②病院短期","対象外")),IF($AJ2293=30,"③特定消防",IF(AND(OR($A2293=21,$A2293=215),$AJ2293=10),"④一般",IF(AND($A2293=31,$AJ2293=41),"⑤短期","対象外")))))</f>
      </c>
      <c r="DC2293" s="2909">
        <f>IF($A2293="","",IF($AB2293&amp;""='DB_設定'!$C$4,1,0))</f>
      </c>
    </row>
    <row r="2294">
      <c r="DB2294" s="2909">
        <f>IF($A2294="","",IF($AH2294=20,IF(AND(OR($A2294=21,$A2294=215),$AJ2294=10),"①病院一般",IF(AND($A2294=31,$AJ2294=41),"②病院短期","対象外")),IF($AJ2294=30,"③特定消防",IF(AND(OR($A2294=21,$A2294=215),$AJ2294=10),"④一般",IF(AND($A2294=31,$AJ2294=41),"⑤短期","対象外")))))</f>
      </c>
      <c r="DC2294" s="2909">
        <f>IF($A2294="","",IF($AB2294&amp;""='DB_設定'!$C$4,1,0))</f>
      </c>
    </row>
    <row r="2295">
      <c r="DB2295" s="2909">
        <f>IF($A2295="","",IF($AH2295=20,IF(AND(OR($A2295=21,$A2295=215),$AJ2295=10),"①病院一般",IF(AND($A2295=31,$AJ2295=41),"②病院短期","対象外")),IF($AJ2295=30,"③特定消防",IF(AND(OR($A2295=21,$A2295=215),$AJ2295=10),"④一般",IF(AND($A2295=31,$AJ2295=41),"⑤短期","対象外")))))</f>
      </c>
      <c r="DC2295" s="2909">
        <f>IF($A2295="","",IF($AB2295&amp;""='DB_設定'!$C$4,1,0))</f>
      </c>
    </row>
    <row r="2296">
      <c r="DB2296" s="2909">
        <f>IF($A2296="","",IF($AH2296=20,IF(AND(OR($A2296=21,$A2296=215),$AJ2296=10),"①病院一般",IF(AND($A2296=31,$AJ2296=41),"②病院短期","対象外")),IF($AJ2296=30,"③特定消防",IF(AND(OR($A2296=21,$A2296=215),$AJ2296=10),"④一般",IF(AND($A2296=31,$AJ2296=41),"⑤短期","対象外")))))</f>
      </c>
      <c r="DC2296" s="2909">
        <f>IF($A2296="","",IF($AB2296&amp;""='DB_設定'!$C$4,1,0))</f>
      </c>
    </row>
    <row r="2297">
      <c r="DB2297" s="2909">
        <f>IF($A2297="","",IF($AH2297=20,IF(AND(OR($A2297=21,$A2297=215),$AJ2297=10),"①病院一般",IF(AND($A2297=31,$AJ2297=41),"②病院短期","対象外")),IF($AJ2297=30,"③特定消防",IF(AND(OR($A2297=21,$A2297=215),$AJ2297=10),"④一般",IF(AND($A2297=31,$AJ2297=41),"⑤短期","対象外")))))</f>
      </c>
      <c r="DC2297" s="2909">
        <f>IF($A2297="","",IF($AB2297&amp;""='DB_設定'!$C$4,1,0))</f>
      </c>
    </row>
    <row r="2298">
      <c r="DB2298" s="2909">
        <f>IF($A2298="","",IF($AH2298=20,IF(AND(OR($A2298=21,$A2298=215),$AJ2298=10),"①病院一般",IF(AND($A2298=31,$AJ2298=41),"②病院短期","対象外")),IF($AJ2298=30,"③特定消防",IF(AND(OR($A2298=21,$A2298=215),$AJ2298=10),"④一般",IF(AND($A2298=31,$AJ2298=41),"⑤短期","対象外")))))</f>
      </c>
      <c r="DC2298" s="2909">
        <f>IF($A2298="","",IF($AB2298&amp;""='DB_設定'!$C$4,1,0))</f>
      </c>
    </row>
    <row r="2299">
      <c r="DB2299" s="2909">
        <f>IF($A2299="","",IF($AH2299=20,IF(AND(OR($A2299=21,$A2299=215),$AJ2299=10),"①病院一般",IF(AND($A2299=31,$AJ2299=41),"②病院短期","対象外")),IF($AJ2299=30,"③特定消防",IF(AND(OR($A2299=21,$A2299=215),$AJ2299=10),"④一般",IF(AND($A2299=31,$AJ2299=41),"⑤短期","対象外")))))</f>
      </c>
      <c r="DC2299" s="2909">
        <f>IF($A2299="","",IF($AB2299&amp;""='DB_設定'!$C$4,1,0))</f>
      </c>
    </row>
    <row r="2300">
      <c r="DB2300" s="2909">
        <f>IF($A2300="","",IF($AH2300=20,IF(AND(OR($A2300=21,$A2300=215),$AJ2300=10),"①病院一般",IF(AND($A2300=31,$AJ2300=41),"②病院短期","対象外")),IF($AJ2300=30,"③特定消防",IF(AND(OR($A2300=21,$A2300=215),$AJ2300=10),"④一般",IF(AND($A2300=31,$AJ2300=41),"⑤短期","対象外")))))</f>
      </c>
      <c r="DC2300" s="2909">
        <f>IF($A2300="","",IF($AB2300&amp;""='DB_設定'!$C$4,1,0))</f>
      </c>
    </row>
    <row r="2301">
      <c r="DB2301" s="2909">
        <f>IF($A2301="","",IF($AH2301=20,IF(AND(OR($A2301=21,$A2301=215),$AJ2301=10),"①病院一般",IF(AND($A2301=31,$AJ2301=41),"②病院短期","対象外")),IF($AJ2301=30,"③特定消防",IF(AND(OR($A2301=21,$A2301=215),$AJ2301=10),"④一般",IF(AND($A2301=31,$AJ2301=41),"⑤短期","対象外")))))</f>
      </c>
      <c r="DC2301" s="2909">
        <f>IF($A2301="","",IF($AB2301&amp;""='DB_設定'!$C$4,1,0))</f>
      </c>
    </row>
    <row r="2302">
      <c r="DB2302" s="2909">
        <f>IF($A2302="","",IF($AH2302=20,IF(AND(OR($A2302=21,$A2302=215),$AJ2302=10),"①病院一般",IF(AND($A2302=31,$AJ2302=41),"②病院短期","対象外")),IF($AJ2302=30,"③特定消防",IF(AND(OR($A2302=21,$A2302=215),$AJ2302=10),"④一般",IF(AND($A2302=31,$AJ2302=41),"⑤短期","対象外")))))</f>
      </c>
      <c r="DC2302" s="2909">
        <f>IF($A2302="","",IF($AB2302&amp;""='DB_設定'!$C$4,1,0))</f>
      </c>
    </row>
    <row r="2303">
      <c r="DB2303" s="2909">
        <f>IF($A2303="","",IF($AH2303=20,IF(AND(OR($A2303=21,$A2303=215),$AJ2303=10),"①病院一般",IF(AND($A2303=31,$AJ2303=41),"②病院短期","対象外")),IF($AJ2303=30,"③特定消防",IF(AND(OR($A2303=21,$A2303=215),$AJ2303=10),"④一般",IF(AND($A2303=31,$AJ2303=41),"⑤短期","対象外")))))</f>
      </c>
      <c r="DC2303" s="2909">
        <f>IF($A2303="","",IF($AB2303&amp;""='DB_設定'!$C$4,1,0))</f>
      </c>
    </row>
    <row r="2304">
      <c r="DB2304" s="2909">
        <f>IF($A2304="","",IF($AH2304=20,IF(AND(OR($A2304=21,$A2304=215),$AJ2304=10),"①病院一般",IF(AND($A2304=31,$AJ2304=41),"②病院短期","対象外")),IF($AJ2304=30,"③特定消防",IF(AND(OR($A2304=21,$A2304=215),$AJ2304=10),"④一般",IF(AND($A2304=31,$AJ2304=41),"⑤短期","対象外")))))</f>
      </c>
      <c r="DC2304" s="2909">
        <f>IF($A2304="","",IF($AB2304&amp;""='DB_設定'!$C$4,1,0))</f>
      </c>
    </row>
    <row r="2305">
      <c r="DB2305" s="2909">
        <f>IF($A2305="","",IF($AH2305=20,IF(AND(OR($A2305=21,$A2305=215),$AJ2305=10),"①病院一般",IF(AND($A2305=31,$AJ2305=41),"②病院短期","対象外")),IF($AJ2305=30,"③特定消防",IF(AND(OR($A2305=21,$A2305=215),$AJ2305=10),"④一般",IF(AND($A2305=31,$AJ2305=41),"⑤短期","対象外")))))</f>
      </c>
      <c r="DC2305" s="2909">
        <f>IF($A2305="","",IF($AB2305&amp;""='DB_設定'!$C$4,1,0))</f>
      </c>
    </row>
    <row r="2306">
      <c r="DB2306" s="2909">
        <f>IF($A2306="","",IF($AH2306=20,IF(AND(OR($A2306=21,$A2306=215),$AJ2306=10),"①病院一般",IF(AND($A2306=31,$AJ2306=41),"②病院短期","対象外")),IF($AJ2306=30,"③特定消防",IF(AND(OR($A2306=21,$A2306=215),$AJ2306=10),"④一般",IF(AND($A2306=31,$AJ2306=41),"⑤短期","対象外")))))</f>
      </c>
      <c r="DC2306" s="2909">
        <f>IF($A2306="","",IF($AB2306&amp;""='DB_設定'!$C$4,1,0))</f>
      </c>
    </row>
    <row r="2307">
      <c r="DB2307" s="2909">
        <f>IF($A2307="","",IF($AH2307=20,IF(AND(OR($A2307=21,$A2307=215),$AJ2307=10),"①病院一般",IF(AND($A2307=31,$AJ2307=41),"②病院短期","対象外")),IF($AJ2307=30,"③特定消防",IF(AND(OR($A2307=21,$A2307=215),$AJ2307=10),"④一般",IF(AND($A2307=31,$AJ2307=41),"⑤短期","対象外")))))</f>
      </c>
      <c r="DC2307" s="2909">
        <f>IF($A2307="","",IF($AB2307&amp;""='DB_設定'!$C$4,1,0))</f>
      </c>
    </row>
    <row r="2308">
      <c r="DB2308" s="2909">
        <f>IF($A2308="","",IF($AH2308=20,IF(AND(OR($A2308=21,$A2308=215),$AJ2308=10),"①病院一般",IF(AND($A2308=31,$AJ2308=41),"②病院短期","対象外")),IF($AJ2308=30,"③特定消防",IF(AND(OR($A2308=21,$A2308=215),$AJ2308=10),"④一般",IF(AND($A2308=31,$AJ2308=41),"⑤短期","対象外")))))</f>
      </c>
      <c r="DC2308" s="2909">
        <f>IF($A2308="","",IF($AB2308&amp;""='DB_設定'!$C$4,1,0))</f>
      </c>
    </row>
    <row r="2309">
      <c r="DB2309" s="2909">
        <f>IF($A2309="","",IF($AH2309=20,IF(AND(OR($A2309=21,$A2309=215),$AJ2309=10),"①病院一般",IF(AND($A2309=31,$AJ2309=41),"②病院短期","対象外")),IF($AJ2309=30,"③特定消防",IF(AND(OR($A2309=21,$A2309=215),$AJ2309=10),"④一般",IF(AND($A2309=31,$AJ2309=41),"⑤短期","対象外")))))</f>
      </c>
      <c r="DC2309" s="2909">
        <f>IF($A2309="","",IF($AB2309&amp;""='DB_設定'!$C$4,1,0))</f>
      </c>
    </row>
    <row r="2310">
      <c r="DB2310" s="2909">
        <f>IF($A2310="","",IF($AH2310=20,IF(AND(OR($A2310=21,$A2310=215),$AJ2310=10),"①病院一般",IF(AND($A2310=31,$AJ2310=41),"②病院短期","対象外")),IF($AJ2310=30,"③特定消防",IF(AND(OR($A2310=21,$A2310=215),$AJ2310=10),"④一般",IF(AND($A2310=31,$AJ2310=41),"⑤短期","対象外")))))</f>
      </c>
      <c r="DC2310" s="2909">
        <f>IF($A2310="","",IF($AB2310&amp;""='DB_設定'!$C$4,1,0))</f>
      </c>
    </row>
    <row r="2311">
      <c r="DB2311" s="2909">
        <f>IF($A2311="","",IF($AH2311=20,IF(AND(OR($A2311=21,$A2311=215),$AJ2311=10),"①病院一般",IF(AND($A2311=31,$AJ2311=41),"②病院短期","対象外")),IF($AJ2311=30,"③特定消防",IF(AND(OR($A2311=21,$A2311=215),$AJ2311=10),"④一般",IF(AND($A2311=31,$AJ2311=41),"⑤短期","対象外")))))</f>
      </c>
      <c r="DC2311" s="2909">
        <f>IF($A2311="","",IF($AB2311&amp;""='DB_設定'!$C$4,1,0))</f>
      </c>
    </row>
    <row r="2312">
      <c r="DB2312" s="2909">
        <f>IF($A2312="","",IF($AH2312=20,IF(AND(OR($A2312=21,$A2312=215),$AJ2312=10),"①病院一般",IF(AND($A2312=31,$AJ2312=41),"②病院短期","対象外")),IF($AJ2312=30,"③特定消防",IF(AND(OR($A2312=21,$A2312=215),$AJ2312=10),"④一般",IF(AND($A2312=31,$AJ2312=41),"⑤短期","対象外")))))</f>
      </c>
      <c r="DC2312" s="2909">
        <f>IF($A2312="","",IF($AB2312&amp;""='DB_設定'!$C$4,1,0))</f>
      </c>
    </row>
    <row r="2313">
      <c r="DB2313" s="2909">
        <f>IF($A2313="","",IF($AH2313=20,IF(AND(OR($A2313=21,$A2313=215),$AJ2313=10),"①病院一般",IF(AND($A2313=31,$AJ2313=41),"②病院短期","対象外")),IF($AJ2313=30,"③特定消防",IF(AND(OR($A2313=21,$A2313=215),$AJ2313=10),"④一般",IF(AND($A2313=31,$AJ2313=41),"⑤短期","対象外")))))</f>
      </c>
      <c r="DC2313" s="2909">
        <f>IF($A2313="","",IF($AB2313&amp;""='DB_設定'!$C$4,1,0))</f>
      </c>
    </row>
    <row r="2314">
      <c r="DB2314" s="2909">
        <f>IF($A2314="","",IF($AH2314=20,IF(AND(OR($A2314=21,$A2314=215),$AJ2314=10),"①病院一般",IF(AND($A2314=31,$AJ2314=41),"②病院短期","対象外")),IF($AJ2314=30,"③特定消防",IF(AND(OR($A2314=21,$A2314=215),$AJ2314=10),"④一般",IF(AND($A2314=31,$AJ2314=41),"⑤短期","対象外")))))</f>
      </c>
      <c r="DC2314" s="2909">
        <f>IF($A2314="","",IF($AB2314&amp;""='DB_設定'!$C$4,1,0))</f>
      </c>
    </row>
    <row r="2315">
      <c r="DB2315" s="2909">
        <f>IF($A2315="","",IF($AH2315=20,IF(AND(OR($A2315=21,$A2315=215),$AJ2315=10),"①病院一般",IF(AND($A2315=31,$AJ2315=41),"②病院短期","対象外")),IF($AJ2315=30,"③特定消防",IF(AND(OR($A2315=21,$A2315=215),$AJ2315=10),"④一般",IF(AND($A2315=31,$AJ2315=41),"⑤短期","対象外")))))</f>
      </c>
      <c r="DC2315" s="2909">
        <f>IF($A2315="","",IF($AB2315&amp;""='DB_設定'!$C$4,1,0))</f>
      </c>
    </row>
    <row r="2316">
      <c r="DB2316" s="2909">
        <f>IF($A2316="","",IF($AH2316=20,IF(AND(OR($A2316=21,$A2316=215),$AJ2316=10),"①病院一般",IF(AND($A2316=31,$AJ2316=41),"②病院短期","対象外")),IF($AJ2316=30,"③特定消防",IF(AND(OR($A2316=21,$A2316=215),$AJ2316=10),"④一般",IF(AND($A2316=31,$AJ2316=41),"⑤短期","対象外")))))</f>
      </c>
      <c r="DC2316" s="2909">
        <f>IF($A2316="","",IF($AB2316&amp;""='DB_設定'!$C$4,1,0))</f>
      </c>
    </row>
    <row r="2317">
      <c r="DB2317" s="2909">
        <f>IF($A2317="","",IF($AH2317=20,IF(AND(OR($A2317=21,$A2317=215),$AJ2317=10),"①病院一般",IF(AND($A2317=31,$AJ2317=41),"②病院短期","対象外")),IF($AJ2317=30,"③特定消防",IF(AND(OR($A2317=21,$A2317=215),$AJ2317=10),"④一般",IF(AND($A2317=31,$AJ2317=41),"⑤短期","対象外")))))</f>
      </c>
      <c r="DC2317" s="2909">
        <f>IF($A2317="","",IF($AB2317&amp;""='DB_設定'!$C$4,1,0))</f>
      </c>
    </row>
    <row r="2318">
      <c r="DB2318" s="2909">
        <f>IF($A2318="","",IF($AH2318=20,IF(AND(OR($A2318=21,$A2318=215),$AJ2318=10),"①病院一般",IF(AND($A2318=31,$AJ2318=41),"②病院短期","対象外")),IF($AJ2318=30,"③特定消防",IF(AND(OR($A2318=21,$A2318=215),$AJ2318=10),"④一般",IF(AND($A2318=31,$AJ2318=41),"⑤短期","対象外")))))</f>
      </c>
      <c r="DC2318" s="2909">
        <f>IF($A2318="","",IF($AB2318&amp;""='DB_設定'!$C$4,1,0))</f>
      </c>
    </row>
    <row r="2319">
      <c r="DB2319" s="2909">
        <f>IF($A2319="","",IF($AH2319=20,IF(AND(OR($A2319=21,$A2319=215),$AJ2319=10),"①病院一般",IF(AND($A2319=31,$AJ2319=41),"②病院短期","対象外")),IF($AJ2319=30,"③特定消防",IF(AND(OR($A2319=21,$A2319=215),$AJ2319=10),"④一般",IF(AND($A2319=31,$AJ2319=41),"⑤短期","対象外")))))</f>
      </c>
      <c r="DC2319" s="2909">
        <f>IF($A2319="","",IF($AB2319&amp;""='DB_設定'!$C$4,1,0))</f>
      </c>
    </row>
    <row r="2320">
      <c r="DB2320" s="2909">
        <f>IF($A2320="","",IF($AH2320=20,IF(AND(OR($A2320=21,$A2320=215),$AJ2320=10),"①病院一般",IF(AND($A2320=31,$AJ2320=41),"②病院短期","対象外")),IF($AJ2320=30,"③特定消防",IF(AND(OR($A2320=21,$A2320=215),$AJ2320=10),"④一般",IF(AND($A2320=31,$AJ2320=41),"⑤短期","対象外")))))</f>
      </c>
      <c r="DC2320" s="2909">
        <f>IF($A2320="","",IF($AB2320&amp;""='DB_設定'!$C$4,1,0))</f>
      </c>
    </row>
    <row r="2321">
      <c r="DB2321" s="2909">
        <f>IF($A2321="","",IF($AH2321=20,IF(AND(OR($A2321=21,$A2321=215),$AJ2321=10),"①病院一般",IF(AND($A2321=31,$AJ2321=41),"②病院短期","対象外")),IF($AJ2321=30,"③特定消防",IF(AND(OR($A2321=21,$A2321=215),$AJ2321=10),"④一般",IF(AND($A2321=31,$AJ2321=41),"⑤短期","対象外")))))</f>
      </c>
      <c r="DC2321" s="2909">
        <f>IF($A2321="","",IF($AB2321&amp;""='DB_設定'!$C$4,1,0))</f>
      </c>
    </row>
    <row r="2322">
      <c r="DB2322" s="2909">
        <f>IF($A2322="","",IF($AH2322=20,IF(AND(OR($A2322=21,$A2322=215),$AJ2322=10),"①病院一般",IF(AND($A2322=31,$AJ2322=41),"②病院短期","対象外")),IF($AJ2322=30,"③特定消防",IF(AND(OR($A2322=21,$A2322=215),$AJ2322=10),"④一般",IF(AND($A2322=31,$AJ2322=41),"⑤短期","対象外")))))</f>
      </c>
      <c r="DC2322" s="2909">
        <f>IF($A2322="","",IF($AB2322&amp;""='DB_設定'!$C$4,1,0))</f>
      </c>
    </row>
    <row r="2323">
      <c r="DB2323" s="2909">
        <f>IF($A2323="","",IF($AH2323=20,IF(AND(OR($A2323=21,$A2323=215),$AJ2323=10),"①病院一般",IF(AND($A2323=31,$AJ2323=41),"②病院短期","対象外")),IF($AJ2323=30,"③特定消防",IF(AND(OR($A2323=21,$A2323=215),$AJ2323=10),"④一般",IF(AND($A2323=31,$AJ2323=41),"⑤短期","対象外")))))</f>
      </c>
      <c r="DC2323" s="2909">
        <f>IF($A2323="","",IF($AB2323&amp;""='DB_設定'!$C$4,1,0))</f>
      </c>
    </row>
    <row r="2324">
      <c r="DB2324" s="2909">
        <f>IF($A2324="","",IF($AH2324=20,IF(AND(OR($A2324=21,$A2324=215),$AJ2324=10),"①病院一般",IF(AND($A2324=31,$AJ2324=41),"②病院短期","対象外")),IF($AJ2324=30,"③特定消防",IF(AND(OR($A2324=21,$A2324=215),$AJ2324=10),"④一般",IF(AND($A2324=31,$AJ2324=41),"⑤短期","対象外")))))</f>
      </c>
      <c r="DC2324" s="2909">
        <f>IF($A2324="","",IF($AB2324&amp;""='DB_設定'!$C$4,1,0))</f>
      </c>
    </row>
    <row r="2325">
      <c r="DB2325" s="2909">
        <f>IF($A2325="","",IF($AH2325=20,IF(AND(OR($A2325=21,$A2325=215),$AJ2325=10),"①病院一般",IF(AND($A2325=31,$AJ2325=41),"②病院短期","対象外")),IF($AJ2325=30,"③特定消防",IF(AND(OR($A2325=21,$A2325=215),$AJ2325=10),"④一般",IF(AND($A2325=31,$AJ2325=41),"⑤短期","対象外")))))</f>
      </c>
      <c r="DC2325" s="2909">
        <f>IF($A2325="","",IF($AB2325&amp;""='DB_設定'!$C$4,1,0))</f>
      </c>
    </row>
    <row r="2326">
      <c r="DB2326" s="2909">
        <f>IF($A2326="","",IF($AH2326=20,IF(AND(OR($A2326=21,$A2326=215),$AJ2326=10),"①病院一般",IF(AND($A2326=31,$AJ2326=41),"②病院短期","対象外")),IF($AJ2326=30,"③特定消防",IF(AND(OR($A2326=21,$A2326=215),$AJ2326=10),"④一般",IF(AND($A2326=31,$AJ2326=41),"⑤短期","対象外")))))</f>
      </c>
      <c r="DC2326" s="2909">
        <f>IF($A2326="","",IF($AB2326&amp;""='DB_設定'!$C$4,1,0))</f>
      </c>
    </row>
    <row r="2327">
      <c r="DB2327" s="2909">
        <f>IF($A2327="","",IF($AH2327=20,IF(AND(OR($A2327=21,$A2327=215),$AJ2327=10),"①病院一般",IF(AND($A2327=31,$AJ2327=41),"②病院短期","対象外")),IF($AJ2327=30,"③特定消防",IF(AND(OR($A2327=21,$A2327=215),$AJ2327=10),"④一般",IF(AND($A2327=31,$AJ2327=41),"⑤短期","対象外")))))</f>
      </c>
      <c r="DC2327" s="2909">
        <f>IF($A2327="","",IF($AB2327&amp;""='DB_設定'!$C$4,1,0))</f>
      </c>
    </row>
    <row r="2328">
      <c r="DB2328" s="2909">
        <f>IF($A2328="","",IF($AH2328=20,IF(AND(OR($A2328=21,$A2328=215),$AJ2328=10),"①病院一般",IF(AND($A2328=31,$AJ2328=41),"②病院短期","対象外")),IF($AJ2328=30,"③特定消防",IF(AND(OR($A2328=21,$A2328=215),$AJ2328=10),"④一般",IF(AND($A2328=31,$AJ2328=41),"⑤短期","対象外")))))</f>
      </c>
      <c r="DC2328" s="2909">
        <f>IF($A2328="","",IF($AB2328&amp;""='DB_設定'!$C$4,1,0))</f>
      </c>
    </row>
    <row r="2329">
      <c r="DB2329" s="2909">
        <f>IF($A2329="","",IF($AH2329=20,IF(AND(OR($A2329=21,$A2329=215),$AJ2329=10),"①病院一般",IF(AND($A2329=31,$AJ2329=41),"②病院短期","対象外")),IF($AJ2329=30,"③特定消防",IF(AND(OR($A2329=21,$A2329=215),$AJ2329=10),"④一般",IF(AND($A2329=31,$AJ2329=41),"⑤短期","対象外")))))</f>
      </c>
      <c r="DC2329" s="2909">
        <f>IF($A2329="","",IF($AB2329&amp;""='DB_設定'!$C$4,1,0))</f>
      </c>
    </row>
    <row r="2330">
      <c r="DB2330" s="2909">
        <f>IF($A2330="","",IF($AH2330=20,IF(AND(OR($A2330=21,$A2330=215),$AJ2330=10),"①病院一般",IF(AND($A2330=31,$AJ2330=41),"②病院短期","対象外")),IF($AJ2330=30,"③特定消防",IF(AND(OR($A2330=21,$A2330=215),$AJ2330=10),"④一般",IF(AND($A2330=31,$AJ2330=41),"⑤短期","対象外")))))</f>
      </c>
      <c r="DC2330" s="2909">
        <f>IF($A2330="","",IF($AB2330&amp;""='DB_設定'!$C$4,1,0))</f>
      </c>
    </row>
    <row r="2331">
      <c r="DB2331" s="2909">
        <f>IF($A2331="","",IF($AH2331=20,IF(AND(OR($A2331=21,$A2331=215),$AJ2331=10),"①病院一般",IF(AND($A2331=31,$AJ2331=41),"②病院短期","対象外")),IF($AJ2331=30,"③特定消防",IF(AND(OR($A2331=21,$A2331=215),$AJ2331=10),"④一般",IF(AND($A2331=31,$AJ2331=41),"⑤短期","対象外")))))</f>
      </c>
      <c r="DC2331" s="2909">
        <f>IF($A2331="","",IF($AB2331&amp;""='DB_設定'!$C$4,1,0))</f>
      </c>
    </row>
    <row r="2332">
      <c r="DB2332" s="2909">
        <f>IF($A2332="","",IF($AH2332=20,IF(AND(OR($A2332=21,$A2332=215),$AJ2332=10),"①病院一般",IF(AND($A2332=31,$AJ2332=41),"②病院短期","対象外")),IF($AJ2332=30,"③特定消防",IF(AND(OR($A2332=21,$A2332=215),$AJ2332=10),"④一般",IF(AND($A2332=31,$AJ2332=41),"⑤短期","対象外")))))</f>
      </c>
      <c r="DC2332" s="2909">
        <f>IF($A2332="","",IF($AB2332&amp;""='DB_設定'!$C$4,1,0))</f>
      </c>
    </row>
    <row r="2333">
      <c r="DB2333" s="2909">
        <f>IF($A2333="","",IF($AH2333=20,IF(AND(OR($A2333=21,$A2333=215),$AJ2333=10),"①病院一般",IF(AND($A2333=31,$AJ2333=41),"②病院短期","対象外")),IF($AJ2333=30,"③特定消防",IF(AND(OR($A2333=21,$A2333=215),$AJ2333=10),"④一般",IF(AND($A2333=31,$AJ2333=41),"⑤短期","対象外")))))</f>
      </c>
      <c r="DC2333" s="2909">
        <f>IF($A2333="","",IF($AB2333&amp;""='DB_設定'!$C$4,1,0))</f>
      </c>
    </row>
    <row r="2334">
      <c r="DB2334" s="2909">
        <f>IF($A2334="","",IF($AH2334=20,IF(AND(OR($A2334=21,$A2334=215),$AJ2334=10),"①病院一般",IF(AND($A2334=31,$AJ2334=41),"②病院短期","対象外")),IF($AJ2334=30,"③特定消防",IF(AND(OR($A2334=21,$A2334=215),$AJ2334=10),"④一般",IF(AND($A2334=31,$AJ2334=41),"⑤短期","対象外")))))</f>
      </c>
      <c r="DC2334" s="2909">
        <f>IF($A2334="","",IF($AB2334&amp;""='DB_設定'!$C$4,1,0))</f>
      </c>
    </row>
    <row r="2335">
      <c r="DB2335" s="2909">
        <f>IF($A2335="","",IF($AH2335=20,IF(AND(OR($A2335=21,$A2335=215),$AJ2335=10),"①病院一般",IF(AND($A2335=31,$AJ2335=41),"②病院短期","対象外")),IF($AJ2335=30,"③特定消防",IF(AND(OR($A2335=21,$A2335=215),$AJ2335=10),"④一般",IF(AND($A2335=31,$AJ2335=41),"⑤短期","対象外")))))</f>
      </c>
      <c r="DC2335" s="2909">
        <f>IF($A2335="","",IF($AB2335&amp;""='DB_設定'!$C$4,1,0))</f>
      </c>
    </row>
    <row r="2336">
      <c r="DB2336" s="2909">
        <f>IF($A2336="","",IF($AH2336=20,IF(AND(OR($A2336=21,$A2336=215),$AJ2336=10),"①病院一般",IF(AND($A2336=31,$AJ2336=41),"②病院短期","対象外")),IF($AJ2336=30,"③特定消防",IF(AND(OR($A2336=21,$A2336=215),$AJ2336=10),"④一般",IF(AND($A2336=31,$AJ2336=41),"⑤短期","対象外")))))</f>
      </c>
      <c r="DC2336" s="2909">
        <f>IF($A2336="","",IF($AB2336&amp;""='DB_設定'!$C$4,1,0))</f>
      </c>
    </row>
    <row r="2337">
      <c r="DB2337" s="2909">
        <f>IF($A2337="","",IF($AH2337=20,IF(AND(OR($A2337=21,$A2337=215),$AJ2337=10),"①病院一般",IF(AND($A2337=31,$AJ2337=41),"②病院短期","対象外")),IF($AJ2337=30,"③特定消防",IF(AND(OR($A2337=21,$A2337=215),$AJ2337=10),"④一般",IF(AND($A2337=31,$AJ2337=41),"⑤短期","対象外")))))</f>
      </c>
      <c r="DC2337" s="2909">
        <f>IF($A2337="","",IF($AB2337&amp;""='DB_設定'!$C$4,1,0))</f>
      </c>
    </row>
    <row r="2338">
      <c r="DB2338" s="2909">
        <f>IF($A2338="","",IF($AH2338=20,IF(AND(OR($A2338=21,$A2338=215),$AJ2338=10),"①病院一般",IF(AND($A2338=31,$AJ2338=41),"②病院短期","対象外")),IF($AJ2338=30,"③特定消防",IF(AND(OR($A2338=21,$A2338=215),$AJ2338=10),"④一般",IF(AND($A2338=31,$AJ2338=41),"⑤短期","対象外")))))</f>
      </c>
      <c r="DC2338" s="2909">
        <f>IF($A2338="","",IF($AB2338&amp;""='DB_設定'!$C$4,1,0))</f>
      </c>
    </row>
    <row r="2339">
      <c r="DB2339" s="2909">
        <f>IF($A2339="","",IF($AH2339=20,IF(AND(OR($A2339=21,$A2339=215),$AJ2339=10),"①病院一般",IF(AND($A2339=31,$AJ2339=41),"②病院短期","対象外")),IF($AJ2339=30,"③特定消防",IF(AND(OR($A2339=21,$A2339=215),$AJ2339=10),"④一般",IF(AND($A2339=31,$AJ2339=41),"⑤短期","対象外")))))</f>
      </c>
      <c r="DC2339" s="2909">
        <f>IF($A2339="","",IF($AB2339&amp;""='DB_設定'!$C$4,1,0))</f>
      </c>
    </row>
    <row r="2340">
      <c r="DB2340" s="2909">
        <f>IF($A2340="","",IF($AH2340=20,IF(AND(OR($A2340=21,$A2340=215),$AJ2340=10),"①病院一般",IF(AND($A2340=31,$AJ2340=41),"②病院短期","対象外")),IF($AJ2340=30,"③特定消防",IF(AND(OR($A2340=21,$A2340=215),$AJ2340=10),"④一般",IF(AND($A2340=31,$AJ2340=41),"⑤短期","対象外")))))</f>
      </c>
      <c r="DC2340" s="2909">
        <f>IF($A2340="","",IF($AB2340&amp;""='DB_設定'!$C$4,1,0))</f>
      </c>
    </row>
    <row r="2341">
      <c r="DB2341" s="2909">
        <f>IF($A2341="","",IF($AH2341=20,IF(AND(OR($A2341=21,$A2341=215),$AJ2341=10),"①病院一般",IF(AND($A2341=31,$AJ2341=41),"②病院短期","対象外")),IF($AJ2341=30,"③特定消防",IF(AND(OR($A2341=21,$A2341=215),$AJ2341=10),"④一般",IF(AND($A2341=31,$AJ2341=41),"⑤短期","対象外")))))</f>
      </c>
      <c r="DC2341" s="2909">
        <f>IF($A2341="","",IF($AB2341&amp;""='DB_設定'!$C$4,1,0))</f>
      </c>
    </row>
    <row r="2342">
      <c r="DB2342" s="2909">
        <f>IF($A2342="","",IF($AH2342=20,IF(AND(OR($A2342=21,$A2342=215),$AJ2342=10),"①病院一般",IF(AND($A2342=31,$AJ2342=41),"②病院短期","対象外")),IF($AJ2342=30,"③特定消防",IF(AND(OR($A2342=21,$A2342=215),$AJ2342=10),"④一般",IF(AND($A2342=31,$AJ2342=41),"⑤短期","対象外")))))</f>
      </c>
      <c r="DC2342" s="2909">
        <f>IF($A2342="","",IF($AB2342&amp;""='DB_設定'!$C$4,1,0))</f>
      </c>
    </row>
    <row r="2343">
      <c r="DB2343" s="2909">
        <f>IF($A2343="","",IF($AH2343=20,IF(AND(OR($A2343=21,$A2343=215),$AJ2343=10),"①病院一般",IF(AND($A2343=31,$AJ2343=41),"②病院短期","対象外")),IF($AJ2343=30,"③特定消防",IF(AND(OR($A2343=21,$A2343=215),$AJ2343=10),"④一般",IF(AND($A2343=31,$AJ2343=41),"⑤短期","対象外")))))</f>
      </c>
      <c r="DC2343" s="2909">
        <f>IF($A2343="","",IF($AB2343&amp;""='DB_設定'!$C$4,1,0))</f>
      </c>
    </row>
    <row r="2344">
      <c r="DB2344" s="2909">
        <f>IF($A2344="","",IF($AH2344=20,IF(AND(OR($A2344=21,$A2344=215),$AJ2344=10),"①病院一般",IF(AND($A2344=31,$AJ2344=41),"②病院短期","対象外")),IF($AJ2344=30,"③特定消防",IF(AND(OR($A2344=21,$A2344=215),$AJ2344=10),"④一般",IF(AND($A2344=31,$AJ2344=41),"⑤短期","対象外")))))</f>
      </c>
      <c r="DC2344" s="2909">
        <f>IF($A2344="","",IF($AB2344&amp;""='DB_設定'!$C$4,1,0))</f>
      </c>
    </row>
    <row r="2345">
      <c r="DB2345" s="2909">
        <f>IF($A2345="","",IF($AH2345=20,IF(AND(OR($A2345=21,$A2345=215),$AJ2345=10),"①病院一般",IF(AND($A2345=31,$AJ2345=41),"②病院短期","対象外")),IF($AJ2345=30,"③特定消防",IF(AND(OR($A2345=21,$A2345=215),$AJ2345=10),"④一般",IF(AND($A2345=31,$AJ2345=41),"⑤短期","対象外")))))</f>
      </c>
      <c r="DC2345" s="2909">
        <f>IF($A2345="","",IF($AB2345&amp;""='DB_設定'!$C$4,1,0))</f>
      </c>
    </row>
    <row r="2346">
      <c r="DB2346" s="2909">
        <f>IF($A2346="","",IF($AH2346=20,IF(AND(OR($A2346=21,$A2346=215),$AJ2346=10),"①病院一般",IF(AND($A2346=31,$AJ2346=41),"②病院短期","対象外")),IF($AJ2346=30,"③特定消防",IF(AND(OR($A2346=21,$A2346=215),$AJ2346=10),"④一般",IF(AND($A2346=31,$AJ2346=41),"⑤短期","対象外")))))</f>
      </c>
      <c r="DC2346" s="2909">
        <f>IF($A2346="","",IF($AB2346&amp;""='DB_設定'!$C$4,1,0))</f>
      </c>
    </row>
    <row r="2347">
      <c r="DB2347" s="2909">
        <f>IF($A2347="","",IF($AH2347=20,IF(AND(OR($A2347=21,$A2347=215),$AJ2347=10),"①病院一般",IF(AND($A2347=31,$AJ2347=41),"②病院短期","対象外")),IF($AJ2347=30,"③特定消防",IF(AND(OR($A2347=21,$A2347=215),$AJ2347=10),"④一般",IF(AND($A2347=31,$AJ2347=41),"⑤短期","対象外")))))</f>
      </c>
      <c r="DC2347" s="2909">
        <f>IF($A2347="","",IF($AB2347&amp;""='DB_設定'!$C$4,1,0))</f>
      </c>
    </row>
    <row r="2348">
      <c r="DB2348" s="2909">
        <f>IF($A2348="","",IF($AH2348=20,IF(AND(OR($A2348=21,$A2348=215),$AJ2348=10),"①病院一般",IF(AND($A2348=31,$AJ2348=41),"②病院短期","対象外")),IF($AJ2348=30,"③特定消防",IF(AND(OR($A2348=21,$A2348=215),$AJ2348=10),"④一般",IF(AND($A2348=31,$AJ2348=41),"⑤短期","対象外")))))</f>
      </c>
      <c r="DC2348" s="2909">
        <f>IF($A2348="","",IF($AB2348&amp;""='DB_設定'!$C$4,1,0))</f>
      </c>
    </row>
    <row r="2349">
      <c r="DB2349" s="2909">
        <f>IF($A2349="","",IF($AH2349=20,IF(AND(OR($A2349=21,$A2349=215),$AJ2349=10),"①病院一般",IF(AND($A2349=31,$AJ2349=41),"②病院短期","対象外")),IF($AJ2349=30,"③特定消防",IF(AND(OR($A2349=21,$A2349=215),$AJ2349=10),"④一般",IF(AND($A2349=31,$AJ2349=41),"⑤短期","対象外")))))</f>
      </c>
      <c r="DC2349" s="2909">
        <f>IF($A2349="","",IF($AB2349&amp;""='DB_設定'!$C$4,1,0))</f>
      </c>
    </row>
    <row r="2350">
      <c r="DB2350" s="2909">
        <f>IF($A2350="","",IF($AH2350=20,IF(AND(OR($A2350=21,$A2350=215),$AJ2350=10),"①病院一般",IF(AND($A2350=31,$AJ2350=41),"②病院短期","対象外")),IF($AJ2350=30,"③特定消防",IF(AND(OR($A2350=21,$A2350=215),$AJ2350=10),"④一般",IF(AND($A2350=31,$AJ2350=41),"⑤短期","対象外")))))</f>
      </c>
      <c r="DC2350" s="2909">
        <f>IF($A2350="","",IF($AB2350&amp;""='DB_設定'!$C$4,1,0))</f>
      </c>
    </row>
    <row r="2351">
      <c r="DB2351" s="2909">
        <f>IF($A2351="","",IF($AH2351=20,IF(AND(OR($A2351=21,$A2351=215),$AJ2351=10),"①病院一般",IF(AND($A2351=31,$AJ2351=41),"②病院短期","対象外")),IF($AJ2351=30,"③特定消防",IF(AND(OR($A2351=21,$A2351=215),$AJ2351=10),"④一般",IF(AND($A2351=31,$AJ2351=41),"⑤短期","対象外")))))</f>
      </c>
      <c r="DC2351" s="2909">
        <f>IF($A2351="","",IF($AB2351&amp;""='DB_設定'!$C$4,1,0))</f>
      </c>
    </row>
    <row r="2352">
      <c r="DB2352" s="2909">
        <f>IF($A2352="","",IF($AH2352=20,IF(AND(OR($A2352=21,$A2352=215),$AJ2352=10),"①病院一般",IF(AND($A2352=31,$AJ2352=41),"②病院短期","対象外")),IF($AJ2352=30,"③特定消防",IF(AND(OR($A2352=21,$A2352=215),$AJ2352=10),"④一般",IF(AND($A2352=31,$AJ2352=41),"⑤短期","対象外")))))</f>
      </c>
      <c r="DC2352" s="2909">
        <f>IF($A2352="","",IF($AB2352&amp;""='DB_設定'!$C$4,1,0))</f>
      </c>
    </row>
    <row r="2353">
      <c r="DB2353" s="2909">
        <f>IF($A2353="","",IF($AH2353=20,IF(AND(OR($A2353=21,$A2353=215),$AJ2353=10),"①病院一般",IF(AND($A2353=31,$AJ2353=41),"②病院短期","対象外")),IF($AJ2353=30,"③特定消防",IF(AND(OR($A2353=21,$A2353=215),$AJ2353=10),"④一般",IF(AND($A2353=31,$AJ2353=41),"⑤短期","対象外")))))</f>
      </c>
      <c r="DC2353" s="2909">
        <f>IF($A2353="","",IF($AB2353&amp;""='DB_設定'!$C$4,1,0))</f>
      </c>
    </row>
    <row r="2354">
      <c r="DB2354" s="2909">
        <f>IF($A2354="","",IF($AH2354=20,IF(AND(OR($A2354=21,$A2354=215),$AJ2354=10),"①病院一般",IF(AND($A2354=31,$AJ2354=41),"②病院短期","対象外")),IF($AJ2354=30,"③特定消防",IF(AND(OR($A2354=21,$A2354=215),$AJ2354=10),"④一般",IF(AND($A2354=31,$AJ2354=41),"⑤短期","対象外")))))</f>
      </c>
      <c r="DC2354" s="2909">
        <f>IF($A2354="","",IF($AB2354&amp;""='DB_設定'!$C$4,1,0))</f>
      </c>
    </row>
    <row r="2355">
      <c r="DB2355" s="2909">
        <f>IF($A2355="","",IF($AH2355=20,IF(AND(OR($A2355=21,$A2355=215),$AJ2355=10),"①病院一般",IF(AND($A2355=31,$AJ2355=41),"②病院短期","対象外")),IF($AJ2355=30,"③特定消防",IF(AND(OR($A2355=21,$A2355=215),$AJ2355=10),"④一般",IF(AND($A2355=31,$AJ2355=41),"⑤短期","対象外")))))</f>
      </c>
      <c r="DC2355" s="2909">
        <f>IF($A2355="","",IF($AB2355&amp;""='DB_設定'!$C$4,1,0))</f>
      </c>
    </row>
    <row r="2356">
      <c r="DB2356" s="2909">
        <f>IF($A2356="","",IF($AH2356=20,IF(AND(OR($A2356=21,$A2356=215),$AJ2356=10),"①病院一般",IF(AND($A2356=31,$AJ2356=41),"②病院短期","対象外")),IF($AJ2356=30,"③特定消防",IF(AND(OR($A2356=21,$A2356=215),$AJ2356=10),"④一般",IF(AND($A2356=31,$AJ2356=41),"⑤短期","対象外")))))</f>
      </c>
      <c r="DC2356" s="2909">
        <f>IF($A2356="","",IF($AB2356&amp;""='DB_設定'!$C$4,1,0))</f>
      </c>
    </row>
    <row r="2357">
      <c r="DB2357" s="2909">
        <f>IF($A2357="","",IF($AH2357=20,IF(AND(OR($A2357=21,$A2357=215),$AJ2357=10),"①病院一般",IF(AND($A2357=31,$AJ2357=41),"②病院短期","対象外")),IF($AJ2357=30,"③特定消防",IF(AND(OR($A2357=21,$A2357=215),$AJ2357=10),"④一般",IF(AND($A2357=31,$AJ2357=41),"⑤短期","対象外")))))</f>
      </c>
      <c r="DC2357" s="2909">
        <f>IF($A2357="","",IF($AB2357&amp;""='DB_設定'!$C$4,1,0))</f>
      </c>
    </row>
    <row r="2358">
      <c r="DB2358" s="2909">
        <f>IF($A2358="","",IF($AH2358=20,IF(AND(OR($A2358=21,$A2358=215),$AJ2358=10),"①病院一般",IF(AND($A2358=31,$AJ2358=41),"②病院短期","対象外")),IF($AJ2358=30,"③特定消防",IF(AND(OR($A2358=21,$A2358=215),$AJ2358=10),"④一般",IF(AND($A2358=31,$AJ2358=41),"⑤短期","対象外")))))</f>
      </c>
      <c r="DC2358" s="2909">
        <f>IF($A2358="","",IF($AB2358&amp;""='DB_設定'!$C$4,1,0))</f>
      </c>
    </row>
    <row r="2359">
      <c r="DB2359" s="2909">
        <f>IF($A2359="","",IF($AH2359=20,IF(AND(OR($A2359=21,$A2359=215),$AJ2359=10),"①病院一般",IF(AND($A2359=31,$AJ2359=41),"②病院短期","対象外")),IF($AJ2359=30,"③特定消防",IF(AND(OR($A2359=21,$A2359=215),$AJ2359=10),"④一般",IF(AND($A2359=31,$AJ2359=41),"⑤短期","対象外")))))</f>
      </c>
      <c r="DC2359" s="2909">
        <f>IF($A2359="","",IF($AB2359&amp;""='DB_設定'!$C$4,1,0))</f>
      </c>
    </row>
    <row r="2360">
      <c r="DB2360" s="2909">
        <f>IF($A2360="","",IF($AH2360=20,IF(AND(OR($A2360=21,$A2360=215),$AJ2360=10),"①病院一般",IF(AND($A2360=31,$AJ2360=41),"②病院短期","対象外")),IF($AJ2360=30,"③特定消防",IF(AND(OR($A2360=21,$A2360=215),$AJ2360=10),"④一般",IF(AND($A2360=31,$AJ2360=41),"⑤短期","対象外")))))</f>
      </c>
      <c r="DC2360" s="2909">
        <f>IF($A2360="","",IF($AB2360&amp;""='DB_設定'!$C$4,1,0))</f>
      </c>
    </row>
    <row r="2361">
      <c r="DB2361" s="2909">
        <f>IF($A2361="","",IF($AH2361=20,IF(AND(OR($A2361=21,$A2361=215),$AJ2361=10),"①病院一般",IF(AND($A2361=31,$AJ2361=41),"②病院短期","対象外")),IF($AJ2361=30,"③特定消防",IF(AND(OR($A2361=21,$A2361=215),$AJ2361=10),"④一般",IF(AND($A2361=31,$AJ2361=41),"⑤短期","対象外")))))</f>
      </c>
      <c r="DC2361" s="2909">
        <f>IF($A2361="","",IF($AB2361&amp;""='DB_設定'!$C$4,1,0))</f>
      </c>
    </row>
    <row r="2362">
      <c r="DB2362" s="2909">
        <f>IF($A2362="","",IF($AH2362=20,IF(AND(OR($A2362=21,$A2362=215),$AJ2362=10),"①病院一般",IF(AND($A2362=31,$AJ2362=41),"②病院短期","対象外")),IF($AJ2362=30,"③特定消防",IF(AND(OR($A2362=21,$A2362=215),$AJ2362=10),"④一般",IF(AND($A2362=31,$AJ2362=41),"⑤短期","対象外")))))</f>
      </c>
      <c r="DC2362" s="2909">
        <f>IF($A2362="","",IF($AB2362&amp;""='DB_設定'!$C$4,1,0))</f>
      </c>
    </row>
    <row r="2363">
      <c r="DB2363" s="2909">
        <f>IF($A2363="","",IF($AH2363=20,IF(AND(OR($A2363=21,$A2363=215),$AJ2363=10),"①病院一般",IF(AND($A2363=31,$AJ2363=41),"②病院短期","対象外")),IF($AJ2363=30,"③特定消防",IF(AND(OR($A2363=21,$A2363=215),$AJ2363=10),"④一般",IF(AND($A2363=31,$AJ2363=41),"⑤短期","対象外")))))</f>
      </c>
      <c r="DC2363" s="2909">
        <f>IF($A2363="","",IF($AB2363&amp;""='DB_設定'!$C$4,1,0))</f>
      </c>
    </row>
    <row r="2364">
      <c r="DB2364" s="2909">
        <f>IF($A2364="","",IF($AH2364=20,IF(AND(OR($A2364=21,$A2364=215),$AJ2364=10),"①病院一般",IF(AND($A2364=31,$AJ2364=41),"②病院短期","対象外")),IF($AJ2364=30,"③特定消防",IF(AND(OR($A2364=21,$A2364=215),$AJ2364=10),"④一般",IF(AND($A2364=31,$AJ2364=41),"⑤短期","対象外")))))</f>
      </c>
      <c r="DC2364" s="2909">
        <f>IF($A2364="","",IF($AB2364&amp;""='DB_設定'!$C$4,1,0))</f>
      </c>
    </row>
    <row r="2365">
      <c r="DB2365" s="2909">
        <f>IF($A2365="","",IF($AH2365=20,IF(AND(OR($A2365=21,$A2365=215),$AJ2365=10),"①病院一般",IF(AND($A2365=31,$AJ2365=41),"②病院短期","対象外")),IF($AJ2365=30,"③特定消防",IF(AND(OR($A2365=21,$A2365=215),$AJ2365=10),"④一般",IF(AND($A2365=31,$AJ2365=41),"⑤短期","対象外")))))</f>
      </c>
      <c r="DC2365" s="2909">
        <f>IF($A2365="","",IF($AB2365&amp;""='DB_設定'!$C$4,1,0))</f>
      </c>
    </row>
    <row r="2366">
      <c r="DB2366" s="2909">
        <f>IF($A2366="","",IF($AH2366=20,IF(AND(OR($A2366=21,$A2366=215),$AJ2366=10),"①病院一般",IF(AND($A2366=31,$AJ2366=41),"②病院短期","対象外")),IF($AJ2366=30,"③特定消防",IF(AND(OR($A2366=21,$A2366=215),$AJ2366=10),"④一般",IF(AND($A2366=31,$AJ2366=41),"⑤短期","対象外")))))</f>
      </c>
      <c r="DC2366" s="2909">
        <f>IF($A2366="","",IF($AB2366&amp;""='DB_設定'!$C$4,1,0))</f>
      </c>
    </row>
    <row r="2367">
      <c r="DB2367" s="2909">
        <f>IF($A2367="","",IF($AH2367=20,IF(AND(OR($A2367=21,$A2367=215),$AJ2367=10),"①病院一般",IF(AND($A2367=31,$AJ2367=41),"②病院短期","対象外")),IF($AJ2367=30,"③特定消防",IF(AND(OR($A2367=21,$A2367=215),$AJ2367=10),"④一般",IF(AND($A2367=31,$AJ2367=41),"⑤短期","対象外")))))</f>
      </c>
      <c r="DC2367" s="2909">
        <f>IF($A2367="","",IF($AB2367&amp;""='DB_設定'!$C$4,1,0))</f>
      </c>
    </row>
    <row r="2368">
      <c r="DB2368" s="2909">
        <f>IF($A2368="","",IF($AH2368=20,IF(AND(OR($A2368=21,$A2368=215),$AJ2368=10),"①病院一般",IF(AND($A2368=31,$AJ2368=41),"②病院短期","対象外")),IF($AJ2368=30,"③特定消防",IF(AND(OR($A2368=21,$A2368=215),$AJ2368=10),"④一般",IF(AND($A2368=31,$AJ2368=41),"⑤短期","対象外")))))</f>
      </c>
      <c r="DC2368" s="2909">
        <f>IF($A2368="","",IF($AB2368&amp;""='DB_設定'!$C$4,1,0))</f>
      </c>
    </row>
    <row r="2369">
      <c r="DB2369" s="2909">
        <f>IF($A2369="","",IF($AH2369=20,IF(AND(OR($A2369=21,$A2369=215),$AJ2369=10),"①病院一般",IF(AND($A2369=31,$AJ2369=41),"②病院短期","対象外")),IF($AJ2369=30,"③特定消防",IF(AND(OR($A2369=21,$A2369=215),$AJ2369=10),"④一般",IF(AND($A2369=31,$AJ2369=41),"⑤短期","対象外")))))</f>
      </c>
      <c r="DC2369" s="2909">
        <f>IF($A2369="","",IF($AB2369&amp;""='DB_設定'!$C$4,1,0))</f>
      </c>
    </row>
    <row r="2370">
      <c r="DB2370" s="2909">
        <f>IF($A2370="","",IF($AH2370=20,IF(AND(OR($A2370=21,$A2370=215),$AJ2370=10),"①病院一般",IF(AND($A2370=31,$AJ2370=41),"②病院短期","対象外")),IF($AJ2370=30,"③特定消防",IF(AND(OR($A2370=21,$A2370=215),$AJ2370=10),"④一般",IF(AND($A2370=31,$AJ2370=41),"⑤短期","対象外")))))</f>
      </c>
      <c r="DC2370" s="2909">
        <f>IF($A2370="","",IF($AB2370&amp;""='DB_設定'!$C$4,1,0))</f>
      </c>
    </row>
    <row r="2371">
      <c r="DB2371" s="2909">
        <f>IF($A2371="","",IF($AH2371=20,IF(AND(OR($A2371=21,$A2371=215),$AJ2371=10),"①病院一般",IF(AND($A2371=31,$AJ2371=41),"②病院短期","対象外")),IF($AJ2371=30,"③特定消防",IF(AND(OR($A2371=21,$A2371=215),$AJ2371=10),"④一般",IF(AND($A2371=31,$AJ2371=41),"⑤短期","対象外")))))</f>
      </c>
      <c r="DC2371" s="2909">
        <f>IF($A2371="","",IF($AB2371&amp;""='DB_設定'!$C$4,1,0))</f>
      </c>
    </row>
    <row r="2372">
      <c r="DB2372" s="2909">
        <f>IF($A2372="","",IF($AH2372=20,IF(AND(OR($A2372=21,$A2372=215),$AJ2372=10),"①病院一般",IF(AND($A2372=31,$AJ2372=41),"②病院短期","対象外")),IF($AJ2372=30,"③特定消防",IF(AND(OR($A2372=21,$A2372=215),$AJ2372=10),"④一般",IF(AND($A2372=31,$AJ2372=41),"⑤短期","対象外")))))</f>
      </c>
      <c r="DC2372" s="2909">
        <f>IF($A2372="","",IF($AB2372&amp;""='DB_設定'!$C$4,1,0))</f>
      </c>
    </row>
    <row r="2373">
      <c r="DB2373" s="2909">
        <f>IF($A2373="","",IF($AH2373=20,IF(AND(OR($A2373=21,$A2373=215),$AJ2373=10),"①病院一般",IF(AND($A2373=31,$AJ2373=41),"②病院短期","対象外")),IF($AJ2373=30,"③特定消防",IF(AND(OR($A2373=21,$A2373=215),$AJ2373=10),"④一般",IF(AND($A2373=31,$AJ2373=41),"⑤短期","対象外")))))</f>
      </c>
      <c r="DC2373" s="2909">
        <f>IF($A2373="","",IF($AB2373&amp;""='DB_設定'!$C$4,1,0))</f>
      </c>
    </row>
    <row r="2374">
      <c r="DB2374" s="2909">
        <f>IF($A2374="","",IF($AH2374=20,IF(AND(OR($A2374=21,$A2374=215),$AJ2374=10),"①病院一般",IF(AND($A2374=31,$AJ2374=41),"②病院短期","対象外")),IF($AJ2374=30,"③特定消防",IF(AND(OR($A2374=21,$A2374=215),$AJ2374=10),"④一般",IF(AND($A2374=31,$AJ2374=41),"⑤短期","対象外")))))</f>
      </c>
      <c r="DC2374" s="2909">
        <f>IF($A2374="","",IF($AB2374&amp;""='DB_設定'!$C$4,1,0))</f>
      </c>
    </row>
    <row r="2375">
      <c r="DB2375" s="2909">
        <f>IF($A2375="","",IF($AH2375=20,IF(AND(OR($A2375=21,$A2375=215),$AJ2375=10),"①病院一般",IF(AND($A2375=31,$AJ2375=41),"②病院短期","対象外")),IF($AJ2375=30,"③特定消防",IF(AND(OR($A2375=21,$A2375=215),$AJ2375=10),"④一般",IF(AND($A2375=31,$AJ2375=41),"⑤短期","対象外")))))</f>
      </c>
      <c r="DC2375" s="2909">
        <f>IF($A2375="","",IF($AB2375&amp;""='DB_設定'!$C$4,1,0))</f>
      </c>
    </row>
    <row r="2376">
      <c r="DB2376" s="2909">
        <f>IF($A2376="","",IF($AH2376=20,IF(AND(OR($A2376=21,$A2376=215),$AJ2376=10),"①病院一般",IF(AND($A2376=31,$AJ2376=41),"②病院短期","対象外")),IF($AJ2376=30,"③特定消防",IF(AND(OR($A2376=21,$A2376=215),$AJ2376=10),"④一般",IF(AND($A2376=31,$AJ2376=41),"⑤短期","対象外")))))</f>
      </c>
      <c r="DC2376" s="2909">
        <f>IF($A2376="","",IF($AB2376&amp;""='DB_設定'!$C$4,1,0))</f>
      </c>
    </row>
    <row r="2377">
      <c r="DB2377" s="2909">
        <f>IF($A2377="","",IF($AH2377=20,IF(AND(OR($A2377=21,$A2377=215),$AJ2377=10),"①病院一般",IF(AND($A2377=31,$AJ2377=41),"②病院短期","対象外")),IF($AJ2377=30,"③特定消防",IF(AND(OR($A2377=21,$A2377=215),$AJ2377=10),"④一般",IF(AND($A2377=31,$AJ2377=41),"⑤短期","対象外")))))</f>
      </c>
      <c r="DC2377" s="2909">
        <f>IF($A2377="","",IF($AB2377&amp;""='DB_設定'!$C$4,1,0))</f>
      </c>
    </row>
    <row r="2378">
      <c r="DB2378" s="2909">
        <f>IF($A2378="","",IF($AH2378=20,IF(AND(OR($A2378=21,$A2378=215),$AJ2378=10),"①病院一般",IF(AND($A2378=31,$AJ2378=41),"②病院短期","対象外")),IF($AJ2378=30,"③特定消防",IF(AND(OR($A2378=21,$A2378=215),$AJ2378=10),"④一般",IF(AND($A2378=31,$AJ2378=41),"⑤短期","対象外")))))</f>
      </c>
      <c r="DC2378" s="2909">
        <f>IF($A2378="","",IF($AB2378&amp;""='DB_設定'!$C$4,1,0))</f>
      </c>
    </row>
    <row r="2379">
      <c r="DB2379" s="2909">
        <f>IF($A2379="","",IF($AH2379=20,IF(AND(OR($A2379=21,$A2379=215),$AJ2379=10),"①病院一般",IF(AND($A2379=31,$AJ2379=41),"②病院短期","対象外")),IF($AJ2379=30,"③特定消防",IF(AND(OR($A2379=21,$A2379=215),$AJ2379=10),"④一般",IF(AND($A2379=31,$AJ2379=41),"⑤短期","対象外")))))</f>
      </c>
      <c r="DC2379" s="2909">
        <f>IF($A2379="","",IF($AB2379&amp;""='DB_設定'!$C$4,1,0))</f>
      </c>
    </row>
    <row r="2380">
      <c r="DB2380" s="2909">
        <f>IF($A2380="","",IF($AH2380=20,IF(AND(OR($A2380=21,$A2380=215),$AJ2380=10),"①病院一般",IF(AND($A2380=31,$AJ2380=41),"②病院短期","対象外")),IF($AJ2380=30,"③特定消防",IF(AND(OR($A2380=21,$A2380=215),$AJ2380=10),"④一般",IF(AND($A2380=31,$AJ2380=41),"⑤短期","対象外")))))</f>
      </c>
      <c r="DC2380" s="2909">
        <f>IF($A2380="","",IF($AB2380&amp;""='DB_設定'!$C$4,1,0))</f>
      </c>
    </row>
    <row r="2381">
      <c r="DB2381" s="2909">
        <f>IF($A2381="","",IF($AH2381=20,IF(AND(OR($A2381=21,$A2381=215),$AJ2381=10),"①病院一般",IF(AND($A2381=31,$AJ2381=41),"②病院短期","対象外")),IF($AJ2381=30,"③特定消防",IF(AND(OR($A2381=21,$A2381=215),$AJ2381=10),"④一般",IF(AND($A2381=31,$AJ2381=41),"⑤短期","対象外")))))</f>
      </c>
      <c r="DC2381" s="2909">
        <f>IF($A2381="","",IF($AB2381&amp;""='DB_設定'!$C$4,1,0))</f>
      </c>
    </row>
    <row r="2382">
      <c r="DB2382" s="2909">
        <f>IF($A2382="","",IF($AH2382=20,IF(AND(OR($A2382=21,$A2382=215),$AJ2382=10),"①病院一般",IF(AND($A2382=31,$AJ2382=41),"②病院短期","対象外")),IF($AJ2382=30,"③特定消防",IF(AND(OR($A2382=21,$A2382=215),$AJ2382=10),"④一般",IF(AND($A2382=31,$AJ2382=41),"⑤短期","対象外")))))</f>
      </c>
      <c r="DC2382" s="2909">
        <f>IF($A2382="","",IF($AB2382&amp;""='DB_設定'!$C$4,1,0))</f>
      </c>
    </row>
    <row r="2383">
      <c r="DB2383" s="2909">
        <f>IF($A2383="","",IF($AH2383=20,IF(AND(OR($A2383=21,$A2383=215),$AJ2383=10),"①病院一般",IF(AND($A2383=31,$AJ2383=41),"②病院短期","対象外")),IF($AJ2383=30,"③特定消防",IF(AND(OR($A2383=21,$A2383=215),$AJ2383=10),"④一般",IF(AND($A2383=31,$AJ2383=41),"⑤短期","対象外")))))</f>
      </c>
      <c r="DC2383" s="2909">
        <f>IF($A2383="","",IF($AB2383&amp;""='DB_設定'!$C$4,1,0))</f>
      </c>
    </row>
    <row r="2384">
      <c r="DB2384" s="2909">
        <f>IF($A2384="","",IF($AH2384=20,IF(AND(OR($A2384=21,$A2384=215),$AJ2384=10),"①病院一般",IF(AND($A2384=31,$AJ2384=41),"②病院短期","対象外")),IF($AJ2384=30,"③特定消防",IF(AND(OR($A2384=21,$A2384=215),$AJ2384=10),"④一般",IF(AND($A2384=31,$AJ2384=41),"⑤短期","対象外")))))</f>
      </c>
      <c r="DC2384" s="2909">
        <f>IF($A2384="","",IF($AB2384&amp;""='DB_設定'!$C$4,1,0))</f>
      </c>
    </row>
    <row r="2385">
      <c r="DB2385" s="2909">
        <f>IF($A2385="","",IF($AH2385=20,IF(AND(OR($A2385=21,$A2385=215),$AJ2385=10),"①病院一般",IF(AND($A2385=31,$AJ2385=41),"②病院短期","対象外")),IF($AJ2385=30,"③特定消防",IF(AND(OR($A2385=21,$A2385=215),$AJ2385=10),"④一般",IF(AND($A2385=31,$AJ2385=41),"⑤短期","対象外")))))</f>
      </c>
      <c r="DC2385" s="2909">
        <f>IF($A2385="","",IF($AB2385&amp;""='DB_設定'!$C$4,1,0))</f>
      </c>
    </row>
    <row r="2386">
      <c r="DB2386" s="2909">
        <f>IF($A2386="","",IF($AH2386=20,IF(AND(OR($A2386=21,$A2386=215),$AJ2386=10),"①病院一般",IF(AND($A2386=31,$AJ2386=41),"②病院短期","対象外")),IF($AJ2386=30,"③特定消防",IF(AND(OR($A2386=21,$A2386=215),$AJ2386=10),"④一般",IF(AND($A2386=31,$AJ2386=41),"⑤短期","対象外")))))</f>
      </c>
      <c r="DC2386" s="2909">
        <f>IF($A2386="","",IF($AB2386&amp;""='DB_設定'!$C$4,1,0))</f>
      </c>
    </row>
    <row r="2387">
      <c r="DB2387" s="2909">
        <f>IF($A2387="","",IF($AH2387=20,IF(AND(OR($A2387=21,$A2387=215),$AJ2387=10),"①病院一般",IF(AND($A2387=31,$AJ2387=41),"②病院短期","対象外")),IF($AJ2387=30,"③特定消防",IF(AND(OR($A2387=21,$A2387=215),$AJ2387=10),"④一般",IF(AND($A2387=31,$AJ2387=41),"⑤短期","対象外")))))</f>
      </c>
      <c r="DC2387" s="2909">
        <f>IF($A2387="","",IF($AB2387&amp;""='DB_設定'!$C$4,1,0))</f>
      </c>
    </row>
    <row r="2388">
      <c r="DB2388" s="2909">
        <f>IF($A2388="","",IF($AH2388=20,IF(AND(OR($A2388=21,$A2388=215),$AJ2388=10),"①病院一般",IF(AND($A2388=31,$AJ2388=41),"②病院短期","対象外")),IF($AJ2388=30,"③特定消防",IF(AND(OR($A2388=21,$A2388=215),$AJ2388=10),"④一般",IF(AND($A2388=31,$AJ2388=41),"⑤短期","対象外")))))</f>
      </c>
      <c r="DC2388" s="2909">
        <f>IF($A2388="","",IF($AB2388&amp;""='DB_設定'!$C$4,1,0))</f>
      </c>
    </row>
    <row r="2389">
      <c r="DB2389" s="2909">
        <f>IF($A2389="","",IF($AH2389=20,IF(AND(OR($A2389=21,$A2389=215),$AJ2389=10),"①病院一般",IF(AND($A2389=31,$AJ2389=41),"②病院短期","対象外")),IF($AJ2389=30,"③特定消防",IF(AND(OR($A2389=21,$A2389=215),$AJ2389=10),"④一般",IF(AND($A2389=31,$AJ2389=41),"⑤短期","対象外")))))</f>
      </c>
      <c r="DC2389" s="2909">
        <f>IF($A2389="","",IF($AB2389&amp;""='DB_設定'!$C$4,1,0))</f>
      </c>
    </row>
    <row r="2390">
      <c r="DB2390" s="2909">
        <f>IF($A2390="","",IF($AH2390=20,IF(AND(OR($A2390=21,$A2390=215),$AJ2390=10),"①病院一般",IF(AND($A2390=31,$AJ2390=41),"②病院短期","対象外")),IF($AJ2390=30,"③特定消防",IF(AND(OR($A2390=21,$A2390=215),$AJ2390=10),"④一般",IF(AND($A2390=31,$AJ2390=41),"⑤短期","対象外")))))</f>
      </c>
      <c r="DC2390" s="2909">
        <f>IF($A2390="","",IF($AB2390&amp;""='DB_設定'!$C$4,1,0))</f>
      </c>
    </row>
    <row r="2391">
      <c r="DB2391" s="2909">
        <f>IF($A2391="","",IF($AH2391=20,IF(AND(OR($A2391=21,$A2391=215),$AJ2391=10),"①病院一般",IF(AND($A2391=31,$AJ2391=41),"②病院短期","対象外")),IF($AJ2391=30,"③特定消防",IF(AND(OR($A2391=21,$A2391=215),$AJ2391=10),"④一般",IF(AND($A2391=31,$AJ2391=41),"⑤短期","対象外")))))</f>
      </c>
      <c r="DC2391" s="2909">
        <f>IF($A2391="","",IF($AB2391&amp;""='DB_設定'!$C$4,1,0))</f>
      </c>
    </row>
    <row r="2392">
      <c r="DB2392" s="2909">
        <f>IF($A2392="","",IF($AH2392=20,IF(AND(OR($A2392=21,$A2392=215),$AJ2392=10),"①病院一般",IF(AND($A2392=31,$AJ2392=41),"②病院短期","対象外")),IF($AJ2392=30,"③特定消防",IF(AND(OR($A2392=21,$A2392=215),$AJ2392=10),"④一般",IF(AND($A2392=31,$AJ2392=41),"⑤短期","対象外")))))</f>
      </c>
      <c r="DC2392" s="2909">
        <f>IF($A2392="","",IF($AB2392&amp;""='DB_設定'!$C$4,1,0))</f>
      </c>
    </row>
    <row r="2393">
      <c r="DB2393" s="2909">
        <f>IF($A2393="","",IF($AH2393=20,IF(AND(OR($A2393=21,$A2393=215),$AJ2393=10),"①病院一般",IF(AND($A2393=31,$AJ2393=41),"②病院短期","対象外")),IF($AJ2393=30,"③特定消防",IF(AND(OR($A2393=21,$A2393=215),$AJ2393=10),"④一般",IF(AND($A2393=31,$AJ2393=41),"⑤短期","対象外")))))</f>
      </c>
      <c r="DC2393" s="2909">
        <f>IF($A2393="","",IF($AB2393&amp;""='DB_設定'!$C$4,1,0))</f>
      </c>
    </row>
    <row r="2394">
      <c r="DB2394" s="2909">
        <f>IF($A2394="","",IF($AH2394=20,IF(AND(OR($A2394=21,$A2394=215),$AJ2394=10),"①病院一般",IF(AND($A2394=31,$AJ2394=41),"②病院短期","対象外")),IF($AJ2394=30,"③特定消防",IF(AND(OR($A2394=21,$A2394=215),$AJ2394=10),"④一般",IF(AND($A2394=31,$AJ2394=41),"⑤短期","対象外")))))</f>
      </c>
      <c r="DC2394" s="2909">
        <f>IF($A2394="","",IF($AB2394&amp;""='DB_設定'!$C$4,1,0))</f>
      </c>
    </row>
    <row r="2395">
      <c r="DB2395" s="2909">
        <f>IF($A2395="","",IF($AH2395=20,IF(AND(OR($A2395=21,$A2395=215),$AJ2395=10),"①病院一般",IF(AND($A2395=31,$AJ2395=41),"②病院短期","対象外")),IF($AJ2395=30,"③特定消防",IF(AND(OR($A2395=21,$A2395=215),$AJ2395=10),"④一般",IF(AND($A2395=31,$AJ2395=41),"⑤短期","対象外")))))</f>
      </c>
      <c r="DC2395" s="2909">
        <f>IF($A2395="","",IF($AB2395&amp;""='DB_設定'!$C$4,1,0))</f>
      </c>
    </row>
    <row r="2396">
      <c r="DB2396" s="2909">
        <f>IF($A2396="","",IF($AH2396=20,IF(AND(OR($A2396=21,$A2396=215),$AJ2396=10),"①病院一般",IF(AND($A2396=31,$AJ2396=41),"②病院短期","対象外")),IF($AJ2396=30,"③特定消防",IF(AND(OR($A2396=21,$A2396=215),$AJ2396=10),"④一般",IF(AND($A2396=31,$AJ2396=41),"⑤短期","対象外")))))</f>
      </c>
      <c r="DC2396" s="2909">
        <f>IF($A2396="","",IF($AB2396&amp;""='DB_設定'!$C$4,1,0))</f>
      </c>
    </row>
    <row r="2397">
      <c r="DB2397" s="2909">
        <f>IF($A2397="","",IF($AH2397=20,IF(AND(OR($A2397=21,$A2397=215),$AJ2397=10),"①病院一般",IF(AND($A2397=31,$AJ2397=41),"②病院短期","対象外")),IF($AJ2397=30,"③特定消防",IF(AND(OR($A2397=21,$A2397=215),$AJ2397=10),"④一般",IF(AND($A2397=31,$AJ2397=41),"⑤短期","対象外")))))</f>
      </c>
      <c r="DC2397" s="2909">
        <f>IF($A2397="","",IF($AB2397&amp;""='DB_設定'!$C$4,1,0))</f>
      </c>
    </row>
    <row r="2398">
      <c r="DB2398" s="2909">
        <f>IF($A2398="","",IF($AH2398=20,IF(AND(OR($A2398=21,$A2398=215),$AJ2398=10),"①病院一般",IF(AND($A2398=31,$AJ2398=41),"②病院短期","対象外")),IF($AJ2398=30,"③特定消防",IF(AND(OR($A2398=21,$A2398=215),$AJ2398=10),"④一般",IF(AND($A2398=31,$AJ2398=41),"⑤短期","対象外")))))</f>
      </c>
      <c r="DC2398" s="2909">
        <f>IF($A2398="","",IF($AB2398&amp;""='DB_設定'!$C$4,1,0))</f>
      </c>
    </row>
    <row r="2399">
      <c r="DB2399" s="2909">
        <f>IF($A2399="","",IF($AH2399=20,IF(AND(OR($A2399=21,$A2399=215),$AJ2399=10),"①病院一般",IF(AND($A2399=31,$AJ2399=41),"②病院短期","対象外")),IF($AJ2399=30,"③特定消防",IF(AND(OR($A2399=21,$A2399=215),$AJ2399=10),"④一般",IF(AND($A2399=31,$AJ2399=41),"⑤短期","対象外")))))</f>
      </c>
      <c r="DC2399" s="2909">
        <f>IF($A2399="","",IF($AB2399&amp;""='DB_設定'!$C$4,1,0))</f>
      </c>
    </row>
    <row r="2400">
      <c r="DB2400" s="2909">
        <f>IF($A2400="","",IF($AH2400=20,IF(AND(OR($A2400=21,$A2400=215),$AJ2400=10),"①病院一般",IF(AND($A2400=31,$AJ2400=41),"②病院短期","対象外")),IF($AJ2400=30,"③特定消防",IF(AND(OR($A2400=21,$A2400=215),$AJ2400=10),"④一般",IF(AND($A2400=31,$AJ2400=41),"⑤短期","対象外")))))</f>
      </c>
      <c r="DC2400" s="2909">
        <f>IF($A2400="","",IF($AB2400&amp;""='DB_設定'!$C$4,1,0))</f>
      </c>
    </row>
    <row r="2401">
      <c r="DB2401" s="2909">
        <f>IF($A2401="","",IF($AH2401=20,IF(AND(OR($A2401=21,$A2401=215),$AJ2401=10),"①病院一般",IF(AND($A2401=31,$AJ2401=41),"②病院短期","対象外")),IF($AJ2401=30,"③特定消防",IF(AND(OR($A2401=21,$A2401=215),$AJ2401=10),"④一般",IF(AND($A2401=31,$AJ2401=41),"⑤短期","対象外")))))</f>
      </c>
      <c r="DC2401" s="2909">
        <f>IF($A2401="","",IF($AB2401&amp;""='DB_設定'!$C$4,1,0))</f>
      </c>
    </row>
    <row r="2402">
      <c r="DB2402" s="2909">
        <f>IF($A2402="","",IF($AH2402=20,IF(AND(OR($A2402=21,$A2402=215),$AJ2402=10),"①病院一般",IF(AND($A2402=31,$AJ2402=41),"②病院短期","対象外")),IF($AJ2402=30,"③特定消防",IF(AND(OR($A2402=21,$A2402=215),$AJ2402=10),"④一般",IF(AND($A2402=31,$AJ2402=41),"⑤短期","対象外")))))</f>
      </c>
      <c r="DC2402" s="2909">
        <f>IF($A2402="","",IF($AB2402&amp;""='DB_設定'!$C$4,1,0))</f>
      </c>
    </row>
    <row r="2403">
      <c r="DB2403" s="2909">
        <f>IF($A2403="","",IF($AH2403=20,IF(AND(OR($A2403=21,$A2403=215),$AJ2403=10),"①病院一般",IF(AND($A2403=31,$AJ2403=41),"②病院短期","対象外")),IF($AJ2403=30,"③特定消防",IF(AND(OR($A2403=21,$A2403=215),$AJ2403=10),"④一般",IF(AND($A2403=31,$AJ2403=41),"⑤短期","対象外")))))</f>
      </c>
      <c r="DC2403" s="2909">
        <f>IF($A2403="","",IF($AB2403&amp;""='DB_設定'!$C$4,1,0))</f>
      </c>
    </row>
    <row r="2404">
      <c r="DB2404" s="2909">
        <f>IF($A2404="","",IF($AH2404=20,IF(AND(OR($A2404=21,$A2404=215),$AJ2404=10),"①病院一般",IF(AND($A2404=31,$AJ2404=41),"②病院短期","対象外")),IF($AJ2404=30,"③特定消防",IF(AND(OR($A2404=21,$A2404=215),$AJ2404=10),"④一般",IF(AND($A2404=31,$AJ2404=41),"⑤短期","対象外")))))</f>
      </c>
      <c r="DC2404" s="2909">
        <f>IF($A2404="","",IF($AB2404&amp;""='DB_設定'!$C$4,1,0))</f>
      </c>
    </row>
    <row r="2405">
      <c r="DB2405" s="2909">
        <f>IF($A2405="","",IF($AH2405=20,IF(AND(OR($A2405=21,$A2405=215),$AJ2405=10),"①病院一般",IF(AND($A2405=31,$AJ2405=41),"②病院短期","対象外")),IF($AJ2405=30,"③特定消防",IF(AND(OR($A2405=21,$A2405=215),$AJ2405=10),"④一般",IF(AND($A2405=31,$AJ2405=41),"⑤短期","対象外")))))</f>
      </c>
      <c r="DC2405" s="2909">
        <f>IF($A2405="","",IF($AB2405&amp;""='DB_設定'!$C$4,1,0))</f>
      </c>
    </row>
    <row r="2406">
      <c r="DB2406" s="2909">
        <f>IF($A2406="","",IF($AH2406=20,IF(AND(OR($A2406=21,$A2406=215),$AJ2406=10),"①病院一般",IF(AND($A2406=31,$AJ2406=41),"②病院短期","対象外")),IF($AJ2406=30,"③特定消防",IF(AND(OR($A2406=21,$A2406=215),$AJ2406=10),"④一般",IF(AND($A2406=31,$AJ2406=41),"⑤短期","対象外")))))</f>
      </c>
      <c r="DC2406" s="2909">
        <f>IF($A2406="","",IF($AB2406&amp;""='DB_設定'!$C$4,1,0))</f>
      </c>
    </row>
    <row r="2407">
      <c r="DB2407" s="2909">
        <f>IF($A2407="","",IF($AH2407=20,IF(AND(OR($A2407=21,$A2407=215),$AJ2407=10),"①病院一般",IF(AND($A2407=31,$AJ2407=41),"②病院短期","対象外")),IF($AJ2407=30,"③特定消防",IF(AND(OR($A2407=21,$A2407=215),$AJ2407=10),"④一般",IF(AND($A2407=31,$AJ2407=41),"⑤短期","対象外")))))</f>
      </c>
      <c r="DC2407" s="2909">
        <f>IF($A2407="","",IF($AB2407&amp;""='DB_設定'!$C$4,1,0))</f>
      </c>
    </row>
    <row r="2408">
      <c r="DB2408" s="2909">
        <f>IF($A2408="","",IF($AH2408=20,IF(AND(OR($A2408=21,$A2408=215),$AJ2408=10),"①病院一般",IF(AND($A2408=31,$AJ2408=41),"②病院短期","対象外")),IF($AJ2408=30,"③特定消防",IF(AND(OR($A2408=21,$A2408=215),$AJ2408=10),"④一般",IF(AND($A2408=31,$AJ2408=41),"⑤短期","対象外")))))</f>
      </c>
      <c r="DC2408" s="2909">
        <f>IF($A2408="","",IF($AB2408&amp;""='DB_設定'!$C$4,1,0))</f>
      </c>
    </row>
    <row r="2409">
      <c r="DB2409" s="2909">
        <f>IF($A2409="","",IF($AH2409=20,IF(AND(OR($A2409=21,$A2409=215),$AJ2409=10),"①病院一般",IF(AND($A2409=31,$AJ2409=41),"②病院短期","対象外")),IF($AJ2409=30,"③特定消防",IF(AND(OR($A2409=21,$A2409=215),$AJ2409=10),"④一般",IF(AND($A2409=31,$AJ2409=41),"⑤短期","対象外")))))</f>
      </c>
      <c r="DC2409" s="2909">
        <f>IF($A2409="","",IF($AB2409&amp;""='DB_設定'!$C$4,1,0))</f>
      </c>
    </row>
    <row r="2410">
      <c r="DB2410" s="2909">
        <f>IF($A2410="","",IF($AH2410=20,IF(AND(OR($A2410=21,$A2410=215),$AJ2410=10),"①病院一般",IF(AND($A2410=31,$AJ2410=41),"②病院短期","対象外")),IF($AJ2410=30,"③特定消防",IF(AND(OR($A2410=21,$A2410=215),$AJ2410=10),"④一般",IF(AND($A2410=31,$AJ2410=41),"⑤短期","対象外")))))</f>
      </c>
      <c r="DC2410" s="2909">
        <f>IF($A2410="","",IF($AB2410&amp;""='DB_設定'!$C$4,1,0))</f>
      </c>
    </row>
    <row r="2411">
      <c r="DB2411" s="2909">
        <f>IF($A2411="","",IF($AH2411=20,IF(AND(OR($A2411=21,$A2411=215),$AJ2411=10),"①病院一般",IF(AND($A2411=31,$AJ2411=41),"②病院短期","対象外")),IF($AJ2411=30,"③特定消防",IF(AND(OR($A2411=21,$A2411=215),$AJ2411=10),"④一般",IF(AND($A2411=31,$AJ2411=41),"⑤短期","対象外")))))</f>
      </c>
      <c r="DC2411" s="2909">
        <f>IF($A2411="","",IF($AB2411&amp;""='DB_設定'!$C$4,1,0))</f>
      </c>
    </row>
    <row r="2412">
      <c r="DB2412" s="2909">
        <f>IF($A2412="","",IF($AH2412=20,IF(AND(OR($A2412=21,$A2412=215),$AJ2412=10),"①病院一般",IF(AND($A2412=31,$AJ2412=41),"②病院短期","対象外")),IF($AJ2412=30,"③特定消防",IF(AND(OR($A2412=21,$A2412=215),$AJ2412=10),"④一般",IF(AND($A2412=31,$AJ2412=41),"⑤短期","対象外")))))</f>
      </c>
      <c r="DC2412" s="2909">
        <f>IF($A2412="","",IF($AB2412&amp;""='DB_設定'!$C$4,1,0))</f>
      </c>
    </row>
    <row r="2413">
      <c r="DB2413" s="2909">
        <f>IF($A2413="","",IF($AH2413=20,IF(AND(OR($A2413=21,$A2413=215),$AJ2413=10),"①病院一般",IF(AND($A2413=31,$AJ2413=41),"②病院短期","対象外")),IF($AJ2413=30,"③特定消防",IF(AND(OR($A2413=21,$A2413=215),$AJ2413=10),"④一般",IF(AND($A2413=31,$AJ2413=41),"⑤短期","対象外")))))</f>
      </c>
      <c r="DC2413" s="2909">
        <f>IF($A2413="","",IF($AB2413&amp;""='DB_設定'!$C$4,1,0))</f>
      </c>
    </row>
    <row r="2414">
      <c r="DB2414" s="2909">
        <f>IF($A2414="","",IF($AH2414=20,IF(AND(OR($A2414=21,$A2414=215),$AJ2414=10),"①病院一般",IF(AND($A2414=31,$AJ2414=41),"②病院短期","対象外")),IF($AJ2414=30,"③特定消防",IF(AND(OR($A2414=21,$A2414=215),$AJ2414=10),"④一般",IF(AND($A2414=31,$AJ2414=41),"⑤短期","対象外")))))</f>
      </c>
      <c r="DC2414" s="2909">
        <f>IF($A2414="","",IF($AB2414&amp;""='DB_設定'!$C$4,1,0))</f>
      </c>
    </row>
    <row r="2415">
      <c r="DB2415" s="2909">
        <f>IF($A2415="","",IF($AH2415=20,IF(AND(OR($A2415=21,$A2415=215),$AJ2415=10),"①病院一般",IF(AND($A2415=31,$AJ2415=41),"②病院短期","対象外")),IF($AJ2415=30,"③特定消防",IF(AND(OR($A2415=21,$A2415=215),$AJ2415=10),"④一般",IF(AND($A2415=31,$AJ2415=41),"⑤短期","対象外")))))</f>
      </c>
      <c r="DC2415" s="2909">
        <f>IF($A2415="","",IF($AB2415&amp;""='DB_設定'!$C$4,1,0))</f>
      </c>
    </row>
    <row r="2416">
      <c r="DB2416" s="2909">
        <f>IF($A2416="","",IF($AH2416=20,IF(AND(OR($A2416=21,$A2416=215),$AJ2416=10),"①病院一般",IF(AND($A2416=31,$AJ2416=41),"②病院短期","対象外")),IF($AJ2416=30,"③特定消防",IF(AND(OR($A2416=21,$A2416=215),$AJ2416=10),"④一般",IF(AND($A2416=31,$AJ2416=41),"⑤短期","対象外")))))</f>
      </c>
      <c r="DC2416" s="2909">
        <f>IF($A2416="","",IF($AB2416&amp;""='DB_設定'!$C$4,1,0))</f>
      </c>
    </row>
    <row r="2417">
      <c r="DB2417" s="2909">
        <f>IF($A2417="","",IF($AH2417=20,IF(AND(OR($A2417=21,$A2417=215),$AJ2417=10),"①病院一般",IF(AND($A2417=31,$AJ2417=41),"②病院短期","対象外")),IF($AJ2417=30,"③特定消防",IF(AND(OR($A2417=21,$A2417=215),$AJ2417=10),"④一般",IF(AND($A2417=31,$AJ2417=41),"⑤短期","対象外")))))</f>
      </c>
      <c r="DC2417" s="2909">
        <f>IF($A2417="","",IF($AB2417&amp;""='DB_設定'!$C$4,1,0))</f>
      </c>
    </row>
    <row r="2418">
      <c r="DB2418" s="2909">
        <f>IF($A2418="","",IF($AH2418=20,IF(AND(OR($A2418=21,$A2418=215),$AJ2418=10),"①病院一般",IF(AND($A2418=31,$AJ2418=41),"②病院短期","対象外")),IF($AJ2418=30,"③特定消防",IF(AND(OR($A2418=21,$A2418=215),$AJ2418=10),"④一般",IF(AND($A2418=31,$AJ2418=41),"⑤短期","対象外")))))</f>
      </c>
      <c r="DC2418" s="2909">
        <f>IF($A2418="","",IF($AB2418&amp;""='DB_設定'!$C$4,1,0))</f>
      </c>
    </row>
    <row r="2419">
      <c r="DB2419" s="2909">
        <f>IF($A2419="","",IF($AH2419=20,IF(AND(OR($A2419=21,$A2419=215),$AJ2419=10),"①病院一般",IF(AND($A2419=31,$AJ2419=41),"②病院短期","対象外")),IF($AJ2419=30,"③特定消防",IF(AND(OR($A2419=21,$A2419=215),$AJ2419=10),"④一般",IF(AND($A2419=31,$AJ2419=41),"⑤短期","対象外")))))</f>
      </c>
      <c r="DC2419" s="2909">
        <f>IF($A2419="","",IF($AB2419&amp;""='DB_設定'!$C$4,1,0))</f>
      </c>
    </row>
    <row r="2420">
      <c r="DB2420" s="2909">
        <f>IF($A2420="","",IF($AH2420=20,IF(AND(OR($A2420=21,$A2420=215),$AJ2420=10),"①病院一般",IF(AND($A2420=31,$AJ2420=41),"②病院短期","対象外")),IF($AJ2420=30,"③特定消防",IF(AND(OR($A2420=21,$A2420=215),$AJ2420=10),"④一般",IF(AND($A2420=31,$AJ2420=41),"⑤短期","対象外")))))</f>
      </c>
      <c r="DC2420" s="2909">
        <f>IF($A2420="","",IF($AB2420&amp;""='DB_設定'!$C$4,1,0))</f>
      </c>
    </row>
    <row r="2421">
      <c r="DB2421" s="2909">
        <f>IF($A2421="","",IF($AH2421=20,IF(AND(OR($A2421=21,$A2421=215),$AJ2421=10),"①病院一般",IF(AND($A2421=31,$AJ2421=41),"②病院短期","対象外")),IF($AJ2421=30,"③特定消防",IF(AND(OR($A2421=21,$A2421=215),$AJ2421=10),"④一般",IF(AND($A2421=31,$AJ2421=41),"⑤短期","対象外")))))</f>
      </c>
      <c r="DC2421" s="2909">
        <f>IF($A2421="","",IF($AB2421&amp;""='DB_設定'!$C$4,1,0))</f>
      </c>
    </row>
    <row r="2422">
      <c r="DB2422" s="2909">
        <f>IF($A2422="","",IF($AH2422=20,IF(AND(OR($A2422=21,$A2422=215),$AJ2422=10),"①病院一般",IF(AND($A2422=31,$AJ2422=41),"②病院短期","対象外")),IF($AJ2422=30,"③特定消防",IF(AND(OR($A2422=21,$A2422=215),$AJ2422=10),"④一般",IF(AND($A2422=31,$AJ2422=41),"⑤短期","対象外")))))</f>
      </c>
      <c r="DC2422" s="2909">
        <f>IF($A2422="","",IF($AB2422&amp;""='DB_設定'!$C$4,1,0))</f>
      </c>
    </row>
    <row r="2423">
      <c r="DB2423" s="2909">
        <f>IF($A2423="","",IF($AH2423=20,IF(AND(OR($A2423=21,$A2423=215),$AJ2423=10),"①病院一般",IF(AND($A2423=31,$AJ2423=41),"②病院短期","対象外")),IF($AJ2423=30,"③特定消防",IF(AND(OR($A2423=21,$A2423=215),$AJ2423=10),"④一般",IF(AND($A2423=31,$AJ2423=41),"⑤短期","対象外")))))</f>
      </c>
      <c r="DC2423" s="2909">
        <f>IF($A2423="","",IF($AB2423&amp;""='DB_設定'!$C$4,1,0))</f>
      </c>
    </row>
    <row r="2424">
      <c r="DB2424" s="2909">
        <f>IF($A2424="","",IF($AH2424=20,IF(AND(OR($A2424=21,$A2424=215),$AJ2424=10),"①病院一般",IF(AND($A2424=31,$AJ2424=41),"②病院短期","対象外")),IF($AJ2424=30,"③特定消防",IF(AND(OR($A2424=21,$A2424=215),$AJ2424=10),"④一般",IF(AND($A2424=31,$AJ2424=41),"⑤短期","対象外")))))</f>
      </c>
      <c r="DC2424" s="2909">
        <f>IF($A2424="","",IF($AB2424&amp;""='DB_設定'!$C$4,1,0))</f>
      </c>
    </row>
    <row r="2425">
      <c r="DB2425" s="2909">
        <f>IF($A2425="","",IF($AH2425=20,IF(AND(OR($A2425=21,$A2425=215),$AJ2425=10),"①病院一般",IF(AND($A2425=31,$AJ2425=41),"②病院短期","対象外")),IF($AJ2425=30,"③特定消防",IF(AND(OR($A2425=21,$A2425=215),$AJ2425=10),"④一般",IF(AND($A2425=31,$AJ2425=41),"⑤短期","対象外")))))</f>
      </c>
      <c r="DC2425" s="2909">
        <f>IF($A2425="","",IF($AB2425&amp;""='DB_設定'!$C$4,1,0))</f>
      </c>
    </row>
    <row r="2426">
      <c r="DB2426" s="2909">
        <f>IF($A2426="","",IF($AH2426=20,IF(AND(OR($A2426=21,$A2426=215),$AJ2426=10),"①病院一般",IF(AND($A2426=31,$AJ2426=41),"②病院短期","対象外")),IF($AJ2426=30,"③特定消防",IF(AND(OR($A2426=21,$A2426=215),$AJ2426=10),"④一般",IF(AND($A2426=31,$AJ2426=41),"⑤短期","対象外")))))</f>
      </c>
      <c r="DC2426" s="2909">
        <f>IF($A2426="","",IF($AB2426&amp;""='DB_設定'!$C$4,1,0))</f>
      </c>
    </row>
    <row r="2427">
      <c r="DB2427" s="2909">
        <f>IF($A2427="","",IF($AH2427=20,IF(AND(OR($A2427=21,$A2427=215),$AJ2427=10),"①病院一般",IF(AND($A2427=31,$AJ2427=41),"②病院短期","対象外")),IF($AJ2427=30,"③特定消防",IF(AND(OR($A2427=21,$A2427=215),$AJ2427=10),"④一般",IF(AND($A2427=31,$AJ2427=41),"⑤短期","対象外")))))</f>
      </c>
      <c r="DC2427" s="2909">
        <f>IF($A2427="","",IF($AB2427&amp;""='DB_設定'!$C$4,1,0))</f>
      </c>
    </row>
    <row r="2428">
      <c r="DB2428" s="2909">
        <f>IF($A2428="","",IF($AH2428=20,IF(AND(OR($A2428=21,$A2428=215),$AJ2428=10),"①病院一般",IF(AND($A2428=31,$AJ2428=41),"②病院短期","対象外")),IF($AJ2428=30,"③特定消防",IF(AND(OR($A2428=21,$A2428=215),$AJ2428=10),"④一般",IF(AND($A2428=31,$AJ2428=41),"⑤短期","対象外")))))</f>
      </c>
      <c r="DC2428" s="2909">
        <f>IF($A2428="","",IF($AB2428&amp;""='DB_設定'!$C$4,1,0))</f>
      </c>
    </row>
    <row r="2429">
      <c r="DB2429" s="2909">
        <f>IF($A2429="","",IF($AH2429=20,IF(AND(OR($A2429=21,$A2429=215),$AJ2429=10),"①病院一般",IF(AND($A2429=31,$AJ2429=41),"②病院短期","対象外")),IF($AJ2429=30,"③特定消防",IF(AND(OR($A2429=21,$A2429=215),$AJ2429=10),"④一般",IF(AND($A2429=31,$AJ2429=41),"⑤短期","対象外")))))</f>
      </c>
      <c r="DC2429" s="2909">
        <f>IF($A2429="","",IF($AB2429&amp;""='DB_設定'!$C$4,1,0))</f>
      </c>
    </row>
    <row r="2430">
      <c r="DB2430" s="2909">
        <f>IF($A2430="","",IF($AH2430=20,IF(AND(OR($A2430=21,$A2430=215),$AJ2430=10),"①病院一般",IF(AND($A2430=31,$AJ2430=41),"②病院短期","対象外")),IF($AJ2430=30,"③特定消防",IF(AND(OR($A2430=21,$A2430=215),$AJ2430=10),"④一般",IF(AND($A2430=31,$AJ2430=41),"⑤短期","対象外")))))</f>
      </c>
      <c r="DC2430" s="2909">
        <f>IF($A2430="","",IF($AB2430&amp;""='DB_設定'!$C$4,1,0))</f>
      </c>
    </row>
    <row r="2431">
      <c r="DB2431" s="2909">
        <f>IF($A2431="","",IF($AH2431=20,IF(AND(OR($A2431=21,$A2431=215),$AJ2431=10),"①病院一般",IF(AND($A2431=31,$AJ2431=41),"②病院短期","対象外")),IF($AJ2431=30,"③特定消防",IF(AND(OR($A2431=21,$A2431=215),$AJ2431=10),"④一般",IF(AND($A2431=31,$AJ2431=41),"⑤短期","対象外")))))</f>
      </c>
      <c r="DC2431" s="2909">
        <f>IF($A2431="","",IF($AB2431&amp;""='DB_設定'!$C$4,1,0))</f>
      </c>
    </row>
    <row r="2432">
      <c r="DB2432" s="2909">
        <f>IF($A2432="","",IF($AH2432=20,IF(AND(OR($A2432=21,$A2432=215),$AJ2432=10),"①病院一般",IF(AND($A2432=31,$AJ2432=41),"②病院短期","対象外")),IF($AJ2432=30,"③特定消防",IF(AND(OR($A2432=21,$A2432=215),$AJ2432=10),"④一般",IF(AND($A2432=31,$AJ2432=41),"⑤短期","対象外")))))</f>
      </c>
      <c r="DC2432" s="2909">
        <f>IF($A2432="","",IF($AB2432&amp;""='DB_設定'!$C$4,1,0))</f>
      </c>
    </row>
    <row r="2433">
      <c r="DB2433" s="2909">
        <f>IF($A2433="","",IF($AH2433=20,IF(AND(OR($A2433=21,$A2433=215),$AJ2433=10),"①病院一般",IF(AND($A2433=31,$AJ2433=41),"②病院短期","対象外")),IF($AJ2433=30,"③特定消防",IF(AND(OR($A2433=21,$A2433=215),$AJ2433=10),"④一般",IF(AND($A2433=31,$AJ2433=41),"⑤短期","対象外")))))</f>
      </c>
      <c r="DC2433" s="2909">
        <f>IF($A2433="","",IF($AB2433&amp;""='DB_設定'!$C$4,1,0))</f>
      </c>
    </row>
    <row r="2434">
      <c r="DB2434" s="2909">
        <f>IF($A2434="","",IF($AH2434=20,IF(AND(OR($A2434=21,$A2434=215),$AJ2434=10),"①病院一般",IF(AND($A2434=31,$AJ2434=41),"②病院短期","対象外")),IF($AJ2434=30,"③特定消防",IF(AND(OR($A2434=21,$A2434=215),$AJ2434=10),"④一般",IF(AND($A2434=31,$AJ2434=41),"⑤短期","対象外")))))</f>
      </c>
      <c r="DC2434" s="2909">
        <f>IF($A2434="","",IF($AB2434&amp;""='DB_設定'!$C$4,1,0))</f>
      </c>
    </row>
    <row r="2435">
      <c r="DB2435" s="2909">
        <f>IF($A2435="","",IF($AH2435=20,IF(AND(OR($A2435=21,$A2435=215),$AJ2435=10),"①病院一般",IF(AND($A2435=31,$AJ2435=41),"②病院短期","対象外")),IF($AJ2435=30,"③特定消防",IF(AND(OR($A2435=21,$A2435=215),$AJ2435=10),"④一般",IF(AND($A2435=31,$AJ2435=41),"⑤短期","対象外")))))</f>
      </c>
      <c r="DC2435" s="2909">
        <f>IF($A2435="","",IF($AB2435&amp;""='DB_設定'!$C$4,1,0))</f>
      </c>
    </row>
    <row r="2436">
      <c r="DB2436" s="2909">
        <f>IF($A2436="","",IF($AH2436=20,IF(AND(OR($A2436=21,$A2436=215),$AJ2436=10),"①病院一般",IF(AND($A2436=31,$AJ2436=41),"②病院短期","対象外")),IF($AJ2436=30,"③特定消防",IF(AND(OR($A2436=21,$A2436=215),$AJ2436=10),"④一般",IF(AND($A2436=31,$AJ2436=41),"⑤短期","対象外")))))</f>
      </c>
      <c r="DC2436" s="2909">
        <f>IF($A2436="","",IF($AB2436&amp;""='DB_設定'!$C$4,1,0))</f>
      </c>
    </row>
    <row r="2437">
      <c r="DB2437" s="2909">
        <f>IF($A2437="","",IF($AH2437=20,IF(AND(OR($A2437=21,$A2437=215),$AJ2437=10),"①病院一般",IF(AND($A2437=31,$AJ2437=41),"②病院短期","対象外")),IF($AJ2437=30,"③特定消防",IF(AND(OR($A2437=21,$A2437=215),$AJ2437=10),"④一般",IF(AND($A2437=31,$AJ2437=41),"⑤短期","対象外")))))</f>
      </c>
      <c r="DC2437" s="2909">
        <f>IF($A2437="","",IF($AB2437&amp;""='DB_設定'!$C$4,1,0))</f>
      </c>
    </row>
    <row r="2438">
      <c r="DB2438" s="2909">
        <f>IF($A2438="","",IF($AH2438=20,IF(AND(OR($A2438=21,$A2438=215),$AJ2438=10),"①病院一般",IF(AND($A2438=31,$AJ2438=41),"②病院短期","対象外")),IF($AJ2438=30,"③特定消防",IF(AND(OR($A2438=21,$A2438=215),$AJ2438=10),"④一般",IF(AND($A2438=31,$AJ2438=41),"⑤短期","対象外")))))</f>
      </c>
      <c r="DC2438" s="2909">
        <f>IF($A2438="","",IF($AB2438&amp;""='DB_設定'!$C$4,1,0))</f>
      </c>
    </row>
    <row r="2439">
      <c r="DB2439" s="2909">
        <f>IF($A2439="","",IF($AH2439=20,IF(AND(OR($A2439=21,$A2439=215),$AJ2439=10),"①病院一般",IF(AND($A2439=31,$AJ2439=41),"②病院短期","対象外")),IF($AJ2439=30,"③特定消防",IF(AND(OR($A2439=21,$A2439=215),$AJ2439=10),"④一般",IF(AND($A2439=31,$AJ2439=41),"⑤短期","対象外")))))</f>
      </c>
      <c r="DC2439" s="2909">
        <f>IF($A2439="","",IF($AB2439&amp;""='DB_設定'!$C$4,1,0))</f>
      </c>
    </row>
    <row r="2440">
      <c r="DB2440" s="2909">
        <f>IF($A2440="","",IF($AH2440=20,IF(AND(OR($A2440=21,$A2440=215),$AJ2440=10),"①病院一般",IF(AND($A2440=31,$AJ2440=41),"②病院短期","対象外")),IF($AJ2440=30,"③特定消防",IF(AND(OR($A2440=21,$A2440=215),$AJ2440=10),"④一般",IF(AND($A2440=31,$AJ2440=41),"⑤短期","対象外")))))</f>
      </c>
      <c r="DC2440" s="2909">
        <f>IF($A2440="","",IF($AB2440&amp;""='DB_設定'!$C$4,1,0))</f>
      </c>
    </row>
    <row r="2441">
      <c r="DB2441" s="2909">
        <f>IF($A2441="","",IF($AH2441=20,IF(AND(OR($A2441=21,$A2441=215),$AJ2441=10),"①病院一般",IF(AND($A2441=31,$AJ2441=41),"②病院短期","対象外")),IF($AJ2441=30,"③特定消防",IF(AND(OR($A2441=21,$A2441=215),$AJ2441=10),"④一般",IF(AND($A2441=31,$AJ2441=41),"⑤短期","対象外")))))</f>
      </c>
      <c r="DC2441" s="2909">
        <f>IF($A2441="","",IF($AB2441&amp;""='DB_設定'!$C$4,1,0))</f>
      </c>
    </row>
    <row r="2442">
      <c r="DB2442" s="2909">
        <f>IF($A2442="","",IF($AH2442=20,IF(AND(OR($A2442=21,$A2442=215),$AJ2442=10),"①病院一般",IF(AND($A2442=31,$AJ2442=41),"②病院短期","対象外")),IF($AJ2442=30,"③特定消防",IF(AND(OR($A2442=21,$A2442=215),$AJ2442=10),"④一般",IF(AND($A2442=31,$AJ2442=41),"⑤短期","対象外")))))</f>
      </c>
      <c r="DC2442" s="2909">
        <f>IF($A2442="","",IF($AB2442&amp;""='DB_設定'!$C$4,1,0))</f>
      </c>
    </row>
    <row r="2443">
      <c r="DB2443" s="2909">
        <f>IF($A2443="","",IF($AH2443=20,IF(AND(OR($A2443=21,$A2443=215),$AJ2443=10),"①病院一般",IF(AND($A2443=31,$AJ2443=41),"②病院短期","対象外")),IF($AJ2443=30,"③特定消防",IF(AND(OR($A2443=21,$A2443=215),$AJ2443=10),"④一般",IF(AND($A2443=31,$AJ2443=41),"⑤短期","対象外")))))</f>
      </c>
      <c r="DC2443" s="2909">
        <f>IF($A2443="","",IF($AB2443&amp;""='DB_設定'!$C$4,1,0))</f>
      </c>
    </row>
    <row r="2444">
      <c r="DB2444" s="2909">
        <f>IF($A2444="","",IF($AH2444=20,IF(AND(OR($A2444=21,$A2444=215),$AJ2444=10),"①病院一般",IF(AND($A2444=31,$AJ2444=41),"②病院短期","対象外")),IF($AJ2444=30,"③特定消防",IF(AND(OR($A2444=21,$A2444=215),$AJ2444=10),"④一般",IF(AND($A2444=31,$AJ2444=41),"⑤短期","対象外")))))</f>
      </c>
      <c r="DC2444" s="2909">
        <f>IF($A2444="","",IF($AB2444&amp;""='DB_設定'!$C$4,1,0))</f>
      </c>
    </row>
    <row r="2445">
      <c r="DB2445" s="2909">
        <f>IF($A2445="","",IF($AH2445=20,IF(AND(OR($A2445=21,$A2445=215),$AJ2445=10),"①病院一般",IF(AND($A2445=31,$AJ2445=41),"②病院短期","対象外")),IF($AJ2445=30,"③特定消防",IF(AND(OR($A2445=21,$A2445=215),$AJ2445=10),"④一般",IF(AND($A2445=31,$AJ2445=41),"⑤短期","対象外")))))</f>
      </c>
      <c r="DC2445" s="2909">
        <f>IF($A2445="","",IF($AB2445&amp;""='DB_設定'!$C$4,1,0))</f>
      </c>
    </row>
    <row r="2446">
      <c r="DB2446" s="2909">
        <f>IF($A2446="","",IF($AH2446=20,IF(AND(OR($A2446=21,$A2446=215),$AJ2446=10),"①病院一般",IF(AND($A2446=31,$AJ2446=41),"②病院短期","対象外")),IF($AJ2446=30,"③特定消防",IF(AND(OR($A2446=21,$A2446=215),$AJ2446=10),"④一般",IF(AND($A2446=31,$AJ2446=41),"⑤短期","対象外")))))</f>
      </c>
      <c r="DC2446" s="2909">
        <f>IF($A2446="","",IF($AB2446&amp;""='DB_設定'!$C$4,1,0))</f>
      </c>
    </row>
    <row r="2447">
      <c r="DB2447" s="2909">
        <f>IF($A2447="","",IF($AH2447=20,IF(AND(OR($A2447=21,$A2447=215),$AJ2447=10),"①病院一般",IF(AND($A2447=31,$AJ2447=41),"②病院短期","対象外")),IF($AJ2447=30,"③特定消防",IF(AND(OR($A2447=21,$A2447=215),$AJ2447=10),"④一般",IF(AND($A2447=31,$AJ2447=41),"⑤短期","対象外")))))</f>
      </c>
      <c r="DC2447" s="2909">
        <f>IF($A2447="","",IF($AB2447&amp;""='DB_設定'!$C$4,1,0))</f>
      </c>
    </row>
    <row r="2448">
      <c r="DB2448" s="2909">
        <f>IF($A2448="","",IF($AH2448=20,IF(AND(OR($A2448=21,$A2448=215),$AJ2448=10),"①病院一般",IF(AND($A2448=31,$AJ2448=41),"②病院短期","対象外")),IF($AJ2448=30,"③特定消防",IF(AND(OR($A2448=21,$A2448=215),$AJ2448=10),"④一般",IF(AND($A2448=31,$AJ2448=41),"⑤短期","対象外")))))</f>
      </c>
      <c r="DC2448" s="2909">
        <f>IF($A2448="","",IF($AB2448&amp;""='DB_設定'!$C$4,1,0))</f>
      </c>
    </row>
    <row r="2449">
      <c r="DB2449" s="2909">
        <f>IF($A2449="","",IF($AH2449=20,IF(AND(OR($A2449=21,$A2449=215),$AJ2449=10),"①病院一般",IF(AND($A2449=31,$AJ2449=41),"②病院短期","対象外")),IF($AJ2449=30,"③特定消防",IF(AND(OR($A2449=21,$A2449=215),$AJ2449=10),"④一般",IF(AND($A2449=31,$AJ2449=41),"⑤短期","対象外")))))</f>
      </c>
      <c r="DC2449" s="2909">
        <f>IF($A2449="","",IF($AB2449&amp;""='DB_設定'!$C$4,1,0))</f>
      </c>
    </row>
    <row r="2450">
      <c r="DB2450" s="2909">
        <f>IF($A2450="","",IF($AH2450=20,IF(AND(OR($A2450=21,$A2450=215),$AJ2450=10),"①病院一般",IF(AND($A2450=31,$AJ2450=41),"②病院短期","対象外")),IF($AJ2450=30,"③特定消防",IF(AND(OR($A2450=21,$A2450=215),$AJ2450=10),"④一般",IF(AND($A2450=31,$AJ2450=41),"⑤短期","対象外")))))</f>
      </c>
      <c r="DC2450" s="2909">
        <f>IF($A2450="","",IF($AB2450&amp;""='DB_設定'!$C$4,1,0))</f>
      </c>
    </row>
    <row r="2451">
      <c r="DB2451" s="2909">
        <f>IF($A2451="","",IF($AH2451=20,IF(AND(OR($A2451=21,$A2451=215),$AJ2451=10),"①病院一般",IF(AND($A2451=31,$AJ2451=41),"②病院短期","対象外")),IF($AJ2451=30,"③特定消防",IF(AND(OR($A2451=21,$A2451=215),$AJ2451=10),"④一般",IF(AND($A2451=31,$AJ2451=41),"⑤短期","対象外")))))</f>
      </c>
      <c r="DC2451" s="2909">
        <f>IF($A2451="","",IF($AB2451&amp;""='DB_設定'!$C$4,1,0))</f>
      </c>
    </row>
    <row r="2452">
      <c r="DB2452" s="2909">
        <f>IF($A2452="","",IF($AH2452=20,IF(AND(OR($A2452=21,$A2452=215),$AJ2452=10),"①病院一般",IF(AND($A2452=31,$AJ2452=41),"②病院短期","対象外")),IF($AJ2452=30,"③特定消防",IF(AND(OR($A2452=21,$A2452=215),$AJ2452=10),"④一般",IF(AND($A2452=31,$AJ2452=41),"⑤短期","対象外")))))</f>
      </c>
      <c r="DC2452" s="2909">
        <f>IF($A2452="","",IF($AB2452&amp;""='DB_設定'!$C$4,1,0))</f>
      </c>
    </row>
    <row r="2453">
      <c r="DB2453" s="2909">
        <f>IF($A2453="","",IF($AH2453=20,IF(AND(OR($A2453=21,$A2453=215),$AJ2453=10),"①病院一般",IF(AND($A2453=31,$AJ2453=41),"②病院短期","対象外")),IF($AJ2453=30,"③特定消防",IF(AND(OR($A2453=21,$A2453=215),$AJ2453=10),"④一般",IF(AND($A2453=31,$AJ2453=41),"⑤短期","対象外")))))</f>
      </c>
      <c r="DC2453" s="2909">
        <f>IF($A2453="","",IF($AB2453&amp;""='DB_設定'!$C$4,1,0))</f>
      </c>
    </row>
    <row r="2454">
      <c r="DB2454" s="2909">
        <f>IF($A2454="","",IF($AH2454=20,IF(AND(OR($A2454=21,$A2454=215),$AJ2454=10),"①病院一般",IF(AND($A2454=31,$AJ2454=41),"②病院短期","対象外")),IF($AJ2454=30,"③特定消防",IF(AND(OR($A2454=21,$A2454=215),$AJ2454=10),"④一般",IF(AND($A2454=31,$AJ2454=41),"⑤短期","対象外")))))</f>
      </c>
      <c r="DC2454" s="2909">
        <f>IF($A2454="","",IF($AB2454&amp;""='DB_設定'!$C$4,1,0))</f>
      </c>
    </row>
    <row r="2455">
      <c r="DB2455" s="2909">
        <f>IF($A2455="","",IF($AH2455=20,IF(AND(OR($A2455=21,$A2455=215),$AJ2455=10),"①病院一般",IF(AND($A2455=31,$AJ2455=41),"②病院短期","対象外")),IF($AJ2455=30,"③特定消防",IF(AND(OR($A2455=21,$A2455=215),$AJ2455=10),"④一般",IF(AND($A2455=31,$AJ2455=41),"⑤短期","対象外")))))</f>
      </c>
      <c r="DC2455" s="2909">
        <f>IF($A2455="","",IF($AB2455&amp;""='DB_設定'!$C$4,1,0))</f>
      </c>
    </row>
    <row r="2456">
      <c r="DB2456" s="2909">
        <f>IF($A2456="","",IF($AH2456=20,IF(AND(OR($A2456=21,$A2456=215),$AJ2456=10),"①病院一般",IF(AND($A2456=31,$AJ2456=41),"②病院短期","対象外")),IF($AJ2456=30,"③特定消防",IF(AND(OR($A2456=21,$A2456=215),$AJ2456=10),"④一般",IF(AND($A2456=31,$AJ2456=41),"⑤短期","対象外")))))</f>
      </c>
      <c r="DC2456" s="2909">
        <f>IF($A2456="","",IF($AB2456&amp;""='DB_設定'!$C$4,1,0))</f>
      </c>
    </row>
    <row r="2457">
      <c r="DB2457" s="2909">
        <f>IF($A2457="","",IF($AH2457=20,IF(AND(OR($A2457=21,$A2457=215),$AJ2457=10),"①病院一般",IF(AND($A2457=31,$AJ2457=41),"②病院短期","対象外")),IF($AJ2457=30,"③特定消防",IF(AND(OR($A2457=21,$A2457=215),$AJ2457=10),"④一般",IF(AND($A2457=31,$AJ2457=41),"⑤短期","対象外")))))</f>
      </c>
      <c r="DC2457" s="2909">
        <f>IF($A2457="","",IF($AB2457&amp;""='DB_設定'!$C$4,1,0))</f>
      </c>
    </row>
    <row r="2458">
      <c r="DB2458" s="2909">
        <f>IF($A2458="","",IF($AH2458=20,IF(AND(OR($A2458=21,$A2458=215),$AJ2458=10),"①病院一般",IF(AND($A2458=31,$AJ2458=41),"②病院短期","対象外")),IF($AJ2458=30,"③特定消防",IF(AND(OR($A2458=21,$A2458=215),$AJ2458=10),"④一般",IF(AND($A2458=31,$AJ2458=41),"⑤短期","対象外")))))</f>
      </c>
      <c r="DC2458" s="2909">
        <f>IF($A2458="","",IF($AB2458&amp;""='DB_設定'!$C$4,1,0))</f>
      </c>
    </row>
    <row r="2459">
      <c r="DB2459" s="2909">
        <f>IF($A2459="","",IF($AH2459=20,IF(AND(OR($A2459=21,$A2459=215),$AJ2459=10),"①病院一般",IF(AND($A2459=31,$AJ2459=41),"②病院短期","対象外")),IF($AJ2459=30,"③特定消防",IF(AND(OR($A2459=21,$A2459=215),$AJ2459=10),"④一般",IF(AND($A2459=31,$AJ2459=41),"⑤短期","対象外")))))</f>
      </c>
      <c r="DC2459" s="2909">
        <f>IF($A2459="","",IF($AB2459&amp;""='DB_設定'!$C$4,1,0))</f>
      </c>
    </row>
    <row r="2460">
      <c r="DB2460" s="2909">
        <f>IF($A2460="","",IF($AH2460=20,IF(AND(OR($A2460=21,$A2460=215),$AJ2460=10),"①病院一般",IF(AND($A2460=31,$AJ2460=41),"②病院短期","対象外")),IF($AJ2460=30,"③特定消防",IF(AND(OR($A2460=21,$A2460=215),$AJ2460=10),"④一般",IF(AND($A2460=31,$AJ2460=41),"⑤短期","対象外")))))</f>
      </c>
      <c r="DC2460" s="2909">
        <f>IF($A2460="","",IF($AB2460&amp;""='DB_設定'!$C$4,1,0))</f>
      </c>
    </row>
    <row r="2461">
      <c r="DB2461" s="2909">
        <f>IF($A2461="","",IF($AH2461=20,IF(AND(OR($A2461=21,$A2461=215),$AJ2461=10),"①病院一般",IF(AND($A2461=31,$AJ2461=41),"②病院短期","対象外")),IF($AJ2461=30,"③特定消防",IF(AND(OR($A2461=21,$A2461=215),$AJ2461=10),"④一般",IF(AND($A2461=31,$AJ2461=41),"⑤短期","対象外")))))</f>
      </c>
      <c r="DC2461" s="2909">
        <f>IF($A2461="","",IF($AB2461&amp;""='DB_設定'!$C$4,1,0))</f>
      </c>
    </row>
    <row r="2462">
      <c r="DB2462" s="2909">
        <f>IF($A2462="","",IF($AH2462=20,IF(AND(OR($A2462=21,$A2462=215),$AJ2462=10),"①病院一般",IF(AND($A2462=31,$AJ2462=41),"②病院短期","対象外")),IF($AJ2462=30,"③特定消防",IF(AND(OR($A2462=21,$A2462=215),$AJ2462=10),"④一般",IF(AND($A2462=31,$AJ2462=41),"⑤短期","対象外")))))</f>
      </c>
      <c r="DC2462" s="2909">
        <f>IF($A2462="","",IF($AB2462&amp;""='DB_設定'!$C$4,1,0))</f>
      </c>
    </row>
    <row r="2463">
      <c r="DB2463" s="2909">
        <f>IF($A2463="","",IF($AH2463=20,IF(AND(OR($A2463=21,$A2463=215),$AJ2463=10),"①病院一般",IF(AND($A2463=31,$AJ2463=41),"②病院短期","対象外")),IF($AJ2463=30,"③特定消防",IF(AND(OR($A2463=21,$A2463=215),$AJ2463=10),"④一般",IF(AND($A2463=31,$AJ2463=41),"⑤短期","対象外")))))</f>
      </c>
      <c r="DC2463" s="2909">
        <f>IF($A2463="","",IF($AB2463&amp;""='DB_設定'!$C$4,1,0))</f>
      </c>
    </row>
    <row r="2464">
      <c r="DB2464" s="2909">
        <f>IF($A2464="","",IF($AH2464=20,IF(AND(OR($A2464=21,$A2464=215),$AJ2464=10),"①病院一般",IF(AND($A2464=31,$AJ2464=41),"②病院短期","対象外")),IF($AJ2464=30,"③特定消防",IF(AND(OR($A2464=21,$A2464=215),$AJ2464=10),"④一般",IF(AND($A2464=31,$AJ2464=41),"⑤短期","対象外")))))</f>
      </c>
      <c r="DC2464" s="2909">
        <f>IF($A2464="","",IF($AB2464&amp;""='DB_設定'!$C$4,1,0))</f>
      </c>
    </row>
    <row r="2465">
      <c r="DB2465" s="2909">
        <f>IF($A2465="","",IF($AH2465=20,IF(AND(OR($A2465=21,$A2465=215),$AJ2465=10),"①病院一般",IF(AND($A2465=31,$AJ2465=41),"②病院短期","対象外")),IF($AJ2465=30,"③特定消防",IF(AND(OR($A2465=21,$A2465=215),$AJ2465=10),"④一般",IF(AND($A2465=31,$AJ2465=41),"⑤短期","対象外")))))</f>
      </c>
      <c r="DC2465" s="2909">
        <f>IF($A2465="","",IF($AB2465&amp;""='DB_設定'!$C$4,1,0))</f>
      </c>
    </row>
    <row r="2466">
      <c r="DB2466" s="2909">
        <f>IF($A2466="","",IF($AH2466=20,IF(AND(OR($A2466=21,$A2466=215),$AJ2466=10),"①病院一般",IF(AND($A2466=31,$AJ2466=41),"②病院短期","対象外")),IF($AJ2466=30,"③特定消防",IF(AND(OR($A2466=21,$A2466=215),$AJ2466=10),"④一般",IF(AND($A2466=31,$AJ2466=41),"⑤短期","対象外")))))</f>
      </c>
      <c r="DC2466" s="2909">
        <f>IF($A2466="","",IF($AB2466&amp;""='DB_設定'!$C$4,1,0))</f>
      </c>
    </row>
    <row r="2467">
      <c r="DB2467" s="2909">
        <f>IF($A2467="","",IF($AH2467=20,IF(AND(OR($A2467=21,$A2467=215),$AJ2467=10),"①病院一般",IF(AND($A2467=31,$AJ2467=41),"②病院短期","対象外")),IF($AJ2467=30,"③特定消防",IF(AND(OR($A2467=21,$A2467=215),$AJ2467=10),"④一般",IF(AND($A2467=31,$AJ2467=41),"⑤短期","対象外")))))</f>
      </c>
      <c r="DC2467" s="2909">
        <f>IF($A2467="","",IF($AB2467&amp;""='DB_設定'!$C$4,1,0))</f>
      </c>
    </row>
    <row r="2468">
      <c r="DB2468" s="2909">
        <f>IF($A2468="","",IF($AH2468=20,IF(AND(OR($A2468=21,$A2468=215),$AJ2468=10),"①病院一般",IF(AND($A2468=31,$AJ2468=41),"②病院短期","対象外")),IF($AJ2468=30,"③特定消防",IF(AND(OR($A2468=21,$A2468=215),$AJ2468=10),"④一般",IF(AND($A2468=31,$AJ2468=41),"⑤短期","対象外")))))</f>
      </c>
      <c r="DC2468" s="2909">
        <f>IF($A2468="","",IF($AB2468&amp;""='DB_設定'!$C$4,1,0))</f>
      </c>
    </row>
    <row r="2469">
      <c r="DB2469" s="2909">
        <f>IF($A2469="","",IF($AH2469=20,IF(AND(OR($A2469=21,$A2469=215),$AJ2469=10),"①病院一般",IF(AND($A2469=31,$AJ2469=41),"②病院短期","対象外")),IF($AJ2469=30,"③特定消防",IF(AND(OR($A2469=21,$A2469=215),$AJ2469=10),"④一般",IF(AND($A2469=31,$AJ2469=41),"⑤短期","対象外")))))</f>
      </c>
      <c r="DC2469" s="2909">
        <f>IF($A2469="","",IF($AB2469&amp;""='DB_設定'!$C$4,1,0))</f>
      </c>
    </row>
    <row r="2470">
      <c r="DB2470" s="2909">
        <f>IF($A2470="","",IF($AH2470=20,IF(AND(OR($A2470=21,$A2470=215),$AJ2470=10),"①病院一般",IF(AND($A2470=31,$AJ2470=41),"②病院短期","対象外")),IF($AJ2470=30,"③特定消防",IF(AND(OR($A2470=21,$A2470=215),$AJ2470=10),"④一般",IF(AND($A2470=31,$AJ2470=41),"⑤短期","対象外")))))</f>
      </c>
      <c r="DC2470" s="2909">
        <f>IF($A2470="","",IF($AB2470&amp;""='DB_設定'!$C$4,1,0))</f>
      </c>
    </row>
    <row r="2471">
      <c r="DB2471" s="2909">
        <f>IF($A2471="","",IF($AH2471=20,IF(AND(OR($A2471=21,$A2471=215),$AJ2471=10),"①病院一般",IF(AND($A2471=31,$AJ2471=41),"②病院短期","対象外")),IF($AJ2471=30,"③特定消防",IF(AND(OR($A2471=21,$A2471=215),$AJ2471=10),"④一般",IF(AND($A2471=31,$AJ2471=41),"⑤短期","対象外")))))</f>
      </c>
      <c r="DC2471" s="2909">
        <f>IF($A2471="","",IF($AB2471&amp;""='DB_設定'!$C$4,1,0))</f>
      </c>
    </row>
    <row r="2472">
      <c r="DB2472" s="2909">
        <f>IF($A2472="","",IF($AH2472=20,IF(AND(OR($A2472=21,$A2472=215),$AJ2472=10),"①病院一般",IF(AND($A2472=31,$AJ2472=41),"②病院短期","対象外")),IF($AJ2472=30,"③特定消防",IF(AND(OR($A2472=21,$A2472=215),$AJ2472=10),"④一般",IF(AND($A2472=31,$AJ2472=41),"⑤短期","対象外")))))</f>
      </c>
      <c r="DC2472" s="2909">
        <f>IF($A2472="","",IF($AB2472&amp;""='DB_設定'!$C$4,1,0))</f>
      </c>
    </row>
    <row r="2473">
      <c r="DB2473" s="2909">
        <f>IF($A2473="","",IF($AH2473=20,IF(AND(OR($A2473=21,$A2473=215),$AJ2473=10),"①病院一般",IF(AND($A2473=31,$AJ2473=41),"②病院短期","対象外")),IF($AJ2473=30,"③特定消防",IF(AND(OR($A2473=21,$A2473=215),$AJ2473=10),"④一般",IF(AND($A2473=31,$AJ2473=41),"⑤短期","対象外")))))</f>
      </c>
      <c r="DC2473" s="2909">
        <f>IF($A2473="","",IF($AB2473&amp;""='DB_設定'!$C$4,1,0))</f>
      </c>
    </row>
    <row r="2474">
      <c r="DB2474" s="2909">
        <f>IF($A2474="","",IF($AH2474=20,IF(AND(OR($A2474=21,$A2474=215),$AJ2474=10),"①病院一般",IF(AND($A2474=31,$AJ2474=41),"②病院短期","対象外")),IF($AJ2474=30,"③特定消防",IF(AND(OR($A2474=21,$A2474=215),$AJ2474=10),"④一般",IF(AND($A2474=31,$AJ2474=41),"⑤短期","対象外")))))</f>
      </c>
      <c r="DC2474" s="2909">
        <f>IF($A2474="","",IF($AB2474&amp;""='DB_設定'!$C$4,1,0))</f>
      </c>
    </row>
    <row r="2475">
      <c r="DB2475" s="2909">
        <f>IF($A2475="","",IF($AH2475=20,IF(AND(OR($A2475=21,$A2475=215),$AJ2475=10),"①病院一般",IF(AND($A2475=31,$AJ2475=41),"②病院短期","対象外")),IF($AJ2475=30,"③特定消防",IF(AND(OR($A2475=21,$A2475=215),$AJ2475=10),"④一般",IF(AND($A2475=31,$AJ2475=41),"⑤短期","対象外")))))</f>
      </c>
      <c r="DC2475" s="2909">
        <f>IF($A2475="","",IF($AB2475&amp;""='DB_設定'!$C$4,1,0))</f>
      </c>
    </row>
    <row r="2476">
      <c r="DB2476" s="2909">
        <f>IF($A2476="","",IF($AH2476=20,IF(AND(OR($A2476=21,$A2476=215),$AJ2476=10),"①病院一般",IF(AND($A2476=31,$AJ2476=41),"②病院短期","対象外")),IF($AJ2476=30,"③特定消防",IF(AND(OR($A2476=21,$A2476=215),$AJ2476=10),"④一般",IF(AND($A2476=31,$AJ2476=41),"⑤短期","対象外")))))</f>
      </c>
      <c r="DC2476" s="2909">
        <f>IF($A2476="","",IF($AB2476&amp;""='DB_設定'!$C$4,1,0))</f>
      </c>
    </row>
    <row r="2477">
      <c r="DB2477" s="2909">
        <f>IF($A2477="","",IF($AH2477=20,IF(AND(OR($A2477=21,$A2477=215),$AJ2477=10),"①病院一般",IF(AND($A2477=31,$AJ2477=41),"②病院短期","対象外")),IF($AJ2477=30,"③特定消防",IF(AND(OR($A2477=21,$A2477=215),$AJ2477=10),"④一般",IF(AND($A2477=31,$AJ2477=41),"⑤短期","対象外")))))</f>
      </c>
      <c r="DC2477" s="2909">
        <f>IF($A2477="","",IF($AB2477&amp;""='DB_設定'!$C$4,1,0))</f>
      </c>
    </row>
    <row r="2478">
      <c r="DB2478" s="2909">
        <f>IF($A2478="","",IF($AH2478=20,IF(AND(OR($A2478=21,$A2478=215),$AJ2478=10),"①病院一般",IF(AND($A2478=31,$AJ2478=41),"②病院短期","対象外")),IF($AJ2478=30,"③特定消防",IF(AND(OR($A2478=21,$A2478=215),$AJ2478=10),"④一般",IF(AND($A2478=31,$AJ2478=41),"⑤短期","対象外")))))</f>
      </c>
      <c r="DC2478" s="2909">
        <f>IF($A2478="","",IF($AB2478&amp;""='DB_設定'!$C$4,1,0))</f>
      </c>
    </row>
    <row r="2479">
      <c r="DB2479" s="2909">
        <f>IF($A2479="","",IF($AH2479=20,IF(AND(OR($A2479=21,$A2479=215),$AJ2479=10),"①病院一般",IF(AND($A2479=31,$AJ2479=41),"②病院短期","対象外")),IF($AJ2479=30,"③特定消防",IF(AND(OR($A2479=21,$A2479=215),$AJ2479=10),"④一般",IF(AND($A2479=31,$AJ2479=41),"⑤短期","対象外")))))</f>
      </c>
      <c r="DC2479" s="2909">
        <f>IF($A2479="","",IF($AB2479&amp;""='DB_設定'!$C$4,1,0))</f>
      </c>
    </row>
    <row r="2480">
      <c r="DB2480" s="2909">
        <f>IF($A2480="","",IF($AH2480=20,IF(AND(OR($A2480=21,$A2480=215),$AJ2480=10),"①病院一般",IF(AND($A2480=31,$AJ2480=41),"②病院短期","対象外")),IF($AJ2480=30,"③特定消防",IF(AND(OR($A2480=21,$A2480=215),$AJ2480=10),"④一般",IF(AND($A2480=31,$AJ2480=41),"⑤短期","対象外")))))</f>
      </c>
      <c r="DC2480" s="2909">
        <f>IF($A2480="","",IF($AB2480&amp;""='DB_設定'!$C$4,1,0))</f>
      </c>
    </row>
    <row r="2481">
      <c r="DB2481" s="2909">
        <f>IF($A2481="","",IF($AH2481=20,IF(AND(OR($A2481=21,$A2481=215),$AJ2481=10),"①病院一般",IF(AND($A2481=31,$AJ2481=41),"②病院短期","対象外")),IF($AJ2481=30,"③特定消防",IF(AND(OR($A2481=21,$A2481=215),$AJ2481=10),"④一般",IF(AND($A2481=31,$AJ2481=41),"⑤短期","対象外")))))</f>
      </c>
      <c r="DC2481" s="2909">
        <f>IF($A2481="","",IF($AB2481&amp;""='DB_設定'!$C$4,1,0))</f>
      </c>
    </row>
    <row r="2482">
      <c r="DB2482" s="2909">
        <f>IF($A2482="","",IF($AH2482=20,IF(AND(OR($A2482=21,$A2482=215),$AJ2482=10),"①病院一般",IF(AND($A2482=31,$AJ2482=41),"②病院短期","対象外")),IF($AJ2482=30,"③特定消防",IF(AND(OR($A2482=21,$A2482=215),$AJ2482=10),"④一般",IF(AND($A2482=31,$AJ2482=41),"⑤短期","対象外")))))</f>
      </c>
      <c r="DC2482" s="2909">
        <f>IF($A2482="","",IF($AB2482&amp;""='DB_設定'!$C$4,1,0))</f>
      </c>
    </row>
    <row r="2483">
      <c r="DB2483" s="2909">
        <f>IF($A2483="","",IF($AH2483=20,IF(AND(OR($A2483=21,$A2483=215),$AJ2483=10),"①病院一般",IF(AND($A2483=31,$AJ2483=41),"②病院短期","対象外")),IF($AJ2483=30,"③特定消防",IF(AND(OR($A2483=21,$A2483=215),$AJ2483=10),"④一般",IF(AND($A2483=31,$AJ2483=41),"⑤短期","対象外")))))</f>
      </c>
      <c r="DC2483" s="2909">
        <f>IF($A2483="","",IF($AB2483&amp;""='DB_設定'!$C$4,1,0))</f>
      </c>
    </row>
    <row r="2484">
      <c r="DB2484" s="2909">
        <f>IF($A2484="","",IF($AH2484=20,IF(AND(OR($A2484=21,$A2484=215),$AJ2484=10),"①病院一般",IF(AND($A2484=31,$AJ2484=41),"②病院短期","対象外")),IF($AJ2484=30,"③特定消防",IF(AND(OR($A2484=21,$A2484=215),$AJ2484=10),"④一般",IF(AND($A2484=31,$AJ2484=41),"⑤短期","対象外")))))</f>
      </c>
      <c r="DC2484" s="2909">
        <f>IF($A2484="","",IF($AB2484&amp;""='DB_設定'!$C$4,1,0))</f>
      </c>
    </row>
    <row r="2485">
      <c r="DB2485" s="2909">
        <f>IF($A2485="","",IF($AH2485=20,IF(AND(OR($A2485=21,$A2485=215),$AJ2485=10),"①病院一般",IF(AND($A2485=31,$AJ2485=41),"②病院短期","対象外")),IF($AJ2485=30,"③特定消防",IF(AND(OR($A2485=21,$A2485=215),$AJ2485=10),"④一般",IF(AND($A2485=31,$AJ2485=41),"⑤短期","対象外")))))</f>
      </c>
      <c r="DC2485" s="2909">
        <f>IF($A2485="","",IF($AB2485&amp;""='DB_設定'!$C$4,1,0))</f>
      </c>
    </row>
    <row r="2486">
      <c r="DB2486" s="2909">
        <f>IF($A2486="","",IF($AH2486=20,IF(AND(OR($A2486=21,$A2486=215),$AJ2486=10),"①病院一般",IF(AND($A2486=31,$AJ2486=41),"②病院短期","対象外")),IF($AJ2486=30,"③特定消防",IF(AND(OR($A2486=21,$A2486=215),$AJ2486=10),"④一般",IF(AND($A2486=31,$AJ2486=41),"⑤短期","対象外")))))</f>
      </c>
      <c r="DC2486" s="2909">
        <f>IF($A2486="","",IF($AB2486&amp;""='DB_設定'!$C$4,1,0))</f>
      </c>
    </row>
    <row r="2487">
      <c r="DB2487" s="2909">
        <f>IF($A2487="","",IF($AH2487=20,IF(AND(OR($A2487=21,$A2487=215),$AJ2487=10),"①病院一般",IF(AND($A2487=31,$AJ2487=41),"②病院短期","対象外")),IF($AJ2487=30,"③特定消防",IF(AND(OR($A2487=21,$A2487=215),$AJ2487=10),"④一般",IF(AND($A2487=31,$AJ2487=41),"⑤短期","対象外")))))</f>
      </c>
      <c r="DC2487" s="2909">
        <f>IF($A2487="","",IF($AB2487&amp;""='DB_設定'!$C$4,1,0))</f>
      </c>
    </row>
    <row r="2488">
      <c r="DB2488" s="2909">
        <f>IF($A2488="","",IF($AH2488=20,IF(AND(OR($A2488=21,$A2488=215),$AJ2488=10),"①病院一般",IF(AND($A2488=31,$AJ2488=41),"②病院短期","対象外")),IF($AJ2488=30,"③特定消防",IF(AND(OR($A2488=21,$A2488=215),$AJ2488=10),"④一般",IF(AND($A2488=31,$AJ2488=41),"⑤短期","対象外")))))</f>
      </c>
      <c r="DC2488" s="2909">
        <f>IF($A2488="","",IF($AB2488&amp;""='DB_設定'!$C$4,1,0))</f>
      </c>
    </row>
    <row r="2489">
      <c r="DB2489" s="2909">
        <f>IF($A2489="","",IF($AH2489=20,IF(AND(OR($A2489=21,$A2489=215),$AJ2489=10),"①病院一般",IF(AND($A2489=31,$AJ2489=41),"②病院短期","対象外")),IF($AJ2489=30,"③特定消防",IF(AND(OR($A2489=21,$A2489=215),$AJ2489=10),"④一般",IF(AND($A2489=31,$AJ2489=41),"⑤短期","対象外")))))</f>
      </c>
      <c r="DC2489" s="2909">
        <f>IF($A2489="","",IF($AB2489&amp;""='DB_設定'!$C$4,1,0))</f>
      </c>
    </row>
    <row r="2490">
      <c r="DB2490" s="2909">
        <f>IF($A2490="","",IF($AH2490=20,IF(AND(OR($A2490=21,$A2490=215),$AJ2490=10),"①病院一般",IF(AND($A2490=31,$AJ2490=41),"②病院短期","対象外")),IF($AJ2490=30,"③特定消防",IF(AND(OR($A2490=21,$A2490=215),$AJ2490=10),"④一般",IF(AND($A2490=31,$AJ2490=41),"⑤短期","対象外")))))</f>
      </c>
      <c r="DC2490" s="2909">
        <f>IF($A2490="","",IF($AB2490&amp;""='DB_設定'!$C$4,1,0))</f>
      </c>
    </row>
    <row r="2491">
      <c r="DB2491" s="2909">
        <f>IF($A2491="","",IF($AH2491=20,IF(AND(OR($A2491=21,$A2491=215),$AJ2491=10),"①病院一般",IF(AND($A2491=31,$AJ2491=41),"②病院短期","対象外")),IF($AJ2491=30,"③特定消防",IF(AND(OR($A2491=21,$A2491=215),$AJ2491=10),"④一般",IF(AND($A2491=31,$AJ2491=41),"⑤短期","対象外")))))</f>
      </c>
      <c r="DC2491" s="2909">
        <f>IF($A2491="","",IF($AB2491&amp;""='DB_設定'!$C$4,1,0))</f>
      </c>
    </row>
    <row r="2492">
      <c r="DB2492" s="2909">
        <f>IF($A2492="","",IF($AH2492=20,IF(AND(OR($A2492=21,$A2492=215),$AJ2492=10),"①病院一般",IF(AND($A2492=31,$AJ2492=41),"②病院短期","対象外")),IF($AJ2492=30,"③特定消防",IF(AND(OR($A2492=21,$A2492=215),$AJ2492=10),"④一般",IF(AND($A2492=31,$AJ2492=41),"⑤短期","対象外")))))</f>
      </c>
      <c r="DC2492" s="2909">
        <f>IF($A2492="","",IF($AB2492&amp;""='DB_設定'!$C$4,1,0))</f>
      </c>
    </row>
    <row r="2493">
      <c r="DB2493" s="2909">
        <f>IF($A2493="","",IF($AH2493=20,IF(AND(OR($A2493=21,$A2493=215),$AJ2493=10),"①病院一般",IF(AND($A2493=31,$AJ2493=41),"②病院短期","対象外")),IF($AJ2493=30,"③特定消防",IF(AND(OR($A2493=21,$A2493=215),$AJ2493=10),"④一般",IF(AND($A2493=31,$AJ2493=41),"⑤短期","対象外")))))</f>
      </c>
      <c r="DC2493" s="2909">
        <f>IF($A2493="","",IF($AB2493&amp;""='DB_設定'!$C$4,1,0))</f>
      </c>
    </row>
    <row r="2494">
      <c r="DB2494" s="2909">
        <f>IF($A2494="","",IF($AH2494=20,IF(AND(OR($A2494=21,$A2494=215),$AJ2494=10),"①病院一般",IF(AND($A2494=31,$AJ2494=41),"②病院短期","対象外")),IF($AJ2494=30,"③特定消防",IF(AND(OR($A2494=21,$A2494=215),$AJ2494=10),"④一般",IF(AND($A2494=31,$AJ2494=41),"⑤短期","対象外")))))</f>
      </c>
      <c r="DC2494" s="2909">
        <f>IF($A2494="","",IF($AB2494&amp;""='DB_設定'!$C$4,1,0))</f>
      </c>
    </row>
    <row r="2495">
      <c r="DB2495" s="2909">
        <f>IF($A2495="","",IF($AH2495=20,IF(AND(OR($A2495=21,$A2495=215),$AJ2495=10),"①病院一般",IF(AND($A2495=31,$AJ2495=41),"②病院短期","対象外")),IF($AJ2495=30,"③特定消防",IF(AND(OR($A2495=21,$A2495=215),$AJ2495=10),"④一般",IF(AND($A2495=31,$AJ2495=41),"⑤短期","対象外")))))</f>
      </c>
      <c r="DC2495" s="2909">
        <f>IF($A2495="","",IF($AB2495&amp;""='DB_設定'!$C$4,1,0))</f>
      </c>
    </row>
    <row r="2496">
      <c r="DB2496" s="2909">
        <f>IF($A2496="","",IF($AH2496=20,IF(AND(OR($A2496=21,$A2496=215),$AJ2496=10),"①病院一般",IF(AND($A2496=31,$AJ2496=41),"②病院短期","対象外")),IF($AJ2496=30,"③特定消防",IF(AND(OR($A2496=21,$A2496=215),$AJ2496=10),"④一般",IF(AND($A2496=31,$AJ2496=41),"⑤短期","対象外")))))</f>
      </c>
      <c r="DC2496" s="2909">
        <f>IF($A2496="","",IF($AB2496&amp;""='DB_設定'!$C$4,1,0))</f>
      </c>
    </row>
    <row r="2497">
      <c r="DB2497" s="2909">
        <f>IF($A2497="","",IF($AH2497=20,IF(AND(OR($A2497=21,$A2497=215),$AJ2497=10),"①病院一般",IF(AND($A2497=31,$AJ2497=41),"②病院短期","対象外")),IF($AJ2497=30,"③特定消防",IF(AND(OR($A2497=21,$A2497=215),$AJ2497=10),"④一般",IF(AND($A2497=31,$AJ2497=41),"⑤短期","対象外")))))</f>
      </c>
      <c r="DC2497" s="2909">
        <f>IF($A2497="","",IF($AB2497&amp;""='DB_設定'!$C$4,1,0))</f>
      </c>
    </row>
    <row r="2498">
      <c r="DB2498" s="2909">
        <f>IF($A2498="","",IF($AH2498=20,IF(AND(OR($A2498=21,$A2498=215),$AJ2498=10),"①病院一般",IF(AND($A2498=31,$AJ2498=41),"②病院短期","対象外")),IF($AJ2498=30,"③特定消防",IF(AND(OR($A2498=21,$A2498=215),$AJ2498=10),"④一般",IF(AND($A2498=31,$AJ2498=41),"⑤短期","対象外")))))</f>
      </c>
      <c r="DC2498" s="2909">
        <f>IF($A2498="","",IF($AB2498&amp;""='DB_設定'!$C$4,1,0))</f>
      </c>
    </row>
    <row r="2499">
      <c r="DB2499" s="2909">
        <f>IF($A2499="","",IF($AH2499=20,IF(AND(OR($A2499=21,$A2499=215),$AJ2499=10),"①病院一般",IF(AND($A2499=31,$AJ2499=41),"②病院短期","対象外")),IF($AJ2499=30,"③特定消防",IF(AND(OR($A2499=21,$A2499=215),$AJ2499=10),"④一般",IF(AND($A2499=31,$AJ2499=41),"⑤短期","対象外")))))</f>
      </c>
      <c r="DC2499" s="2909">
        <f>IF($A2499="","",IF($AB2499&amp;""='DB_設定'!$C$4,1,0))</f>
      </c>
    </row>
    <row r="2500">
      <c r="DB2500" s="2909">
        <f>IF($A2500="","",IF($AH2500=20,IF(AND(OR($A2500=21,$A2500=215),$AJ2500=10),"①病院一般",IF(AND($A2500=31,$AJ2500=41),"②病院短期","対象外")),IF($AJ2500=30,"③特定消防",IF(AND(OR($A2500=21,$A2500=215),$AJ2500=10),"④一般",IF(AND($A2500=31,$AJ2500=41),"⑤短期","対象外")))))</f>
      </c>
      <c r="DC2500" s="2909">
        <f>IF($A2500="","",IF($AB2500&amp;""='DB_設定'!$C$4,1,0))</f>
      </c>
    </row>
    <row r="2501">
      <c r="DB2501" s="2909">
        <f>IF($A2501="","",IF($AH2501=20,IF(AND(OR($A2501=21,$A2501=215),$AJ2501=10),"①病院一般",IF(AND($A2501=31,$AJ2501=41),"②病院短期","対象外")),IF($AJ2501=30,"③特定消防",IF(AND(OR($A2501=21,$A2501=215),$AJ2501=10),"④一般",IF(AND($A2501=31,$AJ2501=41),"⑤短期","対象外")))))</f>
      </c>
      <c r="DC2501" s="2909">
        <f>IF($A2501="","",IF($AB2501&amp;""='DB_設定'!$C$4,1,0))</f>
      </c>
    </row>
    <row r="2502">
      <c r="DB2502" s="2909">
        <f>IF($A2502="","",IF($AH2502=20,IF(AND(OR($A2502=21,$A2502=215),$AJ2502=10),"①病院一般",IF(AND($A2502=31,$AJ2502=41),"②病院短期","対象外")),IF($AJ2502=30,"③特定消防",IF(AND(OR($A2502=21,$A2502=215),$AJ2502=10),"④一般",IF(AND($A2502=31,$AJ2502=41),"⑤短期","対象外")))))</f>
      </c>
      <c r="DC2502" s="2909">
        <f>IF($A2502="","",IF($AB2502&amp;""='DB_設定'!$C$4,1,0))</f>
      </c>
    </row>
    <row r="2503">
      <c r="DB2503" s="2909">
        <f>IF($A2503="","",IF($AH2503=20,IF(AND(OR($A2503=21,$A2503=215),$AJ2503=10),"①病院一般",IF(AND($A2503=31,$AJ2503=41),"②病院短期","対象外")),IF($AJ2503=30,"③特定消防",IF(AND(OR($A2503=21,$A2503=215),$AJ2503=10),"④一般",IF(AND($A2503=31,$AJ2503=41),"⑤短期","対象外")))))</f>
      </c>
      <c r="DC2503" s="2909">
        <f>IF($A2503="","",IF($AB2503&amp;""='DB_設定'!$C$4,1,0))</f>
      </c>
    </row>
    <row r="2504">
      <c r="DB2504" s="2909">
        <f>IF($A2504="","",IF($AH2504=20,IF(AND(OR($A2504=21,$A2504=215),$AJ2504=10),"①病院一般",IF(AND($A2504=31,$AJ2504=41),"②病院短期","対象外")),IF($AJ2504=30,"③特定消防",IF(AND(OR($A2504=21,$A2504=215),$AJ2504=10),"④一般",IF(AND($A2504=31,$AJ2504=41),"⑤短期","対象外")))))</f>
      </c>
      <c r="DC2504" s="2909">
        <f>IF($A2504="","",IF($AB2504&amp;""='DB_設定'!$C$4,1,0))</f>
      </c>
    </row>
    <row r="2505">
      <c r="DB2505" s="2909">
        <f>IF($A2505="","",IF($AH2505=20,IF(AND(OR($A2505=21,$A2505=215),$AJ2505=10),"①病院一般",IF(AND($A2505=31,$AJ2505=41),"②病院短期","対象外")),IF($AJ2505=30,"③特定消防",IF(AND(OR($A2505=21,$A2505=215),$AJ2505=10),"④一般",IF(AND($A2505=31,$AJ2505=41),"⑤短期","対象外")))))</f>
      </c>
      <c r="DC2505" s="2909">
        <f>IF($A2505="","",IF($AB2505&amp;""='DB_設定'!$C$4,1,0))</f>
      </c>
    </row>
    <row r="2506">
      <c r="DB2506" s="2909">
        <f>IF($A2506="","",IF($AH2506=20,IF(AND(OR($A2506=21,$A2506=215),$AJ2506=10),"①病院一般",IF(AND($A2506=31,$AJ2506=41),"②病院短期","対象外")),IF($AJ2506=30,"③特定消防",IF(AND(OR($A2506=21,$A2506=215),$AJ2506=10),"④一般",IF(AND($A2506=31,$AJ2506=41),"⑤短期","対象外")))))</f>
      </c>
      <c r="DC2506" s="2909">
        <f>IF($A2506="","",IF($AB2506&amp;""='DB_設定'!$C$4,1,0))</f>
      </c>
    </row>
    <row r="2507">
      <c r="DB2507" s="2909">
        <f>IF($A2507="","",IF($AH2507=20,IF(AND(OR($A2507=21,$A2507=215),$AJ2507=10),"①病院一般",IF(AND($A2507=31,$AJ2507=41),"②病院短期","対象外")),IF($AJ2507=30,"③特定消防",IF(AND(OR($A2507=21,$A2507=215),$AJ2507=10),"④一般",IF(AND($A2507=31,$AJ2507=41),"⑤短期","対象外")))))</f>
      </c>
      <c r="DC2507" s="2909">
        <f>IF($A2507="","",IF($AB2507&amp;""='DB_設定'!$C$4,1,0))</f>
      </c>
    </row>
    <row r="2508">
      <c r="DB2508" s="2909">
        <f>IF($A2508="","",IF($AH2508=20,IF(AND(OR($A2508=21,$A2508=215),$AJ2508=10),"①病院一般",IF(AND($A2508=31,$AJ2508=41),"②病院短期","対象外")),IF($AJ2508=30,"③特定消防",IF(AND(OR($A2508=21,$A2508=215),$AJ2508=10),"④一般",IF(AND($A2508=31,$AJ2508=41),"⑤短期","対象外")))))</f>
      </c>
      <c r="DC2508" s="2909">
        <f>IF($A2508="","",IF($AB2508&amp;""='DB_設定'!$C$4,1,0))</f>
      </c>
    </row>
    <row r="2509">
      <c r="DB2509" s="2909">
        <f>IF($A2509="","",IF($AH2509=20,IF(AND(OR($A2509=21,$A2509=215),$AJ2509=10),"①病院一般",IF(AND($A2509=31,$AJ2509=41),"②病院短期","対象外")),IF($AJ2509=30,"③特定消防",IF(AND(OR($A2509=21,$A2509=215),$AJ2509=10),"④一般",IF(AND($A2509=31,$AJ2509=41),"⑤短期","対象外")))))</f>
      </c>
      <c r="DC2509" s="2909">
        <f>IF($A2509="","",IF($AB2509&amp;""='DB_設定'!$C$4,1,0))</f>
      </c>
    </row>
    <row r="2510">
      <c r="DB2510" s="2909">
        <f>IF($A2510="","",IF($AH2510=20,IF(AND(OR($A2510=21,$A2510=215),$AJ2510=10),"①病院一般",IF(AND($A2510=31,$AJ2510=41),"②病院短期","対象外")),IF($AJ2510=30,"③特定消防",IF(AND(OR($A2510=21,$A2510=215),$AJ2510=10),"④一般",IF(AND($A2510=31,$AJ2510=41),"⑤短期","対象外")))))</f>
      </c>
      <c r="DC2510" s="2909">
        <f>IF($A2510="","",IF($AB2510&amp;""='DB_設定'!$C$4,1,0))</f>
      </c>
    </row>
    <row r="2511">
      <c r="DB2511" s="2909">
        <f>IF($A2511="","",IF($AH2511=20,IF(AND(OR($A2511=21,$A2511=215),$AJ2511=10),"①病院一般",IF(AND($A2511=31,$AJ2511=41),"②病院短期","対象外")),IF($AJ2511=30,"③特定消防",IF(AND(OR($A2511=21,$A2511=215),$AJ2511=10),"④一般",IF(AND($A2511=31,$AJ2511=41),"⑤短期","対象外")))))</f>
      </c>
      <c r="DC2511" s="2909">
        <f>IF($A2511="","",IF($AB2511&amp;""='DB_設定'!$C$4,1,0))</f>
      </c>
    </row>
    <row r="2512">
      <c r="DB2512" s="2909">
        <f>IF($A2512="","",IF($AH2512=20,IF(AND(OR($A2512=21,$A2512=215),$AJ2512=10),"①病院一般",IF(AND($A2512=31,$AJ2512=41),"②病院短期","対象外")),IF($AJ2512=30,"③特定消防",IF(AND(OR($A2512=21,$A2512=215),$AJ2512=10),"④一般",IF(AND($A2512=31,$AJ2512=41),"⑤短期","対象外")))))</f>
      </c>
      <c r="DC2512" s="2909">
        <f>IF($A2512="","",IF($AB2512&amp;""='DB_設定'!$C$4,1,0))</f>
      </c>
    </row>
    <row r="2513">
      <c r="DB2513" s="2909">
        <f>IF($A2513="","",IF($AH2513=20,IF(AND(OR($A2513=21,$A2513=215),$AJ2513=10),"①病院一般",IF(AND($A2513=31,$AJ2513=41),"②病院短期","対象外")),IF($AJ2513=30,"③特定消防",IF(AND(OR($A2513=21,$A2513=215),$AJ2513=10),"④一般",IF(AND($A2513=31,$AJ2513=41),"⑤短期","対象外")))))</f>
      </c>
      <c r="DC2513" s="2909">
        <f>IF($A2513="","",IF($AB2513&amp;""='DB_設定'!$C$4,1,0))</f>
      </c>
    </row>
    <row r="2514">
      <c r="DB2514" s="2909">
        <f>IF($A2514="","",IF($AH2514=20,IF(AND(OR($A2514=21,$A2514=215),$AJ2514=10),"①病院一般",IF(AND($A2514=31,$AJ2514=41),"②病院短期","対象外")),IF($AJ2514=30,"③特定消防",IF(AND(OR($A2514=21,$A2514=215),$AJ2514=10),"④一般",IF(AND($A2514=31,$AJ2514=41),"⑤短期","対象外")))))</f>
      </c>
      <c r="DC2514" s="2909">
        <f>IF($A2514="","",IF($AB2514&amp;""='DB_設定'!$C$4,1,0))</f>
      </c>
    </row>
    <row r="2515">
      <c r="DB2515" s="2909">
        <f>IF($A2515="","",IF($AH2515=20,IF(AND(OR($A2515=21,$A2515=215),$AJ2515=10),"①病院一般",IF(AND($A2515=31,$AJ2515=41),"②病院短期","対象外")),IF($AJ2515=30,"③特定消防",IF(AND(OR($A2515=21,$A2515=215),$AJ2515=10),"④一般",IF(AND($A2515=31,$AJ2515=41),"⑤短期","対象外")))))</f>
      </c>
      <c r="DC2515" s="2909">
        <f>IF($A2515="","",IF($AB2515&amp;""='DB_設定'!$C$4,1,0))</f>
      </c>
    </row>
    <row r="2516">
      <c r="DB2516" s="2909">
        <f>IF($A2516="","",IF($AH2516=20,IF(AND(OR($A2516=21,$A2516=215),$AJ2516=10),"①病院一般",IF(AND($A2516=31,$AJ2516=41),"②病院短期","対象外")),IF($AJ2516=30,"③特定消防",IF(AND(OR($A2516=21,$A2516=215),$AJ2516=10),"④一般",IF(AND($A2516=31,$AJ2516=41),"⑤短期","対象外")))))</f>
      </c>
      <c r="DC2516" s="2909">
        <f>IF($A2516="","",IF($AB2516&amp;""='DB_設定'!$C$4,1,0))</f>
      </c>
    </row>
    <row r="2517">
      <c r="DB2517" s="2909">
        <f>IF($A2517="","",IF($AH2517=20,IF(AND(OR($A2517=21,$A2517=215),$AJ2517=10),"①病院一般",IF(AND($A2517=31,$AJ2517=41),"②病院短期","対象外")),IF($AJ2517=30,"③特定消防",IF(AND(OR($A2517=21,$A2517=215),$AJ2517=10),"④一般",IF(AND($A2517=31,$AJ2517=41),"⑤短期","対象外")))))</f>
      </c>
      <c r="DC2517" s="2909">
        <f>IF($A2517="","",IF($AB2517&amp;""='DB_設定'!$C$4,1,0))</f>
      </c>
    </row>
    <row r="2518">
      <c r="DB2518" s="2909">
        <f>IF($A2518="","",IF($AH2518=20,IF(AND(OR($A2518=21,$A2518=215),$AJ2518=10),"①病院一般",IF(AND($A2518=31,$AJ2518=41),"②病院短期","対象外")),IF($AJ2518=30,"③特定消防",IF(AND(OR($A2518=21,$A2518=215),$AJ2518=10),"④一般",IF(AND($A2518=31,$AJ2518=41),"⑤短期","対象外")))))</f>
      </c>
      <c r="DC2518" s="2909">
        <f>IF($A2518="","",IF($AB2518&amp;""='DB_設定'!$C$4,1,0))</f>
      </c>
    </row>
    <row r="2519">
      <c r="DB2519" s="2909">
        <f>IF($A2519="","",IF($AH2519=20,IF(AND(OR($A2519=21,$A2519=215),$AJ2519=10),"①病院一般",IF(AND($A2519=31,$AJ2519=41),"②病院短期","対象外")),IF($AJ2519=30,"③特定消防",IF(AND(OR($A2519=21,$A2519=215),$AJ2519=10),"④一般",IF(AND($A2519=31,$AJ2519=41),"⑤短期","対象外")))))</f>
      </c>
      <c r="DC2519" s="2909">
        <f>IF($A2519="","",IF($AB2519&amp;""='DB_設定'!$C$4,1,0))</f>
      </c>
    </row>
    <row r="2520">
      <c r="DB2520" s="2909">
        <f>IF($A2520="","",IF($AH2520=20,IF(AND(OR($A2520=21,$A2520=215),$AJ2520=10),"①病院一般",IF(AND($A2520=31,$AJ2520=41),"②病院短期","対象外")),IF($AJ2520=30,"③特定消防",IF(AND(OR($A2520=21,$A2520=215),$AJ2520=10),"④一般",IF(AND($A2520=31,$AJ2520=41),"⑤短期","対象外")))))</f>
      </c>
      <c r="DC2520" s="2909">
        <f>IF($A2520="","",IF($AB2520&amp;""='DB_設定'!$C$4,1,0))</f>
      </c>
    </row>
    <row r="2521">
      <c r="DB2521" s="2909">
        <f>IF($A2521="","",IF($AH2521=20,IF(AND(OR($A2521=21,$A2521=215),$AJ2521=10),"①病院一般",IF(AND($A2521=31,$AJ2521=41),"②病院短期","対象外")),IF($AJ2521=30,"③特定消防",IF(AND(OR($A2521=21,$A2521=215),$AJ2521=10),"④一般",IF(AND($A2521=31,$AJ2521=41),"⑤短期","対象外")))))</f>
      </c>
      <c r="DC2521" s="2909">
        <f>IF($A2521="","",IF($AB2521&amp;""='DB_設定'!$C$4,1,0))</f>
      </c>
    </row>
    <row r="2522">
      <c r="DB2522" s="2909">
        <f>IF($A2522="","",IF($AH2522=20,IF(AND(OR($A2522=21,$A2522=215),$AJ2522=10),"①病院一般",IF(AND($A2522=31,$AJ2522=41),"②病院短期","対象外")),IF($AJ2522=30,"③特定消防",IF(AND(OR($A2522=21,$A2522=215),$AJ2522=10),"④一般",IF(AND($A2522=31,$AJ2522=41),"⑤短期","対象外")))))</f>
      </c>
      <c r="DC2522" s="2909">
        <f>IF($A2522="","",IF($AB2522&amp;""='DB_設定'!$C$4,1,0))</f>
      </c>
    </row>
    <row r="2523">
      <c r="DB2523" s="2909">
        <f>IF($A2523="","",IF($AH2523=20,IF(AND(OR($A2523=21,$A2523=215),$AJ2523=10),"①病院一般",IF(AND($A2523=31,$AJ2523=41),"②病院短期","対象外")),IF($AJ2523=30,"③特定消防",IF(AND(OR($A2523=21,$A2523=215),$AJ2523=10),"④一般",IF(AND($A2523=31,$AJ2523=41),"⑤短期","対象外")))))</f>
      </c>
      <c r="DC2523" s="2909">
        <f>IF($A2523="","",IF($AB2523&amp;""='DB_設定'!$C$4,1,0))</f>
      </c>
    </row>
    <row r="2524">
      <c r="DB2524" s="2909">
        <f>IF($A2524="","",IF($AH2524=20,IF(AND(OR($A2524=21,$A2524=215),$AJ2524=10),"①病院一般",IF(AND($A2524=31,$AJ2524=41),"②病院短期","対象外")),IF($AJ2524=30,"③特定消防",IF(AND(OR($A2524=21,$A2524=215),$AJ2524=10),"④一般",IF(AND($A2524=31,$AJ2524=41),"⑤短期","対象外")))))</f>
      </c>
      <c r="DC2524" s="2909">
        <f>IF($A2524="","",IF($AB2524&amp;""='DB_設定'!$C$4,1,0))</f>
      </c>
    </row>
    <row r="2525">
      <c r="DB2525" s="2909">
        <f>IF($A2525="","",IF($AH2525=20,IF(AND(OR($A2525=21,$A2525=215),$AJ2525=10),"①病院一般",IF(AND($A2525=31,$AJ2525=41),"②病院短期","対象外")),IF($AJ2525=30,"③特定消防",IF(AND(OR($A2525=21,$A2525=215),$AJ2525=10),"④一般",IF(AND($A2525=31,$AJ2525=41),"⑤短期","対象外")))))</f>
      </c>
      <c r="DC2525" s="2909">
        <f>IF($A2525="","",IF($AB2525&amp;""='DB_設定'!$C$4,1,0))</f>
      </c>
    </row>
    <row r="2526">
      <c r="DB2526" s="2909">
        <f>IF($A2526="","",IF($AH2526=20,IF(AND(OR($A2526=21,$A2526=215),$AJ2526=10),"①病院一般",IF(AND($A2526=31,$AJ2526=41),"②病院短期","対象外")),IF($AJ2526=30,"③特定消防",IF(AND(OR($A2526=21,$A2526=215),$AJ2526=10),"④一般",IF(AND($A2526=31,$AJ2526=41),"⑤短期","対象外")))))</f>
      </c>
      <c r="DC2526" s="2909">
        <f>IF($A2526="","",IF($AB2526&amp;""='DB_設定'!$C$4,1,0))</f>
      </c>
    </row>
    <row r="2527">
      <c r="DB2527" s="2909">
        <f>IF($A2527="","",IF($AH2527=20,IF(AND(OR($A2527=21,$A2527=215),$AJ2527=10),"①病院一般",IF(AND($A2527=31,$AJ2527=41),"②病院短期","対象外")),IF($AJ2527=30,"③特定消防",IF(AND(OR($A2527=21,$A2527=215),$AJ2527=10),"④一般",IF(AND($A2527=31,$AJ2527=41),"⑤短期","対象外")))))</f>
      </c>
      <c r="DC2527" s="2909">
        <f>IF($A2527="","",IF($AB2527&amp;""='DB_設定'!$C$4,1,0))</f>
      </c>
    </row>
    <row r="2528">
      <c r="DB2528" s="2909">
        <f>IF($A2528="","",IF($AH2528=20,IF(AND(OR($A2528=21,$A2528=215),$AJ2528=10),"①病院一般",IF(AND($A2528=31,$AJ2528=41),"②病院短期","対象外")),IF($AJ2528=30,"③特定消防",IF(AND(OR($A2528=21,$A2528=215),$AJ2528=10),"④一般",IF(AND($A2528=31,$AJ2528=41),"⑤短期","対象外")))))</f>
      </c>
      <c r="DC2528" s="2909">
        <f>IF($A2528="","",IF($AB2528&amp;""='DB_設定'!$C$4,1,0))</f>
      </c>
    </row>
    <row r="2529">
      <c r="DB2529" s="2909">
        <f>IF($A2529="","",IF($AH2529=20,IF(AND(OR($A2529=21,$A2529=215),$AJ2529=10),"①病院一般",IF(AND($A2529=31,$AJ2529=41),"②病院短期","対象外")),IF($AJ2529=30,"③特定消防",IF(AND(OR($A2529=21,$A2529=215),$AJ2529=10),"④一般",IF(AND($A2529=31,$AJ2529=41),"⑤短期","対象外")))))</f>
      </c>
      <c r="DC2529" s="2909">
        <f>IF($A2529="","",IF($AB2529&amp;""='DB_設定'!$C$4,1,0))</f>
      </c>
    </row>
    <row r="2530">
      <c r="DB2530" s="2909">
        <f>IF($A2530="","",IF($AH2530=20,IF(AND(OR($A2530=21,$A2530=215),$AJ2530=10),"①病院一般",IF(AND($A2530=31,$AJ2530=41),"②病院短期","対象外")),IF($AJ2530=30,"③特定消防",IF(AND(OR($A2530=21,$A2530=215),$AJ2530=10),"④一般",IF(AND($A2530=31,$AJ2530=41),"⑤短期","対象外")))))</f>
      </c>
      <c r="DC2530" s="2909">
        <f>IF($A2530="","",IF($AB2530&amp;""='DB_設定'!$C$4,1,0))</f>
      </c>
    </row>
    <row r="2531">
      <c r="DB2531" s="2909">
        <f>IF($A2531="","",IF($AH2531=20,IF(AND(OR($A2531=21,$A2531=215),$AJ2531=10),"①病院一般",IF(AND($A2531=31,$AJ2531=41),"②病院短期","対象外")),IF($AJ2531=30,"③特定消防",IF(AND(OR($A2531=21,$A2531=215),$AJ2531=10),"④一般",IF(AND($A2531=31,$AJ2531=41),"⑤短期","対象外")))))</f>
      </c>
      <c r="DC2531" s="2909">
        <f>IF($A2531="","",IF($AB2531&amp;""='DB_設定'!$C$4,1,0))</f>
      </c>
    </row>
    <row r="2532">
      <c r="DB2532" s="2909">
        <f>IF($A2532="","",IF($AH2532=20,IF(AND(OR($A2532=21,$A2532=215),$AJ2532=10),"①病院一般",IF(AND($A2532=31,$AJ2532=41),"②病院短期","対象外")),IF($AJ2532=30,"③特定消防",IF(AND(OR($A2532=21,$A2532=215),$AJ2532=10),"④一般",IF(AND($A2532=31,$AJ2532=41),"⑤短期","対象外")))))</f>
      </c>
      <c r="DC2532" s="2909">
        <f>IF($A2532="","",IF($AB2532&amp;""='DB_設定'!$C$4,1,0))</f>
      </c>
    </row>
    <row r="2533">
      <c r="DB2533" s="2909">
        <f>IF($A2533="","",IF($AH2533=20,IF(AND(OR($A2533=21,$A2533=215),$AJ2533=10),"①病院一般",IF(AND($A2533=31,$AJ2533=41),"②病院短期","対象外")),IF($AJ2533=30,"③特定消防",IF(AND(OR($A2533=21,$A2533=215),$AJ2533=10),"④一般",IF(AND($A2533=31,$AJ2533=41),"⑤短期","対象外")))))</f>
      </c>
      <c r="DC2533" s="2909">
        <f>IF($A2533="","",IF($AB2533&amp;""='DB_設定'!$C$4,1,0))</f>
      </c>
    </row>
    <row r="2534">
      <c r="DB2534" s="2909">
        <f>IF($A2534="","",IF($AH2534=20,IF(AND(OR($A2534=21,$A2534=215),$AJ2534=10),"①病院一般",IF(AND($A2534=31,$AJ2534=41),"②病院短期","対象外")),IF($AJ2534=30,"③特定消防",IF(AND(OR($A2534=21,$A2534=215),$AJ2534=10),"④一般",IF(AND($A2534=31,$AJ2534=41),"⑤短期","対象外")))))</f>
      </c>
      <c r="DC2534" s="2909">
        <f>IF($A2534="","",IF($AB2534&amp;""='DB_設定'!$C$4,1,0))</f>
      </c>
    </row>
    <row r="2535">
      <c r="DB2535" s="2909">
        <f>IF($A2535="","",IF($AH2535=20,IF(AND(OR($A2535=21,$A2535=215),$AJ2535=10),"①病院一般",IF(AND($A2535=31,$AJ2535=41),"②病院短期","対象外")),IF($AJ2535=30,"③特定消防",IF(AND(OR($A2535=21,$A2535=215),$AJ2535=10),"④一般",IF(AND($A2535=31,$AJ2535=41),"⑤短期","対象外")))))</f>
      </c>
      <c r="DC2535" s="2909">
        <f>IF($A2535="","",IF($AB2535&amp;""='DB_設定'!$C$4,1,0))</f>
      </c>
    </row>
    <row r="2536">
      <c r="DB2536" s="2909">
        <f>IF($A2536="","",IF($AH2536=20,IF(AND(OR($A2536=21,$A2536=215),$AJ2536=10),"①病院一般",IF(AND($A2536=31,$AJ2536=41),"②病院短期","対象外")),IF($AJ2536=30,"③特定消防",IF(AND(OR($A2536=21,$A2536=215),$AJ2536=10),"④一般",IF(AND($A2536=31,$AJ2536=41),"⑤短期","対象外")))))</f>
      </c>
      <c r="DC2536" s="2909">
        <f>IF($A2536="","",IF($AB2536&amp;""='DB_設定'!$C$4,1,0))</f>
      </c>
    </row>
    <row r="2537">
      <c r="DB2537" s="2909">
        <f>IF($A2537="","",IF($AH2537=20,IF(AND(OR($A2537=21,$A2537=215),$AJ2537=10),"①病院一般",IF(AND($A2537=31,$AJ2537=41),"②病院短期","対象外")),IF($AJ2537=30,"③特定消防",IF(AND(OR($A2537=21,$A2537=215),$AJ2537=10),"④一般",IF(AND($A2537=31,$AJ2537=41),"⑤短期","対象外")))))</f>
      </c>
      <c r="DC2537" s="2909">
        <f>IF($A2537="","",IF($AB2537&amp;""='DB_設定'!$C$4,1,0))</f>
      </c>
    </row>
    <row r="2538">
      <c r="DB2538" s="2909">
        <f>IF($A2538="","",IF($AH2538=20,IF(AND(OR($A2538=21,$A2538=215),$AJ2538=10),"①病院一般",IF(AND($A2538=31,$AJ2538=41),"②病院短期","対象外")),IF($AJ2538=30,"③特定消防",IF(AND(OR($A2538=21,$A2538=215),$AJ2538=10),"④一般",IF(AND($A2538=31,$AJ2538=41),"⑤短期","対象外")))))</f>
      </c>
      <c r="DC2538" s="2909">
        <f>IF($A2538="","",IF($AB2538&amp;""='DB_設定'!$C$4,1,0))</f>
      </c>
    </row>
    <row r="2539">
      <c r="DB2539" s="2909">
        <f>IF($A2539="","",IF($AH2539=20,IF(AND(OR($A2539=21,$A2539=215),$AJ2539=10),"①病院一般",IF(AND($A2539=31,$AJ2539=41),"②病院短期","対象外")),IF($AJ2539=30,"③特定消防",IF(AND(OR($A2539=21,$A2539=215),$AJ2539=10),"④一般",IF(AND($A2539=31,$AJ2539=41),"⑤短期","対象外")))))</f>
      </c>
      <c r="DC2539" s="2909">
        <f>IF($A2539="","",IF($AB2539&amp;""='DB_設定'!$C$4,1,0))</f>
      </c>
    </row>
    <row r="2540">
      <c r="DB2540" s="2909">
        <f>IF($A2540="","",IF($AH2540=20,IF(AND(OR($A2540=21,$A2540=215),$AJ2540=10),"①病院一般",IF(AND($A2540=31,$AJ2540=41),"②病院短期","対象外")),IF($AJ2540=30,"③特定消防",IF(AND(OR($A2540=21,$A2540=215),$AJ2540=10),"④一般",IF(AND($A2540=31,$AJ2540=41),"⑤短期","対象外")))))</f>
      </c>
      <c r="DC2540" s="2909">
        <f>IF($A2540="","",IF($AB2540&amp;""='DB_設定'!$C$4,1,0))</f>
      </c>
    </row>
    <row r="2541">
      <c r="DB2541" s="2909">
        <f>IF($A2541="","",IF($AH2541=20,IF(AND(OR($A2541=21,$A2541=215),$AJ2541=10),"①病院一般",IF(AND($A2541=31,$AJ2541=41),"②病院短期","対象外")),IF($AJ2541=30,"③特定消防",IF(AND(OR($A2541=21,$A2541=215),$AJ2541=10),"④一般",IF(AND($A2541=31,$AJ2541=41),"⑤短期","対象外")))))</f>
      </c>
      <c r="DC2541" s="2909">
        <f>IF($A2541="","",IF($AB2541&amp;""='DB_設定'!$C$4,1,0))</f>
      </c>
    </row>
    <row r="2542">
      <c r="DB2542" s="2909">
        <f>IF($A2542="","",IF($AH2542=20,IF(AND(OR($A2542=21,$A2542=215),$AJ2542=10),"①病院一般",IF(AND($A2542=31,$AJ2542=41),"②病院短期","対象外")),IF($AJ2542=30,"③特定消防",IF(AND(OR($A2542=21,$A2542=215),$AJ2542=10),"④一般",IF(AND($A2542=31,$AJ2542=41),"⑤短期","対象外")))))</f>
      </c>
      <c r="DC2542" s="2909">
        <f>IF($A2542="","",IF($AB2542&amp;""='DB_設定'!$C$4,1,0))</f>
      </c>
    </row>
    <row r="2543">
      <c r="DB2543" s="2909">
        <f>IF($A2543="","",IF($AH2543=20,IF(AND(OR($A2543=21,$A2543=215),$AJ2543=10),"①病院一般",IF(AND($A2543=31,$AJ2543=41),"②病院短期","対象外")),IF($AJ2543=30,"③特定消防",IF(AND(OR($A2543=21,$A2543=215),$AJ2543=10),"④一般",IF(AND($A2543=31,$AJ2543=41),"⑤短期","対象外")))))</f>
      </c>
      <c r="DC2543" s="2909">
        <f>IF($A2543="","",IF($AB2543&amp;""='DB_設定'!$C$4,1,0))</f>
      </c>
    </row>
    <row r="2544">
      <c r="DB2544" s="2909">
        <f>IF($A2544="","",IF($AH2544=20,IF(AND(OR($A2544=21,$A2544=215),$AJ2544=10),"①病院一般",IF(AND($A2544=31,$AJ2544=41),"②病院短期","対象外")),IF($AJ2544=30,"③特定消防",IF(AND(OR($A2544=21,$A2544=215),$AJ2544=10),"④一般",IF(AND($A2544=31,$AJ2544=41),"⑤短期","対象外")))))</f>
      </c>
      <c r="DC2544" s="2909">
        <f>IF($A2544="","",IF($AB2544&amp;""='DB_設定'!$C$4,1,0))</f>
      </c>
    </row>
    <row r="2545">
      <c r="DB2545" s="2909">
        <f>IF($A2545="","",IF($AH2545=20,IF(AND(OR($A2545=21,$A2545=215),$AJ2545=10),"①病院一般",IF(AND($A2545=31,$AJ2545=41),"②病院短期","対象外")),IF($AJ2545=30,"③特定消防",IF(AND(OR($A2545=21,$A2545=215),$AJ2545=10),"④一般",IF(AND($A2545=31,$AJ2545=41),"⑤短期","対象外")))))</f>
      </c>
      <c r="DC2545" s="2909">
        <f>IF($A2545="","",IF($AB2545&amp;""='DB_設定'!$C$4,1,0))</f>
      </c>
    </row>
    <row r="2546">
      <c r="DB2546" s="2909">
        <f>IF($A2546="","",IF($AH2546=20,IF(AND(OR($A2546=21,$A2546=215),$AJ2546=10),"①病院一般",IF(AND($A2546=31,$AJ2546=41),"②病院短期","対象外")),IF($AJ2546=30,"③特定消防",IF(AND(OR($A2546=21,$A2546=215),$AJ2546=10),"④一般",IF(AND($A2546=31,$AJ2546=41),"⑤短期","対象外")))))</f>
      </c>
      <c r="DC2546" s="2909">
        <f>IF($A2546="","",IF($AB2546&amp;""='DB_設定'!$C$4,1,0))</f>
      </c>
    </row>
    <row r="2547">
      <c r="DB2547" s="2909">
        <f>IF($A2547="","",IF($AH2547=20,IF(AND(OR($A2547=21,$A2547=215),$AJ2547=10),"①病院一般",IF(AND($A2547=31,$AJ2547=41),"②病院短期","対象外")),IF($AJ2547=30,"③特定消防",IF(AND(OR($A2547=21,$A2547=215),$AJ2547=10),"④一般",IF(AND($A2547=31,$AJ2547=41),"⑤短期","対象外")))))</f>
      </c>
      <c r="DC2547" s="2909">
        <f>IF($A2547="","",IF($AB2547&amp;""='DB_設定'!$C$4,1,0))</f>
      </c>
    </row>
    <row r="2548">
      <c r="DB2548" s="2909">
        <f>IF($A2548="","",IF($AH2548=20,IF(AND(OR($A2548=21,$A2548=215),$AJ2548=10),"①病院一般",IF(AND($A2548=31,$AJ2548=41),"②病院短期","対象外")),IF($AJ2548=30,"③特定消防",IF(AND(OR($A2548=21,$A2548=215),$AJ2548=10),"④一般",IF(AND($A2548=31,$AJ2548=41),"⑤短期","対象外")))))</f>
      </c>
      <c r="DC2548" s="2909">
        <f>IF($A2548="","",IF($AB2548&amp;""='DB_設定'!$C$4,1,0))</f>
      </c>
    </row>
    <row r="2549">
      <c r="DB2549" s="2909">
        <f>IF($A2549="","",IF($AH2549=20,IF(AND(OR($A2549=21,$A2549=215),$AJ2549=10),"①病院一般",IF(AND($A2549=31,$AJ2549=41),"②病院短期","対象外")),IF($AJ2549=30,"③特定消防",IF(AND(OR($A2549=21,$A2549=215),$AJ2549=10),"④一般",IF(AND($A2549=31,$AJ2549=41),"⑤短期","対象外")))))</f>
      </c>
      <c r="DC2549" s="2909">
        <f>IF($A2549="","",IF($AB2549&amp;""='DB_設定'!$C$4,1,0))</f>
      </c>
    </row>
    <row r="2550">
      <c r="DB2550" s="2909">
        <f>IF($A2550="","",IF($AH2550=20,IF(AND(OR($A2550=21,$A2550=215),$AJ2550=10),"①病院一般",IF(AND($A2550=31,$AJ2550=41),"②病院短期","対象外")),IF($AJ2550=30,"③特定消防",IF(AND(OR($A2550=21,$A2550=215),$AJ2550=10),"④一般",IF(AND($A2550=31,$AJ2550=41),"⑤短期","対象外")))))</f>
      </c>
      <c r="DC2550" s="2909">
        <f>IF($A2550="","",IF($AB2550&amp;""='DB_設定'!$C$4,1,0))</f>
      </c>
    </row>
    <row r="2551">
      <c r="DB2551" s="2909">
        <f>IF($A2551="","",IF($AH2551=20,IF(AND(OR($A2551=21,$A2551=215),$AJ2551=10),"①病院一般",IF(AND($A2551=31,$AJ2551=41),"②病院短期","対象外")),IF($AJ2551=30,"③特定消防",IF(AND(OR($A2551=21,$A2551=215),$AJ2551=10),"④一般",IF(AND($A2551=31,$AJ2551=41),"⑤短期","対象外")))))</f>
      </c>
      <c r="DC2551" s="2909">
        <f>IF($A2551="","",IF($AB2551&amp;""='DB_設定'!$C$4,1,0))</f>
      </c>
    </row>
    <row r="2552">
      <c r="DB2552" s="2909">
        <f>IF($A2552="","",IF($AH2552=20,IF(AND(OR($A2552=21,$A2552=215),$AJ2552=10),"①病院一般",IF(AND($A2552=31,$AJ2552=41),"②病院短期","対象外")),IF($AJ2552=30,"③特定消防",IF(AND(OR($A2552=21,$A2552=215),$AJ2552=10),"④一般",IF(AND($A2552=31,$AJ2552=41),"⑤短期","対象外")))))</f>
      </c>
      <c r="DC2552" s="2909">
        <f>IF($A2552="","",IF($AB2552&amp;""='DB_設定'!$C$4,1,0))</f>
      </c>
    </row>
    <row r="2553">
      <c r="DB2553" s="2909">
        <f>IF($A2553="","",IF($AH2553=20,IF(AND(OR($A2553=21,$A2553=215),$AJ2553=10),"①病院一般",IF(AND($A2553=31,$AJ2553=41),"②病院短期","対象外")),IF($AJ2553=30,"③特定消防",IF(AND(OR($A2553=21,$A2553=215),$AJ2553=10),"④一般",IF(AND($A2553=31,$AJ2553=41),"⑤短期","対象外")))))</f>
      </c>
      <c r="DC2553" s="2909">
        <f>IF($A2553="","",IF($AB2553&amp;""='DB_設定'!$C$4,1,0))</f>
      </c>
    </row>
    <row r="2554">
      <c r="DB2554" s="2909">
        <f>IF($A2554="","",IF($AH2554=20,IF(AND(OR($A2554=21,$A2554=215),$AJ2554=10),"①病院一般",IF(AND($A2554=31,$AJ2554=41),"②病院短期","対象外")),IF($AJ2554=30,"③特定消防",IF(AND(OR($A2554=21,$A2554=215),$AJ2554=10),"④一般",IF(AND($A2554=31,$AJ2554=41),"⑤短期","対象外")))))</f>
      </c>
      <c r="DC2554" s="2909">
        <f>IF($A2554="","",IF($AB2554&amp;""='DB_設定'!$C$4,1,0))</f>
      </c>
    </row>
    <row r="2555">
      <c r="DB2555" s="2909">
        <f>IF($A2555="","",IF($AH2555=20,IF(AND(OR($A2555=21,$A2555=215),$AJ2555=10),"①病院一般",IF(AND($A2555=31,$AJ2555=41),"②病院短期","対象外")),IF($AJ2555=30,"③特定消防",IF(AND(OR($A2555=21,$A2555=215),$AJ2555=10),"④一般",IF(AND($A2555=31,$AJ2555=41),"⑤短期","対象外")))))</f>
      </c>
      <c r="DC2555" s="2909">
        <f>IF($A2555="","",IF($AB2555&amp;""='DB_設定'!$C$4,1,0))</f>
      </c>
    </row>
    <row r="2556">
      <c r="DB2556" s="2909">
        <f>IF($A2556="","",IF($AH2556=20,IF(AND(OR($A2556=21,$A2556=215),$AJ2556=10),"①病院一般",IF(AND($A2556=31,$AJ2556=41),"②病院短期","対象外")),IF($AJ2556=30,"③特定消防",IF(AND(OR($A2556=21,$A2556=215),$AJ2556=10),"④一般",IF(AND($A2556=31,$AJ2556=41),"⑤短期","対象外")))))</f>
      </c>
      <c r="DC2556" s="2909">
        <f>IF($A2556="","",IF($AB2556&amp;""='DB_設定'!$C$4,1,0))</f>
      </c>
    </row>
    <row r="2557">
      <c r="DB2557" s="2909">
        <f>IF($A2557="","",IF($AH2557=20,IF(AND(OR($A2557=21,$A2557=215),$AJ2557=10),"①病院一般",IF(AND($A2557=31,$AJ2557=41),"②病院短期","対象外")),IF($AJ2557=30,"③特定消防",IF(AND(OR($A2557=21,$A2557=215),$AJ2557=10),"④一般",IF(AND($A2557=31,$AJ2557=41),"⑤短期","対象外")))))</f>
      </c>
      <c r="DC2557" s="2909">
        <f>IF($A2557="","",IF($AB2557&amp;""='DB_設定'!$C$4,1,0))</f>
      </c>
    </row>
    <row r="2558">
      <c r="DB2558" s="2909">
        <f>IF($A2558="","",IF($AH2558=20,IF(AND(OR($A2558=21,$A2558=215),$AJ2558=10),"①病院一般",IF(AND($A2558=31,$AJ2558=41),"②病院短期","対象外")),IF($AJ2558=30,"③特定消防",IF(AND(OR($A2558=21,$A2558=215),$AJ2558=10),"④一般",IF(AND($A2558=31,$AJ2558=41),"⑤短期","対象外")))))</f>
      </c>
      <c r="DC2558" s="2909">
        <f>IF($A2558="","",IF($AB2558&amp;""='DB_設定'!$C$4,1,0))</f>
      </c>
    </row>
    <row r="2559">
      <c r="DB2559" s="2909">
        <f>IF($A2559="","",IF($AH2559=20,IF(AND(OR($A2559=21,$A2559=215),$AJ2559=10),"①病院一般",IF(AND($A2559=31,$AJ2559=41),"②病院短期","対象外")),IF($AJ2559=30,"③特定消防",IF(AND(OR($A2559=21,$A2559=215),$AJ2559=10),"④一般",IF(AND($A2559=31,$AJ2559=41),"⑤短期","対象外")))))</f>
      </c>
      <c r="DC2559" s="2909">
        <f>IF($A2559="","",IF($AB2559&amp;""='DB_設定'!$C$4,1,0))</f>
      </c>
    </row>
    <row r="2560">
      <c r="DB2560" s="2909">
        <f>IF($A2560="","",IF($AH2560=20,IF(AND(OR($A2560=21,$A2560=215),$AJ2560=10),"①病院一般",IF(AND($A2560=31,$AJ2560=41),"②病院短期","対象外")),IF($AJ2560=30,"③特定消防",IF(AND(OR($A2560=21,$A2560=215),$AJ2560=10),"④一般",IF(AND($A2560=31,$AJ2560=41),"⑤短期","対象外")))))</f>
      </c>
      <c r="DC2560" s="2909">
        <f>IF($A2560="","",IF($AB2560&amp;""='DB_設定'!$C$4,1,0))</f>
      </c>
    </row>
    <row r="2561">
      <c r="DB2561" s="2909">
        <f>IF($A2561="","",IF($AH2561=20,IF(AND(OR($A2561=21,$A2561=215),$AJ2561=10),"①病院一般",IF(AND($A2561=31,$AJ2561=41),"②病院短期","対象外")),IF($AJ2561=30,"③特定消防",IF(AND(OR($A2561=21,$A2561=215),$AJ2561=10),"④一般",IF(AND($A2561=31,$AJ2561=41),"⑤短期","対象外")))))</f>
      </c>
      <c r="DC2561" s="2909">
        <f>IF($A2561="","",IF($AB2561&amp;""='DB_設定'!$C$4,1,0))</f>
      </c>
    </row>
    <row r="2562">
      <c r="DB2562" s="2909">
        <f>IF($A2562="","",IF($AH2562=20,IF(AND(OR($A2562=21,$A2562=215),$AJ2562=10),"①病院一般",IF(AND($A2562=31,$AJ2562=41),"②病院短期","対象外")),IF($AJ2562=30,"③特定消防",IF(AND(OR($A2562=21,$A2562=215),$AJ2562=10),"④一般",IF(AND($A2562=31,$AJ2562=41),"⑤短期","対象外")))))</f>
      </c>
      <c r="DC2562" s="2909">
        <f>IF($A2562="","",IF($AB2562&amp;""='DB_設定'!$C$4,1,0))</f>
      </c>
    </row>
    <row r="2563">
      <c r="DB2563" s="2909">
        <f>IF($A2563="","",IF($AH2563=20,IF(AND(OR($A2563=21,$A2563=215),$AJ2563=10),"①病院一般",IF(AND($A2563=31,$AJ2563=41),"②病院短期","対象外")),IF($AJ2563=30,"③特定消防",IF(AND(OR($A2563=21,$A2563=215),$AJ2563=10),"④一般",IF(AND($A2563=31,$AJ2563=41),"⑤短期","対象外")))))</f>
      </c>
      <c r="DC2563" s="2909">
        <f>IF($A2563="","",IF($AB2563&amp;""='DB_設定'!$C$4,1,0))</f>
      </c>
    </row>
    <row r="2564">
      <c r="DB2564" s="2909">
        <f>IF($A2564="","",IF($AH2564=20,IF(AND(OR($A2564=21,$A2564=215),$AJ2564=10),"①病院一般",IF(AND($A2564=31,$AJ2564=41),"②病院短期","対象外")),IF($AJ2564=30,"③特定消防",IF(AND(OR($A2564=21,$A2564=215),$AJ2564=10),"④一般",IF(AND($A2564=31,$AJ2564=41),"⑤短期","対象外")))))</f>
      </c>
      <c r="DC2564" s="2909">
        <f>IF($A2564="","",IF($AB2564&amp;""='DB_設定'!$C$4,1,0))</f>
      </c>
    </row>
    <row r="2565">
      <c r="DB2565" s="2909">
        <f>IF($A2565="","",IF($AH2565=20,IF(AND(OR($A2565=21,$A2565=215),$AJ2565=10),"①病院一般",IF(AND($A2565=31,$AJ2565=41),"②病院短期","対象外")),IF($AJ2565=30,"③特定消防",IF(AND(OR($A2565=21,$A2565=215),$AJ2565=10),"④一般",IF(AND($A2565=31,$AJ2565=41),"⑤短期","対象外")))))</f>
      </c>
      <c r="DC2565" s="2909">
        <f>IF($A2565="","",IF($AB2565&amp;""='DB_設定'!$C$4,1,0))</f>
      </c>
    </row>
    <row r="2566">
      <c r="DB2566" s="2909">
        <f>IF($A2566="","",IF($AH2566=20,IF(AND(OR($A2566=21,$A2566=215),$AJ2566=10),"①病院一般",IF(AND($A2566=31,$AJ2566=41),"②病院短期","対象外")),IF($AJ2566=30,"③特定消防",IF(AND(OR($A2566=21,$A2566=215),$AJ2566=10),"④一般",IF(AND($A2566=31,$AJ2566=41),"⑤短期","対象外")))))</f>
      </c>
      <c r="DC2566" s="2909">
        <f>IF($A2566="","",IF($AB2566&amp;""='DB_設定'!$C$4,1,0))</f>
      </c>
    </row>
    <row r="2567">
      <c r="DB2567" s="2909">
        <f>IF($A2567="","",IF($AH2567=20,IF(AND(OR($A2567=21,$A2567=215),$AJ2567=10),"①病院一般",IF(AND($A2567=31,$AJ2567=41),"②病院短期","対象外")),IF($AJ2567=30,"③特定消防",IF(AND(OR($A2567=21,$A2567=215),$AJ2567=10),"④一般",IF(AND($A2567=31,$AJ2567=41),"⑤短期","対象外")))))</f>
      </c>
      <c r="DC2567" s="2909">
        <f>IF($A2567="","",IF($AB2567&amp;""='DB_設定'!$C$4,1,0))</f>
      </c>
    </row>
    <row r="2568">
      <c r="DB2568" s="2909">
        <f>IF($A2568="","",IF($AH2568=20,IF(AND(OR($A2568=21,$A2568=215),$AJ2568=10),"①病院一般",IF(AND($A2568=31,$AJ2568=41),"②病院短期","対象外")),IF($AJ2568=30,"③特定消防",IF(AND(OR($A2568=21,$A2568=215),$AJ2568=10),"④一般",IF(AND($A2568=31,$AJ2568=41),"⑤短期","対象外")))))</f>
      </c>
      <c r="DC2568" s="2909">
        <f>IF($A2568="","",IF($AB2568&amp;""='DB_設定'!$C$4,1,0))</f>
      </c>
    </row>
    <row r="2569">
      <c r="DB2569" s="2909">
        <f>IF($A2569="","",IF($AH2569=20,IF(AND(OR($A2569=21,$A2569=215),$AJ2569=10),"①病院一般",IF(AND($A2569=31,$AJ2569=41),"②病院短期","対象外")),IF($AJ2569=30,"③特定消防",IF(AND(OR($A2569=21,$A2569=215),$AJ2569=10),"④一般",IF(AND($A2569=31,$AJ2569=41),"⑤短期","対象外")))))</f>
      </c>
      <c r="DC2569" s="2909">
        <f>IF($A2569="","",IF($AB2569&amp;""='DB_設定'!$C$4,1,0))</f>
      </c>
    </row>
    <row r="2570">
      <c r="DB2570" s="2909">
        <f>IF($A2570="","",IF($AH2570=20,IF(AND(OR($A2570=21,$A2570=215),$AJ2570=10),"①病院一般",IF(AND($A2570=31,$AJ2570=41),"②病院短期","対象外")),IF($AJ2570=30,"③特定消防",IF(AND(OR($A2570=21,$A2570=215),$AJ2570=10),"④一般",IF(AND($A2570=31,$AJ2570=41),"⑤短期","対象外")))))</f>
      </c>
      <c r="DC2570" s="2909">
        <f>IF($A2570="","",IF($AB2570&amp;""='DB_設定'!$C$4,1,0))</f>
      </c>
    </row>
    <row r="2571">
      <c r="DB2571" s="2909">
        <f>IF($A2571="","",IF($AH2571=20,IF(AND(OR($A2571=21,$A2571=215),$AJ2571=10),"①病院一般",IF(AND($A2571=31,$AJ2571=41),"②病院短期","対象外")),IF($AJ2571=30,"③特定消防",IF(AND(OR($A2571=21,$A2571=215),$AJ2571=10),"④一般",IF(AND($A2571=31,$AJ2571=41),"⑤短期","対象外")))))</f>
      </c>
      <c r="DC2571" s="2909">
        <f>IF($A2571="","",IF($AB2571&amp;""='DB_設定'!$C$4,1,0))</f>
      </c>
    </row>
    <row r="2572">
      <c r="DB2572" s="2909">
        <f>IF($A2572="","",IF($AH2572=20,IF(AND(OR($A2572=21,$A2572=215),$AJ2572=10),"①病院一般",IF(AND($A2572=31,$AJ2572=41),"②病院短期","対象外")),IF($AJ2572=30,"③特定消防",IF(AND(OR($A2572=21,$A2572=215),$AJ2572=10),"④一般",IF(AND($A2572=31,$AJ2572=41),"⑤短期","対象外")))))</f>
      </c>
      <c r="DC2572" s="2909">
        <f>IF($A2572="","",IF($AB2572&amp;""='DB_設定'!$C$4,1,0))</f>
      </c>
    </row>
    <row r="2573">
      <c r="DB2573" s="2909">
        <f>IF($A2573="","",IF($AH2573=20,IF(AND(OR($A2573=21,$A2573=215),$AJ2573=10),"①病院一般",IF(AND($A2573=31,$AJ2573=41),"②病院短期","対象外")),IF($AJ2573=30,"③特定消防",IF(AND(OR($A2573=21,$A2573=215),$AJ2573=10),"④一般",IF(AND($A2573=31,$AJ2573=41),"⑤短期","対象外")))))</f>
      </c>
      <c r="DC2573" s="2909">
        <f>IF($A2573="","",IF($AB2573&amp;""='DB_設定'!$C$4,1,0))</f>
      </c>
    </row>
    <row r="2574">
      <c r="DB2574" s="2909">
        <f>IF($A2574="","",IF($AH2574=20,IF(AND(OR($A2574=21,$A2574=215),$AJ2574=10),"①病院一般",IF(AND($A2574=31,$AJ2574=41),"②病院短期","対象外")),IF($AJ2574=30,"③特定消防",IF(AND(OR($A2574=21,$A2574=215),$AJ2574=10),"④一般",IF(AND($A2574=31,$AJ2574=41),"⑤短期","対象外")))))</f>
      </c>
      <c r="DC2574" s="2909">
        <f>IF($A2574="","",IF($AB2574&amp;""='DB_設定'!$C$4,1,0))</f>
      </c>
    </row>
    <row r="2575">
      <c r="DB2575" s="2909">
        <f>IF($A2575="","",IF($AH2575=20,IF(AND(OR($A2575=21,$A2575=215),$AJ2575=10),"①病院一般",IF(AND($A2575=31,$AJ2575=41),"②病院短期","対象外")),IF($AJ2575=30,"③特定消防",IF(AND(OR($A2575=21,$A2575=215),$AJ2575=10),"④一般",IF(AND($A2575=31,$AJ2575=41),"⑤短期","対象外")))))</f>
      </c>
      <c r="DC2575" s="2909">
        <f>IF($A2575="","",IF($AB2575&amp;""='DB_設定'!$C$4,1,0))</f>
      </c>
    </row>
    <row r="2576">
      <c r="DB2576" s="2909">
        <f>IF($A2576="","",IF($AH2576=20,IF(AND(OR($A2576=21,$A2576=215),$AJ2576=10),"①病院一般",IF(AND($A2576=31,$AJ2576=41),"②病院短期","対象外")),IF($AJ2576=30,"③特定消防",IF(AND(OR($A2576=21,$A2576=215),$AJ2576=10),"④一般",IF(AND($A2576=31,$AJ2576=41),"⑤短期","対象外")))))</f>
      </c>
      <c r="DC2576" s="2909">
        <f>IF($A2576="","",IF($AB2576&amp;""='DB_設定'!$C$4,1,0))</f>
      </c>
    </row>
    <row r="2577">
      <c r="DB2577" s="2909">
        <f>IF($A2577="","",IF($AH2577=20,IF(AND(OR($A2577=21,$A2577=215),$AJ2577=10),"①病院一般",IF(AND($A2577=31,$AJ2577=41),"②病院短期","対象外")),IF($AJ2577=30,"③特定消防",IF(AND(OR($A2577=21,$A2577=215),$AJ2577=10),"④一般",IF(AND($A2577=31,$AJ2577=41),"⑤短期","対象外")))))</f>
      </c>
      <c r="DC2577" s="2909">
        <f>IF($A2577="","",IF($AB2577&amp;""='DB_設定'!$C$4,1,0))</f>
      </c>
    </row>
    <row r="2578">
      <c r="DB2578" s="2909">
        <f>IF($A2578="","",IF($AH2578=20,IF(AND(OR($A2578=21,$A2578=215),$AJ2578=10),"①病院一般",IF(AND($A2578=31,$AJ2578=41),"②病院短期","対象外")),IF($AJ2578=30,"③特定消防",IF(AND(OR($A2578=21,$A2578=215),$AJ2578=10),"④一般",IF(AND($A2578=31,$AJ2578=41),"⑤短期","対象外")))))</f>
      </c>
      <c r="DC2578" s="2909">
        <f>IF($A2578="","",IF($AB2578&amp;""='DB_設定'!$C$4,1,0))</f>
      </c>
    </row>
    <row r="2579">
      <c r="DB2579" s="2909">
        <f>IF($A2579="","",IF($AH2579=20,IF(AND(OR($A2579=21,$A2579=215),$AJ2579=10),"①病院一般",IF(AND($A2579=31,$AJ2579=41),"②病院短期","対象外")),IF($AJ2579=30,"③特定消防",IF(AND(OR($A2579=21,$A2579=215),$AJ2579=10),"④一般",IF(AND($A2579=31,$AJ2579=41),"⑤短期","対象外")))))</f>
      </c>
      <c r="DC2579" s="2909">
        <f>IF($A2579="","",IF($AB2579&amp;""='DB_設定'!$C$4,1,0))</f>
      </c>
    </row>
    <row r="2580">
      <c r="DB2580" s="2909">
        <f>IF($A2580="","",IF($AH2580=20,IF(AND(OR($A2580=21,$A2580=215),$AJ2580=10),"①病院一般",IF(AND($A2580=31,$AJ2580=41),"②病院短期","対象外")),IF($AJ2580=30,"③特定消防",IF(AND(OR($A2580=21,$A2580=215),$AJ2580=10),"④一般",IF(AND($A2580=31,$AJ2580=41),"⑤短期","対象外")))))</f>
      </c>
      <c r="DC2580" s="2909">
        <f>IF($A2580="","",IF($AB2580&amp;""='DB_設定'!$C$4,1,0))</f>
      </c>
    </row>
    <row r="2581">
      <c r="DB2581" s="2909">
        <f>IF($A2581="","",IF($AH2581=20,IF(AND(OR($A2581=21,$A2581=215),$AJ2581=10),"①病院一般",IF(AND($A2581=31,$AJ2581=41),"②病院短期","対象外")),IF($AJ2581=30,"③特定消防",IF(AND(OR($A2581=21,$A2581=215),$AJ2581=10),"④一般",IF(AND($A2581=31,$AJ2581=41),"⑤短期","対象外")))))</f>
      </c>
      <c r="DC2581" s="2909">
        <f>IF($A2581="","",IF($AB2581&amp;""='DB_設定'!$C$4,1,0))</f>
      </c>
    </row>
    <row r="2582">
      <c r="DB2582" s="2909">
        <f>IF($A2582="","",IF($AH2582=20,IF(AND(OR($A2582=21,$A2582=215),$AJ2582=10),"①病院一般",IF(AND($A2582=31,$AJ2582=41),"②病院短期","対象外")),IF($AJ2582=30,"③特定消防",IF(AND(OR($A2582=21,$A2582=215),$AJ2582=10),"④一般",IF(AND($A2582=31,$AJ2582=41),"⑤短期","対象外")))))</f>
      </c>
      <c r="DC2582" s="2909">
        <f>IF($A2582="","",IF($AB2582&amp;""='DB_設定'!$C$4,1,0))</f>
      </c>
    </row>
    <row r="2583">
      <c r="DB2583" s="2909">
        <f>IF($A2583="","",IF($AH2583=20,IF(AND(OR($A2583=21,$A2583=215),$AJ2583=10),"①病院一般",IF(AND($A2583=31,$AJ2583=41),"②病院短期","対象外")),IF($AJ2583=30,"③特定消防",IF(AND(OR($A2583=21,$A2583=215),$AJ2583=10),"④一般",IF(AND($A2583=31,$AJ2583=41),"⑤短期","対象外")))))</f>
      </c>
      <c r="DC2583" s="2909">
        <f>IF($A2583="","",IF($AB2583&amp;""='DB_設定'!$C$4,1,0))</f>
      </c>
    </row>
    <row r="2584">
      <c r="DB2584" s="2909">
        <f>IF($A2584="","",IF($AH2584=20,IF(AND(OR($A2584=21,$A2584=215),$AJ2584=10),"①病院一般",IF(AND($A2584=31,$AJ2584=41),"②病院短期","対象外")),IF($AJ2584=30,"③特定消防",IF(AND(OR($A2584=21,$A2584=215),$AJ2584=10),"④一般",IF(AND($A2584=31,$AJ2584=41),"⑤短期","対象外")))))</f>
      </c>
      <c r="DC2584" s="2909">
        <f>IF($A2584="","",IF($AB2584&amp;""='DB_設定'!$C$4,1,0))</f>
      </c>
    </row>
    <row r="2585">
      <c r="DB2585" s="2909">
        <f>IF($A2585="","",IF($AH2585=20,IF(AND(OR($A2585=21,$A2585=215),$AJ2585=10),"①病院一般",IF(AND($A2585=31,$AJ2585=41),"②病院短期","対象外")),IF($AJ2585=30,"③特定消防",IF(AND(OR($A2585=21,$A2585=215),$AJ2585=10),"④一般",IF(AND($A2585=31,$AJ2585=41),"⑤短期","対象外")))))</f>
      </c>
      <c r="DC2585" s="2909">
        <f>IF($A2585="","",IF($AB2585&amp;""='DB_設定'!$C$4,1,0))</f>
      </c>
    </row>
    <row r="2586">
      <c r="DB2586" s="2909">
        <f>IF($A2586="","",IF($AH2586=20,IF(AND(OR($A2586=21,$A2586=215),$AJ2586=10),"①病院一般",IF(AND($A2586=31,$AJ2586=41),"②病院短期","対象外")),IF($AJ2586=30,"③特定消防",IF(AND(OR($A2586=21,$A2586=215),$AJ2586=10),"④一般",IF(AND($A2586=31,$AJ2586=41),"⑤短期","対象外")))))</f>
      </c>
      <c r="DC2586" s="2909">
        <f>IF($A2586="","",IF($AB2586&amp;""='DB_設定'!$C$4,1,0))</f>
      </c>
    </row>
    <row r="2587">
      <c r="DB2587" s="2909">
        <f>IF($A2587="","",IF($AH2587=20,IF(AND(OR($A2587=21,$A2587=215),$AJ2587=10),"①病院一般",IF(AND($A2587=31,$AJ2587=41),"②病院短期","対象外")),IF($AJ2587=30,"③特定消防",IF(AND(OR($A2587=21,$A2587=215),$AJ2587=10),"④一般",IF(AND($A2587=31,$AJ2587=41),"⑤短期","対象外")))))</f>
      </c>
      <c r="DC2587" s="2909">
        <f>IF($A2587="","",IF($AB2587&amp;""='DB_設定'!$C$4,1,0))</f>
      </c>
    </row>
    <row r="2588">
      <c r="DB2588" s="2909">
        <f>IF($A2588="","",IF($AH2588=20,IF(AND(OR($A2588=21,$A2588=215),$AJ2588=10),"①病院一般",IF(AND($A2588=31,$AJ2588=41),"②病院短期","対象外")),IF($AJ2588=30,"③特定消防",IF(AND(OR($A2588=21,$A2588=215),$AJ2588=10),"④一般",IF(AND($A2588=31,$AJ2588=41),"⑤短期","対象外")))))</f>
      </c>
      <c r="DC2588" s="2909">
        <f>IF($A2588="","",IF($AB2588&amp;""='DB_設定'!$C$4,1,0))</f>
      </c>
    </row>
    <row r="2589">
      <c r="DB2589" s="2909">
        <f>IF($A2589="","",IF($AH2589=20,IF(AND(OR($A2589=21,$A2589=215),$AJ2589=10),"①病院一般",IF(AND($A2589=31,$AJ2589=41),"②病院短期","対象外")),IF($AJ2589=30,"③特定消防",IF(AND(OR($A2589=21,$A2589=215),$AJ2589=10),"④一般",IF(AND($A2589=31,$AJ2589=41),"⑤短期","対象外")))))</f>
      </c>
      <c r="DC2589" s="2909">
        <f>IF($A2589="","",IF($AB2589&amp;""='DB_設定'!$C$4,1,0))</f>
      </c>
    </row>
    <row r="2590">
      <c r="DB2590" s="2909">
        <f>IF($A2590="","",IF($AH2590=20,IF(AND(OR($A2590=21,$A2590=215),$AJ2590=10),"①病院一般",IF(AND($A2590=31,$AJ2590=41),"②病院短期","対象外")),IF($AJ2590=30,"③特定消防",IF(AND(OR($A2590=21,$A2590=215),$AJ2590=10),"④一般",IF(AND($A2590=31,$AJ2590=41),"⑤短期","対象外")))))</f>
      </c>
      <c r="DC2590" s="2909">
        <f>IF($A2590="","",IF($AB2590&amp;""='DB_設定'!$C$4,1,0))</f>
      </c>
    </row>
    <row r="2591">
      <c r="DB2591" s="2909">
        <f>IF($A2591="","",IF($AH2591=20,IF(AND(OR($A2591=21,$A2591=215),$AJ2591=10),"①病院一般",IF(AND($A2591=31,$AJ2591=41),"②病院短期","対象外")),IF($AJ2591=30,"③特定消防",IF(AND(OR($A2591=21,$A2591=215),$AJ2591=10),"④一般",IF(AND($A2591=31,$AJ2591=41),"⑤短期","対象外")))))</f>
      </c>
      <c r="DC2591" s="2909">
        <f>IF($A2591="","",IF($AB2591&amp;""='DB_設定'!$C$4,1,0))</f>
      </c>
    </row>
    <row r="2592">
      <c r="DB2592" s="2909">
        <f>IF($A2592="","",IF($AH2592=20,IF(AND(OR($A2592=21,$A2592=215),$AJ2592=10),"①病院一般",IF(AND($A2592=31,$AJ2592=41),"②病院短期","対象外")),IF($AJ2592=30,"③特定消防",IF(AND(OR($A2592=21,$A2592=215),$AJ2592=10),"④一般",IF(AND($A2592=31,$AJ2592=41),"⑤短期","対象外")))))</f>
      </c>
      <c r="DC2592" s="2909">
        <f>IF($A2592="","",IF($AB2592&amp;""='DB_設定'!$C$4,1,0))</f>
      </c>
    </row>
    <row r="2593">
      <c r="DB2593" s="2909">
        <f>IF($A2593="","",IF($AH2593=20,IF(AND(OR($A2593=21,$A2593=215),$AJ2593=10),"①病院一般",IF(AND($A2593=31,$AJ2593=41),"②病院短期","対象外")),IF($AJ2593=30,"③特定消防",IF(AND(OR($A2593=21,$A2593=215),$AJ2593=10),"④一般",IF(AND($A2593=31,$AJ2593=41),"⑤短期","対象外")))))</f>
      </c>
      <c r="DC2593" s="2909">
        <f>IF($A2593="","",IF($AB2593&amp;""='DB_設定'!$C$4,1,0))</f>
      </c>
    </row>
    <row r="2594">
      <c r="DB2594" s="2909">
        <f>IF($A2594="","",IF($AH2594=20,IF(AND(OR($A2594=21,$A2594=215),$AJ2594=10),"①病院一般",IF(AND($A2594=31,$AJ2594=41),"②病院短期","対象外")),IF($AJ2594=30,"③特定消防",IF(AND(OR($A2594=21,$A2594=215),$AJ2594=10),"④一般",IF(AND($A2594=31,$AJ2594=41),"⑤短期","対象外")))))</f>
      </c>
      <c r="DC2594" s="2909">
        <f>IF($A2594="","",IF($AB2594&amp;""='DB_設定'!$C$4,1,0))</f>
      </c>
    </row>
    <row r="2595">
      <c r="DB2595" s="2909">
        <f>IF($A2595="","",IF($AH2595=20,IF(AND(OR($A2595=21,$A2595=215),$AJ2595=10),"①病院一般",IF(AND($A2595=31,$AJ2595=41),"②病院短期","対象外")),IF($AJ2595=30,"③特定消防",IF(AND(OR($A2595=21,$A2595=215),$AJ2595=10),"④一般",IF(AND($A2595=31,$AJ2595=41),"⑤短期","対象外")))))</f>
      </c>
      <c r="DC2595" s="2909">
        <f>IF($A2595="","",IF($AB2595&amp;""='DB_設定'!$C$4,1,0))</f>
      </c>
    </row>
    <row r="2596">
      <c r="DB2596" s="2909">
        <f>IF($A2596="","",IF($AH2596=20,IF(AND(OR($A2596=21,$A2596=215),$AJ2596=10),"①病院一般",IF(AND($A2596=31,$AJ2596=41),"②病院短期","対象外")),IF($AJ2596=30,"③特定消防",IF(AND(OR($A2596=21,$A2596=215),$AJ2596=10),"④一般",IF(AND($A2596=31,$AJ2596=41),"⑤短期","対象外")))))</f>
      </c>
      <c r="DC2596" s="2909">
        <f>IF($A2596="","",IF($AB2596&amp;""='DB_設定'!$C$4,1,0))</f>
      </c>
    </row>
    <row r="2597">
      <c r="DB2597" s="2909">
        <f>IF($A2597="","",IF($AH2597=20,IF(AND(OR($A2597=21,$A2597=215),$AJ2597=10),"①病院一般",IF(AND($A2597=31,$AJ2597=41),"②病院短期","対象外")),IF($AJ2597=30,"③特定消防",IF(AND(OR($A2597=21,$A2597=215),$AJ2597=10),"④一般",IF(AND($A2597=31,$AJ2597=41),"⑤短期","対象外")))))</f>
      </c>
      <c r="DC2597" s="2909">
        <f>IF($A2597="","",IF($AB2597&amp;""='DB_設定'!$C$4,1,0))</f>
      </c>
    </row>
    <row r="2598">
      <c r="DB2598" s="2909">
        <f>IF($A2598="","",IF($AH2598=20,IF(AND(OR($A2598=21,$A2598=215),$AJ2598=10),"①病院一般",IF(AND($A2598=31,$AJ2598=41),"②病院短期","対象外")),IF($AJ2598=30,"③特定消防",IF(AND(OR($A2598=21,$A2598=215),$AJ2598=10),"④一般",IF(AND($A2598=31,$AJ2598=41),"⑤短期","対象外")))))</f>
      </c>
      <c r="DC2598" s="2909">
        <f>IF($A2598="","",IF($AB2598&amp;""='DB_設定'!$C$4,1,0))</f>
      </c>
    </row>
    <row r="2599">
      <c r="DB2599" s="2909">
        <f>IF($A2599="","",IF($AH2599=20,IF(AND(OR($A2599=21,$A2599=215),$AJ2599=10),"①病院一般",IF(AND($A2599=31,$AJ2599=41),"②病院短期","対象外")),IF($AJ2599=30,"③特定消防",IF(AND(OR($A2599=21,$A2599=215),$AJ2599=10),"④一般",IF(AND($A2599=31,$AJ2599=41),"⑤短期","対象外")))))</f>
      </c>
      <c r="DC2599" s="2909">
        <f>IF($A2599="","",IF($AB2599&amp;""='DB_設定'!$C$4,1,0))</f>
      </c>
    </row>
    <row r="2600">
      <c r="DB2600" s="2909">
        <f>IF($A2600="","",IF($AH2600=20,IF(AND(OR($A2600=21,$A2600=215),$AJ2600=10),"①病院一般",IF(AND($A2600=31,$AJ2600=41),"②病院短期","対象外")),IF($AJ2600=30,"③特定消防",IF(AND(OR($A2600=21,$A2600=215),$AJ2600=10),"④一般",IF(AND($A2600=31,$AJ2600=41),"⑤短期","対象外")))))</f>
      </c>
      <c r="DC2600" s="2909">
        <f>IF($A2600="","",IF($AB2600&amp;""='DB_設定'!$C$4,1,0))</f>
      </c>
    </row>
    <row r="2601">
      <c r="DB2601" s="2909">
        <f>IF($A2601="","",IF($AH2601=20,IF(AND(OR($A2601=21,$A2601=215),$AJ2601=10),"①病院一般",IF(AND($A2601=31,$AJ2601=41),"②病院短期","対象外")),IF($AJ2601=30,"③特定消防",IF(AND(OR($A2601=21,$A2601=215),$AJ2601=10),"④一般",IF(AND($A2601=31,$AJ2601=41),"⑤短期","対象外")))))</f>
      </c>
      <c r="DC2601" s="2909">
        <f>IF($A2601="","",IF($AB2601&amp;""='DB_設定'!$C$4,1,0))</f>
      </c>
    </row>
    <row r="2602">
      <c r="DB2602" s="2909">
        <f>IF($A2602="","",IF($AH2602=20,IF(AND(OR($A2602=21,$A2602=215),$AJ2602=10),"①病院一般",IF(AND($A2602=31,$AJ2602=41),"②病院短期","対象外")),IF($AJ2602=30,"③特定消防",IF(AND(OR($A2602=21,$A2602=215),$AJ2602=10),"④一般",IF(AND($A2602=31,$AJ2602=41),"⑤短期","対象外")))))</f>
      </c>
      <c r="DC2602" s="2909">
        <f>IF($A2602="","",IF($AB2602&amp;""='DB_設定'!$C$4,1,0))</f>
      </c>
    </row>
    <row r="2603">
      <c r="DB2603" s="2909">
        <f>IF($A2603="","",IF($AH2603=20,IF(AND(OR($A2603=21,$A2603=215),$AJ2603=10),"①病院一般",IF(AND($A2603=31,$AJ2603=41),"②病院短期","対象外")),IF($AJ2603=30,"③特定消防",IF(AND(OR($A2603=21,$A2603=215),$AJ2603=10),"④一般",IF(AND($A2603=31,$AJ2603=41),"⑤短期","対象外")))))</f>
      </c>
      <c r="DC2603" s="2909">
        <f>IF($A2603="","",IF($AB2603&amp;""='DB_設定'!$C$4,1,0))</f>
      </c>
    </row>
    <row r="2604">
      <c r="DB2604" s="2909">
        <f>IF($A2604="","",IF($AH2604=20,IF(AND(OR($A2604=21,$A2604=215),$AJ2604=10),"①病院一般",IF(AND($A2604=31,$AJ2604=41),"②病院短期","対象外")),IF($AJ2604=30,"③特定消防",IF(AND(OR($A2604=21,$A2604=215),$AJ2604=10),"④一般",IF(AND($A2604=31,$AJ2604=41),"⑤短期","対象外")))))</f>
      </c>
      <c r="DC2604" s="2909">
        <f>IF($A2604="","",IF($AB2604&amp;""='DB_設定'!$C$4,1,0))</f>
      </c>
    </row>
    <row r="2605">
      <c r="DB2605" s="2909">
        <f>IF($A2605="","",IF($AH2605=20,IF(AND(OR($A2605=21,$A2605=215),$AJ2605=10),"①病院一般",IF(AND($A2605=31,$AJ2605=41),"②病院短期","対象外")),IF($AJ2605=30,"③特定消防",IF(AND(OR($A2605=21,$A2605=215),$AJ2605=10),"④一般",IF(AND($A2605=31,$AJ2605=41),"⑤短期","対象外")))))</f>
      </c>
      <c r="DC2605" s="2909">
        <f>IF($A2605="","",IF($AB2605&amp;""='DB_設定'!$C$4,1,0))</f>
      </c>
    </row>
    <row r="2606">
      <c r="DB2606" s="2909">
        <f>IF($A2606="","",IF($AH2606=20,IF(AND(OR($A2606=21,$A2606=215),$AJ2606=10),"①病院一般",IF(AND($A2606=31,$AJ2606=41),"②病院短期","対象外")),IF($AJ2606=30,"③特定消防",IF(AND(OR($A2606=21,$A2606=215),$AJ2606=10),"④一般",IF(AND($A2606=31,$AJ2606=41),"⑤短期","対象外")))))</f>
      </c>
      <c r="DC2606" s="2909">
        <f>IF($A2606="","",IF($AB2606&amp;""='DB_設定'!$C$4,1,0))</f>
      </c>
    </row>
    <row r="2607">
      <c r="DB2607" s="2909">
        <f>IF($A2607="","",IF($AH2607=20,IF(AND(OR($A2607=21,$A2607=215),$AJ2607=10),"①病院一般",IF(AND($A2607=31,$AJ2607=41),"②病院短期","対象外")),IF($AJ2607=30,"③特定消防",IF(AND(OR($A2607=21,$A2607=215),$AJ2607=10),"④一般",IF(AND($A2607=31,$AJ2607=41),"⑤短期","対象外")))))</f>
      </c>
      <c r="DC2607" s="2909">
        <f>IF($A2607="","",IF($AB2607&amp;""='DB_設定'!$C$4,1,0))</f>
      </c>
    </row>
    <row r="2608">
      <c r="DB2608" s="2909">
        <f>IF($A2608="","",IF($AH2608=20,IF(AND(OR($A2608=21,$A2608=215),$AJ2608=10),"①病院一般",IF(AND($A2608=31,$AJ2608=41),"②病院短期","対象外")),IF($AJ2608=30,"③特定消防",IF(AND(OR($A2608=21,$A2608=215),$AJ2608=10),"④一般",IF(AND($A2608=31,$AJ2608=41),"⑤短期","対象外")))))</f>
      </c>
      <c r="DC2608" s="2909">
        <f>IF($A2608="","",IF($AB2608&amp;""='DB_設定'!$C$4,1,0))</f>
      </c>
    </row>
    <row r="2609">
      <c r="DB2609" s="2909">
        <f>IF($A2609="","",IF($AH2609=20,IF(AND(OR($A2609=21,$A2609=215),$AJ2609=10),"①病院一般",IF(AND($A2609=31,$AJ2609=41),"②病院短期","対象外")),IF($AJ2609=30,"③特定消防",IF(AND(OR($A2609=21,$A2609=215),$AJ2609=10),"④一般",IF(AND($A2609=31,$AJ2609=41),"⑤短期","対象外")))))</f>
      </c>
      <c r="DC2609" s="2909">
        <f>IF($A2609="","",IF($AB2609&amp;""='DB_設定'!$C$4,1,0))</f>
      </c>
    </row>
    <row r="2610">
      <c r="DB2610" s="2909">
        <f>IF($A2610="","",IF($AH2610=20,IF(AND(OR($A2610=21,$A2610=215),$AJ2610=10),"①病院一般",IF(AND($A2610=31,$AJ2610=41),"②病院短期","対象外")),IF($AJ2610=30,"③特定消防",IF(AND(OR($A2610=21,$A2610=215),$AJ2610=10),"④一般",IF(AND($A2610=31,$AJ2610=41),"⑤短期","対象外")))))</f>
      </c>
      <c r="DC2610" s="2909">
        <f>IF($A2610="","",IF($AB2610&amp;""='DB_設定'!$C$4,1,0))</f>
      </c>
    </row>
    <row r="2611">
      <c r="DB2611" s="2909">
        <f>IF($A2611="","",IF($AH2611=20,IF(AND(OR($A2611=21,$A2611=215),$AJ2611=10),"①病院一般",IF(AND($A2611=31,$AJ2611=41),"②病院短期","対象外")),IF($AJ2611=30,"③特定消防",IF(AND(OR($A2611=21,$A2611=215),$AJ2611=10),"④一般",IF(AND($A2611=31,$AJ2611=41),"⑤短期","対象外")))))</f>
      </c>
      <c r="DC2611" s="2909">
        <f>IF($A2611="","",IF($AB2611&amp;""='DB_設定'!$C$4,1,0))</f>
      </c>
    </row>
    <row r="2612">
      <c r="DB2612" s="2909">
        <f>IF($A2612="","",IF($AH2612=20,IF(AND(OR($A2612=21,$A2612=215),$AJ2612=10),"①病院一般",IF(AND($A2612=31,$AJ2612=41),"②病院短期","対象外")),IF($AJ2612=30,"③特定消防",IF(AND(OR($A2612=21,$A2612=215),$AJ2612=10),"④一般",IF(AND($A2612=31,$AJ2612=41),"⑤短期","対象外")))))</f>
      </c>
      <c r="DC2612" s="2909">
        <f>IF($A2612="","",IF($AB2612&amp;""='DB_設定'!$C$4,1,0))</f>
      </c>
    </row>
    <row r="2613">
      <c r="DB2613" s="2909">
        <f>IF($A2613="","",IF($AH2613=20,IF(AND(OR($A2613=21,$A2613=215),$AJ2613=10),"①病院一般",IF(AND($A2613=31,$AJ2613=41),"②病院短期","対象外")),IF($AJ2613=30,"③特定消防",IF(AND(OR($A2613=21,$A2613=215),$AJ2613=10),"④一般",IF(AND($A2613=31,$AJ2613=41),"⑤短期","対象外")))))</f>
      </c>
      <c r="DC2613" s="2909">
        <f>IF($A2613="","",IF($AB2613&amp;""='DB_設定'!$C$4,1,0))</f>
      </c>
    </row>
    <row r="2614">
      <c r="DB2614" s="2909">
        <f>IF($A2614="","",IF($AH2614=20,IF(AND(OR($A2614=21,$A2614=215),$AJ2614=10),"①病院一般",IF(AND($A2614=31,$AJ2614=41),"②病院短期","対象外")),IF($AJ2614=30,"③特定消防",IF(AND(OR($A2614=21,$A2614=215),$AJ2614=10),"④一般",IF(AND($A2614=31,$AJ2614=41),"⑤短期","対象外")))))</f>
      </c>
      <c r="DC2614" s="2909">
        <f>IF($A2614="","",IF($AB2614&amp;""='DB_設定'!$C$4,1,0))</f>
      </c>
    </row>
    <row r="2615">
      <c r="DB2615" s="2909">
        <f>IF($A2615="","",IF($AH2615=20,IF(AND(OR($A2615=21,$A2615=215),$AJ2615=10),"①病院一般",IF(AND($A2615=31,$AJ2615=41),"②病院短期","対象外")),IF($AJ2615=30,"③特定消防",IF(AND(OR($A2615=21,$A2615=215),$AJ2615=10),"④一般",IF(AND($A2615=31,$AJ2615=41),"⑤短期","対象外")))))</f>
      </c>
      <c r="DC2615" s="2909">
        <f>IF($A2615="","",IF($AB2615&amp;""='DB_設定'!$C$4,1,0))</f>
      </c>
    </row>
    <row r="2616">
      <c r="DB2616" s="2909">
        <f>IF($A2616="","",IF($AH2616=20,IF(AND(OR($A2616=21,$A2616=215),$AJ2616=10),"①病院一般",IF(AND($A2616=31,$AJ2616=41),"②病院短期","対象外")),IF($AJ2616=30,"③特定消防",IF(AND(OR($A2616=21,$A2616=215),$AJ2616=10),"④一般",IF(AND($A2616=31,$AJ2616=41),"⑤短期","対象外")))))</f>
      </c>
      <c r="DC2616" s="2909">
        <f>IF($A2616="","",IF($AB2616&amp;""='DB_設定'!$C$4,1,0))</f>
      </c>
    </row>
    <row r="2617">
      <c r="DB2617" s="2909">
        <f>IF($A2617="","",IF($AH2617=20,IF(AND(OR($A2617=21,$A2617=215),$AJ2617=10),"①病院一般",IF(AND($A2617=31,$AJ2617=41),"②病院短期","対象外")),IF($AJ2617=30,"③特定消防",IF(AND(OR($A2617=21,$A2617=215),$AJ2617=10),"④一般",IF(AND($A2617=31,$AJ2617=41),"⑤短期","対象外")))))</f>
      </c>
      <c r="DC2617" s="2909">
        <f>IF($A2617="","",IF($AB2617&amp;""='DB_設定'!$C$4,1,0))</f>
      </c>
    </row>
    <row r="2618">
      <c r="DB2618" s="2909">
        <f>IF($A2618="","",IF($AH2618=20,IF(AND(OR($A2618=21,$A2618=215),$AJ2618=10),"①病院一般",IF(AND($A2618=31,$AJ2618=41),"②病院短期","対象外")),IF($AJ2618=30,"③特定消防",IF(AND(OR($A2618=21,$A2618=215),$AJ2618=10),"④一般",IF(AND($A2618=31,$AJ2618=41),"⑤短期","対象外")))))</f>
      </c>
      <c r="DC2618" s="2909">
        <f>IF($A2618="","",IF($AB2618&amp;""='DB_設定'!$C$4,1,0))</f>
      </c>
    </row>
    <row r="2619">
      <c r="DB2619" s="2909">
        <f>IF($A2619="","",IF($AH2619=20,IF(AND(OR($A2619=21,$A2619=215),$AJ2619=10),"①病院一般",IF(AND($A2619=31,$AJ2619=41),"②病院短期","対象外")),IF($AJ2619=30,"③特定消防",IF(AND(OR($A2619=21,$A2619=215),$AJ2619=10),"④一般",IF(AND($A2619=31,$AJ2619=41),"⑤短期","対象外")))))</f>
      </c>
      <c r="DC2619" s="2909">
        <f>IF($A2619="","",IF($AB2619&amp;""='DB_設定'!$C$4,1,0))</f>
      </c>
    </row>
    <row r="2620">
      <c r="DB2620" s="2909">
        <f>IF($A2620="","",IF($AH2620=20,IF(AND(OR($A2620=21,$A2620=215),$AJ2620=10),"①病院一般",IF(AND($A2620=31,$AJ2620=41),"②病院短期","対象外")),IF($AJ2620=30,"③特定消防",IF(AND(OR($A2620=21,$A2620=215),$AJ2620=10),"④一般",IF(AND($A2620=31,$AJ2620=41),"⑤短期","対象外")))))</f>
      </c>
      <c r="DC2620" s="2909">
        <f>IF($A2620="","",IF($AB2620&amp;""='DB_設定'!$C$4,1,0))</f>
      </c>
    </row>
    <row r="2621">
      <c r="DB2621" s="2909">
        <f>IF($A2621="","",IF($AH2621=20,IF(AND(OR($A2621=21,$A2621=215),$AJ2621=10),"①病院一般",IF(AND($A2621=31,$AJ2621=41),"②病院短期","対象外")),IF($AJ2621=30,"③特定消防",IF(AND(OR($A2621=21,$A2621=215),$AJ2621=10),"④一般",IF(AND($A2621=31,$AJ2621=41),"⑤短期","対象外")))))</f>
      </c>
      <c r="DC2621" s="2909">
        <f>IF($A2621="","",IF($AB2621&amp;""='DB_設定'!$C$4,1,0))</f>
      </c>
    </row>
    <row r="2622">
      <c r="DB2622" s="2909">
        <f>IF($A2622="","",IF($AH2622=20,IF(AND(OR($A2622=21,$A2622=215),$AJ2622=10),"①病院一般",IF(AND($A2622=31,$AJ2622=41),"②病院短期","対象外")),IF($AJ2622=30,"③特定消防",IF(AND(OR($A2622=21,$A2622=215),$AJ2622=10),"④一般",IF(AND($A2622=31,$AJ2622=41),"⑤短期","対象外")))))</f>
      </c>
      <c r="DC2622" s="2909">
        <f>IF($A2622="","",IF($AB2622&amp;""='DB_設定'!$C$4,1,0))</f>
      </c>
    </row>
    <row r="2623">
      <c r="DB2623" s="2909">
        <f>IF($A2623="","",IF($AH2623=20,IF(AND(OR($A2623=21,$A2623=215),$AJ2623=10),"①病院一般",IF(AND($A2623=31,$AJ2623=41),"②病院短期","対象外")),IF($AJ2623=30,"③特定消防",IF(AND(OR($A2623=21,$A2623=215),$AJ2623=10),"④一般",IF(AND($A2623=31,$AJ2623=41),"⑤短期","対象外")))))</f>
      </c>
      <c r="DC2623" s="2909">
        <f>IF($A2623="","",IF($AB2623&amp;""='DB_設定'!$C$4,1,0))</f>
      </c>
    </row>
    <row r="2624">
      <c r="DB2624" s="2909">
        <f>IF($A2624="","",IF($AH2624=20,IF(AND(OR($A2624=21,$A2624=215),$AJ2624=10),"①病院一般",IF(AND($A2624=31,$AJ2624=41),"②病院短期","対象外")),IF($AJ2624=30,"③特定消防",IF(AND(OR($A2624=21,$A2624=215),$AJ2624=10),"④一般",IF(AND($A2624=31,$AJ2624=41),"⑤短期","対象外")))))</f>
      </c>
      <c r="DC2624" s="2909">
        <f>IF($A2624="","",IF($AB2624&amp;""='DB_設定'!$C$4,1,0))</f>
      </c>
    </row>
    <row r="2625">
      <c r="DB2625" s="2909">
        <f>IF($A2625="","",IF($AH2625=20,IF(AND(OR($A2625=21,$A2625=215),$AJ2625=10),"①病院一般",IF(AND($A2625=31,$AJ2625=41),"②病院短期","対象外")),IF($AJ2625=30,"③特定消防",IF(AND(OR($A2625=21,$A2625=215),$AJ2625=10),"④一般",IF(AND($A2625=31,$AJ2625=41),"⑤短期","対象外")))))</f>
      </c>
      <c r="DC2625" s="2909">
        <f>IF($A2625="","",IF($AB2625&amp;""='DB_設定'!$C$4,1,0))</f>
      </c>
    </row>
    <row r="2626">
      <c r="DB2626" s="2909">
        <f>IF($A2626="","",IF($AH2626=20,IF(AND(OR($A2626=21,$A2626=215),$AJ2626=10),"①病院一般",IF(AND($A2626=31,$AJ2626=41),"②病院短期","対象外")),IF($AJ2626=30,"③特定消防",IF(AND(OR($A2626=21,$A2626=215),$AJ2626=10),"④一般",IF(AND($A2626=31,$AJ2626=41),"⑤短期","対象外")))))</f>
      </c>
      <c r="DC2626" s="2909">
        <f>IF($A2626="","",IF($AB2626&amp;""='DB_設定'!$C$4,1,0))</f>
      </c>
    </row>
    <row r="2627">
      <c r="DB2627" s="2909">
        <f>IF($A2627="","",IF($AH2627=20,IF(AND(OR($A2627=21,$A2627=215),$AJ2627=10),"①病院一般",IF(AND($A2627=31,$AJ2627=41),"②病院短期","対象外")),IF($AJ2627=30,"③特定消防",IF(AND(OR($A2627=21,$A2627=215),$AJ2627=10),"④一般",IF(AND($A2627=31,$AJ2627=41),"⑤短期","対象外")))))</f>
      </c>
      <c r="DC2627" s="2909">
        <f>IF($A2627="","",IF($AB2627&amp;""='DB_設定'!$C$4,1,0))</f>
      </c>
    </row>
    <row r="2628">
      <c r="DB2628" s="2909">
        <f>IF($A2628="","",IF($AH2628=20,IF(AND(OR($A2628=21,$A2628=215),$AJ2628=10),"①病院一般",IF(AND($A2628=31,$AJ2628=41),"②病院短期","対象外")),IF($AJ2628=30,"③特定消防",IF(AND(OR($A2628=21,$A2628=215),$AJ2628=10),"④一般",IF(AND($A2628=31,$AJ2628=41),"⑤短期","対象外")))))</f>
      </c>
      <c r="DC2628" s="2909">
        <f>IF($A2628="","",IF($AB2628&amp;""='DB_設定'!$C$4,1,0))</f>
      </c>
    </row>
    <row r="2629">
      <c r="DB2629" s="2909">
        <f>IF($A2629="","",IF($AH2629=20,IF(AND(OR($A2629=21,$A2629=215),$AJ2629=10),"①病院一般",IF(AND($A2629=31,$AJ2629=41),"②病院短期","対象外")),IF($AJ2629=30,"③特定消防",IF(AND(OR($A2629=21,$A2629=215),$AJ2629=10),"④一般",IF(AND($A2629=31,$AJ2629=41),"⑤短期","対象外")))))</f>
      </c>
      <c r="DC2629" s="2909">
        <f>IF($A2629="","",IF($AB2629&amp;""='DB_設定'!$C$4,1,0))</f>
      </c>
    </row>
    <row r="2630">
      <c r="DB2630" s="2909">
        <f>IF($A2630="","",IF($AH2630=20,IF(AND(OR($A2630=21,$A2630=215),$AJ2630=10),"①病院一般",IF(AND($A2630=31,$AJ2630=41),"②病院短期","対象外")),IF($AJ2630=30,"③特定消防",IF(AND(OR($A2630=21,$A2630=215),$AJ2630=10),"④一般",IF(AND($A2630=31,$AJ2630=41),"⑤短期","対象外")))))</f>
      </c>
      <c r="DC2630" s="2909">
        <f>IF($A2630="","",IF($AB2630&amp;""='DB_設定'!$C$4,1,0))</f>
      </c>
    </row>
    <row r="2631">
      <c r="DB2631" s="2909">
        <f>IF($A2631="","",IF($AH2631=20,IF(AND(OR($A2631=21,$A2631=215),$AJ2631=10),"①病院一般",IF(AND($A2631=31,$AJ2631=41),"②病院短期","対象外")),IF($AJ2631=30,"③特定消防",IF(AND(OR($A2631=21,$A2631=215),$AJ2631=10),"④一般",IF(AND($A2631=31,$AJ2631=41),"⑤短期","対象外")))))</f>
      </c>
      <c r="DC2631" s="2909">
        <f>IF($A2631="","",IF($AB2631&amp;""='DB_設定'!$C$4,1,0))</f>
      </c>
    </row>
    <row r="2632">
      <c r="DB2632" s="2909">
        <f>IF($A2632="","",IF($AH2632=20,IF(AND(OR($A2632=21,$A2632=215),$AJ2632=10),"①病院一般",IF(AND($A2632=31,$AJ2632=41),"②病院短期","対象外")),IF($AJ2632=30,"③特定消防",IF(AND(OR($A2632=21,$A2632=215),$AJ2632=10),"④一般",IF(AND($A2632=31,$AJ2632=41),"⑤短期","対象外")))))</f>
      </c>
      <c r="DC2632" s="2909">
        <f>IF($A2632="","",IF($AB2632&amp;""='DB_設定'!$C$4,1,0))</f>
      </c>
    </row>
    <row r="2633">
      <c r="DB2633" s="2909">
        <f>IF($A2633="","",IF($AH2633=20,IF(AND(OR($A2633=21,$A2633=215),$AJ2633=10),"①病院一般",IF(AND($A2633=31,$AJ2633=41),"②病院短期","対象外")),IF($AJ2633=30,"③特定消防",IF(AND(OR($A2633=21,$A2633=215),$AJ2633=10),"④一般",IF(AND($A2633=31,$AJ2633=41),"⑤短期","対象外")))))</f>
      </c>
      <c r="DC2633" s="2909">
        <f>IF($A2633="","",IF($AB2633&amp;""='DB_設定'!$C$4,1,0))</f>
      </c>
    </row>
    <row r="2634">
      <c r="DB2634" s="2909">
        <f>IF($A2634="","",IF($AH2634=20,IF(AND(OR($A2634=21,$A2634=215),$AJ2634=10),"①病院一般",IF(AND($A2634=31,$AJ2634=41),"②病院短期","対象外")),IF($AJ2634=30,"③特定消防",IF(AND(OR($A2634=21,$A2634=215),$AJ2634=10),"④一般",IF(AND($A2634=31,$AJ2634=41),"⑤短期","対象外")))))</f>
      </c>
      <c r="DC2634" s="2909">
        <f>IF($A2634="","",IF($AB2634&amp;""='DB_設定'!$C$4,1,0))</f>
      </c>
    </row>
    <row r="2635">
      <c r="DB2635" s="2909">
        <f>IF($A2635="","",IF($AH2635=20,IF(AND(OR($A2635=21,$A2635=215),$AJ2635=10),"①病院一般",IF(AND($A2635=31,$AJ2635=41),"②病院短期","対象外")),IF($AJ2635=30,"③特定消防",IF(AND(OR($A2635=21,$A2635=215),$AJ2635=10),"④一般",IF(AND($A2635=31,$AJ2635=41),"⑤短期","対象外")))))</f>
      </c>
      <c r="DC2635" s="2909">
        <f>IF($A2635="","",IF($AB2635&amp;""='DB_設定'!$C$4,1,0))</f>
      </c>
    </row>
    <row r="2636">
      <c r="DB2636" s="2909">
        <f>IF($A2636="","",IF($AH2636=20,IF(AND(OR($A2636=21,$A2636=215),$AJ2636=10),"①病院一般",IF(AND($A2636=31,$AJ2636=41),"②病院短期","対象外")),IF($AJ2636=30,"③特定消防",IF(AND(OR($A2636=21,$A2636=215),$AJ2636=10),"④一般",IF(AND($A2636=31,$AJ2636=41),"⑤短期","対象外")))))</f>
      </c>
      <c r="DC2636" s="2909">
        <f>IF($A2636="","",IF($AB2636&amp;""='DB_設定'!$C$4,1,0))</f>
      </c>
    </row>
    <row r="2637">
      <c r="DB2637" s="2909">
        <f>IF($A2637="","",IF($AH2637=20,IF(AND(OR($A2637=21,$A2637=215),$AJ2637=10),"①病院一般",IF(AND($A2637=31,$AJ2637=41),"②病院短期","対象外")),IF($AJ2637=30,"③特定消防",IF(AND(OR($A2637=21,$A2637=215),$AJ2637=10),"④一般",IF(AND($A2637=31,$AJ2637=41),"⑤短期","対象外")))))</f>
      </c>
      <c r="DC2637" s="2909">
        <f>IF($A2637="","",IF($AB2637&amp;""='DB_設定'!$C$4,1,0))</f>
      </c>
    </row>
    <row r="2638">
      <c r="DB2638" s="2909">
        <f>IF($A2638="","",IF($AH2638=20,IF(AND(OR($A2638=21,$A2638=215),$AJ2638=10),"①病院一般",IF(AND($A2638=31,$AJ2638=41),"②病院短期","対象外")),IF($AJ2638=30,"③特定消防",IF(AND(OR($A2638=21,$A2638=215),$AJ2638=10),"④一般",IF(AND($A2638=31,$AJ2638=41),"⑤短期","対象外")))))</f>
      </c>
      <c r="DC2638" s="2909">
        <f>IF($A2638="","",IF($AB2638&amp;""='DB_設定'!$C$4,1,0))</f>
      </c>
    </row>
    <row r="2639">
      <c r="DB2639" s="2909">
        <f>IF($A2639="","",IF($AH2639=20,IF(AND(OR($A2639=21,$A2639=215),$AJ2639=10),"①病院一般",IF(AND($A2639=31,$AJ2639=41),"②病院短期","対象外")),IF($AJ2639=30,"③特定消防",IF(AND(OR($A2639=21,$A2639=215),$AJ2639=10),"④一般",IF(AND($A2639=31,$AJ2639=41),"⑤短期","対象外")))))</f>
      </c>
      <c r="DC2639" s="2909">
        <f>IF($A2639="","",IF($AB2639&amp;""='DB_設定'!$C$4,1,0))</f>
      </c>
    </row>
    <row r="2640">
      <c r="DB2640" s="2909">
        <f>IF($A2640="","",IF($AH2640=20,IF(AND(OR($A2640=21,$A2640=215),$AJ2640=10),"①病院一般",IF(AND($A2640=31,$AJ2640=41),"②病院短期","対象外")),IF($AJ2640=30,"③特定消防",IF(AND(OR($A2640=21,$A2640=215),$AJ2640=10),"④一般",IF(AND($A2640=31,$AJ2640=41),"⑤短期","対象外")))))</f>
      </c>
      <c r="DC2640" s="2909">
        <f>IF($A2640="","",IF($AB2640&amp;""='DB_設定'!$C$4,1,0))</f>
      </c>
    </row>
    <row r="2641">
      <c r="DB2641" s="2909">
        <f>IF($A2641="","",IF($AH2641=20,IF(AND(OR($A2641=21,$A2641=215),$AJ2641=10),"①病院一般",IF(AND($A2641=31,$AJ2641=41),"②病院短期","対象外")),IF($AJ2641=30,"③特定消防",IF(AND(OR($A2641=21,$A2641=215),$AJ2641=10),"④一般",IF(AND($A2641=31,$AJ2641=41),"⑤短期","対象外")))))</f>
      </c>
      <c r="DC2641" s="2909">
        <f>IF($A2641="","",IF($AB2641&amp;""='DB_設定'!$C$4,1,0))</f>
      </c>
    </row>
    <row r="2642">
      <c r="DB2642" s="2909">
        <f>IF($A2642="","",IF($AH2642=20,IF(AND(OR($A2642=21,$A2642=215),$AJ2642=10),"①病院一般",IF(AND($A2642=31,$AJ2642=41),"②病院短期","対象外")),IF($AJ2642=30,"③特定消防",IF(AND(OR($A2642=21,$A2642=215),$AJ2642=10),"④一般",IF(AND($A2642=31,$AJ2642=41),"⑤短期","対象外")))))</f>
      </c>
      <c r="DC2642" s="2909">
        <f>IF($A2642="","",IF($AB2642&amp;""='DB_設定'!$C$4,1,0))</f>
      </c>
    </row>
    <row r="2643">
      <c r="DB2643" s="2909">
        <f>IF($A2643="","",IF($AH2643=20,IF(AND(OR($A2643=21,$A2643=215),$AJ2643=10),"①病院一般",IF(AND($A2643=31,$AJ2643=41),"②病院短期","対象外")),IF($AJ2643=30,"③特定消防",IF(AND(OR($A2643=21,$A2643=215),$AJ2643=10),"④一般",IF(AND($A2643=31,$AJ2643=41),"⑤短期","対象外")))))</f>
      </c>
      <c r="DC2643" s="2909">
        <f>IF($A2643="","",IF($AB2643&amp;""='DB_設定'!$C$4,1,0))</f>
      </c>
    </row>
    <row r="2644">
      <c r="DB2644" s="2909">
        <f>IF($A2644="","",IF($AH2644=20,IF(AND(OR($A2644=21,$A2644=215),$AJ2644=10),"①病院一般",IF(AND($A2644=31,$AJ2644=41),"②病院短期","対象外")),IF($AJ2644=30,"③特定消防",IF(AND(OR($A2644=21,$A2644=215),$AJ2644=10),"④一般",IF(AND($A2644=31,$AJ2644=41),"⑤短期","対象外")))))</f>
      </c>
      <c r="DC2644" s="2909">
        <f>IF($A2644="","",IF($AB2644&amp;""='DB_設定'!$C$4,1,0))</f>
      </c>
    </row>
    <row r="2645">
      <c r="DB2645" s="2909">
        <f>IF($A2645="","",IF($AH2645=20,IF(AND(OR($A2645=21,$A2645=215),$AJ2645=10),"①病院一般",IF(AND($A2645=31,$AJ2645=41),"②病院短期","対象外")),IF($AJ2645=30,"③特定消防",IF(AND(OR($A2645=21,$A2645=215),$AJ2645=10),"④一般",IF(AND($A2645=31,$AJ2645=41),"⑤短期","対象外")))))</f>
      </c>
      <c r="DC2645" s="2909">
        <f>IF($A2645="","",IF($AB2645&amp;""='DB_設定'!$C$4,1,0))</f>
      </c>
    </row>
    <row r="2646">
      <c r="DB2646" s="2909">
        <f>IF($A2646="","",IF($AH2646=20,IF(AND(OR($A2646=21,$A2646=215),$AJ2646=10),"①病院一般",IF(AND($A2646=31,$AJ2646=41),"②病院短期","対象外")),IF($AJ2646=30,"③特定消防",IF(AND(OR($A2646=21,$A2646=215),$AJ2646=10),"④一般",IF(AND($A2646=31,$AJ2646=41),"⑤短期","対象外")))))</f>
      </c>
      <c r="DC2646" s="2909">
        <f>IF($A2646="","",IF($AB2646&amp;""='DB_設定'!$C$4,1,0))</f>
      </c>
    </row>
    <row r="2647">
      <c r="DB2647" s="2909">
        <f>IF($A2647="","",IF($AH2647=20,IF(AND(OR($A2647=21,$A2647=215),$AJ2647=10),"①病院一般",IF(AND($A2647=31,$AJ2647=41),"②病院短期","対象外")),IF($AJ2647=30,"③特定消防",IF(AND(OR($A2647=21,$A2647=215),$AJ2647=10),"④一般",IF(AND($A2647=31,$AJ2647=41),"⑤短期","対象外")))))</f>
      </c>
      <c r="DC2647" s="2909">
        <f>IF($A2647="","",IF($AB2647&amp;""='DB_設定'!$C$4,1,0))</f>
      </c>
    </row>
    <row r="2648">
      <c r="DB2648" s="2909">
        <f>IF($A2648="","",IF($AH2648=20,IF(AND(OR($A2648=21,$A2648=215),$AJ2648=10),"①病院一般",IF(AND($A2648=31,$AJ2648=41),"②病院短期","対象外")),IF($AJ2648=30,"③特定消防",IF(AND(OR($A2648=21,$A2648=215),$AJ2648=10),"④一般",IF(AND($A2648=31,$AJ2648=41),"⑤短期","対象外")))))</f>
      </c>
      <c r="DC2648" s="2909">
        <f>IF($A2648="","",IF($AB2648&amp;""='DB_設定'!$C$4,1,0))</f>
      </c>
    </row>
    <row r="2649">
      <c r="DB2649" s="2909">
        <f>IF($A2649="","",IF($AH2649=20,IF(AND(OR($A2649=21,$A2649=215),$AJ2649=10),"①病院一般",IF(AND($A2649=31,$AJ2649=41),"②病院短期","対象外")),IF($AJ2649=30,"③特定消防",IF(AND(OR($A2649=21,$A2649=215),$AJ2649=10),"④一般",IF(AND($A2649=31,$AJ2649=41),"⑤短期","対象外")))))</f>
      </c>
      <c r="DC2649" s="2909">
        <f>IF($A2649="","",IF($AB2649&amp;""='DB_設定'!$C$4,1,0))</f>
      </c>
    </row>
    <row r="2650">
      <c r="DB2650" s="2909">
        <f>IF($A2650="","",IF($AH2650=20,IF(AND(OR($A2650=21,$A2650=215),$AJ2650=10),"①病院一般",IF(AND($A2650=31,$AJ2650=41),"②病院短期","対象外")),IF($AJ2650=30,"③特定消防",IF(AND(OR($A2650=21,$A2650=215),$AJ2650=10),"④一般",IF(AND($A2650=31,$AJ2650=41),"⑤短期","対象外")))))</f>
      </c>
      <c r="DC2650" s="2909">
        <f>IF($A2650="","",IF($AB2650&amp;""='DB_設定'!$C$4,1,0))</f>
      </c>
    </row>
    <row r="2651">
      <c r="DB2651" s="2909">
        <f>IF($A2651="","",IF($AH2651=20,IF(AND(OR($A2651=21,$A2651=215),$AJ2651=10),"①病院一般",IF(AND($A2651=31,$AJ2651=41),"②病院短期","対象外")),IF($AJ2651=30,"③特定消防",IF(AND(OR($A2651=21,$A2651=215),$AJ2651=10),"④一般",IF(AND($A2651=31,$AJ2651=41),"⑤短期","対象外")))))</f>
      </c>
      <c r="DC2651" s="2909">
        <f>IF($A2651="","",IF($AB2651&amp;""='DB_設定'!$C$4,1,0))</f>
      </c>
    </row>
    <row r="2652">
      <c r="DB2652" s="2909">
        <f>IF($A2652="","",IF($AH2652=20,IF(AND(OR($A2652=21,$A2652=215),$AJ2652=10),"①病院一般",IF(AND($A2652=31,$AJ2652=41),"②病院短期","対象外")),IF($AJ2652=30,"③特定消防",IF(AND(OR($A2652=21,$A2652=215),$AJ2652=10),"④一般",IF(AND($A2652=31,$AJ2652=41),"⑤短期","対象外")))))</f>
      </c>
      <c r="DC2652" s="2909">
        <f>IF($A2652="","",IF($AB2652&amp;""='DB_設定'!$C$4,1,0))</f>
      </c>
    </row>
    <row r="2653">
      <c r="DB2653" s="2909">
        <f>IF($A2653="","",IF($AH2653=20,IF(AND(OR($A2653=21,$A2653=215),$AJ2653=10),"①病院一般",IF(AND($A2653=31,$AJ2653=41),"②病院短期","対象外")),IF($AJ2653=30,"③特定消防",IF(AND(OR($A2653=21,$A2653=215),$AJ2653=10),"④一般",IF(AND($A2653=31,$AJ2653=41),"⑤短期","対象外")))))</f>
      </c>
      <c r="DC2653" s="2909">
        <f>IF($A2653="","",IF($AB2653&amp;""='DB_設定'!$C$4,1,0))</f>
      </c>
    </row>
    <row r="2654">
      <c r="DB2654" s="2909">
        <f>IF($A2654="","",IF($AH2654=20,IF(AND(OR($A2654=21,$A2654=215),$AJ2654=10),"①病院一般",IF(AND($A2654=31,$AJ2654=41),"②病院短期","対象外")),IF($AJ2654=30,"③特定消防",IF(AND(OR($A2654=21,$A2654=215),$AJ2654=10),"④一般",IF(AND($A2654=31,$AJ2654=41),"⑤短期","対象外")))))</f>
      </c>
      <c r="DC2654" s="2909">
        <f>IF($A2654="","",IF($AB2654&amp;""='DB_設定'!$C$4,1,0))</f>
      </c>
    </row>
    <row r="2655">
      <c r="DB2655" s="2909">
        <f>IF($A2655="","",IF($AH2655=20,IF(AND(OR($A2655=21,$A2655=215),$AJ2655=10),"①病院一般",IF(AND($A2655=31,$AJ2655=41),"②病院短期","対象外")),IF($AJ2655=30,"③特定消防",IF(AND(OR($A2655=21,$A2655=215),$AJ2655=10),"④一般",IF(AND($A2655=31,$AJ2655=41),"⑤短期","対象外")))))</f>
      </c>
      <c r="DC2655" s="2909">
        <f>IF($A2655="","",IF($AB2655&amp;""='DB_設定'!$C$4,1,0))</f>
      </c>
    </row>
    <row r="2656">
      <c r="DB2656" s="2909">
        <f>IF($A2656="","",IF($AH2656=20,IF(AND(OR($A2656=21,$A2656=215),$AJ2656=10),"①病院一般",IF(AND($A2656=31,$AJ2656=41),"②病院短期","対象外")),IF($AJ2656=30,"③特定消防",IF(AND(OR($A2656=21,$A2656=215),$AJ2656=10),"④一般",IF(AND($A2656=31,$AJ2656=41),"⑤短期","対象外")))))</f>
      </c>
      <c r="DC2656" s="2909">
        <f>IF($A2656="","",IF($AB2656&amp;""='DB_設定'!$C$4,1,0))</f>
      </c>
    </row>
    <row r="2657">
      <c r="DB2657" s="2909">
        <f>IF($A2657="","",IF($AH2657=20,IF(AND(OR($A2657=21,$A2657=215),$AJ2657=10),"①病院一般",IF(AND($A2657=31,$AJ2657=41),"②病院短期","対象外")),IF($AJ2657=30,"③特定消防",IF(AND(OR($A2657=21,$A2657=215),$AJ2657=10),"④一般",IF(AND($A2657=31,$AJ2657=41),"⑤短期","対象外")))))</f>
      </c>
      <c r="DC2657" s="2909">
        <f>IF($A2657="","",IF($AB2657&amp;""='DB_設定'!$C$4,1,0))</f>
      </c>
    </row>
    <row r="2658">
      <c r="DB2658" s="2909">
        <f>IF($A2658="","",IF($AH2658=20,IF(AND(OR($A2658=21,$A2658=215),$AJ2658=10),"①病院一般",IF(AND($A2658=31,$AJ2658=41),"②病院短期","対象外")),IF($AJ2658=30,"③特定消防",IF(AND(OR($A2658=21,$A2658=215),$AJ2658=10),"④一般",IF(AND($A2658=31,$AJ2658=41),"⑤短期","対象外")))))</f>
      </c>
      <c r="DC2658" s="2909">
        <f>IF($A2658="","",IF($AB2658&amp;""='DB_設定'!$C$4,1,0))</f>
      </c>
    </row>
    <row r="2659">
      <c r="DB2659" s="2909">
        <f>IF($A2659="","",IF($AH2659=20,IF(AND(OR($A2659=21,$A2659=215),$AJ2659=10),"①病院一般",IF(AND($A2659=31,$AJ2659=41),"②病院短期","対象外")),IF($AJ2659=30,"③特定消防",IF(AND(OR($A2659=21,$A2659=215),$AJ2659=10),"④一般",IF(AND($A2659=31,$AJ2659=41),"⑤短期","対象外")))))</f>
      </c>
      <c r="DC2659" s="2909">
        <f>IF($A2659="","",IF($AB2659&amp;""='DB_設定'!$C$4,1,0))</f>
      </c>
    </row>
    <row r="2660">
      <c r="DB2660" s="2909">
        <f>IF($A2660="","",IF($AH2660=20,IF(AND(OR($A2660=21,$A2660=215),$AJ2660=10),"①病院一般",IF(AND($A2660=31,$AJ2660=41),"②病院短期","対象外")),IF($AJ2660=30,"③特定消防",IF(AND(OR($A2660=21,$A2660=215),$AJ2660=10),"④一般",IF(AND($A2660=31,$AJ2660=41),"⑤短期","対象外")))))</f>
      </c>
      <c r="DC2660" s="2909">
        <f>IF($A2660="","",IF($AB2660&amp;""='DB_設定'!$C$4,1,0))</f>
      </c>
    </row>
    <row r="2661">
      <c r="DB2661" s="2909">
        <f>IF($A2661="","",IF($AH2661=20,IF(AND(OR($A2661=21,$A2661=215),$AJ2661=10),"①病院一般",IF(AND($A2661=31,$AJ2661=41),"②病院短期","対象外")),IF($AJ2661=30,"③特定消防",IF(AND(OR($A2661=21,$A2661=215),$AJ2661=10),"④一般",IF(AND($A2661=31,$AJ2661=41),"⑤短期","対象外")))))</f>
      </c>
      <c r="DC2661" s="2909">
        <f>IF($A2661="","",IF($AB2661&amp;""='DB_設定'!$C$4,1,0))</f>
      </c>
    </row>
    <row r="2662">
      <c r="DB2662" s="2909">
        <f>IF($A2662="","",IF($AH2662=20,IF(AND(OR($A2662=21,$A2662=215),$AJ2662=10),"①病院一般",IF(AND($A2662=31,$AJ2662=41),"②病院短期","対象外")),IF($AJ2662=30,"③特定消防",IF(AND(OR($A2662=21,$A2662=215),$AJ2662=10),"④一般",IF(AND($A2662=31,$AJ2662=41),"⑤短期","対象外")))))</f>
      </c>
      <c r="DC2662" s="2909">
        <f>IF($A2662="","",IF($AB2662&amp;""='DB_設定'!$C$4,1,0))</f>
      </c>
    </row>
    <row r="2663">
      <c r="DB2663" s="2909">
        <f>IF($A2663="","",IF($AH2663=20,IF(AND(OR($A2663=21,$A2663=215),$AJ2663=10),"①病院一般",IF(AND($A2663=31,$AJ2663=41),"②病院短期","対象外")),IF($AJ2663=30,"③特定消防",IF(AND(OR($A2663=21,$A2663=215),$AJ2663=10),"④一般",IF(AND($A2663=31,$AJ2663=41),"⑤短期","対象外")))))</f>
      </c>
      <c r="DC2663" s="2909">
        <f>IF($A2663="","",IF($AB2663&amp;""='DB_設定'!$C$4,1,0))</f>
      </c>
    </row>
    <row r="2664">
      <c r="DB2664" s="2909">
        <f>IF($A2664="","",IF($AH2664=20,IF(AND(OR($A2664=21,$A2664=215),$AJ2664=10),"①病院一般",IF(AND($A2664=31,$AJ2664=41),"②病院短期","対象外")),IF($AJ2664=30,"③特定消防",IF(AND(OR($A2664=21,$A2664=215),$AJ2664=10),"④一般",IF(AND($A2664=31,$AJ2664=41),"⑤短期","対象外")))))</f>
      </c>
      <c r="DC2664" s="2909">
        <f>IF($A2664="","",IF($AB2664&amp;""='DB_設定'!$C$4,1,0))</f>
      </c>
    </row>
    <row r="2665">
      <c r="DB2665" s="2909">
        <f>IF($A2665="","",IF($AH2665=20,IF(AND(OR($A2665=21,$A2665=215),$AJ2665=10),"①病院一般",IF(AND($A2665=31,$AJ2665=41),"②病院短期","対象外")),IF($AJ2665=30,"③特定消防",IF(AND(OR($A2665=21,$A2665=215),$AJ2665=10),"④一般",IF(AND($A2665=31,$AJ2665=41),"⑤短期","対象外")))))</f>
      </c>
      <c r="DC2665" s="2909">
        <f>IF($A2665="","",IF($AB2665&amp;""='DB_設定'!$C$4,1,0))</f>
      </c>
    </row>
    <row r="2666">
      <c r="DB2666" s="2909">
        <f>IF($A2666="","",IF($AH2666=20,IF(AND(OR($A2666=21,$A2666=215),$AJ2666=10),"①病院一般",IF(AND($A2666=31,$AJ2666=41),"②病院短期","対象外")),IF($AJ2666=30,"③特定消防",IF(AND(OR($A2666=21,$A2666=215),$AJ2666=10),"④一般",IF(AND($A2666=31,$AJ2666=41),"⑤短期","対象外")))))</f>
      </c>
      <c r="DC2666" s="2909">
        <f>IF($A2666="","",IF($AB2666&amp;""='DB_設定'!$C$4,1,0))</f>
      </c>
    </row>
    <row r="2667">
      <c r="DB2667" s="2909">
        <f>IF($A2667="","",IF($AH2667=20,IF(AND(OR($A2667=21,$A2667=215),$AJ2667=10),"①病院一般",IF(AND($A2667=31,$AJ2667=41),"②病院短期","対象外")),IF($AJ2667=30,"③特定消防",IF(AND(OR($A2667=21,$A2667=215),$AJ2667=10),"④一般",IF(AND($A2667=31,$AJ2667=41),"⑤短期","対象外")))))</f>
      </c>
      <c r="DC2667" s="2909">
        <f>IF($A2667="","",IF($AB2667&amp;""='DB_設定'!$C$4,1,0))</f>
      </c>
    </row>
    <row r="2668">
      <c r="DB2668" s="2909">
        <f>IF($A2668="","",IF($AH2668=20,IF(AND(OR($A2668=21,$A2668=215),$AJ2668=10),"①病院一般",IF(AND($A2668=31,$AJ2668=41),"②病院短期","対象外")),IF($AJ2668=30,"③特定消防",IF(AND(OR($A2668=21,$A2668=215),$AJ2668=10),"④一般",IF(AND($A2668=31,$AJ2668=41),"⑤短期","対象外")))))</f>
      </c>
      <c r="DC2668" s="2909">
        <f>IF($A2668="","",IF($AB2668&amp;""='DB_設定'!$C$4,1,0))</f>
      </c>
    </row>
    <row r="2669">
      <c r="DB2669" s="2909">
        <f>IF($A2669="","",IF($AH2669=20,IF(AND(OR($A2669=21,$A2669=215),$AJ2669=10),"①病院一般",IF(AND($A2669=31,$AJ2669=41),"②病院短期","対象外")),IF($AJ2669=30,"③特定消防",IF(AND(OR($A2669=21,$A2669=215),$AJ2669=10),"④一般",IF(AND($A2669=31,$AJ2669=41),"⑤短期","対象外")))))</f>
      </c>
      <c r="DC2669" s="2909">
        <f>IF($A2669="","",IF($AB2669&amp;""='DB_設定'!$C$4,1,0))</f>
      </c>
    </row>
    <row r="2670">
      <c r="DB2670" s="2909">
        <f>IF($A2670="","",IF($AH2670=20,IF(AND(OR($A2670=21,$A2670=215),$AJ2670=10),"①病院一般",IF(AND($A2670=31,$AJ2670=41),"②病院短期","対象外")),IF($AJ2670=30,"③特定消防",IF(AND(OR($A2670=21,$A2670=215),$AJ2670=10),"④一般",IF(AND($A2670=31,$AJ2670=41),"⑤短期","対象外")))))</f>
      </c>
      <c r="DC2670" s="2909">
        <f>IF($A2670="","",IF($AB2670&amp;""='DB_設定'!$C$4,1,0))</f>
      </c>
    </row>
    <row r="2671">
      <c r="DB2671" s="2909">
        <f>IF($A2671="","",IF($AH2671=20,IF(AND(OR($A2671=21,$A2671=215),$AJ2671=10),"①病院一般",IF(AND($A2671=31,$AJ2671=41),"②病院短期","対象外")),IF($AJ2671=30,"③特定消防",IF(AND(OR($A2671=21,$A2671=215),$AJ2671=10),"④一般",IF(AND($A2671=31,$AJ2671=41),"⑤短期","対象外")))))</f>
      </c>
      <c r="DC2671" s="2909">
        <f>IF($A2671="","",IF($AB2671&amp;""='DB_設定'!$C$4,1,0))</f>
      </c>
    </row>
    <row r="2672">
      <c r="DB2672" s="2909">
        <f>IF($A2672="","",IF($AH2672=20,IF(AND(OR($A2672=21,$A2672=215),$AJ2672=10),"①病院一般",IF(AND($A2672=31,$AJ2672=41),"②病院短期","対象外")),IF($AJ2672=30,"③特定消防",IF(AND(OR($A2672=21,$A2672=215),$AJ2672=10),"④一般",IF(AND($A2672=31,$AJ2672=41),"⑤短期","対象外")))))</f>
      </c>
      <c r="DC2672" s="2909">
        <f>IF($A2672="","",IF($AB2672&amp;""='DB_設定'!$C$4,1,0))</f>
      </c>
    </row>
    <row r="2673">
      <c r="DB2673" s="2909">
        <f>IF($A2673="","",IF($AH2673=20,IF(AND(OR($A2673=21,$A2673=215),$AJ2673=10),"①病院一般",IF(AND($A2673=31,$AJ2673=41),"②病院短期","対象外")),IF($AJ2673=30,"③特定消防",IF(AND(OR($A2673=21,$A2673=215),$AJ2673=10),"④一般",IF(AND($A2673=31,$AJ2673=41),"⑤短期","対象外")))))</f>
      </c>
      <c r="DC2673" s="2909">
        <f>IF($A2673="","",IF($AB2673&amp;""='DB_設定'!$C$4,1,0))</f>
      </c>
    </row>
    <row r="2674">
      <c r="DB2674" s="2909">
        <f>IF($A2674="","",IF($AH2674=20,IF(AND(OR($A2674=21,$A2674=215),$AJ2674=10),"①病院一般",IF(AND($A2674=31,$AJ2674=41),"②病院短期","対象外")),IF($AJ2674=30,"③特定消防",IF(AND(OR($A2674=21,$A2674=215),$AJ2674=10),"④一般",IF(AND($A2674=31,$AJ2674=41),"⑤短期","対象外")))))</f>
      </c>
      <c r="DC2674" s="2909">
        <f>IF($A2674="","",IF($AB2674&amp;""='DB_設定'!$C$4,1,0))</f>
      </c>
    </row>
    <row r="2675">
      <c r="DB2675" s="2909">
        <f>IF($A2675="","",IF($AH2675=20,IF(AND(OR($A2675=21,$A2675=215),$AJ2675=10),"①病院一般",IF(AND($A2675=31,$AJ2675=41),"②病院短期","対象外")),IF($AJ2675=30,"③特定消防",IF(AND(OR($A2675=21,$A2675=215),$AJ2675=10),"④一般",IF(AND($A2675=31,$AJ2675=41),"⑤短期","対象外")))))</f>
      </c>
      <c r="DC2675" s="2909">
        <f>IF($A2675="","",IF($AB2675&amp;""='DB_設定'!$C$4,1,0))</f>
      </c>
    </row>
    <row r="2676">
      <c r="DB2676" s="2909">
        <f>IF($A2676="","",IF($AH2676=20,IF(AND(OR($A2676=21,$A2676=215),$AJ2676=10),"①病院一般",IF(AND($A2676=31,$AJ2676=41),"②病院短期","対象外")),IF($AJ2676=30,"③特定消防",IF(AND(OR($A2676=21,$A2676=215),$AJ2676=10),"④一般",IF(AND($A2676=31,$AJ2676=41),"⑤短期","対象外")))))</f>
      </c>
      <c r="DC2676" s="2909">
        <f>IF($A2676="","",IF($AB2676&amp;""='DB_設定'!$C$4,1,0))</f>
      </c>
    </row>
    <row r="2677">
      <c r="DB2677" s="2909">
        <f>IF($A2677="","",IF($AH2677=20,IF(AND(OR($A2677=21,$A2677=215),$AJ2677=10),"①病院一般",IF(AND($A2677=31,$AJ2677=41),"②病院短期","対象外")),IF($AJ2677=30,"③特定消防",IF(AND(OR($A2677=21,$A2677=215),$AJ2677=10),"④一般",IF(AND($A2677=31,$AJ2677=41),"⑤短期","対象外")))))</f>
      </c>
      <c r="DC2677" s="2909">
        <f>IF($A2677="","",IF($AB2677&amp;""='DB_設定'!$C$4,1,0))</f>
      </c>
    </row>
    <row r="2678">
      <c r="DB2678" s="2909">
        <f>IF($A2678="","",IF($AH2678=20,IF(AND(OR($A2678=21,$A2678=215),$AJ2678=10),"①病院一般",IF(AND($A2678=31,$AJ2678=41),"②病院短期","対象外")),IF($AJ2678=30,"③特定消防",IF(AND(OR($A2678=21,$A2678=215),$AJ2678=10),"④一般",IF(AND($A2678=31,$AJ2678=41),"⑤短期","対象外")))))</f>
      </c>
      <c r="DC2678" s="2909">
        <f>IF($A2678="","",IF($AB2678&amp;""='DB_設定'!$C$4,1,0))</f>
      </c>
    </row>
    <row r="2679">
      <c r="DB2679" s="2909">
        <f>IF($A2679="","",IF($AH2679=20,IF(AND(OR($A2679=21,$A2679=215),$AJ2679=10),"①病院一般",IF(AND($A2679=31,$AJ2679=41),"②病院短期","対象外")),IF($AJ2679=30,"③特定消防",IF(AND(OR($A2679=21,$A2679=215),$AJ2679=10),"④一般",IF(AND($A2679=31,$AJ2679=41),"⑤短期","対象外")))))</f>
      </c>
      <c r="DC2679" s="2909">
        <f>IF($A2679="","",IF($AB2679&amp;""='DB_設定'!$C$4,1,0))</f>
      </c>
    </row>
    <row r="2680">
      <c r="DB2680" s="2909">
        <f>IF($A2680="","",IF($AH2680=20,IF(AND(OR($A2680=21,$A2680=215),$AJ2680=10),"①病院一般",IF(AND($A2680=31,$AJ2680=41),"②病院短期","対象外")),IF($AJ2680=30,"③特定消防",IF(AND(OR($A2680=21,$A2680=215),$AJ2680=10),"④一般",IF(AND($A2680=31,$AJ2680=41),"⑤短期","対象外")))))</f>
      </c>
      <c r="DC2680" s="2909">
        <f>IF($A2680="","",IF($AB2680&amp;""='DB_設定'!$C$4,1,0))</f>
      </c>
    </row>
    <row r="2681">
      <c r="DB2681" s="2909">
        <f>IF($A2681="","",IF($AH2681=20,IF(AND(OR($A2681=21,$A2681=215),$AJ2681=10),"①病院一般",IF(AND($A2681=31,$AJ2681=41),"②病院短期","対象外")),IF($AJ2681=30,"③特定消防",IF(AND(OR($A2681=21,$A2681=215),$AJ2681=10),"④一般",IF(AND($A2681=31,$AJ2681=41),"⑤短期","対象外")))))</f>
      </c>
      <c r="DC2681" s="2909">
        <f>IF($A2681="","",IF($AB2681&amp;""='DB_設定'!$C$4,1,0))</f>
      </c>
    </row>
    <row r="2682">
      <c r="DB2682" s="2909">
        <f>IF($A2682="","",IF($AH2682=20,IF(AND(OR($A2682=21,$A2682=215),$AJ2682=10),"①病院一般",IF(AND($A2682=31,$AJ2682=41),"②病院短期","対象外")),IF($AJ2682=30,"③特定消防",IF(AND(OR($A2682=21,$A2682=215),$AJ2682=10),"④一般",IF(AND($A2682=31,$AJ2682=41),"⑤短期","対象外")))))</f>
      </c>
      <c r="DC2682" s="2909">
        <f>IF($A2682="","",IF($AB2682&amp;""='DB_設定'!$C$4,1,0))</f>
      </c>
    </row>
    <row r="2683">
      <c r="DB2683" s="2909">
        <f>IF($A2683="","",IF($AH2683=20,IF(AND(OR($A2683=21,$A2683=215),$AJ2683=10),"①病院一般",IF(AND($A2683=31,$AJ2683=41),"②病院短期","対象外")),IF($AJ2683=30,"③特定消防",IF(AND(OR($A2683=21,$A2683=215),$AJ2683=10),"④一般",IF(AND($A2683=31,$AJ2683=41),"⑤短期","対象外")))))</f>
      </c>
      <c r="DC2683" s="2909">
        <f>IF($A2683="","",IF($AB2683&amp;""='DB_設定'!$C$4,1,0))</f>
      </c>
    </row>
    <row r="2684">
      <c r="DB2684" s="2909">
        <f>IF($A2684="","",IF($AH2684=20,IF(AND(OR($A2684=21,$A2684=215),$AJ2684=10),"①病院一般",IF(AND($A2684=31,$AJ2684=41),"②病院短期","対象外")),IF($AJ2684=30,"③特定消防",IF(AND(OR($A2684=21,$A2684=215),$AJ2684=10),"④一般",IF(AND($A2684=31,$AJ2684=41),"⑤短期","対象外")))))</f>
      </c>
      <c r="DC2684" s="2909">
        <f>IF($A2684="","",IF($AB2684&amp;""='DB_設定'!$C$4,1,0))</f>
      </c>
    </row>
    <row r="2685">
      <c r="DB2685" s="2909">
        <f>IF($A2685="","",IF($AH2685=20,IF(AND(OR($A2685=21,$A2685=215),$AJ2685=10),"①病院一般",IF(AND($A2685=31,$AJ2685=41),"②病院短期","対象外")),IF($AJ2685=30,"③特定消防",IF(AND(OR($A2685=21,$A2685=215),$AJ2685=10),"④一般",IF(AND($A2685=31,$AJ2685=41),"⑤短期","対象外")))))</f>
      </c>
      <c r="DC2685" s="2909">
        <f>IF($A2685="","",IF($AB2685&amp;""='DB_設定'!$C$4,1,0))</f>
      </c>
    </row>
    <row r="2686">
      <c r="DB2686" s="2909">
        <f>IF($A2686="","",IF($AH2686=20,IF(AND(OR($A2686=21,$A2686=215),$AJ2686=10),"①病院一般",IF(AND($A2686=31,$AJ2686=41),"②病院短期","対象外")),IF($AJ2686=30,"③特定消防",IF(AND(OR($A2686=21,$A2686=215),$AJ2686=10),"④一般",IF(AND($A2686=31,$AJ2686=41),"⑤短期","対象外")))))</f>
      </c>
      <c r="DC2686" s="2909">
        <f>IF($A2686="","",IF($AB2686&amp;""='DB_設定'!$C$4,1,0))</f>
      </c>
    </row>
    <row r="2687">
      <c r="DB2687" s="2909">
        <f>IF($A2687="","",IF($AH2687=20,IF(AND(OR($A2687=21,$A2687=215),$AJ2687=10),"①病院一般",IF(AND($A2687=31,$AJ2687=41),"②病院短期","対象外")),IF($AJ2687=30,"③特定消防",IF(AND(OR($A2687=21,$A2687=215),$AJ2687=10),"④一般",IF(AND($A2687=31,$AJ2687=41),"⑤短期","対象外")))))</f>
      </c>
      <c r="DC2687" s="2909">
        <f>IF($A2687="","",IF($AB2687&amp;""='DB_設定'!$C$4,1,0))</f>
      </c>
    </row>
    <row r="2688">
      <c r="DB2688" s="2909">
        <f>IF($A2688="","",IF($AH2688=20,IF(AND(OR($A2688=21,$A2688=215),$AJ2688=10),"①病院一般",IF(AND($A2688=31,$AJ2688=41),"②病院短期","対象外")),IF($AJ2688=30,"③特定消防",IF(AND(OR($A2688=21,$A2688=215),$AJ2688=10),"④一般",IF(AND($A2688=31,$AJ2688=41),"⑤短期","対象外")))))</f>
      </c>
      <c r="DC2688" s="2909">
        <f>IF($A2688="","",IF($AB2688&amp;""='DB_設定'!$C$4,1,0))</f>
      </c>
    </row>
    <row r="2689">
      <c r="DB2689" s="2909">
        <f>IF($A2689="","",IF($AH2689=20,IF(AND(OR($A2689=21,$A2689=215),$AJ2689=10),"①病院一般",IF(AND($A2689=31,$AJ2689=41),"②病院短期","対象外")),IF($AJ2689=30,"③特定消防",IF(AND(OR($A2689=21,$A2689=215),$AJ2689=10),"④一般",IF(AND($A2689=31,$AJ2689=41),"⑤短期","対象外")))))</f>
      </c>
      <c r="DC2689" s="2909">
        <f>IF($A2689="","",IF($AB2689&amp;""='DB_設定'!$C$4,1,0))</f>
      </c>
    </row>
    <row r="2690">
      <c r="DB2690" s="2909">
        <f>IF($A2690="","",IF($AH2690=20,IF(AND(OR($A2690=21,$A2690=215),$AJ2690=10),"①病院一般",IF(AND($A2690=31,$AJ2690=41),"②病院短期","対象外")),IF($AJ2690=30,"③特定消防",IF(AND(OR($A2690=21,$A2690=215),$AJ2690=10),"④一般",IF(AND($A2690=31,$AJ2690=41),"⑤短期","対象外")))))</f>
      </c>
      <c r="DC2690" s="2909">
        <f>IF($A2690="","",IF($AB2690&amp;""='DB_設定'!$C$4,1,0))</f>
      </c>
    </row>
    <row r="2691">
      <c r="DB2691" s="2909">
        <f>IF($A2691="","",IF($AH2691=20,IF(AND(OR($A2691=21,$A2691=215),$AJ2691=10),"①病院一般",IF(AND($A2691=31,$AJ2691=41),"②病院短期","対象外")),IF($AJ2691=30,"③特定消防",IF(AND(OR($A2691=21,$A2691=215),$AJ2691=10),"④一般",IF(AND($A2691=31,$AJ2691=41),"⑤短期","対象外")))))</f>
      </c>
      <c r="DC2691" s="2909">
        <f>IF($A2691="","",IF($AB2691&amp;""='DB_設定'!$C$4,1,0))</f>
      </c>
    </row>
    <row r="2692">
      <c r="DB2692" s="2909">
        <f>IF($A2692="","",IF($AH2692=20,IF(AND(OR($A2692=21,$A2692=215),$AJ2692=10),"①病院一般",IF(AND($A2692=31,$AJ2692=41),"②病院短期","対象外")),IF($AJ2692=30,"③特定消防",IF(AND(OR($A2692=21,$A2692=215),$AJ2692=10),"④一般",IF(AND($A2692=31,$AJ2692=41),"⑤短期","対象外")))))</f>
      </c>
      <c r="DC2692" s="2909">
        <f>IF($A2692="","",IF($AB2692&amp;""='DB_設定'!$C$4,1,0))</f>
      </c>
    </row>
    <row r="2693">
      <c r="DB2693" s="2909">
        <f>IF($A2693="","",IF($AH2693=20,IF(AND(OR($A2693=21,$A2693=215),$AJ2693=10),"①病院一般",IF(AND($A2693=31,$AJ2693=41),"②病院短期","対象外")),IF($AJ2693=30,"③特定消防",IF(AND(OR($A2693=21,$A2693=215),$AJ2693=10),"④一般",IF(AND($A2693=31,$AJ2693=41),"⑤短期","対象外")))))</f>
      </c>
      <c r="DC2693" s="2909">
        <f>IF($A2693="","",IF($AB2693&amp;""='DB_設定'!$C$4,1,0))</f>
      </c>
    </row>
    <row r="2694">
      <c r="DB2694" s="2909">
        <f>IF($A2694="","",IF($AH2694=20,IF(AND(OR($A2694=21,$A2694=215),$AJ2694=10),"①病院一般",IF(AND($A2694=31,$AJ2694=41),"②病院短期","対象外")),IF($AJ2694=30,"③特定消防",IF(AND(OR($A2694=21,$A2694=215),$AJ2694=10),"④一般",IF(AND($A2694=31,$AJ2694=41),"⑤短期","対象外")))))</f>
      </c>
      <c r="DC2694" s="2909">
        <f>IF($A2694="","",IF($AB2694&amp;""='DB_設定'!$C$4,1,0))</f>
      </c>
    </row>
    <row r="2695">
      <c r="DB2695" s="2909">
        <f>IF($A2695="","",IF($AH2695=20,IF(AND(OR($A2695=21,$A2695=215),$AJ2695=10),"①病院一般",IF(AND($A2695=31,$AJ2695=41),"②病院短期","対象外")),IF($AJ2695=30,"③特定消防",IF(AND(OR($A2695=21,$A2695=215),$AJ2695=10),"④一般",IF(AND($A2695=31,$AJ2695=41),"⑤短期","対象外")))))</f>
      </c>
      <c r="DC2695" s="2909">
        <f>IF($A2695="","",IF($AB2695&amp;""='DB_設定'!$C$4,1,0))</f>
      </c>
    </row>
    <row r="2696">
      <c r="DB2696" s="2909">
        <f>IF($A2696="","",IF($AH2696=20,IF(AND(OR($A2696=21,$A2696=215),$AJ2696=10),"①病院一般",IF(AND($A2696=31,$AJ2696=41),"②病院短期","対象外")),IF($AJ2696=30,"③特定消防",IF(AND(OR($A2696=21,$A2696=215),$AJ2696=10),"④一般",IF(AND($A2696=31,$AJ2696=41),"⑤短期","対象外")))))</f>
      </c>
      <c r="DC2696" s="2909">
        <f>IF($A2696="","",IF($AB2696&amp;""='DB_設定'!$C$4,1,0))</f>
      </c>
    </row>
    <row r="2697">
      <c r="DB2697" s="2909">
        <f>IF($A2697="","",IF($AH2697=20,IF(AND(OR($A2697=21,$A2697=215),$AJ2697=10),"①病院一般",IF(AND($A2697=31,$AJ2697=41),"②病院短期","対象外")),IF($AJ2697=30,"③特定消防",IF(AND(OR($A2697=21,$A2697=215),$AJ2697=10),"④一般",IF(AND($A2697=31,$AJ2697=41),"⑤短期","対象外")))))</f>
      </c>
      <c r="DC2697" s="2909">
        <f>IF($A2697="","",IF($AB2697&amp;""='DB_設定'!$C$4,1,0))</f>
      </c>
    </row>
    <row r="2698">
      <c r="DB2698" s="2909">
        <f>IF($A2698="","",IF($AH2698=20,IF(AND(OR($A2698=21,$A2698=215),$AJ2698=10),"①病院一般",IF(AND($A2698=31,$AJ2698=41),"②病院短期","対象外")),IF($AJ2698=30,"③特定消防",IF(AND(OR($A2698=21,$A2698=215),$AJ2698=10),"④一般",IF(AND($A2698=31,$AJ2698=41),"⑤短期","対象外")))))</f>
      </c>
      <c r="DC2698" s="2909">
        <f>IF($A2698="","",IF($AB2698&amp;""='DB_設定'!$C$4,1,0))</f>
      </c>
    </row>
    <row r="2699">
      <c r="DB2699" s="2909">
        <f>IF($A2699="","",IF($AH2699=20,IF(AND(OR($A2699=21,$A2699=215),$AJ2699=10),"①病院一般",IF(AND($A2699=31,$AJ2699=41),"②病院短期","対象外")),IF($AJ2699=30,"③特定消防",IF(AND(OR($A2699=21,$A2699=215),$AJ2699=10),"④一般",IF(AND($A2699=31,$AJ2699=41),"⑤短期","対象外")))))</f>
      </c>
      <c r="DC2699" s="2909">
        <f>IF($A2699="","",IF($AB2699&amp;""='DB_設定'!$C$4,1,0))</f>
      </c>
    </row>
    <row r="2700">
      <c r="DB2700" s="2909">
        <f>IF($A2700="","",IF($AH2700=20,IF(AND(OR($A2700=21,$A2700=215),$AJ2700=10),"①病院一般",IF(AND($A2700=31,$AJ2700=41),"②病院短期","対象外")),IF($AJ2700=30,"③特定消防",IF(AND(OR($A2700=21,$A2700=215),$AJ2700=10),"④一般",IF(AND($A2700=31,$AJ2700=41),"⑤短期","対象外")))))</f>
      </c>
      <c r="DC2700" s="2909">
        <f>IF($A2700="","",IF($AB2700&amp;""='DB_設定'!$C$4,1,0))</f>
      </c>
    </row>
    <row r="2701">
      <c r="DB2701" s="2909">
        <f>IF($A2701="","",IF($AH2701=20,IF(AND(OR($A2701=21,$A2701=215),$AJ2701=10),"①病院一般",IF(AND($A2701=31,$AJ2701=41),"②病院短期","対象外")),IF($AJ2701=30,"③特定消防",IF(AND(OR($A2701=21,$A2701=215),$AJ2701=10),"④一般",IF(AND($A2701=31,$AJ2701=41),"⑤短期","対象外")))))</f>
      </c>
      <c r="DC2701" s="2909">
        <f>IF($A2701="","",IF($AB2701&amp;""='DB_設定'!$C$4,1,0))</f>
      </c>
    </row>
    <row r="2702">
      <c r="DB2702" s="2909">
        <f>IF($A2702="","",IF($AH2702=20,IF(AND(OR($A2702=21,$A2702=215),$AJ2702=10),"①病院一般",IF(AND($A2702=31,$AJ2702=41),"②病院短期","対象外")),IF($AJ2702=30,"③特定消防",IF(AND(OR($A2702=21,$A2702=215),$AJ2702=10),"④一般",IF(AND($A2702=31,$AJ2702=41),"⑤短期","対象外")))))</f>
      </c>
      <c r="DC2702" s="2909">
        <f>IF($A2702="","",IF($AB2702&amp;""='DB_設定'!$C$4,1,0))</f>
      </c>
    </row>
    <row r="2703">
      <c r="DB2703" s="2909">
        <f>IF($A2703="","",IF($AH2703=20,IF(AND(OR($A2703=21,$A2703=215),$AJ2703=10),"①病院一般",IF(AND($A2703=31,$AJ2703=41),"②病院短期","対象外")),IF($AJ2703=30,"③特定消防",IF(AND(OR($A2703=21,$A2703=215),$AJ2703=10),"④一般",IF(AND($A2703=31,$AJ2703=41),"⑤短期","対象外")))))</f>
      </c>
      <c r="DC2703" s="2909">
        <f>IF($A2703="","",IF($AB2703&amp;""='DB_設定'!$C$4,1,0))</f>
      </c>
    </row>
    <row r="2704">
      <c r="DB2704" s="2909">
        <f>IF($A2704="","",IF($AH2704=20,IF(AND(OR($A2704=21,$A2704=215),$AJ2704=10),"①病院一般",IF(AND($A2704=31,$AJ2704=41),"②病院短期","対象外")),IF($AJ2704=30,"③特定消防",IF(AND(OR($A2704=21,$A2704=215),$AJ2704=10),"④一般",IF(AND($A2704=31,$AJ2704=41),"⑤短期","対象外")))))</f>
      </c>
      <c r="DC2704" s="2909">
        <f>IF($A2704="","",IF($AB2704&amp;""='DB_設定'!$C$4,1,0))</f>
      </c>
    </row>
    <row r="2705">
      <c r="DB2705" s="2909">
        <f>IF($A2705="","",IF($AH2705=20,IF(AND(OR($A2705=21,$A2705=215),$AJ2705=10),"①病院一般",IF(AND($A2705=31,$AJ2705=41),"②病院短期","対象外")),IF($AJ2705=30,"③特定消防",IF(AND(OR($A2705=21,$A2705=215),$AJ2705=10),"④一般",IF(AND($A2705=31,$AJ2705=41),"⑤短期","対象外")))))</f>
      </c>
      <c r="DC2705" s="2909">
        <f>IF($A2705="","",IF($AB2705&amp;""='DB_設定'!$C$4,1,0))</f>
      </c>
    </row>
    <row r="2706">
      <c r="DB2706" s="2909">
        <f>IF($A2706="","",IF($AH2706=20,IF(AND(OR($A2706=21,$A2706=215),$AJ2706=10),"①病院一般",IF(AND($A2706=31,$AJ2706=41),"②病院短期","対象外")),IF($AJ2706=30,"③特定消防",IF(AND(OR($A2706=21,$A2706=215),$AJ2706=10),"④一般",IF(AND($A2706=31,$AJ2706=41),"⑤短期","対象外")))))</f>
      </c>
      <c r="DC2706" s="2909">
        <f>IF($A2706="","",IF($AB2706&amp;""='DB_設定'!$C$4,1,0))</f>
      </c>
    </row>
    <row r="2707">
      <c r="DB2707" s="2909">
        <f>IF($A2707="","",IF($AH2707=20,IF(AND(OR($A2707=21,$A2707=215),$AJ2707=10),"①病院一般",IF(AND($A2707=31,$AJ2707=41),"②病院短期","対象外")),IF($AJ2707=30,"③特定消防",IF(AND(OR($A2707=21,$A2707=215),$AJ2707=10),"④一般",IF(AND($A2707=31,$AJ2707=41),"⑤短期","対象外")))))</f>
      </c>
      <c r="DC2707" s="2909">
        <f>IF($A2707="","",IF($AB2707&amp;""='DB_設定'!$C$4,1,0))</f>
      </c>
    </row>
    <row r="2708">
      <c r="DB2708" s="2909">
        <f>IF($A2708="","",IF($AH2708=20,IF(AND(OR($A2708=21,$A2708=215),$AJ2708=10),"①病院一般",IF(AND($A2708=31,$AJ2708=41),"②病院短期","対象外")),IF($AJ2708=30,"③特定消防",IF(AND(OR($A2708=21,$A2708=215),$AJ2708=10),"④一般",IF(AND($A2708=31,$AJ2708=41),"⑤短期","対象外")))))</f>
      </c>
      <c r="DC2708" s="2909">
        <f>IF($A2708="","",IF($AB2708&amp;""='DB_設定'!$C$4,1,0))</f>
      </c>
    </row>
    <row r="2709">
      <c r="DB2709" s="2909">
        <f>IF($A2709="","",IF($AH2709=20,IF(AND(OR($A2709=21,$A2709=215),$AJ2709=10),"①病院一般",IF(AND($A2709=31,$AJ2709=41),"②病院短期","対象外")),IF($AJ2709=30,"③特定消防",IF(AND(OR($A2709=21,$A2709=215),$AJ2709=10),"④一般",IF(AND($A2709=31,$AJ2709=41),"⑤短期","対象外")))))</f>
      </c>
      <c r="DC2709" s="2909">
        <f>IF($A2709="","",IF($AB2709&amp;""='DB_設定'!$C$4,1,0))</f>
      </c>
    </row>
    <row r="2710">
      <c r="DB2710" s="2909">
        <f>IF($A2710="","",IF($AH2710=20,IF(AND(OR($A2710=21,$A2710=215),$AJ2710=10),"①病院一般",IF(AND($A2710=31,$AJ2710=41),"②病院短期","対象外")),IF($AJ2710=30,"③特定消防",IF(AND(OR($A2710=21,$A2710=215),$AJ2710=10),"④一般",IF(AND($A2710=31,$AJ2710=41),"⑤短期","対象外")))))</f>
      </c>
      <c r="DC2710" s="2909">
        <f>IF($A2710="","",IF($AB2710&amp;""='DB_設定'!$C$4,1,0))</f>
      </c>
    </row>
    <row r="2711">
      <c r="DB2711" s="2909">
        <f>IF($A2711="","",IF($AH2711=20,IF(AND(OR($A2711=21,$A2711=215),$AJ2711=10),"①病院一般",IF(AND($A2711=31,$AJ2711=41),"②病院短期","対象外")),IF($AJ2711=30,"③特定消防",IF(AND(OR($A2711=21,$A2711=215),$AJ2711=10),"④一般",IF(AND($A2711=31,$AJ2711=41),"⑤短期","対象外")))))</f>
      </c>
      <c r="DC2711" s="2909">
        <f>IF($A2711="","",IF($AB2711&amp;""='DB_設定'!$C$4,1,0))</f>
      </c>
    </row>
    <row r="2712">
      <c r="DB2712" s="2909">
        <f>IF($A2712="","",IF($AH2712=20,IF(AND(OR($A2712=21,$A2712=215),$AJ2712=10),"①病院一般",IF(AND($A2712=31,$AJ2712=41),"②病院短期","対象外")),IF($AJ2712=30,"③特定消防",IF(AND(OR($A2712=21,$A2712=215),$AJ2712=10),"④一般",IF(AND($A2712=31,$AJ2712=41),"⑤短期","対象外")))))</f>
      </c>
      <c r="DC2712" s="2909">
        <f>IF($A2712="","",IF($AB2712&amp;""='DB_設定'!$C$4,1,0))</f>
      </c>
    </row>
    <row r="2713">
      <c r="DB2713" s="2909">
        <f>IF($A2713="","",IF($AH2713=20,IF(AND(OR($A2713=21,$A2713=215),$AJ2713=10),"①病院一般",IF(AND($A2713=31,$AJ2713=41),"②病院短期","対象外")),IF($AJ2713=30,"③特定消防",IF(AND(OR($A2713=21,$A2713=215),$AJ2713=10),"④一般",IF(AND($A2713=31,$AJ2713=41),"⑤短期","対象外")))))</f>
      </c>
      <c r="DC2713" s="2909">
        <f>IF($A2713="","",IF($AB2713&amp;""='DB_設定'!$C$4,1,0))</f>
      </c>
    </row>
    <row r="2714">
      <c r="DB2714" s="2909">
        <f>IF($A2714="","",IF($AH2714=20,IF(AND(OR($A2714=21,$A2714=215),$AJ2714=10),"①病院一般",IF(AND($A2714=31,$AJ2714=41),"②病院短期","対象外")),IF($AJ2714=30,"③特定消防",IF(AND(OR($A2714=21,$A2714=215),$AJ2714=10),"④一般",IF(AND($A2714=31,$AJ2714=41),"⑤短期","対象外")))))</f>
      </c>
      <c r="DC2714" s="2909">
        <f>IF($A2714="","",IF($AB2714&amp;""='DB_設定'!$C$4,1,0))</f>
      </c>
    </row>
    <row r="2715">
      <c r="DB2715" s="2909">
        <f>IF($A2715="","",IF($AH2715=20,IF(AND(OR($A2715=21,$A2715=215),$AJ2715=10),"①病院一般",IF(AND($A2715=31,$AJ2715=41),"②病院短期","対象外")),IF($AJ2715=30,"③特定消防",IF(AND(OR($A2715=21,$A2715=215),$AJ2715=10),"④一般",IF(AND($A2715=31,$AJ2715=41),"⑤短期","対象外")))))</f>
      </c>
      <c r="DC2715" s="2909">
        <f>IF($A2715="","",IF($AB2715&amp;""='DB_設定'!$C$4,1,0))</f>
      </c>
    </row>
    <row r="2716">
      <c r="DB2716" s="2909">
        <f>IF($A2716="","",IF($AH2716=20,IF(AND(OR($A2716=21,$A2716=215),$AJ2716=10),"①病院一般",IF(AND($A2716=31,$AJ2716=41),"②病院短期","対象外")),IF($AJ2716=30,"③特定消防",IF(AND(OR($A2716=21,$A2716=215),$AJ2716=10),"④一般",IF(AND($A2716=31,$AJ2716=41),"⑤短期","対象外")))))</f>
      </c>
      <c r="DC2716" s="2909">
        <f>IF($A2716="","",IF($AB2716&amp;""='DB_設定'!$C$4,1,0))</f>
      </c>
    </row>
    <row r="2717">
      <c r="DB2717" s="2909">
        <f>IF($A2717="","",IF($AH2717=20,IF(AND(OR($A2717=21,$A2717=215),$AJ2717=10),"①病院一般",IF(AND($A2717=31,$AJ2717=41),"②病院短期","対象外")),IF($AJ2717=30,"③特定消防",IF(AND(OR($A2717=21,$A2717=215),$AJ2717=10),"④一般",IF(AND($A2717=31,$AJ2717=41),"⑤短期","対象外")))))</f>
      </c>
      <c r="DC2717" s="2909">
        <f>IF($A2717="","",IF($AB2717&amp;""='DB_設定'!$C$4,1,0))</f>
      </c>
    </row>
    <row r="2718">
      <c r="DB2718" s="2909">
        <f>IF($A2718="","",IF($AH2718=20,IF(AND(OR($A2718=21,$A2718=215),$AJ2718=10),"①病院一般",IF(AND($A2718=31,$AJ2718=41),"②病院短期","対象外")),IF($AJ2718=30,"③特定消防",IF(AND(OR($A2718=21,$A2718=215),$AJ2718=10),"④一般",IF(AND($A2718=31,$AJ2718=41),"⑤短期","対象外")))))</f>
      </c>
      <c r="DC2718" s="2909">
        <f>IF($A2718="","",IF($AB2718&amp;""='DB_設定'!$C$4,1,0))</f>
      </c>
    </row>
    <row r="2719">
      <c r="DB2719" s="2909">
        <f>IF($A2719="","",IF($AH2719=20,IF(AND(OR($A2719=21,$A2719=215),$AJ2719=10),"①病院一般",IF(AND($A2719=31,$AJ2719=41),"②病院短期","対象外")),IF($AJ2719=30,"③特定消防",IF(AND(OR($A2719=21,$A2719=215),$AJ2719=10),"④一般",IF(AND($A2719=31,$AJ2719=41),"⑤短期","対象外")))))</f>
      </c>
      <c r="DC2719" s="2909">
        <f>IF($A2719="","",IF($AB2719&amp;""='DB_設定'!$C$4,1,0))</f>
      </c>
    </row>
    <row r="2720">
      <c r="DB2720" s="2909">
        <f>IF($A2720="","",IF($AH2720=20,IF(AND(OR($A2720=21,$A2720=215),$AJ2720=10),"①病院一般",IF(AND($A2720=31,$AJ2720=41),"②病院短期","対象外")),IF($AJ2720=30,"③特定消防",IF(AND(OR($A2720=21,$A2720=215),$AJ2720=10),"④一般",IF(AND($A2720=31,$AJ2720=41),"⑤短期","対象外")))))</f>
      </c>
      <c r="DC2720" s="2909">
        <f>IF($A2720="","",IF($AB2720&amp;""='DB_設定'!$C$4,1,0))</f>
      </c>
    </row>
    <row r="2721">
      <c r="DB2721" s="2909">
        <f>IF($A2721="","",IF($AH2721=20,IF(AND(OR($A2721=21,$A2721=215),$AJ2721=10),"①病院一般",IF(AND($A2721=31,$AJ2721=41),"②病院短期","対象外")),IF($AJ2721=30,"③特定消防",IF(AND(OR($A2721=21,$A2721=215),$AJ2721=10),"④一般",IF(AND($A2721=31,$AJ2721=41),"⑤短期","対象外")))))</f>
      </c>
      <c r="DC2721" s="2909">
        <f>IF($A2721="","",IF($AB2721&amp;""='DB_設定'!$C$4,1,0))</f>
      </c>
    </row>
    <row r="2722">
      <c r="DB2722" s="2909">
        <f>IF($A2722="","",IF($AH2722=20,IF(AND(OR($A2722=21,$A2722=215),$AJ2722=10),"①病院一般",IF(AND($A2722=31,$AJ2722=41),"②病院短期","対象外")),IF($AJ2722=30,"③特定消防",IF(AND(OR($A2722=21,$A2722=215),$AJ2722=10),"④一般",IF(AND($A2722=31,$AJ2722=41),"⑤短期","対象外")))))</f>
      </c>
      <c r="DC2722" s="2909">
        <f>IF($A2722="","",IF($AB2722&amp;""='DB_設定'!$C$4,1,0))</f>
      </c>
    </row>
    <row r="2723">
      <c r="DB2723" s="2909">
        <f>IF($A2723="","",IF($AH2723=20,IF(AND(OR($A2723=21,$A2723=215),$AJ2723=10),"①病院一般",IF(AND($A2723=31,$AJ2723=41),"②病院短期","対象外")),IF($AJ2723=30,"③特定消防",IF(AND(OR($A2723=21,$A2723=215),$AJ2723=10),"④一般",IF(AND($A2723=31,$AJ2723=41),"⑤短期","対象外")))))</f>
      </c>
      <c r="DC2723" s="2909">
        <f>IF($A2723="","",IF($AB2723&amp;""='DB_設定'!$C$4,1,0))</f>
      </c>
    </row>
    <row r="2724">
      <c r="DB2724" s="2909">
        <f>IF($A2724="","",IF($AH2724=20,IF(AND(OR($A2724=21,$A2724=215),$AJ2724=10),"①病院一般",IF(AND($A2724=31,$AJ2724=41),"②病院短期","対象外")),IF($AJ2724=30,"③特定消防",IF(AND(OR($A2724=21,$A2724=215),$AJ2724=10),"④一般",IF(AND($A2724=31,$AJ2724=41),"⑤短期","対象外")))))</f>
      </c>
      <c r="DC2724" s="2909">
        <f>IF($A2724="","",IF($AB2724&amp;""='DB_設定'!$C$4,1,0))</f>
      </c>
    </row>
    <row r="2725">
      <c r="DB2725" s="2909">
        <f>IF($A2725="","",IF($AH2725=20,IF(AND(OR($A2725=21,$A2725=215),$AJ2725=10),"①病院一般",IF(AND($A2725=31,$AJ2725=41),"②病院短期","対象外")),IF($AJ2725=30,"③特定消防",IF(AND(OR($A2725=21,$A2725=215),$AJ2725=10),"④一般",IF(AND($A2725=31,$AJ2725=41),"⑤短期","対象外")))))</f>
      </c>
      <c r="DC2725" s="2909">
        <f>IF($A2725="","",IF($AB2725&amp;""='DB_設定'!$C$4,1,0))</f>
      </c>
    </row>
    <row r="2726">
      <c r="DB2726" s="2909">
        <f>IF($A2726="","",IF($AH2726=20,IF(AND(OR($A2726=21,$A2726=215),$AJ2726=10),"①病院一般",IF(AND($A2726=31,$AJ2726=41),"②病院短期","対象外")),IF($AJ2726=30,"③特定消防",IF(AND(OR($A2726=21,$A2726=215),$AJ2726=10),"④一般",IF(AND($A2726=31,$AJ2726=41),"⑤短期","対象外")))))</f>
      </c>
      <c r="DC2726" s="2909">
        <f>IF($A2726="","",IF($AB2726&amp;""='DB_設定'!$C$4,1,0))</f>
      </c>
    </row>
    <row r="2727">
      <c r="DB2727" s="2909">
        <f>IF($A2727="","",IF($AH2727=20,IF(AND(OR($A2727=21,$A2727=215),$AJ2727=10),"①病院一般",IF(AND($A2727=31,$AJ2727=41),"②病院短期","対象外")),IF($AJ2727=30,"③特定消防",IF(AND(OR($A2727=21,$A2727=215),$AJ2727=10),"④一般",IF(AND($A2727=31,$AJ2727=41),"⑤短期","対象外")))))</f>
      </c>
      <c r="DC2727" s="2909">
        <f>IF($A2727="","",IF($AB2727&amp;""='DB_設定'!$C$4,1,0))</f>
      </c>
    </row>
    <row r="2728">
      <c r="DB2728" s="2909">
        <f>IF($A2728="","",IF($AH2728=20,IF(AND(OR($A2728=21,$A2728=215),$AJ2728=10),"①病院一般",IF(AND($A2728=31,$AJ2728=41),"②病院短期","対象外")),IF($AJ2728=30,"③特定消防",IF(AND(OR($A2728=21,$A2728=215),$AJ2728=10),"④一般",IF(AND($A2728=31,$AJ2728=41),"⑤短期","対象外")))))</f>
      </c>
      <c r="DC2728" s="2909">
        <f>IF($A2728="","",IF($AB2728&amp;""='DB_設定'!$C$4,1,0))</f>
      </c>
    </row>
    <row r="2729">
      <c r="DB2729" s="2909">
        <f>IF($A2729="","",IF($AH2729=20,IF(AND(OR($A2729=21,$A2729=215),$AJ2729=10),"①病院一般",IF(AND($A2729=31,$AJ2729=41),"②病院短期","対象外")),IF($AJ2729=30,"③特定消防",IF(AND(OR($A2729=21,$A2729=215),$AJ2729=10),"④一般",IF(AND($A2729=31,$AJ2729=41),"⑤短期","対象外")))))</f>
      </c>
      <c r="DC2729" s="2909">
        <f>IF($A2729="","",IF($AB2729&amp;""='DB_設定'!$C$4,1,0))</f>
      </c>
    </row>
    <row r="2730">
      <c r="DB2730" s="2909">
        <f>IF($A2730="","",IF($AH2730=20,IF(AND(OR($A2730=21,$A2730=215),$AJ2730=10),"①病院一般",IF(AND($A2730=31,$AJ2730=41),"②病院短期","対象外")),IF($AJ2730=30,"③特定消防",IF(AND(OR($A2730=21,$A2730=215),$AJ2730=10),"④一般",IF(AND($A2730=31,$AJ2730=41),"⑤短期","対象外")))))</f>
      </c>
      <c r="DC2730" s="2909">
        <f>IF($A2730="","",IF($AB2730&amp;""='DB_設定'!$C$4,1,0))</f>
      </c>
    </row>
    <row r="2731">
      <c r="DB2731" s="2909">
        <f>IF($A2731="","",IF($AH2731=20,IF(AND(OR($A2731=21,$A2731=215),$AJ2731=10),"①病院一般",IF(AND($A2731=31,$AJ2731=41),"②病院短期","対象外")),IF($AJ2731=30,"③特定消防",IF(AND(OR($A2731=21,$A2731=215),$AJ2731=10),"④一般",IF(AND($A2731=31,$AJ2731=41),"⑤短期","対象外")))))</f>
      </c>
      <c r="DC2731" s="2909">
        <f>IF($A2731="","",IF($AB2731&amp;""='DB_設定'!$C$4,1,0))</f>
      </c>
    </row>
    <row r="2732">
      <c r="DB2732" s="2909">
        <f>IF($A2732="","",IF($AH2732=20,IF(AND(OR($A2732=21,$A2732=215),$AJ2732=10),"①病院一般",IF(AND($A2732=31,$AJ2732=41),"②病院短期","対象外")),IF($AJ2732=30,"③特定消防",IF(AND(OR($A2732=21,$A2732=215),$AJ2732=10),"④一般",IF(AND($A2732=31,$AJ2732=41),"⑤短期","対象外")))))</f>
      </c>
      <c r="DC2732" s="2909">
        <f>IF($A2732="","",IF($AB2732&amp;""='DB_設定'!$C$4,1,0))</f>
      </c>
    </row>
    <row r="2733">
      <c r="DB2733" s="2909">
        <f>IF($A2733="","",IF($AH2733=20,IF(AND(OR($A2733=21,$A2733=215),$AJ2733=10),"①病院一般",IF(AND($A2733=31,$AJ2733=41),"②病院短期","対象外")),IF($AJ2733=30,"③特定消防",IF(AND(OR($A2733=21,$A2733=215),$AJ2733=10),"④一般",IF(AND($A2733=31,$AJ2733=41),"⑤短期","対象外")))))</f>
      </c>
      <c r="DC2733" s="2909">
        <f>IF($A2733="","",IF($AB2733&amp;""='DB_設定'!$C$4,1,0))</f>
      </c>
    </row>
    <row r="2734">
      <c r="DB2734" s="2909">
        <f>IF($A2734="","",IF($AH2734=20,IF(AND(OR($A2734=21,$A2734=215),$AJ2734=10),"①病院一般",IF(AND($A2734=31,$AJ2734=41),"②病院短期","対象外")),IF($AJ2734=30,"③特定消防",IF(AND(OR($A2734=21,$A2734=215),$AJ2734=10),"④一般",IF(AND($A2734=31,$AJ2734=41),"⑤短期","対象外")))))</f>
      </c>
      <c r="DC2734" s="2909">
        <f>IF($A2734="","",IF($AB2734&amp;""='DB_設定'!$C$4,1,0))</f>
      </c>
    </row>
    <row r="2735">
      <c r="DB2735" s="2909">
        <f>IF($A2735="","",IF($AH2735=20,IF(AND(OR($A2735=21,$A2735=215),$AJ2735=10),"①病院一般",IF(AND($A2735=31,$AJ2735=41),"②病院短期","対象外")),IF($AJ2735=30,"③特定消防",IF(AND(OR($A2735=21,$A2735=215),$AJ2735=10),"④一般",IF(AND($A2735=31,$AJ2735=41),"⑤短期","対象外")))))</f>
      </c>
      <c r="DC2735" s="2909">
        <f>IF($A2735="","",IF($AB2735&amp;""='DB_設定'!$C$4,1,0))</f>
      </c>
    </row>
    <row r="2736">
      <c r="DB2736" s="2909">
        <f>IF($A2736="","",IF($AH2736=20,IF(AND(OR($A2736=21,$A2736=215),$AJ2736=10),"①病院一般",IF(AND($A2736=31,$AJ2736=41),"②病院短期","対象外")),IF($AJ2736=30,"③特定消防",IF(AND(OR($A2736=21,$A2736=215),$AJ2736=10),"④一般",IF(AND($A2736=31,$AJ2736=41),"⑤短期","対象外")))))</f>
      </c>
      <c r="DC2736" s="2909">
        <f>IF($A2736="","",IF($AB2736&amp;""='DB_設定'!$C$4,1,0))</f>
      </c>
    </row>
    <row r="2737">
      <c r="DB2737" s="2909">
        <f>IF($A2737="","",IF($AH2737=20,IF(AND(OR($A2737=21,$A2737=215),$AJ2737=10),"①病院一般",IF(AND($A2737=31,$AJ2737=41),"②病院短期","対象外")),IF($AJ2737=30,"③特定消防",IF(AND(OR($A2737=21,$A2737=215),$AJ2737=10),"④一般",IF(AND($A2737=31,$AJ2737=41),"⑤短期","対象外")))))</f>
      </c>
      <c r="DC2737" s="2909">
        <f>IF($A2737="","",IF($AB2737&amp;""='DB_設定'!$C$4,1,0))</f>
      </c>
    </row>
    <row r="2738">
      <c r="DB2738" s="2909">
        <f>IF($A2738="","",IF($AH2738=20,IF(AND(OR($A2738=21,$A2738=215),$AJ2738=10),"①病院一般",IF(AND($A2738=31,$AJ2738=41),"②病院短期","対象外")),IF($AJ2738=30,"③特定消防",IF(AND(OR($A2738=21,$A2738=215),$AJ2738=10),"④一般",IF(AND($A2738=31,$AJ2738=41),"⑤短期","対象外")))))</f>
      </c>
      <c r="DC2738" s="2909">
        <f>IF($A2738="","",IF($AB2738&amp;""='DB_設定'!$C$4,1,0))</f>
      </c>
    </row>
    <row r="2739">
      <c r="DB2739" s="2909">
        <f>IF($A2739="","",IF($AH2739=20,IF(AND(OR($A2739=21,$A2739=215),$AJ2739=10),"①病院一般",IF(AND($A2739=31,$AJ2739=41),"②病院短期","対象外")),IF($AJ2739=30,"③特定消防",IF(AND(OR($A2739=21,$A2739=215),$AJ2739=10),"④一般",IF(AND($A2739=31,$AJ2739=41),"⑤短期","対象外")))))</f>
      </c>
      <c r="DC2739" s="2909">
        <f>IF($A2739="","",IF($AB2739&amp;""='DB_設定'!$C$4,1,0))</f>
      </c>
    </row>
    <row r="2740">
      <c r="DB2740" s="2909">
        <f>IF($A2740="","",IF($AH2740=20,IF(AND(OR($A2740=21,$A2740=215),$AJ2740=10),"①病院一般",IF(AND($A2740=31,$AJ2740=41),"②病院短期","対象外")),IF($AJ2740=30,"③特定消防",IF(AND(OR($A2740=21,$A2740=215),$AJ2740=10),"④一般",IF(AND($A2740=31,$AJ2740=41),"⑤短期","対象外")))))</f>
      </c>
      <c r="DC2740" s="2909">
        <f>IF($A2740="","",IF($AB2740&amp;""='DB_設定'!$C$4,1,0))</f>
      </c>
    </row>
    <row r="2741">
      <c r="DB2741" s="2909">
        <f>IF($A2741="","",IF($AH2741=20,IF(AND(OR($A2741=21,$A2741=215),$AJ2741=10),"①病院一般",IF(AND($A2741=31,$AJ2741=41),"②病院短期","対象外")),IF($AJ2741=30,"③特定消防",IF(AND(OR($A2741=21,$A2741=215),$AJ2741=10),"④一般",IF(AND($A2741=31,$AJ2741=41),"⑤短期","対象外")))))</f>
      </c>
      <c r="DC2741" s="2909">
        <f>IF($A2741="","",IF($AB2741&amp;""='DB_設定'!$C$4,1,0))</f>
      </c>
    </row>
    <row r="2742">
      <c r="DB2742" s="2909">
        <f>IF($A2742="","",IF($AH2742=20,IF(AND(OR($A2742=21,$A2742=215),$AJ2742=10),"①病院一般",IF(AND($A2742=31,$AJ2742=41),"②病院短期","対象外")),IF($AJ2742=30,"③特定消防",IF(AND(OR($A2742=21,$A2742=215),$AJ2742=10),"④一般",IF(AND($A2742=31,$AJ2742=41),"⑤短期","対象外")))))</f>
      </c>
      <c r="DC2742" s="2909">
        <f>IF($A2742="","",IF($AB2742&amp;""='DB_設定'!$C$4,1,0))</f>
      </c>
    </row>
    <row r="2743">
      <c r="DB2743" s="2909">
        <f>IF($A2743="","",IF($AH2743=20,IF(AND(OR($A2743=21,$A2743=215),$AJ2743=10),"①病院一般",IF(AND($A2743=31,$AJ2743=41),"②病院短期","対象外")),IF($AJ2743=30,"③特定消防",IF(AND(OR($A2743=21,$A2743=215),$AJ2743=10),"④一般",IF(AND($A2743=31,$AJ2743=41),"⑤短期","対象外")))))</f>
      </c>
      <c r="DC2743" s="2909">
        <f>IF($A2743="","",IF($AB2743&amp;""='DB_設定'!$C$4,1,0))</f>
      </c>
    </row>
    <row r="2744">
      <c r="DB2744" s="2909">
        <f>IF($A2744="","",IF($AH2744=20,IF(AND(OR($A2744=21,$A2744=215),$AJ2744=10),"①病院一般",IF(AND($A2744=31,$AJ2744=41),"②病院短期","対象外")),IF($AJ2744=30,"③特定消防",IF(AND(OR($A2744=21,$A2744=215),$AJ2744=10),"④一般",IF(AND($A2744=31,$AJ2744=41),"⑤短期","対象外")))))</f>
      </c>
      <c r="DC2744" s="2909">
        <f>IF($A2744="","",IF($AB2744&amp;""='DB_設定'!$C$4,1,0))</f>
      </c>
    </row>
    <row r="2745">
      <c r="DB2745" s="2909">
        <f>IF($A2745="","",IF($AH2745=20,IF(AND(OR($A2745=21,$A2745=215),$AJ2745=10),"①病院一般",IF(AND($A2745=31,$AJ2745=41),"②病院短期","対象外")),IF($AJ2745=30,"③特定消防",IF(AND(OR($A2745=21,$A2745=215),$AJ2745=10),"④一般",IF(AND($A2745=31,$AJ2745=41),"⑤短期","対象外")))))</f>
      </c>
      <c r="DC2745" s="2909">
        <f>IF($A2745="","",IF($AB2745&amp;""='DB_設定'!$C$4,1,0))</f>
      </c>
    </row>
    <row r="2746">
      <c r="DB2746" s="2909">
        <f>IF($A2746="","",IF($AH2746=20,IF(AND(OR($A2746=21,$A2746=215),$AJ2746=10),"①病院一般",IF(AND($A2746=31,$AJ2746=41),"②病院短期","対象外")),IF($AJ2746=30,"③特定消防",IF(AND(OR($A2746=21,$A2746=215),$AJ2746=10),"④一般",IF(AND($A2746=31,$AJ2746=41),"⑤短期","対象外")))))</f>
      </c>
      <c r="DC2746" s="2909">
        <f>IF($A2746="","",IF($AB2746&amp;""='DB_設定'!$C$4,1,0))</f>
      </c>
    </row>
    <row r="2747">
      <c r="DB2747" s="2909">
        <f>IF($A2747="","",IF($AH2747=20,IF(AND(OR($A2747=21,$A2747=215),$AJ2747=10),"①病院一般",IF(AND($A2747=31,$AJ2747=41),"②病院短期","対象外")),IF($AJ2747=30,"③特定消防",IF(AND(OR($A2747=21,$A2747=215),$AJ2747=10),"④一般",IF(AND($A2747=31,$AJ2747=41),"⑤短期","対象外")))))</f>
      </c>
      <c r="DC2747" s="2909">
        <f>IF($A2747="","",IF($AB2747&amp;""='DB_設定'!$C$4,1,0))</f>
      </c>
    </row>
    <row r="2748">
      <c r="DB2748" s="2909">
        <f>IF($A2748="","",IF($AH2748=20,IF(AND(OR($A2748=21,$A2748=215),$AJ2748=10),"①病院一般",IF(AND($A2748=31,$AJ2748=41),"②病院短期","対象外")),IF($AJ2748=30,"③特定消防",IF(AND(OR($A2748=21,$A2748=215),$AJ2748=10),"④一般",IF(AND($A2748=31,$AJ2748=41),"⑤短期","対象外")))))</f>
      </c>
      <c r="DC2748" s="2909">
        <f>IF($A2748="","",IF($AB2748&amp;""='DB_設定'!$C$4,1,0))</f>
      </c>
    </row>
    <row r="2749">
      <c r="DB2749" s="2909">
        <f>IF($A2749="","",IF($AH2749=20,IF(AND(OR($A2749=21,$A2749=215),$AJ2749=10),"①病院一般",IF(AND($A2749=31,$AJ2749=41),"②病院短期","対象外")),IF($AJ2749=30,"③特定消防",IF(AND(OR($A2749=21,$A2749=215),$AJ2749=10),"④一般",IF(AND($A2749=31,$AJ2749=41),"⑤短期","対象外")))))</f>
      </c>
      <c r="DC2749" s="2909">
        <f>IF($A2749="","",IF($AB2749&amp;""='DB_設定'!$C$4,1,0))</f>
      </c>
    </row>
    <row r="2750">
      <c r="DB2750" s="2909">
        <f>IF($A2750="","",IF($AH2750=20,IF(AND(OR($A2750=21,$A2750=215),$AJ2750=10),"①病院一般",IF(AND($A2750=31,$AJ2750=41),"②病院短期","対象外")),IF($AJ2750=30,"③特定消防",IF(AND(OR($A2750=21,$A2750=215),$AJ2750=10),"④一般",IF(AND($A2750=31,$AJ2750=41),"⑤短期","対象外")))))</f>
      </c>
      <c r="DC2750" s="2909">
        <f>IF($A2750="","",IF($AB2750&amp;""='DB_設定'!$C$4,1,0))</f>
      </c>
    </row>
    <row r="2751">
      <c r="DB2751" s="2909">
        <f>IF($A2751="","",IF($AH2751=20,IF(AND(OR($A2751=21,$A2751=215),$AJ2751=10),"①病院一般",IF(AND($A2751=31,$AJ2751=41),"②病院短期","対象外")),IF($AJ2751=30,"③特定消防",IF(AND(OR($A2751=21,$A2751=215),$AJ2751=10),"④一般",IF(AND($A2751=31,$AJ2751=41),"⑤短期","対象外")))))</f>
      </c>
      <c r="DC2751" s="2909">
        <f>IF($A2751="","",IF($AB2751&amp;""='DB_設定'!$C$4,1,0))</f>
      </c>
    </row>
    <row r="2752">
      <c r="DB2752" s="2909">
        <f>IF($A2752="","",IF($AH2752=20,IF(AND(OR($A2752=21,$A2752=215),$AJ2752=10),"①病院一般",IF(AND($A2752=31,$AJ2752=41),"②病院短期","対象外")),IF($AJ2752=30,"③特定消防",IF(AND(OR($A2752=21,$A2752=215),$AJ2752=10),"④一般",IF(AND($A2752=31,$AJ2752=41),"⑤短期","対象外")))))</f>
      </c>
      <c r="DC2752" s="2909">
        <f>IF($A2752="","",IF($AB2752&amp;""='DB_設定'!$C$4,1,0))</f>
      </c>
    </row>
    <row r="2753">
      <c r="DB2753" s="2909">
        <f>IF($A2753="","",IF($AH2753=20,IF(AND(OR($A2753=21,$A2753=215),$AJ2753=10),"①病院一般",IF(AND($A2753=31,$AJ2753=41),"②病院短期","対象外")),IF($AJ2753=30,"③特定消防",IF(AND(OR($A2753=21,$A2753=215),$AJ2753=10),"④一般",IF(AND($A2753=31,$AJ2753=41),"⑤短期","対象外")))))</f>
      </c>
      <c r="DC2753" s="2909">
        <f>IF($A2753="","",IF($AB2753&amp;""='DB_設定'!$C$4,1,0))</f>
      </c>
    </row>
    <row r="2754">
      <c r="DB2754" s="2909">
        <f>IF($A2754="","",IF($AH2754=20,IF(AND(OR($A2754=21,$A2754=215),$AJ2754=10),"①病院一般",IF(AND($A2754=31,$AJ2754=41),"②病院短期","対象外")),IF($AJ2754=30,"③特定消防",IF(AND(OR($A2754=21,$A2754=215),$AJ2754=10),"④一般",IF(AND($A2754=31,$AJ2754=41),"⑤短期","対象外")))))</f>
      </c>
      <c r="DC2754" s="2909">
        <f>IF($A2754="","",IF($AB2754&amp;""='DB_設定'!$C$4,1,0))</f>
      </c>
    </row>
    <row r="2755">
      <c r="DB2755" s="2909">
        <f>IF($A2755="","",IF($AH2755=20,IF(AND(OR($A2755=21,$A2755=215),$AJ2755=10),"①病院一般",IF(AND($A2755=31,$AJ2755=41),"②病院短期","対象外")),IF($AJ2755=30,"③特定消防",IF(AND(OR($A2755=21,$A2755=215),$AJ2755=10),"④一般",IF(AND($A2755=31,$AJ2755=41),"⑤短期","対象外")))))</f>
      </c>
      <c r="DC2755" s="2909">
        <f>IF($A2755="","",IF($AB2755&amp;""='DB_設定'!$C$4,1,0))</f>
      </c>
    </row>
    <row r="2756">
      <c r="DB2756" s="2909">
        <f>IF($A2756="","",IF($AH2756=20,IF(AND(OR($A2756=21,$A2756=215),$AJ2756=10),"①病院一般",IF(AND($A2756=31,$AJ2756=41),"②病院短期","対象外")),IF($AJ2756=30,"③特定消防",IF(AND(OR($A2756=21,$A2756=215),$AJ2756=10),"④一般",IF(AND($A2756=31,$AJ2756=41),"⑤短期","対象外")))))</f>
      </c>
      <c r="DC2756" s="2909">
        <f>IF($A2756="","",IF($AB2756&amp;""='DB_設定'!$C$4,1,0))</f>
      </c>
    </row>
    <row r="2757">
      <c r="DB2757" s="2909">
        <f>IF($A2757="","",IF($AH2757=20,IF(AND(OR($A2757=21,$A2757=215),$AJ2757=10),"①病院一般",IF(AND($A2757=31,$AJ2757=41),"②病院短期","対象外")),IF($AJ2757=30,"③特定消防",IF(AND(OR($A2757=21,$A2757=215),$AJ2757=10),"④一般",IF(AND($A2757=31,$AJ2757=41),"⑤短期","対象外")))))</f>
      </c>
      <c r="DC2757" s="2909">
        <f>IF($A2757="","",IF($AB2757&amp;""='DB_設定'!$C$4,1,0))</f>
      </c>
    </row>
    <row r="2758">
      <c r="DB2758" s="2909">
        <f>IF($A2758="","",IF($AH2758=20,IF(AND(OR($A2758=21,$A2758=215),$AJ2758=10),"①病院一般",IF(AND($A2758=31,$AJ2758=41),"②病院短期","対象外")),IF($AJ2758=30,"③特定消防",IF(AND(OR($A2758=21,$A2758=215),$AJ2758=10),"④一般",IF(AND($A2758=31,$AJ2758=41),"⑤短期","対象外")))))</f>
      </c>
      <c r="DC2758" s="2909">
        <f>IF($A2758="","",IF($AB2758&amp;""='DB_設定'!$C$4,1,0))</f>
      </c>
    </row>
    <row r="2759">
      <c r="DB2759" s="2909">
        <f>IF($A2759="","",IF($AH2759=20,IF(AND(OR($A2759=21,$A2759=215),$AJ2759=10),"①病院一般",IF(AND($A2759=31,$AJ2759=41),"②病院短期","対象外")),IF($AJ2759=30,"③特定消防",IF(AND(OR($A2759=21,$A2759=215),$AJ2759=10),"④一般",IF(AND($A2759=31,$AJ2759=41),"⑤短期","対象外")))))</f>
      </c>
      <c r="DC2759" s="2909">
        <f>IF($A2759="","",IF($AB2759&amp;""='DB_設定'!$C$4,1,0))</f>
      </c>
    </row>
    <row r="2760">
      <c r="DB2760" s="2909">
        <f>IF($A2760="","",IF($AH2760=20,IF(AND(OR($A2760=21,$A2760=215),$AJ2760=10),"①病院一般",IF(AND($A2760=31,$AJ2760=41),"②病院短期","対象外")),IF($AJ2760=30,"③特定消防",IF(AND(OR($A2760=21,$A2760=215),$AJ2760=10),"④一般",IF(AND($A2760=31,$AJ2760=41),"⑤短期","対象外")))))</f>
      </c>
      <c r="DC2760" s="2909">
        <f>IF($A2760="","",IF($AB2760&amp;""='DB_設定'!$C$4,1,0))</f>
      </c>
    </row>
    <row r="2761">
      <c r="DB2761" s="2909">
        <f>IF($A2761="","",IF($AH2761=20,IF(AND(OR($A2761=21,$A2761=215),$AJ2761=10),"①病院一般",IF(AND($A2761=31,$AJ2761=41),"②病院短期","対象外")),IF($AJ2761=30,"③特定消防",IF(AND(OR($A2761=21,$A2761=215),$AJ2761=10),"④一般",IF(AND($A2761=31,$AJ2761=41),"⑤短期","対象外")))))</f>
      </c>
      <c r="DC2761" s="2909">
        <f>IF($A2761="","",IF($AB2761&amp;""='DB_設定'!$C$4,1,0))</f>
      </c>
    </row>
    <row r="2762">
      <c r="DB2762" s="2909">
        <f>IF($A2762="","",IF($AH2762=20,IF(AND(OR($A2762=21,$A2762=215),$AJ2762=10),"①病院一般",IF(AND($A2762=31,$AJ2762=41),"②病院短期","対象外")),IF($AJ2762=30,"③特定消防",IF(AND(OR($A2762=21,$A2762=215),$AJ2762=10),"④一般",IF(AND($A2762=31,$AJ2762=41),"⑤短期","対象外")))))</f>
      </c>
      <c r="DC2762" s="2909">
        <f>IF($A2762="","",IF($AB2762&amp;""='DB_設定'!$C$4,1,0))</f>
      </c>
    </row>
    <row r="2763">
      <c r="DB2763" s="2909">
        <f>IF($A2763="","",IF($AH2763=20,IF(AND(OR($A2763=21,$A2763=215),$AJ2763=10),"①病院一般",IF(AND($A2763=31,$AJ2763=41),"②病院短期","対象外")),IF($AJ2763=30,"③特定消防",IF(AND(OR($A2763=21,$A2763=215),$AJ2763=10),"④一般",IF(AND($A2763=31,$AJ2763=41),"⑤短期","対象外")))))</f>
      </c>
      <c r="DC2763" s="2909">
        <f>IF($A2763="","",IF($AB2763&amp;""='DB_設定'!$C$4,1,0))</f>
      </c>
    </row>
    <row r="2764">
      <c r="DB2764" s="2909">
        <f>IF($A2764="","",IF($AH2764=20,IF(AND(OR($A2764=21,$A2764=215),$AJ2764=10),"①病院一般",IF(AND($A2764=31,$AJ2764=41),"②病院短期","対象外")),IF($AJ2764=30,"③特定消防",IF(AND(OR($A2764=21,$A2764=215),$AJ2764=10),"④一般",IF(AND($A2764=31,$AJ2764=41),"⑤短期","対象外")))))</f>
      </c>
      <c r="DC2764" s="2909">
        <f>IF($A2764="","",IF($AB2764&amp;""='DB_設定'!$C$4,1,0))</f>
      </c>
    </row>
    <row r="2765">
      <c r="DB2765" s="2909">
        <f>IF($A2765="","",IF($AH2765=20,IF(AND(OR($A2765=21,$A2765=215),$AJ2765=10),"①病院一般",IF(AND($A2765=31,$AJ2765=41),"②病院短期","対象外")),IF($AJ2765=30,"③特定消防",IF(AND(OR($A2765=21,$A2765=215),$AJ2765=10),"④一般",IF(AND($A2765=31,$AJ2765=41),"⑤短期","対象外")))))</f>
      </c>
      <c r="DC2765" s="2909">
        <f>IF($A2765="","",IF($AB2765&amp;""='DB_設定'!$C$4,1,0))</f>
      </c>
    </row>
    <row r="2766">
      <c r="DB2766" s="2909">
        <f>IF($A2766="","",IF($AH2766=20,IF(AND(OR($A2766=21,$A2766=215),$AJ2766=10),"①病院一般",IF(AND($A2766=31,$AJ2766=41),"②病院短期","対象外")),IF($AJ2766=30,"③特定消防",IF(AND(OR($A2766=21,$A2766=215),$AJ2766=10),"④一般",IF(AND($A2766=31,$AJ2766=41),"⑤短期","対象外")))))</f>
      </c>
      <c r="DC2766" s="2909">
        <f>IF($A2766="","",IF($AB2766&amp;""='DB_設定'!$C$4,1,0))</f>
      </c>
    </row>
    <row r="2767">
      <c r="DB2767" s="2909">
        <f>IF($A2767="","",IF($AH2767=20,IF(AND(OR($A2767=21,$A2767=215),$AJ2767=10),"①病院一般",IF(AND($A2767=31,$AJ2767=41),"②病院短期","対象外")),IF($AJ2767=30,"③特定消防",IF(AND(OR($A2767=21,$A2767=215),$AJ2767=10),"④一般",IF(AND($A2767=31,$AJ2767=41),"⑤短期","対象外")))))</f>
      </c>
      <c r="DC2767" s="2909">
        <f>IF($A2767="","",IF($AB2767&amp;""='DB_設定'!$C$4,1,0))</f>
      </c>
    </row>
    <row r="2768">
      <c r="DB2768" s="2909">
        <f>IF($A2768="","",IF($AH2768=20,IF(AND(OR($A2768=21,$A2768=215),$AJ2768=10),"①病院一般",IF(AND($A2768=31,$AJ2768=41),"②病院短期","対象外")),IF($AJ2768=30,"③特定消防",IF(AND(OR($A2768=21,$A2768=215),$AJ2768=10),"④一般",IF(AND($A2768=31,$AJ2768=41),"⑤短期","対象外")))))</f>
      </c>
      <c r="DC2768" s="2909">
        <f>IF($A2768="","",IF($AB2768&amp;""='DB_設定'!$C$4,1,0))</f>
      </c>
    </row>
    <row r="2769">
      <c r="DB2769" s="2909">
        <f>IF($A2769="","",IF($AH2769=20,IF(AND(OR($A2769=21,$A2769=215),$AJ2769=10),"①病院一般",IF(AND($A2769=31,$AJ2769=41),"②病院短期","対象外")),IF($AJ2769=30,"③特定消防",IF(AND(OR($A2769=21,$A2769=215),$AJ2769=10),"④一般",IF(AND($A2769=31,$AJ2769=41),"⑤短期","対象外")))))</f>
      </c>
      <c r="DC2769" s="2909">
        <f>IF($A2769="","",IF($AB2769&amp;""='DB_設定'!$C$4,1,0))</f>
      </c>
    </row>
    <row r="2770">
      <c r="DB2770" s="2909">
        <f>IF($A2770="","",IF($AH2770=20,IF(AND(OR($A2770=21,$A2770=215),$AJ2770=10),"①病院一般",IF(AND($A2770=31,$AJ2770=41),"②病院短期","対象外")),IF($AJ2770=30,"③特定消防",IF(AND(OR($A2770=21,$A2770=215),$AJ2770=10),"④一般",IF(AND($A2770=31,$AJ2770=41),"⑤短期","対象外")))))</f>
      </c>
      <c r="DC2770" s="2909">
        <f>IF($A2770="","",IF($AB2770&amp;""='DB_設定'!$C$4,1,0))</f>
      </c>
    </row>
    <row r="2771">
      <c r="DB2771" s="2909">
        <f>IF($A2771="","",IF($AH2771=20,IF(AND(OR($A2771=21,$A2771=215),$AJ2771=10),"①病院一般",IF(AND($A2771=31,$AJ2771=41),"②病院短期","対象外")),IF($AJ2771=30,"③特定消防",IF(AND(OR($A2771=21,$A2771=215),$AJ2771=10),"④一般",IF(AND($A2771=31,$AJ2771=41),"⑤短期","対象外")))))</f>
      </c>
      <c r="DC2771" s="2909">
        <f>IF($A2771="","",IF($AB2771&amp;""='DB_設定'!$C$4,1,0))</f>
      </c>
    </row>
    <row r="2772">
      <c r="DB2772" s="2909">
        <f>IF($A2772="","",IF($AH2772=20,IF(AND(OR($A2772=21,$A2772=215),$AJ2772=10),"①病院一般",IF(AND($A2772=31,$AJ2772=41),"②病院短期","対象外")),IF($AJ2772=30,"③特定消防",IF(AND(OR($A2772=21,$A2772=215),$AJ2772=10),"④一般",IF(AND($A2772=31,$AJ2772=41),"⑤短期","対象外")))))</f>
      </c>
      <c r="DC2772" s="2909">
        <f>IF($A2772="","",IF($AB2772&amp;""='DB_設定'!$C$4,1,0))</f>
      </c>
    </row>
    <row r="2773">
      <c r="DB2773" s="2909">
        <f>IF($A2773="","",IF($AH2773=20,IF(AND(OR($A2773=21,$A2773=215),$AJ2773=10),"①病院一般",IF(AND($A2773=31,$AJ2773=41),"②病院短期","対象外")),IF($AJ2773=30,"③特定消防",IF(AND(OR($A2773=21,$A2773=215),$AJ2773=10),"④一般",IF(AND($A2773=31,$AJ2773=41),"⑤短期","対象外")))))</f>
      </c>
      <c r="DC2773" s="2909">
        <f>IF($A2773="","",IF($AB2773&amp;""='DB_設定'!$C$4,1,0))</f>
      </c>
    </row>
    <row r="2774">
      <c r="DB2774" s="2909">
        <f>IF($A2774="","",IF($AH2774=20,IF(AND(OR($A2774=21,$A2774=215),$AJ2774=10),"①病院一般",IF(AND($A2774=31,$AJ2774=41),"②病院短期","対象外")),IF($AJ2774=30,"③特定消防",IF(AND(OR($A2774=21,$A2774=215),$AJ2774=10),"④一般",IF(AND($A2774=31,$AJ2774=41),"⑤短期","対象外")))))</f>
      </c>
      <c r="DC2774" s="2909">
        <f>IF($A2774="","",IF($AB2774&amp;""='DB_設定'!$C$4,1,0))</f>
      </c>
    </row>
    <row r="2775">
      <c r="DB2775" s="2909">
        <f>IF($A2775="","",IF($AH2775=20,IF(AND(OR($A2775=21,$A2775=215),$AJ2775=10),"①病院一般",IF(AND($A2775=31,$AJ2775=41),"②病院短期","対象外")),IF($AJ2775=30,"③特定消防",IF(AND(OR($A2775=21,$A2775=215),$AJ2775=10),"④一般",IF(AND($A2775=31,$AJ2775=41),"⑤短期","対象外")))))</f>
      </c>
      <c r="DC2775" s="2909">
        <f>IF($A2775="","",IF($AB2775&amp;""='DB_設定'!$C$4,1,0))</f>
      </c>
    </row>
    <row r="2776">
      <c r="DB2776" s="2909">
        <f>IF($A2776="","",IF($AH2776=20,IF(AND(OR($A2776=21,$A2776=215),$AJ2776=10),"①病院一般",IF(AND($A2776=31,$AJ2776=41),"②病院短期","対象外")),IF($AJ2776=30,"③特定消防",IF(AND(OR($A2776=21,$A2776=215),$AJ2776=10),"④一般",IF(AND($A2776=31,$AJ2776=41),"⑤短期","対象外")))))</f>
      </c>
      <c r="DC2776" s="2909">
        <f>IF($A2776="","",IF($AB2776&amp;""='DB_設定'!$C$4,1,0))</f>
      </c>
    </row>
    <row r="2777">
      <c r="DB2777" s="2909">
        <f>IF($A2777="","",IF($AH2777=20,IF(AND(OR($A2777=21,$A2777=215),$AJ2777=10),"①病院一般",IF(AND($A2777=31,$AJ2777=41),"②病院短期","対象外")),IF($AJ2777=30,"③特定消防",IF(AND(OR($A2777=21,$A2777=215),$AJ2777=10),"④一般",IF(AND($A2777=31,$AJ2777=41),"⑤短期","対象外")))))</f>
      </c>
      <c r="DC2777" s="2909">
        <f>IF($A2777="","",IF($AB2777&amp;""='DB_設定'!$C$4,1,0))</f>
      </c>
    </row>
    <row r="2778">
      <c r="DB2778" s="2909">
        <f>IF($A2778="","",IF($AH2778=20,IF(AND(OR($A2778=21,$A2778=215),$AJ2778=10),"①病院一般",IF(AND($A2778=31,$AJ2778=41),"②病院短期","対象外")),IF($AJ2778=30,"③特定消防",IF(AND(OR($A2778=21,$A2778=215),$AJ2778=10),"④一般",IF(AND($A2778=31,$AJ2778=41),"⑤短期","対象外")))))</f>
      </c>
      <c r="DC2778" s="2909">
        <f>IF($A2778="","",IF($AB2778&amp;""='DB_設定'!$C$4,1,0))</f>
      </c>
    </row>
    <row r="2779">
      <c r="DB2779" s="2909">
        <f>IF($A2779="","",IF($AH2779=20,IF(AND(OR($A2779=21,$A2779=215),$AJ2779=10),"①病院一般",IF(AND($A2779=31,$AJ2779=41),"②病院短期","対象外")),IF($AJ2779=30,"③特定消防",IF(AND(OR($A2779=21,$A2779=215),$AJ2779=10),"④一般",IF(AND($A2779=31,$AJ2779=41),"⑤短期","対象外")))))</f>
      </c>
      <c r="DC2779" s="2909">
        <f>IF($A2779="","",IF($AB2779&amp;""='DB_設定'!$C$4,1,0))</f>
      </c>
    </row>
    <row r="2780">
      <c r="DB2780" s="2909">
        <f>IF($A2780="","",IF($AH2780=20,IF(AND(OR($A2780=21,$A2780=215),$AJ2780=10),"①病院一般",IF(AND($A2780=31,$AJ2780=41),"②病院短期","対象外")),IF($AJ2780=30,"③特定消防",IF(AND(OR($A2780=21,$A2780=215),$AJ2780=10),"④一般",IF(AND($A2780=31,$AJ2780=41),"⑤短期","対象外")))))</f>
      </c>
      <c r="DC2780" s="2909">
        <f>IF($A2780="","",IF($AB2780&amp;""='DB_設定'!$C$4,1,0))</f>
      </c>
    </row>
    <row r="2781">
      <c r="DB2781" s="2909">
        <f>IF($A2781="","",IF($AH2781=20,IF(AND(OR($A2781=21,$A2781=215),$AJ2781=10),"①病院一般",IF(AND($A2781=31,$AJ2781=41),"②病院短期","対象外")),IF($AJ2781=30,"③特定消防",IF(AND(OR($A2781=21,$A2781=215),$AJ2781=10),"④一般",IF(AND($A2781=31,$AJ2781=41),"⑤短期","対象外")))))</f>
      </c>
      <c r="DC2781" s="2909">
        <f>IF($A2781="","",IF($AB2781&amp;""='DB_設定'!$C$4,1,0))</f>
      </c>
    </row>
    <row r="2782">
      <c r="DB2782" s="2909">
        <f>IF($A2782="","",IF($AH2782=20,IF(AND(OR($A2782=21,$A2782=215),$AJ2782=10),"①病院一般",IF(AND($A2782=31,$AJ2782=41),"②病院短期","対象外")),IF($AJ2782=30,"③特定消防",IF(AND(OR($A2782=21,$A2782=215),$AJ2782=10),"④一般",IF(AND($A2782=31,$AJ2782=41),"⑤短期","対象外")))))</f>
      </c>
      <c r="DC2782" s="2909">
        <f>IF($A2782="","",IF($AB2782&amp;""='DB_設定'!$C$4,1,0))</f>
      </c>
    </row>
    <row r="2783">
      <c r="DB2783" s="2909">
        <f>IF($A2783="","",IF($AH2783=20,IF(AND(OR($A2783=21,$A2783=215),$AJ2783=10),"①病院一般",IF(AND($A2783=31,$AJ2783=41),"②病院短期","対象外")),IF($AJ2783=30,"③特定消防",IF(AND(OR($A2783=21,$A2783=215),$AJ2783=10),"④一般",IF(AND($A2783=31,$AJ2783=41),"⑤短期","対象外")))))</f>
      </c>
      <c r="DC2783" s="2909">
        <f>IF($A2783="","",IF($AB2783&amp;""='DB_設定'!$C$4,1,0))</f>
      </c>
    </row>
    <row r="2784">
      <c r="DB2784" s="2909">
        <f>IF($A2784="","",IF($AH2784=20,IF(AND(OR($A2784=21,$A2784=215),$AJ2784=10),"①病院一般",IF(AND($A2784=31,$AJ2784=41),"②病院短期","対象外")),IF($AJ2784=30,"③特定消防",IF(AND(OR($A2784=21,$A2784=215),$AJ2784=10),"④一般",IF(AND($A2784=31,$AJ2784=41),"⑤短期","対象外")))))</f>
      </c>
      <c r="DC2784" s="2909">
        <f>IF($A2784="","",IF($AB2784&amp;""='DB_設定'!$C$4,1,0))</f>
      </c>
    </row>
    <row r="2785">
      <c r="DB2785" s="2909">
        <f>IF($A2785="","",IF($AH2785=20,IF(AND(OR($A2785=21,$A2785=215),$AJ2785=10),"①病院一般",IF(AND($A2785=31,$AJ2785=41),"②病院短期","対象外")),IF($AJ2785=30,"③特定消防",IF(AND(OR($A2785=21,$A2785=215),$AJ2785=10),"④一般",IF(AND($A2785=31,$AJ2785=41),"⑤短期","対象外")))))</f>
      </c>
      <c r="DC2785" s="2909">
        <f>IF($A2785="","",IF($AB2785&amp;""='DB_設定'!$C$4,1,0))</f>
      </c>
    </row>
    <row r="2786">
      <c r="DB2786" s="2909">
        <f>IF($A2786="","",IF($AH2786=20,IF(AND(OR($A2786=21,$A2786=215),$AJ2786=10),"①病院一般",IF(AND($A2786=31,$AJ2786=41),"②病院短期","対象外")),IF($AJ2786=30,"③特定消防",IF(AND(OR($A2786=21,$A2786=215),$AJ2786=10),"④一般",IF(AND($A2786=31,$AJ2786=41),"⑤短期","対象外")))))</f>
      </c>
      <c r="DC2786" s="2909">
        <f>IF($A2786="","",IF($AB2786&amp;""='DB_設定'!$C$4,1,0))</f>
      </c>
    </row>
    <row r="2787">
      <c r="DB2787" s="2909">
        <f>IF($A2787="","",IF($AH2787=20,IF(AND(OR($A2787=21,$A2787=215),$AJ2787=10),"①病院一般",IF(AND($A2787=31,$AJ2787=41),"②病院短期","対象外")),IF($AJ2787=30,"③特定消防",IF(AND(OR($A2787=21,$A2787=215),$AJ2787=10),"④一般",IF(AND($A2787=31,$AJ2787=41),"⑤短期","対象外")))))</f>
      </c>
      <c r="DC2787" s="2909">
        <f>IF($A2787="","",IF($AB2787&amp;""='DB_設定'!$C$4,1,0))</f>
      </c>
    </row>
    <row r="2788">
      <c r="DB2788" s="2909">
        <f>IF($A2788="","",IF($AH2788=20,IF(AND(OR($A2788=21,$A2788=215),$AJ2788=10),"①病院一般",IF(AND($A2788=31,$AJ2788=41),"②病院短期","対象外")),IF($AJ2788=30,"③特定消防",IF(AND(OR($A2788=21,$A2788=215),$AJ2788=10),"④一般",IF(AND($A2788=31,$AJ2788=41),"⑤短期","対象外")))))</f>
      </c>
      <c r="DC2788" s="2909">
        <f>IF($A2788="","",IF($AB2788&amp;""='DB_設定'!$C$4,1,0))</f>
      </c>
    </row>
    <row r="2789">
      <c r="DB2789" s="2909">
        <f>IF($A2789="","",IF($AH2789=20,IF(AND(OR($A2789=21,$A2789=215),$AJ2789=10),"①病院一般",IF(AND($A2789=31,$AJ2789=41),"②病院短期","対象外")),IF($AJ2789=30,"③特定消防",IF(AND(OR($A2789=21,$A2789=215),$AJ2789=10),"④一般",IF(AND($A2789=31,$AJ2789=41),"⑤短期","対象外")))))</f>
      </c>
      <c r="DC2789" s="2909">
        <f>IF($A2789="","",IF($AB2789&amp;""='DB_設定'!$C$4,1,0))</f>
      </c>
    </row>
    <row r="2790">
      <c r="DB2790" s="2909">
        <f>IF($A2790="","",IF($AH2790=20,IF(AND(OR($A2790=21,$A2790=215),$AJ2790=10),"①病院一般",IF(AND($A2790=31,$AJ2790=41),"②病院短期","対象外")),IF($AJ2790=30,"③特定消防",IF(AND(OR($A2790=21,$A2790=215),$AJ2790=10),"④一般",IF(AND($A2790=31,$AJ2790=41),"⑤短期","対象外")))))</f>
      </c>
      <c r="DC2790" s="2909">
        <f>IF($A2790="","",IF($AB2790&amp;""='DB_設定'!$C$4,1,0))</f>
      </c>
    </row>
    <row r="2791">
      <c r="DB2791" s="2909">
        <f>IF($A2791="","",IF($AH2791=20,IF(AND(OR($A2791=21,$A2791=215),$AJ2791=10),"①病院一般",IF(AND($A2791=31,$AJ2791=41),"②病院短期","対象外")),IF($AJ2791=30,"③特定消防",IF(AND(OR($A2791=21,$A2791=215),$AJ2791=10),"④一般",IF(AND($A2791=31,$AJ2791=41),"⑤短期","対象外")))))</f>
      </c>
      <c r="DC2791" s="2909">
        <f>IF($A2791="","",IF($AB2791&amp;""='DB_設定'!$C$4,1,0))</f>
      </c>
    </row>
    <row r="2792">
      <c r="DB2792" s="2909">
        <f>IF($A2792="","",IF($AH2792=20,IF(AND(OR($A2792=21,$A2792=215),$AJ2792=10),"①病院一般",IF(AND($A2792=31,$AJ2792=41),"②病院短期","対象外")),IF($AJ2792=30,"③特定消防",IF(AND(OR($A2792=21,$A2792=215),$AJ2792=10),"④一般",IF(AND($A2792=31,$AJ2792=41),"⑤短期","対象外")))))</f>
      </c>
      <c r="DC2792" s="2909">
        <f>IF($A2792="","",IF($AB2792&amp;""='DB_設定'!$C$4,1,0))</f>
      </c>
    </row>
    <row r="2793">
      <c r="DB2793" s="2909">
        <f>IF($A2793="","",IF($AH2793=20,IF(AND(OR($A2793=21,$A2793=215),$AJ2793=10),"①病院一般",IF(AND($A2793=31,$AJ2793=41),"②病院短期","対象外")),IF($AJ2793=30,"③特定消防",IF(AND(OR($A2793=21,$A2793=215),$AJ2793=10),"④一般",IF(AND($A2793=31,$AJ2793=41),"⑤短期","対象外")))))</f>
      </c>
      <c r="DC2793" s="2909">
        <f>IF($A2793="","",IF($AB2793&amp;""='DB_設定'!$C$4,1,0))</f>
      </c>
    </row>
    <row r="2794">
      <c r="DB2794" s="2909">
        <f>IF($A2794="","",IF($AH2794=20,IF(AND(OR($A2794=21,$A2794=215),$AJ2794=10),"①病院一般",IF(AND($A2794=31,$AJ2794=41),"②病院短期","対象外")),IF($AJ2794=30,"③特定消防",IF(AND(OR($A2794=21,$A2794=215),$AJ2794=10),"④一般",IF(AND($A2794=31,$AJ2794=41),"⑤短期","対象外")))))</f>
      </c>
      <c r="DC2794" s="2909">
        <f>IF($A2794="","",IF($AB2794&amp;""='DB_設定'!$C$4,1,0))</f>
      </c>
    </row>
    <row r="2795">
      <c r="DB2795" s="2909">
        <f>IF($A2795="","",IF($AH2795=20,IF(AND(OR($A2795=21,$A2795=215),$AJ2795=10),"①病院一般",IF(AND($A2795=31,$AJ2795=41),"②病院短期","対象外")),IF($AJ2795=30,"③特定消防",IF(AND(OR($A2795=21,$A2795=215),$AJ2795=10),"④一般",IF(AND($A2795=31,$AJ2795=41),"⑤短期","対象外")))))</f>
      </c>
      <c r="DC2795" s="2909">
        <f>IF($A2795="","",IF($AB2795&amp;""='DB_設定'!$C$4,1,0))</f>
      </c>
    </row>
    <row r="2796">
      <c r="DB2796" s="2909">
        <f>IF($A2796="","",IF($AH2796=20,IF(AND(OR($A2796=21,$A2796=215),$AJ2796=10),"①病院一般",IF(AND($A2796=31,$AJ2796=41),"②病院短期","対象外")),IF($AJ2796=30,"③特定消防",IF(AND(OR($A2796=21,$A2796=215),$AJ2796=10),"④一般",IF(AND($A2796=31,$AJ2796=41),"⑤短期","対象外")))))</f>
      </c>
      <c r="DC2796" s="2909">
        <f>IF($A2796="","",IF($AB2796&amp;""='DB_設定'!$C$4,1,0))</f>
      </c>
    </row>
    <row r="2797">
      <c r="DB2797" s="2909">
        <f>IF($A2797="","",IF($AH2797=20,IF(AND(OR($A2797=21,$A2797=215),$AJ2797=10),"①病院一般",IF(AND($A2797=31,$AJ2797=41),"②病院短期","対象外")),IF($AJ2797=30,"③特定消防",IF(AND(OR($A2797=21,$A2797=215),$AJ2797=10),"④一般",IF(AND($A2797=31,$AJ2797=41),"⑤短期","対象外")))))</f>
      </c>
      <c r="DC2797" s="2909">
        <f>IF($A2797="","",IF($AB2797&amp;""='DB_設定'!$C$4,1,0))</f>
      </c>
    </row>
    <row r="2798">
      <c r="DB2798" s="2909">
        <f>IF($A2798="","",IF($AH2798=20,IF(AND(OR($A2798=21,$A2798=215),$AJ2798=10),"①病院一般",IF(AND($A2798=31,$AJ2798=41),"②病院短期","対象外")),IF($AJ2798=30,"③特定消防",IF(AND(OR($A2798=21,$A2798=215),$AJ2798=10),"④一般",IF(AND($A2798=31,$AJ2798=41),"⑤短期","対象外")))))</f>
      </c>
      <c r="DC2798" s="2909">
        <f>IF($A2798="","",IF($AB2798&amp;""='DB_設定'!$C$4,1,0))</f>
      </c>
    </row>
    <row r="2799">
      <c r="DB2799" s="2909">
        <f>IF($A2799="","",IF($AH2799=20,IF(AND(OR($A2799=21,$A2799=215),$AJ2799=10),"①病院一般",IF(AND($A2799=31,$AJ2799=41),"②病院短期","対象外")),IF($AJ2799=30,"③特定消防",IF(AND(OR($A2799=21,$A2799=215),$AJ2799=10),"④一般",IF(AND($A2799=31,$AJ2799=41),"⑤短期","対象外")))))</f>
      </c>
      <c r="DC2799" s="2909">
        <f>IF($A2799="","",IF($AB2799&amp;""='DB_設定'!$C$4,1,0))</f>
      </c>
    </row>
    <row r="2800">
      <c r="DB2800" s="2909">
        <f>IF($A2800="","",IF($AH2800=20,IF(AND(OR($A2800=21,$A2800=215),$AJ2800=10),"①病院一般",IF(AND($A2800=31,$AJ2800=41),"②病院短期","対象外")),IF($AJ2800=30,"③特定消防",IF(AND(OR($A2800=21,$A2800=215),$AJ2800=10),"④一般",IF(AND($A2800=31,$AJ2800=41),"⑤短期","対象外")))))</f>
      </c>
      <c r="DC2800" s="2909">
        <f>IF($A2800="","",IF($AB2800&amp;""='DB_設定'!$C$4,1,0))</f>
      </c>
    </row>
    <row r="2801">
      <c r="DB2801" s="2909">
        <f>IF($A2801="","",IF($AH2801=20,IF(AND(OR($A2801=21,$A2801=215),$AJ2801=10),"①病院一般",IF(AND($A2801=31,$AJ2801=41),"②病院短期","対象外")),IF($AJ2801=30,"③特定消防",IF(AND(OR($A2801=21,$A2801=215),$AJ2801=10),"④一般",IF(AND($A2801=31,$AJ2801=41),"⑤短期","対象外")))))</f>
      </c>
      <c r="DC2801" s="2909">
        <f>IF($A2801="","",IF($AB2801&amp;""='DB_設定'!$C$4,1,0))</f>
      </c>
    </row>
    <row r="2802">
      <c r="DB2802" s="2909">
        <f>IF($A2802="","",IF($AH2802=20,IF(AND(OR($A2802=21,$A2802=215),$AJ2802=10),"①病院一般",IF(AND($A2802=31,$AJ2802=41),"②病院短期","対象外")),IF($AJ2802=30,"③特定消防",IF(AND(OR($A2802=21,$A2802=215),$AJ2802=10),"④一般",IF(AND($A2802=31,$AJ2802=41),"⑤短期","対象外")))))</f>
      </c>
      <c r="DC2802" s="2909">
        <f>IF($A2802="","",IF($AB2802&amp;""='DB_設定'!$C$4,1,0))</f>
      </c>
    </row>
    <row r="2803">
      <c r="DB2803" s="2909">
        <f>IF($A2803="","",IF($AH2803=20,IF(AND(OR($A2803=21,$A2803=215),$AJ2803=10),"①病院一般",IF(AND($A2803=31,$AJ2803=41),"②病院短期","対象外")),IF($AJ2803=30,"③特定消防",IF(AND(OR($A2803=21,$A2803=215),$AJ2803=10),"④一般",IF(AND($A2803=31,$AJ2803=41),"⑤短期","対象外")))))</f>
      </c>
      <c r="DC2803" s="2909">
        <f>IF($A2803="","",IF($AB2803&amp;""='DB_設定'!$C$4,1,0))</f>
      </c>
    </row>
    <row r="2804">
      <c r="DB2804" s="2909">
        <f>IF($A2804="","",IF($AH2804=20,IF(AND(OR($A2804=21,$A2804=215),$AJ2804=10),"①病院一般",IF(AND($A2804=31,$AJ2804=41),"②病院短期","対象外")),IF($AJ2804=30,"③特定消防",IF(AND(OR($A2804=21,$A2804=215),$AJ2804=10),"④一般",IF(AND($A2804=31,$AJ2804=41),"⑤短期","対象外")))))</f>
      </c>
      <c r="DC2804" s="2909">
        <f>IF($A2804="","",IF($AB2804&amp;""='DB_設定'!$C$4,1,0))</f>
      </c>
    </row>
    <row r="2805">
      <c r="DB2805" s="2909">
        <f>IF($A2805="","",IF($AH2805=20,IF(AND(OR($A2805=21,$A2805=215),$AJ2805=10),"①病院一般",IF(AND($A2805=31,$AJ2805=41),"②病院短期","対象外")),IF($AJ2805=30,"③特定消防",IF(AND(OR($A2805=21,$A2805=215),$AJ2805=10),"④一般",IF(AND($A2805=31,$AJ2805=41),"⑤短期","対象外")))))</f>
      </c>
      <c r="DC2805" s="2909">
        <f>IF($A2805="","",IF($AB2805&amp;""='DB_設定'!$C$4,1,0))</f>
      </c>
    </row>
    <row r="2806">
      <c r="DB2806" s="2909">
        <f>IF($A2806="","",IF($AH2806=20,IF(AND(OR($A2806=21,$A2806=215),$AJ2806=10),"①病院一般",IF(AND($A2806=31,$AJ2806=41),"②病院短期","対象外")),IF($AJ2806=30,"③特定消防",IF(AND(OR($A2806=21,$A2806=215),$AJ2806=10),"④一般",IF(AND($A2806=31,$AJ2806=41),"⑤短期","対象外")))))</f>
      </c>
      <c r="DC2806" s="2909">
        <f>IF($A2806="","",IF($AB2806&amp;""='DB_設定'!$C$4,1,0))</f>
      </c>
    </row>
    <row r="2807">
      <c r="DB2807" s="2909">
        <f>IF($A2807="","",IF($AH2807=20,IF(AND(OR($A2807=21,$A2807=215),$AJ2807=10),"①病院一般",IF(AND($A2807=31,$AJ2807=41),"②病院短期","対象外")),IF($AJ2807=30,"③特定消防",IF(AND(OR($A2807=21,$A2807=215),$AJ2807=10),"④一般",IF(AND($A2807=31,$AJ2807=41),"⑤短期","対象外")))))</f>
      </c>
      <c r="DC2807" s="2909">
        <f>IF($A2807="","",IF($AB2807&amp;""='DB_設定'!$C$4,1,0))</f>
      </c>
    </row>
    <row r="2808">
      <c r="DB2808" s="2909">
        <f>IF($A2808="","",IF($AH2808=20,IF(AND(OR($A2808=21,$A2808=215),$AJ2808=10),"①病院一般",IF(AND($A2808=31,$AJ2808=41),"②病院短期","対象外")),IF($AJ2808=30,"③特定消防",IF(AND(OR($A2808=21,$A2808=215),$AJ2808=10),"④一般",IF(AND($A2808=31,$AJ2808=41),"⑤短期","対象外")))))</f>
      </c>
      <c r="DC2808" s="2909">
        <f>IF($A2808="","",IF($AB2808&amp;""='DB_設定'!$C$4,1,0))</f>
      </c>
    </row>
    <row r="2809">
      <c r="DB2809" s="2909">
        <f>IF($A2809="","",IF($AH2809=20,IF(AND(OR($A2809=21,$A2809=215),$AJ2809=10),"①病院一般",IF(AND($A2809=31,$AJ2809=41),"②病院短期","対象外")),IF($AJ2809=30,"③特定消防",IF(AND(OR($A2809=21,$A2809=215),$AJ2809=10),"④一般",IF(AND($A2809=31,$AJ2809=41),"⑤短期","対象外")))))</f>
      </c>
      <c r="DC2809" s="2909">
        <f>IF($A2809="","",IF($AB2809&amp;""='DB_設定'!$C$4,1,0))</f>
      </c>
    </row>
    <row r="2810">
      <c r="DB2810" s="2909">
        <f>IF($A2810="","",IF($AH2810=20,IF(AND(OR($A2810=21,$A2810=215),$AJ2810=10),"①病院一般",IF(AND($A2810=31,$AJ2810=41),"②病院短期","対象外")),IF($AJ2810=30,"③特定消防",IF(AND(OR($A2810=21,$A2810=215),$AJ2810=10),"④一般",IF(AND($A2810=31,$AJ2810=41),"⑤短期","対象外")))))</f>
      </c>
      <c r="DC2810" s="2909">
        <f>IF($A2810="","",IF($AB2810&amp;""='DB_設定'!$C$4,1,0))</f>
      </c>
    </row>
    <row r="2811">
      <c r="DB2811" s="2909">
        <f>IF($A2811="","",IF($AH2811=20,IF(AND(OR($A2811=21,$A2811=215),$AJ2811=10),"①病院一般",IF(AND($A2811=31,$AJ2811=41),"②病院短期","対象外")),IF($AJ2811=30,"③特定消防",IF(AND(OR($A2811=21,$A2811=215),$AJ2811=10),"④一般",IF(AND($A2811=31,$AJ2811=41),"⑤短期","対象外")))))</f>
      </c>
      <c r="DC2811" s="2909">
        <f>IF($A2811="","",IF($AB2811&amp;""='DB_設定'!$C$4,1,0))</f>
      </c>
    </row>
    <row r="2812">
      <c r="DB2812" s="2909">
        <f>IF($A2812="","",IF($AH2812=20,IF(AND(OR($A2812=21,$A2812=215),$AJ2812=10),"①病院一般",IF(AND($A2812=31,$AJ2812=41),"②病院短期","対象外")),IF($AJ2812=30,"③特定消防",IF(AND(OR($A2812=21,$A2812=215),$AJ2812=10),"④一般",IF(AND($A2812=31,$AJ2812=41),"⑤短期","対象外")))))</f>
      </c>
      <c r="DC2812" s="2909">
        <f>IF($A2812="","",IF($AB2812&amp;""='DB_設定'!$C$4,1,0))</f>
      </c>
    </row>
    <row r="2813">
      <c r="DB2813" s="2909">
        <f>IF($A2813="","",IF($AH2813=20,IF(AND(OR($A2813=21,$A2813=215),$AJ2813=10),"①病院一般",IF(AND($A2813=31,$AJ2813=41),"②病院短期","対象外")),IF($AJ2813=30,"③特定消防",IF(AND(OR($A2813=21,$A2813=215),$AJ2813=10),"④一般",IF(AND($A2813=31,$AJ2813=41),"⑤短期","対象外")))))</f>
      </c>
      <c r="DC2813" s="2909">
        <f>IF($A2813="","",IF($AB2813&amp;""='DB_設定'!$C$4,1,0))</f>
      </c>
    </row>
    <row r="2814">
      <c r="DB2814" s="2909">
        <f>IF($A2814="","",IF($AH2814=20,IF(AND(OR($A2814=21,$A2814=215),$AJ2814=10),"①病院一般",IF(AND($A2814=31,$AJ2814=41),"②病院短期","対象外")),IF($AJ2814=30,"③特定消防",IF(AND(OR($A2814=21,$A2814=215),$AJ2814=10),"④一般",IF(AND($A2814=31,$AJ2814=41),"⑤短期","対象外")))))</f>
      </c>
      <c r="DC2814" s="2909">
        <f>IF($A2814="","",IF($AB2814&amp;""='DB_設定'!$C$4,1,0))</f>
      </c>
    </row>
    <row r="2815">
      <c r="DB2815" s="2909">
        <f>IF($A2815="","",IF($AH2815=20,IF(AND(OR($A2815=21,$A2815=215),$AJ2815=10),"①病院一般",IF(AND($A2815=31,$AJ2815=41),"②病院短期","対象外")),IF($AJ2815=30,"③特定消防",IF(AND(OR($A2815=21,$A2815=215),$AJ2815=10),"④一般",IF(AND($A2815=31,$AJ2815=41),"⑤短期","対象外")))))</f>
      </c>
      <c r="DC2815" s="2909">
        <f>IF($A2815="","",IF($AB2815&amp;""='DB_設定'!$C$4,1,0))</f>
      </c>
    </row>
    <row r="2816">
      <c r="DB2816" s="2909">
        <f>IF($A2816="","",IF($AH2816=20,IF(AND(OR($A2816=21,$A2816=215),$AJ2816=10),"①病院一般",IF(AND($A2816=31,$AJ2816=41),"②病院短期","対象外")),IF($AJ2816=30,"③特定消防",IF(AND(OR($A2816=21,$A2816=215),$AJ2816=10),"④一般",IF(AND($A2816=31,$AJ2816=41),"⑤短期","対象外")))))</f>
      </c>
      <c r="DC2816" s="2909">
        <f>IF($A2816="","",IF($AB2816&amp;""='DB_設定'!$C$4,1,0))</f>
      </c>
    </row>
    <row r="2817">
      <c r="DB2817" s="2909">
        <f>IF($A2817="","",IF($AH2817=20,IF(AND(OR($A2817=21,$A2817=215),$AJ2817=10),"①病院一般",IF(AND($A2817=31,$AJ2817=41),"②病院短期","対象外")),IF($AJ2817=30,"③特定消防",IF(AND(OR($A2817=21,$A2817=215),$AJ2817=10),"④一般",IF(AND($A2817=31,$AJ2817=41),"⑤短期","対象外")))))</f>
      </c>
      <c r="DC2817" s="2909">
        <f>IF($A2817="","",IF($AB2817&amp;""='DB_設定'!$C$4,1,0))</f>
      </c>
    </row>
    <row r="2818">
      <c r="DB2818" s="2909">
        <f>IF($A2818="","",IF($AH2818=20,IF(AND(OR($A2818=21,$A2818=215),$AJ2818=10),"①病院一般",IF(AND($A2818=31,$AJ2818=41),"②病院短期","対象外")),IF($AJ2818=30,"③特定消防",IF(AND(OR($A2818=21,$A2818=215),$AJ2818=10),"④一般",IF(AND($A2818=31,$AJ2818=41),"⑤短期","対象外")))))</f>
      </c>
      <c r="DC2818" s="2909">
        <f>IF($A2818="","",IF($AB2818&amp;""='DB_設定'!$C$4,1,0))</f>
      </c>
    </row>
    <row r="2819">
      <c r="DB2819" s="2909">
        <f>IF($A2819="","",IF($AH2819=20,IF(AND(OR($A2819=21,$A2819=215),$AJ2819=10),"①病院一般",IF(AND($A2819=31,$AJ2819=41),"②病院短期","対象外")),IF($AJ2819=30,"③特定消防",IF(AND(OR($A2819=21,$A2819=215),$AJ2819=10),"④一般",IF(AND($A2819=31,$AJ2819=41),"⑤短期","対象外")))))</f>
      </c>
      <c r="DC2819" s="2909">
        <f>IF($A2819="","",IF($AB2819&amp;""='DB_設定'!$C$4,1,0))</f>
      </c>
    </row>
    <row r="2820">
      <c r="DB2820" s="2909">
        <f>IF($A2820="","",IF($AH2820=20,IF(AND(OR($A2820=21,$A2820=215),$AJ2820=10),"①病院一般",IF(AND($A2820=31,$AJ2820=41),"②病院短期","対象外")),IF($AJ2820=30,"③特定消防",IF(AND(OR($A2820=21,$A2820=215),$AJ2820=10),"④一般",IF(AND($A2820=31,$AJ2820=41),"⑤短期","対象外")))))</f>
      </c>
      <c r="DC2820" s="2909">
        <f>IF($A2820="","",IF($AB2820&amp;""='DB_設定'!$C$4,1,0))</f>
      </c>
    </row>
    <row r="2821">
      <c r="DB2821" s="2909">
        <f>IF($A2821="","",IF($AH2821=20,IF(AND(OR($A2821=21,$A2821=215),$AJ2821=10),"①病院一般",IF(AND($A2821=31,$AJ2821=41),"②病院短期","対象外")),IF($AJ2821=30,"③特定消防",IF(AND(OR($A2821=21,$A2821=215),$AJ2821=10),"④一般",IF(AND($A2821=31,$AJ2821=41),"⑤短期","対象外")))))</f>
      </c>
      <c r="DC2821" s="2909">
        <f>IF($A2821="","",IF($AB2821&amp;""='DB_設定'!$C$4,1,0))</f>
      </c>
    </row>
    <row r="2822">
      <c r="DB2822" s="2909">
        <f>IF($A2822="","",IF($AH2822=20,IF(AND(OR($A2822=21,$A2822=215),$AJ2822=10),"①病院一般",IF(AND($A2822=31,$AJ2822=41),"②病院短期","対象外")),IF($AJ2822=30,"③特定消防",IF(AND(OR($A2822=21,$A2822=215),$AJ2822=10),"④一般",IF(AND($A2822=31,$AJ2822=41),"⑤短期","対象外")))))</f>
      </c>
      <c r="DC2822" s="2909">
        <f>IF($A2822="","",IF($AB2822&amp;""='DB_設定'!$C$4,1,0))</f>
      </c>
    </row>
    <row r="2823">
      <c r="DB2823" s="2909">
        <f>IF($A2823="","",IF($AH2823=20,IF(AND(OR($A2823=21,$A2823=215),$AJ2823=10),"①病院一般",IF(AND($A2823=31,$AJ2823=41),"②病院短期","対象外")),IF($AJ2823=30,"③特定消防",IF(AND(OR($A2823=21,$A2823=215),$AJ2823=10),"④一般",IF(AND($A2823=31,$AJ2823=41),"⑤短期","対象外")))))</f>
      </c>
      <c r="DC2823" s="2909">
        <f>IF($A2823="","",IF($AB2823&amp;""='DB_設定'!$C$4,1,0))</f>
      </c>
    </row>
    <row r="2824">
      <c r="DB2824" s="2909">
        <f>IF($A2824="","",IF($AH2824=20,IF(AND(OR($A2824=21,$A2824=215),$AJ2824=10),"①病院一般",IF(AND($A2824=31,$AJ2824=41),"②病院短期","対象外")),IF($AJ2824=30,"③特定消防",IF(AND(OR($A2824=21,$A2824=215),$AJ2824=10),"④一般",IF(AND($A2824=31,$AJ2824=41),"⑤短期","対象外")))))</f>
      </c>
      <c r="DC2824" s="2909">
        <f>IF($A2824="","",IF($AB2824&amp;""='DB_設定'!$C$4,1,0))</f>
      </c>
    </row>
    <row r="2825">
      <c r="DB2825" s="2909">
        <f>IF($A2825="","",IF($AH2825=20,IF(AND(OR($A2825=21,$A2825=215),$AJ2825=10),"①病院一般",IF(AND($A2825=31,$AJ2825=41),"②病院短期","対象外")),IF($AJ2825=30,"③特定消防",IF(AND(OR($A2825=21,$A2825=215),$AJ2825=10),"④一般",IF(AND($A2825=31,$AJ2825=41),"⑤短期","対象外")))))</f>
      </c>
      <c r="DC2825" s="2909">
        <f>IF($A2825="","",IF($AB2825&amp;""='DB_設定'!$C$4,1,0))</f>
      </c>
    </row>
    <row r="2826">
      <c r="DB2826" s="2909">
        <f>IF($A2826="","",IF($AH2826=20,IF(AND(OR($A2826=21,$A2826=215),$AJ2826=10),"①病院一般",IF(AND($A2826=31,$AJ2826=41),"②病院短期","対象外")),IF($AJ2826=30,"③特定消防",IF(AND(OR($A2826=21,$A2826=215),$AJ2826=10),"④一般",IF(AND($A2826=31,$AJ2826=41),"⑤短期","対象外")))))</f>
      </c>
      <c r="DC2826" s="2909">
        <f>IF($A2826="","",IF($AB2826&amp;""='DB_設定'!$C$4,1,0))</f>
      </c>
    </row>
    <row r="2827">
      <c r="DB2827" s="2909">
        <f>IF($A2827="","",IF($AH2827=20,IF(AND(OR($A2827=21,$A2827=215),$AJ2827=10),"①病院一般",IF(AND($A2827=31,$AJ2827=41),"②病院短期","対象外")),IF($AJ2827=30,"③特定消防",IF(AND(OR($A2827=21,$A2827=215),$AJ2827=10),"④一般",IF(AND($A2827=31,$AJ2827=41),"⑤短期","対象外")))))</f>
      </c>
      <c r="DC2827" s="2909">
        <f>IF($A2827="","",IF($AB2827&amp;""='DB_設定'!$C$4,1,0))</f>
      </c>
    </row>
    <row r="2828">
      <c r="DB2828" s="2909">
        <f>IF($A2828="","",IF($AH2828=20,IF(AND(OR($A2828=21,$A2828=215),$AJ2828=10),"①病院一般",IF(AND($A2828=31,$AJ2828=41),"②病院短期","対象外")),IF($AJ2828=30,"③特定消防",IF(AND(OR($A2828=21,$A2828=215),$AJ2828=10),"④一般",IF(AND($A2828=31,$AJ2828=41),"⑤短期","対象外")))))</f>
      </c>
      <c r="DC2828" s="2909">
        <f>IF($A2828="","",IF($AB2828&amp;""='DB_設定'!$C$4,1,0))</f>
      </c>
    </row>
    <row r="2829">
      <c r="DB2829" s="2909">
        <f>IF($A2829="","",IF($AH2829=20,IF(AND(OR($A2829=21,$A2829=215),$AJ2829=10),"①病院一般",IF(AND($A2829=31,$AJ2829=41),"②病院短期","対象外")),IF($AJ2829=30,"③特定消防",IF(AND(OR($A2829=21,$A2829=215),$AJ2829=10),"④一般",IF(AND($A2829=31,$AJ2829=41),"⑤短期","対象外")))))</f>
      </c>
      <c r="DC2829" s="2909">
        <f>IF($A2829="","",IF($AB2829&amp;""='DB_設定'!$C$4,1,0))</f>
      </c>
    </row>
    <row r="2830">
      <c r="DB2830" s="2909">
        <f>IF($A2830="","",IF($AH2830=20,IF(AND(OR($A2830=21,$A2830=215),$AJ2830=10),"①病院一般",IF(AND($A2830=31,$AJ2830=41),"②病院短期","対象外")),IF($AJ2830=30,"③特定消防",IF(AND(OR($A2830=21,$A2830=215),$AJ2830=10),"④一般",IF(AND($A2830=31,$AJ2830=41),"⑤短期","対象外")))))</f>
      </c>
      <c r="DC2830" s="2909">
        <f>IF($A2830="","",IF($AB2830&amp;""='DB_設定'!$C$4,1,0))</f>
      </c>
    </row>
    <row r="2831">
      <c r="DB2831" s="2909">
        <f>IF($A2831="","",IF($AH2831=20,IF(AND(OR($A2831=21,$A2831=215),$AJ2831=10),"①病院一般",IF(AND($A2831=31,$AJ2831=41),"②病院短期","対象外")),IF($AJ2831=30,"③特定消防",IF(AND(OR($A2831=21,$A2831=215),$AJ2831=10),"④一般",IF(AND($A2831=31,$AJ2831=41),"⑤短期","対象外")))))</f>
      </c>
      <c r="DC2831" s="2909">
        <f>IF($A2831="","",IF($AB2831&amp;""='DB_設定'!$C$4,1,0))</f>
      </c>
    </row>
    <row r="2832">
      <c r="DB2832" s="2909">
        <f>IF($A2832="","",IF($AH2832=20,IF(AND(OR($A2832=21,$A2832=215),$AJ2832=10),"①病院一般",IF(AND($A2832=31,$AJ2832=41),"②病院短期","対象外")),IF($AJ2832=30,"③特定消防",IF(AND(OR($A2832=21,$A2832=215),$AJ2832=10),"④一般",IF(AND($A2832=31,$AJ2832=41),"⑤短期","対象外")))))</f>
      </c>
      <c r="DC2832" s="2909">
        <f>IF($A2832="","",IF($AB2832&amp;""='DB_設定'!$C$4,1,0))</f>
      </c>
    </row>
    <row r="2833">
      <c r="DB2833" s="2909">
        <f>IF($A2833="","",IF($AH2833=20,IF(AND(OR($A2833=21,$A2833=215),$AJ2833=10),"①病院一般",IF(AND($A2833=31,$AJ2833=41),"②病院短期","対象外")),IF($AJ2833=30,"③特定消防",IF(AND(OR($A2833=21,$A2833=215),$AJ2833=10),"④一般",IF(AND($A2833=31,$AJ2833=41),"⑤短期","対象外")))))</f>
      </c>
      <c r="DC2833" s="2909">
        <f>IF($A2833="","",IF($AB2833&amp;""='DB_設定'!$C$4,1,0))</f>
      </c>
    </row>
    <row r="2834">
      <c r="DB2834" s="2909">
        <f>IF($A2834="","",IF($AH2834=20,IF(AND(OR($A2834=21,$A2834=215),$AJ2834=10),"①病院一般",IF(AND($A2834=31,$AJ2834=41),"②病院短期","対象外")),IF($AJ2834=30,"③特定消防",IF(AND(OR($A2834=21,$A2834=215),$AJ2834=10),"④一般",IF(AND($A2834=31,$AJ2834=41),"⑤短期","対象外")))))</f>
      </c>
      <c r="DC2834" s="2909">
        <f>IF($A2834="","",IF($AB2834&amp;""='DB_設定'!$C$4,1,0))</f>
      </c>
    </row>
    <row r="2835">
      <c r="DB2835" s="2909">
        <f>IF($A2835="","",IF($AH2835=20,IF(AND(OR($A2835=21,$A2835=215),$AJ2835=10),"①病院一般",IF(AND($A2835=31,$AJ2835=41),"②病院短期","対象外")),IF($AJ2835=30,"③特定消防",IF(AND(OR($A2835=21,$A2835=215),$AJ2835=10),"④一般",IF(AND($A2835=31,$AJ2835=41),"⑤短期","対象外")))))</f>
      </c>
      <c r="DC2835" s="2909">
        <f>IF($A2835="","",IF($AB2835&amp;""='DB_設定'!$C$4,1,0))</f>
      </c>
    </row>
    <row r="2836">
      <c r="DB2836" s="2909">
        <f>IF($A2836="","",IF($AH2836=20,IF(AND(OR($A2836=21,$A2836=215),$AJ2836=10),"①病院一般",IF(AND($A2836=31,$AJ2836=41),"②病院短期","対象外")),IF($AJ2836=30,"③特定消防",IF(AND(OR($A2836=21,$A2836=215),$AJ2836=10),"④一般",IF(AND($A2836=31,$AJ2836=41),"⑤短期","対象外")))))</f>
      </c>
      <c r="DC2836" s="2909">
        <f>IF($A2836="","",IF($AB2836&amp;""='DB_設定'!$C$4,1,0))</f>
      </c>
    </row>
    <row r="2837">
      <c r="DB2837" s="2909">
        <f>IF($A2837="","",IF($AH2837=20,IF(AND(OR($A2837=21,$A2837=215),$AJ2837=10),"①病院一般",IF(AND($A2837=31,$AJ2837=41),"②病院短期","対象外")),IF($AJ2837=30,"③特定消防",IF(AND(OR($A2837=21,$A2837=215),$AJ2837=10),"④一般",IF(AND($A2837=31,$AJ2837=41),"⑤短期","対象外")))))</f>
      </c>
      <c r="DC2837" s="2909">
        <f>IF($A2837="","",IF($AB2837&amp;""='DB_設定'!$C$4,1,0))</f>
      </c>
    </row>
    <row r="2838">
      <c r="DB2838" s="2909">
        <f>IF($A2838="","",IF($AH2838=20,IF(AND(OR($A2838=21,$A2838=215),$AJ2838=10),"①病院一般",IF(AND($A2838=31,$AJ2838=41),"②病院短期","対象外")),IF($AJ2838=30,"③特定消防",IF(AND(OR($A2838=21,$A2838=215),$AJ2838=10),"④一般",IF(AND($A2838=31,$AJ2838=41),"⑤短期","対象外")))))</f>
      </c>
      <c r="DC2838" s="2909">
        <f>IF($A2838="","",IF($AB2838&amp;""='DB_設定'!$C$4,1,0))</f>
      </c>
    </row>
    <row r="2839">
      <c r="DB2839" s="2909">
        <f>IF($A2839="","",IF($AH2839=20,IF(AND(OR($A2839=21,$A2839=215),$AJ2839=10),"①病院一般",IF(AND($A2839=31,$AJ2839=41),"②病院短期","対象外")),IF($AJ2839=30,"③特定消防",IF(AND(OR($A2839=21,$A2839=215),$AJ2839=10),"④一般",IF(AND($A2839=31,$AJ2839=41),"⑤短期","対象外")))))</f>
      </c>
      <c r="DC2839" s="2909">
        <f>IF($A2839="","",IF($AB2839&amp;""='DB_設定'!$C$4,1,0))</f>
      </c>
    </row>
    <row r="2840">
      <c r="DB2840" s="2909">
        <f>IF($A2840="","",IF($AH2840=20,IF(AND(OR($A2840=21,$A2840=215),$AJ2840=10),"①病院一般",IF(AND($A2840=31,$AJ2840=41),"②病院短期","対象外")),IF($AJ2840=30,"③特定消防",IF(AND(OR($A2840=21,$A2840=215),$AJ2840=10),"④一般",IF(AND($A2840=31,$AJ2840=41),"⑤短期","対象外")))))</f>
      </c>
      <c r="DC2840" s="2909">
        <f>IF($A2840="","",IF($AB2840&amp;""='DB_設定'!$C$4,1,0))</f>
      </c>
    </row>
    <row r="2841">
      <c r="DB2841" s="2909">
        <f>IF($A2841="","",IF($AH2841=20,IF(AND(OR($A2841=21,$A2841=215),$AJ2841=10),"①病院一般",IF(AND($A2841=31,$AJ2841=41),"②病院短期","対象外")),IF($AJ2841=30,"③特定消防",IF(AND(OR($A2841=21,$A2841=215),$AJ2841=10),"④一般",IF(AND($A2841=31,$AJ2841=41),"⑤短期","対象外")))))</f>
      </c>
      <c r="DC2841" s="2909">
        <f>IF($A2841="","",IF($AB2841&amp;""='DB_設定'!$C$4,1,0))</f>
      </c>
    </row>
    <row r="2842">
      <c r="DB2842" s="2909">
        <f>IF($A2842="","",IF($AH2842=20,IF(AND(OR($A2842=21,$A2842=215),$AJ2842=10),"①病院一般",IF(AND($A2842=31,$AJ2842=41),"②病院短期","対象外")),IF($AJ2842=30,"③特定消防",IF(AND(OR($A2842=21,$A2842=215),$AJ2842=10),"④一般",IF(AND($A2842=31,$AJ2842=41),"⑤短期","対象外")))))</f>
      </c>
      <c r="DC2842" s="2909">
        <f>IF($A2842="","",IF($AB2842&amp;""='DB_設定'!$C$4,1,0))</f>
      </c>
    </row>
    <row r="2843">
      <c r="DB2843" s="2909">
        <f>IF($A2843="","",IF($AH2843=20,IF(AND(OR($A2843=21,$A2843=215),$AJ2843=10),"①病院一般",IF(AND($A2843=31,$AJ2843=41),"②病院短期","対象外")),IF($AJ2843=30,"③特定消防",IF(AND(OR($A2843=21,$A2843=215),$AJ2843=10),"④一般",IF(AND($A2843=31,$AJ2843=41),"⑤短期","対象外")))))</f>
      </c>
      <c r="DC2843" s="2909">
        <f>IF($A2843="","",IF($AB2843&amp;""='DB_設定'!$C$4,1,0))</f>
      </c>
    </row>
    <row r="2844">
      <c r="DB2844" s="2909">
        <f>IF($A2844="","",IF($AH2844=20,IF(AND(OR($A2844=21,$A2844=215),$AJ2844=10),"①病院一般",IF(AND($A2844=31,$AJ2844=41),"②病院短期","対象外")),IF($AJ2844=30,"③特定消防",IF(AND(OR($A2844=21,$A2844=215),$AJ2844=10),"④一般",IF(AND($A2844=31,$AJ2844=41),"⑤短期","対象外")))))</f>
      </c>
      <c r="DC2844" s="2909">
        <f>IF($A2844="","",IF($AB2844&amp;""='DB_設定'!$C$4,1,0))</f>
      </c>
    </row>
    <row r="2845">
      <c r="DB2845" s="2909">
        <f>IF($A2845="","",IF($AH2845=20,IF(AND(OR($A2845=21,$A2845=215),$AJ2845=10),"①病院一般",IF(AND($A2845=31,$AJ2845=41),"②病院短期","対象外")),IF($AJ2845=30,"③特定消防",IF(AND(OR($A2845=21,$A2845=215),$AJ2845=10),"④一般",IF(AND($A2845=31,$AJ2845=41),"⑤短期","対象外")))))</f>
      </c>
      <c r="DC2845" s="2909">
        <f>IF($A2845="","",IF($AB2845&amp;""='DB_設定'!$C$4,1,0))</f>
      </c>
    </row>
    <row r="2846">
      <c r="DB2846" s="2909">
        <f>IF($A2846="","",IF($AH2846=20,IF(AND(OR($A2846=21,$A2846=215),$AJ2846=10),"①病院一般",IF(AND($A2846=31,$AJ2846=41),"②病院短期","対象外")),IF($AJ2846=30,"③特定消防",IF(AND(OR($A2846=21,$A2846=215),$AJ2846=10),"④一般",IF(AND($A2846=31,$AJ2846=41),"⑤短期","対象外")))))</f>
      </c>
      <c r="DC2846" s="2909">
        <f>IF($A2846="","",IF($AB2846&amp;""='DB_設定'!$C$4,1,0))</f>
      </c>
    </row>
    <row r="2847">
      <c r="DB2847" s="2909">
        <f>IF($A2847="","",IF($AH2847=20,IF(AND(OR($A2847=21,$A2847=215),$AJ2847=10),"①病院一般",IF(AND($A2847=31,$AJ2847=41),"②病院短期","対象外")),IF($AJ2847=30,"③特定消防",IF(AND(OR($A2847=21,$A2847=215),$AJ2847=10),"④一般",IF(AND($A2847=31,$AJ2847=41),"⑤短期","対象外")))))</f>
      </c>
      <c r="DC2847" s="2909">
        <f>IF($A2847="","",IF($AB2847&amp;""='DB_設定'!$C$4,1,0))</f>
      </c>
    </row>
    <row r="2848">
      <c r="DB2848" s="2909">
        <f>IF($A2848="","",IF($AH2848=20,IF(AND(OR($A2848=21,$A2848=215),$AJ2848=10),"①病院一般",IF(AND($A2848=31,$AJ2848=41),"②病院短期","対象外")),IF($AJ2848=30,"③特定消防",IF(AND(OR($A2848=21,$A2848=215),$AJ2848=10),"④一般",IF(AND($A2848=31,$AJ2848=41),"⑤短期","対象外")))))</f>
      </c>
      <c r="DC2848" s="2909">
        <f>IF($A2848="","",IF($AB2848&amp;""='DB_設定'!$C$4,1,0))</f>
      </c>
    </row>
    <row r="2849">
      <c r="DB2849" s="2909">
        <f>IF($A2849="","",IF($AH2849=20,IF(AND(OR($A2849=21,$A2849=215),$AJ2849=10),"①病院一般",IF(AND($A2849=31,$AJ2849=41),"②病院短期","対象外")),IF($AJ2849=30,"③特定消防",IF(AND(OR($A2849=21,$A2849=215),$AJ2849=10),"④一般",IF(AND($A2849=31,$AJ2849=41),"⑤短期","対象外")))))</f>
      </c>
      <c r="DC2849" s="2909">
        <f>IF($A2849="","",IF($AB2849&amp;""='DB_設定'!$C$4,1,0))</f>
      </c>
    </row>
    <row r="2850">
      <c r="DB2850" s="2909">
        <f>IF($A2850="","",IF($AH2850=20,IF(AND(OR($A2850=21,$A2850=215),$AJ2850=10),"①病院一般",IF(AND($A2850=31,$AJ2850=41),"②病院短期","対象外")),IF($AJ2850=30,"③特定消防",IF(AND(OR($A2850=21,$A2850=215),$AJ2850=10),"④一般",IF(AND($A2850=31,$AJ2850=41),"⑤短期","対象外")))))</f>
      </c>
      <c r="DC2850" s="2909">
        <f>IF($A2850="","",IF($AB2850&amp;""='DB_設定'!$C$4,1,0))</f>
      </c>
    </row>
    <row r="2851">
      <c r="DB2851" s="2909">
        <f>IF($A2851="","",IF($AH2851=20,IF(AND(OR($A2851=21,$A2851=215),$AJ2851=10),"①病院一般",IF(AND($A2851=31,$AJ2851=41),"②病院短期","対象外")),IF($AJ2851=30,"③特定消防",IF(AND(OR($A2851=21,$A2851=215),$AJ2851=10),"④一般",IF(AND($A2851=31,$AJ2851=41),"⑤短期","対象外")))))</f>
      </c>
      <c r="DC2851" s="2909">
        <f>IF($A2851="","",IF($AB2851&amp;""='DB_設定'!$C$4,1,0))</f>
      </c>
    </row>
    <row r="2852">
      <c r="DB2852" s="2909">
        <f>IF($A2852="","",IF($AH2852=20,IF(AND(OR($A2852=21,$A2852=215),$AJ2852=10),"①病院一般",IF(AND($A2852=31,$AJ2852=41),"②病院短期","対象外")),IF($AJ2852=30,"③特定消防",IF(AND(OR($A2852=21,$A2852=215),$AJ2852=10),"④一般",IF(AND($A2852=31,$AJ2852=41),"⑤短期","対象外")))))</f>
      </c>
      <c r="DC2852" s="2909">
        <f>IF($A2852="","",IF($AB2852&amp;""='DB_設定'!$C$4,1,0))</f>
      </c>
    </row>
    <row r="2853">
      <c r="DB2853" s="2909">
        <f>IF($A2853="","",IF($AH2853=20,IF(AND(OR($A2853=21,$A2853=215),$AJ2853=10),"①病院一般",IF(AND($A2853=31,$AJ2853=41),"②病院短期","対象外")),IF($AJ2853=30,"③特定消防",IF(AND(OR($A2853=21,$A2853=215),$AJ2853=10),"④一般",IF(AND($A2853=31,$AJ2853=41),"⑤短期","対象外")))))</f>
      </c>
      <c r="DC2853" s="2909">
        <f>IF($A2853="","",IF($AB2853&amp;""='DB_設定'!$C$4,1,0))</f>
      </c>
    </row>
    <row r="2854">
      <c r="DB2854" s="2909">
        <f>IF($A2854="","",IF($AH2854=20,IF(AND(OR($A2854=21,$A2854=215),$AJ2854=10),"①病院一般",IF(AND($A2854=31,$AJ2854=41),"②病院短期","対象外")),IF($AJ2854=30,"③特定消防",IF(AND(OR($A2854=21,$A2854=215),$AJ2854=10),"④一般",IF(AND($A2854=31,$AJ2854=41),"⑤短期","対象外")))))</f>
      </c>
      <c r="DC2854" s="2909">
        <f>IF($A2854="","",IF($AB2854&amp;""='DB_設定'!$C$4,1,0))</f>
      </c>
    </row>
    <row r="2855">
      <c r="DB2855" s="2909">
        <f>IF($A2855="","",IF($AH2855=20,IF(AND(OR($A2855=21,$A2855=215),$AJ2855=10),"①病院一般",IF(AND($A2855=31,$AJ2855=41),"②病院短期","対象外")),IF($AJ2855=30,"③特定消防",IF(AND(OR($A2855=21,$A2855=215),$AJ2855=10),"④一般",IF(AND($A2855=31,$AJ2855=41),"⑤短期","対象外")))))</f>
      </c>
      <c r="DC2855" s="2909">
        <f>IF($A2855="","",IF($AB2855&amp;""='DB_設定'!$C$4,1,0))</f>
      </c>
    </row>
    <row r="2856">
      <c r="DB2856" s="2909">
        <f>IF($A2856="","",IF($AH2856=20,IF(AND(OR($A2856=21,$A2856=215),$AJ2856=10),"①病院一般",IF(AND($A2856=31,$AJ2856=41),"②病院短期","対象外")),IF($AJ2856=30,"③特定消防",IF(AND(OR($A2856=21,$A2856=215),$AJ2856=10),"④一般",IF(AND($A2856=31,$AJ2856=41),"⑤短期","対象外")))))</f>
      </c>
      <c r="DC2856" s="2909">
        <f>IF($A2856="","",IF($AB2856&amp;""='DB_設定'!$C$4,1,0))</f>
      </c>
    </row>
    <row r="2857">
      <c r="DB2857" s="2909">
        <f>IF($A2857="","",IF($AH2857=20,IF(AND(OR($A2857=21,$A2857=215),$AJ2857=10),"①病院一般",IF(AND($A2857=31,$AJ2857=41),"②病院短期","対象外")),IF($AJ2857=30,"③特定消防",IF(AND(OR($A2857=21,$A2857=215),$AJ2857=10),"④一般",IF(AND($A2857=31,$AJ2857=41),"⑤短期","対象外")))))</f>
      </c>
      <c r="DC2857" s="2909">
        <f>IF($A2857="","",IF($AB2857&amp;""='DB_設定'!$C$4,1,0))</f>
      </c>
    </row>
    <row r="2858">
      <c r="DB2858" s="2909">
        <f>IF($A2858="","",IF($AH2858=20,IF(AND(OR($A2858=21,$A2858=215),$AJ2858=10),"①病院一般",IF(AND($A2858=31,$AJ2858=41),"②病院短期","対象外")),IF($AJ2858=30,"③特定消防",IF(AND(OR($A2858=21,$A2858=215),$AJ2858=10),"④一般",IF(AND($A2858=31,$AJ2858=41),"⑤短期","対象外")))))</f>
      </c>
      <c r="DC2858" s="2909">
        <f>IF($A2858="","",IF($AB2858&amp;""='DB_設定'!$C$4,1,0))</f>
      </c>
    </row>
    <row r="2859">
      <c r="DB2859" s="2909">
        <f>IF($A2859="","",IF($AH2859=20,IF(AND(OR($A2859=21,$A2859=215),$AJ2859=10),"①病院一般",IF(AND($A2859=31,$AJ2859=41),"②病院短期","対象外")),IF($AJ2859=30,"③特定消防",IF(AND(OR($A2859=21,$A2859=215),$AJ2859=10),"④一般",IF(AND($A2859=31,$AJ2859=41),"⑤短期","対象外")))))</f>
      </c>
      <c r="DC2859" s="2909">
        <f>IF($A2859="","",IF($AB2859&amp;""='DB_設定'!$C$4,1,0))</f>
      </c>
    </row>
    <row r="2860">
      <c r="DB2860" s="2909">
        <f>IF($A2860="","",IF($AH2860=20,IF(AND(OR($A2860=21,$A2860=215),$AJ2860=10),"①病院一般",IF(AND($A2860=31,$AJ2860=41),"②病院短期","対象外")),IF($AJ2860=30,"③特定消防",IF(AND(OR($A2860=21,$A2860=215),$AJ2860=10),"④一般",IF(AND($A2860=31,$AJ2860=41),"⑤短期","対象外")))))</f>
      </c>
      <c r="DC2860" s="2909">
        <f>IF($A2860="","",IF($AB2860&amp;""='DB_設定'!$C$4,1,0))</f>
      </c>
    </row>
    <row r="2861">
      <c r="DB2861" s="2909">
        <f>IF($A2861="","",IF($AH2861=20,IF(AND(OR($A2861=21,$A2861=215),$AJ2861=10),"①病院一般",IF(AND($A2861=31,$AJ2861=41),"②病院短期","対象外")),IF($AJ2861=30,"③特定消防",IF(AND(OR($A2861=21,$A2861=215),$AJ2861=10),"④一般",IF(AND($A2861=31,$AJ2861=41),"⑤短期","対象外")))))</f>
      </c>
      <c r="DC2861" s="2909">
        <f>IF($A2861="","",IF($AB2861&amp;""='DB_設定'!$C$4,1,0))</f>
      </c>
    </row>
    <row r="2862">
      <c r="DB2862" s="2909">
        <f>IF($A2862="","",IF($AH2862=20,IF(AND(OR($A2862=21,$A2862=215),$AJ2862=10),"①病院一般",IF(AND($A2862=31,$AJ2862=41),"②病院短期","対象外")),IF($AJ2862=30,"③特定消防",IF(AND(OR($A2862=21,$A2862=215),$AJ2862=10),"④一般",IF(AND($A2862=31,$AJ2862=41),"⑤短期","対象外")))))</f>
      </c>
      <c r="DC2862" s="2909">
        <f>IF($A2862="","",IF($AB2862&amp;""='DB_設定'!$C$4,1,0))</f>
      </c>
    </row>
    <row r="2863">
      <c r="DB2863" s="2909">
        <f>IF($A2863="","",IF($AH2863=20,IF(AND(OR($A2863=21,$A2863=215),$AJ2863=10),"①病院一般",IF(AND($A2863=31,$AJ2863=41),"②病院短期","対象外")),IF($AJ2863=30,"③特定消防",IF(AND(OR($A2863=21,$A2863=215),$AJ2863=10),"④一般",IF(AND($A2863=31,$AJ2863=41),"⑤短期","対象外")))))</f>
      </c>
      <c r="DC2863" s="2909">
        <f>IF($A2863="","",IF($AB2863&amp;""='DB_設定'!$C$4,1,0))</f>
      </c>
    </row>
    <row r="2864">
      <c r="DB2864" s="2909">
        <f>IF($A2864="","",IF($AH2864=20,IF(AND(OR($A2864=21,$A2864=215),$AJ2864=10),"①病院一般",IF(AND($A2864=31,$AJ2864=41),"②病院短期","対象外")),IF($AJ2864=30,"③特定消防",IF(AND(OR($A2864=21,$A2864=215),$AJ2864=10),"④一般",IF(AND($A2864=31,$AJ2864=41),"⑤短期","対象外")))))</f>
      </c>
      <c r="DC2864" s="2909">
        <f>IF($A2864="","",IF($AB2864&amp;""='DB_設定'!$C$4,1,0))</f>
      </c>
    </row>
    <row r="2865">
      <c r="DB2865" s="2909">
        <f>IF($A2865="","",IF($AH2865=20,IF(AND(OR($A2865=21,$A2865=215),$AJ2865=10),"①病院一般",IF(AND($A2865=31,$AJ2865=41),"②病院短期","対象外")),IF($AJ2865=30,"③特定消防",IF(AND(OR($A2865=21,$A2865=215),$AJ2865=10),"④一般",IF(AND($A2865=31,$AJ2865=41),"⑤短期","対象外")))))</f>
      </c>
      <c r="DC2865" s="2909">
        <f>IF($A2865="","",IF($AB2865&amp;""='DB_設定'!$C$4,1,0))</f>
      </c>
    </row>
    <row r="2866">
      <c r="DB2866" s="2909">
        <f>IF($A2866="","",IF($AH2866=20,IF(AND(OR($A2866=21,$A2866=215),$AJ2866=10),"①病院一般",IF(AND($A2866=31,$AJ2866=41),"②病院短期","対象外")),IF($AJ2866=30,"③特定消防",IF(AND(OR($A2866=21,$A2866=215),$AJ2866=10),"④一般",IF(AND($A2866=31,$AJ2866=41),"⑤短期","対象外")))))</f>
      </c>
      <c r="DC2866" s="2909">
        <f>IF($A2866="","",IF($AB2866&amp;""='DB_設定'!$C$4,1,0))</f>
      </c>
    </row>
    <row r="2867">
      <c r="DB2867" s="2909">
        <f>IF($A2867="","",IF($AH2867=20,IF(AND(OR($A2867=21,$A2867=215),$AJ2867=10),"①病院一般",IF(AND($A2867=31,$AJ2867=41),"②病院短期","対象外")),IF($AJ2867=30,"③特定消防",IF(AND(OR($A2867=21,$A2867=215),$AJ2867=10),"④一般",IF(AND($A2867=31,$AJ2867=41),"⑤短期","対象外")))))</f>
      </c>
      <c r="DC2867" s="2909">
        <f>IF($A2867="","",IF($AB2867&amp;""='DB_設定'!$C$4,1,0))</f>
      </c>
    </row>
    <row r="2868">
      <c r="DB2868" s="2909">
        <f>IF($A2868="","",IF($AH2868=20,IF(AND(OR($A2868=21,$A2868=215),$AJ2868=10),"①病院一般",IF(AND($A2868=31,$AJ2868=41),"②病院短期","対象外")),IF($AJ2868=30,"③特定消防",IF(AND(OR($A2868=21,$A2868=215),$AJ2868=10),"④一般",IF(AND($A2868=31,$AJ2868=41),"⑤短期","対象外")))))</f>
      </c>
      <c r="DC2868" s="2909">
        <f>IF($A2868="","",IF($AB2868&amp;""='DB_設定'!$C$4,1,0))</f>
      </c>
    </row>
    <row r="2869">
      <c r="DB2869" s="2909">
        <f>IF($A2869="","",IF($AH2869=20,IF(AND(OR($A2869=21,$A2869=215),$AJ2869=10),"①病院一般",IF(AND($A2869=31,$AJ2869=41),"②病院短期","対象外")),IF($AJ2869=30,"③特定消防",IF(AND(OR($A2869=21,$A2869=215),$AJ2869=10),"④一般",IF(AND($A2869=31,$AJ2869=41),"⑤短期","対象外")))))</f>
      </c>
      <c r="DC2869" s="2909">
        <f>IF($A2869="","",IF($AB2869&amp;""='DB_設定'!$C$4,1,0))</f>
      </c>
    </row>
    <row r="2870">
      <c r="DB2870" s="2909">
        <f>IF($A2870="","",IF($AH2870=20,IF(AND(OR($A2870=21,$A2870=215),$AJ2870=10),"①病院一般",IF(AND($A2870=31,$AJ2870=41),"②病院短期","対象外")),IF($AJ2870=30,"③特定消防",IF(AND(OR($A2870=21,$A2870=215),$AJ2870=10),"④一般",IF(AND($A2870=31,$AJ2870=41),"⑤短期","対象外")))))</f>
      </c>
      <c r="DC2870" s="2909">
        <f>IF($A2870="","",IF($AB2870&amp;""='DB_設定'!$C$4,1,0))</f>
      </c>
    </row>
    <row r="2871">
      <c r="DB2871" s="2909">
        <f>IF($A2871="","",IF($AH2871=20,IF(AND(OR($A2871=21,$A2871=215),$AJ2871=10),"①病院一般",IF(AND($A2871=31,$AJ2871=41),"②病院短期","対象外")),IF($AJ2871=30,"③特定消防",IF(AND(OR($A2871=21,$A2871=215),$AJ2871=10),"④一般",IF(AND($A2871=31,$AJ2871=41),"⑤短期","対象外")))))</f>
      </c>
      <c r="DC2871" s="2909">
        <f>IF($A2871="","",IF($AB2871&amp;""='DB_設定'!$C$4,1,0))</f>
      </c>
    </row>
    <row r="2872">
      <c r="DB2872" s="2909">
        <f>IF($A2872="","",IF($AH2872=20,IF(AND(OR($A2872=21,$A2872=215),$AJ2872=10),"①病院一般",IF(AND($A2872=31,$AJ2872=41),"②病院短期","対象外")),IF($AJ2872=30,"③特定消防",IF(AND(OR($A2872=21,$A2872=215),$AJ2872=10),"④一般",IF(AND($A2872=31,$AJ2872=41),"⑤短期","対象外")))))</f>
      </c>
      <c r="DC2872" s="2909">
        <f>IF($A2872="","",IF($AB2872&amp;""='DB_設定'!$C$4,1,0))</f>
      </c>
    </row>
    <row r="2873">
      <c r="DB2873" s="2909">
        <f>IF($A2873="","",IF($AH2873=20,IF(AND(OR($A2873=21,$A2873=215),$AJ2873=10),"①病院一般",IF(AND($A2873=31,$AJ2873=41),"②病院短期","対象外")),IF($AJ2873=30,"③特定消防",IF(AND(OR($A2873=21,$A2873=215),$AJ2873=10),"④一般",IF(AND($A2873=31,$AJ2873=41),"⑤短期","対象外")))))</f>
      </c>
      <c r="DC2873" s="2909">
        <f>IF($A2873="","",IF($AB2873&amp;""='DB_設定'!$C$4,1,0))</f>
      </c>
    </row>
    <row r="2874">
      <c r="DB2874" s="2909">
        <f>IF($A2874="","",IF($AH2874=20,IF(AND(OR($A2874=21,$A2874=215),$AJ2874=10),"①病院一般",IF(AND($A2874=31,$AJ2874=41),"②病院短期","対象外")),IF($AJ2874=30,"③特定消防",IF(AND(OR($A2874=21,$A2874=215),$AJ2874=10),"④一般",IF(AND($A2874=31,$AJ2874=41),"⑤短期","対象外")))))</f>
      </c>
      <c r="DC2874" s="2909">
        <f>IF($A2874="","",IF($AB2874&amp;""='DB_設定'!$C$4,1,0))</f>
      </c>
    </row>
    <row r="2875">
      <c r="DB2875" s="2909">
        <f>IF($A2875="","",IF($AH2875=20,IF(AND(OR($A2875=21,$A2875=215),$AJ2875=10),"①病院一般",IF(AND($A2875=31,$AJ2875=41),"②病院短期","対象外")),IF($AJ2875=30,"③特定消防",IF(AND(OR($A2875=21,$A2875=215),$AJ2875=10),"④一般",IF(AND($A2875=31,$AJ2875=41),"⑤短期","対象外")))))</f>
      </c>
      <c r="DC2875" s="2909">
        <f>IF($A2875="","",IF($AB2875&amp;""='DB_設定'!$C$4,1,0))</f>
      </c>
    </row>
    <row r="2876">
      <c r="DB2876" s="2909">
        <f>IF($A2876="","",IF($AH2876=20,IF(AND(OR($A2876=21,$A2876=215),$AJ2876=10),"①病院一般",IF(AND($A2876=31,$AJ2876=41),"②病院短期","対象外")),IF($AJ2876=30,"③特定消防",IF(AND(OR($A2876=21,$A2876=215),$AJ2876=10),"④一般",IF(AND($A2876=31,$AJ2876=41),"⑤短期","対象外")))))</f>
      </c>
      <c r="DC2876" s="2909">
        <f>IF($A2876="","",IF($AB2876&amp;""='DB_設定'!$C$4,1,0))</f>
      </c>
    </row>
    <row r="2877">
      <c r="DB2877" s="2909">
        <f>IF($A2877="","",IF($AH2877=20,IF(AND(OR($A2877=21,$A2877=215),$AJ2877=10),"①病院一般",IF(AND($A2877=31,$AJ2877=41),"②病院短期","対象外")),IF($AJ2877=30,"③特定消防",IF(AND(OR($A2877=21,$A2877=215),$AJ2877=10),"④一般",IF(AND($A2877=31,$AJ2877=41),"⑤短期","対象外")))))</f>
      </c>
      <c r="DC2877" s="2909">
        <f>IF($A2877="","",IF($AB2877&amp;""='DB_設定'!$C$4,1,0))</f>
      </c>
    </row>
    <row r="2878">
      <c r="DB2878" s="2909">
        <f>IF($A2878="","",IF($AH2878=20,IF(AND(OR($A2878=21,$A2878=215),$AJ2878=10),"①病院一般",IF(AND($A2878=31,$AJ2878=41),"②病院短期","対象外")),IF($AJ2878=30,"③特定消防",IF(AND(OR($A2878=21,$A2878=215),$AJ2878=10),"④一般",IF(AND($A2878=31,$AJ2878=41),"⑤短期","対象外")))))</f>
      </c>
      <c r="DC2878" s="2909">
        <f>IF($A2878="","",IF($AB2878&amp;""='DB_設定'!$C$4,1,0))</f>
      </c>
    </row>
    <row r="2879">
      <c r="DB2879" s="2909">
        <f>IF($A2879="","",IF($AH2879=20,IF(AND(OR($A2879=21,$A2879=215),$AJ2879=10),"①病院一般",IF(AND($A2879=31,$AJ2879=41),"②病院短期","対象外")),IF($AJ2879=30,"③特定消防",IF(AND(OR($A2879=21,$A2879=215),$AJ2879=10),"④一般",IF(AND($A2879=31,$AJ2879=41),"⑤短期","対象外")))))</f>
      </c>
      <c r="DC2879" s="2909">
        <f>IF($A2879="","",IF($AB2879&amp;""='DB_設定'!$C$4,1,0))</f>
      </c>
    </row>
    <row r="2880">
      <c r="DB2880" s="2909">
        <f>IF($A2880="","",IF($AH2880=20,IF(AND(OR($A2880=21,$A2880=215),$AJ2880=10),"①病院一般",IF(AND($A2880=31,$AJ2880=41),"②病院短期","対象外")),IF($AJ2880=30,"③特定消防",IF(AND(OR($A2880=21,$A2880=215),$AJ2880=10),"④一般",IF(AND($A2880=31,$AJ2880=41),"⑤短期","対象外")))))</f>
      </c>
      <c r="DC2880" s="2909">
        <f>IF($A2880="","",IF($AB2880&amp;""='DB_設定'!$C$4,1,0))</f>
      </c>
    </row>
    <row r="2881">
      <c r="DB2881" s="2909">
        <f>IF($A2881="","",IF($AH2881=20,IF(AND(OR($A2881=21,$A2881=215),$AJ2881=10),"①病院一般",IF(AND($A2881=31,$AJ2881=41),"②病院短期","対象外")),IF($AJ2881=30,"③特定消防",IF(AND(OR($A2881=21,$A2881=215),$AJ2881=10),"④一般",IF(AND($A2881=31,$AJ2881=41),"⑤短期","対象外")))))</f>
      </c>
      <c r="DC2881" s="2909">
        <f>IF($A2881="","",IF($AB2881&amp;""='DB_設定'!$C$4,1,0))</f>
      </c>
    </row>
    <row r="2882">
      <c r="DB2882" s="2909">
        <f>IF($A2882="","",IF($AH2882=20,IF(AND(OR($A2882=21,$A2882=215),$AJ2882=10),"①病院一般",IF(AND($A2882=31,$AJ2882=41),"②病院短期","対象外")),IF($AJ2882=30,"③特定消防",IF(AND(OR($A2882=21,$A2882=215),$AJ2882=10),"④一般",IF(AND($A2882=31,$AJ2882=41),"⑤短期","対象外")))))</f>
      </c>
      <c r="DC2882" s="2909">
        <f>IF($A2882="","",IF($AB2882&amp;""='DB_設定'!$C$4,1,0))</f>
      </c>
    </row>
    <row r="2883">
      <c r="DB2883" s="2909">
        <f>IF($A2883="","",IF($AH2883=20,IF(AND(OR($A2883=21,$A2883=215),$AJ2883=10),"①病院一般",IF(AND($A2883=31,$AJ2883=41),"②病院短期","対象外")),IF($AJ2883=30,"③特定消防",IF(AND(OR($A2883=21,$A2883=215),$AJ2883=10),"④一般",IF(AND($A2883=31,$AJ2883=41),"⑤短期","対象外")))))</f>
      </c>
      <c r="DC2883" s="2909">
        <f>IF($A2883="","",IF($AB2883&amp;""='DB_設定'!$C$4,1,0))</f>
      </c>
    </row>
    <row r="2884">
      <c r="DB2884" s="2909">
        <f>IF($A2884="","",IF($AH2884=20,IF(AND(OR($A2884=21,$A2884=215),$AJ2884=10),"①病院一般",IF(AND($A2884=31,$AJ2884=41),"②病院短期","対象外")),IF($AJ2884=30,"③特定消防",IF(AND(OR($A2884=21,$A2884=215),$AJ2884=10),"④一般",IF(AND($A2884=31,$AJ2884=41),"⑤短期","対象外")))))</f>
      </c>
      <c r="DC2884" s="2909">
        <f>IF($A2884="","",IF($AB2884&amp;""='DB_設定'!$C$4,1,0))</f>
      </c>
    </row>
    <row r="2885">
      <c r="DB2885" s="2909">
        <f>IF($A2885="","",IF($AH2885=20,IF(AND(OR($A2885=21,$A2885=215),$AJ2885=10),"①病院一般",IF(AND($A2885=31,$AJ2885=41),"②病院短期","対象外")),IF($AJ2885=30,"③特定消防",IF(AND(OR($A2885=21,$A2885=215),$AJ2885=10),"④一般",IF(AND($A2885=31,$AJ2885=41),"⑤短期","対象外")))))</f>
      </c>
      <c r="DC2885" s="2909">
        <f>IF($A2885="","",IF($AB2885&amp;""='DB_設定'!$C$4,1,0))</f>
      </c>
    </row>
    <row r="2886">
      <c r="DB2886" s="2909">
        <f>IF($A2886="","",IF($AH2886=20,IF(AND(OR($A2886=21,$A2886=215),$AJ2886=10),"①病院一般",IF(AND($A2886=31,$AJ2886=41),"②病院短期","対象外")),IF($AJ2886=30,"③特定消防",IF(AND(OR($A2886=21,$A2886=215),$AJ2886=10),"④一般",IF(AND($A2886=31,$AJ2886=41),"⑤短期","対象外")))))</f>
      </c>
      <c r="DC2886" s="2909">
        <f>IF($A2886="","",IF($AB2886&amp;""='DB_設定'!$C$4,1,0))</f>
      </c>
    </row>
    <row r="2887">
      <c r="DB2887" s="2909">
        <f>IF($A2887="","",IF($AH2887=20,IF(AND(OR($A2887=21,$A2887=215),$AJ2887=10),"①病院一般",IF(AND($A2887=31,$AJ2887=41),"②病院短期","対象外")),IF($AJ2887=30,"③特定消防",IF(AND(OR($A2887=21,$A2887=215),$AJ2887=10),"④一般",IF(AND($A2887=31,$AJ2887=41),"⑤短期","対象外")))))</f>
      </c>
      <c r="DC2887" s="2909">
        <f>IF($A2887="","",IF($AB2887&amp;""='DB_設定'!$C$4,1,0))</f>
      </c>
    </row>
    <row r="2888">
      <c r="DB2888" s="2909">
        <f>IF($A2888="","",IF($AH2888=20,IF(AND(OR($A2888=21,$A2888=215),$AJ2888=10),"①病院一般",IF(AND($A2888=31,$AJ2888=41),"②病院短期","対象外")),IF($AJ2888=30,"③特定消防",IF(AND(OR($A2888=21,$A2888=215),$AJ2888=10),"④一般",IF(AND($A2888=31,$AJ2888=41),"⑤短期","対象外")))))</f>
      </c>
      <c r="DC2888" s="2909">
        <f>IF($A2888="","",IF($AB2888&amp;""='DB_設定'!$C$4,1,0))</f>
      </c>
    </row>
    <row r="2889">
      <c r="DB2889" s="2909">
        <f>IF($A2889="","",IF($AH2889=20,IF(AND(OR($A2889=21,$A2889=215),$AJ2889=10),"①病院一般",IF(AND($A2889=31,$AJ2889=41),"②病院短期","対象外")),IF($AJ2889=30,"③特定消防",IF(AND(OR($A2889=21,$A2889=215),$AJ2889=10),"④一般",IF(AND($A2889=31,$AJ2889=41),"⑤短期","対象外")))))</f>
      </c>
      <c r="DC2889" s="2909">
        <f>IF($A2889="","",IF($AB2889&amp;""='DB_設定'!$C$4,1,0))</f>
      </c>
    </row>
    <row r="2890">
      <c r="DB2890" s="2909">
        <f>IF($A2890="","",IF($AH2890=20,IF(AND(OR($A2890=21,$A2890=215),$AJ2890=10),"①病院一般",IF(AND($A2890=31,$AJ2890=41),"②病院短期","対象外")),IF($AJ2890=30,"③特定消防",IF(AND(OR($A2890=21,$A2890=215),$AJ2890=10),"④一般",IF(AND($A2890=31,$AJ2890=41),"⑤短期","対象外")))))</f>
      </c>
      <c r="DC2890" s="2909">
        <f>IF($A2890="","",IF($AB2890&amp;""='DB_設定'!$C$4,1,0))</f>
      </c>
    </row>
    <row r="2891">
      <c r="DB2891" s="2909">
        <f>IF($A2891="","",IF($AH2891=20,IF(AND(OR($A2891=21,$A2891=215),$AJ2891=10),"①病院一般",IF(AND($A2891=31,$AJ2891=41),"②病院短期","対象外")),IF($AJ2891=30,"③特定消防",IF(AND(OR($A2891=21,$A2891=215),$AJ2891=10),"④一般",IF(AND($A2891=31,$AJ2891=41),"⑤短期","対象外")))))</f>
      </c>
      <c r="DC2891" s="2909">
        <f>IF($A2891="","",IF($AB2891&amp;""='DB_設定'!$C$4,1,0))</f>
      </c>
    </row>
    <row r="2892">
      <c r="DB2892" s="2909">
        <f>IF($A2892="","",IF($AH2892=20,IF(AND(OR($A2892=21,$A2892=215),$AJ2892=10),"①病院一般",IF(AND($A2892=31,$AJ2892=41),"②病院短期","対象外")),IF($AJ2892=30,"③特定消防",IF(AND(OR($A2892=21,$A2892=215),$AJ2892=10),"④一般",IF(AND($A2892=31,$AJ2892=41),"⑤短期","対象外")))))</f>
      </c>
      <c r="DC2892" s="2909">
        <f>IF($A2892="","",IF($AB2892&amp;""='DB_設定'!$C$4,1,0))</f>
      </c>
    </row>
    <row r="2893">
      <c r="DB2893" s="2909">
        <f>IF($A2893="","",IF($AH2893=20,IF(AND(OR($A2893=21,$A2893=215),$AJ2893=10),"①病院一般",IF(AND($A2893=31,$AJ2893=41),"②病院短期","対象外")),IF($AJ2893=30,"③特定消防",IF(AND(OR($A2893=21,$A2893=215),$AJ2893=10),"④一般",IF(AND($A2893=31,$AJ2893=41),"⑤短期","対象外")))))</f>
      </c>
      <c r="DC2893" s="2909">
        <f>IF($A2893="","",IF($AB2893&amp;""='DB_設定'!$C$4,1,0))</f>
      </c>
    </row>
    <row r="2894">
      <c r="DB2894" s="2909">
        <f>IF($A2894="","",IF($AH2894=20,IF(AND(OR($A2894=21,$A2894=215),$AJ2894=10),"①病院一般",IF(AND($A2894=31,$AJ2894=41),"②病院短期","対象外")),IF($AJ2894=30,"③特定消防",IF(AND(OR($A2894=21,$A2894=215),$AJ2894=10),"④一般",IF(AND($A2894=31,$AJ2894=41),"⑤短期","対象外")))))</f>
      </c>
      <c r="DC2894" s="2909">
        <f>IF($A2894="","",IF($AB2894&amp;""='DB_設定'!$C$4,1,0))</f>
      </c>
    </row>
    <row r="2895">
      <c r="DB2895" s="2909">
        <f>IF($A2895="","",IF($AH2895=20,IF(AND(OR($A2895=21,$A2895=215),$AJ2895=10),"①病院一般",IF(AND($A2895=31,$AJ2895=41),"②病院短期","対象外")),IF($AJ2895=30,"③特定消防",IF(AND(OR($A2895=21,$A2895=215),$AJ2895=10),"④一般",IF(AND($A2895=31,$AJ2895=41),"⑤短期","対象外")))))</f>
      </c>
      <c r="DC2895" s="2909">
        <f>IF($A2895="","",IF($AB2895&amp;""='DB_設定'!$C$4,1,0))</f>
      </c>
    </row>
    <row r="2896">
      <c r="DB2896" s="2909">
        <f>IF($A2896="","",IF($AH2896=20,IF(AND(OR($A2896=21,$A2896=215),$AJ2896=10),"①病院一般",IF(AND($A2896=31,$AJ2896=41),"②病院短期","対象外")),IF($AJ2896=30,"③特定消防",IF(AND(OR($A2896=21,$A2896=215),$AJ2896=10),"④一般",IF(AND($A2896=31,$AJ2896=41),"⑤短期","対象外")))))</f>
      </c>
      <c r="DC2896" s="2909">
        <f>IF($A2896="","",IF($AB2896&amp;""='DB_設定'!$C$4,1,0))</f>
      </c>
    </row>
    <row r="2897">
      <c r="DB2897" s="2909">
        <f>IF($A2897="","",IF($AH2897=20,IF(AND(OR($A2897=21,$A2897=215),$AJ2897=10),"①病院一般",IF(AND($A2897=31,$AJ2897=41),"②病院短期","対象外")),IF($AJ2897=30,"③特定消防",IF(AND(OR($A2897=21,$A2897=215),$AJ2897=10),"④一般",IF(AND($A2897=31,$AJ2897=41),"⑤短期","対象外")))))</f>
      </c>
      <c r="DC2897" s="2909">
        <f>IF($A2897="","",IF($AB2897&amp;""='DB_設定'!$C$4,1,0))</f>
      </c>
    </row>
    <row r="2898">
      <c r="DB2898" s="2909">
        <f>IF($A2898="","",IF($AH2898=20,IF(AND(OR($A2898=21,$A2898=215),$AJ2898=10),"①病院一般",IF(AND($A2898=31,$AJ2898=41),"②病院短期","対象外")),IF($AJ2898=30,"③特定消防",IF(AND(OR($A2898=21,$A2898=215),$AJ2898=10),"④一般",IF(AND($A2898=31,$AJ2898=41),"⑤短期","対象外")))))</f>
      </c>
      <c r="DC2898" s="2909">
        <f>IF($A2898="","",IF($AB2898&amp;""='DB_設定'!$C$4,1,0))</f>
      </c>
    </row>
    <row r="2899">
      <c r="DB2899" s="2909">
        <f>IF($A2899="","",IF($AH2899=20,IF(AND(OR($A2899=21,$A2899=215),$AJ2899=10),"①病院一般",IF(AND($A2899=31,$AJ2899=41),"②病院短期","対象外")),IF($AJ2899=30,"③特定消防",IF(AND(OR($A2899=21,$A2899=215),$AJ2899=10),"④一般",IF(AND($A2899=31,$AJ2899=41),"⑤短期","対象外")))))</f>
      </c>
      <c r="DC2899" s="2909">
        <f>IF($A2899="","",IF($AB2899&amp;""='DB_設定'!$C$4,1,0))</f>
      </c>
    </row>
    <row r="2900">
      <c r="DB2900" s="2909">
        <f>IF($A2900="","",IF($AH2900=20,IF(AND(OR($A2900=21,$A2900=215),$AJ2900=10),"①病院一般",IF(AND($A2900=31,$AJ2900=41),"②病院短期","対象外")),IF($AJ2900=30,"③特定消防",IF(AND(OR($A2900=21,$A2900=215),$AJ2900=10),"④一般",IF(AND($A2900=31,$AJ2900=41),"⑤短期","対象外")))))</f>
      </c>
      <c r="DC2900" s="2909">
        <f>IF($A2900="","",IF($AB2900&amp;""='DB_設定'!$C$4,1,0))</f>
      </c>
    </row>
    <row r="2901">
      <c r="DB2901" s="2909">
        <f>IF($A2901="","",IF($AH2901=20,IF(AND(OR($A2901=21,$A2901=215),$AJ2901=10),"①病院一般",IF(AND($A2901=31,$AJ2901=41),"②病院短期","対象外")),IF($AJ2901=30,"③特定消防",IF(AND(OR($A2901=21,$A2901=215),$AJ2901=10),"④一般",IF(AND($A2901=31,$AJ2901=41),"⑤短期","対象外")))))</f>
      </c>
      <c r="DC2901" s="2909">
        <f>IF($A2901="","",IF($AB2901&amp;""='DB_設定'!$C$4,1,0))</f>
      </c>
    </row>
    <row r="2902">
      <c r="DB2902" s="2909">
        <f>IF($A2902="","",IF($AH2902=20,IF(AND(OR($A2902=21,$A2902=215),$AJ2902=10),"①病院一般",IF(AND($A2902=31,$AJ2902=41),"②病院短期","対象外")),IF($AJ2902=30,"③特定消防",IF(AND(OR($A2902=21,$A2902=215),$AJ2902=10),"④一般",IF(AND($A2902=31,$AJ2902=41),"⑤短期","対象外")))))</f>
      </c>
      <c r="DC2902" s="2909">
        <f>IF($A2902="","",IF($AB2902&amp;""='DB_設定'!$C$4,1,0))</f>
      </c>
    </row>
    <row r="2903">
      <c r="DB2903" s="2909">
        <f>IF($A2903="","",IF($AH2903=20,IF(AND(OR($A2903=21,$A2903=215),$AJ2903=10),"①病院一般",IF(AND($A2903=31,$AJ2903=41),"②病院短期","対象外")),IF($AJ2903=30,"③特定消防",IF(AND(OR($A2903=21,$A2903=215),$AJ2903=10),"④一般",IF(AND($A2903=31,$AJ2903=41),"⑤短期","対象外")))))</f>
      </c>
      <c r="DC2903" s="2909">
        <f>IF($A2903="","",IF($AB2903&amp;""='DB_設定'!$C$4,1,0))</f>
      </c>
    </row>
    <row r="2904">
      <c r="DB2904" s="2909">
        <f>IF($A2904="","",IF($AH2904=20,IF(AND(OR($A2904=21,$A2904=215),$AJ2904=10),"①病院一般",IF(AND($A2904=31,$AJ2904=41),"②病院短期","対象外")),IF($AJ2904=30,"③特定消防",IF(AND(OR($A2904=21,$A2904=215),$AJ2904=10),"④一般",IF(AND($A2904=31,$AJ2904=41),"⑤短期","対象外")))))</f>
      </c>
      <c r="DC2904" s="2909">
        <f>IF($A2904="","",IF($AB2904&amp;""='DB_設定'!$C$4,1,0))</f>
      </c>
    </row>
    <row r="2905">
      <c r="DB2905" s="2909">
        <f>IF($A2905="","",IF($AH2905=20,IF(AND(OR($A2905=21,$A2905=215),$AJ2905=10),"①病院一般",IF(AND($A2905=31,$AJ2905=41),"②病院短期","対象外")),IF($AJ2905=30,"③特定消防",IF(AND(OR($A2905=21,$A2905=215),$AJ2905=10),"④一般",IF(AND($A2905=31,$AJ2905=41),"⑤短期","対象外")))))</f>
      </c>
      <c r="DC2905" s="2909">
        <f>IF($A2905="","",IF($AB2905&amp;""='DB_設定'!$C$4,1,0))</f>
      </c>
    </row>
    <row r="2906">
      <c r="DB2906" s="2909">
        <f>IF($A2906="","",IF($AH2906=20,IF(AND(OR($A2906=21,$A2906=215),$AJ2906=10),"①病院一般",IF(AND($A2906=31,$AJ2906=41),"②病院短期","対象外")),IF($AJ2906=30,"③特定消防",IF(AND(OR($A2906=21,$A2906=215),$AJ2906=10),"④一般",IF(AND($A2906=31,$AJ2906=41),"⑤短期","対象外")))))</f>
      </c>
      <c r="DC2906" s="2909">
        <f>IF($A2906="","",IF($AB2906&amp;""='DB_設定'!$C$4,1,0))</f>
      </c>
    </row>
    <row r="2907">
      <c r="DB2907" s="2909">
        <f>IF($A2907="","",IF($AH2907=20,IF(AND(OR($A2907=21,$A2907=215),$AJ2907=10),"①病院一般",IF(AND($A2907=31,$AJ2907=41),"②病院短期","対象外")),IF($AJ2907=30,"③特定消防",IF(AND(OR($A2907=21,$A2907=215),$AJ2907=10),"④一般",IF(AND($A2907=31,$AJ2907=41),"⑤短期","対象外")))))</f>
      </c>
      <c r="DC2907" s="2909">
        <f>IF($A2907="","",IF($AB2907&amp;""='DB_設定'!$C$4,1,0))</f>
      </c>
    </row>
    <row r="2908">
      <c r="DB2908" s="2909">
        <f>IF($A2908="","",IF($AH2908=20,IF(AND(OR($A2908=21,$A2908=215),$AJ2908=10),"①病院一般",IF(AND($A2908=31,$AJ2908=41),"②病院短期","対象外")),IF($AJ2908=30,"③特定消防",IF(AND(OR($A2908=21,$A2908=215),$AJ2908=10),"④一般",IF(AND($A2908=31,$AJ2908=41),"⑤短期","対象外")))))</f>
      </c>
      <c r="DC2908" s="2909">
        <f>IF($A2908="","",IF($AB2908&amp;""='DB_設定'!$C$4,1,0))</f>
      </c>
    </row>
    <row r="2909">
      <c r="DB2909" s="2909">
        <f>IF($A2909="","",IF($AH2909=20,IF(AND(OR($A2909=21,$A2909=215),$AJ2909=10),"①病院一般",IF(AND($A2909=31,$AJ2909=41),"②病院短期","対象外")),IF($AJ2909=30,"③特定消防",IF(AND(OR($A2909=21,$A2909=215),$AJ2909=10),"④一般",IF(AND($A2909=31,$AJ2909=41),"⑤短期","対象外")))))</f>
      </c>
      <c r="DC2909" s="2909">
        <f>IF($A2909="","",IF($AB2909&amp;""='DB_設定'!$C$4,1,0))</f>
      </c>
    </row>
    <row r="2910">
      <c r="DB2910" s="2909">
        <f>IF($A2910="","",IF($AH2910=20,IF(AND(OR($A2910=21,$A2910=215),$AJ2910=10),"①病院一般",IF(AND($A2910=31,$AJ2910=41),"②病院短期","対象外")),IF($AJ2910=30,"③特定消防",IF(AND(OR($A2910=21,$A2910=215),$AJ2910=10),"④一般",IF(AND($A2910=31,$AJ2910=41),"⑤短期","対象外")))))</f>
      </c>
      <c r="DC2910" s="2909">
        <f>IF($A2910="","",IF($AB2910&amp;""='DB_設定'!$C$4,1,0))</f>
      </c>
    </row>
    <row r="2911">
      <c r="DB2911" s="2909">
        <f>IF($A2911="","",IF($AH2911=20,IF(AND(OR($A2911=21,$A2911=215),$AJ2911=10),"①病院一般",IF(AND($A2911=31,$AJ2911=41),"②病院短期","対象外")),IF($AJ2911=30,"③特定消防",IF(AND(OR($A2911=21,$A2911=215),$AJ2911=10),"④一般",IF(AND($A2911=31,$AJ2911=41),"⑤短期","対象外")))))</f>
      </c>
      <c r="DC2911" s="2909">
        <f>IF($A2911="","",IF($AB2911&amp;""='DB_設定'!$C$4,1,0))</f>
      </c>
    </row>
    <row r="2912">
      <c r="DB2912" s="2909">
        <f>IF($A2912="","",IF($AH2912=20,IF(AND(OR($A2912=21,$A2912=215),$AJ2912=10),"①病院一般",IF(AND($A2912=31,$AJ2912=41),"②病院短期","対象外")),IF($AJ2912=30,"③特定消防",IF(AND(OR($A2912=21,$A2912=215),$AJ2912=10),"④一般",IF(AND($A2912=31,$AJ2912=41),"⑤短期","対象外")))))</f>
      </c>
      <c r="DC2912" s="2909">
        <f>IF($A2912="","",IF($AB2912&amp;""='DB_設定'!$C$4,1,0))</f>
      </c>
    </row>
    <row r="2913">
      <c r="DB2913" s="2909">
        <f>IF($A2913="","",IF($AH2913=20,IF(AND(OR($A2913=21,$A2913=215),$AJ2913=10),"①病院一般",IF(AND($A2913=31,$AJ2913=41),"②病院短期","対象外")),IF($AJ2913=30,"③特定消防",IF(AND(OR($A2913=21,$A2913=215),$AJ2913=10),"④一般",IF(AND($A2913=31,$AJ2913=41),"⑤短期","対象外")))))</f>
      </c>
      <c r="DC2913" s="2909">
        <f>IF($A2913="","",IF($AB2913&amp;""='DB_設定'!$C$4,1,0))</f>
      </c>
    </row>
    <row r="2914">
      <c r="DB2914" s="2909">
        <f>IF($A2914="","",IF($AH2914=20,IF(AND(OR($A2914=21,$A2914=215),$AJ2914=10),"①病院一般",IF(AND($A2914=31,$AJ2914=41),"②病院短期","対象外")),IF($AJ2914=30,"③特定消防",IF(AND(OR($A2914=21,$A2914=215),$AJ2914=10),"④一般",IF(AND($A2914=31,$AJ2914=41),"⑤短期","対象外")))))</f>
      </c>
      <c r="DC2914" s="2909">
        <f>IF($A2914="","",IF($AB2914&amp;""='DB_設定'!$C$4,1,0))</f>
      </c>
    </row>
    <row r="2915">
      <c r="DB2915" s="2909">
        <f>IF($A2915="","",IF($AH2915=20,IF(AND(OR($A2915=21,$A2915=215),$AJ2915=10),"①病院一般",IF(AND($A2915=31,$AJ2915=41),"②病院短期","対象外")),IF($AJ2915=30,"③特定消防",IF(AND(OR($A2915=21,$A2915=215),$AJ2915=10),"④一般",IF(AND($A2915=31,$AJ2915=41),"⑤短期","対象外")))))</f>
      </c>
      <c r="DC2915" s="2909">
        <f>IF($A2915="","",IF($AB2915&amp;""='DB_設定'!$C$4,1,0))</f>
      </c>
    </row>
    <row r="2916">
      <c r="DB2916" s="2909">
        <f>IF($A2916="","",IF($AH2916=20,IF(AND(OR($A2916=21,$A2916=215),$AJ2916=10),"①病院一般",IF(AND($A2916=31,$AJ2916=41),"②病院短期","対象外")),IF($AJ2916=30,"③特定消防",IF(AND(OR($A2916=21,$A2916=215),$AJ2916=10),"④一般",IF(AND($A2916=31,$AJ2916=41),"⑤短期","対象外")))))</f>
      </c>
      <c r="DC2916" s="2909">
        <f>IF($A2916="","",IF($AB2916&amp;""='DB_設定'!$C$4,1,0))</f>
      </c>
    </row>
    <row r="2917">
      <c r="DB2917" s="2909">
        <f>IF($A2917="","",IF($AH2917=20,IF(AND(OR($A2917=21,$A2917=215),$AJ2917=10),"①病院一般",IF(AND($A2917=31,$AJ2917=41),"②病院短期","対象外")),IF($AJ2917=30,"③特定消防",IF(AND(OR($A2917=21,$A2917=215),$AJ2917=10),"④一般",IF(AND($A2917=31,$AJ2917=41),"⑤短期","対象外")))))</f>
      </c>
      <c r="DC2917" s="2909">
        <f>IF($A2917="","",IF($AB2917&amp;""='DB_設定'!$C$4,1,0))</f>
      </c>
    </row>
    <row r="2918">
      <c r="DB2918" s="2909">
        <f>IF($A2918="","",IF($AH2918=20,IF(AND(OR($A2918=21,$A2918=215),$AJ2918=10),"①病院一般",IF(AND($A2918=31,$AJ2918=41),"②病院短期","対象外")),IF($AJ2918=30,"③特定消防",IF(AND(OR($A2918=21,$A2918=215),$AJ2918=10),"④一般",IF(AND($A2918=31,$AJ2918=41),"⑤短期","対象外")))))</f>
      </c>
      <c r="DC2918" s="2909">
        <f>IF($A2918="","",IF($AB2918&amp;""='DB_設定'!$C$4,1,0))</f>
      </c>
    </row>
    <row r="2919">
      <c r="DB2919" s="2909">
        <f>IF($A2919="","",IF($AH2919=20,IF(AND(OR($A2919=21,$A2919=215),$AJ2919=10),"①病院一般",IF(AND($A2919=31,$AJ2919=41),"②病院短期","対象外")),IF($AJ2919=30,"③特定消防",IF(AND(OR($A2919=21,$A2919=215),$AJ2919=10),"④一般",IF(AND($A2919=31,$AJ2919=41),"⑤短期","対象外")))))</f>
      </c>
      <c r="DC2919" s="2909">
        <f>IF($A2919="","",IF($AB2919&amp;""='DB_設定'!$C$4,1,0))</f>
      </c>
    </row>
    <row r="2920">
      <c r="DB2920" s="2909">
        <f>IF($A2920="","",IF($AH2920=20,IF(AND(OR($A2920=21,$A2920=215),$AJ2920=10),"①病院一般",IF(AND($A2920=31,$AJ2920=41),"②病院短期","対象外")),IF($AJ2920=30,"③特定消防",IF(AND(OR($A2920=21,$A2920=215),$AJ2920=10),"④一般",IF(AND($A2920=31,$AJ2920=41),"⑤短期","対象外")))))</f>
      </c>
      <c r="DC2920" s="2909">
        <f>IF($A2920="","",IF($AB2920&amp;""='DB_設定'!$C$4,1,0))</f>
      </c>
    </row>
    <row r="2921">
      <c r="DB2921" s="2909">
        <f>IF($A2921="","",IF($AH2921=20,IF(AND(OR($A2921=21,$A2921=215),$AJ2921=10),"①病院一般",IF(AND($A2921=31,$AJ2921=41),"②病院短期","対象外")),IF($AJ2921=30,"③特定消防",IF(AND(OR($A2921=21,$A2921=215),$AJ2921=10),"④一般",IF(AND($A2921=31,$AJ2921=41),"⑤短期","対象外")))))</f>
      </c>
      <c r="DC2921" s="2909">
        <f>IF($A2921="","",IF($AB2921&amp;""='DB_設定'!$C$4,1,0))</f>
      </c>
    </row>
    <row r="2922">
      <c r="DB2922" s="2909">
        <f>IF($A2922="","",IF($AH2922=20,IF(AND(OR($A2922=21,$A2922=215),$AJ2922=10),"①病院一般",IF(AND($A2922=31,$AJ2922=41),"②病院短期","対象外")),IF($AJ2922=30,"③特定消防",IF(AND(OR($A2922=21,$A2922=215),$AJ2922=10),"④一般",IF(AND($A2922=31,$AJ2922=41),"⑤短期","対象外")))))</f>
      </c>
      <c r="DC2922" s="2909">
        <f>IF($A2922="","",IF($AB2922&amp;""='DB_設定'!$C$4,1,0))</f>
      </c>
    </row>
    <row r="2923">
      <c r="DB2923" s="2909">
        <f>IF($A2923="","",IF($AH2923=20,IF(AND(OR($A2923=21,$A2923=215),$AJ2923=10),"①病院一般",IF(AND($A2923=31,$AJ2923=41),"②病院短期","対象外")),IF($AJ2923=30,"③特定消防",IF(AND(OR($A2923=21,$A2923=215),$AJ2923=10),"④一般",IF(AND($A2923=31,$AJ2923=41),"⑤短期","対象外")))))</f>
      </c>
      <c r="DC2923" s="2909">
        <f>IF($A2923="","",IF($AB2923&amp;""='DB_設定'!$C$4,1,0))</f>
      </c>
    </row>
    <row r="2924">
      <c r="DB2924" s="2909">
        <f>IF($A2924="","",IF($AH2924=20,IF(AND(OR($A2924=21,$A2924=215),$AJ2924=10),"①病院一般",IF(AND($A2924=31,$AJ2924=41),"②病院短期","対象外")),IF($AJ2924=30,"③特定消防",IF(AND(OR($A2924=21,$A2924=215),$AJ2924=10),"④一般",IF(AND($A2924=31,$AJ2924=41),"⑤短期","対象外")))))</f>
      </c>
      <c r="DC2924" s="2909">
        <f>IF($A2924="","",IF($AB2924&amp;""='DB_設定'!$C$4,1,0))</f>
      </c>
    </row>
    <row r="2925">
      <c r="DB2925" s="2909">
        <f>IF($A2925="","",IF($AH2925=20,IF(AND(OR($A2925=21,$A2925=215),$AJ2925=10),"①病院一般",IF(AND($A2925=31,$AJ2925=41),"②病院短期","対象外")),IF($AJ2925=30,"③特定消防",IF(AND(OR($A2925=21,$A2925=215),$AJ2925=10),"④一般",IF(AND($A2925=31,$AJ2925=41),"⑤短期","対象外")))))</f>
      </c>
      <c r="DC2925" s="2909">
        <f>IF($A2925="","",IF($AB2925&amp;""='DB_設定'!$C$4,1,0))</f>
      </c>
    </row>
    <row r="2926">
      <c r="DB2926" s="2909">
        <f>IF($A2926="","",IF($AH2926=20,IF(AND(OR($A2926=21,$A2926=215),$AJ2926=10),"①病院一般",IF(AND($A2926=31,$AJ2926=41),"②病院短期","対象外")),IF($AJ2926=30,"③特定消防",IF(AND(OR($A2926=21,$A2926=215),$AJ2926=10),"④一般",IF(AND($A2926=31,$AJ2926=41),"⑤短期","対象外")))))</f>
      </c>
      <c r="DC2926" s="2909">
        <f>IF($A2926="","",IF($AB2926&amp;""='DB_設定'!$C$4,1,0))</f>
      </c>
    </row>
    <row r="2927">
      <c r="DB2927" s="2909">
        <f>IF($A2927="","",IF($AH2927=20,IF(AND(OR($A2927=21,$A2927=215),$AJ2927=10),"①病院一般",IF(AND($A2927=31,$AJ2927=41),"②病院短期","対象外")),IF($AJ2927=30,"③特定消防",IF(AND(OR($A2927=21,$A2927=215),$AJ2927=10),"④一般",IF(AND($A2927=31,$AJ2927=41),"⑤短期","対象外")))))</f>
      </c>
      <c r="DC2927" s="2909">
        <f>IF($A2927="","",IF($AB2927&amp;""='DB_設定'!$C$4,1,0))</f>
      </c>
    </row>
    <row r="2928">
      <c r="DB2928" s="2909">
        <f>IF($A2928="","",IF($AH2928=20,IF(AND(OR($A2928=21,$A2928=215),$AJ2928=10),"①病院一般",IF(AND($A2928=31,$AJ2928=41),"②病院短期","対象外")),IF($AJ2928=30,"③特定消防",IF(AND(OR($A2928=21,$A2928=215),$AJ2928=10),"④一般",IF(AND($A2928=31,$AJ2928=41),"⑤短期","対象外")))))</f>
      </c>
      <c r="DC2928" s="2909">
        <f>IF($A2928="","",IF($AB2928&amp;""='DB_設定'!$C$4,1,0))</f>
      </c>
    </row>
    <row r="2929">
      <c r="DB2929" s="2909">
        <f>IF($A2929="","",IF($AH2929=20,IF(AND(OR($A2929=21,$A2929=215),$AJ2929=10),"①病院一般",IF(AND($A2929=31,$AJ2929=41),"②病院短期","対象外")),IF($AJ2929=30,"③特定消防",IF(AND(OR($A2929=21,$A2929=215),$AJ2929=10),"④一般",IF(AND($A2929=31,$AJ2929=41),"⑤短期","対象外")))))</f>
      </c>
      <c r="DC2929" s="2909">
        <f>IF($A2929="","",IF($AB2929&amp;""='DB_設定'!$C$4,1,0))</f>
      </c>
    </row>
    <row r="2930">
      <c r="DB2930" s="2909">
        <f>IF($A2930="","",IF($AH2930=20,IF(AND(OR($A2930=21,$A2930=215),$AJ2930=10),"①病院一般",IF(AND($A2930=31,$AJ2930=41),"②病院短期","対象外")),IF($AJ2930=30,"③特定消防",IF(AND(OR($A2930=21,$A2930=215),$AJ2930=10),"④一般",IF(AND($A2930=31,$AJ2930=41),"⑤短期","対象外")))))</f>
      </c>
      <c r="DC2930" s="2909">
        <f>IF($A2930="","",IF($AB2930&amp;""='DB_設定'!$C$4,1,0))</f>
      </c>
    </row>
    <row r="2931">
      <c r="DB2931" s="2909">
        <f>IF($A2931="","",IF($AH2931=20,IF(AND(OR($A2931=21,$A2931=215),$AJ2931=10),"①病院一般",IF(AND($A2931=31,$AJ2931=41),"②病院短期","対象外")),IF($AJ2931=30,"③特定消防",IF(AND(OR($A2931=21,$A2931=215),$AJ2931=10),"④一般",IF(AND($A2931=31,$AJ2931=41),"⑤短期","対象外")))))</f>
      </c>
      <c r="DC2931" s="2909">
        <f>IF($A2931="","",IF($AB2931&amp;""='DB_設定'!$C$4,1,0))</f>
      </c>
    </row>
    <row r="2932">
      <c r="DB2932" s="2909">
        <f>IF($A2932="","",IF($AH2932=20,IF(AND(OR($A2932=21,$A2932=215),$AJ2932=10),"①病院一般",IF(AND($A2932=31,$AJ2932=41),"②病院短期","対象外")),IF($AJ2932=30,"③特定消防",IF(AND(OR($A2932=21,$A2932=215),$AJ2932=10),"④一般",IF(AND($A2932=31,$AJ2932=41),"⑤短期","対象外")))))</f>
      </c>
      <c r="DC2932" s="2909">
        <f>IF($A2932="","",IF($AB2932&amp;""='DB_設定'!$C$4,1,0))</f>
      </c>
    </row>
    <row r="2933">
      <c r="DB2933" s="2909">
        <f>IF($A2933="","",IF($AH2933=20,IF(AND(OR($A2933=21,$A2933=215),$AJ2933=10),"①病院一般",IF(AND($A2933=31,$AJ2933=41),"②病院短期","対象外")),IF($AJ2933=30,"③特定消防",IF(AND(OR($A2933=21,$A2933=215),$AJ2933=10),"④一般",IF(AND($A2933=31,$AJ2933=41),"⑤短期","対象外")))))</f>
      </c>
      <c r="DC2933" s="2909">
        <f>IF($A2933="","",IF($AB2933&amp;""='DB_設定'!$C$4,1,0))</f>
      </c>
    </row>
    <row r="2934">
      <c r="DB2934" s="2909">
        <f>IF($A2934="","",IF($AH2934=20,IF(AND(OR($A2934=21,$A2934=215),$AJ2934=10),"①病院一般",IF(AND($A2934=31,$AJ2934=41),"②病院短期","対象外")),IF($AJ2934=30,"③特定消防",IF(AND(OR($A2934=21,$A2934=215),$AJ2934=10),"④一般",IF(AND($A2934=31,$AJ2934=41),"⑤短期","対象外")))))</f>
      </c>
      <c r="DC2934" s="2909">
        <f>IF($A2934="","",IF($AB2934&amp;""='DB_設定'!$C$4,1,0))</f>
      </c>
    </row>
    <row r="2935">
      <c r="DB2935" s="2909">
        <f>IF($A2935="","",IF($AH2935=20,IF(AND(OR($A2935=21,$A2935=215),$AJ2935=10),"①病院一般",IF(AND($A2935=31,$AJ2935=41),"②病院短期","対象外")),IF($AJ2935=30,"③特定消防",IF(AND(OR($A2935=21,$A2935=215),$AJ2935=10),"④一般",IF(AND($A2935=31,$AJ2935=41),"⑤短期","対象外")))))</f>
      </c>
      <c r="DC2935" s="2909">
        <f>IF($A2935="","",IF($AB2935&amp;""='DB_設定'!$C$4,1,0))</f>
      </c>
    </row>
    <row r="2936">
      <c r="DB2936" s="2909">
        <f>IF($A2936="","",IF($AH2936=20,IF(AND(OR($A2936=21,$A2936=215),$AJ2936=10),"①病院一般",IF(AND($A2936=31,$AJ2936=41),"②病院短期","対象外")),IF($AJ2936=30,"③特定消防",IF(AND(OR($A2936=21,$A2936=215),$AJ2936=10),"④一般",IF(AND($A2936=31,$AJ2936=41),"⑤短期","対象外")))))</f>
      </c>
      <c r="DC2936" s="2909">
        <f>IF($A2936="","",IF($AB2936&amp;""='DB_設定'!$C$4,1,0))</f>
      </c>
    </row>
    <row r="2937">
      <c r="DB2937" s="2909">
        <f>IF($A2937="","",IF($AH2937=20,IF(AND(OR($A2937=21,$A2937=215),$AJ2937=10),"①病院一般",IF(AND($A2937=31,$AJ2937=41),"②病院短期","対象外")),IF($AJ2937=30,"③特定消防",IF(AND(OR($A2937=21,$A2937=215),$AJ2937=10),"④一般",IF(AND($A2937=31,$AJ2937=41),"⑤短期","対象外")))))</f>
      </c>
      <c r="DC2937" s="2909">
        <f>IF($A2937="","",IF($AB2937&amp;""='DB_設定'!$C$4,1,0))</f>
      </c>
    </row>
    <row r="2938">
      <c r="DB2938" s="2909">
        <f>IF($A2938="","",IF($AH2938=20,IF(AND(OR($A2938=21,$A2938=215),$AJ2938=10),"①病院一般",IF(AND($A2938=31,$AJ2938=41),"②病院短期","対象外")),IF($AJ2938=30,"③特定消防",IF(AND(OR($A2938=21,$A2938=215),$AJ2938=10),"④一般",IF(AND($A2938=31,$AJ2938=41),"⑤短期","対象外")))))</f>
      </c>
      <c r="DC2938" s="2909">
        <f>IF($A2938="","",IF($AB2938&amp;""='DB_設定'!$C$4,1,0))</f>
      </c>
    </row>
    <row r="2939">
      <c r="DB2939" s="2909">
        <f>IF($A2939="","",IF($AH2939=20,IF(AND(OR($A2939=21,$A2939=215),$AJ2939=10),"①病院一般",IF(AND($A2939=31,$AJ2939=41),"②病院短期","対象外")),IF($AJ2939=30,"③特定消防",IF(AND(OR($A2939=21,$A2939=215),$AJ2939=10),"④一般",IF(AND($A2939=31,$AJ2939=41),"⑤短期","対象外")))))</f>
      </c>
      <c r="DC2939" s="2909">
        <f>IF($A2939="","",IF($AB2939&amp;""='DB_設定'!$C$4,1,0))</f>
      </c>
    </row>
    <row r="2940">
      <c r="DB2940" s="2909">
        <f>IF($A2940="","",IF($AH2940=20,IF(AND(OR($A2940=21,$A2940=215),$AJ2940=10),"①病院一般",IF(AND($A2940=31,$AJ2940=41),"②病院短期","対象外")),IF($AJ2940=30,"③特定消防",IF(AND(OR($A2940=21,$A2940=215),$AJ2940=10),"④一般",IF(AND($A2940=31,$AJ2940=41),"⑤短期","対象外")))))</f>
      </c>
      <c r="DC2940" s="2909">
        <f>IF($A2940="","",IF($AB2940&amp;""='DB_設定'!$C$4,1,0))</f>
      </c>
    </row>
    <row r="2941">
      <c r="DB2941" s="2909">
        <f>IF($A2941="","",IF($AH2941=20,IF(AND(OR($A2941=21,$A2941=215),$AJ2941=10),"①病院一般",IF(AND($A2941=31,$AJ2941=41),"②病院短期","対象外")),IF($AJ2941=30,"③特定消防",IF(AND(OR($A2941=21,$A2941=215),$AJ2941=10),"④一般",IF(AND($A2941=31,$AJ2941=41),"⑤短期","対象外")))))</f>
      </c>
      <c r="DC2941" s="2909">
        <f>IF($A2941="","",IF($AB2941&amp;""='DB_設定'!$C$4,1,0))</f>
      </c>
    </row>
    <row r="2942">
      <c r="DB2942" s="2909">
        <f>IF($A2942="","",IF($AH2942=20,IF(AND(OR($A2942=21,$A2942=215),$AJ2942=10),"①病院一般",IF(AND($A2942=31,$AJ2942=41),"②病院短期","対象外")),IF($AJ2942=30,"③特定消防",IF(AND(OR($A2942=21,$A2942=215),$AJ2942=10),"④一般",IF(AND($A2942=31,$AJ2942=41),"⑤短期","対象外")))))</f>
      </c>
      <c r="DC2942" s="2909">
        <f>IF($A2942="","",IF($AB2942&amp;""='DB_設定'!$C$4,1,0))</f>
      </c>
    </row>
    <row r="2943">
      <c r="DB2943" s="2909">
        <f>IF($A2943="","",IF($AH2943=20,IF(AND(OR($A2943=21,$A2943=215),$AJ2943=10),"①病院一般",IF(AND($A2943=31,$AJ2943=41),"②病院短期","対象外")),IF($AJ2943=30,"③特定消防",IF(AND(OR($A2943=21,$A2943=215),$AJ2943=10),"④一般",IF(AND($A2943=31,$AJ2943=41),"⑤短期","対象外")))))</f>
      </c>
      <c r="DC2943" s="2909">
        <f>IF($A2943="","",IF($AB2943&amp;""='DB_設定'!$C$4,1,0))</f>
      </c>
    </row>
    <row r="2944">
      <c r="DB2944" s="2909">
        <f>IF($A2944="","",IF($AH2944=20,IF(AND(OR($A2944=21,$A2944=215),$AJ2944=10),"①病院一般",IF(AND($A2944=31,$AJ2944=41),"②病院短期","対象外")),IF($AJ2944=30,"③特定消防",IF(AND(OR($A2944=21,$A2944=215),$AJ2944=10),"④一般",IF(AND($A2944=31,$AJ2944=41),"⑤短期","対象外")))))</f>
      </c>
      <c r="DC2944" s="2909">
        <f>IF($A2944="","",IF($AB2944&amp;""='DB_設定'!$C$4,1,0))</f>
      </c>
    </row>
    <row r="2945">
      <c r="DB2945" s="2909">
        <f>IF($A2945="","",IF($AH2945=20,IF(AND(OR($A2945=21,$A2945=215),$AJ2945=10),"①病院一般",IF(AND($A2945=31,$AJ2945=41),"②病院短期","対象外")),IF($AJ2945=30,"③特定消防",IF(AND(OR($A2945=21,$A2945=215),$AJ2945=10),"④一般",IF(AND($A2945=31,$AJ2945=41),"⑤短期","対象外")))))</f>
      </c>
      <c r="DC2945" s="2909">
        <f>IF($A2945="","",IF($AB2945&amp;""='DB_設定'!$C$4,1,0))</f>
      </c>
    </row>
    <row r="2946">
      <c r="DB2946" s="2909">
        <f>IF($A2946="","",IF($AH2946=20,IF(AND(OR($A2946=21,$A2946=215),$AJ2946=10),"①病院一般",IF(AND($A2946=31,$AJ2946=41),"②病院短期","対象外")),IF($AJ2946=30,"③特定消防",IF(AND(OR($A2946=21,$A2946=215),$AJ2946=10),"④一般",IF(AND($A2946=31,$AJ2946=41),"⑤短期","対象外")))))</f>
      </c>
      <c r="DC2946" s="2909">
        <f>IF($A2946="","",IF($AB2946&amp;""='DB_設定'!$C$4,1,0))</f>
      </c>
    </row>
    <row r="2947">
      <c r="DB2947" s="2909">
        <f>IF($A2947="","",IF($AH2947=20,IF(AND(OR($A2947=21,$A2947=215),$AJ2947=10),"①病院一般",IF(AND($A2947=31,$AJ2947=41),"②病院短期","対象外")),IF($AJ2947=30,"③特定消防",IF(AND(OR($A2947=21,$A2947=215),$AJ2947=10),"④一般",IF(AND($A2947=31,$AJ2947=41),"⑤短期","対象外")))))</f>
      </c>
      <c r="DC2947" s="2909">
        <f>IF($A2947="","",IF($AB2947&amp;""='DB_設定'!$C$4,1,0))</f>
      </c>
    </row>
    <row r="2948">
      <c r="DB2948" s="2909">
        <f>IF($A2948="","",IF($AH2948=20,IF(AND(OR($A2948=21,$A2948=215),$AJ2948=10),"①病院一般",IF(AND($A2948=31,$AJ2948=41),"②病院短期","対象外")),IF($AJ2948=30,"③特定消防",IF(AND(OR($A2948=21,$A2948=215),$AJ2948=10),"④一般",IF(AND($A2948=31,$AJ2948=41),"⑤短期","対象外")))))</f>
      </c>
      <c r="DC2948" s="2909">
        <f>IF($A2948="","",IF($AB2948&amp;""='DB_設定'!$C$4,1,0))</f>
      </c>
    </row>
    <row r="2949">
      <c r="DB2949" s="2909">
        <f>IF($A2949="","",IF($AH2949=20,IF(AND(OR($A2949=21,$A2949=215),$AJ2949=10),"①病院一般",IF(AND($A2949=31,$AJ2949=41),"②病院短期","対象外")),IF($AJ2949=30,"③特定消防",IF(AND(OR($A2949=21,$A2949=215),$AJ2949=10),"④一般",IF(AND($A2949=31,$AJ2949=41),"⑤短期","対象外")))))</f>
      </c>
      <c r="DC2949" s="2909">
        <f>IF($A2949="","",IF($AB2949&amp;""='DB_設定'!$C$4,1,0))</f>
      </c>
    </row>
    <row r="2950">
      <c r="DB2950" s="2909">
        <f>IF($A2950="","",IF($AH2950=20,IF(AND(OR($A2950=21,$A2950=215),$AJ2950=10),"①病院一般",IF(AND($A2950=31,$AJ2950=41),"②病院短期","対象外")),IF($AJ2950=30,"③特定消防",IF(AND(OR($A2950=21,$A2950=215),$AJ2950=10),"④一般",IF(AND($A2950=31,$AJ2950=41),"⑤短期","対象外")))))</f>
      </c>
      <c r="DC2950" s="2909">
        <f>IF($A2950="","",IF($AB2950&amp;""='DB_設定'!$C$4,1,0))</f>
      </c>
    </row>
    <row r="2951">
      <c r="DB2951" s="2909">
        <f>IF($A2951="","",IF($AH2951=20,IF(AND(OR($A2951=21,$A2951=215),$AJ2951=10),"①病院一般",IF(AND($A2951=31,$AJ2951=41),"②病院短期","対象外")),IF($AJ2951=30,"③特定消防",IF(AND(OR($A2951=21,$A2951=215),$AJ2951=10),"④一般",IF(AND($A2951=31,$AJ2951=41),"⑤短期","対象外")))))</f>
      </c>
      <c r="DC2951" s="2909">
        <f>IF($A2951="","",IF($AB2951&amp;""='DB_設定'!$C$4,1,0))</f>
      </c>
    </row>
    <row r="2952">
      <c r="DB2952" s="2909">
        <f>IF($A2952="","",IF($AH2952=20,IF(AND(OR($A2952=21,$A2952=215),$AJ2952=10),"①病院一般",IF(AND($A2952=31,$AJ2952=41),"②病院短期","対象外")),IF($AJ2952=30,"③特定消防",IF(AND(OR($A2952=21,$A2952=215),$AJ2952=10),"④一般",IF(AND($A2952=31,$AJ2952=41),"⑤短期","対象外")))))</f>
      </c>
      <c r="DC2952" s="2909">
        <f>IF($A2952="","",IF($AB2952&amp;""='DB_設定'!$C$4,1,0))</f>
      </c>
    </row>
    <row r="2953">
      <c r="DB2953" s="2909">
        <f>IF($A2953="","",IF($AH2953=20,IF(AND(OR($A2953=21,$A2953=215),$AJ2953=10),"①病院一般",IF(AND($A2953=31,$AJ2953=41),"②病院短期","対象外")),IF($AJ2953=30,"③特定消防",IF(AND(OR($A2953=21,$A2953=215),$AJ2953=10),"④一般",IF(AND($A2953=31,$AJ2953=41),"⑤短期","対象外")))))</f>
      </c>
      <c r="DC2953" s="2909">
        <f>IF($A2953="","",IF($AB2953&amp;""='DB_設定'!$C$4,1,0))</f>
      </c>
    </row>
    <row r="2954">
      <c r="DB2954" s="2909">
        <f>IF($A2954="","",IF($AH2954=20,IF(AND(OR($A2954=21,$A2954=215),$AJ2954=10),"①病院一般",IF(AND($A2954=31,$AJ2954=41),"②病院短期","対象外")),IF($AJ2954=30,"③特定消防",IF(AND(OR($A2954=21,$A2954=215),$AJ2954=10),"④一般",IF(AND($A2954=31,$AJ2954=41),"⑤短期","対象外")))))</f>
      </c>
      <c r="DC2954" s="2909">
        <f>IF($A2954="","",IF($AB2954&amp;""='DB_設定'!$C$4,1,0))</f>
      </c>
    </row>
    <row r="2955">
      <c r="DB2955" s="2909">
        <f>IF($A2955="","",IF($AH2955=20,IF(AND(OR($A2955=21,$A2955=215),$AJ2955=10),"①病院一般",IF(AND($A2955=31,$AJ2955=41),"②病院短期","対象外")),IF($AJ2955=30,"③特定消防",IF(AND(OR($A2955=21,$A2955=215),$AJ2955=10),"④一般",IF(AND($A2955=31,$AJ2955=41),"⑤短期","対象外")))))</f>
      </c>
      <c r="DC2955" s="2909">
        <f>IF($A2955="","",IF($AB2955&amp;""='DB_設定'!$C$4,1,0))</f>
      </c>
    </row>
    <row r="2956">
      <c r="DB2956" s="2909">
        <f>IF($A2956="","",IF($AH2956=20,IF(AND(OR($A2956=21,$A2956=215),$AJ2956=10),"①病院一般",IF(AND($A2956=31,$AJ2956=41),"②病院短期","対象外")),IF($AJ2956=30,"③特定消防",IF(AND(OR($A2956=21,$A2956=215),$AJ2956=10),"④一般",IF(AND($A2956=31,$AJ2956=41),"⑤短期","対象外")))))</f>
      </c>
      <c r="DC2956" s="2909">
        <f>IF($A2956="","",IF($AB2956&amp;""='DB_設定'!$C$4,1,0))</f>
      </c>
    </row>
    <row r="2957">
      <c r="DB2957" s="2909">
        <f>IF($A2957="","",IF($AH2957=20,IF(AND(OR($A2957=21,$A2957=215),$AJ2957=10),"①病院一般",IF(AND($A2957=31,$AJ2957=41),"②病院短期","対象外")),IF($AJ2957=30,"③特定消防",IF(AND(OR($A2957=21,$A2957=215),$AJ2957=10),"④一般",IF(AND($A2957=31,$AJ2957=41),"⑤短期","対象外")))))</f>
      </c>
      <c r="DC2957" s="2909">
        <f>IF($A2957="","",IF($AB2957&amp;""='DB_設定'!$C$4,1,0))</f>
      </c>
    </row>
    <row r="2958">
      <c r="DB2958" s="2909">
        <f>IF($A2958="","",IF($AH2958=20,IF(AND(OR($A2958=21,$A2958=215),$AJ2958=10),"①病院一般",IF(AND($A2958=31,$AJ2958=41),"②病院短期","対象外")),IF($AJ2958=30,"③特定消防",IF(AND(OR($A2958=21,$A2958=215),$AJ2958=10),"④一般",IF(AND($A2958=31,$AJ2958=41),"⑤短期","対象外")))))</f>
      </c>
      <c r="DC2958" s="2909">
        <f>IF($A2958="","",IF($AB2958&amp;""='DB_設定'!$C$4,1,0))</f>
      </c>
    </row>
    <row r="2959">
      <c r="DB2959" s="2909">
        <f>IF($A2959="","",IF($AH2959=20,IF(AND(OR($A2959=21,$A2959=215),$AJ2959=10),"①病院一般",IF(AND($A2959=31,$AJ2959=41),"②病院短期","対象外")),IF($AJ2959=30,"③特定消防",IF(AND(OR($A2959=21,$A2959=215),$AJ2959=10),"④一般",IF(AND($A2959=31,$AJ2959=41),"⑤短期","対象外")))))</f>
      </c>
      <c r="DC2959" s="2909">
        <f>IF($A2959="","",IF($AB2959&amp;""='DB_設定'!$C$4,1,0))</f>
      </c>
    </row>
    <row r="2960">
      <c r="DB2960" s="2909">
        <f>IF($A2960="","",IF($AH2960=20,IF(AND(OR($A2960=21,$A2960=215),$AJ2960=10),"①病院一般",IF(AND($A2960=31,$AJ2960=41),"②病院短期","対象外")),IF($AJ2960=30,"③特定消防",IF(AND(OR($A2960=21,$A2960=215),$AJ2960=10),"④一般",IF(AND($A2960=31,$AJ2960=41),"⑤短期","対象外")))))</f>
      </c>
      <c r="DC2960" s="2909">
        <f>IF($A2960="","",IF($AB2960&amp;""='DB_設定'!$C$4,1,0))</f>
      </c>
    </row>
    <row r="2961">
      <c r="DB2961" s="2909">
        <f>IF($A2961="","",IF($AH2961=20,IF(AND(OR($A2961=21,$A2961=215),$AJ2961=10),"①病院一般",IF(AND($A2961=31,$AJ2961=41),"②病院短期","対象外")),IF($AJ2961=30,"③特定消防",IF(AND(OR($A2961=21,$A2961=215),$AJ2961=10),"④一般",IF(AND($A2961=31,$AJ2961=41),"⑤短期","対象外")))))</f>
      </c>
      <c r="DC2961" s="2909">
        <f>IF($A2961="","",IF($AB2961&amp;""='DB_設定'!$C$4,1,0))</f>
      </c>
    </row>
    <row r="2962">
      <c r="DB2962" s="2909">
        <f>IF($A2962="","",IF($AH2962=20,IF(AND(OR($A2962=21,$A2962=215),$AJ2962=10),"①病院一般",IF(AND($A2962=31,$AJ2962=41),"②病院短期","対象外")),IF($AJ2962=30,"③特定消防",IF(AND(OR($A2962=21,$A2962=215),$AJ2962=10),"④一般",IF(AND($A2962=31,$AJ2962=41),"⑤短期","対象外")))))</f>
      </c>
      <c r="DC2962" s="2909">
        <f>IF($A2962="","",IF($AB2962&amp;""='DB_設定'!$C$4,1,0))</f>
      </c>
    </row>
    <row r="2963">
      <c r="DB2963" s="2909">
        <f>IF($A2963="","",IF($AH2963=20,IF(AND(OR($A2963=21,$A2963=215),$AJ2963=10),"①病院一般",IF(AND($A2963=31,$AJ2963=41),"②病院短期","対象外")),IF($AJ2963=30,"③特定消防",IF(AND(OR($A2963=21,$A2963=215),$AJ2963=10),"④一般",IF(AND($A2963=31,$AJ2963=41),"⑤短期","対象外")))))</f>
      </c>
      <c r="DC2963" s="2909">
        <f>IF($A2963="","",IF($AB2963&amp;""='DB_設定'!$C$4,1,0))</f>
      </c>
    </row>
    <row r="2964">
      <c r="DB2964" s="2909">
        <f>IF($A2964="","",IF($AH2964=20,IF(AND(OR($A2964=21,$A2964=215),$AJ2964=10),"①病院一般",IF(AND($A2964=31,$AJ2964=41),"②病院短期","対象外")),IF($AJ2964=30,"③特定消防",IF(AND(OR($A2964=21,$A2964=215),$AJ2964=10),"④一般",IF(AND($A2964=31,$AJ2964=41),"⑤短期","対象外")))))</f>
      </c>
      <c r="DC2964" s="2909">
        <f>IF($A2964="","",IF($AB2964&amp;""='DB_設定'!$C$4,1,0))</f>
      </c>
    </row>
    <row r="2965">
      <c r="DB2965" s="2909">
        <f>IF($A2965="","",IF($AH2965=20,IF(AND(OR($A2965=21,$A2965=215),$AJ2965=10),"①病院一般",IF(AND($A2965=31,$AJ2965=41),"②病院短期","対象外")),IF($AJ2965=30,"③特定消防",IF(AND(OR($A2965=21,$A2965=215),$AJ2965=10),"④一般",IF(AND($A2965=31,$AJ2965=41),"⑤短期","対象外")))))</f>
      </c>
      <c r="DC2965" s="2909">
        <f>IF($A2965="","",IF($AB2965&amp;""='DB_設定'!$C$4,1,0))</f>
      </c>
    </row>
    <row r="2966">
      <c r="DB2966" s="2909">
        <f>IF($A2966="","",IF($AH2966=20,IF(AND(OR($A2966=21,$A2966=215),$AJ2966=10),"①病院一般",IF(AND($A2966=31,$AJ2966=41),"②病院短期","対象外")),IF($AJ2966=30,"③特定消防",IF(AND(OR($A2966=21,$A2966=215),$AJ2966=10),"④一般",IF(AND($A2966=31,$AJ2966=41),"⑤短期","対象外")))))</f>
      </c>
      <c r="DC2966" s="2909">
        <f>IF($A2966="","",IF($AB2966&amp;""='DB_設定'!$C$4,1,0))</f>
      </c>
    </row>
    <row r="2967">
      <c r="DB2967" s="2909">
        <f>IF($A2967="","",IF($AH2967=20,IF(AND(OR($A2967=21,$A2967=215),$AJ2967=10),"①病院一般",IF(AND($A2967=31,$AJ2967=41),"②病院短期","対象外")),IF($AJ2967=30,"③特定消防",IF(AND(OR($A2967=21,$A2967=215),$AJ2967=10),"④一般",IF(AND($A2967=31,$AJ2967=41),"⑤短期","対象外")))))</f>
      </c>
      <c r="DC2967" s="2909">
        <f>IF($A2967="","",IF($AB2967&amp;""='DB_設定'!$C$4,1,0))</f>
      </c>
    </row>
    <row r="2968">
      <c r="DB2968" s="2909">
        <f>IF($A2968="","",IF($AH2968=20,IF(AND(OR($A2968=21,$A2968=215),$AJ2968=10),"①病院一般",IF(AND($A2968=31,$AJ2968=41),"②病院短期","対象外")),IF($AJ2968=30,"③特定消防",IF(AND(OR($A2968=21,$A2968=215),$AJ2968=10),"④一般",IF(AND($A2968=31,$AJ2968=41),"⑤短期","対象外")))))</f>
      </c>
      <c r="DC2968" s="2909">
        <f>IF($A2968="","",IF($AB2968&amp;""='DB_設定'!$C$4,1,0))</f>
      </c>
    </row>
    <row r="2969">
      <c r="DB2969" s="2909">
        <f>IF($A2969="","",IF($AH2969=20,IF(AND(OR($A2969=21,$A2969=215),$AJ2969=10),"①病院一般",IF(AND($A2969=31,$AJ2969=41),"②病院短期","対象外")),IF($AJ2969=30,"③特定消防",IF(AND(OR($A2969=21,$A2969=215),$AJ2969=10),"④一般",IF(AND($A2969=31,$AJ2969=41),"⑤短期","対象外")))))</f>
      </c>
      <c r="DC2969" s="2909">
        <f>IF($A2969="","",IF($AB2969&amp;""='DB_設定'!$C$4,1,0))</f>
      </c>
    </row>
    <row r="2970">
      <c r="DB2970" s="2909">
        <f>IF($A2970="","",IF($AH2970=20,IF(AND(OR($A2970=21,$A2970=215),$AJ2970=10),"①病院一般",IF(AND($A2970=31,$AJ2970=41),"②病院短期","対象外")),IF($AJ2970=30,"③特定消防",IF(AND(OR($A2970=21,$A2970=215),$AJ2970=10),"④一般",IF(AND($A2970=31,$AJ2970=41),"⑤短期","対象外")))))</f>
      </c>
      <c r="DC2970" s="2909">
        <f>IF($A2970="","",IF($AB2970&amp;""='DB_設定'!$C$4,1,0))</f>
      </c>
    </row>
    <row r="2971">
      <c r="DB2971" s="2909">
        <f>IF($A2971="","",IF($AH2971=20,IF(AND(OR($A2971=21,$A2971=215),$AJ2971=10),"①病院一般",IF(AND($A2971=31,$AJ2971=41),"②病院短期","対象外")),IF($AJ2971=30,"③特定消防",IF(AND(OR($A2971=21,$A2971=215),$AJ2971=10),"④一般",IF(AND($A2971=31,$AJ2971=41),"⑤短期","対象外")))))</f>
      </c>
      <c r="DC2971" s="2909">
        <f>IF($A2971="","",IF($AB2971&amp;""='DB_設定'!$C$4,1,0))</f>
      </c>
    </row>
    <row r="2972">
      <c r="DB2972" s="2909">
        <f>IF($A2972="","",IF($AH2972=20,IF(AND(OR($A2972=21,$A2972=215),$AJ2972=10),"①病院一般",IF(AND($A2972=31,$AJ2972=41),"②病院短期","対象外")),IF($AJ2972=30,"③特定消防",IF(AND(OR($A2972=21,$A2972=215),$AJ2972=10),"④一般",IF(AND($A2972=31,$AJ2972=41),"⑤短期","対象外")))))</f>
      </c>
      <c r="DC2972" s="2909">
        <f>IF($A2972="","",IF($AB2972&amp;""='DB_設定'!$C$4,1,0))</f>
      </c>
    </row>
    <row r="2973">
      <c r="DB2973" s="2909">
        <f>IF($A2973="","",IF($AH2973=20,IF(AND(OR($A2973=21,$A2973=215),$AJ2973=10),"①病院一般",IF(AND($A2973=31,$AJ2973=41),"②病院短期","対象外")),IF($AJ2973=30,"③特定消防",IF(AND(OR($A2973=21,$A2973=215),$AJ2973=10),"④一般",IF(AND($A2973=31,$AJ2973=41),"⑤短期","対象外")))))</f>
      </c>
      <c r="DC2973" s="2909">
        <f>IF($A2973="","",IF($AB2973&amp;""='DB_設定'!$C$4,1,0))</f>
      </c>
    </row>
    <row r="2974">
      <c r="DB2974" s="2909">
        <f>IF($A2974="","",IF($AH2974=20,IF(AND(OR($A2974=21,$A2974=215),$AJ2974=10),"①病院一般",IF(AND($A2974=31,$AJ2974=41),"②病院短期","対象外")),IF($AJ2974=30,"③特定消防",IF(AND(OR($A2974=21,$A2974=215),$AJ2974=10),"④一般",IF(AND($A2974=31,$AJ2974=41),"⑤短期","対象外")))))</f>
      </c>
      <c r="DC2974" s="2909">
        <f>IF($A2974="","",IF($AB2974&amp;""='DB_設定'!$C$4,1,0))</f>
      </c>
    </row>
    <row r="2975">
      <c r="DB2975" s="2909">
        <f>IF($A2975="","",IF($AH2975=20,IF(AND(OR($A2975=21,$A2975=215),$AJ2975=10),"①病院一般",IF(AND($A2975=31,$AJ2975=41),"②病院短期","対象外")),IF($AJ2975=30,"③特定消防",IF(AND(OR($A2975=21,$A2975=215),$AJ2975=10),"④一般",IF(AND($A2975=31,$AJ2975=41),"⑤短期","対象外")))))</f>
      </c>
      <c r="DC2975" s="2909">
        <f>IF($A2975="","",IF($AB2975&amp;""='DB_設定'!$C$4,1,0))</f>
      </c>
    </row>
    <row r="2976">
      <c r="DB2976" s="2909">
        <f>IF($A2976="","",IF($AH2976=20,IF(AND(OR($A2976=21,$A2976=215),$AJ2976=10),"①病院一般",IF(AND($A2976=31,$AJ2976=41),"②病院短期","対象外")),IF($AJ2976=30,"③特定消防",IF(AND(OR($A2976=21,$A2976=215),$AJ2976=10),"④一般",IF(AND($A2976=31,$AJ2976=41),"⑤短期","対象外")))))</f>
      </c>
      <c r="DC2976" s="2909">
        <f>IF($A2976="","",IF($AB2976&amp;""='DB_設定'!$C$4,1,0))</f>
      </c>
    </row>
    <row r="2977">
      <c r="DB2977" s="2909">
        <f>IF($A2977="","",IF($AH2977=20,IF(AND(OR($A2977=21,$A2977=215),$AJ2977=10),"①病院一般",IF(AND($A2977=31,$AJ2977=41),"②病院短期","対象外")),IF($AJ2977=30,"③特定消防",IF(AND(OR($A2977=21,$A2977=215),$AJ2977=10),"④一般",IF(AND($A2977=31,$AJ2977=41),"⑤短期","対象外")))))</f>
      </c>
      <c r="DC2977" s="2909">
        <f>IF($A2977="","",IF($AB2977&amp;""='DB_設定'!$C$4,1,0))</f>
      </c>
    </row>
    <row r="2978">
      <c r="DB2978" s="2909">
        <f>IF($A2978="","",IF($AH2978=20,IF(AND(OR($A2978=21,$A2978=215),$AJ2978=10),"①病院一般",IF(AND($A2978=31,$AJ2978=41),"②病院短期","対象外")),IF($AJ2978=30,"③特定消防",IF(AND(OR($A2978=21,$A2978=215),$AJ2978=10),"④一般",IF(AND($A2978=31,$AJ2978=41),"⑤短期","対象外")))))</f>
      </c>
      <c r="DC2978" s="2909">
        <f>IF($A2978="","",IF($AB2978&amp;""='DB_設定'!$C$4,1,0))</f>
      </c>
    </row>
    <row r="2979">
      <c r="DB2979" s="2909">
        <f>IF($A2979="","",IF($AH2979=20,IF(AND(OR($A2979=21,$A2979=215),$AJ2979=10),"①病院一般",IF(AND($A2979=31,$AJ2979=41),"②病院短期","対象外")),IF($AJ2979=30,"③特定消防",IF(AND(OR($A2979=21,$A2979=215),$AJ2979=10),"④一般",IF(AND($A2979=31,$AJ2979=41),"⑤短期","対象外")))))</f>
      </c>
      <c r="DC2979" s="2909">
        <f>IF($A2979="","",IF($AB2979&amp;""='DB_設定'!$C$4,1,0))</f>
      </c>
    </row>
    <row r="2980">
      <c r="DB2980" s="2909">
        <f>IF($A2980="","",IF($AH2980=20,IF(AND(OR($A2980=21,$A2980=215),$AJ2980=10),"①病院一般",IF(AND($A2980=31,$AJ2980=41),"②病院短期","対象外")),IF($AJ2980=30,"③特定消防",IF(AND(OR($A2980=21,$A2980=215),$AJ2980=10),"④一般",IF(AND($A2980=31,$AJ2980=41),"⑤短期","対象外")))))</f>
      </c>
      <c r="DC2980" s="2909">
        <f>IF($A2980="","",IF($AB2980&amp;""='DB_設定'!$C$4,1,0))</f>
      </c>
    </row>
    <row r="2981">
      <c r="DB2981" s="2909">
        <f>IF($A2981="","",IF($AH2981=20,IF(AND(OR($A2981=21,$A2981=215),$AJ2981=10),"①病院一般",IF(AND($A2981=31,$AJ2981=41),"②病院短期","対象外")),IF($AJ2981=30,"③特定消防",IF(AND(OR($A2981=21,$A2981=215),$AJ2981=10),"④一般",IF(AND($A2981=31,$AJ2981=41),"⑤短期","対象外")))))</f>
      </c>
      <c r="DC2981" s="2909">
        <f>IF($A2981="","",IF($AB2981&amp;""='DB_設定'!$C$4,1,0))</f>
      </c>
    </row>
    <row r="2982">
      <c r="DB2982" s="2909">
        <f>IF($A2982="","",IF($AH2982=20,IF(AND(OR($A2982=21,$A2982=215),$AJ2982=10),"①病院一般",IF(AND($A2982=31,$AJ2982=41),"②病院短期","対象外")),IF($AJ2982=30,"③特定消防",IF(AND(OR($A2982=21,$A2982=215),$AJ2982=10),"④一般",IF(AND($A2982=31,$AJ2982=41),"⑤短期","対象外")))))</f>
      </c>
      <c r="DC2982" s="2909">
        <f>IF($A2982="","",IF($AB2982&amp;""='DB_設定'!$C$4,1,0))</f>
      </c>
    </row>
    <row r="2983">
      <c r="DB2983" s="2909">
        <f>IF($A2983="","",IF($AH2983=20,IF(AND(OR($A2983=21,$A2983=215),$AJ2983=10),"①病院一般",IF(AND($A2983=31,$AJ2983=41),"②病院短期","対象外")),IF($AJ2983=30,"③特定消防",IF(AND(OR($A2983=21,$A2983=215),$AJ2983=10),"④一般",IF(AND($A2983=31,$AJ2983=41),"⑤短期","対象外")))))</f>
      </c>
      <c r="DC2983" s="2909">
        <f>IF($A2983="","",IF($AB2983&amp;""='DB_設定'!$C$4,1,0))</f>
      </c>
    </row>
    <row r="2984">
      <c r="DB2984" s="2909">
        <f>IF($A2984="","",IF($AH2984=20,IF(AND(OR($A2984=21,$A2984=215),$AJ2984=10),"①病院一般",IF(AND($A2984=31,$AJ2984=41),"②病院短期","対象外")),IF($AJ2984=30,"③特定消防",IF(AND(OR($A2984=21,$A2984=215),$AJ2984=10),"④一般",IF(AND($A2984=31,$AJ2984=41),"⑤短期","対象外")))))</f>
      </c>
      <c r="DC2984" s="2909">
        <f>IF($A2984="","",IF($AB2984&amp;""='DB_設定'!$C$4,1,0))</f>
      </c>
    </row>
    <row r="2985">
      <c r="DB2985" s="2909">
        <f>IF($A2985="","",IF($AH2985=20,IF(AND(OR($A2985=21,$A2985=215),$AJ2985=10),"①病院一般",IF(AND($A2985=31,$AJ2985=41),"②病院短期","対象外")),IF($AJ2985=30,"③特定消防",IF(AND(OR($A2985=21,$A2985=215),$AJ2985=10),"④一般",IF(AND($A2985=31,$AJ2985=41),"⑤短期","対象外")))))</f>
      </c>
      <c r="DC2985" s="2909">
        <f>IF($A2985="","",IF($AB2985&amp;""='DB_設定'!$C$4,1,0))</f>
      </c>
    </row>
    <row r="2986">
      <c r="DB2986" s="2909">
        <f>IF($A2986="","",IF($AH2986=20,IF(AND(OR($A2986=21,$A2986=215),$AJ2986=10),"①病院一般",IF(AND($A2986=31,$AJ2986=41),"②病院短期","対象外")),IF($AJ2986=30,"③特定消防",IF(AND(OR($A2986=21,$A2986=215),$AJ2986=10),"④一般",IF(AND($A2986=31,$AJ2986=41),"⑤短期","対象外")))))</f>
      </c>
      <c r="DC2986" s="2909">
        <f>IF($A2986="","",IF($AB2986&amp;""='DB_設定'!$C$4,1,0))</f>
      </c>
    </row>
    <row r="2987">
      <c r="DB2987" s="2909">
        <f>IF($A2987="","",IF($AH2987=20,IF(AND(OR($A2987=21,$A2987=215),$AJ2987=10),"①病院一般",IF(AND($A2987=31,$AJ2987=41),"②病院短期","対象外")),IF($AJ2987=30,"③特定消防",IF(AND(OR($A2987=21,$A2987=215),$AJ2987=10),"④一般",IF(AND($A2987=31,$AJ2987=41),"⑤短期","対象外")))))</f>
      </c>
      <c r="DC2987" s="2909">
        <f>IF($A2987="","",IF($AB2987&amp;""='DB_設定'!$C$4,1,0))</f>
      </c>
    </row>
    <row r="2988">
      <c r="DB2988" s="2909">
        <f>IF($A2988="","",IF($AH2988=20,IF(AND(OR($A2988=21,$A2988=215),$AJ2988=10),"①病院一般",IF(AND($A2988=31,$AJ2988=41),"②病院短期","対象外")),IF($AJ2988=30,"③特定消防",IF(AND(OR($A2988=21,$A2988=215),$AJ2988=10),"④一般",IF(AND($A2988=31,$AJ2988=41),"⑤短期","対象外")))))</f>
      </c>
      <c r="DC2988" s="2909">
        <f>IF($A2988="","",IF($AB2988&amp;""='DB_設定'!$C$4,1,0))</f>
      </c>
    </row>
    <row r="2989">
      <c r="DB2989" s="2909">
        <f>IF($A2989="","",IF($AH2989=20,IF(AND(OR($A2989=21,$A2989=215),$AJ2989=10),"①病院一般",IF(AND($A2989=31,$AJ2989=41),"②病院短期","対象外")),IF($AJ2989=30,"③特定消防",IF(AND(OR($A2989=21,$A2989=215),$AJ2989=10),"④一般",IF(AND($A2989=31,$AJ2989=41),"⑤短期","対象外")))))</f>
      </c>
      <c r="DC2989" s="2909">
        <f>IF($A2989="","",IF($AB2989&amp;""='DB_設定'!$C$4,1,0))</f>
      </c>
    </row>
    <row r="2990">
      <c r="DB2990" s="2909">
        <f>IF($A2990="","",IF($AH2990=20,IF(AND(OR($A2990=21,$A2990=215),$AJ2990=10),"①病院一般",IF(AND($A2990=31,$AJ2990=41),"②病院短期","対象外")),IF($AJ2990=30,"③特定消防",IF(AND(OR($A2990=21,$A2990=215),$AJ2990=10),"④一般",IF(AND($A2990=31,$AJ2990=41),"⑤短期","対象外")))))</f>
      </c>
      <c r="DC2990" s="2909">
        <f>IF($A2990="","",IF($AB2990&amp;""='DB_設定'!$C$4,1,0))</f>
      </c>
    </row>
    <row r="2991">
      <c r="DB2991" s="2909">
        <f>IF($A2991="","",IF($AH2991=20,IF(AND(OR($A2991=21,$A2991=215),$AJ2991=10),"①病院一般",IF(AND($A2991=31,$AJ2991=41),"②病院短期","対象外")),IF($AJ2991=30,"③特定消防",IF(AND(OR($A2991=21,$A2991=215),$AJ2991=10),"④一般",IF(AND($A2991=31,$AJ2991=41),"⑤短期","対象外")))))</f>
      </c>
      <c r="DC2991" s="2909">
        <f>IF($A2991="","",IF($AB2991&amp;""='DB_設定'!$C$4,1,0))</f>
      </c>
    </row>
    <row r="2992">
      <c r="DB2992" s="2909">
        <f>IF($A2992="","",IF($AH2992=20,IF(AND(OR($A2992=21,$A2992=215),$AJ2992=10),"①病院一般",IF(AND($A2992=31,$AJ2992=41),"②病院短期","対象外")),IF($AJ2992=30,"③特定消防",IF(AND(OR($A2992=21,$A2992=215),$AJ2992=10),"④一般",IF(AND($A2992=31,$AJ2992=41),"⑤短期","対象外")))))</f>
      </c>
      <c r="DC2992" s="2909">
        <f>IF($A2992="","",IF($AB2992&amp;""='DB_設定'!$C$4,1,0))</f>
      </c>
    </row>
    <row r="2993">
      <c r="DB2993" s="2909">
        <f>IF($A2993="","",IF($AH2993=20,IF(AND(OR($A2993=21,$A2993=215),$AJ2993=10),"①病院一般",IF(AND($A2993=31,$AJ2993=41),"②病院短期","対象外")),IF($AJ2993=30,"③特定消防",IF(AND(OR($A2993=21,$A2993=215),$AJ2993=10),"④一般",IF(AND($A2993=31,$AJ2993=41),"⑤短期","対象外")))))</f>
      </c>
      <c r="DC2993" s="2909">
        <f>IF($A2993="","",IF($AB2993&amp;""='DB_設定'!$C$4,1,0))</f>
      </c>
    </row>
    <row r="2994">
      <c r="DB2994" s="2909">
        <f>IF($A2994="","",IF($AH2994=20,IF(AND(OR($A2994=21,$A2994=215),$AJ2994=10),"①病院一般",IF(AND($A2994=31,$AJ2994=41),"②病院短期","対象外")),IF($AJ2994=30,"③特定消防",IF(AND(OR($A2994=21,$A2994=215),$AJ2994=10),"④一般",IF(AND($A2994=31,$AJ2994=41),"⑤短期","対象外")))))</f>
      </c>
      <c r="DC2994" s="2909">
        <f>IF($A2994="","",IF($AB2994&amp;""='DB_設定'!$C$4,1,0))</f>
      </c>
    </row>
    <row r="2995">
      <c r="DB2995" s="2909">
        <f>IF($A2995="","",IF($AH2995=20,IF(AND(OR($A2995=21,$A2995=215),$AJ2995=10),"①病院一般",IF(AND($A2995=31,$AJ2995=41),"②病院短期","対象外")),IF($AJ2995=30,"③特定消防",IF(AND(OR($A2995=21,$A2995=215),$AJ2995=10),"④一般",IF(AND($A2995=31,$AJ2995=41),"⑤短期","対象外")))))</f>
      </c>
      <c r="DC2995" s="2909">
        <f>IF($A2995="","",IF($AB2995&amp;""='DB_設定'!$C$4,1,0))</f>
      </c>
    </row>
    <row r="2996">
      <c r="DB2996" s="2909">
        <f>IF($A2996="","",IF($AH2996=20,IF(AND(OR($A2996=21,$A2996=215),$AJ2996=10),"①病院一般",IF(AND($A2996=31,$AJ2996=41),"②病院短期","対象外")),IF($AJ2996=30,"③特定消防",IF(AND(OR($A2996=21,$A2996=215),$AJ2996=10),"④一般",IF(AND($A2996=31,$AJ2996=41),"⑤短期","対象外")))))</f>
      </c>
      <c r="DC2996" s="2909">
        <f>IF($A2996="","",IF($AB2996&amp;""='DB_設定'!$C$4,1,0))</f>
      </c>
    </row>
    <row r="2997">
      <c r="DB2997" s="2909">
        <f>IF($A2997="","",IF($AH2997=20,IF(AND(OR($A2997=21,$A2997=215),$AJ2997=10),"①病院一般",IF(AND($A2997=31,$AJ2997=41),"②病院短期","対象外")),IF($AJ2997=30,"③特定消防",IF(AND(OR($A2997=21,$A2997=215),$AJ2997=10),"④一般",IF(AND($A2997=31,$AJ2997=41),"⑤短期","対象外")))))</f>
      </c>
      <c r="DC2997" s="2909">
        <f>IF($A2997="","",IF($AB2997&amp;""='DB_設定'!$C$4,1,0))</f>
      </c>
    </row>
    <row r="2998">
      <c r="DB2998" s="2909">
        <f>IF($A2998="","",IF($AH2998=20,IF(AND(OR($A2998=21,$A2998=215),$AJ2998=10),"①病院一般",IF(AND($A2998=31,$AJ2998=41),"②病院短期","対象外")),IF($AJ2998=30,"③特定消防",IF(AND(OR($A2998=21,$A2998=215),$AJ2998=10),"④一般",IF(AND($A2998=31,$AJ2998=41),"⑤短期","対象外")))))</f>
      </c>
      <c r="DC2998" s="2909">
        <f>IF($A2998="","",IF($AB2998&amp;""='DB_設定'!$C$4,1,0))</f>
      </c>
    </row>
    <row r="2999">
      <c r="DB2999" s="2909">
        <f>IF($A2999="","",IF($AH2999=20,IF(AND(OR($A2999=21,$A2999=215),$AJ2999=10),"①病院一般",IF(AND($A2999=31,$AJ2999=41),"②病院短期","対象外")),IF($AJ2999=30,"③特定消防",IF(AND(OR($A2999=21,$A2999=215),$AJ2999=10),"④一般",IF(AND($A2999=31,$AJ2999=41),"⑤短期","対象外")))))</f>
      </c>
      <c r="DC2999" s="2909">
        <f>IF($A2999="","",IF($AB2999&amp;""='DB_設定'!$C$4,1,0))</f>
      </c>
    </row>
    <row r="3000">
      <c r="DB3000" s="2909">
        <f>IF($A3000="","",IF($AH3000=20,IF(AND(OR($A3000=21,$A3000=215),$AJ3000=10),"①病院一般",IF(AND($A3000=31,$AJ3000=41),"②病院短期","対象外")),IF($AJ3000=30,"③特定消防",IF(AND(OR($A3000=21,$A3000=215),$AJ3000=10),"④一般",IF(AND($A3000=31,$AJ3000=41),"⑤短期","対象外")))))</f>
      </c>
      <c r="DC3000" s="2909">
        <f>IF($A3000="","",IF($AB3000&amp;""='DB_設定'!$C$4,1,0))</f>
      </c>
    </row>
    <row r="3001">
      <c r="DB3001" s="2909">
        <f>IF($A3001="","",IF($AH3001=20,IF(AND(OR($A3001=21,$A3001=215),$AJ3001=10),"①病院一般",IF(AND($A3001=31,$AJ3001=41),"②病院短期","対象外")),IF($AJ3001=30,"③特定消防",IF(AND(OR($A3001=21,$A3001=215),$AJ3001=10),"④一般",IF(AND($A3001=31,$AJ3001=41),"⑤短期","対象外")))))</f>
      </c>
      <c r="DC3001" s="2909">
        <f>IF($A3001="","",IF($AB3001&amp;""='DB_設定'!$C$4,1,0))</f>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21</v>
      </c>
      <c r="AB2" t="inlineStr" s="2909">
        <is>
          <t>19820401</t>
        </is>
      </c>
      <c r="AD2" t="n" s="2909">
        <v>11</v>
      </c>
      <c r="AE2" t="inlineStr" s="2909">
        <is>
          <t>20250401</t>
        </is>
      </c>
      <c r="AH2" t="n" s="2909">
        <v>1</v>
      </c>
      <c r="AJ2" t="n" s="2909">
        <v>10</v>
      </c>
      <c r="AP2" t="n" s="2909">
        <v>380000</v>
      </c>
      <c r="DB2" s="2909" t="str">
        <f>IF($A2="","",IF($AE2&amp;""&lt;&gt;'DB_設定'!$C$4,"対象外",IF($AH2=20,IF(OR($AJ2=10,$AJ2=11,$AJ2=18),"①病院一般",IF($AJ2=41,"②病院短期","対象外")),IF($AH2=5,IF($AJ2=30,"③特定消防","対象外"),IF(OR($AJ2=10,$AJ2=11,$AJ2=74),"④一般",IF(OR($AJ2=41,$AJ2=47),"⑤短期","対象外"))))))</f>
        <v>④一般</v>
      </c>
    </row>
    <row r="3">
      <c r="A3" t="n" s="2909">
        <v>21</v>
      </c>
      <c r="AA3" t="n" s="2909">
        <v>21</v>
      </c>
      <c r="AB3" t="inlineStr" s="2909">
        <is>
          <t>19820401</t>
        </is>
      </c>
      <c r="AD3" t="n" s="2909">
        <v>11</v>
      </c>
      <c r="AE3" t="inlineStr" s="2909">
        <is>
          <t>20250401</t>
        </is>
      </c>
      <c r="AH3" t="n" s="2909">
        <v>1</v>
      </c>
      <c r="AJ3" t="n" s="2909">
        <v>10</v>
      </c>
      <c r="AP3" t="n" s="2909">
        <v>380000</v>
      </c>
      <c r="DB3" s="2909" t="str">
        <f>IF($A3="","",IF($AE3&amp;""&lt;&gt;'DB_設定'!$C$4,"対象外",IF($AH3=20,IF(OR($AJ3=10,$AJ3=11,$AJ3=18),"①病院一般",IF($AJ3=41,"②病院短期","対象外")),IF($AH3=5,IF($AJ3=30,"③特定消防","対象外"),IF(OR($AJ3=10,$AJ3=11,$AJ3=74),"④一般",IF(OR($AJ3=41,$AJ3=47),"⑤短期","対象外"))))))</f>
        <v>④一般</v>
      </c>
    </row>
    <row r="4">
      <c r="A4" t="n" s="2909">
        <v>21</v>
      </c>
      <c r="AA4" t="n" s="2909">
        <v>21</v>
      </c>
      <c r="AB4" t="inlineStr" s="2909">
        <is>
          <t>19820401</t>
        </is>
      </c>
      <c r="AD4" t="n" s="2909">
        <v>11</v>
      </c>
      <c r="AE4" t="inlineStr" s="2909">
        <is>
          <t>20250401</t>
        </is>
      </c>
      <c r="AH4" t="n" s="2909">
        <v>1</v>
      </c>
      <c r="AJ4" t="n" s="2909">
        <v>10</v>
      </c>
      <c r="AP4" t="n" s="2909">
        <v>380000</v>
      </c>
      <c r="DB4" s="2909" t="str">
        <f>IF($A4="","",IF($AE4&amp;""&lt;&gt;'DB_設定'!$C$4,"対象外",IF($AH4=20,IF(OR($AJ4=10,$AJ4=11,$AJ4=18),"①病院一般",IF($AJ4=41,"②病院短期","対象外")),IF($AH4=5,IF($AJ4=30,"③特定消防","対象外"),IF(OR($AJ4=10,$AJ4=11,$AJ4=74),"④一般",IF(OR($AJ4=41,$AJ4=47),"⑤短期","対象外"))))))</f>
        <v>④一般</v>
      </c>
    </row>
    <row r="5">
      <c r="A5" t="n" s="2909">
        <v>21</v>
      </c>
      <c r="AA5" t="n" s="2909">
        <v>21</v>
      </c>
      <c r="AB5" t="inlineStr" s="2909">
        <is>
          <t>19820401</t>
        </is>
      </c>
      <c r="AD5" t="n" s="2909">
        <v>11</v>
      </c>
      <c r="AE5" t="inlineStr" s="2909">
        <is>
          <t>20250401</t>
        </is>
      </c>
      <c r="AH5" t="n" s="2909">
        <v>1</v>
      </c>
      <c r="AJ5" t="n" s="2909">
        <v>10</v>
      </c>
      <c r="AP5" t="n" s="2909">
        <v>340000</v>
      </c>
      <c r="DB5" s="2909" t="str">
        <f>IF($A5="","",IF($AE5&amp;""&lt;&gt;'DB_設定'!$C$4,"対象外",IF($AH5=20,IF(OR($AJ5=10,$AJ5=11,$AJ5=18),"①病院一般",IF($AJ5=41,"②病院短期","対象外")),IF($AH5=5,IF($AJ5=30,"③特定消防","対象外"),IF(OR($AJ5=10,$AJ5=11,$AJ5=74),"④一般",IF(OR($AJ5=41,$AJ5=47),"⑤短期","対象外"))))))</f>
        <v>④一般</v>
      </c>
    </row>
    <row r="6">
      <c r="A6" t="n" s="2909">
        <v>21</v>
      </c>
      <c r="AA6" t="n" s="2909">
        <v>21</v>
      </c>
      <c r="AB6" t="inlineStr" s="2909">
        <is>
          <t>19820401</t>
        </is>
      </c>
      <c r="AD6" t="n" s="2909">
        <v>11</v>
      </c>
      <c r="AE6" t="inlineStr" s="2909">
        <is>
          <t>20250401</t>
        </is>
      </c>
      <c r="AH6" t="n" s="2909">
        <v>1</v>
      </c>
      <c r="AJ6" t="n" s="2909">
        <v>10</v>
      </c>
      <c r="AP6" t="n" s="2909">
        <v>340000</v>
      </c>
      <c r="DB6" s="2909" t="str">
        <f>IF($A6="","",IF($AE6&amp;""&lt;&gt;'DB_設定'!$C$4,"対象外",IF($AH6=20,IF(OR($AJ6=10,$AJ6=11,$AJ6=18),"①病院一般",IF($AJ6=41,"②病院短期","対象外")),IF($AH6=5,IF($AJ6=30,"③特定消防","対象外"),IF(OR($AJ6=10,$AJ6=11,$AJ6=74),"④一般",IF(OR($AJ6=41,$AJ6=47),"⑤短期","対象外"))))))</f>
        <v>④一般</v>
      </c>
    </row>
    <row r="7">
      <c r="A7" t="n" s="2909">
        <v>21</v>
      </c>
      <c r="AA7" t="n" s="2909">
        <v>21</v>
      </c>
      <c r="AB7" t="inlineStr" s="2909">
        <is>
          <t>19820401</t>
        </is>
      </c>
      <c r="AD7" t="n" s="2909">
        <v>11</v>
      </c>
      <c r="AE7" t="inlineStr" s="2909">
        <is>
          <t>20250401</t>
        </is>
      </c>
      <c r="AH7" t="n" s="2909">
        <v>1</v>
      </c>
      <c r="AJ7" t="n" s="2909">
        <v>10</v>
      </c>
      <c r="AP7" t="n" s="2909">
        <v>410000</v>
      </c>
      <c r="DB7" s="2909" t="str">
        <f>IF($A7="","",IF($AE7&amp;""&lt;&gt;'DB_設定'!$C$4,"対象外",IF($AH7=20,IF(OR($AJ7=10,$AJ7=11,$AJ7=18),"①病院一般",IF($AJ7=41,"②病院短期","対象外")),IF($AH7=5,IF($AJ7=30,"③特定消防","対象外"),IF(OR($AJ7=10,$AJ7=11,$AJ7=74),"④一般",IF(OR($AJ7=41,$AJ7=47),"⑤短期","対象外"))))))</f>
        <v>④一般</v>
      </c>
    </row>
    <row r="8">
      <c r="A8" t="n" s="2909">
        <v>21</v>
      </c>
      <c r="AA8" t="n" s="2909">
        <v>21</v>
      </c>
      <c r="AB8" t="inlineStr" s="2909">
        <is>
          <t>19820401</t>
        </is>
      </c>
      <c r="AD8" t="n" s="2909">
        <v>12</v>
      </c>
      <c r="AE8" t="inlineStr" s="2909">
        <is>
          <t>20250401</t>
        </is>
      </c>
      <c r="AH8" t="n" s="2909">
        <v>1</v>
      </c>
      <c r="AJ8" t="n" s="2909">
        <v>10</v>
      </c>
      <c r="AP8" t="n" s="2909">
        <v>340000</v>
      </c>
      <c r="DB8" s="2909" t="str">
        <f>IF($A8="","",IF($AE8&amp;""&lt;&gt;'DB_設定'!$C$4,"対象外",IF($AH8=20,IF(OR($AJ8=10,$AJ8=11,$AJ8=18),"①病院一般",IF($AJ8=41,"②病院短期","対象外")),IF($AH8=5,IF($AJ8=30,"③特定消防","対象外"),IF(OR($AJ8=10,$AJ8=11,$AJ8=74),"④一般",IF(OR($AJ8=41,$AJ8=47),"⑤短期","対象外"))))))</f>
        <v>④一般</v>
      </c>
    </row>
    <row r="9">
      <c r="A9" t="n" s="2909">
        <v>21</v>
      </c>
      <c r="AA9" t="n" s="2909">
        <v>21</v>
      </c>
      <c r="AB9" t="inlineStr" s="2909">
        <is>
          <t>19820401</t>
        </is>
      </c>
      <c r="AD9" t="n" s="2909">
        <v>11</v>
      </c>
      <c r="AE9" t="inlineStr" s="2909">
        <is>
          <t>20250401</t>
        </is>
      </c>
      <c r="AH9" t="n" s="2909">
        <v>5</v>
      </c>
      <c r="AJ9" t="n" s="2909">
        <v>30</v>
      </c>
      <c r="AP9" t="n" s="2909">
        <v>380000</v>
      </c>
      <c r="DB9" s="2909" t="str">
        <f>IF($A9="","",IF($AE9&amp;""&lt;&gt;'DB_設定'!$C$4,"対象外",IF($AH9=20,IF(OR($AJ9=10,$AJ9=11,$AJ9=18),"①病院一般",IF($AJ9=41,"②病院短期","対象外")),IF($AH9=5,IF($AJ9=30,"③特定消防","対象外"),IF(OR($AJ9=10,$AJ9=11,$AJ9=74),"④一般",IF(OR($AJ9=41,$AJ9=47),"⑤短期","対象外"))))))</f>
        <v>③特定消防</v>
      </c>
    </row>
    <row r="10">
      <c r="A10" t="n" s="2909">
        <v>21</v>
      </c>
      <c r="AA10" t="n" s="2909">
        <v>21</v>
      </c>
      <c r="AB10" t="inlineStr" s="2909">
        <is>
          <t>19820401</t>
        </is>
      </c>
      <c r="AD10" t="n" s="2909">
        <v>11</v>
      </c>
      <c r="AE10" t="inlineStr" s="2909">
        <is>
          <t>20250401</t>
        </is>
      </c>
      <c r="AH10" t="n" s="2909">
        <v>39</v>
      </c>
      <c r="AJ10" t="n" s="2909">
        <v>74</v>
      </c>
      <c r="AP10" t="n" s="2909">
        <v>340000</v>
      </c>
      <c r="DB10" s="2909" t="str">
        <f>IF($A10="","",IF($AE10&amp;""&lt;&gt;'DB_設定'!$C$4,"対象外",IF($AH10=20,IF(OR($AJ10=10,$AJ10=11,$AJ10=18),"①病院一般",IF($AJ10=41,"②病院短期","対象外")),IF($AH10=5,IF($AJ10=30,"③特定消防","対象外"),IF(OR($AJ10=10,$AJ10=11,$AJ10=74),"④一般",IF(OR($AJ10=41,$AJ10=47),"⑤短期","対象外"))))))</f>
        <v>④一般</v>
      </c>
    </row>
    <row r="11">
      <c r="A11" t="n" s="2909">
        <v>21</v>
      </c>
      <c r="AA11" t="n" s="2909">
        <v>21</v>
      </c>
      <c r="AB11" t="inlineStr" s="2909">
        <is>
          <t>19820401</t>
        </is>
      </c>
      <c r="AD11" t="n" s="2909">
        <v>11</v>
      </c>
      <c r="AE11" t="inlineStr" s="2909">
        <is>
          <t>20250401</t>
        </is>
      </c>
      <c r="AH11" t="n" s="2909">
        <v>5</v>
      </c>
      <c r="AJ11" t="n" s="2909">
        <v>30</v>
      </c>
      <c r="AP11" t="n" s="2909">
        <v>410000</v>
      </c>
      <c r="DB11" s="2909" t="str">
        <f>IF($A11="","",IF($AE11&amp;""&lt;&gt;'DB_設定'!$C$4,"対象外",IF($AH11=20,IF(OR($AJ11=10,$AJ11=11,$AJ11=18),"①病院一般",IF($AJ11=41,"②病院短期","対象外")),IF($AH11=5,IF($AJ11=30,"③特定消防","対象外"),IF(OR($AJ11=10,$AJ11=11,$AJ11=74),"④一般",IF(OR($AJ11=41,$AJ11=47),"⑤短期","対象外"))))))</f>
        <v>③特定消防</v>
      </c>
    </row>
    <row r="12">
      <c r="A12" t="n" s="2909">
        <v>21</v>
      </c>
      <c r="AA12" t="n" s="2909">
        <v>21</v>
      </c>
      <c r="AB12" t="inlineStr" s="2909">
        <is>
          <t>19820401</t>
        </is>
      </c>
      <c r="AD12" t="n" s="2909">
        <v>11</v>
      </c>
      <c r="AE12" t="inlineStr" s="2909">
        <is>
          <t>20250401</t>
        </is>
      </c>
      <c r="AH12" t="n" s="2909">
        <v>5</v>
      </c>
      <c r="AJ12" t="n" s="2909">
        <v>30</v>
      </c>
      <c r="AP12" t="n" s="2909">
        <v>380000</v>
      </c>
      <c r="DB12" s="2909" t="str">
        <f>IF($A12="","",IF($AE12&amp;""&lt;&gt;'DB_設定'!$C$4,"対象外",IF($AH12=20,IF(OR($AJ12=10,$AJ12=11,$AJ12=18),"①病院一般",IF($AJ12=41,"②病院短期","対象外")),IF($AH12=5,IF($AJ12=30,"③特定消防","対象外"),IF(OR($AJ12=10,$AJ12=11,$AJ12=74),"④一般",IF(OR($AJ12=41,$AJ12=47),"⑤短期","対象外"))))))</f>
        <v>③特定消防</v>
      </c>
    </row>
    <row r="13">
      <c r="A13" t="n" s="2909">
        <v>21</v>
      </c>
      <c r="AA13" t="n" s="2909">
        <v>21</v>
      </c>
      <c r="AB13" t="inlineStr" s="2909">
        <is>
          <t>19820401</t>
        </is>
      </c>
      <c r="AD13" t="n" s="2909">
        <v>11</v>
      </c>
      <c r="AE13" t="inlineStr" s="2909">
        <is>
          <t>20250401</t>
        </is>
      </c>
      <c r="AH13" t="n" s="2909">
        <v>5</v>
      </c>
      <c r="AJ13" t="n" s="2909">
        <v>30</v>
      </c>
      <c r="AP13" t="n" s="2909">
        <v>380000</v>
      </c>
      <c r="DB13" s="2909" t="str">
        <f>IF($A13="","",IF($AE13&amp;""&lt;&gt;'DB_設定'!$C$4,"対象外",IF($AH13=20,IF(OR($AJ13=10,$AJ13=11,$AJ13=18),"①病院一般",IF($AJ13=41,"②病院短期","対象外")),IF($AH13=5,IF($AJ13=30,"③特定消防","対象外"),IF(OR($AJ13=10,$AJ13=11,$AJ13=74),"④一般",IF(OR($AJ13=41,$AJ13=47),"⑤短期","対象外"))))))</f>
        <v>③特定消防</v>
      </c>
    </row>
    <row r="14">
      <c r="A14" t="n" s="2909">
        <v>21</v>
      </c>
      <c r="AA14" t="n" s="2909">
        <v>21</v>
      </c>
      <c r="AB14" t="inlineStr" s="2909">
        <is>
          <t>19820701</t>
        </is>
      </c>
      <c r="AD14" t="n" s="2909">
        <v>11</v>
      </c>
      <c r="AE14" t="inlineStr" s="2909">
        <is>
          <t>20250401</t>
        </is>
      </c>
      <c r="AH14" t="n" s="2909">
        <v>5</v>
      </c>
      <c r="AJ14" t="n" s="2909">
        <v>30</v>
      </c>
      <c r="AP14" t="n" s="2909">
        <v>360000</v>
      </c>
      <c r="DB14" s="2909" t="str">
        <f>IF($A14="","",IF($AE14&amp;""&lt;&gt;'DB_設定'!$C$4,"対象外",IF($AH14=20,IF(OR($AJ14=10,$AJ14=11,$AJ14=18),"①病院一般",IF($AJ14=41,"②病院短期","対象外")),IF($AH14=5,IF($AJ14=30,"③特定消防","対象外"),IF(OR($AJ14=10,$AJ14=11,$AJ14=74),"④一般",IF(OR($AJ14=41,$AJ14=47),"⑤短期","対象外"))))))</f>
        <v>③特定消防</v>
      </c>
    </row>
    <row r="15">
      <c r="A15" t="n" s="2909">
        <v>21</v>
      </c>
      <c r="AA15" t="n" s="2909">
        <v>21</v>
      </c>
      <c r="AB15" t="inlineStr" s="2909">
        <is>
          <t>19820401</t>
        </is>
      </c>
      <c r="AD15" t="n" s="2909">
        <v>11</v>
      </c>
      <c r="AE15" t="inlineStr" s="2909">
        <is>
          <t>20250401</t>
        </is>
      </c>
      <c r="AH15" t="n" s="2909">
        <v>4</v>
      </c>
      <c r="AJ15" t="n" s="2909">
        <v>10</v>
      </c>
      <c r="AP15" t="n" s="2909">
        <v>360000</v>
      </c>
      <c r="DB15" s="2909" t="str">
        <f>IF($A15="","",IF($AE15&amp;""&lt;&gt;'DB_設定'!$C$4,"対象外",IF($AH15=20,IF(OR($AJ15=10,$AJ15=11,$AJ15=18),"①病院一般",IF($AJ15=41,"②病院短期","対象外")),IF($AH15=5,IF($AJ15=30,"③特定消防","対象外"),IF(OR($AJ15=10,$AJ15=11,$AJ15=74),"④一般",IF(OR($AJ15=41,$AJ15=47),"⑤短期","対象外"))))))</f>
        <v>④一般</v>
      </c>
    </row>
    <row r="16">
      <c r="A16" t="n" s="2909">
        <v>21</v>
      </c>
      <c r="AA16" t="n" s="2909">
        <v>21</v>
      </c>
      <c r="AB16" t="inlineStr" s="2909">
        <is>
          <t>19820401</t>
        </is>
      </c>
      <c r="AD16" t="n" s="2909">
        <v>11</v>
      </c>
      <c r="AE16" t="inlineStr" s="2909">
        <is>
          <t>20250401</t>
        </is>
      </c>
      <c r="AH16" t="n" s="2909">
        <v>4</v>
      </c>
      <c r="AJ16" t="n" s="2909">
        <v>10</v>
      </c>
      <c r="AP16" t="n" s="2909">
        <v>340000</v>
      </c>
      <c r="DB16" s="2909" t="str">
        <f>IF($A16="","",IF($AE16&amp;""&lt;&gt;'DB_設定'!$C$4,"対象外",IF($AH16=20,IF(OR($AJ16=10,$AJ16=11,$AJ16=18),"①病院一般",IF($AJ16=41,"②病院短期","対象外")),IF($AH16=5,IF($AJ16=30,"③特定消防","対象外"),IF(OR($AJ16=10,$AJ16=11,$AJ16=74),"④一般",IF(OR($AJ16=41,$AJ16=47),"⑤短期","対象外"))))))</f>
        <v>④一般</v>
      </c>
    </row>
    <row r="17">
      <c r="A17" t="n" s="2909">
        <v>21</v>
      </c>
      <c r="AA17" t="n" s="2909">
        <v>21</v>
      </c>
      <c r="AB17" t="inlineStr" s="2909">
        <is>
          <t>19820401</t>
        </is>
      </c>
      <c r="AD17" t="n" s="2909">
        <v>11</v>
      </c>
      <c r="AE17" t="inlineStr" s="2909">
        <is>
          <t>20250401</t>
        </is>
      </c>
      <c r="AH17" t="n" s="2909">
        <v>4</v>
      </c>
      <c r="AJ17" t="n" s="2909">
        <v>10</v>
      </c>
      <c r="AP17" t="n" s="2909">
        <v>340000</v>
      </c>
      <c r="DB17" s="2909" t="str">
        <f>IF($A17="","",IF($AE17&amp;""&lt;&gt;'DB_設定'!$C$4,"対象外",IF($AH17=20,IF(OR($AJ17=10,$AJ17=11,$AJ17=18),"①病院一般",IF($AJ17=41,"②病院短期","対象外")),IF($AH17=5,IF($AJ17=30,"③特定消防","対象外"),IF(OR($AJ17=10,$AJ17=11,$AJ17=74),"④一般",IF(OR($AJ17=41,$AJ17=47),"⑤短期","対象外"))))))</f>
        <v>④一般</v>
      </c>
    </row>
    <row r="18">
      <c r="A18" t="n" s="2909">
        <v>21</v>
      </c>
      <c r="AA18" t="n" s="2909">
        <v>21</v>
      </c>
      <c r="AB18" t="inlineStr" s="2909">
        <is>
          <t>19830401</t>
        </is>
      </c>
      <c r="AD18" t="n" s="2909">
        <v>12</v>
      </c>
      <c r="AE18" t="inlineStr" s="2909">
        <is>
          <t>20250401</t>
        </is>
      </c>
      <c r="AH18" t="n" s="2909">
        <v>5</v>
      </c>
      <c r="AJ18" t="n" s="2909">
        <v>10</v>
      </c>
      <c r="AP18" t="n" s="2909">
        <v>620000</v>
      </c>
      <c r="DB18" s="2909" t="str">
        <f>IF($A18="","",IF($AE18&amp;""&lt;&gt;'DB_設定'!$C$4,"対象外",IF($AH18=20,IF(OR($AJ18=10,$AJ18=11,$AJ18=18),"①病院一般",IF($AJ18=41,"②病院短期","対象外")),IF($AH18=5,IF($AJ18=30,"③特定消防","対象外"),IF(OR($AJ18=10,$AJ18=11,$AJ18=74),"④一般",IF(OR($AJ18=41,$AJ18=47),"⑤短期","対象外"))))))</f>
        <v>対象外</v>
      </c>
    </row>
    <row r="19">
      <c r="A19" t="n" s="2909">
        <v>21</v>
      </c>
      <c r="AA19" t="n" s="2909">
        <v>21</v>
      </c>
      <c r="AB19" t="inlineStr" s="2909">
        <is>
          <t>19830401</t>
        </is>
      </c>
      <c r="AD19" t="n" s="2909">
        <v>12</v>
      </c>
      <c r="AE19" t="inlineStr" s="2909">
        <is>
          <t>20250401</t>
        </is>
      </c>
      <c r="AH19" t="n" s="2909">
        <v>5</v>
      </c>
      <c r="AJ19" t="n" s="2909">
        <v>30</v>
      </c>
      <c r="AP19" t="n" s="2909">
        <v>560000</v>
      </c>
      <c r="DB19" s="2909" t="str">
        <f>IF($A19="","",IF($AE19&amp;""&lt;&gt;'DB_設定'!$C$4,"対象外",IF($AH19=20,IF(OR($AJ19=10,$AJ19=11,$AJ19=18),"①病院一般",IF($AJ19=41,"②病院短期","対象外")),IF($AH19=5,IF($AJ19=30,"③特定消防","対象外"),IF(OR($AJ19=10,$AJ19=11,$AJ19=74),"④一般",IF(OR($AJ19=41,$AJ19=47),"⑤短期","対象外"))))))</f>
        <v>③特定消防</v>
      </c>
    </row>
    <row r="20">
      <c r="A20" t="n" s="2909">
        <v>21</v>
      </c>
      <c r="AA20" t="n" s="2909">
        <v>21</v>
      </c>
      <c r="AB20" t="inlineStr" s="2909">
        <is>
          <t>19830401</t>
        </is>
      </c>
      <c r="AD20" t="n" s="2909">
        <v>12</v>
      </c>
      <c r="AE20" t="inlineStr" s="2909">
        <is>
          <t>20250401</t>
        </is>
      </c>
      <c r="AH20" t="n" s="2909">
        <v>5</v>
      </c>
      <c r="AJ20" t="n" s="2909">
        <v>30</v>
      </c>
      <c r="AP20" t="n" s="2909">
        <v>560000</v>
      </c>
      <c r="DB20" s="2909" t="str">
        <f>IF($A20="","",IF($AE20&amp;""&lt;&gt;'DB_設定'!$C$4,"対象外",IF($AH20=20,IF(OR($AJ20=10,$AJ20=11,$AJ20=18),"①病院一般",IF($AJ20=41,"②病院短期","対象外")),IF($AH20=5,IF($AJ20=30,"③特定消防","対象外"),IF(OR($AJ20=10,$AJ20=11,$AJ20=74),"④一般",IF(OR($AJ20=41,$AJ20=47),"⑤短期","対象外"))))))</f>
        <v>③特定消防</v>
      </c>
    </row>
    <row r="21">
      <c r="A21" t="n" s="2909">
        <v>21</v>
      </c>
      <c r="AA21" t="n" s="2909">
        <v>21</v>
      </c>
      <c r="AB21" t="inlineStr" s="2909">
        <is>
          <t>19830401</t>
        </is>
      </c>
      <c r="AD21" t="n" s="2909">
        <v>12</v>
      </c>
      <c r="AE21" t="inlineStr" s="2909">
        <is>
          <t>20250901</t>
        </is>
      </c>
      <c r="AH21" t="n" s="2909">
        <v>5</v>
      </c>
      <c r="AJ21" t="n" s="2909">
        <v>30</v>
      </c>
      <c r="AP21" t="n" s="2909">
        <v>320000</v>
      </c>
      <c r="DB21" s="2909" t="str">
        <f>IF($A21="","",IF($AE21&amp;""&lt;&gt;'DB_設定'!$C$4,"対象外",IF($AH21=20,IF(OR($AJ21=10,$AJ21=11,$AJ21=18),"①病院一般",IF($AJ21=41,"②病院短期","対象外")),IF($AH21=5,IF($AJ21=30,"③特定消防","対象外"),IF(OR($AJ21=10,$AJ21=11,$AJ21=74),"④一般",IF(OR($AJ21=41,$AJ21=47),"⑤短期","対象外"))))))</f>
        <v>対象外</v>
      </c>
    </row>
    <row r="22">
      <c r="A22" t="n" s="2909">
        <v>21</v>
      </c>
      <c r="AA22" t="n" s="2909">
        <v>21</v>
      </c>
      <c r="AB22" t="inlineStr" s="2909">
        <is>
          <t>19830401</t>
        </is>
      </c>
      <c r="AD22" t="n" s="2909">
        <v>12</v>
      </c>
      <c r="AE22" t="inlineStr" s="2909">
        <is>
          <t>20250401</t>
        </is>
      </c>
      <c r="AH22" t="n" s="2909">
        <v>5</v>
      </c>
      <c r="AJ22" t="n" s="2909">
        <v>10</v>
      </c>
      <c r="AP22" t="n" s="2909">
        <v>590000</v>
      </c>
      <c r="DB22" s="2909" t="str">
        <f>IF($A22="","",IF($AE22&amp;""&lt;&gt;'DB_設定'!$C$4,"対象外",IF($AH22=20,IF(OR($AJ22=10,$AJ22=11,$AJ22=18),"①病院一般",IF($AJ22=41,"②病院短期","対象外")),IF($AH22=5,IF($AJ22=30,"③特定消防","対象外"),IF(OR($AJ22=10,$AJ22=11,$AJ22=74),"④一般",IF(OR($AJ22=41,$AJ22=47),"⑤短期","対象外"))))))</f>
        <v>対象外</v>
      </c>
    </row>
    <row r="23">
      <c r="A23" t="n" s="2909">
        <v>21</v>
      </c>
      <c r="AA23" t="n" s="2909">
        <v>21</v>
      </c>
      <c r="AB23" t="inlineStr" s="2909">
        <is>
          <t>19830401</t>
        </is>
      </c>
      <c r="AD23" t="n" s="2909">
        <v>12</v>
      </c>
      <c r="AE23" t="inlineStr" s="2909">
        <is>
          <t>20250401</t>
        </is>
      </c>
      <c r="AH23" t="n" s="2909">
        <v>5</v>
      </c>
      <c r="AJ23" t="n" s="2909">
        <v>30</v>
      </c>
      <c r="AP23" t="n" s="2909">
        <v>590000</v>
      </c>
      <c r="DB23" s="2909" t="str">
        <f>IF($A23="","",IF($AE23&amp;""&lt;&gt;'DB_設定'!$C$4,"対象外",IF($AH23=20,IF(OR($AJ23=10,$AJ23=11,$AJ23=18),"①病院一般",IF($AJ23=41,"②病院短期","対象外")),IF($AH23=5,IF($AJ23=30,"③特定消防","対象外"),IF(OR($AJ23=10,$AJ23=11,$AJ23=74),"④一般",IF(OR($AJ23=41,$AJ23=47),"⑤短期","対象外"))))))</f>
        <v>③特定消防</v>
      </c>
    </row>
    <row r="24">
      <c r="A24" t="n" s="2909">
        <v>21</v>
      </c>
      <c r="AA24" t="n" s="2909">
        <v>21</v>
      </c>
      <c r="AB24" t="inlineStr" s="2909">
        <is>
          <t>19830401</t>
        </is>
      </c>
      <c r="AD24" t="n" s="2909">
        <v>11</v>
      </c>
      <c r="AE24" t="inlineStr" s="2909">
        <is>
          <t>20250401</t>
        </is>
      </c>
      <c r="AH24" t="n" s="2909">
        <v>5</v>
      </c>
      <c r="AJ24" t="n" s="2909">
        <v>30</v>
      </c>
      <c r="AP24" t="n" s="2909">
        <v>410000</v>
      </c>
      <c r="DB24" s="2909" t="str">
        <f>IF($A24="","",IF($AE24&amp;""&lt;&gt;'DB_設定'!$C$4,"対象外",IF($AH24=20,IF(OR($AJ24=10,$AJ24=11,$AJ24=18),"①病院一般",IF($AJ24=41,"②病院短期","対象外")),IF($AH24=5,IF($AJ24=30,"③特定消防","対象外"),IF(OR($AJ24=10,$AJ24=11,$AJ24=74),"④一般",IF(OR($AJ24=41,$AJ24=47),"⑤短期","対象外"))))))</f>
        <v>③特定消防</v>
      </c>
    </row>
    <row r="25">
      <c r="A25" t="n" s="2909">
        <v>21</v>
      </c>
      <c r="AA25" t="n" s="2909">
        <v>21</v>
      </c>
      <c r="AB25" t="inlineStr" s="2909">
        <is>
          <t>19831001</t>
        </is>
      </c>
      <c r="AD25" t="n" s="2909">
        <v>12</v>
      </c>
      <c r="AE25" t="inlineStr" s="2909">
        <is>
          <t>20250401</t>
        </is>
      </c>
      <c r="AH25" t="n" s="2909">
        <v>5</v>
      </c>
      <c r="AJ25" t="n" s="2909">
        <v>10</v>
      </c>
      <c r="AP25" t="n" s="2909">
        <v>650000</v>
      </c>
      <c r="DB25" s="2909" t="str">
        <f>IF($A25="","",IF($AE25&amp;""&lt;&gt;'DB_設定'!$C$4,"対象外",IF($AH25=20,IF(OR($AJ25=10,$AJ25=11,$AJ25=18),"①病院一般",IF($AJ25=41,"②病院短期","対象外")),IF($AH25=5,IF($AJ25=30,"③特定消防","対象外"),IF(OR($AJ25=10,$AJ25=11,$AJ25=74),"④一般",IF(OR($AJ25=41,$AJ25=47),"⑤短期","対象外"))))))</f>
        <v>対象外</v>
      </c>
    </row>
    <row r="26">
      <c r="A26" t="n" s="2909">
        <v>21</v>
      </c>
      <c r="AA26" t="n" s="2909">
        <v>21</v>
      </c>
      <c r="AB26" t="inlineStr" s="2909">
        <is>
          <t>19830401</t>
        </is>
      </c>
      <c r="AD26" t="n" s="2909">
        <v>12</v>
      </c>
      <c r="AE26" t="inlineStr" s="2909">
        <is>
          <t>20250401</t>
        </is>
      </c>
      <c r="AH26" t="n" s="2909">
        <v>11</v>
      </c>
      <c r="AJ26" t="n" s="2909">
        <v>10</v>
      </c>
      <c r="AP26" t="n" s="2909">
        <v>410000</v>
      </c>
      <c r="DB26" s="2909" t="str">
        <f>IF($A26="","",IF($AE26&amp;""&lt;&gt;'DB_設定'!$C$4,"対象外",IF($AH26=20,IF(OR($AJ26=10,$AJ26=11,$AJ26=18),"①病院一般",IF($AJ26=41,"②病院短期","対象外")),IF($AH26=5,IF($AJ26=30,"③特定消防","対象外"),IF(OR($AJ26=10,$AJ26=11,$AJ26=74),"④一般",IF(OR($AJ26=41,$AJ26=47),"⑤短期","対象外"))))))</f>
        <v>④一般</v>
      </c>
    </row>
    <row r="27">
      <c r="A27" t="n" s="2909">
        <v>21</v>
      </c>
      <c r="AA27" t="n" s="2909">
        <v>21</v>
      </c>
      <c r="AB27" t="inlineStr" s="2909">
        <is>
          <t>19830401</t>
        </is>
      </c>
      <c r="AD27" t="n" s="2909">
        <v>11</v>
      </c>
      <c r="AE27" t="inlineStr" s="2909">
        <is>
          <t>20250401</t>
        </is>
      </c>
      <c r="AH27" t="n" s="2909">
        <v>1</v>
      </c>
      <c r="AJ27" t="n" s="2909">
        <v>10</v>
      </c>
      <c r="AP27" t="n" s="2909">
        <v>360000</v>
      </c>
      <c r="DB27" s="2909" t="str">
        <f>IF($A27="","",IF($AE27&amp;""&lt;&gt;'DB_設定'!$C$4,"対象外",IF($AH27=20,IF(OR($AJ27=10,$AJ27=11,$AJ27=18),"①病院一般",IF($AJ27=41,"②病院短期","対象外")),IF($AH27=5,IF($AJ27=30,"③特定消防","対象外"),IF(OR($AJ27=10,$AJ27=11,$AJ27=74),"④一般",IF(OR($AJ27=41,$AJ27=47),"⑤短期","対象外"))))))</f>
        <v>④一般</v>
      </c>
    </row>
    <row r="28">
      <c r="A28" t="n" s="2909">
        <v>21</v>
      </c>
      <c r="AA28" t="n" s="2909">
        <v>21</v>
      </c>
      <c r="AB28" t="inlineStr" s="2909">
        <is>
          <t>19830401</t>
        </is>
      </c>
      <c r="AD28" t="n" s="2909">
        <v>12</v>
      </c>
      <c r="AE28" t="inlineStr" s="2909">
        <is>
          <t>20250401</t>
        </is>
      </c>
      <c r="AH28" t="n" s="2909">
        <v>1</v>
      </c>
      <c r="AJ28" t="n" s="2909">
        <v>10</v>
      </c>
      <c r="AP28" t="n" s="2909">
        <v>710000</v>
      </c>
      <c r="DB28" s="2909" t="str">
        <f>IF($A28="","",IF($AE28&amp;""&lt;&gt;'DB_設定'!$C$4,"対象外",IF($AH28=20,IF(OR($AJ28=10,$AJ28=11,$AJ28=18),"①病院一般",IF($AJ28=41,"②病院短期","対象外")),IF($AH28=5,IF($AJ28=30,"③特定消防","対象外"),IF(OR($AJ28=10,$AJ28=11,$AJ28=74),"④一般",IF(OR($AJ28=41,$AJ28=47),"⑤短期","対象外"))))))</f>
        <v>④一般</v>
      </c>
    </row>
    <row r="29">
      <c r="A29" t="n" s="2909">
        <v>21</v>
      </c>
      <c r="AA29" t="n" s="2909">
        <v>21</v>
      </c>
      <c r="AB29" t="inlineStr" s="2909">
        <is>
          <t>19830401</t>
        </is>
      </c>
      <c r="AD29" t="n" s="2909">
        <v>12</v>
      </c>
      <c r="AE29" t="inlineStr" s="2909">
        <is>
          <t>20250401</t>
        </is>
      </c>
      <c r="AH29" t="n" s="2909">
        <v>1</v>
      </c>
      <c r="AJ29" t="n" s="2909">
        <v>10</v>
      </c>
      <c r="AP29" t="n" s="2909">
        <v>470000</v>
      </c>
      <c r="DB29" s="2909" t="str">
        <f>IF($A29="","",IF($AE29&amp;""&lt;&gt;'DB_設定'!$C$4,"対象外",IF($AH29=20,IF(OR($AJ29=10,$AJ29=11,$AJ29=18),"①病院一般",IF($AJ29=41,"②病院短期","対象外")),IF($AH29=5,IF($AJ29=30,"③特定消防","対象外"),IF(OR($AJ29=10,$AJ29=11,$AJ29=74),"④一般",IF(OR($AJ29=41,$AJ29=47),"⑤短期","対象外"))))))</f>
        <v>④一般</v>
      </c>
    </row>
    <row r="30">
      <c r="A30" t="n" s="2909">
        <v>21</v>
      </c>
      <c r="AA30" t="n" s="2909">
        <v>21</v>
      </c>
      <c r="AB30" t="inlineStr" s="2909">
        <is>
          <t>19830401</t>
        </is>
      </c>
      <c r="AD30" t="n" s="2909">
        <v>12</v>
      </c>
      <c r="AE30" t="inlineStr" s="2909">
        <is>
          <t>20250401</t>
        </is>
      </c>
      <c r="AH30" t="n" s="2909">
        <v>11</v>
      </c>
      <c r="AJ30" t="n" s="2909">
        <v>10</v>
      </c>
      <c r="AP30" t="n" s="2909">
        <v>470000</v>
      </c>
      <c r="DB30" s="2909" t="str">
        <f>IF($A30="","",IF($AE30&amp;""&lt;&gt;'DB_設定'!$C$4,"対象外",IF($AH30=20,IF(OR($AJ30=10,$AJ30=11,$AJ30=18),"①病院一般",IF($AJ30=41,"②病院短期","対象外")),IF($AH30=5,IF($AJ30=30,"③特定消防","対象外"),IF(OR($AJ30=10,$AJ30=11,$AJ30=74),"④一般",IF(OR($AJ30=41,$AJ30=47),"⑤短期","対象外"))))))</f>
        <v>④一般</v>
      </c>
    </row>
    <row r="31">
      <c r="A31" t="n" s="2909">
        <v>21</v>
      </c>
      <c r="AA31" t="n" s="2909">
        <v>21</v>
      </c>
      <c r="AB31" t="inlineStr" s="2909">
        <is>
          <t>19830401</t>
        </is>
      </c>
      <c r="AD31" t="n" s="2909">
        <v>12</v>
      </c>
      <c r="AE31" t="inlineStr" s="2909">
        <is>
          <t>20250401</t>
        </is>
      </c>
      <c r="AH31" t="n" s="2909">
        <v>1</v>
      </c>
      <c r="AJ31" t="n" s="2909">
        <v>10</v>
      </c>
      <c r="AP31" t="n" s="2909">
        <v>590000</v>
      </c>
      <c r="DB31" s="2909" t="str">
        <f>IF($A31="","",IF($AE31&amp;""&lt;&gt;'DB_設定'!$C$4,"対象外",IF($AH31=20,IF(OR($AJ31=10,$AJ31=11,$AJ31=18),"①病院一般",IF($AJ31=41,"②病院短期","対象外")),IF($AH31=5,IF($AJ31=30,"③特定消防","対象外"),IF(OR($AJ31=10,$AJ31=11,$AJ31=74),"④一般",IF(OR($AJ31=41,$AJ31=47),"⑤短期","対象外"))))))</f>
        <v>④一般</v>
      </c>
    </row>
    <row r="32">
      <c r="A32" t="n" s="2909">
        <v>21</v>
      </c>
      <c r="AA32" t="n" s="2909">
        <v>21</v>
      </c>
      <c r="AB32" t="inlineStr" s="2909">
        <is>
          <t>19830401</t>
        </is>
      </c>
      <c r="AD32" t="n" s="2909">
        <v>12</v>
      </c>
      <c r="AE32" t="inlineStr" s="2909">
        <is>
          <t>20250401</t>
        </is>
      </c>
      <c r="AH32" t="n" s="2909">
        <v>1</v>
      </c>
      <c r="AJ32" t="n" s="2909">
        <v>10</v>
      </c>
      <c r="AP32" t="n" s="2909">
        <v>560000</v>
      </c>
      <c r="DB32" s="2909" t="str">
        <f>IF($A32="","",IF($AE32&amp;""&lt;&gt;'DB_設定'!$C$4,"対象外",IF($AH32=20,IF(OR($AJ32=10,$AJ32=11,$AJ32=18),"①病院一般",IF($AJ32=41,"②病院短期","対象外")),IF($AH32=5,IF($AJ32=30,"③特定消防","対象外"),IF(OR($AJ32=10,$AJ32=11,$AJ32=74),"④一般",IF(OR($AJ32=41,$AJ32=47),"⑤短期","対象外"))))))</f>
        <v>④一般</v>
      </c>
    </row>
    <row r="33">
      <c r="A33" t="n" s="2909">
        <v>21</v>
      </c>
      <c r="AA33" t="n" s="2909">
        <v>21</v>
      </c>
      <c r="AB33" t="inlineStr" s="2909">
        <is>
          <t>19830401</t>
        </is>
      </c>
      <c r="AD33" t="n" s="2909">
        <v>12</v>
      </c>
      <c r="AE33" t="inlineStr" s="2909">
        <is>
          <t>20250401</t>
        </is>
      </c>
      <c r="AH33" t="n" s="2909">
        <v>1</v>
      </c>
      <c r="AJ33" t="n" s="2909">
        <v>10</v>
      </c>
      <c r="AP33" t="n" s="2909">
        <v>560000</v>
      </c>
      <c r="DB33" s="2909" t="str">
        <f>IF($A33="","",IF($AE33&amp;""&lt;&gt;'DB_設定'!$C$4,"対象外",IF($AH33=20,IF(OR($AJ33=10,$AJ33=11,$AJ33=18),"①病院一般",IF($AJ33=41,"②病院短期","対象外")),IF($AH33=5,IF($AJ33=30,"③特定消防","対象外"),IF(OR($AJ33=10,$AJ33=11,$AJ33=74),"④一般",IF(OR($AJ33=41,$AJ33=47),"⑤短期","対象外"))))))</f>
        <v>④一般</v>
      </c>
    </row>
    <row r="34">
      <c r="A34" t="n" s="2909">
        <v>21</v>
      </c>
      <c r="AA34" t="n" s="2909">
        <v>21</v>
      </c>
      <c r="AB34" t="inlineStr" s="2909">
        <is>
          <t>19830401</t>
        </is>
      </c>
      <c r="AD34" t="n" s="2909">
        <v>12</v>
      </c>
      <c r="AE34" t="inlineStr" s="2909">
        <is>
          <t>20250401</t>
        </is>
      </c>
      <c r="AH34" t="n" s="2909">
        <v>1</v>
      </c>
      <c r="AJ34" t="n" s="2909">
        <v>10</v>
      </c>
      <c r="AP34" t="n" s="2909">
        <v>620000</v>
      </c>
      <c r="DB34" s="2909" t="str">
        <f>IF($A34="","",IF($AE34&amp;""&lt;&gt;'DB_設定'!$C$4,"対象外",IF($AH34=20,IF(OR($AJ34=10,$AJ34=11,$AJ34=18),"①病院一般",IF($AJ34=41,"②病院短期","対象外")),IF($AH34=5,IF($AJ34=30,"③特定消防","対象外"),IF(OR($AJ34=10,$AJ34=11,$AJ34=74),"④一般",IF(OR($AJ34=41,$AJ34=47),"⑤短期","対象外"))))))</f>
        <v>④一般</v>
      </c>
    </row>
    <row r="35">
      <c r="A35" t="n" s="2909">
        <v>21</v>
      </c>
      <c r="AA35" t="n" s="2909">
        <v>21</v>
      </c>
      <c r="AB35" t="inlineStr" s="2909">
        <is>
          <t>19830401</t>
        </is>
      </c>
      <c r="AD35" t="n" s="2909">
        <v>12</v>
      </c>
      <c r="AE35" t="inlineStr" s="2909">
        <is>
          <t>20250401</t>
        </is>
      </c>
      <c r="AH35" t="n" s="2909">
        <v>1</v>
      </c>
      <c r="AJ35" t="n" s="2909">
        <v>10</v>
      </c>
      <c r="AP35" t="n" s="2909">
        <v>650000</v>
      </c>
      <c r="DB35" s="2909" t="str">
        <f>IF($A35="","",IF($AE35&amp;""&lt;&gt;'DB_設定'!$C$4,"対象外",IF($AH35=20,IF(OR($AJ35=10,$AJ35=11,$AJ35=18),"①病院一般",IF($AJ35=41,"②病院短期","対象外")),IF($AH35=5,IF($AJ35=30,"③特定消防","対象外"),IF(OR($AJ35=10,$AJ35=11,$AJ35=74),"④一般",IF(OR($AJ35=41,$AJ35=47),"⑤短期","対象外"))))))</f>
        <v>④一般</v>
      </c>
    </row>
    <row r="36">
      <c r="A36" t="n" s="2909">
        <v>21</v>
      </c>
      <c r="AA36" t="n" s="2909">
        <v>21</v>
      </c>
      <c r="AB36" t="inlineStr" s="2909">
        <is>
          <t>19840901</t>
        </is>
      </c>
      <c r="AD36" t="n" s="2909">
        <v>12</v>
      </c>
      <c r="AE36" t="inlineStr" s="2909">
        <is>
          <t>20250401</t>
        </is>
      </c>
      <c r="AH36" t="n" s="2909">
        <v>20</v>
      </c>
      <c r="AJ36" t="n" s="2909">
        <v>10</v>
      </c>
      <c r="AP36" t="n" s="2909">
        <v>340000</v>
      </c>
      <c r="DB36" s="2909" t="str">
        <f>IF($A36="","",IF($AE36&amp;""&lt;&gt;'DB_設定'!$C$4,"対象外",IF($AH36=20,IF(OR($AJ36=10,$AJ36=11,$AJ36=18),"①病院一般",IF($AJ36=41,"②病院短期","対象外")),IF($AH36=5,IF($AJ36=30,"③特定消防","対象外"),IF(OR($AJ36=10,$AJ36=11,$AJ36=74),"④一般",IF(OR($AJ36=41,$AJ36=47),"⑤短期","対象外"))))))</f>
        <v>①病院一般</v>
      </c>
    </row>
    <row r="37">
      <c r="A37" t="n" s="2909">
        <v>21</v>
      </c>
      <c r="AA37" t="n" s="2909">
        <v>21</v>
      </c>
      <c r="AB37" t="inlineStr" s="2909">
        <is>
          <t>19840401</t>
        </is>
      </c>
      <c r="AD37" t="n" s="2909">
        <v>11</v>
      </c>
      <c r="AE37" t="inlineStr" s="2909">
        <is>
          <t>20250401</t>
        </is>
      </c>
      <c r="AH37" t="n" s="2909">
        <v>5</v>
      </c>
      <c r="AJ37" t="n" s="2909">
        <v>30</v>
      </c>
      <c r="AP37" t="n" s="2909">
        <v>410000</v>
      </c>
      <c r="DB37" s="2909" t="str">
        <f>IF($A37="","",IF($AE37&amp;""&lt;&gt;'DB_設定'!$C$4,"対象外",IF($AH37=20,IF(OR($AJ37=10,$AJ37=11,$AJ37=18),"①病院一般",IF($AJ37=41,"②病院短期","対象外")),IF($AH37=5,IF($AJ37=30,"③特定消防","対象外"),IF(OR($AJ37=10,$AJ37=11,$AJ37=74),"④一般",IF(OR($AJ37=41,$AJ37=47),"⑤短期","対象外"))))))</f>
        <v>③特定消防</v>
      </c>
    </row>
    <row r="38">
      <c r="A38" t="n" s="2909">
        <v>21</v>
      </c>
      <c r="AA38" t="n" s="2909">
        <v>21</v>
      </c>
      <c r="AB38" t="inlineStr" s="2909">
        <is>
          <t>19840401</t>
        </is>
      </c>
      <c r="AD38" t="n" s="2909">
        <v>12</v>
      </c>
      <c r="AE38" t="inlineStr" s="2909">
        <is>
          <t>20250401</t>
        </is>
      </c>
      <c r="AH38" t="n" s="2909">
        <v>5</v>
      </c>
      <c r="AJ38" t="n" s="2909">
        <v>30</v>
      </c>
      <c r="AP38" t="n" s="2909">
        <v>530000</v>
      </c>
      <c r="DB38" s="2909" t="str">
        <f>IF($A38="","",IF($AE38&amp;""&lt;&gt;'DB_設定'!$C$4,"対象外",IF($AH38=20,IF(OR($AJ38=10,$AJ38=11,$AJ38=18),"①病院一般",IF($AJ38=41,"②病院短期","対象外")),IF($AH38=5,IF($AJ38=30,"③特定消防","対象外"),IF(OR($AJ38=10,$AJ38=11,$AJ38=74),"④一般",IF(OR($AJ38=41,$AJ38=47),"⑤短期","対象外"))))))</f>
        <v>③特定消防</v>
      </c>
    </row>
    <row r="39">
      <c r="A39" t="n" s="2909">
        <v>21</v>
      </c>
      <c r="AA39" t="n" s="2909">
        <v>21</v>
      </c>
      <c r="AB39" t="inlineStr" s="2909">
        <is>
          <t>19850320</t>
        </is>
      </c>
      <c r="AD39" t="n" s="2909">
        <v>12</v>
      </c>
      <c r="AE39" t="inlineStr" s="2909">
        <is>
          <t>20250401</t>
        </is>
      </c>
      <c r="AH39" t="n" s="2909">
        <v>5</v>
      </c>
      <c r="AJ39" t="n" s="2909">
        <v>10</v>
      </c>
      <c r="AP39" t="n" s="2909">
        <v>650000</v>
      </c>
      <c r="DB39" s="2909" t="str">
        <f>IF($A39="","",IF($AE39&amp;""&lt;&gt;'DB_設定'!$C$4,"対象外",IF($AH39=20,IF(OR($AJ39=10,$AJ39=11,$AJ39=18),"①病院一般",IF($AJ39=41,"②病院短期","対象外")),IF($AH39=5,IF($AJ39=30,"③特定消防","対象外"),IF(OR($AJ39=10,$AJ39=11,$AJ39=74),"④一般",IF(OR($AJ39=41,$AJ39=47),"⑤短期","対象外"))))))</f>
        <v>対象外</v>
      </c>
    </row>
    <row r="40">
      <c r="A40" t="n" s="2909">
        <v>21</v>
      </c>
      <c r="AA40" t="n" s="2909">
        <v>21</v>
      </c>
      <c r="AB40" t="inlineStr" s="2909">
        <is>
          <t>19850320</t>
        </is>
      </c>
      <c r="AD40" t="n" s="2909">
        <v>12</v>
      </c>
      <c r="AE40" t="inlineStr" s="2909">
        <is>
          <t>20250401</t>
        </is>
      </c>
      <c r="AH40" t="n" s="2909">
        <v>5</v>
      </c>
      <c r="AJ40" t="n" s="2909">
        <v>10</v>
      </c>
      <c r="AP40" t="n" s="2909">
        <v>650000</v>
      </c>
      <c r="DB40" s="2909" t="str">
        <f>IF($A40="","",IF($AE40&amp;""&lt;&gt;'DB_設定'!$C$4,"対象外",IF($AH40=20,IF(OR($AJ40=10,$AJ40=11,$AJ40=18),"①病院一般",IF($AJ40=41,"②病院短期","対象外")),IF($AH40=5,IF($AJ40=30,"③特定消防","対象外"),IF(OR($AJ40=10,$AJ40=11,$AJ40=74),"④一般",IF(OR($AJ40=41,$AJ40=47),"⑤短期","対象外"))))))</f>
        <v>対象外</v>
      </c>
    </row>
    <row r="41">
      <c r="A41" t="n" s="2909">
        <v>21</v>
      </c>
      <c r="AA41" t="n" s="2909">
        <v>21</v>
      </c>
      <c r="AB41" t="inlineStr" s="2909">
        <is>
          <t>19850320</t>
        </is>
      </c>
      <c r="AD41" t="n" s="2909">
        <v>11</v>
      </c>
      <c r="AE41" t="inlineStr" s="2909">
        <is>
          <t>20250401</t>
        </is>
      </c>
      <c r="AH41" t="n" s="2909">
        <v>5</v>
      </c>
      <c r="AJ41" t="n" s="2909">
        <v>30</v>
      </c>
      <c r="AP41" t="n" s="2909">
        <v>340000</v>
      </c>
      <c r="DB41" s="2909" t="str">
        <f>IF($A41="","",IF($AE41&amp;""&lt;&gt;'DB_設定'!$C$4,"対象外",IF($AH41=20,IF(OR($AJ41=10,$AJ41=11,$AJ41=18),"①病院一般",IF($AJ41=41,"②病院短期","対象外")),IF($AH41=5,IF($AJ41=30,"③特定消防","対象外"),IF(OR($AJ41=10,$AJ41=11,$AJ41=74),"④一般",IF(OR($AJ41=41,$AJ41=47),"⑤短期","対象外"))))))</f>
        <v>③特定消防</v>
      </c>
    </row>
    <row r="42">
      <c r="A42" t="n" s="2909">
        <v>21</v>
      </c>
      <c r="AA42" t="n" s="2909">
        <v>21</v>
      </c>
      <c r="AB42" t="inlineStr" s="2909">
        <is>
          <t>19850320</t>
        </is>
      </c>
      <c r="AD42" t="n" s="2909">
        <v>11</v>
      </c>
      <c r="AE42" t="inlineStr" s="2909">
        <is>
          <t>20250401</t>
        </is>
      </c>
      <c r="AH42" t="n" s="2909">
        <v>5</v>
      </c>
      <c r="AJ42" t="n" s="2909">
        <v>30</v>
      </c>
      <c r="AP42" t="n" s="2909">
        <v>380000</v>
      </c>
      <c r="DB42" s="2909" t="str">
        <f>IF($A42="","",IF($AE42&amp;""&lt;&gt;'DB_設定'!$C$4,"対象外",IF($AH42=20,IF(OR($AJ42=10,$AJ42=11,$AJ42=18),"①病院一般",IF($AJ42=41,"②病院短期","対象外")),IF($AH42=5,IF($AJ42=30,"③特定消防","対象外"),IF(OR($AJ42=10,$AJ42=11,$AJ42=74),"④一般",IF(OR($AJ42=41,$AJ42=47),"⑤短期","対象外"))))))</f>
        <v>③特定消防</v>
      </c>
    </row>
    <row r="43">
      <c r="A43" t="n" s="2909">
        <v>21</v>
      </c>
      <c r="AA43" t="n" s="2909">
        <v>21</v>
      </c>
      <c r="AB43" t="inlineStr" s="2909">
        <is>
          <t>19850320</t>
        </is>
      </c>
      <c r="AD43" t="n" s="2909">
        <v>12</v>
      </c>
      <c r="AE43" t="inlineStr" s="2909">
        <is>
          <t>20250401</t>
        </is>
      </c>
      <c r="AH43" t="n" s="2909">
        <v>5</v>
      </c>
      <c r="AJ43" t="n" s="2909">
        <v>10</v>
      </c>
      <c r="AP43" t="n" s="2909">
        <v>560000</v>
      </c>
      <c r="DB43" s="2909" t="str">
        <f>IF($A43="","",IF($AE43&amp;""&lt;&gt;'DB_設定'!$C$4,"対象外",IF($AH43=20,IF(OR($AJ43=10,$AJ43=11,$AJ43=18),"①病院一般",IF($AJ43=41,"②病院短期","対象外")),IF($AH43=5,IF($AJ43=30,"③特定消防","対象外"),IF(OR($AJ43=10,$AJ43=11,$AJ43=74),"④一般",IF(OR($AJ43=41,$AJ43=47),"⑤短期","対象外"))))))</f>
        <v>対象外</v>
      </c>
    </row>
    <row r="44">
      <c r="A44" t="n" s="2909">
        <v>21</v>
      </c>
      <c r="AA44" t="n" s="2909">
        <v>21</v>
      </c>
      <c r="AB44" t="inlineStr" s="2909">
        <is>
          <t>19840401</t>
        </is>
      </c>
      <c r="AD44" t="n" s="2909">
        <v>11</v>
      </c>
      <c r="AE44" t="inlineStr" s="2909">
        <is>
          <t>20250401</t>
        </is>
      </c>
      <c r="AH44" t="n" s="2909">
        <v>1</v>
      </c>
      <c r="AJ44" t="n" s="2909">
        <v>10</v>
      </c>
      <c r="AP44" t="n" s="2909">
        <v>360000</v>
      </c>
      <c r="DB44" s="2909" t="str">
        <f>IF($A44="","",IF($AE44&amp;""&lt;&gt;'DB_設定'!$C$4,"対象外",IF($AH44=20,IF(OR($AJ44=10,$AJ44=11,$AJ44=18),"①病院一般",IF($AJ44=41,"②病院短期","対象外")),IF($AH44=5,IF($AJ44=30,"③特定消防","対象外"),IF(OR($AJ44=10,$AJ44=11,$AJ44=74),"④一般",IF(OR($AJ44=41,$AJ44=47),"⑤短期","対象外"))))))</f>
        <v>④一般</v>
      </c>
    </row>
    <row r="45">
      <c r="A45" t="n" s="2909">
        <v>21</v>
      </c>
      <c r="AA45" t="n" s="2909">
        <v>21</v>
      </c>
      <c r="AB45" t="inlineStr" s="2909">
        <is>
          <t>19840401</t>
        </is>
      </c>
      <c r="AD45" t="n" s="2909">
        <v>11</v>
      </c>
      <c r="AE45" t="inlineStr" s="2909">
        <is>
          <t>20250401</t>
        </is>
      </c>
      <c r="AH45" t="n" s="2909">
        <v>1</v>
      </c>
      <c r="AJ45" t="n" s="2909">
        <v>10</v>
      </c>
      <c r="AP45" t="n" s="2909">
        <v>440000</v>
      </c>
      <c r="DB45" s="2909" t="str">
        <f>IF($A45="","",IF($AE45&amp;""&lt;&gt;'DB_設定'!$C$4,"対象外",IF($AH45=20,IF(OR($AJ45=10,$AJ45=11,$AJ45=18),"①病院一般",IF($AJ45=41,"②病院短期","対象外")),IF($AH45=5,IF($AJ45=30,"③特定消防","対象外"),IF(OR($AJ45=10,$AJ45=11,$AJ45=74),"④一般",IF(OR($AJ45=41,$AJ45=47),"⑤短期","対象外"))))))</f>
        <v>④一般</v>
      </c>
    </row>
    <row r="46">
      <c r="A46" t="n" s="2909">
        <v>21</v>
      </c>
      <c r="AA46" t="n" s="2909">
        <v>21</v>
      </c>
      <c r="AB46" t="inlineStr" s="2909">
        <is>
          <t>19840401</t>
        </is>
      </c>
      <c r="AD46" t="n" s="2909">
        <v>12</v>
      </c>
      <c r="AE46" t="inlineStr" s="2909">
        <is>
          <t>20250401</t>
        </is>
      </c>
      <c r="AH46" t="n" s="2909">
        <v>1</v>
      </c>
      <c r="AJ46" t="n" s="2909">
        <v>10</v>
      </c>
      <c r="AP46" t="n" s="2909">
        <v>560000</v>
      </c>
      <c r="DB46" s="2909" t="str">
        <f>IF($A46="","",IF($AE46&amp;""&lt;&gt;'DB_設定'!$C$4,"対象外",IF($AH46=20,IF(OR($AJ46=10,$AJ46=11,$AJ46=18),"①病院一般",IF($AJ46=41,"②病院短期","対象外")),IF($AH46=5,IF($AJ46=30,"③特定消防","対象外"),IF(OR($AJ46=10,$AJ46=11,$AJ46=74),"④一般",IF(OR($AJ46=41,$AJ46=47),"⑤短期","対象外"))))))</f>
        <v>④一般</v>
      </c>
    </row>
    <row r="47">
      <c r="A47" t="n" s="2909">
        <v>21</v>
      </c>
      <c r="AA47" t="n" s="2909">
        <v>21</v>
      </c>
      <c r="AB47" t="inlineStr" s="2909">
        <is>
          <t>19840401</t>
        </is>
      </c>
      <c r="AD47" t="n" s="2909">
        <v>11</v>
      </c>
      <c r="AE47" t="inlineStr" s="2909">
        <is>
          <t>20250401</t>
        </is>
      </c>
      <c r="AH47" t="n" s="2909">
        <v>4</v>
      </c>
      <c r="AJ47" t="n" s="2909">
        <v>10</v>
      </c>
      <c r="AP47" t="n" s="2909">
        <v>340000</v>
      </c>
      <c r="DB47" s="2909" t="str">
        <f>IF($A47="","",IF($AE47&amp;""&lt;&gt;'DB_設定'!$C$4,"対象外",IF($AH47=20,IF(OR($AJ47=10,$AJ47=11,$AJ47=18),"①病院一般",IF($AJ47=41,"②病院短期","対象外")),IF($AH47=5,IF($AJ47=30,"③特定消防","対象外"),IF(OR($AJ47=10,$AJ47=11,$AJ47=74),"④一般",IF(OR($AJ47=41,$AJ47=47),"⑤短期","対象外"))))))</f>
        <v>④一般</v>
      </c>
    </row>
    <row r="48">
      <c r="A48" t="n" s="2909">
        <v>21</v>
      </c>
      <c r="AA48" t="n" s="2909">
        <v>21</v>
      </c>
      <c r="AB48" t="inlineStr" s="2909">
        <is>
          <t>19840401</t>
        </is>
      </c>
      <c r="AD48" t="n" s="2909">
        <v>11</v>
      </c>
      <c r="AE48" t="inlineStr" s="2909">
        <is>
          <t>20250401</t>
        </is>
      </c>
      <c r="AH48" t="n" s="2909">
        <v>1</v>
      </c>
      <c r="AJ48" t="n" s="2909">
        <v>10</v>
      </c>
      <c r="AP48" t="n" s="2909">
        <v>340000</v>
      </c>
      <c r="DB48" s="2909" t="str">
        <f>IF($A48="","",IF($AE48&amp;""&lt;&gt;'DB_設定'!$C$4,"対象外",IF($AH48=20,IF(OR($AJ48=10,$AJ48=11,$AJ48=18),"①病院一般",IF($AJ48=41,"②病院短期","対象外")),IF($AH48=5,IF($AJ48=30,"③特定消防","対象外"),IF(OR($AJ48=10,$AJ48=11,$AJ48=74),"④一般",IF(OR($AJ48=41,$AJ48=47),"⑤短期","対象外"))))))</f>
        <v>④一般</v>
      </c>
    </row>
    <row r="49">
      <c r="A49" t="n" s="2909">
        <v>21</v>
      </c>
      <c r="AA49" t="n" s="2909">
        <v>21</v>
      </c>
      <c r="AB49" t="inlineStr" s="2909">
        <is>
          <t>19840701</t>
        </is>
      </c>
      <c r="AD49" t="n" s="2909">
        <v>11</v>
      </c>
      <c r="AE49" t="inlineStr" s="2909">
        <is>
          <t>20250401</t>
        </is>
      </c>
      <c r="AH49" t="n" s="2909">
        <v>1</v>
      </c>
      <c r="AJ49" t="n" s="2909">
        <v>10</v>
      </c>
      <c r="AP49" t="n" s="2909">
        <v>340000</v>
      </c>
      <c r="DB49" s="2909" t="str">
        <f>IF($A49="","",IF($AE49&amp;""&lt;&gt;'DB_設定'!$C$4,"対象外",IF($AH49=20,IF(OR($AJ49=10,$AJ49=11,$AJ49=18),"①病院一般",IF($AJ49=41,"②病院短期","対象外")),IF($AH49=5,IF($AJ49=30,"③特定消防","対象外"),IF(OR($AJ49=10,$AJ49=11,$AJ49=74),"④一般",IF(OR($AJ49=41,$AJ49=47),"⑤短期","対象外"))))))</f>
        <v>④一般</v>
      </c>
    </row>
    <row r="50">
      <c r="A50" t="n" s="2909">
        <v>21</v>
      </c>
      <c r="AA50" t="n" s="2909">
        <v>24</v>
      </c>
      <c r="AB50" t="inlineStr" s="2909">
        <is>
          <t>20120401</t>
        </is>
      </c>
      <c r="AD50" t="n" s="2909">
        <v>12</v>
      </c>
      <c r="AE50" t="inlineStr" s="2909">
        <is>
          <t>20250401</t>
        </is>
      </c>
      <c r="AH50" t="n" s="2909">
        <v>1</v>
      </c>
      <c r="AJ50" t="n" s="2909">
        <v>10</v>
      </c>
      <c r="AP50" t="n" s="2909">
        <v>360000</v>
      </c>
      <c r="DB50" s="2909" t="str">
        <f>IF($A50="","",IF($AE50&amp;""&lt;&gt;'DB_設定'!$C$4,"対象外",IF($AH50=20,IF(OR($AJ50=10,$AJ50=11,$AJ50=18),"①病院一般",IF($AJ50=41,"②病院短期","対象外")),IF($AH50=5,IF($AJ50=30,"③特定消防","対象外"),IF(OR($AJ50=10,$AJ50=11,$AJ50=74),"④一般",IF(OR($AJ50=41,$AJ50=47),"⑤短期","対象外"))))))</f>
        <v>④一般</v>
      </c>
    </row>
    <row r="51">
      <c r="A51" t="n" s="2909">
        <v>21</v>
      </c>
      <c r="AA51" t="n" s="2909">
        <v>21</v>
      </c>
      <c r="AB51" t="inlineStr" s="2909">
        <is>
          <t>19840401</t>
        </is>
      </c>
      <c r="AD51" t="n" s="2909">
        <v>11</v>
      </c>
      <c r="AE51" t="inlineStr" s="2909">
        <is>
          <t>20250401</t>
        </is>
      </c>
      <c r="AH51" t="n" s="2909">
        <v>1</v>
      </c>
      <c r="AJ51" t="n" s="2909">
        <v>10</v>
      </c>
      <c r="AP51" t="n" s="2909">
        <v>320000</v>
      </c>
      <c r="DB51" s="2909" t="str">
        <f>IF($A51="","",IF($AE51&amp;""&lt;&gt;'DB_設定'!$C$4,"対象外",IF($AH51=20,IF(OR($AJ51=10,$AJ51=11,$AJ51=18),"①病院一般",IF($AJ51=41,"②病院短期","対象外")),IF($AH51=5,IF($AJ51=30,"③特定消防","対象外"),IF(OR($AJ51=10,$AJ51=11,$AJ51=74),"④一般",IF(OR($AJ51=41,$AJ51=47),"⑤短期","対象外"))))))</f>
        <v>④一般</v>
      </c>
    </row>
    <row r="52">
      <c r="A52" t="n" s="2909">
        <v>21</v>
      </c>
      <c r="AA52" t="n" s="2909">
        <v>21</v>
      </c>
      <c r="AB52" t="inlineStr" s="2909">
        <is>
          <t>19850320</t>
        </is>
      </c>
      <c r="AD52" t="n" s="2909">
        <v>11</v>
      </c>
      <c r="AE52" t="inlineStr" s="2909">
        <is>
          <t>20250401</t>
        </is>
      </c>
      <c r="AH52" t="n" s="2909">
        <v>1</v>
      </c>
      <c r="AJ52" t="n" s="2909">
        <v>10</v>
      </c>
      <c r="AP52" t="n" s="2909">
        <v>340000</v>
      </c>
      <c r="DB52" s="2909" t="str">
        <f>IF($A52="","",IF($AE52&amp;""&lt;&gt;'DB_設定'!$C$4,"対象外",IF($AH52=20,IF(OR($AJ52=10,$AJ52=11,$AJ52=18),"①病院一般",IF($AJ52=41,"②病院短期","対象外")),IF($AH52=5,IF($AJ52=30,"③特定消防","対象外"),IF(OR($AJ52=10,$AJ52=11,$AJ52=74),"④一般",IF(OR($AJ52=41,$AJ52=47),"⑤短期","対象外"))))))</f>
        <v>④一般</v>
      </c>
    </row>
    <row r="53">
      <c r="A53" t="n" s="2909">
        <v>21</v>
      </c>
      <c r="AA53" t="n" s="2909">
        <v>21</v>
      </c>
      <c r="AB53" t="inlineStr" s="2909">
        <is>
          <t>19840401</t>
        </is>
      </c>
      <c r="AD53" t="n" s="2909">
        <v>12</v>
      </c>
      <c r="AE53" t="inlineStr" s="2909">
        <is>
          <t>20250401</t>
        </is>
      </c>
      <c r="AH53" t="n" s="2909">
        <v>4</v>
      </c>
      <c r="AJ53" t="n" s="2909">
        <v>10</v>
      </c>
      <c r="AP53" t="n" s="2909">
        <v>650000</v>
      </c>
      <c r="DB53" s="2909" t="str">
        <f>IF($A53="","",IF($AE53&amp;""&lt;&gt;'DB_設定'!$C$4,"対象外",IF($AH53=20,IF(OR($AJ53=10,$AJ53=11,$AJ53=18),"①病院一般",IF($AJ53=41,"②病院短期","対象外")),IF($AH53=5,IF($AJ53=30,"③特定消防","対象外"),IF(OR($AJ53=10,$AJ53=11,$AJ53=74),"④一般",IF(OR($AJ53=41,$AJ53=47),"⑤短期","対象外"))))))</f>
        <v>④一般</v>
      </c>
    </row>
    <row r="54">
      <c r="A54" t="n" s="2909">
        <v>21</v>
      </c>
      <c r="AA54" t="n" s="2909">
        <v>21</v>
      </c>
      <c r="AB54" t="inlineStr" s="2909">
        <is>
          <t>19840401</t>
        </is>
      </c>
      <c r="AD54" t="n" s="2909">
        <v>11</v>
      </c>
      <c r="AE54" t="inlineStr" s="2909">
        <is>
          <t>20250401</t>
        </is>
      </c>
      <c r="AH54" t="n" s="2909">
        <v>4</v>
      </c>
      <c r="AJ54" t="n" s="2909">
        <v>10</v>
      </c>
      <c r="AP54" t="n" s="2909">
        <v>340000</v>
      </c>
      <c r="DB54" s="2909" t="str">
        <f>IF($A54="","",IF($AE54&amp;""&lt;&gt;'DB_設定'!$C$4,"対象外",IF($AH54=20,IF(OR($AJ54=10,$AJ54=11,$AJ54=18),"①病院一般",IF($AJ54=41,"②病院短期","対象外")),IF($AH54=5,IF($AJ54=30,"③特定消防","対象外"),IF(OR($AJ54=10,$AJ54=11,$AJ54=74),"④一般",IF(OR($AJ54=41,$AJ54=47),"⑤短期","対象外"))))))</f>
        <v>④一般</v>
      </c>
    </row>
    <row r="55">
      <c r="A55" t="n" s="2909">
        <v>21</v>
      </c>
      <c r="AA55" t="n" s="2909">
        <v>21</v>
      </c>
      <c r="AB55" t="inlineStr" s="2909">
        <is>
          <t>19840401</t>
        </is>
      </c>
      <c r="AD55" t="n" s="2909">
        <v>11</v>
      </c>
      <c r="AE55" t="inlineStr" s="2909">
        <is>
          <t>20250401</t>
        </is>
      </c>
      <c r="AH55" t="n" s="2909">
        <v>4</v>
      </c>
      <c r="AJ55" t="n" s="2909">
        <v>10</v>
      </c>
      <c r="AP55" t="n" s="2909">
        <v>340000</v>
      </c>
      <c r="DB55" s="2909" t="str">
        <f>IF($A55="","",IF($AE55&amp;""&lt;&gt;'DB_設定'!$C$4,"対象外",IF($AH55=20,IF(OR($AJ55=10,$AJ55=11,$AJ55=18),"①病院一般",IF($AJ55=41,"②病院短期","対象外")),IF($AH55=5,IF($AJ55=30,"③特定消防","対象外"),IF(OR($AJ55=10,$AJ55=11,$AJ55=74),"④一般",IF(OR($AJ55=41,$AJ55=47),"⑤短期","対象外"))))))</f>
        <v>④一般</v>
      </c>
    </row>
    <row r="56">
      <c r="A56" t="n" s="2909">
        <v>21</v>
      </c>
      <c r="AA56" t="n" s="2909">
        <v>21</v>
      </c>
      <c r="AB56" t="inlineStr" s="2909">
        <is>
          <t>19840401</t>
        </is>
      </c>
      <c r="AD56" t="n" s="2909">
        <v>12</v>
      </c>
      <c r="AE56" t="inlineStr" s="2909">
        <is>
          <t>20250401</t>
        </is>
      </c>
      <c r="AH56" t="n" s="2909">
        <v>4</v>
      </c>
      <c r="AJ56" t="n" s="2909">
        <v>10</v>
      </c>
      <c r="AP56" t="n" s="2909">
        <v>470000</v>
      </c>
      <c r="DB56" s="2909" t="str">
        <f>IF($A56="","",IF($AE56&amp;""&lt;&gt;'DB_設定'!$C$4,"対象外",IF($AH56=20,IF(OR($AJ56=10,$AJ56=11,$AJ56=18),"①病院一般",IF($AJ56=41,"②病院短期","対象外")),IF($AH56=5,IF($AJ56=30,"③特定消防","対象外"),IF(OR($AJ56=10,$AJ56=11,$AJ56=74),"④一般",IF(OR($AJ56=41,$AJ56=47),"⑤短期","対象外"))))))</f>
        <v>④一般</v>
      </c>
    </row>
    <row r="57">
      <c r="A57" t="n" s="2909">
        <v>21</v>
      </c>
      <c r="AA57" t="n" s="2909">
        <v>21</v>
      </c>
      <c r="AB57" t="inlineStr" s="2909">
        <is>
          <t>19850401</t>
        </is>
      </c>
      <c r="AD57" t="n" s="2909">
        <v>11</v>
      </c>
      <c r="AE57" t="inlineStr" s="2909">
        <is>
          <t>20250401</t>
        </is>
      </c>
      <c r="AH57" t="n" s="2909">
        <v>1</v>
      </c>
      <c r="AJ57" t="n" s="2909">
        <v>10</v>
      </c>
      <c r="AP57" t="n" s="2909">
        <v>340000</v>
      </c>
      <c r="DB57" s="2909" t="str">
        <f>IF($A57="","",IF($AE57&amp;""&lt;&gt;'DB_設定'!$C$4,"対象外",IF($AH57=20,IF(OR($AJ57=10,$AJ57=11,$AJ57=18),"①病院一般",IF($AJ57=41,"②病院短期","対象外")),IF($AH57=5,IF($AJ57=30,"③特定消防","対象外"),IF(OR($AJ57=10,$AJ57=11,$AJ57=74),"④一般",IF(OR($AJ57=41,$AJ57=47),"⑤短期","対象外"))))))</f>
        <v>④一般</v>
      </c>
    </row>
    <row r="58">
      <c r="A58" t="n" s="2909">
        <v>21</v>
      </c>
      <c r="AA58" t="n" s="2909">
        <v>21</v>
      </c>
      <c r="AB58" t="inlineStr" s="2909">
        <is>
          <t>19850501</t>
        </is>
      </c>
      <c r="AD58" t="n" s="2909">
        <v>12</v>
      </c>
      <c r="AE58" t="inlineStr" s="2909">
        <is>
          <t>20250401</t>
        </is>
      </c>
      <c r="AH58" t="n" s="2909">
        <v>20</v>
      </c>
      <c r="AJ58" t="n" s="2909">
        <v>10</v>
      </c>
      <c r="AP58" t="n" s="2909">
        <v>380000</v>
      </c>
      <c r="DB58" s="2909" t="str">
        <f>IF($A58="","",IF($AE58&amp;""&lt;&gt;'DB_設定'!$C$4,"対象外",IF($AH58=20,IF(OR($AJ58=10,$AJ58=11,$AJ58=18),"①病院一般",IF($AJ58=41,"②病院短期","対象外")),IF($AH58=5,IF($AJ58=30,"③特定消防","対象外"),IF(OR($AJ58=10,$AJ58=11,$AJ58=74),"④一般",IF(OR($AJ58=41,$AJ58=47),"⑤短期","対象外"))))))</f>
        <v>①病院一般</v>
      </c>
    </row>
    <row r="59">
      <c r="A59" t="n" s="2909">
        <v>21</v>
      </c>
      <c r="AA59" t="n" s="2909">
        <v>21</v>
      </c>
      <c r="AB59" t="inlineStr" s="2909">
        <is>
          <t>19850501</t>
        </is>
      </c>
      <c r="AD59" t="n" s="2909">
        <v>12</v>
      </c>
      <c r="AE59" t="inlineStr" s="2909">
        <is>
          <t>20250401</t>
        </is>
      </c>
      <c r="AH59" t="n" s="2909">
        <v>20</v>
      </c>
      <c r="AJ59" t="n" s="2909">
        <v>10</v>
      </c>
      <c r="AP59" t="n" s="2909">
        <v>590000</v>
      </c>
      <c r="DB59" s="2909" t="str">
        <f>IF($A59="","",IF($AE59&amp;""&lt;&gt;'DB_設定'!$C$4,"対象外",IF($AH59=20,IF(OR($AJ59=10,$AJ59=11,$AJ59=18),"①病院一般",IF($AJ59=41,"②病院短期","対象外")),IF($AH59=5,IF($AJ59=30,"③特定消防","対象外"),IF(OR($AJ59=10,$AJ59=11,$AJ59=74),"④一般",IF(OR($AJ59=41,$AJ59=47),"⑤短期","対象外"))))))</f>
        <v>①病院一般</v>
      </c>
    </row>
    <row r="60">
      <c r="A60" t="n" s="2909">
        <v>21</v>
      </c>
      <c r="AA60" t="n" s="2909">
        <v>21</v>
      </c>
      <c r="AB60" t="inlineStr" s="2909">
        <is>
          <t>19850601</t>
        </is>
      </c>
      <c r="AD60" t="n" s="2909">
        <v>16</v>
      </c>
      <c r="AE60" t="inlineStr" s="2909">
        <is>
          <t>20250401</t>
        </is>
      </c>
      <c r="AH60" t="n" s="2909">
        <v>20</v>
      </c>
      <c r="AJ60" t="n" s="2909">
        <v>10</v>
      </c>
      <c r="AP60" t="n" s="2909">
        <v>380000</v>
      </c>
      <c r="DB60" s="2909" t="str">
        <f>IF($A60="","",IF($AE60&amp;""&lt;&gt;'DB_設定'!$C$4,"対象外",IF($AH60=20,IF(OR($AJ60=10,$AJ60=11,$AJ60=18),"①病院一般",IF($AJ60=41,"②病院短期","対象外")),IF($AH60=5,IF($AJ60=30,"③特定消防","対象外"),IF(OR($AJ60=10,$AJ60=11,$AJ60=74),"④一般",IF(OR($AJ60=41,$AJ60=47),"⑤短期","対象外"))))))</f>
        <v>①病院一般</v>
      </c>
    </row>
    <row r="61">
      <c r="A61" t="n" s="2909">
        <v>21</v>
      </c>
      <c r="AA61" t="n" s="2909">
        <v>21</v>
      </c>
      <c r="AB61" t="inlineStr" s="2909">
        <is>
          <t>19850701</t>
        </is>
      </c>
      <c r="AD61" t="n" s="2909">
        <v>12</v>
      </c>
      <c r="AE61" t="inlineStr" s="2909">
        <is>
          <t>20250401</t>
        </is>
      </c>
      <c r="AH61" t="n" s="2909">
        <v>20</v>
      </c>
      <c r="AJ61" t="n" s="2909">
        <v>10</v>
      </c>
      <c r="AP61" t="n" s="2909">
        <v>360000</v>
      </c>
      <c r="DB61" s="2909" t="str">
        <f>IF($A61="","",IF($AE61&amp;""&lt;&gt;'DB_設定'!$C$4,"対象外",IF($AH61=20,IF(OR($AJ61=10,$AJ61=11,$AJ61=18),"①病院一般",IF($AJ61=41,"②病院短期","対象外")),IF($AH61=5,IF($AJ61=30,"③特定消防","対象外"),IF(OR($AJ61=10,$AJ61=11,$AJ61=74),"④一般",IF(OR($AJ61=41,$AJ61=47),"⑤短期","対象外"))))))</f>
        <v>①病院一般</v>
      </c>
    </row>
    <row r="62">
      <c r="A62" t="n" s="2909">
        <v>21</v>
      </c>
      <c r="AA62" t="n" s="2909">
        <v>21</v>
      </c>
      <c r="AB62" t="inlineStr" s="2909">
        <is>
          <t>19850901</t>
        </is>
      </c>
      <c r="AD62" t="n" s="2909">
        <v>11</v>
      </c>
      <c r="AE62" t="inlineStr" s="2909">
        <is>
          <t>20250401</t>
        </is>
      </c>
      <c r="AH62" t="n" s="2909">
        <v>1</v>
      </c>
      <c r="AJ62" t="n" s="2909">
        <v>10</v>
      </c>
      <c r="AP62" t="n" s="2909">
        <v>530000</v>
      </c>
      <c r="DB62" s="2909" t="str">
        <f>IF($A62="","",IF($AE62&amp;""&lt;&gt;'DB_設定'!$C$4,"対象外",IF($AH62=20,IF(OR($AJ62=10,$AJ62=11,$AJ62=18),"①病院一般",IF($AJ62=41,"②病院短期","対象外")),IF($AH62=5,IF($AJ62=30,"③特定消防","対象外"),IF(OR($AJ62=10,$AJ62=11,$AJ62=74),"④一般",IF(OR($AJ62=41,$AJ62=47),"⑤短期","対象外"))))))</f>
        <v>④一般</v>
      </c>
    </row>
    <row r="63">
      <c r="A63" t="n" s="2909">
        <v>21</v>
      </c>
      <c r="AA63" t="n" s="2909">
        <v>21</v>
      </c>
      <c r="AB63" t="inlineStr" s="2909">
        <is>
          <t>19851001</t>
        </is>
      </c>
      <c r="AD63" t="n" s="2909">
        <v>12</v>
      </c>
      <c r="AE63" t="inlineStr" s="2909">
        <is>
          <t>20250401</t>
        </is>
      </c>
      <c r="AH63" t="n" s="2909">
        <v>20</v>
      </c>
      <c r="AJ63" t="n" s="2909">
        <v>10</v>
      </c>
      <c r="AP63" t="n" s="2909">
        <v>440000</v>
      </c>
      <c r="DB63" s="2909" t="str">
        <f>IF($A63="","",IF($AE63&amp;""&lt;&gt;'DB_設定'!$C$4,"対象外",IF($AH63=20,IF(OR($AJ63=10,$AJ63=11,$AJ63=18),"①病院一般",IF($AJ63=41,"②病院短期","対象外")),IF($AH63=5,IF($AJ63=30,"③特定消防","対象外"),IF(OR($AJ63=10,$AJ63=11,$AJ63=74),"④一般",IF(OR($AJ63=41,$AJ63=47),"⑤短期","対象外"))))))</f>
        <v>①病院一般</v>
      </c>
    </row>
    <row r="64">
      <c r="A64" t="n" s="2909">
        <v>21</v>
      </c>
      <c r="AA64" t="n" s="2909">
        <v>21</v>
      </c>
      <c r="AB64" t="inlineStr" s="2909">
        <is>
          <t>19850401</t>
        </is>
      </c>
      <c r="AD64" t="n" s="2909">
        <v>12</v>
      </c>
      <c r="AE64" t="inlineStr" s="2909">
        <is>
          <t>20250401</t>
        </is>
      </c>
      <c r="AH64" t="n" s="2909">
        <v>5</v>
      </c>
      <c r="AJ64" t="n" s="2909">
        <v>30</v>
      </c>
      <c r="AP64" t="n" s="2909">
        <v>320000</v>
      </c>
      <c r="DB64" s="2909" t="str">
        <f>IF($A64="","",IF($AE64&amp;""&lt;&gt;'DB_設定'!$C$4,"対象外",IF($AH64=20,IF(OR($AJ64=10,$AJ64=11,$AJ64=18),"①病院一般",IF($AJ64=41,"②病院短期","対象外")),IF($AH64=5,IF($AJ64=30,"③特定消防","対象外"),IF(OR($AJ64=10,$AJ64=11,$AJ64=74),"④一般",IF(OR($AJ64=41,$AJ64=47),"⑤短期","対象外"))))))</f>
        <v>③特定消防</v>
      </c>
    </row>
    <row r="65">
      <c r="A65" t="n" s="2909">
        <v>21</v>
      </c>
      <c r="AA65" t="n" s="2909">
        <v>21</v>
      </c>
      <c r="AB65" t="inlineStr" s="2909">
        <is>
          <t>19850401</t>
        </is>
      </c>
      <c r="AD65" t="n" s="2909">
        <v>11</v>
      </c>
      <c r="AE65" t="inlineStr" s="2909">
        <is>
          <t>20250401</t>
        </is>
      </c>
      <c r="AH65" t="n" s="2909">
        <v>1</v>
      </c>
      <c r="AJ65" t="n" s="2909">
        <v>10</v>
      </c>
      <c r="AP65" t="n" s="2909">
        <v>320000</v>
      </c>
      <c r="DB65" s="2909" t="str">
        <f>IF($A65="","",IF($AE65&amp;""&lt;&gt;'DB_設定'!$C$4,"対象外",IF($AH65=20,IF(OR($AJ65=10,$AJ65=11,$AJ65=18),"①病院一般",IF($AJ65=41,"②病院短期","対象外")),IF($AH65=5,IF($AJ65=30,"③特定消防","対象外"),IF(OR($AJ65=10,$AJ65=11,$AJ65=74),"④一般",IF(OR($AJ65=41,$AJ65=47),"⑤短期","対象外"))))))</f>
        <v>④一般</v>
      </c>
    </row>
    <row r="66">
      <c r="A66" t="n" s="2909">
        <v>21</v>
      </c>
      <c r="AA66" t="n" s="2909">
        <v>21</v>
      </c>
      <c r="AB66" t="inlineStr" s="2909">
        <is>
          <t>19850401</t>
        </is>
      </c>
      <c r="AD66" t="n" s="2909">
        <v>12</v>
      </c>
      <c r="AE66" t="inlineStr" s="2909">
        <is>
          <t>20250401</t>
        </is>
      </c>
      <c r="AH66" t="n" s="2909">
        <v>1</v>
      </c>
      <c r="AJ66" t="n" s="2909">
        <v>10</v>
      </c>
      <c r="AP66" t="n" s="2909">
        <v>560000</v>
      </c>
      <c r="DB66" s="2909" t="str">
        <f>IF($A66="","",IF($AE66&amp;""&lt;&gt;'DB_設定'!$C$4,"対象外",IF($AH66=20,IF(OR($AJ66=10,$AJ66=11,$AJ66=18),"①病院一般",IF($AJ66=41,"②病院短期","対象外")),IF($AH66=5,IF($AJ66=30,"③特定消防","対象外"),IF(OR($AJ66=10,$AJ66=11,$AJ66=74),"④一般",IF(OR($AJ66=41,$AJ66=47),"⑤短期","対象外"))))))</f>
        <v>④一般</v>
      </c>
    </row>
    <row r="67">
      <c r="A67" t="n" s="2909">
        <v>21</v>
      </c>
      <c r="AA67" t="n" s="2909">
        <v>21</v>
      </c>
      <c r="AB67" t="inlineStr" s="2909">
        <is>
          <t>19850401</t>
        </is>
      </c>
      <c r="AD67" t="n" s="2909">
        <v>12</v>
      </c>
      <c r="AE67" t="inlineStr" s="2909">
        <is>
          <t>20250401</t>
        </is>
      </c>
      <c r="AH67" t="n" s="2909">
        <v>1</v>
      </c>
      <c r="AJ67" t="n" s="2909">
        <v>10</v>
      </c>
      <c r="AP67" t="n" s="2909">
        <v>560000</v>
      </c>
      <c r="DB67" s="2909" t="str">
        <f>IF($A67="","",IF($AE67&amp;""&lt;&gt;'DB_設定'!$C$4,"対象外",IF($AH67=20,IF(OR($AJ67=10,$AJ67=11,$AJ67=18),"①病院一般",IF($AJ67=41,"②病院短期","対象外")),IF($AH67=5,IF($AJ67=30,"③特定消防","対象外"),IF(OR($AJ67=10,$AJ67=11,$AJ67=74),"④一般",IF(OR($AJ67=41,$AJ67=47),"⑤短期","対象外"))))))</f>
        <v>④一般</v>
      </c>
    </row>
    <row r="68">
      <c r="A68" t="n" s="2909">
        <v>21</v>
      </c>
      <c r="AA68" t="n" s="2909">
        <v>21</v>
      </c>
      <c r="AB68" t="inlineStr" s="2909">
        <is>
          <t>19850401</t>
        </is>
      </c>
      <c r="AD68" t="n" s="2909">
        <v>11</v>
      </c>
      <c r="AE68" t="inlineStr" s="2909">
        <is>
          <t>20250401</t>
        </is>
      </c>
      <c r="AH68" t="n" s="2909">
        <v>1</v>
      </c>
      <c r="AJ68" t="n" s="2909">
        <v>10</v>
      </c>
      <c r="AP68" t="n" s="2909">
        <v>560000</v>
      </c>
      <c r="DB68" s="2909" t="str">
        <f>IF($A68="","",IF($AE68&amp;""&lt;&gt;'DB_設定'!$C$4,"対象外",IF($AH68=20,IF(OR($AJ68=10,$AJ68=11,$AJ68=18),"①病院一般",IF($AJ68=41,"②病院短期","対象外")),IF($AH68=5,IF($AJ68=30,"③特定消防","対象外"),IF(OR($AJ68=10,$AJ68=11,$AJ68=74),"④一般",IF(OR($AJ68=41,$AJ68=47),"⑤短期","対象外"))))))</f>
        <v>④一般</v>
      </c>
    </row>
    <row r="69">
      <c r="A69" t="n" s="2909">
        <v>21</v>
      </c>
      <c r="AA69" t="n" s="2909">
        <v>21</v>
      </c>
      <c r="AB69" t="inlineStr" s="2909">
        <is>
          <t>19850401</t>
        </is>
      </c>
      <c r="AD69" t="n" s="2909">
        <v>11</v>
      </c>
      <c r="AE69" t="inlineStr" s="2909">
        <is>
          <t>20250401</t>
        </is>
      </c>
      <c r="AH69" t="n" s="2909">
        <v>1</v>
      </c>
      <c r="AJ69" t="n" s="2909">
        <v>10</v>
      </c>
      <c r="AP69" t="n" s="2909">
        <v>500000</v>
      </c>
      <c r="DB69" s="2909" t="str">
        <f>IF($A69="","",IF($AE69&amp;""&lt;&gt;'DB_設定'!$C$4,"対象外",IF($AH69=20,IF(OR($AJ69=10,$AJ69=11,$AJ69=18),"①病院一般",IF($AJ69=41,"②病院短期","対象外")),IF($AH69=5,IF($AJ69=30,"③特定消防","対象外"),IF(OR($AJ69=10,$AJ69=11,$AJ69=74),"④一般",IF(OR($AJ69=41,$AJ69=47),"⑤短期","対象外"))))))</f>
        <v>④一般</v>
      </c>
    </row>
    <row r="70">
      <c r="A70" t="n" s="2909">
        <v>21</v>
      </c>
      <c r="AA70" t="n" s="2909">
        <v>21</v>
      </c>
      <c r="AB70" t="inlineStr" s="2909">
        <is>
          <t>19850401</t>
        </is>
      </c>
      <c r="AD70" t="n" s="2909">
        <v>12</v>
      </c>
      <c r="AE70" t="inlineStr" s="2909">
        <is>
          <t>20250401</t>
        </is>
      </c>
      <c r="AH70" t="n" s="2909">
        <v>1</v>
      </c>
      <c r="AJ70" t="n" s="2909">
        <v>10</v>
      </c>
      <c r="AP70" t="n" s="2909">
        <v>530000</v>
      </c>
      <c r="DB70" s="2909" t="str">
        <f>IF($A70="","",IF($AE70&amp;""&lt;&gt;'DB_設定'!$C$4,"対象外",IF($AH70=20,IF(OR($AJ70=10,$AJ70=11,$AJ70=18),"①病院一般",IF($AJ70=41,"②病院短期","対象外")),IF($AH70=5,IF($AJ70=30,"③特定消防","対象外"),IF(OR($AJ70=10,$AJ70=11,$AJ70=74),"④一般",IF(OR($AJ70=41,$AJ70=47),"⑤短期","対象外"))))))</f>
        <v>④一般</v>
      </c>
    </row>
    <row r="71">
      <c r="A71" t="n" s="2909">
        <v>21</v>
      </c>
      <c r="AA71" t="n" s="2909">
        <v>24</v>
      </c>
      <c r="AB71" t="inlineStr" s="2909">
        <is>
          <t>20100401</t>
        </is>
      </c>
      <c r="AD71" t="n" s="2909">
        <v>12</v>
      </c>
      <c r="AE71" t="inlineStr" s="2909">
        <is>
          <t>20250401</t>
        </is>
      </c>
      <c r="AH71" t="n" s="2909">
        <v>1</v>
      </c>
      <c r="AJ71" t="n" s="2909">
        <v>10</v>
      </c>
      <c r="AP71" t="n" s="2909">
        <v>560000</v>
      </c>
      <c r="DB71" s="2909" t="str">
        <f>IF($A71="","",IF($AE71&amp;""&lt;&gt;'DB_設定'!$C$4,"対象外",IF($AH71=20,IF(OR($AJ71=10,$AJ71=11,$AJ71=18),"①病院一般",IF($AJ71=41,"②病院短期","対象外")),IF($AH71=5,IF($AJ71=30,"③特定消防","対象外"),IF(OR($AJ71=10,$AJ71=11,$AJ71=74),"④一般",IF(OR($AJ71=41,$AJ71=47),"⑤短期","対象外"))))))</f>
        <v>④一般</v>
      </c>
    </row>
    <row r="72">
      <c r="A72" t="n" s="2909">
        <v>21</v>
      </c>
      <c r="AA72" t="n" s="2909">
        <v>21</v>
      </c>
      <c r="AB72" t="inlineStr" s="2909">
        <is>
          <t>19850701</t>
        </is>
      </c>
      <c r="AD72" t="n" s="2909">
        <v>12</v>
      </c>
      <c r="AE72" t="inlineStr" s="2909">
        <is>
          <t>20250401</t>
        </is>
      </c>
      <c r="AH72" t="n" s="2909">
        <v>1</v>
      </c>
      <c r="AJ72" t="n" s="2909">
        <v>10</v>
      </c>
      <c r="AP72" t="n" s="2909">
        <v>500000</v>
      </c>
      <c r="DB72" s="2909" t="str">
        <f>IF($A72="","",IF($AE72&amp;""&lt;&gt;'DB_設定'!$C$4,"対象外",IF($AH72=20,IF(OR($AJ72=10,$AJ72=11,$AJ72=18),"①病院一般",IF($AJ72=41,"②病院短期","対象外")),IF($AH72=5,IF($AJ72=30,"③特定消防","対象外"),IF(OR($AJ72=10,$AJ72=11,$AJ72=74),"④一般",IF(OR($AJ72=41,$AJ72=47),"⑤短期","対象外"))))))</f>
        <v>④一般</v>
      </c>
    </row>
    <row r="73">
      <c r="A73" t="n" s="2909">
        <v>21</v>
      </c>
      <c r="AA73" t="n" s="2909">
        <v>21</v>
      </c>
      <c r="AB73" t="inlineStr" s="2909">
        <is>
          <t>19860501</t>
        </is>
      </c>
      <c r="AD73" t="n" s="2909">
        <v>12</v>
      </c>
      <c r="AE73" t="inlineStr" s="2909">
        <is>
          <t>20250401</t>
        </is>
      </c>
      <c r="AH73" t="n" s="2909">
        <v>20</v>
      </c>
      <c r="AJ73" t="n" s="2909">
        <v>10</v>
      </c>
      <c r="AP73" t="n" s="2909">
        <v>680000</v>
      </c>
      <c r="DB73" s="2909" t="str">
        <f>IF($A73="","",IF($AE73&amp;""&lt;&gt;'DB_設定'!$C$4,"対象外",IF($AH73=20,IF(OR($AJ73=10,$AJ73=11,$AJ73=18),"①病院一般",IF($AJ73=41,"②病院短期","対象外")),IF($AH73=5,IF($AJ73=30,"③特定消防","対象外"),IF(OR($AJ73=10,$AJ73=11,$AJ73=74),"④一般",IF(OR($AJ73=41,$AJ73=47),"⑤短期","対象外"))))))</f>
        <v>①病院一般</v>
      </c>
    </row>
    <row r="74">
      <c r="A74" t="n" s="2909">
        <v>21</v>
      </c>
      <c r="AA74" t="n" s="2909">
        <v>21</v>
      </c>
      <c r="AB74" t="inlineStr" s="2909">
        <is>
          <t>19860801</t>
        </is>
      </c>
      <c r="AD74" t="n" s="2909">
        <v>11</v>
      </c>
      <c r="AE74" t="inlineStr" s="2909">
        <is>
          <t>20250401</t>
        </is>
      </c>
      <c r="AH74" t="n" s="2909">
        <v>20</v>
      </c>
      <c r="AJ74" t="n" s="2909">
        <v>10</v>
      </c>
      <c r="AP74" t="n" s="2909">
        <v>360000</v>
      </c>
      <c r="DB74" s="2909" t="str">
        <f>IF($A74="","",IF($AE74&amp;""&lt;&gt;'DB_設定'!$C$4,"対象外",IF($AH74=20,IF(OR($AJ74=10,$AJ74=11,$AJ74=18),"①病院一般",IF($AJ74=41,"②病院短期","対象外")),IF($AH74=5,IF($AJ74=30,"③特定消防","対象外"),IF(OR($AJ74=10,$AJ74=11,$AJ74=74),"④一般",IF(OR($AJ74=41,$AJ74=47),"⑤短期","対象外"))))))</f>
        <v>①病院一般</v>
      </c>
    </row>
    <row r="75">
      <c r="A75" t="n" s="2909">
        <v>21</v>
      </c>
      <c r="AA75" t="n" s="2909">
        <v>21</v>
      </c>
      <c r="AB75" t="inlineStr" s="2909">
        <is>
          <t>19861201</t>
        </is>
      </c>
      <c r="AD75" t="n" s="2909">
        <v>12</v>
      </c>
      <c r="AE75" t="inlineStr" s="2909">
        <is>
          <t>20250401</t>
        </is>
      </c>
      <c r="AH75" t="n" s="2909">
        <v>20</v>
      </c>
      <c r="AJ75" t="n" s="2909">
        <v>10</v>
      </c>
      <c r="AP75" t="n" s="2909">
        <v>560000</v>
      </c>
      <c r="DB75" s="2909" t="str">
        <f>IF($A75="","",IF($AE75&amp;""&lt;&gt;'DB_設定'!$C$4,"対象外",IF($AH75=20,IF(OR($AJ75=10,$AJ75=11,$AJ75=18),"①病院一般",IF($AJ75=41,"②病院短期","対象外")),IF($AH75=5,IF($AJ75=30,"③特定消防","対象外"),IF(OR($AJ75=10,$AJ75=11,$AJ75=74),"④一般",IF(OR($AJ75=41,$AJ75=47),"⑤短期","対象外"))))))</f>
        <v>①病院一般</v>
      </c>
    </row>
    <row r="76">
      <c r="A76" t="n" s="2909">
        <v>21</v>
      </c>
      <c r="AA76" t="n" s="2909">
        <v>21</v>
      </c>
      <c r="AB76" t="inlineStr" s="2909">
        <is>
          <t>19860501</t>
        </is>
      </c>
      <c r="AD76" t="n" s="2909">
        <v>12</v>
      </c>
      <c r="AE76" t="inlineStr" s="2909">
        <is>
          <t>20250401</t>
        </is>
      </c>
      <c r="AH76" t="n" s="2909">
        <v>20</v>
      </c>
      <c r="AJ76" t="n" s="2909">
        <v>10</v>
      </c>
      <c r="AP76" t="n" s="2909">
        <v>680000</v>
      </c>
      <c r="DB76" s="2909" t="str">
        <f>IF($A76="","",IF($AE76&amp;""&lt;&gt;'DB_設定'!$C$4,"対象外",IF($AH76=20,IF(OR($AJ76=10,$AJ76=11,$AJ76=18),"①病院一般",IF($AJ76=41,"②病院短期","対象外")),IF($AH76=5,IF($AJ76=30,"③特定消防","対象外"),IF(OR($AJ76=10,$AJ76=11,$AJ76=74),"④一般",IF(OR($AJ76=41,$AJ76=47),"⑤短期","対象外"))))))</f>
        <v>①病院一般</v>
      </c>
    </row>
    <row r="77">
      <c r="A77" t="n" s="2909">
        <v>21</v>
      </c>
      <c r="AA77" t="n" s="2909">
        <v>21</v>
      </c>
      <c r="AB77" t="inlineStr" s="2909">
        <is>
          <t>19860401</t>
        </is>
      </c>
      <c r="AD77" t="n" s="2909">
        <v>11</v>
      </c>
      <c r="AE77" t="inlineStr" s="2909">
        <is>
          <t>20250401</t>
        </is>
      </c>
      <c r="AH77" t="n" s="2909">
        <v>5</v>
      </c>
      <c r="AJ77" t="n" s="2909">
        <v>30</v>
      </c>
      <c r="AP77" t="n" s="2909">
        <v>340000</v>
      </c>
      <c r="DB77" s="2909" t="str">
        <f>IF($A77="","",IF($AE77&amp;""&lt;&gt;'DB_設定'!$C$4,"対象外",IF($AH77=20,IF(OR($AJ77=10,$AJ77=11,$AJ77=18),"①病院一般",IF($AJ77=41,"②病院短期","対象外")),IF($AH77=5,IF($AJ77=30,"③特定消防","対象外"),IF(OR($AJ77=10,$AJ77=11,$AJ77=74),"④一般",IF(OR($AJ77=41,$AJ77=47),"⑤短期","対象外"))))))</f>
        <v>③特定消防</v>
      </c>
    </row>
    <row r="78">
      <c r="A78" t="n" s="2909">
        <v>21</v>
      </c>
      <c r="AA78" t="n" s="2909">
        <v>21</v>
      </c>
      <c r="AB78" t="inlineStr" s="2909">
        <is>
          <t>19860401</t>
        </is>
      </c>
      <c r="AD78" t="n" s="2909">
        <v>12</v>
      </c>
      <c r="AE78" t="inlineStr" s="2909">
        <is>
          <t>20250401</t>
        </is>
      </c>
      <c r="AH78" t="n" s="2909">
        <v>5</v>
      </c>
      <c r="AJ78" t="n" s="2909">
        <v>30</v>
      </c>
      <c r="AP78" t="n" s="2909">
        <v>360000</v>
      </c>
      <c r="DB78" s="2909" t="str">
        <f>IF($A78="","",IF($AE78&amp;""&lt;&gt;'DB_設定'!$C$4,"対象外",IF($AH78=20,IF(OR($AJ78=10,$AJ78=11,$AJ78=18),"①病院一般",IF($AJ78=41,"②病院短期","対象外")),IF($AH78=5,IF($AJ78=30,"③特定消防","対象外"),IF(OR($AJ78=10,$AJ78=11,$AJ78=74),"④一般",IF(OR($AJ78=41,$AJ78=47),"⑤短期","対象外"))))))</f>
        <v>③特定消防</v>
      </c>
    </row>
    <row r="79">
      <c r="A79" t="n" s="2909">
        <v>21</v>
      </c>
      <c r="AA79" t="n" s="2909">
        <v>21</v>
      </c>
      <c r="AB79" t="inlineStr" s="2909">
        <is>
          <t>19860401</t>
        </is>
      </c>
      <c r="AD79" t="n" s="2909">
        <v>11</v>
      </c>
      <c r="AE79" t="inlineStr" s="2909">
        <is>
          <t>20250401</t>
        </is>
      </c>
      <c r="AH79" t="n" s="2909">
        <v>5</v>
      </c>
      <c r="AJ79" t="n" s="2909">
        <v>30</v>
      </c>
      <c r="AP79" t="n" s="2909">
        <v>380000</v>
      </c>
      <c r="DB79" s="2909" t="str">
        <f>IF($A79="","",IF($AE79&amp;""&lt;&gt;'DB_設定'!$C$4,"対象外",IF($AH79=20,IF(OR($AJ79=10,$AJ79=11,$AJ79=18),"①病院一般",IF($AJ79=41,"②病院短期","対象外")),IF($AH79=5,IF($AJ79=30,"③特定消防","対象外"),IF(OR($AJ79=10,$AJ79=11,$AJ79=74),"④一般",IF(OR($AJ79=41,$AJ79=47),"⑤短期","対象外"))))))</f>
        <v>③特定消防</v>
      </c>
    </row>
    <row r="80">
      <c r="A80" t="n" s="2909">
        <v>21</v>
      </c>
      <c r="AA80" t="n" s="2909">
        <v>21</v>
      </c>
      <c r="AB80" t="inlineStr" s="2909">
        <is>
          <t>19860401</t>
        </is>
      </c>
      <c r="AD80" t="n" s="2909">
        <v>11</v>
      </c>
      <c r="AE80" t="inlineStr" s="2909">
        <is>
          <t>20250401</t>
        </is>
      </c>
      <c r="AH80" t="n" s="2909">
        <v>1</v>
      </c>
      <c r="AJ80" t="n" s="2909">
        <v>10</v>
      </c>
      <c r="AP80" t="n" s="2909">
        <v>380000</v>
      </c>
      <c r="DB80" s="2909" t="str">
        <f>IF($A80="","",IF($AE80&amp;""&lt;&gt;'DB_設定'!$C$4,"対象外",IF($AH80=20,IF(OR($AJ80=10,$AJ80=11,$AJ80=18),"①病院一般",IF($AJ80=41,"②病院短期","対象外")),IF($AH80=5,IF($AJ80=30,"③特定消防","対象外"),IF(OR($AJ80=10,$AJ80=11,$AJ80=74),"④一般",IF(OR($AJ80=41,$AJ80=47),"⑤短期","対象外"))))))</f>
        <v>④一般</v>
      </c>
    </row>
    <row r="81">
      <c r="A81" t="n" s="2909">
        <v>21</v>
      </c>
      <c r="AA81" t="n" s="2909">
        <v>21</v>
      </c>
      <c r="AB81" t="inlineStr" s="2909">
        <is>
          <t>19860401</t>
        </is>
      </c>
      <c r="AD81" t="n" s="2909">
        <v>11</v>
      </c>
      <c r="AE81" t="inlineStr" s="2909">
        <is>
          <t>20250401</t>
        </is>
      </c>
      <c r="AH81" t="n" s="2909">
        <v>14</v>
      </c>
      <c r="AJ81" t="n" s="2909">
        <v>10</v>
      </c>
      <c r="AP81" t="n" s="2909">
        <v>360000</v>
      </c>
      <c r="DB81" s="2909" t="str">
        <f>IF($A81="","",IF($AE81&amp;""&lt;&gt;'DB_設定'!$C$4,"対象外",IF($AH81=20,IF(OR($AJ81=10,$AJ81=11,$AJ81=18),"①病院一般",IF($AJ81=41,"②病院短期","対象外")),IF($AH81=5,IF($AJ81=30,"③特定消防","対象外"),IF(OR($AJ81=10,$AJ81=11,$AJ81=74),"④一般",IF(OR($AJ81=41,$AJ81=47),"⑤短期","対象外"))))))</f>
        <v>④一般</v>
      </c>
    </row>
    <row r="82">
      <c r="A82" t="n" s="2909">
        <v>21</v>
      </c>
      <c r="AA82" t="n" s="2909">
        <v>21</v>
      </c>
      <c r="AB82" t="inlineStr" s="2909">
        <is>
          <t>19860401</t>
        </is>
      </c>
      <c r="AD82" t="n" s="2909">
        <v>11</v>
      </c>
      <c r="AE82" t="inlineStr" s="2909">
        <is>
          <t>20250401</t>
        </is>
      </c>
      <c r="AH82" t="n" s="2909">
        <v>1</v>
      </c>
      <c r="AJ82" t="n" s="2909">
        <v>10</v>
      </c>
      <c r="AP82" t="n" s="2909">
        <v>470000</v>
      </c>
      <c r="DB82" s="2909" t="str">
        <f>IF($A82="","",IF($AE82&amp;""&lt;&gt;'DB_設定'!$C$4,"対象外",IF($AH82=20,IF(OR($AJ82=10,$AJ82=11,$AJ82=18),"①病院一般",IF($AJ82=41,"②病院短期","対象外")),IF($AH82=5,IF($AJ82=30,"③特定消防","対象外"),IF(OR($AJ82=10,$AJ82=11,$AJ82=74),"④一般",IF(OR($AJ82=41,$AJ82=47),"⑤短期","対象外"))))))</f>
        <v>④一般</v>
      </c>
    </row>
    <row r="83">
      <c r="A83" t="n" s="2909">
        <v>21</v>
      </c>
      <c r="AA83" t="n" s="2909">
        <v>21</v>
      </c>
      <c r="AB83" t="inlineStr" s="2909">
        <is>
          <t>19860401</t>
        </is>
      </c>
      <c r="AD83" t="n" s="2909">
        <v>11</v>
      </c>
      <c r="AE83" t="inlineStr" s="2909">
        <is>
          <t>20250401</t>
        </is>
      </c>
      <c r="AH83" t="n" s="2909">
        <v>11</v>
      </c>
      <c r="AJ83" t="n" s="2909">
        <v>10</v>
      </c>
      <c r="AP83" t="n" s="2909">
        <v>380000</v>
      </c>
      <c r="DB83" s="2909" t="str">
        <f>IF($A83="","",IF($AE83&amp;""&lt;&gt;'DB_設定'!$C$4,"対象外",IF($AH83=20,IF(OR($AJ83=10,$AJ83=11,$AJ83=18),"①病院一般",IF($AJ83=41,"②病院短期","対象外")),IF($AH83=5,IF($AJ83=30,"③特定消防","対象外"),IF(OR($AJ83=10,$AJ83=11,$AJ83=74),"④一般",IF(OR($AJ83=41,$AJ83=47),"⑤短期","対象外"))))))</f>
        <v>④一般</v>
      </c>
    </row>
    <row r="84">
      <c r="A84" t="n" s="2909">
        <v>21</v>
      </c>
      <c r="AA84" t="n" s="2909">
        <v>21</v>
      </c>
      <c r="AB84" t="inlineStr" s="2909">
        <is>
          <t>19860401</t>
        </is>
      </c>
      <c r="AD84" t="n" s="2909">
        <v>12</v>
      </c>
      <c r="AE84" t="inlineStr" s="2909">
        <is>
          <t>20250401</t>
        </is>
      </c>
      <c r="AH84" t="n" s="2909">
        <v>1</v>
      </c>
      <c r="AJ84" t="n" s="2909">
        <v>10</v>
      </c>
      <c r="AP84" t="n" s="2909">
        <v>410000</v>
      </c>
      <c r="DB84" s="2909" t="str">
        <f>IF($A84="","",IF($AE84&amp;""&lt;&gt;'DB_設定'!$C$4,"対象外",IF($AH84=20,IF(OR($AJ84=10,$AJ84=11,$AJ84=18),"①病院一般",IF($AJ84=41,"②病院短期","対象外")),IF($AH84=5,IF($AJ84=30,"③特定消防","対象外"),IF(OR($AJ84=10,$AJ84=11,$AJ84=74),"④一般",IF(OR($AJ84=41,$AJ84=47),"⑤短期","対象外"))))))</f>
        <v>④一般</v>
      </c>
    </row>
    <row r="85">
      <c r="A85" t="n" s="2909">
        <v>21</v>
      </c>
      <c r="AA85" t="n" s="2909">
        <v>21</v>
      </c>
      <c r="AB85" t="inlineStr" s="2909">
        <is>
          <t>19860401</t>
        </is>
      </c>
      <c r="AD85" t="n" s="2909">
        <v>11</v>
      </c>
      <c r="AE85" t="inlineStr" s="2909">
        <is>
          <t>20250401</t>
        </is>
      </c>
      <c r="AH85" t="n" s="2909">
        <v>1</v>
      </c>
      <c r="AJ85" t="n" s="2909">
        <v>10</v>
      </c>
      <c r="AP85" t="n" s="2909">
        <v>380000</v>
      </c>
      <c r="DB85" s="2909" t="str">
        <f>IF($A85="","",IF($AE85&amp;""&lt;&gt;'DB_設定'!$C$4,"対象外",IF($AH85=20,IF(OR($AJ85=10,$AJ85=11,$AJ85=18),"①病院一般",IF($AJ85=41,"②病院短期","対象外")),IF($AH85=5,IF($AJ85=30,"③特定消防","対象外"),IF(OR($AJ85=10,$AJ85=11,$AJ85=74),"④一般",IF(OR($AJ85=41,$AJ85=47),"⑤短期","対象外"))))))</f>
        <v>④一般</v>
      </c>
    </row>
    <row r="86">
      <c r="A86" t="n" s="2909">
        <v>21</v>
      </c>
      <c r="AA86" t="n" s="2909">
        <v>21</v>
      </c>
      <c r="AB86" t="inlineStr" s="2909">
        <is>
          <t>19860401</t>
        </is>
      </c>
      <c r="AD86" t="n" s="2909">
        <v>12</v>
      </c>
      <c r="AE86" t="inlineStr" s="2909">
        <is>
          <t>20250401</t>
        </is>
      </c>
      <c r="AH86" t="n" s="2909">
        <v>1</v>
      </c>
      <c r="AJ86" t="n" s="2909">
        <v>10</v>
      </c>
      <c r="AP86" t="n" s="2909">
        <v>360000</v>
      </c>
      <c r="DB86" s="2909" t="str">
        <f>IF($A86="","",IF($AE86&amp;""&lt;&gt;'DB_設定'!$C$4,"対象外",IF($AH86=20,IF(OR($AJ86=10,$AJ86=11,$AJ86=18),"①病院一般",IF($AJ86=41,"②病院短期","対象外")),IF($AH86=5,IF($AJ86=30,"③特定消防","対象外"),IF(OR($AJ86=10,$AJ86=11,$AJ86=74),"④一般",IF(OR($AJ86=41,$AJ86=47),"⑤短期","対象外"))))))</f>
        <v>④一般</v>
      </c>
    </row>
    <row r="87">
      <c r="A87" t="n" s="2909">
        <v>21</v>
      </c>
      <c r="AA87" t="n" s="2909">
        <v>21</v>
      </c>
      <c r="AB87" t="inlineStr" s="2909">
        <is>
          <t>19860401</t>
        </is>
      </c>
      <c r="AD87" t="n" s="2909">
        <v>11</v>
      </c>
      <c r="AE87" t="inlineStr" s="2909">
        <is>
          <t>20250401</t>
        </is>
      </c>
      <c r="AH87" t="n" s="2909">
        <v>1</v>
      </c>
      <c r="AJ87" t="n" s="2909">
        <v>10</v>
      </c>
      <c r="AP87" t="n" s="2909">
        <v>360000</v>
      </c>
      <c r="DB87" s="2909" t="str">
        <f>IF($A87="","",IF($AE87&amp;""&lt;&gt;'DB_設定'!$C$4,"対象外",IF($AH87=20,IF(OR($AJ87=10,$AJ87=11,$AJ87=18),"①病院一般",IF($AJ87=41,"②病院短期","対象外")),IF($AH87=5,IF($AJ87=30,"③特定消防","対象外"),IF(OR($AJ87=10,$AJ87=11,$AJ87=74),"④一般",IF(OR($AJ87=41,$AJ87=47),"⑤短期","対象外"))))))</f>
        <v>④一般</v>
      </c>
    </row>
    <row r="88">
      <c r="A88" t="n" s="2909">
        <v>21</v>
      </c>
      <c r="AA88" t="n" s="2909">
        <v>21</v>
      </c>
      <c r="AB88" t="inlineStr" s="2909">
        <is>
          <t>19860401</t>
        </is>
      </c>
      <c r="AD88" t="n" s="2909">
        <v>11</v>
      </c>
      <c r="AE88" t="inlineStr" s="2909">
        <is>
          <t>20250401</t>
        </is>
      </c>
      <c r="AH88" t="n" s="2909">
        <v>1</v>
      </c>
      <c r="AJ88" t="n" s="2909">
        <v>10</v>
      </c>
      <c r="AP88" t="n" s="2909">
        <v>410000</v>
      </c>
      <c r="DB88" s="2909" t="str">
        <f>IF($A88="","",IF($AE88&amp;""&lt;&gt;'DB_設定'!$C$4,"対象外",IF($AH88=20,IF(OR($AJ88=10,$AJ88=11,$AJ88=18),"①病院一般",IF($AJ88=41,"②病院短期","対象外")),IF($AH88=5,IF($AJ88=30,"③特定消防","対象外"),IF(OR($AJ88=10,$AJ88=11,$AJ88=74),"④一般",IF(OR($AJ88=41,$AJ88=47),"⑤短期","対象外"))))))</f>
        <v>④一般</v>
      </c>
    </row>
    <row r="89">
      <c r="A89" t="n" s="2909">
        <v>21</v>
      </c>
      <c r="AA89" t="n" s="2909">
        <v>21</v>
      </c>
      <c r="AB89" t="inlineStr" s="2909">
        <is>
          <t>19860401</t>
        </is>
      </c>
      <c r="AD89" t="n" s="2909">
        <v>12</v>
      </c>
      <c r="AE89" t="inlineStr" s="2909">
        <is>
          <t>20250401</t>
        </is>
      </c>
      <c r="AH89" t="n" s="2909">
        <v>1</v>
      </c>
      <c r="AJ89" t="n" s="2909">
        <v>10</v>
      </c>
      <c r="AP89" t="n" s="2909">
        <v>500000</v>
      </c>
      <c r="DB89" s="2909" t="str">
        <f>IF($A89="","",IF($AE89&amp;""&lt;&gt;'DB_設定'!$C$4,"対象外",IF($AH89=20,IF(OR($AJ89=10,$AJ89=11,$AJ89=18),"①病院一般",IF($AJ89=41,"②病院短期","対象外")),IF($AH89=5,IF($AJ89=30,"③特定消防","対象外"),IF(OR($AJ89=10,$AJ89=11,$AJ89=74),"④一般",IF(OR($AJ89=41,$AJ89=47),"⑤短期","対象外"))))))</f>
        <v>④一般</v>
      </c>
    </row>
    <row r="90">
      <c r="A90" t="n" s="2909">
        <v>21</v>
      </c>
      <c r="AA90" t="n" s="2909">
        <v>21</v>
      </c>
      <c r="AB90" t="inlineStr" s="2909">
        <is>
          <t>19860401</t>
        </is>
      </c>
      <c r="AD90" t="n" s="2909">
        <v>11</v>
      </c>
      <c r="AE90" t="inlineStr" s="2909">
        <is>
          <t>20250401</t>
        </is>
      </c>
      <c r="AH90" t="n" s="2909">
        <v>1</v>
      </c>
      <c r="AJ90" t="n" s="2909">
        <v>10</v>
      </c>
      <c r="AP90" t="n" s="2909">
        <v>530000</v>
      </c>
      <c r="DB90" s="2909" t="str">
        <f>IF($A90="","",IF($AE90&amp;""&lt;&gt;'DB_設定'!$C$4,"対象外",IF($AH90=20,IF(OR($AJ90=10,$AJ90=11,$AJ90=18),"①病院一般",IF($AJ90=41,"②病院短期","対象外")),IF($AH90=5,IF($AJ90=30,"③特定消防","対象外"),IF(OR($AJ90=10,$AJ90=11,$AJ90=74),"④一般",IF(OR($AJ90=41,$AJ90=47),"⑤短期","対象外"))))))</f>
        <v>④一般</v>
      </c>
    </row>
    <row r="91">
      <c r="A91" t="n" s="2909">
        <v>21</v>
      </c>
      <c r="AA91" t="n" s="2909">
        <v>21</v>
      </c>
      <c r="AB91" t="inlineStr" s="2909">
        <is>
          <t>19860701</t>
        </is>
      </c>
      <c r="AD91" t="n" s="2909">
        <v>11</v>
      </c>
      <c r="AE91" t="inlineStr" s="2909">
        <is>
          <t>20250401</t>
        </is>
      </c>
      <c r="AH91" t="n" s="2909">
        <v>1</v>
      </c>
      <c r="AJ91" t="n" s="2909">
        <v>10</v>
      </c>
      <c r="AP91" t="n" s="2909">
        <v>340000</v>
      </c>
      <c r="DB91" s="2909" t="str">
        <f>IF($A91="","",IF($AE91&amp;""&lt;&gt;'DB_設定'!$C$4,"対象外",IF($AH91=20,IF(OR($AJ91=10,$AJ91=11,$AJ91=18),"①病院一般",IF($AJ91=41,"②病院短期","対象外")),IF($AH91=5,IF($AJ91=30,"③特定消防","対象外"),IF(OR($AJ91=10,$AJ91=11,$AJ91=74),"④一般",IF(OR($AJ91=41,$AJ91=47),"⑤短期","対象外"))))))</f>
        <v>④一般</v>
      </c>
    </row>
    <row r="92">
      <c r="A92" t="n" s="2909">
        <v>21</v>
      </c>
      <c r="AA92" t="n" s="2909">
        <v>21</v>
      </c>
      <c r="AB92" t="inlineStr" s="2909">
        <is>
          <t>19860401</t>
        </is>
      </c>
      <c r="AD92" t="n" s="2909">
        <v>11</v>
      </c>
      <c r="AE92" t="inlineStr" s="2909">
        <is>
          <t>20250401</t>
        </is>
      </c>
      <c r="AH92" t="n" s="2909">
        <v>3</v>
      </c>
      <c r="AJ92" t="n" s="2909">
        <v>10</v>
      </c>
      <c r="AP92" t="n" s="2909">
        <v>410000</v>
      </c>
      <c r="DB92" s="2909" t="str">
        <f>IF($A92="","",IF($AE92&amp;""&lt;&gt;'DB_設定'!$C$4,"対象外",IF($AH92=20,IF(OR($AJ92=10,$AJ92=11,$AJ92=18),"①病院一般",IF($AJ92=41,"②病院短期","対象外")),IF($AH92=5,IF($AJ92=30,"③特定消防","対象外"),IF(OR($AJ92=10,$AJ92=11,$AJ92=74),"④一般",IF(OR($AJ92=41,$AJ92=47),"⑤短期","対象外"))))))</f>
        <v>④一般</v>
      </c>
    </row>
    <row r="93">
      <c r="A93" t="n" s="2909">
        <v>21</v>
      </c>
      <c r="AA93" t="n" s="2909">
        <v>21</v>
      </c>
      <c r="AB93" t="inlineStr" s="2909">
        <is>
          <t>19860401</t>
        </is>
      </c>
      <c r="AD93" t="n" s="2909">
        <v>11</v>
      </c>
      <c r="AE93" t="inlineStr" s="2909">
        <is>
          <t>20250401</t>
        </is>
      </c>
      <c r="AH93" t="n" s="2909">
        <v>4</v>
      </c>
      <c r="AJ93" t="n" s="2909">
        <v>10</v>
      </c>
      <c r="AP93" t="n" s="2909">
        <v>380000</v>
      </c>
      <c r="DB93" s="2909" t="str">
        <f>IF($A93="","",IF($AE93&amp;""&lt;&gt;'DB_設定'!$C$4,"対象外",IF($AH93=20,IF(OR($AJ93=10,$AJ93=11,$AJ93=18),"①病院一般",IF($AJ93=41,"②病院短期","対象外")),IF($AH93=5,IF($AJ93=30,"③特定消防","対象外"),IF(OR($AJ93=10,$AJ93=11,$AJ93=74),"④一般",IF(OR($AJ93=41,$AJ93=47),"⑤短期","対象外"))))))</f>
        <v>④一般</v>
      </c>
    </row>
    <row r="94">
      <c r="A94" t="n" s="2909">
        <v>21</v>
      </c>
      <c r="AA94" t="n" s="2909">
        <v>21</v>
      </c>
      <c r="AB94" t="inlineStr" s="2909">
        <is>
          <t>19870801</t>
        </is>
      </c>
      <c r="AD94" t="n" s="2909">
        <v>12</v>
      </c>
      <c r="AE94" t="inlineStr" s="2909">
        <is>
          <t>20250401</t>
        </is>
      </c>
      <c r="AH94" t="n" s="2909">
        <v>20</v>
      </c>
      <c r="AJ94" t="n" s="2909">
        <v>10</v>
      </c>
      <c r="AP94" t="n" s="2909">
        <v>590000</v>
      </c>
      <c r="DB94" s="2909" t="str">
        <f>IF($A94="","",IF($AE94&amp;""&lt;&gt;'DB_設定'!$C$4,"対象外",IF($AH94=20,IF(OR($AJ94=10,$AJ94=11,$AJ94=18),"①病院一般",IF($AJ94=41,"②病院短期","対象外")),IF($AH94=5,IF($AJ94=30,"③特定消防","対象外"),IF(OR($AJ94=10,$AJ94=11,$AJ94=74),"④一般",IF(OR($AJ94=41,$AJ94=47),"⑤短期","対象外"))))))</f>
        <v>①病院一般</v>
      </c>
    </row>
    <row r="95">
      <c r="A95" t="n" s="2909">
        <v>21</v>
      </c>
      <c r="AA95" t="n" s="2909">
        <v>21</v>
      </c>
      <c r="AB95" t="inlineStr" s="2909">
        <is>
          <t>19870501</t>
        </is>
      </c>
      <c r="AD95" t="n" s="2909">
        <v>12</v>
      </c>
      <c r="AE95" t="inlineStr" s="2909">
        <is>
          <t>20250401</t>
        </is>
      </c>
      <c r="AH95" t="n" s="2909">
        <v>20</v>
      </c>
      <c r="AJ95" t="n" s="2909">
        <v>10</v>
      </c>
      <c r="AP95" t="n" s="2909">
        <v>360000</v>
      </c>
      <c r="DB95" s="2909" t="str">
        <f>IF($A95="","",IF($AE95&amp;""&lt;&gt;'DB_設定'!$C$4,"対象外",IF($AH95=20,IF(OR($AJ95=10,$AJ95=11,$AJ95=18),"①病院一般",IF($AJ95=41,"②病院短期","対象外")),IF($AH95=5,IF($AJ95=30,"③特定消防","対象外"),IF(OR($AJ95=10,$AJ95=11,$AJ95=74),"④一般",IF(OR($AJ95=41,$AJ95=47),"⑤短期","対象外"))))))</f>
        <v>①病院一般</v>
      </c>
    </row>
    <row r="96">
      <c r="A96" t="n" s="2909">
        <v>21</v>
      </c>
      <c r="AA96" t="n" s="2909">
        <v>21</v>
      </c>
      <c r="AB96" t="inlineStr" s="2909">
        <is>
          <t>19870501</t>
        </is>
      </c>
      <c r="AD96" t="n" s="2909">
        <v>12</v>
      </c>
      <c r="AE96" t="inlineStr" s="2909">
        <is>
          <t>20250401</t>
        </is>
      </c>
      <c r="AH96" t="n" s="2909">
        <v>1</v>
      </c>
      <c r="AJ96" t="n" s="2909">
        <v>10</v>
      </c>
      <c r="AP96" t="n" s="2909">
        <v>530000</v>
      </c>
      <c r="DB96" s="2909" t="str">
        <f>IF($A96="","",IF($AE96&amp;""&lt;&gt;'DB_設定'!$C$4,"対象外",IF($AH96=20,IF(OR($AJ96=10,$AJ96=11,$AJ96=18),"①病院一般",IF($AJ96=41,"②病院短期","対象外")),IF($AH96=5,IF($AJ96=30,"③特定消防","対象外"),IF(OR($AJ96=10,$AJ96=11,$AJ96=74),"④一般",IF(OR($AJ96=41,$AJ96=47),"⑤短期","対象外"))))))</f>
        <v>④一般</v>
      </c>
    </row>
    <row r="97">
      <c r="A97" t="n" s="2909">
        <v>21</v>
      </c>
      <c r="AA97" t="n" s="2909">
        <v>21</v>
      </c>
      <c r="AB97" t="inlineStr" s="2909">
        <is>
          <t>19870701</t>
        </is>
      </c>
      <c r="AD97" t="n" s="2909">
        <v>12</v>
      </c>
      <c r="AE97" t="inlineStr" s="2909">
        <is>
          <t>20250401</t>
        </is>
      </c>
      <c r="AH97" t="n" s="2909">
        <v>20</v>
      </c>
      <c r="AJ97" t="n" s="2909">
        <v>10</v>
      </c>
      <c r="AP97" t="n" s="2909">
        <v>380000</v>
      </c>
      <c r="DB97" s="2909" t="str">
        <f>IF($A97="","",IF($AE97&amp;""&lt;&gt;'DB_設定'!$C$4,"対象外",IF($AH97=20,IF(OR($AJ97=10,$AJ97=11,$AJ97=18),"①病院一般",IF($AJ97=41,"②病院短期","対象外")),IF($AH97=5,IF($AJ97=30,"③特定消防","対象外"),IF(OR($AJ97=10,$AJ97=11,$AJ97=74),"④一般",IF(OR($AJ97=41,$AJ97=47),"⑤短期","対象外"))))))</f>
        <v>①病院一般</v>
      </c>
    </row>
    <row r="98">
      <c r="A98" t="n" s="2909">
        <v>21</v>
      </c>
      <c r="AA98" t="n" s="2909">
        <v>21</v>
      </c>
      <c r="AB98" t="inlineStr" s="2909">
        <is>
          <t>19870401</t>
        </is>
      </c>
      <c r="AD98" t="n" s="2909">
        <v>12</v>
      </c>
      <c r="AE98" t="inlineStr" s="2909">
        <is>
          <t>20250401</t>
        </is>
      </c>
      <c r="AH98" t="n" s="2909">
        <v>5</v>
      </c>
      <c r="AJ98" t="n" s="2909">
        <v>30</v>
      </c>
      <c r="AP98" t="n" s="2909">
        <v>500000</v>
      </c>
      <c r="DB98" s="2909" t="str">
        <f>IF($A98="","",IF($AE98&amp;""&lt;&gt;'DB_設定'!$C$4,"対象外",IF($AH98=20,IF(OR($AJ98=10,$AJ98=11,$AJ98=18),"①病院一般",IF($AJ98=41,"②病院短期","対象外")),IF($AH98=5,IF($AJ98=30,"③特定消防","対象外"),IF(OR($AJ98=10,$AJ98=11,$AJ98=74),"④一般",IF(OR($AJ98=41,$AJ98=47),"⑤短期","対象外"))))))</f>
        <v>③特定消防</v>
      </c>
    </row>
    <row r="99">
      <c r="A99" t="n" s="2909">
        <v>21</v>
      </c>
      <c r="AA99" t="n" s="2909">
        <v>21</v>
      </c>
      <c r="AB99" t="inlineStr" s="2909">
        <is>
          <t>19870401</t>
        </is>
      </c>
      <c r="AD99" t="n" s="2909">
        <v>11</v>
      </c>
      <c r="AE99" t="inlineStr" s="2909">
        <is>
          <t>20250401</t>
        </is>
      </c>
      <c r="AH99" t="n" s="2909">
        <v>5</v>
      </c>
      <c r="AJ99" t="n" s="2909">
        <v>30</v>
      </c>
      <c r="AP99" t="n" s="2909">
        <v>340000</v>
      </c>
      <c r="DB99" s="2909" t="str">
        <f>IF($A99="","",IF($AE99&amp;""&lt;&gt;'DB_設定'!$C$4,"対象外",IF($AH99=20,IF(OR($AJ99=10,$AJ99=11,$AJ99=18),"①病院一般",IF($AJ99=41,"②病院短期","対象外")),IF($AH99=5,IF($AJ99=30,"③特定消防","対象外"),IF(OR($AJ99=10,$AJ99=11,$AJ99=74),"④一般",IF(OR($AJ99=41,$AJ99=47),"⑤短期","対象外"))))))</f>
        <v>③特定消防</v>
      </c>
    </row>
    <row r="100">
      <c r="A100" t="n" s="2909">
        <v>21</v>
      </c>
      <c r="AA100" t="n" s="2909">
        <v>21</v>
      </c>
      <c r="AB100" t="inlineStr" s="2909">
        <is>
          <t>19870401</t>
        </is>
      </c>
      <c r="AD100" t="n" s="2909">
        <v>11</v>
      </c>
      <c r="AE100" t="inlineStr" s="2909">
        <is>
          <t>20250401</t>
        </is>
      </c>
      <c r="AH100" t="n" s="2909">
        <v>5</v>
      </c>
      <c r="AJ100" t="n" s="2909">
        <v>30</v>
      </c>
      <c r="AP100" t="n" s="2909">
        <v>360000</v>
      </c>
      <c r="DB100" s="2909" t="str">
        <f>IF($A100="","",IF($AE100&amp;""&lt;&gt;'DB_設定'!$C$4,"対象外",IF($AH100=20,IF(OR($AJ100=10,$AJ100=11,$AJ100=18),"①病院一般",IF($AJ100=41,"②病院短期","対象外")),IF($AH100=5,IF($AJ100=30,"③特定消防","対象外"),IF(OR($AJ100=10,$AJ100=11,$AJ100=74),"④一般",IF(OR($AJ100=41,$AJ100=47),"⑤短期","対象外"))))))</f>
        <v>③特定消防</v>
      </c>
    </row>
    <row r="101">
      <c r="A101" t="n" s="2909">
        <v>21</v>
      </c>
      <c r="AA101" t="n" s="2909">
        <v>21</v>
      </c>
      <c r="AB101" t="inlineStr" s="2909">
        <is>
          <t>19870401</t>
        </is>
      </c>
      <c r="AD101" t="n" s="2909">
        <v>11</v>
      </c>
      <c r="AE101" t="inlineStr" s="2909">
        <is>
          <t>20250401</t>
        </is>
      </c>
      <c r="AH101" t="n" s="2909">
        <v>5</v>
      </c>
      <c r="AJ101" t="n" s="2909">
        <v>30</v>
      </c>
      <c r="AP101" t="n" s="2909">
        <v>340000</v>
      </c>
      <c r="DB101" s="2909" t="str">
        <f>IF($A101="","",IF($AE101&amp;""&lt;&gt;'DB_設定'!$C$4,"対象外",IF($AH101=20,IF(OR($AJ101=10,$AJ101=11,$AJ101=18),"①病院一般",IF($AJ101=41,"②病院短期","対象外")),IF($AH101=5,IF($AJ101=30,"③特定消防","対象外"),IF(OR($AJ101=10,$AJ101=11,$AJ101=74),"④一般",IF(OR($AJ101=41,$AJ101=47),"⑤短期","対象外"))))))</f>
        <v>③特定消防</v>
      </c>
    </row>
    <row r="102">
      <c r="A102" t="n" s="2909">
        <v>21</v>
      </c>
      <c r="AA102" t="n" s="2909">
        <v>21</v>
      </c>
      <c r="AB102" t="inlineStr" s="2909">
        <is>
          <t>19870401</t>
        </is>
      </c>
      <c r="AD102" t="n" s="2909">
        <v>11</v>
      </c>
      <c r="AE102" t="inlineStr" s="2909">
        <is>
          <t>20250401</t>
        </is>
      </c>
      <c r="AH102" t="n" s="2909">
        <v>1</v>
      </c>
      <c r="AJ102" t="n" s="2909">
        <v>10</v>
      </c>
      <c r="AP102" t="n" s="2909">
        <v>340000</v>
      </c>
      <c r="DB102" s="2909" t="str">
        <f>IF($A102="","",IF($AE102&amp;""&lt;&gt;'DB_設定'!$C$4,"対象外",IF($AH102=20,IF(OR($AJ102=10,$AJ102=11,$AJ102=18),"①病院一般",IF($AJ102=41,"②病院短期","対象外")),IF($AH102=5,IF($AJ102=30,"③特定消防","対象外"),IF(OR($AJ102=10,$AJ102=11,$AJ102=74),"④一般",IF(OR($AJ102=41,$AJ102=47),"⑤短期","対象外"))))))</f>
        <v>④一般</v>
      </c>
    </row>
    <row r="103">
      <c r="A103" t="n" s="2909">
        <v>21</v>
      </c>
      <c r="AA103" t="n" s="2909">
        <v>21</v>
      </c>
      <c r="AB103" t="inlineStr" s="2909">
        <is>
          <t>19870401</t>
        </is>
      </c>
      <c r="AD103" t="n" s="2909">
        <v>12</v>
      </c>
      <c r="AE103" t="inlineStr" s="2909">
        <is>
          <t>20250401</t>
        </is>
      </c>
      <c r="AH103" t="n" s="2909">
        <v>1</v>
      </c>
      <c r="AJ103" t="n" s="2909">
        <v>10</v>
      </c>
      <c r="AP103" t="n" s="2909">
        <v>620000</v>
      </c>
      <c r="DB103" s="2909" t="str">
        <f>IF($A103="","",IF($AE103&amp;""&lt;&gt;'DB_設定'!$C$4,"対象外",IF($AH103=20,IF(OR($AJ103=10,$AJ103=11,$AJ103=18),"①病院一般",IF($AJ103=41,"②病院短期","対象外")),IF($AH103=5,IF($AJ103=30,"③特定消防","対象外"),IF(OR($AJ103=10,$AJ103=11,$AJ103=74),"④一般",IF(OR($AJ103=41,$AJ103=47),"⑤短期","対象外"))))))</f>
        <v>④一般</v>
      </c>
    </row>
    <row r="104">
      <c r="A104" t="n" s="2909">
        <v>21</v>
      </c>
      <c r="AA104" t="n" s="2909">
        <v>21</v>
      </c>
      <c r="AB104" t="inlineStr" s="2909">
        <is>
          <t>19870401</t>
        </is>
      </c>
      <c r="AD104" t="n" s="2909">
        <v>11</v>
      </c>
      <c r="AE104" t="inlineStr" s="2909">
        <is>
          <t>20250401</t>
        </is>
      </c>
      <c r="AH104" t="n" s="2909">
        <v>1</v>
      </c>
      <c r="AJ104" t="n" s="2909">
        <v>10</v>
      </c>
      <c r="AP104" t="n" s="2909">
        <v>440000</v>
      </c>
      <c r="DB104" s="2909" t="str">
        <f>IF($A104="","",IF($AE104&amp;""&lt;&gt;'DB_設定'!$C$4,"対象外",IF($AH104=20,IF(OR($AJ104=10,$AJ104=11,$AJ104=18),"①病院一般",IF($AJ104=41,"②病院短期","対象外")),IF($AH104=5,IF($AJ104=30,"③特定消防","対象外"),IF(OR($AJ104=10,$AJ104=11,$AJ104=74),"④一般",IF(OR($AJ104=41,$AJ104=47),"⑤短期","対象外"))))))</f>
        <v>④一般</v>
      </c>
    </row>
    <row r="105">
      <c r="A105" t="n" s="2909">
        <v>21</v>
      </c>
      <c r="AA105" t="n" s="2909">
        <v>21</v>
      </c>
      <c r="AB105" t="inlineStr" s="2909">
        <is>
          <t>19870401</t>
        </is>
      </c>
      <c r="AD105" t="n" s="2909">
        <v>11</v>
      </c>
      <c r="AE105" t="inlineStr" s="2909">
        <is>
          <t>20250401</t>
        </is>
      </c>
      <c r="AH105" t="n" s="2909">
        <v>1</v>
      </c>
      <c r="AJ105" t="n" s="2909">
        <v>10</v>
      </c>
      <c r="AP105" t="n" s="2909">
        <v>440000</v>
      </c>
      <c r="DB105" s="2909" t="str">
        <f>IF($A105="","",IF($AE105&amp;""&lt;&gt;'DB_設定'!$C$4,"対象外",IF($AH105=20,IF(OR($AJ105=10,$AJ105=11,$AJ105=18),"①病院一般",IF($AJ105=41,"②病院短期","対象外")),IF($AH105=5,IF($AJ105=30,"③特定消防","対象外"),IF(OR($AJ105=10,$AJ105=11,$AJ105=74),"④一般",IF(OR($AJ105=41,$AJ105=47),"⑤短期","対象外"))))))</f>
        <v>④一般</v>
      </c>
    </row>
    <row r="106">
      <c r="A106" t="n" s="2909">
        <v>21</v>
      </c>
      <c r="AA106" t="n" s="2909">
        <v>21</v>
      </c>
      <c r="AB106" t="inlineStr" s="2909">
        <is>
          <t>19870401</t>
        </is>
      </c>
      <c r="AD106" t="n" s="2909">
        <v>11</v>
      </c>
      <c r="AE106" t="inlineStr" s="2909">
        <is>
          <t>20250401</t>
        </is>
      </c>
      <c r="AH106" t="n" s="2909">
        <v>1</v>
      </c>
      <c r="AJ106" t="n" s="2909">
        <v>10</v>
      </c>
      <c r="AP106" t="n" s="2909">
        <v>380000</v>
      </c>
      <c r="DB106" s="2909" t="str">
        <f>IF($A106="","",IF($AE106&amp;""&lt;&gt;'DB_設定'!$C$4,"対象外",IF($AH106=20,IF(OR($AJ106=10,$AJ106=11,$AJ106=18),"①病院一般",IF($AJ106=41,"②病院短期","対象外")),IF($AH106=5,IF($AJ106=30,"③特定消防","対象外"),IF(OR($AJ106=10,$AJ106=11,$AJ106=74),"④一般",IF(OR($AJ106=41,$AJ106=47),"⑤短期","対象外"))))))</f>
        <v>④一般</v>
      </c>
    </row>
    <row r="107">
      <c r="A107" t="n" s="2909">
        <v>21</v>
      </c>
      <c r="AA107" t="n" s="2909">
        <v>21</v>
      </c>
      <c r="AB107" t="inlineStr" s="2909">
        <is>
          <t>19870401</t>
        </is>
      </c>
      <c r="AD107" t="n" s="2909">
        <v>12</v>
      </c>
      <c r="AE107" t="inlineStr" s="2909">
        <is>
          <t>20250401</t>
        </is>
      </c>
      <c r="AH107" t="n" s="2909">
        <v>1</v>
      </c>
      <c r="AJ107" t="n" s="2909">
        <v>10</v>
      </c>
      <c r="AP107" t="n" s="2909">
        <v>340000</v>
      </c>
      <c r="DB107" s="2909" t="str">
        <f>IF($A107="","",IF($AE107&amp;""&lt;&gt;'DB_設定'!$C$4,"対象外",IF($AH107=20,IF(OR($AJ107=10,$AJ107=11,$AJ107=18),"①病院一般",IF($AJ107=41,"②病院短期","対象外")),IF($AH107=5,IF($AJ107=30,"③特定消防","対象外"),IF(OR($AJ107=10,$AJ107=11,$AJ107=74),"④一般",IF(OR($AJ107=41,$AJ107=47),"⑤短期","対象外"))))))</f>
        <v>④一般</v>
      </c>
    </row>
    <row r="108">
      <c r="A108" t="n" s="2909">
        <v>21</v>
      </c>
      <c r="AA108" t="n" s="2909">
        <v>21</v>
      </c>
      <c r="AB108" t="inlineStr" s="2909">
        <is>
          <t>19870401</t>
        </is>
      </c>
      <c r="AD108" t="n" s="2909">
        <v>12</v>
      </c>
      <c r="AE108" t="inlineStr" s="2909">
        <is>
          <t>20250401</t>
        </is>
      </c>
      <c r="AH108" t="n" s="2909">
        <v>1</v>
      </c>
      <c r="AJ108" t="n" s="2909">
        <v>10</v>
      </c>
      <c r="AP108" t="n" s="2909">
        <v>710000</v>
      </c>
      <c r="DB108" s="2909" t="str">
        <f>IF($A108="","",IF($AE108&amp;""&lt;&gt;'DB_設定'!$C$4,"対象外",IF($AH108=20,IF(OR($AJ108=10,$AJ108=11,$AJ108=18),"①病院一般",IF($AJ108=41,"②病院短期","対象外")),IF($AH108=5,IF($AJ108=30,"③特定消防","対象外"),IF(OR($AJ108=10,$AJ108=11,$AJ108=74),"④一般",IF(OR($AJ108=41,$AJ108=47),"⑤短期","対象外"))))))</f>
        <v>④一般</v>
      </c>
    </row>
    <row r="109">
      <c r="A109" t="n" s="2909">
        <v>21</v>
      </c>
      <c r="AA109" t="n" s="2909">
        <v>21</v>
      </c>
      <c r="AB109" t="inlineStr" s="2909">
        <is>
          <t>19870401</t>
        </is>
      </c>
      <c r="AD109" t="n" s="2909">
        <v>11</v>
      </c>
      <c r="AE109" t="inlineStr" s="2909">
        <is>
          <t>20250401</t>
        </is>
      </c>
      <c r="AH109" t="n" s="2909">
        <v>1</v>
      </c>
      <c r="AJ109" t="n" s="2909">
        <v>10</v>
      </c>
      <c r="AP109" t="n" s="2909">
        <v>380000</v>
      </c>
      <c r="DB109" s="2909" t="str">
        <f>IF($A109="","",IF($AE109&amp;""&lt;&gt;'DB_設定'!$C$4,"対象外",IF($AH109=20,IF(OR($AJ109=10,$AJ109=11,$AJ109=18),"①病院一般",IF($AJ109=41,"②病院短期","対象外")),IF($AH109=5,IF($AJ109=30,"③特定消防","対象外"),IF(OR($AJ109=10,$AJ109=11,$AJ109=74),"④一般",IF(OR($AJ109=41,$AJ109=47),"⑤短期","対象外"))))))</f>
        <v>④一般</v>
      </c>
    </row>
    <row r="110">
      <c r="A110" t="n" s="2909">
        <v>21</v>
      </c>
      <c r="AA110" t="n" s="2909">
        <v>21</v>
      </c>
      <c r="AB110" t="inlineStr" s="2909">
        <is>
          <t>19870401</t>
        </is>
      </c>
      <c r="AD110" t="n" s="2909">
        <v>12</v>
      </c>
      <c r="AE110" t="inlineStr" s="2909">
        <is>
          <t>20250401</t>
        </is>
      </c>
      <c r="AH110" t="n" s="2909">
        <v>13</v>
      </c>
      <c r="AJ110" t="n" s="2909">
        <v>10</v>
      </c>
      <c r="AP110" t="n" s="2909">
        <v>710000</v>
      </c>
      <c r="DB110" s="2909" t="str">
        <f>IF($A110="","",IF($AE110&amp;""&lt;&gt;'DB_設定'!$C$4,"対象外",IF($AH110=20,IF(OR($AJ110=10,$AJ110=11,$AJ110=18),"①病院一般",IF($AJ110=41,"②病院短期","対象外")),IF($AH110=5,IF($AJ110=30,"③特定消防","対象外"),IF(OR($AJ110=10,$AJ110=11,$AJ110=74),"④一般",IF(OR($AJ110=41,$AJ110=47),"⑤短期","対象外"))))))</f>
        <v>④一般</v>
      </c>
    </row>
    <row r="111">
      <c r="A111" t="n" s="2909">
        <v>21</v>
      </c>
      <c r="AA111" t="n" s="2909">
        <v>21</v>
      </c>
      <c r="AB111" t="inlineStr" s="2909">
        <is>
          <t>19870401</t>
        </is>
      </c>
      <c r="AD111" t="n" s="2909">
        <v>11</v>
      </c>
      <c r="AE111" t="inlineStr" s="2909">
        <is>
          <t>20250401</t>
        </is>
      </c>
      <c r="AH111" t="n" s="2909">
        <v>1</v>
      </c>
      <c r="AJ111" t="n" s="2909">
        <v>10</v>
      </c>
      <c r="AP111" t="n" s="2909">
        <v>380000</v>
      </c>
      <c r="DB111" s="2909" t="str">
        <f>IF($A111="","",IF($AE111&amp;""&lt;&gt;'DB_設定'!$C$4,"対象外",IF($AH111=20,IF(OR($AJ111=10,$AJ111=11,$AJ111=18),"①病院一般",IF($AJ111=41,"②病院短期","対象外")),IF($AH111=5,IF($AJ111=30,"③特定消防","対象外"),IF(OR($AJ111=10,$AJ111=11,$AJ111=74),"④一般",IF(OR($AJ111=41,$AJ111=47),"⑤短期","対象外"))))))</f>
        <v>④一般</v>
      </c>
    </row>
    <row r="112">
      <c r="A112" t="n" s="2909">
        <v>21</v>
      </c>
      <c r="AA112" t="n" s="2909">
        <v>21</v>
      </c>
      <c r="AB112" t="inlineStr" s="2909">
        <is>
          <t>19870401</t>
        </is>
      </c>
      <c r="AD112" t="n" s="2909">
        <v>12</v>
      </c>
      <c r="AE112" t="inlineStr" s="2909">
        <is>
          <t>20250401</t>
        </is>
      </c>
      <c r="AH112" t="n" s="2909">
        <v>1</v>
      </c>
      <c r="AJ112" t="n" s="2909">
        <v>10</v>
      </c>
      <c r="AP112" t="n" s="2909">
        <v>650000</v>
      </c>
      <c r="DB112" s="2909" t="str">
        <f>IF($A112="","",IF($AE112&amp;""&lt;&gt;'DB_設定'!$C$4,"対象外",IF($AH112=20,IF(OR($AJ112=10,$AJ112=11,$AJ112=18),"①病院一般",IF($AJ112=41,"②病院短期","対象外")),IF($AH112=5,IF($AJ112=30,"③特定消防","対象外"),IF(OR($AJ112=10,$AJ112=11,$AJ112=74),"④一般",IF(OR($AJ112=41,$AJ112=47),"⑤短期","対象外"))))))</f>
        <v>④一般</v>
      </c>
    </row>
    <row r="113">
      <c r="A113" t="n" s="2909">
        <v>21</v>
      </c>
      <c r="AA113" t="n" s="2909">
        <v>21</v>
      </c>
      <c r="AB113" t="inlineStr" s="2909">
        <is>
          <t>19870401</t>
        </is>
      </c>
      <c r="AD113" t="n" s="2909">
        <v>12</v>
      </c>
      <c r="AE113" t="inlineStr" s="2909">
        <is>
          <t>20250401</t>
        </is>
      </c>
      <c r="AH113" t="n" s="2909">
        <v>1</v>
      </c>
      <c r="AJ113" t="n" s="2909">
        <v>10</v>
      </c>
      <c r="AP113" t="n" s="2909">
        <v>560000</v>
      </c>
      <c r="DB113" s="2909" t="str">
        <f>IF($A113="","",IF($AE113&amp;""&lt;&gt;'DB_設定'!$C$4,"対象外",IF($AH113=20,IF(OR($AJ113=10,$AJ113=11,$AJ113=18),"①病院一般",IF($AJ113=41,"②病院短期","対象外")),IF($AH113=5,IF($AJ113=30,"③特定消防","対象外"),IF(OR($AJ113=10,$AJ113=11,$AJ113=74),"④一般",IF(OR($AJ113=41,$AJ113=47),"⑤短期","対象外"))))))</f>
        <v>④一般</v>
      </c>
    </row>
    <row r="114">
      <c r="A114" t="n" s="2909">
        <v>21</v>
      </c>
      <c r="AA114" t="n" s="2909">
        <v>21</v>
      </c>
      <c r="AB114" t="inlineStr" s="2909">
        <is>
          <t>19870401</t>
        </is>
      </c>
      <c r="AD114" t="n" s="2909">
        <v>12</v>
      </c>
      <c r="AE114" t="inlineStr" s="2909">
        <is>
          <t>20250401</t>
        </is>
      </c>
      <c r="AH114" t="n" s="2909">
        <v>1</v>
      </c>
      <c r="AJ114" t="n" s="2909">
        <v>10</v>
      </c>
      <c r="AP114" t="n" s="2909">
        <v>650000</v>
      </c>
      <c r="DB114" s="2909" t="str">
        <f>IF($A114="","",IF($AE114&amp;""&lt;&gt;'DB_設定'!$C$4,"対象外",IF($AH114=20,IF(OR($AJ114=10,$AJ114=11,$AJ114=18),"①病院一般",IF($AJ114=41,"②病院短期","対象外")),IF($AH114=5,IF($AJ114=30,"③特定消防","対象外"),IF(OR($AJ114=10,$AJ114=11,$AJ114=74),"④一般",IF(OR($AJ114=41,$AJ114=47),"⑤短期","対象外"))))))</f>
        <v>④一般</v>
      </c>
    </row>
    <row r="115">
      <c r="A115" t="n" s="2909">
        <v>21</v>
      </c>
      <c r="AA115" t="n" s="2909">
        <v>21</v>
      </c>
      <c r="AB115" t="inlineStr" s="2909">
        <is>
          <t>19870401</t>
        </is>
      </c>
      <c r="AD115" t="n" s="2909">
        <v>12</v>
      </c>
      <c r="AE115" t="inlineStr" s="2909">
        <is>
          <t>20250401</t>
        </is>
      </c>
      <c r="AH115" t="n" s="2909">
        <v>1</v>
      </c>
      <c r="AJ115" t="n" s="2909">
        <v>10</v>
      </c>
      <c r="AP115" t="n" s="2909">
        <v>590000</v>
      </c>
      <c r="DB115" s="2909" t="str">
        <f>IF($A115="","",IF($AE115&amp;""&lt;&gt;'DB_設定'!$C$4,"対象外",IF($AH115=20,IF(OR($AJ115=10,$AJ115=11,$AJ115=18),"①病院一般",IF($AJ115=41,"②病院短期","対象外")),IF($AH115=5,IF($AJ115=30,"③特定消防","対象外"),IF(OR($AJ115=10,$AJ115=11,$AJ115=74),"④一般",IF(OR($AJ115=41,$AJ115=47),"⑤短期","対象外"))))))</f>
        <v>④一般</v>
      </c>
    </row>
    <row r="116">
      <c r="A116" t="n" s="2909">
        <v>21</v>
      </c>
      <c r="AA116" t="n" s="2909">
        <v>24</v>
      </c>
      <c r="AB116" t="inlineStr" s="2909">
        <is>
          <t>20190401</t>
        </is>
      </c>
      <c r="AD116" t="n" s="2909">
        <v>11</v>
      </c>
      <c r="AE116" t="inlineStr" s="2909">
        <is>
          <t>20250401</t>
        </is>
      </c>
      <c r="AH116" t="n" s="2909">
        <v>1</v>
      </c>
      <c r="AJ116" t="n" s="2909">
        <v>10</v>
      </c>
      <c r="AP116" t="n" s="2909">
        <v>560000</v>
      </c>
      <c r="DB116" s="2909" t="str">
        <f>IF($A116="","",IF($AE116&amp;""&lt;&gt;'DB_設定'!$C$4,"対象外",IF($AH116=20,IF(OR($AJ116=10,$AJ116=11,$AJ116=18),"①病院一般",IF($AJ116=41,"②病院短期","対象外")),IF($AH116=5,IF($AJ116=30,"③特定消防","対象外"),IF(OR($AJ116=10,$AJ116=11,$AJ116=74),"④一般",IF(OR($AJ116=41,$AJ116=47),"⑤短期","対象外"))))))</f>
        <v>④一般</v>
      </c>
    </row>
    <row r="117">
      <c r="A117" t="n" s="2909">
        <v>21</v>
      </c>
      <c r="AA117" t="n" s="2909">
        <v>21</v>
      </c>
      <c r="AB117" t="inlineStr" s="2909">
        <is>
          <t>19870401</t>
        </is>
      </c>
      <c r="AD117" t="n" s="2909">
        <v>11</v>
      </c>
      <c r="AE117" t="inlineStr" s="2909">
        <is>
          <t>20250401</t>
        </is>
      </c>
      <c r="AH117" t="n" s="2909">
        <v>1</v>
      </c>
      <c r="AJ117" t="n" s="2909">
        <v>10</v>
      </c>
      <c r="AP117" t="n" s="2909">
        <v>360000</v>
      </c>
      <c r="DB117" s="2909" t="str">
        <f>IF($A117="","",IF($AE117&amp;""&lt;&gt;'DB_設定'!$C$4,"対象外",IF($AH117=20,IF(OR($AJ117=10,$AJ117=11,$AJ117=18),"①病院一般",IF($AJ117=41,"②病院短期","対象外")),IF($AH117=5,IF($AJ117=30,"③特定消防","対象外"),IF(OR($AJ117=10,$AJ117=11,$AJ117=74),"④一般",IF(OR($AJ117=41,$AJ117=47),"⑤短期","対象外"))))))</f>
        <v>④一般</v>
      </c>
    </row>
    <row r="118">
      <c r="A118" t="n" s="2909">
        <v>21</v>
      </c>
      <c r="AA118" t="n" s="2909">
        <v>21</v>
      </c>
      <c r="AB118" t="inlineStr" s="2909">
        <is>
          <t>19870401</t>
        </is>
      </c>
      <c r="AD118" t="n" s="2909">
        <v>12</v>
      </c>
      <c r="AE118" t="inlineStr" s="2909">
        <is>
          <t>20250401</t>
        </is>
      </c>
      <c r="AH118" t="n" s="2909">
        <v>1</v>
      </c>
      <c r="AJ118" t="n" s="2909">
        <v>10</v>
      </c>
      <c r="AP118" t="n" s="2909">
        <v>500000</v>
      </c>
      <c r="DB118" s="2909" t="str">
        <f>IF($A118="","",IF($AE118&amp;""&lt;&gt;'DB_設定'!$C$4,"対象外",IF($AH118=20,IF(OR($AJ118=10,$AJ118=11,$AJ118=18),"①病院一般",IF($AJ118=41,"②病院短期","対象外")),IF($AH118=5,IF($AJ118=30,"③特定消防","対象外"),IF(OR($AJ118=10,$AJ118=11,$AJ118=74),"④一般",IF(OR($AJ118=41,$AJ118=47),"⑤短期","対象外"))))))</f>
        <v>④一般</v>
      </c>
    </row>
    <row r="119">
      <c r="A119" t="n" s="2909">
        <v>21</v>
      </c>
      <c r="AA119" t="n" s="2909">
        <v>21</v>
      </c>
      <c r="AB119" t="inlineStr" s="2909">
        <is>
          <t>19870401</t>
        </is>
      </c>
      <c r="AD119" t="n" s="2909">
        <v>12</v>
      </c>
      <c r="AE119" t="inlineStr" s="2909">
        <is>
          <t>20250401</t>
        </is>
      </c>
      <c r="AH119" t="n" s="2909">
        <v>1</v>
      </c>
      <c r="AJ119" t="n" s="2909">
        <v>10</v>
      </c>
      <c r="AP119" t="n" s="2909">
        <v>560000</v>
      </c>
      <c r="DB119" s="2909" t="str">
        <f>IF($A119="","",IF($AE119&amp;""&lt;&gt;'DB_設定'!$C$4,"対象外",IF($AH119=20,IF(OR($AJ119=10,$AJ119=11,$AJ119=18),"①病院一般",IF($AJ119=41,"②病院短期","対象外")),IF($AH119=5,IF($AJ119=30,"③特定消防","対象外"),IF(OR($AJ119=10,$AJ119=11,$AJ119=74),"④一般",IF(OR($AJ119=41,$AJ119=47),"⑤短期","対象外"))))))</f>
        <v>④一般</v>
      </c>
    </row>
    <row r="120">
      <c r="A120" t="n" s="2909">
        <v>21</v>
      </c>
      <c r="AA120" t="n" s="2909">
        <v>21</v>
      </c>
      <c r="AB120" t="inlineStr" s="2909">
        <is>
          <t>19870401</t>
        </is>
      </c>
      <c r="AD120" t="n" s="2909">
        <v>11</v>
      </c>
      <c r="AE120" t="inlineStr" s="2909">
        <is>
          <t>20250401</t>
        </is>
      </c>
      <c r="AH120" t="n" s="2909">
        <v>1</v>
      </c>
      <c r="AJ120" t="n" s="2909">
        <v>10</v>
      </c>
      <c r="AP120" t="n" s="2909">
        <v>380000</v>
      </c>
      <c r="DB120" s="2909" t="str">
        <f>IF($A120="","",IF($AE120&amp;""&lt;&gt;'DB_設定'!$C$4,"対象外",IF($AH120=20,IF(OR($AJ120=10,$AJ120=11,$AJ120=18),"①病院一般",IF($AJ120=41,"②病院短期","対象外")),IF($AH120=5,IF($AJ120=30,"③特定消防","対象外"),IF(OR($AJ120=10,$AJ120=11,$AJ120=74),"④一般",IF(OR($AJ120=41,$AJ120=47),"⑤短期","対象外"))))))</f>
        <v>④一般</v>
      </c>
    </row>
    <row r="121">
      <c r="A121" t="n" s="2909">
        <v>21</v>
      </c>
      <c r="AA121" t="n" s="2909">
        <v>21</v>
      </c>
      <c r="AB121" t="inlineStr" s="2909">
        <is>
          <t>19870401</t>
        </is>
      </c>
      <c r="AD121" t="n" s="2909">
        <v>12</v>
      </c>
      <c r="AE121" t="inlineStr" s="2909">
        <is>
          <t>20250401</t>
        </is>
      </c>
      <c r="AH121" t="n" s="2909">
        <v>11</v>
      </c>
      <c r="AJ121" t="n" s="2909">
        <v>10</v>
      </c>
      <c r="AP121" t="n" s="2909">
        <v>530000</v>
      </c>
      <c r="DB121" s="2909" t="str">
        <f>IF($A121="","",IF($AE121&amp;""&lt;&gt;'DB_設定'!$C$4,"対象外",IF($AH121=20,IF(OR($AJ121=10,$AJ121=11,$AJ121=18),"①病院一般",IF($AJ121=41,"②病院短期","対象外")),IF($AH121=5,IF($AJ121=30,"③特定消防","対象外"),IF(OR($AJ121=10,$AJ121=11,$AJ121=74),"④一般",IF(OR($AJ121=41,$AJ121=47),"⑤短期","対象外"))))))</f>
        <v>④一般</v>
      </c>
    </row>
    <row r="122">
      <c r="A122" t="n" s="2909">
        <v>21</v>
      </c>
      <c r="AA122" t="n" s="2909">
        <v>21</v>
      </c>
      <c r="AB122" t="inlineStr" s="2909">
        <is>
          <t>19870401</t>
        </is>
      </c>
      <c r="AD122" t="n" s="2909">
        <v>11</v>
      </c>
      <c r="AE122" t="inlineStr" s="2909">
        <is>
          <t>20250401</t>
        </is>
      </c>
      <c r="AH122" t="n" s="2909">
        <v>1</v>
      </c>
      <c r="AJ122" t="n" s="2909">
        <v>10</v>
      </c>
      <c r="AP122" t="n" s="2909">
        <v>360000</v>
      </c>
      <c r="DB122" s="2909" t="str">
        <f>IF($A122="","",IF($AE122&amp;""&lt;&gt;'DB_設定'!$C$4,"対象外",IF($AH122=20,IF(OR($AJ122=10,$AJ122=11,$AJ122=18),"①病院一般",IF($AJ122=41,"②病院短期","対象外")),IF($AH122=5,IF($AJ122=30,"③特定消防","対象外"),IF(OR($AJ122=10,$AJ122=11,$AJ122=74),"④一般",IF(OR($AJ122=41,$AJ122=47),"⑤短期","対象外"))))))</f>
        <v>④一般</v>
      </c>
    </row>
    <row r="123">
      <c r="A123" t="n" s="2909">
        <v>21</v>
      </c>
      <c r="AA123" t="n" s="2909">
        <v>21</v>
      </c>
      <c r="AB123" t="inlineStr" s="2909">
        <is>
          <t>19870401</t>
        </is>
      </c>
      <c r="AD123" t="n" s="2909">
        <v>12</v>
      </c>
      <c r="AE123" t="inlineStr" s="2909">
        <is>
          <t>20250401</t>
        </is>
      </c>
      <c r="AH123" t="n" s="2909">
        <v>1</v>
      </c>
      <c r="AJ123" t="n" s="2909">
        <v>10</v>
      </c>
      <c r="AP123" t="n" s="2909">
        <v>590000</v>
      </c>
      <c r="DB123" s="2909" t="str">
        <f>IF($A123="","",IF($AE123&amp;""&lt;&gt;'DB_設定'!$C$4,"対象外",IF($AH123=20,IF(OR($AJ123=10,$AJ123=11,$AJ123=18),"①病院一般",IF($AJ123=41,"②病院短期","対象外")),IF($AH123=5,IF($AJ123=30,"③特定消防","対象外"),IF(OR($AJ123=10,$AJ123=11,$AJ123=74),"④一般",IF(OR($AJ123=41,$AJ123=47),"⑤短期","対象外"))))))</f>
        <v>④一般</v>
      </c>
    </row>
    <row r="124">
      <c r="A124" t="n" s="2909">
        <v>21</v>
      </c>
      <c r="AA124" t="n" s="2909">
        <v>21</v>
      </c>
      <c r="AB124" t="inlineStr" s="2909">
        <is>
          <t>19870401</t>
        </is>
      </c>
      <c r="AD124" t="n" s="2909">
        <v>11</v>
      </c>
      <c r="AE124" t="inlineStr" s="2909">
        <is>
          <t>20250401</t>
        </is>
      </c>
      <c r="AH124" t="n" s="2909">
        <v>1</v>
      </c>
      <c r="AJ124" t="n" s="2909">
        <v>10</v>
      </c>
      <c r="AP124" t="n" s="2909">
        <v>360000</v>
      </c>
      <c r="DB124" s="2909" t="str">
        <f>IF($A124="","",IF($AE124&amp;""&lt;&gt;'DB_設定'!$C$4,"対象外",IF($AH124=20,IF(OR($AJ124=10,$AJ124=11,$AJ124=18),"①病院一般",IF($AJ124=41,"②病院短期","対象外")),IF($AH124=5,IF($AJ124=30,"③特定消防","対象外"),IF(OR($AJ124=10,$AJ124=11,$AJ124=74),"④一般",IF(OR($AJ124=41,$AJ124=47),"⑤短期","対象外"))))))</f>
        <v>④一般</v>
      </c>
    </row>
    <row r="125">
      <c r="A125" t="n" s="2909">
        <v>21</v>
      </c>
      <c r="AA125" t="n" s="2909">
        <v>21</v>
      </c>
      <c r="AB125" t="inlineStr" s="2909">
        <is>
          <t>19870401</t>
        </is>
      </c>
      <c r="AD125" t="n" s="2909">
        <v>12</v>
      </c>
      <c r="AE125" t="inlineStr" s="2909">
        <is>
          <t>20250401</t>
        </is>
      </c>
      <c r="AH125" t="n" s="2909">
        <v>21</v>
      </c>
      <c r="AJ125" t="n" s="2909">
        <v>74</v>
      </c>
      <c r="AP125" t="n" s="2909">
        <v>560000</v>
      </c>
      <c r="DB125" s="2909" t="str">
        <f>IF($A125="","",IF($AE125&amp;""&lt;&gt;'DB_設定'!$C$4,"対象外",IF($AH125=20,IF(OR($AJ125=10,$AJ125=11,$AJ125=18),"①病院一般",IF($AJ125=41,"②病院短期","対象外")),IF($AH125=5,IF($AJ125=30,"③特定消防","対象外"),IF(OR($AJ125=10,$AJ125=11,$AJ125=74),"④一般",IF(OR($AJ125=41,$AJ125=47),"⑤短期","対象外"))))))</f>
        <v>④一般</v>
      </c>
    </row>
    <row r="126">
      <c r="A126" t="n" s="2909">
        <v>21</v>
      </c>
      <c r="AA126" t="n" s="2909">
        <v>21</v>
      </c>
      <c r="AB126" t="inlineStr" s="2909">
        <is>
          <t>19870401</t>
        </is>
      </c>
      <c r="AD126" t="n" s="2909">
        <v>12</v>
      </c>
      <c r="AE126" t="inlineStr" s="2909">
        <is>
          <t>20250401</t>
        </is>
      </c>
      <c r="AH126" t="n" s="2909">
        <v>1</v>
      </c>
      <c r="AJ126" t="n" s="2909">
        <v>10</v>
      </c>
      <c r="AP126" t="n" s="2909">
        <v>590000</v>
      </c>
      <c r="DB126" s="2909" t="str">
        <f>IF($A126="","",IF($AE126&amp;""&lt;&gt;'DB_設定'!$C$4,"対象外",IF($AH126=20,IF(OR($AJ126=10,$AJ126=11,$AJ126=18),"①病院一般",IF($AJ126=41,"②病院短期","対象外")),IF($AH126=5,IF($AJ126=30,"③特定消防","対象外"),IF(OR($AJ126=10,$AJ126=11,$AJ126=74),"④一般",IF(OR($AJ126=41,$AJ126=47),"⑤短期","対象外"))))))</f>
        <v>④一般</v>
      </c>
    </row>
    <row r="127">
      <c r="A127" t="n" s="2909">
        <v>21</v>
      </c>
      <c r="AA127" t="n" s="2909">
        <v>21</v>
      </c>
      <c r="AB127" t="inlineStr" s="2909">
        <is>
          <t>19870401</t>
        </is>
      </c>
      <c r="AD127" t="n" s="2909">
        <v>11</v>
      </c>
      <c r="AE127" t="inlineStr" s="2909">
        <is>
          <t>20250401</t>
        </is>
      </c>
      <c r="AH127" t="n" s="2909">
        <v>20</v>
      </c>
      <c r="AJ127" t="n" s="2909">
        <v>10</v>
      </c>
      <c r="AP127" t="n" s="2909">
        <v>500000</v>
      </c>
      <c r="DB127" s="2909" t="str">
        <f>IF($A127="","",IF($AE127&amp;""&lt;&gt;'DB_設定'!$C$4,"対象外",IF($AH127=20,IF(OR($AJ127=10,$AJ127=11,$AJ127=18),"①病院一般",IF($AJ127=41,"②病院短期","対象外")),IF($AH127=5,IF($AJ127=30,"③特定消防","対象外"),IF(OR($AJ127=10,$AJ127=11,$AJ127=74),"④一般",IF(OR($AJ127=41,$AJ127=47),"⑤短期","対象外"))))))</f>
        <v>①病院一般</v>
      </c>
    </row>
    <row r="128">
      <c r="A128" t="n" s="2909">
        <v>21</v>
      </c>
      <c r="AA128" t="n" s="2909">
        <v>21</v>
      </c>
      <c r="AB128" t="inlineStr" s="2909">
        <is>
          <t>19870401</t>
        </is>
      </c>
      <c r="AD128" t="n" s="2909">
        <v>12</v>
      </c>
      <c r="AE128" t="inlineStr" s="2909">
        <is>
          <t>20250401</t>
        </is>
      </c>
      <c r="AH128" t="n" s="2909">
        <v>1</v>
      </c>
      <c r="AJ128" t="n" s="2909">
        <v>10</v>
      </c>
      <c r="AP128" t="n" s="2909">
        <v>500000</v>
      </c>
      <c r="DB128" s="2909" t="str">
        <f>IF($A128="","",IF($AE128&amp;""&lt;&gt;'DB_設定'!$C$4,"対象外",IF($AH128=20,IF(OR($AJ128=10,$AJ128=11,$AJ128=18),"①病院一般",IF($AJ128=41,"②病院短期","対象外")),IF($AH128=5,IF($AJ128=30,"③特定消防","対象外"),IF(OR($AJ128=10,$AJ128=11,$AJ128=74),"④一般",IF(OR($AJ128=41,$AJ128=47),"⑤短期","対象外"))))))</f>
        <v>④一般</v>
      </c>
    </row>
    <row r="129">
      <c r="A129" t="n" s="2909">
        <v>21</v>
      </c>
      <c r="AA129" t="n" s="2909">
        <v>21</v>
      </c>
      <c r="AB129" t="inlineStr" s="2909">
        <is>
          <t>19870401</t>
        </is>
      </c>
      <c r="AD129" t="n" s="2909">
        <v>12</v>
      </c>
      <c r="AE129" t="inlineStr" s="2909">
        <is>
          <t>20250401</t>
        </is>
      </c>
      <c r="AH129" t="n" s="2909">
        <v>1</v>
      </c>
      <c r="AJ129" t="n" s="2909">
        <v>10</v>
      </c>
      <c r="AP129" t="n" s="2909">
        <v>500000</v>
      </c>
      <c r="DB129" s="2909" t="str">
        <f>IF($A129="","",IF($AE129&amp;""&lt;&gt;'DB_設定'!$C$4,"対象外",IF($AH129=20,IF(OR($AJ129=10,$AJ129=11,$AJ129=18),"①病院一般",IF($AJ129=41,"②病院短期","対象外")),IF($AH129=5,IF($AJ129=30,"③特定消防","対象外"),IF(OR($AJ129=10,$AJ129=11,$AJ129=74),"④一般",IF(OR($AJ129=41,$AJ129=47),"⑤短期","対象外"))))))</f>
        <v>④一般</v>
      </c>
    </row>
    <row r="130">
      <c r="A130" t="n" s="2909">
        <v>21</v>
      </c>
      <c r="AA130" t="n" s="2909">
        <v>21</v>
      </c>
      <c r="AB130" t="inlineStr" s="2909">
        <is>
          <t>19870401</t>
        </is>
      </c>
      <c r="AD130" t="n" s="2909">
        <v>12</v>
      </c>
      <c r="AE130" t="inlineStr" s="2909">
        <is>
          <t>20250401</t>
        </is>
      </c>
      <c r="AH130" t="n" s="2909">
        <v>32</v>
      </c>
      <c r="AJ130" t="n" s="2909">
        <v>74</v>
      </c>
      <c r="AP130" t="n" s="2909">
        <v>530000</v>
      </c>
      <c r="DB130" s="2909" t="str">
        <f>IF($A130="","",IF($AE130&amp;""&lt;&gt;'DB_設定'!$C$4,"対象外",IF($AH130=20,IF(OR($AJ130=10,$AJ130=11,$AJ130=18),"①病院一般",IF($AJ130=41,"②病院短期","対象外")),IF($AH130=5,IF($AJ130=30,"③特定消防","対象外"),IF(OR($AJ130=10,$AJ130=11,$AJ130=74),"④一般",IF(OR($AJ130=41,$AJ130=47),"⑤短期","対象外"))))))</f>
        <v>④一般</v>
      </c>
    </row>
    <row r="131">
      <c r="A131" t="n" s="2909">
        <v>21</v>
      </c>
      <c r="AA131" t="n" s="2909">
        <v>21</v>
      </c>
      <c r="AB131" t="inlineStr" s="2909">
        <is>
          <t>19870501</t>
        </is>
      </c>
      <c r="AD131" t="n" s="2909">
        <v>12</v>
      </c>
      <c r="AE131" t="inlineStr" s="2909">
        <is>
          <t>20250401</t>
        </is>
      </c>
      <c r="AH131" t="n" s="2909">
        <v>20</v>
      </c>
      <c r="AJ131" t="n" s="2909">
        <v>10</v>
      </c>
      <c r="AP131" t="n" s="2909">
        <v>380000</v>
      </c>
      <c r="DB131" s="2909" t="str">
        <f>IF($A131="","",IF($AE131&amp;""&lt;&gt;'DB_設定'!$C$4,"対象外",IF($AH131=20,IF(OR($AJ131=10,$AJ131=11,$AJ131=18),"①病院一般",IF($AJ131=41,"②病院短期","対象外")),IF($AH131=5,IF($AJ131=30,"③特定消防","対象外"),IF(OR($AJ131=10,$AJ131=11,$AJ131=74),"④一般",IF(OR($AJ131=41,$AJ131=47),"⑤短期","対象外"))))))</f>
        <v>①病院一般</v>
      </c>
    </row>
    <row r="132">
      <c r="A132" t="n" s="2909">
        <v>21</v>
      </c>
      <c r="AA132" t="n" s="2909">
        <v>21</v>
      </c>
      <c r="AB132" t="inlineStr" s="2909">
        <is>
          <t>19871101</t>
        </is>
      </c>
      <c r="AD132" t="n" s="2909">
        <v>12</v>
      </c>
      <c r="AE132" t="inlineStr" s="2909">
        <is>
          <t>20250401</t>
        </is>
      </c>
      <c r="AH132" t="n" s="2909">
        <v>3</v>
      </c>
      <c r="AJ132" t="n" s="2909">
        <v>10</v>
      </c>
      <c r="AP132" t="n" s="2909">
        <v>410000</v>
      </c>
      <c r="DB132" s="2909" t="str">
        <f>IF($A132="","",IF($AE132&amp;""&lt;&gt;'DB_設定'!$C$4,"対象外",IF($AH132=20,IF(OR($AJ132=10,$AJ132=11,$AJ132=18),"①病院一般",IF($AJ132=41,"②病院短期","対象外")),IF($AH132=5,IF($AJ132=30,"③特定消防","対象外"),IF(OR($AJ132=10,$AJ132=11,$AJ132=74),"④一般",IF(OR($AJ132=41,$AJ132=47),"⑤短期","対象外"))))))</f>
        <v>④一般</v>
      </c>
    </row>
    <row r="133">
      <c r="A133" t="n" s="2909">
        <v>21</v>
      </c>
      <c r="AA133" t="n" s="2909">
        <v>24</v>
      </c>
      <c r="AB133" t="inlineStr" s="2909">
        <is>
          <t>20100401</t>
        </is>
      </c>
      <c r="AD133" t="n" s="2909">
        <v>11</v>
      </c>
      <c r="AE133" t="inlineStr" s="2909">
        <is>
          <t>20250401</t>
        </is>
      </c>
      <c r="AH133" t="n" s="2909">
        <v>47</v>
      </c>
      <c r="AJ133" t="n" s="2909">
        <v>74</v>
      </c>
      <c r="AP133" t="n" s="2909">
        <v>360000</v>
      </c>
      <c r="DB133" s="2909" t="str">
        <f>IF($A133="","",IF($AE133&amp;""&lt;&gt;'DB_設定'!$C$4,"対象外",IF($AH133=20,IF(OR($AJ133=10,$AJ133=11,$AJ133=18),"①病院一般",IF($AJ133=41,"②病院短期","対象外")),IF($AH133=5,IF($AJ133=30,"③特定消防","対象外"),IF(OR($AJ133=10,$AJ133=11,$AJ133=74),"④一般",IF(OR($AJ133=41,$AJ133=47),"⑤短期","対象外"))))))</f>
        <v>④一般</v>
      </c>
    </row>
    <row r="134">
      <c r="A134" t="n" s="2909">
        <v>21</v>
      </c>
      <c r="AA134" t="n" s="2909">
        <v>21</v>
      </c>
      <c r="AB134" t="inlineStr" s="2909">
        <is>
          <t>19870401</t>
        </is>
      </c>
      <c r="AD134" t="n" s="2909">
        <v>12</v>
      </c>
      <c r="AE134" t="inlineStr" s="2909">
        <is>
          <t>20250401</t>
        </is>
      </c>
      <c r="AH134" t="n" s="2909">
        <v>4</v>
      </c>
      <c r="AJ134" t="n" s="2909">
        <v>10</v>
      </c>
      <c r="AP134" t="n" s="2909">
        <v>620000</v>
      </c>
      <c r="DB134" s="2909" t="str">
        <f>IF($A134="","",IF($AE134&amp;""&lt;&gt;'DB_設定'!$C$4,"対象外",IF($AH134=20,IF(OR($AJ134=10,$AJ134=11,$AJ134=18),"①病院一般",IF($AJ134=41,"②病院短期","対象外")),IF($AH134=5,IF($AJ134=30,"③特定消防","対象外"),IF(OR($AJ134=10,$AJ134=11,$AJ134=74),"④一般",IF(OR($AJ134=41,$AJ134=47),"⑤短期","対象外"))))))</f>
        <v>④一般</v>
      </c>
    </row>
    <row r="135">
      <c r="A135" t="n" s="2909">
        <v>21</v>
      </c>
      <c r="AA135" t="n" s="2909">
        <v>21</v>
      </c>
      <c r="AB135" t="inlineStr" s="2909">
        <is>
          <t>19870401</t>
        </is>
      </c>
      <c r="AD135" t="n" s="2909">
        <v>11</v>
      </c>
      <c r="AE135" t="inlineStr" s="2909">
        <is>
          <t>20250401</t>
        </is>
      </c>
      <c r="AH135" t="n" s="2909">
        <v>4</v>
      </c>
      <c r="AJ135" t="n" s="2909">
        <v>10</v>
      </c>
      <c r="AP135" t="n" s="2909">
        <v>360000</v>
      </c>
      <c r="DB135" s="2909" t="str">
        <f>IF($A135="","",IF($AE135&amp;""&lt;&gt;'DB_設定'!$C$4,"対象外",IF($AH135=20,IF(OR($AJ135=10,$AJ135=11,$AJ135=18),"①病院一般",IF($AJ135=41,"②病院短期","対象外")),IF($AH135=5,IF($AJ135=30,"③特定消防","対象外"),IF(OR($AJ135=10,$AJ135=11,$AJ135=74),"④一般",IF(OR($AJ135=41,$AJ135=47),"⑤短期","対象外"))))))</f>
        <v>④一般</v>
      </c>
    </row>
    <row r="136">
      <c r="A136" t="n" s="2909">
        <v>21</v>
      </c>
      <c r="AA136" t="n" s="2909">
        <v>21</v>
      </c>
      <c r="AB136" t="inlineStr" s="2909">
        <is>
          <t>19880501</t>
        </is>
      </c>
      <c r="AD136" t="n" s="2909">
        <v>12</v>
      </c>
      <c r="AE136" t="inlineStr" s="2909">
        <is>
          <t>20250401</t>
        </is>
      </c>
      <c r="AH136" t="n" s="2909">
        <v>20</v>
      </c>
      <c r="AJ136" t="n" s="2909">
        <v>10</v>
      </c>
      <c r="AP136" t="n" s="2909">
        <v>340000</v>
      </c>
      <c r="DB136" s="2909" t="str">
        <f>IF($A136="","",IF($AE136&amp;""&lt;&gt;'DB_設定'!$C$4,"対象外",IF($AH136=20,IF(OR($AJ136=10,$AJ136=11,$AJ136=18),"①病院一般",IF($AJ136=41,"②病院短期","対象外")),IF($AH136=5,IF($AJ136=30,"③特定消防","対象外"),IF(OR($AJ136=10,$AJ136=11,$AJ136=74),"④一般",IF(OR($AJ136=41,$AJ136=47),"⑤短期","対象外"))))))</f>
        <v>①病院一般</v>
      </c>
    </row>
    <row r="137">
      <c r="A137" t="n" s="2909">
        <v>21</v>
      </c>
      <c r="AA137" t="n" s="2909">
        <v>21</v>
      </c>
      <c r="AB137" t="inlineStr" s="2909">
        <is>
          <t>19880401</t>
        </is>
      </c>
      <c r="AD137" t="n" s="2909">
        <v>12</v>
      </c>
      <c r="AE137" t="inlineStr" s="2909">
        <is>
          <t>20250401</t>
        </is>
      </c>
      <c r="AH137" t="n" s="2909">
        <v>5</v>
      </c>
      <c r="AJ137" t="n" s="2909">
        <v>10</v>
      </c>
      <c r="AP137" t="n" s="2909">
        <v>710000</v>
      </c>
      <c r="DB137" s="2909" t="str">
        <f>IF($A137="","",IF($AE137&amp;""&lt;&gt;'DB_設定'!$C$4,"対象外",IF($AH137=20,IF(OR($AJ137=10,$AJ137=11,$AJ137=18),"①病院一般",IF($AJ137=41,"②病院短期","対象外")),IF($AH137=5,IF($AJ137=30,"③特定消防","対象外"),IF(OR($AJ137=10,$AJ137=11,$AJ137=74),"④一般",IF(OR($AJ137=41,$AJ137=47),"⑤短期","対象外"))))))</f>
        <v>対象外</v>
      </c>
    </row>
    <row r="138">
      <c r="A138" t="n" s="2909">
        <v>21</v>
      </c>
      <c r="AA138" t="n" s="2909">
        <v>21</v>
      </c>
      <c r="AB138" t="inlineStr" s="2909">
        <is>
          <t>19880401</t>
        </is>
      </c>
      <c r="AD138" t="n" s="2909">
        <v>12</v>
      </c>
      <c r="AE138" t="inlineStr" s="2909">
        <is>
          <t>20250401</t>
        </is>
      </c>
      <c r="AH138" t="n" s="2909">
        <v>1</v>
      </c>
      <c r="AJ138" t="n" s="2909">
        <v>10</v>
      </c>
      <c r="AP138" t="n" s="2909">
        <v>750000</v>
      </c>
      <c r="DB138" s="2909" t="str">
        <f>IF($A138="","",IF($AE138&amp;""&lt;&gt;'DB_設定'!$C$4,"対象外",IF($AH138=20,IF(OR($AJ138=10,$AJ138=11,$AJ138=18),"①病院一般",IF($AJ138=41,"②病院短期","対象外")),IF($AH138=5,IF($AJ138=30,"③特定消防","対象外"),IF(OR($AJ138=10,$AJ138=11,$AJ138=74),"④一般",IF(OR($AJ138=41,$AJ138=47),"⑤短期","対象外"))))))</f>
        <v>④一般</v>
      </c>
    </row>
    <row r="139">
      <c r="A139" t="n" s="2909">
        <v>21</v>
      </c>
      <c r="AA139" t="n" s="2909">
        <v>21</v>
      </c>
      <c r="AB139" t="inlineStr" s="2909">
        <is>
          <t>19880401</t>
        </is>
      </c>
      <c r="AD139" t="n" s="2909">
        <v>11</v>
      </c>
      <c r="AE139" t="inlineStr" s="2909">
        <is>
          <t>20250401</t>
        </is>
      </c>
      <c r="AH139" t="n" s="2909">
        <v>1</v>
      </c>
      <c r="AJ139" t="n" s="2909">
        <v>10</v>
      </c>
      <c r="AP139" t="n" s="2909">
        <v>500000</v>
      </c>
      <c r="DB139" s="2909" t="str">
        <f>IF($A139="","",IF($AE139&amp;""&lt;&gt;'DB_設定'!$C$4,"対象外",IF($AH139=20,IF(OR($AJ139=10,$AJ139=11,$AJ139=18),"①病院一般",IF($AJ139=41,"②病院短期","対象外")),IF($AH139=5,IF($AJ139=30,"③特定消防","対象外"),IF(OR($AJ139=10,$AJ139=11,$AJ139=74),"④一般",IF(OR($AJ139=41,$AJ139=47),"⑤短期","対象外"))))))</f>
        <v>④一般</v>
      </c>
    </row>
    <row r="140">
      <c r="A140" t="n" s="2909">
        <v>21</v>
      </c>
      <c r="AA140" t="n" s="2909">
        <v>21</v>
      </c>
      <c r="AB140" t="inlineStr" s="2909">
        <is>
          <t>19880401</t>
        </is>
      </c>
      <c r="AD140" t="n" s="2909">
        <v>12</v>
      </c>
      <c r="AE140" t="inlineStr" s="2909">
        <is>
          <t>20250401</t>
        </is>
      </c>
      <c r="AH140" t="n" s="2909">
        <v>14</v>
      </c>
      <c r="AJ140" t="n" s="2909">
        <v>10</v>
      </c>
      <c r="AP140" t="n" s="2909">
        <v>710000</v>
      </c>
      <c r="DB140" s="2909" t="str">
        <f>IF($A140="","",IF($AE140&amp;""&lt;&gt;'DB_設定'!$C$4,"対象外",IF($AH140=20,IF(OR($AJ140=10,$AJ140=11,$AJ140=18),"①病院一般",IF($AJ140=41,"②病院短期","対象外")),IF($AH140=5,IF($AJ140=30,"③特定消防","対象外"),IF(OR($AJ140=10,$AJ140=11,$AJ140=74),"④一般",IF(OR($AJ140=41,$AJ140=47),"⑤短期","対象外"))))))</f>
        <v>④一般</v>
      </c>
    </row>
    <row r="141">
      <c r="A141" t="n" s="2909">
        <v>21</v>
      </c>
      <c r="AA141" t="n" s="2909">
        <v>21</v>
      </c>
      <c r="AB141" t="inlineStr" s="2909">
        <is>
          <t>19880401</t>
        </is>
      </c>
      <c r="AD141" t="n" s="2909">
        <v>11</v>
      </c>
      <c r="AE141" t="inlineStr" s="2909">
        <is>
          <t>20250401</t>
        </is>
      </c>
      <c r="AH141" t="n" s="2909">
        <v>1</v>
      </c>
      <c r="AJ141" t="n" s="2909">
        <v>10</v>
      </c>
      <c r="AP141" t="n" s="2909">
        <v>650000</v>
      </c>
      <c r="DB141" s="2909" t="str">
        <f>IF($A141="","",IF($AE141&amp;""&lt;&gt;'DB_設定'!$C$4,"対象外",IF($AH141=20,IF(OR($AJ141=10,$AJ141=11,$AJ141=18),"①病院一般",IF($AJ141=41,"②病院短期","対象外")),IF($AH141=5,IF($AJ141=30,"③特定消防","対象外"),IF(OR($AJ141=10,$AJ141=11,$AJ141=74),"④一般",IF(OR($AJ141=41,$AJ141=47),"⑤短期","対象外"))))))</f>
        <v>④一般</v>
      </c>
    </row>
    <row r="142">
      <c r="A142" t="n" s="2909">
        <v>21</v>
      </c>
      <c r="AA142" t="n" s="2909">
        <v>21</v>
      </c>
      <c r="AB142" t="inlineStr" s="2909">
        <is>
          <t>19880401</t>
        </is>
      </c>
      <c r="AD142" t="n" s="2909">
        <v>11</v>
      </c>
      <c r="AE142" t="inlineStr" s="2909">
        <is>
          <t>20250401</t>
        </is>
      </c>
      <c r="AH142" t="n" s="2909">
        <v>1</v>
      </c>
      <c r="AJ142" t="n" s="2909">
        <v>10</v>
      </c>
      <c r="AP142" t="n" s="2909">
        <v>320000</v>
      </c>
      <c r="DB142" s="2909" t="str">
        <f>IF($A142="","",IF($AE142&amp;""&lt;&gt;'DB_設定'!$C$4,"対象外",IF($AH142=20,IF(OR($AJ142=10,$AJ142=11,$AJ142=18),"①病院一般",IF($AJ142=41,"②病院短期","対象外")),IF($AH142=5,IF($AJ142=30,"③特定消防","対象外"),IF(OR($AJ142=10,$AJ142=11,$AJ142=74),"④一般",IF(OR($AJ142=41,$AJ142=47),"⑤短期","対象外"))))))</f>
        <v>④一般</v>
      </c>
    </row>
    <row r="143">
      <c r="A143" t="n" s="2909">
        <v>21</v>
      </c>
      <c r="AA143" t="n" s="2909">
        <v>21</v>
      </c>
      <c r="AB143" t="inlineStr" s="2909">
        <is>
          <t>19880401</t>
        </is>
      </c>
      <c r="AD143" t="n" s="2909">
        <v>12</v>
      </c>
      <c r="AE143" t="inlineStr" s="2909">
        <is>
          <t>20250401</t>
        </is>
      </c>
      <c r="AH143" t="n" s="2909">
        <v>47</v>
      </c>
      <c r="AJ143" t="n" s="2909">
        <v>74</v>
      </c>
      <c r="AP143" t="n" s="2909">
        <v>530000</v>
      </c>
      <c r="DB143" s="2909" t="str">
        <f>IF($A143="","",IF($AE143&amp;""&lt;&gt;'DB_設定'!$C$4,"対象外",IF($AH143=20,IF(OR($AJ143=10,$AJ143=11,$AJ143=18),"①病院一般",IF($AJ143=41,"②病院短期","対象外")),IF($AH143=5,IF($AJ143=30,"③特定消防","対象外"),IF(OR($AJ143=10,$AJ143=11,$AJ143=74),"④一般",IF(OR($AJ143=41,$AJ143=47),"⑤短期","対象外"))))))</f>
        <v>④一般</v>
      </c>
    </row>
    <row r="144">
      <c r="A144" t="n" s="2909">
        <v>21</v>
      </c>
      <c r="AA144" t="n" s="2909">
        <v>21</v>
      </c>
      <c r="AB144" t="inlineStr" s="2909">
        <is>
          <t>19880401</t>
        </is>
      </c>
      <c r="AD144" t="n" s="2909">
        <v>12</v>
      </c>
      <c r="AE144" t="inlineStr" s="2909">
        <is>
          <t>20250401</t>
        </is>
      </c>
      <c r="AH144" t="n" s="2909">
        <v>1</v>
      </c>
      <c r="AJ144" t="n" s="2909">
        <v>10</v>
      </c>
      <c r="AP144" t="n" s="2909">
        <v>710000</v>
      </c>
      <c r="DB144" s="2909" t="str">
        <f>IF($A144="","",IF($AE144&amp;""&lt;&gt;'DB_設定'!$C$4,"対象外",IF($AH144=20,IF(OR($AJ144=10,$AJ144=11,$AJ144=18),"①病院一般",IF($AJ144=41,"②病院短期","対象外")),IF($AH144=5,IF($AJ144=30,"③特定消防","対象外"),IF(OR($AJ144=10,$AJ144=11,$AJ144=74),"④一般",IF(OR($AJ144=41,$AJ144=47),"⑤短期","対象外"))))))</f>
        <v>④一般</v>
      </c>
    </row>
    <row r="145">
      <c r="A145" t="n" s="2909">
        <v>21</v>
      </c>
      <c r="AA145" t="n" s="2909">
        <v>21</v>
      </c>
      <c r="AB145" t="inlineStr" s="2909">
        <is>
          <t>19880401</t>
        </is>
      </c>
      <c r="AD145" t="n" s="2909">
        <v>12</v>
      </c>
      <c r="AE145" t="inlineStr" s="2909">
        <is>
          <t>20250401</t>
        </is>
      </c>
      <c r="AH145" t="n" s="2909">
        <v>1</v>
      </c>
      <c r="AJ145" t="n" s="2909">
        <v>10</v>
      </c>
      <c r="AP145" t="n" s="2909">
        <v>650000</v>
      </c>
      <c r="DB145" s="2909" t="str">
        <f>IF($A145="","",IF($AE145&amp;""&lt;&gt;'DB_設定'!$C$4,"対象外",IF($AH145=20,IF(OR($AJ145=10,$AJ145=11,$AJ145=18),"①病院一般",IF($AJ145=41,"②病院短期","対象外")),IF($AH145=5,IF($AJ145=30,"③特定消防","対象外"),IF(OR($AJ145=10,$AJ145=11,$AJ145=74),"④一般",IF(OR($AJ145=41,$AJ145=47),"⑤短期","対象外"))))))</f>
        <v>④一般</v>
      </c>
    </row>
    <row r="146">
      <c r="A146" t="n" s="2909">
        <v>21</v>
      </c>
      <c r="AA146" t="n" s="2909">
        <v>21</v>
      </c>
      <c r="AB146" t="inlineStr" s="2909">
        <is>
          <t>19880401</t>
        </is>
      </c>
      <c r="AD146" t="n" s="2909">
        <v>11</v>
      </c>
      <c r="AE146" t="inlineStr" s="2909">
        <is>
          <t>20250401</t>
        </is>
      </c>
      <c r="AH146" t="n" s="2909">
        <v>1</v>
      </c>
      <c r="AJ146" t="n" s="2909">
        <v>10</v>
      </c>
      <c r="AP146" t="n" s="2909">
        <v>470000</v>
      </c>
      <c r="DB146" s="2909" t="str">
        <f>IF($A146="","",IF($AE146&amp;""&lt;&gt;'DB_設定'!$C$4,"対象外",IF($AH146=20,IF(OR($AJ146=10,$AJ146=11,$AJ146=18),"①病院一般",IF($AJ146=41,"②病院短期","対象外")),IF($AH146=5,IF($AJ146=30,"③特定消防","対象外"),IF(OR($AJ146=10,$AJ146=11,$AJ146=74),"④一般",IF(OR($AJ146=41,$AJ146=47),"⑤短期","対象外"))))))</f>
        <v>④一般</v>
      </c>
    </row>
    <row r="147">
      <c r="A147" t="n" s="2909">
        <v>21</v>
      </c>
      <c r="AA147" t="n" s="2909">
        <v>21</v>
      </c>
      <c r="AB147" t="inlineStr" s="2909">
        <is>
          <t>19880401</t>
        </is>
      </c>
      <c r="AD147" t="n" s="2909">
        <v>12</v>
      </c>
      <c r="AE147" t="inlineStr" s="2909">
        <is>
          <t>20250401</t>
        </is>
      </c>
      <c r="AH147" t="n" s="2909">
        <v>1</v>
      </c>
      <c r="AJ147" t="n" s="2909">
        <v>10</v>
      </c>
      <c r="AP147" t="n" s="2909">
        <v>710000</v>
      </c>
      <c r="DB147" s="2909" t="str">
        <f>IF($A147="","",IF($AE147&amp;""&lt;&gt;'DB_設定'!$C$4,"対象外",IF($AH147=20,IF(OR($AJ147=10,$AJ147=11,$AJ147=18),"①病院一般",IF($AJ147=41,"②病院短期","対象外")),IF($AH147=5,IF($AJ147=30,"③特定消防","対象外"),IF(OR($AJ147=10,$AJ147=11,$AJ147=74),"④一般",IF(OR($AJ147=41,$AJ147=47),"⑤短期","対象外"))))))</f>
        <v>④一般</v>
      </c>
    </row>
    <row r="148">
      <c r="A148" t="n" s="2909">
        <v>21</v>
      </c>
      <c r="AA148" t="n" s="2909">
        <v>21</v>
      </c>
      <c r="AB148" t="inlineStr" s="2909">
        <is>
          <t>19880401</t>
        </is>
      </c>
      <c r="AD148" t="n" s="2909">
        <v>11</v>
      </c>
      <c r="AE148" t="inlineStr" s="2909">
        <is>
          <t>20250401</t>
        </is>
      </c>
      <c r="AH148" t="n" s="2909">
        <v>1</v>
      </c>
      <c r="AJ148" t="n" s="2909">
        <v>10</v>
      </c>
      <c r="AP148" t="n" s="2909">
        <v>680000</v>
      </c>
      <c r="DB148" s="2909" t="str">
        <f>IF($A148="","",IF($AE148&amp;""&lt;&gt;'DB_設定'!$C$4,"対象外",IF($AH148=20,IF(OR($AJ148=10,$AJ148=11,$AJ148=18),"①病院一般",IF($AJ148=41,"②病院短期","対象外")),IF($AH148=5,IF($AJ148=30,"③特定消防","対象外"),IF(OR($AJ148=10,$AJ148=11,$AJ148=74),"④一般",IF(OR($AJ148=41,$AJ148=47),"⑤短期","対象外"))))))</f>
        <v>④一般</v>
      </c>
    </row>
    <row r="149">
      <c r="A149" t="n" s="2909">
        <v>21</v>
      </c>
      <c r="AA149" t="n" s="2909">
        <v>21</v>
      </c>
      <c r="AB149" t="inlineStr" s="2909">
        <is>
          <t>19880401</t>
        </is>
      </c>
      <c r="AD149" t="n" s="2909">
        <v>12</v>
      </c>
      <c r="AE149" t="inlineStr" s="2909">
        <is>
          <t>20250617</t>
        </is>
      </c>
      <c r="AH149" t="n" s="2909">
        <v>1</v>
      </c>
      <c r="AJ149" t="n" s="2909">
        <v>10</v>
      </c>
      <c r="AP149" t="n" s="2909">
        <v>410000</v>
      </c>
      <c r="DB149" s="2909" t="str">
        <f>IF($A149="","",IF($AE149&amp;""&lt;&gt;'DB_設定'!$C$4,"対象外",IF($AH149=20,IF(OR($AJ149=10,$AJ149=11,$AJ149=18),"①病院一般",IF($AJ149=41,"②病院短期","対象外")),IF($AH149=5,IF($AJ149=30,"③特定消防","対象外"),IF(OR($AJ149=10,$AJ149=11,$AJ149=74),"④一般",IF(OR($AJ149=41,$AJ149=47),"⑤短期","対象外"))))))</f>
        <v>対象外</v>
      </c>
    </row>
    <row r="150">
      <c r="A150" t="n" s="2909">
        <v>21</v>
      </c>
      <c r="AA150" t="n" s="2909">
        <v>21</v>
      </c>
      <c r="AB150" t="inlineStr" s="2909">
        <is>
          <t>19880401</t>
        </is>
      </c>
      <c r="AD150" t="n" s="2909">
        <v>12</v>
      </c>
      <c r="AE150" t="inlineStr" s="2909">
        <is>
          <t>20250401</t>
        </is>
      </c>
      <c r="AH150" t="n" s="2909">
        <v>1</v>
      </c>
      <c r="AJ150" t="n" s="2909">
        <v>10</v>
      </c>
      <c r="AP150" t="n" s="2909">
        <v>620000</v>
      </c>
      <c r="DB150" s="2909" t="str">
        <f>IF($A150="","",IF($AE150&amp;""&lt;&gt;'DB_設定'!$C$4,"対象外",IF($AH150=20,IF(OR($AJ150=10,$AJ150=11,$AJ150=18),"①病院一般",IF($AJ150=41,"②病院短期","対象外")),IF($AH150=5,IF($AJ150=30,"③特定消防","対象外"),IF(OR($AJ150=10,$AJ150=11,$AJ150=74),"④一般",IF(OR($AJ150=41,$AJ150=47),"⑤短期","対象外"))))))</f>
        <v>④一般</v>
      </c>
    </row>
    <row r="151">
      <c r="A151" t="n" s="2909">
        <v>21</v>
      </c>
      <c r="AA151" t="n" s="2909">
        <v>21</v>
      </c>
      <c r="AB151" t="inlineStr" s="2909">
        <is>
          <t>19880401</t>
        </is>
      </c>
      <c r="AD151" t="n" s="2909">
        <v>12</v>
      </c>
      <c r="AE151" t="inlineStr" s="2909">
        <is>
          <t>20250401</t>
        </is>
      </c>
      <c r="AH151" t="n" s="2909">
        <v>20</v>
      </c>
      <c r="AJ151" t="n" s="2909">
        <v>10</v>
      </c>
      <c r="AP151" t="n" s="2909">
        <v>410000</v>
      </c>
      <c r="DB151" s="2909" t="str">
        <f>IF($A151="","",IF($AE151&amp;""&lt;&gt;'DB_設定'!$C$4,"対象外",IF($AH151=20,IF(OR($AJ151=10,$AJ151=11,$AJ151=18),"①病院一般",IF($AJ151=41,"②病院短期","対象外")),IF($AH151=5,IF($AJ151=30,"③特定消防","対象外"),IF(OR($AJ151=10,$AJ151=11,$AJ151=74),"④一般",IF(OR($AJ151=41,$AJ151=47),"⑤短期","対象外"))))))</f>
        <v>①病院一般</v>
      </c>
    </row>
    <row r="152">
      <c r="A152" t="n" s="2909">
        <v>21</v>
      </c>
      <c r="AA152" t="n" s="2909">
        <v>21</v>
      </c>
      <c r="AB152" t="inlineStr" s="2909">
        <is>
          <t>19880401</t>
        </is>
      </c>
      <c r="AD152" t="n" s="2909">
        <v>11</v>
      </c>
      <c r="AE152" t="inlineStr" s="2909">
        <is>
          <t>20250401</t>
        </is>
      </c>
      <c r="AH152" t="n" s="2909">
        <v>1</v>
      </c>
      <c r="AJ152" t="n" s="2909">
        <v>10</v>
      </c>
      <c r="AP152" t="n" s="2909">
        <v>620000</v>
      </c>
      <c r="DB152" s="2909" t="str">
        <f>IF($A152="","",IF($AE152&amp;""&lt;&gt;'DB_設定'!$C$4,"対象外",IF($AH152=20,IF(OR($AJ152=10,$AJ152=11,$AJ152=18),"①病院一般",IF($AJ152=41,"②病院短期","対象外")),IF($AH152=5,IF($AJ152=30,"③特定消防","対象外"),IF(OR($AJ152=10,$AJ152=11,$AJ152=74),"④一般",IF(OR($AJ152=41,$AJ152=47),"⑤短期","対象外"))))))</f>
        <v>④一般</v>
      </c>
    </row>
    <row r="153">
      <c r="A153" t="n" s="2909">
        <v>21</v>
      </c>
      <c r="AA153" t="n" s="2909">
        <v>21</v>
      </c>
      <c r="AB153" t="inlineStr" s="2909">
        <is>
          <t>19880401</t>
        </is>
      </c>
      <c r="AD153" t="n" s="2909">
        <v>12</v>
      </c>
      <c r="AE153" t="inlineStr" s="2909">
        <is>
          <t>20250401</t>
        </is>
      </c>
      <c r="AH153" t="n" s="2909">
        <v>1</v>
      </c>
      <c r="AJ153" t="n" s="2909">
        <v>10</v>
      </c>
      <c r="AP153" t="n" s="2909">
        <v>470000</v>
      </c>
      <c r="DB153" s="2909" t="str">
        <f>IF($A153="","",IF($AE153&amp;""&lt;&gt;'DB_設定'!$C$4,"対象外",IF($AH153=20,IF(OR($AJ153=10,$AJ153=11,$AJ153=18),"①病院一般",IF($AJ153=41,"②病院短期","対象外")),IF($AH153=5,IF($AJ153=30,"③特定消防","対象外"),IF(OR($AJ153=10,$AJ153=11,$AJ153=74),"④一般",IF(OR($AJ153=41,$AJ153=47),"⑤短期","対象外"))))))</f>
        <v>④一般</v>
      </c>
    </row>
    <row r="154">
      <c r="A154" t="n" s="2909">
        <v>21</v>
      </c>
      <c r="AA154" t="n" s="2909">
        <v>21</v>
      </c>
      <c r="AB154" t="inlineStr" s="2909">
        <is>
          <t>19880401</t>
        </is>
      </c>
      <c r="AD154" t="n" s="2909">
        <v>12</v>
      </c>
      <c r="AE154" t="inlineStr" s="2909">
        <is>
          <t>20250401</t>
        </is>
      </c>
      <c r="AH154" t="n" s="2909">
        <v>1</v>
      </c>
      <c r="AJ154" t="n" s="2909">
        <v>10</v>
      </c>
      <c r="AP154" t="n" s="2909">
        <v>790000</v>
      </c>
      <c r="DB154" s="2909" t="str">
        <f>IF($A154="","",IF($AE154&amp;""&lt;&gt;'DB_設定'!$C$4,"対象外",IF($AH154=20,IF(OR($AJ154=10,$AJ154=11,$AJ154=18),"①病院一般",IF($AJ154=41,"②病院短期","対象外")),IF($AH154=5,IF($AJ154=30,"③特定消防","対象外"),IF(OR($AJ154=10,$AJ154=11,$AJ154=74),"④一般",IF(OR($AJ154=41,$AJ154=47),"⑤短期","対象外"))))))</f>
        <v>④一般</v>
      </c>
    </row>
    <row r="155">
      <c r="A155" t="n" s="2909">
        <v>21</v>
      </c>
      <c r="AA155" t="n" s="2909">
        <v>21</v>
      </c>
      <c r="AB155" t="inlineStr" s="2909">
        <is>
          <t>19880401</t>
        </is>
      </c>
      <c r="AD155" t="n" s="2909">
        <v>12</v>
      </c>
      <c r="AE155" t="inlineStr" s="2909">
        <is>
          <t>20250401</t>
        </is>
      </c>
      <c r="AH155" t="n" s="2909">
        <v>1</v>
      </c>
      <c r="AJ155" t="n" s="2909">
        <v>10</v>
      </c>
      <c r="AP155" t="n" s="2909">
        <v>560000</v>
      </c>
      <c r="DB155" s="2909" t="str">
        <f>IF($A155="","",IF($AE155&amp;""&lt;&gt;'DB_設定'!$C$4,"対象外",IF($AH155=20,IF(OR($AJ155=10,$AJ155=11,$AJ155=18),"①病院一般",IF($AJ155=41,"②病院短期","対象外")),IF($AH155=5,IF($AJ155=30,"③特定消防","対象外"),IF(OR($AJ155=10,$AJ155=11,$AJ155=74),"④一般",IF(OR($AJ155=41,$AJ155=47),"⑤短期","対象外"))))))</f>
        <v>④一般</v>
      </c>
    </row>
    <row r="156">
      <c r="A156" t="n" s="2909">
        <v>21</v>
      </c>
      <c r="AA156" t="n" s="2909">
        <v>21</v>
      </c>
      <c r="AB156" t="inlineStr" s="2909">
        <is>
          <t>19880401</t>
        </is>
      </c>
      <c r="AD156" t="n" s="2909">
        <v>12</v>
      </c>
      <c r="AE156" t="inlineStr" s="2909">
        <is>
          <t>20250401</t>
        </is>
      </c>
      <c r="AH156" t="n" s="2909">
        <v>1</v>
      </c>
      <c r="AJ156" t="n" s="2909">
        <v>10</v>
      </c>
      <c r="AP156" t="n" s="2909">
        <v>590000</v>
      </c>
      <c r="DB156" s="2909" t="str">
        <f>IF($A156="","",IF($AE156&amp;""&lt;&gt;'DB_設定'!$C$4,"対象外",IF($AH156=20,IF(OR($AJ156=10,$AJ156=11,$AJ156=18),"①病院一般",IF($AJ156=41,"②病院短期","対象外")),IF($AH156=5,IF($AJ156=30,"③特定消防","対象外"),IF(OR($AJ156=10,$AJ156=11,$AJ156=74),"④一般",IF(OR($AJ156=41,$AJ156=47),"⑤短期","対象外"))))))</f>
        <v>④一般</v>
      </c>
    </row>
    <row r="157">
      <c r="A157" t="n" s="2909">
        <v>21</v>
      </c>
      <c r="AA157" t="n" s="2909">
        <v>21</v>
      </c>
      <c r="AB157" t="inlineStr" s="2909">
        <is>
          <t>19880401</t>
        </is>
      </c>
      <c r="AD157" t="n" s="2909">
        <v>12</v>
      </c>
      <c r="AE157" t="inlineStr" s="2909">
        <is>
          <t>20250401</t>
        </is>
      </c>
      <c r="AH157" t="n" s="2909">
        <v>1</v>
      </c>
      <c r="AJ157" t="n" s="2909">
        <v>10</v>
      </c>
      <c r="AP157" t="n" s="2909">
        <v>590000</v>
      </c>
      <c r="DB157" s="2909" t="str">
        <f>IF($A157="","",IF($AE157&amp;""&lt;&gt;'DB_設定'!$C$4,"対象外",IF($AH157=20,IF(OR($AJ157=10,$AJ157=11,$AJ157=18),"①病院一般",IF($AJ157=41,"②病院短期","対象外")),IF($AH157=5,IF($AJ157=30,"③特定消防","対象外"),IF(OR($AJ157=10,$AJ157=11,$AJ157=74),"④一般",IF(OR($AJ157=41,$AJ157=47),"⑤短期","対象外"))))))</f>
        <v>④一般</v>
      </c>
    </row>
    <row r="158">
      <c r="A158" t="n" s="2909">
        <v>21</v>
      </c>
      <c r="AA158" t="n" s="2909">
        <v>21</v>
      </c>
      <c r="AB158" t="inlineStr" s="2909">
        <is>
          <t>19880401</t>
        </is>
      </c>
      <c r="AD158" t="n" s="2909">
        <v>12</v>
      </c>
      <c r="AE158" t="inlineStr" s="2909">
        <is>
          <t>20250401</t>
        </is>
      </c>
      <c r="AH158" t="n" s="2909">
        <v>1</v>
      </c>
      <c r="AJ158" t="n" s="2909">
        <v>10</v>
      </c>
      <c r="AP158" t="n" s="2909">
        <v>710000</v>
      </c>
      <c r="DB158" s="2909" t="str">
        <f>IF($A158="","",IF($AE158&amp;""&lt;&gt;'DB_設定'!$C$4,"対象外",IF($AH158=20,IF(OR($AJ158=10,$AJ158=11,$AJ158=18),"①病院一般",IF($AJ158=41,"②病院短期","対象外")),IF($AH158=5,IF($AJ158=30,"③特定消防","対象外"),IF(OR($AJ158=10,$AJ158=11,$AJ158=74),"④一般",IF(OR($AJ158=41,$AJ158=47),"⑤短期","対象外"))))))</f>
        <v>④一般</v>
      </c>
    </row>
    <row r="159">
      <c r="A159" t="n" s="2909">
        <v>21</v>
      </c>
      <c r="AA159" t="n" s="2909">
        <v>21</v>
      </c>
      <c r="AB159" t="inlineStr" s="2909">
        <is>
          <t>19880401</t>
        </is>
      </c>
      <c r="AD159" t="n" s="2909">
        <v>12</v>
      </c>
      <c r="AE159" t="inlineStr" s="2909">
        <is>
          <t>20250401</t>
        </is>
      </c>
      <c r="AH159" t="n" s="2909">
        <v>1</v>
      </c>
      <c r="AJ159" t="n" s="2909">
        <v>10</v>
      </c>
      <c r="AP159" t="n" s="2909">
        <v>560000</v>
      </c>
      <c r="DB159" s="2909" t="str">
        <f>IF($A159="","",IF($AE159&amp;""&lt;&gt;'DB_設定'!$C$4,"対象外",IF($AH159=20,IF(OR($AJ159=10,$AJ159=11,$AJ159=18),"①病院一般",IF($AJ159=41,"②病院短期","対象外")),IF($AH159=5,IF($AJ159=30,"③特定消防","対象外"),IF(OR($AJ159=10,$AJ159=11,$AJ159=74),"④一般",IF(OR($AJ159=41,$AJ159=47),"⑤短期","対象外"))))))</f>
        <v>④一般</v>
      </c>
    </row>
    <row r="160">
      <c r="A160" t="n" s="2909">
        <v>21</v>
      </c>
      <c r="AA160" t="n" s="2909">
        <v>21</v>
      </c>
      <c r="AB160" t="inlineStr" s="2909">
        <is>
          <t>19880401</t>
        </is>
      </c>
      <c r="AD160" t="n" s="2909">
        <v>12</v>
      </c>
      <c r="AE160" t="inlineStr" s="2909">
        <is>
          <t>20250401</t>
        </is>
      </c>
      <c r="AH160" t="n" s="2909">
        <v>1</v>
      </c>
      <c r="AJ160" t="n" s="2909">
        <v>10</v>
      </c>
      <c r="AP160" t="n" s="2909">
        <v>470000</v>
      </c>
      <c r="DB160" s="2909" t="str">
        <f>IF($A160="","",IF($AE160&amp;""&lt;&gt;'DB_設定'!$C$4,"対象外",IF($AH160=20,IF(OR($AJ160=10,$AJ160=11,$AJ160=18),"①病院一般",IF($AJ160=41,"②病院短期","対象外")),IF($AH160=5,IF($AJ160=30,"③特定消防","対象外"),IF(OR($AJ160=10,$AJ160=11,$AJ160=74),"④一般",IF(OR($AJ160=41,$AJ160=47),"⑤短期","対象外"))))))</f>
        <v>④一般</v>
      </c>
    </row>
    <row r="161">
      <c r="A161" t="n" s="2909">
        <v>21</v>
      </c>
      <c r="AA161" t="n" s="2909">
        <v>21</v>
      </c>
      <c r="AB161" t="inlineStr" s="2909">
        <is>
          <t>19880401</t>
        </is>
      </c>
      <c r="AD161" t="n" s="2909">
        <v>12</v>
      </c>
      <c r="AE161" t="inlineStr" s="2909">
        <is>
          <t>20250401</t>
        </is>
      </c>
      <c r="AH161" t="n" s="2909">
        <v>1</v>
      </c>
      <c r="AJ161" t="n" s="2909">
        <v>10</v>
      </c>
      <c r="AP161" t="n" s="2909">
        <v>620000</v>
      </c>
      <c r="DB161" s="2909" t="str">
        <f>IF($A161="","",IF($AE161&amp;""&lt;&gt;'DB_設定'!$C$4,"対象外",IF($AH161=20,IF(OR($AJ161=10,$AJ161=11,$AJ161=18),"①病院一般",IF($AJ161=41,"②病院短期","対象外")),IF($AH161=5,IF($AJ161=30,"③特定消防","対象外"),IF(OR($AJ161=10,$AJ161=11,$AJ161=74),"④一般",IF(OR($AJ161=41,$AJ161=47),"⑤短期","対象外"))))))</f>
        <v>④一般</v>
      </c>
    </row>
    <row r="162">
      <c r="A162" t="n" s="2909">
        <v>21</v>
      </c>
      <c r="AA162" t="n" s="2909">
        <v>21</v>
      </c>
      <c r="AB162" t="inlineStr" s="2909">
        <is>
          <t>19880401</t>
        </is>
      </c>
      <c r="AD162" t="n" s="2909">
        <v>12</v>
      </c>
      <c r="AE162" t="inlineStr" s="2909">
        <is>
          <t>20250401</t>
        </is>
      </c>
      <c r="AH162" t="n" s="2909">
        <v>1</v>
      </c>
      <c r="AJ162" t="n" s="2909">
        <v>10</v>
      </c>
      <c r="AP162" t="n" s="2909">
        <v>560000</v>
      </c>
      <c r="DB162" s="2909" t="str">
        <f>IF($A162="","",IF($AE162&amp;""&lt;&gt;'DB_設定'!$C$4,"対象外",IF($AH162=20,IF(OR($AJ162=10,$AJ162=11,$AJ162=18),"①病院一般",IF($AJ162=41,"②病院短期","対象外")),IF($AH162=5,IF($AJ162=30,"③特定消防","対象外"),IF(OR($AJ162=10,$AJ162=11,$AJ162=74),"④一般",IF(OR($AJ162=41,$AJ162=47),"⑤短期","対象外"))))))</f>
        <v>④一般</v>
      </c>
    </row>
    <row r="163">
      <c r="A163" t="n" s="2909">
        <v>21</v>
      </c>
      <c r="AA163" t="n" s="2909">
        <v>21</v>
      </c>
      <c r="AB163" t="inlineStr" s="2909">
        <is>
          <t>19880401</t>
        </is>
      </c>
      <c r="AD163" t="n" s="2909">
        <v>12</v>
      </c>
      <c r="AE163" t="inlineStr" s="2909">
        <is>
          <t>20250401</t>
        </is>
      </c>
      <c r="AH163" t="n" s="2909">
        <v>1</v>
      </c>
      <c r="AJ163" t="n" s="2909">
        <v>10</v>
      </c>
      <c r="AP163" t="n" s="2909">
        <v>470000</v>
      </c>
      <c r="DB163" s="2909" t="str">
        <f>IF($A163="","",IF($AE163&amp;""&lt;&gt;'DB_設定'!$C$4,"対象外",IF($AH163=20,IF(OR($AJ163=10,$AJ163=11,$AJ163=18),"①病院一般",IF($AJ163=41,"②病院短期","対象外")),IF($AH163=5,IF($AJ163=30,"③特定消防","対象外"),IF(OR($AJ163=10,$AJ163=11,$AJ163=74),"④一般",IF(OR($AJ163=41,$AJ163=47),"⑤短期","対象外"))))))</f>
        <v>④一般</v>
      </c>
    </row>
    <row r="164">
      <c r="A164" t="n" s="2909">
        <v>21</v>
      </c>
      <c r="AA164" t="n" s="2909">
        <v>21</v>
      </c>
      <c r="AB164" t="inlineStr" s="2909">
        <is>
          <t>19880401</t>
        </is>
      </c>
      <c r="AD164" t="n" s="2909">
        <v>12</v>
      </c>
      <c r="AE164" t="inlineStr" s="2909">
        <is>
          <t>20250401</t>
        </is>
      </c>
      <c r="AH164" t="n" s="2909">
        <v>1</v>
      </c>
      <c r="AJ164" t="n" s="2909">
        <v>10</v>
      </c>
      <c r="AP164" t="n" s="2909">
        <v>560000</v>
      </c>
      <c r="DB164" s="2909" t="str">
        <f>IF($A164="","",IF($AE164&amp;""&lt;&gt;'DB_設定'!$C$4,"対象外",IF($AH164=20,IF(OR($AJ164=10,$AJ164=11,$AJ164=18),"①病院一般",IF($AJ164=41,"②病院短期","対象外")),IF($AH164=5,IF($AJ164=30,"③特定消防","対象外"),IF(OR($AJ164=10,$AJ164=11,$AJ164=74),"④一般",IF(OR($AJ164=41,$AJ164=47),"⑤短期","対象外"))))))</f>
        <v>④一般</v>
      </c>
    </row>
    <row r="165">
      <c r="A165" t="n" s="2909">
        <v>21</v>
      </c>
      <c r="AA165" t="n" s="2909">
        <v>21</v>
      </c>
      <c r="AB165" t="inlineStr" s="2909">
        <is>
          <t>19880401</t>
        </is>
      </c>
      <c r="AD165" t="n" s="2909">
        <v>12</v>
      </c>
      <c r="AE165" t="inlineStr" s="2909">
        <is>
          <t>20250401</t>
        </is>
      </c>
      <c r="AH165" t="n" s="2909">
        <v>1</v>
      </c>
      <c r="AJ165" t="n" s="2909">
        <v>10</v>
      </c>
      <c r="AP165" t="n" s="2909">
        <v>410000</v>
      </c>
      <c r="DB165" s="2909" t="str">
        <f>IF($A165="","",IF($AE165&amp;""&lt;&gt;'DB_設定'!$C$4,"対象外",IF($AH165=20,IF(OR($AJ165=10,$AJ165=11,$AJ165=18),"①病院一般",IF($AJ165=41,"②病院短期","対象外")),IF($AH165=5,IF($AJ165=30,"③特定消防","対象外"),IF(OR($AJ165=10,$AJ165=11,$AJ165=74),"④一般",IF(OR($AJ165=41,$AJ165=47),"⑤短期","対象外"))))))</f>
        <v>④一般</v>
      </c>
    </row>
    <row r="166">
      <c r="A166" t="n" s="2909">
        <v>21</v>
      </c>
      <c r="AA166" t="n" s="2909">
        <v>21</v>
      </c>
      <c r="AB166" t="inlineStr" s="2909">
        <is>
          <t>19880401</t>
        </is>
      </c>
      <c r="AD166" t="n" s="2909">
        <v>12</v>
      </c>
      <c r="AE166" t="inlineStr" s="2909">
        <is>
          <t>20250401</t>
        </is>
      </c>
      <c r="AH166" t="n" s="2909">
        <v>1</v>
      </c>
      <c r="AJ166" t="n" s="2909">
        <v>10</v>
      </c>
      <c r="AP166" t="n" s="2909">
        <v>440000</v>
      </c>
      <c r="DB166" s="2909" t="str">
        <f>IF($A166="","",IF($AE166&amp;""&lt;&gt;'DB_設定'!$C$4,"対象外",IF($AH166=20,IF(OR($AJ166=10,$AJ166=11,$AJ166=18),"①病院一般",IF($AJ166=41,"②病院短期","対象外")),IF($AH166=5,IF($AJ166=30,"③特定消防","対象外"),IF(OR($AJ166=10,$AJ166=11,$AJ166=74),"④一般",IF(OR($AJ166=41,$AJ166=47),"⑤短期","対象外"))))))</f>
        <v>④一般</v>
      </c>
    </row>
    <row r="167">
      <c r="A167" t="n" s="2909">
        <v>21</v>
      </c>
      <c r="AA167" t="n" s="2909">
        <v>21</v>
      </c>
      <c r="AB167" t="inlineStr" s="2909">
        <is>
          <t>19880401</t>
        </is>
      </c>
      <c r="AD167" t="n" s="2909">
        <v>11</v>
      </c>
      <c r="AE167" t="inlineStr" s="2909">
        <is>
          <t>20250401</t>
        </is>
      </c>
      <c r="AH167" t="n" s="2909">
        <v>1</v>
      </c>
      <c r="AJ167" t="n" s="2909">
        <v>10</v>
      </c>
      <c r="AP167" t="n" s="2909">
        <v>380000</v>
      </c>
      <c r="DB167" s="2909" t="str">
        <f>IF($A167="","",IF($AE167&amp;""&lt;&gt;'DB_設定'!$C$4,"対象外",IF($AH167=20,IF(OR($AJ167=10,$AJ167=11,$AJ167=18),"①病院一般",IF($AJ167=41,"②病院短期","対象外")),IF($AH167=5,IF($AJ167=30,"③特定消防","対象外"),IF(OR($AJ167=10,$AJ167=11,$AJ167=74),"④一般",IF(OR($AJ167=41,$AJ167=47),"⑤短期","対象外"))))))</f>
        <v>④一般</v>
      </c>
    </row>
    <row r="168">
      <c r="A168" t="n" s="2909">
        <v>21</v>
      </c>
      <c r="AA168" t="n" s="2909">
        <v>21</v>
      </c>
      <c r="AB168" t="inlineStr" s="2909">
        <is>
          <t>19880401</t>
        </is>
      </c>
      <c r="AD168" t="n" s="2909">
        <v>12</v>
      </c>
      <c r="AE168" t="inlineStr" s="2909">
        <is>
          <t>20250401</t>
        </is>
      </c>
      <c r="AH168" t="n" s="2909">
        <v>4</v>
      </c>
      <c r="AJ168" t="n" s="2909">
        <v>10</v>
      </c>
      <c r="AP168" t="n" s="2909">
        <v>590000</v>
      </c>
      <c r="DB168" s="2909" t="str">
        <f>IF($A168="","",IF($AE168&amp;""&lt;&gt;'DB_設定'!$C$4,"対象外",IF($AH168=20,IF(OR($AJ168=10,$AJ168=11,$AJ168=18),"①病院一般",IF($AJ168=41,"②病院短期","対象外")),IF($AH168=5,IF($AJ168=30,"③特定消防","対象外"),IF(OR($AJ168=10,$AJ168=11,$AJ168=74),"④一般",IF(OR($AJ168=41,$AJ168=47),"⑤短期","対象外"))))))</f>
        <v>④一般</v>
      </c>
    </row>
    <row r="169">
      <c r="A169" t="n" s="2909">
        <v>21</v>
      </c>
      <c r="AA169" t="n" s="2909">
        <v>21</v>
      </c>
      <c r="AB169" t="inlineStr" s="2909">
        <is>
          <t>19890401</t>
        </is>
      </c>
      <c r="AD169" t="n" s="2909">
        <v>12</v>
      </c>
      <c r="AE169" t="inlineStr" s="2909">
        <is>
          <t>20250401</t>
        </is>
      </c>
      <c r="AH169" t="n" s="2909">
        <v>20</v>
      </c>
      <c r="AJ169" t="n" s="2909">
        <v>18</v>
      </c>
      <c r="AP169" t="n" s="2909">
        <v>1090000</v>
      </c>
      <c r="DB169" s="2909" t="str">
        <f>IF($A169="","",IF($AE169&amp;""&lt;&gt;'DB_設定'!$C$4,"対象外",IF($AH169=20,IF(OR($AJ169=10,$AJ169=11,$AJ169=18),"①病院一般",IF($AJ169=41,"②病院短期","対象外")),IF($AH169=5,IF($AJ169=30,"③特定消防","対象外"),IF(OR($AJ169=10,$AJ169=11,$AJ169=74),"④一般",IF(OR($AJ169=41,$AJ169=47),"⑤短期","対象外"))))))</f>
        <v>①病院一般</v>
      </c>
    </row>
    <row r="170">
      <c r="A170" t="n" s="2909">
        <v>21</v>
      </c>
      <c r="AA170" t="n" s="2909">
        <v>21</v>
      </c>
      <c r="AB170" t="inlineStr" s="2909">
        <is>
          <t>19890401</t>
        </is>
      </c>
      <c r="AD170" t="n" s="2909">
        <v>12</v>
      </c>
      <c r="AE170" t="inlineStr" s="2909">
        <is>
          <t>20250701</t>
        </is>
      </c>
      <c r="AH170" t="n" s="2909">
        <v>1</v>
      </c>
      <c r="AJ170" t="n" s="2909">
        <v>11</v>
      </c>
      <c r="AP170" t="n" s="2909">
        <v>1090000</v>
      </c>
      <c r="DB170" s="2909" t="str">
        <f>IF($A170="","",IF($AE170&amp;""&lt;&gt;'DB_設定'!$C$4,"対象外",IF($AH170=20,IF(OR($AJ170=10,$AJ170=11,$AJ170=18),"①病院一般",IF($AJ170=41,"②病院短期","対象外")),IF($AH170=5,IF($AJ170=30,"③特定消防","対象外"),IF(OR($AJ170=10,$AJ170=11,$AJ170=74),"④一般",IF(OR($AJ170=41,$AJ170=47),"⑤短期","対象外"))))))</f>
        <v>対象外</v>
      </c>
    </row>
    <row r="171">
      <c r="A171" t="n" s="2909">
        <v>21</v>
      </c>
      <c r="AA171" t="n" s="2909">
        <v>21</v>
      </c>
      <c r="AB171" t="inlineStr" s="2909">
        <is>
          <t>19890401</t>
        </is>
      </c>
      <c r="AD171" t="n" s="2909">
        <v>11</v>
      </c>
      <c r="AE171" t="inlineStr" s="2909">
        <is>
          <t>20250401</t>
        </is>
      </c>
      <c r="AH171" t="n" s="2909">
        <v>1</v>
      </c>
      <c r="AJ171" t="n" s="2909">
        <v>10</v>
      </c>
      <c r="AP171" t="n" s="2909">
        <v>380000</v>
      </c>
      <c r="DB171" s="2909" t="str">
        <f>IF($A171="","",IF($AE171&amp;""&lt;&gt;'DB_設定'!$C$4,"対象外",IF($AH171=20,IF(OR($AJ171=10,$AJ171=11,$AJ171=18),"①病院一般",IF($AJ171=41,"②病院短期","対象外")),IF($AH171=5,IF($AJ171=30,"③特定消防","対象外"),IF(OR($AJ171=10,$AJ171=11,$AJ171=74),"④一般",IF(OR($AJ171=41,$AJ171=47),"⑤短期","対象外"))))))</f>
        <v>④一般</v>
      </c>
    </row>
    <row r="172">
      <c r="A172" t="n" s="2909">
        <v>21</v>
      </c>
      <c r="AA172" t="n" s="2909">
        <v>21</v>
      </c>
      <c r="AB172" t="inlineStr" s="2909">
        <is>
          <t>19890401</t>
        </is>
      </c>
      <c r="AD172" t="n" s="2909">
        <v>11</v>
      </c>
      <c r="AE172" t="inlineStr" s="2909">
        <is>
          <t>20250401</t>
        </is>
      </c>
      <c r="AH172" t="n" s="2909">
        <v>1</v>
      </c>
      <c r="AJ172" t="n" s="2909">
        <v>10</v>
      </c>
      <c r="AP172" t="n" s="2909">
        <v>440000</v>
      </c>
      <c r="DB172" s="2909" t="str">
        <f>IF($A172="","",IF($AE172&amp;""&lt;&gt;'DB_設定'!$C$4,"対象外",IF($AH172=20,IF(OR($AJ172=10,$AJ172=11,$AJ172=18),"①病院一般",IF($AJ172=41,"②病院短期","対象外")),IF($AH172=5,IF($AJ172=30,"③特定消防","対象外"),IF(OR($AJ172=10,$AJ172=11,$AJ172=74),"④一般",IF(OR($AJ172=41,$AJ172=47),"⑤短期","対象外"))))))</f>
        <v>④一般</v>
      </c>
    </row>
    <row r="173">
      <c r="A173" t="n" s="2909">
        <v>21</v>
      </c>
      <c r="AA173" t="n" s="2909">
        <v>21</v>
      </c>
      <c r="AB173" t="inlineStr" s="2909">
        <is>
          <t>19890401</t>
        </is>
      </c>
      <c r="AD173" t="n" s="2909">
        <v>12</v>
      </c>
      <c r="AE173" t="inlineStr" s="2909">
        <is>
          <t>20250401</t>
        </is>
      </c>
      <c r="AH173" t="n" s="2909">
        <v>1</v>
      </c>
      <c r="AJ173" t="n" s="2909">
        <v>10</v>
      </c>
      <c r="AP173" t="n" s="2909">
        <v>750000</v>
      </c>
      <c r="DB173" s="2909" t="str">
        <f>IF($A173="","",IF($AE173&amp;""&lt;&gt;'DB_設定'!$C$4,"対象外",IF($AH173=20,IF(OR($AJ173=10,$AJ173=11,$AJ173=18),"①病院一般",IF($AJ173=41,"②病院短期","対象外")),IF($AH173=5,IF($AJ173=30,"③特定消防","対象外"),IF(OR($AJ173=10,$AJ173=11,$AJ173=74),"④一般",IF(OR($AJ173=41,$AJ173=47),"⑤短期","対象外"))))))</f>
        <v>④一般</v>
      </c>
    </row>
    <row r="174">
      <c r="A174" t="n" s="2909">
        <v>21</v>
      </c>
      <c r="AA174" t="n" s="2909">
        <v>21</v>
      </c>
      <c r="AB174" t="inlineStr" s="2909">
        <is>
          <t>19890401</t>
        </is>
      </c>
      <c r="AD174" t="n" s="2909">
        <v>12</v>
      </c>
      <c r="AE174" t="inlineStr" s="2909">
        <is>
          <t>20250602</t>
        </is>
      </c>
      <c r="AH174" t="n" s="2909">
        <v>1</v>
      </c>
      <c r="AJ174" t="n" s="2909">
        <v>10</v>
      </c>
      <c r="AP174" t="n" s="2909">
        <v>620000</v>
      </c>
      <c r="DB174" s="2909" t="str">
        <f>IF($A174="","",IF($AE174&amp;""&lt;&gt;'DB_設定'!$C$4,"対象外",IF($AH174=20,IF(OR($AJ174=10,$AJ174=11,$AJ174=18),"①病院一般",IF($AJ174=41,"②病院短期","対象外")),IF($AH174=5,IF($AJ174=30,"③特定消防","対象外"),IF(OR($AJ174=10,$AJ174=11,$AJ174=74),"④一般",IF(OR($AJ174=41,$AJ174=47),"⑤短期","対象外"))))))</f>
        <v>対象外</v>
      </c>
    </row>
    <row r="175">
      <c r="A175" t="n" s="2909">
        <v>21</v>
      </c>
      <c r="AA175" t="n" s="2909">
        <v>21</v>
      </c>
      <c r="AB175" t="inlineStr" s="2909">
        <is>
          <t>19890401</t>
        </is>
      </c>
      <c r="AD175" t="n" s="2909">
        <v>12</v>
      </c>
      <c r="AE175" t="inlineStr" s="2909">
        <is>
          <t>20250401</t>
        </is>
      </c>
      <c r="AH175" t="n" s="2909">
        <v>14</v>
      </c>
      <c r="AJ175" t="n" s="2909">
        <v>10</v>
      </c>
      <c r="AP175" t="n" s="2909">
        <v>650000</v>
      </c>
      <c r="DB175" s="2909" t="str">
        <f>IF($A175="","",IF($AE175&amp;""&lt;&gt;'DB_設定'!$C$4,"対象外",IF($AH175=20,IF(OR($AJ175=10,$AJ175=11,$AJ175=18),"①病院一般",IF($AJ175=41,"②病院短期","対象外")),IF($AH175=5,IF($AJ175=30,"③特定消防","対象外"),IF(OR($AJ175=10,$AJ175=11,$AJ175=74),"④一般",IF(OR($AJ175=41,$AJ175=47),"⑤短期","対象外"))))))</f>
        <v>④一般</v>
      </c>
    </row>
    <row r="176">
      <c r="A176" t="n" s="2909">
        <v>21</v>
      </c>
      <c r="AA176" t="n" s="2909">
        <v>21</v>
      </c>
      <c r="AB176" t="inlineStr" s="2909">
        <is>
          <t>19890401</t>
        </is>
      </c>
      <c r="AD176" t="n" s="2909">
        <v>12</v>
      </c>
      <c r="AE176" t="inlineStr" s="2909">
        <is>
          <t>20250401</t>
        </is>
      </c>
      <c r="AH176" t="n" s="2909">
        <v>1</v>
      </c>
      <c r="AJ176" t="n" s="2909">
        <v>10</v>
      </c>
      <c r="AP176" t="n" s="2909">
        <v>470000</v>
      </c>
      <c r="DB176" s="2909" t="str">
        <f>IF($A176="","",IF($AE176&amp;""&lt;&gt;'DB_設定'!$C$4,"対象外",IF($AH176=20,IF(OR($AJ176=10,$AJ176=11,$AJ176=18),"①病院一般",IF($AJ176=41,"②病院短期","対象外")),IF($AH176=5,IF($AJ176=30,"③特定消防","対象外"),IF(OR($AJ176=10,$AJ176=11,$AJ176=74),"④一般",IF(OR($AJ176=41,$AJ176=47),"⑤短期","対象外"))))))</f>
        <v>④一般</v>
      </c>
    </row>
    <row r="177">
      <c r="A177" t="n" s="2909">
        <v>21</v>
      </c>
      <c r="AA177" t="n" s="2909">
        <v>21</v>
      </c>
      <c r="AB177" t="inlineStr" s="2909">
        <is>
          <t>19890401</t>
        </is>
      </c>
      <c r="AD177" t="n" s="2909">
        <v>11</v>
      </c>
      <c r="AE177" t="inlineStr" s="2909">
        <is>
          <t>20250401</t>
        </is>
      </c>
      <c r="AH177" t="n" s="2909">
        <v>1</v>
      </c>
      <c r="AJ177" t="n" s="2909">
        <v>10</v>
      </c>
      <c r="AP177" t="n" s="2909">
        <v>340000</v>
      </c>
      <c r="DB177" s="2909" t="str">
        <f>IF($A177="","",IF($AE177&amp;""&lt;&gt;'DB_設定'!$C$4,"対象外",IF($AH177=20,IF(OR($AJ177=10,$AJ177=11,$AJ177=18),"①病院一般",IF($AJ177=41,"②病院短期","対象外")),IF($AH177=5,IF($AJ177=30,"③特定消防","対象外"),IF(OR($AJ177=10,$AJ177=11,$AJ177=74),"④一般",IF(OR($AJ177=41,$AJ177=47),"⑤短期","対象外"))))))</f>
        <v>④一般</v>
      </c>
    </row>
    <row r="178">
      <c r="A178" t="n" s="2909">
        <v>21</v>
      </c>
      <c r="AA178" t="n" s="2909">
        <v>21</v>
      </c>
      <c r="AB178" t="inlineStr" s="2909">
        <is>
          <t>19890401</t>
        </is>
      </c>
      <c r="AD178" t="n" s="2909">
        <v>11</v>
      </c>
      <c r="AE178" t="inlineStr" s="2909">
        <is>
          <t>20250401</t>
        </is>
      </c>
      <c r="AH178" t="n" s="2909">
        <v>1</v>
      </c>
      <c r="AJ178" t="n" s="2909">
        <v>10</v>
      </c>
      <c r="AP178" t="n" s="2909">
        <v>380000</v>
      </c>
      <c r="DB178" s="2909" t="str">
        <f>IF($A178="","",IF($AE178&amp;""&lt;&gt;'DB_設定'!$C$4,"対象外",IF($AH178=20,IF(OR($AJ178=10,$AJ178=11,$AJ178=18),"①病院一般",IF($AJ178=41,"②病院短期","対象外")),IF($AH178=5,IF($AJ178=30,"③特定消防","対象外"),IF(OR($AJ178=10,$AJ178=11,$AJ178=74),"④一般",IF(OR($AJ178=41,$AJ178=47),"⑤短期","対象外"))))))</f>
        <v>④一般</v>
      </c>
    </row>
    <row r="179">
      <c r="A179" t="n" s="2909">
        <v>21</v>
      </c>
      <c r="AA179" t="n" s="2909">
        <v>21</v>
      </c>
      <c r="AB179" t="inlineStr" s="2909">
        <is>
          <t>19890501</t>
        </is>
      </c>
      <c r="AD179" t="n" s="2909">
        <v>11</v>
      </c>
      <c r="AE179" t="inlineStr" s="2909">
        <is>
          <t>20250401</t>
        </is>
      </c>
      <c r="AH179" t="n" s="2909">
        <v>3</v>
      </c>
      <c r="AJ179" t="n" s="2909">
        <v>10</v>
      </c>
      <c r="AP179" t="n" s="2909">
        <v>470000</v>
      </c>
      <c r="DB179" s="2909" t="str">
        <f>IF($A179="","",IF($AE179&amp;""&lt;&gt;'DB_設定'!$C$4,"対象外",IF($AH179=20,IF(OR($AJ179=10,$AJ179=11,$AJ179=18),"①病院一般",IF($AJ179=41,"②病院短期","対象外")),IF($AH179=5,IF($AJ179=30,"③特定消防","対象外"),IF(OR($AJ179=10,$AJ179=11,$AJ179=74),"④一般",IF(OR($AJ179=41,$AJ179=47),"⑤短期","対象外"))))))</f>
        <v>④一般</v>
      </c>
    </row>
    <row r="180">
      <c r="A180" t="n" s="2909">
        <v>21</v>
      </c>
      <c r="AA180" t="n" s="2909">
        <v>21</v>
      </c>
      <c r="AB180" t="inlineStr" s="2909">
        <is>
          <t>19890401</t>
        </is>
      </c>
      <c r="AD180" t="n" s="2909">
        <v>11</v>
      </c>
      <c r="AE180" t="inlineStr" s="2909">
        <is>
          <t>20250401</t>
        </is>
      </c>
      <c r="AH180" t="n" s="2909">
        <v>3</v>
      </c>
      <c r="AJ180" t="n" s="2909">
        <v>10</v>
      </c>
      <c r="AP180" t="n" s="2909">
        <v>410000</v>
      </c>
      <c r="DB180" s="2909" t="str">
        <f>IF($A180="","",IF($AE180&amp;""&lt;&gt;'DB_設定'!$C$4,"対象外",IF($AH180=20,IF(OR($AJ180=10,$AJ180=11,$AJ180=18),"①病院一般",IF($AJ180=41,"②病院短期","対象外")),IF($AH180=5,IF($AJ180=30,"③特定消防","対象外"),IF(OR($AJ180=10,$AJ180=11,$AJ180=74),"④一般",IF(OR($AJ180=41,$AJ180=47),"⑤短期","対象外"))))))</f>
        <v>④一般</v>
      </c>
    </row>
    <row r="181">
      <c r="A181" t="n" s="2909">
        <v>21</v>
      </c>
      <c r="AA181" t="n" s="2909">
        <v>21</v>
      </c>
      <c r="AB181" t="inlineStr" s="2909">
        <is>
          <t>19890401</t>
        </is>
      </c>
      <c r="AD181" t="n" s="2909">
        <v>11</v>
      </c>
      <c r="AE181" t="inlineStr" s="2909">
        <is>
          <t>20250401</t>
        </is>
      </c>
      <c r="AH181" t="n" s="2909">
        <v>4</v>
      </c>
      <c r="AJ181" t="n" s="2909">
        <v>10</v>
      </c>
      <c r="AP181" t="n" s="2909">
        <v>360000</v>
      </c>
      <c r="DB181" s="2909" t="str">
        <f>IF($A181="","",IF($AE181&amp;""&lt;&gt;'DB_設定'!$C$4,"対象外",IF($AH181=20,IF(OR($AJ181=10,$AJ181=11,$AJ181=18),"①病院一般",IF($AJ181=41,"②病院短期","対象外")),IF($AH181=5,IF($AJ181=30,"③特定消防","対象外"),IF(OR($AJ181=10,$AJ181=11,$AJ181=74),"④一般",IF(OR($AJ181=41,$AJ181=47),"⑤短期","対象外"))))))</f>
        <v>④一般</v>
      </c>
    </row>
    <row r="182">
      <c r="A182" t="n" s="2909">
        <v>21</v>
      </c>
      <c r="AA182" t="n" s="2909">
        <v>21</v>
      </c>
      <c r="AB182" t="inlineStr" s="2909">
        <is>
          <t>19890401</t>
        </is>
      </c>
      <c r="AD182" t="n" s="2909">
        <v>11</v>
      </c>
      <c r="AE182" t="inlineStr" s="2909">
        <is>
          <t>20250401</t>
        </is>
      </c>
      <c r="AH182" t="n" s="2909">
        <v>1</v>
      </c>
      <c r="AJ182" t="n" s="2909">
        <v>10</v>
      </c>
      <c r="AP182" t="n" s="2909">
        <v>340000</v>
      </c>
      <c r="DB182" s="2909" t="str">
        <f>IF($A182="","",IF($AE182&amp;""&lt;&gt;'DB_設定'!$C$4,"対象外",IF($AH182=20,IF(OR($AJ182=10,$AJ182=11,$AJ182=18),"①病院一般",IF($AJ182=41,"②病院短期","対象外")),IF($AH182=5,IF($AJ182=30,"③特定消防","対象外"),IF(OR($AJ182=10,$AJ182=11,$AJ182=74),"④一般",IF(OR($AJ182=41,$AJ182=47),"⑤短期","対象外"))))))</f>
        <v>④一般</v>
      </c>
    </row>
    <row r="183">
      <c r="A183" t="n" s="2909">
        <v>21</v>
      </c>
      <c r="AA183" t="n" s="2909">
        <v>21</v>
      </c>
      <c r="AB183" t="inlineStr" s="2909">
        <is>
          <t>19900401</t>
        </is>
      </c>
      <c r="AD183" t="n" s="2909">
        <v>11</v>
      </c>
      <c r="AE183" t="inlineStr" s="2909">
        <is>
          <t>20250401</t>
        </is>
      </c>
      <c r="AH183" t="n" s="2909">
        <v>20</v>
      </c>
      <c r="AJ183" t="n" s="2909">
        <v>10</v>
      </c>
      <c r="AP183" t="n" s="2909">
        <v>360000</v>
      </c>
      <c r="DB183" s="2909" t="str">
        <f>IF($A183="","",IF($AE183&amp;""&lt;&gt;'DB_設定'!$C$4,"対象外",IF($AH183=20,IF(OR($AJ183=10,$AJ183=11,$AJ183=18),"①病院一般",IF($AJ183=41,"②病院短期","対象外")),IF($AH183=5,IF($AJ183=30,"③特定消防","対象外"),IF(OR($AJ183=10,$AJ183=11,$AJ183=74),"④一般",IF(OR($AJ183=41,$AJ183=47),"⑤短期","対象外"))))))</f>
        <v>①病院一般</v>
      </c>
    </row>
    <row r="184">
      <c r="A184" t="n" s="2909">
        <v>21</v>
      </c>
      <c r="AA184" t="n" s="2909">
        <v>21</v>
      </c>
      <c r="AB184" t="inlineStr" s="2909">
        <is>
          <t>19900401</t>
        </is>
      </c>
      <c r="AD184" t="n" s="2909">
        <v>12</v>
      </c>
      <c r="AE184" t="inlineStr" s="2909">
        <is>
          <t>20250401</t>
        </is>
      </c>
      <c r="AH184" t="n" s="2909">
        <v>1</v>
      </c>
      <c r="AJ184" t="n" s="2909">
        <v>10</v>
      </c>
      <c r="AP184" t="n" s="2909">
        <v>620000</v>
      </c>
      <c r="DB184" s="2909" t="str">
        <f>IF($A184="","",IF($AE184&amp;""&lt;&gt;'DB_設定'!$C$4,"対象外",IF($AH184=20,IF(OR($AJ184=10,$AJ184=11,$AJ184=18),"①病院一般",IF($AJ184=41,"②病院短期","対象外")),IF($AH184=5,IF($AJ184=30,"③特定消防","対象外"),IF(OR($AJ184=10,$AJ184=11,$AJ184=74),"④一般",IF(OR($AJ184=41,$AJ184=47),"⑤短期","対象外"))))))</f>
        <v>④一般</v>
      </c>
    </row>
    <row r="185">
      <c r="A185" t="n" s="2909">
        <v>21</v>
      </c>
      <c r="AA185" t="n" s="2909">
        <v>21</v>
      </c>
      <c r="AB185" t="inlineStr" s="2909">
        <is>
          <t>19900501</t>
        </is>
      </c>
      <c r="AD185" t="n" s="2909">
        <v>12</v>
      </c>
      <c r="AE185" t="inlineStr" s="2909">
        <is>
          <t>20250401</t>
        </is>
      </c>
      <c r="AH185" t="n" s="2909">
        <v>45</v>
      </c>
      <c r="AJ185" t="n" s="2909">
        <v>74</v>
      </c>
      <c r="AP185" t="n" s="2909">
        <v>650000</v>
      </c>
      <c r="DB185" s="2909" t="str">
        <f>IF($A185="","",IF($AE185&amp;""&lt;&gt;'DB_設定'!$C$4,"対象外",IF($AH185=20,IF(OR($AJ185=10,$AJ185=11,$AJ185=18),"①病院一般",IF($AJ185=41,"②病院短期","対象外")),IF($AH185=5,IF($AJ185=30,"③特定消防","対象外"),IF(OR($AJ185=10,$AJ185=11,$AJ185=74),"④一般",IF(OR($AJ185=41,$AJ185=47),"⑤短期","対象外"))))))</f>
        <v>④一般</v>
      </c>
    </row>
    <row r="186">
      <c r="A186" t="n" s="2909">
        <v>21</v>
      </c>
      <c r="AA186" t="n" s="2909">
        <v>21</v>
      </c>
      <c r="AB186" t="inlineStr" s="2909">
        <is>
          <t>19900401</t>
        </is>
      </c>
      <c r="AD186" t="n" s="2909">
        <v>11</v>
      </c>
      <c r="AE186" t="inlineStr" s="2909">
        <is>
          <t>20250401</t>
        </is>
      </c>
      <c r="AH186" t="n" s="2909">
        <v>3</v>
      </c>
      <c r="AJ186" t="n" s="2909">
        <v>10</v>
      </c>
      <c r="AP186" t="n" s="2909">
        <v>650000</v>
      </c>
      <c r="DB186" s="2909" t="str">
        <f>IF($A186="","",IF($AE186&amp;""&lt;&gt;'DB_設定'!$C$4,"対象外",IF($AH186=20,IF(OR($AJ186=10,$AJ186=11,$AJ186=18),"①病院一般",IF($AJ186=41,"②病院短期","対象外")),IF($AH186=5,IF($AJ186=30,"③特定消防","対象外"),IF(OR($AJ186=10,$AJ186=11,$AJ186=74),"④一般",IF(OR($AJ186=41,$AJ186=47),"⑤短期","対象外"))))))</f>
        <v>④一般</v>
      </c>
    </row>
    <row r="187">
      <c r="A187" t="n" s="2909">
        <v>21</v>
      </c>
      <c r="AA187" t="n" s="2909">
        <v>21</v>
      </c>
      <c r="AB187" t="inlineStr" s="2909">
        <is>
          <t>19900401</t>
        </is>
      </c>
      <c r="AD187" t="n" s="2909">
        <v>12</v>
      </c>
      <c r="AE187" t="inlineStr" s="2909">
        <is>
          <t>20250401</t>
        </is>
      </c>
      <c r="AH187" t="n" s="2909">
        <v>1</v>
      </c>
      <c r="AJ187" t="n" s="2909">
        <v>10</v>
      </c>
      <c r="AP187" t="n" s="2909">
        <v>750000</v>
      </c>
      <c r="DB187" s="2909" t="str">
        <f>IF($A187="","",IF($AE187&amp;""&lt;&gt;'DB_設定'!$C$4,"対象外",IF($AH187=20,IF(OR($AJ187=10,$AJ187=11,$AJ187=18),"①病院一般",IF($AJ187=41,"②病院短期","対象外")),IF($AH187=5,IF($AJ187=30,"③特定消防","対象外"),IF(OR($AJ187=10,$AJ187=11,$AJ187=74),"④一般",IF(OR($AJ187=41,$AJ187=47),"⑤短期","対象外"))))))</f>
        <v>④一般</v>
      </c>
    </row>
    <row r="188">
      <c r="A188" t="n" s="2909">
        <v>21</v>
      </c>
      <c r="AA188" t="n" s="2909">
        <v>21</v>
      </c>
      <c r="AB188" t="inlineStr" s="2909">
        <is>
          <t>19900401</t>
        </is>
      </c>
      <c r="AD188" t="n" s="2909">
        <v>12</v>
      </c>
      <c r="AE188" t="inlineStr" s="2909">
        <is>
          <t>20250401</t>
        </is>
      </c>
      <c r="AH188" t="n" s="2909">
        <v>1</v>
      </c>
      <c r="AJ188" t="n" s="2909">
        <v>10</v>
      </c>
      <c r="AP188" t="n" s="2909">
        <v>530000</v>
      </c>
      <c r="DB188" s="2909" t="str">
        <f>IF($A188="","",IF($AE188&amp;""&lt;&gt;'DB_設定'!$C$4,"対象外",IF($AH188=20,IF(OR($AJ188=10,$AJ188=11,$AJ188=18),"①病院一般",IF($AJ188=41,"②病院短期","対象外")),IF($AH188=5,IF($AJ188=30,"③特定消防","対象外"),IF(OR($AJ188=10,$AJ188=11,$AJ188=74),"④一般",IF(OR($AJ188=41,$AJ188=47),"⑤短期","対象外"))))))</f>
        <v>④一般</v>
      </c>
    </row>
    <row r="189">
      <c r="A189" t="n" s="2909">
        <v>21</v>
      </c>
      <c r="AA189" t="n" s="2909">
        <v>21</v>
      </c>
      <c r="AB189" t="inlineStr" s="2909">
        <is>
          <t>19900401</t>
        </is>
      </c>
      <c r="AD189" t="n" s="2909">
        <v>12</v>
      </c>
      <c r="AE189" t="inlineStr" s="2909">
        <is>
          <t>20251101</t>
        </is>
      </c>
      <c r="AH189" t="n" s="2909">
        <v>1</v>
      </c>
      <c r="AJ189" t="n" s="2909">
        <v>10</v>
      </c>
      <c r="AP189" t="n" s="2909">
        <v>680000</v>
      </c>
      <c r="DB189" s="2909" t="str">
        <f>IF($A189="","",IF($AE189&amp;""&lt;&gt;'DB_設定'!$C$4,"対象外",IF($AH189=20,IF(OR($AJ189=10,$AJ189=11,$AJ189=18),"①病院一般",IF($AJ189=41,"②病院短期","対象外")),IF($AH189=5,IF($AJ189=30,"③特定消防","対象外"),IF(OR($AJ189=10,$AJ189=11,$AJ189=74),"④一般",IF(OR($AJ189=41,$AJ189=47),"⑤短期","対象外"))))))</f>
        <v>対象外</v>
      </c>
    </row>
    <row r="190">
      <c r="A190" t="n" s="2909">
        <v>21</v>
      </c>
      <c r="AA190" t="n" s="2909">
        <v>21</v>
      </c>
      <c r="AB190" t="inlineStr" s="2909">
        <is>
          <t>19900401</t>
        </is>
      </c>
      <c r="AD190" t="n" s="2909">
        <v>12</v>
      </c>
      <c r="AE190" t="inlineStr" s="2909">
        <is>
          <t>20250401</t>
        </is>
      </c>
      <c r="AH190" t="n" s="2909">
        <v>1</v>
      </c>
      <c r="AJ190" t="n" s="2909">
        <v>10</v>
      </c>
      <c r="AP190" t="n" s="2909">
        <v>680000</v>
      </c>
      <c r="DB190" s="2909" t="str">
        <f>IF($A190="","",IF($AE190&amp;""&lt;&gt;'DB_設定'!$C$4,"対象外",IF($AH190=20,IF(OR($AJ190=10,$AJ190=11,$AJ190=18),"①病院一般",IF($AJ190=41,"②病院短期","対象外")),IF($AH190=5,IF($AJ190=30,"③特定消防","対象外"),IF(OR($AJ190=10,$AJ190=11,$AJ190=74),"④一般",IF(OR($AJ190=41,$AJ190=47),"⑤短期","対象外"))))))</f>
        <v>④一般</v>
      </c>
    </row>
    <row r="191">
      <c r="A191" t="n" s="2909">
        <v>21</v>
      </c>
      <c r="AA191" t="n" s="2909">
        <v>21</v>
      </c>
      <c r="AB191" t="inlineStr" s="2909">
        <is>
          <t>19900401</t>
        </is>
      </c>
      <c r="AD191" t="n" s="2909">
        <v>11</v>
      </c>
      <c r="AE191" t="inlineStr" s="2909">
        <is>
          <t>20250401</t>
        </is>
      </c>
      <c r="AH191" t="n" s="2909">
        <v>1</v>
      </c>
      <c r="AJ191" t="n" s="2909">
        <v>10</v>
      </c>
      <c r="AP191" t="n" s="2909">
        <v>440000</v>
      </c>
      <c r="DB191" s="2909" t="str">
        <f>IF($A191="","",IF($AE191&amp;""&lt;&gt;'DB_設定'!$C$4,"対象外",IF($AH191=20,IF(OR($AJ191=10,$AJ191=11,$AJ191=18),"①病院一般",IF($AJ191=41,"②病院短期","対象外")),IF($AH191=5,IF($AJ191=30,"③特定消防","対象外"),IF(OR($AJ191=10,$AJ191=11,$AJ191=74),"④一般",IF(OR($AJ191=41,$AJ191=47),"⑤短期","対象外"))))))</f>
        <v>④一般</v>
      </c>
    </row>
    <row r="192">
      <c r="A192" t="n" s="2909">
        <v>21</v>
      </c>
      <c r="AA192" t="n" s="2909">
        <v>21</v>
      </c>
      <c r="AB192" t="inlineStr" s="2909">
        <is>
          <t>19900401</t>
        </is>
      </c>
      <c r="AD192" t="n" s="2909">
        <v>12</v>
      </c>
      <c r="AE192" t="inlineStr" s="2909">
        <is>
          <t>20250401</t>
        </is>
      </c>
      <c r="AH192" t="n" s="2909">
        <v>1</v>
      </c>
      <c r="AJ192" t="n" s="2909">
        <v>10</v>
      </c>
      <c r="AP192" t="n" s="2909">
        <v>380000</v>
      </c>
      <c r="DB192" s="2909" t="str">
        <f>IF($A192="","",IF($AE192&amp;""&lt;&gt;'DB_設定'!$C$4,"対象外",IF($AH192=20,IF(OR($AJ192=10,$AJ192=11,$AJ192=18),"①病院一般",IF($AJ192=41,"②病院短期","対象外")),IF($AH192=5,IF($AJ192=30,"③特定消防","対象外"),IF(OR($AJ192=10,$AJ192=11,$AJ192=74),"④一般",IF(OR($AJ192=41,$AJ192=47),"⑤短期","対象外"))))))</f>
        <v>④一般</v>
      </c>
    </row>
    <row r="193">
      <c r="A193" t="n" s="2909">
        <v>21</v>
      </c>
      <c r="AA193" t="n" s="2909">
        <v>21</v>
      </c>
      <c r="AB193" t="inlineStr" s="2909">
        <is>
          <t>19910101</t>
        </is>
      </c>
      <c r="AD193" t="n" s="2909">
        <v>11</v>
      </c>
      <c r="AE193" t="inlineStr" s="2909">
        <is>
          <t>20250401</t>
        </is>
      </c>
      <c r="AH193" t="n" s="2909">
        <v>1</v>
      </c>
      <c r="AJ193" t="n" s="2909">
        <v>10</v>
      </c>
      <c r="AP193" t="n" s="2909">
        <v>880000</v>
      </c>
      <c r="DB193" s="2909" t="str">
        <f>IF($A193="","",IF($AE193&amp;""&lt;&gt;'DB_設定'!$C$4,"対象外",IF($AH193=20,IF(OR($AJ193=10,$AJ193=11,$AJ193=18),"①病院一般",IF($AJ193=41,"②病院短期","対象外")),IF($AH193=5,IF($AJ193=30,"③特定消防","対象外"),IF(OR($AJ193=10,$AJ193=11,$AJ193=74),"④一般",IF(OR($AJ193=41,$AJ193=47),"⑤短期","対象外"))))))</f>
        <v>④一般</v>
      </c>
    </row>
    <row r="194">
      <c r="A194" t="n" s="2909">
        <v>21</v>
      </c>
      <c r="AA194" t="n" s="2909">
        <v>21</v>
      </c>
      <c r="AB194" t="inlineStr" s="2909">
        <is>
          <t>19900401</t>
        </is>
      </c>
      <c r="AD194" t="n" s="2909">
        <v>12</v>
      </c>
      <c r="AE194" t="inlineStr" s="2909">
        <is>
          <t>20250401</t>
        </is>
      </c>
      <c r="AH194" t="n" s="2909">
        <v>4</v>
      </c>
      <c r="AJ194" t="n" s="2909">
        <v>11</v>
      </c>
      <c r="AP194" t="n" s="2909">
        <v>710000</v>
      </c>
      <c r="DB194" s="2909" t="str">
        <f>IF($A194="","",IF($AE194&amp;""&lt;&gt;'DB_設定'!$C$4,"対象外",IF($AH194=20,IF(OR($AJ194=10,$AJ194=11,$AJ194=18),"①病院一般",IF($AJ194=41,"②病院短期","対象外")),IF($AH194=5,IF($AJ194=30,"③特定消防","対象外"),IF(OR($AJ194=10,$AJ194=11,$AJ194=74),"④一般",IF(OR($AJ194=41,$AJ194=47),"⑤短期","対象外"))))))</f>
        <v>④一般</v>
      </c>
    </row>
    <row r="195">
      <c r="A195" t="n" s="2909">
        <v>21</v>
      </c>
      <c r="AA195" t="n" s="2909">
        <v>21</v>
      </c>
      <c r="AB195" t="inlineStr" s="2909">
        <is>
          <t>19910501</t>
        </is>
      </c>
      <c r="AD195" t="n" s="2909">
        <v>12</v>
      </c>
      <c r="AE195" t="inlineStr" s="2909">
        <is>
          <t>20250401</t>
        </is>
      </c>
      <c r="AH195" t="n" s="2909">
        <v>20</v>
      </c>
      <c r="AJ195" t="n" s="2909">
        <v>10</v>
      </c>
      <c r="AP195" t="n" s="2909">
        <v>530000</v>
      </c>
      <c r="DB195" s="2909" t="str">
        <f>IF($A195="","",IF($AE195&amp;""&lt;&gt;'DB_設定'!$C$4,"対象外",IF($AH195=20,IF(OR($AJ195=10,$AJ195=11,$AJ195=18),"①病院一般",IF($AJ195=41,"②病院短期","対象外")),IF($AH195=5,IF($AJ195=30,"③特定消防","対象外"),IF(OR($AJ195=10,$AJ195=11,$AJ195=74),"④一般",IF(OR($AJ195=41,$AJ195=47),"⑤短期","対象外"))))))</f>
        <v>①病院一般</v>
      </c>
    </row>
    <row r="196">
      <c r="A196" t="n" s="2909">
        <v>21</v>
      </c>
      <c r="AA196" t="n" s="2909">
        <v>21</v>
      </c>
      <c r="AB196" t="inlineStr" s="2909">
        <is>
          <t>19910401</t>
        </is>
      </c>
      <c r="AD196" t="n" s="2909">
        <v>12</v>
      </c>
      <c r="AE196" t="inlineStr" s="2909">
        <is>
          <t>20250401</t>
        </is>
      </c>
      <c r="AH196" t="n" s="2909">
        <v>1</v>
      </c>
      <c r="AJ196" t="n" s="2909">
        <v>10</v>
      </c>
      <c r="AP196" t="n" s="2909">
        <v>560000</v>
      </c>
      <c r="DB196" s="2909" t="str">
        <f>IF($A196="","",IF($AE196&amp;""&lt;&gt;'DB_設定'!$C$4,"対象外",IF($AH196=20,IF(OR($AJ196=10,$AJ196=11,$AJ196=18),"①病院一般",IF($AJ196=41,"②病院短期","対象外")),IF($AH196=5,IF($AJ196=30,"③特定消防","対象外"),IF(OR($AJ196=10,$AJ196=11,$AJ196=74),"④一般",IF(OR($AJ196=41,$AJ196=47),"⑤短期","対象外"))))))</f>
        <v>④一般</v>
      </c>
    </row>
    <row r="197">
      <c r="A197" t="n" s="2909">
        <v>21</v>
      </c>
      <c r="AA197" t="n" s="2909">
        <v>21</v>
      </c>
      <c r="AB197" t="inlineStr" s="2909">
        <is>
          <t>19910401</t>
        </is>
      </c>
      <c r="AD197" t="n" s="2909">
        <v>12</v>
      </c>
      <c r="AE197" t="inlineStr" s="2909">
        <is>
          <t>20250401</t>
        </is>
      </c>
      <c r="AH197" t="n" s="2909">
        <v>1</v>
      </c>
      <c r="AJ197" t="n" s="2909">
        <v>10</v>
      </c>
      <c r="AP197" t="n" s="2909">
        <v>470000</v>
      </c>
      <c r="DB197" s="2909" t="str">
        <f>IF($A197="","",IF($AE197&amp;""&lt;&gt;'DB_設定'!$C$4,"対象外",IF($AH197=20,IF(OR($AJ197=10,$AJ197=11,$AJ197=18),"①病院一般",IF($AJ197=41,"②病院短期","対象外")),IF($AH197=5,IF($AJ197=30,"③特定消防","対象外"),IF(OR($AJ197=10,$AJ197=11,$AJ197=74),"④一般",IF(OR($AJ197=41,$AJ197=47),"⑤短期","対象外"))))))</f>
        <v>④一般</v>
      </c>
    </row>
    <row r="198">
      <c r="A198" t="n" s="2909">
        <v>21</v>
      </c>
      <c r="AA198" t="n" s="2909">
        <v>21</v>
      </c>
      <c r="AB198" t="inlineStr" s="2909">
        <is>
          <t>19910401</t>
        </is>
      </c>
      <c r="AD198" t="n" s="2909">
        <v>12</v>
      </c>
      <c r="AE198" t="inlineStr" s="2909">
        <is>
          <t>20250401</t>
        </is>
      </c>
      <c r="AH198" t="n" s="2909">
        <v>1</v>
      </c>
      <c r="AJ198" t="n" s="2909">
        <v>10</v>
      </c>
      <c r="AP198" t="n" s="2909">
        <v>500000</v>
      </c>
      <c r="DB198" s="2909" t="str">
        <f>IF($A198="","",IF($AE198&amp;""&lt;&gt;'DB_設定'!$C$4,"対象外",IF($AH198=20,IF(OR($AJ198=10,$AJ198=11,$AJ198=18),"①病院一般",IF($AJ198=41,"②病院短期","対象外")),IF($AH198=5,IF($AJ198=30,"③特定消防","対象外"),IF(OR($AJ198=10,$AJ198=11,$AJ198=74),"④一般",IF(OR($AJ198=41,$AJ198=47),"⑤短期","対象外"))))))</f>
        <v>④一般</v>
      </c>
    </row>
    <row r="199">
      <c r="A199" t="n" s="2909">
        <v>21</v>
      </c>
      <c r="AA199" t="n" s="2909">
        <v>24</v>
      </c>
      <c r="AB199" t="inlineStr" s="2909">
        <is>
          <t>20150401</t>
        </is>
      </c>
      <c r="AD199" t="n" s="2909">
        <v>12</v>
      </c>
      <c r="AE199" t="inlineStr" s="2909">
        <is>
          <t>20250401</t>
        </is>
      </c>
      <c r="AH199" t="n" s="2909">
        <v>1</v>
      </c>
      <c r="AJ199" t="n" s="2909">
        <v>10</v>
      </c>
      <c r="AP199" t="n" s="2909">
        <v>530000</v>
      </c>
      <c r="DB199" s="2909" t="str">
        <f>IF($A199="","",IF($AE199&amp;""&lt;&gt;'DB_設定'!$C$4,"対象外",IF($AH199=20,IF(OR($AJ199=10,$AJ199=11,$AJ199=18),"①病院一般",IF($AJ199=41,"②病院短期","対象外")),IF($AH199=5,IF($AJ199=30,"③特定消防","対象外"),IF(OR($AJ199=10,$AJ199=11,$AJ199=74),"④一般",IF(OR($AJ199=41,$AJ199=47),"⑤短期","対象外"))))))</f>
        <v>④一般</v>
      </c>
    </row>
    <row r="200">
      <c r="A200" t="n" s="2909">
        <v>21</v>
      </c>
      <c r="AA200" t="n" s="2909">
        <v>21</v>
      </c>
      <c r="AB200" t="inlineStr" s="2909">
        <is>
          <t>19910401</t>
        </is>
      </c>
      <c r="AD200" t="n" s="2909">
        <v>11</v>
      </c>
      <c r="AE200" t="inlineStr" s="2909">
        <is>
          <t>20250401</t>
        </is>
      </c>
      <c r="AH200" t="n" s="2909">
        <v>1</v>
      </c>
      <c r="AJ200" t="n" s="2909">
        <v>10</v>
      </c>
      <c r="AP200" t="n" s="2909">
        <v>470000</v>
      </c>
      <c r="DB200" s="2909" t="str">
        <f>IF($A200="","",IF($AE200&amp;""&lt;&gt;'DB_設定'!$C$4,"対象外",IF($AH200=20,IF(OR($AJ200=10,$AJ200=11,$AJ200=18),"①病院一般",IF($AJ200=41,"②病院短期","対象外")),IF($AH200=5,IF($AJ200=30,"③特定消防","対象外"),IF(OR($AJ200=10,$AJ200=11,$AJ200=74),"④一般",IF(OR($AJ200=41,$AJ200=47),"⑤短期","対象外"))))))</f>
        <v>④一般</v>
      </c>
    </row>
    <row r="201">
      <c r="A201" t="n" s="2909">
        <v>21</v>
      </c>
      <c r="AA201" t="n" s="2909">
        <v>21</v>
      </c>
      <c r="AB201" t="inlineStr" s="2909">
        <is>
          <t>19920401</t>
        </is>
      </c>
      <c r="AD201" t="n" s="2909">
        <v>12</v>
      </c>
      <c r="AE201" t="inlineStr" s="2909">
        <is>
          <t>20250401</t>
        </is>
      </c>
      <c r="AH201" t="n" s="2909">
        <v>1</v>
      </c>
      <c r="AJ201" t="n" s="2909">
        <v>10</v>
      </c>
      <c r="AP201" t="n" s="2909">
        <v>470000</v>
      </c>
      <c r="DB201" s="2909" t="str">
        <f>IF($A201="","",IF($AE201&amp;""&lt;&gt;'DB_設定'!$C$4,"対象外",IF($AH201=20,IF(OR($AJ201=10,$AJ201=11,$AJ201=18),"①病院一般",IF($AJ201=41,"②病院短期","対象外")),IF($AH201=5,IF($AJ201=30,"③特定消防","対象外"),IF(OR($AJ201=10,$AJ201=11,$AJ201=74),"④一般",IF(OR($AJ201=41,$AJ201=47),"⑤短期","対象外"))))))</f>
        <v>④一般</v>
      </c>
    </row>
    <row r="202">
      <c r="A202" t="n" s="2909">
        <v>21</v>
      </c>
      <c r="AA202" t="n" s="2909">
        <v>21</v>
      </c>
      <c r="AB202" t="inlineStr" s="2909">
        <is>
          <t>19920401</t>
        </is>
      </c>
      <c r="AD202" t="n" s="2909">
        <v>12</v>
      </c>
      <c r="AE202" t="inlineStr" s="2909">
        <is>
          <t>20250401</t>
        </is>
      </c>
      <c r="AH202" t="n" s="2909">
        <v>1</v>
      </c>
      <c r="AJ202" t="n" s="2909">
        <v>10</v>
      </c>
      <c r="AP202" t="n" s="2909">
        <v>410000</v>
      </c>
      <c r="DB202" s="2909" t="str">
        <f>IF($A202="","",IF($AE202&amp;""&lt;&gt;'DB_設定'!$C$4,"対象外",IF($AH202=20,IF(OR($AJ202=10,$AJ202=11,$AJ202=18),"①病院一般",IF($AJ202=41,"②病院短期","対象外")),IF($AH202=5,IF($AJ202=30,"③特定消防","対象外"),IF(OR($AJ202=10,$AJ202=11,$AJ202=74),"④一般",IF(OR($AJ202=41,$AJ202=47),"⑤短期","対象外"))))))</f>
        <v>④一般</v>
      </c>
    </row>
    <row r="203">
      <c r="A203" t="n" s="2909">
        <v>21</v>
      </c>
      <c r="AA203" t="n" s="2909">
        <v>21</v>
      </c>
      <c r="AB203" t="inlineStr" s="2909">
        <is>
          <t>19920401</t>
        </is>
      </c>
      <c r="AD203" t="n" s="2909">
        <v>12</v>
      </c>
      <c r="AE203" t="inlineStr" s="2909">
        <is>
          <t>20250701</t>
        </is>
      </c>
      <c r="AH203" t="n" s="2909">
        <v>1</v>
      </c>
      <c r="AJ203" t="n" s="2909">
        <v>10</v>
      </c>
      <c r="AP203" t="n" s="2909">
        <v>530000</v>
      </c>
      <c r="DB203" s="2909" t="str">
        <f>IF($A203="","",IF($AE203&amp;""&lt;&gt;'DB_設定'!$C$4,"対象外",IF($AH203=20,IF(OR($AJ203=10,$AJ203=11,$AJ203=18),"①病院一般",IF($AJ203=41,"②病院短期","対象外")),IF($AH203=5,IF($AJ203=30,"③特定消防","対象外"),IF(OR($AJ203=10,$AJ203=11,$AJ203=74),"④一般",IF(OR($AJ203=41,$AJ203=47),"⑤短期","対象外"))))))</f>
        <v>対象外</v>
      </c>
    </row>
    <row r="204">
      <c r="A204" t="n" s="2909">
        <v>21</v>
      </c>
      <c r="AA204" t="n" s="2909">
        <v>21</v>
      </c>
      <c r="AB204" t="inlineStr" s="2909">
        <is>
          <t>19920401</t>
        </is>
      </c>
      <c r="AD204" t="n" s="2909">
        <v>12</v>
      </c>
      <c r="AE204" t="inlineStr" s="2909">
        <is>
          <t>20250401</t>
        </is>
      </c>
      <c r="AH204" t="n" s="2909">
        <v>1</v>
      </c>
      <c r="AJ204" t="n" s="2909">
        <v>10</v>
      </c>
      <c r="AP204" t="n" s="2909">
        <v>440000</v>
      </c>
      <c r="DB204" s="2909" t="str">
        <f>IF($A204="","",IF($AE204&amp;""&lt;&gt;'DB_設定'!$C$4,"対象外",IF($AH204=20,IF(OR($AJ204=10,$AJ204=11,$AJ204=18),"①病院一般",IF($AJ204=41,"②病院短期","対象外")),IF($AH204=5,IF($AJ204=30,"③特定消防","対象外"),IF(OR($AJ204=10,$AJ204=11,$AJ204=74),"④一般",IF(OR($AJ204=41,$AJ204=47),"⑤短期","対象外"))))))</f>
        <v>④一般</v>
      </c>
    </row>
    <row r="205">
      <c r="A205" t="n" s="2909">
        <v>21</v>
      </c>
      <c r="AA205" t="n" s="2909">
        <v>21</v>
      </c>
      <c r="AB205" t="inlineStr" s="2909">
        <is>
          <t>19920401</t>
        </is>
      </c>
      <c r="AD205" t="n" s="2909">
        <v>12</v>
      </c>
      <c r="AE205" t="inlineStr" s="2909">
        <is>
          <t>20250401</t>
        </is>
      </c>
      <c r="AH205" t="n" s="2909">
        <v>1</v>
      </c>
      <c r="AJ205" t="n" s="2909">
        <v>10</v>
      </c>
      <c r="AP205" t="n" s="2909">
        <v>500000</v>
      </c>
      <c r="DB205" s="2909" t="str">
        <f>IF($A205="","",IF($AE205&amp;""&lt;&gt;'DB_設定'!$C$4,"対象外",IF($AH205=20,IF(OR($AJ205=10,$AJ205=11,$AJ205=18),"①病院一般",IF($AJ205=41,"②病院短期","対象外")),IF($AH205=5,IF($AJ205=30,"③特定消防","対象外"),IF(OR($AJ205=10,$AJ205=11,$AJ205=74),"④一般",IF(OR($AJ205=41,$AJ205=47),"⑤短期","対象外"))))))</f>
        <v>④一般</v>
      </c>
    </row>
    <row r="206">
      <c r="A206" t="n" s="2909">
        <v>21</v>
      </c>
      <c r="AA206" t="n" s="2909">
        <v>21</v>
      </c>
      <c r="AB206" t="inlineStr" s="2909">
        <is>
          <t>19920401</t>
        </is>
      </c>
      <c r="AD206" t="n" s="2909">
        <v>11</v>
      </c>
      <c r="AE206" t="inlineStr" s="2909">
        <is>
          <t>20250401</t>
        </is>
      </c>
      <c r="AH206" t="n" s="2909">
        <v>1</v>
      </c>
      <c r="AJ206" t="n" s="2909">
        <v>10</v>
      </c>
      <c r="AP206" t="n" s="2909">
        <v>410000</v>
      </c>
      <c r="DB206" s="2909" t="str">
        <f>IF($A206="","",IF($AE206&amp;""&lt;&gt;'DB_設定'!$C$4,"対象外",IF($AH206=20,IF(OR($AJ206=10,$AJ206=11,$AJ206=18),"①病院一般",IF($AJ206=41,"②病院短期","対象外")),IF($AH206=5,IF($AJ206=30,"③特定消防","対象外"),IF(OR($AJ206=10,$AJ206=11,$AJ206=74),"④一般",IF(OR($AJ206=41,$AJ206=47),"⑤短期","対象外"))))))</f>
        <v>④一般</v>
      </c>
    </row>
    <row r="207">
      <c r="A207" t="n" s="2909">
        <v>21</v>
      </c>
      <c r="AA207" t="n" s="2909">
        <v>21</v>
      </c>
      <c r="AB207" t="inlineStr" s="2909">
        <is>
          <t>19920401</t>
        </is>
      </c>
      <c r="AD207" t="n" s="2909">
        <v>11</v>
      </c>
      <c r="AE207" t="inlineStr" s="2909">
        <is>
          <t>20250401</t>
        </is>
      </c>
      <c r="AH207" t="n" s="2909">
        <v>3</v>
      </c>
      <c r="AJ207" t="n" s="2909">
        <v>10</v>
      </c>
      <c r="AP207" t="n" s="2909">
        <v>470000</v>
      </c>
      <c r="DB207" s="2909" t="str">
        <f>IF($A207="","",IF($AE207&amp;""&lt;&gt;'DB_設定'!$C$4,"対象外",IF($AH207=20,IF(OR($AJ207=10,$AJ207=11,$AJ207=18),"①病院一般",IF($AJ207=41,"②病院短期","対象外")),IF($AH207=5,IF($AJ207=30,"③特定消防","対象外"),IF(OR($AJ207=10,$AJ207=11,$AJ207=74),"④一般",IF(OR($AJ207=41,$AJ207=47),"⑤短期","対象外"))))))</f>
        <v>④一般</v>
      </c>
    </row>
    <row r="208">
      <c r="A208" t="n" s="2909">
        <v>21</v>
      </c>
      <c r="AA208" t="n" s="2909">
        <v>21</v>
      </c>
      <c r="AB208" t="inlineStr" s="2909">
        <is>
          <t>19920401</t>
        </is>
      </c>
      <c r="AD208" t="n" s="2909">
        <v>12</v>
      </c>
      <c r="AE208" t="inlineStr" s="2909">
        <is>
          <t>20250401</t>
        </is>
      </c>
      <c r="AH208" t="n" s="2909">
        <v>20</v>
      </c>
      <c r="AJ208" t="n" s="2909">
        <v>10</v>
      </c>
      <c r="AP208" t="n" s="2909">
        <v>530000</v>
      </c>
      <c r="DB208" s="2909" t="str">
        <f>IF($A208="","",IF($AE208&amp;""&lt;&gt;'DB_設定'!$C$4,"対象外",IF($AH208=20,IF(OR($AJ208=10,$AJ208=11,$AJ208=18),"①病院一般",IF($AJ208=41,"②病院短期","対象外")),IF($AH208=5,IF($AJ208=30,"③特定消防","対象外"),IF(OR($AJ208=10,$AJ208=11,$AJ208=74),"④一般",IF(OR($AJ208=41,$AJ208=47),"⑤短期","対象外"))))))</f>
        <v>①病院一般</v>
      </c>
    </row>
    <row r="209">
      <c r="A209" t="n" s="2909">
        <v>21</v>
      </c>
      <c r="AA209" t="n" s="2909">
        <v>21</v>
      </c>
      <c r="AB209" t="inlineStr" s="2909">
        <is>
          <t>19920701</t>
        </is>
      </c>
      <c r="AD209" t="n" s="2909">
        <v>12</v>
      </c>
      <c r="AE209" t="inlineStr" s="2909">
        <is>
          <t>20250401</t>
        </is>
      </c>
      <c r="AH209" t="n" s="2909">
        <v>20</v>
      </c>
      <c r="AJ209" t="n" s="2909">
        <v>10</v>
      </c>
      <c r="AP209" t="n" s="2909">
        <v>360000</v>
      </c>
      <c r="DB209" s="2909" t="str">
        <f>IF($A209="","",IF($AE209&amp;""&lt;&gt;'DB_設定'!$C$4,"対象外",IF($AH209=20,IF(OR($AJ209=10,$AJ209=11,$AJ209=18),"①病院一般",IF($AJ209=41,"②病院短期","対象外")),IF($AH209=5,IF($AJ209=30,"③特定消防","対象外"),IF(OR($AJ209=10,$AJ209=11,$AJ209=74),"④一般",IF(OR($AJ209=41,$AJ209=47),"⑤短期","対象外"))))))</f>
        <v>①病院一般</v>
      </c>
    </row>
    <row r="210">
      <c r="A210" t="n" s="2909">
        <v>21</v>
      </c>
      <c r="AA210" t="n" s="2909">
        <v>24</v>
      </c>
      <c r="AB210" t="inlineStr" s="2909">
        <is>
          <t>20160601</t>
        </is>
      </c>
      <c r="AD210" t="n" s="2909">
        <v>12</v>
      </c>
      <c r="AE210" t="inlineStr" s="2909">
        <is>
          <t>20250401</t>
        </is>
      </c>
      <c r="AH210" t="n" s="2909">
        <v>20</v>
      </c>
      <c r="AJ210" t="n" s="2909">
        <v>10</v>
      </c>
      <c r="AP210" t="n" s="2909">
        <v>280000</v>
      </c>
      <c r="DB210" s="2909" t="str">
        <f>IF($A210="","",IF($AE210&amp;""&lt;&gt;'DB_設定'!$C$4,"対象外",IF($AH210=20,IF(OR($AJ210=10,$AJ210=11,$AJ210=18),"①病院一般",IF($AJ210=41,"②病院短期","対象外")),IF($AH210=5,IF($AJ210=30,"③特定消防","対象外"),IF(OR($AJ210=10,$AJ210=11,$AJ210=74),"④一般",IF(OR($AJ210=41,$AJ210=47),"⑤短期","対象外"))))))</f>
        <v>①病院一般</v>
      </c>
    </row>
    <row r="211">
      <c r="A211" t="n" s="2909">
        <v>21</v>
      </c>
      <c r="AA211" t="n" s="2909">
        <v>21</v>
      </c>
      <c r="AB211" t="inlineStr" s="2909">
        <is>
          <t>19930401</t>
        </is>
      </c>
      <c r="AD211" t="n" s="2909">
        <v>12</v>
      </c>
      <c r="AE211" t="inlineStr" s="2909">
        <is>
          <t>20250401</t>
        </is>
      </c>
      <c r="AH211" t="n" s="2909">
        <v>1</v>
      </c>
      <c r="AJ211" t="n" s="2909">
        <v>10</v>
      </c>
      <c r="AP211" t="n" s="2909">
        <v>590000</v>
      </c>
      <c r="DB211" s="2909" t="str">
        <f>IF($A211="","",IF($AE211&amp;""&lt;&gt;'DB_設定'!$C$4,"対象外",IF($AH211=20,IF(OR($AJ211=10,$AJ211=11,$AJ211=18),"①病院一般",IF($AJ211=41,"②病院短期","対象外")),IF($AH211=5,IF($AJ211=30,"③特定消防","対象外"),IF(OR($AJ211=10,$AJ211=11,$AJ211=74),"④一般",IF(OR($AJ211=41,$AJ211=47),"⑤短期","対象外"))))))</f>
        <v>④一般</v>
      </c>
    </row>
    <row r="212">
      <c r="A212" t="n" s="2909">
        <v>21</v>
      </c>
      <c r="AA212" t="n" s="2909">
        <v>21</v>
      </c>
      <c r="AB212" t="inlineStr" s="2909">
        <is>
          <t>19930401</t>
        </is>
      </c>
      <c r="AD212" t="n" s="2909">
        <v>11</v>
      </c>
      <c r="AE212" t="inlineStr" s="2909">
        <is>
          <t>20250401</t>
        </is>
      </c>
      <c r="AH212" t="n" s="2909">
        <v>1</v>
      </c>
      <c r="AJ212" t="n" s="2909">
        <v>10</v>
      </c>
      <c r="AP212" t="n" s="2909">
        <v>380000</v>
      </c>
      <c r="DB212" s="2909" t="str">
        <f>IF($A212="","",IF($AE212&amp;""&lt;&gt;'DB_設定'!$C$4,"対象外",IF($AH212=20,IF(OR($AJ212=10,$AJ212=11,$AJ212=18),"①病院一般",IF($AJ212=41,"②病院短期","対象外")),IF($AH212=5,IF($AJ212=30,"③特定消防","対象外"),IF(OR($AJ212=10,$AJ212=11,$AJ212=74),"④一般",IF(OR($AJ212=41,$AJ212=47),"⑤短期","対象外"))))))</f>
        <v>④一般</v>
      </c>
    </row>
    <row r="213">
      <c r="A213" t="n" s="2909">
        <v>21</v>
      </c>
      <c r="AA213" t="n" s="2909">
        <v>21</v>
      </c>
      <c r="AB213" t="inlineStr" s="2909">
        <is>
          <t>19931001</t>
        </is>
      </c>
      <c r="AD213" t="n" s="2909">
        <v>12</v>
      </c>
      <c r="AE213" t="inlineStr" s="2909">
        <is>
          <t>20250401</t>
        </is>
      </c>
      <c r="AH213" t="n" s="2909">
        <v>20</v>
      </c>
      <c r="AJ213" t="n" s="2909">
        <v>10</v>
      </c>
      <c r="AP213" t="n" s="2909">
        <v>980000</v>
      </c>
      <c r="DB213" s="2909" t="str">
        <f>IF($A213="","",IF($AE213&amp;""&lt;&gt;'DB_設定'!$C$4,"対象外",IF($AH213=20,IF(OR($AJ213=10,$AJ213=11,$AJ213=18),"①病院一般",IF($AJ213=41,"②病院短期","対象外")),IF($AH213=5,IF($AJ213=30,"③特定消防","対象外"),IF(OR($AJ213=10,$AJ213=11,$AJ213=74),"④一般",IF(OR($AJ213=41,$AJ213=47),"⑤短期","対象外"))))))</f>
        <v>①病院一般</v>
      </c>
    </row>
    <row r="214">
      <c r="A214" t="n" s="2909">
        <v>21</v>
      </c>
      <c r="AA214" t="n" s="2909">
        <v>21</v>
      </c>
      <c r="AB214" t="inlineStr" s="2909">
        <is>
          <t>19940401</t>
        </is>
      </c>
      <c r="AD214" t="n" s="2909">
        <v>12</v>
      </c>
      <c r="AE214" t="inlineStr" s="2909">
        <is>
          <t>20251001</t>
        </is>
      </c>
      <c r="AH214" t="n" s="2909">
        <v>1</v>
      </c>
      <c r="AJ214" t="n" s="2909">
        <v>10</v>
      </c>
      <c r="AP214" t="n" s="2909">
        <v>440000</v>
      </c>
      <c r="DB214" s="2909" t="str">
        <f>IF($A214="","",IF($AE214&amp;""&lt;&gt;'DB_設定'!$C$4,"対象外",IF($AH214=20,IF(OR($AJ214=10,$AJ214=11,$AJ214=18),"①病院一般",IF($AJ214=41,"②病院短期","対象外")),IF($AH214=5,IF($AJ214=30,"③特定消防","対象外"),IF(OR($AJ214=10,$AJ214=11,$AJ214=74),"④一般",IF(OR($AJ214=41,$AJ214=47),"⑤短期","対象外"))))))</f>
        <v>対象外</v>
      </c>
    </row>
    <row r="215">
      <c r="A215" t="n" s="2909">
        <v>21</v>
      </c>
      <c r="AA215" t="n" s="2909">
        <v>21</v>
      </c>
      <c r="AB215" t="inlineStr" s="2909">
        <is>
          <t>19940401</t>
        </is>
      </c>
      <c r="AD215" t="n" s="2909">
        <v>11</v>
      </c>
      <c r="AE215" t="inlineStr" s="2909">
        <is>
          <t>20250401</t>
        </is>
      </c>
      <c r="AH215" t="n" s="2909">
        <v>1</v>
      </c>
      <c r="AJ215" t="n" s="2909">
        <v>10</v>
      </c>
      <c r="AP215" t="n" s="2909">
        <v>410000</v>
      </c>
      <c r="DB215" s="2909" t="str">
        <f>IF($A215="","",IF($AE215&amp;""&lt;&gt;'DB_設定'!$C$4,"対象外",IF($AH215=20,IF(OR($AJ215=10,$AJ215=11,$AJ215=18),"①病院一般",IF($AJ215=41,"②病院短期","対象外")),IF($AH215=5,IF($AJ215=30,"③特定消防","対象外"),IF(OR($AJ215=10,$AJ215=11,$AJ215=74),"④一般",IF(OR($AJ215=41,$AJ215=47),"⑤短期","対象外"))))))</f>
        <v>④一般</v>
      </c>
    </row>
    <row r="216">
      <c r="A216" t="n" s="2909">
        <v>21</v>
      </c>
      <c r="AA216" t="n" s="2909">
        <v>21</v>
      </c>
      <c r="AB216" t="inlineStr" s="2909">
        <is>
          <t>19940401</t>
        </is>
      </c>
      <c r="AD216" t="n" s="2909">
        <v>11</v>
      </c>
      <c r="AE216" t="inlineStr" s="2909">
        <is>
          <t>20250401</t>
        </is>
      </c>
      <c r="AH216" t="n" s="2909">
        <v>1</v>
      </c>
      <c r="AJ216" t="n" s="2909">
        <v>10</v>
      </c>
      <c r="AP216" t="n" s="2909">
        <v>410000</v>
      </c>
      <c r="DB216" s="2909" t="str">
        <f>IF($A216="","",IF($AE216&amp;""&lt;&gt;'DB_設定'!$C$4,"対象外",IF($AH216=20,IF(OR($AJ216=10,$AJ216=11,$AJ216=18),"①病院一般",IF($AJ216=41,"②病院短期","対象外")),IF($AH216=5,IF($AJ216=30,"③特定消防","対象外"),IF(OR($AJ216=10,$AJ216=11,$AJ216=74),"④一般",IF(OR($AJ216=41,$AJ216=47),"⑤短期","対象外"))))))</f>
        <v>④一般</v>
      </c>
    </row>
    <row r="217">
      <c r="A217" t="n" s="2909">
        <v>21</v>
      </c>
      <c r="AA217" t="n" s="2909">
        <v>21</v>
      </c>
      <c r="AB217" t="inlineStr" s="2909">
        <is>
          <t>19940401</t>
        </is>
      </c>
      <c r="AD217" t="n" s="2909">
        <v>11</v>
      </c>
      <c r="AE217" t="inlineStr" s="2909">
        <is>
          <t>20250401</t>
        </is>
      </c>
      <c r="AH217" t="n" s="2909">
        <v>3</v>
      </c>
      <c r="AJ217" t="n" s="2909">
        <v>10</v>
      </c>
      <c r="AP217" t="n" s="2909">
        <v>410000</v>
      </c>
      <c r="DB217" s="2909" t="str">
        <f>IF($A217="","",IF($AE217&amp;""&lt;&gt;'DB_設定'!$C$4,"対象外",IF($AH217=20,IF(OR($AJ217=10,$AJ217=11,$AJ217=18),"①病院一般",IF($AJ217=41,"②病院短期","対象外")),IF($AH217=5,IF($AJ217=30,"③特定消防","対象外"),IF(OR($AJ217=10,$AJ217=11,$AJ217=74),"④一般",IF(OR($AJ217=41,$AJ217=47),"⑤短期","対象外"))))))</f>
        <v>④一般</v>
      </c>
    </row>
    <row r="218">
      <c r="A218" t="n" s="2909">
        <v>21</v>
      </c>
      <c r="AA218" t="n" s="2909">
        <v>21</v>
      </c>
      <c r="AB218" t="inlineStr" s="2909">
        <is>
          <t>19940401</t>
        </is>
      </c>
      <c r="AD218" t="n" s="2909">
        <v>12</v>
      </c>
      <c r="AE218" t="inlineStr" s="2909">
        <is>
          <t>20250401</t>
        </is>
      </c>
      <c r="AH218" t="n" s="2909">
        <v>11</v>
      </c>
      <c r="AJ218" t="n" s="2909">
        <v>10</v>
      </c>
      <c r="AP218" t="n" s="2909">
        <v>470000</v>
      </c>
      <c r="DB218" s="2909" t="str">
        <f>IF($A218="","",IF($AE218&amp;""&lt;&gt;'DB_設定'!$C$4,"対象外",IF($AH218=20,IF(OR($AJ218=10,$AJ218=11,$AJ218=18),"①病院一般",IF($AJ218=41,"②病院短期","対象外")),IF($AH218=5,IF($AJ218=30,"③特定消防","対象外"),IF(OR($AJ218=10,$AJ218=11,$AJ218=74),"④一般",IF(OR($AJ218=41,$AJ218=47),"⑤短期","対象外"))))))</f>
        <v>④一般</v>
      </c>
    </row>
    <row r="219">
      <c r="A219" t="n" s="2909">
        <v>21</v>
      </c>
      <c r="AA219" t="n" s="2909">
        <v>21</v>
      </c>
      <c r="AB219" t="inlineStr" s="2909">
        <is>
          <t>19940401</t>
        </is>
      </c>
      <c r="AD219" t="n" s="2909">
        <v>11</v>
      </c>
      <c r="AE219" t="inlineStr" s="2909">
        <is>
          <t>20250401</t>
        </is>
      </c>
      <c r="AH219" t="n" s="2909">
        <v>11</v>
      </c>
      <c r="AJ219" t="n" s="2909">
        <v>10</v>
      </c>
      <c r="AP219" t="n" s="2909">
        <v>320000</v>
      </c>
      <c r="DB219" s="2909" t="str">
        <f>IF($A219="","",IF($AE219&amp;""&lt;&gt;'DB_設定'!$C$4,"対象外",IF($AH219=20,IF(OR($AJ219=10,$AJ219=11,$AJ219=18),"①病院一般",IF($AJ219=41,"②病院短期","対象外")),IF($AH219=5,IF($AJ219=30,"③特定消防","対象外"),IF(OR($AJ219=10,$AJ219=11,$AJ219=74),"④一般",IF(OR($AJ219=41,$AJ219=47),"⑤短期","対象外"))))))</f>
        <v>④一般</v>
      </c>
    </row>
    <row r="220">
      <c r="A220" t="n" s="2909">
        <v>21</v>
      </c>
      <c r="AA220" t="n" s="2909">
        <v>21</v>
      </c>
      <c r="AB220" t="inlineStr" s="2909">
        <is>
          <t>19940401</t>
        </is>
      </c>
      <c r="AD220" t="n" s="2909">
        <v>11</v>
      </c>
      <c r="AE220" t="inlineStr" s="2909">
        <is>
          <t>20250401</t>
        </is>
      </c>
      <c r="AH220" t="n" s="2909">
        <v>1</v>
      </c>
      <c r="AJ220" t="n" s="2909">
        <v>10</v>
      </c>
      <c r="AP220" t="n" s="2909">
        <v>340000</v>
      </c>
      <c r="DB220" s="2909" t="str">
        <f>IF($A220="","",IF($AE220&amp;""&lt;&gt;'DB_設定'!$C$4,"対象外",IF($AH220=20,IF(OR($AJ220=10,$AJ220=11,$AJ220=18),"①病院一般",IF($AJ220=41,"②病院短期","対象外")),IF($AH220=5,IF($AJ220=30,"③特定消防","対象外"),IF(OR($AJ220=10,$AJ220=11,$AJ220=74),"④一般",IF(OR($AJ220=41,$AJ220=47),"⑤短期","対象外"))))))</f>
        <v>④一般</v>
      </c>
    </row>
    <row r="221">
      <c r="A221" t="n" s="2909">
        <v>21</v>
      </c>
      <c r="AA221" t="n" s="2909">
        <v>21</v>
      </c>
      <c r="AB221" t="inlineStr" s="2909">
        <is>
          <t>19940401</t>
        </is>
      </c>
      <c r="AD221" t="n" s="2909">
        <v>12</v>
      </c>
      <c r="AE221" t="inlineStr" s="2909">
        <is>
          <t>20250401</t>
        </is>
      </c>
      <c r="AH221" t="n" s="2909">
        <v>1</v>
      </c>
      <c r="AJ221" t="n" s="2909">
        <v>10</v>
      </c>
      <c r="AP221" t="n" s="2909">
        <v>410000</v>
      </c>
      <c r="DB221" s="2909" t="str">
        <f>IF($A221="","",IF($AE221&amp;""&lt;&gt;'DB_設定'!$C$4,"対象外",IF($AH221=20,IF(OR($AJ221=10,$AJ221=11,$AJ221=18),"①病院一般",IF($AJ221=41,"②病院短期","対象外")),IF($AH221=5,IF($AJ221=30,"③特定消防","対象外"),IF(OR($AJ221=10,$AJ221=11,$AJ221=74),"④一般",IF(OR($AJ221=41,$AJ221=47),"⑤短期","対象外"))))))</f>
        <v>④一般</v>
      </c>
    </row>
    <row r="222">
      <c r="A222" t="n" s="2909">
        <v>21</v>
      </c>
      <c r="AA222" t="n" s="2909">
        <v>21</v>
      </c>
      <c r="AB222" t="inlineStr" s="2909">
        <is>
          <t>19940501</t>
        </is>
      </c>
      <c r="AD222" t="n" s="2909">
        <v>12</v>
      </c>
      <c r="AE222" t="inlineStr" s="2909">
        <is>
          <t>20250401</t>
        </is>
      </c>
      <c r="AH222" t="n" s="2909">
        <v>20</v>
      </c>
      <c r="AJ222" t="n" s="2909">
        <v>10</v>
      </c>
      <c r="AP222" t="n" s="2909">
        <v>560000</v>
      </c>
      <c r="DB222" s="2909" t="str">
        <f>IF($A222="","",IF($AE222&amp;""&lt;&gt;'DB_設定'!$C$4,"対象外",IF($AH222=20,IF(OR($AJ222=10,$AJ222=11,$AJ222=18),"①病院一般",IF($AJ222=41,"②病院短期","対象外")),IF($AH222=5,IF($AJ222=30,"③特定消防","対象外"),IF(OR($AJ222=10,$AJ222=11,$AJ222=74),"④一般",IF(OR($AJ222=41,$AJ222=47),"⑤短期","対象外"))))))</f>
        <v>①病院一般</v>
      </c>
    </row>
    <row r="223">
      <c r="A223" t="n" s="2909">
        <v>21</v>
      </c>
      <c r="AA223" t="n" s="2909">
        <v>24</v>
      </c>
      <c r="AB223" t="inlineStr" s="2909">
        <is>
          <t>20150401</t>
        </is>
      </c>
      <c r="AD223" t="n" s="2909">
        <v>12</v>
      </c>
      <c r="AE223" t="inlineStr" s="2909">
        <is>
          <t>20250901</t>
        </is>
      </c>
      <c r="AH223" t="n" s="2909">
        <v>20</v>
      </c>
      <c r="AJ223" t="n" s="2909">
        <v>10</v>
      </c>
      <c r="AP223" t="n" s="2909">
        <v>410000</v>
      </c>
      <c r="DB223" s="2909" t="str">
        <f>IF($A223="","",IF($AE223&amp;""&lt;&gt;'DB_設定'!$C$4,"対象外",IF($AH223=20,IF(OR($AJ223=10,$AJ223=11,$AJ223=18),"①病院一般",IF($AJ223=41,"②病院短期","対象外")),IF($AH223=5,IF($AJ223=30,"③特定消防","対象外"),IF(OR($AJ223=10,$AJ223=11,$AJ223=74),"④一般",IF(OR($AJ223=41,$AJ223=47),"⑤短期","対象外"))))))</f>
        <v>対象外</v>
      </c>
    </row>
    <row r="224">
      <c r="A224" t="n" s="2909">
        <v>21</v>
      </c>
      <c r="AA224" t="n" s="2909">
        <v>21</v>
      </c>
      <c r="AB224" t="inlineStr" s="2909">
        <is>
          <t>19950401</t>
        </is>
      </c>
      <c r="AD224" t="n" s="2909">
        <v>12</v>
      </c>
      <c r="AE224" t="inlineStr" s="2909">
        <is>
          <t>20250501</t>
        </is>
      </c>
      <c r="AH224" t="n" s="2909">
        <v>1</v>
      </c>
      <c r="AJ224" t="n" s="2909">
        <v>10</v>
      </c>
      <c r="AP224" t="n" s="2909">
        <v>470000</v>
      </c>
      <c r="DB224" s="2909" t="str">
        <f>IF($A224="","",IF($AE224&amp;""&lt;&gt;'DB_設定'!$C$4,"対象外",IF($AH224=20,IF(OR($AJ224=10,$AJ224=11,$AJ224=18),"①病院一般",IF($AJ224=41,"②病院短期","対象外")),IF($AH224=5,IF($AJ224=30,"③特定消防","対象外"),IF(OR($AJ224=10,$AJ224=11,$AJ224=74),"④一般",IF(OR($AJ224=41,$AJ224=47),"⑤短期","対象外"))))))</f>
        <v>対象外</v>
      </c>
    </row>
    <row r="225">
      <c r="A225" t="n" s="2909">
        <v>21</v>
      </c>
      <c r="AA225" t="n" s="2909">
        <v>24</v>
      </c>
      <c r="AB225" t="inlineStr" s="2909">
        <is>
          <t>20250331</t>
        </is>
      </c>
      <c r="AD225" t="n" s="2909">
        <v>12</v>
      </c>
      <c r="AE225" t="inlineStr" s="2909">
        <is>
          <t>20250401</t>
        </is>
      </c>
      <c r="AH225" t="n" s="2909">
        <v>1</v>
      </c>
      <c r="AJ225" t="n" s="2909">
        <v>10</v>
      </c>
      <c r="AP225" t="n" s="2909">
        <v>470000</v>
      </c>
      <c r="DB225" s="2909" t="str">
        <f>IF($A225="","",IF($AE225&amp;""&lt;&gt;'DB_設定'!$C$4,"対象外",IF($AH225=20,IF(OR($AJ225=10,$AJ225=11,$AJ225=18),"①病院一般",IF($AJ225=41,"②病院短期","対象外")),IF($AH225=5,IF($AJ225=30,"③特定消防","対象外"),IF(OR($AJ225=10,$AJ225=11,$AJ225=74),"④一般",IF(OR($AJ225=41,$AJ225=47),"⑤短期","対象外"))))))</f>
        <v>④一般</v>
      </c>
    </row>
    <row r="226">
      <c r="A226" t="n" s="2909">
        <v>21</v>
      </c>
      <c r="AA226" t="n" s="2909">
        <v>21</v>
      </c>
      <c r="AB226" t="inlineStr" s="2909">
        <is>
          <t>19950401</t>
        </is>
      </c>
      <c r="AD226" t="n" s="2909">
        <v>12</v>
      </c>
      <c r="AE226" t="inlineStr" s="2909">
        <is>
          <t>20250401</t>
        </is>
      </c>
      <c r="AH226" t="n" s="2909">
        <v>1</v>
      </c>
      <c r="AJ226" t="n" s="2909">
        <v>10</v>
      </c>
      <c r="AP226" t="n" s="2909">
        <v>380000</v>
      </c>
      <c r="DB226" s="2909" t="str">
        <f>IF($A226="","",IF($AE226&amp;""&lt;&gt;'DB_設定'!$C$4,"対象外",IF($AH226=20,IF(OR($AJ226=10,$AJ226=11,$AJ226=18),"①病院一般",IF($AJ226=41,"②病院短期","対象外")),IF($AH226=5,IF($AJ226=30,"③特定消防","対象外"),IF(OR($AJ226=10,$AJ226=11,$AJ226=74),"④一般",IF(OR($AJ226=41,$AJ226=47),"⑤短期","対象外"))))))</f>
        <v>④一般</v>
      </c>
    </row>
    <row r="227">
      <c r="A227" t="n" s="2909">
        <v>21</v>
      </c>
      <c r="AA227" t="n" s="2909">
        <v>21</v>
      </c>
      <c r="AB227" t="inlineStr" s="2909">
        <is>
          <t>19950401</t>
        </is>
      </c>
      <c r="AD227" t="n" s="2909">
        <v>11</v>
      </c>
      <c r="AE227" t="inlineStr" s="2909">
        <is>
          <t>20250401</t>
        </is>
      </c>
      <c r="AH227" t="n" s="2909">
        <v>11</v>
      </c>
      <c r="AJ227" t="n" s="2909">
        <v>10</v>
      </c>
      <c r="AP227" t="n" s="2909">
        <v>340000</v>
      </c>
      <c r="DB227" s="2909" t="str">
        <f>IF($A227="","",IF($AE227&amp;""&lt;&gt;'DB_設定'!$C$4,"対象外",IF($AH227=20,IF(OR($AJ227=10,$AJ227=11,$AJ227=18),"①病院一般",IF($AJ227=41,"②病院短期","対象外")),IF($AH227=5,IF($AJ227=30,"③特定消防","対象外"),IF(OR($AJ227=10,$AJ227=11,$AJ227=74),"④一般",IF(OR($AJ227=41,$AJ227=47),"⑤短期","対象外"))))))</f>
        <v>④一般</v>
      </c>
    </row>
    <row r="228">
      <c r="A228" t="n" s="2909">
        <v>21</v>
      </c>
      <c r="AA228" t="n" s="2909">
        <v>21</v>
      </c>
      <c r="AB228" t="inlineStr" s="2909">
        <is>
          <t>19960401</t>
        </is>
      </c>
      <c r="AD228" t="n" s="2909">
        <v>12</v>
      </c>
      <c r="AE228" t="inlineStr" s="2909">
        <is>
          <t>20250521</t>
        </is>
      </c>
      <c r="AH228" t="n" s="2909">
        <v>1</v>
      </c>
      <c r="AJ228" t="n" s="2909">
        <v>10</v>
      </c>
      <c r="AP228" t="n" s="2909">
        <v>530000</v>
      </c>
      <c r="DB228" s="2909" t="str">
        <f>IF($A228="","",IF($AE228&amp;""&lt;&gt;'DB_設定'!$C$4,"対象外",IF($AH228=20,IF(OR($AJ228=10,$AJ228=11,$AJ228=18),"①病院一般",IF($AJ228=41,"②病院短期","対象外")),IF($AH228=5,IF($AJ228=30,"③特定消防","対象外"),IF(OR($AJ228=10,$AJ228=11,$AJ228=74),"④一般",IF(OR($AJ228=41,$AJ228=47),"⑤短期","対象外"))))))</f>
        <v>対象外</v>
      </c>
    </row>
    <row r="229">
      <c r="A229" t="n" s="2909">
        <v>21</v>
      </c>
      <c r="AA229" t="n" s="2909">
        <v>21</v>
      </c>
      <c r="AB229" t="inlineStr" s="2909">
        <is>
          <t>19960401</t>
        </is>
      </c>
      <c r="AD229" t="n" s="2909">
        <v>11</v>
      </c>
      <c r="AE229" t="inlineStr" s="2909">
        <is>
          <t>20250401</t>
        </is>
      </c>
      <c r="AH229" t="n" s="2909">
        <v>1</v>
      </c>
      <c r="AJ229" t="n" s="2909">
        <v>10</v>
      </c>
      <c r="AP229" t="n" s="2909">
        <v>360000</v>
      </c>
      <c r="DB229" s="2909" t="str">
        <f>IF($A229="","",IF($AE229&amp;""&lt;&gt;'DB_設定'!$C$4,"対象外",IF($AH229=20,IF(OR($AJ229=10,$AJ229=11,$AJ229=18),"①病院一般",IF($AJ229=41,"②病院短期","対象外")),IF($AH229=5,IF($AJ229=30,"③特定消防","対象外"),IF(OR($AJ229=10,$AJ229=11,$AJ229=74),"④一般",IF(OR($AJ229=41,$AJ229=47),"⑤短期","対象外"))))))</f>
        <v>④一般</v>
      </c>
    </row>
    <row r="230">
      <c r="A230" t="n" s="2909">
        <v>21</v>
      </c>
      <c r="AA230" t="n" s="2909">
        <v>21</v>
      </c>
      <c r="AB230" t="inlineStr" s="2909">
        <is>
          <t>19960401</t>
        </is>
      </c>
      <c r="AD230" t="n" s="2909">
        <v>12</v>
      </c>
      <c r="AE230" t="inlineStr" s="2909">
        <is>
          <t>20250401</t>
        </is>
      </c>
      <c r="AH230" t="n" s="2909">
        <v>11</v>
      </c>
      <c r="AJ230" t="n" s="2909">
        <v>10</v>
      </c>
      <c r="AP230" t="n" s="2909">
        <v>440000</v>
      </c>
      <c r="DB230" s="2909" t="str">
        <f>IF($A230="","",IF($AE230&amp;""&lt;&gt;'DB_設定'!$C$4,"対象外",IF($AH230=20,IF(OR($AJ230=10,$AJ230=11,$AJ230=18),"①病院一般",IF($AJ230=41,"②病院短期","対象外")),IF($AH230=5,IF($AJ230=30,"③特定消防","対象外"),IF(OR($AJ230=10,$AJ230=11,$AJ230=74),"④一般",IF(OR($AJ230=41,$AJ230=47),"⑤短期","対象外"))))))</f>
        <v>④一般</v>
      </c>
    </row>
    <row r="231">
      <c r="A231" t="n" s="2909">
        <v>21</v>
      </c>
      <c r="AA231" t="n" s="2909">
        <v>21</v>
      </c>
      <c r="AB231" t="inlineStr" s="2909">
        <is>
          <t>19960401</t>
        </is>
      </c>
      <c r="AD231" t="n" s="2909">
        <v>11</v>
      </c>
      <c r="AE231" t="inlineStr" s="2909">
        <is>
          <t>20250401</t>
        </is>
      </c>
      <c r="AH231" t="n" s="2909">
        <v>11</v>
      </c>
      <c r="AJ231" t="n" s="2909">
        <v>10</v>
      </c>
      <c r="AP231" t="n" s="2909">
        <v>280000</v>
      </c>
      <c r="DB231" s="2909" t="str">
        <f>IF($A231="","",IF($AE231&amp;""&lt;&gt;'DB_設定'!$C$4,"対象外",IF($AH231=20,IF(OR($AJ231=10,$AJ231=11,$AJ231=18),"①病院一般",IF($AJ231=41,"②病院短期","対象外")),IF($AH231=5,IF($AJ231=30,"③特定消防","対象外"),IF(OR($AJ231=10,$AJ231=11,$AJ231=74),"④一般",IF(OR($AJ231=41,$AJ231=47),"⑤短期","対象外"))))))</f>
        <v>④一般</v>
      </c>
    </row>
    <row r="232">
      <c r="A232" t="n" s="2909">
        <v>21</v>
      </c>
      <c r="AA232" t="n" s="2909">
        <v>21</v>
      </c>
      <c r="AB232" t="inlineStr" s="2909">
        <is>
          <t>19960401</t>
        </is>
      </c>
      <c r="AD232" t="n" s="2909">
        <v>11</v>
      </c>
      <c r="AE232" t="inlineStr" s="2909">
        <is>
          <t>20250401</t>
        </is>
      </c>
      <c r="AH232" t="n" s="2909">
        <v>11</v>
      </c>
      <c r="AJ232" t="n" s="2909">
        <v>10</v>
      </c>
      <c r="AP232" t="n" s="2909">
        <v>300000</v>
      </c>
      <c r="DB232" s="2909" t="str">
        <f>IF($A232="","",IF($AE232&amp;""&lt;&gt;'DB_設定'!$C$4,"対象外",IF($AH232=20,IF(OR($AJ232=10,$AJ232=11,$AJ232=18),"①病院一般",IF($AJ232=41,"②病院短期","対象外")),IF($AH232=5,IF($AJ232=30,"③特定消防","対象外"),IF(OR($AJ232=10,$AJ232=11,$AJ232=74),"④一般",IF(OR($AJ232=41,$AJ232=47),"⑤短期","対象外"))))))</f>
        <v>④一般</v>
      </c>
    </row>
    <row r="233">
      <c r="A233" t="n" s="2909">
        <v>21</v>
      </c>
      <c r="AA233" t="n" s="2909">
        <v>21</v>
      </c>
      <c r="AB233" t="inlineStr" s="2909">
        <is>
          <t>19960401</t>
        </is>
      </c>
      <c r="AD233" t="n" s="2909">
        <v>11</v>
      </c>
      <c r="AE233" t="inlineStr" s="2909">
        <is>
          <t>20250401</t>
        </is>
      </c>
      <c r="AH233" t="n" s="2909">
        <v>11</v>
      </c>
      <c r="AJ233" t="n" s="2909">
        <v>10</v>
      </c>
      <c r="AP233" t="n" s="2909">
        <v>300000</v>
      </c>
      <c r="DB233" s="2909" t="str">
        <f>IF($A233="","",IF($AE233&amp;""&lt;&gt;'DB_設定'!$C$4,"対象外",IF($AH233=20,IF(OR($AJ233=10,$AJ233=11,$AJ233=18),"①病院一般",IF($AJ233=41,"②病院短期","対象外")),IF($AH233=5,IF($AJ233=30,"③特定消防","対象外"),IF(OR($AJ233=10,$AJ233=11,$AJ233=74),"④一般",IF(OR($AJ233=41,$AJ233=47),"⑤短期","対象外"))))))</f>
        <v>④一般</v>
      </c>
    </row>
    <row r="234">
      <c r="A234" t="n" s="2909">
        <v>21</v>
      </c>
      <c r="AA234" t="n" s="2909">
        <v>21</v>
      </c>
      <c r="AB234" t="inlineStr" s="2909">
        <is>
          <t>19960401</t>
        </is>
      </c>
      <c r="AD234" t="n" s="2909">
        <v>11</v>
      </c>
      <c r="AE234" t="inlineStr" s="2909">
        <is>
          <t>20250401</t>
        </is>
      </c>
      <c r="AH234" t="n" s="2909">
        <v>20</v>
      </c>
      <c r="AJ234" t="n" s="2909">
        <v>10</v>
      </c>
      <c r="AP234" t="n" s="2909">
        <v>930000</v>
      </c>
      <c r="DB234" s="2909" t="str">
        <f>IF($A234="","",IF($AE234&amp;""&lt;&gt;'DB_設定'!$C$4,"対象外",IF($AH234=20,IF(OR($AJ234=10,$AJ234=11,$AJ234=18),"①病院一般",IF($AJ234=41,"②病院短期","対象外")),IF($AH234=5,IF($AJ234=30,"③特定消防","対象外"),IF(OR($AJ234=10,$AJ234=11,$AJ234=74),"④一般",IF(OR($AJ234=41,$AJ234=47),"⑤短期","対象外"))))))</f>
        <v>①病院一般</v>
      </c>
    </row>
    <row r="235">
      <c r="A235" t="n" s="2909">
        <v>21</v>
      </c>
      <c r="AA235" t="n" s="2909">
        <v>21</v>
      </c>
      <c r="AB235" t="inlineStr" s="2909">
        <is>
          <t>19960501</t>
        </is>
      </c>
      <c r="AD235" t="n" s="2909">
        <v>12</v>
      </c>
      <c r="AE235" t="inlineStr" s="2909">
        <is>
          <t>20250401</t>
        </is>
      </c>
      <c r="AH235" t="n" s="2909">
        <v>20</v>
      </c>
      <c r="AJ235" t="n" s="2909">
        <v>10</v>
      </c>
      <c r="AP235" t="n" s="2909">
        <v>590000</v>
      </c>
      <c r="DB235" s="2909" t="str">
        <f>IF($A235="","",IF($AE235&amp;""&lt;&gt;'DB_設定'!$C$4,"対象外",IF($AH235=20,IF(OR($AJ235=10,$AJ235=11,$AJ235=18),"①病院一般",IF($AJ235=41,"②病院短期","対象外")),IF($AH235=5,IF($AJ235=30,"③特定消防","対象外"),IF(OR($AJ235=10,$AJ235=11,$AJ235=74),"④一般",IF(OR($AJ235=41,$AJ235=47),"⑤短期","対象外"))))))</f>
        <v>①病院一般</v>
      </c>
    </row>
    <row r="236">
      <c r="A236" t="n" s="2909">
        <v>21</v>
      </c>
      <c r="AA236" t="n" s="2909">
        <v>21</v>
      </c>
      <c r="AB236" t="inlineStr" s="2909">
        <is>
          <t>19970301</t>
        </is>
      </c>
      <c r="AD236" t="n" s="2909">
        <v>12</v>
      </c>
      <c r="AE236" t="inlineStr" s="2909">
        <is>
          <t>20250401</t>
        </is>
      </c>
      <c r="AH236" t="n" s="2909">
        <v>1</v>
      </c>
      <c r="AJ236" t="n" s="2909">
        <v>10</v>
      </c>
      <c r="AP236" t="n" s="2909">
        <v>470000</v>
      </c>
      <c r="DB236" s="2909" t="str">
        <f>IF($A236="","",IF($AE236&amp;""&lt;&gt;'DB_設定'!$C$4,"対象外",IF($AH236=20,IF(OR($AJ236=10,$AJ236=11,$AJ236=18),"①病院一般",IF($AJ236=41,"②病院短期","対象外")),IF($AH236=5,IF($AJ236=30,"③特定消防","対象外"),IF(OR($AJ236=10,$AJ236=11,$AJ236=74),"④一般",IF(OR($AJ236=41,$AJ236=47),"⑤短期","対象外"))))))</f>
        <v>④一般</v>
      </c>
    </row>
    <row r="237">
      <c r="A237" t="n" s="2909">
        <v>21</v>
      </c>
      <c r="AA237" t="n" s="2909">
        <v>21</v>
      </c>
      <c r="AB237" t="inlineStr" s="2909">
        <is>
          <t>19970401</t>
        </is>
      </c>
      <c r="AD237" t="n" s="2909">
        <v>12</v>
      </c>
      <c r="AE237" t="inlineStr" s="2909">
        <is>
          <t>20250601</t>
        </is>
      </c>
      <c r="AH237" t="n" s="2909">
        <v>1</v>
      </c>
      <c r="AJ237" t="n" s="2909">
        <v>10</v>
      </c>
      <c r="AP237" t="n" s="2909">
        <v>440000</v>
      </c>
      <c r="DB237" s="2909" t="str">
        <f>IF($A237="","",IF($AE237&amp;""&lt;&gt;'DB_設定'!$C$4,"対象外",IF($AH237=20,IF(OR($AJ237=10,$AJ237=11,$AJ237=18),"①病院一般",IF($AJ237=41,"②病院短期","対象外")),IF($AH237=5,IF($AJ237=30,"③特定消防","対象外"),IF(OR($AJ237=10,$AJ237=11,$AJ237=74),"④一般",IF(OR($AJ237=41,$AJ237=47),"⑤短期","対象外"))))))</f>
        <v>対象外</v>
      </c>
    </row>
    <row r="238">
      <c r="A238" t="n" s="2909">
        <v>21</v>
      </c>
      <c r="AA238" t="n" s="2909">
        <v>21</v>
      </c>
      <c r="AB238" t="inlineStr" s="2909">
        <is>
          <t>19970401</t>
        </is>
      </c>
      <c r="AD238" t="n" s="2909">
        <v>11</v>
      </c>
      <c r="AE238" t="inlineStr" s="2909">
        <is>
          <t>20250401</t>
        </is>
      </c>
      <c r="AH238" t="n" s="2909">
        <v>1</v>
      </c>
      <c r="AJ238" t="n" s="2909">
        <v>10</v>
      </c>
      <c r="AP238" t="n" s="2909">
        <v>300000</v>
      </c>
      <c r="DB238" s="2909" t="str">
        <f>IF($A238="","",IF($AE238&amp;""&lt;&gt;'DB_設定'!$C$4,"対象外",IF($AH238=20,IF(OR($AJ238=10,$AJ238=11,$AJ238=18),"①病院一般",IF($AJ238=41,"②病院短期","対象外")),IF($AH238=5,IF($AJ238=30,"③特定消防","対象外"),IF(OR($AJ238=10,$AJ238=11,$AJ238=74),"④一般",IF(OR($AJ238=41,$AJ238=47),"⑤短期","対象外"))))))</f>
        <v>④一般</v>
      </c>
    </row>
    <row r="239">
      <c r="A239" t="n" s="2909">
        <v>21</v>
      </c>
      <c r="AA239" t="n" s="2909">
        <v>21</v>
      </c>
      <c r="AB239" t="inlineStr" s="2909">
        <is>
          <t>19970401</t>
        </is>
      </c>
      <c r="AD239" t="n" s="2909">
        <v>12</v>
      </c>
      <c r="AE239" t="inlineStr" s="2909">
        <is>
          <t>20250401</t>
        </is>
      </c>
      <c r="AH239" t="n" s="2909">
        <v>20</v>
      </c>
      <c r="AJ239" t="n" s="2909">
        <v>10</v>
      </c>
      <c r="AP239" t="n" s="2909">
        <v>530000</v>
      </c>
      <c r="DB239" s="2909" t="str">
        <f>IF($A239="","",IF($AE239&amp;""&lt;&gt;'DB_設定'!$C$4,"対象外",IF($AH239=20,IF(OR($AJ239=10,$AJ239=11,$AJ239=18),"①病院一般",IF($AJ239=41,"②病院短期","対象外")),IF($AH239=5,IF($AJ239=30,"③特定消防","対象外"),IF(OR($AJ239=10,$AJ239=11,$AJ239=74),"④一般",IF(OR($AJ239=41,$AJ239=47),"⑤短期","対象外"))))))</f>
        <v>①病院一般</v>
      </c>
    </row>
    <row r="240">
      <c r="A240" t="n" s="2909">
        <v>21</v>
      </c>
      <c r="AA240" t="n" s="2909">
        <v>21</v>
      </c>
      <c r="AB240" t="inlineStr" s="2909">
        <is>
          <t>19970401</t>
        </is>
      </c>
      <c r="AD240" t="n" s="2909">
        <v>12</v>
      </c>
      <c r="AE240" t="inlineStr" s="2909">
        <is>
          <t>20250401</t>
        </is>
      </c>
      <c r="AH240" t="n" s="2909">
        <v>1</v>
      </c>
      <c r="AJ240" t="n" s="2909">
        <v>10</v>
      </c>
      <c r="AP240" t="n" s="2909">
        <v>500000</v>
      </c>
      <c r="DB240" s="2909" t="str">
        <f>IF($A240="","",IF($AE240&amp;""&lt;&gt;'DB_設定'!$C$4,"対象外",IF($AH240=20,IF(OR($AJ240=10,$AJ240=11,$AJ240=18),"①病院一般",IF($AJ240=41,"②病院短期","対象外")),IF($AH240=5,IF($AJ240=30,"③特定消防","対象外"),IF(OR($AJ240=10,$AJ240=11,$AJ240=74),"④一般",IF(OR($AJ240=41,$AJ240=47),"⑤短期","対象外"))))))</f>
        <v>④一般</v>
      </c>
    </row>
    <row r="241">
      <c r="A241" t="n" s="2909">
        <v>21</v>
      </c>
      <c r="AA241" t="n" s="2909">
        <v>21</v>
      </c>
      <c r="AB241" t="inlineStr" s="2909">
        <is>
          <t>19970801</t>
        </is>
      </c>
      <c r="AD241" t="n" s="2909">
        <v>12</v>
      </c>
      <c r="AE241" t="inlineStr" s="2909">
        <is>
          <t>20250401</t>
        </is>
      </c>
      <c r="AH241" t="n" s="2909">
        <v>20</v>
      </c>
      <c r="AJ241" t="n" s="2909">
        <v>10</v>
      </c>
      <c r="AP241" t="n" s="2909">
        <v>360000</v>
      </c>
      <c r="DB241" s="2909" t="str">
        <f>IF($A241="","",IF($AE241&amp;""&lt;&gt;'DB_設定'!$C$4,"対象外",IF($AH241=20,IF(OR($AJ241=10,$AJ241=11,$AJ241=18),"①病院一般",IF($AJ241=41,"②病院短期","対象外")),IF($AH241=5,IF($AJ241=30,"③特定消防","対象外"),IF(OR($AJ241=10,$AJ241=11,$AJ241=74),"④一般",IF(OR($AJ241=41,$AJ241=47),"⑤短期","対象外"))))))</f>
        <v>①病院一般</v>
      </c>
    </row>
    <row r="242">
      <c r="A242" t="n" s="2909">
        <v>21</v>
      </c>
      <c r="AA242" t="n" s="2909">
        <v>21</v>
      </c>
      <c r="AB242" t="inlineStr" s="2909">
        <is>
          <t>19980401</t>
        </is>
      </c>
      <c r="AD242" t="n" s="2909">
        <v>15</v>
      </c>
      <c r="AE242" t="inlineStr" s="2909">
        <is>
          <t>20250701</t>
        </is>
      </c>
      <c r="AH242" t="n" s="2909">
        <v>1</v>
      </c>
      <c r="AJ242" t="n" s="2909">
        <v>10</v>
      </c>
      <c r="AP242" t="n" s="2909">
        <v>560000</v>
      </c>
      <c r="DB242" s="2909" t="str">
        <f>IF($A242="","",IF($AE242&amp;""&lt;&gt;'DB_設定'!$C$4,"対象外",IF($AH242=20,IF(OR($AJ242=10,$AJ242=11,$AJ242=18),"①病院一般",IF($AJ242=41,"②病院短期","対象外")),IF($AH242=5,IF($AJ242=30,"③特定消防","対象外"),IF(OR($AJ242=10,$AJ242=11,$AJ242=74),"④一般",IF(OR($AJ242=41,$AJ242=47),"⑤短期","対象外"))))))</f>
        <v>対象外</v>
      </c>
    </row>
    <row r="243">
      <c r="A243" t="n" s="2909">
        <v>21</v>
      </c>
      <c r="AA243" t="n" s="2909">
        <v>21</v>
      </c>
      <c r="AB243" t="inlineStr" s="2909">
        <is>
          <t>19980401</t>
        </is>
      </c>
      <c r="AD243" t="n" s="2909">
        <v>12</v>
      </c>
      <c r="AE243" t="inlineStr" s="2909">
        <is>
          <t>20250401</t>
        </is>
      </c>
      <c r="AH243" t="n" s="2909">
        <v>1</v>
      </c>
      <c r="AJ243" t="n" s="2909">
        <v>10</v>
      </c>
      <c r="AP243" t="n" s="2909">
        <v>500000</v>
      </c>
      <c r="DB243" s="2909" t="str">
        <f>IF($A243="","",IF($AE243&amp;""&lt;&gt;'DB_設定'!$C$4,"対象外",IF($AH243=20,IF(OR($AJ243=10,$AJ243=11,$AJ243=18),"①病院一般",IF($AJ243=41,"②病院短期","対象外")),IF($AH243=5,IF($AJ243=30,"③特定消防","対象外"),IF(OR($AJ243=10,$AJ243=11,$AJ243=74),"④一般",IF(OR($AJ243=41,$AJ243=47),"⑤短期","対象外"))))))</f>
        <v>④一般</v>
      </c>
    </row>
    <row r="244">
      <c r="A244" t="n" s="2909">
        <v>21</v>
      </c>
      <c r="AA244" t="n" s="2909">
        <v>21</v>
      </c>
      <c r="AB244" t="inlineStr" s="2909">
        <is>
          <t>19980401</t>
        </is>
      </c>
      <c r="AD244" t="n" s="2909">
        <v>11</v>
      </c>
      <c r="AE244" t="inlineStr" s="2909">
        <is>
          <t>20250401</t>
        </is>
      </c>
      <c r="AH244" t="n" s="2909">
        <v>1</v>
      </c>
      <c r="AJ244" t="n" s="2909">
        <v>10</v>
      </c>
      <c r="AP244" t="n" s="2909">
        <v>380000</v>
      </c>
      <c r="DB244" s="2909" t="str">
        <f>IF($A244="","",IF($AE244&amp;""&lt;&gt;'DB_設定'!$C$4,"対象外",IF($AH244=20,IF(OR($AJ244=10,$AJ244=11,$AJ244=18),"①病院一般",IF($AJ244=41,"②病院短期","対象外")),IF($AH244=5,IF($AJ244=30,"③特定消防","対象外"),IF(OR($AJ244=10,$AJ244=11,$AJ244=74),"④一般",IF(OR($AJ244=41,$AJ244=47),"⑤短期","対象外"))))))</f>
        <v>④一般</v>
      </c>
    </row>
    <row r="245">
      <c r="A245" t="n" s="2909">
        <v>21</v>
      </c>
      <c r="AA245" t="n" s="2909">
        <v>21</v>
      </c>
      <c r="AB245" t="inlineStr" s="2909">
        <is>
          <t>19980401</t>
        </is>
      </c>
      <c r="AD245" t="n" s="2909">
        <v>11</v>
      </c>
      <c r="AE245" t="inlineStr" s="2909">
        <is>
          <t>20250401</t>
        </is>
      </c>
      <c r="AH245" t="n" s="2909">
        <v>11</v>
      </c>
      <c r="AJ245" t="n" s="2909">
        <v>10</v>
      </c>
      <c r="AP245" t="n" s="2909">
        <v>300000</v>
      </c>
      <c r="DB245" s="2909" t="str">
        <f>IF($A245="","",IF($AE245&amp;""&lt;&gt;'DB_設定'!$C$4,"対象外",IF($AH245=20,IF(OR($AJ245=10,$AJ245=11,$AJ245=18),"①病院一般",IF($AJ245=41,"②病院短期","対象外")),IF($AH245=5,IF($AJ245=30,"③特定消防","対象外"),IF(OR($AJ245=10,$AJ245=11,$AJ245=74),"④一般",IF(OR($AJ245=41,$AJ245=47),"⑤短期","対象外"))))))</f>
        <v>④一般</v>
      </c>
    </row>
    <row r="246">
      <c r="A246" t="n" s="2909">
        <v>21</v>
      </c>
      <c r="AA246" t="n" s="2909">
        <v>21</v>
      </c>
      <c r="AB246" t="inlineStr" s="2909">
        <is>
          <t>19980401</t>
        </is>
      </c>
      <c r="AD246" t="n" s="2909">
        <v>12</v>
      </c>
      <c r="AE246" t="inlineStr" s="2909">
        <is>
          <t>20250401</t>
        </is>
      </c>
      <c r="AH246" t="n" s="2909">
        <v>20</v>
      </c>
      <c r="AJ246" t="n" s="2909">
        <v>10</v>
      </c>
      <c r="AP246" t="n" s="2909">
        <v>650000</v>
      </c>
      <c r="DB246" s="2909" t="str">
        <f>IF($A246="","",IF($AE246&amp;""&lt;&gt;'DB_設定'!$C$4,"対象外",IF($AH246=20,IF(OR($AJ246=10,$AJ246=11,$AJ246=18),"①病院一般",IF($AJ246=41,"②病院短期","対象外")),IF($AH246=5,IF($AJ246=30,"③特定消防","対象外"),IF(OR($AJ246=10,$AJ246=11,$AJ246=74),"④一般",IF(OR($AJ246=41,$AJ246=47),"⑤短期","対象外"))))))</f>
        <v>①病院一般</v>
      </c>
    </row>
    <row r="247">
      <c r="A247" t="n" s="2909">
        <v>21</v>
      </c>
      <c r="AA247" t="n" s="2909">
        <v>21</v>
      </c>
      <c r="AB247" t="inlineStr" s="2909">
        <is>
          <t>19980401</t>
        </is>
      </c>
      <c r="AD247" t="n" s="2909">
        <v>12</v>
      </c>
      <c r="AE247" t="inlineStr" s="2909">
        <is>
          <t>20250401</t>
        </is>
      </c>
      <c r="AH247" t="n" s="2909">
        <v>20</v>
      </c>
      <c r="AJ247" t="n" s="2909">
        <v>10</v>
      </c>
      <c r="AP247" t="n" s="2909">
        <v>340000</v>
      </c>
      <c r="DB247" s="2909" t="str">
        <f>IF($A247="","",IF($AE247&amp;""&lt;&gt;'DB_設定'!$C$4,"対象外",IF($AH247=20,IF(OR($AJ247=10,$AJ247=11,$AJ247=18),"①病院一般",IF($AJ247=41,"②病院短期","対象外")),IF($AH247=5,IF($AJ247=30,"③特定消防","対象外"),IF(OR($AJ247=10,$AJ247=11,$AJ247=74),"④一般",IF(OR($AJ247=41,$AJ247=47),"⑤短期","対象外"))))))</f>
        <v>①病院一般</v>
      </c>
    </row>
    <row r="248">
      <c r="A248" t="n" s="2909">
        <v>21</v>
      </c>
      <c r="AA248" t="n" s="2909">
        <v>21</v>
      </c>
      <c r="AB248" t="inlineStr" s="2909">
        <is>
          <t>19980401</t>
        </is>
      </c>
      <c r="AD248" t="n" s="2909">
        <v>12</v>
      </c>
      <c r="AE248" t="inlineStr" s="2909">
        <is>
          <t>20250401</t>
        </is>
      </c>
      <c r="AH248" t="n" s="2909">
        <v>1</v>
      </c>
      <c r="AJ248" t="n" s="2909">
        <v>10</v>
      </c>
      <c r="AP248" t="n" s="2909">
        <v>440000</v>
      </c>
      <c r="DB248" s="2909" t="str">
        <f>IF($A248="","",IF($AE248&amp;""&lt;&gt;'DB_設定'!$C$4,"対象外",IF($AH248=20,IF(OR($AJ248=10,$AJ248=11,$AJ248=18),"①病院一般",IF($AJ248=41,"②病院短期","対象外")),IF($AH248=5,IF($AJ248=30,"③特定消防","対象外"),IF(OR($AJ248=10,$AJ248=11,$AJ248=74),"④一般",IF(OR($AJ248=41,$AJ248=47),"⑤短期","対象外"))))))</f>
        <v>④一般</v>
      </c>
    </row>
    <row r="249">
      <c r="A249" t="n" s="2909">
        <v>21</v>
      </c>
      <c r="AA249" t="n" s="2909">
        <v>21</v>
      </c>
      <c r="AB249" t="inlineStr" s="2909">
        <is>
          <t>19980401</t>
        </is>
      </c>
      <c r="AD249" t="n" s="2909">
        <v>11</v>
      </c>
      <c r="AE249" t="inlineStr" s="2909">
        <is>
          <t>20250401</t>
        </is>
      </c>
      <c r="AH249" t="n" s="2909">
        <v>1</v>
      </c>
      <c r="AJ249" t="n" s="2909">
        <v>10</v>
      </c>
      <c r="AP249" t="n" s="2909">
        <v>830000</v>
      </c>
      <c r="DB249" s="2909" t="str">
        <f>IF($A249="","",IF($AE249&amp;""&lt;&gt;'DB_設定'!$C$4,"対象外",IF($AH249=20,IF(OR($AJ249=10,$AJ249=11,$AJ249=18),"①病院一般",IF($AJ249=41,"②病院短期","対象外")),IF($AH249=5,IF($AJ249=30,"③特定消防","対象外"),IF(OR($AJ249=10,$AJ249=11,$AJ249=74),"④一般",IF(OR($AJ249=41,$AJ249=47),"⑤短期","対象外"))))))</f>
        <v>④一般</v>
      </c>
    </row>
    <row r="250">
      <c r="A250" t="n" s="2909">
        <v>21</v>
      </c>
      <c r="AA250" t="n" s="2909">
        <v>24</v>
      </c>
      <c r="AB250" t="inlineStr" s="2909">
        <is>
          <t>20140401</t>
        </is>
      </c>
      <c r="AD250" t="n" s="2909">
        <v>11</v>
      </c>
      <c r="AE250" t="inlineStr" s="2909">
        <is>
          <t>20250401</t>
        </is>
      </c>
      <c r="AH250" t="n" s="2909">
        <v>1</v>
      </c>
      <c r="AJ250" t="n" s="2909">
        <v>10</v>
      </c>
      <c r="AP250" t="n" s="2909">
        <v>410000</v>
      </c>
      <c r="DB250" s="2909" t="str">
        <f>IF($A250="","",IF($AE250&amp;""&lt;&gt;'DB_設定'!$C$4,"対象外",IF($AH250=20,IF(OR($AJ250=10,$AJ250=11,$AJ250=18),"①病院一般",IF($AJ250=41,"②病院短期","対象外")),IF($AH250=5,IF($AJ250=30,"③特定消防","対象外"),IF(OR($AJ250=10,$AJ250=11,$AJ250=74),"④一般",IF(OR($AJ250=41,$AJ250=47),"⑤短期","対象外"))))))</f>
        <v>④一般</v>
      </c>
    </row>
    <row r="251">
      <c r="A251" t="n" s="2909">
        <v>21</v>
      </c>
      <c r="AA251" t="n" s="2909">
        <v>21</v>
      </c>
      <c r="AB251" t="inlineStr" s="2909">
        <is>
          <t>19980801</t>
        </is>
      </c>
      <c r="AD251" t="n" s="2909">
        <v>12</v>
      </c>
      <c r="AE251" t="inlineStr" s="2909">
        <is>
          <t>20250401</t>
        </is>
      </c>
      <c r="AH251" t="n" s="2909">
        <v>20</v>
      </c>
      <c r="AJ251" t="n" s="2909">
        <v>10</v>
      </c>
      <c r="AP251" t="n" s="2909">
        <v>380000</v>
      </c>
      <c r="DB251" s="2909" t="str">
        <f>IF($A251="","",IF($AE251&amp;""&lt;&gt;'DB_設定'!$C$4,"対象外",IF($AH251=20,IF(OR($AJ251=10,$AJ251=11,$AJ251=18),"①病院一般",IF($AJ251=41,"②病院短期","対象外")),IF($AH251=5,IF($AJ251=30,"③特定消防","対象外"),IF(OR($AJ251=10,$AJ251=11,$AJ251=74),"④一般",IF(OR($AJ251=41,$AJ251=47),"⑤短期","対象外"))))))</f>
        <v>①病院一般</v>
      </c>
    </row>
    <row r="252">
      <c r="A252" t="n" s="2909">
        <v>21</v>
      </c>
      <c r="AA252" t="n" s="2909">
        <v>21</v>
      </c>
      <c r="AB252" t="inlineStr" s="2909">
        <is>
          <t>20030401</t>
        </is>
      </c>
      <c r="AD252" t="n" s="2909">
        <v>12</v>
      </c>
      <c r="AE252" t="inlineStr" s="2909">
        <is>
          <t>20250401</t>
        </is>
      </c>
      <c r="AH252" t="n" s="2909">
        <v>11</v>
      </c>
      <c r="AJ252" t="n" s="2909">
        <v>10</v>
      </c>
      <c r="AP252" t="n" s="2909">
        <v>650000</v>
      </c>
      <c r="DB252" s="2909" t="str">
        <f>IF($A252="","",IF($AE252&amp;""&lt;&gt;'DB_設定'!$C$4,"対象外",IF($AH252=20,IF(OR($AJ252=10,$AJ252=11,$AJ252=18),"①病院一般",IF($AJ252=41,"②病院短期","対象外")),IF($AH252=5,IF($AJ252=30,"③特定消防","対象外"),IF(OR($AJ252=10,$AJ252=11,$AJ252=74),"④一般",IF(OR($AJ252=41,$AJ252=47),"⑤短期","対象外"))))))</f>
        <v>④一般</v>
      </c>
    </row>
    <row r="253">
      <c r="A253" t="n" s="2909">
        <v>21</v>
      </c>
      <c r="AA253" t="n" s="2909">
        <v>21</v>
      </c>
      <c r="AB253" t="inlineStr" s="2909">
        <is>
          <t>20180401</t>
        </is>
      </c>
      <c r="AD253" t="n" s="2909">
        <v>12</v>
      </c>
      <c r="AE253" t="inlineStr" s="2909">
        <is>
          <t>20250401</t>
        </is>
      </c>
      <c r="AH253" t="n" s="2909">
        <v>11</v>
      </c>
      <c r="AJ253" t="n" s="2909">
        <v>10</v>
      </c>
      <c r="AP253" t="n" s="2909">
        <v>470000</v>
      </c>
      <c r="DB253" s="2909" t="str">
        <f>IF($A253="","",IF($AE253&amp;""&lt;&gt;'DB_設定'!$C$4,"対象外",IF($AH253=20,IF(OR($AJ253=10,$AJ253=11,$AJ253=18),"①病院一般",IF($AJ253=41,"②病院短期","対象外")),IF($AH253=5,IF($AJ253=30,"③特定消防","対象外"),IF(OR($AJ253=10,$AJ253=11,$AJ253=74),"④一般",IF(OR($AJ253=41,$AJ253=47),"⑤短期","対象外"))))))</f>
        <v>④一般</v>
      </c>
    </row>
    <row r="254">
      <c r="A254" t="n" s="2909">
        <v>21</v>
      </c>
      <c r="AA254" t="n" s="2909">
        <v>24</v>
      </c>
      <c r="AB254" t="inlineStr" s="2909">
        <is>
          <t>20160601</t>
        </is>
      </c>
      <c r="AD254" t="n" s="2909">
        <v>11</v>
      </c>
      <c r="AE254" t="inlineStr" s="2909">
        <is>
          <t>20250401</t>
        </is>
      </c>
      <c r="AH254" t="n" s="2909">
        <v>20</v>
      </c>
      <c r="AJ254" t="n" s="2909">
        <v>10</v>
      </c>
      <c r="AP254" t="n" s="2909">
        <v>260000</v>
      </c>
      <c r="DB254" s="2909" t="str">
        <f>IF($A254="","",IF($AE254&amp;""&lt;&gt;'DB_設定'!$C$4,"対象外",IF($AH254=20,IF(OR($AJ254=10,$AJ254=11,$AJ254=18),"①病院一般",IF($AJ254=41,"②病院短期","対象外")),IF($AH254=5,IF($AJ254=30,"③特定消防","対象外"),IF(OR($AJ254=10,$AJ254=11,$AJ254=74),"④一般",IF(OR($AJ254=41,$AJ254=47),"⑤短期","対象外"))))))</f>
        <v>①病院一般</v>
      </c>
    </row>
    <row r="255">
      <c r="A255" t="n" s="2909">
        <v>21</v>
      </c>
      <c r="AA255" t="n" s="2909">
        <v>21</v>
      </c>
      <c r="AB255" t="inlineStr" s="2909">
        <is>
          <t>20000401</t>
        </is>
      </c>
      <c r="AD255" t="n" s="2909">
        <v>12</v>
      </c>
      <c r="AE255" t="inlineStr" s="2909">
        <is>
          <t>20250401</t>
        </is>
      </c>
      <c r="AH255" t="n" s="2909">
        <v>1</v>
      </c>
      <c r="AJ255" t="n" s="2909">
        <v>10</v>
      </c>
      <c r="AP255" t="n" s="2909">
        <v>560000</v>
      </c>
      <c r="DB255" s="2909" t="str">
        <f>IF($A255="","",IF($AE255&amp;""&lt;&gt;'DB_設定'!$C$4,"対象外",IF($AH255=20,IF(OR($AJ255=10,$AJ255=11,$AJ255=18),"①病院一般",IF($AJ255=41,"②病院短期","対象外")),IF($AH255=5,IF($AJ255=30,"③特定消防","対象外"),IF(OR($AJ255=10,$AJ255=11,$AJ255=74),"④一般",IF(OR($AJ255=41,$AJ255=47),"⑤短期","対象外"))))))</f>
        <v>④一般</v>
      </c>
    </row>
    <row r="256">
      <c r="A256" t="n" s="2909">
        <v>21</v>
      </c>
      <c r="AA256" t="n" s="2909">
        <v>24</v>
      </c>
      <c r="AB256" t="inlineStr" s="2909">
        <is>
          <t>20190601</t>
        </is>
      </c>
      <c r="AD256" t="n" s="2909">
        <v>12</v>
      </c>
      <c r="AE256" t="inlineStr" s="2909">
        <is>
          <t>20250401</t>
        </is>
      </c>
      <c r="AH256" t="n" s="2909">
        <v>20</v>
      </c>
      <c r="AJ256" t="n" s="2909">
        <v>10</v>
      </c>
      <c r="AP256" t="n" s="2909">
        <v>260000</v>
      </c>
      <c r="DB256" s="2909" t="str">
        <f>IF($A256="","",IF($AE256&amp;""&lt;&gt;'DB_設定'!$C$4,"対象外",IF($AH256=20,IF(OR($AJ256=10,$AJ256=11,$AJ256=18),"①病院一般",IF($AJ256=41,"②病院短期","対象外")),IF($AH256=5,IF($AJ256=30,"③特定消防","対象外"),IF(OR($AJ256=10,$AJ256=11,$AJ256=74),"④一般",IF(OR($AJ256=41,$AJ256=47),"⑤短期","対象外"))))))</f>
        <v>①病院一般</v>
      </c>
    </row>
    <row r="257">
      <c r="A257" t="n" s="2909">
        <v>21</v>
      </c>
      <c r="AA257" t="n" s="2909">
        <v>21</v>
      </c>
      <c r="AB257" t="inlineStr" s="2909">
        <is>
          <t>20000801</t>
        </is>
      </c>
      <c r="AD257" t="n" s="2909">
        <v>12</v>
      </c>
      <c r="AE257" t="inlineStr" s="2909">
        <is>
          <t>20250401</t>
        </is>
      </c>
      <c r="AH257" t="n" s="2909">
        <v>20</v>
      </c>
      <c r="AJ257" t="n" s="2909">
        <v>10</v>
      </c>
      <c r="AP257" t="n" s="2909">
        <v>590000</v>
      </c>
      <c r="DB257" s="2909" t="str">
        <f>IF($A257="","",IF($AE257&amp;""&lt;&gt;'DB_設定'!$C$4,"対象外",IF($AH257=20,IF(OR($AJ257=10,$AJ257=11,$AJ257=18),"①病院一般",IF($AJ257=41,"②病院短期","対象外")),IF($AH257=5,IF($AJ257=30,"③特定消防","対象外"),IF(OR($AJ257=10,$AJ257=11,$AJ257=74),"④一般",IF(OR($AJ257=41,$AJ257=47),"⑤短期","対象外"))))))</f>
        <v>①病院一般</v>
      </c>
    </row>
    <row r="258">
      <c r="A258" t="n" s="2909">
        <v>21</v>
      </c>
      <c r="AA258" t="n" s="2909">
        <v>21</v>
      </c>
      <c r="AB258" t="inlineStr" s="2909">
        <is>
          <t>20020401</t>
        </is>
      </c>
      <c r="AD258" t="n" s="2909">
        <v>12</v>
      </c>
      <c r="AE258" t="inlineStr" s="2909">
        <is>
          <t>20250401</t>
        </is>
      </c>
      <c r="AH258" t="n" s="2909">
        <v>1</v>
      </c>
      <c r="AJ258" t="n" s="2909">
        <v>10</v>
      </c>
      <c r="AP258" t="n" s="2909">
        <v>500000</v>
      </c>
      <c r="DB258" s="2909" t="str">
        <f>IF($A258="","",IF($AE258&amp;""&lt;&gt;'DB_設定'!$C$4,"対象外",IF($AH258=20,IF(OR($AJ258=10,$AJ258=11,$AJ258=18),"①病院一般",IF($AJ258=41,"②病院短期","対象外")),IF($AH258=5,IF($AJ258=30,"③特定消防","対象外"),IF(OR($AJ258=10,$AJ258=11,$AJ258=74),"④一般",IF(OR($AJ258=41,$AJ258=47),"⑤短期","対象外"))))))</f>
        <v>④一般</v>
      </c>
    </row>
    <row r="259">
      <c r="A259" t="n" s="2909">
        <v>21</v>
      </c>
      <c r="AA259" t="n" s="2909">
        <v>21</v>
      </c>
      <c r="AB259" t="inlineStr" s="2909">
        <is>
          <t>20020401</t>
        </is>
      </c>
      <c r="AD259" t="n" s="2909">
        <v>12</v>
      </c>
      <c r="AE259" t="inlineStr" s="2909">
        <is>
          <t>20250401</t>
        </is>
      </c>
      <c r="AH259" t="n" s="2909">
        <v>1</v>
      </c>
      <c r="AJ259" t="n" s="2909">
        <v>10</v>
      </c>
      <c r="AP259" t="n" s="2909">
        <v>470000</v>
      </c>
      <c r="DB259" s="2909" t="str">
        <f>IF($A259="","",IF($AE259&amp;""&lt;&gt;'DB_設定'!$C$4,"対象外",IF($AH259=20,IF(OR($AJ259=10,$AJ259=11,$AJ259=18),"①病院一般",IF($AJ259=41,"②病院短期","対象外")),IF($AH259=5,IF($AJ259=30,"③特定消防","対象外"),IF(OR($AJ259=10,$AJ259=11,$AJ259=74),"④一般",IF(OR($AJ259=41,$AJ259=47),"⑤短期","対象外"))))))</f>
        <v>④一般</v>
      </c>
    </row>
    <row r="260">
      <c r="A260" t="n" s="2909">
        <v>21</v>
      </c>
      <c r="AA260" t="n" s="2909">
        <v>21</v>
      </c>
      <c r="AB260" t="inlineStr" s="2909">
        <is>
          <t>20020401</t>
        </is>
      </c>
      <c r="AD260" t="n" s="2909">
        <v>12</v>
      </c>
      <c r="AE260" t="inlineStr" s="2909">
        <is>
          <t>20250401</t>
        </is>
      </c>
      <c r="AH260" t="n" s="2909">
        <v>20</v>
      </c>
      <c r="AJ260" t="n" s="2909">
        <v>10</v>
      </c>
      <c r="AP260" t="n" s="2909">
        <v>620000</v>
      </c>
      <c r="DB260" s="2909" t="str">
        <f>IF($A260="","",IF($AE260&amp;""&lt;&gt;'DB_設定'!$C$4,"対象外",IF($AH260=20,IF(OR($AJ260=10,$AJ260=11,$AJ260=18),"①病院一般",IF($AJ260=41,"②病院短期","対象外")),IF($AH260=5,IF($AJ260=30,"③特定消防","対象外"),IF(OR($AJ260=10,$AJ260=11,$AJ260=74),"④一般",IF(OR($AJ260=41,$AJ260=47),"⑤短期","対象外"))))))</f>
        <v>①病院一般</v>
      </c>
    </row>
    <row r="261">
      <c r="A261" t="n" s="2909">
        <v>21</v>
      </c>
      <c r="AA261" t="n" s="2909">
        <v>21</v>
      </c>
      <c r="AB261" t="inlineStr" s="2909">
        <is>
          <t>20020401</t>
        </is>
      </c>
      <c r="AD261" t="n" s="2909">
        <v>12</v>
      </c>
      <c r="AE261" t="inlineStr" s="2909">
        <is>
          <t>20250401</t>
        </is>
      </c>
      <c r="AH261" t="n" s="2909">
        <v>11</v>
      </c>
      <c r="AJ261" t="n" s="2909">
        <v>10</v>
      </c>
      <c r="AP261" t="n" s="2909">
        <v>280000</v>
      </c>
      <c r="DB261" s="2909" t="str">
        <f>IF($A261="","",IF($AE261&amp;""&lt;&gt;'DB_設定'!$C$4,"対象外",IF($AH261=20,IF(OR($AJ261=10,$AJ261=11,$AJ261=18),"①病院一般",IF($AJ261=41,"②病院短期","対象外")),IF($AH261=5,IF($AJ261=30,"③特定消防","対象外"),IF(OR($AJ261=10,$AJ261=11,$AJ261=74),"④一般",IF(OR($AJ261=41,$AJ261=47),"⑤短期","対象外"))))))</f>
        <v>④一般</v>
      </c>
    </row>
    <row r="262">
      <c r="A262" t="n" s="2909">
        <v>21</v>
      </c>
      <c r="AA262" t="n" s="2909">
        <v>21</v>
      </c>
      <c r="AB262" t="inlineStr" s="2909">
        <is>
          <t>20020401</t>
        </is>
      </c>
      <c r="AD262" t="n" s="2909">
        <v>11</v>
      </c>
      <c r="AE262" t="inlineStr" s="2909">
        <is>
          <t>20250401</t>
        </is>
      </c>
      <c r="AH262" t="n" s="2909">
        <v>1</v>
      </c>
      <c r="AJ262" t="n" s="2909">
        <v>10</v>
      </c>
      <c r="AP262" t="n" s="2909">
        <v>440000</v>
      </c>
      <c r="DB262" s="2909" t="str">
        <f>IF($A262="","",IF($AE262&amp;""&lt;&gt;'DB_設定'!$C$4,"対象外",IF($AH262=20,IF(OR($AJ262=10,$AJ262=11,$AJ262=18),"①病院一般",IF($AJ262=41,"②病院短期","対象外")),IF($AH262=5,IF($AJ262=30,"③特定消防","対象外"),IF(OR($AJ262=10,$AJ262=11,$AJ262=74),"④一般",IF(OR($AJ262=41,$AJ262=47),"⑤短期","対象外"))))))</f>
        <v>④一般</v>
      </c>
    </row>
    <row r="263">
      <c r="A263" t="n" s="2909">
        <v>21</v>
      </c>
      <c r="AA263" t="n" s="2909">
        <v>21</v>
      </c>
      <c r="AB263" t="inlineStr" s="2909">
        <is>
          <t>20020701</t>
        </is>
      </c>
      <c r="AD263" t="n" s="2909">
        <v>12</v>
      </c>
      <c r="AE263" t="inlineStr" s="2909">
        <is>
          <t>20250401</t>
        </is>
      </c>
      <c r="AH263" t="n" s="2909">
        <v>20</v>
      </c>
      <c r="AJ263" t="n" s="2909">
        <v>10</v>
      </c>
      <c r="AP263" t="n" s="2909">
        <v>590000</v>
      </c>
      <c r="DB263" s="2909" t="str">
        <f>IF($A263="","",IF($AE263&amp;""&lt;&gt;'DB_設定'!$C$4,"対象外",IF($AH263=20,IF(OR($AJ263=10,$AJ263=11,$AJ263=18),"①病院一般",IF($AJ263=41,"②病院短期","対象外")),IF($AH263=5,IF($AJ263=30,"③特定消防","対象外"),IF(OR($AJ263=10,$AJ263=11,$AJ263=74),"④一般",IF(OR($AJ263=41,$AJ263=47),"⑤短期","対象外"))))))</f>
        <v>①病院一般</v>
      </c>
    </row>
    <row r="264">
      <c r="A264" t="n" s="2909">
        <v>21</v>
      </c>
      <c r="AA264" t="n" s="2909">
        <v>21</v>
      </c>
      <c r="AB264" t="inlineStr" s="2909">
        <is>
          <t>20030401</t>
        </is>
      </c>
      <c r="AD264" t="n" s="2909">
        <v>12</v>
      </c>
      <c r="AE264" t="inlineStr" s="2909">
        <is>
          <t>20250401</t>
        </is>
      </c>
      <c r="AH264" t="n" s="2909">
        <v>1</v>
      </c>
      <c r="AJ264" t="n" s="2909">
        <v>10</v>
      </c>
      <c r="AP264" t="n" s="2909">
        <v>240000</v>
      </c>
      <c r="DB264" s="2909" t="str">
        <f>IF($A264="","",IF($AE264&amp;""&lt;&gt;'DB_設定'!$C$4,"対象外",IF($AH264=20,IF(OR($AJ264=10,$AJ264=11,$AJ264=18),"①病院一般",IF($AJ264=41,"②病院短期","対象外")),IF($AH264=5,IF($AJ264=30,"③特定消防","対象外"),IF(OR($AJ264=10,$AJ264=11,$AJ264=74),"④一般",IF(OR($AJ264=41,$AJ264=47),"⑤短期","対象外"))))))</f>
        <v>④一般</v>
      </c>
    </row>
    <row r="265">
      <c r="A265" t="n" s="2909">
        <v>21</v>
      </c>
      <c r="AA265" t="n" s="2909">
        <v>21</v>
      </c>
      <c r="AB265" t="inlineStr" s="2909">
        <is>
          <t>20030401</t>
        </is>
      </c>
      <c r="AD265" t="n" s="2909">
        <v>12</v>
      </c>
      <c r="AE265" t="inlineStr" s="2909">
        <is>
          <t>20250401</t>
        </is>
      </c>
      <c r="AH265" t="n" s="2909">
        <v>1</v>
      </c>
      <c r="AJ265" t="n" s="2909">
        <v>10</v>
      </c>
      <c r="AP265" t="n" s="2909">
        <v>410000</v>
      </c>
      <c r="DB265" s="2909" t="str">
        <f>IF($A265="","",IF($AE265&amp;""&lt;&gt;'DB_設定'!$C$4,"対象外",IF($AH265=20,IF(OR($AJ265=10,$AJ265=11,$AJ265=18),"①病院一般",IF($AJ265=41,"②病院短期","対象外")),IF($AH265=5,IF($AJ265=30,"③特定消防","対象外"),IF(OR($AJ265=10,$AJ265=11,$AJ265=74),"④一般",IF(OR($AJ265=41,$AJ265=47),"⑤短期","対象外"))))))</f>
        <v>④一般</v>
      </c>
    </row>
    <row r="266">
      <c r="A266" t="n" s="2909">
        <v>21</v>
      </c>
      <c r="AA266" t="n" s="2909">
        <v>21</v>
      </c>
      <c r="AB266" t="inlineStr" s="2909">
        <is>
          <t>20030401</t>
        </is>
      </c>
      <c r="AD266" t="n" s="2909">
        <v>12</v>
      </c>
      <c r="AE266" t="inlineStr" s="2909">
        <is>
          <t>20250401</t>
        </is>
      </c>
      <c r="AH266" t="n" s="2909">
        <v>11</v>
      </c>
      <c r="AJ266" t="n" s="2909">
        <v>10</v>
      </c>
      <c r="AP266" t="n" s="2909">
        <v>280000</v>
      </c>
      <c r="DB266" s="2909" t="str">
        <f>IF($A266="","",IF($AE266&amp;""&lt;&gt;'DB_設定'!$C$4,"対象外",IF($AH266=20,IF(OR($AJ266=10,$AJ266=11,$AJ266=18),"①病院一般",IF($AJ266=41,"②病院短期","対象外")),IF($AH266=5,IF($AJ266=30,"③特定消防","対象外"),IF(OR($AJ266=10,$AJ266=11,$AJ266=74),"④一般",IF(OR($AJ266=41,$AJ266=47),"⑤短期","対象外"))))))</f>
        <v>④一般</v>
      </c>
    </row>
    <row r="267">
      <c r="A267" t="n" s="2909">
        <v>21</v>
      </c>
      <c r="AA267" t="n" s="2909">
        <v>21</v>
      </c>
      <c r="AB267" t="inlineStr" s="2909">
        <is>
          <t>20030401</t>
        </is>
      </c>
      <c r="AD267" t="n" s="2909">
        <v>12</v>
      </c>
      <c r="AE267" t="inlineStr" s="2909">
        <is>
          <t>20250401</t>
        </is>
      </c>
      <c r="AH267" t="n" s="2909">
        <v>11</v>
      </c>
      <c r="AJ267" t="n" s="2909">
        <v>10</v>
      </c>
      <c r="AP267" t="n" s="2909">
        <v>410000</v>
      </c>
      <c r="DB267" s="2909" t="str">
        <f>IF($A267="","",IF($AE267&amp;""&lt;&gt;'DB_設定'!$C$4,"対象外",IF($AH267=20,IF(OR($AJ267=10,$AJ267=11,$AJ267=18),"①病院一般",IF($AJ267=41,"②病院短期","対象外")),IF($AH267=5,IF($AJ267=30,"③特定消防","対象外"),IF(OR($AJ267=10,$AJ267=11,$AJ267=74),"④一般",IF(OR($AJ267=41,$AJ267=47),"⑤短期","対象外"))))))</f>
        <v>④一般</v>
      </c>
    </row>
    <row r="268">
      <c r="A268" t="n" s="2909">
        <v>21</v>
      </c>
      <c r="AA268" t="n" s="2909">
        <v>21</v>
      </c>
      <c r="AB268" t="inlineStr" s="2909">
        <is>
          <t>20030401</t>
        </is>
      </c>
      <c r="AD268" t="n" s="2909">
        <v>11</v>
      </c>
      <c r="AE268" t="inlineStr" s="2909">
        <is>
          <t>20250401</t>
        </is>
      </c>
      <c r="AH268" t="n" s="2909">
        <v>11</v>
      </c>
      <c r="AJ268" t="n" s="2909">
        <v>10</v>
      </c>
      <c r="AP268" t="n" s="2909">
        <v>280000</v>
      </c>
      <c r="DB268" s="2909" t="str">
        <f>IF($A268="","",IF($AE268&amp;""&lt;&gt;'DB_設定'!$C$4,"対象外",IF($AH268=20,IF(OR($AJ268=10,$AJ268=11,$AJ268=18),"①病院一般",IF($AJ268=41,"②病院短期","対象外")),IF($AH268=5,IF($AJ268=30,"③特定消防","対象外"),IF(OR($AJ268=10,$AJ268=11,$AJ268=74),"④一般",IF(OR($AJ268=41,$AJ268=47),"⑤短期","対象外"))))))</f>
        <v>④一般</v>
      </c>
    </row>
    <row r="269">
      <c r="A269" t="n" s="2909">
        <v>21</v>
      </c>
      <c r="AA269" t="n" s="2909">
        <v>21</v>
      </c>
      <c r="AB269" t="inlineStr" s="2909">
        <is>
          <t>20040401</t>
        </is>
      </c>
      <c r="AD269" t="n" s="2909">
        <v>12</v>
      </c>
      <c r="AE269" t="inlineStr" s="2909">
        <is>
          <t>20250401</t>
        </is>
      </c>
      <c r="AH269" t="n" s="2909">
        <v>1</v>
      </c>
      <c r="AJ269" t="n" s="2909">
        <v>10</v>
      </c>
      <c r="AP269" t="n" s="2909">
        <v>360000</v>
      </c>
      <c r="DB269" s="2909" t="str">
        <f>IF($A269="","",IF($AE269&amp;""&lt;&gt;'DB_設定'!$C$4,"対象外",IF($AH269=20,IF(OR($AJ269=10,$AJ269=11,$AJ269=18),"①病院一般",IF($AJ269=41,"②病院短期","対象外")),IF($AH269=5,IF($AJ269=30,"③特定消防","対象外"),IF(OR($AJ269=10,$AJ269=11,$AJ269=74),"④一般",IF(OR($AJ269=41,$AJ269=47),"⑤短期","対象外"))))))</f>
        <v>④一般</v>
      </c>
    </row>
    <row r="270">
      <c r="A270" t="n" s="2909">
        <v>21</v>
      </c>
      <c r="AA270" t="n" s="2909">
        <v>21</v>
      </c>
      <c r="AB270" t="inlineStr" s="2909">
        <is>
          <t>20040401</t>
        </is>
      </c>
      <c r="AD270" t="n" s="2909">
        <v>11</v>
      </c>
      <c r="AE270" t="inlineStr" s="2909">
        <is>
          <t>20250401</t>
        </is>
      </c>
      <c r="AH270" t="n" s="2909">
        <v>1</v>
      </c>
      <c r="AJ270" t="n" s="2909">
        <v>10</v>
      </c>
      <c r="AP270" t="n" s="2909">
        <v>360000</v>
      </c>
      <c r="DB270" s="2909" t="str">
        <f>IF($A270="","",IF($AE270&amp;""&lt;&gt;'DB_設定'!$C$4,"対象外",IF($AH270=20,IF(OR($AJ270=10,$AJ270=11,$AJ270=18),"①病院一般",IF($AJ270=41,"②病院短期","対象外")),IF($AH270=5,IF($AJ270=30,"③特定消防","対象外"),IF(OR($AJ270=10,$AJ270=11,$AJ270=74),"④一般",IF(OR($AJ270=41,$AJ270=47),"⑤短期","対象外"))))))</f>
        <v>④一般</v>
      </c>
    </row>
    <row r="271">
      <c r="A271" t="n" s="2909">
        <v>21</v>
      </c>
      <c r="AA271" t="n" s="2909">
        <v>21</v>
      </c>
      <c r="AB271" t="inlineStr" s="2909">
        <is>
          <t>20040401</t>
        </is>
      </c>
      <c r="AD271" t="n" s="2909">
        <v>11</v>
      </c>
      <c r="AE271" t="inlineStr" s="2909">
        <is>
          <t>20250401</t>
        </is>
      </c>
      <c r="AH271" t="n" s="2909">
        <v>1</v>
      </c>
      <c r="AJ271" t="n" s="2909">
        <v>10</v>
      </c>
      <c r="AP271" t="n" s="2909">
        <v>620000</v>
      </c>
      <c r="DB271" s="2909" t="str">
        <f>IF($A271="","",IF($AE271&amp;""&lt;&gt;'DB_設定'!$C$4,"対象外",IF($AH271=20,IF(OR($AJ271=10,$AJ271=11,$AJ271=18),"①病院一般",IF($AJ271=41,"②病院短期","対象外")),IF($AH271=5,IF($AJ271=30,"③特定消防","対象外"),IF(OR($AJ271=10,$AJ271=11,$AJ271=74),"④一般",IF(OR($AJ271=41,$AJ271=47),"⑤短期","対象外"))))))</f>
        <v>④一般</v>
      </c>
    </row>
    <row r="272">
      <c r="A272" t="n" s="2909">
        <v>21</v>
      </c>
      <c r="AA272" t="n" s="2909">
        <v>21</v>
      </c>
      <c r="AB272" t="inlineStr" s="2909">
        <is>
          <t>20040901</t>
        </is>
      </c>
      <c r="AD272" t="n" s="2909">
        <v>12</v>
      </c>
      <c r="AE272" t="inlineStr" s="2909">
        <is>
          <t>20250401</t>
        </is>
      </c>
      <c r="AH272" t="n" s="2909">
        <v>20</v>
      </c>
      <c r="AJ272" t="n" s="2909">
        <v>10</v>
      </c>
      <c r="AP272" t="n" s="2909">
        <v>1030000</v>
      </c>
      <c r="DB272" s="2909" t="str">
        <f>IF($A272="","",IF($AE272&amp;""&lt;&gt;'DB_設定'!$C$4,"対象外",IF($AH272=20,IF(OR($AJ272=10,$AJ272=11,$AJ272=18),"①病院一般",IF($AJ272=41,"②病院短期","対象外")),IF($AH272=5,IF($AJ272=30,"③特定消防","対象外"),IF(OR($AJ272=10,$AJ272=11,$AJ272=74),"④一般",IF(OR($AJ272=41,$AJ272=47),"⑤短期","対象外"))))))</f>
        <v>①病院一般</v>
      </c>
    </row>
    <row r="273">
      <c r="A273" t="n" s="2909">
        <v>21</v>
      </c>
      <c r="AA273" t="n" s="2909">
        <v>21</v>
      </c>
      <c r="AB273" t="inlineStr" s="2909">
        <is>
          <t>20190401</t>
        </is>
      </c>
      <c r="AD273" t="n" s="2909">
        <v>12</v>
      </c>
      <c r="AE273" t="inlineStr" s="2909">
        <is>
          <t>20250401</t>
        </is>
      </c>
      <c r="AH273" t="n" s="2909">
        <v>11</v>
      </c>
      <c r="AJ273" t="n" s="2909">
        <v>10</v>
      </c>
      <c r="AP273" t="n" s="2909">
        <v>530000</v>
      </c>
      <c r="DB273" s="2909" t="str">
        <f>IF($A273="","",IF($AE273&amp;""&lt;&gt;'DB_設定'!$C$4,"対象外",IF($AH273=20,IF(OR($AJ273=10,$AJ273=11,$AJ273=18),"①病院一般",IF($AJ273=41,"②病院短期","対象外")),IF($AH273=5,IF($AJ273=30,"③特定消防","対象外"),IF(OR($AJ273=10,$AJ273=11,$AJ273=74),"④一般",IF(OR($AJ273=41,$AJ273=47),"⑤短期","対象外"))))))</f>
        <v>④一般</v>
      </c>
    </row>
    <row r="274">
      <c r="A274" t="n" s="2909">
        <v>21</v>
      </c>
      <c r="AA274" t="n" s="2909">
        <v>21</v>
      </c>
      <c r="AB274" t="inlineStr" s="2909">
        <is>
          <t>20050425</t>
        </is>
      </c>
      <c r="AD274" t="n" s="2909">
        <v>12</v>
      </c>
      <c r="AE274" t="inlineStr" s="2909">
        <is>
          <t>20250401</t>
        </is>
      </c>
      <c r="AH274" t="n" s="2909">
        <v>1</v>
      </c>
      <c r="AJ274" t="n" s="2909">
        <v>10</v>
      </c>
      <c r="AP274" t="n" s="2909">
        <v>500000</v>
      </c>
      <c r="DB274" s="2909" t="str">
        <f>IF($A274="","",IF($AE274&amp;""&lt;&gt;'DB_設定'!$C$4,"対象外",IF($AH274=20,IF(OR($AJ274=10,$AJ274=11,$AJ274=18),"①病院一般",IF($AJ274=41,"②病院短期","対象外")),IF($AH274=5,IF($AJ274=30,"③特定消防","対象外"),IF(OR($AJ274=10,$AJ274=11,$AJ274=74),"④一般",IF(OR($AJ274=41,$AJ274=47),"⑤短期","対象外"))))))</f>
        <v>④一般</v>
      </c>
    </row>
    <row r="275">
      <c r="A275" t="n" s="2909">
        <v>21</v>
      </c>
      <c r="AA275" t="n" s="2909">
        <v>21</v>
      </c>
      <c r="AB275" t="inlineStr" s="2909">
        <is>
          <t>20050425</t>
        </is>
      </c>
      <c r="AD275" t="n" s="2909">
        <v>11</v>
      </c>
      <c r="AE275" t="inlineStr" s="2909">
        <is>
          <t>20250401</t>
        </is>
      </c>
      <c r="AH275" t="n" s="2909">
        <v>1</v>
      </c>
      <c r="AJ275" t="n" s="2909">
        <v>10</v>
      </c>
      <c r="AP275" t="n" s="2909">
        <v>340000</v>
      </c>
      <c r="DB275" s="2909" t="str">
        <f>IF($A275="","",IF($AE275&amp;""&lt;&gt;'DB_設定'!$C$4,"対象外",IF($AH275=20,IF(OR($AJ275=10,$AJ275=11,$AJ275=18),"①病院一般",IF($AJ275=41,"②病院短期","対象外")),IF($AH275=5,IF($AJ275=30,"③特定消防","対象外"),IF(OR($AJ275=10,$AJ275=11,$AJ275=74),"④一般",IF(OR($AJ275=41,$AJ275=47),"⑤短期","対象外"))))))</f>
        <v>④一般</v>
      </c>
    </row>
    <row r="276">
      <c r="A276" t="n" s="2909">
        <v>21</v>
      </c>
      <c r="AA276" t="n" s="2909">
        <v>21</v>
      </c>
      <c r="AB276" t="inlineStr" s="2909">
        <is>
          <t>20050425</t>
        </is>
      </c>
      <c r="AD276" t="n" s="2909">
        <v>11</v>
      </c>
      <c r="AE276" t="inlineStr" s="2909">
        <is>
          <t>20250401</t>
        </is>
      </c>
      <c r="AH276" t="n" s="2909">
        <v>1</v>
      </c>
      <c r="AJ276" t="n" s="2909">
        <v>10</v>
      </c>
      <c r="AP276" t="n" s="2909">
        <v>410000</v>
      </c>
      <c r="DB276" s="2909" t="str">
        <f>IF($A276="","",IF($AE276&amp;""&lt;&gt;'DB_設定'!$C$4,"対象外",IF($AH276=20,IF(OR($AJ276=10,$AJ276=11,$AJ276=18),"①病院一般",IF($AJ276=41,"②病院短期","対象外")),IF($AH276=5,IF($AJ276=30,"③特定消防","対象外"),IF(OR($AJ276=10,$AJ276=11,$AJ276=74),"④一般",IF(OR($AJ276=41,$AJ276=47),"⑤短期","対象外"))))))</f>
        <v>④一般</v>
      </c>
    </row>
    <row r="277">
      <c r="A277" t="n" s="2909">
        <v>21</v>
      </c>
      <c r="AA277" t="n" s="2909">
        <v>21</v>
      </c>
      <c r="AB277" t="inlineStr" s="2909">
        <is>
          <t>20050401</t>
        </is>
      </c>
      <c r="AD277" t="n" s="2909">
        <v>12</v>
      </c>
      <c r="AE277" t="inlineStr" s="2909">
        <is>
          <t>20250601</t>
        </is>
      </c>
      <c r="AH277" t="n" s="2909">
        <v>1</v>
      </c>
      <c r="AJ277" t="n" s="2909">
        <v>10</v>
      </c>
      <c r="AP277" t="n" s="2909">
        <v>440000</v>
      </c>
      <c r="DB277" s="2909" t="str">
        <f>IF($A277="","",IF($AE277&amp;""&lt;&gt;'DB_設定'!$C$4,"対象外",IF($AH277=20,IF(OR($AJ277=10,$AJ277=11,$AJ277=18),"①病院一般",IF($AJ277=41,"②病院短期","対象外")),IF($AH277=5,IF($AJ277=30,"③特定消防","対象外"),IF(OR($AJ277=10,$AJ277=11,$AJ277=74),"④一般",IF(OR($AJ277=41,$AJ277=47),"⑤短期","対象外"))))))</f>
        <v>対象外</v>
      </c>
    </row>
    <row r="278">
      <c r="A278" t="n" s="2909">
        <v>21</v>
      </c>
      <c r="AA278" t="n" s="2909">
        <v>24</v>
      </c>
      <c r="AB278" t="inlineStr" s="2909">
        <is>
          <t>20170401</t>
        </is>
      </c>
      <c r="AD278" t="n" s="2909">
        <v>12</v>
      </c>
      <c r="AE278" t="inlineStr" s="2909">
        <is>
          <t>20250401</t>
        </is>
      </c>
      <c r="AH278" t="n" s="2909">
        <v>20</v>
      </c>
      <c r="AJ278" t="n" s="2909">
        <v>10</v>
      </c>
      <c r="AP278" t="n" s="2909">
        <v>260000</v>
      </c>
      <c r="DB278" s="2909" t="str">
        <f>IF($A278="","",IF($AE278&amp;""&lt;&gt;'DB_設定'!$C$4,"対象外",IF($AH278=20,IF(OR($AJ278=10,$AJ278=11,$AJ278=18),"①病院一般",IF($AJ278=41,"②病院短期","対象外")),IF($AH278=5,IF($AJ278=30,"③特定消防","対象外"),IF(OR($AJ278=10,$AJ278=11,$AJ278=74),"④一般",IF(OR($AJ278=41,$AJ278=47),"⑤短期","対象外"))))))</f>
        <v>①病院一般</v>
      </c>
    </row>
    <row r="279">
      <c r="A279" t="n" s="2909">
        <v>21</v>
      </c>
      <c r="AA279" t="n" s="2909">
        <v>21</v>
      </c>
      <c r="AB279" t="inlineStr" s="2909">
        <is>
          <t>20060401</t>
        </is>
      </c>
      <c r="AD279" t="n" s="2909">
        <v>12</v>
      </c>
      <c r="AE279" t="inlineStr" s="2909">
        <is>
          <t>20250401</t>
        </is>
      </c>
      <c r="AH279" t="n" s="2909">
        <v>1</v>
      </c>
      <c r="AJ279" t="n" s="2909">
        <v>10</v>
      </c>
      <c r="AP279" t="n" s="2909">
        <v>220000</v>
      </c>
      <c r="DB279" s="2909" t="str">
        <f>IF($A279="","",IF($AE279&amp;""&lt;&gt;'DB_設定'!$C$4,"対象外",IF($AH279=20,IF(OR($AJ279=10,$AJ279=11,$AJ279=18),"①病院一般",IF($AJ279=41,"②病院短期","対象外")),IF($AH279=5,IF($AJ279=30,"③特定消防","対象外"),IF(OR($AJ279=10,$AJ279=11,$AJ279=74),"④一般",IF(OR($AJ279=41,$AJ279=47),"⑤短期","対象外"))))))</f>
        <v>④一般</v>
      </c>
    </row>
    <row r="280">
      <c r="A280" t="n" s="2909">
        <v>21</v>
      </c>
      <c r="AA280" t="n" s="2909">
        <v>21</v>
      </c>
      <c r="AB280" t="inlineStr" s="2909">
        <is>
          <t>20060501</t>
        </is>
      </c>
      <c r="AD280" t="n" s="2909">
        <v>12</v>
      </c>
      <c r="AE280" t="inlineStr" s="2909">
        <is>
          <t>20250401</t>
        </is>
      </c>
      <c r="AH280" t="n" s="2909">
        <v>20</v>
      </c>
      <c r="AJ280" t="n" s="2909">
        <v>10</v>
      </c>
      <c r="AP280" t="n" s="2909">
        <v>410000</v>
      </c>
      <c r="DB280" s="2909" t="str">
        <f>IF($A280="","",IF($AE280&amp;""&lt;&gt;'DB_設定'!$C$4,"対象外",IF($AH280=20,IF(OR($AJ280=10,$AJ280=11,$AJ280=18),"①病院一般",IF($AJ280=41,"②病院短期","対象外")),IF($AH280=5,IF($AJ280=30,"③特定消防","対象外"),IF(OR($AJ280=10,$AJ280=11,$AJ280=74),"④一般",IF(OR($AJ280=41,$AJ280=47),"⑤短期","対象外"))))))</f>
        <v>①病院一般</v>
      </c>
    </row>
    <row r="281">
      <c r="A281" t="n" s="2909">
        <v>21</v>
      </c>
      <c r="AA281" t="n" s="2909">
        <v>21</v>
      </c>
      <c r="AB281" t="inlineStr" s="2909">
        <is>
          <t>20060701</t>
        </is>
      </c>
      <c r="AD281" t="n" s="2909">
        <v>12</v>
      </c>
      <c r="AE281" t="inlineStr" s="2909">
        <is>
          <t>20250401</t>
        </is>
      </c>
      <c r="AH281" t="n" s="2909">
        <v>32</v>
      </c>
      <c r="AJ281" t="n" s="2909">
        <v>74</v>
      </c>
      <c r="AP281" t="n" s="2909">
        <v>980000</v>
      </c>
      <c r="DB281" s="2909" t="str">
        <f>IF($A281="","",IF($AE281&amp;""&lt;&gt;'DB_設定'!$C$4,"対象外",IF($AH281=20,IF(OR($AJ281=10,$AJ281=11,$AJ281=18),"①病院一般",IF($AJ281=41,"②病院短期","対象外")),IF($AH281=5,IF($AJ281=30,"③特定消防","対象外"),IF(OR($AJ281=10,$AJ281=11,$AJ281=74),"④一般",IF(OR($AJ281=41,$AJ281=47),"⑤短期","対象外"))))))</f>
        <v>④一般</v>
      </c>
    </row>
    <row r="282">
      <c r="A282" t="n" s="2909">
        <v>21</v>
      </c>
      <c r="AA282" t="n" s="2909">
        <v>21</v>
      </c>
      <c r="AB282" t="inlineStr" s="2909">
        <is>
          <t>20070401</t>
        </is>
      </c>
      <c r="AD282" t="n" s="2909">
        <v>12</v>
      </c>
      <c r="AE282" t="inlineStr" s="2909">
        <is>
          <t>20250401</t>
        </is>
      </c>
      <c r="AH282" t="n" s="2909">
        <v>1</v>
      </c>
      <c r="AJ282" t="n" s="2909">
        <v>10</v>
      </c>
      <c r="AP282" t="n" s="2909">
        <v>530000</v>
      </c>
      <c r="DB282" s="2909" t="str">
        <f>IF($A282="","",IF($AE282&amp;""&lt;&gt;'DB_設定'!$C$4,"対象外",IF($AH282=20,IF(OR($AJ282=10,$AJ282=11,$AJ282=18),"①病院一般",IF($AJ282=41,"②病院短期","対象外")),IF($AH282=5,IF($AJ282=30,"③特定消防","対象外"),IF(OR($AJ282=10,$AJ282=11,$AJ282=74),"④一般",IF(OR($AJ282=41,$AJ282=47),"⑤短期","対象外"))))))</f>
        <v>④一般</v>
      </c>
    </row>
    <row r="283">
      <c r="A283" t="n" s="2909">
        <v>21</v>
      </c>
      <c r="AA283" t="n" s="2909">
        <v>21</v>
      </c>
      <c r="AB283" t="inlineStr" s="2909">
        <is>
          <t>20070401</t>
        </is>
      </c>
      <c r="AD283" t="n" s="2909">
        <v>12</v>
      </c>
      <c r="AE283" t="inlineStr" s="2909">
        <is>
          <t>20250901</t>
        </is>
      </c>
      <c r="AH283" t="n" s="2909">
        <v>1</v>
      </c>
      <c r="AJ283" t="n" s="2909">
        <v>10</v>
      </c>
      <c r="AP283" t="n" s="2909">
        <v>220000</v>
      </c>
      <c r="DB283" s="2909" t="str">
        <f>IF($A283="","",IF($AE283&amp;""&lt;&gt;'DB_設定'!$C$4,"対象外",IF($AH283=20,IF(OR($AJ283=10,$AJ283=11,$AJ283=18),"①病院一般",IF($AJ283=41,"②病院短期","対象外")),IF($AH283=5,IF($AJ283=30,"③特定消防","対象外"),IF(OR($AJ283=10,$AJ283=11,$AJ283=74),"④一般",IF(OR($AJ283=41,$AJ283=47),"⑤短期","対象外"))))))</f>
        <v>対象外</v>
      </c>
    </row>
    <row r="284">
      <c r="A284" t="n" s="2909">
        <v>21</v>
      </c>
      <c r="AA284" t="n" s="2909">
        <v>21</v>
      </c>
      <c r="AB284" t="inlineStr" s="2909">
        <is>
          <t>20070401</t>
        </is>
      </c>
      <c r="AD284" t="n" s="2909">
        <v>12</v>
      </c>
      <c r="AE284" t="inlineStr" s="2909">
        <is>
          <t>20250515</t>
        </is>
      </c>
      <c r="AH284" t="n" s="2909">
        <v>20</v>
      </c>
      <c r="AJ284" t="n" s="2909">
        <v>10</v>
      </c>
      <c r="AP284" t="n" s="2909">
        <v>300000</v>
      </c>
      <c r="DB284" s="2909" t="str">
        <f>IF($A284="","",IF($AE284&amp;""&lt;&gt;'DB_設定'!$C$4,"対象外",IF($AH284=20,IF(OR($AJ284=10,$AJ284=11,$AJ284=18),"①病院一般",IF($AJ284=41,"②病院短期","対象外")),IF($AH284=5,IF($AJ284=30,"③特定消防","対象外"),IF(OR($AJ284=10,$AJ284=11,$AJ284=74),"④一般",IF(OR($AJ284=41,$AJ284=47),"⑤短期","対象外"))))))</f>
        <v>対象外</v>
      </c>
    </row>
    <row r="285">
      <c r="A285" t="n" s="2909">
        <v>21</v>
      </c>
      <c r="AA285" t="n" s="2909">
        <v>21</v>
      </c>
      <c r="AB285" t="inlineStr" s="2909">
        <is>
          <t>20080401</t>
        </is>
      </c>
      <c r="AD285" t="n" s="2909">
        <v>12</v>
      </c>
      <c r="AE285" t="inlineStr" s="2909">
        <is>
          <t>20250401</t>
        </is>
      </c>
      <c r="AH285" t="n" s="2909">
        <v>1</v>
      </c>
      <c r="AJ285" t="n" s="2909">
        <v>10</v>
      </c>
      <c r="AP285" t="n" s="2909">
        <v>360000</v>
      </c>
      <c r="DB285" s="2909" t="str">
        <f>IF($A285="","",IF($AE285&amp;""&lt;&gt;'DB_設定'!$C$4,"対象外",IF($AH285=20,IF(OR($AJ285=10,$AJ285=11,$AJ285=18),"①病院一般",IF($AJ285=41,"②病院短期","対象外")),IF($AH285=5,IF($AJ285=30,"③特定消防","対象外"),IF(OR($AJ285=10,$AJ285=11,$AJ285=74),"④一般",IF(OR($AJ285=41,$AJ285=47),"⑤短期","対象外"))))))</f>
        <v>④一般</v>
      </c>
    </row>
    <row r="286">
      <c r="A286" t="n" s="2909">
        <v>21</v>
      </c>
      <c r="AA286" t="n" s="2909">
        <v>21</v>
      </c>
      <c r="AB286" t="inlineStr" s="2909">
        <is>
          <t>20080401</t>
        </is>
      </c>
      <c r="AD286" t="n" s="2909">
        <v>12</v>
      </c>
      <c r="AE286" t="inlineStr" s="2909">
        <is>
          <t>20250401</t>
        </is>
      </c>
      <c r="AH286" t="n" s="2909">
        <v>1</v>
      </c>
      <c r="AJ286" t="n" s="2909">
        <v>10</v>
      </c>
      <c r="AP286" t="n" s="2909">
        <v>240000</v>
      </c>
      <c r="DB286" s="2909" t="str">
        <f>IF($A286="","",IF($AE286&amp;""&lt;&gt;'DB_設定'!$C$4,"対象外",IF($AH286=20,IF(OR($AJ286=10,$AJ286=11,$AJ286=18),"①病院一般",IF($AJ286=41,"②病院短期","対象外")),IF($AH286=5,IF($AJ286=30,"③特定消防","対象外"),IF(OR($AJ286=10,$AJ286=11,$AJ286=74),"④一般",IF(OR($AJ286=41,$AJ286=47),"⑤短期","対象外"))))))</f>
        <v>④一般</v>
      </c>
    </row>
    <row r="287">
      <c r="A287" t="n" s="2909">
        <v>21</v>
      </c>
      <c r="AA287" t="n" s="2909">
        <v>21</v>
      </c>
      <c r="AB287" t="inlineStr" s="2909">
        <is>
          <t>20210401</t>
        </is>
      </c>
      <c r="AD287" t="n" s="2909">
        <v>12</v>
      </c>
      <c r="AE287" t="inlineStr" s="2909">
        <is>
          <t>20250401</t>
        </is>
      </c>
      <c r="AH287" t="n" s="2909">
        <v>11</v>
      </c>
      <c r="AJ287" t="n" s="2909">
        <v>10</v>
      </c>
      <c r="AP287" t="n" s="2909">
        <v>620000</v>
      </c>
      <c r="DB287" s="2909" t="str">
        <f>IF($A287="","",IF($AE287&amp;""&lt;&gt;'DB_設定'!$C$4,"対象外",IF($AH287=20,IF(OR($AJ287=10,$AJ287=11,$AJ287=18),"①病院一般",IF($AJ287=41,"②病院短期","対象外")),IF($AH287=5,IF($AJ287=30,"③特定消防","対象外"),IF(OR($AJ287=10,$AJ287=11,$AJ287=74),"④一般",IF(OR($AJ287=41,$AJ287=47),"⑤短期","対象外"))))))</f>
        <v>④一般</v>
      </c>
    </row>
    <row r="288">
      <c r="A288" t="n" s="2909">
        <v>21</v>
      </c>
      <c r="AA288" t="n" s="2909">
        <v>21</v>
      </c>
      <c r="AB288" t="inlineStr" s="2909">
        <is>
          <t>20090401</t>
        </is>
      </c>
      <c r="AD288" t="n" s="2909">
        <v>12</v>
      </c>
      <c r="AE288" t="inlineStr" s="2909">
        <is>
          <t>20250701</t>
        </is>
      </c>
      <c r="AH288" t="n" s="2909">
        <v>1</v>
      </c>
      <c r="AJ288" t="n" s="2909">
        <v>10</v>
      </c>
      <c r="AP288" t="n" s="2909">
        <v>500000</v>
      </c>
      <c r="DB288" s="2909" t="str">
        <f>IF($A288="","",IF($AE288&amp;""&lt;&gt;'DB_設定'!$C$4,"対象外",IF($AH288=20,IF(OR($AJ288=10,$AJ288=11,$AJ288=18),"①病院一般",IF($AJ288=41,"②病院短期","対象外")),IF($AH288=5,IF($AJ288=30,"③特定消防","対象外"),IF(OR($AJ288=10,$AJ288=11,$AJ288=74),"④一般",IF(OR($AJ288=41,$AJ288=47),"⑤短期","対象外"))))))</f>
        <v>対象外</v>
      </c>
    </row>
    <row r="289">
      <c r="A289" t="n" s="2909">
        <v>21</v>
      </c>
      <c r="AA289" t="n" s="2909">
        <v>21</v>
      </c>
      <c r="AB289" t="inlineStr" s="2909">
        <is>
          <t>20090401</t>
        </is>
      </c>
      <c r="AD289" t="n" s="2909">
        <v>12</v>
      </c>
      <c r="AE289" t="inlineStr" s="2909">
        <is>
          <t>20250401</t>
        </is>
      </c>
      <c r="AH289" t="n" s="2909">
        <v>20</v>
      </c>
      <c r="AJ289" t="n" s="2909">
        <v>10</v>
      </c>
      <c r="AP289" t="n" s="2909">
        <v>360000</v>
      </c>
      <c r="DB289" s="2909" t="str">
        <f>IF($A289="","",IF($AE289&amp;""&lt;&gt;'DB_設定'!$C$4,"対象外",IF($AH289=20,IF(OR($AJ289=10,$AJ289=11,$AJ289=18),"①病院一般",IF($AJ289=41,"②病院短期","対象外")),IF($AH289=5,IF($AJ289=30,"③特定消防","対象外"),IF(OR($AJ289=10,$AJ289=11,$AJ289=74),"④一般",IF(OR($AJ289=41,$AJ289=47),"⑤短期","対象外"))))))</f>
        <v>①病院一般</v>
      </c>
    </row>
    <row r="290">
      <c r="A290" t="n" s="2909">
        <v>21</v>
      </c>
      <c r="AA290" t="n" s="2909">
        <v>21</v>
      </c>
      <c r="AB290" t="inlineStr" s="2909">
        <is>
          <t>20090401</t>
        </is>
      </c>
      <c r="AD290" t="n" s="2909">
        <v>12</v>
      </c>
      <c r="AE290" t="inlineStr" s="2909">
        <is>
          <t>20250401</t>
        </is>
      </c>
      <c r="AH290" t="n" s="2909">
        <v>1</v>
      </c>
      <c r="AJ290" t="n" s="2909">
        <v>10</v>
      </c>
      <c r="AP290" t="n" s="2909">
        <v>500000</v>
      </c>
      <c r="DB290" s="2909" t="str">
        <f>IF($A290="","",IF($AE290&amp;""&lt;&gt;'DB_設定'!$C$4,"対象外",IF($AH290=20,IF(OR($AJ290=10,$AJ290=11,$AJ290=18),"①病院一般",IF($AJ290=41,"②病院短期","対象外")),IF($AH290=5,IF($AJ290=30,"③特定消防","対象外"),IF(OR($AJ290=10,$AJ290=11,$AJ290=74),"④一般",IF(OR($AJ290=41,$AJ290=47),"⑤短期","対象外"))))))</f>
        <v>④一般</v>
      </c>
    </row>
    <row r="291">
      <c r="A291" t="n" s="2909">
        <v>21</v>
      </c>
      <c r="AA291" t="n" s="2909">
        <v>21</v>
      </c>
      <c r="AB291" t="inlineStr" s="2909">
        <is>
          <t>20090401</t>
        </is>
      </c>
      <c r="AD291" t="n" s="2909">
        <v>12</v>
      </c>
      <c r="AE291" t="inlineStr" s="2909">
        <is>
          <t>20251003</t>
        </is>
      </c>
      <c r="AH291" t="n" s="2909">
        <v>1</v>
      </c>
      <c r="AJ291" t="n" s="2909">
        <v>10</v>
      </c>
      <c r="AP291" t="n" s="2909">
        <v>190000</v>
      </c>
      <c r="DB291" s="2909" t="str">
        <f>IF($A291="","",IF($AE291&amp;""&lt;&gt;'DB_設定'!$C$4,"対象外",IF($AH291=20,IF(OR($AJ291=10,$AJ291=11,$AJ291=18),"①病院一般",IF($AJ291=41,"②病院短期","対象外")),IF($AH291=5,IF($AJ291=30,"③特定消防","対象外"),IF(OR($AJ291=10,$AJ291=11,$AJ291=74),"④一般",IF(OR($AJ291=41,$AJ291=47),"⑤短期","対象外"))))))</f>
        <v>対象外</v>
      </c>
    </row>
    <row r="292">
      <c r="A292" t="n" s="2909">
        <v>21</v>
      </c>
      <c r="AA292" t="n" s="2909">
        <v>21</v>
      </c>
      <c r="AB292" t="inlineStr" s="2909">
        <is>
          <t>20090401</t>
        </is>
      </c>
      <c r="AD292" t="n" s="2909">
        <v>12</v>
      </c>
      <c r="AE292" t="inlineStr" s="2909">
        <is>
          <t>20250401</t>
        </is>
      </c>
      <c r="AH292" t="n" s="2909">
        <v>1</v>
      </c>
      <c r="AJ292" t="n" s="2909">
        <v>10</v>
      </c>
      <c r="AP292" t="n" s="2909">
        <v>380000</v>
      </c>
      <c r="DB292" s="2909" t="str">
        <f>IF($A292="","",IF($AE292&amp;""&lt;&gt;'DB_設定'!$C$4,"対象外",IF($AH292=20,IF(OR($AJ292=10,$AJ292=11,$AJ292=18),"①病院一般",IF($AJ292=41,"②病院短期","対象外")),IF($AH292=5,IF($AJ292=30,"③特定消防","対象外"),IF(OR($AJ292=10,$AJ292=11,$AJ292=74),"④一般",IF(OR($AJ292=41,$AJ292=47),"⑤短期","対象外"))))))</f>
        <v>④一般</v>
      </c>
    </row>
    <row r="293">
      <c r="A293" t="n" s="2909">
        <v>21</v>
      </c>
      <c r="AA293" t="n" s="2909">
        <v>21</v>
      </c>
      <c r="AB293" t="inlineStr" s="2909">
        <is>
          <t>20090401</t>
        </is>
      </c>
      <c r="AD293" t="n" s="2909">
        <v>12</v>
      </c>
      <c r="AE293" t="inlineStr" s="2909">
        <is>
          <t>20250401</t>
        </is>
      </c>
      <c r="AH293" t="n" s="2909">
        <v>1</v>
      </c>
      <c r="AJ293" t="n" s="2909">
        <v>10</v>
      </c>
      <c r="AP293" t="n" s="2909">
        <v>410000</v>
      </c>
      <c r="DB293" s="2909" t="str">
        <f>IF($A293="","",IF($AE293&amp;""&lt;&gt;'DB_設定'!$C$4,"対象外",IF($AH293=20,IF(OR($AJ293=10,$AJ293=11,$AJ293=18),"①病院一般",IF($AJ293=41,"②病院短期","対象外")),IF($AH293=5,IF($AJ293=30,"③特定消防","対象外"),IF(OR($AJ293=10,$AJ293=11,$AJ293=74),"④一般",IF(OR($AJ293=41,$AJ293=47),"⑤短期","対象外"))))))</f>
        <v>④一般</v>
      </c>
    </row>
    <row r="294">
      <c r="A294" t="n" s="2909">
        <v>21</v>
      </c>
      <c r="AA294" t="n" s="2909">
        <v>21</v>
      </c>
      <c r="AB294" t="inlineStr" s="2909">
        <is>
          <t>20090401</t>
        </is>
      </c>
      <c r="AD294" t="n" s="2909">
        <v>12</v>
      </c>
      <c r="AE294" t="inlineStr" s="2909">
        <is>
          <t>20250401</t>
        </is>
      </c>
      <c r="AH294" t="n" s="2909">
        <v>1</v>
      </c>
      <c r="AJ294" t="n" s="2909">
        <v>10</v>
      </c>
      <c r="AP294" t="n" s="2909">
        <v>380000</v>
      </c>
      <c r="DB294" s="2909" t="str">
        <f>IF($A294="","",IF($AE294&amp;""&lt;&gt;'DB_設定'!$C$4,"対象外",IF($AH294=20,IF(OR($AJ294=10,$AJ294=11,$AJ294=18),"①病院一般",IF($AJ294=41,"②病院短期","対象外")),IF($AH294=5,IF($AJ294=30,"③特定消防","対象外"),IF(OR($AJ294=10,$AJ294=11,$AJ294=74),"④一般",IF(OR($AJ294=41,$AJ294=47),"⑤短期","対象外"))))))</f>
        <v>④一般</v>
      </c>
    </row>
    <row r="295">
      <c r="A295" t="n" s="2909">
        <v>21</v>
      </c>
      <c r="AA295" t="n" s="2909">
        <v>21</v>
      </c>
      <c r="AB295" t="inlineStr" s="2909">
        <is>
          <t>20090401</t>
        </is>
      </c>
      <c r="AD295" t="n" s="2909">
        <v>12</v>
      </c>
      <c r="AE295" t="inlineStr" s="2909">
        <is>
          <t>20250401</t>
        </is>
      </c>
      <c r="AH295" t="n" s="2909">
        <v>1</v>
      </c>
      <c r="AJ295" t="n" s="2909">
        <v>10</v>
      </c>
      <c r="AP295" t="n" s="2909">
        <v>410000</v>
      </c>
      <c r="DB295" s="2909" t="str">
        <f>IF($A295="","",IF($AE295&amp;""&lt;&gt;'DB_設定'!$C$4,"対象外",IF($AH295=20,IF(OR($AJ295=10,$AJ295=11,$AJ295=18),"①病院一般",IF($AJ295=41,"②病院短期","対象外")),IF($AH295=5,IF($AJ295=30,"③特定消防","対象外"),IF(OR($AJ295=10,$AJ295=11,$AJ295=74),"④一般",IF(OR($AJ295=41,$AJ295=47),"⑤短期","対象外"))))))</f>
        <v>④一般</v>
      </c>
    </row>
    <row r="296">
      <c r="A296" t="n" s="2909">
        <v>21</v>
      </c>
      <c r="AA296" t="n" s="2909">
        <v>21</v>
      </c>
      <c r="AB296" t="inlineStr" s="2909">
        <is>
          <t>20090401</t>
        </is>
      </c>
      <c r="AD296" t="n" s="2909">
        <v>12</v>
      </c>
      <c r="AE296" t="inlineStr" s="2909">
        <is>
          <t>20250401</t>
        </is>
      </c>
      <c r="AH296" t="n" s="2909">
        <v>1</v>
      </c>
      <c r="AJ296" t="n" s="2909">
        <v>10</v>
      </c>
      <c r="AP296" t="n" s="2909">
        <v>220000</v>
      </c>
      <c r="DB296" s="2909" t="str">
        <f>IF($A296="","",IF($AE296&amp;""&lt;&gt;'DB_設定'!$C$4,"対象外",IF($AH296=20,IF(OR($AJ296=10,$AJ296=11,$AJ296=18),"①病院一般",IF($AJ296=41,"②病院短期","対象外")),IF($AH296=5,IF($AJ296=30,"③特定消防","対象外"),IF(OR($AJ296=10,$AJ296=11,$AJ296=74),"④一般",IF(OR($AJ296=41,$AJ296=47),"⑤短期","対象外"))))))</f>
        <v>④一般</v>
      </c>
    </row>
    <row r="297">
      <c r="A297" t="n" s="2909">
        <v>21</v>
      </c>
      <c r="AA297" t="n" s="2909">
        <v>21</v>
      </c>
      <c r="AB297" t="inlineStr" s="2909">
        <is>
          <t>20090401</t>
        </is>
      </c>
      <c r="AD297" t="n" s="2909">
        <v>12</v>
      </c>
      <c r="AE297" t="inlineStr" s="2909">
        <is>
          <t>20250401</t>
        </is>
      </c>
      <c r="AH297" t="n" s="2909">
        <v>1</v>
      </c>
      <c r="AJ297" t="n" s="2909">
        <v>10</v>
      </c>
      <c r="AP297" t="n" s="2909">
        <v>440000</v>
      </c>
      <c r="DB297" s="2909" t="str">
        <f>IF($A297="","",IF($AE297&amp;""&lt;&gt;'DB_設定'!$C$4,"対象外",IF($AH297=20,IF(OR($AJ297=10,$AJ297=11,$AJ297=18),"①病院一般",IF($AJ297=41,"②病院短期","対象外")),IF($AH297=5,IF($AJ297=30,"③特定消防","対象外"),IF(OR($AJ297=10,$AJ297=11,$AJ297=74),"④一般",IF(OR($AJ297=41,$AJ297=47),"⑤短期","対象外"))))))</f>
        <v>④一般</v>
      </c>
    </row>
    <row r="298">
      <c r="A298" t="n" s="2909">
        <v>21</v>
      </c>
      <c r="AA298" t="n" s="2909">
        <v>21</v>
      </c>
      <c r="AB298" t="inlineStr" s="2909">
        <is>
          <t>20090701</t>
        </is>
      </c>
      <c r="AD298" t="n" s="2909">
        <v>12</v>
      </c>
      <c r="AE298" t="inlineStr" s="2909">
        <is>
          <t>20250401</t>
        </is>
      </c>
      <c r="AH298" t="n" s="2909">
        <v>20</v>
      </c>
      <c r="AJ298" t="n" s="2909">
        <v>10</v>
      </c>
      <c r="AP298" t="n" s="2909">
        <v>360000</v>
      </c>
      <c r="DB298" s="2909" t="str">
        <f>IF($A298="","",IF($AE298&amp;""&lt;&gt;'DB_設定'!$C$4,"対象外",IF($AH298=20,IF(OR($AJ298=10,$AJ298=11,$AJ298=18),"①病院一般",IF($AJ298=41,"②病院短期","対象外")),IF($AH298=5,IF($AJ298=30,"③特定消防","対象外"),IF(OR($AJ298=10,$AJ298=11,$AJ298=74),"④一般",IF(OR($AJ298=41,$AJ298=47),"⑤短期","対象外"))))))</f>
        <v>①病院一般</v>
      </c>
    </row>
    <row r="299">
      <c r="A299" t="n" s="2909">
        <v>21</v>
      </c>
      <c r="AA299" t="n" s="2909">
        <v>21</v>
      </c>
      <c r="AB299" t="inlineStr" s="2909">
        <is>
          <t>20090801</t>
        </is>
      </c>
      <c r="AD299" t="n" s="2909">
        <v>12</v>
      </c>
      <c r="AE299" t="inlineStr" s="2909">
        <is>
          <t>20250401</t>
        </is>
      </c>
      <c r="AH299" t="n" s="2909">
        <v>20</v>
      </c>
      <c r="AJ299" t="n" s="2909">
        <v>10</v>
      </c>
      <c r="AP299" t="n" s="2909">
        <v>410000</v>
      </c>
      <c r="DB299" s="2909" t="str">
        <f>IF($A299="","",IF($AE299&amp;""&lt;&gt;'DB_設定'!$C$4,"対象外",IF($AH299=20,IF(OR($AJ299=10,$AJ299=11,$AJ299=18),"①病院一般",IF($AJ299=41,"②病院短期","対象外")),IF($AH299=5,IF($AJ299=30,"③特定消防","対象外"),IF(OR($AJ299=10,$AJ299=11,$AJ299=74),"④一般",IF(OR($AJ299=41,$AJ299=47),"⑤短期","対象外"))))))</f>
        <v>①病院一般</v>
      </c>
    </row>
    <row r="300">
      <c r="A300" t="n" s="2909">
        <v>21</v>
      </c>
      <c r="AA300" t="n" s="2909">
        <v>21</v>
      </c>
      <c r="AB300" t="inlineStr" s="2909">
        <is>
          <t>20091001</t>
        </is>
      </c>
      <c r="AD300" t="n" s="2909">
        <v>12</v>
      </c>
      <c r="AE300" t="inlineStr" s="2909">
        <is>
          <t>20250401</t>
        </is>
      </c>
      <c r="AH300" t="n" s="2909">
        <v>1</v>
      </c>
      <c r="AJ300" t="n" s="2909">
        <v>10</v>
      </c>
      <c r="AP300" t="n" s="2909">
        <v>410000</v>
      </c>
      <c r="DB300" s="2909" t="str">
        <f>IF($A300="","",IF($AE300&amp;""&lt;&gt;'DB_設定'!$C$4,"対象外",IF($AH300=20,IF(OR($AJ300=10,$AJ300=11,$AJ300=18),"①病院一般",IF($AJ300=41,"②病院短期","対象外")),IF($AH300=5,IF($AJ300=30,"③特定消防","対象外"),IF(OR($AJ300=10,$AJ300=11,$AJ300=74),"④一般",IF(OR($AJ300=41,$AJ300=47),"⑤短期","対象外"))))))</f>
        <v>④一般</v>
      </c>
    </row>
    <row r="301">
      <c r="A301" t="n" s="2909">
        <v>21</v>
      </c>
      <c r="AA301" t="n" s="2909">
        <v>21</v>
      </c>
      <c r="AB301" t="inlineStr" s="2909">
        <is>
          <t>20091201</t>
        </is>
      </c>
      <c r="AD301" t="n" s="2909">
        <v>12</v>
      </c>
      <c r="AE301" t="inlineStr" s="2909">
        <is>
          <t>20250701</t>
        </is>
      </c>
      <c r="AH301" t="n" s="2909">
        <v>20</v>
      </c>
      <c r="AJ301" t="n" s="2909">
        <v>10</v>
      </c>
      <c r="AP301" t="n" s="2909">
        <v>260000</v>
      </c>
      <c r="DB301" s="2909" t="str">
        <f>IF($A301="","",IF($AE301&amp;""&lt;&gt;'DB_設定'!$C$4,"対象外",IF($AH301=20,IF(OR($AJ301=10,$AJ301=11,$AJ301=18),"①病院一般",IF($AJ301=41,"②病院短期","対象外")),IF($AH301=5,IF($AJ301=30,"③特定消防","対象外"),IF(OR($AJ301=10,$AJ301=11,$AJ301=74),"④一般",IF(OR($AJ301=41,$AJ301=47),"⑤短期","対象外"))))))</f>
        <v>対象外</v>
      </c>
    </row>
    <row r="302">
      <c r="A302" t="n" s="2909">
        <v>21</v>
      </c>
      <c r="AA302" t="n" s="2909">
        <v>21</v>
      </c>
      <c r="AB302" t="inlineStr" s="2909">
        <is>
          <t>20100101</t>
        </is>
      </c>
      <c r="AD302" t="n" s="2909">
        <v>12</v>
      </c>
      <c r="AE302" t="inlineStr" s="2909">
        <is>
          <t>20250401</t>
        </is>
      </c>
      <c r="AH302" t="n" s="2909">
        <v>20</v>
      </c>
      <c r="AJ302" t="n" s="2909">
        <v>10</v>
      </c>
      <c r="AP302" t="n" s="2909">
        <v>240000</v>
      </c>
      <c r="DB302" s="2909" t="str">
        <f>IF($A302="","",IF($AE302&amp;""&lt;&gt;'DB_設定'!$C$4,"対象外",IF($AH302=20,IF(OR($AJ302=10,$AJ302=11,$AJ302=18),"①病院一般",IF($AJ302=41,"②病院短期","対象外")),IF($AH302=5,IF($AJ302=30,"③特定消防","対象外"),IF(OR($AJ302=10,$AJ302=11,$AJ302=74),"④一般",IF(OR($AJ302=41,$AJ302=47),"⑤短期","対象外"))))))</f>
        <v>①病院一般</v>
      </c>
    </row>
    <row r="303">
      <c r="A303" t="n" s="2909">
        <v>21</v>
      </c>
      <c r="AA303" t="n" s="2909">
        <v>21</v>
      </c>
      <c r="AB303" t="inlineStr" s="2909">
        <is>
          <t>20100201</t>
        </is>
      </c>
      <c r="AD303" t="n" s="2909">
        <v>12</v>
      </c>
      <c r="AE303" t="inlineStr" s="2909">
        <is>
          <t>20250401</t>
        </is>
      </c>
      <c r="AH303" t="n" s="2909">
        <v>20</v>
      </c>
      <c r="AJ303" t="n" s="2909">
        <v>10</v>
      </c>
      <c r="AP303" t="n" s="2909">
        <v>380000</v>
      </c>
      <c r="DB303" s="2909" t="str">
        <f>IF($A303="","",IF($AE303&amp;""&lt;&gt;'DB_設定'!$C$4,"対象外",IF($AH303=20,IF(OR($AJ303=10,$AJ303=11,$AJ303=18),"①病院一般",IF($AJ303=41,"②病院短期","対象外")),IF($AH303=5,IF($AJ303=30,"③特定消防","対象外"),IF(OR($AJ303=10,$AJ303=11,$AJ303=74),"④一般",IF(OR($AJ303=41,$AJ303=47),"⑤短期","対象外"))))))</f>
        <v>①病院一般</v>
      </c>
    </row>
    <row r="304">
      <c r="A304" t="n" s="2909">
        <v>21</v>
      </c>
      <c r="AA304" t="n" s="2909">
        <v>21</v>
      </c>
      <c r="AB304" t="inlineStr" s="2909">
        <is>
          <t>20100401</t>
        </is>
      </c>
      <c r="AD304" t="n" s="2909">
        <v>12</v>
      </c>
      <c r="AE304" t="inlineStr" s="2909">
        <is>
          <t>20250401</t>
        </is>
      </c>
      <c r="AH304" t="n" s="2909">
        <v>1</v>
      </c>
      <c r="AJ304" t="n" s="2909">
        <v>10</v>
      </c>
      <c r="AP304" t="n" s="2909">
        <v>380000</v>
      </c>
      <c r="DB304" s="2909" t="str">
        <f>IF($A304="","",IF($AE304&amp;""&lt;&gt;'DB_設定'!$C$4,"対象外",IF($AH304=20,IF(OR($AJ304=10,$AJ304=11,$AJ304=18),"①病院一般",IF($AJ304=41,"②病院短期","対象外")),IF($AH304=5,IF($AJ304=30,"③特定消防","対象外"),IF(OR($AJ304=10,$AJ304=11,$AJ304=74),"④一般",IF(OR($AJ304=41,$AJ304=47),"⑤短期","対象外"))))))</f>
        <v>④一般</v>
      </c>
    </row>
    <row r="305">
      <c r="A305" t="n" s="2909">
        <v>21</v>
      </c>
      <c r="AA305" t="n" s="2909">
        <v>21</v>
      </c>
      <c r="AB305" t="inlineStr" s="2909">
        <is>
          <t>20100401</t>
        </is>
      </c>
      <c r="AD305" t="n" s="2909">
        <v>12</v>
      </c>
      <c r="AE305" t="inlineStr" s="2909">
        <is>
          <t>20250401</t>
        </is>
      </c>
      <c r="AH305" t="n" s="2909">
        <v>3</v>
      </c>
      <c r="AJ305" t="n" s="2909">
        <v>10</v>
      </c>
      <c r="AP305" t="n" s="2909">
        <v>320000</v>
      </c>
      <c r="DB305" s="2909" t="str">
        <f>IF($A305="","",IF($AE305&amp;""&lt;&gt;'DB_設定'!$C$4,"対象外",IF($AH305=20,IF(OR($AJ305=10,$AJ305=11,$AJ305=18),"①病院一般",IF($AJ305=41,"②病院短期","対象外")),IF($AH305=5,IF($AJ305=30,"③特定消防","対象外"),IF(OR($AJ305=10,$AJ305=11,$AJ305=74),"④一般",IF(OR($AJ305=41,$AJ305=47),"⑤短期","対象外"))))))</f>
        <v>④一般</v>
      </c>
    </row>
    <row r="306">
      <c r="A306" t="n" s="2909">
        <v>21</v>
      </c>
      <c r="AA306" t="n" s="2909">
        <v>21</v>
      </c>
      <c r="AB306" t="inlineStr" s="2909">
        <is>
          <t>20100401</t>
        </is>
      </c>
      <c r="AD306" t="n" s="2909">
        <v>12</v>
      </c>
      <c r="AE306" t="inlineStr" s="2909">
        <is>
          <t>20250401</t>
        </is>
      </c>
      <c r="AH306" t="n" s="2909">
        <v>20</v>
      </c>
      <c r="AJ306" t="n" s="2909">
        <v>10</v>
      </c>
      <c r="AP306" t="n" s="2909">
        <v>280000</v>
      </c>
      <c r="DB306" s="2909" t="str">
        <f>IF($A306="","",IF($AE306&amp;""&lt;&gt;'DB_設定'!$C$4,"対象外",IF($AH306=20,IF(OR($AJ306=10,$AJ306=11,$AJ306=18),"①病院一般",IF($AJ306=41,"②病院短期","対象外")),IF($AH306=5,IF($AJ306=30,"③特定消防","対象外"),IF(OR($AJ306=10,$AJ306=11,$AJ306=74),"④一般",IF(OR($AJ306=41,$AJ306=47),"⑤短期","対象外"))))))</f>
        <v>①病院一般</v>
      </c>
    </row>
    <row r="307">
      <c r="A307" t="n" s="2909">
        <v>21</v>
      </c>
      <c r="AA307" t="n" s="2909">
        <v>21</v>
      </c>
      <c r="AB307" t="inlineStr" s="2909">
        <is>
          <t>20100401</t>
        </is>
      </c>
      <c r="AD307" t="n" s="2909">
        <v>11</v>
      </c>
      <c r="AE307" t="inlineStr" s="2909">
        <is>
          <t>20250401</t>
        </is>
      </c>
      <c r="AH307" t="n" s="2909">
        <v>47</v>
      </c>
      <c r="AJ307" t="n" s="2909">
        <v>74</v>
      </c>
      <c r="AP307" t="n" s="2909">
        <v>380000</v>
      </c>
      <c r="DB307" s="2909" t="str">
        <f>IF($A307="","",IF($AE307&amp;""&lt;&gt;'DB_設定'!$C$4,"対象外",IF($AH307=20,IF(OR($AJ307=10,$AJ307=11,$AJ307=18),"①病院一般",IF($AJ307=41,"②病院短期","対象外")),IF($AH307=5,IF($AJ307=30,"③特定消防","対象外"),IF(OR($AJ307=10,$AJ307=11,$AJ307=74),"④一般",IF(OR($AJ307=41,$AJ307=47),"⑤短期","対象外"))))))</f>
        <v>④一般</v>
      </c>
    </row>
    <row r="308">
      <c r="A308" t="n" s="2909">
        <v>21</v>
      </c>
      <c r="AA308" t="n" s="2909">
        <v>21</v>
      </c>
      <c r="AB308" t="inlineStr" s="2909">
        <is>
          <t>20190401</t>
        </is>
      </c>
      <c r="AD308" t="n" s="2909">
        <v>12</v>
      </c>
      <c r="AE308" t="inlineStr" s="2909">
        <is>
          <t>20250401</t>
        </is>
      </c>
      <c r="AH308" t="n" s="2909">
        <v>11</v>
      </c>
      <c r="AJ308" t="n" s="2909">
        <v>10</v>
      </c>
      <c r="AP308" t="n" s="2909">
        <v>500000</v>
      </c>
      <c r="DB308" s="2909" t="str">
        <f>IF($A308="","",IF($AE308&amp;""&lt;&gt;'DB_設定'!$C$4,"対象外",IF($AH308=20,IF(OR($AJ308=10,$AJ308=11,$AJ308=18),"①病院一般",IF($AJ308=41,"②病院短期","対象外")),IF($AH308=5,IF($AJ308=30,"③特定消防","対象外"),IF(OR($AJ308=10,$AJ308=11,$AJ308=74),"④一般",IF(OR($AJ308=41,$AJ308=47),"⑤短期","対象外"))))))</f>
        <v>④一般</v>
      </c>
    </row>
    <row r="309">
      <c r="A309" t="n" s="2909">
        <v>21</v>
      </c>
      <c r="AA309" t="n" s="2909">
        <v>21</v>
      </c>
      <c r="AB309" t="inlineStr" s="2909">
        <is>
          <t>20110401</t>
        </is>
      </c>
      <c r="AD309" t="n" s="2909">
        <v>12</v>
      </c>
      <c r="AE309" t="inlineStr" s="2909">
        <is>
          <t>20250401</t>
        </is>
      </c>
      <c r="AH309" t="n" s="2909">
        <v>1</v>
      </c>
      <c r="AJ309" t="n" s="2909">
        <v>10</v>
      </c>
      <c r="AP309" t="n" s="2909">
        <v>440000</v>
      </c>
      <c r="DB309" s="2909" t="str">
        <f>IF($A309="","",IF($AE309&amp;""&lt;&gt;'DB_設定'!$C$4,"対象外",IF($AH309=20,IF(OR($AJ309=10,$AJ309=11,$AJ309=18),"①病院一般",IF($AJ309=41,"②病院短期","対象外")),IF($AH309=5,IF($AJ309=30,"③特定消防","対象外"),IF(OR($AJ309=10,$AJ309=11,$AJ309=74),"④一般",IF(OR($AJ309=41,$AJ309=47),"⑤短期","対象外"))))))</f>
        <v>④一般</v>
      </c>
    </row>
    <row r="310">
      <c r="A310" t="n" s="2909">
        <v>21</v>
      </c>
      <c r="AA310" t="n" s="2909">
        <v>21</v>
      </c>
      <c r="AB310" t="inlineStr" s="2909">
        <is>
          <t>20110401</t>
        </is>
      </c>
      <c r="AD310" t="n" s="2909">
        <v>12</v>
      </c>
      <c r="AE310" t="inlineStr" s="2909">
        <is>
          <t>20250901</t>
        </is>
      </c>
      <c r="AH310" t="n" s="2909">
        <v>20</v>
      </c>
      <c r="AJ310" t="n" s="2909">
        <v>10</v>
      </c>
      <c r="AP310" t="n" s="2909">
        <v>240000</v>
      </c>
      <c r="DB310" s="2909" t="str">
        <f>IF($A310="","",IF($AE310&amp;""&lt;&gt;'DB_設定'!$C$4,"対象外",IF($AH310=20,IF(OR($AJ310=10,$AJ310=11,$AJ310=18),"①病院一般",IF($AJ310=41,"②病院短期","対象外")),IF($AH310=5,IF($AJ310=30,"③特定消防","対象外"),IF(OR($AJ310=10,$AJ310=11,$AJ310=74),"④一般",IF(OR($AJ310=41,$AJ310=47),"⑤短期","対象外"))))))</f>
        <v>対象外</v>
      </c>
    </row>
    <row r="311">
      <c r="A311" t="n" s="2909">
        <v>21</v>
      </c>
      <c r="AA311" t="n" s="2909">
        <v>21</v>
      </c>
      <c r="AB311" t="inlineStr" s="2909">
        <is>
          <t>20110401</t>
        </is>
      </c>
      <c r="AD311" t="n" s="2909">
        <v>12</v>
      </c>
      <c r="AE311" t="inlineStr" s="2909">
        <is>
          <t>20250401</t>
        </is>
      </c>
      <c r="AH311" t="n" s="2909">
        <v>20</v>
      </c>
      <c r="AJ311" t="n" s="2909">
        <v>10</v>
      </c>
      <c r="AP311" t="n" s="2909">
        <v>440000</v>
      </c>
      <c r="DB311" s="2909" t="str">
        <f>IF($A311="","",IF($AE311&amp;""&lt;&gt;'DB_設定'!$C$4,"対象外",IF($AH311=20,IF(OR($AJ311=10,$AJ311=11,$AJ311=18),"①病院一般",IF($AJ311=41,"②病院短期","対象外")),IF($AH311=5,IF($AJ311=30,"③特定消防","対象外"),IF(OR($AJ311=10,$AJ311=11,$AJ311=74),"④一般",IF(OR($AJ311=41,$AJ311=47),"⑤短期","対象外"))))))</f>
        <v>①病院一般</v>
      </c>
    </row>
    <row r="312">
      <c r="A312" t="n" s="2909">
        <v>21</v>
      </c>
      <c r="AA312" t="n" s="2909">
        <v>21</v>
      </c>
      <c r="AB312" t="inlineStr" s="2909">
        <is>
          <t>20110401</t>
        </is>
      </c>
      <c r="AD312" t="n" s="2909">
        <v>11</v>
      </c>
      <c r="AE312" t="inlineStr" s="2909">
        <is>
          <t>20250401</t>
        </is>
      </c>
      <c r="AH312" t="n" s="2909">
        <v>20</v>
      </c>
      <c r="AJ312" t="n" s="2909">
        <v>10</v>
      </c>
      <c r="AP312" t="n" s="2909">
        <v>980000</v>
      </c>
      <c r="DB312" s="2909" t="str">
        <f>IF($A312="","",IF($AE312&amp;""&lt;&gt;'DB_設定'!$C$4,"対象外",IF($AH312=20,IF(OR($AJ312=10,$AJ312=11,$AJ312=18),"①病院一般",IF($AJ312=41,"②病院短期","対象外")),IF($AH312=5,IF($AJ312=30,"③特定消防","対象外"),IF(OR($AJ312=10,$AJ312=11,$AJ312=74),"④一般",IF(OR($AJ312=41,$AJ312=47),"⑤短期","対象外"))))))</f>
        <v>①病院一般</v>
      </c>
    </row>
    <row r="313">
      <c r="A313" t="n" s="2909">
        <v>21</v>
      </c>
      <c r="AA313" t="n" s="2909">
        <v>21</v>
      </c>
      <c r="AB313" t="inlineStr" s="2909">
        <is>
          <t>20110701</t>
        </is>
      </c>
      <c r="AD313" t="n" s="2909">
        <v>12</v>
      </c>
      <c r="AE313" t="inlineStr" s="2909">
        <is>
          <t>20250401</t>
        </is>
      </c>
      <c r="AH313" t="n" s="2909">
        <v>20</v>
      </c>
      <c r="AJ313" t="n" s="2909">
        <v>10</v>
      </c>
      <c r="AP313" t="n" s="2909">
        <v>590000</v>
      </c>
      <c r="DB313" s="2909" t="str">
        <f>IF($A313="","",IF($AE313&amp;""&lt;&gt;'DB_設定'!$C$4,"対象外",IF($AH313=20,IF(OR($AJ313=10,$AJ313=11,$AJ313=18),"①病院一般",IF($AJ313=41,"②病院短期","対象外")),IF($AH313=5,IF($AJ313=30,"③特定消防","対象外"),IF(OR($AJ313=10,$AJ313=11,$AJ313=74),"④一般",IF(OR($AJ313=41,$AJ313=47),"⑤短期","対象外"))))))</f>
        <v>①病院一般</v>
      </c>
    </row>
    <row r="314">
      <c r="A314" t="n" s="2909">
        <v>21</v>
      </c>
      <c r="AA314" t="n" s="2909">
        <v>21</v>
      </c>
      <c r="AB314" t="inlineStr" s="2909">
        <is>
          <t>20111001</t>
        </is>
      </c>
      <c r="AD314" t="n" s="2909">
        <v>12</v>
      </c>
      <c r="AE314" t="inlineStr" s="2909">
        <is>
          <t>20250401</t>
        </is>
      </c>
      <c r="AH314" t="n" s="2909">
        <v>20</v>
      </c>
      <c r="AJ314" t="n" s="2909">
        <v>10</v>
      </c>
      <c r="AP314" t="n" s="2909">
        <v>240000</v>
      </c>
      <c r="DB314" s="2909" t="str">
        <f>IF($A314="","",IF($AE314&amp;""&lt;&gt;'DB_設定'!$C$4,"対象外",IF($AH314=20,IF(OR($AJ314=10,$AJ314=11,$AJ314=18),"①病院一般",IF($AJ314=41,"②病院短期","対象外")),IF($AH314=5,IF($AJ314=30,"③特定消防","対象外"),IF(OR($AJ314=10,$AJ314=11,$AJ314=74),"④一般",IF(OR($AJ314=41,$AJ314=47),"⑤短期","対象外"))))))</f>
        <v>①病院一般</v>
      </c>
    </row>
    <row r="315">
      <c r="A315" t="n" s="2909">
        <v>21</v>
      </c>
      <c r="AA315" t="n" s="2909">
        <v>21</v>
      </c>
      <c r="AB315" t="inlineStr" s="2909">
        <is>
          <t>20111001</t>
        </is>
      </c>
      <c r="AD315" t="n" s="2909">
        <v>12</v>
      </c>
      <c r="AE315" t="inlineStr" s="2909">
        <is>
          <t>20250401</t>
        </is>
      </c>
      <c r="AH315" t="n" s="2909">
        <v>20</v>
      </c>
      <c r="AJ315" t="n" s="2909">
        <v>10</v>
      </c>
      <c r="AP315" t="n" s="2909">
        <v>440000</v>
      </c>
      <c r="DB315" s="2909" t="str">
        <f>IF($A315="","",IF($AE315&amp;""&lt;&gt;'DB_設定'!$C$4,"対象外",IF($AH315=20,IF(OR($AJ315=10,$AJ315=11,$AJ315=18),"①病院一般",IF($AJ315=41,"②病院短期","対象外")),IF($AH315=5,IF($AJ315=30,"③特定消防","対象外"),IF(OR($AJ315=10,$AJ315=11,$AJ315=74),"④一般",IF(OR($AJ315=41,$AJ315=47),"⑤短期","対象外"))))))</f>
        <v>①病院一般</v>
      </c>
    </row>
    <row r="316">
      <c r="A316" t="n" s="2909">
        <v>21</v>
      </c>
      <c r="AA316" t="n" s="2909">
        <v>21</v>
      </c>
      <c r="AB316" t="inlineStr" s="2909">
        <is>
          <t>20150401</t>
        </is>
      </c>
      <c r="AD316" t="n" s="2909">
        <v>12</v>
      </c>
      <c r="AE316" t="inlineStr" s="2909">
        <is>
          <t>20250401</t>
        </is>
      </c>
      <c r="AH316" t="n" s="2909">
        <v>11</v>
      </c>
      <c r="AJ316" t="n" s="2909">
        <v>10</v>
      </c>
      <c r="AP316" t="n" s="2909">
        <v>590000</v>
      </c>
      <c r="DB316" s="2909" t="str">
        <f>IF($A316="","",IF($AE316&amp;""&lt;&gt;'DB_設定'!$C$4,"対象外",IF($AH316=20,IF(OR($AJ316=10,$AJ316=11,$AJ316=18),"①病院一般",IF($AJ316=41,"②病院短期","対象外")),IF($AH316=5,IF($AJ316=30,"③特定消防","対象外"),IF(OR($AJ316=10,$AJ316=11,$AJ316=74),"④一般",IF(OR($AJ316=41,$AJ316=47),"⑤短期","対象外"))))))</f>
        <v>④一般</v>
      </c>
    </row>
    <row r="317">
      <c r="A317" t="n" s="2909">
        <v>21</v>
      </c>
      <c r="AA317" t="n" s="2909">
        <v>21</v>
      </c>
      <c r="AB317" t="inlineStr" s="2909">
        <is>
          <t>20120401</t>
        </is>
      </c>
      <c r="AD317" t="n" s="2909">
        <v>12</v>
      </c>
      <c r="AE317" t="inlineStr" s="2909">
        <is>
          <t>20250401</t>
        </is>
      </c>
      <c r="AH317" t="n" s="2909">
        <v>1</v>
      </c>
      <c r="AJ317" t="n" s="2909">
        <v>10</v>
      </c>
      <c r="AP317" t="n" s="2909">
        <v>410000</v>
      </c>
      <c r="DB317" s="2909" t="str">
        <f>IF($A317="","",IF($AE317&amp;""&lt;&gt;'DB_設定'!$C$4,"対象外",IF($AH317=20,IF(OR($AJ317=10,$AJ317=11,$AJ317=18),"①病院一般",IF($AJ317=41,"②病院短期","対象外")),IF($AH317=5,IF($AJ317=30,"③特定消防","対象外"),IF(OR($AJ317=10,$AJ317=11,$AJ317=74),"④一般",IF(OR($AJ317=41,$AJ317=47),"⑤短期","対象外"))))))</f>
        <v>④一般</v>
      </c>
    </row>
    <row r="318">
      <c r="A318" t="n" s="2909">
        <v>21</v>
      </c>
      <c r="AA318" t="n" s="2909">
        <v>21</v>
      </c>
      <c r="AB318" t="inlineStr" s="2909">
        <is>
          <t>20120401</t>
        </is>
      </c>
      <c r="AD318" t="n" s="2909">
        <v>12</v>
      </c>
      <c r="AE318" t="inlineStr" s="2909">
        <is>
          <t>20250401</t>
        </is>
      </c>
      <c r="AH318" t="n" s="2909">
        <v>1</v>
      </c>
      <c r="AJ318" t="n" s="2909">
        <v>10</v>
      </c>
      <c r="AP318" t="n" s="2909">
        <v>200000</v>
      </c>
      <c r="DB318" s="2909" t="str">
        <f>IF($A318="","",IF($AE318&amp;""&lt;&gt;'DB_設定'!$C$4,"対象外",IF($AH318=20,IF(OR($AJ318=10,$AJ318=11,$AJ318=18),"①病院一般",IF($AJ318=41,"②病院短期","対象外")),IF($AH318=5,IF($AJ318=30,"③特定消防","対象外"),IF(OR($AJ318=10,$AJ318=11,$AJ318=74),"④一般",IF(OR($AJ318=41,$AJ318=47),"⑤短期","対象外"))))))</f>
        <v>④一般</v>
      </c>
    </row>
    <row r="319">
      <c r="A319" t="n" s="2909">
        <v>21</v>
      </c>
      <c r="AA319" t="n" s="2909">
        <v>21</v>
      </c>
      <c r="AB319" t="inlineStr" s="2909">
        <is>
          <t>20120401</t>
        </is>
      </c>
      <c r="AD319" t="n" s="2909">
        <v>12</v>
      </c>
      <c r="AE319" t="inlineStr" s="2909">
        <is>
          <t>20250401</t>
        </is>
      </c>
      <c r="AH319" t="n" s="2909">
        <v>1</v>
      </c>
      <c r="AJ319" t="n" s="2909">
        <v>10</v>
      </c>
      <c r="AP319" t="n" s="2909">
        <v>170000</v>
      </c>
      <c r="DB319" s="2909" t="str">
        <f>IF($A319="","",IF($AE319&amp;""&lt;&gt;'DB_設定'!$C$4,"対象外",IF($AH319=20,IF(OR($AJ319=10,$AJ319=11,$AJ319=18),"①病院一般",IF($AJ319=41,"②病院短期","対象外")),IF($AH319=5,IF($AJ319=30,"③特定消防","対象外"),IF(OR($AJ319=10,$AJ319=11,$AJ319=74),"④一般",IF(OR($AJ319=41,$AJ319=47),"⑤短期","対象外"))))))</f>
        <v>④一般</v>
      </c>
    </row>
    <row r="320">
      <c r="A320" t="n" s="2909">
        <v>21</v>
      </c>
      <c r="AA320" t="n" s="2909">
        <v>21</v>
      </c>
      <c r="AB320" t="inlineStr" s="2909">
        <is>
          <t>20120601</t>
        </is>
      </c>
      <c r="AD320" t="n" s="2909">
        <v>11</v>
      </c>
      <c r="AE320" t="inlineStr" s="2909">
        <is>
          <t>20250401</t>
        </is>
      </c>
      <c r="AH320" t="n" s="2909">
        <v>20</v>
      </c>
      <c r="AJ320" t="n" s="2909">
        <v>10</v>
      </c>
      <c r="AP320" t="n" s="2909">
        <v>1090000</v>
      </c>
      <c r="DB320" s="2909" t="str">
        <f>IF($A320="","",IF($AE320&amp;""&lt;&gt;'DB_設定'!$C$4,"対象外",IF($AH320=20,IF(OR($AJ320=10,$AJ320=11,$AJ320=18),"①病院一般",IF($AJ320=41,"②病院短期","対象外")),IF($AH320=5,IF($AJ320=30,"③特定消防","対象外"),IF(OR($AJ320=10,$AJ320=11,$AJ320=74),"④一般",IF(OR($AJ320=41,$AJ320=47),"⑤短期","対象外"))))))</f>
        <v>①病院一般</v>
      </c>
    </row>
    <row r="321">
      <c r="A321" t="n" s="2909">
        <v>21</v>
      </c>
      <c r="AA321" t="n" s="2909">
        <v>21</v>
      </c>
      <c r="AB321" t="inlineStr" s="2909">
        <is>
          <t>20121201</t>
        </is>
      </c>
      <c r="AD321" t="n" s="2909">
        <v>12</v>
      </c>
      <c r="AE321" t="inlineStr" s="2909">
        <is>
          <t>20250911</t>
        </is>
      </c>
      <c r="AH321" t="n" s="2909">
        <v>20</v>
      </c>
      <c r="AJ321" t="n" s="2909">
        <v>10</v>
      </c>
      <c r="AP321" t="n" s="2909">
        <v>360000</v>
      </c>
      <c r="DB321" s="2909" t="str">
        <f>IF($A321="","",IF($AE321&amp;""&lt;&gt;'DB_設定'!$C$4,"対象外",IF($AH321=20,IF(OR($AJ321=10,$AJ321=11,$AJ321=18),"①病院一般",IF($AJ321=41,"②病院短期","対象外")),IF($AH321=5,IF($AJ321=30,"③特定消防","対象外"),IF(OR($AJ321=10,$AJ321=11,$AJ321=74),"④一般",IF(OR($AJ321=41,$AJ321=47),"⑤短期","対象外"))))))</f>
        <v>対象外</v>
      </c>
    </row>
    <row r="322">
      <c r="A322" t="n" s="2909">
        <v>21</v>
      </c>
      <c r="AA322" t="n" s="2909">
        <v>21</v>
      </c>
      <c r="AB322" t="inlineStr" s="2909">
        <is>
          <t>20130401</t>
        </is>
      </c>
      <c r="AD322" t="n" s="2909">
        <v>12</v>
      </c>
      <c r="AE322" t="inlineStr" s="2909">
        <is>
          <t>20250401</t>
        </is>
      </c>
      <c r="AH322" t="n" s="2909">
        <v>1</v>
      </c>
      <c r="AJ322" t="n" s="2909">
        <v>10</v>
      </c>
      <c r="AP322" t="n" s="2909">
        <v>320000</v>
      </c>
      <c r="DB322" s="2909" t="str">
        <f>IF($A322="","",IF($AE322&amp;""&lt;&gt;'DB_設定'!$C$4,"対象外",IF($AH322=20,IF(OR($AJ322=10,$AJ322=11,$AJ322=18),"①病院一般",IF($AJ322=41,"②病院短期","対象外")),IF($AH322=5,IF($AJ322=30,"③特定消防","対象外"),IF(OR($AJ322=10,$AJ322=11,$AJ322=74),"④一般",IF(OR($AJ322=41,$AJ322=47),"⑤短期","対象外"))))))</f>
        <v>④一般</v>
      </c>
    </row>
    <row r="323">
      <c r="A323" t="n" s="2909">
        <v>21</v>
      </c>
      <c r="AA323" t="n" s="2909">
        <v>21</v>
      </c>
      <c r="AB323" t="inlineStr" s="2909">
        <is>
          <t>20130401</t>
        </is>
      </c>
      <c r="AD323" t="n" s="2909">
        <v>12</v>
      </c>
      <c r="AE323" t="inlineStr" s="2909">
        <is>
          <t>20250701</t>
        </is>
      </c>
      <c r="AH323" t="n" s="2909">
        <v>1</v>
      </c>
      <c r="AJ323" t="n" s="2909">
        <v>10</v>
      </c>
      <c r="AP323" t="n" s="2909">
        <v>380000</v>
      </c>
      <c r="DB323" s="2909" t="str">
        <f>IF($A323="","",IF($AE323&amp;""&lt;&gt;'DB_設定'!$C$4,"対象外",IF($AH323=20,IF(OR($AJ323=10,$AJ323=11,$AJ323=18),"①病院一般",IF($AJ323=41,"②病院短期","対象外")),IF($AH323=5,IF($AJ323=30,"③特定消防","対象外"),IF(OR($AJ323=10,$AJ323=11,$AJ323=74),"④一般",IF(OR($AJ323=41,$AJ323=47),"⑤短期","対象外"))))))</f>
        <v>対象外</v>
      </c>
    </row>
    <row r="324">
      <c r="A324" t="n" s="2909">
        <v>21</v>
      </c>
      <c r="AA324" t="n" s="2909">
        <v>21</v>
      </c>
      <c r="AB324" t="inlineStr" s="2909">
        <is>
          <t>20130401</t>
        </is>
      </c>
      <c r="AD324" t="n" s="2909">
        <v>12</v>
      </c>
      <c r="AE324" t="inlineStr" s="2909">
        <is>
          <t>20250401</t>
        </is>
      </c>
      <c r="AH324" t="n" s="2909">
        <v>5</v>
      </c>
      <c r="AJ324" t="n" s="2909">
        <v>30</v>
      </c>
      <c r="AP324" t="n" s="2909">
        <v>440000</v>
      </c>
      <c r="DB324" s="2909" t="str">
        <f>IF($A324="","",IF($AE324&amp;""&lt;&gt;'DB_設定'!$C$4,"対象外",IF($AH324=20,IF(OR($AJ324=10,$AJ324=11,$AJ324=18),"①病院一般",IF($AJ324=41,"②病院短期","対象外")),IF($AH324=5,IF($AJ324=30,"③特定消防","対象外"),IF(OR($AJ324=10,$AJ324=11,$AJ324=74),"④一般",IF(OR($AJ324=41,$AJ324=47),"⑤短期","対象外"))))))</f>
        <v>③特定消防</v>
      </c>
    </row>
    <row r="325">
      <c r="A325" t="n" s="2909">
        <v>21</v>
      </c>
      <c r="AA325" t="n" s="2909">
        <v>21</v>
      </c>
      <c r="AB325" t="inlineStr" s="2909">
        <is>
          <t>20130401</t>
        </is>
      </c>
      <c r="AD325" t="n" s="2909">
        <v>12</v>
      </c>
      <c r="AE325" t="inlineStr" s="2909">
        <is>
          <t>20250601</t>
        </is>
      </c>
      <c r="AH325" t="n" s="2909">
        <v>5</v>
      </c>
      <c r="AJ325" t="n" s="2909">
        <v>30</v>
      </c>
      <c r="AP325" t="n" s="2909">
        <v>360000</v>
      </c>
      <c r="DB325" s="2909" t="str">
        <f>IF($A325="","",IF($AE325&amp;""&lt;&gt;'DB_設定'!$C$4,"対象外",IF($AH325=20,IF(OR($AJ325=10,$AJ325=11,$AJ325=18),"①病院一般",IF($AJ325=41,"②病院短期","対象外")),IF($AH325=5,IF($AJ325=30,"③特定消防","対象外"),IF(OR($AJ325=10,$AJ325=11,$AJ325=74),"④一般",IF(OR($AJ325=41,$AJ325=47),"⑤短期","対象外"))))))</f>
        <v>対象外</v>
      </c>
    </row>
    <row r="326">
      <c r="A326" t="n" s="2909">
        <v>21</v>
      </c>
      <c r="AA326" t="n" s="2909">
        <v>21</v>
      </c>
      <c r="AB326" t="inlineStr" s="2909">
        <is>
          <t>20131001</t>
        </is>
      </c>
      <c r="AD326" t="n" s="2909">
        <v>12</v>
      </c>
      <c r="AE326" t="inlineStr" s="2909">
        <is>
          <t>20250401</t>
        </is>
      </c>
      <c r="AH326" t="n" s="2909">
        <v>20</v>
      </c>
      <c r="AJ326" t="n" s="2909">
        <v>10</v>
      </c>
      <c r="AP326" t="n" s="2909">
        <v>360000</v>
      </c>
      <c r="DB326" s="2909" t="str">
        <f>IF($A326="","",IF($AE326&amp;""&lt;&gt;'DB_設定'!$C$4,"対象外",IF($AH326=20,IF(OR($AJ326=10,$AJ326=11,$AJ326=18),"①病院一般",IF($AJ326=41,"②病院短期","対象外")),IF($AH326=5,IF($AJ326=30,"③特定消防","対象外"),IF(OR($AJ326=10,$AJ326=11,$AJ326=74),"④一般",IF(OR($AJ326=41,$AJ326=47),"⑤短期","対象外"))))))</f>
        <v>①病院一般</v>
      </c>
    </row>
    <row r="327">
      <c r="A327" t="n" s="2909">
        <v>21</v>
      </c>
      <c r="AA327" t="n" s="2909">
        <v>21</v>
      </c>
      <c r="AB327" t="inlineStr" s="2909">
        <is>
          <t>20140101</t>
        </is>
      </c>
      <c r="AD327" t="n" s="2909">
        <v>12</v>
      </c>
      <c r="AE327" t="inlineStr" s="2909">
        <is>
          <t>20250401</t>
        </is>
      </c>
      <c r="AH327" t="n" s="2909">
        <v>20</v>
      </c>
      <c r="AJ327" t="n" s="2909">
        <v>10</v>
      </c>
      <c r="AP327" t="n" s="2909">
        <v>1090000</v>
      </c>
      <c r="DB327" s="2909" t="str">
        <f>IF($A327="","",IF($AE327&amp;""&lt;&gt;'DB_設定'!$C$4,"対象外",IF($AH327=20,IF(OR($AJ327=10,$AJ327=11,$AJ327=18),"①病院一般",IF($AJ327=41,"②病院短期","対象外")),IF($AH327=5,IF($AJ327=30,"③特定消防","対象外"),IF(OR($AJ327=10,$AJ327=11,$AJ327=74),"④一般",IF(OR($AJ327=41,$AJ327=47),"⑤短期","対象外"))))))</f>
        <v>①病院一般</v>
      </c>
    </row>
    <row r="328">
      <c r="A328" t="n" s="2909">
        <v>21</v>
      </c>
      <c r="AA328" t="n" s="2909">
        <v>21</v>
      </c>
      <c r="AB328" t="inlineStr" s="2909">
        <is>
          <t>20140101</t>
        </is>
      </c>
      <c r="AD328" t="n" s="2909">
        <v>12</v>
      </c>
      <c r="AE328" t="inlineStr" s="2909">
        <is>
          <t>20251001</t>
        </is>
      </c>
      <c r="AH328" t="n" s="2909">
        <v>20</v>
      </c>
      <c r="AJ328" t="n" s="2909">
        <v>10</v>
      </c>
      <c r="AP328" t="n" s="2909">
        <v>280000</v>
      </c>
      <c r="DB328" s="2909" t="str">
        <f>IF($A328="","",IF($AE328&amp;""&lt;&gt;'DB_設定'!$C$4,"対象外",IF($AH328=20,IF(OR($AJ328=10,$AJ328=11,$AJ328=18),"①病院一般",IF($AJ328=41,"②病院短期","対象外")),IF($AH328=5,IF($AJ328=30,"③特定消防","対象外"),IF(OR($AJ328=10,$AJ328=11,$AJ328=74),"④一般",IF(OR($AJ328=41,$AJ328=47),"⑤短期","対象外"))))))</f>
        <v>対象外</v>
      </c>
    </row>
    <row r="329">
      <c r="A329" t="n" s="2909">
        <v>21</v>
      </c>
      <c r="AA329" t="n" s="2909">
        <v>21</v>
      </c>
      <c r="AB329" t="inlineStr" s="2909">
        <is>
          <t>20210401</t>
        </is>
      </c>
      <c r="AD329" t="n" s="2909">
        <v>12</v>
      </c>
      <c r="AE329" t="inlineStr" s="2909">
        <is>
          <t>20250401</t>
        </is>
      </c>
      <c r="AH329" t="n" s="2909">
        <v>11</v>
      </c>
      <c r="AJ329" t="n" s="2909">
        <v>10</v>
      </c>
      <c r="AP329" t="n" s="2909">
        <v>300000</v>
      </c>
      <c r="DB329" s="2909" t="str">
        <f>IF($A329="","",IF($AE329&amp;""&lt;&gt;'DB_設定'!$C$4,"対象外",IF($AH329=20,IF(OR($AJ329=10,$AJ329=11,$AJ329=18),"①病院一般",IF($AJ329=41,"②病院短期","対象外")),IF($AH329=5,IF($AJ329=30,"③特定消防","対象外"),IF(OR($AJ329=10,$AJ329=11,$AJ329=74),"④一般",IF(OR($AJ329=41,$AJ329=47),"⑤短期","対象外"))))))</f>
        <v>④一般</v>
      </c>
    </row>
    <row r="330">
      <c r="A330" t="n" s="2909">
        <v>21</v>
      </c>
      <c r="AA330" t="n" s="2909">
        <v>21</v>
      </c>
      <c r="AB330" t="inlineStr" s="2909">
        <is>
          <t>20140401</t>
        </is>
      </c>
      <c r="AD330" t="n" s="2909">
        <v>12</v>
      </c>
      <c r="AE330" t="inlineStr" s="2909">
        <is>
          <t>20250401</t>
        </is>
      </c>
      <c r="AH330" t="n" s="2909">
        <v>1</v>
      </c>
      <c r="AJ330" t="n" s="2909">
        <v>10</v>
      </c>
      <c r="AP330" t="n" s="2909">
        <v>380000</v>
      </c>
      <c r="DB330" s="2909" t="str">
        <f>IF($A330="","",IF($AE330&amp;""&lt;&gt;'DB_設定'!$C$4,"対象外",IF($AH330=20,IF(OR($AJ330=10,$AJ330=11,$AJ330=18),"①病院一般",IF($AJ330=41,"②病院短期","対象外")),IF($AH330=5,IF($AJ330=30,"③特定消防","対象外"),IF(OR($AJ330=10,$AJ330=11,$AJ330=74),"④一般",IF(OR($AJ330=41,$AJ330=47),"⑤短期","対象外"))))))</f>
        <v>④一般</v>
      </c>
    </row>
    <row r="331">
      <c r="A331" t="n" s="2909">
        <v>21</v>
      </c>
      <c r="AA331" t="n" s="2909">
        <v>21</v>
      </c>
      <c r="AB331" t="inlineStr" s="2909">
        <is>
          <t>20140401</t>
        </is>
      </c>
      <c r="AD331" t="n" s="2909">
        <v>12</v>
      </c>
      <c r="AE331" t="inlineStr" s="2909">
        <is>
          <t>20250401</t>
        </is>
      </c>
      <c r="AH331" t="n" s="2909">
        <v>1</v>
      </c>
      <c r="AJ331" t="n" s="2909">
        <v>10</v>
      </c>
      <c r="AP331" t="n" s="2909">
        <v>440000</v>
      </c>
      <c r="DB331" s="2909" t="str">
        <f>IF($A331="","",IF($AE331&amp;""&lt;&gt;'DB_設定'!$C$4,"対象外",IF($AH331=20,IF(OR($AJ331=10,$AJ331=11,$AJ331=18),"①病院一般",IF($AJ331=41,"②病院短期","対象外")),IF($AH331=5,IF($AJ331=30,"③特定消防","対象外"),IF(OR($AJ331=10,$AJ331=11,$AJ331=74),"④一般",IF(OR($AJ331=41,$AJ331=47),"⑤短期","対象外"))))))</f>
        <v>④一般</v>
      </c>
    </row>
    <row r="332">
      <c r="A332" t="n" s="2909">
        <v>21</v>
      </c>
      <c r="AA332" t="n" s="2909">
        <v>21</v>
      </c>
      <c r="AB332" t="inlineStr" s="2909">
        <is>
          <t>20140401</t>
        </is>
      </c>
      <c r="AD332" t="n" s="2909">
        <v>12</v>
      </c>
      <c r="AE332" t="inlineStr" s="2909">
        <is>
          <t>20250401</t>
        </is>
      </c>
      <c r="AH332" t="n" s="2909">
        <v>3</v>
      </c>
      <c r="AJ332" t="n" s="2909">
        <v>10</v>
      </c>
      <c r="AP332" t="n" s="2909">
        <v>500000</v>
      </c>
      <c r="DB332" s="2909" t="str">
        <f>IF($A332="","",IF($AE332&amp;""&lt;&gt;'DB_設定'!$C$4,"対象外",IF($AH332=20,IF(OR($AJ332=10,$AJ332=11,$AJ332=18),"①病院一般",IF($AJ332=41,"②病院短期","対象外")),IF($AH332=5,IF($AJ332=30,"③特定消防","対象外"),IF(OR($AJ332=10,$AJ332=11,$AJ332=74),"④一般",IF(OR($AJ332=41,$AJ332=47),"⑤短期","対象外"))))))</f>
        <v>④一般</v>
      </c>
    </row>
    <row r="333">
      <c r="A333" t="n" s="2909">
        <v>21</v>
      </c>
      <c r="AA333" t="n" s="2909">
        <v>21</v>
      </c>
      <c r="AB333" t="inlineStr" s="2909">
        <is>
          <t>20140401</t>
        </is>
      </c>
      <c r="AD333" t="n" s="2909">
        <v>12</v>
      </c>
      <c r="AE333" t="inlineStr" s="2909">
        <is>
          <t>20250401</t>
        </is>
      </c>
      <c r="AH333" t="n" s="2909">
        <v>1</v>
      </c>
      <c r="AJ333" t="n" s="2909">
        <v>10</v>
      </c>
      <c r="AP333" t="n" s="2909">
        <v>360000</v>
      </c>
      <c r="DB333" s="2909" t="str">
        <f>IF($A333="","",IF($AE333&amp;""&lt;&gt;'DB_設定'!$C$4,"対象外",IF($AH333=20,IF(OR($AJ333=10,$AJ333=11,$AJ333=18),"①病院一般",IF($AJ333=41,"②病院短期","対象外")),IF($AH333=5,IF($AJ333=30,"③特定消防","対象外"),IF(OR($AJ333=10,$AJ333=11,$AJ333=74),"④一般",IF(OR($AJ333=41,$AJ333=47),"⑤短期","対象外"))))))</f>
        <v>④一般</v>
      </c>
    </row>
    <row r="334">
      <c r="A334" t="n" s="2909">
        <v>21</v>
      </c>
      <c r="AA334" t="n" s="2909">
        <v>21</v>
      </c>
      <c r="AB334" t="inlineStr" s="2909">
        <is>
          <t>20140401</t>
        </is>
      </c>
      <c r="AD334" t="n" s="2909">
        <v>12</v>
      </c>
      <c r="AE334" t="inlineStr" s="2909">
        <is>
          <t>20250401</t>
        </is>
      </c>
      <c r="AH334" t="n" s="2909">
        <v>1</v>
      </c>
      <c r="AJ334" t="n" s="2909">
        <v>10</v>
      </c>
      <c r="AP334" t="n" s="2909">
        <v>320000</v>
      </c>
      <c r="DB334" s="2909" t="str">
        <f>IF($A334="","",IF($AE334&amp;""&lt;&gt;'DB_設定'!$C$4,"対象外",IF($AH334=20,IF(OR($AJ334=10,$AJ334=11,$AJ334=18),"①病院一般",IF($AJ334=41,"②病院短期","対象外")),IF($AH334=5,IF($AJ334=30,"③特定消防","対象外"),IF(OR($AJ334=10,$AJ334=11,$AJ334=74),"④一般",IF(OR($AJ334=41,$AJ334=47),"⑤短期","対象外"))))))</f>
        <v>④一般</v>
      </c>
    </row>
    <row r="335">
      <c r="A335" t="n" s="2909">
        <v>21</v>
      </c>
      <c r="AA335" t="n" s="2909">
        <v>21</v>
      </c>
      <c r="AB335" t="inlineStr" s="2909">
        <is>
          <t>20140401</t>
        </is>
      </c>
      <c r="AD335" t="n" s="2909">
        <v>12</v>
      </c>
      <c r="AE335" t="inlineStr" s="2909">
        <is>
          <t>20250801</t>
        </is>
      </c>
      <c r="AH335" t="n" s="2909">
        <v>20</v>
      </c>
      <c r="AJ335" t="n" s="2909">
        <v>10</v>
      </c>
      <c r="AP335" t="n" s="2909">
        <v>440000</v>
      </c>
      <c r="DB335" s="2909" t="str">
        <f>IF($A335="","",IF($AE335&amp;""&lt;&gt;'DB_設定'!$C$4,"対象外",IF($AH335=20,IF(OR($AJ335=10,$AJ335=11,$AJ335=18),"①病院一般",IF($AJ335=41,"②病院短期","対象外")),IF($AH335=5,IF($AJ335=30,"③特定消防","対象外"),IF(OR($AJ335=10,$AJ335=11,$AJ335=74),"④一般",IF(OR($AJ335=41,$AJ335=47),"⑤短期","対象外"))))))</f>
        <v>対象外</v>
      </c>
    </row>
    <row r="336">
      <c r="A336" t="n" s="2909">
        <v>21</v>
      </c>
      <c r="AA336" t="n" s="2909">
        <v>21</v>
      </c>
      <c r="AB336" t="inlineStr" s="2909">
        <is>
          <t>20140401</t>
        </is>
      </c>
      <c r="AD336" t="n" s="2909">
        <v>12</v>
      </c>
      <c r="AE336" t="inlineStr" s="2909">
        <is>
          <t>20250701</t>
        </is>
      </c>
      <c r="AH336" t="n" s="2909">
        <v>20</v>
      </c>
      <c r="AJ336" t="n" s="2909">
        <v>10</v>
      </c>
      <c r="AP336" t="n" s="2909">
        <v>280000</v>
      </c>
      <c r="DB336" s="2909" t="str">
        <f>IF($A336="","",IF($AE336&amp;""&lt;&gt;'DB_設定'!$C$4,"対象外",IF($AH336=20,IF(OR($AJ336=10,$AJ336=11,$AJ336=18),"①病院一般",IF($AJ336=41,"②病院短期","対象外")),IF($AH336=5,IF($AJ336=30,"③特定消防","対象外"),IF(OR($AJ336=10,$AJ336=11,$AJ336=74),"④一般",IF(OR($AJ336=41,$AJ336=47),"⑤短期","対象外"))))))</f>
        <v>対象外</v>
      </c>
    </row>
    <row r="337">
      <c r="A337" t="n" s="2909">
        <v>21</v>
      </c>
      <c r="AA337" t="n" s="2909">
        <v>21</v>
      </c>
      <c r="AB337" t="inlineStr" s="2909">
        <is>
          <t>20140401</t>
        </is>
      </c>
      <c r="AD337" t="n" s="2909">
        <v>12</v>
      </c>
      <c r="AE337" t="inlineStr" s="2909">
        <is>
          <t>20250401</t>
        </is>
      </c>
      <c r="AH337" t="n" s="2909">
        <v>20</v>
      </c>
      <c r="AJ337" t="n" s="2909">
        <v>10</v>
      </c>
      <c r="AP337" t="n" s="2909">
        <v>1150000</v>
      </c>
      <c r="DB337" s="2909" t="str">
        <f>IF($A337="","",IF($AE337&amp;""&lt;&gt;'DB_設定'!$C$4,"対象外",IF($AH337=20,IF(OR($AJ337=10,$AJ337=11,$AJ337=18),"①病院一般",IF($AJ337=41,"②病院短期","対象外")),IF($AH337=5,IF($AJ337=30,"③特定消防","対象外"),IF(OR($AJ337=10,$AJ337=11,$AJ337=74),"④一般",IF(OR($AJ337=41,$AJ337=47),"⑤短期","対象外"))))))</f>
        <v>①病院一般</v>
      </c>
    </row>
    <row r="338">
      <c r="A338" t="n" s="2909">
        <v>21</v>
      </c>
      <c r="AA338" t="n" s="2909">
        <v>21</v>
      </c>
      <c r="AB338" t="inlineStr" s="2909">
        <is>
          <t>20140401</t>
        </is>
      </c>
      <c r="AD338" t="n" s="2909">
        <v>11</v>
      </c>
      <c r="AE338" t="inlineStr" s="2909">
        <is>
          <t>20250401</t>
        </is>
      </c>
      <c r="AH338" t="n" s="2909">
        <v>20</v>
      </c>
      <c r="AJ338" t="n" s="2909">
        <v>10</v>
      </c>
      <c r="AP338" t="n" s="2909">
        <v>440000</v>
      </c>
      <c r="DB338" s="2909" t="str">
        <f>IF($A338="","",IF($AE338&amp;""&lt;&gt;'DB_設定'!$C$4,"対象外",IF($AH338=20,IF(OR($AJ338=10,$AJ338=11,$AJ338=18),"①病院一般",IF($AJ338=41,"②病院短期","対象外")),IF($AH338=5,IF($AJ338=30,"③特定消防","対象外"),IF(OR($AJ338=10,$AJ338=11,$AJ338=74),"④一般",IF(OR($AJ338=41,$AJ338=47),"⑤短期","対象外"))))))</f>
        <v>①病院一般</v>
      </c>
    </row>
    <row r="339">
      <c r="A339" t="n" s="2909">
        <v>21</v>
      </c>
      <c r="AA339" t="n" s="2909">
        <v>21</v>
      </c>
      <c r="AB339" t="inlineStr" s="2909">
        <is>
          <t>20140401</t>
        </is>
      </c>
      <c r="AD339" t="n" s="2909">
        <v>12</v>
      </c>
      <c r="AE339" t="inlineStr" s="2909">
        <is>
          <t>20250401</t>
        </is>
      </c>
      <c r="AH339" t="n" s="2909">
        <v>20</v>
      </c>
      <c r="AJ339" t="n" s="2909">
        <v>10</v>
      </c>
      <c r="AP339" t="n" s="2909">
        <v>470000</v>
      </c>
      <c r="DB339" s="2909" t="str">
        <f>IF($A339="","",IF($AE339&amp;""&lt;&gt;'DB_設定'!$C$4,"対象外",IF($AH339=20,IF(OR($AJ339=10,$AJ339=11,$AJ339=18),"①病院一般",IF($AJ339=41,"②病院短期","対象外")),IF($AH339=5,IF($AJ339=30,"③特定消防","対象外"),IF(OR($AJ339=10,$AJ339=11,$AJ339=74),"④一般",IF(OR($AJ339=41,$AJ339=47),"⑤短期","対象外"))))))</f>
        <v>①病院一般</v>
      </c>
    </row>
    <row r="340">
      <c r="A340" t="n" s="2909">
        <v>21</v>
      </c>
      <c r="AA340" t="n" s="2909">
        <v>21</v>
      </c>
      <c r="AB340" t="inlineStr" s="2909">
        <is>
          <t>20140901</t>
        </is>
      </c>
      <c r="AD340" t="n" s="2909">
        <v>12</v>
      </c>
      <c r="AE340" t="inlineStr" s="2909">
        <is>
          <t>20250401</t>
        </is>
      </c>
      <c r="AH340" t="n" s="2909">
        <v>20</v>
      </c>
      <c r="AJ340" t="n" s="2909">
        <v>10</v>
      </c>
      <c r="AP340" t="n" s="2909">
        <v>470000</v>
      </c>
      <c r="DB340" s="2909" t="str">
        <f>IF($A340="","",IF($AE340&amp;""&lt;&gt;'DB_設定'!$C$4,"対象外",IF($AH340=20,IF(OR($AJ340=10,$AJ340=11,$AJ340=18),"①病院一般",IF($AJ340=41,"②病院短期","対象外")),IF($AH340=5,IF($AJ340=30,"③特定消防","対象外"),IF(OR($AJ340=10,$AJ340=11,$AJ340=74),"④一般",IF(OR($AJ340=41,$AJ340=47),"⑤短期","対象外"))))))</f>
        <v>①病院一般</v>
      </c>
    </row>
    <row r="341">
      <c r="A341" t="n" s="2909">
        <v>21</v>
      </c>
      <c r="AA341" t="n" s="2909">
        <v>21</v>
      </c>
      <c r="AB341" t="inlineStr" s="2909">
        <is>
          <t>20220401</t>
        </is>
      </c>
      <c r="AD341" t="n" s="2909">
        <v>12</v>
      </c>
      <c r="AE341" t="inlineStr" s="2909">
        <is>
          <t>20250401</t>
        </is>
      </c>
      <c r="AH341" t="n" s="2909">
        <v>11</v>
      </c>
      <c r="AJ341" t="n" s="2909">
        <v>10</v>
      </c>
      <c r="AP341" t="n" s="2909">
        <v>300000</v>
      </c>
      <c r="DB341" s="2909" t="str">
        <f>IF($A341="","",IF($AE341&amp;""&lt;&gt;'DB_設定'!$C$4,"対象外",IF($AH341=20,IF(OR($AJ341=10,$AJ341=11,$AJ341=18),"①病院一般",IF($AJ341=41,"②病院短期","対象外")),IF($AH341=5,IF($AJ341=30,"③特定消防","対象外"),IF(OR($AJ341=10,$AJ341=11,$AJ341=74),"④一般",IF(OR($AJ341=41,$AJ341=47),"⑤短期","対象外"))))))</f>
        <v>④一般</v>
      </c>
    </row>
    <row r="342">
      <c r="A342" t="n" s="2909">
        <v>21</v>
      </c>
      <c r="AA342" t="n" s="2909">
        <v>21</v>
      </c>
      <c r="AB342" t="inlineStr" s="2909">
        <is>
          <t>20220401</t>
        </is>
      </c>
      <c r="AD342" t="n" s="2909">
        <v>12</v>
      </c>
      <c r="AE342" t="inlineStr" s="2909">
        <is>
          <t>20250401</t>
        </is>
      </c>
      <c r="AH342" t="n" s="2909">
        <v>11</v>
      </c>
      <c r="AJ342" t="n" s="2909">
        <v>10</v>
      </c>
      <c r="AP342" t="n" s="2909">
        <v>240000</v>
      </c>
      <c r="DB342" s="2909" t="str">
        <f>IF($A342="","",IF($AE342&amp;""&lt;&gt;'DB_設定'!$C$4,"対象外",IF($AH342=20,IF(OR($AJ342=10,$AJ342=11,$AJ342=18),"①病院一般",IF($AJ342=41,"②病院短期","対象外")),IF($AH342=5,IF($AJ342=30,"③特定消防","対象外"),IF(OR($AJ342=10,$AJ342=11,$AJ342=74),"④一般",IF(OR($AJ342=41,$AJ342=47),"⑤短期","対象外"))))))</f>
        <v>④一般</v>
      </c>
    </row>
    <row r="343">
      <c r="A343" t="n" s="2909">
        <v>21</v>
      </c>
      <c r="AA343" t="n" s="2909">
        <v>21</v>
      </c>
      <c r="AB343" t="inlineStr" s="2909">
        <is>
          <t>20220401</t>
        </is>
      </c>
      <c r="AD343" t="n" s="2909">
        <v>12</v>
      </c>
      <c r="AE343" t="inlineStr" s="2909">
        <is>
          <t>20250401</t>
        </is>
      </c>
      <c r="AH343" t="n" s="2909">
        <v>11</v>
      </c>
      <c r="AJ343" t="n" s="2909">
        <v>10</v>
      </c>
      <c r="AP343" t="n" s="2909">
        <v>260000</v>
      </c>
      <c r="DB343" s="2909" t="str">
        <f>IF($A343="","",IF($AE343&amp;""&lt;&gt;'DB_設定'!$C$4,"対象外",IF($AH343=20,IF(OR($AJ343=10,$AJ343=11,$AJ343=18),"①病院一般",IF($AJ343=41,"②病院短期","対象外")),IF($AH343=5,IF($AJ343=30,"③特定消防","対象外"),IF(OR($AJ343=10,$AJ343=11,$AJ343=74),"④一般",IF(OR($AJ343=41,$AJ343=47),"⑤短期","対象外"))))))</f>
        <v>④一般</v>
      </c>
    </row>
    <row r="344">
      <c r="A344" t="n" s="2909">
        <v>21</v>
      </c>
      <c r="AA344" t="n" s="2909">
        <v>21</v>
      </c>
      <c r="AB344" t="inlineStr" s="2909">
        <is>
          <t>20230401</t>
        </is>
      </c>
      <c r="AD344" t="n" s="2909">
        <v>12</v>
      </c>
      <c r="AE344" t="inlineStr" s="2909">
        <is>
          <t>20250401</t>
        </is>
      </c>
      <c r="AH344" t="n" s="2909">
        <v>1</v>
      </c>
      <c r="AJ344" t="n" s="2909">
        <v>10</v>
      </c>
      <c r="AP344" t="n" s="2909">
        <v>410000</v>
      </c>
      <c r="DB344" s="2909" t="str">
        <f>IF($A344="","",IF($AE344&amp;""&lt;&gt;'DB_設定'!$C$4,"対象外",IF($AH344=20,IF(OR($AJ344=10,$AJ344=11,$AJ344=18),"①病院一般",IF($AJ344=41,"②病院短期","対象外")),IF($AH344=5,IF($AJ344=30,"③特定消防","対象外"),IF(OR($AJ344=10,$AJ344=11,$AJ344=74),"④一般",IF(OR($AJ344=41,$AJ344=47),"⑤短期","対象外"))))))</f>
        <v>④一般</v>
      </c>
    </row>
    <row r="345">
      <c r="A345" t="n" s="2909">
        <v>21</v>
      </c>
      <c r="AA345" t="n" s="2909">
        <v>21</v>
      </c>
      <c r="AB345" t="inlineStr" s="2909">
        <is>
          <t>20150401</t>
        </is>
      </c>
      <c r="AD345" t="n" s="2909">
        <v>12</v>
      </c>
      <c r="AE345" t="inlineStr" s="2909">
        <is>
          <t>20250701</t>
        </is>
      </c>
      <c r="AH345" t="n" s="2909">
        <v>1</v>
      </c>
      <c r="AJ345" t="n" s="2909">
        <v>10</v>
      </c>
      <c r="AP345" t="n" s="2909">
        <v>500000</v>
      </c>
      <c r="DB345" s="2909" t="str">
        <f>IF($A345="","",IF($AE345&amp;""&lt;&gt;'DB_設定'!$C$4,"対象外",IF($AH345=20,IF(OR($AJ345=10,$AJ345=11,$AJ345=18),"①病院一般",IF($AJ345=41,"②病院短期","対象外")),IF($AH345=5,IF($AJ345=30,"③特定消防","対象外"),IF(OR($AJ345=10,$AJ345=11,$AJ345=74),"④一般",IF(OR($AJ345=41,$AJ345=47),"⑤短期","対象外"))))))</f>
        <v>対象外</v>
      </c>
    </row>
    <row r="346">
      <c r="A346" t="n" s="2909">
        <v>21</v>
      </c>
      <c r="AA346" t="n" s="2909">
        <v>21</v>
      </c>
      <c r="AB346" t="inlineStr" s="2909">
        <is>
          <t>20150401</t>
        </is>
      </c>
      <c r="AD346" t="n" s="2909">
        <v>12</v>
      </c>
      <c r="AE346" t="inlineStr" s="2909">
        <is>
          <t>20250916</t>
        </is>
      </c>
      <c r="AH346" t="n" s="2909">
        <v>1</v>
      </c>
      <c r="AJ346" t="n" s="2909">
        <v>10</v>
      </c>
      <c r="AP346" t="n" s="2909">
        <v>380000</v>
      </c>
      <c r="DB346" s="2909" t="str">
        <f>IF($A346="","",IF($AE346&amp;""&lt;&gt;'DB_設定'!$C$4,"対象外",IF($AH346=20,IF(OR($AJ346=10,$AJ346=11,$AJ346=18),"①病院一般",IF($AJ346=41,"②病院短期","対象外")),IF($AH346=5,IF($AJ346=30,"③特定消防","対象外"),IF(OR($AJ346=10,$AJ346=11,$AJ346=74),"④一般",IF(OR($AJ346=41,$AJ346=47),"⑤短期","対象外"))))))</f>
        <v>対象外</v>
      </c>
    </row>
    <row r="347">
      <c r="A347" t="n" s="2909">
        <v>21</v>
      </c>
      <c r="AA347" t="n" s="2909">
        <v>21</v>
      </c>
      <c r="AB347" t="inlineStr" s="2909">
        <is>
          <t>20150401</t>
        </is>
      </c>
      <c r="AD347" t="n" s="2909">
        <v>12</v>
      </c>
      <c r="AE347" t="inlineStr" s="2909">
        <is>
          <t>20251001</t>
        </is>
      </c>
      <c r="AH347" t="n" s="2909">
        <v>1</v>
      </c>
      <c r="AJ347" t="n" s="2909">
        <v>10</v>
      </c>
      <c r="AP347" t="n" s="2909">
        <v>470000</v>
      </c>
      <c r="DB347" s="2909" t="str">
        <f>IF($A347="","",IF($AE347&amp;""&lt;&gt;'DB_設定'!$C$4,"対象外",IF($AH347=20,IF(OR($AJ347=10,$AJ347=11,$AJ347=18),"①病院一般",IF($AJ347=41,"②病院短期","対象外")),IF($AH347=5,IF($AJ347=30,"③特定消防","対象外"),IF(OR($AJ347=10,$AJ347=11,$AJ347=74),"④一般",IF(OR($AJ347=41,$AJ347=47),"⑤短期","対象外"))))))</f>
        <v>対象外</v>
      </c>
    </row>
    <row r="348">
      <c r="A348" t="n" s="2909">
        <v>21</v>
      </c>
      <c r="AA348" t="n" s="2909">
        <v>21</v>
      </c>
      <c r="AB348" t="inlineStr" s="2909">
        <is>
          <t>20150401</t>
        </is>
      </c>
      <c r="AD348" t="n" s="2909">
        <v>12</v>
      </c>
      <c r="AE348" t="inlineStr" s="2909">
        <is>
          <t>20250401</t>
        </is>
      </c>
      <c r="AH348" t="n" s="2909">
        <v>20</v>
      </c>
      <c r="AJ348" t="n" s="2909">
        <v>10</v>
      </c>
      <c r="AP348" t="n" s="2909">
        <v>300000</v>
      </c>
      <c r="DB348" s="2909" t="str">
        <f>IF($A348="","",IF($AE348&amp;""&lt;&gt;'DB_設定'!$C$4,"対象外",IF($AH348=20,IF(OR($AJ348=10,$AJ348=11,$AJ348=18),"①病院一般",IF($AJ348=41,"②病院短期","対象外")),IF($AH348=5,IF($AJ348=30,"③特定消防","対象外"),IF(OR($AJ348=10,$AJ348=11,$AJ348=74),"④一般",IF(OR($AJ348=41,$AJ348=47),"⑤短期","対象外"))))))</f>
        <v>①病院一般</v>
      </c>
    </row>
    <row r="349">
      <c r="A349" t="n" s="2909">
        <v>21</v>
      </c>
      <c r="AA349" t="n" s="2909">
        <v>21</v>
      </c>
      <c r="AB349" t="inlineStr" s="2909">
        <is>
          <t>20150401</t>
        </is>
      </c>
      <c r="AD349" t="n" s="2909">
        <v>12</v>
      </c>
      <c r="AE349" t="inlineStr" s="2909">
        <is>
          <t>20250401</t>
        </is>
      </c>
      <c r="AH349" t="n" s="2909">
        <v>20</v>
      </c>
      <c r="AJ349" t="n" s="2909">
        <v>10</v>
      </c>
      <c r="AP349" t="n" s="2909">
        <v>440000</v>
      </c>
      <c r="DB349" s="2909" t="str">
        <f>IF($A349="","",IF($AE349&amp;""&lt;&gt;'DB_設定'!$C$4,"対象外",IF($AH349=20,IF(OR($AJ349=10,$AJ349=11,$AJ349=18),"①病院一般",IF($AJ349=41,"②病院短期","対象外")),IF($AH349=5,IF($AJ349=30,"③特定消防","対象外"),IF(OR($AJ349=10,$AJ349=11,$AJ349=74),"④一般",IF(OR($AJ349=41,$AJ349=47),"⑤短期","対象外"))))))</f>
        <v>①病院一般</v>
      </c>
    </row>
    <row r="350">
      <c r="A350" t="n" s="2909">
        <v>21</v>
      </c>
      <c r="AA350" t="n" s="2909">
        <v>21</v>
      </c>
      <c r="AB350" t="inlineStr" s="2909">
        <is>
          <t>20150401</t>
        </is>
      </c>
      <c r="AD350" t="n" s="2909">
        <v>12</v>
      </c>
      <c r="AE350" t="inlineStr" s="2909">
        <is>
          <t>20250401</t>
        </is>
      </c>
      <c r="AH350" t="n" s="2909">
        <v>20</v>
      </c>
      <c r="AJ350" t="n" s="2909">
        <v>10</v>
      </c>
      <c r="AP350" t="n" s="2909">
        <v>260000</v>
      </c>
      <c r="DB350" s="2909" t="str">
        <f>IF($A350="","",IF($AE350&amp;""&lt;&gt;'DB_設定'!$C$4,"対象外",IF($AH350=20,IF(OR($AJ350=10,$AJ350=11,$AJ350=18),"①病院一般",IF($AJ350=41,"②病院短期","対象外")),IF($AH350=5,IF($AJ350=30,"③特定消防","対象外"),IF(OR($AJ350=10,$AJ350=11,$AJ350=74),"④一般",IF(OR($AJ350=41,$AJ350=47),"⑤短期","対象外"))))))</f>
        <v>①病院一般</v>
      </c>
    </row>
    <row r="351">
      <c r="A351" t="n" s="2909">
        <v>21</v>
      </c>
      <c r="AA351" t="n" s="2909">
        <v>21</v>
      </c>
      <c r="AB351" t="inlineStr" s="2909">
        <is>
          <t>20150401</t>
        </is>
      </c>
      <c r="AD351" t="n" s="2909">
        <v>12</v>
      </c>
      <c r="AE351" t="inlineStr" s="2909">
        <is>
          <t>20250901</t>
        </is>
      </c>
      <c r="AH351" t="n" s="2909">
        <v>20</v>
      </c>
      <c r="AJ351" t="n" s="2909">
        <v>10</v>
      </c>
      <c r="AP351" t="n" s="2909">
        <v>500000</v>
      </c>
      <c r="DB351" s="2909" t="str">
        <f>IF($A351="","",IF($AE351&amp;""&lt;&gt;'DB_設定'!$C$4,"対象外",IF($AH351=20,IF(OR($AJ351=10,$AJ351=11,$AJ351=18),"①病院一般",IF($AJ351=41,"②病院短期","対象外")),IF($AH351=5,IF($AJ351=30,"③特定消防","対象外"),IF(OR($AJ351=10,$AJ351=11,$AJ351=74),"④一般",IF(OR($AJ351=41,$AJ351=47),"⑤短期","対象外"))))))</f>
        <v>対象外</v>
      </c>
    </row>
    <row r="352">
      <c r="A352" t="n" s="2909">
        <v>21</v>
      </c>
      <c r="AA352" t="n" s="2909">
        <v>21</v>
      </c>
      <c r="AB352" t="inlineStr" s="2909">
        <is>
          <t>20150401</t>
        </is>
      </c>
      <c r="AD352" t="n" s="2909">
        <v>12</v>
      </c>
      <c r="AE352" t="inlineStr" s="2909">
        <is>
          <t>20250401</t>
        </is>
      </c>
      <c r="AH352" t="n" s="2909">
        <v>20</v>
      </c>
      <c r="AJ352" t="n" s="2909">
        <v>10</v>
      </c>
      <c r="AP352" t="n" s="2909">
        <v>360000</v>
      </c>
      <c r="DB352" s="2909" t="str">
        <f>IF($A352="","",IF($AE352&amp;""&lt;&gt;'DB_設定'!$C$4,"対象外",IF($AH352=20,IF(OR($AJ352=10,$AJ352=11,$AJ352=18),"①病院一般",IF($AJ352=41,"②病院短期","対象外")),IF($AH352=5,IF($AJ352=30,"③特定消防","対象外"),IF(OR($AJ352=10,$AJ352=11,$AJ352=74),"④一般",IF(OR($AJ352=41,$AJ352=47),"⑤短期","対象外"))))))</f>
        <v>①病院一般</v>
      </c>
    </row>
    <row r="353">
      <c r="A353" t="n" s="2909">
        <v>21</v>
      </c>
      <c r="AA353" t="n" s="2909">
        <v>21</v>
      </c>
      <c r="AB353" t="inlineStr" s="2909">
        <is>
          <t>20150401</t>
        </is>
      </c>
      <c r="AD353" t="n" s="2909">
        <v>12</v>
      </c>
      <c r="AE353" t="inlineStr" s="2909">
        <is>
          <t>20250716</t>
        </is>
      </c>
      <c r="AH353" t="n" s="2909">
        <v>20</v>
      </c>
      <c r="AJ353" t="n" s="2909">
        <v>10</v>
      </c>
      <c r="AP353" t="n" s="2909">
        <v>1210000</v>
      </c>
      <c r="DB353" s="2909" t="str">
        <f>IF($A353="","",IF($AE353&amp;""&lt;&gt;'DB_設定'!$C$4,"対象外",IF($AH353=20,IF(OR($AJ353=10,$AJ353=11,$AJ353=18),"①病院一般",IF($AJ353=41,"②病院短期","対象外")),IF($AH353=5,IF($AJ353=30,"③特定消防","対象外"),IF(OR($AJ353=10,$AJ353=11,$AJ353=74),"④一般",IF(OR($AJ353=41,$AJ353=47),"⑤短期","対象外"))))))</f>
        <v>対象外</v>
      </c>
    </row>
    <row r="354">
      <c r="A354" t="n" s="2909">
        <v>21</v>
      </c>
      <c r="AA354" t="n" s="2909">
        <v>21</v>
      </c>
      <c r="AB354" t="inlineStr" s="2909">
        <is>
          <t>20160401</t>
        </is>
      </c>
      <c r="AD354" t="n" s="2909">
        <v>12</v>
      </c>
      <c r="AE354" t="inlineStr" s="2909">
        <is>
          <t>20250401</t>
        </is>
      </c>
      <c r="AH354" t="n" s="2909">
        <v>1</v>
      </c>
      <c r="AJ354" t="n" s="2909">
        <v>10</v>
      </c>
      <c r="AP354" t="n" s="2909">
        <v>340000</v>
      </c>
      <c r="DB354" s="2909" t="str">
        <f>IF($A354="","",IF($AE354&amp;""&lt;&gt;'DB_設定'!$C$4,"対象外",IF($AH354=20,IF(OR($AJ354=10,$AJ354=11,$AJ354=18),"①病院一般",IF($AJ354=41,"②病院短期","対象外")),IF($AH354=5,IF($AJ354=30,"③特定消防","対象外"),IF(OR($AJ354=10,$AJ354=11,$AJ354=74),"④一般",IF(OR($AJ354=41,$AJ354=47),"⑤短期","対象外"))))))</f>
        <v>④一般</v>
      </c>
    </row>
    <row r="355">
      <c r="A355" t="n" s="2909">
        <v>21</v>
      </c>
      <c r="AA355" t="n" s="2909">
        <v>21</v>
      </c>
      <c r="AB355" t="inlineStr" s="2909">
        <is>
          <t>20160401</t>
        </is>
      </c>
      <c r="AD355" t="n" s="2909">
        <v>12</v>
      </c>
      <c r="AE355" t="inlineStr" s="2909">
        <is>
          <t>20250401</t>
        </is>
      </c>
      <c r="AH355" t="n" s="2909">
        <v>1</v>
      </c>
      <c r="AJ355" t="n" s="2909">
        <v>10</v>
      </c>
      <c r="AP355" t="n" s="2909">
        <v>410000</v>
      </c>
      <c r="DB355" s="2909" t="str">
        <f>IF($A355="","",IF($AE355&amp;""&lt;&gt;'DB_設定'!$C$4,"対象外",IF($AH355=20,IF(OR($AJ355=10,$AJ355=11,$AJ355=18),"①病院一般",IF($AJ355=41,"②病院短期","対象外")),IF($AH355=5,IF($AJ355=30,"③特定消防","対象外"),IF(OR($AJ355=10,$AJ355=11,$AJ355=74),"④一般",IF(OR($AJ355=41,$AJ355=47),"⑤短期","対象外"))))))</f>
        <v>④一般</v>
      </c>
    </row>
    <row r="356">
      <c r="A356" t="n" s="2909">
        <v>21</v>
      </c>
      <c r="AA356" t="n" s="2909">
        <v>21</v>
      </c>
      <c r="AB356" t="inlineStr" s="2909">
        <is>
          <t>20160401</t>
        </is>
      </c>
      <c r="AD356" t="n" s="2909">
        <v>12</v>
      </c>
      <c r="AE356" t="inlineStr" s="2909">
        <is>
          <t>20250401</t>
        </is>
      </c>
      <c r="AH356" t="n" s="2909">
        <v>3</v>
      </c>
      <c r="AJ356" t="n" s="2909">
        <v>10</v>
      </c>
      <c r="AP356" t="n" s="2909">
        <v>530000</v>
      </c>
      <c r="DB356" s="2909" t="str">
        <f>IF($A356="","",IF($AE356&amp;""&lt;&gt;'DB_設定'!$C$4,"対象外",IF($AH356=20,IF(OR($AJ356=10,$AJ356=11,$AJ356=18),"①病院一般",IF($AJ356=41,"②病院短期","対象外")),IF($AH356=5,IF($AJ356=30,"③特定消防","対象外"),IF(OR($AJ356=10,$AJ356=11,$AJ356=74),"④一般",IF(OR($AJ356=41,$AJ356=47),"⑤短期","対象外"))))))</f>
        <v>④一般</v>
      </c>
    </row>
    <row r="357">
      <c r="A357" t="n" s="2909">
        <v>21</v>
      </c>
      <c r="AA357" t="n" s="2909">
        <v>21</v>
      </c>
      <c r="AB357" t="inlineStr" s="2909">
        <is>
          <t>20160401</t>
        </is>
      </c>
      <c r="AD357" t="n" s="2909">
        <v>12</v>
      </c>
      <c r="AE357" t="inlineStr" s="2909">
        <is>
          <t>20250801</t>
        </is>
      </c>
      <c r="AH357" t="n" s="2909">
        <v>4</v>
      </c>
      <c r="AJ357" t="n" s="2909">
        <v>10</v>
      </c>
      <c r="AP357" t="n" s="2909">
        <v>340000</v>
      </c>
      <c r="DB357" s="2909" t="str">
        <f>IF($A357="","",IF($AE357&amp;""&lt;&gt;'DB_設定'!$C$4,"対象外",IF($AH357=20,IF(OR($AJ357=10,$AJ357=11,$AJ357=18),"①病院一般",IF($AJ357=41,"②病院短期","対象外")),IF($AH357=5,IF($AJ357=30,"③特定消防","対象外"),IF(OR($AJ357=10,$AJ357=11,$AJ357=74),"④一般",IF(OR($AJ357=41,$AJ357=47),"⑤短期","対象外"))))))</f>
        <v>対象外</v>
      </c>
    </row>
    <row r="358">
      <c r="A358" t="n" s="2909">
        <v>21</v>
      </c>
      <c r="AA358" t="n" s="2909">
        <v>21</v>
      </c>
      <c r="AB358" t="inlineStr" s="2909">
        <is>
          <t>20160401</t>
        </is>
      </c>
      <c r="AD358" t="n" s="2909">
        <v>12</v>
      </c>
      <c r="AE358" t="inlineStr" s="2909">
        <is>
          <t>20250401</t>
        </is>
      </c>
      <c r="AH358" t="n" s="2909">
        <v>1</v>
      </c>
      <c r="AJ358" t="n" s="2909">
        <v>10</v>
      </c>
      <c r="AP358" t="n" s="2909">
        <v>340000</v>
      </c>
      <c r="DB358" s="2909" t="str">
        <f>IF($A358="","",IF($AE358&amp;""&lt;&gt;'DB_設定'!$C$4,"対象外",IF($AH358=20,IF(OR($AJ358=10,$AJ358=11,$AJ358=18),"①病院一般",IF($AJ358=41,"②病院短期","対象外")),IF($AH358=5,IF($AJ358=30,"③特定消防","対象外"),IF(OR($AJ358=10,$AJ358=11,$AJ358=74),"④一般",IF(OR($AJ358=41,$AJ358=47),"⑤短期","対象外"))))))</f>
        <v>④一般</v>
      </c>
    </row>
    <row r="359">
      <c r="A359" t="n" s="2909">
        <v>21</v>
      </c>
      <c r="AA359" t="n" s="2909">
        <v>21</v>
      </c>
      <c r="AB359" t="inlineStr" s="2909">
        <is>
          <t>20160401</t>
        </is>
      </c>
      <c r="AD359" t="n" s="2909">
        <v>12</v>
      </c>
      <c r="AE359" t="inlineStr" s="2909">
        <is>
          <t>20250401</t>
        </is>
      </c>
      <c r="AH359" t="n" s="2909">
        <v>1</v>
      </c>
      <c r="AJ359" t="n" s="2909">
        <v>10</v>
      </c>
      <c r="AP359" t="n" s="2909">
        <v>300000</v>
      </c>
      <c r="DB359" s="2909" t="str">
        <f>IF($A359="","",IF($AE359&amp;""&lt;&gt;'DB_設定'!$C$4,"対象外",IF($AH359=20,IF(OR($AJ359=10,$AJ359=11,$AJ359=18),"①病院一般",IF($AJ359=41,"②病院短期","対象外")),IF($AH359=5,IF($AJ359=30,"③特定消防","対象外"),IF(OR($AJ359=10,$AJ359=11,$AJ359=74),"④一般",IF(OR($AJ359=41,$AJ359=47),"⑤短期","対象外"))))))</f>
        <v>④一般</v>
      </c>
    </row>
    <row r="360">
      <c r="A360" t="n" s="2909">
        <v>21</v>
      </c>
      <c r="AA360" t="n" s="2909">
        <v>21</v>
      </c>
      <c r="AB360" t="inlineStr" s="2909">
        <is>
          <t>20160401</t>
        </is>
      </c>
      <c r="AD360" t="n" s="2909">
        <v>12</v>
      </c>
      <c r="AE360" t="inlineStr" s="2909">
        <is>
          <t>20250827</t>
        </is>
      </c>
      <c r="AH360" t="n" s="2909">
        <v>1</v>
      </c>
      <c r="AJ360" t="n" s="2909">
        <v>10</v>
      </c>
      <c r="AP360" t="n" s="2909">
        <v>380000</v>
      </c>
      <c r="DB360" s="2909" t="str">
        <f>IF($A360="","",IF($AE360&amp;""&lt;&gt;'DB_設定'!$C$4,"対象外",IF($AH360=20,IF(OR($AJ360=10,$AJ360=11,$AJ360=18),"①病院一般",IF($AJ360=41,"②病院短期","対象外")),IF($AH360=5,IF($AJ360=30,"③特定消防","対象外"),IF(OR($AJ360=10,$AJ360=11,$AJ360=74),"④一般",IF(OR($AJ360=41,$AJ360=47),"⑤短期","対象外"))))))</f>
        <v>対象外</v>
      </c>
    </row>
    <row r="361">
      <c r="A361" t="n" s="2909">
        <v>21</v>
      </c>
      <c r="AA361" t="n" s="2909">
        <v>21</v>
      </c>
      <c r="AB361" t="inlineStr" s="2909">
        <is>
          <t>20160401</t>
        </is>
      </c>
      <c r="AD361" t="n" s="2909">
        <v>12</v>
      </c>
      <c r="AE361" t="inlineStr" s="2909">
        <is>
          <t>20250401</t>
        </is>
      </c>
      <c r="AH361" t="n" s="2909">
        <v>5</v>
      </c>
      <c r="AJ361" t="n" s="2909">
        <v>30</v>
      </c>
      <c r="AP361" t="n" s="2909">
        <v>280000</v>
      </c>
      <c r="DB361" s="2909" t="str">
        <f>IF($A361="","",IF($AE361&amp;""&lt;&gt;'DB_設定'!$C$4,"対象外",IF($AH361=20,IF(OR($AJ361=10,$AJ361=11,$AJ361=18),"①病院一般",IF($AJ361=41,"②病院短期","対象外")),IF($AH361=5,IF($AJ361=30,"③特定消防","対象外"),IF(OR($AJ361=10,$AJ361=11,$AJ361=74),"④一般",IF(OR($AJ361=41,$AJ361=47),"⑤短期","対象外"))))))</f>
        <v>③特定消防</v>
      </c>
    </row>
    <row r="362">
      <c r="A362" t="n" s="2909">
        <v>21</v>
      </c>
      <c r="AA362" t="n" s="2909">
        <v>21</v>
      </c>
      <c r="AB362" t="inlineStr" s="2909">
        <is>
          <t>20160401</t>
        </is>
      </c>
      <c r="AD362" t="n" s="2909">
        <v>12</v>
      </c>
      <c r="AE362" t="inlineStr" s="2909">
        <is>
          <t>20250401</t>
        </is>
      </c>
      <c r="AH362" t="n" s="2909">
        <v>5</v>
      </c>
      <c r="AJ362" t="n" s="2909">
        <v>30</v>
      </c>
      <c r="AP362" t="n" s="2909">
        <v>190000</v>
      </c>
      <c r="DB362" s="2909" t="str">
        <f>IF($A362="","",IF($AE362&amp;""&lt;&gt;'DB_設定'!$C$4,"対象外",IF($AH362=20,IF(OR($AJ362=10,$AJ362=11,$AJ362=18),"①病院一般",IF($AJ362=41,"②病院短期","対象外")),IF($AH362=5,IF($AJ362=30,"③特定消防","対象外"),IF(OR($AJ362=10,$AJ362=11,$AJ362=74),"④一般",IF(OR($AJ362=41,$AJ362=47),"⑤短期","対象外"))))))</f>
        <v>③特定消防</v>
      </c>
    </row>
    <row r="363">
      <c r="A363" t="n" s="2909">
        <v>21</v>
      </c>
      <c r="AA363" t="n" s="2909">
        <v>21</v>
      </c>
      <c r="AB363" t="inlineStr" s="2909">
        <is>
          <t>20160501</t>
        </is>
      </c>
      <c r="AD363" t="n" s="2909">
        <v>12</v>
      </c>
      <c r="AE363" t="inlineStr" s="2909">
        <is>
          <t>20250401</t>
        </is>
      </c>
      <c r="AH363" t="n" s="2909">
        <v>1</v>
      </c>
      <c r="AJ363" t="n" s="2909">
        <v>10</v>
      </c>
      <c r="AP363" t="n" s="2909">
        <v>1030000</v>
      </c>
      <c r="DB363" s="2909" t="str">
        <f>IF($A363="","",IF($AE363&amp;""&lt;&gt;'DB_設定'!$C$4,"対象外",IF($AH363=20,IF(OR($AJ363=10,$AJ363=11,$AJ363=18),"①病院一般",IF($AJ363=41,"②病院短期","対象外")),IF($AH363=5,IF($AJ363=30,"③特定消防","対象外"),IF(OR($AJ363=10,$AJ363=11,$AJ363=74),"④一般",IF(OR($AJ363=41,$AJ363=47),"⑤短期","対象外"))))))</f>
        <v>④一般</v>
      </c>
    </row>
    <row r="364">
      <c r="A364" t="n" s="2909">
        <v>21</v>
      </c>
      <c r="AA364" t="n" s="2909">
        <v>21</v>
      </c>
      <c r="AB364" t="inlineStr" s="2909">
        <is>
          <t>20160401</t>
        </is>
      </c>
      <c r="AD364" t="n" s="2909">
        <v>12</v>
      </c>
      <c r="AE364" t="inlineStr" s="2909">
        <is>
          <t>20250401</t>
        </is>
      </c>
      <c r="AH364" t="n" s="2909">
        <v>20</v>
      </c>
      <c r="AJ364" t="n" s="2909">
        <v>10</v>
      </c>
      <c r="AP364" t="n" s="2909">
        <v>440000</v>
      </c>
      <c r="DB364" s="2909" t="str">
        <f>IF($A364="","",IF($AE364&amp;""&lt;&gt;'DB_設定'!$C$4,"対象外",IF($AH364=20,IF(OR($AJ364=10,$AJ364=11,$AJ364=18),"①病院一般",IF($AJ364=41,"②病院短期","対象外")),IF($AH364=5,IF($AJ364=30,"③特定消防","対象外"),IF(OR($AJ364=10,$AJ364=11,$AJ364=74),"④一般",IF(OR($AJ364=41,$AJ364=47),"⑤短期","対象外"))))))</f>
        <v>①病院一般</v>
      </c>
    </row>
    <row r="365">
      <c r="A365" t="n" s="2909">
        <v>21</v>
      </c>
      <c r="AA365" t="n" s="2909">
        <v>21</v>
      </c>
      <c r="AB365" t="inlineStr" s="2909">
        <is>
          <t>20160401</t>
        </is>
      </c>
      <c r="AD365" t="n" s="2909">
        <v>12</v>
      </c>
      <c r="AE365" t="inlineStr" s="2909">
        <is>
          <t>20250401</t>
        </is>
      </c>
      <c r="AH365" t="n" s="2909">
        <v>20</v>
      </c>
      <c r="AJ365" t="n" s="2909">
        <v>10</v>
      </c>
      <c r="AP365" t="n" s="2909">
        <v>440000</v>
      </c>
      <c r="DB365" s="2909" t="str">
        <f>IF($A365="","",IF($AE365&amp;""&lt;&gt;'DB_設定'!$C$4,"対象外",IF($AH365=20,IF(OR($AJ365=10,$AJ365=11,$AJ365=18),"①病院一般",IF($AJ365=41,"②病院短期","対象外")),IF($AH365=5,IF($AJ365=30,"③特定消防","対象外"),IF(OR($AJ365=10,$AJ365=11,$AJ365=74),"④一般",IF(OR($AJ365=41,$AJ365=47),"⑤短期","対象外"))))))</f>
        <v>①病院一般</v>
      </c>
    </row>
    <row r="366">
      <c r="A366" t="n" s="2909">
        <v>21</v>
      </c>
      <c r="AA366" t="n" s="2909">
        <v>21</v>
      </c>
      <c r="AB366" t="inlineStr" s="2909">
        <is>
          <t>20160401</t>
        </is>
      </c>
      <c r="AD366" t="n" s="2909">
        <v>12</v>
      </c>
      <c r="AE366" t="inlineStr" s="2909">
        <is>
          <t>20250401</t>
        </is>
      </c>
      <c r="AH366" t="n" s="2909">
        <v>20</v>
      </c>
      <c r="AJ366" t="n" s="2909">
        <v>10</v>
      </c>
      <c r="AP366" t="n" s="2909">
        <v>380000</v>
      </c>
      <c r="DB366" s="2909" t="str">
        <f>IF($A366="","",IF($AE366&amp;""&lt;&gt;'DB_設定'!$C$4,"対象外",IF($AH366=20,IF(OR($AJ366=10,$AJ366=11,$AJ366=18),"①病院一般",IF($AJ366=41,"②病院短期","対象外")),IF($AH366=5,IF($AJ366=30,"③特定消防","対象外"),IF(OR($AJ366=10,$AJ366=11,$AJ366=74),"④一般",IF(OR($AJ366=41,$AJ366=47),"⑤短期","対象外"))))))</f>
        <v>①病院一般</v>
      </c>
    </row>
    <row r="367">
      <c r="A367" t="n" s="2909">
        <v>21</v>
      </c>
      <c r="AA367" t="n" s="2909">
        <v>21</v>
      </c>
      <c r="AB367" t="inlineStr" s="2909">
        <is>
          <t>20160401</t>
        </is>
      </c>
      <c r="AD367" t="n" s="2909">
        <v>12</v>
      </c>
      <c r="AE367" t="inlineStr" s="2909">
        <is>
          <t>20250901</t>
        </is>
      </c>
      <c r="AH367" t="n" s="2909">
        <v>20</v>
      </c>
      <c r="AJ367" t="n" s="2909">
        <v>10</v>
      </c>
      <c r="AP367" t="n" s="2909">
        <v>930000</v>
      </c>
      <c r="DB367" s="2909" t="str">
        <f>IF($A367="","",IF($AE367&amp;""&lt;&gt;'DB_設定'!$C$4,"対象外",IF($AH367=20,IF(OR($AJ367=10,$AJ367=11,$AJ367=18),"①病院一般",IF($AJ367=41,"②病院短期","対象外")),IF($AH367=5,IF($AJ367=30,"③特定消防","対象外"),IF(OR($AJ367=10,$AJ367=11,$AJ367=74),"④一般",IF(OR($AJ367=41,$AJ367=47),"⑤短期","対象外"))))))</f>
        <v>対象外</v>
      </c>
    </row>
    <row r="368">
      <c r="A368" t="n" s="2909">
        <v>21</v>
      </c>
      <c r="AA368" t="n" s="2909">
        <v>21</v>
      </c>
      <c r="AB368" t="inlineStr" s="2909">
        <is>
          <t>20160601</t>
        </is>
      </c>
      <c r="AD368" t="n" s="2909">
        <v>12</v>
      </c>
      <c r="AE368" t="inlineStr" s="2909">
        <is>
          <t>20250401</t>
        </is>
      </c>
      <c r="AH368" t="n" s="2909">
        <v>20</v>
      </c>
      <c r="AJ368" t="n" s="2909">
        <v>10</v>
      </c>
      <c r="AP368" t="n" s="2909">
        <v>240000</v>
      </c>
      <c r="DB368" s="2909" t="str">
        <f>IF($A368="","",IF($AE368&amp;""&lt;&gt;'DB_設定'!$C$4,"対象外",IF($AH368=20,IF(OR($AJ368=10,$AJ368=11,$AJ368=18),"①病院一般",IF($AJ368=41,"②病院短期","対象外")),IF($AH368=5,IF($AJ368=30,"③特定消防","対象外"),IF(OR($AJ368=10,$AJ368=11,$AJ368=74),"④一般",IF(OR($AJ368=41,$AJ368=47),"⑤短期","対象外"))))))</f>
        <v>①病院一般</v>
      </c>
    </row>
    <row r="369">
      <c r="A369" t="n" s="2909">
        <v>21</v>
      </c>
      <c r="AA369" t="n" s="2909">
        <v>21</v>
      </c>
      <c r="AB369" t="inlineStr" s="2909">
        <is>
          <t>20170401</t>
        </is>
      </c>
      <c r="AD369" t="n" s="2909">
        <v>12</v>
      </c>
      <c r="AE369" t="inlineStr" s="2909">
        <is>
          <t>20250401</t>
        </is>
      </c>
      <c r="AH369" t="n" s="2909">
        <v>3</v>
      </c>
      <c r="AJ369" t="n" s="2909">
        <v>10</v>
      </c>
      <c r="AP369" t="n" s="2909">
        <v>410000</v>
      </c>
      <c r="DB369" s="2909" t="str">
        <f>IF($A369="","",IF($AE369&amp;""&lt;&gt;'DB_設定'!$C$4,"対象外",IF($AH369=20,IF(OR($AJ369=10,$AJ369=11,$AJ369=18),"①病院一般",IF($AJ369=41,"②病院短期","対象外")),IF($AH369=5,IF($AJ369=30,"③特定消防","対象外"),IF(OR($AJ369=10,$AJ369=11,$AJ369=74),"④一般",IF(OR($AJ369=41,$AJ369=47),"⑤短期","対象外"))))))</f>
        <v>④一般</v>
      </c>
    </row>
    <row r="370">
      <c r="A370" t="n" s="2909">
        <v>21</v>
      </c>
      <c r="AA370" t="n" s="2909">
        <v>21</v>
      </c>
      <c r="AB370" t="inlineStr" s="2909">
        <is>
          <t>20170401</t>
        </is>
      </c>
      <c r="AD370" t="n" s="2909">
        <v>12</v>
      </c>
      <c r="AE370" t="inlineStr" s="2909">
        <is>
          <t>20250401</t>
        </is>
      </c>
      <c r="AH370" t="n" s="2909">
        <v>1</v>
      </c>
      <c r="AJ370" t="n" s="2909">
        <v>10</v>
      </c>
      <c r="AP370" t="n" s="2909">
        <v>340000</v>
      </c>
      <c r="DB370" s="2909" t="str">
        <f>IF($A370="","",IF($AE370&amp;""&lt;&gt;'DB_設定'!$C$4,"対象外",IF($AH370=20,IF(OR($AJ370=10,$AJ370=11,$AJ370=18),"①病院一般",IF($AJ370=41,"②病院短期","対象外")),IF($AH370=5,IF($AJ370=30,"③特定消防","対象外"),IF(OR($AJ370=10,$AJ370=11,$AJ370=74),"④一般",IF(OR($AJ370=41,$AJ370=47),"⑤短期","対象外"))))))</f>
        <v>④一般</v>
      </c>
    </row>
    <row r="371">
      <c r="A371" t="n" s="2909">
        <v>21</v>
      </c>
      <c r="AA371" t="n" s="2909">
        <v>21</v>
      </c>
      <c r="AB371" t="inlineStr" s="2909">
        <is>
          <t>20170401</t>
        </is>
      </c>
      <c r="AD371" t="n" s="2909">
        <v>12</v>
      </c>
      <c r="AE371" t="inlineStr" s="2909">
        <is>
          <t>20250725</t>
        </is>
      </c>
      <c r="AH371" t="n" s="2909">
        <v>4</v>
      </c>
      <c r="AJ371" t="n" s="2909">
        <v>10</v>
      </c>
      <c r="AP371" t="n" s="2909">
        <v>280000</v>
      </c>
      <c r="DB371" s="2909" t="str">
        <f>IF($A371="","",IF($AE371&amp;""&lt;&gt;'DB_設定'!$C$4,"対象外",IF($AH371=20,IF(OR($AJ371=10,$AJ371=11,$AJ371=18),"①病院一般",IF($AJ371=41,"②病院短期","対象外")),IF($AH371=5,IF($AJ371=30,"③特定消防","対象外"),IF(OR($AJ371=10,$AJ371=11,$AJ371=74),"④一般",IF(OR($AJ371=41,$AJ371=47),"⑤短期","対象外"))))))</f>
        <v>対象外</v>
      </c>
    </row>
    <row r="372">
      <c r="A372" t="n" s="2909">
        <v>21</v>
      </c>
      <c r="AA372" t="n" s="2909">
        <v>21</v>
      </c>
      <c r="AB372" t="inlineStr" s="2909">
        <is>
          <t>20170401</t>
        </is>
      </c>
      <c r="AD372" t="n" s="2909">
        <v>12</v>
      </c>
      <c r="AE372" t="inlineStr" s="2909">
        <is>
          <t>20250401</t>
        </is>
      </c>
      <c r="AH372" t="n" s="2909">
        <v>1</v>
      </c>
      <c r="AJ372" t="n" s="2909">
        <v>10</v>
      </c>
      <c r="AP372" t="n" s="2909">
        <v>280000</v>
      </c>
      <c r="DB372" s="2909" t="str">
        <f>IF($A372="","",IF($AE372&amp;""&lt;&gt;'DB_設定'!$C$4,"対象外",IF($AH372=20,IF(OR($AJ372=10,$AJ372=11,$AJ372=18),"①病院一般",IF($AJ372=41,"②病院短期","対象外")),IF($AH372=5,IF($AJ372=30,"③特定消防","対象外"),IF(OR($AJ372=10,$AJ372=11,$AJ372=74),"④一般",IF(OR($AJ372=41,$AJ372=47),"⑤短期","対象外"))))))</f>
        <v>④一般</v>
      </c>
    </row>
    <row r="373">
      <c r="A373" t="n" s="2909">
        <v>21</v>
      </c>
      <c r="AA373" t="n" s="2909">
        <v>21</v>
      </c>
      <c r="AB373" t="inlineStr" s="2909">
        <is>
          <t>20170401</t>
        </is>
      </c>
      <c r="AD373" t="n" s="2909">
        <v>12</v>
      </c>
      <c r="AE373" t="inlineStr" s="2909">
        <is>
          <t>20250401</t>
        </is>
      </c>
      <c r="AH373" t="n" s="2909">
        <v>1</v>
      </c>
      <c r="AJ373" t="n" s="2909">
        <v>10</v>
      </c>
      <c r="AP373" t="n" s="2909">
        <v>220000</v>
      </c>
      <c r="DB373" s="2909" t="str">
        <f>IF($A373="","",IF($AE373&amp;""&lt;&gt;'DB_設定'!$C$4,"対象外",IF($AH373=20,IF(OR($AJ373=10,$AJ373=11,$AJ373=18),"①病院一般",IF($AJ373=41,"②病院短期","対象外")),IF($AH373=5,IF($AJ373=30,"③特定消防","対象外"),IF(OR($AJ373=10,$AJ373=11,$AJ373=74),"④一般",IF(OR($AJ373=41,$AJ373=47),"⑤短期","対象外"))))))</f>
        <v>④一般</v>
      </c>
    </row>
    <row r="374">
      <c r="A374" t="n" s="2909">
        <v>21</v>
      </c>
      <c r="AA374" t="n" s="2909">
        <v>21</v>
      </c>
      <c r="AB374" t="inlineStr" s="2909">
        <is>
          <t>20170401</t>
        </is>
      </c>
      <c r="AD374" t="n" s="2909">
        <v>12</v>
      </c>
      <c r="AE374" t="inlineStr" s="2909">
        <is>
          <t>20250913</t>
        </is>
      </c>
      <c r="AH374" t="n" s="2909">
        <v>1</v>
      </c>
      <c r="AJ374" t="n" s="2909">
        <v>10</v>
      </c>
      <c r="AP374" t="n" s="2909">
        <v>260000</v>
      </c>
      <c r="DB374" s="2909" t="str">
        <f>IF($A374="","",IF($AE374&amp;""&lt;&gt;'DB_設定'!$C$4,"対象外",IF($AH374=20,IF(OR($AJ374=10,$AJ374=11,$AJ374=18),"①病院一般",IF($AJ374=41,"②病院短期","対象外")),IF($AH374=5,IF($AJ374=30,"③特定消防","対象外"),IF(OR($AJ374=10,$AJ374=11,$AJ374=74),"④一般",IF(OR($AJ374=41,$AJ374=47),"⑤短期","対象外"))))))</f>
        <v>対象外</v>
      </c>
    </row>
    <row r="375">
      <c r="A375" t="n" s="2909">
        <v>21</v>
      </c>
      <c r="AA375" t="n" s="2909">
        <v>21</v>
      </c>
      <c r="AB375" t="inlineStr" s="2909">
        <is>
          <t>20170401</t>
        </is>
      </c>
      <c r="AD375" t="n" s="2909">
        <v>12</v>
      </c>
      <c r="AE375" t="inlineStr" s="2909">
        <is>
          <t>20250401</t>
        </is>
      </c>
      <c r="AH375" t="n" s="2909">
        <v>1</v>
      </c>
      <c r="AJ375" t="n" s="2909">
        <v>10</v>
      </c>
      <c r="AP375" t="n" s="2909">
        <v>320000</v>
      </c>
      <c r="DB375" s="2909" t="str">
        <f>IF($A375="","",IF($AE375&amp;""&lt;&gt;'DB_設定'!$C$4,"対象外",IF($AH375=20,IF(OR($AJ375=10,$AJ375=11,$AJ375=18),"①病院一般",IF($AJ375=41,"②病院短期","対象外")),IF($AH375=5,IF($AJ375=30,"③特定消防","対象外"),IF(OR($AJ375=10,$AJ375=11,$AJ375=74),"④一般",IF(OR($AJ375=41,$AJ375=47),"⑤短期","対象外"))))))</f>
        <v>④一般</v>
      </c>
    </row>
    <row r="376">
      <c r="A376" t="n" s="2909">
        <v>21</v>
      </c>
      <c r="AA376" t="n" s="2909">
        <v>21</v>
      </c>
      <c r="AB376" t="inlineStr" s="2909">
        <is>
          <t>20170401</t>
        </is>
      </c>
      <c r="AD376" t="n" s="2909">
        <v>12</v>
      </c>
      <c r="AE376" t="inlineStr" s="2909">
        <is>
          <t>20250601</t>
        </is>
      </c>
      <c r="AH376" t="n" s="2909">
        <v>20</v>
      </c>
      <c r="AJ376" t="n" s="2909">
        <v>10</v>
      </c>
      <c r="AP376" t="n" s="2909">
        <v>260000</v>
      </c>
      <c r="DB376" s="2909" t="str">
        <f>IF($A376="","",IF($AE376&amp;""&lt;&gt;'DB_設定'!$C$4,"対象外",IF($AH376=20,IF(OR($AJ376=10,$AJ376=11,$AJ376=18),"①病院一般",IF($AJ376=41,"②病院短期","対象外")),IF($AH376=5,IF($AJ376=30,"③特定消防","対象外"),IF(OR($AJ376=10,$AJ376=11,$AJ376=74),"④一般",IF(OR($AJ376=41,$AJ376=47),"⑤短期","対象外"))))))</f>
        <v>対象外</v>
      </c>
    </row>
    <row r="377">
      <c r="A377" t="n" s="2909">
        <v>21</v>
      </c>
      <c r="AA377" t="n" s="2909">
        <v>21</v>
      </c>
      <c r="AB377" t="inlineStr" s="2909">
        <is>
          <t>20170401</t>
        </is>
      </c>
      <c r="AD377" t="n" s="2909">
        <v>12</v>
      </c>
      <c r="AE377" t="inlineStr" s="2909">
        <is>
          <t>20250401</t>
        </is>
      </c>
      <c r="AH377" t="n" s="2909">
        <v>20</v>
      </c>
      <c r="AJ377" t="n" s="2909">
        <v>10</v>
      </c>
      <c r="AP377" t="n" s="2909">
        <v>360000</v>
      </c>
      <c r="DB377" s="2909" t="str">
        <f>IF($A377="","",IF($AE377&amp;""&lt;&gt;'DB_設定'!$C$4,"対象外",IF($AH377=20,IF(OR($AJ377=10,$AJ377=11,$AJ377=18),"①病院一般",IF($AJ377=41,"②病院短期","対象外")),IF($AH377=5,IF($AJ377=30,"③特定消防","対象外"),IF(OR($AJ377=10,$AJ377=11,$AJ377=74),"④一般",IF(OR($AJ377=41,$AJ377=47),"⑤短期","対象外"))))))</f>
        <v>①病院一般</v>
      </c>
    </row>
    <row r="378">
      <c r="A378" t="n" s="2909">
        <v>21</v>
      </c>
      <c r="AA378" t="n" s="2909">
        <v>21</v>
      </c>
      <c r="AB378" t="inlineStr" s="2909">
        <is>
          <t>20170401</t>
        </is>
      </c>
      <c r="AD378" t="n" s="2909">
        <v>12</v>
      </c>
      <c r="AE378" t="inlineStr" s="2909">
        <is>
          <t>20250401</t>
        </is>
      </c>
      <c r="AH378" t="n" s="2909">
        <v>20</v>
      </c>
      <c r="AJ378" t="n" s="2909">
        <v>10</v>
      </c>
      <c r="AP378" t="n" s="2909">
        <v>320000</v>
      </c>
      <c r="DB378" s="2909" t="str">
        <f>IF($A378="","",IF($AE378&amp;""&lt;&gt;'DB_設定'!$C$4,"対象外",IF($AH378=20,IF(OR($AJ378=10,$AJ378=11,$AJ378=18),"①病院一般",IF($AJ378=41,"②病院短期","対象外")),IF($AH378=5,IF($AJ378=30,"③特定消防","対象外"),IF(OR($AJ378=10,$AJ378=11,$AJ378=74),"④一般",IF(OR($AJ378=41,$AJ378=47),"⑤短期","対象外"))))))</f>
        <v>①病院一般</v>
      </c>
    </row>
    <row r="379">
      <c r="A379" t="n" s="2909">
        <v>21</v>
      </c>
      <c r="AA379" t="n" s="2909">
        <v>21</v>
      </c>
      <c r="AB379" t="inlineStr" s="2909">
        <is>
          <t>20170401</t>
        </is>
      </c>
      <c r="AD379" t="n" s="2909">
        <v>12</v>
      </c>
      <c r="AE379" t="inlineStr" s="2909">
        <is>
          <t>20250401</t>
        </is>
      </c>
      <c r="AH379" t="n" s="2909">
        <v>20</v>
      </c>
      <c r="AJ379" t="n" s="2909">
        <v>10</v>
      </c>
      <c r="AP379" t="n" s="2909">
        <v>1210000</v>
      </c>
      <c r="DB379" s="2909" t="str">
        <f>IF($A379="","",IF($AE379&amp;""&lt;&gt;'DB_設定'!$C$4,"対象外",IF($AH379=20,IF(OR($AJ379=10,$AJ379=11,$AJ379=18),"①病院一般",IF($AJ379=41,"②病院短期","対象外")),IF($AH379=5,IF($AJ379=30,"③特定消防","対象外"),IF(OR($AJ379=10,$AJ379=11,$AJ379=74),"④一般",IF(OR($AJ379=41,$AJ379=47),"⑤短期","対象外"))))))</f>
        <v>①病院一般</v>
      </c>
    </row>
    <row r="380">
      <c r="A380" t="n" s="2909">
        <v>21</v>
      </c>
      <c r="AA380" t="n" s="2909">
        <v>21</v>
      </c>
      <c r="AB380" t="inlineStr" s="2909">
        <is>
          <t>20170401</t>
        </is>
      </c>
      <c r="AD380" t="n" s="2909">
        <v>12</v>
      </c>
      <c r="AE380" t="inlineStr" s="2909">
        <is>
          <t>20250701</t>
        </is>
      </c>
      <c r="AH380" t="n" s="2909">
        <v>20</v>
      </c>
      <c r="AJ380" t="n" s="2909">
        <v>10</v>
      </c>
      <c r="AP380" t="n" s="2909">
        <v>260000</v>
      </c>
      <c r="DB380" s="2909" t="str">
        <f>IF($A380="","",IF($AE380&amp;""&lt;&gt;'DB_設定'!$C$4,"対象外",IF($AH380=20,IF(OR($AJ380=10,$AJ380=11,$AJ380=18),"①病院一般",IF($AJ380=41,"②病院短期","対象外")),IF($AH380=5,IF($AJ380=30,"③特定消防","対象外"),IF(OR($AJ380=10,$AJ380=11,$AJ380=74),"④一般",IF(OR($AJ380=41,$AJ380=47),"⑤短期","対象外"))))))</f>
        <v>対象外</v>
      </c>
    </row>
    <row r="381">
      <c r="A381" t="n" s="2909">
        <v>21</v>
      </c>
      <c r="AA381" t="n" s="2909">
        <v>21</v>
      </c>
      <c r="AB381" t="inlineStr" s="2909">
        <is>
          <t>20180401</t>
        </is>
      </c>
      <c r="AD381" t="n" s="2909">
        <v>12</v>
      </c>
      <c r="AE381" t="inlineStr" s="2909">
        <is>
          <t>20250501</t>
        </is>
      </c>
      <c r="AH381" t="n" s="2909">
        <v>1</v>
      </c>
      <c r="AJ381" t="n" s="2909">
        <v>10</v>
      </c>
      <c r="AP381" t="n" s="2909">
        <v>320000</v>
      </c>
      <c r="DB381" s="2909" t="str">
        <f>IF($A381="","",IF($AE381&amp;""&lt;&gt;'DB_設定'!$C$4,"対象外",IF($AH381=20,IF(OR($AJ381=10,$AJ381=11,$AJ381=18),"①病院一般",IF($AJ381=41,"②病院短期","対象外")),IF($AH381=5,IF($AJ381=30,"③特定消防","対象外"),IF(OR($AJ381=10,$AJ381=11,$AJ381=74),"④一般",IF(OR($AJ381=41,$AJ381=47),"⑤短期","対象外"))))))</f>
        <v>対象外</v>
      </c>
    </row>
    <row r="382">
      <c r="A382" t="n" s="2909">
        <v>21</v>
      </c>
      <c r="AA382" t="n" s="2909">
        <v>21</v>
      </c>
      <c r="AB382" t="inlineStr" s="2909">
        <is>
          <t>20180401</t>
        </is>
      </c>
      <c r="AD382" t="n" s="2909">
        <v>12</v>
      </c>
      <c r="AE382" t="inlineStr" s="2909">
        <is>
          <t>20250701</t>
        </is>
      </c>
      <c r="AH382" t="n" s="2909">
        <v>1</v>
      </c>
      <c r="AJ382" t="n" s="2909">
        <v>10</v>
      </c>
      <c r="AP382" t="n" s="2909">
        <v>340000</v>
      </c>
      <c r="DB382" s="2909" t="str">
        <f>IF($A382="","",IF($AE382&amp;""&lt;&gt;'DB_設定'!$C$4,"対象外",IF($AH382=20,IF(OR($AJ382=10,$AJ382=11,$AJ382=18),"①病院一般",IF($AJ382=41,"②病院短期","対象外")),IF($AH382=5,IF($AJ382=30,"③特定消防","対象外"),IF(OR($AJ382=10,$AJ382=11,$AJ382=74),"④一般",IF(OR($AJ382=41,$AJ382=47),"⑤短期","対象外"))))))</f>
        <v>対象外</v>
      </c>
    </row>
    <row r="383">
      <c r="A383" t="n" s="2909">
        <v>21</v>
      </c>
      <c r="AA383" t="n" s="2909">
        <v>21</v>
      </c>
      <c r="AB383" t="inlineStr" s="2909">
        <is>
          <t>20180401</t>
        </is>
      </c>
      <c r="AD383" t="n" s="2909">
        <v>12</v>
      </c>
      <c r="AE383" t="inlineStr" s="2909">
        <is>
          <t>20250401</t>
        </is>
      </c>
      <c r="AH383" t="n" s="2909">
        <v>1</v>
      </c>
      <c r="AJ383" t="n" s="2909">
        <v>10</v>
      </c>
      <c r="AP383" t="n" s="2909">
        <v>470000</v>
      </c>
      <c r="DB383" s="2909" t="str">
        <f>IF($A383="","",IF($AE383&amp;""&lt;&gt;'DB_設定'!$C$4,"対象外",IF($AH383=20,IF(OR($AJ383=10,$AJ383=11,$AJ383=18),"①病院一般",IF($AJ383=41,"②病院短期","対象外")),IF($AH383=5,IF($AJ383=30,"③特定消防","対象外"),IF(OR($AJ383=10,$AJ383=11,$AJ383=74),"④一般",IF(OR($AJ383=41,$AJ383=47),"⑤短期","対象外"))))))</f>
        <v>④一般</v>
      </c>
    </row>
    <row r="384">
      <c r="A384" t="n" s="2909">
        <v>21</v>
      </c>
      <c r="AA384" t="n" s="2909">
        <v>21</v>
      </c>
      <c r="AB384" t="inlineStr" s="2909">
        <is>
          <t>20180401</t>
        </is>
      </c>
      <c r="AD384" t="n" s="2909">
        <v>12</v>
      </c>
      <c r="AE384" t="inlineStr" s="2909">
        <is>
          <t>20250401</t>
        </is>
      </c>
      <c r="AH384" t="n" s="2909">
        <v>3</v>
      </c>
      <c r="AJ384" t="n" s="2909">
        <v>10</v>
      </c>
      <c r="AP384" t="n" s="2909">
        <v>340000</v>
      </c>
      <c r="DB384" s="2909" t="str">
        <f>IF($A384="","",IF($AE384&amp;""&lt;&gt;'DB_設定'!$C$4,"対象外",IF($AH384=20,IF(OR($AJ384=10,$AJ384=11,$AJ384=18),"①病院一般",IF($AJ384=41,"②病院短期","対象外")),IF($AH384=5,IF($AJ384=30,"③特定消防","対象外"),IF(OR($AJ384=10,$AJ384=11,$AJ384=74),"④一般",IF(OR($AJ384=41,$AJ384=47),"⑤短期","対象外"))))))</f>
        <v>④一般</v>
      </c>
    </row>
    <row r="385">
      <c r="A385" t="n" s="2909">
        <v>21</v>
      </c>
      <c r="AA385" t="n" s="2909">
        <v>21</v>
      </c>
      <c r="AB385" t="inlineStr" s="2909">
        <is>
          <t>20180401</t>
        </is>
      </c>
      <c r="AD385" t="n" s="2909">
        <v>12</v>
      </c>
      <c r="AE385" t="inlineStr" s="2909">
        <is>
          <t>20250401</t>
        </is>
      </c>
      <c r="AH385" t="n" s="2909">
        <v>1</v>
      </c>
      <c r="AJ385" t="n" s="2909">
        <v>10</v>
      </c>
      <c r="AP385" t="n" s="2909">
        <v>260000</v>
      </c>
      <c r="DB385" s="2909" t="str">
        <f>IF($A385="","",IF($AE385&amp;""&lt;&gt;'DB_設定'!$C$4,"対象外",IF($AH385=20,IF(OR($AJ385=10,$AJ385=11,$AJ385=18),"①病院一般",IF($AJ385=41,"②病院短期","対象外")),IF($AH385=5,IF($AJ385=30,"③特定消防","対象外"),IF(OR($AJ385=10,$AJ385=11,$AJ385=74),"④一般",IF(OR($AJ385=41,$AJ385=47),"⑤短期","対象外"))))))</f>
        <v>④一般</v>
      </c>
    </row>
    <row r="386">
      <c r="A386" t="n" s="2909">
        <v>21</v>
      </c>
      <c r="AA386" t="n" s="2909">
        <v>21</v>
      </c>
      <c r="AB386" t="inlineStr" s="2909">
        <is>
          <t>20180401</t>
        </is>
      </c>
      <c r="AD386" t="n" s="2909">
        <v>12</v>
      </c>
      <c r="AE386" t="inlineStr" s="2909">
        <is>
          <t>20250613</t>
        </is>
      </c>
      <c r="AH386" t="n" s="2909">
        <v>1</v>
      </c>
      <c r="AJ386" t="n" s="2909">
        <v>10</v>
      </c>
      <c r="AP386" t="n" s="2909">
        <v>220000</v>
      </c>
      <c r="DB386" s="2909" t="str">
        <f>IF($A386="","",IF($AE386&amp;""&lt;&gt;'DB_設定'!$C$4,"対象外",IF($AH386=20,IF(OR($AJ386=10,$AJ386=11,$AJ386=18),"①病院一般",IF($AJ386=41,"②病院短期","対象外")),IF($AH386=5,IF($AJ386=30,"③特定消防","対象外"),IF(OR($AJ386=10,$AJ386=11,$AJ386=74),"④一般",IF(OR($AJ386=41,$AJ386=47),"⑤短期","対象外"))))))</f>
        <v>対象外</v>
      </c>
    </row>
    <row r="387">
      <c r="A387" t="n" s="2909">
        <v>21</v>
      </c>
      <c r="AA387" t="n" s="2909">
        <v>21</v>
      </c>
      <c r="AB387" t="inlineStr" s="2909">
        <is>
          <t>20180401</t>
        </is>
      </c>
      <c r="AD387" t="n" s="2909">
        <v>12</v>
      </c>
      <c r="AE387" t="inlineStr" s="2909">
        <is>
          <t>20250401</t>
        </is>
      </c>
      <c r="AH387" t="n" s="2909">
        <v>5</v>
      </c>
      <c r="AJ387" t="n" s="2909">
        <v>30</v>
      </c>
      <c r="AP387" t="n" s="2909">
        <v>300000</v>
      </c>
      <c r="DB387" s="2909" t="str">
        <f>IF($A387="","",IF($AE387&amp;""&lt;&gt;'DB_設定'!$C$4,"対象外",IF($AH387=20,IF(OR($AJ387=10,$AJ387=11,$AJ387=18),"①病院一般",IF($AJ387=41,"②病院短期","対象外")),IF($AH387=5,IF($AJ387=30,"③特定消防","対象外"),IF(OR($AJ387=10,$AJ387=11,$AJ387=74),"④一般",IF(OR($AJ387=41,$AJ387=47),"⑤短期","対象外"))))))</f>
        <v>③特定消防</v>
      </c>
    </row>
    <row r="388">
      <c r="A388" t="n" s="2909">
        <v>21</v>
      </c>
      <c r="AA388" t="n" s="2909">
        <v>21</v>
      </c>
      <c r="AB388" t="inlineStr" s="2909">
        <is>
          <t>20180401</t>
        </is>
      </c>
      <c r="AD388" t="n" s="2909">
        <v>12</v>
      </c>
      <c r="AE388" t="inlineStr" s="2909">
        <is>
          <t>20250401</t>
        </is>
      </c>
      <c r="AH388" t="n" s="2909">
        <v>32</v>
      </c>
      <c r="AJ388" t="n" s="2909">
        <v>74</v>
      </c>
      <c r="AP388" t="n" s="2909">
        <v>1030000</v>
      </c>
      <c r="DB388" s="2909" t="str">
        <f>IF($A388="","",IF($AE388&amp;""&lt;&gt;'DB_設定'!$C$4,"対象外",IF($AH388=20,IF(OR($AJ388=10,$AJ388=11,$AJ388=18),"①病院一般",IF($AJ388=41,"②病院短期","対象外")),IF($AH388=5,IF($AJ388=30,"③特定消防","対象外"),IF(OR($AJ388=10,$AJ388=11,$AJ388=74),"④一般",IF(OR($AJ388=41,$AJ388=47),"⑤短期","対象外"))))))</f>
        <v>④一般</v>
      </c>
    </row>
    <row r="389">
      <c r="A389" t="n" s="2909">
        <v>21</v>
      </c>
      <c r="AA389" t="n" s="2909">
        <v>21</v>
      </c>
      <c r="AB389" t="inlineStr" s="2909">
        <is>
          <t>20180401</t>
        </is>
      </c>
      <c r="AD389" t="n" s="2909">
        <v>12</v>
      </c>
      <c r="AE389" t="inlineStr" s="2909">
        <is>
          <t>20250601</t>
        </is>
      </c>
      <c r="AH389" t="n" s="2909">
        <v>20</v>
      </c>
      <c r="AJ389" t="n" s="2909">
        <v>10</v>
      </c>
      <c r="AP389" t="n" s="2909">
        <v>410000</v>
      </c>
      <c r="DB389" s="2909" t="str">
        <f>IF($A389="","",IF($AE389&amp;""&lt;&gt;'DB_設定'!$C$4,"対象外",IF($AH389=20,IF(OR($AJ389=10,$AJ389=11,$AJ389=18),"①病院一般",IF($AJ389=41,"②病院短期","対象外")),IF($AH389=5,IF($AJ389=30,"③特定消防","対象外"),IF(OR($AJ389=10,$AJ389=11,$AJ389=74),"④一般",IF(OR($AJ389=41,$AJ389=47),"⑤短期","対象外"))))))</f>
        <v>対象外</v>
      </c>
    </row>
    <row r="390">
      <c r="A390" t="n" s="2909">
        <v>21</v>
      </c>
      <c r="AA390" t="n" s="2909">
        <v>21</v>
      </c>
      <c r="AB390" t="inlineStr" s="2909">
        <is>
          <t>20180401</t>
        </is>
      </c>
      <c r="AD390" t="n" s="2909">
        <v>12</v>
      </c>
      <c r="AE390" t="inlineStr" s="2909">
        <is>
          <t>20250401</t>
        </is>
      </c>
      <c r="AH390" t="n" s="2909">
        <v>20</v>
      </c>
      <c r="AJ390" t="n" s="2909">
        <v>10</v>
      </c>
      <c r="AP390" t="n" s="2909">
        <v>440000</v>
      </c>
      <c r="DB390" s="2909" t="str">
        <f>IF($A390="","",IF($AE390&amp;""&lt;&gt;'DB_設定'!$C$4,"対象外",IF($AH390=20,IF(OR($AJ390=10,$AJ390=11,$AJ390=18),"①病院一般",IF($AJ390=41,"②病院短期","対象外")),IF($AH390=5,IF($AJ390=30,"③特定消防","対象外"),IF(OR($AJ390=10,$AJ390=11,$AJ390=74),"④一般",IF(OR($AJ390=41,$AJ390=47),"⑤短期","対象外"))))))</f>
        <v>①病院一般</v>
      </c>
    </row>
    <row r="391">
      <c r="A391" t="n" s="2909">
        <v>21</v>
      </c>
      <c r="AA391" t="n" s="2909">
        <v>21</v>
      </c>
      <c r="AB391" t="inlineStr" s="2909">
        <is>
          <t>20180401</t>
        </is>
      </c>
      <c r="AD391" t="n" s="2909">
        <v>12</v>
      </c>
      <c r="AE391" t="inlineStr" s="2909">
        <is>
          <t>20250401</t>
        </is>
      </c>
      <c r="AH391" t="n" s="2909">
        <v>20</v>
      </c>
      <c r="AJ391" t="n" s="2909">
        <v>10</v>
      </c>
      <c r="AP391" t="n" s="2909">
        <v>380000</v>
      </c>
      <c r="DB391" s="2909" t="str">
        <f>IF($A391="","",IF($AE391&amp;""&lt;&gt;'DB_設定'!$C$4,"対象外",IF($AH391=20,IF(OR($AJ391=10,$AJ391=11,$AJ391=18),"①病院一般",IF($AJ391=41,"②病院短期","対象外")),IF($AH391=5,IF($AJ391=30,"③特定消防","対象外"),IF(OR($AJ391=10,$AJ391=11,$AJ391=74),"④一般",IF(OR($AJ391=41,$AJ391=47),"⑤短期","対象外"))))))</f>
        <v>①病院一般</v>
      </c>
    </row>
    <row r="392">
      <c r="A392" t="n" s="2909">
        <v>21</v>
      </c>
      <c r="AA392" t="n" s="2909">
        <v>21</v>
      </c>
      <c r="AB392" t="inlineStr" s="2909">
        <is>
          <t>20180401</t>
        </is>
      </c>
      <c r="AD392" t="n" s="2909">
        <v>12</v>
      </c>
      <c r="AE392" t="inlineStr" s="2909">
        <is>
          <t>20250401</t>
        </is>
      </c>
      <c r="AH392" t="n" s="2909">
        <v>20</v>
      </c>
      <c r="AJ392" t="n" s="2909">
        <v>10</v>
      </c>
      <c r="AP392" t="n" s="2909">
        <v>1390000</v>
      </c>
      <c r="DB392" s="2909" t="str">
        <f>IF($A392="","",IF($AE392&amp;""&lt;&gt;'DB_設定'!$C$4,"対象外",IF($AH392=20,IF(OR($AJ392=10,$AJ392=11,$AJ392=18),"①病院一般",IF($AJ392=41,"②病院短期","対象外")),IF($AH392=5,IF($AJ392=30,"③特定消防","対象外"),IF(OR($AJ392=10,$AJ392=11,$AJ392=74),"④一般",IF(OR($AJ392=41,$AJ392=47),"⑤短期","対象外"))))))</f>
        <v>①病院一般</v>
      </c>
    </row>
    <row r="393">
      <c r="A393" t="n" s="2909">
        <v>21</v>
      </c>
      <c r="AA393" t="n" s="2909">
        <v>21</v>
      </c>
      <c r="AB393" t="inlineStr" s="2909">
        <is>
          <t>20190701</t>
        </is>
      </c>
      <c r="AD393" t="n" s="2909">
        <v>12</v>
      </c>
      <c r="AE393" t="inlineStr" s="2909">
        <is>
          <t>20251001</t>
        </is>
      </c>
      <c r="AH393" t="n" s="2909">
        <v>20</v>
      </c>
      <c r="AJ393" t="n" s="2909">
        <v>10</v>
      </c>
      <c r="AP393" t="n" s="2909">
        <v>930000</v>
      </c>
      <c r="DB393" s="2909" t="str">
        <f>IF($A393="","",IF($AE393&amp;""&lt;&gt;'DB_設定'!$C$4,"対象外",IF($AH393=20,IF(OR($AJ393=10,$AJ393=11,$AJ393=18),"①病院一般",IF($AJ393=41,"②病院短期","対象外")),IF($AH393=5,IF($AJ393=30,"③特定消防","対象外"),IF(OR($AJ393=10,$AJ393=11,$AJ393=74),"④一般",IF(OR($AJ393=41,$AJ393=47),"⑤短期","対象外"))))))</f>
        <v>対象外</v>
      </c>
    </row>
    <row r="394">
      <c r="A394" t="n" s="2909">
        <v>21</v>
      </c>
      <c r="AA394" t="n" s="2909">
        <v>21</v>
      </c>
      <c r="AB394" t="inlineStr" s="2909">
        <is>
          <t>20190401</t>
        </is>
      </c>
      <c r="AD394" t="n" s="2909">
        <v>12</v>
      </c>
      <c r="AE394" t="inlineStr" s="2909">
        <is>
          <t>20250401</t>
        </is>
      </c>
      <c r="AH394" t="n" s="2909">
        <v>1</v>
      </c>
      <c r="AJ394" t="n" s="2909">
        <v>10</v>
      </c>
      <c r="AP394" t="n" s="2909">
        <v>300000</v>
      </c>
      <c r="DB394" s="2909" t="str">
        <f>IF($A394="","",IF($AE394&amp;""&lt;&gt;'DB_設定'!$C$4,"対象外",IF($AH394=20,IF(OR($AJ394=10,$AJ394=11,$AJ394=18),"①病院一般",IF($AJ394=41,"②病院短期","対象外")),IF($AH394=5,IF($AJ394=30,"③特定消防","対象外"),IF(OR($AJ394=10,$AJ394=11,$AJ394=74),"④一般",IF(OR($AJ394=41,$AJ394=47),"⑤短期","対象外"))))))</f>
        <v>④一般</v>
      </c>
    </row>
    <row r="395">
      <c r="A395" t="n" s="2909">
        <v>21</v>
      </c>
      <c r="AA395" t="n" s="2909">
        <v>21</v>
      </c>
      <c r="AB395" t="inlineStr" s="2909">
        <is>
          <t>20190401</t>
        </is>
      </c>
      <c r="AD395" t="n" s="2909">
        <v>12</v>
      </c>
      <c r="AE395" t="inlineStr" s="2909">
        <is>
          <t>20250401</t>
        </is>
      </c>
      <c r="AH395" t="n" s="2909">
        <v>1</v>
      </c>
      <c r="AJ395" t="n" s="2909">
        <v>10</v>
      </c>
      <c r="AP395" t="n" s="2909">
        <v>300000</v>
      </c>
      <c r="DB395" s="2909" t="str">
        <f>IF($A395="","",IF($AE395&amp;""&lt;&gt;'DB_設定'!$C$4,"対象外",IF($AH395=20,IF(OR($AJ395=10,$AJ395=11,$AJ395=18),"①病院一般",IF($AJ395=41,"②病院短期","対象外")),IF($AH395=5,IF($AJ395=30,"③特定消防","対象外"),IF(OR($AJ395=10,$AJ395=11,$AJ395=74),"④一般",IF(OR($AJ395=41,$AJ395=47),"⑤短期","対象外"))))))</f>
        <v>④一般</v>
      </c>
    </row>
    <row r="396">
      <c r="A396" t="n" s="2909">
        <v>21</v>
      </c>
      <c r="AA396" t="n" s="2909">
        <v>21</v>
      </c>
      <c r="AB396" t="inlineStr" s="2909">
        <is>
          <t>20190401</t>
        </is>
      </c>
      <c r="AD396" t="n" s="2909">
        <v>12</v>
      </c>
      <c r="AE396" t="inlineStr" s="2909">
        <is>
          <t>20250501</t>
        </is>
      </c>
      <c r="AH396" t="n" s="2909">
        <v>1</v>
      </c>
      <c r="AJ396" t="n" s="2909">
        <v>10</v>
      </c>
      <c r="AP396" t="n" s="2909">
        <v>300000</v>
      </c>
      <c r="DB396" s="2909" t="str">
        <f>IF($A396="","",IF($AE396&amp;""&lt;&gt;'DB_設定'!$C$4,"対象外",IF($AH396=20,IF(OR($AJ396=10,$AJ396=11,$AJ396=18),"①病院一般",IF($AJ396=41,"②病院短期","対象外")),IF($AH396=5,IF($AJ396=30,"③特定消防","対象外"),IF(OR($AJ396=10,$AJ396=11,$AJ396=74),"④一般",IF(OR($AJ396=41,$AJ396=47),"⑤短期","対象外"))))))</f>
        <v>対象外</v>
      </c>
    </row>
    <row r="397">
      <c r="A397" t="n" s="2909">
        <v>21</v>
      </c>
      <c r="AA397" t="n" s="2909">
        <v>21</v>
      </c>
      <c r="AB397" t="inlineStr" s="2909">
        <is>
          <t>20190401</t>
        </is>
      </c>
      <c r="AD397" t="n" s="2909">
        <v>12</v>
      </c>
      <c r="AE397" t="inlineStr" s="2909">
        <is>
          <t>20250401</t>
        </is>
      </c>
      <c r="AH397" t="n" s="2909">
        <v>1</v>
      </c>
      <c r="AJ397" t="n" s="2909">
        <v>10</v>
      </c>
      <c r="AP397" t="n" s="2909">
        <v>410000</v>
      </c>
      <c r="DB397" s="2909" t="str">
        <f>IF($A397="","",IF($AE397&amp;""&lt;&gt;'DB_設定'!$C$4,"対象外",IF($AH397=20,IF(OR($AJ397=10,$AJ397=11,$AJ397=18),"①病院一般",IF($AJ397=41,"②病院短期","対象外")),IF($AH397=5,IF($AJ397=30,"③特定消防","対象外"),IF(OR($AJ397=10,$AJ397=11,$AJ397=74),"④一般",IF(OR($AJ397=41,$AJ397=47),"⑤短期","対象外"))))))</f>
        <v>④一般</v>
      </c>
    </row>
    <row r="398">
      <c r="A398" t="n" s="2909">
        <v>21</v>
      </c>
      <c r="AA398" t="n" s="2909">
        <v>21</v>
      </c>
      <c r="AB398" t="inlineStr" s="2909">
        <is>
          <t>20190401</t>
        </is>
      </c>
      <c r="AD398" t="n" s="2909">
        <v>12</v>
      </c>
      <c r="AE398" t="inlineStr" s="2909">
        <is>
          <t>20250401</t>
        </is>
      </c>
      <c r="AH398" t="n" s="2909">
        <v>5</v>
      </c>
      <c r="AJ398" t="n" s="2909">
        <v>30</v>
      </c>
      <c r="AP398" t="n" s="2909">
        <v>360000</v>
      </c>
      <c r="DB398" s="2909" t="str">
        <f>IF($A398="","",IF($AE398&amp;""&lt;&gt;'DB_設定'!$C$4,"対象外",IF($AH398=20,IF(OR($AJ398=10,$AJ398=11,$AJ398=18),"①病院一般",IF($AJ398=41,"②病院短期","対象外")),IF($AH398=5,IF($AJ398=30,"③特定消防","対象外"),IF(OR($AJ398=10,$AJ398=11,$AJ398=74),"④一般",IF(OR($AJ398=41,$AJ398=47),"⑤短期","対象外"))))))</f>
        <v>③特定消防</v>
      </c>
    </row>
    <row r="399">
      <c r="A399" t="n" s="2909">
        <v>21</v>
      </c>
      <c r="AA399" t="n" s="2909">
        <v>21</v>
      </c>
      <c r="AB399" t="inlineStr" s="2909">
        <is>
          <t>20190701</t>
        </is>
      </c>
      <c r="AD399" t="n" s="2909">
        <v>12</v>
      </c>
      <c r="AE399" t="inlineStr" s="2909">
        <is>
          <t>20250401</t>
        </is>
      </c>
      <c r="AH399" t="n" s="2909">
        <v>1</v>
      </c>
      <c r="AJ399" t="n" s="2909">
        <v>10</v>
      </c>
      <c r="AP399" t="n" s="2909">
        <v>1090000</v>
      </c>
      <c r="DB399" s="2909" t="str">
        <f>IF($A399="","",IF($AE399&amp;""&lt;&gt;'DB_設定'!$C$4,"対象外",IF($AH399=20,IF(OR($AJ399=10,$AJ399=11,$AJ399=18),"①病院一般",IF($AJ399=41,"②病院短期","対象外")),IF($AH399=5,IF($AJ399=30,"③特定消防","対象外"),IF(OR($AJ399=10,$AJ399=11,$AJ399=74),"④一般",IF(OR($AJ399=41,$AJ399=47),"⑤短期","対象外"))))))</f>
        <v>④一般</v>
      </c>
    </row>
    <row r="400">
      <c r="A400" t="n" s="2909">
        <v>21</v>
      </c>
      <c r="AA400" t="n" s="2909">
        <v>21</v>
      </c>
      <c r="AB400" t="inlineStr" s="2909">
        <is>
          <t>20190401</t>
        </is>
      </c>
      <c r="AD400" t="n" s="2909">
        <v>12</v>
      </c>
      <c r="AE400" t="inlineStr" s="2909">
        <is>
          <t>20250701</t>
        </is>
      </c>
      <c r="AH400" t="n" s="2909">
        <v>20</v>
      </c>
      <c r="AJ400" t="n" s="2909">
        <v>10</v>
      </c>
      <c r="AP400" t="n" s="2909">
        <v>410000</v>
      </c>
      <c r="DB400" s="2909" t="str">
        <f>IF($A400="","",IF($AE400&amp;""&lt;&gt;'DB_設定'!$C$4,"対象外",IF($AH400=20,IF(OR($AJ400=10,$AJ400=11,$AJ400=18),"①病院一般",IF($AJ400=41,"②病院短期","対象外")),IF($AH400=5,IF($AJ400=30,"③特定消防","対象外"),IF(OR($AJ400=10,$AJ400=11,$AJ400=74),"④一般",IF(OR($AJ400=41,$AJ400=47),"⑤短期","対象外"))))))</f>
        <v>対象外</v>
      </c>
    </row>
    <row r="401">
      <c r="A401" t="n" s="2909">
        <v>21</v>
      </c>
      <c r="AA401" t="n" s="2909">
        <v>21</v>
      </c>
      <c r="AB401" t="inlineStr" s="2909">
        <is>
          <t>20190401</t>
        </is>
      </c>
      <c r="AD401" t="n" s="2909">
        <v>12</v>
      </c>
      <c r="AE401" t="inlineStr" s="2909">
        <is>
          <t>20250701</t>
        </is>
      </c>
      <c r="AH401" t="n" s="2909">
        <v>20</v>
      </c>
      <c r="AJ401" t="n" s="2909">
        <v>10</v>
      </c>
      <c r="AP401" t="n" s="2909">
        <v>380000</v>
      </c>
      <c r="DB401" s="2909" t="str">
        <f>IF($A401="","",IF($AE401&amp;""&lt;&gt;'DB_設定'!$C$4,"対象外",IF($AH401=20,IF(OR($AJ401=10,$AJ401=11,$AJ401=18),"①病院一般",IF($AJ401=41,"②病院短期","対象外")),IF($AH401=5,IF($AJ401=30,"③特定消防","対象外"),IF(OR($AJ401=10,$AJ401=11,$AJ401=74),"④一般",IF(OR($AJ401=41,$AJ401=47),"⑤短期","対象外"))))))</f>
        <v>対象外</v>
      </c>
    </row>
    <row r="402">
      <c r="A402" t="n" s="2909">
        <v>21</v>
      </c>
      <c r="AA402" t="n" s="2909">
        <v>21</v>
      </c>
      <c r="AB402" t="inlineStr" s="2909">
        <is>
          <t>20190401</t>
        </is>
      </c>
      <c r="AD402" t="n" s="2909">
        <v>12</v>
      </c>
      <c r="AE402" t="inlineStr" s="2909">
        <is>
          <t>20250516</t>
        </is>
      </c>
      <c r="AH402" t="n" s="2909">
        <v>20</v>
      </c>
      <c r="AJ402" t="n" s="2909">
        <v>10</v>
      </c>
      <c r="AP402" t="n" s="2909">
        <v>380000</v>
      </c>
      <c r="DB402" s="2909" t="str">
        <f>IF($A402="","",IF($AE402&amp;""&lt;&gt;'DB_設定'!$C$4,"対象外",IF($AH402=20,IF(OR($AJ402=10,$AJ402=11,$AJ402=18),"①病院一般",IF($AJ402=41,"②病院短期","対象外")),IF($AH402=5,IF($AJ402=30,"③特定消防","対象外"),IF(OR($AJ402=10,$AJ402=11,$AJ402=74),"④一般",IF(OR($AJ402=41,$AJ402=47),"⑤短期","対象外"))))))</f>
        <v>対象外</v>
      </c>
    </row>
    <row r="403">
      <c r="A403" t="n" s="2909">
        <v>21</v>
      </c>
      <c r="AA403" t="n" s="2909">
        <v>21</v>
      </c>
      <c r="AB403" t="inlineStr" s="2909">
        <is>
          <t>20190401</t>
        </is>
      </c>
      <c r="AD403" t="n" s="2909">
        <v>12</v>
      </c>
      <c r="AE403" t="inlineStr" s="2909">
        <is>
          <t>20250401</t>
        </is>
      </c>
      <c r="AH403" t="n" s="2909">
        <v>20</v>
      </c>
      <c r="AJ403" t="n" s="2909">
        <v>10</v>
      </c>
      <c r="AP403" t="n" s="2909">
        <v>440000</v>
      </c>
      <c r="DB403" s="2909" t="str">
        <f>IF($A403="","",IF($AE403&amp;""&lt;&gt;'DB_設定'!$C$4,"対象外",IF($AH403=20,IF(OR($AJ403=10,$AJ403=11,$AJ403=18),"①病院一般",IF($AJ403=41,"②病院短期","対象外")),IF($AH403=5,IF($AJ403=30,"③特定消防","対象外"),IF(OR($AJ403=10,$AJ403=11,$AJ403=74),"④一般",IF(OR($AJ403=41,$AJ403=47),"⑤短期","対象外"))))))</f>
        <v>①病院一般</v>
      </c>
    </row>
    <row r="404">
      <c r="A404" t="n" s="2909">
        <v>21</v>
      </c>
      <c r="AA404" t="n" s="2909">
        <v>21</v>
      </c>
      <c r="AB404" t="inlineStr" s="2909">
        <is>
          <t>20190401</t>
        </is>
      </c>
      <c r="AD404" t="n" s="2909">
        <v>12</v>
      </c>
      <c r="AE404" t="inlineStr" s="2909">
        <is>
          <t>20250801</t>
        </is>
      </c>
      <c r="AH404" t="n" s="2909">
        <v>20</v>
      </c>
      <c r="AJ404" t="n" s="2909">
        <v>10</v>
      </c>
      <c r="AP404" t="n" s="2909">
        <v>380000</v>
      </c>
      <c r="DB404" s="2909" t="str">
        <f>IF($A404="","",IF($AE404&amp;""&lt;&gt;'DB_設定'!$C$4,"対象外",IF($AH404=20,IF(OR($AJ404=10,$AJ404=11,$AJ404=18),"①病院一般",IF($AJ404=41,"②病院短期","対象外")),IF($AH404=5,IF($AJ404=30,"③特定消防","対象外"),IF(OR($AJ404=10,$AJ404=11,$AJ404=74),"④一般",IF(OR($AJ404=41,$AJ404=47),"⑤短期","対象外"))))))</f>
        <v>対象外</v>
      </c>
    </row>
    <row r="405">
      <c r="A405" t="n" s="2909">
        <v>21</v>
      </c>
      <c r="AA405" t="n" s="2909">
        <v>21</v>
      </c>
      <c r="AB405" t="inlineStr" s="2909">
        <is>
          <t>20190401</t>
        </is>
      </c>
      <c r="AD405" t="n" s="2909">
        <v>12</v>
      </c>
      <c r="AE405" t="inlineStr" s="2909">
        <is>
          <t>20250701</t>
        </is>
      </c>
      <c r="AH405" t="n" s="2909">
        <v>20</v>
      </c>
      <c r="AJ405" t="n" s="2909">
        <v>10</v>
      </c>
      <c r="AP405" t="n" s="2909">
        <v>380000</v>
      </c>
      <c r="DB405" s="2909" t="str">
        <f>IF($A405="","",IF($AE405&amp;""&lt;&gt;'DB_設定'!$C$4,"対象外",IF($AH405=20,IF(OR($AJ405=10,$AJ405=11,$AJ405=18),"①病院一般",IF($AJ405=41,"②病院短期","対象外")),IF($AH405=5,IF($AJ405=30,"③特定消防","対象外"),IF(OR($AJ405=10,$AJ405=11,$AJ405=74),"④一般",IF(OR($AJ405=41,$AJ405=47),"⑤短期","対象外"))))))</f>
        <v>対象外</v>
      </c>
    </row>
    <row r="406">
      <c r="A406" t="n" s="2909">
        <v>21</v>
      </c>
      <c r="AA406" t="n" s="2909">
        <v>21</v>
      </c>
      <c r="AB406" t="inlineStr" s="2909">
        <is>
          <t>20190401</t>
        </is>
      </c>
      <c r="AD406" t="n" s="2909">
        <v>12</v>
      </c>
      <c r="AE406" t="inlineStr" s="2909">
        <is>
          <t>20250701</t>
        </is>
      </c>
      <c r="AH406" t="n" s="2909">
        <v>20</v>
      </c>
      <c r="AJ406" t="n" s="2909">
        <v>10</v>
      </c>
      <c r="AP406" t="n" s="2909">
        <v>380000</v>
      </c>
      <c r="DB406" s="2909" t="str">
        <f>IF($A406="","",IF($AE406&amp;""&lt;&gt;'DB_設定'!$C$4,"対象外",IF($AH406=20,IF(OR($AJ406=10,$AJ406=11,$AJ406=18),"①病院一般",IF($AJ406=41,"②病院短期","対象外")),IF($AH406=5,IF($AJ406=30,"③特定消防","対象外"),IF(OR($AJ406=10,$AJ406=11,$AJ406=74),"④一般",IF(OR($AJ406=41,$AJ406=47),"⑤短期","対象外"))))))</f>
        <v>対象外</v>
      </c>
    </row>
    <row r="407">
      <c r="A407" t="n" s="2909">
        <v>21</v>
      </c>
      <c r="AA407" t="n" s="2909">
        <v>21</v>
      </c>
      <c r="AB407" t="inlineStr" s="2909">
        <is>
          <t>20190401</t>
        </is>
      </c>
      <c r="AD407" t="n" s="2909">
        <v>12</v>
      </c>
      <c r="AE407" t="inlineStr" s="2909">
        <is>
          <t>20250401</t>
        </is>
      </c>
      <c r="AH407" t="n" s="2909">
        <v>20</v>
      </c>
      <c r="AJ407" t="n" s="2909">
        <v>10</v>
      </c>
      <c r="AP407" t="n" s="2909">
        <v>340000</v>
      </c>
      <c r="DB407" s="2909" t="str">
        <f>IF($A407="","",IF($AE407&amp;""&lt;&gt;'DB_設定'!$C$4,"対象外",IF($AH407=20,IF(OR($AJ407=10,$AJ407=11,$AJ407=18),"①病院一般",IF($AJ407=41,"②病院短期","対象外")),IF($AH407=5,IF($AJ407=30,"③特定消防","対象外"),IF(OR($AJ407=10,$AJ407=11,$AJ407=74),"④一般",IF(OR($AJ407=41,$AJ407=47),"⑤短期","対象外"))))))</f>
        <v>①病院一般</v>
      </c>
    </row>
    <row r="408">
      <c r="A408" t="n" s="2909">
        <v>21</v>
      </c>
      <c r="AA408" t="n" s="2909">
        <v>21</v>
      </c>
      <c r="AB408" t="inlineStr" s="2909">
        <is>
          <t>20190401</t>
        </is>
      </c>
      <c r="AD408" t="n" s="2909">
        <v>12</v>
      </c>
      <c r="AE408" t="inlineStr" s="2909">
        <is>
          <t>20250701</t>
        </is>
      </c>
      <c r="AH408" t="n" s="2909">
        <v>20</v>
      </c>
      <c r="AJ408" t="n" s="2909">
        <v>10</v>
      </c>
      <c r="AP408" t="n" s="2909">
        <v>340000</v>
      </c>
      <c r="DB408" s="2909" t="str">
        <f>IF($A408="","",IF($AE408&amp;""&lt;&gt;'DB_設定'!$C$4,"対象外",IF($AH408=20,IF(OR($AJ408=10,$AJ408=11,$AJ408=18),"①病院一般",IF($AJ408=41,"②病院短期","対象外")),IF($AH408=5,IF($AJ408=30,"③特定消防","対象外"),IF(OR($AJ408=10,$AJ408=11,$AJ408=74),"④一般",IF(OR($AJ408=41,$AJ408=47),"⑤短期","対象外"))))))</f>
        <v>対象外</v>
      </c>
    </row>
    <row r="409">
      <c r="A409" t="n" s="2909">
        <v>21</v>
      </c>
      <c r="AA409" t="n" s="2909">
        <v>21</v>
      </c>
      <c r="AB409" t="inlineStr" s="2909">
        <is>
          <t>20190401</t>
        </is>
      </c>
      <c r="AD409" t="n" s="2909">
        <v>11</v>
      </c>
      <c r="AE409" t="inlineStr" s="2909">
        <is>
          <t>20250401</t>
        </is>
      </c>
      <c r="AH409" t="n" s="2909">
        <v>20</v>
      </c>
      <c r="AJ409" t="n" s="2909">
        <v>10</v>
      </c>
      <c r="AP409" t="n" s="2909">
        <v>340000</v>
      </c>
      <c r="DB409" s="2909" t="str">
        <f>IF($A409="","",IF($AE409&amp;""&lt;&gt;'DB_設定'!$C$4,"対象外",IF($AH409=20,IF(OR($AJ409=10,$AJ409=11,$AJ409=18),"①病院一般",IF($AJ409=41,"②病院短期","対象外")),IF($AH409=5,IF($AJ409=30,"③特定消防","対象外"),IF(OR($AJ409=10,$AJ409=11,$AJ409=74),"④一般",IF(OR($AJ409=41,$AJ409=47),"⑤短期","対象外"))))))</f>
        <v>①病院一般</v>
      </c>
    </row>
    <row r="410">
      <c r="A410" t="n" s="2909">
        <v>21</v>
      </c>
      <c r="AA410" t="n" s="2909">
        <v>21</v>
      </c>
      <c r="AB410" t="inlineStr" s="2909">
        <is>
          <t>20190801</t>
        </is>
      </c>
      <c r="AD410" t="n" s="2909">
        <v>12</v>
      </c>
      <c r="AE410" t="inlineStr" s="2909">
        <is>
          <t>20250401</t>
        </is>
      </c>
      <c r="AH410" t="n" s="2909">
        <v>20</v>
      </c>
      <c r="AJ410" t="n" s="2909">
        <v>10</v>
      </c>
      <c r="AP410" t="n" s="2909">
        <v>1390000</v>
      </c>
      <c r="DB410" s="2909" t="str">
        <f>IF($A410="","",IF($AE410&amp;""&lt;&gt;'DB_設定'!$C$4,"対象外",IF($AH410=20,IF(OR($AJ410=10,$AJ410=11,$AJ410=18),"①病院一般",IF($AJ410=41,"②病院短期","対象外")),IF($AH410=5,IF($AJ410=30,"③特定消防","対象外"),IF(OR($AJ410=10,$AJ410=11,$AJ410=74),"④一般",IF(OR($AJ410=41,$AJ410=47),"⑤短期","対象外"))))))</f>
        <v>①病院一般</v>
      </c>
    </row>
    <row r="411">
      <c r="A411" t="n" s="2909">
        <v>21</v>
      </c>
      <c r="AA411" t="n" s="2909">
        <v>21</v>
      </c>
      <c r="AB411" t="inlineStr" s="2909">
        <is>
          <t>20200401</t>
        </is>
      </c>
      <c r="AD411" t="n" s="2909">
        <v>12</v>
      </c>
      <c r="AE411" t="inlineStr" s="2909">
        <is>
          <t>20250401</t>
        </is>
      </c>
      <c r="AH411" t="n" s="2909">
        <v>1</v>
      </c>
      <c r="AJ411" t="n" s="2909">
        <v>10</v>
      </c>
      <c r="AP411" t="n" s="2909">
        <v>340000</v>
      </c>
      <c r="DB411" s="2909" t="str">
        <f>IF($A411="","",IF($AE411&amp;""&lt;&gt;'DB_設定'!$C$4,"対象外",IF($AH411=20,IF(OR($AJ411=10,$AJ411=11,$AJ411=18),"①病院一般",IF($AJ411=41,"②病院短期","対象外")),IF($AH411=5,IF($AJ411=30,"③特定消防","対象外"),IF(OR($AJ411=10,$AJ411=11,$AJ411=74),"④一般",IF(OR($AJ411=41,$AJ411=47),"⑤短期","対象外"))))))</f>
        <v>④一般</v>
      </c>
    </row>
    <row r="412">
      <c r="A412" t="n" s="2909">
        <v>21</v>
      </c>
      <c r="AA412" t="n" s="2909">
        <v>21</v>
      </c>
      <c r="AB412" t="inlineStr" s="2909">
        <is>
          <t>20200401</t>
        </is>
      </c>
      <c r="AD412" t="n" s="2909">
        <v>12</v>
      </c>
      <c r="AE412" t="inlineStr" s="2909">
        <is>
          <t>20250401</t>
        </is>
      </c>
      <c r="AH412" t="n" s="2909">
        <v>1</v>
      </c>
      <c r="AJ412" t="n" s="2909">
        <v>10</v>
      </c>
      <c r="AP412" t="n" s="2909">
        <v>300000</v>
      </c>
      <c r="DB412" s="2909" t="str">
        <f>IF($A412="","",IF($AE412&amp;""&lt;&gt;'DB_設定'!$C$4,"対象外",IF($AH412=20,IF(OR($AJ412=10,$AJ412=11,$AJ412=18),"①病院一般",IF($AJ412=41,"②病院短期","対象外")),IF($AH412=5,IF($AJ412=30,"③特定消防","対象外"),IF(OR($AJ412=10,$AJ412=11,$AJ412=74),"④一般",IF(OR($AJ412=41,$AJ412=47),"⑤短期","対象外"))))))</f>
        <v>④一般</v>
      </c>
    </row>
    <row r="413">
      <c r="A413" t="n" s="2909">
        <v>21</v>
      </c>
      <c r="AA413" t="n" s="2909">
        <v>21</v>
      </c>
      <c r="AB413" t="inlineStr" s="2909">
        <is>
          <t>20200401</t>
        </is>
      </c>
      <c r="AD413" t="n" s="2909">
        <v>12</v>
      </c>
      <c r="AE413" t="inlineStr" s="2909">
        <is>
          <t>20250401</t>
        </is>
      </c>
      <c r="AH413" t="n" s="2909">
        <v>1</v>
      </c>
      <c r="AJ413" t="n" s="2909">
        <v>10</v>
      </c>
      <c r="AP413" t="n" s="2909">
        <v>360000</v>
      </c>
      <c r="DB413" s="2909" t="str">
        <f>IF($A413="","",IF($AE413&amp;""&lt;&gt;'DB_設定'!$C$4,"対象外",IF($AH413=20,IF(OR($AJ413=10,$AJ413=11,$AJ413=18),"①病院一般",IF($AJ413=41,"②病院短期","対象外")),IF($AH413=5,IF($AJ413=30,"③特定消防","対象外"),IF(OR($AJ413=10,$AJ413=11,$AJ413=74),"④一般",IF(OR($AJ413=41,$AJ413=47),"⑤短期","対象外"))))))</f>
        <v>④一般</v>
      </c>
    </row>
    <row r="414">
      <c r="A414" t="n" s="2909">
        <v>21</v>
      </c>
      <c r="AA414" t="n" s="2909">
        <v>21</v>
      </c>
      <c r="AB414" t="inlineStr" s="2909">
        <is>
          <t>20200401</t>
        </is>
      </c>
      <c r="AD414" t="n" s="2909">
        <v>12</v>
      </c>
      <c r="AE414" t="inlineStr" s="2909">
        <is>
          <t>20250401</t>
        </is>
      </c>
      <c r="AH414" t="n" s="2909">
        <v>1</v>
      </c>
      <c r="AJ414" t="n" s="2909">
        <v>10</v>
      </c>
      <c r="AP414" t="n" s="2909">
        <v>280000</v>
      </c>
      <c r="DB414" s="2909" t="str">
        <f>IF($A414="","",IF($AE414&amp;""&lt;&gt;'DB_設定'!$C$4,"対象外",IF($AH414=20,IF(OR($AJ414=10,$AJ414=11,$AJ414=18),"①病院一般",IF($AJ414=41,"②病院短期","対象外")),IF($AH414=5,IF($AJ414=30,"③特定消防","対象外"),IF(OR($AJ414=10,$AJ414=11,$AJ414=74),"④一般",IF(OR($AJ414=41,$AJ414=47),"⑤短期","対象外"))))))</f>
        <v>④一般</v>
      </c>
    </row>
    <row r="415">
      <c r="A415" t="n" s="2909">
        <v>21</v>
      </c>
      <c r="AA415" t="n" s="2909">
        <v>21</v>
      </c>
      <c r="AB415" t="inlineStr" s="2909">
        <is>
          <t>20200401</t>
        </is>
      </c>
      <c r="AD415" t="n" s="2909">
        <v>12</v>
      </c>
      <c r="AE415" t="inlineStr" s="2909">
        <is>
          <t>20250401</t>
        </is>
      </c>
      <c r="AH415" t="n" s="2909">
        <v>1</v>
      </c>
      <c r="AJ415" t="n" s="2909">
        <v>10</v>
      </c>
      <c r="AP415" t="n" s="2909">
        <v>260000</v>
      </c>
      <c r="DB415" s="2909" t="str">
        <f>IF($A415="","",IF($AE415&amp;""&lt;&gt;'DB_設定'!$C$4,"対象外",IF($AH415=20,IF(OR($AJ415=10,$AJ415=11,$AJ415=18),"①病院一般",IF($AJ415=41,"②病院短期","対象外")),IF($AH415=5,IF($AJ415=30,"③特定消防","対象外"),IF(OR($AJ415=10,$AJ415=11,$AJ415=74),"④一般",IF(OR($AJ415=41,$AJ415=47),"⑤短期","対象外"))))))</f>
        <v>④一般</v>
      </c>
    </row>
    <row r="416">
      <c r="A416" t="n" s="2909">
        <v>21</v>
      </c>
      <c r="AA416" t="n" s="2909">
        <v>21</v>
      </c>
      <c r="AB416" t="inlineStr" s="2909">
        <is>
          <t>20200401</t>
        </is>
      </c>
      <c r="AD416" t="n" s="2909">
        <v>12</v>
      </c>
      <c r="AE416" t="inlineStr" s="2909">
        <is>
          <t>20250401</t>
        </is>
      </c>
      <c r="AH416" t="n" s="2909">
        <v>1</v>
      </c>
      <c r="AJ416" t="n" s="2909">
        <v>10</v>
      </c>
      <c r="AP416" t="n" s="2909">
        <v>260000</v>
      </c>
      <c r="DB416" s="2909" t="str">
        <f>IF($A416="","",IF($AE416&amp;""&lt;&gt;'DB_設定'!$C$4,"対象外",IF($AH416=20,IF(OR($AJ416=10,$AJ416=11,$AJ416=18),"①病院一般",IF($AJ416=41,"②病院短期","対象外")),IF($AH416=5,IF($AJ416=30,"③特定消防","対象外"),IF(OR($AJ416=10,$AJ416=11,$AJ416=74),"④一般",IF(OR($AJ416=41,$AJ416=47),"⑤短期","対象外"))))))</f>
        <v>④一般</v>
      </c>
    </row>
    <row r="417">
      <c r="A417" t="n" s="2909">
        <v>21</v>
      </c>
      <c r="AA417" t="n" s="2909">
        <v>21</v>
      </c>
      <c r="AB417" t="inlineStr" s="2909">
        <is>
          <t>20200401</t>
        </is>
      </c>
      <c r="AD417" t="n" s="2909">
        <v>12</v>
      </c>
      <c r="AE417" t="inlineStr" s="2909">
        <is>
          <t>20250801</t>
        </is>
      </c>
      <c r="AH417" t="n" s="2909">
        <v>11</v>
      </c>
      <c r="AJ417" t="n" s="2909">
        <v>10</v>
      </c>
      <c r="AP417" t="n" s="2909">
        <v>320000</v>
      </c>
      <c r="DB417" s="2909" t="str">
        <f>IF($A417="","",IF($AE417&amp;""&lt;&gt;'DB_設定'!$C$4,"対象外",IF($AH417=20,IF(OR($AJ417=10,$AJ417=11,$AJ417=18),"①病院一般",IF($AJ417=41,"②病院短期","対象外")),IF($AH417=5,IF($AJ417=30,"③特定消防","対象外"),IF(OR($AJ417=10,$AJ417=11,$AJ417=74),"④一般",IF(OR($AJ417=41,$AJ417=47),"⑤短期","対象外"))))))</f>
        <v>対象外</v>
      </c>
    </row>
    <row r="418">
      <c r="A418" t="n" s="2909">
        <v>21</v>
      </c>
      <c r="AA418" t="n" s="2909">
        <v>21</v>
      </c>
      <c r="AB418" t="inlineStr" s="2909">
        <is>
          <t>20200401</t>
        </is>
      </c>
      <c r="AD418" t="n" s="2909">
        <v>12</v>
      </c>
      <c r="AE418" t="inlineStr" s="2909">
        <is>
          <t>20250401</t>
        </is>
      </c>
      <c r="AH418" t="n" s="2909">
        <v>1</v>
      </c>
      <c r="AJ418" t="n" s="2909">
        <v>10</v>
      </c>
      <c r="AP418" t="n" s="2909">
        <v>470000</v>
      </c>
      <c r="DB418" s="2909" t="str">
        <f>IF($A418="","",IF($AE418&amp;""&lt;&gt;'DB_設定'!$C$4,"対象外",IF($AH418=20,IF(OR($AJ418=10,$AJ418=11,$AJ418=18),"①病院一般",IF($AJ418=41,"②病院短期","対象外")),IF($AH418=5,IF($AJ418=30,"③特定消防","対象外"),IF(OR($AJ418=10,$AJ418=11,$AJ418=74),"④一般",IF(OR($AJ418=41,$AJ418=47),"⑤短期","対象外"))))))</f>
        <v>④一般</v>
      </c>
    </row>
    <row r="419">
      <c r="A419" t="n" s="2909">
        <v>21</v>
      </c>
      <c r="AA419" t="n" s="2909">
        <v>21</v>
      </c>
      <c r="AB419" t="inlineStr" s="2909">
        <is>
          <t>20200401</t>
        </is>
      </c>
      <c r="AD419" t="n" s="2909">
        <v>12</v>
      </c>
      <c r="AE419" t="inlineStr" s="2909">
        <is>
          <t>20250901</t>
        </is>
      </c>
      <c r="AH419" t="n" s="2909">
        <v>5</v>
      </c>
      <c r="AJ419" t="n" s="2909">
        <v>30</v>
      </c>
      <c r="AP419" t="n" s="2909">
        <v>320000</v>
      </c>
      <c r="DB419" s="2909" t="str">
        <f>IF($A419="","",IF($AE419&amp;""&lt;&gt;'DB_設定'!$C$4,"対象外",IF($AH419=20,IF(OR($AJ419=10,$AJ419=11,$AJ419=18),"①病院一般",IF($AJ419=41,"②病院短期","対象外")),IF($AH419=5,IF($AJ419=30,"③特定消防","対象外"),IF(OR($AJ419=10,$AJ419=11,$AJ419=74),"④一般",IF(OR($AJ419=41,$AJ419=47),"⑤短期","対象外"))))))</f>
        <v>対象外</v>
      </c>
    </row>
    <row r="420">
      <c r="A420" t="n" s="2909">
        <v>21</v>
      </c>
      <c r="AA420" t="n" s="2909">
        <v>21</v>
      </c>
      <c r="AB420" t="inlineStr" s="2909">
        <is>
          <t>20200401</t>
        </is>
      </c>
      <c r="AD420" t="n" s="2909">
        <v>12</v>
      </c>
      <c r="AE420" t="inlineStr" s="2909">
        <is>
          <t>20250401</t>
        </is>
      </c>
      <c r="AH420" t="n" s="2909">
        <v>5</v>
      </c>
      <c r="AJ420" t="n" s="2909">
        <v>30</v>
      </c>
      <c r="AP420" t="n" s="2909">
        <v>380000</v>
      </c>
      <c r="DB420" s="2909" t="str">
        <f>IF($A420="","",IF($AE420&amp;""&lt;&gt;'DB_設定'!$C$4,"対象外",IF($AH420=20,IF(OR($AJ420=10,$AJ420=11,$AJ420=18),"①病院一般",IF($AJ420=41,"②病院短期","対象外")),IF($AH420=5,IF($AJ420=30,"③特定消防","対象外"),IF(OR($AJ420=10,$AJ420=11,$AJ420=74),"④一般",IF(OR($AJ420=41,$AJ420=47),"⑤短期","対象外"))))))</f>
        <v>③特定消防</v>
      </c>
    </row>
    <row r="421">
      <c r="A421" t="n" s="2909">
        <v>21</v>
      </c>
      <c r="AA421" t="n" s="2909">
        <v>21</v>
      </c>
      <c r="AB421" t="inlineStr" s="2909">
        <is>
          <t>20200401</t>
        </is>
      </c>
      <c r="AD421" t="n" s="2909">
        <v>12</v>
      </c>
      <c r="AE421" t="inlineStr" s="2909">
        <is>
          <t>20250501</t>
        </is>
      </c>
      <c r="AH421" t="n" s="2909">
        <v>20</v>
      </c>
      <c r="AJ421" t="n" s="2909">
        <v>10</v>
      </c>
      <c r="AP421" t="n" s="2909">
        <v>380000</v>
      </c>
      <c r="DB421" s="2909" t="str">
        <f>IF($A421="","",IF($AE421&amp;""&lt;&gt;'DB_設定'!$C$4,"対象外",IF($AH421=20,IF(OR($AJ421=10,$AJ421=11,$AJ421=18),"①病院一般",IF($AJ421=41,"②病院短期","対象外")),IF($AH421=5,IF($AJ421=30,"③特定消防","対象外"),IF(OR($AJ421=10,$AJ421=11,$AJ421=74),"④一般",IF(OR($AJ421=41,$AJ421=47),"⑤短期","対象外"))))))</f>
        <v>対象外</v>
      </c>
    </row>
    <row r="422">
      <c r="A422" t="n" s="2909">
        <v>21</v>
      </c>
      <c r="AA422" t="n" s="2909">
        <v>21</v>
      </c>
      <c r="AB422" t="inlineStr" s="2909">
        <is>
          <t>20200401</t>
        </is>
      </c>
      <c r="AD422" t="n" s="2909">
        <v>12</v>
      </c>
      <c r="AE422" t="inlineStr" s="2909">
        <is>
          <t>20250401</t>
        </is>
      </c>
      <c r="AH422" t="n" s="2909">
        <v>20</v>
      </c>
      <c r="AJ422" t="n" s="2909">
        <v>10</v>
      </c>
      <c r="AP422" t="n" s="2909">
        <v>380000</v>
      </c>
      <c r="DB422" s="2909" t="str">
        <f>IF($A422="","",IF($AE422&amp;""&lt;&gt;'DB_設定'!$C$4,"対象外",IF($AH422=20,IF(OR($AJ422=10,$AJ422=11,$AJ422=18),"①病院一般",IF($AJ422=41,"②病院短期","対象外")),IF($AH422=5,IF($AJ422=30,"③特定消防","対象外"),IF(OR($AJ422=10,$AJ422=11,$AJ422=74),"④一般",IF(OR($AJ422=41,$AJ422=47),"⑤短期","対象外"))))))</f>
        <v>①病院一般</v>
      </c>
    </row>
    <row r="423">
      <c r="A423" t="n" s="2909">
        <v>21</v>
      </c>
      <c r="AA423" t="n" s="2909">
        <v>21</v>
      </c>
      <c r="AB423" t="inlineStr" s="2909">
        <is>
          <t>20200401</t>
        </is>
      </c>
      <c r="AD423" t="n" s="2909">
        <v>12</v>
      </c>
      <c r="AE423" t="inlineStr" s="2909">
        <is>
          <t>20250701</t>
        </is>
      </c>
      <c r="AH423" t="n" s="2909">
        <v>20</v>
      </c>
      <c r="AJ423" t="n" s="2909">
        <v>10</v>
      </c>
      <c r="AP423" t="n" s="2909">
        <v>410000</v>
      </c>
      <c r="DB423" s="2909" t="str">
        <f>IF($A423="","",IF($AE423&amp;""&lt;&gt;'DB_設定'!$C$4,"対象外",IF($AH423=20,IF(OR($AJ423=10,$AJ423=11,$AJ423=18),"①病院一般",IF($AJ423=41,"②病院短期","対象外")),IF($AH423=5,IF($AJ423=30,"③特定消防","対象外"),IF(OR($AJ423=10,$AJ423=11,$AJ423=74),"④一般",IF(OR($AJ423=41,$AJ423=47),"⑤短期","対象外"))))))</f>
        <v>対象外</v>
      </c>
    </row>
    <row r="424">
      <c r="A424" t="n" s="2909">
        <v>21</v>
      </c>
      <c r="AA424" t="n" s="2909">
        <v>21</v>
      </c>
      <c r="AB424" t="inlineStr" s="2909">
        <is>
          <t>20200401</t>
        </is>
      </c>
      <c r="AD424" t="n" s="2909">
        <v>12</v>
      </c>
      <c r="AE424" t="inlineStr" s="2909">
        <is>
          <t>20251001</t>
        </is>
      </c>
      <c r="AH424" t="n" s="2909">
        <v>20</v>
      </c>
      <c r="AJ424" t="n" s="2909">
        <v>10</v>
      </c>
      <c r="AP424" t="n" s="2909">
        <v>240000</v>
      </c>
      <c r="DB424" s="2909" t="str">
        <f>IF($A424="","",IF($AE424&amp;""&lt;&gt;'DB_設定'!$C$4,"対象外",IF($AH424=20,IF(OR($AJ424=10,$AJ424=11,$AJ424=18),"①病院一般",IF($AJ424=41,"②病院短期","対象外")),IF($AH424=5,IF($AJ424=30,"③特定消防","対象外"),IF(OR($AJ424=10,$AJ424=11,$AJ424=74),"④一般",IF(OR($AJ424=41,$AJ424=47),"⑤短期","対象外"))))))</f>
        <v>対象外</v>
      </c>
    </row>
    <row r="425">
      <c r="A425" t="n" s="2909">
        <v>21</v>
      </c>
      <c r="AA425" t="n" s="2909">
        <v>21</v>
      </c>
      <c r="AB425" t="inlineStr" s="2909">
        <is>
          <t>20200401</t>
        </is>
      </c>
      <c r="AD425" t="n" s="2909">
        <v>12</v>
      </c>
      <c r="AE425" t="inlineStr" s="2909">
        <is>
          <t>20250501</t>
        </is>
      </c>
      <c r="AH425" t="n" s="2909">
        <v>20</v>
      </c>
      <c r="AJ425" t="n" s="2909">
        <v>10</v>
      </c>
      <c r="AP425" t="n" s="2909">
        <v>320000</v>
      </c>
      <c r="DB425" s="2909" t="str">
        <f>IF($A425="","",IF($AE425&amp;""&lt;&gt;'DB_設定'!$C$4,"対象外",IF($AH425=20,IF(OR($AJ425=10,$AJ425=11,$AJ425=18),"①病院一般",IF($AJ425=41,"②病院短期","対象外")),IF($AH425=5,IF($AJ425=30,"③特定消防","対象外"),IF(OR($AJ425=10,$AJ425=11,$AJ425=74),"④一般",IF(OR($AJ425=41,$AJ425=47),"⑤短期","対象外"))))))</f>
        <v>対象外</v>
      </c>
    </row>
    <row r="426">
      <c r="A426" t="n" s="2909">
        <v>21</v>
      </c>
      <c r="AA426" t="n" s="2909">
        <v>21</v>
      </c>
      <c r="AB426" t="inlineStr" s="2909">
        <is>
          <t>20210401</t>
        </is>
      </c>
      <c r="AD426" t="n" s="2909">
        <v>12</v>
      </c>
      <c r="AE426" t="inlineStr" s="2909">
        <is>
          <t>20251001</t>
        </is>
      </c>
      <c r="AH426" t="n" s="2909">
        <v>20</v>
      </c>
      <c r="AJ426" t="n" s="2909">
        <v>10</v>
      </c>
      <c r="AP426" t="n" s="2909">
        <v>980000</v>
      </c>
      <c r="DB426" s="2909" t="str">
        <f>IF($A426="","",IF($AE426&amp;""&lt;&gt;'DB_設定'!$C$4,"対象外",IF($AH426=20,IF(OR($AJ426=10,$AJ426=11,$AJ426=18),"①病院一般",IF($AJ426=41,"②病院短期","対象外")),IF($AH426=5,IF($AJ426=30,"③特定消防","対象外"),IF(OR($AJ426=10,$AJ426=11,$AJ426=74),"④一般",IF(OR($AJ426=41,$AJ426=47),"⑤短期","対象外"))))))</f>
        <v>対象外</v>
      </c>
    </row>
    <row r="427">
      <c r="A427" t="n" s="2909">
        <v>21</v>
      </c>
      <c r="AA427" t="n" s="2909">
        <v>21</v>
      </c>
      <c r="AB427" t="inlineStr" s="2909">
        <is>
          <t>20210401</t>
        </is>
      </c>
      <c r="AD427" t="n" s="2909">
        <v>12</v>
      </c>
      <c r="AE427" t="inlineStr" s="2909">
        <is>
          <t>20250401</t>
        </is>
      </c>
      <c r="AH427" t="n" s="2909">
        <v>20</v>
      </c>
      <c r="AJ427" t="n" s="2909">
        <v>10</v>
      </c>
      <c r="AP427" t="n" s="2909">
        <v>790000</v>
      </c>
      <c r="DB427" s="2909" t="str">
        <f>IF($A427="","",IF($AE427&amp;""&lt;&gt;'DB_設定'!$C$4,"対象外",IF($AH427=20,IF(OR($AJ427=10,$AJ427=11,$AJ427=18),"①病院一般",IF($AJ427=41,"②病院短期","対象外")),IF($AH427=5,IF($AJ427=30,"③特定消防","対象外"),IF(OR($AJ427=10,$AJ427=11,$AJ427=74),"④一般",IF(OR($AJ427=41,$AJ427=47),"⑤短期","対象外"))))))</f>
        <v>①病院一般</v>
      </c>
    </row>
    <row r="428">
      <c r="A428" t="n" s="2909">
        <v>21</v>
      </c>
      <c r="AA428" t="n" s="2909">
        <v>21</v>
      </c>
      <c r="AB428" t="inlineStr" s="2909">
        <is>
          <t>20200401</t>
        </is>
      </c>
      <c r="AD428" t="n" s="2909">
        <v>12</v>
      </c>
      <c r="AE428" t="inlineStr" s="2909">
        <is>
          <t>20251001</t>
        </is>
      </c>
      <c r="AH428" t="n" s="2909">
        <v>20</v>
      </c>
      <c r="AJ428" t="n" s="2909">
        <v>10</v>
      </c>
      <c r="AP428" t="n" s="2909">
        <v>1330000</v>
      </c>
      <c r="DB428" s="2909" t="str">
        <f>IF($A428="","",IF($AE428&amp;""&lt;&gt;'DB_設定'!$C$4,"対象外",IF($AH428=20,IF(OR($AJ428=10,$AJ428=11,$AJ428=18),"①病院一般",IF($AJ428=41,"②病院短期","対象外")),IF($AH428=5,IF($AJ428=30,"③特定消防","対象外"),IF(OR($AJ428=10,$AJ428=11,$AJ428=74),"④一般",IF(OR($AJ428=41,$AJ428=47),"⑤短期","対象外"))))))</f>
        <v>対象外</v>
      </c>
    </row>
    <row r="429">
      <c r="A429" t="n" s="2909">
        <v>21</v>
      </c>
      <c r="AA429" t="n" s="2909">
        <v>21</v>
      </c>
      <c r="AB429" t="inlineStr" s="2909">
        <is>
          <t>20210401</t>
        </is>
      </c>
      <c r="AD429" t="n" s="2909">
        <v>12</v>
      </c>
      <c r="AE429" t="inlineStr" s="2909">
        <is>
          <t>20250930</t>
        </is>
      </c>
      <c r="AH429" t="n" s="2909">
        <v>20</v>
      </c>
      <c r="AJ429" t="n" s="2909">
        <v>10</v>
      </c>
      <c r="AP429" t="n" s="2909">
        <v>530000</v>
      </c>
      <c r="DB429" s="2909" t="str">
        <f>IF($A429="","",IF($AE429&amp;""&lt;&gt;'DB_設定'!$C$4,"対象外",IF($AH429=20,IF(OR($AJ429=10,$AJ429=11,$AJ429=18),"①病院一般",IF($AJ429=41,"②病院短期","対象外")),IF($AH429=5,IF($AJ429=30,"③特定消防","対象外"),IF(OR($AJ429=10,$AJ429=11,$AJ429=74),"④一般",IF(OR($AJ429=41,$AJ429=47),"⑤短期","対象外"))))))</f>
        <v>対象外</v>
      </c>
    </row>
    <row r="430">
      <c r="A430" t="n" s="2909">
        <v>21</v>
      </c>
      <c r="AA430" t="n" s="2909">
        <v>21</v>
      </c>
      <c r="AB430" t="inlineStr" s="2909">
        <is>
          <t>20210401</t>
        </is>
      </c>
      <c r="AD430" t="n" s="2909">
        <v>12</v>
      </c>
      <c r="AE430" t="inlineStr" s="2909">
        <is>
          <t>20250401</t>
        </is>
      </c>
      <c r="AH430" t="n" s="2909">
        <v>20</v>
      </c>
      <c r="AJ430" t="n" s="2909">
        <v>10</v>
      </c>
      <c r="AP430" t="n" s="2909">
        <v>830000</v>
      </c>
      <c r="DB430" s="2909" t="str">
        <f>IF($A430="","",IF($AE430&amp;""&lt;&gt;'DB_設定'!$C$4,"対象外",IF($AH430=20,IF(OR($AJ430=10,$AJ430=11,$AJ430=18),"①病院一般",IF($AJ430=41,"②病院短期","対象外")),IF($AH430=5,IF($AJ430=30,"③特定消防","対象外"),IF(OR($AJ430=10,$AJ430=11,$AJ430=74),"④一般",IF(OR($AJ430=41,$AJ430=47),"⑤短期","対象外"))))))</f>
        <v>①病院一般</v>
      </c>
    </row>
    <row r="431">
      <c r="A431" t="n" s="2909">
        <v>21</v>
      </c>
      <c r="AA431" t="n" s="2909">
        <v>21</v>
      </c>
      <c r="AB431" t="inlineStr" s="2909">
        <is>
          <t>20200401</t>
        </is>
      </c>
      <c r="AD431" t="n" s="2909">
        <v>12</v>
      </c>
      <c r="AE431" t="inlineStr" s="2909">
        <is>
          <t>20251001</t>
        </is>
      </c>
      <c r="AH431" t="n" s="2909">
        <v>20</v>
      </c>
      <c r="AJ431" t="n" s="2909">
        <v>10</v>
      </c>
      <c r="AP431" t="n" s="2909">
        <v>340000</v>
      </c>
      <c r="DB431" s="2909" t="str">
        <f>IF($A431="","",IF($AE431&amp;""&lt;&gt;'DB_設定'!$C$4,"対象外",IF($AH431=20,IF(OR($AJ431=10,$AJ431=11,$AJ431=18),"①病院一般",IF($AJ431=41,"②病院短期","対象外")),IF($AH431=5,IF($AJ431=30,"③特定消防","対象外"),IF(OR($AJ431=10,$AJ431=11,$AJ431=74),"④一般",IF(OR($AJ431=41,$AJ431=47),"⑤短期","対象外"))))))</f>
        <v>対象外</v>
      </c>
    </row>
    <row r="432">
      <c r="A432" t="n" s="2909">
        <v>21</v>
      </c>
      <c r="AA432" t="n" s="2909">
        <v>21</v>
      </c>
      <c r="AB432" t="inlineStr" s="2909">
        <is>
          <t>20210201</t>
        </is>
      </c>
      <c r="AD432" t="n" s="2909">
        <v>12</v>
      </c>
      <c r="AE432" t="inlineStr" s="2909">
        <is>
          <t>20250701</t>
        </is>
      </c>
      <c r="AH432" t="n" s="2909">
        <v>20</v>
      </c>
      <c r="AJ432" t="n" s="2909">
        <v>10</v>
      </c>
      <c r="AP432" t="n" s="2909">
        <v>360000</v>
      </c>
      <c r="DB432" s="2909" t="str">
        <f>IF($A432="","",IF($AE432&amp;""&lt;&gt;'DB_設定'!$C$4,"対象外",IF($AH432=20,IF(OR($AJ432=10,$AJ432=11,$AJ432=18),"①病院一般",IF($AJ432=41,"②病院短期","対象外")),IF($AH432=5,IF($AJ432=30,"③特定消防","対象外"),IF(OR($AJ432=10,$AJ432=11,$AJ432=74),"④一般",IF(OR($AJ432=41,$AJ432=47),"⑤短期","対象外"))))))</f>
        <v>対象外</v>
      </c>
    </row>
    <row r="433">
      <c r="A433" t="n" s="2909">
        <v>21</v>
      </c>
      <c r="AA433" t="n" s="2909">
        <v>21</v>
      </c>
      <c r="AB433" t="inlineStr" s="2909">
        <is>
          <t>20210401</t>
        </is>
      </c>
      <c r="AD433" t="n" s="2909">
        <v>12</v>
      </c>
      <c r="AE433" t="inlineStr" s="2909">
        <is>
          <t>20250401</t>
        </is>
      </c>
      <c r="AH433" t="n" s="2909">
        <v>11</v>
      </c>
      <c r="AJ433" t="n" s="2909">
        <v>10</v>
      </c>
      <c r="AP433" t="n" s="2909">
        <v>190000</v>
      </c>
      <c r="DB433" s="2909" t="str">
        <f>IF($A433="","",IF($AE433&amp;""&lt;&gt;'DB_設定'!$C$4,"対象外",IF($AH433=20,IF(OR($AJ433=10,$AJ433=11,$AJ433=18),"①病院一般",IF($AJ433=41,"②病院短期","対象外")),IF($AH433=5,IF($AJ433=30,"③特定消防","対象外"),IF(OR($AJ433=10,$AJ433=11,$AJ433=74),"④一般",IF(OR($AJ433=41,$AJ433=47),"⑤短期","対象外"))))))</f>
        <v>④一般</v>
      </c>
    </row>
    <row r="434">
      <c r="A434" t="n" s="2909">
        <v>21</v>
      </c>
      <c r="AA434" t="n" s="2909">
        <v>21</v>
      </c>
      <c r="AB434" t="inlineStr" s="2909">
        <is>
          <t>20210401</t>
        </is>
      </c>
      <c r="AD434" t="n" s="2909">
        <v>12</v>
      </c>
      <c r="AE434" t="inlineStr" s="2909">
        <is>
          <t>20250707</t>
        </is>
      </c>
      <c r="AH434" t="n" s="2909">
        <v>1</v>
      </c>
      <c r="AJ434" t="n" s="2909">
        <v>10</v>
      </c>
      <c r="AP434" t="n" s="2909">
        <v>380000</v>
      </c>
      <c r="DB434" s="2909" t="str">
        <f>IF($A434="","",IF($AE434&amp;""&lt;&gt;'DB_設定'!$C$4,"対象外",IF($AH434=20,IF(OR($AJ434=10,$AJ434=11,$AJ434=18),"①病院一般",IF($AJ434=41,"②病院短期","対象外")),IF($AH434=5,IF($AJ434=30,"③特定消防","対象外"),IF(OR($AJ434=10,$AJ434=11,$AJ434=74),"④一般",IF(OR($AJ434=41,$AJ434=47),"⑤短期","対象外"))))))</f>
        <v>対象外</v>
      </c>
    </row>
    <row r="435">
      <c r="A435" t="n" s="2909">
        <v>21</v>
      </c>
      <c r="AA435" t="n" s="2909">
        <v>21</v>
      </c>
      <c r="AB435" t="inlineStr" s="2909">
        <is>
          <t>20210401</t>
        </is>
      </c>
      <c r="AD435" t="n" s="2909">
        <v>12</v>
      </c>
      <c r="AE435" t="inlineStr" s="2909">
        <is>
          <t>20250601</t>
        </is>
      </c>
      <c r="AH435" t="n" s="2909">
        <v>1</v>
      </c>
      <c r="AJ435" t="n" s="2909">
        <v>10</v>
      </c>
      <c r="AP435" t="n" s="2909">
        <v>260000</v>
      </c>
      <c r="DB435" s="2909" t="str">
        <f>IF($A435="","",IF($AE435&amp;""&lt;&gt;'DB_設定'!$C$4,"対象外",IF($AH435=20,IF(OR($AJ435=10,$AJ435=11,$AJ435=18),"①病院一般",IF($AJ435=41,"②病院短期","対象外")),IF($AH435=5,IF($AJ435=30,"③特定消防","対象外"),IF(OR($AJ435=10,$AJ435=11,$AJ435=74),"④一般",IF(OR($AJ435=41,$AJ435=47),"⑤短期","対象外"))))))</f>
        <v>対象外</v>
      </c>
    </row>
    <row r="436">
      <c r="A436" t="n" s="2909">
        <v>21</v>
      </c>
      <c r="AA436" t="n" s="2909">
        <v>21</v>
      </c>
      <c r="AB436" t="inlineStr" s="2909">
        <is>
          <t>20210401</t>
        </is>
      </c>
      <c r="AD436" t="n" s="2909">
        <v>12</v>
      </c>
      <c r="AE436" t="inlineStr" s="2909">
        <is>
          <t>20250401</t>
        </is>
      </c>
      <c r="AH436" t="n" s="2909">
        <v>1</v>
      </c>
      <c r="AJ436" t="n" s="2909">
        <v>10</v>
      </c>
      <c r="AP436" t="n" s="2909">
        <v>320000</v>
      </c>
      <c r="DB436" s="2909" t="str">
        <f>IF($A436="","",IF($AE436&amp;""&lt;&gt;'DB_設定'!$C$4,"対象外",IF($AH436=20,IF(OR($AJ436=10,$AJ436=11,$AJ436=18),"①病院一般",IF($AJ436=41,"②病院短期","対象外")),IF($AH436=5,IF($AJ436=30,"③特定消防","対象外"),IF(OR($AJ436=10,$AJ436=11,$AJ436=74),"④一般",IF(OR($AJ436=41,$AJ436=47),"⑤短期","対象外"))))))</f>
        <v>④一般</v>
      </c>
    </row>
    <row r="437">
      <c r="A437" t="n" s="2909">
        <v>21</v>
      </c>
      <c r="AA437" t="n" s="2909">
        <v>21</v>
      </c>
      <c r="AB437" t="inlineStr" s="2909">
        <is>
          <t>20210401</t>
        </is>
      </c>
      <c r="AD437" t="n" s="2909">
        <v>12</v>
      </c>
      <c r="AE437" t="inlineStr" s="2909">
        <is>
          <t>20250401</t>
        </is>
      </c>
      <c r="AH437" t="n" s="2909">
        <v>1</v>
      </c>
      <c r="AJ437" t="n" s="2909">
        <v>10</v>
      </c>
      <c r="AP437" t="n" s="2909">
        <v>320000</v>
      </c>
      <c r="DB437" s="2909" t="str">
        <f>IF($A437="","",IF($AE437&amp;""&lt;&gt;'DB_設定'!$C$4,"対象外",IF($AH437=20,IF(OR($AJ437=10,$AJ437=11,$AJ437=18),"①病院一般",IF($AJ437=41,"②病院短期","対象外")),IF($AH437=5,IF($AJ437=30,"③特定消防","対象外"),IF(OR($AJ437=10,$AJ437=11,$AJ437=74),"④一般",IF(OR($AJ437=41,$AJ437=47),"⑤短期","対象外"))))))</f>
        <v>④一般</v>
      </c>
    </row>
    <row r="438">
      <c r="A438" t="n" s="2909">
        <v>21</v>
      </c>
      <c r="AA438" t="n" s="2909">
        <v>21</v>
      </c>
      <c r="AB438" t="inlineStr" s="2909">
        <is>
          <t>20210401</t>
        </is>
      </c>
      <c r="AD438" t="n" s="2909">
        <v>12</v>
      </c>
      <c r="AE438" t="inlineStr" s="2909">
        <is>
          <t>20250401</t>
        </is>
      </c>
      <c r="AH438" t="n" s="2909">
        <v>1</v>
      </c>
      <c r="AJ438" t="n" s="2909">
        <v>10</v>
      </c>
      <c r="AP438" t="n" s="2909">
        <v>220000</v>
      </c>
      <c r="DB438" s="2909" t="str">
        <f>IF($A438="","",IF($AE438&amp;""&lt;&gt;'DB_設定'!$C$4,"対象外",IF($AH438=20,IF(OR($AJ438=10,$AJ438=11,$AJ438=18),"①病院一般",IF($AJ438=41,"②病院短期","対象外")),IF($AH438=5,IF($AJ438=30,"③特定消防","対象外"),IF(OR($AJ438=10,$AJ438=11,$AJ438=74),"④一般",IF(OR($AJ438=41,$AJ438=47),"⑤短期","対象外"))))))</f>
        <v>④一般</v>
      </c>
    </row>
    <row r="439">
      <c r="A439" t="n" s="2909">
        <v>21</v>
      </c>
      <c r="AA439" t="n" s="2909">
        <v>21</v>
      </c>
      <c r="AB439" t="inlineStr" s="2909">
        <is>
          <t>20210401</t>
        </is>
      </c>
      <c r="AD439" t="n" s="2909">
        <v>12</v>
      </c>
      <c r="AE439" t="inlineStr" s="2909">
        <is>
          <t>20250401</t>
        </is>
      </c>
      <c r="AH439" t="n" s="2909">
        <v>3</v>
      </c>
      <c r="AJ439" t="n" s="2909">
        <v>10</v>
      </c>
      <c r="AP439" t="n" s="2909">
        <v>280000</v>
      </c>
      <c r="DB439" s="2909" t="str">
        <f>IF($A439="","",IF($AE439&amp;""&lt;&gt;'DB_設定'!$C$4,"対象外",IF($AH439=20,IF(OR($AJ439=10,$AJ439=11,$AJ439=18),"①病院一般",IF($AJ439=41,"②病院短期","対象外")),IF($AH439=5,IF($AJ439=30,"③特定消防","対象外"),IF(OR($AJ439=10,$AJ439=11,$AJ439=74),"④一般",IF(OR($AJ439=41,$AJ439=47),"⑤短期","対象外"))))))</f>
        <v>④一般</v>
      </c>
    </row>
    <row r="440">
      <c r="A440" t="n" s="2909">
        <v>21</v>
      </c>
      <c r="AA440" t="n" s="2909">
        <v>21</v>
      </c>
      <c r="AB440" t="inlineStr" s="2909">
        <is>
          <t>20210401</t>
        </is>
      </c>
      <c r="AD440" t="n" s="2909">
        <v>12</v>
      </c>
      <c r="AE440" t="inlineStr" s="2909">
        <is>
          <t>20250401</t>
        </is>
      </c>
      <c r="AH440" t="n" s="2909">
        <v>1</v>
      </c>
      <c r="AJ440" t="n" s="2909">
        <v>10</v>
      </c>
      <c r="AP440" t="n" s="2909">
        <v>280000</v>
      </c>
      <c r="DB440" s="2909" t="str">
        <f>IF($A440="","",IF($AE440&amp;""&lt;&gt;'DB_設定'!$C$4,"対象外",IF($AH440=20,IF(OR($AJ440=10,$AJ440=11,$AJ440=18),"①病院一般",IF($AJ440=41,"②病院短期","対象外")),IF($AH440=5,IF($AJ440=30,"③特定消防","対象外"),IF(OR($AJ440=10,$AJ440=11,$AJ440=74),"④一般",IF(OR($AJ440=41,$AJ440=47),"⑤短期","対象外"))))))</f>
        <v>④一般</v>
      </c>
    </row>
    <row r="441">
      <c r="A441" t="n" s="2909">
        <v>21</v>
      </c>
      <c r="AA441" t="n" s="2909">
        <v>21</v>
      </c>
      <c r="AB441" t="inlineStr" s="2909">
        <is>
          <t>20210401</t>
        </is>
      </c>
      <c r="AD441" t="n" s="2909">
        <v>12</v>
      </c>
      <c r="AE441" t="inlineStr" s="2909">
        <is>
          <t>20250401</t>
        </is>
      </c>
      <c r="AH441" t="n" s="2909">
        <v>20</v>
      </c>
      <c r="AJ441" t="n" s="2909">
        <v>10</v>
      </c>
      <c r="AP441" t="n" s="2909">
        <v>380000</v>
      </c>
      <c r="DB441" s="2909" t="str">
        <f>IF($A441="","",IF($AE441&amp;""&lt;&gt;'DB_設定'!$C$4,"対象外",IF($AH441=20,IF(OR($AJ441=10,$AJ441=11,$AJ441=18),"①病院一般",IF($AJ441=41,"②病院短期","対象外")),IF($AH441=5,IF($AJ441=30,"③特定消防","対象外"),IF(OR($AJ441=10,$AJ441=11,$AJ441=74),"④一般",IF(OR($AJ441=41,$AJ441=47),"⑤短期","対象外"))))))</f>
        <v>①病院一般</v>
      </c>
    </row>
    <row r="442">
      <c r="A442" t="n" s="2909">
        <v>21</v>
      </c>
      <c r="AA442" t="n" s="2909">
        <v>21</v>
      </c>
      <c r="AB442" t="inlineStr" s="2909">
        <is>
          <t>20210401</t>
        </is>
      </c>
      <c r="AD442" t="n" s="2909">
        <v>12</v>
      </c>
      <c r="AE442" t="inlineStr" s="2909">
        <is>
          <t>20250701</t>
        </is>
      </c>
      <c r="AH442" t="n" s="2909">
        <v>20</v>
      </c>
      <c r="AJ442" t="n" s="2909">
        <v>10</v>
      </c>
      <c r="AP442" t="n" s="2909">
        <v>380000</v>
      </c>
      <c r="DB442" s="2909" t="str">
        <f>IF($A442="","",IF($AE442&amp;""&lt;&gt;'DB_設定'!$C$4,"対象外",IF($AH442=20,IF(OR($AJ442=10,$AJ442=11,$AJ442=18),"①病院一般",IF($AJ442=41,"②病院短期","対象外")),IF($AH442=5,IF($AJ442=30,"③特定消防","対象外"),IF(OR($AJ442=10,$AJ442=11,$AJ442=74),"④一般",IF(OR($AJ442=41,$AJ442=47),"⑤短期","対象外"))))))</f>
        <v>対象外</v>
      </c>
    </row>
    <row r="443">
      <c r="A443" t="n" s="2909">
        <v>21</v>
      </c>
      <c r="AA443" t="n" s="2909">
        <v>21</v>
      </c>
      <c r="AB443" t="inlineStr" s="2909">
        <is>
          <t>20210401</t>
        </is>
      </c>
      <c r="AD443" t="n" s="2909">
        <v>12</v>
      </c>
      <c r="AE443" t="inlineStr" s="2909">
        <is>
          <t>20250401</t>
        </is>
      </c>
      <c r="AH443" t="n" s="2909">
        <v>20</v>
      </c>
      <c r="AJ443" t="n" s="2909">
        <v>10</v>
      </c>
      <c r="AP443" t="n" s="2909">
        <v>410000</v>
      </c>
      <c r="DB443" s="2909" t="str">
        <f>IF($A443="","",IF($AE443&amp;""&lt;&gt;'DB_設定'!$C$4,"対象外",IF($AH443=20,IF(OR($AJ443=10,$AJ443=11,$AJ443=18),"①病院一般",IF($AJ443=41,"②病院短期","対象外")),IF($AH443=5,IF($AJ443=30,"③特定消防","対象外"),IF(OR($AJ443=10,$AJ443=11,$AJ443=74),"④一般",IF(OR($AJ443=41,$AJ443=47),"⑤短期","対象外"))))))</f>
        <v>①病院一般</v>
      </c>
    </row>
    <row r="444">
      <c r="A444" t="n" s="2909">
        <v>21</v>
      </c>
      <c r="AA444" t="n" s="2909">
        <v>21</v>
      </c>
      <c r="AB444" t="inlineStr" s="2909">
        <is>
          <t>20210401</t>
        </is>
      </c>
      <c r="AD444" t="n" s="2909">
        <v>12</v>
      </c>
      <c r="AE444" t="inlineStr" s="2909">
        <is>
          <t>20250401</t>
        </is>
      </c>
      <c r="AH444" t="n" s="2909">
        <v>20</v>
      </c>
      <c r="AJ444" t="n" s="2909">
        <v>10</v>
      </c>
      <c r="AP444" t="n" s="2909">
        <v>360000</v>
      </c>
      <c r="DB444" s="2909" t="str">
        <f>IF($A444="","",IF($AE444&amp;""&lt;&gt;'DB_設定'!$C$4,"対象外",IF($AH444=20,IF(OR($AJ444=10,$AJ444=11,$AJ444=18),"①病院一般",IF($AJ444=41,"②病院短期","対象外")),IF($AH444=5,IF($AJ444=30,"③特定消防","対象外"),IF(OR($AJ444=10,$AJ444=11,$AJ444=74),"④一般",IF(OR($AJ444=41,$AJ444=47),"⑤短期","対象外"))))))</f>
        <v>①病院一般</v>
      </c>
    </row>
    <row r="445">
      <c r="A445" t="n" s="2909">
        <v>21</v>
      </c>
      <c r="AA445" t="n" s="2909">
        <v>21</v>
      </c>
      <c r="AB445" t="inlineStr" s="2909">
        <is>
          <t>20210401</t>
        </is>
      </c>
      <c r="AD445" t="n" s="2909">
        <v>12</v>
      </c>
      <c r="AE445" t="inlineStr" s="2909">
        <is>
          <t>20250401</t>
        </is>
      </c>
      <c r="AH445" t="n" s="2909">
        <v>20</v>
      </c>
      <c r="AJ445" t="n" s="2909">
        <v>10</v>
      </c>
      <c r="AP445" t="n" s="2909">
        <v>410000</v>
      </c>
      <c r="DB445" s="2909" t="str">
        <f>IF($A445="","",IF($AE445&amp;""&lt;&gt;'DB_設定'!$C$4,"対象外",IF($AH445=20,IF(OR($AJ445=10,$AJ445=11,$AJ445=18),"①病院一般",IF($AJ445=41,"②病院短期","対象外")),IF($AH445=5,IF($AJ445=30,"③特定消防","対象外"),IF(OR($AJ445=10,$AJ445=11,$AJ445=74),"④一般",IF(OR($AJ445=41,$AJ445=47),"⑤短期","対象外"))))))</f>
        <v>①病院一般</v>
      </c>
    </row>
    <row r="446">
      <c r="A446" t="n" s="2909">
        <v>21</v>
      </c>
      <c r="AA446" t="n" s="2909">
        <v>21</v>
      </c>
      <c r="AB446" t="inlineStr" s="2909">
        <is>
          <t>20210401</t>
        </is>
      </c>
      <c r="AD446" t="n" s="2909">
        <v>12</v>
      </c>
      <c r="AE446" t="inlineStr" s="2909">
        <is>
          <t>20250401</t>
        </is>
      </c>
      <c r="AH446" t="n" s="2909">
        <v>20</v>
      </c>
      <c r="AJ446" t="n" s="2909">
        <v>10</v>
      </c>
      <c r="AP446" t="n" s="2909">
        <v>340000</v>
      </c>
      <c r="DB446" s="2909" t="str">
        <f>IF($A446="","",IF($AE446&amp;""&lt;&gt;'DB_設定'!$C$4,"対象外",IF($AH446=20,IF(OR($AJ446=10,$AJ446=11,$AJ446=18),"①病院一般",IF($AJ446=41,"②病院短期","対象外")),IF($AH446=5,IF($AJ446=30,"③特定消防","対象外"),IF(OR($AJ446=10,$AJ446=11,$AJ446=74),"④一般",IF(OR($AJ446=41,$AJ446=47),"⑤短期","対象外"))))))</f>
        <v>①病院一般</v>
      </c>
    </row>
    <row r="447">
      <c r="A447" t="n" s="2909">
        <v>21</v>
      </c>
      <c r="AA447" t="n" s="2909">
        <v>21</v>
      </c>
      <c r="AB447" t="inlineStr" s="2909">
        <is>
          <t>20210401</t>
        </is>
      </c>
      <c r="AD447" t="n" s="2909">
        <v>12</v>
      </c>
      <c r="AE447" t="inlineStr" s="2909">
        <is>
          <t>20250401</t>
        </is>
      </c>
      <c r="AH447" t="n" s="2909">
        <v>20</v>
      </c>
      <c r="AJ447" t="n" s="2909">
        <v>10</v>
      </c>
      <c r="AP447" t="n" s="2909">
        <v>360000</v>
      </c>
      <c r="DB447" s="2909" t="str">
        <f>IF($A447="","",IF($AE447&amp;""&lt;&gt;'DB_設定'!$C$4,"対象外",IF($AH447=20,IF(OR($AJ447=10,$AJ447=11,$AJ447=18),"①病院一般",IF($AJ447=41,"②病院短期","対象外")),IF($AH447=5,IF($AJ447=30,"③特定消防","対象外"),IF(OR($AJ447=10,$AJ447=11,$AJ447=74),"④一般",IF(OR($AJ447=41,$AJ447=47),"⑤短期","対象外"))))))</f>
        <v>①病院一般</v>
      </c>
    </row>
    <row r="448">
      <c r="A448" t="n" s="2909">
        <v>21</v>
      </c>
      <c r="AA448" t="n" s="2909">
        <v>21</v>
      </c>
      <c r="AB448" t="inlineStr" s="2909">
        <is>
          <t>20210401</t>
        </is>
      </c>
      <c r="AD448" t="n" s="2909">
        <v>12</v>
      </c>
      <c r="AE448" t="inlineStr" s="2909">
        <is>
          <t>20250701</t>
        </is>
      </c>
      <c r="AH448" t="n" s="2909">
        <v>20</v>
      </c>
      <c r="AJ448" t="n" s="2909">
        <v>10</v>
      </c>
      <c r="AP448" t="n" s="2909">
        <v>360000</v>
      </c>
      <c r="DB448" s="2909" t="str">
        <f>IF($A448="","",IF($AE448&amp;""&lt;&gt;'DB_設定'!$C$4,"対象外",IF($AH448=20,IF(OR($AJ448=10,$AJ448=11,$AJ448=18),"①病院一般",IF($AJ448=41,"②病院短期","対象外")),IF($AH448=5,IF($AJ448=30,"③特定消防","対象外"),IF(OR($AJ448=10,$AJ448=11,$AJ448=74),"④一般",IF(OR($AJ448=41,$AJ448=47),"⑤短期","対象外"))))))</f>
        <v>対象外</v>
      </c>
    </row>
    <row r="449">
      <c r="A449" t="n" s="2909">
        <v>21</v>
      </c>
      <c r="AA449" t="n" s="2909">
        <v>21</v>
      </c>
      <c r="AB449" t="inlineStr" s="2909">
        <is>
          <t>20210401</t>
        </is>
      </c>
      <c r="AD449" t="n" s="2909">
        <v>12</v>
      </c>
      <c r="AE449" t="inlineStr" s="2909">
        <is>
          <t>20250601</t>
        </is>
      </c>
      <c r="AH449" t="n" s="2909">
        <v>20</v>
      </c>
      <c r="AJ449" t="n" s="2909">
        <v>10</v>
      </c>
      <c r="AP449" t="n" s="2909">
        <v>300000</v>
      </c>
      <c r="DB449" s="2909" t="str">
        <f>IF($A449="","",IF($AE449&amp;""&lt;&gt;'DB_設定'!$C$4,"対象外",IF($AH449=20,IF(OR($AJ449=10,$AJ449=11,$AJ449=18),"①病院一般",IF($AJ449=41,"②病院短期","対象外")),IF($AH449=5,IF($AJ449=30,"③特定消防","対象外"),IF(OR($AJ449=10,$AJ449=11,$AJ449=74),"④一般",IF(OR($AJ449=41,$AJ449=47),"⑤短期","対象外"))))))</f>
        <v>対象外</v>
      </c>
    </row>
    <row r="450">
      <c r="A450" t="n" s="2909">
        <v>21</v>
      </c>
      <c r="AA450" t="n" s="2909">
        <v>21</v>
      </c>
      <c r="AB450" t="inlineStr" s="2909">
        <is>
          <t>20210401</t>
        </is>
      </c>
      <c r="AD450" t="n" s="2909">
        <v>12</v>
      </c>
      <c r="AE450" t="inlineStr" s="2909">
        <is>
          <t>20250401</t>
        </is>
      </c>
      <c r="AH450" t="n" s="2909">
        <v>20</v>
      </c>
      <c r="AJ450" t="n" s="2909">
        <v>10</v>
      </c>
      <c r="AP450" t="n" s="2909">
        <v>360000</v>
      </c>
      <c r="DB450" s="2909" t="str">
        <f>IF($A450="","",IF($AE450&amp;""&lt;&gt;'DB_設定'!$C$4,"対象外",IF($AH450=20,IF(OR($AJ450=10,$AJ450=11,$AJ450=18),"①病院一般",IF($AJ450=41,"②病院短期","対象外")),IF($AH450=5,IF($AJ450=30,"③特定消防","対象外"),IF(OR($AJ450=10,$AJ450=11,$AJ450=74),"④一般",IF(OR($AJ450=41,$AJ450=47),"⑤短期","対象外"))))))</f>
        <v>①病院一般</v>
      </c>
    </row>
    <row r="451">
      <c r="A451" t="n" s="2909">
        <v>21</v>
      </c>
      <c r="AA451" t="n" s="2909">
        <v>21</v>
      </c>
      <c r="AB451" t="inlineStr" s="2909">
        <is>
          <t>20210401</t>
        </is>
      </c>
      <c r="AD451" t="n" s="2909">
        <v>12</v>
      </c>
      <c r="AE451" t="inlineStr" s="2909">
        <is>
          <t>20250401</t>
        </is>
      </c>
      <c r="AH451" t="n" s="2909">
        <v>20</v>
      </c>
      <c r="AJ451" t="n" s="2909">
        <v>10</v>
      </c>
      <c r="AP451" t="n" s="2909">
        <v>980000</v>
      </c>
      <c r="DB451" s="2909" t="str">
        <f>IF($A451="","",IF($AE451&amp;""&lt;&gt;'DB_設定'!$C$4,"対象外",IF($AH451=20,IF(OR($AJ451=10,$AJ451=11,$AJ451=18),"①病院一般",IF($AJ451=41,"②病院短期","対象外")),IF($AH451=5,IF($AJ451=30,"③特定消防","対象外"),IF(OR($AJ451=10,$AJ451=11,$AJ451=74),"④一般",IF(OR($AJ451=41,$AJ451=47),"⑤短期","対象外"))))))</f>
        <v>①病院一般</v>
      </c>
    </row>
    <row r="452">
      <c r="A452" t="n" s="2909">
        <v>21</v>
      </c>
      <c r="AA452" t="n" s="2909">
        <v>21</v>
      </c>
      <c r="AB452" t="inlineStr" s="2909">
        <is>
          <t>20210401</t>
        </is>
      </c>
      <c r="AD452" t="n" s="2909">
        <v>12</v>
      </c>
      <c r="AE452" t="inlineStr" s="2909">
        <is>
          <t>20251001</t>
        </is>
      </c>
      <c r="AH452" t="n" s="2909">
        <v>20</v>
      </c>
      <c r="AJ452" t="n" s="2909">
        <v>10</v>
      </c>
      <c r="AP452" t="n" s="2909">
        <v>1390000</v>
      </c>
      <c r="DB452" s="2909" t="str">
        <f>IF($A452="","",IF($AE452&amp;""&lt;&gt;'DB_設定'!$C$4,"対象外",IF($AH452=20,IF(OR($AJ452=10,$AJ452=11,$AJ452=18),"①病院一般",IF($AJ452=41,"②病院短期","対象外")),IF($AH452=5,IF($AJ452=30,"③特定消防","対象外"),IF(OR($AJ452=10,$AJ452=11,$AJ452=74),"④一般",IF(OR($AJ452=41,$AJ452=47),"⑤短期","対象外"))))))</f>
        <v>対象外</v>
      </c>
    </row>
    <row r="453">
      <c r="A453" t="n" s="2909">
        <v>21</v>
      </c>
      <c r="AA453" t="n" s="2909">
        <v>21</v>
      </c>
      <c r="AB453" t="inlineStr" s="2909">
        <is>
          <t>20220401</t>
        </is>
      </c>
      <c r="AD453" t="n" s="2909">
        <v>12</v>
      </c>
      <c r="AE453" t="inlineStr" s="2909">
        <is>
          <t>20250401</t>
        </is>
      </c>
      <c r="AH453" t="n" s="2909">
        <v>20</v>
      </c>
      <c r="AJ453" t="n" s="2909">
        <v>10</v>
      </c>
      <c r="AP453" t="n" s="2909">
        <v>1090000</v>
      </c>
      <c r="DB453" s="2909" t="str">
        <f>IF($A453="","",IF($AE453&amp;""&lt;&gt;'DB_設定'!$C$4,"対象外",IF($AH453=20,IF(OR($AJ453=10,$AJ453=11,$AJ453=18),"①病院一般",IF($AJ453=41,"②病院短期","対象外")),IF($AH453=5,IF($AJ453=30,"③特定消防","対象外"),IF(OR($AJ453=10,$AJ453=11,$AJ453=74),"④一般",IF(OR($AJ453=41,$AJ453=47),"⑤短期","対象外"))))))</f>
        <v>①病院一般</v>
      </c>
    </row>
    <row r="454">
      <c r="A454" t="n" s="2909">
        <v>21</v>
      </c>
      <c r="AA454" t="n" s="2909">
        <v>21</v>
      </c>
      <c r="AB454" t="inlineStr" s="2909">
        <is>
          <t>20220401</t>
        </is>
      </c>
      <c r="AD454" t="n" s="2909">
        <v>12</v>
      </c>
      <c r="AE454" t="inlineStr" s="2909">
        <is>
          <t>20250401</t>
        </is>
      </c>
      <c r="AH454" t="n" s="2909">
        <v>20</v>
      </c>
      <c r="AJ454" t="n" s="2909">
        <v>10</v>
      </c>
      <c r="AP454" t="n" s="2909">
        <v>1270000</v>
      </c>
      <c r="DB454" s="2909" t="str">
        <f>IF($A454="","",IF($AE454&amp;""&lt;&gt;'DB_設定'!$C$4,"対象外",IF($AH454=20,IF(OR($AJ454=10,$AJ454=11,$AJ454=18),"①病院一般",IF($AJ454=41,"②病院短期","対象外")),IF($AH454=5,IF($AJ454=30,"③特定消防","対象外"),IF(OR($AJ454=10,$AJ454=11,$AJ454=74),"④一般",IF(OR($AJ454=41,$AJ454=47),"⑤短期","対象外"))))))</f>
        <v>①病院一般</v>
      </c>
    </row>
    <row r="455">
      <c r="A455" t="n" s="2909">
        <v>21</v>
      </c>
      <c r="AA455" t="n" s="2909">
        <v>21</v>
      </c>
      <c r="AB455" t="inlineStr" s="2909">
        <is>
          <t>20220401</t>
        </is>
      </c>
      <c r="AD455" t="n" s="2909">
        <v>12</v>
      </c>
      <c r="AE455" t="inlineStr" s="2909">
        <is>
          <t>20251001</t>
        </is>
      </c>
      <c r="AH455" t="n" s="2909">
        <v>20</v>
      </c>
      <c r="AJ455" t="n" s="2909">
        <v>10</v>
      </c>
      <c r="AP455" t="n" s="2909">
        <v>930000</v>
      </c>
      <c r="DB455" s="2909" t="str">
        <f>IF($A455="","",IF($AE455&amp;""&lt;&gt;'DB_設定'!$C$4,"対象外",IF($AH455=20,IF(OR($AJ455=10,$AJ455=11,$AJ455=18),"①病院一般",IF($AJ455=41,"②病院短期","対象外")),IF($AH455=5,IF($AJ455=30,"③特定消防","対象外"),IF(OR($AJ455=10,$AJ455=11,$AJ455=74),"④一般",IF(OR($AJ455=41,$AJ455=47),"⑤短期","対象外"))))))</f>
        <v>対象外</v>
      </c>
    </row>
    <row r="456">
      <c r="A456" t="n" s="2909">
        <v>21</v>
      </c>
      <c r="AA456" t="n" s="2909">
        <v>21</v>
      </c>
      <c r="AB456" t="inlineStr" s="2909">
        <is>
          <t>20220401</t>
        </is>
      </c>
      <c r="AD456" t="n" s="2909">
        <v>12</v>
      </c>
      <c r="AE456" t="inlineStr" s="2909">
        <is>
          <t>20250401</t>
        </is>
      </c>
      <c r="AH456" t="n" s="2909">
        <v>20</v>
      </c>
      <c r="AJ456" t="n" s="2909">
        <v>10</v>
      </c>
      <c r="AP456" t="n" s="2909">
        <v>680000</v>
      </c>
      <c r="DB456" s="2909" t="str">
        <f>IF($A456="","",IF($AE456&amp;""&lt;&gt;'DB_設定'!$C$4,"対象外",IF($AH456=20,IF(OR($AJ456=10,$AJ456=11,$AJ456=18),"①病院一般",IF($AJ456=41,"②病院短期","対象外")),IF($AH456=5,IF($AJ456=30,"③特定消防","対象外"),IF(OR($AJ456=10,$AJ456=11,$AJ456=74),"④一般",IF(OR($AJ456=41,$AJ456=47),"⑤短期","対象外"))))))</f>
        <v>①病院一般</v>
      </c>
    </row>
    <row r="457">
      <c r="A457" t="n" s="2909">
        <v>21</v>
      </c>
      <c r="AA457" t="n" s="2909">
        <v>21</v>
      </c>
      <c r="AB457" t="inlineStr" s="2909">
        <is>
          <t>20220401</t>
        </is>
      </c>
      <c r="AD457" t="n" s="2909">
        <v>12</v>
      </c>
      <c r="AE457" t="inlineStr" s="2909">
        <is>
          <t>20250401</t>
        </is>
      </c>
      <c r="AH457" t="n" s="2909">
        <v>20</v>
      </c>
      <c r="AJ457" t="n" s="2909">
        <v>10</v>
      </c>
      <c r="AP457" t="n" s="2909">
        <v>1090000</v>
      </c>
      <c r="DB457" s="2909" t="str">
        <f>IF($A457="","",IF($AE457&amp;""&lt;&gt;'DB_設定'!$C$4,"対象外",IF($AH457=20,IF(OR($AJ457=10,$AJ457=11,$AJ457=18),"①病院一般",IF($AJ457=41,"②病院短期","対象外")),IF($AH457=5,IF($AJ457=30,"③特定消防","対象外"),IF(OR($AJ457=10,$AJ457=11,$AJ457=74),"④一般",IF(OR($AJ457=41,$AJ457=47),"⑤短期","対象外"))))))</f>
        <v>①病院一般</v>
      </c>
    </row>
    <row r="458">
      <c r="A458" t="n" s="2909">
        <v>21</v>
      </c>
      <c r="AA458" t="n" s="2909">
        <v>21</v>
      </c>
      <c r="AB458" t="inlineStr" s="2909">
        <is>
          <t>20210401</t>
        </is>
      </c>
      <c r="AD458" t="n" s="2909">
        <v>12</v>
      </c>
      <c r="AE458" t="inlineStr" s="2909">
        <is>
          <t>20250401</t>
        </is>
      </c>
      <c r="AH458" t="n" s="2909">
        <v>20</v>
      </c>
      <c r="AJ458" t="n" s="2909">
        <v>10</v>
      </c>
      <c r="AP458" t="n" s="2909">
        <v>1390000</v>
      </c>
      <c r="DB458" s="2909" t="str">
        <f>IF($A458="","",IF($AE458&amp;""&lt;&gt;'DB_設定'!$C$4,"対象外",IF($AH458=20,IF(OR($AJ458=10,$AJ458=11,$AJ458=18),"①病院一般",IF($AJ458=41,"②病院短期","対象外")),IF($AH458=5,IF($AJ458=30,"③特定消防","対象外"),IF(OR($AJ458=10,$AJ458=11,$AJ458=74),"④一般",IF(OR($AJ458=41,$AJ458=47),"⑤短期","対象外"))))))</f>
        <v>①病院一般</v>
      </c>
    </row>
    <row r="459">
      <c r="A459" t="n" s="2909">
        <v>21</v>
      </c>
      <c r="AA459" t="n" s="2909">
        <v>21</v>
      </c>
      <c r="AB459" t="inlineStr" s="2909">
        <is>
          <t>20210401</t>
        </is>
      </c>
      <c r="AD459" t="n" s="2909">
        <v>12</v>
      </c>
      <c r="AE459" t="inlineStr" s="2909">
        <is>
          <t>20250601</t>
        </is>
      </c>
      <c r="AH459" t="n" s="2909">
        <v>20</v>
      </c>
      <c r="AJ459" t="n" s="2909">
        <v>10</v>
      </c>
      <c r="AP459" t="n" s="2909">
        <v>1390000</v>
      </c>
      <c r="DB459" s="2909" t="str">
        <f>IF($A459="","",IF($AE459&amp;""&lt;&gt;'DB_設定'!$C$4,"対象外",IF($AH459=20,IF(OR($AJ459=10,$AJ459=11,$AJ459=18),"①病院一般",IF($AJ459=41,"②病院短期","対象外")),IF($AH459=5,IF($AJ459=30,"③特定消防","対象外"),IF(OR($AJ459=10,$AJ459=11,$AJ459=74),"④一般",IF(OR($AJ459=41,$AJ459=47),"⑤短期","対象外"))))))</f>
        <v>対象外</v>
      </c>
    </row>
    <row r="460">
      <c r="A460" t="n" s="2909">
        <v>21</v>
      </c>
      <c r="AA460" t="n" s="2909">
        <v>21</v>
      </c>
      <c r="AB460" t="inlineStr" s="2909">
        <is>
          <t>20220401</t>
        </is>
      </c>
      <c r="AD460" t="n" s="2909">
        <v>12</v>
      </c>
      <c r="AE460" t="inlineStr" s="2909">
        <is>
          <t>20250401</t>
        </is>
      </c>
      <c r="AH460" t="n" s="2909">
        <v>20</v>
      </c>
      <c r="AJ460" t="n" s="2909">
        <v>10</v>
      </c>
      <c r="AP460" t="n" s="2909">
        <v>710000</v>
      </c>
      <c r="DB460" s="2909" t="str">
        <f>IF($A460="","",IF($AE460&amp;""&lt;&gt;'DB_設定'!$C$4,"対象外",IF($AH460=20,IF(OR($AJ460=10,$AJ460=11,$AJ460=18),"①病院一般",IF($AJ460=41,"②病院短期","対象外")),IF($AH460=5,IF($AJ460=30,"③特定消防","対象外"),IF(OR($AJ460=10,$AJ460=11,$AJ460=74),"④一般",IF(OR($AJ460=41,$AJ460=47),"⑤短期","対象外"))))))</f>
        <v>①病院一般</v>
      </c>
    </row>
    <row r="461">
      <c r="A461" t="n" s="2909">
        <v>21</v>
      </c>
      <c r="AA461" t="n" s="2909">
        <v>21</v>
      </c>
      <c r="AB461" t="inlineStr" s="2909">
        <is>
          <t>20220401</t>
        </is>
      </c>
      <c r="AD461" t="n" s="2909">
        <v>12</v>
      </c>
      <c r="AE461" t="inlineStr" s="2909">
        <is>
          <t>20250401</t>
        </is>
      </c>
      <c r="AH461" t="n" s="2909">
        <v>20</v>
      </c>
      <c r="AJ461" t="n" s="2909">
        <v>10</v>
      </c>
      <c r="AP461" t="n" s="2909">
        <v>880000</v>
      </c>
      <c r="DB461" s="2909" t="str">
        <f>IF($A461="","",IF($AE461&amp;""&lt;&gt;'DB_設定'!$C$4,"対象外",IF($AH461=20,IF(OR($AJ461=10,$AJ461=11,$AJ461=18),"①病院一般",IF($AJ461=41,"②病院短期","対象外")),IF($AH461=5,IF($AJ461=30,"③特定消防","対象外"),IF(OR($AJ461=10,$AJ461=11,$AJ461=74),"④一般",IF(OR($AJ461=41,$AJ461=47),"⑤短期","対象外"))))))</f>
        <v>①病院一般</v>
      </c>
    </row>
    <row r="462">
      <c r="A462" t="n" s="2909">
        <v>21</v>
      </c>
      <c r="AA462" t="n" s="2909">
        <v>21</v>
      </c>
      <c r="AB462" t="inlineStr" s="2909">
        <is>
          <t>20210701</t>
        </is>
      </c>
      <c r="AD462" t="n" s="2909">
        <v>12</v>
      </c>
      <c r="AE462" t="inlineStr" s="2909">
        <is>
          <t>20250401</t>
        </is>
      </c>
      <c r="AH462" t="n" s="2909">
        <v>20</v>
      </c>
      <c r="AJ462" t="n" s="2909">
        <v>11</v>
      </c>
      <c r="AP462" t="n" s="2909">
        <v>750000</v>
      </c>
      <c r="DB462" s="2909" t="str">
        <f>IF($A462="","",IF($AE462&amp;""&lt;&gt;'DB_設定'!$C$4,"対象外",IF($AH462=20,IF(OR($AJ462=10,$AJ462=11,$AJ462=18),"①病院一般",IF($AJ462=41,"②病院短期","対象外")),IF($AH462=5,IF($AJ462=30,"③特定消防","対象外"),IF(OR($AJ462=10,$AJ462=11,$AJ462=74),"④一般",IF(OR($AJ462=41,$AJ462=47),"⑤短期","対象外"))))))</f>
        <v>①病院一般</v>
      </c>
    </row>
    <row r="463">
      <c r="A463" t="n" s="2909">
        <v>21</v>
      </c>
      <c r="AA463" t="n" s="2909">
        <v>21</v>
      </c>
      <c r="AB463" t="inlineStr" s="2909">
        <is>
          <t>20211001</t>
        </is>
      </c>
      <c r="AD463" t="n" s="2909">
        <v>12</v>
      </c>
      <c r="AE463" t="inlineStr" s="2909">
        <is>
          <t>20250701</t>
        </is>
      </c>
      <c r="AH463" t="n" s="2909">
        <v>20</v>
      </c>
      <c r="AJ463" t="n" s="2909">
        <v>10</v>
      </c>
      <c r="AP463" t="n" s="2909">
        <v>1270000</v>
      </c>
      <c r="DB463" s="2909" t="str">
        <f>IF($A463="","",IF($AE463&amp;""&lt;&gt;'DB_設定'!$C$4,"対象外",IF($AH463=20,IF(OR($AJ463=10,$AJ463=11,$AJ463=18),"①病院一般",IF($AJ463=41,"②病院短期","対象外")),IF($AH463=5,IF($AJ463=30,"③特定消防","対象外"),IF(OR($AJ463=10,$AJ463=11,$AJ463=74),"④一般",IF(OR($AJ463=41,$AJ463=47),"⑤短期","対象外"))))))</f>
        <v>対象外</v>
      </c>
    </row>
    <row r="464">
      <c r="A464" t="n" s="2909">
        <v>21</v>
      </c>
      <c r="AA464" t="n" s="2909">
        <v>21</v>
      </c>
      <c r="AB464" t="inlineStr" s="2909">
        <is>
          <t>20220401</t>
        </is>
      </c>
      <c r="AD464" t="n" s="2909">
        <v>12</v>
      </c>
      <c r="AE464" t="inlineStr" s="2909">
        <is>
          <t>20250401</t>
        </is>
      </c>
      <c r="AH464" t="n" s="2909">
        <v>1</v>
      </c>
      <c r="AJ464" t="n" s="2909">
        <v>10</v>
      </c>
      <c r="AP464" t="n" s="2909">
        <v>360000</v>
      </c>
      <c r="DB464" s="2909" t="str">
        <f>IF($A464="","",IF($AE464&amp;""&lt;&gt;'DB_設定'!$C$4,"対象外",IF($AH464=20,IF(OR($AJ464=10,$AJ464=11,$AJ464=18),"①病院一般",IF($AJ464=41,"②病院短期","対象外")),IF($AH464=5,IF($AJ464=30,"③特定消防","対象外"),IF(OR($AJ464=10,$AJ464=11,$AJ464=74),"④一般",IF(OR($AJ464=41,$AJ464=47),"⑤短期","対象外"))))))</f>
        <v>④一般</v>
      </c>
    </row>
    <row r="465">
      <c r="A465" t="n" s="2909">
        <v>21</v>
      </c>
      <c r="AA465" t="n" s="2909">
        <v>21</v>
      </c>
      <c r="AB465" t="inlineStr" s="2909">
        <is>
          <t>20220401</t>
        </is>
      </c>
      <c r="AD465" t="n" s="2909">
        <v>12</v>
      </c>
      <c r="AE465" t="inlineStr" s="2909">
        <is>
          <t>20250401</t>
        </is>
      </c>
      <c r="AH465" t="n" s="2909">
        <v>1</v>
      </c>
      <c r="AJ465" t="n" s="2909">
        <v>10</v>
      </c>
      <c r="AP465" t="n" s="2909">
        <v>340000</v>
      </c>
      <c r="DB465" s="2909" t="str">
        <f>IF($A465="","",IF($AE465&amp;""&lt;&gt;'DB_設定'!$C$4,"対象外",IF($AH465=20,IF(OR($AJ465=10,$AJ465=11,$AJ465=18),"①病院一般",IF($AJ465=41,"②病院短期","対象外")),IF($AH465=5,IF($AJ465=30,"③特定消防","対象外"),IF(OR($AJ465=10,$AJ465=11,$AJ465=74),"④一般",IF(OR($AJ465=41,$AJ465=47),"⑤短期","対象外"))))))</f>
        <v>④一般</v>
      </c>
    </row>
    <row r="466">
      <c r="A466" t="n" s="2909">
        <v>21</v>
      </c>
      <c r="AA466" t="n" s="2909">
        <v>21</v>
      </c>
      <c r="AB466" t="inlineStr" s="2909">
        <is>
          <t>20220401</t>
        </is>
      </c>
      <c r="AD466" t="n" s="2909">
        <v>12</v>
      </c>
      <c r="AE466" t="inlineStr" s="2909">
        <is>
          <t>20251001</t>
        </is>
      </c>
      <c r="AH466" t="n" s="2909">
        <v>1</v>
      </c>
      <c r="AJ466" t="n" s="2909">
        <v>10</v>
      </c>
      <c r="AP466" t="n" s="2909">
        <v>320000</v>
      </c>
      <c r="DB466" s="2909" t="str">
        <f>IF($A466="","",IF($AE466&amp;""&lt;&gt;'DB_設定'!$C$4,"対象外",IF($AH466=20,IF(OR($AJ466=10,$AJ466=11,$AJ466=18),"①病院一般",IF($AJ466=41,"②病院短期","対象外")),IF($AH466=5,IF($AJ466=30,"③特定消防","対象外"),IF(OR($AJ466=10,$AJ466=11,$AJ466=74),"④一般",IF(OR($AJ466=41,$AJ466=47),"⑤短期","対象外"))))))</f>
        <v>対象外</v>
      </c>
    </row>
    <row r="467">
      <c r="A467" t="n" s="2909">
        <v>21</v>
      </c>
      <c r="AA467" t="n" s="2909">
        <v>21</v>
      </c>
      <c r="AB467" t="inlineStr" s="2909">
        <is>
          <t>20220401</t>
        </is>
      </c>
      <c r="AD467" t="n" s="2909">
        <v>12</v>
      </c>
      <c r="AE467" t="inlineStr" s="2909">
        <is>
          <t>20251001</t>
        </is>
      </c>
      <c r="AH467" t="n" s="2909">
        <v>1</v>
      </c>
      <c r="AJ467" t="n" s="2909">
        <v>10</v>
      </c>
      <c r="AP467" t="n" s="2909">
        <v>340000</v>
      </c>
      <c r="DB467" s="2909" t="str">
        <f>IF($A467="","",IF($AE467&amp;""&lt;&gt;'DB_設定'!$C$4,"対象外",IF($AH467=20,IF(OR($AJ467=10,$AJ467=11,$AJ467=18),"①病院一般",IF($AJ467=41,"②病院短期","対象外")),IF($AH467=5,IF($AJ467=30,"③特定消防","対象外"),IF(OR($AJ467=10,$AJ467=11,$AJ467=74),"④一般",IF(OR($AJ467=41,$AJ467=47),"⑤短期","対象外"))))))</f>
        <v>対象外</v>
      </c>
    </row>
    <row r="468">
      <c r="A468" t="n" s="2909">
        <v>21</v>
      </c>
      <c r="AA468" t="n" s="2909">
        <v>21</v>
      </c>
      <c r="AB468" t="inlineStr" s="2909">
        <is>
          <t>20220401</t>
        </is>
      </c>
      <c r="AD468" t="n" s="2909">
        <v>12</v>
      </c>
      <c r="AE468" t="inlineStr" s="2909">
        <is>
          <t>20250401</t>
        </is>
      </c>
      <c r="AH468" t="n" s="2909">
        <v>1</v>
      </c>
      <c r="AJ468" t="n" s="2909">
        <v>10</v>
      </c>
      <c r="AP468" t="n" s="2909">
        <v>320000</v>
      </c>
      <c r="DB468" s="2909" t="str">
        <f>IF($A468="","",IF($AE468&amp;""&lt;&gt;'DB_設定'!$C$4,"対象外",IF($AH468=20,IF(OR($AJ468=10,$AJ468=11,$AJ468=18),"①病院一般",IF($AJ468=41,"②病院短期","対象外")),IF($AH468=5,IF($AJ468=30,"③特定消防","対象外"),IF(OR($AJ468=10,$AJ468=11,$AJ468=74),"④一般",IF(OR($AJ468=41,$AJ468=47),"⑤短期","対象外"))))))</f>
        <v>④一般</v>
      </c>
    </row>
    <row r="469">
      <c r="A469" t="n" s="2909">
        <v>21</v>
      </c>
      <c r="AA469" t="n" s="2909">
        <v>21</v>
      </c>
      <c r="AB469" t="inlineStr" s="2909">
        <is>
          <t>20220401</t>
        </is>
      </c>
      <c r="AD469" t="n" s="2909">
        <v>12</v>
      </c>
      <c r="AE469" t="inlineStr" s="2909">
        <is>
          <t>20250401</t>
        </is>
      </c>
      <c r="AH469" t="n" s="2909">
        <v>1</v>
      </c>
      <c r="AJ469" t="n" s="2909">
        <v>10</v>
      </c>
      <c r="AP469" t="n" s="2909">
        <v>380000</v>
      </c>
      <c r="DB469" s="2909" t="str">
        <f>IF($A469="","",IF($AE469&amp;""&lt;&gt;'DB_設定'!$C$4,"対象外",IF($AH469=20,IF(OR($AJ469=10,$AJ469=11,$AJ469=18),"①病院一般",IF($AJ469=41,"②病院短期","対象外")),IF($AH469=5,IF($AJ469=30,"③特定消防","対象外"),IF(OR($AJ469=10,$AJ469=11,$AJ469=74),"④一般",IF(OR($AJ469=41,$AJ469=47),"⑤短期","対象外"))))))</f>
        <v>④一般</v>
      </c>
    </row>
    <row r="470">
      <c r="A470" t="n" s="2909">
        <v>21</v>
      </c>
      <c r="AA470" t="n" s="2909">
        <v>21</v>
      </c>
      <c r="AB470" t="inlineStr" s="2909">
        <is>
          <t>20220401</t>
        </is>
      </c>
      <c r="AD470" t="n" s="2909">
        <v>12</v>
      </c>
      <c r="AE470" t="inlineStr" s="2909">
        <is>
          <t>20251001</t>
        </is>
      </c>
      <c r="AH470" t="n" s="2909">
        <v>1</v>
      </c>
      <c r="AJ470" t="n" s="2909">
        <v>10</v>
      </c>
      <c r="AP470" t="n" s="2909">
        <v>190000</v>
      </c>
      <c r="DB470" s="2909" t="str">
        <f>IF($A470="","",IF($AE470&amp;""&lt;&gt;'DB_設定'!$C$4,"対象外",IF($AH470=20,IF(OR($AJ470=10,$AJ470=11,$AJ470=18),"①病院一般",IF($AJ470=41,"②病院短期","対象外")),IF($AH470=5,IF($AJ470=30,"③特定消防","対象外"),IF(OR($AJ470=10,$AJ470=11,$AJ470=74),"④一般",IF(OR($AJ470=41,$AJ470=47),"⑤短期","対象外"))))))</f>
        <v>対象外</v>
      </c>
    </row>
    <row r="471">
      <c r="A471" t="n" s="2909">
        <v>21</v>
      </c>
      <c r="AA471" t="n" s="2909">
        <v>21</v>
      </c>
      <c r="AB471" t="inlineStr" s="2909">
        <is>
          <t>20220401</t>
        </is>
      </c>
      <c r="AD471" t="n" s="2909">
        <v>15</v>
      </c>
      <c r="AE471" t="inlineStr" s="2909">
        <is>
          <t>20250803</t>
        </is>
      </c>
      <c r="AH471" t="n" s="2909">
        <v>1</v>
      </c>
      <c r="AJ471" t="n" s="2909">
        <v>10</v>
      </c>
      <c r="AP471" t="n" s="2909">
        <v>300000</v>
      </c>
      <c r="DB471" s="2909" t="str">
        <f>IF($A471="","",IF($AE471&amp;""&lt;&gt;'DB_設定'!$C$4,"対象外",IF($AH471=20,IF(OR($AJ471=10,$AJ471=11,$AJ471=18),"①病院一般",IF($AJ471=41,"②病院短期","対象外")),IF($AH471=5,IF($AJ471=30,"③特定消防","対象外"),IF(OR($AJ471=10,$AJ471=11,$AJ471=74),"④一般",IF(OR($AJ471=41,$AJ471=47),"⑤短期","対象外"))))))</f>
        <v>対象外</v>
      </c>
    </row>
    <row r="472">
      <c r="A472" t="n" s="2909">
        <v>21</v>
      </c>
      <c r="AA472" t="n" s="2909">
        <v>21</v>
      </c>
      <c r="AB472" t="inlineStr" s="2909">
        <is>
          <t>20220401</t>
        </is>
      </c>
      <c r="AD472" t="n" s="2909">
        <v>12</v>
      </c>
      <c r="AE472" t="inlineStr" s="2909">
        <is>
          <t>20250401</t>
        </is>
      </c>
      <c r="AH472" t="n" s="2909">
        <v>1</v>
      </c>
      <c r="AJ472" t="n" s="2909">
        <v>10</v>
      </c>
      <c r="AP472" t="n" s="2909">
        <v>260000</v>
      </c>
      <c r="DB472" s="2909" t="str">
        <f>IF($A472="","",IF($AE472&amp;""&lt;&gt;'DB_設定'!$C$4,"対象外",IF($AH472=20,IF(OR($AJ472=10,$AJ472=11,$AJ472=18),"①病院一般",IF($AJ472=41,"②病院短期","対象外")),IF($AH472=5,IF($AJ472=30,"③特定消防","対象外"),IF(OR($AJ472=10,$AJ472=11,$AJ472=74),"④一般",IF(OR($AJ472=41,$AJ472=47),"⑤短期","対象外"))))))</f>
        <v>④一般</v>
      </c>
    </row>
    <row r="473">
      <c r="A473" t="n" s="2909">
        <v>21</v>
      </c>
      <c r="AA473" t="n" s="2909">
        <v>21</v>
      </c>
      <c r="AB473" t="inlineStr" s="2909">
        <is>
          <t>20220401</t>
        </is>
      </c>
      <c r="AD473" t="n" s="2909">
        <v>12</v>
      </c>
      <c r="AE473" t="inlineStr" s="2909">
        <is>
          <t>20250401</t>
        </is>
      </c>
      <c r="AH473" t="n" s="2909">
        <v>1</v>
      </c>
      <c r="AJ473" t="n" s="2909">
        <v>10</v>
      </c>
      <c r="AP473" t="n" s="2909">
        <v>240000</v>
      </c>
      <c r="DB473" s="2909" t="str">
        <f>IF($A473="","",IF($AE473&amp;""&lt;&gt;'DB_設定'!$C$4,"対象外",IF($AH473=20,IF(OR($AJ473=10,$AJ473=11,$AJ473=18),"①病院一般",IF($AJ473=41,"②病院短期","対象外")),IF($AH473=5,IF($AJ473=30,"③特定消防","対象外"),IF(OR($AJ473=10,$AJ473=11,$AJ473=74),"④一般",IF(OR($AJ473=41,$AJ473=47),"⑤短期","対象外"))))))</f>
        <v>④一般</v>
      </c>
    </row>
    <row r="474">
      <c r="A474" t="n" s="2909">
        <v>21</v>
      </c>
      <c r="AA474" t="n" s="2909">
        <v>21</v>
      </c>
      <c r="AB474" t="inlineStr" s="2909">
        <is>
          <t>20220401</t>
        </is>
      </c>
      <c r="AD474" t="n" s="2909">
        <v>12</v>
      </c>
      <c r="AE474" t="inlineStr" s="2909">
        <is>
          <t>20250401</t>
        </is>
      </c>
      <c r="AH474" t="n" s="2909">
        <v>1</v>
      </c>
      <c r="AJ474" t="n" s="2909">
        <v>10</v>
      </c>
      <c r="AP474" t="n" s="2909">
        <v>340000</v>
      </c>
      <c r="DB474" s="2909" t="str">
        <f>IF($A474="","",IF($AE474&amp;""&lt;&gt;'DB_設定'!$C$4,"対象外",IF($AH474=20,IF(OR($AJ474=10,$AJ474=11,$AJ474=18),"①病院一般",IF($AJ474=41,"②病院短期","対象外")),IF($AH474=5,IF($AJ474=30,"③特定消防","対象外"),IF(OR($AJ474=10,$AJ474=11,$AJ474=74),"④一般",IF(OR($AJ474=41,$AJ474=47),"⑤短期","対象外"))))))</f>
        <v>④一般</v>
      </c>
    </row>
    <row r="475">
      <c r="A475" t="n" s="2909">
        <v>21</v>
      </c>
      <c r="AA475" t="n" s="2909">
        <v>21</v>
      </c>
      <c r="AB475" t="inlineStr" s="2909">
        <is>
          <t>20220401</t>
        </is>
      </c>
      <c r="AD475" t="n" s="2909">
        <v>12</v>
      </c>
      <c r="AE475" t="inlineStr" s="2909">
        <is>
          <t>20250901</t>
        </is>
      </c>
      <c r="AH475" t="n" s="2909">
        <v>1</v>
      </c>
      <c r="AJ475" t="n" s="2909">
        <v>10</v>
      </c>
      <c r="AP475" t="n" s="2909">
        <v>280000</v>
      </c>
      <c r="DB475" s="2909" t="str">
        <f>IF($A475="","",IF($AE475&amp;""&lt;&gt;'DB_設定'!$C$4,"対象外",IF($AH475=20,IF(OR($AJ475=10,$AJ475=11,$AJ475=18),"①病院一般",IF($AJ475=41,"②病院短期","対象外")),IF($AH475=5,IF($AJ475=30,"③特定消防","対象外"),IF(OR($AJ475=10,$AJ475=11,$AJ475=74),"④一般",IF(OR($AJ475=41,$AJ475=47),"⑤短期","対象外"))))))</f>
        <v>対象外</v>
      </c>
    </row>
    <row r="476">
      <c r="A476" t="n" s="2909">
        <v>21</v>
      </c>
      <c r="AA476" t="n" s="2909">
        <v>21</v>
      </c>
      <c r="AB476" t="inlineStr" s="2909">
        <is>
          <t>20220401</t>
        </is>
      </c>
      <c r="AD476" t="n" s="2909">
        <v>12</v>
      </c>
      <c r="AE476" t="inlineStr" s="2909">
        <is>
          <t>20250401</t>
        </is>
      </c>
      <c r="AH476" t="n" s="2909">
        <v>1</v>
      </c>
      <c r="AJ476" t="n" s="2909">
        <v>10</v>
      </c>
      <c r="AP476" t="n" s="2909">
        <v>260000</v>
      </c>
      <c r="DB476" s="2909" t="str">
        <f>IF($A476="","",IF($AE476&amp;""&lt;&gt;'DB_設定'!$C$4,"対象外",IF($AH476=20,IF(OR($AJ476=10,$AJ476=11,$AJ476=18),"①病院一般",IF($AJ476=41,"②病院短期","対象外")),IF($AH476=5,IF($AJ476=30,"③特定消防","対象外"),IF(OR($AJ476=10,$AJ476=11,$AJ476=74),"④一般",IF(OR($AJ476=41,$AJ476=47),"⑤短期","対象外"))))))</f>
        <v>④一般</v>
      </c>
    </row>
    <row r="477">
      <c r="A477" t="n" s="2909">
        <v>21</v>
      </c>
      <c r="AA477" t="n" s="2909">
        <v>21</v>
      </c>
      <c r="AB477" t="inlineStr" s="2909">
        <is>
          <t>20220401</t>
        </is>
      </c>
      <c r="AD477" t="n" s="2909">
        <v>12</v>
      </c>
      <c r="AE477" t="inlineStr" s="2909">
        <is>
          <t>20250401</t>
        </is>
      </c>
      <c r="AH477" t="n" s="2909">
        <v>1</v>
      </c>
      <c r="AJ477" t="n" s="2909">
        <v>10</v>
      </c>
      <c r="AP477" t="n" s="2909">
        <v>530000</v>
      </c>
      <c r="DB477" s="2909" t="str">
        <f>IF($A477="","",IF($AE477&amp;""&lt;&gt;'DB_設定'!$C$4,"対象外",IF($AH477=20,IF(OR($AJ477=10,$AJ477=11,$AJ477=18),"①病院一般",IF($AJ477=41,"②病院短期","対象外")),IF($AH477=5,IF($AJ477=30,"③特定消防","対象外"),IF(OR($AJ477=10,$AJ477=11,$AJ477=74),"④一般",IF(OR($AJ477=41,$AJ477=47),"⑤短期","対象外"))))))</f>
        <v>④一般</v>
      </c>
    </row>
    <row r="478">
      <c r="A478" t="n" s="2909">
        <v>21</v>
      </c>
      <c r="AA478" t="n" s="2909">
        <v>21</v>
      </c>
      <c r="AB478" t="inlineStr" s="2909">
        <is>
          <t>20220401</t>
        </is>
      </c>
      <c r="AD478" t="n" s="2909">
        <v>12</v>
      </c>
      <c r="AE478" t="inlineStr" s="2909">
        <is>
          <t>20250401</t>
        </is>
      </c>
      <c r="AH478" t="n" s="2909">
        <v>20</v>
      </c>
      <c r="AJ478" t="n" s="2909">
        <v>10</v>
      </c>
      <c r="AP478" t="n" s="2909">
        <v>440000</v>
      </c>
      <c r="DB478" s="2909" t="str">
        <f>IF($A478="","",IF($AE478&amp;""&lt;&gt;'DB_設定'!$C$4,"対象外",IF($AH478=20,IF(OR($AJ478=10,$AJ478=11,$AJ478=18),"①病院一般",IF($AJ478=41,"②病院短期","対象外")),IF($AH478=5,IF($AJ478=30,"③特定消防","対象外"),IF(OR($AJ478=10,$AJ478=11,$AJ478=74),"④一般",IF(OR($AJ478=41,$AJ478=47),"⑤短期","対象外"))))))</f>
        <v>①病院一般</v>
      </c>
    </row>
    <row r="479">
      <c r="A479" t="n" s="2909">
        <v>21</v>
      </c>
      <c r="AA479" t="n" s="2909">
        <v>21</v>
      </c>
      <c r="AB479" t="inlineStr" s="2909">
        <is>
          <t>20220401</t>
        </is>
      </c>
      <c r="AD479" t="n" s="2909">
        <v>12</v>
      </c>
      <c r="AE479" t="inlineStr" s="2909">
        <is>
          <t>20250701</t>
        </is>
      </c>
      <c r="AH479" t="n" s="2909">
        <v>20</v>
      </c>
      <c r="AJ479" t="n" s="2909">
        <v>10</v>
      </c>
      <c r="AP479" t="n" s="2909">
        <v>380000</v>
      </c>
      <c r="DB479" s="2909" t="str">
        <f>IF($A479="","",IF($AE479&amp;""&lt;&gt;'DB_設定'!$C$4,"対象外",IF($AH479=20,IF(OR($AJ479=10,$AJ479=11,$AJ479=18),"①病院一般",IF($AJ479=41,"②病院短期","対象外")),IF($AH479=5,IF($AJ479=30,"③特定消防","対象外"),IF(OR($AJ479=10,$AJ479=11,$AJ479=74),"④一般",IF(OR($AJ479=41,$AJ479=47),"⑤短期","対象外"))))))</f>
        <v>対象外</v>
      </c>
    </row>
    <row r="480">
      <c r="A480" t="n" s="2909">
        <v>21</v>
      </c>
      <c r="AA480" t="n" s="2909">
        <v>21</v>
      </c>
      <c r="AB480" t="inlineStr" s="2909">
        <is>
          <t>20220401</t>
        </is>
      </c>
      <c r="AD480" t="n" s="2909">
        <v>12</v>
      </c>
      <c r="AE480" t="inlineStr" s="2909">
        <is>
          <t>20250401</t>
        </is>
      </c>
      <c r="AH480" t="n" s="2909">
        <v>20</v>
      </c>
      <c r="AJ480" t="n" s="2909">
        <v>10</v>
      </c>
      <c r="AP480" t="n" s="2909">
        <v>380000</v>
      </c>
      <c r="DB480" s="2909" t="str">
        <f>IF($A480="","",IF($AE480&amp;""&lt;&gt;'DB_設定'!$C$4,"対象外",IF($AH480=20,IF(OR($AJ480=10,$AJ480=11,$AJ480=18),"①病院一般",IF($AJ480=41,"②病院短期","対象外")),IF($AH480=5,IF($AJ480=30,"③特定消防","対象外"),IF(OR($AJ480=10,$AJ480=11,$AJ480=74),"④一般",IF(OR($AJ480=41,$AJ480=47),"⑤短期","対象外"))))))</f>
        <v>①病院一般</v>
      </c>
    </row>
    <row r="481">
      <c r="A481" t="n" s="2909">
        <v>21</v>
      </c>
      <c r="AA481" t="n" s="2909">
        <v>21</v>
      </c>
      <c r="AB481" t="inlineStr" s="2909">
        <is>
          <t>20220401</t>
        </is>
      </c>
      <c r="AD481" t="n" s="2909">
        <v>12</v>
      </c>
      <c r="AE481" t="inlineStr" s="2909">
        <is>
          <t>20250401</t>
        </is>
      </c>
      <c r="AH481" t="n" s="2909">
        <v>20</v>
      </c>
      <c r="AJ481" t="n" s="2909">
        <v>10</v>
      </c>
      <c r="AP481" t="n" s="2909">
        <v>320000</v>
      </c>
      <c r="DB481" s="2909" t="str">
        <f>IF($A481="","",IF($AE481&amp;""&lt;&gt;'DB_設定'!$C$4,"対象外",IF($AH481=20,IF(OR($AJ481=10,$AJ481=11,$AJ481=18),"①病院一般",IF($AJ481=41,"②病院短期","対象外")),IF($AH481=5,IF($AJ481=30,"③特定消防","対象外"),IF(OR($AJ481=10,$AJ481=11,$AJ481=74),"④一般",IF(OR($AJ481=41,$AJ481=47),"⑤短期","対象外"))))))</f>
        <v>①病院一般</v>
      </c>
    </row>
    <row r="482">
      <c r="A482" t="n" s="2909">
        <v>21</v>
      </c>
      <c r="AA482" t="n" s="2909">
        <v>21</v>
      </c>
      <c r="AB482" t="inlineStr" s="2909">
        <is>
          <t>20220401</t>
        </is>
      </c>
      <c r="AD482" t="n" s="2909">
        <v>12</v>
      </c>
      <c r="AE482" t="inlineStr" s="2909">
        <is>
          <t>20250401</t>
        </is>
      </c>
      <c r="AH482" t="n" s="2909">
        <v>20</v>
      </c>
      <c r="AJ482" t="n" s="2909">
        <v>10</v>
      </c>
      <c r="AP482" t="n" s="2909">
        <v>380000</v>
      </c>
      <c r="DB482" s="2909" t="str">
        <f>IF($A482="","",IF($AE482&amp;""&lt;&gt;'DB_設定'!$C$4,"対象外",IF($AH482=20,IF(OR($AJ482=10,$AJ482=11,$AJ482=18),"①病院一般",IF($AJ482=41,"②病院短期","対象外")),IF($AH482=5,IF($AJ482=30,"③特定消防","対象外"),IF(OR($AJ482=10,$AJ482=11,$AJ482=74),"④一般",IF(OR($AJ482=41,$AJ482=47),"⑤短期","対象外"))))))</f>
        <v>①病院一般</v>
      </c>
    </row>
    <row r="483">
      <c r="A483" t="n" s="2909">
        <v>21</v>
      </c>
      <c r="AA483" t="n" s="2909">
        <v>21</v>
      </c>
      <c r="AB483" t="inlineStr" s="2909">
        <is>
          <t>20220401</t>
        </is>
      </c>
      <c r="AD483" t="n" s="2909">
        <v>12</v>
      </c>
      <c r="AE483" t="inlineStr" s="2909">
        <is>
          <t>20250824</t>
        </is>
      </c>
      <c r="AH483" t="n" s="2909">
        <v>20</v>
      </c>
      <c r="AJ483" t="n" s="2909">
        <v>10</v>
      </c>
      <c r="AP483" t="n" s="2909">
        <v>380000</v>
      </c>
      <c r="DB483" s="2909" t="str">
        <f>IF($A483="","",IF($AE483&amp;""&lt;&gt;'DB_設定'!$C$4,"対象外",IF($AH483=20,IF(OR($AJ483=10,$AJ483=11,$AJ483=18),"①病院一般",IF($AJ483=41,"②病院短期","対象外")),IF($AH483=5,IF($AJ483=30,"③特定消防","対象外"),IF(OR($AJ483=10,$AJ483=11,$AJ483=74),"④一般",IF(OR($AJ483=41,$AJ483=47),"⑤短期","対象外"))))))</f>
        <v>対象外</v>
      </c>
    </row>
    <row r="484">
      <c r="A484" t="n" s="2909">
        <v>21</v>
      </c>
      <c r="AA484" t="n" s="2909">
        <v>21</v>
      </c>
      <c r="AB484" t="inlineStr" s="2909">
        <is>
          <t>20220401</t>
        </is>
      </c>
      <c r="AD484" t="n" s="2909">
        <v>12</v>
      </c>
      <c r="AE484" t="inlineStr" s="2909">
        <is>
          <t>20250901</t>
        </is>
      </c>
      <c r="AH484" t="n" s="2909">
        <v>20</v>
      </c>
      <c r="AJ484" t="n" s="2909">
        <v>10</v>
      </c>
      <c r="AP484" t="n" s="2909">
        <v>380000</v>
      </c>
      <c r="DB484" s="2909" t="str">
        <f>IF($A484="","",IF($AE484&amp;""&lt;&gt;'DB_設定'!$C$4,"対象外",IF($AH484=20,IF(OR($AJ484=10,$AJ484=11,$AJ484=18),"①病院一般",IF($AJ484=41,"②病院短期","対象外")),IF($AH484=5,IF($AJ484=30,"③特定消防","対象外"),IF(OR($AJ484=10,$AJ484=11,$AJ484=74),"④一般",IF(OR($AJ484=41,$AJ484=47),"⑤短期","対象外"))))))</f>
        <v>対象外</v>
      </c>
    </row>
    <row r="485">
      <c r="A485" t="n" s="2909">
        <v>21</v>
      </c>
      <c r="AA485" t="n" s="2909">
        <v>21</v>
      </c>
      <c r="AB485" t="inlineStr" s="2909">
        <is>
          <t>20220401</t>
        </is>
      </c>
      <c r="AD485" t="n" s="2909">
        <v>12</v>
      </c>
      <c r="AE485" t="inlineStr" s="2909">
        <is>
          <t>20250901</t>
        </is>
      </c>
      <c r="AH485" t="n" s="2909">
        <v>20</v>
      </c>
      <c r="AJ485" t="n" s="2909">
        <v>10</v>
      </c>
      <c r="AP485" t="n" s="2909">
        <v>380000</v>
      </c>
      <c r="DB485" s="2909" t="str">
        <f>IF($A485="","",IF($AE485&amp;""&lt;&gt;'DB_設定'!$C$4,"対象外",IF($AH485=20,IF(OR($AJ485=10,$AJ485=11,$AJ485=18),"①病院一般",IF($AJ485=41,"②病院短期","対象外")),IF($AH485=5,IF($AJ485=30,"③特定消防","対象外"),IF(OR($AJ485=10,$AJ485=11,$AJ485=74),"④一般",IF(OR($AJ485=41,$AJ485=47),"⑤短期","対象外"))))))</f>
        <v>対象外</v>
      </c>
    </row>
    <row r="486">
      <c r="A486" t="n" s="2909">
        <v>21</v>
      </c>
      <c r="AA486" t="n" s="2909">
        <v>21</v>
      </c>
      <c r="AB486" t="inlineStr" s="2909">
        <is>
          <t>20220401</t>
        </is>
      </c>
      <c r="AD486" t="n" s="2909">
        <v>12</v>
      </c>
      <c r="AE486" t="inlineStr" s="2909">
        <is>
          <t>20250401</t>
        </is>
      </c>
      <c r="AH486" t="n" s="2909">
        <v>20</v>
      </c>
      <c r="AJ486" t="n" s="2909">
        <v>10</v>
      </c>
      <c r="AP486" t="n" s="2909">
        <v>320000</v>
      </c>
      <c r="DB486" s="2909" t="str">
        <f>IF($A486="","",IF($AE486&amp;""&lt;&gt;'DB_設定'!$C$4,"対象外",IF($AH486=20,IF(OR($AJ486=10,$AJ486=11,$AJ486=18),"①病院一般",IF($AJ486=41,"②病院短期","対象外")),IF($AH486=5,IF($AJ486=30,"③特定消防","対象外"),IF(OR($AJ486=10,$AJ486=11,$AJ486=74),"④一般",IF(OR($AJ486=41,$AJ486=47),"⑤短期","対象外"))))))</f>
        <v>①病院一般</v>
      </c>
    </row>
    <row r="487">
      <c r="A487" t="n" s="2909">
        <v>21</v>
      </c>
      <c r="AA487" t="n" s="2909">
        <v>21</v>
      </c>
      <c r="AB487" t="inlineStr" s="2909">
        <is>
          <t>20220401</t>
        </is>
      </c>
      <c r="AD487" t="n" s="2909">
        <v>12</v>
      </c>
      <c r="AE487" t="inlineStr" s="2909">
        <is>
          <t>20250401</t>
        </is>
      </c>
      <c r="AH487" t="n" s="2909">
        <v>20</v>
      </c>
      <c r="AJ487" t="n" s="2909">
        <v>10</v>
      </c>
      <c r="AP487" t="n" s="2909">
        <v>360000</v>
      </c>
      <c r="DB487" s="2909" t="str">
        <f>IF($A487="","",IF($AE487&amp;""&lt;&gt;'DB_設定'!$C$4,"対象外",IF($AH487=20,IF(OR($AJ487=10,$AJ487=11,$AJ487=18),"①病院一般",IF($AJ487=41,"②病院短期","対象外")),IF($AH487=5,IF($AJ487=30,"③特定消防","対象外"),IF(OR($AJ487=10,$AJ487=11,$AJ487=74),"④一般",IF(OR($AJ487=41,$AJ487=47),"⑤短期","対象外"))))))</f>
        <v>①病院一般</v>
      </c>
    </row>
    <row r="488">
      <c r="A488" t="n" s="2909">
        <v>21</v>
      </c>
      <c r="AA488" t="n" s="2909">
        <v>21</v>
      </c>
      <c r="AB488" t="inlineStr" s="2909">
        <is>
          <t>20220401</t>
        </is>
      </c>
      <c r="AD488" t="n" s="2909">
        <v>12</v>
      </c>
      <c r="AE488" t="inlineStr" s="2909">
        <is>
          <t>20250401</t>
        </is>
      </c>
      <c r="AH488" t="n" s="2909">
        <v>20</v>
      </c>
      <c r="AJ488" t="n" s="2909">
        <v>10</v>
      </c>
      <c r="AP488" t="n" s="2909">
        <v>300000</v>
      </c>
      <c r="DB488" s="2909" t="str">
        <f>IF($A488="","",IF($AE488&amp;""&lt;&gt;'DB_設定'!$C$4,"対象外",IF($AH488=20,IF(OR($AJ488=10,$AJ488=11,$AJ488=18),"①病院一般",IF($AJ488=41,"②病院短期","対象外")),IF($AH488=5,IF($AJ488=30,"③特定消防","対象外"),IF(OR($AJ488=10,$AJ488=11,$AJ488=74),"④一般",IF(OR($AJ488=41,$AJ488=47),"⑤短期","対象外"))))))</f>
        <v>①病院一般</v>
      </c>
    </row>
    <row r="489">
      <c r="A489" t="n" s="2909">
        <v>21</v>
      </c>
      <c r="AA489" t="n" s="2909">
        <v>21</v>
      </c>
      <c r="AB489" t="inlineStr" s="2909">
        <is>
          <t>20220401</t>
        </is>
      </c>
      <c r="AD489" t="n" s="2909">
        <v>12</v>
      </c>
      <c r="AE489" t="inlineStr" s="2909">
        <is>
          <t>20250401</t>
        </is>
      </c>
      <c r="AH489" t="n" s="2909">
        <v>20</v>
      </c>
      <c r="AJ489" t="n" s="2909">
        <v>10</v>
      </c>
      <c r="AP489" t="n" s="2909">
        <v>1390000</v>
      </c>
      <c r="DB489" s="2909" t="str">
        <f>IF($A489="","",IF($AE489&amp;""&lt;&gt;'DB_設定'!$C$4,"対象外",IF($AH489=20,IF(OR($AJ489=10,$AJ489=11,$AJ489=18),"①病院一般",IF($AJ489=41,"②病院短期","対象外")),IF($AH489=5,IF($AJ489=30,"③特定消防","対象外"),IF(OR($AJ489=10,$AJ489=11,$AJ489=74),"④一般",IF(OR($AJ489=41,$AJ489=47),"⑤短期","対象外"))))))</f>
        <v>①病院一般</v>
      </c>
    </row>
    <row r="490">
      <c r="A490" t="n" s="2909">
        <v>21</v>
      </c>
      <c r="AA490" t="n" s="2909">
        <v>21</v>
      </c>
      <c r="AB490" t="inlineStr" s="2909">
        <is>
          <t>20220401</t>
        </is>
      </c>
      <c r="AD490" t="n" s="2909">
        <v>12</v>
      </c>
      <c r="AE490" t="inlineStr" s="2909">
        <is>
          <t>20250927</t>
        </is>
      </c>
      <c r="AH490" t="n" s="2909">
        <v>20</v>
      </c>
      <c r="AJ490" t="n" s="2909">
        <v>10</v>
      </c>
      <c r="AP490" t="n" s="2909">
        <v>830000</v>
      </c>
      <c r="DB490" s="2909" t="str">
        <f>IF($A490="","",IF($AE490&amp;""&lt;&gt;'DB_設定'!$C$4,"対象外",IF($AH490=20,IF(OR($AJ490=10,$AJ490=11,$AJ490=18),"①病院一般",IF($AJ490=41,"②病院短期","対象外")),IF($AH490=5,IF($AJ490=30,"③特定消防","対象外"),IF(OR($AJ490=10,$AJ490=11,$AJ490=74),"④一般",IF(OR($AJ490=41,$AJ490=47),"⑤短期","対象外"))))))</f>
        <v>対象外</v>
      </c>
    </row>
    <row r="491">
      <c r="A491" t="n" s="2909">
        <v>21</v>
      </c>
      <c r="AA491" t="n" s="2909">
        <v>21</v>
      </c>
      <c r="AB491" t="inlineStr" s="2909">
        <is>
          <t>20220401</t>
        </is>
      </c>
      <c r="AD491" t="n" s="2909">
        <v>12</v>
      </c>
      <c r="AE491" t="inlineStr" s="2909">
        <is>
          <t>20250401</t>
        </is>
      </c>
      <c r="AH491" t="n" s="2909">
        <v>20</v>
      </c>
      <c r="AJ491" t="n" s="2909">
        <v>10</v>
      </c>
      <c r="AP491" t="n" s="2909">
        <v>1330000</v>
      </c>
      <c r="DB491" s="2909" t="str">
        <f>IF($A491="","",IF($AE491&amp;""&lt;&gt;'DB_設定'!$C$4,"対象外",IF($AH491=20,IF(OR($AJ491=10,$AJ491=11,$AJ491=18),"①病院一般",IF($AJ491=41,"②病院短期","対象外")),IF($AH491=5,IF($AJ491=30,"③特定消防","対象外"),IF(OR($AJ491=10,$AJ491=11,$AJ491=74),"④一般",IF(OR($AJ491=41,$AJ491=47),"⑤短期","対象外"))))))</f>
        <v>①病院一般</v>
      </c>
    </row>
    <row r="492">
      <c r="A492" t="n" s="2909">
        <v>21</v>
      </c>
      <c r="AA492" t="n" s="2909">
        <v>21</v>
      </c>
      <c r="AB492" t="inlineStr" s="2909">
        <is>
          <t>20220401</t>
        </is>
      </c>
      <c r="AD492" t="n" s="2909">
        <v>12</v>
      </c>
      <c r="AE492" t="inlineStr" s="2909">
        <is>
          <t>20250701</t>
        </is>
      </c>
      <c r="AH492" t="n" s="2909">
        <v>20</v>
      </c>
      <c r="AJ492" t="n" s="2909">
        <v>10</v>
      </c>
      <c r="AP492" t="n" s="2909">
        <v>1330000</v>
      </c>
      <c r="DB492" s="2909" t="str">
        <f>IF($A492="","",IF($AE492&amp;""&lt;&gt;'DB_設定'!$C$4,"対象外",IF($AH492=20,IF(OR($AJ492=10,$AJ492=11,$AJ492=18),"①病院一般",IF($AJ492=41,"②病院短期","対象外")),IF($AH492=5,IF($AJ492=30,"③特定消防","対象外"),IF(OR($AJ492=10,$AJ492=11,$AJ492=74),"④一般",IF(OR($AJ492=41,$AJ492=47),"⑤短期","対象外"))))))</f>
        <v>対象外</v>
      </c>
    </row>
    <row r="493">
      <c r="A493" t="n" s="2909">
        <v>21</v>
      </c>
      <c r="AA493" t="n" s="2909">
        <v>21</v>
      </c>
      <c r="AB493" t="inlineStr" s="2909">
        <is>
          <t>20220401</t>
        </is>
      </c>
      <c r="AD493" t="n" s="2909">
        <v>12</v>
      </c>
      <c r="AE493" t="inlineStr" s="2909">
        <is>
          <t>20250401</t>
        </is>
      </c>
      <c r="AH493" t="n" s="2909">
        <v>20</v>
      </c>
      <c r="AJ493" t="n" s="2909">
        <v>10</v>
      </c>
      <c r="AP493" t="n" s="2909">
        <v>1150000</v>
      </c>
      <c r="DB493" s="2909" t="str">
        <f>IF($A493="","",IF($AE493&amp;""&lt;&gt;'DB_設定'!$C$4,"対象外",IF($AH493=20,IF(OR($AJ493=10,$AJ493=11,$AJ493=18),"①病院一般",IF($AJ493=41,"②病院短期","対象外")),IF($AH493=5,IF($AJ493=30,"③特定消防","対象外"),IF(OR($AJ493=10,$AJ493=11,$AJ493=74),"④一般",IF(OR($AJ493=41,$AJ493=47),"⑤短期","対象外"))))))</f>
        <v>①病院一般</v>
      </c>
    </row>
    <row r="494">
      <c r="A494" t="n" s="2909">
        <v>21</v>
      </c>
      <c r="AA494" t="n" s="2909">
        <v>21</v>
      </c>
      <c r="AB494" t="inlineStr" s="2909">
        <is>
          <t>20220401</t>
        </is>
      </c>
      <c r="AD494" t="n" s="2909">
        <v>12</v>
      </c>
      <c r="AE494" t="inlineStr" s="2909">
        <is>
          <t>20250401</t>
        </is>
      </c>
      <c r="AH494" t="n" s="2909">
        <v>20</v>
      </c>
      <c r="AJ494" t="n" s="2909">
        <v>10</v>
      </c>
      <c r="AP494" t="n" s="2909">
        <v>1270000</v>
      </c>
      <c r="DB494" s="2909" t="str">
        <f>IF($A494="","",IF($AE494&amp;""&lt;&gt;'DB_設定'!$C$4,"対象外",IF($AH494=20,IF(OR($AJ494=10,$AJ494=11,$AJ494=18),"①病院一般",IF($AJ494=41,"②病院短期","対象外")),IF($AH494=5,IF($AJ494=30,"③特定消防","対象外"),IF(OR($AJ494=10,$AJ494=11,$AJ494=74),"④一般",IF(OR($AJ494=41,$AJ494=47),"⑤短期","対象外"))))))</f>
        <v>①病院一般</v>
      </c>
    </row>
    <row r="495">
      <c r="A495" t="n" s="2909">
        <v>21</v>
      </c>
      <c r="AA495" t="n" s="2909">
        <v>21</v>
      </c>
      <c r="AB495" t="inlineStr" s="2909">
        <is>
          <t>20240901</t>
        </is>
      </c>
      <c r="AD495" t="n" s="2909">
        <v>12</v>
      </c>
      <c r="AE495" t="inlineStr" s="2909">
        <is>
          <t>20251007</t>
        </is>
      </c>
      <c r="AH495" t="n" s="2909">
        <v>20</v>
      </c>
      <c r="AJ495" t="n" s="2909">
        <v>10</v>
      </c>
      <c r="AP495" t="n" s="2909">
        <v>280000</v>
      </c>
      <c r="DB495" s="2909" t="str">
        <f>IF($A495="","",IF($AE495&amp;""&lt;&gt;'DB_設定'!$C$4,"対象外",IF($AH495=20,IF(OR($AJ495=10,$AJ495=11,$AJ495=18),"①病院一般",IF($AJ495=41,"②病院短期","対象外")),IF($AH495=5,IF($AJ495=30,"③特定消防","対象外"),IF(OR($AJ495=10,$AJ495=11,$AJ495=74),"④一般",IF(OR($AJ495=41,$AJ495=47),"⑤短期","対象外"))))))</f>
        <v>対象外</v>
      </c>
    </row>
    <row r="496">
      <c r="A496" t="n" s="2909">
        <v>21</v>
      </c>
      <c r="AA496" t="n" s="2909">
        <v>21</v>
      </c>
      <c r="AB496" t="inlineStr" s="2909">
        <is>
          <t>20220601</t>
        </is>
      </c>
      <c r="AD496" t="n" s="2909">
        <v>12</v>
      </c>
      <c r="AE496" t="inlineStr" s="2909">
        <is>
          <t>20250401</t>
        </is>
      </c>
      <c r="AH496" t="n" s="2909">
        <v>20</v>
      </c>
      <c r="AJ496" t="n" s="2909">
        <v>10</v>
      </c>
      <c r="AP496" t="n" s="2909">
        <v>220000</v>
      </c>
      <c r="DB496" s="2909" t="str">
        <f>IF($A496="","",IF($AE496&amp;""&lt;&gt;'DB_設定'!$C$4,"対象外",IF($AH496=20,IF(OR($AJ496=10,$AJ496=11,$AJ496=18),"①病院一般",IF($AJ496=41,"②病院短期","対象外")),IF($AH496=5,IF($AJ496=30,"③特定消防","対象外"),IF(OR($AJ496=10,$AJ496=11,$AJ496=74),"④一般",IF(OR($AJ496=41,$AJ496=47),"⑤短期","対象外"))))))</f>
        <v>①病院一般</v>
      </c>
    </row>
    <row r="497">
      <c r="A497" t="n" s="2909">
        <v>21</v>
      </c>
      <c r="AA497" t="n" s="2909">
        <v>21</v>
      </c>
      <c r="AB497" t="inlineStr" s="2909">
        <is>
          <t>20240401</t>
        </is>
      </c>
      <c r="AD497" t="n" s="2909">
        <v>12</v>
      </c>
      <c r="AE497" t="inlineStr" s="2909">
        <is>
          <t>20250401</t>
        </is>
      </c>
      <c r="AH497" t="n" s="2909">
        <v>20</v>
      </c>
      <c r="AJ497" t="n" s="2909">
        <v>10</v>
      </c>
      <c r="AP497" t="n" s="2909">
        <v>1390000</v>
      </c>
      <c r="DB497" s="2909" t="str">
        <f>IF($A497="","",IF($AE497&amp;""&lt;&gt;'DB_設定'!$C$4,"対象外",IF($AH497=20,IF(OR($AJ497=10,$AJ497=11,$AJ497=18),"①病院一般",IF($AJ497=41,"②病院短期","対象外")),IF($AH497=5,IF($AJ497=30,"③特定消防","対象外"),IF(OR($AJ497=10,$AJ497=11,$AJ497=74),"④一般",IF(OR($AJ497=41,$AJ497=47),"⑤短期","対象外"))))))</f>
        <v>①病院一般</v>
      </c>
    </row>
    <row r="498">
      <c r="A498" t="n" s="2909">
        <v>21</v>
      </c>
      <c r="AA498" t="n" s="2909">
        <v>21</v>
      </c>
      <c r="AB498" t="inlineStr" s="2909">
        <is>
          <t>20220901</t>
        </is>
      </c>
      <c r="AD498" t="n" s="2909">
        <v>12</v>
      </c>
      <c r="AE498" t="inlineStr" s="2909">
        <is>
          <t>20250401</t>
        </is>
      </c>
      <c r="AH498" t="n" s="2909">
        <v>20</v>
      </c>
      <c r="AJ498" t="n" s="2909">
        <v>10</v>
      </c>
      <c r="AP498" t="n" s="2909">
        <v>240000</v>
      </c>
      <c r="DB498" s="2909" t="str">
        <f>IF($A498="","",IF($AE498&amp;""&lt;&gt;'DB_設定'!$C$4,"対象外",IF($AH498=20,IF(OR($AJ498=10,$AJ498=11,$AJ498=18),"①病院一般",IF($AJ498=41,"②病院短期","対象外")),IF($AH498=5,IF($AJ498=30,"③特定消防","対象外"),IF(OR($AJ498=10,$AJ498=11,$AJ498=74),"④一般",IF(OR($AJ498=41,$AJ498=47),"⑤短期","対象外"))))))</f>
        <v>①病院一般</v>
      </c>
    </row>
    <row r="499">
      <c r="A499" t="n" s="2909">
        <v>21</v>
      </c>
      <c r="AA499" t="n" s="2909">
        <v>21</v>
      </c>
      <c r="AB499" t="inlineStr" s="2909">
        <is>
          <t>20221001</t>
        </is>
      </c>
      <c r="AD499" t="n" s="2909">
        <v>12</v>
      </c>
      <c r="AE499" t="inlineStr" s="2909">
        <is>
          <t>20250401</t>
        </is>
      </c>
      <c r="AH499" t="n" s="2909">
        <v>20</v>
      </c>
      <c r="AJ499" t="n" s="2909">
        <v>10</v>
      </c>
      <c r="AP499" t="n" s="2909">
        <v>1090000</v>
      </c>
      <c r="DB499" s="2909" t="str">
        <f>IF($A499="","",IF($AE499&amp;""&lt;&gt;'DB_設定'!$C$4,"対象外",IF($AH499=20,IF(OR($AJ499=10,$AJ499=11,$AJ499=18),"①病院一般",IF($AJ499=41,"②病院短期","対象外")),IF($AH499=5,IF($AJ499=30,"③特定消防","対象外"),IF(OR($AJ499=10,$AJ499=11,$AJ499=74),"④一般",IF(OR($AJ499=41,$AJ499=47),"⑤短期","対象外"))))))</f>
        <v>①病院一般</v>
      </c>
    </row>
    <row r="500">
      <c r="A500" t="n" s="2909">
        <v>21</v>
      </c>
      <c r="AA500" t="n" s="2909">
        <v>21</v>
      </c>
      <c r="AB500" t="inlineStr" s="2909">
        <is>
          <t>20221001</t>
        </is>
      </c>
      <c r="AD500" t="n" s="2909">
        <v>12</v>
      </c>
      <c r="AE500" t="inlineStr" s="2909">
        <is>
          <t>20251001</t>
        </is>
      </c>
      <c r="AH500" t="n" s="2909">
        <v>20</v>
      </c>
      <c r="AJ500" t="n" s="2909">
        <v>10</v>
      </c>
      <c r="AP500" t="n" s="2909">
        <v>1390000</v>
      </c>
      <c r="DB500" s="2909" t="str">
        <f>IF($A500="","",IF($AE500&amp;""&lt;&gt;'DB_設定'!$C$4,"対象外",IF($AH500=20,IF(OR($AJ500=10,$AJ500=11,$AJ500=18),"①病院一般",IF($AJ500=41,"②病院短期","対象外")),IF($AH500=5,IF($AJ500=30,"③特定消防","対象外"),IF(OR($AJ500=10,$AJ500=11,$AJ500=74),"④一般",IF(OR($AJ500=41,$AJ500=47),"⑤短期","対象外"))))))</f>
        <v>対象外</v>
      </c>
    </row>
    <row r="501">
      <c r="A501" t="n" s="2909">
        <v>21</v>
      </c>
      <c r="AA501" t="n" s="2909">
        <v>21</v>
      </c>
      <c r="AB501" t="inlineStr" s="2909">
        <is>
          <t>20230401</t>
        </is>
      </c>
      <c r="AD501" t="n" s="2909">
        <v>12</v>
      </c>
      <c r="AE501" t="inlineStr" s="2909">
        <is>
          <t>20250401</t>
        </is>
      </c>
      <c r="AH501" t="n" s="2909">
        <v>20</v>
      </c>
      <c r="AJ501" t="n" s="2909">
        <v>10</v>
      </c>
      <c r="AP501" t="n" s="2909">
        <v>1330000</v>
      </c>
      <c r="DB501" s="2909" t="str">
        <f>IF($A501="","",IF($AE501&amp;""&lt;&gt;'DB_設定'!$C$4,"対象外",IF($AH501=20,IF(OR($AJ501=10,$AJ501=11,$AJ501=18),"①病院一般",IF($AJ501=41,"②病院短期","対象外")),IF($AH501=5,IF($AJ501=30,"③特定消防","対象外"),IF(OR($AJ501=10,$AJ501=11,$AJ501=74),"④一般",IF(OR($AJ501=41,$AJ501=47),"⑤短期","対象外"))))))</f>
        <v>①病院一般</v>
      </c>
    </row>
    <row r="502">
      <c r="A502" t="n" s="2909">
        <v>21</v>
      </c>
      <c r="AA502" t="n" s="2909">
        <v>21</v>
      </c>
      <c r="AB502" t="inlineStr" s="2909">
        <is>
          <t>20240401</t>
        </is>
      </c>
      <c r="AD502" t="n" s="2909">
        <v>12</v>
      </c>
      <c r="AE502" t="inlineStr" s="2909">
        <is>
          <t>20250401</t>
        </is>
      </c>
      <c r="AH502" t="n" s="2909">
        <v>11</v>
      </c>
      <c r="AJ502" t="n" s="2909">
        <v>10</v>
      </c>
      <c r="AP502" t="n" s="2909">
        <v>200000</v>
      </c>
      <c r="DB502" s="2909" t="str">
        <f>IF($A502="","",IF($AE502&amp;""&lt;&gt;'DB_設定'!$C$4,"対象外",IF($AH502=20,IF(OR($AJ502=10,$AJ502=11,$AJ502=18),"①病院一般",IF($AJ502=41,"②病院短期","対象外")),IF($AH502=5,IF($AJ502=30,"③特定消防","対象外"),IF(OR($AJ502=10,$AJ502=11,$AJ502=74),"④一般",IF(OR($AJ502=41,$AJ502=47),"⑤短期","対象外"))))))</f>
        <v>④一般</v>
      </c>
    </row>
    <row r="503">
      <c r="A503" t="n" s="2909">
        <v>21</v>
      </c>
      <c r="AA503" t="n" s="2909">
        <v>21</v>
      </c>
      <c r="AB503" t="inlineStr" s="2909">
        <is>
          <t>20230401</t>
        </is>
      </c>
      <c r="AD503" t="n" s="2909">
        <v>12</v>
      </c>
      <c r="AE503" t="inlineStr" s="2909">
        <is>
          <t>20250601</t>
        </is>
      </c>
      <c r="AH503" t="n" s="2909">
        <v>1</v>
      </c>
      <c r="AJ503" t="n" s="2909">
        <v>10</v>
      </c>
      <c r="AP503" t="n" s="2909">
        <v>260000</v>
      </c>
      <c r="DB503" s="2909" t="str">
        <f>IF($A503="","",IF($AE503&amp;""&lt;&gt;'DB_設定'!$C$4,"対象外",IF($AH503=20,IF(OR($AJ503=10,$AJ503=11,$AJ503=18),"①病院一般",IF($AJ503=41,"②病院短期","対象外")),IF($AH503=5,IF($AJ503=30,"③特定消防","対象外"),IF(OR($AJ503=10,$AJ503=11,$AJ503=74),"④一般",IF(OR($AJ503=41,$AJ503=47),"⑤短期","対象外"))))))</f>
        <v>対象外</v>
      </c>
    </row>
    <row r="504">
      <c r="A504" t="n" s="2909">
        <v>21</v>
      </c>
      <c r="AA504" t="n" s="2909">
        <v>21</v>
      </c>
      <c r="AB504" t="inlineStr" s="2909">
        <is>
          <t>20230401</t>
        </is>
      </c>
      <c r="AD504" t="n" s="2909">
        <v>12</v>
      </c>
      <c r="AE504" t="inlineStr" s="2909">
        <is>
          <t>20250401</t>
        </is>
      </c>
      <c r="AH504" t="n" s="2909">
        <v>1</v>
      </c>
      <c r="AJ504" t="n" s="2909">
        <v>10</v>
      </c>
      <c r="AP504" t="n" s="2909">
        <v>260000</v>
      </c>
      <c r="DB504" s="2909" t="str">
        <f>IF($A504="","",IF($AE504&amp;""&lt;&gt;'DB_設定'!$C$4,"対象外",IF($AH504=20,IF(OR($AJ504=10,$AJ504=11,$AJ504=18),"①病院一般",IF($AJ504=41,"②病院短期","対象外")),IF($AH504=5,IF($AJ504=30,"③特定消防","対象外"),IF(OR($AJ504=10,$AJ504=11,$AJ504=74),"④一般",IF(OR($AJ504=41,$AJ504=47),"⑤短期","対象外"))))))</f>
        <v>④一般</v>
      </c>
    </row>
    <row r="505">
      <c r="A505" t="n" s="2909">
        <v>21</v>
      </c>
      <c r="AA505" t="n" s="2909">
        <v>21</v>
      </c>
      <c r="AB505" t="inlineStr" s="2909">
        <is>
          <t>20230401</t>
        </is>
      </c>
      <c r="AD505" t="n" s="2909">
        <v>12</v>
      </c>
      <c r="AE505" t="inlineStr" s="2909">
        <is>
          <t>20250401</t>
        </is>
      </c>
      <c r="AH505" t="n" s="2909">
        <v>1</v>
      </c>
      <c r="AJ505" t="n" s="2909">
        <v>10</v>
      </c>
      <c r="AP505" t="n" s="2909">
        <v>380000</v>
      </c>
      <c r="DB505" s="2909" t="str">
        <f>IF($A505="","",IF($AE505&amp;""&lt;&gt;'DB_設定'!$C$4,"対象外",IF($AH505=20,IF(OR($AJ505=10,$AJ505=11,$AJ505=18),"①病院一般",IF($AJ505=41,"②病院短期","対象外")),IF($AH505=5,IF($AJ505=30,"③特定消防","対象外"),IF(OR($AJ505=10,$AJ505=11,$AJ505=74),"④一般",IF(OR($AJ505=41,$AJ505=47),"⑤短期","対象外"))))))</f>
        <v>④一般</v>
      </c>
    </row>
    <row r="506">
      <c r="A506" t="n" s="2909">
        <v>21</v>
      </c>
      <c r="AA506" t="n" s="2909">
        <v>21</v>
      </c>
      <c r="AB506" t="inlineStr" s="2909">
        <is>
          <t>20230401</t>
        </is>
      </c>
      <c r="AD506" t="n" s="2909">
        <v>12</v>
      </c>
      <c r="AE506" t="inlineStr" s="2909">
        <is>
          <t>20250401</t>
        </is>
      </c>
      <c r="AH506" t="n" s="2909">
        <v>1</v>
      </c>
      <c r="AJ506" t="n" s="2909">
        <v>10</v>
      </c>
      <c r="AP506" t="n" s="2909">
        <v>320000</v>
      </c>
      <c r="DB506" s="2909" t="str">
        <f>IF($A506="","",IF($AE506&amp;""&lt;&gt;'DB_設定'!$C$4,"対象外",IF($AH506=20,IF(OR($AJ506=10,$AJ506=11,$AJ506=18),"①病院一般",IF($AJ506=41,"②病院短期","対象外")),IF($AH506=5,IF($AJ506=30,"③特定消防","対象外"),IF(OR($AJ506=10,$AJ506=11,$AJ506=74),"④一般",IF(OR($AJ506=41,$AJ506=47),"⑤短期","対象外"))))))</f>
        <v>④一般</v>
      </c>
    </row>
    <row r="507">
      <c r="A507" t="n" s="2909">
        <v>21</v>
      </c>
      <c r="AA507" t="n" s="2909">
        <v>21</v>
      </c>
      <c r="AB507" t="inlineStr" s="2909">
        <is>
          <t>20230401</t>
        </is>
      </c>
      <c r="AD507" t="n" s="2909">
        <v>12</v>
      </c>
      <c r="AE507" t="inlineStr" s="2909">
        <is>
          <t>20251001</t>
        </is>
      </c>
      <c r="AH507" t="n" s="2909">
        <v>1</v>
      </c>
      <c r="AJ507" t="n" s="2909">
        <v>10</v>
      </c>
      <c r="AP507" t="n" s="2909">
        <v>320000</v>
      </c>
      <c r="DB507" s="2909" t="str">
        <f>IF($A507="","",IF($AE507&amp;""&lt;&gt;'DB_設定'!$C$4,"対象外",IF($AH507=20,IF(OR($AJ507=10,$AJ507=11,$AJ507=18),"①病院一般",IF($AJ507=41,"②病院短期","対象外")),IF($AH507=5,IF($AJ507=30,"③特定消防","対象外"),IF(OR($AJ507=10,$AJ507=11,$AJ507=74),"④一般",IF(OR($AJ507=41,$AJ507=47),"⑤短期","対象外"))))))</f>
        <v>対象外</v>
      </c>
    </row>
    <row r="508">
      <c r="A508" t="n" s="2909">
        <v>21</v>
      </c>
      <c r="AA508" t="n" s="2909">
        <v>21</v>
      </c>
      <c r="AB508" t="inlineStr" s="2909">
        <is>
          <t>20230401</t>
        </is>
      </c>
      <c r="AD508" t="n" s="2909">
        <v>12</v>
      </c>
      <c r="AE508" t="inlineStr" s="2909">
        <is>
          <t>20250401</t>
        </is>
      </c>
      <c r="AH508" t="n" s="2909">
        <v>1</v>
      </c>
      <c r="AJ508" t="n" s="2909">
        <v>10</v>
      </c>
      <c r="AP508" t="n" s="2909">
        <v>260000</v>
      </c>
      <c r="DB508" s="2909" t="str">
        <f>IF($A508="","",IF($AE508&amp;""&lt;&gt;'DB_設定'!$C$4,"対象外",IF($AH508=20,IF(OR($AJ508=10,$AJ508=11,$AJ508=18),"①病院一般",IF($AJ508=41,"②病院短期","対象外")),IF($AH508=5,IF($AJ508=30,"③特定消防","対象外"),IF(OR($AJ508=10,$AJ508=11,$AJ508=74),"④一般",IF(OR($AJ508=41,$AJ508=47),"⑤短期","対象外"))))))</f>
        <v>④一般</v>
      </c>
    </row>
    <row r="509">
      <c r="A509" t="n" s="2909">
        <v>21</v>
      </c>
      <c r="AA509" t="n" s="2909">
        <v>21</v>
      </c>
      <c r="AB509" t="inlineStr" s="2909">
        <is>
          <t>20230401</t>
        </is>
      </c>
      <c r="AD509" t="n" s="2909">
        <v>12</v>
      </c>
      <c r="AE509" t="inlineStr" s="2909">
        <is>
          <t>20250901</t>
        </is>
      </c>
      <c r="AH509" t="n" s="2909">
        <v>1</v>
      </c>
      <c r="AJ509" t="n" s="2909">
        <v>10</v>
      </c>
      <c r="AP509" t="n" s="2909">
        <v>280000</v>
      </c>
      <c r="DB509" s="2909" t="str">
        <f>IF($A509="","",IF($AE509&amp;""&lt;&gt;'DB_設定'!$C$4,"対象外",IF($AH509=20,IF(OR($AJ509=10,$AJ509=11,$AJ509=18),"①病院一般",IF($AJ509=41,"②病院短期","対象外")),IF($AH509=5,IF($AJ509=30,"③特定消防","対象外"),IF(OR($AJ509=10,$AJ509=11,$AJ509=74),"④一般",IF(OR($AJ509=41,$AJ509=47),"⑤短期","対象外"))))))</f>
        <v>対象外</v>
      </c>
    </row>
    <row r="510">
      <c r="A510" t="n" s="2909">
        <v>21</v>
      </c>
      <c r="AA510" t="n" s="2909">
        <v>21</v>
      </c>
      <c r="AB510" t="inlineStr" s="2909">
        <is>
          <t>20230401</t>
        </is>
      </c>
      <c r="AD510" t="n" s="2909">
        <v>12</v>
      </c>
      <c r="AE510" t="inlineStr" s="2909">
        <is>
          <t>20250401</t>
        </is>
      </c>
      <c r="AH510" t="n" s="2909">
        <v>1</v>
      </c>
      <c r="AJ510" t="n" s="2909">
        <v>10</v>
      </c>
      <c r="AP510" t="n" s="2909">
        <v>240000</v>
      </c>
      <c r="DB510" s="2909" t="str">
        <f>IF($A510="","",IF($AE510&amp;""&lt;&gt;'DB_設定'!$C$4,"対象外",IF($AH510=20,IF(OR($AJ510=10,$AJ510=11,$AJ510=18),"①病院一般",IF($AJ510=41,"②病院短期","対象外")),IF($AH510=5,IF($AJ510=30,"③特定消防","対象外"),IF(OR($AJ510=10,$AJ510=11,$AJ510=74),"④一般",IF(OR($AJ510=41,$AJ510=47),"⑤短期","対象外"))))))</f>
        <v>④一般</v>
      </c>
    </row>
    <row r="511">
      <c r="A511" t="n" s="2909">
        <v>21</v>
      </c>
      <c r="AA511" t="n" s="2909">
        <v>21</v>
      </c>
      <c r="AB511" t="inlineStr" s="2909">
        <is>
          <t>20230401</t>
        </is>
      </c>
      <c r="AD511" t="n" s="2909">
        <v>12</v>
      </c>
      <c r="AE511" t="inlineStr" s="2909">
        <is>
          <t>20250401</t>
        </is>
      </c>
      <c r="AH511" t="n" s="2909">
        <v>1</v>
      </c>
      <c r="AJ511" t="n" s="2909">
        <v>10</v>
      </c>
      <c r="AP511" t="n" s="2909">
        <v>260000</v>
      </c>
      <c r="DB511" s="2909" t="str">
        <f>IF($A511="","",IF($AE511&amp;""&lt;&gt;'DB_設定'!$C$4,"対象外",IF($AH511=20,IF(OR($AJ511=10,$AJ511=11,$AJ511=18),"①病院一般",IF($AJ511=41,"②病院短期","対象外")),IF($AH511=5,IF($AJ511=30,"③特定消防","対象外"),IF(OR($AJ511=10,$AJ511=11,$AJ511=74),"④一般",IF(OR($AJ511=41,$AJ511=47),"⑤短期","対象外"))))))</f>
        <v>④一般</v>
      </c>
    </row>
    <row r="512">
      <c r="A512" t="n" s="2909">
        <v>21</v>
      </c>
      <c r="AA512" t="n" s="2909">
        <v>21</v>
      </c>
      <c r="AB512" t="inlineStr" s="2909">
        <is>
          <t>20230401</t>
        </is>
      </c>
      <c r="AD512" t="n" s="2909">
        <v>12</v>
      </c>
      <c r="AE512" t="inlineStr" s="2909">
        <is>
          <t>20250401</t>
        </is>
      </c>
      <c r="AH512" t="n" s="2909">
        <v>1</v>
      </c>
      <c r="AJ512" t="n" s="2909">
        <v>10</v>
      </c>
      <c r="AP512" t="n" s="2909">
        <v>280000</v>
      </c>
      <c r="DB512" s="2909" t="str">
        <f>IF($A512="","",IF($AE512&amp;""&lt;&gt;'DB_設定'!$C$4,"対象外",IF($AH512=20,IF(OR($AJ512=10,$AJ512=11,$AJ512=18),"①病院一般",IF($AJ512=41,"②病院短期","対象外")),IF($AH512=5,IF($AJ512=30,"③特定消防","対象外"),IF(OR($AJ512=10,$AJ512=11,$AJ512=74),"④一般",IF(OR($AJ512=41,$AJ512=47),"⑤短期","対象外"))))))</f>
        <v>④一般</v>
      </c>
    </row>
    <row r="513">
      <c r="A513" t="n" s="2909">
        <v>21</v>
      </c>
      <c r="AA513" t="n" s="2909">
        <v>21</v>
      </c>
      <c r="AB513" t="inlineStr" s="2909">
        <is>
          <t>20230401</t>
        </is>
      </c>
      <c r="AD513" t="n" s="2909">
        <v>12</v>
      </c>
      <c r="AE513" t="inlineStr" s="2909">
        <is>
          <t>20250801</t>
        </is>
      </c>
      <c r="AH513" t="n" s="2909">
        <v>1</v>
      </c>
      <c r="AJ513" t="n" s="2909">
        <v>10</v>
      </c>
      <c r="AP513" t="n" s="2909">
        <v>300000</v>
      </c>
      <c r="DB513" s="2909" t="str">
        <f>IF($A513="","",IF($AE513&amp;""&lt;&gt;'DB_設定'!$C$4,"対象外",IF($AH513=20,IF(OR($AJ513=10,$AJ513=11,$AJ513=18),"①病院一般",IF($AJ513=41,"②病院短期","対象外")),IF($AH513=5,IF($AJ513=30,"③特定消防","対象外"),IF(OR($AJ513=10,$AJ513=11,$AJ513=74),"④一般",IF(OR($AJ513=41,$AJ513=47),"⑤短期","対象外"))))))</f>
        <v>対象外</v>
      </c>
    </row>
    <row r="514">
      <c r="A514" t="n" s="2909">
        <v>21</v>
      </c>
      <c r="AA514" t="n" s="2909">
        <v>21</v>
      </c>
      <c r="AB514" t="inlineStr" s="2909">
        <is>
          <t>20230401</t>
        </is>
      </c>
      <c r="AD514" t="n" s="2909">
        <v>12</v>
      </c>
      <c r="AE514" t="inlineStr" s="2909">
        <is>
          <t>20250401</t>
        </is>
      </c>
      <c r="AH514" t="n" s="2909">
        <v>5</v>
      </c>
      <c r="AJ514" t="n" s="2909">
        <v>30</v>
      </c>
      <c r="AP514" t="n" s="2909">
        <v>320000</v>
      </c>
      <c r="DB514" s="2909" t="str">
        <f>IF($A514="","",IF($AE514&amp;""&lt;&gt;'DB_設定'!$C$4,"対象外",IF($AH514=20,IF(OR($AJ514=10,$AJ514=11,$AJ514=18),"①病院一般",IF($AJ514=41,"②病院短期","対象外")),IF($AH514=5,IF($AJ514=30,"③特定消防","対象外"),IF(OR($AJ514=10,$AJ514=11,$AJ514=74),"④一般",IF(OR($AJ514=41,$AJ514=47),"⑤短期","対象外"))))))</f>
        <v>③特定消防</v>
      </c>
    </row>
    <row r="515">
      <c r="A515" t="n" s="2909">
        <v>21</v>
      </c>
      <c r="AA515" t="n" s="2909">
        <v>21</v>
      </c>
      <c r="AB515" t="inlineStr" s="2909">
        <is>
          <t>20230401</t>
        </is>
      </c>
      <c r="AD515" t="n" s="2909">
        <v>12</v>
      </c>
      <c r="AE515" t="inlineStr" s="2909">
        <is>
          <t>20250401</t>
        </is>
      </c>
      <c r="AH515" t="n" s="2909">
        <v>1</v>
      </c>
      <c r="AJ515" t="n" s="2909">
        <v>10</v>
      </c>
      <c r="AP515" t="n" s="2909">
        <v>500000</v>
      </c>
      <c r="DB515" s="2909" t="str">
        <f>IF($A515="","",IF($AE515&amp;""&lt;&gt;'DB_設定'!$C$4,"対象外",IF($AH515=20,IF(OR($AJ515=10,$AJ515=11,$AJ515=18),"①病院一般",IF($AJ515=41,"②病院短期","対象外")),IF($AH515=5,IF($AJ515=30,"③特定消防","対象外"),IF(OR($AJ515=10,$AJ515=11,$AJ515=74),"④一般",IF(OR($AJ515=41,$AJ515=47),"⑤短期","対象外"))))))</f>
        <v>④一般</v>
      </c>
    </row>
    <row r="516">
      <c r="A516" t="n" s="2909">
        <v>21</v>
      </c>
      <c r="AA516" t="n" s="2909">
        <v>21</v>
      </c>
      <c r="AB516" t="inlineStr" s="2909">
        <is>
          <t>20230401</t>
        </is>
      </c>
      <c r="AD516" t="n" s="2909">
        <v>12</v>
      </c>
      <c r="AE516" t="inlineStr" s="2909">
        <is>
          <t>20250401</t>
        </is>
      </c>
      <c r="AH516" t="n" s="2909">
        <v>1</v>
      </c>
      <c r="AJ516" t="n" s="2909">
        <v>10</v>
      </c>
      <c r="AP516" t="n" s="2909">
        <v>440000</v>
      </c>
      <c r="DB516" s="2909" t="str">
        <f>IF($A516="","",IF($AE516&amp;""&lt;&gt;'DB_設定'!$C$4,"対象外",IF($AH516=20,IF(OR($AJ516=10,$AJ516=11,$AJ516=18),"①病院一般",IF($AJ516=41,"②病院短期","対象外")),IF($AH516=5,IF($AJ516=30,"③特定消防","対象外"),IF(OR($AJ516=10,$AJ516=11,$AJ516=74),"④一般",IF(OR($AJ516=41,$AJ516=47),"⑤短期","対象外"))))))</f>
        <v>④一般</v>
      </c>
    </row>
    <row r="517">
      <c r="A517" t="n" s="2909">
        <v>21</v>
      </c>
      <c r="AA517" t="n" s="2909">
        <v>21</v>
      </c>
      <c r="AB517" t="inlineStr" s="2909">
        <is>
          <t>20230704</t>
        </is>
      </c>
      <c r="AD517" t="n" s="2909">
        <v>12</v>
      </c>
      <c r="AE517" t="inlineStr" s="2909">
        <is>
          <t>20250713</t>
        </is>
      </c>
      <c r="AH517" t="n" s="2909">
        <v>1</v>
      </c>
      <c r="AJ517" t="n" s="2909">
        <v>10</v>
      </c>
      <c r="AP517" t="n" s="2909">
        <v>880000</v>
      </c>
      <c r="DB517" s="2909" t="str">
        <f>IF($A517="","",IF($AE517&amp;""&lt;&gt;'DB_設定'!$C$4,"対象外",IF($AH517=20,IF(OR($AJ517=10,$AJ517=11,$AJ517=18),"①病院一般",IF($AJ517=41,"②病院短期","対象外")),IF($AH517=5,IF($AJ517=30,"③特定消防","対象外"),IF(OR($AJ517=10,$AJ517=11,$AJ517=74),"④一般",IF(OR($AJ517=41,$AJ517=47),"⑤短期","対象外"))))))</f>
        <v>対象外</v>
      </c>
    </row>
    <row r="518">
      <c r="A518" t="n" s="2909">
        <v>21</v>
      </c>
      <c r="AA518" t="n" s="2909">
        <v>21</v>
      </c>
      <c r="AB518" t="inlineStr" s="2909">
        <is>
          <t>20240101</t>
        </is>
      </c>
      <c r="AD518" t="n" s="2909">
        <v>12</v>
      </c>
      <c r="AE518" t="inlineStr" s="2909">
        <is>
          <t>20250401</t>
        </is>
      </c>
      <c r="AH518" t="n" s="2909">
        <v>1</v>
      </c>
      <c r="AJ518" t="n" s="2909">
        <v>10</v>
      </c>
      <c r="AP518" t="n" s="2909">
        <v>220000</v>
      </c>
      <c r="DB518" s="2909" t="str">
        <f>IF($A518="","",IF($AE518&amp;""&lt;&gt;'DB_設定'!$C$4,"対象外",IF($AH518=20,IF(OR($AJ518=10,$AJ518=11,$AJ518=18),"①病院一般",IF($AJ518=41,"②病院短期","対象外")),IF($AH518=5,IF($AJ518=30,"③特定消防","対象外"),IF(OR($AJ518=10,$AJ518=11,$AJ518=74),"④一般",IF(OR($AJ518=41,$AJ518=47),"⑤短期","対象外"))))))</f>
        <v>④一般</v>
      </c>
    </row>
    <row r="519">
      <c r="A519" t="n" s="2909">
        <v>21</v>
      </c>
      <c r="AA519" t="n" s="2909">
        <v>21</v>
      </c>
      <c r="AB519" t="inlineStr" s="2909">
        <is>
          <t>20230401</t>
        </is>
      </c>
      <c r="AD519" t="n" s="2909">
        <v>12</v>
      </c>
      <c r="AE519" t="inlineStr" s="2909">
        <is>
          <t>20250401</t>
        </is>
      </c>
      <c r="AH519" t="n" s="2909">
        <v>20</v>
      </c>
      <c r="AJ519" t="n" s="2909">
        <v>10</v>
      </c>
      <c r="AP519" t="n" s="2909">
        <v>360000</v>
      </c>
      <c r="DB519" s="2909" t="str">
        <f>IF($A519="","",IF($AE519&amp;""&lt;&gt;'DB_設定'!$C$4,"対象外",IF($AH519=20,IF(OR($AJ519=10,$AJ519=11,$AJ519=18),"①病院一般",IF($AJ519=41,"②病院短期","対象外")),IF($AH519=5,IF($AJ519=30,"③特定消防","対象外"),IF(OR($AJ519=10,$AJ519=11,$AJ519=74),"④一般",IF(OR($AJ519=41,$AJ519=47),"⑤短期","対象外"))))))</f>
        <v>①病院一般</v>
      </c>
    </row>
    <row r="520">
      <c r="A520" t="n" s="2909">
        <v>21</v>
      </c>
      <c r="AA520" t="n" s="2909">
        <v>21</v>
      </c>
      <c r="AB520" t="inlineStr" s="2909">
        <is>
          <t>20230401</t>
        </is>
      </c>
      <c r="AD520" t="n" s="2909">
        <v>12</v>
      </c>
      <c r="AE520" t="inlineStr" s="2909">
        <is>
          <t>20250801</t>
        </is>
      </c>
      <c r="AH520" t="n" s="2909">
        <v>20</v>
      </c>
      <c r="AJ520" t="n" s="2909">
        <v>10</v>
      </c>
      <c r="AP520" t="n" s="2909">
        <v>320000</v>
      </c>
      <c r="DB520" s="2909" t="str">
        <f>IF($A520="","",IF($AE520&amp;""&lt;&gt;'DB_設定'!$C$4,"対象外",IF($AH520=20,IF(OR($AJ520=10,$AJ520=11,$AJ520=18),"①病院一般",IF($AJ520=41,"②病院短期","対象外")),IF($AH520=5,IF($AJ520=30,"③特定消防","対象外"),IF(OR($AJ520=10,$AJ520=11,$AJ520=74),"④一般",IF(OR($AJ520=41,$AJ520=47),"⑤短期","対象外"))))))</f>
        <v>対象外</v>
      </c>
    </row>
    <row r="521">
      <c r="A521" t="n" s="2909">
        <v>21</v>
      </c>
      <c r="AA521" t="n" s="2909">
        <v>21</v>
      </c>
      <c r="AB521" t="inlineStr" s="2909">
        <is>
          <t>20230401</t>
        </is>
      </c>
      <c r="AD521" t="n" s="2909">
        <v>12</v>
      </c>
      <c r="AE521" t="inlineStr" s="2909">
        <is>
          <t>20250401</t>
        </is>
      </c>
      <c r="AH521" t="n" s="2909">
        <v>20</v>
      </c>
      <c r="AJ521" t="n" s="2909">
        <v>10</v>
      </c>
      <c r="AP521" t="n" s="2909">
        <v>340000</v>
      </c>
      <c r="DB521" s="2909" t="str">
        <f>IF($A521="","",IF($AE521&amp;""&lt;&gt;'DB_設定'!$C$4,"対象外",IF($AH521=20,IF(OR($AJ521=10,$AJ521=11,$AJ521=18),"①病院一般",IF($AJ521=41,"②病院短期","対象外")),IF($AH521=5,IF($AJ521=30,"③特定消防","対象外"),IF(OR($AJ521=10,$AJ521=11,$AJ521=74),"④一般",IF(OR($AJ521=41,$AJ521=47),"⑤短期","対象外"))))))</f>
        <v>①病院一般</v>
      </c>
    </row>
    <row r="522">
      <c r="A522" t="n" s="2909">
        <v>21</v>
      </c>
      <c r="AA522" t="n" s="2909">
        <v>21</v>
      </c>
      <c r="AB522" t="inlineStr" s="2909">
        <is>
          <t>20230401</t>
        </is>
      </c>
      <c r="AD522" t="n" s="2909">
        <v>12</v>
      </c>
      <c r="AE522" t="inlineStr" s="2909">
        <is>
          <t>20250401</t>
        </is>
      </c>
      <c r="AH522" t="n" s="2909">
        <v>20</v>
      </c>
      <c r="AJ522" t="n" s="2909">
        <v>10</v>
      </c>
      <c r="AP522" t="n" s="2909">
        <v>1270000</v>
      </c>
      <c r="DB522" s="2909" t="str">
        <f>IF($A522="","",IF($AE522&amp;""&lt;&gt;'DB_設定'!$C$4,"対象外",IF($AH522=20,IF(OR($AJ522=10,$AJ522=11,$AJ522=18),"①病院一般",IF($AJ522=41,"②病院短期","対象外")),IF($AH522=5,IF($AJ522=30,"③特定消防","対象外"),IF(OR($AJ522=10,$AJ522=11,$AJ522=74),"④一般",IF(OR($AJ522=41,$AJ522=47),"⑤短期","対象外"))))))</f>
        <v>①病院一般</v>
      </c>
    </row>
    <row r="523">
      <c r="A523" t="n" s="2909">
        <v>21</v>
      </c>
      <c r="AA523" t="n" s="2909">
        <v>21</v>
      </c>
      <c r="AB523" t="inlineStr" s="2909">
        <is>
          <t>20230401</t>
        </is>
      </c>
      <c r="AD523" t="n" s="2909">
        <v>12</v>
      </c>
      <c r="AE523" t="inlineStr" s="2909">
        <is>
          <t>20250601</t>
        </is>
      </c>
      <c r="AH523" t="n" s="2909">
        <v>20</v>
      </c>
      <c r="AJ523" t="n" s="2909">
        <v>10</v>
      </c>
      <c r="AP523" t="n" s="2909">
        <v>1390000</v>
      </c>
      <c r="DB523" s="2909" t="str">
        <f>IF($A523="","",IF($AE523&amp;""&lt;&gt;'DB_設定'!$C$4,"対象外",IF($AH523=20,IF(OR($AJ523=10,$AJ523=11,$AJ523=18),"①病院一般",IF($AJ523=41,"②病院短期","対象外")),IF($AH523=5,IF($AJ523=30,"③特定消防","対象外"),IF(OR($AJ523=10,$AJ523=11,$AJ523=74),"④一般",IF(OR($AJ523=41,$AJ523=47),"⑤短期","対象外"))))))</f>
        <v>対象外</v>
      </c>
    </row>
    <row r="524">
      <c r="A524" t="n" s="2909">
        <v>21</v>
      </c>
      <c r="AA524" t="n" s="2909">
        <v>21</v>
      </c>
      <c r="AB524" t="inlineStr" s="2909">
        <is>
          <t>20230401</t>
        </is>
      </c>
      <c r="AD524" t="n" s="2909">
        <v>12</v>
      </c>
      <c r="AE524" t="inlineStr" s="2909">
        <is>
          <t>20250401</t>
        </is>
      </c>
      <c r="AH524" t="n" s="2909">
        <v>20</v>
      </c>
      <c r="AJ524" t="n" s="2909">
        <v>10</v>
      </c>
      <c r="AP524" t="n" s="2909">
        <v>1390000</v>
      </c>
      <c r="DB524" s="2909" t="str">
        <f>IF($A524="","",IF($AE524&amp;""&lt;&gt;'DB_設定'!$C$4,"対象外",IF($AH524=20,IF(OR($AJ524=10,$AJ524=11,$AJ524=18),"①病院一般",IF($AJ524=41,"②病院短期","対象外")),IF($AH524=5,IF($AJ524=30,"③特定消防","対象外"),IF(OR($AJ524=10,$AJ524=11,$AJ524=74),"④一般",IF(OR($AJ524=41,$AJ524=47),"⑤短期","対象外"))))))</f>
        <v>①病院一般</v>
      </c>
    </row>
    <row r="525">
      <c r="A525" t="n" s="2909">
        <v>21</v>
      </c>
      <c r="AA525" t="n" s="2909">
        <v>21</v>
      </c>
      <c r="AB525" t="inlineStr" s="2909">
        <is>
          <t>20230401</t>
        </is>
      </c>
      <c r="AD525" t="n" s="2909">
        <v>12</v>
      </c>
      <c r="AE525" t="inlineStr" s="2909">
        <is>
          <t>20250401</t>
        </is>
      </c>
      <c r="AH525" t="n" s="2909">
        <v>20</v>
      </c>
      <c r="AJ525" t="n" s="2909">
        <v>10</v>
      </c>
      <c r="AP525" t="n" s="2909">
        <v>1210000</v>
      </c>
      <c r="DB525" s="2909" t="str">
        <f>IF($A525="","",IF($AE525&amp;""&lt;&gt;'DB_設定'!$C$4,"対象外",IF($AH525=20,IF(OR($AJ525=10,$AJ525=11,$AJ525=18),"①病院一般",IF($AJ525=41,"②病院短期","対象外")),IF($AH525=5,IF($AJ525=30,"③特定消防","対象外"),IF(OR($AJ525=10,$AJ525=11,$AJ525=74),"④一般",IF(OR($AJ525=41,$AJ525=47),"⑤短期","対象外"))))))</f>
        <v>①病院一般</v>
      </c>
    </row>
    <row r="526">
      <c r="A526" t="n" s="2909">
        <v>21</v>
      </c>
      <c r="AA526" t="n" s="2909">
        <v>21</v>
      </c>
      <c r="AB526" t="inlineStr" s="2909">
        <is>
          <t>20230401</t>
        </is>
      </c>
      <c r="AD526" t="n" s="2909">
        <v>12</v>
      </c>
      <c r="AE526" t="inlineStr" s="2909">
        <is>
          <t>20250801</t>
        </is>
      </c>
      <c r="AH526" t="n" s="2909">
        <v>20</v>
      </c>
      <c r="AJ526" t="n" s="2909">
        <v>10</v>
      </c>
      <c r="AP526" t="n" s="2909">
        <v>1390000</v>
      </c>
      <c r="DB526" s="2909" t="str">
        <f>IF($A526="","",IF($AE526&amp;""&lt;&gt;'DB_設定'!$C$4,"対象外",IF($AH526=20,IF(OR($AJ526=10,$AJ526=11,$AJ526=18),"①病院一般",IF($AJ526=41,"②病院短期","対象外")),IF($AH526=5,IF($AJ526=30,"③特定消防","対象外"),IF(OR($AJ526=10,$AJ526=11,$AJ526=74),"④一般",IF(OR($AJ526=41,$AJ526=47),"⑤短期","対象外"))))))</f>
        <v>対象外</v>
      </c>
    </row>
    <row r="527">
      <c r="A527" t="n" s="2909">
        <v>21</v>
      </c>
      <c r="AA527" t="n" s="2909">
        <v>21</v>
      </c>
      <c r="AB527" t="inlineStr" s="2909">
        <is>
          <t>20230401</t>
        </is>
      </c>
      <c r="AD527" t="n" s="2909">
        <v>12</v>
      </c>
      <c r="AE527" t="inlineStr" s="2909">
        <is>
          <t>20250401</t>
        </is>
      </c>
      <c r="AH527" t="n" s="2909">
        <v>20</v>
      </c>
      <c r="AJ527" t="n" s="2909">
        <v>10</v>
      </c>
      <c r="AP527" t="n" s="2909">
        <v>1330000</v>
      </c>
      <c r="DB527" s="2909" t="str">
        <f>IF($A527="","",IF($AE527&amp;""&lt;&gt;'DB_設定'!$C$4,"対象外",IF($AH527=20,IF(OR($AJ527=10,$AJ527=11,$AJ527=18),"①病院一般",IF($AJ527=41,"②病院短期","対象外")),IF($AH527=5,IF($AJ527=30,"③特定消防","対象外"),IF(OR($AJ527=10,$AJ527=11,$AJ527=74),"④一般",IF(OR($AJ527=41,$AJ527=47),"⑤短期","対象外"))))))</f>
        <v>①病院一般</v>
      </c>
    </row>
    <row r="528">
      <c r="A528" t="n" s="2909">
        <v>21</v>
      </c>
      <c r="AA528" t="n" s="2909">
        <v>21</v>
      </c>
      <c r="AB528" t="inlineStr" s="2909">
        <is>
          <t>20230401</t>
        </is>
      </c>
      <c r="AD528" t="n" s="2909">
        <v>12</v>
      </c>
      <c r="AE528" t="inlineStr" s="2909">
        <is>
          <t>20250401</t>
        </is>
      </c>
      <c r="AH528" t="n" s="2909">
        <v>20</v>
      </c>
      <c r="AJ528" t="n" s="2909">
        <v>10</v>
      </c>
      <c r="AP528" t="n" s="2909">
        <v>1270000</v>
      </c>
      <c r="DB528" s="2909" t="str">
        <f>IF($A528="","",IF($AE528&amp;""&lt;&gt;'DB_設定'!$C$4,"対象外",IF($AH528=20,IF(OR($AJ528=10,$AJ528=11,$AJ528=18),"①病院一般",IF($AJ528=41,"②病院短期","対象外")),IF($AH528=5,IF($AJ528=30,"③特定消防","対象外"),IF(OR($AJ528=10,$AJ528=11,$AJ528=74),"④一般",IF(OR($AJ528=41,$AJ528=47),"⑤短期","対象外"))))))</f>
        <v>①病院一般</v>
      </c>
    </row>
    <row r="529">
      <c r="A529" t="n" s="2909">
        <v>21</v>
      </c>
      <c r="AA529" t="n" s="2909">
        <v>21</v>
      </c>
      <c r="AB529" t="inlineStr" s="2909">
        <is>
          <t>20230401</t>
        </is>
      </c>
      <c r="AD529" t="n" s="2909">
        <v>12</v>
      </c>
      <c r="AE529" t="inlineStr" s="2909">
        <is>
          <t>20250401</t>
        </is>
      </c>
      <c r="AH529" t="n" s="2909">
        <v>20</v>
      </c>
      <c r="AJ529" t="n" s="2909">
        <v>10</v>
      </c>
      <c r="AP529" t="n" s="2909">
        <v>1090000</v>
      </c>
      <c r="DB529" s="2909" t="str">
        <f>IF($A529="","",IF($AE529&amp;""&lt;&gt;'DB_設定'!$C$4,"対象外",IF($AH529=20,IF(OR($AJ529=10,$AJ529=11,$AJ529=18),"①病院一般",IF($AJ529=41,"②病院短期","対象外")),IF($AH529=5,IF($AJ529=30,"③特定消防","対象外"),IF(OR($AJ529=10,$AJ529=11,$AJ529=74),"④一般",IF(OR($AJ529=41,$AJ529=47),"⑤短期","対象外"))))))</f>
        <v>①病院一般</v>
      </c>
    </row>
    <row r="530">
      <c r="A530" t="n" s="2909">
        <v>21</v>
      </c>
      <c r="AA530" t="n" s="2909">
        <v>21</v>
      </c>
      <c r="AB530" t="inlineStr" s="2909">
        <is>
          <t>20230401</t>
        </is>
      </c>
      <c r="AD530" t="n" s="2909">
        <v>12</v>
      </c>
      <c r="AE530" t="inlineStr" s="2909">
        <is>
          <t>20250401</t>
        </is>
      </c>
      <c r="AH530" t="n" s="2909">
        <v>20</v>
      </c>
      <c r="AJ530" t="n" s="2909">
        <v>10</v>
      </c>
      <c r="AP530" t="n" s="2909">
        <v>1390000</v>
      </c>
      <c r="DB530" s="2909" t="str">
        <f>IF($A530="","",IF($AE530&amp;""&lt;&gt;'DB_設定'!$C$4,"対象外",IF($AH530=20,IF(OR($AJ530=10,$AJ530=11,$AJ530=18),"①病院一般",IF($AJ530=41,"②病院短期","対象外")),IF($AH530=5,IF($AJ530=30,"③特定消防","対象外"),IF(OR($AJ530=10,$AJ530=11,$AJ530=74),"④一般",IF(OR($AJ530=41,$AJ530=47),"⑤短期","対象外"))))))</f>
        <v>①病院一般</v>
      </c>
    </row>
    <row r="531">
      <c r="A531" t="n" s="2909">
        <v>21</v>
      </c>
      <c r="AA531" t="n" s="2909">
        <v>21</v>
      </c>
      <c r="AB531" t="inlineStr" s="2909">
        <is>
          <t>20240401</t>
        </is>
      </c>
      <c r="AD531" t="n" s="2909">
        <v>12</v>
      </c>
      <c r="AE531" t="inlineStr" s="2909">
        <is>
          <t>20250401</t>
        </is>
      </c>
      <c r="AH531" t="n" s="2909">
        <v>20</v>
      </c>
      <c r="AJ531" t="n" s="2909">
        <v>10</v>
      </c>
      <c r="AP531" t="n" s="2909">
        <v>1330000</v>
      </c>
      <c r="DB531" s="2909" t="str">
        <f>IF($A531="","",IF($AE531&amp;""&lt;&gt;'DB_設定'!$C$4,"対象外",IF($AH531=20,IF(OR($AJ531=10,$AJ531=11,$AJ531=18),"①病院一般",IF($AJ531=41,"②病院短期","対象外")),IF($AH531=5,IF($AJ531=30,"③特定消防","対象外"),IF(OR($AJ531=10,$AJ531=11,$AJ531=74),"④一般",IF(OR($AJ531=41,$AJ531=47),"⑤短期","対象外"))))))</f>
        <v>①病院一般</v>
      </c>
    </row>
    <row r="532">
      <c r="A532" t="n" s="2909">
        <v>21</v>
      </c>
      <c r="AA532" t="n" s="2909">
        <v>21</v>
      </c>
      <c r="AB532" t="inlineStr" s="2909">
        <is>
          <t>20240401</t>
        </is>
      </c>
      <c r="AD532" t="n" s="2909">
        <v>12</v>
      </c>
      <c r="AE532" t="inlineStr" s="2909">
        <is>
          <t>20250401</t>
        </is>
      </c>
      <c r="AH532" t="n" s="2909">
        <v>20</v>
      </c>
      <c r="AJ532" t="n" s="2909">
        <v>10</v>
      </c>
      <c r="AP532" t="n" s="2909">
        <v>1270000</v>
      </c>
      <c r="DB532" s="2909" t="str">
        <f>IF($A532="","",IF($AE532&amp;""&lt;&gt;'DB_設定'!$C$4,"対象外",IF($AH532=20,IF(OR($AJ532=10,$AJ532=11,$AJ532=18),"①病院一般",IF($AJ532=41,"②病院短期","対象外")),IF($AH532=5,IF($AJ532=30,"③特定消防","対象外"),IF(OR($AJ532=10,$AJ532=11,$AJ532=74),"④一般",IF(OR($AJ532=41,$AJ532=47),"⑤短期","対象外"))))))</f>
        <v>①病院一般</v>
      </c>
    </row>
    <row r="533">
      <c r="A533" t="n" s="2909">
        <v>21</v>
      </c>
      <c r="AA533" t="n" s="2909">
        <v>21</v>
      </c>
      <c r="AB533" t="inlineStr" s="2909">
        <is>
          <t>20240401</t>
        </is>
      </c>
      <c r="AD533" t="n" s="2909">
        <v>12</v>
      </c>
      <c r="AE533" t="inlineStr" s="2909">
        <is>
          <t>20250401</t>
        </is>
      </c>
      <c r="AH533" t="n" s="2909">
        <v>20</v>
      </c>
      <c r="AJ533" t="n" s="2909">
        <v>10</v>
      </c>
      <c r="AP533" t="n" s="2909">
        <v>980000</v>
      </c>
      <c r="DB533" s="2909" t="str">
        <f>IF($A533="","",IF($AE533&amp;""&lt;&gt;'DB_設定'!$C$4,"対象外",IF($AH533=20,IF(OR($AJ533=10,$AJ533=11,$AJ533=18),"①病院一般",IF($AJ533=41,"②病院短期","対象外")),IF($AH533=5,IF($AJ533=30,"③特定消防","対象外"),IF(OR($AJ533=10,$AJ533=11,$AJ533=74),"④一般",IF(OR($AJ533=41,$AJ533=47),"⑤短期","対象外"))))))</f>
        <v>①病院一般</v>
      </c>
    </row>
    <row r="534">
      <c r="A534" t="n" s="2909">
        <v>21</v>
      </c>
      <c r="AA534" t="n" s="2909">
        <v>21</v>
      </c>
      <c r="AB534" t="inlineStr" s="2909">
        <is>
          <t>20230401</t>
        </is>
      </c>
      <c r="AD534" t="n" s="2909">
        <v>12</v>
      </c>
      <c r="AE534" t="inlineStr" s="2909">
        <is>
          <t>20250401</t>
        </is>
      </c>
      <c r="AH534" t="n" s="2909">
        <v>20</v>
      </c>
      <c r="AJ534" t="n" s="2909">
        <v>10</v>
      </c>
      <c r="AP534" t="n" s="2909">
        <v>750000</v>
      </c>
      <c r="DB534" s="2909" t="str">
        <f>IF($A534="","",IF($AE534&amp;""&lt;&gt;'DB_設定'!$C$4,"対象外",IF($AH534=20,IF(OR($AJ534=10,$AJ534=11,$AJ534=18),"①病院一般",IF($AJ534=41,"②病院短期","対象外")),IF($AH534=5,IF($AJ534=30,"③特定消防","対象外"),IF(OR($AJ534=10,$AJ534=11,$AJ534=74),"④一般",IF(OR($AJ534=41,$AJ534=47),"⑤短期","対象外"))))))</f>
        <v>①病院一般</v>
      </c>
    </row>
    <row r="535">
      <c r="A535" t="n" s="2909">
        <v>21</v>
      </c>
      <c r="AA535" t="n" s="2909">
        <v>21</v>
      </c>
      <c r="AB535" t="inlineStr" s="2909">
        <is>
          <t>20230401</t>
        </is>
      </c>
      <c r="AD535" t="n" s="2909">
        <v>12</v>
      </c>
      <c r="AE535" t="inlineStr" s="2909">
        <is>
          <t>20250401</t>
        </is>
      </c>
      <c r="AH535" t="n" s="2909">
        <v>20</v>
      </c>
      <c r="AJ535" t="n" s="2909">
        <v>10</v>
      </c>
      <c r="AP535" t="n" s="2909">
        <v>830000</v>
      </c>
      <c r="DB535" s="2909" t="str">
        <f>IF($A535="","",IF($AE535&amp;""&lt;&gt;'DB_設定'!$C$4,"対象外",IF($AH535=20,IF(OR($AJ535=10,$AJ535=11,$AJ535=18),"①病院一般",IF($AJ535=41,"②病院短期","対象外")),IF($AH535=5,IF($AJ535=30,"③特定消防","対象外"),IF(OR($AJ535=10,$AJ535=11,$AJ535=74),"④一般",IF(OR($AJ535=41,$AJ535=47),"⑤短期","対象外"))))))</f>
        <v>①病院一般</v>
      </c>
    </row>
    <row r="536">
      <c r="A536" t="n" s="2909">
        <v>21</v>
      </c>
      <c r="AA536" t="n" s="2909">
        <v>21</v>
      </c>
      <c r="AB536" t="inlineStr" s="2909">
        <is>
          <t>20230601</t>
        </is>
      </c>
      <c r="AD536" t="n" s="2909">
        <v>11</v>
      </c>
      <c r="AE536" t="inlineStr" s="2909">
        <is>
          <t>20250401</t>
        </is>
      </c>
      <c r="AH536" t="n" s="2909">
        <v>20</v>
      </c>
      <c r="AJ536" t="n" s="2909">
        <v>10</v>
      </c>
      <c r="AP536" t="n" s="2909">
        <v>240000</v>
      </c>
      <c r="DB536" s="2909" t="str">
        <f>IF($A536="","",IF($AE536&amp;""&lt;&gt;'DB_設定'!$C$4,"対象外",IF($AH536=20,IF(OR($AJ536=10,$AJ536=11,$AJ536=18),"①病院一般",IF($AJ536=41,"②病院短期","対象外")),IF($AH536=5,IF($AJ536=30,"③特定消防","対象外"),IF(OR($AJ536=10,$AJ536=11,$AJ536=74),"④一般",IF(OR($AJ536=41,$AJ536=47),"⑤短期","対象外"))))))</f>
        <v>①病院一般</v>
      </c>
    </row>
    <row r="537">
      <c r="A537" t="n" s="2909">
        <v>21</v>
      </c>
      <c r="AA537" t="n" s="2909">
        <v>21</v>
      </c>
      <c r="AB537" t="inlineStr" s="2909">
        <is>
          <t>20230701</t>
        </is>
      </c>
      <c r="AD537" t="n" s="2909">
        <v>12</v>
      </c>
      <c r="AE537" t="inlineStr" s="2909">
        <is>
          <t>20250401</t>
        </is>
      </c>
      <c r="AH537" t="n" s="2909">
        <v>20</v>
      </c>
      <c r="AJ537" t="n" s="2909">
        <v>10</v>
      </c>
      <c r="AP537" t="n" s="2909">
        <v>1210000</v>
      </c>
      <c r="DB537" s="2909" t="str">
        <f>IF($A537="","",IF($AE537&amp;""&lt;&gt;'DB_設定'!$C$4,"対象外",IF($AH537=20,IF(OR($AJ537=10,$AJ537=11,$AJ537=18),"①病院一般",IF($AJ537=41,"②病院短期","対象外")),IF($AH537=5,IF($AJ537=30,"③特定消防","対象外"),IF(OR($AJ537=10,$AJ537=11,$AJ537=74),"④一般",IF(OR($AJ537=41,$AJ537=47),"⑤短期","対象外"))))))</f>
        <v>①病院一般</v>
      </c>
    </row>
    <row r="538">
      <c r="A538" t="n" s="2909">
        <v>21</v>
      </c>
      <c r="AA538" t="n" s="2909">
        <v>21</v>
      </c>
      <c r="AB538" t="inlineStr" s="2909">
        <is>
          <t>20231001</t>
        </is>
      </c>
      <c r="AD538" t="n" s="2909">
        <v>12</v>
      </c>
      <c r="AE538" t="inlineStr" s="2909">
        <is>
          <t>20250401</t>
        </is>
      </c>
      <c r="AH538" t="n" s="2909">
        <v>20</v>
      </c>
      <c r="AJ538" t="n" s="2909">
        <v>10</v>
      </c>
      <c r="AP538" t="n" s="2909">
        <v>530000</v>
      </c>
      <c r="DB538" s="2909" t="str">
        <f>IF($A538="","",IF($AE538&amp;""&lt;&gt;'DB_設定'!$C$4,"対象外",IF($AH538=20,IF(OR($AJ538=10,$AJ538=11,$AJ538=18),"①病院一般",IF($AJ538=41,"②病院短期","対象外")),IF($AH538=5,IF($AJ538=30,"③特定消防","対象外"),IF(OR($AJ538=10,$AJ538=11,$AJ538=74),"④一般",IF(OR($AJ538=41,$AJ538=47),"⑤短期","対象外"))))))</f>
        <v>①病院一般</v>
      </c>
    </row>
    <row r="539">
      <c r="A539" t="n" s="2909">
        <v>21</v>
      </c>
      <c r="AA539" t="n" s="2909">
        <v>21</v>
      </c>
      <c r="AB539" t="inlineStr" s="2909">
        <is>
          <t>20231001</t>
        </is>
      </c>
      <c r="AD539" t="n" s="2909">
        <v>12</v>
      </c>
      <c r="AE539" t="inlineStr" s="2909">
        <is>
          <t>20250401</t>
        </is>
      </c>
      <c r="AH539" t="n" s="2909">
        <v>20</v>
      </c>
      <c r="AJ539" t="n" s="2909">
        <v>10</v>
      </c>
      <c r="AP539" t="n" s="2909">
        <v>1390000</v>
      </c>
      <c r="DB539" s="2909" t="str">
        <f>IF($A539="","",IF($AE539&amp;""&lt;&gt;'DB_設定'!$C$4,"対象外",IF($AH539=20,IF(OR($AJ539=10,$AJ539=11,$AJ539=18),"①病院一般",IF($AJ539=41,"②病院短期","対象外")),IF($AH539=5,IF($AJ539=30,"③特定消防","対象外"),IF(OR($AJ539=10,$AJ539=11,$AJ539=74),"④一般",IF(OR($AJ539=41,$AJ539=47),"⑤短期","対象外"))))))</f>
        <v>①病院一般</v>
      </c>
    </row>
    <row r="540">
      <c r="A540" t="n" s="2909">
        <v>21</v>
      </c>
      <c r="AA540" t="n" s="2909">
        <v>21</v>
      </c>
      <c r="AB540" t="inlineStr" s="2909">
        <is>
          <t>20240401</t>
        </is>
      </c>
      <c r="AD540" t="n" s="2909">
        <v>12</v>
      </c>
      <c r="AE540" t="inlineStr" s="2909">
        <is>
          <t>20250401</t>
        </is>
      </c>
      <c r="AH540" t="n" s="2909">
        <v>20</v>
      </c>
      <c r="AJ540" t="n" s="2909">
        <v>10</v>
      </c>
      <c r="AP540" t="n" s="2909">
        <v>1090000</v>
      </c>
      <c r="DB540" s="2909" t="str">
        <f>IF($A540="","",IF($AE540&amp;""&lt;&gt;'DB_設定'!$C$4,"対象外",IF($AH540=20,IF(OR($AJ540=10,$AJ540=11,$AJ540=18),"①病院一般",IF($AJ540=41,"②病院短期","対象外")),IF($AH540=5,IF($AJ540=30,"③特定消防","対象外"),IF(OR($AJ540=10,$AJ540=11,$AJ540=74),"④一般",IF(OR($AJ540=41,$AJ540=47),"⑤短期","対象外"))))))</f>
        <v>①病院一般</v>
      </c>
    </row>
    <row r="541">
      <c r="A541" t="n" s="2909">
        <v>21</v>
      </c>
      <c r="AA541" t="n" s="2909">
        <v>21</v>
      </c>
      <c r="AB541" t="inlineStr" s="2909">
        <is>
          <t>20230401</t>
        </is>
      </c>
      <c r="AD541" t="n" s="2909">
        <v>12</v>
      </c>
      <c r="AE541" t="inlineStr" s="2909">
        <is>
          <t>20250401</t>
        </is>
      </c>
      <c r="AH541" t="n" s="2909">
        <v>11</v>
      </c>
      <c r="AJ541" t="n" s="2909">
        <v>10</v>
      </c>
      <c r="AP541" t="n" s="2909">
        <v>260000</v>
      </c>
      <c r="DB541" s="2909" t="str">
        <f>IF($A541="","",IF($AE541&amp;""&lt;&gt;'DB_設定'!$C$4,"対象外",IF($AH541=20,IF(OR($AJ541=10,$AJ541=11,$AJ541=18),"①病院一般",IF($AJ541=41,"②病院短期","対象外")),IF($AH541=5,IF($AJ541=30,"③特定消防","対象外"),IF(OR($AJ541=10,$AJ541=11,$AJ541=74),"④一般",IF(OR($AJ541=41,$AJ541=47),"⑤短期","対象外"))))))</f>
        <v>④一般</v>
      </c>
    </row>
    <row r="542">
      <c r="A542" t="n" s="2909">
        <v>21</v>
      </c>
      <c r="AA542" t="n" s="2909">
        <v>21</v>
      </c>
      <c r="AB542" t="inlineStr" s="2909">
        <is>
          <t>20240401</t>
        </is>
      </c>
      <c r="AD542" t="n" s="2909">
        <v>12</v>
      </c>
      <c r="AE542" t="inlineStr" s="2909">
        <is>
          <t>20250401</t>
        </is>
      </c>
      <c r="AH542" t="n" s="2909">
        <v>1</v>
      </c>
      <c r="AJ542" t="n" s="2909">
        <v>10</v>
      </c>
      <c r="AP542" t="n" s="2909">
        <v>380000</v>
      </c>
      <c r="DB542" s="2909" t="str">
        <f>IF($A542="","",IF($AE542&amp;""&lt;&gt;'DB_設定'!$C$4,"対象外",IF($AH542=20,IF(OR($AJ542=10,$AJ542=11,$AJ542=18),"①病院一般",IF($AJ542=41,"②病院短期","対象外")),IF($AH542=5,IF($AJ542=30,"③特定消防","対象外"),IF(OR($AJ542=10,$AJ542=11,$AJ542=74),"④一般",IF(OR($AJ542=41,$AJ542=47),"⑤短期","対象外"))))))</f>
        <v>④一般</v>
      </c>
    </row>
    <row r="543">
      <c r="A543" t="n" s="2909">
        <v>21</v>
      </c>
      <c r="AA543" t="n" s="2909">
        <v>21</v>
      </c>
      <c r="AB543" t="inlineStr" s="2909">
        <is>
          <t>20240401</t>
        </is>
      </c>
      <c r="AD543" t="n" s="2909">
        <v>12</v>
      </c>
      <c r="AE543" t="inlineStr" s="2909">
        <is>
          <t>20250401</t>
        </is>
      </c>
      <c r="AH543" t="n" s="2909">
        <v>1</v>
      </c>
      <c r="AJ543" t="n" s="2909">
        <v>10</v>
      </c>
      <c r="AP543" t="n" s="2909">
        <v>280000</v>
      </c>
      <c r="DB543" s="2909" t="str">
        <f>IF($A543="","",IF($AE543&amp;""&lt;&gt;'DB_設定'!$C$4,"対象外",IF($AH543=20,IF(OR($AJ543=10,$AJ543=11,$AJ543=18),"①病院一般",IF($AJ543=41,"②病院短期","対象外")),IF($AH543=5,IF($AJ543=30,"③特定消防","対象外"),IF(OR($AJ543=10,$AJ543=11,$AJ543=74),"④一般",IF(OR($AJ543=41,$AJ543=47),"⑤短期","対象外"))))))</f>
        <v>④一般</v>
      </c>
    </row>
    <row r="544">
      <c r="A544" t="n" s="2909">
        <v>21</v>
      </c>
      <c r="AA544" t="n" s="2909">
        <v>21</v>
      </c>
      <c r="AB544" t="inlineStr" s="2909">
        <is>
          <t>20240401</t>
        </is>
      </c>
      <c r="AD544" t="n" s="2909">
        <v>12</v>
      </c>
      <c r="AE544" t="inlineStr" s="2909">
        <is>
          <t>20250401</t>
        </is>
      </c>
      <c r="AH544" t="n" s="2909">
        <v>1</v>
      </c>
      <c r="AJ544" t="n" s="2909">
        <v>10</v>
      </c>
      <c r="AP544" t="n" s="2909">
        <v>280000</v>
      </c>
      <c r="DB544" s="2909" t="str">
        <f>IF($A544="","",IF($AE544&amp;""&lt;&gt;'DB_設定'!$C$4,"対象外",IF($AH544=20,IF(OR($AJ544=10,$AJ544=11,$AJ544=18),"①病院一般",IF($AJ544=41,"②病院短期","対象外")),IF($AH544=5,IF($AJ544=30,"③特定消防","対象外"),IF(OR($AJ544=10,$AJ544=11,$AJ544=74),"④一般",IF(OR($AJ544=41,$AJ544=47),"⑤短期","対象外"))))))</f>
        <v>④一般</v>
      </c>
    </row>
    <row r="545">
      <c r="A545" t="n" s="2909">
        <v>21</v>
      </c>
      <c r="AA545" t="n" s="2909">
        <v>21</v>
      </c>
      <c r="AB545" t="inlineStr" s="2909">
        <is>
          <t>20240401</t>
        </is>
      </c>
      <c r="AD545" t="n" s="2909">
        <v>12</v>
      </c>
      <c r="AE545" t="inlineStr" s="2909">
        <is>
          <t>20250401</t>
        </is>
      </c>
      <c r="AH545" t="n" s="2909">
        <v>1</v>
      </c>
      <c r="AJ545" t="n" s="2909">
        <v>10</v>
      </c>
      <c r="AP545" t="n" s="2909">
        <v>240000</v>
      </c>
      <c r="DB545" s="2909" t="str">
        <f>IF($A545="","",IF($AE545&amp;""&lt;&gt;'DB_設定'!$C$4,"対象外",IF($AH545=20,IF(OR($AJ545=10,$AJ545=11,$AJ545=18),"①病院一般",IF($AJ545=41,"②病院短期","対象外")),IF($AH545=5,IF($AJ545=30,"③特定消防","対象外"),IF(OR($AJ545=10,$AJ545=11,$AJ545=74),"④一般",IF(OR($AJ545=41,$AJ545=47),"⑤短期","対象外"))))))</f>
        <v>④一般</v>
      </c>
    </row>
    <row r="546">
      <c r="A546" t="n" s="2909">
        <v>21</v>
      </c>
      <c r="AA546" t="n" s="2909">
        <v>21</v>
      </c>
      <c r="AB546" t="inlineStr" s="2909">
        <is>
          <t>20240401</t>
        </is>
      </c>
      <c r="AD546" t="n" s="2909">
        <v>12</v>
      </c>
      <c r="AE546" t="inlineStr" s="2909">
        <is>
          <t>20250401</t>
        </is>
      </c>
      <c r="AH546" t="n" s="2909">
        <v>1</v>
      </c>
      <c r="AJ546" t="n" s="2909">
        <v>10</v>
      </c>
      <c r="AP546" t="n" s="2909">
        <v>260000</v>
      </c>
      <c r="DB546" s="2909" t="str">
        <f>IF($A546="","",IF($AE546&amp;""&lt;&gt;'DB_設定'!$C$4,"対象外",IF($AH546=20,IF(OR($AJ546=10,$AJ546=11,$AJ546=18),"①病院一般",IF($AJ546=41,"②病院短期","対象外")),IF($AH546=5,IF($AJ546=30,"③特定消防","対象外"),IF(OR($AJ546=10,$AJ546=11,$AJ546=74),"④一般",IF(OR($AJ546=41,$AJ546=47),"⑤短期","対象外"))))))</f>
        <v>④一般</v>
      </c>
    </row>
    <row r="547">
      <c r="A547" t="n" s="2909">
        <v>21</v>
      </c>
      <c r="AA547" t="n" s="2909">
        <v>21</v>
      </c>
      <c r="AB547" t="inlineStr" s="2909">
        <is>
          <t>20240401</t>
        </is>
      </c>
      <c r="AD547" t="n" s="2909">
        <v>12</v>
      </c>
      <c r="AE547" t="inlineStr" s="2909">
        <is>
          <t>20250401</t>
        </is>
      </c>
      <c r="AH547" t="n" s="2909">
        <v>1</v>
      </c>
      <c r="AJ547" t="n" s="2909">
        <v>10</v>
      </c>
      <c r="AP547" t="n" s="2909">
        <v>220000</v>
      </c>
      <c r="DB547" s="2909" t="str">
        <f>IF($A547="","",IF($AE547&amp;""&lt;&gt;'DB_設定'!$C$4,"対象外",IF($AH547=20,IF(OR($AJ547=10,$AJ547=11,$AJ547=18),"①病院一般",IF($AJ547=41,"②病院短期","対象外")),IF($AH547=5,IF($AJ547=30,"③特定消防","対象外"),IF(OR($AJ547=10,$AJ547=11,$AJ547=74),"④一般",IF(OR($AJ547=41,$AJ547=47),"⑤短期","対象外"))))))</f>
        <v>④一般</v>
      </c>
    </row>
    <row r="548">
      <c r="A548" t="n" s="2909">
        <v>21</v>
      </c>
      <c r="AA548" t="n" s="2909">
        <v>21</v>
      </c>
      <c r="AB548" t="inlineStr" s="2909">
        <is>
          <t>20240401</t>
        </is>
      </c>
      <c r="AD548" t="n" s="2909">
        <v>12</v>
      </c>
      <c r="AE548" t="inlineStr" s="2909">
        <is>
          <t>20250901</t>
        </is>
      </c>
      <c r="AH548" t="n" s="2909">
        <v>20</v>
      </c>
      <c r="AJ548" t="n" s="2909">
        <v>10</v>
      </c>
      <c r="AP548" t="n" s="2909">
        <v>410000</v>
      </c>
      <c r="DB548" s="2909" t="str">
        <f>IF($A548="","",IF($AE548&amp;""&lt;&gt;'DB_設定'!$C$4,"対象外",IF($AH548=20,IF(OR($AJ548=10,$AJ548=11,$AJ548=18),"①病院一般",IF($AJ548=41,"②病院短期","対象外")),IF($AH548=5,IF($AJ548=30,"③特定消防","対象外"),IF(OR($AJ548=10,$AJ548=11,$AJ548=74),"④一般",IF(OR($AJ548=41,$AJ548=47),"⑤短期","対象外"))))))</f>
        <v>対象外</v>
      </c>
    </row>
    <row r="549">
      <c r="A549" t="n" s="2909">
        <v>21</v>
      </c>
      <c r="AA549" t="n" s="2909">
        <v>21</v>
      </c>
      <c r="AB549" t="inlineStr" s="2909">
        <is>
          <t>20240401</t>
        </is>
      </c>
      <c r="AD549" t="n" s="2909">
        <v>12</v>
      </c>
      <c r="AE549" t="inlineStr" s="2909">
        <is>
          <t>20250401</t>
        </is>
      </c>
      <c r="AH549" t="n" s="2909">
        <v>20</v>
      </c>
      <c r="AJ549" t="n" s="2909">
        <v>10</v>
      </c>
      <c r="AP549" t="n" s="2909">
        <v>360000</v>
      </c>
      <c r="DB549" s="2909" t="str">
        <f>IF($A549="","",IF($AE549&amp;""&lt;&gt;'DB_設定'!$C$4,"対象外",IF($AH549=20,IF(OR($AJ549=10,$AJ549=11,$AJ549=18),"①病院一般",IF($AJ549=41,"②病院短期","対象外")),IF($AH549=5,IF($AJ549=30,"③特定消防","対象外"),IF(OR($AJ549=10,$AJ549=11,$AJ549=74),"④一般",IF(OR($AJ549=41,$AJ549=47),"⑤短期","対象外"))))))</f>
        <v>①病院一般</v>
      </c>
    </row>
    <row r="550">
      <c r="A550" t="n" s="2909">
        <v>21</v>
      </c>
      <c r="AA550" t="n" s="2909">
        <v>21</v>
      </c>
      <c r="AB550" t="inlineStr" s="2909">
        <is>
          <t>20240401</t>
        </is>
      </c>
      <c r="AD550" t="n" s="2909">
        <v>12</v>
      </c>
      <c r="AE550" t="inlineStr" s="2909">
        <is>
          <t>20250401</t>
        </is>
      </c>
      <c r="AH550" t="n" s="2909">
        <v>20</v>
      </c>
      <c r="AJ550" t="n" s="2909">
        <v>10</v>
      </c>
      <c r="AP550" t="n" s="2909">
        <v>280000</v>
      </c>
      <c r="DB550" s="2909" t="str">
        <f>IF($A550="","",IF($AE550&amp;""&lt;&gt;'DB_設定'!$C$4,"対象外",IF($AH550=20,IF(OR($AJ550=10,$AJ550=11,$AJ550=18),"①病院一般",IF($AJ550=41,"②病院短期","対象外")),IF($AH550=5,IF($AJ550=30,"③特定消防","対象外"),IF(OR($AJ550=10,$AJ550=11,$AJ550=74),"④一般",IF(OR($AJ550=41,$AJ550=47),"⑤短期","対象外"))))))</f>
        <v>①病院一般</v>
      </c>
    </row>
    <row r="551">
      <c r="A551" t="n" s="2909">
        <v>21</v>
      </c>
      <c r="AA551" t="n" s="2909">
        <v>21</v>
      </c>
      <c r="AB551" t="inlineStr" s="2909">
        <is>
          <t>20240401</t>
        </is>
      </c>
      <c r="AD551" t="n" s="2909">
        <v>12</v>
      </c>
      <c r="AE551" t="inlineStr" s="2909">
        <is>
          <t>20250401</t>
        </is>
      </c>
      <c r="AH551" t="n" s="2909">
        <v>20</v>
      </c>
      <c r="AJ551" t="n" s="2909">
        <v>10</v>
      </c>
      <c r="AP551" t="n" s="2909">
        <v>300000</v>
      </c>
      <c r="DB551" s="2909" t="str">
        <f>IF($A551="","",IF($AE551&amp;""&lt;&gt;'DB_設定'!$C$4,"対象外",IF($AH551=20,IF(OR($AJ551=10,$AJ551=11,$AJ551=18),"①病院一般",IF($AJ551=41,"②病院短期","対象外")),IF($AH551=5,IF($AJ551=30,"③特定消防","対象外"),IF(OR($AJ551=10,$AJ551=11,$AJ551=74),"④一般",IF(OR($AJ551=41,$AJ551=47),"⑤短期","対象外"))))))</f>
        <v>①病院一般</v>
      </c>
    </row>
    <row r="552">
      <c r="A552" t="n" s="2909">
        <v>21</v>
      </c>
      <c r="AA552" t="n" s="2909">
        <v>21</v>
      </c>
      <c r="AB552" t="inlineStr" s="2909">
        <is>
          <t>20240401</t>
        </is>
      </c>
      <c r="AD552" t="n" s="2909">
        <v>12</v>
      </c>
      <c r="AE552" t="inlineStr" s="2909">
        <is>
          <t>20250401</t>
        </is>
      </c>
      <c r="AH552" t="n" s="2909">
        <v>20</v>
      </c>
      <c r="AJ552" t="n" s="2909">
        <v>10</v>
      </c>
      <c r="AP552" t="n" s="2909">
        <v>380000</v>
      </c>
      <c r="DB552" s="2909" t="str">
        <f>IF($A552="","",IF($AE552&amp;""&lt;&gt;'DB_設定'!$C$4,"対象外",IF($AH552=20,IF(OR($AJ552=10,$AJ552=11,$AJ552=18),"①病院一般",IF($AJ552=41,"②病院短期","対象外")),IF($AH552=5,IF($AJ552=30,"③特定消防","対象外"),IF(OR($AJ552=10,$AJ552=11,$AJ552=74),"④一般",IF(OR($AJ552=41,$AJ552=47),"⑤短期","対象外"))))))</f>
        <v>①病院一般</v>
      </c>
    </row>
    <row r="553">
      <c r="A553" t="n" s="2909">
        <v>21</v>
      </c>
      <c r="AA553" t="n" s="2909">
        <v>21</v>
      </c>
      <c r="AB553" t="inlineStr" s="2909">
        <is>
          <t>20240401</t>
        </is>
      </c>
      <c r="AD553" t="n" s="2909">
        <v>12</v>
      </c>
      <c r="AE553" t="inlineStr" s="2909">
        <is>
          <t>20250501</t>
        </is>
      </c>
      <c r="AH553" t="n" s="2909">
        <v>20</v>
      </c>
      <c r="AJ553" t="n" s="2909">
        <v>10</v>
      </c>
      <c r="AP553" t="n" s="2909">
        <v>360000</v>
      </c>
      <c r="DB553" s="2909" t="str">
        <f>IF($A553="","",IF($AE553&amp;""&lt;&gt;'DB_設定'!$C$4,"対象外",IF($AH553=20,IF(OR($AJ553=10,$AJ553=11,$AJ553=18),"①病院一般",IF($AJ553=41,"②病院短期","対象外")),IF($AH553=5,IF($AJ553=30,"③特定消防","対象外"),IF(OR($AJ553=10,$AJ553=11,$AJ553=74),"④一般",IF(OR($AJ553=41,$AJ553=47),"⑤短期","対象外"))))))</f>
        <v>対象外</v>
      </c>
    </row>
    <row r="554">
      <c r="A554" t="n" s="2909">
        <v>21</v>
      </c>
      <c r="AA554" t="n" s="2909">
        <v>21</v>
      </c>
      <c r="AB554" t="inlineStr" s="2909">
        <is>
          <t>20240401</t>
        </is>
      </c>
      <c r="AD554" t="n" s="2909">
        <v>12</v>
      </c>
      <c r="AE554" t="inlineStr" s="2909">
        <is>
          <t>20250401</t>
        </is>
      </c>
      <c r="AH554" t="n" s="2909">
        <v>20</v>
      </c>
      <c r="AJ554" t="n" s="2909">
        <v>10</v>
      </c>
      <c r="AP554" t="n" s="2909">
        <v>300000</v>
      </c>
      <c r="DB554" s="2909" t="str">
        <f>IF($A554="","",IF($AE554&amp;""&lt;&gt;'DB_設定'!$C$4,"対象外",IF($AH554=20,IF(OR($AJ554=10,$AJ554=11,$AJ554=18),"①病院一般",IF($AJ554=41,"②病院短期","対象外")),IF($AH554=5,IF($AJ554=30,"③特定消防","対象外"),IF(OR($AJ554=10,$AJ554=11,$AJ554=74),"④一般",IF(OR($AJ554=41,$AJ554=47),"⑤短期","対象外"))))))</f>
        <v>①病院一般</v>
      </c>
    </row>
    <row r="555">
      <c r="A555" t="n" s="2909">
        <v>21</v>
      </c>
      <c r="AA555" t="n" s="2909">
        <v>21</v>
      </c>
      <c r="AB555" t="inlineStr" s="2909">
        <is>
          <t>20240401</t>
        </is>
      </c>
      <c r="AD555" t="n" s="2909">
        <v>12</v>
      </c>
      <c r="AE555" t="inlineStr" s="2909">
        <is>
          <t>20250801</t>
        </is>
      </c>
      <c r="AH555" t="n" s="2909">
        <v>20</v>
      </c>
      <c r="AJ555" t="n" s="2909">
        <v>10</v>
      </c>
      <c r="AP555" t="n" s="2909">
        <v>360000</v>
      </c>
      <c r="DB555" s="2909" t="str">
        <f>IF($A555="","",IF($AE555&amp;""&lt;&gt;'DB_設定'!$C$4,"対象外",IF($AH555=20,IF(OR($AJ555=10,$AJ555=11,$AJ555=18),"①病院一般",IF($AJ555=41,"②病院短期","対象外")),IF($AH555=5,IF($AJ555=30,"③特定消防","対象外"),IF(OR($AJ555=10,$AJ555=11,$AJ555=74),"④一般",IF(OR($AJ555=41,$AJ555=47),"⑤短期","対象外"))))))</f>
        <v>対象外</v>
      </c>
    </row>
    <row r="556">
      <c r="A556" t="n" s="2909">
        <v>21</v>
      </c>
      <c r="AA556" t="n" s="2909">
        <v>21</v>
      </c>
      <c r="AB556" t="inlineStr" s="2909">
        <is>
          <t>20240401</t>
        </is>
      </c>
      <c r="AD556" t="n" s="2909">
        <v>12</v>
      </c>
      <c r="AE556" t="inlineStr" s="2909">
        <is>
          <t>20250401</t>
        </is>
      </c>
      <c r="AH556" t="n" s="2909">
        <v>20</v>
      </c>
      <c r="AJ556" t="n" s="2909">
        <v>10</v>
      </c>
      <c r="AP556" t="n" s="2909">
        <v>300000</v>
      </c>
      <c r="DB556" s="2909" t="str">
        <f>IF($A556="","",IF($AE556&amp;""&lt;&gt;'DB_設定'!$C$4,"対象外",IF($AH556=20,IF(OR($AJ556=10,$AJ556=11,$AJ556=18),"①病院一般",IF($AJ556=41,"②病院短期","対象外")),IF($AH556=5,IF($AJ556=30,"③特定消防","対象外"),IF(OR($AJ556=10,$AJ556=11,$AJ556=74),"④一般",IF(OR($AJ556=41,$AJ556=47),"⑤短期","対象外"))))))</f>
        <v>①病院一般</v>
      </c>
    </row>
    <row r="557">
      <c r="A557" t="n" s="2909">
        <v>21</v>
      </c>
      <c r="AA557" t="n" s="2909">
        <v>21</v>
      </c>
      <c r="AB557" t="inlineStr" s="2909">
        <is>
          <t>20240401</t>
        </is>
      </c>
      <c r="AD557" t="n" s="2909">
        <v>12</v>
      </c>
      <c r="AE557" t="inlineStr" s="2909">
        <is>
          <t>20250401</t>
        </is>
      </c>
      <c r="AH557" t="n" s="2909">
        <v>20</v>
      </c>
      <c r="AJ557" t="n" s="2909">
        <v>10</v>
      </c>
      <c r="AP557" t="n" s="2909">
        <v>830000</v>
      </c>
      <c r="DB557" s="2909" t="str">
        <f>IF($A557="","",IF($AE557&amp;""&lt;&gt;'DB_設定'!$C$4,"対象外",IF($AH557=20,IF(OR($AJ557=10,$AJ557=11,$AJ557=18),"①病院一般",IF($AJ557=41,"②病院短期","対象外")),IF($AH557=5,IF($AJ557=30,"③特定消防","対象外"),IF(OR($AJ557=10,$AJ557=11,$AJ557=74),"④一般",IF(OR($AJ557=41,$AJ557=47),"⑤短期","対象外"))))))</f>
        <v>①病院一般</v>
      </c>
    </row>
    <row r="558">
      <c r="A558" t="n" s="2909">
        <v>21</v>
      </c>
      <c r="AA558" t="n" s="2909">
        <v>21</v>
      </c>
      <c r="AB558" t="inlineStr" s="2909">
        <is>
          <t>20240401</t>
        </is>
      </c>
      <c r="AD558" t="n" s="2909">
        <v>12</v>
      </c>
      <c r="AE558" t="inlineStr" s="2909">
        <is>
          <t>20250401</t>
        </is>
      </c>
      <c r="AH558" t="n" s="2909">
        <v>20</v>
      </c>
      <c r="AJ558" t="n" s="2909">
        <v>10</v>
      </c>
      <c r="AP558" t="n" s="2909">
        <v>830000</v>
      </c>
      <c r="DB558" s="2909" t="str">
        <f>IF($A558="","",IF($AE558&amp;""&lt;&gt;'DB_設定'!$C$4,"対象外",IF($AH558=20,IF(OR($AJ558=10,$AJ558=11,$AJ558=18),"①病院一般",IF($AJ558=41,"②病院短期","対象外")),IF($AH558=5,IF($AJ558=30,"③特定消防","対象外"),IF(OR($AJ558=10,$AJ558=11,$AJ558=74),"④一般",IF(OR($AJ558=41,$AJ558=47),"⑤短期","対象外"))))))</f>
        <v>①病院一般</v>
      </c>
    </row>
    <row r="559">
      <c r="A559" t="n" s="2909">
        <v>21</v>
      </c>
      <c r="AA559" t="n" s="2909">
        <v>21</v>
      </c>
      <c r="AB559" t="inlineStr" s="2909">
        <is>
          <t>20240401</t>
        </is>
      </c>
      <c r="AD559" t="n" s="2909">
        <v>12</v>
      </c>
      <c r="AE559" t="inlineStr" s="2909">
        <is>
          <t>20250401</t>
        </is>
      </c>
      <c r="AH559" t="n" s="2909">
        <v>20</v>
      </c>
      <c r="AJ559" t="n" s="2909">
        <v>10</v>
      </c>
      <c r="AP559" t="n" s="2909">
        <v>1330000</v>
      </c>
      <c r="DB559" s="2909" t="str">
        <f>IF($A559="","",IF($AE559&amp;""&lt;&gt;'DB_設定'!$C$4,"対象外",IF($AH559=20,IF(OR($AJ559=10,$AJ559=11,$AJ559=18),"①病院一般",IF($AJ559=41,"②病院短期","対象外")),IF($AH559=5,IF($AJ559=30,"③特定消防","対象外"),IF(OR($AJ559=10,$AJ559=11,$AJ559=74),"④一般",IF(OR($AJ559=41,$AJ559=47),"⑤短期","対象外"))))))</f>
        <v>①病院一般</v>
      </c>
    </row>
    <row r="560">
      <c r="A560" t="n" s="2909">
        <v>21</v>
      </c>
      <c r="AA560" t="n" s="2909">
        <v>21</v>
      </c>
      <c r="AB560" t="inlineStr" s="2909">
        <is>
          <t>20240401</t>
        </is>
      </c>
      <c r="AD560" t="n" s="2909">
        <v>12</v>
      </c>
      <c r="AE560" t="inlineStr" s="2909">
        <is>
          <t>20250401</t>
        </is>
      </c>
      <c r="AH560" t="n" s="2909">
        <v>20</v>
      </c>
      <c r="AJ560" t="n" s="2909">
        <v>10</v>
      </c>
      <c r="AP560" t="n" s="2909">
        <v>1330000</v>
      </c>
      <c r="DB560" s="2909" t="str">
        <f>IF($A560="","",IF($AE560&amp;""&lt;&gt;'DB_設定'!$C$4,"対象外",IF($AH560=20,IF(OR($AJ560=10,$AJ560=11,$AJ560=18),"①病院一般",IF($AJ560=41,"②病院短期","対象外")),IF($AH560=5,IF($AJ560=30,"③特定消防","対象外"),IF(OR($AJ560=10,$AJ560=11,$AJ560=74),"④一般",IF(OR($AJ560=41,$AJ560=47),"⑤短期","対象外"))))))</f>
        <v>①病院一般</v>
      </c>
    </row>
    <row r="561">
      <c r="A561" t="n" s="2909">
        <v>21</v>
      </c>
      <c r="AA561" t="n" s="2909">
        <v>21</v>
      </c>
      <c r="AB561" t="inlineStr" s="2909">
        <is>
          <t>20250401</t>
        </is>
      </c>
      <c r="AD561" t="n" s="2909">
        <v>12</v>
      </c>
      <c r="AE561" t="inlineStr" s="2909">
        <is>
          <t>20250708</t>
        </is>
      </c>
      <c r="AH561" t="n" s="2909">
        <v>20</v>
      </c>
      <c r="AJ561" t="n" s="2909">
        <v>10</v>
      </c>
      <c r="AP561" t="n" s="2909">
        <v>1090000</v>
      </c>
      <c r="DB561" s="2909" t="str">
        <f>IF($A561="","",IF($AE561&amp;""&lt;&gt;'DB_設定'!$C$4,"対象外",IF($AH561=20,IF(OR($AJ561=10,$AJ561=11,$AJ561=18),"①病院一般",IF($AJ561=41,"②病院短期","対象外")),IF($AH561=5,IF($AJ561=30,"③特定消防","対象外"),IF(OR($AJ561=10,$AJ561=11,$AJ561=74),"④一般",IF(OR($AJ561=41,$AJ561=47),"⑤短期","対象外"))))))</f>
        <v>対象外</v>
      </c>
    </row>
    <row r="562">
      <c r="A562" t="n" s="2909">
        <v>21</v>
      </c>
      <c r="AA562" t="n" s="2909">
        <v>21</v>
      </c>
      <c r="AB562" t="inlineStr" s="2909">
        <is>
          <t>20240401</t>
        </is>
      </c>
      <c r="AD562" t="n" s="2909">
        <v>12</v>
      </c>
      <c r="AE562" t="inlineStr" s="2909">
        <is>
          <t>20250401</t>
        </is>
      </c>
      <c r="AH562" t="n" s="2909">
        <v>20</v>
      </c>
      <c r="AJ562" t="n" s="2909">
        <v>10</v>
      </c>
      <c r="AP562" t="n" s="2909">
        <v>1030000</v>
      </c>
      <c r="DB562" s="2909" t="str">
        <f>IF($A562="","",IF($AE562&amp;""&lt;&gt;'DB_設定'!$C$4,"対象外",IF($AH562=20,IF(OR($AJ562=10,$AJ562=11,$AJ562=18),"①病院一般",IF($AJ562=41,"②病院短期","対象外")),IF($AH562=5,IF($AJ562=30,"③特定消防","対象外"),IF(OR($AJ562=10,$AJ562=11,$AJ562=74),"④一般",IF(OR($AJ562=41,$AJ562=47),"⑤短期","対象外"))))))</f>
        <v>①病院一般</v>
      </c>
    </row>
    <row r="563">
      <c r="A563" t="n" s="2909">
        <v>21</v>
      </c>
      <c r="AA563" t="n" s="2909">
        <v>21</v>
      </c>
      <c r="AB563" t="inlineStr" s="2909">
        <is>
          <t>20240401</t>
        </is>
      </c>
      <c r="AD563" t="n" s="2909">
        <v>12</v>
      </c>
      <c r="AE563" t="inlineStr" s="2909">
        <is>
          <t>20250401</t>
        </is>
      </c>
      <c r="AH563" t="n" s="2909">
        <v>20</v>
      </c>
      <c r="AJ563" t="n" s="2909">
        <v>10</v>
      </c>
      <c r="AP563" t="n" s="2909">
        <v>1390000</v>
      </c>
      <c r="DB563" s="2909" t="str">
        <f>IF($A563="","",IF($AE563&amp;""&lt;&gt;'DB_設定'!$C$4,"対象外",IF($AH563=20,IF(OR($AJ563=10,$AJ563=11,$AJ563=18),"①病院一般",IF($AJ563=41,"②病院短期","対象外")),IF($AH563=5,IF($AJ563=30,"③特定消防","対象外"),IF(OR($AJ563=10,$AJ563=11,$AJ563=74),"④一般",IF(OR($AJ563=41,$AJ563=47),"⑤短期","対象外"))))))</f>
        <v>①病院一般</v>
      </c>
    </row>
    <row r="564">
      <c r="A564" t="n" s="2909">
        <v>21</v>
      </c>
      <c r="AA564" t="n" s="2909">
        <v>21</v>
      </c>
      <c r="AB564" t="inlineStr" s="2909">
        <is>
          <t>20240401</t>
        </is>
      </c>
      <c r="AD564" t="n" s="2909">
        <v>12</v>
      </c>
      <c r="AE564" t="inlineStr" s="2909">
        <is>
          <t>20250401</t>
        </is>
      </c>
      <c r="AH564" t="n" s="2909">
        <v>20</v>
      </c>
      <c r="AJ564" t="n" s="2909">
        <v>10</v>
      </c>
      <c r="AP564" t="n" s="2909">
        <v>1330000</v>
      </c>
      <c r="DB564" s="2909" t="str">
        <f>IF($A564="","",IF($AE564&amp;""&lt;&gt;'DB_設定'!$C$4,"対象外",IF($AH564=20,IF(OR($AJ564=10,$AJ564=11,$AJ564=18),"①病院一般",IF($AJ564=41,"②病院短期","対象外")),IF($AH564=5,IF($AJ564=30,"③特定消防","対象外"),IF(OR($AJ564=10,$AJ564=11,$AJ564=74),"④一般",IF(OR($AJ564=41,$AJ564=47),"⑤短期","対象外"))))))</f>
        <v>①病院一般</v>
      </c>
    </row>
    <row r="565">
      <c r="A565" t="n" s="2909">
        <v>21</v>
      </c>
      <c r="AA565" t="n" s="2909">
        <v>21</v>
      </c>
      <c r="AB565" t="inlineStr" s="2909">
        <is>
          <t>20240401</t>
        </is>
      </c>
      <c r="AD565" t="n" s="2909">
        <v>12</v>
      </c>
      <c r="AE565" t="inlineStr" s="2909">
        <is>
          <t>20250401</t>
        </is>
      </c>
      <c r="AH565" t="n" s="2909">
        <v>20</v>
      </c>
      <c r="AJ565" t="n" s="2909">
        <v>10</v>
      </c>
      <c r="AP565" t="n" s="2909">
        <v>1330000</v>
      </c>
      <c r="DB565" s="2909" t="str">
        <f>IF($A565="","",IF($AE565&amp;""&lt;&gt;'DB_設定'!$C$4,"対象外",IF($AH565=20,IF(OR($AJ565=10,$AJ565=11,$AJ565=18),"①病院一般",IF($AJ565=41,"②病院短期","対象外")),IF($AH565=5,IF($AJ565=30,"③特定消防","対象外"),IF(OR($AJ565=10,$AJ565=11,$AJ565=74),"④一般",IF(OR($AJ565=41,$AJ565=47),"⑤短期","対象外"))))))</f>
        <v>①病院一般</v>
      </c>
    </row>
    <row r="566">
      <c r="A566" t="n" s="2909">
        <v>21</v>
      </c>
      <c r="AA566" t="n" s="2909">
        <v>21</v>
      </c>
      <c r="AB566" t="inlineStr" s="2909">
        <is>
          <t>20240401</t>
        </is>
      </c>
      <c r="AD566" t="n" s="2909">
        <v>12</v>
      </c>
      <c r="AE566" t="inlineStr" s="2909">
        <is>
          <t>20250401</t>
        </is>
      </c>
      <c r="AH566" t="n" s="2909">
        <v>20</v>
      </c>
      <c r="AJ566" t="n" s="2909">
        <v>10</v>
      </c>
      <c r="AP566" t="n" s="2909">
        <v>1090000</v>
      </c>
      <c r="DB566" s="2909" t="str">
        <f>IF($A566="","",IF($AE566&amp;""&lt;&gt;'DB_設定'!$C$4,"対象外",IF($AH566=20,IF(OR($AJ566=10,$AJ566=11,$AJ566=18),"①病院一般",IF($AJ566=41,"②病院短期","対象外")),IF($AH566=5,IF($AJ566=30,"③特定消防","対象外"),IF(OR($AJ566=10,$AJ566=11,$AJ566=74),"④一般",IF(OR($AJ566=41,$AJ566=47),"⑤短期","対象外"))))))</f>
        <v>①病院一般</v>
      </c>
    </row>
    <row r="567">
      <c r="A567" t="n" s="2909">
        <v>21</v>
      </c>
      <c r="AA567" t="n" s="2909">
        <v>21</v>
      </c>
      <c r="AB567" t="inlineStr" s="2909">
        <is>
          <t>20240415</t>
        </is>
      </c>
      <c r="AD567" t="n" s="2909">
        <v>12</v>
      </c>
      <c r="AE567" t="inlineStr" s="2909">
        <is>
          <t>20250401</t>
        </is>
      </c>
      <c r="AH567" t="n" s="2909">
        <v>20</v>
      </c>
      <c r="AJ567" t="n" s="2909">
        <v>10</v>
      </c>
      <c r="AP567" t="n" s="2909">
        <v>1210000</v>
      </c>
      <c r="DB567" s="2909" t="str">
        <f>IF($A567="","",IF($AE567&amp;""&lt;&gt;'DB_設定'!$C$4,"対象外",IF($AH567=20,IF(OR($AJ567=10,$AJ567=11,$AJ567=18),"①病院一般",IF($AJ567=41,"②病院短期","対象外")),IF($AH567=5,IF($AJ567=30,"③特定消防","対象外"),IF(OR($AJ567=10,$AJ567=11,$AJ567=74),"④一般",IF(OR($AJ567=41,$AJ567=47),"⑤短期","対象外"))))))</f>
        <v>①病院一般</v>
      </c>
    </row>
    <row r="568">
      <c r="A568" t="n" s="2909">
        <v>21</v>
      </c>
      <c r="AA568" t="n" s="2909">
        <v>21</v>
      </c>
      <c r="AB568" t="inlineStr" s="2909">
        <is>
          <t>20240401</t>
        </is>
      </c>
      <c r="AD568" t="n" s="2909">
        <v>12</v>
      </c>
      <c r="AE568" t="inlineStr" s="2909">
        <is>
          <t>20250401</t>
        </is>
      </c>
      <c r="AH568" t="n" s="2909">
        <v>20</v>
      </c>
      <c r="AJ568" t="n" s="2909">
        <v>10</v>
      </c>
      <c r="AP568" t="n" s="2909">
        <v>220000</v>
      </c>
      <c r="DB568" s="2909" t="str">
        <f>IF($A568="","",IF($AE568&amp;""&lt;&gt;'DB_設定'!$C$4,"対象外",IF($AH568=20,IF(OR($AJ568=10,$AJ568=11,$AJ568=18),"①病院一般",IF($AJ568=41,"②病院短期","対象外")),IF($AH568=5,IF($AJ568=30,"③特定消防","対象外"),IF(OR($AJ568=10,$AJ568=11,$AJ568=74),"④一般",IF(OR($AJ568=41,$AJ568=47),"⑤短期","対象外"))))))</f>
        <v>①病院一般</v>
      </c>
    </row>
    <row r="569">
      <c r="A569" t="n" s="2909">
        <v>21</v>
      </c>
      <c r="AA569" t="n" s="2909">
        <v>21</v>
      </c>
      <c r="AB569" t="inlineStr" s="2909">
        <is>
          <t>20241001</t>
        </is>
      </c>
      <c r="AD569" t="n" s="2909">
        <v>12</v>
      </c>
      <c r="AE569" t="inlineStr" s="2909">
        <is>
          <t>20251001</t>
        </is>
      </c>
      <c r="AH569" t="n" s="2909">
        <v>20</v>
      </c>
      <c r="AJ569" t="n" s="2909">
        <v>10</v>
      </c>
      <c r="AP569" t="n" s="2909">
        <v>1390000</v>
      </c>
      <c r="DB569" s="2909" t="str">
        <f>IF($A569="","",IF($AE569&amp;""&lt;&gt;'DB_設定'!$C$4,"対象外",IF($AH569=20,IF(OR($AJ569=10,$AJ569=11,$AJ569=18),"①病院一般",IF($AJ569=41,"②病院短期","対象外")),IF($AH569=5,IF($AJ569=30,"③特定消防","対象外"),IF(OR($AJ569=10,$AJ569=11,$AJ569=74),"④一般",IF(OR($AJ569=41,$AJ569=47),"⑤短期","対象外"))))))</f>
        <v>対象外</v>
      </c>
    </row>
    <row r="570">
      <c r="A570" t="n" s="2909">
        <v>21</v>
      </c>
      <c r="AA570" t="n" s="2909">
        <v>21</v>
      </c>
      <c r="AB570" t="inlineStr" s="2909">
        <is>
          <t>20241001</t>
        </is>
      </c>
      <c r="AD570" t="n" s="2909">
        <v>12</v>
      </c>
      <c r="AE570" t="inlineStr" s="2909">
        <is>
          <t>20250401</t>
        </is>
      </c>
      <c r="AH570" t="n" s="2909">
        <v>20</v>
      </c>
      <c r="AJ570" t="n" s="2909">
        <v>10</v>
      </c>
      <c r="AP570" t="n" s="2909">
        <v>880000</v>
      </c>
      <c r="DB570" s="2909" t="str">
        <f>IF($A570="","",IF($AE570&amp;""&lt;&gt;'DB_設定'!$C$4,"対象外",IF($AH570=20,IF(OR($AJ570=10,$AJ570=11,$AJ570=18),"①病院一般",IF($AJ570=41,"②病院短期","対象外")),IF($AH570=5,IF($AJ570=30,"③特定消防","対象外"),IF(OR($AJ570=10,$AJ570=11,$AJ570=74),"④一般",IF(OR($AJ570=41,$AJ570=47),"⑤短期","対象外"))))))</f>
        <v>①病院一般</v>
      </c>
    </row>
    <row r="571">
      <c r="A571" t="n" s="2909">
        <v>21</v>
      </c>
      <c r="AA571" t="n" s="2909">
        <v>21</v>
      </c>
      <c r="AB571" t="inlineStr" s="2909">
        <is>
          <t>20241001</t>
        </is>
      </c>
      <c r="AD571" t="n" s="2909">
        <v>12</v>
      </c>
      <c r="AE571" t="inlineStr" s="2909">
        <is>
          <t>20250701</t>
        </is>
      </c>
      <c r="AH571" t="n" s="2909">
        <v>20</v>
      </c>
      <c r="AJ571" t="n" s="2909">
        <v>10</v>
      </c>
      <c r="AP571" t="n" s="2909">
        <v>320000</v>
      </c>
      <c r="DB571" s="2909" t="str">
        <f>IF($A571="","",IF($AE571&amp;""&lt;&gt;'DB_設定'!$C$4,"対象外",IF($AH571=20,IF(OR($AJ571=10,$AJ571=11,$AJ571=18),"①病院一般",IF($AJ571=41,"②病院短期","対象外")),IF($AH571=5,IF($AJ571=30,"③特定消防","対象外"),IF(OR($AJ571=10,$AJ571=11,$AJ571=74),"④一般",IF(OR($AJ571=41,$AJ571=47),"⑤短期","対象外"))))))</f>
        <v>対象外</v>
      </c>
    </row>
    <row r="572">
      <c r="A572" t="n" s="2909">
        <v>21</v>
      </c>
      <c r="AA572" t="n" s="2909">
        <v>21</v>
      </c>
      <c r="AB572" t="inlineStr" s="2909">
        <is>
          <t>20250401</t>
        </is>
      </c>
      <c r="AD572" t="n" s="2909">
        <v>12</v>
      </c>
      <c r="AE572" t="inlineStr" s="2909">
        <is>
          <t>20250501</t>
        </is>
      </c>
      <c r="AH572" t="n" s="2909">
        <v>1</v>
      </c>
      <c r="AJ572" t="n" s="2909">
        <v>10</v>
      </c>
      <c r="AP572" t="n" s="2909">
        <v>340000</v>
      </c>
      <c r="DB572" s="2909" t="str">
        <f>IF($A572="","",IF($AE572&amp;""&lt;&gt;'DB_設定'!$C$4,"対象外",IF($AH572=20,IF(OR($AJ572=10,$AJ572=11,$AJ572=18),"①病院一般",IF($AJ572=41,"②病院短期","対象外")),IF($AH572=5,IF($AJ572=30,"③特定消防","対象外"),IF(OR($AJ572=10,$AJ572=11,$AJ572=74),"④一般",IF(OR($AJ572=41,$AJ572=47),"⑤短期","対象外"))))))</f>
        <v>対象外</v>
      </c>
    </row>
    <row r="573">
      <c r="A573" t="n" s="2909">
        <v>31</v>
      </c>
      <c r="AA573" t="n" s="2909">
        <v>24</v>
      </c>
      <c r="AB573" t="inlineStr" s="2909">
        <is>
          <t>20240501</t>
        </is>
      </c>
      <c r="AD573" t="n" s="2909">
        <v>12</v>
      </c>
      <c r="AE573" t="inlineStr" s="2909">
        <is>
          <t>20250401</t>
        </is>
      </c>
      <c r="AH573" t="n" s="2909">
        <v>1</v>
      </c>
      <c r="AJ573" t="n" s="2909">
        <v>47</v>
      </c>
      <c r="AP573" t="n" s="2909">
        <v>190000</v>
      </c>
      <c r="DB573" s="2909" t="str">
        <f>IF($A573="","",IF($AE573&amp;""&lt;&gt;'DB_設定'!$C$4,"対象外",IF($AH573=20,IF(OR($AJ573=10,$AJ573=11,$AJ573=18),"①病院一般",IF($AJ573=41,"②病院短期","対象外")),IF($AH573=5,IF($AJ573=30,"③特定消防","対象外"),IF(OR($AJ573=10,$AJ573=11,$AJ573=74),"④一般",IF(OR($AJ573=41,$AJ573=47),"⑤短期","対象外"))))))</f>
        <v>⑤短期</v>
      </c>
    </row>
    <row r="574">
      <c r="A574" t="n" s="2909">
        <v>31</v>
      </c>
      <c r="AA574" t="n" s="2909">
        <v>21</v>
      </c>
      <c r="AB574" t="inlineStr" s="2909">
        <is>
          <t>20221001</t>
        </is>
      </c>
      <c r="AD574" t="n" s="2909">
        <v>12</v>
      </c>
      <c r="AE574" t="inlineStr" s="2909">
        <is>
          <t>20250401</t>
        </is>
      </c>
      <c r="AH574" t="n" s="2909">
        <v>1</v>
      </c>
      <c r="AJ574" t="n" s="2909">
        <v>47</v>
      </c>
      <c r="AP574" t="n" s="2909">
        <v>180000</v>
      </c>
      <c r="DB574" s="2909" t="str">
        <f>IF($A574="","",IF($AE574&amp;""&lt;&gt;'DB_設定'!$C$4,"対象外",IF($AH574=20,IF(OR($AJ574=10,$AJ574=11,$AJ574=18),"①病院一般",IF($AJ574=41,"②病院短期","対象外")),IF($AH574=5,IF($AJ574=30,"③特定消防","対象外"),IF(OR($AJ574=10,$AJ574=11,$AJ574=74),"④一般",IF(OR($AJ574=41,$AJ574=47),"⑤短期","対象外"))))))</f>
        <v>⑤短期</v>
      </c>
    </row>
    <row r="575">
      <c r="A575" t="n" s="2909">
        <v>31</v>
      </c>
      <c r="AA575" t="n" s="2909">
        <v>21</v>
      </c>
      <c r="AB575" t="inlineStr" s="2909">
        <is>
          <t>20221001</t>
        </is>
      </c>
      <c r="AD575" t="n" s="2909">
        <v>12</v>
      </c>
      <c r="AE575" t="inlineStr" s="2909">
        <is>
          <t>20250401</t>
        </is>
      </c>
      <c r="AH575" t="n" s="2909">
        <v>20</v>
      </c>
      <c r="AJ575" t="n" s="2909">
        <v>41</v>
      </c>
      <c r="AP575" t="n" s="2909">
        <v>240000</v>
      </c>
      <c r="DB575" s="2909" t="str">
        <f>IF($A575="","",IF($AE575&amp;""&lt;&gt;'DB_設定'!$C$4,"対象外",IF($AH575=20,IF(OR($AJ575=10,$AJ575=11,$AJ575=18),"①病院一般",IF($AJ575=41,"②病院短期","対象外")),IF($AH575=5,IF($AJ575=30,"③特定消防","対象外"),IF(OR($AJ575=10,$AJ575=11,$AJ575=74),"④一般",IF(OR($AJ575=41,$AJ575=47),"⑤短期","対象外"))))))</f>
        <v>②病院短期</v>
      </c>
    </row>
    <row r="576">
      <c r="A576" t="n" s="2909">
        <v>31</v>
      </c>
      <c r="AA576" t="n" s="2909">
        <v>21</v>
      </c>
      <c r="AB576" t="inlineStr" s="2909">
        <is>
          <t>20221001</t>
        </is>
      </c>
      <c r="AD576" t="n" s="2909">
        <v>12</v>
      </c>
      <c r="AE576" t="inlineStr" s="2909">
        <is>
          <t>20250401</t>
        </is>
      </c>
      <c r="AH576" t="n" s="2909">
        <v>11</v>
      </c>
      <c r="AJ576" t="n" s="2909">
        <v>41</v>
      </c>
      <c r="AP576" t="n" s="2909">
        <v>170000</v>
      </c>
      <c r="DB576" s="2909" t="str">
        <f>IF($A576="","",IF($AE576&amp;""&lt;&gt;'DB_設定'!$C$4,"対象外",IF($AH576=20,IF(OR($AJ576=10,$AJ576=11,$AJ576=18),"①病院一般",IF($AJ576=41,"②病院短期","対象外")),IF($AH576=5,IF($AJ576=30,"③特定消防","対象外"),IF(OR($AJ576=10,$AJ576=11,$AJ576=74),"④一般",IF(OR($AJ576=41,$AJ576=47),"⑤短期","対象外"))))))</f>
        <v>⑤短期</v>
      </c>
    </row>
    <row r="577">
      <c r="A577" t="n" s="2909">
        <v>31</v>
      </c>
      <c r="AA577" t="n" s="2909">
        <v>21</v>
      </c>
      <c r="AB577" t="inlineStr" s="2909">
        <is>
          <t>20221001</t>
        </is>
      </c>
      <c r="AD577" t="n" s="2909">
        <v>12</v>
      </c>
      <c r="AE577" t="inlineStr" s="2909">
        <is>
          <t>20250401</t>
        </is>
      </c>
      <c r="AH577" t="n" s="2909">
        <v>1</v>
      </c>
      <c r="AJ577" t="n" s="2909">
        <v>47</v>
      </c>
      <c r="AP577" t="n" s="2909">
        <v>200000</v>
      </c>
      <c r="DB577" s="2909" t="str">
        <f>IF($A577="","",IF($AE577&amp;""&lt;&gt;'DB_設定'!$C$4,"対象外",IF($AH577=20,IF(OR($AJ577=10,$AJ577=11,$AJ577=18),"①病院一般",IF($AJ577=41,"②病院短期","対象外")),IF($AH577=5,IF($AJ577=30,"③特定消防","対象外"),IF(OR($AJ577=10,$AJ577=11,$AJ577=74),"④一般",IF(OR($AJ577=41,$AJ577=47),"⑤短期","対象外"))))))</f>
        <v>⑤短期</v>
      </c>
    </row>
    <row r="578">
      <c r="A578" t="n" s="2909">
        <v>31</v>
      </c>
      <c r="AA578" t="n" s="2909">
        <v>21</v>
      </c>
      <c r="AB578" t="inlineStr" s="2909">
        <is>
          <t>20221001</t>
        </is>
      </c>
      <c r="AD578" t="n" s="2909">
        <v>12</v>
      </c>
      <c r="AE578" t="inlineStr" s="2909">
        <is>
          <t>20250401</t>
        </is>
      </c>
      <c r="AH578" t="n" s="2909">
        <v>1</v>
      </c>
      <c r="AJ578" t="n" s="2909">
        <v>41</v>
      </c>
      <c r="AP578" t="n" s="2909">
        <v>200000</v>
      </c>
      <c r="DB578" s="2909" t="str">
        <f>IF($A578="","",IF($AE578&amp;""&lt;&gt;'DB_設定'!$C$4,"対象外",IF($AH578=20,IF(OR($AJ578=10,$AJ578=11,$AJ578=18),"①病院一般",IF($AJ578=41,"②病院短期","対象外")),IF($AH578=5,IF($AJ578=30,"③特定消防","対象外"),IF(OR($AJ578=10,$AJ578=11,$AJ578=74),"④一般",IF(OR($AJ578=41,$AJ578=47),"⑤短期","対象外"))))))</f>
        <v>⑤短期</v>
      </c>
    </row>
    <row r="579">
      <c r="A579" t="n" s="2909">
        <v>31</v>
      </c>
      <c r="AA579" t="n" s="2909">
        <v>21</v>
      </c>
      <c r="AB579" t="inlineStr" s="2909">
        <is>
          <t>20221001</t>
        </is>
      </c>
      <c r="AD579" t="n" s="2909">
        <v>12</v>
      </c>
      <c r="AE579" t="inlineStr" s="2909">
        <is>
          <t>20250401</t>
        </is>
      </c>
      <c r="AH579" t="n" s="2909">
        <v>1</v>
      </c>
      <c r="AJ579" t="n" s="2909">
        <v>41</v>
      </c>
      <c r="AP579" t="n" s="2909">
        <v>190000</v>
      </c>
      <c r="DB579" s="2909" t="str">
        <f>IF($A579="","",IF($AE579&amp;""&lt;&gt;'DB_設定'!$C$4,"対象外",IF($AH579=20,IF(OR($AJ579=10,$AJ579=11,$AJ579=18),"①病院一般",IF($AJ579=41,"②病院短期","対象外")),IF($AH579=5,IF($AJ579=30,"③特定消防","対象外"),IF(OR($AJ579=10,$AJ579=11,$AJ579=74),"④一般",IF(OR($AJ579=41,$AJ579=47),"⑤短期","対象外"))))))</f>
        <v>⑤短期</v>
      </c>
    </row>
    <row r="580">
      <c r="A580" t="n" s="2909">
        <v>31</v>
      </c>
      <c r="AA580" t="n" s="2909">
        <v>24</v>
      </c>
      <c r="AB580" t="inlineStr" s="2909">
        <is>
          <t>20240901</t>
        </is>
      </c>
      <c r="AD580" t="n" s="2909">
        <v>12</v>
      </c>
      <c r="AE580" t="inlineStr" s="2909">
        <is>
          <t>20250401</t>
        </is>
      </c>
      <c r="AH580" t="n" s="2909">
        <v>1</v>
      </c>
      <c r="AJ580" t="n" s="2909">
        <v>47</v>
      </c>
      <c r="AP580" t="n" s="2909">
        <v>190000</v>
      </c>
      <c r="DB580" s="2909" t="str">
        <f>IF($A580="","",IF($AE580&amp;""&lt;&gt;'DB_設定'!$C$4,"対象外",IF($AH580=20,IF(OR($AJ580=10,$AJ580=11,$AJ580=18),"①病院一般",IF($AJ580=41,"②病院短期","対象外")),IF($AH580=5,IF($AJ580=30,"③特定消防","対象外"),IF(OR($AJ580=10,$AJ580=11,$AJ580=74),"④一般",IF(OR($AJ580=41,$AJ580=47),"⑤短期","対象外"))))))</f>
        <v>⑤短期</v>
      </c>
    </row>
    <row r="581">
      <c r="A581" t="n" s="2909">
        <v>31</v>
      </c>
      <c r="AA581" t="n" s="2909">
        <v>21</v>
      </c>
      <c r="AB581" t="inlineStr" s="2909">
        <is>
          <t>20221001</t>
        </is>
      </c>
      <c r="AD581" t="n" s="2909">
        <v>12</v>
      </c>
      <c r="AE581" t="inlineStr" s="2909">
        <is>
          <t>20250401</t>
        </is>
      </c>
      <c r="AH581" t="n" s="2909">
        <v>1</v>
      </c>
      <c r="AJ581" t="n" s="2909">
        <v>41</v>
      </c>
      <c r="AP581" t="n" s="2909">
        <v>200000</v>
      </c>
      <c r="DB581" s="2909" t="str">
        <f>IF($A581="","",IF($AE581&amp;""&lt;&gt;'DB_設定'!$C$4,"対象外",IF($AH581=20,IF(OR($AJ581=10,$AJ581=11,$AJ581=18),"①病院一般",IF($AJ581=41,"②病院短期","対象外")),IF($AH581=5,IF($AJ581=30,"③特定消防","対象外"),IF(OR($AJ581=10,$AJ581=11,$AJ581=74),"④一般",IF(OR($AJ581=41,$AJ581=47),"⑤短期","対象外"))))))</f>
        <v>⑤短期</v>
      </c>
    </row>
    <row r="582">
      <c r="A582" t="n" s="2909">
        <v>31</v>
      </c>
      <c r="AA582" t="n" s="2909">
        <v>21</v>
      </c>
      <c r="AB582" t="inlineStr" s="2909">
        <is>
          <t>20240801</t>
        </is>
      </c>
      <c r="AD582" t="n" s="2909">
        <v>12</v>
      </c>
      <c r="AE582" t="inlineStr" s="2909">
        <is>
          <t>20250401</t>
        </is>
      </c>
      <c r="AH582" t="n" s="2909">
        <v>11</v>
      </c>
      <c r="AJ582" t="n" s="2909">
        <v>41</v>
      </c>
      <c r="AP582" t="n" s="2909">
        <v>160000</v>
      </c>
      <c r="DB582" s="2909" t="str">
        <f>IF($A582="","",IF($AE582&amp;""&lt;&gt;'DB_設定'!$C$4,"対象外",IF($AH582=20,IF(OR($AJ582=10,$AJ582=11,$AJ582=18),"①病院一般",IF($AJ582=41,"②病院短期","対象外")),IF($AH582=5,IF($AJ582=30,"③特定消防","対象外"),IF(OR($AJ582=10,$AJ582=11,$AJ582=74),"④一般",IF(OR($AJ582=41,$AJ582=47),"⑤短期","対象外"))))))</f>
        <v>⑤短期</v>
      </c>
    </row>
    <row r="583">
      <c r="A583" t="n" s="2909">
        <v>31</v>
      </c>
      <c r="AA583" t="n" s="2909">
        <v>21</v>
      </c>
      <c r="AB583" t="inlineStr" s="2909">
        <is>
          <t>20230401</t>
        </is>
      </c>
      <c r="AD583" t="n" s="2909">
        <v>12</v>
      </c>
      <c r="AE583" t="inlineStr" s="2909">
        <is>
          <t>20250401</t>
        </is>
      </c>
      <c r="AH583" t="n" s="2909">
        <v>1</v>
      </c>
      <c r="AJ583" t="n" s="2909">
        <v>41</v>
      </c>
      <c r="AP583" t="n" s="2909">
        <v>190000</v>
      </c>
      <c r="DB583" s="2909" t="str">
        <f>IF($A583="","",IF($AE583&amp;""&lt;&gt;'DB_設定'!$C$4,"対象外",IF($AH583=20,IF(OR($AJ583=10,$AJ583=11,$AJ583=18),"①病院一般",IF($AJ583=41,"②病院短期","対象外")),IF($AH583=5,IF($AJ583=30,"③特定消防","対象外"),IF(OR($AJ583=10,$AJ583=11,$AJ583=74),"④一般",IF(OR($AJ583=41,$AJ583=47),"⑤短期","対象外"))))))</f>
        <v>⑤短期</v>
      </c>
    </row>
    <row r="584">
      <c r="A584" t="n" s="2909">
        <v>31</v>
      </c>
      <c r="AA584" t="n" s="2909">
        <v>21</v>
      </c>
      <c r="AB584" t="inlineStr" s="2909">
        <is>
          <t>20221001</t>
        </is>
      </c>
      <c r="AD584" t="n" s="2909">
        <v>12</v>
      </c>
      <c r="AE584" t="inlineStr" s="2909">
        <is>
          <t>20250401</t>
        </is>
      </c>
      <c r="AH584" t="n" s="2909">
        <v>1</v>
      </c>
      <c r="AJ584" t="n" s="2909">
        <v>41</v>
      </c>
      <c r="AP584" t="n" s="2909">
        <v>110000</v>
      </c>
      <c r="DB584" s="2909" t="str">
        <f>IF($A584="","",IF($AE584&amp;""&lt;&gt;'DB_設定'!$C$4,"対象外",IF($AH584=20,IF(OR($AJ584=10,$AJ584=11,$AJ584=18),"①病院一般",IF($AJ584=41,"②病院短期","対象外")),IF($AH584=5,IF($AJ584=30,"③特定消防","対象外"),IF(OR($AJ584=10,$AJ584=11,$AJ584=74),"④一般",IF(OR($AJ584=41,$AJ584=47),"⑤短期","対象外"))))))</f>
        <v>⑤短期</v>
      </c>
    </row>
    <row r="585">
      <c r="A585" t="n" s="2909">
        <v>31</v>
      </c>
      <c r="AA585" t="n" s="2909">
        <v>24</v>
      </c>
      <c r="AB585" t="inlineStr" s="2909">
        <is>
          <t>20250211</t>
        </is>
      </c>
      <c r="AD585" t="n" s="2909">
        <v>12</v>
      </c>
      <c r="AE585" t="inlineStr" s="2909">
        <is>
          <t>20250501</t>
        </is>
      </c>
      <c r="AH585" t="n" s="2909">
        <v>1</v>
      </c>
      <c r="AJ585" t="n" s="2909">
        <v>41</v>
      </c>
      <c r="AP585" t="n" s="2909">
        <v>200000</v>
      </c>
      <c r="DB585" s="2909" t="str">
        <f>IF($A585="","",IF($AE585&amp;""&lt;&gt;'DB_設定'!$C$4,"対象外",IF($AH585=20,IF(OR($AJ585=10,$AJ585=11,$AJ585=18),"①病院一般",IF($AJ585=41,"②病院短期","対象外")),IF($AH585=5,IF($AJ585=30,"③特定消防","対象外"),IF(OR($AJ585=10,$AJ585=11,$AJ585=74),"④一般",IF(OR($AJ585=41,$AJ585=47),"⑤短期","対象外"))))))</f>
        <v>対象外</v>
      </c>
    </row>
    <row r="586">
      <c r="A586" t="n" s="2909">
        <v>31</v>
      </c>
      <c r="AA586" t="n" s="2909">
        <v>24</v>
      </c>
      <c r="AB586" t="inlineStr" s="2909">
        <is>
          <t>20231101</t>
        </is>
      </c>
      <c r="AD586" t="n" s="2909">
        <v>12</v>
      </c>
      <c r="AE586" t="inlineStr" s="2909">
        <is>
          <t>20250401</t>
        </is>
      </c>
      <c r="AH586" t="n" s="2909">
        <v>4</v>
      </c>
      <c r="AJ586" t="n" s="2909">
        <v>41</v>
      </c>
      <c r="AP586" t="n" s="2909">
        <v>200000</v>
      </c>
      <c r="DB586" s="2909" t="str">
        <f>IF($A586="","",IF($AE586&amp;""&lt;&gt;'DB_設定'!$C$4,"対象外",IF($AH586=20,IF(OR($AJ586=10,$AJ586=11,$AJ586=18),"①病院一般",IF($AJ586=41,"②病院短期","対象外")),IF($AH586=5,IF($AJ586=30,"③特定消防","対象外"),IF(OR($AJ586=10,$AJ586=11,$AJ586=74),"④一般",IF(OR($AJ586=41,$AJ586=47),"⑤短期","対象外"))))))</f>
        <v>⑤短期</v>
      </c>
    </row>
    <row r="587">
      <c r="A587" t="n" s="2909">
        <v>31</v>
      </c>
      <c r="AA587" t="n" s="2909">
        <v>21</v>
      </c>
      <c r="AB587" t="inlineStr" s="2909">
        <is>
          <t>20221001</t>
        </is>
      </c>
      <c r="AD587" t="n" s="2909">
        <v>12</v>
      </c>
      <c r="AE587" t="inlineStr" s="2909">
        <is>
          <t>20250401</t>
        </is>
      </c>
      <c r="AH587" t="n" s="2909">
        <v>4</v>
      </c>
      <c r="AJ587" t="n" s="2909">
        <v>41</v>
      </c>
      <c r="AP587" t="n" s="2909">
        <v>200000</v>
      </c>
      <c r="DB587" s="2909" t="str">
        <f>IF($A587="","",IF($AE587&amp;""&lt;&gt;'DB_設定'!$C$4,"対象外",IF($AH587=20,IF(OR($AJ587=10,$AJ587=11,$AJ587=18),"①病院一般",IF($AJ587=41,"②病院短期","対象外")),IF($AH587=5,IF($AJ587=30,"③特定消防","対象外"),IF(OR($AJ587=10,$AJ587=11,$AJ587=74),"④一般",IF(OR($AJ587=41,$AJ587=47),"⑤短期","対象外"))))))</f>
        <v>⑤短期</v>
      </c>
    </row>
    <row r="588">
      <c r="A588" t="n" s="2909">
        <v>31</v>
      </c>
      <c r="AA588" t="n" s="2909">
        <v>21</v>
      </c>
      <c r="AB588" t="inlineStr" s="2909">
        <is>
          <t>20221001</t>
        </is>
      </c>
      <c r="AD588" t="n" s="2909">
        <v>12</v>
      </c>
      <c r="AE588" t="inlineStr" s="2909">
        <is>
          <t>20250401</t>
        </is>
      </c>
      <c r="AH588" t="n" s="2909">
        <v>4</v>
      </c>
      <c r="AJ588" t="n" s="2909">
        <v>41</v>
      </c>
      <c r="AP588" t="n" s="2909">
        <v>200000</v>
      </c>
      <c r="DB588" s="2909" t="str">
        <f>IF($A588="","",IF($AE588&amp;""&lt;&gt;'DB_設定'!$C$4,"対象外",IF($AH588=20,IF(OR($AJ588=10,$AJ588=11,$AJ588=18),"①病院一般",IF($AJ588=41,"②病院短期","対象外")),IF($AH588=5,IF($AJ588=30,"③特定消防","対象外"),IF(OR($AJ588=10,$AJ588=11,$AJ588=74),"④一般",IF(OR($AJ588=41,$AJ588=47),"⑤短期","対象外"))))))</f>
        <v>⑤短期</v>
      </c>
    </row>
    <row r="589">
      <c r="A589" t="n" s="2909">
        <v>31</v>
      </c>
      <c r="AA589" t="n" s="2909">
        <v>21</v>
      </c>
      <c r="AB589" t="inlineStr" s="2909">
        <is>
          <t>20221001</t>
        </is>
      </c>
      <c r="AD589" t="n" s="2909">
        <v>12</v>
      </c>
      <c r="AE589" t="inlineStr" s="2909">
        <is>
          <t>20250401</t>
        </is>
      </c>
      <c r="AH589" t="n" s="2909">
        <v>4</v>
      </c>
      <c r="AJ589" t="n" s="2909">
        <v>41</v>
      </c>
      <c r="AP589" t="n" s="2909">
        <v>200000</v>
      </c>
      <c r="DB589" s="2909" t="str">
        <f>IF($A589="","",IF($AE589&amp;""&lt;&gt;'DB_設定'!$C$4,"対象外",IF($AH589=20,IF(OR($AJ589=10,$AJ589=11,$AJ589=18),"①病院一般",IF($AJ589=41,"②病院短期","対象外")),IF($AH589=5,IF($AJ589=30,"③特定消防","対象外"),IF(OR($AJ589=10,$AJ589=11,$AJ589=74),"④一般",IF(OR($AJ589=41,$AJ589=47),"⑤短期","対象外"))))))</f>
        <v>⑤短期</v>
      </c>
    </row>
    <row r="590">
      <c r="A590" t="n" s="2909">
        <v>31</v>
      </c>
      <c r="AA590" t="n" s="2909">
        <v>21</v>
      </c>
      <c r="AB590" t="inlineStr" s="2909">
        <is>
          <t>20221001</t>
        </is>
      </c>
      <c r="AD590" t="n" s="2909">
        <v>12</v>
      </c>
      <c r="AE590" t="inlineStr" s="2909">
        <is>
          <t>20250401</t>
        </is>
      </c>
      <c r="AH590" t="n" s="2909">
        <v>4</v>
      </c>
      <c r="AJ590" t="n" s="2909">
        <v>41</v>
      </c>
      <c r="AP590" t="n" s="2909">
        <v>200000</v>
      </c>
      <c r="DB590" s="2909" t="str">
        <f>IF($A590="","",IF($AE590&amp;""&lt;&gt;'DB_設定'!$C$4,"対象外",IF($AH590=20,IF(OR($AJ590=10,$AJ590=11,$AJ590=18),"①病院一般",IF($AJ590=41,"②病院短期","対象外")),IF($AH590=5,IF($AJ590=30,"③特定消防","対象外"),IF(OR($AJ590=10,$AJ590=11,$AJ590=74),"④一般",IF(OR($AJ590=41,$AJ590=47),"⑤短期","対象外"))))))</f>
        <v>⑤短期</v>
      </c>
    </row>
    <row r="591">
      <c r="A591" t="n" s="2909">
        <v>31</v>
      </c>
      <c r="AA591" t="n" s="2909">
        <v>21</v>
      </c>
      <c r="AB591" t="inlineStr" s="2909">
        <is>
          <t>20221001</t>
        </is>
      </c>
      <c r="AD591" t="n" s="2909">
        <v>12</v>
      </c>
      <c r="AE591" t="inlineStr" s="2909">
        <is>
          <t>20250530</t>
        </is>
      </c>
      <c r="AH591" t="n" s="2909">
        <v>1</v>
      </c>
      <c r="AJ591" t="n" s="2909">
        <v>41</v>
      </c>
      <c r="AP591" t="n" s="2909">
        <v>200000</v>
      </c>
      <c r="DB591" s="2909" t="str">
        <f>IF($A591="","",IF($AE591&amp;""&lt;&gt;'DB_設定'!$C$4,"対象外",IF($AH591=20,IF(OR($AJ591=10,$AJ591=11,$AJ591=18),"①病院一般",IF($AJ591=41,"②病院短期","対象外")),IF($AH591=5,IF($AJ591=30,"③特定消防","対象外"),IF(OR($AJ591=10,$AJ591=11,$AJ591=74),"④一般",IF(OR($AJ591=41,$AJ591=47),"⑤短期","対象外"))))))</f>
        <v>対象外</v>
      </c>
    </row>
    <row r="592">
      <c r="A592" t="n" s="2909">
        <v>31</v>
      </c>
      <c r="AA592" t="n" s="2909">
        <v>21</v>
      </c>
      <c r="AB592" t="inlineStr" s="2909">
        <is>
          <t>20221001</t>
        </is>
      </c>
      <c r="AD592" t="n" s="2909">
        <v>12</v>
      </c>
      <c r="AE592" t="inlineStr" s="2909">
        <is>
          <t>20250401</t>
        </is>
      </c>
      <c r="AH592" t="n" s="2909">
        <v>11</v>
      </c>
      <c r="AJ592" t="n" s="2909">
        <v>41</v>
      </c>
      <c r="AP592" t="n" s="2909">
        <v>180000</v>
      </c>
      <c r="DB592" s="2909" t="str">
        <f>IF($A592="","",IF($AE592&amp;""&lt;&gt;'DB_設定'!$C$4,"対象外",IF($AH592=20,IF(OR($AJ592=10,$AJ592=11,$AJ592=18),"①病院一般",IF($AJ592=41,"②病院短期","対象外")),IF($AH592=5,IF($AJ592=30,"③特定消防","対象外"),IF(OR($AJ592=10,$AJ592=11,$AJ592=74),"④一般",IF(OR($AJ592=41,$AJ592=47),"⑤短期","対象外"))))))</f>
        <v>⑤短期</v>
      </c>
    </row>
    <row r="593">
      <c r="A593" t="n" s="2909">
        <v>31</v>
      </c>
      <c r="AA593" t="n" s="2909">
        <v>21</v>
      </c>
      <c r="AB593" t="inlineStr" s="2909">
        <is>
          <t>20221001</t>
        </is>
      </c>
      <c r="AD593" t="n" s="2909">
        <v>12</v>
      </c>
      <c r="AE593" t="inlineStr" s="2909">
        <is>
          <t>20250401</t>
        </is>
      </c>
      <c r="AH593" t="n" s="2909">
        <v>1</v>
      </c>
      <c r="AJ593" t="n" s="2909">
        <v>41</v>
      </c>
      <c r="AP593" t="n" s="2909">
        <v>190000</v>
      </c>
      <c r="DB593" s="2909" t="str">
        <f>IF($A593="","",IF($AE593&amp;""&lt;&gt;'DB_設定'!$C$4,"対象外",IF($AH593=20,IF(OR($AJ593=10,$AJ593=11,$AJ593=18),"①病院一般",IF($AJ593=41,"②病院短期","対象外")),IF($AH593=5,IF($AJ593=30,"③特定消防","対象外"),IF(OR($AJ593=10,$AJ593=11,$AJ593=74),"④一般",IF(OR($AJ593=41,$AJ593=47),"⑤短期","対象外"))))))</f>
        <v>⑤短期</v>
      </c>
    </row>
    <row r="594">
      <c r="A594" t="n" s="2909">
        <v>31</v>
      </c>
      <c r="AA594" t="n" s="2909">
        <v>21</v>
      </c>
      <c r="AB594" t="inlineStr" s="2909">
        <is>
          <t>20221001</t>
        </is>
      </c>
      <c r="AD594" t="n" s="2909">
        <v>12</v>
      </c>
      <c r="AE594" t="inlineStr" s="2909">
        <is>
          <t>20250401</t>
        </is>
      </c>
      <c r="AH594" t="n" s="2909">
        <v>1</v>
      </c>
      <c r="AJ594" t="n" s="2909">
        <v>41</v>
      </c>
      <c r="AP594" t="n" s="2909">
        <v>180000</v>
      </c>
      <c r="DB594" s="2909" t="str">
        <f>IF($A594="","",IF($AE594&amp;""&lt;&gt;'DB_設定'!$C$4,"対象外",IF($AH594=20,IF(OR($AJ594=10,$AJ594=11,$AJ594=18),"①病院一般",IF($AJ594=41,"②病院短期","対象外")),IF($AH594=5,IF($AJ594=30,"③特定消防","対象外"),IF(OR($AJ594=10,$AJ594=11,$AJ594=74),"④一般",IF(OR($AJ594=41,$AJ594=47),"⑤短期","対象外"))))))</f>
        <v>⑤短期</v>
      </c>
    </row>
    <row r="595">
      <c r="A595" t="n" s="2909">
        <v>31</v>
      </c>
      <c r="AA595" t="n" s="2909">
        <v>21</v>
      </c>
      <c r="AB595" t="inlineStr" s="2909">
        <is>
          <t>20221001</t>
        </is>
      </c>
      <c r="AD595" t="n" s="2909">
        <v>12</v>
      </c>
      <c r="AE595" t="inlineStr" s="2909">
        <is>
          <t>20250401</t>
        </is>
      </c>
      <c r="AH595" t="n" s="2909">
        <v>1</v>
      </c>
      <c r="AJ595" t="n" s="2909">
        <v>41</v>
      </c>
      <c r="AP595" t="n" s="2909">
        <v>220000</v>
      </c>
      <c r="DB595" s="2909" t="str">
        <f>IF($A595="","",IF($AE595&amp;""&lt;&gt;'DB_設定'!$C$4,"対象外",IF($AH595=20,IF(OR($AJ595=10,$AJ595=11,$AJ595=18),"①病院一般",IF($AJ595=41,"②病院短期","対象外")),IF($AH595=5,IF($AJ595=30,"③特定消防","対象外"),IF(OR($AJ595=10,$AJ595=11,$AJ595=74),"④一般",IF(OR($AJ595=41,$AJ595=47),"⑤短期","対象外"))))))</f>
        <v>⑤短期</v>
      </c>
    </row>
    <row r="596">
      <c r="A596" t="n" s="2909">
        <v>31</v>
      </c>
      <c r="AA596" t="n" s="2909">
        <v>21</v>
      </c>
      <c r="AB596" t="inlineStr" s="2909">
        <is>
          <t>20221001</t>
        </is>
      </c>
      <c r="AD596" t="n" s="2909">
        <v>12</v>
      </c>
      <c r="AE596" t="inlineStr" s="2909">
        <is>
          <t>20250401</t>
        </is>
      </c>
      <c r="AH596" t="n" s="2909">
        <v>1</v>
      </c>
      <c r="AJ596" t="n" s="2909">
        <v>41</v>
      </c>
      <c r="AP596" t="n" s="2909">
        <v>190000</v>
      </c>
      <c r="DB596" s="2909" t="str">
        <f>IF($A596="","",IF($AE596&amp;""&lt;&gt;'DB_設定'!$C$4,"対象外",IF($AH596=20,IF(OR($AJ596=10,$AJ596=11,$AJ596=18),"①病院一般",IF($AJ596=41,"②病院短期","対象外")),IF($AH596=5,IF($AJ596=30,"③特定消防","対象外"),IF(OR($AJ596=10,$AJ596=11,$AJ596=74),"④一般",IF(OR($AJ596=41,$AJ596=47),"⑤短期","対象外"))))))</f>
        <v>⑤短期</v>
      </c>
    </row>
    <row r="597">
      <c r="A597" t="n" s="2909">
        <v>31</v>
      </c>
      <c r="AA597" t="n" s="2909">
        <v>21</v>
      </c>
      <c r="AB597" t="inlineStr" s="2909">
        <is>
          <t>20221001</t>
        </is>
      </c>
      <c r="AD597" t="n" s="2909">
        <v>12</v>
      </c>
      <c r="AE597" t="inlineStr" s="2909">
        <is>
          <t>20250401</t>
        </is>
      </c>
      <c r="AH597" t="n" s="2909">
        <v>1</v>
      </c>
      <c r="AJ597" t="n" s="2909">
        <v>41</v>
      </c>
      <c r="AP597" t="n" s="2909">
        <v>190000</v>
      </c>
      <c r="DB597" s="2909" t="str">
        <f>IF($A597="","",IF($AE597&amp;""&lt;&gt;'DB_設定'!$C$4,"対象外",IF($AH597=20,IF(OR($AJ597=10,$AJ597=11,$AJ597=18),"①病院一般",IF($AJ597=41,"②病院短期","対象外")),IF($AH597=5,IF($AJ597=30,"③特定消防","対象外"),IF(OR($AJ597=10,$AJ597=11,$AJ597=74),"④一般",IF(OR($AJ597=41,$AJ597=47),"⑤短期","対象外"))))))</f>
        <v>⑤短期</v>
      </c>
    </row>
    <row r="598">
      <c r="A598" t="n" s="2909">
        <v>31</v>
      </c>
      <c r="AA598" t="n" s="2909">
        <v>21</v>
      </c>
      <c r="AB598" t="inlineStr" s="2909">
        <is>
          <t>20240401</t>
        </is>
      </c>
      <c r="AD598" t="n" s="2909">
        <v>12</v>
      </c>
      <c r="AE598" t="inlineStr" s="2909">
        <is>
          <t>20250408</t>
        </is>
      </c>
      <c r="AH598" t="n" s="2909">
        <v>1</v>
      </c>
      <c r="AJ598" t="n" s="2909">
        <v>41</v>
      </c>
      <c r="AP598" t="n" s="2909">
        <v>180000</v>
      </c>
      <c r="DB598" s="2909" t="str">
        <f>IF($A598="","",IF($AE598&amp;""&lt;&gt;'DB_設定'!$C$4,"対象外",IF($AH598=20,IF(OR($AJ598=10,$AJ598=11,$AJ598=18),"①病院一般",IF($AJ598=41,"②病院短期","対象外")),IF($AH598=5,IF($AJ598=30,"③特定消防","対象外"),IF(OR($AJ598=10,$AJ598=11,$AJ598=74),"④一般",IF(OR($AJ598=41,$AJ598=47),"⑤短期","対象外"))))))</f>
        <v>対象外</v>
      </c>
    </row>
    <row r="599">
      <c r="A599" t="n" s="2909">
        <v>31</v>
      </c>
      <c r="AA599" t="n" s="2909">
        <v>21</v>
      </c>
      <c r="AB599" t="inlineStr" s="2909">
        <is>
          <t>20221001</t>
        </is>
      </c>
      <c r="AD599" t="n" s="2909">
        <v>12</v>
      </c>
      <c r="AE599" t="inlineStr" s="2909">
        <is>
          <t>20250401</t>
        </is>
      </c>
      <c r="AH599" t="n" s="2909">
        <v>11</v>
      </c>
      <c r="AJ599" t="n" s="2909">
        <v>41</v>
      </c>
      <c r="AP599" t="n" s="2909">
        <v>180000</v>
      </c>
      <c r="DB599" s="2909" t="str">
        <f>IF($A599="","",IF($AE599&amp;""&lt;&gt;'DB_設定'!$C$4,"対象外",IF($AH599=20,IF(OR($AJ599=10,$AJ599=11,$AJ599=18),"①病院一般",IF($AJ599=41,"②病院短期","対象外")),IF($AH599=5,IF($AJ599=30,"③特定消防","対象外"),IF(OR($AJ599=10,$AJ599=11,$AJ599=74),"④一般",IF(OR($AJ599=41,$AJ599=47),"⑤短期","対象外"))))))</f>
        <v>⑤短期</v>
      </c>
    </row>
    <row r="600">
      <c r="A600" t="n" s="2909">
        <v>31</v>
      </c>
      <c r="AA600" t="n" s="2909">
        <v>21</v>
      </c>
      <c r="AB600" t="inlineStr" s="2909">
        <is>
          <t>20230401</t>
        </is>
      </c>
      <c r="AD600" t="n" s="2909">
        <v>12</v>
      </c>
      <c r="AE600" t="inlineStr" s="2909">
        <is>
          <t>20250401</t>
        </is>
      </c>
      <c r="AH600" t="n" s="2909">
        <v>4</v>
      </c>
      <c r="AJ600" t="n" s="2909">
        <v>41</v>
      </c>
      <c r="AP600" t="n" s="2909">
        <v>190000</v>
      </c>
      <c r="DB600" s="2909" t="str">
        <f>IF($A600="","",IF($AE600&amp;""&lt;&gt;'DB_設定'!$C$4,"対象外",IF($AH600=20,IF(OR($AJ600=10,$AJ600=11,$AJ600=18),"①病院一般",IF($AJ600=41,"②病院短期","対象外")),IF($AH600=5,IF($AJ600=30,"③特定消防","対象外"),IF(OR($AJ600=10,$AJ600=11,$AJ600=74),"④一般",IF(OR($AJ600=41,$AJ600=47),"⑤短期","対象外"))))))</f>
        <v>⑤短期</v>
      </c>
    </row>
    <row r="601">
      <c r="A601" t="n" s="2909">
        <v>31</v>
      </c>
      <c r="AA601" t="n" s="2909">
        <v>21</v>
      </c>
      <c r="AB601" t="inlineStr" s="2909">
        <is>
          <t>20221001</t>
        </is>
      </c>
      <c r="AD601" t="n" s="2909">
        <v>12</v>
      </c>
      <c r="AE601" t="inlineStr" s="2909">
        <is>
          <t>20250401</t>
        </is>
      </c>
      <c r="AH601" t="n" s="2909">
        <v>4</v>
      </c>
      <c r="AJ601" t="n" s="2909">
        <v>41</v>
      </c>
      <c r="AP601" t="n" s="2909">
        <v>190000</v>
      </c>
      <c r="DB601" s="2909" t="str">
        <f>IF($A601="","",IF($AE601&amp;""&lt;&gt;'DB_設定'!$C$4,"対象外",IF($AH601=20,IF(OR($AJ601=10,$AJ601=11,$AJ601=18),"①病院一般",IF($AJ601=41,"②病院短期","対象外")),IF($AH601=5,IF($AJ601=30,"③特定消防","対象外"),IF(OR($AJ601=10,$AJ601=11,$AJ601=74),"④一般",IF(OR($AJ601=41,$AJ601=47),"⑤短期","対象外"))))))</f>
        <v>⑤短期</v>
      </c>
    </row>
    <row r="602">
      <c r="A602" t="n" s="2909">
        <v>31</v>
      </c>
      <c r="AA602" t="n" s="2909">
        <v>21</v>
      </c>
      <c r="AB602" t="inlineStr" s="2909">
        <is>
          <t>20221001</t>
        </is>
      </c>
      <c r="AD602" t="n" s="2909">
        <v>12</v>
      </c>
      <c r="AE602" t="inlineStr" s="2909">
        <is>
          <t>20250401</t>
        </is>
      </c>
      <c r="AH602" t="n" s="2909">
        <v>1</v>
      </c>
      <c r="AJ602" t="n" s="2909">
        <v>41</v>
      </c>
      <c r="AP602" t="n" s="2909">
        <v>190000</v>
      </c>
      <c r="DB602" s="2909" t="str">
        <f>IF($A602="","",IF($AE602&amp;""&lt;&gt;'DB_設定'!$C$4,"対象外",IF($AH602=20,IF(OR($AJ602=10,$AJ602=11,$AJ602=18),"①病院一般",IF($AJ602=41,"②病院短期","対象外")),IF($AH602=5,IF($AJ602=30,"③特定消防","対象外"),IF(OR($AJ602=10,$AJ602=11,$AJ602=74),"④一般",IF(OR($AJ602=41,$AJ602=47),"⑤短期","対象外"))))))</f>
        <v>⑤短期</v>
      </c>
    </row>
    <row r="603">
      <c r="A603" t="n" s="2909">
        <v>31</v>
      </c>
      <c r="AA603" t="n" s="2909">
        <v>21</v>
      </c>
      <c r="AB603" t="inlineStr" s="2909">
        <is>
          <t>20221001</t>
        </is>
      </c>
      <c r="AD603" t="n" s="2909">
        <v>12</v>
      </c>
      <c r="AE603" t="inlineStr" s="2909">
        <is>
          <t>20250401</t>
        </is>
      </c>
      <c r="AH603" t="n" s="2909">
        <v>1</v>
      </c>
      <c r="AJ603" t="n" s="2909">
        <v>41</v>
      </c>
      <c r="AP603" t="n" s="2909">
        <v>190000</v>
      </c>
      <c r="DB603" s="2909" t="str">
        <f>IF($A603="","",IF($AE603&amp;""&lt;&gt;'DB_設定'!$C$4,"対象外",IF($AH603=20,IF(OR($AJ603=10,$AJ603=11,$AJ603=18),"①病院一般",IF($AJ603=41,"②病院短期","対象外")),IF($AH603=5,IF($AJ603=30,"③特定消防","対象外"),IF(OR($AJ603=10,$AJ603=11,$AJ603=74),"④一般",IF(OR($AJ603=41,$AJ603=47),"⑤短期","対象外"))))))</f>
        <v>⑤短期</v>
      </c>
    </row>
    <row r="604">
      <c r="A604" t="n" s="2909">
        <v>31</v>
      </c>
      <c r="AA604" t="n" s="2909">
        <v>21</v>
      </c>
      <c r="AB604" t="inlineStr" s="2909">
        <is>
          <t>20230401</t>
        </is>
      </c>
      <c r="AD604" t="n" s="2909">
        <v>12</v>
      </c>
      <c r="AE604" t="inlineStr" s="2909">
        <is>
          <t>20250801</t>
        </is>
      </c>
      <c r="AH604" t="n" s="2909">
        <v>1</v>
      </c>
      <c r="AJ604" t="n" s="2909">
        <v>41</v>
      </c>
      <c r="AP604" t="n" s="2909">
        <v>200000</v>
      </c>
      <c r="DB604" s="2909" t="str">
        <f>IF($A604="","",IF($AE604&amp;""&lt;&gt;'DB_設定'!$C$4,"対象外",IF($AH604=20,IF(OR($AJ604=10,$AJ604=11,$AJ604=18),"①病院一般",IF($AJ604=41,"②病院短期","対象外")),IF($AH604=5,IF($AJ604=30,"③特定消防","対象外"),IF(OR($AJ604=10,$AJ604=11,$AJ604=74),"④一般",IF(OR($AJ604=41,$AJ604=47),"⑤短期","対象外"))))))</f>
        <v>対象外</v>
      </c>
    </row>
    <row r="605">
      <c r="A605" t="n" s="2909">
        <v>31</v>
      </c>
      <c r="AA605" t="n" s="2909">
        <v>21</v>
      </c>
      <c r="AB605" t="inlineStr" s="2909">
        <is>
          <t>20240401</t>
        </is>
      </c>
      <c r="AD605" t="n" s="2909">
        <v>12</v>
      </c>
      <c r="AE605" t="inlineStr" s="2909">
        <is>
          <t>20250401</t>
        </is>
      </c>
      <c r="AH605" t="n" s="2909">
        <v>1</v>
      </c>
      <c r="AJ605" t="n" s="2909">
        <v>41</v>
      </c>
      <c r="AP605" t="n" s="2909">
        <v>200000</v>
      </c>
      <c r="DB605" s="2909" t="str">
        <f>IF($A605="","",IF($AE605&amp;""&lt;&gt;'DB_設定'!$C$4,"対象外",IF($AH605=20,IF(OR($AJ605=10,$AJ605=11,$AJ605=18),"①病院一般",IF($AJ605=41,"②病院短期","対象外")),IF($AH605=5,IF($AJ605=30,"③特定消防","対象外"),IF(OR($AJ605=10,$AJ605=11,$AJ605=74),"④一般",IF(OR($AJ605=41,$AJ605=47),"⑤短期","対象外"))))))</f>
        <v>⑤短期</v>
      </c>
    </row>
    <row r="606">
      <c r="A606" t="n" s="2909">
        <v>31</v>
      </c>
      <c r="AA606" t="n" s="2909">
        <v>21</v>
      </c>
      <c r="AB606" t="inlineStr" s="2909">
        <is>
          <t>20221001</t>
        </is>
      </c>
      <c r="AD606" t="n" s="2909">
        <v>12</v>
      </c>
      <c r="AE606" t="inlineStr" s="2909">
        <is>
          <t>20250401</t>
        </is>
      </c>
      <c r="AH606" t="n" s="2909">
        <v>1</v>
      </c>
      <c r="AJ606" t="n" s="2909">
        <v>41</v>
      </c>
      <c r="AP606" t="n" s="2909">
        <v>190000</v>
      </c>
      <c r="DB606" s="2909" t="str">
        <f>IF($A606="","",IF($AE606&amp;""&lt;&gt;'DB_設定'!$C$4,"対象外",IF($AH606=20,IF(OR($AJ606=10,$AJ606=11,$AJ606=18),"①病院一般",IF($AJ606=41,"②病院短期","対象外")),IF($AH606=5,IF($AJ606=30,"③特定消防","対象外"),IF(OR($AJ606=10,$AJ606=11,$AJ606=74),"④一般",IF(OR($AJ606=41,$AJ606=47),"⑤短期","対象外"))))))</f>
        <v>⑤短期</v>
      </c>
    </row>
    <row r="607">
      <c r="A607" t="n" s="2909">
        <v>31</v>
      </c>
      <c r="AA607" t="n" s="2909">
        <v>21</v>
      </c>
      <c r="AB607" t="inlineStr" s="2909">
        <is>
          <t>20221001</t>
        </is>
      </c>
      <c r="AD607" t="n" s="2909">
        <v>12</v>
      </c>
      <c r="AE607" t="inlineStr" s="2909">
        <is>
          <t>20250401</t>
        </is>
      </c>
      <c r="AH607" t="n" s="2909">
        <v>1</v>
      </c>
      <c r="AJ607" t="n" s="2909">
        <v>41</v>
      </c>
      <c r="AP607" t="n" s="2909">
        <v>220000</v>
      </c>
      <c r="DB607" s="2909" t="str">
        <f>IF($A607="","",IF($AE607&amp;""&lt;&gt;'DB_設定'!$C$4,"対象外",IF($AH607=20,IF(OR($AJ607=10,$AJ607=11,$AJ607=18),"①病院一般",IF($AJ607=41,"②病院短期","対象外")),IF($AH607=5,IF($AJ607=30,"③特定消防","対象外"),IF(OR($AJ607=10,$AJ607=11,$AJ607=74),"④一般",IF(OR($AJ607=41,$AJ607=47),"⑤短期","対象外"))))))</f>
        <v>⑤短期</v>
      </c>
    </row>
    <row r="608">
      <c r="A608" t="n" s="2909">
        <v>31</v>
      </c>
      <c r="AA608" t="n" s="2909">
        <v>21</v>
      </c>
      <c r="AB608" t="inlineStr" s="2909">
        <is>
          <t>20221001</t>
        </is>
      </c>
      <c r="AD608" t="n" s="2909">
        <v>12</v>
      </c>
      <c r="AE608" t="inlineStr" s="2909">
        <is>
          <t>20250401</t>
        </is>
      </c>
      <c r="AH608" t="n" s="2909">
        <v>1</v>
      </c>
      <c r="AJ608" t="n" s="2909">
        <v>41</v>
      </c>
      <c r="AP608" t="n" s="2909">
        <v>200000</v>
      </c>
      <c r="DB608" s="2909" t="str">
        <f>IF($A608="","",IF($AE608&amp;""&lt;&gt;'DB_設定'!$C$4,"対象外",IF($AH608=20,IF(OR($AJ608=10,$AJ608=11,$AJ608=18),"①病院一般",IF($AJ608=41,"②病院短期","対象外")),IF($AH608=5,IF($AJ608=30,"③特定消防","対象外"),IF(OR($AJ608=10,$AJ608=11,$AJ608=74),"④一般",IF(OR($AJ608=41,$AJ608=47),"⑤短期","対象外"))))))</f>
        <v>⑤短期</v>
      </c>
    </row>
    <row r="609">
      <c r="A609" t="n" s="2909">
        <v>31</v>
      </c>
      <c r="AA609" t="n" s="2909">
        <v>21</v>
      </c>
      <c r="AB609" t="inlineStr" s="2909">
        <is>
          <t>20221001</t>
        </is>
      </c>
      <c r="AD609" t="n" s="2909">
        <v>12</v>
      </c>
      <c r="AE609" t="inlineStr" s="2909">
        <is>
          <t>20250401</t>
        </is>
      </c>
      <c r="AH609" t="n" s="2909">
        <v>1</v>
      </c>
      <c r="AJ609" t="n" s="2909">
        <v>41</v>
      </c>
      <c r="AP609" t="n" s="2909">
        <v>180000</v>
      </c>
      <c r="DB609" s="2909" t="str">
        <f>IF($A609="","",IF($AE609&amp;""&lt;&gt;'DB_設定'!$C$4,"対象外",IF($AH609=20,IF(OR($AJ609=10,$AJ609=11,$AJ609=18),"①病院一般",IF($AJ609=41,"②病院短期","対象外")),IF($AH609=5,IF($AJ609=30,"③特定消防","対象外"),IF(OR($AJ609=10,$AJ609=11,$AJ609=74),"④一般",IF(OR($AJ609=41,$AJ609=47),"⑤短期","対象外"))))))</f>
        <v>⑤短期</v>
      </c>
    </row>
    <row r="610">
      <c r="A610" t="n" s="2909">
        <v>31</v>
      </c>
      <c r="AA610" t="n" s="2909">
        <v>21</v>
      </c>
      <c r="AB610" t="inlineStr" s="2909">
        <is>
          <t>20221001</t>
        </is>
      </c>
      <c r="AD610" t="n" s="2909">
        <v>12</v>
      </c>
      <c r="AE610" t="inlineStr" s="2909">
        <is>
          <t>20250401</t>
        </is>
      </c>
      <c r="AH610" t="n" s="2909">
        <v>4</v>
      </c>
      <c r="AJ610" t="n" s="2909">
        <v>41</v>
      </c>
      <c r="AP610" t="n" s="2909">
        <v>260000</v>
      </c>
      <c r="DB610" s="2909" t="str">
        <f>IF($A610="","",IF($AE610&amp;""&lt;&gt;'DB_設定'!$C$4,"対象外",IF($AH610=20,IF(OR($AJ610=10,$AJ610=11,$AJ610=18),"①病院一般",IF($AJ610=41,"②病院短期","対象外")),IF($AH610=5,IF($AJ610=30,"③特定消防","対象外"),IF(OR($AJ610=10,$AJ610=11,$AJ610=74),"④一般",IF(OR($AJ610=41,$AJ610=47),"⑤短期","対象外"))))))</f>
        <v>⑤短期</v>
      </c>
    </row>
    <row r="611">
      <c r="A611" t="n" s="2909">
        <v>31</v>
      </c>
      <c r="AA611" t="n" s="2909">
        <v>21</v>
      </c>
      <c r="AB611" t="inlineStr" s="2909">
        <is>
          <t>20221001</t>
        </is>
      </c>
      <c r="AD611" t="n" s="2909">
        <v>12</v>
      </c>
      <c r="AE611" t="inlineStr" s="2909">
        <is>
          <t>20250401</t>
        </is>
      </c>
      <c r="AH611" t="n" s="2909">
        <v>4</v>
      </c>
      <c r="AJ611" t="n" s="2909">
        <v>41</v>
      </c>
      <c r="AP611" t="n" s="2909">
        <v>240000</v>
      </c>
      <c r="DB611" s="2909" t="str">
        <f>IF($A611="","",IF($AE611&amp;""&lt;&gt;'DB_設定'!$C$4,"対象外",IF($AH611=20,IF(OR($AJ611=10,$AJ611=11,$AJ611=18),"①病院一般",IF($AJ611=41,"②病院短期","対象外")),IF($AH611=5,IF($AJ611=30,"③特定消防","対象外"),IF(OR($AJ611=10,$AJ611=11,$AJ611=74),"④一般",IF(OR($AJ611=41,$AJ611=47),"⑤短期","対象外"))))))</f>
        <v>⑤短期</v>
      </c>
    </row>
    <row r="612">
      <c r="A612" t="n" s="2909">
        <v>31</v>
      </c>
      <c r="AA612" t="n" s="2909">
        <v>21</v>
      </c>
      <c r="AB612" t="inlineStr" s="2909">
        <is>
          <t>20221001</t>
        </is>
      </c>
      <c r="AD612" t="n" s="2909">
        <v>12</v>
      </c>
      <c r="AE612" t="inlineStr" s="2909">
        <is>
          <t>20250401</t>
        </is>
      </c>
      <c r="AH612" t="n" s="2909">
        <v>1</v>
      </c>
      <c r="AJ612" t="n" s="2909">
        <v>41</v>
      </c>
      <c r="AP612" t="n" s="2909">
        <v>190000</v>
      </c>
      <c r="DB612" s="2909" t="str">
        <f>IF($A612="","",IF($AE612&amp;""&lt;&gt;'DB_設定'!$C$4,"対象外",IF($AH612=20,IF(OR($AJ612=10,$AJ612=11,$AJ612=18),"①病院一般",IF($AJ612=41,"②病院短期","対象外")),IF($AH612=5,IF($AJ612=30,"③特定消防","対象外"),IF(OR($AJ612=10,$AJ612=11,$AJ612=74),"④一般",IF(OR($AJ612=41,$AJ612=47),"⑤短期","対象外"))))))</f>
        <v>⑤短期</v>
      </c>
    </row>
    <row r="613">
      <c r="A613" t="n" s="2909">
        <v>31</v>
      </c>
      <c r="AA613" t="n" s="2909">
        <v>21</v>
      </c>
      <c r="AB613" t="inlineStr" s="2909">
        <is>
          <t>20221001</t>
        </is>
      </c>
      <c r="AD613" t="n" s="2909">
        <v>12</v>
      </c>
      <c r="AE613" t="inlineStr" s="2909">
        <is>
          <t>20251001</t>
        </is>
      </c>
      <c r="AH613" t="n" s="2909">
        <v>3</v>
      </c>
      <c r="AJ613" t="n" s="2909">
        <v>41</v>
      </c>
      <c r="AP613" t="n" s="2909">
        <v>200000</v>
      </c>
      <c r="DB613" s="2909" t="str">
        <f>IF($A613="","",IF($AE613&amp;""&lt;&gt;'DB_設定'!$C$4,"対象外",IF($AH613=20,IF(OR($AJ613=10,$AJ613=11,$AJ613=18),"①病院一般",IF($AJ613=41,"②病院短期","対象外")),IF($AH613=5,IF($AJ613=30,"③特定消防","対象外"),IF(OR($AJ613=10,$AJ613=11,$AJ613=74),"④一般",IF(OR($AJ613=41,$AJ613=47),"⑤短期","対象外"))))))</f>
        <v>対象外</v>
      </c>
    </row>
    <row r="614">
      <c r="A614" t="n" s="2909">
        <v>31</v>
      </c>
      <c r="AA614" t="n" s="2909">
        <v>21</v>
      </c>
      <c r="AB614" t="inlineStr" s="2909">
        <is>
          <t>20221001</t>
        </is>
      </c>
      <c r="AD614" t="n" s="2909">
        <v>12</v>
      </c>
      <c r="AE614" t="inlineStr" s="2909">
        <is>
          <t>20250401</t>
        </is>
      </c>
      <c r="AH614" t="n" s="2909">
        <v>1</v>
      </c>
      <c r="AJ614" t="n" s="2909">
        <v>41</v>
      </c>
      <c r="AP614" t="n" s="2909">
        <v>190000</v>
      </c>
      <c r="DB614" s="2909" t="str">
        <f>IF($A614="","",IF($AE614&amp;""&lt;&gt;'DB_設定'!$C$4,"対象外",IF($AH614=20,IF(OR($AJ614=10,$AJ614=11,$AJ614=18),"①病院一般",IF($AJ614=41,"②病院短期","対象外")),IF($AH614=5,IF($AJ614=30,"③特定消防","対象外"),IF(OR($AJ614=10,$AJ614=11,$AJ614=74),"④一般",IF(OR($AJ614=41,$AJ614=47),"⑤短期","対象外"))))))</f>
        <v>⑤短期</v>
      </c>
    </row>
    <row r="615">
      <c r="A615" t="n" s="2909">
        <v>31</v>
      </c>
      <c r="AA615" t="n" s="2909">
        <v>21</v>
      </c>
      <c r="AB615" t="inlineStr" s="2909">
        <is>
          <t>20221001</t>
        </is>
      </c>
      <c r="AD615" t="n" s="2909">
        <v>12</v>
      </c>
      <c r="AE615" t="inlineStr" s="2909">
        <is>
          <t>20250401</t>
        </is>
      </c>
      <c r="AH615" t="n" s="2909">
        <v>1</v>
      </c>
      <c r="AJ615" t="n" s="2909">
        <v>41</v>
      </c>
      <c r="AP615" t="n" s="2909">
        <v>200000</v>
      </c>
      <c r="DB615" s="2909" t="str">
        <f>IF($A615="","",IF($AE615&amp;""&lt;&gt;'DB_設定'!$C$4,"対象外",IF($AH615=20,IF(OR($AJ615=10,$AJ615=11,$AJ615=18),"①病院一般",IF($AJ615=41,"②病院短期","対象外")),IF($AH615=5,IF($AJ615=30,"③特定消防","対象外"),IF(OR($AJ615=10,$AJ615=11,$AJ615=74),"④一般",IF(OR($AJ615=41,$AJ615=47),"⑤短期","対象外"))))))</f>
        <v>⑤短期</v>
      </c>
    </row>
    <row r="616">
      <c r="A616" t="n" s="2909">
        <v>31</v>
      </c>
      <c r="AA616" t="n" s="2909">
        <v>21</v>
      </c>
      <c r="AB616" t="inlineStr" s="2909">
        <is>
          <t>20221001</t>
        </is>
      </c>
      <c r="AD616" t="n" s="2909">
        <v>12</v>
      </c>
      <c r="AE616" t="inlineStr" s="2909">
        <is>
          <t>20250401</t>
        </is>
      </c>
      <c r="AH616" t="n" s="2909">
        <v>1</v>
      </c>
      <c r="AJ616" t="n" s="2909">
        <v>41</v>
      </c>
      <c r="AP616" t="n" s="2909">
        <v>190000</v>
      </c>
      <c r="DB616" s="2909" t="str">
        <f>IF($A616="","",IF($AE616&amp;""&lt;&gt;'DB_設定'!$C$4,"対象外",IF($AH616=20,IF(OR($AJ616=10,$AJ616=11,$AJ616=18),"①病院一般",IF($AJ616=41,"②病院短期","対象外")),IF($AH616=5,IF($AJ616=30,"③特定消防","対象外"),IF(OR($AJ616=10,$AJ616=11,$AJ616=74),"④一般",IF(OR($AJ616=41,$AJ616=47),"⑤短期","対象外"))))))</f>
        <v>⑤短期</v>
      </c>
    </row>
    <row r="617">
      <c r="A617" t="n" s="2909">
        <v>31</v>
      </c>
      <c r="AA617" t="n" s="2909">
        <v>21</v>
      </c>
      <c r="AB617" t="inlineStr" s="2909">
        <is>
          <t>20221001</t>
        </is>
      </c>
      <c r="AD617" t="n" s="2909">
        <v>12</v>
      </c>
      <c r="AE617" t="inlineStr" s="2909">
        <is>
          <t>20250401</t>
        </is>
      </c>
      <c r="AH617" t="n" s="2909">
        <v>3</v>
      </c>
      <c r="AJ617" t="n" s="2909">
        <v>41</v>
      </c>
      <c r="AP617" t="n" s="2909">
        <v>190000</v>
      </c>
      <c r="DB617" s="2909" t="str">
        <f>IF($A617="","",IF($AE617&amp;""&lt;&gt;'DB_設定'!$C$4,"対象外",IF($AH617=20,IF(OR($AJ617=10,$AJ617=11,$AJ617=18),"①病院一般",IF($AJ617=41,"②病院短期","対象外")),IF($AH617=5,IF($AJ617=30,"③特定消防","対象外"),IF(OR($AJ617=10,$AJ617=11,$AJ617=74),"④一般",IF(OR($AJ617=41,$AJ617=47),"⑤短期","対象外"))))))</f>
        <v>⑤短期</v>
      </c>
    </row>
    <row r="618">
      <c r="A618" t="n" s="2909">
        <v>31</v>
      </c>
      <c r="AA618" t="n" s="2909">
        <v>21</v>
      </c>
      <c r="AB618" t="inlineStr" s="2909">
        <is>
          <t>20221001</t>
        </is>
      </c>
      <c r="AD618" t="n" s="2909">
        <v>12</v>
      </c>
      <c r="AE618" t="inlineStr" s="2909">
        <is>
          <t>20250401</t>
        </is>
      </c>
      <c r="AH618" t="n" s="2909">
        <v>1</v>
      </c>
      <c r="AJ618" t="n" s="2909">
        <v>41</v>
      </c>
      <c r="AP618" t="n" s="2909">
        <v>180000</v>
      </c>
      <c r="DB618" s="2909" t="str">
        <f>IF($A618="","",IF($AE618&amp;""&lt;&gt;'DB_設定'!$C$4,"対象外",IF($AH618=20,IF(OR($AJ618=10,$AJ618=11,$AJ618=18),"①病院一般",IF($AJ618=41,"②病院短期","対象外")),IF($AH618=5,IF($AJ618=30,"③特定消防","対象外"),IF(OR($AJ618=10,$AJ618=11,$AJ618=74),"④一般",IF(OR($AJ618=41,$AJ618=47),"⑤短期","対象外"))))))</f>
        <v>⑤短期</v>
      </c>
    </row>
    <row r="619">
      <c r="A619" t="n" s="2909">
        <v>31</v>
      </c>
      <c r="AA619" t="n" s="2909">
        <v>21</v>
      </c>
      <c r="AB619" t="inlineStr" s="2909">
        <is>
          <t>20221001</t>
        </is>
      </c>
      <c r="AD619" t="n" s="2909">
        <v>12</v>
      </c>
      <c r="AE619" t="inlineStr" s="2909">
        <is>
          <t>20250908</t>
        </is>
      </c>
      <c r="AH619" t="n" s="2909">
        <v>1</v>
      </c>
      <c r="AJ619" t="n" s="2909">
        <v>41</v>
      </c>
      <c r="AP619" t="n" s="2909">
        <v>200000</v>
      </c>
      <c r="DB619" s="2909" t="str">
        <f>IF($A619="","",IF($AE619&amp;""&lt;&gt;'DB_設定'!$C$4,"対象外",IF($AH619=20,IF(OR($AJ619=10,$AJ619=11,$AJ619=18),"①病院一般",IF($AJ619=41,"②病院短期","対象外")),IF($AH619=5,IF($AJ619=30,"③特定消防","対象外"),IF(OR($AJ619=10,$AJ619=11,$AJ619=74),"④一般",IF(OR($AJ619=41,$AJ619=47),"⑤短期","対象外"))))))</f>
        <v>対象外</v>
      </c>
    </row>
    <row r="620">
      <c r="A620" t="n" s="2909">
        <v>31</v>
      </c>
      <c r="AA620" t="n" s="2909">
        <v>24</v>
      </c>
      <c r="AB620" t="inlineStr" s="2909">
        <is>
          <t>20250623</t>
        </is>
      </c>
      <c r="AD620" t="n" s="2909">
        <v>12</v>
      </c>
      <c r="AE620" t="inlineStr" s="2909">
        <is>
          <t>20250901</t>
        </is>
      </c>
      <c r="AH620" t="n" s="2909">
        <v>1</v>
      </c>
      <c r="AJ620" t="n" s="2909">
        <v>41</v>
      </c>
      <c r="AP620" t="n" s="2909">
        <v>150000</v>
      </c>
      <c r="DB620" s="2909" t="str">
        <f>IF($A620="","",IF($AE620&amp;""&lt;&gt;'DB_設定'!$C$4,"対象外",IF($AH620=20,IF(OR($AJ620=10,$AJ620=11,$AJ620=18),"①病院一般",IF($AJ620=41,"②病院短期","対象外")),IF($AH620=5,IF($AJ620=30,"③特定消防","対象外"),IF(OR($AJ620=10,$AJ620=11,$AJ620=74),"④一般",IF(OR($AJ620=41,$AJ620=47),"⑤短期","対象外"))))))</f>
        <v>対象外</v>
      </c>
    </row>
    <row r="621">
      <c r="A621" t="n" s="2909">
        <v>31</v>
      </c>
      <c r="AA621" t="n" s="2909">
        <v>21</v>
      </c>
      <c r="AB621" t="inlineStr" s="2909">
        <is>
          <t>20221001</t>
        </is>
      </c>
      <c r="AD621" t="n" s="2909">
        <v>12</v>
      </c>
      <c r="AE621" t="inlineStr" s="2909">
        <is>
          <t>20250401</t>
        </is>
      </c>
      <c r="AH621" t="n" s="2909">
        <v>1</v>
      </c>
      <c r="AJ621" t="n" s="2909">
        <v>41</v>
      </c>
      <c r="AP621" t="n" s="2909">
        <v>180000</v>
      </c>
      <c r="DB621" s="2909" t="str">
        <f>IF($A621="","",IF($AE621&amp;""&lt;&gt;'DB_設定'!$C$4,"対象外",IF($AH621=20,IF(OR($AJ621=10,$AJ621=11,$AJ621=18),"①病院一般",IF($AJ621=41,"②病院短期","対象外")),IF($AH621=5,IF($AJ621=30,"③特定消防","対象外"),IF(OR($AJ621=10,$AJ621=11,$AJ621=74),"④一般",IF(OR($AJ621=41,$AJ621=47),"⑤短期","対象外"))))))</f>
        <v>⑤短期</v>
      </c>
    </row>
    <row r="622">
      <c r="A622" t="n" s="2909">
        <v>31</v>
      </c>
      <c r="AA622" t="n" s="2909">
        <v>21</v>
      </c>
      <c r="AB622" t="inlineStr" s="2909">
        <is>
          <t>20221001</t>
        </is>
      </c>
      <c r="AD622" t="n" s="2909">
        <v>12</v>
      </c>
      <c r="AE622" t="inlineStr" s="2909">
        <is>
          <t>20250401</t>
        </is>
      </c>
      <c r="AH622" t="n" s="2909">
        <v>11</v>
      </c>
      <c r="AJ622" t="n" s="2909">
        <v>41</v>
      </c>
      <c r="AP622" t="n" s="2909">
        <v>180000</v>
      </c>
      <c r="DB622" s="2909" t="str">
        <f>IF($A622="","",IF($AE622&amp;""&lt;&gt;'DB_設定'!$C$4,"対象外",IF($AH622=20,IF(OR($AJ622=10,$AJ622=11,$AJ622=18),"①病院一般",IF($AJ622=41,"②病院短期","対象外")),IF($AH622=5,IF($AJ622=30,"③特定消防","対象外"),IF(OR($AJ622=10,$AJ622=11,$AJ622=74),"④一般",IF(OR($AJ622=41,$AJ622=47),"⑤短期","対象外"))))))</f>
        <v>⑤短期</v>
      </c>
    </row>
    <row r="623">
      <c r="A623" t="n" s="2909">
        <v>31</v>
      </c>
      <c r="AA623" t="n" s="2909">
        <v>21</v>
      </c>
      <c r="AB623" t="inlineStr" s="2909">
        <is>
          <t>20221001</t>
        </is>
      </c>
      <c r="AD623" t="n" s="2909">
        <v>12</v>
      </c>
      <c r="AE623" t="inlineStr" s="2909">
        <is>
          <t>20250401</t>
        </is>
      </c>
      <c r="AH623" t="n" s="2909">
        <v>4</v>
      </c>
      <c r="AJ623" t="n" s="2909">
        <v>41</v>
      </c>
      <c r="AP623" t="n" s="2909">
        <v>200000</v>
      </c>
      <c r="DB623" s="2909" t="str">
        <f>IF($A623="","",IF($AE623&amp;""&lt;&gt;'DB_設定'!$C$4,"対象外",IF($AH623=20,IF(OR($AJ623=10,$AJ623=11,$AJ623=18),"①病院一般",IF($AJ623=41,"②病院短期","対象外")),IF($AH623=5,IF($AJ623=30,"③特定消防","対象外"),IF(OR($AJ623=10,$AJ623=11,$AJ623=74),"④一般",IF(OR($AJ623=41,$AJ623=47),"⑤短期","対象外"))))))</f>
        <v>⑤短期</v>
      </c>
    </row>
    <row r="624">
      <c r="A624" t="n" s="2909">
        <v>31</v>
      </c>
      <c r="AA624" t="n" s="2909">
        <v>21</v>
      </c>
      <c r="AB624" t="inlineStr" s="2909">
        <is>
          <t>20221001</t>
        </is>
      </c>
      <c r="AD624" t="n" s="2909">
        <v>12</v>
      </c>
      <c r="AE624" t="inlineStr" s="2909">
        <is>
          <t>20250401</t>
        </is>
      </c>
      <c r="AH624" t="n" s="2909">
        <v>1</v>
      </c>
      <c r="AJ624" t="n" s="2909">
        <v>41</v>
      </c>
      <c r="AP624" t="n" s="2909">
        <v>180000</v>
      </c>
      <c r="DB624" s="2909" t="str">
        <f>IF($A624="","",IF($AE624&amp;""&lt;&gt;'DB_設定'!$C$4,"対象外",IF($AH624=20,IF(OR($AJ624=10,$AJ624=11,$AJ624=18),"①病院一般",IF($AJ624=41,"②病院短期","対象外")),IF($AH624=5,IF($AJ624=30,"③特定消防","対象外"),IF(OR($AJ624=10,$AJ624=11,$AJ624=74),"④一般",IF(OR($AJ624=41,$AJ624=47),"⑤短期","対象外"))))))</f>
        <v>⑤短期</v>
      </c>
    </row>
    <row r="625">
      <c r="A625" t="n" s="2909">
        <v>31</v>
      </c>
      <c r="AA625" t="n" s="2909">
        <v>21</v>
      </c>
      <c r="AB625" t="inlineStr" s="2909">
        <is>
          <t>20240401</t>
        </is>
      </c>
      <c r="AD625" t="n" s="2909">
        <v>12</v>
      </c>
      <c r="AE625" t="inlineStr" s="2909">
        <is>
          <t>20250401</t>
        </is>
      </c>
      <c r="AH625" t="n" s="2909">
        <v>20</v>
      </c>
      <c r="AJ625" t="n" s="2909">
        <v>41</v>
      </c>
      <c r="AP625" t="n" s="2909">
        <v>240000</v>
      </c>
      <c r="DB625" s="2909" t="str">
        <f>IF($A625="","",IF($AE625&amp;""&lt;&gt;'DB_設定'!$C$4,"対象外",IF($AH625=20,IF(OR($AJ625=10,$AJ625=11,$AJ625=18),"①病院一般",IF($AJ625=41,"②病院短期","対象外")),IF($AH625=5,IF($AJ625=30,"③特定消防","対象外"),IF(OR($AJ625=10,$AJ625=11,$AJ625=74),"④一般",IF(OR($AJ625=41,$AJ625=47),"⑤短期","対象外"))))))</f>
        <v>②病院短期</v>
      </c>
    </row>
    <row r="626">
      <c r="A626" t="n" s="2909">
        <v>31</v>
      </c>
      <c r="AA626" t="n" s="2909">
        <v>21</v>
      </c>
      <c r="AB626" t="inlineStr" s="2909">
        <is>
          <t>20221001</t>
        </is>
      </c>
      <c r="AD626" t="n" s="2909">
        <v>12</v>
      </c>
      <c r="AE626" t="inlineStr" s="2909">
        <is>
          <t>20250401</t>
        </is>
      </c>
      <c r="AH626" t="n" s="2909">
        <v>20</v>
      </c>
      <c r="AJ626" t="n" s="2909">
        <v>41</v>
      </c>
      <c r="AP626" t="n" s="2909">
        <v>260000</v>
      </c>
      <c r="DB626" s="2909" t="str">
        <f>IF($A626="","",IF($AE626&amp;""&lt;&gt;'DB_設定'!$C$4,"対象外",IF($AH626=20,IF(OR($AJ626=10,$AJ626=11,$AJ626=18),"①病院一般",IF($AJ626=41,"②病院短期","対象外")),IF($AH626=5,IF($AJ626=30,"③特定消防","対象外"),IF(OR($AJ626=10,$AJ626=11,$AJ626=74),"④一般",IF(OR($AJ626=41,$AJ626=47),"⑤短期","対象外"))))))</f>
        <v>②病院短期</v>
      </c>
    </row>
    <row r="627">
      <c r="A627" t="n" s="2909">
        <v>31</v>
      </c>
      <c r="AA627" t="n" s="2909">
        <v>21</v>
      </c>
      <c r="AB627" t="inlineStr" s="2909">
        <is>
          <t>20221001</t>
        </is>
      </c>
      <c r="AD627" t="n" s="2909">
        <v>12</v>
      </c>
      <c r="AE627" t="inlineStr" s="2909">
        <is>
          <t>20250401</t>
        </is>
      </c>
      <c r="AH627" t="n" s="2909">
        <v>20</v>
      </c>
      <c r="AJ627" t="n" s="2909">
        <v>41</v>
      </c>
      <c r="AP627" t="n" s="2909">
        <v>260000</v>
      </c>
      <c r="DB627" s="2909" t="str">
        <f>IF($A627="","",IF($AE627&amp;""&lt;&gt;'DB_設定'!$C$4,"対象外",IF($AH627=20,IF(OR($AJ627=10,$AJ627=11,$AJ627=18),"①病院一般",IF($AJ627=41,"②病院短期","対象外")),IF($AH627=5,IF($AJ627=30,"③特定消防","対象外"),IF(OR($AJ627=10,$AJ627=11,$AJ627=74),"④一般",IF(OR($AJ627=41,$AJ627=47),"⑤短期","対象外"))))))</f>
        <v>②病院短期</v>
      </c>
    </row>
    <row r="628">
      <c r="A628" t="n" s="2909">
        <v>31</v>
      </c>
      <c r="AA628" t="n" s="2909">
        <v>21</v>
      </c>
      <c r="AB628" t="inlineStr" s="2909">
        <is>
          <t>20221001</t>
        </is>
      </c>
      <c r="AD628" t="n" s="2909">
        <v>12</v>
      </c>
      <c r="AE628" t="inlineStr" s="2909">
        <is>
          <t>20250401</t>
        </is>
      </c>
      <c r="AH628" t="n" s="2909">
        <v>1</v>
      </c>
      <c r="AJ628" t="n" s="2909">
        <v>41</v>
      </c>
      <c r="AP628" t="n" s="2909">
        <v>190000</v>
      </c>
      <c r="DB628" s="2909" t="str">
        <f>IF($A628="","",IF($AE628&amp;""&lt;&gt;'DB_設定'!$C$4,"対象外",IF($AH628=20,IF(OR($AJ628=10,$AJ628=11,$AJ628=18),"①病院一般",IF($AJ628=41,"②病院短期","対象外")),IF($AH628=5,IF($AJ628=30,"③特定消防","対象外"),IF(OR($AJ628=10,$AJ628=11,$AJ628=74),"④一般",IF(OR($AJ628=41,$AJ628=47),"⑤短期","対象外"))))))</f>
        <v>⑤短期</v>
      </c>
    </row>
    <row r="629">
      <c r="A629" t="n" s="2909">
        <v>31</v>
      </c>
      <c r="AA629" t="n" s="2909">
        <v>21</v>
      </c>
      <c r="AB629" t="inlineStr" s="2909">
        <is>
          <t>20221001</t>
        </is>
      </c>
      <c r="AD629" t="n" s="2909">
        <v>12</v>
      </c>
      <c r="AE629" t="inlineStr" s="2909">
        <is>
          <t>20250401</t>
        </is>
      </c>
      <c r="AH629" t="n" s="2909">
        <v>1</v>
      </c>
      <c r="AJ629" t="n" s="2909">
        <v>41</v>
      </c>
      <c r="AP629" t="n" s="2909">
        <v>190000</v>
      </c>
      <c r="DB629" s="2909" t="str">
        <f>IF($A629="","",IF($AE629&amp;""&lt;&gt;'DB_設定'!$C$4,"対象外",IF($AH629=20,IF(OR($AJ629=10,$AJ629=11,$AJ629=18),"①病院一般",IF($AJ629=41,"②病院短期","対象外")),IF($AH629=5,IF($AJ629=30,"③特定消防","対象外"),IF(OR($AJ629=10,$AJ629=11,$AJ629=74),"④一般",IF(OR($AJ629=41,$AJ629=47),"⑤短期","対象外"))))))</f>
        <v>⑤短期</v>
      </c>
    </row>
    <row r="630">
      <c r="A630" t="n" s="2909">
        <v>31</v>
      </c>
      <c r="AA630" t="n" s="2909">
        <v>21</v>
      </c>
      <c r="AB630" t="inlineStr" s="2909">
        <is>
          <t>20221001</t>
        </is>
      </c>
      <c r="AD630" t="n" s="2909">
        <v>12</v>
      </c>
      <c r="AE630" t="inlineStr" s="2909">
        <is>
          <t>20250401</t>
        </is>
      </c>
      <c r="AH630" t="n" s="2909">
        <v>1</v>
      </c>
      <c r="AJ630" t="n" s="2909">
        <v>41</v>
      </c>
      <c r="AP630" t="n" s="2909">
        <v>200000</v>
      </c>
      <c r="DB630" s="2909" t="str">
        <f>IF($A630="","",IF($AE630&amp;""&lt;&gt;'DB_設定'!$C$4,"対象外",IF($AH630=20,IF(OR($AJ630=10,$AJ630=11,$AJ630=18),"①病院一般",IF($AJ630=41,"②病院短期","対象外")),IF($AH630=5,IF($AJ630=30,"③特定消防","対象外"),IF(OR($AJ630=10,$AJ630=11,$AJ630=74),"④一般",IF(OR($AJ630=41,$AJ630=47),"⑤短期","対象外"))))))</f>
        <v>⑤短期</v>
      </c>
    </row>
    <row r="631">
      <c r="A631" t="n" s="2909">
        <v>31</v>
      </c>
      <c r="AA631" t="n" s="2909">
        <v>21</v>
      </c>
      <c r="AB631" t="inlineStr" s="2909">
        <is>
          <t>20230401</t>
        </is>
      </c>
      <c r="AD631" t="n" s="2909">
        <v>12</v>
      </c>
      <c r="AE631" t="inlineStr" s="2909">
        <is>
          <t>20250401</t>
        </is>
      </c>
      <c r="AH631" t="n" s="2909">
        <v>1</v>
      </c>
      <c r="AJ631" t="n" s="2909">
        <v>41</v>
      </c>
      <c r="AP631" t="n" s="2909">
        <v>180000</v>
      </c>
      <c r="DB631" s="2909" t="str">
        <f>IF($A631="","",IF($AE631&amp;""&lt;&gt;'DB_設定'!$C$4,"対象外",IF($AH631=20,IF(OR($AJ631=10,$AJ631=11,$AJ631=18),"①病院一般",IF($AJ631=41,"②病院短期","対象外")),IF($AH631=5,IF($AJ631=30,"③特定消防","対象外"),IF(OR($AJ631=10,$AJ631=11,$AJ631=74),"④一般",IF(OR($AJ631=41,$AJ631=47),"⑤短期","対象外"))))))</f>
        <v>⑤短期</v>
      </c>
    </row>
    <row r="632">
      <c r="A632" t="n" s="2909">
        <v>31</v>
      </c>
      <c r="AA632" t="n" s="2909">
        <v>21</v>
      </c>
      <c r="AB632" t="inlineStr" s="2909">
        <is>
          <t>20221001</t>
        </is>
      </c>
      <c r="AD632" t="n" s="2909">
        <v>12</v>
      </c>
      <c r="AE632" t="inlineStr" s="2909">
        <is>
          <t>20250401</t>
        </is>
      </c>
      <c r="AH632" t="n" s="2909">
        <v>1</v>
      </c>
      <c r="AJ632" t="n" s="2909">
        <v>41</v>
      </c>
      <c r="AP632" t="n" s="2909">
        <v>180000</v>
      </c>
      <c r="DB632" s="2909" t="str">
        <f>IF($A632="","",IF($AE632&amp;""&lt;&gt;'DB_設定'!$C$4,"対象外",IF($AH632=20,IF(OR($AJ632=10,$AJ632=11,$AJ632=18),"①病院一般",IF($AJ632=41,"②病院短期","対象外")),IF($AH632=5,IF($AJ632=30,"③特定消防","対象外"),IF(OR($AJ632=10,$AJ632=11,$AJ632=74),"④一般",IF(OR($AJ632=41,$AJ632=47),"⑤短期","対象外"))))))</f>
        <v>⑤短期</v>
      </c>
    </row>
    <row r="633">
      <c r="A633" t="n" s="2909">
        <v>31</v>
      </c>
      <c r="AA633" t="n" s="2909">
        <v>21</v>
      </c>
      <c r="AB633" t="inlineStr" s="2909">
        <is>
          <t>20221001</t>
        </is>
      </c>
      <c r="AD633" t="n" s="2909">
        <v>12</v>
      </c>
      <c r="AE633" t="inlineStr" s="2909">
        <is>
          <t>20250401</t>
        </is>
      </c>
      <c r="AH633" t="n" s="2909">
        <v>1</v>
      </c>
      <c r="AJ633" t="n" s="2909">
        <v>41</v>
      </c>
      <c r="AP633" t="n" s="2909">
        <v>180000</v>
      </c>
      <c r="DB633" s="2909" t="str">
        <f>IF($A633="","",IF($AE633&amp;""&lt;&gt;'DB_設定'!$C$4,"対象外",IF($AH633=20,IF(OR($AJ633=10,$AJ633=11,$AJ633=18),"①病院一般",IF($AJ633=41,"②病院短期","対象外")),IF($AH633=5,IF($AJ633=30,"③特定消防","対象外"),IF(OR($AJ633=10,$AJ633=11,$AJ633=74),"④一般",IF(OR($AJ633=41,$AJ633=47),"⑤短期","対象外"))))))</f>
        <v>⑤短期</v>
      </c>
    </row>
    <row r="634">
      <c r="A634" t="n" s="2909">
        <v>31</v>
      </c>
      <c r="AA634" t="n" s="2909">
        <v>21</v>
      </c>
      <c r="AB634" t="inlineStr" s="2909">
        <is>
          <t>20221001</t>
        </is>
      </c>
      <c r="AD634" t="n" s="2909">
        <v>12</v>
      </c>
      <c r="AE634" t="inlineStr" s="2909">
        <is>
          <t>20250401</t>
        </is>
      </c>
      <c r="AH634" t="n" s="2909">
        <v>1</v>
      </c>
      <c r="AJ634" t="n" s="2909">
        <v>41</v>
      </c>
      <c r="AP634" t="n" s="2909">
        <v>180000</v>
      </c>
      <c r="DB634" s="2909" t="str">
        <f>IF($A634="","",IF($AE634&amp;""&lt;&gt;'DB_設定'!$C$4,"対象外",IF($AH634=20,IF(OR($AJ634=10,$AJ634=11,$AJ634=18),"①病院一般",IF($AJ634=41,"②病院短期","対象外")),IF($AH634=5,IF($AJ634=30,"③特定消防","対象外"),IF(OR($AJ634=10,$AJ634=11,$AJ634=74),"④一般",IF(OR($AJ634=41,$AJ634=47),"⑤短期","対象外"))))))</f>
        <v>⑤短期</v>
      </c>
    </row>
    <row r="635">
      <c r="A635" t="n" s="2909">
        <v>31</v>
      </c>
      <c r="AA635" t="n" s="2909">
        <v>21</v>
      </c>
      <c r="AB635" t="inlineStr" s="2909">
        <is>
          <t>20221001</t>
        </is>
      </c>
      <c r="AD635" t="n" s="2909">
        <v>12</v>
      </c>
      <c r="AE635" t="inlineStr" s="2909">
        <is>
          <t>20250401</t>
        </is>
      </c>
      <c r="AH635" t="n" s="2909">
        <v>1</v>
      </c>
      <c r="AJ635" t="n" s="2909">
        <v>41</v>
      </c>
      <c r="AP635" t="n" s="2909">
        <v>190000</v>
      </c>
      <c r="DB635" s="2909" t="str">
        <f>IF($A635="","",IF($AE635&amp;""&lt;&gt;'DB_設定'!$C$4,"対象外",IF($AH635=20,IF(OR($AJ635=10,$AJ635=11,$AJ635=18),"①病院一般",IF($AJ635=41,"②病院短期","対象外")),IF($AH635=5,IF($AJ635=30,"③特定消防","対象外"),IF(OR($AJ635=10,$AJ635=11,$AJ635=74),"④一般",IF(OR($AJ635=41,$AJ635=47),"⑤短期","対象外"))))))</f>
        <v>⑤短期</v>
      </c>
    </row>
    <row r="636">
      <c r="A636" t="n" s="2909">
        <v>31</v>
      </c>
      <c r="AA636" t="n" s="2909">
        <v>21</v>
      </c>
      <c r="AB636" t="inlineStr" s="2909">
        <is>
          <t>20221001</t>
        </is>
      </c>
      <c r="AD636" t="n" s="2909">
        <v>12</v>
      </c>
      <c r="AE636" t="inlineStr" s="2909">
        <is>
          <t>20250401</t>
        </is>
      </c>
      <c r="AH636" t="n" s="2909">
        <v>1</v>
      </c>
      <c r="AJ636" t="n" s="2909">
        <v>41</v>
      </c>
      <c r="AP636" t="n" s="2909">
        <v>220000</v>
      </c>
      <c r="DB636" s="2909" t="str">
        <f>IF($A636="","",IF($AE636&amp;""&lt;&gt;'DB_設定'!$C$4,"対象外",IF($AH636=20,IF(OR($AJ636=10,$AJ636=11,$AJ636=18),"①病院一般",IF($AJ636=41,"②病院短期","対象外")),IF($AH636=5,IF($AJ636=30,"③特定消防","対象外"),IF(OR($AJ636=10,$AJ636=11,$AJ636=74),"④一般",IF(OR($AJ636=41,$AJ636=47),"⑤短期","対象外"))))))</f>
        <v>⑤短期</v>
      </c>
    </row>
    <row r="637">
      <c r="A637" t="n" s="2909">
        <v>31</v>
      </c>
      <c r="AA637" t="n" s="2909">
        <v>21</v>
      </c>
      <c r="AB637" t="inlineStr" s="2909">
        <is>
          <t>20221001</t>
        </is>
      </c>
      <c r="AD637" t="n" s="2909">
        <v>12</v>
      </c>
      <c r="AE637" t="inlineStr" s="2909">
        <is>
          <t>20250401</t>
        </is>
      </c>
      <c r="AH637" t="n" s="2909">
        <v>1</v>
      </c>
      <c r="AJ637" t="n" s="2909">
        <v>41</v>
      </c>
      <c r="AP637" t="n" s="2909">
        <v>220000</v>
      </c>
      <c r="DB637" s="2909" t="str">
        <f>IF($A637="","",IF($AE637&amp;""&lt;&gt;'DB_設定'!$C$4,"対象外",IF($AH637=20,IF(OR($AJ637=10,$AJ637=11,$AJ637=18),"①病院一般",IF($AJ637=41,"②病院短期","対象外")),IF($AH637=5,IF($AJ637=30,"③特定消防","対象外"),IF(OR($AJ637=10,$AJ637=11,$AJ637=74),"④一般",IF(OR($AJ637=41,$AJ637=47),"⑤短期","対象外"))))))</f>
        <v>⑤短期</v>
      </c>
    </row>
    <row r="638">
      <c r="A638" t="n" s="2909">
        <v>31</v>
      </c>
      <c r="AA638" t="n" s="2909">
        <v>21</v>
      </c>
      <c r="AB638" t="inlineStr" s="2909">
        <is>
          <t>20221001</t>
        </is>
      </c>
      <c r="AD638" t="n" s="2909">
        <v>12</v>
      </c>
      <c r="AE638" t="inlineStr" s="2909">
        <is>
          <t>20250401</t>
        </is>
      </c>
      <c r="AH638" t="n" s="2909">
        <v>1</v>
      </c>
      <c r="AJ638" t="n" s="2909">
        <v>41</v>
      </c>
      <c r="AP638" t="n" s="2909">
        <v>190000</v>
      </c>
      <c r="DB638" s="2909" t="str">
        <f>IF($A638="","",IF($AE638&amp;""&lt;&gt;'DB_設定'!$C$4,"対象外",IF($AH638=20,IF(OR($AJ638=10,$AJ638=11,$AJ638=18),"①病院一般",IF($AJ638=41,"②病院短期","対象外")),IF($AH638=5,IF($AJ638=30,"③特定消防","対象外"),IF(OR($AJ638=10,$AJ638=11,$AJ638=74),"④一般",IF(OR($AJ638=41,$AJ638=47),"⑤短期","対象外"))))))</f>
        <v>⑤短期</v>
      </c>
    </row>
    <row r="639">
      <c r="A639" t="n" s="2909">
        <v>31</v>
      </c>
      <c r="AA639" t="n" s="2909">
        <v>21</v>
      </c>
      <c r="AB639" t="inlineStr" s="2909">
        <is>
          <t>20230401</t>
        </is>
      </c>
      <c r="AD639" t="n" s="2909">
        <v>12</v>
      </c>
      <c r="AE639" t="inlineStr" s="2909">
        <is>
          <t>20250401</t>
        </is>
      </c>
      <c r="AH639" t="n" s="2909">
        <v>5</v>
      </c>
      <c r="AJ639" t="n" s="2909">
        <v>41</v>
      </c>
      <c r="AP639" t="n" s="2909">
        <v>180000</v>
      </c>
      <c r="DB639" s="2909" t="str">
        <f>IF($A639="","",IF($AE639&amp;""&lt;&gt;'DB_設定'!$C$4,"対象外",IF($AH639=20,IF(OR($AJ639=10,$AJ639=11,$AJ639=18),"①病院一般",IF($AJ639=41,"②病院短期","対象外")),IF($AH639=5,IF($AJ639=30,"③特定消防","対象外"),IF(OR($AJ639=10,$AJ639=11,$AJ639=74),"④一般",IF(OR($AJ639=41,$AJ639=47),"⑤短期","対象外"))))))</f>
        <v>対象外</v>
      </c>
    </row>
    <row r="640">
      <c r="A640" t="n" s="2909">
        <v>31</v>
      </c>
      <c r="AA640" t="n" s="2909">
        <v>24</v>
      </c>
      <c r="AB640" t="inlineStr" s="2909">
        <is>
          <t>20240701</t>
        </is>
      </c>
      <c r="AD640" t="n" s="2909">
        <v>12</v>
      </c>
      <c r="AE640" t="inlineStr" s="2909">
        <is>
          <t>20250401</t>
        </is>
      </c>
      <c r="AH640" t="n" s="2909">
        <v>4</v>
      </c>
      <c r="AJ640" t="n" s="2909">
        <v>41</v>
      </c>
      <c r="AP640" t="n" s="2909">
        <v>142000</v>
      </c>
      <c r="DB640" s="2909" t="str">
        <f>IF($A640="","",IF($AE640&amp;""&lt;&gt;'DB_設定'!$C$4,"対象外",IF($AH640=20,IF(OR($AJ640=10,$AJ640=11,$AJ640=18),"①病院一般",IF($AJ640=41,"②病院短期","対象外")),IF($AH640=5,IF($AJ640=30,"③特定消防","対象外"),IF(OR($AJ640=10,$AJ640=11,$AJ640=74),"④一般",IF(OR($AJ640=41,$AJ640=47),"⑤短期","対象外"))))))</f>
        <v>⑤短期</v>
      </c>
    </row>
    <row r="641">
      <c r="A641" t="n" s="2909">
        <v>31</v>
      </c>
      <c r="AA641" t="n" s="2909">
        <v>21</v>
      </c>
      <c r="AB641" t="inlineStr" s="2909">
        <is>
          <t>20221001</t>
        </is>
      </c>
      <c r="AD641" t="n" s="2909">
        <v>11</v>
      </c>
      <c r="AE641" t="inlineStr" s="2909">
        <is>
          <t>20250401</t>
        </is>
      </c>
      <c r="AH641" t="n" s="2909">
        <v>1</v>
      </c>
      <c r="AJ641" t="n" s="2909">
        <v>41</v>
      </c>
      <c r="AP641" t="n" s="2909">
        <v>220000</v>
      </c>
      <c r="DB641" s="2909" t="str">
        <f>IF($A641="","",IF($AE641&amp;""&lt;&gt;'DB_設定'!$C$4,"対象外",IF($AH641=20,IF(OR($AJ641=10,$AJ641=11,$AJ641=18),"①病院一般",IF($AJ641=41,"②病院短期","対象外")),IF($AH641=5,IF($AJ641=30,"③特定消防","対象外"),IF(OR($AJ641=10,$AJ641=11,$AJ641=74),"④一般",IF(OR($AJ641=41,$AJ641=47),"⑤短期","対象外"))))))</f>
        <v>⑤短期</v>
      </c>
    </row>
    <row r="642">
      <c r="A642" t="n" s="2909">
        <v>31</v>
      </c>
      <c r="AA642" t="n" s="2909">
        <v>21</v>
      </c>
      <c r="AB642" t="inlineStr" s="2909">
        <is>
          <t>20221001</t>
        </is>
      </c>
      <c r="AD642" t="n" s="2909">
        <v>12</v>
      </c>
      <c r="AE642" t="inlineStr" s="2909">
        <is>
          <t>20250401</t>
        </is>
      </c>
      <c r="AH642" t="n" s="2909">
        <v>20</v>
      </c>
      <c r="AJ642" t="n" s="2909">
        <v>41</v>
      </c>
      <c r="AP642" t="n" s="2909">
        <v>260000</v>
      </c>
      <c r="DB642" s="2909" t="str">
        <f>IF($A642="","",IF($AE642&amp;""&lt;&gt;'DB_設定'!$C$4,"対象外",IF($AH642=20,IF(OR($AJ642=10,$AJ642=11,$AJ642=18),"①病院一般",IF($AJ642=41,"②病院短期","対象外")),IF($AH642=5,IF($AJ642=30,"③特定消防","対象外"),IF(OR($AJ642=10,$AJ642=11,$AJ642=74),"④一般",IF(OR($AJ642=41,$AJ642=47),"⑤短期","対象外"))))))</f>
        <v>②病院短期</v>
      </c>
    </row>
    <row r="643">
      <c r="A643" t="n" s="2909">
        <v>31</v>
      </c>
      <c r="AA643" t="n" s="2909">
        <v>21</v>
      </c>
      <c r="AB643" t="inlineStr" s="2909">
        <is>
          <t>20221001</t>
        </is>
      </c>
      <c r="AD643" t="n" s="2909">
        <v>12</v>
      </c>
      <c r="AE643" t="inlineStr" s="2909">
        <is>
          <t>20250401</t>
        </is>
      </c>
      <c r="AH643" t="n" s="2909">
        <v>1</v>
      </c>
      <c r="AJ643" t="n" s="2909">
        <v>41</v>
      </c>
      <c r="AP643" t="n" s="2909">
        <v>180000</v>
      </c>
      <c r="DB643" s="2909" t="str">
        <f>IF($A643="","",IF($AE643&amp;""&lt;&gt;'DB_設定'!$C$4,"対象外",IF($AH643=20,IF(OR($AJ643=10,$AJ643=11,$AJ643=18),"①病院一般",IF($AJ643=41,"②病院短期","対象外")),IF($AH643=5,IF($AJ643=30,"③特定消防","対象外"),IF(OR($AJ643=10,$AJ643=11,$AJ643=74),"④一般",IF(OR($AJ643=41,$AJ643=47),"⑤短期","対象外"))))))</f>
        <v>⑤短期</v>
      </c>
    </row>
    <row r="644">
      <c r="A644" t="n" s="2909">
        <v>31</v>
      </c>
      <c r="AA644" t="n" s="2909">
        <v>21</v>
      </c>
      <c r="AB644" t="inlineStr" s="2909">
        <is>
          <t>20221001</t>
        </is>
      </c>
      <c r="AD644" t="n" s="2909">
        <v>12</v>
      </c>
      <c r="AE644" t="inlineStr" s="2909">
        <is>
          <t>20250401</t>
        </is>
      </c>
      <c r="AH644" t="n" s="2909">
        <v>5</v>
      </c>
      <c r="AJ644" t="n" s="2909">
        <v>41</v>
      </c>
      <c r="AP644" t="n" s="2909">
        <v>220000</v>
      </c>
      <c r="DB644" s="2909" t="str">
        <f>IF($A644="","",IF($AE644&amp;""&lt;&gt;'DB_設定'!$C$4,"対象外",IF($AH644=20,IF(OR($AJ644=10,$AJ644=11,$AJ644=18),"①病院一般",IF($AJ644=41,"②病院短期","対象外")),IF($AH644=5,IF($AJ644=30,"③特定消防","対象外"),IF(OR($AJ644=10,$AJ644=11,$AJ644=74),"④一般",IF(OR($AJ644=41,$AJ644=47),"⑤短期","対象外"))))))</f>
        <v>対象外</v>
      </c>
    </row>
    <row r="645">
      <c r="A645" t="n" s="2909">
        <v>31</v>
      </c>
      <c r="AA645" t="n" s="2909">
        <v>21</v>
      </c>
      <c r="AB645" t="inlineStr" s="2909">
        <is>
          <t>20221001</t>
        </is>
      </c>
      <c r="AD645" t="n" s="2909">
        <v>12</v>
      </c>
      <c r="AE645" t="inlineStr" s="2909">
        <is>
          <t>20250401</t>
        </is>
      </c>
      <c r="AH645" t="n" s="2909">
        <v>20</v>
      </c>
      <c r="AJ645" t="n" s="2909">
        <v>41</v>
      </c>
      <c r="AP645" t="n" s="2909">
        <v>240000</v>
      </c>
      <c r="DB645" s="2909" t="str">
        <f>IF($A645="","",IF($AE645&amp;""&lt;&gt;'DB_設定'!$C$4,"対象外",IF($AH645=20,IF(OR($AJ645=10,$AJ645=11,$AJ645=18),"①病院一般",IF($AJ645=41,"②病院短期","対象外")),IF($AH645=5,IF($AJ645=30,"③特定消防","対象外"),IF(OR($AJ645=10,$AJ645=11,$AJ645=74),"④一般",IF(OR($AJ645=41,$AJ645=47),"⑤短期","対象外"))))))</f>
        <v>②病院短期</v>
      </c>
    </row>
    <row r="646">
      <c r="A646" t="n" s="2909">
        <v>31</v>
      </c>
      <c r="AA646" t="n" s="2909">
        <v>21</v>
      </c>
      <c r="AB646" t="inlineStr" s="2909">
        <is>
          <t>20221001</t>
        </is>
      </c>
      <c r="AD646" t="n" s="2909">
        <v>12</v>
      </c>
      <c r="AE646" t="inlineStr" s="2909">
        <is>
          <t>20250401</t>
        </is>
      </c>
      <c r="AH646" t="n" s="2909">
        <v>20</v>
      </c>
      <c r="AJ646" t="n" s="2909">
        <v>41</v>
      </c>
      <c r="AP646" t="n" s="2909">
        <v>220000</v>
      </c>
      <c r="DB646" s="2909" t="str">
        <f>IF($A646="","",IF($AE646&amp;""&lt;&gt;'DB_設定'!$C$4,"対象外",IF($AH646=20,IF(OR($AJ646=10,$AJ646=11,$AJ646=18),"①病院一般",IF($AJ646=41,"②病院短期","対象外")),IF($AH646=5,IF($AJ646=30,"③特定消防","対象外"),IF(OR($AJ646=10,$AJ646=11,$AJ646=74),"④一般",IF(OR($AJ646=41,$AJ646=47),"⑤短期","対象外"))))))</f>
        <v>②病院短期</v>
      </c>
    </row>
    <row r="647">
      <c r="A647" t="n" s="2909">
        <v>31</v>
      </c>
      <c r="AA647" t="n" s="2909">
        <v>21</v>
      </c>
      <c r="AB647" t="inlineStr" s="2909">
        <is>
          <t>20221001</t>
        </is>
      </c>
      <c r="AD647" t="n" s="2909">
        <v>12</v>
      </c>
      <c r="AE647" t="inlineStr" s="2909">
        <is>
          <t>20250401</t>
        </is>
      </c>
      <c r="AH647" t="n" s="2909">
        <v>1</v>
      </c>
      <c r="AJ647" t="n" s="2909">
        <v>41</v>
      </c>
      <c r="AP647" t="n" s="2909">
        <v>220000</v>
      </c>
      <c r="DB647" s="2909" t="str">
        <f>IF($A647="","",IF($AE647&amp;""&lt;&gt;'DB_設定'!$C$4,"対象外",IF($AH647=20,IF(OR($AJ647=10,$AJ647=11,$AJ647=18),"①病院一般",IF($AJ647=41,"②病院短期","対象外")),IF($AH647=5,IF($AJ647=30,"③特定消防","対象外"),IF(OR($AJ647=10,$AJ647=11,$AJ647=74),"④一般",IF(OR($AJ647=41,$AJ647=47),"⑤短期","対象外"))))))</f>
        <v>⑤短期</v>
      </c>
    </row>
    <row r="648">
      <c r="A648" t="n" s="2909">
        <v>31</v>
      </c>
      <c r="AA648" t="n" s="2909">
        <v>21</v>
      </c>
      <c r="AB648" t="inlineStr" s="2909">
        <is>
          <t>20221001</t>
        </is>
      </c>
      <c r="AD648" t="n" s="2909">
        <v>12</v>
      </c>
      <c r="AE648" t="inlineStr" s="2909">
        <is>
          <t>20250401</t>
        </is>
      </c>
      <c r="AH648" t="n" s="2909">
        <v>1</v>
      </c>
      <c r="AJ648" t="n" s="2909">
        <v>41</v>
      </c>
      <c r="AP648" t="n" s="2909">
        <v>240000</v>
      </c>
      <c r="DB648" s="2909" t="str">
        <f>IF($A648="","",IF($AE648&amp;""&lt;&gt;'DB_設定'!$C$4,"対象外",IF($AH648=20,IF(OR($AJ648=10,$AJ648=11,$AJ648=18),"①病院一般",IF($AJ648=41,"②病院短期","対象外")),IF($AH648=5,IF($AJ648=30,"③特定消防","対象外"),IF(OR($AJ648=10,$AJ648=11,$AJ648=74),"④一般",IF(OR($AJ648=41,$AJ648=47),"⑤短期","対象外"))))))</f>
        <v>⑤短期</v>
      </c>
    </row>
    <row r="649">
      <c r="A649" t="n" s="2909">
        <v>31</v>
      </c>
      <c r="AA649" t="n" s="2909">
        <v>21</v>
      </c>
      <c r="AB649" t="inlineStr" s="2909">
        <is>
          <t>20221001</t>
        </is>
      </c>
      <c r="AD649" t="n" s="2909">
        <v>12</v>
      </c>
      <c r="AE649" t="inlineStr" s="2909">
        <is>
          <t>20250401</t>
        </is>
      </c>
      <c r="AH649" t="n" s="2909">
        <v>1</v>
      </c>
      <c r="AJ649" t="n" s="2909">
        <v>41</v>
      </c>
      <c r="AP649" t="n" s="2909">
        <v>118000</v>
      </c>
      <c r="DB649" s="2909" t="str">
        <f>IF($A649="","",IF($AE649&amp;""&lt;&gt;'DB_設定'!$C$4,"対象外",IF($AH649=20,IF(OR($AJ649=10,$AJ649=11,$AJ649=18),"①病院一般",IF($AJ649=41,"②病院短期","対象外")),IF($AH649=5,IF($AJ649=30,"③特定消防","対象外"),IF(OR($AJ649=10,$AJ649=11,$AJ649=74),"④一般",IF(OR($AJ649=41,$AJ649=47),"⑤短期","対象外"))))))</f>
        <v>⑤短期</v>
      </c>
    </row>
    <row r="650">
      <c r="A650" t="n" s="2909">
        <v>31</v>
      </c>
      <c r="AA650" t="n" s="2909">
        <v>21</v>
      </c>
      <c r="AB650" t="inlineStr" s="2909">
        <is>
          <t>20221001</t>
        </is>
      </c>
      <c r="AD650" t="n" s="2909">
        <v>12</v>
      </c>
      <c r="AE650" t="inlineStr" s="2909">
        <is>
          <t>20250401</t>
        </is>
      </c>
      <c r="AH650" t="n" s="2909">
        <v>5</v>
      </c>
      <c r="AJ650" t="n" s="2909">
        <v>41</v>
      </c>
      <c r="AP650" t="n" s="2909">
        <v>200000</v>
      </c>
      <c r="DB650" s="2909" t="str">
        <f>IF($A650="","",IF($AE650&amp;""&lt;&gt;'DB_設定'!$C$4,"対象外",IF($AH650=20,IF(OR($AJ650=10,$AJ650=11,$AJ650=18),"①病院一般",IF($AJ650=41,"②病院短期","対象外")),IF($AH650=5,IF($AJ650=30,"③特定消防","対象外"),IF(OR($AJ650=10,$AJ650=11,$AJ650=74),"④一般",IF(OR($AJ650=41,$AJ650=47),"⑤短期","対象外"))))))</f>
        <v>対象外</v>
      </c>
    </row>
    <row r="651">
      <c r="A651" t="n" s="2909">
        <v>31</v>
      </c>
      <c r="AA651" t="n" s="2909">
        <v>21</v>
      </c>
      <c r="AB651" t="inlineStr" s="2909">
        <is>
          <t>20221001</t>
        </is>
      </c>
      <c r="AD651" t="n" s="2909">
        <v>12</v>
      </c>
      <c r="AE651" t="inlineStr" s="2909">
        <is>
          <t>20250401</t>
        </is>
      </c>
      <c r="AH651" t="n" s="2909">
        <v>1</v>
      </c>
      <c r="AJ651" t="n" s="2909">
        <v>41</v>
      </c>
      <c r="AP651" t="n" s="2909">
        <v>180000</v>
      </c>
      <c r="DB651" s="2909" t="str">
        <f>IF($A651="","",IF($AE651&amp;""&lt;&gt;'DB_設定'!$C$4,"対象外",IF($AH651=20,IF(OR($AJ651=10,$AJ651=11,$AJ651=18),"①病院一般",IF($AJ651=41,"②病院短期","対象外")),IF($AH651=5,IF($AJ651=30,"③特定消防","対象外"),IF(OR($AJ651=10,$AJ651=11,$AJ651=74),"④一般",IF(OR($AJ651=41,$AJ651=47),"⑤短期","対象外"))))))</f>
        <v>⑤短期</v>
      </c>
    </row>
    <row r="652">
      <c r="A652" t="n" s="2909">
        <v>31</v>
      </c>
      <c r="AA652" t="n" s="2909">
        <v>21</v>
      </c>
      <c r="AB652" t="inlineStr" s="2909">
        <is>
          <t>20221001</t>
        </is>
      </c>
      <c r="AD652" t="n" s="2909">
        <v>12</v>
      </c>
      <c r="AE652" t="inlineStr" s="2909">
        <is>
          <t>20250401</t>
        </is>
      </c>
      <c r="AH652" t="n" s="2909">
        <v>11</v>
      </c>
      <c r="AJ652" t="n" s="2909">
        <v>41</v>
      </c>
      <c r="AP652" t="n" s="2909">
        <v>220000</v>
      </c>
      <c r="DB652" s="2909" t="str">
        <f>IF($A652="","",IF($AE652&amp;""&lt;&gt;'DB_設定'!$C$4,"対象外",IF($AH652=20,IF(OR($AJ652=10,$AJ652=11,$AJ652=18),"①病院一般",IF($AJ652=41,"②病院短期","対象外")),IF($AH652=5,IF($AJ652=30,"③特定消防","対象外"),IF(OR($AJ652=10,$AJ652=11,$AJ652=74),"④一般",IF(OR($AJ652=41,$AJ652=47),"⑤短期","対象外"))))))</f>
        <v>⑤短期</v>
      </c>
    </row>
    <row r="653">
      <c r="A653" t="n" s="2909">
        <v>31</v>
      </c>
      <c r="AA653" t="n" s="2909">
        <v>21</v>
      </c>
      <c r="AB653" t="inlineStr" s="2909">
        <is>
          <t>20221001</t>
        </is>
      </c>
      <c r="AD653" t="n" s="2909">
        <v>12</v>
      </c>
      <c r="AE653" t="inlineStr" s="2909">
        <is>
          <t>20250401</t>
        </is>
      </c>
      <c r="AH653" t="n" s="2909">
        <v>11</v>
      </c>
      <c r="AJ653" t="n" s="2909">
        <v>47</v>
      </c>
      <c r="AP653" t="n" s="2909">
        <v>104000</v>
      </c>
      <c r="DB653" s="2909" t="str">
        <f>IF($A653="","",IF($AE653&amp;""&lt;&gt;'DB_設定'!$C$4,"対象外",IF($AH653=20,IF(OR($AJ653=10,$AJ653=11,$AJ653=18),"①病院一般",IF($AJ653=41,"②病院短期","対象外")),IF($AH653=5,IF($AJ653=30,"③特定消防","対象外"),IF(OR($AJ653=10,$AJ653=11,$AJ653=74),"④一般",IF(OR($AJ653=41,$AJ653=47),"⑤短期","対象外"))))))</f>
        <v>⑤短期</v>
      </c>
    </row>
    <row r="654">
      <c r="A654" t="n" s="2909">
        <v>31</v>
      </c>
      <c r="AA654" t="n" s="2909">
        <v>21</v>
      </c>
      <c r="AB654" t="inlineStr" s="2909">
        <is>
          <t>20230401</t>
        </is>
      </c>
      <c r="AD654" t="n" s="2909">
        <v>12</v>
      </c>
      <c r="AE654" t="inlineStr" s="2909">
        <is>
          <t>20250401</t>
        </is>
      </c>
      <c r="AH654" t="n" s="2909">
        <v>20</v>
      </c>
      <c r="AJ654" t="n" s="2909">
        <v>41</v>
      </c>
      <c r="AP654" t="n" s="2909">
        <v>260000</v>
      </c>
      <c r="DB654" s="2909" t="str">
        <f>IF($A654="","",IF($AE654&amp;""&lt;&gt;'DB_設定'!$C$4,"対象外",IF($AH654=20,IF(OR($AJ654=10,$AJ654=11,$AJ654=18),"①病院一般",IF($AJ654=41,"②病院短期","対象外")),IF($AH654=5,IF($AJ654=30,"③特定消防","対象外"),IF(OR($AJ654=10,$AJ654=11,$AJ654=74),"④一般",IF(OR($AJ654=41,$AJ654=47),"⑤短期","対象外"))))))</f>
        <v>②病院短期</v>
      </c>
    </row>
    <row r="655">
      <c r="A655" t="n" s="2909">
        <v>31</v>
      </c>
      <c r="AA655" t="n" s="2909">
        <v>21</v>
      </c>
      <c r="AB655" t="inlineStr" s="2909">
        <is>
          <t>20221001</t>
        </is>
      </c>
      <c r="AD655" t="n" s="2909">
        <v>12</v>
      </c>
      <c r="AE655" t="inlineStr" s="2909">
        <is>
          <t>20250401</t>
        </is>
      </c>
      <c r="AH655" t="n" s="2909">
        <v>20</v>
      </c>
      <c r="AJ655" t="n" s="2909">
        <v>41</v>
      </c>
      <c r="AP655" t="n" s="2909">
        <v>260000</v>
      </c>
      <c r="DB655" s="2909" t="str">
        <f>IF($A655="","",IF($AE655&amp;""&lt;&gt;'DB_設定'!$C$4,"対象外",IF($AH655=20,IF(OR($AJ655=10,$AJ655=11,$AJ655=18),"①病院一般",IF($AJ655=41,"②病院短期","対象外")),IF($AH655=5,IF($AJ655=30,"③特定消防","対象外"),IF(OR($AJ655=10,$AJ655=11,$AJ655=74),"④一般",IF(OR($AJ655=41,$AJ655=47),"⑤短期","対象外"))))))</f>
        <v>②病院短期</v>
      </c>
    </row>
    <row r="656">
      <c r="A656" t="n" s="2909">
        <v>31</v>
      </c>
      <c r="AA656" t="n" s="2909">
        <v>21</v>
      </c>
      <c r="AB656" t="inlineStr" s="2909">
        <is>
          <t>20221001</t>
        </is>
      </c>
      <c r="AD656" t="n" s="2909">
        <v>12</v>
      </c>
      <c r="AE656" t="inlineStr" s="2909">
        <is>
          <t>20250401</t>
        </is>
      </c>
      <c r="AH656" t="n" s="2909">
        <v>1</v>
      </c>
      <c r="AJ656" t="n" s="2909">
        <v>41</v>
      </c>
      <c r="AP656" t="n" s="2909">
        <v>220000</v>
      </c>
      <c r="DB656" s="2909" t="str">
        <f>IF($A656="","",IF($AE656&amp;""&lt;&gt;'DB_設定'!$C$4,"対象外",IF($AH656=20,IF(OR($AJ656=10,$AJ656=11,$AJ656=18),"①病院一般",IF($AJ656=41,"②病院短期","対象外")),IF($AH656=5,IF($AJ656=30,"③特定消防","対象外"),IF(OR($AJ656=10,$AJ656=11,$AJ656=74),"④一般",IF(OR($AJ656=41,$AJ656=47),"⑤短期","対象外"))))))</f>
        <v>⑤短期</v>
      </c>
    </row>
    <row r="657">
      <c r="A657" t="n" s="2909">
        <v>31</v>
      </c>
      <c r="AA657" t="n" s="2909">
        <v>21</v>
      </c>
      <c r="AB657" t="inlineStr" s="2909">
        <is>
          <t>20241112</t>
        </is>
      </c>
      <c r="AD657" t="n" s="2909">
        <v>12</v>
      </c>
      <c r="AE657" t="inlineStr" s="2909">
        <is>
          <t>20250401</t>
        </is>
      </c>
      <c r="AH657" t="n" s="2909">
        <v>1</v>
      </c>
      <c r="AJ657" t="n" s="2909">
        <v>41</v>
      </c>
      <c r="AP657" t="n" s="2909">
        <v>126000</v>
      </c>
      <c r="DB657" s="2909" t="str">
        <f>IF($A657="","",IF($AE657&amp;""&lt;&gt;'DB_設定'!$C$4,"対象外",IF($AH657=20,IF(OR($AJ657=10,$AJ657=11,$AJ657=18),"①病院一般",IF($AJ657=41,"②病院短期","対象外")),IF($AH657=5,IF($AJ657=30,"③特定消防","対象外"),IF(OR($AJ657=10,$AJ657=11,$AJ657=74),"④一般",IF(OR($AJ657=41,$AJ657=47),"⑤短期","対象外"))))))</f>
        <v>⑤短期</v>
      </c>
    </row>
    <row r="658">
      <c r="A658" t="n" s="2909">
        <v>31</v>
      </c>
      <c r="AA658" t="n" s="2909">
        <v>21</v>
      </c>
      <c r="AB658" t="inlineStr" s="2909">
        <is>
          <t>20221001</t>
        </is>
      </c>
      <c r="AD658" t="n" s="2909">
        <v>12</v>
      </c>
      <c r="AE658" t="inlineStr" s="2909">
        <is>
          <t>20250401</t>
        </is>
      </c>
      <c r="AH658" t="n" s="2909">
        <v>1</v>
      </c>
      <c r="AJ658" t="n" s="2909">
        <v>41</v>
      </c>
      <c r="AP658" t="n" s="2909">
        <v>180000</v>
      </c>
      <c r="DB658" s="2909" t="str">
        <f>IF($A658="","",IF($AE658&amp;""&lt;&gt;'DB_設定'!$C$4,"対象外",IF($AH658=20,IF(OR($AJ658=10,$AJ658=11,$AJ658=18),"①病院一般",IF($AJ658=41,"②病院短期","対象外")),IF($AH658=5,IF($AJ658=30,"③特定消防","対象外"),IF(OR($AJ658=10,$AJ658=11,$AJ658=74),"④一般",IF(OR($AJ658=41,$AJ658=47),"⑤短期","対象外"))))))</f>
        <v>⑤短期</v>
      </c>
    </row>
    <row r="659">
      <c r="A659" t="n" s="2909">
        <v>31</v>
      </c>
      <c r="AA659" t="n" s="2909">
        <v>21</v>
      </c>
      <c r="AB659" t="inlineStr" s="2909">
        <is>
          <t>20221001</t>
        </is>
      </c>
      <c r="AD659" t="n" s="2909">
        <v>12</v>
      </c>
      <c r="AE659" t="inlineStr" s="2909">
        <is>
          <t>20250401</t>
        </is>
      </c>
      <c r="AH659" t="n" s="2909">
        <v>1</v>
      </c>
      <c r="AJ659" t="n" s="2909">
        <v>41</v>
      </c>
      <c r="AP659" t="n" s="2909">
        <v>240000</v>
      </c>
      <c r="DB659" s="2909" t="str">
        <f>IF($A659="","",IF($AE659&amp;""&lt;&gt;'DB_設定'!$C$4,"対象外",IF($AH659=20,IF(OR($AJ659=10,$AJ659=11,$AJ659=18),"①病院一般",IF($AJ659=41,"②病院短期","対象外")),IF($AH659=5,IF($AJ659=30,"③特定消防","対象外"),IF(OR($AJ659=10,$AJ659=11,$AJ659=74),"④一般",IF(OR($AJ659=41,$AJ659=47),"⑤短期","対象外"))))))</f>
        <v>⑤短期</v>
      </c>
    </row>
    <row r="660">
      <c r="A660" t="n" s="2909">
        <v>31</v>
      </c>
      <c r="AA660" t="n" s="2909">
        <v>21</v>
      </c>
      <c r="AB660" t="inlineStr" s="2909">
        <is>
          <t>20221001</t>
        </is>
      </c>
      <c r="AD660" t="n" s="2909">
        <v>12</v>
      </c>
      <c r="AE660" t="inlineStr" s="2909">
        <is>
          <t>20250401</t>
        </is>
      </c>
      <c r="AH660" t="n" s="2909">
        <v>1</v>
      </c>
      <c r="AJ660" t="n" s="2909">
        <v>41</v>
      </c>
      <c r="AP660" t="n" s="2909">
        <v>220000</v>
      </c>
      <c r="DB660" s="2909" t="str">
        <f>IF($A660="","",IF($AE660&amp;""&lt;&gt;'DB_設定'!$C$4,"対象外",IF($AH660=20,IF(OR($AJ660=10,$AJ660=11,$AJ660=18),"①病院一般",IF($AJ660=41,"②病院短期","対象外")),IF($AH660=5,IF($AJ660=30,"③特定消防","対象外"),IF(OR($AJ660=10,$AJ660=11,$AJ660=74),"④一般",IF(OR($AJ660=41,$AJ660=47),"⑤短期","対象外"))))))</f>
        <v>⑤短期</v>
      </c>
    </row>
    <row r="661">
      <c r="A661" t="n" s="2909">
        <v>31</v>
      </c>
      <c r="AA661" t="n" s="2909">
        <v>21</v>
      </c>
      <c r="AB661" t="inlineStr" s="2909">
        <is>
          <t>20240401</t>
        </is>
      </c>
      <c r="AD661" t="n" s="2909">
        <v>11</v>
      </c>
      <c r="AE661" t="inlineStr" s="2909">
        <is>
          <t>20250401</t>
        </is>
      </c>
      <c r="AH661" t="n" s="2909">
        <v>11</v>
      </c>
      <c r="AJ661" t="n" s="2909">
        <v>41</v>
      </c>
      <c r="AP661" t="n" s="2909">
        <v>260000</v>
      </c>
      <c r="DB661" s="2909" t="str">
        <f>IF($A661="","",IF($AE661&amp;""&lt;&gt;'DB_設定'!$C$4,"対象外",IF($AH661=20,IF(OR($AJ661=10,$AJ661=11,$AJ661=18),"①病院一般",IF($AJ661=41,"②病院短期","対象外")),IF($AH661=5,IF($AJ661=30,"③特定消防","対象外"),IF(OR($AJ661=10,$AJ661=11,$AJ661=74),"④一般",IF(OR($AJ661=41,$AJ661=47),"⑤短期","対象外"))))))</f>
        <v>⑤短期</v>
      </c>
    </row>
    <row r="662">
      <c r="A662" t="n" s="2909">
        <v>31</v>
      </c>
      <c r="AA662" t="n" s="2909">
        <v>21</v>
      </c>
      <c r="AB662" t="inlineStr" s="2909">
        <is>
          <t>20250401</t>
        </is>
      </c>
      <c r="AD662" t="n" s="2909">
        <v>12</v>
      </c>
      <c r="AE662" t="inlineStr" s="2909">
        <is>
          <t>20250701</t>
        </is>
      </c>
      <c r="AH662" t="n" s="2909">
        <v>1</v>
      </c>
      <c r="AJ662" t="n" s="2909">
        <v>41</v>
      </c>
      <c r="AP662" t="n" s="2909">
        <v>260000</v>
      </c>
      <c r="DB662" s="2909" t="str">
        <f>IF($A662="","",IF($AE662&amp;""&lt;&gt;'DB_設定'!$C$4,"対象外",IF($AH662=20,IF(OR($AJ662=10,$AJ662=11,$AJ662=18),"①病院一般",IF($AJ662=41,"②病院短期","対象外")),IF($AH662=5,IF($AJ662=30,"③特定消防","対象外"),IF(OR($AJ662=10,$AJ662=11,$AJ662=74),"④一般",IF(OR($AJ662=41,$AJ662=47),"⑤短期","対象外"))))))</f>
        <v>対象外</v>
      </c>
    </row>
    <row r="663">
      <c r="A663" t="n" s="2909">
        <v>31</v>
      </c>
      <c r="AA663" t="n" s="2909">
        <v>21</v>
      </c>
      <c r="AB663" t="inlineStr" s="2909">
        <is>
          <t>20230401</t>
        </is>
      </c>
      <c r="AD663" t="n" s="2909">
        <v>12</v>
      </c>
      <c r="AE663" t="inlineStr" s="2909">
        <is>
          <t>20250401</t>
        </is>
      </c>
      <c r="AH663" t="n" s="2909">
        <v>1</v>
      </c>
      <c r="AJ663" t="n" s="2909">
        <v>41</v>
      </c>
      <c r="AP663" t="n" s="2909">
        <v>220000</v>
      </c>
      <c r="DB663" s="2909" t="str">
        <f>IF($A663="","",IF($AE663&amp;""&lt;&gt;'DB_設定'!$C$4,"対象外",IF($AH663=20,IF(OR($AJ663=10,$AJ663=11,$AJ663=18),"①病院一般",IF($AJ663=41,"②病院短期","対象外")),IF($AH663=5,IF($AJ663=30,"③特定消防","対象外"),IF(OR($AJ663=10,$AJ663=11,$AJ663=74),"④一般",IF(OR($AJ663=41,$AJ663=47),"⑤短期","対象外"))))))</f>
        <v>⑤短期</v>
      </c>
    </row>
    <row r="664">
      <c r="A664" t="n" s="2909">
        <v>31</v>
      </c>
      <c r="AA664" t="n" s="2909">
        <v>21</v>
      </c>
      <c r="AB664" t="inlineStr" s="2909">
        <is>
          <t>20221001</t>
        </is>
      </c>
      <c r="AD664" t="n" s="2909">
        <v>12</v>
      </c>
      <c r="AE664" t="inlineStr" s="2909">
        <is>
          <t>20250401</t>
        </is>
      </c>
      <c r="AH664" t="n" s="2909">
        <v>20</v>
      </c>
      <c r="AJ664" t="n" s="2909">
        <v>41</v>
      </c>
      <c r="AP664" t="n" s="2909">
        <v>240000</v>
      </c>
      <c r="DB664" s="2909" t="str">
        <f>IF($A664="","",IF($AE664&amp;""&lt;&gt;'DB_設定'!$C$4,"対象外",IF($AH664=20,IF(OR($AJ664=10,$AJ664=11,$AJ664=18),"①病院一般",IF($AJ664=41,"②病院短期","対象外")),IF($AH664=5,IF($AJ664=30,"③特定消防","対象外"),IF(OR($AJ664=10,$AJ664=11,$AJ664=74),"④一般",IF(OR($AJ664=41,$AJ664=47),"⑤短期","対象外"))))))</f>
        <v>②病院短期</v>
      </c>
    </row>
    <row r="665">
      <c r="A665" t="n" s="2909">
        <v>31</v>
      </c>
      <c r="AA665" t="n" s="2909">
        <v>21</v>
      </c>
      <c r="AB665" t="inlineStr" s="2909">
        <is>
          <t>20221001</t>
        </is>
      </c>
      <c r="AD665" t="n" s="2909">
        <v>12</v>
      </c>
      <c r="AE665" t="inlineStr" s="2909">
        <is>
          <t>20250401</t>
        </is>
      </c>
      <c r="AH665" t="n" s="2909">
        <v>20</v>
      </c>
      <c r="AJ665" t="n" s="2909">
        <v>41</v>
      </c>
      <c r="AP665" t="n" s="2909">
        <v>240000</v>
      </c>
      <c r="DB665" s="2909" t="str">
        <f>IF($A665="","",IF($AE665&amp;""&lt;&gt;'DB_設定'!$C$4,"対象外",IF($AH665=20,IF(OR($AJ665=10,$AJ665=11,$AJ665=18),"①病院一般",IF($AJ665=41,"②病院短期","対象外")),IF($AH665=5,IF($AJ665=30,"③特定消防","対象外"),IF(OR($AJ665=10,$AJ665=11,$AJ665=74),"④一般",IF(OR($AJ665=41,$AJ665=47),"⑤短期","対象外"))))))</f>
        <v>②病院短期</v>
      </c>
    </row>
    <row r="666">
      <c r="A666" t="n" s="2909">
        <v>31</v>
      </c>
      <c r="AA666" t="n" s="2909">
        <v>24</v>
      </c>
      <c r="AB666" t="inlineStr" s="2909">
        <is>
          <t>20250601</t>
        </is>
      </c>
      <c r="AD666" t="n" s="2909">
        <v>12</v>
      </c>
      <c r="AE666" t="inlineStr" s="2909">
        <is>
          <t>20251001</t>
        </is>
      </c>
      <c r="AH666" t="n" s="2909">
        <v>1</v>
      </c>
      <c r="AJ666" t="n" s="2909">
        <v>41</v>
      </c>
      <c r="AP666" t="n" s="2909">
        <v>240000</v>
      </c>
      <c r="DB666" s="2909" t="str">
        <f>IF($A666="","",IF($AE666&amp;""&lt;&gt;'DB_設定'!$C$4,"対象外",IF($AH666=20,IF(OR($AJ666=10,$AJ666=11,$AJ666=18),"①病院一般",IF($AJ666=41,"②病院短期","対象外")),IF($AH666=5,IF($AJ666=30,"③特定消防","対象外"),IF(OR($AJ666=10,$AJ666=11,$AJ666=74),"④一般",IF(OR($AJ666=41,$AJ666=47),"⑤短期","対象外"))))))</f>
        <v>対象外</v>
      </c>
    </row>
    <row r="667">
      <c r="A667" t="n" s="2909">
        <v>31</v>
      </c>
      <c r="AA667" t="n" s="2909">
        <v>21</v>
      </c>
      <c r="AB667" t="inlineStr" s="2909">
        <is>
          <t>20221001</t>
        </is>
      </c>
      <c r="AD667" t="n" s="2909">
        <v>12</v>
      </c>
      <c r="AE667" t="inlineStr" s="2909">
        <is>
          <t>20250401</t>
        </is>
      </c>
      <c r="AH667" t="n" s="2909">
        <v>1</v>
      </c>
      <c r="AJ667" t="n" s="2909">
        <v>47</v>
      </c>
      <c r="AP667" t="n" s="2909">
        <v>180000</v>
      </c>
      <c r="DB667" s="2909" t="str">
        <f>IF($A667="","",IF($AE667&amp;""&lt;&gt;'DB_設定'!$C$4,"対象外",IF($AH667=20,IF(OR($AJ667=10,$AJ667=11,$AJ667=18),"①病院一般",IF($AJ667=41,"②病院短期","対象外")),IF($AH667=5,IF($AJ667=30,"③特定消防","対象外"),IF(OR($AJ667=10,$AJ667=11,$AJ667=74),"④一般",IF(OR($AJ667=41,$AJ667=47),"⑤短期","対象外"))))))</f>
        <v>⑤短期</v>
      </c>
    </row>
    <row r="668">
      <c r="A668" t="n" s="2909">
        <v>31</v>
      </c>
      <c r="AA668" t="n" s="2909">
        <v>21</v>
      </c>
      <c r="AB668" t="inlineStr" s="2909">
        <is>
          <t>20240401</t>
        </is>
      </c>
      <c r="AD668" t="n" s="2909">
        <v>12</v>
      </c>
      <c r="AE668" t="inlineStr" s="2909">
        <is>
          <t>20250401</t>
        </is>
      </c>
      <c r="AH668" t="n" s="2909">
        <v>20</v>
      </c>
      <c r="AJ668" t="n" s="2909">
        <v>41</v>
      </c>
      <c r="AP668" t="n" s="2909">
        <v>240000</v>
      </c>
      <c r="DB668" s="2909" t="str">
        <f>IF($A668="","",IF($AE668&amp;""&lt;&gt;'DB_設定'!$C$4,"対象外",IF($AH668=20,IF(OR($AJ668=10,$AJ668=11,$AJ668=18),"①病院一般",IF($AJ668=41,"②病院短期","対象外")),IF($AH668=5,IF($AJ668=30,"③特定消防","対象外"),IF(OR($AJ668=10,$AJ668=11,$AJ668=74),"④一般",IF(OR($AJ668=41,$AJ668=47),"⑤短期","対象外"))))))</f>
        <v>②病院短期</v>
      </c>
    </row>
    <row r="669">
      <c r="A669" t="n" s="2909">
        <v>31</v>
      </c>
      <c r="AA669" t="n" s="2909">
        <v>21</v>
      </c>
      <c r="AB669" t="inlineStr" s="2909">
        <is>
          <t>20230401</t>
        </is>
      </c>
      <c r="AD669" t="n" s="2909">
        <v>12</v>
      </c>
      <c r="AE669" t="inlineStr" s="2909">
        <is>
          <t>20250401</t>
        </is>
      </c>
      <c r="AH669" t="n" s="2909">
        <v>11</v>
      </c>
      <c r="AJ669" t="n" s="2909">
        <v>41</v>
      </c>
      <c r="AP669" t="n" s="2909">
        <v>200000</v>
      </c>
      <c r="DB669" s="2909" t="str">
        <f>IF($A669="","",IF($AE669&amp;""&lt;&gt;'DB_設定'!$C$4,"対象外",IF($AH669=20,IF(OR($AJ669=10,$AJ669=11,$AJ669=18),"①病院一般",IF($AJ669=41,"②病院短期","対象外")),IF($AH669=5,IF($AJ669=30,"③特定消防","対象外"),IF(OR($AJ669=10,$AJ669=11,$AJ669=74),"④一般",IF(OR($AJ669=41,$AJ669=47),"⑤短期","対象外"))))))</f>
        <v>⑤短期</v>
      </c>
    </row>
    <row r="670">
      <c r="A670" t="n" s="2909">
        <v>31</v>
      </c>
      <c r="AA670" t="n" s="2909">
        <v>21</v>
      </c>
      <c r="AB670" t="inlineStr" s="2909">
        <is>
          <t>20221001</t>
        </is>
      </c>
      <c r="AD670" t="n" s="2909">
        <v>12</v>
      </c>
      <c r="AE670" t="inlineStr" s="2909">
        <is>
          <t>20250401</t>
        </is>
      </c>
      <c r="AH670" t="n" s="2909">
        <v>11</v>
      </c>
      <c r="AJ670" t="n" s="2909">
        <v>41</v>
      </c>
      <c r="AP670" t="n" s="2909">
        <v>180000</v>
      </c>
      <c r="DB670" s="2909" t="str">
        <f>IF($A670="","",IF($AE670&amp;""&lt;&gt;'DB_設定'!$C$4,"対象外",IF($AH670=20,IF(OR($AJ670=10,$AJ670=11,$AJ670=18),"①病院一般",IF($AJ670=41,"②病院短期","対象外")),IF($AH670=5,IF($AJ670=30,"③特定消防","対象外"),IF(OR($AJ670=10,$AJ670=11,$AJ670=74),"④一般",IF(OR($AJ670=41,$AJ670=47),"⑤短期","対象外"))))))</f>
        <v>⑤短期</v>
      </c>
    </row>
    <row r="671">
      <c r="A671" t="n" s="2909">
        <v>31</v>
      </c>
      <c r="AA671" t="n" s="2909">
        <v>21</v>
      </c>
      <c r="AB671" t="inlineStr" s="2909">
        <is>
          <t>20240401</t>
        </is>
      </c>
      <c r="AD671" t="n" s="2909">
        <v>12</v>
      </c>
      <c r="AE671" t="inlineStr" s="2909">
        <is>
          <t>20250401</t>
        </is>
      </c>
      <c r="AH671" t="n" s="2909">
        <v>1</v>
      </c>
      <c r="AJ671" t="n" s="2909">
        <v>41</v>
      </c>
      <c r="AP671" t="n" s="2909">
        <v>220000</v>
      </c>
      <c r="DB671" s="2909" t="str">
        <f>IF($A671="","",IF($AE671&amp;""&lt;&gt;'DB_設定'!$C$4,"対象外",IF($AH671=20,IF(OR($AJ671=10,$AJ671=11,$AJ671=18),"①病院一般",IF($AJ671=41,"②病院短期","対象外")),IF($AH671=5,IF($AJ671=30,"③特定消防","対象外"),IF(OR($AJ671=10,$AJ671=11,$AJ671=74),"④一般",IF(OR($AJ671=41,$AJ671=47),"⑤短期","対象外"))))))</f>
        <v>⑤短期</v>
      </c>
    </row>
    <row r="672">
      <c r="A672" t="n" s="2909">
        <v>31</v>
      </c>
      <c r="AA672" t="n" s="2909">
        <v>21</v>
      </c>
      <c r="AB672" t="inlineStr" s="2909">
        <is>
          <t>20240401</t>
        </is>
      </c>
      <c r="AD672" t="n" s="2909">
        <v>12</v>
      </c>
      <c r="AE672" t="inlineStr" s="2909">
        <is>
          <t>20250401</t>
        </is>
      </c>
      <c r="AH672" t="n" s="2909">
        <v>1</v>
      </c>
      <c r="AJ672" t="n" s="2909">
        <v>41</v>
      </c>
      <c r="AP672" t="n" s="2909">
        <v>240000</v>
      </c>
      <c r="DB672" s="2909" t="str">
        <f>IF($A672="","",IF($AE672&amp;""&lt;&gt;'DB_設定'!$C$4,"対象外",IF($AH672=20,IF(OR($AJ672=10,$AJ672=11,$AJ672=18),"①病院一般",IF($AJ672=41,"②病院短期","対象外")),IF($AH672=5,IF($AJ672=30,"③特定消防","対象外"),IF(OR($AJ672=10,$AJ672=11,$AJ672=74),"④一般",IF(OR($AJ672=41,$AJ672=47),"⑤短期","対象外"))))))</f>
        <v>⑤短期</v>
      </c>
    </row>
    <row r="673">
      <c r="A673" t="n" s="2909">
        <v>31</v>
      </c>
      <c r="AA673" t="n" s="2909">
        <v>21</v>
      </c>
      <c r="AB673" t="inlineStr" s="2909">
        <is>
          <t>20221001</t>
        </is>
      </c>
      <c r="AD673" t="n" s="2909">
        <v>12</v>
      </c>
      <c r="AE673" t="inlineStr" s="2909">
        <is>
          <t>20250401</t>
        </is>
      </c>
      <c r="AH673" t="n" s="2909">
        <v>1</v>
      </c>
      <c r="AJ673" t="n" s="2909">
        <v>41</v>
      </c>
      <c r="AP673" t="n" s="2909">
        <v>240000</v>
      </c>
      <c r="DB673" s="2909" t="str">
        <f>IF($A673="","",IF($AE673&amp;""&lt;&gt;'DB_設定'!$C$4,"対象外",IF($AH673=20,IF(OR($AJ673=10,$AJ673=11,$AJ673=18),"①病院一般",IF($AJ673=41,"②病院短期","対象外")),IF($AH673=5,IF($AJ673=30,"③特定消防","対象外"),IF(OR($AJ673=10,$AJ673=11,$AJ673=74),"④一般",IF(OR($AJ673=41,$AJ673=47),"⑤短期","対象外"))))))</f>
        <v>⑤短期</v>
      </c>
    </row>
    <row r="674">
      <c r="A674" t="n" s="2909">
        <v>31</v>
      </c>
      <c r="AA674" t="n" s="2909">
        <v>21</v>
      </c>
      <c r="AB674" t="inlineStr" s="2909">
        <is>
          <t>20221001</t>
        </is>
      </c>
      <c r="AD674" t="n" s="2909">
        <v>12</v>
      </c>
      <c r="AE674" t="inlineStr" s="2909">
        <is>
          <t>20250401</t>
        </is>
      </c>
      <c r="AH674" t="n" s="2909">
        <v>1</v>
      </c>
      <c r="AJ674" t="n" s="2909">
        <v>41</v>
      </c>
      <c r="AP674" t="n" s="2909">
        <v>190000</v>
      </c>
      <c r="DB674" s="2909" t="str">
        <f>IF($A674="","",IF($AE674&amp;""&lt;&gt;'DB_設定'!$C$4,"対象外",IF($AH674=20,IF(OR($AJ674=10,$AJ674=11,$AJ674=18),"①病院一般",IF($AJ674=41,"②病院短期","対象外")),IF($AH674=5,IF($AJ674=30,"③特定消防","対象外"),IF(OR($AJ674=10,$AJ674=11,$AJ674=74),"④一般",IF(OR($AJ674=41,$AJ674=47),"⑤短期","対象外"))))))</f>
        <v>⑤短期</v>
      </c>
    </row>
    <row r="675">
      <c r="A675" t="n" s="2909">
        <v>31</v>
      </c>
      <c r="AA675" t="n" s="2909">
        <v>21</v>
      </c>
      <c r="AB675" t="inlineStr" s="2909">
        <is>
          <t>20221001</t>
        </is>
      </c>
      <c r="AD675" t="n" s="2909">
        <v>12</v>
      </c>
      <c r="AE675" t="inlineStr" s="2909">
        <is>
          <t>20250401</t>
        </is>
      </c>
      <c r="AH675" t="n" s="2909">
        <v>1</v>
      </c>
      <c r="AJ675" t="n" s="2909">
        <v>41</v>
      </c>
      <c r="AP675" t="n" s="2909">
        <v>190000</v>
      </c>
      <c r="DB675" s="2909" t="str">
        <f>IF($A675="","",IF($AE675&amp;""&lt;&gt;'DB_設定'!$C$4,"対象外",IF($AH675=20,IF(OR($AJ675=10,$AJ675=11,$AJ675=18),"①病院一般",IF($AJ675=41,"②病院短期","対象外")),IF($AH675=5,IF($AJ675=30,"③特定消防","対象外"),IF(OR($AJ675=10,$AJ675=11,$AJ675=74),"④一般",IF(OR($AJ675=41,$AJ675=47),"⑤短期","対象外"))))))</f>
        <v>⑤短期</v>
      </c>
    </row>
    <row r="676">
      <c r="A676" t="n" s="2909">
        <v>31</v>
      </c>
      <c r="AA676" t="n" s="2909">
        <v>21</v>
      </c>
      <c r="AB676" t="inlineStr" s="2909">
        <is>
          <t>20221001</t>
        </is>
      </c>
      <c r="AD676" t="n" s="2909">
        <v>12</v>
      </c>
      <c r="AE676" t="inlineStr" s="2909">
        <is>
          <t>20250401</t>
        </is>
      </c>
      <c r="AH676" t="n" s="2909">
        <v>1</v>
      </c>
      <c r="AJ676" t="n" s="2909">
        <v>41</v>
      </c>
      <c r="AP676" t="n" s="2909">
        <v>180000</v>
      </c>
      <c r="DB676" s="2909" t="str">
        <f>IF($A676="","",IF($AE676&amp;""&lt;&gt;'DB_設定'!$C$4,"対象外",IF($AH676=20,IF(OR($AJ676=10,$AJ676=11,$AJ676=18),"①病院一般",IF($AJ676=41,"②病院短期","対象外")),IF($AH676=5,IF($AJ676=30,"③特定消防","対象外"),IF(OR($AJ676=10,$AJ676=11,$AJ676=74),"④一般",IF(OR($AJ676=41,$AJ676=47),"⑤短期","対象外"))))))</f>
        <v>⑤短期</v>
      </c>
    </row>
    <row r="677">
      <c r="A677" t="n" s="2909">
        <v>31</v>
      </c>
      <c r="AA677" t="n" s="2909">
        <v>21</v>
      </c>
      <c r="AB677" t="inlineStr" s="2909">
        <is>
          <t>20221001</t>
        </is>
      </c>
      <c r="AD677" t="n" s="2909">
        <v>12</v>
      </c>
      <c r="AE677" t="inlineStr" s="2909">
        <is>
          <t>20250401</t>
        </is>
      </c>
      <c r="AH677" t="n" s="2909">
        <v>1</v>
      </c>
      <c r="AJ677" t="n" s="2909">
        <v>41</v>
      </c>
      <c r="AP677" t="n" s="2909">
        <v>180000</v>
      </c>
      <c r="DB677" s="2909" t="str">
        <f>IF($A677="","",IF($AE677&amp;""&lt;&gt;'DB_設定'!$C$4,"対象外",IF($AH677=20,IF(OR($AJ677=10,$AJ677=11,$AJ677=18),"①病院一般",IF($AJ677=41,"②病院短期","対象外")),IF($AH677=5,IF($AJ677=30,"③特定消防","対象外"),IF(OR($AJ677=10,$AJ677=11,$AJ677=74),"④一般",IF(OR($AJ677=41,$AJ677=47),"⑤短期","対象外"))))))</f>
        <v>⑤短期</v>
      </c>
    </row>
    <row r="678">
      <c r="A678" t="n" s="2909">
        <v>31</v>
      </c>
      <c r="AA678" t="n" s="2909">
        <v>21</v>
      </c>
      <c r="AB678" t="inlineStr" s="2909">
        <is>
          <t>20221001</t>
        </is>
      </c>
      <c r="AD678" t="n" s="2909">
        <v>12</v>
      </c>
      <c r="AE678" t="inlineStr" s="2909">
        <is>
          <t>20250401</t>
        </is>
      </c>
      <c r="AH678" t="n" s="2909">
        <v>1</v>
      </c>
      <c r="AJ678" t="n" s="2909">
        <v>41</v>
      </c>
      <c r="AP678" t="n" s="2909">
        <v>240000</v>
      </c>
      <c r="DB678" s="2909" t="str">
        <f>IF($A678="","",IF($AE678&amp;""&lt;&gt;'DB_設定'!$C$4,"対象外",IF($AH678=20,IF(OR($AJ678=10,$AJ678=11,$AJ678=18),"①病院一般",IF($AJ678=41,"②病院短期","対象外")),IF($AH678=5,IF($AJ678=30,"③特定消防","対象外"),IF(OR($AJ678=10,$AJ678=11,$AJ678=74),"④一般",IF(OR($AJ678=41,$AJ678=47),"⑤短期","対象外"))))))</f>
        <v>⑤短期</v>
      </c>
    </row>
    <row r="679">
      <c r="A679" t="n" s="2909">
        <v>31</v>
      </c>
      <c r="AA679" t="n" s="2909">
        <v>21</v>
      </c>
      <c r="AB679" t="inlineStr" s="2909">
        <is>
          <t>20221001</t>
        </is>
      </c>
      <c r="AD679" t="n" s="2909">
        <v>12</v>
      </c>
      <c r="AE679" t="inlineStr" s="2909">
        <is>
          <t>20250401</t>
        </is>
      </c>
      <c r="AH679" t="n" s="2909">
        <v>1</v>
      </c>
      <c r="AJ679" t="n" s="2909">
        <v>41</v>
      </c>
      <c r="AP679" t="n" s="2909">
        <v>220000</v>
      </c>
      <c r="DB679" s="2909" t="str">
        <f>IF($A679="","",IF($AE679&amp;""&lt;&gt;'DB_設定'!$C$4,"対象外",IF($AH679=20,IF(OR($AJ679=10,$AJ679=11,$AJ679=18),"①病院一般",IF($AJ679=41,"②病院短期","対象外")),IF($AH679=5,IF($AJ679=30,"③特定消防","対象外"),IF(OR($AJ679=10,$AJ679=11,$AJ679=74),"④一般",IF(OR($AJ679=41,$AJ679=47),"⑤短期","対象外"))))))</f>
        <v>⑤短期</v>
      </c>
    </row>
    <row r="680">
      <c r="A680" t="n" s="2909">
        <v>31</v>
      </c>
      <c r="AA680" t="n" s="2909">
        <v>21</v>
      </c>
      <c r="AB680" t="inlineStr" s="2909">
        <is>
          <t>20221001</t>
        </is>
      </c>
      <c r="AD680" t="n" s="2909">
        <v>12</v>
      </c>
      <c r="AE680" t="inlineStr" s="2909">
        <is>
          <t>20250401</t>
        </is>
      </c>
      <c r="AH680" t="n" s="2909">
        <v>1</v>
      </c>
      <c r="AJ680" t="n" s="2909">
        <v>41</v>
      </c>
      <c r="AP680" t="n" s="2909">
        <v>220000</v>
      </c>
      <c r="DB680" s="2909" t="str">
        <f>IF($A680="","",IF($AE680&amp;""&lt;&gt;'DB_設定'!$C$4,"対象外",IF($AH680=20,IF(OR($AJ680=10,$AJ680=11,$AJ680=18),"①病院一般",IF($AJ680=41,"②病院短期","対象外")),IF($AH680=5,IF($AJ680=30,"③特定消防","対象外"),IF(OR($AJ680=10,$AJ680=11,$AJ680=74),"④一般",IF(OR($AJ680=41,$AJ680=47),"⑤短期","対象外"))))))</f>
        <v>⑤短期</v>
      </c>
    </row>
    <row r="681">
      <c r="A681" t="n" s="2909">
        <v>31</v>
      </c>
      <c r="AA681" t="n" s="2909">
        <v>21</v>
      </c>
      <c r="AB681" t="inlineStr" s="2909">
        <is>
          <t>20221001</t>
        </is>
      </c>
      <c r="AD681" t="n" s="2909">
        <v>12</v>
      </c>
      <c r="AE681" t="inlineStr" s="2909">
        <is>
          <t>20250401</t>
        </is>
      </c>
      <c r="AH681" t="n" s="2909">
        <v>1</v>
      </c>
      <c r="AJ681" t="n" s="2909">
        <v>41</v>
      </c>
      <c r="AP681" t="n" s="2909">
        <v>134000</v>
      </c>
      <c r="DB681" s="2909" t="str">
        <f>IF($A681="","",IF($AE681&amp;""&lt;&gt;'DB_設定'!$C$4,"対象外",IF($AH681=20,IF(OR($AJ681=10,$AJ681=11,$AJ681=18),"①病院一般",IF($AJ681=41,"②病院短期","対象外")),IF($AH681=5,IF($AJ681=30,"③特定消防","対象外"),IF(OR($AJ681=10,$AJ681=11,$AJ681=74),"④一般",IF(OR($AJ681=41,$AJ681=47),"⑤短期","対象外"))))))</f>
        <v>⑤短期</v>
      </c>
    </row>
    <row r="682">
      <c r="A682" t="n" s="2909">
        <v>31</v>
      </c>
      <c r="AA682" t="n" s="2909">
        <v>21</v>
      </c>
      <c r="AB682" t="inlineStr" s="2909">
        <is>
          <t>20241001</t>
        </is>
      </c>
      <c r="AD682" t="n" s="2909">
        <v>12</v>
      </c>
      <c r="AE682" t="inlineStr" s="2909">
        <is>
          <t>20250401</t>
        </is>
      </c>
      <c r="AH682" t="n" s="2909">
        <v>1</v>
      </c>
      <c r="AJ682" t="n" s="2909">
        <v>41</v>
      </c>
      <c r="AP682" t="n" s="2909">
        <v>190000</v>
      </c>
      <c r="DB682" s="2909" t="str">
        <f>IF($A682="","",IF($AE682&amp;""&lt;&gt;'DB_設定'!$C$4,"対象外",IF($AH682=20,IF(OR($AJ682=10,$AJ682=11,$AJ682=18),"①病院一般",IF($AJ682=41,"②病院短期","対象外")),IF($AH682=5,IF($AJ682=30,"③特定消防","対象外"),IF(OR($AJ682=10,$AJ682=11,$AJ682=74),"④一般",IF(OR($AJ682=41,$AJ682=47),"⑤短期","対象外"))))))</f>
        <v>⑤短期</v>
      </c>
    </row>
    <row r="683">
      <c r="A683" t="n" s="2909">
        <v>31</v>
      </c>
      <c r="AA683" t="n" s="2909">
        <v>21</v>
      </c>
      <c r="AB683" t="inlineStr" s="2909">
        <is>
          <t>20221001</t>
        </is>
      </c>
      <c r="AD683" t="n" s="2909">
        <v>12</v>
      </c>
      <c r="AE683" t="inlineStr" s="2909">
        <is>
          <t>20250401</t>
        </is>
      </c>
      <c r="AH683" t="n" s="2909">
        <v>4</v>
      </c>
      <c r="AJ683" t="n" s="2909">
        <v>41</v>
      </c>
      <c r="AP683" t="n" s="2909">
        <v>200000</v>
      </c>
      <c r="DB683" s="2909" t="str">
        <f>IF($A683="","",IF($AE683&amp;""&lt;&gt;'DB_設定'!$C$4,"対象外",IF($AH683=20,IF(OR($AJ683=10,$AJ683=11,$AJ683=18),"①病院一般",IF($AJ683=41,"②病院短期","対象外")),IF($AH683=5,IF($AJ683=30,"③特定消防","対象外"),IF(OR($AJ683=10,$AJ683=11,$AJ683=74),"④一般",IF(OR($AJ683=41,$AJ683=47),"⑤短期","対象外"))))))</f>
        <v>⑤短期</v>
      </c>
    </row>
    <row r="684">
      <c r="A684" t="n" s="2909">
        <v>31</v>
      </c>
      <c r="AA684" t="n" s="2909">
        <v>21</v>
      </c>
      <c r="AB684" t="inlineStr" s="2909">
        <is>
          <t>20221001</t>
        </is>
      </c>
      <c r="AD684" t="n" s="2909">
        <v>12</v>
      </c>
      <c r="AE684" t="inlineStr" s="2909">
        <is>
          <t>20250401</t>
        </is>
      </c>
      <c r="AH684" t="n" s="2909">
        <v>20</v>
      </c>
      <c r="AJ684" t="n" s="2909">
        <v>41</v>
      </c>
      <c r="AP684" t="n" s="2909">
        <v>380000</v>
      </c>
      <c r="DB684" s="2909" t="str">
        <f>IF($A684="","",IF($AE684&amp;""&lt;&gt;'DB_設定'!$C$4,"対象外",IF($AH684=20,IF(OR($AJ684=10,$AJ684=11,$AJ684=18),"①病院一般",IF($AJ684=41,"②病院短期","対象外")),IF($AH684=5,IF($AJ684=30,"③特定消防","対象外"),IF(OR($AJ684=10,$AJ684=11,$AJ684=74),"④一般",IF(OR($AJ684=41,$AJ684=47),"⑤短期","対象外"))))))</f>
        <v>②病院短期</v>
      </c>
    </row>
    <row r="685">
      <c r="A685" t="n" s="2909">
        <v>31</v>
      </c>
      <c r="AA685" t="n" s="2909">
        <v>21</v>
      </c>
      <c r="AB685" t="inlineStr" s="2909">
        <is>
          <t>20221001</t>
        </is>
      </c>
      <c r="AD685" t="n" s="2909">
        <v>12</v>
      </c>
      <c r="AE685" t="inlineStr" s="2909">
        <is>
          <t>20250401</t>
        </is>
      </c>
      <c r="AH685" t="n" s="2909">
        <v>1</v>
      </c>
      <c r="AJ685" t="n" s="2909">
        <v>41</v>
      </c>
      <c r="AP685" t="n" s="2909">
        <v>200000</v>
      </c>
      <c r="DB685" s="2909" t="str">
        <f>IF($A685="","",IF($AE685&amp;""&lt;&gt;'DB_設定'!$C$4,"対象外",IF($AH685=20,IF(OR($AJ685=10,$AJ685=11,$AJ685=18),"①病院一般",IF($AJ685=41,"②病院短期","対象外")),IF($AH685=5,IF($AJ685=30,"③特定消防","対象外"),IF(OR($AJ685=10,$AJ685=11,$AJ685=74),"④一般",IF(OR($AJ685=41,$AJ685=47),"⑤短期","対象外"))))))</f>
        <v>⑤短期</v>
      </c>
    </row>
    <row r="686">
      <c r="A686" t="n" s="2909">
        <v>31</v>
      </c>
      <c r="AA686" t="n" s="2909">
        <v>21</v>
      </c>
      <c r="AB686" t="inlineStr" s="2909">
        <is>
          <t>20221001</t>
        </is>
      </c>
      <c r="AD686" t="n" s="2909">
        <v>12</v>
      </c>
      <c r="AE686" t="inlineStr" s="2909">
        <is>
          <t>20250401</t>
        </is>
      </c>
      <c r="AH686" t="n" s="2909">
        <v>1</v>
      </c>
      <c r="AJ686" t="n" s="2909">
        <v>41</v>
      </c>
      <c r="AP686" t="n" s="2909">
        <v>200000</v>
      </c>
      <c r="DB686" s="2909" t="str">
        <f>IF($A686="","",IF($AE686&amp;""&lt;&gt;'DB_設定'!$C$4,"対象外",IF($AH686=20,IF(OR($AJ686=10,$AJ686=11,$AJ686=18),"①病院一般",IF($AJ686=41,"②病院短期","対象外")),IF($AH686=5,IF($AJ686=30,"③特定消防","対象外"),IF(OR($AJ686=10,$AJ686=11,$AJ686=74),"④一般",IF(OR($AJ686=41,$AJ686=47),"⑤短期","対象外"))))))</f>
        <v>⑤短期</v>
      </c>
    </row>
    <row r="687">
      <c r="A687" t="n" s="2909">
        <v>31</v>
      </c>
      <c r="AA687" t="n" s="2909">
        <v>21</v>
      </c>
      <c r="AB687" t="inlineStr" s="2909">
        <is>
          <t>20221001</t>
        </is>
      </c>
      <c r="AD687" t="n" s="2909">
        <v>12</v>
      </c>
      <c r="AE687" t="inlineStr" s="2909">
        <is>
          <t>20250401</t>
        </is>
      </c>
      <c r="AH687" t="n" s="2909">
        <v>4</v>
      </c>
      <c r="AJ687" t="n" s="2909">
        <v>41</v>
      </c>
      <c r="AP687" t="n" s="2909">
        <v>220000</v>
      </c>
      <c r="DB687" s="2909" t="str">
        <f>IF($A687="","",IF($AE687&amp;""&lt;&gt;'DB_設定'!$C$4,"対象外",IF($AH687=20,IF(OR($AJ687=10,$AJ687=11,$AJ687=18),"①病院一般",IF($AJ687=41,"②病院短期","対象外")),IF($AH687=5,IF($AJ687=30,"③特定消防","対象外"),IF(OR($AJ687=10,$AJ687=11,$AJ687=74),"④一般",IF(OR($AJ687=41,$AJ687=47),"⑤短期","対象外"))))))</f>
        <v>⑤短期</v>
      </c>
    </row>
    <row r="688">
      <c r="A688" t="n" s="2909">
        <v>31</v>
      </c>
      <c r="AA688" t="n" s="2909">
        <v>21</v>
      </c>
      <c r="AB688" t="inlineStr" s="2909">
        <is>
          <t>20240401</t>
        </is>
      </c>
      <c r="AD688" t="n" s="2909">
        <v>12</v>
      </c>
      <c r="AE688" t="inlineStr" s="2909">
        <is>
          <t>20250401</t>
        </is>
      </c>
      <c r="AH688" t="n" s="2909">
        <v>20</v>
      </c>
      <c r="AJ688" t="n" s="2909">
        <v>41</v>
      </c>
      <c r="AP688" t="n" s="2909">
        <v>280000</v>
      </c>
      <c r="DB688" s="2909" t="str">
        <f>IF($A688="","",IF($AE688&amp;""&lt;&gt;'DB_設定'!$C$4,"対象外",IF($AH688=20,IF(OR($AJ688=10,$AJ688=11,$AJ688=18),"①病院一般",IF($AJ688=41,"②病院短期","対象外")),IF($AH688=5,IF($AJ688=30,"③特定消防","対象外"),IF(OR($AJ688=10,$AJ688=11,$AJ688=74),"④一般",IF(OR($AJ688=41,$AJ688=47),"⑤短期","対象外"))))))</f>
        <v>②病院短期</v>
      </c>
    </row>
    <row r="689">
      <c r="A689" t="n" s="2909">
        <v>31</v>
      </c>
      <c r="AA689" t="n" s="2909">
        <v>21</v>
      </c>
      <c r="AB689" t="inlineStr" s="2909">
        <is>
          <t>20240401</t>
        </is>
      </c>
      <c r="AD689" t="n" s="2909">
        <v>12</v>
      </c>
      <c r="AE689" t="inlineStr" s="2909">
        <is>
          <t>20250401</t>
        </is>
      </c>
      <c r="AH689" t="n" s="2909">
        <v>1</v>
      </c>
      <c r="AJ689" t="n" s="2909">
        <v>41</v>
      </c>
      <c r="AP689" t="n" s="2909">
        <v>220000</v>
      </c>
      <c r="DB689" s="2909" t="str">
        <f>IF($A689="","",IF($AE689&amp;""&lt;&gt;'DB_設定'!$C$4,"対象外",IF($AH689=20,IF(OR($AJ689=10,$AJ689=11,$AJ689=18),"①病院一般",IF($AJ689=41,"②病院短期","対象外")),IF($AH689=5,IF($AJ689=30,"③特定消防","対象外"),IF(OR($AJ689=10,$AJ689=11,$AJ689=74),"④一般",IF(OR($AJ689=41,$AJ689=47),"⑤短期","対象外"))))))</f>
        <v>⑤短期</v>
      </c>
    </row>
    <row r="690">
      <c r="A690" t="n" s="2909">
        <v>31</v>
      </c>
      <c r="AA690" t="n" s="2909">
        <v>21</v>
      </c>
      <c r="AB690" t="inlineStr" s="2909">
        <is>
          <t>20250401</t>
        </is>
      </c>
      <c r="AD690" t="n" s="2909">
        <v>12</v>
      </c>
      <c r="AE690" t="inlineStr" s="2909">
        <is>
          <t>20250801</t>
        </is>
      </c>
      <c r="AH690" t="n" s="2909">
        <v>1</v>
      </c>
      <c r="AJ690" t="n" s="2909">
        <v>41</v>
      </c>
      <c r="AP690" t="n" s="2909">
        <v>220000</v>
      </c>
      <c r="DB690" s="2909" t="str">
        <f>IF($A690="","",IF($AE690&amp;""&lt;&gt;'DB_設定'!$C$4,"対象外",IF($AH690=20,IF(OR($AJ690=10,$AJ690=11,$AJ690=18),"①病院一般",IF($AJ690=41,"②病院短期","対象外")),IF($AH690=5,IF($AJ690=30,"③特定消防","対象外"),IF(OR($AJ690=10,$AJ690=11,$AJ690=74),"④一般",IF(OR($AJ690=41,$AJ690=47),"⑤短期","対象外"))))))</f>
        <v>対象外</v>
      </c>
    </row>
    <row r="691">
      <c r="A691" t="n" s="2909">
        <v>31</v>
      </c>
      <c r="AA691" t="n" s="2909">
        <v>24</v>
      </c>
      <c r="AB691" t="inlineStr" s="2909">
        <is>
          <t>20240930</t>
        </is>
      </c>
      <c r="AD691" t="n" s="2909">
        <v>12</v>
      </c>
      <c r="AE691" t="inlineStr" s="2909">
        <is>
          <t>20250401</t>
        </is>
      </c>
      <c r="AH691" t="n" s="2909">
        <v>11</v>
      </c>
      <c r="AJ691" t="n" s="2909">
        <v>41</v>
      </c>
      <c r="AP691" t="n" s="2909">
        <v>150000</v>
      </c>
      <c r="DB691" s="2909" t="str">
        <f>IF($A691="","",IF($AE691&amp;""&lt;&gt;'DB_設定'!$C$4,"対象外",IF($AH691=20,IF(OR($AJ691=10,$AJ691=11,$AJ691=18),"①病院一般",IF($AJ691=41,"②病院短期","対象外")),IF($AH691=5,IF($AJ691=30,"③特定消防","対象外"),IF(OR($AJ691=10,$AJ691=11,$AJ691=74),"④一般",IF(OR($AJ691=41,$AJ691=47),"⑤短期","対象外"))))))</f>
        <v>⑤短期</v>
      </c>
    </row>
    <row r="692">
      <c r="A692" t="n" s="2909">
        <v>31</v>
      </c>
      <c r="AA692" t="n" s="2909">
        <v>21</v>
      </c>
      <c r="AB692" t="inlineStr" s="2909">
        <is>
          <t>20221001</t>
        </is>
      </c>
      <c r="AD692" t="n" s="2909">
        <v>12</v>
      </c>
      <c r="AE692" t="inlineStr" s="2909">
        <is>
          <t>20250401</t>
        </is>
      </c>
      <c r="AH692" t="n" s="2909">
        <v>11</v>
      </c>
      <c r="AJ692" t="n" s="2909">
        <v>41</v>
      </c>
      <c r="AP692" t="n" s="2909">
        <v>160000</v>
      </c>
      <c r="DB692" s="2909" t="str">
        <f>IF($A692="","",IF($AE692&amp;""&lt;&gt;'DB_設定'!$C$4,"対象外",IF($AH692=20,IF(OR($AJ692=10,$AJ692=11,$AJ692=18),"①病院一般",IF($AJ692=41,"②病院短期","対象外")),IF($AH692=5,IF($AJ692=30,"③特定消防","対象外"),IF(OR($AJ692=10,$AJ692=11,$AJ692=74),"④一般",IF(OR($AJ692=41,$AJ692=47),"⑤短期","対象外"))))))</f>
        <v>⑤短期</v>
      </c>
    </row>
    <row r="693">
      <c r="A693" t="n" s="2909">
        <v>31</v>
      </c>
      <c r="AA693" t="n" s="2909">
        <v>21</v>
      </c>
      <c r="AB693" t="inlineStr" s="2909">
        <is>
          <t>20221001</t>
        </is>
      </c>
      <c r="AD693" t="n" s="2909">
        <v>12</v>
      </c>
      <c r="AE693" t="inlineStr" s="2909">
        <is>
          <t>20250401</t>
        </is>
      </c>
      <c r="AH693" t="n" s="2909">
        <v>11</v>
      </c>
      <c r="AJ693" t="n" s="2909">
        <v>41</v>
      </c>
      <c r="AP693" t="n" s="2909">
        <v>170000</v>
      </c>
      <c r="DB693" s="2909" t="str">
        <f>IF($A693="","",IF($AE693&amp;""&lt;&gt;'DB_設定'!$C$4,"対象外",IF($AH693=20,IF(OR($AJ693=10,$AJ693=11,$AJ693=18),"①病院一般",IF($AJ693=41,"②病院短期","対象外")),IF($AH693=5,IF($AJ693=30,"③特定消防","対象外"),IF(OR($AJ693=10,$AJ693=11,$AJ693=74),"④一般",IF(OR($AJ693=41,$AJ693=47),"⑤短期","対象外"))))))</f>
        <v>⑤短期</v>
      </c>
    </row>
    <row r="694">
      <c r="A694" t="n" s="2909">
        <v>31</v>
      </c>
      <c r="AA694" t="n" s="2909">
        <v>21</v>
      </c>
      <c r="AB694" t="inlineStr" s="2909">
        <is>
          <t>20221001</t>
        </is>
      </c>
      <c r="AD694" t="n" s="2909">
        <v>12</v>
      </c>
      <c r="AE694" t="inlineStr" s="2909">
        <is>
          <t>20250401</t>
        </is>
      </c>
      <c r="AH694" t="n" s="2909">
        <v>1</v>
      </c>
      <c r="AJ694" t="n" s="2909">
        <v>41</v>
      </c>
      <c r="AP694" t="n" s="2909">
        <v>200000</v>
      </c>
      <c r="DB694" s="2909" t="str">
        <f>IF($A694="","",IF($AE694&amp;""&lt;&gt;'DB_設定'!$C$4,"対象外",IF($AH694=20,IF(OR($AJ694=10,$AJ694=11,$AJ694=18),"①病院一般",IF($AJ694=41,"②病院短期","対象外")),IF($AH694=5,IF($AJ694=30,"③特定消防","対象外"),IF(OR($AJ694=10,$AJ694=11,$AJ694=74),"④一般",IF(OR($AJ694=41,$AJ694=47),"⑤短期","対象外"))))))</f>
        <v>⑤短期</v>
      </c>
    </row>
    <row r="695">
      <c r="A695" t="n" s="2909">
        <v>31</v>
      </c>
      <c r="AA695" t="n" s="2909">
        <v>21</v>
      </c>
      <c r="AB695" t="inlineStr" s="2909">
        <is>
          <t>20221001</t>
        </is>
      </c>
      <c r="AD695" t="n" s="2909">
        <v>12</v>
      </c>
      <c r="AE695" t="inlineStr" s="2909">
        <is>
          <t>20250701</t>
        </is>
      </c>
      <c r="AH695" t="n" s="2909">
        <v>11</v>
      </c>
      <c r="AJ695" t="n" s="2909">
        <v>41</v>
      </c>
      <c r="AP695" t="n" s="2909">
        <v>180000</v>
      </c>
      <c r="DB695" s="2909" t="str">
        <f>IF($A695="","",IF($AE695&amp;""&lt;&gt;'DB_設定'!$C$4,"対象外",IF($AH695=20,IF(OR($AJ695=10,$AJ695=11,$AJ695=18),"①病院一般",IF($AJ695=41,"②病院短期","対象外")),IF($AH695=5,IF($AJ695=30,"③特定消防","対象外"),IF(OR($AJ695=10,$AJ695=11,$AJ695=74),"④一般",IF(OR($AJ695=41,$AJ695=47),"⑤短期","対象外"))))))</f>
        <v>対象外</v>
      </c>
    </row>
    <row r="696">
      <c r="A696" t="n" s="2909">
        <v>31</v>
      </c>
      <c r="AA696" t="n" s="2909">
        <v>21</v>
      </c>
      <c r="AB696" t="inlineStr" s="2909">
        <is>
          <t>20240401</t>
        </is>
      </c>
      <c r="AD696" t="n" s="2909">
        <v>12</v>
      </c>
      <c r="AE696" t="inlineStr" s="2909">
        <is>
          <t>20250401</t>
        </is>
      </c>
      <c r="AH696" t="n" s="2909">
        <v>3</v>
      </c>
      <c r="AJ696" t="n" s="2909">
        <v>41</v>
      </c>
      <c r="AP696" t="n" s="2909">
        <v>240000</v>
      </c>
      <c r="DB696" s="2909" t="str">
        <f>IF($A696="","",IF($AE696&amp;""&lt;&gt;'DB_設定'!$C$4,"対象外",IF($AH696=20,IF(OR($AJ696=10,$AJ696=11,$AJ696=18),"①病院一般",IF($AJ696=41,"②病院短期","対象外")),IF($AH696=5,IF($AJ696=30,"③特定消防","対象外"),IF(OR($AJ696=10,$AJ696=11,$AJ696=74),"④一般",IF(OR($AJ696=41,$AJ696=47),"⑤短期","対象外"))))))</f>
        <v>⑤短期</v>
      </c>
    </row>
    <row r="697">
      <c r="A697" t="n" s="2909">
        <v>31</v>
      </c>
      <c r="AA697" t="n" s="2909">
        <v>21</v>
      </c>
      <c r="AB697" t="inlineStr" s="2909">
        <is>
          <t>20221001</t>
        </is>
      </c>
      <c r="AD697" t="n" s="2909">
        <v>12</v>
      </c>
      <c r="AE697" t="inlineStr" s="2909">
        <is>
          <t>20250401</t>
        </is>
      </c>
      <c r="AH697" t="n" s="2909">
        <v>1</v>
      </c>
      <c r="AJ697" t="n" s="2909">
        <v>41</v>
      </c>
      <c r="AP697" t="n" s="2909">
        <v>180000</v>
      </c>
      <c r="DB697" s="2909" t="str">
        <f>IF($A697="","",IF($AE697&amp;""&lt;&gt;'DB_設定'!$C$4,"対象外",IF($AH697=20,IF(OR($AJ697=10,$AJ697=11,$AJ697=18),"①病院一般",IF($AJ697=41,"②病院短期","対象外")),IF($AH697=5,IF($AJ697=30,"③特定消防","対象外"),IF(OR($AJ697=10,$AJ697=11,$AJ697=74),"④一般",IF(OR($AJ697=41,$AJ697=47),"⑤短期","対象外"))))))</f>
        <v>⑤短期</v>
      </c>
    </row>
    <row r="698">
      <c r="A698" t="n" s="2909">
        <v>31</v>
      </c>
      <c r="AA698" t="n" s="2909">
        <v>21</v>
      </c>
      <c r="AB698" t="inlineStr" s="2909">
        <is>
          <t>20221001</t>
        </is>
      </c>
      <c r="AD698" t="n" s="2909">
        <v>12</v>
      </c>
      <c r="AE698" t="inlineStr" s="2909">
        <is>
          <t>20250401</t>
        </is>
      </c>
      <c r="AH698" t="n" s="2909">
        <v>20</v>
      </c>
      <c r="AJ698" t="n" s="2909">
        <v>41</v>
      </c>
      <c r="AP698" t="n" s="2909">
        <v>240000</v>
      </c>
      <c r="DB698" s="2909" t="str">
        <f>IF($A698="","",IF($AE698&amp;""&lt;&gt;'DB_設定'!$C$4,"対象外",IF($AH698=20,IF(OR($AJ698=10,$AJ698=11,$AJ698=18),"①病院一般",IF($AJ698=41,"②病院短期","対象外")),IF($AH698=5,IF($AJ698=30,"③特定消防","対象外"),IF(OR($AJ698=10,$AJ698=11,$AJ698=74),"④一般",IF(OR($AJ698=41,$AJ698=47),"⑤短期","対象外"))))))</f>
        <v>②病院短期</v>
      </c>
    </row>
    <row r="699">
      <c r="A699" t="n" s="2909">
        <v>31</v>
      </c>
      <c r="AA699" t="n" s="2909">
        <v>21</v>
      </c>
      <c r="AB699" t="inlineStr" s="2909">
        <is>
          <t>20250411</t>
        </is>
      </c>
      <c r="AD699" t="n" s="2909">
        <v>12</v>
      </c>
      <c r="AE699" t="inlineStr" s="2909">
        <is>
          <t>20250531</t>
        </is>
      </c>
      <c r="AH699" t="n" s="2909">
        <v>11</v>
      </c>
      <c r="AJ699" t="n" s="2909">
        <v>41</v>
      </c>
      <c r="AP699" t="n" s="2909">
        <v>142000</v>
      </c>
      <c r="DB699" s="2909" t="str">
        <f>IF($A699="","",IF($AE699&amp;""&lt;&gt;'DB_設定'!$C$4,"対象外",IF($AH699=20,IF(OR($AJ699=10,$AJ699=11,$AJ699=18),"①病院一般",IF($AJ699=41,"②病院短期","対象外")),IF($AH699=5,IF($AJ699=30,"③特定消防","対象外"),IF(OR($AJ699=10,$AJ699=11,$AJ699=74),"④一般",IF(OR($AJ699=41,$AJ699=47),"⑤短期","対象外"))))))</f>
        <v>対象外</v>
      </c>
    </row>
    <row r="700">
      <c r="A700" t="n" s="2909">
        <v>31</v>
      </c>
      <c r="AA700" t="n" s="2909">
        <v>21</v>
      </c>
      <c r="AB700" t="inlineStr" s="2909">
        <is>
          <t>20230401</t>
        </is>
      </c>
      <c r="AD700" t="n" s="2909">
        <v>12</v>
      </c>
      <c r="AE700" t="inlineStr" s="2909">
        <is>
          <t>20250401</t>
        </is>
      </c>
      <c r="AH700" t="n" s="2909">
        <v>1</v>
      </c>
      <c r="AJ700" t="n" s="2909">
        <v>41</v>
      </c>
      <c r="AP700" t="n" s="2909">
        <v>200000</v>
      </c>
      <c r="DB700" s="2909" t="str">
        <f>IF($A700="","",IF($AE700&amp;""&lt;&gt;'DB_設定'!$C$4,"対象外",IF($AH700=20,IF(OR($AJ700=10,$AJ700=11,$AJ700=18),"①病院一般",IF($AJ700=41,"②病院短期","対象外")),IF($AH700=5,IF($AJ700=30,"③特定消防","対象外"),IF(OR($AJ700=10,$AJ700=11,$AJ700=74),"④一般",IF(OR($AJ700=41,$AJ700=47),"⑤短期","対象外"))))))</f>
        <v>⑤短期</v>
      </c>
    </row>
    <row r="701">
      <c r="A701" t="n" s="2909">
        <v>31</v>
      </c>
      <c r="AA701" t="n" s="2909">
        <v>21</v>
      </c>
      <c r="AB701" t="inlineStr" s="2909">
        <is>
          <t>20221001</t>
        </is>
      </c>
      <c r="AD701" t="n" s="2909">
        <v>12</v>
      </c>
      <c r="AE701" t="inlineStr" s="2909">
        <is>
          <t>20250801</t>
        </is>
      </c>
      <c r="AH701" t="n" s="2909">
        <v>1</v>
      </c>
      <c r="AJ701" t="n" s="2909">
        <v>41</v>
      </c>
      <c r="AP701" t="n" s="2909">
        <v>142000</v>
      </c>
      <c r="DB701" s="2909" t="str">
        <f>IF($A701="","",IF($AE701&amp;""&lt;&gt;'DB_設定'!$C$4,"対象外",IF($AH701=20,IF(OR($AJ701=10,$AJ701=11,$AJ701=18),"①病院一般",IF($AJ701=41,"②病院短期","対象外")),IF($AH701=5,IF($AJ701=30,"③特定消防","対象外"),IF(OR($AJ701=10,$AJ701=11,$AJ701=74),"④一般",IF(OR($AJ701=41,$AJ701=47),"⑤短期","対象外"))))))</f>
        <v>対象外</v>
      </c>
    </row>
    <row r="702">
      <c r="A702" t="n" s="2909">
        <v>31</v>
      </c>
      <c r="AA702" t="n" s="2909">
        <v>21</v>
      </c>
      <c r="AB702" t="inlineStr" s="2909">
        <is>
          <t>20221001</t>
        </is>
      </c>
      <c r="AD702" t="n" s="2909">
        <v>12</v>
      </c>
      <c r="AE702" t="inlineStr" s="2909">
        <is>
          <t>20250401</t>
        </is>
      </c>
      <c r="AH702" t="n" s="2909">
        <v>1</v>
      </c>
      <c r="AJ702" t="n" s="2909">
        <v>41</v>
      </c>
      <c r="AP702" t="n" s="2909">
        <v>134000</v>
      </c>
      <c r="DB702" s="2909" t="str">
        <f>IF($A702="","",IF($AE702&amp;""&lt;&gt;'DB_設定'!$C$4,"対象外",IF($AH702=20,IF(OR($AJ702=10,$AJ702=11,$AJ702=18),"①病院一般",IF($AJ702=41,"②病院短期","対象外")),IF($AH702=5,IF($AJ702=30,"③特定消防","対象外"),IF(OR($AJ702=10,$AJ702=11,$AJ702=74),"④一般",IF(OR($AJ702=41,$AJ702=47),"⑤短期","対象外"))))))</f>
        <v>⑤短期</v>
      </c>
    </row>
    <row r="703">
      <c r="A703" t="n" s="2909">
        <v>31</v>
      </c>
      <c r="AA703" t="n" s="2909">
        <v>24</v>
      </c>
      <c r="AB703" t="inlineStr" s="2909">
        <is>
          <t>20241001</t>
        </is>
      </c>
      <c r="AD703" t="n" s="2909">
        <v>12</v>
      </c>
      <c r="AE703" t="inlineStr" s="2909">
        <is>
          <t>20250401</t>
        </is>
      </c>
      <c r="AH703" t="n" s="2909">
        <v>1</v>
      </c>
      <c r="AJ703" t="n" s="2909">
        <v>47</v>
      </c>
      <c r="AP703" t="n" s="2909">
        <v>160000</v>
      </c>
      <c r="DB703" s="2909" t="str">
        <f>IF($A703="","",IF($AE703&amp;""&lt;&gt;'DB_設定'!$C$4,"対象外",IF($AH703=20,IF(OR($AJ703=10,$AJ703=11,$AJ703=18),"①病院一般",IF($AJ703=41,"②病院短期","対象外")),IF($AH703=5,IF($AJ703=30,"③特定消防","対象外"),IF(OR($AJ703=10,$AJ703=11,$AJ703=74),"④一般",IF(OR($AJ703=41,$AJ703=47),"⑤短期","対象外"))))))</f>
        <v>⑤短期</v>
      </c>
    </row>
    <row r="704">
      <c r="A704" t="n" s="2909">
        <v>31</v>
      </c>
      <c r="AA704" t="n" s="2909">
        <v>21</v>
      </c>
      <c r="AB704" t="inlineStr" s="2909">
        <is>
          <t>20221001</t>
        </is>
      </c>
      <c r="AD704" t="n" s="2909">
        <v>12</v>
      </c>
      <c r="AE704" t="inlineStr" s="2909">
        <is>
          <t>20250401</t>
        </is>
      </c>
      <c r="AH704" t="n" s="2909">
        <v>1</v>
      </c>
      <c r="AJ704" t="n" s="2909">
        <v>41</v>
      </c>
      <c r="AP704" t="n" s="2909">
        <v>180000</v>
      </c>
      <c r="DB704" s="2909" t="str">
        <f>IF($A704="","",IF($AE704&amp;""&lt;&gt;'DB_設定'!$C$4,"対象外",IF($AH704=20,IF(OR($AJ704=10,$AJ704=11,$AJ704=18),"①病院一般",IF($AJ704=41,"②病院短期","対象外")),IF($AH704=5,IF($AJ704=30,"③特定消防","対象外"),IF(OR($AJ704=10,$AJ704=11,$AJ704=74),"④一般",IF(OR($AJ704=41,$AJ704=47),"⑤短期","対象外"))))))</f>
        <v>⑤短期</v>
      </c>
    </row>
    <row r="705">
      <c r="A705" t="n" s="2909">
        <v>31</v>
      </c>
      <c r="AA705" t="n" s="2909">
        <v>21</v>
      </c>
      <c r="AB705" t="inlineStr" s="2909">
        <is>
          <t>20221001</t>
        </is>
      </c>
      <c r="AD705" t="n" s="2909">
        <v>12</v>
      </c>
      <c r="AE705" t="inlineStr" s="2909">
        <is>
          <t>20250501</t>
        </is>
      </c>
      <c r="AH705" t="n" s="2909">
        <v>1</v>
      </c>
      <c r="AJ705" t="n" s="2909">
        <v>41</v>
      </c>
      <c r="AP705" t="n" s="2909">
        <v>180000</v>
      </c>
      <c r="DB705" s="2909" t="str">
        <f>IF($A705="","",IF($AE705&amp;""&lt;&gt;'DB_設定'!$C$4,"対象外",IF($AH705=20,IF(OR($AJ705=10,$AJ705=11,$AJ705=18),"①病院一般",IF($AJ705=41,"②病院短期","対象外")),IF($AH705=5,IF($AJ705=30,"③特定消防","対象外"),IF(OR($AJ705=10,$AJ705=11,$AJ705=74),"④一般",IF(OR($AJ705=41,$AJ705=47),"⑤短期","対象外"))))))</f>
        <v>対象外</v>
      </c>
    </row>
    <row r="706">
      <c r="A706" t="n" s="2909">
        <v>31</v>
      </c>
      <c r="AA706" t="n" s="2909">
        <v>21</v>
      </c>
      <c r="AB706" t="inlineStr" s="2909">
        <is>
          <t>20221001</t>
        </is>
      </c>
      <c r="AD706" t="n" s="2909">
        <v>12</v>
      </c>
      <c r="AE706" t="inlineStr" s="2909">
        <is>
          <t>20250801</t>
        </is>
      </c>
      <c r="AH706" t="n" s="2909">
        <v>1</v>
      </c>
      <c r="AJ706" t="n" s="2909">
        <v>47</v>
      </c>
      <c r="AP706" t="n" s="2909">
        <v>118000</v>
      </c>
      <c r="DB706" s="2909" t="str">
        <f>IF($A706="","",IF($AE706&amp;""&lt;&gt;'DB_設定'!$C$4,"対象外",IF($AH706=20,IF(OR($AJ706=10,$AJ706=11,$AJ706=18),"①病院一般",IF($AJ706=41,"②病院短期","対象外")),IF($AH706=5,IF($AJ706=30,"③特定消防","対象外"),IF(OR($AJ706=10,$AJ706=11,$AJ706=74),"④一般",IF(OR($AJ706=41,$AJ706=47),"⑤短期","対象外"))))))</f>
        <v>対象外</v>
      </c>
    </row>
    <row r="707">
      <c r="A707" t="n" s="2909">
        <v>31</v>
      </c>
      <c r="AA707" t="n" s="2909">
        <v>21</v>
      </c>
      <c r="AB707" t="inlineStr" s="2909">
        <is>
          <t>20221001</t>
        </is>
      </c>
      <c r="AD707" t="n" s="2909">
        <v>12</v>
      </c>
      <c r="AE707" t="inlineStr" s="2909">
        <is>
          <t>20250401</t>
        </is>
      </c>
      <c r="AH707" t="n" s="2909">
        <v>1</v>
      </c>
      <c r="AJ707" t="n" s="2909">
        <v>41</v>
      </c>
      <c r="AP707" t="n" s="2909">
        <v>118000</v>
      </c>
      <c r="DB707" s="2909" t="str">
        <f>IF($A707="","",IF($AE707&amp;""&lt;&gt;'DB_設定'!$C$4,"対象外",IF($AH707=20,IF(OR($AJ707=10,$AJ707=11,$AJ707=18),"①病院一般",IF($AJ707=41,"②病院短期","対象外")),IF($AH707=5,IF($AJ707=30,"③特定消防","対象外"),IF(OR($AJ707=10,$AJ707=11,$AJ707=74),"④一般",IF(OR($AJ707=41,$AJ707=47),"⑤短期","対象外"))))))</f>
        <v>⑤短期</v>
      </c>
    </row>
    <row r="708">
      <c r="A708" t="n" s="2909">
        <v>31</v>
      </c>
      <c r="AA708" t="n" s="2909">
        <v>21</v>
      </c>
      <c r="AB708" t="inlineStr" s="2909">
        <is>
          <t>20221001</t>
        </is>
      </c>
      <c r="AD708" t="n" s="2909">
        <v>12</v>
      </c>
      <c r="AE708" t="inlineStr" s="2909">
        <is>
          <t>20250401</t>
        </is>
      </c>
      <c r="AH708" t="n" s="2909">
        <v>1</v>
      </c>
      <c r="AJ708" t="n" s="2909">
        <v>41</v>
      </c>
      <c r="AP708" t="n" s="2909">
        <v>200000</v>
      </c>
      <c r="DB708" s="2909" t="str">
        <f>IF($A708="","",IF($AE708&amp;""&lt;&gt;'DB_設定'!$C$4,"対象外",IF($AH708=20,IF(OR($AJ708=10,$AJ708=11,$AJ708=18),"①病院一般",IF($AJ708=41,"②病院短期","対象外")),IF($AH708=5,IF($AJ708=30,"③特定消防","対象外"),IF(OR($AJ708=10,$AJ708=11,$AJ708=74),"④一般",IF(OR($AJ708=41,$AJ708=47),"⑤短期","対象外"))))))</f>
        <v>⑤短期</v>
      </c>
    </row>
    <row r="709">
      <c r="A709" t="n" s="2909">
        <v>31</v>
      </c>
      <c r="AA709" t="n" s="2909">
        <v>21</v>
      </c>
      <c r="AB709" t="inlineStr" s="2909">
        <is>
          <t>20240401</t>
        </is>
      </c>
      <c r="AD709" t="n" s="2909">
        <v>12</v>
      </c>
      <c r="AE709" t="inlineStr" s="2909">
        <is>
          <t>20250401</t>
        </is>
      </c>
      <c r="AH709" t="n" s="2909">
        <v>1</v>
      </c>
      <c r="AJ709" t="n" s="2909">
        <v>41</v>
      </c>
      <c r="AP709" t="n" s="2909">
        <v>240000</v>
      </c>
      <c r="DB709" s="2909" t="str">
        <f>IF($A709="","",IF($AE709&amp;""&lt;&gt;'DB_設定'!$C$4,"対象外",IF($AH709=20,IF(OR($AJ709=10,$AJ709=11,$AJ709=18),"①病院一般",IF($AJ709=41,"②病院短期","対象外")),IF($AH709=5,IF($AJ709=30,"③特定消防","対象外"),IF(OR($AJ709=10,$AJ709=11,$AJ709=74),"④一般",IF(OR($AJ709=41,$AJ709=47),"⑤短期","対象外"))))))</f>
        <v>⑤短期</v>
      </c>
    </row>
    <row r="710">
      <c r="A710" t="n" s="2909">
        <v>31</v>
      </c>
      <c r="AA710" t="n" s="2909">
        <v>21</v>
      </c>
      <c r="AB710" t="inlineStr" s="2909">
        <is>
          <t>20221001</t>
        </is>
      </c>
      <c r="AD710" t="n" s="2909">
        <v>12</v>
      </c>
      <c r="AE710" t="inlineStr" s="2909">
        <is>
          <t>20250401</t>
        </is>
      </c>
      <c r="AH710" t="n" s="2909">
        <v>1</v>
      </c>
      <c r="AJ710" t="n" s="2909">
        <v>41</v>
      </c>
      <c r="AP710" t="n" s="2909">
        <v>180000</v>
      </c>
      <c r="DB710" s="2909" t="str">
        <f>IF($A710="","",IF($AE710&amp;""&lt;&gt;'DB_設定'!$C$4,"対象外",IF($AH710=20,IF(OR($AJ710=10,$AJ710=11,$AJ710=18),"①病院一般",IF($AJ710=41,"②病院短期","対象外")),IF($AH710=5,IF($AJ710=30,"③特定消防","対象外"),IF(OR($AJ710=10,$AJ710=11,$AJ710=74),"④一般",IF(OR($AJ710=41,$AJ710=47),"⑤短期","対象外"))))))</f>
        <v>⑤短期</v>
      </c>
    </row>
    <row r="711">
      <c r="A711" t="n" s="2909">
        <v>31</v>
      </c>
      <c r="AA711" t="n" s="2909">
        <v>21</v>
      </c>
      <c r="AB711" t="inlineStr" s="2909">
        <is>
          <t>20221001</t>
        </is>
      </c>
      <c r="AD711" t="n" s="2909">
        <v>12</v>
      </c>
      <c r="AE711" t="inlineStr" s="2909">
        <is>
          <t>20250727</t>
        </is>
      </c>
      <c r="AH711" t="n" s="2909">
        <v>1</v>
      </c>
      <c r="AJ711" t="n" s="2909">
        <v>41</v>
      </c>
      <c r="AP711" t="n" s="2909">
        <v>190000</v>
      </c>
      <c r="DB711" s="2909" t="str">
        <f>IF($A711="","",IF($AE711&amp;""&lt;&gt;'DB_設定'!$C$4,"対象外",IF($AH711=20,IF(OR($AJ711=10,$AJ711=11,$AJ711=18),"①病院一般",IF($AJ711=41,"②病院短期","対象外")),IF($AH711=5,IF($AJ711=30,"③特定消防","対象外"),IF(OR($AJ711=10,$AJ711=11,$AJ711=74),"④一般",IF(OR($AJ711=41,$AJ711=47),"⑤短期","対象外"))))))</f>
        <v>対象外</v>
      </c>
    </row>
    <row r="712">
      <c r="A712" t="n" s="2909">
        <v>31</v>
      </c>
      <c r="AA712" t="n" s="2909">
        <v>24</v>
      </c>
      <c r="AB712" t="inlineStr" s="2909">
        <is>
          <t>20250501</t>
        </is>
      </c>
      <c r="AD712" t="n" s="2909">
        <v>12</v>
      </c>
      <c r="AE712" t="inlineStr" s="2909">
        <is>
          <t>20250901</t>
        </is>
      </c>
      <c r="AH712" t="n" s="2909">
        <v>11</v>
      </c>
      <c r="AJ712" t="n" s="2909">
        <v>41</v>
      </c>
      <c r="AP712" t="n" s="2909">
        <v>126000</v>
      </c>
      <c r="DB712" s="2909" t="str">
        <f>IF($A712="","",IF($AE712&amp;""&lt;&gt;'DB_設定'!$C$4,"対象外",IF($AH712=20,IF(OR($AJ712=10,$AJ712=11,$AJ712=18),"①病院一般",IF($AJ712=41,"②病院短期","対象外")),IF($AH712=5,IF($AJ712=30,"③特定消防","対象外"),IF(OR($AJ712=10,$AJ712=11,$AJ712=74),"④一般",IF(OR($AJ712=41,$AJ712=47),"⑤短期","対象外"))))))</f>
        <v>対象外</v>
      </c>
    </row>
    <row r="713">
      <c r="A713" t="n" s="2909">
        <v>31</v>
      </c>
      <c r="AA713" t="n" s="2909">
        <v>21</v>
      </c>
      <c r="AB713" t="inlineStr" s="2909">
        <is>
          <t>20221001</t>
        </is>
      </c>
      <c r="AD713" t="n" s="2909">
        <v>12</v>
      </c>
      <c r="AE713" t="inlineStr" s="2909">
        <is>
          <t>20250401</t>
        </is>
      </c>
      <c r="AH713" t="n" s="2909">
        <v>1</v>
      </c>
      <c r="AJ713" t="n" s="2909">
        <v>41</v>
      </c>
      <c r="AP713" t="n" s="2909">
        <v>118000</v>
      </c>
      <c r="DB713" s="2909" t="str">
        <f>IF($A713="","",IF($AE713&amp;""&lt;&gt;'DB_設定'!$C$4,"対象外",IF($AH713=20,IF(OR($AJ713=10,$AJ713=11,$AJ713=18),"①病院一般",IF($AJ713=41,"②病院短期","対象外")),IF($AH713=5,IF($AJ713=30,"③特定消防","対象外"),IF(OR($AJ713=10,$AJ713=11,$AJ713=74),"④一般",IF(OR($AJ713=41,$AJ713=47),"⑤短期","対象外"))))))</f>
        <v>⑤短期</v>
      </c>
    </row>
    <row r="714">
      <c r="A714" t="n" s="2909">
        <v>31</v>
      </c>
      <c r="AA714" t="n" s="2909">
        <v>21</v>
      </c>
      <c r="AB714" t="inlineStr" s="2909">
        <is>
          <t>20250601</t>
        </is>
      </c>
      <c r="AD714" t="n" s="2909">
        <v>12</v>
      </c>
      <c r="AE714" t="inlineStr" s="2909">
        <is>
          <t>20251001</t>
        </is>
      </c>
      <c r="AH714" t="n" s="2909">
        <v>1</v>
      </c>
      <c r="AJ714" t="n" s="2909">
        <v>41</v>
      </c>
      <c r="AP714" t="n" s="2909">
        <v>180000</v>
      </c>
      <c r="DB714" s="2909" t="str">
        <f>IF($A714="","",IF($AE714&amp;""&lt;&gt;'DB_設定'!$C$4,"対象外",IF($AH714=20,IF(OR($AJ714=10,$AJ714=11,$AJ714=18),"①病院一般",IF($AJ714=41,"②病院短期","対象外")),IF($AH714=5,IF($AJ714=30,"③特定消防","対象外"),IF(OR($AJ714=10,$AJ714=11,$AJ714=74),"④一般",IF(OR($AJ714=41,$AJ714=47),"⑤短期","対象外"))))))</f>
        <v>対象外</v>
      </c>
    </row>
    <row r="715">
      <c r="A715" t="n" s="2909">
        <v>31</v>
      </c>
      <c r="AA715" t="n" s="2909">
        <v>21</v>
      </c>
      <c r="AB715" t="inlineStr" s="2909">
        <is>
          <t>20221001</t>
        </is>
      </c>
      <c r="AD715" t="n" s="2909">
        <v>12</v>
      </c>
      <c r="AE715" t="inlineStr" s="2909">
        <is>
          <t>20250401</t>
        </is>
      </c>
      <c r="AH715" t="n" s="2909">
        <v>1</v>
      </c>
      <c r="AJ715" t="n" s="2909">
        <v>41</v>
      </c>
      <c r="AP715" t="n" s="2909">
        <v>126000</v>
      </c>
      <c r="DB715" s="2909" t="str">
        <f>IF($A715="","",IF($AE715&amp;""&lt;&gt;'DB_設定'!$C$4,"対象外",IF($AH715=20,IF(OR($AJ715=10,$AJ715=11,$AJ715=18),"①病院一般",IF($AJ715=41,"②病院短期","対象外")),IF($AH715=5,IF($AJ715=30,"③特定消防","対象外"),IF(OR($AJ715=10,$AJ715=11,$AJ715=74),"④一般",IF(OR($AJ715=41,$AJ715=47),"⑤短期","対象外"))))))</f>
        <v>⑤短期</v>
      </c>
    </row>
    <row r="716">
      <c r="A716" t="n" s="2909">
        <v>31</v>
      </c>
      <c r="AA716" t="n" s="2909">
        <v>21</v>
      </c>
      <c r="AB716" t="inlineStr" s="2909">
        <is>
          <t>20240401</t>
        </is>
      </c>
      <c r="AD716" t="n" s="2909">
        <v>15</v>
      </c>
      <c r="AE716" t="inlineStr" s="2909">
        <is>
          <t>20250727</t>
        </is>
      </c>
      <c r="AH716" t="n" s="2909">
        <v>11</v>
      </c>
      <c r="AJ716" t="n" s="2909">
        <v>41</v>
      </c>
      <c r="AP716" t="n" s="2909">
        <v>220000</v>
      </c>
      <c r="DB716" s="2909" t="str">
        <f>IF($A716="","",IF($AE716&amp;""&lt;&gt;'DB_設定'!$C$4,"対象外",IF($AH716=20,IF(OR($AJ716=10,$AJ716=11,$AJ716=18),"①病院一般",IF($AJ716=41,"②病院短期","対象外")),IF($AH716=5,IF($AJ716=30,"③特定消防","対象外"),IF(OR($AJ716=10,$AJ716=11,$AJ716=74),"④一般",IF(OR($AJ716=41,$AJ716=47),"⑤短期","対象外"))))))</f>
        <v>対象外</v>
      </c>
    </row>
    <row r="717">
      <c r="A717" t="n" s="2909">
        <v>31</v>
      </c>
      <c r="AA717" t="n" s="2909">
        <v>21</v>
      </c>
      <c r="AB717" t="inlineStr" s="2909">
        <is>
          <t>20221001</t>
        </is>
      </c>
      <c r="AD717" t="n" s="2909">
        <v>11</v>
      </c>
      <c r="AE717" t="inlineStr" s="2909">
        <is>
          <t>20250401</t>
        </is>
      </c>
      <c r="AH717" t="n" s="2909">
        <v>20</v>
      </c>
      <c r="AJ717" t="n" s="2909">
        <v>41</v>
      </c>
      <c r="AP717" t="n" s="2909">
        <v>220000</v>
      </c>
      <c r="DB717" s="2909" t="str">
        <f>IF($A717="","",IF($AE717&amp;""&lt;&gt;'DB_設定'!$C$4,"対象外",IF($AH717=20,IF(OR($AJ717=10,$AJ717=11,$AJ717=18),"①病院一般",IF($AJ717=41,"②病院短期","対象外")),IF($AH717=5,IF($AJ717=30,"③特定消防","対象外"),IF(OR($AJ717=10,$AJ717=11,$AJ717=74),"④一般",IF(OR($AJ717=41,$AJ717=47),"⑤短期","対象外"))))))</f>
        <v>②病院短期</v>
      </c>
    </row>
    <row r="718">
      <c r="A718" t="n" s="2909">
        <v>31</v>
      </c>
      <c r="AA718" t="n" s="2909">
        <v>24</v>
      </c>
      <c r="AB718" t="inlineStr" s="2909">
        <is>
          <t>20221201</t>
        </is>
      </c>
      <c r="AD718" t="n" s="2909">
        <v>12</v>
      </c>
      <c r="AE718" t="inlineStr" s="2909">
        <is>
          <t>20250501</t>
        </is>
      </c>
      <c r="AH718" t="n" s="2909">
        <v>1</v>
      </c>
      <c r="AJ718" t="n" s="2909">
        <v>41</v>
      </c>
      <c r="AP718" t="n" s="2909">
        <v>126000</v>
      </c>
      <c r="DB718" s="2909" t="str">
        <f>IF($A718="","",IF($AE718&amp;""&lt;&gt;'DB_設定'!$C$4,"対象外",IF($AH718=20,IF(OR($AJ718=10,$AJ718=11,$AJ718=18),"①病院一般",IF($AJ718=41,"②病院短期","対象外")),IF($AH718=5,IF($AJ718=30,"③特定消防","対象外"),IF(OR($AJ718=10,$AJ718=11,$AJ718=74),"④一般",IF(OR($AJ718=41,$AJ718=47),"⑤短期","対象外"))))))</f>
        <v>対象外</v>
      </c>
    </row>
    <row r="719">
      <c r="A719" t="n" s="2909">
        <v>31</v>
      </c>
      <c r="AA719" t="n" s="2909">
        <v>24</v>
      </c>
      <c r="AB719" t="inlineStr" s="2909">
        <is>
          <t>20241220</t>
        </is>
      </c>
      <c r="AD719" t="n" s="2909">
        <v>12</v>
      </c>
      <c r="AE719" t="inlineStr" s="2909">
        <is>
          <t>20250401</t>
        </is>
      </c>
      <c r="AH719" t="n" s="2909">
        <v>1</v>
      </c>
      <c r="AJ719" t="n" s="2909">
        <v>41</v>
      </c>
      <c r="AP719" t="n" s="2909">
        <v>126000</v>
      </c>
      <c r="DB719" s="2909" t="str">
        <f>IF($A719="","",IF($AE719&amp;""&lt;&gt;'DB_設定'!$C$4,"対象外",IF($AH719=20,IF(OR($AJ719=10,$AJ719=11,$AJ719=18),"①病院一般",IF($AJ719=41,"②病院短期","対象外")),IF($AH719=5,IF($AJ719=30,"③特定消防","対象外"),IF(OR($AJ719=10,$AJ719=11,$AJ719=74),"④一般",IF(OR($AJ719=41,$AJ719=47),"⑤短期","対象外"))))))</f>
        <v>⑤短期</v>
      </c>
    </row>
    <row r="720">
      <c r="A720" t="n" s="2909">
        <v>31</v>
      </c>
      <c r="AA720" t="n" s="2909">
        <v>21</v>
      </c>
      <c r="AB720" t="inlineStr" s="2909">
        <is>
          <t>20221001</t>
        </is>
      </c>
      <c r="AD720" t="n" s="2909">
        <v>11</v>
      </c>
      <c r="AE720" t="inlineStr" s="2909">
        <is>
          <t>20250401</t>
        </is>
      </c>
      <c r="AH720" t="n" s="2909">
        <v>1</v>
      </c>
      <c r="AJ720" t="n" s="2909">
        <v>41</v>
      </c>
      <c r="AP720" t="n" s="2909">
        <v>118000</v>
      </c>
      <c r="DB720" s="2909" t="str">
        <f>IF($A720="","",IF($AE720&amp;""&lt;&gt;'DB_設定'!$C$4,"対象外",IF($AH720=20,IF(OR($AJ720=10,$AJ720=11,$AJ720=18),"①病院一般",IF($AJ720=41,"②病院短期","対象外")),IF($AH720=5,IF($AJ720=30,"③特定消防","対象外"),IF(OR($AJ720=10,$AJ720=11,$AJ720=74),"④一般",IF(OR($AJ720=41,$AJ720=47),"⑤短期","対象外"))))))</f>
        <v>⑤短期</v>
      </c>
    </row>
    <row r="721">
      <c r="A721" t="n" s="2909">
        <v>31</v>
      </c>
      <c r="AA721" t="n" s="2909">
        <v>21</v>
      </c>
      <c r="AB721" t="inlineStr" s="2909">
        <is>
          <t>20221001</t>
        </is>
      </c>
      <c r="AD721" t="n" s="2909">
        <v>11</v>
      </c>
      <c r="AE721" t="inlineStr" s="2909">
        <is>
          <t>20250401</t>
        </is>
      </c>
      <c r="AH721" t="n" s="2909">
        <v>1</v>
      </c>
      <c r="AJ721" t="n" s="2909">
        <v>41</v>
      </c>
      <c r="AP721" t="n" s="2909">
        <v>134000</v>
      </c>
      <c r="DB721" s="2909" t="str">
        <f>IF($A721="","",IF($AE721&amp;""&lt;&gt;'DB_設定'!$C$4,"対象外",IF($AH721=20,IF(OR($AJ721=10,$AJ721=11,$AJ721=18),"①病院一般",IF($AJ721=41,"②病院短期","対象外")),IF($AH721=5,IF($AJ721=30,"③特定消防","対象外"),IF(OR($AJ721=10,$AJ721=11,$AJ721=74),"④一般",IF(OR($AJ721=41,$AJ721=47),"⑤短期","対象外"))))))</f>
        <v>⑤短期</v>
      </c>
    </row>
    <row r="722">
      <c r="A722" t="n" s="2909">
        <v>31</v>
      </c>
      <c r="AA722" t="n" s="2909">
        <v>21</v>
      </c>
      <c r="AB722" t="inlineStr" s="2909">
        <is>
          <t>20221001</t>
        </is>
      </c>
      <c r="AD722" t="n" s="2909">
        <v>11</v>
      </c>
      <c r="AE722" t="inlineStr" s="2909">
        <is>
          <t>20250401</t>
        </is>
      </c>
      <c r="AH722" t="n" s="2909">
        <v>1</v>
      </c>
      <c r="AJ722" t="n" s="2909">
        <v>41</v>
      </c>
      <c r="AP722" t="n" s="2909">
        <v>200000</v>
      </c>
      <c r="DB722" s="2909" t="str">
        <f>IF($A722="","",IF($AE722&amp;""&lt;&gt;'DB_設定'!$C$4,"対象外",IF($AH722=20,IF(OR($AJ722=10,$AJ722=11,$AJ722=18),"①病院一般",IF($AJ722=41,"②病院短期","対象外")),IF($AH722=5,IF($AJ722=30,"③特定消防","対象外"),IF(OR($AJ722=10,$AJ722=11,$AJ722=74),"④一般",IF(OR($AJ722=41,$AJ722=47),"⑤短期","対象外"))))))</f>
        <v>⑤短期</v>
      </c>
    </row>
    <row r="723">
      <c r="A723" t="n" s="2909">
        <v>31</v>
      </c>
      <c r="AA723" t="n" s="2909">
        <v>21</v>
      </c>
      <c r="AB723" t="inlineStr" s="2909">
        <is>
          <t>20221001</t>
        </is>
      </c>
      <c r="AD723" t="n" s="2909">
        <v>11</v>
      </c>
      <c r="AE723" t="inlineStr" s="2909">
        <is>
          <t>20250401</t>
        </is>
      </c>
      <c r="AH723" t="n" s="2909">
        <v>1</v>
      </c>
      <c r="AJ723" t="n" s="2909">
        <v>41</v>
      </c>
      <c r="AP723" t="n" s="2909">
        <v>200000</v>
      </c>
      <c r="DB723" s="2909" t="str">
        <f>IF($A723="","",IF($AE723&amp;""&lt;&gt;'DB_設定'!$C$4,"対象外",IF($AH723=20,IF(OR($AJ723=10,$AJ723=11,$AJ723=18),"①病院一般",IF($AJ723=41,"②病院短期","対象外")),IF($AH723=5,IF($AJ723=30,"③特定消防","対象外"),IF(OR($AJ723=10,$AJ723=11,$AJ723=74),"④一般",IF(OR($AJ723=41,$AJ723=47),"⑤短期","対象外"))))))</f>
        <v>⑤短期</v>
      </c>
    </row>
    <row r="724">
      <c r="A724" t="n" s="2909">
        <v>31</v>
      </c>
      <c r="AA724" t="n" s="2909">
        <v>21</v>
      </c>
      <c r="AB724" t="inlineStr" s="2909">
        <is>
          <t>20221001</t>
        </is>
      </c>
      <c r="AD724" t="n" s="2909">
        <v>11</v>
      </c>
      <c r="AE724" t="inlineStr" s="2909">
        <is>
          <t>20250401</t>
        </is>
      </c>
      <c r="AH724" t="n" s="2909">
        <v>1</v>
      </c>
      <c r="AJ724" t="n" s="2909">
        <v>41</v>
      </c>
      <c r="AP724" t="n" s="2909">
        <v>200000</v>
      </c>
      <c r="DB724" s="2909" t="str">
        <f>IF($A724="","",IF($AE724&amp;""&lt;&gt;'DB_設定'!$C$4,"対象外",IF($AH724=20,IF(OR($AJ724=10,$AJ724=11,$AJ724=18),"①病院一般",IF($AJ724=41,"②病院短期","対象外")),IF($AH724=5,IF($AJ724=30,"③特定消防","対象外"),IF(OR($AJ724=10,$AJ724=11,$AJ724=74),"④一般",IF(OR($AJ724=41,$AJ724=47),"⑤短期","対象外"))))))</f>
        <v>⑤短期</v>
      </c>
    </row>
    <row r="725">
      <c r="A725" t="n" s="2909">
        <v>31</v>
      </c>
      <c r="AA725" t="n" s="2909">
        <v>24</v>
      </c>
      <c r="AB725" t="inlineStr" s="2909">
        <is>
          <t>20240411</t>
        </is>
      </c>
      <c r="AD725" t="n" s="2909">
        <v>12</v>
      </c>
      <c r="AE725" t="inlineStr" s="2909">
        <is>
          <t>20250401</t>
        </is>
      </c>
      <c r="AH725" t="n" s="2909">
        <v>11</v>
      </c>
      <c r="AJ725" t="n" s="2909">
        <v>41</v>
      </c>
      <c r="AP725" t="n" s="2909">
        <v>200000</v>
      </c>
      <c r="DB725" s="2909" t="str">
        <f>IF($A725="","",IF($AE725&amp;""&lt;&gt;'DB_設定'!$C$4,"対象外",IF($AH725=20,IF(OR($AJ725=10,$AJ725=11,$AJ725=18),"①病院一般",IF($AJ725=41,"②病院短期","対象外")),IF($AH725=5,IF($AJ725=30,"③特定消防","対象外"),IF(OR($AJ725=10,$AJ725=11,$AJ725=74),"④一般",IF(OR($AJ725=41,$AJ725=47),"⑤短期","対象外"))))))</f>
        <v>⑤短期</v>
      </c>
    </row>
    <row r="726">
      <c r="A726" t="n" s="2909">
        <v>31</v>
      </c>
      <c r="AA726" t="n" s="2909">
        <v>21</v>
      </c>
      <c r="AB726" t="inlineStr" s="2909">
        <is>
          <t>20221001</t>
        </is>
      </c>
      <c r="AD726" t="n" s="2909">
        <v>12</v>
      </c>
      <c r="AE726" t="inlineStr" s="2909">
        <is>
          <t>20250401</t>
        </is>
      </c>
      <c r="AH726" t="n" s="2909">
        <v>1</v>
      </c>
      <c r="AJ726" t="n" s="2909">
        <v>41</v>
      </c>
      <c r="AP726" t="n" s="2909">
        <v>170000</v>
      </c>
      <c r="DB726" s="2909" t="str">
        <f>IF($A726="","",IF($AE726&amp;""&lt;&gt;'DB_設定'!$C$4,"対象外",IF($AH726=20,IF(OR($AJ726=10,$AJ726=11,$AJ726=18),"①病院一般",IF($AJ726=41,"②病院短期","対象外")),IF($AH726=5,IF($AJ726=30,"③特定消防","対象外"),IF(OR($AJ726=10,$AJ726=11,$AJ726=74),"④一般",IF(OR($AJ726=41,$AJ726=47),"⑤短期","対象外"))))))</f>
        <v>⑤短期</v>
      </c>
    </row>
    <row r="727">
      <c r="A727" t="n" s="2909">
        <v>31</v>
      </c>
      <c r="AA727" t="n" s="2909">
        <v>21</v>
      </c>
      <c r="AB727" t="inlineStr" s="2909">
        <is>
          <t>20241001</t>
        </is>
      </c>
      <c r="AD727" t="n" s="2909">
        <v>12</v>
      </c>
      <c r="AE727" t="inlineStr" s="2909">
        <is>
          <t>20250401</t>
        </is>
      </c>
      <c r="AH727" t="n" s="2909">
        <v>27</v>
      </c>
      <c r="AJ727" t="n" s="2909">
        <v>41</v>
      </c>
      <c r="AP727" t="n" s="2909">
        <v>180000</v>
      </c>
      <c r="DB727" s="2909" t="str">
        <f>IF($A727="","",IF($AE727&amp;""&lt;&gt;'DB_設定'!$C$4,"対象外",IF($AH727=20,IF(OR($AJ727=10,$AJ727=11,$AJ727=18),"①病院一般",IF($AJ727=41,"②病院短期","対象外")),IF($AH727=5,IF($AJ727=30,"③特定消防","対象外"),IF(OR($AJ727=10,$AJ727=11,$AJ727=74),"④一般",IF(OR($AJ727=41,$AJ727=47),"⑤短期","対象外"))))))</f>
        <v>⑤短期</v>
      </c>
    </row>
    <row r="728">
      <c r="A728" t="n" s="2909">
        <v>31</v>
      </c>
      <c r="AA728" t="n" s="2909">
        <v>24</v>
      </c>
      <c r="AB728" t="inlineStr" s="2909">
        <is>
          <t>20241001</t>
        </is>
      </c>
      <c r="AD728" t="n" s="2909">
        <v>12</v>
      </c>
      <c r="AE728" t="inlineStr" s="2909">
        <is>
          <t>20250401</t>
        </is>
      </c>
      <c r="AH728" t="n" s="2909">
        <v>1</v>
      </c>
      <c r="AJ728" t="n" s="2909">
        <v>41</v>
      </c>
      <c r="AP728" t="n" s="2909">
        <v>142000</v>
      </c>
      <c r="DB728" s="2909" t="str">
        <f>IF($A728="","",IF($AE728&amp;""&lt;&gt;'DB_設定'!$C$4,"対象外",IF($AH728=20,IF(OR($AJ728=10,$AJ728=11,$AJ728=18),"①病院一般",IF($AJ728=41,"②病院短期","対象外")),IF($AH728=5,IF($AJ728=30,"③特定消防","対象外"),IF(OR($AJ728=10,$AJ728=11,$AJ728=74),"④一般",IF(OR($AJ728=41,$AJ728=47),"⑤短期","対象外"))))))</f>
        <v>⑤短期</v>
      </c>
    </row>
    <row r="729">
      <c r="A729" t="n" s="2909">
        <v>31</v>
      </c>
      <c r="AA729" t="n" s="2909">
        <v>21</v>
      </c>
      <c r="AB729" t="inlineStr" s="2909">
        <is>
          <t>20221001</t>
        </is>
      </c>
      <c r="AD729" t="n" s="2909">
        <v>12</v>
      </c>
      <c r="AE729" t="inlineStr" s="2909">
        <is>
          <t>20250517</t>
        </is>
      </c>
      <c r="AH729" t="n" s="2909">
        <v>1</v>
      </c>
      <c r="AJ729" t="n" s="2909">
        <v>41</v>
      </c>
      <c r="AP729" t="n" s="2909">
        <v>134000</v>
      </c>
      <c r="DB729" s="2909" t="str">
        <f>IF($A729="","",IF($AE729&amp;""&lt;&gt;'DB_設定'!$C$4,"対象外",IF($AH729=20,IF(OR($AJ729=10,$AJ729=11,$AJ729=18),"①病院一般",IF($AJ729=41,"②病院短期","対象外")),IF($AH729=5,IF($AJ729=30,"③特定消防","対象外"),IF(OR($AJ729=10,$AJ729=11,$AJ729=74),"④一般",IF(OR($AJ729=41,$AJ729=47),"⑤短期","対象外"))))))</f>
        <v>対象外</v>
      </c>
    </row>
    <row r="730">
      <c r="A730" t="n" s="2909">
        <v>31</v>
      </c>
      <c r="AA730" t="n" s="2909">
        <v>24</v>
      </c>
      <c r="AB730" t="inlineStr" s="2909">
        <is>
          <t>20250701</t>
        </is>
      </c>
      <c r="AD730" t="n" s="2909">
        <v>12</v>
      </c>
      <c r="AE730" t="inlineStr" s="2909">
        <is>
          <t>20251001</t>
        </is>
      </c>
      <c r="AH730" t="n" s="2909">
        <v>1</v>
      </c>
      <c r="AJ730" t="n" s="2909">
        <v>41</v>
      </c>
      <c r="AP730" t="n" s="2909">
        <v>126000</v>
      </c>
      <c r="DB730" s="2909" t="str">
        <f>IF($A730="","",IF($AE730&amp;""&lt;&gt;'DB_設定'!$C$4,"対象外",IF($AH730=20,IF(OR($AJ730=10,$AJ730=11,$AJ730=18),"①病院一般",IF($AJ730=41,"②病院短期","対象外")),IF($AH730=5,IF($AJ730=30,"③特定消防","対象外"),IF(OR($AJ730=10,$AJ730=11,$AJ730=74),"④一般",IF(OR($AJ730=41,$AJ730=47),"⑤短期","対象外"))))))</f>
        <v>対象外</v>
      </c>
    </row>
    <row r="731">
      <c r="A731" t="n" s="2909">
        <v>31</v>
      </c>
      <c r="AA731" t="n" s="2909">
        <v>21</v>
      </c>
      <c r="AB731" t="inlineStr" s="2909">
        <is>
          <t>20210401</t>
        </is>
      </c>
      <c r="AD731" t="n" s="2909">
        <v>15</v>
      </c>
      <c r="AE731" t="inlineStr" s="2909">
        <is>
          <t>20250727</t>
        </is>
      </c>
      <c r="AH731" t="n" s="2909">
        <v>1</v>
      </c>
      <c r="AJ731" t="n" s="2909">
        <v>10</v>
      </c>
      <c r="AP731" t="n" s="2909">
        <v>240000</v>
      </c>
      <c r="DB731" s="2909" t="str">
        <f>IF($A731="","",IF($AE731&amp;""&lt;&gt;'DB_設定'!$C$4,"対象外",IF($AH731=20,IF(OR($AJ731=10,$AJ731=11,$AJ731=18),"①病院一般",IF($AJ731=41,"②病院短期","対象外")),IF($AH731=5,IF($AJ731=30,"③特定消防","対象外"),IF(OR($AJ731=10,$AJ731=11,$AJ731=74),"④一般",IF(OR($AJ731=41,$AJ731=47),"⑤短期","対象外"))))))</f>
        <v>対象外</v>
      </c>
    </row>
    <row r="732">
      <c r="A732" t="n" s="2909">
        <v>31</v>
      </c>
      <c r="AA732" t="n" s="2909">
        <v>21</v>
      </c>
      <c r="AB732" t="inlineStr" s="2909">
        <is>
          <t>20221001</t>
        </is>
      </c>
      <c r="AD732" t="n" s="2909">
        <v>12</v>
      </c>
      <c r="AE732" t="inlineStr" s="2909">
        <is>
          <t>20250401</t>
        </is>
      </c>
      <c r="AH732" t="n" s="2909">
        <v>11</v>
      </c>
      <c r="AJ732" t="n" s="2909">
        <v>41</v>
      </c>
      <c r="AP732" t="n" s="2909">
        <v>200000</v>
      </c>
      <c r="DB732" s="2909" t="str">
        <f>IF($A732="","",IF($AE732&amp;""&lt;&gt;'DB_設定'!$C$4,"対象外",IF($AH732=20,IF(OR($AJ732=10,$AJ732=11,$AJ732=18),"①病院一般",IF($AJ732=41,"②病院短期","対象外")),IF($AH732=5,IF($AJ732=30,"③特定消防","対象外"),IF(OR($AJ732=10,$AJ732=11,$AJ732=74),"④一般",IF(OR($AJ732=41,$AJ732=47),"⑤短期","対象外"))))))</f>
        <v>⑤短期</v>
      </c>
    </row>
    <row r="733">
      <c r="A733" t="n" s="2909">
        <v>31</v>
      </c>
      <c r="AA733" t="n" s="2909">
        <v>21</v>
      </c>
      <c r="AB733" t="inlineStr" s="2909">
        <is>
          <t>20240401</t>
        </is>
      </c>
      <c r="AD733" t="n" s="2909">
        <v>12</v>
      </c>
      <c r="AE733" t="inlineStr" s="2909">
        <is>
          <t>20250401</t>
        </is>
      </c>
      <c r="AH733" t="n" s="2909">
        <v>20</v>
      </c>
      <c r="AJ733" t="n" s="2909">
        <v>41</v>
      </c>
      <c r="AP733" t="n" s="2909">
        <v>560000</v>
      </c>
      <c r="DB733" s="2909" t="str">
        <f>IF($A733="","",IF($AE733&amp;""&lt;&gt;'DB_設定'!$C$4,"対象外",IF($AH733=20,IF(OR($AJ733=10,$AJ733=11,$AJ733=18),"①病院一般",IF($AJ733=41,"②病院短期","対象外")),IF($AH733=5,IF($AJ733=30,"③特定消防","対象外"),IF(OR($AJ733=10,$AJ733=11,$AJ733=74),"④一般",IF(OR($AJ733=41,$AJ733=47),"⑤短期","対象外"))))))</f>
        <v>②病院短期</v>
      </c>
    </row>
    <row r="734">
      <c r="A734" t="n" s="2909">
        <v>31</v>
      </c>
      <c r="AA734" t="n" s="2909">
        <v>21</v>
      </c>
      <c r="AB734" t="inlineStr" s="2909">
        <is>
          <t>20221001</t>
        </is>
      </c>
      <c r="AD734" t="n" s="2909">
        <v>12</v>
      </c>
      <c r="AE734" t="inlineStr" s="2909">
        <is>
          <t>20250401</t>
        </is>
      </c>
      <c r="AH734" t="n" s="2909">
        <v>1</v>
      </c>
      <c r="AJ734" t="n" s="2909">
        <v>41</v>
      </c>
      <c r="AP734" t="n" s="2909">
        <v>200000</v>
      </c>
      <c r="DB734" s="2909" t="str">
        <f>IF($A734="","",IF($AE734&amp;""&lt;&gt;'DB_設定'!$C$4,"対象外",IF($AH734=20,IF(OR($AJ734=10,$AJ734=11,$AJ734=18),"①病院一般",IF($AJ734=41,"②病院短期","対象外")),IF($AH734=5,IF($AJ734=30,"③特定消防","対象外"),IF(OR($AJ734=10,$AJ734=11,$AJ734=74),"④一般",IF(OR($AJ734=41,$AJ734=47),"⑤短期","対象外"))))))</f>
        <v>⑤短期</v>
      </c>
    </row>
    <row r="735">
      <c r="A735" t="n" s="2909">
        <v>31</v>
      </c>
      <c r="AA735" t="n" s="2909">
        <v>21</v>
      </c>
      <c r="AB735" t="inlineStr" s="2909">
        <is>
          <t>20250401</t>
        </is>
      </c>
      <c r="AD735" t="n" s="2909">
        <v>12</v>
      </c>
      <c r="AE735" t="inlineStr" s="2909">
        <is>
          <t>20250701</t>
        </is>
      </c>
      <c r="AH735" t="n" s="2909">
        <v>1</v>
      </c>
      <c r="AJ735" t="n" s="2909">
        <v>41</v>
      </c>
      <c r="AP735" t="n" s="2909">
        <v>170000</v>
      </c>
      <c r="DB735" s="2909" t="str">
        <f>IF($A735="","",IF($AE735&amp;""&lt;&gt;'DB_設定'!$C$4,"対象外",IF($AH735=20,IF(OR($AJ735=10,$AJ735=11,$AJ735=18),"①病院一般",IF($AJ735=41,"②病院短期","対象外")),IF($AH735=5,IF($AJ735=30,"③特定消防","対象外"),IF(OR($AJ735=10,$AJ735=11,$AJ735=74),"④一般",IF(OR($AJ735=41,$AJ735=47),"⑤短期","対象外"))))))</f>
        <v>対象外</v>
      </c>
    </row>
    <row r="736">
      <c r="A736" t="n" s="2909">
        <v>31</v>
      </c>
      <c r="AA736" t="n" s="2909">
        <v>21</v>
      </c>
      <c r="AB736" t="inlineStr" s="2909">
        <is>
          <t>20221001</t>
        </is>
      </c>
      <c r="AD736" t="n" s="2909">
        <v>12</v>
      </c>
      <c r="AE736" t="inlineStr" s="2909">
        <is>
          <t>20250701</t>
        </is>
      </c>
      <c r="AH736" t="n" s="2909">
        <v>1</v>
      </c>
      <c r="AJ736" t="n" s="2909">
        <v>41</v>
      </c>
      <c r="AP736" t="n" s="2909">
        <v>126000</v>
      </c>
      <c r="DB736" s="2909" t="str">
        <f>IF($A736="","",IF($AE736&amp;""&lt;&gt;'DB_設定'!$C$4,"対象外",IF($AH736=20,IF(OR($AJ736=10,$AJ736=11,$AJ736=18),"①病院一般",IF($AJ736=41,"②病院短期","対象外")),IF($AH736=5,IF($AJ736=30,"③特定消防","対象外"),IF(OR($AJ736=10,$AJ736=11,$AJ736=74),"④一般",IF(OR($AJ736=41,$AJ736=47),"⑤短期","対象外"))))))</f>
        <v>対象外</v>
      </c>
    </row>
    <row r="737">
      <c r="A737" t="n" s="2909">
        <v>31</v>
      </c>
      <c r="AA737" t="n" s="2909">
        <v>21</v>
      </c>
      <c r="AB737" t="inlineStr" s="2909">
        <is>
          <t>20221001</t>
        </is>
      </c>
      <c r="AD737" t="n" s="2909">
        <v>12</v>
      </c>
      <c r="AE737" t="inlineStr" s="2909">
        <is>
          <t>20250401</t>
        </is>
      </c>
      <c r="AH737" t="n" s="2909">
        <v>1</v>
      </c>
      <c r="AJ737" t="n" s="2909">
        <v>41</v>
      </c>
      <c r="AP737" t="n" s="2909">
        <v>126000</v>
      </c>
      <c r="DB737" s="2909" t="str">
        <f>IF($A737="","",IF($AE737&amp;""&lt;&gt;'DB_設定'!$C$4,"対象外",IF($AH737=20,IF(OR($AJ737=10,$AJ737=11,$AJ737=18),"①病院一般",IF($AJ737=41,"②病院短期","対象外")),IF($AH737=5,IF($AJ737=30,"③特定消防","対象外"),IF(OR($AJ737=10,$AJ737=11,$AJ737=74),"④一般",IF(OR($AJ737=41,$AJ737=47),"⑤短期","対象外"))))))</f>
        <v>⑤短期</v>
      </c>
    </row>
    <row r="738">
      <c r="A738" t="n" s="2909">
        <v>31</v>
      </c>
      <c r="AA738" t="n" s="2909">
        <v>21</v>
      </c>
      <c r="AB738" t="inlineStr" s="2909">
        <is>
          <t>20221001</t>
        </is>
      </c>
      <c r="AD738" t="n" s="2909">
        <v>12</v>
      </c>
      <c r="AE738" t="inlineStr" s="2909">
        <is>
          <t>20250401</t>
        </is>
      </c>
      <c r="AH738" t="n" s="2909">
        <v>11</v>
      </c>
      <c r="AJ738" t="n" s="2909">
        <v>41</v>
      </c>
      <c r="AP738" t="n" s="2909">
        <v>170000</v>
      </c>
      <c r="DB738" s="2909" t="str">
        <f>IF($A738="","",IF($AE738&amp;""&lt;&gt;'DB_設定'!$C$4,"対象外",IF($AH738=20,IF(OR($AJ738=10,$AJ738=11,$AJ738=18),"①病院一般",IF($AJ738=41,"②病院短期","対象外")),IF($AH738=5,IF($AJ738=30,"③特定消防","対象外"),IF(OR($AJ738=10,$AJ738=11,$AJ738=74),"④一般",IF(OR($AJ738=41,$AJ738=47),"⑤短期","対象外"))))))</f>
        <v>⑤短期</v>
      </c>
    </row>
    <row r="739">
      <c r="A739" t="n" s="2909">
        <v>31</v>
      </c>
      <c r="AA739" t="n" s="2909">
        <v>21</v>
      </c>
      <c r="AB739" t="inlineStr" s="2909">
        <is>
          <t>20221001</t>
        </is>
      </c>
      <c r="AD739" t="n" s="2909">
        <v>12</v>
      </c>
      <c r="AE739" t="inlineStr" s="2909">
        <is>
          <t>20250401</t>
        </is>
      </c>
      <c r="AH739" t="n" s="2909">
        <v>1</v>
      </c>
      <c r="AJ739" t="n" s="2909">
        <v>41</v>
      </c>
      <c r="AP739" t="n" s="2909">
        <v>190000</v>
      </c>
      <c r="DB739" s="2909" t="str">
        <f>IF($A739="","",IF($AE739&amp;""&lt;&gt;'DB_設定'!$C$4,"対象外",IF($AH739=20,IF(OR($AJ739=10,$AJ739=11,$AJ739=18),"①病院一般",IF($AJ739=41,"②病院短期","対象外")),IF($AH739=5,IF($AJ739=30,"③特定消防","対象外"),IF(OR($AJ739=10,$AJ739=11,$AJ739=74),"④一般",IF(OR($AJ739=41,$AJ739=47),"⑤短期","対象外"))))))</f>
        <v>⑤短期</v>
      </c>
    </row>
    <row r="740">
      <c r="A740" t="n" s="2909">
        <v>31</v>
      </c>
      <c r="AA740" t="n" s="2909">
        <v>21</v>
      </c>
      <c r="AB740" t="inlineStr" s="2909">
        <is>
          <t>20221001</t>
        </is>
      </c>
      <c r="AD740" t="n" s="2909">
        <v>12</v>
      </c>
      <c r="AE740" t="inlineStr" s="2909">
        <is>
          <t>20250401</t>
        </is>
      </c>
      <c r="AH740" t="n" s="2909">
        <v>1</v>
      </c>
      <c r="AJ740" t="n" s="2909">
        <v>41</v>
      </c>
      <c r="AP740" t="n" s="2909">
        <v>126000</v>
      </c>
      <c r="DB740" s="2909" t="str">
        <f>IF($A740="","",IF($AE740&amp;""&lt;&gt;'DB_設定'!$C$4,"対象外",IF($AH740=20,IF(OR($AJ740=10,$AJ740=11,$AJ740=18),"①病院一般",IF($AJ740=41,"②病院短期","対象外")),IF($AH740=5,IF($AJ740=30,"③特定消防","対象外"),IF(OR($AJ740=10,$AJ740=11,$AJ740=74),"④一般",IF(OR($AJ740=41,$AJ740=47),"⑤短期","対象外"))))))</f>
        <v>⑤短期</v>
      </c>
    </row>
    <row r="741">
      <c r="A741" t="n" s="2909">
        <v>31</v>
      </c>
      <c r="AA741" t="n" s="2909">
        <v>21</v>
      </c>
      <c r="AB741" t="inlineStr" s="2909">
        <is>
          <t>20221001</t>
        </is>
      </c>
      <c r="AD741" t="n" s="2909">
        <v>12</v>
      </c>
      <c r="AE741" t="inlineStr" s="2909">
        <is>
          <t>20250401</t>
        </is>
      </c>
      <c r="AH741" t="n" s="2909">
        <v>1</v>
      </c>
      <c r="AJ741" t="n" s="2909">
        <v>41</v>
      </c>
      <c r="AP741" t="n" s="2909">
        <v>200000</v>
      </c>
      <c r="DB741" s="2909" t="str">
        <f>IF($A741="","",IF($AE741&amp;""&lt;&gt;'DB_設定'!$C$4,"対象外",IF($AH741=20,IF(OR($AJ741=10,$AJ741=11,$AJ741=18),"①病院一般",IF($AJ741=41,"②病院短期","対象外")),IF($AH741=5,IF($AJ741=30,"③特定消防","対象外"),IF(OR($AJ741=10,$AJ741=11,$AJ741=74),"④一般",IF(OR($AJ741=41,$AJ741=47),"⑤短期","対象外"))))))</f>
        <v>⑤短期</v>
      </c>
    </row>
    <row r="742">
      <c r="A742" t="n" s="2909">
        <v>31</v>
      </c>
      <c r="AA742" t="n" s="2909">
        <v>21</v>
      </c>
      <c r="AB742" t="inlineStr" s="2909">
        <is>
          <t>20221001</t>
        </is>
      </c>
      <c r="AD742" t="n" s="2909">
        <v>11</v>
      </c>
      <c r="AE742" t="inlineStr" s="2909">
        <is>
          <t>20250401</t>
        </is>
      </c>
      <c r="AH742" t="n" s="2909">
        <v>1</v>
      </c>
      <c r="AJ742" t="n" s="2909">
        <v>41</v>
      </c>
      <c r="AP742" t="n" s="2909">
        <v>126000</v>
      </c>
      <c r="DB742" s="2909" t="str">
        <f>IF($A742="","",IF($AE742&amp;""&lt;&gt;'DB_設定'!$C$4,"対象外",IF($AH742=20,IF(OR($AJ742=10,$AJ742=11,$AJ742=18),"①病院一般",IF($AJ742=41,"②病院短期","対象外")),IF($AH742=5,IF($AJ742=30,"③特定消防","対象外"),IF(OR($AJ742=10,$AJ742=11,$AJ742=74),"④一般",IF(OR($AJ742=41,$AJ742=47),"⑤短期","対象外"))))))</f>
        <v>⑤短期</v>
      </c>
    </row>
    <row r="743">
      <c r="A743" t="n" s="2909">
        <v>31</v>
      </c>
      <c r="AA743" t="n" s="2909">
        <v>21</v>
      </c>
      <c r="AB743" t="inlineStr" s="2909">
        <is>
          <t>20221001</t>
        </is>
      </c>
      <c r="AD743" t="n" s="2909">
        <v>12</v>
      </c>
      <c r="AE743" t="inlineStr" s="2909">
        <is>
          <t>20250412</t>
        </is>
      </c>
      <c r="AH743" t="n" s="2909">
        <v>1</v>
      </c>
      <c r="AJ743" t="n" s="2909">
        <v>41</v>
      </c>
      <c r="AP743" t="n" s="2909">
        <v>150000</v>
      </c>
      <c r="DB743" s="2909" t="str">
        <f>IF($A743="","",IF($AE743&amp;""&lt;&gt;'DB_設定'!$C$4,"対象外",IF($AH743=20,IF(OR($AJ743=10,$AJ743=11,$AJ743=18),"①病院一般",IF($AJ743=41,"②病院短期","対象外")),IF($AH743=5,IF($AJ743=30,"③特定消防","対象外"),IF(OR($AJ743=10,$AJ743=11,$AJ743=74),"④一般",IF(OR($AJ743=41,$AJ743=47),"⑤短期","対象外"))))))</f>
        <v>対象外</v>
      </c>
    </row>
    <row r="744">
      <c r="A744" t="n" s="2909">
        <v>31</v>
      </c>
      <c r="AA744" t="n" s="2909">
        <v>21</v>
      </c>
      <c r="AB744" t="inlineStr" s="2909">
        <is>
          <t>20221001</t>
        </is>
      </c>
      <c r="AD744" t="n" s="2909">
        <v>12</v>
      </c>
      <c r="AE744" t="inlineStr" s="2909">
        <is>
          <t>20250401</t>
        </is>
      </c>
      <c r="AH744" t="n" s="2909">
        <v>1</v>
      </c>
      <c r="AJ744" t="n" s="2909">
        <v>41</v>
      </c>
      <c r="AP744" t="n" s="2909">
        <v>142000</v>
      </c>
      <c r="DB744" s="2909" t="str">
        <f>IF($A744="","",IF($AE744&amp;""&lt;&gt;'DB_設定'!$C$4,"対象外",IF($AH744=20,IF(OR($AJ744=10,$AJ744=11,$AJ744=18),"①病院一般",IF($AJ744=41,"②病院短期","対象外")),IF($AH744=5,IF($AJ744=30,"③特定消防","対象外"),IF(OR($AJ744=10,$AJ744=11,$AJ744=74),"④一般",IF(OR($AJ744=41,$AJ744=47),"⑤短期","対象外"))))))</f>
        <v>⑤短期</v>
      </c>
    </row>
    <row r="745">
      <c r="A745" t="n" s="2909">
        <v>31</v>
      </c>
      <c r="AA745" t="n" s="2909">
        <v>21</v>
      </c>
      <c r="AB745" t="inlineStr" s="2909">
        <is>
          <t>20221001</t>
        </is>
      </c>
      <c r="AD745" t="n" s="2909">
        <v>12</v>
      </c>
      <c r="AE745" t="inlineStr" s="2909">
        <is>
          <t>20250701</t>
        </is>
      </c>
      <c r="AH745" t="n" s="2909">
        <v>1</v>
      </c>
      <c r="AJ745" t="n" s="2909">
        <v>41</v>
      </c>
      <c r="AP745" t="n" s="2909">
        <v>118000</v>
      </c>
      <c r="DB745" s="2909" t="str">
        <f>IF($A745="","",IF($AE745&amp;""&lt;&gt;'DB_設定'!$C$4,"対象外",IF($AH745=20,IF(OR($AJ745=10,$AJ745=11,$AJ745=18),"①病院一般",IF($AJ745=41,"②病院短期","対象外")),IF($AH745=5,IF($AJ745=30,"③特定消防","対象外"),IF(OR($AJ745=10,$AJ745=11,$AJ745=74),"④一般",IF(OR($AJ745=41,$AJ745=47),"⑤短期","対象外"))))))</f>
        <v>対象外</v>
      </c>
    </row>
    <row r="746">
      <c r="A746" t="n" s="2909">
        <v>31</v>
      </c>
      <c r="AA746" t="n" s="2909">
        <v>21</v>
      </c>
      <c r="AB746" t="inlineStr" s="2909">
        <is>
          <t>20221001</t>
        </is>
      </c>
      <c r="AD746" t="n" s="2909">
        <v>11</v>
      </c>
      <c r="AE746" t="inlineStr" s="2909">
        <is>
          <t>20250401</t>
        </is>
      </c>
      <c r="AH746" t="n" s="2909">
        <v>1</v>
      </c>
      <c r="AJ746" t="n" s="2909">
        <v>41</v>
      </c>
      <c r="AP746" t="n" s="2909">
        <v>126000</v>
      </c>
      <c r="DB746" s="2909" t="str">
        <f>IF($A746="","",IF($AE746&amp;""&lt;&gt;'DB_設定'!$C$4,"対象外",IF($AH746=20,IF(OR($AJ746=10,$AJ746=11,$AJ746=18),"①病院一般",IF($AJ746=41,"②病院短期","対象外")),IF($AH746=5,IF($AJ746=30,"③特定消防","対象外"),IF(OR($AJ746=10,$AJ746=11,$AJ746=74),"④一般",IF(OR($AJ746=41,$AJ746=47),"⑤短期","対象外"))))))</f>
        <v>⑤短期</v>
      </c>
    </row>
    <row r="747">
      <c r="A747" t="n" s="2909">
        <v>31</v>
      </c>
      <c r="AA747" t="n" s="2909">
        <v>21</v>
      </c>
      <c r="AB747" t="inlineStr" s="2909">
        <is>
          <t>20221001</t>
        </is>
      </c>
      <c r="AD747" t="n" s="2909">
        <v>12</v>
      </c>
      <c r="AE747" t="inlineStr" s="2909">
        <is>
          <t>20250401</t>
        </is>
      </c>
      <c r="AH747" t="n" s="2909">
        <v>1</v>
      </c>
      <c r="AJ747" t="n" s="2909">
        <v>41</v>
      </c>
      <c r="AP747" t="n" s="2909">
        <v>126000</v>
      </c>
      <c r="DB747" s="2909" t="str">
        <f>IF($A747="","",IF($AE747&amp;""&lt;&gt;'DB_設定'!$C$4,"対象外",IF($AH747=20,IF(OR($AJ747=10,$AJ747=11,$AJ747=18),"①病院一般",IF($AJ747=41,"②病院短期","対象外")),IF($AH747=5,IF($AJ747=30,"③特定消防","対象外"),IF(OR($AJ747=10,$AJ747=11,$AJ747=74),"④一般",IF(OR($AJ747=41,$AJ747=47),"⑤短期","対象外"))))))</f>
        <v>⑤短期</v>
      </c>
    </row>
    <row r="748">
      <c r="A748" t="n" s="2909">
        <v>31</v>
      </c>
      <c r="AA748" t="n" s="2909">
        <v>24</v>
      </c>
      <c r="AB748" t="inlineStr" s="2909">
        <is>
          <t>20221001</t>
        </is>
      </c>
      <c r="AD748" t="n" s="2909">
        <v>11</v>
      </c>
      <c r="AE748" t="inlineStr" s="2909">
        <is>
          <t>20250401</t>
        </is>
      </c>
      <c r="AH748" t="n" s="2909">
        <v>1</v>
      </c>
      <c r="AJ748" t="n" s="2909">
        <v>41</v>
      </c>
      <c r="AP748" t="n" s="2909">
        <v>180000</v>
      </c>
      <c r="DB748" s="2909" t="str">
        <f>IF($A748="","",IF($AE748&amp;""&lt;&gt;'DB_設定'!$C$4,"対象外",IF($AH748=20,IF(OR($AJ748=10,$AJ748=11,$AJ748=18),"①病院一般",IF($AJ748=41,"②病院短期","対象外")),IF($AH748=5,IF($AJ748=30,"③特定消防","対象外"),IF(OR($AJ748=10,$AJ748=11,$AJ748=74),"④一般",IF(OR($AJ748=41,$AJ748=47),"⑤短期","対象外"))))))</f>
        <v>⑤短期</v>
      </c>
    </row>
    <row r="749">
      <c r="A749" t="n" s="2909">
        <v>31</v>
      </c>
      <c r="AA749" t="n" s="2909">
        <v>21</v>
      </c>
      <c r="AB749" t="inlineStr" s="2909">
        <is>
          <t>20221001</t>
        </is>
      </c>
      <c r="AD749" t="n" s="2909">
        <v>12</v>
      </c>
      <c r="AE749" t="inlineStr" s="2909">
        <is>
          <t>20250401</t>
        </is>
      </c>
      <c r="AH749" t="n" s="2909">
        <v>1</v>
      </c>
      <c r="AJ749" t="n" s="2909">
        <v>41</v>
      </c>
      <c r="AP749" t="n" s="2909">
        <v>134000</v>
      </c>
      <c r="DB749" s="2909" t="str">
        <f>IF($A749="","",IF($AE749&amp;""&lt;&gt;'DB_設定'!$C$4,"対象外",IF($AH749=20,IF(OR($AJ749=10,$AJ749=11,$AJ749=18),"①病院一般",IF($AJ749=41,"②病院短期","対象外")),IF($AH749=5,IF($AJ749=30,"③特定消防","対象外"),IF(OR($AJ749=10,$AJ749=11,$AJ749=74),"④一般",IF(OR($AJ749=41,$AJ749=47),"⑤短期","対象外"))))))</f>
        <v>⑤短期</v>
      </c>
    </row>
    <row r="750">
      <c r="A750" t="n" s="2909">
        <v>31</v>
      </c>
      <c r="AA750" t="n" s="2909">
        <v>21</v>
      </c>
      <c r="AB750" t="inlineStr" s="2909">
        <is>
          <t>20221001</t>
        </is>
      </c>
      <c r="AD750" t="n" s="2909">
        <v>12</v>
      </c>
      <c r="AE750" t="inlineStr" s="2909">
        <is>
          <t>20250401</t>
        </is>
      </c>
      <c r="AH750" t="n" s="2909">
        <v>1</v>
      </c>
      <c r="AJ750" t="n" s="2909">
        <v>41</v>
      </c>
      <c r="AP750" t="n" s="2909">
        <v>126000</v>
      </c>
      <c r="DB750" s="2909" t="str">
        <f>IF($A750="","",IF($AE750&amp;""&lt;&gt;'DB_設定'!$C$4,"対象外",IF($AH750=20,IF(OR($AJ750=10,$AJ750=11,$AJ750=18),"①病院一般",IF($AJ750=41,"②病院短期","対象外")),IF($AH750=5,IF($AJ750=30,"③特定消防","対象外"),IF(OR($AJ750=10,$AJ750=11,$AJ750=74),"④一般",IF(OR($AJ750=41,$AJ750=47),"⑤短期","対象外"))))))</f>
        <v>⑤短期</v>
      </c>
    </row>
    <row r="751">
      <c r="A751" t="n" s="2909">
        <v>31</v>
      </c>
      <c r="AA751" t="n" s="2909">
        <v>21</v>
      </c>
      <c r="AB751" t="inlineStr" s="2909">
        <is>
          <t>20221001</t>
        </is>
      </c>
      <c r="AD751" t="n" s="2909">
        <v>12</v>
      </c>
      <c r="AE751" t="inlineStr" s="2909">
        <is>
          <t>20250401</t>
        </is>
      </c>
      <c r="AH751" t="n" s="2909">
        <v>1</v>
      </c>
      <c r="AJ751" t="n" s="2909">
        <v>41</v>
      </c>
      <c r="AP751" t="n" s="2909">
        <v>126000</v>
      </c>
      <c r="DB751" s="2909" t="str">
        <f>IF($A751="","",IF($AE751&amp;""&lt;&gt;'DB_設定'!$C$4,"対象外",IF($AH751=20,IF(OR($AJ751=10,$AJ751=11,$AJ751=18),"①病院一般",IF($AJ751=41,"②病院短期","対象外")),IF($AH751=5,IF($AJ751=30,"③特定消防","対象外"),IF(OR($AJ751=10,$AJ751=11,$AJ751=74),"④一般",IF(OR($AJ751=41,$AJ751=47),"⑤短期","対象外"))))))</f>
        <v>⑤短期</v>
      </c>
    </row>
    <row r="752">
      <c r="A752" t="n" s="2909">
        <v>31</v>
      </c>
      <c r="AA752" t="n" s="2909">
        <v>21</v>
      </c>
      <c r="AB752" t="inlineStr" s="2909">
        <is>
          <t>20221001</t>
        </is>
      </c>
      <c r="AD752" t="n" s="2909">
        <v>12</v>
      </c>
      <c r="AE752" t="inlineStr" s="2909">
        <is>
          <t>20250401</t>
        </is>
      </c>
      <c r="AH752" t="n" s="2909">
        <v>1</v>
      </c>
      <c r="AJ752" t="n" s="2909">
        <v>41</v>
      </c>
      <c r="AP752" t="n" s="2909">
        <v>190000</v>
      </c>
      <c r="DB752" s="2909" t="str">
        <f>IF($A752="","",IF($AE752&amp;""&lt;&gt;'DB_設定'!$C$4,"対象外",IF($AH752=20,IF(OR($AJ752=10,$AJ752=11,$AJ752=18),"①病院一般",IF($AJ752=41,"②病院短期","対象外")),IF($AH752=5,IF($AJ752=30,"③特定消防","対象外"),IF(OR($AJ752=10,$AJ752=11,$AJ752=74),"④一般",IF(OR($AJ752=41,$AJ752=47),"⑤短期","対象外"))))))</f>
        <v>⑤短期</v>
      </c>
    </row>
    <row r="753">
      <c r="A753" t="n" s="2909">
        <v>31</v>
      </c>
      <c r="AA753" t="n" s="2909">
        <v>21</v>
      </c>
      <c r="AB753" t="inlineStr" s="2909">
        <is>
          <t>20221001</t>
        </is>
      </c>
      <c r="AD753" t="n" s="2909">
        <v>11</v>
      </c>
      <c r="AE753" t="inlineStr" s="2909">
        <is>
          <t>20250401</t>
        </is>
      </c>
      <c r="AH753" t="n" s="2909">
        <v>1</v>
      </c>
      <c r="AJ753" t="n" s="2909">
        <v>41</v>
      </c>
      <c r="AP753" t="n" s="2909">
        <v>126000</v>
      </c>
      <c r="DB753" s="2909" t="str">
        <f>IF($A753="","",IF($AE753&amp;""&lt;&gt;'DB_設定'!$C$4,"対象外",IF($AH753=20,IF(OR($AJ753=10,$AJ753=11,$AJ753=18),"①病院一般",IF($AJ753=41,"②病院短期","対象外")),IF($AH753=5,IF($AJ753=30,"③特定消防","対象外"),IF(OR($AJ753=10,$AJ753=11,$AJ753=74),"④一般",IF(OR($AJ753=41,$AJ753=47),"⑤短期","対象外"))))))</f>
        <v>⑤短期</v>
      </c>
    </row>
    <row r="754">
      <c r="A754" t="n" s="2909">
        <v>31</v>
      </c>
      <c r="AA754" t="n" s="2909">
        <v>21</v>
      </c>
      <c r="AB754" t="inlineStr" s="2909">
        <is>
          <t>20221001</t>
        </is>
      </c>
      <c r="AD754" t="n" s="2909">
        <v>11</v>
      </c>
      <c r="AE754" t="inlineStr" s="2909">
        <is>
          <t>20250401</t>
        </is>
      </c>
      <c r="AH754" t="n" s="2909">
        <v>1</v>
      </c>
      <c r="AJ754" t="n" s="2909">
        <v>41</v>
      </c>
      <c r="AP754" t="n" s="2909">
        <v>200000</v>
      </c>
      <c r="DB754" s="2909" t="str">
        <f>IF($A754="","",IF($AE754&amp;""&lt;&gt;'DB_設定'!$C$4,"対象外",IF($AH754=20,IF(OR($AJ754=10,$AJ754=11,$AJ754=18),"①病院一般",IF($AJ754=41,"②病院短期","対象外")),IF($AH754=5,IF($AJ754=30,"③特定消防","対象外"),IF(OR($AJ754=10,$AJ754=11,$AJ754=74),"④一般",IF(OR($AJ754=41,$AJ754=47),"⑤短期","対象外"))))))</f>
        <v>⑤短期</v>
      </c>
    </row>
    <row r="755">
      <c r="A755" t="n" s="2909">
        <v>31</v>
      </c>
      <c r="AA755" t="n" s="2909">
        <v>21</v>
      </c>
      <c r="AB755" t="inlineStr" s="2909">
        <is>
          <t>20221001</t>
        </is>
      </c>
      <c r="AD755" t="n" s="2909">
        <v>11</v>
      </c>
      <c r="AE755" t="inlineStr" s="2909">
        <is>
          <t>20250401</t>
        </is>
      </c>
      <c r="AH755" t="n" s="2909">
        <v>11</v>
      </c>
      <c r="AJ755" t="n" s="2909">
        <v>41</v>
      </c>
      <c r="AP755" t="n" s="2909">
        <v>134000</v>
      </c>
      <c r="DB755" s="2909" t="str">
        <f>IF($A755="","",IF($AE755&amp;""&lt;&gt;'DB_設定'!$C$4,"対象外",IF($AH755=20,IF(OR($AJ755=10,$AJ755=11,$AJ755=18),"①病院一般",IF($AJ755=41,"②病院短期","対象外")),IF($AH755=5,IF($AJ755=30,"③特定消防","対象外"),IF(OR($AJ755=10,$AJ755=11,$AJ755=74),"④一般",IF(OR($AJ755=41,$AJ755=47),"⑤短期","対象外"))))))</f>
        <v>⑤短期</v>
      </c>
    </row>
    <row r="756">
      <c r="A756" t="n" s="2909">
        <v>31</v>
      </c>
      <c r="AA756" t="n" s="2909">
        <v>21</v>
      </c>
      <c r="AB756" t="inlineStr" s="2909">
        <is>
          <t>20221001</t>
        </is>
      </c>
      <c r="AD756" t="n" s="2909">
        <v>12</v>
      </c>
      <c r="AE756" t="inlineStr" s="2909">
        <is>
          <t>20250401</t>
        </is>
      </c>
      <c r="AH756" t="n" s="2909">
        <v>1</v>
      </c>
      <c r="AJ756" t="n" s="2909">
        <v>41</v>
      </c>
      <c r="AP756" t="n" s="2909">
        <v>200000</v>
      </c>
      <c r="DB756" s="2909" t="str">
        <f>IF($A756="","",IF($AE756&amp;""&lt;&gt;'DB_設定'!$C$4,"対象外",IF($AH756=20,IF(OR($AJ756=10,$AJ756=11,$AJ756=18),"①病院一般",IF($AJ756=41,"②病院短期","対象外")),IF($AH756=5,IF($AJ756=30,"③特定消防","対象外"),IF(OR($AJ756=10,$AJ756=11,$AJ756=74),"④一般",IF(OR($AJ756=41,$AJ756=47),"⑤短期","対象外"))))))</f>
        <v>⑤短期</v>
      </c>
    </row>
    <row r="757">
      <c r="A757" t="n" s="2909">
        <v>31</v>
      </c>
      <c r="AA757" t="n" s="2909">
        <v>21</v>
      </c>
      <c r="AB757" t="inlineStr" s="2909">
        <is>
          <t>20240411</t>
        </is>
      </c>
      <c r="AD757" t="n" s="2909">
        <v>12</v>
      </c>
      <c r="AE757" t="inlineStr" s="2909">
        <is>
          <t>20250401</t>
        </is>
      </c>
      <c r="AH757" t="n" s="2909">
        <v>11</v>
      </c>
      <c r="AJ757" t="n" s="2909">
        <v>41</v>
      </c>
      <c r="AP757" t="n" s="2909">
        <v>220000</v>
      </c>
      <c r="DB757" s="2909" t="str">
        <f>IF($A757="","",IF($AE757&amp;""&lt;&gt;'DB_設定'!$C$4,"対象外",IF($AH757=20,IF(OR($AJ757=10,$AJ757=11,$AJ757=18),"①病院一般",IF($AJ757=41,"②病院短期","対象外")),IF($AH757=5,IF($AJ757=30,"③特定消防","対象外"),IF(OR($AJ757=10,$AJ757=11,$AJ757=74),"④一般",IF(OR($AJ757=41,$AJ757=47),"⑤短期","対象外"))))))</f>
        <v>⑤短期</v>
      </c>
    </row>
    <row r="758">
      <c r="A758" t="n" s="2909">
        <v>31</v>
      </c>
      <c r="AA758" t="n" s="2909">
        <v>21</v>
      </c>
      <c r="AB758" t="inlineStr" s="2909">
        <is>
          <t>20221001</t>
        </is>
      </c>
      <c r="AD758" t="n" s="2909">
        <v>12</v>
      </c>
      <c r="AE758" t="inlineStr" s="2909">
        <is>
          <t>20250401</t>
        </is>
      </c>
      <c r="AH758" t="n" s="2909">
        <v>1</v>
      </c>
      <c r="AJ758" t="n" s="2909">
        <v>41</v>
      </c>
      <c r="AP758" t="n" s="2909">
        <v>142000</v>
      </c>
      <c r="DB758" s="2909" t="str">
        <f>IF($A758="","",IF($AE758&amp;""&lt;&gt;'DB_設定'!$C$4,"対象外",IF($AH758=20,IF(OR($AJ758=10,$AJ758=11,$AJ758=18),"①病院一般",IF($AJ758=41,"②病院短期","対象外")),IF($AH758=5,IF($AJ758=30,"③特定消防","対象外"),IF(OR($AJ758=10,$AJ758=11,$AJ758=74),"④一般",IF(OR($AJ758=41,$AJ758=47),"⑤短期","対象外"))))))</f>
        <v>⑤短期</v>
      </c>
    </row>
    <row r="759">
      <c r="A759" t="n" s="2909">
        <v>31</v>
      </c>
      <c r="AA759" t="n" s="2909">
        <v>21</v>
      </c>
      <c r="AB759" t="inlineStr" s="2909">
        <is>
          <t>20221001</t>
        </is>
      </c>
      <c r="AD759" t="n" s="2909">
        <v>12</v>
      </c>
      <c r="AE759" t="inlineStr" s="2909">
        <is>
          <t>20250401</t>
        </is>
      </c>
      <c r="AH759" t="n" s="2909">
        <v>1</v>
      </c>
      <c r="AJ759" t="n" s="2909">
        <v>41</v>
      </c>
      <c r="AP759" t="n" s="2909">
        <v>200000</v>
      </c>
      <c r="DB759" s="2909" t="str">
        <f>IF($A759="","",IF($AE759&amp;""&lt;&gt;'DB_設定'!$C$4,"対象外",IF($AH759=20,IF(OR($AJ759=10,$AJ759=11,$AJ759=18),"①病院一般",IF($AJ759=41,"②病院短期","対象外")),IF($AH759=5,IF($AJ759=30,"③特定消防","対象外"),IF(OR($AJ759=10,$AJ759=11,$AJ759=74),"④一般",IF(OR($AJ759=41,$AJ759=47),"⑤短期","対象外"))))))</f>
        <v>⑤短期</v>
      </c>
    </row>
    <row r="760">
      <c r="A760" t="n" s="2909">
        <v>31</v>
      </c>
      <c r="AA760" t="n" s="2909">
        <v>21</v>
      </c>
      <c r="AB760" t="inlineStr" s="2909">
        <is>
          <t>20221001</t>
        </is>
      </c>
      <c r="AD760" t="n" s="2909">
        <v>12</v>
      </c>
      <c r="AE760" t="inlineStr" s="2909">
        <is>
          <t>20250401</t>
        </is>
      </c>
      <c r="AH760" t="n" s="2909">
        <v>1</v>
      </c>
      <c r="AJ760" t="n" s="2909">
        <v>41</v>
      </c>
      <c r="AP760" t="n" s="2909">
        <v>126000</v>
      </c>
      <c r="DB760" s="2909" t="str">
        <f>IF($A760="","",IF($AE760&amp;""&lt;&gt;'DB_設定'!$C$4,"対象外",IF($AH760=20,IF(OR($AJ760=10,$AJ760=11,$AJ760=18),"①病院一般",IF($AJ760=41,"②病院短期","対象外")),IF($AH760=5,IF($AJ760=30,"③特定消防","対象外"),IF(OR($AJ760=10,$AJ760=11,$AJ760=74),"④一般",IF(OR($AJ760=41,$AJ760=47),"⑤短期","対象外"))))))</f>
        <v>⑤短期</v>
      </c>
    </row>
    <row r="761">
      <c r="A761" t="n" s="2909">
        <v>31</v>
      </c>
      <c r="AA761" t="n" s="2909">
        <v>24</v>
      </c>
      <c r="AB761" t="inlineStr" s="2909">
        <is>
          <t>20231001</t>
        </is>
      </c>
      <c r="AD761" t="n" s="2909">
        <v>12</v>
      </c>
      <c r="AE761" t="inlineStr" s="2909">
        <is>
          <t>20250401</t>
        </is>
      </c>
      <c r="AH761" t="n" s="2909">
        <v>1</v>
      </c>
      <c r="AJ761" t="n" s="2909">
        <v>41</v>
      </c>
      <c r="AP761" t="n" s="2909">
        <v>118000</v>
      </c>
      <c r="DB761" s="2909" t="str">
        <f>IF($A761="","",IF($AE761&amp;""&lt;&gt;'DB_設定'!$C$4,"対象外",IF($AH761=20,IF(OR($AJ761=10,$AJ761=11,$AJ761=18),"①病院一般",IF($AJ761=41,"②病院短期","対象外")),IF($AH761=5,IF($AJ761=30,"③特定消防","対象外"),IF(OR($AJ761=10,$AJ761=11,$AJ761=74),"④一般",IF(OR($AJ761=41,$AJ761=47),"⑤短期","対象外"))))))</f>
        <v>⑤短期</v>
      </c>
    </row>
    <row r="762">
      <c r="A762" t="n" s="2909">
        <v>31</v>
      </c>
      <c r="AA762" t="n" s="2909">
        <v>24</v>
      </c>
      <c r="AB762" t="inlineStr" s="2909">
        <is>
          <t>20250107</t>
        </is>
      </c>
      <c r="AD762" t="n" s="2909">
        <v>12</v>
      </c>
      <c r="AE762" t="inlineStr" s="2909">
        <is>
          <t>20250701</t>
        </is>
      </c>
      <c r="AH762" t="n" s="2909">
        <v>1</v>
      </c>
      <c r="AJ762" t="n" s="2909">
        <v>41</v>
      </c>
      <c r="AP762" t="n" s="2909">
        <v>126000</v>
      </c>
      <c r="DB762" s="2909" t="str">
        <f>IF($A762="","",IF($AE762&amp;""&lt;&gt;'DB_設定'!$C$4,"対象外",IF($AH762=20,IF(OR($AJ762=10,$AJ762=11,$AJ762=18),"①病院一般",IF($AJ762=41,"②病院短期","対象外")),IF($AH762=5,IF($AJ762=30,"③特定消防","対象外"),IF(OR($AJ762=10,$AJ762=11,$AJ762=74),"④一般",IF(OR($AJ762=41,$AJ762=47),"⑤短期","対象外"))))))</f>
        <v>対象外</v>
      </c>
    </row>
    <row r="763">
      <c r="A763" t="n" s="2909">
        <v>31</v>
      </c>
      <c r="AA763" t="n" s="2909">
        <v>24</v>
      </c>
      <c r="AB763" t="inlineStr" s="2909">
        <is>
          <t>20250401</t>
        </is>
      </c>
      <c r="AD763" t="n" s="2909">
        <v>12</v>
      </c>
      <c r="AE763" t="inlineStr" s="2909">
        <is>
          <t>20250616</t>
        </is>
      </c>
      <c r="AH763" t="n" s="2909">
        <v>1</v>
      </c>
      <c r="AJ763" t="n" s="2909">
        <v>41</v>
      </c>
      <c r="AP763" t="n" s="2909">
        <v>142000</v>
      </c>
      <c r="DB763" s="2909" t="str">
        <f>IF($A763="","",IF($AE763&amp;""&lt;&gt;'DB_設定'!$C$4,"対象外",IF($AH763=20,IF(OR($AJ763=10,$AJ763=11,$AJ763=18),"①病院一般",IF($AJ763=41,"②病院短期","対象外")),IF($AH763=5,IF($AJ763=30,"③特定消防","対象外"),IF(OR($AJ763=10,$AJ763=11,$AJ763=74),"④一般",IF(OR($AJ763=41,$AJ763=47),"⑤短期","対象外"))))))</f>
        <v>対象外</v>
      </c>
    </row>
    <row r="764">
      <c r="A764" t="n" s="2909">
        <v>31</v>
      </c>
      <c r="AA764" t="n" s="2909">
        <v>21</v>
      </c>
      <c r="AB764" t="inlineStr" s="2909">
        <is>
          <t>20221001</t>
        </is>
      </c>
      <c r="AD764" t="n" s="2909">
        <v>12</v>
      </c>
      <c r="AE764" t="inlineStr" s="2909">
        <is>
          <t>20250401</t>
        </is>
      </c>
      <c r="AH764" t="n" s="2909">
        <v>1</v>
      </c>
      <c r="AJ764" t="n" s="2909">
        <v>41</v>
      </c>
      <c r="AP764" t="n" s="2909">
        <v>190000</v>
      </c>
      <c r="DB764" s="2909" t="str">
        <f>IF($A764="","",IF($AE764&amp;""&lt;&gt;'DB_設定'!$C$4,"対象外",IF($AH764=20,IF(OR($AJ764=10,$AJ764=11,$AJ764=18),"①病院一般",IF($AJ764=41,"②病院短期","対象外")),IF($AH764=5,IF($AJ764=30,"③特定消防","対象外"),IF(OR($AJ764=10,$AJ764=11,$AJ764=74),"④一般",IF(OR($AJ764=41,$AJ764=47),"⑤短期","対象外"))))))</f>
        <v>⑤短期</v>
      </c>
    </row>
    <row r="765">
      <c r="A765" t="n" s="2909">
        <v>31</v>
      </c>
      <c r="AA765" t="n" s="2909">
        <v>24</v>
      </c>
      <c r="AB765" t="inlineStr" s="2909">
        <is>
          <t>20250101</t>
        </is>
      </c>
      <c r="AD765" t="n" s="2909">
        <v>12</v>
      </c>
      <c r="AE765" t="inlineStr" s="2909">
        <is>
          <t>20250401</t>
        </is>
      </c>
      <c r="AH765" t="n" s="2909">
        <v>1</v>
      </c>
      <c r="AJ765" t="n" s="2909">
        <v>41</v>
      </c>
      <c r="AP765" t="n" s="2909">
        <v>134000</v>
      </c>
      <c r="DB765" s="2909" t="str">
        <f>IF($A765="","",IF($AE765&amp;""&lt;&gt;'DB_設定'!$C$4,"対象外",IF($AH765=20,IF(OR($AJ765=10,$AJ765=11,$AJ765=18),"①病院一般",IF($AJ765=41,"②病院短期","対象外")),IF($AH765=5,IF($AJ765=30,"③特定消防","対象外"),IF(OR($AJ765=10,$AJ765=11,$AJ765=74),"④一般",IF(OR($AJ765=41,$AJ765=47),"⑤短期","対象外"))))))</f>
        <v>⑤短期</v>
      </c>
    </row>
    <row r="766">
      <c r="A766" t="n" s="2909">
        <v>31</v>
      </c>
      <c r="AA766" t="n" s="2909">
        <v>21</v>
      </c>
      <c r="AB766" t="inlineStr" s="2909">
        <is>
          <t>20221001</t>
        </is>
      </c>
      <c r="AD766" t="n" s="2909">
        <v>11</v>
      </c>
      <c r="AE766" t="inlineStr" s="2909">
        <is>
          <t>20250401</t>
        </is>
      </c>
      <c r="AH766" t="n" s="2909">
        <v>1</v>
      </c>
      <c r="AJ766" t="n" s="2909">
        <v>41</v>
      </c>
      <c r="AP766" t="n" s="2909">
        <v>180000</v>
      </c>
      <c r="DB766" s="2909" t="str">
        <f>IF($A766="","",IF($AE766&amp;""&lt;&gt;'DB_設定'!$C$4,"対象外",IF($AH766=20,IF(OR($AJ766=10,$AJ766=11,$AJ766=18),"①病院一般",IF($AJ766=41,"②病院短期","対象外")),IF($AH766=5,IF($AJ766=30,"③特定消防","対象外"),IF(OR($AJ766=10,$AJ766=11,$AJ766=74),"④一般",IF(OR($AJ766=41,$AJ766=47),"⑤短期","対象外"))))))</f>
        <v>⑤短期</v>
      </c>
    </row>
    <row r="767">
      <c r="A767" t="n" s="2909">
        <v>31</v>
      </c>
      <c r="AA767" t="n" s="2909">
        <v>21</v>
      </c>
      <c r="AB767" t="inlineStr" s="2909">
        <is>
          <t>20221001</t>
        </is>
      </c>
      <c r="AD767" t="n" s="2909">
        <v>12</v>
      </c>
      <c r="AE767" t="inlineStr" s="2909">
        <is>
          <t>20250401</t>
        </is>
      </c>
      <c r="AH767" t="n" s="2909">
        <v>20</v>
      </c>
      <c r="AJ767" t="n" s="2909">
        <v>41</v>
      </c>
      <c r="AP767" t="n" s="2909">
        <v>260000</v>
      </c>
      <c r="DB767" s="2909" t="str">
        <f>IF($A767="","",IF($AE767&amp;""&lt;&gt;'DB_設定'!$C$4,"対象外",IF($AH767=20,IF(OR($AJ767=10,$AJ767=11,$AJ767=18),"①病院一般",IF($AJ767=41,"②病院短期","対象外")),IF($AH767=5,IF($AJ767=30,"③特定消防","対象外"),IF(OR($AJ767=10,$AJ767=11,$AJ767=74),"④一般",IF(OR($AJ767=41,$AJ767=47),"⑤短期","対象外"))))))</f>
        <v>②病院短期</v>
      </c>
    </row>
    <row r="768">
      <c r="A768" t="n" s="2909">
        <v>31</v>
      </c>
      <c r="AA768" t="n" s="2909">
        <v>21</v>
      </c>
      <c r="AB768" t="inlineStr" s="2909">
        <is>
          <t>20221001</t>
        </is>
      </c>
      <c r="AD768" t="n" s="2909">
        <v>12</v>
      </c>
      <c r="AE768" t="inlineStr" s="2909">
        <is>
          <t>20250401</t>
        </is>
      </c>
      <c r="AH768" t="n" s="2909">
        <v>20</v>
      </c>
      <c r="AJ768" t="n" s="2909">
        <v>41</v>
      </c>
      <c r="AP768" t="n" s="2909">
        <v>220000</v>
      </c>
      <c r="DB768" s="2909" t="str">
        <f>IF($A768="","",IF($AE768&amp;""&lt;&gt;'DB_設定'!$C$4,"対象外",IF($AH768=20,IF(OR($AJ768=10,$AJ768=11,$AJ768=18),"①病院一般",IF($AJ768=41,"②病院短期","対象外")),IF($AH768=5,IF($AJ768=30,"③特定消防","対象外"),IF(OR($AJ768=10,$AJ768=11,$AJ768=74),"④一般",IF(OR($AJ768=41,$AJ768=47),"⑤短期","対象外"))))))</f>
        <v>②病院短期</v>
      </c>
    </row>
    <row r="769">
      <c r="A769" t="n" s="2909">
        <v>31</v>
      </c>
      <c r="AA769" t="n" s="2909">
        <v>21</v>
      </c>
      <c r="AB769" t="inlineStr" s="2909">
        <is>
          <t>20221001</t>
        </is>
      </c>
      <c r="AD769" t="n" s="2909">
        <v>12</v>
      </c>
      <c r="AE769" t="inlineStr" s="2909">
        <is>
          <t>20250401</t>
        </is>
      </c>
      <c r="AH769" t="n" s="2909">
        <v>1</v>
      </c>
      <c r="AJ769" t="n" s="2909">
        <v>41</v>
      </c>
      <c r="AP769" t="n" s="2909">
        <v>118000</v>
      </c>
      <c r="DB769" s="2909" t="str">
        <f>IF($A769="","",IF($AE769&amp;""&lt;&gt;'DB_設定'!$C$4,"対象外",IF($AH769=20,IF(OR($AJ769=10,$AJ769=11,$AJ769=18),"①病院一般",IF($AJ769=41,"②病院短期","対象外")),IF($AH769=5,IF($AJ769=30,"③特定消防","対象外"),IF(OR($AJ769=10,$AJ769=11,$AJ769=74),"④一般",IF(OR($AJ769=41,$AJ769=47),"⑤短期","対象外"))))))</f>
        <v>⑤短期</v>
      </c>
    </row>
    <row r="770">
      <c r="A770" t="n" s="2909">
        <v>31</v>
      </c>
      <c r="AA770" t="n" s="2909">
        <v>21</v>
      </c>
      <c r="AB770" t="inlineStr" s="2909">
        <is>
          <t>20221001</t>
        </is>
      </c>
      <c r="AD770" t="n" s="2909">
        <v>12</v>
      </c>
      <c r="AE770" t="inlineStr" s="2909">
        <is>
          <t>20250401</t>
        </is>
      </c>
      <c r="AH770" t="n" s="2909">
        <v>1</v>
      </c>
      <c r="AJ770" t="n" s="2909">
        <v>41</v>
      </c>
      <c r="AP770" t="n" s="2909">
        <v>180000</v>
      </c>
      <c r="DB770" s="2909" t="str">
        <f>IF($A770="","",IF($AE770&amp;""&lt;&gt;'DB_設定'!$C$4,"対象外",IF($AH770=20,IF(OR($AJ770=10,$AJ770=11,$AJ770=18),"①病院一般",IF($AJ770=41,"②病院短期","対象外")),IF($AH770=5,IF($AJ770=30,"③特定消防","対象外"),IF(OR($AJ770=10,$AJ770=11,$AJ770=74),"④一般",IF(OR($AJ770=41,$AJ770=47),"⑤短期","対象外"))))))</f>
        <v>⑤短期</v>
      </c>
    </row>
    <row r="771">
      <c r="A771" t="n" s="2909">
        <v>31</v>
      </c>
      <c r="AA771" t="n" s="2909">
        <v>21</v>
      </c>
      <c r="AB771" t="inlineStr" s="2909">
        <is>
          <t>20221001</t>
        </is>
      </c>
      <c r="AD771" t="n" s="2909">
        <v>12</v>
      </c>
      <c r="AE771" t="inlineStr" s="2909">
        <is>
          <t>20250401</t>
        </is>
      </c>
      <c r="AH771" t="n" s="2909">
        <v>1</v>
      </c>
      <c r="AJ771" t="n" s="2909">
        <v>41</v>
      </c>
      <c r="AP771" t="n" s="2909">
        <v>180000</v>
      </c>
      <c r="DB771" s="2909" t="str">
        <f>IF($A771="","",IF($AE771&amp;""&lt;&gt;'DB_設定'!$C$4,"対象外",IF($AH771=20,IF(OR($AJ771=10,$AJ771=11,$AJ771=18),"①病院一般",IF($AJ771=41,"②病院短期","対象外")),IF($AH771=5,IF($AJ771=30,"③特定消防","対象外"),IF(OR($AJ771=10,$AJ771=11,$AJ771=74),"④一般",IF(OR($AJ771=41,$AJ771=47),"⑤短期","対象外"))))))</f>
        <v>⑤短期</v>
      </c>
    </row>
    <row r="772">
      <c r="A772" t="n" s="2909">
        <v>31</v>
      </c>
      <c r="AA772" t="n" s="2909">
        <v>21</v>
      </c>
      <c r="AB772" t="inlineStr" s="2909">
        <is>
          <t>20221001</t>
        </is>
      </c>
      <c r="AD772" t="n" s="2909">
        <v>12</v>
      </c>
      <c r="AE772" t="inlineStr" s="2909">
        <is>
          <t>20250401</t>
        </is>
      </c>
      <c r="AH772" t="n" s="2909">
        <v>1</v>
      </c>
      <c r="AJ772" t="n" s="2909">
        <v>41</v>
      </c>
      <c r="AP772" t="n" s="2909">
        <v>190000</v>
      </c>
      <c r="DB772" s="2909" t="str">
        <f>IF($A772="","",IF($AE772&amp;""&lt;&gt;'DB_設定'!$C$4,"対象外",IF($AH772=20,IF(OR($AJ772=10,$AJ772=11,$AJ772=18),"①病院一般",IF($AJ772=41,"②病院短期","対象外")),IF($AH772=5,IF($AJ772=30,"③特定消防","対象外"),IF(OR($AJ772=10,$AJ772=11,$AJ772=74),"④一般",IF(OR($AJ772=41,$AJ772=47),"⑤短期","対象外"))))))</f>
        <v>⑤短期</v>
      </c>
    </row>
    <row r="773">
      <c r="A773" t="n" s="2909">
        <v>31</v>
      </c>
      <c r="AA773" t="n" s="2909">
        <v>21</v>
      </c>
      <c r="AB773" t="inlineStr" s="2909">
        <is>
          <t>20240115</t>
        </is>
      </c>
      <c r="AD773" t="n" s="2909">
        <v>12</v>
      </c>
      <c r="AE773" t="inlineStr" s="2909">
        <is>
          <t>20250501</t>
        </is>
      </c>
      <c r="AH773" t="n" s="2909">
        <v>1</v>
      </c>
      <c r="AJ773" t="n" s="2909">
        <v>41</v>
      </c>
      <c r="AP773" t="n" s="2909">
        <v>118000</v>
      </c>
      <c r="DB773" s="2909" t="str">
        <f>IF($A773="","",IF($AE773&amp;""&lt;&gt;'DB_設定'!$C$4,"対象外",IF($AH773=20,IF(OR($AJ773=10,$AJ773=11,$AJ773=18),"①病院一般",IF($AJ773=41,"②病院短期","対象外")),IF($AH773=5,IF($AJ773=30,"③特定消防","対象外"),IF(OR($AJ773=10,$AJ773=11,$AJ773=74),"④一般",IF(OR($AJ773=41,$AJ773=47),"⑤短期","対象外"))))))</f>
        <v>対象外</v>
      </c>
    </row>
    <row r="774">
      <c r="A774" t="n" s="2909">
        <v>31</v>
      </c>
      <c r="AA774" t="n" s="2909">
        <v>21</v>
      </c>
      <c r="AB774" t="inlineStr" s="2909">
        <is>
          <t>20240401</t>
        </is>
      </c>
      <c r="AD774" t="n" s="2909">
        <v>12</v>
      </c>
      <c r="AE774" t="inlineStr" s="2909">
        <is>
          <t>20250401</t>
        </is>
      </c>
      <c r="AH774" t="n" s="2909">
        <v>1</v>
      </c>
      <c r="AJ774" t="n" s="2909">
        <v>41</v>
      </c>
      <c r="AP774" t="n" s="2909">
        <v>180000</v>
      </c>
      <c r="DB774" s="2909" t="str">
        <f>IF($A774="","",IF($AE774&amp;""&lt;&gt;'DB_設定'!$C$4,"対象外",IF($AH774=20,IF(OR($AJ774=10,$AJ774=11,$AJ774=18),"①病院一般",IF($AJ774=41,"②病院短期","対象外")),IF($AH774=5,IF($AJ774=30,"③特定消防","対象外"),IF(OR($AJ774=10,$AJ774=11,$AJ774=74),"④一般",IF(OR($AJ774=41,$AJ774=47),"⑤短期","対象外"))))))</f>
        <v>⑤短期</v>
      </c>
    </row>
    <row r="775">
      <c r="A775" t="n" s="2909">
        <v>31</v>
      </c>
      <c r="AA775" t="n" s="2909">
        <v>21</v>
      </c>
      <c r="AB775" t="inlineStr" s="2909">
        <is>
          <t>20221001</t>
        </is>
      </c>
      <c r="AD775" t="n" s="2909">
        <v>12</v>
      </c>
      <c r="AE775" t="inlineStr" s="2909">
        <is>
          <t>20250401</t>
        </is>
      </c>
      <c r="AH775" t="n" s="2909">
        <v>11</v>
      </c>
      <c r="AJ775" t="n" s="2909">
        <v>41</v>
      </c>
      <c r="AP775" t="n" s="2909">
        <v>220000</v>
      </c>
      <c r="DB775" s="2909" t="str">
        <f>IF($A775="","",IF($AE775&amp;""&lt;&gt;'DB_設定'!$C$4,"対象外",IF($AH775=20,IF(OR($AJ775=10,$AJ775=11,$AJ775=18),"①病院一般",IF($AJ775=41,"②病院短期","対象外")),IF($AH775=5,IF($AJ775=30,"③特定消防","対象外"),IF(OR($AJ775=10,$AJ775=11,$AJ775=74),"④一般",IF(OR($AJ775=41,$AJ775=47),"⑤短期","対象外"))))))</f>
        <v>⑤短期</v>
      </c>
    </row>
    <row r="776">
      <c r="A776" t="n" s="2909">
        <v>31</v>
      </c>
      <c r="AA776" t="n" s="2909">
        <v>21</v>
      </c>
      <c r="AB776" t="inlineStr" s="2909">
        <is>
          <t>20221001</t>
        </is>
      </c>
      <c r="AD776" t="n" s="2909">
        <v>12</v>
      </c>
      <c r="AE776" t="inlineStr" s="2909">
        <is>
          <t>20250401</t>
        </is>
      </c>
      <c r="AH776" t="n" s="2909">
        <v>20</v>
      </c>
      <c r="AJ776" t="n" s="2909">
        <v>41</v>
      </c>
      <c r="AP776" t="n" s="2909">
        <v>190000</v>
      </c>
      <c r="DB776" s="2909" t="str">
        <f>IF($A776="","",IF($AE776&amp;""&lt;&gt;'DB_設定'!$C$4,"対象外",IF($AH776=20,IF(OR($AJ776=10,$AJ776=11,$AJ776=18),"①病院一般",IF($AJ776=41,"②病院短期","対象外")),IF($AH776=5,IF($AJ776=30,"③特定消防","対象外"),IF(OR($AJ776=10,$AJ776=11,$AJ776=74),"④一般",IF(OR($AJ776=41,$AJ776=47),"⑤短期","対象外"))))))</f>
        <v>②病院短期</v>
      </c>
    </row>
    <row r="777">
      <c r="A777" t="n" s="2909">
        <v>31</v>
      </c>
      <c r="AA777" t="n" s="2909">
        <v>21</v>
      </c>
      <c r="AB777" t="inlineStr" s="2909">
        <is>
          <t>20221001</t>
        </is>
      </c>
      <c r="AD777" t="n" s="2909">
        <v>12</v>
      </c>
      <c r="AE777" t="inlineStr" s="2909">
        <is>
          <t>20250901</t>
        </is>
      </c>
      <c r="AH777" t="n" s="2909">
        <v>1</v>
      </c>
      <c r="AJ777" t="n" s="2909">
        <v>41</v>
      </c>
      <c r="AP777" t="n" s="2909">
        <v>200000</v>
      </c>
      <c r="DB777" s="2909" t="str">
        <f>IF($A777="","",IF($AE777&amp;""&lt;&gt;'DB_設定'!$C$4,"対象外",IF($AH777=20,IF(OR($AJ777=10,$AJ777=11,$AJ777=18),"①病院一般",IF($AJ777=41,"②病院短期","対象外")),IF($AH777=5,IF($AJ777=30,"③特定消防","対象外"),IF(OR($AJ777=10,$AJ777=11,$AJ777=74),"④一般",IF(OR($AJ777=41,$AJ777=47),"⑤短期","対象外"))))))</f>
        <v>対象外</v>
      </c>
    </row>
    <row r="778">
      <c r="A778" t="n" s="2909">
        <v>31</v>
      </c>
      <c r="AA778" t="n" s="2909">
        <v>21</v>
      </c>
      <c r="AB778" t="inlineStr" s="2909">
        <is>
          <t>20221001</t>
        </is>
      </c>
      <c r="AD778" t="n" s="2909">
        <v>12</v>
      </c>
      <c r="AE778" t="inlineStr" s="2909">
        <is>
          <t>20250401</t>
        </is>
      </c>
      <c r="AH778" t="n" s="2909">
        <v>1</v>
      </c>
      <c r="AJ778" t="n" s="2909">
        <v>41</v>
      </c>
      <c r="AP778" t="n" s="2909">
        <v>126000</v>
      </c>
      <c r="DB778" s="2909" t="str">
        <f>IF($A778="","",IF($AE778&amp;""&lt;&gt;'DB_設定'!$C$4,"対象外",IF($AH778=20,IF(OR($AJ778=10,$AJ778=11,$AJ778=18),"①病院一般",IF($AJ778=41,"②病院短期","対象外")),IF($AH778=5,IF($AJ778=30,"③特定消防","対象外"),IF(OR($AJ778=10,$AJ778=11,$AJ778=74),"④一般",IF(OR($AJ778=41,$AJ778=47),"⑤短期","対象外"))))))</f>
        <v>⑤短期</v>
      </c>
    </row>
    <row r="779">
      <c r="A779" t="n" s="2909">
        <v>31</v>
      </c>
      <c r="AA779" t="n" s="2909">
        <v>21</v>
      </c>
      <c r="AB779" t="inlineStr" s="2909">
        <is>
          <t>20250101</t>
        </is>
      </c>
      <c r="AD779" t="n" s="2909">
        <v>12</v>
      </c>
      <c r="AE779" t="inlineStr" s="2909">
        <is>
          <t>20250401</t>
        </is>
      </c>
      <c r="AH779" t="n" s="2909">
        <v>1</v>
      </c>
      <c r="AJ779" t="n" s="2909">
        <v>41</v>
      </c>
      <c r="AP779" t="n" s="2909">
        <v>260000</v>
      </c>
      <c r="DB779" s="2909" t="str">
        <f>IF($A779="","",IF($AE779&amp;""&lt;&gt;'DB_設定'!$C$4,"対象外",IF($AH779=20,IF(OR($AJ779=10,$AJ779=11,$AJ779=18),"①病院一般",IF($AJ779=41,"②病院短期","対象外")),IF($AH779=5,IF($AJ779=30,"③特定消防","対象外"),IF(OR($AJ779=10,$AJ779=11,$AJ779=74),"④一般",IF(OR($AJ779=41,$AJ779=47),"⑤短期","対象外"))))))</f>
        <v>⑤短期</v>
      </c>
    </row>
    <row r="780">
      <c r="A780" t="n" s="2909">
        <v>31</v>
      </c>
      <c r="AA780" t="n" s="2909">
        <v>21</v>
      </c>
      <c r="AB780" t="inlineStr" s="2909">
        <is>
          <t>20221001</t>
        </is>
      </c>
      <c r="AD780" t="n" s="2909">
        <v>12</v>
      </c>
      <c r="AE780" t="inlineStr" s="2909">
        <is>
          <t>20250401</t>
        </is>
      </c>
      <c r="AH780" t="n" s="2909">
        <v>1</v>
      </c>
      <c r="AJ780" t="n" s="2909">
        <v>41</v>
      </c>
      <c r="AP780" t="n" s="2909">
        <v>180000</v>
      </c>
      <c r="DB780" s="2909" t="str">
        <f>IF($A780="","",IF($AE780&amp;""&lt;&gt;'DB_設定'!$C$4,"対象外",IF($AH780=20,IF(OR($AJ780=10,$AJ780=11,$AJ780=18),"①病院一般",IF($AJ780=41,"②病院短期","対象外")),IF($AH780=5,IF($AJ780=30,"③特定消防","対象外"),IF(OR($AJ780=10,$AJ780=11,$AJ780=74),"④一般",IF(OR($AJ780=41,$AJ780=47),"⑤短期","対象外"))))))</f>
        <v>⑤短期</v>
      </c>
    </row>
    <row r="781">
      <c r="A781" t="n" s="2909">
        <v>31</v>
      </c>
      <c r="AA781" t="n" s="2909">
        <v>21</v>
      </c>
      <c r="AB781" t="inlineStr" s="2909">
        <is>
          <t>20210101</t>
        </is>
      </c>
      <c r="AD781" t="n" s="2909">
        <v>12</v>
      </c>
      <c r="AE781" t="inlineStr" s="2909">
        <is>
          <t>20250401</t>
        </is>
      </c>
      <c r="AH781" t="n" s="2909">
        <v>1</v>
      </c>
      <c r="AJ781" t="n" s="2909">
        <v>10</v>
      </c>
      <c r="AP781" t="n" s="2909">
        <v>240000</v>
      </c>
      <c r="DB781" s="2909" t="str">
        <f>IF($A781="","",IF($AE781&amp;""&lt;&gt;'DB_設定'!$C$4,"対象外",IF($AH781=20,IF(OR($AJ781=10,$AJ781=11,$AJ781=18),"①病院一般",IF($AJ781=41,"②病院短期","対象外")),IF($AH781=5,IF($AJ781=30,"③特定消防","対象外"),IF(OR($AJ781=10,$AJ781=11,$AJ781=74),"④一般",IF(OR($AJ781=41,$AJ781=47),"⑤短期","対象外"))))))</f>
        <v>④一般</v>
      </c>
    </row>
    <row r="782">
      <c r="A782" t="n" s="2909">
        <v>31</v>
      </c>
      <c r="AA782" t="n" s="2909">
        <v>21</v>
      </c>
      <c r="AB782" t="inlineStr" s="2909">
        <is>
          <t>20250616</t>
        </is>
      </c>
      <c r="AD782" t="n" s="2909">
        <v>12</v>
      </c>
      <c r="AE782" t="inlineStr" s="2909">
        <is>
          <t>20250728</t>
        </is>
      </c>
      <c r="AH782" t="n" s="2909">
        <v>12</v>
      </c>
      <c r="AJ782" t="n" s="2909">
        <v>41</v>
      </c>
      <c r="AP782" t="n" s="2909">
        <v>134000</v>
      </c>
      <c r="DB782" s="2909" t="str">
        <f>IF($A782="","",IF($AE782&amp;""&lt;&gt;'DB_設定'!$C$4,"対象外",IF($AH782=20,IF(OR($AJ782=10,$AJ782=11,$AJ782=18),"①病院一般",IF($AJ782=41,"②病院短期","対象外")),IF($AH782=5,IF($AJ782=30,"③特定消防","対象外"),IF(OR($AJ782=10,$AJ782=11,$AJ782=74),"④一般",IF(OR($AJ782=41,$AJ782=47),"⑤短期","対象外"))))))</f>
        <v>対象外</v>
      </c>
    </row>
    <row r="783">
      <c r="A783" t="n" s="2909">
        <v>31</v>
      </c>
      <c r="AA783" t="n" s="2909">
        <v>21</v>
      </c>
      <c r="AB783" t="inlineStr" s="2909">
        <is>
          <t>20221001</t>
        </is>
      </c>
      <c r="AD783" t="n" s="2909">
        <v>12</v>
      </c>
      <c r="AE783" t="inlineStr" s="2909">
        <is>
          <t>20250401</t>
        </is>
      </c>
      <c r="AH783" t="n" s="2909">
        <v>1</v>
      </c>
      <c r="AJ783" t="n" s="2909">
        <v>41</v>
      </c>
      <c r="AP783" t="n" s="2909">
        <v>134000</v>
      </c>
      <c r="DB783" s="2909" t="str">
        <f>IF($A783="","",IF($AE783&amp;""&lt;&gt;'DB_設定'!$C$4,"対象外",IF($AH783=20,IF(OR($AJ783=10,$AJ783=11,$AJ783=18),"①病院一般",IF($AJ783=41,"②病院短期","対象外")),IF($AH783=5,IF($AJ783=30,"③特定消防","対象外"),IF(OR($AJ783=10,$AJ783=11,$AJ783=74),"④一般",IF(OR($AJ783=41,$AJ783=47),"⑤短期","対象外"))))))</f>
        <v>⑤短期</v>
      </c>
    </row>
    <row r="784">
      <c r="A784" t="n" s="2909">
        <v>31</v>
      </c>
      <c r="AA784" t="n" s="2909">
        <v>21</v>
      </c>
      <c r="AB784" t="inlineStr" s="2909">
        <is>
          <t>20221001</t>
        </is>
      </c>
      <c r="AD784" t="n" s="2909">
        <v>12</v>
      </c>
      <c r="AE784" t="inlineStr" s="2909">
        <is>
          <t>20251001</t>
        </is>
      </c>
      <c r="AH784" t="n" s="2909">
        <v>11</v>
      </c>
      <c r="AJ784" t="n" s="2909">
        <v>41</v>
      </c>
      <c r="AP784" t="n" s="2909">
        <v>190000</v>
      </c>
      <c r="DB784" s="2909" t="str">
        <f>IF($A784="","",IF($AE784&amp;""&lt;&gt;'DB_設定'!$C$4,"対象外",IF($AH784=20,IF(OR($AJ784=10,$AJ784=11,$AJ784=18),"①病院一般",IF($AJ784=41,"②病院短期","対象外")),IF($AH784=5,IF($AJ784=30,"③特定消防","対象外"),IF(OR($AJ784=10,$AJ784=11,$AJ784=74),"④一般",IF(OR($AJ784=41,$AJ784=47),"⑤短期","対象外"))))))</f>
        <v>対象外</v>
      </c>
    </row>
    <row r="785">
      <c r="A785" t="n" s="2909">
        <v>31</v>
      </c>
      <c r="AA785" t="n" s="2909">
        <v>21</v>
      </c>
      <c r="AB785" t="inlineStr" s="2909">
        <is>
          <t>20221001</t>
        </is>
      </c>
      <c r="AD785" t="n" s="2909">
        <v>11</v>
      </c>
      <c r="AE785" t="inlineStr" s="2909">
        <is>
          <t>20250401</t>
        </is>
      </c>
      <c r="AH785" t="n" s="2909">
        <v>1</v>
      </c>
      <c r="AJ785" t="n" s="2909">
        <v>41</v>
      </c>
      <c r="AP785" t="n" s="2909">
        <v>200000</v>
      </c>
      <c r="DB785" s="2909" t="str">
        <f>IF($A785="","",IF($AE785&amp;""&lt;&gt;'DB_設定'!$C$4,"対象外",IF($AH785=20,IF(OR($AJ785=10,$AJ785=11,$AJ785=18),"①病院一般",IF($AJ785=41,"②病院短期","対象外")),IF($AH785=5,IF($AJ785=30,"③特定消防","対象外"),IF(OR($AJ785=10,$AJ785=11,$AJ785=74),"④一般",IF(OR($AJ785=41,$AJ785=47),"⑤短期","対象外"))))))</f>
        <v>⑤短期</v>
      </c>
    </row>
    <row r="786">
      <c r="A786" t="n" s="2909">
        <v>31</v>
      </c>
      <c r="AA786" t="n" s="2909">
        <v>21</v>
      </c>
      <c r="AB786" t="inlineStr" s="2909">
        <is>
          <t>20221001</t>
        </is>
      </c>
      <c r="AD786" t="n" s="2909">
        <v>12</v>
      </c>
      <c r="AE786" t="inlineStr" s="2909">
        <is>
          <t>20250401</t>
        </is>
      </c>
      <c r="AH786" t="n" s="2909">
        <v>1</v>
      </c>
      <c r="AJ786" t="n" s="2909">
        <v>41</v>
      </c>
      <c r="AP786" t="n" s="2909">
        <v>134000</v>
      </c>
      <c r="DB786" s="2909" t="str">
        <f>IF($A786="","",IF($AE786&amp;""&lt;&gt;'DB_設定'!$C$4,"対象外",IF($AH786=20,IF(OR($AJ786=10,$AJ786=11,$AJ786=18),"①病院一般",IF($AJ786=41,"②病院短期","対象外")),IF($AH786=5,IF($AJ786=30,"③特定消防","対象外"),IF(OR($AJ786=10,$AJ786=11,$AJ786=74),"④一般",IF(OR($AJ786=41,$AJ786=47),"⑤短期","対象外"))))))</f>
        <v>⑤短期</v>
      </c>
    </row>
    <row r="787">
      <c r="A787" t="n" s="2909">
        <v>31</v>
      </c>
      <c r="AA787" t="n" s="2909">
        <v>21</v>
      </c>
      <c r="AB787" t="inlineStr" s="2909">
        <is>
          <t>20230401</t>
        </is>
      </c>
      <c r="AD787" t="n" s="2909">
        <v>12</v>
      </c>
      <c r="AE787" t="inlineStr" s="2909">
        <is>
          <t>20250401</t>
        </is>
      </c>
      <c r="AH787" t="n" s="2909">
        <v>1</v>
      </c>
      <c r="AJ787" t="n" s="2909">
        <v>41</v>
      </c>
      <c r="AP787" t="n" s="2909">
        <v>180000</v>
      </c>
      <c r="DB787" s="2909" t="str">
        <f>IF($A787="","",IF($AE787&amp;""&lt;&gt;'DB_設定'!$C$4,"対象外",IF($AH787=20,IF(OR($AJ787=10,$AJ787=11,$AJ787=18),"①病院一般",IF($AJ787=41,"②病院短期","対象外")),IF($AH787=5,IF($AJ787=30,"③特定消防","対象外"),IF(OR($AJ787=10,$AJ787=11,$AJ787=74),"④一般",IF(OR($AJ787=41,$AJ787=47),"⑤短期","対象外"))))))</f>
        <v>⑤短期</v>
      </c>
    </row>
    <row r="788">
      <c r="A788" t="n" s="2909">
        <v>31</v>
      </c>
      <c r="AA788" t="n" s="2909">
        <v>21</v>
      </c>
      <c r="AB788" t="inlineStr" s="2909">
        <is>
          <t>20250107</t>
        </is>
      </c>
      <c r="AD788" t="n" s="2909">
        <v>12</v>
      </c>
      <c r="AE788" t="inlineStr" s="2909">
        <is>
          <t>20250401</t>
        </is>
      </c>
      <c r="AH788" t="n" s="2909">
        <v>1</v>
      </c>
      <c r="AJ788" t="n" s="2909">
        <v>41</v>
      </c>
      <c r="AP788" t="n" s="2909">
        <v>126000</v>
      </c>
      <c r="DB788" s="2909" t="str">
        <f>IF($A788="","",IF($AE788&amp;""&lt;&gt;'DB_設定'!$C$4,"対象外",IF($AH788=20,IF(OR($AJ788=10,$AJ788=11,$AJ788=18),"①病院一般",IF($AJ788=41,"②病院短期","対象外")),IF($AH788=5,IF($AJ788=30,"③特定消防","対象外"),IF(OR($AJ788=10,$AJ788=11,$AJ788=74),"④一般",IF(OR($AJ788=41,$AJ788=47),"⑤短期","対象外"))))))</f>
        <v>⑤短期</v>
      </c>
    </row>
    <row r="789">
      <c r="A789" t="n" s="2909">
        <v>31</v>
      </c>
      <c r="AA789" t="n" s="2909">
        <v>21</v>
      </c>
      <c r="AB789" t="inlineStr" s="2909">
        <is>
          <t>20221001</t>
        </is>
      </c>
      <c r="AD789" t="n" s="2909">
        <v>12</v>
      </c>
      <c r="AE789" t="inlineStr" s="2909">
        <is>
          <t>20250401</t>
        </is>
      </c>
      <c r="AH789" t="n" s="2909">
        <v>1</v>
      </c>
      <c r="AJ789" t="n" s="2909">
        <v>41</v>
      </c>
      <c r="AP789" t="n" s="2909">
        <v>190000</v>
      </c>
      <c r="DB789" s="2909" t="str">
        <f>IF($A789="","",IF($AE789&amp;""&lt;&gt;'DB_設定'!$C$4,"対象外",IF($AH789=20,IF(OR($AJ789=10,$AJ789=11,$AJ789=18),"①病院一般",IF($AJ789=41,"②病院短期","対象外")),IF($AH789=5,IF($AJ789=30,"③特定消防","対象外"),IF(OR($AJ789=10,$AJ789=11,$AJ789=74),"④一般",IF(OR($AJ789=41,$AJ789=47),"⑤短期","対象外"))))))</f>
        <v>⑤短期</v>
      </c>
    </row>
    <row r="790">
      <c r="A790" t="n" s="2909">
        <v>31</v>
      </c>
      <c r="AA790" t="n" s="2909">
        <v>21</v>
      </c>
      <c r="AB790" t="inlineStr" s="2909">
        <is>
          <t>20221001</t>
        </is>
      </c>
      <c r="AD790" t="n" s="2909">
        <v>12</v>
      </c>
      <c r="AE790" t="inlineStr" s="2909">
        <is>
          <t>20250401</t>
        </is>
      </c>
      <c r="AH790" t="n" s="2909">
        <v>20</v>
      </c>
      <c r="AJ790" t="n" s="2909">
        <v>41</v>
      </c>
      <c r="AP790" t="n" s="2909">
        <v>180000</v>
      </c>
      <c r="DB790" s="2909" t="str">
        <f>IF($A790="","",IF($AE790&amp;""&lt;&gt;'DB_設定'!$C$4,"対象外",IF($AH790=20,IF(OR($AJ790=10,$AJ790=11,$AJ790=18),"①病院一般",IF($AJ790=41,"②病院短期","対象外")),IF($AH790=5,IF($AJ790=30,"③特定消防","対象外"),IF(OR($AJ790=10,$AJ790=11,$AJ790=74),"④一般",IF(OR($AJ790=41,$AJ790=47),"⑤短期","対象外"))))))</f>
        <v>②病院短期</v>
      </c>
    </row>
    <row r="791">
      <c r="A791" t="n" s="2909">
        <v>31</v>
      </c>
      <c r="AA791" t="n" s="2909">
        <v>24</v>
      </c>
      <c r="AB791" t="inlineStr" s="2909">
        <is>
          <t>20241001</t>
        </is>
      </c>
      <c r="AD791" t="n" s="2909">
        <v>12</v>
      </c>
      <c r="AE791" t="inlineStr" s="2909">
        <is>
          <t>20250801</t>
        </is>
      </c>
      <c r="AH791" t="n" s="2909">
        <v>1</v>
      </c>
      <c r="AJ791" t="n" s="2909">
        <v>41</v>
      </c>
      <c r="AP791" t="n" s="2909">
        <v>118000</v>
      </c>
      <c r="DB791" s="2909" t="str">
        <f>IF($A791="","",IF($AE791&amp;""&lt;&gt;'DB_設定'!$C$4,"対象外",IF($AH791=20,IF(OR($AJ791=10,$AJ791=11,$AJ791=18),"①病院一般",IF($AJ791=41,"②病院短期","対象外")),IF($AH791=5,IF($AJ791=30,"③特定消防","対象外"),IF(OR($AJ791=10,$AJ791=11,$AJ791=74),"④一般",IF(OR($AJ791=41,$AJ791=47),"⑤短期","対象外"))))))</f>
        <v>対象外</v>
      </c>
    </row>
    <row r="792">
      <c r="A792" t="n" s="2909">
        <v>31</v>
      </c>
      <c r="AA792" t="n" s="2909">
        <v>21</v>
      </c>
      <c r="AB792" t="inlineStr" s="2909">
        <is>
          <t>20250107</t>
        </is>
      </c>
      <c r="AD792" t="n" s="2909">
        <v>12</v>
      </c>
      <c r="AE792" t="inlineStr" s="2909">
        <is>
          <t>20250401</t>
        </is>
      </c>
      <c r="AH792" t="n" s="2909">
        <v>1</v>
      </c>
      <c r="AJ792" t="n" s="2909">
        <v>41</v>
      </c>
      <c r="AP792" t="n" s="2909">
        <v>134000</v>
      </c>
      <c r="DB792" s="2909" t="str">
        <f>IF($A792="","",IF($AE792&amp;""&lt;&gt;'DB_設定'!$C$4,"対象外",IF($AH792=20,IF(OR($AJ792=10,$AJ792=11,$AJ792=18),"①病院一般",IF($AJ792=41,"②病院短期","対象外")),IF($AH792=5,IF($AJ792=30,"③特定消防","対象外"),IF(OR($AJ792=10,$AJ792=11,$AJ792=74),"④一般",IF(OR($AJ792=41,$AJ792=47),"⑤短期","対象外"))))))</f>
        <v>⑤短期</v>
      </c>
    </row>
    <row r="793">
      <c r="A793" t="n" s="2909">
        <v>31</v>
      </c>
      <c r="AA793" t="n" s="2909">
        <v>21</v>
      </c>
      <c r="AB793" t="inlineStr" s="2909">
        <is>
          <t>20221001</t>
        </is>
      </c>
      <c r="AD793" t="n" s="2909">
        <v>11</v>
      </c>
      <c r="AE793" t="inlineStr" s="2909">
        <is>
          <t>20250401</t>
        </is>
      </c>
      <c r="AH793" t="n" s="2909">
        <v>1</v>
      </c>
      <c r="AJ793" t="n" s="2909">
        <v>41</v>
      </c>
      <c r="AP793" t="n" s="2909">
        <v>118000</v>
      </c>
      <c r="DB793" s="2909" t="str">
        <f>IF($A793="","",IF($AE793&amp;""&lt;&gt;'DB_設定'!$C$4,"対象外",IF($AH793=20,IF(OR($AJ793=10,$AJ793=11,$AJ793=18),"①病院一般",IF($AJ793=41,"②病院短期","対象外")),IF($AH793=5,IF($AJ793=30,"③特定消防","対象外"),IF(OR($AJ793=10,$AJ793=11,$AJ793=74),"④一般",IF(OR($AJ793=41,$AJ793=47),"⑤短期","対象外"))))))</f>
        <v>⑤短期</v>
      </c>
    </row>
    <row r="794">
      <c r="A794" t="n" s="2909">
        <v>31</v>
      </c>
      <c r="AA794" t="n" s="2909">
        <v>21</v>
      </c>
      <c r="AB794" t="inlineStr" s="2909">
        <is>
          <t>20250101</t>
        </is>
      </c>
      <c r="AD794" t="n" s="2909">
        <v>12</v>
      </c>
      <c r="AE794" t="inlineStr" s="2909">
        <is>
          <t>20250401</t>
        </is>
      </c>
      <c r="AH794" t="n" s="2909">
        <v>1</v>
      </c>
      <c r="AJ794" t="n" s="2909">
        <v>41</v>
      </c>
      <c r="AP794" t="n" s="2909">
        <v>118000</v>
      </c>
      <c r="DB794" s="2909" t="str">
        <f>IF($A794="","",IF($AE794&amp;""&lt;&gt;'DB_設定'!$C$4,"対象外",IF($AH794=20,IF(OR($AJ794=10,$AJ794=11,$AJ794=18),"①病院一般",IF($AJ794=41,"②病院短期","対象外")),IF($AH794=5,IF($AJ794=30,"③特定消防","対象外"),IF(OR($AJ794=10,$AJ794=11,$AJ794=74),"④一般",IF(OR($AJ794=41,$AJ794=47),"⑤短期","対象外"))))))</f>
        <v>⑤短期</v>
      </c>
    </row>
    <row r="795">
      <c r="A795" t="n" s="2909">
        <v>31</v>
      </c>
      <c r="AA795" t="n" s="2909">
        <v>21</v>
      </c>
      <c r="AB795" t="inlineStr" s="2909">
        <is>
          <t>20240401</t>
        </is>
      </c>
      <c r="AD795" t="n" s="2909">
        <v>12</v>
      </c>
      <c r="AE795" t="inlineStr" s="2909">
        <is>
          <t>20250401</t>
        </is>
      </c>
      <c r="AH795" t="n" s="2909">
        <v>1</v>
      </c>
      <c r="AJ795" t="n" s="2909">
        <v>41</v>
      </c>
      <c r="AP795" t="n" s="2909">
        <v>126000</v>
      </c>
      <c r="DB795" s="2909" t="str">
        <f>IF($A795="","",IF($AE795&amp;""&lt;&gt;'DB_設定'!$C$4,"対象外",IF($AH795=20,IF(OR($AJ795=10,$AJ795=11,$AJ795=18),"①病院一般",IF($AJ795=41,"②病院短期","対象外")),IF($AH795=5,IF($AJ795=30,"③特定消防","対象外"),IF(OR($AJ795=10,$AJ795=11,$AJ795=74),"④一般",IF(OR($AJ795=41,$AJ795=47),"⑤短期","対象外"))))))</f>
        <v>⑤短期</v>
      </c>
    </row>
    <row r="796">
      <c r="A796" t="n" s="2909">
        <v>31</v>
      </c>
      <c r="AA796" t="n" s="2909">
        <v>21</v>
      </c>
      <c r="AB796" t="inlineStr" s="2909">
        <is>
          <t>20200401</t>
        </is>
      </c>
      <c r="AD796" t="n" s="2909">
        <v>12</v>
      </c>
      <c r="AE796" t="inlineStr" s="2909">
        <is>
          <t>20250401</t>
        </is>
      </c>
      <c r="AH796" t="n" s="2909">
        <v>1</v>
      </c>
      <c r="AJ796" t="n" s="2909">
        <v>10</v>
      </c>
      <c r="AP796" t="n" s="2909">
        <v>240000</v>
      </c>
      <c r="DB796" s="2909" t="str">
        <f>IF($A796="","",IF($AE796&amp;""&lt;&gt;'DB_設定'!$C$4,"対象外",IF($AH796=20,IF(OR($AJ796=10,$AJ796=11,$AJ796=18),"①病院一般",IF($AJ796=41,"②病院短期","対象外")),IF($AH796=5,IF($AJ796=30,"③特定消防","対象外"),IF(OR($AJ796=10,$AJ796=11,$AJ796=74),"④一般",IF(OR($AJ796=41,$AJ796=47),"⑤短期","対象外"))))))</f>
        <v>④一般</v>
      </c>
    </row>
    <row r="797">
      <c r="A797" t="n" s="2909">
        <v>31</v>
      </c>
      <c r="AA797" t="n" s="2909">
        <v>21</v>
      </c>
      <c r="AB797" t="inlineStr" s="2909">
        <is>
          <t>20221001</t>
        </is>
      </c>
      <c r="AD797" t="n" s="2909">
        <v>11</v>
      </c>
      <c r="AE797" t="inlineStr" s="2909">
        <is>
          <t>20250401</t>
        </is>
      </c>
      <c r="AH797" t="n" s="2909">
        <v>1</v>
      </c>
      <c r="AJ797" t="n" s="2909">
        <v>41</v>
      </c>
      <c r="AP797" t="n" s="2909">
        <v>118000</v>
      </c>
      <c r="DB797" s="2909" t="str">
        <f>IF($A797="","",IF($AE797&amp;""&lt;&gt;'DB_設定'!$C$4,"対象外",IF($AH797=20,IF(OR($AJ797=10,$AJ797=11,$AJ797=18),"①病院一般",IF($AJ797=41,"②病院短期","対象外")),IF($AH797=5,IF($AJ797=30,"③特定消防","対象外"),IF(OR($AJ797=10,$AJ797=11,$AJ797=74),"④一般",IF(OR($AJ797=41,$AJ797=47),"⑤短期","対象外"))))))</f>
        <v>⑤短期</v>
      </c>
    </row>
    <row r="798">
      <c r="A798" t="n" s="2909">
        <v>31</v>
      </c>
      <c r="AA798" t="n" s="2909">
        <v>21</v>
      </c>
      <c r="AB798" t="inlineStr" s="2909">
        <is>
          <t>20221001</t>
        </is>
      </c>
      <c r="AD798" t="n" s="2909">
        <v>12</v>
      </c>
      <c r="AE798" t="inlineStr" s="2909">
        <is>
          <t>20250401</t>
        </is>
      </c>
      <c r="AH798" t="n" s="2909">
        <v>1</v>
      </c>
      <c r="AJ798" t="n" s="2909">
        <v>41</v>
      </c>
      <c r="AP798" t="n" s="2909">
        <v>134000</v>
      </c>
      <c r="DB798" s="2909" t="str">
        <f>IF($A798="","",IF($AE798&amp;""&lt;&gt;'DB_設定'!$C$4,"対象外",IF($AH798=20,IF(OR($AJ798=10,$AJ798=11,$AJ798=18),"①病院一般",IF($AJ798=41,"②病院短期","対象外")),IF($AH798=5,IF($AJ798=30,"③特定消防","対象外"),IF(OR($AJ798=10,$AJ798=11,$AJ798=74),"④一般",IF(OR($AJ798=41,$AJ798=47),"⑤短期","対象外"))))))</f>
        <v>⑤短期</v>
      </c>
    </row>
    <row r="799">
      <c r="A799" t="n" s="2909">
        <v>31</v>
      </c>
      <c r="AA799" t="n" s="2909">
        <v>21</v>
      </c>
      <c r="AB799" t="inlineStr" s="2909">
        <is>
          <t>20221001</t>
        </is>
      </c>
      <c r="AD799" t="n" s="2909">
        <v>11</v>
      </c>
      <c r="AE799" t="inlineStr" s="2909">
        <is>
          <t>20250401</t>
        </is>
      </c>
      <c r="AH799" t="n" s="2909">
        <v>1</v>
      </c>
      <c r="AJ799" t="n" s="2909">
        <v>41</v>
      </c>
      <c r="AP799" t="n" s="2909">
        <v>220000</v>
      </c>
      <c r="DB799" s="2909" t="str">
        <f>IF($A799="","",IF($AE799&amp;""&lt;&gt;'DB_設定'!$C$4,"対象外",IF($AH799=20,IF(OR($AJ799=10,$AJ799=11,$AJ799=18),"①病院一般",IF($AJ799=41,"②病院短期","対象外")),IF($AH799=5,IF($AJ799=30,"③特定消防","対象外"),IF(OR($AJ799=10,$AJ799=11,$AJ799=74),"④一般",IF(OR($AJ799=41,$AJ799=47),"⑤短期","対象外"))))))</f>
        <v>⑤短期</v>
      </c>
    </row>
    <row r="800">
      <c r="A800" t="n" s="2909">
        <v>31</v>
      </c>
      <c r="AA800" t="n" s="2909">
        <v>21</v>
      </c>
      <c r="AB800" t="inlineStr" s="2909">
        <is>
          <t>20240501</t>
        </is>
      </c>
      <c r="AD800" t="n" s="2909">
        <v>12</v>
      </c>
      <c r="AE800" t="inlineStr" s="2909">
        <is>
          <t>20250401</t>
        </is>
      </c>
      <c r="AH800" t="n" s="2909">
        <v>11</v>
      </c>
      <c r="AJ800" t="n" s="2909">
        <v>41</v>
      </c>
      <c r="AP800" t="n" s="2909">
        <v>134000</v>
      </c>
      <c r="DB800" s="2909" t="str">
        <f>IF($A800="","",IF($AE800&amp;""&lt;&gt;'DB_設定'!$C$4,"対象外",IF($AH800=20,IF(OR($AJ800=10,$AJ800=11,$AJ800=18),"①病院一般",IF($AJ800=41,"②病院短期","対象外")),IF($AH800=5,IF($AJ800=30,"③特定消防","対象外"),IF(OR($AJ800=10,$AJ800=11,$AJ800=74),"④一般",IF(OR($AJ800=41,$AJ800=47),"⑤短期","対象外"))))))</f>
        <v>⑤短期</v>
      </c>
    </row>
    <row r="801">
      <c r="A801" t="n" s="2909">
        <v>31</v>
      </c>
      <c r="AA801" t="n" s="2909">
        <v>21</v>
      </c>
      <c r="AB801" t="inlineStr" s="2909">
        <is>
          <t>20221001</t>
        </is>
      </c>
      <c r="AD801" t="n" s="2909">
        <v>12</v>
      </c>
      <c r="AE801" t="inlineStr" s="2909">
        <is>
          <t>20250701</t>
        </is>
      </c>
      <c r="AH801" t="n" s="2909">
        <v>1</v>
      </c>
      <c r="AJ801" t="n" s="2909">
        <v>41</v>
      </c>
      <c r="AP801" t="n" s="2909">
        <v>180000</v>
      </c>
      <c r="DB801" s="2909" t="str">
        <f>IF($A801="","",IF($AE801&amp;""&lt;&gt;'DB_設定'!$C$4,"対象外",IF($AH801=20,IF(OR($AJ801=10,$AJ801=11,$AJ801=18),"①病院一般",IF($AJ801=41,"②病院短期","対象外")),IF($AH801=5,IF($AJ801=30,"③特定消防","対象外"),IF(OR($AJ801=10,$AJ801=11,$AJ801=74),"④一般",IF(OR($AJ801=41,$AJ801=47),"⑤短期","対象外"))))))</f>
        <v>対象外</v>
      </c>
    </row>
    <row r="802">
      <c r="A802" t="n" s="2909">
        <v>31</v>
      </c>
      <c r="AA802" t="n" s="2909">
        <v>21</v>
      </c>
      <c r="AB802" t="inlineStr" s="2909">
        <is>
          <t>20221001</t>
        </is>
      </c>
      <c r="AD802" t="n" s="2909">
        <v>12</v>
      </c>
      <c r="AE802" t="inlineStr" s="2909">
        <is>
          <t>20250401</t>
        </is>
      </c>
      <c r="AH802" t="n" s="2909">
        <v>20</v>
      </c>
      <c r="AJ802" t="n" s="2909">
        <v>41</v>
      </c>
      <c r="AP802" t="n" s="2909">
        <v>190000</v>
      </c>
      <c r="DB802" s="2909" t="str">
        <f>IF($A802="","",IF($AE802&amp;""&lt;&gt;'DB_設定'!$C$4,"対象外",IF($AH802=20,IF(OR($AJ802=10,$AJ802=11,$AJ802=18),"①病院一般",IF($AJ802=41,"②病院短期","対象外")),IF($AH802=5,IF($AJ802=30,"③特定消防","対象外"),IF(OR($AJ802=10,$AJ802=11,$AJ802=74),"④一般",IF(OR($AJ802=41,$AJ802=47),"⑤短期","対象外"))))))</f>
        <v>②病院短期</v>
      </c>
    </row>
    <row r="803">
      <c r="A803" t="n" s="2909">
        <v>31</v>
      </c>
      <c r="AA803" t="n" s="2909">
        <v>21</v>
      </c>
      <c r="AB803" t="inlineStr" s="2909">
        <is>
          <t>20221001</t>
        </is>
      </c>
      <c r="AD803" t="n" s="2909">
        <v>12</v>
      </c>
      <c r="AE803" t="inlineStr" s="2909">
        <is>
          <t>20250401</t>
        </is>
      </c>
      <c r="AH803" t="n" s="2909">
        <v>1</v>
      </c>
      <c r="AJ803" t="n" s="2909">
        <v>41</v>
      </c>
      <c r="AP803" t="n" s="2909">
        <v>142000</v>
      </c>
      <c r="DB803" s="2909" t="str">
        <f>IF($A803="","",IF($AE803&amp;""&lt;&gt;'DB_設定'!$C$4,"対象外",IF($AH803=20,IF(OR($AJ803=10,$AJ803=11,$AJ803=18),"①病院一般",IF($AJ803=41,"②病院短期","対象外")),IF($AH803=5,IF($AJ803=30,"③特定消防","対象外"),IF(OR($AJ803=10,$AJ803=11,$AJ803=74),"④一般",IF(OR($AJ803=41,$AJ803=47),"⑤短期","対象外"))))))</f>
        <v>⑤短期</v>
      </c>
    </row>
    <row r="804">
      <c r="A804" t="n" s="2909">
        <v>31</v>
      </c>
      <c r="AA804" t="n" s="2909">
        <v>21</v>
      </c>
      <c r="AB804" t="inlineStr" s="2909">
        <is>
          <t>20221001</t>
        </is>
      </c>
      <c r="AD804" t="n" s="2909">
        <v>12</v>
      </c>
      <c r="AE804" t="inlineStr" s="2909">
        <is>
          <t>20250401</t>
        </is>
      </c>
      <c r="AH804" t="n" s="2909">
        <v>1</v>
      </c>
      <c r="AJ804" t="n" s="2909">
        <v>41</v>
      </c>
      <c r="AP804" t="n" s="2909">
        <v>118000</v>
      </c>
      <c r="DB804" s="2909" t="str">
        <f>IF($A804="","",IF($AE804&amp;""&lt;&gt;'DB_設定'!$C$4,"対象外",IF($AH804=20,IF(OR($AJ804=10,$AJ804=11,$AJ804=18),"①病院一般",IF($AJ804=41,"②病院短期","対象外")),IF($AH804=5,IF($AJ804=30,"③特定消防","対象外"),IF(OR($AJ804=10,$AJ804=11,$AJ804=74),"④一般",IF(OR($AJ804=41,$AJ804=47),"⑤短期","対象外"))))))</f>
        <v>⑤短期</v>
      </c>
    </row>
    <row r="805">
      <c r="A805" t="n" s="2909">
        <v>31</v>
      </c>
      <c r="AA805" t="n" s="2909">
        <v>21</v>
      </c>
      <c r="AB805" t="inlineStr" s="2909">
        <is>
          <t>20221001</t>
        </is>
      </c>
      <c r="AD805" t="n" s="2909">
        <v>12</v>
      </c>
      <c r="AE805" t="inlineStr" s="2909">
        <is>
          <t>20250501</t>
        </is>
      </c>
      <c r="AH805" t="n" s="2909">
        <v>1</v>
      </c>
      <c r="AJ805" t="n" s="2909">
        <v>41</v>
      </c>
      <c r="AP805" t="n" s="2909">
        <v>118000</v>
      </c>
      <c r="DB805" s="2909" t="str">
        <f>IF($A805="","",IF($AE805&amp;""&lt;&gt;'DB_設定'!$C$4,"対象外",IF($AH805=20,IF(OR($AJ805=10,$AJ805=11,$AJ805=18),"①病院一般",IF($AJ805=41,"②病院短期","対象外")),IF($AH805=5,IF($AJ805=30,"③特定消防","対象外"),IF(OR($AJ805=10,$AJ805=11,$AJ805=74),"④一般",IF(OR($AJ805=41,$AJ805=47),"⑤短期","対象外"))))))</f>
        <v>対象外</v>
      </c>
    </row>
    <row r="806">
      <c r="A806" t="n" s="2909">
        <v>31</v>
      </c>
      <c r="AA806" t="n" s="2909">
        <v>21</v>
      </c>
      <c r="AB806" t="inlineStr" s="2909">
        <is>
          <t>20221001</t>
        </is>
      </c>
      <c r="AD806" t="n" s="2909">
        <v>12</v>
      </c>
      <c r="AE806" t="inlineStr" s="2909">
        <is>
          <t>20250401</t>
        </is>
      </c>
      <c r="AH806" t="n" s="2909">
        <v>1</v>
      </c>
      <c r="AJ806" t="n" s="2909">
        <v>41</v>
      </c>
      <c r="AP806" t="n" s="2909">
        <v>126000</v>
      </c>
      <c r="DB806" s="2909" t="str">
        <f>IF($A806="","",IF($AE806&amp;""&lt;&gt;'DB_設定'!$C$4,"対象外",IF($AH806=20,IF(OR($AJ806=10,$AJ806=11,$AJ806=18),"①病院一般",IF($AJ806=41,"②病院短期","対象外")),IF($AH806=5,IF($AJ806=30,"③特定消防","対象外"),IF(OR($AJ806=10,$AJ806=11,$AJ806=74),"④一般",IF(OR($AJ806=41,$AJ806=47),"⑤短期","対象外"))))))</f>
        <v>⑤短期</v>
      </c>
    </row>
    <row r="807">
      <c r="A807" t="n" s="2909">
        <v>31</v>
      </c>
      <c r="AA807" t="n" s="2909">
        <v>21</v>
      </c>
      <c r="AB807" t="inlineStr" s="2909">
        <is>
          <t>20230401</t>
        </is>
      </c>
      <c r="AD807" t="n" s="2909">
        <v>12</v>
      </c>
      <c r="AE807" t="inlineStr" s="2909">
        <is>
          <t>20250401</t>
        </is>
      </c>
      <c r="AH807" t="n" s="2909">
        <v>1</v>
      </c>
      <c r="AJ807" t="n" s="2909">
        <v>41</v>
      </c>
      <c r="AP807" t="n" s="2909">
        <v>126000</v>
      </c>
      <c r="DB807" s="2909" t="str">
        <f>IF($A807="","",IF($AE807&amp;""&lt;&gt;'DB_設定'!$C$4,"対象外",IF($AH807=20,IF(OR($AJ807=10,$AJ807=11,$AJ807=18),"①病院一般",IF($AJ807=41,"②病院短期","対象外")),IF($AH807=5,IF($AJ807=30,"③特定消防","対象外"),IF(OR($AJ807=10,$AJ807=11,$AJ807=74),"④一般",IF(OR($AJ807=41,$AJ807=47),"⑤短期","対象外"))))))</f>
        <v>⑤短期</v>
      </c>
    </row>
    <row r="808">
      <c r="A808" t="n" s="2909">
        <v>31</v>
      </c>
      <c r="AA808" t="n" s="2909">
        <v>21</v>
      </c>
      <c r="AB808" t="inlineStr" s="2909">
        <is>
          <t>20221001</t>
        </is>
      </c>
      <c r="AD808" t="n" s="2909">
        <v>12</v>
      </c>
      <c r="AE808" t="inlineStr" s="2909">
        <is>
          <t>20250401</t>
        </is>
      </c>
      <c r="AH808" t="n" s="2909">
        <v>1</v>
      </c>
      <c r="AJ808" t="n" s="2909">
        <v>41</v>
      </c>
      <c r="AP808" t="n" s="2909">
        <v>240000</v>
      </c>
      <c r="DB808" s="2909" t="str">
        <f>IF($A808="","",IF($AE808&amp;""&lt;&gt;'DB_設定'!$C$4,"対象外",IF($AH808=20,IF(OR($AJ808=10,$AJ808=11,$AJ808=18),"①病院一般",IF($AJ808=41,"②病院短期","対象外")),IF($AH808=5,IF($AJ808=30,"③特定消防","対象外"),IF(OR($AJ808=10,$AJ808=11,$AJ808=74),"④一般",IF(OR($AJ808=41,$AJ808=47),"⑤短期","対象外"))))))</f>
        <v>⑤短期</v>
      </c>
    </row>
    <row r="809">
      <c r="A809" t="n" s="2909">
        <v>31</v>
      </c>
      <c r="AA809" t="n" s="2909">
        <v>21</v>
      </c>
      <c r="AB809" t="inlineStr" s="2909">
        <is>
          <t>20221001</t>
        </is>
      </c>
      <c r="AD809" t="n" s="2909">
        <v>12</v>
      </c>
      <c r="AE809" t="inlineStr" s="2909">
        <is>
          <t>20250401</t>
        </is>
      </c>
      <c r="AH809" t="n" s="2909">
        <v>11</v>
      </c>
      <c r="AJ809" t="n" s="2909">
        <v>41</v>
      </c>
      <c r="AP809" t="n" s="2909">
        <v>220000</v>
      </c>
      <c r="DB809" s="2909" t="str">
        <f>IF($A809="","",IF($AE809&amp;""&lt;&gt;'DB_設定'!$C$4,"対象外",IF($AH809=20,IF(OR($AJ809=10,$AJ809=11,$AJ809=18),"①病院一般",IF($AJ809=41,"②病院短期","対象外")),IF($AH809=5,IF($AJ809=30,"③特定消防","対象外"),IF(OR($AJ809=10,$AJ809=11,$AJ809=74),"④一般",IF(OR($AJ809=41,$AJ809=47),"⑤短期","対象外"))))))</f>
        <v>⑤短期</v>
      </c>
    </row>
    <row r="810">
      <c r="A810" t="n" s="2909">
        <v>31</v>
      </c>
      <c r="AA810" t="n" s="2909">
        <v>21</v>
      </c>
      <c r="AB810" t="inlineStr" s="2909">
        <is>
          <t>20221001</t>
        </is>
      </c>
      <c r="AD810" t="n" s="2909">
        <v>12</v>
      </c>
      <c r="AE810" t="inlineStr" s="2909">
        <is>
          <t>20250401</t>
        </is>
      </c>
      <c r="AH810" t="n" s="2909">
        <v>1</v>
      </c>
      <c r="AJ810" t="n" s="2909">
        <v>41</v>
      </c>
      <c r="AP810" t="n" s="2909">
        <v>180000</v>
      </c>
      <c r="DB810" s="2909" t="str">
        <f>IF($A810="","",IF($AE810&amp;""&lt;&gt;'DB_設定'!$C$4,"対象外",IF($AH810=20,IF(OR($AJ810=10,$AJ810=11,$AJ810=18),"①病院一般",IF($AJ810=41,"②病院短期","対象外")),IF($AH810=5,IF($AJ810=30,"③特定消防","対象外"),IF(OR($AJ810=10,$AJ810=11,$AJ810=74),"④一般",IF(OR($AJ810=41,$AJ810=47),"⑤短期","対象外"))))))</f>
        <v>⑤短期</v>
      </c>
    </row>
    <row r="811">
      <c r="A811" t="n" s="2909">
        <v>31</v>
      </c>
      <c r="AA811" t="n" s="2909">
        <v>21</v>
      </c>
      <c r="AB811" t="inlineStr" s="2909">
        <is>
          <t>20221001</t>
        </is>
      </c>
      <c r="AD811" t="n" s="2909">
        <v>12</v>
      </c>
      <c r="AE811" t="inlineStr" s="2909">
        <is>
          <t>20250401</t>
        </is>
      </c>
      <c r="AH811" t="n" s="2909">
        <v>20</v>
      </c>
      <c r="AJ811" t="n" s="2909">
        <v>41</v>
      </c>
      <c r="AP811" t="n" s="2909">
        <v>220000</v>
      </c>
      <c r="DB811" s="2909" t="str">
        <f>IF($A811="","",IF($AE811&amp;""&lt;&gt;'DB_設定'!$C$4,"対象外",IF($AH811=20,IF(OR($AJ811=10,$AJ811=11,$AJ811=18),"①病院一般",IF($AJ811=41,"②病院短期","対象外")),IF($AH811=5,IF($AJ811=30,"③特定消防","対象外"),IF(OR($AJ811=10,$AJ811=11,$AJ811=74),"④一般",IF(OR($AJ811=41,$AJ811=47),"⑤短期","対象外"))))))</f>
        <v>②病院短期</v>
      </c>
    </row>
    <row r="812">
      <c r="A812" t="n" s="2909">
        <v>31</v>
      </c>
      <c r="AA812" t="n" s="2909">
        <v>24</v>
      </c>
      <c r="AB812" t="inlineStr" s="2909">
        <is>
          <t>20250107</t>
        </is>
      </c>
      <c r="AD812" t="n" s="2909">
        <v>12</v>
      </c>
      <c r="AE812" t="inlineStr" s="2909">
        <is>
          <t>20250701</t>
        </is>
      </c>
      <c r="AH812" t="n" s="2909">
        <v>1</v>
      </c>
      <c r="AJ812" t="n" s="2909">
        <v>41</v>
      </c>
      <c r="AP812" t="n" s="2909">
        <v>126000</v>
      </c>
      <c r="DB812" s="2909" t="str">
        <f>IF($A812="","",IF($AE812&amp;""&lt;&gt;'DB_設定'!$C$4,"対象外",IF($AH812=20,IF(OR($AJ812=10,$AJ812=11,$AJ812=18),"①病院一般",IF($AJ812=41,"②病院短期","対象外")),IF($AH812=5,IF($AJ812=30,"③特定消防","対象外"),IF(OR($AJ812=10,$AJ812=11,$AJ812=74),"④一般",IF(OR($AJ812=41,$AJ812=47),"⑤短期","対象外"))))))</f>
        <v>対象外</v>
      </c>
    </row>
    <row r="813">
      <c r="A813" t="n" s="2909">
        <v>31</v>
      </c>
      <c r="AA813" t="n" s="2909">
        <v>21</v>
      </c>
      <c r="AB813" t="inlineStr" s="2909">
        <is>
          <t>20221001</t>
        </is>
      </c>
      <c r="AD813" t="n" s="2909">
        <v>12</v>
      </c>
      <c r="AE813" t="inlineStr" s="2909">
        <is>
          <t>20250401</t>
        </is>
      </c>
      <c r="AH813" t="n" s="2909">
        <v>1</v>
      </c>
      <c r="AJ813" t="n" s="2909">
        <v>41</v>
      </c>
      <c r="AP813" t="n" s="2909">
        <v>118000</v>
      </c>
      <c r="DB813" s="2909" t="str">
        <f>IF($A813="","",IF($AE813&amp;""&lt;&gt;'DB_設定'!$C$4,"対象外",IF($AH813=20,IF(OR($AJ813=10,$AJ813=11,$AJ813=18),"①病院一般",IF($AJ813=41,"②病院短期","対象外")),IF($AH813=5,IF($AJ813=30,"③特定消防","対象外"),IF(OR($AJ813=10,$AJ813=11,$AJ813=74),"④一般",IF(OR($AJ813=41,$AJ813=47),"⑤短期","対象外"))))))</f>
        <v>⑤短期</v>
      </c>
    </row>
    <row r="814">
      <c r="A814" t="n" s="2909">
        <v>31</v>
      </c>
      <c r="AA814" t="n" s="2909">
        <v>21</v>
      </c>
      <c r="AB814" t="inlineStr" s="2909">
        <is>
          <t>20221001</t>
        </is>
      </c>
      <c r="AD814" t="n" s="2909">
        <v>12</v>
      </c>
      <c r="AE814" t="inlineStr" s="2909">
        <is>
          <t>20250401</t>
        </is>
      </c>
      <c r="AH814" t="n" s="2909">
        <v>20</v>
      </c>
      <c r="AJ814" t="n" s="2909">
        <v>41</v>
      </c>
      <c r="AP814" t="n" s="2909">
        <v>220000</v>
      </c>
      <c r="DB814" s="2909" t="str">
        <f>IF($A814="","",IF($AE814&amp;""&lt;&gt;'DB_設定'!$C$4,"対象外",IF($AH814=20,IF(OR($AJ814=10,$AJ814=11,$AJ814=18),"①病院一般",IF($AJ814=41,"②病院短期","対象外")),IF($AH814=5,IF($AJ814=30,"③特定消防","対象外"),IF(OR($AJ814=10,$AJ814=11,$AJ814=74),"④一般",IF(OR($AJ814=41,$AJ814=47),"⑤短期","対象外"))))))</f>
        <v>②病院短期</v>
      </c>
    </row>
    <row r="815">
      <c r="A815" t="n" s="2909">
        <v>31</v>
      </c>
      <c r="AA815" t="n" s="2909">
        <v>21</v>
      </c>
      <c r="AB815" t="inlineStr" s="2909">
        <is>
          <t>20240401</t>
        </is>
      </c>
      <c r="AD815" t="n" s="2909">
        <v>12</v>
      </c>
      <c r="AE815" t="inlineStr" s="2909">
        <is>
          <t>20250401</t>
        </is>
      </c>
      <c r="AH815" t="n" s="2909">
        <v>1</v>
      </c>
      <c r="AJ815" t="n" s="2909">
        <v>41</v>
      </c>
      <c r="AP815" t="n" s="2909">
        <v>126000</v>
      </c>
      <c r="DB815" s="2909" t="str">
        <f>IF($A815="","",IF($AE815&amp;""&lt;&gt;'DB_設定'!$C$4,"対象外",IF($AH815=20,IF(OR($AJ815=10,$AJ815=11,$AJ815=18),"①病院一般",IF($AJ815=41,"②病院短期","対象外")),IF($AH815=5,IF($AJ815=30,"③特定消防","対象外"),IF(OR($AJ815=10,$AJ815=11,$AJ815=74),"④一般",IF(OR($AJ815=41,$AJ815=47),"⑤短期","対象外"))))))</f>
        <v>⑤短期</v>
      </c>
    </row>
    <row r="816">
      <c r="A816" t="n" s="2909">
        <v>31</v>
      </c>
      <c r="AA816" t="n" s="2909">
        <v>21</v>
      </c>
      <c r="AB816" t="inlineStr" s="2909">
        <is>
          <t>20240515</t>
        </is>
      </c>
      <c r="AD816" t="n" s="2909">
        <v>12</v>
      </c>
      <c r="AE816" t="inlineStr" s="2909">
        <is>
          <t>20250901</t>
        </is>
      </c>
      <c r="AH816" t="n" s="2909">
        <v>1</v>
      </c>
      <c r="AJ816" t="n" s="2909">
        <v>41</v>
      </c>
      <c r="AP816" t="n" s="2909">
        <v>134000</v>
      </c>
      <c r="DB816" s="2909" t="str">
        <f>IF($A816="","",IF($AE816&amp;""&lt;&gt;'DB_設定'!$C$4,"対象外",IF($AH816=20,IF(OR($AJ816=10,$AJ816=11,$AJ816=18),"①病院一般",IF($AJ816=41,"②病院短期","対象外")),IF($AH816=5,IF($AJ816=30,"③特定消防","対象外"),IF(OR($AJ816=10,$AJ816=11,$AJ816=74),"④一般",IF(OR($AJ816=41,$AJ816=47),"⑤短期","対象外"))))))</f>
        <v>対象外</v>
      </c>
    </row>
    <row r="817">
      <c r="A817" t="n" s="2909">
        <v>31</v>
      </c>
      <c r="AA817" t="n" s="2909">
        <v>21</v>
      </c>
      <c r="AB817" t="inlineStr" s="2909">
        <is>
          <t>20200401</t>
        </is>
      </c>
      <c r="AD817" t="n" s="2909">
        <v>12</v>
      </c>
      <c r="AE817" t="inlineStr" s="2909">
        <is>
          <t>20250401</t>
        </is>
      </c>
      <c r="AH817" t="n" s="2909">
        <v>1</v>
      </c>
      <c r="AJ817" t="n" s="2909">
        <v>10</v>
      </c>
      <c r="AP817" t="n" s="2909">
        <v>240000</v>
      </c>
      <c r="DB817" s="2909" t="str">
        <f>IF($A817="","",IF($AE817&amp;""&lt;&gt;'DB_設定'!$C$4,"対象外",IF($AH817=20,IF(OR($AJ817=10,$AJ817=11,$AJ817=18),"①病院一般",IF($AJ817=41,"②病院短期","対象外")),IF($AH817=5,IF($AJ817=30,"③特定消防","対象外"),IF(OR($AJ817=10,$AJ817=11,$AJ817=74),"④一般",IF(OR($AJ817=41,$AJ817=47),"⑤短期","対象外"))))))</f>
        <v>④一般</v>
      </c>
    </row>
    <row r="818">
      <c r="A818" t="n" s="2909">
        <v>31</v>
      </c>
      <c r="AA818" t="n" s="2909">
        <v>21</v>
      </c>
      <c r="AB818" t="inlineStr" s="2909">
        <is>
          <t>20221001</t>
        </is>
      </c>
      <c r="AD818" t="n" s="2909">
        <v>12</v>
      </c>
      <c r="AE818" t="inlineStr" s="2909">
        <is>
          <t>20250801</t>
        </is>
      </c>
      <c r="AH818" t="n" s="2909">
        <v>1</v>
      </c>
      <c r="AJ818" t="n" s="2909">
        <v>41</v>
      </c>
      <c r="AP818" t="n" s="2909">
        <v>118000</v>
      </c>
      <c r="DB818" s="2909" t="str">
        <f>IF($A818="","",IF($AE818&amp;""&lt;&gt;'DB_設定'!$C$4,"対象外",IF($AH818=20,IF(OR($AJ818=10,$AJ818=11,$AJ818=18),"①病院一般",IF($AJ818=41,"②病院短期","対象外")),IF($AH818=5,IF($AJ818=30,"③特定消防","対象外"),IF(OR($AJ818=10,$AJ818=11,$AJ818=74),"④一般",IF(OR($AJ818=41,$AJ818=47),"⑤短期","対象外"))))))</f>
        <v>対象外</v>
      </c>
    </row>
    <row r="819">
      <c r="A819" t="n" s="2909">
        <v>31</v>
      </c>
      <c r="AA819" t="n" s="2909">
        <v>21</v>
      </c>
      <c r="AB819" t="inlineStr" s="2909">
        <is>
          <t>20221001</t>
        </is>
      </c>
      <c r="AD819" t="n" s="2909">
        <v>12</v>
      </c>
      <c r="AE819" t="inlineStr" s="2909">
        <is>
          <t>20251015</t>
        </is>
      </c>
      <c r="AH819" t="n" s="2909">
        <v>11</v>
      </c>
      <c r="AJ819" t="n" s="2909">
        <v>41</v>
      </c>
      <c r="AP819" t="n" s="2909">
        <v>126000</v>
      </c>
      <c r="DB819" s="2909" t="str">
        <f>IF($A819="","",IF($AE819&amp;""&lt;&gt;'DB_設定'!$C$4,"対象外",IF($AH819=20,IF(OR($AJ819=10,$AJ819=11,$AJ819=18),"①病院一般",IF($AJ819=41,"②病院短期","対象外")),IF($AH819=5,IF($AJ819=30,"③特定消防","対象外"),IF(OR($AJ819=10,$AJ819=11,$AJ819=74),"④一般",IF(OR($AJ819=41,$AJ819=47),"⑤短期","対象外"))))))</f>
        <v>対象外</v>
      </c>
    </row>
    <row r="820">
      <c r="A820" t="n" s="2909">
        <v>31</v>
      </c>
      <c r="AA820" t="n" s="2909">
        <v>21</v>
      </c>
      <c r="AB820" t="inlineStr" s="2909">
        <is>
          <t>20221001</t>
        </is>
      </c>
      <c r="AD820" t="n" s="2909">
        <v>12</v>
      </c>
      <c r="AE820" t="inlineStr" s="2909">
        <is>
          <t>20250401</t>
        </is>
      </c>
      <c r="AH820" t="n" s="2909">
        <v>1</v>
      </c>
      <c r="AJ820" t="n" s="2909">
        <v>41</v>
      </c>
      <c r="AP820" t="n" s="2909">
        <v>200000</v>
      </c>
      <c r="DB820" s="2909" t="str">
        <f>IF($A820="","",IF($AE820&amp;""&lt;&gt;'DB_設定'!$C$4,"対象外",IF($AH820=20,IF(OR($AJ820=10,$AJ820=11,$AJ820=18),"①病院一般",IF($AJ820=41,"②病院短期","対象外")),IF($AH820=5,IF($AJ820=30,"③特定消防","対象外"),IF(OR($AJ820=10,$AJ820=11,$AJ820=74),"④一般",IF(OR($AJ820=41,$AJ820=47),"⑤短期","対象外"))))))</f>
        <v>⑤短期</v>
      </c>
    </row>
    <row r="821">
      <c r="A821" t="n" s="2909">
        <v>31</v>
      </c>
      <c r="AA821" t="n" s="2909">
        <v>21</v>
      </c>
      <c r="AB821" t="inlineStr" s="2909">
        <is>
          <t>20221001</t>
        </is>
      </c>
      <c r="AD821" t="n" s="2909">
        <v>12</v>
      </c>
      <c r="AE821" t="inlineStr" s="2909">
        <is>
          <t>20250401</t>
        </is>
      </c>
      <c r="AH821" t="n" s="2909">
        <v>1</v>
      </c>
      <c r="AJ821" t="n" s="2909">
        <v>41</v>
      </c>
      <c r="AP821" t="n" s="2909">
        <v>126000</v>
      </c>
      <c r="DB821" s="2909" t="str">
        <f>IF($A821="","",IF($AE821&amp;""&lt;&gt;'DB_設定'!$C$4,"対象外",IF($AH821=20,IF(OR($AJ821=10,$AJ821=11,$AJ821=18),"①病院一般",IF($AJ821=41,"②病院短期","対象外")),IF($AH821=5,IF($AJ821=30,"③特定消防","対象外"),IF(OR($AJ821=10,$AJ821=11,$AJ821=74),"④一般",IF(OR($AJ821=41,$AJ821=47),"⑤短期","対象外"))))))</f>
        <v>⑤短期</v>
      </c>
    </row>
    <row r="822">
      <c r="A822" t="n" s="2909">
        <v>31</v>
      </c>
      <c r="AA822" t="n" s="2909">
        <v>21</v>
      </c>
      <c r="AB822" t="inlineStr" s="2909">
        <is>
          <t>20221001</t>
        </is>
      </c>
      <c r="AD822" t="n" s="2909">
        <v>12</v>
      </c>
      <c r="AE822" t="inlineStr" s="2909">
        <is>
          <t>20250501</t>
        </is>
      </c>
      <c r="AH822" t="n" s="2909">
        <v>1</v>
      </c>
      <c r="AJ822" t="n" s="2909">
        <v>41</v>
      </c>
      <c r="AP822" t="n" s="2909">
        <v>126000</v>
      </c>
      <c r="DB822" s="2909" t="str">
        <f>IF($A822="","",IF($AE822&amp;""&lt;&gt;'DB_設定'!$C$4,"対象外",IF($AH822=20,IF(OR($AJ822=10,$AJ822=11,$AJ822=18),"①病院一般",IF($AJ822=41,"②病院短期","対象外")),IF($AH822=5,IF($AJ822=30,"③特定消防","対象外"),IF(OR($AJ822=10,$AJ822=11,$AJ822=74),"④一般",IF(OR($AJ822=41,$AJ822=47),"⑤短期","対象外"))))))</f>
        <v>対象外</v>
      </c>
    </row>
    <row r="823">
      <c r="A823" t="n" s="2909">
        <v>31</v>
      </c>
      <c r="AA823" t="n" s="2909">
        <v>21</v>
      </c>
      <c r="AB823" t="inlineStr" s="2909">
        <is>
          <t>20221001</t>
        </is>
      </c>
      <c r="AD823" t="n" s="2909">
        <v>12</v>
      </c>
      <c r="AE823" t="inlineStr" s="2909">
        <is>
          <t>20250401</t>
        </is>
      </c>
      <c r="AH823" t="n" s="2909">
        <v>5</v>
      </c>
      <c r="AJ823" t="n" s="2909">
        <v>41</v>
      </c>
      <c r="AP823" t="n" s="2909">
        <v>180000</v>
      </c>
      <c r="DB823" s="2909" t="str">
        <f>IF($A823="","",IF($AE823&amp;""&lt;&gt;'DB_設定'!$C$4,"対象外",IF($AH823=20,IF(OR($AJ823=10,$AJ823=11,$AJ823=18),"①病院一般",IF($AJ823=41,"②病院短期","対象外")),IF($AH823=5,IF($AJ823=30,"③特定消防","対象外"),IF(OR($AJ823=10,$AJ823=11,$AJ823=74),"④一般",IF(OR($AJ823=41,$AJ823=47),"⑤短期","対象外"))))))</f>
        <v>対象外</v>
      </c>
    </row>
    <row r="824">
      <c r="A824" t="n" s="2909">
        <v>31</v>
      </c>
      <c r="AA824" t="n" s="2909">
        <v>21</v>
      </c>
      <c r="AB824" t="inlineStr" s="2909">
        <is>
          <t>20250101</t>
        </is>
      </c>
      <c r="AD824" t="n" s="2909">
        <v>12</v>
      </c>
      <c r="AE824" t="inlineStr" s="2909">
        <is>
          <t>20250401</t>
        </is>
      </c>
      <c r="AH824" t="n" s="2909">
        <v>1</v>
      </c>
      <c r="AJ824" t="n" s="2909">
        <v>41</v>
      </c>
      <c r="AP824" t="n" s="2909">
        <v>134000</v>
      </c>
      <c r="DB824" s="2909" t="str">
        <f>IF($A824="","",IF($AE824&amp;""&lt;&gt;'DB_設定'!$C$4,"対象外",IF($AH824=20,IF(OR($AJ824=10,$AJ824=11,$AJ824=18),"①病院一般",IF($AJ824=41,"②病院短期","対象外")),IF($AH824=5,IF($AJ824=30,"③特定消防","対象外"),IF(OR($AJ824=10,$AJ824=11,$AJ824=74),"④一般",IF(OR($AJ824=41,$AJ824=47),"⑤短期","対象外"))))))</f>
        <v>⑤短期</v>
      </c>
    </row>
    <row r="825">
      <c r="A825" t="n" s="2909">
        <v>31</v>
      </c>
      <c r="AA825" t="n" s="2909">
        <v>24</v>
      </c>
      <c r="AB825" t="inlineStr" s="2909">
        <is>
          <t>20240401</t>
        </is>
      </c>
      <c r="AD825" t="n" s="2909">
        <v>12</v>
      </c>
      <c r="AE825" t="inlineStr" s="2909">
        <is>
          <t>20250401</t>
        </is>
      </c>
      <c r="AH825" t="n" s="2909">
        <v>1</v>
      </c>
      <c r="AJ825" t="n" s="2909">
        <v>41</v>
      </c>
      <c r="AP825" t="n" s="2909">
        <v>150000</v>
      </c>
      <c r="DB825" s="2909" t="str">
        <f>IF($A825="","",IF($AE825&amp;""&lt;&gt;'DB_設定'!$C$4,"対象外",IF($AH825=20,IF(OR($AJ825=10,$AJ825=11,$AJ825=18),"①病院一般",IF($AJ825=41,"②病院短期","対象外")),IF($AH825=5,IF($AJ825=30,"③特定消防","対象外"),IF(OR($AJ825=10,$AJ825=11,$AJ825=74),"④一般",IF(OR($AJ825=41,$AJ825=47),"⑤短期","対象外"))))))</f>
        <v>⑤短期</v>
      </c>
    </row>
    <row r="826">
      <c r="A826" t="n" s="2909">
        <v>31</v>
      </c>
      <c r="AA826" t="n" s="2909">
        <v>24</v>
      </c>
      <c r="AB826" t="inlineStr" s="2909">
        <is>
          <t>20250613</t>
        </is>
      </c>
      <c r="AD826" t="n" s="2909">
        <v>12</v>
      </c>
      <c r="AE826" t="inlineStr" s="2909">
        <is>
          <t>20251017</t>
        </is>
      </c>
      <c r="AH826" t="n" s="2909">
        <v>1</v>
      </c>
      <c r="AJ826" t="n" s="2909">
        <v>41</v>
      </c>
      <c r="AP826" t="n" s="2909">
        <v>150000</v>
      </c>
      <c r="DB826" s="2909" t="str">
        <f>IF($A826="","",IF($AE826&amp;""&lt;&gt;'DB_設定'!$C$4,"対象外",IF($AH826=20,IF(OR($AJ826=10,$AJ826=11,$AJ826=18),"①病院一般",IF($AJ826=41,"②病院短期","対象外")),IF($AH826=5,IF($AJ826=30,"③特定消防","対象外"),IF(OR($AJ826=10,$AJ826=11,$AJ826=74),"④一般",IF(OR($AJ826=41,$AJ826=47),"⑤短期","対象外"))))))</f>
        <v>対象外</v>
      </c>
    </row>
    <row r="827">
      <c r="A827" t="n" s="2909">
        <v>31</v>
      </c>
      <c r="AA827" t="n" s="2909">
        <v>21</v>
      </c>
      <c r="AB827" t="inlineStr" s="2909">
        <is>
          <t>20210401</t>
        </is>
      </c>
      <c r="AD827" t="n" s="2909">
        <v>12</v>
      </c>
      <c r="AE827" t="inlineStr" s="2909">
        <is>
          <t>20250401</t>
        </is>
      </c>
      <c r="AH827" t="n" s="2909">
        <v>1</v>
      </c>
      <c r="AJ827" t="n" s="2909">
        <v>10</v>
      </c>
      <c r="AP827" t="n" s="2909">
        <v>240000</v>
      </c>
      <c r="DB827" s="2909" t="str">
        <f>IF($A827="","",IF($AE827&amp;""&lt;&gt;'DB_設定'!$C$4,"対象外",IF($AH827=20,IF(OR($AJ827=10,$AJ827=11,$AJ827=18),"①病院一般",IF($AJ827=41,"②病院短期","対象外")),IF($AH827=5,IF($AJ827=30,"③特定消防","対象外"),IF(OR($AJ827=10,$AJ827=11,$AJ827=74),"④一般",IF(OR($AJ827=41,$AJ827=47),"⑤短期","対象外"))))))</f>
        <v>④一般</v>
      </c>
    </row>
    <row r="828">
      <c r="A828" t="n" s="2909">
        <v>31</v>
      </c>
      <c r="AA828" t="n" s="2909">
        <v>21</v>
      </c>
      <c r="AB828" t="inlineStr" s="2909">
        <is>
          <t>20221001</t>
        </is>
      </c>
      <c r="AD828" t="n" s="2909">
        <v>12</v>
      </c>
      <c r="AE828" t="inlineStr" s="2909">
        <is>
          <t>20250401</t>
        </is>
      </c>
      <c r="AH828" t="n" s="2909">
        <v>1</v>
      </c>
      <c r="AJ828" t="n" s="2909">
        <v>41</v>
      </c>
      <c r="AP828" t="n" s="2909">
        <v>118000</v>
      </c>
      <c r="DB828" s="2909" t="str">
        <f>IF($A828="","",IF($AE828&amp;""&lt;&gt;'DB_設定'!$C$4,"対象外",IF($AH828=20,IF(OR($AJ828=10,$AJ828=11,$AJ828=18),"①病院一般",IF($AJ828=41,"②病院短期","対象外")),IF($AH828=5,IF($AJ828=30,"③特定消防","対象外"),IF(OR($AJ828=10,$AJ828=11,$AJ828=74),"④一般",IF(OR($AJ828=41,$AJ828=47),"⑤短期","対象外"))))))</f>
        <v>⑤短期</v>
      </c>
    </row>
    <row r="829">
      <c r="A829" t="n" s="2909">
        <v>31</v>
      </c>
      <c r="AA829" t="n" s="2909">
        <v>21</v>
      </c>
      <c r="AB829" t="inlineStr" s="2909">
        <is>
          <t>20221001</t>
        </is>
      </c>
      <c r="AD829" t="n" s="2909">
        <v>12</v>
      </c>
      <c r="AE829" t="inlineStr" s="2909">
        <is>
          <t>20250401</t>
        </is>
      </c>
      <c r="AH829" t="n" s="2909">
        <v>1</v>
      </c>
      <c r="AJ829" t="n" s="2909">
        <v>41</v>
      </c>
      <c r="AP829" t="n" s="2909">
        <v>180000</v>
      </c>
      <c r="DB829" s="2909" t="str">
        <f>IF($A829="","",IF($AE829&amp;""&lt;&gt;'DB_設定'!$C$4,"対象外",IF($AH829=20,IF(OR($AJ829=10,$AJ829=11,$AJ829=18),"①病院一般",IF($AJ829=41,"②病院短期","対象外")),IF($AH829=5,IF($AJ829=30,"③特定消防","対象外"),IF(OR($AJ829=10,$AJ829=11,$AJ829=74),"④一般",IF(OR($AJ829=41,$AJ829=47),"⑤短期","対象外"))))))</f>
        <v>⑤短期</v>
      </c>
    </row>
    <row r="830">
      <c r="A830" t="n" s="2909">
        <v>31</v>
      </c>
      <c r="AA830" t="n" s="2909">
        <v>24</v>
      </c>
      <c r="AB830" t="inlineStr" s="2909">
        <is>
          <t>20250128</t>
        </is>
      </c>
      <c r="AD830" t="n" s="2909">
        <v>12</v>
      </c>
      <c r="AE830" t="inlineStr" s="2909">
        <is>
          <t>20250701</t>
        </is>
      </c>
      <c r="AH830" t="n" s="2909">
        <v>1</v>
      </c>
      <c r="AJ830" t="n" s="2909">
        <v>41</v>
      </c>
      <c r="AP830" t="n" s="2909">
        <v>126000</v>
      </c>
      <c r="DB830" s="2909" t="str">
        <f>IF($A830="","",IF($AE830&amp;""&lt;&gt;'DB_設定'!$C$4,"対象外",IF($AH830=20,IF(OR($AJ830=10,$AJ830=11,$AJ830=18),"①病院一般",IF($AJ830=41,"②病院短期","対象外")),IF($AH830=5,IF($AJ830=30,"③特定消防","対象外"),IF(OR($AJ830=10,$AJ830=11,$AJ830=74),"④一般",IF(OR($AJ830=41,$AJ830=47),"⑤短期","対象外"))))))</f>
        <v>対象外</v>
      </c>
    </row>
    <row r="831">
      <c r="A831" t="n" s="2909">
        <v>31</v>
      </c>
      <c r="AA831" t="n" s="2909">
        <v>24</v>
      </c>
      <c r="AB831" t="inlineStr" s="2909">
        <is>
          <t>20250601</t>
        </is>
      </c>
      <c r="AD831" t="n" s="2909">
        <v>12</v>
      </c>
      <c r="AE831" t="inlineStr" s="2909">
        <is>
          <t>20251001</t>
        </is>
      </c>
      <c r="AH831" t="n" s="2909">
        <v>1</v>
      </c>
      <c r="AJ831" t="n" s="2909">
        <v>41</v>
      </c>
      <c r="AP831" t="n" s="2909">
        <v>142000</v>
      </c>
      <c r="DB831" s="2909" t="str">
        <f>IF($A831="","",IF($AE831&amp;""&lt;&gt;'DB_設定'!$C$4,"対象外",IF($AH831=20,IF(OR($AJ831=10,$AJ831=11,$AJ831=18),"①病院一般",IF($AJ831=41,"②病院短期","対象外")),IF($AH831=5,IF($AJ831=30,"③特定消防","対象外"),IF(OR($AJ831=10,$AJ831=11,$AJ831=74),"④一般",IF(OR($AJ831=41,$AJ831=47),"⑤短期","対象外"))))))</f>
        <v>対象外</v>
      </c>
    </row>
    <row r="832">
      <c r="A832" t="n" s="2909">
        <v>31</v>
      </c>
      <c r="AA832" t="n" s="2909">
        <v>21</v>
      </c>
      <c r="AB832" t="inlineStr" s="2909">
        <is>
          <t>20221001</t>
        </is>
      </c>
      <c r="AD832" t="n" s="2909">
        <v>12</v>
      </c>
      <c r="AE832" t="inlineStr" s="2909">
        <is>
          <t>20250401</t>
        </is>
      </c>
      <c r="AH832" t="n" s="2909">
        <v>11</v>
      </c>
      <c r="AJ832" t="n" s="2909">
        <v>41</v>
      </c>
      <c r="AP832" t="n" s="2909">
        <v>160000</v>
      </c>
      <c r="DB832" s="2909" t="str">
        <f>IF($A832="","",IF($AE832&amp;""&lt;&gt;'DB_設定'!$C$4,"対象外",IF($AH832=20,IF(OR($AJ832=10,$AJ832=11,$AJ832=18),"①病院一般",IF($AJ832=41,"②病院短期","対象外")),IF($AH832=5,IF($AJ832=30,"③特定消防","対象外"),IF(OR($AJ832=10,$AJ832=11,$AJ832=74),"④一般",IF(OR($AJ832=41,$AJ832=47),"⑤短期","対象外"))))))</f>
        <v>⑤短期</v>
      </c>
    </row>
    <row r="833">
      <c r="A833" t="n" s="2909">
        <v>31</v>
      </c>
      <c r="AA833" t="n" s="2909">
        <v>24</v>
      </c>
      <c r="AB833" t="inlineStr" s="2909">
        <is>
          <t>20241014</t>
        </is>
      </c>
      <c r="AD833" t="n" s="2909">
        <v>12</v>
      </c>
      <c r="AE833" t="inlineStr" s="2909">
        <is>
          <t>20250401</t>
        </is>
      </c>
      <c r="AH833" t="n" s="2909">
        <v>1</v>
      </c>
      <c r="AJ833" t="n" s="2909">
        <v>41</v>
      </c>
      <c r="AP833" t="n" s="2909">
        <v>134000</v>
      </c>
      <c r="DB833" s="2909" t="str">
        <f>IF($A833="","",IF($AE833&amp;""&lt;&gt;'DB_設定'!$C$4,"対象外",IF($AH833=20,IF(OR($AJ833=10,$AJ833=11,$AJ833=18),"①病院一般",IF($AJ833=41,"②病院短期","対象外")),IF($AH833=5,IF($AJ833=30,"③特定消防","対象外"),IF(OR($AJ833=10,$AJ833=11,$AJ833=74),"④一般",IF(OR($AJ833=41,$AJ833=47),"⑤短期","対象外"))))))</f>
        <v>⑤短期</v>
      </c>
    </row>
    <row r="834">
      <c r="A834" t="n" s="2909">
        <v>31</v>
      </c>
      <c r="AA834" t="n" s="2909">
        <v>21</v>
      </c>
      <c r="AB834" t="inlineStr" s="2909">
        <is>
          <t>20221001</t>
        </is>
      </c>
      <c r="AD834" t="n" s="2909">
        <v>12</v>
      </c>
      <c r="AE834" t="inlineStr" s="2909">
        <is>
          <t>20250401</t>
        </is>
      </c>
      <c r="AH834" t="n" s="2909">
        <v>1</v>
      </c>
      <c r="AJ834" t="n" s="2909">
        <v>41</v>
      </c>
      <c r="AP834" t="n" s="2909">
        <v>126000</v>
      </c>
      <c r="DB834" s="2909" t="str">
        <f>IF($A834="","",IF($AE834&amp;""&lt;&gt;'DB_設定'!$C$4,"対象外",IF($AH834=20,IF(OR($AJ834=10,$AJ834=11,$AJ834=18),"①病院一般",IF($AJ834=41,"②病院短期","対象外")),IF($AH834=5,IF($AJ834=30,"③特定消防","対象外"),IF(OR($AJ834=10,$AJ834=11,$AJ834=74),"④一般",IF(OR($AJ834=41,$AJ834=47),"⑤短期","対象外"))))))</f>
        <v>⑤短期</v>
      </c>
    </row>
    <row r="835">
      <c r="A835" t="n" s="2909">
        <v>31</v>
      </c>
      <c r="AA835" t="n" s="2909">
        <v>24</v>
      </c>
      <c r="AB835" t="inlineStr" s="2909">
        <is>
          <t>20241101</t>
        </is>
      </c>
      <c r="AD835" t="n" s="2909">
        <v>12</v>
      </c>
      <c r="AE835" t="inlineStr" s="2909">
        <is>
          <t>20251001</t>
        </is>
      </c>
      <c r="AH835" t="n" s="2909">
        <v>1</v>
      </c>
      <c r="AJ835" t="n" s="2909">
        <v>41</v>
      </c>
      <c r="AP835" t="n" s="2909">
        <v>134000</v>
      </c>
      <c r="DB835" s="2909" t="str">
        <f>IF($A835="","",IF($AE835&amp;""&lt;&gt;'DB_設定'!$C$4,"対象外",IF($AH835=20,IF(OR($AJ835=10,$AJ835=11,$AJ835=18),"①病院一般",IF($AJ835=41,"②病院短期","対象外")),IF($AH835=5,IF($AJ835=30,"③特定消防","対象外"),IF(OR($AJ835=10,$AJ835=11,$AJ835=74),"④一般",IF(OR($AJ835=41,$AJ835=47),"⑤短期","対象外"))))))</f>
        <v>対象外</v>
      </c>
    </row>
    <row r="836">
      <c r="A836" t="n" s="2909">
        <v>31</v>
      </c>
      <c r="AA836" t="n" s="2909">
        <v>21</v>
      </c>
      <c r="AB836" t="inlineStr" s="2909">
        <is>
          <t>20221001</t>
        </is>
      </c>
      <c r="AD836" t="n" s="2909">
        <v>12</v>
      </c>
      <c r="AE836" t="inlineStr" s="2909">
        <is>
          <t>20250401</t>
        </is>
      </c>
      <c r="AH836" t="n" s="2909">
        <v>1</v>
      </c>
      <c r="AJ836" t="n" s="2909">
        <v>41</v>
      </c>
      <c r="AP836" t="n" s="2909">
        <v>200000</v>
      </c>
      <c r="DB836" s="2909" t="str">
        <f>IF($A836="","",IF($AE836&amp;""&lt;&gt;'DB_設定'!$C$4,"対象外",IF($AH836=20,IF(OR($AJ836=10,$AJ836=11,$AJ836=18),"①病院一般",IF($AJ836=41,"②病院短期","対象外")),IF($AH836=5,IF($AJ836=30,"③特定消防","対象外"),IF(OR($AJ836=10,$AJ836=11,$AJ836=74),"④一般",IF(OR($AJ836=41,$AJ836=47),"⑤短期","対象外"))))))</f>
        <v>⑤短期</v>
      </c>
    </row>
    <row r="837">
      <c r="A837" t="n" s="2909">
        <v>31</v>
      </c>
      <c r="AA837" t="n" s="2909">
        <v>21</v>
      </c>
      <c r="AB837" t="inlineStr" s="2909">
        <is>
          <t>20221001</t>
        </is>
      </c>
      <c r="AD837" t="n" s="2909">
        <v>12</v>
      </c>
      <c r="AE837" t="inlineStr" s="2909">
        <is>
          <t>20250401</t>
        </is>
      </c>
      <c r="AH837" t="n" s="2909">
        <v>11</v>
      </c>
      <c r="AJ837" t="n" s="2909">
        <v>41</v>
      </c>
      <c r="AP837" t="n" s="2909">
        <v>220000</v>
      </c>
      <c r="DB837" s="2909" t="str">
        <f>IF($A837="","",IF($AE837&amp;""&lt;&gt;'DB_設定'!$C$4,"対象外",IF($AH837=20,IF(OR($AJ837=10,$AJ837=11,$AJ837=18),"①病院一般",IF($AJ837=41,"②病院短期","対象外")),IF($AH837=5,IF($AJ837=30,"③特定消防","対象外"),IF(OR($AJ837=10,$AJ837=11,$AJ837=74),"④一般",IF(OR($AJ837=41,$AJ837=47),"⑤短期","対象外"))))))</f>
        <v>⑤短期</v>
      </c>
    </row>
    <row r="838">
      <c r="A838" t="n" s="2909">
        <v>31</v>
      </c>
      <c r="AA838" t="n" s="2909">
        <v>21</v>
      </c>
      <c r="AB838" t="inlineStr" s="2909">
        <is>
          <t>20221001</t>
        </is>
      </c>
      <c r="AD838" t="n" s="2909">
        <v>12</v>
      </c>
      <c r="AE838" t="inlineStr" s="2909">
        <is>
          <t>20250401</t>
        </is>
      </c>
      <c r="AH838" t="n" s="2909">
        <v>1</v>
      </c>
      <c r="AJ838" t="n" s="2909">
        <v>41</v>
      </c>
      <c r="AP838" t="n" s="2909">
        <v>126000</v>
      </c>
      <c r="DB838" s="2909" t="str">
        <f>IF($A838="","",IF($AE838&amp;""&lt;&gt;'DB_設定'!$C$4,"対象外",IF($AH838=20,IF(OR($AJ838=10,$AJ838=11,$AJ838=18),"①病院一般",IF($AJ838=41,"②病院短期","対象外")),IF($AH838=5,IF($AJ838=30,"③特定消防","対象外"),IF(OR($AJ838=10,$AJ838=11,$AJ838=74),"④一般",IF(OR($AJ838=41,$AJ838=47),"⑤短期","対象外"))))))</f>
        <v>⑤短期</v>
      </c>
    </row>
    <row r="839">
      <c r="A839" t="n" s="2909">
        <v>31</v>
      </c>
      <c r="AA839" t="n" s="2909">
        <v>21</v>
      </c>
      <c r="AB839" t="inlineStr" s="2909">
        <is>
          <t>20221001</t>
        </is>
      </c>
      <c r="AD839" t="n" s="2909">
        <v>12</v>
      </c>
      <c r="AE839" t="inlineStr" s="2909">
        <is>
          <t>20250401</t>
        </is>
      </c>
      <c r="AH839" t="n" s="2909">
        <v>1</v>
      </c>
      <c r="AJ839" t="n" s="2909">
        <v>41</v>
      </c>
      <c r="AP839" t="n" s="2909">
        <v>220000</v>
      </c>
      <c r="DB839" s="2909" t="str">
        <f>IF($A839="","",IF($AE839&amp;""&lt;&gt;'DB_設定'!$C$4,"対象外",IF($AH839=20,IF(OR($AJ839=10,$AJ839=11,$AJ839=18),"①病院一般",IF($AJ839=41,"②病院短期","対象外")),IF($AH839=5,IF($AJ839=30,"③特定消防","対象外"),IF(OR($AJ839=10,$AJ839=11,$AJ839=74),"④一般",IF(OR($AJ839=41,$AJ839=47),"⑤短期","対象外"))))))</f>
        <v>⑤短期</v>
      </c>
    </row>
    <row r="840">
      <c r="A840" t="n" s="2909">
        <v>31</v>
      </c>
      <c r="AA840" t="n" s="2909">
        <v>21</v>
      </c>
      <c r="AB840" t="inlineStr" s="2909">
        <is>
          <t>20240101</t>
        </is>
      </c>
      <c r="AD840" t="n" s="2909">
        <v>12</v>
      </c>
      <c r="AE840" t="inlineStr" s="2909">
        <is>
          <t>20250414</t>
        </is>
      </c>
      <c r="AH840" t="n" s="2909">
        <v>1</v>
      </c>
      <c r="AJ840" t="n" s="2909">
        <v>41</v>
      </c>
      <c r="AP840" t="n" s="2909">
        <v>142000</v>
      </c>
      <c r="DB840" s="2909" t="str">
        <f>IF($A840="","",IF($AE840&amp;""&lt;&gt;'DB_設定'!$C$4,"対象外",IF($AH840=20,IF(OR($AJ840=10,$AJ840=11,$AJ840=18),"①病院一般",IF($AJ840=41,"②病院短期","対象外")),IF($AH840=5,IF($AJ840=30,"③特定消防","対象外"),IF(OR($AJ840=10,$AJ840=11,$AJ840=74),"④一般",IF(OR($AJ840=41,$AJ840=47),"⑤短期","対象外"))))))</f>
        <v>対象外</v>
      </c>
    </row>
    <row r="841">
      <c r="A841" t="n" s="2909">
        <v>31</v>
      </c>
      <c r="AA841" t="n" s="2909">
        <v>24</v>
      </c>
      <c r="AB841" t="inlineStr" s="2909">
        <is>
          <t>20250106</t>
        </is>
      </c>
      <c r="AD841" t="n" s="2909">
        <v>12</v>
      </c>
      <c r="AE841" t="inlineStr" s="2909">
        <is>
          <t>20250401</t>
        </is>
      </c>
      <c r="AH841" t="n" s="2909">
        <v>1</v>
      </c>
      <c r="AJ841" t="n" s="2909">
        <v>41</v>
      </c>
      <c r="AP841" t="n" s="2909">
        <v>126000</v>
      </c>
      <c r="DB841" s="2909" t="str">
        <f>IF($A841="","",IF($AE841&amp;""&lt;&gt;'DB_設定'!$C$4,"対象外",IF($AH841=20,IF(OR($AJ841=10,$AJ841=11,$AJ841=18),"①病院一般",IF($AJ841=41,"②病院短期","対象外")),IF($AH841=5,IF($AJ841=30,"③特定消防","対象外"),IF(OR($AJ841=10,$AJ841=11,$AJ841=74),"④一般",IF(OR($AJ841=41,$AJ841=47),"⑤短期","対象外"))))))</f>
        <v>⑤短期</v>
      </c>
    </row>
    <row r="842">
      <c r="A842" t="n" s="2909">
        <v>31</v>
      </c>
      <c r="AA842" t="n" s="2909">
        <v>21</v>
      </c>
      <c r="AB842" t="inlineStr" s="2909">
        <is>
          <t>20200401</t>
        </is>
      </c>
      <c r="AD842" t="n" s="2909">
        <v>12</v>
      </c>
      <c r="AE842" t="inlineStr" s="2909">
        <is>
          <t>20250401</t>
        </is>
      </c>
      <c r="AH842" t="n" s="2909">
        <v>1</v>
      </c>
      <c r="AJ842" t="n" s="2909">
        <v>41</v>
      </c>
      <c r="AP842" t="n" s="2909">
        <v>118000</v>
      </c>
      <c r="DB842" s="2909" t="str">
        <f>IF($A842="","",IF($AE842&amp;""&lt;&gt;'DB_設定'!$C$4,"対象外",IF($AH842=20,IF(OR($AJ842=10,$AJ842=11,$AJ842=18),"①病院一般",IF($AJ842=41,"②病院短期","対象外")),IF($AH842=5,IF($AJ842=30,"③特定消防","対象外"),IF(OR($AJ842=10,$AJ842=11,$AJ842=74),"④一般",IF(OR($AJ842=41,$AJ842=47),"⑤短期","対象外"))))))</f>
        <v>⑤短期</v>
      </c>
    </row>
    <row r="843">
      <c r="A843" t="n" s="2909">
        <v>31</v>
      </c>
      <c r="AA843" t="n" s="2909">
        <v>21</v>
      </c>
      <c r="AB843" t="inlineStr" s="2909">
        <is>
          <t>20240901</t>
        </is>
      </c>
      <c r="AD843" t="n" s="2909">
        <v>12</v>
      </c>
      <c r="AE843" t="inlineStr" s="2909">
        <is>
          <t>20250519</t>
        </is>
      </c>
      <c r="AH843" t="n" s="2909">
        <v>1</v>
      </c>
      <c r="AJ843" t="n" s="2909">
        <v>41</v>
      </c>
      <c r="AP843" t="n" s="2909">
        <v>150000</v>
      </c>
      <c r="DB843" s="2909" t="str">
        <f>IF($A843="","",IF($AE843&amp;""&lt;&gt;'DB_設定'!$C$4,"対象外",IF($AH843=20,IF(OR($AJ843=10,$AJ843=11,$AJ843=18),"①病院一般",IF($AJ843=41,"②病院短期","対象外")),IF($AH843=5,IF($AJ843=30,"③特定消防","対象外"),IF(OR($AJ843=10,$AJ843=11,$AJ843=74),"④一般",IF(OR($AJ843=41,$AJ843=47),"⑤短期","対象外"))))))</f>
        <v>対象外</v>
      </c>
    </row>
    <row r="844">
      <c r="A844" t="n" s="2909">
        <v>31</v>
      </c>
      <c r="AA844" t="n" s="2909">
        <v>21</v>
      </c>
      <c r="AB844" t="inlineStr" s="2909">
        <is>
          <t>20221001</t>
        </is>
      </c>
      <c r="AD844" t="n" s="2909">
        <v>11</v>
      </c>
      <c r="AE844" t="inlineStr" s="2909">
        <is>
          <t>20250401</t>
        </is>
      </c>
      <c r="AH844" t="n" s="2909">
        <v>1</v>
      </c>
      <c r="AJ844" t="n" s="2909">
        <v>41</v>
      </c>
      <c r="AP844" t="n" s="2909">
        <v>134000</v>
      </c>
      <c r="DB844" s="2909" t="str">
        <f>IF($A844="","",IF($AE844&amp;""&lt;&gt;'DB_設定'!$C$4,"対象外",IF($AH844=20,IF(OR($AJ844=10,$AJ844=11,$AJ844=18),"①病院一般",IF($AJ844=41,"②病院短期","対象外")),IF($AH844=5,IF($AJ844=30,"③特定消防","対象外"),IF(OR($AJ844=10,$AJ844=11,$AJ844=74),"④一般",IF(OR($AJ844=41,$AJ844=47),"⑤短期","対象外"))))))</f>
        <v>⑤短期</v>
      </c>
    </row>
    <row r="845">
      <c r="A845" t="n" s="2909">
        <v>31</v>
      </c>
      <c r="AA845" t="n" s="2909">
        <v>21</v>
      </c>
      <c r="AB845" t="inlineStr" s="2909">
        <is>
          <t>20221001</t>
        </is>
      </c>
      <c r="AD845" t="n" s="2909">
        <v>12</v>
      </c>
      <c r="AE845" t="inlineStr" s="2909">
        <is>
          <t>20250401</t>
        </is>
      </c>
      <c r="AH845" t="n" s="2909">
        <v>1</v>
      </c>
      <c r="AJ845" t="n" s="2909">
        <v>41</v>
      </c>
      <c r="AP845" t="n" s="2909">
        <v>200000</v>
      </c>
      <c r="DB845" s="2909" t="str">
        <f>IF($A845="","",IF($AE845&amp;""&lt;&gt;'DB_設定'!$C$4,"対象外",IF($AH845=20,IF(OR($AJ845=10,$AJ845=11,$AJ845=18),"①病院一般",IF($AJ845=41,"②病院短期","対象外")),IF($AH845=5,IF($AJ845=30,"③特定消防","対象外"),IF(OR($AJ845=10,$AJ845=11,$AJ845=74),"④一般",IF(OR($AJ845=41,$AJ845=47),"⑤短期","対象外"))))))</f>
        <v>⑤短期</v>
      </c>
    </row>
    <row r="846">
      <c r="A846" t="n" s="2909">
        <v>31</v>
      </c>
      <c r="AA846" t="n" s="2909">
        <v>21</v>
      </c>
      <c r="AB846" t="inlineStr" s="2909">
        <is>
          <t>20221001</t>
        </is>
      </c>
      <c r="AD846" t="n" s="2909">
        <v>11</v>
      </c>
      <c r="AE846" t="inlineStr" s="2909">
        <is>
          <t>20250401</t>
        </is>
      </c>
      <c r="AH846" t="n" s="2909">
        <v>1</v>
      </c>
      <c r="AJ846" t="n" s="2909">
        <v>41</v>
      </c>
      <c r="AP846" t="n" s="2909">
        <v>134000</v>
      </c>
      <c r="DB846" s="2909" t="str">
        <f>IF($A846="","",IF($AE846&amp;""&lt;&gt;'DB_設定'!$C$4,"対象外",IF($AH846=20,IF(OR($AJ846=10,$AJ846=11,$AJ846=18),"①病院一般",IF($AJ846=41,"②病院短期","対象外")),IF($AH846=5,IF($AJ846=30,"③特定消防","対象外"),IF(OR($AJ846=10,$AJ846=11,$AJ846=74),"④一般",IF(OR($AJ846=41,$AJ846=47),"⑤短期","対象外"))))))</f>
        <v>⑤短期</v>
      </c>
    </row>
    <row r="847">
      <c r="A847" t="n" s="2909">
        <v>31</v>
      </c>
      <c r="AA847" t="n" s="2909">
        <v>21</v>
      </c>
      <c r="AB847" t="inlineStr" s="2909">
        <is>
          <t>20221001</t>
        </is>
      </c>
      <c r="AD847" t="n" s="2909">
        <v>12</v>
      </c>
      <c r="AE847" t="inlineStr" s="2909">
        <is>
          <t>20250401</t>
        </is>
      </c>
      <c r="AH847" t="n" s="2909">
        <v>11</v>
      </c>
      <c r="AJ847" t="n" s="2909">
        <v>41</v>
      </c>
      <c r="AP847" t="n" s="2909">
        <v>110000</v>
      </c>
      <c r="DB847" s="2909" t="str">
        <f>IF($A847="","",IF($AE847&amp;""&lt;&gt;'DB_設定'!$C$4,"対象外",IF($AH847=20,IF(OR($AJ847=10,$AJ847=11,$AJ847=18),"①病院一般",IF($AJ847=41,"②病院短期","対象外")),IF($AH847=5,IF($AJ847=30,"③特定消防","対象外"),IF(OR($AJ847=10,$AJ847=11,$AJ847=74),"④一般",IF(OR($AJ847=41,$AJ847=47),"⑤短期","対象外"))))))</f>
        <v>⑤短期</v>
      </c>
    </row>
    <row r="848">
      <c r="A848" t="n" s="2909">
        <v>31</v>
      </c>
      <c r="AA848" t="n" s="2909">
        <v>21</v>
      </c>
      <c r="AB848" t="inlineStr" s="2909">
        <is>
          <t>20221001</t>
        </is>
      </c>
      <c r="AD848" t="n" s="2909">
        <v>12</v>
      </c>
      <c r="AE848" t="inlineStr" s="2909">
        <is>
          <t>20250401</t>
        </is>
      </c>
      <c r="AH848" t="n" s="2909">
        <v>11</v>
      </c>
      <c r="AJ848" t="n" s="2909">
        <v>41</v>
      </c>
      <c r="AP848" t="n" s="2909">
        <v>220000</v>
      </c>
      <c r="DB848" s="2909" t="str">
        <f>IF($A848="","",IF($AE848&amp;""&lt;&gt;'DB_設定'!$C$4,"対象外",IF($AH848=20,IF(OR($AJ848=10,$AJ848=11,$AJ848=18),"①病院一般",IF($AJ848=41,"②病院短期","対象外")),IF($AH848=5,IF($AJ848=30,"③特定消防","対象外"),IF(OR($AJ848=10,$AJ848=11,$AJ848=74),"④一般",IF(OR($AJ848=41,$AJ848=47),"⑤短期","対象外"))))))</f>
        <v>⑤短期</v>
      </c>
    </row>
    <row r="849">
      <c r="A849" t="n" s="2909">
        <v>31</v>
      </c>
      <c r="AA849" t="n" s="2909">
        <v>21</v>
      </c>
      <c r="AB849" t="inlineStr" s="2909">
        <is>
          <t>20221001</t>
        </is>
      </c>
      <c r="AD849" t="n" s="2909">
        <v>12</v>
      </c>
      <c r="AE849" t="inlineStr" s="2909">
        <is>
          <t>20250401</t>
        </is>
      </c>
      <c r="AH849" t="n" s="2909">
        <v>11</v>
      </c>
      <c r="AJ849" t="n" s="2909">
        <v>41</v>
      </c>
      <c r="AP849" t="n" s="2909">
        <v>190000</v>
      </c>
      <c r="DB849" s="2909" t="str">
        <f>IF($A849="","",IF($AE849&amp;""&lt;&gt;'DB_設定'!$C$4,"対象外",IF($AH849=20,IF(OR($AJ849=10,$AJ849=11,$AJ849=18),"①病院一般",IF($AJ849=41,"②病院短期","対象外")),IF($AH849=5,IF($AJ849=30,"③特定消防","対象外"),IF(OR($AJ849=10,$AJ849=11,$AJ849=74),"④一般",IF(OR($AJ849=41,$AJ849=47),"⑤短期","対象外"))))))</f>
        <v>⑤短期</v>
      </c>
    </row>
    <row r="850">
      <c r="A850" t="n" s="2909">
        <v>31</v>
      </c>
      <c r="AA850" t="n" s="2909">
        <v>21</v>
      </c>
      <c r="AB850" t="inlineStr" s="2909">
        <is>
          <t>20240408</t>
        </is>
      </c>
      <c r="AD850" t="n" s="2909">
        <v>12</v>
      </c>
      <c r="AE850" t="inlineStr" s="2909">
        <is>
          <t>20250401</t>
        </is>
      </c>
      <c r="AH850" t="n" s="2909">
        <v>1</v>
      </c>
      <c r="AJ850" t="n" s="2909">
        <v>41</v>
      </c>
      <c r="AP850" t="n" s="2909">
        <v>104000</v>
      </c>
      <c r="DB850" s="2909" t="str">
        <f>IF($A850="","",IF($AE850&amp;""&lt;&gt;'DB_設定'!$C$4,"対象外",IF($AH850=20,IF(OR($AJ850=10,$AJ850=11,$AJ850=18),"①病院一般",IF($AJ850=41,"②病院短期","対象外")),IF($AH850=5,IF($AJ850=30,"③特定消防","対象外"),IF(OR($AJ850=10,$AJ850=11,$AJ850=74),"④一般",IF(OR($AJ850=41,$AJ850=47),"⑤短期","対象外"))))))</f>
        <v>⑤短期</v>
      </c>
    </row>
    <row r="851">
      <c r="A851" t="n" s="2909">
        <v>31</v>
      </c>
      <c r="AA851" t="n" s="2909">
        <v>21</v>
      </c>
      <c r="AB851" t="inlineStr" s="2909">
        <is>
          <t>20221001</t>
        </is>
      </c>
      <c r="AD851" t="n" s="2909">
        <v>12</v>
      </c>
      <c r="AE851" t="inlineStr" s="2909">
        <is>
          <t>20250701</t>
        </is>
      </c>
      <c r="AH851" t="n" s="2909">
        <v>1</v>
      </c>
      <c r="AJ851" t="n" s="2909">
        <v>41</v>
      </c>
      <c r="AP851" t="n" s="2909">
        <v>200000</v>
      </c>
      <c r="DB851" s="2909" t="str">
        <f>IF($A851="","",IF($AE851&amp;""&lt;&gt;'DB_設定'!$C$4,"対象外",IF($AH851=20,IF(OR($AJ851=10,$AJ851=11,$AJ851=18),"①病院一般",IF($AJ851=41,"②病院短期","対象外")),IF($AH851=5,IF($AJ851=30,"③特定消防","対象外"),IF(OR($AJ851=10,$AJ851=11,$AJ851=74),"④一般",IF(OR($AJ851=41,$AJ851=47),"⑤短期","対象外"))))))</f>
        <v>対象外</v>
      </c>
    </row>
    <row r="852">
      <c r="A852" t="n" s="2909">
        <v>31</v>
      </c>
      <c r="AA852" t="n" s="2909">
        <v>21</v>
      </c>
      <c r="AB852" t="inlineStr" s="2909">
        <is>
          <t>20221001</t>
        </is>
      </c>
      <c r="AD852" t="n" s="2909">
        <v>12</v>
      </c>
      <c r="AE852" t="inlineStr" s="2909">
        <is>
          <t>20250401</t>
        </is>
      </c>
      <c r="AH852" t="n" s="2909">
        <v>20</v>
      </c>
      <c r="AJ852" t="n" s="2909">
        <v>41</v>
      </c>
      <c r="AP852" t="n" s="2909">
        <v>240000</v>
      </c>
      <c r="DB852" s="2909" t="str">
        <f>IF($A852="","",IF($AE852&amp;""&lt;&gt;'DB_設定'!$C$4,"対象外",IF($AH852=20,IF(OR($AJ852=10,$AJ852=11,$AJ852=18),"①病院一般",IF($AJ852=41,"②病院短期","対象外")),IF($AH852=5,IF($AJ852=30,"③特定消防","対象外"),IF(OR($AJ852=10,$AJ852=11,$AJ852=74),"④一般",IF(OR($AJ852=41,$AJ852=47),"⑤短期","対象外"))))))</f>
        <v>②病院短期</v>
      </c>
    </row>
    <row r="853">
      <c r="A853" t="n" s="2909">
        <v>31</v>
      </c>
      <c r="AA853" t="n" s="2909">
        <v>21</v>
      </c>
      <c r="AB853" t="inlineStr" s="2909">
        <is>
          <t>20250401</t>
        </is>
      </c>
      <c r="AD853" t="n" s="2909">
        <v>12</v>
      </c>
      <c r="AE853" t="inlineStr" s="2909">
        <is>
          <t>20250801</t>
        </is>
      </c>
      <c r="AH853" t="n" s="2909">
        <v>1</v>
      </c>
      <c r="AJ853" t="n" s="2909">
        <v>41</v>
      </c>
      <c r="AP853" t="n" s="2909">
        <v>190000</v>
      </c>
      <c r="DB853" s="2909" t="str">
        <f>IF($A853="","",IF($AE853&amp;""&lt;&gt;'DB_設定'!$C$4,"対象外",IF($AH853=20,IF(OR($AJ853=10,$AJ853=11,$AJ853=18),"①病院一般",IF($AJ853=41,"②病院短期","対象外")),IF($AH853=5,IF($AJ853=30,"③特定消防","対象外"),IF(OR($AJ853=10,$AJ853=11,$AJ853=74),"④一般",IF(OR($AJ853=41,$AJ853=47),"⑤短期","対象外"))))))</f>
        <v>対象外</v>
      </c>
    </row>
    <row r="854">
      <c r="A854" t="n" s="2909">
        <v>31</v>
      </c>
      <c r="AA854" t="n" s="2909">
        <v>21</v>
      </c>
      <c r="AB854" t="inlineStr" s="2909">
        <is>
          <t>20221001</t>
        </is>
      </c>
      <c r="AD854" t="n" s="2909">
        <v>11</v>
      </c>
      <c r="AE854" t="inlineStr" s="2909">
        <is>
          <t>20250401</t>
        </is>
      </c>
      <c r="AH854" t="n" s="2909">
        <v>1</v>
      </c>
      <c r="AJ854" t="n" s="2909">
        <v>41</v>
      </c>
      <c r="AP854" t="n" s="2909">
        <v>126000</v>
      </c>
      <c r="DB854" s="2909" t="str">
        <f>IF($A854="","",IF($AE854&amp;""&lt;&gt;'DB_設定'!$C$4,"対象外",IF($AH854=20,IF(OR($AJ854=10,$AJ854=11,$AJ854=18),"①病院一般",IF($AJ854=41,"②病院短期","対象外")),IF($AH854=5,IF($AJ854=30,"③特定消防","対象外"),IF(OR($AJ854=10,$AJ854=11,$AJ854=74),"④一般",IF(OR($AJ854=41,$AJ854=47),"⑤短期","対象外"))))))</f>
        <v>⑤短期</v>
      </c>
    </row>
    <row r="855">
      <c r="A855" t="n" s="2909">
        <v>31</v>
      </c>
      <c r="AA855" t="n" s="2909">
        <v>21</v>
      </c>
      <c r="AB855" t="inlineStr" s="2909">
        <is>
          <t>20221001</t>
        </is>
      </c>
      <c r="AD855" t="n" s="2909">
        <v>12</v>
      </c>
      <c r="AE855" t="inlineStr" s="2909">
        <is>
          <t>20250401</t>
        </is>
      </c>
      <c r="AH855" t="n" s="2909">
        <v>1</v>
      </c>
      <c r="AJ855" t="n" s="2909">
        <v>41</v>
      </c>
      <c r="AP855" t="n" s="2909">
        <v>134000</v>
      </c>
      <c r="DB855" s="2909" t="str">
        <f>IF($A855="","",IF($AE855&amp;""&lt;&gt;'DB_設定'!$C$4,"対象外",IF($AH855=20,IF(OR($AJ855=10,$AJ855=11,$AJ855=18),"①病院一般",IF($AJ855=41,"②病院短期","対象外")),IF($AH855=5,IF($AJ855=30,"③特定消防","対象外"),IF(OR($AJ855=10,$AJ855=11,$AJ855=74),"④一般",IF(OR($AJ855=41,$AJ855=47),"⑤短期","対象外"))))))</f>
        <v>⑤短期</v>
      </c>
    </row>
    <row r="856">
      <c r="A856" t="n" s="2909">
        <v>31</v>
      </c>
      <c r="AA856" t="n" s="2909">
        <v>21</v>
      </c>
      <c r="AB856" t="inlineStr" s="2909">
        <is>
          <t>20221001</t>
        </is>
      </c>
      <c r="AD856" t="n" s="2909">
        <v>12</v>
      </c>
      <c r="AE856" t="inlineStr" s="2909">
        <is>
          <t>20250401</t>
        </is>
      </c>
      <c r="AH856" t="n" s="2909">
        <v>1</v>
      </c>
      <c r="AJ856" t="n" s="2909">
        <v>41</v>
      </c>
      <c r="AP856" t="n" s="2909">
        <v>126000</v>
      </c>
      <c r="DB856" s="2909" t="str">
        <f>IF($A856="","",IF($AE856&amp;""&lt;&gt;'DB_設定'!$C$4,"対象外",IF($AH856=20,IF(OR($AJ856=10,$AJ856=11,$AJ856=18),"①病院一般",IF($AJ856=41,"②病院短期","対象外")),IF($AH856=5,IF($AJ856=30,"③特定消防","対象外"),IF(OR($AJ856=10,$AJ856=11,$AJ856=74),"④一般",IF(OR($AJ856=41,$AJ856=47),"⑤短期","対象外"))))))</f>
        <v>⑤短期</v>
      </c>
    </row>
    <row r="857">
      <c r="A857" t="n" s="2909">
        <v>31</v>
      </c>
      <c r="AA857" t="n" s="2909">
        <v>21</v>
      </c>
      <c r="AB857" t="inlineStr" s="2909">
        <is>
          <t>20250101</t>
        </is>
      </c>
      <c r="AD857" t="n" s="2909">
        <v>12</v>
      </c>
      <c r="AE857" t="inlineStr" s="2909">
        <is>
          <t>20250501</t>
        </is>
      </c>
      <c r="AH857" t="n" s="2909">
        <v>1</v>
      </c>
      <c r="AJ857" t="n" s="2909">
        <v>41</v>
      </c>
      <c r="AP857" t="n" s="2909">
        <v>118000</v>
      </c>
      <c r="DB857" s="2909" t="str">
        <f>IF($A857="","",IF($AE857&amp;""&lt;&gt;'DB_設定'!$C$4,"対象外",IF($AH857=20,IF(OR($AJ857=10,$AJ857=11,$AJ857=18),"①病院一般",IF($AJ857=41,"②病院短期","対象外")),IF($AH857=5,IF($AJ857=30,"③特定消防","対象外"),IF(OR($AJ857=10,$AJ857=11,$AJ857=74),"④一般",IF(OR($AJ857=41,$AJ857=47),"⑤短期","対象外"))))))</f>
        <v>対象外</v>
      </c>
    </row>
    <row r="858">
      <c r="A858" t="n" s="2909">
        <v>31</v>
      </c>
      <c r="AA858" t="n" s="2909">
        <v>21</v>
      </c>
      <c r="AB858" t="inlineStr" s="2909">
        <is>
          <t>20221001</t>
        </is>
      </c>
      <c r="AD858" t="n" s="2909">
        <v>12</v>
      </c>
      <c r="AE858" t="inlineStr" s="2909">
        <is>
          <t>20250401</t>
        </is>
      </c>
      <c r="AH858" t="n" s="2909">
        <v>1</v>
      </c>
      <c r="AJ858" t="n" s="2909">
        <v>41</v>
      </c>
      <c r="AP858" t="n" s="2909">
        <v>190000</v>
      </c>
      <c r="DB858" s="2909" t="str">
        <f>IF($A858="","",IF($AE858&amp;""&lt;&gt;'DB_設定'!$C$4,"対象外",IF($AH858=20,IF(OR($AJ858=10,$AJ858=11,$AJ858=18),"①病院一般",IF($AJ858=41,"②病院短期","対象外")),IF($AH858=5,IF($AJ858=30,"③特定消防","対象外"),IF(OR($AJ858=10,$AJ858=11,$AJ858=74),"④一般",IF(OR($AJ858=41,$AJ858=47),"⑤短期","対象外"))))))</f>
        <v>⑤短期</v>
      </c>
    </row>
    <row r="859">
      <c r="A859" t="n" s="2909">
        <v>31</v>
      </c>
      <c r="AA859" t="n" s="2909">
        <v>21</v>
      </c>
      <c r="AB859" t="inlineStr" s="2909">
        <is>
          <t>20221001</t>
        </is>
      </c>
      <c r="AD859" t="n" s="2909">
        <v>12</v>
      </c>
      <c r="AE859" t="inlineStr" s="2909">
        <is>
          <t>20250401</t>
        </is>
      </c>
      <c r="AH859" t="n" s="2909">
        <v>1</v>
      </c>
      <c r="AJ859" t="n" s="2909">
        <v>41</v>
      </c>
      <c r="AP859" t="n" s="2909">
        <v>200000</v>
      </c>
      <c r="DB859" s="2909" t="str">
        <f>IF($A859="","",IF($AE859&amp;""&lt;&gt;'DB_設定'!$C$4,"対象外",IF($AH859=20,IF(OR($AJ859=10,$AJ859=11,$AJ859=18),"①病院一般",IF($AJ859=41,"②病院短期","対象外")),IF($AH859=5,IF($AJ859=30,"③特定消防","対象外"),IF(OR($AJ859=10,$AJ859=11,$AJ859=74),"④一般",IF(OR($AJ859=41,$AJ859=47),"⑤短期","対象外"))))))</f>
        <v>⑤短期</v>
      </c>
    </row>
    <row r="860">
      <c r="A860" t="n" s="2909">
        <v>31</v>
      </c>
      <c r="AA860" t="n" s="2909">
        <v>21</v>
      </c>
      <c r="AB860" t="inlineStr" s="2909">
        <is>
          <t>20221001</t>
        </is>
      </c>
      <c r="AD860" t="n" s="2909">
        <v>12</v>
      </c>
      <c r="AE860" t="inlineStr" s="2909">
        <is>
          <t>20251001</t>
        </is>
      </c>
      <c r="AH860" t="n" s="2909">
        <v>1</v>
      </c>
      <c r="AJ860" t="n" s="2909">
        <v>41</v>
      </c>
      <c r="AP860" t="n" s="2909">
        <v>142000</v>
      </c>
      <c r="DB860" s="2909" t="str">
        <f>IF($A860="","",IF($AE860&amp;""&lt;&gt;'DB_設定'!$C$4,"対象外",IF($AH860=20,IF(OR($AJ860=10,$AJ860=11,$AJ860=18),"①病院一般",IF($AJ860=41,"②病院短期","対象外")),IF($AH860=5,IF($AJ860=30,"③特定消防","対象外"),IF(OR($AJ860=10,$AJ860=11,$AJ860=74),"④一般",IF(OR($AJ860=41,$AJ860=47),"⑤短期","対象外"))))))</f>
        <v>対象外</v>
      </c>
    </row>
    <row r="861">
      <c r="A861" t="n" s="2909">
        <v>31</v>
      </c>
      <c r="AA861" t="n" s="2909">
        <v>21</v>
      </c>
      <c r="AB861" t="inlineStr" s="2909">
        <is>
          <t>20240607</t>
        </is>
      </c>
      <c r="AD861" t="n" s="2909">
        <v>12</v>
      </c>
      <c r="AE861" t="inlineStr" s="2909">
        <is>
          <t>20250401</t>
        </is>
      </c>
      <c r="AH861" t="n" s="2909">
        <v>1</v>
      </c>
      <c r="AJ861" t="n" s="2909">
        <v>41</v>
      </c>
      <c r="AP861" t="n" s="2909">
        <v>134000</v>
      </c>
      <c r="DB861" s="2909" t="str">
        <f>IF($A861="","",IF($AE861&amp;""&lt;&gt;'DB_設定'!$C$4,"対象外",IF($AH861=20,IF(OR($AJ861=10,$AJ861=11,$AJ861=18),"①病院一般",IF($AJ861=41,"②病院短期","対象外")),IF($AH861=5,IF($AJ861=30,"③特定消防","対象外"),IF(OR($AJ861=10,$AJ861=11,$AJ861=74),"④一般",IF(OR($AJ861=41,$AJ861=47),"⑤短期","対象外"))))))</f>
        <v>⑤短期</v>
      </c>
    </row>
    <row r="862">
      <c r="A862" t="n" s="2909">
        <v>31</v>
      </c>
      <c r="AA862" t="n" s="2909">
        <v>24</v>
      </c>
      <c r="AB862" t="inlineStr" s="2909">
        <is>
          <t>20240819</t>
        </is>
      </c>
      <c r="AD862" t="n" s="2909">
        <v>12</v>
      </c>
      <c r="AE862" t="inlineStr" s="2909">
        <is>
          <t>20250901</t>
        </is>
      </c>
      <c r="AH862" t="n" s="2909">
        <v>1</v>
      </c>
      <c r="AJ862" t="n" s="2909">
        <v>41</v>
      </c>
      <c r="AP862" t="n" s="2909">
        <v>142000</v>
      </c>
      <c r="DB862" s="2909" t="str">
        <f>IF($A862="","",IF($AE862&amp;""&lt;&gt;'DB_設定'!$C$4,"対象外",IF($AH862=20,IF(OR($AJ862=10,$AJ862=11,$AJ862=18),"①病院一般",IF($AJ862=41,"②病院短期","対象外")),IF($AH862=5,IF($AJ862=30,"③特定消防","対象外"),IF(OR($AJ862=10,$AJ862=11,$AJ862=74),"④一般",IF(OR($AJ862=41,$AJ862=47),"⑤短期","対象外"))))))</f>
        <v>対象外</v>
      </c>
    </row>
    <row r="863">
      <c r="A863" t="n" s="2909">
        <v>31</v>
      </c>
      <c r="AA863" t="n" s="2909">
        <v>21</v>
      </c>
      <c r="AB863" t="inlineStr" s="2909">
        <is>
          <t>20241001</t>
        </is>
      </c>
      <c r="AD863" t="n" s="2909">
        <v>12</v>
      </c>
      <c r="AE863" t="inlineStr" s="2909">
        <is>
          <t>20250401</t>
        </is>
      </c>
      <c r="AH863" t="n" s="2909">
        <v>1</v>
      </c>
      <c r="AJ863" t="n" s="2909">
        <v>41</v>
      </c>
      <c r="AP863" t="n" s="2909">
        <v>134000</v>
      </c>
      <c r="DB863" s="2909" t="str">
        <f>IF($A863="","",IF($AE863&amp;""&lt;&gt;'DB_設定'!$C$4,"対象外",IF($AH863=20,IF(OR($AJ863=10,$AJ863=11,$AJ863=18),"①病院一般",IF($AJ863=41,"②病院短期","対象外")),IF($AH863=5,IF($AJ863=30,"③特定消防","対象外"),IF(OR($AJ863=10,$AJ863=11,$AJ863=74),"④一般",IF(OR($AJ863=41,$AJ863=47),"⑤短期","対象外"))))))</f>
        <v>⑤短期</v>
      </c>
    </row>
    <row r="864">
      <c r="A864" t="n" s="2909">
        <v>31</v>
      </c>
      <c r="AA864" t="n" s="2909">
        <v>24</v>
      </c>
      <c r="AB864" t="inlineStr" s="2909">
        <is>
          <t>20250107</t>
        </is>
      </c>
      <c r="AD864" t="n" s="2909">
        <v>12</v>
      </c>
      <c r="AE864" t="inlineStr" s="2909">
        <is>
          <t>20250401</t>
        </is>
      </c>
      <c r="AH864" t="n" s="2909">
        <v>1</v>
      </c>
      <c r="AJ864" t="n" s="2909">
        <v>41</v>
      </c>
      <c r="AP864" t="n" s="2909">
        <v>110000</v>
      </c>
      <c r="DB864" s="2909" t="str">
        <f>IF($A864="","",IF($AE864&amp;""&lt;&gt;'DB_設定'!$C$4,"対象外",IF($AH864=20,IF(OR($AJ864=10,$AJ864=11,$AJ864=18),"①病院一般",IF($AJ864=41,"②病院短期","対象外")),IF($AH864=5,IF($AJ864=30,"③特定消防","対象外"),IF(OR($AJ864=10,$AJ864=11,$AJ864=74),"④一般",IF(OR($AJ864=41,$AJ864=47),"⑤短期","対象外"))))))</f>
        <v>⑤短期</v>
      </c>
    </row>
    <row r="865">
      <c r="A865" t="n" s="2909">
        <v>31</v>
      </c>
      <c r="AA865" t="n" s="2909">
        <v>21</v>
      </c>
      <c r="AB865" t="inlineStr" s="2909">
        <is>
          <t>20230601</t>
        </is>
      </c>
      <c r="AD865" t="n" s="2909">
        <v>12</v>
      </c>
      <c r="AE865" t="inlineStr" s="2909">
        <is>
          <t>20250401</t>
        </is>
      </c>
      <c r="AH865" t="n" s="2909">
        <v>20</v>
      </c>
      <c r="AJ865" t="n" s="2909">
        <v>41</v>
      </c>
      <c r="AP865" t="n" s="2909">
        <v>180000</v>
      </c>
      <c r="DB865" s="2909" t="str">
        <f>IF($A865="","",IF($AE865&amp;""&lt;&gt;'DB_設定'!$C$4,"対象外",IF($AH865=20,IF(OR($AJ865=10,$AJ865=11,$AJ865=18),"①病院一般",IF($AJ865=41,"②病院短期","対象外")),IF($AH865=5,IF($AJ865=30,"③特定消防","対象外"),IF(OR($AJ865=10,$AJ865=11,$AJ865=74),"④一般",IF(OR($AJ865=41,$AJ865=47),"⑤短期","対象外"))))))</f>
        <v>②病院短期</v>
      </c>
    </row>
    <row r="866">
      <c r="A866" t="n" s="2909">
        <v>31</v>
      </c>
      <c r="AA866" t="n" s="2909">
        <v>21</v>
      </c>
      <c r="AB866" t="inlineStr" s="2909">
        <is>
          <t>20221001</t>
        </is>
      </c>
      <c r="AD866" t="n" s="2909">
        <v>12</v>
      </c>
      <c r="AE866" t="inlineStr" s="2909">
        <is>
          <t>20250401</t>
        </is>
      </c>
      <c r="AH866" t="n" s="2909">
        <v>20</v>
      </c>
      <c r="AJ866" t="n" s="2909">
        <v>41</v>
      </c>
      <c r="AP866" t="n" s="2909">
        <v>170000</v>
      </c>
      <c r="DB866" s="2909" t="str">
        <f>IF($A866="","",IF($AE866&amp;""&lt;&gt;'DB_設定'!$C$4,"対象外",IF($AH866=20,IF(OR($AJ866=10,$AJ866=11,$AJ866=18),"①病院一般",IF($AJ866=41,"②病院短期","対象外")),IF($AH866=5,IF($AJ866=30,"③特定消防","対象外"),IF(OR($AJ866=10,$AJ866=11,$AJ866=74),"④一般",IF(OR($AJ866=41,$AJ866=47),"⑤短期","対象外"))))))</f>
        <v>②病院短期</v>
      </c>
    </row>
    <row r="867">
      <c r="A867" t="n" s="2909">
        <v>31</v>
      </c>
      <c r="AA867" t="n" s="2909">
        <v>21</v>
      </c>
      <c r="AB867" t="inlineStr" s="2909">
        <is>
          <t>20221001</t>
        </is>
      </c>
      <c r="AD867" t="n" s="2909">
        <v>12</v>
      </c>
      <c r="AE867" t="inlineStr" s="2909">
        <is>
          <t>20250913</t>
        </is>
      </c>
      <c r="AH867" t="n" s="2909">
        <v>20</v>
      </c>
      <c r="AJ867" t="n" s="2909">
        <v>41</v>
      </c>
      <c r="AP867" t="n" s="2909">
        <v>190000</v>
      </c>
      <c r="DB867" s="2909" t="str">
        <f>IF($A867="","",IF($AE867&amp;""&lt;&gt;'DB_設定'!$C$4,"対象外",IF($AH867=20,IF(OR($AJ867=10,$AJ867=11,$AJ867=18),"①病院一般",IF($AJ867=41,"②病院短期","対象外")),IF($AH867=5,IF($AJ867=30,"③特定消防","対象外"),IF(OR($AJ867=10,$AJ867=11,$AJ867=74),"④一般",IF(OR($AJ867=41,$AJ867=47),"⑤短期","対象外"))))))</f>
        <v>対象外</v>
      </c>
    </row>
    <row r="868">
      <c r="A868" t="n" s="2909">
        <v>31</v>
      </c>
      <c r="AA868" t="n" s="2909">
        <v>21</v>
      </c>
      <c r="AB868" t="inlineStr" s="2909">
        <is>
          <t>20221001</t>
        </is>
      </c>
      <c r="AD868" t="n" s="2909">
        <v>12</v>
      </c>
      <c r="AE868" t="inlineStr" s="2909">
        <is>
          <t>20250913</t>
        </is>
      </c>
      <c r="AH868" t="n" s="2909">
        <v>20</v>
      </c>
      <c r="AJ868" t="n" s="2909">
        <v>41</v>
      </c>
      <c r="AP868" t="n" s="2909">
        <v>190000</v>
      </c>
      <c r="DB868" s="2909" t="str">
        <f>IF($A868="","",IF($AE868&amp;""&lt;&gt;'DB_設定'!$C$4,"対象外",IF($AH868=20,IF(OR($AJ868=10,$AJ868=11,$AJ868=18),"①病院一般",IF($AJ868=41,"②病院短期","対象外")),IF($AH868=5,IF($AJ868=30,"③特定消防","対象外"),IF(OR($AJ868=10,$AJ868=11,$AJ868=74),"④一般",IF(OR($AJ868=41,$AJ868=47),"⑤短期","対象外"))))))</f>
        <v>対象外</v>
      </c>
    </row>
    <row r="869">
      <c r="A869" t="n" s="2909">
        <v>31</v>
      </c>
      <c r="AA869" t="n" s="2909">
        <v>21</v>
      </c>
      <c r="AB869" t="inlineStr" s="2909">
        <is>
          <t>20221001</t>
        </is>
      </c>
      <c r="AD869" t="n" s="2909">
        <v>12</v>
      </c>
      <c r="AE869" t="inlineStr" s="2909">
        <is>
          <t>20250401</t>
        </is>
      </c>
      <c r="AH869" t="n" s="2909">
        <v>20</v>
      </c>
      <c r="AJ869" t="n" s="2909">
        <v>41</v>
      </c>
      <c r="AP869" t="n" s="2909">
        <v>170000</v>
      </c>
      <c r="DB869" s="2909" t="str">
        <f>IF($A869="","",IF($AE869&amp;""&lt;&gt;'DB_設定'!$C$4,"対象外",IF($AH869=20,IF(OR($AJ869=10,$AJ869=11,$AJ869=18),"①病院一般",IF($AJ869=41,"②病院短期","対象外")),IF($AH869=5,IF($AJ869=30,"③特定消防","対象外"),IF(OR($AJ869=10,$AJ869=11,$AJ869=74),"④一般",IF(OR($AJ869=41,$AJ869=47),"⑤短期","対象外"))))))</f>
        <v>②病院短期</v>
      </c>
    </row>
    <row r="870">
      <c r="A870" t="n" s="2909">
        <v>31</v>
      </c>
      <c r="AA870" t="n" s="2909">
        <v>24</v>
      </c>
      <c r="AB870" t="inlineStr" s="2909">
        <is>
          <t>20250107</t>
        </is>
      </c>
      <c r="AD870" t="n" s="2909">
        <v>12</v>
      </c>
      <c r="AE870" t="inlineStr" s="2909">
        <is>
          <t>20250701</t>
        </is>
      </c>
      <c r="AH870" t="n" s="2909">
        <v>1</v>
      </c>
      <c r="AJ870" t="n" s="2909">
        <v>41</v>
      </c>
      <c r="AP870" t="n" s="2909">
        <v>134000</v>
      </c>
      <c r="DB870" s="2909" t="str">
        <f>IF($A870="","",IF($AE870&amp;""&lt;&gt;'DB_設定'!$C$4,"対象外",IF($AH870=20,IF(OR($AJ870=10,$AJ870=11,$AJ870=18),"①病院一般",IF($AJ870=41,"②病院短期","対象外")),IF($AH870=5,IF($AJ870=30,"③特定消防","対象外"),IF(OR($AJ870=10,$AJ870=11,$AJ870=74),"④一般",IF(OR($AJ870=41,$AJ870=47),"⑤短期","対象外"))))))</f>
        <v>対象外</v>
      </c>
    </row>
    <row r="871">
      <c r="A871" t="n" s="2909">
        <v>31</v>
      </c>
      <c r="AA871" t="n" s="2909">
        <v>24</v>
      </c>
      <c r="AB871" t="inlineStr" s="2909">
        <is>
          <t>20240801</t>
        </is>
      </c>
      <c r="AD871" t="n" s="2909">
        <v>12</v>
      </c>
      <c r="AE871" t="inlineStr" s="2909">
        <is>
          <t>20250401</t>
        </is>
      </c>
      <c r="AH871" t="n" s="2909">
        <v>1</v>
      </c>
      <c r="AJ871" t="n" s="2909">
        <v>41</v>
      </c>
      <c r="AP871" t="n" s="2909">
        <v>134000</v>
      </c>
      <c r="DB871" s="2909" t="str">
        <f>IF($A871="","",IF($AE871&amp;""&lt;&gt;'DB_設定'!$C$4,"対象外",IF($AH871=20,IF(OR($AJ871=10,$AJ871=11,$AJ871=18),"①病院一般",IF($AJ871=41,"②病院短期","対象外")),IF($AH871=5,IF($AJ871=30,"③特定消防","対象外"),IF(OR($AJ871=10,$AJ871=11,$AJ871=74),"④一般",IF(OR($AJ871=41,$AJ871=47),"⑤短期","対象外"))))))</f>
        <v>⑤短期</v>
      </c>
    </row>
    <row r="872">
      <c r="A872" t="n" s="2909">
        <v>31</v>
      </c>
      <c r="AA872" t="n" s="2909">
        <v>24</v>
      </c>
      <c r="AB872" t="inlineStr" s="2909">
        <is>
          <t>20250101</t>
        </is>
      </c>
      <c r="AD872" t="n" s="2909">
        <v>12</v>
      </c>
      <c r="AE872" t="inlineStr" s="2909">
        <is>
          <t>20250401</t>
        </is>
      </c>
      <c r="AH872" t="n" s="2909">
        <v>1</v>
      </c>
      <c r="AJ872" t="n" s="2909">
        <v>41</v>
      </c>
      <c r="AP872" t="n" s="2909">
        <v>134000</v>
      </c>
      <c r="DB872" s="2909" t="str">
        <f>IF($A872="","",IF($AE872&amp;""&lt;&gt;'DB_設定'!$C$4,"対象外",IF($AH872=20,IF(OR($AJ872=10,$AJ872=11,$AJ872=18),"①病院一般",IF($AJ872=41,"②病院短期","対象外")),IF($AH872=5,IF($AJ872=30,"③特定消防","対象外"),IF(OR($AJ872=10,$AJ872=11,$AJ872=74),"④一般",IF(OR($AJ872=41,$AJ872=47),"⑤短期","対象外"))))))</f>
        <v>⑤短期</v>
      </c>
    </row>
    <row r="873">
      <c r="A873" t="n" s="2909">
        <v>31</v>
      </c>
      <c r="AA873" t="n" s="2909">
        <v>21</v>
      </c>
      <c r="AB873" t="inlineStr" s="2909">
        <is>
          <t>20230703</t>
        </is>
      </c>
      <c r="AD873" t="n" s="2909">
        <v>12</v>
      </c>
      <c r="AE873" t="inlineStr" s="2909">
        <is>
          <t>20250501</t>
        </is>
      </c>
      <c r="AH873" t="n" s="2909">
        <v>1</v>
      </c>
      <c r="AJ873" t="n" s="2909">
        <v>41</v>
      </c>
      <c r="AP873" t="n" s="2909">
        <v>134000</v>
      </c>
      <c r="DB873" s="2909" t="str">
        <f>IF($A873="","",IF($AE873&amp;""&lt;&gt;'DB_設定'!$C$4,"対象外",IF($AH873=20,IF(OR($AJ873=10,$AJ873=11,$AJ873=18),"①病院一般",IF($AJ873=41,"②病院短期","対象外")),IF($AH873=5,IF($AJ873=30,"③特定消防","対象外"),IF(OR($AJ873=10,$AJ873=11,$AJ873=74),"④一般",IF(OR($AJ873=41,$AJ873=47),"⑤短期","対象外"))))))</f>
        <v>対象外</v>
      </c>
    </row>
    <row r="874">
      <c r="A874" t="n" s="2909">
        <v>31</v>
      </c>
      <c r="AA874" t="n" s="2909">
        <v>21</v>
      </c>
      <c r="AB874" t="inlineStr" s="2909">
        <is>
          <t>20250401</t>
        </is>
      </c>
      <c r="AD874" t="n" s="2909">
        <v>12</v>
      </c>
      <c r="AE874" t="inlineStr" s="2909">
        <is>
          <t>20250416</t>
        </is>
      </c>
      <c r="AH874" t="n" s="2909">
        <v>1</v>
      </c>
      <c r="AJ874" t="n" s="2909">
        <v>41</v>
      </c>
      <c r="AP874" t="n" s="2909">
        <v>200000</v>
      </c>
      <c r="DB874" s="2909" t="str">
        <f>IF($A874="","",IF($AE874&amp;""&lt;&gt;'DB_設定'!$C$4,"対象外",IF($AH874=20,IF(OR($AJ874=10,$AJ874=11,$AJ874=18),"①病院一般",IF($AJ874=41,"②病院短期","対象外")),IF($AH874=5,IF($AJ874=30,"③特定消防","対象外"),IF(OR($AJ874=10,$AJ874=11,$AJ874=74),"④一般",IF(OR($AJ874=41,$AJ874=47),"⑤短期","対象外"))))))</f>
        <v>対象外</v>
      </c>
    </row>
    <row r="875">
      <c r="A875" t="n" s="2909">
        <v>31</v>
      </c>
      <c r="AA875" t="n" s="2909">
        <v>21</v>
      </c>
      <c r="AB875" t="inlineStr" s="2909">
        <is>
          <t>20221001</t>
        </is>
      </c>
      <c r="AD875" t="n" s="2909">
        <v>12</v>
      </c>
      <c r="AE875" t="inlineStr" s="2909">
        <is>
          <t>20250401</t>
        </is>
      </c>
      <c r="AH875" t="n" s="2909">
        <v>11</v>
      </c>
      <c r="AJ875" t="n" s="2909">
        <v>41</v>
      </c>
      <c r="AP875" t="n" s="2909">
        <v>220000</v>
      </c>
      <c r="DB875" s="2909" t="str">
        <f>IF($A875="","",IF($AE875&amp;""&lt;&gt;'DB_設定'!$C$4,"対象外",IF($AH875=20,IF(OR($AJ875=10,$AJ875=11,$AJ875=18),"①病院一般",IF($AJ875=41,"②病院短期","対象外")),IF($AH875=5,IF($AJ875=30,"③特定消防","対象外"),IF(OR($AJ875=10,$AJ875=11,$AJ875=74),"④一般",IF(OR($AJ875=41,$AJ875=47),"⑤短期","対象外"))))))</f>
        <v>⑤短期</v>
      </c>
    </row>
    <row r="876">
      <c r="A876" t="n" s="2909">
        <v>31</v>
      </c>
      <c r="AA876" t="n" s="2909">
        <v>21</v>
      </c>
      <c r="AB876" t="inlineStr" s="2909">
        <is>
          <t>20210401</t>
        </is>
      </c>
      <c r="AD876" t="n" s="2909">
        <v>12</v>
      </c>
      <c r="AE876" t="inlineStr" s="2909">
        <is>
          <t>20250401</t>
        </is>
      </c>
      <c r="AH876" t="n" s="2909">
        <v>1</v>
      </c>
      <c r="AJ876" t="n" s="2909">
        <v>10</v>
      </c>
      <c r="AP876" t="n" s="2909">
        <v>240000</v>
      </c>
      <c r="DB876" s="2909" t="str">
        <f>IF($A876="","",IF($AE876&amp;""&lt;&gt;'DB_設定'!$C$4,"対象外",IF($AH876=20,IF(OR($AJ876=10,$AJ876=11,$AJ876=18),"①病院一般",IF($AJ876=41,"②病院短期","対象外")),IF($AH876=5,IF($AJ876=30,"③特定消防","対象外"),IF(OR($AJ876=10,$AJ876=11,$AJ876=74),"④一般",IF(OR($AJ876=41,$AJ876=47),"⑤短期","対象外"))))))</f>
        <v>④一般</v>
      </c>
    </row>
    <row r="877">
      <c r="A877" t="n" s="2909">
        <v>31</v>
      </c>
      <c r="AA877" t="n" s="2909">
        <v>21</v>
      </c>
      <c r="AB877" t="inlineStr" s="2909">
        <is>
          <t>20221001</t>
        </is>
      </c>
      <c r="AD877" t="n" s="2909">
        <v>12</v>
      </c>
      <c r="AE877" t="inlineStr" s="2909">
        <is>
          <t>20250401</t>
        </is>
      </c>
      <c r="AH877" t="n" s="2909">
        <v>1</v>
      </c>
      <c r="AJ877" t="n" s="2909">
        <v>41</v>
      </c>
      <c r="AP877" t="n" s="2909">
        <v>220000</v>
      </c>
      <c r="DB877" s="2909" t="str">
        <f>IF($A877="","",IF($AE877&amp;""&lt;&gt;'DB_設定'!$C$4,"対象外",IF($AH877=20,IF(OR($AJ877=10,$AJ877=11,$AJ877=18),"①病院一般",IF($AJ877=41,"②病院短期","対象外")),IF($AH877=5,IF($AJ877=30,"③特定消防","対象外"),IF(OR($AJ877=10,$AJ877=11,$AJ877=74),"④一般",IF(OR($AJ877=41,$AJ877=47),"⑤短期","対象外"))))))</f>
        <v>⑤短期</v>
      </c>
    </row>
    <row r="878">
      <c r="A878" t="n" s="2909">
        <v>31</v>
      </c>
      <c r="AA878" t="n" s="2909">
        <v>21</v>
      </c>
      <c r="AB878" t="inlineStr" s="2909">
        <is>
          <t>20221001</t>
        </is>
      </c>
      <c r="AD878" t="n" s="2909">
        <v>12</v>
      </c>
      <c r="AE878" t="inlineStr" s="2909">
        <is>
          <t>20250401</t>
        </is>
      </c>
      <c r="AH878" t="n" s="2909">
        <v>1</v>
      </c>
      <c r="AJ878" t="n" s="2909">
        <v>41</v>
      </c>
      <c r="AP878" t="n" s="2909">
        <v>190000</v>
      </c>
      <c r="DB878" s="2909" t="str">
        <f>IF($A878="","",IF($AE878&amp;""&lt;&gt;'DB_設定'!$C$4,"対象外",IF($AH878=20,IF(OR($AJ878=10,$AJ878=11,$AJ878=18),"①病院一般",IF($AJ878=41,"②病院短期","対象外")),IF($AH878=5,IF($AJ878=30,"③特定消防","対象外"),IF(OR($AJ878=10,$AJ878=11,$AJ878=74),"④一般",IF(OR($AJ878=41,$AJ878=47),"⑤短期","対象外"))))))</f>
        <v>⑤短期</v>
      </c>
    </row>
    <row r="879">
      <c r="A879" t="n" s="2909">
        <v>31</v>
      </c>
      <c r="AA879" t="n" s="2909">
        <v>21</v>
      </c>
      <c r="AB879" t="inlineStr" s="2909">
        <is>
          <t>20230401</t>
        </is>
      </c>
      <c r="AD879" t="n" s="2909">
        <v>12</v>
      </c>
      <c r="AE879" t="inlineStr" s="2909">
        <is>
          <t>20250501</t>
        </is>
      </c>
      <c r="AH879" t="n" s="2909">
        <v>1</v>
      </c>
      <c r="AJ879" t="n" s="2909">
        <v>41</v>
      </c>
      <c r="AP879" t="n" s="2909">
        <v>126000</v>
      </c>
      <c r="DB879" s="2909" t="str">
        <f>IF($A879="","",IF($AE879&amp;""&lt;&gt;'DB_設定'!$C$4,"対象外",IF($AH879=20,IF(OR($AJ879=10,$AJ879=11,$AJ879=18),"①病院一般",IF($AJ879=41,"②病院短期","対象外")),IF($AH879=5,IF($AJ879=30,"③特定消防","対象外"),IF(OR($AJ879=10,$AJ879=11,$AJ879=74),"④一般",IF(OR($AJ879=41,$AJ879=47),"⑤短期","対象外"))))))</f>
        <v>対象外</v>
      </c>
    </row>
    <row r="880">
      <c r="A880" t="n" s="2909">
        <v>31</v>
      </c>
      <c r="AA880" t="n" s="2909">
        <v>24</v>
      </c>
      <c r="AB880" t="inlineStr" s="2909">
        <is>
          <t>20250401</t>
        </is>
      </c>
      <c r="AD880" t="n" s="2909">
        <v>12</v>
      </c>
      <c r="AE880" t="inlineStr" s="2909">
        <is>
          <t>20250901</t>
        </is>
      </c>
      <c r="AH880" t="n" s="2909">
        <v>1</v>
      </c>
      <c r="AJ880" t="n" s="2909">
        <v>41</v>
      </c>
      <c r="AP880" t="n" s="2909">
        <v>260000</v>
      </c>
      <c r="DB880" s="2909" t="str">
        <f>IF($A880="","",IF($AE880&amp;""&lt;&gt;'DB_設定'!$C$4,"対象外",IF($AH880=20,IF(OR($AJ880=10,$AJ880=11,$AJ880=18),"①病院一般",IF($AJ880=41,"②病院短期","対象外")),IF($AH880=5,IF($AJ880=30,"③特定消防","対象外"),IF(OR($AJ880=10,$AJ880=11,$AJ880=74),"④一般",IF(OR($AJ880=41,$AJ880=47),"⑤短期","対象外"))))))</f>
        <v>対象外</v>
      </c>
    </row>
    <row r="881">
      <c r="A881" t="n" s="2909">
        <v>31</v>
      </c>
      <c r="AA881" t="n" s="2909">
        <v>21</v>
      </c>
      <c r="AB881" t="inlineStr" s="2909">
        <is>
          <t>20221001</t>
        </is>
      </c>
      <c r="AD881" t="n" s="2909">
        <v>12</v>
      </c>
      <c r="AE881" t="inlineStr" s="2909">
        <is>
          <t>20250401</t>
        </is>
      </c>
      <c r="AH881" t="n" s="2909">
        <v>1</v>
      </c>
      <c r="AJ881" t="n" s="2909">
        <v>41</v>
      </c>
      <c r="AP881" t="n" s="2909">
        <v>190000</v>
      </c>
      <c r="DB881" s="2909" t="str">
        <f>IF($A881="","",IF($AE881&amp;""&lt;&gt;'DB_設定'!$C$4,"対象外",IF($AH881=20,IF(OR($AJ881=10,$AJ881=11,$AJ881=18),"①病院一般",IF($AJ881=41,"②病院短期","対象外")),IF($AH881=5,IF($AJ881=30,"③特定消防","対象外"),IF(OR($AJ881=10,$AJ881=11,$AJ881=74),"④一般",IF(OR($AJ881=41,$AJ881=47),"⑤短期","対象外"))))))</f>
        <v>⑤短期</v>
      </c>
    </row>
    <row r="882">
      <c r="A882" t="n" s="2909">
        <v>31</v>
      </c>
      <c r="AA882" t="n" s="2909">
        <v>21</v>
      </c>
      <c r="AB882" t="inlineStr" s="2909">
        <is>
          <t>20221001</t>
        </is>
      </c>
      <c r="AD882" t="n" s="2909">
        <v>12</v>
      </c>
      <c r="AE882" t="inlineStr" s="2909">
        <is>
          <t>20250709</t>
        </is>
      </c>
      <c r="AH882" t="n" s="2909">
        <v>1</v>
      </c>
      <c r="AJ882" t="n" s="2909">
        <v>41</v>
      </c>
      <c r="AP882" t="n" s="2909">
        <v>190000</v>
      </c>
      <c r="DB882" s="2909" t="str">
        <f>IF($A882="","",IF($AE882&amp;""&lt;&gt;'DB_設定'!$C$4,"対象外",IF($AH882=20,IF(OR($AJ882=10,$AJ882=11,$AJ882=18),"①病院一般",IF($AJ882=41,"②病院短期","対象外")),IF($AH882=5,IF($AJ882=30,"③特定消防","対象外"),IF(OR($AJ882=10,$AJ882=11,$AJ882=74),"④一般",IF(OR($AJ882=41,$AJ882=47),"⑤短期","対象外"))))))</f>
        <v>対象外</v>
      </c>
    </row>
    <row r="883">
      <c r="A883" t="n" s="2909">
        <v>31</v>
      </c>
      <c r="AA883" t="n" s="2909">
        <v>21</v>
      </c>
      <c r="AB883" t="inlineStr" s="2909">
        <is>
          <t>20221001</t>
        </is>
      </c>
      <c r="AD883" t="n" s="2909">
        <v>12</v>
      </c>
      <c r="AE883" t="inlineStr" s="2909">
        <is>
          <t>20250401</t>
        </is>
      </c>
      <c r="AH883" t="n" s="2909">
        <v>11</v>
      </c>
      <c r="AJ883" t="n" s="2909">
        <v>41</v>
      </c>
      <c r="AP883" t="n" s="2909">
        <v>142000</v>
      </c>
      <c r="DB883" s="2909" t="str">
        <f>IF($A883="","",IF($AE883&amp;""&lt;&gt;'DB_設定'!$C$4,"対象外",IF($AH883=20,IF(OR($AJ883=10,$AJ883=11,$AJ883=18),"①病院一般",IF($AJ883=41,"②病院短期","対象外")),IF($AH883=5,IF($AJ883=30,"③特定消防","対象外"),IF(OR($AJ883=10,$AJ883=11,$AJ883=74),"④一般",IF(OR($AJ883=41,$AJ883=47),"⑤短期","対象外"))))))</f>
        <v>⑤短期</v>
      </c>
    </row>
    <row r="884">
      <c r="A884" t="n" s="2909">
        <v>31</v>
      </c>
      <c r="AA884" t="n" s="2909">
        <v>21</v>
      </c>
      <c r="AB884" t="inlineStr" s="2909">
        <is>
          <t>20250801</t>
        </is>
      </c>
      <c r="AD884" t="n" s="2909">
        <v>12</v>
      </c>
      <c r="AE884" t="inlineStr" s="2909">
        <is>
          <t>20250901</t>
        </is>
      </c>
      <c r="AH884" t="n" s="2909">
        <v>1</v>
      </c>
      <c r="AJ884" t="n" s="2909">
        <v>41</v>
      </c>
      <c r="AP884" t="n" s="2909">
        <v>126000</v>
      </c>
      <c r="DB884" s="2909" t="str">
        <f>IF($A884="","",IF($AE884&amp;""&lt;&gt;'DB_設定'!$C$4,"対象外",IF($AH884=20,IF(OR($AJ884=10,$AJ884=11,$AJ884=18),"①病院一般",IF($AJ884=41,"②病院短期","対象外")),IF($AH884=5,IF($AJ884=30,"③特定消防","対象外"),IF(OR($AJ884=10,$AJ884=11,$AJ884=74),"④一般",IF(OR($AJ884=41,$AJ884=47),"⑤短期","対象外"))))))</f>
        <v>対象外</v>
      </c>
    </row>
    <row r="885">
      <c r="A885" t="n" s="2909">
        <v>31</v>
      </c>
      <c r="AA885" t="n" s="2909">
        <v>21</v>
      </c>
      <c r="AB885" t="inlineStr" s="2909">
        <is>
          <t>20240101</t>
        </is>
      </c>
      <c r="AD885" t="n" s="2909">
        <v>12</v>
      </c>
      <c r="AE885" t="inlineStr" s="2909">
        <is>
          <t>20250426</t>
        </is>
      </c>
      <c r="AH885" t="n" s="2909">
        <v>1</v>
      </c>
      <c r="AJ885" t="n" s="2909">
        <v>41</v>
      </c>
      <c r="AP885" t="n" s="2909">
        <v>118000</v>
      </c>
      <c r="DB885" s="2909" t="str">
        <f>IF($A885="","",IF($AE885&amp;""&lt;&gt;'DB_設定'!$C$4,"対象外",IF($AH885=20,IF(OR($AJ885=10,$AJ885=11,$AJ885=18),"①病院一般",IF($AJ885=41,"②病院短期","対象外")),IF($AH885=5,IF($AJ885=30,"③特定消防","対象外"),IF(OR($AJ885=10,$AJ885=11,$AJ885=74),"④一般",IF(OR($AJ885=41,$AJ885=47),"⑤短期","対象外"))))))</f>
        <v>対象外</v>
      </c>
    </row>
    <row r="886">
      <c r="A886" t="n" s="2909">
        <v>31</v>
      </c>
      <c r="AA886" t="n" s="2909">
        <v>21</v>
      </c>
      <c r="AB886" t="inlineStr" s="2909">
        <is>
          <t>20221001</t>
        </is>
      </c>
      <c r="AD886" t="n" s="2909">
        <v>12</v>
      </c>
      <c r="AE886" t="inlineStr" s="2909">
        <is>
          <t>20250701</t>
        </is>
      </c>
      <c r="AH886" t="n" s="2909">
        <v>20</v>
      </c>
      <c r="AJ886" t="n" s="2909">
        <v>41</v>
      </c>
      <c r="AP886" t="n" s="2909">
        <v>200000</v>
      </c>
      <c r="DB886" s="2909" t="str">
        <f>IF($A886="","",IF($AE886&amp;""&lt;&gt;'DB_設定'!$C$4,"対象外",IF($AH886=20,IF(OR($AJ886=10,$AJ886=11,$AJ886=18),"①病院一般",IF($AJ886=41,"②病院短期","対象外")),IF($AH886=5,IF($AJ886=30,"③特定消防","対象外"),IF(OR($AJ886=10,$AJ886=11,$AJ886=74),"④一般",IF(OR($AJ886=41,$AJ886=47),"⑤短期","対象外"))))))</f>
        <v>対象外</v>
      </c>
    </row>
    <row r="887">
      <c r="A887" t="n" s="2909">
        <v>31</v>
      </c>
      <c r="AA887" t="n" s="2909">
        <v>21</v>
      </c>
      <c r="AB887" t="inlineStr" s="2909">
        <is>
          <t>20221001</t>
        </is>
      </c>
      <c r="AD887" t="n" s="2909">
        <v>12</v>
      </c>
      <c r="AE887" t="inlineStr" s="2909">
        <is>
          <t>20250401</t>
        </is>
      </c>
      <c r="AH887" t="n" s="2909">
        <v>1</v>
      </c>
      <c r="AJ887" t="n" s="2909">
        <v>41</v>
      </c>
      <c r="AP887" t="n" s="2909">
        <v>126000</v>
      </c>
      <c r="DB887" s="2909" t="str">
        <f>IF($A887="","",IF($AE887&amp;""&lt;&gt;'DB_設定'!$C$4,"対象外",IF($AH887=20,IF(OR($AJ887=10,$AJ887=11,$AJ887=18),"①病院一般",IF($AJ887=41,"②病院短期","対象外")),IF($AH887=5,IF($AJ887=30,"③特定消防","対象外"),IF(OR($AJ887=10,$AJ887=11,$AJ887=74),"④一般",IF(OR($AJ887=41,$AJ887=47),"⑤短期","対象外"))))))</f>
        <v>⑤短期</v>
      </c>
    </row>
    <row r="888">
      <c r="A888" t="n" s="2909">
        <v>31</v>
      </c>
      <c r="AA888" t="n" s="2909">
        <v>21</v>
      </c>
      <c r="AB888" t="inlineStr" s="2909">
        <is>
          <t>20221001</t>
        </is>
      </c>
      <c r="AD888" t="n" s="2909">
        <v>12</v>
      </c>
      <c r="AE888" t="inlineStr" s="2909">
        <is>
          <t>20250401</t>
        </is>
      </c>
      <c r="AH888" t="n" s="2909">
        <v>1</v>
      </c>
      <c r="AJ888" t="n" s="2909">
        <v>41</v>
      </c>
      <c r="AP888" t="n" s="2909">
        <v>118000</v>
      </c>
      <c r="DB888" s="2909" t="str">
        <f>IF($A888="","",IF($AE888&amp;""&lt;&gt;'DB_設定'!$C$4,"対象外",IF($AH888=20,IF(OR($AJ888=10,$AJ888=11,$AJ888=18),"①病院一般",IF($AJ888=41,"②病院短期","対象外")),IF($AH888=5,IF($AJ888=30,"③特定消防","対象外"),IF(OR($AJ888=10,$AJ888=11,$AJ888=74),"④一般",IF(OR($AJ888=41,$AJ888=47),"⑤短期","対象外"))))))</f>
        <v>⑤短期</v>
      </c>
    </row>
    <row r="889">
      <c r="A889" t="n" s="2909">
        <v>31</v>
      </c>
      <c r="AA889" t="n" s="2909">
        <v>21</v>
      </c>
      <c r="AB889" t="inlineStr" s="2909">
        <is>
          <t>20221001</t>
        </is>
      </c>
      <c r="AD889" t="n" s="2909">
        <v>12</v>
      </c>
      <c r="AE889" t="inlineStr" s="2909">
        <is>
          <t>20250401</t>
        </is>
      </c>
      <c r="AH889" t="n" s="2909">
        <v>1</v>
      </c>
      <c r="AJ889" t="n" s="2909">
        <v>41</v>
      </c>
      <c r="AP889" t="n" s="2909">
        <v>200000</v>
      </c>
      <c r="DB889" s="2909" t="str">
        <f>IF($A889="","",IF($AE889&amp;""&lt;&gt;'DB_設定'!$C$4,"対象外",IF($AH889=20,IF(OR($AJ889=10,$AJ889=11,$AJ889=18),"①病院一般",IF($AJ889=41,"②病院短期","対象外")),IF($AH889=5,IF($AJ889=30,"③特定消防","対象外"),IF(OR($AJ889=10,$AJ889=11,$AJ889=74),"④一般",IF(OR($AJ889=41,$AJ889=47),"⑤短期","対象外"))))))</f>
        <v>⑤短期</v>
      </c>
    </row>
    <row r="890">
      <c r="A890" t="n" s="2909">
        <v>31</v>
      </c>
      <c r="AA890" t="n" s="2909">
        <v>21</v>
      </c>
      <c r="AB890" t="inlineStr" s="2909">
        <is>
          <t>20221001</t>
        </is>
      </c>
      <c r="AD890" t="n" s="2909">
        <v>11</v>
      </c>
      <c r="AE890" t="inlineStr" s="2909">
        <is>
          <t>20250401</t>
        </is>
      </c>
      <c r="AH890" t="n" s="2909">
        <v>1</v>
      </c>
      <c r="AJ890" t="n" s="2909">
        <v>41</v>
      </c>
      <c r="AP890" t="n" s="2909">
        <v>190000</v>
      </c>
      <c r="DB890" s="2909" t="str">
        <f>IF($A890="","",IF($AE890&amp;""&lt;&gt;'DB_設定'!$C$4,"対象外",IF($AH890=20,IF(OR($AJ890=10,$AJ890=11,$AJ890=18),"①病院一般",IF($AJ890=41,"②病院短期","対象外")),IF($AH890=5,IF($AJ890=30,"③特定消防","対象外"),IF(OR($AJ890=10,$AJ890=11,$AJ890=74),"④一般",IF(OR($AJ890=41,$AJ890=47),"⑤短期","対象外"))))))</f>
        <v>⑤短期</v>
      </c>
    </row>
    <row r="891">
      <c r="A891" t="n" s="2909">
        <v>31</v>
      </c>
      <c r="AA891" t="n" s="2909">
        <v>24</v>
      </c>
      <c r="AB891" t="inlineStr" s="2909">
        <is>
          <t>20250401</t>
        </is>
      </c>
      <c r="AD891" t="n" s="2909">
        <v>12</v>
      </c>
      <c r="AE891" t="inlineStr" s="2909">
        <is>
          <t>20251001</t>
        </is>
      </c>
      <c r="AH891" t="n" s="2909">
        <v>27</v>
      </c>
      <c r="AJ891" t="n" s="2909">
        <v>41</v>
      </c>
      <c r="AP891" t="n" s="2909">
        <v>200000</v>
      </c>
      <c r="DB891" s="2909" t="str">
        <f>IF($A891="","",IF($AE891&amp;""&lt;&gt;'DB_設定'!$C$4,"対象外",IF($AH891=20,IF(OR($AJ891=10,$AJ891=11,$AJ891=18),"①病院一般",IF($AJ891=41,"②病院短期","対象外")),IF($AH891=5,IF($AJ891=30,"③特定消防","対象外"),IF(OR($AJ891=10,$AJ891=11,$AJ891=74),"④一般",IF(OR($AJ891=41,$AJ891=47),"⑤短期","対象外"))))))</f>
        <v>対象外</v>
      </c>
    </row>
    <row r="892">
      <c r="A892" t="n" s="2909">
        <v>31</v>
      </c>
      <c r="AA892" t="n" s="2909">
        <v>21</v>
      </c>
      <c r="AB892" t="inlineStr" s="2909">
        <is>
          <t>20230401</t>
        </is>
      </c>
      <c r="AD892" t="n" s="2909">
        <v>12</v>
      </c>
      <c r="AE892" t="inlineStr" s="2909">
        <is>
          <t>20250401</t>
        </is>
      </c>
      <c r="AH892" t="n" s="2909">
        <v>1</v>
      </c>
      <c r="AJ892" t="n" s="2909">
        <v>41</v>
      </c>
      <c r="AP892" t="n" s="2909">
        <v>118000</v>
      </c>
      <c r="DB892" s="2909" t="str">
        <f>IF($A892="","",IF($AE892&amp;""&lt;&gt;'DB_設定'!$C$4,"対象外",IF($AH892=20,IF(OR($AJ892=10,$AJ892=11,$AJ892=18),"①病院一般",IF($AJ892=41,"②病院短期","対象外")),IF($AH892=5,IF($AJ892=30,"③特定消防","対象外"),IF(OR($AJ892=10,$AJ892=11,$AJ892=74),"④一般",IF(OR($AJ892=41,$AJ892=47),"⑤短期","対象外"))))))</f>
        <v>⑤短期</v>
      </c>
    </row>
    <row r="893">
      <c r="A893" t="n" s="2909">
        <v>31</v>
      </c>
      <c r="AA893" t="n" s="2909">
        <v>21</v>
      </c>
      <c r="AB893" t="inlineStr" s="2909">
        <is>
          <t>20221001</t>
        </is>
      </c>
      <c r="AD893" t="n" s="2909">
        <v>12</v>
      </c>
      <c r="AE893" t="inlineStr" s="2909">
        <is>
          <t>20250401</t>
        </is>
      </c>
      <c r="AH893" t="n" s="2909">
        <v>1</v>
      </c>
      <c r="AJ893" t="n" s="2909">
        <v>41</v>
      </c>
      <c r="AP893" t="n" s="2909">
        <v>134000</v>
      </c>
      <c r="DB893" s="2909" t="str">
        <f>IF($A893="","",IF($AE893&amp;""&lt;&gt;'DB_設定'!$C$4,"対象外",IF($AH893=20,IF(OR($AJ893=10,$AJ893=11,$AJ893=18),"①病院一般",IF($AJ893=41,"②病院短期","対象外")),IF($AH893=5,IF($AJ893=30,"③特定消防","対象外"),IF(OR($AJ893=10,$AJ893=11,$AJ893=74),"④一般",IF(OR($AJ893=41,$AJ893=47),"⑤短期","対象外"))))))</f>
        <v>⑤短期</v>
      </c>
    </row>
    <row r="894">
      <c r="A894" t="n" s="2909">
        <v>31</v>
      </c>
      <c r="AA894" t="n" s="2909">
        <v>21</v>
      </c>
      <c r="AB894" t="inlineStr" s="2909">
        <is>
          <t>20200401</t>
        </is>
      </c>
      <c r="AD894" t="n" s="2909">
        <v>12</v>
      </c>
      <c r="AE894" t="inlineStr" s="2909">
        <is>
          <t>20250801</t>
        </is>
      </c>
      <c r="AH894" t="n" s="2909">
        <v>1</v>
      </c>
      <c r="AJ894" t="n" s="2909">
        <v>10</v>
      </c>
      <c r="AP894" t="n" s="2909">
        <v>240000</v>
      </c>
      <c r="DB894" s="2909" t="str">
        <f>IF($A894="","",IF($AE894&amp;""&lt;&gt;'DB_設定'!$C$4,"対象外",IF($AH894=20,IF(OR($AJ894=10,$AJ894=11,$AJ894=18),"①病院一般",IF($AJ894=41,"②病院短期","対象外")),IF($AH894=5,IF($AJ894=30,"③特定消防","対象外"),IF(OR($AJ894=10,$AJ894=11,$AJ894=74),"④一般",IF(OR($AJ894=41,$AJ894=47),"⑤短期","対象外"))))))</f>
        <v>対象外</v>
      </c>
    </row>
    <row r="895">
      <c r="A895" t="n" s="2909">
        <v>31</v>
      </c>
      <c r="AA895" t="n" s="2909">
        <v>21</v>
      </c>
      <c r="AB895" t="inlineStr" s="2909">
        <is>
          <t>20240401</t>
        </is>
      </c>
      <c r="AD895" t="n" s="2909">
        <v>12</v>
      </c>
      <c r="AE895" t="inlineStr" s="2909">
        <is>
          <t>20250401</t>
        </is>
      </c>
      <c r="AH895" t="n" s="2909">
        <v>1</v>
      </c>
      <c r="AJ895" t="n" s="2909">
        <v>41</v>
      </c>
      <c r="AP895" t="n" s="2909">
        <v>118000</v>
      </c>
      <c r="DB895" s="2909" t="str">
        <f>IF($A895="","",IF($AE895&amp;""&lt;&gt;'DB_設定'!$C$4,"対象外",IF($AH895=20,IF(OR($AJ895=10,$AJ895=11,$AJ895=18),"①病院一般",IF($AJ895=41,"②病院短期","対象外")),IF($AH895=5,IF($AJ895=30,"③特定消防","対象外"),IF(OR($AJ895=10,$AJ895=11,$AJ895=74),"④一般",IF(OR($AJ895=41,$AJ895=47),"⑤短期","対象外"))))))</f>
        <v>⑤短期</v>
      </c>
    </row>
    <row r="896">
      <c r="A896" t="n" s="2909">
        <v>31</v>
      </c>
      <c r="AA896" t="n" s="2909">
        <v>24</v>
      </c>
      <c r="AB896" t="inlineStr" s="2909">
        <is>
          <t>20250403</t>
        </is>
      </c>
      <c r="AD896" t="n" s="2909">
        <v>12</v>
      </c>
      <c r="AE896" t="inlineStr" s="2909">
        <is>
          <t>20250801</t>
        </is>
      </c>
      <c r="AH896" t="n" s="2909">
        <v>11</v>
      </c>
      <c r="AJ896" t="n" s="2909">
        <v>41</v>
      </c>
      <c r="AP896" t="n" s="2909">
        <v>170000</v>
      </c>
      <c r="DB896" s="2909" t="str">
        <f>IF($A896="","",IF($AE896&amp;""&lt;&gt;'DB_設定'!$C$4,"対象外",IF($AH896=20,IF(OR($AJ896=10,$AJ896=11,$AJ896=18),"①病院一般",IF($AJ896=41,"②病院短期","対象外")),IF($AH896=5,IF($AJ896=30,"③特定消防","対象外"),IF(OR($AJ896=10,$AJ896=11,$AJ896=74),"④一般",IF(OR($AJ896=41,$AJ896=47),"⑤短期","対象外"))))))</f>
        <v>対象外</v>
      </c>
    </row>
    <row r="897">
      <c r="A897" t="n" s="2909">
        <v>31</v>
      </c>
      <c r="AA897" t="n" s="2909">
        <v>21</v>
      </c>
      <c r="AB897" t="inlineStr" s="2909">
        <is>
          <t>20221001</t>
        </is>
      </c>
      <c r="AD897" t="n" s="2909">
        <v>12</v>
      </c>
      <c r="AE897" t="inlineStr" s="2909">
        <is>
          <t>20250401</t>
        </is>
      </c>
      <c r="AH897" t="n" s="2909">
        <v>11</v>
      </c>
      <c r="AJ897" t="n" s="2909">
        <v>41</v>
      </c>
      <c r="AP897" t="n" s="2909">
        <v>180000</v>
      </c>
      <c r="DB897" s="2909" t="str">
        <f>IF($A897="","",IF($AE897&amp;""&lt;&gt;'DB_設定'!$C$4,"対象外",IF($AH897=20,IF(OR($AJ897=10,$AJ897=11,$AJ897=18),"①病院一般",IF($AJ897=41,"②病院短期","対象外")),IF($AH897=5,IF($AJ897=30,"③特定消防","対象外"),IF(OR($AJ897=10,$AJ897=11,$AJ897=74),"④一般",IF(OR($AJ897=41,$AJ897=47),"⑤短期","対象外"))))))</f>
        <v>⑤短期</v>
      </c>
    </row>
    <row r="898">
      <c r="A898" t="n" s="2909">
        <v>31</v>
      </c>
      <c r="AA898" t="n" s="2909">
        <v>21</v>
      </c>
      <c r="AB898" t="inlineStr" s="2909">
        <is>
          <t>20221001</t>
        </is>
      </c>
      <c r="AD898" t="n" s="2909">
        <v>12</v>
      </c>
      <c r="AE898" t="inlineStr" s="2909">
        <is>
          <t>20250701</t>
        </is>
      </c>
      <c r="AH898" t="n" s="2909">
        <v>20</v>
      </c>
      <c r="AJ898" t="n" s="2909">
        <v>41</v>
      </c>
      <c r="AP898" t="n" s="2909">
        <v>220000</v>
      </c>
      <c r="DB898" s="2909" t="str">
        <f>IF($A898="","",IF($AE898&amp;""&lt;&gt;'DB_設定'!$C$4,"対象外",IF($AH898=20,IF(OR($AJ898=10,$AJ898=11,$AJ898=18),"①病院一般",IF($AJ898=41,"②病院短期","対象外")),IF($AH898=5,IF($AJ898=30,"③特定消防","対象外"),IF(OR($AJ898=10,$AJ898=11,$AJ898=74),"④一般",IF(OR($AJ898=41,$AJ898=47),"⑤短期","対象外"))))))</f>
        <v>対象外</v>
      </c>
    </row>
    <row r="899">
      <c r="A899" t="n" s="2909">
        <v>31</v>
      </c>
      <c r="AA899" t="n" s="2909">
        <v>21</v>
      </c>
      <c r="AB899" t="inlineStr" s="2909">
        <is>
          <t>20221001</t>
        </is>
      </c>
      <c r="AD899" t="n" s="2909">
        <v>12</v>
      </c>
      <c r="AE899" t="inlineStr" s="2909">
        <is>
          <t>20250801</t>
        </is>
      </c>
      <c r="AH899" t="n" s="2909">
        <v>20</v>
      </c>
      <c r="AJ899" t="n" s="2909">
        <v>41</v>
      </c>
      <c r="AP899" t="n" s="2909">
        <v>220000</v>
      </c>
      <c r="DB899" s="2909" t="str">
        <f>IF($A899="","",IF($AE899&amp;""&lt;&gt;'DB_設定'!$C$4,"対象外",IF($AH899=20,IF(OR($AJ899=10,$AJ899=11,$AJ899=18),"①病院一般",IF($AJ899=41,"②病院短期","対象外")),IF($AH899=5,IF($AJ899=30,"③特定消防","対象外"),IF(OR($AJ899=10,$AJ899=11,$AJ899=74),"④一般",IF(OR($AJ899=41,$AJ899=47),"⑤短期","対象外"))))))</f>
        <v>対象外</v>
      </c>
    </row>
    <row r="900">
      <c r="A900" t="n" s="2909">
        <v>31</v>
      </c>
      <c r="AA900" t="n" s="2909">
        <v>21</v>
      </c>
      <c r="AB900" t="inlineStr" s="2909">
        <is>
          <t>20221001</t>
        </is>
      </c>
      <c r="AD900" t="n" s="2909">
        <v>12</v>
      </c>
      <c r="AE900" t="inlineStr" s="2909">
        <is>
          <t>20250401</t>
        </is>
      </c>
      <c r="AH900" t="n" s="2909">
        <v>20</v>
      </c>
      <c r="AJ900" t="n" s="2909">
        <v>41</v>
      </c>
      <c r="AP900" t="n" s="2909">
        <v>220000</v>
      </c>
      <c r="DB900" s="2909" t="str">
        <f>IF($A900="","",IF($AE900&amp;""&lt;&gt;'DB_設定'!$C$4,"対象外",IF($AH900=20,IF(OR($AJ900=10,$AJ900=11,$AJ900=18),"①病院一般",IF($AJ900=41,"②病院短期","対象外")),IF($AH900=5,IF($AJ900=30,"③特定消防","対象外"),IF(OR($AJ900=10,$AJ900=11,$AJ900=74),"④一般",IF(OR($AJ900=41,$AJ900=47),"⑤短期","対象外"))))))</f>
        <v>②病院短期</v>
      </c>
    </row>
    <row r="901">
      <c r="A901" t="n" s="2909">
        <v>31</v>
      </c>
      <c r="AA901" t="n" s="2909">
        <v>21</v>
      </c>
      <c r="AB901" t="inlineStr" s="2909">
        <is>
          <t>20221001</t>
        </is>
      </c>
      <c r="AD901" t="n" s="2909">
        <v>12</v>
      </c>
      <c r="AE901" t="inlineStr" s="2909">
        <is>
          <t>20250501</t>
        </is>
      </c>
      <c r="AH901" t="n" s="2909">
        <v>20</v>
      </c>
      <c r="AJ901" t="n" s="2909">
        <v>41</v>
      </c>
      <c r="AP901" t="n" s="2909">
        <v>260000</v>
      </c>
      <c r="DB901" s="2909" t="str">
        <f>IF($A901="","",IF($AE901&amp;""&lt;&gt;'DB_設定'!$C$4,"対象外",IF($AH901=20,IF(OR($AJ901=10,$AJ901=11,$AJ901=18),"①病院一般",IF($AJ901=41,"②病院短期","対象外")),IF($AH901=5,IF($AJ901=30,"③特定消防","対象外"),IF(OR($AJ901=10,$AJ901=11,$AJ901=74),"④一般",IF(OR($AJ901=41,$AJ901=47),"⑤短期","対象外"))))))</f>
        <v>対象外</v>
      </c>
    </row>
    <row r="902">
      <c r="A902" t="n" s="2909">
        <v>31</v>
      </c>
      <c r="AA902" t="n" s="2909">
        <v>21</v>
      </c>
      <c r="AB902" t="inlineStr" s="2909">
        <is>
          <t>20221001</t>
        </is>
      </c>
      <c r="AD902" t="n" s="2909">
        <v>12</v>
      </c>
      <c r="AE902" t="inlineStr" s="2909">
        <is>
          <t>20251006</t>
        </is>
      </c>
      <c r="AH902" t="n" s="2909">
        <v>1</v>
      </c>
      <c r="AJ902" t="n" s="2909">
        <v>41</v>
      </c>
      <c r="AP902" t="n" s="2909">
        <v>200000</v>
      </c>
      <c r="DB902" s="2909" t="str">
        <f>IF($A902="","",IF($AE902&amp;""&lt;&gt;'DB_設定'!$C$4,"対象外",IF($AH902=20,IF(OR($AJ902=10,$AJ902=11,$AJ902=18),"①病院一般",IF($AJ902=41,"②病院短期","対象外")),IF($AH902=5,IF($AJ902=30,"③特定消防","対象外"),IF(OR($AJ902=10,$AJ902=11,$AJ902=74),"④一般",IF(OR($AJ902=41,$AJ902=47),"⑤短期","対象外"))))))</f>
        <v>対象外</v>
      </c>
    </row>
    <row r="903">
      <c r="A903" t="n" s="2909">
        <v>31</v>
      </c>
      <c r="AA903" t="n" s="2909">
        <v>21</v>
      </c>
      <c r="AB903" t="inlineStr" s="2909">
        <is>
          <t>20221001</t>
        </is>
      </c>
      <c r="AD903" t="n" s="2909">
        <v>12</v>
      </c>
      <c r="AE903" t="inlineStr" s="2909">
        <is>
          <t>20250401</t>
        </is>
      </c>
      <c r="AH903" t="n" s="2909">
        <v>1</v>
      </c>
      <c r="AJ903" t="n" s="2909">
        <v>41</v>
      </c>
      <c r="AP903" t="n" s="2909">
        <v>200000</v>
      </c>
      <c r="DB903" s="2909" t="str">
        <f>IF($A903="","",IF($AE903&amp;""&lt;&gt;'DB_設定'!$C$4,"対象外",IF($AH903=20,IF(OR($AJ903=10,$AJ903=11,$AJ903=18),"①病院一般",IF($AJ903=41,"②病院短期","対象外")),IF($AH903=5,IF($AJ903=30,"③特定消防","対象外"),IF(OR($AJ903=10,$AJ903=11,$AJ903=74),"④一般",IF(OR($AJ903=41,$AJ903=47),"⑤短期","対象外"))))))</f>
        <v>⑤短期</v>
      </c>
    </row>
    <row r="904">
      <c r="A904" t="n" s="2909">
        <v>31</v>
      </c>
      <c r="AA904" t="n" s="2909">
        <v>21</v>
      </c>
      <c r="AB904" t="inlineStr" s="2909">
        <is>
          <t>20210401</t>
        </is>
      </c>
      <c r="AD904" t="n" s="2909">
        <v>12</v>
      </c>
      <c r="AE904" t="inlineStr" s="2909">
        <is>
          <t>20250401</t>
        </is>
      </c>
      <c r="AH904" t="n" s="2909">
        <v>1</v>
      </c>
      <c r="AJ904" t="n" s="2909">
        <v>10</v>
      </c>
      <c r="AP904" t="n" s="2909">
        <v>240000</v>
      </c>
      <c r="DB904" s="2909" t="str">
        <f>IF($A904="","",IF($AE904&amp;""&lt;&gt;'DB_設定'!$C$4,"対象外",IF($AH904=20,IF(OR($AJ904=10,$AJ904=11,$AJ904=18),"①病院一般",IF($AJ904=41,"②病院短期","対象外")),IF($AH904=5,IF($AJ904=30,"③特定消防","対象外"),IF(OR($AJ904=10,$AJ904=11,$AJ904=74),"④一般",IF(OR($AJ904=41,$AJ904=47),"⑤短期","対象外"))))))</f>
        <v>④一般</v>
      </c>
    </row>
    <row r="905">
      <c r="A905" t="n" s="2909">
        <v>31</v>
      </c>
      <c r="AA905" t="n" s="2909">
        <v>21</v>
      </c>
      <c r="AB905" t="inlineStr" s="2909">
        <is>
          <t>20221001</t>
        </is>
      </c>
      <c r="AD905" t="n" s="2909">
        <v>11</v>
      </c>
      <c r="AE905" t="inlineStr" s="2909">
        <is>
          <t>20250401</t>
        </is>
      </c>
      <c r="AH905" t="n" s="2909">
        <v>1</v>
      </c>
      <c r="AJ905" t="n" s="2909">
        <v>41</v>
      </c>
      <c r="AP905" t="n" s="2909">
        <v>180000</v>
      </c>
      <c r="DB905" s="2909" t="str">
        <f>IF($A905="","",IF($AE905&amp;""&lt;&gt;'DB_設定'!$C$4,"対象外",IF($AH905=20,IF(OR($AJ905=10,$AJ905=11,$AJ905=18),"①病院一般",IF($AJ905=41,"②病院短期","対象外")),IF($AH905=5,IF($AJ905=30,"③特定消防","対象外"),IF(OR($AJ905=10,$AJ905=11,$AJ905=74),"④一般",IF(OR($AJ905=41,$AJ905=47),"⑤短期","対象外"))))))</f>
        <v>⑤短期</v>
      </c>
    </row>
    <row r="906">
      <c r="A906" t="n" s="2909">
        <v>31</v>
      </c>
      <c r="AA906" t="n" s="2909">
        <v>24</v>
      </c>
      <c r="AB906" t="inlineStr" s="2909">
        <is>
          <t>20250601</t>
        </is>
      </c>
      <c r="AD906" t="n" s="2909">
        <v>12</v>
      </c>
      <c r="AE906" t="inlineStr" s="2909">
        <is>
          <t>20251001</t>
        </is>
      </c>
      <c r="AH906" t="n" s="2909">
        <v>1</v>
      </c>
      <c r="AJ906" t="n" s="2909">
        <v>41</v>
      </c>
      <c r="AP906" t="n" s="2909">
        <v>150000</v>
      </c>
      <c r="DB906" s="2909" t="str">
        <f>IF($A906="","",IF($AE906&amp;""&lt;&gt;'DB_設定'!$C$4,"対象外",IF($AH906=20,IF(OR($AJ906=10,$AJ906=11,$AJ906=18),"①病院一般",IF($AJ906=41,"②病院短期","対象外")),IF($AH906=5,IF($AJ906=30,"③特定消防","対象外"),IF(OR($AJ906=10,$AJ906=11,$AJ906=74),"④一般",IF(OR($AJ906=41,$AJ906=47),"⑤短期","対象外"))))))</f>
        <v>対象外</v>
      </c>
    </row>
    <row r="907">
      <c r="A907" t="n" s="2909">
        <v>31</v>
      </c>
      <c r="AA907" t="n" s="2909">
        <v>21</v>
      </c>
      <c r="AB907" t="inlineStr" s="2909">
        <is>
          <t>20240606</t>
        </is>
      </c>
      <c r="AD907" t="n" s="2909">
        <v>12</v>
      </c>
      <c r="AE907" t="inlineStr" s="2909">
        <is>
          <t>20250401</t>
        </is>
      </c>
      <c r="AH907" t="n" s="2909">
        <v>1</v>
      </c>
      <c r="AJ907" t="n" s="2909">
        <v>41</v>
      </c>
      <c r="AP907" t="n" s="2909">
        <v>134000</v>
      </c>
      <c r="DB907" s="2909" t="str">
        <f>IF($A907="","",IF($AE907&amp;""&lt;&gt;'DB_設定'!$C$4,"対象外",IF($AH907=20,IF(OR($AJ907=10,$AJ907=11,$AJ907=18),"①病院一般",IF($AJ907=41,"②病院短期","対象外")),IF($AH907=5,IF($AJ907=30,"③特定消防","対象外"),IF(OR($AJ907=10,$AJ907=11,$AJ907=74),"④一般",IF(OR($AJ907=41,$AJ907=47),"⑤短期","対象外"))))))</f>
        <v>⑤短期</v>
      </c>
    </row>
    <row r="908">
      <c r="A908" t="n" s="2909">
        <v>31</v>
      </c>
      <c r="AA908" t="n" s="2909">
        <v>24</v>
      </c>
      <c r="AB908" t="inlineStr" s="2909">
        <is>
          <t>20250401</t>
        </is>
      </c>
      <c r="AD908" t="n" s="2909">
        <v>12</v>
      </c>
      <c r="AE908" t="inlineStr" s="2909">
        <is>
          <t>20251001</t>
        </is>
      </c>
      <c r="AH908" t="n" s="2909">
        <v>1</v>
      </c>
      <c r="AJ908" t="n" s="2909">
        <v>41</v>
      </c>
      <c r="AP908" t="n" s="2909">
        <v>142000</v>
      </c>
      <c r="DB908" s="2909" t="str">
        <f>IF($A908="","",IF($AE908&amp;""&lt;&gt;'DB_設定'!$C$4,"対象外",IF($AH908=20,IF(OR($AJ908=10,$AJ908=11,$AJ908=18),"①病院一般",IF($AJ908=41,"②病院短期","対象外")),IF($AH908=5,IF($AJ908=30,"③特定消防","対象外"),IF(OR($AJ908=10,$AJ908=11,$AJ908=74),"④一般",IF(OR($AJ908=41,$AJ908=47),"⑤短期","対象外"))))))</f>
        <v>対象外</v>
      </c>
    </row>
    <row r="909">
      <c r="A909" t="n" s="2909">
        <v>31</v>
      </c>
      <c r="AA909" t="n" s="2909">
        <v>21</v>
      </c>
      <c r="AB909" t="inlineStr" s="2909">
        <is>
          <t>20241101</t>
        </is>
      </c>
      <c r="AD909" t="n" s="2909">
        <v>12</v>
      </c>
      <c r="AE909" t="inlineStr" s="2909">
        <is>
          <t>20250401</t>
        </is>
      </c>
      <c r="AH909" t="n" s="2909">
        <v>1</v>
      </c>
      <c r="AJ909" t="n" s="2909">
        <v>41</v>
      </c>
      <c r="AP909" t="n" s="2909">
        <v>134000</v>
      </c>
      <c r="DB909" s="2909" t="str">
        <f>IF($A909="","",IF($AE909&amp;""&lt;&gt;'DB_設定'!$C$4,"対象外",IF($AH909=20,IF(OR($AJ909=10,$AJ909=11,$AJ909=18),"①病院一般",IF($AJ909=41,"②病院短期","対象外")),IF($AH909=5,IF($AJ909=30,"③特定消防","対象外"),IF(OR($AJ909=10,$AJ909=11,$AJ909=74),"④一般",IF(OR($AJ909=41,$AJ909=47),"⑤短期","対象外"))))))</f>
        <v>⑤短期</v>
      </c>
    </row>
    <row r="910">
      <c r="A910" t="n" s="2909">
        <v>31</v>
      </c>
      <c r="AA910" t="n" s="2909">
        <v>21</v>
      </c>
      <c r="AB910" t="inlineStr" s="2909">
        <is>
          <t>20250410</t>
        </is>
      </c>
      <c r="AD910" t="n" s="2909">
        <v>12</v>
      </c>
      <c r="AE910" t="inlineStr" s="2909">
        <is>
          <t>20250701</t>
        </is>
      </c>
      <c r="AH910" t="n" s="2909">
        <v>11</v>
      </c>
      <c r="AJ910" t="n" s="2909">
        <v>41</v>
      </c>
      <c r="AP910" t="n" s="2909">
        <v>126000</v>
      </c>
      <c r="DB910" s="2909" t="str">
        <f>IF($A910="","",IF($AE910&amp;""&lt;&gt;'DB_設定'!$C$4,"対象外",IF($AH910=20,IF(OR($AJ910=10,$AJ910=11,$AJ910=18),"①病院一般",IF($AJ910=41,"②病院短期","対象外")),IF($AH910=5,IF($AJ910=30,"③特定消防","対象外"),IF(OR($AJ910=10,$AJ910=11,$AJ910=74),"④一般",IF(OR($AJ910=41,$AJ910=47),"⑤短期","対象外"))))))</f>
        <v>対象外</v>
      </c>
    </row>
    <row r="911">
      <c r="A911" t="n" s="2909">
        <v>31</v>
      </c>
      <c r="AA911" t="n" s="2909">
        <v>21</v>
      </c>
      <c r="AB911" t="inlineStr" s="2909">
        <is>
          <t>20221001</t>
        </is>
      </c>
      <c r="AD911" t="n" s="2909">
        <v>12</v>
      </c>
      <c r="AE911" t="inlineStr" s="2909">
        <is>
          <t>20250401</t>
        </is>
      </c>
      <c r="AH911" t="n" s="2909">
        <v>1</v>
      </c>
      <c r="AJ911" t="n" s="2909">
        <v>41</v>
      </c>
      <c r="AP911" t="n" s="2909">
        <v>260000</v>
      </c>
      <c r="DB911" s="2909" t="str">
        <f>IF($A911="","",IF($AE911&amp;""&lt;&gt;'DB_設定'!$C$4,"対象外",IF($AH911=20,IF(OR($AJ911=10,$AJ911=11,$AJ911=18),"①病院一般",IF($AJ911=41,"②病院短期","対象外")),IF($AH911=5,IF($AJ911=30,"③特定消防","対象外"),IF(OR($AJ911=10,$AJ911=11,$AJ911=74),"④一般",IF(OR($AJ911=41,$AJ911=47),"⑤短期","対象外"))))))</f>
        <v>⑤短期</v>
      </c>
    </row>
    <row r="912">
      <c r="A912" t="n" s="2909">
        <v>31</v>
      </c>
      <c r="AA912" t="n" s="2909">
        <v>24</v>
      </c>
      <c r="AB912" t="inlineStr" s="2909">
        <is>
          <t>20241201</t>
        </is>
      </c>
      <c r="AD912" t="n" s="2909">
        <v>12</v>
      </c>
      <c r="AE912" t="inlineStr" s="2909">
        <is>
          <t>20250401</t>
        </is>
      </c>
      <c r="AH912" t="n" s="2909">
        <v>1</v>
      </c>
      <c r="AJ912" t="n" s="2909">
        <v>41</v>
      </c>
      <c r="AP912" t="n" s="2909">
        <v>134000</v>
      </c>
      <c r="DB912" s="2909" t="str">
        <f>IF($A912="","",IF($AE912&amp;""&lt;&gt;'DB_設定'!$C$4,"対象外",IF($AH912=20,IF(OR($AJ912=10,$AJ912=11,$AJ912=18),"①病院一般",IF($AJ912=41,"②病院短期","対象外")),IF($AH912=5,IF($AJ912=30,"③特定消防","対象外"),IF(OR($AJ912=10,$AJ912=11,$AJ912=74),"④一般",IF(OR($AJ912=41,$AJ912=47),"⑤短期","対象外"))))))</f>
        <v>⑤短期</v>
      </c>
    </row>
    <row r="913">
      <c r="A913" t="n" s="2909">
        <v>31</v>
      </c>
      <c r="AA913" t="n" s="2909">
        <v>24</v>
      </c>
      <c r="AB913" t="inlineStr" s="2909">
        <is>
          <t>20250301</t>
        </is>
      </c>
      <c r="AD913" t="n" s="2909">
        <v>12</v>
      </c>
      <c r="AE913" t="inlineStr" s="2909">
        <is>
          <t>20250901</t>
        </is>
      </c>
      <c r="AH913" t="n" s="2909">
        <v>1</v>
      </c>
      <c r="AJ913" t="n" s="2909">
        <v>41</v>
      </c>
      <c r="AP913" t="n" s="2909">
        <v>134000</v>
      </c>
      <c r="DB913" s="2909" t="str">
        <f>IF($A913="","",IF($AE913&amp;""&lt;&gt;'DB_設定'!$C$4,"対象外",IF($AH913=20,IF(OR($AJ913=10,$AJ913=11,$AJ913=18),"①病院一般",IF($AJ913=41,"②病院短期","対象外")),IF($AH913=5,IF($AJ913=30,"③特定消防","対象外"),IF(OR($AJ913=10,$AJ913=11,$AJ913=74),"④一般",IF(OR($AJ913=41,$AJ913=47),"⑤短期","対象外"))))))</f>
        <v>対象外</v>
      </c>
    </row>
    <row r="914">
      <c r="A914" t="n" s="2909">
        <v>31</v>
      </c>
      <c r="AA914" t="n" s="2909">
        <v>21</v>
      </c>
      <c r="AB914" t="inlineStr" s="2909">
        <is>
          <t>20221001</t>
        </is>
      </c>
      <c r="AD914" t="n" s="2909">
        <v>12</v>
      </c>
      <c r="AE914" t="inlineStr" s="2909">
        <is>
          <t>20250801</t>
        </is>
      </c>
      <c r="AH914" t="n" s="2909">
        <v>20</v>
      </c>
      <c r="AJ914" t="n" s="2909">
        <v>41</v>
      </c>
      <c r="AP914" t="n" s="2909">
        <v>220000</v>
      </c>
      <c r="DB914" s="2909" t="str">
        <f>IF($A914="","",IF($AE914&amp;""&lt;&gt;'DB_設定'!$C$4,"対象外",IF($AH914=20,IF(OR($AJ914=10,$AJ914=11,$AJ914=18),"①病院一般",IF($AJ914=41,"②病院短期","対象外")),IF($AH914=5,IF($AJ914=30,"③特定消防","対象外"),IF(OR($AJ914=10,$AJ914=11,$AJ914=74),"④一般",IF(OR($AJ914=41,$AJ914=47),"⑤短期","対象外"))))))</f>
        <v>対象外</v>
      </c>
    </row>
    <row r="915">
      <c r="A915" t="n" s="2909">
        <v>31</v>
      </c>
      <c r="AA915" t="n" s="2909">
        <v>21</v>
      </c>
      <c r="AB915" t="inlineStr" s="2909">
        <is>
          <t>20221001</t>
        </is>
      </c>
      <c r="AD915" t="n" s="2909">
        <v>12</v>
      </c>
      <c r="AE915" t="inlineStr" s="2909">
        <is>
          <t>20250401</t>
        </is>
      </c>
      <c r="AH915" t="n" s="2909">
        <v>20</v>
      </c>
      <c r="AJ915" t="n" s="2909">
        <v>41</v>
      </c>
      <c r="AP915" t="n" s="2909">
        <v>220000</v>
      </c>
      <c r="DB915" s="2909" t="str">
        <f>IF($A915="","",IF($AE915&amp;""&lt;&gt;'DB_設定'!$C$4,"対象外",IF($AH915=20,IF(OR($AJ915=10,$AJ915=11,$AJ915=18),"①病院一般",IF($AJ915=41,"②病院短期","対象外")),IF($AH915=5,IF($AJ915=30,"③特定消防","対象外"),IF(OR($AJ915=10,$AJ915=11,$AJ915=74),"④一般",IF(OR($AJ915=41,$AJ915=47),"⑤短期","対象外"))))))</f>
        <v>②病院短期</v>
      </c>
    </row>
    <row r="916">
      <c r="A916" t="n" s="2909">
        <v>31</v>
      </c>
      <c r="AA916" t="n" s="2909">
        <v>21</v>
      </c>
      <c r="AB916" t="inlineStr" s="2909">
        <is>
          <t>20221001</t>
        </is>
      </c>
      <c r="AD916" t="n" s="2909">
        <v>12</v>
      </c>
      <c r="AE916" t="inlineStr" s="2909">
        <is>
          <t>20250901</t>
        </is>
      </c>
      <c r="AH916" t="n" s="2909">
        <v>20</v>
      </c>
      <c r="AJ916" t="n" s="2909">
        <v>41</v>
      </c>
      <c r="AP916" t="n" s="2909">
        <v>220000</v>
      </c>
      <c r="DB916" s="2909" t="str">
        <f>IF($A916="","",IF($AE916&amp;""&lt;&gt;'DB_設定'!$C$4,"対象外",IF($AH916=20,IF(OR($AJ916=10,$AJ916=11,$AJ916=18),"①病院一般",IF($AJ916=41,"②病院短期","対象外")),IF($AH916=5,IF($AJ916=30,"③特定消防","対象外"),IF(OR($AJ916=10,$AJ916=11,$AJ916=74),"④一般",IF(OR($AJ916=41,$AJ916=47),"⑤短期","対象外"))))))</f>
        <v>対象外</v>
      </c>
    </row>
    <row r="917">
      <c r="A917" t="n" s="2909">
        <v>31</v>
      </c>
      <c r="AA917" t="n" s="2909">
        <v>21</v>
      </c>
      <c r="AB917" t="inlineStr" s="2909">
        <is>
          <t>20221001</t>
        </is>
      </c>
      <c r="AD917" t="n" s="2909">
        <v>12</v>
      </c>
      <c r="AE917" t="inlineStr" s="2909">
        <is>
          <t>20250401</t>
        </is>
      </c>
      <c r="AH917" t="n" s="2909">
        <v>1</v>
      </c>
      <c r="AJ917" t="n" s="2909">
        <v>41</v>
      </c>
      <c r="AP917" t="n" s="2909">
        <v>170000</v>
      </c>
      <c r="DB917" s="2909" t="str">
        <f>IF($A917="","",IF($AE917&amp;""&lt;&gt;'DB_設定'!$C$4,"対象外",IF($AH917=20,IF(OR($AJ917=10,$AJ917=11,$AJ917=18),"①病院一般",IF($AJ917=41,"②病院短期","対象外")),IF($AH917=5,IF($AJ917=30,"③特定消防","対象外"),IF(OR($AJ917=10,$AJ917=11,$AJ917=74),"④一般",IF(OR($AJ917=41,$AJ917=47),"⑤短期","対象外"))))))</f>
        <v>⑤短期</v>
      </c>
    </row>
    <row r="918">
      <c r="A918" t="n" s="2909">
        <v>31</v>
      </c>
      <c r="AA918" t="n" s="2909">
        <v>21</v>
      </c>
      <c r="AB918" t="inlineStr" s="2909">
        <is>
          <t>20221001</t>
        </is>
      </c>
      <c r="AD918" t="n" s="2909">
        <v>12</v>
      </c>
      <c r="AE918" t="inlineStr" s="2909">
        <is>
          <t>20250401</t>
        </is>
      </c>
      <c r="AH918" t="n" s="2909">
        <v>1</v>
      </c>
      <c r="AJ918" t="n" s="2909">
        <v>41</v>
      </c>
      <c r="AP918" t="n" s="2909">
        <v>180000</v>
      </c>
      <c r="DB918" s="2909" t="str">
        <f>IF($A918="","",IF($AE918&amp;""&lt;&gt;'DB_設定'!$C$4,"対象外",IF($AH918=20,IF(OR($AJ918=10,$AJ918=11,$AJ918=18),"①病院一般",IF($AJ918=41,"②病院短期","対象外")),IF($AH918=5,IF($AJ918=30,"③特定消防","対象外"),IF(OR($AJ918=10,$AJ918=11,$AJ918=74),"④一般",IF(OR($AJ918=41,$AJ918=47),"⑤短期","対象外"))))))</f>
        <v>⑤短期</v>
      </c>
    </row>
    <row r="919">
      <c r="A919" t="n" s="2909">
        <v>31</v>
      </c>
      <c r="AA919" t="n" s="2909">
        <v>21</v>
      </c>
      <c r="AB919" t="inlineStr" s="2909">
        <is>
          <t>20221001</t>
        </is>
      </c>
      <c r="AD919" t="n" s="2909">
        <v>12</v>
      </c>
      <c r="AE919" t="inlineStr" s="2909">
        <is>
          <t>20250401</t>
        </is>
      </c>
      <c r="AH919" t="n" s="2909">
        <v>1</v>
      </c>
      <c r="AJ919" t="n" s="2909">
        <v>41</v>
      </c>
      <c r="AP919" t="n" s="2909">
        <v>180000</v>
      </c>
      <c r="DB919" s="2909" t="str">
        <f>IF($A919="","",IF($AE919&amp;""&lt;&gt;'DB_設定'!$C$4,"対象外",IF($AH919=20,IF(OR($AJ919=10,$AJ919=11,$AJ919=18),"①病院一般",IF($AJ919=41,"②病院短期","対象外")),IF($AH919=5,IF($AJ919=30,"③特定消防","対象外"),IF(OR($AJ919=10,$AJ919=11,$AJ919=74),"④一般",IF(OR($AJ919=41,$AJ919=47),"⑤短期","対象外"))))))</f>
        <v>⑤短期</v>
      </c>
    </row>
    <row r="920">
      <c r="A920" t="n" s="2909">
        <v>31</v>
      </c>
      <c r="AA920" t="n" s="2909">
        <v>24</v>
      </c>
      <c r="AB920" t="inlineStr" s="2909">
        <is>
          <t>20240401</t>
        </is>
      </c>
      <c r="AD920" t="n" s="2909">
        <v>12</v>
      </c>
      <c r="AE920" t="inlineStr" s="2909">
        <is>
          <t>20250914</t>
        </is>
      </c>
      <c r="AH920" t="n" s="2909">
        <v>1</v>
      </c>
      <c r="AJ920" t="n" s="2909">
        <v>10</v>
      </c>
      <c r="AP920" t="n" s="2909">
        <v>260000</v>
      </c>
      <c r="DB920" s="2909" t="str">
        <f>IF($A920="","",IF($AE920&amp;""&lt;&gt;'DB_設定'!$C$4,"対象外",IF($AH920=20,IF(OR($AJ920=10,$AJ920=11,$AJ920=18),"①病院一般",IF($AJ920=41,"②病院短期","対象外")),IF($AH920=5,IF($AJ920=30,"③特定消防","対象外"),IF(OR($AJ920=10,$AJ920=11,$AJ920=74),"④一般",IF(OR($AJ920=41,$AJ920=47),"⑤短期","対象外"))))))</f>
        <v>対象外</v>
      </c>
    </row>
    <row r="921">
      <c r="A921" t="n" s="2909">
        <v>31</v>
      </c>
      <c r="AA921" t="n" s="2909">
        <v>21</v>
      </c>
      <c r="AB921" t="inlineStr" s="2909">
        <is>
          <t>20221001</t>
        </is>
      </c>
      <c r="AD921" t="n" s="2909">
        <v>12</v>
      </c>
      <c r="AE921" t="inlineStr" s="2909">
        <is>
          <t>20250401</t>
        </is>
      </c>
      <c r="AH921" t="n" s="2909">
        <v>1</v>
      </c>
      <c r="AJ921" t="n" s="2909">
        <v>41</v>
      </c>
      <c r="AP921" t="n" s="2909">
        <v>170000</v>
      </c>
      <c r="DB921" s="2909" t="str">
        <f>IF($A921="","",IF($AE921&amp;""&lt;&gt;'DB_設定'!$C$4,"対象外",IF($AH921=20,IF(OR($AJ921=10,$AJ921=11,$AJ921=18),"①病院一般",IF($AJ921=41,"②病院短期","対象外")),IF($AH921=5,IF($AJ921=30,"③特定消防","対象外"),IF(OR($AJ921=10,$AJ921=11,$AJ921=74),"④一般",IF(OR($AJ921=41,$AJ921=47),"⑤短期","対象外"))))))</f>
        <v>⑤短期</v>
      </c>
    </row>
    <row r="922">
      <c r="A922" t="n" s="2909">
        <v>31</v>
      </c>
      <c r="AA922" t="n" s="2909">
        <v>24</v>
      </c>
      <c r="AB922" t="inlineStr" s="2909">
        <is>
          <t>20250701</t>
        </is>
      </c>
      <c r="AD922" t="n" s="2909">
        <v>12</v>
      </c>
      <c r="AE922" t="inlineStr" s="2909">
        <is>
          <t>20251001</t>
        </is>
      </c>
      <c r="AH922" t="n" s="2909">
        <v>1</v>
      </c>
      <c r="AJ922" t="n" s="2909">
        <v>41</v>
      </c>
      <c r="AP922" t="n" s="2909">
        <v>142000</v>
      </c>
      <c r="DB922" s="2909" t="str">
        <f>IF($A922="","",IF($AE922&amp;""&lt;&gt;'DB_設定'!$C$4,"対象外",IF($AH922=20,IF(OR($AJ922=10,$AJ922=11,$AJ922=18),"①病院一般",IF($AJ922=41,"②病院短期","対象外")),IF($AH922=5,IF($AJ922=30,"③特定消防","対象外"),IF(OR($AJ922=10,$AJ922=11,$AJ922=74),"④一般",IF(OR($AJ922=41,$AJ922=47),"⑤短期","対象外"))))))</f>
        <v>対象外</v>
      </c>
    </row>
    <row r="923">
      <c r="A923" t="n" s="2909">
        <v>31</v>
      </c>
      <c r="AA923" t="n" s="2909">
        <v>24</v>
      </c>
      <c r="AB923" t="inlineStr" s="2909">
        <is>
          <t>20250101</t>
        </is>
      </c>
      <c r="AD923" t="n" s="2909">
        <v>12</v>
      </c>
      <c r="AE923" t="inlineStr" s="2909">
        <is>
          <t>20250401</t>
        </is>
      </c>
      <c r="AH923" t="n" s="2909">
        <v>1</v>
      </c>
      <c r="AJ923" t="n" s="2909">
        <v>41</v>
      </c>
      <c r="AP923" t="n" s="2909">
        <v>142000</v>
      </c>
      <c r="DB923" s="2909" t="str">
        <f>IF($A923="","",IF($AE923&amp;""&lt;&gt;'DB_設定'!$C$4,"対象外",IF($AH923=20,IF(OR($AJ923=10,$AJ923=11,$AJ923=18),"①病院一般",IF($AJ923=41,"②病院短期","対象外")),IF($AH923=5,IF($AJ923=30,"③特定消防","対象外"),IF(OR($AJ923=10,$AJ923=11,$AJ923=74),"④一般",IF(OR($AJ923=41,$AJ923=47),"⑤短期","対象外"))))))</f>
        <v>⑤短期</v>
      </c>
    </row>
    <row r="924">
      <c r="A924" t="n" s="2909">
        <v>31</v>
      </c>
      <c r="AA924" t="n" s="2909">
        <v>21</v>
      </c>
      <c r="AB924" t="inlineStr" s="2909">
        <is>
          <t>20221001</t>
        </is>
      </c>
      <c r="AD924" t="n" s="2909">
        <v>12</v>
      </c>
      <c r="AE924" t="inlineStr" s="2909">
        <is>
          <t>20250401</t>
        </is>
      </c>
      <c r="AH924" t="n" s="2909">
        <v>1</v>
      </c>
      <c r="AJ924" t="n" s="2909">
        <v>41</v>
      </c>
      <c r="AP924" t="n" s="2909">
        <v>170000</v>
      </c>
      <c r="DB924" s="2909" t="str">
        <f>IF($A924="","",IF($AE924&amp;""&lt;&gt;'DB_設定'!$C$4,"対象外",IF($AH924=20,IF(OR($AJ924=10,$AJ924=11,$AJ924=18),"①病院一般",IF($AJ924=41,"②病院短期","対象外")),IF($AH924=5,IF($AJ924=30,"③特定消防","対象外"),IF(OR($AJ924=10,$AJ924=11,$AJ924=74),"④一般",IF(OR($AJ924=41,$AJ924=47),"⑤短期","対象外"))))))</f>
        <v>⑤短期</v>
      </c>
    </row>
    <row r="925">
      <c r="A925" t="n" s="2909">
        <v>31</v>
      </c>
      <c r="AA925" t="n" s="2909">
        <v>21</v>
      </c>
      <c r="AB925" t="inlineStr" s="2909">
        <is>
          <t>20221001</t>
        </is>
      </c>
      <c r="AD925" t="n" s="2909">
        <v>12</v>
      </c>
      <c r="AE925" t="inlineStr" s="2909">
        <is>
          <t>20250701</t>
        </is>
      </c>
      <c r="AH925" t="n" s="2909">
        <v>20</v>
      </c>
      <c r="AJ925" t="n" s="2909">
        <v>41</v>
      </c>
      <c r="AP925" t="n" s="2909">
        <v>180000</v>
      </c>
      <c r="DB925" s="2909" t="str">
        <f>IF($A925="","",IF($AE925&amp;""&lt;&gt;'DB_設定'!$C$4,"対象外",IF($AH925=20,IF(OR($AJ925=10,$AJ925=11,$AJ925=18),"①病院一般",IF($AJ925=41,"②病院短期","対象外")),IF($AH925=5,IF($AJ925=30,"③特定消防","対象外"),IF(OR($AJ925=10,$AJ925=11,$AJ925=74),"④一般",IF(OR($AJ925=41,$AJ925=47),"⑤短期","対象外"))))))</f>
        <v>対象外</v>
      </c>
    </row>
    <row r="926">
      <c r="A926" t="n" s="2909">
        <v>31</v>
      </c>
      <c r="AA926" t="n" s="2909">
        <v>21</v>
      </c>
      <c r="AB926" t="inlineStr" s="2909">
        <is>
          <t>20241201</t>
        </is>
      </c>
      <c r="AD926" t="n" s="2909">
        <v>12</v>
      </c>
      <c r="AE926" t="inlineStr" s="2909">
        <is>
          <t>20250921</t>
        </is>
      </c>
      <c r="AH926" t="n" s="2909">
        <v>20</v>
      </c>
      <c r="AJ926" t="n" s="2909">
        <v>41</v>
      </c>
      <c r="AP926" t="n" s="2909">
        <v>180000</v>
      </c>
      <c r="DB926" s="2909" t="str">
        <f>IF($A926="","",IF($AE926&amp;""&lt;&gt;'DB_設定'!$C$4,"対象外",IF($AH926=20,IF(OR($AJ926=10,$AJ926=11,$AJ926=18),"①病院一般",IF($AJ926=41,"②病院短期","対象外")),IF($AH926=5,IF($AJ926=30,"③特定消防","対象外"),IF(OR($AJ926=10,$AJ926=11,$AJ926=74),"④一般",IF(OR($AJ926=41,$AJ926=47),"⑤短期","対象外"))))))</f>
        <v>対象外</v>
      </c>
    </row>
    <row r="927">
      <c r="A927" t="n" s="2909">
        <v>31</v>
      </c>
      <c r="AA927" t="n" s="2909">
        <v>21</v>
      </c>
      <c r="AB927" t="inlineStr" s="2909">
        <is>
          <t>20221001</t>
        </is>
      </c>
      <c r="AD927" t="n" s="2909">
        <v>12</v>
      </c>
      <c r="AE927" t="inlineStr" s="2909">
        <is>
          <t>20250401</t>
        </is>
      </c>
      <c r="AH927" t="n" s="2909">
        <v>1</v>
      </c>
      <c r="AJ927" t="n" s="2909">
        <v>41</v>
      </c>
      <c r="AP927" t="n" s="2909">
        <v>170000</v>
      </c>
      <c r="DB927" s="2909" t="str">
        <f>IF($A927="","",IF($AE927&amp;""&lt;&gt;'DB_設定'!$C$4,"対象外",IF($AH927=20,IF(OR($AJ927=10,$AJ927=11,$AJ927=18),"①病院一般",IF($AJ927=41,"②病院短期","対象外")),IF($AH927=5,IF($AJ927=30,"③特定消防","対象外"),IF(OR($AJ927=10,$AJ927=11,$AJ927=74),"④一般",IF(OR($AJ927=41,$AJ927=47),"⑤短期","対象外"))))))</f>
        <v>⑤短期</v>
      </c>
    </row>
    <row r="928">
      <c r="A928" t="n" s="2909">
        <v>31</v>
      </c>
      <c r="AA928" t="n" s="2909">
        <v>21</v>
      </c>
      <c r="AB928" t="inlineStr" s="2909">
        <is>
          <t>20221001</t>
        </is>
      </c>
      <c r="AD928" t="n" s="2909">
        <v>12</v>
      </c>
      <c r="AE928" t="inlineStr" s="2909">
        <is>
          <t>20250401</t>
        </is>
      </c>
      <c r="AH928" t="n" s="2909">
        <v>1</v>
      </c>
      <c r="AJ928" t="n" s="2909">
        <v>41</v>
      </c>
      <c r="AP928" t="n" s="2909">
        <v>170000</v>
      </c>
      <c r="DB928" s="2909" t="str">
        <f>IF($A928="","",IF($AE928&amp;""&lt;&gt;'DB_設定'!$C$4,"対象外",IF($AH928=20,IF(OR($AJ928=10,$AJ928=11,$AJ928=18),"①病院一般",IF($AJ928=41,"②病院短期","対象外")),IF($AH928=5,IF($AJ928=30,"③特定消防","対象外"),IF(OR($AJ928=10,$AJ928=11,$AJ928=74),"④一般",IF(OR($AJ928=41,$AJ928=47),"⑤短期","対象外"))))))</f>
        <v>⑤短期</v>
      </c>
    </row>
    <row r="929">
      <c r="A929" t="n" s="2909">
        <v>31</v>
      </c>
      <c r="AA929" t="n" s="2909">
        <v>21</v>
      </c>
      <c r="AB929" t="inlineStr" s="2909">
        <is>
          <t>20221001</t>
        </is>
      </c>
      <c r="AD929" t="n" s="2909">
        <v>11</v>
      </c>
      <c r="AE929" t="inlineStr" s="2909">
        <is>
          <t>20250401</t>
        </is>
      </c>
      <c r="AH929" t="n" s="2909">
        <v>1</v>
      </c>
      <c r="AJ929" t="n" s="2909">
        <v>41</v>
      </c>
      <c r="AP929" t="n" s="2909">
        <v>180000</v>
      </c>
      <c r="DB929" s="2909" t="str">
        <f>IF($A929="","",IF($AE929&amp;""&lt;&gt;'DB_設定'!$C$4,"対象外",IF($AH929=20,IF(OR($AJ929=10,$AJ929=11,$AJ929=18),"①病院一般",IF($AJ929=41,"②病院短期","対象外")),IF($AH929=5,IF($AJ929=30,"③特定消防","対象外"),IF(OR($AJ929=10,$AJ929=11,$AJ929=74),"④一般",IF(OR($AJ929=41,$AJ929=47),"⑤短期","対象外"))))))</f>
        <v>⑤短期</v>
      </c>
    </row>
    <row r="930">
      <c r="A930" t="n" s="2909">
        <v>31</v>
      </c>
      <c r="AA930" t="n" s="2909">
        <v>21</v>
      </c>
      <c r="AB930" t="inlineStr" s="2909">
        <is>
          <t>20221001</t>
        </is>
      </c>
      <c r="AD930" t="n" s="2909">
        <v>12</v>
      </c>
      <c r="AE930" t="inlineStr" s="2909">
        <is>
          <t>20250401</t>
        </is>
      </c>
      <c r="AH930" t="n" s="2909">
        <v>1</v>
      </c>
      <c r="AJ930" t="n" s="2909">
        <v>41</v>
      </c>
      <c r="AP930" t="n" s="2909">
        <v>180000</v>
      </c>
      <c r="DB930" s="2909" t="str">
        <f>IF($A930="","",IF($AE930&amp;""&lt;&gt;'DB_設定'!$C$4,"対象外",IF($AH930=20,IF(OR($AJ930=10,$AJ930=11,$AJ930=18),"①病院一般",IF($AJ930=41,"②病院短期","対象外")),IF($AH930=5,IF($AJ930=30,"③特定消防","対象外"),IF(OR($AJ930=10,$AJ930=11,$AJ930=74),"④一般",IF(OR($AJ930=41,$AJ930=47),"⑤短期","対象外"))))))</f>
        <v>⑤短期</v>
      </c>
    </row>
    <row r="931">
      <c r="A931" t="n" s="2909">
        <v>31</v>
      </c>
      <c r="AA931" t="n" s="2909">
        <v>21</v>
      </c>
      <c r="AB931" t="inlineStr" s="2909">
        <is>
          <t>20221001</t>
        </is>
      </c>
      <c r="AD931" t="n" s="2909">
        <v>12</v>
      </c>
      <c r="AE931" t="inlineStr" s="2909">
        <is>
          <t>20250401</t>
        </is>
      </c>
      <c r="AH931" t="n" s="2909">
        <v>1</v>
      </c>
      <c r="AJ931" t="n" s="2909">
        <v>41</v>
      </c>
      <c r="AP931" t="n" s="2909">
        <v>126000</v>
      </c>
      <c r="DB931" s="2909" t="str">
        <f>IF($A931="","",IF($AE931&amp;""&lt;&gt;'DB_設定'!$C$4,"対象外",IF($AH931=20,IF(OR($AJ931=10,$AJ931=11,$AJ931=18),"①病院一般",IF($AJ931=41,"②病院短期","対象外")),IF($AH931=5,IF($AJ931=30,"③特定消防","対象外"),IF(OR($AJ931=10,$AJ931=11,$AJ931=74),"④一般",IF(OR($AJ931=41,$AJ931=47),"⑤短期","対象外"))))))</f>
        <v>⑤短期</v>
      </c>
    </row>
    <row r="932">
      <c r="A932" t="n" s="2909">
        <v>31</v>
      </c>
      <c r="AA932" t="n" s="2909">
        <v>21</v>
      </c>
      <c r="AB932" t="inlineStr" s="2909">
        <is>
          <t>20221001</t>
        </is>
      </c>
      <c r="AD932" t="n" s="2909">
        <v>12</v>
      </c>
      <c r="AE932" t="inlineStr" s="2909">
        <is>
          <t>20250401</t>
        </is>
      </c>
      <c r="AH932" t="n" s="2909">
        <v>1</v>
      </c>
      <c r="AJ932" t="n" s="2909">
        <v>41</v>
      </c>
      <c r="AP932" t="n" s="2909">
        <v>170000</v>
      </c>
      <c r="DB932" s="2909" t="str">
        <f>IF($A932="","",IF($AE932&amp;""&lt;&gt;'DB_設定'!$C$4,"対象外",IF($AH932=20,IF(OR($AJ932=10,$AJ932=11,$AJ932=18),"①病院一般",IF($AJ932=41,"②病院短期","対象外")),IF($AH932=5,IF($AJ932=30,"③特定消防","対象外"),IF(OR($AJ932=10,$AJ932=11,$AJ932=74),"④一般",IF(OR($AJ932=41,$AJ932=47),"⑤短期","対象外"))))))</f>
        <v>⑤短期</v>
      </c>
    </row>
    <row r="933">
      <c r="A933" t="n" s="2909">
        <v>31</v>
      </c>
      <c r="AA933" t="n" s="2909">
        <v>21</v>
      </c>
      <c r="AB933" t="inlineStr" s="2909">
        <is>
          <t>20240401</t>
        </is>
      </c>
      <c r="AD933" t="n" s="2909">
        <v>12</v>
      </c>
      <c r="AE933" t="inlineStr" s="2909">
        <is>
          <t>20250401</t>
        </is>
      </c>
      <c r="AH933" t="n" s="2909">
        <v>1</v>
      </c>
      <c r="AJ933" t="n" s="2909">
        <v>41</v>
      </c>
      <c r="AP933" t="n" s="2909">
        <v>190000</v>
      </c>
      <c r="DB933" s="2909" t="str">
        <f>IF($A933="","",IF($AE933&amp;""&lt;&gt;'DB_設定'!$C$4,"対象外",IF($AH933=20,IF(OR($AJ933=10,$AJ933=11,$AJ933=18),"①病院一般",IF($AJ933=41,"②病院短期","対象外")),IF($AH933=5,IF($AJ933=30,"③特定消防","対象外"),IF(OR($AJ933=10,$AJ933=11,$AJ933=74),"④一般",IF(OR($AJ933=41,$AJ933=47),"⑤短期","対象外"))))))</f>
        <v>⑤短期</v>
      </c>
    </row>
    <row r="934">
      <c r="A934" t="n" s="2909">
        <v>31</v>
      </c>
      <c r="AA934" t="n" s="2909">
        <v>21</v>
      </c>
      <c r="AB934" t="inlineStr" s="2909">
        <is>
          <t>20250401</t>
        </is>
      </c>
      <c r="AD934" t="n" s="2909">
        <v>12</v>
      </c>
      <c r="AE934" t="inlineStr" s="2909">
        <is>
          <t>20250508</t>
        </is>
      </c>
      <c r="AH934" t="n" s="2909">
        <v>1</v>
      </c>
      <c r="AJ934" t="n" s="2909">
        <v>41</v>
      </c>
      <c r="AP934" t="n" s="2909">
        <v>150000</v>
      </c>
      <c r="DB934" s="2909" t="str">
        <f>IF($A934="","",IF($AE934&amp;""&lt;&gt;'DB_設定'!$C$4,"対象外",IF($AH934=20,IF(OR($AJ934=10,$AJ934=11,$AJ934=18),"①病院一般",IF($AJ934=41,"②病院短期","対象外")),IF($AH934=5,IF($AJ934=30,"③特定消防","対象外"),IF(OR($AJ934=10,$AJ934=11,$AJ934=74),"④一般",IF(OR($AJ934=41,$AJ934=47),"⑤短期","対象外"))))))</f>
        <v>対象外</v>
      </c>
    </row>
    <row r="935">
      <c r="A935" t="n" s="2909">
        <v>31</v>
      </c>
      <c r="AA935" t="n" s="2909">
        <v>21</v>
      </c>
      <c r="AB935" t="inlineStr" s="2909">
        <is>
          <t>20240401</t>
        </is>
      </c>
      <c r="AD935" t="n" s="2909">
        <v>12</v>
      </c>
      <c r="AE935" t="inlineStr" s="2909">
        <is>
          <t>20250601</t>
        </is>
      </c>
      <c r="AH935" t="n" s="2909">
        <v>1</v>
      </c>
      <c r="AJ935" t="n" s="2909">
        <v>41</v>
      </c>
      <c r="AP935" t="n" s="2909">
        <v>126000</v>
      </c>
      <c r="DB935" s="2909" t="str">
        <f>IF($A935="","",IF($AE935&amp;""&lt;&gt;'DB_設定'!$C$4,"対象外",IF($AH935=20,IF(OR($AJ935=10,$AJ935=11,$AJ935=18),"①病院一般",IF($AJ935=41,"②病院短期","対象外")),IF($AH935=5,IF($AJ935=30,"③特定消防","対象外"),IF(OR($AJ935=10,$AJ935=11,$AJ935=74),"④一般",IF(OR($AJ935=41,$AJ935=47),"⑤短期","対象外"))))))</f>
        <v>対象外</v>
      </c>
    </row>
    <row r="936">
      <c r="A936" t="n" s="2909">
        <v>31</v>
      </c>
      <c r="AA936" t="n" s="2909">
        <v>21</v>
      </c>
      <c r="AB936" t="inlineStr" s="2909">
        <is>
          <t>20250613</t>
        </is>
      </c>
      <c r="AD936" t="n" s="2909">
        <v>12</v>
      </c>
      <c r="AE936" t="inlineStr" s="2909">
        <is>
          <t>20251017</t>
        </is>
      </c>
      <c r="AH936" t="n" s="2909">
        <v>1</v>
      </c>
      <c r="AJ936" t="n" s="2909">
        <v>41</v>
      </c>
      <c r="AP936" t="n" s="2909">
        <v>150000</v>
      </c>
      <c r="DB936" s="2909" t="str">
        <f>IF($A936="","",IF($AE936&amp;""&lt;&gt;'DB_設定'!$C$4,"対象外",IF($AH936=20,IF(OR($AJ936=10,$AJ936=11,$AJ936=18),"①病院一般",IF($AJ936=41,"②病院短期","対象外")),IF($AH936=5,IF($AJ936=30,"③特定消防","対象外"),IF(OR($AJ936=10,$AJ936=11,$AJ936=74),"④一般",IF(OR($AJ936=41,$AJ936=47),"⑤短期","対象外"))))))</f>
        <v>対象外</v>
      </c>
    </row>
    <row r="937">
      <c r="A937" t="n" s="2909">
        <v>31</v>
      </c>
      <c r="AA937" t="n" s="2909">
        <v>21</v>
      </c>
      <c r="AB937" t="inlineStr" s="2909">
        <is>
          <t>20221001</t>
        </is>
      </c>
      <c r="AD937" t="n" s="2909">
        <v>12</v>
      </c>
      <c r="AE937" t="inlineStr" s="2909">
        <is>
          <t>20250401</t>
        </is>
      </c>
      <c r="AH937" t="n" s="2909">
        <v>11</v>
      </c>
      <c r="AJ937" t="n" s="2909">
        <v>41</v>
      </c>
      <c r="AP937" t="n" s="2909">
        <v>160000</v>
      </c>
      <c r="DB937" s="2909" t="str">
        <f>IF($A937="","",IF($AE937&amp;""&lt;&gt;'DB_設定'!$C$4,"対象外",IF($AH937=20,IF(OR($AJ937=10,$AJ937=11,$AJ937=18),"①病院一般",IF($AJ937=41,"②病院短期","対象外")),IF($AH937=5,IF($AJ937=30,"③特定消防","対象外"),IF(OR($AJ937=10,$AJ937=11,$AJ937=74),"④一般",IF(OR($AJ937=41,$AJ937=47),"⑤短期","対象外"))))))</f>
        <v>⑤短期</v>
      </c>
    </row>
    <row r="938">
      <c r="A938" t="n" s="2909">
        <v>31</v>
      </c>
      <c r="AA938" t="n" s="2909">
        <v>24</v>
      </c>
      <c r="AB938" t="inlineStr" s="2909">
        <is>
          <t>20240603</t>
        </is>
      </c>
      <c r="AD938" t="n" s="2909">
        <v>12</v>
      </c>
      <c r="AE938" t="inlineStr" s="2909">
        <is>
          <t>20250401</t>
        </is>
      </c>
      <c r="AH938" t="n" s="2909">
        <v>1</v>
      </c>
      <c r="AJ938" t="n" s="2909">
        <v>41</v>
      </c>
      <c r="AP938" t="n" s="2909">
        <v>142000</v>
      </c>
      <c r="DB938" s="2909" t="str">
        <f>IF($A938="","",IF($AE938&amp;""&lt;&gt;'DB_設定'!$C$4,"対象外",IF($AH938=20,IF(OR($AJ938=10,$AJ938=11,$AJ938=18),"①病院一般",IF($AJ938=41,"②病院短期","対象外")),IF($AH938=5,IF($AJ938=30,"③特定消防","対象外"),IF(OR($AJ938=10,$AJ938=11,$AJ938=74),"④一般",IF(OR($AJ938=41,$AJ938=47),"⑤短期","対象外"))))))</f>
        <v>⑤短期</v>
      </c>
    </row>
    <row r="939">
      <c r="A939" t="n" s="2909">
        <v>31</v>
      </c>
      <c r="AA939" t="n" s="2909">
        <v>21</v>
      </c>
      <c r="AB939" t="inlineStr" s="2909">
        <is>
          <t>20221001</t>
        </is>
      </c>
      <c r="AD939" t="n" s="2909">
        <v>12</v>
      </c>
      <c r="AE939" t="inlineStr" s="2909">
        <is>
          <t>20250401</t>
        </is>
      </c>
      <c r="AH939" t="n" s="2909">
        <v>1</v>
      </c>
      <c r="AJ939" t="n" s="2909">
        <v>41</v>
      </c>
      <c r="AP939" t="n" s="2909">
        <v>170000</v>
      </c>
      <c r="DB939" s="2909" t="str">
        <f>IF($A939="","",IF($AE939&amp;""&lt;&gt;'DB_設定'!$C$4,"対象外",IF($AH939=20,IF(OR($AJ939=10,$AJ939=11,$AJ939=18),"①病院一般",IF($AJ939=41,"②病院短期","対象外")),IF($AH939=5,IF($AJ939=30,"③特定消防","対象外"),IF(OR($AJ939=10,$AJ939=11,$AJ939=74),"④一般",IF(OR($AJ939=41,$AJ939=47),"⑤短期","対象外"))))))</f>
        <v>⑤短期</v>
      </c>
    </row>
    <row r="940">
      <c r="A940" t="n" s="2909">
        <v>31</v>
      </c>
      <c r="AA940" t="n" s="2909">
        <v>24</v>
      </c>
      <c r="AB940" t="inlineStr" s="2909">
        <is>
          <t>20221001</t>
        </is>
      </c>
      <c r="AD940" t="n" s="2909">
        <v>12</v>
      </c>
      <c r="AE940" t="inlineStr" s="2909">
        <is>
          <t>20250401</t>
        </is>
      </c>
      <c r="AH940" t="n" s="2909">
        <v>1</v>
      </c>
      <c r="AJ940" t="n" s="2909">
        <v>41</v>
      </c>
      <c r="AP940" t="n" s="2909">
        <v>180000</v>
      </c>
      <c r="DB940" s="2909" t="str">
        <f>IF($A940="","",IF($AE940&amp;""&lt;&gt;'DB_設定'!$C$4,"対象外",IF($AH940=20,IF(OR($AJ940=10,$AJ940=11,$AJ940=18),"①病院一般",IF($AJ940=41,"②病院短期","対象外")),IF($AH940=5,IF($AJ940=30,"③特定消防","対象外"),IF(OR($AJ940=10,$AJ940=11,$AJ940=74),"④一般",IF(OR($AJ940=41,$AJ940=47),"⑤短期","対象外"))))))</f>
        <v>⑤短期</v>
      </c>
    </row>
    <row r="941">
      <c r="A941" t="n" s="2909">
        <v>31</v>
      </c>
      <c r="AA941" t="n" s="2909">
        <v>21</v>
      </c>
      <c r="AB941" t="inlineStr" s="2909">
        <is>
          <t>20240701</t>
        </is>
      </c>
      <c r="AD941" t="n" s="2909">
        <v>12</v>
      </c>
      <c r="AE941" t="inlineStr" s="2909">
        <is>
          <t>20250401</t>
        </is>
      </c>
      <c r="AH941" t="n" s="2909">
        <v>1</v>
      </c>
      <c r="AJ941" t="n" s="2909">
        <v>41</v>
      </c>
      <c r="AP941" t="n" s="2909">
        <v>240000</v>
      </c>
      <c r="DB941" s="2909" t="str">
        <f>IF($A941="","",IF($AE941&amp;""&lt;&gt;'DB_設定'!$C$4,"対象外",IF($AH941=20,IF(OR($AJ941=10,$AJ941=11,$AJ941=18),"①病院一般",IF($AJ941=41,"②病院短期","対象外")),IF($AH941=5,IF($AJ941=30,"③特定消防","対象外"),IF(OR($AJ941=10,$AJ941=11,$AJ941=74),"④一般",IF(OR($AJ941=41,$AJ941=47),"⑤短期","対象外"))))))</f>
        <v>⑤短期</v>
      </c>
    </row>
    <row r="942">
      <c r="A942" t="n" s="2909">
        <v>31</v>
      </c>
      <c r="AA942" t="n" s="2909">
        <v>21</v>
      </c>
      <c r="AB942" t="inlineStr" s="2909">
        <is>
          <t>20221001</t>
        </is>
      </c>
      <c r="AD942" t="n" s="2909">
        <v>12</v>
      </c>
      <c r="AE942" t="inlineStr" s="2909">
        <is>
          <t>20250801</t>
        </is>
      </c>
      <c r="AH942" t="n" s="2909">
        <v>20</v>
      </c>
      <c r="AJ942" t="n" s="2909">
        <v>41</v>
      </c>
      <c r="AP942" t="n" s="2909">
        <v>180000</v>
      </c>
      <c r="DB942" s="2909" t="str">
        <f>IF($A942="","",IF($AE942&amp;""&lt;&gt;'DB_設定'!$C$4,"対象外",IF($AH942=20,IF(OR($AJ942=10,$AJ942=11,$AJ942=18),"①病院一般",IF($AJ942=41,"②病院短期","対象外")),IF($AH942=5,IF($AJ942=30,"③特定消防","対象外"),IF(OR($AJ942=10,$AJ942=11,$AJ942=74),"④一般",IF(OR($AJ942=41,$AJ942=47),"⑤短期","対象外"))))))</f>
        <v>対象外</v>
      </c>
    </row>
    <row r="943">
      <c r="A943" t="n" s="2909">
        <v>31</v>
      </c>
      <c r="AA943" t="n" s="2909">
        <v>21</v>
      </c>
      <c r="AB943" t="inlineStr" s="2909">
        <is>
          <t>20221001</t>
        </is>
      </c>
      <c r="AD943" t="n" s="2909">
        <v>12</v>
      </c>
      <c r="AE943" t="inlineStr" s="2909">
        <is>
          <t>20250801</t>
        </is>
      </c>
      <c r="AH943" t="n" s="2909">
        <v>20</v>
      </c>
      <c r="AJ943" t="n" s="2909">
        <v>41</v>
      </c>
      <c r="AP943" t="n" s="2909">
        <v>240000</v>
      </c>
      <c r="DB943" s="2909" t="str">
        <f>IF($A943="","",IF($AE943&amp;""&lt;&gt;'DB_設定'!$C$4,"対象外",IF($AH943=20,IF(OR($AJ943=10,$AJ943=11,$AJ943=18),"①病院一般",IF($AJ943=41,"②病院短期","対象外")),IF($AH943=5,IF($AJ943=30,"③特定消防","対象外"),IF(OR($AJ943=10,$AJ943=11,$AJ943=74),"④一般",IF(OR($AJ943=41,$AJ943=47),"⑤短期","対象外"))))))</f>
        <v>対象外</v>
      </c>
    </row>
    <row r="944">
      <c r="A944" t="n" s="2909">
        <v>31</v>
      </c>
      <c r="AA944" t="n" s="2909">
        <v>21</v>
      </c>
      <c r="AB944" t="inlineStr" s="2909">
        <is>
          <t>20221001</t>
        </is>
      </c>
      <c r="AD944" t="n" s="2909">
        <v>12</v>
      </c>
      <c r="AE944" t="inlineStr" s="2909">
        <is>
          <t>20250401</t>
        </is>
      </c>
      <c r="AH944" t="n" s="2909">
        <v>1</v>
      </c>
      <c r="AJ944" t="n" s="2909">
        <v>41</v>
      </c>
      <c r="AP944" t="n" s="2909">
        <v>126000</v>
      </c>
      <c r="DB944" s="2909" t="str">
        <f>IF($A944="","",IF($AE944&amp;""&lt;&gt;'DB_設定'!$C$4,"対象外",IF($AH944=20,IF(OR($AJ944=10,$AJ944=11,$AJ944=18),"①病院一般",IF($AJ944=41,"②病院短期","対象外")),IF($AH944=5,IF($AJ944=30,"③特定消防","対象外"),IF(OR($AJ944=10,$AJ944=11,$AJ944=74),"④一般",IF(OR($AJ944=41,$AJ944=47),"⑤短期","対象外"))))))</f>
        <v>⑤短期</v>
      </c>
    </row>
    <row r="945">
      <c r="A945" t="n" s="2909">
        <v>31</v>
      </c>
      <c r="AA945" t="n" s="2909">
        <v>21</v>
      </c>
      <c r="AB945" t="inlineStr" s="2909">
        <is>
          <t>20221001</t>
        </is>
      </c>
      <c r="AD945" t="n" s="2909">
        <v>12</v>
      </c>
      <c r="AE945" t="inlineStr" s="2909">
        <is>
          <t>20250401</t>
        </is>
      </c>
      <c r="AH945" t="n" s="2909">
        <v>1</v>
      </c>
      <c r="AJ945" t="n" s="2909">
        <v>41</v>
      </c>
      <c r="AP945" t="n" s="2909">
        <v>200000</v>
      </c>
      <c r="DB945" s="2909" t="str">
        <f>IF($A945="","",IF($AE945&amp;""&lt;&gt;'DB_設定'!$C$4,"対象外",IF($AH945=20,IF(OR($AJ945=10,$AJ945=11,$AJ945=18),"①病院一般",IF($AJ945=41,"②病院短期","対象外")),IF($AH945=5,IF($AJ945=30,"③特定消防","対象外"),IF(OR($AJ945=10,$AJ945=11,$AJ945=74),"④一般",IF(OR($AJ945=41,$AJ945=47),"⑤短期","対象外"))))))</f>
        <v>⑤短期</v>
      </c>
    </row>
    <row r="946">
      <c r="A946" t="n" s="2909">
        <v>31</v>
      </c>
      <c r="AA946" t="n" s="2909">
        <v>21</v>
      </c>
      <c r="AB946" t="inlineStr" s="2909">
        <is>
          <t>20221001</t>
        </is>
      </c>
      <c r="AD946" t="n" s="2909">
        <v>12</v>
      </c>
      <c r="AE946" t="inlineStr" s="2909">
        <is>
          <t>20250401</t>
        </is>
      </c>
      <c r="AH946" t="n" s="2909">
        <v>1</v>
      </c>
      <c r="AJ946" t="n" s="2909">
        <v>41</v>
      </c>
      <c r="AP946" t="n" s="2909">
        <v>170000</v>
      </c>
      <c r="DB946" s="2909" t="str">
        <f>IF($A946="","",IF($AE946&amp;""&lt;&gt;'DB_設定'!$C$4,"対象外",IF($AH946=20,IF(OR($AJ946=10,$AJ946=11,$AJ946=18),"①病院一般",IF($AJ946=41,"②病院短期","対象外")),IF($AH946=5,IF($AJ946=30,"③特定消防","対象外"),IF(OR($AJ946=10,$AJ946=11,$AJ946=74),"④一般",IF(OR($AJ946=41,$AJ946=47),"⑤短期","対象外"))))))</f>
        <v>⑤短期</v>
      </c>
    </row>
    <row r="947">
      <c r="A947" t="n" s="2909">
        <v>31</v>
      </c>
      <c r="AA947" t="n" s="2909">
        <v>21</v>
      </c>
      <c r="AB947" t="inlineStr" s="2909">
        <is>
          <t>20221001</t>
        </is>
      </c>
      <c r="AD947" t="n" s="2909">
        <v>12</v>
      </c>
      <c r="AE947" t="inlineStr" s="2909">
        <is>
          <t>20250401</t>
        </is>
      </c>
      <c r="AH947" t="n" s="2909">
        <v>1</v>
      </c>
      <c r="AJ947" t="n" s="2909">
        <v>41</v>
      </c>
      <c r="AP947" t="n" s="2909">
        <v>200000</v>
      </c>
      <c r="DB947" s="2909" t="str">
        <f>IF($A947="","",IF($AE947&amp;""&lt;&gt;'DB_設定'!$C$4,"対象外",IF($AH947=20,IF(OR($AJ947=10,$AJ947=11,$AJ947=18),"①病院一般",IF($AJ947=41,"②病院短期","対象外")),IF($AH947=5,IF($AJ947=30,"③特定消防","対象外"),IF(OR($AJ947=10,$AJ947=11,$AJ947=74),"④一般",IF(OR($AJ947=41,$AJ947=47),"⑤短期","対象外"))))))</f>
        <v>⑤短期</v>
      </c>
    </row>
    <row r="948">
      <c r="A948" t="n" s="2909">
        <v>31</v>
      </c>
      <c r="AA948" t="n" s="2909">
        <v>21</v>
      </c>
      <c r="AB948" t="inlineStr" s="2909">
        <is>
          <t>20221001</t>
        </is>
      </c>
      <c r="AD948" t="n" s="2909">
        <v>12</v>
      </c>
      <c r="AE948" t="inlineStr" s="2909">
        <is>
          <t>20250401</t>
        </is>
      </c>
      <c r="AH948" t="n" s="2909">
        <v>1</v>
      </c>
      <c r="AJ948" t="n" s="2909">
        <v>41</v>
      </c>
      <c r="AP948" t="n" s="2909">
        <v>200000</v>
      </c>
      <c r="DB948" s="2909" t="str">
        <f>IF($A948="","",IF($AE948&amp;""&lt;&gt;'DB_設定'!$C$4,"対象外",IF($AH948=20,IF(OR($AJ948=10,$AJ948=11,$AJ948=18),"①病院一般",IF($AJ948=41,"②病院短期","対象外")),IF($AH948=5,IF($AJ948=30,"③特定消防","対象外"),IF(OR($AJ948=10,$AJ948=11,$AJ948=74),"④一般",IF(OR($AJ948=41,$AJ948=47),"⑤短期","対象外"))))))</f>
        <v>⑤短期</v>
      </c>
    </row>
    <row r="949">
      <c r="A949" t="n" s="2909">
        <v>31</v>
      </c>
      <c r="AA949" t="n" s="2909">
        <v>21</v>
      </c>
      <c r="AB949" t="inlineStr" s="2909">
        <is>
          <t>20221001</t>
        </is>
      </c>
      <c r="AD949" t="n" s="2909">
        <v>12</v>
      </c>
      <c r="AE949" t="inlineStr" s="2909">
        <is>
          <t>20250401</t>
        </is>
      </c>
      <c r="AH949" t="n" s="2909">
        <v>1</v>
      </c>
      <c r="AJ949" t="n" s="2909">
        <v>41</v>
      </c>
      <c r="AP949" t="n" s="2909">
        <v>170000</v>
      </c>
      <c r="DB949" s="2909" t="str">
        <f>IF($A949="","",IF($AE949&amp;""&lt;&gt;'DB_設定'!$C$4,"対象外",IF($AH949=20,IF(OR($AJ949=10,$AJ949=11,$AJ949=18),"①病院一般",IF($AJ949=41,"②病院短期","対象外")),IF($AH949=5,IF($AJ949=30,"③特定消防","対象外"),IF(OR($AJ949=10,$AJ949=11,$AJ949=74),"④一般",IF(OR($AJ949=41,$AJ949=47),"⑤短期","対象外"))))))</f>
        <v>⑤短期</v>
      </c>
    </row>
    <row r="950">
      <c r="A950" t="n" s="2909">
        <v>31</v>
      </c>
      <c r="AA950" t="n" s="2909">
        <v>21</v>
      </c>
      <c r="AB950" t="inlineStr" s="2909">
        <is>
          <t>20221001</t>
        </is>
      </c>
      <c r="AD950" t="n" s="2909">
        <v>12</v>
      </c>
      <c r="AE950" t="inlineStr" s="2909">
        <is>
          <t>20250401</t>
        </is>
      </c>
      <c r="AH950" t="n" s="2909">
        <v>1</v>
      </c>
      <c r="AJ950" t="n" s="2909">
        <v>41</v>
      </c>
      <c r="AP950" t="n" s="2909">
        <v>190000</v>
      </c>
      <c r="DB950" s="2909" t="str">
        <f>IF($A950="","",IF($AE950&amp;""&lt;&gt;'DB_設定'!$C$4,"対象外",IF($AH950=20,IF(OR($AJ950=10,$AJ950=11,$AJ950=18),"①病院一般",IF($AJ950=41,"②病院短期","対象外")),IF($AH950=5,IF($AJ950=30,"③特定消防","対象外"),IF(OR($AJ950=10,$AJ950=11,$AJ950=74),"④一般",IF(OR($AJ950=41,$AJ950=47),"⑤短期","対象外"))))))</f>
        <v>⑤短期</v>
      </c>
    </row>
    <row r="951">
      <c r="A951" t="n" s="2909">
        <v>31</v>
      </c>
      <c r="AA951" t="n" s="2909">
        <v>21</v>
      </c>
      <c r="AB951" t="inlineStr" s="2909">
        <is>
          <t>20221001</t>
        </is>
      </c>
      <c r="AD951" t="n" s="2909">
        <v>12</v>
      </c>
      <c r="AE951" t="inlineStr" s="2909">
        <is>
          <t>20250401</t>
        </is>
      </c>
      <c r="AH951" t="n" s="2909">
        <v>1</v>
      </c>
      <c r="AJ951" t="n" s="2909">
        <v>41</v>
      </c>
      <c r="AP951" t="n" s="2909">
        <v>200000</v>
      </c>
      <c r="DB951" s="2909" t="str">
        <f>IF($A951="","",IF($AE951&amp;""&lt;&gt;'DB_設定'!$C$4,"対象外",IF($AH951=20,IF(OR($AJ951=10,$AJ951=11,$AJ951=18),"①病院一般",IF($AJ951=41,"②病院短期","対象外")),IF($AH951=5,IF($AJ951=30,"③特定消防","対象外"),IF(OR($AJ951=10,$AJ951=11,$AJ951=74),"④一般",IF(OR($AJ951=41,$AJ951=47),"⑤短期","対象外"))))))</f>
        <v>⑤短期</v>
      </c>
    </row>
    <row r="952">
      <c r="A952" t="n" s="2909">
        <v>31</v>
      </c>
      <c r="AA952" t="n" s="2909">
        <v>21</v>
      </c>
      <c r="AB952" t="inlineStr" s="2909">
        <is>
          <t>20221001</t>
        </is>
      </c>
      <c r="AD952" t="n" s="2909">
        <v>12</v>
      </c>
      <c r="AE952" t="inlineStr" s="2909">
        <is>
          <t>20250401</t>
        </is>
      </c>
      <c r="AH952" t="n" s="2909">
        <v>1</v>
      </c>
      <c r="AJ952" t="n" s="2909">
        <v>41</v>
      </c>
      <c r="AP952" t="n" s="2909">
        <v>220000</v>
      </c>
      <c r="DB952" s="2909" t="str">
        <f>IF($A952="","",IF($AE952&amp;""&lt;&gt;'DB_設定'!$C$4,"対象外",IF($AH952=20,IF(OR($AJ952=10,$AJ952=11,$AJ952=18),"①病院一般",IF($AJ952=41,"②病院短期","対象外")),IF($AH952=5,IF($AJ952=30,"③特定消防","対象外"),IF(OR($AJ952=10,$AJ952=11,$AJ952=74),"④一般",IF(OR($AJ952=41,$AJ952=47),"⑤短期","対象外"))))))</f>
        <v>⑤短期</v>
      </c>
    </row>
    <row r="953">
      <c r="A953" t="n" s="2909">
        <v>31</v>
      </c>
      <c r="AA953" t="n" s="2909">
        <v>24</v>
      </c>
      <c r="AB953" t="inlineStr" s="2909">
        <is>
          <t>20241101</t>
        </is>
      </c>
      <c r="AD953" t="n" s="2909">
        <v>12</v>
      </c>
      <c r="AE953" t="inlineStr" s="2909">
        <is>
          <t>20250601</t>
        </is>
      </c>
      <c r="AH953" t="n" s="2909">
        <v>1</v>
      </c>
      <c r="AJ953" t="n" s="2909">
        <v>41</v>
      </c>
      <c r="AP953" t="n" s="2909">
        <v>126000</v>
      </c>
      <c r="DB953" s="2909" t="str">
        <f>IF($A953="","",IF($AE953&amp;""&lt;&gt;'DB_設定'!$C$4,"対象外",IF($AH953=20,IF(OR($AJ953=10,$AJ953=11,$AJ953=18),"①病院一般",IF($AJ953=41,"②病院短期","対象外")),IF($AH953=5,IF($AJ953=30,"③特定消防","対象外"),IF(OR($AJ953=10,$AJ953=11,$AJ953=74),"④一般",IF(OR($AJ953=41,$AJ953=47),"⑤短期","対象外"))))))</f>
        <v>対象外</v>
      </c>
    </row>
    <row r="954">
      <c r="A954" t="n" s="2909">
        <v>31</v>
      </c>
      <c r="AA954" t="n" s="2909">
        <v>21</v>
      </c>
      <c r="AB954" t="inlineStr" s="2909">
        <is>
          <t>20221001</t>
        </is>
      </c>
      <c r="AD954" t="n" s="2909">
        <v>12</v>
      </c>
      <c r="AE954" t="inlineStr" s="2909">
        <is>
          <t>20250401</t>
        </is>
      </c>
      <c r="AH954" t="n" s="2909">
        <v>1</v>
      </c>
      <c r="AJ954" t="n" s="2909">
        <v>41</v>
      </c>
      <c r="AP954" t="n" s="2909">
        <v>134000</v>
      </c>
      <c r="DB954" s="2909" t="str">
        <f>IF($A954="","",IF($AE954&amp;""&lt;&gt;'DB_設定'!$C$4,"対象外",IF($AH954=20,IF(OR($AJ954=10,$AJ954=11,$AJ954=18),"①病院一般",IF($AJ954=41,"②病院短期","対象外")),IF($AH954=5,IF($AJ954=30,"③特定消防","対象外"),IF(OR($AJ954=10,$AJ954=11,$AJ954=74),"④一般",IF(OR($AJ954=41,$AJ954=47),"⑤短期","対象外"))))))</f>
        <v>⑤短期</v>
      </c>
    </row>
    <row r="955">
      <c r="A955" t="n" s="2909">
        <v>31</v>
      </c>
      <c r="AA955" t="n" s="2909">
        <v>24</v>
      </c>
      <c r="AB955" t="inlineStr" s="2909">
        <is>
          <t>20250201</t>
        </is>
      </c>
      <c r="AD955" t="n" s="2909">
        <v>12</v>
      </c>
      <c r="AE955" t="inlineStr" s="2909">
        <is>
          <t>20250601</t>
        </is>
      </c>
      <c r="AH955" t="n" s="2909">
        <v>1</v>
      </c>
      <c r="AJ955" t="n" s="2909">
        <v>41</v>
      </c>
      <c r="AP955" t="n" s="2909">
        <v>134000</v>
      </c>
      <c r="DB955" s="2909" t="str">
        <f>IF($A955="","",IF($AE955&amp;""&lt;&gt;'DB_設定'!$C$4,"対象外",IF($AH955=20,IF(OR($AJ955=10,$AJ955=11,$AJ955=18),"①病院一般",IF($AJ955=41,"②病院短期","対象外")),IF($AH955=5,IF($AJ955=30,"③特定消防","対象外"),IF(OR($AJ955=10,$AJ955=11,$AJ955=74),"④一般",IF(OR($AJ955=41,$AJ955=47),"⑤短期","対象外"))))))</f>
        <v>対象外</v>
      </c>
    </row>
    <row r="956">
      <c r="A956" t="n" s="2909">
        <v>31</v>
      </c>
      <c r="AA956" t="n" s="2909">
        <v>21</v>
      </c>
      <c r="AB956" t="inlineStr" s="2909">
        <is>
          <t>20210401</t>
        </is>
      </c>
      <c r="AD956" t="n" s="2909">
        <v>12</v>
      </c>
      <c r="AE956" t="inlineStr" s="2909">
        <is>
          <t>20250401</t>
        </is>
      </c>
      <c r="AH956" t="n" s="2909">
        <v>1</v>
      </c>
      <c r="AJ956" t="n" s="2909">
        <v>10</v>
      </c>
      <c r="AP956" t="n" s="2909">
        <v>260000</v>
      </c>
      <c r="DB956" s="2909" t="str">
        <f>IF($A956="","",IF($AE956&amp;""&lt;&gt;'DB_設定'!$C$4,"対象外",IF($AH956=20,IF(OR($AJ956=10,$AJ956=11,$AJ956=18),"①病院一般",IF($AJ956=41,"②病院短期","対象外")),IF($AH956=5,IF($AJ956=30,"③特定消防","対象外"),IF(OR($AJ956=10,$AJ956=11,$AJ956=74),"④一般",IF(OR($AJ956=41,$AJ956=47),"⑤短期","対象外"))))))</f>
        <v>④一般</v>
      </c>
    </row>
    <row r="957">
      <c r="A957" t="n" s="2909">
        <v>31</v>
      </c>
      <c r="AA957" t="n" s="2909">
        <v>21</v>
      </c>
      <c r="AB957" t="inlineStr" s="2909">
        <is>
          <t>20221001</t>
        </is>
      </c>
      <c r="AD957" t="n" s="2909">
        <v>12</v>
      </c>
      <c r="AE957" t="inlineStr" s="2909">
        <is>
          <t>20250401</t>
        </is>
      </c>
      <c r="AH957" t="n" s="2909">
        <v>1</v>
      </c>
      <c r="AJ957" t="n" s="2909">
        <v>41</v>
      </c>
      <c r="AP957" t="n" s="2909">
        <v>126000</v>
      </c>
      <c r="DB957" s="2909" t="str">
        <f>IF($A957="","",IF($AE957&amp;""&lt;&gt;'DB_設定'!$C$4,"対象外",IF($AH957=20,IF(OR($AJ957=10,$AJ957=11,$AJ957=18),"①病院一般",IF($AJ957=41,"②病院短期","対象外")),IF($AH957=5,IF($AJ957=30,"③特定消防","対象外"),IF(OR($AJ957=10,$AJ957=11,$AJ957=74),"④一般",IF(OR($AJ957=41,$AJ957=47),"⑤短期","対象外"))))))</f>
        <v>⑤短期</v>
      </c>
    </row>
    <row r="958">
      <c r="A958" t="n" s="2909">
        <v>31</v>
      </c>
      <c r="AA958" t="n" s="2909">
        <v>21</v>
      </c>
      <c r="AB958" t="inlineStr" s="2909">
        <is>
          <t>20221001</t>
        </is>
      </c>
      <c r="AD958" t="n" s="2909">
        <v>12</v>
      </c>
      <c r="AE958" t="inlineStr" s="2909">
        <is>
          <t>20250401</t>
        </is>
      </c>
      <c r="AH958" t="n" s="2909">
        <v>1</v>
      </c>
      <c r="AJ958" t="n" s="2909">
        <v>41</v>
      </c>
      <c r="AP958" t="n" s="2909">
        <v>190000</v>
      </c>
      <c r="DB958" s="2909" t="str">
        <f>IF($A958="","",IF($AE958&amp;""&lt;&gt;'DB_設定'!$C$4,"対象外",IF($AH958=20,IF(OR($AJ958=10,$AJ958=11,$AJ958=18),"①病院一般",IF($AJ958=41,"②病院短期","対象外")),IF($AH958=5,IF($AJ958=30,"③特定消防","対象外"),IF(OR($AJ958=10,$AJ958=11,$AJ958=74),"④一般",IF(OR($AJ958=41,$AJ958=47),"⑤短期","対象外"))))))</f>
        <v>⑤短期</v>
      </c>
    </row>
    <row r="959">
      <c r="A959" t="n" s="2909">
        <v>31</v>
      </c>
      <c r="AA959" t="n" s="2909">
        <v>24</v>
      </c>
      <c r="AB959" t="inlineStr" s="2909">
        <is>
          <t>20250401</t>
        </is>
      </c>
      <c r="AD959" t="n" s="2909">
        <v>12</v>
      </c>
      <c r="AE959" t="inlineStr" s="2909">
        <is>
          <t>20251001</t>
        </is>
      </c>
      <c r="AH959" t="n" s="2909">
        <v>27</v>
      </c>
      <c r="AJ959" t="n" s="2909">
        <v>41</v>
      </c>
      <c r="AP959" t="n" s="2909">
        <v>190000</v>
      </c>
      <c r="DB959" s="2909" t="str">
        <f>IF($A959="","",IF($AE959&amp;""&lt;&gt;'DB_設定'!$C$4,"対象外",IF($AH959=20,IF(OR($AJ959=10,$AJ959=11,$AJ959=18),"①病院一般",IF($AJ959=41,"②病院短期","対象外")),IF($AH959=5,IF($AJ959=30,"③特定消防","対象外"),IF(OR($AJ959=10,$AJ959=11,$AJ959=74),"④一般",IF(OR($AJ959=41,$AJ959=47),"⑤短期","対象外"))))))</f>
        <v>対象外</v>
      </c>
    </row>
    <row r="960">
      <c r="A960" t="n" s="2909">
        <v>31</v>
      </c>
      <c r="AA960" t="n" s="2909">
        <v>21</v>
      </c>
      <c r="AB960" t="inlineStr" s="2909">
        <is>
          <t>20221001</t>
        </is>
      </c>
      <c r="AD960" t="n" s="2909">
        <v>12</v>
      </c>
      <c r="AE960" t="inlineStr" s="2909">
        <is>
          <t>20250401</t>
        </is>
      </c>
      <c r="AH960" t="n" s="2909">
        <v>11</v>
      </c>
      <c r="AJ960" t="n" s="2909">
        <v>41</v>
      </c>
      <c r="AP960" t="n" s="2909">
        <v>170000</v>
      </c>
      <c r="DB960" s="2909" t="str">
        <f>IF($A960="","",IF($AE960&amp;""&lt;&gt;'DB_設定'!$C$4,"対象外",IF($AH960=20,IF(OR($AJ960=10,$AJ960=11,$AJ960=18),"①病院一般",IF($AJ960=41,"②病院短期","対象外")),IF($AH960=5,IF($AJ960=30,"③特定消防","対象外"),IF(OR($AJ960=10,$AJ960=11,$AJ960=74),"④一般",IF(OR($AJ960=41,$AJ960=47),"⑤短期","対象外"))))))</f>
        <v>⑤短期</v>
      </c>
    </row>
    <row r="961">
      <c r="A961" t="n" s="2909">
        <v>31</v>
      </c>
      <c r="AA961" t="n" s="2909">
        <v>21</v>
      </c>
      <c r="AB961" t="inlineStr" s="2909">
        <is>
          <t>20221001</t>
        </is>
      </c>
      <c r="AD961" t="n" s="2909">
        <v>12</v>
      </c>
      <c r="AE961" t="inlineStr" s="2909">
        <is>
          <t>20250801</t>
        </is>
      </c>
      <c r="AH961" t="n" s="2909">
        <v>1</v>
      </c>
      <c r="AJ961" t="n" s="2909">
        <v>41</v>
      </c>
      <c r="AP961" t="n" s="2909">
        <v>170000</v>
      </c>
      <c r="DB961" s="2909" t="str">
        <f>IF($A961="","",IF($AE961&amp;""&lt;&gt;'DB_設定'!$C$4,"対象外",IF($AH961=20,IF(OR($AJ961=10,$AJ961=11,$AJ961=18),"①病院一般",IF($AJ961=41,"②病院短期","対象外")),IF($AH961=5,IF($AJ961=30,"③特定消防","対象外"),IF(OR($AJ961=10,$AJ961=11,$AJ961=74),"④一般",IF(OR($AJ961=41,$AJ961=47),"⑤短期","対象外"))))))</f>
        <v>対象外</v>
      </c>
    </row>
    <row r="962">
      <c r="A962" t="n" s="2909">
        <v>31</v>
      </c>
      <c r="AA962" t="n" s="2909">
        <v>24</v>
      </c>
      <c r="AB962" t="inlineStr" s="2909">
        <is>
          <t>20250501</t>
        </is>
      </c>
      <c r="AD962" t="n" s="2909">
        <v>12</v>
      </c>
      <c r="AE962" t="inlineStr" s="2909">
        <is>
          <t>20250901</t>
        </is>
      </c>
      <c r="AH962" t="n" s="2909">
        <v>1</v>
      </c>
      <c r="AJ962" t="n" s="2909">
        <v>41</v>
      </c>
      <c r="AP962" t="n" s="2909">
        <v>142000</v>
      </c>
      <c r="DB962" s="2909" t="str">
        <f>IF($A962="","",IF($AE962&amp;""&lt;&gt;'DB_設定'!$C$4,"対象外",IF($AH962=20,IF(OR($AJ962=10,$AJ962=11,$AJ962=18),"①病院一般",IF($AJ962=41,"②病院短期","対象外")),IF($AH962=5,IF($AJ962=30,"③特定消防","対象外"),IF(OR($AJ962=10,$AJ962=11,$AJ962=74),"④一般",IF(OR($AJ962=41,$AJ962=47),"⑤短期","対象外"))))))</f>
        <v>対象外</v>
      </c>
    </row>
    <row r="963">
      <c r="A963" t="n" s="2909">
        <v>31</v>
      </c>
      <c r="AA963" t="n" s="2909">
        <v>21</v>
      </c>
      <c r="AB963" t="inlineStr" s="2909">
        <is>
          <t>20221001</t>
        </is>
      </c>
      <c r="AD963" t="n" s="2909">
        <v>12</v>
      </c>
      <c r="AE963" t="inlineStr" s="2909">
        <is>
          <t>20250401</t>
        </is>
      </c>
      <c r="AH963" t="n" s="2909">
        <v>1</v>
      </c>
      <c r="AJ963" t="n" s="2909">
        <v>41</v>
      </c>
      <c r="AP963" t="n" s="2909">
        <v>110000</v>
      </c>
      <c r="DB963" s="2909" t="str">
        <f>IF($A963="","",IF($AE963&amp;""&lt;&gt;'DB_設定'!$C$4,"対象外",IF($AH963=20,IF(OR($AJ963=10,$AJ963=11,$AJ963=18),"①病院一般",IF($AJ963=41,"②病院短期","対象外")),IF($AH963=5,IF($AJ963=30,"③特定消防","対象外"),IF(OR($AJ963=10,$AJ963=11,$AJ963=74),"④一般",IF(OR($AJ963=41,$AJ963=47),"⑤短期","対象外"))))))</f>
        <v>⑤短期</v>
      </c>
    </row>
    <row r="964">
      <c r="A964" t="n" s="2909">
        <v>31</v>
      </c>
      <c r="AA964" t="n" s="2909">
        <v>21</v>
      </c>
      <c r="AB964" t="inlineStr" s="2909">
        <is>
          <t>20221001</t>
        </is>
      </c>
      <c r="AD964" t="n" s="2909">
        <v>12</v>
      </c>
      <c r="AE964" t="inlineStr" s="2909">
        <is>
          <t>20250401</t>
        </is>
      </c>
      <c r="AH964" t="n" s="2909">
        <v>20</v>
      </c>
      <c r="AJ964" t="n" s="2909">
        <v>41</v>
      </c>
      <c r="AP964" t="n" s="2909">
        <v>300000</v>
      </c>
      <c r="DB964" s="2909" t="str">
        <f>IF($A964="","",IF($AE964&amp;""&lt;&gt;'DB_設定'!$C$4,"対象外",IF($AH964=20,IF(OR($AJ964=10,$AJ964=11,$AJ964=18),"①病院一般",IF($AJ964=41,"②病院短期","対象外")),IF($AH964=5,IF($AJ964=30,"③特定消防","対象外"),IF(OR($AJ964=10,$AJ964=11,$AJ964=74),"④一般",IF(OR($AJ964=41,$AJ964=47),"⑤短期","対象外"))))))</f>
        <v>②病院短期</v>
      </c>
    </row>
    <row r="965">
      <c r="A965" t="n" s="2909">
        <v>31</v>
      </c>
      <c r="AA965" t="n" s="2909">
        <v>21</v>
      </c>
      <c r="AB965" t="inlineStr" s="2909">
        <is>
          <t>20221001</t>
        </is>
      </c>
      <c r="AD965" t="n" s="2909">
        <v>12</v>
      </c>
      <c r="AE965" t="inlineStr" s="2909">
        <is>
          <t>20251001</t>
        </is>
      </c>
      <c r="AH965" t="n" s="2909">
        <v>1</v>
      </c>
      <c r="AJ965" t="n" s="2909">
        <v>41</v>
      </c>
      <c r="AP965" t="n" s="2909">
        <v>220000</v>
      </c>
      <c r="DB965" s="2909" t="str">
        <f>IF($A965="","",IF($AE965&amp;""&lt;&gt;'DB_設定'!$C$4,"対象外",IF($AH965=20,IF(OR($AJ965=10,$AJ965=11,$AJ965=18),"①病院一般",IF($AJ965=41,"②病院短期","対象外")),IF($AH965=5,IF($AJ965=30,"③特定消防","対象外"),IF(OR($AJ965=10,$AJ965=11,$AJ965=74),"④一般",IF(OR($AJ965=41,$AJ965=47),"⑤短期","対象外"))))))</f>
        <v>対象外</v>
      </c>
    </row>
    <row r="966">
      <c r="A966" t="n" s="2909">
        <v>31</v>
      </c>
      <c r="AA966" t="n" s="2909">
        <v>21</v>
      </c>
      <c r="AB966" t="inlineStr" s="2909">
        <is>
          <t>20221001</t>
        </is>
      </c>
      <c r="AD966" t="n" s="2909">
        <v>12</v>
      </c>
      <c r="AE966" t="inlineStr" s="2909">
        <is>
          <t>20250501</t>
        </is>
      </c>
      <c r="AH966" t="n" s="2909">
        <v>1</v>
      </c>
      <c r="AJ966" t="n" s="2909">
        <v>41</v>
      </c>
      <c r="AP966" t="n" s="2909">
        <v>126000</v>
      </c>
      <c r="DB966" s="2909" t="str">
        <f>IF($A966="","",IF($AE966&amp;""&lt;&gt;'DB_設定'!$C$4,"対象外",IF($AH966=20,IF(OR($AJ966=10,$AJ966=11,$AJ966=18),"①病院一般",IF($AJ966=41,"②病院短期","対象外")),IF($AH966=5,IF($AJ966=30,"③特定消防","対象外"),IF(OR($AJ966=10,$AJ966=11,$AJ966=74),"④一般",IF(OR($AJ966=41,$AJ966=47),"⑤短期","対象外"))))))</f>
        <v>対象外</v>
      </c>
    </row>
    <row r="967">
      <c r="A967" t="n" s="2909">
        <v>31</v>
      </c>
      <c r="AA967" t="n" s="2909">
        <v>21</v>
      </c>
      <c r="AB967" t="inlineStr" s="2909">
        <is>
          <t>20221001</t>
        </is>
      </c>
      <c r="AD967" t="n" s="2909">
        <v>12</v>
      </c>
      <c r="AE967" t="inlineStr" s="2909">
        <is>
          <t>20250401</t>
        </is>
      </c>
      <c r="AH967" t="n" s="2909">
        <v>1</v>
      </c>
      <c r="AJ967" t="n" s="2909">
        <v>41</v>
      </c>
      <c r="AP967" t="n" s="2909">
        <v>200000</v>
      </c>
      <c r="DB967" s="2909" t="str">
        <f>IF($A967="","",IF($AE967&amp;""&lt;&gt;'DB_設定'!$C$4,"対象外",IF($AH967=20,IF(OR($AJ967=10,$AJ967=11,$AJ967=18),"①病院一般",IF($AJ967=41,"②病院短期","対象外")),IF($AH967=5,IF($AJ967=30,"③特定消防","対象外"),IF(OR($AJ967=10,$AJ967=11,$AJ967=74),"④一般",IF(OR($AJ967=41,$AJ967=47),"⑤短期","対象外"))))))</f>
        <v>⑤短期</v>
      </c>
    </row>
    <row r="968">
      <c r="A968" t="n" s="2909">
        <v>31</v>
      </c>
      <c r="AA968" t="n" s="2909">
        <v>21</v>
      </c>
      <c r="AB968" t="inlineStr" s="2909">
        <is>
          <t>20221001</t>
        </is>
      </c>
      <c r="AD968" t="n" s="2909">
        <v>12</v>
      </c>
      <c r="AE968" t="inlineStr" s="2909">
        <is>
          <t>20250401</t>
        </is>
      </c>
      <c r="AH968" t="n" s="2909">
        <v>1</v>
      </c>
      <c r="AJ968" t="n" s="2909">
        <v>41</v>
      </c>
      <c r="AP968" t="n" s="2909">
        <v>180000</v>
      </c>
      <c r="DB968" s="2909" t="str">
        <f>IF($A968="","",IF($AE968&amp;""&lt;&gt;'DB_設定'!$C$4,"対象外",IF($AH968=20,IF(OR($AJ968=10,$AJ968=11,$AJ968=18),"①病院一般",IF($AJ968=41,"②病院短期","対象外")),IF($AH968=5,IF($AJ968=30,"③特定消防","対象外"),IF(OR($AJ968=10,$AJ968=11,$AJ968=74),"④一般",IF(OR($AJ968=41,$AJ968=47),"⑤短期","対象外"))))))</f>
        <v>⑤短期</v>
      </c>
    </row>
    <row r="969">
      <c r="A969" t="n" s="2909">
        <v>31</v>
      </c>
      <c r="AA969" t="n" s="2909">
        <v>21</v>
      </c>
      <c r="AB969" t="inlineStr" s="2909">
        <is>
          <t>20221001</t>
        </is>
      </c>
      <c r="AD969" t="n" s="2909">
        <v>12</v>
      </c>
      <c r="AE969" t="inlineStr" s="2909">
        <is>
          <t>20250401</t>
        </is>
      </c>
      <c r="AH969" t="n" s="2909">
        <v>1</v>
      </c>
      <c r="AJ969" t="n" s="2909">
        <v>41</v>
      </c>
      <c r="AP969" t="n" s="2909">
        <v>220000</v>
      </c>
      <c r="DB969" s="2909" t="str">
        <f>IF($A969="","",IF($AE969&amp;""&lt;&gt;'DB_設定'!$C$4,"対象外",IF($AH969=20,IF(OR($AJ969=10,$AJ969=11,$AJ969=18),"①病院一般",IF($AJ969=41,"②病院短期","対象外")),IF($AH969=5,IF($AJ969=30,"③特定消防","対象外"),IF(OR($AJ969=10,$AJ969=11,$AJ969=74),"④一般",IF(OR($AJ969=41,$AJ969=47),"⑤短期","対象外"))))))</f>
        <v>⑤短期</v>
      </c>
    </row>
    <row r="970">
      <c r="A970" t="n" s="2909">
        <v>31</v>
      </c>
      <c r="AA970" t="n" s="2909">
        <v>21</v>
      </c>
      <c r="AB970" t="inlineStr" s="2909">
        <is>
          <t>20240501</t>
        </is>
      </c>
      <c r="AD970" t="n" s="2909">
        <v>12</v>
      </c>
      <c r="AE970" t="inlineStr" s="2909">
        <is>
          <t>20250410</t>
        </is>
      </c>
      <c r="AH970" t="n" s="2909">
        <v>11</v>
      </c>
      <c r="AJ970" t="n" s="2909">
        <v>41</v>
      </c>
      <c r="AP970" t="n" s="2909">
        <v>190000</v>
      </c>
      <c r="DB970" s="2909" t="str">
        <f>IF($A970="","",IF($AE970&amp;""&lt;&gt;'DB_設定'!$C$4,"対象外",IF($AH970=20,IF(OR($AJ970=10,$AJ970=11,$AJ970=18),"①病院一般",IF($AJ970=41,"②病院短期","対象外")),IF($AH970=5,IF($AJ970=30,"③特定消防","対象外"),IF(OR($AJ970=10,$AJ970=11,$AJ970=74),"④一般",IF(OR($AJ970=41,$AJ970=47),"⑤短期","対象外"))))))</f>
        <v>対象外</v>
      </c>
    </row>
    <row r="971">
      <c r="A971" t="n" s="2909">
        <v>31</v>
      </c>
      <c r="AA971" t="n" s="2909">
        <v>21</v>
      </c>
      <c r="AB971" t="inlineStr" s="2909">
        <is>
          <t>20221001</t>
        </is>
      </c>
      <c r="AD971" t="n" s="2909">
        <v>12</v>
      </c>
      <c r="AE971" t="inlineStr" s="2909">
        <is>
          <t>20250401</t>
        </is>
      </c>
      <c r="AH971" t="n" s="2909">
        <v>4</v>
      </c>
      <c r="AJ971" t="n" s="2909">
        <v>41</v>
      </c>
      <c r="AP971" t="n" s="2909">
        <v>200000</v>
      </c>
      <c r="DB971" s="2909" t="str">
        <f>IF($A971="","",IF($AE971&amp;""&lt;&gt;'DB_設定'!$C$4,"対象外",IF($AH971=20,IF(OR($AJ971=10,$AJ971=11,$AJ971=18),"①病院一般",IF($AJ971=41,"②病院短期","対象外")),IF($AH971=5,IF($AJ971=30,"③特定消防","対象外"),IF(OR($AJ971=10,$AJ971=11,$AJ971=74),"④一般",IF(OR($AJ971=41,$AJ971=47),"⑤短期","対象外"))))))</f>
        <v>⑤短期</v>
      </c>
    </row>
    <row r="972">
      <c r="A972" t="n" s="2909">
        <v>31</v>
      </c>
      <c r="AA972" t="n" s="2909">
        <v>21</v>
      </c>
      <c r="AB972" t="inlineStr" s="2909">
        <is>
          <t>20210401</t>
        </is>
      </c>
      <c r="AD972" t="n" s="2909">
        <v>12</v>
      </c>
      <c r="AE972" t="inlineStr" s="2909">
        <is>
          <t>20250801</t>
        </is>
      </c>
      <c r="AH972" t="n" s="2909">
        <v>1</v>
      </c>
      <c r="AJ972" t="n" s="2909">
        <v>41</v>
      </c>
      <c r="AP972" t="n" s="2909">
        <v>134000</v>
      </c>
      <c r="DB972" s="2909" t="str">
        <f>IF($A972="","",IF($AE972&amp;""&lt;&gt;'DB_設定'!$C$4,"対象外",IF($AH972=20,IF(OR($AJ972=10,$AJ972=11,$AJ972=18),"①病院一般",IF($AJ972=41,"②病院短期","対象外")),IF($AH972=5,IF($AJ972=30,"③特定消防","対象外"),IF(OR($AJ972=10,$AJ972=11,$AJ972=74),"④一般",IF(OR($AJ972=41,$AJ972=47),"⑤短期","対象外"))))))</f>
        <v>対象外</v>
      </c>
    </row>
    <row r="973">
      <c r="A973" t="n" s="2909">
        <v>31</v>
      </c>
      <c r="AA973" t="n" s="2909">
        <v>24</v>
      </c>
      <c r="AB973" t="inlineStr" s="2909">
        <is>
          <t>20250602</t>
        </is>
      </c>
      <c r="AD973" t="n" s="2909">
        <v>12</v>
      </c>
      <c r="AE973" t="inlineStr" s="2909">
        <is>
          <t>20251001</t>
        </is>
      </c>
      <c r="AH973" t="n" s="2909">
        <v>1</v>
      </c>
      <c r="AJ973" t="n" s="2909">
        <v>41</v>
      </c>
      <c r="AP973" t="n" s="2909">
        <v>142000</v>
      </c>
      <c r="DB973" s="2909" t="str">
        <f>IF($A973="","",IF($AE973&amp;""&lt;&gt;'DB_設定'!$C$4,"対象外",IF($AH973=20,IF(OR($AJ973=10,$AJ973=11,$AJ973=18),"①病院一般",IF($AJ973=41,"②病院短期","対象外")),IF($AH973=5,IF($AJ973=30,"③特定消防","対象外"),IF(OR($AJ973=10,$AJ973=11,$AJ973=74),"④一般",IF(OR($AJ973=41,$AJ973=47),"⑤短期","対象外"))))))</f>
        <v>対象外</v>
      </c>
    </row>
    <row r="974">
      <c r="A974" t="n" s="2909">
        <v>31</v>
      </c>
      <c r="AA974" t="n" s="2909">
        <v>21</v>
      </c>
      <c r="AB974" t="inlineStr" s="2909">
        <is>
          <t>20210601</t>
        </is>
      </c>
      <c r="AD974" t="n" s="2909">
        <v>12</v>
      </c>
      <c r="AE974" t="inlineStr" s="2909">
        <is>
          <t>20250401</t>
        </is>
      </c>
      <c r="AH974" t="n" s="2909">
        <v>1</v>
      </c>
      <c r="AJ974" t="n" s="2909">
        <v>10</v>
      </c>
      <c r="AP974" t="n" s="2909">
        <v>240000</v>
      </c>
      <c r="DB974" s="2909" t="str">
        <f>IF($A974="","",IF($AE974&amp;""&lt;&gt;'DB_設定'!$C$4,"対象外",IF($AH974=20,IF(OR($AJ974=10,$AJ974=11,$AJ974=18),"①病院一般",IF($AJ974=41,"②病院短期","対象外")),IF($AH974=5,IF($AJ974=30,"③特定消防","対象外"),IF(OR($AJ974=10,$AJ974=11,$AJ974=74),"④一般",IF(OR($AJ974=41,$AJ974=47),"⑤短期","対象外"))))))</f>
        <v>④一般</v>
      </c>
    </row>
    <row r="975">
      <c r="A975" t="n" s="2909">
        <v>31</v>
      </c>
      <c r="AA975" t="n" s="2909">
        <v>21</v>
      </c>
      <c r="AB975" t="inlineStr" s="2909">
        <is>
          <t>20221001</t>
        </is>
      </c>
      <c r="AD975" t="n" s="2909">
        <v>12</v>
      </c>
      <c r="AE975" t="inlineStr" s="2909">
        <is>
          <t>20250401</t>
        </is>
      </c>
      <c r="AH975" t="n" s="2909">
        <v>1</v>
      </c>
      <c r="AJ975" t="n" s="2909">
        <v>41</v>
      </c>
      <c r="AP975" t="n" s="2909">
        <v>126000</v>
      </c>
      <c r="DB975" s="2909" t="str">
        <f>IF($A975="","",IF($AE975&amp;""&lt;&gt;'DB_設定'!$C$4,"対象外",IF($AH975=20,IF(OR($AJ975=10,$AJ975=11,$AJ975=18),"①病院一般",IF($AJ975=41,"②病院短期","対象外")),IF($AH975=5,IF($AJ975=30,"③特定消防","対象外"),IF(OR($AJ975=10,$AJ975=11,$AJ975=74),"④一般",IF(OR($AJ975=41,$AJ975=47),"⑤短期","対象外"))))))</f>
        <v>⑤短期</v>
      </c>
    </row>
    <row r="976">
      <c r="A976" t="n" s="2909">
        <v>31</v>
      </c>
      <c r="AA976" t="n" s="2909">
        <v>21</v>
      </c>
      <c r="AB976" t="inlineStr" s="2909">
        <is>
          <t>20221001</t>
        </is>
      </c>
      <c r="AD976" t="n" s="2909">
        <v>12</v>
      </c>
      <c r="AE976" t="inlineStr" s="2909">
        <is>
          <t>20250401</t>
        </is>
      </c>
      <c r="AH976" t="n" s="2909">
        <v>1</v>
      </c>
      <c r="AJ976" t="n" s="2909">
        <v>41</v>
      </c>
      <c r="AP976" t="n" s="2909">
        <v>134000</v>
      </c>
      <c r="DB976" s="2909" t="str">
        <f>IF($A976="","",IF($AE976&amp;""&lt;&gt;'DB_設定'!$C$4,"対象外",IF($AH976=20,IF(OR($AJ976=10,$AJ976=11,$AJ976=18),"①病院一般",IF($AJ976=41,"②病院短期","対象外")),IF($AH976=5,IF($AJ976=30,"③特定消防","対象外"),IF(OR($AJ976=10,$AJ976=11,$AJ976=74),"④一般",IF(OR($AJ976=41,$AJ976=47),"⑤短期","対象外"))))))</f>
        <v>⑤短期</v>
      </c>
    </row>
    <row r="977">
      <c r="A977" t="n" s="2909">
        <v>31</v>
      </c>
      <c r="AA977" t="n" s="2909">
        <v>24</v>
      </c>
      <c r="AB977" t="inlineStr" s="2909">
        <is>
          <t>20250120</t>
        </is>
      </c>
      <c r="AD977" t="n" s="2909">
        <v>12</v>
      </c>
      <c r="AE977" t="inlineStr" s="2909">
        <is>
          <t>20250701</t>
        </is>
      </c>
      <c r="AH977" t="n" s="2909">
        <v>1</v>
      </c>
      <c r="AJ977" t="n" s="2909">
        <v>41</v>
      </c>
      <c r="AP977" t="n" s="2909">
        <v>142000</v>
      </c>
      <c r="DB977" s="2909" t="str">
        <f>IF($A977="","",IF($AE977&amp;""&lt;&gt;'DB_設定'!$C$4,"対象外",IF($AH977=20,IF(OR($AJ977=10,$AJ977=11,$AJ977=18),"①病院一般",IF($AJ977=41,"②病院短期","対象外")),IF($AH977=5,IF($AJ977=30,"③特定消防","対象外"),IF(OR($AJ977=10,$AJ977=11,$AJ977=74),"④一般",IF(OR($AJ977=41,$AJ977=47),"⑤短期","対象外"))))))</f>
        <v>対象外</v>
      </c>
    </row>
    <row r="978">
      <c r="A978" t="n" s="2909">
        <v>31</v>
      </c>
      <c r="AA978" t="n" s="2909">
        <v>21</v>
      </c>
      <c r="AB978" t="inlineStr" s="2909">
        <is>
          <t>20221001</t>
        </is>
      </c>
      <c r="AD978" t="n" s="2909">
        <v>12</v>
      </c>
      <c r="AE978" t="inlineStr" s="2909">
        <is>
          <t>20250401</t>
        </is>
      </c>
      <c r="AH978" t="n" s="2909">
        <v>1</v>
      </c>
      <c r="AJ978" t="n" s="2909">
        <v>41</v>
      </c>
      <c r="AP978" t="n" s="2909">
        <v>240000</v>
      </c>
      <c r="DB978" s="2909" t="str">
        <f>IF($A978="","",IF($AE978&amp;""&lt;&gt;'DB_設定'!$C$4,"対象外",IF($AH978=20,IF(OR($AJ978=10,$AJ978=11,$AJ978=18),"①病院一般",IF($AJ978=41,"②病院短期","対象外")),IF($AH978=5,IF($AJ978=30,"③特定消防","対象外"),IF(OR($AJ978=10,$AJ978=11,$AJ978=74),"④一般",IF(OR($AJ978=41,$AJ978=47),"⑤短期","対象外"))))))</f>
        <v>⑤短期</v>
      </c>
    </row>
    <row r="979">
      <c r="A979" t="n" s="2909">
        <v>31</v>
      </c>
      <c r="AA979" t="n" s="2909">
        <v>21</v>
      </c>
      <c r="AB979" t="inlineStr" s="2909">
        <is>
          <t>20221001</t>
        </is>
      </c>
      <c r="AD979" t="n" s="2909">
        <v>12</v>
      </c>
      <c r="AE979" t="inlineStr" s="2909">
        <is>
          <t>20250401</t>
        </is>
      </c>
      <c r="AH979" t="n" s="2909">
        <v>1</v>
      </c>
      <c r="AJ979" t="n" s="2909">
        <v>41</v>
      </c>
      <c r="AP979" t="n" s="2909">
        <v>190000</v>
      </c>
      <c r="DB979" s="2909" t="str">
        <f>IF($A979="","",IF($AE979&amp;""&lt;&gt;'DB_設定'!$C$4,"対象外",IF($AH979=20,IF(OR($AJ979=10,$AJ979=11,$AJ979=18),"①病院一般",IF($AJ979=41,"②病院短期","対象外")),IF($AH979=5,IF($AJ979=30,"③特定消防","対象外"),IF(OR($AJ979=10,$AJ979=11,$AJ979=74),"④一般",IF(OR($AJ979=41,$AJ979=47),"⑤短期","対象外"))))))</f>
        <v>⑤短期</v>
      </c>
    </row>
    <row r="980">
      <c r="A980" t="n" s="2909">
        <v>31</v>
      </c>
      <c r="AA980" t="n" s="2909">
        <v>24</v>
      </c>
      <c r="AB980" t="inlineStr" s="2909">
        <is>
          <t>20240401</t>
        </is>
      </c>
      <c r="AD980" t="n" s="2909">
        <v>12</v>
      </c>
      <c r="AE980" t="inlineStr" s="2909">
        <is>
          <t>20250401</t>
        </is>
      </c>
      <c r="AH980" t="n" s="2909">
        <v>1</v>
      </c>
      <c r="AJ980" t="n" s="2909">
        <v>41</v>
      </c>
      <c r="AP980" t="n" s="2909">
        <v>190000</v>
      </c>
      <c r="DB980" s="2909" t="str">
        <f>IF($A980="","",IF($AE980&amp;""&lt;&gt;'DB_設定'!$C$4,"対象外",IF($AH980=20,IF(OR($AJ980=10,$AJ980=11,$AJ980=18),"①病院一般",IF($AJ980=41,"②病院短期","対象外")),IF($AH980=5,IF($AJ980=30,"③特定消防","対象外"),IF(OR($AJ980=10,$AJ980=11,$AJ980=74),"④一般",IF(OR($AJ980=41,$AJ980=47),"⑤短期","対象外"))))))</f>
        <v>⑤短期</v>
      </c>
    </row>
    <row r="981">
      <c r="A981" t="n" s="2909">
        <v>31</v>
      </c>
      <c r="AA981" t="n" s="2909">
        <v>21</v>
      </c>
      <c r="AB981" t="inlineStr" s="2909">
        <is>
          <t>20221001</t>
        </is>
      </c>
      <c r="AD981" t="n" s="2909">
        <v>12</v>
      </c>
      <c r="AE981" t="inlineStr" s="2909">
        <is>
          <t>20250401</t>
        </is>
      </c>
      <c r="AH981" t="n" s="2909">
        <v>1</v>
      </c>
      <c r="AJ981" t="n" s="2909">
        <v>41</v>
      </c>
      <c r="AP981" t="n" s="2909">
        <v>160000</v>
      </c>
      <c r="DB981" s="2909" t="str">
        <f>IF($A981="","",IF($AE981&amp;""&lt;&gt;'DB_設定'!$C$4,"対象外",IF($AH981=20,IF(OR($AJ981=10,$AJ981=11,$AJ981=18),"①病院一般",IF($AJ981=41,"②病院短期","対象外")),IF($AH981=5,IF($AJ981=30,"③特定消防","対象外"),IF(OR($AJ981=10,$AJ981=11,$AJ981=74),"④一般",IF(OR($AJ981=41,$AJ981=47),"⑤短期","対象外"))))))</f>
        <v>⑤短期</v>
      </c>
    </row>
    <row r="982">
      <c r="A982" t="n" s="2909">
        <v>31</v>
      </c>
      <c r="AA982" t="n" s="2909">
        <v>21</v>
      </c>
      <c r="AB982" t="inlineStr" s="2909">
        <is>
          <t>20250201</t>
        </is>
      </c>
      <c r="AD982" t="n" s="2909">
        <v>12</v>
      </c>
      <c r="AE982" t="inlineStr" s="2909">
        <is>
          <t>20250801</t>
        </is>
      </c>
      <c r="AH982" t="n" s="2909">
        <v>1</v>
      </c>
      <c r="AJ982" t="n" s="2909">
        <v>41</v>
      </c>
      <c r="AP982" t="n" s="2909">
        <v>134000</v>
      </c>
      <c r="DB982" s="2909" t="str">
        <f>IF($A982="","",IF($AE982&amp;""&lt;&gt;'DB_設定'!$C$4,"対象外",IF($AH982=20,IF(OR($AJ982=10,$AJ982=11,$AJ982=18),"①病院一般",IF($AJ982=41,"②病院短期","対象外")),IF($AH982=5,IF($AJ982=30,"③特定消防","対象外"),IF(OR($AJ982=10,$AJ982=11,$AJ982=74),"④一般",IF(OR($AJ982=41,$AJ982=47),"⑤短期","対象外"))))))</f>
        <v>対象外</v>
      </c>
    </row>
    <row r="983">
      <c r="A983" t="n" s="2909">
        <v>31</v>
      </c>
      <c r="AA983" t="n" s="2909">
        <v>21</v>
      </c>
      <c r="AB983" t="inlineStr" s="2909">
        <is>
          <t>20240501</t>
        </is>
      </c>
      <c r="AD983" t="n" s="2909">
        <v>12</v>
      </c>
      <c r="AE983" t="inlineStr" s="2909">
        <is>
          <t>20250410</t>
        </is>
      </c>
      <c r="AH983" t="n" s="2909">
        <v>11</v>
      </c>
      <c r="AJ983" t="n" s="2909">
        <v>41</v>
      </c>
      <c r="AP983" t="n" s="2909">
        <v>170000</v>
      </c>
      <c r="DB983" s="2909" t="str">
        <f>IF($A983="","",IF($AE983&amp;""&lt;&gt;'DB_設定'!$C$4,"対象外",IF($AH983=20,IF(OR($AJ983=10,$AJ983=11,$AJ983=18),"①病院一般",IF($AJ983=41,"②病院短期","対象外")),IF($AH983=5,IF($AJ983=30,"③特定消防","対象外"),IF(OR($AJ983=10,$AJ983=11,$AJ983=74),"④一般",IF(OR($AJ983=41,$AJ983=47),"⑤短期","対象外"))))))</f>
        <v>対象外</v>
      </c>
    </row>
    <row r="984">
      <c r="A984" t="n" s="2909">
        <v>31</v>
      </c>
      <c r="AA984" t="n" s="2909">
        <v>21</v>
      </c>
      <c r="AB984" t="inlineStr" s="2909">
        <is>
          <t>20221001</t>
        </is>
      </c>
      <c r="AD984" t="n" s="2909">
        <v>12</v>
      </c>
      <c r="AE984" t="inlineStr" s="2909">
        <is>
          <t>20250705</t>
        </is>
      </c>
      <c r="AH984" t="n" s="2909">
        <v>1</v>
      </c>
      <c r="AJ984" t="n" s="2909">
        <v>41</v>
      </c>
      <c r="AP984" t="n" s="2909">
        <v>126000</v>
      </c>
      <c r="DB984" s="2909" t="str">
        <f>IF($A984="","",IF($AE984&amp;""&lt;&gt;'DB_設定'!$C$4,"対象外",IF($AH984=20,IF(OR($AJ984=10,$AJ984=11,$AJ984=18),"①病院一般",IF($AJ984=41,"②病院短期","対象外")),IF($AH984=5,IF($AJ984=30,"③特定消防","対象外"),IF(OR($AJ984=10,$AJ984=11,$AJ984=74),"④一般",IF(OR($AJ984=41,$AJ984=47),"⑤短期","対象外"))))))</f>
        <v>対象外</v>
      </c>
    </row>
    <row r="985">
      <c r="A985" t="n" s="2909">
        <v>31</v>
      </c>
      <c r="AA985" t="n" s="2909">
        <v>21</v>
      </c>
      <c r="AB985" t="inlineStr" s="2909">
        <is>
          <t>20221001</t>
        </is>
      </c>
      <c r="AD985" t="n" s="2909">
        <v>12</v>
      </c>
      <c r="AE985" t="inlineStr" s="2909">
        <is>
          <t>20250401</t>
        </is>
      </c>
      <c r="AH985" t="n" s="2909">
        <v>1</v>
      </c>
      <c r="AJ985" t="n" s="2909">
        <v>41</v>
      </c>
      <c r="AP985" t="n" s="2909">
        <v>190000</v>
      </c>
      <c r="DB985" s="2909" t="str">
        <f>IF($A985="","",IF($AE985&amp;""&lt;&gt;'DB_設定'!$C$4,"対象外",IF($AH985=20,IF(OR($AJ985=10,$AJ985=11,$AJ985=18),"①病院一般",IF($AJ985=41,"②病院短期","対象外")),IF($AH985=5,IF($AJ985=30,"③特定消防","対象外"),IF(OR($AJ985=10,$AJ985=11,$AJ985=74),"④一般",IF(OR($AJ985=41,$AJ985=47),"⑤短期","対象外"))))))</f>
        <v>⑤短期</v>
      </c>
    </row>
    <row r="986">
      <c r="A986" t="n" s="2909">
        <v>31</v>
      </c>
      <c r="AA986" t="n" s="2909">
        <v>21</v>
      </c>
      <c r="AB986" t="inlineStr" s="2909">
        <is>
          <t>20221001</t>
        </is>
      </c>
      <c r="AD986" t="n" s="2909">
        <v>12</v>
      </c>
      <c r="AE986" t="inlineStr" s="2909">
        <is>
          <t>20250401</t>
        </is>
      </c>
      <c r="AH986" t="n" s="2909">
        <v>11</v>
      </c>
      <c r="AJ986" t="n" s="2909">
        <v>41</v>
      </c>
      <c r="AP986" t="n" s="2909">
        <v>160000</v>
      </c>
      <c r="DB986" s="2909" t="str">
        <f>IF($A986="","",IF($AE986&amp;""&lt;&gt;'DB_設定'!$C$4,"対象外",IF($AH986=20,IF(OR($AJ986=10,$AJ986=11,$AJ986=18),"①病院一般",IF($AJ986=41,"②病院短期","対象外")),IF($AH986=5,IF($AJ986=30,"③特定消防","対象外"),IF(OR($AJ986=10,$AJ986=11,$AJ986=74),"④一般",IF(OR($AJ986=41,$AJ986=47),"⑤短期","対象外"))))))</f>
        <v>⑤短期</v>
      </c>
    </row>
    <row r="987">
      <c r="A987" t="n" s="2909">
        <v>31</v>
      </c>
      <c r="AA987" t="n" s="2909">
        <v>21</v>
      </c>
      <c r="AB987" t="inlineStr" s="2909">
        <is>
          <t>20221001</t>
        </is>
      </c>
      <c r="AD987" t="n" s="2909">
        <v>12</v>
      </c>
      <c r="AE987" t="inlineStr" s="2909">
        <is>
          <t>20250401</t>
        </is>
      </c>
      <c r="AH987" t="n" s="2909">
        <v>1</v>
      </c>
      <c r="AJ987" t="n" s="2909">
        <v>41</v>
      </c>
      <c r="AP987" t="n" s="2909">
        <v>190000</v>
      </c>
      <c r="DB987" s="2909" t="str">
        <f>IF($A987="","",IF($AE987&amp;""&lt;&gt;'DB_設定'!$C$4,"対象外",IF($AH987=20,IF(OR($AJ987=10,$AJ987=11,$AJ987=18),"①病院一般",IF($AJ987=41,"②病院短期","対象外")),IF($AH987=5,IF($AJ987=30,"③特定消防","対象外"),IF(OR($AJ987=10,$AJ987=11,$AJ987=74),"④一般",IF(OR($AJ987=41,$AJ987=47),"⑤短期","対象外"))))))</f>
        <v>⑤短期</v>
      </c>
    </row>
    <row r="988">
      <c r="A988" t="n" s="2909">
        <v>31</v>
      </c>
      <c r="AA988" t="n" s="2909">
        <v>21</v>
      </c>
      <c r="AB988" t="inlineStr" s="2909">
        <is>
          <t>20220601</t>
        </is>
      </c>
      <c r="AD988" t="n" s="2909">
        <v>12</v>
      </c>
      <c r="AE988" t="inlineStr" s="2909">
        <is>
          <t>20250401</t>
        </is>
      </c>
      <c r="AH988" t="n" s="2909">
        <v>1</v>
      </c>
      <c r="AJ988" t="n" s="2909">
        <v>10</v>
      </c>
      <c r="AP988" t="n" s="2909">
        <v>240000</v>
      </c>
      <c r="DB988" s="2909" t="str">
        <f>IF($A988="","",IF($AE988&amp;""&lt;&gt;'DB_設定'!$C$4,"対象外",IF($AH988=20,IF(OR($AJ988=10,$AJ988=11,$AJ988=18),"①病院一般",IF($AJ988=41,"②病院短期","対象外")),IF($AH988=5,IF($AJ988=30,"③特定消防","対象外"),IF(OR($AJ988=10,$AJ988=11,$AJ988=74),"④一般",IF(OR($AJ988=41,$AJ988=47),"⑤短期","対象外"))))))</f>
        <v>④一般</v>
      </c>
    </row>
    <row r="989">
      <c r="A989" t="n" s="2909">
        <v>31</v>
      </c>
      <c r="AA989" t="n" s="2909">
        <v>21</v>
      </c>
      <c r="AB989" t="inlineStr" s="2909">
        <is>
          <t>20221001</t>
        </is>
      </c>
      <c r="AD989" t="n" s="2909">
        <v>12</v>
      </c>
      <c r="AE989" t="inlineStr" s="2909">
        <is>
          <t>20250401</t>
        </is>
      </c>
      <c r="AH989" t="n" s="2909">
        <v>1</v>
      </c>
      <c r="AJ989" t="n" s="2909">
        <v>41</v>
      </c>
      <c r="AP989" t="n" s="2909">
        <v>126000</v>
      </c>
      <c r="DB989" s="2909" t="str">
        <f>IF($A989="","",IF($AE989&amp;""&lt;&gt;'DB_設定'!$C$4,"対象外",IF($AH989=20,IF(OR($AJ989=10,$AJ989=11,$AJ989=18),"①病院一般",IF($AJ989=41,"②病院短期","対象外")),IF($AH989=5,IF($AJ989=30,"③特定消防","対象外"),IF(OR($AJ989=10,$AJ989=11,$AJ989=74),"④一般",IF(OR($AJ989=41,$AJ989=47),"⑤短期","対象外"))))))</f>
        <v>⑤短期</v>
      </c>
    </row>
    <row r="990">
      <c r="A990" t="n" s="2909">
        <v>31</v>
      </c>
      <c r="AA990" t="n" s="2909">
        <v>21</v>
      </c>
      <c r="AB990" t="inlineStr" s="2909">
        <is>
          <t>20221001</t>
        </is>
      </c>
      <c r="AD990" t="n" s="2909">
        <v>12</v>
      </c>
      <c r="AE990" t="inlineStr" s="2909">
        <is>
          <t>20250401</t>
        </is>
      </c>
      <c r="AH990" t="n" s="2909">
        <v>1</v>
      </c>
      <c r="AJ990" t="n" s="2909">
        <v>41</v>
      </c>
      <c r="AP990" t="n" s="2909">
        <v>240000</v>
      </c>
      <c r="DB990" s="2909" t="str">
        <f>IF($A990="","",IF($AE990&amp;""&lt;&gt;'DB_設定'!$C$4,"対象外",IF($AH990=20,IF(OR($AJ990=10,$AJ990=11,$AJ990=18),"①病院一般",IF($AJ990=41,"②病院短期","対象外")),IF($AH990=5,IF($AJ990=30,"③特定消防","対象外"),IF(OR($AJ990=10,$AJ990=11,$AJ990=74),"④一般",IF(OR($AJ990=41,$AJ990=47),"⑤短期","対象外"))))))</f>
        <v>⑤短期</v>
      </c>
    </row>
    <row r="991">
      <c r="A991" t="n" s="2909">
        <v>31</v>
      </c>
      <c r="AA991" t="n" s="2909">
        <v>21</v>
      </c>
      <c r="AB991" t="inlineStr" s="2909">
        <is>
          <t>20221001</t>
        </is>
      </c>
      <c r="AD991" t="n" s="2909">
        <v>12</v>
      </c>
      <c r="AE991" t="inlineStr" s="2909">
        <is>
          <t>20250401</t>
        </is>
      </c>
      <c r="AH991" t="n" s="2909">
        <v>1</v>
      </c>
      <c r="AJ991" t="n" s="2909">
        <v>41</v>
      </c>
      <c r="AP991" t="n" s="2909">
        <v>118000</v>
      </c>
      <c r="DB991" s="2909" t="str">
        <f>IF($A991="","",IF($AE991&amp;""&lt;&gt;'DB_設定'!$C$4,"対象外",IF($AH991=20,IF(OR($AJ991=10,$AJ991=11,$AJ991=18),"①病院一般",IF($AJ991=41,"②病院短期","対象外")),IF($AH991=5,IF($AJ991=30,"③特定消防","対象外"),IF(OR($AJ991=10,$AJ991=11,$AJ991=74),"④一般",IF(OR($AJ991=41,$AJ991=47),"⑤短期","対象外"))))))</f>
        <v>⑤短期</v>
      </c>
    </row>
    <row r="992">
      <c r="A992" t="n" s="2909">
        <v>31</v>
      </c>
      <c r="AA992" t="n" s="2909">
        <v>21</v>
      </c>
      <c r="AB992" t="inlineStr" s="2909">
        <is>
          <t>20231001</t>
        </is>
      </c>
      <c r="AD992" t="n" s="2909">
        <v>11</v>
      </c>
      <c r="AE992" t="inlineStr" s="2909">
        <is>
          <t>20250401</t>
        </is>
      </c>
      <c r="AH992" t="n" s="2909">
        <v>1</v>
      </c>
      <c r="AJ992" t="n" s="2909">
        <v>41</v>
      </c>
      <c r="AP992" t="n" s="2909">
        <v>126000</v>
      </c>
      <c r="DB992" s="2909" t="str">
        <f>IF($A992="","",IF($AE992&amp;""&lt;&gt;'DB_設定'!$C$4,"対象外",IF($AH992=20,IF(OR($AJ992=10,$AJ992=11,$AJ992=18),"①病院一般",IF($AJ992=41,"②病院短期","対象外")),IF($AH992=5,IF($AJ992=30,"③特定消防","対象外"),IF(OR($AJ992=10,$AJ992=11,$AJ992=74),"④一般",IF(OR($AJ992=41,$AJ992=47),"⑤短期","対象外"))))))</f>
        <v>⑤短期</v>
      </c>
    </row>
    <row r="993">
      <c r="A993" t="n" s="2909">
        <v>31</v>
      </c>
      <c r="AA993" t="n" s="2909">
        <v>21</v>
      </c>
      <c r="AB993" t="inlineStr" s="2909">
        <is>
          <t>20240513</t>
        </is>
      </c>
      <c r="AD993" t="n" s="2909">
        <v>12</v>
      </c>
      <c r="AE993" t="inlineStr" s="2909">
        <is>
          <t>20250401</t>
        </is>
      </c>
      <c r="AH993" t="n" s="2909">
        <v>1</v>
      </c>
      <c r="AJ993" t="n" s="2909">
        <v>41</v>
      </c>
      <c r="AP993" t="n" s="2909">
        <v>180000</v>
      </c>
      <c r="DB993" s="2909" t="str">
        <f>IF($A993="","",IF($AE993&amp;""&lt;&gt;'DB_設定'!$C$4,"対象外",IF($AH993=20,IF(OR($AJ993=10,$AJ993=11,$AJ993=18),"①病院一般",IF($AJ993=41,"②病院短期","対象外")),IF($AH993=5,IF($AJ993=30,"③特定消防","対象外"),IF(OR($AJ993=10,$AJ993=11,$AJ993=74),"④一般",IF(OR($AJ993=41,$AJ993=47),"⑤短期","対象外"))))))</f>
        <v>⑤短期</v>
      </c>
    </row>
    <row r="994">
      <c r="A994" t="n" s="2909">
        <v>31</v>
      </c>
      <c r="AA994" t="n" s="2909">
        <v>21</v>
      </c>
      <c r="AB994" t="inlineStr" s="2909">
        <is>
          <t>20240401</t>
        </is>
      </c>
      <c r="AD994" t="n" s="2909">
        <v>12</v>
      </c>
      <c r="AE994" t="inlineStr" s="2909">
        <is>
          <t>20250601</t>
        </is>
      </c>
      <c r="AH994" t="n" s="2909">
        <v>1</v>
      </c>
      <c r="AJ994" t="n" s="2909">
        <v>41</v>
      </c>
      <c r="AP994" t="n" s="2909">
        <v>134000</v>
      </c>
      <c r="DB994" s="2909" t="str">
        <f>IF($A994="","",IF($AE994&amp;""&lt;&gt;'DB_設定'!$C$4,"対象外",IF($AH994=20,IF(OR($AJ994=10,$AJ994=11,$AJ994=18),"①病院一般",IF($AJ994=41,"②病院短期","対象外")),IF($AH994=5,IF($AJ994=30,"③特定消防","対象外"),IF(OR($AJ994=10,$AJ994=11,$AJ994=74),"④一般",IF(OR($AJ994=41,$AJ994=47),"⑤短期","対象外"))))))</f>
        <v>対象外</v>
      </c>
    </row>
    <row r="995">
      <c r="A995" t="n" s="2909">
        <v>31</v>
      </c>
      <c r="AA995" t="n" s="2909">
        <v>21</v>
      </c>
      <c r="AB995" t="inlineStr" s="2909">
        <is>
          <t>20241101</t>
        </is>
      </c>
      <c r="AD995" t="n" s="2909">
        <v>12</v>
      </c>
      <c r="AE995" t="inlineStr" s="2909">
        <is>
          <t>20250401</t>
        </is>
      </c>
      <c r="AH995" t="n" s="2909">
        <v>1</v>
      </c>
      <c r="AJ995" t="n" s="2909">
        <v>41</v>
      </c>
      <c r="AP995" t="n" s="2909">
        <v>142000</v>
      </c>
      <c r="DB995" s="2909" t="str">
        <f>IF($A995="","",IF($AE995&amp;""&lt;&gt;'DB_設定'!$C$4,"対象外",IF($AH995=20,IF(OR($AJ995=10,$AJ995=11,$AJ995=18),"①病院一般",IF($AJ995=41,"②病院短期","対象外")),IF($AH995=5,IF($AJ995=30,"③特定消防","対象外"),IF(OR($AJ995=10,$AJ995=11,$AJ995=74),"④一般",IF(OR($AJ995=41,$AJ995=47),"⑤短期","対象外"))))))</f>
        <v>⑤短期</v>
      </c>
    </row>
    <row r="996">
      <c r="A996" t="n" s="2909">
        <v>31</v>
      </c>
      <c r="AA996" t="n" s="2909">
        <v>24</v>
      </c>
      <c r="AB996" t="inlineStr" s="2909">
        <is>
          <t>20250401</t>
        </is>
      </c>
      <c r="AD996" t="n" s="2909">
        <v>12</v>
      </c>
      <c r="AE996" t="inlineStr" s="2909">
        <is>
          <t>20250801</t>
        </is>
      </c>
      <c r="AH996" t="n" s="2909">
        <v>1</v>
      </c>
      <c r="AJ996" t="n" s="2909">
        <v>41</v>
      </c>
      <c r="AP996" t="n" s="2909">
        <v>142000</v>
      </c>
      <c r="DB996" s="2909" t="str">
        <f>IF($A996="","",IF($AE996&amp;""&lt;&gt;'DB_設定'!$C$4,"対象外",IF($AH996=20,IF(OR($AJ996=10,$AJ996=11,$AJ996=18),"①病院一般",IF($AJ996=41,"②病院短期","対象外")),IF($AH996=5,IF($AJ996=30,"③特定消防","対象外"),IF(OR($AJ996=10,$AJ996=11,$AJ996=74),"④一般",IF(OR($AJ996=41,$AJ996=47),"⑤短期","対象外"))))))</f>
        <v>対象外</v>
      </c>
    </row>
    <row r="997">
      <c r="A997" t="n" s="2909">
        <v>31</v>
      </c>
      <c r="AA997" t="n" s="2909">
        <v>21</v>
      </c>
      <c r="AB997" t="inlineStr" s="2909">
        <is>
          <t>20221001</t>
        </is>
      </c>
      <c r="AD997" t="n" s="2909">
        <v>12</v>
      </c>
      <c r="AE997" t="inlineStr" s="2909">
        <is>
          <t>20250501</t>
        </is>
      </c>
      <c r="AH997" t="n" s="2909">
        <v>1</v>
      </c>
      <c r="AJ997" t="n" s="2909">
        <v>41</v>
      </c>
      <c r="AP997" t="n" s="2909">
        <v>134000</v>
      </c>
      <c r="DB997" s="2909" t="str">
        <f>IF($A997="","",IF($AE997&amp;""&lt;&gt;'DB_設定'!$C$4,"対象外",IF($AH997=20,IF(OR($AJ997=10,$AJ997=11,$AJ997=18),"①病院一般",IF($AJ997=41,"②病院短期","対象外")),IF($AH997=5,IF($AJ997=30,"③特定消防","対象外"),IF(OR($AJ997=10,$AJ997=11,$AJ997=74),"④一般",IF(OR($AJ997=41,$AJ997=47),"⑤短期","対象外"))))))</f>
        <v>対象外</v>
      </c>
    </row>
    <row r="998">
      <c r="A998" t="n" s="2909">
        <v>31</v>
      </c>
      <c r="AA998" t="n" s="2909">
        <v>21</v>
      </c>
      <c r="AB998" t="inlineStr" s="2909">
        <is>
          <t>20221001</t>
        </is>
      </c>
      <c r="AD998" t="n" s="2909">
        <v>12</v>
      </c>
      <c r="AE998" t="inlineStr" s="2909">
        <is>
          <t>20250401</t>
        </is>
      </c>
      <c r="AH998" t="n" s="2909">
        <v>1</v>
      </c>
      <c r="AJ998" t="n" s="2909">
        <v>41</v>
      </c>
      <c r="AP998" t="n" s="2909">
        <v>118000</v>
      </c>
      <c r="DB998" s="2909" t="str">
        <f>IF($A998="","",IF($AE998&amp;""&lt;&gt;'DB_設定'!$C$4,"対象外",IF($AH998=20,IF(OR($AJ998=10,$AJ998=11,$AJ998=18),"①病院一般",IF($AJ998=41,"②病院短期","対象外")),IF($AH998=5,IF($AJ998=30,"③特定消防","対象外"),IF(OR($AJ998=10,$AJ998=11,$AJ998=74),"④一般",IF(OR($AJ998=41,$AJ998=47),"⑤短期","対象外"))))))</f>
        <v>⑤短期</v>
      </c>
    </row>
    <row r="999">
      <c r="A999" t="n" s="2909">
        <v>31</v>
      </c>
      <c r="AA999" t="n" s="2909">
        <v>24</v>
      </c>
      <c r="AB999" t="inlineStr" s="2909">
        <is>
          <t>20250717</t>
        </is>
      </c>
      <c r="AD999" t="n" s="2909">
        <v>12</v>
      </c>
      <c r="AE999" t="inlineStr" s="2909">
        <is>
          <t>20250927</t>
        </is>
      </c>
      <c r="AH999" t="n" s="2909">
        <v>1</v>
      </c>
      <c r="AJ999" t="n" s="2909">
        <v>41</v>
      </c>
      <c r="AP999" t="n" s="2909">
        <v>126000</v>
      </c>
      <c r="DB999" s="2909" t="str">
        <f>IF($A999="","",IF($AE999&amp;""&lt;&gt;'DB_設定'!$C$4,"対象外",IF($AH999=20,IF(OR($AJ999=10,$AJ999=11,$AJ999=18),"①病院一般",IF($AJ999=41,"②病院短期","対象外")),IF($AH999=5,IF($AJ999=30,"③特定消防","対象外"),IF(OR($AJ999=10,$AJ999=11,$AJ999=74),"④一般",IF(OR($AJ999=41,$AJ999=47),"⑤短期","対象外"))))))</f>
        <v>対象外</v>
      </c>
    </row>
    <row r="1000">
      <c r="A1000" t="n" s="2909">
        <v>31</v>
      </c>
      <c r="AA1000" t="n" s="2909">
        <v>21</v>
      </c>
      <c r="AB1000" t="inlineStr" s="2909">
        <is>
          <t>20221001</t>
        </is>
      </c>
      <c r="AD1000" t="n" s="2909">
        <v>12</v>
      </c>
      <c r="AE1000" t="inlineStr" s="2909">
        <is>
          <t>20250401</t>
        </is>
      </c>
      <c r="AH1000" t="n" s="2909">
        <v>20</v>
      </c>
      <c r="AJ1000" t="n" s="2909">
        <v>10</v>
      </c>
      <c r="AP1000" t="n" s="2909">
        <v>750000</v>
      </c>
      <c r="DB1000" s="2909" t="str">
        <f>IF($A1000="","",IF($AE1000&amp;""&lt;&gt;'DB_設定'!$C$4,"対象外",IF($AH1000=20,IF(OR($AJ1000=10,$AJ1000=11,$AJ1000=18),"①病院一般",IF($AJ1000=41,"②病院短期","対象外")),IF($AH1000=5,IF($AJ1000=30,"③特定消防","対象外"),IF(OR($AJ1000=10,$AJ1000=11,$AJ1000=74),"④一般",IF(OR($AJ1000=41,$AJ1000=47),"⑤短期","対象外"))))))</f>
        <v>①病院一般</v>
      </c>
    </row>
    <row r="1001">
      <c r="A1001" t="n" s="2909">
        <v>31</v>
      </c>
      <c r="AA1001" t="n" s="2909">
        <v>21</v>
      </c>
      <c r="AB1001" t="inlineStr" s="2909">
        <is>
          <t>20221001</t>
        </is>
      </c>
      <c r="AD1001" t="n" s="2909">
        <v>12</v>
      </c>
      <c r="AE1001" t="inlineStr" s="2909">
        <is>
          <t>20250401</t>
        </is>
      </c>
      <c r="AH1001" t="n" s="2909">
        <v>20</v>
      </c>
      <c r="AJ1001" t="n" s="2909">
        <v>10</v>
      </c>
      <c r="AP1001" t="n" s="2909">
        <v>620000</v>
      </c>
      <c r="DB1001" s="2909" t="str">
        <f>IF($A1001="","",IF($AE1001&amp;""&lt;&gt;'DB_設定'!$C$4,"対象外",IF($AH1001=20,IF(OR($AJ1001=10,$AJ1001=11,$AJ1001=18),"①病院一般",IF($AJ1001=41,"②病院短期","対象外")),IF($AH1001=5,IF($AJ1001=30,"③特定消防","対象外"),IF(OR($AJ1001=10,$AJ1001=11,$AJ1001=74),"④一般",IF(OR($AJ1001=41,$AJ1001=47),"⑤短期","対象外"))))))</f>
        <v>①病院一般</v>
      </c>
    </row>
    <row r="1002">
      <c r="A1002" t="n" s="2909">
        <v>31</v>
      </c>
      <c r="AA1002" t="n" s="2909">
        <v>21</v>
      </c>
      <c r="AB1002" t="inlineStr" s="2909">
        <is>
          <t>20221001</t>
        </is>
      </c>
      <c r="AD1002" t="n" s="2909">
        <v>12</v>
      </c>
      <c r="AE1002" t="inlineStr" s="2909">
        <is>
          <t>20250401</t>
        </is>
      </c>
      <c r="AH1002" t="n" s="2909">
        <v>20</v>
      </c>
      <c r="AJ1002" t="n" s="2909">
        <v>10</v>
      </c>
      <c r="AP1002" t="n" s="2909">
        <v>830000</v>
      </c>
      <c r="DB1002" s="2909" t="str">
        <f>IF($A1002="","",IF($AE1002&amp;""&lt;&gt;'DB_設定'!$C$4,"対象外",IF($AH1002=20,IF(OR($AJ1002=10,$AJ1002=11,$AJ1002=18),"①病院一般",IF($AJ1002=41,"②病院短期","対象外")),IF($AH1002=5,IF($AJ1002=30,"③特定消防","対象外"),IF(OR($AJ1002=10,$AJ1002=11,$AJ1002=74),"④一般",IF(OR($AJ1002=41,$AJ1002=47),"⑤短期","対象外"))))))</f>
        <v>①病院一般</v>
      </c>
    </row>
    <row r="1003">
      <c r="A1003" t="n" s="2909">
        <v>31</v>
      </c>
      <c r="AA1003" t="n" s="2909">
        <v>21</v>
      </c>
      <c r="AB1003" t="inlineStr" s="2909">
        <is>
          <t>20221001</t>
        </is>
      </c>
      <c r="AD1003" t="n" s="2909">
        <v>12</v>
      </c>
      <c r="AE1003" t="inlineStr" s="2909">
        <is>
          <t>20250401</t>
        </is>
      </c>
      <c r="AH1003" t="n" s="2909">
        <v>20</v>
      </c>
      <c r="AJ1003" t="n" s="2909">
        <v>10</v>
      </c>
      <c r="AP1003" t="n" s="2909">
        <v>750000</v>
      </c>
      <c r="DB1003" s="2909" t="str">
        <f>IF($A1003="","",IF($AE1003&amp;""&lt;&gt;'DB_設定'!$C$4,"対象外",IF($AH1003=20,IF(OR($AJ1003=10,$AJ1003=11,$AJ1003=18),"①病院一般",IF($AJ1003=41,"②病院短期","対象外")),IF($AH1003=5,IF($AJ1003=30,"③特定消防","対象外"),IF(OR($AJ1003=10,$AJ1003=11,$AJ1003=74),"④一般",IF(OR($AJ1003=41,$AJ1003=47),"⑤短期","対象外"))))))</f>
        <v>①病院一般</v>
      </c>
    </row>
    <row r="1004">
      <c r="A1004" t="n" s="2909">
        <v>31</v>
      </c>
      <c r="AA1004" t="n" s="2909">
        <v>21</v>
      </c>
      <c r="AB1004" t="inlineStr" s="2909">
        <is>
          <t>20221001</t>
        </is>
      </c>
      <c r="AD1004" t="n" s="2909">
        <v>12</v>
      </c>
      <c r="AE1004" t="inlineStr" s="2909">
        <is>
          <t>20250401</t>
        </is>
      </c>
      <c r="AH1004" t="n" s="2909">
        <v>20</v>
      </c>
      <c r="AJ1004" t="n" s="2909">
        <v>10</v>
      </c>
      <c r="AP1004" t="n" s="2909">
        <v>750000</v>
      </c>
      <c r="DB1004" s="2909" t="str">
        <f>IF($A1004="","",IF($AE1004&amp;""&lt;&gt;'DB_設定'!$C$4,"対象外",IF($AH1004=20,IF(OR($AJ1004=10,$AJ1004=11,$AJ1004=18),"①病院一般",IF($AJ1004=41,"②病院短期","対象外")),IF($AH1004=5,IF($AJ1004=30,"③特定消防","対象外"),IF(OR($AJ1004=10,$AJ1004=11,$AJ1004=74),"④一般",IF(OR($AJ1004=41,$AJ1004=47),"⑤短期","対象外"))))))</f>
        <v>①病院一般</v>
      </c>
    </row>
    <row r="1005">
      <c r="A1005" t="n" s="2909">
        <v>31</v>
      </c>
      <c r="AA1005" t="n" s="2909">
        <v>21</v>
      </c>
      <c r="AB1005" t="inlineStr" s="2909">
        <is>
          <t>20221001</t>
        </is>
      </c>
      <c r="AD1005" t="n" s="2909">
        <v>12</v>
      </c>
      <c r="AE1005" t="inlineStr" s="2909">
        <is>
          <t>20250401</t>
        </is>
      </c>
      <c r="AH1005" t="n" s="2909">
        <v>20</v>
      </c>
      <c r="AJ1005" t="n" s="2909">
        <v>10</v>
      </c>
      <c r="AP1005" t="n" s="2909">
        <v>710000</v>
      </c>
      <c r="DB1005" s="2909" t="str">
        <f>IF($A1005="","",IF($AE1005&amp;""&lt;&gt;'DB_設定'!$C$4,"対象外",IF($AH1005=20,IF(OR($AJ1005=10,$AJ1005=11,$AJ1005=18),"①病院一般",IF($AJ1005=41,"②病院短期","対象外")),IF($AH1005=5,IF($AJ1005=30,"③特定消防","対象外"),IF(OR($AJ1005=10,$AJ1005=11,$AJ1005=74),"④一般",IF(OR($AJ1005=41,$AJ1005=47),"⑤短期","対象外"))))))</f>
        <v>①病院一般</v>
      </c>
    </row>
    <row r="1006">
      <c r="A1006" t="n" s="2909">
        <v>31</v>
      </c>
      <c r="AA1006" t="n" s="2909">
        <v>21</v>
      </c>
      <c r="AB1006" t="inlineStr" s="2909">
        <is>
          <t>20221001</t>
        </is>
      </c>
      <c r="AD1006" t="n" s="2909">
        <v>12</v>
      </c>
      <c r="AE1006" t="inlineStr" s="2909">
        <is>
          <t>20250401</t>
        </is>
      </c>
      <c r="AH1006" t="n" s="2909">
        <v>20</v>
      </c>
      <c r="AJ1006" t="n" s="2909">
        <v>10</v>
      </c>
      <c r="AP1006" t="n" s="2909">
        <v>930000</v>
      </c>
      <c r="DB1006" s="2909" t="str">
        <f>IF($A1006="","",IF($AE1006&amp;""&lt;&gt;'DB_設定'!$C$4,"対象外",IF($AH1006=20,IF(OR($AJ1006=10,$AJ1006=11,$AJ1006=18),"①病院一般",IF($AJ1006=41,"②病院短期","対象外")),IF($AH1006=5,IF($AJ1006=30,"③特定消防","対象外"),IF(OR($AJ1006=10,$AJ1006=11,$AJ1006=74),"④一般",IF(OR($AJ1006=41,$AJ1006=47),"⑤短期","対象外"))))))</f>
        <v>①病院一般</v>
      </c>
    </row>
    <row r="1007">
      <c r="A1007" t="n" s="2909">
        <v>31</v>
      </c>
      <c r="AA1007" t="n" s="2909">
        <v>21</v>
      </c>
      <c r="AB1007" t="inlineStr" s="2909">
        <is>
          <t>20221001</t>
        </is>
      </c>
      <c r="AD1007" t="n" s="2909">
        <v>12</v>
      </c>
      <c r="AE1007" t="inlineStr" s="2909">
        <is>
          <t>20250401</t>
        </is>
      </c>
      <c r="AH1007" t="n" s="2909">
        <v>20</v>
      </c>
      <c r="AJ1007" t="n" s="2909">
        <v>10</v>
      </c>
      <c r="AP1007" t="n" s="2909">
        <v>680000</v>
      </c>
      <c r="DB1007" s="2909" t="str">
        <f>IF($A1007="","",IF($AE1007&amp;""&lt;&gt;'DB_設定'!$C$4,"対象外",IF($AH1007=20,IF(OR($AJ1007=10,$AJ1007=11,$AJ1007=18),"①病院一般",IF($AJ1007=41,"②病院短期","対象外")),IF($AH1007=5,IF($AJ1007=30,"③特定消防","対象外"),IF(OR($AJ1007=10,$AJ1007=11,$AJ1007=74),"④一般",IF(OR($AJ1007=41,$AJ1007=47),"⑤短期","対象外"))))))</f>
        <v>①病院一般</v>
      </c>
    </row>
    <row r="1008">
      <c r="A1008" t="n" s="2909">
        <v>31</v>
      </c>
      <c r="AA1008" t="n" s="2909">
        <v>21</v>
      </c>
      <c r="AB1008" t="inlineStr" s="2909">
        <is>
          <t>20221001</t>
        </is>
      </c>
      <c r="AD1008" t="n" s="2909">
        <v>12</v>
      </c>
      <c r="AE1008" t="inlineStr" s="2909">
        <is>
          <t>20250501</t>
        </is>
      </c>
      <c r="AH1008" t="n" s="2909">
        <v>20</v>
      </c>
      <c r="AJ1008" t="n" s="2909">
        <v>41</v>
      </c>
      <c r="AP1008" t="n" s="2909">
        <v>160000</v>
      </c>
      <c r="DB1008" s="2909" t="str">
        <f>IF($A1008="","",IF($AE1008&amp;""&lt;&gt;'DB_設定'!$C$4,"対象外",IF($AH1008=20,IF(OR($AJ1008=10,$AJ1008=11,$AJ1008=18),"①病院一般",IF($AJ1008=41,"②病院短期","対象外")),IF($AH1008=5,IF($AJ1008=30,"③特定消防","対象外"),IF(OR($AJ1008=10,$AJ1008=11,$AJ1008=74),"④一般",IF(OR($AJ1008=41,$AJ1008=47),"⑤短期","対象外"))))))</f>
        <v>対象外</v>
      </c>
    </row>
    <row r="1009">
      <c r="A1009" t="n" s="2909">
        <v>31</v>
      </c>
      <c r="AA1009" t="n" s="2909">
        <v>21</v>
      </c>
      <c r="AB1009" t="inlineStr" s="2909">
        <is>
          <t>20221001</t>
        </is>
      </c>
      <c r="AD1009" t="n" s="2909">
        <v>12</v>
      </c>
      <c r="AE1009" t="inlineStr" s="2909">
        <is>
          <t>20250401</t>
        </is>
      </c>
      <c r="AH1009" t="n" s="2909">
        <v>20</v>
      </c>
      <c r="AJ1009" t="n" s="2909">
        <v>10</v>
      </c>
      <c r="AP1009" t="n" s="2909">
        <v>830000</v>
      </c>
      <c r="DB1009" s="2909" t="str">
        <f>IF($A1009="","",IF($AE1009&amp;""&lt;&gt;'DB_設定'!$C$4,"対象外",IF($AH1009=20,IF(OR($AJ1009=10,$AJ1009=11,$AJ1009=18),"①病院一般",IF($AJ1009=41,"②病院短期","対象外")),IF($AH1009=5,IF($AJ1009=30,"③特定消防","対象外"),IF(OR($AJ1009=10,$AJ1009=11,$AJ1009=74),"④一般",IF(OR($AJ1009=41,$AJ1009=47),"⑤短期","対象外"))))))</f>
        <v>①病院一般</v>
      </c>
    </row>
    <row r="1010">
      <c r="A1010" t="n" s="2909">
        <v>31</v>
      </c>
      <c r="AA1010" t="n" s="2909">
        <v>21</v>
      </c>
      <c r="AB1010" t="inlineStr" s="2909">
        <is>
          <t>20221001</t>
        </is>
      </c>
      <c r="AD1010" t="n" s="2909">
        <v>12</v>
      </c>
      <c r="AE1010" t="inlineStr" s="2909">
        <is>
          <t>20250401</t>
        </is>
      </c>
      <c r="AH1010" t="n" s="2909">
        <v>20</v>
      </c>
      <c r="AJ1010" t="n" s="2909">
        <v>41</v>
      </c>
      <c r="AP1010" t="n" s="2909">
        <v>170000</v>
      </c>
      <c r="DB1010" s="2909" t="str">
        <f>IF($A1010="","",IF($AE1010&amp;""&lt;&gt;'DB_設定'!$C$4,"対象外",IF($AH1010=20,IF(OR($AJ1010=10,$AJ1010=11,$AJ1010=18),"①病院一般",IF($AJ1010=41,"②病院短期","対象外")),IF($AH1010=5,IF($AJ1010=30,"③特定消防","対象外"),IF(OR($AJ1010=10,$AJ1010=11,$AJ1010=74),"④一般",IF(OR($AJ1010=41,$AJ1010=47),"⑤短期","対象外"))))))</f>
        <v>②病院短期</v>
      </c>
    </row>
    <row r="1011">
      <c r="A1011" t="n" s="2909">
        <v>31</v>
      </c>
      <c r="AA1011" t="n" s="2909">
        <v>21</v>
      </c>
      <c r="AB1011" t="inlineStr" s="2909">
        <is>
          <t>20221001</t>
        </is>
      </c>
      <c r="AD1011" t="n" s="2909">
        <v>12</v>
      </c>
      <c r="AE1011" t="inlineStr" s="2909">
        <is>
          <t>20251001</t>
        </is>
      </c>
      <c r="AH1011" t="n" s="2909">
        <v>20</v>
      </c>
      <c r="AJ1011" t="n" s="2909">
        <v>41</v>
      </c>
      <c r="AP1011" t="n" s="2909">
        <v>160000</v>
      </c>
      <c r="DB1011" s="2909" t="str">
        <f>IF($A1011="","",IF($AE1011&amp;""&lt;&gt;'DB_設定'!$C$4,"対象外",IF($AH1011=20,IF(OR($AJ1011=10,$AJ1011=11,$AJ1011=18),"①病院一般",IF($AJ1011=41,"②病院短期","対象外")),IF($AH1011=5,IF($AJ1011=30,"③特定消防","対象外"),IF(OR($AJ1011=10,$AJ1011=11,$AJ1011=74),"④一般",IF(OR($AJ1011=41,$AJ1011=47),"⑤短期","対象外"))))))</f>
        <v>対象外</v>
      </c>
    </row>
    <row r="1012">
      <c r="A1012" t="n" s="2909">
        <v>31</v>
      </c>
      <c r="AA1012" t="n" s="2909">
        <v>21</v>
      </c>
      <c r="AB1012" t="inlineStr" s="2909">
        <is>
          <t>20221001</t>
        </is>
      </c>
      <c r="AD1012" t="n" s="2909">
        <v>12</v>
      </c>
      <c r="AE1012" t="inlineStr" s="2909">
        <is>
          <t>20250401</t>
        </is>
      </c>
      <c r="AH1012" t="n" s="2909">
        <v>20</v>
      </c>
      <c r="AJ1012" t="n" s="2909">
        <v>41</v>
      </c>
      <c r="AP1012" t="n" s="2909">
        <v>160000</v>
      </c>
      <c r="DB1012" s="2909" t="str">
        <f>IF($A1012="","",IF($AE1012&amp;""&lt;&gt;'DB_設定'!$C$4,"対象外",IF($AH1012=20,IF(OR($AJ1012=10,$AJ1012=11,$AJ1012=18),"①病院一般",IF($AJ1012=41,"②病院短期","対象外")),IF($AH1012=5,IF($AJ1012=30,"③特定消防","対象外"),IF(OR($AJ1012=10,$AJ1012=11,$AJ1012=74),"④一般",IF(OR($AJ1012=41,$AJ1012=47),"⑤短期","対象外"))))))</f>
        <v>②病院短期</v>
      </c>
    </row>
    <row r="1013">
      <c r="A1013" t="n" s="2909">
        <v>31</v>
      </c>
      <c r="AA1013" t="n" s="2909">
        <v>21</v>
      </c>
      <c r="AB1013" t="inlineStr" s="2909">
        <is>
          <t>20221001</t>
        </is>
      </c>
      <c r="AD1013" t="n" s="2909">
        <v>12</v>
      </c>
      <c r="AE1013" t="inlineStr" s="2909">
        <is>
          <t>20250401</t>
        </is>
      </c>
      <c r="AH1013" t="n" s="2909">
        <v>20</v>
      </c>
      <c r="AJ1013" t="n" s="2909">
        <v>41</v>
      </c>
      <c r="AP1013" t="n" s="2909">
        <v>160000</v>
      </c>
      <c r="DB1013" s="2909" t="str">
        <f>IF($A1013="","",IF($AE1013&amp;""&lt;&gt;'DB_設定'!$C$4,"対象外",IF($AH1013=20,IF(OR($AJ1013=10,$AJ1013=11,$AJ1013=18),"①病院一般",IF($AJ1013=41,"②病院短期","対象外")),IF($AH1013=5,IF($AJ1013=30,"③特定消防","対象外"),IF(OR($AJ1013=10,$AJ1013=11,$AJ1013=74),"④一般",IF(OR($AJ1013=41,$AJ1013=47),"⑤短期","対象外"))))))</f>
        <v>②病院短期</v>
      </c>
    </row>
    <row r="1014">
      <c r="A1014" t="n" s="2909">
        <v>31</v>
      </c>
      <c r="AA1014" t="n" s="2909">
        <v>21</v>
      </c>
      <c r="AB1014" t="inlineStr" s="2909">
        <is>
          <t>20221001</t>
        </is>
      </c>
      <c r="AD1014" t="n" s="2909">
        <v>12</v>
      </c>
      <c r="AE1014" t="inlineStr" s="2909">
        <is>
          <t>20250401</t>
        </is>
      </c>
      <c r="AH1014" t="n" s="2909">
        <v>20</v>
      </c>
      <c r="AJ1014" t="n" s="2909">
        <v>41</v>
      </c>
      <c r="AP1014" t="n" s="2909">
        <v>170000</v>
      </c>
      <c r="DB1014" s="2909" t="str">
        <f>IF($A1014="","",IF($AE1014&amp;""&lt;&gt;'DB_設定'!$C$4,"対象外",IF($AH1014=20,IF(OR($AJ1014=10,$AJ1014=11,$AJ1014=18),"①病院一般",IF($AJ1014=41,"②病院短期","対象外")),IF($AH1014=5,IF($AJ1014=30,"③特定消防","対象外"),IF(OR($AJ1014=10,$AJ1014=11,$AJ1014=74),"④一般",IF(OR($AJ1014=41,$AJ1014=47),"⑤短期","対象外"))))))</f>
        <v>②病院短期</v>
      </c>
    </row>
    <row r="1015">
      <c r="A1015" t="n" s="2909">
        <v>31</v>
      </c>
      <c r="AA1015" t="n" s="2909">
        <v>21</v>
      </c>
      <c r="AB1015" t="inlineStr" s="2909">
        <is>
          <t>20221001</t>
        </is>
      </c>
      <c r="AD1015" t="n" s="2909">
        <v>12</v>
      </c>
      <c r="AE1015" t="inlineStr" s="2909">
        <is>
          <t>20250401</t>
        </is>
      </c>
      <c r="AH1015" t="n" s="2909">
        <v>20</v>
      </c>
      <c r="AJ1015" t="n" s="2909">
        <v>41</v>
      </c>
      <c r="AP1015" t="n" s="2909">
        <v>170000</v>
      </c>
      <c r="DB1015" s="2909" t="str">
        <f>IF($A1015="","",IF($AE1015&amp;""&lt;&gt;'DB_設定'!$C$4,"対象外",IF($AH1015=20,IF(OR($AJ1015=10,$AJ1015=11,$AJ1015=18),"①病院一般",IF($AJ1015=41,"②病院短期","対象外")),IF($AH1015=5,IF($AJ1015=30,"③特定消防","対象外"),IF(OR($AJ1015=10,$AJ1015=11,$AJ1015=74),"④一般",IF(OR($AJ1015=41,$AJ1015=47),"⑤短期","対象外"))))))</f>
        <v>②病院短期</v>
      </c>
    </row>
    <row r="1016">
      <c r="A1016" t="n" s="2909">
        <v>31</v>
      </c>
      <c r="AA1016" t="n" s="2909">
        <v>21</v>
      </c>
      <c r="AB1016" t="inlineStr" s="2909">
        <is>
          <t>20221001</t>
        </is>
      </c>
      <c r="AD1016" t="n" s="2909">
        <v>12</v>
      </c>
      <c r="AE1016" t="inlineStr" s="2909">
        <is>
          <t>20251001</t>
        </is>
      </c>
      <c r="AH1016" t="n" s="2909">
        <v>20</v>
      </c>
      <c r="AJ1016" t="n" s="2909">
        <v>41</v>
      </c>
      <c r="AP1016" t="n" s="2909">
        <v>180000</v>
      </c>
      <c r="DB1016" s="2909" t="str">
        <f>IF($A1016="","",IF($AE1016&amp;""&lt;&gt;'DB_設定'!$C$4,"対象外",IF($AH1016=20,IF(OR($AJ1016=10,$AJ1016=11,$AJ1016=18),"①病院一般",IF($AJ1016=41,"②病院短期","対象外")),IF($AH1016=5,IF($AJ1016=30,"③特定消防","対象外"),IF(OR($AJ1016=10,$AJ1016=11,$AJ1016=74),"④一般",IF(OR($AJ1016=41,$AJ1016=47),"⑤短期","対象外"))))))</f>
        <v>対象外</v>
      </c>
    </row>
    <row r="1017">
      <c r="A1017" t="n" s="2909">
        <v>31</v>
      </c>
      <c r="AA1017" t="n" s="2909">
        <v>21</v>
      </c>
      <c r="AB1017" t="inlineStr" s="2909">
        <is>
          <t>20221001</t>
        </is>
      </c>
      <c r="AD1017" t="n" s="2909">
        <v>12</v>
      </c>
      <c r="AE1017" t="inlineStr" s="2909">
        <is>
          <t>20250401</t>
        </is>
      </c>
      <c r="AH1017" t="n" s="2909">
        <v>20</v>
      </c>
      <c r="AJ1017" t="n" s="2909">
        <v>41</v>
      </c>
      <c r="AP1017" t="n" s="2909">
        <v>170000</v>
      </c>
      <c r="DB1017" s="2909" t="str">
        <f>IF($A1017="","",IF($AE1017&amp;""&lt;&gt;'DB_設定'!$C$4,"対象外",IF($AH1017=20,IF(OR($AJ1017=10,$AJ1017=11,$AJ1017=18),"①病院一般",IF($AJ1017=41,"②病院短期","対象外")),IF($AH1017=5,IF($AJ1017=30,"③特定消防","対象外"),IF(OR($AJ1017=10,$AJ1017=11,$AJ1017=74),"④一般",IF(OR($AJ1017=41,$AJ1017=47),"⑤短期","対象外"))))))</f>
        <v>②病院短期</v>
      </c>
    </row>
    <row r="1018">
      <c r="A1018" t="n" s="2909">
        <v>31</v>
      </c>
      <c r="AA1018" t="n" s="2909">
        <v>21</v>
      </c>
      <c r="AB1018" t="inlineStr" s="2909">
        <is>
          <t>20221001</t>
        </is>
      </c>
      <c r="AD1018" t="n" s="2909">
        <v>12</v>
      </c>
      <c r="AE1018" t="inlineStr" s="2909">
        <is>
          <t>20250401</t>
        </is>
      </c>
      <c r="AH1018" t="n" s="2909">
        <v>20</v>
      </c>
      <c r="AJ1018" t="n" s="2909">
        <v>41</v>
      </c>
      <c r="AP1018" t="n" s="2909">
        <v>240000</v>
      </c>
      <c r="DB1018" s="2909" t="str">
        <f>IF($A1018="","",IF($AE1018&amp;""&lt;&gt;'DB_設定'!$C$4,"対象外",IF($AH1018=20,IF(OR($AJ1018=10,$AJ1018=11,$AJ1018=18),"①病院一般",IF($AJ1018=41,"②病院短期","対象外")),IF($AH1018=5,IF($AJ1018=30,"③特定消防","対象外"),IF(OR($AJ1018=10,$AJ1018=11,$AJ1018=74),"④一般",IF(OR($AJ1018=41,$AJ1018=47),"⑤短期","対象外"))))))</f>
        <v>②病院短期</v>
      </c>
    </row>
    <row r="1019">
      <c r="A1019" t="n" s="2909">
        <v>31</v>
      </c>
      <c r="AA1019" t="n" s="2909">
        <v>21</v>
      </c>
      <c r="AB1019" t="inlineStr" s="2909">
        <is>
          <t>20221001</t>
        </is>
      </c>
      <c r="AD1019" t="n" s="2909">
        <v>12</v>
      </c>
      <c r="AE1019" t="inlineStr" s="2909">
        <is>
          <t>20250401</t>
        </is>
      </c>
      <c r="AH1019" t="n" s="2909">
        <v>20</v>
      </c>
      <c r="AJ1019" t="n" s="2909">
        <v>41</v>
      </c>
      <c r="AP1019" t="n" s="2909">
        <v>220000</v>
      </c>
      <c r="DB1019" s="2909" t="str">
        <f>IF($A1019="","",IF($AE1019&amp;""&lt;&gt;'DB_設定'!$C$4,"対象外",IF($AH1019=20,IF(OR($AJ1019=10,$AJ1019=11,$AJ1019=18),"①病院一般",IF($AJ1019=41,"②病院短期","対象外")),IF($AH1019=5,IF($AJ1019=30,"③特定消防","対象外"),IF(OR($AJ1019=10,$AJ1019=11,$AJ1019=74),"④一般",IF(OR($AJ1019=41,$AJ1019=47),"⑤短期","対象外"))))))</f>
        <v>②病院短期</v>
      </c>
    </row>
    <row r="1020">
      <c r="A1020" t="n" s="2909">
        <v>31</v>
      </c>
      <c r="AA1020" t="n" s="2909">
        <v>21</v>
      </c>
      <c r="AB1020" t="inlineStr" s="2909">
        <is>
          <t>20221001</t>
        </is>
      </c>
      <c r="AD1020" t="n" s="2909">
        <v>12</v>
      </c>
      <c r="AE1020" t="inlineStr" s="2909">
        <is>
          <t>20250401</t>
        </is>
      </c>
      <c r="AH1020" t="n" s="2909">
        <v>20</v>
      </c>
      <c r="AJ1020" t="n" s="2909">
        <v>41</v>
      </c>
      <c r="AP1020" t="n" s="2909">
        <v>280000</v>
      </c>
      <c r="DB1020" s="2909" t="str">
        <f>IF($A1020="","",IF($AE1020&amp;""&lt;&gt;'DB_設定'!$C$4,"対象外",IF($AH1020=20,IF(OR($AJ1020=10,$AJ1020=11,$AJ1020=18),"①病院一般",IF($AJ1020=41,"②病院短期","対象外")),IF($AH1020=5,IF($AJ1020=30,"③特定消防","対象外"),IF(OR($AJ1020=10,$AJ1020=11,$AJ1020=74),"④一般",IF(OR($AJ1020=41,$AJ1020=47),"⑤短期","対象外"))))))</f>
        <v>②病院短期</v>
      </c>
    </row>
    <row r="1021">
      <c r="A1021" t="n" s="2909">
        <v>31</v>
      </c>
      <c r="AA1021" t="n" s="2909">
        <v>21</v>
      </c>
      <c r="AB1021" t="inlineStr" s="2909">
        <is>
          <t>20221001</t>
        </is>
      </c>
      <c r="AD1021" t="n" s="2909">
        <v>12</v>
      </c>
      <c r="AE1021" t="inlineStr" s="2909">
        <is>
          <t>20250401</t>
        </is>
      </c>
      <c r="AH1021" t="n" s="2909">
        <v>20</v>
      </c>
      <c r="AJ1021" t="n" s="2909">
        <v>41</v>
      </c>
      <c r="AP1021" t="n" s="2909">
        <v>190000</v>
      </c>
      <c r="DB1021" s="2909" t="str">
        <f>IF($A1021="","",IF($AE1021&amp;""&lt;&gt;'DB_設定'!$C$4,"対象外",IF($AH1021=20,IF(OR($AJ1021=10,$AJ1021=11,$AJ1021=18),"①病院一般",IF($AJ1021=41,"②病院短期","対象外")),IF($AH1021=5,IF($AJ1021=30,"③特定消防","対象外"),IF(OR($AJ1021=10,$AJ1021=11,$AJ1021=74),"④一般",IF(OR($AJ1021=41,$AJ1021=47),"⑤短期","対象外"))))))</f>
        <v>②病院短期</v>
      </c>
    </row>
    <row r="1022">
      <c r="A1022" t="n" s="2909">
        <v>31</v>
      </c>
      <c r="AA1022" t="n" s="2909">
        <v>21</v>
      </c>
      <c r="AB1022" t="inlineStr" s="2909">
        <is>
          <t>20221003</t>
        </is>
      </c>
      <c r="AD1022" t="n" s="2909">
        <v>12</v>
      </c>
      <c r="AE1022" t="inlineStr" s="2909">
        <is>
          <t>20250401</t>
        </is>
      </c>
      <c r="AH1022" t="n" s="2909">
        <v>20</v>
      </c>
      <c r="AJ1022" t="n" s="2909">
        <v>41</v>
      </c>
      <c r="AP1022" t="n" s="2909">
        <v>560000</v>
      </c>
      <c r="DB1022" s="2909" t="str">
        <f>IF($A1022="","",IF($AE1022&amp;""&lt;&gt;'DB_設定'!$C$4,"対象外",IF($AH1022=20,IF(OR($AJ1022=10,$AJ1022=11,$AJ1022=18),"①病院一般",IF($AJ1022=41,"②病院短期","対象外")),IF($AH1022=5,IF($AJ1022=30,"③特定消防","対象外"),IF(OR($AJ1022=10,$AJ1022=11,$AJ1022=74),"④一般",IF(OR($AJ1022=41,$AJ1022=47),"⑤短期","対象外"))))))</f>
        <v>②病院短期</v>
      </c>
    </row>
    <row r="1023">
      <c r="A1023" t="n" s="2909">
        <v>31</v>
      </c>
      <c r="AA1023" t="n" s="2909">
        <v>21</v>
      </c>
      <c r="AB1023" t="inlineStr" s="2909">
        <is>
          <t>20221014</t>
        </is>
      </c>
      <c r="AD1023" t="n" s="2909">
        <v>12</v>
      </c>
      <c r="AE1023" t="inlineStr" s="2909">
        <is>
          <t>20250401</t>
        </is>
      </c>
      <c r="AH1023" t="n" s="2909">
        <v>20</v>
      </c>
      <c r="AJ1023" t="n" s="2909">
        <v>41</v>
      </c>
      <c r="AP1023" t="n" s="2909">
        <v>260000</v>
      </c>
      <c r="DB1023" s="2909" t="str">
        <f>IF($A1023="","",IF($AE1023&amp;""&lt;&gt;'DB_設定'!$C$4,"対象外",IF($AH1023=20,IF(OR($AJ1023=10,$AJ1023=11,$AJ1023=18),"①病院一般",IF($AJ1023=41,"②病院短期","対象外")),IF($AH1023=5,IF($AJ1023=30,"③特定消防","対象外"),IF(OR($AJ1023=10,$AJ1023=11,$AJ1023=74),"④一般",IF(OR($AJ1023=41,$AJ1023=47),"⑤短期","対象外"))))))</f>
        <v>②病院短期</v>
      </c>
    </row>
    <row r="1024">
      <c r="A1024" t="n" s="2909">
        <v>31</v>
      </c>
      <c r="AA1024" t="n" s="2909">
        <v>21</v>
      </c>
      <c r="AB1024" t="inlineStr" s="2909">
        <is>
          <t>20230208</t>
        </is>
      </c>
      <c r="AD1024" t="n" s="2909">
        <v>12</v>
      </c>
      <c r="AE1024" t="inlineStr" s="2909">
        <is>
          <t>20250401</t>
        </is>
      </c>
      <c r="AH1024" t="n" s="2909">
        <v>20</v>
      </c>
      <c r="AJ1024" t="n" s="2909">
        <v>41</v>
      </c>
      <c r="AP1024" t="n" s="2909">
        <v>180000</v>
      </c>
      <c r="DB1024" s="2909" t="str">
        <f>IF($A1024="","",IF($AE1024&amp;""&lt;&gt;'DB_設定'!$C$4,"対象外",IF($AH1024=20,IF(OR($AJ1024=10,$AJ1024=11,$AJ1024=18),"①病院一般",IF($AJ1024=41,"②病院短期","対象外")),IF($AH1024=5,IF($AJ1024=30,"③特定消防","対象外"),IF(OR($AJ1024=10,$AJ1024=11,$AJ1024=74),"④一般",IF(OR($AJ1024=41,$AJ1024=47),"⑤短期","対象外"))))))</f>
        <v>②病院短期</v>
      </c>
    </row>
    <row r="1025">
      <c r="A1025" t="n" s="2909">
        <v>31</v>
      </c>
      <c r="AA1025" t="n" s="2909">
        <v>21</v>
      </c>
      <c r="AB1025" t="inlineStr" s="2909">
        <is>
          <t>20240101</t>
        </is>
      </c>
      <c r="AD1025" t="n" s="2909">
        <v>11</v>
      </c>
      <c r="AE1025" t="inlineStr" s="2909">
        <is>
          <t>20250401</t>
        </is>
      </c>
      <c r="AH1025" t="n" s="2909">
        <v>1</v>
      </c>
      <c r="AJ1025" t="n" s="2909">
        <v>41</v>
      </c>
      <c r="AP1025" t="n" s="2909">
        <v>180000</v>
      </c>
      <c r="DB1025" s="2909" t="str">
        <f>IF($A1025="","",IF($AE1025&amp;""&lt;&gt;'DB_設定'!$C$4,"対象外",IF($AH1025=20,IF(OR($AJ1025=10,$AJ1025=11,$AJ1025=18),"①病院一般",IF($AJ1025=41,"②病院短期","対象外")),IF($AH1025=5,IF($AJ1025=30,"③特定消防","対象外"),IF(OR($AJ1025=10,$AJ1025=11,$AJ1025=74),"④一般",IF(OR($AJ1025=41,$AJ1025=47),"⑤短期","対象外"))))))</f>
        <v>⑤短期</v>
      </c>
    </row>
    <row r="1026">
      <c r="A1026" t="n" s="2909">
        <v>31</v>
      </c>
      <c r="AA1026" t="n" s="2909">
        <v>21</v>
      </c>
      <c r="AB1026" t="inlineStr" s="2909">
        <is>
          <t>20221001</t>
        </is>
      </c>
      <c r="AD1026" t="n" s="2909">
        <v>12</v>
      </c>
      <c r="AE1026" t="inlineStr" s="2909">
        <is>
          <t>20250401</t>
        </is>
      </c>
      <c r="AH1026" t="n" s="2909">
        <v>11</v>
      </c>
      <c r="AJ1026" t="n" s="2909">
        <v>41</v>
      </c>
      <c r="AP1026" t="n" s="2909">
        <v>160000</v>
      </c>
      <c r="DB1026" s="2909" t="str">
        <f>IF($A1026="","",IF($AE1026&amp;""&lt;&gt;'DB_設定'!$C$4,"対象外",IF($AH1026=20,IF(OR($AJ1026=10,$AJ1026=11,$AJ1026=18),"①病院一般",IF($AJ1026=41,"②病院短期","対象外")),IF($AH1026=5,IF($AJ1026=30,"③特定消防","対象外"),IF(OR($AJ1026=10,$AJ1026=11,$AJ1026=74),"④一般",IF(OR($AJ1026=41,$AJ1026=47),"⑤短期","対象外"))))))</f>
        <v>⑤短期</v>
      </c>
    </row>
    <row r="1027">
      <c r="A1027" t="n" s="2909">
        <v>31</v>
      </c>
      <c r="AA1027" t="n" s="2909">
        <v>21</v>
      </c>
      <c r="AB1027" t="inlineStr" s="2909">
        <is>
          <t>20221001</t>
        </is>
      </c>
      <c r="AD1027" t="n" s="2909">
        <v>12</v>
      </c>
      <c r="AE1027" t="inlineStr" s="2909">
        <is>
          <t>20250401</t>
        </is>
      </c>
      <c r="AH1027" t="n" s="2909">
        <v>11</v>
      </c>
      <c r="AJ1027" t="n" s="2909">
        <v>41</v>
      </c>
      <c r="AP1027" t="n" s="2909">
        <v>160000</v>
      </c>
      <c r="DB1027" s="2909" t="str">
        <f>IF($A1027="","",IF($AE1027&amp;""&lt;&gt;'DB_設定'!$C$4,"対象外",IF($AH1027=20,IF(OR($AJ1027=10,$AJ1027=11,$AJ1027=18),"①病院一般",IF($AJ1027=41,"②病院短期","対象外")),IF($AH1027=5,IF($AJ1027=30,"③特定消防","対象外"),IF(OR($AJ1027=10,$AJ1027=11,$AJ1027=74),"④一般",IF(OR($AJ1027=41,$AJ1027=47),"⑤短期","対象外"))))))</f>
        <v>⑤短期</v>
      </c>
    </row>
    <row r="1028">
      <c r="A1028" t="n" s="2909">
        <v>31</v>
      </c>
      <c r="AA1028" t="n" s="2909">
        <v>21</v>
      </c>
      <c r="AB1028" t="inlineStr" s="2909">
        <is>
          <t>20221001</t>
        </is>
      </c>
      <c r="AD1028" t="n" s="2909">
        <v>12</v>
      </c>
      <c r="AE1028" t="inlineStr" s="2909">
        <is>
          <t>20250401</t>
        </is>
      </c>
      <c r="AH1028" t="n" s="2909">
        <v>11</v>
      </c>
      <c r="AJ1028" t="n" s="2909">
        <v>41</v>
      </c>
      <c r="AP1028" t="n" s="2909">
        <v>160000</v>
      </c>
      <c r="DB1028" s="2909" t="str">
        <f>IF($A1028="","",IF($AE1028&amp;""&lt;&gt;'DB_設定'!$C$4,"対象外",IF($AH1028=20,IF(OR($AJ1028=10,$AJ1028=11,$AJ1028=18),"①病院一般",IF($AJ1028=41,"②病院短期","対象外")),IF($AH1028=5,IF($AJ1028=30,"③特定消防","対象外"),IF(OR($AJ1028=10,$AJ1028=11,$AJ1028=74),"④一般",IF(OR($AJ1028=41,$AJ1028=47),"⑤短期","対象外"))))))</f>
        <v>⑤短期</v>
      </c>
    </row>
    <row r="1029">
      <c r="A1029" t="n" s="2909">
        <v>31</v>
      </c>
      <c r="AA1029" t="n" s="2909">
        <v>21</v>
      </c>
      <c r="AB1029" t="inlineStr" s="2909">
        <is>
          <t>20221001</t>
        </is>
      </c>
      <c r="AD1029" t="n" s="2909">
        <v>12</v>
      </c>
      <c r="AE1029" t="inlineStr" s="2909">
        <is>
          <t>20250401</t>
        </is>
      </c>
      <c r="AH1029" t="n" s="2909">
        <v>5</v>
      </c>
      <c r="AJ1029" t="n" s="2909">
        <v>41</v>
      </c>
      <c r="AP1029" t="n" s="2909">
        <v>220000</v>
      </c>
      <c r="DB1029" s="2909" t="str">
        <f>IF($A1029="","",IF($AE1029&amp;""&lt;&gt;'DB_設定'!$C$4,"対象外",IF($AH1029=20,IF(OR($AJ1029=10,$AJ1029=11,$AJ1029=18),"①病院一般",IF($AJ1029=41,"②病院短期","対象外")),IF($AH1029=5,IF($AJ1029=30,"③特定消防","対象外"),IF(OR($AJ1029=10,$AJ1029=11,$AJ1029=74),"④一般",IF(OR($AJ1029=41,$AJ1029=47),"⑤短期","対象外"))))))</f>
        <v>対象外</v>
      </c>
    </row>
    <row r="1030">
      <c r="A1030" t="n" s="2909">
        <v>31</v>
      </c>
      <c r="AA1030" t="n" s="2909">
        <v>21</v>
      </c>
      <c r="AB1030" t="inlineStr" s="2909">
        <is>
          <t>20221001</t>
        </is>
      </c>
      <c r="AD1030" t="n" s="2909">
        <v>12</v>
      </c>
      <c r="AE1030" t="inlineStr" s="2909">
        <is>
          <t>20250401</t>
        </is>
      </c>
      <c r="AH1030" t="n" s="2909">
        <v>5</v>
      </c>
      <c r="AJ1030" t="n" s="2909">
        <v>41</v>
      </c>
      <c r="AP1030" t="n" s="2909">
        <v>200000</v>
      </c>
      <c r="DB1030" s="2909" t="str">
        <f>IF($A1030="","",IF($AE1030&amp;""&lt;&gt;'DB_設定'!$C$4,"対象外",IF($AH1030=20,IF(OR($AJ1030=10,$AJ1030=11,$AJ1030=18),"①病院一般",IF($AJ1030=41,"②病院短期","対象外")),IF($AH1030=5,IF($AJ1030=30,"③特定消防","対象外"),IF(OR($AJ1030=10,$AJ1030=11,$AJ1030=74),"④一般",IF(OR($AJ1030=41,$AJ1030=47),"⑤短期","対象外"))))))</f>
        <v>対象外</v>
      </c>
    </row>
    <row r="1031">
      <c r="A1031" t="n" s="2909">
        <v>31</v>
      </c>
      <c r="AA1031" t="n" s="2909">
        <v>21</v>
      </c>
      <c r="AB1031" t="inlineStr" s="2909">
        <is>
          <t>20221001</t>
        </is>
      </c>
      <c r="AD1031" t="n" s="2909">
        <v>12</v>
      </c>
      <c r="AE1031" t="inlineStr" s="2909">
        <is>
          <t>20250401</t>
        </is>
      </c>
      <c r="AH1031" t="n" s="2909">
        <v>1</v>
      </c>
      <c r="AJ1031" t="n" s="2909">
        <v>41</v>
      </c>
      <c r="AP1031" t="n" s="2909">
        <v>220000</v>
      </c>
      <c r="DB1031" s="2909" t="str">
        <f>IF($A1031="","",IF($AE1031&amp;""&lt;&gt;'DB_設定'!$C$4,"対象外",IF($AH1031=20,IF(OR($AJ1031=10,$AJ1031=11,$AJ1031=18),"①病院一般",IF($AJ1031=41,"②病院短期","対象外")),IF($AH1031=5,IF($AJ1031=30,"③特定消防","対象外"),IF(OR($AJ1031=10,$AJ1031=11,$AJ1031=74),"④一般",IF(OR($AJ1031=41,$AJ1031=47),"⑤短期","対象外"))))))</f>
        <v>⑤短期</v>
      </c>
    </row>
    <row r="1032">
      <c r="A1032" t="n" s="2909">
        <v>31</v>
      </c>
      <c r="AA1032" t="n" s="2909">
        <v>21</v>
      </c>
      <c r="AB1032" t="inlineStr" s="2909">
        <is>
          <t>20221001</t>
        </is>
      </c>
      <c r="AD1032" t="n" s="2909">
        <v>12</v>
      </c>
      <c r="AE1032" t="inlineStr" s="2909">
        <is>
          <t>20250401</t>
        </is>
      </c>
      <c r="AH1032" t="n" s="2909">
        <v>1</v>
      </c>
      <c r="AJ1032" t="n" s="2909">
        <v>41</v>
      </c>
      <c r="AP1032" t="n" s="2909">
        <v>180000</v>
      </c>
      <c r="DB1032" s="2909" t="str">
        <f>IF($A1032="","",IF($AE1032&amp;""&lt;&gt;'DB_設定'!$C$4,"対象外",IF($AH1032=20,IF(OR($AJ1032=10,$AJ1032=11,$AJ1032=18),"①病院一般",IF($AJ1032=41,"②病院短期","対象外")),IF($AH1032=5,IF($AJ1032=30,"③特定消防","対象外"),IF(OR($AJ1032=10,$AJ1032=11,$AJ1032=74),"④一般",IF(OR($AJ1032=41,$AJ1032=47),"⑤短期","対象外"))))))</f>
        <v>⑤短期</v>
      </c>
    </row>
    <row r="1033">
      <c r="A1033" t="n" s="2909">
        <v>31</v>
      </c>
      <c r="AA1033" t="n" s="2909">
        <v>21</v>
      </c>
      <c r="AB1033" t="inlineStr" s="2909">
        <is>
          <t>20221001</t>
        </is>
      </c>
      <c r="AD1033" t="n" s="2909">
        <v>12</v>
      </c>
      <c r="AE1033" t="inlineStr" s="2909">
        <is>
          <t>20250401</t>
        </is>
      </c>
      <c r="AH1033" t="n" s="2909">
        <v>1</v>
      </c>
      <c r="AJ1033" t="n" s="2909">
        <v>41</v>
      </c>
      <c r="AP1033" t="n" s="2909">
        <v>160000</v>
      </c>
      <c r="DB1033" s="2909" t="str">
        <f>IF($A1033="","",IF($AE1033&amp;""&lt;&gt;'DB_設定'!$C$4,"対象外",IF($AH1033=20,IF(OR($AJ1033=10,$AJ1033=11,$AJ1033=18),"①病院一般",IF($AJ1033=41,"②病院短期","対象外")),IF($AH1033=5,IF($AJ1033=30,"③特定消防","対象外"),IF(OR($AJ1033=10,$AJ1033=11,$AJ1033=74),"④一般",IF(OR($AJ1033=41,$AJ1033=47),"⑤短期","対象外"))))))</f>
        <v>⑤短期</v>
      </c>
    </row>
    <row r="1034">
      <c r="A1034" t="n" s="2909">
        <v>31</v>
      </c>
      <c r="AA1034" t="n" s="2909">
        <v>21</v>
      </c>
      <c r="AB1034" t="inlineStr" s="2909">
        <is>
          <t>20221001</t>
        </is>
      </c>
      <c r="AD1034" t="n" s="2909">
        <v>12</v>
      </c>
      <c r="AE1034" t="inlineStr" s="2909">
        <is>
          <t>20250501</t>
        </is>
      </c>
      <c r="AH1034" t="n" s="2909">
        <v>1</v>
      </c>
      <c r="AJ1034" t="n" s="2909">
        <v>41</v>
      </c>
      <c r="AP1034" t="n" s="2909">
        <v>142000</v>
      </c>
      <c r="DB1034" s="2909" t="str">
        <f>IF($A1034="","",IF($AE1034&amp;""&lt;&gt;'DB_設定'!$C$4,"対象外",IF($AH1034=20,IF(OR($AJ1034=10,$AJ1034=11,$AJ1034=18),"①病院一般",IF($AJ1034=41,"②病院短期","対象外")),IF($AH1034=5,IF($AJ1034=30,"③特定消防","対象外"),IF(OR($AJ1034=10,$AJ1034=11,$AJ1034=74),"④一般",IF(OR($AJ1034=41,$AJ1034=47),"⑤短期","対象外"))))))</f>
        <v>対象外</v>
      </c>
    </row>
    <row r="1035">
      <c r="A1035" t="n" s="2909">
        <v>31</v>
      </c>
      <c r="AA1035" t="n" s="2909">
        <v>21</v>
      </c>
      <c r="AB1035" t="inlineStr" s="2909">
        <is>
          <t>20221001</t>
        </is>
      </c>
      <c r="AD1035" t="n" s="2909">
        <v>12</v>
      </c>
      <c r="AE1035" t="inlineStr" s="2909">
        <is>
          <t>20250401</t>
        </is>
      </c>
      <c r="AH1035" t="n" s="2909">
        <v>1</v>
      </c>
      <c r="AJ1035" t="n" s="2909">
        <v>41</v>
      </c>
      <c r="AP1035" t="n" s="2909">
        <v>160000</v>
      </c>
      <c r="DB1035" s="2909" t="str">
        <f>IF($A1035="","",IF($AE1035&amp;""&lt;&gt;'DB_設定'!$C$4,"対象外",IF($AH1035=20,IF(OR($AJ1035=10,$AJ1035=11,$AJ1035=18),"①病院一般",IF($AJ1035=41,"②病院短期","対象外")),IF($AH1035=5,IF($AJ1035=30,"③特定消防","対象外"),IF(OR($AJ1035=10,$AJ1035=11,$AJ1035=74),"④一般",IF(OR($AJ1035=41,$AJ1035=47),"⑤短期","対象外"))))))</f>
        <v>⑤短期</v>
      </c>
    </row>
    <row r="1036">
      <c r="A1036" t="n" s="2909">
        <v>31</v>
      </c>
      <c r="AA1036" t="n" s="2909">
        <v>21</v>
      </c>
      <c r="AB1036" t="inlineStr" s="2909">
        <is>
          <t>20221001</t>
        </is>
      </c>
      <c r="AD1036" t="n" s="2909">
        <v>11</v>
      </c>
      <c r="AE1036" t="inlineStr" s="2909">
        <is>
          <t>20250401</t>
        </is>
      </c>
      <c r="AH1036" t="n" s="2909">
        <v>1</v>
      </c>
      <c r="AJ1036" t="n" s="2909">
        <v>41</v>
      </c>
      <c r="AP1036" t="n" s="2909">
        <v>190000</v>
      </c>
      <c r="DB1036" s="2909" t="str">
        <f>IF($A1036="","",IF($AE1036&amp;""&lt;&gt;'DB_設定'!$C$4,"対象外",IF($AH1036=20,IF(OR($AJ1036=10,$AJ1036=11,$AJ1036=18),"①病院一般",IF($AJ1036=41,"②病院短期","対象外")),IF($AH1036=5,IF($AJ1036=30,"③特定消防","対象外"),IF(OR($AJ1036=10,$AJ1036=11,$AJ1036=74),"④一般",IF(OR($AJ1036=41,$AJ1036=47),"⑤短期","対象外"))))))</f>
        <v>⑤短期</v>
      </c>
    </row>
    <row r="1037">
      <c r="A1037" t="n" s="2909">
        <v>31</v>
      </c>
      <c r="AA1037" t="n" s="2909">
        <v>21</v>
      </c>
      <c r="AB1037" t="inlineStr" s="2909">
        <is>
          <t>20221001</t>
        </is>
      </c>
      <c r="AD1037" t="n" s="2909">
        <v>12</v>
      </c>
      <c r="AE1037" t="inlineStr" s="2909">
        <is>
          <t>20250401</t>
        </is>
      </c>
      <c r="AH1037" t="n" s="2909">
        <v>1</v>
      </c>
      <c r="AJ1037" t="n" s="2909">
        <v>10</v>
      </c>
      <c r="AP1037" t="n" s="2909">
        <v>260000</v>
      </c>
      <c r="DB1037" s="2909" t="str">
        <f>IF($A1037="","",IF($AE1037&amp;""&lt;&gt;'DB_設定'!$C$4,"対象外",IF($AH1037=20,IF(OR($AJ1037=10,$AJ1037=11,$AJ1037=18),"①病院一般",IF($AJ1037=41,"②病院短期","対象外")),IF($AH1037=5,IF($AJ1037=30,"③特定消防","対象外"),IF(OR($AJ1037=10,$AJ1037=11,$AJ1037=74),"④一般",IF(OR($AJ1037=41,$AJ1037=47),"⑤短期","対象外"))))))</f>
        <v>④一般</v>
      </c>
    </row>
    <row r="1038">
      <c r="A1038" t="n" s="2909">
        <v>31</v>
      </c>
      <c r="AA1038" t="n" s="2909">
        <v>21</v>
      </c>
      <c r="AB1038" t="inlineStr" s="2909">
        <is>
          <t>20221001</t>
        </is>
      </c>
      <c r="AD1038" t="n" s="2909">
        <v>12</v>
      </c>
      <c r="AE1038" t="inlineStr" s="2909">
        <is>
          <t>20250401</t>
        </is>
      </c>
      <c r="AH1038" t="n" s="2909">
        <v>1</v>
      </c>
      <c r="AJ1038" t="n" s="2909">
        <v>41</v>
      </c>
      <c r="AP1038" t="n" s="2909">
        <v>170000</v>
      </c>
      <c r="DB1038" s="2909" t="str">
        <f>IF($A1038="","",IF($AE1038&amp;""&lt;&gt;'DB_設定'!$C$4,"対象外",IF($AH1038=20,IF(OR($AJ1038=10,$AJ1038=11,$AJ1038=18),"①病院一般",IF($AJ1038=41,"②病院短期","対象外")),IF($AH1038=5,IF($AJ1038=30,"③特定消防","対象外"),IF(OR($AJ1038=10,$AJ1038=11,$AJ1038=74),"④一般",IF(OR($AJ1038=41,$AJ1038=47),"⑤短期","対象外"))))))</f>
        <v>⑤短期</v>
      </c>
    </row>
    <row r="1039">
      <c r="A1039" t="n" s="2909">
        <v>31</v>
      </c>
      <c r="AA1039" t="n" s="2909">
        <v>24</v>
      </c>
      <c r="AB1039" t="inlineStr" s="2909">
        <is>
          <t>20230427</t>
        </is>
      </c>
      <c r="AD1039" t="n" s="2909">
        <v>12</v>
      </c>
      <c r="AE1039" t="inlineStr" s="2909">
        <is>
          <t>20250415</t>
        </is>
      </c>
      <c r="AH1039" t="n" s="2909">
        <v>1</v>
      </c>
      <c r="AJ1039" t="n" s="2909">
        <v>41</v>
      </c>
      <c r="AP1039" t="n" s="2909">
        <v>200000</v>
      </c>
      <c r="DB1039" s="2909" t="str">
        <f>IF($A1039="","",IF($AE1039&amp;""&lt;&gt;'DB_設定'!$C$4,"対象外",IF($AH1039=20,IF(OR($AJ1039=10,$AJ1039=11,$AJ1039=18),"①病院一般",IF($AJ1039=41,"②病院短期","対象外")),IF($AH1039=5,IF($AJ1039=30,"③特定消防","対象外"),IF(OR($AJ1039=10,$AJ1039=11,$AJ1039=74),"④一般",IF(OR($AJ1039=41,$AJ1039=47),"⑤短期","対象外"))))))</f>
        <v>対象外</v>
      </c>
    </row>
    <row r="1040">
      <c r="A1040" t="n" s="2909">
        <v>31</v>
      </c>
      <c r="AA1040" t="n" s="2909">
        <v>21</v>
      </c>
      <c r="AB1040" t="inlineStr" s="2909">
        <is>
          <t>20221001</t>
        </is>
      </c>
      <c r="AD1040" t="n" s="2909">
        <v>12</v>
      </c>
      <c r="AE1040" t="inlineStr" s="2909">
        <is>
          <t>20251001</t>
        </is>
      </c>
      <c r="AH1040" t="n" s="2909">
        <v>11</v>
      </c>
      <c r="AJ1040" t="n" s="2909">
        <v>41</v>
      </c>
      <c r="AP1040" t="n" s="2909">
        <v>170000</v>
      </c>
      <c r="DB1040" s="2909" t="str">
        <f>IF($A1040="","",IF($AE1040&amp;""&lt;&gt;'DB_設定'!$C$4,"対象外",IF($AH1040=20,IF(OR($AJ1040=10,$AJ1040=11,$AJ1040=18),"①病院一般",IF($AJ1040=41,"②病院短期","対象外")),IF($AH1040=5,IF($AJ1040=30,"③特定消防","対象外"),IF(OR($AJ1040=10,$AJ1040=11,$AJ1040=74),"④一般",IF(OR($AJ1040=41,$AJ1040=47),"⑤短期","対象外"))))))</f>
        <v>対象外</v>
      </c>
    </row>
    <row r="1041">
      <c r="A1041" t="n" s="2909">
        <v>31</v>
      </c>
      <c r="AA1041" t="n" s="2909">
        <v>21</v>
      </c>
      <c r="AB1041" t="inlineStr" s="2909">
        <is>
          <t>20221001</t>
        </is>
      </c>
      <c r="AD1041" t="n" s="2909">
        <v>12</v>
      </c>
      <c r="AE1041" t="inlineStr" s="2909">
        <is>
          <t>20250401</t>
        </is>
      </c>
      <c r="AH1041" t="n" s="2909">
        <v>11</v>
      </c>
      <c r="AJ1041" t="n" s="2909">
        <v>41</v>
      </c>
      <c r="AP1041" t="n" s="2909">
        <v>180000</v>
      </c>
      <c r="DB1041" s="2909" t="str">
        <f>IF($A1041="","",IF($AE1041&amp;""&lt;&gt;'DB_設定'!$C$4,"対象外",IF($AH1041=20,IF(OR($AJ1041=10,$AJ1041=11,$AJ1041=18),"①病院一般",IF($AJ1041=41,"②病院短期","対象外")),IF($AH1041=5,IF($AJ1041=30,"③特定消防","対象外"),IF(OR($AJ1041=10,$AJ1041=11,$AJ1041=74),"④一般",IF(OR($AJ1041=41,$AJ1041=47),"⑤短期","対象外"))))))</f>
        <v>⑤短期</v>
      </c>
    </row>
    <row r="1042">
      <c r="A1042" t="n" s="2909">
        <v>31</v>
      </c>
      <c r="AA1042" t="n" s="2909">
        <v>21</v>
      </c>
      <c r="AB1042" t="inlineStr" s="2909">
        <is>
          <t>20221001</t>
        </is>
      </c>
      <c r="AD1042" t="n" s="2909">
        <v>12</v>
      </c>
      <c r="AE1042" t="inlineStr" s="2909">
        <is>
          <t>20250401</t>
        </is>
      </c>
      <c r="AH1042" t="n" s="2909">
        <v>1</v>
      </c>
      <c r="AJ1042" t="n" s="2909">
        <v>41</v>
      </c>
      <c r="AP1042" t="n" s="2909">
        <v>190000</v>
      </c>
      <c r="DB1042" s="2909" t="str">
        <f>IF($A1042="","",IF($AE1042&amp;""&lt;&gt;'DB_設定'!$C$4,"対象外",IF($AH1042=20,IF(OR($AJ1042=10,$AJ1042=11,$AJ1042=18),"①病院一般",IF($AJ1042=41,"②病院短期","対象外")),IF($AH1042=5,IF($AJ1042=30,"③特定消防","対象外"),IF(OR($AJ1042=10,$AJ1042=11,$AJ1042=74),"④一般",IF(OR($AJ1042=41,$AJ1042=47),"⑤短期","対象外"))))))</f>
        <v>⑤短期</v>
      </c>
    </row>
    <row r="1043">
      <c r="A1043" t="n" s="2909">
        <v>31</v>
      </c>
      <c r="AA1043" t="n" s="2909">
        <v>24</v>
      </c>
      <c r="AB1043" t="inlineStr" s="2909">
        <is>
          <t>20241001</t>
        </is>
      </c>
      <c r="AD1043" t="n" s="2909">
        <v>12</v>
      </c>
      <c r="AE1043" t="inlineStr" s="2909">
        <is>
          <t>20250401</t>
        </is>
      </c>
      <c r="AH1043" t="n" s="2909">
        <v>1</v>
      </c>
      <c r="AJ1043" t="n" s="2909">
        <v>41</v>
      </c>
      <c r="AP1043" t="n" s="2909">
        <v>98000</v>
      </c>
      <c r="DB1043" s="2909" t="str">
        <f>IF($A1043="","",IF($AE1043&amp;""&lt;&gt;'DB_設定'!$C$4,"対象外",IF($AH1043=20,IF(OR($AJ1043=10,$AJ1043=11,$AJ1043=18),"①病院一般",IF($AJ1043=41,"②病院短期","対象外")),IF($AH1043=5,IF($AJ1043=30,"③特定消防","対象外"),IF(OR($AJ1043=10,$AJ1043=11,$AJ1043=74),"④一般",IF(OR($AJ1043=41,$AJ1043=47),"⑤短期","対象外"))))))</f>
        <v>⑤短期</v>
      </c>
    </row>
    <row r="1044">
      <c r="A1044" t="n" s="2909">
        <v>31</v>
      </c>
      <c r="AA1044" t="n" s="2909">
        <v>21</v>
      </c>
      <c r="AB1044" t="inlineStr" s="2909">
        <is>
          <t>20230801</t>
        </is>
      </c>
      <c r="AD1044" t="n" s="2909">
        <v>12</v>
      </c>
      <c r="AE1044" t="inlineStr" s="2909">
        <is>
          <t>20251001</t>
        </is>
      </c>
      <c r="AH1044" t="n" s="2909">
        <v>1</v>
      </c>
      <c r="AJ1044" t="n" s="2909">
        <v>41</v>
      </c>
      <c r="AP1044" t="n" s="2909">
        <v>142000</v>
      </c>
      <c r="DB1044" s="2909" t="str">
        <f>IF($A1044="","",IF($AE1044&amp;""&lt;&gt;'DB_設定'!$C$4,"対象外",IF($AH1044=20,IF(OR($AJ1044=10,$AJ1044=11,$AJ1044=18),"①病院一般",IF($AJ1044=41,"②病院短期","対象外")),IF($AH1044=5,IF($AJ1044=30,"③特定消防","対象外"),IF(OR($AJ1044=10,$AJ1044=11,$AJ1044=74),"④一般",IF(OR($AJ1044=41,$AJ1044=47),"⑤短期","対象外"))))))</f>
        <v>対象外</v>
      </c>
    </row>
    <row r="1045">
      <c r="A1045" t="n" s="2909">
        <v>31</v>
      </c>
      <c r="AA1045" t="n" s="2909">
        <v>21</v>
      </c>
      <c r="AB1045" t="inlineStr" s="2909">
        <is>
          <t>20221001</t>
        </is>
      </c>
      <c r="AD1045" t="n" s="2909">
        <v>12</v>
      </c>
      <c r="AE1045" t="inlineStr" s="2909">
        <is>
          <t>20250401</t>
        </is>
      </c>
      <c r="AH1045" t="n" s="2909">
        <v>11</v>
      </c>
      <c r="AJ1045" t="n" s="2909">
        <v>41</v>
      </c>
      <c r="AP1045" t="n" s="2909">
        <v>134000</v>
      </c>
      <c r="DB1045" s="2909" t="str">
        <f>IF($A1045="","",IF($AE1045&amp;""&lt;&gt;'DB_設定'!$C$4,"対象外",IF($AH1045=20,IF(OR($AJ1045=10,$AJ1045=11,$AJ1045=18),"①病院一般",IF($AJ1045=41,"②病院短期","対象外")),IF($AH1045=5,IF($AJ1045=30,"③特定消防","対象外"),IF(OR($AJ1045=10,$AJ1045=11,$AJ1045=74),"④一般",IF(OR($AJ1045=41,$AJ1045=47),"⑤短期","対象外"))))))</f>
        <v>⑤短期</v>
      </c>
    </row>
    <row r="1046">
      <c r="A1046" t="n" s="2909">
        <v>31</v>
      </c>
      <c r="AA1046" t="n" s="2909">
        <v>21</v>
      </c>
      <c r="AB1046" t="inlineStr" s="2909">
        <is>
          <t>20221001</t>
        </is>
      </c>
      <c r="AD1046" t="n" s="2909">
        <v>12</v>
      </c>
      <c r="AE1046" t="inlineStr" s="2909">
        <is>
          <t>20250401</t>
        </is>
      </c>
      <c r="AH1046" t="n" s="2909">
        <v>1</v>
      </c>
      <c r="AJ1046" t="n" s="2909">
        <v>41</v>
      </c>
      <c r="AP1046" t="n" s="2909">
        <v>118000</v>
      </c>
      <c r="DB1046" s="2909" t="str">
        <f>IF($A1046="","",IF($AE1046&amp;""&lt;&gt;'DB_設定'!$C$4,"対象外",IF($AH1046=20,IF(OR($AJ1046=10,$AJ1046=11,$AJ1046=18),"①病院一般",IF($AJ1046=41,"②病院短期","対象外")),IF($AH1046=5,IF($AJ1046=30,"③特定消防","対象外"),IF(OR($AJ1046=10,$AJ1046=11,$AJ1046=74),"④一般",IF(OR($AJ1046=41,$AJ1046=47),"⑤短期","対象外"))))))</f>
        <v>⑤短期</v>
      </c>
    </row>
    <row r="1047">
      <c r="A1047" t="n" s="2909">
        <v>31</v>
      </c>
      <c r="AA1047" t="n" s="2909">
        <v>21</v>
      </c>
      <c r="AB1047" t="inlineStr" s="2909">
        <is>
          <t>20221101</t>
        </is>
      </c>
      <c r="AD1047" t="n" s="2909">
        <v>12</v>
      </c>
      <c r="AE1047" t="inlineStr" s="2909">
        <is>
          <t>20250401</t>
        </is>
      </c>
      <c r="AH1047" t="n" s="2909">
        <v>1</v>
      </c>
      <c r="AJ1047" t="n" s="2909">
        <v>41</v>
      </c>
      <c r="AP1047" t="n" s="2909">
        <v>180000</v>
      </c>
      <c r="DB1047" s="2909" t="str">
        <f>IF($A1047="","",IF($AE1047&amp;""&lt;&gt;'DB_設定'!$C$4,"対象外",IF($AH1047=20,IF(OR($AJ1047=10,$AJ1047=11,$AJ1047=18),"①病院一般",IF($AJ1047=41,"②病院短期","対象外")),IF($AH1047=5,IF($AJ1047=30,"③特定消防","対象外"),IF(OR($AJ1047=10,$AJ1047=11,$AJ1047=74),"④一般",IF(OR($AJ1047=41,$AJ1047=47),"⑤短期","対象外"))))))</f>
        <v>⑤短期</v>
      </c>
    </row>
    <row r="1048">
      <c r="A1048" t="n" s="2909">
        <v>31</v>
      </c>
      <c r="AA1048" t="n" s="2909">
        <v>24</v>
      </c>
      <c r="AB1048" t="inlineStr" s="2909">
        <is>
          <t>20240420</t>
        </is>
      </c>
      <c r="AD1048" t="n" s="2909">
        <v>12</v>
      </c>
      <c r="AE1048" t="inlineStr" s="2909">
        <is>
          <t>20250401</t>
        </is>
      </c>
      <c r="AH1048" t="n" s="2909">
        <v>11</v>
      </c>
      <c r="AJ1048" t="n" s="2909">
        <v>41</v>
      </c>
      <c r="AP1048" t="n" s="2909">
        <v>200000</v>
      </c>
      <c r="DB1048" s="2909" t="str">
        <f>IF($A1048="","",IF($AE1048&amp;""&lt;&gt;'DB_設定'!$C$4,"対象外",IF($AH1048=20,IF(OR($AJ1048=10,$AJ1048=11,$AJ1048=18),"①病院一般",IF($AJ1048=41,"②病院短期","対象外")),IF($AH1048=5,IF($AJ1048=30,"③特定消防","対象外"),IF(OR($AJ1048=10,$AJ1048=11,$AJ1048=74),"④一般",IF(OR($AJ1048=41,$AJ1048=47),"⑤短期","対象外"))))))</f>
        <v>⑤短期</v>
      </c>
    </row>
    <row r="1049">
      <c r="A1049" t="n" s="2909">
        <v>31</v>
      </c>
      <c r="AA1049" t="n" s="2909">
        <v>24</v>
      </c>
      <c r="AB1049" t="inlineStr" s="2909">
        <is>
          <t>20240513</t>
        </is>
      </c>
      <c r="AD1049" t="n" s="2909">
        <v>12</v>
      </c>
      <c r="AE1049" t="inlineStr" s="2909">
        <is>
          <t>20250901</t>
        </is>
      </c>
      <c r="AH1049" t="n" s="2909">
        <v>1</v>
      </c>
      <c r="AJ1049" t="n" s="2909">
        <v>41</v>
      </c>
      <c r="AP1049" t="n" s="2909">
        <v>134000</v>
      </c>
      <c r="DB1049" s="2909" t="str">
        <f>IF($A1049="","",IF($AE1049&amp;""&lt;&gt;'DB_設定'!$C$4,"対象外",IF($AH1049=20,IF(OR($AJ1049=10,$AJ1049=11,$AJ1049=18),"①病院一般",IF($AJ1049=41,"②病院短期","対象外")),IF($AH1049=5,IF($AJ1049=30,"③特定消防","対象外"),IF(OR($AJ1049=10,$AJ1049=11,$AJ1049=74),"④一般",IF(OR($AJ1049=41,$AJ1049=47),"⑤短期","対象外"))))))</f>
        <v>対象外</v>
      </c>
    </row>
    <row r="1050">
      <c r="A1050" t="n" s="2909">
        <v>31</v>
      </c>
      <c r="AA1050" t="n" s="2909">
        <v>24</v>
      </c>
      <c r="AB1050" t="inlineStr" s="2909">
        <is>
          <t>20241202</t>
        </is>
      </c>
      <c r="AD1050" t="n" s="2909">
        <v>12</v>
      </c>
      <c r="AE1050" t="inlineStr" s="2909">
        <is>
          <t>20250410</t>
        </is>
      </c>
      <c r="AH1050" t="n" s="2909">
        <v>11</v>
      </c>
      <c r="AJ1050" t="n" s="2909">
        <v>41</v>
      </c>
      <c r="AP1050" t="n" s="2909">
        <v>500000</v>
      </c>
      <c r="DB1050" s="2909" t="str">
        <f>IF($A1050="","",IF($AE1050&amp;""&lt;&gt;'DB_設定'!$C$4,"対象外",IF($AH1050=20,IF(OR($AJ1050=10,$AJ1050=11,$AJ1050=18),"①病院一般",IF($AJ1050=41,"②病院短期","対象外")),IF($AH1050=5,IF($AJ1050=30,"③特定消防","対象外"),IF(OR($AJ1050=10,$AJ1050=11,$AJ1050=74),"④一般",IF(OR($AJ1050=41,$AJ1050=47),"⑤短期","対象外"))))))</f>
        <v>対象外</v>
      </c>
    </row>
    <row r="1051">
      <c r="A1051" t="n" s="2909">
        <v>31</v>
      </c>
      <c r="AA1051" t="n" s="2909">
        <v>21</v>
      </c>
      <c r="AB1051" t="inlineStr" s="2909">
        <is>
          <t>20230410</t>
        </is>
      </c>
      <c r="AD1051" t="n" s="2909">
        <v>12</v>
      </c>
      <c r="AE1051" t="inlineStr" s="2909">
        <is>
          <t>20250401</t>
        </is>
      </c>
      <c r="AH1051" t="n" s="2909">
        <v>11</v>
      </c>
      <c r="AJ1051" t="n" s="2909">
        <v>41</v>
      </c>
      <c r="AP1051" t="n" s="2909">
        <v>170000</v>
      </c>
      <c r="DB1051" s="2909" t="str">
        <f>IF($A1051="","",IF($AE1051&amp;""&lt;&gt;'DB_設定'!$C$4,"対象外",IF($AH1051=20,IF(OR($AJ1051=10,$AJ1051=11,$AJ1051=18),"①病院一般",IF($AJ1051=41,"②病院短期","対象外")),IF($AH1051=5,IF($AJ1051=30,"③特定消防","対象外"),IF(OR($AJ1051=10,$AJ1051=11,$AJ1051=74),"④一般",IF(OR($AJ1051=41,$AJ1051=47),"⑤短期","対象外"))))))</f>
        <v>⑤短期</v>
      </c>
    </row>
    <row r="1052">
      <c r="A1052" t="n" s="2909">
        <v>31</v>
      </c>
      <c r="AA1052" t="n" s="2909">
        <v>21</v>
      </c>
      <c r="AB1052" t="inlineStr" s="2909">
        <is>
          <t>20250107</t>
        </is>
      </c>
      <c r="AD1052" t="n" s="2909">
        <v>12</v>
      </c>
      <c r="AE1052" t="inlineStr" s="2909">
        <is>
          <t>20250401</t>
        </is>
      </c>
      <c r="AH1052" t="n" s="2909">
        <v>11</v>
      </c>
      <c r="AJ1052" t="n" s="2909">
        <v>41</v>
      </c>
      <c r="AP1052" t="n" s="2909">
        <v>126000</v>
      </c>
      <c r="DB1052" s="2909" t="str">
        <f>IF($A1052="","",IF($AE1052&amp;""&lt;&gt;'DB_設定'!$C$4,"対象外",IF($AH1052=20,IF(OR($AJ1052=10,$AJ1052=11,$AJ1052=18),"①病院一般",IF($AJ1052=41,"②病院短期","対象外")),IF($AH1052=5,IF($AJ1052=30,"③特定消防","対象外"),IF(OR($AJ1052=10,$AJ1052=11,$AJ1052=74),"④一般",IF(OR($AJ1052=41,$AJ1052=47),"⑤短期","対象外"))))))</f>
        <v>⑤短期</v>
      </c>
    </row>
    <row r="1053">
      <c r="A1053" t="n" s="2909">
        <v>31</v>
      </c>
      <c r="AA1053" t="n" s="2909">
        <v>21</v>
      </c>
      <c r="AB1053" t="inlineStr" s="2909">
        <is>
          <t>20221101</t>
        </is>
      </c>
      <c r="AD1053" t="n" s="2909">
        <v>12</v>
      </c>
      <c r="AE1053" t="inlineStr" s="2909">
        <is>
          <t>20250401</t>
        </is>
      </c>
      <c r="AH1053" t="n" s="2909">
        <v>1</v>
      </c>
      <c r="AJ1053" t="n" s="2909">
        <v>41</v>
      </c>
      <c r="AP1053" t="n" s="2909">
        <v>126000</v>
      </c>
      <c r="DB1053" s="2909" t="str">
        <f>IF($A1053="","",IF($AE1053&amp;""&lt;&gt;'DB_設定'!$C$4,"対象外",IF($AH1053=20,IF(OR($AJ1053=10,$AJ1053=11,$AJ1053=18),"①病院一般",IF($AJ1053=41,"②病院短期","対象外")),IF($AH1053=5,IF($AJ1053=30,"③特定消防","対象外"),IF(OR($AJ1053=10,$AJ1053=11,$AJ1053=74),"④一般",IF(OR($AJ1053=41,$AJ1053=47),"⑤短期","対象外"))))))</f>
        <v>⑤短期</v>
      </c>
    </row>
    <row r="1054">
      <c r="A1054" t="n" s="2909">
        <v>31</v>
      </c>
      <c r="AA1054" t="n" s="2909">
        <v>24</v>
      </c>
      <c r="AB1054" t="inlineStr" s="2909">
        <is>
          <t>20241201</t>
        </is>
      </c>
      <c r="AD1054" t="n" s="2909">
        <v>12</v>
      </c>
      <c r="AE1054" t="inlineStr" s="2909">
        <is>
          <t>20250826</t>
        </is>
      </c>
      <c r="AH1054" t="n" s="2909">
        <v>1</v>
      </c>
      <c r="AJ1054" t="n" s="2909">
        <v>41</v>
      </c>
      <c r="AP1054" t="n" s="2909">
        <v>134000</v>
      </c>
      <c r="DB1054" s="2909" t="str">
        <f>IF($A1054="","",IF($AE1054&amp;""&lt;&gt;'DB_設定'!$C$4,"対象外",IF($AH1054=20,IF(OR($AJ1054=10,$AJ1054=11,$AJ1054=18),"①病院一般",IF($AJ1054=41,"②病院短期","対象外")),IF($AH1054=5,IF($AJ1054=30,"③特定消防","対象外"),IF(OR($AJ1054=10,$AJ1054=11,$AJ1054=74),"④一般",IF(OR($AJ1054=41,$AJ1054=47),"⑤短期","対象外"))))))</f>
        <v>対象外</v>
      </c>
    </row>
    <row r="1055">
      <c r="A1055" t="n" s="2909">
        <v>31</v>
      </c>
      <c r="AA1055" t="n" s="2909">
        <v>24</v>
      </c>
      <c r="AB1055" t="inlineStr" s="2909">
        <is>
          <t>20250401</t>
        </is>
      </c>
      <c r="AD1055" t="n" s="2909">
        <v>12</v>
      </c>
      <c r="AE1055" t="inlineStr" s="2909">
        <is>
          <t>20251001</t>
        </is>
      </c>
      <c r="AH1055" t="n" s="2909">
        <v>11</v>
      </c>
      <c r="AJ1055" t="n" s="2909">
        <v>41</v>
      </c>
      <c r="AP1055" t="n" s="2909">
        <v>142000</v>
      </c>
      <c r="DB1055" s="2909" t="str">
        <f>IF($A1055="","",IF($AE1055&amp;""&lt;&gt;'DB_設定'!$C$4,"対象外",IF($AH1055=20,IF(OR($AJ1055=10,$AJ1055=11,$AJ1055=18),"①病院一般",IF($AJ1055=41,"②病院短期","対象外")),IF($AH1055=5,IF($AJ1055=30,"③特定消防","対象外"),IF(OR($AJ1055=10,$AJ1055=11,$AJ1055=74),"④一般",IF(OR($AJ1055=41,$AJ1055=47),"⑤短期","対象外"))))))</f>
        <v>対象外</v>
      </c>
    </row>
    <row r="1056">
      <c r="A1056" t="n" s="2909">
        <v>31</v>
      </c>
      <c r="AA1056" t="n" s="2909">
        <v>24</v>
      </c>
      <c r="AB1056" t="inlineStr" s="2909">
        <is>
          <t>20241001</t>
        </is>
      </c>
      <c r="AD1056" t="n" s="2909">
        <v>12</v>
      </c>
      <c r="AE1056" t="inlineStr" s="2909">
        <is>
          <t>20250401</t>
        </is>
      </c>
      <c r="AH1056" t="n" s="2909">
        <v>1</v>
      </c>
      <c r="AJ1056" t="n" s="2909">
        <v>41</v>
      </c>
      <c r="AP1056" t="n" s="2909">
        <v>126000</v>
      </c>
      <c r="DB1056" s="2909" t="str">
        <f>IF($A1056="","",IF($AE1056&amp;""&lt;&gt;'DB_設定'!$C$4,"対象外",IF($AH1056=20,IF(OR($AJ1056=10,$AJ1056=11,$AJ1056=18),"①病院一般",IF($AJ1056=41,"②病院短期","対象外")),IF($AH1056=5,IF($AJ1056=30,"③特定消防","対象外"),IF(OR($AJ1056=10,$AJ1056=11,$AJ1056=74),"④一般",IF(OR($AJ1056=41,$AJ1056=47),"⑤短期","対象外"))))))</f>
        <v>⑤短期</v>
      </c>
    </row>
    <row r="1057">
      <c r="A1057" t="n" s="2909">
        <v>31</v>
      </c>
      <c r="AA1057" t="n" s="2909">
        <v>21</v>
      </c>
      <c r="AB1057" t="inlineStr" s="2909">
        <is>
          <t>20230401</t>
        </is>
      </c>
      <c r="AD1057" t="n" s="2909">
        <v>12</v>
      </c>
      <c r="AE1057" t="inlineStr" s="2909">
        <is>
          <t>20250401</t>
        </is>
      </c>
      <c r="AH1057" t="n" s="2909">
        <v>1</v>
      </c>
      <c r="AJ1057" t="n" s="2909">
        <v>41</v>
      </c>
      <c r="AP1057" t="n" s="2909">
        <v>142000</v>
      </c>
      <c r="DB1057" s="2909" t="str">
        <f>IF($A1057="","",IF($AE1057&amp;""&lt;&gt;'DB_設定'!$C$4,"対象外",IF($AH1057=20,IF(OR($AJ1057=10,$AJ1057=11,$AJ1057=18),"①病院一般",IF($AJ1057=41,"②病院短期","対象外")),IF($AH1057=5,IF($AJ1057=30,"③特定消防","対象外"),IF(OR($AJ1057=10,$AJ1057=11,$AJ1057=74),"④一般",IF(OR($AJ1057=41,$AJ1057=47),"⑤短期","対象外"))))))</f>
        <v>⑤短期</v>
      </c>
    </row>
    <row r="1058">
      <c r="A1058" t="n" s="2909">
        <v>31</v>
      </c>
      <c r="AA1058" t="n" s="2909">
        <v>24</v>
      </c>
      <c r="AB1058" t="inlineStr" s="2909">
        <is>
          <t>20240516</t>
        </is>
      </c>
      <c r="AD1058" t="n" s="2909">
        <v>12</v>
      </c>
      <c r="AE1058" t="inlineStr" s="2909">
        <is>
          <t>20250401</t>
        </is>
      </c>
      <c r="AH1058" t="n" s="2909">
        <v>1</v>
      </c>
      <c r="AJ1058" t="n" s="2909">
        <v>41</v>
      </c>
      <c r="AP1058" t="n" s="2909">
        <v>134000</v>
      </c>
      <c r="DB1058" s="2909" t="str">
        <f>IF($A1058="","",IF($AE1058&amp;""&lt;&gt;'DB_設定'!$C$4,"対象外",IF($AH1058=20,IF(OR($AJ1058=10,$AJ1058=11,$AJ1058=18),"①病院一般",IF($AJ1058=41,"②病院短期","対象外")),IF($AH1058=5,IF($AJ1058=30,"③特定消防","対象外"),IF(OR($AJ1058=10,$AJ1058=11,$AJ1058=74),"④一般",IF(OR($AJ1058=41,$AJ1058=47),"⑤短期","対象外"))))))</f>
        <v>⑤短期</v>
      </c>
    </row>
    <row r="1059">
      <c r="A1059" t="n" s="2909">
        <v>31</v>
      </c>
      <c r="AA1059" t="n" s="2909">
        <v>21</v>
      </c>
      <c r="AB1059" t="inlineStr" s="2909">
        <is>
          <t>20230401</t>
        </is>
      </c>
      <c r="AD1059" t="n" s="2909">
        <v>12</v>
      </c>
      <c r="AE1059" t="inlineStr" s="2909">
        <is>
          <t>20250401</t>
        </is>
      </c>
      <c r="AH1059" t="n" s="2909">
        <v>11</v>
      </c>
      <c r="AJ1059" t="n" s="2909">
        <v>41</v>
      </c>
      <c r="AP1059" t="n" s="2909">
        <v>180000</v>
      </c>
      <c r="DB1059" s="2909" t="str">
        <f>IF($A1059="","",IF($AE1059&amp;""&lt;&gt;'DB_設定'!$C$4,"対象外",IF($AH1059=20,IF(OR($AJ1059=10,$AJ1059=11,$AJ1059=18),"①病院一般",IF($AJ1059=41,"②病院短期","対象外")),IF($AH1059=5,IF($AJ1059=30,"③特定消防","対象外"),IF(OR($AJ1059=10,$AJ1059=11,$AJ1059=74),"④一般",IF(OR($AJ1059=41,$AJ1059=47),"⑤短期","対象外"))))))</f>
        <v>⑤短期</v>
      </c>
    </row>
    <row r="1060">
      <c r="A1060" t="n" s="2909">
        <v>31</v>
      </c>
      <c r="AA1060" t="n" s="2909">
        <v>21</v>
      </c>
      <c r="AB1060" t="inlineStr" s="2909">
        <is>
          <t>20240401</t>
        </is>
      </c>
      <c r="AD1060" t="n" s="2909">
        <v>12</v>
      </c>
      <c r="AE1060" t="inlineStr" s="2909">
        <is>
          <t>20250712</t>
        </is>
      </c>
      <c r="AH1060" t="n" s="2909">
        <v>1</v>
      </c>
      <c r="AJ1060" t="n" s="2909">
        <v>41</v>
      </c>
      <c r="AP1060" t="n" s="2909">
        <v>126000</v>
      </c>
      <c r="DB1060" s="2909" t="str">
        <f>IF($A1060="","",IF($AE1060&amp;""&lt;&gt;'DB_設定'!$C$4,"対象外",IF($AH1060=20,IF(OR($AJ1060=10,$AJ1060=11,$AJ1060=18),"①病院一般",IF($AJ1060=41,"②病院短期","対象外")),IF($AH1060=5,IF($AJ1060=30,"③特定消防","対象外"),IF(OR($AJ1060=10,$AJ1060=11,$AJ1060=74),"④一般",IF(OR($AJ1060=41,$AJ1060=47),"⑤短期","対象外"))))))</f>
        <v>対象外</v>
      </c>
    </row>
    <row r="1061">
      <c r="A1061" t="n" s="2909">
        <v>31</v>
      </c>
      <c r="AA1061" t="n" s="2909">
        <v>24</v>
      </c>
      <c r="AB1061" t="inlineStr" s="2909">
        <is>
          <t>20231001</t>
        </is>
      </c>
      <c r="AD1061" t="n" s="2909">
        <v>12</v>
      </c>
      <c r="AE1061" t="inlineStr" s="2909">
        <is>
          <t>20250616</t>
        </is>
      </c>
      <c r="AH1061" t="n" s="2909">
        <v>1</v>
      </c>
      <c r="AJ1061" t="n" s="2909">
        <v>41</v>
      </c>
      <c r="AP1061" t="n" s="2909">
        <v>126000</v>
      </c>
      <c r="DB1061" s="2909" t="str">
        <f>IF($A1061="","",IF($AE1061&amp;""&lt;&gt;'DB_設定'!$C$4,"対象外",IF($AH1061=20,IF(OR($AJ1061=10,$AJ1061=11,$AJ1061=18),"①病院一般",IF($AJ1061=41,"②病院短期","対象外")),IF($AH1061=5,IF($AJ1061=30,"③特定消防","対象外"),IF(OR($AJ1061=10,$AJ1061=11,$AJ1061=74),"④一般",IF(OR($AJ1061=41,$AJ1061=47),"⑤短期","対象外"))))))</f>
        <v>対象外</v>
      </c>
    </row>
    <row r="1062">
      <c r="A1062" t="n" s="2909">
        <v>31</v>
      </c>
      <c r="AA1062" t="n" s="2909">
        <v>21</v>
      </c>
      <c r="AB1062" t="inlineStr" s="2909">
        <is>
          <t>20240408</t>
        </is>
      </c>
      <c r="AD1062" t="n" s="2909">
        <v>12</v>
      </c>
      <c r="AE1062" t="inlineStr" s="2909">
        <is>
          <t>20250401</t>
        </is>
      </c>
      <c r="AH1062" t="n" s="2909">
        <v>11</v>
      </c>
      <c r="AJ1062" t="n" s="2909">
        <v>41</v>
      </c>
      <c r="AP1062" t="n" s="2909">
        <v>126000</v>
      </c>
      <c r="DB1062" s="2909" t="str">
        <f>IF($A1062="","",IF($AE1062&amp;""&lt;&gt;'DB_設定'!$C$4,"対象外",IF($AH1062=20,IF(OR($AJ1062=10,$AJ1062=11,$AJ1062=18),"①病院一般",IF($AJ1062=41,"②病院短期","対象外")),IF($AH1062=5,IF($AJ1062=30,"③特定消防","対象外"),IF(OR($AJ1062=10,$AJ1062=11,$AJ1062=74),"④一般",IF(OR($AJ1062=41,$AJ1062=47),"⑤短期","対象外"))))))</f>
        <v>⑤短期</v>
      </c>
    </row>
    <row r="1063">
      <c r="A1063" t="n" s="2909">
        <v>31</v>
      </c>
      <c r="AA1063" t="n" s="2909">
        <v>21</v>
      </c>
      <c r="AB1063" t="inlineStr" s="2909">
        <is>
          <t>20250705</t>
        </is>
      </c>
      <c r="AD1063" t="n" s="2909">
        <v>12</v>
      </c>
      <c r="AE1063" t="inlineStr" s="2909">
        <is>
          <t>20250916</t>
        </is>
      </c>
      <c r="AH1063" t="n" s="2909">
        <v>1</v>
      </c>
      <c r="AJ1063" t="n" s="2909">
        <v>41</v>
      </c>
      <c r="AP1063" t="n" s="2909">
        <v>260000</v>
      </c>
      <c r="DB1063" s="2909" t="str">
        <f>IF($A1063="","",IF($AE1063&amp;""&lt;&gt;'DB_設定'!$C$4,"対象外",IF($AH1063=20,IF(OR($AJ1063=10,$AJ1063=11,$AJ1063=18),"①病院一般",IF($AJ1063=41,"②病院短期","対象外")),IF($AH1063=5,IF($AJ1063=30,"③特定消防","対象外"),IF(OR($AJ1063=10,$AJ1063=11,$AJ1063=74),"④一般",IF(OR($AJ1063=41,$AJ1063=47),"⑤短期","対象外"))))))</f>
        <v>対象外</v>
      </c>
    </row>
    <row r="1064">
      <c r="A1064" t="n" s="2909">
        <v>31</v>
      </c>
      <c r="AA1064" t="n" s="2909">
        <v>21</v>
      </c>
      <c r="AB1064" t="inlineStr" s="2909">
        <is>
          <t>20230401</t>
        </is>
      </c>
      <c r="AD1064" t="n" s="2909">
        <v>12</v>
      </c>
      <c r="AE1064" t="inlineStr" s="2909">
        <is>
          <t>20250401</t>
        </is>
      </c>
      <c r="AH1064" t="n" s="2909">
        <v>20</v>
      </c>
      <c r="AJ1064" t="n" s="2909">
        <v>10</v>
      </c>
      <c r="AP1064" t="n" s="2909">
        <v>880000</v>
      </c>
      <c r="DB1064" s="2909" t="str">
        <f>IF($A1064="","",IF($AE1064&amp;""&lt;&gt;'DB_設定'!$C$4,"対象外",IF($AH1064=20,IF(OR($AJ1064=10,$AJ1064=11,$AJ1064=18),"①病院一般",IF($AJ1064=41,"②病院短期","対象外")),IF($AH1064=5,IF($AJ1064=30,"③特定消防","対象外"),IF(OR($AJ1064=10,$AJ1064=11,$AJ1064=74),"④一般",IF(OR($AJ1064=41,$AJ1064=47),"⑤短期","対象外"))))))</f>
        <v>①病院一般</v>
      </c>
    </row>
    <row r="1065">
      <c r="A1065" t="n" s="2909">
        <v>31</v>
      </c>
      <c r="AA1065" t="n" s="2909">
        <v>21</v>
      </c>
      <c r="AB1065" t="inlineStr" s="2909">
        <is>
          <t>20230401</t>
        </is>
      </c>
      <c r="AD1065" t="n" s="2909">
        <v>12</v>
      </c>
      <c r="AE1065" t="inlineStr" s="2909">
        <is>
          <t>20250401</t>
        </is>
      </c>
      <c r="AH1065" t="n" s="2909">
        <v>20</v>
      </c>
      <c r="AJ1065" t="n" s="2909">
        <v>10</v>
      </c>
      <c r="AP1065" t="n" s="2909">
        <v>830000</v>
      </c>
      <c r="DB1065" s="2909" t="str">
        <f>IF($A1065="","",IF($AE1065&amp;""&lt;&gt;'DB_設定'!$C$4,"対象外",IF($AH1065=20,IF(OR($AJ1065=10,$AJ1065=11,$AJ1065=18),"①病院一般",IF($AJ1065=41,"②病院短期","対象外")),IF($AH1065=5,IF($AJ1065=30,"③特定消防","対象外"),IF(OR($AJ1065=10,$AJ1065=11,$AJ1065=74),"④一般",IF(OR($AJ1065=41,$AJ1065=47),"⑤短期","対象外"))))))</f>
        <v>①病院一般</v>
      </c>
    </row>
    <row r="1066">
      <c r="A1066" t="n" s="2909">
        <v>31</v>
      </c>
      <c r="AA1066" t="n" s="2909">
        <v>21</v>
      </c>
      <c r="AB1066" t="inlineStr" s="2909">
        <is>
          <t>20230401</t>
        </is>
      </c>
      <c r="AD1066" t="n" s="2909">
        <v>12</v>
      </c>
      <c r="AE1066" t="inlineStr" s="2909">
        <is>
          <t>20250401</t>
        </is>
      </c>
      <c r="AH1066" t="n" s="2909">
        <v>20</v>
      </c>
      <c r="AJ1066" t="n" s="2909">
        <v>10</v>
      </c>
      <c r="AP1066" t="n" s="2909">
        <v>680000</v>
      </c>
      <c r="DB1066" s="2909" t="str">
        <f>IF($A1066="","",IF($AE1066&amp;""&lt;&gt;'DB_設定'!$C$4,"対象外",IF($AH1066=20,IF(OR($AJ1066=10,$AJ1066=11,$AJ1066=18),"①病院一般",IF($AJ1066=41,"②病院短期","対象外")),IF($AH1066=5,IF($AJ1066=30,"③特定消防","対象外"),IF(OR($AJ1066=10,$AJ1066=11,$AJ1066=74),"④一般",IF(OR($AJ1066=41,$AJ1066=47),"⑤短期","対象外"))))))</f>
        <v>①病院一般</v>
      </c>
    </row>
    <row r="1067">
      <c r="A1067" t="n" s="2909">
        <v>31</v>
      </c>
      <c r="AA1067" t="n" s="2909">
        <v>21</v>
      </c>
      <c r="AB1067" t="inlineStr" s="2909">
        <is>
          <t>20230401</t>
        </is>
      </c>
      <c r="AD1067" t="n" s="2909">
        <v>12</v>
      </c>
      <c r="AE1067" t="inlineStr" s="2909">
        <is>
          <t>20251001</t>
        </is>
      </c>
      <c r="AH1067" t="n" s="2909">
        <v>20</v>
      </c>
      <c r="AJ1067" t="n" s="2909">
        <v>10</v>
      </c>
      <c r="AP1067" t="n" s="2909">
        <v>830000</v>
      </c>
      <c r="DB1067" s="2909" t="str">
        <f>IF($A1067="","",IF($AE1067&amp;""&lt;&gt;'DB_設定'!$C$4,"対象外",IF($AH1067=20,IF(OR($AJ1067=10,$AJ1067=11,$AJ1067=18),"①病院一般",IF($AJ1067=41,"②病院短期","対象外")),IF($AH1067=5,IF($AJ1067=30,"③特定消防","対象外"),IF(OR($AJ1067=10,$AJ1067=11,$AJ1067=74),"④一般",IF(OR($AJ1067=41,$AJ1067=47),"⑤短期","対象外"))))))</f>
        <v>対象外</v>
      </c>
    </row>
    <row r="1068">
      <c r="A1068" t="n" s="2909">
        <v>31</v>
      </c>
      <c r="AA1068" t="n" s="2909">
        <v>21</v>
      </c>
      <c r="AB1068" t="inlineStr" s="2909">
        <is>
          <t>20230401</t>
        </is>
      </c>
      <c r="AD1068" t="n" s="2909">
        <v>12</v>
      </c>
      <c r="AE1068" t="inlineStr" s="2909">
        <is>
          <t>20250401</t>
        </is>
      </c>
      <c r="AH1068" t="n" s="2909">
        <v>20</v>
      </c>
      <c r="AJ1068" t="n" s="2909">
        <v>10</v>
      </c>
      <c r="AP1068" t="n" s="2909">
        <v>980000</v>
      </c>
      <c r="DB1068" s="2909" t="str">
        <f>IF($A1068="","",IF($AE1068&amp;""&lt;&gt;'DB_設定'!$C$4,"対象外",IF($AH1068=20,IF(OR($AJ1068=10,$AJ1068=11,$AJ1068=18),"①病院一般",IF($AJ1068=41,"②病院短期","対象外")),IF($AH1068=5,IF($AJ1068=30,"③特定消防","対象外"),IF(OR($AJ1068=10,$AJ1068=11,$AJ1068=74),"④一般",IF(OR($AJ1068=41,$AJ1068=47),"⑤短期","対象外"))))))</f>
        <v>①病院一般</v>
      </c>
    </row>
    <row r="1069">
      <c r="A1069" t="n" s="2909">
        <v>31</v>
      </c>
      <c r="AA1069" t="n" s="2909">
        <v>21</v>
      </c>
      <c r="AB1069" t="inlineStr" s="2909">
        <is>
          <t>20230401</t>
        </is>
      </c>
      <c r="AD1069" t="n" s="2909">
        <v>12</v>
      </c>
      <c r="AE1069" t="inlineStr" s="2909">
        <is>
          <t>20250401</t>
        </is>
      </c>
      <c r="AH1069" t="n" s="2909">
        <v>20</v>
      </c>
      <c r="AJ1069" t="n" s="2909">
        <v>10</v>
      </c>
      <c r="AP1069" t="n" s="2909">
        <v>680000</v>
      </c>
      <c r="DB1069" s="2909" t="str">
        <f>IF($A1069="","",IF($AE1069&amp;""&lt;&gt;'DB_設定'!$C$4,"対象外",IF($AH1069=20,IF(OR($AJ1069=10,$AJ1069=11,$AJ1069=18),"①病院一般",IF($AJ1069=41,"②病院短期","対象外")),IF($AH1069=5,IF($AJ1069=30,"③特定消防","対象外"),IF(OR($AJ1069=10,$AJ1069=11,$AJ1069=74),"④一般",IF(OR($AJ1069=41,$AJ1069=47),"⑤短期","対象外"))))))</f>
        <v>①病院一般</v>
      </c>
    </row>
    <row r="1070">
      <c r="A1070" t="n" s="2909">
        <v>31</v>
      </c>
      <c r="AA1070" t="n" s="2909">
        <v>21</v>
      </c>
      <c r="AB1070" t="inlineStr" s="2909">
        <is>
          <t>20230401</t>
        </is>
      </c>
      <c r="AD1070" t="n" s="2909">
        <v>12</v>
      </c>
      <c r="AE1070" t="inlineStr" s="2909">
        <is>
          <t>20251001</t>
        </is>
      </c>
      <c r="AH1070" t="n" s="2909">
        <v>20</v>
      </c>
      <c r="AJ1070" t="n" s="2909">
        <v>10</v>
      </c>
      <c r="AP1070" t="n" s="2909">
        <v>560000</v>
      </c>
      <c r="DB1070" s="2909" t="str">
        <f>IF($A1070="","",IF($AE1070&amp;""&lt;&gt;'DB_設定'!$C$4,"対象外",IF($AH1070=20,IF(OR($AJ1070=10,$AJ1070=11,$AJ1070=18),"①病院一般",IF($AJ1070=41,"②病院短期","対象外")),IF($AH1070=5,IF($AJ1070=30,"③特定消防","対象外"),IF(OR($AJ1070=10,$AJ1070=11,$AJ1070=74),"④一般",IF(OR($AJ1070=41,$AJ1070=47),"⑤短期","対象外"))))))</f>
        <v>対象外</v>
      </c>
    </row>
    <row r="1071">
      <c r="A1071" t="n" s="2909">
        <v>31</v>
      </c>
      <c r="AA1071" t="n" s="2909">
        <v>21</v>
      </c>
      <c r="AB1071" t="inlineStr" s="2909">
        <is>
          <t>20230401</t>
        </is>
      </c>
      <c r="AD1071" t="n" s="2909">
        <v>12</v>
      </c>
      <c r="AE1071" t="inlineStr" s="2909">
        <is>
          <t>20250401</t>
        </is>
      </c>
      <c r="AH1071" t="n" s="2909">
        <v>20</v>
      </c>
      <c r="AJ1071" t="n" s="2909">
        <v>10</v>
      </c>
      <c r="AP1071" t="n" s="2909">
        <v>680000</v>
      </c>
      <c r="DB1071" s="2909" t="str">
        <f>IF($A1071="","",IF($AE1071&amp;""&lt;&gt;'DB_設定'!$C$4,"対象外",IF($AH1071=20,IF(OR($AJ1071=10,$AJ1071=11,$AJ1071=18),"①病院一般",IF($AJ1071=41,"②病院短期","対象外")),IF($AH1071=5,IF($AJ1071=30,"③特定消防","対象外"),IF(OR($AJ1071=10,$AJ1071=11,$AJ1071=74),"④一般",IF(OR($AJ1071=41,$AJ1071=47),"⑤短期","対象外"))))))</f>
        <v>①病院一般</v>
      </c>
    </row>
    <row r="1072">
      <c r="A1072" t="n" s="2909">
        <v>31</v>
      </c>
      <c r="AA1072" t="n" s="2909">
        <v>21</v>
      </c>
      <c r="AB1072" t="inlineStr" s="2909">
        <is>
          <t>20230401</t>
        </is>
      </c>
      <c r="AD1072" t="n" s="2909">
        <v>12</v>
      </c>
      <c r="AE1072" t="inlineStr" s="2909">
        <is>
          <t>20250401</t>
        </is>
      </c>
      <c r="AH1072" t="n" s="2909">
        <v>20</v>
      </c>
      <c r="AJ1072" t="n" s="2909">
        <v>10</v>
      </c>
      <c r="AP1072" t="n" s="2909">
        <v>680000</v>
      </c>
      <c r="DB1072" s="2909" t="str">
        <f>IF($A1072="","",IF($AE1072&amp;""&lt;&gt;'DB_設定'!$C$4,"対象外",IF($AH1072=20,IF(OR($AJ1072=10,$AJ1072=11,$AJ1072=18),"①病院一般",IF($AJ1072=41,"②病院短期","対象外")),IF($AH1072=5,IF($AJ1072=30,"③特定消防","対象外"),IF(OR($AJ1072=10,$AJ1072=11,$AJ1072=74),"④一般",IF(OR($AJ1072=41,$AJ1072=47),"⑤短期","対象外"))))))</f>
        <v>①病院一般</v>
      </c>
    </row>
    <row r="1073">
      <c r="A1073" t="n" s="2909">
        <v>31</v>
      </c>
      <c r="AA1073" t="n" s="2909">
        <v>21</v>
      </c>
      <c r="AB1073" t="inlineStr" s="2909">
        <is>
          <t>20230401</t>
        </is>
      </c>
      <c r="AD1073" t="n" s="2909">
        <v>12</v>
      </c>
      <c r="AE1073" t="inlineStr" s="2909">
        <is>
          <t>20250401</t>
        </is>
      </c>
      <c r="AH1073" t="n" s="2909">
        <v>20</v>
      </c>
      <c r="AJ1073" t="n" s="2909">
        <v>10</v>
      </c>
      <c r="AP1073" t="n" s="2909">
        <v>650000</v>
      </c>
      <c r="DB1073" s="2909" t="str">
        <f>IF($A1073="","",IF($AE1073&amp;""&lt;&gt;'DB_設定'!$C$4,"対象外",IF($AH1073=20,IF(OR($AJ1073=10,$AJ1073=11,$AJ1073=18),"①病院一般",IF($AJ1073=41,"②病院短期","対象外")),IF($AH1073=5,IF($AJ1073=30,"③特定消防","対象外"),IF(OR($AJ1073=10,$AJ1073=11,$AJ1073=74),"④一般",IF(OR($AJ1073=41,$AJ1073=47),"⑤短期","対象外"))))))</f>
        <v>①病院一般</v>
      </c>
    </row>
    <row r="1074">
      <c r="A1074" t="n" s="2909">
        <v>31</v>
      </c>
      <c r="AA1074" t="n" s="2909">
        <v>21</v>
      </c>
      <c r="AB1074" t="inlineStr" s="2909">
        <is>
          <t>20230401</t>
        </is>
      </c>
      <c r="AD1074" t="n" s="2909">
        <v>12</v>
      </c>
      <c r="AE1074" t="inlineStr" s="2909">
        <is>
          <t>20250401</t>
        </is>
      </c>
      <c r="AH1074" t="n" s="2909">
        <v>20</v>
      </c>
      <c r="AJ1074" t="n" s="2909">
        <v>10</v>
      </c>
      <c r="AP1074" t="n" s="2909">
        <v>650000</v>
      </c>
      <c r="DB1074" s="2909" t="str">
        <f>IF($A1074="","",IF($AE1074&amp;""&lt;&gt;'DB_設定'!$C$4,"対象外",IF($AH1074=20,IF(OR($AJ1074=10,$AJ1074=11,$AJ1074=18),"①病院一般",IF($AJ1074=41,"②病院短期","対象外")),IF($AH1074=5,IF($AJ1074=30,"③特定消防","対象外"),IF(OR($AJ1074=10,$AJ1074=11,$AJ1074=74),"④一般",IF(OR($AJ1074=41,$AJ1074=47),"⑤短期","対象外"))))))</f>
        <v>①病院一般</v>
      </c>
    </row>
    <row r="1075">
      <c r="A1075" t="n" s="2909">
        <v>31</v>
      </c>
      <c r="AA1075" t="n" s="2909">
        <v>21</v>
      </c>
      <c r="AB1075" t="inlineStr" s="2909">
        <is>
          <t>20230401</t>
        </is>
      </c>
      <c r="AD1075" t="n" s="2909">
        <v>12</v>
      </c>
      <c r="AE1075" t="inlineStr" s="2909">
        <is>
          <t>20250401</t>
        </is>
      </c>
      <c r="AH1075" t="n" s="2909">
        <v>20</v>
      </c>
      <c r="AJ1075" t="n" s="2909">
        <v>10</v>
      </c>
      <c r="AP1075" t="n" s="2909">
        <v>650000</v>
      </c>
      <c r="DB1075" s="2909" t="str">
        <f>IF($A1075="","",IF($AE1075&amp;""&lt;&gt;'DB_設定'!$C$4,"対象外",IF($AH1075=20,IF(OR($AJ1075=10,$AJ1075=11,$AJ1075=18),"①病院一般",IF($AJ1075=41,"②病院短期","対象外")),IF($AH1075=5,IF($AJ1075=30,"③特定消防","対象外"),IF(OR($AJ1075=10,$AJ1075=11,$AJ1075=74),"④一般",IF(OR($AJ1075=41,$AJ1075=47),"⑤短期","対象外"))))))</f>
        <v>①病院一般</v>
      </c>
    </row>
    <row r="1076">
      <c r="A1076" t="n" s="2909">
        <v>31</v>
      </c>
      <c r="AA1076" t="n" s="2909">
        <v>21</v>
      </c>
      <c r="AB1076" t="inlineStr" s="2909">
        <is>
          <t>20230401</t>
        </is>
      </c>
      <c r="AD1076" t="n" s="2909">
        <v>12</v>
      </c>
      <c r="AE1076" t="inlineStr" s="2909">
        <is>
          <t>20251001</t>
        </is>
      </c>
      <c r="AH1076" t="n" s="2909">
        <v>20</v>
      </c>
      <c r="AJ1076" t="n" s="2909">
        <v>10</v>
      </c>
      <c r="AP1076" t="n" s="2909">
        <v>750000</v>
      </c>
      <c r="DB1076" s="2909" t="str">
        <f>IF($A1076="","",IF($AE1076&amp;""&lt;&gt;'DB_設定'!$C$4,"対象外",IF($AH1076=20,IF(OR($AJ1076=10,$AJ1076=11,$AJ1076=18),"①病院一般",IF($AJ1076=41,"②病院短期","対象外")),IF($AH1076=5,IF($AJ1076=30,"③特定消防","対象外"),IF(OR($AJ1076=10,$AJ1076=11,$AJ1076=74),"④一般",IF(OR($AJ1076=41,$AJ1076=47),"⑤短期","対象外"))))))</f>
        <v>対象外</v>
      </c>
    </row>
    <row r="1077">
      <c r="A1077" t="n" s="2909">
        <v>31</v>
      </c>
      <c r="AA1077" t="n" s="2909">
        <v>21</v>
      </c>
      <c r="AB1077" t="inlineStr" s="2909">
        <is>
          <t>20230401</t>
        </is>
      </c>
      <c r="AD1077" t="n" s="2909">
        <v>12</v>
      </c>
      <c r="AE1077" t="inlineStr" s="2909">
        <is>
          <t>20250401</t>
        </is>
      </c>
      <c r="AH1077" t="n" s="2909">
        <v>20</v>
      </c>
      <c r="AJ1077" t="n" s="2909">
        <v>10</v>
      </c>
      <c r="AP1077" t="n" s="2909">
        <v>680000</v>
      </c>
      <c r="DB1077" s="2909" t="str">
        <f>IF($A1077="","",IF($AE1077&amp;""&lt;&gt;'DB_設定'!$C$4,"対象外",IF($AH1077=20,IF(OR($AJ1077=10,$AJ1077=11,$AJ1077=18),"①病院一般",IF($AJ1077=41,"②病院短期","対象外")),IF($AH1077=5,IF($AJ1077=30,"③特定消防","対象外"),IF(OR($AJ1077=10,$AJ1077=11,$AJ1077=74),"④一般",IF(OR($AJ1077=41,$AJ1077=47),"⑤短期","対象外"))))))</f>
        <v>①病院一般</v>
      </c>
    </row>
    <row r="1078">
      <c r="A1078" t="n" s="2909">
        <v>31</v>
      </c>
      <c r="AA1078" t="n" s="2909">
        <v>21</v>
      </c>
      <c r="AB1078" t="inlineStr" s="2909">
        <is>
          <t>20230401</t>
        </is>
      </c>
      <c r="AD1078" t="n" s="2909">
        <v>12</v>
      </c>
      <c r="AE1078" t="inlineStr" s="2909">
        <is>
          <t>20250401</t>
        </is>
      </c>
      <c r="AH1078" t="n" s="2909">
        <v>20</v>
      </c>
      <c r="AJ1078" t="n" s="2909">
        <v>10</v>
      </c>
      <c r="AP1078" t="n" s="2909">
        <v>930000</v>
      </c>
      <c r="DB1078" s="2909" t="str">
        <f>IF($A1078="","",IF($AE1078&amp;""&lt;&gt;'DB_設定'!$C$4,"対象外",IF($AH1078=20,IF(OR($AJ1078=10,$AJ1078=11,$AJ1078=18),"①病院一般",IF($AJ1078=41,"②病院短期","対象外")),IF($AH1078=5,IF($AJ1078=30,"③特定消防","対象外"),IF(OR($AJ1078=10,$AJ1078=11,$AJ1078=74),"④一般",IF(OR($AJ1078=41,$AJ1078=47),"⑤短期","対象外"))))))</f>
        <v>①病院一般</v>
      </c>
    </row>
    <row r="1079">
      <c r="A1079" t="n" s="2909">
        <v>31</v>
      </c>
      <c r="AA1079" t="n" s="2909">
        <v>21</v>
      </c>
      <c r="AB1079" t="inlineStr" s="2909">
        <is>
          <t>20230401</t>
        </is>
      </c>
      <c r="AD1079" t="n" s="2909">
        <v>12</v>
      </c>
      <c r="AE1079" t="inlineStr" s="2909">
        <is>
          <t>20250401</t>
        </is>
      </c>
      <c r="AH1079" t="n" s="2909">
        <v>20</v>
      </c>
      <c r="AJ1079" t="n" s="2909">
        <v>10</v>
      </c>
      <c r="AP1079" t="n" s="2909">
        <v>790000</v>
      </c>
      <c r="DB1079" s="2909" t="str">
        <f>IF($A1079="","",IF($AE1079&amp;""&lt;&gt;'DB_設定'!$C$4,"対象外",IF($AH1079=20,IF(OR($AJ1079=10,$AJ1079=11,$AJ1079=18),"①病院一般",IF($AJ1079=41,"②病院短期","対象外")),IF($AH1079=5,IF($AJ1079=30,"③特定消防","対象外"),IF(OR($AJ1079=10,$AJ1079=11,$AJ1079=74),"④一般",IF(OR($AJ1079=41,$AJ1079=47),"⑤短期","対象外"))))))</f>
        <v>①病院一般</v>
      </c>
    </row>
    <row r="1080">
      <c r="A1080" t="n" s="2909">
        <v>31</v>
      </c>
      <c r="AA1080" t="n" s="2909">
        <v>21</v>
      </c>
      <c r="AB1080" t="inlineStr" s="2909">
        <is>
          <t>20230401</t>
        </is>
      </c>
      <c r="AD1080" t="n" s="2909">
        <v>12</v>
      </c>
      <c r="AE1080" t="inlineStr" s="2909">
        <is>
          <t>20250401</t>
        </is>
      </c>
      <c r="AH1080" t="n" s="2909">
        <v>20</v>
      </c>
      <c r="AJ1080" t="n" s="2909">
        <v>10</v>
      </c>
      <c r="AP1080" t="n" s="2909">
        <v>880000</v>
      </c>
      <c r="DB1080" s="2909" t="str">
        <f>IF($A1080="","",IF($AE1080&amp;""&lt;&gt;'DB_設定'!$C$4,"対象外",IF($AH1080=20,IF(OR($AJ1080=10,$AJ1080=11,$AJ1080=18),"①病院一般",IF($AJ1080=41,"②病院短期","対象外")),IF($AH1080=5,IF($AJ1080=30,"③特定消防","対象外"),IF(OR($AJ1080=10,$AJ1080=11,$AJ1080=74),"④一般",IF(OR($AJ1080=41,$AJ1080=47),"⑤短期","対象外"))))))</f>
        <v>①病院一般</v>
      </c>
    </row>
    <row r="1081">
      <c r="A1081" t="n" s="2909">
        <v>31</v>
      </c>
      <c r="AA1081" t="n" s="2909">
        <v>21</v>
      </c>
      <c r="AB1081" t="inlineStr" s="2909">
        <is>
          <t>20230401</t>
        </is>
      </c>
      <c r="AD1081" t="n" s="2909">
        <v>12</v>
      </c>
      <c r="AE1081" t="inlineStr" s="2909">
        <is>
          <t>20250401</t>
        </is>
      </c>
      <c r="AH1081" t="n" s="2909">
        <v>20</v>
      </c>
      <c r="AJ1081" t="n" s="2909">
        <v>10</v>
      </c>
      <c r="AP1081" t="n" s="2909">
        <v>710000</v>
      </c>
      <c r="DB1081" s="2909" t="str">
        <f>IF($A1081="","",IF($AE1081&amp;""&lt;&gt;'DB_設定'!$C$4,"対象外",IF($AH1081=20,IF(OR($AJ1081=10,$AJ1081=11,$AJ1081=18),"①病院一般",IF($AJ1081=41,"②病院短期","対象外")),IF($AH1081=5,IF($AJ1081=30,"③特定消防","対象外"),IF(OR($AJ1081=10,$AJ1081=11,$AJ1081=74),"④一般",IF(OR($AJ1081=41,$AJ1081=47),"⑤短期","対象外"))))))</f>
        <v>①病院一般</v>
      </c>
    </row>
    <row r="1082">
      <c r="A1082" t="n" s="2909">
        <v>31</v>
      </c>
      <c r="AA1082" t="n" s="2909">
        <v>21</v>
      </c>
      <c r="AB1082" t="inlineStr" s="2909">
        <is>
          <t>20230401</t>
        </is>
      </c>
      <c r="AD1082" t="n" s="2909">
        <v>12</v>
      </c>
      <c r="AE1082" t="inlineStr" s="2909">
        <is>
          <t>20250401</t>
        </is>
      </c>
      <c r="AH1082" t="n" s="2909">
        <v>20</v>
      </c>
      <c r="AJ1082" t="n" s="2909">
        <v>10</v>
      </c>
      <c r="AP1082" t="n" s="2909">
        <v>750000</v>
      </c>
      <c r="DB1082" s="2909" t="str">
        <f>IF($A1082="","",IF($AE1082&amp;""&lt;&gt;'DB_設定'!$C$4,"対象外",IF($AH1082=20,IF(OR($AJ1082=10,$AJ1082=11,$AJ1082=18),"①病院一般",IF($AJ1082=41,"②病院短期","対象外")),IF($AH1082=5,IF($AJ1082=30,"③特定消防","対象外"),IF(OR($AJ1082=10,$AJ1082=11,$AJ1082=74),"④一般",IF(OR($AJ1082=41,$AJ1082=47),"⑤短期","対象外"))))))</f>
        <v>①病院一般</v>
      </c>
    </row>
    <row r="1083">
      <c r="A1083" t="n" s="2909">
        <v>31</v>
      </c>
      <c r="AA1083" t="n" s="2909">
        <v>21</v>
      </c>
      <c r="AB1083" t="inlineStr" s="2909">
        <is>
          <t>20230401</t>
        </is>
      </c>
      <c r="AD1083" t="n" s="2909">
        <v>12</v>
      </c>
      <c r="AE1083" t="inlineStr" s="2909">
        <is>
          <t>20250401</t>
        </is>
      </c>
      <c r="AH1083" t="n" s="2909">
        <v>20</v>
      </c>
      <c r="AJ1083" t="n" s="2909">
        <v>10</v>
      </c>
      <c r="AP1083" t="n" s="2909">
        <v>750000</v>
      </c>
      <c r="DB1083" s="2909" t="str">
        <f>IF($A1083="","",IF($AE1083&amp;""&lt;&gt;'DB_設定'!$C$4,"対象外",IF($AH1083=20,IF(OR($AJ1083=10,$AJ1083=11,$AJ1083=18),"①病院一般",IF($AJ1083=41,"②病院短期","対象外")),IF($AH1083=5,IF($AJ1083=30,"③特定消防","対象外"),IF(OR($AJ1083=10,$AJ1083=11,$AJ1083=74),"④一般",IF(OR($AJ1083=41,$AJ1083=47),"⑤短期","対象外"))))))</f>
        <v>①病院一般</v>
      </c>
    </row>
    <row r="1084">
      <c r="A1084" t="n" s="2909">
        <v>31</v>
      </c>
      <c r="AA1084" t="n" s="2909">
        <v>21</v>
      </c>
      <c r="AB1084" t="inlineStr" s="2909">
        <is>
          <t>20230401</t>
        </is>
      </c>
      <c r="AD1084" t="n" s="2909">
        <v>12</v>
      </c>
      <c r="AE1084" t="inlineStr" s="2909">
        <is>
          <t>20250401</t>
        </is>
      </c>
      <c r="AH1084" t="n" s="2909">
        <v>20</v>
      </c>
      <c r="AJ1084" t="n" s="2909">
        <v>10</v>
      </c>
      <c r="AP1084" t="n" s="2909">
        <v>710000</v>
      </c>
      <c r="DB1084" s="2909" t="str">
        <f>IF($A1084="","",IF($AE1084&amp;""&lt;&gt;'DB_設定'!$C$4,"対象外",IF($AH1084=20,IF(OR($AJ1084=10,$AJ1084=11,$AJ1084=18),"①病院一般",IF($AJ1084=41,"②病院短期","対象外")),IF($AH1084=5,IF($AJ1084=30,"③特定消防","対象外"),IF(OR($AJ1084=10,$AJ1084=11,$AJ1084=74),"④一般",IF(OR($AJ1084=41,$AJ1084=47),"⑤短期","対象外"))))))</f>
        <v>①病院一般</v>
      </c>
    </row>
    <row r="1085">
      <c r="A1085" t="n" s="2909">
        <v>31</v>
      </c>
      <c r="AA1085" t="n" s="2909">
        <v>21</v>
      </c>
      <c r="AB1085" t="inlineStr" s="2909">
        <is>
          <t>20230401</t>
        </is>
      </c>
      <c r="AD1085" t="n" s="2909">
        <v>12</v>
      </c>
      <c r="AE1085" t="inlineStr" s="2909">
        <is>
          <t>20250401</t>
        </is>
      </c>
      <c r="AH1085" t="n" s="2909">
        <v>20</v>
      </c>
      <c r="AJ1085" t="n" s="2909">
        <v>10</v>
      </c>
      <c r="AP1085" t="n" s="2909">
        <v>790000</v>
      </c>
      <c r="DB1085" s="2909" t="str">
        <f>IF($A1085="","",IF($AE1085&amp;""&lt;&gt;'DB_設定'!$C$4,"対象外",IF($AH1085=20,IF(OR($AJ1085=10,$AJ1085=11,$AJ1085=18),"①病院一般",IF($AJ1085=41,"②病院短期","対象外")),IF($AH1085=5,IF($AJ1085=30,"③特定消防","対象外"),IF(OR($AJ1085=10,$AJ1085=11,$AJ1085=74),"④一般",IF(OR($AJ1085=41,$AJ1085=47),"⑤短期","対象外"))))))</f>
        <v>①病院一般</v>
      </c>
    </row>
    <row r="1086">
      <c r="A1086" t="n" s="2909">
        <v>31</v>
      </c>
      <c r="AA1086" t="n" s="2909">
        <v>21</v>
      </c>
      <c r="AB1086" t="inlineStr" s="2909">
        <is>
          <t>20230401</t>
        </is>
      </c>
      <c r="AD1086" t="n" s="2909">
        <v>12</v>
      </c>
      <c r="AE1086" t="inlineStr" s="2909">
        <is>
          <t>20250401</t>
        </is>
      </c>
      <c r="AH1086" t="n" s="2909">
        <v>20</v>
      </c>
      <c r="AJ1086" t="n" s="2909">
        <v>10</v>
      </c>
      <c r="AP1086" t="n" s="2909">
        <v>710000</v>
      </c>
      <c r="DB1086" s="2909" t="str">
        <f>IF($A1086="","",IF($AE1086&amp;""&lt;&gt;'DB_設定'!$C$4,"対象外",IF($AH1086=20,IF(OR($AJ1086=10,$AJ1086=11,$AJ1086=18),"①病院一般",IF($AJ1086=41,"②病院短期","対象外")),IF($AH1086=5,IF($AJ1086=30,"③特定消防","対象外"),IF(OR($AJ1086=10,$AJ1086=11,$AJ1086=74),"④一般",IF(OR($AJ1086=41,$AJ1086=47),"⑤短期","対象外"))))))</f>
        <v>①病院一般</v>
      </c>
    </row>
    <row r="1087">
      <c r="A1087" t="n" s="2909">
        <v>31</v>
      </c>
      <c r="AA1087" t="n" s="2909">
        <v>21</v>
      </c>
      <c r="AB1087" t="inlineStr" s="2909">
        <is>
          <t>20230401</t>
        </is>
      </c>
      <c r="AD1087" t="n" s="2909">
        <v>12</v>
      </c>
      <c r="AE1087" t="inlineStr" s="2909">
        <is>
          <t>20250901</t>
        </is>
      </c>
      <c r="AH1087" t="n" s="2909">
        <v>20</v>
      </c>
      <c r="AJ1087" t="n" s="2909">
        <v>41</v>
      </c>
      <c r="AP1087" t="n" s="2909">
        <v>170000</v>
      </c>
      <c r="DB1087" s="2909" t="str">
        <f>IF($A1087="","",IF($AE1087&amp;""&lt;&gt;'DB_設定'!$C$4,"対象外",IF($AH1087=20,IF(OR($AJ1087=10,$AJ1087=11,$AJ1087=18),"①病院一般",IF($AJ1087=41,"②病院短期","対象外")),IF($AH1087=5,IF($AJ1087=30,"③特定消防","対象外"),IF(OR($AJ1087=10,$AJ1087=11,$AJ1087=74),"④一般",IF(OR($AJ1087=41,$AJ1087=47),"⑤短期","対象外"))))))</f>
        <v>対象外</v>
      </c>
    </row>
    <row r="1088">
      <c r="A1088" t="n" s="2909">
        <v>31</v>
      </c>
      <c r="AA1088" t="n" s="2909">
        <v>21</v>
      </c>
      <c r="AB1088" t="inlineStr" s="2909">
        <is>
          <t>20230401</t>
        </is>
      </c>
      <c r="AD1088" t="n" s="2909">
        <v>12</v>
      </c>
      <c r="AE1088" t="inlineStr" s="2909">
        <is>
          <t>20250909</t>
        </is>
      </c>
      <c r="AH1088" t="n" s="2909">
        <v>20</v>
      </c>
      <c r="AJ1088" t="n" s="2909">
        <v>41</v>
      </c>
      <c r="AP1088" t="n" s="2909">
        <v>150000</v>
      </c>
      <c r="DB1088" s="2909" t="str">
        <f>IF($A1088="","",IF($AE1088&amp;""&lt;&gt;'DB_設定'!$C$4,"対象外",IF($AH1088=20,IF(OR($AJ1088=10,$AJ1088=11,$AJ1088=18),"①病院一般",IF($AJ1088=41,"②病院短期","対象外")),IF($AH1088=5,IF($AJ1088=30,"③特定消防","対象外"),IF(OR($AJ1088=10,$AJ1088=11,$AJ1088=74),"④一般",IF(OR($AJ1088=41,$AJ1088=47),"⑤短期","対象外"))))))</f>
        <v>対象外</v>
      </c>
    </row>
    <row r="1089">
      <c r="A1089" t="n" s="2909">
        <v>31</v>
      </c>
      <c r="AA1089" t="n" s="2909">
        <v>21</v>
      </c>
      <c r="AB1089" t="inlineStr" s="2909">
        <is>
          <t>20230401</t>
        </is>
      </c>
      <c r="AD1089" t="n" s="2909">
        <v>12</v>
      </c>
      <c r="AE1089" t="inlineStr" s="2909">
        <is>
          <t>20250701</t>
        </is>
      </c>
      <c r="AH1089" t="n" s="2909">
        <v>20</v>
      </c>
      <c r="AJ1089" t="n" s="2909">
        <v>41</v>
      </c>
      <c r="AP1089" t="n" s="2909">
        <v>190000</v>
      </c>
      <c r="DB1089" s="2909" t="str">
        <f>IF($A1089="","",IF($AE1089&amp;""&lt;&gt;'DB_設定'!$C$4,"対象外",IF($AH1089=20,IF(OR($AJ1089=10,$AJ1089=11,$AJ1089=18),"①病院一般",IF($AJ1089=41,"②病院短期","対象外")),IF($AH1089=5,IF($AJ1089=30,"③特定消防","対象外"),IF(OR($AJ1089=10,$AJ1089=11,$AJ1089=74),"④一般",IF(OR($AJ1089=41,$AJ1089=47),"⑤短期","対象外"))))))</f>
        <v>対象外</v>
      </c>
    </row>
    <row r="1090">
      <c r="A1090" t="n" s="2909">
        <v>31</v>
      </c>
      <c r="AA1090" t="n" s="2909">
        <v>21</v>
      </c>
      <c r="AB1090" t="inlineStr" s="2909">
        <is>
          <t>20231001</t>
        </is>
      </c>
      <c r="AD1090" t="n" s="2909">
        <v>12</v>
      </c>
      <c r="AE1090" t="inlineStr" s="2909">
        <is>
          <t>20251001</t>
        </is>
      </c>
      <c r="AH1090" t="n" s="2909">
        <v>20</v>
      </c>
      <c r="AJ1090" t="n" s="2909">
        <v>10</v>
      </c>
      <c r="AP1090" t="n" s="2909">
        <v>1150000</v>
      </c>
      <c r="DB1090" s="2909" t="str">
        <f>IF($A1090="","",IF($AE1090&amp;""&lt;&gt;'DB_設定'!$C$4,"対象外",IF($AH1090=20,IF(OR($AJ1090=10,$AJ1090=11,$AJ1090=18),"①病院一般",IF($AJ1090=41,"②病院短期","対象外")),IF($AH1090=5,IF($AJ1090=30,"③特定消防","対象外"),IF(OR($AJ1090=10,$AJ1090=11,$AJ1090=74),"④一般",IF(OR($AJ1090=41,$AJ1090=47),"⑤短期","対象外"))))))</f>
        <v>対象外</v>
      </c>
    </row>
    <row r="1091">
      <c r="A1091" t="n" s="2909">
        <v>31</v>
      </c>
      <c r="AA1091" t="n" s="2909">
        <v>21</v>
      </c>
      <c r="AB1091" t="inlineStr" s="2909">
        <is>
          <t>20231001</t>
        </is>
      </c>
      <c r="AD1091" t="n" s="2909">
        <v>12</v>
      </c>
      <c r="AE1091" t="inlineStr" s="2909">
        <is>
          <t>20251001</t>
        </is>
      </c>
      <c r="AH1091" t="n" s="2909">
        <v>20</v>
      </c>
      <c r="AJ1091" t="n" s="2909">
        <v>10</v>
      </c>
      <c r="AP1091" t="n" s="2909">
        <v>880000</v>
      </c>
      <c r="DB1091" s="2909" t="str">
        <f>IF($A1091="","",IF($AE1091&amp;""&lt;&gt;'DB_設定'!$C$4,"対象外",IF($AH1091=20,IF(OR($AJ1091=10,$AJ1091=11,$AJ1091=18),"①病院一般",IF($AJ1091=41,"②病院短期","対象外")),IF($AH1091=5,IF($AJ1091=30,"③特定消防","対象外"),IF(OR($AJ1091=10,$AJ1091=11,$AJ1091=74),"④一般",IF(OR($AJ1091=41,$AJ1091=47),"⑤短期","対象外"))))))</f>
        <v>対象外</v>
      </c>
    </row>
    <row r="1092">
      <c r="A1092" t="n" s="2909">
        <v>31</v>
      </c>
      <c r="AA1092" t="n" s="2909">
        <v>21</v>
      </c>
      <c r="AB1092" t="inlineStr" s="2909">
        <is>
          <t>20231201</t>
        </is>
      </c>
      <c r="AD1092" t="n" s="2909">
        <v>12</v>
      </c>
      <c r="AE1092" t="inlineStr" s="2909">
        <is>
          <t>20250401</t>
        </is>
      </c>
      <c r="AH1092" t="n" s="2909">
        <v>20</v>
      </c>
      <c r="AJ1092" t="n" s="2909">
        <v>10</v>
      </c>
      <c r="AP1092" t="n" s="2909">
        <v>880000</v>
      </c>
      <c r="DB1092" s="2909" t="str">
        <f>IF($A1092="","",IF($AE1092&amp;""&lt;&gt;'DB_設定'!$C$4,"対象外",IF($AH1092=20,IF(OR($AJ1092=10,$AJ1092=11,$AJ1092=18),"①病院一般",IF($AJ1092=41,"②病院短期","対象外")),IF($AH1092=5,IF($AJ1092=30,"③特定消防","対象外"),IF(OR($AJ1092=10,$AJ1092=11,$AJ1092=74),"④一般",IF(OR($AJ1092=41,$AJ1092=47),"⑤短期","対象外"))))))</f>
        <v>①病院一般</v>
      </c>
    </row>
    <row r="1093">
      <c r="A1093" t="n" s="2909">
        <v>31</v>
      </c>
      <c r="AA1093" t="n" s="2909">
        <v>21</v>
      </c>
      <c r="AB1093" t="inlineStr" s="2909">
        <is>
          <t>20230401</t>
        </is>
      </c>
      <c r="AD1093" t="n" s="2909">
        <v>12</v>
      </c>
      <c r="AE1093" t="inlineStr" s="2909">
        <is>
          <t>20250401</t>
        </is>
      </c>
      <c r="AH1093" t="n" s="2909">
        <v>20</v>
      </c>
      <c r="AJ1093" t="n" s="2909">
        <v>41</v>
      </c>
      <c r="AP1093" t="n" s="2909">
        <v>320000</v>
      </c>
      <c r="DB1093" s="2909" t="str">
        <f>IF($A1093="","",IF($AE1093&amp;""&lt;&gt;'DB_設定'!$C$4,"対象外",IF($AH1093=20,IF(OR($AJ1093=10,$AJ1093=11,$AJ1093=18),"①病院一般",IF($AJ1093=41,"②病院短期","対象外")),IF($AH1093=5,IF($AJ1093=30,"③特定消防","対象外"),IF(OR($AJ1093=10,$AJ1093=11,$AJ1093=74),"④一般",IF(OR($AJ1093=41,$AJ1093=47),"⑤短期","対象外"))))))</f>
        <v>②病院短期</v>
      </c>
    </row>
    <row r="1094">
      <c r="A1094" t="n" s="2909">
        <v>31</v>
      </c>
      <c r="AA1094" t="n" s="2909">
        <v>21</v>
      </c>
      <c r="AB1094" t="inlineStr" s="2909">
        <is>
          <t>20230401</t>
        </is>
      </c>
      <c r="AD1094" t="n" s="2909">
        <v>12</v>
      </c>
      <c r="AE1094" t="inlineStr" s="2909">
        <is>
          <t>20250401</t>
        </is>
      </c>
      <c r="AH1094" t="n" s="2909">
        <v>20</v>
      </c>
      <c r="AJ1094" t="n" s="2909">
        <v>41</v>
      </c>
      <c r="AP1094" t="n" s="2909">
        <v>280000</v>
      </c>
      <c r="DB1094" s="2909" t="str">
        <f>IF($A1094="","",IF($AE1094&amp;""&lt;&gt;'DB_設定'!$C$4,"対象外",IF($AH1094=20,IF(OR($AJ1094=10,$AJ1094=11,$AJ1094=18),"①病院一般",IF($AJ1094=41,"②病院短期","対象外")),IF($AH1094=5,IF($AJ1094=30,"③特定消防","対象外"),IF(OR($AJ1094=10,$AJ1094=11,$AJ1094=74),"④一般",IF(OR($AJ1094=41,$AJ1094=47),"⑤短期","対象外"))))))</f>
        <v>②病院短期</v>
      </c>
    </row>
    <row r="1095">
      <c r="A1095" t="n" s="2909">
        <v>31</v>
      </c>
      <c r="AA1095" t="n" s="2909">
        <v>21</v>
      </c>
      <c r="AB1095" t="inlineStr" s="2909">
        <is>
          <t>20230401</t>
        </is>
      </c>
      <c r="AD1095" t="n" s="2909">
        <v>12</v>
      </c>
      <c r="AE1095" t="inlineStr" s="2909">
        <is>
          <t>20250701</t>
        </is>
      </c>
      <c r="AH1095" t="n" s="2909">
        <v>20</v>
      </c>
      <c r="AJ1095" t="n" s="2909">
        <v>41</v>
      </c>
      <c r="AP1095" t="n" s="2909">
        <v>260000</v>
      </c>
      <c r="DB1095" s="2909" t="str">
        <f>IF($A1095="","",IF($AE1095&amp;""&lt;&gt;'DB_設定'!$C$4,"対象外",IF($AH1095=20,IF(OR($AJ1095=10,$AJ1095=11,$AJ1095=18),"①病院一般",IF($AJ1095=41,"②病院短期","対象外")),IF($AH1095=5,IF($AJ1095=30,"③特定消防","対象外"),IF(OR($AJ1095=10,$AJ1095=11,$AJ1095=74),"④一般",IF(OR($AJ1095=41,$AJ1095=47),"⑤短期","対象外"))))))</f>
        <v>対象外</v>
      </c>
    </row>
    <row r="1096">
      <c r="A1096" t="n" s="2909">
        <v>31</v>
      </c>
      <c r="AA1096" t="n" s="2909">
        <v>21</v>
      </c>
      <c r="AB1096" t="inlineStr" s="2909">
        <is>
          <t>20230508</t>
        </is>
      </c>
      <c r="AD1096" t="n" s="2909">
        <v>12</v>
      </c>
      <c r="AE1096" t="inlineStr" s="2909">
        <is>
          <t>20250401</t>
        </is>
      </c>
      <c r="AH1096" t="n" s="2909">
        <v>20</v>
      </c>
      <c r="AJ1096" t="n" s="2909">
        <v>41</v>
      </c>
      <c r="AP1096" t="n" s="2909">
        <v>300000</v>
      </c>
      <c r="DB1096" s="2909" t="str">
        <f>IF($A1096="","",IF($AE1096&amp;""&lt;&gt;'DB_設定'!$C$4,"対象外",IF($AH1096=20,IF(OR($AJ1096=10,$AJ1096=11,$AJ1096=18),"①病院一般",IF($AJ1096=41,"②病院短期","対象外")),IF($AH1096=5,IF($AJ1096=30,"③特定消防","対象外"),IF(OR($AJ1096=10,$AJ1096=11,$AJ1096=74),"④一般",IF(OR($AJ1096=41,$AJ1096=47),"⑤短期","対象外"))))))</f>
        <v>②病院短期</v>
      </c>
    </row>
    <row r="1097">
      <c r="A1097" t="n" s="2909">
        <v>31</v>
      </c>
      <c r="AA1097" t="n" s="2909">
        <v>21</v>
      </c>
      <c r="AB1097" t="inlineStr" s="2909">
        <is>
          <t>20230601</t>
        </is>
      </c>
      <c r="AD1097" t="n" s="2909">
        <v>12</v>
      </c>
      <c r="AE1097" t="inlineStr" s="2909">
        <is>
          <t>20250401</t>
        </is>
      </c>
      <c r="AH1097" t="n" s="2909">
        <v>20</v>
      </c>
      <c r="AJ1097" t="n" s="2909">
        <v>41</v>
      </c>
      <c r="AP1097" t="n" s="2909">
        <v>150000</v>
      </c>
      <c r="DB1097" s="2909" t="str">
        <f>IF($A1097="","",IF($AE1097&amp;""&lt;&gt;'DB_設定'!$C$4,"対象外",IF($AH1097=20,IF(OR($AJ1097=10,$AJ1097=11,$AJ1097=18),"①病院一般",IF($AJ1097=41,"②病院短期","対象外")),IF($AH1097=5,IF($AJ1097=30,"③特定消防","対象外"),IF(OR($AJ1097=10,$AJ1097=11,$AJ1097=74),"④一般",IF(OR($AJ1097=41,$AJ1097=47),"⑤短期","対象外"))))))</f>
        <v>②病院短期</v>
      </c>
    </row>
    <row r="1098">
      <c r="A1098" t="n" s="2909">
        <v>31</v>
      </c>
      <c r="AA1098" t="n" s="2909">
        <v>21</v>
      </c>
      <c r="AB1098" t="inlineStr" s="2909">
        <is>
          <t>20230703</t>
        </is>
      </c>
      <c r="AD1098" t="n" s="2909">
        <v>12</v>
      </c>
      <c r="AE1098" t="inlineStr" s="2909">
        <is>
          <t>20250401</t>
        </is>
      </c>
      <c r="AH1098" t="n" s="2909">
        <v>20</v>
      </c>
      <c r="AJ1098" t="n" s="2909">
        <v>41</v>
      </c>
      <c r="AP1098" t="n" s="2909">
        <v>200000</v>
      </c>
      <c r="DB1098" s="2909" t="str">
        <f>IF($A1098="","",IF($AE1098&amp;""&lt;&gt;'DB_設定'!$C$4,"対象外",IF($AH1098=20,IF(OR($AJ1098=10,$AJ1098=11,$AJ1098=18),"①病院一般",IF($AJ1098=41,"②病院短期","対象外")),IF($AH1098=5,IF($AJ1098=30,"③特定消防","対象外"),IF(OR($AJ1098=10,$AJ1098=11,$AJ1098=74),"④一般",IF(OR($AJ1098=41,$AJ1098=47),"⑤短期","対象外"))))))</f>
        <v>②病院短期</v>
      </c>
    </row>
    <row r="1099">
      <c r="A1099" t="n" s="2909">
        <v>31</v>
      </c>
      <c r="AA1099" t="n" s="2909">
        <v>21</v>
      </c>
      <c r="AB1099" t="inlineStr" s="2909">
        <is>
          <t>20230701</t>
        </is>
      </c>
      <c r="AD1099" t="n" s="2909">
        <v>12</v>
      </c>
      <c r="AE1099" t="inlineStr" s="2909">
        <is>
          <t>20250401</t>
        </is>
      </c>
      <c r="AH1099" t="n" s="2909">
        <v>20</v>
      </c>
      <c r="AJ1099" t="n" s="2909">
        <v>41</v>
      </c>
      <c r="AP1099" t="n" s="2909">
        <v>170000</v>
      </c>
      <c r="DB1099" s="2909" t="str">
        <f>IF($A1099="","",IF($AE1099&amp;""&lt;&gt;'DB_設定'!$C$4,"対象外",IF($AH1099=20,IF(OR($AJ1099=10,$AJ1099=11,$AJ1099=18),"①病院一般",IF($AJ1099=41,"②病院短期","対象外")),IF($AH1099=5,IF($AJ1099=30,"③特定消防","対象外"),IF(OR($AJ1099=10,$AJ1099=11,$AJ1099=74),"④一般",IF(OR($AJ1099=41,$AJ1099=47),"⑤短期","対象外"))))))</f>
        <v>②病院短期</v>
      </c>
    </row>
    <row r="1100">
      <c r="A1100" t="n" s="2909">
        <v>31</v>
      </c>
      <c r="AA1100" t="n" s="2909">
        <v>21</v>
      </c>
      <c r="AB1100" t="inlineStr" s="2909">
        <is>
          <t>20230815</t>
        </is>
      </c>
      <c r="AD1100" t="n" s="2909">
        <v>12</v>
      </c>
      <c r="AE1100" t="inlineStr" s="2909">
        <is>
          <t>20250401</t>
        </is>
      </c>
      <c r="AH1100" t="n" s="2909">
        <v>20</v>
      </c>
      <c r="AJ1100" t="n" s="2909">
        <v>41</v>
      </c>
      <c r="AP1100" t="n" s="2909">
        <v>160000</v>
      </c>
      <c r="DB1100" s="2909" t="str">
        <f>IF($A1100="","",IF($AE1100&amp;""&lt;&gt;'DB_設定'!$C$4,"対象外",IF($AH1100=20,IF(OR($AJ1100=10,$AJ1100=11,$AJ1100=18),"①病院一般",IF($AJ1100=41,"②病院短期","対象外")),IF($AH1100=5,IF($AJ1100=30,"③特定消防","対象外"),IF(OR($AJ1100=10,$AJ1100=11,$AJ1100=74),"④一般",IF(OR($AJ1100=41,$AJ1100=47),"⑤短期","対象外"))))))</f>
        <v>②病院短期</v>
      </c>
    </row>
    <row r="1101">
      <c r="A1101" t="n" s="2909">
        <v>31</v>
      </c>
      <c r="AA1101" t="n" s="2909">
        <v>21</v>
      </c>
      <c r="AB1101" t="inlineStr" s="2909">
        <is>
          <t>20230901</t>
        </is>
      </c>
      <c r="AD1101" t="n" s="2909">
        <v>12</v>
      </c>
      <c r="AE1101" t="inlineStr" s="2909">
        <is>
          <t>20250401</t>
        </is>
      </c>
      <c r="AH1101" t="n" s="2909">
        <v>20</v>
      </c>
      <c r="AJ1101" t="n" s="2909">
        <v>41</v>
      </c>
      <c r="AP1101" t="n" s="2909">
        <v>240000</v>
      </c>
      <c r="DB1101" s="2909" t="str">
        <f>IF($A1101="","",IF($AE1101&amp;""&lt;&gt;'DB_設定'!$C$4,"対象外",IF($AH1101=20,IF(OR($AJ1101=10,$AJ1101=11,$AJ1101=18),"①病院一般",IF($AJ1101=41,"②病院短期","対象外")),IF($AH1101=5,IF($AJ1101=30,"③特定消防","対象外"),IF(OR($AJ1101=10,$AJ1101=11,$AJ1101=74),"④一般",IF(OR($AJ1101=41,$AJ1101=47),"⑤短期","対象外"))))))</f>
        <v>②病院短期</v>
      </c>
    </row>
    <row r="1102">
      <c r="A1102" t="n" s="2909">
        <v>31</v>
      </c>
      <c r="AA1102" t="n" s="2909">
        <v>21</v>
      </c>
      <c r="AB1102" t="inlineStr" s="2909">
        <is>
          <t>20231016</t>
        </is>
      </c>
      <c r="AD1102" t="n" s="2909">
        <v>12</v>
      </c>
      <c r="AE1102" t="inlineStr" s="2909">
        <is>
          <t>20250401</t>
        </is>
      </c>
      <c r="AH1102" t="n" s="2909">
        <v>20</v>
      </c>
      <c r="AJ1102" t="n" s="2909">
        <v>41</v>
      </c>
      <c r="AP1102" t="n" s="2909">
        <v>160000</v>
      </c>
      <c r="DB1102" s="2909" t="str">
        <f>IF($A1102="","",IF($AE1102&amp;""&lt;&gt;'DB_設定'!$C$4,"対象外",IF($AH1102=20,IF(OR($AJ1102=10,$AJ1102=11,$AJ1102=18),"①病院一般",IF($AJ1102=41,"②病院短期","対象外")),IF($AH1102=5,IF($AJ1102=30,"③特定消防","対象外"),IF(OR($AJ1102=10,$AJ1102=11,$AJ1102=74),"④一般",IF(OR($AJ1102=41,$AJ1102=47),"⑤短期","対象外"))))))</f>
        <v>②病院短期</v>
      </c>
    </row>
    <row r="1103">
      <c r="A1103" t="n" s="2909">
        <v>31</v>
      </c>
      <c r="AA1103" t="n" s="2909">
        <v>21</v>
      </c>
      <c r="AB1103" t="inlineStr" s="2909">
        <is>
          <t>20240311</t>
        </is>
      </c>
      <c r="AD1103" t="n" s="2909">
        <v>12</v>
      </c>
      <c r="AE1103" t="inlineStr" s="2909">
        <is>
          <t>20250401</t>
        </is>
      </c>
      <c r="AH1103" t="n" s="2909">
        <v>20</v>
      </c>
      <c r="AJ1103" t="n" s="2909">
        <v>41</v>
      </c>
      <c r="AP1103" t="n" s="2909">
        <v>160000</v>
      </c>
      <c r="DB1103" s="2909" t="str">
        <f>IF($A1103="","",IF($AE1103&amp;""&lt;&gt;'DB_設定'!$C$4,"対象外",IF($AH1103=20,IF(OR($AJ1103=10,$AJ1103=11,$AJ1103=18),"①病院一般",IF($AJ1103=41,"②病院短期","対象外")),IF($AH1103=5,IF($AJ1103=30,"③特定消防","対象外"),IF(OR($AJ1103=10,$AJ1103=11,$AJ1103=74),"④一般",IF(OR($AJ1103=41,$AJ1103=47),"⑤短期","対象外"))))))</f>
        <v>②病院短期</v>
      </c>
    </row>
    <row r="1104">
      <c r="A1104" t="n" s="2909">
        <v>31</v>
      </c>
      <c r="AA1104" t="n" s="2909">
        <v>21</v>
      </c>
      <c r="AB1104" t="inlineStr" s="2909">
        <is>
          <t>20240313</t>
        </is>
      </c>
      <c r="AD1104" t="n" s="2909">
        <v>12</v>
      </c>
      <c r="AE1104" t="inlineStr" s="2909">
        <is>
          <t>20250401</t>
        </is>
      </c>
      <c r="AH1104" t="n" s="2909">
        <v>20</v>
      </c>
      <c r="AJ1104" t="n" s="2909">
        <v>41</v>
      </c>
      <c r="AP1104" t="n" s="2909">
        <v>240000</v>
      </c>
      <c r="DB1104" s="2909" t="str">
        <f>IF($A1104="","",IF($AE1104&amp;""&lt;&gt;'DB_設定'!$C$4,"対象外",IF($AH1104=20,IF(OR($AJ1104=10,$AJ1104=11,$AJ1104=18),"①病院一般",IF($AJ1104=41,"②病院短期","対象外")),IF($AH1104=5,IF($AJ1104=30,"③特定消防","対象外"),IF(OR($AJ1104=10,$AJ1104=11,$AJ1104=74),"④一般",IF(OR($AJ1104=41,$AJ1104=47),"⑤短期","対象外"))))))</f>
        <v>②病院短期</v>
      </c>
    </row>
    <row r="1105">
      <c r="A1105" t="n" s="2909">
        <v>31</v>
      </c>
      <c r="AA1105" t="n" s="2909">
        <v>21</v>
      </c>
      <c r="AB1105" t="inlineStr" s="2909">
        <is>
          <t>20240901</t>
        </is>
      </c>
      <c r="AD1105" t="n" s="2909">
        <v>12</v>
      </c>
      <c r="AE1105" t="inlineStr" s="2909">
        <is>
          <t>20250401</t>
        </is>
      </c>
      <c r="AH1105" t="n" s="2909">
        <v>11</v>
      </c>
      <c r="AJ1105" t="n" s="2909">
        <v>41</v>
      </c>
      <c r="AP1105" t="n" s="2909">
        <v>180000</v>
      </c>
      <c r="DB1105" s="2909" t="str">
        <f>IF($A1105="","",IF($AE1105&amp;""&lt;&gt;'DB_設定'!$C$4,"対象外",IF($AH1105=20,IF(OR($AJ1105=10,$AJ1105=11,$AJ1105=18),"①病院一般",IF($AJ1105=41,"②病院短期","対象外")),IF($AH1105=5,IF($AJ1105=30,"③特定消防","対象外"),IF(OR($AJ1105=10,$AJ1105=11,$AJ1105=74),"④一般",IF(OR($AJ1105=41,$AJ1105=47),"⑤短期","対象外"))))))</f>
        <v>⑤短期</v>
      </c>
    </row>
    <row r="1106">
      <c r="A1106" t="n" s="2909">
        <v>31</v>
      </c>
      <c r="AA1106" t="n" s="2909">
        <v>21</v>
      </c>
      <c r="AB1106" t="inlineStr" s="2909">
        <is>
          <t>20230401</t>
        </is>
      </c>
      <c r="AD1106" t="n" s="2909">
        <v>12</v>
      </c>
      <c r="AE1106" t="inlineStr" s="2909">
        <is>
          <t>20250401</t>
        </is>
      </c>
      <c r="AH1106" t="n" s="2909">
        <v>1</v>
      </c>
      <c r="AJ1106" t="n" s="2909">
        <v>41</v>
      </c>
      <c r="AP1106" t="n" s="2909">
        <v>190000</v>
      </c>
      <c r="DB1106" s="2909" t="str">
        <f>IF($A1106="","",IF($AE1106&amp;""&lt;&gt;'DB_設定'!$C$4,"対象外",IF($AH1106=20,IF(OR($AJ1106=10,$AJ1106=11,$AJ1106=18),"①病院一般",IF($AJ1106=41,"②病院短期","対象外")),IF($AH1106=5,IF($AJ1106=30,"③特定消防","対象外"),IF(OR($AJ1106=10,$AJ1106=11,$AJ1106=74),"④一般",IF(OR($AJ1106=41,$AJ1106=47),"⑤短期","対象外"))))))</f>
        <v>⑤短期</v>
      </c>
    </row>
    <row r="1107">
      <c r="A1107" t="n" s="2909">
        <v>31</v>
      </c>
      <c r="AA1107" t="n" s="2909">
        <v>21</v>
      </c>
      <c r="AB1107" t="inlineStr" s="2909">
        <is>
          <t>20230401</t>
        </is>
      </c>
      <c r="AD1107" t="n" s="2909">
        <v>11</v>
      </c>
      <c r="AE1107" t="inlineStr" s="2909">
        <is>
          <t>20250401</t>
        </is>
      </c>
      <c r="AH1107" t="n" s="2909">
        <v>1</v>
      </c>
      <c r="AJ1107" t="n" s="2909">
        <v>41</v>
      </c>
      <c r="AP1107" t="n" s="2909">
        <v>110000</v>
      </c>
      <c r="DB1107" s="2909" t="str">
        <f>IF($A1107="","",IF($AE1107&amp;""&lt;&gt;'DB_設定'!$C$4,"対象外",IF($AH1107=20,IF(OR($AJ1107=10,$AJ1107=11,$AJ1107=18),"①病院一般",IF($AJ1107=41,"②病院短期","対象外")),IF($AH1107=5,IF($AJ1107=30,"③特定消防","対象外"),IF(OR($AJ1107=10,$AJ1107=11,$AJ1107=74),"④一般",IF(OR($AJ1107=41,$AJ1107=47),"⑤短期","対象外"))))))</f>
        <v>⑤短期</v>
      </c>
    </row>
    <row r="1108">
      <c r="A1108" t="n" s="2909">
        <v>31</v>
      </c>
      <c r="AA1108" t="n" s="2909">
        <v>21</v>
      </c>
      <c r="AB1108" t="inlineStr" s="2909">
        <is>
          <t>20230401</t>
        </is>
      </c>
      <c r="AD1108" t="n" s="2909">
        <v>12</v>
      </c>
      <c r="AE1108" t="inlineStr" s="2909">
        <is>
          <t>20250801</t>
        </is>
      </c>
      <c r="AH1108" t="n" s="2909">
        <v>1</v>
      </c>
      <c r="AJ1108" t="n" s="2909">
        <v>41</v>
      </c>
      <c r="AP1108" t="n" s="2909">
        <v>190000</v>
      </c>
      <c r="DB1108" s="2909" t="str">
        <f>IF($A1108="","",IF($AE1108&amp;""&lt;&gt;'DB_設定'!$C$4,"対象外",IF($AH1108=20,IF(OR($AJ1108=10,$AJ1108=11,$AJ1108=18),"①病院一般",IF($AJ1108=41,"②病院短期","対象外")),IF($AH1108=5,IF($AJ1108=30,"③特定消防","対象外"),IF(OR($AJ1108=10,$AJ1108=11,$AJ1108=74),"④一般",IF(OR($AJ1108=41,$AJ1108=47),"⑤短期","対象外"))))))</f>
        <v>対象外</v>
      </c>
    </row>
    <row r="1109">
      <c r="A1109" t="n" s="2909">
        <v>31</v>
      </c>
      <c r="AA1109" t="n" s="2909">
        <v>21</v>
      </c>
      <c r="AB1109" t="inlineStr" s="2909">
        <is>
          <t>20230401</t>
        </is>
      </c>
      <c r="AD1109" t="n" s="2909">
        <v>12</v>
      </c>
      <c r="AE1109" t="inlineStr" s="2909">
        <is>
          <t>20250401</t>
        </is>
      </c>
      <c r="AH1109" t="n" s="2909">
        <v>1</v>
      </c>
      <c r="AJ1109" t="n" s="2909">
        <v>41</v>
      </c>
      <c r="AP1109" t="n" s="2909">
        <v>180000</v>
      </c>
      <c r="DB1109" s="2909" t="str">
        <f>IF($A1109="","",IF($AE1109&amp;""&lt;&gt;'DB_設定'!$C$4,"対象外",IF($AH1109=20,IF(OR($AJ1109=10,$AJ1109=11,$AJ1109=18),"①病院一般",IF($AJ1109=41,"②病院短期","対象外")),IF($AH1109=5,IF($AJ1109=30,"③特定消防","対象外"),IF(OR($AJ1109=10,$AJ1109=11,$AJ1109=74),"④一般",IF(OR($AJ1109=41,$AJ1109=47),"⑤短期","対象外"))))))</f>
        <v>⑤短期</v>
      </c>
    </row>
    <row r="1110">
      <c r="A1110" t="n" s="2909">
        <v>31</v>
      </c>
      <c r="AA1110" t="n" s="2909">
        <v>21</v>
      </c>
      <c r="AB1110" t="inlineStr" s="2909">
        <is>
          <t>20230401</t>
        </is>
      </c>
      <c r="AD1110" t="n" s="2909">
        <v>12</v>
      </c>
      <c r="AE1110" t="inlineStr" s="2909">
        <is>
          <t>20250401</t>
        </is>
      </c>
      <c r="AH1110" t="n" s="2909">
        <v>1</v>
      </c>
      <c r="AJ1110" t="n" s="2909">
        <v>41</v>
      </c>
      <c r="AP1110" t="n" s="2909">
        <v>170000</v>
      </c>
      <c r="DB1110" s="2909" t="str">
        <f>IF($A1110="","",IF($AE1110&amp;""&lt;&gt;'DB_設定'!$C$4,"対象外",IF($AH1110=20,IF(OR($AJ1110=10,$AJ1110=11,$AJ1110=18),"①病院一般",IF($AJ1110=41,"②病院短期","対象外")),IF($AH1110=5,IF($AJ1110=30,"③特定消防","対象外"),IF(OR($AJ1110=10,$AJ1110=11,$AJ1110=74),"④一般",IF(OR($AJ1110=41,$AJ1110=47),"⑤短期","対象外"))))))</f>
        <v>⑤短期</v>
      </c>
    </row>
    <row r="1111">
      <c r="A1111" t="n" s="2909">
        <v>31</v>
      </c>
      <c r="AA1111" t="n" s="2909">
        <v>21</v>
      </c>
      <c r="AB1111" t="inlineStr" s="2909">
        <is>
          <t>20230401</t>
        </is>
      </c>
      <c r="AD1111" t="n" s="2909">
        <v>12</v>
      </c>
      <c r="AE1111" t="inlineStr" s="2909">
        <is>
          <t>20250401</t>
        </is>
      </c>
      <c r="AH1111" t="n" s="2909">
        <v>11</v>
      </c>
      <c r="AJ1111" t="n" s="2909">
        <v>41</v>
      </c>
      <c r="AP1111" t="n" s="2909">
        <v>160000</v>
      </c>
      <c r="DB1111" s="2909" t="str">
        <f>IF($A1111="","",IF($AE1111&amp;""&lt;&gt;'DB_設定'!$C$4,"対象外",IF($AH1111=20,IF(OR($AJ1111=10,$AJ1111=11,$AJ1111=18),"①病院一般",IF($AJ1111=41,"②病院短期","対象外")),IF($AH1111=5,IF($AJ1111=30,"③特定消防","対象外"),IF(OR($AJ1111=10,$AJ1111=11,$AJ1111=74),"④一般",IF(OR($AJ1111=41,$AJ1111=47),"⑤短期","対象外"))))))</f>
        <v>⑤短期</v>
      </c>
    </row>
    <row r="1112">
      <c r="A1112" t="n" s="2909">
        <v>31</v>
      </c>
      <c r="AA1112" t="n" s="2909">
        <v>21</v>
      </c>
      <c r="AB1112" t="inlineStr" s="2909">
        <is>
          <t>20230401</t>
        </is>
      </c>
      <c r="AD1112" t="n" s="2909">
        <v>12</v>
      </c>
      <c r="AE1112" t="inlineStr" s="2909">
        <is>
          <t>20250401</t>
        </is>
      </c>
      <c r="AH1112" t="n" s="2909">
        <v>11</v>
      </c>
      <c r="AJ1112" t="n" s="2909">
        <v>41</v>
      </c>
      <c r="AP1112" t="n" s="2909">
        <v>200000</v>
      </c>
      <c r="DB1112" s="2909" t="str">
        <f>IF($A1112="","",IF($AE1112&amp;""&lt;&gt;'DB_設定'!$C$4,"対象外",IF($AH1112=20,IF(OR($AJ1112=10,$AJ1112=11,$AJ1112=18),"①病院一般",IF($AJ1112=41,"②病院短期","対象外")),IF($AH1112=5,IF($AJ1112=30,"③特定消防","対象外"),IF(OR($AJ1112=10,$AJ1112=11,$AJ1112=74),"④一般",IF(OR($AJ1112=41,$AJ1112=47),"⑤短期","対象外"))))))</f>
        <v>⑤短期</v>
      </c>
    </row>
    <row r="1113">
      <c r="A1113" t="n" s="2909">
        <v>31</v>
      </c>
      <c r="AA1113" t="n" s="2909">
        <v>21</v>
      </c>
      <c r="AB1113" t="inlineStr" s="2909">
        <is>
          <t>20230401</t>
        </is>
      </c>
      <c r="AD1113" t="n" s="2909">
        <v>12</v>
      </c>
      <c r="AE1113" t="inlineStr" s="2909">
        <is>
          <t>20250401</t>
        </is>
      </c>
      <c r="AH1113" t="n" s="2909">
        <v>1</v>
      </c>
      <c r="AJ1113" t="n" s="2909">
        <v>41</v>
      </c>
      <c r="AP1113" t="n" s="2909">
        <v>134000</v>
      </c>
      <c r="DB1113" s="2909" t="str">
        <f>IF($A1113="","",IF($AE1113&amp;""&lt;&gt;'DB_設定'!$C$4,"対象外",IF($AH1113=20,IF(OR($AJ1113=10,$AJ1113=11,$AJ1113=18),"①病院一般",IF($AJ1113=41,"②病院短期","対象外")),IF($AH1113=5,IF($AJ1113=30,"③特定消防","対象外"),IF(OR($AJ1113=10,$AJ1113=11,$AJ1113=74),"④一般",IF(OR($AJ1113=41,$AJ1113=47),"⑤短期","対象外"))))))</f>
        <v>⑤短期</v>
      </c>
    </row>
    <row r="1114">
      <c r="A1114" t="n" s="2909">
        <v>31</v>
      </c>
      <c r="AA1114" t="n" s="2909">
        <v>21</v>
      </c>
      <c r="AB1114" t="inlineStr" s="2909">
        <is>
          <t>20230501</t>
        </is>
      </c>
      <c r="AD1114" t="n" s="2909">
        <v>12</v>
      </c>
      <c r="AE1114" t="inlineStr" s="2909">
        <is>
          <t>20250401</t>
        </is>
      </c>
      <c r="AH1114" t="n" s="2909">
        <v>1</v>
      </c>
      <c r="AJ1114" t="n" s="2909">
        <v>41</v>
      </c>
      <c r="AP1114" t="n" s="2909">
        <v>118000</v>
      </c>
      <c r="DB1114" s="2909" t="str">
        <f>IF($A1114="","",IF($AE1114&amp;""&lt;&gt;'DB_設定'!$C$4,"対象外",IF($AH1114=20,IF(OR($AJ1114=10,$AJ1114=11,$AJ1114=18),"①病院一般",IF($AJ1114=41,"②病院短期","対象外")),IF($AH1114=5,IF($AJ1114=30,"③特定消防","対象外"),IF(OR($AJ1114=10,$AJ1114=11,$AJ1114=74),"④一般",IF(OR($AJ1114=41,$AJ1114=47),"⑤短期","対象外"))))))</f>
        <v>⑤短期</v>
      </c>
    </row>
    <row r="1115">
      <c r="A1115" t="n" s="2909">
        <v>31</v>
      </c>
      <c r="AA1115" t="n" s="2909">
        <v>21</v>
      </c>
      <c r="AB1115" t="inlineStr" s="2909">
        <is>
          <t>20230501</t>
        </is>
      </c>
      <c r="AD1115" t="n" s="2909">
        <v>12</v>
      </c>
      <c r="AE1115" t="inlineStr" s="2909">
        <is>
          <t>20250801</t>
        </is>
      </c>
      <c r="AH1115" t="n" s="2909">
        <v>1</v>
      </c>
      <c r="AJ1115" t="n" s="2909">
        <v>41</v>
      </c>
      <c r="AP1115" t="n" s="2909">
        <v>190000</v>
      </c>
      <c r="DB1115" s="2909" t="str">
        <f>IF($A1115="","",IF($AE1115&amp;""&lt;&gt;'DB_設定'!$C$4,"対象外",IF($AH1115=20,IF(OR($AJ1115=10,$AJ1115=11,$AJ1115=18),"①病院一般",IF($AJ1115=41,"②病院短期","対象外")),IF($AH1115=5,IF($AJ1115=30,"③特定消防","対象外"),IF(OR($AJ1115=10,$AJ1115=11,$AJ1115=74),"④一般",IF(OR($AJ1115=41,$AJ1115=47),"⑤短期","対象外"))))))</f>
        <v>対象外</v>
      </c>
    </row>
    <row r="1116">
      <c r="A1116" t="n" s="2909">
        <v>31</v>
      </c>
      <c r="AA1116" t="n" s="2909">
        <v>21</v>
      </c>
      <c r="AB1116" t="inlineStr" s="2909">
        <is>
          <t>20230601</t>
        </is>
      </c>
      <c r="AD1116" t="n" s="2909">
        <v>12</v>
      </c>
      <c r="AE1116" t="inlineStr" s="2909">
        <is>
          <t>20250401</t>
        </is>
      </c>
      <c r="AH1116" t="n" s="2909">
        <v>1</v>
      </c>
      <c r="AJ1116" t="n" s="2909">
        <v>41</v>
      </c>
      <c r="AP1116" t="n" s="2909">
        <v>180000</v>
      </c>
      <c r="DB1116" s="2909" t="str">
        <f>IF($A1116="","",IF($AE1116&amp;""&lt;&gt;'DB_設定'!$C$4,"対象外",IF($AH1116=20,IF(OR($AJ1116=10,$AJ1116=11,$AJ1116=18),"①病院一般",IF($AJ1116=41,"②病院短期","対象外")),IF($AH1116=5,IF($AJ1116=30,"③特定消防","対象外"),IF(OR($AJ1116=10,$AJ1116=11,$AJ1116=74),"④一般",IF(OR($AJ1116=41,$AJ1116=47),"⑤短期","対象外"))))))</f>
        <v>⑤短期</v>
      </c>
    </row>
    <row r="1117">
      <c r="A1117" t="n" s="2909">
        <v>31</v>
      </c>
      <c r="AA1117" t="n" s="2909">
        <v>21</v>
      </c>
      <c r="AB1117" t="inlineStr" s="2909">
        <is>
          <t>20230601</t>
        </is>
      </c>
      <c r="AD1117" t="n" s="2909">
        <v>12</v>
      </c>
      <c r="AE1117" t="inlineStr" s="2909">
        <is>
          <t>20250801</t>
        </is>
      </c>
      <c r="AH1117" t="n" s="2909">
        <v>1</v>
      </c>
      <c r="AJ1117" t="n" s="2909">
        <v>41</v>
      </c>
      <c r="AP1117" t="n" s="2909">
        <v>170000</v>
      </c>
      <c r="DB1117" s="2909" t="str">
        <f>IF($A1117="","",IF($AE1117&amp;""&lt;&gt;'DB_設定'!$C$4,"対象外",IF($AH1117=20,IF(OR($AJ1117=10,$AJ1117=11,$AJ1117=18),"①病院一般",IF($AJ1117=41,"②病院短期","対象外")),IF($AH1117=5,IF($AJ1117=30,"③特定消防","対象外"),IF(OR($AJ1117=10,$AJ1117=11,$AJ1117=74),"④一般",IF(OR($AJ1117=41,$AJ1117=47),"⑤短期","対象外"))))))</f>
        <v>対象外</v>
      </c>
    </row>
    <row r="1118">
      <c r="A1118" t="n" s="2909">
        <v>31</v>
      </c>
      <c r="AA1118" t="n" s="2909">
        <v>21</v>
      </c>
      <c r="AB1118" t="inlineStr" s="2909">
        <is>
          <t>20230530</t>
        </is>
      </c>
      <c r="AD1118" t="n" s="2909">
        <v>12</v>
      </c>
      <c r="AE1118" t="inlineStr" s="2909">
        <is>
          <t>20251008</t>
        </is>
      </c>
      <c r="AH1118" t="n" s="2909">
        <v>11</v>
      </c>
      <c r="AJ1118" t="n" s="2909">
        <v>41</v>
      </c>
      <c r="AP1118" t="n" s="2909">
        <v>126000</v>
      </c>
      <c r="DB1118" s="2909" t="str">
        <f>IF($A1118="","",IF($AE1118&amp;""&lt;&gt;'DB_設定'!$C$4,"対象外",IF($AH1118=20,IF(OR($AJ1118=10,$AJ1118=11,$AJ1118=18),"①病院一般",IF($AJ1118=41,"②病院短期","対象外")),IF($AH1118=5,IF($AJ1118=30,"③特定消防","対象外"),IF(OR($AJ1118=10,$AJ1118=11,$AJ1118=74),"④一般",IF(OR($AJ1118=41,$AJ1118=47),"⑤短期","対象外"))))))</f>
        <v>対象外</v>
      </c>
    </row>
    <row r="1119">
      <c r="A1119" t="n" s="2909">
        <v>31</v>
      </c>
      <c r="AA1119" t="n" s="2909">
        <v>21</v>
      </c>
      <c r="AB1119" t="inlineStr" s="2909">
        <is>
          <t>20230701</t>
        </is>
      </c>
      <c r="AD1119" t="n" s="2909">
        <v>12</v>
      </c>
      <c r="AE1119" t="inlineStr" s="2909">
        <is>
          <t>20250401</t>
        </is>
      </c>
      <c r="AH1119" t="n" s="2909">
        <v>1</v>
      </c>
      <c r="AJ1119" t="n" s="2909">
        <v>41</v>
      </c>
      <c r="AP1119" t="n" s="2909">
        <v>200000</v>
      </c>
      <c r="DB1119" s="2909" t="str">
        <f>IF($A1119="","",IF($AE1119&amp;""&lt;&gt;'DB_設定'!$C$4,"対象外",IF($AH1119=20,IF(OR($AJ1119=10,$AJ1119=11,$AJ1119=18),"①病院一般",IF($AJ1119=41,"②病院短期","対象外")),IF($AH1119=5,IF($AJ1119=30,"③特定消防","対象外"),IF(OR($AJ1119=10,$AJ1119=11,$AJ1119=74),"④一般",IF(OR($AJ1119=41,$AJ1119=47),"⑤短期","対象外"))))))</f>
        <v>⑤短期</v>
      </c>
    </row>
    <row r="1120">
      <c r="A1120" t="n" s="2909">
        <v>31</v>
      </c>
      <c r="AA1120" t="n" s="2909">
        <v>21</v>
      </c>
      <c r="AB1120" t="inlineStr" s="2909">
        <is>
          <t>20230801</t>
        </is>
      </c>
      <c r="AD1120" t="n" s="2909">
        <v>12</v>
      </c>
      <c r="AE1120" t="inlineStr" s="2909">
        <is>
          <t>20250801</t>
        </is>
      </c>
      <c r="AH1120" t="n" s="2909">
        <v>1</v>
      </c>
      <c r="AJ1120" t="n" s="2909">
        <v>41</v>
      </c>
      <c r="AP1120" t="n" s="2909">
        <v>180000</v>
      </c>
      <c r="DB1120" s="2909" t="str">
        <f>IF($A1120="","",IF($AE1120&amp;""&lt;&gt;'DB_設定'!$C$4,"対象外",IF($AH1120=20,IF(OR($AJ1120=10,$AJ1120=11,$AJ1120=18),"①病院一般",IF($AJ1120=41,"②病院短期","対象外")),IF($AH1120=5,IF($AJ1120=30,"③特定消防","対象外"),IF(OR($AJ1120=10,$AJ1120=11,$AJ1120=74),"④一般",IF(OR($AJ1120=41,$AJ1120=47),"⑤短期","対象外"))))))</f>
        <v>対象外</v>
      </c>
    </row>
    <row r="1121">
      <c r="A1121" t="n" s="2909">
        <v>31</v>
      </c>
      <c r="AA1121" t="n" s="2909">
        <v>21</v>
      </c>
      <c r="AB1121" t="inlineStr" s="2909">
        <is>
          <t>20230801</t>
        </is>
      </c>
      <c r="AD1121" t="n" s="2909">
        <v>12</v>
      </c>
      <c r="AE1121" t="inlineStr" s="2909">
        <is>
          <t>20250801</t>
        </is>
      </c>
      <c r="AH1121" t="n" s="2909">
        <v>11</v>
      </c>
      <c r="AJ1121" t="n" s="2909">
        <v>41</v>
      </c>
      <c r="AP1121" t="n" s="2909">
        <v>180000</v>
      </c>
      <c r="DB1121" s="2909" t="str">
        <f>IF($A1121="","",IF($AE1121&amp;""&lt;&gt;'DB_設定'!$C$4,"対象外",IF($AH1121=20,IF(OR($AJ1121=10,$AJ1121=11,$AJ1121=18),"①病院一般",IF($AJ1121=41,"②病院短期","対象外")),IF($AH1121=5,IF($AJ1121=30,"③特定消防","対象外"),IF(OR($AJ1121=10,$AJ1121=11,$AJ1121=74),"④一般",IF(OR($AJ1121=41,$AJ1121=47),"⑤短期","対象外"))))))</f>
        <v>対象外</v>
      </c>
    </row>
    <row r="1122">
      <c r="A1122" t="n" s="2909">
        <v>31</v>
      </c>
      <c r="AA1122" t="n" s="2909">
        <v>21</v>
      </c>
      <c r="AB1122" t="inlineStr" s="2909">
        <is>
          <t>20230901</t>
        </is>
      </c>
      <c r="AD1122" t="n" s="2909">
        <v>12</v>
      </c>
      <c r="AE1122" t="inlineStr" s="2909">
        <is>
          <t>20250401</t>
        </is>
      </c>
      <c r="AH1122" t="n" s="2909">
        <v>1</v>
      </c>
      <c r="AJ1122" t="n" s="2909">
        <v>41</v>
      </c>
      <c r="AP1122" t="n" s="2909">
        <v>118000</v>
      </c>
      <c r="DB1122" s="2909" t="str">
        <f>IF($A1122="","",IF($AE1122&amp;""&lt;&gt;'DB_設定'!$C$4,"対象外",IF($AH1122=20,IF(OR($AJ1122=10,$AJ1122=11,$AJ1122=18),"①病院一般",IF($AJ1122=41,"②病院短期","対象外")),IF($AH1122=5,IF($AJ1122=30,"③特定消防","対象外"),IF(OR($AJ1122=10,$AJ1122=11,$AJ1122=74),"④一般",IF(OR($AJ1122=41,$AJ1122=47),"⑤短期","対象外"))))))</f>
        <v>⑤短期</v>
      </c>
    </row>
    <row r="1123">
      <c r="A1123" t="n" s="2909">
        <v>31</v>
      </c>
      <c r="AA1123" t="n" s="2909">
        <v>21</v>
      </c>
      <c r="AB1123" t="inlineStr" s="2909">
        <is>
          <t>20230901</t>
        </is>
      </c>
      <c r="AD1123" t="n" s="2909">
        <v>12</v>
      </c>
      <c r="AE1123" t="inlineStr" s="2909">
        <is>
          <t>20250401</t>
        </is>
      </c>
      <c r="AH1123" t="n" s="2909">
        <v>1</v>
      </c>
      <c r="AJ1123" t="n" s="2909">
        <v>41</v>
      </c>
      <c r="AP1123" t="n" s="2909">
        <v>180000</v>
      </c>
      <c r="DB1123" s="2909" t="str">
        <f>IF($A1123="","",IF($AE1123&amp;""&lt;&gt;'DB_設定'!$C$4,"対象外",IF($AH1123=20,IF(OR($AJ1123=10,$AJ1123=11,$AJ1123=18),"①病院一般",IF($AJ1123=41,"②病院短期","対象外")),IF($AH1123=5,IF($AJ1123=30,"③特定消防","対象外"),IF(OR($AJ1123=10,$AJ1123=11,$AJ1123=74),"④一般",IF(OR($AJ1123=41,$AJ1123=47),"⑤短期","対象外"))))))</f>
        <v>⑤短期</v>
      </c>
    </row>
    <row r="1124">
      <c r="A1124" t="n" s="2909">
        <v>31</v>
      </c>
      <c r="AA1124" t="n" s="2909">
        <v>21</v>
      </c>
      <c r="AB1124" t="inlineStr" s="2909">
        <is>
          <t>20240301</t>
        </is>
      </c>
      <c r="AD1124" t="n" s="2909">
        <v>12</v>
      </c>
      <c r="AE1124" t="inlineStr" s="2909">
        <is>
          <t>20250601</t>
        </is>
      </c>
      <c r="AH1124" t="n" s="2909">
        <v>11</v>
      </c>
      <c r="AJ1124" t="n" s="2909">
        <v>41</v>
      </c>
      <c r="AP1124" t="n" s="2909">
        <v>104000</v>
      </c>
      <c r="DB1124" s="2909" t="str">
        <f>IF($A1124="","",IF($AE1124&amp;""&lt;&gt;'DB_設定'!$C$4,"対象外",IF($AH1124=20,IF(OR($AJ1124=10,$AJ1124=11,$AJ1124=18),"①病院一般",IF($AJ1124=41,"②病院短期","対象外")),IF($AH1124=5,IF($AJ1124=30,"③特定消防","対象外"),IF(OR($AJ1124=10,$AJ1124=11,$AJ1124=74),"④一般",IF(OR($AJ1124=41,$AJ1124=47),"⑤短期","対象外"))))))</f>
        <v>対象外</v>
      </c>
    </row>
    <row r="1125">
      <c r="A1125" t="n" s="2909">
        <v>31</v>
      </c>
      <c r="AA1125" t="n" s="2909">
        <v>21</v>
      </c>
      <c r="AB1125" t="inlineStr" s="2909">
        <is>
          <t>20230501</t>
        </is>
      </c>
      <c r="AD1125" t="n" s="2909">
        <v>12</v>
      </c>
      <c r="AE1125" t="inlineStr" s="2909">
        <is>
          <t>20250401</t>
        </is>
      </c>
      <c r="AH1125" t="n" s="2909">
        <v>1</v>
      </c>
      <c r="AJ1125" t="n" s="2909">
        <v>41</v>
      </c>
      <c r="AP1125" t="n" s="2909">
        <v>220000</v>
      </c>
      <c r="DB1125" s="2909" t="str">
        <f>IF($A1125="","",IF($AE1125&amp;""&lt;&gt;'DB_設定'!$C$4,"対象外",IF($AH1125=20,IF(OR($AJ1125=10,$AJ1125=11,$AJ1125=18),"①病院一般",IF($AJ1125=41,"②病院短期","対象外")),IF($AH1125=5,IF($AJ1125=30,"③特定消防","対象外"),IF(OR($AJ1125=10,$AJ1125=11,$AJ1125=74),"④一般",IF(OR($AJ1125=41,$AJ1125=47),"⑤短期","対象外"))))))</f>
        <v>⑤短期</v>
      </c>
    </row>
    <row r="1126">
      <c r="A1126" t="n" s="2909">
        <v>31</v>
      </c>
      <c r="AA1126" t="n" s="2909">
        <v>21</v>
      </c>
      <c r="AB1126" t="inlineStr" s="2909">
        <is>
          <t>20230619</t>
        </is>
      </c>
      <c r="AD1126" t="n" s="2909">
        <v>12</v>
      </c>
      <c r="AE1126" t="inlineStr" s="2909">
        <is>
          <t>20250401</t>
        </is>
      </c>
      <c r="AH1126" t="n" s="2909">
        <v>1</v>
      </c>
      <c r="AJ1126" t="n" s="2909">
        <v>41</v>
      </c>
      <c r="AP1126" t="n" s="2909">
        <v>134000</v>
      </c>
      <c r="DB1126" s="2909" t="str">
        <f>IF($A1126="","",IF($AE1126&amp;""&lt;&gt;'DB_設定'!$C$4,"対象外",IF($AH1126=20,IF(OR($AJ1126=10,$AJ1126=11,$AJ1126=18),"①病院一般",IF($AJ1126=41,"②病院短期","対象外")),IF($AH1126=5,IF($AJ1126=30,"③特定消防","対象外"),IF(OR($AJ1126=10,$AJ1126=11,$AJ1126=74),"④一般",IF(OR($AJ1126=41,$AJ1126=47),"⑤短期","対象外"))))))</f>
        <v>⑤短期</v>
      </c>
    </row>
    <row r="1127">
      <c r="A1127" t="n" s="2909">
        <v>31</v>
      </c>
      <c r="AA1127" t="n" s="2909">
        <v>21</v>
      </c>
      <c r="AB1127" t="inlineStr" s="2909">
        <is>
          <t>20250201</t>
        </is>
      </c>
      <c r="AD1127" t="n" s="2909">
        <v>12</v>
      </c>
      <c r="AE1127" t="inlineStr" s="2909">
        <is>
          <t>20250426</t>
        </is>
      </c>
      <c r="AH1127" t="n" s="2909">
        <v>1</v>
      </c>
      <c r="AJ1127" t="n" s="2909">
        <v>41</v>
      </c>
      <c r="AP1127" t="n" s="2909">
        <v>126000</v>
      </c>
      <c r="DB1127" s="2909" t="str">
        <f>IF($A1127="","",IF($AE1127&amp;""&lt;&gt;'DB_設定'!$C$4,"対象外",IF($AH1127=20,IF(OR($AJ1127=10,$AJ1127=11,$AJ1127=18),"①病院一般",IF($AJ1127=41,"②病院短期","対象外")),IF($AH1127=5,IF($AJ1127=30,"③特定消防","対象外"),IF(OR($AJ1127=10,$AJ1127=11,$AJ1127=74),"④一般",IF(OR($AJ1127=41,$AJ1127=47),"⑤短期","対象外"))))))</f>
        <v>対象外</v>
      </c>
    </row>
    <row r="1128">
      <c r="A1128" t="n" s="2909">
        <v>31</v>
      </c>
      <c r="AA1128" t="n" s="2909">
        <v>21</v>
      </c>
      <c r="AB1128" t="inlineStr" s="2909">
        <is>
          <t>20231201</t>
        </is>
      </c>
      <c r="AD1128" t="n" s="2909">
        <v>12</v>
      </c>
      <c r="AE1128" t="inlineStr" s="2909">
        <is>
          <t>20250401</t>
        </is>
      </c>
      <c r="AH1128" t="n" s="2909">
        <v>1</v>
      </c>
      <c r="AJ1128" t="n" s="2909">
        <v>41</v>
      </c>
      <c r="AP1128" t="n" s="2909">
        <v>170000</v>
      </c>
      <c r="DB1128" s="2909" t="str">
        <f>IF($A1128="","",IF($AE1128&amp;""&lt;&gt;'DB_設定'!$C$4,"対象外",IF($AH1128=20,IF(OR($AJ1128=10,$AJ1128=11,$AJ1128=18),"①病院一般",IF($AJ1128=41,"②病院短期","対象外")),IF($AH1128=5,IF($AJ1128=30,"③特定消防","対象外"),IF(OR($AJ1128=10,$AJ1128=11,$AJ1128=74),"④一般",IF(OR($AJ1128=41,$AJ1128=47),"⑤短期","対象外"))))))</f>
        <v>⑤短期</v>
      </c>
    </row>
    <row r="1129">
      <c r="A1129" t="n" s="2909">
        <v>31</v>
      </c>
      <c r="AA1129" t="n" s="2909">
        <v>21</v>
      </c>
      <c r="AB1129" t="inlineStr" s="2909">
        <is>
          <t>20240401</t>
        </is>
      </c>
      <c r="AD1129" t="n" s="2909">
        <v>12</v>
      </c>
      <c r="AE1129" t="inlineStr" s="2909">
        <is>
          <t>20250401</t>
        </is>
      </c>
      <c r="AH1129" t="n" s="2909">
        <v>1</v>
      </c>
      <c r="AJ1129" t="n" s="2909">
        <v>41</v>
      </c>
      <c r="AP1129" t="n" s="2909">
        <v>190000</v>
      </c>
      <c r="DB1129" s="2909" t="str">
        <f>IF($A1129="","",IF($AE1129&amp;""&lt;&gt;'DB_設定'!$C$4,"対象外",IF($AH1129=20,IF(OR($AJ1129=10,$AJ1129=11,$AJ1129=18),"①病院一般",IF($AJ1129=41,"②病院短期","対象外")),IF($AH1129=5,IF($AJ1129=30,"③特定消防","対象外"),IF(OR($AJ1129=10,$AJ1129=11,$AJ1129=74),"④一般",IF(OR($AJ1129=41,$AJ1129=47),"⑤短期","対象外"))))))</f>
        <v>⑤短期</v>
      </c>
    </row>
    <row r="1130">
      <c r="A1130" t="n" s="2909">
        <v>31</v>
      </c>
      <c r="AA1130" t="n" s="2909">
        <v>21</v>
      </c>
      <c r="AB1130" t="inlineStr" s="2909">
        <is>
          <t>20240401</t>
        </is>
      </c>
      <c r="AD1130" t="n" s="2909">
        <v>12</v>
      </c>
      <c r="AE1130" t="inlineStr" s="2909">
        <is>
          <t>20250401</t>
        </is>
      </c>
      <c r="AH1130" t="n" s="2909">
        <v>1</v>
      </c>
      <c r="AJ1130" t="n" s="2909">
        <v>41</v>
      </c>
      <c r="AP1130" t="n" s="2909">
        <v>126000</v>
      </c>
      <c r="DB1130" s="2909" t="str">
        <f>IF($A1130="","",IF($AE1130&amp;""&lt;&gt;'DB_設定'!$C$4,"対象外",IF($AH1130=20,IF(OR($AJ1130=10,$AJ1130=11,$AJ1130=18),"①病院一般",IF($AJ1130=41,"②病院短期","対象外")),IF($AH1130=5,IF($AJ1130=30,"③特定消防","対象外"),IF(OR($AJ1130=10,$AJ1130=11,$AJ1130=74),"④一般",IF(OR($AJ1130=41,$AJ1130=47),"⑤短期","対象外"))))))</f>
        <v>⑤短期</v>
      </c>
    </row>
    <row r="1131">
      <c r="A1131" t="n" s="2909">
        <v>31</v>
      </c>
      <c r="AA1131" t="n" s="2909">
        <v>21</v>
      </c>
      <c r="AB1131" t="inlineStr" s="2909">
        <is>
          <t>20240412</t>
        </is>
      </c>
      <c r="AD1131" t="n" s="2909">
        <v>12</v>
      </c>
      <c r="AE1131" t="inlineStr" s="2909">
        <is>
          <t>20250401</t>
        </is>
      </c>
      <c r="AH1131" t="n" s="2909">
        <v>11</v>
      </c>
      <c r="AJ1131" t="n" s="2909">
        <v>41</v>
      </c>
      <c r="AP1131" t="n" s="2909">
        <v>118000</v>
      </c>
      <c r="DB1131" s="2909" t="str">
        <f>IF($A1131="","",IF($AE1131&amp;""&lt;&gt;'DB_設定'!$C$4,"対象外",IF($AH1131=20,IF(OR($AJ1131=10,$AJ1131=11,$AJ1131=18),"①病院一般",IF($AJ1131=41,"②病院短期","対象外")),IF($AH1131=5,IF($AJ1131=30,"③特定消防","対象外"),IF(OR($AJ1131=10,$AJ1131=11,$AJ1131=74),"④一般",IF(OR($AJ1131=41,$AJ1131=47),"⑤短期","対象外"))))))</f>
        <v>⑤短期</v>
      </c>
    </row>
    <row r="1132">
      <c r="A1132" t="n" s="2909">
        <v>31</v>
      </c>
      <c r="AA1132" t="n" s="2909">
        <v>21</v>
      </c>
      <c r="AB1132" t="inlineStr" s="2909">
        <is>
          <t>20240401</t>
        </is>
      </c>
      <c r="AD1132" t="n" s="2909">
        <v>12</v>
      </c>
      <c r="AE1132" t="inlineStr" s="2909">
        <is>
          <t>20250401</t>
        </is>
      </c>
      <c r="AH1132" t="n" s="2909">
        <v>20</v>
      </c>
      <c r="AJ1132" t="n" s="2909">
        <v>41</v>
      </c>
      <c r="AP1132" t="n" s="2909">
        <v>710000</v>
      </c>
      <c r="DB1132" s="2909" t="str">
        <f>IF($A1132="","",IF($AE1132&amp;""&lt;&gt;'DB_設定'!$C$4,"対象外",IF($AH1132=20,IF(OR($AJ1132=10,$AJ1132=11,$AJ1132=18),"①病院一般",IF($AJ1132=41,"②病院短期","対象外")),IF($AH1132=5,IF($AJ1132=30,"③特定消防","対象外"),IF(OR($AJ1132=10,$AJ1132=11,$AJ1132=74),"④一般",IF(OR($AJ1132=41,$AJ1132=47),"⑤短期","対象外"))))))</f>
        <v>②病院短期</v>
      </c>
    </row>
    <row r="1133">
      <c r="A1133" t="n" s="2909">
        <v>31</v>
      </c>
      <c r="AA1133" t="n" s="2909">
        <v>21</v>
      </c>
      <c r="AB1133" t="inlineStr" s="2909">
        <is>
          <t>20240401</t>
        </is>
      </c>
      <c r="AD1133" t="n" s="2909">
        <v>12</v>
      </c>
      <c r="AE1133" t="inlineStr" s="2909">
        <is>
          <t>20250401</t>
        </is>
      </c>
      <c r="AH1133" t="n" s="2909">
        <v>20</v>
      </c>
      <c r="AJ1133" t="n" s="2909">
        <v>41</v>
      </c>
      <c r="AP1133" t="n" s="2909">
        <v>830000</v>
      </c>
      <c r="DB1133" s="2909" t="str">
        <f>IF($A1133="","",IF($AE1133&amp;""&lt;&gt;'DB_設定'!$C$4,"対象外",IF($AH1133=20,IF(OR($AJ1133=10,$AJ1133=11,$AJ1133=18),"①病院一般",IF($AJ1133=41,"②病院短期","対象外")),IF($AH1133=5,IF($AJ1133=30,"③特定消防","対象外"),IF(OR($AJ1133=10,$AJ1133=11,$AJ1133=74),"④一般",IF(OR($AJ1133=41,$AJ1133=47),"⑤短期","対象外"))))))</f>
        <v>②病院短期</v>
      </c>
    </row>
    <row r="1134">
      <c r="A1134" t="n" s="2909">
        <v>31</v>
      </c>
      <c r="AA1134" t="n" s="2909">
        <v>21</v>
      </c>
      <c r="AB1134" t="inlineStr" s="2909">
        <is>
          <t>20240401</t>
        </is>
      </c>
      <c r="AD1134" t="n" s="2909">
        <v>12</v>
      </c>
      <c r="AE1134" t="inlineStr" s="2909">
        <is>
          <t>20250401</t>
        </is>
      </c>
      <c r="AH1134" t="n" s="2909">
        <v>20</v>
      </c>
      <c r="AJ1134" t="n" s="2909">
        <v>41</v>
      </c>
      <c r="AP1134" t="n" s="2909">
        <v>620000</v>
      </c>
      <c r="DB1134" s="2909" t="str">
        <f>IF($A1134="","",IF($AE1134&amp;""&lt;&gt;'DB_設定'!$C$4,"対象外",IF($AH1134=20,IF(OR($AJ1134=10,$AJ1134=11,$AJ1134=18),"①病院一般",IF($AJ1134=41,"②病院短期","対象外")),IF($AH1134=5,IF($AJ1134=30,"③特定消防","対象外"),IF(OR($AJ1134=10,$AJ1134=11,$AJ1134=74),"④一般",IF(OR($AJ1134=41,$AJ1134=47),"⑤短期","対象外"))))))</f>
        <v>②病院短期</v>
      </c>
    </row>
    <row r="1135">
      <c r="A1135" t="n" s="2909">
        <v>31</v>
      </c>
      <c r="AA1135" t="n" s="2909">
        <v>21</v>
      </c>
      <c r="AB1135" t="inlineStr" s="2909">
        <is>
          <t>20240401</t>
        </is>
      </c>
      <c r="AD1135" t="n" s="2909">
        <v>12</v>
      </c>
      <c r="AE1135" t="inlineStr" s="2909">
        <is>
          <t>20250401</t>
        </is>
      </c>
      <c r="AH1135" t="n" s="2909">
        <v>20</v>
      </c>
      <c r="AJ1135" t="n" s="2909">
        <v>41</v>
      </c>
      <c r="AP1135" t="n" s="2909">
        <v>680000</v>
      </c>
      <c r="DB1135" s="2909" t="str">
        <f>IF($A1135="","",IF($AE1135&amp;""&lt;&gt;'DB_設定'!$C$4,"対象外",IF($AH1135=20,IF(OR($AJ1135=10,$AJ1135=11,$AJ1135=18),"①病院一般",IF($AJ1135=41,"②病院短期","対象外")),IF($AH1135=5,IF($AJ1135=30,"③特定消防","対象外"),IF(OR($AJ1135=10,$AJ1135=11,$AJ1135=74),"④一般",IF(OR($AJ1135=41,$AJ1135=47),"⑤短期","対象外"))))))</f>
        <v>②病院短期</v>
      </c>
    </row>
    <row r="1136">
      <c r="A1136" t="n" s="2909">
        <v>31</v>
      </c>
      <c r="AA1136" t="n" s="2909">
        <v>21</v>
      </c>
      <c r="AB1136" t="inlineStr" s="2909">
        <is>
          <t>20240401</t>
        </is>
      </c>
      <c r="AD1136" t="n" s="2909">
        <v>12</v>
      </c>
      <c r="AE1136" t="inlineStr" s="2909">
        <is>
          <t>20250501</t>
        </is>
      </c>
      <c r="AH1136" t="n" s="2909">
        <v>20</v>
      </c>
      <c r="AJ1136" t="n" s="2909">
        <v>10</v>
      </c>
      <c r="AP1136" t="n" s="2909">
        <v>790000</v>
      </c>
      <c r="DB1136" s="2909" t="str">
        <f>IF($A1136="","",IF($AE1136&amp;""&lt;&gt;'DB_設定'!$C$4,"対象外",IF($AH1136=20,IF(OR($AJ1136=10,$AJ1136=11,$AJ1136=18),"①病院一般",IF($AJ1136=41,"②病院短期","対象外")),IF($AH1136=5,IF($AJ1136=30,"③特定消防","対象外"),IF(OR($AJ1136=10,$AJ1136=11,$AJ1136=74),"④一般",IF(OR($AJ1136=41,$AJ1136=47),"⑤短期","対象外"))))))</f>
        <v>対象外</v>
      </c>
    </row>
    <row r="1137">
      <c r="A1137" t="n" s="2909">
        <v>31</v>
      </c>
      <c r="AA1137" t="n" s="2909">
        <v>21</v>
      </c>
      <c r="AB1137" t="inlineStr" s="2909">
        <is>
          <t>20240401</t>
        </is>
      </c>
      <c r="AD1137" t="n" s="2909">
        <v>12</v>
      </c>
      <c r="AE1137" t="inlineStr" s="2909">
        <is>
          <t>20250401</t>
        </is>
      </c>
      <c r="AH1137" t="n" s="2909">
        <v>20</v>
      </c>
      <c r="AJ1137" t="n" s="2909">
        <v>41</v>
      </c>
      <c r="AP1137" t="n" s="2909">
        <v>530000</v>
      </c>
      <c r="DB1137" s="2909" t="str">
        <f>IF($A1137="","",IF($AE1137&amp;""&lt;&gt;'DB_設定'!$C$4,"対象外",IF($AH1137=20,IF(OR($AJ1137=10,$AJ1137=11,$AJ1137=18),"①病院一般",IF($AJ1137=41,"②病院短期","対象外")),IF($AH1137=5,IF($AJ1137=30,"③特定消防","対象外"),IF(OR($AJ1137=10,$AJ1137=11,$AJ1137=74),"④一般",IF(OR($AJ1137=41,$AJ1137=47),"⑤短期","対象外"))))))</f>
        <v>②病院短期</v>
      </c>
    </row>
    <row r="1138">
      <c r="A1138" t="n" s="2909">
        <v>31</v>
      </c>
      <c r="AA1138" t="n" s="2909">
        <v>21</v>
      </c>
      <c r="AB1138" t="inlineStr" s="2909">
        <is>
          <t>20240401</t>
        </is>
      </c>
      <c r="AD1138" t="n" s="2909">
        <v>12</v>
      </c>
      <c r="AE1138" t="inlineStr" s="2909">
        <is>
          <t>20251001</t>
        </is>
      </c>
      <c r="AH1138" t="n" s="2909">
        <v>20</v>
      </c>
      <c r="AJ1138" t="n" s="2909">
        <v>10</v>
      </c>
      <c r="AP1138" t="n" s="2909">
        <v>930000</v>
      </c>
      <c r="DB1138" s="2909" t="str">
        <f>IF($A1138="","",IF($AE1138&amp;""&lt;&gt;'DB_設定'!$C$4,"対象外",IF($AH1138=20,IF(OR($AJ1138=10,$AJ1138=11,$AJ1138=18),"①病院一般",IF($AJ1138=41,"②病院短期","対象外")),IF($AH1138=5,IF($AJ1138=30,"③特定消防","対象外"),IF(OR($AJ1138=10,$AJ1138=11,$AJ1138=74),"④一般",IF(OR($AJ1138=41,$AJ1138=47),"⑤短期","対象外"))))))</f>
        <v>対象外</v>
      </c>
    </row>
    <row r="1139">
      <c r="A1139" t="n" s="2909">
        <v>31</v>
      </c>
      <c r="AA1139" t="n" s="2909">
        <v>21</v>
      </c>
      <c r="AB1139" t="inlineStr" s="2909">
        <is>
          <t>20240401</t>
        </is>
      </c>
      <c r="AD1139" t="n" s="2909">
        <v>12</v>
      </c>
      <c r="AE1139" t="inlineStr" s="2909">
        <is>
          <t>20250401</t>
        </is>
      </c>
      <c r="AH1139" t="n" s="2909">
        <v>20</v>
      </c>
      <c r="AJ1139" t="n" s="2909">
        <v>41</v>
      </c>
      <c r="AP1139" t="n" s="2909">
        <v>710000</v>
      </c>
      <c r="DB1139" s="2909" t="str">
        <f>IF($A1139="","",IF($AE1139&amp;""&lt;&gt;'DB_設定'!$C$4,"対象外",IF($AH1139=20,IF(OR($AJ1139=10,$AJ1139=11,$AJ1139=18),"①病院一般",IF($AJ1139=41,"②病院短期","対象外")),IF($AH1139=5,IF($AJ1139=30,"③特定消防","対象外"),IF(OR($AJ1139=10,$AJ1139=11,$AJ1139=74),"④一般",IF(OR($AJ1139=41,$AJ1139=47),"⑤短期","対象外"))))))</f>
        <v>②病院短期</v>
      </c>
    </row>
    <row r="1140">
      <c r="A1140" t="n" s="2909">
        <v>31</v>
      </c>
      <c r="AA1140" t="n" s="2909">
        <v>21</v>
      </c>
      <c r="AB1140" t="inlineStr" s="2909">
        <is>
          <t>20240401</t>
        </is>
      </c>
      <c r="AD1140" t="n" s="2909">
        <v>12</v>
      </c>
      <c r="AE1140" t="inlineStr" s="2909">
        <is>
          <t>20250401</t>
        </is>
      </c>
      <c r="AH1140" t="n" s="2909">
        <v>20</v>
      </c>
      <c r="AJ1140" t="n" s="2909">
        <v>41</v>
      </c>
      <c r="AP1140" t="n" s="2909">
        <v>750000</v>
      </c>
      <c r="DB1140" s="2909" t="str">
        <f>IF($A1140="","",IF($AE1140&amp;""&lt;&gt;'DB_設定'!$C$4,"対象外",IF($AH1140=20,IF(OR($AJ1140=10,$AJ1140=11,$AJ1140=18),"①病院一般",IF($AJ1140=41,"②病院短期","対象外")),IF($AH1140=5,IF($AJ1140=30,"③特定消防","対象外"),IF(OR($AJ1140=10,$AJ1140=11,$AJ1140=74),"④一般",IF(OR($AJ1140=41,$AJ1140=47),"⑤短期","対象外"))))))</f>
        <v>②病院短期</v>
      </c>
    </row>
    <row r="1141">
      <c r="A1141" t="n" s="2909">
        <v>31</v>
      </c>
      <c r="AA1141" t="n" s="2909">
        <v>21</v>
      </c>
      <c r="AB1141" t="inlineStr" s="2909">
        <is>
          <t>20240401</t>
        </is>
      </c>
      <c r="AD1141" t="n" s="2909">
        <v>12</v>
      </c>
      <c r="AE1141" t="inlineStr" s="2909">
        <is>
          <t>20250401</t>
        </is>
      </c>
      <c r="AH1141" t="n" s="2909">
        <v>20</v>
      </c>
      <c r="AJ1141" t="n" s="2909">
        <v>41</v>
      </c>
      <c r="AP1141" t="n" s="2909">
        <v>930000</v>
      </c>
      <c r="DB1141" s="2909" t="str">
        <f>IF($A1141="","",IF($AE1141&amp;""&lt;&gt;'DB_設定'!$C$4,"対象外",IF($AH1141=20,IF(OR($AJ1141=10,$AJ1141=11,$AJ1141=18),"①病院一般",IF($AJ1141=41,"②病院短期","対象外")),IF($AH1141=5,IF($AJ1141=30,"③特定消防","対象外"),IF(OR($AJ1141=10,$AJ1141=11,$AJ1141=74),"④一般",IF(OR($AJ1141=41,$AJ1141=47),"⑤短期","対象外"))))))</f>
        <v>②病院短期</v>
      </c>
    </row>
    <row r="1142">
      <c r="A1142" t="n" s="2909">
        <v>31</v>
      </c>
      <c r="AA1142" t="n" s="2909">
        <v>21</v>
      </c>
      <c r="AB1142" t="inlineStr" s="2909">
        <is>
          <t>20240401</t>
        </is>
      </c>
      <c r="AD1142" t="n" s="2909">
        <v>12</v>
      </c>
      <c r="AE1142" t="inlineStr" s="2909">
        <is>
          <t>20250401</t>
        </is>
      </c>
      <c r="AH1142" t="n" s="2909">
        <v>20</v>
      </c>
      <c r="AJ1142" t="n" s="2909">
        <v>41</v>
      </c>
      <c r="AP1142" t="n" s="2909">
        <v>650000</v>
      </c>
      <c r="DB1142" s="2909" t="str">
        <f>IF($A1142="","",IF($AE1142&amp;""&lt;&gt;'DB_設定'!$C$4,"対象外",IF($AH1142=20,IF(OR($AJ1142=10,$AJ1142=11,$AJ1142=18),"①病院一般",IF($AJ1142=41,"②病院短期","対象外")),IF($AH1142=5,IF($AJ1142=30,"③特定消防","対象外"),IF(OR($AJ1142=10,$AJ1142=11,$AJ1142=74),"④一般",IF(OR($AJ1142=41,$AJ1142=47),"⑤短期","対象外"))))))</f>
        <v>②病院短期</v>
      </c>
    </row>
    <row r="1143">
      <c r="A1143" t="n" s="2909">
        <v>31</v>
      </c>
      <c r="AA1143" t="n" s="2909">
        <v>21</v>
      </c>
      <c r="AB1143" t="inlineStr" s="2909">
        <is>
          <t>20240401</t>
        </is>
      </c>
      <c r="AD1143" t="n" s="2909">
        <v>12</v>
      </c>
      <c r="AE1143" t="inlineStr" s="2909">
        <is>
          <t>20250401</t>
        </is>
      </c>
      <c r="AH1143" t="n" s="2909">
        <v>20</v>
      </c>
      <c r="AJ1143" t="n" s="2909">
        <v>41</v>
      </c>
      <c r="AP1143" t="n" s="2909">
        <v>750000</v>
      </c>
      <c r="DB1143" s="2909" t="str">
        <f>IF($A1143="","",IF($AE1143&amp;""&lt;&gt;'DB_設定'!$C$4,"対象外",IF($AH1143=20,IF(OR($AJ1143=10,$AJ1143=11,$AJ1143=18),"①病院一般",IF($AJ1143=41,"②病院短期","対象外")),IF($AH1143=5,IF($AJ1143=30,"③特定消防","対象外"),IF(OR($AJ1143=10,$AJ1143=11,$AJ1143=74),"④一般",IF(OR($AJ1143=41,$AJ1143=47),"⑤短期","対象外"))))))</f>
        <v>②病院短期</v>
      </c>
    </row>
    <row r="1144">
      <c r="A1144" t="n" s="2909">
        <v>31</v>
      </c>
      <c r="AA1144" t="n" s="2909">
        <v>21</v>
      </c>
      <c r="AB1144" t="inlineStr" s="2909">
        <is>
          <t>20240401</t>
        </is>
      </c>
      <c r="AD1144" t="n" s="2909">
        <v>12</v>
      </c>
      <c r="AE1144" t="inlineStr" s="2909">
        <is>
          <t>20250401</t>
        </is>
      </c>
      <c r="AH1144" t="n" s="2909">
        <v>20</v>
      </c>
      <c r="AJ1144" t="n" s="2909">
        <v>41</v>
      </c>
      <c r="AP1144" t="n" s="2909">
        <v>750000</v>
      </c>
      <c r="DB1144" s="2909" t="str">
        <f>IF($A1144="","",IF($AE1144&amp;""&lt;&gt;'DB_設定'!$C$4,"対象外",IF($AH1144=20,IF(OR($AJ1144=10,$AJ1144=11,$AJ1144=18),"①病院一般",IF($AJ1144=41,"②病院短期","対象外")),IF($AH1144=5,IF($AJ1144=30,"③特定消防","対象外"),IF(OR($AJ1144=10,$AJ1144=11,$AJ1144=74),"④一般",IF(OR($AJ1144=41,$AJ1144=47),"⑤短期","対象外"))))))</f>
        <v>②病院短期</v>
      </c>
    </row>
    <row r="1145">
      <c r="A1145" t="n" s="2909">
        <v>31</v>
      </c>
      <c r="AA1145" t="n" s="2909">
        <v>21</v>
      </c>
      <c r="AB1145" t="inlineStr" s="2909">
        <is>
          <t>20240401</t>
        </is>
      </c>
      <c r="AD1145" t="n" s="2909">
        <v>12</v>
      </c>
      <c r="AE1145" t="inlineStr" s="2909">
        <is>
          <t>20250401</t>
        </is>
      </c>
      <c r="AH1145" t="n" s="2909">
        <v>20</v>
      </c>
      <c r="AJ1145" t="n" s="2909">
        <v>41</v>
      </c>
      <c r="AP1145" t="n" s="2909">
        <v>750000</v>
      </c>
      <c r="DB1145" s="2909" t="str">
        <f>IF($A1145="","",IF($AE1145&amp;""&lt;&gt;'DB_設定'!$C$4,"対象外",IF($AH1145=20,IF(OR($AJ1145=10,$AJ1145=11,$AJ1145=18),"①病院一般",IF($AJ1145=41,"②病院短期","対象外")),IF($AH1145=5,IF($AJ1145=30,"③特定消防","対象外"),IF(OR($AJ1145=10,$AJ1145=11,$AJ1145=74),"④一般",IF(OR($AJ1145=41,$AJ1145=47),"⑤短期","対象外"))))))</f>
        <v>②病院短期</v>
      </c>
    </row>
    <row r="1146">
      <c r="A1146" t="n" s="2909">
        <v>31</v>
      </c>
      <c r="AA1146" t="n" s="2909">
        <v>21</v>
      </c>
      <c r="AB1146" t="inlineStr" s="2909">
        <is>
          <t>20240401</t>
        </is>
      </c>
      <c r="AD1146" t="n" s="2909">
        <v>12</v>
      </c>
      <c r="AE1146" t="inlineStr" s="2909">
        <is>
          <t>20250401</t>
        </is>
      </c>
      <c r="AH1146" t="n" s="2909">
        <v>20</v>
      </c>
      <c r="AJ1146" t="n" s="2909">
        <v>41</v>
      </c>
      <c r="AP1146" t="n" s="2909">
        <v>710000</v>
      </c>
      <c r="DB1146" s="2909" t="str">
        <f>IF($A1146="","",IF($AE1146&amp;""&lt;&gt;'DB_設定'!$C$4,"対象外",IF($AH1146=20,IF(OR($AJ1146=10,$AJ1146=11,$AJ1146=18),"①病院一般",IF($AJ1146=41,"②病院短期","対象外")),IF($AH1146=5,IF($AJ1146=30,"③特定消防","対象外"),IF(OR($AJ1146=10,$AJ1146=11,$AJ1146=74),"④一般",IF(OR($AJ1146=41,$AJ1146=47),"⑤短期","対象外"))))))</f>
        <v>②病院短期</v>
      </c>
    </row>
    <row r="1147">
      <c r="A1147" t="n" s="2909">
        <v>31</v>
      </c>
      <c r="AA1147" t="n" s="2909">
        <v>21</v>
      </c>
      <c r="AB1147" t="inlineStr" s="2909">
        <is>
          <t>20240401</t>
        </is>
      </c>
      <c r="AD1147" t="n" s="2909">
        <v>12</v>
      </c>
      <c r="AE1147" t="inlineStr" s="2909">
        <is>
          <t>20250401</t>
        </is>
      </c>
      <c r="AH1147" t="n" s="2909">
        <v>20</v>
      </c>
      <c r="AJ1147" t="n" s="2909">
        <v>41</v>
      </c>
      <c r="AP1147" t="n" s="2909">
        <v>590000</v>
      </c>
      <c r="DB1147" s="2909" t="str">
        <f>IF($A1147="","",IF($AE1147&amp;""&lt;&gt;'DB_設定'!$C$4,"対象外",IF($AH1147=20,IF(OR($AJ1147=10,$AJ1147=11,$AJ1147=18),"①病院一般",IF($AJ1147=41,"②病院短期","対象外")),IF($AH1147=5,IF($AJ1147=30,"③特定消防","対象外"),IF(OR($AJ1147=10,$AJ1147=11,$AJ1147=74),"④一般",IF(OR($AJ1147=41,$AJ1147=47),"⑤短期","対象外"))))))</f>
        <v>②病院短期</v>
      </c>
    </row>
    <row r="1148">
      <c r="A1148" t="n" s="2909">
        <v>31</v>
      </c>
      <c r="AA1148" t="n" s="2909">
        <v>21</v>
      </c>
      <c r="AB1148" t="inlineStr" s="2909">
        <is>
          <t>20240401</t>
        </is>
      </c>
      <c r="AD1148" t="n" s="2909">
        <v>12</v>
      </c>
      <c r="AE1148" t="inlineStr" s="2909">
        <is>
          <t>20250401</t>
        </is>
      </c>
      <c r="AH1148" t="n" s="2909">
        <v>20</v>
      </c>
      <c r="AJ1148" t="n" s="2909">
        <v>41</v>
      </c>
      <c r="AP1148" t="n" s="2909">
        <v>680000</v>
      </c>
      <c r="DB1148" s="2909" t="str">
        <f>IF($A1148="","",IF($AE1148&amp;""&lt;&gt;'DB_設定'!$C$4,"対象外",IF($AH1148=20,IF(OR($AJ1148=10,$AJ1148=11,$AJ1148=18),"①病院一般",IF($AJ1148=41,"②病院短期","対象外")),IF($AH1148=5,IF($AJ1148=30,"③特定消防","対象外"),IF(OR($AJ1148=10,$AJ1148=11,$AJ1148=74),"④一般",IF(OR($AJ1148=41,$AJ1148=47),"⑤短期","対象外"))))))</f>
        <v>②病院短期</v>
      </c>
    </row>
    <row r="1149">
      <c r="A1149" t="n" s="2909">
        <v>31</v>
      </c>
      <c r="AA1149" t="n" s="2909">
        <v>21</v>
      </c>
      <c r="AB1149" t="inlineStr" s="2909">
        <is>
          <t>20240401</t>
        </is>
      </c>
      <c r="AD1149" t="n" s="2909">
        <v>12</v>
      </c>
      <c r="AE1149" t="inlineStr" s="2909">
        <is>
          <t>20250401</t>
        </is>
      </c>
      <c r="AH1149" t="n" s="2909">
        <v>20</v>
      </c>
      <c r="AJ1149" t="n" s="2909">
        <v>41</v>
      </c>
      <c r="AP1149" t="n" s="2909">
        <v>620000</v>
      </c>
      <c r="DB1149" s="2909" t="str">
        <f>IF($A1149="","",IF($AE1149&amp;""&lt;&gt;'DB_設定'!$C$4,"対象外",IF($AH1149=20,IF(OR($AJ1149=10,$AJ1149=11,$AJ1149=18),"①病院一般",IF($AJ1149=41,"②病院短期","対象外")),IF($AH1149=5,IF($AJ1149=30,"③特定消防","対象外"),IF(OR($AJ1149=10,$AJ1149=11,$AJ1149=74),"④一般",IF(OR($AJ1149=41,$AJ1149=47),"⑤短期","対象外"))))))</f>
        <v>②病院短期</v>
      </c>
    </row>
    <row r="1150">
      <c r="A1150" t="n" s="2909">
        <v>31</v>
      </c>
      <c r="AA1150" t="n" s="2909">
        <v>21</v>
      </c>
      <c r="AB1150" t="inlineStr" s="2909">
        <is>
          <t>20240401</t>
        </is>
      </c>
      <c r="AD1150" t="n" s="2909">
        <v>12</v>
      </c>
      <c r="AE1150" t="inlineStr" s="2909">
        <is>
          <t>20250401</t>
        </is>
      </c>
      <c r="AH1150" t="n" s="2909">
        <v>20</v>
      </c>
      <c r="AJ1150" t="n" s="2909">
        <v>41</v>
      </c>
      <c r="AP1150" t="n" s="2909">
        <v>440000</v>
      </c>
      <c r="DB1150" s="2909" t="str">
        <f>IF($A1150="","",IF($AE1150&amp;""&lt;&gt;'DB_設定'!$C$4,"対象外",IF($AH1150=20,IF(OR($AJ1150=10,$AJ1150=11,$AJ1150=18),"①病院一般",IF($AJ1150=41,"②病院短期","対象外")),IF($AH1150=5,IF($AJ1150=30,"③特定消防","対象外"),IF(OR($AJ1150=10,$AJ1150=11,$AJ1150=74),"④一般",IF(OR($AJ1150=41,$AJ1150=47),"⑤短期","対象外"))))))</f>
        <v>②病院短期</v>
      </c>
    </row>
    <row r="1151">
      <c r="A1151" t="n" s="2909">
        <v>31</v>
      </c>
      <c r="AA1151" t="n" s="2909">
        <v>21</v>
      </c>
      <c r="AB1151" t="inlineStr" s="2909">
        <is>
          <t>20240601</t>
        </is>
      </c>
      <c r="AD1151" t="n" s="2909">
        <v>11</v>
      </c>
      <c r="AE1151" t="inlineStr" s="2909">
        <is>
          <t>20250401</t>
        </is>
      </c>
      <c r="AH1151" t="n" s="2909">
        <v>20</v>
      </c>
      <c r="AJ1151" t="n" s="2909">
        <v>41</v>
      </c>
      <c r="AP1151" t="n" s="2909">
        <v>160000</v>
      </c>
      <c r="DB1151" s="2909" t="str">
        <f>IF($A1151="","",IF($AE1151&amp;""&lt;&gt;'DB_設定'!$C$4,"対象外",IF($AH1151=20,IF(OR($AJ1151=10,$AJ1151=11,$AJ1151=18),"①病院一般",IF($AJ1151=41,"②病院短期","対象外")),IF($AH1151=5,IF($AJ1151=30,"③特定消防","対象外"),IF(OR($AJ1151=10,$AJ1151=11,$AJ1151=74),"④一般",IF(OR($AJ1151=41,$AJ1151=47),"⑤短期","対象外"))))))</f>
        <v>②病院短期</v>
      </c>
    </row>
    <row r="1152">
      <c r="A1152" t="n" s="2909">
        <v>31</v>
      </c>
      <c r="AA1152" t="n" s="2909">
        <v>21</v>
      </c>
      <c r="AB1152" t="inlineStr" s="2909">
        <is>
          <t>20241001</t>
        </is>
      </c>
      <c r="AD1152" t="n" s="2909">
        <v>12</v>
      </c>
      <c r="AE1152" t="inlineStr" s="2909">
        <is>
          <t>20250401</t>
        </is>
      </c>
      <c r="AH1152" t="n" s="2909">
        <v>20</v>
      </c>
      <c r="AJ1152" t="n" s="2909">
        <v>41</v>
      </c>
      <c r="AP1152" t="n" s="2909">
        <v>880000</v>
      </c>
      <c r="DB1152" s="2909" t="str">
        <f>IF($A1152="","",IF($AE1152&amp;""&lt;&gt;'DB_設定'!$C$4,"対象外",IF($AH1152=20,IF(OR($AJ1152=10,$AJ1152=11,$AJ1152=18),"①病院一般",IF($AJ1152=41,"②病院短期","対象外")),IF($AH1152=5,IF($AJ1152=30,"③特定消防","対象外"),IF(OR($AJ1152=10,$AJ1152=11,$AJ1152=74),"④一般",IF(OR($AJ1152=41,$AJ1152=47),"⑤短期","対象外"))))))</f>
        <v>②病院短期</v>
      </c>
    </row>
    <row r="1153">
      <c r="A1153" t="n" s="2909">
        <v>31</v>
      </c>
      <c r="AA1153" t="n" s="2909">
        <v>21</v>
      </c>
      <c r="AB1153" t="inlineStr" s="2909">
        <is>
          <t>20241001</t>
        </is>
      </c>
      <c r="AD1153" t="n" s="2909">
        <v>12</v>
      </c>
      <c r="AE1153" t="inlineStr" s="2909">
        <is>
          <t>20250401</t>
        </is>
      </c>
      <c r="AH1153" t="n" s="2909">
        <v>20</v>
      </c>
      <c r="AJ1153" t="n" s="2909">
        <v>41</v>
      </c>
      <c r="AP1153" t="n" s="2909">
        <v>750000</v>
      </c>
      <c r="DB1153" s="2909" t="str">
        <f>IF($A1153="","",IF($AE1153&amp;""&lt;&gt;'DB_設定'!$C$4,"対象外",IF($AH1153=20,IF(OR($AJ1153=10,$AJ1153=11,$AJ1153=18),"①病院一般",IF($AJ1153=41,"②病院短期","対象外")),IF($AH1153=5,IF($AJ1153=30,"③特定消防","対象外"),IF(OR($AJ1153=10,$AJ1153=11,$AJ1153=74),"④一般",IF(OR($AJ1153=41,$AJ1153=47),"⑤短期","対象外"))))))</f>
        <v>②病院短期</v>
      </c>
    </row>
    <row r="1154">
      <c r="A1154" t="n" s="2909">
        <v>31</v>
      </c>
      <c r="AA1154" t="n" s="2909">
        <v>21</v>
      </c>
      <c r="AB1154" t="inlineStr" s="2909">
        <is>
          <t>20241001</t>
        </is>
      </c>
      <c r="AD1154" t="n" s="2909">
        <v>12</v>
      </c>
      <c r="AE1154" t="inlineStr" s="2909">
        <is>
          <t>20250401</t>
        </is>
      </c>
      <c r="AH1154" t="n" s="2909">
        <v>20</v>
      </c>
      <c r="AJ1154" t="n" s="2909">
        <v>41</v>
      </c>
      <c r="AP1154" t="n" s="2909">
        <v>880000</v>
      </c>
      <c r="DB1154" s="2909" t="str">
        <f>IF($A1154="","",IF($AE1154&amp;""&lt;&gt;'DB_設定'!$C$4,"対象外",IF($AH1154=20,IF(OR($AJ1154=10,$AJ1154=11,$AJ1154=18),"①病院一般",IF($AJ1154=41,"②病院短期","対象外")),IF($AH1154=5,IF($AJ1154=30,"③特定消防","対象外"),IF(OR($AJ1154=10,$AJ1154=11,$AJ1154=74),"④一般",IF(OR($AJ1154=41,$AJ1154=47),"⑤短期","対象外"))))))</f>
        <v>②病院短期</v>
      </c>
    </row>
    <row r="1155">
      <c r="A1155" t="n" s="2909">
        <v>31</v>
      </c>
      <c r="AA1155" t="n" s="2909">
        <v>21</v>
      </c>
      <c r="AB1155" t="inlineStr" s="2909">
        <is>
          <t>20241001</t>
        </is>
      </c>
      <c r="AD1155" t="n" s="2909">
        <v>12</v>
      </c>
      <c r="AE1155" t="inlineStr" s="2909">
        <is>
          <t>20251001</t>
        </is>
      </c>
      <c r="AH1155" t="n" s="2909">
        <v>20</v>
      </c>
      <c r="AJ1155" t="n" s="2909">
        <v>41</v>
      </c>
      <c r="AP1155" t="n" s="2909">
        <v>1030000</v>
      </c>
      <c r="DB1155" s="2909" t="str">
        <f>IF($A1155="","",IF($AE1155&amp;""&lt;&gt;'DB_設定'!$C$4,"対象外",IF($AH1155=20,IF(OR($AJ1155=10,$AJ1155=11,$AJ1155=18),"①病院一般",IF($AJ1155=41,"②病院短期","対象外")),IF($AH1155=5,IF($AJ1155=30,"③特定消防","対象外"),IF(OR($AJ1155=10,$AJ1155=11,$AJ1155=74),"④一般",IF(OR($AJ1155=41,$AJ1155=47),"⑤短期","対象外"))))))</f>
        <v>対象外</v>
      </c>
    </row>
    <row r="1156">
      <c r="A1156" t="n" s="2909">
        <v>31</v>
      </c>
      <c r="AA1156" t="n" s="2909">
        <v>21</v>
      </c>
      <c r="AB1156" t="inlineStr" s="2909">
        <is>
          <t>20241001</t>
        </is>
      </c>
      <c r="AD1156" t="n" s="2909">
        <v>12</v>
      </c>
      <c r="AE1156" t="inlineStr" s="2909">
        <is>
          <t>20250401</t>
        </is>
      </c>
      <c r="AH1156" t="n" s="2909">
        <v>20</v>
      </c>
      <c r="AJ1156" t="n" s="2909">
        <v>41</v>
      </c>
      <c r="AP1156" t="n" s="2909">
        <v>880000</v>
      </c>
      <c r="DB1156" s="2909" t="str">
        <f>IF($A1156="","",IF($AE1156&amp;""&lt;&gt;'DB_設定'!$C$4,"対象外",IF($AH1156=20,IF(OR($AJ1156=10,$AJ1156=11,$AJ1156=18),"①病院一般",IF($AJ1156=41,"②病院短期","対象外")),IF($AH1156=5,IF($AJ1156=30,"③特定消防","対象外"),IF(OR($AJ1156=10,$AJ1156=11,$AJ1156=74),"④一般",IF(OR($AJ1156=41,$AJ1156=47),"⑤短期","対象外"))))))</f>
        <v>②病院短期</v>
      </c>
    </row>
    <row r="1157">
      <c r="A1157" t="n" s="2909">
        <v>31</v>
      </c>
      <c r="AA1157" t="n" s="2909">
        <v>21</v>
      </c>
      <c r="AB1157" t="inlineStr" s="2909">
        <is>
          <t>20241001</t>
        </is>
      </c>
      <c r="AD1157" t="n" s="2909">
        <v>12</v>
      </c>
      <c r="AE1157" t="inlineStr" s="2909">
        <is>
          <t>20250401</t>
        </is>
      </c>
      <c r="AH1157" t="n" s="2909">
        <v>20</v>
      </c>
      <c r="AJ1157" t="n" s="2909">
        <v>41</v>
      </c>
      <c r="AP1157" t="n" s="2909">
        <v>650000</v>
      </c>
      <c r="DB1157" s="2909" t="str">
        <f>IF($A1157="","",IF($AE1157&amp;""&lt;&gt;'DB_設定'!$C$4,"対象外",IF($AH1157=20,IF(OR($AJ1157=10,$AJ1157=11,$AJ1157=18),"①病院一般",IF($AJ1157=41,"②病院短期","対象外")),IF($AH1157=5,IF($AJ1157=30,"③特定消防","対象外"),IF(OR($AJ1157=10,$AJ1157=11,$AJ1157=74),"④一般",IF(OR($AJ1157=41,$AJ1157=47),"⑤短期","対象外"))))))</f>
        <v>②病院短期</v>
      </c>
    </row>
    <row r="1158">
      <c r="A1158" t="n" s="2909">
        <v>31</v>
      </c>
      <c r="AA1158" t="n" s="2909">
        <v>21</v>
      </c>
      <c r="AB1158" t="inlineStr" s="2909">
        <is>
          <t>20241001</t>
        </is>
      </c>
      <c r="AD1158" t="n" s="2909">
        <v>12</v>
      </c>
      <c r="AE1158" t="inlineStr" s="2909">
        <is>
          <t>20250401</t>
        </is>
      </c>
      <c r="AH1158" t="n" s="2909">
        <v>20</v>
      </c>
      <c r="AJ1158" t="n" s="2909">
        <v>41</v>
      </c>
      <c r="AP1158" t="n" s="2909">
        <v>830000</v>
      </c>
      <c r="DB1158" s="2909" t="str">
        <f>IF($A1158="","",IF($AE1158&amp;""&lt;&gt;'DB_設定'!$C$4,"対象外",IF($AH1158=20,IF(OR($AJ1158=10,$AJ1158=11,$AJ1158=18),"①病院一般",IF($AJ1158=41,"②病院短期","対象外")),IF($AH1158=5,IF($AJ1158=30,"③特定消防","対象外"),IF(OR($AJ1158=10,$AJ1158=11,$AJ1158=74),"④一般",IF(OR($AJ1158=41,$AJ1158=47),"⑤短期","対象外"))))))</f>
        <v>②病院短期</v>
      </c>
    </row>
    <row r="1159">
      <c r="A1159" t="n" s="2909">
        <v>31</v>
      </c>
      <c r="AA1159" t="n" s="2909">
        <v>21</v>
      </c>
      <c r="AB1159" t="inlineStr" s="2909">
        <is>
          <t>20241001</t>
        </is>
      </c>
      <c r="AD1159" t="n" s="2909">
        <v>12</v>
      </c>
      <c r="AE1159" t="inlineStr" s="2909">
        <is>
          <t>20250401</t>
        </is>
      </c>
      <c r="AH1159" t="n" s="2909">
        <v>20</v>
      </c>
      <c r="AJ1159" t="n" s="2909">
        <v>41</v>
      </c>
      <c r="AP1159" t="n" s="2909">
        <v>880000</v>
      </c>
      <c r="DB1159" s="2909" t="str">
        <f>IF($A1159="","",IF($AE1159&amp;""&lt;&gt;'DB_設定'!$C$4,"対象外",IF($AH1159=20,IF(OR($AJ1159=10,$AJ1159=11,$AJ1159=18),"①病院一般",IF($AJ1159=41,"②病院短期","対象外")),IF($AH1159=5,IF($AJ1159=30,"③特定消防","対象外"),IF(OR($AJ1159=10,$AJ1159=11,$AJ1159=74),"④一般",IF(OR($AJ1159=41,$AJ1159=47),"⑤短期","対象外"))))))</f>
        <v>②病院短期</v>
      </c>
    </row>
    <row r="1160">
      <c r="A1160" t="n" s="2909">
        <v>31</v>
      </c>
      <c r="AA1160" t="n" s="2909">
        <v>21</v>
      </c>
      <c r="AB1160" t="inlineStr" s="2909">
        <is>
          <t>20241101</t>
        </is>
      </c>
      <c r="AD1160" t="n" s="2909">
        <v>12</v>
      </c>
      <c r="AE1160" t="inlineStr" s="2909">
        <is>
          <t>20250401</t>
        </is>
      </c>
      <c r="AH1160" t="n" s="2909">
        <v>20</v>
      </c>
      <c r="AJ1160" t="n" s="2909">
        <v>41</v>
      </c>
      <c r="AP1160" t="n" s="2909">
        <v>650000</v>
      </c>
      <c r="DB1160" s="2909" t="str">
        <f>IF($A1160="","",IF($AE1160&amp;""&lt;&gt;'DB_設定'!$C$4,"対象外",IF($AH1160=20,IF(OR($AJ1160=10,$AJ1160=11,$AJ1160=18),"①病院一般",IF($AJ1160=41,"②病院短期","対象外")),IF($AH1160=5,IF($AJ1160=30,"③特定消防","対象外"),IF(OR($AJ1160=10,$AJ1160=11,$AJ1160=74),"④一般",IF(OR($AJ1160=41,$AJ1160=47),"⑤短期","対象外"))))))</f>
        <v>②病院短期</v>
      </c>
    </row>
    <row r="1161">
      <c r="A1161" t="n" s="2909">
        <v>31</v>
      </c>
      <c r="AA1161" t="n" s="2909">
        <v>21</v>
      </c>
      <c r="AB1161" t="inlineStr" s="2909">
        <is>
          <t>20241101</t>
        </is>
      </c>
      <c r="AD1161" t="n" s="2909">
        <v>12</v>
      </c>
      <c r="AE1161" t="inlineStr" s="2909">
        <is>
          <t>20250401</t>
        </is>
      </c>
      <c r="AH1161" t="n" s="2909">
        <v>20</v>
      </c>
      <c r="AJ1161" t="n" s="2909">
        <v>41</v>
      </c>
      <c r="AP1161" t="n" s="2909">
        <v>650000</v>
      </c>
      <c r="DB1161" s="2909" t="str">
        <f>IF($A1161="","",IF($AE1161&amp;""&lt;&gt;'DB_設定'!$C$4,"対象外",IF($AH1161=20,IF(OR($AJ1161=10,$AJ1161=11,$AJ1161=18),"①病院一般",IF($AJ1161=41,"②病院短期","対象外")),IF($AH1161=5,IF($AJ1161=30,"③特定消防","対象外"),IF(OR($AJ1161=10,$AJ1161=11,$AJ1161=74),"④一般",IF(OR($AJ1161=41,$AJ1161=47),"⑤短期","対象外"))))))</f>
        <v>②病院短期</v>
      </c>
    </row>
    <row r="1162">
      <c r="A1162" t="n" s="2909">
        <v>31</v>
      </c>
      <c r="AA1162" t="n" s="2909">
        <v>21</v>
      </c>
      <c r="AB1162" t="inlineStr" s="2909">
        <is>
          <t>20240401</t>
        </is>
      </c>
      <c r="AD1162" t="n" s="2909">
        <v>12</v>
      </c>
      <c r="AE1162" t="inlineStr" s="2909">
        <is>
          <t>20250401</t>
        </is>
      </c>
      <c r="AH1162" t="n" s="2909">
        <v>20</v>
      </c>
      <c r="AJ1162" t="n" s="2909">
        <v>41</v>
      </c>
      <c r="AP1162" t="n" s="2909">
        <v>790000</v>
      </c>
      <c r="DB1162" s="2909" t="str">
        <f>IF($A1162="","",IF($AE1162&amp;""&lt;&gt;'DB_設定'!$C$4,"対象外",IF($AH1162=20,IF(OR($AJ1162=10,$AJ1162=11,$AJ1162=18),"①病院一般",IF($AJ1162=41,"②病院短期","対象外")),IF($AH1162=5,IF($AJ1162=30,"③特定消防","対象外"),IF(OR($AJ1162=10,$AJ1162=11,$AJ1162=74),"④一般",IF(OR($AJ1162=41,$AJ1162=47),"⑤短期","対象外"))))))</f>
        <v>②病院短期</v>
      </c>
    </row>
    <row r="1163">
      <c r="A1163" t="n" s="2909">
        <v>31</v>
      </c>
      <c r="AA1163" t="n" s="2909">
        <v>21</v>
      </c>
      <c r="AB1163" t="inlineStr" s="2909">
        <is>
          <t>20240401</t>
        </is>
      </c>
      <c r="AD1163" t="n" s="2909">
        <v>12</v>
      </c>
      <c r="AE1163" t="inlineStr" s="2909">
        <is>
          <t>20250401</t>
        </is>
      </c>
      <c r="AH1163" t="n" s="2909">
        <v>20</v>
      </c>
      <c r="AJ1163" t="n" s="2909">
        <v>41</v>
      </c>
      <c r="AP1163" t="n" s="2909">
        <v>280000</v>
      </c>
      <c r="DB1163" s="2909" t="str">
        <f>IF($A1163="","",IF($AE1163&amp;""&lt;&gt;'DB_設定'!$C$4,"対象外",IF($AH1163=20,IF(OR($AJ1163=10,$AJ1163=11,$AJ1163=18),"①病院一般",IF($AJ1163=41,"②病院短期","対象外")),IF($AH1163=5,IF($AJ1163=30,"③特定消防","対象外"),IF(OR($AJ1163=10,$AJ1163=11,$AJ1163=74),"④一般",IF(OR($AJ1163=41,$AJ1163=47),"⑤短期","対象外"))))))</f>
        <v>②病院短期</v>
      </c>
    </row>
    <row r="1164">
      <c r="A1164" t="n" s="2909">
        <v>31</v>
      </c>
      <c r="AA1164" t="n" s="2909">
        <v>22</v>
      </c>
      <c r="AB1164" t="inlineStr" s="2909">
        <is>
          <t>20240401</t>
        </is>
      </c>
      <c r="AD1164" t="n" s="2909">
        <v>12</v>
      </c>
      <c r="AE1164" t="inlineStr" s="2909">
        <is>
          <t>20250401</t>
        </is>
      </c>
      <c r="AH1164" t="n" s="2909">
        <v>20</v>
      </c>
      <c r="AJ1164" t="n" s="2909">
        <v>41</v>
      </c>
      <c r="AP1164" t="n" s="2909">
        <v>300000</v>
      </c>
      <c r="DB1164" s="2909" t="str">
        <f>IF($A1164="","",IF($AE1164&amp;""&lt;&gt;'DB_設定'!$C$4,"対象外",IF($AH1164=20,IF(OR($AJ1164=10,$AJ1164=11,$AJ1164=18),"①病院一般",IF($AJ1164=41,"②病院短期","対象外")),IF($AH1164=5,IF($AJ1164=30,"③特定消防","対象外"),IF(OR($AJ1164=10,$AJ1164=11,$AJ1164=74),"④一般",IF(OR($AJ1164=41,$AJ1164=47),"⑤短期","対象外"))))))</f>
        <v>②病院短期</v>
      </c>
    </row>
    <row r="1165">
      <c r="A1165" t="n" s="2909">
        <v>31</v>
      </c>
      <c r="AA1165" t="n" s="2909">
        <v>22</v>
      </c>
      <c r="AB1165" t="inlineStr" s="2909">
        <is>
          <t>20240401</t>
        </is>
      </c>
      <c r="AD1165" t="n" s="2909">
        <v>12</v>
      </c>
      <c r="AE1165" t="inlineStr" s="2909">
        <is>
          <t>20250401</t>
        </is>
      </c>
      <c r="AH1165" t="n" s="2909">
        <v>20</v>
      </c>
      <c r="AJ1165" t="n" s="2909">
        <v>41</v>
      </c>
      <c r="AP1165" t="n" s="2909">
        <v>280000</v>
      </c>
      <c r="DB1165" s="2909" t="str">
        <f>IF($A1165="","",IF($AE1165&amp;""&lt;&gt;'DB_設定'!$C$4,"対象外",IF($AH1165=20,IF(OR($AJ1165=10,$AJ1165=11,$AJ1165=18),"①病院一般",IF($AJ1165=41,"②病院短期","対象外")),IF($AH1165=5,IF($AJ1165=30,"③特定消防","対象外"),IF(OR($AJ1165=10,$AJ1165=11,$AJ1165=74),"④一般",IF(OR($AJ1165=41,$AJ1165=47),"⑤短期","対象外"))))))</f>
        <v>②病院短期</v>
      </c>
    </row>
    <row r="1166">
      <c r="A1166" t="n" s="2909">
        <v>31</v>
      </c>
      <c r="AA1166" t="n" s="2909">
        <v>21</v>
      </c>
      <c r="AB1166" t="inlineStr" s="2909">
        <is>
          <t>20240401</t>
        </is>
      </c>
      <c r="AD1166" t="n" s="2909">
        <v>12</v>
      </c>
      <c r="AE1166" t="inlineStr" s="2909">
        <is>
          <t>20250401</t>
        </is>
      </c>
      <c r="AH1166" t="n" s="2909">
        <v>20</v>
      </c>
      <c r="AJ1166" t="n" s="2909">
        <v>41</v>
      </c>
      <c r="AP1166" t="n" s="2909">
        <v>190000</v>
      </c>
      <c r="DB1166" s="2909" t="str">
        <f>IF($A1166="","",IF($AE1166&amp;""&lt;&gt;'DB_設定'!$C$4,"対象外",IF($AH1166=20,IF(OR($AJ1166=10,$AJ1166=11,$AJ1166=18),"①病院一般",IF($AJ1166=41,"②病院短期","対象外")),IF($AH1166=5,IF($AJ1166=30,"③特定消防","対象外"),IF(OR($AJ1166=10,$AJ1166=11,$AJ1166=74),"④一般",IF(OR($AJ1166=41,$AJ1166=47),"⑤短期","対象外"))))))</f>
        <v>②病院短期</v>
      </c>
    </row>
    <row r="1167">
      <c r="A1167" t="n" s="2909">
        <v>31</v>
      </c>
      <c r="AA1167" t="n" s="2909">
        <v>21</v>
      </c>
      <c r="AB1167" t="inlineStr" s="2909">
        <is>
          <t>20240415</t>
        </is>
      </c>
      <c r="AD1167" t="n" s="2909">
        <v>12</v>
      </c>
      <c r="AE1167" t="inlineStr" s="2909">
        <is>
          <t>20250401</t>
        </is>
      </c>
      <c r="AH1167" t="n" s="2909">
        <v>20</v>
      </c>
      <c r="AJ1167" t="n" s="2909">
        <v>41</v>
      </c>
      <c r="AP1167" t="n" s="2909">
        <v>220000</v>
      </c>
      <c r="DB1167" s="2909" t="str">
        <f>IF($A1167="","",IF($AE1167&amp;""&lt;&gt;'DB_設定'!$C$4,"対象外",IF($AH1167=20,IF(OR($AJ1167=10,$AJ1167=11,$AJ1167=18),"①病院一般",IF($AJ1167=41,"②病院短期","対象外")),IF($AH1167=5,IF($AJ1167=30,"③特定消防","対象外"),IF(OR($AJ1167=10,$AJ1167=11,$AJ1167=74),"④一般",IF(OR($AJ1167=41,$AJ1167=47),"⑤短期","対象外"))))))</f>
        <v>②病院短期</v>
      </c>
    </row>
    <row r="1168">
      <c r="A1168" t="n" s="2909">
        <v>31</v>
      </c>
      <c r="AA1168" t="n" s="2909">
        <v>21</v>
      </c>
      <c r="AB1168" t="inlineStr" s="2909">
        <is>
          <t>20240401</t>
        </is>
      </c>
      <c r="AD1168" t="n" s="2909">
        <v>12</v>
      </c>
      <c r="AE1168" t="inlineStr" s="2909">
        <is>
          <t>20250601</t>
        </is>
      </c>
      <c r="AH1168" t="n" s="2909">
        <v>20</v>
      </c>
      <c r="AJ1168" t="n" s="2909">
        <v>41</v>
      </c>
      <c r="AP1168" t="n" s="2909">
        <v>220000</v>
      </c>
      <c r="DB1168" s="2909" t="str">
        <f>IF($A1168="","",IF($AE1168&amp;""&lt;&gt;'DB_設定'!$C$4,"対象外",IF($AH1168=20,IF(OR($AJ1168=10,$AJ1168=11,$AJ1168=18),"①病院一般",IF($AJ1168=41,"②病院短期","対象外")),IF($AH1168=5,IF($AJ1168=30,"③特定消防","対象外"),IF(OR($AJ1168=10,$AJ1168=11,$AJ1168=74),"④一般",IF(OR($AJ1168=41,$AJ1168=47),"⑤短期","対象外"))))))</f>
        <v>対象外</v>
      </c>
    </row>
    <row r="1169">
      <c r="A1169" t="n" s="2909">
        <v>31</v>
      </c>
      <c r="AA1169" t="n" s="2909">
        <v>21</v>
      </c>
      <c r="AB1169" t="inlineStr" s="2909">
        <is>
          <t>20240401</t>
        </is>
      </c>
      <c r="AD1169" t="n" s="2909">
        <v>12</v>
      </c>
      <c r="AE1169" t="inlineStr" s="2909">
        <is>
          <t>20250421</t>
        </is>
      </c>
      <c r="AH1169" t="n" s="2909">
        <v>20</v>
      </c>
      <c r="AJ1169" t="n" s="2909">
        <v>41</v>
      </c>
      <c r="AP1169" t="n" s="2909">
        <v>180000</v>
      </c>
      <c r="DB1169" s="2909" t="str">
        <f>IF($A1169="","",IF($AE1169&amp;""&lt;&gt;'DB_設定'!$C$4,"対象外",IF($AH1169=20,IF(OR($AJ1169=10,$AJ1169=11,$AJ1169=18),"①病院一般",IF($AJ1169=41,"②病院短期","対象外")),IF($AH1169=5,IF($AJ1169=30,"③特定消防","対象外"),IF(OR($AJ1169=10,$AJ1169=11,$AJ1169=74),"④一般",IF(OR($AJ1169=41,$AJ1169=47),"⑤短期","対象外"))))))</f>
        <v>対象外</v>
      </c>
    </row>
    <row r="1170">
      <c r="A1170" t="n" s="2909">
        <v>31</v>
      </c>
      <c r="AA1170" t="n" s="2909">
        <v>21</v>
      </c>
      <c r="AB1170" t="inlineStr" s="2909">
        <is>
          <t>20240402</t>
        </is>
      </c>
      <c r="AD1170" t="n" s="2909">
        <v>12</v>
      </c>
      <c r="AE1170" t="inlineStr" s="2909">
        <is>
          <t>20250401</t>
        </is>
      </c>
      <c r="AH1170" t="n" s="2909">
        <v>20</v>
      </c>
      <c r="AJ1170" t="n" s="2909">
        <v>41</v>
      </c>
      <c r="AP1170" t="n" s="2909">
        <v>180000</v>
      </c>
      <c r="DB1170" s="2909" t="str">
        <f>IF($A1170="","",IF($AE1170&amp;""&lt;&gt;'DB_設定'!$C$4,"対象外",IF($AH1170=20,IF(OR($AJ1170=10,$AJ1170=11,$AJ1170=18),"①病院一般",IF($AJ1170=41,"②病院短期","対象外")),IF($AH1170=5,IF($AJ1170=30,"③特定消防","対象外"),IF(OR($AJ1170=10,$AJ1170=11,$AJ1170=74),"④一般",IF(OR($AJ1170=41,$AJ1170=47),"⑤短期","対象外"))))))</f>
        <v>②病院短期</v>
      </c>
    </row>
    <row r="1171">
      <c r="A1171" t="n" s="2909">
        <v>31</v>
      </c>
      <c r="AA1171" t="n" s="2909">
        <v>21</v>
      </c>
      <c r="AB1171" t="inlineStr" s="2909">
        <is>
          <t>20240415</t>
        </is>
      </c>
      <c r="AD1171" t="n" s="2909">
        <v>12</v>
      </c>
      <c r="AE1171" t="inlineStr" s="2909">
        <is>
          <t>20250401</t>
        </is>
      </c>
      <c r="AH1171" t="n" s="2909">
        <v>20</v>
      </c>
      <c r="AJ1171" t="n" s="2909">
        <v>41</v>
      </c>
      <c r="AP1171" t="n" s="2909">
        <v>280000</v>
      </c>
      <c r="DB1171" s="2909" t="str">
        <f>IF($A1171="","",IF($AE1171&amp;""&lt;&gt;'DB_設定'!$C$4,"対象外",IF($AH1171=20,IF(OR($AJ1171=10,$AJ1171=11,$AJ1171=18),"①病院一般",IF($AJ1171=41,"②病院短期","対象外")),IF($AH1171=5,IF($AJ1171=30,"③特定消防","対象外"),IF(OR($AJ1171=10,$AJ1171=11,$AJ1171=74),"④一般",IF(OR($AJ1171=41,$AJ1171=47),"⑤短期","対象外"))))))</f>
        <v>②病院短期</v>
      </c>
    </row>
    <row r="1172">
      <c r="A1172" t="n" s="2909">
        <v>31</v>
      </c>
      <c r="AA1172" t="n" s="2909">
        <v>21</v>
      </c>
      <c r="AB1172" t="inlineStr" s="2909">
        <is>
          <t>20240408</t>
        </is>
      </c>
      <c r="AD1172" t="n" s="2909">
        <v>12</v>
      </c>
      <c r="AE1172" t="inlineStr" s="2909">
        <is>
          <t>20250401</t>
        </is>
      </c>
      <c r="AH1172" t="n" s="2909">
        <v>20</v>
      </c>
      <c r="AJ1172" t="n" s="2909">
        <v>41</v>
      </c>
      <c r="AP1172" t="n" s="2909">
        <v>220000</v>
      </c>
      <c r="DB1172" s="2909" t="str">
        <f>IF($A1172="","",IF($AE1172&amp;""&lt;&gt;'DB_設定'!$C$4,"対象外",IF($AH1172=20,IF(OR($AJ1172=10,$AJ1172=11,$AJ1172=18),"①病院一般",IF($AJ1172=41,"②病院短期","対象外")),IF($AH1172=5,IF($AJ1172=30,"③特定消防","対象外"),IF(OR($AJ1172=10,$AJ1172=11,$AJ1172=74),"④一般",IF(OR($AJ1172=41,$AJ1172=47),"⑤短期","対象外"))))))</f>
        <v>②病院短期</v>
      </c>
    </row>
    <row r="1173">
      <c r="A1173" t="n" s="2909">
        <v>31</v>
      </c>
      <c r="AA1173" t="n" s="2909">
        <v>21</v>
      </c>
      <c r="AB1173" t="inlineStr" s="2909">
        <is>
          <t>20240408</t>
        </is>
      </c>
      <c r="AD1173" t="n" s="2909">
        <v>12</v>
      </c>
      <c r="AE1173" t="inlineStr" s="2909">
        <is>
          <t>20251001</t>
        </is>
      </c>
      <c r="AH1173" t="n" s="2909">
        <v>20</v>
      </c>
      <c r="AJ1173" t="n" s="2909">
        <v>41</v>
      </c>
      <c r="AP1173" t="n" s="2909">
        <v>190000</v>
      </c>
      <c r="DB1173" s="2909" t="str">
        <f>IF($A1173="","",IF($AE1173&amp;""&lt;&gt;'DB_設定'!$C$4,"対象外",IF($AH1173=20,IF(OR($AJ1173=10,$AJ1173=11,$AJ1173=18),"①病院一般",IF($AJ1173=41,"②病院短期","対象外")),IF($AH1173=5,IF($AJ1173=30,"③特定消防","対象外"),IF(OR($AJ1173=10,$AJ1173=11,$AJ1173=74),"④一般",IF(OR($AJ1173=41,$AJ1173=47),"⑤短期","対象外"))))))</f>
        <v>対象外</v>
      </c>
    </row>
    <row r="1174">
      <c r="A1174" t="n" s="2909">
        <v>31</v>
      </c>
      <c r="AA1174" t="n" s="2909">
        <v>21</v>
      </c>
      <c r="AB1174" t="inlineStr" s="2909">
        <is>
          <t>20240415</t>
        </is>
      </c>
      <c r="AD1174" t="n" s="2909">
        <v>12</v>
      </c>
      <c r="AE1174" t="inlineStr" s="2909">
        <is>
          <t>20250401</t>
        </is>
      </c>
      <c r="AH1174" t="n" s="2909">
        <v>20</v>
      </c>
      <c r="AJ1174" t="n" s="2909">
        <v>41</v>
      </c>
      <c r="AP1174" t="n" s="2909">
        <v>160000</v>
      </c>
      <c r="DB1174" s="2909" t="str">
        <f>IF($A1174="","",IF($AE1174&amp;""&lt;&gt;'DB_設定'!$C$4,"対象外",IF($AH1174=20,IF(OR($AJ1174=10,$AJ1174=11,$AJ1174=18),"①病院一般",IF($AJ1174=41,"②病院短期","対象外")),IF($AH1174=5,IF($AJ1174=30,"③特定消防","対象外"),IF(OR($AJ1174=10,$AJ1174=11,$AJ1174=74),"④一般",IF(OR($AJ1174=41,$AJ1174=47),"⑤短期","対象外"))))))</f>
        <v>②病院短期</v>
      </c>
    </row>
    <row r="1175">
      <c r="A1175" t="n" s="2909">
        <v>31</v>
      </c>
      <c r="AA1175" t="n" s="2909">
        <v>21</v>
      </c>
      <c r="AB1175" t="inlineStr" s="2909">
        <is>
          <t>20240411</t>
        </is>
      </c>
      <c r="AD1175" t="n" s="2909">
        <v>12</v>
      </c>
      <c r="AE1175" t="inlineStr" s="2909">
        <is>
          <t>20250401</t>
        </is>
      </c>
      <c r="AH1175" t="n" s="2909">
        <v>20</v>
      </c>
      <c r="AJ1175" t="n" s="2909">
        <v>41</v>
      </c>
      <c r="AP1175" t="n" s="2909">
        <v>220000</v>
      </c>
      <c r="DB1175" s="2909" t="str">
        <f>IF($A1175="","",IF($AE1175&amp;""&lt;&gt;'DB_設定'!$C$4,"対象外",IF($AH1175=20,IF(OR($AJ1175=10,$AJ1175=11,$AJ1175=18),"①病院一般",IF($AJ1175=41,"②病院短期","対象外")),IF($AH1175=5,IF($AJ1175=30,"③特定消防","対象外"),IF(OR($AJ1175=10,$AJ1175=11,$AJ1175=74),"④一般",IF(OR($AJ1175=41,$AJ1175=47),"⑤短期","対象外"))))))</f>
        <v>②病院短期</v>
      </c>
    </row>
    <row r="1176">
      <c r="A1176" t="n" s="2909">
        <v>31</v>
      </c>
      <c r="AA1176" t="n" s="2909">
        <v>21</v>
      </c>
      <c r="AB1176" t="inlineStr" s="2909">
        <is>
          <t>20240412</t>
        </is>
      </c>
      <c r="AD1176" t="n" s="2909">
        <v>12</v>
      </c>
      <c r="AE1176" t="inlineStr" s="2909">
        <is>
          <t>20250601</t>
        </is>
      </c>
      <c r="AH1176" t="n" s="2909">
        <v>20</v>
      </c>
      <c r="AJ1176" t="n" s="2909">
        <v>41</v>
      </c>
      <c r="AP1176" t="n" s="2909">
        <v>200000</v>
      </c>
      <c r="DB1176" s="2909" t="str">
        <f>IF($A1176="","",IF($AE1176&amp;""&lt;&gt;'DB_設定'!$C$4,"対象外",IF($AH1176=20,IF(OR($AJ1176=10,$AJ1176=11,$AJ1176=18),"①病院一般",IF($AJ1176=41,"②病院短期","対象外")),IF($AH1176=5,IF($AJ1176=30,"③特定消防","対象外"),IF(OR($AJ1176=10,$AJ1176=11,$AJ1176=74),"④一般",IF(OR($AJ1176=41,$AJ1176=47),"⑤短期","対象外"))))))</f>
        <v>対象外</v>
      </c>
    </row>
    <row r="1177">
      <c r="A1177" t="n" s="2909">
        <v>31</v>
      </c>
      <c r="AA1177" t="n" s="2909">
        <v>21</v>
      </c>
      <c r="AB1177" t="inlineStr" s="2909">
        <is>
          <t>20240501</t>
        </is>
      </c>
      <c r="AD1177" t="n" s="2909">
        <v>12</v>
      </c>
      <c r="AE1177" t="inlineStr" s="2909">
        <is>
          <t>20250401</t>
        </is>
      </c>
      <c r="AH1177" t="n" s="2909">
        <v>20</v>
      </c>
      <c r="AJ1177" t="n" s="2909">
        <v>41</v>
      </c>
      <c r="AP1177" t="n" s="2909">
        <v>134000</v>
      </c>
      <c r="DB1177" s="2909" t="str">
        <f>IF($A1177="","",IF($AE1177&amp;""&lt;&gt;'DB_設定'!$C$4,"対象外",IF($AH1177=20,IF(OR($AJ1177=10,$AJ1177=11,$AJ1177=18),"①病院一般",IF($AJ1177=41,"②病院短期","対象外")),IF($AH1177=5,IF($AJ1177=30,"③特定消防","対象外"),IF(OR($AJ1177=10,$AJ1177=11,$AJ1177=74),"④一般",IF(OR($AJ1177=41,$AJ1177=47),"⑤短期","対象外"))))))</f>
        <v>②病院短期</v>
      </c>
    </row>
    <row r="1178">
      <c r="A1178" t="n" s="2909">
        <v>31</v>
      </c>
      <c r="AA1178" t="n" s="2909">
        <v>21</v>
      </c>
      <c r="AB1178" t="inlineStr" s="2909">
        <is>
          <t>20240507</t>
        </is>
      </c>
      <c r="AD1178" t="n" s="2909">
        <v>12</v>
      </c>
      <c r="AE1178" t="inlineStr" s="2909">
        <is>
          <t>20250401</t>
        </is>
      </c>
      <c r="AH1178" t="n" s="2909">
        <v>20</v>
      </c>
      <c r="AJ1178" t="n" s="2909">
        <v>41</v>
      </c>
      <c r="AP1178" t="n" s="2909">
        <v>220000</v>
      </c>
      <c r="DB1178" s="2909" t="str">
        <f>IF($A1178="","",IF($AE1178&amp;""&lt;&gt;'DB_設定'!$C$4,"対象外",IF($AH1178=20,IF(OR($AJ1178=10,$AJ1178=11,$AJ1178=18),"①病院一般",IF($AJ1178=41,"②病院短期","対象外")),IF($AH1178=5,IF($AJ1178=30,"③特定消防","対象外"),IF(OR($AJ1178=10,$AJ1178=11,$AJ1178=74),"④一般",IF(OR($AJ1178=41,$AJ1178=47),"⑤短期","対象外"))))))</f>
        <v>②病院短期</v>
      </c>
    </row>
    <row r="1179">
      <c r="A1179" t="n" s="2909">
        <v>31</v>
      </c>
      <c r="AA1179" t="n" s="2909">
        <v>21</v>
      </c>
      <c r="AB1179" t="inlineStr" s="2909">
        <is>
          <t>20240501</t>
        </is>
      </c>
      <c r="AD1179" t="n" s="2909">
        <v>12</v>
      </c>
      <c r="AE1179" t="inlineStr" s="2909">
        <is>
          <t>20250401</t>
        </is>
      </c>
      <c r="AH1179" t="n" s="2909">
        <v>20</v>
      </c>
      <c r="AJ1179" t="n" s="2909">
        <v>41</v>
      </c>
      <c r="AP1179" t="n" s="2909">
        <v>170000</v>
      </c>
      <c r="DB1179" s="2909" t="str">
        <f>IF($A1179="","",IF($AE1179&amp;""&lt;&gt;'DB_設定'!$C$4,"対象外",IF($AH1179=20,IF(OR($AJ1179=10,$AJ1179=11,$AJ1179=18),"①病院一般",IF($AJ1179=41,"②病院短期","対象外")),IF($AH1179=5,IF($AJ1179=30,"③特定消防","対象外"),IF(OR($AJ1179=10,$AJ1179=11,$AJ1179=74),"④一般",IF(OR($AJ1179=41,$AJ1179=47),"⑤短期","対象外"))))))</f>
        <v>②病院短期</v>
      </c>
    </row>
    <row r="1180">
      <c r="A1180" t="n" s="2909">
        <v>31</v>
      </c>
      <c r="AA1180" t="n" s="2909">
        <v>21</v>
      </c>
      <c r="AB1180" t="inlineStr" s="2909">
        <is>
          <t>20240508</t>
        </is>
      </c>
      <c r="AD1180" t="n" s="2909">
        <v>12</v>
      </c>
      <c r="AE1180" t="inlineStr" s="2909">
        <is>
          <t>20250601</t>
        </is>
      </c>
      <c r="AH1180" t="n" s="2909">
        <v>20</v>
      </c>
      <c r="AJ1180" t="n" s="2909">
        <v>41</v>
      </c>
      <c r="AP1180" t="n" s="2909">
        <v>240000</v>
      </c>
      <c r="DB1180" s="2909" t="str">
        <f>IF($A1180="","",IF($AE1180&amp;""&lt;&gt;'DB_設定'!$C$4,"対象外",IF($AH1180=20,IF(OR($AJ1180=10,$AJ1180=11,$AJ1180=18),"①病院一般",IF($AJ1180=41,"②病院短期","対象外")),IF($AH1180=5,IF($AJ1180=30,"③特定消防","対象外"),IF(OR($AJ1180=10,$AJ1180=11,$AJ1180=74),"④一般",IF(OR($AJ1180=41,$AJ1180=47),"⑤短期","対象外"))))))</f>
        <v>対象外</v>
      </c>
    </row>
    <row r="1181">
      <c r="A1181" t="n" s="2909">
        <v>31</v>
      </c>
      <c r="AA1181" t="n" s="2909">
        <v>21</v>
      </c>
      <c r="AB1181" t="inlineStr" s="2909">
        <is>
          <t>20240501</t>
        </is>
      </c>
      <c r="AD1181" t="n" s="2909">
        <v>12</v>
      </c>
      <c r="AE1181" t="inlineStr" s="2909">
        <is>
          <t>20250601</t>
        </is>
      </c>
      <c r="AH1181" t="n" s="2909">
        <v>20</v>
      </c>
      <c r="AJ1181" t="n" s="2909">
        <v>41</v>
      </c>
      <c r="AP1181" t="n" s="2909">
        <v>240000</v>
      </c>
      <c r="DB1181" s="2909" t="str">
        <f>IF($A1181="","",IF($AE1181&amp;""&lt;&gt;'DB_設定'!$C$4,"対象外",IF($AH1181=20,IF(OR($AJ1181=10,$AJ1181=11,$AJ1181=18),"①病院一般",IF($AJ1181=41,"②病院短期","対象外")),IF($AH1181=5,IF($AJ1181=30,"③特定消防","対象外"),IF(OR($AJ1181=10,$AJ1181=11,$AJ1181=74),"④一般",IF(OR($AJ1181=41,$AJ1181=47),"⑤短期","対象外"))))))</f>
        <v>対象外</v>
      </c>
    </row>
    <row r="1182">
      <c r="A1182" t="n" s="2909">
        <v>31</v>
      </c>
      <c r="AA1182" t="n" s="2909">
        <v>21</v>
      </c>
      <c r="AB1182" t="inlineStr" s="2909">
        <is>
          <t>20240601</t>
        </is>
      </c>
      <c r="AD1182" t="n" s="2909">
        <v>12</v>
      </c>
      <c r="AE1182" t="inlineStr" s="2909">
        <is>
          <t>20250601</t>
        </is>
      </c>
      <c r="AH1182" t="n" s="2909">
        <v>20</v>
      </c>
      <c r="AJ1182" t="n" s="2909">
        <v>41</v>
      </c>
      <c r="AP1182" t="n" s="2909">
        <v>240000</v>
      </c>
      <c r="DB1182" s="2909" t="str">
        <f>IF($A1182="","",IF($AE1182&amp;""&lt;&gt;'DB_設定'!$C$4,"対象外",IF($AH1182=20,IF(OR($AJ1182=10,$AJ1182=11,$AJ1182=18),"①病院一般",IF($AJ1182=41,"②病院短期","対象外")),IF($AH1182=5,IF($AJ1182=30,"③特定消防","対象外"),IF(OR($AJ1182=10,$AJ1182=11,$AJ1182=74),"④一般",IF(OR($AJ1182=41,$AJ1182=47),"⑤短期","対象外"))))))</f>
        <v>対象外</v>
      </c>
    </row>
    <row r="1183">
      <c r="A1183" t="n" s="2909">
        <v>31</v>
      </c>
      <c r="AA1183" t="n" s="2909">
        <v>21</v>
      </c>
      <c r="AB1183" t="inlineStr" s="2909">
        <is>
          <t>20240507</t>
        </is>
      </c>
      <c r="AD1183" t="n" s="2909">
        <v>12</v>
      </c>
      <c r="AE1183" t="inlineStr" s="2909">
        <is>
          <t>20250401</t>
        </is>
      </c>
      <c r="AH1183" t="n" s="2909">
        <v>20</v>
      </c>
      <c r="AJ1183" t="n" s="2909">
        <v>41</v>
      </c>
      <c r="AP1183" t="n" s="2909">
        <v>170000</v>
      </c>
      <c r="DB1183" s="2909" t="str">
        <f>IF($A1183="","",IF($AE1183&amp;""&lt;&gt;'DB_設定'!$C$4,"対象外",IF($AH1183=20,IF(OR($AJ1183=10,$AJ1183=11,$AJ1183=18),"①病院一般",IF($AJ1183=41,"②病院短期","対象外")),IF($AH1183=5,IF($AJ1183=30,"③特定消防","対象外"),IF(OR($AJ1183=10,$AJ1183=11,$AJ1183=74),"④一般",IF(OR($AJ1183=41,$AJ1183=47),"⑤短期","対象外"))))))</f>
        <v>②病院短期</v>
      </c>
    </row>
    <row r="1184">
      <c r="A1184" t="n" s="2909">
        <v>31</v>
      </c>
      <c r="AA1184" t="n" s="2909">
        <v>21</v>
      </c>
      <c r="AB1184" t="inlineStr" s="2909">
        <is>
          <t>20240601</t>
        </is>
      </c>
      <c r="AD1184" t="n" s="2909">
        <v>12</v>
      </c>
      <c r="AE1184" t="inlineStr" s="2909">
        <is>
          <t>20250401</t>
        </is>
      </c>
      <c r="AH1184" t="n" s="2909">
        <v>20</v>
      </c>
      <c r="AJ1184" t="n" s="2909">
        <v>41</v>
      </c>
      <c r="AP1184" t="n" s="2909">
        <v>160000</v>
      </c>
      <c r="DB1184" s="2909" t="str">
        <f>IF($A1184="","",IF($AE1184&amp;""&lt;&gt;'DB_設定'!$C$4,"対象外",IF($AH1184=20,IF(OR($AJ1184=10,$AJ1184=11,$AJ1184=18),"①病院一般",IF($AJ1184=41,"②病院短期","対象外")),IF($AH1184=5,IF($AJ1184=30,"③特定消防","対象外"),IF(OR($AJ1184=10,$AJ1184=11,$AJ1184=74),"④一般",IF(OR($AJ1184=41,$AJ1184=47),"⑤短期","対象外"))))))</f>
        <v>②病院短期</v>
      </c>
    </row>
    <row r="1185">
      <c r="A1185" t="n" s="2909">
        <v>31</v>
      </c>
      <c r="AA1185" t="n" s="2909">
        <v>21</v>
      </c>
      <c r="AB1185" t="inlineStr" s="2909">
        <is>
          <t>20240617</t>
        </is>
      </c>
      <c r="AD1185" t="n" s="2909">
        <v>12</v>
      </c>
      <c r="AE1185" t="inlineStr" s="2909">
        <is>
          <t>20250901</t>
        </is>
      </c>
      <c r="AH1185" t="n" s="2909">
        <v>20</v>
      </c>
      <c r="AJ1185" t="n" s="2909">
        <v>41</v>
      </c>
      <c r="AP1185" t="n" s="2909">
        <v>260000</v>
      </c>
      <c r="DB1185" s="2909" t="str">
        <f>IF($A1185="","",IF($AE1185&amp;""&lt;&gt;'DB_設定'!$C$4,"対象外",IF($AH1185=20,IF(OR($AJ1185=10,$AJ1185=11,$AJ1185=18),"①病院一般",IF($AJ1185=41,"②病院短期","対象外")),IF($AH1185=5,IF($AJ1185=30,"③特定消防","対象外"),IF(OR($AJ1185=10,$AJ1185=11,$AJ1185=74),"④一般",IF(OR($AJ1185=41,$AJ1185=47),"⑤短期","対象外"))))))</f>
        <v>対象外</v>
      </c>
    </row>
    <row r="1186">
      <c r="A1186" t="n" s="2909">
        <v>31</v>
      </c>
      <c r="AA1186" t="n" s="2909">
        <v>21</v>
      </c>
      <c r="AB1186" t="inlineStr" s="2909">
        <is>
          <t>20240617</t>
        </is>
      </c>
      <c r="AD1186" t="n" s="2909">
        <v>12</v>
      </c>
      <c r="AE1186" t="inlineStr" s="2909">
        <is>
          <t>20250401</t>
        </is>
      </c>
      <c r="AH1186" t="n" s="2909">
        <v>20</v>
      </c>
      <c r="AJ1186" t="n" s="2909">
        <v>41</v>
      </c>
      <c r="AP1186" t="n" s="2909">
        <v>160000</v>
      </c>
      <c r="DB1186" s="2909" t="str">
        <f>IF($A1186="","",IF($AE1186&amp;""&lt;&gt;'DB_設定'!$C$4,"対象外",IF($AH1186=20,IF(OR($AJ1186=10,$AJ1186=11,$AJ1186=18),"①病院一般",IF($AJ1186=41,"②病院短期","対象外")),IF($AH1186=5,IF($AJ1186=30,"③特定消防","対象外"),IF(OR($AJ1186=10,$AJ1186=11,$AJ1186=74),"④一般",IF(OR($AJ1186=41,$AJ1186=47),"⑤短期","対象外"))))))</f>
        <v>②病院短期</v>
      </c>
    </row>
    <row r="1187">
      <c r="A1187" t="n" s="2909">
        <v>31</v>
      </c>
      <c r="AA1187" t="n" s="2909">
        <v>21</v>
      </c>
      <c r="AB1187" t="inlineStr" s="2909">
        <is>
          <t>20240613</t>
        </is>
      </c>
      <c r="AD1187" t="n" s="2909">
        <v>12</v>
      </c>
      <c r="AE1187" t="inlineStr" s="2909">
        <is>
          <t>20250401</t>
        </is>
      </c>
      <c r="AH1187" t="n" s="2909">
        <v>20</v>
      </c>
      <c r="AJ1187" t="n" s="2909">
        <v>41</v>
      </c>
      <c r="AP1187" t="n" s="2909">
        <v>160000</v>
      </c>
      <c r="DB1187" s="2909" t="str">
        <f>IF($A1187="","",IF($AE1187&amp;""&lt;&gt;'DB_設定'!$C$4,"対象外",IF($AH1187=20,IF(OR($AJ1187=10,$AJ1187=11,$AJ1187=18),"①病院一般",IF($AJ1187=41,"②病院短期","対象外")),IF($AH1187=5,IF($AJ1187=30,"③特定消防","対象外"),IF(OR($AJ1187=10,$AJ1187=11,$AJ1187=74),"④一般",IF(OR($AJ1187=41,$AJ1187=47),"⑤短期","対象外"))))))</f>
        <v>②病院短期</v>
      </c>
    </row>
    <row r="1188">
      <c r="A1188" t="n" s="2909">
        <v>31</v>
      </c>
      <c r="AA1188" t="n" s="2909">
        <v>21</v>
      </c>
      <c r="AB1188" t="inlineStr" s="2909">
        <is>
          <t>20240701</t>
        </is>
      </c>
      <c r="AD1188" t="n" s="2909">
        <v>12</v>
      </c>
      <c r="AE1188" t="inlineStr" s="2909">
        <is>
          <t>20251001</t>
        </is>
      </c>
      <c r="AH1188" t="n" s="2909">
        <v>20</v>
      </c>
      <c r="AJ1188" t="n" s="2909">
        <v>41</v>
      </c>
      <c r="AP1188" t="n" s="2909">
        <v>180000</v>
      </c>
      <c r="DB1188" s="2909" t="str">
        <f>IF($A1188="","",IF($AE1188&amp;""&lt;&gt;'DB_設定'!$C$4,"対象外",IF($AH1188=20,IF(OR($AJ1188=10,$AJ1188=11,$AJ1188=18),"①病院一般",IF($AJ1188=41,"②病院短期","対象外")),IF($AH1188=5,IF($AJ1188=30,"③特定消防","対象外"),IF(OR($AJ1188=10,$AJ1188=11,$AJ1188=74),"④一般",IF(OR($AJ1188=41,$AJ1188=47),"⑤短期","対象外"))))))</f>
        <v>対象外</v>
      </c>
    </row>
    <row r="1189">
      <c r="A1189" t="n" s="2909">
        <v>31</v>
      </c>
      <c r="AA1189" t="n" s="2909">
        <v>21</v>
      </c>
      <c r="AB1189" t="inlineStr" s="2909">
        <is>
          <t>20240701</t>
        </is>
      </c>
      <c r="AD1189" t="n" s="2909">
        <v>12</v>
      </c>
      <c r="AE1189" t="inlineStr" s="2909">
        <is>
          <t>20250401</t>
        </is>
      </c>
      <c r="AH1189" t="n" s="2909">
        <v>20</v>
      </c>
      <c r="AJ1189" t="n" s="2909">
        <v>41</v>
      </c>
      <c r="AP1189" t="n" s="2909">
        <v>280000</v>
      </c>
      <c r="DB1189" s="2909" t="str">
        <f>IF($A1189="","",IF($AE1189&amp;""&lt;&gt;'DB_設定'!$C$4,"対象外",IF($AH1189=20,IF(OR($AJ1189=10,$AJ1189=11,$AJ1189=18),"①病院一般",IF($AJ1189=41,"②病院短期","対象外")),IF($AH1189=5,IF($AJ1189=30,"③特定消防","対象外"),IF(OR($AJ1189=10,$AJ1189=11,$AJ1189=74),"④一般",IF(OR($AJ1189=41,$AJ1189=47),"⑤短期","対象外"))))))</f>
        <v>②病院短期</v>
      </c>
    </row>
    <row r="1190">
      <c r="A1190" t="n" s="2909">
        <v>31</v>
      </c>
      <c r="AA1190" t="n" s="2909">
        <v>21</v>
      </c>
      <c r="AB1190" t="inlineStr" s="2909">
        <is>
          <t>20240701</t>
        </is>
      </c>
      <c r="AD1190" t="n" s="2909">
        <v>12</v>
      </c>
      <c r="AE1190" t="inlineStr" s="2909">
        <is>
          <t>20250401</t>
        </is>
      </c>
      <c r="AH1190" t="n" s="2909">
        <v>20</v>
      </c>
      <c r="AJ1190" t="n" s="2909">
        <v>41</v>
      </c>
      <c r="AP1190" t="n" s="2909">
        <v>170000</v>
      </c>
      <c r="DB1190" s="2909" t="str">
        <f>IF($A1190="","",IF($AE1190&amp;""&lt;&gt;'DB_設定'!$C$4,"対象外",IF($AH1190=20,IF(OR($AJ1190=10,$AJ1190=11,$AJ1190=18),"①病院一般",IF($AJ1190=41,"②病院短期","対象外")),IF($AH1190=5,IF($AJ1190=30,"③特定消防","対象外"),IF(OR($AJ1190=10,$AJ1190=11,$AJ1190=74),"④一般",IF(OR($AJ1190=41,$AJ1190=47),"⑤短期","対象外"))))))</f>
        <v>②病院短期</v>
      </c>
    </row>
    <row r="1191">
      <c r="A1191" t="n" s="2909">
        <v>31</v>
      </c>
      <c r="AA1191" t="n" s="2909">
        <v>21</v>
      </c>
      <c r="AB1191" t="inlineStr" s="2909">
        <is>
          <t>20240701</t>
        </is>
      </c>
      <c r="AD1191" t="n" s="2909">
        <v>12</v>
      </c>
      <c r="AE1191" t="inlineStr" s="2909">
        <is>
          <t>20250401</t>
        </is>
      </c>
      <c r="AH1191" t="n" s="2909">
        <v>20</v>
      </c>
      <c r="AJ1191" t="n" s="2909">
        <v>41</v>
      </c>
      <c r="AP1191" t="n" s="2909">
        <v>142000</v>
      </c>
      <c r="DB1191" s="2909" t="str">
        <f>IF($A1191="","",IF($AE1191&amp;""&lt;&gt;'DB_設定'!$C$4,"対象外",IF($AH1191=20,IF(OR($AJ1191=10,$AJ1191=11,$AJ1191=18),"①病院一般",IF($AJ1191=41,"②病院短期","対象外")),IF($AH1191=5,IF($AJ1191=30,"③特定消防","対象外"),IF(OR($AJ1191=10,$AJ1191=11,$AJ1191=74),"④一般",IF(OR($AJ1191=41,$AJ1191=47),"⑤短期","対象外"))))))</f>
        <v>②病院短期</v>
      </c>
    </row>
    <row r="1192">
      <c r="A1192" t="n" s="2909">
        <v>31</v>
      </c>
      <c r="AA1192" t="n" s="2909">
        <v>21</v>
      </c>
      <c r="AB1192" t="inlineStr" s="2909">
        <is>
          <t>20240701</t>
        </is>
      </c>
      <c r="AD1192" t="n" s="2909">
        <v>12</v>
      </c>
      <c r="AE1192" t="inlineStr" s="2909">
        <is>
          <t>20250401</t>
        </is>
      </c>
      <c r="AH1192" t="n" s="2909">
        <v>20</v>
      </c>
      <c r="AJ1192" t="n" s="2909">
        <v>41</v>
      </c>
      <c r="AP1192" t="n" s="2909">
        <v>170000</v>
      </c>
      <c r="DB1192" s="2909" t="str">
        <f>IF($A1192="","",IF($AE1192&amp;""&lt;&gt;'DB_設定'!$C$4,"対象外",IF($AH1192=20,IF(OR($AJ1192=10,$AJ1192=11,$AJ1192=18),"①病院一般",IF($AJ1192=41,"②病院短期","対象外")),IF($AH1192=5,IF($AJ1192=30,"③特定消防","対象外"),IF(OR($AJ1192=10,$AJ1192=11,$AJ1192=74),"④一般",IF(OR($AJ1192=41,$AJ1192=47),"⑤短期","対象外"))))))</f>
        <v>②病院短期</v>
      </c>
    </row>
    <row r="1193">
      <c r="A1193" t="n" s="2909">
        <v>31</v>
      </c>
      <c r="AA1193" t="n" s="2909">
        <v>21</v>
      </c>
      <c r="AB1193" t="inlineStr" s="2909">
        <is>
          <t>20240703</t>
        </is>
      </c>
      <c r="AD1193" t="n" s="2909">
        <v>12</v>
      </c>
      <c r="AE1193" t="inlineStr" s="2909">
        <is>
          <t>20250401</t>
        </is>
      </c>
      <c r="AH1193" t="n" s="2909">
        <v>20</v>
      </c>
      <c r="AJ1193" t="n" s="2909">
        <v>41</v>
      </c>
      <c r="AP1193" t="n" s="2909">
        <v>280000</v>
      </c>
      <c r="DB1193" s="2909" t="str">
        <f>IF($A1193="","",IF($AE1193&amp;""&lt;&gt;'DB_設定'!$C$4,"対象外",IF($AH1193=20,IF(OR($AJ1193=10,$AJ1193=11,$AJ1193=18),"①病院一般",IF($AJ1193=41,"②病院短期","対象外")),IF($AH1193=5,IF($AJ1193=30,"③特定消防","対象外"),IF(OR($AJ1193=10,$AJ1193=11,$AJ1193=74),"④一般",IF(OR($AJ1193=41,$AJ1193=47),"⑤短期","対象外"))))))</f>
        <v>②病院短期</v>
      </c>
    </row>
    <row r="1194">
      <c r="A1194" t="n" s="2909">
        <v>31</v>
      </c>
      <c r="AA1194" t="n" s="2909">
        <v>21</v>
      </c>
      <c r="AB1194" t="inlineStr" s="2909">
        <is>
          <t>20240709</t>
        </is>
      </c>
      <c r="AD1194" t="n" s="2909">
        <v>12</v>
      </c>
      <c r="AE1194" t="inlineStr" s="2909">
        <is>
          <t>20250401</t>
        </is>
      </c>
      <c r="AH1194" t="n" s="2909">
        <v>20</v>
      </c>
      <c r="AJ1194" t="n" s="2909">
        <v>41</v>
      </c>
      <c r="AP1194" t="n" s="2909">
        <v>180000</v>
      </c>
      <c r="DB1194" s="2909" t="str">
        <f>IF($A1194="","",IF($AE1194&amp;""&lt;&gt;'DB_設定'!$C$4,"対象外",IF($AH1194=20,IF(OR($AJ1194=10,$AJ1194=11,$AJ1194=18),"①病院一般",IF($AJ1194=41,"②病院短期","対象外")),IF($AH1194=5,IF($AJ1194=30,"③特定消防","対象外"),IF(OR($AJ1194=10,$AJ1194=11,$AJ1194=74),"④一般",IF(OR($AJ1194=41,$AJ1194=47),"⑤短期","対象外"))))))</f>
        <v>②病院短期</v>
      </c>
    </row>
    <row r="1195">
      <c r="A1195" t="n" s="2909">
        <v>31</v>
      </c>
      <c r="AA1195" t="n" s="2909">
        <v>21</v>
      </c>
      <c r="AB1195" t="inlineStr" s="2909">
        <is>
          <t>20240807</t>
        </is>
      </c>
      <c r="AD1195" t="n" s="2909">
        <v>12</v>
      </c>
      <c r="AE1195" t="inlineStr" s="2909">
        <is>
          <t>20250401</t>
        </is>
      </c>
      <c r="AH1195" t="n" s="2909">
        <v>20</v>
      </c>
      <c r="AJ1195" t="n" s="2909">
        <v>41</v>
      </c>
      <c r="AP1195" t="n" s="2909">
        <v>220000</v>
      </c>
      <c r="DB1195" s="2909" t="str">
        <f>IF($A1195="","",IF($AE1195&amp;""&lt;&gt;'DB_設定'!$C$4,"対象外",IF($AH1195=20,IF(OR($AJ1195=10,$AJ1195=11,$AJ1195=18),"①病院一般",IF($AJ1195=41,"②病院短期","対象外")),IF($AH1195=5,IF($AJ1195=30,"③特定消防","対象外"),IF(OR($AJ1195=10,$AJ1195=11,$AJ1195=74),"④一般",IF(OR($AJ1195=41,$AJ1195=47),"⑤短期","対象外"))))))</f>
        <v>②病院短期</v>
      </c>
    </row>
    <row r="1196">
      <c r="A1196" t="n" s="2909">
        <v>31</v>
      </c>
      <c r="AA1196" t="n" s="2909">
        <v>21</v>
      </c>
      <c r="AB1196" t="inlineStr" s="2909">
        <is>
          <t>20240902</t>
        </is>
      </c>
      <c r="AD1196" t="n" s="2909">
        <v>12</v>
      </c>
      <c r="AE1196" t="inlineStr" s="2909">
        <is>
          <t>20250401</t>
        </is>
      </c>
      <c r="AH1196" t="n" s="2909">
        <v>20</v>
      </c>
      <c r="AJ1196" t="n" s="2909">
        <v>41</v>
      </c>
      <c r="AP1196" t="n" s="2909">
        <v>170000</v>
      </c>
      <c r="DB1196" s="2909" t="str">
        <f>IF($A1196="","",IF($AE1196&amp;""&lt;&gt;'DB_設定'!$C$4,"対象外",IF($AH1196=20,IF(OR($AJ1196=10,$AJ1196=11,$AJ1196=18),"①病院一般",IF($AJ1196=41,"②病院短期","対象外")),IF($AH1196=5,IF($AJ1196=30,"③特定消防","対象外"),IF(OR($AJ1196=10,$AJ1196=11,$AJ1196=74),"④一般",IF(OR($AJ1196=41,$AJ1196=47),"⑤短期","対象外"))))))</f>
        <v>②病院短期</v>
      </c>
    </row>
    <row r="1197">
      <c r="A1197" t="n" s="2909">
        <v>31</v>
      </c>
      <c r="AA1197" t="n" s="2909">
        <v>21</v>
      </c>
      <c r="AB1197" t="inlineStr" s="2909">
        <is>
          <t>20241001</t>
        </is>
      </c>
      <c r="AD1197" t="n" s="2909">
        <v>12</v>
      </c>
      <c r="AE1197" t="inlineStr" s="2909">
        <is>
          <t>20250401</t>
        </is>
      </c>
      <c r="AH1197" t="n" s="2909">
        <v>20</v>
      </c>
      <c r="AJ1197" t="n" s="2909">
        <v>41</v>
      </c>
      <c r="AP1197" t="n" s="2909">
        <v>280000</v>
      </c>
      <c r="DB1197" s="2909" t="str">
        <f>IF($A1197="","",IF($AE1197&amp;""&lt;&gt;'DB_設定'!$C$4,"対象外",IF($AH1197=20,IF(OR($AJ1197=10,$AJ1197=11,$AJ1197=18),"①病院一般",IF($AJ1197=41,"②病院短期","対象外")),IF($AH1197=5,IF($AJ1197=30,"③特定消防","対象外"),IF(OR($AJ1197=10,$AJ1197=11,$AJ1197=74),"④一般",IF(OR($AJ1197=41,$AJ1197=47),"⑤短期","対象外"))))))</f>
        <v>②病院短期</v>
      </c>
    </row>
    <row r="1198">
      <c r="A1198" t="n" s="2909">
        <v>31</v>
      </c>
      <c r="AA1198" t="n" s="2909">
        <v>21</v>
      </c>
      <c r="AB1198" t="inlineStr" s="2909">
        <is>
          <t>20240924</t>
        </is>
      </c>
      <c r="AD1198" t="n" s="2909">
        <v>12</v>
      </c>
      <c r="AE1198" t="inlineStr" s="2909">
        <is>
          <t>20251001</t>
        </is>
      </c>
      <c r="AH1198" t="n" s="2909">
        <v>20</v>
      </c>
      <c r="AJ1198" t="n" s="2909">
        <v>41</v>
      </c>
      <c r="AP1198" t="n" s="2909">
        <v>360000</v>
      </c>
      <c r="DB1198" s="2909" t="str">
        <f>IF($A1198="","",IF($AE1198&amp;""&lt;&gt;'DB_設定'!$C$4,"対象外",IF($AH1198=20,IF(OR($AJ1198=10,$AJ1198=11,$AJ1198=18),"①病院一般",IF($AJ1198=41,"②病院短期","対象外")),IF($AH1198=5,IF($AJ1198=30,"③特定消防","対象外"),IF(OR($AJ1198=10,$AJ1198=11,$AJ1198=74),"④一般",IF(OR($AJ1198=41,$AJ1198=47),"⑤短期","対象外"))))))</f>
        <v>対象外</v>
      </c>
    </row>
    <row r="1199">
      <c r="A1199" t="n" s="2909">
        <v>31</v>
      </c>
      <c r="AA1199" t="n" s="2909">
        <v>21</v>
      </c>
      <c r="AB1199" t="inlineStr" s="2909">
        <is>
          <t>20241001</t>
        </is>
      </c>
      <c r="AD1199" t="n" s="2909">
        <v>12</v>
      </c>
      <c r="AE1199" t="inlineStr" s="2909">
        <is>
          <t>20250401</t>
        </is>
      </c>
      <c r="AH1199" t="n" s="2909">
        <v>20</v>
      </c>
      <c r="AJ1199" t="n" s="2909">
        <v>41</v>
      </c>
      <c r="AP1199" t="n" s="2909">
        <v>170000</v>
      </c>
      <c r="DB1199" s="2909" t="str">
        <f>IF($A1199="","",IF($AE1199&amp;""&lt;&gt;'DB_設定'!$C$4,"対象外",IF($AH1199=20,IF(OR($AJ1199=10,$AJ1199=11,$AJ1199=18),"①病院一般",IF($AJ1199=41,"②病院短期","対象外")),IF($AH1199=5,IF($AJ1199=30,"③特定消防","対象外"),IF(OR($AJ1199=10,$AJ1199=11,$AJ1199=74),"④一般",IF(OR($AJ1199=41,$AJ1199=47),"⑤短期","対象外"))))))</f>
        <v>②病院短期</v>
      </c>
    </row>
    <row r="1200">
      <c r="A1200" t="n" s="2909">
        <v>31</v>
      </c>
      <c r="AA1200" t="n" s="2909">
        <v>21</v>
      </c>
      <c r="AB1200" t="inlineStr" s="2909">
        <is>
          <t>20241001</t>
        </is>
      </c>
      <c r="AD1200" t="n" s="2909">
        <v>12</v>
      </c>
      <c r="AE1200" t="inlineStr" s="2909">
        <is>
          <t>20250401</t>
        </is>
      </c>
      <c r="AH1200" t="n" s="2909">
        <v>20</v>
      </c>
      <c r="AJ1200" t="n" s="2909">
        <v>41</v>
      </c>
      <c r="AP1200" t="n" s="2909">
        <v>160000</v>
      </c>
      <c r="DB1200" s="2909" t="str">
        <f>IF($A1200="","",IF($AE1200&amp;""&lt;&gt;'DB_設定'!$C$4,"対象外",IF($AH1200=20,IF(OR($AJ1200=10,$AJ1200=11,$AJ1200=18),"①病院一般",IF($AJ1200=41,"②病院短期","対象外")),IF($AH1200=5,IF($AJ1200=30,"③特定消防","対象外"),IF(OR($AJ1200=10,$AJ1200=11,$AJ1200=74),"④一般",IF(OR($AJ1200=41,$AJ1200=47),"⑤短期","対象外"))))))</f>
        <v>②病院短期</v>
      </c>
    </row>
    <row r="1201">
      <c r="A1201" t="n" s="2909">
        <v>31</v>
      </c>
      <c r="AA1201" t="n" s="2909">
        <v>21</v>
      </c>
      <c r="AB1201" t="inlineStr" s="2909">
        <is>
          <t>20241001</t>
        </is>
      </c>
      <c r="AD1201" t="n" s="2909">
        <v>12</v>
      </c>
      <c r="AE1201" t="inlineStr" s="2909">
        <is>
          <t>20250401</t>
        </is>
      </c>
      <c r="AH1201" t="n" s="2909">
        <v>20</v>
      </c>
      <c r="AJ1201" t="n" s="2909">
        <v>41</v>
      </c>
      <c r="AP1201" t="n" s="2909">
        <v>240000</v>
      </c>
      <c r="DB1201" s="2909" t="str">
        <f>IF($A1201="","",IF($AE1201&amp;""&lt;&gt;'DB_設定'!$C$4,"対象外",IF($AH1201=20,IF(OR($AJ1201=10,$AJ1201=11,$AJ1201=18),"①病院一般",IF($AJ1201=41,"②病院短期","対象外")),IF($AH1201=5,IF($AJ1201=30,"③特定消防","対象外"),IF(OR($AJ1201=10,$AJ1201=11,$AJ1201=74),"④一般",IF(OR($AJ1201=41,$AJ1201=47),"⑤短期","対象外"))))))</f>
        <v>②病院短期</v>
      </c>
    </row>
    <row r="1202">
      <c r="A1202" t="n" s="2909">
        <v>31</v>
      </c>
      <c r="AA1202" t="n" s="2909">
        <v>21</v>
      </c>
      <c r="AB1202" t="inlineStr" s="2909">
        <is>
          <t>20241101</t>
        </is>
      </c>
      <c r="AD1202" t="n" s="2909">
        <v>12</v>
      </c>
      <c r="AE1202" t="inlineStr" s="2909">
        <is>
          <t>20251001</t>
        </is>
      </c>
      <c r="AH1202" t="n" s="2909">
        <v>20</v>
      </c>
      <c r="AJ1202" t="n" s="2909">
        <v>41</v>
      </c>
      <c r="AP1202" t="n" s="2909">
        <v>240000</v>
      </c>
      <c r="DB1202" s="2909" t="str">
        <f>IF($A1202="","",IF($AE1202&amp;""&lt;&gt;'DB_設定'!$C$4,"対象外",IF($AH1202=20,IF(OR($AJ1202=10,$AJ1202=11,$AJ1202=18),"①病院一般",IF($AJ1202=41,"②病院短期","対象外")),IF($AH1202=5,IF($AJ1202=30,"③特定消防","対象外"),IF(OR($AJ1202=10,$AJ1202=11,$AJ1202=74),"④一般",IF(OR($AJ1202=41,$AJ1202=47),"⑤短期","対象外"))))))</f>
        <v>対象外</v>
      </c>
    </row>
    <row r="1203">
      <c r="A1203" t="n" s="2909">
        <v>31</v>
      </c>
      <c r="AA1203" t="n" s="2909">
        <v>21</v>
      </c>
      <c r="AB1203" t="inlineStr" s="2909">
        <is>
          <t>20241101</t>
        </is>
      </c>
      <c r="AD1203" t="n" s="2909">
        <v>12</v>
      </c>
      <c r="AE1203" t="inlineStr" s="2909">
        <is>
          <t>20251001</t>
        </is>
      </c>
      <c r="AH1203" t="n" s="2909">
        <v>20</v>
      </c>
      <c r="AJ1203" t="n" s="2909">
        <v>41</v>
      </c>
      <c r="AP1203" t="n" s="2909">
        <v>300000</v>
      </c>
      <c r="DB1203" s="2909" t="str">
        <f>IF($A1203="","",IF($AE1203&amp;""&lt;&gt;'DB_設定'!$C$4,"対象外",IF($AH1203=20,IF(OR($AJ1203=10,$AJ1203=11,$AJ1203=18),"①病院一般",IF($AJ1203=41,"②病院短期","対象外")),IF($AH1203=5,IF($AJ1203=30,"③特定消防","対象外"),IF(OR($AJ1203=10,$AJ1203=11,$AJ1203=74),"④一般",IF(OR($AJ1203=41,$AJ1203=47),"⑤短期","対象外"))))))</f>
        <v>対象外</v>
      </c>
    </row>
    <row r="1204">
      <c r="A1204" t="n" s="2909">
        <v>31</v>
      </c>
      <c r="AA1204" t="n" s="2909">
        <v>21</v>
      </c>
      <c r="AB1204" t="inlineStr" s="2909">
        <is>
          <t>20241105</t>
        </is>
      </c>
      <c r="AD1204" t="n" s="2909">
        <v>12</v>
      </c>
      <c r="AE1204" t="inlineStr" s="2909">
        <is>
          <t>20250401</t>
        </is>
      </c>
      <c r="AH1204" t="n" s="2909">
        <v>20</v>
      </c>
      <c r="AJ1204" t="n" s="2909">
        <v>41</v>
      </c>
      <c r="AP1204" t="n" s="2909">
        <v>142000</v>
      </c>
      <c r="DB1204" s="2909" t="str">
        <f>IF($A1204="","",IF($AE1204&amp;""&lt;&gt;'DB_設定'!$C$4,"対象外",IF($AH1204=20,IF(OR($AJ1204=10,$AJ1204=11,$AJ1204=18),"①病院一般",IF($AJ1204=41,"②病院短期","対象外")),IF($AH1204=5,IF($AJ1204=30,"③特定消防","対象外"),IF(OR($AJ1204=10,$AJ1204=11,$AJ1204=74),"④一般",IF(OR($AJ1204=41,$AJ1204=47),"⑤短期","対象外"))))))</f>
        <v>②病院短期</v>
      </c>
    </row>
    <row r="1205">
      <c r="A1205" t="n" s="2909">
        <v>31</v>
      </c>
      <c r="AA1205" t="n" s="2909">
        <v>21</v>
      </c>
      <c r="AB1205" t="inlineStr" s="2909">
        <is>
          <t>20241120</t>
        </is>
      </c>
      <c r="AD1205" t="n" s="2909">
        <v>12</v>
      </c>
      <c r="AE1205" t="inlineStr" s="2909">
        <is>
          <t>20251001</t>
        </is>
      </c>
      <c r="AH1205" t="n" s="2909">
        <v>20</v>
      </c>
      <c r="AJ1205" t="n" s="2909">
        <v>41</v>
      </c>
      <c r="AP1205" t="n" s="2909">
        <v>170000</v>
      </c>
      <c r="DB1205" s="2909" t="str">
        <f>IF($A1205="","",IF($AE1205&amp;""&lt;&gt;'DB_設定'!$C$4,"対象外",IF($AH1205=20,IF(OR($AJ1205=10,$AJ1205=11,$AJ1205=18),"①病院一般",IF($AJ1205=41,"②病院短期","対象外")),IF($AH1205=5,IF($AJ1205=30,"③特定消防","対象外"),IF(OR($AJ1205=10,$AJ1205=11,$AJ1205=74),"④一般",IF(OR($AJ1205=41,$AJ1205=47),"⑤短期","対象外"))))))</f>
        <v>対象外</v>
      </c>
    </row>
    <row r="1206">
      <c r="A1206" t="n" s="2909">
        <v>31</v>
      </c>
      <c r="AA1206" t="n" s="2909">
        <v>21</v>
      </c>
      <c r="AB1206" t="inlineStr" s="2909">
        <is>
          <t>20241205</t>
        </is>
      </c>
      <c r="AD1206" t="n" s="2909">
        <v>12</v>
      </c>
      <c r="AE1206" t="inlineStr" s="2909">
        <is>
          <t>20251001</t>
        </is>
      </c>
      <c r="AH1206" t="n" s="2909">
        <v>20</v>
      </c>
      <c r="AJ1206" t="n" s="2909">
        <v>41</v>
      </c>
      <c r="AP1206" t="n" s="2909">
        <v>200000</v>
      </c>
      <c r="DB1206" s="2909" t="str">
        <f>IF($A1206="","",IF($AE1206&amp;""&lt;&gt;'DB_設定'!$C$4,"対象外",IF($AH1206=20,IF(OR($AJ1206=10,$AJ1206=11,$AJ1206=18),"①病院一般",IF($AJ1206=41,"②病院短期","対象外")),IF($AH1206=5,IF($AJ1206=30,"③特定消防","対象外"),IF(OR($AJ1206=10,$AJ1206=11,$AJ1206=74),"④一般",IF(OR($AJ1206=41,$AJ1206=47),"⑤短期","対象外"))))))</f>
        <v>対象外</v>
      </c>
    </row>
    <row r="1207">
      <c r="A1207" t="n" s="2909">
        <v>31</v>
      </c>
      <c r="AA1207" t="n" s="2909">
        <v>21</v>
      </c>
      <c r="AB1207" t="inlineStr" s="2909">
        <is>
          <t>20250106</t>
        </is>
      </c>
      <c r="AD1207" t="n" s="2909">
        <v>12</v>
      </c>
      <c r="AE1207" t="inlineStr" s="2909">
        <is>
          <t>20251001</t>
        </is>
      </c>
      <c r="AH1207" t="n" s="2909">
        <v>20</v>
      </c>
      <c r="AJ1207" t="n" s="2909">
        <v>41</v>
      </c>
      <c r="AP1207" t="n" s="2909">
        <v>180000</v>
      </c>
      <c r="DB1207" s="2909" t="str">
        <f>IF($A1207="","",IF($AE1207&amp;""&lt;&gt;'DB_設定'!$C$4,"対象外",IF($AH1207=20,IF(OR($AJ1207=10,$AJ1207=11,$AJ1207=18),"①病院一般",IF($AJ1207=41,"②病院短期","対象外")),IF($AH1207=5,IF($AJ1207=30,"③特定消防","対象外"),IF(OR($AJ1207=10,$AJ1207=11,$AJ1207=74),"④一般",IF(OR($AJ1207=41,$AJ1207=47),"⑤短期","対象外"))))))</f>
        <v>対象外</v>
      </c>
    </row>
    <row r="1208">
      <c r="A1208" t="n" s="2909">
        <v>31</v>
      </c>
      <c r="AA1208" t="n" s="2909">
        <v>21</v>
      </c>
      <c r="AB1208" t="inlineStr" s="2909">
        <is>
          <t>20250106</t>
        </is>
      </c>
      <c r="AD1208" t="n" s="2909">
        <v>12</v>
      </c>
      <c r="AE1208" t="inlineStr" s="2909">
        <is>
          <t>20251001</t>
        </is>
      </c>
      <c r="AH1208" t="n" s="2909">
        <v>20</v>
      </c>
      <c r="AJ1208" t="n" s="2909">
        <v>41</v>
      </c>
      <c r="AP1208" t="n" s="2909">
        <v>142000</v>
      </c>
      <c r="DB1208" s="2909" t="str">
        <f>IF($A1208="","",IF($AE1208&amp;""&lt;&gt;'DB_設定'!$C$4,"対象外",IF($AH1208=20,IF(OR($AJ1208=10,$AJ1208=11,$AJ1208=18),"①病院一般",IF($AJ1208=41,"②病院短期","対象外")),IF($AH1208=5,IF($AJ1208=30,"③特定消防","対象外"),IF(OR($AJ1208=10,$AJ1208=11,$AJ1208=74),"④一般",IF(OR($AJ1208=41,$AJ1208=47),"⑤短期","対象外"))))))</f>
        <v>対象外</v>
      </c>
    </row>
    <row r="1209">
      <c r="A1209" t="n" s="2909">
        <v>31</v>
      </c>
      <c r="AA1209" t="n" s="2909">
        <v>21</v>
      </c>
      <c r="AB1209" t="inlineStr" s="2909">
        <is>
          <t>20250213</t>
        </is>
      </c>
      <c r="AD1209" t="n" s="2909">
        <v>12</v>
      </c>
      <c r="AE1209" t="inlineStr" s="2909">
        <is>
          <t>20250913</t>
        </is>
      </c>
      <c r="AH1209" t="n" s="2909">
        <v>20</v>
      </c>
      <c r="AJ1209" t="n" s="2909">
        <v>41</v>
      </c>
      <c r="AP1209" t="n" s="2909">
        <v>160000</v>
      </c>
      <c r="DB1209" s="2909" t="str">
        <f>IF($A1209="","",IF($AE1209&amp;""&lt;&gt;'DB_設定'!$C$4,"対象外",IF($AH1209=20,IF(OR($AJ1209=10,$AJ1209=11,$AJ1209=18),"①病院一般",IF($AJ1209=41,"②病院短期","対象外")),IF($AH1209=5,IF($AJ1209=30,"③特定消防","対象外"),IF(OR($AJ1209=10,$AJ1209=11,$AJ1209=74),"④一般",IF(OR($AJ1209=41,$AJ1209=47),"⑤短期","対象外"))))))</f>
        <v>対象外</v>
      </c>
    </row>
    <row r="1210">
      <c r="A1210" t="n" s="2909">
        <v>31</v>
      </c>
      <c r="AA1210" t="n" s="2909">
        <v>21</v>
      </c>
      <c r="AB1210" t="inlineStr" s="2909">
        <is>
          <t>20250301</t>
        </is>
      </c>
      <c r="AD1210" t="n" s="2909">
        <v>12</v>
      </c>
      <c r="AE1210" t="inlineStr" s="2909">
        <is>
          <t>20251001</t>
        </is>
      </c>
      <c r="AH1210" t="n" s="2909">
        <v>20</v>
      </c>
      <c r="AJ1210" t="n" s="2909">
        <v>41</v>
      </c>
      <c r="AP1210" t="n" s="2909">
        <v>240000</v>
      </c>
      <c r="DB1210" s="2909" t="str">
        <f>IF($A1210="","",IF($AE1210&amp;""&lt;&gt;'DB_設定'!$C$4,"対象外",IF($AH1210=20,IF(OR($AJ1210=10,$AJ1210=11,$AJ1210=18),"①病院一般",IF($AJ1210=41,"②病院短期","対象外")),IF($AH1210=5,IF($AJ1210=30,"③特定消防","対象外"),IF(OR($AJ1210=10,$AJ1210=11,$AJ1210=74),"④一般",IF(OR($AJ1210=41,$AJ1210=47),"⑤短期","対象外"))))))</f>
        <v>対象外</v>
      </c>
    </row>
    <row r="1211">
      <c r="A1211" t="n" s="2909">
        <v>31</v>
      </c>
      <c r="AA1211" t="n" s="2909">
        <v>21</v>
      </c>
      <c r="AB1211" t="inlineStr" s="2909">
        <is>
          <t>20250304</t>
        </is>
      </c>
      <c r="AD1211" t="n" s="2909">
        <v>12</v>
      </c>
      <c r="AE1211" t="inlineStr" s="2909">
        <is>
          <t>20250913</t>
        </is>
      </c>
      <c r="AH1211" t="n" s="2909">
        <v>20</v>
      </c>
      <c r="AJ1211" t="n" s="2909">
        <v>41</v>
      </c>
      <c r="AP1211" t="n" s="2909">
        <v>300000</v>
      </c>
      <c r="DB1211" s="2909" t="str">
        <f>IF($A1211="","",IF($AE1211&amp;""&lt;&gt;'DB_設定'!$C$4,"対象外",IF($AH1211=20,IF(OR($AJ1211=10,$AJ1211=11,$AJ1211=18),"①病院一般",IF($AJ1211=41,"②病院短期","対象外")),IF($AH1211=5,IF($AJ1211=30,"③特定消防","対象外"),IF(OR($AJ1211=10,$AJ1211=11,$AJ1211=74),"④一般",IF(OR($AJ1211=41,$AJ1211=47),"⑤短期","対象外"))))))</f>
        <v>対象外</v>
      </c>
    </row>
    <row r="1212">
      <c r="A1212" t="n" s="2909">
        <v>31</v>
      </c>
      <c r="AA1212" t="n" s="2909">
        <v>21</v>
      </c>
      <c r="AB1212" t="inlineStr" s="2909">
        <is>
          <t>20250303</t>
        </is>
      </c>
      <c r="AD1212" t="n" s="2909">
        <v>12</v>
      </c>
      <c r="AE1212" t="inlineStr" s="2909">
        <is>
          <t>20251001</t>
        </is>
      </c>
      <c r="AH1212" t="n" s="2909">
        <v>20</v>
      </c>
      <c r="AJ1212" t="n" s="2909">
        <v>41</v>
      </c>
      <c r="AP1212" t="n" s="2909">
        <v>180000</v>
      </c>
      <c r="DB1212" s="2909" t="str">
        <f>IF($A1212="","",IF($AE1212&amp;""&lt;&gt;'DB_設定'!$C$4,"対象外",IF($AH1212=20,IF(OR($AJ1212=10,$AJ1212=11,$AJ1212=18),"①病院一般",IF($AJ1212=41,"②病院短期","対象外")),IF($AH1212=5,IF($AJ1212=30,"③特定消防","対象外"),IF(OR($AJ1212=10,$AJ1212=11,$AJ1212=74),"④一般",IF(OR($AJ1212=41,$AJ1212=47),"⑤短期","対象外"))))))</f>
        <v>対象外</v>
      </c>
    </row>
    <row r="1213">
      <c r="A1213" t="n" s="2909">
        <v>31</v>
      </c>
      <c r="AA1213" t="n" s="2909">
        <v>21</v>
      </c>
      <c r="AB1213" t="inlineStr" s="2909">
        <is>
          <t>20250301</t>
        </is>
      </c>
      <c r="AD1213" t="n" s="2909">
        <v>12</v>
      </c>
      <c r="AE1213" t="inlineStr" s="2909">
        <is>
          <t>20251001</t>
        </is>
      </c>
      <c r="AH1213" t="n" s="2909">
        <v>20</v>
      </c>
      <c r="AJ1213" t="n" s="2909">
        <v>41</v>
      </c>
      <c r="AP1213" t="n" s="2909">
        <v>240000</v>
      </c>
      <c r="DB1213" s="2909" t="str">
        <f>IF($A1213="","",IF($AE1213&amp;""&lt;&gt;'DB_設定'!$C$4,"対象外",IF($AH1213=20,IF(OR($AJ1213=10,$AJ1213=11,$AJ1213=18),"①病院一般",IF($AJ1213=41,"②病院短期","対象外")),IF($AH1213=5,IF($AJ1213=30,"③特定消防","対象外"),IF(OR($AJ1213=10,$AJ1213=11,$AJ1213=74),"④一般",IF(OR($AJ1213=41,$AJ1213=47),"⑤短期","対象外"))))))</f>
        <v>対象外</v>
      </c>
    </row>
    <row r="1214">
      <c r="A1214" t="n" s="2909">
        <v>31</v>
      </c>
      <c r="AA1214" t="n" s="2909">
        <v>21</v>
      </c>
      <c r="AB1214" t="inlineStr" s="2909">
        <is>
          <t>20250312</t>
        </is>
      </c>
      <c r="AD1214" t="n" s="2909">
        <v>12</v>
      </c>
      <c r="AE1214" t="inlineStr" s="2909">
        <is>
          <t>20251001</t>
        </is>
      </c>
      <c r="AH1214" t="n" s="2909">
        <v>20</v>
      </c>
      <c r="AJ1214" t="n" s="2909">
        <v>41</v>
      </c>
      <c r="AP1214" t="n" s="2909">
        <v>170000</v>
      </c>
      <c r="DB1214" s="2909" t="str">
        <f>IF($A1214="","",IF($AE1214&amp;""&lt;&gt;'DB_設定'!$C$4,"対象外",IF($AH1214=20,IF(OR($AJ1214=10,$AJ1214=11,$AJ1214=18),"①病院一般",IF($AJ1214=41,"②病院短期","対象外")),IF($AH1214=5,IF($AJ1214=30,"③特定消防","対象外"),IF(OR($AJ1214=10,$AJ1214=11,$AJ1214=74),"④一般",IF(OR($AJ1214=41,$AJ1214=47),"⑤短期","対象外"))))))</f>
        <v>対象外</v>
      </c>
    </row>
    <row r="1215">
      <c r="A1215" t="n" s="2909">
        <v>31</v>
      </c>
      <c r="AA1215" t="n" s="2909">
        <v>21</v>
      </c>
      <c r="AB1215" t="inlineStr" s="2909">
        <is>
          <t>20240420</t>
        </is>
      </c>
      <c r="AD1215" t="n" s="2909">
        <v>12</v>
      </c>
      <c r="AE1215" t="inlineStr" s="2909">
        <is>
          <t>20250401</t>
        </is>
      </c>
      <c r="AH1215" t="n" s="2909">
        <v>11</v>
      </c>
      <c r="AJ1215" t="n" s="2909">
        <v>41</v>
      </c>
      <c r="AP1215" t="n" s="2909">
        <v>320000</v>
      </c>
      <c r="DB1215" s="2909" t="str">
        <f>IF($A1215="","",IF($AE1215&amp;""&lt;&gt;'DB_設定'!$C$4,"対象外",IF($AH1215=20,IF(OR($AJ1215=10,$AJ1215=11,$AJ1215=18),"①病院一般",IF($AJ1215=41,"②病院短期","対象外")),IF($AH1215=5,IF($AJ1215=30,"③特定消防","対象外"),IF(OR($AJ1215=10,$AJ1215=11,$AJ1215=74),"④一般",IF(OR($AJ1215=41,$AJ1215=47),"⑤短期","対象外"))))))</f>
        <v>⑤短期</v>
      </c>
    </row>
    <row r="1216">
      <c r="A1216" t="n" s="2909">
        <v>31</v>
      </c>
      <c r="AA1216" t="n" s="2909">
        <v>21</v>
      </c>
      <c r="AB1216" t="inlineStr" s="2909">
        <is>
          <t>20240401</t>
        </is>
      </c>
      <c r="AD1216" t="n" s="2909">
        <v>12</v>
      </c>
      <c r="AE1216" t="inlineStr" s="2909">
        <is>
          <t>20250401</t>
        </is>
      </c>
      <c r="AH1216" t="n" s="2909">
        <v>1</v>
      </c>
      <c r="AJ1216" t="n" s="2909">
        <v>41</v>
      </c>
      <c r="AP1216" t="n" s="2909">
        <v>170000</v>
      </c>
      <c r="DB1216" s="2909" t="str">
        <f>IF($A1216="","",IF($AE1216&amp;""&lt;&gt;'DB_設定'!$C$4,"対象外",IF($AH1216=20,IF(OR($AJ1216=10,$AJ1216=11,$AJ1216=18),"①病院一般",IF($AJ1216=41,"②病院短期","対象外")),IF($AH1216=5,IF($AJ1216=30,"③特定消防","対象外"),IF(OR($AJ1216=10,$AJ1216=11,$AJ1216=74),"④一般",IF(OR($AJ1216=41,$AJ1216=47),"⑤短期","対象外"))))))</f>
        <v>⑤短期</v>
      </c>
    </row>
    <row r="1217">
      <c r="A1217" t="n" s="2909">
        <v>31</v>
      </c>
      <c r="AA1217" t="n" s="2909">
        <v>21</v>
      </c>
      <c r="AB1217" t="inlineStr" s="2909">
        <is>
          <t>20240401</t>
        </is>
      </c>
      <c r="AD1217" t="n" s="2909">
        <v>12</v>
      </c>
      <c r="AE1217" t="inlineStr" s="2909">
        <is>
          <t>20250401</t>
        </is>
      </c>
      <c r="AH1217" t="n" s="2909">
        <v>1</v>
      </c>
      <c r="AJ1217" t="n" s="2909">
        <v>41</v>
      </c>
      <c r="AP1217" t="n" s="2909">
        <v>170000</v>
      </c>
      <c r="DB1217" s="2909" t="str">
        <f>IF($A1217="","",IF($AE1217&amp;""&lt;&gt;'DB_設定'!$C$4,"対象外",IF($AH1217=20,IF(OR($AJ1217=10,$AJ1217=11,$AJ1217=18),"①病院一般",IF($AJ1217=41,"②病院短期","対象外")),IF($AH1217=5,IF($AJ1217=30,"③特定消防","対象外"),IF(OR($AJ1217=10,$AJ1217=11,$AJ1217=74),"④一般",IF(OR($AJ1217=41,$AJ1217=47),"⑤短期","対象外"))))))</f>
        <v>⑤短期</v>
      </c>
    </row>
    <row r="1218">
      <c r="A1218" t="n" s="2909">
        <v>31</v>
      </c>
      <c r="AA1218" t="n" s="2909">
        <v>21</v>
      </c>
      <c r="AB1218" t="inlineStr" s="2909">
        <is>
          <t>20240401</t>
        </is>
      </c>
      <c r="AD1218" t="n" s="2909">
        <v>12</v>
      </c>
      <c r="AE1218" t="inlineStr" s="2909">
        <is>
          <t>20250401</t>
        </is>
      </c>
      <c r="AH1218" t="n" s="2909">
        <v>11</v>
      </c>
      <c r="AJ1218" t="n" s="2909">
        <v>41</v>
      </c>
      <c r="AP1218" t="n" s="2909">
        <v>126000</v>
      </c>
      <c r="DB1218" s="2909" t="str">
        <f>IF($A1218="","",IF($AE1218&amp;""&lt;&gt;'DB_設定'!$C$4,"対象外",IF($AH1218=20,IF(OR($AJ1218=10,$AJ1218=11,$AJ1218=18),"①病院一般",IF($AJ1218=41,"②病院短期","対象外")),IF($AH1218=5,IF($AJ1218=30,"③特定消防","対象外"),IF(OR($AJ1218=10,$AJ1218=11,$AJ1218=74),"④一般",IF(OR($AJ1218=41,$AJ1218=47),"⑤短期","対象外"))))))</f>
        <v>⑤短期</v>
      </c>
    </row>
    <row r="1219">
      <c r="A1219" t="n" s="2909">
        <v>31</v>
      </c>
      <c r="AA1219" t="n" s="2909">
        <v>21</v>
      </c>
      <c r="AB1219" t="inlineStr" s="2909">
        <is>
          <t>20240401</t>
        </is>
      </c>
      <c r="AD1219" t="n" s="2909">
        <v>12</v>
      </c>
      <c r="AE1219" t="inlineStr" s="2909">
        <is>
          <t>20250601</t>
        </is>
      </c>
      <c r="AH1219" t="n" s="2909">
        <v>1</v>
      </c>
      <c r="AJ1219" t="n" s="2909">
        <v>41</v>
      </c>
      <c r="AP1219" t="n" s="2909">
        <v>220000</v>
      </c>
      <c r="DB1219" s="2909" t="str">
        <f>IF($A1219="","",IF($AE1219&amp;""&lt;&gt;'DB_設定'!$C$4,"対象外",IF($AH1219=20,IF(OR($AJ1219=10,$AJ1219=11,$AJ1219=18),"①病院一般",IF($AJ1219=41,"②病院短期","対象外")),IF($AH1219=5,IF($AJ1219=30,"③特定消防","対象外"),IF(OR($AJ1219=10,$AJ1219=11,$AJ1219=74),"④一般",IF(OR($AJ1219=41,$AJ1219=47),"⑤短期","対象外"))))))</f>
        <v>対象外</v>
      </c>
    </row>
    <row r="1220">
      <c r="A1220" t="n" s="2909">
        <v>31</v>
      </c>
      <c r="AA1220" t="n" s="2909">
        <v>21</v>
      </c>
      <c r="AB1220" t="inlineStr" s="2909">
        <is>
          <t>20240401</t>
        </is>
      </c>
      <c r="AD1220" t="n" s="2909">
        <v>12</v>
      </c>
      <c r="AE1220" t="inlineStr" s="2909">
        <is>
          <t>20250701</t>
        </is>
      </c>
      <c r="AH1220" t="n" s="2909">
        <v>1</v>
      </c>
      <c r="AJ1220" t="n" s="2909">
        <v>41</v>
      </c>
      <c r="AP1220" t="n" s="2909">
        <v>170000</v>
      </c>
      <c r="DB1220" s="2909" t="str">
        <f>IF($A1220="","",IF($AE1220&amp;""&lt;&gt;'DB_設定'!$C$4,"対象外",IF($AH1220=20,IF(OR($AJ1220=10,$AJ1220=11,$AJ1220=18),"①病院一般",IF($AJ1220=41,"②病院短期","対象外")),IF($AH1220=5,IF($AJ1220=30,"③特定消防","対象外"),IF(OR($AJ1220=10,$AJ1220=11,$AJ1220=74),"④一般",IF(OR($AJ1220=41,$AJ1220=47),"⑤短期","対象外"))))))</f>
        <v>対象外</v>
      </c>
    </row>
    <row r="1221">
      <c r="A1221" t="n" s="2909">
        <v>31</v>
      </c>
      <c r="AA1221" t="n" s="2909">
        <v>21</v>
      </c>
      <c r="AB1221" t="inlineStr" s="2909">
        <is>
          <t>20240401</t>
        </is>
      </c>
      <c r="AD1221" t="n" s="2909">
        <v>12</v>
      </c>
      <c r="AE1221" t="inlineStr" s="2909">
        <is>
          <t>20250401</t>
        </is>
      </c>
      <c r="AH1221" t="n" s="2909">
        <v>1</v>
      </c>
      <c r="AJ1221" t="n" s="2909">
        <v>41</v>
      </c>
      <c r="AP1221" t="n" s="2909">
        <v>126000</v>
      </c>
      <c r="DB1221" s="2909" t="str">
        <f>IF($A1221="","",IF($AE1221&amp;""&lt;&gt;'DB_設定'!$C$4,"対象外",IF($AH1221=20,IF(OR($AJ1221=10,$AJ1221=11,$AJ1221=18),"①病院一般",IF($AJ1221=41,"②病院短期","対象外")),IF($AH1221=5,IF($AJ1221=30,"③特定消防","対象外"),IF(OR($AJ1221=10,$AJ1221=11,$AJ1221=74),"④一般",IF(OR($AJ1221=41,$AJ1221=47),"⑤短期","対象外"))))))</f>
        <v>⑤短期</v>
      </c>
    </row>
    <row r="1222">
      <c r="A1222" t="n" s="2909">
        <v>31</v>
      </c>
      <c r="AA1222" t="n" s="2909">
        <v>21</v>
      </c>
      <c r="AB1222" t="inlineStr" s="2909">
        <is>
          <t>20240401</t>
        </is>
      </c>
      <c r="AD1222" t="n" s="2909">
        <v>12</v>
      </c>
      <c r="AE1222" t="inlineStr" s="2909">
        <is>
          <t>20250401</t>
        </is>
      </c>
      <c r="AH1222" t="n" s="2909">
        <v>1</v>
      </c>
      <c r="AJ1222" t="n" s="2909">
        <v>41</v>
      </c>
      <c r="AP1222" t="n" s="2909">
        <v>110000</v>
      </c>
      <c r="DB1222" s="2909" t="str">
        <f>IF($A1222="","",IF($AE1222&amp;""&lt;&gt;'DB_設定'!$C$4,"対象外",IF($AH1222=20,IF(OR($AJ1222=10,$AJ1222=11,$AJ1222=18),"①病院一般",IF($AJ1222=41,"②病院短期","対象外")),IF($AH1222=5,IF($AJ1222=30,"③特定消防","対象外"),IF(OR($AJ1222=10,$AJ1222=11,$AJ1222=74),"④一般",IF(OR($AJ1222=41,$AJ1222=47),"⑤短期","対象外"))))))</f>
        <v>⑤短期</v>
      </c>
    </row>
    <row r="1223">
      <c r="A1223" t="n" s="2909">
        <v>31</v>
      </c>
      <c r="AA1223" t="n" s="2909">
        <v>21</v>
      </c>
      <c r="AB1223" t="inlineStr" s="2909">
        <is>
          <t>20240401</t>
        </is>
      </c>
      <c r="AD1223" t="n" s="2909">
        <v>12</v>
      </c>
      <c r="AE1223" t="inlineStr" s="2909">
        <is>
          <t>20250401</t>
        </is>
      </c>
      <c r="AH1223" t="n" s="2909">
        <v>1</v>
      </c>
      <c r="AJ1223" t="n" s="2909">
        <v>41</v>
      </c>
      <c r="AP1223" t="n" s="2909">
        <v>118000</v>
      </c>
      <c r="DB1223" s="2909" t="str">
        <f>IF($A1223="","",IF($AE1223&amp;""&lt;&gt;'DB_設定'!$C$4,"対象外",IF($AH1223=20,IF(OR($AJ1223=10,$AJ1223=11,$AJ1223=18),"①病院一般",IF($AJ1223=41,"②病院短期","対象外")),IF($AH1223=5,IF($AJ1223=30,"③特定消防","対象外"),IF(OR($AJ1223=10,$AJ1223=11,$AJ1223=74),"④一般",IF(OR($AJ1223=41,$AJ1223=47),"⑤短期","対象外"))))))</f>
        <v>⑤短期</v>
      </c>
    </row>
    <row r="1224">
      <c r="A1224" t="n" s="2909">
        <v>31</v>
      </c>
      <c r="AA1224" t="n" s="2909">
        <v>21</v>
      </c>
      <c r="AB1224" t="inlineStr" s="2909">
        <is>
          <t>20240401</t>
        </is>
      </c>
      <c r="AD1224" t="n" s="2909">
        <v>12</v>
      </c>
      <c r="AE1224" t="inlineStr" s="2909">
        <is>
          <t>20250401</t>
        </is>
      </c>
      <c r="AH1224" t="n" s="2909">
        <v>11</v>
      </c>
      <c r="AJ1224" t="n" s="2909">
        <v>41</v>
      </c>
      <c r="AP1224" t="n" s="2909">
        <v>160000</v>
      </c>
      <c r="DB1224" s="2909" t="str">
        <f>IF($A1224="","",IF($AE1224&amp;""&lt;&gt;'DB_設定'!$C$4,"対象外",IF($AH1224=20,IF(OR($AJ1224=10,$AJ1224=11,$AJ1224=18),"①病院一般",IF($AJ1224=41,"②病院短期","対象外")),IF($AH1224=5,IF($AJ1224=30,"③特定消防","対象外"),IF(OR($AJ1224=10,$AJ1224=11,$AJ1224=74),"④一般",IF(OR($AJ1224=41,$AJ1224=47),"⑤短期","対象外"))))))</f>
        <v>⑤短期</v>
      </c>
    </row>
    <row r="1225">
      <c r="A1225" t="n" s="2909">
        <v>31</v>
      </c>
      <c r="AA1225" t="n" s="2909">
        <v>21</v>
      </c>
      <c r="AB1225" t="inlineStr" s="2909">
        <is>
          <t>20240401</t>
        </is>
      </c>
      <c r="AD1225" t="n" s="2909">
        <v>12</v>
      </c>
      <c r="AE1225" t="inlineStr" s="2909">
        <is>
          <t>20250401</t>
        </is>
      </c>
      <c r="AH1225" t="n" s="2909">
        <v>1</v>
      </c>
      <c r="AJ1225" t="n" s="2909">
        <v>41</v>
      </c>
      <c r="AP1225" t="n" s="2909">
        <v>118000</v>
      </c>
      <c r="DB1225" s="2909" t="str">
        <f>IF($A1225="","",IF($AE1225&amp;""&lt;&gt;'DB_設定'!$C$4,"対象外",IF($AH1225=20,IF(OR($AJ1225=10,$AJ1225=11,$AJ1225=18),"①病院一般",IF($AJ1225=41,"②病院短期","対象外")),IF($AH1225=5,IF($AJ1225=30,"③特定消防","対象外"),IF(OR($AJ1225=10,$AJ1225=11,$AJ1225=74),"④一般",IF(OR($AJ1225=41,$AJ1225=47),"⑤短期","対象外"))))))</f>
        <v>⑤短期</v>
      </c>
    </row>
    <row r="1226">
      <c r="A1226" t="n" s="2909">
        <v>31</v>
      </c>
      <c r="AA1226" t="n" s="2909">
        <v>21</v>
      </c>
      <c r="AB1226" t="inlineStr" s="2909">
        <is>
          <t>20240401</t>
        </is>
      </c>
      <c r="AD1226" t="n" s="2909">
        <v>12</v>
      </c>
      <c r="AE1226" t="inlineStr" s="2909">
        <is>
          <t>20250401</t>
        </is>
      </c>
      <c r="AH1226" t="n" s="2909">
        <v>1</v>
      </c>
      <c r="AJ1226" t="n" s="2909">
        <v>41</v>
      </c>
      <c r="AP1226" t="n" s="2909">
        <v>170000</v>
      </c>
      <c r="DB1226" s="2909" t="str">
        <f>IF($A1226="","",IF($AE1226&amp;""&lt;&gt;'DB_設定'!$C$4,"対象外",IF($AH1226=20,IF(OR($AJ1226=10,$AJ1226=11,$AJ1226=18),"①病院一般",IF($AJ1226=41,"②病院短期","対象外")),IF($AH1226=5,IF($AJ1226=30,"③特定消防","対象外"),IF(OR($AJ1226=10,$AJ1226=11,$AJ1226=74),"④一般",IF(OR($AJ1226=41,$AJ1226=47),"⑤短期","対象外"))))))</f>
        <v>⑤短期</v>
      </c>
    </row>
    <row r="1227">
      <c r="A1227" t="n" s="2909">
        <v>31</v>
      </c>
      <c r="AA1227" t="n" s="2909">
        <v>21</v>
      </c>
      <c r="AB1227" t="inlineStr" s="2909">
        <is>
          <t>20240401</t>
        </is>
      </c>
      <c r="AD1227" t="n" s="2909">
        <v>12</v>
      </c>
      <c r="AE1227" t="inlineStr" s="2909">
        <is>
          <t>20250401</t>
        </is>
      </c>
      <c r="AH1227" t="n" s="2909">
        <v>1</v>
      </c>
      <c r="AJ1227" t="n" s="2909">
        <v>41</v>
      </c>
      <c r="AP1227" t="n" s="2909">
        <v>134000</v>
      </c>
      <c r="DB1227" s="2909" t="str">
        <f>IF($A1227="","",IF($AE1227&amp;""&lt;&gt;'DB_設定'!$C$4,"対象外",IF($AH1227=20,IF(OR($AJ1227=10,$AJ1227=11,$AJ1227=18),"①病院一般",IF($AJ1227=41,"②病院短期","対象外")),IF($AH1227=5,IF($AJ1227=30,"③特定消防","対象外"),IF(OR($AJ1227=10,$AJ1227=11,$AJ1227=74),"④一般",IF(OR($AJ1227=41,$AJ1227=47),"⑤短期","対象外"))))))</f>
        <v>⑤短期</v>
      </c>
    </row>
    <row r="1228">
      <c r="A1228" t="n" s="2909">
        <v>31</v>
      </c>
      <c r="AA1228" t="n" s="2909">
        <v>21</v>
      </c>
      <c r="AB1228" t="inlineStr" s="2909">
        <is>
          <t>20240401</t>
        </is>
      </c>
      <c r="AD1228" t="n" s="2909">
        <v>12</v>
      </c>
      <c r="AE1228" t="inlineStr" s="2909">
        <is>
          <t>20250901</t>
        </is>
      </c>
      <c r="AH1228" t="n" s="2909">
        <v>11</v>
      </c>
      <c r="AJ1228" t="n" s="2909">
        <v>41</v>
      </c>
      <c r="AP1228" t="n" s="2909">
        <v>190000</v>
      </c>
      <c r="DB1228" s="2909" t="str">
        <f>IF($A1228="","",IF($AE1228&amp;""&lt;&gt;'DB_設定'!$C$4,"対象外",IF($AH1228=20,IF(OR($AJ1228=10,$AJ1228=11,$AJ1228=18),"①病院一般",IF($AJ1228=41,"②病院短期","対象外")),IF($AH1228=5,IF($AJ1228=30,"③特定消防","対象外"),IF(OR($AJ1228=10,$AJ1228=11,$AJ1228=74),"④一般",IF(OR($AJ1228=41,$AJ1228=47),"⑤短期","対象外"))))))</f>
        <v>対象外</v>
      </c>
    </row>
    <row r="1229">
      <c r="A1229" t="n" s="2909">
        <v>31</v>
      </c>
      <c r="AA1229" t="n" s="2909">
        <v>21</v>
      </c>
      <c r="AB1229" t="inlineStr" s="2909">
        <is>
          <t>20240409</t>
        </is>
      </c>
      <c r="AD1229" t="n" s="2909">
        <v>12</v>
      </c>
      <c r="AE1229" t="inlineStr" s="2909">
        <is>
          <t>20250419</t>
        </is>
      </c>
      <c r="AH1229" t="n" s="2909">
        <v>11</v>
      </c>
      <c r="AJ1229" t="n" s="2909">
        <v>41</v>
      </c>
      <c r="AP1229" t="n" s="2909">
        <v>110000</v>
      </c>
      <c r="DB1229" s="2909" t="str">
        <f>IF($A1229="","",IF($AE1229&amp;""&lt;&gt;'DB_設定'!$C$4,"対象外",IF($AH1229=20,IF(OR($AJ1229=10,$AJ1229=11,$AJ1229=18),"①病院一般",IF($AJ1229=41,"②病院短期","対象外")),IF($AH1229=5,IF($AJ1229=30,"③特定消防","対象外"),IF(OR($AJ1229=10,$AJ1229=11,$AJ1229=74),"④一般",IF(OR($AJ1229=41,$AJ1229=47),"⑤短期","対象外"))))))</f>
        <v>対象外</v>
      </c>
    </row>
    <row r="1230">
      <c r="A1230" t="n" s="2909">
        <v>31</v>
      </c>
      <c r="AA1230" t="n" s="2909">
        <v>21</v>
      </c>
      <c r="AB1230" t="inlineStr" s="2909">
        <is>
          <t>20240507</t>
        </is>
      </c>
      <c r="AD1230" t="n" s="2909">
        <v>12</v>
      </c>
      <c r="AE1230" t="inlineStr" s="2909">
        <is>
          <t>20250401</t>
        </is>
      </c>
      <c r="AH1230" t="n" s="2909">
        <v>1</v>
      </c>
      <c r="AJ1230" t="n" s="2909">
        <v>41</v>
      </c>
      <c r="AP1230" t="n" s="2909">
        <v>118000</v>
      </c>
      <c r="DB1230" s="2909" t="str">
        <f>IF($A1230="","",IF($AE1230&amp;""&lt;&gt;'DB_設定'!$C$4,"対象外",IF($AH1230=20,IF(OR($AJ1230=10,$AJ1230=11,$AJ1230=18),"①病院一般",IF($AJ1230=41,"②病院短期","対象外")),IF($AH1230=5,IF($AJ1230=30,"③特定消防","対象外"),IF(OR($AJ1230=10,$AJ1230=11,$AJ1230=74),"④一般",IF(OR($AJ1230=41,$AJ1230=47),"⑤短期","対象外"))))))</f>
        <v>⑤短期</v>
      </c>
    </row>
    <row r="1231">
      <c r="A1231" t="n" s="2909">
        <v>31</v>
      </c>
      <c r="AA1231" t="n" s="2909">
        <v>21</v>
      </c>
      <c r="AB1231" t="inlineStr" s="2909">
        <is>
          <t>20240701</t>
        </is>
      </c>
      <c r="AD1231" t="n" s="2909">
        <v>12</v>
      </c>
      <c r="AE1231" t="inlineStr" s="2909">
        <is>
          <t>20250801</t>
        </is>
      </c>
      <c r="AH1231" t="n" s="2909">
        <v>1</v>
      </c>
      <c r="AJ1231" t="n" s="2909">
        <v>41</v>
      </c>
      <c r="AP1231" t="n" s="2909">
        <v>134000</v>
      </c>
      <c r="DB1231" s="2909" t="str">
        <f>IF($A1231="","",IF($AE1231&amp;""&lt;&gt;'DB_設定'!$C$4,"対象外",IF($AH1231=20,IF(OR($AJ1231=10,$AJ1231=11,$AJ1231=18),"①病院一般",IF($AJ1231=41,"②病院短期","対象外")),IF($AH1231=5,IF($AJ1231=30,"③特定消防","対象外"),IF(OR($AJ1231=10,$AJ1231=11,$AJ1231=74),"④一般",IF(OR($AJ1231=41,$AJ1231=47),"⑤短期","対象外"))))))</f>
        <v>対象外</v>
      </c>
    </row>
    <row r="1232">
      <c r="A1232" t="n" s="2909">
        <v>31</v>
      </c>
      <c r="AA1232" t="n" s="2909">
        <v>21</v>
      </c>
      <c r="AB1232" t="inlineStr" s="2909">
        <is>
          <t>20240701</t>
        </is>
      </c>
      <c r="AD1232" t="n" s="2909">
        <v>12</v>
      </c>
      <c r="AE1232" t="inlineStr" s="2909">
        <is>
          <t>20250401</t>
        </is>
      </c>
      <c r="AH1232" t="n" s="2909">
        <v>1</v>
      </c>
      <c r="AJ1232" t="n" s="2909">
        <v>41</v>
      </c>
      <c r="AP1232" t="n" s="2909">
        <v>134000</v>
      </c>
      <c r="DB1232" s="2909" t="str">
        <f>IF($A1232="","",IF($AE1232&amp;""&lt;&gt;'DB_設定'!$C$4,"対象外",IF($AH1232=20,IF(OR($AJ1232=10,$AJ1232=11,$AJ1232=18),"①病院一般",IF($AJ1232=41,"②病院短期","対象外")),IF($AH1232=5,IF($AJ1232=30,"③特定消防","対象外"),IF(OR($AJ1232=10,$AJ1232=11,$AJ1232=74),"④一般",IF(OR($AJ1232=41,$AJ1232=47),"⑤短期","対象外"))))))</f>
        <v>⑤短期</v>
      </c>
    </row>
    <row r="1233">
      <c r="A1233" t="n" s="2909">
        <v>31</v>
      </c>
      <c r="AA1233" t="n" s="2909">
        <v>21</v>
      </c>
      <c r="AB1233" t="inlineStr" s="2909">
        <is>
          <t>20240701</t>
        </is>
      </c>
      <c r="AD1233" t="n" s="2909">
        <v>12</v>
      </c>
      <c r="AE1233" t="inlineStr" s="2909">
        <is>
          <t>20250401</t>
        </is>
      </c>
      <c r="AH1233" t="n" s="2909">
        <v>1</v>
      </c>
      <c r="AJ1233" t="n" s="2909">
        <v>41</v>
      </c>
      <c r="AP1233" t="n" s="2909">
        <v>200000</v>
      </c>
      <c r="DB1233" s="2909" t="str">
        <f>IF($A1233="","",IF($AE1233&amp;""&lt;&gt;'DB_設定'!$C$4,"対象外",IF($AH1233=20,IF(OR($AJ1233=10,$AJ1233=11,$AJ1233=18),"①病院一般",IF($AJ1233=41,"②病院短期","対象外")),IF($AH1233=5,IF($AJ1233=30,"③特定消防","対象外"),IF(OR($AJ1233=10,$AJ1233=11,$AJ1233=74),"④一般",IF(OR($AJ1233=41,$AJ1233=47),"⑤短期","対象外"))))))</f>
        <v>⑤短期</v>
      </c>
    </row>
    <row r="1234">
      <c r="A1234" t="n" s="2909">
        <v>31</v>
      </c>
      <c r="AA1234" t="n" s="2909">
        <v>21</v>
      </c>
      <c r="AB1234" t="inlineStr" s="2909">
        <is>
          <t>20240625</t>
        </is>
      </c>
      <c r="AD1234" t="n" s="2909">
        <v>12</v>
      </c>
      <c r="AE1234" t="inlineStr" s="2909">
        <is>
          <t>20250905</t>
        </is>
      </c>
      <c r="AH1234" t="n" s="2909">
        <v>11</v>
      </c>
      <c r="AJ1234" t="n" s="2909">
        <v>41</v>
      </c>
      <c r="AP1234" t="n" s="2909">
        <v>118000</v>
      </c>
      <c r="DB1234" s="2909" t="str">
        <f>IF($A1234="","",IF($AE1234&amp;""&lt;&gt;'DB_設定'!$C$4,"対象外",IF($AH1234=20,IF(OR($AJ1234=10,$AJ1234=11,$AJ1234=18),"①病院一般",IF($AJ1234=41,"②病院短期","対象外")),IF($AH1234=5,IF($AJ1234=30,"③特定消防","対象外"),IF(OR($AJ1234=10,$AJ1234=11,$AJ1234=74),"④一般",IF(OR($AJ1234=41,$AJ1234=47),"⑤短期","対象外"))))))</f>
        <v>対象外</v>
      </c>
    </row>
    <row r="1235">
      <c r="A1235" t="n" s="2909">
        <v>31</v>
      </c>
      <c r="AA1235" t="n" s="2909">
        <v>21</v>
      </c>
      <c r="AB1235" t="inlineStr" s="2909">
        <is>
          <t>20240704</t>
        </is>
      </c>
      <c r="AD1235" t="n" s="2909">
        <v>12</v>
      </c>
      <c r="AE1235" t="inlineStr" s="2909">
        <is>
          <t>20250401</t>
        </is>
      </c>
      <c r="AH1235" t="n" s="2909">
        <v>1</v>
      </c>
      <c r="AJ1235" t="n" s="2909">
        <v>41</v>
      </c>
      <c r="AP1235" t="n" s="2909">
        <v>126000</v>
      </c>
      <c r="DB1235" s="2909" t="str">
        <f>IF($A1235="","",IF($AE1235&amp;""&lt;&gt;'DB_設定'!$C$4,"対象外",IF($AH1235=20,IF(OR($AJ1235=10,$AJ1235=11,$AJ1235=18),"①病院一般",IF($AJ1235=41,"②病院短期","対象外")),IF($AH1235=5,IF($AJ1235=30,"③特定消防","対象外"),IF(OR($AJ1235=10,$AJ1235=11,$AJ1235=74),"④一般",IF(OR($AJ1235=41,$AJ1235=47),"⑤短期","対象外"))))))</f>
        <v>⑤短期</v>
      </c>
    </row>
    <row r="1236">
      <c r="A1236" t="n" s="2909">
        <v>31</v>
      </c>
      <c r="AA1236" t="n" s="2909">
        <v>21</v>
      </c>
      <c r="AB1236" t="inlineStr" s="2909">
        <is>
          <t>20240801</t>
        </is>
      </c>
      <c r="AD1236" t="n" s="2909">
        <v>12</v>
      </c>
      <c r="AE1236" t="inlineStr" s="2909">
        <is>
          <t>20250401</t>
        </is>
      </c>
      <c r="AH1236" t="n" s="2909">
        <v>1</v>
      </c>
      <c r="AJ1236" t="n" s="2909">
        <v>41</v>
      </c>
      <c r="AP1236" t="n" s="2909">
        <v>118000</v>
      </c>
      <c r="DB1236" s="2909" t="str">
        <f>IF($A1236="","",IF($AE1236&amp;""&lt;&gt;'DB_設定'!$C$4,"対象外",IF($AH1236=20,IF(OR($AJ1236=10,$AJ1236=11,$AJ1236=18),"①病院一般",IF($AJ1236=41,"②病院短期","対象外")),IF($AH1236=5,IF($AJ1236=30,"③特定消防","対象外"),IF(OR($AJ1236=10,$AJ1236=11,$AJ1236=74),"④一般",IF(OR($AJ1236=41,$AJ1236=47),"⑤短期","対象外"))))))</f>
        <v>⑤短期</v>
      </c>
    </row>
    <row r="1237">
      <c r="A1237" t="n" s="2909">
        <v>31</v>
      </c>
      <c r="AA1237" t="n" s="2909">
        <v>21</v>
      </c>
      <c r="AB1237" t="inlineStr" s="2909">
        <is>
          <t>20240901</t>
        </is>
      </c>
      <c r="AD1237" t="n" s="2909">
        <v>12</v>
      </c>
      <c r="AE1237" t="inlineStr" s="2909">
        <is>
          <t>20250401</t>
        </is>
      </c>
      <c r="AH1237" t="n" s="2909">
        <v>1</v>
      </c>
      <c r="AJ1237" t="n" s="2909">
        <v>41</v>
      </c>
      <c r="AP1237" t="n" s="2909">
        <v>170000</v>
      </c>
      <c r="DB1237" s="2909" t="str">
        <f>IF($A1237="","",IF($AE1237&amp;""&lt;&gt;'DB_設定'!$C$4,"対象外",IF($AH1237=20,IF(OR($AJ1237=10,$AJ1237=11,$AJ1237=18),"①病院一般",IF($AJ1237=41,"②病院短期","対象外")),IF($AH1237=5,IF($AJ1237=30,"③特定消防","対象外"),IF(OR($AJ1237=10,$AJ1237=11,$AJ1237=74),"④一般",IF(OR($AJ1237=41,$AJ1237=47),"⑤短期","対象外"))))))</f>
        <v>⑤短期</v>
      </c>
    </row>
    <row r="1238">
      <c r="A1238" t="n" s="2909">
        <v>31</v>
      </c>
      <c r="AA1238" t="n" s="2909">
        <v>21</v>
      </c>
      <c r="AB1238" t="inlineStr" s="2909">
        <is>
          <t>20240923</t>
        </is>
      </c>
      <c r="AD1238" t="n" s="2909">
        <v>12</v>
      </c>
      <c r="AE1238" t="inlineStr" s="2909">
        <is>
          <t>20250401</t>
        </is>
      </c>
      <c r="AH1238" t="n" s="2909">
        <v>1</v>
      </c>
      <c r="AJ1238" t="n" s="2909">
        <v>41</v>
      </c>
      <c r="AP1238" t="n" s="2909">
        <v>260000</v>
      </c>
      <c r="DB1238" s="2909" t="str">
        <f>IF($A1238="","",IF($AE1238&amp;""&lt;&gt;'DB_設定'!$C$4,"対象外",IF($AH1238=20,IF(OR($AJ1238=10,$AJ1238=11,$AJ1238=18),"①病院一般",IF($AJ1238=41,"②病院短期","対象外")),IF($AH1238=5,IF($AJ1238=30,"③特定消防","対象外"),IF(OR($AJ1238=10,$AJ1238=11,$AJ1238=74),"④一般",IF(OR($AJ1238=41,$AJ1238=47),"⑤短期","対象外"))))))</f>
        <v>⑤短期</v>
      </c>
    </row>
    <row r="1239">
      <c r="A1239" t="n" s="2909">
        <v>31</v>
      </c>
      <c r="AA1239" t="n" s="2909">
        <v>21</v>
      </c>
      <c r="AB1239" t="inlineStr" s="2909">
        <is>
          <t>20241001</t>
        </is>
      </c>
      <c r="AD1239" t="n" s="2909">
        <v>12</v>
      </c>
      <c r="AE1239" t="inlineStr" s="2909">
        <is>
          <t>20250401</t>
        </is>
      </c>
      <c r="AH1239" t="n" s="2909">
        <v>1</v>
      </c>
      <c r="AJ1239" t="n" s="2909">
        <v>41</v>
      </c>
      <c r="AP1239" t="n" s="2909">
        <v>150000</v>
      </c>
      <c r="DB1239" s="2909" t="str">
        <f>IF($A1239="","",IF($AE1239&amp;""&lt;&gt;'DB_設定'!$C$4,"対象外",IF($AH1239=20,IF(OR($AJ1239=10,$AJ1239=11,$AJ1239=18),"①病院一般",IF($AJ1239=41,"②病院短期","対象外")),IF($AH1239=5,IF($AJ1239=30,"③特定消防","対象外"),IF(OR($AJ1239=10,$AJ1239=11,$AJ1239=74),"④一般",IF(OR($AJ1239=41,$AJ1239=47),"⑤短期","対象外"))))))</f>
        <v>⑤短期</v>
      </c>
    </row>
    <row r="1240">
      <c r="A1240" t="n" s="2909">
        <v>31</v>
      </c>
      <c r="AA1240" t="n" s="2909">
        <v>21</v>
      </c>
      <c r="AB1240" t="inlineStr" s="2909">
        <is>
          <t>20241001</t>
        </is>
      </c>
      <c r="AD1240" t="n" s="2909">
        <v>12</v>
      </c>
      <c r="AE1240" t="inlineStr" s="2909">
        <is>
          <t>20250401</t>
        </is>
      </c>
      <c r="AH1240" t="n" s="2909">
        <v>1</v>
      </c>
      <c r="AJ1240" t="n" s="2909">
        <v>41</v>
      </c>
      <c r="AP1240" t="n" s="2909">
        <v>240000</v>
      </c>
      <c r="DB1240" s="2909" t="str">
        <f>IF($A1240="","",IF($AE1240&amp;""&lt;&gt;'DB_設定'!$C$4,"対象外",IF($AH1240=20,IF(OR($AJ1240=10,$AJ1240=11,$AJ1240=18),"①病院一般",IF($AJ1240=41,"②病院短期","対象外")),IF($AH1240=5,IF($AJ1240=30,"③特定消防","対象外"),IF(OR($AJ1240=10,$AJ1240=11,$AJ1240=74),"④一般",IF(OR($AJ1240=41,$AJ1240=47),"⑤短期","対象外"))))))</f>
        <v>⑤短期</v>
      </c>
    </row>
    <row r="1241">
      <c r="A1241" t="n" s="2909">
        <v>31</v>
      </c>
      <c r="AA1241" t="n" s="2909">
        <v>21</v>
      </c>
      <c r="AB1241" t="inlineStr" s="2909">
        <is>
          <t>20241101</t>
        </is>
      </c>
      <c r="AD1241" t="n" s="2909">
        <v>12</v>
      </c>
      <c r="AE1241" t="inlineStr" s="2909">
        <is>
          <t>20250401</t>
        </is>
      </c>
      <c r="AH1241" t="n" s="2909">
        <v>1</v>
      </c>
      <c r="AJ1241" t="n" s="2909">
        <v>41</v>
      </c>
      <c r="AP1241" t="n" s="2909">
        <v>190000</v>
      </c>
      <c r="DB1241" s="2909" t="str">
        <f>IF($A1241="","",IF($AE1241&amp;""&lt;&gt;'DB_設定'!$C$4,"対象外",IF($AH1241=20,IF(OR($AJ1241=10,$AJ1241=11,$AJ1241=18),"①病院一般",IF($AJ1241=41,"②病院短期","対象外")),IF($AH1241=5,IF($AJ1241=30,"③特定消防","対象外"),IF(OR($AJ1241=10,$AJ1241=11,$AJ1241=74),"④一般",IF(OR($AJ1241=41,$AJ1241=47),"⑤短期","対象外"))))))</f>
        <v>⑤短期</v>
      </c>
    </row>
    <row r="1242">
      <c r="A1242" t="n" s="2909">
        <v>31</v>
      </c>
      <c r="AA1242" t="n" s="2909">
        <v>21</v>
      </c>
      <c r="AB1242" t="inlineStr" s="2909">
        <is>
          <t>20241209</t>
        </is>
      </c>
      <c r="AD1242" t="n" s="2909">
        <v>12</v>
      </c>
      <c r="AE1242" t="inlineStr" s="2909">
        <is>
          <t>20250715</t>
        </is>
      </c>
      <c r="AH1242" t="n" s="2909">
        <v>11</v>
      </c>
      <c r="AJ1242" t="n" s="2909">
        <v>41</v>
      </c>
      <c r="AP1242" t="n" s="2909">
        <v>98000</v>
      </c>
      <c r="DB1242" s="2909" t="str">
        <f>IF($A1242="","",IF($AE1242&amp;""&lt;&gt;'DB_設定'!$C$4,"対象外",IF($AH1242=20,IF(OR($AJ1242=10,$AJ1242=11,$AJ1242=18),"①病院一般",IF($AJ1242=41,"②病院短期","対象外")),IF($AH1242=5,IF($AJ1242=30,"③特定消防","対象外"),IF(OR($AJ1242=10,$AJ1242=11,$AJ1242=74),"④一般",IF(OR($AJ1242=41,$AJ1242=47),"⑤短期","対象外"))))))</f>
        <v>対象外</v>
      </c>
    </row>
    <row r="1243">
      <c r="A1243" t="n" s="2909">
        <v>31</v>
      </c>
      <c r="AA1243" t="n" s="2909">
        <v>21</v>
      </c>
      <c r="AB1243" t="inlineStr" s="2909">
        <is>
          <t>20250106</t>
        </is>
      </c>
      <c r="AD1243" t="n" s="2909">
        <v>12</v>
      </c>
      <c r="AE1243" t="inlineStr" s="2909">
        <is>
          <t>20250710</t>
        </is>
      </c>
      <c r="AH1243" t="n" s="2909">
        <v>11</v>
      </c>
      <c r="AJ1243" t="n" s="2909">
        <v>41</v>
      </c>
      <c r="AP1243" t="n" s="2909">
        <v>98000</v>
      </c>
      <c r="DB1243" s="2909" t="str">
        <f>IF($A1243="","",IF($AE1243&amp;""&lt;&gt;'DB_設定'!$C$4,"対象外",IF($AH1243=20,IF(OR($AJ1243=10,$AJ1243=11,$AJ1243=18),"①病院一般",IF($AJ1243=41,"②病院短期","対象外")),IF($AH1243=5,IF($AJ1243=30,"③特定消防","対象外"),IF(OR($AJ1243=10,$AJ1243=11,$AJ1243=74),"④一般",IF(OR($AJ1243=41,$AJ1243=47),"⑤短期","対象外"))))))</f>
        <v>対象外</v>
      </c>
    </row>
    <row r="1244">
      <c r="A1244" t="n" s="2909">
        <v>31</v>
      </c>
      <c r="AA1244" t="n" s="2909">
        <v>21</v>
      </c>
      <c r="AB1244" t="inlineStr" s="2909">
        <is>
          <t>20250210</t>
        </is>
      </c>
      <c r="AD1244" t="n" s="2909">
        <v>12</v>
      </c>
      <c r="AE1244" t="inlineStr" s="2909">
        <is>
          <t>20250723</t>
        </is>
      </c>
      <c r="AH1244" t="n" s="2909">
        <v>11</v>
      </c>
      <c r="AJ1244" t="n" s="2909">
        <v>41</v>
      </c>
      <c r="AP1244" t="n" s="2909">
        <v>88000</v>
      </c>
      <c r="DB1244" s="2909" t="str">
        <f>IF($A1244="","",IF($AE1244&amp;""&lt;&gt;'DB_設定'!$C$4,"対象外",IF($AH1244=20,IF(OR($AJ1244=10,$AJ1244=11,$AJ1244=18),"①病院一般",IF($AJ1244=41,"②病院短期","対象外")),IF($AH1244=5,IF($AJ1244=30,"③特定消防","対象外"),IF(OR($AJ1244=10,$AJ1244=11,$AJ1244=74),"④一般",IF(OR($AJ1244=41,$AJ1244=47),"⑤短期","対象外"))))))</f>
        <v>対象外</v>
      </c>
    </row>
    <row r="1245">
      <c r="A1245" t="n" s="2909">
        <v>31</v>
      </c>
      <c r="AA1245" t="n" s="2909">
        <v>21</v>
      </c>
      <c r="AB1245" t="inlineStr" s="2909">
        <is>
          <t>20250311</t>
        </is>
      </c>
      <c r="AD1245" t="n" s="2909">
        <v>12</v>
      </c>
      <c r="AE1245" t="inlineStr" s="2909">
        <is>
          <t>20250701</t>
        </is>
      </c>
      <c r="AH1245" t="n" s="2909">
        <v>1</v>
      </c>
      <c r="AJ1245" t="n" s="2909">
        <v>41</v>
      </c>
      <c r="AP1245" t="n" s="2909">
        <v>142000</v>
      </c>
      <c r="DB1245" s="2909" t="str">
        <f>IF($A1245="","",IF($AE1245&amp;""&lt;&gt;'DB_設定'!$C$4,"対象外",IF($AH1245=20,IF(OR($AJ1245=10,$AJ1245=11,$AJ1245=18),"①病院一般",IF($AJ1245=41,"②病院短期","対象外")),IF($AH1245=5,IF($AJ1245=30,"③特定消防","対象外"),IF(OR($AJ1245=10,$AJ1245=11,$AJ1245=74),"④一般",IF(OR($AJ1245=41,$AJ1245=47),"⑤短期","対象外"))))))</f>
        <v>対象外</v>
      </c>
    </row>
    <row r="1246">
      <c r="A1246" t="n" s="2909">
        <v>31</v>
      </c>
      <c r="AA1246" t="n" s="2909">
        <v>21</v>
      </c>
      <c r="AB1246" t="inlineStr" s="2909">
        <is>
          <t>20240427</t>
        </is>
      </c>
      <c r="AD1246" t="n" s="2909">
        <v>12</v>
      </c>
      <c r="AE1246" t="inlineStr" s="2909">
        <is>
          <t>20250401</t>
        </is>
      </c>
      <c r="AH1246" t="n" s="2909">
        <v>11</v>
      </c>
      <c r="AJ1246" t="n" s="2909">
        <v>41</v>
      </c>
      <c r="AP1246" t="n" s="2909">
        <v>190000</v>
      </c>
      <c r="DB1246" s="2909" t="str">
        <f>IF($A1246="","",IF($AE1246&amp;""&lt;&gt;'DB_設定'!$C$4,"対象外",IF($AH1246=20,IF(OR($AJ1246=10,$AJ1246=11,$AJ1246=18),"①病院一般",IF($AJ1246=41,"②病院短期","対象外")),IF($AH1246=5,IF($AJ1246=30,"③特定消防","対象外"),IF(OR($AJ1246=10,$AJ1246=11,$AJ1246=74),"④一般",IF(OR($AJ1246=41,$AJ1246=47),"⑤短期","対象外"))))))</f>
        <v>⑤短期</v>
      </c>
    </row>
    <row r="1247">
      <c r="A1247" t="n" s="2909">
        <v>31</v>
      </c>
      <c r="AA1247" t="n" s="2909">
        <v>21</v>
      </c>
      <c r="AB1247" t="inlineStr" s="2909">
        <is>
          <t>20250401</t>
        </is>
      </c>
      <c r="AD1247" t="n" s="2909">
        <v>12</v>
      </c>
      <c r="AE1247" t="inlineStr" s="2909">
        <is>
          <t>20251001</t>
        </is>
      </c>
      <c r="AH1247" t="n" s="2909">
        <v>1</v>
      </c>
      <c r="AJ1247" t="n" s="2909">
        <v>41</v>
      </c>
      <c r="AP1247" t="n" s="2909">
        <v>142000</v>
      </c>
      <c r="DB1247" s="2909" t="str">
        <f>IF($A1247="","",IF($AE1247&amp;""&lt;&gt;'DB_設定'!$C$4,"対象外",IF($AH1247=20,IF(OR($AJ1247=10,$AJ1247=11,$AJ1247=18),"①病院一般",IF($AJ1247=41,"②病院短期","対象外")),IF($AH1247=5,IF($AJ1247=30,"③特定消防","対象外"),IF(OR($AJ1247=10,$AJ1247=11,$AJ1247=74),"④一般",IF(OR($AJ1247=41,$AJ1247=47),"⑤短期","対象外"))))))</f>
        <v>対象外</v>
      </c>
    </row>
    <row r="1248">
      <c r="A1248" t="n" s="2909">
        <v>31</v>
      </c>
      <c r="AA1248" t="n" s="2909">
        <v>21</v>
      </c>
      <c r="AB1248" t="inlineStr" s="2909">
        <is>
          <t>20241001</t>
        </is>
      </c>
      <c r="AD1248" t="n" s="2909">
        <v>12</v>
      </c>
      <c r="AE1248" t="inlineStr" s="2909">
        <is>
          <t>20250401</t>
        </is>
      </c>
      <c r="AH1248" t="n" s="2909">
        <v>1</v>
      </c>
      <c r="AJ1248" t="n" s="2909">
        <v>41</v>
      </c>
      <c r="AP1248" t="n" s="2909">
        <v>118000</v>
      </c>
      <c r="DB1248" s="2909" t="str">
        <f>IF($A1248="","",IF($AE1248&amp;""&lt;&gt;'DB_設定'!$C$4,"対象外",IF($AH1248=20,IF(OR($AJ1248=10,$AJ1248=11,$AJ1248=18),"①病院一般",IF($AJ1248=41,"②病院短期","対象外")),IF($AH1248=5,IF($AJ1248=30,"③特定消防","対象外"),IF(OR($AJ1248=10,$AJ1248=11,$AJ1248=74),"④一般",IF(OR($AJ1248=41,$AJ1248=47),"⑤短期","対象外"))))))</f>
        <v>⑤短期</v>
      </c>
    </row>
    <row r="1249">
      <c r="A1249" t="n" s="2909">
        <v>31</v>
      </c>
      <c r="AA1249" t="n" s="2909">
        <v>21</v>
      </c>
      <c r="AB1249" t="inlineStr" s="2909">
        <is>
          <t>20240806</t>
        </is>
      </c>
      <c r="AD1249" t="n" s="2909">
        <v>12</v>
      </c>
      <c r="AE1249" t="inlineStr" s="2909">
        <is>
          <t>20250401</t>
        </is>
      </c>
      <c r="AH1249" t="n" s="2909">
        <v>1</v>
      </c>
      <c r="AJ1249" t="n" s="2909">
        <v>41</v>
      </c>
      <c r="AP1249" t="n" s="2909">
        <v>126000</v>
      </c>
      <c r="DB1249" s="2909" t="str">
        <f>IF($A1249="","",IF($AE1249&amp;""&lt;&gt;'DB_設定'!$C$4,"対象外",IF($AH1249=20,IF(OR($AJ1249=10,$AJ1249=11,$AJ1249=18),"①病院一般",IF($AJ1249=41,"②病院短期","対象外")),IF($AH1249=5,IF($AJ1249=30,"③特定消防","対象外"),IF(OR($AJ1249=10,$AJ1249=11,$AJ1249=74),"④一般",IF(OR($AJ1249=41,$AJ1249=47),"⑤短期","対象外"))))))</f>
        <v>⑤短期</v>
      </c>
    </row>
    <row r="1250">
      <c r="A1250" t="n" s="2909">
        <v>31</v>
      </c>
      <c r="AA1250" t="n" s="2909">
        <v>21</v>
      </c>
      <c r="AB1250" t="inlineStr" s="2909">
        <is>
          <t>20241101</t>
        </is>
      </c>
      <c r="AD1250" t="n" s="2909">
        <v>13</v>
      </c>
      <c r="AE1250" t="inlineStr" s="2909">
        <is>
          <t>20250401</t>
        </is>
      </c>
      <c r="AH1250" t="n" s="2909">
        <v>1</v>
      </c>
      <c r="AJ1250" t="n" s="2909">
        <v>41</v>
      </c>
      <c r="AP1250" t="n" s="2909">
        <v>134000</v>
      </c>
      <c r="DB1250" s="2909" t="str">
        <f>IF($A1250="","",IF($AE1250&amp;""&lt;&gt;'DB_設定'!$C$4,"対象外",IF($AH1250=20,IF(OR($AJ1250=10,$AJ1250=11,$AJ1250=18),"①病院一般",IF($AJ1250=41,"②病院短期","対象外")),IF($AH1250=5,IF($AJ1250=30,"③特定消防","対象外"),IF(OR($AJ1250=10,$AJ1250=11,$AJ1250=74),"④一般",IF(OR($AJ1250=41,$AJ1250=47),"⑤短期","対象外"))))))</f>
        <v>⑤短期</v>
      </c>
    </row>
    <row r="1251">
      <c r="A1251" t="n" s="2909">
        <v>31</v>
      </c>
      <c r="AA1251" t="n" s="2909">
        <v>21</v>
      </c>
      <c r="AB1251" t="inlineStr" s="2909">
        <is>
          <t>20250801</t>
        </is>
      </c>
      <c r="AD1251" t="n" s="2909">
        <v>12</v>
      </c>
      <c r="AE1251" t="inlineStr" s="2909">
        <is>
          <t>20251001</t>
        </is>
      </c>
      <c r="AH1251" t="n" s="2909">
        <v>1</v>
      </c>
      <c r="AJ1251" t="n" s="2909">
        <v>41</v>
      </c>
      <c r="AP1251" t="n" s="2909">
        <v>104000</v>
      </c>
      <c r="DB1251" s="2909" t="str">
        <f>IF($A1251="","",IF($AE1251&amp;""&lt;&gt;'DB_設定'!$C$4,"対象外",IF($AH1251=20,IF(OR($AJ1251=10,$AJ1251=11,$AJ1251=18),"①病院一般",IF($AJ1251=41,"②病院短期","対象外")),IF($AH1251=5,IF($AJ1251=30,"③特定消防","対象外"),IF(OR($AJ1251=10,$AJ1251=11,$AJ1251=74),"④一般",IF(OR($AJ1251=41,$AJ1251=47),"⑤短期","対象外"))))))</f>
        <v>対象外</v>
      </c>
    </row>
    <row r="1252">
      <c r="A1252" t="n" s="2909">
        <v>31</v>
      </c>
      <c r="AA1252" t="n" s="2909">
        <v>21</v>
      </c>
      <c r="AB1252" t="inlineStr" s="2909">
        <is>
          <t>20250401</t>
        </is>
      </c>
      <c r="AD1252" t="n" s="2909">
        <v>12</v>
      </c>
      <c r="AE1252" t="inlineStr" s="2909">
        <is>
          <t>20250801</t>
        </is>
      </c>
      <c r="AH1252" t="n" s="2909">
        <v>1</v>
      </c>
      <c r="AJ1252" t="n" s="2909">
        <v>41</v>
      </c>
      <c r="AP1252" t="n" s="2909">
        <v>134000</v>
      </c>
      <c r="DB1252" s="2909" t="str">
        <f>IF($A1252="","",IF($AE1252&amp;""&lt;&gt;'DB_設定'!$C$4,"対象外",IF($AH1252=20,IF(OR($AJ1252=10,$AJ1252=11,$AJ1252=18),"①病院一般",IF($AJ1252=41,"②病院短期","対象外")),IF($AH1252=5,IF($AJ1252=30,"③特定消防","対象外"),IF(OR($AJ1252=10,$AJ1252=11,$AJ1252=74),"④一般",IF(OR($AJ1252=41,$AJ1252=47),"⑤短期","対象外"))))))</f>
        <v>対象外</v>
      </c>
    </row>
    <row r="1253">
      <c r="A1253" t="n" s="2909">
        <v>31</v>
      </c>
      <c r="AA1253" t="n" s="2909">
        <v>21</v>
      </c>
      <c r="AB1253" t="inlineStr" s="2909">
        <is>
          <t>20241201</t>
        </is>
      </c>
      <c r="AD1253" t="n" s="2909">
        <v>12</v>
      </c>
      <c r="AE1253" t="inlineStr" s="2909">
        <is>
          <t>20250401</t>
        </is>
      </c>
      <c r="AH1253" t="n" s="2909">
        <v>1</v>
      </c>
      <c r="AJ1253" t="n" s="2909">
        <v>41</v>
      </c>
      <c r="AP1253" t="n" s="2909">
        <v>126000</v>
      </c>
      <c r="DB1253" s="2909" t="str">
        <f>IF($A1253="","",IF($AE1253&amp;""&lt;&gt;'DB_設定'!$C$4,"対象外",IF($AH1253=20,IF(OR($AJ1253=10,$AJ1253=11,$AJ1253=18),"①病院一般",IF($AJ1253=41,"②病院短期","対象外")),IF($AH1253=5,IF($AJ1253=30,"③特定消防","対象外"),IF(OR($AJ1253=10,$AJ1253=11,$AJ1253=74),"④一般",IF(OR($AJ1253=41,$AJ1253=47),"⑤短期","対象外"))))))</f>
        <v>⑤短期</v>
      </c>
    </row>
    <row r="1254">
      <c r="A1254" t="n" s="2909">
        <v>31</v>
      </c>
      <c r="AA1254" t="n" s="2909">
        <v>24</v>
      </c>
      <c r="AB1254" t="inlineStr" s="2909">
        <is>
          <t>20250530</t>
        </is>
      </c>
      <c r="AD1254" t="n" s="2909">
        <v>12</v>
      </c>
      <c r="AE1254" t="inlineStr" s="2909">
        <is>
          <t>20250813</t>
        </is>
      </c>
      <c r="AH1254" t="n" s="2909">
        <v>1</v>
      </c>
      <c r="AJ1254" t="n" s="2909">
        <v>41</v>
      </c>
      <c r="AP1254" t="n" s="2909">
        <v>142000</v>
      </c>
      <c r="DB1254" s="2909" t="str">
        <f>IF($A1254="","",IF($AE1254&amp;""&lt;&gt;'DB_設定'!$C$4,"対象外",IF($AH1254=20,IF(OR($AJ1254=10,$AJ1254=11,$AJ1254=18),"①病院一般",IF($AJ1254=41,"②病院短期","対象外")),IF($AH1254=5,IF($AJ1254=30,"③特定消防","対象外"),IF(OR($AJ1254=10,$AJ1254=11,$AJ1254=74),"④一般",IF(OR($AJ1254=41,$AJ1254=47),"⑤短期","対象外"))))))</f>
        <v>対象外</v>
      </c>
    </row>
    <row r="1255">
      <c r="A1255" t="n" s="2909">
        <v>31</v>
      </c>
      <c r="AA1255" t="n" s="2909">
        <v>21</v>
      </c>
      <c r="AB1255" t="inlineStr" s="2909">
        <is>
          <t>20250101</t>
        </is>
      </c>
      <c r="AD1255" t="n" s="2909">
        <v>12</v>
      </c>
      <c r="AE1255" t="inlineStr" s="2909">
        <is>
          <t>20250401</t>
        </is>
      </c>
      <c r="AH1255" t="n" s="2909">
        <v>1</v>
      </c>
      <c r="AJ1255" t="n" s="2909">
        <v>41</v>
      </c>
      <c r="AP1255" t="n" s="2909">
        <v>126000</v>
      </c>
      <c r="DB1255" s="2909" t="str">
        <f>IF($A1255="","",IF($AE1255&amp;""&lt;&gt;'DB_設定'!$C$4,"対象外",IF($AH1255=20,IF(OR($AJ1255=10,$AJ1255=11,$AJ1255=18),"①病院一般",IF($AJ1255=41,"②病院短期","対象外")),IF($AH1255=5,IF($AJ1255=30,"③特定消防","対象外"),IF(OR($AJ1255=10,$AJ1255=11,$AJ1255=74),"④一般",IF(OR($AJ1255=41,$AJ1255=47),"⑤短期","対象外"))))))</f>
        <v>⑤短期</v>
      </c>
    </row>
    <row r="1256">
      <c r="A1256" t="n" s="2909">
        <v>31</v>
      </c>
      <c r="AA1256" t="n" s="2909">
        <v>21</v>
      </c>
      <c r="AB1256" t="inlineStr" s="2909">
        <is>
          <t>20250120</t>
        </is>
      </c>
      <c r="AD1256" t="n" s="2909">
        <v>12</v>
      </c>
      <c r="AE1256" t="inlineStr" s="2909">
        <is>
          <t>20250401</t>
        </is>
      </c>
      <c r="AH1256" t="n" s="2909">
        <v>1</v>
      </c>
      <c r="AJ1256" t="n" s="2909">
        <v>41</v>
      </c>
      <c r="AP1256" t="n" s="2909">
        <v>134000</v>
      </c>
      <c r="DB1256" s="2909" t="str">
        <f>IF($A1256="","",IF($AE1256&amp;""&lt;&gt;'DB_設定'!$C$4,"対象外",IF($AH1256=20,IF(OR($AJ1256=10,$AJ1256=11,$AJ1256=18),"①病院一般",IF($AJ1256=41,"②病院短期","対象外")),IF($AH1256=5,IF($AJ1256=30,"③特定消防","対象外"),IF(OR($AJ1256=10,$AJ1256=11,$AJ1256=74),"④一般",IF(OR($AJ1256=41,$AJ1256=47),"⑤短期","対象外"))))))</f>
        <v>⑤短期</v>
      </c>
    </row>
    <row r="1257">
      <c r="A1257" t="n" s="2909">
        <v>31</v>
      </c>
      <c r="AA1257" t="n" s="2909">
        <v>21</v>
      </c>
      <c r="AB1257" t="inlineStr" s="2909">
        <is>
          <t>20250428</t>
        </is>
      </c>
      <c r="AD1257" t="n" s="2909">
        <v>12</v>
      </c>
      <c r="AE1257" t="inlineStr" s="2909">
        <is>
          <t>20250801</t>
        </is>
      </c>
      <c r="AH1257" t="n" s="2909">
        <v>1</v>
      </c>
      <c r="AJ1257" t="n" s="2909">
        <v>41</v>
      </c>
      <c r="AP1257" t="n" s="2909">
        <v>142000</v>
      </c>
      <c r="DB1257" s="2909" t="str">
        <f>IF($A1257="","",IF($AE1257&amp;""&lt;&gt;'DB_設定'!$C$4,"対象外",IF($AH1257=20,IF(OR($AJ1257=10,$AJ1257=11,$AJ1257=18),"①病院一般",IF($AJ1257=41,"②病院短期","対象外")),IF($AH1257=5,IF($AJ1257=30,"③特定消防","対象外"),IF(OR($AJ1257=10,$AJ1257=11,$AJ1257=74),"④一般",IF(OR($AJ1257=41,$AJ1257=47),"⑤短期","対象外"))))))</f>
        <v>対象外</v>
      </c>
    </row>
    <row r="1258">
      <c r="A1258" t="n" s="2909">
        <v>31</v>
      </c>
      <c r="AA1258" t="n" s="2909">
        <v>21</v>
      </c>
      <c r="AB1258" t="inlineStr" s="2909">
        <is>
          <t>20250401</t>
        </is>
      </c>
      <c r="AD1258" t="n" s="2909">
        <v>12</v>
      </c>
      <c r="AE1258" t="inlineStr" s="2909">
        <is>
          <t>20250701</t>
        </is>
      </c>
      <c r="AH1258" t="n" s="2909">
        <v>1</v>
      </c>
      <c r="AJ1258" t="n" s="2909">
        <v>41</v>
      </c>
      <c r="AP1258" t="n" s="2909">
        <v>142000</v>
      </c>
      <c r="DB1258" s="2909" t="str">
        <f>IF($A1258="","",IF($AE1258&amp;""&lt;&gt;'DB_設定'!$C$4,"対象外",IF($AH1258=20,IF(OR($AJ1258=10,$AJ1258=11,$AJ1258=18),"①病院一般",IF($AJ1258=41,"②病院短期","対象外")),IF($AH1258=5,IF($AJ1258=30,"③特定消防","対象外"),IF(OR($AJ1258=10,$AJ1258=11,$AJ1258=74),"④一般",IF(OR($AJ1258=41,$AJ1258=47),"⑤短期","対象外"))))))</f>
        <v>対象外</v>
      </c>
    </row>
    <row r="1259">
      <c r="A1259" t="n" s="2909">
        <v>31</v>
      </c>
      <c r="AA1259" t="n" s="2909">
        <v>21</v>
      </c>
      <c r="AB1259" t="inlineStr" s="2909">
        <is>
          <t>20250401</t>
        </is>
      </c>
      <c r="AD1259" t="n" s="2909">
        <v>12</v>
      </c>
      <c r="AE1259" t="inlineStr" s="2909">
        <is>
          <t>20251001</t>
        </is>
      </c>
      <c r="AH1259" t="n" s="2909">
        <v>20</v>
      </c>
      <c r="AJ1259" t="n" s="2909">
        <v>41</v>
      </c>
      <c r="AP1259" t="n" s="2909">
        <v>750000</v>
      </c>
      <c r="DB1259" s="2909" t="str">
        <f>IF($A1259="","",IF($AE1259&amp;""&lt;&gt;'DB_設定'!$C$4,"対象外",IF($AH1259=20,IF(OR($AJ1259=10,$AJ1259=11,$AJ1259=18),"①病院一般",IF($AJ1259=41,"②病院短期","対象外")),IF($AH1259=5,IF($AJ1259=30,"③特定消防","対象外"),IF(OR($AJ1259=10,$AJ1259=11,$AJ1259=74),"④一般",IF(OR($AJ1259=41,$AJ1259=47),"⑤短期","対象外"))))))</f>
        <v>対象外</v>
      </c>
    </row>
    <row r="1260">
      <c r="A1260" t="n" s="2909">
        <v>31</v>
      </c>
      <c r="AA1260" t="n" s="2909">
        <v>21</v>
      </c>
      <c r="AB1260" t="inlineStr" s="2909">
        <is>
          <t>20250401</t>
        </is>
      </c>
      <c r="AD1260" t="n" s="2909">
        <v>12</v>
      </c>
      <c r="AE1260" t="inlineStr" s="2909">
        <is>
          <t>20251001</t>
        </is>
      </c>
      <c r="AH1260" t="n" s="2909">
        <v>20</v>
      </c>
      <c r="AJ1260" t="n" s="2909">
        <v>41</v>
      </c>
      <c r="AP1260" t="n" s="2909">
        <v>620000</v>
      </c>
      <c r="DB1260" s="2909" t="str">
        <f>IF($A1260="","",IF($AE1260&amp;""&lt;&gt;'DB_設定'!$C$4,"対象外",IF($AH1260=20,IF(OR($AJ1260=10,$AJ1260=11,$AJ1260=18),"①病院一般",IF($AJ1260=41,"②病院短期","対象外")),IF($AH1260=5,IF($AJ1260=30,"③特定消防","対象外"),IF(OR($AJ1260=10,$AJ1260=11,$AJ1260=74),"④一般",IF(OR($AJ1260=41,$AJ1260=47),"⑤短期","対象外"))))))</f>
        <v>対象外</v>
      </c>
    </row>
    <row r="1261">
      <c r="A1261" t="n" s="2909">
        <v>31</v>
      </c>
      <c r="AA1261" t="n" s="2909">
        <v>21</v>
      </c>
      <c r="AB1261" t="inlineStr" s="2909">
        <is>
          <t>20250401</t>
        </is>
      </c>
      <c r="AD1261" t="n" s="2909">
        <v>12</v>
      </c>
      <c r="AE1261" t="inlineStr" s="2909">
        <is>
          <t>20251001</t>
        </is>
      </c>
      <c r="AH1261" t="n" s="2909">
        <v>20</v>
      </c>
      <c r="AJ1261" t="n" s="2909">
        <v>41</v>
      </c>
      <c r="AP1261" t="n" s="2909">
        <v>280000</v>
      </c>
      <c r="DB1261" s="2909" t="str">
        <f>IF($A1261="","",IF($AE1261&amp;""&lt;&gt;'DB_設定'!$C$4,"対象外",IF($AH1261=20,IF(OR($AJ1261=10,$AJ1261=11,$AJ1261=18),"①病院一般",IF($AJ1261=41,"②病院短期","対象外")),IF($AH1261=5,IF($AJ1261=30,"③特定消防","対象外"),IF(OR($AJ1261=10,$AJ1261=11,$AJ1261=74),"④一般",IF(OR($AJ1261=41,$AJ1261=47),"⑤短期","対象外"))))))</f>
        <v>対象外</v>
      </c>
    </row>
    <row r="1262">
      <c r="A1262" t="n" s="2909">
        <v>31</v>
      </c>
      <c r="AA1262" t="n" s="2909">
        <v>21</v>
      </c>
      <c r="AB1262" t="inlineStr" s="2909">
        <is>
          <t>20250401</t>
        </is>
      </c>
      <c r="AD1262" t="n" s="2909">
        <v>12</v>
      </c>
      <c r="AE1262" t="inlineStr" s="2909">
        <is>
          <t>20251001</t>
        </is>
      </c>
      <c r="AH1262" t="n" s="2909">
        <v>20</v>
      </c>
      <c r="AJ1262" t="n" s="2909">
        <v>41</v>
      </c>
      <c r="AP1262" t="n" s="2909">
        <v>260000</v>
      </c>
      <c r="DB1262" s="2909" t="str">
        <f>IF($A1262="","",IF($AE1262&amp;""&lt;&gt;'DB_設定'!$C$4,"対象外",IF($AH1262=20,IF(OR($AJ1262=10,$AJ1262=11,$AJ1262=18),"①病院一般",IF($AJ1262=41,"②病院短期","対象外")),IF($AH1262=5,IF($AJ1262=30,"③特定消防","対象外"),IF(OR($AJ1262=10,$AJ1262=11,$AJ1262=74),"④一般",IF(OR($AJ1262=41,$AJ1262=47),"⑤短期","対象外"))))))</f>
        <v>対象外</v>
      </c>
    </row>
    <row r="1263">
      <c r="A1263" t="n" s="2909">
        <v>31</v>
      </c>
      <c r="AA1263" t="n" s="2909">
        <v>21</v>
      </c>
      <c r="AB1263" t="inlineStr" s="2909">
        <is>
          <t>20250401</t>
        </is>
      </c>
      <c r="AD1263" t="n" s="2909">
        <v>12</v>
      </c>
      <c r="AE1263" t="inlineStr" s="2909">
        <is>
          <t>20251001</t>
        </is>
      </c>
      <c r="AH1263" t="n" s="2909">
        <v>20</v>
      </c>
      <c r="AJ1263" t="n" s="2909">
        <v>41</v>
      </c>
      <c r="AP1263" t="n" s="2909">
        <v>180000</v>
      </c>
      <c r="DB1263" s="2909" t="str">
        <f>IF($A1263="","",IF($AE1263&amp;""&lt;&gt;'DB_設定'!$C$4,"対象外",IF($AH1263=20,IF(OR($AJ1263=10,$AJ1263=11,$AJ1263=18),"①病院一般",IF($AJ1263=41,"②病院短期","対象外")),IF($AH1263=5,IF($AJ1263=30,"③特定消防","対象外"),IF(OR($AJ1263=10,$AJ1263=11,$AJ1263=74),"④一般",IF(OR($AJ1263=41,$AJ1263=47),"⑤短期","対象外"))))))</f>
        <v>対象外</v>
      </c>
    </row>
    <row r="1264">
      <c r="A1264" t="n" s="2909">
        <v>31</v>
      </c>
      <c r="AA1264" t="n" s="2909">
        <v>21</v>
      </c>
      <c r="AB1264" t="inlineStr" s="2909">
        <is>
          <t>20250401</t>
        </is>
      </c>
      <c r="AD1264" t="n" s="2909">
        <v>12</v>
      </c>
      <c r="AE1264" t="inlineStr" s="2909">
        <is>
          <t>20251001</t>
        </is>
      </c>
      <c r="AH1264" t="n" s="2909">
        <v>20</v>
      </c>
      <c r="AJ1264" t="n" s="2909">
        <v>41</v>
      </c>
      <c r="AP1264" t="n" s="2909">
        <v>180000</v>
      </c>
      <c r="DB1264" s="2909" t="str">
        <f>IF($A1264="","",IF($AE1264&amp;""&lt;&gt;'DB_設定'!$C$4,"対象外",IF($AH1264=20,IF(OR($AJ1264=10,$AJ1264=11,$AJ1264=18),"①病院一般",IF($AJ1264=41,"②病院短期","対象外")),IF($AH1264=5,IF($AJ1264=30,"③特定消防","対象外"),IF(OR($AJ1264=10,$AJ1264=11,$AJ1264=74),"④一般",IF(OR($AJ1264=41,$AJ1264=47),"⑤短期","対象外"))))))</f>
        <v>対象外</v>
      </c>
    </row>
    <row r="1265">
      <c r="A1265" t="n" s="2909">
        <v>31</v>
      </c>
      <c r="AA1265" t="n" s="2909">
        <v>21</v>
      </c>
      <c r="AB1265" t="inlineStr" s="2909">
        <is>
          <t>20250401</t>
        </is>
      </c>
      <c r="AD1265" t="n" s="2909">
        <v>12</v>
      </c>
      <c r="AE1265" t="inlineStr" s="2909">
        <is>
          <t>20250501</t>
        </is>
      </c>
      <c r="AH1265" t="n" s="2909">
        <v>20</v>
      </c>
      <c r="AJ1265" t="n" s="2909">
        <v>41</v>
      </c>
      <c r="AP1265" t="n" s="2909">
        <v>160000</v>
      </c>
      <c r="DB1265" s="2909" t="str">
        <f>IF($A1265="","",IF($AE1265&amp;""&lt;&gt;'DB_設定'!$C$4,"対象外",IF($AH1265=20,IF(OR($AJ1265=10,$AJ1265=11,$AJ1265=18),"①病院一般",IF($AJ1265=41,"②病院短期","対象外")),IF($AH1265=5,IF($AJ1265=30,"③特定消防","対象外"),IF(OR($AJ1265=10,$AJ1265=11,$AJ1265=74),"④一般",IF(OR($AJ1265=41,$AJ1265=47),"⑤短期","対象外"))))))</f>
        <v>対象外</v>
      </c>
    </row>
    <row r="1266">
      <c r="A1266" t="n" s="2909">
        <v>31</v>
      </c>
      <c r="AA1266" t="n" s="2909">
        <v>21</v>
      </c>
      <c r="AB1266" t="inlineStr" s="2909">
        <is>
          <t>20250401</t>
        </is>
      </c>
      <c r="AD1266" t="n" s="2909">
        <v>12</v>
      </c>
      <c r="AE1266" t="inlineStr" s="2909">
        <is>
          <t>20251001</t>
        </is>
      </c>
      <c r="AH1266" t="n" s="2909">
        <v>20</v>
      </c>
      <c r="AJ1266" t="n" s="2909">
        <v>41</v>
      </c>
      <c r="AP1266" t="n" s="2909">
        <v>260000</v>
      </c>
      <c r="DB1266" s="2909" t="str">
        <f>IF($A1266="","",IF($AE1266&amp;""&lt;&gt;'DB_設定'!$C$4,"対象外",IF($AH1266=20,IF(OR($AJ1266=10,$AJ1266=11,$AJ1266=18),"①病院一般",IF($AJ1266=41,"②病院短期","対象外")),IF($AH1266=5,IF($AJ1266=30,"③特定消防","対象外"),IF(OR($AJ1266=10,$AJ1266=11,$AJ1266=74),"④一般",IF(OR($AJ1266=41,$AJ1266=47),"⑤短期","対象外"))))))</f>
        <v>対象外</v>
      </c>
    </row>
    <row r="1267">
      <c r="A1267" t="n" s="2909">
        <v>31</v>
      </c>
      <c r="AA1267" t="n" s="2909">
        <v>21</v>
      </c>
      <c r="AB1267" t="inlineStr" s="2909">
        <is>
          <t>20250403</t>
        </is>
      </c>
      <c r="AD1267" t="n" s="2909">
        <v>12</v>
      </c>
      <c r="AE1267" t="inlineStr" s="2909">
        <is>
          <t>20250601</t>
        </is>
      </c>
      <c r="AH1267" t="n" s="2909">
        <v>20</v>
      </c>
      <c r="AJ1267" t="n" s="2909">
        <v>41</v>
      </c>
      <c r="AP1267" t="n" s="2909">
        <v>190000</v>
      </c>
      <c r="DB1267" s="2909" t="str">
        <f>IF($A1267="","",IF($AE1267&amp;""&lt;&gt;'DB_設定'!$C$4,"対象外",IF($AH1267=20,IF(OR($AJ1267=10,$AJ1267=11,$AJ1267=18),"①病院一般",IF($AJ1267=41,"②病院短期","対象外")),IF($AH1267=5,IF($AJ1267=30,"③特定消防","対象外"),IF(OR($AJ1267=10,$AJ1267=11,$AJ1267=74),"④一般",IF(OR($AJ1267=41,$AJ1267=47),"⑤短期","対象外"))))))</f>
        <v>対象外</v>
      </c>
    </row>
    <row r="1268">
      <c r="A1268" t="n" s="2909">
        <v>31</v>
      </c>
      <c r="AA1268" t="n" s="2909">
        <v>21</v>
      </c>
      <c r="AB1268" t="inlineStr" s="2909">
        <is>
          <t>20250402</t>
        </is>
      </c>
      <c r="AD1268" t="n" s="2909">
        <v>12</v>
      </c>
      <c r="AE1268" t="inlineStr" s="2909">
        <is>
          <t>20251001</t>
        </is>
      </c>
      <c r="AH1268" t="n" s="2909">
        <v>20</v>
      </c>
      <c r="AJ1268" t="n" s="2909">
        <v>41</v>
      </c>
      <c r="AP1268" t="n" s="2909">
        <v>340000</v>
      </c>
      <c r="DB1268" s="2909" t="str">
        <f>IF($A1268="","",IF($AE1268&amp;""&lt;&gt;'DB_設定'!$C$4,"対象外",IF($AH1268=20,IF(OR($AJ1268=10,$AJ1268=11,$AJ1268=18),"①病院一般",IF($AJ1268=41,"②病院短期","対象外")),IF($AH1268=5,IF($AJ1268=30,"③特定消防","対象外"),IF(OR($AJ1268=10,$AJ1268=11,$AJ1268=74),"④一般",IF(OR($AJ1268=41,$AJ1268=47),"⑤短期","対象外"))))))</f>
        <v>対象外</v>
      </c>
    </row>
    <row r="1269">
      <c r="A1269" t="n" s="2909">
        <v>31</v>
      </c>
      <c r="AA1269" t="n" s="2909">
        <v>21</v>
      </c>
      <c r="AB1269" t="inlineStr" s="2909">
        <is>
          <t>20250507</t>
        </is>
      </c>
      <c r="AD1269" t="n" s="2909">
        <v>12</v>
      </c>
      <c r="AE1269" t="inlineStr" s="2909">
        <is>
          <t>20250701</t>
        </is>
      </c>
      <c r="AH1269" t="n" s="2909">
        <v>20</v>
      </c>
      <c r="AJ1269" t="n" s="2909">
        <v>41</v>
      </c>
      <c r="AP1269" t="n" s="2909">
        <v>180000</v>
      </c>
      <c r="DB1269" s="2909" t="str">
        <f>IF($A1269="","",IF($AE1269&amp;""&lt;&gt;'DB_設定'!$C$4,"対象外",IF($AH1269=20,IF(OR($AJ1269=10,$AJ1269=11,$AJ1269=18),"①病院一般",IF($AJ1269=41,"②病院短期","対象外")),IF($AH1269=5,IF($AJ1269=30,"③特定消防","対象外"),IF(OR($AJ1269=10,$AJ1269=11,$AJ1269=74),"④一般",IF(OR($AJ1269=41,$AJ1269=47),"⑤短期","対象外"))))))</f>
        <v>対象外</v>
      </c>
    </row>
    <row r="1270">
      <c r="A1270" t="n" s="2909">
        <v>31</v>
      </c>
      <c r="AA1270" t="n" s="2909">
        <v>21</v>
      </c>
      <c r="AB1270" t="inlineStr" s="2909">
        <is>
          <t>20250601</t>
        </is>
      </c>
      <c r="AD1270" t="n" s="2909">
        <v>12</v>
      </c>
      <c r="AE1270" t="inlineStr" s="2909">
        <is>
          <t>20250604</t>
        </is>
      </c>
      <c r="AH1270" t="n" s="2909">
        <v>20</v>
      </c>
      <c r="AJ1270" t="n" s="2909">
        <v>41</v>
      </c>
      <c r="AP1270" t="n" s="2909">
        <v>170000</v>
      </c>
      <c r="DB1270" s="2909" t="str">
        <f>IF($A1270="","",IF($AE1270&amp;""&lt;&gt;'DB_設定'!$C$4,"対象外",IF($AH1270=20,IF(OR($AJ1270=10,$AJ1270=11,$AJ1270=18),"①病院一般",IF($AJ1270=41,"②病院短期","対象外")),IF($AH1270=5,IF($AJ1270=30,"③特定消防","対象外"),IF(OR($AJ1270=10,$AJ1270=11,$AJ1270=74),"④一般",IF(OR($AJ1270=41,$AJ1270=47),"⑤短期","対象外"))))))</f>
        <v>対象外</v>
      </c>
    </row>
    <row r="1271">
      <c r="A1271" t="n" s="2909">
        <v>31</v>
      </c>
      <c r="AA1271" t="n" s="2909">
        <v>21</v>
      </c>
      <c r="AB1271" t="inlineStr" s="2909">
        <is>
          <t>20250812</t>
        </is>
      </c>
      <c r="AD1271" t="n" s="2909">
        <v>12</v>
      </c>
      <c r="AE1271" t="inlineStr" s="2909">
        <is>
          <t>20250901</t>
        </is>
      </c>
      <c r="AH1271" t="n" s="2909">
        <v>20</v>
      </c>
      <c r="AJ1271" t="n" s="2909">
        <v>41</v>
      </c>
      <c r="AP1271" t="n" s="2909">
        <v>220000</v>
      </c>
      <c r="DB1271" s="2909" t="str">
        <f>IF($A1271="","",IF($AE1271&amp;""&lt;&gt;'DB_設定'!$C$4,"対象外",IF($AH1271=20,IF(OR($AJ1271=10,$AJ1271=11,$AJ1271=18),"①病院一般",IF($AJ1271=41,"②病院短期","対象外")),IF($AH1271=5,IF($AJ1271=30,"③特定消防","対象外"),IF(OR($AJ1271=10,$AJ1271=11,$AJ1271=74),"④一般",IF(OR($AJ1271=41,$AJ1271=47),"⑤短期","対象外"))))))</f>
        <v>対象外</v>
      </c>
    </row>
    <row r="1272">
      <c r="A1272" t="n" s="2909">
        <v>31</v>
      </c>
      <c r="AA1272" t="n" s="2909">
        <v>21</v>
      </c>
      <c r="AB1272" t="inlineStr" s="2909">
        <is>
          <t>20250401</t>
        </is>
      </c>
      <c r="AD1272" t="n" s="2909">
        <v>12</v>
      </c>
      <c r="AE1272" t="inlineStr" s="2909">
        <is>
          <t>20250701</t>
        </is>
      </c>
      <c r="AH1272" t="n" s="2909">
        <v>1</v>
      </c>
      <c r="AJ1272" t="n" s="2909">
        <v>41</v>
      </c>
      <c r="AP1272" t="n" s="2909">
        <v>134000</v>
      </c>
      <c r="DB1272" s="2909" t="str">
        <f>IF($A1272="","",IF($AE1272&amp;""&lt;&gt;'DB_設定'!$C$4,"対象外",IF($AH1272=20,IF(OR($AJ1272=10,$AJ1272=11,$AJ1272=18),"①病院一般",IF($AJ1272=41,"②病院短期","対象外")),IF($AH1272=5,IF($AJ1272=30,"③特定消防","対象外"),IF(OR($AJ1272=10,$AJ1272=11,$AJ1272=74),"④一般",IF(OR($AJ1272=41,$AJ1272=47),"⑤短期","対象外"))))))</f>
        <v>対象外</v>
      </c>
    </row>
    <row r="1273">
      <c r="A1273" t="n" s="2909">
        <v>31</v>
      </c>
      <c r="AA1273" t="n" s="2909">
        <v>21</v>
      </c>
      <c r="AB1273" t="inlineStr" s="2909">
        <is>
          <t>20250401</t>
        </is>
      </c>
      <c r="AD1273" t="n" s="2909">
        <v>12</v>
      </c>
      <c r="AE1273" t="inlineStr" s="2909">
        <is>
          <t>20250801</t>
        </is>
      </c>
      <c r="AH1273" t="n" s="2909">
        <v>1</v>
      </c>
      <c r="AJ1273" t="n" s="2909">
        <v>41</v>
      </c>
      <c r="AP1273" t="n" s="2909">
        <v>142000</v>
      </c>
      <c r="DB1273" s="2909" t="str">
        <f>IF($A1273="","",IF($AE1273&amp;""&lt;&gt;'DB_設定'!$C$4,"対象外",IF($AH1273=20,IF(OR($AJ1273=10,$AJ1273=11,$AJ1273=18),"①病院一般",IF($AJ1273=41,"②病院短期","対象外")),IF($AH1273=5,IF($AJ1273=30,"③特定消防","対象外"),IF(OR($AJ1273=10,$AJ1273=11,$AJ1273=74),"④一般",IF(OR($AJ1273=41,$AJ1273=47),"⑤短期","対象外"))))))</f>
        <v>対象外</v>
      </c>
    </row>
    <row r="1274">
      <c r="A1274" t="n" s="2909">
        <v>31</v>
      </c>
      <c r="AA1274" t="n" s="2909">
        <v>21</v>
      </c>
      <c r="AB1274" t="inlineStr" s="2909">
        <is>
          <t>20250401</t>
        </is>
      </c>
      <c r="AD1274" t="n" s="2909">
        <v>12</v>
      </c>
      <c r="AE1274" t="inlineStr" s="2909">
        <is>
          <t>20250701</t>
        </is>
      </c>
      <c r="AH1274" t="n" s="2909">
        <v>1</v>
      </c>
      <c r="AJ1274" t="n" s="2909">
        <v>41</v>
      </c>
      <c r="AP1274" t="n" s="2909">
        <v>190000</v>
      </c>
      <c r="DB1274" s="2909" t="str">
        <f>IF($A1274="","",IF($AE1274&amp;""&lt;&gt;'DB_設定'!$C$4,"対象外",IF($AH1274=20,IF(OR($AJ1274=10,$AJ1274=11,$AJ1274=18),"①病院一般",IF($AJ1274=41,"②病院短期","対象外")),IF($AH1274=5,IF($AJ1274=30,"③特定消防","対象外"),IF(OR($AJ1274=10,$AJ1274=11,$AJ1274=74),"④一般",IF(OR($AJ1274=41,$AJ1274=47),"⑤短期","対象外"))))))</f>
        <v>対象外</v>
      </c>
    </row>
    <row r="1275">
      <c r="A1275" t="n" s="2909">
        <v>31</v>
      </c>
      <c r="AA1275" t="n" s="2909">
        <v>21</v>
      </c>
      <c r="AB1275" t="inlineStr" s="2909">
        <is>
          <t>20250401</t>
        </is>
      </c>
      <c r="AD1275" t="n" s="2909">
        <v>12</v>
      </c>
      <c r="AE1275" t="inlineStr" s="2909">
        <is>
          <t>20251001</t>
        </is>
      </c>
      <c r="AH1275" t="n" s="2909">
        <v>1</v>
      </c>
      <c r="AJ1275" t="n" s="2909">
        <v>41</v>
      </c>
      <c r="AP1275" t="n" s="2909">
        <v>190000</v>
      </c>
      <c r="DB1275" s="2909" t="str">
        <f>IF($A1275="","",IF($AE1275&amp;""&lt;&gt;'DB_設定'!$C$4,"対象外",IF($AH1275=20,IF(OR($AJ1275=10,$AJ1275=11,$AJ1275=18),"①病院一般",IF($AJ1275=41,"②病院短期","対象外")),IF($AH1275=5,IF($AJ1275=30,"③特定消防","対象外"),IF(OR($AJ1275=10,$AJ1275=11,$AJ1275=74),"④一般",IF(OR($AJ1275=41,$AJ1275=47),"⑤短期","対象外"))))))</f>
        <v>対象外</v>
      </c>
    </row>
    <row r="1276">
      <c r="A1276" t="n" s="2909">
        <v>31</v>
      </c>
      <c r="AA1276" t="n" s="2909">
        <v>21</v>
      </c>
      <c r="AB1276" t="inlineStr" s="2909">
        <is>
          <t>20250401</t>
        </is>
      </c>
      <c r="AD1276" t="n" s="2909">
        <v>12</v>
      </c>
      <c r="AE1276" t="inlineStr" s="2909">
        <is>
          <t>20250605</t>
        </is>
      </c>
      <c r="AH1276" t="n" s="2909">
        <v>1</v>
      </c>
      <c r="AJ1276" t="n" s="2909">
        <v>41</v>
      </c>
      <c r="AP1276" t="n" s="2909">
        <v>190000</v>
      </c>
      <c r="DB1276" s="2909" t="str">
        <f>IF($A1276="","",IF($AE1276&amp;""&lt;&gt;'DB_設定'!$C$4,"対象外",IF($AH1276=20,IF(OR($AJ1276=10,$AJ1276=11,$AJ1276=18),"①病院一般",IF($AJ1276=41,"②病院短期","対象外")),IF($AH1276=5,IF($AJ1276=30,"③特定消防","対象外"),IF(OR($AJ1276=10,$AJ1276=11,$AJ1276=74),"④一般",IF(OR($AJ1276=41,$AJ1276=47),"⑤短期","対象外"))))))</f>
        <v>対象外</v>
      </c>
    </row>
    <row r="1277">
      <c r="A1277" t="n" s="2909">
        <v>31</v>
      </c>
      <c r="AA1277" t="n" s="2909">
        <v>21</v>
      </c>
      <c r="AB1277" t="inlineStr" s="2909">
        <is>
          <t>20250401</t>
        </is>
      </c>
      <c r="AD1277" t="n" s="2909">
        <v>12</v>
      </c>
      <c r="AE1277" t="inlineStr" s="2909">
        <is>
          <t>20250801</t>
        </is>
      </c>
      <c r="AH1277" t="n" s="2909">
        <v>1</v>
      </c>
      <c r="AJ1277" t="n" s="2909">
        <v>41</v>
      </c>
      <c r="AP1277" t="n" s="2909">
        <v>134000</v>
      </c>
      <c r="DB1277" s="2909" t="str">
        <f>IF($A1277="","",IF($AE1277&amp;""&lt;&gt;'DB_設定'!$C$4,"対象外",IF($AH1277=20,IF(OR($AJ1277=10,$AJ1277=11,$AJ1277=18),"①病院一般",IF($AJ1277=41,"②病院短期","対象外")),IF($AH1277=5,IF($AJ1277=30,"③特定消防","対象外"),IF(OR($AJ1277=10,$AJ1277=11,$AJ1277=74),"④一般",IF(OR($AJ1277=41,$AJ1277=47),"⑤短期","対象外"))))))</f>
        <v>対象外</v>
      </c>
    </row>
    <row r="1278">
      <c r="A1278" t="n" s="2909">
        <v>31</v>
      </c>
      <c r="AA1278" t="n" s="2909">
        <v>21</v>
      </c>
      <c r="AB1278" t="inlineStr" s="2909">
        <is>
          <t>20250401</t>
        </is>
      </c>
      <c r="AD1278" t="n" s="2909">
        <v>12</v>
      </c>
      <c r="AE1278" t="inlineStr" s="2909">
        <is>
          <t>20251001</t>
        </is>
      </c>
      <c r="AH1278" t="n" s="2909">
        <v>1</v>
      </c>
      <c r="AJ1278" t="n" s="2909">
        <v>41</v>
      </c>
      <c r="AP1278" t="n" s="2909">
        <v>200000</v>
      </c>
      <c r="DB1278" s="2909" t="str">
        <f>IF($A1278="","",IF($AE1278&amp;""&lt;&gt;'DB_設定'!$C$4,"対象外",IF($AH1278=20,IF(OR($AJ1278=10,$AJ1278=11,$AJ1278=18),"①病院一般",IF($AJ1278=41,"②病院短期","対象外")),IF($AH1278=5,IF($AJ1278=30,"③特定消防","対象外"),IF(OR($AJ1278=10,$AJ1278=11,$AJ1278=74),"④一般",IF(OR($AJ1278=41,$AJ1278=47),"⑤短期","対象外"))))))</f>
        <v>対象外</v>
      </c>
    </row>
    <row r="1279">
      <c r="A1279" t="n" s="2909">
        <v>31</v>
      </c>
      <c r="AA1279" t="n" s="2909">
        <v>21</v>
      </c>
      <c r="AB1279" t="inlineStr" s="2909">
        <is>
          <t>20250401</t>
        </is>
      </c>
      <c r="AD1279" t="n" s="2909">
        <v>12</v>
      </c>
      <c r="AE1279" t="inlineStr" s="2909">
        <is>
          <t>20251001</t>
        </is>
      </c>
      <c r="AH1279" t="n" s="2909">
        <v>1</v>
      </c>
      <c r="AJ1279" t="n" s="2909">
        <v>41</v>
      </c>
      <c r="AP1279" t="n" s="2909">
        <v>200000</v>
      </c>
      <c r="DB1279" s="2909" t="str">
        <f>IF($A1279="","",IF($AE1279&amp;""&lt;&gt;'DB_設定'!$C$4,"対象外",IF($AH1279=20,IF(OR($AJ1279=10,$AJ1279=11,$AJ1279=18),"①病院一般",IF($AJ1279=41,"②病院短期","対象外")),IF($AH1279=5,IF($AJ1279=30,"③特定消防","対象外"),IF(OR($AJ1279=10,$AJ1279=11,$AJ1279=74),"④一般",IF(OR($AJ1279=41,$AJ1279=47),"⑤短期","対象外"))))))</f>
        <v>対象外</v>
      </c>
    </row>
    <row r="1280">
      <c r="A1280" t="n" s="2909">
        <v>31</v>
      </c>
      <c r="AA1280" t="n" s="2909">
        <v>21</v>
      </c>
      <c r="AB1280" t="inlineStr" s="2909">
        <is>
          <t>20250408</t>
        </is>
      </c>
      <c r="AD1280" t="n" s="2909">
        <v>12</v>
      </c>
      <c r="AE1280" t="inlineStr" s="2909">
        <is>
          <t>20250513</t>
        </is>
      </c>
      <c r="AH1280" t="n" s="2909">
        <v>11</v>
      </c>
      <c r="AJ1280" t="n" s="2909">
        <v>41</v>
      </c>
      <c r="AP1280" t="n" s="2909">
        <v>110000</v>
      </c>
      <c r="DB1280" s="2909" t="str">
        <f>IF($A1280="","",IF($AE1280&amp;""&lt;&gt;'DB_設定'!$C$4,"対象外",IF($AH1280=20,IF(OR($AJ1280=10,$AJ1280=11,$AJ1280=18),"①病院一般",IF($AJ1280=41,"②病院短期","対象外")),IF($AH1280=5,IF($AJ1280=30,"③特定消防","対象外"),IF(OR($AJ1280=10,$AJ1280=11,$AJ1280=74),"④一般",IF(OR($AJ1280=41,$AJ1280=47),"⑤短期","対象外"))))))</f>
        <v>対象外</v>
      </c>
    </row>
    <row r="1281">
      <c r="A1281" t="n" s="2909">
        <v>31</v>
      </c>
      <c r="AA1281" t="n" s="2909">
        <v>21</v>
      </c>
      <c r="AB1281" t="inlineStr" s="2909">
        <is>
          <t>20250408</t>
        </is>
      </c>
      <c r="AD1281" t="n" s="2909">
        <v>12</v>
      </c>
      <c r="AE1281" t="inlineStr" s="2909">
        <is>
          <t>20251001</t>
        </is>
      </c>
      <c r="AH1281" t="n" s="2909">
        <v>11</v>
      </c>
      <c r="AJ1281" t="n" s="2909">
        <v>41</v>
      </c>
      <c r="AP1281" t="n" s="2909">
        <v>126000</v>
      </c>
      <c r="DB1281" s="2909" t="str">
        <f>IF($A1281="","",IF($AE1281&amp;""&lt;&gt;'DB_設定'!$C$4,"対象外",IF($AH1281=20,IF(OR($AJ1281=10,$AJ1281=11,$AJ1281=18),"①病院一般",IF($AJ1281=41,"②病院短期","対象外")),IF($AH1281=5,IF($AJ1281=30,"③特定消防","対象外"),IF(OR($AJ1281=10,$AJ1281=11,$AJ1281=74),"④一般",IF(OR($AJ1281=41,$AJ1281=47),"⑤短期","対象外"))))))</f>
        <v>対象外</v>
      </c>
    </row>
    <row r="1282">
      <c r="A1282" t="n" s="2909">
        <v>31</v>
      </c>
      <c r="AA1282" t="n" s="2909">
        <v>21</v>
      </c>
      <c r="AB1282" t="inlineStr" s="2909">
        <is>
          <t>20250501</t>
        </is>
      </c>
      <c r="AD1282" t="n" s="2909">
        <v>12</v>
      </c>
      <c r="AE1282" t="inlineStr" s="2909">
        <is>
          <t>20250510</t>
        </is>
      </c>
      <c r="AH1282" t="n" s="2909">
        <v>11</v>
      </c>
      <c r="AJ1282" t="n" s="2909">
        <v>41</v>
      </c>
      <c r="AP1282" t="n" s="2909">
        <v>104000</v>
      </c>
      <c r="DB1282" s="2909" t="str">
        <f>IF($A1282="","",IF($AE1282&amp;""&lt;&gt;'DB_設定'!$C$4,"対象外",IF($AH1282=20,IF(OR($AJ1282=10,$AJ1282=11,$AJ1282=18),"①病院一般",IF($AJ1282=41,"②病院短期","対象外")),IF($AH1282=5,IF($AJ1282=30,"③特定消防","対象外"),IF(OR($AJ1282=10,$AJ1282=11,$AJ1282=74),"④一般",IF(OR($AJ1282=41,$AJ1282=47),"⑤短期","対象外"))))))</f>
        <v>対象外</v>
      </c>
    </row>
    <row r="1283">
      <c r="A1283" t="n" s="2909">
        <v>31</v>
      </c>
      <c r="AA1283" t="n" s="2909">
        <v>21</v>
      </c>
      <c r="AB1283" t="inlineStr" s="2909">
        <is>
          <t>20250509</t>
        </is>
      </c>
      <c r="AD1283" t="n" s="2909">
        <v>12</v>
      </c>
      <c r="AE1283" t="inlineStr" s="2909">
        <is>
          <t>20250514</t>
        </is>
      </c>
      <c r="AH1283" t="n" s="2909">
        <v>11</v>
      </c>
      <c r="AJ1283" t="n" s="2909">
        <v>41</v>
      </c>
      <c r="AP1283" t="n" s="2909">
        <v>110000</v>
      </c>
      <c r="DB1283" s="2909" t="str">
        <f>IF($A1283="","",IF($AE1283&amp;""&lt;&gt;'DB_設定'!$C$4,"対象外",IF($AH1283=20,IF(OR($AJ1283=10,$AJ1283=11,$AJ1283=18),"①病院一般",IF($AJ1283=41,"②病院短期","対象外")),IF($AH1283=5,IF($AJ1283=30,"③特定消防","対象外"),IF(OR($AJ1283=10,$AJ1283=11,$AJ1283=74),"④一般",IF(OR($AJ1283=41,$AJ1283=47),"⑤短期","対象外"))))))</f>
        <v>対象外</v>
      </c>
    </row>
    <row r="1284">
      <c r="A1284" t="n" s="2909">
        <v>31</v>
      </c>
      <c r="AA1284" t="n" s="2909">
        <v>21</v>
      </c>
      <c r="AB1284" t="inlineStr" s="2909">
        <is>
          <t>20250421</t>
        </is>
      </c>
      <c r="AD1284" t="n" s="2909">
        <v>12</v>
      </c>
      <c r="AE1284" t="inlineStr" s="2909">
        <is>
          <t>20250901</t>
        </is>
      </c>
      <c r="AH1284" t="n" s="2909">
        <v>1</v>
      </c>
      <c r="AJ1284" t="n" s="2909">
        <v>41</v>
      </c>
      <c r="AP1284" t="n" s="2909">
        <v>134000</v>
      </c>
      <c r="DB1284" s="2909" t="str">
        <f>IF($A1284="","",IF($AE1284&amp;""&lt;&gt;'DB_設定'!$C$4,"対象外",IF($AH1284=20,IF(OR($AJ1284=10,$AJ1284=11,$AJ1284=18),"①病院一般",IF($AJ1284=41,"②病院短期","対象外")),IF($AH1284=5,IF($AJ1284=30,"③特定消防","対象外"),IF(OR($AJ1284=10,$AJ1284=11,$AJ1284=74),"④一般",IF(OR($AJ1284=41,$AJ1284=47),"⑤短期","対象外"))))))</f>
        <v>対象外</v>
      </c>
    </row>
    <row r="1285">
      <c r="A1285" t="n" s="2909">
        <v>31</v>
      </c>
      <c r="AA1285" t="n" s="2909">
        <v>21</v>
      </c>
      <c r="AB1285" t="inlineStr" s="2909">
        <is>
          <t>20250501</t>
        </is>
      </c>
      <c r="AD1285" t="n" s="2909">
        <v>12</v>
      </c>
      <c r="AE1285" t="inlineStr" s="2909">
        <is>
          <t>20250901</t>
        </is>
      </c>
      <c r="AH1285" t="n" s="2909">
        <v>1</v>
      </c>
      <c r="AJ1285" t="n" s="2909">
        <v>41</v>
      </c>
      <c r="AP1285" t="n" s="2909">
        <v>260000</v>
      </c>
      <c r="DB1285" s="2909" t="str">
        <f>IF($A1285="","",IF($AE1285&amp;""&lt;&gt;'DB_設定'!$C$4,"対象外",IF($AH1285=20,IF(OR($AJ1285=10,$AJ1285=11,$AJ1285=18),"①病院一般",IF($AJ1285=41,"②病院短期","対象外")),IF($AH1285=5,IF($AJ1285=30,"③特定消防","対象外"),IF(OR($AJ1285=10,$AJ1285=11,$AJ1285=74),"④一般",IF(OR($AJ1285=41,$AJ1285=47),"⑤短期","対象外"))))))</f>
        <v>対象外</v>
      </c>
    </row>
    <row r="1286">
      <c r="A1286" t="n" s="2909">
        <v>31</v>
      </c>
      <c r="AA1286" t="n" s="2909">
        <v>21</v>
      </c>
      <c r="AB1286" t="inlineStr" s="2909">
        <is>
          <t>20250428</t>
        </is>
      </c>
      <c r="AD1286" t="n" s="2909">
        <v>12</v>
      </c>
      <c r="AE1286" t="inlineStr" s="2909">
        <is>
          <t>20250429</t>
        </is>
      </c>
      <c r="AH1286" t="n" s="2909">
        <v>11</v>
      </c>
      <c r="AJ1286" t="n" s="2909">
        <v>41</v>
      </c>
      <c r="AP1286" t="n" s="2909">
        <v>104000</v>
      </c>
      <c r="DB1286" s="2909" t="str">
        <f>IF($A1286="","",IF($AE1286&amp;""&lt;&gt;'DB_設定'!$C$4,"対象外",IF($AH1286=20,IF(OR($AJ1286=10,$AJ1286=11,$AJ1286=18),"①病院一般",IF($AJ1286=41,"②病院短期","対象外")),IF($AH1286=5,IF($AJ1286=30,"③特定消防","対象外"),IF(OR($AJ1286=10,$AJ1286=11,$AJ1286=74),"④一般",IF(OR($AJ1286=41,$AJ1286=47),"⑤短期","対象外"))))))</f>
        <v>対象外</v>
      </c>
    </row>
    <row r="1287">
      <c r="A1287" t="n" s="2909">
        <v>31</v>
      </c>
      <c r="AA1287" t="n" s="2909">
        <v>21</v>
      </c>
      <c r="AB1287" t="inlineStr" s="2909">
        <is>
          <t>20250527</t>
        </is>
      </c>
      <c r="AD1287" t="n" s="2909">
        <v>12</v>
      </c>
      <c r="AE1287" t="inlineStr" s="2909">
        <is>
          <t>20250821</t>
        </is>
      </c>
      <c r="AH1287" t="n" s="2909">
        <v>1</v>
      </c>
      <c r="AJ1287" t="n" s="2909">
        <v>41</v>
      </c>
      <c r="AP1287" t="n" s="2909">
        <v>180000</v>
      </c>
      <c r="DB1287" s="2909" t="str">
        <f>IF($A1287="","",IF($AE1287&amp;""&lt;&gt;'DB_設定'!$C$4,"対象外",IF($AH1287=20,IF(OR($AJ1287=10,$AJ1287=11,$AJ1287=18),"①病院一般",IF($AJ1287=41,"②病院短期","対象外")),IF($AH1287=5,IF($AJ1287=30,"③特定消防","対象外"),IF(OR($AJ1287=10,$AJ1287=11,$AJ1287=74),"④一般",IF(OR($AJ1287=41,$AJ1287=47),"⑤短期","対象外"))))))</f>
        <v>対象外</v>
      </c>
    </row>
    <row r="1288">
      <c r="A1288" t="n" s="2909">
        <v>31</v>
      </c>
      <c r="AA1288" t="n" s="2909">
        <v>21</v>
      </c>
      <c r="AB1288" t="inlineStr" s="2909">
        <is>
          <t>20250610</t>
        </is>
      </c>
      <c r="AD1288" t="n" s="2909">
        <v>12</v>
      </c>
      <c r="AE1288" t="inlineStr" s="2909">
        <is>
          <t>20250701</t>
        </is>
      </c>
      <c r="AH1288" t="n" s="2909">
        <v>11</v>
      </c>
      <c r="AJ1288" t="n" s="2909">
        <v>41</v>
      </c>
      <c r="AP1288" t="n" s="2909">
        <v>104000</v>
      </c>
      <c r="DB1288" s="2909" t="str">
        <f>IF($A1288="","",IF($AE1288&amp;""&lt;&gt;'DB_設定'!$C$4,"対象外",IF($AH1288=20,IF(OR($AJ1288=10,$AJ1288=11,$AJ1288=18),"①病院一般",IF($AJ1288=41,"②病院短期","対象外")),IF($AH1288=5,IF($AJ1288=30,"③特定消防","対象外"),IF(OR($AJ1288=10,$AJ1288=11,$AJ1288=74),"④一般",IF(OR($AJ1288=41,$AJ1288=47),"⑤短期","対象外"))))))</f>
        <v>対象外</v>
      </c>
    </row>
    <row r="1289">
      <c r="A1289" t="n" s="2909">
        <v>31</v>
      </c>
      <c r="AA1289" t="n" s="2909">
        <v>21</v>
      </c>
      <c r="AB1289" t="inlineStr" s="2909">
        <is>
          <t>20250611</t>
        </is>
      </c>
      <c r="AD1289" t="n" s="2909">
        <v>12</v>
      </c>
      <c r="AE1289" t="inlineStr" s="2909">
        <is>
          <t>20251001</t>
        </is>
      </c>
      <c r="AH1289" t="n" s="2909">
        <v>1</v>
      </c>
      <c r="AJ1289" t="n" s="2909">
        <v>41</v>
      </c>
      <c r="AP1289" t="n" s="2909">
        <v>190000</v>
      </c>
      <c r="DB1289" s="2909" t="str">
        <f>IF($A1289="","",IF($AE1289&amp;""&lt;&gt;'DB_設定'!$C$4,"対象外",IF($AH1289=20,IF(OR($AJ1289=10,$AJ1289=11,$AJ1289=18),"①病院一般",IF($AJ1289=41,"②病院短期","対象外")),IF($AH1289=5,IF($AJ1289=30,"③特定消防","対象外"),IF(OR($AJ1289=10,$AJ1289=11,$AJ1289=74),"④一般",IF(OR($AJ1289=41,$AJ1289=47),"⑤短期","対象外"))))))</f>
        <v>対象外</v>
      </c>
    </row>
    <row r="1290">
      <c r="A1290" t="n" s="2909">
        <v>31</v>
      </c>
      <c r="AA1290" t="n" s="2909">
        <v>21</v>
      </c>
      <c r="AB1290" t="inlineStr" s="2909">
        <is>
          <t>20250701</t>
        </is>
      </c>
      <c r="AD1290" t="n" s="2909">
        <v>12</v>
      </c>
      <c r="AE1290" t="inlineStr" s="2909">
        <is>
          <t>20250801</t>
        </is>
      </c>
      <c r="AH1290" t="n" s="2909">
        <v>1</v>
      </c>
      <c r="AJ1290" t="n" s="2909">
        <v>41</v>
      </c>
      <c r="AP1290" t="n" s="2909">
        <v>190000</v>
      </c>
      <c r="DB1290" s="2909" t="str">
        <f>IF($A1290="","",IF($AE1290&amp;""&lt;&gt;'DB_設定'!$C$4,"対象外",IF($AH1290=20,IF(OR($AJ1290=10,$AJ1290=11,$AJ1290=18),"①病院一般",IF($AJ1290=41,"②病院短期","対象外")),IF($AH1290=5,IF($AJ1290=30,"③特定消防","対象外"),IF(OR($AJ1290=10,$AJ1290=11,$AJ1290=74),"④一般",IF(OR($AJ1290=41,$AJ1290=47),"⑤短期","対象外"))))))</f>
        <v>対象外</v>
      </c>
    </row>
    <row r="1291">
      <c r="A1291" t="n" s="2909">
        <v>31</v>
      </c>
      <c r="AA1291" t="n" s="2909">
        <v>21</v>
      </c>
      <c r="AB1291" t="inlineStr" s="2909">
        <is>
          <t>20250922</t>
        </is>
      </c>
      <c r="AD1291" t="n" s="2909">
        <v>12</v>
      </c>
      <c r="AE1291" t="inlineStr" s="2909">
        <is>
          <t>20251003</t>
        </is>
      </c>
      <c r="AH1291" t="n" s="2909">
        <v>1</v>
      </c>
      <c r="AJ1291" t="n" s="2909">
        <v>41</v>
      </c>
      <c r="AP1291" t="n" s="2909">
        <v>180000</v>
      </c>
      <c r="DB1291" s="2909" t="str">
        <f>IF($A1291="","",IF($AE1291&amp;""&lt;&gt;'DB_設定'!$C$4,"対象外",IF($AH1291=20,IF(OR($AJ1291=10,$AJ1291=11,$AJ1291=18),"①病院一般",IF($AJ1291=41,"②病院短期","対象外")),IF($AH1291=5,IF($AJ1291=30,"③特定消防","対象外"),IF(OR($AJ1291=10,$AJ1291=11,$AJ1291=74),"④一般",IF(OR($AJ1291=41,$AJ1291=47),"⑤短期","対象外"))))))</f>
        <v>対象外</v>
      </c>
    </row>
    <row r="1292">
      <c r="A1292" t="n" s="2909">
        <v>31</v>
      </c>
      <c r="AA1292" t="n" s="2909">
        <v>21</v>
      </c>
      <c r="AB1292" t="inlineStr" s="2909">
        <is>
          <t>20250401</t>
        </is>
      </c>
      <c r="AD1292" t="n" s="2909">
        <v>12</v>
      </c>
      <c r="AE1292" t="inlineStr" s="2909">
        <is>
          <t>20250701</t>
        </is>
      </c>
      <c r="AH1292" t="n" s="2909">
        <v>1</v>
      </c>
      <c r="AJ1292" t="n" s="2909">
        <v>41</v>
      </c>
      <c r="AP1292" t="n" s="2909">
        <v>126000</v>
      </c>
      <c r="DB1292" s="2909" t="str">
        <f>IF($A1292="","",IF($AE1292&amp;""&lt;&gt;'DB_設定'!$C$4,"対象外",IF($AH1292=20,IF(OR($AJ1292=10,$AJ1292=11,$AJ1292=18),"①病院一般",IF($AJ1292=41,"②病院短期","対象外")),IF($AH1292=5,IF($AJ1292=30,"③特定消防","対象外"),IF(OR($AJ1292=10,$AJ1292=11,$AJ1292=74),"④一般",IF(OR($AJ1292=41,$AJ1292=47),"⑤短期","対象外"))))))</f>
        <v>対象外</v>
      </c>
    </row>
    <row r="1293">
      <c r="A1293" t="n" s="2909">
        <v>31</v>
      </c>
      <c r="AA1293" t="n" s="2909">
        <v>21</v>
      </c>
      <c r="AB1293" t="inlineStr" s="2909">
        <is>
          <t>20250513</t>
        </is>
      </c>
      <c r="AD1293" t="n" s="2909">
        <v>12</v>
      </c>
      <c r="AE1293" t="inlineStr" s="2909">
        <is>
          <t>20251001</t>
        </is>
      </c>
      <c r="AH1293" t="n" s="2909">
        <v>1</v>
      </c>
      <c r="AJ1293" t="n" s="2909">
        <v>41</v>
      </c>
      <c r="AP1293" t="n" s="2909">
        <v>220000</v>
      </c>
      <c r="DB1293" s="2909" t="str">
        <f>IF($A1293="","",IF($AE1293&amp;""&lt;&gt;'DB_設定'!$C$4,"対象外",IF($AH1293=20,IF(OR($AJ1293=10,$AJ1293=11,$AJ1293=18),"①病院一般",IF($AJ1293=41,"②病院短期","対象外")),IF($AH1293=5,IF($AJ1293=30,"③特定消防","対象外"),IF(OR($AJ1293=10,$AJ1293=11,$AJ1293=74),"④一般",IF(OR($AJ1293=41,$AJ1293=47),"⑤短期","対象外"))))))</f>
        <v>対象外</v>
      </c>
    </row>
    <row r="1294">
      <c r="A1294" t="n" s="2909">
        <v>31</v>
      </c>
      <c r="AA1294" t="n" s="2909">
        <v>21</v>
      </c>
      <c r="AB1294" t="inlineStr" s="2909">
        <is>
          <t>20250609</t>
        </is>
      </c>
      <c r="AD1294" t="n" s="2909">
        <v>12</v>
      </c>
      <c r="AE1294" t="inlineStr" s="2909">
        <is>
          <t>20251001</t>
        </is>
      </c>
      <c r="AH1294" t="n" s="2909">
        <v>1</v>
      </c>
      <c r="AJ1294" t="n" s="2909">
        <v>41</v>
      </c>
      <c r="AP1294" t="n" s="2909">
        <v>160000</v>
      </c>
      <c r="DB1294" s="2909" t="str">
        <f>IF($A1294="","",IF($AE1294&amp;""&lt;&gt;'DB_設定'!$C$4,"対象外",IF($AH1294=20,IF(OR($AJ1294=10,$AJ1294=11,$AJ1294=18),"①病院一般",IF($AJ1294=41,"②病院短期","対象外")),IF($AH1294=5,IF($AJ1294=30,"③特定消防","対象外"),IF(OR($AJ1294=10,$AJ1294=11,$AJ1294=74),"④一般",IF(OR($AJ1294=41,$AJ1294=47),"⑤短期","対象外"))))))</f>
        <v>対象外</v>
      </c>
    </row>
    <row r="1295">
      <c r="A1295" t="n" s="2909">
        <v>31</v>
      </c>
      <c r="AA1295" t="n" s="2909">
        <v>21</v>
      </c>
      <c r="AB1295" t="inlineStr" s="2909">
        <is>
          <t>20250601</t>
        </is>
      </c>
      <c r="AD1295" t="n" s="2909">
        <v>12</v>
      </c>
      <c r="AE1295" t="inlineStr" s="2909">
        <is>
          <t>20251001</t>
        </is>
      </c>
      <c r="AH1295" t="n" s="2909">
        <v>1</v>
      </c>
      <c r="AJ1295" t="n" s="2909">
        <v>41</v>
      </c>
      <c r="AP1295" t="n" s="2909">
        <v>190000</v>
      </c>
      <c r="DB1295" s="2909" t="str">
        <f>IF($A1295="","",IF($AE1295&amp;""&lt;&gt;'DB_設定'!$C$4,"対象外",IF($AH1295=20,IF(OR($AJ1295=10,$AJ1295=11,$AJ1295=18),"①病院一般",IF($AJ1295=41,"②病院短期","対象外")),IF($AH1295=5,IF($AJ1295=30,"③特定消防","対象外"),IF(OR($AJ1295=10,$AJ1295=11,$AJ1295=74),"④一般",IF(OR($AJ1295=41,$AJ1295=47),"⑤短期","対象外"))))))</f>
        <v>対象外</v>
      </c>
    </row>
    <row r="1296">
      <c r="A1296" t="n" s="2909">
        <v>215</v>
      </c>
      <c r="AA1296" t="n" s="2909">
        <v>22</v>
      </c>
      <c r="AB1296" t="inlineStr" s="2909">
        <is>
          <t>20200401</t>
        </is>
      </c>
      <c r="AD1296" t="n" s="2909">
        <v>12</v>
      </c>
      <c r="AE1296" t="inlineStr" s="2909">
        <is>
          <t>20250401</t>
        </is>
      </c>
      <c r="AH1296" t="n" s="2909">
        <v>1</v>
      </c>
      <c r="AJ1296" t="n" s="2909">
        <v>10</v>
      </c>
      <c r="AP1296" t="n" s="2909">
        <v>410000</v>
      </c>
      <c r="DB1296" s="2909" t="str">
        <f>IF($A1296="","",IF($AE1296&amp;""&lt;&gt;'DB_設定'!$C$4,"対象外",IF($AH1296=20,IF(OR($AJ1296=10,$AJ1296=11,$AJ1296=18),"①病院一般",IF($AJ1296=41,"②病院短期","対象外")),IF($AH1296=5,IF($AJ1296=30,"③特定消防","対象外"),IF(OR($AJ1296=10,$AJ1296=11,$AJ1296=74),"④一般",IF(OR($AJ1296=41,$AJ1296=47),"⑤短期","対象外"))))))</f>
        <v>④一般</v>
      </c>
    </row>
    <row r="1297">
      <c r="A1297" t="n" s="2909">
        <v>215</v>
      </c>
      <c r="AA1297" t="n" s="2909">
        <v>22</v>
      </c>
      <c r="AB1297" t="inlineStr" s="2909">
        <is>
          <t>20200401</t>
        </is>
      </c>
      <c r="AD1297" t="n" s="2909">
        <v>12</v>
      </c>
      <c r="AE1297" t="inlineStr" s="2909">
        <is>
          <t>20250401</t>
        </is>
      </c>
      <c r="AH1297" t="n" s="2909">
        <v>1</v>
      </c>
      <c r="AJ1297" t="n" s="2909">
        <v>10</v>
      </c>
      <c r="AP1297" t="n" s="2909">
        <v>410000</v>
      </c>
      <c r="DB1297" s="2909" t="str">
        <f>IF($A1297="","",IF($AE1297&amp;""&lt;&gt;'DB_設定'!$C$4,"対象外",IF($AH1297=20,IF(OR($AJ1297=10,$AJ1297=11,$AJ1297=18),"①病院一般",IF($AJ1297=41,"②病院短期","対象外")),IF($AH1297=5,IF($AJ1297=30,"③特定消防","対象外"),IF(OR($AJ1297=10,$AJ1297=11,$AJ1297=74),"④一般",IF(OR($AJ1297=41,$AJ1297=47),"⑤短期","対象外"))))))</f>
        <v>④一般</v>
      </c>
    </row>
    <row r="1298">
      <c r="A1298" t="n" s="2909">
        <v>215</v>
      </c>
      <c r="AA1298" t="n" s="2909">
        <v>22</v>
      </c>
      <c r="AB1298" t="inlineStr" s="2909">
        <is>
          <t>20200401</t>
        </is>
      </c>
      <c r="AD1298" t="n" s="2909">
        <v>12</v>
      </c>
      <c r="AE1298" t="inlineStr" s="2909">
        <is>
          <t>20250401</t>
        </is>
      </c>
      <c r="AH1298" t="n" s="2909">
        <v>1</v>
      </c>
      <c r="AJ1298" t="n" s="2909">
        <v>10</v>
      </c>
      <c r="AP1298" t="n" s="2909">
        <v>280000</v>
      </c>
      <c r="DB1298" s="2909" t="str">
        <f>IF($A1298="","",IF($AE1298&amp;""&lt;&gt;'DB_設定'!$C$4,"対象外",IF($AH1298=20,IF(OR($AJ1298=10,$AJ1298=11,$AJ1298=18),"①病院一般",IF($AJ1298=41,"②病院短期","対象外")),IF($AH1298=5,IF($AJ1298=30,"③特定消防","対象外"),IF(OR($AJ1298=10,$AJ1298=11,$AJ1298=74),"④一般",IF(OR($AJ1298=41,$AJ1298=47),"⑤短期","対象外"))))))</f>
        <v>④一般</v>
      </c>
    </row>
    <row r="1299">
      <c r="A1299" t="n" s="2909">
        <v>215</v>
      </c>
      <c r="AA1299" t="n" s="2909">
        <v>22</v>
      </c>
      <c r="AB1299" t="inlineStr" s="2909">
        <is>
          <t>20200401</t>
        </is>
      </c>
      <c r="AD1299" t="n" s="2909">
        <v>11</v>
      </c>
      <c r="AE1299" t="inlineStr" s="2909">
        <is>
          <t>20250401</t>
        </is>
      </c>
      <c r="AH1299" t="n" s="2909">
        <v>1</v>
      </c>
      <c r="AJ1299" t="n" s="2909">
        <v>10</v>
      </c>
      <c r="AP1299" t="n" s="2909">
        <v>280000</v>
      </c>
      <c r="DB1299" s="2909" t="str">
        <f>IF($A1299="","",IF($AE1299&amp;""&lt;&gt;'DB_設定'!$C$4,"対象外",IF($AH1299=20,IF(OR($AJ1299=10,$AJ1299=11,$AJ1299=18),"①病院一般",IF($AJ1299=41,"②病院短期","対象外")),IF($AH1299=5,IF($AJ1299=30,"③特定消防","対象外"),IF(OR($AJ1299=10,$AJ1299=11,$AJ1299=74),"④一般",IF(OR($AJ1299=41,$AJ1299=47),"⑤短期","対象外"))))))</f>
        <v>④一般</v>
      </c>
    </row>
    <row r="1300">
      <c r="A1300" t="n" s="2909">
        <v>215</v>
      </c>
      <c r="AA1300" t="n" s="2909">
        <v>22</v>
      </c>
      <c r="AB1300" t="inlineStr" s="2909">
        <is>
          <t>20200401</t>
        </is>
      </c>
      <c r="AD1300" t="n" s="2909">
        <v>12</v>
      </c>
      <c r="AE1300" t="inlineStr" s="2909">
        <is>
          <t>20250401</t>
        </is>
      </c>
      <c r="AH1300" t="n" s="2909">
        <v>1</v>
      </c>
      <c r="AJ1300" t="n" s="2909">
        <v>10</v>
      </c>
      <c r="AP1300" t="n" s="2909">
        <v>280000</v>
      </c>
      <c r="DB1300" s="2909" t="str">
        <f>IF($A1300="","",IF($AE1300&amp;""&lt;&gt;'DB_設定'!$C$4,"対象外",IF($AH1300=20,IF(OR($AJ1300=10,$AJ1300=11,$AJ1300=18),"①病院一般",IF($AJ1300=41,"②病院短期","対象外")),IF($AH1300=5,IF($AJ1300=30,"③特定消防","対象外"),IF(OR($AJ1300=10,$AJ1300=11,$AJ1300=74),"④一般",IF(OR($AJ1300=41,$AJ1300=47),"⑤短期","対象外"))))))</f>
        <v>④一般</v>
      </c>
    </row>
    <row r="1301">
      <c r="A1301" t="n" s="2909">
        <v>215</v>
      </c>
      <c r="AA1301" t="n" s="2909">
        <v>22</v>
      </c>
      <c r="AB1301" t="inlineStr" s="2909">
        <is>
          <t>20200401</t>
        </is>
      </c>
      <c r="AD1301" t="n" s="2909">
        <v>12</v>
      </c>
      <c r="AE1301" t="inlineStr" s="2909">
        <is>
          <t>20250401</t>
        </is>
      </c>
      <c r="AH1301" t="n" s="2909">
        <v>4</v>
      </c>
      <c r="AJ1301" t="n" s="2909">
        <v>10</v>
      </c>
      <c r="AP1301" t="n" s="2909">
        <v>300000</v>
      </c>
      <c r="DB1301" s="2909" t="str">
        <f>IF($A1301="","",IF($AE1301&amp;""&lt;&gt;'DB_設定'!$C$4,"対象外",IF($AH1301=20,IF(OR($AJ1301=10,$AJ1301=11,$AJ1301=18),"①病院一般",IF($AJ1301=41,"②病院短期","対象外")),IF($AH1301=5,IF($AJ1301=30,"③特定消防","対象外"),IF(OR($AJ1301=10,$AJ1301=11,$AJ1301=74),"④一般",IF(OR($AJ1301=41,$AJ1301=47),"⑤短期","対象外"))))))</f>
        <v>④一般</v>
      </c>
    </row>
    <row r="1302">
      <c r="A1302" t="n" s="2909">
        <v>215</v>
      </c>
      <c r="AA1302" t="n" s="2909">
        <v>22</v>
      </c>
      <c r="AB1302" t="inlineStr" s="2909">
        <is>
          <t>20200401</t>
        </is>
      </c>
      <c r="AD1302" t="n" s="2909">
        <v>12</v>
      </c>
      <c r="AE1302" t="inlineStr" s="2909">
        <is>
          <t>20250401</t>
        </is>
      </c>
      <c r="AH1302" t="n" s="2909">
        <v>4</v>
      </c>
      <c r="AJ1302" t="n" s="2909">
        <v>10</v>
      </c>
      <c r="AP1302" t="n" s="2909">
        <v>360000</v>
      </c>
      <c r="DB1302" s="2909" t="str">
        <f>IF($A1302="","",IF($AE1302&amp;""&lt;&gt;'DB_設定'!$C$4,"対象外",IF($AH1302=20,IF(OR($AJ1302=10,$AJ1302=11,$AJ1302=18),"①病院一般",IF($AJ1302=41,"②病院短期","対象外")),IF($AH1302=5,IF($AJ1302=30,"③特定消防","対象外"),IF(OR($AJ1302=10,$AJ1302=11,$AJ1302=74),"④一般",IF(OR($AJ1302=41,$AJ1302=47),"⑤短期","対象外"))))))</f>
        <v>④一般</v>
      </c>
    </row>
    <row r="1303">
      <c r="A1303" t="n" s="2909">
        <v>215</v>
      </c>
      <c r="AA1303" t="n" s="2909">
        <v>22</v>
      </c>
      <c r="AB1303" t="inlineStr" s="2909">
        <is>
          <t>20200401</t>
        </is>
      </c>
      <c r="AD1303" t="n" s="2909">
        <v>12</v>
      </c>
      <c r="AE1303" t="inlineStr" s="2909">
        <is>
          <t>20250401</t>
        </is>
      </c>
      <c r="AH1303" t="n" s="2909">
        <v>4</v>
      </c>
      <c r="AJ1303" t="n" s="2909">
        <v>10</v>
      </c>
      <c r="AP1303" t="n" s="2909">
        <v>280000</v>
      </c>
      <c r="DB1303" s="2909" t="str">
        <f>IF($A1303="","",IF($AE1303&amp;""&lt;&gt;'DB_設定'!$C$4,"対象外",IF($AH1303=20,IF(OR($AJ1303=10,$AJ1303=11,$AJ1303=18),"①病院一般",IF($AJ1303=41,"②病院短期","対象外")),IF($AH1303=5,IF($AJ1303=30,"③特定消防","対象外"),IF(OR($AJ1303=10,$AJ1303=11,$AJ1303=74),"④一般",IF(OR($AJ1303=41,$AJ1303=47),"⑤短期","対象外"))))))</f>
        <v>④一般</v>
      </c>
    </row>
    <row r="1304">
      <c r="A1304" t="n" s="2909">
        <v>215</v>
      </c>
      <c r="AA1304" t="n" s="2909">
        <v>22</v>
      </c>
      <c r="AB1304" t="inlineStr" s="2909">
        <is>
          <t>20200401</t>
        </is>
      </c>
      <c r="AD1304" t="n" s="2909">
        <v>12</v>
      </c>
      <c r="AE1304" t="inlineStr" s="2909">
        <is>
          <t>20250401</t>
        </is>
      </c>
      <c r="AH1304" t="n" s="2909">
        <v>4</v>
      </c>
      <c r="AJ1304" t="n" s="2909">
        <v>10</v>
      </c>
      <c r="AP1304" t="n" s="2909">
        <v>300000</v>
      </c>
      <c r="DB1304" s="2909" t="str">
        <f>IF($A1304="","",IF($AE1304&amp;""&lt;&gt;'DB_設定'!$C$4,"対象外",IF($AH1304=20,IF(OR($AJ1304=10,$AJ1304=11,$AJ1304=18),"①病院一般",IF($AJ1304=41,"②病院短期","対象外")),IF($AH1304=5,IF($AJ1304=30,"③特定消防","対象外"),IF(OR($AJ1304=10,$AJ1304=11,$AJ1304=74),"④一般",IF(OR($AJ1304=41,$AJ1304=47),"⑤短期","対象外"))))))</f>
        <v>④一般</v>
      </c>
    </row>
    <row r="1305">
      <c r="A1305" t="n" s="2909">
        <v>215</v>
      </c>
      <c r="AA1305" t="n" s="2909">
        <v>22</v>
      </c>
      <c r="AB1305" t="inlineStr" s="2909">
        <is>
          <t>20200401</t>
        </is>
      </c>
      <c r="AD1305" t="n" s="2909">
        <v>12</v>
      </c>
      <c r="AE1305" t="inlineStr" s="2909">
        <is>
          <t>20250401</t>
        </is>
      </c>
      <c r="AH1305" t="n" s="2909">
        <v>4</v>
      </c>
      <c r="AJ1305" t="n" s="2909">
        <v>10</v>
      </c>
      <c r="AP1305" t="n" s="2909">
        <v>280000</v>
      </c>
      <c r="DB1305" s="2909" t="str">
        <f>IF($A1305="","",IF($AE1305&amp;""&lt;&gt;'DB_設定'!$C$4,"対象外",IF($AH1305=20,IF(OR($AJ1305=10,$AJ1305=11,$AJ1305=18),"①病院一般",IF($AJ1305=41,"②病院短期","対象外")),IF($AH1305=5,IF($AJ1305=30,"③特定消防","対象外"),IF(OR($AJ1305=10,$AJ1305=11,$AJ1305=74),"④一般",IF(OR($AJ1305=41,$AJ1305=47),"⑤短期","対象外"))))))</f>
        <v>④一般</v>
      </c>
    </row>
    <row r="1306">
      <c r="A1306" t="n" s="2909">
        <v>215</v>
      </c>
      <c r="AA1306" t="n" s="2909">
        <v>22</v>
      </c>
      <c r="AB1306" t="inlineStr" s="2909">
        <is>
          <t>20200401</t>
        </is>
      </c>
      <c r="AD1306" t="n" s="2909">
        <v>12</v>
      </c>
      <c r="AE1306" t="inlineStr" s="2909">
        <is>
          <t>20250401</t>
        </is>
      </c>
      <c r="AH1306" t="n" s="2909">
        <v>4</v>
      </c>
      <c r="AJ1306" t="n" s="2909">
        <v>10</v>
      </c>
      <c r="AP1306" t="n" s="2909">
        <v>320000</v>
      </c>
      <c r="DB1306" s="2909" t="str">
        <f>IF($A1306="","",IF($AE1306&amp;""&lt;&gt;'DB_設定'!$C$4,"対象外",IF($AH1306=20,IF(OR($AJ1306=10,$AJ1306=11,$AJ1306=18),"①病院一般",IF($AJ1306=41,"②病院短期","対象外")),IF($AH1306=5,IF($AJ1306=30,"③特定消防","対象外"),IF(OR($AJ1306=10,$AJ1306=11,$AJ1306=74),"④一般",IF(OR($AJ1306=41,$AJ1306=47),"⑤短期","対象外"))))))</f>
        <v>④一般</v>
      </c>
    </row>
    <row r="1307">
      <c r="A1307" t="n" s="2909">
        <v>215</v>
      </c>
      <c r="AA1307" t="n" s="2909">
        <v>22</v>
      </c>
      <c r="AB1307" t="inlineStr" s="2909">
        <is>
          <t>20200401</t>
        </is>
      </c>
      <c r="AD1307" t="n" s="2909">
        <v>12</v>
      </c>
      <c r="AE1307" t="inlineStr" s="2909">
        <is>
          <t>20250401</t>
        </is>
      </c>
      <c r="AH1307" t="n" s="2909">
        <v>4</v>
      </c>
      <c r="AJ1307" t="n" s="2909">
        <v>10</v>
      </c>
      <c r="AP1307" t="n" s="2909">
        <v>320000</v>
      </c>
      <c r="DB1307" s="2909" t="str">
        <f>IF($A1307="","",IF($AE1307&amp;""&lt;&gt;'DB_設定'!$C$4,"対象外",IF($AH1307=20,IF(OR($AJ1307=10,$AJ1307=11,$AJ1307=18),"①病院一般",IF($AJ1307=41,"②病院短期","対象外")),IF($AH1307=5,IF($AJ1307=30,"③特定消防","対象外"),IF(OR($AJ1307=10,$AJ1307=11,$AJ1307=74),"④一般",IF(OR($AJ1307=41,$AJ1307=47),"⑤短期","対象外"))))))</f>
        <v>④一般</v>
      </c>
    </row>
    <row r="1308">
      <c r="A1308" t="n" s="2909">
        <v>215</v>
      </c>
      <c r="AA1308" t="n" s="2909">
        <v>22</v>
      </c>
      <c r="AB1308" t="inlineStr" s="2909">
        <is>
          <t>20200401</t>
        </is>
      </c>
      <c r="AD1308" t="n" s="2909">
        <v>12</v>
      </c>
      <c r="AE1308" t="inlineStr" s="2909">
        <is>
          <t>20250401</t>
        </is>
      </c>
      <c r="AH1308" t="n" s="2909">
        <v>4</v>
      </c>
      <c r="AJ1308" t="n" s="2909">
        <v>10</v>
      </c>
      <c r="AP1308" t="n" s="2909">
        <v>280000</v>
      </c>
      <c r="DB1308" s="2909" t="str">
        <f>IF($A1308="","",IF($AE1308&amp;""&lt;&gt;'DB_設定'!$C$4,"対象外",IF($AH1308=20,IF(OR($AJ1308=10,$AJ1308=11,$AJ1308=18),"①病院一般",IF($AJ1308=41,"②病院短期","対象外")),IF($AH1308=5,IF($AJ1308=30,"③特定消防","対象外"),IF(OR($AJ1308=10,$AJ1308=11,$AJ1308=74),"④一般",IF(OR($AJ1308=41,$AJ1308=47),"⑤短期","対象外"))))))</f>
        <v>④一般</v>
      </c>
    </row>
    <row r="1309">
      <c r="A1309" t="n" s="2909">
        <v>215</v>
      </c>
      <c r="AA1309" t="n" s="2909">
        <v>22</v>
      </c>
      <c r="AB1309" t="inlineStr" s="2909">
        <is>
          <t>20200401</t>
        </is>
      </c>
      <c r="AD1309" t="n" s="2909">
        <v>12</v>
      </c>
      <c r="AE1309" t="inlineStr" s="2909">
        <is>
          <t>20250401</t>
        </is>
      </c>
      <c r="AH1309" t="n" s="2909">
        <v>1</v>
      </c>
      <c r="AJ1309" t="n" s="2909">
        <v>10</v>
      </c>
      <c r="AP1309" t="n" s="2909">
        <v>280000</v>
      </c>
      <c r="DB1309" s="2909" t="str">
        <f>IF($A1309="","",IF($AE1309&amp;""&lt;&gt;'DB_設定'!$C$4,"対象外",IF($AH1309=20,IF(OR($AJ1309=10,$AJ1309=11,$AJ1309=18),"①病院一般",IF($AJ1309=41,"②病院短期","対象外")),IF($AH1309=5,IF($AJ1309=30,"③特定消防","対象外"),IF(OR($AJ1309=10,$AJ1309=11,$AJ1309=74),"④一般",IF(OR($AJ1309=41,$AJ1309=47),"⑤短期","対象外"))))))</f>
        <v>④一般</v>
      </c>
    </row>
    <row r="1310">
      <c r="A1310" t="n" s="2909">
        <v>215</v>
      </c>
      <c r="AA1310" t="n" s="2909">
        <v>22</v>
      </c>
      <c r="AB1310" t="inlineStr" s="2909">
        <is>
          <t>20200401</t>
        </is>
      </c>
      <c r="AD1310" t="n" s="2909">
        <v>12</v>
      </c>
      <c r="AE1310" t="inlineStr" s="2909">
        <is>
          <t>20250401</t>
        </is>
      </c>
      <c r="AH1310" t="n" s="2909">
        <v>1</v>
      </c>
      <c r="AJ1310" t="n" s="2909">
        <v>10</v>
      </c>
      <c r="AP1310" t="n" s="2909">
        <v>340000</v>
      </c>
      <c r="DB1310" s="2909" t="str">
        <f>IF($A1310="","",IF($AE1310&amp;""&lt;&gt;'DB_設定'!$C$4,"対象外",IF($AH1310=20,IF(OR($AJ1310=10,$AJ1310=11,$AJ1310=18),"①病院一般",IF($AJ1310=41,"②病院短期","対象外")),IF($AH1310=5,IF($AJ1310=30,"③特定消防","対象外"),IF(OR($AJ1310=10,$AJ1310=11,$AJ1310=74),"④一般",IF(OR($AJ1310=41,$AJ1310=47),"⑤短期","対象外"))))))</f>
        <v>④一般</v>
      </c>
    </row>
    <row r="1311">
      <c r="A1311" t="n" s="2909">
        <v>215</v>
      </c>
      <c r="AA1311" t="n" s="2909">
        <v>22</v>
      </c>
      <c r="AB1311" t="inlineStr" s="2909">
        <is>
          <t>20220401</t>
        </is>
      </c>
      <c r="AD1311" t="n" s="2909">
        <v>12</v>
      </c>
      <c r="AE1311" t="inlineStr" s="2909">
        <is>
          <t>20250401</t>
        </is>
      </c>
      <c r="AH1311" t="n" s="2909">
        <v>1</v>
      </c>
      <c r="AJ1311" t="n" s="2909">
        <v>10</v>
      </c>
      <c r="AP1311" t="n" s="2909">
        <v>280000</v>
      </c>
      <c r="DB1311" s="2909" t="str">
        <f>IF($A1311="","",IF($AE1311&amp;""&lt;&gt;'DB_設定'!$C$4,"対象外",IF($AH1311=20,IF(OR($AJ1311=10,$AJ1311=11,$AJ1311=18),"①病院一般",IF($AJ1311=41,"②病院短期","対象外")),IF($AH1311=5,IF($AJ1311=30,"③特定消防","対象外"),IF(OR($AJ1311=10,$AJ1311=11,$AJ1311=74),"④一般",IF(OR($AJ1311=41,$AJ1311=47),"⑤短期","対象外"))))))</f>
        <v>④一般</v>
      </c>
    </row>
    <row r="1312">
      <c r="A1312" t="n" s="2909">
        <v>215</v>
      </c>
      <c r="AA1312" t="n" s="2909">
        <v>22</v>
      </c>
      <c r="AB1312" t="inlineStr" s="2909">
        <is>
          <t>20200401</t>
        </is>
      </c>
      <c r="AD1312" t="n" s="2909">
        <v>12</v>
      </c>
      <c r="AE1312" t="inlineStr" s="2909">
        <is>
          <t>20250401</t>
        </is>
      </c>
      <c r="AH1312" t="n" s="2909">
        <v>11</v>
      </c>
      <c r="AJ1312" t="n" s="2909">
        <v>10</v>
      </c>
      <c r="AP1312" t="n" s="2909">
        <v>280000</v>
      </c>
      <c r="DB1312" s="2909" t="str">
        <f>IF($A1312="","",IF($AE1312&amp;""&lt;&gt;'DB_設定'!$C$4,"対象外",IF($AH1312=20,IF(OR($AJ1312=10,$AJ1312=11,$AJ1312=18),"①病院一般",IF($AJ1312=41,"②病院短期","対象外")),IF($AH1312=5,IF($AJ1312=30,"③特定消防","対象外"),IF(OR($AJ1312=10,$AJ1312=11,$AJ1312=74),"④一般",IF(OR($AJ1312=41,$AJ1312=47),"⑤短期","対象外"))))))</f>
        <v>④一般</v>
      </c>
    </row>
    <row r="1313">
      <c r="A1313" t="n" s="2909">
        <v>215</v>
      </c>
      <c r="AA1313" t="n" s="2909">
        <v>22</v>
      </c>
      <c r="AB1313" t="inlineStr" s="2909">
        <is>
          <t>20200401</t>
        </is>
      </c>
      <c r="AD1313" t="n" s="2909">
        <v>12</v>
      </c>
      <c r="AE1313" t="inlineStr" s="2909">
        <is>
          <t>20250401</t>
        </is>
      </c>
      <c r="AH1313" t="n" s="2909">
        <v>1</v>
      </c>
      <c r="AJ1313" t="n" s="2909">
        <v>10</v>
      </c>
      <c r="AP1313" t="n" s="2909">
        <v>410000</v>
      </c>
      <c r="DB1313" s="2909" t="str">
        <f>IF($A1313="","",IF($AE1313&amp;""&lt;&gt;'DB_設定'!$C$4,"対象外",IF($AH1313=20,IF(OR($AJ1313=10,$AJ1313=11,$AJ1313=18),"①病院一般",IF($AJ1313=41,"②病院短期","対象外")),IF($AH1313=5,IF($AJ1313=30,"③特定消防","対象外"),IF(OR($AJ1313=10,$AJ1313=11,$AJ1313=74),"④一般",IF(OR($AJ1313=41,$AJ1313=47),"⑤短期","対象外"))))))</f>
        <v>④一般</v>
      </c>
    </row>
    <row r="1314">
      <c r="A1314" t="n" s="2909">
        <v>215</v>
      </c>
      <c r="AA1314" t="n" s="2909">
        <v>22</v>
      </c>
      <c r="AB1314" t="inlineStr" s="2909">
        <is>
          <t>20200401</t>
        </is>
      </c>
      <c r="AD1314" t="n" s="2909">
        <v>12</v>
      </c>
      <c r="AE1314" t="inlineStr" s="2909">
        <is>
          <t>20250401</t>
        </is>
      </c>
      <c r="AH1314" t="n" s="2909">
        <v>1</v>
      </c>
      <c r="AJ1314" t="n" s="2909">
        <v>10</v>
      </c>
      <c r="AP1314" t="n" s="2909">
        <v>320000</v>
      </c>
      <c r="DB1314" s="2909" t="str">
        <f>IF($A1314="","",IF($AE1314&amp;""&lt;&gt;'DB_設定'!$C$4,"対象外",IF($AH1314=20,IF(OR($AJ1314=10,$AJ1314=11,$AJ1314=18),"①病院一般",IF($AJ1314=41,"②病院短期","対象外")),IF($AH1314=5,IF($AJ1314=30,"③特定消防","対象外"),IF(OR($AJ1314=10,$AJ1314=11,$AJ1314=74),"④一般",IF(OR($AJ1314=41,$AJ1314=47),"⑤短期","対象外"))))))</f>
        <v>④一般</v>
      </c>
    </row>
    <row r="1315">
      <c r="A1315" t="n" s="2909">
        <v>215</v>
      </c>
      <c r="AA1315" t="n" s="2909">
        <v>22</v>
      </c>
      <c r="AB1315" t="inlineStr" s="2909">
        <is>
          <t>20200401</t>
        </is>
      </c>
      <c r="AD1315" t="n" s="2909">
        <v>11</v>
      </c>
      <c r="AE1315" t="inlineStr" s="2909">
        <is>
          <t>20250401</t>
        </is>
      </c>
      <c r="AH1315" t="n" s="2909">
        <v>11</v>
      </c>
      <c r="AJ1315" t="n" s="2909">
        <v>10</v>
      </c>
      <c r="AP1315" t="n" s="2909">
        <v>320000</v>
      </c>
      <c r="DB1315" s="2909" t="str">
        <f>IF($A1315="","",IF($AE1315&amp;""&lt;&gt;'DB_設定'!$C$4,"対象外",IF($AH1315=20,IF(OR($AJ1315=10,$AJ1315=11,$AJ1315=18),"①病院一般",IF($AJ1315=41,"②病院短期","対象外")),IF($AH1315=5,IF($AJ1315=30,"③特定消防","対象外"),IF(OR($AJ1315=10,$AJ1315=11,$AJ1315=74),"④一般",IF(OR($AJ1315=41,$AJ1315=47),"⑤短期","対象外"))))))</f>
        <v>④一般</v>
      </c>
    </row>
    <row r="1316">
      <c r="A1316" t="n" s="2909">
        <v>215</v>
      </c>
      <c r="AA1316" t="n" s="2909">
        <v>22</v>
      </c>
      <c r="AB1316" t="inlineStr" s="2909">
        <is>
          <t>20200401</t>
        </is>
      </c>
      <c r="AD1316" t="n" s="2909">
        <v>12</v>
      </c>
      <c r="AE1316" t="inlineStr" s="2909">
        <is>
          <t>20250401</t>
        </is>
      </c>
      <c r="AH1316" t="n" s="2909">
        <v>20</v>
      </c>
      <c r="AJ1316" t="n" s="2909">
        <v>10</v>
      </c>
      <c r="AP1316" t="n" s="2909">
        <v>300000</v>
      </c>
      <c r="DB1316" s="2909" t="str">
        <f>IF($A1316="","",IF($AE1316&amp;""&lt;&gt;'DB_設定'!$C$4,"対象外",IF($AH1316=20,IF(OR($AJ1316=10,$AJ1316=11,$AJ1316=18),"①病院一般",IF($AJ1316=41,"②病院短期","対象外")),IF($AH1316=5,IF($AJ1316=30,"③特定消防","対象外"),IF(OR($AJ1316=10,$AJ1316=11,$AJ1316=74),"④一般",IF(OR($AJ1316=41,$AJ1316=47),"⑤短期","対象外"))))))</f>
        <v>①病院一般</v>
      </c>
    </row>
    <row r="1317">
      <c r="A1317" t="n" s="2909">
        <v>215</v>
      </c>
      <c r="AA1317" t="n" s="2909">
        <v>22</v>
      </c>
      <c r="AB1317" t="inlineStr" s="2909">
        <is>
          <t>20200401</t>
        </is>
      </c>
      <c r="AD1317" t="n" s="2909">
        <v>12</v>
      </c>
      <c r="AE1317" t="inlineStr" s="2909">
        <is>
          <t>20250401</t>
        </is>
      </c>
      <c r="AH1317" t="n" s="2909">
        <v>1</v>
      </c>
      <c r="AJ1317" t="n" s="2909">
        <v>10</v>
      </c>
      <c r="AP1317" t="n" s="2909">
        <v>300000</v>
      </c>
      <c r="DB1317" s="2909" t="str">
        <f>IF($A1317="","",IF($AE1317&amp;""&lt;&gt;'DB_設定'!$C$4,"対象外",IF($AH1317=20,IF(OR($AJ1317=10,$AJ1317=11,$AJ1317=18),"①病院一般",IF($AJ1317=41,"②病院短期","対象外")),IF($AH1317=5,IF($AJ1317=30,"③特定消防","対象外"),IF(OR($AJ1317=10,$AJ1317=11,$AJ1317=74),"④一般",IF(OR($AJ1317=41,$AJ1317=47),"⑤短期","対象外"))))))</f>
        <v>④一般</v>
      </c>
    </row>
    <row r="1318">
      <c r="A1318" t="n" s="2909">
        <v>215</v>
      </c>
      <c r="AA1318" t="n" s="2909">
        <v>22</v>
      </c>
      <c r="AB1318" t="inlineStr" s="2909">
        <is>
          <t>20200401</t>
        </is>
      </c>
      <c r="AD1318" t="n" s="2909">
        <v>12</v>
      </c>
      <c r="AE1318" t="inlineStr" s="2909">
        <is>
          <t>20250401</t>
        </is>
      </c>
      <c r="AH1318" t="n" s="2909">
        <v>1</v>
      </c>
      <c r="AJ1318" t="n" s="2909">
        <v>10</v>
      </c>
      <c r="AP1318" t="n" s="2909">
        <v>340000</v>
      </c>
      <c r="DB1318" s="2909" t="str">
        <f>IF($A1318="","",IF($AE1318&amp;""&lt;&gt;'DB_設定'!$C$4,"対象外",IF($AH1318=20,IF(OR($AJ1318=10,$AJ1318=11,$AJ1318=18),"①病院一般",IF($AJ1318=41,"②病院短期","対象外")),IF($AH1318=5,IF($AJ1318=30,"③特定消防","対象外"),IF(OR($AJ1318=10,$AJ1318=11,$AJ1318=74),"④一般",IF(OR($AJ1318=41,$AJ1318=47),"⑤短期","対象外"))))))</f>
        <v>④一般</v>
      </c>
    </row>
    <row r="1319">
      <c r="A1319" t="n" s="2909">
        <v>215</v>
      </c>
      <c r="AA1319" t="n" s="2909">
        <v>22</v>
      </c>
      <c r="AB1319" t="inlineStr" s="2909">
        <is>
          <t>20200401</t>
        </is>
      </c>
      <c r="AD1319" t="n" s="2909">
        <v>12</v>
      </c>
      <c r="AE1319" t="inlineStr" s="2909">
        <is>
          <t>20250401</t>
        </is>
      </c>
      <c r="AH1319" t="n" s="2909">
        <v>1</v>
      </c>
      <c r="AJ1319" t="n" s="2909">
        <v>10</v>
      </c>
      <c r="AP1319" t="n" s="2909">
        <v>340000</v>
      </c>
      <c r="DB1319" s="2909" t="str">
        <f>IF($A1319="","",IF($AE1319&amp;""&lt;&gt;'DB_設定'!$C$4,"対象外",IF($AH1319=20,IF(OR($AJ1319=10,$AJ1319=11,$AJ1319=18),"①病院一般",IF($AJ1319=41,"②病院短期","対象外")),IF($AH1319=5,IF($AJ1319=30,"③特定消防","対象外"),IF(OR($AJ1319=10,$AJ1319=11,$AJ1319=74),"④一般",IF(OR($AJ1319=41,$AJ1319=47),"⑤短期","対象外"))))))</f>
        <v>④一般</v>
      </c>
    </row>
    <row r="1320">
      <c r="A1320" t="n" s="2909">
        <v>215</v>
      </c>
      <c r="AA1320" t="n" s="2909">
        <v>22</v>
      </c>
      <c r="AB1320" t="inlineStr" s="2909">
        <is>
          <t>20200401</t>
        </is>
      </c>
      <c r="AD1320" t="n" s="2909">
        <v>12</v>
      </c>
      <c r="AE1320" t="inlineStr" s="2909">
        <is>
          <t>20250401</t>
        </is>
      </c>
      <c r="AH1320" t="n" s="2909">
        <v>1</v>
      </c>
      <c r="AJ1320" t="n" s="2909">
        <v>10</v>
      </c>
      <c r="AP1320" t="n" s="2909">
        <v>320000</v>
      </c>
      <c r="DB1320" s="2909" t="str">
        <f>IF($A1320="","",IF($AE1320&amp;""&lt;&gt;'DB_設定'!$C$4,"対象外",IF($AH1320=20,IF(OR($AJ1320=10,$AJ1320=11,$AJ1320=18),"①病院一般",IF($AJ1320=41,"②病院短期","対象外")),IF($AH1320=5,IF($AJ1320=30,"③特定消防","対象外"),IF(OR($AJ1320=10,$AJ1320=11,$AJ1320=74),"④一般",IF(OR($AJ1320=41,$AJ1320=47),"⑤短期","対象外"))))))</f>
        <v>④一般</v>
      </c>
    </row>
    <row r="1321">
      <c r="A1321" t="n" s="2909">
        <v>215</v>
      </c>
      <c r="AA1321" t="n" s="2909">
        <v>22</v>
      </c>
      <c r="AB1321" t="inlineStr" s="2909">
        <is>
          <t>20200401</t>
        </is>
      </c>
      <c r="AD1321" t="n" s="2909">
        <v>12</v>
      </c>
      <c r="AE1321" t="inlineStr" s="2909">
        <is>
          <t>20250401</t>
        </is>
      </c>
      <c r="AH1321" t="n" s="2909">
        <v>1</v>
      </c>
      <c r="AJ1321" t="n" s="2909">
        <v>10</v>
      </c>
      <c r="AP1321" t="n" s="2909">
        <v>280000</v>
      </c>
      <c r="DB1321" s="2909" t="str">
        <f>IF($A1321="","",IF($AE1321&amp;""&lt;&gt;'DB_設定'!$C$4,"対象外",IF($AH1321=20,IF(OR($AJ1321=10,$AJ1321=11,$AJ1321=18),"①病院一般",IF($AJ1321=41,"②病院短期","対象外")),IF($AH1321=5,IF($AJ1321=30,"③特定消防","対象外"),IF(OR($AJ1321=10,$AJ1321=11,$AJ1321=74),"④一般",IF(OR($AJ1321=41,$AJ1321=47),"⑤短期","対象外"))))))</f>
        <v>④一般</v>
      </c>
    </row>
    <row r="1322">
      <c r="A1322" t="n" s="2909">
        <v>215</v>
      </c>
      <c r="AA1322" t="n" s="2909">
        <v>22</v>
      </c>
      <c r="AB1322" t="inlineStr" s="2909">
        <is>
          <t>20200401</t>
        </is>
      </c>
      <c r="AD1322" t="n" s="2909">
        <v>12</v>
      </c>
      <c r="AE1322" t="inlineStr" s="2909">
        <is>
          <t>20250401</t>
        </is>
      </c>
      <c r="AH1322" t="n" s="2909">
        <v>1</v>
      </c>
      <c r="AJ1322" t="n" s="2909">
        <v>10</v>
      </c>
      <c r="AP1322" t="n" s="2909">
        <v>300000</v>
      </c>
      <c r="DB1322" s="2909" t="str">
        <f>IF($A1322="","",IF($AE1322&amp;""&lt;&gt;'DB_設定'!$C$4,"対象外",IF($AH1322=20,IF(OR($AJ1322=10,$AJ1322=11,$AJ1322=18),"①病院一般",IF($AJ1322=41,"②病院短期","対象外")),IF($AH1322=5,IF($AJ1322=30,"③特定消防","対象外"),IF(OR($AJ1322=10,$AJ1322=11,$AJ1322=74),"④一般",IF(OR($AJ1322=41,$AJ1322=47),"⑤短期","対象外"))))))</f>
        <v>④一般</v>
      </c>
    </row>
    <row r="1323">
      <c r="A1323" t="n" s="2909">
        <v>215</v>
      </c>
      <c r="AA1323" t="n" s="2909">
        <v>22</v>
      </c>
      <c r="AB1323" t="inlineStr" s="2909">
        <is>
          <t>20200401</t>
        </is>
      </c>
      <c r="AD1323" t="n" s="2909">
        <v>11</v>
      </c>
      <c r="AE1323" t="inlineStr" s="2909">
        <is>
          <t>20250401</t>
        </is>
      </c>
      <c r="AH1323" t="n" s="2909">
        <v>1</v>
      </c>
      <c r="AJ1323" t="n" s="2909">
        <v>10</v>
      </c>
      <c r="AP1323" t="n" s="2909">
        <v>300000</v>
      </c>
      <c r="DB1323" s="2909" t="str">
        <f>IF($A1323="","",IF($AE1323&amp;""&lt;&gt;'DB_設定'!$C$4,"対象外",IF($AH1323=20,IF(OR($AJ1323=10,$AJ1323=11,$AJ1323=18),"①病院一般",IF($AJ1323=41,"②病院短期","対象外")),IF($AH1323=5,IF($AJ1323=30,"③特定消防","対象外"),IF(OR($AJ1323=10,$AJ1323=11,$AJ1323=74),"④一般",IF(OR($AJ1323=41,$AJ1323=47),"⑤短期","対象外"))))))</f>
        <v>④一般</v>
      </c>
    </row>
    <row r="1324">
      <c r="A1324" t="n" s="2909">
        <v>215</v>
      </c>
      <c r="AA1324" t="n" s="2909">
        <v>22</v>
      </c>
      <c r="AB1324" t="inlineStr" s="2909">
        <is>
          <t>20200401</t>
        </is>
      </c>
      <c r="AD1324" t="n" s="2909">
        <v>12</v>
      </c>
      <c r="AE1324" t="inlineStr" s="2909">
        <is>
          <t>20250401</t>
        </is>
      </c>
      <c r="AH1324" t="n" s="2909">
        <v>1</v>
      </c>
      <c r="AJ1324" t="n" s="2909">
        <v>10</v>
      </c>
      <c r="AP1324" t="n" s="2909">
        <v>360000</v>
      </c>
      <c r="DB1324" s="2909" t="str">
        <f>IF($A1324="","",IF($AE1324&amp;""&lt;&gt;'DB_設定'!$C$4,"対象外",IF($AH1324=20,IF(OR($AJ1324=10,$AJ1324=11,$AJ1324=18),"①病院一般",IF($AJ1324=41,"②病院短期","対象外")),IF($AH1324=5,IF($AJ1324=30,"③特定消防","対象外"),IF(OR($AJ1324=10,$AJ1324=11,$AJ1324=74),"④一般",IF(OR($AJ1324=41,$AJ1324=47),"⑤短期","対象外"))))))</f>
        <v>④一般</v>
      </c>
    </row>
    <row r="1325">
      <c r="A1325" t="n" s="2909">
        <v>215</v>
      </c>
      <c r="AA1325" t="n" s="2909">
        <v>22</v>
      </c>
      <c r="AB1325" t="inlineStr" s="2909">
        <is>
          <t>20220401</t>
        </is>
      </c>
      <c r="AD1325" t="n" s="2909">
        <v>12</v>
      </c>
      <c r="AE1325" t="inlineStr" s="2909">
        <is>
          <t>20250401</t>
        </is>
      </c>
      <c r="AH1325" t="n" s="2909">
        <v>20</v>
      </c>
      <c r="AJ1325" t="n" s="2909">
        <v>10</v>
      </c>
      <c r="AP1325" t="n" s="2909">
        <v>340000</v>
      </c>
      <c r="DB1325" s="2909" t="str">
        <f>IF($A1325="","",IF($AE1325&amp;""&lt;&gt;'DB_設定'!$C$4,"対象外",IF($AH1325=20,IF(OR($AJ1325=10,$AJ1325=11,$AJ1325=18),"①病院一般",IF($AJ1325=41,"②病院短期","対象外")),IF($AH1325=5,IF($AJ1325=30,"③特定消防","対象外"),IF(OR($AJ1325=10,$AJ1325=11,$AJ1325=74),"④一般",IF(OR($AJ1325=41,$AJ1325=47),"⑤短期","対象外"))))))</f>
        <v>①病院一般</v>
      </c>
    </row>
    <row r="1326">
      <c r="A1326" t="n" s="2909">
        <v>215</v>
      </c>
      <c r="AA1326" t="n" s="2909">
        <v>22</v>
      </c>
      <c r="AB1326" t="inlineStr" s="2909">
        <is>
          <t>20230401</t>
        </is>
      </c>
      <c r="AD1326" t="n" s="2909">
        <v>12</v>
      </c>
      <c r="AE1326" t="inlineStr" s="2909">
        <is>
          <t>20250401</t>
        </is>
      </c>
      <c r="AH1326" t="n" s="2909">
        <v>20</v>
      </c>
      <c r="AJ1326" t="n" s="2909">
        <v>10</v>
      </c>
      <c r="AP1326" t="n" s="2909">
        <v>320000</v>
      </c>
      <c r="DB1326" s="2909" t="str">
        <f>IF($A1326="","",IF($AE1326&amp;""&lt;&gt;'DB_設定'!$C$4,"対象外",IF($AH1326=20,IF(OR($AJ1326=10,$AJ1326=11,$AJ1326=18),"①病院一般",IF($AJ1326=41,"②病院短期","対象外")),IF($AH1326=5,IF($AJ1326=30,"③特定消防","対象外"),IF(OR($AJ1326=10,$AJ1326=11,$AJ1326=74),"④一般",IF(OR($AJ1326=41,$AJ1326=47),"⑤短期","対象外"))))))</f>
        <v>①病院一般</v>
      </c>
    </row>
    <row r="1327">
      <c r="A1327" t="n" s="2909">
        <v>215</v>
      </c>
      <c r="AA1327" t="n" s="2909">
        <v>22</v>
      </c>
      <c r="AB1327" t="inlineStr" s="2909">
        <is>
          <t>20200401</t>
        </is>
      </c>
      <c r="AD1327" t="n" s="2909">
        <v>12</v>
      </c>
      <c r="AE1327" t="inlineStr" s="2909">
        <is>
          <t>20250401</t>
        </is>
      </c>
      <c r="AH1327" t="n" s="2909">
        <v>20</v>
      </c>
      <c r="AJ1327" t="n" s="2909">
        <v>10</v>
      </c>
      <c r="AP1327" t="n" s="2909">
        <v>440000</v>
      </c>
      <c r="DB1327" s="2909" t="str">
        <f>IF($A1327="","",IF($AE1327&amp;""&lt;&gt;'DB_設定'!$C$4,"対象外",IF($AH1327=20,IF(OR($AJ1327=10,$AJ1327=11,$AJ1327=18),"①病院一般",IF($AJ1327=41,"②病院短期","対象外")),IF($AH1327=5,IF($AJ1327=30,"③特定消防","対象外"),IF(OR($AJ1327=10,$AJ1327=11,$AJ1327=74),"④一般",IF(OR($AJ1327=41,$AJ1327=47),"⑤短期","対象外"))))))</f>
        <v>①病院一般</v>
      </c>
    </row>
    <row r="1328">
      <c r="A1328" t="n" s="2909">
        <v>215</v>
      </c>
      <c r="AA1328" t="n" s="2909">
        <v>22</v>
      </c>
      <c r="AB1328" t="inlineStr" s="2909">
        <is>
          <t>20210401</t>
        </is>
      </c>
      <c r="AD1328" t="n" s="2909">
        <v>12</v>
      </c>
      <c r="AE1328" t="inlineStr" s="2909">
        <is>
          <t>20250401</t>
        </is>
      </c>
      <c r="AH1328" t="n" s="2909">
        <v>5</v>
      </c>
      <c r="AJ1328" t="n" s="2909">
        <v>30</v>
      </c>
      <c r="AP1328" t="n" s="2909">
        <v>320000</v>
      </c>
      <c r="DB1328" s="2909" t="str">
        <f>IF($A1328="","",IF($AE1328&amp;""&lt;&gt;'DB_設定'!$C$4,"対象外",IF($AH1328=20,IF(OR($AJ1328=10,$AJ1328=11,$AJ1328=18),"①病院一般",IF($AJ1328=41,"②病院短期","対象外")),IF($AH1328=5,IF($AJ1328=30,"③特定消防","対象外"),IF(OR($AJ1328=10,$AJ1328=11,$AJ1328=74),"④一般",IF(OR($AJ1328=41,$AJ1328=47),"⑤短期","対象外"))))))</f>
        <v>③特定消防</v>
      </c>
    </row>
    <row r="1329">
      <c r="A1329" t="n" s="2909">
        <v>215</v>
      </c>
      <c r="AA1329" t="n" s="2909">
        <v>22</v>
      </c>
      <c r="AB1329" t="inlineStr" s="2909">
        <is>
          <t>20200401</t>
        </is>
      </c>
      <c r="AD1329" t="n" s="2909">
        <v>12</v>
      </c>
      <c r="AE1329" t="inlineStr" s="2909">
        <is>
          <t>20250401</t>
        </is>
      </c>
      <c r="AH1329" t="n" s="2909">
        <v>5</v>
      </c>
      <c r="AJ1329" t="n" s="2909">
        <v>30</v>
      </c>
      <c r="AP1329" t="n" s="2909">
        <v>300000</v>
      </c>
      <c r="DB1329" s="2909" t="str">
        <f>IF($A1329="","",IF($AE1329&amp;""&lt;&gt;'DB_設定'!$C$4,"対象外",IF($AH1329=20,IF(OR($AJ1329=10,$AJ1329=11,$AJ1329=18),"①病院一般",IF($AJ1329=41,"②病院短期","対象外")),IF($AH1329=5,IF($AJ1329=30,"③特定消防","対象外"),IF(OR($AJ1329=10,$AJ1329=11,$AJ1329=74),"④一般",IF(OR($AJ1329=41,$AJ1329=47),"⑤短期","対象外"))))))</f>
        <v>③特定消防</v>
      </c>
    </row>
    <row r="1330">
      <c r="A1330" t="n" s="2909">
        <v>215</v>
      </c>
      <c r="AA1330" t="n" s="2909">
        <v>22</v>
      </c>
      <c r="AB1330" t="inlineStr" s="2909">
        <is>
          <t>20200401</t>
        </is>
      </c>
      <c r="AD1330" t="n" s="2909">
        <v>11</v>
      </c>
      <c r="AE1330" t="inlineStr" s="2909">
        <is>
          <t>20250401</t>
        </is>
      </c>
      <c r="AH1330" t="n" s="2909">
        <v>20</v>
      </c>
      <c r="AJ1330" t="n" s="2909">
        <v>10</v>
      </c>
      <c r="AP1330" t="n" s="2909">
        <v>410000</v>
      </c>
      <c r="DB1330" s="2909" t="str">
        <f>IF($A1330="","",IF($AE1330&amp;""&lt;&gt;'DB_設定'!$C$4,"対象外",IF($AH1330=20,IF(OR($AJ1330=10,$AJ1330=11,$AJ1330=18),"①病院一般",IF($AJ1330=41,"②病院短期","対象外")),IF($AH1330=5,IF($AJ1330=30,"③特定消防","対象外"),IF(OR($AJ1330=10,$AJ1330=11,$AJ1330=74),"④一般",IF(OR($AJ1330=41,$AJ1330=47),"⑤短期","対象外"))))))</f>
        <v>①病院一般</v>
      </c>
    </row>
    <row r="1331">
      <c r="A1331" t="n" s="2909">
        <v>215</v>
      </c>
      <c r="AA1331" t="n" s="2909">
        <v>22</v>
      </c>
      <c r="AB1331" t="inlineStr" s="2909">
        <is>
          <t>20200401</t>
        </is>
      </c>
      <c r="AD1331" t="n" s="2909">
        <v>12</v>
      </c>
      <c r="AE1331" t="inlineStr" s="2909">
        <is>
          <t>20250401</t>
        </is>
      </c>
      <c r="AH1331" t="n" s="2909">
        <v>1</v>
      </c>
      <c r="AJ1331" t="n" s="2909">
        <v>10</v>
      </c>
      <c r="AP1331" t="n" s="2909">
        <v>380000</v>
      </c>
      <c r="DB1331" s="2909" t="str">
        <f>IF($A1331="","",IF($AE1331&amp;""&lt;&gt;'DB_設定'!$C$4,"対象外",IF($AH1331=20,IF(OR($AJ1331=10,$AJ1331=11,$AJ1331=18),"①病院一般",IF($AJ1331=41,"②病院短期","対象外")),IF($AH1331=5,IF($AJ1331=30,"③特定消防","対象外"),IF(OR($AJ1331=10,$AJ1331=11,$AJ1331=74),"④一般",IF(OR($AJ1331=41,$AJ1331=47),"⑤短期","対象外"))))))</f>
        <v>④一般</v>
      </c>
    </row>
    <row r="1332">
      <c r="A1332" t="n" s="2909">
        <v>215</v>
      </c>
      <c r="AA1332" t="n" s="2909">
        <v>22</v>
      </c>
      <c r="AB1332" t="inlineStr" s="2909">
        <is>
          <t>20200401</t>
        </is>
      </c>
      <c r="AD1332" t="n" s="2909">
        <v>12</v>
      </c>
      <c r="AE1332" t="inlineStr" s="2909">
        <is>
          <t>20250401</t>
        </is>
      </c>
      <c r="AH1332" t="n" s="2909">
        <v>20</v>
      </c>
      <c r="AJ1332" t="n" s="2909">
        <v>10</v>
      </c>
      <c r="AP1332" t="n" s="2909">
        <v>440000</v>
      </c>
      <c r="DB1332" s="2909" t="str">
        <f>IF($A1332="","",IF($AE1332&amp;""&lt;&gt;'DB_設定'!$C$4,"対象外",IF($AH1332=20,IF(OR($AJ1332=10,$AJ1332=11,$AJ1332=18),"①病院一般",IF($AJ1332=41,"②病院短期","対象外")),IF($AH1332=5,IF($AJ1332=30,"③特定消防","対象外"),IF(OR($AJ1332=10,$AJ1332=11,$AJ1332=74),"④一般",IF(OR($AJ1332=41,$AJ1332=47),"⑤短期","対象外"))))))</f>
        <v>①病院一般</v>
      </c>
    </row>
    <row r="1333">
      <c r="A1333" t="n" s="2909">
        <v>215</v>
      </c>
      <c r="AA1333" t="n" s="2909">
        <v>22</v>
      </c>
      <c r="AB1333" t="inlineStr" s="2909">
        <is>
          <t>20200401</t>
        </is>
      </c>
      <c r="AD1333" t="n" s="2909">
        <v>12</v>
      </c>
      <c r="AE1333" t="inlineStr" s="2909">
        <is>
          <t>20250401</t>
        </is>
      </c>
      <c r="AH1333" t="n" s="2909">
        <v>1</v>
      </c>
      <c r="AJ1333" t="n" s="2909">
        <v>10</v>
      </c>
      <c r="AP1333" t="n" s="2909">
        <v>280000</v>
      </c>
      <c r="DB1333" s="2909" t="str">
        <f>IF($A1333="","",IF($AE1333&amp;""&lt;&gt;'DB_設定'!$C$4,"対象外",IF($AH1333=20,IF(OR($AJ1333=10,$AJ1333=11,$AJ1333=18),"①病院一般",IF($AJ1333=41,"②病院短期","対象外")),IF($AH1333=5,IF($AJ1333=30,"③特定消防","対象外"),IF(OR($AJ1333=10,$AJ1333=11,$AJ1333=74),"④一般",IF(OR($AJ1333=41,$AJ1333=47),"⑤短期","対象外"))))))</f>
        <v>④一般</v>
      </c>
    </row>
    <row r="1334">
      <c r="A1334" t="n" s="2909">
        <v>215</v>
      </c>
      <c r="AA1334" t="n" s="2909">
        <v>22</v>
      </c>
      <c r="AB1334" t="inlineStr" s="2909">
        <is>
          <t>20220401</t>
        </is>
      </c>
      <c r="AD1334" t="n" s="2909">
        <v>12</v>
      </c>
      <c r="AE1334" t="inlineStr" s="2909">
        <is>
          <t>20250401</t>
        </is>
      </c>
      <c r="AH1334" t="n" s="2909">
        <v>1</v>
      </c>
      <c r="AJ1334" t="n" s="2909">
        <v>10</v>
      </c>
      <c r="AP1334" t="n" s="2909">
        <v>280000</v>
      </c>
      <c r="DB1334" s="2909" t="str">
        <f>IF($A1334="","",IF($AE1334&amp;""&lt;&gt;'DB_設定'!$C$4,"対象外",IF($AH1334=20,IF(OR($AJ1334=10,$AJ1334=11,$AJ1334=18),"①病院一般",IF($AJ1334=41,"②病院短期","対象外")),IF($AH1334=5,IF($AJ1334=30,"③特定消防","対象外"),IF(OR($AJ1334=10,$AJ1334=11,$AJ1334=74),"④一般",IF(OR($AJ1334=41,$AJ1334=47),"⑤短期","対象外"))))))</f>
        <v>④一般</v>
      </c>
    </row>
    <row r="1335">
      <c r="A1335" t="n" s="2909">
        <v>215</v>
      </c>
      <c r="AA1335" t="n" s="2909">
        <v>22</v>
      </c>
      <c r="AB1335" t="inlineStr" s="2909">
        <is>
          <t>20230401</t>
        </is>
      </c>
      <c r="AD1335" t="n" s="2909">
        <v>12</v>
      </c>
      <c r="AE1335" t="inlineStr" s="2909">
        <is>
          <t>20250401</t>
        </is>
      </c>
      <c r="AH1335" t="n" s="2909">
        <v>20</v>
      </c>
      <c r="AJ1335" t="n" s="2909">
        <v>10</v>
      </c>
      <c r="AP1335" t="n" s="2909">
        <v>300000</v>
      </c>
      <c r="DB1335" s="2909" t="str">
        <f>IF($A1335="","",IF($AE1335&amp;""&lt;&gt;'DB_設定'!$C$4,"対象外",IF($AH1335=20,IF(OR($AJ1335=10,$AJ1335=11,$AJ1335=18),"①病院一般",IF($AJ1335=41,"②病院短期","対象外")),IF($AH1335=5,IF($AJ1335=30,"③特定消防","対象外"),IF(OR($AJ1335=10,$AJ1335=11,$AJ1335=74),"④一般",IF(OR($AJ1335=41,$AJ1335=47),"⑤短期","対象外"))))))</f>
        <v>①病院一般</v>
      </c>
    </row>
    <row r="1336">
      <c r="A1336" t="n" s="2909">
        <v>215</v>
      </c>
      <c r="AA1336" t="n" s="2909">
        <v>22</v>
      </c>
      <c r="AB1336" t="inlineStr" s="2909">
        <is>
          <t>20200401</t>
        </is>
      </c>
      <c r="AD1336" t="n" s="2909">
        <v>11</v>
      </c>
      <c r="AE1336" t="inlineStr" s="2909">
        <is>
          <t>20250401</t>
        </is>
      </c>
      <c r="AH1336" t="n" s="2909">
        <v>20</v>
      </c>
      <c r="AJ1336" t="n" s="2909">
        <v>10</v>
      </c>
      <c r="AP1336" t="n" s="2909">
        <v>300000</v>
      </c>
      <c r="DB1336" s="2909" t="str">
        <f>IF($A1336="","",IF($AE1336&amp;""&lt;&gt;'DB_設定'!$C$4,"対象外",IF($AH1336=20,IF(OR($AJ1336=10,$AJ1336=11,$AJ1336=18),"①病院一般",IF($AJ1336=41,"②病院短期","対象外")),IF($AH1336=5,IF($AJ1336=30,"③特定消防","対象外"),IF(OR($AJ1336=10,$AJ1336=11,$AJ1336=74),"④一般",IF(OR($AJ1336=41,$AJ1336=47),"⑤短期","対象外"))))))</f>
        <v>①病院一般</v>
      </c>
    </row>
    <row r="1337">
      <c r="A1337" t="n" s="2909">
        <v>215</v>
      </c>
      <c r="AA1337" t="n" s="2909">
        <v>22</v>
      </c>
      <c r="AB1337" t="inlineStr" s="2909">
        <is>
          <t>20200401</t>
        </is>
      </c>
      <c r="AD1337" t="n" s="2909">
        <v>12</v>
      </c>
      <c r="AE1337" t="inlineStr" s="2909">
        <is>
          <t>20250401</t>
        </is>
      </c>
      <c r="AH1337" t="n" s="2909">
        <v>5</v>
      </c>
      <c r="AJ1337" t="n" s="2909">
        <v>30</v>
      </c>
      <c r="AP1337" t="n" s="2909">
        <v>280000</v>
      </c>
      <c r="DB1337" s="2909" t="str">
        <f>IF($A1337="","",IF($AE1337&amp;""&lt;&gt;'DB_設定'!$C$4,"対象外",IF($AH1337=20,IF(OR($AJ1337=10,$AJ1337=11,$AJ1337=18),"①病院一般",IF($AJ1337=41,"②病院短期","対象外")),IF($AH1337=5,IF($AJ1337=30,"③特定消防","対象外"),IF(OR($AJ1337=10,$AJ1337=11,$AJ1337=74),"④一般",IF(OR($AJ1337=41,$AJ1337=47),"⑤短期","対象外"))))))</f>
        <v>③特定消防</v>
      </c>
    </row>
    <row r="1338">
      <c r="A1338" t="n" s="2909">
        <v>215</v>
      </c>
      <c r="AA1338" t="n" s="2909">
        <v>22</v>
      </c>
      <c r="AB1338" t="inlineStr" s="2909">
        <is>
          <t>20220401</t>
        </is>
      </c>
      <c r="AD1338" t="n" s="2909">
        <v>12</v>
      </c>
      <c r="AE1338" t="inlineStr" s="2909">
        <is>
          <t>20250401</t>
        </is>
      </c>
      <c r="AH1338" t="n" s="2909">
        <v>1</v>
      </c>
      <c r="AJ1338" t="n" s="2909">
        <v>10</v>
      </c>
      <c r="AP1338" t="n" s="2909">
        <v>280000</v>
      </c>
      <c r="DB1338" s="2909" t="str">
        <f>IF($A1338="","",IF($AE1338&amp;""&lt;&gt;'DB_設定'!$C$4,"対象外",IF($AH1338=20,IF(OR($AJ1338=10,$AJ1338=11,$AJ1338=18),"①病院一般",IF($AJ1338=41,"②病院短期","対象外")),IF($AH1338=5,IF($AJ1338=30,"③特定消防","対象外"),IF(OR($AJ1338=10,$AJ1338=11,$AJ1338=74),"④一般",IF(OR($AJ1338=41,$AJ1338=47),"⑤短期","対象外"))))))</f>
        <v>④一般</v>
      </c>
    </row>
    <row r="1339">
      <c r="A1339" t="n" s="2909">
        <v>215</v>
      </c>
      <c r="AA1339" t="n" s="2909">
        <v>22</v>
      </c>
      <c r="AB1339" t="inlineStr" s="2909">
        <is>
          <t>20230401</t>
        </is>
      </c>
      <c r="AD1339" t="n" s="2909">
        <v>12</v>
      </c>
      <c r="AE1339" t="inlineStr" s="2909">
        <is>
          <t>20250401</t>
        </is>
      </c>
      <c r="AH1339" t="n" s="2909">
        <v>1</v>
      </c>
      <c r="AJ1339" t="n" s="2909">
        <v>10</v>
      </c>
      <c r="AP1339" t="n" s="2909">
        <v>300000</v>
      </c>
      <c r="DB1339" s="2909" t="str">
        <f>IF($A1339="","",IF($AE1339&amp;""&lt;&gt;'DB_設定'!$C$4,"対象外",IF($AH1339=20,IF(OR($AJ1339=10,$AJ1339=11,$AJ1339=18),"①病院一般",IF($AJ1339=41,"②病院短期","対象外")),IF($AH1339=5,IF($AJ1339=30,"③特定消防","対象外"),IF(OR($AJ1339=10,$AJ1339=11,$AJ1339=74),"④一般",IF(OR($AJ1339=41,$AJ1339=47),"⑤短期","対象外"))))))</f>
        <v>④一般</v>
      </c>
    </row>
    <row r="1340">
      <c r="A1340" t="n" s="2909">
        <v>215</v>
      </c>
      <c r="AA1340" t="n" s="2909">
        <v>22</v>
      </c>
      <c r="AB1340" t="inlineStr" s="2909">
        <is>
          <t>20230401</t>
        </is>
      </c>
      <c r="AD1340" t="n" s="2909">
        <v>12</v>
      </c>
      <c r="AE1340" t="inlineStr" s="2909">
        <is>
          <t>20250401</t>
        </is>
      </c>
      <c r="AH1340" t="n" s="2909">
        <v>4</v>
      </c>
      <c r="AJ1340" t="n" s="2909">
        <v>10</v>
      </c>
      <c r="AP1340" t="n" s="2909">
        <v>300000</v>
      </c>
      <c r="DB1340" s="2909" t="str">
        <f>IF($A1340="","",IF($AE1340&amp;""&lt;&gt;'DB_設定'!$C$4,"対象外",IF($AH1340=20,IF(OR($AJ1340=10,$AJ1340=11,$AJ1340=18),"①病院一般",IF($AJ1340=41,"②病院短期","対象外")),IF($AH1340=5,IF($AJ1340=30,"③特定消防","対象外"),IF(OR($AJ1340=10,$AJ1340=11,$AJ1340=74),"④一般",IF(OR($AJ1340=41,$AJ1340=47),"⑤短期","対象外"))))))</f>
        <v>④一般</v>
      </c>
    </row>
    <row r="1341">
      <c r="A1341" t="n" s="2909">
        <v>215</v>
      </c>
      <c r="AA1341" t="n" s="2909">
        <v>22</v>
      </c>
      <c r="AB1341" t="inlineStr" s="2909">
        <is>
          <t>20230401</t>
        </is>
      </c>
      <c r="AD1341" t="n" s="2909">
        <v>12</v>
      </c>
      <c r="AE1341" t="inlineStr" s="2909">
        <is>
          <t>20250401</t>
        </is>
      </c>
      <c r="AH1341" t="n" s="2909">
        <v>1</v>
      </c>
      <c r="AJ1341" t="n" s="2909">
        <v>10</v>
      </c>
      <c r="AP1341" t="n" s="2909">
        <v>300000</v>
      </c>
      <c r="DB1341" s="2909" t="str">
        <f>IF($A1341="","",IF($AE1341&amp;""&lt;&gt;'DB_設定'!$C$4,"対象外",IF($AH1341=20,IF(OR($AJ1341=10,$AJ1341=11,$AJ1341=18),"①病院一般",IF($AJ1341=41,"②病院短期","対象外")),IF($AH1341=5,IF($AJ1341=30,"③特定消防","対象外"),IF(OR($AJ1341=10,$AJ1341=11,$AJ1341=74),"④一般",IF(OR($AJ1341=41,$AJ1341=47),"⑤短期","対象外"))))))</f>
        <v>④一般</v>
      </c>
    </row>
    <row r="1342">
      <c r="A1342" t="n" s="2909">
        <v>215</v>
      </c>
      <c r="AA1342" t="n" s="2909">
        <v>22</v>
      </c>
      <c r="AB1342" t="inlineStr" s="2909">
        <is>
          <t>20200401</t>
        </is>
      </c>
      <c r="AD1342" t="n" s="2909">
        <v>12</v>
      </c>
      <c r="AE1342" t="inlineStr" s="2909">
        <is>
          <t>20250401</t>
        </is>
      </c>
      <c r="AH1342" t="n" s="2909">
        <v>3</v>
      </c>
      <c r="AJ1342" t="n" s="2909">
        <v>10</v>
      </c>
      <c r="AP1342" t="n" s="2909">
        <v>380000</v>
      </c>
      <c r="DB1342" s="2909" t="str">
        <f>IF($A1342="","",IF($AE1342&amp;""&lt;&gt;'DB_設定'!$C$4,"対象外",IF($AH1342=20,IF(OR($AJ1342=10,$AJ1342=11,$AJ1342=18),"①病院一般",IF($AJ1342=41,"②病院短期","対象外")),IF($AH1342=5,IF($AJ1342=30,"③特定消防","対象外"),IF(OR($AJ1342=10,$AJ1342=11,$AJ1342=74),"④一般",IF(OR($AJ1342=41,$AJ1342=47),"⑤短期","対象外"))))))</f>
        <v>④一般</v>
      </c>
    </row>
    <row r="1343">
      <c r="A1343" t="n" s="2909">
        <v>215</v>
      </c>
      <c r="AA1343" t="n" s="2909">
        <v>22</v>
      </c>
      <c r="AB1343" t="inlineStr" s="2909">
        <is>
          <t>20200401</t>
        </is>
      </c>
      <c r="AD1343" t="n" s="2909">
        <v>12</v>
      </c>
      <c r="AE1343" t="inlineStr" s="2909">
        <is>
          <t>20250401</t>
        </is>
      </c>
      <c r="AH1343" t="n" s="2909">
        <v>11</v>
      </c>
      <c r="AJ1343" t="n" s="2909">
        <v>10</v>
      </c>
      <c r="AP1343" t="n" s="2909">
        <v>280000</v>
      </c>
      <c r="DB1343" s="2909" t="str">
        <f>IF($A1343="","",IF($AE1343&amp;""&lt;&gt;'DB_設定'!$C$4,"対象外",IF($AH1343=20,IF(OR($AJ1343=10,$AJ1343=11,$AJ1343=18),"①病院一般",IF($AJ1343=41,"②病院短期","対象外")),IF($AH1343=5,IF($AJ1343=30,"③特定消防","対象外"),IF(OR($AJ1343=10,$AJ1343=11,$AJ1343=74),"④一般",IF(OR($AJ1343=41,$AJ1343=47),"⑤短期","対象外"))))))</f>
        <v>④一般</v>
      </c>
    </row>
    <row r="1344">
      <c r="A1344" t="n" s="2909">
        <v>215</v>
      </c>
      <c r="AA1344" t="n" s="2909">
        <v>22</v>
      </c>
      <c r="AB1344" t="inlineStr" s="2909">
        <is>
          <t>20200401</t>
        </is>
      </c>
      <c r="AD1344" t="n" s="2909">
        <v>12</v>
      </c>
      <c r="AE1344" t="inlineStr" s="2909">
        <is>
          <t>20250401</t>
        </is>
      </c>
      <c r="AH1344" t="n" s="2909">
        <v>11</v>
      </c>
      <c r="AJ1344" t="n" s="2909">
        <v>10</v>
      </c>
      <c r="AP1344" t="n" s="2909">
        <v>300000</v>
      </c>
      <c r="DB1344" s="2909" t="str">
        <f>IF($A1344="","",IF($AE1344&amp;""&lt;&gt;'DB_設定'!$C$4,"対象外",IF($AH1344=20,IF(OR($AJ1344=10,$AJ1344=11,$AJ1344=18),"①病院一般",IF($AJ1344=41,"②病院短期","対象外")),IF($AH1344=5,IF($AJ1344=30,"③特定消防","対象外"),IF(OR($AJ1344=10,$AJ1344=11,$AJ1344=74),"④一般",IF(OR($AJ1344=41,$AJ1344=47),"⑤短期","対象外"))))))</f>
        <v>④一般</v>
      </c>
    </row>
    <row r="1345">
      <c r="A1345" t="n" s="2909">
        <v>215</v>
      </c>
      <c r="AA1345" t="n" s="2909">
        <v>22</v>
      </c>
      <c r="AB1345" t="inlineStr" s="2909">
        <is>
          <t>20230401</t>
        </is>
      </c>
      <c r="AD1345" t="n" s="2909">
        <v>12</v>
      </c>
      <c r="AE1345" t="inlineStr" s="2909">
        <is>
          <t>20250401</t>
        </is>
      </c>
      <c r="AH1345" t="n" s="2909">
        <v>20</v>
      </c>
      <c r="AJ1345" t="n" s="2909">
        <v>10</v>
      </c>
      <c r="AP1345" t="n" s="2909">
        <v>1030000</v>
      </c>
      <c r="DB1345" s="2909" t="str">
        <f>IF($A1345="","",IF($AE1345&amp;""&lt;&gt;'DB_設定'!$C$4,"対象外",IF($AH1345=20,IF(OR($AJ1345=10,$AJ1345=11,$AJ1345=18),"①病院一般",IF($AJ1345=41,"②病院短期","対象外")),IF($AH1345=5,IF($AJ1345=30,"③特定消防","対象外"),IF(OR($AJ1345=10,$AJ1345=11,$AJ1345=74),"④一般",IF(OR($AJ1345=41,$AJ1345=47),"⑤短期","対象外"))))))</f>
        <v>①病院一般</v>
      </c>
    </row>
    <row r="1346">
      <c r="A1346" t="n" s="2909">
        <v>215</v>
      </c>
      <c r="AA1346" t="n" s="2909">
        <v>22</v>
      </c>
      <c r="AB1346" t="inlineStr" s="2909">
        <is>
          <t>20200401</t>
        </is>
      </c>
      <c r="AD1346" t="n" s="2909">
        <v>12</v>
      </c>
      <c r="AE1346" t="inlineStr" s="2909">
        <is>
          <t>20250401</t>
        </is>
      </c>
      <c r="AH1346" t="n" s="2909">
        <v>1</v>
      </c>
      <c r="AJ1346" t="n" s="2909">
        <v>10</v>
      </c>
      <c r="AP1346" t="n" s="2909">
        <v>340000</v>
      </c>
      <c r="DB1346" s="2909" t="str">
        <f>IF($A1346="","",IF($AE1346&amp;""&lt;&gt;'DB_設定'!$C$4,"対象外",IF($AH1346=20,IF(OR($AJ1346=10,$AJ1346=11,$AJ1346=18),"①病院一般",IF($AJ1346=41,"②病院短期","対象外")),IF($AH1346=5,IF($AJ1346=30,"③特定消防","対象外"),IF(OR($AJ1346=10,$AJ1346=11,$AJ1346=74),"④一般",IF(OR($AJ1346=41,$AJ1346=47),"⑤短期","対象外"))))))</f>
        <v>④一般</v>
      </c>
    </row>
    <row r="1347">
      <c r="A1347" t="n" s="2909">
        <v>215</v>
      </c>
      <c r="AA1347" t="n" s="2909">
        <v>22</v>
      </c>
      <c r="AB1347" t="inlineStr" s="2909">
        <is>
          <t>20200401</t>
        </is>
      </c>
      <c r="AD1347" t="n" s="2909">
        <v>12</v>
      </c>
      <c r="AE1347" t="inlineStr" s="2909">
        <is>
          <t>20250401</t>
        </is>
      </c>
      <c r="AH1347" t="n" s="2909">
        <v>1</v>
      </c>
      <c r="AJ1347" t="n" s="2909">
        <v>10</v>
      </c>
      <c r="AP1347" t="n" s="2909">
        <v>340000</v>
      </c>
      <c r="DB1347" s="2909" t="str">
        <f>IF($A1347="","",IF($AE1347&amp;""&lt;&gt;'DB_設定'!$C$4,"対象外",IF($AH1347=20,IF(OR($AJ1347=10,$AJ1347=11,$AJ1347=18),"①病院一般",IF($AJ1347=41,"②病院短期","対象外")),IF($AH1347=5,IF($AJ1347=30,"③特定消防","対象外"),IF(OR($AJ1347=10,$AJ1347=11,$AJ1347=74),"④一般",IF(OR($AJ1347=41,$AJ1347=47),"⑤短期","対象外"))))))</f>
        <v>④一般</v>
      </c>
    </row>
    <row r="1348">
      <c r="A1348" t="n" s="2909">
        <v>215</v>
      </c>
      <c r="AA1348" t="n" s="2909">
        <v>22</v>
      </c>
      <c r="AB1348" t="inlineStr" s="2909">
        <is>
          <t>20200401</t>
        </is>
      </c>
      <c r="AD1348" t="n" s="2909">
        <v>12</v>
      </c>
      <c r="AE1348" t="inlineStr" s="2909">
        <is>
          <t>20250401</t>
        </is>
      </c>
      <c r="AH1348" t="n" s="2909">
        <v>1</v>
      </c>
      <c r="AJ1348" t="n" s="2909">
        <v>10</v>
      </c>
      <c r="AP1348" t="n" s="2909">
        <v>410000</v>
      </c>
      <c r="DB1348" s="2909" t="str">
        <f>IF($A1348="","",IF($AE1348&amp;""&lt;&gt;'DB_設定'!$C$4,"対象外",IF($AH1348=20,IF(OR($AJ1348=10,$AJ1348=11,$AJ1348=18),"①病院一般",IF($AJ1348=41,"②病院短期","対象外")),IF($AH1348=5,IF($AJ1348=30,"③特定消防","対象外"),IF(OR($AJ1348=10,$AJ1348=11,$AJ1348=74),"④一般",IF(OR($AJ1348=41,$AJ1348=47),"⑤短期","対象外"))))))</f>
        <v>④一般</v>
      </c>
    </row>
    <row r="1349">
      <c r="A1349" t="n" s="2909">
        <v>215</v>
      </c>
      <c r="AA1349" t="n" s="2909">
        <v>22</v>
      </c>
      <c r="AB1349" t="inlineStr" s="2909">
        <is>
          <t>20210401</t>
        </is>
      </c>
      <c r="AD1349" t="n" s="2909">
        <v>12</v>
      </c>
      <c r="AE1349" t="inlineStr" s="2909">
        <is>
          <t>20250401</t>
        </is>
      </c>
      <c r="AH1349" t="n" s="2909">
        <v>1</v>
      </c>
      <c r="AJ1349" t="n" s="2909">
        <v>10</v>
      </c>
      <c r="AP1349" t="n" s="2909">
        <v>300000</v>
      </c>
      <c r="DB1349" s="2909" t="str">
        <f>IF($A1349="","",IF($AE1349&amp;""&lt;&gt;'DB_設定'!$C$4,"対象外",IF($AH1349=20,IF(OR($AJ1349=10,$AJ1349=11,$AJ1349=18),"①病院一般",IF($AJ1349=41,"②病院短期","対象外")),IF($AH1349=5,IF($AJ1349=30,"③特定消防","対象外"),IF(OR($AJ1349=10,$AJ1349=11,$AJ1349=74),"④一般",IF(OR($AJ1349=41,$AJ1349=47),"⑤短期","対象外"))))))</f>
        <v>④一般</v>
      </c>
    </row>
    <row r="1350">
      <c r="A1350" t="n" s="2909">
        <v>215</v>
      </c>
      <c r="AA1350" t="n" s="2909">
        <v>22</v>
      </c>
      <c r="AB1350" t="inlineStr" s="2909">
        <is>
          <t>20200401</t>
        </is>
      </c>
      <c r="AD1350" t="n" s="2909">
        <v>12</v>
      </c>
      <c r="AE1350" t="inlineStr" s="2909">
        <is>
          <t>20250401</t>
        </is>
      </c>
      <c r="AH1350" t="n" s="2909">
        <v>3</v>
      </c>
      <c r="AJ1350" t="n" s="2909">
        <v>10</v>
      </c>
      <c r="AP1350" t="n" s="2909">
        <v>380000</v>
      </c>
      <c r="DB1350" s="2909" t="str">
        <f>IF($A1350="","",IF($AE1350&amp;""&lt;&gt;'DB_設定'!$C$4,"対象外",IF($AH1350=20,IF(OR($AJ1350=10,$AJ1350=11,$AJ1350=18),"①病院一般",IF($AJ1350=41,"②病院短期","対象外")),IF($AH1350=5,IF($AJ1350=30,"③特定消防","対象外"),IF(OR($AJ1350=10,$AJ1350=11,$AJ1350=74),"④一般",IF(OR($AJ1350=41,$AJ1350=47),"⑤短期","対象外"))))))</f>
        <v>④一般</v>
      </c>
    </row>
    <row r="1351">
      <c r="A1351" t="n" s="2909">
        <v>215</v>
      </c>
      <c r="AA1351" t="n" s="2909">
        <v>22</v>
      </c>
      <c r="AB1351" t="inlineStr" s="2909">
        <is>
          <t>20200401</t>
        </is>
      </c>
      <c r="AD1351" t="n" s="2909">
        <v>12</v>
      </c>
      <c r="AE1351" t="inlineStr" s="2909">
        <is>
          <t>20250401</t>
        </is>
      </c>
      <c r="AH1351" t="n" s="2909">
        <v>1</v>
      </c>
      <c r="AJ1351" t="n" s="2909">
        <v>10</v>
      </c>
      <c r="AP1351" t="n" s="2909">
        <v>340000</v>
      </c>
      <c r="DB1351" s="2909" t="str">
        <f>IF($A1351="","",IF($AE1351&amp;""&lt;&gt;'DB_設定'!$C$4,"対象外",IF($AH1351=20,IF(OR($AJ1351=10,$AJ1351=11,$AJ1351=18),"①病院一般",IF($AJ1351=41,"②病院短期","対象外")),IF($AH1351=5,IF($AJ1351=30,"③特定消防","対象外"),IF(OR($AJ1351=10,$AJ1351=11,$AJ1351=74),"④一般",IF(OR($AJ1351=41,$AJ1351=47),"⑤短期","対象外"))))))</f>
        <v>④一般</v>
      </c>
    </row>
    <row r="1352">
      <c r="A1352" t="n" s="2909">
        <v>215</v>
      </c>
      <c r="AA1352" t="n" s="2909">
        <v>22</v>
      </c>
      <c r="AB1352" t="inlineStr" s="2909">
        <is>
          <t>20200401</t>
        </is>
      </c>
      <c r="AD1352" t="n" s="2909">
        <v>12</v>
      </c>
      <c r="AE1352" t="inlineStr" s="2909">
        <is>
          <t>20250401</t>
        </is>
      </c>
      <c r="AH1352" t="n" s="2909">
        <v>3</v>
      </c>
      <c r="AJ1352" t="n" s="2909">
        <v>10</v>
      </c>
      <c r="AP1352" t="n" s="2909">
        <v>380000</v>
      </c>
      <c r="DB1352" s="2909" t="str">
        <f>IF($A1352="","",IF($AE1352&amp;""&lt;&gt;'DB_設定'!$C$4,"対象外",IF($AH1352=20,IF(OR($AJ1352=10,$AJ1352=11,$AJ1352=18),"①病院一般",IF($AJ1352=41,"②病院短期","対象外")),IF($AH1352=5,IF($AJ1352=30,"③特定消防","対象外"),IF(OR($AJ1352=10,$AJ1352=11,$AJ1352=74),"④一般",IF(OR($AJ1352=41,$AJ1352=47),"⑤短期","対象外"))))))</f>
        <v>④一般</v>
      </c>
    </row>
    <row r="1353">
      <c r="A1353" t="n" s="2909">
        <v>215</v>
      </c>
      <c r="AA1353" t="n" s="2909">
        <v>22</v>
      </c>
      <c r="AB1353" t="inlineStr" s="2909">
        <is>
          <t>20230401</t>
        </is>
      </c>
      <c r="AD1353" t="n" s="2909">
        <v>12</v>
      </c>
      <c r="AE1353" t="inlineStr" s="2909">
        <is>
          <t>20250401</t>
        </is>
      </c>
      <c r="AH1353" t="n" s="2909">
        <v>11</v>
      </c>
      <c r="AJ1353" t="n" s="2909">
        <v>10</v>
      </c>
      <c r="AP1353" t="n" s="2909">
        <v>260000</v>
      </c>
      <c r="DB1353" s="2909" t="str">
        <f>IF($A1353="","",IF($AE1353&amp;""&lt;&gt;'DB_設定'!$C$4,"対象外",IF($AH1353=20,IF(OR($AJ1353=10,$AJ1353=11,$AJ1353=18),"①病院一般",IF($AJ1353=41,"②病院短期","対象外")),IF($AH1353=5,IF($AJ1353=30,"③特定消防","対象外"),IF(OR($AJ1353=10,$AJ1353=11,$AJ1353=74),"④一般",IF(OR($AJ1353=41,$AJ1353=47),"⑤短期","対象外"))))))</f>
        <v>④一般</v>
      </c>
    </row>
    <row r="1354">
      <c r="A1354" t="n" s="2909">
        <v>215</v>
      </c>
      <c r="AA1354" t="n" s="2909">
        <v>22</v>
      </c>
      <c r="AB1354" t="inlineStr" s="2909">
        <is>
          <t>20230401</t>
        </is>
      </c>
      <c r="AD1354" t="n" s="2909">
        <v>12</v>
      </c>
      <c r="AE1354" t="inlineStr" s="2909">
        <is>
          <t>20250801</t>
        </is>
      </c>
      <c r="AH1354" t="n" s="2909">
        <v>1</v>
      </c>
      <c r="AJ1354" t="n" s="2909">
        <v>10</v>
      </c>
      <c r="AP1354" t="n" s="2909">
        <v>280000</v>
      </c>
      <c r="DB1354" s="2909" t="str">
        <f>IF($A1354="","",IF($AE1354&amp;""&lt;&gt;'DB_設定'!$C$4,"対象外",IF($AH1354=20,IF(OR($AJ1354=10,$AJ1354=11,$AJ1354=18),"①病院一般",IF($AJ1354=41,"②病院短期","対象外")),IF($AH1354=5,IF($AJ1354=30,"③特定消防","対象外"),IF(OR($AJ1354=10,$AJ1354=11,$AJ1354=74),"④一般",IF(OR($AJ1354=41,$AJ1354=47),"⑤短期","対象外"))))))</f>
        <v>対象外</v>
      </c>
    </row>
    <row r="1355">
      <c r="A1355" t="n" s="2909">
        <v>215</v>
      </c>
      <c r="AA1355" t="n" s="2909">
        <v>22</v>
      </c>
      <c r="AB1355" t="inlineStr" s="2909">
        <is>
          <t>20200401</t>
        </is>
      </c>
      <c r="AD1355" t="n" s="2909">
        <v>12</v>
      </c>
      <c r="AE1355" t="inlineStr" s="2909">
        <is>
          <t>20250401</t>
        </is>
      </c>
      <c r="AH1355" t="n" s="2909">
        <v>11</v>
      </c>
      <c r="AJ1355" t="n" s="2909">
        <v>10</v>
      </c>
      <c r="AP1355" t="n" s="2909">
        <v>260000</v>
      </c>
      <c r="DB1355" s="2909" t="str">
        <f>IF($A1355="","",IF($AE1355&amp;""&lt;&gt;'DB_設定'!$C$4,"対象外",IF($AH1355=20,IF(OR($AJ1355=10,$AJ1355=11,$AJ1355=18),"①病院一般",IF($AJ1355=41,"②病院短期","対象外")),IF($AH1355=5,IF($AJ1355=30,"③特定消防","対象外"),IF(OR($AJ1355=10,$AJ1355=11,$AJ1355=74),"④一般",IF(OR($AJ1355=41,$AJ1355=47),"⑤短期","対象外"))))))</f>
        <v>④一般</v>
      </c>
    </row>
    <row r="1356">
      <c r="A1356" t="n" s="2909">
        <v>215</v>
      </c>
      <c r="AA1356" t="n" s="2909">
        <v>22</v>
      </c>
      <c r="AB1356" t="inlineStr" s="2909">
        <is>
          <t>20200401</t>
        </is>
      </c>
      <c r="AD1356" t="n" s="2909">
        <v>12</v>
      </c>
      <c r="AE1356" t="inlineStr" s="2909">
        <is>
          <t>20250401</t>
        </is>
      </c>
      <c r="AH1356" t="n" s="2909">
        <v>11</v>
      </c>
      <c r="AJ1356" t="n" s="2909">
        <v>10</v>
      </c>
      <c r="AP1356" t="n" s="2909">
        <v>280000</v>
      </c>
      <c r="DB1356" s="2909" t="str">
        <f>IF($A1356="","",IF($AE1356&amp;""&lt;&gt;'DB_設定'!$C$4,"対象外",IF($AH1356=20,IF(OR($AJ1356=10,$AJ1356=11,$AJ1356=18),"①病院一般",IF($AJ1356=41,"②病院短期","対象外")),IF($AH1356=5,IF($AJ1356=30,"③特定消防","対象外"),IF(OR($AJ1356=10,$AJ1356=11,$AJ1356=74),"④一般",IF(OR($AJ1356=41,$AJ1356=47),"⑤短期","対象外"))))))</f>
        <v>④一般</v>
      </c>
    </row>
    <row r="1357">
      <c r="A1357" t="n" s="2909">
        <v>215</v>
      </c>
      <c r="AA1357" t="n" s="2909">
        <v>22</v>
      </c>
      <c r="AB1357" t="inlineStr" s="2909">
        <is>
          <t>20230401</t>
        </is>
      </c>
      <c r="AD1357" t="n" s="2909">
        <v>12</v>
      </c>
      <c r="AE1357" t="inlineStr" s="2909">
        <is>
          <t>20250401</t>
        </is>
      </c>
      <c r="AH1357" t="n" s="2909">
        <v>11</v>
      </c>
      <c r="AJ1357" t="n" s="2909">
        <v>10</v>
      </c>
      <c r="AP1357" t="n" s="2909">
        <v>260000</v>
      </c>
      <c r="DB1357" s="2909" t="str">
        <f>IF($A1357="","",IF($AE1357&amp;""&lt;&gt;'DB_設定'!$C$4,"対象外",IF($AH1357=20,IF(OR($AJ1357=10,$AJ1357=11,$AJ1357=18),"①病院一般",IF($AJ1357=41,"②病院短期","対象外")),IF($AH1357=5,IF($AJ1357=30,"③特定消防","対象外"),IF(OR($AJ1357=10,$AJ1357=11,$AJ1357=74),"④一般",IF(OR($AJ1357=41,$AJ1357=47),"⑤短期","対象外"))))))</f>
        <v>④一般</v>
      </c>
    </row>
    <row r="1358">
      <c r="A1358" t="n" s="2909">
        <v>215</v>
      </c>
      <c r="AA1358" t="n" s="2909">
        <v>22</v>
      </c>
      <c r="AB1358" t="inlineStr" s="2909">
        <is>
          <t>20200401</t>
        </is>
      </c>
      <c r="AD1358" t="n" s="2909">
        <v>12</v>
      </c>
      <c r="AE1358" t="inlineStr" s="2909">
        <is>
          <t>20250401</t>
        </is>
      </c>
      <c r="AH1358" t="n" s="2909">
        <v>5</v>
      </c>
      <c r="AJ1358" t="n" s="2909">
        <v>30</v>
      </c>
      <c r="AP1358" t="n" s="2909">
        <v>300000</v>
      </c>
      <c r="DB1358" s="2909" t="str">
        <f>IF($A1358="","",IF($AE1358&amp;""&lt;&gt;'DB_設定'!$C$4,"対象外",IF($AH1358=20,IF(OR($AJ1358=10,$AJ1358=11,$AJ1358=18),"①病院一般",IF($AJ1358=41,"②病院短期","対象外")),IF($AH1358=5,IF($AJ1358=30,"③特定消防","対象外"),IF(OR($AJ1358=10,$AJ1358=11,$AJ1358=74),"④一般",IF(OR($AJ1358=41,$AJ1358=47),"⑤短期","対象外"))))))</f>
        <v>③特定消防</v>
      </c>
    </row>
    <row r="1359">
      <c r="A1359" t="n" s="2909">
        <v>215</v>
      </c>
      <c r="AA1359" t="n" s="2909">
        <v>22</v>
      </c>
      <c r="AB1359" t="inlineStr" s="2909">
        <is>
          <t>20230401</t>
        </is>
      </c>
      <c r="AD1359" t="n" s="2909">
        <v>12</v>
      </c>
      <c r="AE1359" t="inlineStr" s="2909">
        <is>
          <t>20250401</t>
        </is>
      </c>
      <c r="AH1359" t="n" s="2909">
        <v>1</v>
      </c>
      <c r="AJ1359" t="n" s="2909">
        <v>10</v>
      </c>
      <c r="AP1359" t="n" s="2909">
        <v>280000</v>
      </c>
      <c r="DB1359" s="2909" t="str">
        <f>IF($A1359="","",IF($AE1359&amp;""&lt;&gt;'DB_設定'!$C$4,"対象外",IF($AH1359=20,IF(OR($AJ1359=10,$AJ1359=11,$AJ1359=18),"①病院一般",IF($AJ1359=41,"②病院短期","対象外")),IF($AH1359=5,IF($AJ1359=30,"③特定消防","対象外"),IF(OR($AJ1359=10,$AJ1359=11,$AJ1359=74),"④一般",IF(OR($AJ1359=41,$AJ1359=47),"⑤短期","対象外"))))))</f>
        <v>④一般</v>
      </c>
    </row>
    <row r="1360">
      <c r="A1360" t="n" s="2909">
        <v>215</v>
      </c>
      <c r="AA1360" t="n" s="2909">
        <v>21</v>
      </c>
      <c r="AB1360" t="inlineStr" s="2909">
        <is>
          <t>20200401</t>
        </is>
      </c>
      <c r="AD1360" t="n" s="2909">
        <v>11</v>
      </c>
      <c r="AE1360" t="inlineStr" s="2909">
        <is>
          <t>20250401</t>
        </is>
      </c>
      <c r="AH1360" t="n" s="2909">
        <v>11</v>
      </c>
      <c r="AJ1360" t="n" s="2909">
        <v>10</v>
      </c>
      <c r="AP1360" t="n" s="2909">
        <v>280000</v>
      </c>
      <c r="DB1360" s="2909" t="str">
        <f>IF($A1360="","",IF($AE1360&amp;""&lt;&gt;'DB_設定'!$C$4,"対象外",IF($AH1360=20,IF(OR($AJ1360=10,$AJ1360=11,$AJ1360=18),"①病院一般",IF($AJ1360=41,"②病院短期","対象外")),IF($AH1360=5,IF($AJ1360=30,"③特定消防","対象外"),IF(OR($AJ1360=10,$AJ1360=11,$AJ1360=74),"④一般",IF(OR($AJ1360=41,$AJ1360=47),"⑤短期","対象外"))))))</f>
        <v>④一般</v>
      </c>
    </row>
    <row r="1361">
      <c r="A1361" t="n" s="2909">
        <v>215</v>
      </c>
      <c r="AA1361" t="n" s="2909">
        <v>21</v>
      </c>
      <c r="AB1361" t="inlineStr" s="2909">
        <is>
          <t>20200401</t>
        </is>
      </c>
      <c r="AD1361" t="n" s="2909">
        <v>12</v>
      </c>
      <c r="AE1361" t="inlineStr" s="2909">
        <is>
          <t>20250401</t>
        </is>
      </c>
      <c r="AH1361" t="n" s="2909">
        <v>11</v>
      </c>
      <c r="AJ1361" t="n" s="2909">
        <v>10</v>
      </c>
      <c r="AP1361" t="n" s="2909">
        <v>260000</v>
      </c>
      <c r="DB1361" s="2909" t="str">
        <f>IF($A1361="","",IF($AE1361&amp;""&lt;&gt;'DB_設定'!$C$4,"対象外",IF($AH1361=20,IF(OR($AJ1361=10,$AJ1361=11,$AJ1361=18),"①病院一般",IF($AJ1361=41,"②病院短期","対象外")),IF($AH1361=5,IF($AJ1361=30,"③特定消防","対象外"),IF(OR($AJ1361=10,$AJ1361=11,$AJ1361=74),"④一般",IF(OR($AJ1361=41,$AJ1361=47),"⑤短期","対象外"))))))</f>
        <v>④一般</v>
      </c>
    </row>
    <row r="1362">
      <c r="DB1362" s="2909">
        <f>IF($A1362="","",IF($AE1362&amp;""&lt;&gt;'DB_設定'!$C$4,"対象外",IF($AH1362=20,IF(OR($AJ1362=10,$AJ1362=11,$AJ1362=18),"①病院一般",IF($AJ1362=41,"②病院短期","対象外")),IF($AH1362=5,IF($AJ1362=30,"③特定消防","対象外"),IF(OR($AJ1362=10,$AJ1362=11,$AJ1362=74),"④一般",IF(OR($AJ1362=41,$AJ1362=47),"⑤短期","対象外"))))))</f>
      </c>
    </row>
    <row r="1363">
      <c r="DB1363" s="2909">
        <f>IF($A1363="","",IF($AE1363&amp;""&lt;&gt;'DB_設定'!$C$4,"対象外",IF($AH1363=20,IF(OR($AJ1363=10,$AJ1363=11,$AJ1363=18),"①病院一般",IF($AJ1363=41,"②病院短期","対象外")),IF($AH1363=5,IF($AJ1363=30,"③特定消防","対象外"),IF(OR($AJ1363=10,$AJ1363=11,$AJ1363=74),"④一般",IF(OR($AJ1363=41,$AJ1363=47),"⑤短期","対象外"))))))</f>
      </c>
    </row>
    <row r="1364">
      <c r="DB1364" s="2909">
        <f>IF($A1364="","",IF($AE1364&amp;""&lt;&gt;'DB_設定'!$C$4,"対象外",IF($AH1364=20,IF(OR($AJ1364=10,$AJ1364=11,$AJ1364=18),"①病院一般",IF($AJ1364=41,"②病院短期","対象外")),IF($AH1364=5,IF($AJ1364=30,"③特定消防","対象外"),IF(OR($AJ1364=10,$AJ1364=11,$AJ1364=74),"④一般",IF(OR($AJ1364=41,$AJ1364=47),"⑤短期","対象外"))))))</f>
      </c>
    </row>
    <row r="1365">
      <c r="DB1365" s="2909">
        <f>IF($A1365="","",IF($AE1365&amp;""&lt;&gt;'DB_設定'!$C$4,"対象外",IF($AH1365=20,IF(OR($AJ1365=10,$AJ1365=11,$AJ1365=18),"①病院一般",IF($AJ1365=41,"②病院短期","対象外")),IF($AH1365=5,IF($AJ1365=30,"③特定消防","対象外"),IF(OR($AJ1365=10,$AJ1365=11,$AJ1365=74),"④一般",IF(OR($AJ1365=41,$AJ1365=47),"⑤短期","対象外"))))))</f>
      </c>
    </row>
    <row r="1366">
      <c r="DB1366" s="2909">
        <f>IF($A1366="","",IF($AE1366&amp;""&lt;&gt;'DB_設定'!$C$4,"対象外",IF($AH1366=20,IF(OR($AJ1366=10,$AJ1366=11,$AJ1366=18),"①病院一般",IF($AJ1366=41,"②病院短期","対象外")),IF($AH1366=5,IF($AJ1366=30,"③特定消防","対象外"),IF(OR($AJ1366=10,$AJ1366=11,$AJ1366=74),"④一般",IF(OR($AJ1366=41,$AJ1366=47),"⑤短期","対象外"))))))</f>
      </c>
    </row>
    <row r="1367">
      <c r="DB1367" s="2909">
        <f>IF($A1367="","",IF($AE1367&amp;""&lt;&gt;'DB_設定'!$C$4,"対象外",IF($AH1367=20,IF(OR($AJ1367=10,$AJ1367=11,$AJ1367=18),"①病院一般",IF($AJ1367=41,"②病院短期","対象外")),IF($AH1367=5,IF($AJ1367=30,"③特定消防","対象外"),IF(OR($AJ1367=10,$AJ1367=11,$AJ1367=74),"④一般",IF(OR($AJ1367=41,$AJ1367=47),"⑤短期","対象外"))))))</f>
      </c>
    </row>
    <row r="1368">
      <c r="DB1368" s="2909">
        <f>IF($A1368="","",IF($AE1368&amp;""&lt;&gt;'DB_設定'!$C$4,"対象外",IF($AH1368=20,IF(OR($AJ1368=10,$AJ1368=11,$AJ1368=18),"①病院一般",IF($AJ1368=41,"②病院短期","対象外")),IF($AH1368=5,IF($AJ1368=30,"③特定消防","対象外"),IF(OR($AJ1368=10,$AJ1368=11,$AJ1368=74),"④一般",IF(OR($AJ1368=41,$AJ1368=47),"⑤短期","対象外"))))))</f>
      </c>
    </row>
    <row r="1369">
      <c r="DB1369" s="2909">
        <f>IF($A1369="","",IF($AE1369&amp;""&lt;&gt;'DB_設定'!$C$4,"対象外",IF($AH1369=20,IF(OR($AJ1369=10,$AJ1369=11,$AJ1369=18),"①病院一般",IF($AJ1369=41,"②病院短期","対象外")),IF($AH1369=5,IF($AJ1369=30,"③特定消防","対象外"),IF(OR($AJ1369=10,$AJ1369=11,$AJ1369=74),"④一般",IF(OR($AJ1369=41,$AJ1369=47),"⑤短期","対象外"))))))</f>
      </c>
    </row>
    <row r="1370">
      <c r="DB1370" s="2909">
        <f>IF($A1370="","",IF($AE1370&amp;""&lt;&gt;'DB_設定'!$C$4,"対象外",IF($AH1370=20,IF(OR($AJ1370=10,$AJ1370=11,$AJ1370=18),"①病院一般",IF($AJ1370=41,"②病院短期","対象外")),IF($AH1370=5,IF($AJ1370=30,"③特定消防","対象外"),IF(OR($AJ1370=10,$AJ1370=11,$AJ1370=74),"④一般",IF(OR($AJ1370=41,$AJ1370=47),"⑤短期","対象外"))))))</f>
      </c>
    </row>
    <row r="1371">
      <c r="DB1371" s="2909">
        <f>IF($A1371="","",IF($AE1371&amp;""&lt;&gt;'DB_設定'!$C$4,"対象外",IF($AH1371=20,IF(OR($AJ1371=10,$AJ1371=11,$AJ1371=18),"①病院一般",IF($AJ1371=41,"②病院短期","対象外")),IF($AH1371=5,IF($AJ1371=30,"③特定消防","対象外"),IF(OR($AJ1371=10,$AJ1371=11,$AJ1371=74),"④一般",IF(OR($AJ1371=41,$AJ1371=47),"⑤短期","対象外"))))))</f>
      </c>
    </row>
    <row r="1372">
      <c r="DB1372" s="2909">
        <f>IF($A1372="","",IF($AE1372&amp;""&lt;&gt;'DB_設定'!$C$4,"対象外",IF($AH1372=20,IF(OR($AJ1372=10,$AJ1372=11,$AJ1372=18),"①病院一般",IF($AJ1372=41,"②病院短期","対象外")),IF($AH1372=5,IF($AJ1372=30,"③特定消防","対象外"),IF(OR($AJ1372=10,$AJ1372=11,$AJ1372=74),"④一般",IF(OR($AJ1372=41,$AJ1372=47),"⑤短期","対象外"))))))</f>
      </c>
    </row>
    <row r="1373">
      <c r="DB1373" s="2909">
        <f>IF($A1373="","",IF($AE1373&amp;""&lt;&gt;'DB_設定'!$C$4,"対象外",IF($AH1373=20,IF(OR($AJ1373=10,$AJ1373=11,$AJ1373=18),"①病院一般",IF($AJ1373=41,"②病院短期","対象外")),IF($AH1373=5,IF($AJ1373=30,"③特定消防","対象外"),IF(OR($AJ1373=10,$AJ1373=11,$AJ1373=74),"④一般",IF(OR($AJ1373=41,$AJ1373=47),"⑤短期","対象外"))))))</f>
      </c>
    </row>
    <row r="1374">
      <c r="DB1374" s="2909">
        <f>IF($A1374="","",IF($AE1374&amp;""&lt;&gt;'DB_設定'!$C$4,"対象外",IF($AH1374=20,IF(OR($AJ1374=10,$AJ1374=11,$AJ1374=18),"①病院一般",IF($AJ1374=41,"②病院短期","対象外")),IF($AH1374=5,IF($AJ1374=30,"③特定消防","対象外"),IF(OR($AJ1374=10,$AJ1374=11,$AJ1374=74),"④一般",IF(OR($AJ1374=41,$AJ1374=47),"⑤短期","対象外"))))))</f>
      </c>
    </row>
    <row r="1375">
      <c r="DB1375" s="2909">
        <f>IF($A1375="","",IF($AE1375&amp;""&lt;&gt;'DB_設定'!$C$4,"対象外",IF($AH1375=20,IF(OR($AJ1375=10,$AJ1375=11,$AJ1375=18),"①病院一般",IF($AJ1375=41,"②病院短期","対象外")),IF($AH1375=5,IF($AJ1375=30,"③特定消防","対象外"),IF(OR($AJ1375=10,$AJ1375=11,$AJ1375=74),"④一般",IF(OR($AJ1375=41,$AJ1375=47),"⑤短期","対象外"))))))</f>
      </c>
    </row>
    <row r="1376">
      <c r="DB1376" s="2909">
        <f>IF($A1376="","",IF($AE1376&amp;""&lt;&gt;'DB_設定'!$C$4,"対象外",IF($AH1376=20,IF(OR($AJ1376=10,$AJ1376=11,$AJ1376=18),"①病院一般",IF($AJ1376=41,"②病院短期","対象外")),IF($AH1376=5,IF($AJ1376=30,"③特定消防","対象外"),IF(OR($AJ1376=10,$AJ1376=11,$AJ1376=74),"④一般",IF(OR($AJ1376=41,$AJ1376=47),"⑤短期","対象外"))))))</f>
      </c>
    </row>
    <row r="1377">
      <c r="DB1377" s="2909">
        <f>IF($A1377="","",IF($AE1377&amp;""&lt;&gt;'DB_設定'!$C$4,"対象外",IF($AH1377=20,IF(OR($AJ1377=10,$AJ1377=11,$AJ1377=18),"①病院一般",IF($AJ1377=41,"②病院短期","対象外")),IF($AH1377=5,IF($AJ1377=30,"③特定消防","対象外"),IF(OR($AJ1377=10,$AJ1377=11,$AJ1377=74),"④一般",IF(OR($AJ1377=41,$AJ1377=47),"⑤短期","対象外"))))))</f>
      </c>
    </row>
    <row r="1378">
      <c r="DB1378" s="2909">
        <f>IF($A1378="","",IF($AE1378&amp;""&lt;&gt;'DB_設定'!$C$4,"対象外",IF($AH1378=20,IF(OR($AJ1378=10,$AJ1378=11,$AJ1378=18),"①病院一般",IF($AJ1378=41,"②病院短期","対象外")),IF($AH1378=5,IF($AJ1378=30,"③特定消防","対象外"),IF(OR($AJ1378=10,$AJ1378=11,$AJ1378=74),"④一般",IF(OR($AJ1378=41,$AJ1378=47),"⑤短期","対象外"))))))</f>
      </c>
    </row>
    <row r="1379">
      <c r="DB1379" s="2909">
        <f>IF($A1379="","",IF($AE1379&amp;""&lt;&gt;'DB_設定'!$C$4,"対象外",IF($AH1379=20,IF(OR($AJ1379=10,$AJ1379=11,$AJ1379=18),"①病院一般",IF($AJ1379=41,"②病院短期","対象外")),IF($AH1379=5,IF($AJ1379=30,"③特定消防","対象外"),IF(OR($AJ1379=10,$AJ1379=11,$AJ1379=74),"④一般",IF(OR($AJ1379=41,$AJ1379=47),"⑤短期","対象外"))))))</f>
      </c>
    </row>
    <row r="1380">
      <c r="DB1380" s="2909">
        <f>IF($A1380="","",IF($AE1380&amp;""&lt;&gt;'DB_設定'!$C$4,"対象外",IF($AH1380=20,IF(OR($AJ1380=10,$AJ1380=11,$AJ1380=18),"①病院一般",IF($AJ1380=41,"②病院短期","対象外")),IF($AH1380=5,IF($AJ1380=30,"③特定消防","対象外"),IF(OR($AJ1380=10,$AJ1380=11,$AJ1380=74),"④一般",IF(OR($AJ1380=41,$AJ1380=47),"⑤短期","対象外"))))))</f>
      </c>
    </row>
    <row r="1381">
      <c r="DB1381" s="2909">
        <f>IF($A1381="","",IF($AE1381&amp;""&lt;&gt;'DB_設定'!$C$4,"対象外",IF($AH1381=20,IF(OR($AJ1381=10,$AJ1381=11,$AJ1381=18),"①病院一般",IF($AJ1381=41,"②病院短期","対象外")),IF($AH1381=5,IF($AJ1381=30,"③特定消防","対象外"),IF(OR($AJ1381=10,$AJ1381=11,$AJ1381=74),"④一般",IF(OR($AJ1381=41,$AJ1381=47),"⑤短期","対象外"))))))</f>
      </c>
    </row>
    <row r="1382">
      <c r="DB1382" s="2909">
        <f>IF($A1382="","",IF($AE1382&amp;""&lt;&gt;'DB_設定'!$C$4,"対象外",IF($AH1382=20,IF(OR($AJ1382=10,$AJ1382=11,$AJ1382=18),"①病院一般",IF($AJ1382=41,"②病院短期","対象外")),IF($AH1382=5,IF($AJ1382=30,"③特定消防","対象外"),IF(OR($AJ1382=10,$AJ1382=11,$AJ1382=74),"④一般",IF(OR($AJ1382=41,$AJ1382=47),"⑤短期","対象外"))))))</f>
      </c>
    </row>
    <row r="1383">
      <c r="DB1383" s="2909">
        <f>IF($A1383="","",IF($AE1383&amp;""&lt;&gt;'DB_設定'!$C$4,"対象外",IF($AH1383=20,IF(OR($AJ1383=10,$AJ1383=11,$AJ1383=18),"①病院一般",IF($AJ1383=41,"②病院短期","対象外")),IF($AH1383=5,IF($AJ1383=30,"③特定消防","対象外"),IF(OR($AJ1383=10,$AJ1383=11,$AJ1383=74),"④一般",IF(OR($AJ1383=41,$AJ1383=47),"⑤短期","対象外"))))))</f>
      </c>
    </row>
    <row r="1384">
      <c r="DB1384" s="2909">
        <f>IF($A1384="","",IF($AE1384&amp;""&lt;&gt;'DB_設定'!$C$4,"対象外",IF($AH1384=20,IF(OR($AJ1384=10,$AJ1384=11,$AJ1384=18),"①病院一般",IF($AJ1384=41,"②病院短期","対象外")),IF($AH1384=5,IF($AJ1384=30,"③特定消防","対象外"),IF(OR($AJ1384=10,$AJ1384=11,$AJ1384=74),"④一般",IF(OR($AJ1384=41,$AJ1384=47),"⑤短期","対象外"))))))</f>
      </c>
    </row>
    <row r="1385">
      <c r="DB1385" s="2909">
        <f>IF($A1385="","",IF($AE1385&amp;""&lt;&gt;'DB_設定'!$C$4,"対象外",IF($AH1385=20,IF(OR($AJ1385=10,$AJ1385=11,$AJ1385=18),"①病院一般",IF($AJ1385=41,"②病院短期","対象外")),IF($AH1385=5,IF($AJ1385=30,"③特定消防","対象外"),IF(OR($AJ1385=10,$AJ1385=11,$AJ1385=74),"④一般",IF(OR($AJ1385=41,$AJ1385=47),"⑤短期","対象外"))))))</f>
      </c>
    </row>
    <row r="1386">
      <c r="DB1386" s="2909">
        <f>IF($A1386="","",IF($AE1386&amp;""&lt;&gt;'DB_設定'!$C$4,"対象外",IF($AH1386=20,IF(OR($AJ1386=10,$AJ1386=11,$AJ1386=18),"①病院一般",IF($AJ1386=41,"②病院短期","対象外")),IF($AH1386=5,IF($AJ1386=30,"③特定消防","対象外"),IF(OR($AJ1386=10,$AJ1386=11,$AJ1386=74),"④一般",IF(OR($AJ1386=41,$AJ1386=47),"⑤短期","対象外"))))))</f>
      </c>
    </row>
    <row r="1387">
      <c r="DB1387" s="2909">
        <f>IF($A1387="","",IF($AE1387&amp;""&lt;&gt;'DB_設定'!$C$4,"対象外",IF($AH1387=20,IF(OR($AJ1387=10,$AJ1387=11,$AJ1387=18),"①病院一般",IF($AJ1387=41,"②病院短期","対象外")),IF($AH1387=5,IF($AJ1387=30,"③特定消防","対象外"),IF(OR($AJ1387=10,$AJ1387=11,$AJ1387=74),"④一般",IF(OR($AJ1387=41,$AJ1387=47),"⑤短期","対象外"))))))</f>
      </c>
    </row>
    <row r="1388">
      <c r="DB1388" s="2909">
        <f>IF($A1388="","",IF($AE1388&amp;""&lt;&gt;'DB_設定'!$C$4,"対象外",IF($AH1388=20,IF(OR($AJ1388=10,$AJ1388=11,$AJ1388=18),"①病院一般",IF($AJ1388=41,"②病院短期","対象外")),IF($AH1388=5,IF($AJ1388=30,"③特定消防","対象外"),IF(OR($AJ1388=10,$AJ1388=11,$AJ1388=74),"④一般",IF(OR($AJ1388=41,$AJ1388=47),"⑤短期","対象外"))))))</f>
      </c>
    </row>
    <row r="1389">
      <c r="DB1389" s="2909">
        <f>IF($A1389="","",IF($AE1389&amp;""&lt;&gt;'DB_設定'!$C$4,"対象外",IF($AH1389=20,IF(OR($AJ1389=10,$AJ1389=11,$AJ1389=18),"①病院一般",IF($AJ1389=41,"②病院短期","対象外")),IF($AH1389=5,IF($AJ1389=30,"③特定消防","対象外"),IF(OR($AJ1389=10,$AJ1389=11,$AJ1389=74),"④一般",IF(OR($AJ1389=41,$AJ1389=47),"⑤短期","対象外"))))))</f>
      </c>
    </row>
    <row r="1390">
      <c r="DB1390" s="2909">
        <f>IF($A1390="","",IF($AE1390&amp;""&lt;&gt;'DB_設定'!$C$4,"対象外",IF($AH1390=20,IF(OR($AJ1390=10,$AJ1390=11,$AJ1390=18),"①病院一般",IF($AJ1390=41,"②病院短期","対象外")),IF($AH1390=5,IF($AJ1390=30,"③特定消防","対象外"),IF(OR($AJ1390=10,$AJ1390=11,$AJ1390=74),"④一般",IF(OR($AJ1390=41,$AJ1390=47),"⑤短期","対象外"))))))</f>
      </c>
    </row>
    <row r="1391">
      <c r="DB1391" s="2909">
        <f>IF($A1391="","",IF($AE1391&amp;""&lt;&gt;'DB_設定'!$C$4,"対象外",IF($AH1391=20,IF(OR($AJ1391=10,$AJ1391=11,$AJ1391=18),"①病院一般",IF($AJ1391=41,"②病院短期","対象外")),IF($AH1391=5,IF($AJ1391=30,"③特定消防","対象外"),IF(OR($AJ1391=10,$AJ1391=11,$AJ1391=74),"④一般",IF(OR($AJ1391=41,$AJ1391=47),"⑤短期","対象外"))))))</f>
      </c>
    </row>
    <row r="1392">
      <c r="DB1392" s="2909">
        <f>IF($A1392="","",IF($AE1392&amp;""&lt;&gt;'DB_設定'!$C$4,"対象外",IF($AH1392=20,IF(OR($AJ1392=10,$AJ1392=11,$AJ1392=18),"①病院一般",IF($AJ1392=41,"②病院短期","対象外")),IF($AH1392=5,IF($AJ1392=30,"③特定消防","対象外"),IF(OR($AJ1392=10,$AJ1392=11,$AJ1392=74),"④一般",IF(OR($AJ1392=41,$AJ1392=47),"⑤短期","対象外"))))))</f>
      </c>
    </row>
    <row r="1393">
      <c r="DB1393" s="2909">
        <f>IF($A1393="","",IF($AE1393&amp;""&lt;&gt;'DB_設定'!$C$4,"対象外",IF($AH1393=20,IF(OR($AJ1393=10,$AJ1393=11,$AJ1393=18),"①病院一般",IF($AJ1393=41,"②病院短期","対象外")),IF($AH1393=5,IF($AJ1393=30,"③特定消防","対象外"),IF(OR($AJ1393=10,$AJ1393=11,$AJ1393=74),"④一般",IF(OR($AJ1393=41,$AJ1393=47),"⑤短期","対象外"))))))</f>
      </c>
    </row>
    <row r="1394">
      <c r="DB1394" s="2909">
        <f>IF($A1394="","",IF($AE1394&amp;""&lt;&gt;'DB_設定'!$C$4,"対象外",IF($AH1394=20,IF(OR($AJ1394=10,$AJ1394=11,$AJ1394=18),"①病院一般",IF($AJ1394=41,"②病院短期","対象外")),IF($AH1394=5,IF($AJ1394=30,"③特定消防","対象外"),IF(OR($AJ1394=10,$AJ1394=11,$AJ1394=74),"④一般",IF(OR($AJ1394=41,$AJ1394=47),"⑤短期","対象外"))))))</f>
      </c>
    </row>
    <row r="1395">
      <c r="DB1395" s="2909">
        <f>IF($A1395="","",IF($AE1395&amp;""&lt;&gt;'DB_設定'!$C$4,"対象外",IF($AH1395=20,IF(OR($AJ1395=10,$AJ1395=11,$AJ1395=18),"①病院一般",IF($AJ1395=41,"②病院短期","対象外")),IF($AH1395=5,IF($AJ1395=30,"③特定消防","対象外"),IF(OR($AJ1395=10,$AJ1395=11,$AJ1395=74),"④一般",IF(OR($AJ1395=41,$AJ1395=47),"⑤短期","対象外"))))))</f>
      </c>
    </row>
    <row r="1396">
      <c r="DB1396" s="2909">
        <f>IF($A1396="","",IF($AE1396&amp;""&lt;&gt;'DB_設定'!$C$4,"対象外",IF($AH1396=20,IF(OR($AJ1396=10,$AJ1396=11,$AJ1396=18),"①病院一般",IF($AJ1396=41,"②病院短期","対象外")),IF($AH1396=5,IF($AJ1396=30,"③特定消防","対象外"),IF(OR($AJ1396=10,$AJ1396=11,$AJ1396=74),"④一般",IF(OR($AJ1396=41,$AJ1396=47),"⑤短期","対象外"))))))</f>
      </c>
    </row>
    <row r="1397">
      <c r="DB1397" s="2909">
        <f>IF($A1397="","",IF($AE1397&amp;""&lt;&gt;'DB_設定'!$C$4,"対象外",IF($AH1397=20,IF(OR($AJ1397=10,$AJ1397=11,$AJ1397=18),"①病院一般",IF($AJ1397=41,"②病院短期","対象外")),IF($AH1397=5,IF($AJ1397=30,"③特定消防","対象外"),IF(OR($AJ1397=10,$AJ1397=11,$AJ1397=74),"④一般",IF(OR($AJ1397=41,$AJ1397=47),"⑤短期","対象外"))))))</f>
      </c>
    </row>
    <row r="1398">
      <c r="DB1398" s="2909">
        <f>IF($A1398="","",IF($AE1398&amp;""&lt;&gt;'DB_設定'!$C$4,"対象外",IF($AH1398=20,IF(OR($AJ1398=10,$AJ1398=11,$AJ1398=18),"①病院一般",IF($AJ1398=41,"②病院短期","対象外")),IF($AH1398=5,IF($AJ1398=30,"③特定消防","対象外"),IF(OR($AJ1398=10,$AJ1398=11,$AJ1398=74),"④一般",IF(OR($AJ1398=41,$AJ1398=47),"⑤短期","対象外"))))))</f>
      </c>
    </row>
    <row r="1399">
      <c r="DB1399" s="2909">
        <f>IF($A1399="","",IF($AE1399&amp;""&lt;&gt;'DB_設定'!$C$4,"対象外",IF($AH1399=20,IF(OR($AJ1399=10,$AJ1399=11,$AJ1399=18),"①病院一般",IF($AJ1399=41,"②病院短期","対象外")),IF($AH1399=5,IF($AJ1399=30,"③特定消防","対象外"),IF(OR($AJ1399=10,$AJ1399=11,$AJ1399=74),"④一般",IF(OR($AJ1399=41,$AJ1399=47),"⑤短期","対象外"))))))</f>
      </c>
    </row>
    <row r="1400">
      <c r="DB1400" s="2909">
        <f>IF($A1400="","",IF($AE1400&amp;""&lt;&gt;'DB_設定'!$C$4,"対象外",IF($AH1400=20,IF(OR($AJ1400=10,$AJ1400=11,$AJ1400=18),"①病院一般",IF($AJ1400=41,"②病院短期","対象外")),IF($AH1400=5,IF($AJ1400=30,"③特定消防","対象外"),IF(OR($AJ1400=10,$AJ1400=11,$AJ1400=74),"④一般",IF(OR($AJ1400=41,$AJ1400=47),"⑤短期","対象外"))))))</f>
      </c>
    </row>
    <row r="1401">
      <c r="DB1401" s="2909">
        <f>IF($A1401="","",IF($AE1401&amp;""&lt;&gt;'DB_設定'!$C$4,"対象外",IF($AH1401=20,IF(OR($AJ1401=10,$AJ1401=11,$AJ1401=18),"①病院一般",IF($AJ1401=41,"②病院短期","対象外")),IF($AH1401=5,IF($AJ1401=30,"③特定消防","対象外"),IF(OR($AJ1401=10,$AJ1401=11,$AJ1401=74),"④一般",IF(OR($AJ1401=41,$AJ1401=47),"⑤短期","対象外"))))))</f>
      </c>
    </row>
    <row r="1402">
      <c r="DB1402" s="2909">
        <f>IF($A1402="","",IF($AE1402&amp;""&lt;&gt;'DB_設定'!$C$4,"対象外",IF($AH1402=20,IF(OR($AJ1402=10,$AJ1402=11,$AJ1402=18),"①病院一般",IF($AJ1402=41,"②病院短期","対象外")),IF($AH1402=5,IF($AJ1402=30,"③特定消防","対象外"),IF(OR($AJ1402=10,$AJ1402=11,$AJ1402=74),"④一般",IF(OR($AJ1402=41,$AJ1402=47),"⑤短期","対象外"))))))</f>
      </c>
    </row>
    <row r="1403">
      <c r="DB1403" s="2909">
        <f>IF($A1403="","",IF($AE1403&amp;""&lt;&gt;'DB_設定'!$C$4,"対象外",IF($AH1403=20,IF(OR($AJ1403=10,$AJ1403=11,$AJ1403=18),"①病院一般",IF($AJ1403=41,"②病院短期","対象外")),IF($AH1403=5,IF($AJ1403=30,"③特定消防","対象外"),IF(OR($AJ1403=10,$AJ1403=11,$AJ1403=74),"④一般",IF(OR($AJ1403=41,$AJ1403=47),"⑤短期","対象外"))))))</f>
      </c>
    </row>
    <row r="1404">
      <c r="DB1404" s="2909">
        <f>IF($A1404="","",IF($AE1404&amp;""&lt;&gt;'DB_設定'!$C$4,"対象外",IF($AH1404=20,IF(OR($AJ1404=10,$AJ1404=11,$AJ1404=18),"①病院一般",IF($AJ1404=41,"②病院短期","対象外")),IF($AH1404=5,IF($AJ1404=30,"③特定消防","対象外"),IF(OR($AJ1404=10,$AJ1404=11,$AJ1404=74),"④一般",IF(OR($AJ1404=41,$AJ1404=47),"⑤短期","対象外"))))))</f>
      </c>
    </row>
    <row r="1405">
      <c r="DB1405" s="2909">
        <f>IF($A1405="","",IF($AE1405&amp;""&lt;&gt;'DB_設定'!$C$4,"対象外",IF($AH1405=20,IF(OR($AJ1405=10,$AJ1405=11,$AJ1405=18),"①病院一般",IF($AJ1405=41,"②病院短期","対象外")),IF($AH1405=5,IF($AJ1405=30,"③特定消防","対象外"),IF(OR($AJ1405=10,$AJ1405=11,$AJ1405=74),"④一般",IF(OR($AJ1405=41,$AJ1405=47),"⑤短期","対象外"))))))</f>
      </c>
    </row>
    <row r="1406">
      <c r="DB1406" s="2909">
        <f>IF($A1406="","",IF($AE1406&amp;""&lt;&gt;'DB_設定'!$C$4,"対象外",IF($AH1406=20,IF(OR($AJ1406=10,$AJ1406=11,$AJ1406=18),"①病院一般",IF($AJ1406=41,"②病院短期","対象外")),IF($AH1406=5,IF($AJ1406=30,"③特定消防","対象外"),IF(OR($AJ1406=10,$AJ1406=11,$AJ1406=74),"④一般",IF(OR($AJ1406=41,$AJ1406=47),"⑤短期","対象外"))))))</f>
      </c>
    </row>
    <row r="1407">
      <c r="DB1407" s="2909">
        <f>IF($A1407="","",IF($AE1407&amp;""&lt;&gt;'DB_設定'!$C$4,"対象外",IF($AH1407=20,IF(OR($AJ1407=10,$AJ1407=11,$AJ1407=18),"①病院一般",IF($AJ1407=41,"②病院短期","対象外")),IF($AH1407=5,IF($AJ1407=30,"③特定消防","対象外"),IF(OR($AJ1407=10,$AJ1407=11,$AJ1407=74),"④一般",IF(OR($AJ1407=41,$AJ1407=47),"⑤短期","対象外"))))))</f>
      </c>
    </row>
    <row r="1408">
      <c r="DB1408" s="2909">
        <f>IF($A1408="","",IF($AE1408&amp;""&lt;&gt;'DB_設定'!$C$4,"対象外",IF($AH1408=20,IF(OR($AJ1408=10,$AJ1408=11,$AJ1408=18),"①病院一般",IF($AJ1408=41,"②病院短期","対象外")),IF($AH1408=5,IF($AJ1408=30,"③特定消防","対象外"),IF(OR($AJ1408=10,$AJ1408=11,$AJ1408=74),"④一般",IF(OR($AJ1408=41,$AJ1408=47),"⑤短期","対象外"))))))</f>
      </c>
    </row>
    <row r="1409">
      <c r="DB1409" s="2909">
        <f>IF($A1409="","",IF($AE1409&amp;""&lt;&gt;'DB_設定'!$C$4,"対象外",IF($AH1409=20,IF(OR($AJ1409=10,$AJ1409=11,$AJ1409=18),"①病院一般",IF($AJ1409=41,"②病院短期","対象外")),IF($AH1409=5,IF($AJ1409=30,"③特定消防","対象外"),IF(OR($AJ1409=10,$AJ1409=11,$AJ1409=74),"④一般",IF(OR($AJ1409=41,$AJ1409=47),"⑤短期","対象外"))))))</f>
      </c>
    </row>
    <row r="1410">
      <c r="DB1410" s="2909">
        <f>IF($A1410="","",IF($AE1410&amp;""&lt;&gt;'DB_設定'!$C$4,"対象外",IF($AH1410=20,IF(OR($AJ1410=10,$AJ1410=11,$AJ1410=18),"①病院一般",IF($AJ1410=41,"②病院短期","対象外")),IF($AH1410=5,IF($AJ1410=30,"③特定消防","対象外"),IF(OR($AJ1410=10,$AJ1410=11,$AJ1410=74),"④一般",IF(OR($AJ1410=41,$AJ1410=47),"⑤短期","対象外"))))))</f>
      </c>
    </row>
    <row r="1411">
      <c r="DB1411" s="2909">
        <f>IF($A1411="","",IF($AE1411&amp;""&lt;&gt;'DB_設定'!$C$4,"対象外",IF($AH1411=20,IF(OR($AJ1411=10,$AJ1411=11,$AJ1411=18),"①病院一般",IF($AJ1411=41,"②病院短期","対象外")),IF($AH1411=5,IF($AJ1411=30,"③特定消防","対象外"),IF(OR($AJ1411=10,$AJ1411=11,$AJ1411=74),"④一般",IF(OR($AJ1411=41,$AJ1411=47),"⑤短期","対象外"))))))</f>
      </c>
    </row>
    <row r="1412">
      <c r="DB1412" s="2909">
        <f>IF($A1412="","",IF($AE1412&amp;""&lt;&gt;'DB_設定'!$C$4,"対象外",IF($AH1412=20,IF(OR($AJ1412=10,$AJ1412=11,$AJ1412=18),"①病院一般",IF($AJ1412=41,"②病院短期","対象外")),IF($AH1412=5,IF($AJ1412=30,"③特定消防","対象外"),IF(OR($AJ1412=10,$AJ1412=11,$AJ1412=74),"④一般",IF(OR($AJ1412=41,$AJ1412=47),"⑤短期","対象外"))))))</f>
      </c>
    </row>
    <row r="1413">
      <c r="DB1413" s="2909">
        <f>IF($A1413="","",IF($AE1413&amp;""&lt;&gt;'DB_設定'!$C$4,"対象外",IF($AH1413=20,IF(OR($AJ1413=10,$AJ1413=11,$AJ1413=18),"①病院一般",IF($AJ1413=41,"②病院短期","対象外")),IF($AH1413=5,IF($AJ1413=30,"③特定消防","対象外"),IF(OR($AJ1413=10,$AJ1413=11,$AJ1413=74),"④一般",IF(OR($AJ1413=41,$AJ1413=47),"⑤短期","対象外"))))))</f>
      </c>
    </row>
    <row r="1414">
      <c r="DB1414" s="2909">
        <f>IF($A1414="","",IF($AE1414&amp;""&lt;&gt;'DB_設定'!$C$4,"対象外",IF($AH1414=20,IF(OR($AJ1414=10,$AJ1414=11,$AJ1414=18),"①病院一般",IF($AJ1414=41,"②病院短期","対象外")),IF($AH1414=5,IF($AJ1414=30,"③特定消防","対象外"),IF(OR($AJ1414=10,$AJ1414=11,$AJ1414=74),"④一般",IF(OR($AJ1414=41,$AJ1414=47),"⑤短期","対象外"))))))</f>
      </c>
    </row>
    <row r="1415">
      <c r="DB1415" s="2909">
        <f>IF($A1415="","",IF($AE1415&amp;""&lt;&gt;'DB_設定'!$C$4,"対象外",IF($AH1415=20,IF(OR($AJ1415=10,$AJ1415=11,$AJ1415=18),"①病院一般",IF($AJ1415=41,"②病院短期","対象外")),IF($AH1415=5,IF($AJ1415=30,"③特定消防","対象外"),IF(OR($AJ1415=10,$AJ1415=11,$AJ1415=74),"④一般",IF(OR($AJ1415=41,$AJ1415=47),"⑤短期","対象外"))))))</f>
      </c>
    </row>
    <row r="1416">
      <c r="DB1416" s="2909">
        <f>IF($A1416="","",IF($AE1416&amp;""&lt;&gt;'DB_設定'!$C$4,"対象外",IF($AH1416=20,IF(OR($AJ1416=10,$AJ1416=11,$AJ1416=18),"①病院一般",IF($AJ1416=41,"②病院短期","対象外")),IF($AH1416=5,IF($AJ1416=30,"③特定消防","対象外"),IF(OR($AJ1416=10,$AJ1416=11,$AJ1416=74),"④一般",IF(OR($AJ1416=41,$AJ1416=47),"⑤短期","対象外"))))))</f>
      </c>
    </row>
    <row r="1417">
      <c r="DB1417" s="2909">
        <f>IF($A1417="","",IF($AE1417&amp;""&lt;&gt;'DB_設定'!$C$4,"対象外",IF($AH1417=20,IF(OR($AJ1417=10,$AJ1417=11,$AJ1417=18),"①病院一般",IF($AJ1417=41,"②病院短期","対象外")),IF($AH1417=5,IF($AJ1417=30,"③特定消防","対象外"),IF(OR($AJ1417=10,$AJ1417=11,$AJ1417=74),"④一般",IF(OR($AJ1417=41,$AJ1417=47),"⑤短期","対象外"))))))</f>
      </c>
    </row>
    <row r="1418">
      <c r="DB1418" s="2909">
        <f>IF($A1418="","",IF($AE1418&amp;""&lt;&gt;'DB_設定'!$C$4,"対象外",IF($AH1418=20,IF(OR($AJ1418=10,$AJ1418=11,$AJ1418=18),"①病院一般",IF($AJ1418=41,"②病院短期","対象外")),IF($AH1418=5,IF($AJ1418=30,"③特定消防","対象外"),IF(OR($AJ1418=10,$AJ1418=11,$AJ1418=74),"④一般",IF(OR($AJ1418=41,$AJ1418=47),"⑤短期","対象外"))))))</f>
      </c>
    </row>
    <row r="1419">
      <c r="DB1419" s="2909">
        <f>IF($A1419="","",IF($AE1419&amp;""&lt;&gt;'DB_設定'!$C$4,"対象外",IF($AH1419=20,IF(OR($AJ1419=10,$AJ1419=11,$AJ1419=18),"①病院一般",IF($AJ1419=41,"②病院短期","対象外")),IF($AH1419=5,IF($AJ1419=30,"③特定消防","対象外"),IF(OR($AJ1419=10,$AJ1419=11,$AJ1419=74),"④一般",IF(OR($AJ1419=41,$AJ1419=47),"⑤短期","対象外"))))))</f>
      </c>
    </row>
    <row r="1420">
      <c r="DB1420" s="2909">
        <f>IF($A1420="","",IF($AE1420&amp;""&lt;&gt;'DB_設定'!$C$4,"対象外",IF($AH1420=20,IF(OR($AJ1420=10,$AJ1420=11,$AJ1420=18),"①病院一般",IF($AJ1420=41,"②病院短期","対象外")),IF($AH1420=5,IF($AJ1420=30,"③特定消防","対象外"),IF(OR($AJ1420=10,$AJ1420=11,$AJ1420=74),"④一般",IF(OR($AJ1420=41,$AJ1420=47),"⑤短期","対象外"))))))</f>
      </c>
    </row>
    <row r="1421">
      <c r="DB1421" s="2909">
        <f>IF($A1421="","",IF($AE1421&amp;""&lt;&gt;'DB_設定'!$C$4,"対象外",IF($AH1421=20,IF(OR($AJ1421=10,$AJ1421=11,$AJ1421=18),"①病院一般",IF($AJ1421=41,"②病院短期","対象外")),IF($AH1421=5,IF($AJ1421=30,"③特定消防","対象外"),IF(OR($AJ1421=10,$AJ1421=11,$AJ1421=74),"④一般",IF(OR($AJ1421=41,$AJ1421=47),"⑤短期","対象外"))))))</f>
      </c>
    </row>
    <row r="1422">
      <c r="DB1422" s="2909">
        <f>IF($A1422="","",IF($AE1422&amp;""&lt;&gt;'DB_設定'!$C$4,"対象外",IF($AH1422=20,IF(OR($AJ1422=10,$AJ1422=11,$AJ1422=18),"①病院一般",IF($AJ1422=41,"②病院短期","対象外")),IF($AH1422=5,IF($AJ1422=30,"③特定消防","対象外"),IF(OR($AJ1422=10,$AJ1422=11,$AJ1422=74),"④一般",IF(OR($AJ1422=41,$AJ1422=47),"⑤短期","対象外"))))))</f>
      </c>
    </row>
    <row r="1423">
      <c r="DB1423" s="2909">
        <f>IF($A1423="","",IF($AE1423&amp;""&lt;&gt;'DB_設定'!$C$4,"対象外",IF($AH1423=20,IF(OR($AJ1423=10,$AJ1423=11,$AJ1423=18),"①病院一般",IF($AJ1423=41,"②病院短期","対象外")),IF($AH1423=5,IF($AJ1423=30,"③特定消防","対象外"),IF(OR($AJ1423=10,$AJ1423=11,$AJ1423=74),"④一般",IF(OR($AJ1423=41,$AJ1423=47),"⑤短期","対象外"))))))</f>
      </c>
    </row>
    <row r="1424">
      <c r="DB1424" s="2909">
        <f>IF($A1424="","",IF($AE1424&amp;""&lt;&gt;'DB_設定'!$C$4,"対象外",IF($AH1424=20,IF(OR($AJ1424=10,$AJ1424=11,$AJ1424=18),"①病院一般",IF($AJ1424=41,"②病院短期","対象外")),IF($AH1424=5,IF($AJ1424=30,"③特定消防","対象外"),IF(OR($AJ1424=10,$AJ1424=11,$AJ1424=74),"④一般",IF(OR($AJ1424=41,$AJ1424=47),"⑤短期","対象外"))))))</f>
      </c>
    </row>
    <row r="1425">
      <c r="DB1425" s="2909">
        <f>IF($A1425="","",IF($AE1425&amp;""&lt;&gt;'DB_設定'!$C$4,"対象外",IF($AH1425=20,IF(OR($AJ1425=10,$AJ1425=11,$AJ1425=18),"①病院一般",IF($AJ1425=41,"②病院短期","対象外")),IF($AH1425=5,IF($AJ1425=30,"③特定消防","対象外"),IF(OR($AJ1425=10,$AJ1425=11,$AJ1425=74),"④一般",IF(OR($AJ1425=41,$AJ1425=47),"⑤短期","対象外"))))))</f>
      </c>
    </row>
    <row r="1426">
      <c r="DB1426" s="2909">
        <f>IF($A1426="","",IF($AE1426&amp;""&lt;&gt;'DB_設定'!$C$4,"対象外",IF($AH1426=20,IF(OR($AJ1426=10,$AJ1426=11,$AJ1426=18),"①病院一般",IF($AJ1426=41,"②病院短期","対象外")),IF($AH1426=5,IF($AJ1426=30,"③特定消防","対象外"),IF(OR($AJ1426=10,$AJ1426=11,$AJ1426=74),"④一般",IF(OR($AJ1426=41,$AJ1426=47),"⑤短期","対象外"))))))</f>
      </c>
    </row>
    <row r="1427">
      <c r="DB1427" s="2909">
        <f>IF($A1427="","",IF($AE1427&amp;""&lt;&gt;'DB_設定'!$C$4,"対象外",IF($AH1427=20,IF(OR($AJ1427=10,$AJ1427=11,$AJ1427=18),"①病院一般",IF($AJ1427=41,"②病院短期","対象外")),IF($AH1427=5,IF($AJ1427=30,"③特定消防","対象外"),IF(OR($AJ1427=10,$AJ1427=11,$AJ1427=74),"④一般",IF(OR($AJ1427=41,$AJ1427=47),"⑤短期","対象外"))))))</f>
      </c>
    </row>
    <row r="1428">
      <c r="DB1428" s="2909">
        <f>IF($A1428="","",IF($AE1428&amp;""&lt;&gt;'DB_設定'!$C$4,"対象外",IF($AH1428=20,IF(OR($AJ1428=10,$AJ1428=11,$AJ1428=18),"①病院一般",IF($AJ1428=41,"②病院短期","対象外")),IF($AH1428=5,IF($AJ1428=30,"③特定消防","対象外"),IF(OR($AJ1428=10,$AJ1428=11,$AJ1428=74),"④一般",IF(OR($AJ1428=41,$AJ1428=47),"⑤短期","対象外"))))))</f>
      </c>
    </row>
    <row r="1429">
      <c r="DB1429" s="2909">
        <f>IF($A1429="","",IF($AE1429&amp;""&lt;&gt;'DB_設定'!$C$4,"対象外",IF($AH1429=20,IF(OR($AJ1429=10,$AJ1429=11,$AJ1429=18),"①病院一般",IF($AJ1429=41,"②病院短期","対象外")),IF($AH1429=5,IF($AJ1429=30,"③特定消防","対象外"),IF(OR($AJ1429=10,$AJ1429=11,$AJ1429=74),"④一般",IF(OR($AJ1429=41,$AJ1429=47),"⑤短期","対象外"))))))</f>
      </c>
    </row>
    <row r="1430">
      <c r="DB1430" s="2909">
        <f>IF($A1430="","",IF($AE1430&amp;""&lt;&gt;'DB_設定'!$C$4,"対象外",IF($AH1430=20,IF(OR($AJ1430=10,$AJ1430=11,$AJ1430=18),"①病院一般",IF($AJ1430=41,"②病院短期","対象外")),IF($AH1430=5,IF($AJ1430=30,"③特定消防","対象外"),IF(OR($AJ1430=10,$AJ1430=11,$AJ1430=74),"④一般",IF(OR($AJ1430=41,$AJ1430=47),"⑤短期","対象外"))))))</f>
      </c>
    </row>
    <row r="1431">
      <c r="DB1431" s="2909">
        <f>IF($A1431="","",IF($AE1431&amp;""&lt;&gt;'DB_設定'!$C$4,"対象外",IF($AH1431=20,IF(OR($AJ1431=10,$AJ1431=11,$AJ1431=18),"①病院一般",IF($AJ1431=41,"②病院短期","対象外")),IF($AH1431=5,IF($AJ1431=30,"③特定消防","対象外"),IF(OR($AJ1431=10,$AJ1431=11,$AJ1431=74),"④一般",IF(OR($AJ1431=41,$AJ1431=47),"⑤短期","対象外"))))))</f>
      </c>
    </row>
    <row r="1432">
      <c r="DB1432" s="2909">
        <f>IF($A1432="","",IF($AE1432&amp;""&lt;&gt;'DB_設定'!$C$4,"対象外",IF($AH1432=20,IF(OR($AJ1432=10,$AJ1432=11,$AJ1432=18),"①病院一般",IF($AJ1432=41,"②病院短期","対象外")),IF($AH1432=5,IF($AJ1432=30,"③特定消防","対象外"),IF(OR($AJ1432=10,$AJ1432=11,$AJ1432=74),"④一般",IF(OR($AJ1432=41,$AJ1432=47),"⑤短期","対象外"))))))</f>
      </c>
    </row>
    <row r="1433">
      <c r="DB1433" s="2909">
        <f>IF($A1433="","",IF($AE1433&amp;""&lt;&gt;'DB_設定'!$C$4,"対象外",IF($AH1433=20,IF(OR($AJ1433=10,$AJ1433=11,$AJ1433=18),"①病院一般",IF($AJ1433=41,"②病院短期","対象外")),IF($AH1433=5,IF($AJ1433=30,"③特定消防","対象外"),IF(OR($AJ1433=10,$AJ1433=11,$AJ1433=74),"④一般",IF(OR($AJ1433=41,$AJ1433=47),"⑤短期","対象外"))))))</f>
      </c>
    </row>
    <row r="1434">
      <c r="DB1434" s="2909">
        <f>IF($A1434="","",IF($AE1434&amp;""&lt;&gt;'DB_設定'!$C$4,"対象外",IF($AH1434=20,IF(OR($AJ1434=10,$AJ1434=11,$AJ1434=18),"①病院一般",IF($AJ1434=41,"②病院短期","対象外")),IF($AH1434=5,IF($AJ1434=30,"③特定消防","対象外"),IF(OR($AJ1434=10,$AJ1434=11,$AJ1434=74),"④一般",IF(OR($AJ1434=41,$AJ1434=47),"⑤短期","対象外"))))))</f>
      </c>
    </row>
    <row r="1435">
      <c r="DB1435" s="2909">
        <f>IF($A1435="","",IF($AE1435&amp;""&lt;&gt;'DB_設定'!$C$4,"対象外",IF($AH1435=20,IF(OR($AJ1435=10,$AJ1435=11,$AJ1435=18),"①病院一般",IF($AJ1435=41,"②病院短期","対象外")),IF($AH1435=5,IF($AJ1435=30,"③特定消防","対象外"),IF(OR($AJ1435=10,$AJ1435=11,$AJ1435=74),"④一般",IF(OR($AJ1435=41,$AJ1435=47),"⑤短期","対象外"))))))</f>
      </c>
    </row>
    <row r="1436">
      <c r="DB1436" s="2909">
        <f>IF($A1436="","",IF($AE1436&amp;""&lt;&gt;'DB_設定'!$C$4,"対象外",IF($AH1436=20,IF(OR($AJ1436=10,$AJ1436=11,$AJ1436=18),"①病院一般",IF($AJ1436=41,"②病院短期","対象外")),IF($AH1436=5,IF($AJ1436=30,"③特定消防","対象外"),IF(OR($AJ1436=10,$AJ1436=11,$AJ1436=74),"④一般",IF(OR($AJ1436=41,$AJ1436=47),"⑤短期","対象外"))))))</f>
      </c>
    </row>
    <row r="1437">
      <c r="DB1437" s="2909">
        <f>IF($A1437="","",IF($AE1437&amp;""&lt;&gt;'DB_設定'!$C$4,"対象外",IF($AH1437=20,IF(OR($AJ1437=10,$AJ1437=11,$AJ1437=18),"①病院一般",IF($AJ1437=41,"②病院短期","対象外")),IF($AH1437=5,IF($AJ1437=30,"③特定消防","対象外"),IF(OR($AJ1437=10,$AJ1437=11,$AJ1437=74),"④一般",IF(OR($AJ1437=41,$AJ1437=47),"⑤短期","対象外"))))))</f>
      </c>
    </row>
    <row r="1438">
      <c r="DB1438" s="2909">
        <f>IF($A1438="","",IF($AE1438&amp;""&lt;&gt;'DB_設定'!$C$4,"対象外",IF($AH1438=20,IF(OR($AJ1438=10,$AJ1438=11,$AJ1438=18),"①病院一般",IF($AJ1438=41,"②病院短期","対象外")),IF($AH1438=5,IF($AJ1438=30,"③特定消防","対象外"),IF(OR($AJ1438=10,$AJ1438=11,$AJ1438=74),"④一般",IF(OR($AJ1438=41,$AJ1438=47),"⑤短期","対象外"))))))</f>
      </c>
    </row>
    <row r="1439">
      <c r="DB1439" s="2909">
        <f>IF($A1439="","",IF($AE1439&amp;""&lt;&gt;'DB_設定'!$C$4,"対象外",IF($AH1439=20,IF(OR($AJ1439=10,$AJ1439=11,$AJ1439=18),"①病院一般",IF($AJ1439=41,"②病院短期","対象外")),IF($AH1439=5,IF($AJ1439=30,"③特定消防","対象外"),IF(OR($AJ1439=10,$AJ1439=11,$AJ1439=74),"④一般",IF(OR($AJ1439=41,$AJ1439=47),"⑤短期","対象外"))))))</f>
      </c>
    </row>
    <row r="1440">
      <c r="DB1440" s="2909">
        <f>IF($A1440="","",IF($AE1440&amp;""&lt;&gt;'DB_設定'!$C$4,"対象外",IF($AH1440=20,IF(OR($AJ1440=10,$AJ1440=11,$AJ1440=18),"①病院一般",IF($AJ1440=41,"②病院短期","対象外")),IF($AH1440=5,IF($AJ1440=30,"③特定消防","対象外"),IF(OR($AJ1440=10,$AJ1440=11,$AJ1440=74),"④一般",IF(OR($AJ1440=41,$AJ1440=47),"⑤短期","対象外"))))))</f>
      </c>
    </row>
    <row r="1441">
      <c r="DB1441" s="2909">
        <f>IF($A1441="","",IF($AE1441&amp;""&lt;&gt;'DB_設定'!$C$4,"対象外",IF($AH1441=20,IF(OR($AJ1441=10,$AJ1441=11,$AJ1441=18),"①病院一般",IF($AJ1441=41,"②病院短期","対象外")),IF($AH1441=5,IF($AJ1441=30,"③特定消防","対象外"),IF(OR($AJ1441=10,$AJ1441=11,$AJ1441=74),"④一般",IF(OR($AJ1441=41,$AJ1441=47),"⑤短期","対象外"))))))</f>
      </c>
    </row>
    <row r="1442">
      <c r="DB1442" s="2909">
        <f>IF($A1442="","",IF($AE1442&amp;""&lt;&gt;'DB_設定'!$C$4,"対象外",IF($AH1442=20,IF(OR($AJ1442=10,$AJ1442=11,$AJ1442=18),"①病院一般",IF($AJ1442=41,"②病院短期","対象外")),IF($AH1442=5,IF($AJ1442=30,"③特定消防","対象外"),IF(OR($AJ1442=10,$AJ1442=11,$AJ1442=74),"④一般",IF(OR($AJ1442=41,$AJ1442=47),"⑤短期","対象外"))))))</f>
      </c>
    </row>
    <row r="1443">
      <c r="DB1443" s="2909">
        <f>IF($A1443="","",IF($AE1443&amp;""&lt;&gt;'DB_設定'!$C$4,"対象外",IF($AH1443=20,IF(OR($AJ1443=10,$AJ1443=11,$AJ1443=18),"①病院一般",IF($AJ1443=41,"②病院短期","対象外")),IF($AH1443=5,IF($AJ1443=30,"③特定消防","対象外"),IF(OR($AJ1443=10,$AJ1443=11,$AJ1443=74),"④一般",IF(OR($AJ1443=41,$AJ1443=47),"⑤短期","対象外"))))))</f>
      </c>
    </row>
    <row r="1444">
      <c r="DB1444" s="2909">
        <f>IF($A1444="","",IF($AE1444&amp;""&lt;&gt;'DB_設定'!$C$4,"対象外",IF($AH1444=20,IF(OR($AJ1444=10,$AJ1444=11,$AJ1444=18),"①病院一般",IF($AJ1444=41,"②病院短期","対象外")),IF($AH1444=5,IF($AJ1444=30,"③特定消防","対象外"),IF(OR($AJ1444=10,$AJ1444=11,$AJ1444=74),"④一般",IF(OR($AJ1444=41,$AJ1444=47),"⑤短期","対象外"))))))</f>
      </c>
    </row>
    <row r="1445">
      <c r="DB1445" s="2909">
        <f>IF($A1445="","",IF($AE1445&amp;""&lt;&gt;'DB_設定'!$C$4,"対象外",IF($AH1445=20,IF(OR($AJ1445=10,$AJ1445=11,$AJ1445=18),"①病院一般",IF($AJ1445=41,"②病院短期","対象外")),IF($AH1445=5,IF($AJ1445=30,"③特定消防","対象外"),IF(OR($AJ1445=10,$AJ1445=11,$AJ1445=74),"④一般",IF(OR($AJ1445=41,$AJ1445=47),"⑤短期","対象外"))))))</f>
      </c>
    </row>
    <row r="1446">
      <c r="DB1446" s="2909">
        <f>IF($A1446="","",IF($AE1446&amp;""&lt;&gt;'DB_設定'!$C$4,"対象外",IF($AH1446=20,IF(OR($AJ1446=10,$AJ1446=11,$AJ1446=18),"①病院一般",IF($AJ1446=41,"②病院短期","対象外")),IF($AH1446=5,IF($AJ1446=30,"③特定消防","対象外"),IF(OR($AJ1446=10,$AJ1446=11,$AJ1446=74),"④一般",IF(OR($AJ1446=41,$AJ1446=47),"⑤短期","対象外"))))))</f>
      </c>
    </row>
    <row r="1447">
      <c r="DB1447" s="2909">
        <f>IF($A1447="","",IF($AE1447&amp;""&lt;&gt;'DB_設定'!$C$4,"対象外",IF($AH1447=20,IF(OR($AJ1447=10,$AJ1447=11,$AJ1447=18),"①病院一般",IF($AJ1447=41,"②病院短期","対象外")),IF($AH1447=5,IF($AJ1447=30,"③特定消防","対象外"),IF(OR($AJ1447=10,$AJ1447=11,$AJ1447=74),"④一般",IF(OR($AJ1447=41,$AJ1447=47),"⑤短期","対象外"))))))</f>
      </c>
    </row>
    <row r="1448">
      <c r="DB1448" s="2909">
        <f>IF($A1448="","",IF($AE1448&amp;""&lt;&gt;'DB_設定'!$C$4,"対象外",IF($AH1448=20,IF(OR($AJ1448=10,$AJ1448=11,$AJ1448=18),"①病院一般",IF($AJ1448=41,"②病院短期","対象外")),IF($AH1448=5,IF($AJ1448=30,"③特定消防","対象外"),IF(OR($AJ1448=10,$AJ1448=11,$AJ1448=74),"④一般",IF(OR($AJ1448=41,$AJ1448=47),"⑤短期","対象外"))))))</f>
      </c>
    </row>
    <row r="1449">
      <c r="DB1449" s="2909">
        <f>IF($A1449="","",IF($AE1449&amp;""&lt;&gt;'DB_設定'!$C$4,"対象外",IF($AH1449=20,IF(OR($AJ1449=10,$AJ1449=11,$AJ1449=18),"①病院一般",IF($AJ1449=41,"②病院短期","対象外")),IF($AH1449=5,IF($AJ1449=30,"③特定消防","対象外"),IF(OR($AJ1449=10,$AJ1449=11,$AJ1449=74),"④一般",IF(OR($AJ1449=41,$AJ1449=47),"⑤短期","対象外"))))))</f>
      </c>
    </row>
    <row r="1450">
      <c r="DB1450" s="2909">
        <f>IF($A1450="","",IF($AE1450&amp;""&lt;&gt;'DB_設定'!$C$4,"対象外",IF($AH1450=20,IF(OR($AJ1450=10,$AJ1450=11,$AJ1450=18),"①病院一般",IF($AJ1450=41,"②病院短期","対象外")),IF($AH1450=5,IF($AJ1450=30,"③特定消防","対象外"),IF(OR($AJ1450=10,$AJ1450=11,$AJ1450=74),"④一般",IF(OR($AJ1450=41,$AJ1450=47),"⑤短期","対象外"))))))</f>
      </c>
    </row>
    <row r="1451">
      <c r="DB1451" s="2909">
        <f>IF($A1451="","",IF($AE1451&amp;""&lt;&gt;'DB_設定'!$C$4,"対象外",IF($AH1451=20,IF(OR($AJ1451=10,$AJ1451=11,$AJ1451=18),"①病院一般",IF($AJ1451=41,"②病院短期","対象外")),IF($AH1451=5,IF($AJ1451=30,"③特定消防","対象外"),IF(OR($AJ1451=10,$AJ1451=11,$AJ1451=74),"④一般",IF(OR($AJ1451=41,$AJ1451=47),"⑤短期","対象外"))))))</f>
      </c>
    </row>
    <row r="1452">
      <c r="DB1452" s="2909">
        <f>IF($A1452="","",IF($AE1452&amp;""&lt;&gt;'DB_設定'!$C$4,"対象外",IF($AH1452=20,IF(OR($AJ1452=10,$AJ1452=11,$AJ1452=18),"①病院一般",IF($AJ1452=41,"②病院短期","対象外")),IF($AH1452=5,IF($AJ1452=30,"③特定消防","対象外"),IF(OR($AJ1452=10,$AJ1452=11,$AJ1452=74),"④一般",IF(OR($AJ1452=41,$AJ1452=47),"⑤短期","対象外"))))))</f>
      </c>
    </row>
    <row r="1453">
      <c r="DB1453" s="2909">
        <f>IF($A1453="","",IF($AE1453&amp;""&lt;&gt;'DB_設定'!$C$4,"対象外",IF($AH1453=20,IF(OR($AJ1453=10,$AJ1453=11,$AJ1453=18),"①病院一般",IF($AJ1453=41,"②病院短期","対象外")),IF($AH1453=5,IF($AJ1453=30,"③特定消防","対象外"),IF(OR($AJ1453=10,$AJ1453=11,$AJ1453=74),"④一般",IF(OR($AJ1453=41,$AJ1453=47),"⑤短期","対象外"))))))</f>
      </c>
    </row>
    <row r="1454">
      <c r="DB1454" s="2909">
        <f>IF($A1454="","",IF($AE1454&amp;""&lt;&gt;'DB_設定'!$C$4,"対象外",IF($AH1454=20,IF(OR($AJ1454=10,$AJ1454=11,$AJ1454=18),"①病院一般",IF($AJ1454=41,"②病院短期","対象外")),IF($AH1454=5,IF($AJ1454=30,"③特定消防","対象外"),IF(OR($AJ1454=10,$AJ1454=11,$AJ1454=74),"④一般",IF(OR($AJ1454=41,$AJ1454=47),"⑤短期","対象外"))))))</f>
      </c>
    </row>
    <row r="1455">
      <c r="DB1455" s="2909">
        <f>IF($A1455="","",IF($AE1455&amp;""&lt;&gt;'DB_設定'!$C$4,"対象外",IF($AH1455=20,IF(OR($AJ1455=10,$AJ1455=11,$AJ1455=18),"①病院一般",IF($AJ1455=41,"②病院短期","対象外")),IF($AH1455=5,IF($AJ1455=30,"③特定消防","対象外"),IF(OR($AJ1455=10,$AJ1455=11,$AJ1455=74),"④一般",IF(OR($AJ1455=41,$AJ1455=47),"⑤短期","対象外"))))))</f>
      </c>
    </row>
    <row r="1456">
      <c r="DB1456" s="2909">
        <f>IF($A1456="","",IF($AE1456&amp;""&lt;&gt;'DB_設定'!$C$4,"対象外",IF($AH1456=20,IF(OR($AJ1456=10,$AJ1456=11,$AJ1456=18),"①病院一般",IF($AJ1456=41,"②病院短期","対象外")),IF($AH1456=5,IF($AJ1456=30,"③特定消防","対象外"),IF(OR($AJ1456=10,$AJ1456=11,$AJ1456=74),"④一般",IF(OR($AJ1456=41,$AJ1456=47),"⑤短期","対象外"))))))</f>
      </c>
    </row>
    <row r="1457">
      <c r="DB1457" s="2909">
        <f>IF($A1457="","",IF($AE1457&amp;""&lt;&gt;'DB_設定'!$C$4,"対象外",IF($AH1457=20,IF(OR($AJ1457=10,$AJ1457=11,$AJ1457=18),"①病院一般",IF($AJ1457=41,"②病院短期","対象外")),IF($AH1457=5,IF($AJ1457=30,"③特定消防","対象外"),IF(OR($AJ1457=10,$AJ1457=11,$AJ1457=74),"④一般",IF(OR($AJ1457=41,$AJ1457=47),"⑤短期","対象外"))))))</f>
      </c>
    </row>
    <row r="1458">
      <c r="DB1458" s="2909">
        <f>IF($A1458="","",IF($AE1458&amp;""&lt;&gt;'DB_設定'!$C$4,"対象外",IF($AH1458=20,IF(OR($AJ1458=10,$AJ1458=11,$AJ1458=18),"①病院一般",IF($AJ1458=41,"②病院短期","対象外")),IF($AH1458=5,IF($AJ1458=30,"③特定消防","対象外"),IF(OR($AJ1458=10,$AJ1458=11,$AJ1458=74),"④一般",IF(OR($AJ1458=41,$AJ1458=47),"⑤短期","対象外"))))))</f>
      </c>
    </row>
    <row r="1459">
      <c r="DB1459" s="2909">
        <f>IF($A1459="","",IF($AE1459&amp;""&lt;&gt;'DB_設定'!$C$4,"対象外",IF($AH1459=20,IF(OR($AJ1459=10,$AJ1459=11,$AJ1459=18),"①病院一般",IF($AJ1459=41,"②病院短期","対象外")),IF($AH1459=5,IF($AJ1459=30,"③特定消防","対象外"),IF(OR($AJ1459=10,$AJ1459=11,$AJ1459=74),"④一般",IF(OR($AJ1459=41,$AJ1459=47),"⑤短期","対象外"))))))</f>
      </c>
    </row>
    <row r="1460">
      <c r="DB1460" s="2909">
        <f>IF($A1460="","",IF($AE1460&amp;""&lt;&gt;'DB_設定'!$C$4,"対象外",IF($AH1460=20,IF(OR($AJ1460=10,$AJ1460=11,$AJ1460=18),"①病院一般",IF($AJ1460=41,"②病院短期","対象外")),IF($AH1460=5,IF($AJ1460=30,"③特定消防","対象外"),IF(OR($AJ1460=10,$AJ1460=11,$AJ1460=74),"④一般",IF(OR($AJ1460=41,$AJ1460=47),"⑤短期","対象外"))))))</f>
      </c>
    </row>
    <row r="1461">
      <c r="DB1461" s="2909">
        <f>IF($A1461="","",IF($AE1461&amp;""&lt;&gt;'DB_設定'!$C$4,"対象外",IF($AH1461=20,IF(OR($AJ1461=10,$AJ1461=11,$AJ1461=18),"①病院一般",IF($AJ1461=41,"②病院短期","対象外")),IF($AH1461=5,IF($AJ1461=30,"③特定消防","対象外"),IF(OR($AJ1461=10,$AJ1461=11,$AJ1461=74),"④一般",IF(OR($AJ1461=41,$AJ1461=47),"⑤短期","対象外"))))))</f>
      </c>
    </row>
    <row r="1462">
      <c r="DB1462" s="2909">
        <f>IF($A1462="","",IF($AE1462&amp;""&lt;&gt;'DB_設定'!$C$4,"対象外",IF($AH1462=20,IF(OR($AJ1462=10,$AJ1462=11,$AJ1462=18),"①病院一般",IF($AJ1462=41,"②病院短期","対象外")),IF($AH1462=5,IF($AJ1462=30,"③特定消防","対象外"),IF(OR($AJ1462=10,$AJ1462=11,$AJ1462=74),"④一般",IF(OR($AJ1462=41,$AJ1462=47),"⑤短期","対象外"))))))</f>
      </c>
    </row>
    <row r="1463">
      <c r="DB1463" s="2909">
        <f>IF($A1463="","",IF($AE1463&amp;""&lt;&gt;'DB_設定'!$C$4,"対象外",IF($AH1463=20,IF(OR($AJ1463=10,$AJ1463=11,$AJ1463=18),"①病院一般",IF($AJ1463=41,"②病院短期","対象外")),IF($AH1463=5,IF($AJ1463=30,"③特定消防","対象外"),IF(OR($AJ1463=10,$AJ1463=11,$AJ1463=74),"④一般",IF(OR($AJ1463=41,$AJ1463=47),"⑤短期","対象外"))))))</f>
      </c>
    </row>
    <row r="1464">
      <c r="DB1464" s="2909">
        <f>IF($A1464="","",IF($AE1464&amp;""&lt;&gt;'DB_設定'!$C$4,"対象外",IF($AH1464=20,IF(OR($AJ1464=10,$AJ1464=11,$AJ1464=18),"①病院一般",IF($AJ1464=41,"②病院短期","対象外")),IF($AH1464=5,IF($AJ1464=30,"③特定消防","対象外"),IF(OR($AJ1464=10,$AJ1464=11,$AJ1464=74),"④一般",IF(OR($AJ1464=41,$AJ1464=47),"⑤短期","対象外"))))))</f>
      </c>
    </row>
    <row r="1465">
      <c r="DB1465" s="2909">
        <f>IF($A1465="","",IF($AE1465&amp;""&lt;&gt;'DB_設定'!$C$4,"対象外",IF($AH1465=20,IF(OR($AJ1465=10,$AJ1465=11,$AJ1465=18),"①病院一般",IF($AJ1465=41,"②病院短期","対象外")),IF($AH1465=5,IF($AJ1465=30,"③特定消防","対象外"),IF(OR($AJ1465=10,$AJ1465=11,$AJ1465=74),"④一般",IF(OR($AJ1465=41,$AJ1465=47),"⑤短期","対象外"))))))</f>
      </c>
    </row>
    <row r="1466">
      <c r="DB1466" s="2909">
        <f>IF($A1466="","",IF($AE1466&amp;""&lt;&gt;'DB_設定'!$C$4,"対象外",IF($AH1466=20,IF(OR($AJ1466=10,$AJ1466=11,$AJ1466=18),"①病院一般",IF($AJ1466=41,"②病院短期","対象外")),IF($AH1466=5,IF($AJ1466=30,"③特定消防","対象外"),IF(OR($AJ1466=10,$AJ1466=11,$AJ1466=74),"④一般",IF(OR($AJ1466=41,$AJ1466=47),"⑤短期","対象外"))))))</f>
      </c>
    </row>
    <row r="1467">
      <c r="DB1467" s="2909">
        <f>IF($A1467="","",IF($AE1467&amp;""&lt;&gt;'DB_設定'!$C$4,"対象外",IF($AH1467=20,IF(OR($AJ1467=10,$AJ1467=11,$AJ1467=18),"①病院一般",IF($AJ1467=41,"②病院短期","対象外")),IF($AH1467=5,IF($AJ1467=30,"③特定消防","対象外"),IF(OR($AJ1467=10,$AJ1467=11,$AJ1467=74),"④一般",IF(OR($AJ1467=41,$AJ1467=47),"⑤短期","対象外"))))))</f>
      </c>
    </row>
    <row r="1468">
      <c r="DB1468" s="2909">
        <f>IF($A1468="","",IF($AE1468&amp;""&lt;&gt;'DB_設定'!$C$4,"対象外",IF($AH1468=20,IF(OR($AJ1468=10,$AJ1468=11,$AJ1468=18),"①病院一般",IF($AJ1468=41,"②病院短期","対象外")),IF($AH1468=5,IF($AJ1468=30,"③特定消防","対象外"),IF(OR($AJ1468=10,$AJ1468=11,$AJ1468=74),"④一般",IF(OR($AJ1468=41,$AJ1468=47),"⑤短期","対象外"))))))</f>
      </c>
    </row>
    <row r="1469">
      <c r="DB1469" s="2909">
        <f>IF($A1469="","",IF($AE1469&amp;""&lt;&gt;'DB_設定'!$C$4,"対象外",IF($AH1469=20,IF(OR($AJ1469=10,$AJ1469=11,$AJ1469=18),"①病院一般",IF($AJ1469=41,"②病院短期","対象外")),IF($AH1469=5,IF($AJ1469=30,"③特定消防","対象外"),IF(OR($AJ1469=10,$AJ1469=11,$AJ1469=74),"④一般",IF(OR($AJ1469=41,$AJ1469=47),"⑤短期","対象外"))))))</f>
      </c>
    </row>
    <row r="1470">
      <c r="DB1470" s="2909">
        <f>IF($A1470="","",IF($AE1470&amp;""&lt;&gt;'DB_設定'!$C$4,"対象外",IF($AH1470=20,IF(OR($AJ1470=10,$AJ1470=11,$AJ1470=18),"①病院一般",IF($AJ1470=41,"②病院短期","対象外")),IF($AH1470=5,IF($AJ1470=30,"③特定消防","対象外"),IF(OR($AJ1470=10,$AJ1470=11,$AJ1470=74),"④一般",IF(OR($AJ1470=41,$AJ1470=47),"⑤短期","対象外"))))))</f>
      </c>
    </row>
    <row r="1471">
      <c r="DB1471" s="2909">
        <f>IF($A1471="","",IF($AE1471&amp;""&lt;&gt;'DB_設定'!$C$4,"対象外",IF($AH1471=20,IF(OR($AJ1471=10,$AJ1471=11,$AJ1471=18),"①病院一般",IF($AJ1471=41,"②病院短期","対象外")),IF($AH1471=5,IF($AJ1471=30,"③特定消防","対象外"),IF(OR($AJ1471=10,$AJ1471=11,$AJ1471=74),"④一般",IF(OR($AJ1471=41,$AJ1471=47),"⑤短期","対象外"))))))</f>
      </c>
    </row>
    <row r="1472">
      <c r="DB1472" s="2909">
        <f>IF($A1472="","",IF($AE1472&amp;""&lt;&gt;'DB_設定'!$C$4,"対象外",IF($AH1472=20,IF(OR($AJ1472=10,$AJ1472=11,$AJ1472=18),"①病院一般",IF($AJ1472=41,"②病院短期","対象外")),IF($AH1472=5,IF($AJ1472=30,"③特定消防","対象外"),IF(OR($AJ1472=10,$AJ1472=11,$AJ1472=74),"④一般",IF(OR($AJ1472=41,$AJ1472=47),"⑤短期","対象外"))))))</f>
      </c>
    </row>
    <row r="1473">
      <c r="DB1473" s="2909">
        <f>IF($A1473="","",IF($AE1473&amp;""&lt;&gt;'DB_設定'!$C$4,"対象外",IF($AH1473=20,IF(OR($AJ1473=10,$AJ1473=11,$AJ1473=18),"①病院一般",IF($AJ1473=41,"②病院短期","対象外")),IF($AH1473=5,IF($AJ1473=30,"③特定消防","対象外"),IF(OR($AJ1473=10,$AJ1473=11,$AJ1473=74),"④一般",IF(OR($AJ1473=41,$AJ1473=47),"⑤短期","対象外"))))))</f>
      </c>
    </row>
    <row r="1474">
      <c r="DB1474" s="2909">
        <f>IF($A1474="","",IF($AE1474&amp;""&lt;&gt;'DB_設定'!$C$4,"対象外",IF($AH1474=20,IF(OR($AJ1474=10,$AJ1474=11,$AJ1474=18),"①病院一般",IF($AJ1474=41,"②病院短期","対象外")),IF($AH1474=5,IF($AJ1474=30,"③特定消防","対象外"),IF(OR($AJ1474=10,$AJ1474=11,$AJ1474=74),"④一般",IF(OR($AJ1474=41,$AJ1474=47),"⑤短期","対象外"))))))</f>
      </c>
    </row>
    <row r="1475">
      <c r="DB1475" s="2909">
        <f>IF($A1475="","",IF($AE1475&amp;""&lt;&gt;'DB_設定'!$C$4,"対象外",IF($AH1475=20,IF(OR($AJ1475=10,$AJ1475=11,$AJ1475=18),"①病院一般",IF($AJ1475=41,"②病院短期","対象外")),IF($AH1475=5,IF($AJ1475=30,"③特定消防","対象外"),IF(OR($AJ1475=10,$AJ1475=11,$AJ1475=74),"④一般",IF(OR($AJ1475=41,$AJ1475=47),"⑤短期","対象外"))))))</f>
      </c>
    </row>
    <row r="1476">
      <c r="DB1476" s="2909">
        <f>IF($A1476="","",IF($AE1476&amp;""&lt;&gt;'DB_設定'!$C$4,"対象外",IF($AH1476=20,IF(OR($AJ1476=10,$AJ1476=11,$AJ1476=18),"①病院一般",IF($AJ1476=41,"②病院短期","対象外")),IF($AH1476=5,IF($AJ1476=30,"③特定消防","対象外"),IF(OR($AJ1476=10,$AJ1476=11,$AJ1476=74),"④一般",IF(OR($AJ1476=41,$AJ1476=47),"⑤短期","対象外"))))))</f>
      </c>
    </row>
    <row r="1477">
      <c r="DB1477" s="2909">
        <f>IF($A1477="","",IF($AE1477&amp;""&lt;&gt;'DB_設定'!$C$4,"対象外",IF($AH1477=20,IF(OR($AJ1477=10,$AJ1477=11,$AJ1477=18),"①病院一般",IF($AJ1477=41,"②病院短期","対象外")),IF($AH1477=5,IF($AJ1477=30,"③特定消防","対象外"),IF(OR($AJ1477=10,$AJ1477=11,$AJ1477=74),"④一般",IF(OR($AJ1477=41,$AJ1477=47),"⑤短期","対象外"))))))</f>
      </c>
    </row>
    <row r="1478">
      <c r="DB1478" s="2909">
        <f>IF($A1478="","",IF($AE1478&amp;""&lt;&gt;'DB_設定'!$C$4,"対象外",IF($AH1478=20,IF(OR($AJ1478=10,$AJ1478=11,$AJ1478=18),"①病院一般",IF($AJ1478=41,"②病院短期","対象外")),IF($AH1478=5,IF($AJ1478=30,"③特定消防","対象外"),IF(OR($AJ1478=10,$AJ1478=11,$AJ1478=74),"④一般",IF(OR($AJ1478=41,$AJ1478=47),"⑤短期","対象外"))))))</f>
      </c>
    </row>
    <row r="1479">
      <c r="DB1479" s="2909">
        <f>IF($A1479="","",IF($AE1479&amp;""&lt;&gt;'DB_設定'!$C$4,"対象外",IF($AH1479=20,IF(OR($AJ1479=10,$AJ1479=11,$AJ1479=18),"①病院一般",IF($AJ1479=41,"②病院短期","対象外")),IF($AH1479=5,IF($AJ1479=30,"③特定消防","対象外"),IF(OR($AJ1479=10,$AJ1479=11,$AJ1479=74),"④一般",IF(OR($AJ1479=41,$AJ1479=47),"⑤短期","対象外"))))))</f>
      </c>
    </row>
    <row r="1480">
      <c r="DB1480" s="2909">
        <f>IF($A1480="","",IF($AE1480&amp;""&lt;&gt;'DB_設定'!$C$4,"対象外",IF($AH1480=20,IF(OR($AJ1480=10,$AJ1480=11,$AJ1480=18),"①病院一般",IF($AJ1480=41,"②病院短期","対象外")),IF($AH1480=5,IF($AJ1480=30,"③特定消防","対象外"),IF(OR($AJ1480=10,$AJ1480=11,$AJ1480=74),"④一般",IF(OR($AJ1480=41,$AJ1480=47),"⑤短期","対象外"))))))</f>
      </c>
    </row>
    <row r="1481">
      <c r="DB1481" s="2909">
        <f>IF($A1481="","",IF($AE1481&amp;""&lt;&gt;'DB_設定'!$C$4,"対象外",IF($AH1481=20,IF(OR($AJ1481=10,$AJ1481=11,$AJ1481=18),"①病院一般",IF($AJ1481=41,"②病院短期","対象外")),IF($AH1481=5,IF($AJ1481=30,"③特定消防","対象外"),IF(OR($AJ1481=10,$AJ1481=11,$AJ1481=74),"④一般",IF(OR($AJ1481=41,$AJ1481=47),"⑤短期","対象外"))))))</f>
      </c>
    </row>
    <row r="1482">
      <c r="DB1482" s="2909">
        <f>IF($A1482="","",IF($AE1482&amp;""&lt;&gt;'DB_設定'!$C$4,"対象外",IF($AH1482=20,IF(OR($AJ1482=10,$AJ1482=11,$AJ1482=18),"①病院一般",IF($AJ1482=41,"②病院短期","対象外")),IF($AH1482=5,IF($AJ1482=30,"③特定消防","対象外"),IF(OR($AJ1482=10,$AJ1482=11,$AJ1482=74),"④一般",IF(OR($AJ1482=41,$AJ1482=47),"⑤短期","対象外"))))))</f>
      </c>
    </row>
    <row r="1483">
      <c r="DB1483" s="2909">
        <f>IF($A1483="","",IF($AE1483&amp;""&lt;&gt;'DB_設定'!$C$4,"対象外",IF($AH1483=20,IF(OR($AJ1483=10,$AJ1483=11,$AJ1483=18),"①病院一般",IF($AJ1483=41,"②病院短期","対象外")),IF($AH1483=5,IF($AJ1483=30,"③特定消防","対象外"),IF(OR($AJ1483=10,$AJ1483=11,$AJ1483=74),"④一般",IF(OR($AJ1483=41,$AJ1483=47),"⑤短期","対象外"))))))</f>
      </c>
    </row>
    <row r="1484">
      <c r="DB1484" s="2909">
        <f>IF($A1484="","",IF($AE1484&amp;""&lt;&gt;'DB_設定'!$C$4,"対象外",IF($AH1484=20,IF(OR($AJ1484=10,$AJ1484=11,$AJ1484=18),"①病院一般",IF($AJ1484=41,"②病院短期","対象外")),IF($AH1484=5,IF($AJ1484=30,"③特定消防","対象外"),IF(OR($AJ1484=10,$AJ1484=11,$AJ1484=74),"④一般",IF(OR($AJ1484=41,$AJ1484=47),"⑤短期","対象外"))))))</f>
      </c>
    </row>
    <row r="1485">
      <c r="DB1485" s="2909">
        <f>IF($A1485="","",IF($AE1485&amp;""&lt;&gt;'DB_設定'!$C$4,"対象外",IF($AH1485=20,IF(OR($AJ1485=10,$AJ1485=11,$AJ1485=18),"①病院一般",IF($AJ1485=41,"②病院短期","対象外")),IF($AH1485=5,IF($AJ1485=30,"③特定消防","対象外"),IF(OR($AJ1485=10,$AJ1485=11,$AJ1485=74),"④一般",IF(OR($AJ1485=41,$AJ1485=47),"⑤短期","対象外"))))))</f>
      </c>
    </row>
    <row r="1486">
      <c r="DB1486" s="2909">
        <f>IF($A1486="","",IF($AE1486&amp;""&lt;&gt;'DB_設定'!$C$4,"対象外",IF($AH1486=20,IF(OR($AJ1486=10,$AJ1486=11,$AJ1486=18),"①病院一般",IF($AJ1486=41,"②病院短期","対象外")),IF($AH1486=5,IF($AJ1486=30,"③特定消防","対象外"),IF(OR($AJ1486=10,$AJ1486=11,$AJ1486=74),"④一般",IF(OR($AJ1486=41,$AJ1486=47),"⑤短期","対象外"))))))</f>
      </c>
    </row>
    <row r="1487">
      <c r="DB1487" s="2909">
        <f>IF($A1487="","",IF($AE1487&amp;""&lt;&gt;'DB_設定'!$C$4,"対象外",IF($AH1487=20,IF(OR($AJ1487=10,$AJ1487=11,$AJ1487=18),"①病院一般",IF($AJ1487=41,"②病院短期","対象外")),IF($AH1487=5,IF($AJ1487=30,"③特定消防","対象外"),IF(OR($AJ1487=10,$AJ1487=11,$AJ1487=74),"④一般",IF(OR($AJ1487=41,$AJ1487=47),"⑤短期","対象外"))))))</f>
      </c>
    </row>
    <row r="1488">
      <c r="DB1488" s="2909">
        <f>IF($A1488="","",IF($AE1488&amp;""&lt;&gt;'DB_設定'!$C$4,"対象外",IF($AH1488=20,IF(OR($AJ1488=10,$AJ1488=11,$AJ1488=18),"①病院一般",IF($AJ1488=41,"②病院短期","対象外")),IF($AH1488=5,IF($AJ1488=30,"③特定消防","対象外"),IF(OR($AJ1488=10,$AJ1488=11,$AJ1488=74),"④一般",IF(OR($AJ1488=41,$AJ1488=47),"⑤短期","対象外"))))))</f>
      </c>
    </row>
    <row r="1489">
      <c r="DB1489" s="2909">
        <f>IF($A1489="","",IF($AE1489&amp;""&lt;&gt;'DB_設定'!$C$4,"対象外",IF($AH1489=20,IF(OR($AJ1489=10,$AJ1489=11,$AJ1489=18),"①病院一般",IF($AJ1489=41,"②病院短期","対象外")),IF($AH1489=5,IF($AJ1489=30,"③特定消防","対象外"),IF(OR($AJ1489=10,$AJ1489=11,$AJ1489=74),"④一般",IF(OR($AJ1489=41,$AJ1489=47),"⑤短期","対象外"))))))</f>
      </c>
    </row>
    <row r="1490">
      <c r="DB1490" s="2909">
        <f>IF($A1490="","",IF($AE1490&amp;""&lt;&gt;'DB_設定'!$C$4,"対象外",IF($AH1490=20,IF(OR($AJ1490=10,$AJ1490=11,$AJ1490=18),"①病院一般",IF($AJ1490=41,"②病院短期","対象外")),IF($AH1490=5,IF($AJ1490=30,"③特定消防","対象外"),IF(OR($AJ1490=10,$AJ1490=11,$AJ1490=74),"④一般",IF(OR($AJ1490=41,$AJ1490=47),"⑤短期","対象外"))))))</f>
      </c>
    </row>
    <row r="1491">
      <c r="DB1491" s="2909">
        <f>IF($A1491="","",IF($AE1491&amp;""&lt;&gt;'DB_設定'!$C$4,"対象外",IF($AH1491=20,IF(OR($AJ1491=10,$AJ1491=11,$AJ1491=18),"①病院一般",IF($AJ1491=41,"②病院短期","対象外")),IF($AH1491=5,IF($AJ1491=30,"③特定消防","対象外"),IF(OR($AJ1491=10,$AJ1491=11,$AJ1491=74),"④一般",IF(OR($AJ1491=41,$AJ1491=47),"⑤短期","対象外"))))))</f>
      </c>
    </row>
    <row r="1492">
      <c r="DB1492" s="2909">
        <f>IF($A1492="","",IF($AE1492&amp;""&lt;&gt;'DB_設定'!$C$4,"対象外",IF($AH1492=20,IF(OR($AJ1492=10,$AJ1492=11,$AJ1492=18),"①病院一般",IF($AJ1492=41,"②病院短期","対象外")),IF($AH1492=5,IF($AJ1492=30,"③特定消防","対象外"),IF(OR($AJ1492=10,$AJ1492=11,$AJ1492=74),"④一般",IF(OR($AJ1492=41,$AJ1492=47),"⑤短期","対象外"))))))</f>
      </c>
    </row>
    <row r="1493">
      <c r="DB1493" s="2909">
        <f>IF($A1493="","",IF($AE1493&amp;""&lt;&gt;'DB_設定'!$C$4,"対象外",IF($AH1493=20,IF(OR($AJ1493=10,$AJ1493=11,$AJ1493=18),"①病院一般",IF($AJ1493=41,"②病院短期","対象外")),IF($AH1493=5,IF($AJ1493=30,"③特定消防","対象外"),IF(OR($AJ1493=10,$AJ1493=11,$AJ1493=74),"④一般",IF(OR($AJ1493=41,$AJ1493=47),"⑤短期","対象外"))))))</f>
      </c>
    </row>
    <row r="1494">
      <c r="DB1494" s="2909">
        <f>IF($A1494="","",IF($AE1494&amp;""&lt;&gt;'DB_設定'!$C$4,"対象外",IF($AH1494=20,IF(OR($AJ1494=10,$AJ1494=11,$AJ1494=18),"①病院一般",IF($AJ1494=41,"②病院短期","対象外")),IF($AH1494=5,IF($AJ1494=30,"③特定消防","対象外"),IF(OR($AJ1494=10,$AJ1494=11,$AJ1494=74),"④一般",IF(OR($AJ1494=41,$AJ1494=47),"⑤短期","対象外"))))))</f>
      </c>
    </row>
    <row r="1495">
      <c r="DB1495" s="2909">
        <f>IF($A1495="","",IF($AE1495&amp;""&lt;&gt;'DB_設定'!$C$4,"対象外",IF($AH1495=20,IF(OR($AJ1495=10,$AJ1495=11,$AJ1495=18),"①病院一般",IF($AJ1495=41,"②病院短期","対象外")),IF($AH1495=5,IF($AJ1495=30,"③特定消防","対象外"),IF(OR($AJ1495=10,$AJ1495=11,$AJ1495=74),"④一般",IF(OR($AJ1495=41,$AJ1495=47),"⑤短期","対象外"))))))</f>
      </c>
    </row>
    <row r="1496">
      <c r="DB1496" s="2909">
        <f>IF($A1496="","",IF($AE1496&amp;""&lt;&gt;'DB_設定'!$C$4,"対象外",IF($AH1496=20,IF(OR($AJ1496=10,$AJ1496=11,$AJ1496=18),"①病院一般",IF($AJ1496=41,"②病院短期","対象外")),IF($AH1496=5,IF($AJ1496=30,"③特定消防","対象外"),IF(OR($AJ1496=10,$AJ1496=11,$AJ1496=74),"④一般",IF(OR($AJ1496=41,$AJ1496=47),"⑤短期","対象外"))))))</f>
      </c>
    </row>
    <row r="1497">
      <c r="DB1497" s="2909">
        <f>IF($A1497="","",IF($AE1497&amp;""&lt;&gt;'DB_設定'!$C$4,"対象外",IF($AH1497=20,IF(OR($AJ1497=10,$AJ1497=11,$AJ1497=18),"①病院一般",IF($AJ1497=41,"②病院短期","対象外")),IF($AH1497=5,IF($AJ1497=30,"③特定消防","対象外"),IF(OR($AJ1497=10,$AJ1497=11,$AJ1497=74),"④一般",IF(OR($AJ1497=41,$AJ1497=47),"⑤短期","対象外"))))))</f>
      </c>
    </row>
    <row r="1498">
      <c r="DB1498" s="2909">
        <f>IF($A1498="","",IF($AE1498&amp;""&lt;&gt;'DB_設定'!$C$4,"対象外",IF($AH1498=20,IF(OR($AJ1498=10,$AJ1498=11,$AJ1498=18),"①病院一般",IF($AJ1498=41,"②病院短期","対象外")),IF($AH1498=5,IF($AJ1498=30,"③特定消防","対象外"),IF(OR($AJ1498=10,$AJ1498=11,$AJ1498=74),"④一般",IF(OR($AJ1498=41,$AJ1498=47),"⑤短期","対象外"))))))</f>
      </c>
    </row>
    <row r="1499">
      <c r="DB1499" s="2909">
        <f>IF($A1499="","",IF($AE1499&amp;""&lt;&gt;'DB_設定'!$C$4,"対象外",IF($AH1499=20,IF(OR($AJ1499=10,$AJ1499=11,$AJ1499=18),"①病院一般",IF($AJ1499=41,"②病院短期","対象外")),IF($AH1499=5,IF($AJ1499=30,"③特定消防","対象外"),IF(OR($AJ1499=10,$AJ1499=11,$AJ1499=74),"④一般",IF(OR($AJ1499=41,$AJ1499=47),"⑤短期","対象外"))))))</f>
      </c>
    </row>
    <row r="1500">
      <c r="DB1500" s="2909">
        <f>IF($A1500="","",IF($AE1500&amp;""&lt;&gt;'DB_設定'!$C$4,"対象外",IF($AH1500=20,IF(OR($AJ1500=10,$AJ1500=11,$AJ1500=18),"①病院一般",IF($AJ1500=41,"②病院短期","対象外")),IF($AH1500=5,IF($AJ1500=30,"③特定消防","対象外"),IF(OR($AJ1500=10,$AJ1500=11,$AJ1500=74),"④一般",IF(OR($AJ1500=41,$AJ1500=47),"⑤短期","対象外"))))))</f>
      </c>
    </row>
    <row r="1501">
      <c r="DB1501" s="2909">
        <f>IF($A1501="","",IF($AE1501&amp;""&lt;&gt;'DB_設定'!$C$4,"対象外",IF($AH1501=20,IF(OR($AJ1501=10,$AJ1501=11,$AJ1501=18),"①病院一般",IF($AJ1501=41,"②病院短期","対象外")),IF($AH1501=5,IF($AJ1501=30,"③特定消防","対象外"),IF(OR($AJ1501=10,$AJ1501=11,$AJ1501=74),"④一般",IF(OR($AJ1501=41,$AJ1501=47),"⑤短期","対象外"))))))</f>
      </c>
    </row>
    <row r="1502">
      <c r="DB1502" s="2909">
        <f>IF($A1502="","",IF($AE1502&amp;""&lt;&gt;'DB_設定'!$C$4,"対象外",IF($AH1502=20,IF(OR($AJ1502=10,$AJ1502=11,$AJ1502=18),"①病院一般",IF($AJ1502=41,"②病院短期","対象外")),IF($AH1502=5,IF($AJ1502=30,"③特定消防","対象外"),IF(OR($AJ1502=10,$AJ1502=11,$AJ1502=74),"④一般",IF(OR($AJ1502=41,$AJ1502=47),"⑤短期","対象外"))))))</f>
      </c>
    </row>
    <row r="1503">
      <c r="DB1503" s="2909">
        <f>IF($A1503="","",IF($AE1503&amp;""&lt;&gt;'DB_設定'!$C$4,"対象外",IF($AH1503=20,IF(OR($AJ1503=10,$AJ1503=11,$AJ1503=18),"①病院一般",IF($AJ1503=41,"②病院短期","対象外")),IF($AH1503=5,IF($AJ1503=30,"③特定消防","対象外"),IF(OR($AJ1503=10,$AJ1503=11,$AJ1503=74),"④一般",IF(OR($AJ1503=41,$AJ1503=47),"⑤短期","対象外"))))))</f>
      </c>
    </row>
    <row r="1504">
      <c r="DB1504" s="2909">
        <f>IF($A1504="","",IF($AE1504&amp;""&lt;&gt;'DB_設定'!$C$4,"対象外",IF($AH1504=20,IF(OR($AJ1504=10,$AJ1504=11,$AJ1504=18),"①病院一般",IF($AJ1504=41,"②病院短期","対象外")),IF($AH1504=5,IF($AJ1504=30,"③特定消防","対象外"),IF(OR($AJ1504=10,$AJ1504=11,$AJ1504=74),"④一般",IF(OR($AJ1504=41,$AJ1504=47),"⑤短期","対象外"))))))</f>
      </c>
    </row>
    <row r="1505">
      <c r="DB1505" s="2909">
        <f>IF($A1505="","",IF($AE1505&amp;""&lt;&gt;'DB_設定'!$C$4,"対象外",IF($AH1505=20,IF(OR($AJ1505=10,$AJ1505=11,$AJ1505=18),"①病院一般",IF($AJ1505=41,"②病院短期","対象外")),IF($AH1505=5,IF($AJ1505=30,"③特定消防","対象外"),IF(OR($AJ1505=10,$AJ1505=11,$AJ1505=74),"④一般",IF(OR($AJ1505=41,$AJ1505=47),"⑤短期","対象外"))))))</f>
      </c>
    </row>
    <row r="1506">
      <c r="DB1506" s="2909">
        <f>IF($A1506="","",IF($AE1506&amp;""&lt;&gt;'DB_設定'!$C$4,"対象外",IF($AH1506=20,IF(OR($AJ1506=10,$AJ1506=11,$AJ1506=18),"①病院一般",IF($AJ1506=41,"②病院短期","対象外")),IF($AH1506=5,IF($AJ1506=30,"③特定消防","対象外"),IF(OR($AJ1506=10,$AJ1506=11,$AJ1506=74),"④一般",IF(OR($AJ1506=41,$AJ1506=47),"⑤短期","対象外"))))))</f>
      </c>
    </row>
    <row r="1507">
      <c r="DB1507" s="2909">
        <f>IF($A1507="","",IF($AE1507&amp;""&lt;&gt;'DB_設定'!$C$4,"対象外",IF($AH1507=20,IF(OR($AJ1507=10,$AJ1507=11,$AJ1507=18),"①病院一般",IF($AJ1507=41,"②病院短期","対象外")),IF($AH1507=5,IF($AJ1507=30,"③特定消防","対象外"),IF(OR($AJ1507=10,$AJ1507=11,$AJ1507=74),"④一般",IF(OR($AJ1507=41,$AJ1507=47),"⑤短期","対象外"))))))</f>
      </c>
    </row>
    <row r="1508">
      <c r="DB1508" s="2909">
        <f>IF($A1508="","",IF($AE1508&amp;""&lt;&gt;'DB_設定'!$C$4,"対象外",IF($AH1508=20,IF(OR($AJ1508=10,$AJ1508=11,$AJ1508=18),"①病院一般",IF($AJ1508=41,"②病院短期","対象外")),IF($AH1508=5,IF($AJ1508=30,"③特定消防","対象外"),IF(OR($AJ1508=10,$AJ1508=11,$AJ1508=74),"④一般",IF(OR($AJ1508=41,$AJ1508=47),"⑤短期","対象外"))))))</f>
      </c>
    </row>
    <row r="1509">
      <c r="DB1509" s="2909">
        <f>IF($A1509="","",IF($AE1509&amp;""&lt;&gt;'DB_設定'!$C$4,"対象外",IF($AH1509=20,IF(OR($AJ1509=10,$AJ1509=11,$AJ1509=18),"①病院一般",IF($AJ1509=41,"②病院短期","対象外")),IF($AH1509=5,IF($AJ1509=30,"③特定消防","対象外"),IF(OR($AJ1509=10,$AJ1509=11,$AJ1509=74),"④一般",IF(OR($AJ1509=41,$AJ1509=47),"⑤短期","対象外"))))))</f>
      </c>
    </row>
    <row r="1510">
      <c r="DB1510" s="2909">
        <f>IF($A1510="","",IF($AE1510&amp;""&lt;&gt;'DB_設定'!$C$4,"対象外",IF($AH1510=20,IF(OR($AJ1510=10,$AJ1510=11,$AJ1510=18),"①病院一般",IF($AJ1510=41,"②病院短期","対象外")),IF($AH1510=5,IF($AJ1510=30,"③特定消防","対象外"),IF(OR($AJ1510=10,$AJ1510=11,$AJ1510=74),"④一般",IF(OR($AJ1510=41,$AJ1510=47),"⑤短期","対象外"))))))</f>
      </c>
    </row>
    <row r="1511">
      <c r="DB1511" s="2909">
        <f>IF($A1511="","",IF($AE1511&amp;""&lt;&gt;'DB_設定'!$C$4,"対象外",IF($AH1511=20,IF(OR($AJ1511=10,$AJ1511=11,$AJ1511=18),"①病院一般",IF($AJ1511=41,"②病院短期","対象外")),IF($AH1511=5,IF($AJ1511=30,"③特定消防","対象外"),IF(OR($AJ1511=10,$AJ1511=11,$AJ1511=74),"④一般",IF(OR($AJ1511=41,$AJ1511=47),"⑤短期","対象外"))))))</f>
      </c>
    </row>
    <row r="1512">
      <c r="DB1512" s="2909">
        <f>IF($A1512="","",IF($AE1512&amp;""&lt;&gt;'DB_設定'!$C$4,"対象外",IF($AH1512=20,IF(OR($AJ1512=10,$AJ1512=11,$AJ1512=18),"①病院一般",IF($AJ1512=41,"②病院短期","対象外")),IF($AH1512=5,IF($AJ1512=30,"③特定消防","対象外"),IF(OR($AJ1512=10,$AJ1512=11,$AJ1512=74),"④一般",IF(OR($AJ1512=41,$AJ1512=47),"⑤短期","対象外"))))))</f>
      </c>
    </row>
    <row r="1513">
      <c r="DB1513" s="2909">
        <f>IF($A1513="","",IF($AE1513&amp;""&lt;&gt;'DB_設定'!$C$4,"対象外",IF($AH1513=20,IF(OR($AJ1513=10,$AJ1513=11,$AJ1513=18),"①病院一般",IF($AJ1513=41,"②病院短期","対象外")),IF($AH1513=5,IF($AJ1513=30,"③特定消防","対象外"),IF(OR($AJ1513=10,$AJ1513=11,$AJ1513=74),"④一般",IF(OR($AJ1513=41,$AJ1513=47),"⑤短期","対象外"))))))</f>
      </c>
    </row>
    <row r="1514">
      <c r="DB1514" s="2909">
        <f>IF($A1514="","",IF($AE1514&amp;""&lt;&gt;'DB_設定'!$C$4,"対象外",IF($AH1514=20,IF(OR($AJ1514=10,$AJ1514=11,$AJ1514=18),"①病院一般",IF($AJ1514=41,"②病院短期","対象外")),IF($AH1514=5,IF($AJ1514=30,"③特定消防","対象外"),IF(OR($AJ1514=10,$AJ1514=11,$AJ1514=74),"④一般",IF(OR($AJ1514=41,$AJ1514=47),"⑤短期","対象外"))))))</f>
      </c>
    </row>
    <row r="1515">
      <c r="DB1515" s="2909">
        <f>IF($A1515="","",IF($AE1515&amp;""&lt;&gt;'DB_設定'!$C$4,"対象外",IF($AH1515=20,IF(OR($AJ1515=10,$AJ1515=11,$AJ1515=18),"①病院一般",IF($AJ1515=41,"②病院短期","対象外")),IF($AH1515=5,IF($AJ1515=30,"③特定消防","対象外"),IF(OR($AJ1515=10,$AJ1515=11,$AJ1515=74),"④一般",IF(OR($AJ1515=41,$AJ1515=47),"⑤短期","対象外"))))))</f>
      </c>
    </row>
    <row r="1516">
      <c r="DB1516" s="2909">
        <f>IF($A1516="","",IF($AE1516&amp;""&lt;&gt;'DB_設定'!$C$4,"対象外",IF($AH1516=20,IF(OR($AJ1516=10,$AJ1516=11,$AJ1516=18),"①病院一般",IF($AJ1516=41,"②病院短期","対象外")),IF($AH1516=5,IF($AJ1516=30,"③特定消防","対象外"),IF(OR($AJ1516=10,$AJ1516=11,$AJ1516=74),"④一般",IF(OR($AJ1516=41,$AJ1516=47),"⑤短期","対象外"))))))</f>
      </c>
    </row>
    <row r="1517">
      <c r="DB1517" s="2909">
        <f>IF($A1517="","",IF($AE1517&amp;""&lt;&gt;'DB_設定'!$C$4,"対象外",IF($AH1517=20,IF(OR($AJ1517=10,$AJ1517=11,$AJ1517=18),"①病院一般",IF($AJ1517=41,"②病院短期","対象外")),IF($AH1517=5,IF($AJ1517=30,"③特定消防","対象外"),IF(OR($AJ1517=10,$AJ1517=11,$AJ1517=74),"④一般",IF(OR($AJ1517=41,$AJ1517=47),"⑤短期","対象外"))))))</f>
      </c>
    </row>
    <row r="1518">
      <c r="DB1518" s="2909">
        <f>IF($A1518="","",IF($AE1518&amp;""&lt;&gt;'DB_設定'!$C$4,"対象外",IF($AH1518=20,IF(OR($AJ1518=10,$AJ1518=11,$AJ1518=18),"①病院一般",IF($AJ1518=41,"②病院短期","対象外")),IF($AH1518=5,IF($AJ1518=30,"③特定消防","対象外"),IF(OR($AJ1518=10,$AJ1518=11,$AJ1518=74),"④一般",IF(OR($AJ1518=41,$AJ1518=47),"⑤短期","対象外"))))))</f>
      </c>
    </row>
    <row r="1519">
      <c r="DB1519" s="2909">
        <f>IF($A1519="","",IF($AE1519&amp;""&lt;&gt;'DB_設定'!$C$4,"対象外",IF($AH1519=20,IF(OR($AJ1519=10,$AJ1519=11,$AJ1519=18),"①病院一般",IF($AJ1519=41,"②病院短期","対象外")),IF($AH1519=5,IF($AJ1519=30,"③特定消防","対象外"),IF(OR($AJ1519=10,$AJ1519=11,$AJ1519=74),"④一般",IF(OR($AJ1519=41,$AJ1519=47),"⑤短期","対象外"))))))</f>
      </c>
    </row>
    <row r="1520">
      <c r="DB1520" s="2909">
        <f>IF($A1520="","",IF($AE1520&amp;""&lt;&gt;'DB_設定'!$C$4,"対象外",IF($AH1520=20,IF(OR($AJ1520=10,$AJ1520=11,$AJ1520=18),"①病院一般",IF($AJ1520=41,"②病院短期","対象外")),IF($AH1520=5,IF($AJ1520=30,"③特定消防","対象外"),IF(OR($AJ1520=10,$AJ1520=11,$AJ1520=74),"④一般",IF(OR($AJ1520=41,$AJ1520=47),"⑤短期","対象外"))))))</f>
      </c>
    </row>
    <row r="1521">
      <c r="DB1521" s="2909">
        <f>IF($A1521="","",IF($AE1521&amp;""&lt;&gt;'DB_設定'!$C$4,"対象外",IF($AH1521=20,IF(OR($AJ1521=10,$AJ1521=11,$AJ1521=18),"①病院一般",IF($AJ1521=41,"②病院短期","対象外")),IF($AH1521=5,IF($AJ1521=30,"③特定消防","対象外"),IF(OR($AJ1521=10,$AJ1521=11,$AJ1521=74),"④一般",IF(OR($AJ1521=41,$AJ1521=47),"⑤短期","対象外"))))))</f>
      </c>
    </row>
    <row r="1522">
      <c r="DB1522" s="2909">
        <f>IF($A1522="","",IF($AE1522&amp;""&lt;&gt;'DB_設定'!$C$4,"対象外",IF($AH1522=20,IF(OR($AJ1522=10,$AJ1522=11,$AJ1522=18),"①病院一般",IF($AJ1522=41,"②病院短期","対象外")),IF($AH1522=5,IF($AJ1522=30,"③特定消防","対象外"),IF(OR($AJ1522=10,$AJ1522=11,$AJ1522=74),"④一般",IF(OR($AJ1522=41,$AJ1522=47),"⑤短期","対象外"))))))</f>
      </c>
    </row>
    <row r="1523">
      <c r="DB1523" s="2909">
        <f>IF($A1523="","",IF($AE1523&amp;""&lt;&gt;'DB_設定'!$C$4,"対象外",IF($AH1523=20,IF(OR($AJ1523=10,$AJ1523=11,$AJ1523=18),"①病院一般",IF($AJ1523=41,"②病院短期","対象外")),IF($AH1523=5,IF($AJ1523=30,"③特定消防","対象外"),IF(OR($AJ1523=10,$AJ1523=11,$AJ1523=74),"④一般",IF(OR($AJ1523=41,$AJ1523=47),"⑤短期","対象外"))))))</f>
      </c>
    </row>
    <row r="1524">
      <c r="DB1524" s="2909">
        <f>IF($A1524="","",IF($AE1524&amp;""&lt;&gt;'DB_設定'!$C$4,"対象外",IF($AH1524=20,IF(OR($AJ1524=10,$AJ1524=11,$AJ1524=18),"①病院一般",IF($AJ1524=41,"②病院短期","対象外")),IF($AH1524=5,IF($AJ1524=30,"③特定消防","対象外"),IF(OR($AJ1524=10,$AJ1524=11,$AJ1524=74),"④一般",IF(OR($AJ1524=41,$AJ1524=47),"⑤短期","対象外"))))))</f>
      </c>
    </row>
    <row r="1525">
      <c r="DB1525" s="2909">
        <f>IF($A1525="","",IF($AE1525&amp;""&lt;&gt;'DB_設定'!$C$4,"対象外",IF($AH1525=20,IF(OR($AJ1525=10,$AJ1525=11,$AJ1525=18),"①病院一般",IF($AJ1525=41,"②病院短期","対象外")),IF($AH1525=5,IF($AJ1525=30,"③特定消防","対象外"),IF(OR($AJ1525=10,$AJ1525=11,$AJ1525=74),"④一般",IF(OR($AJ1525=41,$AJ1525=47),"⑤短期","対象外"))))))</f>
      </c>
    </row>
    <row r="1526">
      <c r="DB1526" s="2909">
        <f>IF($A1526="","",IF($AE1526&amp;""&lt;&gt;'DB_設定'!$C$4,"対象外",IF($AH1526=20,IF(OR($AJ1526=10,$AJ1526=11,$AJ1526=18),"①病院一般",IF($AJ1526=41,"②病院短期","対象外")),IF($AH1526=5,IF($AJ1526=30,"③特定消防","対象外"),IF(OR($AJ1526=10,$AJ1526=11,$AJ1526=74),"④一般",IF(OR($AJ1526=41,$AJ1526=47),"⑤短期","対象外"))))))</f>
      </c>
    </row>
    <row r="1527">
      <c r="DB1527" s="2909">
        <f>IF($A1527="","",IF($AE1527&amp;""&lt;&gt;'DB_設定'!$C$4,"対象外",IF($AH1527=20,IF(OR($AJ1527=10,$AJ1527=11,$AJ1527=18),"①病院一般",IF($AJ1527=41,"②病院短期","対象外")),IF($AH1527=5,IF($AJ1527=30,"③特定消防","対象外"),IF(OR($AJ1527=10,$AJ1527=11,$AJ1527=74),"④一般",IF(OR($AJ1527=41,$AJ1527=47),"⑤短期","対象外"))))))</f>
      </c>
    </row>
    <row r="1528">
      <c r="DB1528" s="2909">
        <f>IF($A1528="","",IF($AE1528&amp;""&lt;&gt;'DB_設定'!$C$4,"対象外",IF($AH1528=20,IF(OR($AJ1528=10,$AJ1528=11,$AJ1528=18),"①病院一般",IF($AJ1528=41,"②病院短期","対象外")),IF($AH1528=5,IF($AJ1528=30,"③特定消防","対象外"),IF(OR($AJ1528=10,$AJ1528=11,$AJ1528=74),"④一般",IF(OR($AJ1528=41,$AJ1528=47),"⑤短期","対象外"))))))</f>
      </c>
    </row>
    <row r="1529">
      <c r="DB1529" s="2909">
        <f>IF($A1529="","",IF($AE1529&amp;""&lt;&gt;'DB_設定'!$C$4,"対象外",IF($AH1529=20,IF(OR($AJ1529=10,$AJ1529=11,$AJ1529=18),"①病院一般",IF($AJ1529=41,"②病院短期","対象外")),IF($AH1529=5,IF($AJ1529=30,"③特定消防","対象外"),IF(OR($AJ1529=10,$AJ1529=11,$AJ1529=74),"④一般",IF(OR($AJ1529=41,$AJ1529=47),"⑤短期","対象外"))))))</f>
      </c>
    </row>
    <row r="1530">
      <c r="DB1530" s="2909">
        <f>IF($A1530="","",IF($AE1530&amp;""&lt;&gt;'DB_設定'!$C$4,"対象外",IF($AH1530=20,IF(OR($AJ1530=10,$AJ1530=11,$AJ1530=18),"①病院一般",IF($AJ1530=41,"②病院短期","対象外")),IF($AH1530=5,IF($AJ1530=30,"③特定消防","対象外"),IF(OR($AJ1530=10,$AJ1530=11,$AJ1530=74),"④一般",IF(OR($AJ1530=41,$AJ1530=47),"⑤短期","対象外"))))))</f>
      </c>
    </row>
    <row r="1531">
      <c r="DB1531" s="2909">
        <f>IF($A1531="","",IF($AE1531&amp;""&lt;&gt;'DB_設定'!$C$4,"対象外",IF($AH1531=20,IF(OR($AJ1531=10,$AJ1531=11,$AJ1531=18),"①病院一般",IF($AJ1531=41,"②病院短期","対象外")),IF($AH1531=5,IF($AJ1531=30,"③特定消防","対象外"),IF(OR($AJ1531=10,$AJ1531=11,$AJ1531=74),"④一般",IF(OR($AJ1531=41,$AJ1531=47),"⑤短期","対象外"))))))</f>
      </c>
    </row>
    <row r="1532">
      <c r="DB1532" s="2909">
        <f>IF($A1532="","",IF($AE1532&amp;""&lt;&gt;'DB_設定'!$C$4,"対象外",IF($AH1532=20,IF(OR($AJ1532=10,$AJ1532=11,$AJ1532=18),"①病院一般",IF($AJ1532=41,"②病院短期","対象外")),IF($AH1532=5,IF($AJ1532=30,"③特定消防","対象外"),IF(OR($AJ1532=10,$AJ1532=11,$AJ1532=74),"④一般",IF(OR($AJ1532=41,$AJ1532=47),"⑤短期","対象外"))))))</f>
      </c>
    </row>
    <row r="1533">
      <c r="DB1533" s="2909">
        <f>IF($A1533="","",IF($AE1533&amp;""&lt;&gt;'DB_設定'!$C$4,"対象外",IF($AH1533=20,IF(OR($AJ1533=10,$AJ1533=11,$AJ1533=18),"①病院一般",IF($AJ1533=41,"②病院短期","対象外")),IF($AH1533=5,IF($AJ1533=30,"③特定消防","対象外"),IF(OR($AJ1533=10,$AJ1533=11,$AJ1533=74),"④一般",IF(OR($AJ1533=41,$AJ1533=47),"⑤短期","対象外"))))))</f>
      </c>
    </row>
    <row r="1534">
      <c r="DB1534" s="2909">
        <f>IF($A1534="","",IF($AE1534&amp;""&lt;&gt;'DB_設定'!$C$4,"対象外",IF($AH1534=20,IF(OR($AJ1534=10,$AJ1534=11,$AJ1534=18),"①病院一般",IF($AJ1534=41,"②病院短期","対象外")),IF($AH1534=5,IF($AJ1534=30,"③特定消防","対象外"),IF(OR($AJ1534=10,$AJ1534=11,$AJ1534=74),"④一般",IF(OR($AJ1534=41,$AJ1534=47),"⑤短期","対象外"))))))</f>
      </c>
    </row>
    <row r="1535">
      <c r="DB1535" s="2909">
        <f>IF($A1535="","",IF($AE1535&amp;""&lt;&gt;'DB_設定'!$C$4,"対象外",IF($AH1535=20,IF(OR($AJ1535=10,$AJ1535=11,$AJ1535=18),"①病院一般",IF($AJ1535=41,"②病院短期","対象外")),IF($AH1535=5,IF($AJ1535=30,"③特定消防","対象外"),IF(OR($AJ1535=10,$AJ1535=11,$AJ1535=74),"④一般",IF(OR($AJ1535=41,$AJ1535=47),"⑤短期","対象外"))))))</f>
      </c>
    </row>
    <row r="1536">
      <c r="DB1536" s="2909">
        <f>IF($A1536="","",IF($AE1536&amp;""&lt;&gt;'DB_設定'!$C$4,"対象外",IF($AH1536=20,IF(OR($AJ1536=10,$AJ1536=11,$AJ1536=18),"①病院一般",IF($AJ1536=41,"②病院短期","対象外")),IF($AH1536=5,IF($AJ1536=30,"③特定消防","対象外"),IF(OR($AJ1536=10,$AJ1536=11,$AJ1536=74),"④一般",IF(OR($AJ1536=41,$AJ1536=47),"⑤短期","対象外"))))))</f>
      </c>
    </row>
    <row r="1537">
      <c r="DB1537" s="2909">
        <f>IF($A1537="","",IF($AE1537&amp;""&lt;&gt;'DB_設定'!$C$4,"対象外",IF($AH1537=20,IF(OR($AJ1537=10,$AJ1537=11,$AJ1537=18),"①病院一般",IF($AJ1537=41,"②病院短期","対象外")),IF($AH1537=5,IF($AJ1537=30,"③特定消防","対象外"),IF(OR($AJ1537=10,$AJ1537=11,$AJ1537=74),"④一般",IF(OR($AJ1537=41,$AJ1537=47),"⑤短期","対象外"))))))</f>
      </c>
    </row>
    <row r="1538">
      <c r="DB1538" s="2909">
        <f>IF($A1538="","",IF($AE1538&amp;""&lt;&gt;'DB_設定'!$C$4,"対象外",IF($AH1538=20,IF(OR($AJ1538=10,$AJ1538=11,$AJ1538=18),"①病院一般",IF($AJ1538=41,"②病院短期","対象外")),IF($AH1538=5,IF($AJ1538=30,"③特定消防","対象外"),IF(OR($AJ1538=10,$AJ1538=11,$AJ1538=74),"④一般",IF(OR($AJ1538=41,$AJ1538=47),"⑤短期","対象外"))))))</f>
      </c>
    </row>
    <row r="1539">
      <c r="DB1539" s="2909">
        <f>IF($A1539="","",IF($AE1539&amp;""&lt;&gt;'DB_設定'!$C$4,"対象外",IF($AH1539=20,IF(OR($AJ1539=10,$AJ1539=11,$AJ1539=18),"①病院一般",IF($AJ1539=41,"②病院短期","対象外")),IF($AH1539=5,IF($AJ1539=30,"③特定消防","対象外"),IF(OR($AJ1539=10,$AJ1539=11,$AJ1539=74),"④一般",IF(OR($AJ1539=41,$AJ1539=47),"⑤短期","対象外"))))))</f>
      </c>
    </row>
    <row r="1540">
      <c r="DB1540" s="2909">
        <f>IF($A1540="","",IF($AE1540&amp;""&lt;&gt;'DB_設定'!$C$4,"対象外",IF($AH1540=20,IF(OR($AJ1540=10,$AJ1540=11,$AJ1540=18),"①病院一般",IF($AJ1540=41,"②病院短期","対象外")),IF($AH1540=5,IF($AJ1540=30,"③特定消防","対象外"),IF(OR($AJ1540=10,$AJ1540=11,$AJ1540=74),"④一般",IF(OR($AJ1540=41,$AJ1540=47),"⑤短期","対象外"))))))</f>
      </c>
    </row>
    <row r="1541">
      <c r="DB1541" s="2909">
        <f>IF($A1541="","",IF($AE1541&amp;""&lt;&gt;'DB_設定'!$C$4,"対象外",IF($AH1541=20,IF(OR($AJ1541=10,$AJ1541=11,$AJ1541=18),"①病院一般",IF($AJ1541=41,"②病院短期","対象外")),IF($AH1541=5,IF($AJ1541=30,"③特定消防","対象外"),IF(OR($AJ1541=10,$AJ1541=11,$AJ1541=74),"④一般",IF(OR($AJ1541=41,$AJ1541=47),"⑤短期","対象外"))))))</f>
      </c>
    </row>
    <row r="1542">
      <c r="DB1542" s="2909">
        <f>IF($A1542="","",IF($AE1542&amp;""&lt;&gt;'DB_設定'!$C$4,"対象外",IF($AH1542=20,IF(OR($AJ1542=10,$AJ1542=11,$AJ1542=18),"①病院一般",IF($AJ1542=41,"②病院短期","対象外")),IF($AH1542=5,IF($AJ1542=30,"③特定消防","対象外"),IF(OR($AJ1542=10,$AJ1542=11,$AJ1542=74),"④一般",IF(OR($AJ1542=41,$AJ1542=47),"⑤短期","対象外"))))))</f>
      </c>
    </row>
    <row r="1543">
      <c r="DB1543" s="2909">
        <f>IF($A1543="","",IF($AE1543&amp;""&lt;&gt;'DB_設定'!$C$4,"対象外",IF($AH1543=20,IF(OR($AJ1543=10,$AJ1543=11,$AJ1543=18),"①病院一般",IF($AJ1543=41,"②病院短期","対象外")),IF($AH1543=5,IF($AJ1543=30,"③特定消防","対象外"),IF(OR($AJ1543=10,$AJ1543=11,$AJ1543=74),"④一般",IF(OR($AJ1543=41,$AJ1543=47),"⑤短期","対象外"))))))</f>
      </c>
    </row>
    <row r="1544">
      <c r="DB1544" s="2909">
        <f>IF($A1544="","",IF($AE1544&amp;""&lt;&gt;'DB_設定'!$C$4,"対象外",IF($AH1544=20,IF(OR($AJ1544=10,$AJ1544=11,$AJ1544=18),"①病院一般",IF($AJ1544=41,"②病院短期","対象外")),IF($AH1544=5,IF($AJ1544=30,"③特定消防","対象外"),IF(OR($AJ1544=10,$AJ1544=11,$AJ1544=74),"④一般",IF(OR($AJ1544=41,$AJ1544=47),"⑤短期","対象外"))))))</f>
      </c>
    </row>
    <row r="1545">
      <c r="DB1545" s="2909">
        <f>IF($A1545="","",IF($AE1545&amp;""&lt;&gt;'DB_設定'!$C$4,"対象外",IF($AH1545=20,IF(OR($AJ1545=10,$AJ1545=11,$AJ1545=18),"①病院一般",IF($AJ1545=41,"②病院短期","対象外")),IF($AH1545=5,IF($AJ1545=30,"③特定消防","対象外"),IF(OR($AJ1545=10,$AJ1545=11,$AJ1545=74),"④一般",IF(OR($AJ1545=41,$AJ1545=47),"⑤短期","対象外"))))))</f>
      </c>
    </row>
    <row r="1546">
      <c r="DB1546" s="2909">
        <f>IF($A1546="","",IF($AE1546&amp;""&lt;&gt;'DB_設定'!$C$4,"対象外",IF($AH1546=20,IF(OR($AJ1546=10,$AJ1546=11,$AJ1546=18),"①病院一般",IF($AJ1546=41,"②病院短期","対象外")),IF($AH1546=5,IF($AJ1546=30,"③特定消防","対象外"),IF(OR($AJ1546=10,$AJ1546=11,$AJ1546=74),"④一般",IF(OR($AJ1546=41,$AJ1546=47),"⑤短期","対象外"))))))</f>
      </c>
    </row>
    <row r="1547">
      <c r="DB1547" s="2909">
        <f>IF($A1547="","",IF($AE1547&amp;""&lt;&gt;'DB_設定'!$C$4,"対象外",IF($AH1547=20,IF(OR($AJ1547=10,$AJ1547=11,$AJ1547=18),"①病院一般",IF($AJ1547=41,"②病院短期","対象外")),IF($AH1547=5,IF($AJ1547=30,"③特定消防","対象外"),IF(OR($AJ1547=10,$AJ1547=11,$AJ1547=74),"④一般",IF(OR($AJ1547=41,$AJ1547=47),"⑤短期","対象外"))))))</f>
      </c>
    </row>
    <row r="1548">
      <c r="DB1548" s="2909">
        <f>IF($A1548="","",IF($AE1548&amp;""&lt;&gt;'DB_設定'!$C$4,"対象外",IF($AH1548=20,IF(OR($AJ1548=10,$AJ1548=11,$AJ1548=18),"①病院一般",IF($AJ1548=41,"②病院短期","対象外")),IF($AH1548=5,IF($AJ1548=30,"③特定消防","対象外"),IF(OR($AJ1548=10,$AJ1548=11,$AJ1548=74),"④一般",IF(OR($AJ1548=41,$AJ1548=47),"⑤短期","対象外"))))))</f>
      </c>
    </row>
    <row r="1549">
      <c r="DB1549" s="2909">
        <f>IF($A1549="","",IF($AE1549&amp;""&lt;&gt;'DB_設定'!$C$4,"対象外",IF($AH1549=20,IF(OR($AJ1549=10,$AJ1549=11,$AJ1549=18),"①病院一般",IF($AJ1549=41,"②病院短期","対象外")),IF($AH1549=5,IF($AJ1549=30,"③特定消防","対象外"),IF(OR($AJ1549=10,$AJ1549=11,$AJ1549=74),"④一般",IF(OR($AJ1549=41,$AJ1549=47),"⑤短期","対象外"))))))</f>
      </c>
    </row>
    <row r="1550">
      <c r="DB1550" s="2909">
        <f>IF($A1550="","",IF($AE1550&amp;""&lt;&gt;'DB_設定'!$C$4,"対象外",IF($AH1550=20,IF(OR($AJ1550=10,$AJ1550=11,$AJ1550=18),"①病院一般",IF($AJ1550=41,"②病院短期","対象外")),IF($AH1550=5,IF($AJ1550=30,"③特定消防","対象外"),IF(OR($AJ1550=10,$AJ1550=11,$AJ1550=74),"④一般",IF(OR($AJ1550=41,$AJ1550=47),"⑤短期","対象外"))))))</f>
      </c>
    </row>
    <row r="1551">
      <c r="DB1551" s="2909">
        <f>IF($A1551="","",IF($AE1551&amp;""&lt;&gt;'DB_設定'!$C$4,"対象外",IF($AH1551=20,IF(OR($AJ1551=10,$AJ1551=11,$AJ1551=18),"①病院一般",IF($AJ1551=41,"②病院短期","対象外")),IF($AH1551=5,IF($AJ1551=30,"③特定消防","対象外"),IF(OR($AJ1551=10,$AJ1551=11,$AJ1551=74),"④一般",IF(OR($AJ1551=41,$AJ1551=47),"⑤短期","対象外"))))))</f>
      </c>
    </row>
    <row r="1552">
      <c r="DB1552" s="2909">
        <f>IF($A1552="","",IF($AE1552&amp;""&lt;&gt;'DB_設定'!$C$4,"対象外",IF($AH1552=20,IF(OR($AJ1552=10,$AJ1552=11,$AJ1552=18),"①病院一般",IF($AJ1552=41,"②病院短期","対象外")),IF($AH1552=5,IF($AJ1552=30,"③特定消防","対象外"),IF(OR($AJ1552=10,$AJ1552=11,$AJ1552=74),"④一般",IF(OR($AJ1552=41,$AJ1552=47),"⑤短期","対象外"))))))</f>
      </c>
    </row>
    <row r="1553">
      <c r="DB1553" s="2909">
        <f>IF($A1553="","",IF($AE1553&amp;""&lt;&gt;'DB_設定'!$C$4,"対象外",IF($AH1553=20,IF(OR($AJ1553=10,$AJ1553=11,$AJ1553=18),"①病院一般",IF($AJ1553=41,"②病院短期","対象外")),IF($AH1553=5,IF($AJ1553=30,"③特定消防","対象外"),IF(OR($AJ1553=10,$AJ1553=11,$AJ1553=74),"④一般",IF(OR($AJ1553=41,$AJ1553=47),"⑤短期","対象外"))))))</f>
      </c>
    </row>
    <row r="1554">
      <c r="DB1554" s="2909">
        <f>IF($A1554="","",IF($AE1554&amp;""&lt;&gt;'DB_設定'!$C$4,"対象外",IF($AH1554=20,IF(OR($AJ1554=10,$AJ1554=11,$AJ1554=18),"①病院一般",IF($AJ1554=41,"②病院短期","対象外")),IF($AH1554=5,IF($AJ1554=30,"③特定消防","対象外"),IF(OR($AJ1554=10,$AJ1554=11,$AJ1554=74),"④一般",IF(OR($AJ1554=41,$AJ1554=47),"⑤短期","対象外"))))))</f>
      </c>
    </row>
    <row r="1555">
      <c r="DB1555" s="2909">
        <f>IF($A1555="","",IF($AE1555&amp;""&lt;&gt;'DB_設定'!$C$4,"対象外",IF($AH1555=20,IF(OR($AJ1555=10,$AJ1555=11,$AJ1555=18),"①病院一般",IF($AJ1555=41,"②病院短期","対象外")),IF($AH1555=5,IF($AJ1555=30,"③特定消防","対象外"),IF(OR($AJ1555=10,$AJ1555=11,$AJ1555=74),"④一般",IF(OR($AJ1555=41,$AJ1555=47),"⑤短期","対象外"))))))</f>
      </c>
    </row>
    <row r="1556">
      <c r="DB1556" s="2909">
        <f>IF($A1556="","",IF($AE1556&amp;""&lt;&gt;'DB_設定'!$C$4,"対象外",IF($AH1556=20,IF(OR($AJ1556=10,$AJ1556=11,$AJ1556=18),"①病院一般",IF($AJ1556=41,"②病院短期","対象外")),IF($AH1556=5,IF($AJ1556=30,"③特定消防","対象外"),IF(OR($AJ1556=10,$AJ1556=11,$AJ1556=74),"④一般",IF(OR($AJ1556=41,$AJ1556=47),"⑤短期","対象外"))))))</f>
      </c>
    </row>
    <row r="1557">
      <c r="DB1557" s="2909">
        <f>IF($A1557="","",IF($AE1557&amp;""&lt;&gt;'DB_設定'!$C$4,"対象外",IF($AH1557=20,IF(OR($AJ1557=10,$AJ1557=11,$AJ1557=18),"①病院一般",IF($AJ1557=41,"②病院短期","対象外")),IF($AH1557=5,IF($AJ1557=30,"③特定消防","対象外"),IF(OR($AJ1557=10,$AJ1557=11,$AJ1557=74),"④一般",IF(OR($AJ1557=41,$AJ1557=47),"⑤短期","対象外"))))))</f>
      </c>
    </row>
    <row r="1558">
      <c r="DB1558" s="2909">
        <f>IF($A1558="","",IF($AE1558&amp;""&lt;&gt;'DB_設定'!$C$4,"対象外",IF($AH1558=20,IF(OR($AJ1558=10,$AJ1558=11,$AJ1558=18),"①病院一般",IF($AJ1558=41,"②病院短期","対象外")),IF($AH1558=5,IF($AJ1558=30,"③特定消防","対象外"),IF(OR($AJ1558=10,$AJ1558=11,$AJ1558=74),"④一般",IF(OR($AJ1558=41,$AJ1558=47),"⑤短期","対象外"))))))</f>
      </c>
    </row>
    <row r="1559">
      <c r="DB1559" s="2909">
        <f>IF($A1559="","",IF($AE1559&amp;""&lt;&gt;'DB_設定'!$C$4,"対象外",IF($AH1559=20,IF(OR($AJ1559=10,$AJ1559=11,$AJ1559=18),"①病院一般",IF($AJ1559=41,"②病院短期","対象外")),IF($AH1559=5,IF($AJ1559=30,"③特定消防","対象外"),IF(OR($AJ1559=10,$AJ1559=11,$AJ1559=74),"④一般",IF(OR($AJ1559=41,$AJ1559=47),"⑤短期","対象外"))))))</f>
      </c>
    </row>
    <row r="1560">
      <c r="DB1560" s="2909">
        <f>IF($A1560="","",IF($AE1560&amp;""&lt;&gt;'DB_設定'!$C$4,"対象外",IF($AH1560=20,IF(OR($AJ1560=10,$AJ1560=11,$AJ1560=18),"①病院一般",IF($AJ1560=41,"②病院短期","対象外")),IF($AH1560=5,IF($AJ1560=30,"③特定消防","対象外"),IF(OR($AJ1560=10,$AJ1560=11,$AJ1560=74),"④一般",IF(OR($AJ1560=41,$AJ1560=47),"⑤短期","対象外"))))))</f>
      </c>
    </row>
    <row r="1561">
      <c r="DB1561" s="2909">
        <f>IF($A1561="","",IF($AE1561&amp;""&lt;&gt;'DB_設定'!$C$4,"対象外",IF($AH1561=20,IF(OR($AJ1561=10,$AJ1561=11,$AJ1561=18),"①病院一般",IF($AJ1561=41,"②病院短期","対象外")),IF($AH1561=5,IF($AJ1561=30,"③特定消防","対象外"),IF(OR($AJ1561=10,$AJ1561=11,$AJ1561=74),"④一般",IF(OR($AJ1561=41,$AJ1561=47),"⑤短期","対象外"))))))</f>
      </c>
    </row>
    <row r="1562">
      <c r="DB1562" s="2909">
        <f>IF($A1562="","",IF($AE1562&amp;""&lt;&gt;'DB_設定'!$C$4,"対象外",IF($AH1562=20,IF(OR($AJ1562=10,$AJ1562=11,$AJ1562=18),"①病院一般",IF($AJ1562=41,"②病院短期","対象外")),IF($AH1562=5,IF($AJ1562=30,"③特定消防","対象外"),IF(OR($AJ1562=10,$AJ1562=11,$AJ1562=74),"④一般",IF(OR($AJ1562=41,$AJ1562=47),"⑤短期","対象外"))))))</f>
      </c>
    </row>
    <row r="1563">
      <c r="DB1563" s="2909">
        <f>IF($A1563="","",IF($AE1563&amp;""&lt;&gt;'DB_設定'!$C$4,"対象外",IF($AH1563=20,IF(OR($AJ1563=10,$AJ1563=11,$AJ1563=18),"①病院一般",IF($AJ1563=41,"②病院短期","対象外")),IF($AH1563=5,IF($AJ1563=30,"③特定消防","対象外"),IF(OR($AJ1563=10,$AJ1563=11,$AJ1563=74),"④一般",IF(OR($AJ1563=41,$AJ1563=47),"⑤短期","対象外"))))))</f>
      </c>
    </row>
    <row r="1564">
      <c r="DB1564" s="2909">
        <f>IF($A1564="","",IF($AE1564&amp;""&lt;&gt;'DB_設定'!$C$4,"対象外",IF($AH1564=20,IF(OR($AJ1564=10,$AJ1564=11,$AJ1564=18),"①病院一般",IF($AJ1564=41,"②病院短期","対象外")),IF($AH1564=5,IF($AJ1564=30,"③特定消防","対象外"),IF(OR($AJ1564=10,$AJ1564=11,$AJ1564=74),"④一般",IF(OR($AJ1564=41,$AJ1564=47),"⑤短期","対象外"))))))</f>
      </c>
    </row>
    <row r="1565">
      <c r="DB1565" s="2909">
        <f>IF($A1565="","",IF($AE1565&amp;""&lt;&gt;'DB_設定'!$C$4,"対象外",IF($AH1565=20,IF(OR($AJ1565=10,$AJ1565=11,$AJ1565=18),"①病院一般",IF($AJ1565=41,"②病院短期","対象外")),IF($AH1565=5,IF($AJ1565=30,"③特定消防","対象外"),IF(OR($AJ1565=10,$AJ1565=11,$AJ1565=74),"④一般",IF(OR($AJ1565=41,$AJ1565=47),"⑤短期","対象外"))))))</f>
      </c>
    </row>
    <row r="1566">
      <c r="DB1566" s="2909">
        <f>IF($A1566="","",IF($AE1566&amp;""&lt;&gt;'DB_設定'!$C$4,"対象外",IF($AH1566=20,IF(OR($AJ1566=10,$AJ1566=11,$AJ1566=18),"①病院一般",IF($AJ1566=41,"②病院短期","対象外")),IF($AH1566=5,IF($AJ1566=30,"③特定消防","対象外"),IF(OR($AJ1566=10,$AJ1566=11,$AJ1566=74),"④一般",IF(OR($AJ1566=41,$AJ1566=47),"⑤短期","対象外"))))))</f>
      </c>
    </row>
    <row r="1567">
      <c r="DB1567" s="2909">
        <f>IF($A1567="","",IF($AE1567&amp;""&lt;&gt;'DB_設定'!$C$4,"対象外",IF($AH1567=20,IF(OR($AJ1567=10,$AJ1567=11,$AJ1567=18),"①病院一般",IF($AJ1567=41,"②病院短期","対象外")),IF($AH1567=5,IF($AJ1567=30,"③特定消防","対象外"),IF(OR($AJ1567=10,$AJ1567=11,$AJ1567=74),"④一般",IF(OR($AJ1567=41,$AJ1567=47),"⑤短期","対象外"))))))</f>
      </c>
    </row>
    <row r="1568">
      <c r="DB1568" s="2909">
        <f>IF($A1568="","",IF($AE1568&amp;""&lt;&gt;'DB_設定'!$C$4,"対象外",IF($AH1568=20,IF(OR($AJ1568=10,$AJ1568=11,$AJ1568=18),"①病院一般",IF($AJ1568=41,"②病院短期","対象外")),IF($AH1568=5,IF($AJ1568=30,"③特定消防","対象外"),IF(OR($AJ1568=10,$AJ1568=11,$AJ1568=74),"④一般",IF(OR($AJ1568=41,$AJ1568=47),"⑤短期","対象外"))))))</f>
      </c>
    </row>
    <row r="1569">
      <c r="DB1569" s="2909">
        <f>IF($A1569="","",IF($AE1569&amp;""&lt;&gt;'DB_設定'!$C$4,"対象外",IF($AH1569=20,IF(OR($AJ1569=10,$AJ1569=11,$AJ1569=18),"①病院一般",IF($AJ1569=41,"②病院短期","対象外")),IF($AH1569=5,IF($AJ1569=30,"③特定消防","対象外"),IF(OR($AJ1569=10,$AJ1569=11,$AJ1569=74),"④一般",IF(OR($AJ1569=41,$AJ1569=47),"⑤短期","対象外"))))))</f>
      </c>
    </row>
    <row r="1570">
      <c r="DB1570" s="2909">
        <f>IF($A1570="","",IF($AE1570&amp;""&lt;&gt;'DB_設定'!$C$4,"対象外",IF($AH1570=20,IF(OR($AJ1570=10,$AJ1570=11,$AJ1570=18),"①病院一般",IF($AJ1570=41,"②病院短期","対象外")),IF($AH1570=5,IF($AJ1570=30,"③特定消防","対象外"),IF(OR($AJ1570=10,$AJ1570=11,$AJ1570=74),"④一般",IF(OR($AJ1570=41,$AJ1570=47),"⑤短期","対象外"))))))</f>
      </c>
    </row>
    <row r="1571">
      <c r="DB1571" s="2909">
        <f>IF($A1571="","",IF($AE1571&amp;""&lt;&gt;'DB_設定'!$C$4,"対象外",IF($AH1571=20,IF(OR($AJ1571=10,$AJ1571=11,$AJ1571=18),"①病院一般",IF($AJ1571=41,"②病院短期","対象外")),IF($AH1571=5,IF($AJ1571=30,"③特定消防","対象外"),IF(OR($AJ1571=10,$AJ1571=11,$AJ1571=74),"④一般",IF(OR($AJ1571=41,$AJ1571=47),"⑤短期","対象外"))))))</f>
      </c>
    </row>
    <row r="1572">
      <c r="DB1572" s="2909">
        <f>IF($A1572="","",IF($AE1572&amp;""&lt;&gt;'DB_設定'!$C$4,"対象外",IF($AH1572=20,IF(OR($AJ1572=10,$AJ1572=11,$AJ1572=18),"①病院一般",IF($AJ1572=41,"②病院短期","対象外")),IF($AH1572=5,IF($AJ1572=30,"③特定消防","対象外"),IF(OR($AJ1572=10,$AJ1572=11,$AJ1572=74),"④一般",IF(OR($AJ1572=41,$AJ1572=47),"⑤短期","対象外"))))))</f>
      </c>
    </row>
    <row r="1573">
      <c r="DB1573" s="2909">
        <f>IF($A1573="","",IF($AE1573&amp;""&lt;&gt;'DB_設定'!$C$4,"対象外",IF($AH1573=20,IF(OR($AJ1573=10,$AJ1573=11,$AJ1573=18),"①病院一般",IF($AJ1573=41,"②病院短期","対象外")),IF($AH1573=5,IF($AJ1573=30,"③特定消防","対象外"),IF(OR($AJ1573=10,$AJ1573=11,$AJ1573=74),"④一般",IF(OR($AJ1573=41,$AJ1573=47),"⑤短期","対象外"))))))</f>
      </c>
    </row>
    <row r="1574">
      <c r="DB1574" s="2909">
        <f>IF($A1574="","",IF($AE1574&amp;""&lt;&gt;'DB_設定'!$C$4,"対象外",IF($AH1574=20,IF(OR($AJ1574=10,$AJ1574=11,$AJ1574=18),"①病院一般",IF($AJ1574=41,"②病院短期","対象外")),IF($AH1574=5,IF($AJ1574=30,"③特定消防","対象外"),IF(OR($AJ1574=10,$AJ1574=11,$AJ1574=74),"④一般",IF(OR($AJ1574=41,$AJ1574=47),"⑤短期","対象外"))))))</f>
      </c>
    </row>
    <row r="1575">
      <c r="DB1575" s="2909">
        <f>IF($A1575="","",IF($AE1575&amp;""&lt;&gt;'DB_設定'!$C$4,"対象外",IF($AH1575=20,IF(OR($AJ1575=10,$AJ1575=11,$AJ1575=18),"①病院一般",IF($AJ1575=41,"②病院短期","対象外")),IF($AH1575=5,IF($AJ1575=30,"③特定消防","対象外"),IF(OR($AJ1575=10,$AJ1575=11,$AJ1575=74),"④一般",IF(OR($AJ1575=41,$AJ1575=47),"⑤短期","対象外"))))))</f>
      </c>
    </row>
    <row r="1576">
      <c r="DB1576" s="2909">
        <f>IF($A1576="","",IF($AE1576&amp;""&lt;&gt;'DB_設定'!$C$4,"対象外",IF($AH1576=20,IF(OR($AJ1576=10,$AJ1576=11,$AJ1576=18),"①病院一般",IF($AJ1576=41,"②病院短期","対象外")),IF($AH1576=5,IF($AJ1576=30,"③特定消防","対象外"),IF(OR($AJ1576=10,$AJ1576=11,$AJ1576=74),"④一般",IF(OR($AJ1576=41,$AJ1576=47),"⑤短期","対象外"))))))</f>
      </c>
    </row>
    <row r="1577">
      <c r="DB1577" s="2909">
        <f>IF($A1577="","",IF($AE1577&amp;""&lt;&gt;'DB_設定'!$C$4,"対象外",IF($AH1577=20,IF(OR($AJ1577=10,$AJ1577=11,$AJ1577=18),"①病院一般",IF($AJ1577=41,"②病院短期","対象外")),IF($AH1577=5,IF($AJ1577=30,"③特定消防","対象外"),IF(OR($AJ1577=10,$AJ1577=11,$AJ1577=74),"④一般",IF(OR($AJ1577=41,$AJ1577=47),"⑤短期","対象外"))))))</f>
      </c>
    </row>
    <row r="1578">
      <c r="DB1578" s="2909">
        <f>IF($A1578="","",IF($AE1578&amp;""&lt;&gt;'DB_設定'!$C$4,"対象外",IF($AH1578=20,IF(OR($AJ1578=10,$AJ1578=11,$AJ1578=18),"①病院一般",IF($AJ1578=41,"②病院短期","対象外")),IF($AH1578=5,IF($AJ1578=30,"③特定消防","対象外"),IF(OR($AJ1578=10,$AJ1578=11,$AJ1578=74),"④一般",IF(OR($AJ1578=41,$AJ1578=47),"⑤短期","対象外"))))))</f>
      </c>
    </row>
    <row r="1579">
      <c r="DB1579" s="2909">
        <f>IF($A1579="","",IF($AE1579&amp;""&lt;&gt;'DB_設定'!$C$4,"対象外",IF($AH1579=20,IF(OR($AJ1579=10,$AJ1579=11,$AJ1579=18),"①病院一般",IF($AJ1579=41,"②病院短期","対象外")),IF($AH1579=5,IF($AJ1579=30,"③特定消防","対象外"),IF(OR($AJ1579=10,$AJ1579=11,$AJ1579=74),"④一般",IF(OR($AJ1579=41,$AJ1579=47),"⑤短期","対象外"))))))</f>
      </c>
    </row>
    <row r="1580">
      <c r="DB1580" s="2909">
        <f>IF($A1580="","",IF($AE1580&amp;""&lt;&gt;'DB_設定'!$C$4,"対象外",IF($AH1580=20,IF(OR($AJ1580=10,$AJ1580=11,$AJ1580=18),"①病院一般",IF($AJ1580=41,"②病院短期","対象外")),IF($AH1580=5,IF($AJ1580=30,"③特定消防","対象外"),IF(OR($AJ1580=10,$AJ1580=11,$AJ1580=74),"④一般",IF(OR($AJ1580=41,$AJ1580=47),"⑤短期","対象外"))))))</f>
      </c>
    </row>
    <row r="1581">
      <c r="DB1581" s="2909">
        <f>IF($A1581="","",IF($AE1581&amp;""&lt;&gt;'DB_設定'!$C$4,"対象外",IF($AH1581=20,IF(OR($AJ1581=10,$AJ1581=11,$AJ1581=18),"①病院一般",IF($AJ1581=41,"②病院短期","対象外")),IF($AH1581=5,IF($AJ1581=30,"③特定消防","対象外"),IF(OR($AJ1581=10,$AJ1581=11,$AJ1581=74),"④一般",IF(OR($AJ1581=41,$AJ1581=47),"⑤短期","対象外"))))))</f>
      </c>
    </row>
    <row r="1582">
      <c r="DB1582" s="2909">
        <f>IF($A1582="","",IF($AE1582&amp;""&lt;&gt;'DB_設定'!$C$4,"対象外",IF($AH1582=20,IF(OR($AJ1582=10,$AJ1582=11,$AJ1582=18),"①病院一般",IF($AJ1582=41,"②病院短期","対象外")),IF($AH1582=5,IF($AJ1582=30,"③特定消防","対象外"),IF(OR($AJ1582=10,$AJ1582=11,$AJ1582=74),"④一般",IF(OR($AJ1582=41,$AJ1582=47),"⑤短期","対象外"))))))</f>
      </c>
    </row>
    <row r="1583">
      <c r="DB1583" s="2909">
        <f>IF($A1583="","",IF($AE1583&amp;""&lt;&gt;'DB_設定'!$C$4,"対象外",IF($AH1583=20,IF(OR($AJ1583=10,$AJ1583=11,$AJ1583=18),"①病院一般",IF($AJ1583=41,"②病院短期","対象外")),IF($AH1583=5,IF($AJ1583=30,"③特定消防","対象外"),IF(OR($AJ1583=10,$AJ1583=11,$AJ1583=74),"④一般",IF(OR($AJ1583=41,$AJ1583=47),"⑤短期","対象外"))))))</f>
      </c>
    </row>
    <row r="1584">
      <c r="DB1584" s="2909">
        <f>IF($A1584="","",IF($AE1584&amp;""&lt;&gt;'DB_設定'!$C$4,"対象外",IF($AH1584=20,IF(OR($AJ1584=10,$AJ1584=11,$AJ1584=18),"①病院一般",IF($AJ1584=41,"②病院短期","対象外")),IF($AH1584=5,IF($AJ1584=30,"③特定消防","対象外"),IF(OR($AJ1584=10,$AJ1584=11,$AJ1584=74),"④一般",IF(OR($AJ1584=41,$AJ1584=47),"⑤短期","対象外"))))))</f>
      </c>
    </row>
    <row r="1585">
      <c r="DB1585" s="2909">
        <f>IF($A1585="","",IF($AE1585&amp;""&lt;&gt;'DB_設定'!$C$4,"対象外",IF($AH1585=20,IF(OR($AJ1585=10,$AJ1585=11,$AJ1585=18),"①病院一般",IF($AJ1585=41,"②病院短期","対象外")),IF($AH1585=5,IF($AJ1585=30,"③特定消防","対象外"),IF(OR($AJ1585=10,$AJ1585=11,$AJ1585=74),"④一般",IF(OR($AJ1585=41,$AJ1585=47),"⑤短期","対象外"))))))</f>
      </c>
    </row>
    <row r="1586">
      <c r="DB1586" s="2909">
        <f>IF($A1586="","",IF($AE1586&amp;""&lt;&gt;'DB_設定'!$C$4,"対象外",IF($AH1586=20,IF(OR($AJ1586=10,$AJ1586=11,$AJ1586=18),"①病院一般",IF($AJ1586=41,"②病院短期","対象外")),IF($AH1586=5,IF($AJ1586=30,"③特定消防","対象外"),IF(OR($AJ1586=10,$AJ1586=11,$AJ1586=74),"④一般",IF(OR($AJ1586=41,$AJ1586=47),"⑤短期","対象外"))))))</f>
      </c>
    </row>
    <row r="1587">
      <c r="DB1587" s="2909">
        <f>IF($A1587="","",IF($AE1587&amp;""&lt;&gt;'DB_設定'!$C$4,"対象外",IF($AH1587=20,IF(OR($AJ1587=10,$AJ1587=11,$AJ1587=18),"①病院一般",IF($AJ1587=41,"②病院短期","対象外")),IF($AH1587=5,IF($AJ1587=30,"③特定消防","対象外"),IF(OR($AJ1587=10,$AJ1587=11,$AJ1587=74),"④一般",IF(OR($AJ1587=41,$AJ1587=47),"⑤短期","対象外"))))))</f>
      </c>
    </row>
    <row r="1588">
      <c r="DB1588" s="2909">
        <f>IF($A1588="","",IF($AE1588&amp;""&lt;&gt;'DB_設定'!$C$4,"対象外",IF($AH1588=20,IF(OR($AJ1588=10,$AJ1588=11,$AJ1588=18),"①病院一般",IF($AJ1588=41,"②病院短期","対象外")),IF($AH1588=5,IF($AJ1588=30,"③特定消防","対象外"),IF(OR($AJ1588=10,$AJ1588=11,$AJ1588=74),"④一般",IF(OR($AJ1588=41,$AJ1588=47),"⑤短期","対象外"))))))</f>
      </c>
    </row>
    <row r="1589">
      <c r="DB1589" s="2909">
        <f>IF($A1589="","",IF($AE1589&amp;""&lt;&gt;'DB_設定'!$C$4,"対象外",IF($AH1589=20,IF(OR($AJ1589=10,$AJ1589=11,$AJ1589=18),"①病院一般",IF($AJ1589=41,"②病院短期","対象外")),IF($AH1589=5,IF($AJ1589=30,"③特定消防","対象外"),IF(OR($AJ1589=10,$AJ1589=11,$AJ1589=74),"④一般",IF(OR($AJ1589=41,$AJ1589=47),"⑤短期","対象外"))))))</f>
      </c>
    </row>
    <row r="1590">
      <c r="DB1590" s="2909">
        <f>IF($A1590="","",IF($AE1590&amp;""&lt;&gt;'DB_設定'!$C$4,"対象外",IF($AH1590=20,IF(OR($AJ1590=10,$AJ1590=11,$AJ1590=18),"①病院一般",IF($AJ1590=41,"②病院短期","対象外")),IF($AH1590=5,IF($AJ1590=30,"③特定消防","対象外"),IF(OR($AJ1590=10,$AJ1590=11,$AJ1590=74),"④一般",IF(OR($AJ1590=41,$AJ1590=47),"⑤短期","対象外"))))))</f>
      </c>
    </row>
    <row r="1591">
      <c r="DB1591" s="2909">
        <f>IF($A1591="","",IF($AE1591&amp;""&lt;&gt;'DB_設定'!$C$4,"対象外",IF($AH1591=20,IF(OR($AJ1591=10,$AJ1591=11,$AJ1591=18),"①病院一般",IF($AJ1591=41,"②病院短期","対象外")),IF($AH1591=5,IF($AJ1591=30,"③特定消防","対象外"),IF(OR($AJ1591=10,$AJ1591=11,$AJ1591=74),"④一般",IF(OR($AJ1591=41,$AJ1591=47),"⑤短期","対象外"))))))</f>
      </c>
    </row>
    <row r="1592">
      <c r="DB1592" s="2909">
        <f>IF($A1592="","",IF($AE1592&amp;""&lt;&gt;'DB_設定'!$C$4,"対象外",IF($AH1592=20,IF(OR($AJ1592=10,$AJ1592=11,$AJ1592=18),"①病院一般",IF($AJ1592=41,"②病院短期","対象外")),IF($AH1592=5,IF($AJ1592=30,"③特定消防","対象外"),IF(OR($AJ1592=10,$AJ1592=11,$AJ1592=74),"④一般",IF(OR($AJ1592=41,$AJ1592=47),"⑤短期","対象外"))))))</f>
      </c>
    </row>
    <row r="1593">
      <c r="DB1593" s="2909">
        <f>IF($A1593="","",IF($AE1593&amp;""&lt;&gt;'DB_設定'!$C$4,"対象外",IF($AH1593=20,IF(OR($AJ1593=10,$AJ1593=11,$AJ1593=18),"①病院一般",IF($AJ1593=41,"②病院短期","対象外")),IF($AH1593=5,IF($AJ1593=30,"③特定消防","対象外"),IF(OR($AJ1593=10,$AJ1593=11,$AJ1593=74),"④一般",IF(OR($AJ1593=41,$AJ1593=47),"⑤短期","対象外"))))))</f>
      </c>
    </row>
    <row r="1594">
      <c r="DB1594" s="2909">
        <f>IF($A1594="","",IF($AE1594&amp;""&lt;&gt;'DB_設定'!$C$4,"対象外",IF($AH1594=20,IF(OR($AJ1594=10,$AJ1594=11,$AJ1594=18),"①病院一般",IF($AJ1594=41,"②病院短期","対象外")),IF($AH1594=5,IF($AJ1594=30,"③特定消防","対象外"),IF(OR($AJ1594=10,$AJ1594=11,$AJ1594=74),"④一般",IF(OR($AJ1594=41,$AJ1594=47),"⑤短期","対象外"))))))</f>
      </c>
    </row>
    <row r="1595">
      <c r="DB1595" s="2909">
        <f>IF($A1595="","",IF($AE1595&amp;""&lt;&gt;'DB_設定'!$C$4,"対象外",IF($AH1595=20,IF(OR($AJ1595=10,$AJ1595=11,$AJ1595=18),"①病院一般",IF($AJ1595=41,"②病院短期","対象外")),IF($AH1595=5,IF($AJ1595=30,"③特定消防","対象外"),IF(OR($AJ1595=10,$AJ1595=11,$AJ1595=74),"④一般",IF(OR($AJ1595=41,$AJ1595=47),"⑤短期","対象外"))))))</f>
      </c>
    </row>
    <row r="1596">
      <c r="DB1596" s="2909">
        <f>IF($A1596="","",IF($AE1596&amp;""&lt;&gt;'DB_設定'!$C$4,"対象外",IF($AH1596=20,IF(OR($AJ1596=10,$AJ1596=11,$AJ1596=18),"①病院一般",IF($AJ1596=41,"②病院短期","対象外")),IF($AH1596=5,IF($AJ1596=30,"③特定消防","対象外"),IF(OR($AJ1596=10,$AJ1596=11,$AJ1596=74),"④一般",IF(OR($AJ1596=41,$AJ1596=47),"⑤短期","対象外"))))))</f>
      </c>
    </row>
    <row r="1597">
      <c r="DB1597" s="2909">
        <f>IF($A1597="","",IF($AE1597&amp;""&lt;&gt;'DB_設定'!$C$4,"対象外",IF($AH1597=20,IF(OR($AJ1597=10,$AJ1597=11,$AJ1597=18),"①病院一般",IF($AJ1597=41,"②病院短期","対象外")),IF($AH1597=5,IF($AJ1597=30,"③特定消防","対象外"),IF(OR($AJ1597=10,$AJ1597=11,$AJ1597=74),"④一般",IF(OR($AJ1597=41,$AJ1597=47),"⑤短期","対象外"))))))</f>
      </c>
    </row>
    <row r="1598">
      <c r="DB1598" s="2909">
        <f>IF($A1598="","",IF($AE1598&amp;""&lt;&gt;'DB_設定'!$C$4,"対象外",IF($AH1598=20,IF(OR($AJ1598=10,$AJ1598=11,$AJ1598=18),"①病院一般",IF($AJ1598=41,"②病院短期","対象外")),IF($AH1598=5,IF($AJ1598=30,"③特定消防","対象外"),IF(OR($AJ1598=10,$AJ1598=11,$AJ1598=74),"④一般",IF(OR($AJ1598=41,$AJ1598=47),"⑤短期","対象外"))))))</f>
      </c>
    </row>
    <row r="1599">
      <c r="DB1599" s="2909">
        <f>IF($A1599="","",IF($AE1599&amp;""&lt;&gt;'DB_設定'!$C$4,"対象外",IF($AH1599=20,IF(OR($AJ1599=10,$AJ1599=11,$AJ1599=18),"①病院一般",IF($AJ1599=41,"②病院短期","対象外")),IF($AH1599=5,IF($AJ1599=30,"③特定消防","対象外"),IF(OR($AJ1599=10,$AJ1599=11,$AJ1599=74),"④一般",IF(OR($AJ1599=41,$AJ1599=47),"⑤短期","対象外"))))))</f>
      </c>
    </row>
    <row r="1600">
      <c r="DB1600" s="2909">
        <f>IF($A1600="","",IF($AE1600&amp;""&lt;&gt;'DB_設定'!$C$4,"対象外",IF($AH1600=20,IF(OR($AJ1600=10,$AJ1600=11,$AJ1600=18),"①病院一般",IF($AJ1600=41,"②病院短期","対象外")),IF($AH1600=5,IF($AJ1600=30,"③特定消防","対象外"),IF(OR($AJ1600=10,$AJ1600=11,$AJ1600=74),"④一般",IF(OR($AJ1600=41,$AJ1600=47),"⑤短期","対象外"))))))</f>
      </c>
    </row>
    <row r="1601">
      <c r="DB1601" s="2909">
        <f>IF($A1601="","",IF($AE1601&amp;""&lt;&gt;'DB_設定'!$C$4,"対象外",IF($AH1601=20,IF(OR($AJ1601=10,$AJ1601=11,$AJ1601=18),"①病院一般",IF($AJ1601=41,"②病院短期","対象外")),IF($AH1601=5,IF($AJ1601=30,"③特定消防","対象外"),IF(OR($AJ1601=10,$AJ1601=11,$AJ1601=74),"④一般",IF(OR($AJ1601=41,$AJ1601=47),"⑤短期","対象外"))))))</f>
      </c>
    </row>
    <row r="1602">
      <c r="DB1602" s="2909">
        <f>IF($A1602="","",IF($AE1602&amp;""&lt;&gt;'DB_設定'!$C$4,"対象外",IF($AH1602=20,IF(OR($AJ1602=10,$AJ1602=11,$AJ1602=18),"①病院一般",IF($AJ1602=41,"②病院短期","対象外")),IF($AH1602=5,IF($AJ1602=30,"③特定消防","対象外"),IF(OR($AJ1602=10,$AJ1602=11,$AJ1602=74),"④一般",IF(OR($AJ1602=41,$AJ1602=47),"⑤短期","対象外"))))))</f>
      </c>
    </row>
    <row r="1603">
      <c r="DB1603" s="2909">
        <f>IF($A1603="","",IF($AE1603&amp;""&lt;&gt;'DB_設定'!$C$4,"対象外",IF($AH1603=20,IF(OR($AJ1603=10,$AJ1603=11,$AJ1603=18),"①病院一般",IF($AJ1603=41,"②病院短期","対象外")),IF($AH1603=5,IF($AJ1603=30,"③特定消防","対象外"),IF(OR($AJ1603=10,$AJ1603=11,$AJ1603=74),"④一般",IF(OR($AJ1603=41,$AJ1603=47),"⑤短期","対象外"))))))</f>
      </c>
    </row>
    <row r="1604">
      <c r="DB1604" s="2909">
        <f>IF($A1604="","",IF($AE1604&amp;""&lt;&gt;'DB_設定'!$C$4,"対象外",IF($AH1604=20,IF(OR($AJ1604=10,$AJ1604=11,$AJ1604=18),"①病院一般",IF($AJ1604=41,"②病院短期","対象外")),IF($AH1604=5,IF($AJ1604=30,"③特定消防","対象外"),IF(OR($AJ1604=10,$AJ1604=11,$AJ1604=74),"④一般",IF(OR($AJ1604=41,$AJ1604=47),"⑤短期","対象外"))))))</f>
      </c>
    </row>
    <row r="1605">
      <c r="DB1605" s="2909">
        <f>IF($A1605="","",IF($AE1605&amp;""&lt;&gt;'DB_設定'!$C$4,"対象外",IF($AH1605=20,IF(OR($AJ1605=10,$AJ1605=11,$AJ1605=18),"①病院一般",IF($AJ1605=41,"②病院短期","対象外")),IF($AH1605=5,IF($AJ1605=30,"③特定消防","対象外"),IF(OR($AJ1605=10,$AJ1605=11,$AJ1605=74),"④一般",IF(OR($AJ1605=41,$AJ1605=47),"⑤短期","対象外"))))))</f>
      </c>
    </row>
    <row r="1606">
      <c r="DB1606" s="2909">
        <f>IF($A1606="","",IF($AE1606&amp;""&lt;&gt;'DB_設定'!$C$4,"対象外",IF($AH1606=20,IF(OR($AJ1606=10,$AJ1606=11,$AJ1606=18),"①病院一般",IF($AJ1606=41,"②病院短期","対象外")),IF($AH1606=5,IF($AJ1606=30,"③特定消防","対象外"),IF(OR($AJ1606=10,$AJ1606=11,$AJ1606=74),"④一般",IF(OR($AJ1606=41,$AJ1606=47),"⑤短期","対象外"))))))</f>
      </c>
    </row>
    <row r="1607">
      <c r="DB1607" s="2909">
        <f>IF($A1607="","",IF($AE1607&amp;""&lt;&gt;'DB_設定'!$C$4,"対象外",IF($AH1607=20,IF(OR($AJ1607=10,$AJ1607=11,$AJ1607=18),"①病院一般",IF($AJ1607=41,"②病院短期","対象外")),IF($AH1607=5,IF($AJ1607=30,"③特定消防","対象外"),IF(OR($AJ1607=10,$AJ1607=11,$AJ1607=74),"④一般",IF(OR($AJ1607=41,$AJ1607=47),"⑤短期","対象外"))))))</f>
      </c>
    </row>
    <row r="1608">
      <c r="DB1608" s="2909">
        <f>IF($A1608="","",IF($AE1608&amp;""&lt;&gt;'DB_設定'!$C$4,"対象外",IF($AH1608=20,IF(OR($AJ1608=10,$AJ1608=11,$AJ1608=18),"①病院一般",IF($AJ1608=41,"②病院短期","対象外")),IF($AH1608=5,IF($AJ1608=30,"③特定消防","対象外"),IF(OR($AJ1608=10,$AJ1608=11,$AJ1608=74),"④一般",IF(OR($AJ1608=41,$AJ1608=47),"⑤短期","対象外"))))))</f>
      </c>
    </row>
    <row r="1609">
      <c r="DB1609" s="2909">
        <f>IF($A1609="","",IF($AE1609&amp;""&lt;&gt;'DB_設定'!$C$4,"対象外",IF($AH1609=20,IF(OR($AJ1609=10,$AJ1609=11,$AJ1609=18),"①病院一般",IF($AJ1609=41,"②病院短期","対象外")),IF($AH1609=5,IF($AJ1609=30,"③特定消防","対象外"),IF(OR($AJ1609=10,$AJ1609=11,$AJ1609=74),"④一般",IF(OR($AJ1609=41,$AJ1609=47),"⑤短期","対象外"))))))</f>
      </c>
    </row>
    <row r="1610">
      <c r="DB1610" s="2909">
        <f>IF($A1610="","",IF($AE1610&amp;""&lt;&gt;'DB_設定'!$C$4,"対象外",IF($AH1610=20,IF(OR($AJ1610=10,$AJ1610=11,$AJ1610=18),"①病院一般",IF($AJ1610=41,"②病院短期","対象外")),IF($AH1610=5,IF($AJ1610=30,"③特定消防","対象外"),IF(OR($AJ1610=10,$AJ1610=11,$AJ1610=74),"④一般",IF(OR($AJ1610=41,$AJ1610=47),"⑤短期","対象外"))))))</f>
      </c>
    </row>
    <row r="1611">
      <c r="DB1611" s="2909">
        <f>IF($A1611="","",IF($AE1611&amp;""&lt;&gt;'DB_設定'!$C$4,"対象外",IF($AH1611=20,IF(OR($AJ1611=10,$AJ1611=11,$AJ1611=18),"①病院一般",IF($AJ1611=41,"②病院短期","対象外")),IF($AH1611=5,IF($AJ1611=30,"③特定消防","対象外"),IF(OR($AJ1611=10,$AJ1611=11,$AJ1611=74),"④一般",IF(OR($AJ1611=41,$AJ1611=47),"⑤短期","対象外"))))))</f>
      </c>
    </row>
    <row r="1612">
      <c r="DB1612" s="2909">
        <f>IF($A1612="","",IF($AE1612&amp;""&lt;&gt;'DB_設定'!$C$4,"対象外",IF($AH1612=20,IF(OR($AJ1612=10,$AJ1612=11,$AJ1612=18),"①病院一般",IF($AJ1612=41,"②病院短期","対象外")),IF($AH1612=5,IF($AJ1612=30,"③特定消防","対象外"),IF(OR($AJ1612=10,$AJ1612=11,$AJ1612=74),"④一般",IF(OR($AJ1612=41,$AJ1612=47),"⑤短期","対象外"))))))</f>
      </c>
    </row>
    <row r="1613">
      <c r="DB1613" s="2909">
        <f>IF($A1613="","",IF($AE1613&amp;""&lt;&gt;'DB_設定'!$C$4,"対象外",IF($AH1613=20,IF(OR($AJ1613=10,$AJ1613=11,$AJ1613=18),"①病院一般",IF($AJ1613=41,"②病院短期","対象外")),IF($AH1613=5,IF($AJ1613=30,"③特定消防","対象外"),IF(OR($AJ1613=10,$AJ1613=11,$AJ1613=74),"④一般",IF(OR($AJ1613=41,$AJ1613=47),"⑤短期","対象外"))))))</f>
      </c>
    </row>
    <row r="1614">
      <c r="DB1614" s="2909">
        <f>IF($A1614="","",IF($AE1614&amp;""&lt;&gt;'DB_設定'!$C$4,"対象外",IF($AH1614=20,IF(OR($AJ1614=10,$AJ1614=11,$AJ1614=18),"①病院一般",IF($AJ1614=41,"②病院短期","対象外")),IF($AH1614=5,IF($AJ1614=30,"③特定消防","対象外"),IF(OR($AJ1614=10,$AJ1614=11,$AJ1614=74),"④一般",IF(OR($AJ1614=41,$AJ1614=47),"⑤短期","対象外"))))))</f>
      </c>
    </row>
    <row r="1615">
      <c r="DB1615" s="2909">
        <f>IF($A1615="","",IF($AE1615&amp;""&lt;&gt;'DB_設定'!$C$4,"対象外",IF($AH1615=20,IF(OR($AJ1615=10,$AJ1615=11,$AJ1615=18),"①病院一般",IF($AJ1615=41,"②病院短期","対象外")),IF($AH1615=5,IF($AJ1615=30,"③特定消防","対象外"),IF(OR($AJ1615=10,$AJ1615=11,$AJ1615=74),"④一般",IF(OR($AJ1615=41,$AJ1615=47),"⑤短期","対象外"))))))</f>
      </c>
    </row>
    <row r="1616">
      <c r="DB1616" s="2909">
        <f>IF($A1616="","",IF($AE1616&amp;""&lt;&gt;'DB_設定'!$C$4,"対象外",IF($AH1616=20,IF(OR($AJ1616=10,$AJ1616=11,$AJ1616=18),"①病院一般",IF($AJ1616=41,"②病院短期","対象外")),IF($AH1616=5,IF($AJ1616=30,"③特定消防","対象外"),IF(OR($AJ1616=10,$AJ1616=11,$AJ1616=74),"④一般",IF(OR($AJ1616=41,$AJ1616=47),"⑤短期","対象外"))))))</f>
      </c>
    </row>
    <row r="1617">
      <c r="DB1617" s="2909">
        <f>IF($A1617="","",IF($AE1617&amp;""&lt;&gt;'DB_設定'!$C$4,"対象外",IF($AH1617=20,IF(OR($AJ1617=10,$AJ1617=11,$AJ1617=18),"①病院一般",IF($AJ1617=41,"②病院短期","対象外")),IF($AH1617=5,IF($AJ1617=30,"③特定消防","対象外"),IF(OR($AJ1617=10,$AJ1617=11,$AJ1617=74),"④一般",IF(OR($AJ1617=41,$AJ1617=47),"⑤短期","対象外"))))))</f>
      </c>
    </row>
    <row r="1618">
      <c r="DB1618" s="2909">
        <f>IF($A1618="","",IF($AE1618&amp;""&lt;&gt;'DB_設定'!$C$4,"対象外",IF($AH1618=20,IF(OR($AJ1618=10,$AJ1618=11,$AJ1618=18),"①病院一般",IF($AJ1618=41,"②病院短期","対象外")),IF($AH1618=5,IF($AJ1618=30,"③特定消防","対象外"),IF(OR($AJ1618=10,$AJ1618=11,$AJ1618=74),"④一般",IF(OR($AJ1618=41,$AJ1618=47),"⑤短期","対象外"))))))</f>
      </c>
    </row>
    <row r="1619">
      <c r="DB1619" s="2909">
        <f>IF($A1619="","",IF($AE1619&amp;""&lt;&gt;'DB_設定'!$C$4,"対象外",IF($AH1619=20,IF(OR($AJ1619=10,$AJ1619=11,$AJ1619=18),"①病院一般",IF($AJ1619=41,"②病院短期","対象外")),IF($AH1619=5,IF($AJ1619=30,"③特定消防","対象外"),IF(OR($AJ1619=10,$AJ1619=11,$AJ1619=74),"④一般",IF(OR($AJ1619=41,$AJ1619=47),"⑤短期","対象外"))))))</f>
      </c>
    </row>
    <row r="1620">
      <c r="DB1620" s="2909">
        <f>IF($A1620="","",IF($AE1620&amp;""&lt;&gt;'DB_設定'!$C$4,"対象外",IF($AH1620=20,IF(OR($AJ1620=10,$AJ1620=11,$AJ1620=18),"①病院一般",IF($AJ1620=41,"②病院短期","対象外")),IF($AH1620=5,IF($AJ1620=30,"③特定消防","対象外"),IF(OR($AJ1620=10,$AJ1620=11,$AJ1620=74),"④一般",IF(OR($AJ1620=41,$AJ1620=47),"⑤短期","対象外"))))))</f>
      </c>
    </row>
    <row r="1621">
      <c r="DB1621" s="2909">
        <f>IF($A1621="","",IF($AE1621&amp;""&lt;&gt;'DB_設定'!$C$4,"対象外",IF($AH1621=20,IF(OR($AJ1621=10,$AJ1621=11,$AJ1621=18),"①病院一般",IF($AJ1621=41,"②病院短期","対象外")),IF($AH1621=5,IF($AJ1621=30,"③特定消防","対象外"),IF(OR($AJ1621=10,$AJ1621=11,$AJ1621=74),"④一般",IF(OR($AJ1621=41,$AJ1621=47),"⑤短期","対象外"))))))</f>
      </c>
    </row>
    <row r="1622">
      <c r="DB1622" s="2909">
        <f>IF($A1622="","",IF($AE1622&amp;""&lt;&gt;'DB_設定'!$C$4,"対象外",IF($AH1622=20,IF(OR($AJ1622=10,$AJ1622=11,$AJ1622=18),"①病院一般",IF($AJ1622=41,"②病院短期","対象外")),IF($AH1622=5,IF($AJ1622=30,"③特定消防","対象外"),IF(OR($AJ1622=10,$AJ1622=11,$AJ1622=74),"④一般",IF(OR($AJ1622=41,$AJ1622=47),"⑤短期","対象外"))))))</f>
      </c>
    </row>
    <row r="1623">
      <c r="DB1623" s="2909">
        <f>IF($A1623="","",IF($AE1623&amp;""&lt;&gt;'DB_設定'!$C$4,"対象外",IF($AH1623=20,IF(OR($AJ1623=10,$AJ1623=11,$AJ1623=18),"①病院一般",IF($AJ1623=41,"②病院短期","対象外")),IF($AH1623=5,IF($AJ1623=30,"③特定消防","対象外"),IF(OR($AJ1623=10,$AJ1623=11,$AJ1623=74),"④一般",IF(OR($AJ1623=41,$AJ1623=47),"⑤短期","対象外"))))))</f>
      </c>
    </row>
    <row r="1624">
      <c r="DB1624" s="2909">
        <f>IF($A1624="","",IF($AE1624&amp;""&lt;&gt;'DB_設定'!$C$4,"対象外",IF($AH1624=20,IF(OR($AJ1624=10,$AJ1624=11,$AJ1624=18),"①病院一般",IF($AJ1624=41,"②病院短期","対象外")),IF($AH1624=5,IF($AJ1624=30,"③特定消防","対象外"),IF(OR($AJ1624=10,$AJ1624=11,$AJ1624=74),"④一般",IF(OR($AJ1624=41,$AJ1624=47),"⑤短期","対象外"))))))</f>
      </c>
    </row>
    <row r="1625">
      <c r="DB1625" s="2909">
        <f>IF($A1625="","",IF($AE1625&amp;""&lt;&gt;'DB_設定'!$C$4,"対象外",IF($AH1625=20,IF(OR($AJ1625=10,$AJ1625=11,$AJ1625=18),"①病院一般",IF($AJ1625=41,"②病院短期","対象外")),IF($AH1625=5,IF($AJ1625=30,"③特定消防","対象外"),IF(OR($AJ1625=10,$AJ1625=11,$AJ1625=74),"④一般",IF(OR($AJ1625=41,$AJ1625=47),"⑤短期","対象外"))))))</f>
      </c>
    </row>
    <row r="1626">
      <c r="DB1626" s="2909">
        <f>IF($A1626="","",IF($AE1626&amp;""&lt;&gt;'DB_設定'!$C$4,"対象外",IF($AH1626=20,IF(OR($AJ1626=10,$AJ1626=11,$AJ1626=18),"①病院一般",IF($AJ1626=41,"②病院短期","対象外")),IF($AH1626=5,IF($AJ1626=30,"③特定消防","対象外"),IF(OR($AJ1626=10,$AJ1626=11,$AJ1626=74),"④一般",IF(OR($AJ1626=41,$AJ1626=47),"⑤短期","対象外"))))))</f>
      </c>
    </row>
    <row r="1627">
      <c r="DB1627" s="2909">
        <f>IF($A1627="","",IF($AE1627&amp;""&lt;&gt;'DB_設定'!$C$4,"対象外",IF($AH1627=20,IF(OR($AJ1627=10,$AJ1627=11,$AJ1627=18),"①病院一般",IF($AJ1627=41,"②病院短期","対象外")),IF($AH1627=5,IF($AJ1627=30,"③特定消防","対象外"),IF(OR($AJ1627=10,$AJ1627=11,$AJ1627=74),"④一般",IF(OR($AJ1627=41,$AJ1627=47),"⑤短期","対象外"))))))</f>
      </c>
    </row>
    <row r="1628">
      <c r="DB1628" s="2909">
        <f>IF($A1628="","",IF($AE1628&amp;""&lt;&gt;'DB_設定'!$C$4,"対象外",IF($AH1628=20,IF(OR($AJ1628=10,$AJ1628=11,$AJ1628=18),"①病院一般",IF($AJ1628=41,"②病院短期","対象外")),IF($AH1628=5,IF($AJ1628=30,"③特定消防","対象外"),IF(OR($AJ1628=10,$AJ1628=11,$AJ1628=74),"④一般",IF(OR($AJ1628=41,$AJ1628=47),"⑤短期","対象外"))))))</f>
      </c>
    </row>
    <row r="1629">
      <c r="DB1629" s="2909">
        <f>IF($A1629="","",IF($AE1629&amp;""&lt;&gt;'DB_設定'!$C$4,"対象外",IF($AH1629=20,IF(OR($AJ1629=10,$AJ1629=11,$AJ1629=18),"①病院一般",IF($AJ1629=41,"②病院短期","対象外")),IF($AH1629=5,IF($AJ1629=30,"③特定消防","対象外"),IF(OR($AJ1629=10,$AJ1629=11,$AJ1629=74),"④一般",IF(OR($AJ1629=41,$AJ1629=47),"⑤短期","対象外"))))))</f>
      </c>
    </row>
    <row r="1630">
      <c r="DB1630" s="2909">
        <f>IF($A1630="","",IF($AE1630&amp;""&lt;&gt;'DB_設定'!$C$4,"対象外",IF($AH1630=20,IF(OR($AJ1630=10,$AJ1630=11,$AJ1630=18),"①病院一般",IF($AJ1630=41,"②病院短期","対象外")),IF($AH1630=5,IF($AJ1630=30,"③特定消防","対象外"),IF(OR($AJ1630=10,$AJ1630=11,$AJ1630=74),"④一般",IF(OR($AJ1630=41,$AJ1630=47),"⑤短期","対象外"))))))</f>
      </c>
    </row>
    <row r="1631">
      <c r="DB1631" s="2909">
        <f>IF($A1631="","",IF($AE1631&amp;""&lt;&gt;'DB_設定'!$C$4,"対象外",IF($AH1631=20,IF(OR($AJ1631=10,$AJ1631=11,$AJ1631=18),"①病院一般",IF($AJ1631=41,"②病院短期","対象外")),IF($AH1631=5,IF($AJ1631=30,"③特定消防","対象外"),IF(OR($AJ1631=10,$AJ1631=11,$AJ1631=74),"④一般",IF(OR($AJ1631=41,$AJ1631=47),"⑤短期","対象外"))))))</f>
      </c>
    </row>
    <row r="1632">
      <c r="DB1632" s="2909">
        <f>IF($A1632="","",IF($AE1632&amp;""&lt;&gt;'DB_設定'!$C$4,"対象外",IF($AH1632=20,IF(OR($AJ1632=10,$AJ1632=11,$AJ1632=18),"①病院一般",IF($AJ1632=41,"②病院短期","対象外")),IF($AH1632=5,IF($AJ1632=30,"③特定消防","対象外"),IF(OR($AJ1632=10,$AJ1632=11,$AJ1632=74),"④一般",IF(OR($AJ1632=41,$AJ1632=47),"⑤短期","対象外"))))))</f>
      </c>
    </row>
    <row r="1633">
      <c r="DB1633" s="2909">
        <f>IF($A1633="","",IF($AE1633&amp;""&lt;&gt;'DB_設定'!$C$4,"対象外",IF($AH1633=20,IF(OR($AJ1633=10,$AJ1633=11,$AJ1633=18),"①病院一般",IF($AJ1633=41,"②病院短期","対象外")),IF($AH1633=5,IF($AJ1633=30,"③特定消防","対象外"),IF(OR($AJ1633=10,$AJ1633=11,$AJ1633=74),"④一般",IF(OR($AJ1633=41,$AJ1633=47),"⑤短期","対象外"))))))</f>
      </c>
    </row>
    <row r="1634">
      <c r="DB1634" s="2909">
        <f>IF($A1634="","",IF($AE1634&amp;""&lt;&gt;'DB_設定'!$C$4,"対象外",IF($AH1634=20,IF(OR($AJ1634=10,$AJ1634=11,$AJ1634=18),"①病院一般",IF($AJ1634=41,"②病院短期","対象外")),IF($AH1634=5,IF($AJ1634=30,"③特定消防","対象外"),IF(OR($AJ1634=10,$AJ1634=11,$AJ1634=74),"④一般",IF(OR($AJ1634=41,$AJ1634=47),"⑤短期","対象外"))))))</f>
      </c>
    </row>
    <row r="1635">
      <c r="DB1635" s="2909">
        <f>IF($A1635="","",IF($AE1635&amp;""&lt;&gt;'DB_設定'!$C$4,"対象外",IF($AH1635=20,IF(OR($AJ1635=10,$AJ1635=11,$AJ1635=18),"①病院一般",IF($AJ1635=41,"②病院短期","対象外")),IF($AH1635=5,IF($AJ1635=30,"③特定消防","対象外"),IF(OR($AJ1635=10,$AJ1635=11,$AJ1635=74),"④一般",IF(OR($AJ1635=41,$AJ1635=47),"⑤短期","対象外"))))))</f>
      </c>
    </row>
    <row r="1636">
      <c r="DB1636" s="2909">
        <f>IF($A1636="","",IF($AE1636&amp;""&lt;&gt;'DB_設定'!$C$4,"対象外",IF($AH1636=20,IF(OR($AJ1636=10,$AJ1636=11,$AJ1636=18),"①病院一般",IF($AJ1636=41,"②病院短期","対象外")),IF($AH1636=5,IF($AJ1636=30,"③特定消防","対象外"),IF(OR($AJ1636=10,$AJ1636=11,$AJ1636=74),"④一般",IF(OR($AJ1636=41,$AJ1636=47),"⑤短期","対象外"))))))</f>
      </c>
    </row>
    <row r="1637">
      <c r="DB1637" s="2909">
        <f>IF($A1637="","",IF($AE1637&amp;""&lt;&gt;'DB_設定'!$C$4,"対象外",IF($AH1637=20,IF(OR($AJ1637=10,$AJ1637=11,$AJ1637=18),"①病院一般",IF($AJ1637=41,"②病院短期","対象外")),IF($AH1637=5,IF($AJ1637=30,"③特定消防","対象外"),IF(OR($AJ1637=10,$AJ1637=11,$AJ1637=74),"④一般",IF(OR($AJ1637=41,$AJ1637=47),"⑤短期","対象外"))))))</f>
      </c>
    </row>
    <row r="1638">
      <c r="DB1638" s="2909">
        <f>IF($A1638="","",IF($AE1638&amp;""&lt;&gt;'DB_設定'!$C$4,"対象外",IF($AH1638=20,IF(OR($AJ1638=10,$AJ1638=11,$AJ1638=18),"①病院一般",IF($AJ1638=41,"②病院短期","対象外")),IF($AH1638=5,IF($AJ1638=30,"③特定消防","対象外"),IF(OR($AJ1638=10,$AJ1638=11,$AJ1638=74),"④一般",IF(OR($AJ1638=41,$AJ1638=47),"⑤短期","対象外"))))))</f>
      </c>
    </row>
    <row r="1639">
      <c r="DB1639" s="2909">
        <f>IF($A1639="","",IF($AE1639&amp;""&lt;&gt;'DB_設定'!$C$4,"対象外",IF($AH1639=20,IF(OR($AJ1639=10,$AJ1639=11,$AJ1639=18),"①病院一般",IF($AJ1639=41,"②病院短期","対象外")),IF($AH1639=5,IF($AJ1639=30,"③特定消防","対象外"),IF(OR($AJ1639=10,$AJ1639=11,$AJ1639=74),"④一般",IF(OR($AJ1639=41,$AJ1639=47),"⑤短期","対象外"))))))</f>
      </c>
    </row>
    <row r="1640">
      <c r="DB1640" s="2909">
        <f>IF($A1640="","",IF($AE1640&amp;""&lt;&gt;'DB_設定'!$C$4,"対象外",IF($AH1640=20,IF(OR($AJ1640=10,$AJ1640=11,$AJ1640=18),"①病院一般",IF($AJ1640=41,"②病院短期","対象外")),IF($AH1640=5,IF($AJ1640=30,"③特定消防","対象外"),IF(OR($AJ1640=10,$AJ1640=11,$AJ1640=74),"④一般",IF(OR($AJ1640=41,$AJ1640=47),"⑤短期","対象外"))))))</f>
      </c>
    </row>
    <row r="1641">
      <c r="DB1641" s="2909">
        <f>IF($A1641="","",IF($AE1641&amp;""&lt;&gt;'DB_設定'!$C$4,"対象外",IF($AH1641=20,IF(OR($AJ1641=10,$AJ1641=11,$AJ1641=18),"①病院一般",IF($AJ1641=41,"②病院短期","対象外")),IF($AH1641=5,IF($AJ1641=30,"③特定消防","対象外"),IF(OR($AJ1641=10,$AJ1641=11,$AJ1641=74),"④一般",IF(OR($AJ1641=41,$AJ1641=47),"⑤短期","対象外"))))))</f>
      </c>
    </row>
    <row r="1642">
      <c r="DB1642" s="2909">
        <f>IF($A1642="","",IF($AE1642&amp;""&lt;&gt;'DB_設定'!$C$4,"対象外",IF($AH1642=20,IF(OR($AJ1642=10,$AJ1642=11,$AJ1642=18),"①病院一般",IF($AJ1642=41,"②病院短期","対象外")),IF($AH1642=5,IF($AJ1642=30,"③特定消防","対象外"),IF(OR($AJ1642=10,$AJ1642=11,$AJ1642=74),"④一般",IF(OR($AJ1642=41,$AJ1642=47),"⑤短期","対象外"))))))</f>
      </c>
    </row>
    <row r="1643">
      <c r="DB1643" s="2909">
        <f>IF($A1643="","",IF($AE1643&amp;""&lt;&gt;'DB_設定'!$C$4,"対象外",IF($AH1643=20,IF(OR($AJ1643=10,$AJ1643=11,$AJ1643=18),"①病院一般",IF($AJ1643=41,"②病院短期","対象外")),IF($AH1643=5,IF($AJ1643=30,"③特定消防","対象外"),IF(OR($AJ1643=10,$AJ1643=11,$AJ1643=74),"④一般",IF(OR($AJ1643=41,$AJ1643=47),"⑤短期","対象外"))))))</f>
      </c>
    </row>
    <row r="1644">
      <c r="DB1644" s="2909">
        <f>IF($A1644="","",IF($AE1644&amp;""&lt;&gt;'DB_設定'!$C$4,"対象外",IF($AH1644=20,IF(OR($AJ1644=10,$AJ1644=11,$AJ1644=18),"①病院一般",IF($AJ1644=41,"②病院短期","対象外")),IF($AH1644=5,IF($AJ1644=30,"③特定消防","対象外"),IF(OR($AJ1644=10,$AJ1644=11,$AJ1644=74),"④一般",IF(OR($AJ1644=41,$AJ1644=47),"⑤短期","対象外"))))))</f>
      </c>
    </row>
    <row r="1645">
      <c r="DB1645" s="2909">
        <f>IF($A1645="","",IF($AE1645&amp;""&lt;&gt;'DB_設定'!$C$4,"対象外",IF($AH1645=20,IF(OR($AJ1645=10,$AJ1645=11,$AJ1645=18),"①病院一般",IF($AJ1645=41,"②病院短期","対象外")),IF($AH1645=5,IF($AJ1645=30,"③特定消防","対象外"),IF(OR($AJ1645=10,$AJ1645=11,$AJ1645=74),"④一般",IF(OR($AJ1645=41,$AJ1645=47),"⑤短期","対象外"))))))</f>
      </c>
    </row>
    <row r="1646">
      <c r="DB1646" s="2909">
        <f>IF($A1646="","",IF($AE1646&amp;""&lt;&gt;'DB_設定'!$C$4,"対象外",IF($AH1646=20,IF(OR($AJ1646=10,$AJ1646=11,$AJ1646=18),"①病院一般",IF($AJ1646=41,"②病院短期","対象外")),IF($AH1646=5,IF($AJ1646=30,"③特定消防","対象外"),IF(OR($AJ1646=10,$AJ1646=11,$AJ1646=74),"④一般",IF(OR($AJ1646=41,$AJ1646=47),"⑤短期","対象外"))))))</f>
      </c>
    </row>
    <row r="1647">
      <c r="DB1647" s="2909">
        <f>IF($A1647="","",IF($AE1647&amp;""&lt;&gt;'DB_設定'!$C$4,"対象外",IF($AH1647=20,IF(OR($AJ1647=10,$AJ1647=11,$AJ1647=18),"①病院一般",IF($AJ1647=41,"②病院短期","対象外")),IF($AH1647=5,IF($AJ1647=30,"③特定消防","対象外"),IF(OR($AJ1647=10,$AJ1647=11,$AJ1647=74),"④一般",IF(OR($AJ1647=41,$AJ1647=47),"⑤短期","対象外"))))))</f>
      </c>
    </row>
    <row r="1648">
      <c r="DB1648" s="2909">
        <f>IF($A1648="","",IF($AE1648&amp;""&lt;&gt;'DB_設定'!$C$4,"対象外",IF($AH1648=20,IF(OR($AJ1648=10,$AJ1648=11,$AJ1648=18),"①病院一般",IF($AJ1648=41,"②病院短期","対象外")),IF($AH1648=5,IF($AJ1648=30,"③特定消防","対象外"),IF(OR($AJ1648=10,$AJ1648=11,$AJ1648=74),"④一般",IF(OR($AJ1648=41,$AJ1648=47),"⑤短期","対象外"))))))</f>
      </c>
    </row>
    <row r="1649">
      <c r="DB1649" s="2909">
        <f>IF($A1649="","",IF($AE1649&amp;""&lt;&gt;'DB_設定'!$C$4,"対象外",IF($AH1649=20,IF(OR($AJ1649=10,$AJ1649=11,$AJ1649=18),"①病院一般",IF($AJ1649=41,"②病院短期","対象外")),IF($AH1649=5,IF($AJ1649=30,"③特定消防","対象外"),IF(OR($AJ1649=10,$AJ1649=11,$AJ1649=74),"④一般",IF(OR($AJ1649=41,$AJ1649=47),"⑤短期","対象外"))))))</f>
      </c>
    </row>
    <row r="1650">
      <c r="DB1650" s="2909">
        <f>IF($A1650="","",IF($AE1650&amp;""&lt;&gt;'DB_設定'!$C$4,"対象外",IF($AH1650=20,IF(OR($AJ1650=10,$AJ1650=11,$AJ1650=18),"①病院一般",IF($AJ1650=41,"②病院短期","対象外")),IF($AH1650=5,IF($AJ1650=30,"③特定消防","対象外"),IF(OR($AJ1650=10,$AJ1650=11,$AJ1650=74),"④一般",IF(OR($AJ1650=41,$AJ1650=47),"⑤短期","対象外"))))))</f>
      </c>
    </row>
    <row r="1651">
      <c r="DB1651" s="2909">
        <f>IF($A1651="","",IF($AE1651&amp;""&lt;&gt;'DB_設定'!$C$4,"対象外",IF($AH1651=20,IF(OR($AJ1651=10,$AJ1651=11,$AJ1651=18),"①病院一般",IF($AJ1651=41,"②病院短期","対象外")),IF($AH1651=5,IF($AJ1651=30,"③特定消防","対象外"),IF(OR($AJ1651=10,$AJ1651=11,$AJ1651=74),"④一般",IF(OR($AJ1651=41,$AJ1651=47),"⑤短期","対象外"))))))</f>
      </c>
    </row>
    <row r="1652">
      <c r="DB1652" s="2909">
        <f>IF($A1652="","",IF($AE1652&amp;""&lt;&gt;'DB_設定'!$C$4,"対象外",IF($AH1652=20,IF(OR($AJ1652=10,$AJ1652=11,$AJ1652=18),"①病院一般",IF($AJ1652=41,"②病院短期","対象外")),IF($AH1652=5,IF($AJ1652=30,"③特定消防","対象外"),IF(OR($AJ1652=10,$AJ1652=11,$AJ1652=74),"④一般",IF(OR($AJ1652=41,$AJ1652=47),"⑤短期","対象外"))))))</f>
      </c>
    </row>
    <row r="1653">
      <c r="DB1653" s="2909">
        <f>IF($A1653="","",IF($AE1653&amp;""&lt;&gt;'DB_設定'!$C$4,"対象外",IF($AH1653=20,IF(OR($AJ1653=10,$AJ1653=11,$AJ1653=18),"①病院一般",IF($AJ1653=41,"②病院短期","対象外")),IF($AH1653=5,IF($AJ1653=30,"③特定消防","対象外"),IF(OR($AJ1653=10,$AJ1653=11,$AJ1653=74),"④一般",IF(OR($AJ1653=41,$AJ1653=47),"⑤短期","対象外"))))))</f>
      </c>
    </row>
    <row r="1654">
      <c r="DB1654" s="2909">
        <f>IF($A1654="","",IF($AE1654&amp;""&lt;&gt;'DB_設定'!$C$4,"対象外",IF($AH1654=20,IF(OR($AJ1654=10,$AJ1654=11,$AJ1654=18),"①病院一般",IF($AJ1654=41,"②病院短期","対象外")),IF($AH1654=5,IF($AJ1654=30,"③特定消防","対象外"),IF(OR($AJ1654=10,$AJ1654=11,$AJ1654=74),"④一般",IF(OR($AJ1654=41,$AJ1654=47),"⑤短期","対象外"))))))</f>
      </c>
    </row>
    <row r="1655">
      <c r="DB1655" s="2909">
        <f>IF($A1655="","",IF($AE1655&amp;""&lt;&gt;'DB_設定'!$C$4,"対象外",IF($AH1655=20,IF(OR($AJ1655=10,$AJ1655=11,$AJ1655=18),"①病院一般",IF($AJ1655=41,"②病院短期","対象外")),IF($AH1655=5,IF($AJ1655=30,"③特定消防","対象外"),IF(OR($AJ1655=10,$AJ1655=11,$AJ1655=74),"④一般",IF(OR($AJ1655=41,$AJ1655=47),"⑤短期","対象外"))))))</f>
      </c>
    </row>
    <row r="1656">
      <c r="DB1656" s="2909">
        <f>IF($A1656="","",IF($AE1656&amp;""&lt;&gt;'DB_設定'!$C$4,"対象外",IF($AH1656=20,IF(OR($AJ1656=10,$AJ1656=11,$AJ1656=18),"①病院一般",IF($AJ1656=41,"②病院短期","対象外")),IF($AH1656=5,IF($AJ1656=30,"③特定消防","対象外"),IF(OR($AJ1656=10,$AJ1656=11,$AJ1656=74),"④一般",IF(OR($AJ1656=41,$AJ1656=47),"⑤短期","対象外"))))))</f>
      </c>
    </row>
    <row r="1657">
      <c r="DB1657" s="2909">
        <f>IF($A1657="","",IF($AE1657&amp;""&lt;&gt;'DB_設定'!$C$4,"対象外",IF($AH1657=20,IF(OR($AJ1657=10,$AJ1657=11,$AJ1657=18),"①病院一般",IF($AJ1657=41,"②病院短期","対象外")),IF($AH1657=5,IF($AJ1657=30,"③特定消防","対象外"),IF(OR($AJ1657=10,$AJ1657=11,$AJ1657=74),"④一般",IF(OR($AJ1657=41,$AJ1657=47),"⑤短期","対象外"))))))</f>
      </c>
    </row>
    <row r="1658">
      <c r="DB1658" s="2909">
        <f>IF($A1658="","",IF($AE1658&amp;""&lt;&gt;'DB_設定'!$C$4,"対象外",IF($AH1658=20,IF(OR($AJ1658=10,$AJ1658=11,$AJ1658=18),"①病院一般",IF($AJ1658=41,"②病院短期","対象外")),IF($AH1658=5,IF($AJ1658=30,"③特定消防","対象外"),IF(OR($AJ1658=10,$AJ1658=11,$AJ1658=74),"④一般",IF(OR($AJ1658=41,$AJ1658=47),"⑤短期","対象外"))))))</f>
      </c>
    </row>
    <row r="1659">
      <c r="DB1659" s="2909">
        <f>IF($A1659="","",IF($AE1659&amp;""&lt;&gt;'DB_設定'!$C$4,"対象外",IF($AH1659=20,IF(OR($AJ1659=10,$AJ1659=11,$AJ1659=18),"①病院一般",IF($AJ1659=41,"②病院短期","対象外")),IF($AH1659=5,IF($AJ1659=30,"③特定消防","対象外"),IF(OR($AJ1659=10,$AJ1659=11,$AJ1659=74),"④一般",IF(OR($AJ1659=41,$AJ1659=47),"⑤短期","対象外"))))))</f>
      </c>
    </row>
    <row r="1660">
      <c r="DB1660" s="2909">
        <f>IF($A1660="","",IF($AE1660&amp;""&lt;&gt;'DB_設定'!$C$4,"対象外",IF($AH1660=20,IF(OR($AJ1660=10,$AJ1660=11,$AJ1660=18),"①病院一般",IF($AJ1660=41,"②病院短期","対象外")),IF($AH1660=5,IF($AJ1660=30,"③特定消防","対象外"),IF(OR($AJ1660=10,$AJ1660=11,$AJ1660=74),"④一般",IF(OR($AJ1660=41,$AJ1660=47),"⑤短期","対象外"))))))</f>
      </c>
    </row>
    <row r="1661">
      <c r="DB1661" s="2909">
        <f>IF($A1661="","",IF($AE1661&amp;""&lt;&gt;'DB_設定'!$C$4,"対象外",IF($AH1661=20,IF(OR($AJ1661=10,$AJ1661=11,$AJ1661=18),"①病院一般",IF($AJ1661=41,"②病院短期","対象外")),IF($AH1661=5,IF($AJ1661=30,"③特定消防","対象外"),IF(OR($AJ1661=10,$AJ1661=11,$AJ1661=74),"④一般",IF(OR($AJ1661=41,$AJ1661=47),"⑤短期","対象外"))))))</f>
      </c>
    </row>
    <row r="1662">
      <c r="DB1662" s="2909">
        <f>IF($A1662="","",IF($AE1662&amp;""&lt;&gt;'DB_設定'!$C$4,"対象外",IF($AH1662=20,IF(OR($AJ1662=10,$AJ1662=11,$AJ1662=18),"①病院一般",IF($AJ1662=41,"②病院短期","対象外")),IF($AH1662=5,IF($AJ1662=30,"③特定消防","対象外"),IF(OR($AJ1662=10,$AJ1662=11,$AJ1662=74),"④一般",IF(OR($AJ1662=41,$AJ1662=47),"⑤短期","対象外"))))))</f>
      </c>
    </row>
    <row r="1663">
      <c r="DB1663" s="2909">
        <f>IF($A1663="","",IF($AE1663&amp;""&lt;&gt;'DB_設定'!$C$4,"対象外",IF($AH1663=20,IF(OR($AJ1663=10,$AJ1663=11,$AJ1663=18),"①病院一般",IF($AJ1663=41,"②病院短期","対象外")),IF($AH1663=5,IF($AJ1663=30,"③特定消防","対象外"),IF(OR($AJ1663=10,$AJ1663=11,$AJ1663=74),"④一般",IF(OR($AJ1663=41,$AJ1663=47),"⑤短期","対象外"))))))</f>
      </c>
    </row>
    <row r="1664">
      <c r="DB1664" s="2909">
        <f>IF($A1664="","",IF($AE1664&amp;""&lt;&gt;'DB_設定'!$C$4,"対象外",IF($AH1664=20,IF(OR($AJ1664=10,$AJ1664=11,$AJ1664=18),"①病院一般",IF($AJ1664=41,"②病院短期","対象外")),IF($AH1664=5,IF($AJ1664=30,"③特定消防","対象外"),IF(OR($AJ1664=10,$AJ1664=11,$AJ1664=74),"④一般",IF(OR($AJ1664=41,$AJ1664=47),"⑤短期","対象外"))))))</f>
      </c>
    </row>
    <row r="1665">
      <c r="DB1665" s="2909">
        <f>IF($A1665="","",IF($AE1665&amp;""&lt;&gt;'DB_設定'!$C$4,"対象外",IF($AH1665=20,IF(OR($AJ1665=10,$AJ1665=11,$AJ1665=18),"①病院一般",IF($AJ1665=41,"②病院短期","対象外")),IF($AH1665=5,IF($AJ1665=30,"③特定消防","対象外"),IF(OR($AJ1665=10,$AJ1665=11,$AJ1665=74),"④一般",IF(OR($AJ1665=41,$AJ1665=47),"⑤短期","対象外"))))))</f>
      </c>
    </row>
    <row r="1666">
      <c r="DB1666" s="2909">
        <f>IF($A1666="","",IF($AE1666&amp;""&lt;&gt;'DB_設定'!$C$4,"対象外",IF($AH1666=20,IF(OR($AJ1666=10,$AJ1666=11,$AJ1666=18),"①病院一般",IF($AJ1666=41,"②病院短期","対象外")),IF($AH1666=5,IF($AJ1666=30,"③特定消防","対象外"),IF(OR($AJ1666=10,$AJ1666=11,$AJ1666=74),"④一般",IF(OR($AJ1666=41,$AJ1666=47),"⑤短期","対象外"))))))</f>
      </c>
    </row>
    <row r="1667">
      <c r="DB1667" s="2909">
        <f>IF($A1667="","",IF($AE1667&amp;""&lt;&gt;'DB_設定'!$C$4,"対象外",IF($AH1667=20,IF(OR($AJ1667=10,$AJ1667=11,$AJ1667=18),"①病院一般",IF($AJ1667=41,"②病院短期","対象外")),IF($AH1667=5,IF($AJ1667=30,"③特定消防","対象外"),IF(OR($AJ1667=10,$AJ1667=11,$AJ1667=74),"④一般",IF(OR($AJ1667=41,$AJ1667=47),"⑤短期","対象外"))))))</f>
      </c>
    </row>
    <row r="1668">
      <c r="DB1668" s="2909">
        <f>IF($A1668="","",IF($AE1668&amp;""&lt;&gt;'DB_設定'!$C$4,"対象外",IF($AH1668=20,IF(OR($AJ1668=10,$AJ1668=11,$AJ1668=18),"①病院一般",IF($AJ1668=41,"②病院短期","対象外")),IF($AH1668=5,IF($AJ1668=30,"③特定消防","対象外"),IF(OR($AJ1668=10,$AJ1668=11,$AJ1668=74),"④一般",IF(OR($AJ1668=41,$AJ1668=47),"⑤短期","対象外"))))))</f>
      </c>
    </row>
    <row r="1669">
      <c r="DB1669" s="2909">
        <f>IF($A1669="","",IF($AE1669&amp;""&lt;&gt;'DB_設定'!$C$4,"対象外",IF($AH1669=20,IF(OR($AJ1669=10,$AJ1669=11,$AJ1669=18),"①病院一般",IF($AJ1669=41,"②病院短期","対象外")),IF($AH1669=5,IF($AJ1669=30,"③特定消防","対象外"),IF(OR($AJ1669=10,$AJ1669=11,$AJ1669=74),"④一般",IF(OR($AJ1669=41,$AJ1669=47),"⑤短期","対象外"))))))</f>
      </c>
    </row>
    <row r="1670">
      <c r="DB1670" s="2909">
        <f>IF($A1670="","",IF($AE1670&amp;""&lt;&gt;'DB_設定'!$C$4,"対象外",IF($AH1670=20,IF(OR($AJ1670=10,$AJ1670=11,$AJ1670=18),"①病院一般",IF($AJ1670=41,"②病院短期","対象外")),IF($AH1670=5,IF($AJ1670=30,"③特定消防","対象外"),IF(OR($AJ1670=10,$AJ1670=11,$AJ1670=74),"④一般",IF(OR($AJ1670=41,$AJ1670=47),"⑤短期","対象外"))))))</f>
      </c>
    </row>
    <row r="1671">
      <c r="DB1671" s="2909">
        <f>IF($A1671="","",IF($AE1671&amp;""&lt;&gt;'DB_設定'!$C$4,"対象外",IF($AH1671=20,IF(OR($AJ1671=10,$AJ1671=11,$AJ1671=18),"①病院一般",IF($AJ1671=41,"②病院短期","対象外")),IF($AH1671=5,IF($AJ1671=30,"③特定消防","対象外"),IF(OR($AJ1671=10,$AJ1671=11,$AJ1671=74),"④一般",IF(OR($AJ1671=41,$AJ1671=47),"⑤短期","対象外"))))))</f>
      </c>
    </row>
    <row r="1672">
      <c r="DB1672" s="2909">
        <f>IF($A1672="","",IF($AE1672&amp;""&lt;&gt;'DB_設定'!$C$4,"対象外",IF($AH1672=20,IF(OR($AJ1672=10,$AJ1672=11,$AJ1672=18),"①病院一般",IF($AJ1672=41,"②病院短期","対象外")),IF($AH1672=5,IF($AJ1672=30,"③特定消防","対象外"),IF(OR($AJ1672=10,$AJ1672=11,$AJ1672=74),"④一般",IF(OR($AJ1672=41,$AJ1672=47),"⑤短期","対象外"))))))</f>
      </c>
    </row>
    <row r="1673">
      <c r="DB1673" s="2909">
        <f>IF($A1673="","",IF($AE1673&amp;""&lt;&gt;'DB_設定'!$C$4,"対象外",IF($AH1673=20,IF(OR($AJ1673=10,$AJ1673=11,$AJ1673=18),"①病院一般",IF($AJ1673=41,"②病院短期","対象外")),IF($AH1673=5,IF($AJ1673=30,"③特定消防","対象外"),IF(OR($AJ1673=10,$AJ1673=11,$AJ1673=74),"④一般",IF(OR($AJ1673=41,$AJ1673=47),"⑤短期","対象外"))))))</f>
      </c>
    </row>
    <row r="1674">
      <c r="DB1674" s="2909">
        <f>IF($A1674="","",IF($AE1674&amp;""&lt;&gt;'DB_設定'!$C$4,"対象外",IF($AH1674=20,IF(OR($AJ1674=10,$AJ1674=11,$AJ1674=18),"①病院一般",IF($AJ1674=41,"②病院短期","対象外")),IF($AH1674=5,IF($AJ1674=30,"③特定消防","対象外"),IF(OR($AJ1674=10,$AJ1674=11,$AJ1674=74),"④一般",IF(OR($AJ1674=41,$AJ1674=47),"⑤短期","対象外"))))))</f>
      </c>
    </row>
    <row r="1675">
      <c r="DB1675" s="2909">
        <f>IF($A1675="","",IF($AE1675&amp;""&lt;&gt;'DB_設定'!$C$4,"対象外",IF($AH1675=20,IF(OR($AJ1675=10,$AJ1675=11,$AJ1675=18),"①病院一般",IF($AJ1675=41,"②病院短期","対象外")),IF($AH1675=5,IF($AJ1675=30,"③特定消防","対象外"),IF(OR($AJ1675=10,$AJ1675=11,$AJ1675=74),"④一般",IF(OR($AJ1675=41,$AJ1675=47),"⑤短期","対象外"))))))</f>
      </c>
    </row>
    <row r="1676">
      <c r="DB1676" s="2909">
        <f>IF($A1676="","",IF($AE1676&amp;""&lt;&gt;'DB_設定'!$C$4,"対象外",IF($AH1676=20,IF(OR($AJ1676=10,$AJ1676=11,$AJ1676=18),"①病院一般",IF($AJ1676=41,"②病院短期","対象外")),IF($AH1676=5,IF($AJ1676=30,"③特定消防","対象外"),IF(OR($AJ1676=10,$AJ1676=11,$AJ1676=74),"④一般",IF(OR($AJ1676=41,$AJ1676=47),"⑤短期","対象外"))))))</f>
      </c>
    </row>
    <row r="1677">
      <c r="DB1677" s="2909">
        <f>IF($A1677="","",IF($AE1677&amp;""&lt;&gt;'DB_設定'!$C$4,"対象外",IF($AH1677=20,IF(OR($AJ1677=10,$AJ1677=11,$AJ1677=18),"①病院一般",IF($AJ1677=41,"②病院短期","対象外")),IF($AH1677=5,IF($AJ1677=30,"③特定消防","対象外"),IF(OR($AJ1677=10,$AJ1677=11,$AJ1677=74),"④一般",IF(OR($AJ1677=41,$AJ1677=47),"⑤短期","対象外"))))))</f>
      </c>
    </row>
    <row r="1678">
      <c r="DB1678" s="2909">
        <f>IF($A1678="","",IF($AE1678&amp;""&lt;&gt;'DB_設定'!$C$4,"対象外",IF($AH1678=20,IF(OR($AJ1678=10,$AJ1678=11,$AJ1678=18),"①病院一般",IF($AJ1678=41,"②病院短期","対象外")),IF($AH1678=5,IF($AJ1678=30,"③特定消防","対象外"),IF(OR($AJ1678=10,$AJ1678=11,$AJ1678=74),"④一般",IF(OR($AJ1678=41,$AJ1678=47),"⑤短期","対象外"))))))</f>
      </c>
    </row>
    <row r="1679">
      <c r="DB1679" s="2909">
        <f>IF($A1679="","",IF($AE1679&amp;""&lt;&gt;'DB_設定'!$C$4,"対象外",IF($AH1679=20,IF(OR($AJ1679=10,$AJ1679=11,$AJ1679=18),"①病院一般",IF($AJ1679=41,"②病院短期","対象外")),IF($AH1679=5,IF($AJ1679=30,"③特定消防","対象外"),IF(OR($AJ1679=10,$AJ1679=11,$AJ1679=74),"④一般",IF(OR($AJ1679=41,$AJ1679=47),"⑤短期","対象外"))))))</f>
      </c>
    </row>
    <row r="1680">
      <c r="DB1680" s="2909">
        <f>IF($A1680="","",IF($AE1680&amp;""&lt;&gt;'DB_設定'!$C$4,"対象外",IF($AH1680=20,IF(OR($AJ1680=10,$AJ1680=11,$AJ1680=18),"①病院一般",IF($AJ1680=41,"②病院短期","対象外")),IF($AH1680=5,IF($AJ1680=30,"③特定消防","対象外"),IF(OR($AJ1680=10,$AJ1680=11,$AJ1680=74),"④一般",IF(OR($AJ1680=41,$AJ1680=47),"⑤短期","対象外"))))))</f>
      </c>
    </row>
    <row r="1681">
      <c r="DB1681" s="2909">
        <f>IF($A1681="","",IF($AE1681&amp;""&lt;&gt;'DB_設定'!$C$4,"対象外",IF($AH1681=20,IF(OR($AJ1681=10,$AJ1681=11,$AJ1681=18),"①病院一般",IF($AJ1681=41,"②病院短期","対象外")),IF($AH1681=5,IF($AJ1681=30,"③特定消防","対象外"),IF(OR($AJ1681=10,$AJ1681=11,$AJ1681=74),"④一般",IF(OR($AJ1681=41,$AJ1681=47),"⑤短期","対象外"))))))</f>
      </c>
    </row>
    <row r="1682">
      <c r="DB1682" s="2909">
        <f>IF($A1682="","",IF($AE1682&amp;""&lt;&gt;'DB_設定'!$C$4,"対象外",IF($AH1682=20,IF(OR($AJ1682=10,$AJ1682=11,$AJ1682=18),"①病院一般",IF($AJ1682=41,"②病院短期","対象外")),IF($AH1682=5,IF($AJ1682=30,"③特定消防","対象外"),IF(OR($AJ1682=10,$AJ1682=11,$AJ1682=74),"④一般",IF(OR($AJ1682=41,$AJ1682=47),"⑤短期","対象外"))))))</f>
      </c>
    </row>
    <row r="1683">
      <c r="DB1683" s="2909">
        <f>IF($A1683="","",IF($AE1683&amp;""&lt;&gt;'DB_設定'!$C$4,"対象外",IF($AH1683=20,IF(OR($AJ1683=10,$AJ1683=11,$AJ1683=18),"①病院一般",IF($AJ1683=41,"②病院短期","対象外")),IF($AH1683=5,IF($AJ1683=30,"③特定消防","対象外"),IF(OR($AJ1683=10,$AJ1683=11,$AJ1683=74),"④一般",IF(OR($AJ1683=41,$AJ1683=47),"⑤短期","対象外"))))))</f>
      </c>
    </row>
    <row r="1684">
      <c r="DB1684" s="2909">
        <f>IF($A1684="","",IF($AE1684&amp;""&lt;&gt;'DB_設定'!$C$4,"対象外",IF($AH1684=20,IF(OR($AJ1684=10,$AJ1684=11,$AJ1684=18),"①病院一般",IF($AJ1684=41,"②病院短期","対象外")),IF($AH1684=5,IF($AJ1684=30,"③特定消防","対象外"),IF(OR($AJ1684=10,$AJ1684=11,$AJ1684=74),"④一般",IF(OR($AJ1684=41,$AJ1684=47),"⑤短期","対象外"))))))</f>
      </c>
    </row>
    <row r="1685">
      <c r="DB1685" s="2909">
        <f>IF($A1685="","",IF($AE1685&amp;""&lt;&gt;'DB_設定'!$C$4,"対象外",IF($AH1685=20,IF(OR($AJ1685=10,$AJ1685=11,$AJ1685=18),"①病院一般",IF($AJ1685=41,"②病院短期","対象外")),IF($AH1685=5,IF($AJ1685=30,"③特定消防","対象外"),IF(OR($AJ1685=10,$AJ1685=11,$AJ1685=74),"④一般",IF(OR($AJ1685=41,$AJ1685=47),"⑤短期","対象外"))))))</f>
      </c>
    </row>
    <row r="1686">
      <c r="DB1686" s="2909">
        <f>IF($A1686="","",IF($AE1686&amp;""&lt;&gt;'DB_設定'!$C$4,"対象外",IF($AH1686=20,IF(OR($AJ1686=10,$AJ1686=11,$AJ1686=18),"①病院一般",IF($AJ1686=41,"②病院短期","対象外")),IF($AH1686=5,IF($AJ1686=30,"③特定消防","対象外"),IF(OR($AJ1686=10,$AJ1686=11,$AJ1686=74),"④一般",IF(OR($AJ1686=41,$AJ1686=47),"⑤短期","対象外"))))))</f>
      </c>
    </row>
    <row r="1687">
      <c r="DB1687" s="2909">
        <f>IF($A1687="","",IF($AE1687&amp;""&lt;&gt;'DB_設定'!$C$4,"対象外",IF($AH1687=20,IF(OR($AJ1687=10,$AJ1687=11,$AJ1687=18),"①病院一般",IF($AJ1687=41,"②病院短期","対象外")),IF($AH1687=5,IF($AJ1687=30,"③特定消防","対象外"),IF(OR($AJ1687=10,$AJ1687=11,$AJ1687=74),"④一般",IF(OR($AJ1687=41,$AJ1687=47),"⑤短期","対象外"))))))</f>
      </c>
    </row>
    <row r="1688">
      <c r="DB1688" s="2909">
        <f>IF($A1688="","",IF($AE1688&amp;""&lt;&gt;'DB_設定'!$C$4,"対象外",IF($AH1688=20,IF(OR($AJ1688=10,$AJ1688=11,$AJ1688=18),"①病院一般",IF($AJ1688=41,"②病院短期","対象外")),IF($AH1688=5,IF($AJ1688=30,"③特定消防","対象外"),IF(OR($AJ1688=10,$AJ1688=11,$AJ1688=74),"④一般",IF(OR($AJ1688=41,$AJ1688=47),"⑤短期","対象外"))))))</f>
      </c>
    </row>
    <row r="1689">
      <c r="DB1689" s="2909">
        <f>IF($A1689="","",IF($AE1689&amp;""&lt;&gt;'DB_設定'!$C$4,"対象外",IF($AH1689=20,IF(OR($AJ1689=10,$AJ1689=11,$AJ1689=18),"①病院一般",IF($AJ1689=41,"②病院短期","対象外")),IF($AH1689=5,IF($AJ1689=30,"③特定消防","対象外"),IF(OR($AJ1689=10,$AJ1689=11,$AJ1689=74),"④一般",IF(OR($AJ1689=41,$AJ1689=47),"⑤短期","対象外"))))))</f>
      </c>
    </row>
    <row r="1690">
      <c r="DB1690" s="2909">
        <f>IF($A1690="","",IF($AE1690&amp;""&lt;&gt;'DB_設定'!$C$4,"対象外",IF($AH1690=20,IF(OR($AJ1690=10,$AJ1690=11,$AJ1690=18),"①病院一般",IF($AJ1690=41,"②病院短期","対象外")),IF($AH1690=5,IF($AJ1690=30,"③特定消防","対象外"),IF(OR($AJ1690=10,$AJ1690=11,$AJ1690=74),"④一般",IF(OR($AJ1690=41,$AJ1690=47),"⑤短期","対象外"))))))</f>
      </c>
    </row>
    <row r="1691">
      <c r="DB1691" s="2909">
        <f>IF($A1691="","",IF($AE1691&amp;""&lt;&gt;'DB_設定'!$C$4,"対象外",IF($AH1691=20,IF(OR($AJ1691=10,$AJ1691=11,$AJ1691=18),"①病院一般",IF($AJ1691=41,"②病院短期","対象外")),IF($AH1691=5,IF($AJ1691=30,"③特定消防","対象外"),IF(OR($AJ1691=10,$AJ1691=11,$AJ1691=74),"④一般",IF(OR($AJ1691=41,$AJ1691=47),"⑤短期","対象外"))))))</f>
      </c>
    </row>
    <row r="1692">
      <c r="DB1692" s="2909">
        <f>IF($A1692="","",IF($AE1692&amp;""&lt;&gt;'DB_設定'!$C$4,"対象外",IF($AH1692=20,IF(OR($AJ1692=10,$AJ1692=11,$AJ1692=18),"①病院一般",IF($AJ1692=41,"②病院短期","対象外")),IF($AH1692=5,IF($AJ1692=30,"③特定消防","対象外"),IF(OR($AJ1692=10,$AJ1692=11,$AJ1692=74),"④一般",IF(OR($AJ1692=41,$AJ1692=47),"⑤短期","対象外"))))))</f>
      </c>
    </row>
    <row r="1693">
      <c r="DB1693" s="2909">
        <f>IF($A1693="","",IF($AE1693&amp;""&lt;&gt;'DB_設定'!$C$4,"対象外",IF($AH1693=20,IF(OR($AJ1693=10,$AJ1693=11,$AJ1693=18),"①病院一般",IF($AJ1693=41,"②病院短期","対象外")),IF($AH1693=5,IF($AJ1693=30,"③特定消防","対象外"),IF(OR($AJ1693=10,$AJ1693=11,$AJ1693=74),"④一般",IF(OR($AJ1693=41,$AJ1693=47),"⑤短期","対象外"))))))</f>
      </c>
    </row>
    <row r="1694">
      <c r="DB1694" s="2909">
        <f>IF($A1694="","",IF($AE1694&amp;""&lt;&gt;'DB_設定'!$C$4,"対象外",IF($AH1694=20,IF(OR($AJ1694=10,$AJ1694=11,$AJ1694=18),"①病院一般",IF($AJ1694=41,"②病院短期","対象外")),IF($AH1694=5,IF($AJ1694=30,"③特定消防","対象外"),IF(OR($AJ1694=10,$AJ1694=11,$AJ1694=74),"④一般",IF(OR($AJ1694=41,$AJ1694=47),"⑤短期","対象外"))))))</f>
      </c>
    </row>
    <row r="1695">
      <c r="DB1695" s="2909">
        <f>IF($A1695="","",IF($AE1695&amp;""&lt;&gt;'DB_設定'!$C$4,"対象外",IF($AH1695=20,IF(OR($AJ1695=10,$AJ1695=11,$AJ1695=18),"①病院一般",IF($AJ1695=41,"②病院短期","対象外")),IF($AH1695=5,IF($AJ1695=30,"③特定消防","対象外"),IF(OR($AJ1695=10,$AJ1695=11,$AJ1695=74),"④一般",IF(OR($AJ1695=41,$AJ1695=47),"⑤短期","対象外"))))))</f>
      </c>
    </row>
    <row r="1696">
      <c r="DB1696" s="2909">
        <f>IF($A1696="","",IF($AE1696&amp;""&lt;&gt;'DB_設定'!$C$4,"対象外",IF($AH1696=20,IF(OR($AJ1696=10,$AJ1696=11,$AJ1696=18),"①病院一般",IF($AJ1696=41,"②病院短期","対象外")),IF($AH1696=5,IF($AJ1696=30,"③特定消防","対象外"),IF(OR($AJ1696=10,$AJ1696=11,$AJ1696=74),"④一般",IF(OR($AJ1696=41,$AJ1696=47),"⑤短期","対象外"))))))</f>
      </c>
    </row>
    <row r="1697">
      <c r="DB1697" s="2909">
        <f>IF($A1697="","",IF($AE1697&amp;""&lt;&gt;'DB_設定'!$C$4,"対象外",IF($AH1697=20,IF(OR($AJ1697=10,$AJ1697=11,$AJ1697=18),"①病院一般",IF($AJ1697=41,"②病院短期","対象外")),IF($AH1697=5,IF($AJ1697=30,"③特定消防","対象外"),IF(OR($AJ1697=10,$AJ1697=11,$AJ1697=74),"④一般",IF(OR($AJ1697=41,$AJ1697=47),"⑤短期","対象外"))))))</f>
      </c>
    </row>
    <row r="1698">
      <c r="DB1698" s="2909">
        <f>IF($A1698="","",IF($AE1698&amp;""&lt;&gt;'DB_設定'!$C$4,"対象外",IF($AH1698=20,IF(OR($AJ1698=10,$AJ1698=11,$AJ1698=18),"①病院一般",IF($AJ1698=41,"②病院短期","対象外")),IF($AH1698=5,IF($AJ1698=30,"③特定消防","対象外"),IF(OR($AJ1698=10,$AJ1698=11,$AJ1698=74),"④一般",IF(OR($AJ1698=41,$AJ1698=47),"⑤短期","対象外"))))))</f>
      </c>
    </row>
    <row r="1699">
      <c r="DB1699" s="2909">
        <f>IF($A1699="","",IF($AE1699&amp;""&lt;&gt;'DB_設定'!$C$4,"対象外",IF($AH1699=20,IF(OR($AJ1699=10,$AJ1699=11,$AJ1699=18),"①病院一般",IF($AJ1699=41,"②病院短期","対象外")),IF($AH1699=5,IF($AJ1699=30,"③特定消防","対象外"),IF(OR($AJ1699=10,$AJ1699=11,$AJ1699=74),"④一般",IF(OR($AJ1699=41,$AJ1699=47),"⑤短期","対象外"))))))</f>
      </c>
    </row>
    <row r="1700">
      <c r="DB1700" s="2909">
        <f>IF($A1700="","",IF($AE1700&amp;""&lt;&gt;'DB_設定'!$C$4,"対象外",IF($AH1700=20,IF(OR($AJ1700=10,$AJ1700=11,$AJ1700=18),"①病院一般",IF($AJ1700=41,"②病院短期","対象外")),IF($AH1700=5,IF($AJ1700=30,"③特定消防","対象外"),IF(OR($AJ1700=10,$AJ1700=11,$AJ1700=74),"④一般",IF(OR($AJ1700=41,$AJ1700=47),"⑤短期","対象外"))))))</f>
      </c>
    </row>
    <row r="1701">
      <c r="DB1701" s="2909">
        <f>IF($A1701="","",IF($AE1701&amp;""&lt;&gt;'DB_設定'!$C$4,"対象外",IF($AH1701=20,IF(OR($AJ1701=10,$AJ1701=11,$AJ1701=18),"①病院一般",IF($AJ1701=41,"②病院短期","対象外")),IF($AH1701=5,IF($AJ1701=30,"③特定消防","対象外"),IF(OR($AJ1701=10,$AJ1701=11,$AJ1701=74),"④一般",IF(OR($AJ1701=41,$AJ1701=47),"⑤短期","対象外"))))))</f>
      </c>
    </row>
    <row r="1702">
      <c r="DB1702" s="2909">
        <f>IF($A1702="","",IF($AE1702&amp;""&lt;&gt;'DB_設定'!$C$4,"対象外",IF($AH1702=20,IF(OR($AJ1702=10,$AJ1702=11,$AJ1702=18),"①病院一般",IF($AJ1702=41,"②病院短期","対象外")),IF($AH1702=5,IF($AJ1702=30,"③特定消防","対象外"),IF(OR($AJ1702=10,$AJ1702=11,$AJ1702=74),"④一般",IF(OR($AJ1702=41,$AJ1702=47),"⑤短期","対象外"))))))</f>
      </c>
    </row>
    <row r="1703">
      <c r="DB1703" s="2909">
        <f>IF($A1703="","",IF($AE1703&amp;""&lt;&gt;'DB_設定'!$C$4,"対象外",IF($AH1703=20,IF(OR($AJ1703=10,$AJ1703=11,$AJ1703=18),"①病院一般",IF($AJ1703=41,"②病院短期","対象外")),IF($AH1703=5,IF($AJ1703=30,"③特定消防","対象外"),IF(OR($AJ1703=10,$AJ1703=11,$AJ1703=74),"④一般",IF(OR($AJ1703=41,$AJ1703=47),"⑤短期","対象外"))))))</f>
      </c>
    </row>
    <row r="1704">
      <c r="DB1704" s="2909">
        <f>IF($A1704="","",IF($AE1704&amp;""&lt;&gt;'DB_設定'!$C$4,"対象外",IF($AH1704=20,IF(OR($AJ1704=10,$AJ1704=11,$AJ1704=18),"①病院一般",IF($AJ1704=41,"②病院短期","対象外")),IF($AH1704=5,IF($AJ1704=30,"③特定消防","対象外"),IF(OR($AJ1704=10,$AJ1704=11,$AJ1704=74),"④一般",IF(OR($AJ1704=41,$AJ1704=47),"⑤短期","対象外"))))))</f>
      </c>
    </row>
    <row r="1705">
      <c r="DB1705" s="2909">
        <f>IF($A1705="","",IF($AE1705&amp;""&lt;&gt;'DB_設定'!$C$4,"対象外",IF($AH1705=20,IF(OR($AJ1705=10,$AJ1705=11,$AJ1705=18),"①病院一般",IF($AJ1705=41,"②病院短期","対象外")),IF($AH1705=5,IF($AJ1705=30,"③特定消防","対象外"),IF(OR($AJ1705=10,$AJ1705=11,$AJ1705=74),"④一般",IF(OR($AJ1705=41,$AJ1705=47),"⑤短期","対象外"))))))</f>
      </c>
    </row>
    <row r="1706">
      <c r="DB1706" s="2909">
        <f>IF($A1706="","",IF($AE1706&amp;""&lt;&gt;'DB_設定'!$C$4,"対象外",IF($AH1706=20,IF(OR($AJ1706=10,$AJ1706=11,$AJ1706=18),"①病院一般",IF($AJ1706=41,"②病院短期","対象外")),IF($AH1706=5,IF($AJ1706=30,"③特定消防","対象外"),IF(OR($AJ1706=10,$AJ1706=11,$AJ1706=74),"④一般",IF(OR($AJ1706=41,$AJ1706=47),"⑤短期","対象外"))))))</f>
      </c>
    </row>
    <row r="1707">
      <c r="DB1707" s="2909">
        <f>IF($A1707="","",IF($AE1707&amp;""&lt;&gt;'DB_設定'!$C$4,"対象外",IF($AH1707=20,IF(OR($AJ1707=10,$AJ1707=11,$AJ1707=18),"①病院一般",IF($AJ1707=41,"②病院短期","対象外")),IF($AH1707=5,IF($AJ1707=30,"③特定消防","対象外"),IF(OR($AJ1707=10,$AJ1707=11,$AJ1707=74),"④一般",IF(OR($AJ1707=41,$AJ1707=47),"⑤短期","対象外"))))))</f>
      </c>
    </row>
    <row r="1708">
      <c r="DB1708" s="2909">
        <f>IF($A1708="","",IF($AE1708&amp;""&lt;&gt;'DB_設定'!$C$4,"対象外",IF($AH1708=20,IF(OR($AJ1708=10,$AJ1708=11,$AJ1708=18),"①病院一般",IF($AJ1708=41,"②病院短期","対象外")),IF($AH1708=5,IF($AJ1708=30,"③特定消防","対象外"),IF(OR($AJ1708=10,$AJ1708=11,$AJ1708=74),"④一般",IF(OR($AJ1708=41,$AJ1708=47),"⑤短期","対象外"))))))</f>
      </c>
    </row>
    <row r="1709">
      <c r="DB1709" s="2909">
        <f>IF($A1709="","",IF($AE1709&amp;""&lt;&gt;'DB_設定'!$C$4,"対象外",IF($AH1709=20,IF(OR($AJ1709=10,$AJ1709=11,$AJ1709=18),"①病院一般",IF($AJ1709=41,"②病院短期","対象外")),IF($AH1709=5,IF($AJ1709=30,"③特定消防","対象外"),IF(OR($AJ1709=10,$AJ1709=11,$AJ1709=74),"④一般",IF(OR($AJ1709=41,$AJ1709=47),"⑤短期","対象外"))))))</f>
      </c>
    </row>
    <row r="1710">
      <c r="DB1710" s="2909">
        <f>IF($A1710="","",IF($AE1710&amp;""&lt;&gt;'DB_設定'!$C$4,"対象外",IF($AH1710=20,IF(OR($AJ1710=10,$AJ1710=11,$AJ1710=18),"①病院一般",IF($AJ1710=41,"②病院短期","対象外")),IF($AH1710=5,IF($AJ1710=30,"③特定消防","対象外"),IF(OR($AJ1710=10,$AJ1710=11,$AJ1710=74),"④一般",IF(OR($AJ1710=41,$AJ1710=47),"⑤短期","対象外"))))))</f>
      </c>
    </row>
    <row r="1711">
      <c r="DB1711" s="2909">
        <f>IF($A1711="","",IF($AE1711&amp;""&lt;&gt;'DB_設定'!$C$4,"対象外",IF($AH1711=20,IF(OR($AJ1711=10,$AJ1711=11,$AJ1711=18),"①病院一般",IF($AJ1711=41,"②病院短期","対象外")),IF($AH1711=5,IF($AJ1711=30,"③特定消防","対象外"),IF(OR($AJ1711=10,$AJ1711=11,$AJ1711=74),"④一般",IF(OR($AJ1711=41,$AJ1711=47),"⑤短期","対象外"))))))</f>
      </c>
    </row>
    <row r="1712">
      <c r="DB1712" s="2909">
        <f>IF($A1712="","",IF($AE1712&amp;""&lt;&gt;'DB_設定'!$C$4,"対象外",IF($AH1712=20,IF(OR($AJ1712=10,$AJ1712=11,$AJ1712=18),"①病院一般",IF($AJ1712=41,"②病院短期","対象外")),IF($AH1712=5,IF($AJ1712=30,"③特定消防","対象外"),IF(OR($AJ1712=10,$AJ1712=11,$AJ1712=74),"④一般",IF(OR($AJ1712=41,$AJ1712=47),"⑤短期","対象外"))))))</f>
      </c>
    </row>
    <row r="1713">
      <c r="DB1713" s="2909">
        <f>IF($A1713="","",IF($AE1713&amp;""&lt;&gt;'DB_設定'!$C$4,"対象外",IF($AH1713=20,IF(OR($AJ1713=10,$AJ1713=11,$AJ1713=18),"①病院一般",IF($AJ1713=41,"②病院短期","対象外")),IF($AH1713=5,IF($AJ1713=30,"③特定消防","対象外"),IF(OR($AJ1713=10,$AJ1713=11,$AJ1713=74),"④一般",IF(OR($AJ1713=41,$AJ1713=47),"⑤短期","対象外"))))))</f>
      </c>
    </row>
    <row r="1714">
      <c r="DB1714" s="2909">
        <f>IF($A1714="","",IF($AE1714&amp;""&lt;&gt;'DB_設定'!$C$4,"対象外",IF($AH1714=20,IF(OR($AJ1714=10,$AJ1714=11,$AJ1714=18),"①病院一般",IF($AJ1714=41,"②病院短期","対象外")),IF($AH1714=5,IF($AJ1714=30,"③特定消防","対象外"),IF(OR($AJ1714=10,$AJ1714=11,$AJ1714=74),"④一般",IF(OR($AJ1714=41,$AJ1714=47),"⑤短期","対象外"))))))</f>
      </c>
    </row>
    <row r="1715">
      <c r="DB1715" s="2909">
        <f>IF($A1715="","",IF($AE1715&amp;""&lt;&gt;'DB_設定'!$C$4,"対象外",IF($AH1715=20,IF(OR($AJ1715=10,$AJ1715=11,$AJ1715=18),"①病院一般",IF($AJ1715=41,"②病院短期","対象外")),IF($AH1715=5,IF($AJ1715=30,"③特定消防","対象外"),IF(OR($AJ1715=10,$AJ1715=11,$AJ1715=74),"④一般",IF(OR($AJ1715=41,$AJ1715=47),"⑤短期","対象外"))))))</f>
      </c>
    </row>
    <row r="1716">
      <c r="DB1716" s="2909">
        <f>IF($A1716="","",IF($AE1716&amp;""&lt;&gt;'DB_設定'!$C$4,"対象外",IF($AH1716=20,IF(OR($AJ1716=10,$AJ1716=11,$AJ1716=18),"①病院一般",IF($AJ1716=41,"②病院短期","対象外")),IF($AH1716=5,IF($AJ1716=30,"③特定消防","対象外"),IF(OR($AJ1716=10,$AJ1716=11,$AJ1716=74),"④一般",IF(OR($AJ1716=41,$AJ1716=47),"⑤短期","対象外"))))))</f>
      </c>
    </row>
    <row r="1717">
      <c r="DB1717" s="2909">
        <f>IF($A1717="","",IF($AE1717&amp;""&lt;&gt;'DB_設定'!$C$4,"対象外",IF($AH1717=20,IF(OR($AJ1717=10,$AJ1717=11,$AJ1717=18),"①病院一般",IF($AJ1717=41,"②病院短期","対象外")),IF($AH1717=5,IF($AJ1717=30,"③特定消防","対象外"),IF(OR($AJ1717=10,$AJ1717=11,$AJ1717=74),"④一般",IF(OR($AJ1717=41,$AJ1717=47),"⑤短期","対象外"))))))</f>
      </c>
    </row>
    <row r="1718">
      <c r="DB1718" s="2909">
        <f>IF($A1718="","",IF($AE1718&amp;""&lt;&gt;'DB_設定'!$C$4,"対象外",IF($AH1718=20,IF(OR($AJ1718=10,$AJ1718=11,$AJ1718=18),"①病院一般",IF($AJ1718=41,"②病院短期","対象外")),IF($AH1718=5,IF($AJ1718=30,"③特定消防","対象外"),IF(OR($AJ1718=10,$AJ1718=11,$AJ1718=74),"④一般",IF(OR($AJ1718=41,$AJ1718=47),"⑤短期","対象外"))))))</f>
      </c>
    </row>
    <row r="1719">
      <c r="DB1719" s="2909">
        <f>IF($A1719="","",IF($AE1719&amp;""&lt;&gt;'DB_設定'!$C$4,"対象外",IF($AH1719=20,IF(OR($AJ1719=10,$AJ1719=11,$AJ1719=18),"①病院一般",IF($AJ1719=41,"②病院短期","対象外")),IF($AH1719=5,IF($AJ1719=30,"③特定消防","対象外"),IF(OR($AJ1719=10,$AJ1719=11,$AJ1719=74),"④一般",IF(OR($AJ1719=41,$AJ1719=47),"⑤短期","対象外"))))))</f>
      </c>
    </row>
    <row r="1720">
      <c r="DB1720" s="2909">
        <f>IF($A1720="","",IF($AE1720&amp;""&lt;&gt;'DB_設定'!$C$4,"対象外",IF($AH1720=20,IF(OR($AJ1720=10,$AJ1720=11,$AJ1720=18),"①病院一般",IF($AJ1720=41,"②病院短期","対象外")),IF($AH1720=5,IF($AJ1720=30,"③特定消防","対象外"),IF(OR($AJ1720=10,$AJ1720=11,$AJ1720=74),"④一般",IF(OR($AJ1720=41,$AJ1720=47),"⑤短期","対象外"))))))</f>
      </c>
    </row>
    <row r="1721">
      <c r="DB1721" s="2909">
        <f>IF($A1721="","",IF($AE1721&amp;""&lt;&gt;'DB_設定'!$C$4,"対象外",IF($AH1721=20,IF(OR($AJ1721=10,$AJ1721=11,$AJ1721=18),"①病院一般",IF($AJ1721=41,"②病院短期","対象外")),IF($AH1721=5,IF($AJ1721=30,"③特定消防","対象外"),IF(OR($AJ1721=10,$AJ1721=11,$AJ1721=74),"④一般",IF(OR($AJ1721=41,$AJ1721=47),"⑤短期","対象外"))))))</f>
      </c>
    </row>
    <row r="1722">
      <c r="DB1722" s="2909">
        <f>IF($A1722="","",IF($AE1722&amp;""&lt;&gt;'DB_設定'!$C$4,"対象外",IF($AH1722=20,IF(OR($AJ1722=10,$AJ1722=11,$AJ1722=18),"①病院一般",IF($AJ1722=41,"②病院短期","対象外")),IF($AH1722=5,IF($AJ1722=30,"③特定消防","対象外"),IF(OR($AJ1722=10,$AJ1722=11,$AJ1722=74),"④一般",IF(OR($AJ1722=41,$AJ1722=47),"⑤短期","対象外"))))))</f>
      </c>
    </row>
    <row r="1723">
      <c r="DB1723" s="2909">
        <f>IF($A1723="","",IF($AE1723&amp;""&lt;&gt;'DB_設定'!$C$4,"対象外",IF($AH1723=20,IF(OR($AJ1723=10,$AJ1723=11,$AJ1723=18),"①病院一般",IF($AJ1723=41,"②病院短期","対象外")),IF($AH1723=5,IF($AJ1723=30,"③特定消防","対象外"),IF(OR($AJ1723=10,$AJ1723=11,$AJ1723=74),"④一般",IF(OR($AJ1723=41,$AJ1723=47),"⑤短期","対象外"))))))</f>
      </c>
    </row>
    <row r="1724">
      <c r="DB1724" s="2909">
        <f>IF($A1724="","",IF($AE1724&amp;""&lt;&gt;'DB_設定'!$C$4,"対象外",IF($AH1724=20,IF(OR($AJ1724=10,$AJ1724=11,$AJ1724=18),"①病院一般",IF($AJ1724=41,"②病院短期","対象外")),IF($AH1724=5,IF($AJ1724=30,"③特定消防","対象外"),IF(OR($AJ1724=10,$AJ1724=11,$AJ1724=74),"④一般",IF(OR($AJ1724=41,$AJ1724=47),"⑤短期","対象外"))))))</f>
      </c>
    </row>
    <row r="1725">
      <c r="DB1725" s="2909">
        <f>IF($A1725="","",IF($AE1725&amp;""&lt;&gt;'DB_設定'!$C$4,"対象外",IF($AH1725=20,IF(OR($AJ1725=10,$AJ1725=11,$AJ1725=18),"①病院一般",IF($AJ1725=41,"②病院短期","対象外")),IF($AH1725=5,IF($AJ1725=30,"③特定消防","対象外"),IF(OR($AJ1725=10,$AJ1725=11,$AJ1725=74),"④一般",IF(OR($AJ1725=41,$AJ1725=47),"⑤短期","対象外"))))))</f>
      </c>
    </row>
    <row r="1726">
      <c r="DB1726" s="2909">
        <f>IF($A1726="","",IF($AE1726&amp;""&lt;&gt;'DB_設定'!$C$4,"対象外",IF($AH1726=20,IF(OR($AJ1726=10,$AJ1726=11,$AJ1726=18),"①病院一般",IF($AJ1726=41,"②病院短期","対象外")),IF($AH1726=5,IF($AJ1726=30,"③特定消防","対象外"),IF(OR($AJ1726=10,$AJ1726=11,$AJ1726=74),"④一般",IF(OR($AJ1726=41,$AJ1726=47),"⑤短期","対象外"))))))</f>
      </c>
    </row>
    <row r="1727">
      <c r="DB1727" s="2909">
        <f>IF($A1727="","",IF($AE1727&amp;""&lt;&gt;'DB_設定'!$C$4,"対象外",IF($AH1727=20,IF(OR($AJ1727=10,$AJ1727=11,$AJ1727=18),"①病院一般",IF($AJ1727=41,"②病院短期","対象外")),IF($AH1727=5,IF($AJ1727=30,"③特定消防","対象外"),IF(OR($AJ1727=10,$AJ1727=11,$AJ1727=74),"④一般",IF(OR($AJ1727=41,$AJ1727=47),"⑤短期","対象外"))))))</f>
      </c>
    </row>
    <row r="1728">
      <c r="DB1728" s="2909">
        <f>IF($A1728="","",IF($AE1728&amp;""&lt;&gt;'DB_設定'!$C$4,"対象外",IF($AH1728=20,IF(OR($AJ1728=10,$AJ1728=11,$AJ1728=18),"①病院一般",IF($AJ1728=41,"②病院短期","対象外")),IF($AH1728=5,IF($AJ1728=30,"③特定消防","対象外"),IF(OR($AJ1728=10,$AJ1728=11,$AJ1728=74),"④一般",IF(OR($AJ1728=41,$AJ1728=47),"⑤短期","対象外"))))))</f>
      </c>
    </row>
    <row r="1729">
      <c r="DB1729" s="2909">
        <f>IF($A1729="","",IF($AE1729&amp;""&lt;&gt;'DB_設定'!$C$4,"対象外",IF($AH1729=20,IF(OR($AJ1729=10,$AJ1729=11,$AJ1729=18),"①病院一般",IF($AJ1729=41,"②病院短期","対象外")),IF($AH1729=5,IF($AJ1729=30,"③特定消防","対象外"),IF(OR($AJ1729=10,$AJ1729=11,$AJ1729=74),"④一般",IF(OR($AJ1729=41,$AJ1729=47),"⑤短期","対象外"))))))</f>
      </c>
    </row>
    <row r="1730">
      <c r="DB1730" s="2909">
        <f>IF($A1730="","",IF($AE1730&amp;""&lt;&gt;'DB_設定'!$C$4,"対象外",IF($AH1730=20,IF(OR($AJ1730=10,$AJ1730=11,$AJ1730=18),"①病院一般",IF($AJ1730=41,"②病院短期","対象外")),IF($AH1730=5,IF($AJ1730=30,"③特定消防","対象外"),IF(OR($AJ1730=10,$AJ1730=11,$AJ1730=74),"④一般",IF(OR($AJ1730=41,$AJ1730=47),"⑤短期","対象外"))))))</f>
      </c>
    </row>
    <row r="1731">
      <c r="DB1731" s="2909">
        <f>IF($A1731="","",IF($AE1731&amp;""&lt;&gt;'DB_設定'!$C$4,"対象外",IF($AH1731=20,IF(OR($AJ1731=10,$AJ1731=11,$AJ1731=18),"①病院一般",IF($AJ1731=41,"②病院短期","対象外")),IF($AH1731=5,IF($AJ1731=30,"③特定消防","対象外"),IF(OR($AJ1731=10,$AJ1731=11,$AJ1731=74),"④一般",IF(OR($AJ1731=41,$AJ1731=47),"⑤短期","対象外"))))))</f>
      </c>
    </row>
    <row r="1732">
      <c r="DB1732" s="2909">
        <f>IF($A1732="","",IF($AE1732&amp;""&lt;&gt;'DB_設定'!$C$4,"対象外",IF($AH1732=20,IF(OR($AJ1732=10,$AJ1732=11,$AJ1732=18),"①病院一般",IF($AJ1732=41,"②病院短期","対象外")),IF($AH1732=5,IF($AJ1732=30,"③特定消防","対象外"),IF(OR($AJ1732=10,$AJ1732=11,$AJ1732=74),"④一般",IF(OR($AJ1732=41,$AJ1732=47),"⑤短期","対象外"))))))</f>
      </c>
    </row>
    <row r="1733">
      <c r="DB1733" s="2909">
        <f>IF($A1733="","",IF($AE1733&amp;""&lt;&gt;'DB_設定'!$C$4,"対象外",IF($AH1733=20,IF(OR($AJ1733=10,$AJ1733=11,$AJ1733=18),"①病院一般",IF($AJ1733=41,"②病院短期","対象外")),IF($AH1733=5,IF($AJ1733=30,"③特定消防","対象外"),IF(OR($AJ1733=10,$AJ1733=11,$AJ1733=74),"④一般",IF(OR($AJ1733=41,$AJ1733=47),"⑤短期","対象外"))))))</f>
      </c>
    </row>
    <row r="1734">
      <c r="DB1734" s="2909">
        <f>IF($A1734="","",IF($AE1734&amp;""&lt;&gt;'DB_設定'!$C$4,"対象外",IF($AH1734=20,IF(OR($AJ1734=10,$AJ1734=11,$AJ1734=18),"①病院一般",IF($AJ1734=41,"②病院短期","対象外")),IF($AH1734=5,IF($AJ1734=30,"③特定消防","対象外"),IF(OR($AJ1734=10,$AJ1734=11,$AJ1734=74),"④一般",IF(OR($AJ1734=41,$AJ1734=47),"⑤短期","対象外"))))))</f>
      </c>
    </row>
    <row r="1735">
      <c r="DB1735" s="2909">
        <f>IF($A1735="","",IF($AE1735&amp;""&lt;&gt;'DB_設定'!$C$4,"対象外",IF($AH1735=20,IF(OR($AJ1735=10,$AJ1735=11,$AJ1735=18),"①病院一般",IF($AJ1735=41,"②病院短期","対象外")),IF($AH1735=5,IF($AJ1735=30,"③特定消防","対象外"),IF(OR($AJ1735=10,$AJ1735=11,$AJ1735=74),"④一般",IF(OR($AJ1735=41,$AJ1735=47),"⑤短期","対象外"))))))</f>
      </c>
    </row>
    <row r="1736">
      <c r="DB1736" s="2909">
        <f>IF($A1736="","",IF($AE1736&amp;""&lt;&gt;'DB_設定'!$C$4,"対象外",IF($AH1736=20,IF(OR($AJ1736=10,$AJ1736=11,$AJ1736=18),"①病院一般",IF($AJ1736=41,"②病院短期","対象外")),IF($AH1736=5,IF($AJ1736=30,"③特定消防","対象外"),IF(OR($AJ1736=10,$AJ1736=11,$AJ1736=74),"④一般",IF(OR($AJ1736=41,$AJ1736=47),"⑤短期","対象外"))))))</f>
      </c>
    </row>
    <row r="1737">
      <c r="DB1737" s="2909">
        <f>IF($A1737="","",IF($AE1737&amp;""&lt;&gt;'DB_設定'!$C$4,"対象外",IF($AH1737=20,IF(OR($AJ1737=10,$AJ1737=11,$AJ1737=18),"①病院一般",IF($AJ1737=41,"②病院短期","対象外")),IF($AH1737=5,IF($AJ1737=30,"③特定消防","対象外"),IF(OR($AJ1737=10,$AJ1737=11,$AJ1737=74),"④一般",IF(OR($AJ1737=41,$AJ1737=47),"⑤短期","対象外"))))))</f>
      </c>
    </row>
    <row r="1738">
      <c r="DB1738" s="2909">
        <f>IF($A1738="","",IF($AE1738&amp;""&lt;&gt;'DB_設定'!$C$4,"対象外",IF($AH1738=20,IF(OR($AJ1738=10,$AJ1738=11,$AJ1738=18),"①病院一般",IF($AJ1738=41,"②病院短期","対象外")),IF($AH1738=5,IF($AJ1738=30,"③特定消防","対象外"),IF(OR($AJ1738=10,$AJ1738=11,$AJ1738=74),"④一般",IF(OR($AJ1738=41,$AJ1738=47),"⑤短期","対象外"))))))</f>
      </c>
    </row>
    <row r="1739">
      <c r="DB1739" s="2909">
        <f>IF($A1739="","",IF($AE1739&amp;""&lt;&gt;'DB_設定'!$C$4,"対象外",IF($AH1739=20,IF(OR($AJ1739=10,$AJ1739=11,$AJ1739=18),"①病院一般",IF($AJ1739=41,"②病院短期","対象外")),IF($AH1739=5,IF($AJ1739=30,"③特定消防","対象外"),IF(OR($AJ1739=10,$AJ1739=11,$AJ1739=74),"④一般",IF(OR($AJ1739=41,$AJ1739=47),"⑤短期","対象外"))))))</f>
      </c>
    </row>
    <row r="1740">
      <c r="DB1740" s="2909">
        <f>IF($A1740="","",IF($AE1740&amp;""&lt;&gt;'DB_設定'!$C$4,"対象外",IF($AH1740=20,IF(OR($AJ1740=10,$AJ1740=11,$AJ1740=18),"①病院一般",IF($AJ1740=41,"②病院短期","対象外")),IF($AH1740=5,IF($AJ1740=30,"③特定消防","対象外"),IF(OR($AJ1740=10,$AJ1740=11,$AJ1740=74),"④一般",IF(OR($AJ1740=41,$AJ1740=47),"⑤短期","対象外"))))))</f>
      </c>
    </row>
    <row r="1741">
      <c r="DB1741" s="2909">
        <f>IF($A1741="","",IF($AE1741&amp;""&lt;&gt;'DB_設定'!$C$4,"対象外",IF($AH1741=20,IF(OR($AJ1741=10,$AJ1741=11,$AJ1741=18),"①病院一般",IF($AJ1741=41,"②病院短期","対象外")),IF($AH1741=5,IF($AJ1741=30,"③特定消防","対象外"),IF(OR($AJ1741=10,$AJ1741=11,$AJ1741=74),"④一般",IF(OR($AJ1741=41,$AJ1741=47),"⑤短期","対象外"))))))</f>
      </c>
    </row>
    <row r="1742">
      <c r="DB1742" s="2909">
        <f>IF($A1742="","",IF($AE1742&amp;""&lt;&gt;'DB_設定'!$C$4,"対象外",IF($AH1742=20,IF(OR($AJ1742=10,$AJ1742=11,$AJ1742=18),"①病院一般",IF($AJ1742=41,"②病院短期","対象外")),IF($AH1742=5,IF($AJ1742=30,"③特定消防","対象外"),IF(OR($AJ1742=10,$AJ1742=11,$AJ1742=74),"④一般",IF(OR($AJ1742=41,$AJ1742=47),"⑤短期","対象外"))))))</f>
      </c>
    </row>
    <row r="1743">
      <c r="DB1743" s="2909">
        <f>IF($A1743="","",IF($AE1743&amp;""&lt;&gt;'DB_設定'!$C$4,"対象外",IF($AH1743=20,IF(OR($AJ1743=10,$AJ1743=11,$AJ1743=18),"①病院一般",IF($AJ1743=41,"②病院短期","対象外")),IF($AH1743=5,IF($AJ1743=30,"③特定消防","対象外"),IF(OR($AJ1743=10,$AJ1743=11,$AJ1743=74),"④一般",IF(OR($AJ1743=41,$AJ1743=47),"⑤短期","対象外"))))))</f>
      </c>
    </row>
    <row r="1744">
      <c r="DB1744" s="2909">
        <f>IF($A1744="","",IF($AE1744&amp;""&lt;&gt;'DB_設定'!$C$4,"対象外",IF($AH1744=20,IF(OR($AJ1744=10,$AJ1744=11,$AJ1744=18),"①病院一般",IF($AJ1744=41,"②病院短期","対象外")),IF($AH1744=5,IF($AJ1744=30,"③特定消防","対象外"),IF(OR($AJ1744=10,$AJ1744=11,$AJ1744=74),"④一般",IF(OR($AJ1744=41,$AJ1744=47),"⑤短期","対象外"))))))</f>
      </c>
    </row>
    <row r="1745">
      <c r="DB1745" s="2909">
        <f>IF($A1745="","",IF($AE1745&amp;""&lt;&gt;'DB_設定'!$C$4,"対象外",IF($AH1745=20,IF(OR($AJ1745=10,$AJ1745=11,$AJ1745=18),"①病院一般",IF($AJ1745=41,"②病院短期","対象外")),IF($AH1745=5,IF($AJ1745=30,"③特定消防","対象外"),IF(OR($AJ1745=10,$AJ1745=11,$AJ1745=74),"④一般",IF(OR($AJ1745=41,$AJ1745=47),"⑤短期","対象外"))))))</f>
      </c>
    </row>
    <row r="1746">
      <c r="DB1746" s="2909">
        <f>IF($A1746="","",IF($AE1746&amp;""&lt;&gt;'DB_設定'!$C$4,"対象外",IF($AH1746=20,IF(OR($AJ1746=10,$AJ1746=11,$AJ1746=18),"①病院一般",IF($AJ1746=41,"②病院短期","対象外")),IF($AH1746=5,IF($AJ1746=30,"③特定消防","対象外"),IF(OR($AJ1746=10,$AJ1746=11,$AJ1746=74),"④一般",IF(OR($AJ1746=41,$AJ1746=47),"⑤短期","対象外"))))))</f>
      </c>
    </row>
    <row r="1747">
      <c r="DB1747" s="2909">
        <f>IF($A1747="","",IF($AE1747&amp;""&lt;&gt;'DB_設定'!$C$4,"対象外",IF($AH1747=20,IF(OR($AJ1747=10,$AJ1747=11,$AJ1747=18),"①病院一般",IF($AJ1747=41,"②病院短期","対象外")),IF($AH1747=5,IF($AJ1747=30,"③特定消防","対象外"),IF(OR($AJ1747=10,$AJ1747=11,$AJ1747=74),"④一般",IF(OR($AJ1747=41,$AJ1747=47),"⑤短期","対象外"))))))</f>
      </c>
    </row>
    <row r="1748">
      <c r="DB1748" s="2909">
        <f>IF($A1748="","",IF($AE1748&amp;""&lt;&gt;'DB_設定'!$C$4,"対象外",IF($AH1748=20,IF(OR($AJ1748=10,$AJ1748=11,$AJ1748=18),"①病院一般",IF($AJ1748=41,"②病院短期","対象外")),IF($AH1748=5,IF($AJ1748=30,"③特定消防","対象外"),IF(OR($AJ1748=10,$AJ1748=11,$AJ1748=74),"④一般",IF(OR($AJ1748=41,$AJ1748=47),"⑤短期","対象外"))))))</f>
      </c>
    </row>
    <row r="1749">
      <c r="DB1749" s="2909">
        <f>IF($A1749="","",IF($AE1749&amp;""&lt;&gt;'DB_設定'!$C$4,"対象外",IF($AH1749=20,IF(OR($AJ1749=10,$AJ1749=11,$AJ1749=18),"①病院一般",IF($AJ1749=41,"②病院短期","対象外")),IF($AH1749=5,IF($AJ1749=30,"③特定消防","対象外"),IF(OR($AJ1749=10,$AJ1749=11,$AJ1749=74),"④一般",IF(OR($AJ1749=41,$AJ1749=47),"⑤短期","対象外"))))))</f>
      </c>
    </row>
    <row r="1750">
      <c r="DB1750" s="2909">
        <f>IF($A1750="","",IF($AE1750&amp;""&lt;&gt;'DB_設定'!$C$4,"対象外",IF($AH1750=20,IF(OR($AJ1750=10,$AJ1750=11,$AJ1750=18),"①病院一般",IF($AJ1750=41,"②病院短期","対象外")),IF($AH1750=5,IF($AJ1750=30,"③特定消防","対象外"),IF(OR($AJ1750=10,$AJ1750=11,$AJ1750=74),"④一般",IF(OR($AJ1750=41,$AJ1750=47),"⑤短期","対象外"))))))</f>
      </c>
    </row>
    <row r="1751">
      <c r="DB1751" s="2909">
        <f>IF($A1751="","",IF($AE1751&amp;""&lt;&gt;'DB_設定'!$C$4,"対象外",IF($AH1751=20,IF(OR($AJ1751=10,$AJ1751=11,$AJ1751=18),"①病院一般",IF($AJ1751=41,"②病院短期","対象外")),IF($AH1751=5,IF($AJ1751=30,"③特定消防","対象外"),IF(OR($AJ1751=10,$AJ1751=11,$AJ1751=74),"④一般",IF(OR($AJ1751=41,$AJ1751=47),"⑤短期","対象外"))))))</f>
      </c>
    </row>
    <row r="1752">
      <c r="DB1752" s="2909">
        <f>IF($A1752="","",IF($AE1752&amp;""&lt;&gt;'DB_設定'!$C$4,"対象外",IF($AH1752=20,IF(OR($AJ1752=10,$AJ1752=11,$AJ1752=18),"①病院一般",IF($AJ1752=41,"②病院短期","対象外")),IF($AH1752=5,IF($AJ1752=30,"③特定消防","対象外"),IF(OR($AJ1752=10,$AJ1752=11,$AJ1752=74),"④一般",IF(OR($AJ1752=41,$AJ1752=47),"⑤短期","対象外"))))))</f>
      </c>
    </row>
    <row r="1753">
      <c r="DB1753" s="2909">
        <f>IF($A1753="","",IF($AE1753&amp;""&lt;&gt;'DB_設定'!$C$4,"対象外",IF($AH1753=20,IF(OR($AJ1753=10,$AJ1753=11,$AJ1753=18),"①病院一般",IF($AJ1753=41,"②病院短期","対象外")),IF($AH1753=5,IF($AJ1753=30,"③特定消防","対象外"),IF(OR($AJ1753=10,$AJ1753=11,$AJ1753=74),"④一般",IF(OR($AJ1753=41,$AJ1753=47),"⑤短期","対象外"))))))</f>
      </c>
    </row>
    <row r="1754">
      <c r="DB1754" s="2909">
        <f>IF($A1754="","",IF($AE1754&amp;""&lt;&gt;'DB_設定'!$C$4,"対象外",IF($AH1754=20,IF(OR($AJ1754=10,$AJ1754=11,$AJ1754=18),"①病院一般",IF($AJ1754=41,"②病院短期","対象外")),IF($AH1754=5,IF($AJ1754=30,"③特定消防","対象外"),IF(OR($AJ1754=10,$AJ1754=11,$AJ1754=74),"④一般",IF(OR($AJ1754=41,$AJ1754=47),"⑤短期","対象外"))))))</f>
      </c>
    </row>
    <row r="1755">
      <c r="DB1755" s="2909">
        <f>IF($A1755="","",IF($AE1755&amp;""&lt;&gt;'DB_設定'!$C$4,"対象外",IF($AH1755=20,IF(OR($AJ1755=10,$AJ1755=11,$AJ1755=18),"①病院一般",IF($AJ1755=41,"②病院短期","対象外")),IF($AH1755=5,IF($AJ1755=30,"③特定消防","対象外"),IF(OR($AJ1755=10,$AJ1755=11,$AJ1755=74),"④一般",IF(OR($AJ1755=41,$AJ1755=47),"⑤短期","対象外"))))))</f>
      </c>
    </row>
    <row r="1756">
      <c r="DB1756" s="2909">
        <f>IF($A1756="","",IF($AE1756&amp;""&lt;&gt;'DB_設定'!$C$4,"対象外",IF($AH1756=20,IF(OR($AJ1756=10,$AJ1756=11,$AJ1756=18),"①病院一般",IF($AJ1756=41,"②病院短期","対象外")),IF($AH1756=5,IF($AJ1756=30,"③特定消防","対象外"),IF(OR($AJ1756=10,$AJ1756=11,$AJ1756=74),"④一般",IF(OR($AJ1756=41,$AJ1756=47),"⑤短期","対象外"))))))</f>
      </c>
    </row>
    <row r="1757">
      <c r="DB1757" s="2909">
        <f>IF($A1757="","",IF($AE1757&amp;""&lt;&gt;'DB_設定'!$C$4,"対象外",IF($AH1757=20,IF(OR($AJ1757=10,$AJ1757=11,$AJ1757=18),"①病院一般",IF($AJ1757=41,"②病院短期","対象外")),IF($AH1757=5,IF($AJ1757=30,"③特定消防","対象外"),IF(OR($AJ1757=10,$AJ1757=11,$AJ1757=74),"④一般",IF(OR($AJ1757=41,$AJ1757=47),"⑤短期","対象外"))))))</f>
      </c>
    </row>
    <row r="1758">
      <c r="DB1758" s="2909">
        <f>IF($A1758="","",IF($AE1758&amp;""&lt;&gt;'DB_設定'!$C$4,"対象外",IF($AH1758=20,IF(OR($AJ1758=10,$AJ1758=11,$AJ1758=18),"①病院一般",IF($AJ1758=41,"②病院短期","対象外")),IF($AH1758=5,IF($AJ1758=30,"③特定消防","対象外"),IF(OR($AJ1758=10,$AJ1758=11,$AJ1758=74),"④一般",IF(OR($AJ1758=41,$AJ1758=47),"⑤短期","対象外"))))))</f>
      </c>
    </row>
    <row r="1759">
      <c r="DB1759" s="2909">
        <f>IF($A1759="","",IF($AE1759&amp;""&lt;&gt;'DB_設定'!$C$4,"対象外",IF($AH1759=20,IF(OR($AJ1759=10,$AJ1759=11,$AJ1759=18),"①病院一般",IF($AJ1759=41,"②病院短期","対象外")),IF($AH1759=5,IF($AJ1759=30,"③特定消防","対象外"),IF(OR($AJ1759=10,$AJ1759=11,$AJ1759=74),"④一般",IF(OR($AJ1759=41,$AJ1759=47),"⑤短期","対象外"))))))</f>
      </c>
    </row>
    <row r="1760">
      <c r="DB1760" s="2909">
        <f>IF($A1760="","",IF($AE1760&amp;""&lt;&gt;'DB_設定'!$C$4,"対象外",IF($AH1760=20,IF(OR($AJ1760=10,$AJ1760=11,$AJ1760=18),"①病院一般",IF($AJ1760=41,"②病院短期","対象外")),IF($AH1760=5,IF($AJ1760=30,"③特定消防","対象外"),IF(OR($AJ1760=10,$AJ1760=11,$AJ1760=74),"④一般",IF(OR($AJ1760=41,$AJ1760=47),"⑤短期","対象外"))))))</f>
      </c>
    </row>
    <row r="1761">
      <c r="DB1761" s="2909">
        <f>IF($A1761="","",IF($AE1761&amp;""&lt;&gt;'DB_設定'!$C$4,"対象外",IF($AH1761=20,IF(OR($AJ1761=10,$AJ1761=11,$AJ1761=18),"①病院一般",IF($AJ1761=41,"②病院短期","対象外")),IF($AH1761=5,IF($AJ1761=30,"③特定消防","対象外"),IF(OR($AJ1761=10,$AJ1761=11,$AJ1761=74),"④一般",IF(OR($AJ1761=41,$AJ1761=47),"⑤短期","対象外"))))))</f>
      </c>
    </row>
    <row r="1762">
      <c r="DB1762" s="2909">
        <f>IF($A1762="","",IF($AE1762&amp;""&lt;&gt;'DB_設定'!$C$4,"対象外",IF($AH1762=20,IF(OR($AJ1762=10,$AJ1762=11,$AJ1762=18),"①病院一般",IF($AJ1762=41,"②病院短期","対象外")),IF($AH1762=5,IF($AJ1762=30,"③特定消防","対象外"),IF(OR($AJ1762=10,$AJ1762=11,$AJ1762=74),"④一般",IF(OR($AJ1762=41,$AJ1762=47),"⑤短期","対象外"))))))</f>
      </c>
    </row>
    <row r="1763">
      <c r="DB1763" s="2909">
        <f>IF($A1763="","",IF($AE1763&amp;""&lt;&gt;'DB_設定'!$C$4,"対象外",IF($AH1763=20,IF(OR($AJ1763=10,$AJ1763=11,$AJ1763=18),"①病院一般",IF($AJ1763=41,"②病院短期","対象外")),IF($AH1763=5,IF($AJ1763=30,"③特定消防","対象外"),IF(OR($AJ1763=10,$AJ1763=11,$AJ1763=74),"④一般",IF(OR($AJ1763=41,$AJ1763=47),"⑤短期","対象外"))))))</f>
      </c>
    </row>
    <row r="1764">
      <c r="DB1764" s="2909">
        <f>IF($A1764="","",IF($AE1764&amp;""&lt;&gt;'DB_設定'!$C$4,"対象外",IF($AH1764=20,IF(OR($AJ1764=10,$AJ1764=11,$AJ1764=18),"①病院一般",IF($AJ1764=41,"②病院短期","対象外")),IF($AH1764=5,IF($AJ1764=30,"③特定消防","対象外"),IF(OR($AJ1764=10,$AJ1764=11,$AJ1764=74),"④一般",IF(OR($AJ1764=41,$AJ1764=47),"⑤短期","対象外"))))))</f>
      </c>
    </row>
    <row r="1765">
      <c r="DB1765" s="2909">
        <f>IF($A1765="","",IF($AE1765&amp;""&lt;&gt;'DB_設定'!$C$4,"対象外",IF($AH1765=20,IF(OR($AJ1765=10,$AJ1765=11,$AJ1765=18),"①病院一般",IF($AJ1765=41,"②病院短期","対象外")),IF($AH1765=5,IF($AJ1765=30,"③特定消防","対象外"),IF(OR($AJ1765=10,$AJ1765=11,$AJ1765=74),"④一般",IF(OR($AJ1765=41,$AJ1765=47),"⑤短期","対象外"))))))</f>
      </c>
    </row>
    <row r="1766">
      <c r="DB1766" s="2909">
        <f>IF($A1766="","",IF($AE1766&amp;""&lt;&gt;'DB_設定'!$C$4,"対象外",IF($AH1766=20,IF(OR($AJ1766=10,$AJ1766=11,$AJ1766=18),"①病院一般",IF($AJ1766=41,"②病院短期","対象外")),IF($AH1766=5,IF($AJ1766=30,"③特定消防","対象外"),IF(OR($AJ1766=10,$AJ1766=11,$AJ1766=74),"④一般",IF(OR($AJ1766=41,$AJ1766=47),"⑤短期","対象外"))))))</f>
      </c>
    </row>
    <row r="1767">
      <c r="DB1767" s="2909">
        <f>IF($A1767="","",IF($AE1767&amp;""&lt;&gt;'DB_設定'!$C$4,"対象外",IF($AH1767=20,IF(OR($AJ1767=10,$AJ1767=11,$AJ1767=18),"①病院一般",IF($AJ1767=41,"②病院短期","対象外")),IF($AH1767=5,IF($AJ1767=30,"③特定消防","対象外"),IF(OR($AJ1767=10,$AJ1767=11,$AJ1767=74),"④一般",IF(OR($AJ1767=41,$AJ1767=47),"⑤短期","対象外"))))))</f>
      </c>
    </row>
    <row r="1768">
      <c r="DB1768" s="2909">
        <f>IF($A1768="","",IF($AE1768&amp;""&lt;&gt;'DB_設定'!$C$4,"対象外",IF($AH1768=20,IF(OR($AJ1768=10,$AJ1768=11,$AJ1768=18),"①病院一般",IF($AJ1768=41,"②病院短期","対象外")),IF($AH1768=5,IF($AJ1768=30,"③特定消防","対象外"),IF(OR($AJ1768=10,$AJ1768=11,$AJ1768=74),"④一般",IF(OR($AJ1768=41,$AJ1768=47),"⑤短期","対象外"))))))</f>
      </c>
    </row>
    <row r="1769">
      <c r="DB1769" s="2909">
        <f>IF($A1769="","",IF($AE1769&amp;""&lt;&gt;'DB_設定'!$C$4,"対象外",IF($AH1769=20,IF(OR($AJ1769=10,$AJ1769=11,$AJ1769=18),"①病院一般",IF($AJ1769=41,"②病院短期","対象外")),IF($AH1769=5,IF($AJ1769=30,"③特定消防","対象外"),IF(OR($AJ1769=10,$AJ1769=11,$AJ1769=74),"④一般",IF(OR($AJ1769=41,$AJ1769=47),"⑤短期","対象外"))))))</f>
      </c>
    </row>
    <row r="1770">
      <c r="DB1770" s="2909">
        <f>IF($A1770="","",IF($AE1770&amp;""&lt;&gt;'DB_設定'!$C$4,"対象外",IF($AH1770=20,IF(OR($AJ1770=10,$AJ1770=11,$AJ1770=18),"①病院一般",IF($AJ1770=41,"②病院短期","対象外")),IF($AH1770=5,IF($AJ1770=30,"③特定消防","対象外"),IF(OR($AJ1770=10,$AJ1770=11,$AJ1770=74),"④一般",IF(OR($AJ1770=41,$AJ1770=47),"⑤短期","対象外"))))))</f>
      </c>
    </row>
    <row r="1771">
      <c r="DB1771" s="2909">
        <f>IF($A1771="","",IF($AE1771&amp;""&lt;&gt;'DB_設定'!$C$4,"対象外",IF($AH1771=20,IF(OR($AJ1771=10,$AJ1771=11,$AJ1771=18),"①病院一般",IF($AJ1771=41,"②病院短期","対象外")),IF($AH1771=5,IF($AJ1771=30,"③特定消防","対象外"),IF(OR($AJ1771=10,$AJ1771=11,$AJ1771=74),"④一般",IF(OR($AJ1771=41,$AJ1771=47),"⑤短期","対象外"))))))</f>
      </c>
    </row>
    <row r="1772">
      <c r="DB1772" s="2909">
        <f>IF($A1772="","",IF($AE1772&amp;""&lt;&gt;'DB_設定'!$C$4,"対象外",IF($AH1772=20,IF(OR($AJ1772=10,$AJ1772=11,$AJ1772=18),"①病院一般",IF($AJ1772=41,"②病院短期","対象外")),IF($AH1772=5,IF($AJ1772=30,"③特定消防","対象外"),IF(OR($AJ1772=10,$AJ1772=11,$AJ1772=74),"④一般",IF(OR($AJ1772=41,$AJ1772=47),"⑤短期","対象外"))))))</f>
      </c>
    </row>
    <row r="1773">
      <c r="DB1773" s="2909">
        <f>IF($A1773="","",IF($AE1773&amp;""&lt;&gt;'DB_設定'!$C$4,"対象外",IF($AH1773=20,IF(OR($AJ1773=10,$AJ1773=11,$AJ1773=18),"①病院一般",IF($AJ1773=41,"②病院短期","対象外")),IF($AH1773=5,IF($AJ1773=30,"③特定消防","対象外"),IF(OR($AJ1773=10,$AJ1773=11,$AJ1773=74),"④一般",IF(OR($AJ1773=41,$AJ1773=47),"⑤短期","対象外"))))))</f>
      </c>
    </row>
    <row r="1774">
      <c r="DB1774" s="2909">
        <f>IF($A1774="","",IF($AE1774&amp;""&lt;&gt;'DB_設定'!$C$4,"対象外",IF($AH1774=20,IF(OR($AJ1774=10,$AJ1774=11,$AJ1774=18),"①病院一般",IF($AJ1774=41,"②病院短期","対象外")),IF($AH1774=5,IF($AJ1774=30,"③特定消防","対象外"),IF(OR($AJ1774=10,$AJ1774=11,$AJ1774=74),"④一般",IF(OR($AJ1774=41,$AJ1774=47),"⑤短期","対象外"))))))</f>
      </c>
    </row>
    <row r="1775">
      <c r="DB1775" s="2909">
        <f>IF($A1775="","",IF($AE1775&amp;""&lt;&gt;'DB_設定'!$C$4,"対象外",IF($AH1775=20,IF(OR($AJ1775=10,$AJ1775=11,$AJ1775=18),"①病院一般",IF($AJ1775=41,"②病院短期","対象外")),IF($AH1775=5,IF($AJ1775=30,"③特定消防","対象外"),IF(OR($AJ1775=10,$AJ1775=11,$AJ1775=74),"④一般",IF(OR($AJ1775=41,$AJ1775=47),"⑤短期","対象外"))))))</f>
      </c>
    </row>
    <row r="1776">
      <c r="DB1776" s="2909">
        <f>IF($A1776="","",IF($AE1776&amp;""&lt;&gt;'DB_設定'!$C$4,"対象外",IF($AH1776=20,IF(OR($AJ1776=10,$AJ1776=11,$AJ1776=18),"①病院一般",IF($AJ1776=41,"②病院短期","対象外")),IF($AH1776=5,IF($AJ1776=30,"③特定消防","対象外"),IF(OR($AJ1776=10,$AJ1776=11,$AJ1776=74),"④一般",IF(OR($AJ1776=41,$AJ1776=47),"⑤短期","対象外"))))))</f>
      </c>
    </row>
    <row r="1777">
      <c r="DB1777" s="2909">
        <f>IF($A1777="","",IF($AE1777&amp;""&lt;&gt;'DB_設定'!$C$4,"対象外",IF($AH1777=20,IF(OR($AJ1777=10,$AJ1777=11,$AJ1777=18),"①病院一般",IF($AJ1777=41,"②病院短期","対象外")),IF($AH1777=5,IF($AJ1777=30,"③特定消防","対象外"),IF(OR($AJ1777=10,$AJ1777=11,$AJ1777=74),"④一般",IF(OR($AJ1777=41,$AJ1777=47),"⑤短期","対象外"))))))</f>
      </c>
    </row>
    <row r="1778">
      <c r="DB1778" s="2909">
        <f>IF($A1778="","",IF($AE1778&amp;""&lt;&gt;'DB_設定'!$C$4,"対象外",IF($AH1778=20,IF(OR($AJ1778=10,$AJ1778=11,$AJ1778=18),"①病院一般",IF($AJ1778=41,"②病院短期","対象外")),IF($AH1778=5,IF($AJ1778=30,"③特定消防","対象外"),IF(OR($AJ1778=10,$AJ1778=11,$AJ1778=74),"④一般",IF(OR($AJ1778=41,$AJ1778=47),"⑤短期","対象外"))))))</f>
      </c>
    </row>
    <row r="1779">
      <c r="DB1779" s="2909">
        <f>IF($A1779="","",IF($AE1779&amp;""&lt;&gt;'DB_設定'!$C$4,"対象外",IF($AH1779=20,IF(OR($AJ1779=10,$AJ1779=11,$AJ1779=18),"①病院一般",IF($AJ1779=41,"②病院短期","対象外")),IF($AH1779=5,IF($AJ1779=30,"③特定消防","対象外"),IF(OR($AJ1779=10,$AJ1779=11,$AJ1779=74),"④一般",IF(OR($AJ1779=41,$AJ1779=47),"⑤短期","対象外"))))))</f>
      </c>
    </row>
    <row r="1780">
      <c r="DB1780" s="2909">
        <f>IF($A1780="","",IF($AE1780&amp;""&lt;&gt;'DB_設定'!$C$4,"対象外",IF($AH1780=20,IF(OR($AJ1780=10,$AJ1780=11,$AJ1780=18),"①病院一般",IF($AJ1780=41,"②病院短期","対象外")),IF($AH1780=5,IF($AJ1780=30,"③特定消防","対象外"),IF(OR($AJ1780=10,$AJ1780=11,$AJ1780=74),"④一般",IF(OR($AJ1780=41,$AJ1780=47),"⑤短期","対象外"))))))</f>
      </c>
    </row>
    <row r="1781">
      <c r="DB1781" s="2909">
        <f>IF($A1781="","",IF($AE1781&amp;""&lt;&gt;'DB_設定'!$C$4,"対象外",IF($AH1781=20,IF(OR($AJ1781=10,$AJ1781=11,$AJ1781=18),"①病院一般",IF($AJ1781=41,"②病院短期","対象外")),IF($AH1781=5,IF($AJ1781=30,"③特定消防","対象外"),IF(OR($AJ1781=10,$AJ1781=11,$AJ1781=74),"④一般",IF(OR($AJ1781=41,$AJ1781=47),"⑤短期","対象外"))))))</f>
      </c>
    </row>
    <row r="1782">
      <c r="DB1782" s="2909">
        <f>IF($A1782="","",IF($AE1782&amp;""&lt;&gt;'DB_設定'!$C$4,"対象外",IF($AH1782=20,IF(OR($AJ1782=10,$AJ1782=11,$AJ1782=18),"①病院一般",IF($AJ1782=41,"②病院短期","対象外")),IF($AH1782=5,IF($AJ1782=30,"③特定消防","対象外"),IF(OR($AJ1782=10,$AJ1782=11,$AJ1782=74),"④一般",IF(OR($AJ1782=41,$AJ1782=47),"⑤短期","対象外"))))))</f>
      </c>
    </row>
    <row r="1783">
      <c r="DB1783" s="2909">
        <f>IF($A1783="","",IF($AE1783&amp;""&lt;&gt;'DB_設定'!$C$4,"対象外",IF($AH1783=20,IF(OR($AJ1783=10,$AJ1783=11,$AJ1783=18),"①病院一般",IF($AJ1783=41,"②病院短期","対象外")),IF($AH1783=5,IF($AJ1783=30,"③特定消防","対象外"),IF(OR($AJ1783=10,$AJ1783=11,$AJ1783=74),"④一般",IF(OR($AJ1783=41,$AJ1783=47),"⑤短期","対象外"))))))</f>
      </c>
    </row>
    <row r="1784">
      <c r="DB1784" s="2909">
        <f>IF($A1784="","",IF($AE1784&amp;""&lt;&gt;'DB_設定'!$C$4,"対象外",IF($AH1784=20,IF(OR($AJ1784=10,$AJ1784=11,$AJ1784=18),"①病院一般",IF($AJ1784=41,"②病院短期","対象外")),IF($AH1784=5,IF($AJ1784=30,"③特定消防","対象外"),IF(OR($AJ1784=10,$AJ1784=11,$AJ1784=74),"④一般",IF(OR($AJ1784=41,$AJ1784=47),"⑤短期","対象外"))))))</f>
      </c>
    </row>
    <row r="1785">
      <c r="DB1785" s="2909">
        <f>IF($A1785="","",IF($AE1785&amp;""&lt;&gt;'DB_設定'!$C$4,"対象外",IF($AH1785=20,IF(OR($AJ1785=10,$AJ1785=11,$AJ1785=18),"①病院一般",IF($AJ1785=41,"②病院短期","対象外")),IF($AH1785=5,IF($AJ1785=30,"③特定消防","対象外"),IF(OR($AJ1785=10,$AJ1785=11,$AJ1785=74),"④一般",IF(OR($AJ1785=41,$AJ1785=47),"⑤短期","対象外"))))))</f>
      </c>
    </row>
    <row r="1786">
      <c r="DB1786" s="2909">
        <f>IF($A1786="","",IF($AE1786&amp;""&lt;&gt;'DB_設定'!$C$4,"対象外",IF($AH1786=20,IF(OR($AJ1786=10,$AJ1786=11,$AJ1786=18),"①病院一般",IF($AJ1786=41,"②病院短期","対象外")),IF($AH1786=5,IF($AJ1786=30,"③特定消防","対象外"),IF(OR($AJ1786=10,$AJ1786=11,$AJ1786=74),"④一般",IF(OR($AJ1786=41,$AJ1786=47),"⑤短期","対象外"))))))</f>
      </c>
    </row>
    <row r="1787">
      <c r="DB1787" s="2909">
        <f>IF($A1787="","",IF($AE1787&amp;""&lt;&gt;'DB_設定'!$C$4,"対象外",IF($AH1787=20,IF(OR($AJ1787=10,$AJ1787=11,$AJ1787=18),"①病院一般",IF($AJ1787=41,"②病院短期","対象外")),IF($AH1787=5,IF($AJ1787=30,"③特定消防","対象外"),IF(OR($AJ1787=10,$AJ1787=11,$AJ1787=74),"④一般",IF(OR($AJ1787=41,$AJ1787=47),"⑤短期","対象外"))))))</f>
      </c>
    </row>
    <row r="1788">
      <c r="DB1788" s="2909">
        <f>IF($A1788="","",IF($AE1788&amp;""&lt;&gt;'DB_設定'!$C$4,"対象外",IF($AH1788=20,IF(OR($AJ1788=10,$AJ1788=11,$AJ1788=18),"①病院一般",IF($AJ1788=41,"②病院短期","対象外")),IF($AH1788=5,IF($AJ1788=30,"③特定消防","対象外"),IF(OR($AJ1788=10,$AJ1788=11,$AJ1788=74),"④一般",IF(OR($AJ1788=41,$AJ1788=47),"⑤短期","対象外"))))))</f>
      </c>
    </row>
    <row r="1789">
      <c r="DB1789" s="2909">
        <f>IF($A1789="","",IF($AE1789&amp;""&lt;&gt;'DB_設定'!$C$4,"対象外",IF($AH1789=20,IF(OR($AJ1789=10,$AJ1789=11,$AJ1789=18),"①病院一般",IF($AJ1789=41,"②病院短期","対象外")),IF($AH1789=5,IF($AJ1789=30,"③特定消防","対象外"),IF(OR($AJ1789=10,$AJ1789=11,$AJ1789=74),"④一般",IF(OR($AJ1789=41,$AJ1789=47),"⑤短期","対象外"))))))</f>
      </c>
    </row>
    <row r="1790">
      <c r="DB1790" s="2909">
        <f>IF($A1790="","",IF($AE1790&amp;""&lt;&gt;'DB_設定'!$C$4,"対象外",IF($AH1790=20,IF(OR($AJ1790=10,$AJ1790=11,$AJ1790=18),"①病院一般",IF($AJ1790=41,"②病院短期","対象外")),IF($AH1790=5,IF($AJ1790=30,"③特定消防","対象外"),IF(OR($AJ1790=10,$AJ1790=11,$AJ1790=74),"④一般",IF(OR($AJ1790=41,$AJ1790=47),"⑤短期","対象外"))))))</f>
      </c>
    </row>
    <row r="1791">
      <c r="DB1791" s="2909">
        <f>IF($A1791="","",IF($AE1791&amp;""&lt;&gt;'DB_設定'!$C$4,"対象外",IF($AH1791=20,IF(OR($AJ1791=10,$AJ1791=11,$AJ1791=18),"①病院一般",IF($AJ1791=41,"②病院短期","対象外")),IF($AH1791=5,IF($AJ1791=30,"③特定消防","対象外"),IF(OR($AJ1791=10,$AJ1791=11,$AJ1791=74),"④一般",IF(OR($AJ1791=41,$AJ1791=47),"⑤短期","対象外"))))))</f>
      </c>
    </row>
    <row r="1792">
      <c r="DB1792" s="2909">
        <f>IF($A1792="","",IF($AE1792&amp;""&lt;&gt;'DB_設定'!$C$4,"対象外",IF($AH1792=20,IF(OR($AJ1792=10,$AJ1792=11,$AJ1792=18),"①病院一般",IF($AJ1792=41,"②病院短期","対象外")),IF($AH1792=5,IF($AJ1792=30,"③特定消防","対象外"),IF(OR($AJ1792=10,$AJ1792=11,$AJ1792=74),"④一般",IF(OR($AJ1792=41,$AJ1792=47),"⑤短期","対象外"))))))</f>
      </c>
    </row>
    <row r="1793">
      <c r="DB1793" s="2909">
        <f>IF($A1793="","",IF($AE1793&amp;""&lt;&gt;'DB_設定'!$C$4,"対象外",IF($AH1793=20,IF(OR($AJ1793=10,$AJ1793=11,$AJ1793=18),"①病院一般",IF($AJ1793=41,"②病院短期","対象外")),IF($AH1793=5,IF($AJ1793=30,"③特定消防","対象外"),IF(OR($AJ1793=10,$AJ1793=11,$AJ1793=74),"④一般",IF(OR($AJ1793=41,$AJ1793=47),"⑤短期","対象外"))))))</f>
      </c>
    </row>
    <row r="1794">
      <c r="DB1794" s="2909">
        <f>IF($A1794="","",IF($AE1794&amp;""&lt;&gt;'DB_設定'!$C$4,"対象外",IF($AH1794=20,IF(OR($AJ1794=10,$AJ1794=11,$AJ1794=18),"①病院一般",IF($AJ1794=41,"②病院短期","対象外")),IF($AH1794=5,IF($AJ1794=30,"③特定消防","対象外"),IF(OR($AJ1794=10,$AJ1794=11,$AJ1794=74),"④一般",IF(OR($AJ1794=41,$AJ1794=47),"⑤短期","対象外"))))))</f>
      </c>
    </row>
    <row r="1795">
      <c r="DB1795" s="2909">
        <f>IF($A1795="","",IF($AE1795&amp;""&lt;&gt;'DB_設定'!$C$4,"対象外",IF($AH1795=20,IF(OR($AJ1795=10,$AJ1795=11,$AJ1795=18),"①病院一般",IF($AJ1795=41,"②病院短期","対象外")),IF($AH1795=5,IF($AJ1795=30,"③特定消防","対象外"),IF(OR($AJ1795=10,$AJ1795=11,$AJ1795=74),"④一般",IF(OR($AJ1795=41,$AJ1795=47),"⑤短期","対象外"))))))</f>
      </c>
    </row>
    <row r="1796">
      <c r="DB1796" s="2909">
        <f>IF($A1796="","",IF($AE1796&amp;""&lt;&gt;'DB_設定'!$C$4,"対象外",IF($AH1796=20,IF(OR($AJ1796=10,$AJ1796=11,$AJ1796=18),"①病院一般",IF($AJ1796=41,"②病院短期","対象外")),IF($AH1796=5,IF($AJ1796=30,"③特定消防","対象外"),IF(OR($AJ1796=10,$AJ1796=11,$AJ1796=74),"④一般",IF(OR($AJ1796=41,$AJ1796=47),"⑤短期","対象外"))))))</f>
      </c>
    </row>
    <row r="1797">
      <c r="DB1797" s="2909">
        <f>IF($A1797="","",IF($AE1797&amp;""&lt;&gt;'DB_設定'!$C$4,"対象外",IF($AH1797=20,IF(OR($AJ1797=10,$AJ1797=11,$AJ1797=18),"①病院一般",IF($AJ1797=41,"②病院短期","対象外")),IF($AH1797=5,IF($AJ1797=30,"③特定消防","対象外"),IF(OR($AJ1797=10,$AJ1797=11,$AJ1797=74),"④一般",IF(OR($AJ1797=41,$AJ1797=47),"⑤短期","対象外"))))))</f>
      </c>
    </row>
    <row r="1798">
      <c r="DB1798" s="2909">
        <f>IF($A1798="","",IF($AE1798&amp;""&lt;&gt;'DB_設定'!$C$4,"対象外",IF($AH1798=20,IF(OR($AJ1798=10,$AJ1798=11,$AJ1798=18),"①病院一般",IF($AJ1798=41,"②病院短期","対象外")),IF($AH1798=5,IF($AJ1798=30,"③特定消防","対象外"),IF(OR($AJ1798=10,$AJ1798=11,$AJ1798=74),"④一般",IF(OR($AJ1798=41,$AJ1798=47),"⑤短期","対象外"))))))</f>
      </c>
    </row>
    <row r="1799">
      <c r="DB1799" s="2909">
        <f>IF($A1799="","",IF($AE1799&amp;""&lt;&gt;'DB_設定'!$C$4,"対象外",IF($AH1799=20,IF(OR($AJ1799=10,$AJ1799=11,$AJ1799=18),"①病院一般",IF($AJ1799=41,"②病院短期","対象外")),IF($AH1799=5,IF($AJ1799=30,"③特定消防","対象外"),IF(OR($AJ1799=10,$AJ1799=11,$AJ1799=74),"④一般",IF(OR($AJ1799=41,$AJ1799=47),"⑤短期","対象外"))))))</f>
      </c>
    </row>
    <row r="1800">
      <c r="DB1800" s="2909">
        <f>IF($A1800="","",IF($AE1800&amp;""&lt;&gt;'DB_設定'!$C$4,"対象外",IF($AH1800=20,IF(OR($AJ1800=10,$AJ1800=11,$AJ1800=18),"①病院一般",IF($AJ1800=41,"②病院短期","対象外")),IF($AH1800=5,IF($AJ1800=30,"③特定消防","対象外"),IF(OR($AJ1800=10,$AJ1800=11,$AJ1800=74),"④一般",IF(OR($AJ1800=41,$AJ1800=47),"⑤短期","対象外"))))))</f>
      </c>
    </row>
    <row r="1801">
      <c r="DB1801" s="2909">
        <f>IF($A1801="","",IF($AE1801&amp;""&lt;&gt;'DB_設定'!$C$4,"対象外",IF($AH1801=20,IF(OR($AJ1801=10,$AJ1801=11,$AJ1801=18),"①病院一般",IF($AJ1801=41,"②病院短期","対象外")),IF($AH1801=5,IF($AJ1801=30,"③特定消防","対象外"),IF(OR($AJ1801=10,$AJ1801=11,$AJ1801=74),"④一般",IF(OR($AJ1801=41,$AJ1801=47),"⑤短期","対象外"))))))</f>
      </c>
    </row>
    <row r="1802">
      <c r="DB1802" s="2909">
        <f>IF($A1802="","",IF($AE1802&amp;""&lt;&gt;'DB_設定'!$C$4,"対象外",IF($AH1802=20,IF(OR($AJ1802=10,$AJ1802=11,$AJ1802=18),"①病院一般",IF($AJ1802=41,"②病院短期","対象外")),IF($AH1802=5,IF($AJ1802=30,"③特定消防","対象外"),IF(OR($AJ1802=10,$AJ1802=11,$AJ1802=74),"④一般",IF(OR($AJ1802=41,$AJ1802=47),"⑤短期","対象外"))))))</f>
      </c>
    </row>
    <row r="1803">
      <c r="DB1803" s="2909">
        <f>IF($A1803="","",IF($AE1803&amp;""&lt;&gt;'DB_設定'!$C$4,"対象外",IF($AH1803=20,IF(OR($AJ1803=10,$AJ1803=11,$AJ1803=18),"①病院一般",IF($AJ1803=41,"②病院短期","対象外")),IF($AH1803=5,IF($AJ1803=30,"③特定消防","対象外"),IF(OR($AJ1803=10,$AJ1803=11,$AJ1803=74),"④一般",IF(OR($AJ1803=41,$AJ1803=47),"⑤短期","対象外"))))))</f>
      </c>
    </row>
    <row r="1804">
      <c r="DB1804" s="2909">
        <f>IF($A1804="","",IF($AE1804&amp;""&lt;&gt;'DB_設定'!$C$4,"対象外",IF($AH1804=20,IF(OR($AJ1804=10,$AJ1804=11,$AJ1804=18),"①病院一般",IF($AJ1804=41,"②病院短期","対象外")),IF($AH1804=5,IF($AJ1804=30,"③特定消防","対象外"),IF(OR($AJ1804=10,$AJ1804=11,$AJ1804=74),"④一般",IF(OR($AJ1804=41,$AJ1804=47),"⑤短期","対象外"))))))</f>
      </c>
    </row>
    <row r="1805">
      <c r="DB1805" s="2909">
        <f>IF($A1805="","",IF($AE1805&amp;""&lt;&gt;'DB_設定'!$C$4,"対象外",IF($AH1805=20,IF(OR($AJ1805=10,$AJ1805=11,$AJ1805=18),"①病院一般",IF($AJ1805=41,"②病院短期","対象外")),IF($AH1805=5,IF($AJ1805=30,"③特定消防","対象外"),IF(OR($AJ1805=10,$AJ1805=11,$AJ1805=74),"④一般",IF(OR($AJ1805=41,$AJ1805=47),"⑤短期","対象外"))))))</f>
      </c>
    </row>
    <row r="1806">
      <c r="DB1806" s="2909">
        <f>IF($A1806="","",IF($AE1806&amp;""&lt;&gt;'DB_設定'!$C$4,"対象外",IF($AH1806=20,IF(OR($AJ1806=10,$AJ1806=11,$AJ1806=18),"①病院一般",IF($AJ1806=41,"②病院短期","対象外")),IF($AH1806=5,IF($AJ1806=30,"③特定消防","対象外"),IF(OR($AJ1806=10,$AJ1806=11,$AJ1806=74),"④一般",IF(OR($AJ1806=41,$AJ1806=47),"⑤短期","対象外"))))))</f>
      </c>
    </row>
    <row r="1807">
      <c r="DB1807" s="2909">
        <f>IF($A1807="","",IF($AE1807&amp;""&lt;&gt;'DB_設定'!$C$4,"対象外",IF($AH1807=20,IF(OR($AJ1807=10,$AJ1807=11,$AJ1807=18),"①病院一般",IF($AJ1807=41,"②病院短期","対象外")),IF($AH1807=5,IF($AJ1807=30,"③特定消防","対象外"),IF(OR($AJ1807=10,$AJ1807=11,$AJ1807=74),"④一般",IF(OR($AJ1807=41,$AJ1807=47),"⑤短期","対象外"))))))</f>
      </c>
    </row>
    <row r="1808">
      <c r="DB1808" s="2909">
        <f>IF($A1808="","",IF($AE1808&amp;""&lt;&gt;'DB_設定'!$C$4,"対象外",IF($AH1808=20,IF(OR($AJ1808=10,$AJ1808=11,$AJ1808=18),"①病院一般",IF($AJ1808=41,"②病院短期","対象外")),IF($AH1808=5,IF($AJ1808=30,"③特定消防","対象外"),IF(OR($AJ1808=10,$AJ1808=11,$AJ1808=74),"④一般",IF(OR($AJ1808=41,$AJ1808=47),"⑤短期","対象外"))))))</f>
      </c>
    </row>
    <row r="1809">
      <c r="DB1809" s="2909">
        <f>IF($A1809="","",IF($AE1809&amp;""&lt;&gt;'DB_設定'!$C$4,"対象外",IF($AH1809=20,IF(OR($AJ1809=10,$AJ1809=11,$AJ1809=18),"①病院一般",IF($AJ1809=41,"②病院短期","対象外")),IF($AH1809=5,IF($AJ1809=30,"③特定消防","対象外"),IF(OR($AJ1809=10,$AJ1809=11,$AJ1809=74),"④一般",IF(OR($AJ1809=41,$AJ1809=47),"⑤短期","対象外"))))))</f>
      </c>
    </row>
    <row r="1810">
      <c r="DB1810" s="2909">
        <f>IF($A1810="","",IF($AE1810&amp;""&lt;&gt;'DB_設定'!$C$4,"対象外",IF($AH1810=20,IF(OR($AJ1810=10,$AJ1810=11,$AJ1810=18),"①病院一般",IF($AJ1810=41,"②病院短期","対象外")),IF($AH1810=5,IF($AJ1810=30,"③特定消防","対象外"),IF(OR($AJ1810=10,$AJ1810=11,$AJ1810=74),"④一般",IF(OR($AJ1810=41,$AJ1810=47),"⑤短期","対象外"))))))</f>
      </c>
    </row>
    <row r="1811">
      <c r="DB1811" s="2909">
        <f>IF($A1811="","",IF($AE1811&amp;""&lt;&gt;'DB_設定'!$C$4,"対象外",IF($AH1811=20,IF(OR($AJ1811=10,$AJ1811=11,$AJ1811=18),"①病院一般",IF($AJ1811=41,"②病院短期","対象外")),IF($AH1811=5,IF($AJ1811=30,"③特定消防","対象外"),IF(OR($AJ1811=10,$AJ1811=11,$AJ1811=74),"④一般",IF(OR($AJ1811=41,$AJ1811=47),"⑤短期","対象外"))))))</f>
      </c>
    </row>
    <row r="1812">
      <c r="DB1812" s="2909">
        <f>IF($A1812="","",IF($AE1812&amp;""&lt;&gt;'DB_設定'!$C$4,"対象外",IF($AH1812=20,IF(OR($AJ1812=10,$AJ1812=11,$AJ1812=18),"①病院一般",IF($AJ1812=41,"②病院短期","対象外")),IF($AH1812=5,IF($AJ1812=30,"③特定消防","対象外"),IF(OR($AJ1812=10,$AJ1812=11,$AJ1812=74),"④一般",IF(OR($AJ1812=41,$AJ1812=47),"⑤短期","対象外"))))))</f>
      </c>
    </row>
    <row r="1813">
      <c r="DB1813" s="2909">
        <f>IF($A1813="","",IF($AE1813&amp;""&lt;&gt;'DB_設定'!$C$4,"対象外",IF($AH1813=20,IF(OR($AJ1813=10,$AJ1813=11,$AJ1813=18),"①病院一般",IF($AJ1813=41,"②病院短期","対象外")),IF($AH1813=5,IF($AJ1813=30,"③特定消防","対象外"),IF(OR($AJ1813=10,$AJ1813=11,$AJ1813=74),"④一般",IF(OR($AJ1813=41,$AJ1813=47),"⑤短期","対象外"))))))</f>
      </c>
    </row>
    <row r="1814">
      <c r="DB1814" s="2909">
        <f>IF($A1814="","",IF($AE1814&amp;""&lt;&gt;'DB_設定'!$C$4,"対象外",IF($AH1814=20,IF(OR($AJ1814=10,$AJ1814=11,$AJ1814=18),"①病院一般",IF($AJ1814=41,"②病院短期","対象外")),IF($AH1814=5,IF($AJ1814=30,"③特定消防","対象外"),IF(OR($AJ1814=10,$AJ1814=11,$AJ1814=74),"④一般",IF(OR($AJ1814=41,$AJ1814=47),"⑤短期","対象外"))))))</f>
      </c>
    </row>
    <row r="1815">
      <c r="DB1815" s="2909">
        <f>IF($A1815="","",IF($AE1815&amp;""&lt;&gt;'DB_設定'!$C$4,"対象外",IF($AH1815=20,IF(OR($AJ1815=10,$AJ1815=11,$AJ1815=18),"①病院一般",IF($AJ1815=41,"②病院短期","対象外")),IF($AH1815=5,IF($AJ1815=30,"③特定消防","対象外"),IF(OR($AJ1815=10,$AJ1815=11,$AJ1815=74),"④一般",IF(OR($AJ1815=41,$AJ1815=47),"⑤短期","対象外"))))))</f>
      </c>
    </row>
    <row r="1816">
      <c r="DB1816" s="2909">
        <f>IF($A1816="","",IF($AE1816&amp;""&lt;&gt;'DB_設定'!$C$4,"対象外",IF($AH1816=20,IF(OR($AJ1816=10,$AJ1816=11,$AJ1816=18),"①病院一般",IF($AJ1816=41,"②病院短期","対象外")),IF($AH1816=5,IF($AJ1816=30,"③特定消防","対象外"),IF(OR($AJ1816=10,$AJ1816=11,$AJ1816=74),"④一般",IF(OR($AJ1816=41,$AJ1816=47),"⑤短期","対象外"))))))</f>
      </c>
    </row>
    <row r="1817">
      <c r="DB1817" s="2909">
        <f>IF($A1817="","",IF($AE1817&amp;""&lt;&gt;'DB_設定'!$C$4,"対象外",IF($AH1817=20,IF(OR($AJ1817=10,$AJ1817=11,$AJ1817=18),"①病院一般",IF($AJ1817=41,"②病院短期","対象外")),IF($AH1817=5,IF($AJ1817=30,"③特定消防","対象外"),IF(OR($AJ1817=10,$AJ1817=11,$AJ1817=74),"④一般",IF(OR($AJ1817=41,$AJ1817=47),"⑤短期","対象外"))))))</f>
      </c>
    </row>
    <row r="1818">
      <c r="DB1818" s="2909">
        <f>IF($A1818="","",IF($AE1818&amp;""&lt;&gt;'DB_設定'!$C$4,"対象外",IF($AH1818=20,IF(OR($AJ1818=10,$AJ1818=11,$AJ1818=18),"①病院一般",IF($AJ1818=41,"②病院短期","対象外")),IF($AH1818=5,IF($AJ1818=30,"③特定消防","対象外"),IF(OR($AJ1818=10,$AJ1818=11,$AJ1818=74),"④一般",IF(OR($AJ1818=41,$AJ1818=47),"⑤短期","対象外"))))))</f>
      </c>
    </row>
    <row r="1819">
      <c r="DB1819" s="2909">
        <f>IF($A1819="","",IF($AE1819&amp;""&lt;&gt;'DB_設定'!$C$4,"対象外",IF($AH1819=20,IF(OR($AJ1819=10,$AJ1819=11,$AJ1819=18),"①病院一般",IF($AJ1819=41,"②病院短期","対象外")),IF($AH1819=5,IF($AJ1819=30,"③特定消防","対象外"),IF(OR($AJ1819=10,$AJ1819=11,$AJ1819=74),"④一般",IF(OR($AJ1819=41,$AJ1819=47),"⑤短期","対象外"))))))</f>
      </c>
    </row>
    <row r="1820">
      <c r="DB1820" s="2909">
        <f>IF($A1820="","",IF($AE1820&amp;""&lt;&gt;'DB_設定'!$C$4,"対象外",IF($AH1820=20,IF(OR($AJ1820=10,$AJ1820=11,$AJ1820=18),"①病院一般",IF($AJ1820=41,"②病院短期","対象外")),IF($AH1820=5,IF($AJ1820=30,"③特定消防","対象外"),IF(OR($AJ1820=10,$AJ1820=11,$AJ1820=74),"④一般",IF(OR($AJ1820=41,$AJ1820=47),"⑤短期","対象外"))))))</f>
      </c>
    </row>
    <row r="1821">
      <c r="DB1821" s="2909">
        <f>IF($A1821="","",IF($AE1821&amp;""&lt;&gt;'DB_設定'!$C$4,"対象外",IF($AH1821=20,IF(OR($AJ1821=10,$AJ1821=11,$AJ1821=18),"①病院一般",IF($AJ1821=41,"②病院短期","対象外")),IF($AH1821=5,IF($AJ1821=30,"③特定消防","対象外"),IF(OR($AJ1821=10,$AJ1821=11,$AJ1821=74),"④一般",IF(OR($AJ1821=41,$AJ1821=47),"⑤短期","対象外"))))))</f>
      </c>
    </row>
    <row r="1822">
      <c r="DB1822" s="2909">
        <f>IF($A1822="","",IF($AE1822&amp;""&lt;&gt;'DB_設定'!$C$4,"対象外",IF($AH1822=20,IF(OR($AJ1822=10,$AJ1822=11,$AJ1822=18),"①病院一般",IF($AJ1822=41,"②病院短期","対象外")),IF($AH1822=5,IF($AJ1822=30,"③特定消防","対象外"),IF(OR($AJ1822=10,$AJ1822=11,$AJ1822=74),"④一般",IF(OR($AJ1822=41,$AJ1822=47),"⑤短期","対象外"))))))</f>
      </c>
    </row>
    <row r="1823">
      <c r="DB1823" s="2909">
        <f>IF($A1823="","",IF($AE1823&amp;""&lt;&gt;'DB_設定'!$C$4,"対象外",IF($AH1823=20,IF(OR($AJ1823=10,$AJ1823=11,$AJ1823=18),"①病院一般",IF($AJ1823=41,"②病院短期","対象外")),IF($AH1823=5,IF($AJ1823=30,"③特定消防","対象外"),IF(OR($AJ1823=10,$AJ1823=11,$AJ1823=74),"④一般",IF(OR($AJ1823=41,$AJ1823=47),"⑤短期","対象外"))))))</f>
      </c>
    </row>
    <row r="1824">
      <c r="DB1824" s="2909">
        <f>IF($A1824="","",IF($AE1824&amp;""&lt;&gt;'DB_設定'!$C$4,"対象外",IF($AH1824=20,IF(OR($AJ1824=10,$AJ1824=11,$AJ1824=18),"①病院一般",IF($AJ1824=41,"②病院短期","対象外")),IF($AH1824=5,IF($AJ1824=30,"③特定消防","対象外"),IF(OR($AJ1824=10,$AJ1824=11,$AJ1824=74),"④一般",IF(OR($AJ1824=41,$AJ1824=47),"⑤短期","対象外"))))))</f>
      </c>
    </row>
    <row r="1825">
      <c r="DB1825" s="2909">
        <f>IF($A1825="","",IF($AE1825&amp;""&lt;&gt;'DB_設定'!$C$4,"対象外",IF($AH1825=20,IF(OR($AJ1825=10,$AJ1825=11,$AJ1825=18),"①病院一般",IF($AJ1825=41,"②病院短期","対象外")),IF($AH1825=5,IF($AJ1825=30,"③特定消防","対象外"),IF(OR($AJ1825=10,$AJ1825=11,$AJ1825=74),"④一般",IF(OR($AJ1825=41,$AJ1825=47),"⑤短期","対象外"))))))</f>
      </c>
    </row>
    <row r="1826">
      <c r="DB1826" s="2909">
        <f>IF($A1826="","",IF($AE1826&amp;""&lt;&gt;'DB_設定'!$C$4,"対象外",IF($AH1826=20,IF(OR($AJ1826=10,$AJ1826=11,$AJ1826=18),"①病院一般",IF($AJ1826=41,"②病院短期","対象外")),IF($AH1826=5,IF($AJ1826=30,"③特定消防","対象外"),IF(OR($AJ1826=10,$AJ1826=11,$AJ1826=74),"④一般",IF(OR($AJ1826=41,$AJ1826=47),"⑤短期","対象外"))))))</f>
      </c>
    </row>
    <row r="1827">
      <c r="DB1827" s="2909">
        <f>IF($A1827="","",IF($AE1827&amp;""&lt;&gt;'DB_設定'!$C$4,"対象外",IF($AH1827=20,IF(OR($AJ1827=10,$AJ1827=11,$AJ1827=18),"①病院一般",IF($AJ1827=41,"②病院短期","対象外")),IF($AH1827=5,IF($AJ1827=30,"③特定消防","対象外"),IF(OR($AJ1827=10,$AJ1827=11,$AJ1827=74),"④一般",IF(OR($AJ1827=41,$AJ1827=47),"⑤短期","対象外"))))))</f>
      </c>
    </row>
    <row r="1828">
      <c r="DB1828" s="2909">
        <f>IF($A1828="","",IF($AE1828&amp;""&lt;&gt;'DB_設定'!$C$4,"対象外",IF($AH1828=20,IF(OR($AJ1828=10,$AJ1828=11,$AJ1828=18),"①病院一般",IF($AJ1828=41,"②病院短期","対象外")),IF($AH1828=5,IF($AJ1828=30,"③特定消防","対象外"),IF(OR($AJ1828=10,$AJ1828=11,$AJ1828=74),"④一般",IF(OR($AJ1828=41,$AJ1828=47),"⑤短期","対象外"))))))</f>
      </c>
    </row>
    <row r="1829">
      <c r="DB1829" s="2909">
        <f>IF($A1829="","",IF($AE1829&amp;""&lt;&gt;'DB_設定'!$C$4,"対象外",IF($AH1829=20,IF(OR($AJ1829=10,$AJ1829=11,$AJ1829=18),"①病院一般",IF($AJ1829=41,"②病院短期","対象外")),IF($AH1829=5,IF($AJ1829=30,"③特定消防","対象外"),IF(OR($AJ1829=10,$AJ1829=11,$AJ1829=74),"④一般",IF(OR($AJ1829=41,$AJ1829=47),"⑤短期","対象外"))))))</f>
      </c>
    </row>
    <row r="1830">
      <c r="DB1830" s="2909">
        <f>IF($A1830="","",IF($AE1830&amp;""&lt;&gt;'DB_設定'!$C$4,"対象外",IF($AH1830=20,IF(OR($AJ1830=10,$AJ1830=11,$AJ1830=18),"①病院一般",IF($AJ1830=41,"②病院短期","対象外")),IF($AH1830=5,IF($AJ1830=30,"③特定消防","対象外"),IF(OR($AJ1830=10,$AJ1830=11,$AJ1830=74),"④一般",IF(OR($AJ1830=41,$AJ1830=47),"⑤短期","対象外"))))))</f>
      </c>
    </row>
    <row r="1831">
      <c r="DB1831" s="2909">
        <f>IF($A1831="","",IF($AE1831&amp;""&lt;&gt;'DB_設定'!$C$4,"対象外",IF($AH1831=20,IF(OR($AJ1831=10,$AJ1831=11,$AJ1831=18),"①病院一般",IF($AJ1831=41,"②病院短期","対象外")),IF($AH1831=5,IF($AJ1831=30,"③特定消防","対象外"),IF(OR($AJ1831=10,$AJ1831=11,$AJ1831=74),"④一般",IF(OR($AJ1831=41,$AJ1831=47),"⑤短期","対象外"))))))</f>
      </c>
    </row>
    <row r="1832">
      <c r="DB1832" s="2909">
        <f>IF($A1832="","",IF($AE1832&amp;""&lt;&gt;'DB_設定'!$C$4,"対象外",IF($AH1832=20,IF(OR($AJ1832=10,$AJ1832=11,$AJ1832=18),"①病院一般",IF($AJ1832=41,"②病院短期","対象外")),IF($AH1832=5,IF($AJ1832=30,"③特定消防","対象外"),IF(OR($AJ1832=10,$AJ1832=11,$AJ1832=74),"④一般",IF(OR($AJ1832=41,$AJ1832=47),"⑤短期","対象外"))))))</f>
      </c>
    </row>
    <row r="1833">
      <c r="DB1833" s="2909">
        <f>IF($A1833="","",IF($AE1833&amp;""&lt;&gt;'DB_設定'!$C$4,"対象外",IF($AH1833=20,IF(OR($AJ1833=10,$AJ1833=11,$AJ1833=18),"①病院一般",IF($AJ1833=41,"②病院短期","対象外")),IF($AH1833=5,IF($AJ1833=30,"③特定消防","対象外"),IF(OR($AJ1833=10,$AJ1833=11,$AJ1833=74),"④一般",IF(OR($AJ1833=41,$AJ1833=47),"⑤短期","対象外"))))))</f>
      </c>
    </row>
    <row r="1834">
      <c r="DB1834" s="2909">
        <f>IF($A1834="","",IF($AE1834&amp;""&lt;&gt;'DB_設定'!$C$4,"対象外",IF($AH1834=20,IF(OR($AJ1834=10,$AJ1834=11,$AJ1834=18),"①病院一般",IF($AJ1834=41,"②病院短期","対象外")),IF($AH1834=5,IF($AJ1834=30,"③特定消防","対象外"),IF(OR($AJ1834=10,$AJ1834=11,$AJ1834=74),"④一般",IF(OR($AJ1834=41,$AJ1834=47),"⑤短期","対象外"))))))</f>
      </c>
    </row>
    <row r="1835">
      <c r="DB1835" s="2909">
        <f>IF($A1835="","",IF($AE1835&amp;""&lt;&gt;'DB_設定'!$C$4,"対象外",IF($AH1835=20,IF(OR($AJ1835=10,$AJ1835=11,$AJ1835=18),"①病院一般",IF($AJ1835=41,"②病院短期","対象外")),IF($AH1835=5,IF($AJ1835=30,"③特定消防","対象外"),IF(OR($AJ1835=10,$AJ1835=11,$AJ1835=74),"④一般",IF(OR($AJ1835=41,$AJ1835=47),"⑤短期","対象外"))))))</f>
      </c>
    </row>
    <row r="1836">
      <c r="DB1836" s="2909">
        <f>IF($A1836="","",IF($AE1836&amp;""&lt;&gt;'DB_設定'!$C$4,"対象外",IF($AH1836=20,IF(OR($AJ1836=10,$AJ1836=11,$AJ1836=18),"①病院一般",IF($AJ1836=41,"②病院短期","対象外")),IF($AH1836=5,IF($AJ1836=30,"③特定消防","対象外"),IF(OR($AJ1836=10,$AJ1836=11,$AJ1836=74),"④一般",IF(OR($AJ1836=41,$AJ1836=47),"⑤短期","対象外"))))))</f>
      </c>
    </row>
    <row r="1837">
      <c r="DB1837" s="2909">
        <f>IF($A1837="","",IF($AE1837&amp;""&lt;&gt;'DB_設定'!$C$4,"対象外",IF($AH1837=20,IF(OR($AJ1837=10,$AJ1837=11,$AJ1837=18),"①病院一般",IF($AJ1837=41,"②病院短期","対象外")),IF($AH1837=5,IF($AJ1837=30,"③特定消防","対象外"),IF(OR($AJ1837=10,$AJ1837=11,$AJ1837=74),"④一般",IF(OR($AJ1837=41,$AJ1837=47),"⑤短期","対象外"))))))</f>
      </c>
    </row>
    <row r="1838">
      <c r="DB1838" s="2909">
        <f>IF($A1838="","",IF($AE1838&amp;""&lt;&gt;'DB_設定'!$C$4,"対象外",IF($AH1838=20,IF(OR($AJ1838=10,$AJ1838=11,$AJ1838=18),"①病院一般",IF($AJ1838=41,"②病院短期","対象外")),IF($AH1838=5,IF($AJ1838=30,"③特定消防","対象外"),IF(OR($AJ1838=10,$AJ1838=11,$AJ1838=74),"④一般",IF(OR($AJ1838=41,$AJ1838=47),"⑤短期","対象外"))))))</f>
      </c>
    </row>
    <row r="1839">
      <c r="DB1839" s="2909">
        <f>IF($A1839="","",IF($AE1839&amp;""&lt;&gt;'DB_設定'!$C$4,"対象外",IF($AH1839=20,IF(OR($AJ1839=10,$AJ1839=11,$AJ1839=18),"①病院一般",IF($AJ1839=41,"②病院短期","対象外")),IF($AH1839=5,IF($AJ1839=30,"③特定消防","対象外"),IF(OR($AJ1839=10,$AJ1839=11,$AJ1839=74),"④一般",IF(OR($AJ1839=41,$AJ1839=47),"⑤短期","対象外"))))))</f>
      </c>
    </row>
    <row r="1840">
      <c r="DB1840" s="2909">
        <f>IF($A1840="","",IF($AE1840&amp;""&lt;&gt;'DB_設定'!$C$4,"対象外",IF($AH1840=20,IF(OR($AJ1840=10,$AJ1840=11,$AJ1840=18),"①病院一般",IF($AJ1840=41,"②病院短期","対象外")),IF($AH1840=5,IF($AJ1840=30,"③特定消防","対象外"),IF(OR($AJ1840=10,$AJ1840=11,$AJ1840=74),"④一般",IF(OR($AJ1840=41,$AJ1840=47),"⑤短期","対象外"))))))</f>
      </c>
    </row>
    <row r="1841">
      <c r="DB1841" s="2909">
        <f>IF($A1841="","",IF($AE1841&amp;""&lt;&gt;'DB_設定'!$C$4,"対象外",IF($AH1841=20,IF(OR($AJ1841=10,$AJ1841=11,$AJ1841=18),"①病院一般",IF($AJ1841=41,"②病院短期","対象外")),IF($AH1841=5,IF($AJ1841=30,"③特定消防","対象外"),IF(OR($AJ1841=10,$AJ1841=11,$AJ1841=74),"④一般",IF(OR($AJ1841=41,$AJ1841=47),"⑤短期","対象外"))))))</f>
      </c>
    </row>
    <row r="1842">
      <c r="DB1842" s="2909">
        <f>IF($A1842="","",IF($AE1842&amp;""&lt;&gt;'DB_設定'!$C$4,"対象外",IF($AH1842=20,IF(OR($AJ1842=10,$AJ1842=11,$AJ1842=18),"①病院一般",IF($AJ1842=41,"②病院短期","対象外")),IF($AH1842=5,IF($AJ1842=30,"③特定消防","対象外"),IF(OR($AJ1842=10,$AJ1842=11,$AJ1842=74),"④一般",IF(OR($AJ1842=41,$AJ1842=47),"⑤短期","対象外"))))))</f>
      </c>
    </row>
    <row r="1843">
      <c r="DB1843" s="2909">
        <f>IF($A1843="","",IF($AE1843&amp;""&lt;&gt;'DB_設定'!$C$4,"対象外",IF($AH1843=20,IF(OR($AJ1843=10,$AJ1843=11,$AJ1843=18),"①病院一般",IF($AJ1843=41,"②病院短期","対象外")),IF($AH1843=5,IF($AJ1843=30,"③特定消防","対象外"),IF(OR($AJ1843=10,$AJ1843=11,$AJ1843=74),"④一般",IF(OR($AJ1843=41,$AJ1843=47),"⑤短期","対象外"))))))</f>
      </c>
    </row>
    <row r="1844">
      <c r="DB1844" s="2909">
        <f>IF($A1844="","",IF($AE1844&amp;""&lt;&gt;'DB_設定'!$C$4,"対象外",IF($AH1844=20,IF(OR($AJ1844=10,$AJ1844=11,$AJ1844=18),"①病院一般",IF($AJ1844=41,"②病院短期","対象外")),IF($AH1844=5,IF($AJ1844=30,"③特定消防","対象外"),IF(OR($AJ1844=10,$AJ1844=11,$AJ1844=74),"④一般",IF(OR($AJ1844=41,$AJ1844=47),"⑤短期","対象外"))))))</f>
      </c>
    </row>
    <row r="1845">
      <c r="DB1845" s="2909">
        <f>IF($A1845="","",IF($AE1845&amp;""&lt;&gt;'DB_設定'!$C$4,"対象外",IF($AH1845=20,IF(OR($AJ1845=10,$AJ1845=11,$AJ1845=18),"①病院一般",IF($AJ1845=41,"②病院短期","対象外")),IF($AH1845=5,IF($AJ1845=30,"③特定消防","対象外"),IF(OR($AJ1845=10,$AJ1845=11,$AJ1845=74),"④一般",IF(OR($AJ1845=41,$AJ1845=47),"⑤短期","対象外"))))))</f>
      </c>
    </row>
    <row r="1846">
      <c r="DB1846" s="2909">
        <f>IF($A1846="","",IF($AE1846&amp;""&lt;&gt;'DB_設定'!$C$4,"対象外",IF($AH1846=20,IF(OR($AJ1846=10,$AJ1846=11,$AJ1846=18),"①病院一般",IF($AJ1846=41,"②病院短期","対象外")),IF($AH1846=5,IF($AJ1846=30,"③特定消防","対象外"),IF(OR($AJ1846=10,$AJ1846=11,$AJ1846=74),"④一般",IF(OR($AJ1846=41,$AJ1846=47),"⑤短期","対象外"))))))</f>
      </c>
    </row>
    <row r="1847">
      <c r="DB1847" s="2909">
        <f>IF($A1847="","",IF($AE1847&amp;""&lt;&gt;'DB_設定'!$C$4,"対象外",IF($AH1847=20,IF(OR($AJ1847=10,$AJ1847=11,$AJ1847=18),"①病院一般",IF($AJ1847=41,"②病院短期","対象外")),IF($AH1847=5,IF($AJ1847=30,"③特定消防","対象外"),IF(OR($AJ1847=10,$AJ1847=11,$AJ1847=74),"④一般",IF(OR($AJ1847=41,$AJ1847=47),"⑤短期","対象外"))))))</f>
      </c>
    </row>
    <row r="1848">
      <c r="DB1848" s="2909">
        <f>IF($A1848="","",IF($AE1848&amp;""&lt;&gt;'DB_設定'!$C$4,"対象外",IF($AH1848=20,IF(OR($AJ1848=10,$AJ1848=11,$AJ1848=18),"①病院一般",IF($AJ1848=41,"②病院短期","対象外")),IF($AH1848=5,IF($AJ1848=30,"③特定消防","対象外"),IF(OR($AJ1848=10,$AJ1848=11,$AJ1848=74),"④一般",IF(OR($AJ1848=41,$AJ1848=47),"⑤短期","対象外"))))))</f>
      </c>
    </row>
    <row r="1849">
      <c r="DB1849" s="2909">
        <f>IF($A1849="","",IF($AE1849&amp;""&lt;&gt;'DB_設定'!$C$4,"対象外",IF($AH1849=20,IF(OR($AJ1849=10,$AJ1849=11,$AJ1849=18),"①病院一般",IF($AJ1849=41,"②病院短期","対象外")),IF($AH1849=5,IF($AJ1849=30,"③特定消防","対象外"),IF(OR($AJ1849=10,$AJ1849=11,$AJ1849=74),"④一般",IF(OR($AJ1849=41,$AJ1849=47),"⑤短期","対象外"))))))</f>
      </c>
    </row>
    <row r="1850">
      <c r="DB1850" s="2909">
        <f>IF($A1850="","",IF($AE1850&amp;""&lt;&gt;'DB_設定'!$C$4,"対象外",IF($AH1850=20,IF(OR($AJ1850=10,$AJ1850=11,$AJ1850=18),"①病院一般",IF($AJ1850=41,"②病院短期","対象外")),IF($AH1850=5,IF($AJ1850=30,"③特定消防","対象外"),IF(OR($AJ1850=10,$AJ1850=11,$AJ1850=74),"④一般",IF(OR($AJ1850=41,$AJ1850=47),"⑤短期","対象外"))))))</f>
      </c>
    </row>
    <row r="1851">
      <c r="DB1851" s="2909">
        <f>IF($A1851="","",IF($AE1851&amp;""&lt;&gt;'DB_設定'!$C$4,"対象外",IF($AH1851=20,IF(OR($AJ1851=10,$AJ1851=11,$AJ1851=18),"①病院一般",IF($AJ1851=41,"②病院短期","対象外")),IF($AH1851=5,IF($AJ1851=30,"③特定消防","対象外"),IF(OR($AJ1851=10,$AJ1851=11,$AJ1851=74),"④一般",IF(OR($AJ1851=41,$AJ1851=47),"⑤短期","対象外"))))))</f>
      </c>
    </row>
    <row r="1852">
      <c r="DB1852" s="2909">
        <f>IF($A1852="","",IF($AE1852&amp;""&lt;&gt;'DB_設定'!$C$4,"対象外",IF($AH1852=20,IF(OR($AJ1852=10,$AJ1852=11,$AJ1852=18),"①病院一般",IF($AJ1852=41,"②病院短期","対象外")),IF($AH1852=5,IF($AJ1852=30,"③特定消防","対象外"),IF(OR($AJ1852=10,$AJ1852=11,$AJ1852=74),"④一般",IF(OR($AJ1852=41,$AJ1852=47),"⑤短期","対象外"))))))</f>
      </c>
    </row>
    <row r="1853">
      <c r="DB1853" s="2909">
        <f>IF($A1853="","",IF($AE1853&amp;""&lt;&gt;'DB_設定'!$C$4,"対象外",IF($AH1853=20,IF(OR($AJ1853=10,$AJ1853=11,$AJ1853=18),"①病院一般",IF($AJ1853=41,"②病院短期","対象外")),IF($AH1853=5,IF($AJ1853=30,"③特定消防","対象外"),IF(OR($AJ1853=10,$AJ1853=11,$AJ1853=74),"④一般",IF(OR($AJ1853=41,$AJ1853=47),"⑤短期","対象外"))))))</f>
      </c>
    </row>
    <row r="1854">
      <c r="DB1854" s="2909">
        <f>IF($A1854="","",IF($AE1854&amp;""&lt;&gt;'DB_設定'!$C$4,"対象外",IF($AH1854=20,IF(OR($AJ1854=10,$AJ1854=11,$AJ1854=18),"①病院一般",IF($AJ1854=41,"②病院短期","対象外")),IF($AH1854=5,IF($AJ1854=30,"③特定消防","対象外"),IF(OR($AJ1854=10,$AJ1854=11,$AJ1854=74),"④一般",IF(OR($AJ1854=41,$AJ1854=47),"⑤短期","対象外"))))))</f>
      </c>
    </row>
    <row r="1855">
      <c r="DB1855" s="2909">
        <f>IF($A1855="","",IF($AE1855&amp;""&lt;&gt;'DB_設定'!$C$4,"対象外",IF($AH1855=20,IF(OR($AJ1855=10,$AJ1855=11,$AJ1855=18),"①病院一般",IF($AJ1855=41,"②病院短期","対象外")),IF($AH1855=5,IF($AJ1855=30,"③特定消防","対象外"),IF(OR($AJ1855=10,$AJ1855=11,$AJ1855=74),"④一般",IF(OR($AJ1855=41,$AJ1855=47),"⑤短期","対象外"))))))</f>
      </c>
    </row>
    <row r="1856">
      <c r="DB1856" s="2909">
        <f>IF($A1856="","",IF($AE1856&amp;""&lt;&gt;'DB_設定'!$C$4,"対象外",IF($AH1856=20,IF(OR($AJ1856=10,$AJ1856=11,$AJ1856=18),"①病院一般",IF($AJ1856=41,"②病院短期","対象外")),IF($AH1856=5,IF($AJ1856=30,"③特定消防","対象外"),IF(OR($AJ1856=10,$AJ1856=11,$AJ1856=74),"④一般",IF(OR($AJ1856=41,$AJ1856=47),"⑤短期","対象外"))))))</f>
      </c>
    </row>
    <row r="1857">
      <c r="DB1857" s="2909">
        <f>IF($A1857="","",IF($AE1857&amp;""&lt;&gt;'DB_設定'!$C$4,"対象外",IF($AH1857=20,IF(OR($AJ1857=10,$AJ1857=11,$AJ1857=18),"①病院一般",IF($AJ1857=41,"②病院短期","対象外")),IF($AH1857=5,IF($AJ1857=30,"③特定消防","対象外"),IF(OR($AJ1857=10,$AJ1857=11,$AJ1857=74),"④一般",IF(OR($AJ1857=41,$AJ1857=47),"⑤短期","対象外"))))))</f>
      </c>
    </row>
    <row r="1858">
      <c r="DB1858" s="2909">
        <f>IF($A1858="","",IF($AE1858&amp;""&lt;&gt;'DB_設定'!$C$4,"対象外",IF($AH1858=20,IF(OR($AJ1858=10,$AJ1858=11,$AJ1858=18),"①病院一般",IF($AJ1858=41,"②病院短期","対象外")),IF($AH1858=5,IF($AJ1858=30,"③特定消防","対象外"),IF(OR($AJ1858=10,$AJ1858=11,$AJ1858=74),"④一般",IF(OR($AJ1858=41,$AJ1858=47),"⑤短期","対象外"))))))</f>
      </c>
    </row>
    <row r="1859">
      <c r="DB1859" s="2909">
        <f>IF($A1859="","",IF($AE1859&amp;""&lt;&gt;'DB_設定'!$C$4,"対象外",IF($AH1859=20,IF(OR($AJ1859=10,$AJ1859=11,$AJ1859=18),"①病院一般",IF($AJ1859=41,"②病院短期","対象外")),IF($AH1859=5,IF($AJ1859=30,"③特定消防","対象外"),IF(OR($AJ1859=10,$AJ1859=11,$AJ1859=74),"④一般",IF(OR($AJ1859=41,$AJ1859=47),"⑤短期","対象外"))))))</f>
      </c>
    </row>
    <row r="1860">
      <c r="DB1860" s="2909">
        <f>IF($A1860="","",IF($AE1860&amp;""&lt;&gt;'DB_設定'!$C$4,"対象外",IF($AH1860=20,IF(OR($AJ1860=10,$AJ1860=11,$AJ1860=18),"①病院一般",IF($AJ1860=41,"②病院短期","対象外")),IF($AH1860=5,IF($AJ1860=30,"③特定消防","対象外"),IF(OR($AJ1860=10,$AJ1860=11,$AJ1860=74),"④一般",IF(OR($AJ1860=41,$AJ1860=47),"⑤短期","対象外"))))))</f>
      </c>
    </row>
    <row r="1861">
      <c r="DB1861" s="2909">
        <f>IF($A1861="","",IF($AE1861&amp;""&lt;&gt;'DB_設定'!$C$4,"対象外",IF($AH1861=20,IF(OR($AJ1861=10,$AJ1861=11,$AJ1861=18),"①病院一般",IF($AJ1861=41,"②病院短期","対象外")),IF($AH1861=5,IF($AJ1861=30,"③特定消防","対象外"),IF(OR($AJ1861=10,$AJ1861=11,$AJ1861=74),"④一般",IF(OR($AJ1861=41,$AJ1861=47),"⑤短期","対象外"))))))</f>
      </c>
    </row>
    <row r="1862">
      <c r="DB1862" s="2909">
        <f>IF($A1862="","",IF($AE1862&amp;""&lt;&gt;'DB_設定'!$C$4,"対象外",IF($AH1862=20,IF(OR($AJ1862=10,$AJ1862=11,$AJ1862=18),"①病院一般",IF($AJ1862=41,"②病院短期","対象外")),IF($AH1862=5,IF($AJ1862=30,"③特定消防","対象外"),IF(OR($AJ1862=10,$AJ1862=11,$AJ1862=74),"④一般",IF(OR($AJ1862=41,$AJ1862=47),"⑤短期","対象外"))))))</f>
      </c>
    </row>
    <row r="1863">
      <c r="DB1863" s="2909">
        <f>IF($A1863="","",IF($AE1863&amp;""&lt;&gt;'DB_設定'!$C$4,"対象外",IF($AH1863=20,IF(OR($AJ1863=10,$AJ1863=11,$AJ1863=18),"①病院一般",IF($AJ1863=41,"②病院短期","対象外")),IF($AH1863=5,IF($AJ1863=30,"③特定消防","対象外"),IF(OR($AJ1863=10,$AJ1863=11,$AJ1863=74),"④一般",IF(OR($AJ1863=41,$AJ1863=47),"⑤短期","対象外"))))))</f>
      </c>
    </row>
    <row r="1864">
      <c r="DB1864" s="2909">
        <f>IF($A1864="","",IF($AE1864&amp;""&lt;&gt;'DB_設定'!$C$4,"対象外",IF($AH1864=20,IF(OR($AJ1864=10,$AJ1864=11,$AJ1864=18),"①病院一般",IF($AJ1864=41,"②病院短期","対象外")),IF($AH1864=5,IF($AJ1864=30,"③特定消防","対象外"),IF(OR($AJ1864=10,$AJ1864=11,$AJ1864=74),"④一般",IF(OR($AJ1864=41,$AJ1864=47),"⑤短期","対象外"))))))</f>
      </c>
    </row>
    <row r="1865">
      <c r="DB1865" s="2909">
        <f>IF($A1865="","",IF($AE1865&amp;""&lt;&gt;'DB_設定'!$C$4,"対象外",IF($AH1865=20,IF(OR($AJ1865=10,$AJ1865=11,$AJ1865=18),"①病院一般",IF($AJ1865=41,"②病院短期","対象外")),IF($AH1865=5,IF($AJ1865=30,"③特定消防","対象外"),IF(OR($AJ1865=10,$AJ1865=11,$AJ1865=74),"④一般",IF(OR($AJ1865=41,$AJ1865=47),"⑤短期","対象外"))))))</f>
      </c>
    </row>
    <row r="1866">
      <c r="DB1866" s="2909">
        <f>IF($A1866="","",IF($AE1866&amp;""&lt;&gt;'DB_設定'!$C$4,"対象外",IF($AH1866=20,IF(OR($AJ1866=10,$AJ1866=11,$AJ1866=18),"①病院一般",IF($AJ1866=41,"②病院短期","対象外")),IF($AH1866=5,IF($AJ1866=30,"③特定消防","対象外"),IF(OR($AJ1866=10,$AJ1866=11,$AJ1866=74),"④一般",IF(OR($AJ1866=41,$AJ1866=47),"⑤短期","対象外"))))))</f>
      </c>
    </row>
    <row r="1867">
      <c r="DB1867" s="2909">
        <f>IF($A1867="","",IF($AE1867&amp;""&lt;&gt;'DB_設定'!$C$4,"対象外",IF($AH1867=20,IF(OR($AJ1867=10,$AJ1867=11,$AJ1867=18),"①病院一般",IF($AJ1867=41,"②病院短期","対象外")),IF($AH1867=5,IF($AJ1867=30,"③特定消防","対象外"),IF(OR($AJ1867=10,$AJ1867=11,$AJ1867=74),"④一般",IF(OR($AJ1867=41,$AJ1867=47),"⑤短期","対象外"))))))</f>
      </c>
    </row>
    <row r="1868">
      <c r="DB1868" s="2909">
        <f>IF($A1868="","",IF($AE1868&amp;""&lt;&gt;'DB_設定'!$C$4,"対象外",IF($AH1868=20,IF(OR($AJ1868=10,$AJ1868=11,$AJ1868=18),"①病院一般",IF($AJ1868=41,"②病院短期","対象外")),IF($AH1868=5,IF($AJ1868=30,"③特定消防","対象外"),IF(OR($AJ1868=10,$AJ1868=11,$AJ1868=74),"④一般",IF(OR($AJ1868=41,$AJ1868=47),"⑤短期","対象外"))))))</f>
      </c>
    </row>
    <row r="1869">
      <c r="DB1869" s="2909">
        <f>IF($A1869="","",IF($AE1869&amp;""&lt;&gt;'DB_設定'!$C$4,"対象外",IF($AH1869=20,IF(OR($AJ1869=10,$AJ1869=11,$AJ1869=18),"①病院一般",IF($AJ1869=41,"②病院短期","対象外")),IF($AH1869=5,IF($AJ1869=30,"③特定消防","対象外"),IF(OR($AJ1869=10,$AJ1869=11,$AJ1869=74),"④一般",IF(OR($AJ1869=41,$AJ1869=47),"⑤短期","対象外"))))))</f>
      </c>
    </row>
    <row r="1870">
      <c r="DB1870" s="2909">
        <f>IF($A1870="","",IF($AE1870&amp;""&lt;&gt;'DB_設定'!$C$4,"対象外",IF($AH1870=20,IF(OR($AJ1870=10,$AJ1870=11,$AJ1870=18),"①病院一般",IF($AJ1870=41,"②病院短期","対象外")),IF($AH1870=5,IF($AJ1870=30,"③特定消防","対象外"),IF(OR($AJ1870=10,$AJ1870=11,$AJ1870=74),"④一般",IF(OR($AJ1870=41,$AJ1870=47),"⑤短期","対象外"))))))</f>
      </c>
    </row>
    <row r="1871">
      <c r="DB1871" s="2909">
        <f>IF($A1871="","",IF($AE1871&amp;""&lt;&gt;'DB_設定'!$C$4,"対象外",IF($AH1871=20,IF(OR($AJ1871=10,$AJ1871=11,$AJ1871=18),"①病院一般",IF($AJ1871=41,"②病院短期","対象外")),IF($AH1871=5,IF($AJ1871=30,"③特定消防","対象外"),IF(OR($AJ1871=10,$AJ1871=11,$AJ1871=74),"④一般",IF(OR($AJ1871=41,$AJ1871=47),"⑤短期","対象外"))))))</f>
      </c>
    </row>
    <row r="1872">
      <c r="DB1872" s="2909">
        <f>IF($A1872="","",IF($AE1872&amp;""&lt;&gt;'DB_設定'!$C$4,"対象外",IF($AH1872=20,IF(OR($AJ1872=10,$AJ1872=11,$AJ1872=18),"①病院一般",IF($AJ1872=41,"②病院短期","対象外")),IF($AH1872=5,IF($AJ1872=30,"③特定消防","対象外"),IF(OR($AJ1872=10,$AJ1872=11,$AJ1872=74),"④一般",IF(OR($AJ1872=41,$AJ1872=47),"⑤短期","対象外"))))))</f>
      </c>
    </row>
    <row r="1873">
      <c r="DB1873" s="2909">
        <f>IF($A1873="","",IF($AE1873&amp;""&lt;&gt;'DB_設定'!$C$4,"対象外",IF($AH1873=20,IF(OR($AJ1873=10,$AJ1873=11,$AJ1873=18),"①病院一般",IF($AJ1873=41,"②病院短期","対象外")),IF($AH1873=5,IF($AJ1873=30,"③特定消防","対象外"),IF(OR($AJ1873=10,$AJ1873=11,$AJ1873=74),"④一般",IF(OR($AJ1873=41,$AJ1873=47),"⑤短期","対象外"))))))</f>
      </c>
    </row>
    <row r="1874">
      <c r="DB1874" s="2909">
        <f>IF($A1874="","",IF($AE1874&amp;""&lt;&gt;'DB_設定'!$C$4,"対象外",IF($AH1874=20,IF(OR($AJ1874=10,$AJ1874=11,$AJ1874=18),"①病院一般",IF($AJ1874=41,"②病院短期","対象外")),IF($AH1874=5,IF($AJ1874=30,"③特定消防","対象外"),IF(OR($AJ1874=10,$AJ1874=11,$AJ1874=74),"④一般",IF(OR($AJ1874=41,$AJ1874=47),"⑤短期","対象外"))))))</f>
      </c>
    </row>
    <row r="1875">
      <c r="DB1875" s="2909">
        <f>IF($A1875="","",IF($AE1875&amp;""&lt;&gt;'DB_設定'!$C$4,"対象外",IF($AH1875=20,IF(OR($AJ1875=10,$AJ1875=11,$AJ1875=18),"①病院一般",IF($AJ1875=41,"②病院短期","対象外")),IF($AH1875=5,IF($AJ1875=30,"③特定消防","対象外"),IF(OR($AJ1875=10,$AJ1875=11,$AJ1875=74),"④一般",IF(OR($AJ1875=41,$AJ1875=47),"⑤短期","対象外"))))))</f>
      </c>
    </row>
    <row r="1876">
      <c r="DB1876" s="2909">
        <f>IF($A1876="","",IF($AE1876&amp;""&lt;&gt;'DB_設定'!$C$4,"対象外",IF($AH1876=20,IF(OR($AJ1876=10,$AJ1876=11,$AJ1876=18),"①病院一般",IF($AJ1876=41,"②病院短期","対象外")),IF($AH1876=5,IF($AJ1876=30,"③特定消防","対象外"),IF(OR($AJ1876=10,$AJ1876=11,$AJ1876=74),"④一般",IF(OR($AJ1876=41,$AJ1876=47),"⑤短期","対象外"))))))</f>
      </c>
    </row>
    <row r="1877">
      <c r="DB1877" s="2909">
        <f>IF($A1877="","",IF($AE1877&amp;""&lt;&gt;'DB_設定'!$C$4,"対象外",IF($AH1877=20,IF(OR($AJ1877=10,$AJ1877=11,$AJ1877=18),"①病院一般",IF($AJ1877=41,"②病院短期","対象外")),IF($AH1877=5,IF($AJ1877=30,"③特定消防","対象外"),IF(OR($AJ1877=10,$AJ1877=11,$AJ1877=74),"④一般",IF(OR($AJ1877=41,$AJ1877=47),"⑤短期","対象外"))))))</f>
      </c>
    </row>
    <row r="1878">
      <c r="DB1878" s="2909">
        <f>IF($A1878="","",IF($AE1878&amp;""&lt;&gt;'DB_設定'!$C$4,"対象外",IF($AH1878=20,IF(OR($AJ1878=10,$AJ1878=11,$AJ1878=18),"①病院一般",IF($AJ1878=41,"②病院短期","対象外")),IF($AH1878=5,IF($AJ1878=30,"③特定消防","対象外"),IF(OR($AJ1878=10,$AJ1878=11,$AJ1878=74),"④一般",IF(OR($AJ1878=41,$AJ1878=47),"⑤短期","対象外"))))))</f>
      </c>
    </row>
    <row r="1879">
      <c r="DB1879" s="2909">
        <f>IF($A1879="","",IF($AE1879&amp;""&lt;&gt;'DB_設定'!$C$4,"対象外",IF($AH1879=20,IF(OR($AJ1879=10,$AJ1879=11,$AJ1879=18),"①病院一般",IF($AJ1879=41,"②病院短期","対象外")),IF($AH1879=5,IF($AJ1879=30,"③特定消防","対象外"),IF(OR($AJ1879=10,$AJ1879=11,$AJ1879=74),"④一般",IF(OR($AJ1879=41,$AJ1879=47),"⑤短期","対象外"))))))</f>
      </c>
    </row>
    <row r="1880">
      <c r="DB1880" s="2909">
        <f>IF($A1880="","",IF($AE1880&amp;""&lt;&gt;'DB_設定'!$C$4,"対象外",IF($AH1880=20,IF(OR($AJ1880=10,$AJ1880=11,$AJ1880=18),"①病院一般",IF($AJ1880=41,"②病院短期","対象外")),IF($AH1880=5,IF($AJ1880=30,"③特定消防","対象外"),IF(OR($AJ1880=10,$AJ1880=11,$AJ1880=74),"④一般",IF(OR($AJ1880=41,$AJ1880=47),"⑤短期","対象外"))))))</f>
      </c>
    </row>
    <row r="1881">
      <c r="DB1881" s="2909">
        <f>IF($A1881="","",IF($AE1881&amp;""&lt;&gt;'DB_設定'!$C$4,"対象外",IF($AH1881=20,IF(OR($AJ1881=10,$AJ1881=11,$AJ1881=18),"①病院一般",IF($AJ1881=41,"②病院短期","対象外")),IF($AH1881=5,IF($AJ1881=30,"③特定消防","対象外"),IF(OR($AJ1881=10,$AJ1881=11,$AJ1881=74),"④一般",IF(OR($AJ1881=41,$AJ1881=47),"⑤短期","対象外"))))))</f>
      </c>
    </row>
    <row r="1882">
      <c r="DB1882" s="2909">
        <f>IF($A1882="","",IF($AE1882&amp;""&lt;&gt;'DB_設定'!$C$4,"対象外",IF($AH1882=20,IF(OR($AJ1882=10,$AJ1882=11,$AJ1882=18),"①病院一般",IF($AJ1882=41,"②病院短期","対象外")),IF($AH1882=5,IF($AJ1882=30,"③特定消防","対象外"),IF(OR($AJ1882=10,$AJ1882=11,$AJ1882=74),"④一般",IF(OR($AJ1882=41,$AJ1882=47),"⑤短期","対象外"))))))</f>
      </c>
    </row>
    <row r="1883">
      <c r="DB1883" s="2909">
        <f>IF($A1883="","",IF($AE1883&amp;""&lt;&gt;'DB_設定'!$C$4,"対象外",IF($AH1883=20,IF(OR($AJ1883=10,$AJ1883=11,$AJ1883=18),"①病院一般",IF($AJ1883=41,"②病院短期","対象外")),IF($AH1883=5,IF($AJ1883=30,"③特定消防","対象外"),IF(OR($AJ1883=10,$AJ1883=11,$AJ1883=74),"④一般",IF(OR($AJ1883=41,$AJ1883=47),"⑤短期","対象外"))))))</f>
      </c>
    </row>
    <row r="1884">
      <c r="DB1884" s="2909">
        <f>IF($A1884="","",IF($AE1884&amp;""&lt;&gt;'DB_設定'!$C$4,"対象外",IF($AH1884=20,IF(OR($AJ1884=10,$AJ1884=11,$AJ1884=18),"①病院一般",IF($AJ1884=41,"②病院短期","対象外")),IF($AH1884=5,IF($AJ1884=30,"③特定消防","対象外"),IF(OR($AJ1884=10,$AJ1884=11,$AJ1884=74),"④一般",IF(OR($AJ1884=41,$AJ1884=47),"⑤短期","対象外"))))))</f>
      </c>
    </row>
    <row r="1885">
      <c r="DB1885" s="2909">
        <f>IF($A1885="","",IF($AE1885&amp;""&lt;&gt;'DB_設定'!$C$4,"対象外",IF($AH1885=20,IF(OR($AJ1885=10,$AJ1885=11,$AJ1885=18),"①病院一般",IF($AJ1885=41,"②病院短期","対象外")),IF($AH1885=5,IF($AJ1885=30,"③特定消防","対象外"),IF(OR($AJ1885=10,$AJ1885=11,$AJ1885=74),"④一般",IF(OR($AJ1885=41,$AJ1885=47),"⑤短期","対象外"))))))</f>
      </c>
    </row>
    <row r="1886">
      <c r="DB1886" s="2909">
        <f>IF($A1886="","",IF($AE1886&amp;""&lt;&gt;'DB_設定'!$C$4,"対象外",IF($AH1886=20,IF(OR($AJ1886=10,$AJ1886=11,$AJ1886=18),"①病院一般",IF($AJ1886=41,"②病院短期","対象外")),IF($AH1886=5,IF($AJ1886=30,"③特定消防","対象外"),IF(OR($AJ1886=10,$AJ1886=11,$AJ1886=74),"④一般",IF(OR($AJ1886=41,$AJ1886=47),"⑤短期","対象外"))))))</f>
      </c>
    </row>
    <row r="1887">
      <c r="DB1887" s="2909">
        <f>IF($A1887="","",IF($AE1887&amp;""&lt;&gt;'DB_設定'!$C$4,"対象外",IF($AH1887=20,IF(OR($AJ1887=10,$AJ1887=11,$AJ1887=18),"①病院一般",IF($AJ1887=41,"②病院短期","対象外")),IF($AH1887=5,IF($AJ1887=30,"③特定消防","対象外"),IF(OR($AJ1887=10,$AJ1887=11,$AJ1887=74),"④一般",IF(OR($AJ1887=41,$AJ1887=47),"⑤短期","対象外"))))))</f>
      </c>
    </row>
    <row r="1888">
      <c r="DB1888" s="2909">
        <f>IF($A1888="","",IF($AE1888&amp;""&lt;&gt;'DB_設定'!$C$4,"対象外",IF($AH1888=20,IF(OR($AJ1888=10,$AJ1888=11,$AJ1888=18),"①病院一般",IF($AJ1888=41,"②病院短期","対象外")),IF($AH1888=5,IF($AJ1888=30,"③特定消防","対象外"),IF(OR($AJ1888=10,$AJ1888=11,$AJ1888=74),"④一般",IF(OR($AJ1888=41,$AJ1888=47),"⑤短期","対象外"))))))</f>
      </c>
    </row>
    <row r="1889">
      <c r="DB1889" s="2909">
        <f>IF($A1889="","",IF($AE1889&amp;""&lt;&gt;'DB_設定'!$C$4,"対象外",IF($AH1889=20,IF(OR($AJ1889=10,$AJ1889=11,$AJ1889=18),"①病院一般",IF($AJ1889=41,"②病院短期","対象外")),IF($AH1889=5,IF($AJ1889=30,"③特定消防","対象外"),IF(OR($AJ1889=10,$AJ1889=11,$AJ1889=74),"④一般",IF(OR($AJ1889=41,$AJ1889=47),"⑤短期","対象外"))))))</f>
      </c>
    </row>
    <row r="1890">
      <c r="DB1890" s="2909">
        <f>IF($A1890="","",IF($AE1890&amp;""&lt;&gt;'DB_設定'!$C$4,"対象外",IF($AH1890=20,IF(OR($AJ1890=10,$AJ1890=11,$AJ1890=18),"①病院一般",IF($AJ1890=41,"②病院短期","対象外")),IF($AH1890=5,IF($AJ1890=30,"③特定消防","対象外"),IF(OR($AJ1890=10,$AJ1890=11,$AJ1890=74),"④一般",IF(OR($AJ1890=41,$AJ1890=47),"⑤短期","対象外"))))))</f>
      </c>
    </row>
    <row r="1891">
      <c r="DB1891" s="2909">
        <f>IF($A1891="","",IF($AE1891&amp;""&lt;&gt;'DB_設定'!$C$4,"対象外",IF($AH1891=20,IF(OR($AJ1891=10,$AJ1891=11,$AJ1891=18),"①病院一般",IF($AJ1891=41,"②病院短期","対象外")),IF($AH1891=5,IF($AJ1891=30,"③特定消防","対象外"),IF(OR($AJ1891=10,$AJ1891=11,$AJ1891=74),"④一般",IF(OR($AJ1891=41,$AJ1891=47),"⑤短期","対象外"))))))</f>
      </c>
    </row>
    <row r="1892">
      <c r="DB1892" s="2909">
        <f>IF($A1892="","",IF($AE1892&amp;""&lt;&gt;'DB_設定'!$C$4,"対象外",IF($AH1892=20,IF(OR($AJ1892=10,$AJ1892=11,$AJ1892=18),"①病院一般",IF($AJ1892=41,"②病院短期","対象外")),IF($AH1892=5,IF($AJ1892=30,"③特定消防","対象外"),IF(OR($AJ1892=10,$AJ1892=11,$AJ1892=74),"④一般",IF(OR($AJ1892=41,$AJ1892=47),"⑤短期","対象外"))))))</f>
      </c>
    </row>
    <row r="1893">
      <c r="DB1893" s="2909">
        <f>IF($A1893="","",IF($AE1893&amp;""&lt;&gt;'DB_設定'!$C$4,"対象外",IF($AH1893=20,IF(OR($AJ1893=10,$AJ1893=11,$AJ1893=18),"①病院一般",IF($AJ1893=41,"②病院短期","対象外")),IF($AH1893=5,IF($AJ1893=30,"③特定消防","対象外"),IF(OR($AJ1893=10,$AJ1893=11,$AJ1893=74),"④一般",IF(OR($AJ1893=41,$AJ1893=47),"⑤短期","対象外"))))))</f>
      </c>
    </row>
    <row r="1894">
      <c r="DB1894" s="2909">
        <f>IF($A1894="","",IF($AE1894&amp;""&lt;&gt;'DB_設定'!$C$4,"対象外",IF($AH1894=20,IF(OR($AJ1894=10,$AJ1894=11,$AJ1894=18),"①病院一般",IF($AJ1894=41,"②病院短期","対象外")),IF($AH1894=5,IF($AJ1894=30,"③特定消防","対象外"),IF(OR($AJ1894=10,$AJ1894=11,$AJ1894=74),"④一般",IF(OR($AJ1894=41,$AJ1894=47),"⑤短期","対象外"))))))</f>
      </c>
    </row>
    <row r="1895">
      <c r="DB1895" s="2909">
        <f>IF($A1895="","",IF($AE1895&amp;""&lt;&gt;'DB_設定'!$C$4,"対象外",IF($AH1895=20,IF(OR($AJ1895=10,$AJ1895=11,$AJ1895=18),"①病院一般",IF($AJ1895=41,"②病院短期","対象外")),IF($AH1895=5,IF($AJ1895=30,"③特定消防","対象外"),IF(OR($AJ1895=10,$AJ1895=11,$AJ1895=74),"④一般",IF(OR($AJ1895=41,$AJ1895=47),"⑤短期","対象外"))))))</f>
      </c>
    </row>
    <row r="1896">
      <c r="DB1896" s="2909">
        <f>IF($A1896="","",IF($AE1896&amp;""&lt;&gt;'DB_設定'!$C$4,"対象外",IF($AH1896=20,IF(OR($AJ1896=10,$AJ1896=11,$AJ1896=18),"①病院一般",IF($AJ1896=41,"②病院短期","対象外")),IF($AH1896=5,IF($AJ1896=30,"③特定消防","対象外"),IF(OR($AJ1896=10,$AJ1896=11,$AJ1896=74),"④一般",IF(OR($AJ1896=41,$AJ1896=47),"⑤短期","対象外"))))))</f>
      </c>
    </row>
    <row r="1897">
      <c r="DB1897" s="2909">
        <f>IF($A1897="","",IF($AE1897&amp;""&lt;&gt;'DB_設定'!$C$4,"対象外",IF($AH1897=20,IF(OR($AJ1897=10,$AJ1897=11,$AJ1897=18),"①病院一般",IF($AJ1897=41,"②病院短期","対象外")),IF($AH1897=5,IF($AJ1897=30,"③特定消防","対象外"),IF(OR($AJ1897=10,$AJ1897=11,$AJ1897=74),"④一般",IF(OR($AJ1897=41,$AJ1897=47),"⑤短期","対象外"))))))</f>
      </c>
    </row>
    <row r="1898">
      <c r="DB1898" s="2909">
        <f>IF($A1898="","",IF($AE1898&amp;""&lt;&gt;'DB_設定'!$C$4,"対象外",IF($AH1898=20,IF(OR($AJ1898=10,$AJ1898=11,$AJ1898=18),"①病院一般",IF($AJ1898=41,"②病院短期","対象外")),IF($AH1898=5,IF($AJ1898=30,"③特定消防","対象外"),IF(OR($AJ1898=10,$AJ1898=11,$AJ1898=74),"④一般",IF(OR($AJ1898=41,$AJ1898=47),"⑤短期","対象外"))))))</f>
      </c>
    </row>
    <row r="1899">
      <c r="DB1899" s="2909">
        <f>IF($A1899="","",IF($AE1899&amp;""&lt;&gt;'DB_設定'!$C$4,"対象外",IF($AH1899=20,IF(OR($AJ1899=10,$AJ1899=11,$AJ1899=18),"①病院一般",IF($AJ1899=41,"②病院短期","対象外")),IF($AH1899=5,IF($AJ1899=30,"③特定消防","対象外"),IF(OR($AJ1899=10,$AJ1899=11,$AJ1899=74),"④一般",IF(OR($AJ1899=41,$AJ1899=47),"⑤短期","対象外"))))))</f>
      </c>
    </row>
    <row r="1900">
      <c r="DB1900" s="2909">
        <f>IF($A1900="","",IF($AE1900&amp;""&lt;&gt;'DB_設定'!$C$4,"対象外",IF($AH1900=20,IF(OR($AJ1900=10,$AJ1900=11,$AJ1900=18),"①病院一般",IF($AJ1900=41,"②病院短期","対象外")),IF($AH1900=5,IF($AJ1900=30,"③特定消防","対象外"),IF(OR($AJ1900=10,$AJ1900=11,$AJ1900=74),"④一般",IF(OR($AJ1900=41,$AJ1900=47),"⑤短期","対象外"))))))</f>
      </c>
    </row>
    <row r="1901">
      <c r="DB1901" s="2909">
        <f>IF($A1901="","",IF($AE1901&amp;""&lt;&gt;'DB_設定'!$C$4,"対象外",IF($AH1901=20,IF(OR($AJ1901=10,$AJ1901=11,$AJ1901=18),"①病院一般",IF($AJ1901=41,"②病院短期","対象外")),IF($AH1901=5,IF($AJ1901=30,"③特定消防","対象外"),IF(OR($AJ1901=10,$AJ1901=11,$AJ1901=74),"④一般",IF(OR($AJ1901=41,$AJ1901=47),"⑤短期","対象外"))))))</f>
      </c>
    </row>
    <row r="1902">
      <c r="DB1902" s="2909">
        <f>IF($A1902="","",IF($AE1902&amp;""&lt;&gt;'DB_設定'!$C$4,"対象外",IF($AH1902=20,IF(OR($AJ1902=10,$AJ1902=11,$AJ1902=18),"①病院一般",IF($AJ1902=41,"②病院短期","対象外")),IF($AH1902=5,IF($AJ1902=30,"③特定消防","対象外"),IF(OR($AJ1902=10,$AJ1902=11,$AJ1902=74),"④一般",IF(OR($AJ1902=41,$AJ1902=47),"⑤短期","対象外"))))))</f>
      </c>
    </row>
    <row r="1903">
      <c r="DB1903" s="2909">
        <f>IF($A1903="","",IF($AE1903&amp;""&lt;&gt;'DB_設定'!$C$4,"対象外",IF($AH1903=20,IF(OR($AJ1903=10,$AJ1903=11,$AJ1903=18),"①病院一般",IF($AJ1903=41,"②病院短期","対象外")),IF($AH1903=5,IF($AJ1903=30,"③特定消防","対象外"),IF(OR($AJ1903=10,$AJ1903=11,$AJ1903=74),"④一般",IF(OR($AJ1903=41,$AJ1903=47),"⑤短期","対象外"))))))</f>
      </c>
    </row>
    <row r="1904">
      <c r="DB1904" s="2909">
        <f>IF($A1904="","",IF($AE1904&amp;""&lt;&gt;'DB_設定'!$C$4,"対象外",IF($AH1904=20,IF(OR($AJ1904=10,$AJ1904=11,$AJ1904=18),"①病院一般",IF($AJ1904=41,"②病院短期","対象外")),IF($AH1904=5,IF($AJ1904=30,"③特定消防","対象外"),IF(OR($AJ1904=10,$AJ1904=11,$AJ1904=74),"④一般",IF(OR($AJ1904=41,$AJ1904=47),"⑤短期","対象外"))))))</f>
      </c>
    </row>
    <row r="1905">
      <c r="DB1905" s="2909">
        <f>IF($A1905="","",IF($AE1905&amp;""&lt;&gt;'DB_設定'!$C$4,"対象外",IF($AH1905=20,IF(OR($AJ1905=10,$AJ1905=11,$AJ1905=18),"①病院一般",IF($AJ1905=41,"②病院短期","対象外")),IF($AH1905=5,IF($AJ1905=30,"③特定消防","対象外"),IF(OR($AJ1905=10,$AJ1905=11,$AJ1905=74),"④一般",IF(OR($AJ1905=41,$AJ1905=47),"⑤短期","対象外"))))))</f>
      </c>
    </row>
    <row r="1906">
      <c r="DB1906" s="2909">
        <f>IF($A1906="","",IF($AE1906&amp;""&lt;&gt;'DB_設定'!$C$4,"対象外",IF($AH1906=20,IF(OR($AJ1906=10,$AJ1906=11,$AJ1906=18),"①病院一般",IF($AJ1906=41,"②病院短期","対象外")),IF($AH1906=5,IF($AJ1906=30,"③特定消防","対象外"),IF(OR($AJ1906=10,$AJ1906=11,$AJ1906=74),"④一般",IF(OR($AJ1906=41,$AJ1906=47),"⑤短期","対象外"))))))</f>
      </c>
    </row>
    <row r="1907">
      <c r="DB1907" s="2909">
        <f>IF($A1907="","",IF($AE1907&amp;""&lt;&gt;'DB_設定'!$C$4,"対象外",IF($AH1907=20,IF(OR($AJ1907=10,$AJ1907=11,$AJ1907=18),"①病院一般",IF($AJ1907=41,"②病院短期","対象外")),IF($AH1907=5,IF($AJ1907=30,"③特定消防","対象外"),IF(OR($AJ1907=10,$AJ1907=11,$AJ1907=74),"④一般",IF(OR($AJ1907=41,$AJ1907=47),"⑤短期","対象外"))))))</f>
      </c>
    </row>
    <row r="1908">
      <c r="DB1908" s="2909">
        <f>IF($A1908="","",IF($AE1908&amp;""&lt;&gt;'DB_設定'!$C$4,"対象外",IF($AH1908=20,IF(OR($AJ1908=10,$AJ1908=11,$AJ1908=18),"①病院一般",IF($AJ1908=41,"②病院短期","対象外")),IF($AH1908=5,IF($AJ1908=30,"③特定消防","対象外"),IF(OR($AJ1908=10,$AJ1908=11,$AJ1908=74),"④一般",IF(OR($AJ1908=41,$AJ1908=47),"⑤短期","対象外"))))))</f>
      </c>
    </row>
    <row r="1909">
      <c r="DB1909" s="2909">
        <f>IF($A1909="","",IF($AE1909&amp;""&lt;&gt;'DB_設定'!$C$4,"対象外",IF($AH1909=20,IF(OR($AJ1909=10,$AJ1909=11,$AJ1909=18),"①病院一般",IF($AJ1909=41,"②病院短期","対象外")),IF($AH1909=5,IF($AJ1909=30,"③特定消防","対象外"),IF(OR($AJ1909=10,$AJ1909=11,$AJ1909=74),"④一般",IF(OR($AJ1909=41,$AJ1909=47),"⑤短期","対象外"))))))</f>
      </c>
    </row>
    <row r="1910">
      <c r="DB1910" s="2909">
        <f>IF($A1910="","",IF($AE1910&amp;""&lt;&gt;'DB_設定'!$C$4,"対象外",IF($AH1910=20,IF(OR($AJ1910=10,$AJ1910=11,$AJ1910=18),"①病院一般",IF($AJ1910=41,"②病院短期","対象外")),IF($AH1910=5,IF($AJ1910=30,"③特定消防","対象外"),IF(OR($AJ1910=10,$AJ1910=11,$AJ1910=74),"④一般",IF(OR($AJ1910=41,$AJ1910=47),"⑤短期","対象外"))))))</f>
      </c>
    </row>
    <row r="1911">
      <c r="DB1911" s="2909">
        <f>IF($A1911="","",IF($AE1911&amp;""&lt;&gt;'DB_設定'!$C$4,"対象外",IF($AH1911=20,IF(OR($AJ1911=10,$AJ1911=11,$AJ1911=18),"①病院一般",IF($AJ1911=41,"②病院短期","対象外")),IF($AH1911=5,IF($AJ1911=30,"③特定消防","対象外"),IF(OR($AJ1911=10,$AJ1911=11,$AJ1911=74),"④一般",IF(OR($AJ1911=41,$AJ1911=47),"⑤短期","対象外"))))))</f>
      </c>
    </row>
    <row r="1912">
      <c r="DB1912" s="2909">
        <f>IF($A1912="","",IF($AE1912&amp;""&lt;&gt;'DB_設定'!$C$4,"対象外",IF($AH1912=20,IF(OR($AJ1912=10,$AJ1912=11,$AJ1912=18),"①病院一般",IF($AJ1912=41,"②病院短期","対象外")),IF($AH1912=5,IF($AJ1912=30,"③特定消防","対象外"),IF(OR($AJ1912=10,$AJ1912=11,$AJ1912=74),"④一般",IF(OR($AJ1912=41,$AJ1912=47),"⑤短期","対象外"))))))</f>
      </c>
    </row>
    <row r="1913">
      <c r="DB1913" s="2909">
        <f>IF($A1913="","",IF($AE1913&amp;""&lt;&gt;'DB_設定'!$C$4,"対象外",IF($AH1913=20,IF(OR($AJ1913=10,$AJ1913=11,$AJ1913=18),"①病院一般",IF($AJ1913=41,"②病院短期","対象外")),IF($AH1913=5,IF($AJ1913=30,"③特定消防","対象外"),IF(OR($AJ1913=10,$AJ1913=11,$AJ1913=74),"④一般",IF(OR($AJ1913=41,$AJ1913=47),"⑤短期","対象外"))))))</f>
      </c>
    </row>
    <row r="1914">
      <c r="DB1914" s="2909">
        <f>IF($A1914="","",IF($AE1914&amp;""&lt;&gt;'DB_設定'!$C$4,"対象外",IF($AH1914=20,IF(OR($AJ1914=10,$AJ1914=11,$AJ1914=18),"①病院一般",IF($AJ1914=41,"②病院短期","対象外")),IF($AH1914=5,IF($AJ1914=30,"③特定消防","対象外"),IF(OR($AJ1914=10,$AJ1914=11,$AJ1914=74),"④一般",IF(OR($AJ1914=41,$AJ1914=47),"⑤短期","対象外"))))))</f>
      </c>
    </row>
    <row r="1915">
      <c r="DB1915" s="2909">
        <f>IF($A1915="","",IF($AE1915&amp;""&lt;&gt;'DB_設定'!$C$4,"対象外",IF($AH1915=20,IF(OR($AJ1915=10,$AJ1915=11,$AJ1915=18),"①病院一般",IF($AJ1915=41,"②病院短期","対象外")),IF($AH1915=5,IF($AJ1915=30,"③特定消防","対象外"),IF(OR($AJ1915=10,$AJ1915=11,$AJ1915=74),"④一般",IF(OR($AJ1915=41,$AJ1915=47),"⑤短期","対象外"))))))</f>
      </c>
    </row>
    <row r="1916">
      <c r="DB1916" s="2909">
        <f>IF($A1916="","",IF($AE1916&amp;""&lt;&gt;'DB_設定'!$C$4,"対象外",IF($AH1916=20,IF(OR($AJ1916=10,$AJ1916=11,$AJ1916=18),"①病院一般",IF($AJ1916=41,"②病院短期","対象外")),IF($AH1916=5,IF($AJ1916=30,"③特定消防","対象外"),IF(OR($AJ1916=10,$AJ1916=11,$AJ1916=74),"④一般",IF(OR($AJ1916=41,$AJ1916=47),"⑤短期","対象外"))))))</f>
      </c>
    </row>
    <row r="1917">
      <c r="DB1917" s="2909">
        <f>IF($A1917="","",IF($AE1917&amp;""&lt;&gt;'DB_設定'!$C$4,"対象外",IF($AH1917=20,IF(OR($AJ1917=10,$AJ1917=11,$AJ1917=18),"①病院一般",IF($AJ1917=41,"②病院短期","対象外")),IF($AH1917=5,IF($AJ1917=30,"③特定消防","対象外"),IF(OR($AJ1917=10,$AJ1917=11,$AJ1917=74),"④一般",IF(OR($AJ1917=41,$AJ1917=47),"⑤短期","対象外"))))))</f>
      </c>
    </row>
    <row r="1918">
      <c r="DB1918" s="2909">
        <f>IF($A1918="","",IF($AE1918&amp;""&lt;&gt;'DB_設定'!$C$4,"対象外",IF($AH1918=20,IF(OR($AJ1918=10,$AJ1918=11,$AJ1918=18),"①病院一般",IF($AJ1918=41,"②病院短期","対象外")),IF($AH1918=5,IF($AJ1918=30,"③特定消防","対象外"),IF(OR($AJ1918=10,$AJ1918=11,$AJ1918=74),"④一般",IF(OR($AJ1918=41,$AJ1918=47),"⑤短期","対象外"))))))</f>
      </c>
    </row>
    <row r="1919">
      <c r="DB1919" s="2909">
        <f>IF($A1919="","",IF($AE1919&amp;""&lt;&gt;'DB_設定'!$C$4,"対象外",IF($AH1919=20,IF(OR($AJ1919=10,$AJ1919=11,$AJ1919=18),"①病院一般",IF($AJ1919=41,"②病院短期","対象外")),IF($AH1919=5,IF($AJ1919=30,"③特定消防","対象外"),IF(OR($AJ1919=10,$AJ1919=11,$AJ1919=74),"④一般",IF(OR($AJ1919=41,$AJ1919=47),"⑤短期","対象外"))))))</f>
      </c>
    </row>
    <row r="1920">
      <c r="DB1920" s="2909">
        <f>IF($A1920="","",IF($AE1920&amp;""&lt;&gt;'DB_設定'!$C$4,"対象外",IF($AH1920=20,IF(OR($AJ1920=10,$AJ1920=11,$AJ1920=18),"①病院一般",IF($AJ1920=41,"②病院短期","対象外")),IF($AH1920=5,IF($AJ1920=30,"③特定消防","対象外"),IF(OR($AJ1920=10,$AJ1920=11,$AJ1920=74),"④一般",IF(OR($AJ1920=41,$AJ1920=47),"⑤短期","対象外"))))))</f>
      </c>
    </row>
    <row r="1921">
      <c r="DB1921" s="2909">
        <f>IF($A1921="","",IF($AE1921&amp;""&lt;&gt;'DB_設定'!$C$4,"対象外",IF($AH1921=20,IF(OR($AJ1921=10,$AJ1921=11,$AJ1921=18),"①病院一般",IF($AJ1921=41,"②病院短期","対象外")),IF($AH1921=5,IF($AJ1921=30,"③特定消防","対象外"),IF(OR($AJ1921=10,$AJ1921=11,$AJ1921=74),"④一般",IF(OR($AJ1921=41,$AJ1921=47),"⑤短期","対象外"))))))</f>
      </c>
    </row>
    <row r="1922">
      <c r="DB1922" s="2909">
        <f>IF($A1922="","",IF($AE1922&amp;""&lt;&gt;'DB_設定'!$C$4,"対象外",IF($AH1922=20,IF(OR($AJ1922=10,$AJ1922=11,$AJ1922=18),"①病院一般",IF($AJ1922=41,"②病院短期","対象外")),IF($AH1922=5,IF($AJ1922=30,"③特定消防","対象外"),IF(OR($AJ1922=10,$AJ1922=11,$AJ1922=74),"④一般",IF(OR($AJ1922=41,$AJ1922=47),"⑤短期","対象外"))))))</f>
      </c>
    </row>
    <row r="1923">
      <c r="DB1923" s="2909">
        <f>IF($A1923="","",IF($AE1923&amp;""&lt;&gt;'DB_設定'!$C$4,"対象外",IF($AH1923=20,IF(OR($AJ1923=10,$AJ1923=11,$AJ1923=18),"①病院一般",IF($AJ1923=41,"②病院短期","対象外")),IF($AH1923=5,IF($AJ1923=30,"③特定消防","対象外"),IF(OR($AJ1923=10,$AJ1923=11,$AJ1923=74),"④一般",IF(OR($AJ1923=41,$AJ1923=47),"⑤短期","対象外"))))))</f>
      </c>
    </row>
    <row r="1924">
      <c r="DB1924" s="2909">
        <f>IF($A1924="","",IF($AE1924&amp;""&lt;&gt;'DB_設定'!$C$4,"対象外",IF($AH1924=20,IF(OR($AJ1924=10,$AJ1924=11,$AJ1924=18),"①病院一般",IF($AJ1924=41,"②病院短期","対象外")),IF($AH1924=5,IF($AJ1924=30,"③特定消防","対象外"),IF(OR($AJ1924=10,$AJ1924=11,$AJ1924=74),"④一般",IF(OR($AJ1924=41,$AJ1924=47),"⑤短期","対象外"))))))</f>
      </c>
    </row>
    <row r="1925">
      <c r="DB1925" s="2909">
        <f>IF($A1925="","",IF($AE1925&amp;""&lt;&gt;'DB_設定'!$C$4,"対象外",IF($AH1925=20,IF(OR($AJ1925=10,$AJ1925=11,$AJ1925=18),"①病院一般",IF($AJ1925=41,"②病院短期","対象外")),IF($AH1925=5,IF($AJ1925=30,"③特定消防","対象外"),IF(OR($AJ1925=10,$AJ1925=11,$AJ1925=74),"④一般",IF(OR($AJ1925=41,$AJ1925=47),"⑤短期","対象外"))))))</f>
      </c>
    </row>
    <row r="1926">
      <c r="DB1926" s="2909">
        <f>IF($A1926="","",IF($AE1926&amp;""&lt;&gt;'DB_設定'!$C$4,"対象外",IF($AH1926=20,IF(OR($AJ1926=10,$AJ1926=11,$AJ1926=18),"①病院一般",IF($AJ1926=41,"②病院短期","対象外")),IF($AH1926=5,IF($AJ1926=30,"③特定消防","対象外"),IF(OR($AJ1926=10,$AJ1926=11,$AJ1926=74),"④一般",IF(OR($AJ1926=41,$AJ1926=47),"⑤短期","対象外"))))))</f>
      </c>
    </row>
    <row r="1927">
      <c r="DB1927" s="2909">
        <f>IF($A1927="","",IF($AE1927&amp;""&lt;&gt;'DB_設定'!$C$4,"対象外",IF($AH1927=20,IF(OR($AJ1927=10,$AJ1927=11,$AJ1927=18),"①病院一般",IF($AJ1927=41,"②病院短期","対象外")),IF($AH1927=5,IF($AJ1927=30,"③特定消防","対象外"),IF(OR($AJ1927=10,$AJ1927=11,$AJ1927=74),"④一般",IF(OR($AJ1927=41,$AJ1927=47),"⑤短期","対象外"))))))</f>
      </c>
    </row>
    <row r="1928">
      <c r="DB1928" s="2909">
        <f>IF($A1928="","",IF($AE1928&amp;""&lt;&gt;'DB_設定'!$C$4,"対象外",IF($AH1928=20,IF(OR($AJ1928=10,$AJ1928=11,$AJ1928=18),"①病院一般",IF($AJ1928=41,"②病院短期","対象外")),IF($AH1928=5,IF($AJ1928=30,"③特定消防","対象外"),IF(OR($AJ1928=10,$AJ1928=11,$AJ1928=74),"④一般",IF(OR($AJ1928=41,$AJ1928=47),"⑤短期","対象外"))))))</f>
      </c>
    </row>
    <row r="1929">
      <c r="DB1929" s="2909">
        <f>IF($A1929="","",IF($AE1929&amp;""&lt;&gt;'DB_設定'!$C$4,"対象外",IF($AH1929=20,IF(OR($AJ1929=10,$AJ1929=11,$AJ1929=18),"①病院一般",IF($AJ1929=41,"②病院短期","対象外")),IF($AH1929=5,IF($AJ1929=30,"③特定消防","対象外"),IF(OR($AJ1929=10,$AJ1929=11,$AJ1929=74),"④一般",IF(OR($AJ1929=41,$AJ1929=47),"⑤短期","対象外"))))))</f>
      </c>
    </row>
    <row r="1930">
      <c r="DB1930" s="2909">
        <f>IF($A1930="","",IF($AE1930&amp;""&lt;&gt;'DB_設定'!$C$4,"対象外",IF($AH1930=20,IF(OR($AJ1930=10,$AJ1930=11,$AJ1930=18),"①病院一般",IF($AJ1930=41,"②病院短期","対象外")),IF($AH1930=5,IF($AJ1930=30,"③特定消防","対象外"),IF(OR($AJ1930=10,$AJ1930=11,$AJ1930=74),"④一般",IF(OR($AJ1930=41,$AJ1930=47),"⑤短期","対象外"))))))</f>
      </c>
    </row>
    <row r="1931">
      <c r="DB1931" s="2909">
        <f>IF($A1931="","",IF($AE1931&amp;""&lt;&gt;'DB_設定'!$C$4,"対象外",IF($AH1931=20,IF(OR($AJ1931=10,$AJ1931=11,$AJ1931=18),"①病院一般",IF($AJ1931=41,"②病院短期","対象外")),IF($AH1931=5,IF($AJ1931=30,"③特定消防","対象外"),IF(OR($AJ1931=10,$AJ1931=11,$AJ1931=74),"④一般",IF(OR($AJ1931=41,$AJ1931=47),"⑤短期","対象外"))))))</f>
      </c>
    </row>
    <row r="1932">
      <c r="DB1932" s="2909">
        <f>IF($A1932="","",IF($AE1932&amp;""&lt;&gt;'DB_設定'!$C$4,"対象外",IF($AH1932=20,IF(OR($AJ1932=10,$AJ1932=11,$AJ1932=18),"①病院一般",IF($AJ1932=41,"②病院短期","対象外")),IF($AH1932=5,IF($AJ1932=30,"③特定消防","対象外"),IF(OR($AJ1932=10,$AJ1932=11,$AJ1932=74),"④一般",IF(OR($AJ1932=41,$AJ1932=47),"⑤短期","対象外"))))))</f>
      </c>
    </row>
    <row r="1933">
      <c r="DB1933" s="2909">
        <f>IF($A1933="","",IF($AE1933&amp;""&lt;&gt;'DB_設定'!$C$4,"対象外",IF($AH1933=20,IF(OR($AJ1933=10,$AJ1933=11,$AJ1933=18),"①病院一般",IF($AJ1933=41,"②病院短期","対象外")),IF($AH1933=5,IF($AJ1933=30,"③特定消防","対象外"),IF(OR($AJ1933=10,$AJ1933=11,$AJ1933=74),"④一般",IF(OR($AJ1933=41,$AJ1933=47),"⑤短期","対象外"))))))</f>
      </c>
    </row>
    <row r="1934">
      <c r="DB1934" s="2909">
        <f>IF($A1934="","",IF($AE1934&amp;""&lt;&gt;'DB_設定'!$C$4,"対象外",IF($AH1934=20,IF(OR($AJ1934=10,$AJ1934=11,$AJ1934=18),"①病院一般",IF($AJ1934=41,"②病院短期","対象外")),IF($AH1934=5,IF($AJ1934=30,"③特定消防","対象外"),IF(OR($AJ1934=10,$AJ1934=11,$AJ1934=74),"④一般",IF(OR($AJ1934=41,$AJ1934=47),"⑤短期","対象外"))))))</f>
      </c>
    </row>
    <row r="1935">
      <c r="DB1935" s="2909">
        <f>IF($A1935="","",IF($AE1935&amp;""&lt;&gt;'DB_設定'!$C$4,"対象外",IF($AH1935=20,IF(OR($AJ1935=10,$AJ1935=11,$AJ1935=18),"①病院一般",IF($AJ1935=41,"②病院短期","対象外")),IF($AH1935=5,IF($AJ1935=30,"③特定消防","対象外"),IF(OR($AJ1935=10,$AJ1935=11,$AJ1935=74),"④一般",IF(OR($AJ1935=41,$AJ1935=47),"⑤短期","対象外"))))))</f>
      </c>
    </row>
    <row r="1936">
      <c r="DB1936" s="2909">
        <f>IF($A1936="","",IF($AE1936&amp;""&lt;&gt;'DB_設定'!$C$4,"対象外",IF($AH1936=20,IF(OR($AJ1936=10,$AJ1936=11,$AJ1936=18),"①病院一般",IF($AJ1936=41,"②病院短期","対象外")),IF($AH1936=5,IF($AJ1936=30,"③特定消防","対象外"),IF(OR($AJ1936=10,$AJ1936=11,$AJ1936=74),"④一般",IF(OR($AJ1936=41,$AJ1936=47),"⑤短期","対象外"))))))</f>
      </c>
    </row>
    <row r="1937">
      <c r="DB1937" s="2909">
        <f>IF($A1937="","",IF($AE1937&amp;""&lt;&gt;'DB_設定'!$C$4,"対象外",IF($AH1937=20,IF(OR($AJ1937=10,$AJ1937=11,$AJ1937=18),"①病院一般",IF($AJ1937=41,"②病院短期","対象外")),IF($AH1937=5,IF($AJ1937=30,"③特定消防","対象外"),IF(OR($AJ1937=10,$AJ1937=11,$AJ1937=74),"④一般",IF(OR($AJ1937=41,$AJ1937=47),"⑤短期","対象外"))))))</f>
      </c>
    </row>
    <row r="1938">
      <c r="DB1938" s="2909">
        <f>IF($A1938="","",IF($AE1938&amp;""&lt;&gt;'DB_設定'!$C$4,"対象外",IF($AH1938=20,IF(OR($AJ1938=10,$AJ1938=11,$AJ1938=18),"①病院一般",IF($AJ1938=41,"②病院短期","対象外")),IF($AH1938=5,IF($AJ1938=30,"③特定消防","対象外"),IF(OR($AJ1938=10,$AJ1938=11,$AJ1938=74),"④一般",IF(OR($AJ1938=41,$AJ1938=47),"⑤短期","対象外"))))))</f>
      </c>
    </row>
    <row r="1939">
      <c r="DB1939" s="2909">
        <f>IF($A1939="","",IF($AE1939&amp;""&lt;&gt;'DB_設定'!$C$4,"対象外",IF($AH1939=20,IF(OR($AJ1939=10,$AJ1939=11,$AJ1939=18),"①病院一般",IF($AJ1939=41,"②病院短期","対象外")),IF($AH1939=5,IF($AJ1939=30,"③特定消防","対象外"),IF(OR($AJ1939=10,$AJ1939=11,$AJ1939=74),"④一般",IF(OR($AJ1939=41,$AJ1939=47),"⑤短期","対象外"))))))</f>
      </c>
    </row>
    <row r="1940">
      <c r="DB1940" s="2909">
        <f>IF($A1940="","",IF($AE1940&amp;""&lt;&gt;'DB_設定'!$C$4,"対象外",IF($AH1940=20,IF(OR($AJ1940=10,$AJ1940=11,$AJ1940=18),"①病院一般",IF($AJ1940=41,"②病院短期","対象外")),IF($AH1940=5,IF($AJ1940=30,"③特定消防","対象外"),IF(OR($AJ1940=10,$AJ1940=11,$AJ1940=74),"④一般",IF(OR($AJ1940=41,$AJ1940=47),"⑤短期","対象外"))))))</f>
      </c>
    </row>
    <row r="1941">
      <c r="DB1941" s="2909">
        <f>IF($A1941="","",IF($AE1941&amp;""&lt;&gt;'DB_設定'!$C$4,"対象外",IF($AH1941=20,IF(OR($AJ1941=10,$AJ1941=11,$AJ1941=18),"①病院一般",IF($AJ1941=41,"②病院短期","対象外")),IF($AH1941=5,IF($AJ1941=30,"③特定消防","対象外"),IF(OR($AJ1941=10,$AJ1941=11,$AJ1941=74),"④一般",IF(OR($AJ1941=41,$AJ1941=47),"⑤短期","対象外"))))))</f>
      </c>
    </row>
    <row r="1942">
      <c r="DB1942" s="2909">
        <f>IF($A1942="","",IF($AE1942&amp;""&lt;&gt;'DB_設定'!$C$4,"対象外",IF($AH1942=20,IF(OR($AJ1942=10,$AJ1942=11,$AJ1942=18),"①病院一般",IF($AJ1942=41,"②病院短期","対象外")),IF($AH1942=5,IF($AJ1942=30,"③特定消防","対象外"),IF(OR($AJ1942=10,$AJ1942=11,$AJ1942=74),"④一般",IF(OR($AJ1942=41,$AJ1942=47),"⑤短期","対象外"))))))</f>
      </c>
    </row>
    <row r="1943">
      <c r="DB1943" s="2909">
        <f>IF($A1943="","",IF($AE1943&amp;""&lt;&gt;'DB_設定'!$C$4,"対象外",IF($AH1943=20,IF(OR($AJ1943=10,$AJ1943=11,$AJ1943=18),"①病院一般",IF($AJ1943=41,"②病院短期","対象外")),IF($AH1943=5,IF($AJ1943=30,"③特定消防","対象外"),IF(OR($AJ1943=10,$AJ1943=11,$AJ1943=74),"④一般",IF(OR($AJ1943=41,$AJ1943=47),"⑤短期","対象外"))))))</f>
      </c>
    </row>
    <row r="1944">
      <c r="DB1944" s="2909">
        <f>IF($A1944="","",IF($AE1944&amp;""&lt;&gt;'DB_設定'!$C$4,"対象外",IF($AH1944=20,IF(OR($AJ1944=10,$AJ1944=11,$AJ1944=18),"①病院一般",IF($AJ1944=41,"②病院短期","対象外")),IF($AH1944=5,IF($AJ1944=30,"③特定消防","対象外"),IF(OR($AJ1944=10,$AJ1944=11,$AJ1944=74),"④一般",IF(OR($AJ1944=41,$AJ1944=47),"⑤短期","対象外"))))))</f>
      </c>
    </row>
    <row r="1945">
      <c r="DB1945" s="2909">
        <f>IF($A1945="","",IF($AE1945&amp;""&lt;&gt;'DB_設定'!$C$4,"対象外",IF($AH1945=20,IF(OR($AJ1945=10,$AJ1945=11,$AJ1945=18),"①病院一般",IF($AJ1945=41,"②病院短期","対象外")),IF($AH1945=5,IF($AJ1945=30,"③特定消防","対象外"),IF(OR($AJ1945=10,$AJ1945=11,$AJ1945=74),"④一般",IF(OR($AJ1945=41,$AJ1945=47),"⑤短期","対象外"))))))</f>
      </c>
    </row>
    <row r="1946">
      <c r="DB1946" s="2909">
        <f>IF($A1946="","",IF($AE1946&amp;""&lt;&gt;'DB_設定'!$C$4,"対象外",IF($AH1946=20,IF(OR($AJ1946=10,$AJ1946=11,$AJ1946=18),"①病院一般",IF($AJ1946=41,"②病院短期","対象外")),IF($AH1946=5,IF($AJ1946=30,"③特定消防","対象外"),IF(OR($AJ1946=10,$AJ1946=11,$AJ1946=74),"④一般",IF(OR($AJ1946=41,$AJ1946=47),"⑤短期","対象外"))))))</f>
      </c>
    </row>
    <row r="1947">
      <c r="DB1947" s="2909">
        <f>IF($A1947="","",IF($AE1947&amp;""&lt;&gt;'DB_設定'!$C$4,"対象外",IF($AH1947=20,IF(OR($AJ1947=10,$AJ1947=11,$AJ1947=18),"①病院一般",IF($AJ1947=41,"②病院短期","対象外")),IF($AH1947=5,IF($AJ1947=30,"③特定消防","対象外"),IF(OR($AJ1947=10,$AJ1947=11,$AJ1947=74),"④一般",IF(OR($AJ1947=41,$AJ1947=47),"⑤短期","対象外"))))))</f>
      </c>
    </row>
    <row r="1948">
      <c r="DB1948" s="2909">
        <f>IF($A1948="","",IF($AE1948&amp;""&lt;&gt;'DB_設定'!$C$4,"対象外",IF($AH1948=20,IF(OR($AJ1948=10,$AJ1948=11,$AJ1948=18),"①病院一般",IF($AJ1948=41,"②病院短期","対象外")),IF($AH1948=5,IF($AJ1948=30,"③特定消防","対象外"),IF(OR($AJ1948=10,$AJ1948=11,$AJ1948=74),"④一般",IF(OR($AJ1948=41,$AJ1948=47),"⑤短期","対象外"))))))</f>
      </c>
    </row>
    <row r="1949">
      <c r="DB1949" s="2909">
        <f>IF($A1949="","",IF($AE1949&amp;""&lt;&gt;'DB_設定'!$C$4,"対象外",IF($AH1949=20,IF(OR($AJ1949=10,$AJ1949=11,$AJ1949=18),"①病院一般",IF($AJ1949=41,"②病院短期","対象外")),IF($AH1949=5,IF($AJ1949=30,"③特定消防","対象外"),IF(OR($AJ1949=10,$AJ1949=11,$AJ1949=74),"④一般",IF(OR($AJ1949=41,$AJ1949=47),"⑤短期","対象外"))))))</f>
      </c>
    </row>
    <row r="1950">
      <c r="DB1950" s="2909">
        <f>IF($A1950="","",IF($AE1950&amp;""&lt;&gt;'DB_設定'!$C$4,"対象外",IF($AH1950=20,IF(OR($AJ1950=10,$AJ1950=11,$AJ1950=18),"①病院一般",IF($AJ1950=41,"②病院短期","対象外")),IF($AH1950=5,IF($AJ1950=30,"③特定消防","対象外"),IF(OR($AJ1950=10,$AJ1950=11,$AJ1950=74),"④一般",IF(OR($AJ1950=41,$AJ1950=47),"⑤短期","対象外"))))))</f>
      </c>
    </row>
    <row r="1951">
      <c r="DB1951" s="2909">
        <f>IF($A1951="","",IF($AE1951&amp;""&lt;&gt;'DB_設定'!$C$4,"対象外",IF($AH1951=20,IF(OR($AJ1951=10,$AJ1951=11,$AJ1951=18),"①病院一般",IF($AJ1951=41,"②病院短期","対象外")),IF($AH1951=5,IF($AJ1951=30,"③特定消防","対象外"),IF(OR($AJ1951=10,$AJ1951=11,$AJ1951=74),"④一般",IF(OR($AJ1951=41,$AJ1951=47),"⑤短期","対象外"))))))</f>
      </c>
    </row>
    <row r="1952">
      <c r="DB1952" s="2909">
        <f>IF($A1952="","",IF($AE1952&amp;""&lt;&gt;'DB_設定'!$C$4,"対象外",IF($AH1952=20,IF(OR($AJ1952=10,$AJ1952=11,$AJ1952=18),"①病院一般",IF($AJ1952=41,"②病院短期","対象外")),IF($AH1952=5,IF($AJ1952=30,"③特定消防","対象外"),IF(OR($AJ1952=10,$AJ1952=11,$AJ1952=74),"④一般",IF(OR($AJ1952=41,$AJ1952=47),"⑤短期","対象外"))))))</f>
      </c>
    </row>
    <row r="1953">
      <c r="DB1953" s="2909">
        <f>IF($A1953="","",IF($AE1953&amp;""&lt;&gt;'DB_設定'!$C$4,"対象外",IF($AH1953=20,IF(OR($AJ1953=10,$AJ1953=11,$AJ1953=18),"①病院一般",IF($AJ1953=41,"②病院短期","対象外")),IF($AH1953=5,IF($AJ1953=30,"③特定消防","対象外"),IF(OR($AJ1953=10,$AJ1953=11,$AJ1953=74),"④一般",IF(OR($AJ1953=41,$AJ1953=47),"⑤短期","対象外"))))))</f>
      </c>
    </row>
    <row r="1954">
      <c r="DB1954" s="2909">
        <f>IF($A1954="","",IF($AE1954&amp;""&lt;&gt;'DB_設定'!$C$4,"対象外",IF($AH1954=20,IF(OR($AJ1954=10,$AJ1954=11,$AJ1954=18),"①病院一般",IF($AJ1954=41,"②病院短期","対象外")),IF($AH1954=5,IF($AJ1954=30,"③特定消防","対象外"),IF(OR($AJ1954=10,$AJ1954=11,$AJ1954=74),"④一般",IF(OR($AJ1954=41,$AJ1954=47),"⑤短期","対象外"))))))</f>
      </c>
    </row>
    <row r="1955">
      <c r="DB1955" s="2909">
        <f>IF($A1955="","",IF($AE1955&amp;""&lt;&gt;'DB_設定'!$C$4,"対象外",IF($AH1955=20,IF(OR($AJ1955=10,$AJ1955=11,$AJ1955=18),"①病院一般",IF($AJ1955=41,"②病院短期","対象外")),IF($AH1955=5,IF($AJ1955=30,"③特定消防","対象外"),IF(OR($AJ1955=10,$AJ1955=11,$AJ1955=74),"④一般",IF(OR($AJ1955=41,$AJ1955=47),"⑤短期","対象外"))))))</f>
      </c>
    </row>
    <row r="1956">
      <c r="DB1956" s="2909">
        <f>IF($A1956="","",IF($AE1956&amp;""&lt;&gt;'DB_設定'!$C$4,"対象外",IF($AH1956=20,IF(OR($AJ1956=10,$AJ1956=11,$AJ1956=18),"①病院一般",IF($AJ1956=41,"②病院短期","対象外")),IF($AH1956=5,IF($AJ1956=30,"③特定消防","対象外"),IF(OR($AJ1956=10,$AJ1956=11,$AJ1956=74),"④一般",IF(OR($AJ1956=41,$AJ1956=47),"⑤短期","対象外"))))))</f>
      </c>
    </row>
    <row r="1957">
      <c r="DB1957" s="2909">
        <f>IF($A1957="","",IF($AE1957&amp;""&lt;&gt;'DB_設定'!$C$4,"対象外",IF($AH1957=20,IF(OR($AJ1957=10,$AJ1957=11,$AJ1957=18),"①病院一般",IF($AJ1957=41,"②病院短期","対象外")),IF($AH1957=5,IF($AJ1957=30,"③特定消防","対象外"),IF(OR($AJ1957=10,$AJ1957=11,$AJ1957=74),"④一般",IF(OR($AJ1957=41,$AJ1957=47),"⑤短期","対象外"))))))</f>
      </c>
    </row>
    <row r="1958">
      <c r="DB1958" s="2909">
        <f>IF($A1958="","",IF($AE1958&amp;""&lt;&gt;'DB_設定'!$C$4,"対象外",IF($AH1958=20,IF(OR($AJ1958=10,$AJ1958=11,$AJ1958=18),"①病院一般",IF($AJ1958=41,"②病院短期","対象外")),IF($AH1958=5,IF($AJ1958=30,"③特定消防","対象外"),IF(OR($AJ1958=10,$AJ1958=11,$AJ1958=74),"④一般",IF(OR($AJ1958=41,$AJ1958=47),"⑤短期","対象外"))))))</f>
      </c>
    </row>
    <row r="1959">
      <c r="DB1959" s="2909">
        <f>IF($A1959="","",IF($AE1959&amp;""&lt;&gt;'DB_設定'!$C$4,"対象外",IF($AH1959=20,IF(OR($AJ1959=10,$AJ1959=11,$AJ1959=18),"①病院一般",IF($AJ1959=41,"②病院短期","対象外")),IF($AH1959=5,IF($AJ1959=30,"③特定消防","対象外"),IF(OR($AJ1959=10,$AJ1959=11,$AJ1959=74),"④一般",IF(OR($AJ1959=41,$AJ1959=47),"⑤短期","対象外"))))))</f>
      </c>
    </row>
    <row r="1960">
      <c r="DB1960" s="2909">
        <f>IF($A1960="","",IF($AE1960&amp;""&lt;&gt;'DB_設定'!$C$4,"対象外",IF($AH1960=20,IF(OR($AJ1960=10,$AJ1960=11,$AJ1960=18),"①病院一般",IF($AJ1960=41,"②病院短期","対象外")),IF($AH1960=5,IF($AJ1960=30,"③特定消防","対象外"),IF(OR($AJ1960=10,$AJ1960=11,$AJ1960=74),"④一般",IF(OR($AJ1960=41,$AJ1960=47),"⑤短期","対象外"))))))</f>
      </c>
    </row>
    <row r="1961">
      <c r="DB1961" s="2909">
        <f>IF($A1961="","",IF($AE1961&amp;""&lt;&gt;'DB_設定'!$C$4,"対象外",IF($AH1961=20,IF(OR($AJ1961=10,$AJ1961=11,$AJ1961=18),"①病院一般",IF($AJ1961=41,"②病院短期","対象外")),IF($AH1961=5,IF($AJ1961=30,"③特定消防","対象外"),IF(OR($AJ1961=10,$AJ1961=11,$AJ1961=74),"④一般",IF(OR($AJ1961=41,$AJ1961=47),"⑤短期","対象外"))))))</f>
      </c>
    </row>
    <row r="1962">
      <c r="DB1962" s="2909">
        <f>IF($A1962="","",IF($AE1962&amp;""&lt;&gt;'DB_設定'!$C$4,"対象外",IF($AH1962=20,IF(OR($AJ1962=10,$AJ1962=11,$AJ1962=18),"①病院一般",IF($AJ1962=41,"②病院短期","対象外")),IF($AH1962=5,IF($AJ1962=30,"③特定消防","対象外"),IF(OR($AJ1962=10,$AJ1962=11,$AJ1962=74),"④一般",IF(OR($AJ1962=41,$AJ1962=47),"⑤短期","対象外"))))))</f>
      </c>
    </row>
    <row r="1963">
      <c r="DB1963" s="2909">
        <f>IF($A1963="","",IF($AE1963&amp;""&lt;&gt;'DB_設定'!$C$4,"対象外",IF($AH1963=20,IF(OR($AJ1963=10,$AJ1963=11,$AJ1963=18),"①病院一般",IF($AJ1963=41,"②病院短期","対象外")),IF($AH1963=5,IF($AJ1963=30,"③特定消防","対象外"),IF(OR($AJ1963=10,$AJ1963=11,$AJ1963=74),"④一般",IF(OR($AJ1963=41,$AJ1963=47),"⑤短期","対象外"))))))</f>
      </c>
    </row>
    <row r="1964">
      <c r="DB1964" s="2909">
        <f>IF($A1964="","",IF($AE1964&amp;""&lt;&gt;'DB_設定'!$C$4,"対象外",IF($AH1964=20,IF(OR($AJ1964=10,$AJ1964=11,$AJ1964=18),"①病院一般",IF($AJ1964=41,"②病院短期","対象外")),IF($AH1964=5,IF($AJ1964=30,"③特定消防","対象外"),IF(OR($AJ1964=10,$AJ1964=11,$AJ1964=74),"④一般",IF(OR($AJ1964=41,$AJ1964=47),"⑤短期","対象外"))))))</f>
      </c>
    </row>
    <row r="1965">
      <c r="DB1965" s="2909">
        <f>IF($A1965="","",IF($AE1965&amp;""&lt;&gt;'DB_設定'!$C$4,"対象外",IF($AH1965=20,IF(OR($AJ1965=10,$AJ1965=11,$AJ1965=18),"①病院一般",IF($AJ1965=41,"②病院短期","対象外")),IF($AH1965=5,IF($AJ1965=30,"③特定消防","対象外"),IF(OR($AJ1965=10,$AJ1965=11,$AJ1965=74),"④一般",IF(OR($AJ1965=41,$AJ1965=47),"⑤短期","対象外"))))))</f>
      </c>
    </row>
    <row r="1966">
      <c r="DB1966" s="2909">
        <f>IF($A1966="","",IF($AE1966&amp;""&lt;&gt;'DB_設定'!$C$4,"対象外",IF($AH1966=20,IF(OR($AJ1966=10,$AJ1966=11,$AJ1966=18),"①病院一般",IF($AJ1966=41,"②病院短期","対象外")),IF($AH1966=5,IF($AJ1966=30,"③特定消防","対象外"),IF(OR($AJ1966=10,$AJ1966=11,$AJ1966=74),"④一般",IF(OR($AJ1966=41,$AJ1966=47),"⑤短期","対象外"))))))</f>
      </c>
    </row>
    <row r="1967">
      <c r="DB1967" s="2909">
        <f>IF($A1967="","",IF($AE1967&amp;""&lt;&gt;'DB_設定'!$C$4,"対象外",IF($AH1967=20,IF(OR($AJ1967=10,$AJ1967=11,$AJ1967=18),"①病院一般",IF($AJ1967=41,"②病院短期","対象外")),IF($AH1967=5,IF($AJ1967=30,"③特定消防","対象外"),IF(OR($AJ1967=10,$AJ1967=11,$AJ1967=74),"④一般",IF(OR($AJ1967=41,$AJ1967=47),"⑤短期","対象外"))))))</f>
      </c>
    </row>
    <row r="1968">
      <c r="DB1968" s="2909">
        <f>IF($A1968="","",IF($AE1968&amp;""&lt;&gt;'DB_設定'!$C$4,"対象外",IF($AH1968=20,IF(OR($AJ1968=10,$AJ1968=11,$AJ1968=18),"①病院一般",IF($AJ1968=41,"②病院短期","対象外")),IF($AH1968=5,IF($AJ1968=30,"③特定消防","対象外"),IF(OR($AJ1968=10,$AJ1968=11,$AJ1968=74),"④一般",IF(OR($AJ1968=41,$AJ1968=47),"⑤短期","対象外"))))))</f>
      </c>
    </row>
    <row r="1969">
      <c r="DB1969" s="2909">
        <f>IF($A1969="","",IF($AE1969&amp;""&lt;&gt;'DB_設定'!$C$4,"対象外",IF($AH1969=20,IF(OR($AJ1969=10,$AJ1969=11,$AJ1969=18),"①病院一般",IF($AJ1969=41,"②病院短期","対象外")),IF($AH1969=5,IF($AJ1969=30,"③特定消防","対象外"),IF(OR($AJ1969=10,$AJ1969=11,$AJ1969=74),"④一般",IF(OR($AJ1969=41,$AJ1969=47),"⑤短期","対象外"))))))</f>
      </c>
    </row>
    <row r="1970">
      <c r="DB1970" s="2909">
        <f>IF($A1970="","",IF($AE1970&amp;""&lt;&gt;'DB_設定'!$C$4,"対象外",IF($AH1970=20,IF(OR($AJ1970=10,$AJ1970=11,$AJ1970=18),"①病院一般",IF($AJ1970=41,"②病院短期","対象外")),IF($AH1970=5,IF($AJ1970=30,"③特定消防","対象外"),IF(OR($AJ1970=10,$AJ1970=11,$AJ1970=74),"④一般",IF(OR($AJ1970=41,$AJ1970=47),"⑤短期","対象外"))))))</f>
      </c>
    </row>
    <row r="1971">
      <c r="DB1971" s="2909">
        <f>IF($A1971="","",IF($AE1971&amp;""&lt;&gt;'DB_設定'!$C$4,"対象外",IF($AH1971=20,IF(OR($AJ1971=10,$AJ1971=11,$AJ1971=18),"①病院一般",IF($AJ1971=41,"②病院短期","対象外")),IF($AH1971=5,IF($AJ1971=30,"③特定消防","対象外"),IF(OR($AJ1971=10,$AJ1971=11,$AJ1971=74),"④一般",IF(OR($AJ1971=41,$AJ1971=47),"⑤短期","対象外"))))))</f>
      </c>
    </row>
    <row r="1972">
      <c r="DB1972" s="2909">
        <f>IF($A1972="","",IF($AE1972&amp;""&lt;&gt;'DB_設定'!$C$4,"対象外",IF($AH1972=20,IF(OR($AJ1972=10,$AJ1972=11,$AJ1972=18),"①病院一般",IF($AJ1972=41,"②病院短期","対象外")),IF($AH1972=5,IF($AJ1972=30,"③特定消防","対象外"),IF(OR($AJ1972=10,$AJ1972=11,$AJ1972=74),"④一般",IF(OR($AJ1972=41,$AJ1972=47),"⑤短期","対象外"))))))</f>
      </c>
    </row>
    <row r="1973">
      <c r="DB1973" s="2909">
        <f>IF($A1973="","",IF($AE1973&amp;""&lt;&gt;'DB_設定'!$C$4,"対象外",IF($AH1973=20,IF(OR($AJ1973=10,$AJ1973=11,$AJ1973=18),"①病院一般",IF($AJ1973=41,"②病院短期","対象外")),IF($AH1973=5,IF($AJ1973=30,"③特定消防","対象外"),IF(OR($AJ1973=10,$AJ1973=11,$AJ1973=74),"④一般",IF(OR($AJ1973=41,$AJ1973=47),"⑤短期","対象外"))))))</f>
      </c>
    </row>
    <row r="1974">
      <c r="DB1974" s="2909">
        <f>IF($A1974="","",IF($AE1974&amp;""&lt;&gt;'DB_設定'!$C$4,"対象外",IF($AH1974=20,IF(OR($AJ1974=10,$AJ1974=11,$AJ1974=18),"①病院一般",IF($AJ1974=41,"②病院短期","対象外")),IF($AH1974=5,IF($AJ1974=30,"③特定消防","対象外"),IF(OR($AJ1974=10,$AJ1974=11,$AJ1974=74),"④一般",IF(OR($AJ1974=41,$AJ1974=47),"⑤短期","対象外"))))))</f>
      </c>
    </row>
    <row r="1975">
      <c r="DB1975" s="2909">
        <f>IF($A1975="","",IF($AE1975&amp;""&lt;&gt;'DB_設定'!$C$4,"対象外",IF($AH1975=20,IF(OR($AJ1975=10,$AJ1975=11,$AJ1975=18),"①病院一般",IF($AJ1975=41,"②病院短期","対象外")),IF($AH1975=5,IF($AJ1975=30,"③特定消防","対象外"),IF(OR($AJ1975=10,$AJ1975=11,$AJ1975=74),"④一般",IF(OR($AJ1975=41,$AJ1975=47),"⑤短期","対象外"))))))</f>
      </c>
    </row>
    <row r="1976">
      <c r="DB1976" s="2909">
        <f>IF($A1976="","",IF($AE1976&amp;""&lt;&gt;'DB_設定'!$C$4,"対象外",IF($AH1976=20,IF(OR($AJ1976=10,$AJ1976=11,$AJ1976=18),"①病院一般",IF($AJ1976=41,"②病院短期","対象外")),IF($AH1976=5,IF($AJ1976=30,"③特定消防","対象外"),IF(OR($AJ1976=10,$AJ1976=11,$AJ1976=74),"④一般",IF(OR($AJ1976=41,$AJ1976=47),"⑤短期","対象外"))))))</f>
      </c>
    </row>
    <row r="1977">
      <c r="DB1977" s="2909">
        <f>IF($A1977="","",IF($AE1977&amp;""&lt;&gt;'DB_設定'!$C$4,"対象外",IF($AH1977=20,IF(OR($AJ1977=10,$AJ1977=11,$AJ1977=18),"①病院一般",IF($AJ1977=41,"②病院短期","対象外")),IF($AH1977=5,IF($AJ1977=30,"③特定消防","対象外"),IF(OR($AJ1977=10,$AJ1977=11,$AJ1977=74),"④一般",IF(OR($AJ1977=41,$AJ1977=47),"⑤短期","対象外"))))))</f>
      </c>
    </row>
    <row r="1978">
      <c r="DB1978" s="2909">
        <f>IF($A1978="","",IF($AE1978&amp;""&lt;&gt;'DB_設定'!$C$4,"対象外",IF($AH1978=20,IF(OR($AJ1978=10,$AJ1978=11,$AJ1978=18),"①病院一般",IF($AJ1978=41,"②病院短期","対象外")),IF($AH1978=5,IF($AJ1978=30,"③特定消防","対象外"),IF(OR($AJ1978=10,$AJ1978=11,$AJ1978=74),"④一般",IF(OR($AJ1978=41,$AJ1978=47),"⑤短期","対象外"))))))</f>
      </c>
    </row>
    <row r="1979">
      <c r="DB1979" s="2909">
        <f>IF($A1979="","",IF($AE1979&amp;""&lt;&gt;'DB_設定'!$C$4,"対象外",IF($AH1979=20,IF(OR($AJ1979=10,$AJ1979=11,$AJ1979=18),"①病院一般",IF($AJ1979=41,"②病院短期","対象外")),IF($AH1979=5,IF($AJ1979=30,"③特定消防","対象外"),IF(OR($AJ1979=10,$AJ1979=11,$AJ1979=74),"④一般",IF(OR($AJ1979=41,$AJ1979=47),"⑤短期","対象外"))))))</f>
      </c>
    </row>
    <row r="1980">
      <c r="DB1980" s="2909">
        <f>IF($A1980="","",IF($AE1980&amp;""&lt;&gt;'DB_設定'!$C$4,"対象外",IF($AH1980=20,IF(OR($AJ1980=10,$AJ1980=11,$AJ1980=18),"①病院一般",IF($AJ1980=41,"②病院短期","対象外")),IF($AH1980=5,IF($AJ1980=30,"③特定消防","対象外"),IF(OR($AJ1980=10,$AJ1980=11,$AJ1980=74),"④一般",IF(OR($AJ1980=41,$AJ1980=47),"⑤短期","対象外"))))))</f>
      </c>
    </row>
    <row r="1981">
      <c r="DB1981" s="2909">
        <f>IF($A1981="","",IF($AE1981&amp;""&lt;&gt;'DB_設定'!$C$4,"対象外",IF($AH1981=20,IF(OR($AJ1981=10,$AJ1981=11,$AJ1981=18),"①病院一般",IF($AJ1981=41,"②病院短期","対象外")),IF($AH1981=5,IF($AJ1981=30,"③特定消防","対象外"),IF(OR($AJ1981=10,$AJ1981=11,$AJ1981=74),"④一般",IF(OR($AJ1981=41,$AJ1981=47),"⑤短期","対象外"))))))</f>
      </c>
    </row>
    <row r="1982">
      <c r="DB1982" s="2909">
        <f>IF($A1982="","",IF($AE1982&amp;""&lt;&gt;'DB_設定'!$C$4,"対象外",IF($AH1982=20,IF(OR($AJ1982=10,$AJ1982=11,$AJ1982=18),"①病院一般",IF($AJ1982=41,"②病院短期","対象外")),IF($AH1982=5,IF($AJ1982=30,"③特定消防","対象外"),IF(OR($AJ1982=10,$AJ1982=11,$AJ1982=74),"④一般",IF(OR($AJ1982=41,$AJ1982=47),"⑤短期","対象外"))))))</f>
      </c>
    </row>
    <row r="1983">
      <c r="DB1983" s="2909">
        <f>IF($A1983="","",IF($AE1983&amp;""&lt;&gt;'DB_設定'!$C$4,"対象外",IF($AH1983=20,IF(OR($AJ1983=10,$AJ1983=11,$AJ1983=18),"①病院一般",IF($AJ1983=41,"②病院短期","対象外")),IF($AH1983=5,IF($AJ1983=30,"③特定消防","対象外"),IF(OR($AJ1983=10,$AJ1983=11,$AJ1983=74),"④一般",IF(OR($AJ1983=41,$AJ1983=47),"⑤短期","対象外"))))))</f>
      </c>
    </row>
    <row r="1984">
      <c r="DB1984" s="2909">
        <f>IF($A1984="","",IF($AE1984&amp;""&lt;&gt;'DB_設定'!$C$4,"対象外",IF($AH1984=20,IF(OR($AJ1984=10,$AJ1984=11,$AJ1984=18),"①病院一般",IF($AJ1984=41,"②病院短期","対象外")),IF($AH1984=5,IF($AJ1984=30,"③特定消防","対象外"),IF(OR($AJ1984=10,$AJ1984=11,$AJ1984=74),"④一般",IF(OR($AJ1984=41,$AJ1984=47),"⑤短期","対象外"))))))</f>
      </c>
    </row>
    <row r="1985">
      <c r="DB1985" s="2909">
        <f>IF($A1985="","",IF($AE1985&amp;""&lt;&gt;'DB_設定'!$C$4,"対象外",IF($AH1985=20,IF(OR($AJ1985=10,$AJ1985=11,$AJ1985=18),"①病院一般",IF($AJ1985=41,"②病院短期","対象外")),IF($AH1985=5,IF($AJ1985=30,"③特定消防","対象外"),IF(OR($AJ1985=10,$AJ1985=11,$AJ1985=74),"④一般",IF(OR($AJ1985=41,$AJ1985=47),"⑤短期","対象外"))))))</f>
      </c>
    </row>
    <row r="1986">
      <c r="DB1986" s="2909">
        <f>IF($A1986="","",IF($AE1986&amp;""&lt;&gt;'DB_設定'!$C$4,"対象外",IF($AH1986=20,IF(OR($AJ1986=10,$AJ1986=11,$AJ1986=18),"①病院一般",IF($AJ1986=41,"②病院短期","対象外")),IF($AH1986=5,IF($AJ1986=30,"③特定消防","対象外"),IF(OR($AJ1986=10,$AJ1986=11,$AJ1986=74),"④一般",IF(OR($AJ1986=41,$AJ1986=47),"⑤短期","対象外"))))))</f>
      </c>
    </row>
    <row r="1987">
      <c r="DB1987" s="2909">
        <f>IF($A1987="","",IF($AE1987&amp;""&lt;&gt;'DB_設定'!$C$4,"対象外",IF($AH1987=20,IF(OR($AJ1987=10,$AJ1987=11,$AJ1987=18),"①病院一般",IF($AJ1987=41,"②病院短期","対象外")),IF($AH1987=5,IF($AJ1987=30,"③特定消防","対象外"),IF(OR($AJ1987=10,$AJ1987=11,$AJ1987=74),"④一般",IF(OR($AJ1987=41,$AJ1987=47),"⑤短期","対象外"))))))</f>
      </c>
    </row>
    <row r="1988">
      <c r="DB1988" s="2909">
        <f>IF($A1988="","",IF($AE1988&amp;""&lt;&gt;'DB_設定'!$C$4,"対象外",IF($AH1988=20,IF(OR($AJ1988=10,$AJ1988=11,$AJ1988=18),"①病院一般",IF($AJ1988=41,"②病院短期","対象外")),IF($AH1988=5,IF($AJ1988=30,"③特定消防","対象外"),IF(OR($AJ1988=10,$AJ1988=11,$AJ1988=74),"④一般",IF(OR($AJ1988=41,$AJ1988=47),"⑤短期","対象外"))))))</f>
      </c>
    </row>
    <row r="1989">
      <c r="DB1989" s="2909">
        <f>IF($A1989="","",IF($AE1989&amp;""&lt;&gt;'DB_設定'!$C$4,"対象外",IF($AH1989=20,IF(OR($AJ1989=10,$AJ1989=11,$AJ1989=18),"①病院一般",IF($AJ1989=41,"②病院短期","対象外")),IF($AH1989=5,IF($AJ1989=30,"③特定消防","対象外"),IF(OR($AJ1989=10,$AJ1989=11,$AJ1989=74),"④一般",IF(OR($AJ1989=41,$AJ1989=47),"⑤短期","対象外"))))))</f>
      </c>
    </row>
    <row r="1990">
      <c r="DB1990" s="2909">
        <f>IF($A1990="","",IF($AE1990&amp;""&lt;&gt;'DB_設定'!$C$4,"対象外",IF($AH1990=20,IF(OR($AJ1990=10,$AJ1990=11,$AJ1990=18),"①病院一般",IF($AJ1990=41,"②病院短期","対象外")),IF($AH1990=5,IF($AJ1990=30,"③特定消防","対象外"),IF(OR($AJ1990=10,$AJ1990=11,$AJ1990=74),"④一般",IF(OR($AJ1990=41,$AJ1990=47),"⑤短期","対象外"))))))</f>
      </c>
    </row>
    <row r="1991">
      <c r="DB1991" s="2909">
        <f>IF($A1991="","",IF($AE1991&amp;""&lt;&gt;'DB_設定'!$C$4,"対象外",IF($AH1991=20,IF(OR($AJ1991=10,$AJ1991=11,$AJ1991=18),"①病院一般",IF($AJ1991=41,"②病院短期","対象外")),IF($AH1991=5,IF($AJ1991=30,"③特定消防","対象外"),IF(OR($AJ1991=10,$AJ1991=11,$AJ1991=74),"④一般",IF(OR($AJ1991=41,$AJ1991=47),"⑤短期","対象外"))))))</f>
      </c>
    </row>
    <row r="1992">
      <c r="DB1992" s="2909">
        <f>IF($A1992="","",IF($AE1992&amp;""&lt;&gt;'DB_設定'!$C$4,"対象外",IF($AH1992=20,IF(OR($AJ1992=10,$AJ1992=11,$AJ1992=18),"①病院一般",IF($AJ1992=41,"②病院短期","対象外")),IF($AH1992=5,IF($AJ1992=30,"③特定消防","対象外"),IF(OR($AJ1992=10,$AJ1992=11,$AJ1992=74),"④一般",IF(OR($AJ1992=41,$AJ1992=47),"⑤短期","対象外"))))))</f>
      </c>
    </row>
    <row r="1993">
      <c r="DB1993" s="2909">
        <f>IF($A1993="","",IF($AE1993&amp;""&lt;&gt;'DB_設定'!$C$4,"対象外",IF($AH1993=20,IF(OR($AJ1993=10,$AJ1993=11,$AJ1993=18),"①病院一般",IF($AJ1993=41,"②病院短期","対象外")),IF($AH1993=5,IF($AJ1993=30,"③特定消防","対象外"),IF(OR($AJ1993=10,$AJ1993=11,$AJ1993=74),"④一般",IF(OR($AJ1993=41,$AJ1993=47),"⑤短期","対象外"))))))</f>
      </c>
    </row>
    <row r="1994">
      <c r="DB1994" s="2909">
        <f>IF($A1994="","",IF($AE1994&amp;""&lt;&gt;'DB_設定'!$C$4,"対象外",IF($AH1994=20,IF(OR($AJ1994=10,$AJ1994=11,$AJ1994=18),"①病院一般",IF($AJ1994=41,"②病院短期","対象外")),IF($AH1994=5,IF($AJ1994=30,"③特定消防","対象外"),IF(OR($AJ1994=10,$AJ1994=11,$AJ1994=74),"④一般",IF(OR($AJ1994=41,$AJ1994=47),"⑤短期","対象外"))))))</f>
      </c>
    </row>
    <row r="1995">
      <c r="DB1995" s="2909">
        <f>IF($A1995="","",IF($AE1995&amp;""&lt;&gt;'DB_設定'!$C$4,"対象外",IF($AH1995=20,IF(OR($AJ1995=10,$AJ1995=11,$AJ1995=18),"①病院一般",IF($AJ1995=41,"②病院短期","対象外")),IF($AH1995=5,IF($AJ1995=30,"③特定消防","対象外"),IF(OR($AJ1995=10,$AJ1995=11,$AJ1995=74),"④一般",IF(OR($AJ1995=41,$AJ1995=47),"⑤短期","対象外"))))))</f>
      </c>
    </row>
    <row r="1996">
      <c r="DB1996" s="2909">
        <f>IF($A1996="","",IF($AE1996&amp;""&lt;&gt;'DB_設定'!$C$4,"対象外",IF($AH1996=20,IF(OR($AJ1996=10,$AJ1996=11,$AJ1996=18),"①病院一般",IF($AJ1996=41,"②病院短期","対象外")),IF($AH1996=5,IF($AJ1996=30,"③特定消防","対象外"),IF(OR($AJ1996=10,$AJ1996=11,$AJ1996=74),"④一般",IF(OR($AJ1996=41,$AJ1996=47),"⑤短期","対象外"))))))</f>
      </c>
    </row>
    <row r="1997">
      <c r="DB1997" s="2909">
        <f>IF($A1997="","",IF($AE1997&amp;""&lt;&gt;'DB_設定'!$C$4,"対象外",IF($AH1997=20,IF(OR($AJ1997=10,$AJ1997=11,$AJ1997=18),"①病院一般",IF($AJ1997=41,"②病院短期","対象外")),IF($AH1997=5,IF($AJ1997=30,"③特定消防","対象外"),IF(OR($AJ1997=10,$AJ1997=11,$AJ1997=74),"④一般",IF(OR($AJ1997=41,$AJ1997=47),"⑤短期","対象外"))))))</f>
      </c>
    </row>
    <row r="1998">
      <c r="DB1998" s="2909">
        <f>IF($A1998="","",IF($AE1998&amp;""&lt;&gt;'DB_設定'!$C$4,"対象外",IF($AH1998=20,IF(OR($AJ1998=10,$AJ1998=11,$AJ1998=18),"①病院一般",IF($AJ1998=41,"②病院短期","対象外")),IF($AH1998=5,IF($AJ1998=30,"③特定消防","対象外"),IF(OR($AJ1998=10,$AJ1998=11,$AJ1998=74),"④一般",IF(OR($AJ1998=41,$AJ1998=47),"⑤短期","対象外"))))))</f>
      </c>
    </row>
    <row r="1999">
      <c r="DB1999" s="2909">
        <f>IF($A1999="","",IF($AE1999&amp;""&lt;&gt;'DB_設定'!$C$4,"対象外",IF($AH1999=20,IF(OR($AJ1999=10,$AJ1999=11,$AJ1999=18),"①病院一般",IF($AJ1999=41,"②病院短期","対象外")),IF($AH1999=5,IF($AJ1999=30,"③特定消防","対象外"),IF(OR($AJ1999=10,$AJ1999=11,$AJ1999=74),"④一般",IF(OR($AJ1999=41,$AJ1999=47),"⑤短期","対象外"))))))</f>
      </c>
    </row>
    <row r="2000">
      <c r="DB2000" s="2909">
        <f>IF($A2000="","",IF($AE2000&amp;""&lt;&gt;'DB_設定'!$C$4,"対象外",IF($AH2000=20,IF(OR($AJ2000=10,$AJ2000=11,$AJ2000=18),"①病院一般",IF($AJ2000=41,"②病院短期","対象外")),IF($AH2000=5,IF($AJ2000=30,"③特定消防","対象外"),IF(OR($AJ2000=10,$AJ2000=11,$AJ2000=74),"④一般",IF(OR($AJ2000=41,$AJ2000=47),"⑤短期","対象外"))))))</f>
      </c>
    </row>
    <row r="2001">
      <c r="DB2001" s="2909">
        <f>IF($A2001="","",IF($AE2001&amp;""&lt;&gt;'DB_設定'!$C$4,"対象外",IF($AH2001=20,IF(OR($AJ2001=10,$AJ2001=11,$AJ2001=18),"①病院一般",IF($AJ2001=41,"②病院短期","対象外")),IF($AH2001=5,IF($AJ2001=30,"③特定消防","対象外"),IF(OR($AJ2001=10,$AJ2001=11,$AJ2001=74),"④一般",IF(OR($AJ2001=41,$AJ2001=47),"⑤短期","対象外"))))))</f>
      </c>
    </row>
    <row r="2002">
      <c r="DB2002" s="2909">
        <f>IF($A2002="","",IF($AE2002&amp;""&lt;&gt;'DB_設定'!$C$4,"対象外",IF($AH2002=20,IF(OR($AJ2002=10,$AJ2002=11,$AJ2002=18),"①病院一般",IF($AJ2002=41,"②病院短期","対象外")),IF($AH2002=5,IF($AJ2002=30,"③特定消防","対象外"),IF(OR($AJ2002=10,$AJ2002=11,$AJ2002=74),"④一般",IF(OR($AJ2002=41,$AJ2002=47),"⑤短期","対象外"))))))</f>
      </c>
    </row>
    <row r="2003">
      <c r="DB2003" s="2909">
        <f>IF($A2003="","",IF($AE2003&amp;""&lt;&gt;'DB_設定'!$C$4,"対象外",IF($AH2003=20,IF(OR($AJ2003=10,$AJ2003=11,$AJ2003=18),"①病院一般",IF($AJ2003=41,"②病院短期","対象外")),IF($AH2003=5,IF($AJ2003=30,"③特定消防","対象外"),IF(OR($AJ2003=10,$AJ2003=11,$AJ2003=74),"④一般",IF(OR($AJ2003=41,$AJ2003=47),"⑤短期","対象外"))))))</f>
      </c>
    </row>
    <row r="2004">
      <c r="DB2004" s="2909">
        <f>IF($A2004="","",IF($AE2004&amp;""&lt;&gt;'DB_設定'!$C$4,"対象外",IF($AH2004=20,IF(OR($AJ2004=10,$AJ2004=11,$AJ2004=18),"①病院一般",IF($AJ2004=41,"②病院短期","対象外")),IF($AH2004=5,IF($AJ2004=30,"③特定消防","対象外"),IF(OR($AJ2004=10,$AJ2004=11,$AJ2004=74),"④一般",IF(OR($AJ2004=41,$AJ2004=47),"⑤短期","対象外"))))))</f>
      </c>
    </row>
    <row r="2005">
      <c r="DB2005" s="2909">
        <f>IF($A2005="","",IF($AE2005&amp;""&lt;&gt;'DB_設定'!$C$4,"対象外",IF($AH2005=20,IF(OR($AJ2005=10,$AJ2005=11,$AJ2005=18),"①病院一般",IF($AJ2005=41,"②病院短期","対象外")),IF($AH2005=5,IF($AJ2005=30,"③特定消防","対象外"),IF(OR($AJ2005=10,$AJ2005=11,$AJ2005=74),"④一般",IF(OR($AJ2005=41,$AJ2005=47),"⑤短期","対象外"))))))</f>
      </c>
    </row>
    <row r="2006">
      <c r="DB2006" s="2909">
        <f>IF($A2006="","",IF($AE2006&amp;""&lt;&gt;'DB_設定'!$C$4,"対象外",IF($AH2006=20,IF(OR($AJ2006=10,$AJ2006=11,$AJ2006=18),"①病院一般",IF($AJ2006=41,"②病院短期","対象外")),IF($AH2006=5,IF($AJ2006=30,"③特定消防","対象外"),IF(OR($AJ2006=10,$AJ2006=11,$AJ2006=74),"④一般",IF(OR($AJ2006=41,$AJ2006=47),"⑤短期","対象外"))))))</f>
      </c>
    </row>
    <row r="2007">
      <c r="DB2007" s="2909">
        <f>IF($A2007="","",IF($AE2007&amp;""&lt;&gt;'DB_設定'!$C$4,"対象外",IF($AH2007=20,IF(OR($AJ2007=10,$AJ2007=11,$AJ2007=18),"①病院一般",IF($AJ2007=41,"②病院短期","対象外")),IF($AH2007=5,IF($AJ2007=30,"③特定消防","対象外"),IF(OR($AJ2007=10,$AJ2007=11,$AJ2007=74),"④一般",IF(OR($AJ2007=41,$AJ2007=47),"⑤短期","対象外"))))))</f>
      </c>
    </row>
    <row r="2008">
      <c r="DB2008" s="2909">
        <f>IF($A2008="","",IF($AE2008&amp;""&lt;&gt;'DB_設定'!$C$4,"対象外",IF($AH2008=20,IF(OR($AJ2008=10,$AJ2008=11,$AJ2008=18),"①病院一般",IF($AJ2008=41,"②病院短期","対象外")),IF($AH2008=5,IF($AJ2008=30,"③特定消防","対象外"),IF(OR($AJ2008=10,$AJ2008=11,$AJ2008=74),"④一般",IF(OR($AJ2008=41,$AJ2008=47),"⑤短期","対象外"))))))</f>
      </c>
    </row>
    <row r="2009">
      <c r="DB2009" s="2909">
        <f>IF($A2009="","",IF($AE2009&amp;""&lt;&gt;'DB_設定'!$C$4,"対象外",IF($AH2009=20,IF(OR($AJ2009=10,$AJ2009=11,$AJ2009=18),"①病院一般",IF($AJ2009=41,"②病院短期","対象外")),IF($AH2009=5,IF($AJ2009=30,"③特定消防","対象外"),IF(OR($AJ2009=10,$AJ2009=11,$AJ2009=74),"④一般",IF(OR($AJ2009=41,$AJ2009=47),"⑤短期","対象外"))))))</f>
      </c>
    </row>
    <row r="2010">
      <c r="DB2010" s="2909">
        <f>IF($A2010="","",IF($AE2010&amp;""&lt;&gt;'DB_設定'!$C$4,"対象外",IF($AH2010=20,IF(OR($AJ2010=10,$AJ2010=11,$AJ2010=18),"①病院一般",IF($AJ2010=41,"②病院短期","対象外")),IF($AH2010=5,IF($AJ2010=30,"③特定消防","対象外"),IF(OR($AJ2010=10,$AJ2010=11,$AJ2010=74),"④一般",IF(OR($AJ2010=41,$AJ2010=47),"⑤短期","対象外"))))))</f>
      </c>
    </row>
    <row r="2011">
      <c r="DB2011" s="2909">
        <f>IF($A2011="","",IF($AE2011&amp;""&lt;&gt;'DB_設定'!$C$4,"対象外",IF($AH2011=20,IF(OR($AJ2011=10,$AJ2011=11,$AJ2011=18),"①病院一般",IF($AJ2011=41,"②病院短期","対象外")),IF($AH2011=5,IF($AJ2011=30,"③特定消防","対象外"),IF(OR($AJ2011=10,$AJ2011=11,$AJ2011=74),"④一般",IF(OR($AJ2011=41,$AJ2011=47),"⑤短期","対象外"))))))</f>
      </c>
    </row>
    <row r="2012">
      <c r="DB2012" s="2909">
        <f>IF($A2012="","",IF($AE2012&amp;""&lt;&gt;'DB_設定'!$C$4,"対象外",IF($AH2012=20,IF(OR($AJ2012=10,$AJ2012=11,$AJ2012=18),"①病院一般",IF($AJ2012=41,"②病院短期","対象外")),IF($AH2012=5,IF($AJ2012=30,"③特定消防","対象外"),IF(OR($AJ2012=10,$AJ2012=11,$AJ2012=74),"④一般",IF(OR($AJ2012=41,$AJ2012=47),"⑤短期","対象外"))))))</f>
      </c>
    </row>
    <row r="2013">
      <c r="DB2013" s="2909">
        <f>IF($A2013="","",IF($AE2013&amp;""&lt;&gt;'DB_設定'!$C$4,"対象外",IF($AH2013=20,IF(OR($AJ2013=10,$AJ2013=11,$AJ2013=18),"①病院一般",IF($AJ2013=41,"②病院短期","対象外")),IF($AH2013=5,IF($AJ2013=30,"③特定消防","対象外"),IF(OR($AJ2013=10,$AJ2013=11,$AJ2013=74),"④一般",IF(OR($AJ2013=41,$AJ2013=47),"⑤短期","対象外"))))))</f>
      </c>
    </row>
    <row r="2014">
      <c r="DB2014" s="2909">
        <f>IF($A2014="","",IF($AE2014&amp;""&lt;&gt;'DB_設定'!$C$4,"対象外",IF($AH2014=20,IF(OR($AJ2014=10,$AJ2014=11,$AJ2014=18),"①病院一般",IF($AJ2014=41,"②病院短期","対象外")),IF($AH2014=5,IF($AJ2014=30,"③特定消防","対象外"),IF(OR($AJ2014=10,$AJ2014=11,$AJ2014=74),"④一般",IF(OR($AJ2014=41,$AJ2014=47),"⑤短期","対象外"))))))</f>
      </c>
    </row>
    <row r="2015">
      <c r="DB2015" s="2909">
        <f>IF($A2015="","",IF($AE2015&amp;""&lt;&gt;'DB_設定'!$C$4,"対象外",IF($AH2015=20,IF(OR($AJ2015=10,$AJ2015=11,$AJ2015=18),"①病院一般",IF($AJ2015=41,"②病院短期","対象外")),IF($AH2015=5,IF($AJ2015=30,"③特定消防","対象外"),IF(OR($AJ2015=10,$AJ2015=11,$AJ2015=74),"④一般",IF(OR($AJ2015=41,$AJ2015=47),"⑤短期","対象外"))))))</f>
      </c>
    </row>
    <row r="2016">
      <c r="DB2016" s="2909">
        <f>IF($A2016="","",IF($AE2016&amp;""&lt;&gt;'DB_設定'!$C$4,"対象外",IF($AH2016=20,IF(OR($AJ2016=10,$AJ2016=11,$AJ2016=18),"①病院一般",IF($AJ2016=41,"②病院短期","対象外")),IF($AH2016=5,IF($AJ2016=30,"③特定消防","対象外"),IF(OR($AJ2016=10,$AJ2016=11,$AJ2016=74),"④一般",IF(OR($AJ2016=41,$AJ2016=47),"⑤短期","対象外"))))))</f>
      </c>
    </row>
    <row r="2017">
      <c r="DB2017" s="2909">
        <f>IF($A2017="","",IF($AE2017&amp;""&lt;&gt;'DB_設定'!$C$4,"対象外",IF($AH2017=20,IF(OR($AJ2017=10,$AJ2017=11,$AJ2017=18),"①病院一般",IF($AJ2017=41,"②病院短期","対象外")),IF($AH2017=5,IF($AJ2017=30,"③特定消防","対象外"),IF(OR($AJ2017=10,$AJ2017=11,$AJ2017=74),"④一般",IF(OR($AJ2017=41,$AJ2017=47),"⑤短期","対象外"))))))</f>
      </c>
    </row>
    <row r="2018">
      <c r="DB2018" s="2909">
        <f>IF($A2018="","",IF($AE2018&amp;""&lt;&gt;'DB_設定'!$C$4,"対象外",IF($AH2018=20,IF(OR($AJ2018=10,$AJ2018=11,$AJ2018=18),"①病院一般",IF($AJ2018=41,"②病院短期","対象外")),IF($AH2018=5,IF($AJ2018=30,"③特定消防","対象外"),IF(OR($AJ2018=10,$AJ2018=11,$AJ2018=74),"④一般",IF(OR($AJ2018=41,$AJ2018=47),"⑤短期","対象外"))))))</f>
      </c>
    </row>
    <row r="2019">
      <c r="DB2019" s="2909">
        <f>IF($A2019="","",IF($AE2019&amp;""&lt;&gt;'DB_設定'!$C$4,"対象外",IF($AH2019=20,IF(OR($AJ2019=10,$AJ2019=11,$AJ2019=18),"①病院一般",IF($AJ2019=41,"②病院短期","対象外")),IF($AH2019=5,IF($AJ2019=30,"③特定消防","対象外"),IF(OR($AJ2019=10,$AJ2019=11,$AJ2019=74),"④一般",IF(OR($AJ2019=41,$AJ2019=47),"⑤短期","対象外"))))))</f>
      </c>
    </row>
    <row r="2020">
      <c r="DB2020" s="2909">
        <f>IF($A2020="","",IF($AE2020&amp;""&lt;&gt;'DB_設定'!$C$4,"対象外",IF($AH2020=20,IF(OR($AJ2020=10,$AJ2020=11,$AJ2020=18),"①病院一般",IF($AJ2020=41,"②病院短期","対象外")),IF($AH2020=5,IF($AJ2020=30,"③特定消防","対象外"),IF(OR($AJ2020=10,$AJ2020=11,$AJ2020=74),"④一般",IF(OR($AJ2020=41,$AJ2020=47),"⑤短期","対象外"))))))</f>
      </c>
    </row>
    <row r="2021">
      <c r="DB2021" s="2909">
        <f>IF($A2021="","",IF($AE2021&amp;""&lt;&gt;'DB_設定'!$C$4,"対象外",IF($AH2021=20,IF(OR($AJ2021=10,$AJ2021=11,$AJ2021=18),"①病院一般",IF($AJ2021=41,"②病院短期","対象外")),IF($AH2021=5,IF($AJ2021=30,"③特定消防","対象外"),IF(OR($AJ2021=10,$AJ2021=11,$AJ2021=74),"④一般",IF(OR($AJ2021=41,$AJ2021=47),"⑤短期","対象外"))))))</f>
      </c>
    </row>
    <row r="2022">
      <c r="DB2022" s="2909">
        <f>IF($A2022="","",IF($AE2022&amp;""&lt;&gt;'DB_設定'!$C$4,"対象外",IF($AH2022=20,IF(OR($AJ2022=10,$AJ2022=11,$AJ2022=18),"①病院一般",IF($AJ2022=41,"②病院短期","対象外")),IF($AH2022=5,IF($AJ2022=30,"③特定消防","対象外"),IF(OR($AJ2022=10,$AJ2022=11,$AJ2022=74),"④一般",IF(OR($AJ2022=41,$AJ2022=47),"⑤短期","対象外"))))))</f>
      </c>
    </row>
    <row r="2023">
      <c r="DB2023" s="2909">
        <f>IF($A2023="","",IF($AE2023&amp;""&lt;&gt;'DB_設定'!$C$4,"対象外",IF($AH2023=20,IF(OR($AJ2023=10,$AJ2023=11,$AJ2023=18),"①病院一般",IF($AJ2023=41,"②病院短期","対象外")),IF($AH2023=5,IF($AJ2023=30,"③特定消防","対象外"),IF(OR($AJ2023=10,$AJ2023=11,$AJ2023=74),"④一般",IF(OR($AJ2023=41,$AJ2023=47),"⑤短期","対象外"))))))</f>
      </c>
    </row>
    <row r="2024">
      <c r="DB2024" s="2909">
        <f>IF($A2024="","",IF($AE2024&amp;""&lt;&gt;'DB_設定'!$C$4,"対象外",IF($AH2024=20,IF(OR($AJ2024=10,$AJ2024=11,$AJ2024=18),"①病院一般",IF($AJ2024=41,"②病院短期","対象外")),IF($AH2024=5,IF($AJ2024=30,"③特定消防","対象外"),IF(OR($AJ2024=10,$AJ2024=11,$AJ2024=74),"④一般",IF(OR($AJ2024=41,$AJ2024=47),"⑤短期","対象外"))))))</f>
      </c>
    </row>
    <row r="2025">
      <c r="DB2025" s="2909">
        <f>IF($A2025="","",IF($AE2025&amp;""&lt;&gt;'DB_設定'!$C$4,"対象外",IF($AH2025=20,IF(OR($AJ2025=10,$AJ2025=11,$AJ2025=18),"①病院一般",IF($AJ2025=41,"②病院短期","対象外")),IF($AH2025=5,IF($AJ2025=30,"③特定消防","対象外"),IF(OR($AJ2025=10,$AJ2025=11,$AJ2025=74),"④一般",IF(OR($AJ2025=41,$AJ2025=47),"⑤短期","対象外"))))))</f>
      </c>
    </row>
    <row r="2026">
      <c r="DB2026" s="2909">
        <f>IF($A2026="","",IF($AE2026&amp;""&lt;&gt;'DB_設定'!$C$4,"対象外",IF($AH2026=20,IF(OR($AJ2026=10,$AJ2026=11,$AJ2026=18),"①病院一般",IF($AJ2026=41,"②病院短期","対象外")),IF($AH2026=5,IF($AJ2026=30,"③特定消防","対象外"),IF(OR($AJ2026=10,$AJ2026=11,$AJ2026=74),"④一般",IF(OR($AJ2026=41,$AJ2026=47),"⑤短期","対象外"))))))</f>
      </c>
    </row>
    <row r="2027">
      <c r="DB2027" s="2909">
        <f>IF($A2027="","",IF($AE2027&amp;""&lt;&gt;'DB_設定'!$C$4,"対象外",IF($AH2027=20,IF(OR($AJ2027=10,$AJ2027=11,$AJ2027=18),"①病院一般",IF($AJ2027=41,"②病院短期","対象外")),IF($AH2027=5,IF($AJ2027=30,"③特定消防","対象外"),IF(OR($AJ2027=10,$AJ2027=11,$AJ2027=74),"④一般",IF(OR($AJ2027=41,$AJ2027=47),"⑤短期","対象外"))))))</f>
      </c>
    </row>
    <row r="2028">
      <c r="DB2028" s="2909">
        <f>IF($A2028="","",IF($AE2028&amp;""&lt;&gt;'DB_設定'!$C$4,"対象外",IF($AH2028=20,IF(OR($AJ2028=10,$AJ2028=11,$AJ2028=18),"①病院一般",IF($AJ2028=41,"②病院短期","対象外")),IF($AH2028=5,IF($AJ2028=30,"③特定消防","対象外"),IF(OR($AJ2028=10,$AJ2028=11,$AJ2028=74),"④一般",IF(OR($AJ2028=41,$AJ2028=47),"⑤短期","対象外"))))))</f>
      </c>
    </row>
    <row r="2029">
      <c r="DB2029" s="2909">
        <f>IF($A2029="","",IF($AE2029&amp;""&lt;&gt;'DB_設定'!$C$4,"対象外",IF($AH2029=20,IF(OR($AJ2029=10,$AJ2029=11,$AJ2029=18),"①病院一般",IF($AJ2029=41,"②病院短期","対象外")),IF($AH2029=5,IF($AJ2029=30,"③特定消防","対象外"),IF(OR($AJ2029=10,$AJ2029=11,$AJ2029=74),"④一般",IF(OR($AJ2029=41,$AJ2029=47),"⑤短期","対象外"))))))</f>
      </c>
    </row>
    <row r="2030">
      <c r="DB2030" s="2909">
        <f>IF($A2030="","",IF($AE2030&amp;""&lt;&gt;'DB_設定'!$C$4,"対象外",IF($AH2030=20,IF(OR($AJ2030=10,$AJ2030=11,$AJ2030=18),"①病院一般",IF($AJ2030=41,"②病院短期","対象外")),IF($AH2030=5,IF($AJ2030=30,"③特定消防","対象外"),IF(OR($AJ2030=10,$AJ2030=11,$AJ2030=74),"④一般",IF(OR($AJ2030=41,$AJ2030=47),"⑤短期","対象外"))))))</f>
      </c>
    </row>
    <row r="2031">
      <c r="DB2031" s="2909">
        <f>IF($A2031="","",IF($AE2031&amp;""&lt;&gt;'DB_設定'!$C$4,"対象外",IF($AH2031=20,IF(OR($AJ2031=10,$AJ2031=11,$AJ2031=18),"①病院一般",IF($AJ2031=41,"②病院短期","対象外")),IF($AH2031=5,IF($AJ2031=30,"③特定消防","対象外"),IF(OR($AJ2031=10,$AJ2031=11,$AJ2031=74),"④一般",IF(OR($AJ2031=41,$AJ2031=47),"⑤短期","対象外"))))))</f>
      </c>
    </row>
    <row r="2032">
      <c r="DB2032" s="2909">
        <f>IF($A2032="","",IF($AE2032&amp;""&lt;&gt;'DB_設定'!$C$4,"対象外",IF($AH2032=20,IF(OR($AJ2032=10,$AJ2032=11,$AJ2032=18),"①病院一般",IF($AJ2032=41,"②病院短期","対象外")),IF($AH2032=5,IF($AJ2032=30,"③特定消防","対象外"),IF(OR($AJ2032=10,$AJ2032=11,$AJ2032=74),"④一般",IF(OR($AJ2032=41,$AJ2032=47),"⑤短期","対象外"))))))</f>
      </c>
    </row>
    <row r="2033">
      <c r="DB2033" s="2909">
        <f>IF($A2033="","",IF($AE2033&amp;""&lt;&gt;'DB_設定'!$C$4,"対象外",IF($AH2033=20,IF(OR($AJ2033=10,$AJ2033=11,$AJ2033=18),"①病院一般",IF($AJ2033=41,"②病院短期","対象外")),IF($AH2033=5,IF($AJ2033=30,"③特定消防","対象外"),IF(OR($AJ2033=10,$AJ2033=11,$AJ2033=74),"④一般",IF(OR($AJ2033=41,$AJ2033=47),"⑤短期","対象外"))))))</f>
      </c>
    </row>
    <row r="2034">
      <c r="DB2034" s="2909">
        <f>IF($A2034="","",IF($AE2034&amp;""&lt;&gt;'DB_設定'!$C$4,"対象外",IF($AH2034=20,IF(OR($AJ2034=10,$AJ2034=11,$AJ2034=18),"①病院一般",IF($AJ2034=41,"②病院短期","対象外")),IF($AH2034=5,IF($AJ2034=30,"③特定消防","対象外"),IF(OR($AJ2034=10,$AJ2034=11,$AJ2034=74),"④一般",IF(OR($AJ2034=41,$AJ2034=47),"⑤短期","対象外"))))))</f>
      </c>
    </row>
    <row r="2035">
      <c r="DB2035" s="2909">
        <f>IF($A2035="","",IF($AE2035&amp;""&lt;&gt;'DB_設定'!$C$4,"対象外",IF($AH2035=20,IF(OR($AJ2035=10,$AJ2035=11,$AJ2035=18),"①病院一般",IF($AJ2035=41,"②病院短期","対象外")),IF($AH2035=5,IF($AJ2035=30,"③特定消防","対象外"),IF(OR($AJ2035=10,$AJ2035=11,$AJ2035=74),"④一般",IF(OR($AJ2035=41,$AJ2035=47),"⑤短期","対象外"))))))</f>
      </c>
    </row>
    <row r="2036">
      <c r="DB2036" s="2909">
        <f>IF($A2036="","",IF($AE2036&amp;""&lt;&gt;'DB_設定'!$C$4,"対象外",IF($AH2036=20,IF(OR($AJ2036=10,$AJ2036=11,$AJ2036=18),"①病院一般",IF($AJ2036=41,"②病院短期","対象外")),IF($AH2036=5,IF($AJ2036=30,"③特定消防","対象外"),IF(OR($AJ2036=10,$AJ2036=11,$AJ2036=74),"④一般",IF(OR($AJ2036=41,$AJ2036=47),"⑤短期","対象外"))))))</f>
      </c>
    </row>
    <row r="2037">
      <c r="DB2037" s="2909">
        <f>IF($A2037="","",IF($AE2037&amp;""&lt;&gt;'DB_設定'!$C$4,"対象外",IF($AH2037=20,IF(OR($AJ2037=10,$AJ2037=11,$AJ2037=18),"①病院一般",IF($AJ2037=41,"②病院短期","対象外")),IF($AH2037=5,IF($AJ2037=30,"③特定消防","対象外"),IF(OR($AJ2037=10,$AJ2037=11,$AJ2037=74),"④一般",IF(OR($AJ2037=41,$AJ2037=47),"⑤短期","対象外"))))))</f>
      </c>
    </row>
    <row r="2038">
      <c r="DB2038" s="2909">
        <f>IF($A2038="","",IF($AE2038&amp;""&lt;&gt;'DB_設定'!$C$4,"対象外",IF($AH2038=20,IF(OR($AJ2038=10,$AJ2038=11,$AJ2038=18),"①病院一般",IF($AJ2038=41,"②病院短期","対象外")),IF($AH2038=5,IF($AJ2038=30,"③特定消防","対象外"),IF(OR($AJ2038=10,$AJ2038=11,$AJ2038=74),"④一般",IF(OR($AJ2038=41,$AJ2038=47),"⑤短期","対象外"))))))</f>
      </c>
    </row>
    <row r="2039">
      <c r="DB2039" s="2909">
        <f>IF($A2039="","",IF($AE2039&amp;""&lt;&gt;'DB_設定'!$C$4,"対象外",IF($AH2039=20,IF(OR($AJ2039=10,$AJ2039=11,$AJ2039=18),"①病院一般",IF($AJ2039=41,"②病院短期","対象外")),IF($AH2039=5,IF($AJ2039=30,"③特定消防","対象外"),IF(OR($AJ2039=10,$AJ2039=11,$AJ2039=74),"④一般",IF(OR($AJ2039=41,$AJ2039=47),"⑤短期","対象外"))))))</f>
      </c>
    </row>
    <row r="2040">
      <c r="DB2040" s="2909">
        <f>IF($A2040="","",IF($AE2040&amp;""&lt;&gt;'DB_設定'!$C$4,"対象外",IF($AH2040=20,IF(OR($AJ2040=10,$AJ2040=11,$AJ2040=18),"①病院一般",IF($AJ2040=41,"②病院短期","対象外")),IF($AH2040=5,IF($AJ2040=30,"③特定消防","対象外"),IF(OR($AJ2040=10,$AJ2040=11,$AJ2040=74),"④一般",IF(OR($AJ2040=41,$AJ2040=47),"⑤短期","対象外"))))))</f>
      </c>
    </row>
    <row r="2041">
      <c r="DB2041" s="2909">
        <f>IF($A2041="","",IF($AE2041&amp;""&lt;&gt;'DB_設定'!$C$4,"対象外",IF($AH2041=20,IF(OR($AJ2041=10,$AJ2041=11,$AJ2041=18),"①病院一般",IF($AJ2041=41,"②病院短期","対象外")),IF($AH2041=5,IF($AJ2041=30,"③特定消防","対象外"),IF(OR($AJ2041=10,$AJ2041=11,$AJ2041=74),"④一般",IF(OR($AJ2041=41,$AJ2041=47),"⑤短期","対象外"))))))</f>
      </c>
    </row>
    <row r="2042">
      <c r="DB2042" s="2909">
        <f>IF($A2042="","",IF($AE2042&amp;""&lt;&gt;'DB_設定'!$C$4,"対象外",IF($AH2042=20,IF(OR($AJ2042=10,$AJ2042=11,$AJ2042=18),"①病院一般",IF($AJ2042=41,"②病院短期","対象外")),IF($AH2042=5,IF($AJ2042=30,"③特定消防","対象外"),IF(OR($AJ2042=10,$AJ2042=11,$AJ2042=74),"④一般",IF(OR($AJ2042=41,$AJ2042=47),"⑤短期","対象外"))))))</f>
      </c>
    </row>
    <row r="2043">
      <c r="DB2043" s="2909">
        <f>IF($A2043="","",IF($AE2043&amp;""&lt;&gt;'DB_設定'!$C$4,"対象外",IF($AH2043=20,IF(OR($AJ2043=10,$AJ2043=11,$AJ2043=18),"①病院一般",IF($AJ2043=41,"②病院短期","対象外")),IF($AH2043=5,IF($AJ2043=30,"③特定消防","対象外"),IF(OR($AJ2043=10,$AJ2043=11,$AJ2043=74),"④一般",IF(OR($AJ2043=41,$AJ2043=47),"⑤短期","対象外"))))))</f>
      </c>
    </row>
    <row r="2044">
      <c r="DB2044" s="2909">
        <f>IF($A2044="","",IF($AE2044&amp;""&lt;&gt;'DB_設定'!$C$4,"対象外",IF($AH2044=20,IF(OR($AJ2044=10,$AJ2044=11,$AJ2044=18),"①病院一般",IF($AJ2044=41,"②病院短期","対象外")),IF($AH2044=5,IF($AJ2044=30,"③特定消防","対象外"),IF(OR($AJ2044=10,$AJ2044=11,$AJ2044=74),"④一般",IF(OR($AJ2044=41,$AJ2044=47),"⑤短期","対象外"))))))</f>
      </c>
    </row>
    <row r="2045">
      <c r="DB2045" s="2909">
        <f>IF($A2045="","",IF($AE2045&amp;""&lt;&gt;'DB_設定'!$C$4,"対象外",IF($AH2045=20,IF(OR($AJ2045=10,$AJ2045=11,$AJ2045=18),"①病院一般",IF($AJ2045=41,"②病院短期","対象外")),IF($AH2045=5,IF($AJ2045=30,"③特定消防","対象外"),IF(OR($AJ2045=10,$AJ2045=11,$AJ2045=74),"④一般",IF(OR($AJ2045=41,$AJ2045=47),"⑤短期","対象外"))))))</f>
      </c>
    </row>
    <row r="2046">
      <c r="DB2046" s="2909">
        <f>IF($A2046="","",IF($AE2046&amp;""&lt;&gt;'DB_設定'!$C$4,"対象外",IF($AH2046=20,IF(OR($AJ2046=10,$AJ2046=11,$AJ2046=18),"①病院一般",IF($AJ2046=41,"②病院短期","対象外")),IF($AH2046=5,IF($AJ2046=30,"③特定消防","対象外"),IF(OR($AJ2046=10,$AJ2046=11,$AJ2046=74),"④一般",IF(OR($AJ2046=41,$AJ2046=47),"⑤短期","対象外"))))))</f>
      </c>
    </row>
    <row r="2047">
      <c r="DB2047" s="2909">
        <f>IF($A2047="","",IF($AE2047&amp;""&lt;&gt;'DB_設定'!$C$4,"対象外",IF($AH2047=20,IF(OR($AJ2047=10,$AJ2047=11,$AJ2047=18),"①病院一般",IF($AJ2047=41,"②病院短期","対象外")),IF($AH2047=5,IF($AJ2047=30,"③特定消防","対象外"),IF(OR($AJ2047=10,$AJ2047=11,$AJ2047=74),"④一般",IF(OR($AJ2047=41,$AJ2047=47),"⑤短期","対象外"))))))</f>
      </c>
    </row>
    <row r="2048">
      <c r="DB2048" s="2909">
        <f>IF($A2048="","",IF($AE2048&amp;""&lt;&gt;'DB_設定'!$C$4,"対象外",IF($AH2048=20,IF(OR($AJ2048=10,$AJ2048=11,$AJ2048=18),"①病院一般",IF($AJ2048=41,"②病院短期","対象外")),IF($AH2048=5,IF($AJ2048=30,"③特定消防","対象外"),IF(OR($AJ2048=10,$AJ2048=11,$AJ2048=74),"④一般",IF(OR($AJ2048=41,$AJ2048=47),"⑤短期","対象外"))))))</f>
      </c>
    </row>
    <row r="2049">
      <c r="DB2049" s="2909">
        <f>IF($A2049="","",IF($AE2049&amp;""&lt;&gt;'DB_設定'!$C$4,"対象外",IF($AH2049=20,IF(OR($AJ2049=10,$AJ2049=11,$AJ2049=18),"①病院一般",IF($AJ2049=41,"②病院短期","対象外")),IF($AH2049=5,IF($AJ2049=30,"③特定消防","対象外"),IF(OR($AJ2049=10,$AJ2049=11,$AJ2049=74),"④一般",IF(OR($AJ2049=41,$AJ2049=47),"⑤短期","対象外"))))))</f>
      </c>
    </row>
    <row r="2050">
      <c r="DB2050" s="2909">
        <f>IF($A2050="","",IF($AE2050&amp;""&lt;&gt;'DB_設定'!$C$4,"対象外",IF($AH2050=20,IF(OR($AJ2050=10,$AJ2050=11,$AJ2050=18),"①病院一般",IF($AJ2050=41,"②病院短期","対象外")),IF($AH2050=5,IF($AJ2050=30,"③特定消防","対象外"),IF(OR($AJ2050=10,$AJ2050=11,$AJ2050=74),"④一般",IF(OR($AJ2050=41,$AJ2050=47),"⑤短期","対象外"))))))</f>
      </c>
    </row>
    <row r="2051">
      <c r="DB2051" s="2909">
        <f>IF($A2051="","",IF($AE2051&amp;""&lt;&gt;'DB_設定'!$C$4,"対象外",IF($AH2051=20,IF(OR($AJ2051=10,$AJ2051=11,$AJ2051=18),"①病院一般",IF($AJ2051=41,"②病院短期","対象外")),IF($AH2051=5,IF($AJ2051=30,"③特定消防","対象外"),IF(OR($AJ2051=10,$AJ2051=11,$AJ2051=74),"④一般",IF(OR($AJ2051=41,$AJ2051=47),"⑤短期","対象外"))))))</f>
      </c>
    </row>
    <row r="2052">
      <c r="DB2052" s="2909">
        <f>IF($A2052="","",IF($AE2052&amp;""&lt;&gt;'DB_設定'!$C$4,"対象外",IF($AH2052=20,IF(OR($AJ2052=10,$AJ2052=11,$AJ2052=18),"①病院一般",IF($AJ2052=41,"②病院短期","対象外")),IF($AH2052=5,IF($AJ2052=30,"③特定消防","対象外"),IF(OR($AJ2052=10,$AJ2052=11,$AJ2052=74),"④一般",IF(OR($AJ2052=41,$AJ2052=47),"⑤短期","対象外"))))))</f>
      </c>
    </row>
    <row r="2053">
      <c r="DB2053" s="2909">
        <f>IF($A2053="","",IF($AE2053&amp;""&lt;&gt;'DB_設定'!$C$4,"対象外",IF($AH2053=20,IF(OR($AJ2053=10,$AJ2053=11,$AJ2053=18),"①病院一般",IF($AJ2053=41,"②病院短期","対象外")),IF($AH2053=5,IF($AJ2053=30,"③特定消防","対象外"),IF(OR($AJ2053=10,$AJ2053=11,$AJ2053=74),"④一般",IF(OR($AJ2053=41,$AJ2053=47),"⑤短期","対象外"))))))</f>
      </c>
    </row>
    <row r="2054">
      <c r="DB2054" s="2909">
        <f>IF($A2054="","",IF($AE2054&amp;""&lt;&gt;'DB_設定'!$C$4,"対象外",IF($AH2054=20,IF(OR($AJ2054=10,$AJ2054=11,$AJ2054=18),"①病院一般",IF($AJ2054=41,"②病院短期","対象外")),IF($AH2054=5,IF($AJ2054=30,"③特定消防","対象外"),IF(OR($AJ2054=10,$AJ2054=11,$AJ2054=74),"④一般",IF(OR($AJ2054=41,$AJ2054=47),"⑤短期","対象外"))))))</f>
      </c>
    </row>
    <row r="2055">
      <c r="DB2055" s="2909">
        <f>IF($A2055="","",IF($AE2055&amp;""&lt;&gt;'DB_設定'!$C$4,"対象外",IF($AH2055=20,IF(OR($AJ2055=10,$AJ2055=11,$AJ2055=18),"①病院一般",IF($AJ2055=41,"②病院短期","対象外")),IF($AH2055=5,IF($AJ2055=30,"③特定消防","対象外"),IF(OR($AJ2055=10,$AJ2055=11,$AJ2055=74),"④一般",IF(OR($AJ2055=41,$AJ2055=47),"⑤短期","対象外"))))))</f>
      </c>
    </row>
    <row r="2056">
      <c r="DB2056" s="2909">
        <f>IF($A2056="","",IF($AE2056&amp;""&lt;&gt;'DB_設定'!$C$4,"対象外",IF($AH2056=20,IF(OR($AJ2056=10,$AJ2056=11,$AJ2056=18),"①病院一般",IF($AJ2056=41,"②病院短期","対象外")),IF($AH2056=5,IF($AJ2056=30,"③特定消防","対象外"),IF(OR($AJ2056=10,$AJ2056=11,$AJ2056=74),"④一般",IF(OR($AJ2056=41,$AJ2056=47),"⑤短期","対象外"))))))</f>
      </c>
    </row>
    <row r="2057">
      <c r="DB2057" s="2909">
        <f>IF($A2057="","",IF($AE2057&amp;""&lt;&gt;'DB_設定'!$C$4,"対象外",IF($AH2057=20,IF(OR($AJ2057=10,$AJ2057=11,$AJ2057=18),"①病院一般",IF($AJ2057=41,"②病院短期","対象外")),IF($AH2057=5,IF($AJ2057=30,"③特定消防","対象外"),IF(OR($AJ2057=10,$AJ2057=11,$AJ2057=74),"④一般",IF(OR($AJ2057=41,$AJ2057=47),"⑤短期","対象外"))))))</f>
      </c>
    </row>
    <row r="2058">
      <c r="DB2058" s="2909">
        <f>IF($A2058="","",IF($AE2058&amp;""&lt;&gt;'DB_設定'!$C$4,"対象外",IF($AH2058=20,IF(OR($AJ2058=10,$AJ2058=11,$AJ2058=18),"①病院一般",IF($AJ2058=41,"②病院短期","対象外")),IF($AH2058=5,IF($AJ2058=30,"③特定消防","対象外"),IF(OR($AJ2058=10,$AJ2058=11,$AJ2058=74),"④一般",IF(OR($AJ2058=41,$AJ2058=47),"⑤短期","対象外"))))))</f>
      </c>
    </row>
    <row r="2059">
      <c r="DB2059" s="2909">
        <f>IF($A2059="","",IF($AE2059&amp;""&lt;&gt;'DB_設定'!$C$4,"対象外",IF($AH2059=20,IF(OR($AJ2059=10,$AJ2059=11,$AJ2059=18),"①病院一般",IF($AJ2059=41,"②病院短期","対象外")),IF($AH2059=5,IF($AJ2059=30,"③特定消防","対象外"),IF(OR($AJ2059=10,$AJ2059=11,$AJ2059=74),"④一般",IF(OR($AJ2059=41,$AJ2059=47),"⑤短期","対象外"))))))</f>
      </c>
    </row>
    <row r="2060">
      <c r="DB2060" s="2909">
        <f>IF($A2060="","",IF($AE2060&amp;""&lt;&gt;'DB_設定'!$C$4,"対象外",IF($AH2060=20,IF(OR($AJ2060=10,$AJ2060=11,$AJ2060=18),"①病院一般",IF($AJ2060=41,"②病院短期","対象外")),IF($AH2060=5,IF($AJ2060=30,"③特定消防","対象外"),IF(OR($AJ2060=10,$AJ2060=11,$AJ2060=74),"④一般",IF(OR($AJ2060=41,$AJ2060=47),"⑤短期","対象外"))))))</f>
      </c>
    </row>
    <row r="2061">
      <c r="DB2061" s="2909">
        <f>IF($A2061="","",IF($AE2061&amp;""&lt;&gt;'DB_設定'!$C$4,"対象外",IF($AH2061=20,IF(OR($AJ2061=10,$AJ2061=11,$AJ2061=18),"①病院一般",IF($AJ2061=41,"②病院短期","対象外")),IF($AH2061=5,IF($AJ2061=30,"③特定消防","対象外"),IF(OR($AJ2061=10,$AJ2061=11,$AJ2061=74),"④一般",IF(OR($AJ2061=41,$AJ2061=47),"⑤短期","対象外"))))))</f>
      </c>
    </row>
    <row r="2062">
      <c r="DB2062" s="2909">
        <f>IF($A2062="","",IF($AE2062&amp;""&lt;&gt;'DB_設定'!$C$4,"対象外",IF($AH2062=20,IF(OR($AJ2062=10,$AJ2062=11,$AJ2062=18),"①病院一般",IF($AJ2062=41,"②病院短期","対象外")),IF($AH2062=5,IF($AJ2062=30,"③特定消防","対象外"),IF(OR($AJ2062=10,$AJ2062=11,$AJ2062=74),"④一般",IF(OR($AJ2062=41,$AJ2062=47),"⑤短期","対象外"))))))</f>
      </c>
    </row>
    <row r="2063">
      <c r="DB2063" s="2909">
        <f>IF($A2063="","",IF($AE2063&amp;""&lt;&gt;'DB_設定'!$C$4,"対象外",IF($AH2063=20,IF(OR($AJ2063=10,$AJ2063=11,$AJ2063=18),"①病院一般",IF($AJ2063=41,"②病院短期","対象外")),IF($AH2063=5,IF($AJ2063=30,"③特定消防","対象外"),IF(OR($AJ2063=10,$AJ2063=11,$AJ2063=74),"④一般",IF(OR($AJ2063=41,$AJ2063=47),"⑤短期","対象外"))))))</f>
      </c>
    </row>
    <row r="2064">
      <c r="DB2064" s="2909">
        <f>IF($A2064="","",IF($AE2064&amp;""&lt;&gt;'DB_設定'!$C$4,"対象外",IF($AH2064=20,IF(OR($AJ2064=10,$AJ2064=11,$AJ2064=18),"①病院一般",IF($AJ2064=41,"②病院短期","対象外")),IF($AH2064=5,IF($AJ2064=30,"③特定消防","対象外"),IF(OR($AJ2064=10,$AJ2064=11,$AJ2064=74),"④一般",IF(OR($AJ2064=41,$AJ2064=47),"⑤短期","対象外"))))))</f>
      </c>
    </row>
    <row r="2065">
      <c r="DB2065" s="2909">
        <f>IF($A2065="","",IF($AE2065&amp;""&lt;&gt;'DB_設定'!$C$4,"対象外",IF($AH2065=20,IF(OR($AJ2065=10,$AJ2065=11,$AJ2065=18),"①病院一般",IF($AJ2065=41,"②病院短期","対象外")),IF($AH2065=5,IF($AJ2065=30,"③特定消防","対象外"),IF(OR($AJ2065=10,$AJ2065=11,$AJ2065=74),"④一般",IF(OR($AJ2065=41,$AJ2065=47),"⑤短期","対象外"))))))</f>
      </c>
    </row>
    <row r="2066">
      <c r="DB2066" s="2909">
        <f>IF($A2066="","",IF($AE2066&amp;""&lt;&gt;'DB_設定'!$C$4,"対象外",IF($AH2066=20,IF(OR($AJ2066=10,$AJ2066=11,$AJ2066=18),"①病院一般",IF($AJ2066=41,"②病院短期","対象外")),IF($AH2066=5,IF($AJ2066=30,"③特定消防","対象外"),IF(OR($AJ2066=10,$AJ2066=11,$AJ2066=74),"④一般",IF(OR($AJ2066=41,$AJ2066=47),"⑤短期","対象外"))))))</f>
      </c>
    </row>
    <row r="2067">
      <c r="DB2067" s="2909">
        <f>IF($A2067="","",IF($AE2067&amp;""&lt;&gt;'DB_設定'!$C$4,"対象外",IF($AH2067=20,IF(OR($AJ2067=10,$AJ2067=11,$AJ2067=18),"①病院一般",IF($AJ2067=41,"②病院短期","対象外")),IF($AH2067=5,IF($AJ2067=30,"③特定消防","対象外"),IF(OR($AJ2067=10,$AJ2067=11,$AJ2067=74),"④一般",IF(OR($AJ2067=41,$AJ2067=47),"⑤短期","対象外"))))))</f>
      </c>
    </row>
    <row r="2068">
      <c r="DB2068" s="2909">
        <f>IF($A2068="","",IF($AE2068&amp;""&lt;&gt;'DB_設定'!$C$4,"対象外",IF($AH2068=20,IF(OR($AJ2068=10,$AJ2068=11,$AJ2068=18),"①病院一般",IF($AJ2068=41,"②病院短期","対象外")),IF($AH2068=5,IF($AJ2068=30,"③特定消防","対象外"),IF(OR($AJ2068=10,$AJ2068=11,$AJ2068=74),"④一般",IF(OR($AJ2068=41,$AJ2068=47),"⑤短期","対象外"))))))</f>
      </c>
    </row>
    <row r="2069">
      <c r="DB2069" s="2909">
        <f>IF($A2069="","",IF($AE2069&amp;""&lt;&gt;'DB_設定'!$C$4,"対象外",IF($AH2069=20,IF(OR($AJ2069=10,$AJ2069=11,$AJ2069=18),"①病院一般",IF($AJ2069=41,"②病院短期","対象外")),IF($AH2069=5,IF($AJ2069=30,"③特定消防","対象外"),IF(OR($AJ2069=10,$AJ2069=11,$AJ2069=74),"④一般",IF(OR($AJ2069=41,$AJ2069=47),"⑤短期","対象外"))))))</f>
      </c>
    </row>
    <row r="2070">
      <c r="DB2070" s="2909">
        <f>IF($A2070="","",IF($AE2070&amp;""&lt;&gt;'DB_設定'!$C$4,"対象外",IF($AH2070=20,IF(OR($AJ2070=10,$AJ2070=11,$AJ2070=18),"①病院一般",IF($AJ2070=41,"②病院短期","対象外")),IF($AH2070=5,IF($AJ2070=30,"③特定消防","対象外"),IF(OR($AJ2070=10,$AJ2070=11,$AJ2070=74),"④一般",IF(OR($AJ2070=41,$AJ2070=47),"⑤短期","対象外"))))))</f>
      </c>
    </row>
    <row r="2071">
      <c r="DB2071" s="2909">
        <f>IF($A2071="","",IF($AE2071&amp;""&lt;&gt;'DB_設定'!$C$4,"対象外",IF($AH2071=20,IF(OR($AJ2071=10,$AJ2071=11,$AJ2071=18),"①病院一般",IF($AJ2071=41,"②病院短期","対象外")),IF($AH2071=5,IF($AJ2071=30,"③特定消防","対象外"),IF(OR($AJ2071=10,$AJ2071=11,$AJ2071=74),"④一般",IF(OR($AJ2071=41,$AJ2071=47),"⑤短期","対象外"))))))</f>
      </c>
    </row>
    <row r="2072">
      <c r="DB2072" s="2909">
        <f>IF($A2072="","",IF($AE2072&amp;""&lt;&gt;'DB_設定'!$C$4,"対象外",IF($AH2072=20,IF(OR($AJ2072=10,$AJ2072=11,$AJ2072=18),"①病院一般",IF($AJ2072=41,"②病院短期","対象外")),IF($AH2072=5,IF($AJ2072=30,"③特定消防","対象外"),IF(OR($AJ2072=10,$AJ2072=11,$AJ2072=74),"④一般",IF(OR($AJ2072=41,$AJ2072=47),"⑤短期","対象外"))))))</f>
      </c>
    </row>
    <row r="2073">
      <c r="DB2073" s="2909">
        <f>IF($A2073="","",IF($AE2073&amp;""&lt;&gt;'DB_設定'!$C$4,"対象外",IF($AH2073=20,IF(OR($AJ2073=10,$AJ2073=11,$AJ2073=18),"①病院一般",IF($AJ2073=41,"②病院短期","対象外")),IF($AH2073=5,IF($AJ2073=30,"③特定消防","対象外"),IF(OR($AJ2073=10,$AJ2073=11,$AJ2073=74),"④一般",IF(OR($AJ2073=41,$AJ2073=47),"⑤短期","対象外"))))))</f>
      </c>
    </row>
    <row r="2074">
      <c r="DB2074" s="2909">
        <f>IF($A2074="","",IF($AE2074&amp;""&lt;&gt;'DB_設定'!$C$4,"対象外",IF($AH2074=20,IF(OR($AJ2074=10,$AJ2074=11,$AJ2074=18),"①病院一般",IF($AJ2074=41,"②病院短期","対象外")),IF($AH2074=5,IF($AJ2074=30,"③特定消防","対象外"),IF(OR($AJ2074=10,$AJ2074=11,$AJ2074=74),"④一般",IF(OR($AJ2074=41,$AJ2074=47),"⑤短期","対象外"))))))</f>
      </c>
    </row>
    <row r="2075">
      <c r="DB2075" s="2909">
        <f>IF($A2075="","",IF($AE2075&amp;""&lt;&gt;'DB_設定'!$C$4,"対象外",IF($AH2075=20,IF(OR($AJ2075=10,$AJ2075=11,$AJ2075=18),"①病院一般",IF($AJ2075=41,"②病院短期","対象外")),IF($AH2075=5,IF($AJ2075=30,"③特定消防","対象外"),IF(OR($AJ2075=10,$AJ2075=11,$AJ2075=74),"④一般",IF(OR($AJ2075=41,$AJ2075=47),"⑤短期","対象外"))))))</f>
      </c>
    </row>
    <row r="2076">
      <c r="DB2076" s="2909">
        <f>IF($A2076="","",IF($AE2076&amp;""&lt;&gt;'DB_設定'!$C$4,"対象外",IF($AH2076=20,IF(OR($AJ2076=10,$AJ2076=11,$AJ2076=18),"①病院一般",IF($AJ2076=41,"②病院短期","対象外")),IF($AH2076=5,IF($AJ2076=30,"③特定消防","対象外"),IF(OR($AJ2076=10,$AJ2076=11,$AJ2076=74),"④一般",IF(OR($AJ2076=41,$AJ2076=47),"⑤短期","対象外"))))))</f>
      </c>
    </row>
    <row r="2077">
      <c r="DB2077" s="2909">
        <f>IF($A2077="","",IF($AE2077&amp;""&lt;&gt;'DB_設定'!$C$4,"対象外",IF($AH2077=20,IF(OR($AJ2077=10,$AJ2077=11,$AJ2077=18),"①病院一般",IF($AJ2077=41,"②病院短期","対象外")),IF($AH2077=5,IF($AJ2077=30,"③特定消防","対象外"),IF(OR($AJ2077=10,$AJ2077=11,$AJ2077=74),"④一般",IF(OR($AJ2077=41,$AJ2077=47),"⑤短期","対象外"))))))</f>
      </c>
    </row>
    <row r="2078">
      <c r="DB2078" s="2909">
        <f>IF($A2078="","",IF($AE2078&amp;""&lt;&gt;'DB_設定'!$C$4,"対象外",IF($AH2078=20,IF(OR($AJ2078=10,$AJ2078=11,$AJ2078=18),"①病院一般",IF($AJ2078=41,"②病院短期","対象外")),IF($AH2078=5,IF($AJ2078=30,"③特定消防","対象外"),IF(OR($AJ2078=10,$AJ2078=11,$AJ2078=74),"④一般",IF(OR($AJ2078=41,$AJ2078=47),"⑤短期","対象外"))))))</f>
      </c>
    </row>
    <row r="2079">
      <c r="DB2079" s="2909">
        <f>IF($A2079="","",IF($AE2079&amp;""&lt;&gt;'DB_設定'!$C$4,"対象外",IF($AH2079=20,IF(OR($AJ2079=10,$AJ2079=11,$AJ2079=18),"①病院一般",IF($AJ2079=41,"②病院短期","対象外")),IF($AH2079=5,IF($AJ2079=30,"③特定消防","対象外"),IF(OR($AJ2079=10,$AJ2079=11,$AJ2079=74),"④一般",IF(OR($AJ2079=41,$AJ2079=47),"⑤短期","対象外"))))))</f>
      </c>
    </row>
    <row r="2080">
      <c r="DB2080" s="2909">
        <f>IF($A2080="","",IF($AE2080&amp;""&lt;&gt;'DB_設定'!$C$4,"対象外",IF($AH2080=20,IF(OR($AJ2080=10,$AJ2080=11,$AJ2080=18),"①病院一般",IF($AJ2080=41,"②病院短期","対象外")),IF($AH2080=5,IF($AJ2080=30,"③特定消防","対象外"),IF(OR($AJ2080=10,$AJ2080=11,$AJ2080=74),"④一般",IF(OR($AJ2080=41,$AJ2080=47),"⑤短期","対象外"))))))</f>
      </c>
    </row>
    <row r="2081">
      <c r="DB2081" s="2909">
        <f>IF($A2081="","",IF($AE2081&amp;""&lt;&gt;'DB_設定'!$C$4,"対象外",IF($AH2081=20,IF(OR($AJ2081=10,$AJ2081=11,$AJ2081=18),"①病院一般",IF($AJ2081=41,"②病院短期","対象外")),IF($AH2081=5,IF($AJ2081=30,"③特定消防","対象外"),IF(OR($AJ2081=10,$AJ2081=11,$AJ2081=74),"④一般",IF(OR($AJ2081=41,$AJ2081=47),"⑤短期","対象外"))))))</f>
      </c>
    </row>
    <row r="2082">
      <c r="DB2082" s="2909">
        <f>IF($A2082="","",IF($AE2082&amp;""&lt;&gt;'DB_設定'!$C$4,"対象外",IF($AH2082=20,IF(OR($AJ2082=10,$AJ2082=11,$AJ2082=18),"①病院一般",IF($AJ2082=41,"②病院短期","対象外")),IF($AH2082=5,IF($AJ2082=30,"③特定消防","対象外"),IF(OR($AJ2082=10,$AJ2082=11,$AJ2082=74),"④一般",IF(OR($AJ2082=41,$AJ2082=47),"⑤短期","対象外"))))))</f>
      </c>
    </row>
    <row r="2083">
      <c r="DB2083" s="2909">
        <f>IF($A2083="","",IF($AE2083&amp;""&lt;&gt;'DB_設定'!$C$4,"対象外",IF($AH2083=20,IF(OR($AJ2083=10,$AJ2083=11,$AJ2083=18),"①病院一般",IF($AJ2083=41,"②病院短期","対象外")),IF($AH2083=5,IF($AJ2083=30,"③特定消防","対象外"),IF(OR($AJ2083=10,$AJ2083=11,$AJ2083=74),"④一般",IF(OR($AJ2083=41,$AJ2083=47),"⑤短期","対象外"))))))</f>
      </c>
    </row>
    <row r="2084">
      <c r="DB2084" s="2909">
        <f>IF($A2084="","",IF($AE2084&amp;""&lt;&gt;'DB_設定'!$C$4,"対象外",IF($AH2084=20,IF(OR($AJ2084=10,$AJ2084=11,$AJ2084=18),"①病院一般",IF($AJ2084=41,"②病院短期","対象外")),IF($AH2084=5,IF($AJ2084=30,"③特定消防","対象外"),IF(OR($AJ2084=10,$AJ2084=11,$AJ2084=74),"④一般",IF(OR($AJ2084=41,$AJ2084=47),"⑤短期","対象外"))))))</f>
      </c>
    </row>
    <row r="2085">
      <c r="DB2085" s="2909">
        <f>IF($A2085="","",IF($AE2085&amp;""&lt;&gt;'DB_設定'!$C$4,"対象外",IF($AH2085=20,IF(OR($AJ2085=10,$AJ2085=11,$AJ2085=18),"①病院一般",IF($AJ2085=41,"②病院短期","対象外")),IF($AH2085=5,IF($AJ2085=30,"③特定消防","対象外"),IF(OR($AJ2085=10,$AJ2085=11,$AJ2085=74),"④一般",IF(OR($AJ2085=41,$AJ2085=47),"⑤短期","対象外"))))))</f>
      </c>
    </row>
    <row r="2086">
      <c r="DB2086" s="2909">
        <f>IF($A2086="","",IF($AE2086&amp;""&lt;&gt;'DB_設定'!$C$4,"対象外",IF($AH2086=20,IF(OR($AJ2086=10,$AJ2086=11,$AJ2086=18),"①病院一般",IF($AJ2086=41,"②病院短期","対象外")),IF($AH2086=5,IF($AJ2086=30,"③特定消防","対象外"),IF(OR($AJ2086=10,$AJ2086=11,$AJ2086=74),"④一般",IF(OR($AJ2086=41,$AJ2086=47),"⑤短期","対象外"))))))</f>
      </c>
    </row>
    <row r="2087">
      <c r="DB2087" s="2909">
        <f>IF($A2087="","",IF($AE2087&amp;""&lt;&gt;'DB_設定'!$C$4,"対象外",IF($AH2087=20,IF(OR($AJ2087=10,$AJ2087=11,$AJ2087=18),"①病院一般",IF($AJ2087=41,"②病院短期","対象外")),IF($AH2087=5,IF($AJ2087=30,"③特定消防","対象外"),IF(OR($AJ2087=10,$AJ2087=11,$AJ2087=74),"④一般",IF(OR($AJ2087=41,$AJ2087=47),"⑤短期","対象外"))))))</f>
      </c>
    </row>
    <row r="2088">
      <c r="DB2088" s="2909">
        <f>IF($A2088="","",IF($AE2088&amp;""&lt;&gt;'DB_設定'!$C$4,"対象外",IF($AH2088=20,IF(OR($AJ2088=10,$AJ2088=11,$AJ2088=18),"①病院一般",IF($AJ2088=41,"②病院短期","対象外")),IF($AH2088=5,IF($AJ2088=30,"③特定消防","対象外"),IF(OR($AJ2088=10,$AJ2088=11,$AJ2088=74),"④一般",IF(OR($AJ2088=41,$AJ2088=47),"⑤短期","対象外"))))))</f>
      </c>
    </row>
    <row r="2089">
      <c r="DB2089" s="2909">
        <f>IF($A2089="","",IF($AE2089&amp;""&lt;&gt;'DB_設定'!$C$4,"対象外",IF($AH2089=20,IF(OR($AJ2089=10,$AJ2089=11,$AJ2089=18),"①病院一般",IF($AJ2089=41,"②病院短期","対象外")),IF($AH2089=5,IF($AJ2089=30,"③特定消防","対象外"),IF(OR($AJ2089=10,$AJ2089=11,$AJ2089=74),"④一般",IF(OR($AJ2089=41,$AJ2089=47),"⑤短期","対象外"))))))</f>
      </c>
    </row>
    <row r="2090">
      <c r="DB2090" s="2909">
        <f>IF($A2090="","",IF($AE2090&amp;""&lt;&gt;'DB_設定'!$C$4,"対象外",IF($AH2090=20,IF(OR($AJ2090=10,$AJ2090=11,$AJ2090=18),"①病院一般",IF($AJ2090=41,"②病院短期","対象外")),IF($AH2090=5,IF($AJ2090=30,"③特定消防","対象外"),IF(OR($AJ2090=10,$AJ2090=11,$AJ2090=74),"④一般",IF(OR($AJ2090=41,$AJ2090=47),"⑤短期","対象外"))))))</f>
      </c>
    </row>
    <row r="2091">
      <c r="DB2091" s="2909">
        <f>IF($A2091="","",IF($AE2091&amp;""&lt;&gt;'DB_設定'!$C$4,"対象外",IF($AH2091=20,IF(OR($AJ2091=10,$AJ2091=11,$AJ2091=18),"①病院一般",IF($AJ2091=41,"②病院短期","対象外")),IF($AH2091=5,IF($AJ2091=30,"③特定消防","対象外"),IF(OR($AJ2091=10,$AJ2091=11,$AJ2091=74),"④一般",IF(OR($AJ2091=41,$AJ2091=47),"⑤短期","対象外"))))))</f>
      </c>
    </row>
    <row r="2092">
      <c r="DB2092" s="2909">
        <f>IF($A2092="","",IF($AE2092&amp;""&lt;&gt;'DB_設定'!$C$4,"対象外",IF($AH2092=20,IF(OR($AJ2092=10,$AJ2092=11,$AJ2092=18),"①病院一般",IF($AJ2092=41,"②病院短期","対象外")),IF($AH2092=5,IF($AJ2092=30,"③特定消防","対象外"),IF(OR($AJ2092=10,$AJ2092=11,$AJ2092=74),"④一般",IF(OR($AJ2092=41,$AJ2092=47),"⑤短期","対象外"))))))</f>
      </c>
    </row>
    <row r="2093">
      <c r="DB2093" s="2909">
        <f>IF($A2093="","",IF($AE2093&amp;""&lt;&gt;'DB_設定'!$C$4,"対象外",IF($AH2093=20,IF(OR($AJ2093=10,$AJ2093=11,$AJ2093=18),"①病院一般",IF($AJ2093=41,"②病院短期","対象外")),IF($AH2093=5,IF($AJ2093=30,"③特定消防","対象外"),IF(OR($AJ2093=10,$AJ2093=11,$AJ2093=74),"④一般",IF(OR($AJ2093=41,$AJ2093=47),"⑤短期","対象外"))))))</f>
      </c>
    </row>
    <row r="2094">
      <c r="DB2094" s="2909">
        <f>IF($A2094="","",IF($AE2094&amp;""&lt;&gt;'DB_設定'!$C$4,"対象外",IF($AH2094=20,IF(OR($AJ2094=10,$AJ2094=11,$AJ2094=18),"①病院一般",IF($AJ2094=41,"②病院短期","対象外")),IF($AH2094=5,IF($AJ2094=30,"③特定消防","対象外"),IF(OR($AJ2094=10,$AJ2094=11,$AJ2094=74),"④一般",IF(OR($AJ2094=41,$AJ2094=47),"⑤短期","対象外"))))))</f>
      </c>
    </row>
    <row r="2095">
      <c r="DB2095" s="2909">
        <f>IF($A2095="","",IF($AE2095&amp;""&lt;&gt;'DB_設定'!$C$4,"対象外",IF($AH2095=20,IF(OR($AJ2095=10,$AJ2095=11,$AJ2095=18),"①病院一般",IF($AJ2095=41,"②病院短期","対象外")),IF($AH2095=5,IF($AJ2095=30,"③特定消防","対象外"),IF(OR($AJ2095=10,$AJ2095=11,$AJ2095=74),"④一般",IF(OR($AJ2095=41,$AJ2095=47),"⑤短期","対象外"))))))</f>
      </c>
    </row>
    <row r="2096">
      <c r="DB2096" s="2909">
        <f>IF($A2096="","",IF($AE2096&amp;""&lt;&gt;'DB_設定'!$C$4,"対象外",IF($AH2096=20,IF(OR($AJ2096=10,$AJ2096=11,$AJ2096=18),"①病院一般",IF($AJ2096=41,"②病院短期","対象外")),IF($AH2096=5,IF($AJ2096=30,"③特定消防","対象外"),IF(OR($AJ2096=10,$AJ2096=11,$AJ2096=74),"④一般",IF(OR($AJ2096=41,$AJ2096=47),"⑤短期","対象外"))))))</f>
      </c>
    </row>
    <row r="2097">
      <c r="DB2097" s="2909">
        <f>IF($A2097="","",IF($AE2097&amp;""&lt;&gt;'DB_設定'!$C$4,"対象外",IF($AH2097=20,IF(OR($AJ2097=10,$AJ2097=11,$AJ2097=18),"①病院一般",IF($AJ2097=41,"②病院短期","対象外")),IF($AH2097=5,IF($AJ2097=30,"③特定消防","対象外"),IF(OR($AJ2097=10,$AJ2097=11,$AJ2097=74),"④一般",IF(OR($AJ2097=41,$AJ2097=47),"⑤短期","対象外"))))))</f>
      </c>
    </row>
    <row r="2098">
      <c r="DB2098" s="2909">
        <f>IF($A2098="","",IF($AE2098&amp;""&lt;&gt;'DB_設定'!$C$4,"対象外",IF($AH2098=20,IF(OR($AJ2098=10,$AJ2098=11,$AJ2098=18),"①病院一般",IF($AJ2098=41,"②病院短期","対象外")),IF($AH2098=5,IF($AJ2098=30,"③特定消防","対象外"),IF(OR($AJ2098=10,$AJ2098=11,$AJ2098=74),"④一般",IF(OR($AJ2098=41,$AJ2098=47),"⑤短期","対象外"))))))</f>
      </c>
    </row>
    <row r="2099">
      <c r="DB2099" s="2909">
        <f>IF($A2099="","",IF($AE2099&amp;""&lt;&gt;'DB_設定'!$C$4,"対象外",IF($AH2099=20,IF(OR($AJ2099=10,$AJ2099=11,$AJ2099=18),"①病院一般",IF($AJ2099=41,"②病院短期","対象外")),IF($AH2099=5,IF($AJ2099=30,"③特定消防","対象外"),IF(OR($AJ2099=10,$AJ2099=11,$AJ2099=74),"④一般",IF(OR($AJ2099=41,$AJ2099=47),"⑤短期","対象外"))))))</f>
      </c>
    </row>
    <row r="2100">
      <c r="DB2100" s="2909">
        <f>IF($A2100="","",IF($AE2100&amp;""&lt;&gt;'DB_設定'!$C$4,"対象外",IF($AH2100=20,IF(OR($AJ2100=10,$AJ2100=11,$AJ2100=18),"①病院一般",IF($AJ2100=41,"②病院短期","対象外")),IF($AH2100=5,IF($AJ2100=30,"③特定消防","対象外"),IF(OR($AJ2100=10,$AJ2100=11,$AJ2100=74),"④一般",IF(OR($AJ2100=41,$AJ2100=47),"⑤短期","対象外"))))))</f>
      </c>
    </row>
    <row r="2101">
      <c r="DB2101" s="2909">
        <f>IF($A2101="","",IF($AE2101&amp;""&lt;&gt;'DB_設定'!$C$4,"対象外",IF($AH2101=20,IF(OR($AJ2101=10,$AJ2101=11,$AJ2101=18),"①病院一般",IF($AJ2101=41,"②病院短期","対象外")),IF($AH2101=5,IF($AJ2101=30,"③特定消防","対象外"),IF(OR($AJ2101=10,$AJ2101=11,$AJ2101=74),"④一般",IF(OR($AJ2101=41,$AJ2101=47),"⑤短期","対象外"))))))</f>
      </c>
    </row>
    <row r="2102">
      <c r="DB2102" s="2909">
        <f>IF($A2102="","",IF($AE2102&amp;""&lt;&gt;'DB_設定'!$C$4,"対象外",IF($AH2102=20,IF(OR($AJ2102=10,$AJ2102=11,$AJ2102=18),"①病院一般",IF($AJ2102=41,"②病院短期","対象外")),IF($AH2102=5,IF($AJ2102=30,"③特定消防","対象外"),IF(OR($AJ2102=10,$AJ2102=11,$AJ2102=74),"④一般",IF(OR($AJ2102=41,$AJ2102=47),"⑤短期","対象外"))))))</f>
      </c>
    </row>
    <row r="2103">
      <c r="DB2103" s="2909">
        <f>IF($A2103="","",IF($AE2103&amp;""&lt;&gt;'DB_設定'!$C$4,"対象外",IF($AH2103=20,IF(OR($AJ2103=10,$AJ2103=11,$AJ2103=18),"①病院一般",IF($AJ2103=41,"②病院短期","対象外")),IF($AH2103=5,IF($AJ2103=30,"③特定消防","対象外"),IF(OR($AJ2103=10,$AJ2103=11,$AJ2103=74),"④一般",IF(OR($AJ2103=41,$AJ2103=47),"⑤短期","対象外"))))))</f>
      </c>
    </row>
    <row r="2104">
      <c r="DB2104" s="2909">
        <f>IF($A2104="","",IF($AE2104&amp;""&lt;&gt;'DB_設定'!$C$4,"対象外",IF($AH2104=20,IF(OR($AJ2104=10,$AJ2104=11,$AJ2104=18),"①病院一般",IF($AJ2104=41,"②病院短期","対象外")),IF($AH2104=5,IF($AJ2104=30,"③特定消防","対象外"),IF(OR($AJ2104=10,$AJ2104=11,$AJ2104=74),"④一般",IF(OR($AJ2104=41,$AJ2104=47),"⑤短期","対象外"))))))</f>
      </c>
    </row>
    <row r="2105">
      <c r="DB2105" s="2909">
        <f>IF($A2105="","",IF($AE2105&amp;""&lt;&gt;'DB_設定'!$C$4,"対象外",IF($AH2105=20,IF(OR($AJ2105=10,$AJ2105=11,$AJ2105=18),"①病院一般",IF($AJ2105=41,"②病院短期","対象外")),IF($AH2105=5,IF($AJ2105=30,"③特定消防","対象外"),IF(OR($AJ2105=10,$AJ2105=11,$AJ2105=74),"④一般",IF(OR($AJ2105=41,$AJ2105=47),"⑤短期","対象外"))))))</f>
      </c>
    </row>
    <row r="2106">
      <c r="DB2106" s="2909">
        <f>IF($A2106="","",IF($AE2106&amp;""&lt;&gt;'DB_設定'!$C$4,"対象外",IF($AH2106=20,IF(OR($AJ2106=10,$AJ2106=11,$AJ2106=18),"①病院一般",IF($AJ2106=41,"②病院短期","対象外")),IF($AH2106=5,IF($AJ2106=30,"③特定消防","対象外"),IF(OR($AJ2106=10,$AJ2106=11,$AJ2106=74),"④一般",IF(OR($AJ2106=41,$AJ2106=47),"⑤短期","対象外"))))))</f>
      </c>
    </row>
    <row r="2107">
      <c r="DB2107" s="2909">
        <f>IF($A2107="","",IF($AE2107&amp;""&lt;&gt;'DB_設定'!$C$4,"対象外",IF($AH2107=20,IF(OR($AJ2107=10,$AJ2107=11,$AJ2107=18),"①病院一般",IF($AJ2107=41,"②病院短期","対象外")),IF($AH2107=5,IF($AJ2107=30,"③特定消防","対象外"),IF(OR($AJ2107=10,$AJ2107=11,$AJ2107=74),"④一般",IF(OR($AJ2107=41,$AJ2107=47),"⑤短期","対象外"))))))</f>
      </c>
    </row>
    <row r="2108">
      <c r="DB2108" s="2909">
        <f>IF($A2108="","",IF($AE2108&amp;""&lt;&gt;'DB_設定'!$C$4,"対象外",IF($AH2108=20,IF(OR($AJ2108=10,$AJ2108=11,$AJ2108=18),"①病院一般",IF($AJ2108=41,"②病院短期","対象外")),IF($AH2108=5,IF($AJ2108=30,"③特定消防","対象外"),IF(OR($AJ2108=10,$AJ2108=11,$AJ2108=74),"④一般",IF(OR($AJ2108=41,$AJ2108=47),"⑤短期","対象外"))))))</f>
      </c>
    </row>
    <row r="2109">
      <c r="DB2109" s="2909">
        <f>IF($A2109="","",IF($AE2109&amp;""&lt;&gt;'DB_設定'!$C$4,"対象外",IF($AH2109=20,IF(OR($AJ2109=10,$AJ2109=11,$AJ2109=18),"①病院一般",IF($AJ2109=41,"②病院短期","対象外")),IF($AH2109=5,IF($AJ2109=30,"③特定消防","対象外"),IF(OR($AJ2109=10,$AJ2109=11,$AJ2109=74),"④一般",IF(OR($AJ2109=41,$AJ2109=47),"⑤短期","対象外"))))))</f>
      </c>
    </row>
    <row r="2110">
      <c r="DB2110" s="2909">
        <f>IF($A2110="","",IF($AE2110&amp;""&lt;&gt;'DB_設定'!$C$4,"対象外",IF($AH2110=20,IF(OR($AJ2110=10,$AJ2110=11,$AJ2110=18),"①病院一般",IF($AJ2110=41,"②病院短期","対象外")),IF($AH2110=5,IF($AJ2110=30,"③特定消防","対象外"),IF(OR($AJ2110=10,$AJ2110=11,$AJ2110=74),"④一般",IF(OR($AJ2110=41,$AJ2110=47),"⑤短期","対象外"))))))</f>
      </c>
    </row>
    <row r="2111">
      <c r="DB2111" s="2909">
        <f>IF($A2111="","",IF($AE2111&amp;""&lt;&gt;'DB_設定'!$C$4,"対象外",IF($AH2111=20,IF(OR($AJ2111=10,$AJ2111=11,$AJ2111=18),"①病院一般",IF($AJ2111=41,"②病院短期","対象外")),IF($AH2111=5,IF($AJ2111=30,"③特定消防","対象外"),IF(OR($AJ2111=10,$AJ2111=11,$AJ2111=74),"④一般",IF(OR($AJ2111=41,$AJ2111=47),"⑤短期","対象外"))))))</f>
      </c>
    </row>
    <row r="2112">
      <c r="DB2112" s="2909">
        <f>IF($A2112="","",IF($AE2112&amp;""&lt;&gt;'DB_設定'!$C$4,"対象外",IF($AH2112=20,IF(OR($AJ2112=10,$AJ2112=11,$AJ2112=18),"①病院一般",IF($AJ2112=41,"②病院短期","対象外")),IF($AH2112=5,IF($AJ2112=30,"③特定消防","対象外"),IF(OR($AJ2112=10,$AJ2112=11,$AJ2112=74),"④一般",IF(OR($AJ2112=41,$AJ2112=47),"⑤短期","対象外"))))))</f>
      </c>
    </row>
    <row r="2113">
      <c r="DB2113" s="2909">
        <f>IF($A2113="","",IF($AE2113&amp;""&lt;&gt;'DB_設定'!$C$4,"対象外",IF($AH2113=20,IF(OR($AJ2113=10,$AJ2113=11,$AJ2113=18),"①病院一般",IF($AJ2113=41,"②病院短期","対象外")),IF($AH2113=5,IF($AJ2113=30,"③特定消防","対象外"),IF(OR($AJ2113=10,$AJ2113=11,$AJ2113=74),"④一般",IF(OR($AJ2113=41,$AJ2113=47),"⑤短期","対象外"))))))</f>
      </c>
    </row>
    <row r="2114">
      <c r="DB2114" s="2909">
        <f>IF($A2114="","",IF($AE2114&amp;""&lt;&gt;'DB_設定'!$C$4,"対象外",IF($AH2114=20,IF(OR($AJ2114=10,$AJ2114=11,$AJ2114=18),"①病院一般",IF($AJ2114=41,"②病院短期","対象外")),IF($AH2114=5,IF($AJ2114=30,"③特定消防","対象外"),IF(OR($AJ2114=10,$AJ2114=11,$AJ2114=74),"④一般",IF(OR($AJ2114=41,$AJ2114=47),"⑤短期","対象外"))))))</f>
      </c>
    </row>
    <row r="2115">
      <c r="DB2115" s="2909">
        <f>IF($A2115="","",IF($AE2115&amp;""&lt;&gt;'DB_設定'!$C$4,"対象外",IF($AH2115=20,IF(OR($AJ2115=10,$AJ2115=11,$AJ2115=18),"①病院一般",IF($AJ2115=41,"②病院短期","対象外")),IF($AH2115=5,IF($AJ2115=30,"③特定消防","対象外"),IF(OR($AJ2115=10,$AJ2115=11,$AJ2115=74),"④一般",IF(OR($AJ2115=41,$AJ2115=47),"⑤短期","対象外"))))))</f>
      </c>
    </row>
    <row r="2116">
      <c r="DB2116" s="2909">
        <f>IF($A2116="","",IF($AE2116&amp;""&lt;&gt;'DB_設定'!$C$4,"対象外",IF($AH2116=20,IF(OR($AJ2116=10,$AJ2116=11,$AJ2116=18),"①病院一般",IF($AJ2116=41,"②病院短期","対象外")),IF($AH2116=5,IF($AJ2116=30,"③特定消防","対象外"),IF(OR($AJ2116=10,$AJ2116=11,$AJ2116=74),"④一般",IF(OR($AJ2116=41,$AJ2116=47),"⑤短期","対象外"))))))</f>
      </c>
    </row>
    <row r="2117">
      <c r="DB2117" s="2909">
        <f>IF($A2117="","",IF($AE2117&amp;""&lt;&gt;'DB_設定'!$C$4,"対象外",IF($AH2117=20,IF(OR($AJ2117=10,$AJ2117=11,$AJ2117=18),"①病院一般",IF($AJ2117=41,"②病院短期","対象外")),IF($AH2117=5,IF($AJ2117=30,"③特定消防","対象外"),IF(OR($AJ2117=10,$AJ2117=11,$AJ2117=74),"④一般",IF(OR($AJ2117=41,$AJ2117=47),"⑤短期","対象外"))))))</f>
      </c>
    </row>
    <row r="2118">
      <c r="DB2118" s="2909">
        <f>IF($A2118="","",IF($AE2118&amp;""&lt;&gt;'DB_設定'!$C$4,"対象外",IF($AH2118=20,IF(OR($AJ2118=10,$AJ2118=11,$AJ2118=18),"①病院一般",IF($AJ2118=41,"②病院短期","対象外")),IF($AH2118=5,IF($AJ2118=30,"③特定消防","対象外"),IF(OR($AJ2118=10,$AJ2118=11,$AJ2118=74),"④一般",IF(OR($AJ2118=41,$AJ2118=47),"⑤短期","対象外"))))))</f>
      </c>
    </row>
    <row r="2119">
      <c r="DB2119" s="2909">
        <f>IF($A2119="","",IF($AE2119&amp;""&lt;&gt;'DB_設定'!$C$4,"対象外",IF($AH2119=20,IF(OR($AJ2119=10,$AJ2119=11,$AJ2119=18),"①病院一般",IF($AJ2119=41,"②病院短期","対象外")),IF($AH2119=5,IF($AJ2119=30,"③特定消防","対象外"),IF(OR($AJ2119=10,$AJ2119=11,$AJ2119=74),"④一般",IF(OR($AJ2119=41,$AJ2119=47),"⑤短期","対象外"))))))</f>
      </c>
    </row>
    <row r="2120">
      <c r="DB2120" s="2909">
        <f>IF($A2120="","",IF($AE2120&amp;""&lt;&gt;'DB_設定'!$C$4,"対象外",IF($AH2120=20,IF(OR($AJ2120=10,$AJ2120=11,$AJ2120=18),"①病院一般",IF($AJ2120=41,"②病院短期","対象外")),IF($AH2120=5,IF($AJ2120=30,"③特定消防","対象外"),IF(OR($AJ2120=10,$AJ2120=11,$AJ2120=74),"④一般",IF(OR($AJ2120=41,$AJ2120=47),"⑤短期","対象外"))))))</f>
      </c>
    </row>
    <row r="2121">
      <c r="DB2121" s="2909">
        <f>IF($A2121="","",IF($AE2121&amp;""&lt;&gt;'DB_設定'!$C$4,"対象外",IF($AH2121=20,IF(OR($AJ2121=10,$AJ2121=11,$AJ2121=18),"①病院一般",IF($AJ2121=41,"②病院短期","対象外")),IF($AH2121=5,IF($AJ2121=30,"③特定消防","対象外"),IF(OR($AJ2121=10,$AJ2121=11,$AJ2121=74),"④一般",IF(OR($AJ2121=41,$AJ2121=47),"⑤短期","対象外"))))))</f>
      </c>
    </row>
    <row r="2122">
      <c r="DB2122" s="2909">
        <f>IF($A2122="","",IF($AE2122&amp;""&lt;&gt;'DB_設定'!$C$4,"対象外",IF($AH2122=20,IF(OR($AJ2122=10,$AJ2122=11,$AJ2122=18),"①病院一般",IF($AJ2122=41,"②病院短期","対象外")),IF($AH2122=5,IF($AJ2122=30,"③特定消防","対象外"),IF(OR($AJ2122=10,$AJ2122=11,$AJ2122=74),"④一般",IF(OR($AJ2122=41,$AJ2122=47),"⑤短期","対象外"))))))</f>
      </c>
    </row>
    <row r="2123">
      <c r="DB2123" s="2909">
        <f>IF($A2123="","",IF($AE2123&amp;""&lt;&gt;'DB_設定'!$C$4,"対象外",IF($AH2123=20,IF(OR($AJ2123=10,$AJ2123=11,$AJ2123=18),"①病院一般",IF($AJ2123=41,"②病院短期","対象外")),IF($AH2123=5,IF($AJ2123=30,"③特定消防","対象外"),IF(OR($AJ2123=10,$AJ2123=11,$AJ2123=74),"④一般",IF(OR($AJ2123=41,$AJ2123=47),"⑤短期","対象外"))))))</f>
      </c>
    </row>
    <row r="2124">
      <c r="DB2124" s="2909">
        <f>IF($A2124="","",IF($AE2124&amp;""&lt;&gt;'DB_設定'!$C$4,"対象外",IF($AH2124=20,IF(OR($AJ2124=10,$AJ2124=11,$AJ2124=18),"①病院一般",IF($AJ2124=41,"②病院短期","対象外")),IF($AH2124=5,IF($AJ2124=30,"③特定消防","対象外"),IF(OR($AJ2124=10,$AJ2124=11,$AJ2124=74),"④一般",IF(OR($AJ2124=41,$AJ2124=47),"⑤短期","対象外"))))))</f>
      </c>
    </row>
    <row r="2125">
      <c r="DB2125" s="2909">
        <f>IF($A2125="","",IF($AE2125&amp;""&lt;&gt;'DB_設定'!$C$4,"対象外",IF($AH2125=20,IF(OR($AJ2125=10,$AJ2125=11,$AJ2125=18),"①病院一般",IF($AJ2125=41,"②病院短期","対象外")),IF($AH2125=5,IF($AJ2125=30,"③特定消防","対象外"),IF(OR($AJ2125=10,$AJ2125=11,$AJ2125=74),"④一般",IF(OR($AJ2125=41,$AJ2125=47),"⑤短期","対象外"))))))</f>
      </c>
    </row>
    <row r="2126">
      <c r="DB2126" s="2909">
        <f>IF($A2126="","",IF($AE2126&amp;""&lt;&gt;'DB_設定'!$C$4,"対象外",IF($AH2126=20,IF(OR($AJ2126=10,$AJ2126=11,$AJ2126=18),"①病院一般",IF($AJ2126=41,"②病院短期","対象外")),IF($AH2126=5,IF($AJ2126=30,"③特定消防","対象外"),IF(OR($AJ2126=10,$AJ2126=11,$AJ2126=74),"④一般",IF(OR($AJ2126=41,$AJ2126=47),"⑤短期","対象外"))))))</f>
      </c>
    </row>
    <row r="2127">
      <c r="DB2127" s="2909">
        <f>IF($A2127="","",IF($AE2127&amp;""&lt;&gt;'DB_設定'!$C$4,"対象外",IF($AH2127=20,IF(OR($AJ2127=10,$AJ2127=11,$AJ2127=18),"①病院一般",IF($AJ2127=41,"②病院短期","対象外")),IF($AH2127=5,IF($AJ2127=30,"③特定消防","対象外"),IF(OR($AJ2127=10,$AJ2127=11,$AJ2127=74),"④一般",IF(OR($AJ2127=41,$AJ2127=47),"⑤短期","対象外"))))))</f>
      </c>
    </row>
    <row r="2128">
      <c r="DB2128" s="2909">
        <f>IF($A2128="","",IF($AE2128&amp;""&lt;&gt;'DB_設定'!$C$4,"対象外",IF($AH2128=20,IF(OR($AJ2128=10,$AJ2128=11,$AJ2128=18),"①病院一般",IF($AJ2128=41,"②病院短期","対象外")),IF($AH2128=5,IF($AJ2128=30,"③特定消防","対象外"),IF(OR($AJ2128=10,$AJ2128=11,$AJ2128=74),"④一般",IF(OR($AJ2128=41,$AJ2128=47),"⑤短期","対象外"))))))</f>
      </c>
    </row>
    <row r="2129">
      <c r="DB2129" s="2909">
        <f>IF($A2129="","",IF($AE2129&amp;""&lt;&gt;'DB_設定'!$C$4,"対象外",IF($AH2129=20,IF(OR($AJ2129=10,$AJ2129=11,$AJ2129=18),"①病院一般",IF($AJ2129=41,"②病院短期","対象外")),IF($AH2129=5,IF($AJ2129=30,"③特定消防","対象外"),IF(OR($AJ2129=10,$AJ2129=11,$AJ2129=74),"④一般",IF(OR($AJ2129=41,$AJ2129=47),"⑤短期","対象外"))))))</f>
      </c>
    </row>
    <row r="2130">
      <c r="DB2130" s="2909">
        <f>IF($A2130="","",IF($AE2130&amp;""&lt;&gt;'DB_設定'!$C$4,"対象外",IF($AH2130=20,IF(OR($AJ2130=10,$AJ2130=11,$AJ2130=18),"①病院一般",IF($AJ2130=41,"②病院短期","対象外")),IF($AH2130=5,IF($AJ2130=30,"③特定消防","対象外"),IF(OR($AJ2130=10,$AJ2130=11,$AJ2130=74),"④一般",IF(OR($AJ2130=41,$AJ2130=47),"⑤短期","対象外"))))))</f>
      </c>
    </row>
    <row r="2131">
      <c r="DB2131" s="2909">
        <f>IF($A2131="","",IF($AE2131&amp;""&lt;&gt;'DB_設定'!$C$4,"対象外",IF($AH2131=20,IF(OR($AJ2131=10,$AJ2131=11,$AJ2131=18),"①病院一般",IF($AJ2131=41,"②病院短期","対象外")),IF($AH2131=5,IF($AJ2131=30,"③特定消防","対象外"),IF(OR($AJ2131=10,$AJ2131=11,$AJ2131=74),"④一般",IF(OR($AJ2131=41,$AJ2131=47),"⑤短期","対象外"))))))</f>
      </c>
    </row>
    <row r="2132">
      <c r="DB2132" s="2909">
        <f>IF($A2132="","",IF($AE2132&amp;""&lt;&gt;'DB_設定'!$C$4,"対象外",IF($AH2132=20,IF(OR($AJ2132=10,$AJ2132=11,$AJ2132=18),"①病院一般",IF($AJ2132=41,"②病院短期","対象外")),IF($AH2132=5,IF($AJ2132=30,"③特定消防","対象外"),IF(OR($AJ2132=10,$AJ2132=11,$AJ2132=74),"④一般",IF(OR($AJ2132=41,$AJ2132=47),"⑤短期","対象外"))))))</f>
      </c>
    </row>
    <row r="2133">
      <c r="DB2133" s="2909">
        <f>IF($A2133="","",IF($AE2133&amp;""&lt;&gt;'DB_設定'!$C$4,"対象外",IF($AH2133=20,IF(OR($AJ2133=10,$AJ2133=11,$AJ2133=18),"①病院一般",IF($AJ2133=41,"②病院短期","対象外")),IF($AH2133=5,IF($AJ2133=30,"③特定消防","対象外"),IF(OR($AJ2133=10,$AJ2133=11,$AJ2133=74),"④一般",IF(OR($AJ2133=41,$AJ2133=47),"⑤短期","対象外"))))))</f>
      </c>
    </row>
    <row r="2134">
      <c r="DB2134" s="2909">
        <f>IF($A2134="","",IF($AE2134&amp;""&lt;&gt;'DB_設定'!$C$4,"対象外",IF($AH2134=20,IF(OR($AJ2134=10,$AJ2134=11,$AJ2134=18),"①病院一般",IF($AJ2134=41,"②病院短期","対象外")),IF($AH2134=5,IF($AJ2134=30,"③特定消防","対象外"),IF(OR($AJ2134=10,$AJ2134=11,$AJ2134=74),"④一般",IF(OR($AJ2134=41,$AJ2134=47),"⑤短期","対象外"))))))</f>
      </c>
    </row>
    <row r="2135">
      <c r="DB2135" s="2909">
        <f>IF($A2135="","",IF($AE2135&amp;""&lt;&gt;'DB_設定'!$C$4,"対象外",IF($AH2135=20,IF(OR($AJ2135=10,$AJ2135=11,$AJ2135=18),"①病院一般",IF($AJ2135=41,"②病院短期","対象外")),IF($AH2135=5,IF($AJ2135=30,"③特定消防","対象外"),IF(OR($AJ2135=10,$AJ2135=11,$AJ2135=74),"④一般",IF(OR($AJ2135=41,$AJ2135=47),"⑤短期","対象外"))))))</f>
      </c>
    </row>
    <row r="2136">
      <c r="DB2136" s="2909">
        <f>IF($A2136="","",IF($AE2136&amp;""&lt;&gt;'DB_設定'!$C$4,"対象外",IF($AH2136=20,IF(OR($AJ2136=10,$AJ2136=11,$AJ2136=18),"①病院一般",IF($AJ2136=41,"②病院短期","対象外")),IF($AH2136=5,IF($AJ2136=30,"③特定消防","対象外"),IF(OR($AJ2136=10,$AJ2136=11,$AJ2136=74),"④一般",IF(OR($AJ2136=41,$AJ2136=47),"⑤短期","対象外"))))))</f>
      </c>
    </row>
    <row r="2137">
      <c r="DB2137" s="2909">
        <f>IF($A2137="","",IF($AE2137&amp;""&lt;&gt;'DB_設定'!$C$4,"対象外",IF($AH2137=20,IF(OR($AJ2137=10,$AJ2137=11,$AJ2137=18),"①病院一般",IF($AJ2137=41,"②病院短期","対象外")),IF($AH2137=5,IF($AJ2137=30,"③特定消防","対象外"),IF(OR($AJ2137=10,$AJ2137=11,$AJ2137=74),"④一般",IF(OR($AJ2137=41,$AJ2137=47),"⑤短期","対象外"))))))</f>
      </c>
    </row>
    <row r="2138">
      <c r="DB2138" s="2909">
        <f>IF($A2138="","",IF($AE2138&amp;""&lt;&gt;'DB_設定'!$C$4,"対象外",IF($AH2138=20,IF(OR($AJ2138=10,$AJ2138=11,$AJ2138=18),"①病院一般",IF($AJ2138=41,"②病院短期","対象外")),IF($AH2138=5,IF($AJ2138=30,"③特定消防","対象外"),IF(OR($AJ2138=10,$AJ2138=11,$AJ2138=74),"④一般",IF(OR($AJ2138=41,$AJ2138=47),"⑤短期","対象外"))))))</f>
      </c>
    </row>
    <row r="2139">
      <c r="DB2139" s="2909">
        <f>IF($A2139="","",IF($AE2139&amp;""&lt;&gt;'DB_設定'!$C$4,"対象外",IF($AH2139=20,IF(OR($AJ2139=10,$AJ2139=11,$AJ2139=18),"①病院一般",IF($AJ2139=41,"②病院短期","対象外")),IF($AH2139=5,IF($AJ2139=30,"③特定消防","対象外"),IF(OR($AJ2139=10,$AJ2139=11,$AJ2139=74),"④一般",IF(OR($AJ2139=41,$AJ2139=47),"⑤短期","対象外"))))))</f>
      </c>
    </row>
    <row r="2140">
      <c r="DB2140" s="2909">
        <f>IF($A2140="","",IF($AE2140&amp;""&lt;&gt;'DB_設定'!$C$4,"対象外",IF($AH2140=20,IF(OR($AJ2140=10,$AJ2140=11,$AJ2140=18),"①病院一般",IF($AJ2140=41,"②病院短期","対象外")),IF($AH2140=5,IF($AJ2140=30,"③特定消防","対象外"),IF(OR($AJ2140=10,$AJ2140=11,$AJ2140=74),"④一般",IF(OR($AJ2140=41,$AJ2140=47),"⑤短期","対象外"))))))</f>
      </c>
    </row>
    <row r="2141">
      <c r="DB2141" s="2909">
        <f>IF($A2141="","",IF($AE2141&amp;""&lt;&gt;'DB_設定'!$C$4,"対象外",IF($AH2141=20,IF(OR($AJ2141=10,$AJ2141=11,$AJ2141=18),"①病院一般",IF($AJ2141=41,"②病院短期","対象外")),IF($AH2141=5,IF($AJ2141=30,"③特定消防","対象外"),IF(OR($AJ2141=10,$AJ2141=11,$AJ2141=74),"④一般",IF(OR($AJ2141=41,$AJ2141=47),"⑤短期","対象外"))))))</f>
      </c>
    </row>
    <row r="2142">
      <c r="DB2142" s="2909">
        <f>IF($A2142="","",IF($AE2142&amp;""&lt;&gt;'DB_設定'!$C$4,"対象外",IF($AH2142=20,IF(OR($AJ2142=10,$AJ2142=11,$AJ2142=18),"①病院一般",IF($AJ2142=41,"②病院短期","対象外")),IF($AH2142=5,IF($AJ2142=30,"③特定消防","対象外"),IF(OR($AJ2142=10,$AJ2142=11,$AJ2142=74),"④一般",IF(OR($AJ2142=41,$AJ2142=47),"⑤短期","対象外"))))))</f>
      </c>
    </row>
    <row r="2143">
      <c r="DB2143" s="2909">
        <f>IF($A2143="","",IF($AE2143&amp;""&lt;&gt;'DB_設定'!$C$4,"対象外",IF($AH2143=20,IF(OR($AJ2143=10,$AJ2143=11,$AJ2143=18),"①病院一般",IF($AJ2143=41,"②病院短期","対象外")),IF($AH2143=5,IF($AJ2143=30,"③特定消防","対象外"),IF(OR($AJ2143=10,$AJ2143=11,$AJ2143=74),"④一般",IF(OR($AJ2143=41,$AJ2143=47),"⑤短期","対象外"))))))</f>
      </c>
    </row>
    <row r="2144">
      <c r="DB2144" s="2909">
        <f>IF($A2144="","",IF($AE2144&amp;""&lt;&gt;'DB_設定'!$C$4,"対象外",IF($AH2144=20,IF(OR($AJ2144=10,$AJ2144=11,$AJ2144=18),"①病院一般",IF($AJ2144=41,"②病院短期","対象外")),IF($AH2144=5,IF($AJ2144=30,"③特定消防","対象外"),IF(OR($AJ2144=10,$AJ2144=11,$AJ2144=74),"④一般",IF(OR($AJ2144=41,$AJ2144=47),"⑤短期","対象外"))))))</f>
      </c>
    </row>
    <row r="2145">
      <c r="DB2145" s="2909">
        <f>IF($A2145="","",IF($AE2145&amp;""&lt;&gt;'DB_設定'!$C$4,"対象外",IF($AH2145=20,IF(OR($AJ2145=10,$AJ2145=11,$AJ2145=18),"①病院一般",IF($AJ2145=41,"②病院短期","対象外")),IF($AH2145=5,IF($AJ2145=30,"③特定消防","対象外"),IF(OR($AJ2145=10,$AJ2145=11,$AJ2145=74),"④一般",IF(OR($AJ2145=41,$AJ2145=47),"⑤短期","対象外"))))))</f>
      </c>
    </row>
    <row r="2146">
      <c r="DB2146" s="2909">
        <f>IF($A2146="","",IF($AE2146&amp;""&lt;&gt;'DB_設定'!$C$4,"対象外",IF($AH2146=20,IF(OR($AJ2146=10,$AJ2146=11,$AJ2146=18),"①病院一般",IF($AJ2146=41,"②病院短期","対象外")),IF($AH2146=5,IF($AJ2146=30,"③特定消防","対象外"),IF(OR($AJ2146=10,$AJ2146=11,$AJ2146=74),"④一般",IF(OR($AJ2146=41,$AJ2146=47),"⑤短期","対象外"))))))</f>
      </c>
    </row>
    <row r="2147">
      <c r="DB2147" s="2909">
        <f>IF($A2147="","",IF($AE2147&amp;""&lt;&gt;'DB_設定'!$C$4,"対象外",IF($AH2147=20,IF(OR($AJ2147=10,$AJ2147=11,$AJ2147=18),"①病院一般",IF($AJ2147=41,"②病院短期","対象外")),IF($AH2147=5,IF($AJ2147=30,"③特定消防","対象外"),IF(OR($AJ2147=10,$AJ2147=11,$AJ2147=74),"④一般",IF(OR($AJ2147=41,$AJ2147=47),"⑤短期","対象外"))))))</f>
      </c>
    </row>
    <row r="2148">
      <c r="DB2148" s="2909">
        <f>IF($A2148="","",IF($AE2148&amp;""&lt;&gt;'DB_設定'!$C$4,"対象外",IF($AH2148=20,IF(OR($AJ2148=10,$AJ2148=11,$AJ2148=18),"①病院一般",IF($AJ2148=41,"②病院短期","対象外")),IF($AH2148=5,IF($AJ2148=30,"③特定消防","対象外"),IF(OR($AJ2148=10,$AJ2148=11,$AJ2148=74),"④一般",IF(OR($AJ2148=41,$AJ2148=47),"⑤短期","対象外"))))))</f>
      </c>
    </row>
    <row r="2149">
      <c r="DB2149" s="2909">
        <f>IF($A2149="","",IF($AE2149&amp;""&lt;&gt;'DB_設定'!$C$4,"対象外",IF($AH2149=20,IF(OR($AJ2149=10,$AJ2149=11,$AJ2149=18),"①病院一般",IF($AJ2149=41,"②病院短期","対象外")),IF($AH2149=5,IF($AJ2149=30,"③特定消防","対象外"),IF(OR($AJ2149=10,$AJ2149=11,$AJ2149=74),"④一般",IF(OR($AJ2149=41,$AJ2149=47),"⑤短期","対象外"))))))</f>
      </c>
    </row>
    <row r="2150">
      <c r="DB2150" s="2909">
        <f>IF($A2150="","",IF($AE2150&amp;""&lt;&gt;'DB_設定'!$C$4,"対象外",IF($AH2150=20,IF(OR($AJ2150=10,$AJ2150=11,$AJ2150=18),"①病院一般",IF($AJ2150=41,"②病院短期","対象外")),IF($AH2150=5,IF($AJ2150=30,"③特定消防","対象外"),IF(OR($AJ2150=10,$AJ2150=11,$AJ2150=74),"④一般",IF(OR($AJ2150=41,$AJ2150=47),"⑤短期","対象外"))))))</f>
      </c>
    </row>
    <row r="2151">
      <c r="DB2151" s="2909">
        <f>IF($A2151="","",IF($AE2151&amp;""&lt;&gt;'DB_設定'!$C$4,"対象外",IF($AH2151=20,IF(OR($AJ2151=10,$AJ2151=11,$AJ2151=18),"①病院一般",IF($AJ2151=41,"②病院短期","対象外")),IF($AH2151=5,IF($AJ2151=30,"③特定消防","対象外"),IF(OR($AJ2151=10,$AJ2151=11,$AJ2151=74),"④一般",IF(OR($AJ2151=41,$AJ2151=47),"⑤短期","対象外"))))))</f>
      </c>
    </row>
    <row r="2152">
      <c r="DB2152" s="2909">
        <f>IF($A2152="","",IF($AE2152&amp;""&lt;&gt;'DB_設定'!$C$4,"対象外",IF($AH2152=20,IF(OR($AJ2152=10,$AJ2152=11,$AJ2152=18),"①病院一般",IF($AJ2152=41,"②病院短期","対象外")),IF($AH2152=5,IF($AJ2152=30,"③特定消防","対象外"),IF(OR($AJ2152=10,$AJ2152=11,$AJ2152=74),"④一般",IF(OR($AJ2152=41,$AJ2152=47),"⑤短期","対象外"))))))</f>
      </c>
    </row>
    <row r="2153">
      <c r="DB2153" s="2909">
        <f>IF($A2153="","",IF($AE2153&amp;""&lt;&gt;'DB_設定'!$C$4,"対象外",IF($AH2153=20,IF(OR($AJ2153=10,$AJ2153=11,$AJ2153=18),"①病院一般",IF($AJ2153=41,"②病院短期","対象外")),IF($AH2153=5,IF($AJ2153=30,"③特定消防","対象外"),IF(OR($AJ2153=10,$AJ2153=11,$AJ2153=74),"④一般",IF(OR($AJ2153=41,$AJ2153=47),"⑤短期","対象外"))))))</f>
      </c>
    </row>
    <row r="2154">
      <c r="DB2154" s="2909">
        <f>IF($A2154="","",IF($AE2154&amp;""&lt;&gt;'DB_設定'!$C$4,"対象外",IF($AH2154=20,IF(OR($AJ2154=10,$AJ2154=11,$AJ2154=18),"①病院一般",IF($AJ2154=41,"②病院短期","対象外")),IF($AH2154=5,IF($AJ2154=30,"③特定消防","対象外"),IF(OR($AJ2154=10,$AJ2154=11,$AJ2154=74),"④一般",IF(OR($AJ2154=41,$AJ2154=47),"⑤短期","対象外"))))))</f>
      </c>
    </row>
    <row r="2155">
      <c r="DB2155" s="2909">
        <f>IF($A2155="","",IF($AE2155&amp;""&lt;&gt;'DB_設定'!$C$4,"対象外",IF($AH2155=20,IF(OR($AJ2155=10,$AJ2155=11,$AJ2155=18),"①病院一般",IF($AJ2155=41,"②病院短期","対象外")),IF($AH2155=5,IF($AJ2155=30,"③特定消防","対象外"),IF(OR($AJ2155=10,$AJ2155=11,$AJ2155=74),"④一般",IF(OR($AJ2155=41,$AJ2155=47),"⑤短期","対象外"))))))</f>
      </c>
    </row>
    <row r="2156">
      <c r="DB2156" s="2909">
        <f>IF($A2156="","",IF($AE2156&amp;""&lt;&gt;'DB_設定'!$C$4,"対象外",IF($AH2156=20,IF(OR($AJ2156=10,$AJ2156=11,$AJ2156=18),"①病院一般",IF($AJ2156=41,"②病院短期","対象外")),IF($AH2156=5,IF($AJ2156=30,"③特定消防","対象外"),IF(OR($AJ2156=10,$AJ2156=11,$AJ2156=74),"④一般",IF(OR($AJ2156=41,$AJ2156=47),"⑤短期","対象外"))))))</f>
      </c>
    </row>
    <row r="2157">
      <c r="DB2157" s="2909">
        <f>IF($A2157="","",IF($AE2157&amp;""&lt;&gt;'DB_設定'!$C$4,"対象外",IF($AH2157=20,IF(OR($AJ2157=10,$AJ2157=11,$AJ2157=18),"①病院一般",IF($AJ2157=41,"②病院短期","対象外")),IF($AH2157=5,IF($AJ2157=30,"③特定消防","対象外"),IF(OR($AJ2157=10,$AJ2157=11,$AJ2157=74),"④一般",IF(OR($AJ2157=41,$AJ2157=47),"⑤短期","対象外"))))))</f>
      </c>
    </row>
    <row r="2158">
      <c r="DB2158" s="2909">
        <f>IF($A2158="","",IF($AE2158&amp;""&lt;&gt;'DB_設定'!$C$4,"対象外",IF($AH2158=20,IF(OR($AJ2158=10,$AJ2158=11,$AJ2158=18),"①病院一般",IF($AJ2158=41,"②病院短期","対象外")),IF($AH2158=5,IF($AJ2158=30,"③特定消防","対象外"),IF(OR($AJ2158=10,$AJ2158=11,$AJ2158=74),"④一般",IF(OR($AJ2158=41,$AJ2158=47),"⑤短期","対象外"))))))</f>
      </c>
    </row>
    <row r="2159">
      <c r="DB2159" s="2909">
        <f>IF($A2159="","",IF($AE2159&amp;""&lt;&gt;'DB_設定'!$C$4,"対象外",IF($AH2159=20,IF(OR($AJ2159=10,$AJ2159=11,$AJ2159=18),"①病院一般",IF($AJ2159=41,"②病院短期","対象外")),IF($AH2159=5,IF($AJ2159=30,"③特定消防","対象外"),IF(OR($AJ2159=10,$AJ2159=11,$AJ2159=74),"④一般",IF(OR($AJ2159=41,$AJ2159=47),"⑤短期","対象外"))))))</f>
      </c>
    </row>
    <row r="2160">
      <c r="DB2160" s="2909">
        <f>IF($A2160="","",IF($AE2160&amp;""&lt;&gt;'DB_設定'!$C$4,"対象外",IF($AH2160=20,IF(OR($AJ2160=10,$AJ2160=11,$AJ2160=18),"①病院一般",IF($AJ2160=41,"②病院短期","対象外")),IF($AH2160=5,IF($AJ2160=30,"③特定消防","対象外"),IF(OR($AJ2160=10,$AJ2160=11,$AJ2160=74),"④一般",IF(OR($AJ2160=41,$AJ2160=47),"⑤短期","対象外"))))))</f>
      </c>
    </row>
    <row r="2161">
      <c r="DB2161" s="2909">
        <f>IF($A2161="","",IF($AE2161&amp;""&lt;&gt;'DB_設定'!$C$4,"対象外",IF($AH2161=20,IF(OR($AJ2161=10,$AJ2161=11,$AJ2161=18),"①病院一般",IF($AJ2161=41,"②病院短期","対象外")),IF($AH2161=5,IF($AJ2161=30,"③特定消防","対象外"),IF(OR($AJ2161=10,$AJ2161=11,$AJ2161=74),"④一般",IF(OR($AJ2161=41,$AJ2161=47),"⑤短期","対象外"))))))</f>
      </c>
    </row>
    <row r="2162">
      <c r="DB2162" s="2909">
        <f>IF($A2162="","",IF($AE2162&amp;""&lt;&gt;'DB_設定'!$C$4,"対象外",IF($AH2162=20,IF(OR($AJ2162=10,$AJ2162=11,$AJ2162=18),"①病院一般",IF($AJ2162=41,"②病院短期","対象外")),IF($AH2162=5,IF($AJ2162=30,"③特定消防","対象外"),IF(OR($AJ2162=10,$AJ2162=11,$AJ2162=74),"④一般",IF(OR($AJ2162=41,$AJ2162=47),"⑤短期","対象外"))))))</f>
      </c>
    </row>
    <row r="2163">
      <c r="DB2163" s="2909">
        <f>IF($A2163="","",IF($AE2163&amp;""&lt;&gt;'DB_設定'!$C$4,"対象外",IF($AH2163=20,IF(OR($AJ2163=10,$AJ2163=11,$AJ2163=18),"①病院一般",IF($AJ2163=41,"②病院短期","対象外")),IF($AH2163=5,IF($AJ2163=30,"③特定消防","対象外"),IF(OR($AJ2163=10,$AJ2163=11,$AJ2163=74),"④一般",IF(OR($AJ2163=41,$AJ2163=47),"⑤短期","対象外"))))))</f>
      </c>
    </row>
    <row r="2164">
      <c r="DB2164" s="2909">
        <f>IF($A2164="","",IF($AE2164&amp;""&lt;&gt;'DB_設定'!$C$4,"対象外",IF($AH2164=20,IF(OR($AJ2164=10,$AJ2164=11,$AJ2164=18),"①病院一般",IF($AJ2164=41,"②病院短期","対象外")),IF($AH2164=5,IF($AJ2164=30,"③特定消防","対象外"),IF(OR($AJ2164=10,$AJ2164=11,$AJ2164=74),"④一般",IF(OR($AJ2164=41,$AJ2164=47),"⑤短期","対象外"))))))</f>
      </c>
    </row>
    <row r="2165">
      <c r="DB2165" s="2909">
        <f>IF($A2165="","",IF($AE2165&amp;""&lt;&gt;'DB_設定'!$C$4,"対象外",IF($AH2165=20,IF(OR($AJ2165=10,$AJ2165=11,$AJ2165=18),"①病院一般",IF($AJ2165=41,"②病院短期","対象外")),IF($AH2165=5,IF($AJ2165=30,"③特定消防","対象外"),IF(OR($AJ2165=10,$AJ2165=11,$AJ2165=74),"④一般",IF(OR($AJ2165=41,$AJ2165=47),"⑤短期","対象外"))))))</f>
      </c>
    </row>
    <row r="2166">
      <c r="DB2166" s="2909">
        <f>IF($A2166="","",IF($AE2166&amp;""&lt;&gt;'DB_設定'!$C$4,"対象外",IF($AH2166=20,IF(OR($AJ2166=10,$AJ2166=11,$AJ2166=18),"①病院一般",IF($AJ2166=41,"②病院短期","対象外")),IF($AH2166=5,IF($AJ2166=30,"③特定消防","対象外"),IF(OR($AJ2166=10,$AJ2166=11,$AJ2166=74),"④一般",IF(OR($AJ2166=41,$AJ2166=47),"⑤短期","対象外"))))))</f>
      </c>
    </row>
    <row r="2167">
      <c r="DB2167" s="2909">
        <f>IF($A2167="","",IF($AE2167&amp;""&lt;&gt;'DB_設定'!$C$4,"対象外",IF($AH2167=20,IF(OR($AJ2167=10,$AJ2167=11,$AJ2167=18),"①病院一般",IF($AJ2167=41,"②病院短期","対象外")),IF($AH2167=5,IF($AJ2167=30,"③特定消防","対象外"),IF(OR($AJ2167=10,$AJ2167=11,$AJ2167=74),"④一般",IF(OR($AJ2167=41,$AJ2167=47),"⑤短期","対象外"))))))</f>
      </c>
    </row>
    <row r="2168">
      <c r="DB2168" s="2909">
        <f>IF($A2168="","",IF($AE2168&amp;""&lt;&gt;'DB_設定'!$C$4,"対象外",IF($AH2168=20,IF(OR($AJ2168=10,$AJ2168=11,$AJ2168=18),"①病院一般",IF($AJ2168=41,"②病院短期","対象外")),IF($AH2168=5,IF($AJ2168=30,"③特定消防","対象外"),IF(OR($AJ2168=10,$AJ2168=11,$AJ2168=74),"④一般",IF(OR($AJ2168=41,$AJ2168=47),"⑤短期","対象外"))))))</f>
      </c>
    </row>
    <row r="2169">
      <c r="DB2169" s="2909">
        <f>IF($A2169="","",IF($AE2169&amp;""&lt;&gt;'DB_設定'!$C$4,"対象外",IF($AH2169=20,IF(OR($AJ2169=10,$AJ2169=11,$AJ2169=18),"①病院一般",IF($AJ2169=41,"②病院短期","対象外")),IF($AH2169=5,IF($AJ2169=30,"③特定消防","対象外"),IF(OR($AJ2169=10,$AJ2169=11,$AJ2169=74),"④一般",IF(OR($AJ2169=41,$AJ2169=47),"⑤短期","対象外"))))))</f>
      </c>
    </row>
    <row r="2170">
      <c r="DB2170" s="2909">
        <f>IF($A2170="","",IF($AE2170&amp;""&lt;&gt;'DB_設定'!$C$4,"対象外",IF($AH2170=20,IF(OR($AJ2170=10,$AJ2170=11,$AJ2170=18),"①病院一般",IF($AJ2170=41,"②病院短期","対象外")),IF($AH2170=5,IF($AJ2170=30,"③特定消防","対象外"),IF(OR($AJ2170=10,$AJ2170=11,$AJ2170=74),"④一般",IF(OR($AJ2170=41,$AJ2170=47),"⑤短期","対象外"))))))</f>
      </c>
    </row>
    <row r="2171">
      <c r="DB2171" s="2909">
        <f>IF($A2171="","",IF($AE2171&amp;""&lt;&gt;'DB_設定'!$C$4,"対象外",IF($AH2171=20,IF(OR($AJ2171=10,$AJ2171=11,$AJ2171=18),"①病院一般",IF($AJ2171=41,"②病院短期","対象外")),IF($AH2171=5,IF($AJ2171=30,"③特定消防","対象外"),IF(OR($AJ2171=10,$AJ2171=11,$AJ2171=74),"④一般",IF(OR($AJ2171=41,$AJ2171=47),"⑤短期","対象外"))))))</f>
      </c>
    </row>
    <row r="2172">
      <c r="DB2172" s="2909">
        <f>IF($A2172="","",IF($AE2172&amp;""&lt;&gt;'DB_設定'!$C$4,"対象外",IF($AH2172=20,IF(OR($AJ2172=10,$AJ2172=11,$AJ2172=18),"①病院一般",IF($AJ2172=41,"②病院短期","対象外")),IF($AH2172=5,IF($AJ2172=30,"③特定消防","対象外"),IF(OR($AJ2172=10,$AJ2172=11,$AJ2172=74),"④一般",IF(OR($AJ2172=41,$AJ2172=47),"⑤短期","対象外"))))))</f>
      </c>
    </row>
    <row r="2173">
      <c r="DB2173" s="2909">
        <f>IF($A2173="","",IF($AE2173&amp;""&lt;&gt;'DB_設定'!$C$4,"対象外",IF($AH2173=20,IF(OR($AJ2173=10,$AJ2173=11,$AJ2173=18),"①病院一般",IF($AJ2173=41,"②病院短期","対象外")),IF($AH2173=5,IF($AJ2173=30,"③特定消防","対象外"),IF(OR($AJ2173=10,$AJ2173=11,$AJ2173=74),"④一般",IF(OR($AJ2173=41,$AJ2173=47),"⑤短期","対象外"))))))</f>
      </c>
    </row>
    <row r="2174">
      <c r="DB2174" s="2909">
        <f>IF($A2174="","",IF($AE2174&amp;""&lt;&gt;'DB_設定'!$C$4,"対象外",IF($AH2174=20,IF(OR($AJ2174=10,$AJ2174=11,$AJ2174=18),"①病院一般",IF($AJ2174=41,"②病院短期","対象外")),IF($AH2174=5,IF($AJ2174=30,"③特定消防","対象外"),IF(OR($AJ2174=10,$AJ2174=11,$AJ2174=74),"④一般",IF(OR($AJ2174=41,$AJ2174=47),"⑤短期","対象外"))))))</f>
      </c>
    </row>
    <row r="2175">
      <c r="DB2175" s="2909">
        <f>IF($A2175="","",IF($AE2175&amp;""&lt;&gt;'DB_設定'!$C$4,"対象外",IF($AH2175=20,IF(OR($AJ2175=10,$AJ2175=11,$AJ2175=18),"①病院一般",IF($AJ2175=41,"②病院短期","対象外")),IF($AH2175=5,IF($AJ2175=30,"③特定消防","対象外"),IF(OR($AJ2175=10,$AJ2175=11,$AJ2175=74),"④一般",IF(OR($AJ2175=41,$AJ2175=47),"⑤短期","対象外"))))))</f>
      </c>
    </row>
    <row r="2176">
      <c r="DB2176" s="2909">
        <f>IF($A2176="","",IF($AE2176&amp;""&lt;&gt;'DB_設定'!$C$4,"対象外",IF($AH2176=20,IF(OR($AJ2176=10,$AJ2176=11,$AJ2176=18),"①病院一般",IF($AJ2176=41,"②病院短期","対象外")),IF($AH2176=5,IF($AJ2176=30,"③特定消防","対象外"),IF(OR($AJ2176=10,$AJ2176=11,$AJ2176=74),"④一般",IF(OR($AJ2176=41,$AJ2176=47),"⑤短期","対象外"))))))</f>
      </c>
    </row>
    <row r="2177">
      <c r="DB2177" s="2909">
        <f>IF($A2177="","",IF($AE2177&amp;""&lt;&gt;'DB_設定'!$C$4,"対象外",IF($AH2177=20,IF(OR($AJ2177=10,$AJ2177=11,$AJ2177=18),"①病院一般",IF($AJ2177=41,"②病院短期","対象外")),IF($AH2177=5,IF($AJ2177=30,"③特定消防","対象外"),IF(OR($AJ2177=10,$AJ2177=11,$AJ2177=74),"④一般",IF(OR($AJ2177=41,$AJ2177=47),"⑤短期","対象外"))))))</f>
      </c>
    </row>
    <row r="2178">
      <c r="DB2178" s="2909">
        <f>IF($A2178="","",IF($AE2178&amp;""&lt;&gt;'DB_設定'!$C$4,"対象外",IF($AH2178=20,IF(OR($AJ2178=10,$AJ2178=11,$AJ2178=18),"①病院一般",IF($AJ2178=41,"②病院短期","対象外")),IF($AH2178=5,IF($AJ2178=30,"③特定消防","対象外"),IF(OR($AJ2178=10,$AJ2178=11,$AJ2178=74),"④一般",IF(OR($AJ2178=41,$AJ2178=47),"⑤短期","対象外"))))))</f>
      </c>
    </row>
    <row r="2179">
      <c r="DB2179" s="2909">
        <f>IF($A2179="","",IF($AE2179&amp;""&lt;&gt;'DB_設定'!$C$4,"対象外",IF($AH2179=20,IF(OR($AJ2179=10,$AJ2179=11,$AJ2179=18),"①病院一般",IF($AJ2179=41,"②病院短期","対象外")),IF($AH2179=5,IF($AJ2179=30,"③特定消防","対象外"),IF(OR($AJ2179=10,$AJ2179=11,$AJ2179=74),"④一般",IF(OR($AJ2179=41,$AJ2179=47),"⑤短期","対象外"))))))</f>
      </c>
    </row>
    <row r="2180">
      <c r="DB2180" s="2909">
        <f>IF($A2180="","",IF($AE2180&amp;""&lt;&gt;'DB_設定'!$C$4,"対象外",IF($AH2180=20,IF(OR($AJ2180=10,$AJ2180=11,$AJ2180=18),"①病院一般",IF($AJ2180=41,"②病院短期","対象外")),IF($AH2180=5,IF($AJ2180=30,"③特定消防","対象外"),IF(OR($AJ2180=10,$AJ2180=11,$AJ2180=74),"④一般",IF(OR($AJ2180=41,$AJ2180=47),"⑤短期","対象外"))))))</f>
      </c>
    </row>
    <row r="2181">
      <c r="DB2181" s="2909">
        <f>IF($A2181="","",IF($AE2181&amp;""&lt;&gt;'DB_設定'!$C$4,"対象外",IF($AH2181=20,IF(OR($AJ2181=10,$AJ2181=11,$AJ2181=18),"①病院一般",IF($AJ2181=41,"②病院短期","対象外")),IF($AH2181=5,IF($AJ2181=30,"③特定消防","対象外"),IF(OR($AJ2181=10,$AJ2181=11,$AJ2181=74),"④一般",IF(OR($AJ2181=41,$AJ2181=47),"⑤短期","対象外"))))))</f>
      </c>
    </row>
    <row r="2182">
      <c r="DB2182" s="2909">
        <f>IF($A2182="","",IF($AE2182&amp;""&lt;&gt;'DB_設定'!$C$4,"対象外",IF($AH2182=20,IF(OR($AJ2182=10,$AJ2182=11,$AJ2182=18),"①病院一般",IF($AJ2182=41,"②病院短期","対象外")),IF($AH2182=5,IF($AJ2182=30,"③特定消防","対象外"),IF(OR($AJ2182=10,$AJ2182=11,$AJ2182=74),"④一般",IF(OR($AJ2182=41,$AJ2182=47),"⑤短期","対象外"))))))</f>
      </c>
    </row>
    <row r="2183">
      <c r="DB2183" s="2909">
        <f>IF($A2183="","",IF($AE2183&amp;""&lt;&gt;'DB_設定'!$C$4,"対象外",IF($AH2183=20,IF(OR($AJ2183=10,$AJ2183=11,$AJ2183=18),"①病院一般",IF($AJ2183=41,"②病院短期","対象外")),IF($AH2183=5,IF($AJ2183=30,"③特定消防","対象外"),IF(OR($AJ2183=10,$AJ2183=11,$AJ2183=74),"④一般",IF(OR($AJ2183=41,$AJ2183=47),"⑤短期","対象外"))))))</f>
      </c>
    </row>
    <row r="2184">
      <c r="DB2184" s="2909">
        <f>IF($A2184="","",IF($AE2184&amp;""&lt;&gt;'DB_設定'!$C$4,"対象外",IF($AH2184=20,IF(OR($AJ2184=10,$AJ2184=11,$AJ2184=18),"①病院一般",IF($AJ2184=41,"②病院短期","対象外")),IF($AH2184=5,IF($AJ2184=30,"③特定消防","対象外"),IF(OR($AJ2184=10,$AJ2184=11,$AJ2184=74),"④一般",IF(OR($AJ2184=41,$AJ2184=47),"⑤短期","対象外"))))))</f>
      </c>
    </row>
    <row r="2185">
      <c r="DB2185" s="2909">
        <f>IF($A2185="","",IF($AE2185&amp;""&lt;&gt;'DB_設定'!$C$4,"対象外",IF($AH2185=20,IF(OR($AJ2185=10,$AJ2185=11,$AJ2185=18),"①病院一般",IF($AJ2185=41,"②病院短期","対象外")),IF($AH2185=5,IF($AJ2185=30,"③特定消防","対象外"),IF(OR($AJ2185=10,$AJ2185=11,$AJ2185=74),"④一般",IF(OR($AJ2185=41,$AJ2185=47),"⑤短期","対象外"))))))</f>
      </c>
    </row>
    <row r="2186">
      <c r="DB2186" s="2909">
        <f>IF($A2186="","",IF($AE2186&amp;""&lt;&gt;'DB_設定'!$C$4,"対象外",IF($AH2186=20,IF(OR($AJ2186=10,$AJ2186=11,$AJ2186=18),"①病院一般",IF($AJ2186=41,"②病院短期","対象外")),IF($AH2186=5,IF($AJ2186=30,"③特定消防","対象外"),IF(OR($AJ2186=10,$AJ2186=11,$AJ2186=74),"④一般",IF(OR($AJ2186=41,$AJ2186=47),"⑤短期","対象外"))))))</f>
      </c>
    </row>
    <row r="2187">
      <c r="DB2187" s="2909">
        <f>IF($A2187="","",IF($AE2187&amp;""&lt;&gt;'DB_設定'!$C$4,"対象外",IF($AH2187=20,IF(OR($AJ2187=10,$AJ2187=11,$AJ2187=18),"①病院一般",IF($AJ2187=41,"②病院短期","対象外")),IF($AH2187=5,IF($AJ2187=30,"③特定消防","対象外"),IF(OR($AJ2187=10,$AJ2187=11,$AJ2187=74),"④一般",IF(OR($AJ2187=41,$AJ2187=47),"⑤短期","対象外"))))))</f>
      </c>
    </row>
    <row r="2188">
      <c r="DB2188" s="2909">
        <f>IF($A2188="","",IF($AE2188&amp;""&lt;&gt;'DB_設定'!$C$4,"対象外",IF($AH2188=20,IF(OR($AJ2188=10,$AJ2188=11,$AJ2188=18),"①病院一般",IF($AJ2188=41,"②病院短期","対象外")),IF($AH2188=5,IF($AJ2188=30,"③特定消防","対象外"),IF(OR($AJ2188=10,$AJ2188=11,$AJ2188=74),"④一般",IF(OR($AJ2188=41,$AJ2188=47),"⑤短期","対象外"))))))</f>
      </c>
    </row>
    <row r="2189">
      <c r="DB2189" s="2909">
        <f>IF($A2189="","",IF($AE2189&amp;""&lt;&gt;'DB_設定'!$C$4,"対象外",IF($AH2189=20,IF(OR($AJ2189=10,$AJ2189=11,$AJ2189=18),"①病院一般",IF($AJ2189=41,"②病院短期","対象外")),IF($AH2189=5,IF($AJ2189=30,"③特定消防","対象外"),IF(OR($AJ2189=10,$AJ2189=11,$AJ2189=74),"④一般",IF(OR($AJ2189=41,$AJ2189=47),"⑤短期","対象外"))))))</f>
      </c>
    </row>
    <row r="2190">
      <c r="DB2190" s="2909">
        <f>IF($A2190="","",IF($AE2190&amp;""&lt;&gt;'DB_設定'!$C$4,"対象外",IF($AH2190=20,IF(OR($AJ2190=10,$AJ2190=11,$AJ2190=18),"①病院一般",IF($AJ2190=41,"②病院短期","対象外")),IF($AH2190=5,IF($AJ2190=30,"③特定消防","対象外"),IF(OR($AJ2190=10,$AJ2190=11,$AJ2190=74),"④一般",IF(OR($AJ2190=41,$AJ2190=47),"⑤短期","対象外"))))))</f>
      </c>
    </row>
    <row r="2191">
      <c r="DB2191" s="2909">
        <f>IF($A2191="","",IF($AE2191&amp;""&lt;&gt;'DB_設定'!$C$4,"対象外",IF($AH2191=20,IF(OR($AJ2191=10,$AJ2191=11,$AJ2191=18),"①病院一般",IF($AJ2191=41,"②病院短期","対象外")),IF($AH2191=5,IF($AJ2191=30,"③特定消防","対象外"),IF(OR($AJ2191=10,$AJ2191=11,$AJ2191=74),"④一般",IF(OR($AJ2191=41,$AJ2191=47),"⑤短期","対象外"))))))</f>
      </c>
    </row>
    <row r="2192">
      <c r="DB2192" s="2909">
        <f>IF($A2192="","",IF($AE2192&amp;""&lt;&gt;'DB_設定'!$C$4,"対象外",IF($AH2192=20,IF(OR($AJ2192=10,$AJ2192=11,$AJ2192=18),"①病院一般",IF($AJ2192=41,"②病院短期","対象外")),IF($AH2192=5,IF($AJ2192=30,"③特定消防","対象外"),IF(OR($AJ2192=10,$AJ2192=11,$AJ2192=74),"④一般",IF(OR($AJ2192=41,$AJ2192=47),"⑤短期","対象外"))))))</f>
      </c>
    </row>
    <row r="2193">
      <c r="DB2193" s="2909">
        <f>IF($A2193="","",IF($AE2193&amp;""&lt;&gt;'DB_設定'!$C$4,"対象外",IF($AH2193=20,IF(OR($AJ2193=10,$AJ2193=11,$AJ2193=18),"①病院一般",IF($AJ2193=41,"②病院短期","対象外")),IF($AH2193=5,IF($AJ2193=30,"③特定消防","対象外"),IF(OR($AJ2193=10,$AJ2193=11,$AJ2193=74),"④一般",IF(OR($AJ2193=41,$AJ2193=47),"⑤短期","対象外"))))))</f>
      </c>
    </row>
    <row r="2194">
      <c r="DB2194" s="2909">
        <f>IF($A2194="","",IF($AE2194&amp;""&lt;&gt;'DB_設定'!$C$4,"対象外",IF($AH2194=20,IF(OR($AJ2194=10,$AJ2194=11,$AJ2194=18),"①病院一般",IF($AJ2194=41,"②病院短期","対象外")),IF($AH2194=5,IF($AJ2194=30,"③特定消防","対象外"),IF(OR($AJ2194=10,$AJ2194=11,$AJ2194=74),"④一般",IF(OR($AJ2194=41,$AJ2194=47),"⑤短期","対象外"))))))</f>
      </c>
    </row>
    <row r="2195">
      <c r="DB2195" s="2909">
        <f>IF($A2195="","",IF($AE2195&amp;""&lt;&gt;'DB_設定'!$C$4,"対象外",IF($AH2195=20,IF(OR($AJ2195=10,$AJ2195=11,$AJ2195=18),"①病院一般",IF($AJ2195=41,"②病院短期","対象外")),IF($AH2195=5,IF($AJ2195=30,"③特定消防","対象外"),IF(OR($AJ2195=10,$AJ2195=11,$AJ2195=74),"④一般",IF(OR($AJ2195=41,$AJ2195=47),"⑤短期","対象外"))))))</f>
      </c>
    </row>
    <row r="2196">
      <c r="DB2196" s="2909">
        <f>IF($A2196="","",IF($AE2196&amp;""&lt;&gt;'DB_設定'!$C$4,"対象外",IF($AH2196=20,IF(OR($AJ2196=10,$AJ2196=11,$AJ2196=18),"①病院一般",IF($AJ2196=41,"②病院短期","対象外")),IF($AH2196=5,IF($AJ2196=30,"③特定消防","対象外"),IF(OR($AJ2196=10,$AJ2196=11,$AJ2196=74),"④一般",IF(OR($AJ2196=41,$AJ2196=47),"⑤短期","対象外"))))))</f>
      </c>
    </row>
    <row r="2197">
      <c r="DB2197" s="2909">
        <f>IF($A2197="","",IF($AE2197&amp;""&lt;&gt;'DB_設定'!$C$4,"対象外",IF($AH2197=20,IF(OR($AJ2197=10,$AJ2197=11,$AJ2197=18),"①病院一般",IF($AJ2197=41,"②病院短期","対象外")),IF($AH2197=5,IF($AJ2197=30,"③特定消防","対象外"),IF(OR($AJ2197=10,$AJ2197=11,$AJ2197=74),"④一般",IF(OR($AJ2197=41,$AJ2197=47),"⑤短期","対象外"))))))</f>
      </c>
    </row>
    <row r="2198">
      <c r="DB2198" s="2909">
        <f>IF($A2198="","",IF($AE2198&amp;""&lt;&gt;'DB_設定'!$C$4,"対象外",IF($AH2198=20,IF(OR($AJ2198=10,$AJ2198=11,$AJ2198=18),"①病院一般",IF($AJ2198=41,"②病院短期","対象外")),IF($AH2198=5,IF($AJ2198=30,"③特定消防","対象外"),IF(OR($AJ2198=10,$AJ2198=11,$AJ2198=74),"④一般",IF(OR($AJ2198=41,$AJ2198=47),"⑤短期","対象外"))))))</f>
      </c>
    </row>
    <row r="2199">
      <c r="DB2199" s="2909">
        <f>IF($A2199="","",IF($AE2199&amp;""&lt;&gt;'DB_設定'!$C$4,"対象外",IF($AH2199=20,IF(OR($AJ2199=10,$AJ2199=11,$AJ2199=18),"①病院一般",IF($AJ2199=41,"②病院短期","対象外")),IF($AH2199=5,IF($AJ2199=30,"③特定消防","対象外"),IF(OR($AJ2199=10,$AJ2199=11,$AJ2199=74),"④一般",IF(OR($AJ2199=41,$AJ2199=47),"⑤短期","対象外"))))))</f>
      </c>
    </row>
    <row r="2200">
      <c r="DB2200" s="2909">
        <f>IF($A2200="","",IF($AE2200&amp;""&lt;&gt;'DB_設定'!$C$4,"対象外",IF($AH2200=20,IF(OR($AJ2200=10,$AJ2200=11,$AJ2200=18),"①病院一般",IF($AJ2200=41,"②病院短期","対象外")),IF($AH2200=5,IF($AJ2200=30,"③特定消防","対象外"),IF(OR($AJ2200=10,$AJ2200=11,$AJ2200=74),"④一般",IF(OR($AJ2200=41,$AJ2200=47),"⑤短期","対象外"))))))</f>
      </c>
    </row>
    <row r="2201">
      <c r="DB2201" s="2909">
        <f>IF($A2201="","",IF($AE2201&amp;""&lt;&gt;'DB_設定'!$C$4,"対象外",IF($AH2201=20,IF(OR($AJ2201=10,$AJ2201=11,$AJ2201=18),"①病院一般",IF($AJ2201=41,"②病院短期","対象外")),IF($AH2201=5,IF($AJ2201=30,"③特定消防","対象外"),IF(OR($AJ2201=10,$AJ2201=11,$AJ2201=74),"④一般",IF(OR($AJ2201=41,$AJ2201=47),"⑤短期","対象外"))))))</f>
      </c>
    </row>
    <row r="2202">
      <c r="DB2202" s="2909">
        <f>IF($A2202="","",IF($AE2202&amp;""&lt;&gt;'DB_設定'!$C$4,"対象外",IF($AH2202=20,IF(OR($AJ2202=10,$AJ2202=11,$AJ2202=18),"①病院一般",IF($AJ2202=41,"②病院短期","対象外")),IF($AH2202=5,IF($AJ2202=30,"③特定消防","対象外"),IF(OR($AJ2202=10,$AJ2202=11,$AJ2202=74),"④一般",IF(OR($AJ2202=41,$AJ2202=47),"⑤短期","対象外"))))))</f>
      </c>
    </row>
    <row r="2203">
      <c r="DB2203" s="2909">
        <f>IF($A2203="","",IF($AE2203&amp;""&lt;&gt;'DB_設定'!$C$4,"対象外",IF($AH2203=20,IF(OR($AJ2203=10,$AJ2203=11,$AJ2203=18),"①病院一般",IF($AJ2203=41,"②病院短期","対象外")),IF($AH2203=5,IF($AJ2203=30,"③特定消防","対象外"),IF(OR($AJ2203=10,$AJ2203=11,$AJ2203=74),"④一般",IF(OR($AJ2203=41,$AJ2203=47),"⑤短期","対象外"))))))</f>
      </c>
    </row>
    <row r="2204">
      <c r="DB2204" s="2909">
        <f>IF($A2204="","",IF($AE2204&amp;""&lt;&gt;'DB_設定'!$C$4,"対象外",IF($AH2204=20,IF(OR($AJ2204=10,$AJ2204=11,$AJ2204=18),"①病院一般",IF($AJ2204=41,"②病院短期","対象外")),IF($AH2204=5,IF($AJ2204=30,"③特定消防","対象外"),IF(OR($AJ2204=10,$AJ2204=11,$AJ2204=74),"④一般",IF(OR($AJ2204=41,$AJ2204=47),"⑤短期","対象外"))))))</f>
      </c>
    </row>
    <row r="2205">
      <c r="DB2205" s="2909">
        <f>IF($A2205="","",IF($AE2205&amp;""&lt;&gt;'DB_設定'!$C$4,"対象外",IF($AH2205=20,IF(OR($AJ2205=10,$AJ2205=11,$AJ2205=18),"①病院一般",IF($AJ2205=41,"②病院短期","対象外")),IF($AH2205=5,IF($AJ2205=30,"③特定消防","対象外"),IF(OR($AJ2205=10,$AJ2205=11,$AJ2205=74),"④一般",IF(OR($AJ2205=41,$AJ2205=47),"⑤短期","対象外"))))))</f>
      </c>
    </row>
    <row r="2206">
      <c r="DB2206" s="2909">
        <f>IF($A2206="","",IF($AE2206&amp;""&lt;&gt;'DB_設定'!$C$4,"対象外",IF($AH2206=20,IF(OR($AJ2206=10,$AJ2206=11,$AJ2206=18),"①病院一般",IF($AJ2206=41,"②病院短期","対象外")),IF($AH2206=5,IF($AJ2206=30,"③特定消防","対象外"),IF(OR($AJ2206=10,$AJ2206=11,$AJ2206=74),"④一般",IF(OR($AJ2206=41,$AJ2206=47),"⑤短期","対象外"))))))</f>
      </c>
    </row>
    <row r="2207">
      <c r="DB2207" s="2909">
        <f>IF($A2207="","",IF($AE2207&amp;""&lt;&gt;'DB_設定'!$C$4,"対象外",IF($AH2207=20,IF(OR($AJ2207=10,$AJ2207=11,$AJ2207=18),"①病院一般",IF($AJ2207=41,"②病院短期","対象外")),IF($AH2207=5,IF($AJ2207=30,"③特定消防","対象外"),IF(OR($AJ2207=10,$AJ2207=11,$AJ2207=74),"④一般",IF(OR($AJ2207=41,$AJ2207=47),"⑤短期","対象外"))))))</f>
      </c>
    </row>
    <row r="2208">
      <c r="DB2208" s="2909">
        <f>IF($A2208="","",IF($AE2208&amp;""&lt;&gt;'DB_設定'!$C$4,"対象外",IF($AH2208=20,IF(OR($AJ2208=10,$AJ2208=11,$AJ2208=18),"①病院一般",IF($AJ2208=41,"②病院短期","対象外")),IF($AH2208=5,IF($AJ2208=30,"③特定消防","対象外"),IF(OR($AJ2208=10,$AJ2208=11,$AJ2208=74),"④一般",IF(OR($AJ2208=41,$AJ2208=47),"⑤短期","対象外"))))))</f>
      </c>
    </row>
    <row r="2209">
      <c r="DB2209" s="2909">
        <f>IF($A2209="","",IF($AE2209&amp;""&lt;&gt;'DB_設定'!$C$4,"対象外",IF($AH2209=20,IF(OR($AJ2209=10,$AJ2209=11,$AJ2209=18),"①病院一般",IF($AJ2209=41,"②病院短期","対象外")),IF($AH2209=5,IF($AJ2209=30,"③特定消防","対象外"),IF(OR($AJ2209=10,$AJ2209=11,$AJ2209=74),"④一般",IF(OR($AJ2209=41,$AJ2209=47),"⑤短期","対象外"))))))</f>
      </c>
    </row>
    <row r="2210">
      <c r="DB2210" s="2909">
        <f>IF($A2210="","",IF($AE2210&amp;""&lt;&gt;'DB_設定'!$C$4,"対象外",IF($AH2210=20,IF(OR($AJ2210=10,$AJ2210=11,$AJ2210=18),"①病院一般",IF($AJ2210=41,"②病院短期","対象外")),IF($AH2210=5,IF($AJ2210=30,"③特定消防","対象外"),IF(OR($AJ2210=10,$AJ2210=11,$AJ2210=74),"④一般",IF(OR($AJ2210=41,$AJ2210=47),"⑤短期","対象外"))))))</f>
      </c>
    </row>
    <row r="2211">
      <c r="DB2211" s="2909">
        <f>IF($A2211="","",IF($AE2211&amp;""&lt;&gt;'DB_設定'!$C$4,"対象外",IF($AH2211=20,IF(OR($AJ2211=10,$AJ2211=11,$AJ2211=18),"①病院一般",IF($AJ2211=41,"②病院短期","対象外")),IF($AH2211=5,IF($AJ2211=30,"③特定消防","対象外"),IF(OR($AJ2211=10,$AJ2211=11,$AJ2211=74),"④一般",IF(OR($AJ2211=41,$AJ2211=47),"⑤短期","対象外"))))))</f>
      </c>
    </row>
    <row r="2212">
      <c r="DB2212" s="2909">
        <f>IF($A2212="","",IF($AE2212&amp;""&lt;&gt;'DB_設定'!$C$4,"対象外",IF($AH2212=20,IF(OR($AJ2212=10,$AJ2212=11,$AJ2212=18),"①病院一般",IF($AJ2212=41,"②病院短期","対象外")),IF($AH2212=5,IF($AJ2212=30,"③特定消防","対象外"),IF(OR($AJ2212=10,$AJ2212=11,$AJ2212=74),"④一般",IF(OR($AJ2212=41,$AJ2212=47),"⑤短期","対象外"))))))</f>
      </c>
    </row>
    <row r="2213">
      <c r="DB2213" s="2909">
        <f>IF($A2213="","",IF($AE2213&amp;""&lt;&gt;'DB_設定'!$C$4,"対象外",IF($AH2213=20,IF(OR($AJ2213=10,$AJ2213=11,$AJ2213=18),"①病院一般",IF($AJ2213=41,"②病院短期","対象外")),IF($AH2213=5,IF($AJ2213=30,"③特定消防","対象外"),IF(OR($AJ2213=10,$AJ2213=11,$AJ2213=74),"④一般",IF(OR($AJ2213=41,$AJ2213=47),"⑤短期","対象外"))))))</f>
      </c>
    </row>
    <row r="2214">
      <c r="DB2214" s="2909">
        <f>IF($A2214="","",IF($AE2214&amp;""&lt;&gt;'DB_設定'!$C$4,"対象外",IF($AH2214=20,IF(OR($AJ2214=10,$AJ2214=11,$AJ2214=18),"①病院一般",IF($AJ2214=41,"②病院短期","対象外")),IF($AH2214=5,IF($AJ2214=30,"③特定消防","対象外"),IF(OR($AJ2214=10,$AJ2214=11,$AJ2214=74),"④一般",IF(OR($AJ2214=41,$AJ2214=47),"⑤短期","対象外"))))))</f>
      </c>
    </row>
    <row r="2215">
      <c r="DB2215" s="2909">
        <f>IF($A2215="","",IF($AE2215&amp;""&lt;&gt;'DB_設定'!$C$4,"対象外",IF($AH2215=20,IF(OR($AJ2215=10,$AJ2215=11,$AJ2215=18),"①病院一般",IF($AJ2215=41,"②病院短期","対象外")),IF($AH2215=5,IF($AJ2215=30,"③特定消防","対象外"),IF(OR($AJ2215=10,$AJ2215=11,$AJ2215=74),"④一般",IF(OR($AJ2215=41,$AJ2215=47),"⑤短期","対象外"))))))</f>
      </c>
    </row>
    <row r="2216">
      <c r="DB2216" s="2909">
        <f>IF($A2216="","",IF($AE2216&amp;""&lt;&gt;'DB_設定'!$C$4,"対象外",IF($AH2216=20,IF(OR($AJ2216=10,$AJ2216=11,$AJ2216=18),"①病院一般",IF($AJ2216=41,"②病院短期","対象外")),IF($AH2216=5,IF($AJ2216=30,"③特定消防","対象外"),IF(OR($AJ2216=10,$AJ2216=11,$AJ2216=74),"④一般",IF(OR($AJ2216=41,$AJ2216=47),"⑤短期","対象外"))))))</f>
      </c>
    </row>
    <row r="2217">
      <c r="DB2217" s="2909">
        <f>IF($A2217="","",IF($AE2217&amp;""&lt;&gt;'DB_設定'!$C$4,"対象外",IF($AH2217=20,IF(OR($AJ2217=10,$AJ2217=11,$AJ2217=18),"①病院一般",IF($AJ2217=41,"②病院短期","対象外")),IF($AH2217=5,IF($AJ2217=30,"③特定消防","対象外"),IF(OR($AJ2217=10,$AJ2217=11,$AJ2217=74),"④一般",IF(OR($AJ2217=41,$AJ2217=47),"⑤短期","対象外"))))))</f>
      </c>
    </row>
    <row r="2218">
      <c r="DB2218" s="2909">
        <f>IF($A2218="","",IF($AE2218&amp;""&lt;&gt;'DB_設定'!$C$4,"対象外",IF($AH2218=20,IF(OR($AJ2218=10,$AJ2218=11,$AJ2218=18),"①病院一般",IF($AJ2218=41,"②病院短期","対象外")),IF($AH2218=5,IF($AJ2218=30,"③特定消防","対象外"),IF(OR($AJ2218=10,$AJ2218=11,$AJ2218=74),"④一般",IF(OR($AJ2218=41,$AJ2218=47),"⑤短期","対象外"))))))</f>
      </c>
    </row>
    <row r="2219">
      <c r="DB2219" s="2909">
        <f>IF($A2219="","",IF($AE2219&amp;""&lt;&gt;'DB_設定'!$C$4,"対象外",IF($AH2219=20,IF(OR($AJ2219=10,$AJ2219=11,$AJ2219=18),"①病院一般",IF($AJ2219=41,"②病院短期","対象外")),IF($AH2219=5,IF($AJ2219=30,"③特定消防","対象外"),IF(OR($AJ2219=10,$AJ2219=11,$AJ2219=74),"④一般",IF(OR($AJ2219=41,$AJ2219=47),"⑤短期","対象外"))))))</f>
      </c>
    </row>
    <row r="2220">
      <c r="DB2220" s="2909">
        <f>IF($A2220="","",IF($AE2220&amp;""&lt;&gt;'DB_設定'!$C$4,"対象外",IF($AH2220=20,IF(OR($AJ2220=10,$AJ2220=11,$AJ2220=18),"①病院一般",IF($AJ2220=41,"②病院短期","対象外")),IF($AH2220=5,IF($AJ2220=30,"③特定消防","対象外"),IF(OR($AJ2220=10,$AJ2220=11,$AJ2220=74),"④一般",IF(OR($AJ2220=41,$AJ2220=47),"⑤短期","対象外"))))))</f>
      </c>
    </row>
    <row r="2221">
      <c r="DB2221" s="2909">
        <f>IF($A2221="","",IF($AE2221&amp;""&lt;&gt;'DB_設定'!$C$4,"対象外",IF($AH2221=20,IF(OR($AJ2221=10,$AJ2221=11,$AJ2221=18),"①病院一般",IF($AJ2221=41,"②病院短期","対象外")),IF($AH2221=5,IF($AJ2221=30,"③特定消防","対象外"),IF(OR($AJ2221=10,$AJ2221=11,$AJ2221=74),"④一般",IF(OR($AJ2221=41,$AJ2221=47),"⑤短期","対象外"))))))</f>
      </c>
    </row>
    <row r="2222">
      <c r="DB2222" s="2909">
        <f>IF($A2222="","",IF($AE2222&amp;""&lt;&gt;'DB_設定'!$C$4,"対象外",IF($AH2222=20,IF(OR($AJ2222=10,$AJ2222=11,$AJ2222=18),"①病院一般",IF($AJ2222=41,"②病院短期","対象外")),IF($AH2222=5,IF($AJ2222=30,"③特定消防","対象外"),IF(OR($AJ2222=10,$AJ2222=11,$AJ2222=74),"④一般",IF(OR($AJ2222=41,$AJ2222=47),"⑤短期","対象外"))))))</f>
      </c>
    </row>
    <row r="2223">
      <c r="DB2223" s="2909">
        <f>IF($A2223="","",IF($AE2223&amp;""&lt;&gt;'DB_設定'!$C$4,"対象外",IF($AH2223=20,IF(OR($AJ2223=10,$AJ2223=11,$AJ2223=18),"①病院一般",IF($AJ2223=41,"②病院短期","対象外")),IF($AH2223=5,IF($AJ2223=30,"③特定消防","対象外"),IF(OR($AJ2223=10,$AJ2223=11,$AJ2223=74),"④一般",IF(OR($AJ2223=41,$AJ2223=47),"⑤短期","対象外"))))))</f>
      </c>
    </row>
    <row r="2224">
      <c r="DB2224" s="2909">
        <f>IF($A2224="","",IF($AE2224&amp;""&lt;&gt;'DB_設定'!$C$4,"対象外",IF($AH2224=20,IF(OR($AJ2224=10,$AJ2224=11,$AJ2224=18),"①病院一般",IF($AJ2224=41,"②病院短期","対象外")),IF($AH2224=5,IF($AJ2224=30,"③特定消防","対象外"),IF(OR($AJ2224=10,$AJ2224=11,$AJ2224=74),"④一般",IF(OR($AJ2224=41,$AJ2224=47),"⑤短期","対象外"))))))</f>
      </c>
    </row>
    <row r="2225">
      <c r="DB2225" s="2909">
        <f>IF($A2225="","",IF($AE2225&amp;""&lt;&gt;'DB_設定'!$C$4,"対象外",IF($AH2225=20,IF(OR($AJ2225=10,$AJ2225=11,$AJ2225=18),"①病院一般",IF($AJ2225=41,"②病院短期","対象外")),IF($AH2225=5,IF($AJ2225=30,"③特定消防","対象外"),IF(OR($AJ2225=10,$AJ2225=11,$AJ2225=74),"④一般",IF(OR($AJ2225=41,$AJ2225=47),"⑤短期","対象外"))))))</f>
      </c>
    </row>
    <row r="2226">
      <c r="DB2226" s="2909">
        <f>IF($A2226="","",IF($AE2226&amp;""&lt;&gt;'DB_設定'!$C$4,"対象外",IF($AH2226=20,IF(OR($AJ2226=10,$AJ2226=11,$AJ2226=18),"①病院一般",IF($AJ2226=41,"②病院短期","対象外")),IF($AH2226=5,IF($AJ2226=30,"③特定消防","対象外"),IF(OR($AJ2226=10,$AJ2226=11,$AJ2226=74),"④一般",IF(OR($AJ2226=41,$AJ2226=47),"⑤短期","対象外"))))))</f>
      </c>
    </row>
    <row r="2227">
      <c r="DB2227" s="2909">
        <f>IF($A2227="","",IF($AE2227&amp;""&lt;&gt;'DB_設定'!$C$4,"対象外",IF($AH2227=20,IF(OR($AJ2227=10,$AJ2227=11,$AJ2227=18),"①病院一般",IF($AJ2227=41,"②病院短期","対象外")),IF($AH2227=5,IF($AJ2227=30,"③特定消防","対象外"),IF(OR($AJ2227=10,$AJ2227=11,$AJ2227=74),"④一般",IF(OR($AJ2227=41,$AJ2227=47),"⑤短期","対象外"))))))</f>
      </c>
    </row>
    <row r="2228">
      <c r="DB2228" s="2909">
        <f>IF($A2228="","",IF($AE2228&amp;""&lt;&gt;'DB_設定'!$C$4,"対象外",IF($AH2228=20,IF(OR($AJ2228=10,$AJ2228=11,$AJ2228=18),"①病院一般",IF($AJ2228=41,"②病院短期","対象外")),IF($AH2228=5,IF($AJ2228=30,"③特定消防","対象外"),IF(OR($AJ2228=10,$AJ2228=11,$AJ2228=74),"④一般",IF(OR($AJ2228=41,$AJ2228=47),"⑤短期","対象外"))))))</f>
      </c>
    </row>
    <row r="2229">
      <c r="DB2229" s="2909">
        <f>IF($A2229="","",IF($AE2229&amp;""&lt;&gt;'DB_設定'!$C$4,"対象外",IF($AH2229=20,IF(OR($AJ2229=10,$AJ2229=11,$AJ2229=18),"①病院一般",IF($AJ2229=41,"②病院短期","対象外")),IF($AH2229=5,IF($AJ2229=30,"③特定消防","対象外"),IF(OR($AJ2229=10,$AJ2229=11,$AJ2229=74),"④一般",IF(OR($AJ2229=41,$AJ2229=47),"⑤短期","対象外"))))))</f>
      </c>
    </row>
    <row r="2230">
      <c r="DB2230" s="2909">
        <f>IF($A2230="","",IF($AE2230&amp;""&lt;&gt;'DB_設定'!$C$4,"対象外",IF($AH2230=20,IF(OR($AJ2230=10,$AJ2230=11,$AJ2230=18),"①病院一般",IF($AJ2230=41,"②病院短期","対象外")),IF($AH2230=5,IF($AJ2230=30,"③特定消防","対象外"),IF(OR($AJ2230=10,$AJ2230=11,$AJ2230=74),"④一般",IF(OR($AJ2230=41,$AJ2230=47),"⑤短期","対象外"))))))</f>
      </c>
    </row>
    <row r="2231">
      <c r="DB2231" s="2909">
        <f>IF($A2231="","",IF($AE2231&amp;""&lt;&gt;'DB_設定'!$C$4,"対象外",IF($AH2231=20,IF(OR($AJ2231=10,$AJ2231=11,$AJ2231=18),"①病院一般",IF($AJ2231=41,"②病院短期","対象外")),IF($AH2231=5,IF($AJ2231=30,"③特定消防","対象外"),IF(OR($AJ2231=10,$AJ2231=11,$AJ2231=74),"④一般",IF(OR($AJ2231=41,$AJ2231=47),"⑤短期","対象外"))))))</f>
      </c>
    </row>
    <row r="2232">
      <c r="DB2232" s="2909">
        <f>IF($A2232="","",IF($AE2232&amp;""&lt;&gt;'DB_設定'!$C$4,"対象外",IF($AH2232=20,IF(OR($AJ2232=10,$AJ2232=11,$AJ2232=18),"①病院一般",IF($AJ2232=41,"②病院短期","対象外")),IF($AH2232=5,IF($AJ2232=30,"③特定消防","対象外"),IF(OR($AJ2232=10,$AJ2232=11,$AJ2232=74),"④一般",IF(OR($AJ2232=41,$AJ2232=47),"⑤短期","対象外"))))))</f>
      </c>
    </row>
    <row r="2233">
      <c r="DB2233" s="2909">
        <f>IF($A2233="","",IF($AE2233&amp;""&lt;&gt;'DB_設定'!$C$4,"対象外",IF($AH2233=20,IF(OR($AJ2233=10,$AJ2233=11,$AJ2233=18),"①病院一般",IF($AJ2233=41,"②病院短期","対象外")),IF($AH2233=5,IF($AJ2233=30,"③特定消防","対象外"),IF(OR($AJ2233=10,$AJ2233=11,$AJ2233=74),"④一般",IF(OR($AJ2233=41,$AJ2233=47),"⑤短期","対象外"))))))</f>
      </c>
    </row>
    <row r="2234">
      <c r="DB2234" s="2909">
        <f>IF($A2234="","",IF($AE2234&amp;""&lt;&gt;'DB_設定'!$C$4,"対象外",IF($AH2234=20,IF(OR($AJ2234=10,$AJ2234=11,$AJ2234=18),"①病院一般",IF($AJ2234=41,"②病院短期","対象外")),IF($AH2234=5,IF($AJ2234=30,"③特定消防","対象外"),IF(OR($AJ2234=10,$AJ2234=11,$AJ2234=74),"④一般",IF(OR($AJ2234=41,$AJ2234=47),"⑤短期","対象外"))))))</f>
      </c>
    </row>
    <row r="2235">
      <c r="DB2235" s="2909">
        <f>IF($A2235="","",IF($AE2235&amp;""&lt;&gt;'DB_設定'!$C$4,"対象外",IF($AH2235=20,IF(OR($AJ2235=10,$AJ2235=11,$AJ2235=18),"①病院一般",IF($AJ2235=41,"②病院短期","対象外")),IF($AH2235=5,IF($AJ2235=30,"③特定消防","対象外"),IF(OR($AJ2235=10,$AJ2235=11,$AJ2235=74),"④一般",IF(OR($AJ2235=41,$AJ2235=47),"⑤短期","対象外"))))))</f>
      </c>
    </row>
    <row r="2236">
      <c r="DB2236" s="2909">
        <f>IF($A2236="","",IF($AE2236&amp;""&lt;&gt;'DB_設定'!$C$4,"対象外",IF($AH2236=20,IF(OR($AJ2236=10,$AJ2236=11,$AJ2236=18),"①病院一般",IF($AJ2236=41,"②病院短期","対象外")),IF($AH2236=5,IF($AJ2236=30,"③特定消防","対象外"),IF(OR($AJ2236=10,$AJ2236=11,$AJ2236=74),"④一般",IF(OR($AJ2236=41,$AJ2236=47),"⑤短期","対象外"))))))</f>
      </c>
    </row>
    <row r="2237">
      <c r="DB2237" s="2909">
        <f>IF($A2237="","",IF($AE2237&amp;""&lt;&gt;'DB_設定'!$C$4,"対象外",IF($AH2237=20,IF(OR($AJ2237=10,$AJ2237=11,$AJ2237=18),"①病院一般",IF($AJ2237=41,"②病院短期","対象外")),IF($AH2237=5,IF($AJ2237=30,"③特定消防","対象外"),IF(OR($AJ2237=10,$AJ2237=11,$AJ2237=74),"④一般",IF(OR($AJ2237=41,$AJ2237=47),"⑤短期","対象外"))))))</f>
      </c>
    </row>
    <row r="2238">
      <c r="DB2238" s="2909">
        <f>IF($A2238="","",IF($AE2238&amp;""&lt;&gt;'DB_設定'!$C$4,"対象外",IF($AH2238=20,IF(OR($AJ2238=10,$AJ2238=11,$AJ2238=18),"①病院一般",IF($AJ2238=41,"②病院短期","対象外")),IF($AH2238=5,IF($AJ2238=30,"③特定消防","対象外"),IF(OR($AJ2238=10,$AJ2238=11,$AJ2238=74),"④一般",IF(OR($AJ2238=41,$AJ2238=47),"⑤短期","対象外"))))))</f>
      </c>
    </row>
    <row r="2239">
      <c r="DB2239" s="2909">
        <f>IF($A2239="","",IF($AE2239&amp;""&lt;&gt;'DB_設定'!$C$4,"対象外",IF($AH2239=20,IF(OR($AJ2239=10,$AJ2239=11,$AJ2239=18),"①病院一般",IF($AJ2239=41,"②病院短期","対象外")),IF($AH2239=5,IF($AJ2239=30,"③特定消防","対象外"),IF(OR($AJ2239=10,$AJ2239=11,$AJ2239=74),"④一般",IF(OR($AJ2239=41,$AJ2239=47),"⑤短期","対象外"))))))</f>
      </c>
    </row>
    <row r="2240">
      <c r="DB2240" s="2909">
        <f>IF($A2240="","",IF($AE2240&amp;""&lt;&gt;'DB_設定'!$C$4,"対象外",IF($AH2240=20,IF(OR($AJ2240=10,$AJ2240=11,$AJ2240=18),"①病院一般",IF($AJ2240=41,"②病院短期","対象外")),IF($AH2240=5,IF($AJ2240=30,"③特定消防","対象外"),IF(OR($AJ2240=10,$AJ2240=11,$AJ2240=74),"④一般",IF(OR($AJ2240=41,$AJ2240=47),"⑤短期","対象外"))))))</f>
      </c>
    </row>
    <row r="2241">
      <c r="DB2241" s="2909">
        <f>IF($A2241="","",IF($AE2241&amp;""&lt;&gt;'DB_設定'!$C$4,"対象外",IF($AH2241=20,IF(OR($AJ2241=10,$AJ2241=11,$AJ2241=18),"①病院一般",IF($AJ2241=41,"②病院短期","対象外")),IF($AH2241=5,IF($AJ2241=30,"③特定消防","対象外"),IF(OR($AJ2241=10,$AJ2241=11,$AJ2241=74),"④一般",IF(OR($AJ2241=41,$AJ2241=47),"⑤短期","対象外"))))))</f>
      </c>
    </row>
    <row r="2242">
      <c r="DB2242" s="2909">
        <f>IF($A2242="","",IF($AE2242&amp;""&lt;&gt;'DB_設定'!$C$4,"対象外",IF($AH2242=20,IF(OR($AJ2242=10,$AJ2242=11,$AJ2242=18),"①病院一般",IF($AJ2242=41,"②病院短期","対象外")),IF($AH2242=5,IF($AJ2242=30,"③特定消防","対象外"),IF(OR($AJ2242=10,$AJ2242=11,$AJ2242=74),"④一般",IF(OR($AJ2242=41,$AJ2242=47),"⑤短期","対象外"))))))</f>
      </c>
    </row>
    <row r="2243">
      <c r="DB2243" s="2909">
        <f>IF($A2243="","",IF($AE2243&amp;""&lt;&gt;'DB_設定'!$C$4,"対象外",IF($AH2243=20,IF(OR($AJ2243=10,$AJ2243=11,$AJ2243=18),"①病院一般",IF($AJ2243=41,"②病院短期","対象外")),IF($AH2243=5,IF($AJ2243=30,"③特定消防","対象外"),IF(OR($AJ2243=10,$AJ2243=11,$AJ2243=74),"④一般",IF(OR($AJ2243=41,$AJ2243=47),"⑤短期","対象外"))))))</f>
      </c>
    </row>
    <row r="2244">
      <c r="DB2244" s="2909">
        <f>IF($A2244="","",IF($AE2244&amp;""&lt;&gt;'DB_設定'!$C$4,"対象外",IF($AH2244=20,IF(OR($AJ2244=10,$AJ2244=11,$AJ2244=18),"①病院一般",IF($AJ2244=41,"②病院短期","対象外")),IF($AH2244=5,IF($AJ2244=30,"③特定消防","対象外"),IF(OR($AJ2244=10,$AJ2244=11,$AJ2244=74),"④一般",IF(OR($AJ2244=41,$AJ2244=47),"⑤短期","対象外"))))))</f>
      </c>
    </row>
    <row r="2245">
      <c r="DB2245" s="2909">
        <f>IF($A2245="","",IF($AE2245&amp;""&lt;&gt;'DB_設定'!$C$4,"対象外",IF($AH2245=20,IF(OR($AJ2245=10,$AJ2245=11,$AJ2245=18),"①病院一般",IF($AJ2245=41,"②病院短期","対象外")),IF($AH2245=5,IF($AJ2245=30,"③特定消防","対象外"),IF(OR($AJ2245=10,$AJ2245=11,$AJ2245=74),"④一般",IF(OR($AJ2245=41,$AJ2245=47),"⑤短期","対象外"))))))</f>
      </c>
    </row>
    <row r="2246">
      <c r="DB2246" s="2909">
        <f>IF($A2246="","",IF($AE2246&amp;""&lt;&gt;'DB_設定'!$C$4,"対象外",IF($AH2246=20,IF(OR($AJ2246=10,$AJ2246=11,$AJ2246=18),"①病院一般",IF($AJ2246=41,"②病院短期","対象外")),IF($AH2246=5,IF($AJ2246=30,"③特定消防","対象外"),IF(OR($AJ2246=10,$AJ2246=11,$AJ2246=74),"④一般",IF(OR($AJ2246=41,$AJ2246=47),"⑤短期","対象外"))))))</f>
      </c>
    </row>
    <row r="2247">
      <c r="DB2247" s="2909">
        <f>IF($A2247="","",IF($AE2247&amp;""&lt;&gt;'DB_設定'!$C$4,"対象外",IF($AH2247=20,IF(OR($AJ2247=10,$AJ2247=11,$AJ2247=18),"①病院一般",IF($AJ2247=41,"②病院短期","対象外")),IF($AH2247=5,IF($AJ2247=30,"③特定消防","対象外"),IF(OR($AJ2247=10,$AJ2247=11,$AJ2247=74),"④一般",IF(OR($AJ2247=41,$AJ2247=47),"⑤短期","対象外"))))))</f>
      </c>
    </row>
    <row r="2248">
      <c r="DB2248" s="2909">
        <f>IF($A2248="","",IF($AE2248&amp;""&lt;&gt;'DB_設定'!$C$4,"対象外",IF($AH2248=20,IF(OR($AJ2248=10,$AJ2248=11,$AJ2248=18),"①病院一般",IF($AJ2248=41,"②病院短期","対象外")),IF($AH2248=5,IF($AJ2248=30,"③特定消防","対象外"),IF(OR($AJ2248=10,$AJ2248=11,$AJ2248=74),"④一般",IF(OR($AJ2248=41,$AJ2248=47),"⑤短期","対象外"))))))</f>
      </c>
    </row>
    <row r="2249">
      <c r="DB2249" s="2909">
        <f>IF($A2249="","",IF($AE2249&amp;""&lt;&gt;'DB_設定'!$C$4,"対象外",IF($AH2249=20,IF(OR($AJ2249=10,$AJ2249=11,$AJ2249=18),"①病院一般",IF($AJ2249=41,"②病院短期","対象外")),IF($AH2249=5,IF($AJ2249=30,"③特定消防","対象外"),IF(OR($AJ2249=10,$AJ2249=11,$AJ2249=74),"④一般",IF(OR($AJ2249=41,$AJ2249=47),"⑤短期","対象外"))))))</f>
      </c>
    </row>
    <row r="2250">
      <c r="DB2250" s="2909">
        <f>IF($A2250="","",IF($AE2250&amp;""&lt;&gt;'DB_設定'!$C$4,"対象外",IF($AH2250=20,IF(OR($AJ2250=10,$AJ2250=11,$AJ2250=18),"①病院一般",IF($AJ2250=41,"②病院短期","対象外")),IF($AH2250=5,IF($AJ2250=30,"③特定消防","対象外"),IF(OR($AJ2250=10,$AJ2250=11,$AJ2250=74),"④一般",IF(OR($AJ2250=41,$AJ2250=47),"⑤短期","対象外"))))))</f>
      </c>
    </row>
    <row r="2251">
      <c r="DB2251" s="2909">
        <f>IF($A2251="","",IF($AE2251&amp;""&lt;&gt;'DB_設定'!$C$4,"対象外",IF($AH2251=20,IF(OR($AJ2251=10,$AJ2251=11,$AJ2251=18),"①病院一般",IF($AJ2251=41,"②病院短期","対象外")),IF($AH2251=5,IF($AJ2251=30,"③特定消防","対象外"),IF(OR($AJ2251=10,$AJ2251=11,$AJ2251=74),"④一般",IF(OR($AJ2251=41,$AJ2251=47),"⑤短期","対象外"))))))</f>
      </c>
    </row>
    <row r="2252">
      <c r="DB2252" s="2909">
        <f>IF($A2252="","",IF($AE2252&amp;""&lt;&gt;'DB_設定'!$C$4,"対象外",IF($AH2252=20,IF(OR($AJ2252=10,$AJ2252=11,$AJ2252=18),"①病院一般",IF($AJ2252=41,"②病院短期","対象外")),IF($AH2252=5,IF($AJ2252=30,"③特定消防","対象外"),IF(OR($AJ2252=10,$AJ2252=11,$AJ2252=74),"④一般",IF(OR($AJ2252=41,$AJ2252=47),"⑤短期","対象外"))))))</f>
      </c>
    </row>
    <row r="2253">
      <c r="DB2253" s="2909">
        <f>IF($A2253="","",IF($AE2253&amp;""&lt;&gt;'DB_設定'!$C$4,"対象外",IF($AH2253=20,IF(OR($AJ2253=10,$AJ2253=11,$AJ2253=18),"①病院一般",IF($AJ2253=41,"②病院短期","対象外")),IF($AH2253=5,IF($AJ2253=30,"③特定消防","対象外"),IF(OR($AJ2253=10,$AJ2253=11,$AJ2253=74),"④一般",IF(OR($AJ2253=41,$AJ2253=47),"⑤短期","対象外"))))))</f>
      </c>
    </row>
    <row r="2254">
      <c r="DB2254" s="2909">
        <f>IF($A2254="","",IF($AE2254&amp;""&lt;&gt;'DB_設定'!$C$4,"対象外",IF($AH2254=20,IF(OR($AJ2254=10,$AJ2254=11,$AJ2254=18),"①病院一般",IF($AJ2254=41,"②病院短期","対象外")),IF($AH2254=5,IF($AJ2254=30,"③特定消防","対象外"),IF(OR($AJ2254=10,$AJ2254=11,$AJ2254=74),"④一般",IF(OR($AJ2254=41,$AJ2254=47),"⑤短期","対象外"))))))</f>
      </c>
    </row>
    <row r="2255">
      <c r="DB2255" s="2909">
        <f>IF($A2255="","",IF($AE2255&amp;""&lt;&gt;'DB_設定'!$C$4,"対象外",IF($AH2255=20,IF(OR($AJ2255=10,$AJ2255=11,$AJ2255=18),"①病院一般",IF($AJ2255=41,"②病院短期","対象外")),IF($AH2255=5,IF($AJ2255=30,"③特定消防","対象外"),IF(OR($AJ2255=10,$AJ2255=11,$AJ2255=74),"④一般",IF(OR($AJ2255=41,$AJ2255=47),"⑤短期","対象外"))))))</f>
      </c>
    </row>
    <row r="2256">
      <c r="DB2256" s="2909">
        <f>IF($A2256="","",IF($AE2256&amp;""&lt;&gt;'DB_設定'!$C$4,"対象外",IF($AH2256=20,IF(OR($AJ2256=10,$AJ2256=11,$AJ2256=18),"①病院一般",IF($AJ2256=41,"②病院短期","対象外")),IF($AH2256=5,IF($AJ2256=30,"③特定消防","対象外"),IF(OR($AJ2256=10,$AJ2256=11,$AJ2256=74),"④一般",IF(OR($AJ2256=41,$AJ2256=47),"⑤短期","対象外"))))))</f>
      </c>
    </row>
    <row r="2257">
      <c r="DB2257" s="2909">
        <f>IF($A2257="","",IF($AE2257&amp;""&lt;&gt;'DB_設定'!$C$4,"対象外",IF($AH2257=20,IF(OR($AJ2257=10,$AJ2257=11,$AJ2257=18),"①病院一般",IF($AJ2257=41,"②病院短期","対象外")),IF($AH2257=5,IF($AJ2257=30,"③特定消防","対象外"),IF(OR($AJ2257=10,$AJ2257=11,$AJ2257=74),"④一般",IF(OR($AJ2257=41,$AJ2257=47),"⑤短期","対象外"))))))</f>
      </c>
    </row>
    <row r="2258">
      <c r="DB2258" s="2909">
        <f>IF($A2258="","",IF($AE2258&amp;""&lt;&gt;'DB_設定'!$C$4,"対象外",IF($AH2258=20,IF(OR($AJ2258=10,$AJ2258=11,$AJ2258=18),"①病院一般",IF($AJ2258=41,"②病院短期","対象外")),IF($AH2258=5,IF($AJ2258=30,"③特定消防","対象外"),IF(OR($AJ2258=10,$AJ2258=11,$AJ2258=74),"④一般",IF(OR($AJ2258=41,$AJ2258=47),"⑤短期","対象外"))))))</f>
      </c>
    </row>
    <row r="2259">
      <c r="DB2259" s="2909">
        <f>IF($A2259="","",IF($AE2259&amp;""&lt;&gt;'DB_設定'!$C$4,"対象外",IF($AH2259=20,IF(OR($AJ2259=10,$AJ2259=11,$AJ2259=18),"①病院一般",IF($AJ2259=41,"②病院短期","対象外")),IF($AH2259=5,IF($AJ2259=30,"③特定消防","対象外"),IF(OR($AJ2259=10,$AJ2259=11,$AJ2259=74),"④一般",IF(OR($AJ2259=41,$AJ2259=47),"⑤短期","対象外"))))))</f>
      </c>
    </row>
    <row r="2260">
      <c r="DB2260" s="2909">
        <f>IF($A2260="","",IF($AE2260&amp;""&lt;&gt;'DB_設定'!$C$4,"対象外",IF($AH2260=20,IF(OR($AJ2260=10,$AJ2260=11,$AJ2260=18),"①病院一般",IF($AJ2260=41,"②病院短期","対象外")),IF($AH2260=5,IF($AJ2260=30,"③特定消防","対象外"),IF(OR($AJ2260=10,$AJ2260=11,$AJ2260=74),"④一般",IF(OR($AJ2260=41,$AJ2260=47),"⑤短期","対象外"))))))</f>
      </c>
    </row>
    <row r="2261">
      <c r="DB2261" s="2909">
        <f>IF($A2261="","",IF($AE2261&amp;""&lt;&gt;'DB_設定'!$C$4,"対象外",IF($AH2261=20,IF(OR($AJ2261=10,$AJ2261=11,$AJ2261=18),"①病院一般",IF($AJ2261=41,"②病院短期","対象外")),IF($AH2261=5,IF($AJ2261=30,"③特定消防","対象外"),IF(OR($AJ2261=10,$AJ2261=11,$AJ2261=74),"④一般",IF(OR($AJ2261=41,$AJ2261=47),"⑤短期","対象外"))))))</f>
      </c>
    </row>
    <row r="2262">
      <c r="DB2262" s="2909">
        <f>IF($A2262="","",IF($AE2262&amp;""&lt;&gt;'DB_設定'!$C$4,"対象外",IF($AH2262=20,IF(OR($AJ2262=10,$AJ2262=11,$AJ2262=18),"①病院一般",IF($AJ2262=41,"②病院短期","対象外")),IF($AH2262=5,IF($AJ2262=30,"③特定消防","対象外"),IF(OR($AJ2262=10,$AJ2262=11,$AJ2262=74),"④一般",IF(OR($AJ2262=41,$AJ2262=47),"⑤短期","対象外"))))))</f>
      </c>
    </row>
    <row r="2263">
      <c r="DB2263" s="2909">
        <f>IF($A2263="","",IF($AE2263&amp;""&lt;&gt;'DB_設定'!$C$4,"対象外",IF($AH2263=20,IF(OR($AJ2263=10,$AJ2263=11,$AJ2263=18),"①病院一般",IF($AJ2263=41,"②病院短期","対象外")),IF($AH2263=5,IF($AJ2263=30,"③特定消防","対象外"),IF(OR($AJ2263=10,$AJ2263=11,$AJ2263=74),"④一般",IF(OR($AJ2263=41,$AJ2263=47),"⑤短期","対象外"))))))</f>
      </c>
    </row>
    <row r="2264">
      <c r="DB2264" s="2909">
        <f>IF($A2264="","",IF($AE2264&amp;""&lt;&gt;'DB_設定'!$C$4,"対象外",IF($AH2264=20,IF(OR($AJ2264=10,$AJ2264=11,$AJ2264=18),"①病院一般",IF($AJ2264=41,"②病院短期","対象外")),IF($AH2264=5,IF($AJ2264=30,"③特定消防","対象外"),IF(OR($AJ2264=10,$AJ2264=11,$AJ2264=74),"④一般",IF(OR($AJ2264=41,$AJ2264=47),"⑤短期","対象外"))))))</f>
      </c>
    </row>
    <row r="2265">
      <c r="DB2265" s="2909">
        <f>IF($A2265="","",IF($AE2265&amp;""&lt;&gt;'DB_設定'!$C$4,"対象外",IF($AH2265=20,IF(OR($AJ2265=10,$AJ2265=11,$AJ2265=18),"①病院一般",IF($AJ2265=41,"②病院短期","対象外")),IF($AH2265=5,IF($AJ2265=30,"③特定消防","対象外"),IF(OR($AJ2265=10,$AJ2265=11,$AJ2265=74),"④一般",IF(OR($AJ2265=41,$AJ2265=47),"⑤短期","対象外"))))))</f>
      </c>
    </row>
    <row r="2266">
      <c r="DB2266" s="2909">
        <f>IF($A2266="","",IF($AE2266&amp;""&lt;&gt;'DB_設定'!$C$4,"対象外",IF($AH2266=20,IF(OR($AJ2266=10,$AJ2266=11,$AJ2266=18),"①病院一般",IF($AJ2266=41,"②病院短期","対象外")),IF($AH2266=5,IF($AJ2266=30,"③特定消防","対象外"),IF(OR($AJ2266=10,$AJ2266=11,$AJ2266=74),"④一般",IF(OR($AJ2266=41,$AJ2266=47),"⑤短期","対象外"))))))</f>
      </c>
    </row>
    <row r="2267">
      <c r="DB2267" s="2909">
        <f>IF($A2267="","",IF($AE2267&amp;""&lt;&gt;'DB_設定'!$C$4,"対象外",IF($AH2267=20,IF(OR($AJ2267=10,$AJ2267=11,$AJ2267=18),"①病院一般",IF($AJ2267=41,"②病院短期","対象外")),IF($AH2267=5,IF($AJ2267=30,"③特定消防","対象外"),IF(OR($AJ2267=10,$AJ2267=11,$AJ2267=74),"④一般",IF(OR($AJ2267=41,$AJ2267=47),"⑤短期","対象外"))))))</f>
      </c>
    </row>
    <row r="2268">
      <c r="DB2268" s="2909">
        <f>IF($A2268="","",IF($AE2268&amp;""&lt;&gt;'DB_設定'!$C$4,"対象外",IF($AH2268=20,IF(OR($AJ2268=10,$AJ2268=11,$AJ2268=18),"①病院一般",IF($AJ2268=41,"②病院短期","対象外")),IF($AH2268=5,IF($AJ2268=30,"③特定消防","対象外"),IF(OR($AJ2268=10,$AJ2268=11,$AJ2268=74),"④一般",IF(OR($AJ2268=41,$AJ2268=47),"⑤短期","対象外"))))))</f>
      </c>
    </row>
    <row r="2269">
      <c r="DB2269" s="2909">
        <f>IF($A2269="","",IF($AE2269&amp;""&lt;&gt;'DB_設定'!$C$4,"対象外",IF($AH2269=20,IF(OR($AJ2269=10,$AJ2269=11,$AJ2269=18),"①病院一般",IF($AJ2269=41,"②病院短期","対象外")),IF($AH2269=5,IF($AJ2269=30,"③特定消防","対象外"),IF(OR($AJ2269=10,$AJ2269=11,$AJ2269=74),"④一般",IF(OR($AJ2269=41,$AJ2269=47),"⑤短期","対象外"))))))</f>
      </c>
    </row>
    <row r="2270">
      <c r="DB2270" s="2909">
        <f>IF($A2270="","",IF($AE2270&amp;""&lt;&gt;'DB_設定'!$C$4,"対象外",IF($AH2270=20,IF(OR($AJ2270=10,$AJ2270=11,$AJ2270=18),"①病院一般",IF($AJ2270=41,"②病院短期","対象外")),IF($AH2270=5,IF($AJ2270=30,"③特定消防","対象外"),IF(OR($AJ2270=10,$AJ2270=11,$AJ2270=74),"④一般",IF(OR($AJ2270=41,$AJ2270=47),"⑤短期","対象外"))))))</f>
      </c>
    </row>
    <row r="2271">
      <c r="DB2271" s="2909">
        <f>IF($A2271="","",IF($AE2271&amp;""&lt;&gt;'DB_設定'!$C$4,"対象外",IF($AH2271=20,IF(OR($AJ2271=10,$AJ2271=11,$AJ2271=18),"①病院一般",IF($AJ2271=41,"②病院短期","対象外")),IF($AH2271=5,IF($AJ2271=30,"③特定消防","対象外"),IF(OR($AJ2271=10,$AJ2271=11,$AJ2271=74),"④一般",IF(OR($AJ2271=41,$AJ2271=47),"⑤短期","対象外"))))))</f>
      </c>
    </row>
    <row r="2272">
      <c r="DB2272" s="2909">
        <f>IF($A2272="","",IF($AE2272&amp;""&lt;&gt;'DB_設定'!$C$4,"対象外",IF($AH2272=20,IF(OR($AJ2272=10,$AJ2272=11,$AJ2272=18),"①病院一般",IF($AJ2272=41,"②病院短期","対象外")),IF($AH2272=5,IF($AJ2272=30,"③特定消防","対象外"),IF(OR($AJ2272=10,$AJ2272=11,$AJ2272=74),"④一般",IF(OR($AJ2272=41,$AJ2272=47),"⑤短期","対象外"))))))</f>
      </c>
    </row>
    <row r="2273">
      <c r="DB2273" s="2909">
        <f>IF($A2273="","",IF($AE2273&amp;""&lt;&gt;'DB_設定'!$C$4,"対象外",IF($AH2273=20,IF(OR($AJ2273=10,$AJ2273=11,$AJ2273=18),"①病院一般",IF($AJ2273=41,"②病院短期","対象外")),IF($AH2273=5,IF($AJ2273=30,"③特定消防","対象外"),IF(OR($AJ2273=10,$AJ2273=11,$AJ2273=74),"④一般",IF(OR($AJ2273=41,$AJ2273=47),"⑤短期","対象外"))))))</f>
      </c>
    </row>
    <row r="2274">
      <c r="DB2274" s="2909">
        <f>IF($A2274="","",IF($AE2274&amp;""&lt;&gt;'DB_設定'!$C$4,"対象外",IF($AH2274=20,IF(OR($AJ2274=10,$AJ2274=11,$AJ2274=18),"①病院一般",IF($AJ2274=41,"②病院短期","対象外")),IF($AH2274=5,IF($AJ2274=30,"③特定消防","対象外"),IF(OR($AJ2274=10,$AJ2274=11,$AJ2274=74),"④一般",IF(OR($AJ2274=41,$AJ2274=47),"⑤短期","対象外"))))))</f>
      </c>
    </row>
    <row r="2275">
      <c r="DB2275" s="2909">
        <f>IF($A2275="","",IF($AE2275&amp;""&lt;&gt;'DB_設定'!$C$4,"対象外",IF($AH2275=20,IF(OR($AJ2275=10,$AJ2275=11,$AJ2275=18),"①病院一般",IF($AJ2275=41,"②病院短期","対象外")),IF($AH2275=5,IF($AJ2275=30,"③特定消防","対象外"),IF(OR($AJ2275=10,$AJ2275=11,$AJ2275=74),"④一般",IF(OR($AJ2275=41,$AJ2275=47),"⑤短期","対象外"))))))</f>
      </c>
    </row>
    <row r="2276">
      <c r="DB2276" s="2909">
        <f>IF($A2276="","",IF($AE2276&amp;""&lt;&gt;'DB_設定'!$C$4,"対象外",IF($AH2276=20,IF(OR($AJ2276=10,$AJ2276=11,$AJ2276=18),"①病院一般",IF($AJ2276=41,"②病院短期","対象外")),IF($AH2276=5,IF($AJ2276=30,"③特定消防","対象外"),IF(OR($AJ2276=10,$AJ2276=11,$AJ2276=74),"④一般",IF(OR($AJ2276=41,$AJ2276=47),"⑤短期","対象外"))))))</f>
      </c>
    </row>
    <row r="2277">
      <c r="DB2277" s="2909">
        <f>IF($A2277="","",IF($AE2277&amp;""&lt;&gt;'DB_設定'!$C$4,"対象外",IF($AH2277=20,IF(OR($AJ2277=10,$AJ2277=11,$AJ2277=18),"①病院一般",IF($AJ2277=41,"②病院短期","対象外")),IF($AH2277=5,IF($AJ2277=30,"③特定消防","対象外"),IF(OR($AJ2277=10,$AJ2277=11,$AJ2277=74),"④一般",IF(OR($AJ2277=41,$AJ2277=47),"⑤短期","対象外"))))))</f>
      </c>
    </row>
    <row r="2278">
      <c r="DB2278" s="2909">
        <f>IF($A2278="","",IF($AE2278&amp;""&lt;&gt;'DB_設定'!$C$4,"対象外",IF($AH2278=20,IF(OR($AJ2278=10,$AJ2278=11,$AJ2278=18),"①病院一般",IF($AJ2278=41,"②病院短期","対象外")),IF($AH2278=5,IF($AJ2278=30,"③特定消防","対象外"),IF(OR($AJ2278=10,$AJ2278=11,$AJ2278=74),"④一般",IF(OR($AJ2278=41,$AJ2278=47),"⑤短期","対象外"))))))</f>
      </c>
    </row>
    <row r="2279">
      <c r="DB2279" s="2909">
        <f>IF($A2279="","",IF($AE2279&amp;""&lt;&gt;'DB_設定'!$C$4,"対象外",IF($AH2279=20,IF(OR($AJ2279=10,$AJ2279=11,$AJ2279=18),"①病院一般",IF($AJ2279=41,"②病院短期","対象外")),IF($AH2279=5,IF($AJ2279=30,"③特定消防","対象外"),IF(OR($AJ2279=10,$AJ2279=11,$AJ2279=74),"④一般",IF(OR($AJ2279=41,$AJ2279=47),"⑤短期","対象外"))))))</f>
      </c>
    </row>
    <row r="2280">
      <c r="DB2280" s="2909">
        <f>IF($A2280="","",IF($AE2280&amp;""&lt;&gt;'DB_設定'!$C$4,"対象外",IF($AH2280=20,IF(OR($AJ2280=10,$AJ2280=11,$AJ2280=18),"①病院一般",IF($AJ2280=41,"②病院短期","対象外")),IF($AH2280=5,IF($AJ2280=30,"③特定消防","対象外"),IF(OR($AJ2280=10,$AJ2280=11,$AJ2280=74),"④一般",IF(OR($AJ2280=41,$AJ2280=47),"⑤短期","対象外"))))))</f>
      </c>
    </row>
    <row r="2281">
      <c r="DB2281" s="2909">
        <f>IF($A2281="","",IF($AE2281&amp;""&lt;&gt;'DB_設定'!$C$4,"対象外",IF($AH2281=20,IF(OR($AJ2281=10,$AJ2281=11,$AJ2281=18),"①病院一般",IF($AJ2281=41,"②病院短期","対象外")),IF($AH2281=5,IF($AJ2281=30,"③特定消防","対象外"),IF(OR($AJ2281=10,$AJ2281=11,$AJ2281=74),"④一般",IF(OR($AJ2281=41,$AJ2281=47),"⑤短期","対象外"))))))</f>
      </c>
    </row>
    <row r="2282">
      <c r="DB2282" s="2909">
        <f>IF($A2282="","",IF($AE2282&amp;""&lt;&gt;'DB_設定'!$C$4,"対象外",IF($AH2282=20,IF(OR($AJ2282=10,$AJ2282=11,$AJ2282=18),"①病院一般",IF($AJ2282=41,"②病院短期","対象外")),IF($AH2282=5,IF($AJ2282=30,"③特定消防","対象外"),IF(OR($AJ2282=10,$AJ2282=11,$AJ2282=74),"④一般",IF(OR($AJ2282=41,$AJ2282=47),"⑤短期","対象外"))))))</f>
      </c>
    </row>
    <row r="2283">
      <c r="DB2283" s="2909">
        <f>IF($A2283="","",IF($AE2283&amp;""&lt;&gt;'DB_設定'!$C$4,"対象外",IF($AH2283=20,IF(OR($AJ2283=10,$AJ2283=11,$AJ2283=18),"①病院一般",IF($AJ2283=41,"②病院短期","対象外")),IF($AH2283=5,IF($AJ2283=30,"③特定消防","対象外"),IF(OR($AJ2283=10,$AJ2283=11,$AJ2283=74),"④一般",IF(OR($AJ2283=41,$AJ2283=47),"⑤短期","対象外"))))))</f>
      </c>
    </row>
    <row r="2284">
      <c r="DB2284" s="2909">
        <f>IF($A2284="","",IF($AE2284&amp;""&lt;&gt;'DB_設定'!$C$4,"対象外",IF($AH2284=20,IF(OR($AJ2284=10,$AJ2284=11,$AJ2284=18),"①病院一般",IF($AJ2284=41,"②病院短期","対象外")),IF($AH2284=5,IF($AJ2284=30,"③特定消防","対象外"),IF(OR($AJ2284=10,$AJ2284=11,$AJ2284=74),"④一般",IF(OR($AJ2284=41,$AJ2284=47),"⑤短期","対象外"))))))</f>
      </c>
    </row>
    <row r="2285">
      <c r="DB2285" s="2909">
        <f>IF($A2285="","",IF($AE2285&amp;""&lt;&gt;'DB_設定'!$C$4,"対象外",IF($AH2285=20,IF(OR($AJ2285=10,$AJ2285=11,$AJ2285=18),"①病院一般",IF($AJ2285=41,"②病院短期","対象外")),IF($AH2285=5,IF($AJ2285=30,"③特定消防","対象外"),IF(OR($AJ2285=10,$AJ2285=11,$AJ2285=74),"④一般",IF(OR($AJ2285=41,$AJ2285=47),"⑤短期","対象外"))))))</f>
      </c>
    </row>
    <row r="2286">
      <c r="DB2286" s="2909">
        <f>IF($A2286="","",IF($AE2286&amp;""&lt;&gt;'DB_設定'!$C$4,"対象外",IF($AH2286=20,IF(OR($AJ2286=10,$AJ2286=11,$AJ2286=18),"①病院一般",IF($AJ2286=41,"②病院短期","対象外")),IF($AH2286=5,IF($AJ2286=30,"③特定消防","対象外"),IF(OR($AJ2286=10,$AJ2286=11,$AJ2286=74),"④一般",IF(OR($AJ2286=41,$AJ2286=47),"⑤短期","対象外"))))))</f>
      </c>
    </row>
    <row r="2287">
      <c r="DB2287" s="2909">
        <f>IF($A2287="","",IF($AE2287&amp;""&lt;&gt;'DB_設定'!$C$4,"対象外",IF($AH2287=20,IF(OR($AJ2287=10,$AJ2287=11,$AJ2287=18),"①病院一般",IF($AJ2287=41,"②病院短期","対象外")),IF($AH2287=5,IF($AJ2287=30,"③特定消防","対象外"),IF(OR($AJ2287=10,$AJ2287=11,$AJ2287=74),"④一般",IF(OR($AJ2287=41,$AJ2287=47),"⑤短期","対象外"))))))</f>
      </c>
    </row>
    <row r="2288">
      <c r="DB2288" s="2909">
        <f>IF($A2288="","",IF($AE2288&amp;""&lt;&gt;'DB_設定'!$C$4,"対象外",IF($AH2288=20,IF(OR($AJ2288=10,$AJ2288=11,$AJ2288=18),"①病院一般",IF($AJ2288=41,"②病院短期","対象外")),IF($AH2288=5,IF($AJ2288=30,"③特定消防","対象外"),IF(OR($AJ2288=10,$AJ2288=11,$AJ2288=74),"④一般",IF(OR($AJ2288=41,$AJ2288=47),"⑤短期","対象外"))))))</f>
      </c>
    </row>
    <row r="2289">
      <c r="DB2289" s="2909">
        <f>IF($A2289="","",IF($AE2289&amp;""&lt;&gt;'DB_設定'!$C$4,"対象外",IF($AH2289=20,IF(OR($AJ2289=10,$AJ2289=11,$AJ2289=18),"①病院一般",IF($AJ2289=41,"②病院短期","対象外")),IF($AH2289=5,IF($AJ2289=30,"③特定消防","対象外"),IF(OR($AJ2289=10,$AJ2289=11,$AJ2289=74),"④一般",IF(OR($AJ2289=41,$AJ2289=47),"⑤短期","対象外"))))))</f>
      </c>
    </row>
    <row r="2290">
      <c r="DB2290" s="2909">
        <f>IF($A2290="","",IF($AE2290&amp;""&lt;&gt;'DB_設定'!$C$4,"対象外",IF($AH2290=20,IF(OR($AJ2290=10,$AJ2290=11,$AJ2290=18),"①病院一般",IF($AJ2290=41,"②病院短期","対象外")),IF($AH2290=5,IF($AJ2290=30,"③特定消防","対象外"),IF(OR($AJ2290=10,$AJ2290=11,$AJ2290=74),"④一般",IF(OR($AJ2290=41,$AJ2290=47),"⑤短期","対象外"))))))</f>
      </c>
    </row>
    <row r="2291">
      <c r="DB2291" s="2909">
        <f>IF($A2291="","",IF($AE2291&amp;""&lt;&gt;'DB_設定'!$C$4,"対象外",IF($AH2291=20,IF(OR($AJ2291=10,$AJ2291=11,$AJ2291=18),"①病院一般",IF($AJ2291=41,"②病院短期","対象外")),IF($AH2291=5,IF($AJ2291=30,"③特定消防","対象外"),IF(OR($AJ2291=10,$AJ2291=11,$AJ2291=74),"④一般",IF(OR($AJ2291=41,$AJ2291=47),"⑤短期","対象外"))))))</f>
      </c>
    </row>
    <row r="2292">
      <c r="DB2292" s="2909">
        <f>IF($A2292="","",IF($AE2292&amp;""&lt;&gt;'DB_設定'!$C$4,"対象外",IF($AH2292=20,IF(OR($AJ2292=10,$AJ2292=11,$AJ2292=18),"①病院一般",IF($AJ2292=41,"②病院短期","対象外")),IF($AH2292=5,IF($AJ2292=30,"③特定消防","対象外"),IF(OR($AJ2292=10,$AJ2292=11,$AJ2292=74),"④一般",IF(OR($AJ2292=41,$AJ2292=47),"⑤短期","対象外"))))))</f>
      </c>
    </row>
    <row r="2293">
      <c r="DB2293" s="2909">
        <f>IF($A2293="","",IF($AE2293&amp;""&lt;&gt;'DB_設定'!$C$4,"対象外",IF($AH2293=20,IF(OR($AJ2293=10,$AJ2293=11,$AJ2293=18),"①病院一般",IF($AJ2293=41,"②病院短期","対象外")),IF($AH2293=5,IF($AJ2293=30,"③特定消防","対象外"),IF(OR($AJ2293=10,$AJ2293=11,$AJ2293=74),"④一般",IF(OR($AJ2293=41,$AJ2293=47),"⑤短期","対象外"))))))</f>
      </c>
    </row>
    <row r="2294">
      <c r="DB2294" s="2909">
        <f>IF($A2294="","",IF($AE2294&amp;""&lt;&gt;'DB_設定'!$C$4,"対象外",IF($AH2294=20,IF(OR($AJ2294=10,$AJ2294=11,$AJ2294=18),"①病院一般",IF($AJ2294=41,"②病院短期","対象外")),IF($AH2294=5,IF($AJ2294=30,"③特定消防","対象外"),IF(OR($AJ2294=10,$AJ2294=11,$AJ2294=74),"④一般",IF(OR($AJ2294=41,$AJ2294=47),"⑤短期","対象外"))))))</f>
      </c>
    </row>
    <row r="2295">
      <c r="DB2295" s="2909">
        <f>IF($A2295="","",IF($AE2295&amp;""&lt;&gt;'DB_設定'!$C$4,"対象外",IF($AH2295=20,IF(OR($AJ2295=10,$AJ2295=11,$AJ2295=18),"①病院一般",IF($AJ2295=41,"②病院短期","対象外")),IF($AH2295=5,IF($AJ2295=30,"③特定消防","対象外"),IF(OR($AJ2295=10,$AJ2295=11,$AJ2295=74),"④一般",IF(OR($AJ2295=41,$AJ2295=47),"⑤短期","対象外"))))))</f>
      </c>
    </row>
    <row r="2296">
      <c r="DB2296" s="2909">
        <f>IF($A2296="","",IF($AE2296&amp;""&lt;&gt;'DB_設定'!$C$4,"対象外",IF($AH2296=20,IF(OR($AJ2296=10,$AJ2296=11,$AJ2296=18),"①病院一般",IF($AJ2296=41,"②病院短期","対象外")),IF($AH2296=5,IF($AJ2296=30,"③特定消防","対象外"),IF(OR($AJ2296=10,$AJ2296=11,$AJ2296=74),"④一般",IF(OR($AJ2296=41,$AJ2296=47),"⑤短期","対象外"))))))</f>
      </c>
    </row>
    <row r="2297">
      <c r="DB2297" s="2909">
        <f>IF($A2297="","",IF($AE2297&amp;""&lt;&gt;'DB_設定'!$C$4,"対象外",IF($AH2297=20,IF(OR($AJ2297=10,$AJ2297=11,$AJ2297=18),"①病院一般",IF($AJ2297=41,"②病院短期","対象外")),IF($AH2297=5,IF($AJ2297=30,"③特定消防","対象外"),IF(OR($AJ2297=10,$AJ2297=11,$AJ2297=74),"④一般",IF(OR($AJ2297=41,$AJ2297=47),"⑤短期","対象外"))))))</f>
      </c>
    </row>
    <row r="2298">
      <c r="DB2298" s="2909">
        <f>IF($A2298="","",IF($AE2298&amp;""&lt;&gt;'DB_設定'!$C$4,"対象外",IF($AH2298=20,IF(OR($AJ2298=10,$AJ2298=11,$AJ2298=18),"①病院一般",IF($AJ2298=41,"②病院短期","対象外")),IF($AH2298=5,IF($AJ2298=30,"③特定消防","対象外"),IF(OR($AJ2298=10,$AJ2298=11,$AJ2298=74),"④一般",IF(OR($AJ2298=41,$AJ2298=47),"⑤短期","対象外"))))))</f>
      </c>
    </row>
    <row r="2299">
      <c r="DB2299" s="2909">
        <f>IF($A2299="","",IF($AE2299&amp;""&lt;&gt;'DB_設定'!$C$4,"対象外",IF($AH2299=20,IF(OR($AJ2299=10,$AJ2299=11,$AJ2299=18),"①病院一般",IF($AJ2299=41,"②病院短期","対象外")),IF($AH2299=5,IF($AJ2299=30,"③特定消防","対象外"),IF(OR($AJ2299=10,$AJ2299=11,$AJ2299=74),"④一般",IF(OR($AJ2299=41,$AJ2299=47),"⑤短期","対象外"))))))</f>
      </c>
    </row>
    <row r="2300">
      <c r="DB2300" s="2909">
        <f>IF($A2300="","",IF($AE2300&amp;""&lt;&gt;'DB_設定'!$C$4,"対象外",IF($AH2300=20,IF(OR($AJ2300=10,$AJ2300=11,$AJ2300=18),"①病院一般",IF($AJ2300=41,"②病院短期","対象外")),IF($AH2300=5,IF($AJ2300=30,"③特定消防","対象外"),IF(OR($AJ2300=10,$AJ2300=11,$AJ2300=74),"④一般",IF(OR($AJ2300=41,$AJ2300=47),"⑤短期","対象外"))))))</f>
      </c>
    </row>
    <row r="2301">
      <c r="DB2301" s="2909">
        <f>IF($A2301="","",IF($AE2301&amp;""&lt;&gt;'DB_設定'!$C$4,"対象外",IF($AH2301=20,IF(OR($AJ2301=10,$AJ2301=11,$AJ2301=18),"①病院一般",IF($AJ2301=41,"②病院短期","対象外")),IF($AH2301=5,IF($AJ2301=30,"③特定消防","対象外"),IF(OR($AJ2301=10,$AJ2301=11,$AJ2301=74),"④一般",IF(OR($AJ2301=41,$AJ2301=47),"⑤短期","対象外"))))))</f>
      </c>
    </row>
    <row r="2302">
      <c r="DB2302" s="2909">
        <f>IF($A2302="","",IF($AE2302&amp;""&lt;&gt;'DB_設定'!$C$4,"対象外",IF($AH2302=20,IF(OR($AJ2302=10,$AJ2302=11,$AJ2302=18),"①病院一般",IF($AJ2302=41,"②病院短期","対象外")),IF($AH2302=5,IF($AJ2302=30,"③特定消防","対象外"),IF(OR($AJ2302=10,$AJ2302=11,$AJ2302=74),"④一般",IF(OR($AJ2302=41,$AJ2302=47),"⑤短期","対象外"))))))</f>
      </c>
    </row>
    <row r="2303">
      <c r="DB2303" s="2909">
        <f>IF($A2303="","",IF($AE2303&amp;""&lt;&gt;'DB_設定'!$C$4,"対象外",IF($AH2303=20,IF(OR($AJ2303=10,$AJ2303=11,$AJ2303=18),"①病院一般",IF($AJ2303=41,"②病院短期","対象外")),IF($AH2303=5,IF($AJ2303=30,"③特定消防","対象外"),IF(OR($AJ2303=10,$AJ2303=11,$AJ2303=74),"④一般",IF(OR($AJ2303=41,$AJ2303=47),"⑤短期","対象外"))))))</f>
      </c>
    </row>
    <row r="2304">
      <c r="DB2304" s="2909">
        <f>IF($A2304="","",IF($AE2304&amp;""&lt;&gt;'DB_設定'!$C$4,"対象外",IF($AH2304=20,IF(OR($AJ2304=10,$AJ2304=11,$AJ2304=18),"①病院一般",IF($AJ2304=41,"②病院短期","対象外")),IF($AH2304=5,IF($AJ2304=30,"③特定消防","対象外"),IF(OR($AJ2304=10,$AJ2304=11,$AJ2304=74),"④一般",IF(OR($AJ2304=41,$AJ2304=47),"⑤短期","対象外"))))))</f>
      </c>
    </row>
    <row r="2305">
      <c r="DB2305" s="2909">
        <f>IF($A2305="","",IF($AE2305&amp;""&lt;&gt;'DB_設定'!$C$4,"対象外",IF($AH2305=20,IF(OR($AJ2305=10,$AJ2305=11,$AJ2305=18),"①病院一般",IF($AJ2305=41,"②病院短期","対象外")),IF($AH2305=5,IF($AJ2305=30,"③特定消防","対象外"),IF(OR($AJ2305=10,$AJ2305=11,$AJ2305=74),"④一般",IF(OR($AJ2305=41,$AJ2305=47),"⑤短期","対象外"))))))</f>
      </c>
    </row>
    <row r="2306">
      <c r="DB2306" s="2909">
        <f>IF($A2306="","",IF($AE2306&amp;""&lt;&gt;'DB_設定'!$C$4,"対象外",IF($AH2306=20,IF(OR($AJ2306=10,$AJ2306=11,$AJ2306=18),"①病院一般",IF($AJ2306=41,"②病院短期","対象外")),IF($AH2306=5,IF($AJ2306=30,"③特定消防","対象外"),IF(OR($AJ2306=10,$AJ2306=11,$AJ2306=74),"④一般",IF(OR($AJ2306=41,$AJ2306=47),"⑤短期","対象外"))))))</f>
      </c>
    </row>
    <row r="2307">
      <c r="DB2307" s="2909">
        <f>IF($A2307="","",IF($AE2307&amp;""&lt;&gt;'DB_設定'!$C$4,"対象外",IF($AH2307=20,IF(OR($AJ2307=10,$AJ2307=11,$AJ2307=18),"①病院一般",IF($AJ2307=41,"②病院短期","対象外")),IF($AH2307=5,IF($AJ2307=30,"③特定消防","対象外"),IF(OR($AJ2307=10,$AJ2307=11,$AJ2307=74),"④一般",IF(OR($AJ2307=41,$AJ2307=47),"⑤短期","対象外"))))))</f>
      </c>
    </row>
    <row r="2308">
      <c r="DB2308" s="2909">
        <f>IF($A2308="","",IF($AE2308&amp;""&lt;&gt;'DB_設定'!$C$4,"対象外",IF($AH2308=20,IF(OR($AJ2308=10,$AJ2308=11,$AJ2308=18),"①病院一般",IF($AJ2308=41,"②病院短期","対象外")),IF($AH2308=5,IF($AJ2308=30,"③特定消防","対象外"),IF(OR($AJ2308=10,$AJ2308=11,$AJ2308=74),"④一般",IF(OR($AJ2308=41,$AJ2308=47),"⑤短期","対象外"))))))</f>
      </c>
    </row>
    <row r="2309">
      <c r="DB2309" s="2909">
        <f>IF($A2309="","",IF($AE2309&amp;""&lt;&gt;'DB_設定'!$C$4,"対象外",IF($AH2309=20,IF(OR($AJ2309=10,$AJ2309=11,$AJ2309=18),"①病院一般",IF($AJ2309=41,"②病院短期","対象外")),IF($AH2309=5,IF($AJ2309=30,"③特定消防","対象外"),IF(OR($AJ2309=10,$AJ2309=11,$AJ2309=74),"④一般",IF(OR($AJ2309=41,$AJ2309=47),"⑤短期","対象外"))))))</f>
      </c>
    </row>
    <row r="2310">
      <c r="DB2310" s="2909">
        <f>IF($A2310="","",IF($AE2310&amp;""&lt;&gt;'DB_設定'!$C$4,"対象外",IF($AH2310=20,IF(OR($AJ2310=10,$AJ2310=11,$AJ2310=18),"①病院一般",IF($AJ2310=41,"②病院短期","対象外")),IF($AH2310=5,IF($AJ2310=30,"③特定消防","対象外"),IF(OR($AJ2310=10,$AJ2310=11,$AJ2310=74),"④一般",IF(OR($AJ2310=41,$AJ2310=47),"⑤短期","対象外"))))))</f>
      </c>
    </row>
    <row r="2311">
      <c r="DB2311" s="2909">
        <f>IF($A2311="","",IF($AE2311&amp;""&lt;&gt;'DB_設定'!$C$4,"対象外",IF($AH2311=20,IF(OR($AJ2311=10,$AJ2311=11,$AJ2311=18),"①病院一般",IF($AJ2311=41,"②病院短期","対象外")),IF($AH2311=5,IF($AJ2311=30,"③特定消防","対象外"),IF(OR($AJ2311=10,$AJ2311=11,$AJ2311=74),"④一般",IF(OR($AJ2311=41,$AJ2311=47),"⑤短期","対象外"))))))</f>
      </c>
    </row>
    <row r="2312">
      <c r="DB2312" s="2909">
        <f>IF($A2312="","",IF($AE2312&amp;""&lt;&gt;'DB_設定'!$C$4,"対象外",IF($AH2312=20,IF(OR($AJ2312=10,$AJ2312=11,$AJ2312=18),"①病院一般",IF($AJ2312=41,"②病院短期","対象外")),IF($AH2312=5,IF($AJ2312=30,"③特定消防","対象外"),IF(OR($AJ2312=10,$AJ2312=11,$AJ2312=74),"④一般",IF(OR($AJ2312=41,$AJ2312=47),"⑤短期","対象外"))))))</f>
      </c>
    </row>
    <row r="2313">
      <c r="DB2313" s="2909">
        <f>IF($A2313="","",IF($AE2313&amp;""&lt;&gt;'DB_設定'!$C$4,"対象外",IF($AH2313=20,IF(OR($AJ2313=10,$AJ2313=11,$AJ2313=18),"①病院一般",IF($AJ2313=41,"②病院短期","対象外")),IF($AH2313=5,IF($AJ2313=30,"③特定消防","対象外"),IF(OR($AJ2313=10,$AJ2313=11,$AJ2313=74),"④一般",IF(OR($AJ2313=41,$AJ2313=47),"⑤短期","対象外"))))))</f>
      </c>
    </row>
    <row r="2314">
      <c r="DB2314" s="2909">
        <f>IF($A2314="","",IF($AE2314&amp;""&lt;&gt;'DB_設定'!$C$4,"対象外",IF($AH2314=20,IF(OR($AJ2314=10,$AJ2314=11,$AJ2314=18),"①病院一般",IF($AJ2314=41,"②病院短期","対象外")),IF($AH2314=5,IF($AJ2314=30,"③特定消防","対象外"),IF(OR($AJ2314=10,$AJ2314=11,$AJ2314=74),"④一般",IF(OR($AJ2314=41,$AJ2314=47),"⑤短期","対象外"))))))</f>
      </c>
    </row>
    <row r="2315">
      <c r="DB2315" s="2909">
        <f>IF($A2315="","",IF($AE2315&amp;""&lt;&gt;'DB_設定'!$C$4,"対象外",IF($AH2315=20,IF(OR($AJ2315=10,$AJ2315=11,$AJ2315=18),"①病院一般",IF($AJ2315=41,"②病院短期","対象外")),IF($AH2315=5,IF($AJ2315=30,"③特定消防","対象外"),IF(OR($AJ2315=10,$AJ2315=11,$AJ2315=74),"④一般",IF(OR($AJ2315=41,$AJ2315=47),"⑤短期","対象外"))))))</f>
      </c>
    </row>
    <row r="2316">
      <c r="DB2316" s="2909">
        <f>IF($A2316="","",IF($AE2316&amp;""&lt;&gt;'DB_設定'!$C$4,"対象外",IF($AH2316=20,IF(OR($AJ2316=10,$AJ2316=11,$AJ2316=18),"①病院一般",IF($AJ2316=41,"②病院短期","対象外")),IF($AH2316=5,IF($AJ2316=30,"③特定消防","対象外"),IF(OR($AJ2316=10,$AJ2316=11,$AJ2316=74),"④一般",IF(OR($AJ2316=41,$AJ2316=47),"⑤短期","対象外"))))))</f>
      </c>
    </row>
    <row r="2317">
      <c r="DB2317" s="2909">
        <f>IF($A2317="","",IF($AE2317&amp;""&lt;&gt;'DB_設定'!$C$4,"対象外",IF($AH2317=20,IF(OR($AJ2317=10,$AJ2317=11,$AJ2317=18),"①病院一般",IF($AJ2317=41,"②病院短期","対象外")),IF($AH2317=5,IF($AJ2317=30,"③特定消防","対象外"),IF(OR($AJ2317=10,$AJ2317=11,$AJ2317=74),"④一般",IF(OR($AJ2317=41,$AJ2317=47),"⑤短期","対象外"))))))</f>
      </c>
    </row>
    <row r="2318">
      <c r="DB2318" s="2909">
        <f>IF($A2318="","",IF($AE2318&amp;""&lt;&gt;'DB_設定'!$C$4,"対象外",IF($AH2318=20,IF(OR($AJ2318=10,$AJ2318=11,$AJ2318=18),"①病院一般",IF($AJ2318=41,"②病院短期","対象外")),IF($AH2318=5,IF($AJ2318=30,"③特定消防","対象外"),IF(OR($AJ2318=10,$AJ2318=11,$AJ2318=74),"④一般",IF(OR($AJ2318=41,$AJ2318=47),"⑤短期","対象外"))))))</f>
      </c>
    </row>
    <row r="2319">
      <c r="DB2319" s="2909">
        <f>IF($A2319="","",IF($AE2319&amp;""&lt;&gt;'DB_設定'!$C$4,"対象外",IF($AH2319=20,IF(OR($AJ2319=10,$AJ2319=11,$AJ2319=18),"①病院一般",IF($AJ2319=41,"②病院短期","対象外")),IF($AH2319=5,IF($AJ2319=30,"③特定消防","対象外"),IF(OR($AJ2319=10,$AJ2319=11,$AJ2319=74),"④一般",IF(OR($AJ2319=41,$AJ2319=47),"⑤短期","対象外"))))))</f>
      </c>
    </row>
    <row r="2320">
      <c r="DB2320" s="2909">
        <f>IF($A2320="","",IF($AE2320&amp;""&lt;&gt;'DB_設定'!$C$4,"対象外",IF($AH2320=20,IF(OR($AJ2320=10,$AJ2320=11,$AJ2320=18),"①病院一般",IF($AJ2320=41,"②病院短期","対象外")),IF($AH2320=5,IF($AJ2320=30,"③特定消防","対象外"),IF(OR($AJ2320=10,$AJ2320=11,$AJ2320=74),"④一般",IF(OR($AJ2320=41,$AJ2320=47),"⑤短期","対象外"))))))</f>
      </c>
    </row>
    <row r="2321">
      <c r="DB2321" s="2909">
        <f>IF($A2321="","",IF($AE2321&amp;""&lt;&gt;'DB_設定'!$C$4,"対象外",IF($AH2321=20,IF(OR($AJ2321=10,$AJ2321=11,$AJ2321=18),"①病院一般",IF($AJ2321=41,"②病院短期","対象外")),IF($AH2321=5,IF($AJ2321=30,"③特定消防","対象外"),IF(OR($AJ2321=10,$AJ2321=11,$AJ2321=74),"④一般",IF(OR($AJ2321=41,$AJ2321=47),"⑤短期","対象外"))))))</f>
      </c>
    </row>
    <row r="2322">
      <c r="DB2322" s="2909">
        <f>IF($A2322="","",IF($AE2322&amp;""&lt;&gt;'DB_設定'!$C$4,"対象外",IF($AH2322=20,IF(OR($AJ2322=10,$AJ2322=11,$AJ2322=18),"①病院一般",IF($AJ2322=41,"②病院短期","対象外")),IF($AH2322=5,IF($AJ2322=30,"③特定消防","対象外"),IF(OR($AJ2322=10,$AJ2322=11,$AJ2322=74),"④一般",IF(OR($AJ2322=41,$AJ2322=47),"⑤短期","対象外"))))))</f>
      </c>
    </row>
    <row r="2323">
      <c r="DB2323" s="2909">
        <f>IF($A2323="","",IF($AE2323&amp;""&lt;&gt;'DB_設定'!$C$4,"対象外",IF($AH2323=20,IF(OR($AJ2323=10,$AJ2323=11,$AJ2323=18),"①病院一般",IF($AJ2323=41,"②病院短期","対象外")),IF($AH2323=5,IF($AJ2323=30,"③特定消防","対象外"),IF(OR($AJ2323=10,$AJ2323=11,$AJ2323=74),"④一般",IF(OR($AJ2323=41,$AJ2323=47),"⑤短期","対象外"))))))</f>
      </c>
    </row>
    <row r="2324">
      <c r="DB2324" s="2909">
        <f>IF($A2324="","",IF($AE2324&amp;""&lt;&gt;'DB_設定'!$C$4,"対象外",IF($AH2324=20,IF(OR($AJ2324=10,$AJ2324=11,$AJ2324=18),"①病院一般",IF($AJ2324=41,"②病院短期","対象外")),IF($AH2324=5,IF($AJ2324=30,"③特定消防","対象外"),IF(OR($AJ2324=10,$AJ2324=11,$AJ2324=74),"④一般",IF(OR($AJ2324=41,$AJ2324=47),"⑤短期","対象外"))))))</f>
      </c>
    </row>
    <row r="2325">
      <c r="DB2325" s="2909">
        <f>IF($A2325="","",IF($AE2325&amp;""&lt;&gt;'DB_設定'!$C$4,"対象外",IF($AH2325=20,IF(OR($AJ2325=10,$AJ2325=11,$AJ2325=18),"①病院一般",IF($AJ2325=41,"②病院短期","対象外")),IF($AH2325=5,IF($AJ2325=30,"③特定消防","対象外"),IF(OR($AJ2325=10,$AJ2325=11,$AJ2325=74),"④一般",IF(OR($AJ2325=41,$AJ2325=47),"⑤短期","対象外"))))))</f>
      </c>
    </row>
    <row r="2326">
      <c r="DB2326" s="2909">
        <f>IF($A2326="","",IF($AE2326&amp;""&lt;&gt;'DB_設定'!$C$4,"対象外",IF($AH2326=20,IF(OR($AJ2326=10,$AJ2326=11,$AJ2326=18),"①病院一般",IF($AJ2326=41,"②病院短期","対象外")),IF($AH2326=5,IF($AJ2326=30,"③特定消防","対象外"),IF(OR($AJ2326=10,$AJ2326=11,$AJ2326=74),"④一般",IF(OR($AJ2326=41,$AJ2326=47),"⑤短期","対象外"))))))</f>
      </c>
    </row>
    <row r="2327">
      <c r="DB2327" s="2909">
        <f>IF($A2327="","",IF($AE2327&amp;""&lt;&gt;'DB_設定'!$C$4,"対象外",IF($AH2327=20,IF(OR($AJ2327=10,$AJ2327=11,$AJ2327=18),"①病院一般",IF($AJ2327=41,"②病院短期","対象外")),IF($AH2327=5,IF($AJ2327=30,"③特定消防","対象外"),IF(OR($AJ2327=10,$AJ2327=11,$AJ2327=74),"④一般",IF(OR($AJ2327=41,$AJ2327=47),"⑤短期","対象外"))))))</f>
      </c>
    </row>
    <row r="2328">
      <c r="DB2328" s="2909">
        <f>IF($A2328="","",IF($AE2328&amp;""&lt;&gt;'DB_設定'!$C$4,"対象外",IF($AH2328=20,IF(OR($AJ2328=10,$AJ2328=11,$AJ2328=18),"①病院一般",IF($AJ2328=41,"②病院短期","対象外")),IF($AH2328=5,IF($AJ2328=30,"③特定消防","対象外"),IF(OR($AJ2328=10,$AJ2328=11,$AJ2328=74),"④一般",IF(OR($AJ2328=41,$AJ2328=47),"⑤短期","対象外"))))))</f>
      </c>
    </row>
    <row r="2329">
      <c r="DB2329" s="2909">
        <f>IF($A2329="","",IF($AE2329&amp;""&lt;&gt;'DB_設定'!$C$4,"対象外",IF($AH2329=20,IF(OR($AJ2329=10,$AJ2329=11,$AJ2329=18),"①病院一般",IF($AJ2329=41,"②病院短期","対象外")),IF($AH2329=5,IF($AJ2329=30,"③特定消防","対象外"),IF(OR($AJ2329=10,$AJ2329=11,$AJ2329=74),"④一般",IF(OR($AJ2329=41,$AJ2329=47),"⑤短期","対象外"))))))</f>
      </c>
    </row>
    <row r="2330">
      <c r="DB2330" s="2909">
        <f>IF($A2330="","",IF($AE2330&amp;""&lt;&gt;'DB_設定'!$C$4,"対象外",IF($AH2330=20,IF(OR($AJ2330=10,$AJ2330=11,$AJ2330=18),"①病院一般",IF($AJ2330=41,"②病院短期","対象外")),IF($AH2330=5,IF($AJ2330=30,"③特定消防","対象外"),IF(OR($AJ2330=10,$AJ2330=11,$AJ2330=74),"④一般",IF(OR($AJ2330=41,$AJ2330=47),"⑤短期","対象外"))))))</f>
      </c>
    </row>
    <row r="2331">
      <c r="DB2331" s="2909">
        <f>IF($A2331="","",IF($AE2331&amp;""&lt;&gt;'DB_設定'!$C$4,"対象外",IF($AH2331=20,IF(OR($AJ2331=10,$AJ2331=11,$AJ2331=18),"①病院一般",IF($AJ2331=41,"②病院短期","対象外")),IF($AH2331=5,IF($AJ2331=30,"③特定消防","対象外"),IF(OR($AJ2331=10,$AJ2331=11,$AJ2331=74),"④一般",IF(OR($AJ2331=41,$AJ2331=47),"⑤短期","対象外"))))))</f>
      </c>
    </row>
    <row r="2332">
      <c r="DB2332" s="2909">
        <f>IF($A2332="","",IF($AE2332&amp;""&lt;&gt;'DB_設定'!$C$4,"対象外",IF($AH2332=20,IF(OR($AJ2332=10,$AJ2332=11,$AJ2332=18),"①病院一般",IF($AJ2332=41,"②病院短期","対象外")),IF($AH2332=5,IF($AJ2332=30,"③特定消防","対象外"),IF(OR($AJ2332=10,$AJ2332=11,$AJ2332=74),"④一般",IF(OR($AJ2332=41,$AJ2332=47),"⑤短期","対象外"))))))</f>
      </c>
    </row>
    <row r="2333">
      <c r="DB2333" s="2909">
        <f>IF($A2333="","",IF($AE2333&amp;""&lt;&gt;'DB_設定'!$C$4,"対象外",IF($AH2333=20,IF(OR($AJ2333=10,$AJ2333=11,$AJ2333=18),"①病院一般",IF($AJ2333=41,"②病院短期","対象外")),IF($AH2333=5,IF($AJ2333=30,"③特定消防","対象外"),IF(OR($AJ2333=10,$AJ2333=11,$AJ2333=74),"④一般",IF(OR($AJ2333=41,$AJ2333=47),"⑤短期","対象外"))))))</f>
      </c>
    </row>
    <row r="2334">
      <c r="DB2334" s="2909">
        <f>IF($A2334="","",IF($AE2334&amp;""&lt;&gt;'DB_設定'!$C$4,"対象外",IF($AH2334=20,IF(OR($AJ2334=10,$AJ2334=11,$AJ2334=18),"①病院一般",IF($AJ2334=41,"②病院短期","対象外")),IF($AH2334=5,IF($AJ2334=30,"③特定消防","対象外"),IF(OR($AJ2334=10,$AJ2334=11,$AJ2334=74),"④一般",IF(OR($AJ2334=41,$AJ2334=47),"⑤短期","対象外"))))))</f>
      </c>
    </row>
    <row r="2335">
      <c r="DB2335" s="2909">
        <f>IF($A2335="","",IF($AE2335&amp;""&lt;&gt;'DB_設定'!$C$4,"対象外",IF($AH2335=20,IF(OR($AJ2335=10,$AJ2335=11,$AJ2335=18),"①病院一般",IF($AJ2335=41,"②病院短期","対象外")),IF($AH2335=5,IF($AJ2335=30,"③特定消防","対象外"),IF(OR($AJ2335=10,$AJ2335=11,$AJ2335=74),"④一般",IF(OR($AJ2335=41,$AJ2335=47),"⑤短期","対象外"))))))</f>
      </c>
    </row>
    <row r="2336">
      <c r="DB2336" s="2909">
        <f>IF($A2336="","",IF($AE2336&amp;""&lt;&gt;'DB_設定'!$C$4,"対象外",IF($AH2336=20,IF(OR($AJ2336=10,$AJ2336=11,$AJ2336=18),"①病院一般",IF($AJ2336=41,"②病院短期","対象外")),IF($AH2336=5,IF($AJ2336=30,"③特定消防","対象外"),IF(OR($AJ2336=10,$AJ2336=11,$AJ2336=74),"④一般",IF(OR($AJ2336=41,$AJ2336=47),"⑤短期","対象外"))))))</f>
      </c>
    </row>
    <row r="2337">
      <c r="DB2337" s="2909">
        <f>IF($A2337="","",IF($AE2337&amp;""&lt;&gt;'DB_設定'!$C$4,"対象外",IF($AH2337=20,IF(OR($AJ2337=10,$AJ2337=11,$AJ2337=18),"①病院一般",IF($AJ2337=41,"②病院短期","対象外")),IF($AH2337=5,IF($AJ2337=30,"③特定消防","対象外"),IF(OR($AJ2337=10,$AJ2337=11,$AJ2337=74),"④一般",IF(OR($AJ2337=41,$AJ2337=47),"⑤短期","対象外"))))))</f>
      </c>
    </row>
    <row r="2338">
      <c r="DB2338" s="2909">
        <f>IF($A2338="","",IF($AE2338&amp;""&lt;&gt;'DB_設定'!$C$4,"対象外",IF($AH2338=20,IF(OR($AJ2338=10,$AJ2338=11,$AJ2338=18),"①病院一般",IF($AJ2338=41,"②病院短期","対象外")),IF($AH2338=5,IF($AJ2338=30,"③特定消防","対象外"),IF(OR($AJ2338=10,$AJ2338=11,$AJ2338=74),"④一般",IF(OR($AJ2338=41,$AJ2338=47),"⑤短期","対象外"))))))</f>
      </c>
    </row>
    <row r="2339">
      <c r="DB2339" s="2909">
        <f>IF($A2339="","",IF($AE2339&amp;""&lt;&gt;'DB_設定'!$C$4,"対象外",IF($AH2339=20,IF(OR($AJ2339=10,$AJ2339=11,$AJ2339=18),"①病院一般",IF($AJ2339=41,"②病院短期","対象外")),IF($AH2339=5,IF($AJ2339=30,"③特定消防","対象外"),IF(OR($AJ2339=10,$AJ2339=11,$AJ2339=74),"④一般",IF(OR($AJ2339=41,$AJ2339=47),"⑤短期","対象外"))))))</f>
      </c>
    </row>
    <row r="2340">
      <c r="DB2340" s="2909">
        <f>IF($A2340="","",IF($AE2340&amp;""&lt;&gt;'DB_設定'!$C$4,"対象外",IF($AH2340=20,IF(OR($AJ2340=10,$AJ2340=11,$AJ2340=18),"①病院一般",IF($AJ2340=41,"②病院短期","対象外")),IF($AH2340=5,IF($AJ2340=30,"③特定消防","対象外"),IF(OR($AJ2340=10,$AJ2340=11,$AJ2340=74),"④一般",IF(OR($AJ2340=41,$AJ2340=47),"⑤短期","対象外"))))))</f>
      </c>
    </row>
    <row r="2341">
      <c r="DB2341" s="2909">
        <f>IF($A2341="","",IF($AE2341&amp;""&lt;&gt;'DB_設定'!$C$4,"対象外",IF($AH2341=20,IF(OR($AJ2341=10,$AJ2341=11,$AJ2341=18),"①病院一般",IF($AJ2341=41,"②病院短期","対象外")),IF($AH2341=5,IF($AJ2341=30,"③特定消防","対象外"),IF(OR($AJ2341=10,$AJ2341=11,$AJ2341=74),"④一般",IF(OR($AJ2341=41,$AJ2341=47),"⑤短期","対象外"))))))</f>
      </c>
    </row>
    <row r="2342">
      <c r="DB2342" s="2909">
        <f>IF($A2342="","",IF($AE2342&amp;""&lt;&gt;'DB_設定'!$C$4,"対象外",IF($AH2342=20,IF(OR($AJ2342=10,$AJ2342=11,$AJ2342=18),"①病院一般",IF($AJ2342=41,"②病院短期","対象外")),IF($AH2342=5,IF($AJ2342=30,"③特定消防","対象外"),IF(OR($AJ2342=10,$AJ2342=11,$AJ2342=74),"④一般",IF(OR($AJ2342=41,$AJ2342=47),"⑤短期","対象外"))))))</f>
      </c>
    </row>
    <row r="2343">
      <c r="DB2343" s="2909">
        <f>IF($A2343="","",IF($AE2343&amp;""&lt;&gt;'DB_設定'!$C$4,"対象外",IF($AH2343=20,IF(OR($AJ2343=10,$AJ2343=11,$AJ2343=18),"①病院一般",IF($AJ2343=41,"②病院短期","対象外")),IF($AH2343=5,IF($AJ2343=30,"③特定消防","対象外"),IF(OR($AJ2343=10,$AJ2343=11,$AJ2343=74),"④一般",IF(OR($AJ2343=41,$AJ2343=47),"⑤短期","対象外"))))))</f>
      </c>
    </row>
    <row r="2344">
      <c r="DB2344" s="2909">
        <f>IF($A2344="","",IF($AE2344&amp;""&lt;&gt;'DB_設定'!$C$4,"対象外",IF($AH2344=20,IF(OR($AJ2344=10,$AJ2344=11,$AJ2344=18),"①病院一般",IF($AJ2344=41,"②病院短期","対象外")),IF($AH2344=5,IF($AJ2344=30,"③特定消防","対象外"),IF(OR($AJ2344=10,$AJ2344=11,$AJ2344=74),"④一般",IF(OR($AJ2344=41,$AJ2344=47),"⑤短期","対象外"))))))</f>
      </c>
    </row>
    <row r="2345">
      <c r="DB2345" s="2909">
        <f>IF($A2345="","",IF($AE2345&amp;""&lt;&gt;'DB_設定'!$C$4,"対象外",IF($AH2345=20,IF(OR($AJ2345=10,$AJ2345=11,$AJ2345=18),"①病院一般",IF($AJ2345=41,"②病院短期","対象外")),IF($AH2345=5,IF($AJ2345=30,"③特定消防","対象外"),IF(OR($AJ2345=10,$AJ2345=11,$AJ2345=74),"④一般",IF(OR($AJ2345=41,$AJ2345=47),"⑤短期","対象外"))))))</f>
      </c>
    </row>
    <row r="2346">
      <c r="DB2346" s="2909">
        <f>IF($A2346="","",IF($AE2346&amp;""&lt;&gt;'DB_設定'!$C$4,"対象外",IF($AH2346=20,IF(OR($AJ2346=10,$AJ2346=11,$AJ2346=18),"①病院一般",IF($AJ2346=41,"②病院短期","対象外")),IF($AH2346=5,IF($AJ2346=30,"③特定消防","対象外"),IF(OR($AJ2346=10,$AJ2346=11,$AJ2346=74),"④一般",IF(OR($AJ2346=41,$AJ2346=47),"⑤短期","対象外"))))))</f>
      </c>
    </row>
    <row r="2347">
      <c r="DB2347" s="2909">
        <f>IF($A2347="","",IF($AE2347&amp;""&lt;&gt;'DB_設定'!$C$4,"対象外",IF($AH2347=20,IF(OR($AJ2347=10,$AJ2347=11,$AJ2347=18),"①病院一般",IF($AJ2347=41,"②病院短期","対象外")),IF($AH2347=5,IF($AJ2347=30,"③特定消防","対象外"),IF(OR($AJ2347=10,$AJ2347=11,$AJ2347=74),"④一般",IF(OR($AJ2347=41,$AJ2347=47),"⑤短期","対象外"))))))</f>
      </c>
    </row>
    <row r="2348">
      <c r="DB2348" s="2909">
        <f>IF($A2348="","",IF($AE2348&amp;""&lt;&gt;'DB_設定'!$C$4,"対象外",IF($AH2348=20,IF(OR($AJ2348=10,$AJ2348=11,$AJ2348=18),"①病院一般",IF($AJ2348=41,"②病院短期","対象外")),IF($AH2348=5,IF($AJ2348=30,"③特定消防","対象外"),IF(OR($AJ2348=10,$AJ2348=11,$AJ2348=74),"④一般",IF(OR($AJ2348=41,$AJ2348=47),"⑤短期","対象外"))))))</f>
      </c>
    </row>
    <row r="2349">
      <c r="DB2349" s="2909">
        <f>IF($A2349="","",IF($AE2349&amp;""&lt;&gt;'DB_設定'!$C$4,"対象外",IF($AH2349=20,IF(OR($AJ2349=10,$AJ2349=11,$AJ2349=18),"①病院一般",IF($AJ2349=41,"②病院短期","対象外")),IF($AH2349=5,IF($AJ2349=30,"③特定消防","対象外"),IF(OR($AJ2349=10,$AJ2349=11,$AJ2349=74),"④一般",IF(OR($AJ2349=41,$AJ2349=47),"⑤短期","対象外"))))))</f>
      </c>
    </row>
    <row r="2350">
      <c r="DB2350" s="2909">
        <f>IF($A2350="","",IF($AE2350&amp;""&lt;&gt;'DB_設定'!$C$4,"対象外",IF($AH2350=20,IF(OR($AJ2350=10,$AJ2350=11,$AJ2350=18),"①病院一般",IF($AJ2350=41,"②病院短期","対象外")),IF($AH2350=5,IF($AJ2350=30,"③特定消防","対象外"),IF(OR($AJ2350=10,$AJ2350=11,$AJ2350=74),"④一般",IF(OR($AJ2350=41,$AJ2350=47),"⑤短期","対象外"))))))</f>
      </c>
    </row>
    <row r="2351">
      <c r="DB2351" s="2909">
        <f>IF($A2351="","",IF($AE2351&amp;""&lt;&gt;'DB_設定'!$C$4,"対象外",IF($AH2351=20,IF(OR($AJ2351=10,$AJ2351=11,$AJ2351=18),"①病院一般",IF($AJ2351=41,"②病院短期","対象外")),IF($AH2351=5,IF($AJ2351=30,"③特定消防","対象外"),IF(OR($AJ2351=10,$AJ2351=11,$AJ2351=74),"④一般",IF(OR($AJ2351=41,$AJ2351=47),"⑤短期","対象外"))))))</f>
      </c>
    </row>
    <row r="2352">
      <c r="DB2352" s="2909">
        <f>IF($A2352="","",IF($AE2352&amp;""&lt;&gt;'DB_設定'!$C$4,"対象外",IF($AH2352=20,IF(OR($AJ2352=10,$AJ2352=11,$AJ2352=18),"①病院一般",IF($AJ2352=41,"②病院短期","対象外")),IF($AH2352=5,IF($AJ2352=30,"③特定消防","対象外"),IF(OR($AJ2352=10,$AJ2352=11,$AJ2352=74),"④一般",IF(OR($AJ2352=41,$AJ2352=47),"⑤短期","対象外"))))))</f>
      </c>
    </row>
    <row r="2353">
      <c r="DB2353" s="2909">
        <f>IF($A2353="","",IF($AE2353&amp;""&lt;&gt;'DB_設定'!$C$4,"対象外",IF($AH2353=20,IF(OR($AJ2353=10,$AJ2353=11,$AJ2353=18),"①病院一般",IF($AJ2353=41,"②病院短期","対象外")),IF($AH2353=5,IF($AJ2353=30,"③特定消防","対象外"),IF(OR($AJ2353=10,$AJ2353=11,$AJ2353=74),"④一般",IF(OR($AJ2353=41,$AJ2353=47),"⑤短期","対象外"))))))</f>
      </c>
    </row>
    <row r="2354">
      <c r="DB2354" s="2909">
        <f>IF($A2354="","",IF($AE2354&amp;""&lt;&gt;'DB_設定'!$C$4,"対象外",IF($AH2354=20,IF(OR($AJ2354=10,$AJ2354=11,$AJ2354=18),"①病院一般",IF($AJ2354=41,"②病院短期","対象外")),IF($AH2354=5,IF($AJ2354=30,"③特定消防","対象外"),IF(OR($AJ2354=10,$AJ2354=11,$AJ2354=74),"④一般",IF(OR($AJ2354=41,$AJ2354=47),"⑤短期","対象外"))))))</f>
      </c>
    </row>
    <row r="2355">
      <c r="DB2355" s="2909">
        <f>IF($A2355="","",IF($AE2355&amp;""&lt;&gt;'DB_設定'!$C$4,"対象外",IF($AH2355=20,IF(OR($AJ2355=10,$AJ2355=11,$AJ2355=18),"①病院一般",IF($AJ2355=41,"②病院短期","対象外")),IF($AH2355=5,IF($AJ2355=30,"③特定消防","対象外"),IF(OR($AJ2355=10,$AJ2355=11,$AJ2355=74),"④一般",IF(OR($AJ2355=41,$AJ2355=47),"⑤短期","対象外"))))))</f>
      </c>
    </row>
    <row r="2356">
      <c r="DB2356" s="2909">
        <f>IF($A2356="","",IF($AE2356&amp;""&lt;&gt;'DB_設定'!$C$4,"対象外",IF($AH2356=20,IF(OR($AJ2356=10,$AJ2356=11,$AJ2356=18),"①病院一般",IF($AJ2356=41,"②病院短期","対象外")),IF($AH2356=5,IF($AJ2356=30,"③特定消防","対象外"),IF(OR($AJ2356=10,$AJ2356=11,$AJ2356=74),"④一般",IF(OR($AJ2356=41,$AJ2356=47),"⑤短期","対象外"))))))</f>
      </c>
    </row>
    <row r="2357">
      <c r="DB2357" s="2909">
        <f>IF($A2357="","",IF($AE2357&amp;""&lt;&gt;'DB_設定'!$C$4,"対象外",IF($AH2357=20,IF(OR($AJ2357=10,$AJ2357=11,$AJ2357=18),"①病院一般",IF($AJ2357=41,"②病院短期","対象外")),IF($AH2357=5,IF($AJ2357=30,"③特定消防","対象外"),IF(OR($AJ2357=10,$AJ2357=11,$AJ2357=74),"④一般",IF(OR($AJ2357=41,$AJ2357=47),"⑤短期","対象外"))))))</f>
      </c>
    </row>
    <row r="2358">
      <c r="DB2358" s="2909">
        <f>IF($A2358="","",IF($AE2358&amp;""&lt;&gt;'DB_設定'!$C$4,"対象外",IF($AH2358=20,IF(OR($AJ2358=10,$AJ2358=11,$AJ2358=18),"①病院一般",IF($AJ2358=41,"②病院短期","対象外")),IF($AH2358=5,IF($AJ2358=30,"③特定消防","対象外"),IF(OR($AJ2358=10,$AJ2358=11,$AJ2358=74),"④一般",IF(OR($AJ2358=41,$AJ2358=47),"⑤短期","対象外"))))))</f>
      </c>
    </row>
    <row r="2359">
      <c r="DB2359" s="2909">
        <f>IF($A2359="","",IF($AE2359&amp;""&lt;&gt;'DB_設定'!$C$4,"対象外",IF($AH2359=20,IF(OR($AJ2359=10,$AJ2359=11,$AJ2359=18),"①病院一般",IF($AJ2359=41,"②病院短期","対象外")),IF($AH2359=5,IF($AJ2359=30,"③特定消防","対象外"),IF(OR($AJ2359=10,$AJ2359=11,$AJ2359=74),"④一般",IF(OR($AJ2359=41,$AJ2359=47),"⑤短期","対象外"))))))</f>
      </c>
    </row>
    <row r="2360">
      <c r="DB2360" s="2909">
        <f>IF($A2360="","",IF($AE2360&amp;""&lt;&gt;'DB_設定'!$C$4,"対象外",IF($AH2360=20,IF(OR($AJ2360=10,$AJ2360=11,$AJ2360=18),"①病院一般",IF($AJ2360=41,"②病院短期","対象外")),IF($AH2360=5,IF($AJ2360=30,"③特定消防","対象外"),IF(OR($AJ2360=10,$AJ2360=11,$AJ2360=74),"④一般",IF(OR($AJ2360=41,$AJ2360=47),"⑤短期","対象外"))))))</f>
      </c>
    </row>
    <row r="2361">
      <c r="DB2361" s="2909">
        <f>IF($A2361="","",IF($AE2361&amp;""&lt;&gt;'DB_設定'!$C$4,"対象外",IF($AH2361=20,IF(OR($AJ2361=10,$AJ2361=11,$AJ2361=18),"①病院一般",IF($AJ2361=41,"②病院短期","対象外")),IF($AH2361=5,IF($AJ2361=30,"③特定消防","対象外"),IF(OR($AJ2361=10,$AJ2361=11,$AJ2361=74),"④一般",IF(OR($AJ2361=41,$AJ2361=47),"⑤短期","対象外"))))))</f>
      </c>
    </row>
    <row r="2362">
      <c r="DB2362" s="2909">
        <f>IF($A2362="","",IF($AE2362&amp;""&lt;&gt;'DB_設定'!$C$4,"対象外",IF($AH2362=20,IF(OR($AJ2362=10,$AJ2362=11,$AJ2362=18),"①病院一般",IF($AJ2362=41,"②病院短期","対象外")),IF($AH2362=5,IF($AJ2362=30,"③特定消防","対象外"),IF(OR($AJ2362=10,$AJ2362=11,$AJ2362=74),"④一般",IF(OR($AJ2362=41,$AJ2362=47),"⑤短期","対象外"))))))</f>
      </c>
    </row>
    <row r="2363">
      <c r="DB2363" s="2909">
        <f>IF($A2363="","",IF($AE2363&amp;""&lt;&gt;'DB_設定'!$C$4,"対象外",IF($AH2363=20,IF(OR($AJ2363=10,$AJ2363=11,$AJ2363=18),"①病院一般",IF($AJ2363=41,"②病院短期","対象外")),IF($AH2363=5,IF($AJ2363=30,"③特定消防","対象外"),IF(OR($AJ2363=10,$AJ2363=11,$AJ2363=74),"④一般",IF(OR($AJ2363=41,$AJ2363=47),"⑤短期","対象外"))))))</f>
      </c>
    </row>
    <row r="2364">
      <c r="DB2364" s="2909">
        <f>IF($A2364="","",IF($AE2364&amp;""&lt;&gt;'DB_設定'!$C$4,"対象外",IF($AH2364=20,IF(OR($AJ2364=10,$AJ2364=11,$AJ2364=18),"①病院一般",IF($AJ2364=41,"②病院短期","対象外")),IF($AH2364=5,IF($AJ2364=30,"③特定消防","対象外"),IF(OR($AJ2364=10,$AJ2364=11,$AJ2364=74),"④一般",IF(OR($AJ2364=41,$AJ2364=47),"⑤短期","対象外"))))))</f>
      </c>
    </row>
    <row r="2365">
      <c r="DB2365" s="2909">
        <f>IF($A2365="","",IF($AE2365&amp;""&lt;&gt;'DB_設定'!$C$4,"対象外",IF($AH2365=20,IF(OR($AJ2365=10,$AJ2365=11,$AJ2365=18),"①病院一般",IF($AJ2365=41,"②病院短期","対象外")),IF($AH2365=5,IF($AJ2365=30,"③特定消防","対象外"),IF(OR($AJ2365=10,$AJ2365=11,$AJ2365=74),"④一般",IF(OR($AJ2365=41,$AJ2365=47),"⑤短期","対象外"))))))</f>
      </c>
    </row>
    <row r="2366">
      <c r="DB2366" s="2909">
        <f>IF($A2366="","",IF($AE2366&amp;""&lt;&gt;'DB_設定'!$C$4,"対象外",IF($AH2366=20,IF(OR($AJ2366=10,$AJ2366=11,$AJ2366=18),"①病院一般",IF($AJ2366=41,"②病院短期","対象外")),IF($AH2366=5,IF($AJ2366=30,"③特定消防","対象外"),IF(OR($AJ2366=10,$AJ2366=11,$AJ2366=74),"④一般",IF(OR($AJ2366=41,$AJ2366=47),"⑤短期","対象外"))))))</f>
      </c>
    </row>
    <row r="2367">
      <c r="DB2367" s="2909">
        <f>IF($A2367="","",IF($AE2367&amp;""&lt;&gt;'DB_設定'!$C$4,"対象外",IF($AH2367=20,IF(OR($AJ2367=10,$AJ2367=11,$AJ2367=18),"①病院一般",IF($AJ2367=41,"②病院短期","対象外")),IF($AH2367=5,IF($AJ2367=30,"③特定消防","対象外"),IF(OR($AJ2367=10,$AJ2367=11,$AJ2367=74),"④一般",IF(OR($AJ2367=41,$AJ2367=47),"⑤短期","対象外"))))))</f>
      </c>
    </row>
    <row r="2368">
      <c r="DB2368" s="2909">
        <f>IF($A2368="","",IF($AE2368&amp;""&lt;&gt;'DB_設定'!$C$4,"対象外",IF($AH2368=20,IF(OR($AJ2368=10,$AJ2368=11,$AJ2368=18),"①病院一般",IF($AJ2368=41,"②病院短期","対象外")),IF($AH2368=5,IF($AJ2368=30,"③特定消防","対象外"),IF(OR($AJ2368=10,$AJ2368=11,$AJ2368=74),"④一般",IF(OR($AJ2368=41,$AJ2368=47),"⑤短期","対象外"))))))</f>
      </c>
    </row>
    <row r="2369">
      <c r="DB2369" s="2909">
        <f>IF($A2369="","",IF($AE2369&amp;""&lt;&gt;'DB_設定'!$C$4,"対象外",IF($AH2369=20,IF(OR($AJ2369=10,$AJ2369=11,$AJ2369=18),"①病院一般",IF($AJ2369=41,"②病院短期","対象外")),IF($AH2369=5,IF($AJ2369=30,"③特定消防","対象外"),IF(OR($AJ2369=10,$AJ2369=11,$AJ2369=74),"④一般",IF(OR($AJ2369=41,$AJ2369=47),"⑤短期","対象外"))))))</f>
      </c>
    </row>
    <row r="2370">
      <c r="DB2370" s="2909">
        <f>IF($A2370="","",IF($AE2370&amp;""&lt;&gt;'DB_設定'!$C$4,"対象外",IF($AH2370=20,IF(OR($AJ2370=10,$AJ2370=11,$AJ2370=18),"①病院一般",IF($AJ2370=41,"②病院短期","対象外")),IF($AH2370=5,IF($AJ2370=30,"③特定消防","対象外"),IF(OR($AJ2370=10,$AJ2370=11,$AJ2370=74),"④一般",IF(OR($AJ2370=41,$AJ2370=47),"⑤短期","対象外"))))))</f>
      </c>
    </row>
    <row r="2371">
      <c r="DB2371" s="2909">
        <f>IF($A2371="","",IF($AE2371&amp;""&lt;&gt;'DB_設定'!$C$4,"対象外",IF($AH2371=20,IF(OR($AJ2371=10,$AJ2371=11,$AJ2371=18),"①病院一般",IF($AJ2371=41,"②病院短期","対象外")),IF($AH2371=5,IF($AJ2371=30,"③特定消防","対象外"),IF(OR($AJ2371=10,$AJ2371=11,$AJ2371=74),"④一般",IF(OR($AJ2371=41,$AJ2371=47),"⑤短期","対象外"))))))</f>
      </c>
    </row>
    <row r="2372">
      <c r="DB2372" s="2909">
        <f>IF($A2372="","",IF($AE2372&amp;""&lt;&gt;'DB_設定'!$C$4,"対象外",IF($AH2372=20,IF(OR($AJ2372=10,$AJ2372=11,$AJ2372=18),"①病院一般",IF($AJ2372=41,"②病院短期","対象外")),IF($AH2372=5,IF($AJ2372=30,"③特定消防","対象外"),IF(OR($AJ2372=10,$AJ2372=11,$AJ2372=74),"④一般",IF(OR($AJ2372=41,$AJ2372=47),"⑤短期","対象外"))))))</f>
      </c>
    </row>
    <row r="2373">
      <c r="DB2373" s="2909">
        <f>IF($A2373="","",IF($AE2373&amp;""&lt;&gt;'DB_設定'!$C$4,"対象外",IF($AH2373=20,IF(OR($AJ2373=10,$AJ2373=11,$AJ2373=18),"①病院一般",IF($AJ2373=41,"②病院短期","対象外")),IF($AH2373=5,IF($AJ2373=30,"③特定消防","対象外"),IF(OR($AJ2373=10,$AJ2373=11,$AJ2373=74),"④一般",IF(OR($AJ2373=41,$AJ2373=47),"⑤短期","対象外"))))))</f>
      </c>
    </row>
    <row r="2374">
      <c r="DB2374" s="2909">
        <f>IF($A2374="","",IF($AE2374&amp;""&lt;&gt;'DB_設定'!$C$4,"対象外",IF($AH2374=20,IF(OR($AJ2374=10,$AJ2374=11,$AJ2374=18),"①病院一般",IF($AJ2374=41,"②病院短期","対象外")),IF($AH2374=5,IF($AJ2374=30,"③特定消防","対象外"),IF(OR($AJ2374=10,$AJ2374=11,$AJ2374=74),"④一般",IF(OR($AJ2374=41,$AJ2374=47),"⑤短期","対象外"))))))</f>
      </c>
    </row>
    <row r="2375">
      <c r="DB2375" s="2909">
        <f>IF($A2375="","",IF($AE2375&amp;""&lt;&gt;'DB_設定'!$C$4,"対象外",IF($AH2375=20,IF(OR($AJ2375=10,$AJ2375=11,$AJ2375=18),"①病院一般",IF($AJ2375=41,"②病院短期","対象外")),IF($AH2375=5,IF($AJ2375=30,"③特定消防","対象外"),IF(OR($AJ2375=10,$AJ2375=11,$AJ2375=74),"④一般",IF(OR($AJ2375=41,$AJ2375=47),"⑤短期","対象外"))))))</f>
      </c>
    </row>
    <row r="2376">
      <c r="DB2376" s="2909">
        <f>IF($A2376="","",IF($AE2376&amp;""&lt;&gt;'DB_設定'!$C$4,"対象外",IF($AH2376=20,IF(OR($AJ2376=10,$AJ2376=11,$AJ2376=18),"①病院一般",IF($AJ2376=41,"②病院短期","対象外")),IF($AH2376=5,IF($AJ2376=30,"③特定消防","対象外"),IF(OR($AJ2376=10,$AJ2376=11,$AJ2376=74),"④一般",IF(OR($AJ2376=41,$AJ2376=47),"⑤短期","対象外"))))))</f>
      </c>
    </row>
    <row r="2377">
      <c r="DB2377" s="2909">
        <f>IF($A2377="","",IF($AE2377&amp;""&lt;&gt;'DB_設定'!$C$4,"対象外",IF($AH2377=20,IF(OR($AJ2377=10,$AJ2377=11,$AJ2377=18),"①病院一般",IF($AJ2377=41,"②病院短期","対象外")),IF($AH2377=5,IF($AJ2377=30,"③特定消防","対象外"),IF(OR($AJ2377=10,$AJ2377=11,$AJ2377=74),"④一般",IF(OR($AJ2377=41,$AJ2377=47),"⑤短期","対象外"))))))</f>
      </c>
    </row>
    <row r="2378">
      <c r="DB2378" s="2909">
        <f>IF($A2378="","",IF($AE2378&amp;""&lt;&gt;'DB_設定'!$C$4,"対象外",IF($AH2378=20,IF(OR($AJ2378=10,$AJ2378=11,$AJ2378=18),"①病院一般",IF($AJ2378=41,"②病院短期","対象外")),IF($AH2378=5,IF($AJ2378=30,"③特定消防","対象外"),IF(OR($AJ2378=10,$AJ2378=11,$AJ2378=74),"④一般",IF(OR($AJ2378=41,$AJ2378=47),"⑤短期","対象外"))))))</f>
      </c>
    </row>
    <row r="2379">
      <c r="DB2379" s="2909">
        <f>IF($A2379="","",IF($AE2379&amp;""&lt;&gt;'DB_設定'!$C$4,"対象外",IF($AH2379=20,IF(OR($AJ2379=10,$AJ2379=11,$AJ2379=18),"①病院一般",IF($AJ2379=41,"②病院短期","対象外")),IF($AH2379=5,IF($AJ2379=30,"③特定消防","対象外"),IF(OR($AJ2379=10,$AJ2379=11,$AJ2379=74),"④一般",IF(OR($AJ2379=41,$AJ2379=47),"⑤短期","対象外"))))))</f>
      </c>
    </row>
    <row r="2380">
      <c r="DB2380" s="2909">
        <f>IF($A2380="","",IF($AE2380&amp;""&lt;&gt;'DB_設定'!$C$4,"対象外",IF($AH2380=20,IF(OR($AJ2380=10,$AJ2380=11,$AJ2380=18),"①病院一般",IF($AJ2380=41,"②病院短期","対象外")),IF($AH2380=5,IF($AJ2380=30,"③特定消防","対象外"),IF(OR($AJ2380=10,$AJ2380=11,$AJ2380=74),"④一般",IF(OR($AJ2380=41,$AJ2380=47),"⑤短期","対象外"))))))</f>
      </c>
    </row>
    <row r="2381">
      <c r="DB2381" s="2909">
        <f>IF($A2381="","",IF($AE2381&amp;""&lt;&gt;'DB_設定'!$C$4,"対象外",IF($AH2381=20,IF(OR($AJ2381=10,$AJ2381=11,$AJ2381=18),"①病院一般",IF($AJ2381=41,"②病院短期","対象外")),IF($AH2381=5,IF($AJ2381=30,"③特定消防","対象外"),IF(OR($AJ2381=10,$AJ2381=11,$AJ2381=74),"④一般",IF(OR($AJ2381=41,$AJ2381=47),"⑤短期","対象外"))))))</f>
      </c>
    </row>
    <row r="2382">
      <c r="DB2382" s="2909">
        <f>IF($A2382="","",IF($AE2382&amp;""&lt;&gt;'DB_設定'!$C$4,"対象外",IF($AH2382=20,IF(OR($AJ2382=10,$AJ2382=11,$AJ2382=18),"①病院一般",IF($AJ2382=41,"②病院短期","対象外")),IF($AH2382=5,IF($AJ2382=30,"③特定消防","対象外"),IF(OR($AJ2382=10,$AJ2382=11,$AJ2382=74),"④一般",IF(OR($AJ2382=41,$AJ2382=47),"⑤短期","対象外"))))))</f>
      </c>
    </row>
    <row r="2383">
      <c r="DB2383" s="2909">
        <f>IF($A2383="","",IF($AE2383&amp;""&lt;&gt;'DB_設定'!$C$4,"対象外",IF($AH2383=20,IF(OR($AJ2383=10,$AJ2383=11,$AJ2383=18),"①病院一般",IF($AJ2383=41,"②病院短期","対象外")),IF($AH2383=5,IF($AJ2383=30,"③特定消防","対象外"),IF(OR($AJ2383=10,$AJ2383=11,$AJ2383=74),"④一般",IF(OR($AJ2383=41,$AJ2383=47),"⑤短期","対象外"))))))</f>
      </c>
    </row>
    <row r="2384">
      <c r="DB2384" s="2909">
        <f>IF($A2384="","",IF($AE2384&amp;""&lt;&gt;'DB_設定'!$C$4,"対象外",IF($AH2384=20,IF(OR($AJ2384=10,$AJ2384=11,$AJ2384=18),"①病院一般",IF($AJ2384=41,"②病院短期","対象外")),IF($AH2384=5,IF($AJ2384=30,"③特定消防","対象外"),IF(OR($AJ2384=10,$AJ2384=11,$AJ2384=74),"④一般",IF(OR($AJ2384=41,$AJ2384=47),"⑤短期","対象外"))))))</f>
      </c>
    </row>
    <row r="2385">
      <c r="DB2385" s="2909">
        <f>IF($A2385="","",IF($AE2385&amp;""&lt;&gt;'DB_設定'!$C$4,"対象外",IF($AH2385=20,IF(OR($AJ2385=10,$AJ2385=11,$AJ2385=18),"①病院一般",IF($AJ2385=41,"②病院短期","対象外")),IF($AH2385=5,IF($AJ2385=30,"③特定消防","対象外"),IF(OR($AJ2385=10,$AJ2385=11,$AJ2385=74),"④一般",IF(OR($AJ2385=41,$AJ2385=47),"⑤短期","対象外"))))))</f>
      </c>
    </row>
    <row r="2386">
      <c r="DB2386" s="2909">
        <f>IF($A2386="","",IF($AE2386&amp;""&lt;&gt;'DB_設定'!$C$4,"対象外",IF($AH2386=20,IF(OR($AJ2386=10,$AJ2386=11,$AJ2386=18),"①病院一般",IF($AJ2386=41,"②病院短期","対象外")),IF($AH2386=5,IF($AJ2386=30,"③特定消防","対象外"),IF(OR($AJ2386=10,$AJ2386=11,$AJ2386=74),"④一般",IF(OR($AJ2386=41,$AJ2386=47),"⑤短期","対象外"))))))</f>
      </c>
    </row>
    <row r="2387">
      <c r="DB2387" s="2909">
        <f>IF($A2387="","",IF($AE2387&amp;""&lt;&gt;'DB_設定'!$C$4,"対象外",IF($AH2387=20,IF(OR($AJ2387=10,$AJ2387=11,$AJ2387=18),"①病院一般",IF($AJ2387=41,"②病院短期","対象外")),IF($AH2387=5,IF($AJ2387=30,"③特定消防","対象外"),IF(OR($AJ2387=10,$AJ2387=11,$AJ2387=74),"④一般",IF(OR($AJ2387=41,$AJ2387=47),"⑤短期","対象外"))))))</f>
      </c>
    </row>
    <row r="2388">
      <c r="DB2388" s="2909">
        <f>IF($A2388="","",IF($AE2388&amp;""&lt;&gt;'DB_設定'!$C$4,"対象外",IF($AH2388=20,IF(OR($AJ2388=10,$AJ2388=11,$AJ2388=18),"①病院一般",IF($AJ2388=41,"②病院短期","対象外")),IF($AH2388=5,IF($AJ2388=30,"③特定消防","対象外"),IF(OR($AJ2388=10,$AJ2388=11,$AJ2388=74),"④一般",IF(OR($AJ2388=41,$AJ2388=47),"⑤短期","対象外"))))))</f>
      </c>
    </row>
    <row r="2389">
      <c r="DB2389" s="2909">
        <f>IF($A2389="","",IF($AE2389&amp;""&lt;&gt;'DB_設定'!$C$4,"対象外",IF($AH2389=20,IF(OR($AJ2389=10,$AJ2389=11,$AJ2389=18),"①病院一般",IF($AJ2389=41,"②病院短期","対象外")),IF($AH2389=5,IF($AJ2389=30,"③特定消防","対象外"),IF(OR($AJ2389=10,$AJ2389=11,$AJ2389=74),"④一般",IF(OR($AJ2389=41,$AJ2389=47),"⑤短期","対象外"))))))</f>
      </c>
    </row>
    <row r="2390">
      <c r="DB2390" s="2909">
        <f>IF($A2390="","",IF($AE2390&amp;""&lt;&gt;'DB_設定'!$C$4,"対象外",IF($AH2390=20,IF(OR($AJ2390=10,$AJ2390=11,$AJ2390=18),"①病院一般",IF($AJ2390=41,"②病院短期","対象外")),IF($AH2390=5,IF($AJ2390=30,"③特定消防","対象外"),IF(OR($AJ2390=10,$AJ2390=11,$AJ2390=74),"④一般",IF(OR($AJ2390=41,$AJ2390=47),"⑤短期","対象外"))))))</f>
      </c>
    </row>
    <row r="2391">
      <c r="DB2391" s="2909">
        <f>IF($A2391="","",IF($AE2391&amp;""&lt;&gt;'DB_設定'!$C$4,"対象外",IF($AH2391=20,IF(OR($AJ2391=10,$AJ2391=11,$AJ2391=18),"①病院一般",IF($AJ2391=41,"②病院短期","対象外")),IF($AH2391=5,IF($AJ2391=30,"③特定消防","対象外"),IF(OR($AJ2391=10,$AJ2391=11,$AJ2391=74),"④一般",IF(OR($AJ2391=41,$AJ2391=47),"⑤短期","対象外"))))))</f>
      </c>
    </row>
    <row r="2392">
      <c r="DB2392" s="2909">
        <f>IF($A2392="","",IF($AE2392&amp;""&lt;&gt;'DB_設定'!$C$4,"対象外",IF($AH2392=20,IF(OR($AJ2392=10,$AJ2392=11,$AJ2392=18),"①病院一般",IF($AJ2392=41,"②病院短期","対象外")),IF($AH2392=5,IF($AJ2392=30,"③特定消防","対象外"),IF(OR($AJ2392=10,$AJ2392=11,$AJ2392=74),"④一般",IF(OR($AJ2392=41,$AJ2392=47),"⑤短期","対象外"))))))</f>
      </c>
    </row>
    <row r="2393">
      <c r="DB2393" s="2909">
        <f>IF($A2393="","",IF($AE2393&amp;""&lt;&gt;'DB_設定'!$C$4,"対象外",IF($AH2393=20,IF(OR($AJ2393=10,$AJ2393=11,$AJ2393=18),"①病院一般",IF($AJ2393=41,"②病院短期","対象外")),IF($AH2393=5,IF($AJ2393=30,"③特定消防","対象外"),IF(OR($AJ2393=10,$AJ2393=11,$AJ2393=74),"④一般",IF(OR($AJ2393=41,$AJ2393=47),"⑤短期","対象外"))))))</f>
      </c>
    </row>
    <row r="2394">
      <c r="DB2394" s="2909">
        <f>IF($A2394="","",IF($AE2394&amp;""&lt;&gt;'DB_設定'!$C$4,"対象外",IF($AH2394=20,IF(OR($AJ2394=10,$AJ2394=11,$AJ2394=18),"①病院一般",IF($AJ2394=41,"②病院短期","対象外")),IF($AH2394=5,IF($AJ2394=30,"③特定消防","対象外"),IF(OR($AJ2394=10,$AJ2394=11,$AJ2394=74),"④一般",IF(OR($AJ2394=41,$AJ2394=47),"⑤短期","対象外"))))))</f>
      </c>
    </row>
    <row r="2395">
      <c r="DB2395" s="2909">
        <f>IF($A2395="","",IF($AE2395&amp;""&lt;&gt;'DB_設定'!$C$4,"対象外",IF($AH2395=20,IF(OR($AJ2395=10,$AJ2395=11,$AJ2395=18),"①病院一般",IF($AJ2395=41,"②病院短期","対象外")),IF($AH2395=5,IF($AJ2395=30,"③特定消防","対象外"),IF(OR($AJ2395=10,$AJ2395=11,$AJ2395=74),"④一般",IF(OR($AJ2395=41,$AJ2395=47),"⑤短期","対象外"))))))</f>
      </c>
    </row>
    <row r="2396">
      <c r="DB2396" s="2909">
        <f>IF($A2396="","",IF($AE2396&amp;""&lt;&gt;'DB_設定'!$C$4,"対象外",IF($AH2396=20,IF(OR($AJ2396=10,$AJ2396=11,$AJ2396=18),"①病院一般",IF($AJ2396=41,"②病院短期","対象外")),IF($AH2396=5,IF($AJ2396=30,"③特定消防","対象外"),IF(OR($AJ2396=10,$AJ2396=11,$AJ2396=74),"④一般",IF(OR($AJ2396=41,$AJ2396=47),"⑤短期","対象外"))))))</f>
      </c>
    </row>
    <row r="2397">
      <c r="DB2397" s="2909">
        <f>IF($A2397="","",IF($AE2397&amp;""&lt;&gt;'DB_設定'!$C$4,"対象外",IF($AH2397=20,IF(OR($AJ2397=10,$AJ2397=11,$AJ2397=18),"①病院一般",IF($AJ2397=41,"②病院短期","対象外")),IF($AH2397=5,IF($AJ2397=30,"③特定消防","対象外"),IF(OR($AJ2397=10,$AJ2397=11,$AJ2397=74),"④一般",IF(OR($AJ2397=41,$AJ2397=47),"⑤短期","対象外"))))))</f>
      </c>
    </row>
    <row r="2398">
      <c r="DB2398" s="2909">
        <f>IF($A2398="","",IF($AE2398&amp;""&lt;&gt;'DB_設定'!$C$4,"対象外",IF($AH2398=20,IF(OR($AJ2398=10,$AJ2398=11,$AJ2398=18),"①病院一般",IF($AJ2398=41,"②病院短期","対象外")),IF($AH2398=5,IF($AJ2398=30,"③特定消防","対象外"),IF(OR($AJ2398=10,$AJ2398=11,$AJ2398=74),"④一般",IF(OR($AJ2398=41,$AJ2398=47),"⑤短期","対象外"))))))</f>
      </c>
    </row>
    <row r="2399">
      <c r="DB2399" s="2909">
        <f>IF($A2399="","",IF($AE2399&amp;""&lt;&gt;'DB_設定'!$C$4,"対象外",IF($AH2399=20,IF(OR($AJ2399=10,$AJ2399=11,$AJ2399=18),"①病院一般",IF($AJ2399=41,"②病院短期","対象外")),IF($AH2399=5,IF($AJ2399=30,"③特定消防","対象外"),IF(OR($AJ2399=10,$AJ2399=11,$AJ2399=74),"④一般",IF(OR($AJ2399=41,$AJ2399=47),"⑤短期","対象外"))))))</f>
      </c>
    </row>
    <row r="2400">
      <c r="DB2400" s="2909">
        <f>IF($A2400="","",IF($AE2400&amp;""&lt;&gt;'DB_設定'!$C$4,"対象外",IF($AH2400=20,IF(OR($AJ2400=10,$AJ2400=11,$AJ2400=18),"①病院一般",IF($AJ2400=41,"②病院短期","対象外")),IF($AH2400=5,IF($AJ2400=30,"③特定消防","対象外"),IF(OR($AJ2400=10,$AJ2400=11,$AJ2400=74),"④一般",IF(OR($AJ2400=41,$AJ2400=47),"⑤短期","対象外"))))))</f>
      </c>
    </row>
    <row r="2401">
      <c r="DB2401" s="2909">
        <f>IF($A2401="","",IF($AE2401&amp;""&lt;&gt;'DB_設定'!$C$4,"対象外",IF($AH2401=20,IF(OR($AJ2401=10,$AJ2401=11,$AJ2401=18),"①病院一般",IF($AJ2401=41,"②病院短期","対象外")),IF($AH2401=5,IF($AJ2401=30,"③特定消防","対象外"),IF(OR($AJ2401=10,$AJ2401=11,$AJ2401=74),"④一般",IF(OR($AJ2401=41,$AJ2401=47),"⑤短期","対象外"))))))</f>
      </c>
    </row>
    <row r="2402">
      <c r="DB2402" s="2909">
        <f>IF($A2402="","",IF($AE2402&amp;""&lt;&gt;'DB_設定'!$C$4,"対象外",IF($AH2402=20,IF(OR($AJ2402=10,$AJ2402=11,$AJ2402=18),"①病院一般",IF($AJ2402=41,"②病院短期","対象外")),IF($AH2402=5,IF($AJ2402=30,"③特定消防","対象外"),IF(OR($AJ2402=10,$AJ2402=11,$AJ2402=74),"④一般",IF(OR($AJ2402=41,$AJ2402=47),"⑤短期","対象外"))))))</f>
      </c>
    </row>
    <row r="2403">
      <c r="DB2403" s="2909">
        <f>IF($A2403="","",IF($AE2403&amp;""&lt;&gt;'DB_設定'!$C$4,"対象外",IF($AH2403=20,IF(OR($AJ2403=10,$AJ2403=11,$AJ2403=18),"①病院一般",IF($AJ2403=41,"②病院短期","対象外")),IF($AH2403=5,IF($AJ2403=30,"③特定消防","対象外"),IF(OR($AJ2403=10,$AJ2403=11,$AJ2403=74),"④一般",IF(OR($AJ2403=41,$AJ2403=47),"⑤短期","対象外"))))))</f>
      </c>
    </row>
    <row r="2404">
      <c r="DB2404" s="2909">
        <f>IF($A2404="","",IF($AE2404&amp;""&lt;&gt;'DB_設定'!$C$4,"対象外",IF($AH2404=20,IF(OR($AJ2404=10,$AJ2404=11,$AJ2404=18),"①病院一般",IF($AJ2404=41,"②病院短期","対象外")),IF($AH2404=5,IF($AJ2404=30,"③特定消防","対象外"),IF(OR($AJ2404=10,$AJ2404=11,$AJ2404=74),"④一般",IF(OR($AJ2404=41,$AJ2404=47),"⑤短期","対象外"))))))</f>
      </c>
    </row>
    <row r="2405">
      <c r="DB2405" s="2909">
        <f>IF($A2405="","",IF($AE2405&amp;""&lt;&gt;'DB_設定'!$C$4,"対象外",IF($AH2405=20,IF(OR($AJ2405=10,$AJ2405=11,$AJ2405=18),"①病院一般",IF($AJ2405=41,"②病院短期","対象外")),IF($AH2405=5,IF($AJ2405=30,"③特定消防","対象外"),IF(OR($AJ2405=10,$AJ2405=11,$AJ2405=74),"④一般",IF(OR($AJ2405=41,$AJ2405=47),"⑤短期","対象外"))))))</f>
      </c>
    </row>
    <row r="2406">
      <c r="DB2406" s="2909">
        <f>IF($A2406="","",IF($AE2406&amp;""&lt;&gt;'DB_設定'!$C$4,"対象外",IF($AH2406=20,IF(OR($AJ2406=10,$AJ2406=11,$AJ2406=18),"①病院一般",IF($AJ2406=41,"②病院短期","対象外")),IF($AH2406=5,IF($AJ2406=30,"③特定消防","対象外"),IF(OR($AJ2406=10,$AJ2406=11,$AJ2406=74),"④一般",IF(OR($AJ2406=41,$AJ2406=47),"⑤短期","対象外"))))))</f>
      </c>
    </row>
    <row r="2407">
      <c r="DB2407" s="2909">
        <f>IF($A2407="","",IF($AE2407&amp;""&lt;&gt;'DB_設定'!$C$4,"対象外",IF($AH2407=20,IF(OR($AJ2407=10,$AJ2407=11,$AJ2407=18),"①病院一般",IF($AJ2407=41,"②病院短期","対象外")),IF($AH2407=5,IF($AJ2407=30,"③特定消防","対象外"),IF(OR($AJ2407=10,$AJ2407=11,$AJ2407=74),"④一般",IF(OR($AJ2407=41,$AJ2407=47),"⑤短期","対象外"))))))</f>
      </c>
    </row>
    <row r="2408">
      <c r="DB2408" s="2909">
        <f>IF($A2408="","",IF($AE2408&amp;""&lt;&gt;'DB_設定'!$C$4,"対象外",IF($AH2408=20,IF(OR($AJ2408=10,$AJ2408=11,$AJ2408=18),"①病院一般",IF($AJ2408=41,"②病院短期","対象外")),IF($AH2408=5,IF($AJ2408=30,"③特定消防","対象外"),IF(OR($AJ2408=10,$AJ2408=11,$AJ2408=74),"④一般",IF(OR($AJ2408=41,$AJ2408=47),"⑤短期","対象外"))))))</f>
      </c>
    </row>
    <row r="2409">
      <c r="DB2409" s="2909">
        <f>IF($A2409="","",IF($AE2409&amp;""&lt;&gt;'DB_設定'!$C$4,"対象外",IF($AH2409=20,IF(OR($AJ2409=10,$AJ2409=11,$AJ2409=18),"①病院一般",IF($AJ2409=41,"②病院短期","対象外")),IF($AH2409=5,IF($AJ2409=30,"③特定消防","対象外"),IF(OR($AJ2409=10,$AJ2409=11,$AJ2409=74),"④一般",IF(OR($AJ2409=41,$AJ2409=47),"⑤短期","対象外"))))))</f>
      </c>
    </row>
    <row r="2410">
      <c r="DB2410" s="2909">
        <f>IF($A2410="","",IF($AE2410&amp;""&lt;&gt;'DB_設定'!$C$4,"対象外",IF($AH2410=20,IF(OR($AJ2410=10,$AJ2410=11,$AJ2410=18),"①病院一般",IF($AJ2410=41,"②病院短期","対象外")),IF($AH2410=5,IF($AJ2410=30,"③特定消防","対象外"),IF(OR($AJ2410=10,$AJ2410=11,$AJ2410=74),"④一般",IF(OR($AJ2410=41,$AJ2410=47),"⑤短期","対象外"))))))</f>
      </c>
    </row>
    <row r="2411">
      <c r="DB2411" s="2909">
        <f>IF($A2411="","",IF($AE2411&amp;""&lt;&gt;'DB_設定'!$C$4,"対象外",IF($AH2411=20,IF(OR($AJ2411=10,$AJ2411=11,$AJ2411=18),"①病院一般",IF($AJ2411=41,"②病院短期","対象外")),IF($AH2411=5,IF($AJ2411=30,"③特定消防","対象外"),IF(OR($AJ2411=10,$AJ2411=11,$AJ2411=74),"④一般",IF(OR($AJ2411=41,$AJ2411=47),"⑤短期","対象外"))))))</f>
      </c>
    </row>
    <row r="2412">
      <c r="DB2412" s="2909">
        <f>IF($A2412="","",IF($AE2412&amp;""&lt;&gt;'DB_設定'!$C$4,"対象外",IF($AH2412=20,IF(OR($AJ2412=10,$AJ2412=11,$AJ2412=18),"①病院一般",IF($AJ2412=41,"②病院短期","対象外")),IF($AH2412=5,IF($AJ2412=30,"③特定消防","対象外"),IF(OR($AJ2412=10,$AJ2412=11,$AJ2412=74),"④一般",IF(OR($AJ2412=41,$AJ2412=47),"⑤短期","対象外"))))))</f>
      </c>
    </row>
    <row r="2413">
      <c r="DB2413" s="2909">
        <f>IF($A2413="","",IF($AE2413&amp;""&lt;&gt;'DB_設定'!$C$4,"対象外",IF($AH2413=20,IF(OR($AJ2413=10,$AJ2413=11,$AJ2413=18),"①病院一般",IF($AJ2413=41,"②病院短期","対象外")),IF($AH2413=5,IF($AJ2413=30,"③特定消防","対象外"),IF(OR($AJ2413=10,$AJ2413=11,$AJ2413=74),"④一般",IF(OR($AJ2413=41,$AJ2413=47),"⑤短期","対象外"))))))</f>
      </c>
    </row>
    <row r="2414">
      <c r="DB2414" s="2909">
        <f>IF($A2414="","",IF($AE2414&amp;""&lt;&gt;'DB_設定'!$C$4,"対象外",IF($AH2414=20,IF(OR($AJ2414=10,$AJ2414=11,$AJ2414=18),"①病院一般",IF($AJ2414=41,"②病院短期","対象外")),IF($AH2414=5,IF($AJ2414=30,"③特定消防","対象外"),IF(OR($AJ2414=10,$AJ2414=11,$AJ2414=74),"④一般",IF(OR($AJ2414=41,$AJ2414=47),"⑤短期","対象外"))))))</f>
      </c>
    </row>
    <row r="2415">
      <c r="DB2415" s="2909">
        <f>IF($A2415="","",IF($AE2415&amp;""&lt;&gt;'DB_設定'!$C$4,"対象外",IF($AH2415=20,IF(OR($AJ2415=10,$AJ2415=11,$AJ2415=18),"①病院一般",IF($AJ2415=41,"②病院短期","対象外")),IF($AH2415=5,IF($AJ2415=30,"③特定消防","対象外"),IF(OR($AJ2415=10,$AJ2415=11,$AJ2415=74),"④一般",IF(OR($AJ2415=41,$AJ2415=47),"⑤短期","対象外"))))))</f>
      </c>
    </row>
    <row r="2416">
      <c r="DB2416" s="2909">
        <f>IF($A2416="","",IF($AE2416&amp;""&lt;&gt;'DB_設定'!$C$4,"対象外",IF($AH2416=20,IF(OR($AJ2416=10,$AJ2416=11,$AJ2416=18),"①病院一般",IF($AJ2416=41,"②病院短期","対象外")),IF($AH2416=5,IF($AJ2416=30,"③特定消防","対象外"),IF(OR($AJ2416=10,$AJ2416=11,$AJ2416=74),"④一般",IF(OR($AJ2416=41,$AJ2416=47),"⑤短期","対象外"))))))</f>
      </c>
    </row>
    <row r="2417">
      <c r="DB2417" s="2909">
        <f>IF($A2417="","",IF($AE2417&amp;""&lt;&gt;'DB_設定'!$C$4,"対象外",IF($AH2417=20,IF(OR($AJ2417=10,$AJ2417=11,$AJ2417=18),"①病院一般",IF($AJ2417=41,"②病院短期","対象外")),IF($AH2417=5,IF($AJ2417=30,"③特定消防","対象外"),IF(OR($AJ2417=10,$AJ2417=11,$AJ2417=74),"④一般",IF(OR($AJ2417=41,$AJ2417=47),"⑤短期","対象外"))))))</f>
      </c>
    </row>
    <row r="2418">
      <c r="DB2418" s="2909">
        <f>IF($A2418="","",IF($AE2418&amp;""&lt;&gt;'DB_設定'!$C$4,"対象外",IF($AH2418=20,IF(OR($AJ2418=10,$AJ2418=11,$AJ2418=18),"①病院一般",IF($AJ2418=41,"②病院短期","対象外")),IF($AH2418=5,IF($AJ2418=30,"③特定消防","対象外"),IF(OR($AJ2418=10,$AJ2418=11,$AJ2418=74),"④一般",IF(OR($AJ2418=41,$AJ2418=47),"⑤短期","対象外"))))))</f>
      </c>
    </row>
    <row r="2419">
      <c r="DB2419" s="2909">
        <f>IF($A2419="","",IF($AE2419&amp;""&lt;&gt;'DB_設定'!$C$4,"対象外",IF($AH2419=20,IF(OR($AJ2419=10,$AJ2419=11,$AJ2419=18),"①病院一般",IF($AJ2419=41,"②病院短期","対象外")),IF($AH2419=5,IF($AJ2419=30,"③特定消防","対象外"),IF(OR($AJ2419=10,$AJ2419=11,$AJ2419=74),"④一般",IF(OR($AJ2419=41,$AJ2419=47),"⑤短期","対象外"))))))</f>
      </c>
    </row>
    <row r="2420">
      <c r="DB2420" s="2909">
        <f>IF($A2420="","",IF($AE2420&amp;""&lt;&gt;'DB_設定'!$C$4,"対象外",IF($AH2420=20,IF(OR($AJ2420=10,$AJ2420=11,$AJ2420=18),"①病院一般",IF($AJ2420=41,"②病院短期","対象外")),IF($AH2420=5,IF($AJ2420=30,"③特定消防","対象外"),IF(OR($AJ2420=10,$AJ2420=11,$AJ2420=74),"④一般",IF(OR($AJ2420=41,$AJ2420=47),"⑤短期","対象外"))))))</f>
      </c>
    </row>
    <row r="2421">
      <c r="DB2421" s="2909">
        <f>IF($A2421="","",IF($AE2421&amp;""&lt;&gt;'DB_設定'!$C$4,"対象外",IF($AH2421=20,IF(OR($AJ2421=10,$AJ2421=11,$AJ2421=18),"①病院一般",IF($AJ2421=41,"②病院短期","対象外")),IF($AH2421=5,IF($AJ2421=30,"③特定消防","対象外"),IF(OR($AJ2421=10,$AJ2421=11,$AJ2421=74),"④一般",IF(OR($AJ2421=41,$AJ2421=47),"⑤短期","対象外"))))))</f>
      </c>
    </row>
    <row r="2422">
      <c r="DB2422" s="2909">
        <f>IF($A2422="","",IF($AE2422&amp;""&lt;&gt;'DB_設定'!$C$4,"対象外",IF($AH2422=20,IF(OR($AJ2422=10,$AJ2422=11,$AJ2422=18),"①病院一般",IF($AJ2422=41,"②病院短期","対象外")),IF($AH2422=5,IF($AJ2422=30,"③特定消防","対象外"),IF(OR($AJ2422=10,$AJ2422=11,$AJ2422=74),"④一般",IF(OR($AJ2422=41,$AJ2422=47),"⑤短期","対象外"))))))</f>
      </c>
    </row>
    <row r="2423">
      <c r="DB2423" s="2909">
        <f>IF($A2423="","",IF($AE2423&amp;""&lt;&gt;'DB_設定'!$C$4,"対象外",IF($AH2423=20,IF(OR($AJ2423=10,$AJ2423=11,$AJ2423=18),"①病院一般",IF($AJ2423=41,"②病院短期","対象外")),IF($AH2423=5,IF($AJ2423=30,"③特定消防","対象外"),IF(OR($AJ2423=10,$AJ2423=11,$AJ2423=74),"④一般",IF(OR($AJ2423=41,$AJ2423=47),"⑤短期","対象外"))))))</f>
      </c>
    </row>
    <row r="2424">
      <c r="DB2424" s="2909">
        <f>IF($A2424="","",IF($AE2424&amp;""&lt;&gt;'DB_設定'!$C$4,"対象外",IF($AH2424=20,IF(OR($AJ2424=10,$AJ2424=11,$AJ2424=18),"①病院一般",IF($AJ2424=41,"②病院短期","対象外")),IF($AH2424=5,IF($AJ2424=30,"③特定消防","対象外"),IF(OR($AJ2424=10,$AJ2424=11,$AJ2424=74),"④一般",IF(OR($AJ2424=41,$AJ2424=47),"⑤短期","対象外"))))))</f>
      </c>
    </row>
    <row r="2425">
      <c r="DB2425" s="2909">
        <f>IF($A2425="","",IF($AE2425&amp;""&lt;&gt;'DB_設定'!$C$4,"対象外",IF($AH2425=20,IF(OR($AJ2425=10,$AJ2425=11,$AJ2425=18),"①病院一般",IF($AJ2425=41,"②病院短期","対象外")),IF($AH2425=5,IF($AJ2425=30,"③特定消防","対象外"),IF(OR($AJ2425=10,$AJ2425=11,$AJ2425=74),"④一般",IF(OR($AJ2425=41,$AJ2425=47),"⑤短期","対象外"))))))</f>
      </c>
    </row>
    <row r="2426">
      <c r="DB2426" s="2909">
        <f>IF($A2426="","",IF($AE2426&amp;""&lt;&gt;'DB_設定'!$C$4,"対象外",IF($AH2426=20,IF(OR($AJ2426=10,$AJ2426=11,$AJ2426=18),"①病院一般",IF($AJ2426=41,"②病院短期","対象外")),IF($AH2426=5,IF($AJ2426=30,"③特定消防","対象外"),IF(OR($AJ2426=10,$AJ2426=11,$AJ2426=74),"④一般",IF(OR($AJ2426=41,$AJ2426=47),"⑤短期","対象外"))))))</f>
      </c>
    </row>
    <row r="2427">
      <c r="DB2427" s="2909">
        <f>IF($A2427="","",IF($AE2427&amp;""&lt;&gt;'DB_設定'!$C$4,"対象外",IF($AH2427=20,IF(OR($AJ2427=10,$AJ2427=11,$AJ2427=18),"①病院一般",IF($AJ2427=41,"②病院短期","対象外")),IF($AH2427=5,IF($AJ2427=30,"③特定消防","対象外"),IF(OR($AJ2427=10,$AJ2427=11,$AJ2427=74),"④一般",IF(OR($AJ2427=41,$AJ2427=47),"⑤短期","対象外"))))))</f>
      </c>
    </row>
    <row r="2428">
      <c r="DB2428" s="2909">
        <f>IF($A2428="","",IF($AE2428&amp;""&lt;&gt;'DB_設定'!$C$4,"対象外",IF($AH2428=20,IF(OR($AJ2428=10,$AJ2428=11,$AJ2428=18),"①病院一般",IF($AJ2428=41,"②病院短期","対象外")),IF($AH2428=5,IF($AJ2428=30,"③特定消防","対象外"),IF(OR($AJ2428=10,$AJ2428=11,$AJ2428=74),"④一般",IF(OR($AJ2428=41,$AJ2428=47),"⑤短期","対象外"))))))</f>
      </c>
    </row>
    <row r="2429">
      <c r="DB2429" s="2909">
        <f>IF($A2429="","",IF($AE2429&amp;""&lt;&gt;'DB_設定'!$C$4,"対象外",IF($AH2429=20,IF(OR($AJ2429=10,$AJ2429=11,$AJ2429=18),"①病院一般",IF($AJ2429=41,"②病院短期","対象外")),IF($AH2429=5,IF($AJ2429=30,"③特定消防","対象外"),IF(OR($AJ2429=10,$AJ2429=11,$AJ2429=74),"④一般",IF(OR($AJ2429=41,$AJ2429=47),"⑤短期","対象外"))))))</f>
      </c>
    </row>
    <row r="2430">
      <c r="DB2430" s="2909">
        <f>IF($A2430="","",IF($AE2430&amp;""&lt;&gt;'DB_設定'!$C$4,"対象外",IF($AH2430=20,IF(OR($AJ2430=10,$AJ2430=11,$AJ2430=18),"①病院一般",IF($AJ2430=41,"②病院短期","対象外")),IF($AH2430=5,IF($AJ2430=30,"③特定消防","対象外"),IF(OR($AJ2430=10,$AJ2430=11,$AJ2430=74),"④一般",IF(OR($AJ2430=41,$AJ2430=47),"⑤短期","対象外"))))))</f>
      </c>
    </row>
    <row r="2431">
      <c r="DB2431" s="2909">
        <f>IF($A2431="","",IF($AE2431&amp;""&lt;&gt;'DB_設定'!$C$4,"対象外",IF($AH2431=20,IF(OR($AJ2431=10,$AJ2431=11,$AJ2431=18),"①病院一般",IF($AJ2431=41,"②病院短期","対象外")),IF($AH2431=5,IF($AJ2431=30,"③特定消防","対象外"),IF(OR($AJ2431=10,$AJ2431=11,$AJ2431=74),"④一般",IF(OR($AJ2431=41,$AJ2431=47),"⑤短期","対象外"))))))</f>
      </c>
    </row>
    <row r="2432">
      <c r="DB2432" s="2909">
        <f>IF($A2432="","",IF($AE2432&amp;""&lt;&gt;'DB_設定'!$C$4,"対象外",IF($AH2432=20,IF(OR($AJ2432=10,$AJ2432=11,$AJ2432=18),"①病院一般",IF($AJ2432=41,"②病院短期","対象外")),IF($AH2432=5,IF($AJ2432=30,"③特定消防","対象外"),IF(OR($AJ2432=10,$AJ2432=11,$AJ2432=74),"④一般",IF(OR($AJ2432=41,$AJ2432=47),"⑤短期","対象外"))))))</f>
      </c>
    </row>
    <row r="2433">
      <c r="DB2433" s="2909">
        <f>IF($A2433="","",IF($AE2433&amp;""&lt;&gt;'DB_設定'!$C$4,"対象外",IF($AH2433=20,IF(OR($AJ2433=10,$AJ2433=11,$AJ2433=18),"①病院一般",IF($AJ2433=41,"②病院短期","対象外")),IF($AH2433=5,IF($AJ2433=30,"③特定消防","対象外"),IF(OR($AJ2433=10,$AJ2433=11,$AJ2433=74),"④一般",IF(OR($AJ2433=41,$AJ2433=47),"⑤短期","対象外"))))))</f>
      </c>
    </row>
    <row r="2434">
      <c r="DB2434" s="2909">
        <f>IF($A2434="","",IF($AE2434&amp;""&lt;&gt;'DB_設定'!$C$4,"対象外",IF($AH2434=20,IF(OR($AJ2434=10,$AJ2434=11,$AJ2434=18),"①病院一般",IF($AJ2434=41,"②病院短期","対象外")),IF($AH2434=5,IF($AJ2434=30,"③特定消防","対象外"),IF(OR($AJ2434=10,$AJ2434=11,$AJ2434=74),"④一般",IF(OR($AJ2434=41,$AJ2434=47),"⑤短期","対象外"))))))</f>
      </c>
    </row>
    <row r="2435">
      <c r="DB2435" s="2909">
        <f>IF($A2435="","",IF($AE2435&amp;""&lt;&gt;'DB_設定'!$C$4,"対象外",IF($AH2435=20,IF(OR($AJ2435=10,$AJ2435=11,$AJ2435=18),"①病院一般",IF($AJ2435=41,"②病院短期","対象外")),IF($AH2435=5,IF($AJ2435=30,"③特定消防","対象外"),IF(OR($AJ2435=10,$AJ2435=11,$AJ2435=74),"④一般",IF(OR($AJ2435=41,$AJ2435=47),"⑤短期","対象外"))))))</f>
      </c>
    </row>
    <row r="2436">
      <c r="DB2436" s="2909">
        <f>IF($A2436="","",IF($AE2436&amp;""&lt;&gt;'DB_設定'!$C$4,"対象外",IF($AH2436=20,IF(OR($AJ2436=10,$AJ2436=11,$AJ2436=18),"①病院一般",IF($AJ2436=41,"②病院短期","対象外")),IF($AH2436=5,IF($AJ2436=30,"③特定消防","対象外"),IF(OR($AJ2436=10,$AJ2436=11,$AJ2436=74),"④一般",IF(OR($AJ2436=41,$AJ2436=47),"⑤短期","対象外"))))))</f>
      </c>
    </row>
    <row r="2437">
      <c r="DB2437" s="2909">
        <f>IF($A2437="","",IF($AE2437&amp;""&lt;&gt;'DB_設定'!$C$4,"対象外",IF($AH2437=20,IF(OR($AJ2437=10,$AJ2437=11,$AJ2437=18),"①病院一般",IF($AJ2437=41,"②病院短期","対象外")),IF($AH2437=5,IF($AJ2437=30,"③特定消防","対象外"),IF(OR($AJ2437=10,$AJ2437=11,$AJ2437=74),"④一般",IF(OR($AJ2437=41,$AJ2437=47),"⑤短期","対象外"))))))</f>
      </c>
    </row>
    <row r="2438">
      <c r="DB2438" s="2909">
        <f>IF($A2438="","",IF($AE2438&amp;""&lt;&gt;'DB_設定'!$C$4,"対象外",IF($AH2438=20,IF(OR($AJ2438=10,$AJ2438=11,$AJ2438=18),"①病院一般",IF($AJ2438=41,"②病院短期","対象外")),IF($AH2438=5,IF($AJ2438=30,"③特定消防","対象外"),IF(OR($AJ2438=10,$AJ2438=11,$AJ2438=74),"④一般",IF(OR($AJ2438=41,$AJ2438=47),"⑤短期","対象外"))))))</f>
      </c>
    </row>
    <row r="2439">
      <c r="DB2439" s="2909">
        <f>IF($A2439="","",IF($AE2439&amp;""&lt;&gt;'DB_設定'!$C$4,"対象外",IF($AH2439=20,IF(OR($AJ2439=10,$AJ2439=11,$AJ2439=18),"①病院一般",IF($AJ2439=41,"②病院短期","対象外")),IF($AH2439=5,IF($AJ2439=30,"③特定消防","対象外"),IF(OR($AJ2439=10,$AJ2439=11,$AJ2439=74),"④一般",IF(OR($AJ2439=41,$AJ2439=47),"⑤短期","対象外"))))))</f>
      </c>
    </row>
    <row r="2440">
      <c r="DB2440" s="2909">
        <f>IF($A2440="","",IF($AE2440&amp;""&lt;&gt;'DB_設定'!$C$4,"対象外",IF($AH2440=20,IF(OR($AJ2440=10,$AJ2440=11,$AJ2440=18),"①病院一般",IF($AJ2440=41,"②病院短期","対象外")),IF($AH2440=5,IF($AJ2440=30,"③特定消防","対象外"),IF(OR($AJ2440=10,$AJ2440=11,$AJ2440=74),"④一般",IF(OR($AJ2440=41,$AJ2440=47),"⑤短期","対象外"))))))</f>
      </c>
    </row>
    <row r="2441">
      <c r="DB2441" s="2909">
        <f>IF($A2441="","",IF($AE2441&amp;""&lt;&gt;'DB_設定'!$C$4,"対象外",IF($AH2441=20,IF(OR($AJ2441=10,$AJ2441=11,$AJ2441=18),"①病院一般",IF($AJ2441=41,"②病院短期","対象外")),IF($AH2441=5,IF($AJ2441=30,"③特定消防","対象外"),IF(OR($AJ2441=10,$AJ2441=11,$AJ2441=74),"④一般",IF(OR($AJ2441=41,$AJ2441=47),"⑤短期","対象外"))))))</f>
      </c>
    </row>
    <row r="2442">
      <c r="DB2442" s="2909">
        <f>IF($A2442="","",IF($AE2442&amp;""&lt;&gt;'DB_設定'!$C$4,"対象外",IF($AH2442=20,IF(OR($AJ2442=10,$AJ2442=11,$AJ2442=18),"①病院一般",IF($AJ2442=41,"②病院短期","対象外")),IF($AH2442=5,IF($AJ2442=30,"③特定消防","対象外"),IF(OR($AJ2442=10,$AJ2442=11,$AJ2442=74),"④一般",IF(OR($AJ2442=41,$AJ2442=47),"⑤短期","対象外"))))))</f>
      </c>
    </row>
    <row r="2443">
      <c r="DB2443" s="2909">
        <f>IF($A2443="","",IF($AE2443&amp;""&lt;&gt;'DB_設定'!$C$4,"対象外",IF($AH2443=20,IF(OR($AJ2443=10,$AJ2443=11,$AJ2443=18),"①病院一般",IF($AJ2443=41,"②病院短期","対象外")),IF($AH2443=5,IF($AJ2443=30,"③特定消防","対象外"),IF(OR($AJ2443=10,$AJ2443=11,$AJ2443=74),"④一般",IF(OR($AJ2443=41,$AJ2443=47),"⑤短期","対象外"))))))</f>
      </c>
    </row>
    <row r="2444">
      <c r="DB2444" s="2909">
        <f>IF($A2444="","",IF($AE2444&amp;""&lt;&gt;'DB_設定'!$C$4,"対象外",IF($AH2444=20,IF(OR($AJ2444=10,$AJ2444=11,$AJ2444=18),"①病院一般",IF($AJ2444=41,"②病院短期","対象外")),IF($AH2444=5,IF($AJ2444=30,"③特定消防","対象外"),IF(OR($AJ2444=10,$AJ2444=11,$AJ2444=74),"④一般",IF(OR($AJ2444=41,$AJ2444=47),"⑤短期","対象外"))))))</f>
      </c>
    </row>
    <row r="2445">
      <c r="DB2445" s="2909">
        <f>IF($A2445="","",IF($AE2445&amp;""&lt;&gt;'DB_設定'!$C$4,"対象外",IF($AH2445=20,IF(OR($AJ2445=10,$AJ2445=11,$AJ2445=18),"①病院一般",IF($AJ2445=41,"②病院短期","対象外")),IF($AH2445=5,IF($AJ2445=30,"③特定消防","対象外"),IF(OR($AJ2445=10,$AJ2445=11,$AJ2445=74),"④一般",IF(OR($AJ2445=41,$AJ2445=47),"⑤短期","対象外"))))))</f>
      </c>
    </row>
    <row r="2446">
      <c r="DB2446" s="2909">
        <f>IF($A2446="","",IF($AE2446&amp;""&lt;&gt;'DB_設定'!$C$4,"対象外",IF($AH2446=20,IF(OR($AJ2446=10,$AJ2446=11,$AJ2446=18),"①病院一般",IF($AJ2446=41,"②病院短期","対象外")),IF($AH2446=5,IF($AJ2446=30,"③特定消防","対象外"),IF(OR($AJ2446=10,$AJ2446=11,$AJ2446=74),"④一般",IF(OR($AJ2446=41,$AJ2446=47),"⑤短期","対象外"))))))</f>
      </c>
    </row>
    <row r="2447">
      <c r="DB2447" s="2909">
        <f>IF($A2447="","",IF($AE2447&amp;""&lt;&gt;'DB_設定'!$C$4,"対象外",IF($AH2447=20,IF(OR($AJ2447=10,$AJ2447=11,$AJ2447=18),"①病院一般",IF($AJ2447=41,"②病院短期","対象外")),IF($AH2447=5,IF($AJ2447=30,"③特定消防","対象外"),IF(OR($AJ2447=10,$AJ2447=11,$AJ2447=74),"④一般",IF(OR($AJ2447=41,$AJ2447=47),"⑤短期","対象外"))))))</f>
      </c>
    </row>
    <row r="2448">
      <c r="DB2448" s="2909">
        <f>IF($A2448="","",IF($AE2448&amp;""&lt;&gt;'DB_設定'!$C$4,"対象外",IF($AH2448=20,IF(OR($AJ2448=10,$AJ2448=11,$AJ2448=18),"①病院一般",IF($AJ2448=41,"②病院短期","対象外")),IF($AH2448=5,IF($AJ2448=30,"③特定消防","対象外"),IF(OR($AJ2448=10,$AJ2448=11,$AJ2448=74),"④一般",IF(OR($AJ2448=41,$AJ2448=47),"⑤短期","対象外"))))))</f>
      </c>
    </row>
    <row r="2449">
      <c r="DB2449" s="2909">
        <f>IF($A2449="","",IF($AE2449&amp;""&lt;&gt;'DB_設定'!$C$4,"対象外",IF($AH2449=20,IF(OR($AJ2449=10,$AJ2449=11,$AJ2449=18),"①病院一般",IF($AJ2449=41,"②病院短期","対象外")),IF($AH2449=5,IF($AJ2449=30,"③特定消防","対象外"),IF(OR($AJ2449=10,$AJ2449=11,$AJ2449=74),"④一般",IF(OR($AJ2449=41,$AJ2449=47),"⑤短期","対象外"))))))</f>
      </c>
    </row>
    <row r="2450">
      <c r="DB2450" s="2909">
        <f>IF($A2450="","",IF($AE2450&amp;""&lt;&gt;'DB_設定'!$C$4,"対象外",IF($AH2450=20,IF(OR($AJ2450=10,$AJ2450=11,$AJ2450=18),"①病院一般",IF($AJ2450=41,"②病院短期","対象外")),IF($AH2450=5,IF($AJ2450=30,"③特定消防","対象外"),IF(OR($AJ2450=10,$AJ2450=11,$AJ2450=74),"④一般",IF(OR($AJ2450=41,$AJ2450=47),"⑤短期","対象外"))))))</f>
      </c>
    </row>
    <row r="2451">
      <c r="DB2451" s="2909">
        <f>IF($A2451="","",IF($AE2451&amp;""&lt;&gt;'DB_設定'!$C$4,"対象外",IF($AH2451=20,IF(OR($AJ2451=10,$AJ2451=11,$AJ2451=18),"①病院一般",IF($AJ2451=41,"②病院短期","対象外")),IF($AH2451=5,IF($AJ2451=30,"③特定消防","対象外"),IF(OR($AJ2451=10,$AJ2451=11,$AJ2451=74),"④一般",IF(OR($AJ2451=41,$AJ2451=47),"⑤短期","対象外"))))))</f>
      </c>
    </row>
    <row r="2452">
      <c r="DB2452" s="2909">
        <f>IF($A2452="","",IF($AE2452&amp;""&lt;&gt;'DB_設定'!$C$4,"対象外",IF($AH2452=20,IF(OR($AJ2452=10,$AJ2452=11,$AJ2452=18),"①病院一般",IF($AJ2452=41,"②病院短期","対象外")),IF($AH2452=5,IF($AJ2452=30,"③特定消防","対象外"),IF(OR($AJ2452=10,$AJ2452=11,$AJ2452=74),"④一般",IF(OR($AJ2452=41,$AJ2452=47),"⑤短期","対象外"))))))</f>
      </c>
    </row>
    <row r="2453">
      <c r="DB2453" s="2909">
        <f>IF($A2453="","",IF($AE2453&amp;""&lt;&gt;'DB_設定'!$C$4,"対象外",IF($AH2453=20,IF(OR($AJ2453=10,$AJ2453=11,$AJ2453=18),"①病院一般",IF($AJ2453=41,"②病院短期","対象外")),IF($AH2453=5,IF($AJ2453=30,"③特定消防","対象外"),IF(OR($AJ2453=10,$AJ2453=11,$AJ2453=74),"④一般",IF(OR($AJ2453=41,$AJ2453=47),"⑤短期","対象外"))))))</f>
      </c>
    </row>
    <row r="2454">
      <c r="DB2454" s="2909">
        <f>IF($A2454="","",IF($AE2454&amp;""&lt;&gt;'DB_設定'!$C$4,"対象外",IF($AH2454=20,IF(OR($AJ2454=10,$AJ2454=11,$AJ2454=18),"①病院一般",IF($AJ2454=41,"②病院短期","対象外")),IF($AH2454=5,IF($AJ2454=30,"③特定消防","対象外"),IF(OR($AJ2454=10,$AJ2454=11,$AJ2454=74),"④一般",IF(OR($AJ2454=41,$AJ2454=47),"⑤短期","対象外"))))))</f>
      </c>
    </row>
    <row r="2455">
      <c r="DB2455" s="2909">
        <f>IF($A2455="","",IF($AE2455&amp;""&lt;&gt;'DB_設定'!$C$4,"対象外",IF($AH2455=20,IF(OR($AJ2455=10,$AJ2455=11,$AJ2455=18),"①病院一般",IF($AJ2455=41,"②病院短期","対象外")),IF($AH2455=5,IF($AJ2455=30,"③特定消防","対象外"),IF(OR($AJ2455=10,$AJ2455=11,$AJ2455=74),"④一般",IF(OR($AJ2455=41,$AJ2455=47),"⑤短期","対象外"))))))</f>
      </c>
    </row>
    <row r="2456">
      <c r="DB2456" s="2909">
        <f>IF($A2456="","",IF($AE2456&amp;""&lt;&gt;'DB_設定'!$C$4,"対象外",IF($AH2456=20,IF(OR($AJ2456=10,$AJ2456=11,$AJ2456=18),"①病院一般",IF($AJ2456=41,"②病院短期","対象外")),IF($AH2456=5,IF($AJ2456=30,"③特定消防","対象外"),IF(OR($AJ2456=10,$AJ2456=11,$AJ2456=74),"④一般",IF(OR($AJ2456=41,$AJ2456=47),"⑤短期","対象外"))))))</f>
      </c>
    </row>
    <row r="2457">
      <c r="DB2457" s="2909">
        <f>IF($A2457="","",IF($AE2457&amp;""&lt;&gt;'DB_設定'!$C$4,"対象外",IF($AH2457=20,IF(OR($AJ2457=10,$AJ2457=11,$AJ2457=18),"①病院一般",IF($AJ2457=41,"②病院短期","対象外")),IF($AH2457=5,IF($AJ2457=30,"③特定消防","対象外"),IF(OR($AJ2457=10,$AJ2457=11,$AJ2457=74),"④一般",IF(OR($AJ2457=41,$AJ2457=47),"⑤短期","対象外"))))))</f>
      </c>
    </row>
    <row r="2458">
      <c r="DB2458" s="2909">
        <f>IF($A2458="","",IF($AE2458&amp;""&lt;&gt;'DB_設定'!$C$4,"対象外",IF($AH2458=20,IF(OR($AJ2458=10,$AJ2458=11,$AJ2458=18),"①病院一般",IF($AJ2458=41,"②病院短期","対象外")),IF($AH2458=5,IF($AJ2458=30,"③特定消防","対象外"),IF(OR($AJ2458=10,$AJ2458=11,$AJ2458=74),"④一般",IF(OR($AJ2458=41,$AJ2458=47),"⑤短期","対象外"))))))</f>
      </c>
    </row>
    <row r="2459">
      <c r="DB2459" s="2909">
        <f>IF($A2459="","",IF($AE2459&amp;""&lt;&gt;'DB_設定'!$C$4,"対象外",IF($AH2459=20,IF(OR($AJ2459=10,$AJ2459=11,$AJ2459=18),"①病院一般",IF($AJ2459=41,"②病院短期","対象外")),IF($AH2459=5,IF($AJ2459=30,"③特定消防","対象外"),IF(OR($AJ2459=10,$AJ2459=11,$AJ2459=74),"④一般",IF(OR($AJ2459=41,$AJ2459=47),"⑤短期","対象外"))))))</f>
      </c>
    </row>
    <row r="2460">
      <c r="DB2460" s="2909">
        <f>IF($A2460="","",IF($AE2460&amp;""&lt;&gt;'DB_設定'!$C$4,"対象外",IF($AH2460=20,IF(OR($AJ2460=10,$AJ2460=11,$AJ2460=18),"①病院一般",IF($AJ2460=41,"②病院短期","対象外")),IF($AH2460=5,IF($AJ2460=30,"③特定消防","対象外"),IF(OR($AJ2460=10,$AJ2460=11,$AJ2460=74),"④一般",IF(OR($AJ2460=41,$AJ2460=47),"⑤短期","対象外"))))))</f>
      </c>
    </row>
    <row r="2461">
      <c r="DB2461" s="2909">
        <f>IF($A2461="","",IF($AE2461&amp;""&lt;&gt;'DB_設定'!$C$4,"対象外",IF($AH2461=20,IF(OR($AJ2461=10,$AJ2461=11,$AJ2461=18),"①病院一般",IF($AJ2461=41,"②病院短期","対象外")),IF($AH2461=5,IF($AJ2461=30,"③特定消防","対象外"),IF(OR($AJ2461=10,$AJ2461=11,$AJ2461=74),"④一般",IF(OR($AJ2461=41,$AJ2461=47),"⑤短期","対象外"))))))</f>
      </c>
    </row>
    <row r="2462">
      <c r="DB2462" s="2909">
        <f>IF($A2462="","",IF($AE2462&amp;""&lt;&gt;'DB_設定'!$C$4,"対象外",IF($AH2462=20,IF(OR($AJ2462=10,$AJ2462=11,$AJ2462=18),"①病院一般",IF($AJ2462=41,"②病院短期","対象外")),IF($AH2462=5,IF($AJ2462=30,"③特定消防","対象外"),IF(OR($AJ2462=10,$AJ2462=11,$AJ2462=74),"④一般",IF(OR($AJ2462=41,$AJ2462=47),"⑤短期","対象外"))))))</f>
      </c>
    </row>
    <row r="2463">
      <c r="DB2463" s="2909">
        <f>IF($A2463="","",IF($AE2463&amp;""&lt;&gt;'DB_設定'!$C$4,"対象外",IF($AH2463=20,IF(OR($AJ2463=10,$AJ2463=11,$AJ2463=18),"①病院一般",IF($AJ2463=41,"②病院短期","対象外")),IF($AH2463=5,IF($AJ2463=30,"③特定消防","対象外"),IF(OR($AJ2463=10,$AJ2463=11,$AJ2463=74),"④一般",IF(OR($AJ2463=41,$AJ2463=47),"⑤短期","対象外"))))))</f>
      </c>
    </row>
    <row r="2464">
      <c r="DB2464" s="2909">
        <f>IF($A2464="","",IF($AE2464&amp;""&lt;&gt;'DB_設定'!$C$4,"対象外",IF($AH2464=20,IF(OR($AJ2464=10,$AJ2464=11,$AJ2464=18),"①病院一般",IF($AJ2464=41,"②病院短期","対象外")),IF($AH2464=5,IF($AJ2464=30,"③特定消防","対象外"),IF(OR($AJ2464=10,$AJ2464=11,$AJ2464=74),"④一般",IF(OR($AJ2464=41,$AJ2464=47),"⑤短期","対象外"))))))</f>
      </c>
    </row>
    <row r="2465">
      <c r="DB2465" s="2909">
        <f>IF($A2465="","",IF($AE2465&amp;""&lt;&gt;'DB_設定'!$C$4,"対象外",IF($AH2465=20,IF(OR($AJ2465=10,$AJ2465=11,$AJ2465=18),"①病院一般",IF($AJ2465=41,"②病院短期","対象外")),IF($AH2465=5,IF($AJ2465=30,"③特定消防","対象外"),IF(OR($AJ2465=10,$AJ2465=11,$AJ2465=74),"④一般",IF(OR($AJ2465=41,$AJ2465=47),"⑤短期","対象外"))))))</f>
      </c>
    </row>
    <row r="2466">
      <c r="DB2466" s="2909">
        <f>IF($A2466="","",IF($AE2466&amp;""&lt;&gt;'DB_設定'!$C$4,"対象外",IF($AH2466=20,IF(OR($AJ2466=10,$AJ2466=11,$AJ2466=18),"①病院一般",IF($AJ2466=41,"②病院短期","対象外")),IF($AH2466=5,IF($AJ2466=30,"③特定消防","対象外"),IF(OR($AJ2466=10,$AJ2466=11,$AJ2466=74),"④一般",IF(OR($AJ2466=41,$AJ2466=47),"⑤短期","対象外"))))))</f>
      </c>
    </row>
    <row r="2467">
      <c r="DB2467" s="2909">
        <f>IF($A2467="","",IF($AE2467&amp;""&lt;&gt;'DB_設定'!$C$4,"対象外",IF($AH2467=20,IF(OR($AJ2467=10,$AJ2467=11,$AJ2467=18),"①病院一般",IF($AJ2467=41,"②病院短期","対象外")),IF($AH2467=5,IF($AJ2467=30,"③特定消防","対象外"),IF(OR($AJ2467=10,$AJ2467=11,$AJ2467=74),"④一般",IF(OR($AJ2467=41,$AJ2467=47),"⑤短期","対象外"))))))</f>
      </c>
    </row>
    <row r="2468">
      <c r="DB2468" s="2909">
        <f>IF($A2468="","",IF($AE2468&amp;""&lt;&gt;'DB_設定'!$C$4,"対象外",IF($AH2468=20,IF(OR($AJ2468=10,$AJ2468=11,$AJ2468=18),"①病院一般",IF($AJ2468=41,"②病院短期","対象外")),IF($AH2468=5,IF($AJ2468=30,"③特定消防","対象外"),IF(OR($AJ2468=10,$AJ2468=11,$AJ2468=74),"④一般",IF(OR($AJ2468=41,$AJ2468=47),"⑤短期","対象外"))))))</f>
      </c>
    </row>
    <row r="2469">
      <c r="DB2469" s="2909">
        <f>IF($A2469="","",IF($AE2469&amp;""&lt;&gt;'DB_設定'!$C$4,"対象外",IF($AH2469=20,IF(OR($AJ2469=10,$AJ2469=11,$AJ2469=18),"①病院一般",IF($AJ2469=41,"②病院短期","対象外")),IF($AH2469=5,IF($AJ2469=30,"③特定消防","対象外"),IF(OR($AJ2469=10,$AJ2469=11,$AJ2469=74),"④一般",IF(OR($AJ2469=41,$AJ2469=47),"⑤短期","対象外"))))))</f>
      </c>
    </row>
    <row r="2470">
      <c r="DB2470" s="2909">
        <f>IF($A2470="","",IF($AE2470&amp;""&lt;&gt;'DB_設定'!$C$4,"対象外",IF($AH2470=20,IF(OR($AJ2470=10,$AJ2470=11,$AJ2470=18),"①病院一般",IF($AJ2470=41,"②病院短期","対象外")),IF($AH2470=5,IF($AJ2470=30,"③特定消防","対象外"),IF(OR($AJ2470=10,$AJ2470=11,$AJ2470=74),"④一般",IF(OR($AJ2470=41,$AJ2470=47),"⑤短期","対象外"))))))</f>
      </c>
    </row>
    <row r="2471">
      <c r="DB2471" s="2909">
        <f>IF($A2471="","",IF($AE2471&amp;""&lt;&gt;'DB_設定'!$C$4,"対象外",IF($AH2471=20,IF(OR($AJ2471=10,$AJ2471=11,$AJ2471=18),"①病院一般",IF($AJ2471=41,"②病院短期","対象外")),IF($AH2471=5,IF($AJ2471=30,"③特定消防","対象外"),IF(OR($AJ2471=10,$AJ2471=11,$AJ2471=74),"④一般",IF(OR($AJ2471=41,$AJ2471=47),"⑤短期","対象外"))))))</f>
      </c>
    </row>
    <row r="2472">
      <c r="DB2472" s="2909">
        <f>IF($A2472="","",IF($AE2472&amp;""&lt;&gt;'DB_設定'!$C$4,"対象外",IF($AH2472=20,IF(OR($AJ2472=10,$AJ2472=11,$AJ2472=18),"①病院一般",IF($AJ2472=41,"②病院短期","対象外")),IF($AH2472=5,IF($AJ2472=30,"③特定消防","対象外"),IF(OR($AJ2472=10,$AJ2472=11,$AJ2472=74),"④一般",IF(OR($AJ2472=41,$AJ2472=47),"⑤短期","対象外"))))))</f>
      </c>
    </row>
    <row r="2473">
      <c r="DB2473" s="2909">
        <f>IF($A2473="","",IF($AE2473&amp;""&lt;&gt;'DB_設定'!$C$4,"対象外",IF($AH2473=20,IF(OR($AJ2473=10,$AJ2473=11,$AJ2473=18),"①病院一般",IF($AJ2473=41,"②病院短期","対象外")),IF($AH2473=5,IF($AJ2473=30,"③特定消防","対象外"),IF(OR($AJ2473=10,$AJ2473=11,$AJ2473=74),"④一般",IF(OR($AJ2473=41,$AJ2473=47),"⑤短期","対象外"))))))</f>
      </c>
    </row>
    <row r="2474">
      <c r="DB2474" s="2909">
        <f>IF($A2474="","",IF($AE2474&amp;""&lt;&gt;'DB_設定'!$C$4,"対象外",IF($AH2474=20,IF(OR($AJ2474=10,$AJ2474=11,$AJ2474=18),"①病院一般",IF($AJ2474=41,"②病院短期","対象外")),IF($AH2474=5,IF($AJ2474=30,"③特定消防","対象外"),IF(OR($AJ2474=10,$AJ2474=11,$AJ2474=74),"④一般",IF(OR($AJ2474=41,$AJ2474=47),"⑤短期","対象外"))))))</f>
      </c>
    </row>
    <row r="2475">
      <c r="DB2475" s="2909">
        <f>IF($A2475="","",IF($AE2475&amp;""&lt;&gt;'DB_設定'!$C$4,"対象外",IF($AH2475=20,IF(OR($AJ2475=10,$AJ2475=11,$AJ2475=18),"①病院一般",IF($AJ2475=41,"②病院短期","対象外")),IF($AH2475=5,IF($AJ2475=30,"③特定消防","対象外"),IF(OR($AJ2475=10,$AJ2475=11,$AJ2475=74),"④一般",IF(OR($AJ2475=41,$AJ2475=47),"⑤短期","対象外"))))))</f>
      </c>
    </row>
    <row r="2476">
      <c r="DB2476" s="2909">
        <f>IF($A2476="","",IF($AE2476&amp;""&lt;&gt;'DB_設定'!$C$4,"対象外",IF($AH2476=20,IF(OR($AJ2476=10,$AJ2476=11,$AJ2476=18),"①病院一般",IF($AJ2476=41,"②病院短期","対象外")),IF($AH2476=5,IF($AJ2476=30,"③特定消防","対象外"),IF(OR($AJ2476=10,$AJ2476=11,$AJ2476=74),"④一般",IF(OR($AJ2476=41,$AJ2476=47),"⑤短期","対象外"))))))</f>
      </c>
    </row>
    <row r="2477">
      <c r="DB2477" s="2909">
        <f>IF($A2477="","",IF($AE2477&amp;""&lt;&gt;'DB_設定'!$C$4,"対象外",IF($AH2477=20,IF(OR($AJ2477=10,$AJ2477=11,$AJ2477=18),"①病院一般",IF($AJ2477=41,"②病院短期","対象外")),IF($AH2477=5,IF($AJ2477=30,"③特定消防","対象外"),IF(OR($AJ2477=10,$AJ2477=11,$AJ2477=74),"④一般",IF(OR($AJ2477=41,$AJ2477=47),"⑤短期","対象外"))))))</f>
      </c>
    </row>
    <row r="2478">
      <c r="DB2478" s="2909">
        <f>IF($A2478="","",IF($AE2478&amp;""&lt;&gt;'DB_設定'!$C$4,"対象外",IF($AH2478=20,IF(OR($AJ2478=10,$AJ2478=11,$AJ2478=18),"①病院一般",IF($AJ2478=41,"②病院短期","対象外")),IF($AH2478=5,IF($AJ2478=30,"③特定消防","対象外"),IF(OR($AJ2478=10,$AJ2478=11,$AJ2478=74),"④一般",IF(OR($AJ2478=41,$AJ2478=47),"⑤短期","対象外"))))))</f>
      </c>
    </row>
    <row r="2479">
      <c r="DB2479" s="2909">
        <f>IF($A2479="","",IF($AE2479&amp;""&lt;&gt;'DB_設定'!$C$4,"対象外",IF($AH2479=20,IF(OR($AJ2479=10,$AJ2479=11,$AJ2479=18),"①病院一般",IF($AJ2479=41,"②病院短期","対象外")),IF($AH2479=5,IF($AJ2479=30,"③特定消防","対象外"),IF(OR($AJ2479=10,$AJ2479=11,$AJ2479=74),"④一般",IF(OR($AJ2479=41,$AJ2479=47),"⑤短期","対象外"))))))</f>
      </c>
    </row>
    <row r="2480">
      <c r="DB2480" s="2909">
        <f>IF($A2480="","",IF($AE2480&amp;""&lt;&gt;'DB_設定'!$C$4,"対象外",IF($AH2480=20,IF(OR($AJ2480=10,$AJ2480=11,$AJ2480=18),"①病院一般",IF($AJ2480=41,"②病院短期","対象外")),IF($AH2480=5,IF($AJ2480=30,"③特定消防","対象外"),IF(OR($AJ2480=10,$AJ2480=11,$AJ2480=74),"④一般",IF(OR($AJ2480=41,$AJ2480=47),"⑤短期","対象外"))))))</f>
      </c>
    </row>
    <row r="2481">
      <c r="DB2481" s="2909">
        <f>IF($A2481="","",IF($AE2481&amp;""&lt;&gt;'DB_設定'!$C$4,"対象外",IF($AH2481=20,IF(OR($AJ2481=10,$AJ2481=11,$AJ2481=18),"①病院一般",IF($AJ2481=41,"②病院短期","対象外")),IF($AH2481=5,IF($AJ2481=30,"③特定消防","対象外"),IF(OR($AJ2481=10,$AJ2481=11,$AJ2481=74),"④一般",IF(OR($AJ2481=41,$AJ2481=47),"⑤短期","対象外"))))))</f>
      </c>
    </row>
    <row r="2482">
      <c r="DB2482" s="2909">
        <f>IF($A2482="","",IF($AE2482&amp;""&lt;&gt;'DB_設定'!$C$4,"対象外",IF($AH2482=20,IF(OR($AJ2482=10,$AJ2482=11,$AJ2482=18),"①病院一般",IF($AJ2482=41,"②病院短期","対象外")),IF($AH2482=5,IF($AJ2482=30,"③特定消防","対象外"),IF(OR($AJ2482=10,$AJ2482=11,$AJ2482=74),"④一般",IF(OR($AJ2482=41,$AJ2482=47),"⑤短期","対象外"))))))</f>
      </c>
    </row>
    <row r="2483">
      <c r="DB2483" s="2909">
        <f>IF($A2483="","",IF($AE2483&amp;""&lt;&gt;'DB_設定'!$C$4,"対象外",IF($AH2483=20,IF(OR($AJ2483=10,$AJ2483=11,$AJ2483=18),"①病院一般",IF($AJ2483=41,"②病院短期","対象外")),IF($AH2483=5,IF($AJ2483=30,"③特定消防","対象外"),IF(OR($AJ2483=10,$AJ2483=11,$AJ2483=74),"④一般",IF(OR($AJ2483=41,$AJ2483=47),"⑤短期","対象外"))))))</f>
      </c>
    </row>
    <row r="2484">
      <c r="DB2484" s="2909">
        <f>IF($A2484="","",IF($AE2484&amp;""&lt;&gt;'DB_設定'!$C$4,"対象外",IF($AH2484=20,IF(OR($AJ2484=10,$AJ2484=11,$AJ2484=18),"①病院一般",IF($AJ2484=41,"②病院短期","対象外")),IF($AH2484=5,IF($AJ2484=30,"③特定消防","対象外"),IF(OR($AJ2484=10,$AJ2484=11,$AJ2484=74),"④一般",IF(OR($AJ2484=41,$AJ2484=47),"⑤短期","対象外"))))))</f>
      </c>
    </row>
    <row r="2485">
      <c r="DB2485" s="2909">
        <f>IF($A2485="","",IF($AE2485&amp;""&lt;&gt;'DB_設定'!$C$4,"対象外",IF($AH2485=20,IF(OR($AJ2485=10,$AJ2485=11,$AJ2485=18),"①病院一般",IF($AJ2485=41,"②病院短期","対象外")),IF($AH2485=5,IF($AJ2485=30,"③特定消防","対象外"),IF(OR($AJ2485=10,$AJ2485=11,$AJ2485=74),"④一般",IF(OR($AJ2485=41,$AJ2485=47),"⑤短期","対象外"))))))</f>
      </c>
    </row>
    <row r="2486">
      <c r="DB2486" s="2909">
        <f>IF($A2486="","",IF($AE2486&amp;""&lt;&gt;'DB_設定'!$C$4,"対象外",IF($AH2486=20,IF(OR($AJ2486=10,$AJ2486=11,$AJ2486=18),"①病院一般",IF($AJ2486=41,"②病院短期","対象外")),IF($AH2486=5,IF($AJ2486=30,"③特定消防","対象外"),IF(OR($AJ2486=10,$AJ2486=11,$AJ2486=74),"④一般",IF(OR($AJ2486=41,$AJ2486=47),"⑤短期","対象外"))))))</f>
      </c>
    </row>
    <row r="2487">
      <c r="DB2487" s="2909">
        <f>IF($A2487="","",IF($AE2487&amp;""&lt;&gt;'DB_設定'!$C$4,"対象外",IF($AH2487=20,IF(OR($AJ2487=10,$AJ2487=11,$AJ2487=18),"①病院一般",IF($AJ2487=41,"②病院短期","対象外")),IF($AH2487=5,IF($AJ2487=30,"③特定消防","対象外"),IF(OR($AJ2487=10,$AJ2487=11,$AJ2487=74),"④一般",IF(OR($AJ2487=41,$AJ2487=47),"⑤短期","対象外"))))))</f>
      </c>
    </row>
    <row r="2488">
      <c r="DB2488" s="2909">
        <f>IF($A2488="","",IF($AE2488&amp;""&lt;&gt;'DB_設定'!$C$4,"対象外",IF($AH2488=20,IF(OR($AJ2488=10,$AJ2488=11,$AJ2488=18),"①病院一般",IF($AJ2488=41,"②病院短期","対象外")),IF($AH2488=5,IF($AJ2488=30,"③特定消防","対象外"),IF(OR($AJ2488=10,$AJ2488=11,$AJ2488=74),"④一般",IF(OR($AJ2488=41,$AJ2488=47),"⑤短期","対象外"))))))</f>
      </c>
    </row>
    <row r="2489">
      <c r="DB2489" s="2909">
        <f>IF($A2489="","",IF($AE2489&amp;""&lt;&gt;'DB_設定'!$C$4,"対象外",IF($AH2489=20,IF(OR($AJ2489=10,$AJ2489=11,$AJ2489=18),"①病院一般",IF($AJ2489=41,"②病院短期","対象外")),IF($AH2489=5,IF($AJ2489=30,"③特定消防","対象外"),IF(OR($AJ2489=10,$AJ2489=11,$AJ2489=74),"④一般",IF(OR($AJ2489=41,$AJ2489=47),"⑤短期","対象外"))))))</f>
      </c>
    </row>
    <row r="2490">
      <c r="DB2490" s="2909">
        <f>IF($A2490="","",IF($AE2490&amp;""&lt;&gt;'DB_設定'!$C$4,"対象外",IF($AH2490=20,IF(OR($AJ2490=10,$AJ2490=11,$AJ2490=18),"①病院一般",IF($AJ2490=41,"②病院短期","対象外")),IF($AH2490=5,IF($AJ2490=30,"③特定消防","対象外"),IF(OR($AJ2490=10,$AJ2490=11,$AJ2490=74),"④一般",IF(OR($AJ2490=41,$AJ2490=47),"⑤短期","対象外"))))))</f>
      </c>
    </row>
    <row r="2491">
      <c r="DB2491" s="2909">
        <f>IF($A2491="","",IF($AE2491&amp;""&lt;&gt;'DB_設定'!$C$4,"対象外",IF($AH2491=20,IF(OR($AJ2491=10,$AJ2491=11,$AJ2491=18),"①病院一般",IF($AJ2491=41,"②病院短期","対象外")),IF($AH2491=5,IF($AJ2491=30,"③特定消防","対象外"),IF(OR($AJ2491=10,$AJ2491=11,$AJ2491=74),"④一般",IF(OR($AJ2491=41,$AJ2491=47),"⑤短期","対象外"))))))</f>
      </c>
    </row>
    <row r="2492">
      <c r="DB2492" s="2909">
        <f>IF($A2492="","",IF($AE2492&amp;""&lt;&gt;'DB_設定'!$C$4,"対象外",IF($AH2492=20,IF(OR($AJ2492=10,$AJ2492=11,$AJ2492=18),"①病院一般",IF($AJ2492=41,"②病院短期","対象外")),IF($AH2492=5,IF($AJ2492=30,"③特定消防","対象外"),IF(OR($AJ2492=10,$AJ2492=11,$AJ2492=74),"④一般",IF(OR($AJ2492=41,$AJ2492=47),"⑤短期","対象外"))))))</f>
      </c>
    </row>
    <row r="2493">
      <c r="DB2493" s="2909">
        <f>IF($A2493="","",IF($AE2493&amp;""&lt;&gt;'DB_設定'!$C$4,"対象外",IF($AH2493=20,IF(OR($AJ2493=10,$AJ2493=11,$AJ2493=18),"①病院一般",IF($AJ2493=41,"②病院短期","対象外")),IF($AH2493=5,IF($AJ2493=30,"③特定消防","対象外"),IF(OR($AJ2493=10,$AJ2493=11,$AJ2493=74),"④一般",IF(OR($AJ2493=41,$AJ2493=47),"⑤短期","対象外"))))))</f>
      </c>
    </row>
    <row r="2494">
      <c r="DB2494" s="2909">
        <f>IF($A2494="","",IF($AE2494&amp;""&lt;&gt;'DB_設定'!$C$4,"対象外",IF($AH2494=20,IF(OR($AJ2494=10,$AJ2494=11,$AJ2494=18),"①病院一般",IF($AJ2494=41,"②病院短期","対象外")),IF($AH2494=5,IF($AJ2494=30,"③特定消防","対象外"),IF(OR($AJ2494=10,$AJ2494=11,$AJ2494=74),"④一般",IF(OR($AJ2494=41,$AJ2494=47),"⑤短期","対象外"))))))</f>
      </c>
    </row>
    <row r="2495">
      <c r="DB2495" s="2909">
        <f>IF($A2495="","",IF($AE2495&amp;""&lt;&gt;'DB_設定'!$C$4,"対象外",IF($AH2495=20,IF(OR($AJ2495=10,$AJ2495=11,$AJ2495=18),"①病院一般",IF($AJ2495=41,"②病院短期","対象外")),IF($AH2495=5,IF($AJ2495=30,"③特定消防","対象外"),IF(OR($AJ2495=10,$AJ2495=11,$AJ2495=74),"④一般",IF(OR($AJ2495=41,$AJ2495=47),"⑤短期","対象外"))))))</f>
      </c>
    </row>
    <row r="2496">
      <c r="DB2496" s="2909">
        <f>IF($A2496="","",IF($AE2496&amp;""&lt;&gt;'DB_設定'!$C$4,"対象外",IF($AH2496=20,IF(OR($AJ2496=10,$AJ2496=11,$AJ2496=18),"①病院一般",IF($AJ2496=41,"②病院短期","対象外")),IF($AH2496=5,IF($AJ2496=30,"③特定消防","対象外"),IF(OR($AJ2496=10,$AJ2496=11,$AJ2496=74),"④一般",IF(OR($AJ2496=41,$AJ2496=47),"⑤短期","対象外"))))))</f>
      </c>
    </row>
    <row r="2497">
      <c r="DB2497" s="2909">
        <f>IF($A2497="","",IF($AE2497&amp;""&lt;&gt;'DB_設定'!$C$4,"対象外",IF($AH2497=20,IF(OR($AJ2497=10,$AJ2497=11,$AJ2497=18),"①病院一般",IF($AJ2497=41,"②病院短期","対象外")),IF($AH2497=5,IF($AJ2497=30,"③特定消防","対象外"),IF(OR($AJ2497=10,$AJ2497=11,$AJ2497=74),"④一般",IF(OR($AJ2497=41,$AJ2497=47),"⑤短期","対象外"))))))</f>
      </c>
    </row>
    <row r="2498">
      <c r="DB2498" s="2909">
        <f>IF($A2498="","",IF($AE2498&amp;""&lt;&gt;'DB_設定'!$C$4,"対象外",IF($AH2498=20,IF(OR($AJ2498=10,$AJ2498=11,$AJ2498=18),"①病院一般",IF($AJ2498=41,"②病院短期","対象外")),IF($AH2498=5,IF($AJ2498=30,"③特定消防","対象外"),IF(OR($AJ2498=10,$AJ2498=11,$AJ2498=74),"④一般",IF(OR($AJ2498=41,$AJ2498=47),"⑤短期","対象外"))))))</f>
      </c>
    </row>
    <row r="2499">
      <c r="DB2499" s="2909">
        <f>IF($A2499="","",IF($AE2499&amp;""&lt;&gt;'DB_設定'!$C$4,"対象外",IF($AH2499=20,IF(OR($AJ2499=10,$AJ2499=11,$AJ2499=18),"①病院一般",IF($AJ2499=41,"②病院短期","対象外")),IF($AH2499=5,IF($AJ2499=30,"③特定消防","対象外"),IF(OR($AJ2499=10,$AJ2499=11,$AJ2499=74),"④一般",IF(OR($AJ2499=41,$AJ2499=47),"⑤短期","対象外"))))))</f>
      </c>
    </row>
    <row r="2500">
      <c r="DB2500" s="2909">
        <f>IF($A2500="","",IF($AE2500&amp;""&lt;&gt;'DB_設定'!$C$4,"対象外",IF($AH2500=20,IF(OR($AJ2500=10,$AJ2500=11,$AJ2500=18),"①病院一般",IF($AJ2500=41,"②病院短期","対象外")),IF($AH2500=5,IF($AJ2500=30,"③特定消防","対象外"),IF(OR($AJ2500=10,$AJ2500=11,$AJ2500=74),"④一般",IF(OR($AJ2500=41,$AJ2500=47),"⑤短期","対象外"))))))</f>
      </c>
    </row>
    <row r="2501">
      <c r="DB2501" s="2909">
        <f>IF($A2501="","",IF($AE2501&amp;""&lt;&gt;'DB_設定'!$C$4,"対象外",IF($AH2501=20,IF(OR($AJ2501=10,$AJ2501=11,$AJ2501=18),"①病院一般",IF($AJ2501=41,"②病院短期","対象外")),IF($AH2501=5,IF($AJ2501=30,"③特定消防","対象外"),IF(OR($AJ2501=10,$AJ2501=11,$AJ2501=74),"④一般",IF(OR($AJ2501=41,$AJ2501=47),"⑤短期","対象外"))))))</f>
      </c>
    </row>
    <row r="2502">
      <c r="DB2502" s="2909">
        <f>IF($A2502="","",IF($AE2502&amp;""&lt;&gt;'DB_設定'!$C$4,"対象外",IF($AH2502=20,IF(OR($AJ2502=10,$AJ2502=11,$AJ2502=18),"①病院一般",IF($AJ2502=41,"②病院短期","対象外")),IF($AH2502=5,IF($AJ2502=30,"③特定消防","対象外"),IF(OR($AJ2502=10,$AJ2502=11,$AJ2502=74),"④一般",IF(OR($AJ2502=41,$AJ2502=47),"⑤短期","対象外"))))))</f>
      </c>
    </row>
    <row r="2503">
      <c r="DB2503" s="2909">
        <f>IF($A2503="","",IF($AE2503&amp;""&lt;&gt;'DB_設定'!$C$4,"対象外",IF($AH2503=20,IF(OR($AJ2503=10,$AJ2503=11,$AJ2503=18),"①病院一般",IF($AJ2503=41,"②病院短期","対象外")),IF($AH2503=5,IF($AJ2503=30,"③特定消防","対象外"),IF(OR($AJ2503=10,$AJ2503=11,$AJ2503=74),"④一般",IF(OR($AJ2503=41,$AJ2503=47),"⑤短期","対象外"))))))</f>
      </c>
    </row>
    <row r="2504">
      <c r="DB2504" s="2909">
        <f>IF($A2504="","",IF($AE2504&amp;""&lt;&gt;'DB_設定'!$C$4,"対象外",IF($AH2504=20,IF(OR($AJ2504=10,$AJ2504=11,$AJ2504=18),"①病院一般",IF($AJ2504=41,"②病院短期","対象外")),IF($AH2504=5,IF($AJ2504=30,"③特定消防","対象外"),IF(OR($AJ2504=10,$AJ2504=11,$AJ2504=74),"④一般",IF(OR($AJ2504=41,$AJ2504=47),"⑤短期","対象外"))))))</f>
      </c>
    </row>
    <row r="2505">
      <c r="DB2505" s="2909">
        <f>IF($A2505="","",IF($AE2505&amp;""&lt;&gt;'DB_設定'!$C$4,"対象外",IF($AH2505=20,IF(OR($AJ2505=10,$AJ2505=11,$AJ2505=18),"①病院一般",IF($AJ2505=41,"②病院短期","対象外")),IF($AH2505=5,IF($AJ2505=30,"③特定消防","対象外"),IF(OR($AJ2505=10,$AJ2505=11,$AJ2505=74),"④一般",IF(OR($AJ2505=41,$AJ2505=47),"⑤短期","対象外"))))))</f>
      </c>
    </row>
    <row r="2506">
      <c r="DB2506" s="2909">
        <f>IF($A2506="","",IF($AE2506&amp;""&lt;&gt;'DB_設定'!$C$4,"対象外",IF($AH2506=20,IF(OR($AJ2506=10,$AJ2506=11,$AJ2506=18),"①病院一般",IF($AJ2506=41,"②病院短期","対象外")),IF($AH2506=5,IF($AJ2506=30,"③特定消防","対象外"),IF(OR($AJ2506=10,$AJ2506=11,$AJ2506=74),"④一般",IF(OR($AJ2506=41,$AJ2506=47),"⑤短期","対象外"))))))</f>
      </c>
    </row>
    <row r="2507">
      <c r="DB2507" s="2909">
        <f>IF($A2507="","",IF($AE2507&amp;""&lt;&gt;'DB_設定'!$C$4,"対象外",IF($AH2507=20,IF(OR($AJ2507=10,$AJ2507=11,$AJ2507=18),"①病院一般",IF($AJ2507=41,"②病院短期","対象外")),IF($AH2507=5,IF($AJ2507=30,"③特定消防","対象外"),IF(OR($AJ2507=10,$AJ2507=11,$AJ2507=74),"④一般",IF(OR($AJ2507=41,$AJ2507=47),"⑤短期","対象外"))))))</f>
      </c>
    </row>
    <row r="2508">
      <c r="DB2508" s="2909">
        <f>IF($A2508="","",IF($AE2508&amp;""&lt;&gt;'DB_設定'!$C$4,"対象外",IF($AH2508=20,IF(OR($AJ2508=10,$AJ2508=11,$AJ2508=18),"①病院一般",IF($AJ2508=41,"②病院短期","対象外")),IF($AH2508=5,IF($AJ2508=30,"③特定消防","対象外"),IF(OR($AJ2508=10,$AJ2508=11,$AJ2508=74),"④一般",IF(OR($AJ2508=41,$AJ2508=47),"⑤短期","対象外"))))))</f>
      </c>
    </row>
    <row r="2509">
      <c r="DB2509" s="2909">
        <f>IF($A2509="","",IF($AE2509&amp;""&lt;&gt;'DB_設定'!$C$4,"対象外",IF($AH2509=20,IF(OR($AJ2509=10,$AJ2509=11,$AJ2509=18),"①病院一般",IF($AJ2509=41,"②病院短期","対象外")),IF($AH2509=5,IF($AJ2509=30,"③特定消防","対象外"),IF(OR($AJ2509=10,$AJ2509=11,$AJ2509=74),"④一般",IF(OR($AJ2509=41,$AJ2509=47),"⑤短期","対象外"))))))</f>
      </c>
    </row>
    <row r="2510">
      <c r="DB2510" s="2909">
        <f>IF($A2510="","",IF($AE2510&amp;""&lt;&gt;'DB_設定'!$C$4,"対象外",IF($AH2510=20,IF(OR($AJ2510=10,$AJ2510=11,$AJ2510=18),"①病院一般",IF($AJ2510=41,"②病院短期","対象外")),IF($AH2510=5,IF($AJ2510=30,"③特定消防","対象外"),IF(OR($AJ2510=10,$AJ2510=11,$AJ2510=74),"④一般",IF(OR($AJ2510=41,$AJ2510=47),"⑤短期","対象外"))))))</f>
      </c>
    </row>
    <row r="2511">
      <c r="DB2511" s="2909">
        <f>IF($A2511="","",IF($AE2511&amp;""&lt;&gt;'DB_設定'!$C$4,"対象外",IF($AH2511=20,IF(OR($AJ2511=10,$AJ2511=11,$AJ2511=18),"①病院一般",IF($AJ2511=41,"②病院短期","対象外")),IF($AH2511=5,IF($AJ2511=30,"③特定消防","対象外"),IF(OR($AJ2511=10,$AJ2511=11,$AJ2511=74),"④一般",IF(OR($AJ2511=41,$AJ2511=47),"⑤短期","対象外"))))))</f>
      </c>
    </row>
    <row r="2512">
      <c r="DB2512" s="2909">
        <f>IF($A2512="","",IF($AE2512&amp;""&lt;&gt;'DB_設定'!$C$4,"対象外",IF($AH2512=20,IF(OR($AJ2512=10,$AJ2512=11,$AJ2512=18),"①病院一般",IF($AJ2512=41,"②病院短期","対象外")),IF($AH2512=5,IF($AJ2512=30,"③特定消防","対象外"),IF(OR($AJ2512=10,$AJ2512=11,$AJ2512=74),"④一般",IF(OR($AJ2512=41,$AJ2512=47),"⑤短期","対象外"))))))</f>
      </c>
    </row>
    <row r="2513">
      <c r="DB2513" s="2909">
        <f>IF($A2513="","",IF($AE2513&amp;""&lt;&gt;'DB_設定'!$C$4,"対象外",IF($AH2513=20,IF(OR($AJ2513=10,$AJ2513=11,$AJ2513=18),"①病院一般",IF($AJ2513=41,"②病院短期","対象外")),IF($AH2513=5,IF($AJ2513=30,"③特定消防","対象外"),IF(OR($AJ2513=10,$AJ2513=11,$AJ2513=74),"④一般",IF(OR($AJ2513=41,$AJ2513=47),"⑤短期","対象外"))))))</f>
      </c>
    </row>
    <row r="2514">
      <c r="DB2514" s="2909">
        <f>IF($A2514="","",IF($AE2514&amp;""&lt;&gt;'DB_設定'!$C$4,"対象外",IF($AH2514=20,IF(OR($AJ2514=10,$AJ2514=11,$AJ2514=18),"①病院一般",IF($AJ2514=41,"②病院短期","対象外")),IF($AH2514=5,IF($AJ2514=30,"③特定消防","対象外"),IF(OR($AJ2514=10,$AJ2514=11,$AJ2514=74),"④一般",IF(OR($AJ2514=41,$AJ2514=47),"⑤短期","対象外"))))))</f>
      </c>
    </row>
    <row r="2515">
      <c r="DB2515" s="2909">
        <f>IF($A2515="","",IF($AE2515&amp;""&lt;&gt;'DB_設定'!$C$4,"対象外",IF($AH2515=20,IF(OR($AJ2515=10,$AJ2515=11,$AJ2515=18),"①病院一般",IF($AJ2515=41,"②病院短期","対象外")),IF($AH2515=5,IF($AJ2515=30,"③特定消防","対象外"),IF(OR($AJ2515=10,$AJ2515=11,$AJ2515=74),"④一般",IF(OR($AJ2515=41,$AJ2515=47),"⑤短期","対象外"))))))</f>
      </c>
    </row>
    <row r="2516">
      <c r="DB2516" s="2909">
        <f>IF($A2516="","",IF($AE2516&amp;""&lt;&gt;'DB_設定'!$C$4,"対象外",IF($AH2516=20,IF(OR($AJ2516=10,$AJ2516=11,$AJ2516=18),"①病院一般",IF($AJ2516=41,"②病院短期","対象外")),IF($AH2516=5,IF($AJ2516=30,"③特定消防","対象外"),IF(OR($AJ2516=10,$AJ2516=11,$AJ2516=74),"④一般",IF(OR($AJ2516=41,$AJ2516=47),"⑤短期","対象外"))))))</f>
      </c>
    </row>
    <row r="2517">
      <c r="DB2517" s="2909">
        <f>IF($A2517="","",IF($AE2517&amp;""&lt;&gt;'DB_設定'!$C$4,"対象外",IF($AH2517=20,IF(OR($AJ2517=10,$AJ2517=11,$AJ2517=18),"①病院一般",IF($AJ2517=41,"②病院短期","対象外")),IF($AH2517=5,IF($AJ2517=30,"③特定消防","対象外"),IF(OR($AJ2517=10,$AJ2517=11,$AJ2517=74),"④一般",IF(OR($AJ2517=41,$AJ2517=47),"⑤短期","対象外"))))))</f>
      </c>
    </row>
    <row r="2518">
      <c r="DB2518" s="2909">
        <f>IF($A2518="","",IF($AE2518&amp;""&lt;&gt;'DB_設定'!$C$4,"対象外",IF($AH2518=20,IF(OR($AJ2518=10,$AJ2518=11,$AJ2518=18),"①病院一般",IF($AJ2518=41,"②病院短期","対象外")),IF($AH2518=5,IF($AJ2518=30,"③特定消防","対象外"),IF(OR($AJ2518=10,$AJ2518=11,$AJ2518=74),"④一般",IF(OR($AJ2518=41,$AJ2518=47),"⑤短期","対象外"))))))</f>
      </c>
    </row>
    <row r="2519">
      <c r="DB2519" s="2909">
        <f>IF($A2519="","",IF($AE2519&amp;""&lt;&gt;'DB_設定'!$C$4,"対象外",IF($AH2519=20,IF(OR($AJ2519=10,$AJ2519=11,$AJ2519=18),"①病院一般",IF($AJ2519=41,"②病院短期","対象外")),IF($AH2519=5,IF($AJ2519=30,"③特定消防","対象外"),IF(OR($AJ2519=10,$AJ2519=11,$AJ2519=74),"④一般",IF(OR($AJ2519=41,$AJ2519=47),"⑤短期","対象外"))))))</f>
      </c>
    </row>
    <row r="2520">
      <c r="DB2520" s="2909">
        <f>IF($A2520="","",IF($AE2520&amp;""&lt;&gt;'DB_設定'!$C$4,"対象外",IF($AH2520=20,IF(OR($AJ2520=10,$AJ2520=11,$AJ2520=18),"①病院一般",IF($AJ2520=41,"②病院短期","対象外")),IF($AH2520=5,IF($AJ2520=30,"③特定消防","対象外"),IF(OR($AJ2520=10,$AJ2520=11,$AJ2520=74),"④一般",IF(OR($AJ2520=41,$AJ2520=47),"⑤短期","対象外"))))))</f>
      </c>
    </row>
    <row r="2521">
      <c r="DB2521" s="2909">
        <f>IF($A2521="","",IF($AE2521&amp;""&lt;&gt;'DB_設定'!$C$4,"対象外",IF($AH2521=20,IF(OR($AJ2521=10,$AJ2521=11,$AJ2521=18),"①病院一般",IF($AJ2521=41,"②病院短期","対象外")),IF($AH2521=5,IF($AJ2521=30,"③特定消防","対象外"),IF(OR($AJ2521=10,$AJ2521=11,$AJ2521=74),"④一般",IF(OR($AJ2521=41,$AJ2521=47),"⑤短期","対象外"))))))</f>
      </c>
    </row>
    <row r="2522">
      <c r="DB2522" s="2909">
        <f>IF($A2522="","",IF($AE2522&amp;""&lt;&gt;'DB_設定'!$C$4,"対象外",IF($AH2522=20,IF(OR($AJ2522=10,$AJ2522=11,$AJ2522=18),"①病院一般",IF($AJ2522=41,"②病院短期","対象外")),IF($AH2522=5,IF($AJ2522=30,"③特定消防","対象外"),IF(OR($AJ2522=10,$AJ2522=11,$AJ2522=74),"④一般",IF(OR($AJ2522=41,$AJ2522=47),"⑤短期","対象外"))))))</f>
      </c>
    </row>
    <row r="2523">
      <c r="DB2523" s="2909">
        <f>IF($A2523="","",IF($AE2523&amp;""&lt;&gt;'DB_設定'!$C$4,"対象外",IF($AH2523=20,IF(OR($AJ2523=10,$AJ2523=11,$AJ2523=18),"①病院一般",IF($AJ2523=41,"②病院短期","対象外")),IF($AH2523=5,IF($AJ2523=30,"③特定消防","対象外"),IF(OR($AJ2523=10,$AJ2523=11,$AJ2523=74),"④一般",IF(OR($AJ2523=41,$AJ2523=47),"⑤短期","対象外"))))))</f>
      </c>
    </row>
    <row r="2524">
      <c r="DB2524" s="2909">
        <f>IF($A2524="","",IF($AE2524&amp;""&lt;&gt;'DB_設定'!$C$4,"対象外",IF($AH2524=20,IF(OR($AJ2524=10,$AJ2524=11,$AJ2524=18),"①病院一般",IF($AJ2524=41,"②病院短期","対象外")),IF($AH2524=5,IF($AJ2524=30,"③特定消防","対象外"),IF(OR($AJ2524=10,$AJ2524=11,$AJ2524=74),"④一般",IF(OR($AJ2524=41,$AJ2524=47),"⑤短期","対象外"))))))</f>
      </c>
    </row>
    <row r="2525">
      <c r="DB2525" s="2909">
        <f>IF($A2525="","",IF($AE2525&amp;""&lt;&gt;'DB_設定'!$C$4,"対象外",IF($AH2525=20,IF(OR($AJ2525=10,$AJ2525=11,$AJ2525=18),"①病院一般",IF($AJ2525=41,"②病院短期","対象外")),IF($AH2525=5,IF($AJ2525=30,"③特定消防","対象外"),IF(OR($AJ2525=10,$AJ2525=11,$AJ2525=74),"④一般",IF(OR($AJ2525=41,$AJ2525=47),"⑤短期","対象外"))))))</f>
      </c>
    </row>
    <row r="2526">
      <c r="DB2526" s="2909">
        <f>IF($A2526="","",IF($AE2526&amp;""&lt;&gt;'DB_設定'!$C$4,"対象外",IF($AH2526=20,IF(OR($AJ2526=10,$AJ2526=11,$AJ2526=18),"①病院一般",IF($AJ2526=41,"②病院短期","対象外")),IF($AH2526=5,IF($AJ2526=30,"③特定消防","対象外"),IF(OR($AJ2526=10,$AJ2526=11,$AJ2526=74),"④一般",IF(OR($AJ2526=41,$AJ2526=47),"⑤短期","対象外"))))))</f>
      </c>
    </row>
    <row r="2527">
      <c r="DB2527" s="2909">
        <f>IF($A2527="","",IF($AE2527&amp;""&lt;&gt;'DB_設定'!$C$4,"対象外",IF($AH2527=20,IF(OR($AJ2527=10,$AJ2527=11,$AJ2527=18),"①病院一般",IF($AJ2527=41,"②病院短期","対象外")),IF($AH2527=5,IF($AJ2527=30,"③特定消防","対象外"),IF(OR($AJ2527=10,$AJ2527=11,$AJ2527=74),"④一般",IF(OR($AJ2527=41,$AJ2527=47),"⑤短期","対象外"))))))</f>
      </c>
    </row>
    <row r="2528">
      <c r="DB2528" s="2909">
        <f>IF($A2528="","",IF($AE2528&amp;""&lt;&gt;'DB_設定'!$C$4,"対象外",IF($AH2528=20,IF(OR($AJ2528=10,$AJ2528=11,$AJ2528=18),"①病院一般",IF($AJ2528=41,"②病院短期","対象外")),IF($AH2528=5,IF($AJ2528=30,"③特定消防","対象外"),IF(OR($AJ2528=10,$AJ2528=11,$AJ2528=74),"④一般",IF(OR($AJ2528=41,$AJ2528=47),"⑤短期","対象外"))))))</f>
      </c>
    </row>
    <row r="2529">
      <c r="DB2529" s="2909">
        <f>IF($A2529="","",IF($AE2529&amp;""&lt;&gt;'DB_設定'!$C$4,"対象外",IF($AH2529=20,IF(OR($AJ2529=10,$AJ2529=11,$AJ2529=18),"①病院一般",IF($AJ2529=41,"②病院短期","対象外")),IF($AH2529=5,IF($AJ2529=30,"③特定消防","対象外"),IF(OR($AJ2529=10,$AJ2529=11,$AJ2529=74),"④一般",IF(OR($AJ2529=41,$AJ2529=47),"⑤短期","対象外"))))))</f>
      </c>
    </row>
    <row r="2530">
      <c r="DB2530" s="2909">
        <f>IF($A2530="","",IF($AE2530&amp;""&lt;&gt;'DB_設定'!$C$4,"対象外",IF($AH2530=20,IF(OR($AJ2530=10,$AJ2530=11,$AJ2530=18),"①病院一般",IF($AJ2530=41,"②病院短期","対象外")),IF($AH2530=5,IF($AJ2530=30,"③特定消防","対象外"),IF(OR($AJ2530=10,$AJ2530=11,$AJ2530=74),"④一般",IF(OR($AJ2530=41,$AJ2530=47),"⑤短期","対象外"))))))</f>
      </c>
    </row>
    <row r="2531">
      <c r="DB2531" s="2909">
        <f>IF($A2531="","",IF($AE2531&amp;""&lt;&gt;'DB_設定'!$C$4,"対象外",IF($AH2531=20,IF(OR($AJ2531=10,$AJ2531=11,$AJ2531=18),"①病院一般",IF($AJ2531=41,"②病院短期","対象外")),IF($AH2531=5,IF($AJ2531=30,"③特定消防","対象外"),IF(OR($AJ2531=10,$AJ2531=11,$AJ2531=74),"④一般",IF(OR($AJ2531=41,$AJ2531=47),"⑤短期","対象外"))))))</f>
      </c>
    </row>
    <row r="2532">
      <c r="DB2532" s="2909">
        <f>IF($A2532="","",IF($AE2532&amp;""&lt;&gt;'DB_設定'!$C$4,"対象外",IF($AH2532=20,IF(OR($AJ2532=10,$AJ2532=11,$AJ2532=18),"①病院一般",IF($AJ2532=41,"②病院短期","対象外")),IF($AH2532=5,IF($AJ2532=30,"③特定消防","対象外"),IF(OR($AJ2532=10,$AJ2532=11,$AJ2532=74),"④一般",IF(OR($AJ2532=41,$AJ2532=47),"⑤短期","対象外"))))))</f>
      </c>
    </row>
    <row r="2533">
      <c r="DB2533" s="2909">
        <f>IF($A2533="","",IF($AE2533&amp;""&lt;&gt;'DB_設定'!$C$4,"対象外",IF($AH2533=20,IF(OR($AJ2533=10,$AJ2533=11,$AJ2533=18),"①病院一般",IF($AJ2533=41,"②病院短期","対象外")),IF($AH2533=5,IF($AJ2533=30,"③特定消防","対象外"),IF(OR($AJ2533=10,$AJ2533=11,$AJ2533=74),"④一般",IF(OR($AJ2533=41,$AJ2533=47),"⑤短期","対象外"))))))</f>
      </c>
    </row>
    <row r="2534">
      <c r="DB2534" s="2909">
        <f>IF($A2534="","",IF($AE2534&amp;""&lt;&gt;'DB_設定'!$C$4,"対象外",IF($AH2534=20,IF(OR($AJ2534=10,$AJ2534=11,$AJ2534=18),"①病院一般",IF($AJ2534=41,"②病院短期","対象外")),IF($AH2534=5,IF($AJ2534=30,"③特定消防","対象外"),IF(OR($AJ2534=10,$AJ2534=11,$AJ2534=74),"④一般",IF(OR($AJ2534=41,$AJ2534=47),"⑤短期","対象外"))))))</f>
      </c>
    </row>
    <row r="2535">
      <c r="DB2535" s="2909">
        <f>IF($A2535="","",IF($AE2535&amp;""&lt;&gt;'DB_設定'!$C$4,"対象外",IF($AH2535=20,IF(OR($AJ2535=10,$AJ2535=11,$AJ2535=18),"①病院一般",IF($AJ2535=41,"②病院短期","対象外")),IF($AH2535=5,IF($AJ2535=30,"③特定消防","対象外"),IF(OR($AJ2535=10,$AJ2535=11,$AJ2535=74),"④一般",IF(OR($AJ2535=41,$AJ2535=47),"⑤短期","対象外"))))))</f>
      </c>
    </row>
    <row r="2536">
      <c r="DB2536" s="2909">
        <f>IF($A2536="","",IF($AE2536&amp;""&lt;&gt;'DB_設定'!$C$4,"対象外",IF($AH2536=20,IF(OR($AJ2536=10,$AJ2536=11,$AJ2536=18),"①病院一般",IF($AJ2536=41,"②病院短期","対象外")),IF($AH2536=5,IF($AJ2536=30,"③特定消防","対象外"),IF(OR($AJ2536=10,$AJ2536=11,$AJ2536=74),"④一般",IF(OR($AJ2536=41,$AJ2536=47),"⑤短期","対象外"))))))</f>
      </c>
    </row>
    <row r="2537">
      <c r="DB2537" s="2909">
        <f>IF($A2537="","",IF($AE2537&amp;""&lt;&gt;'DB_設定'!$C$4,"対象外",IF($AH2537=20,IF(OR($AJ2537=10,$AJ2537=11,$AJ2537=18),"①病院一般",IF($AJ2537=41,"②病院短期","対象外")),IF($AH2537=5,IF($AJ2537=30,"③特定消防","対象外"),IF(OR($AJ2537=10,$AJ2537=11,$AJ2537=74),"④一般",IF(OR($AJ2537=41,$AJ2537=47),"⑤短期","対象外"))))))</f>
      </c>
    </row>
    <row r="2538">
      <c r="DB2538" s="2909">
        <f>IF($A2538="","",IF($AE2538&amp;""&lt;&gt;'DB_設定'!$C$4,"対象外",IF($AH2538=20,IF(OR($AJ2538=10,$AJ2538=11,$AJ2538=18),"①病院一般",IF($AJ2538=41,"②病院短期","対象外")),IF($AH2538=5,IF($AJ2538=30,"③特定消防","対象外"),IF(OR($AJ2538=10,$AJ2538=11,$AJ2538=74),"④一般",IF(OR($AJ2538=41,$AJ2538=47),"⑤短期","対象外"))))))</f>
      </c>
    </row>
    <row r="2539">
      <c r="DB2539" s="2909">
        <f>IF($A2539="","",IF($AE2539&amp;""&lt;&gt;'DB_設定'!$C$4,"対象外",IF($AH2539=20,IF(OR($AJ2539=10,$AJ2539=11,$AJ2539=18),"①病院一般",IF($AJ2539=41,"②病院短期","対象外")),IF($AH2539=5,IF($AJ2539=30,"③特定消防","対象外"),IF(OR($AJ2539=10,$AJ2539=11,$AJ2539=74),"④一般",IF(OR($AJ2539=41,$AJ2539=47),"⑤短期","対象外"))))))</f>
      </c>
    </row>
    <row r="2540">
      <c r="DB2540" s="2909">
        <f>IF($A2540="","",IF($AE2540&amp;""&lt;&gt;'DB_設定'!$C$4,"対象外",IF($AH2540=20,IF(OR($AJ2540=10,$AJ2540=11,$AJ2540=18),"①病院一般",IF($AJ2540=41,"②病院短期","対象外")),IF($AH2540=5,IF($AJ2540=30,"③特定消防","対象外"),IF(OR($AJ2540=10,$AJ2540=11,$AJ2540=74),"④一般",IF(OR($AJ2540=41,$AJ2540=47),"⑤短期","対象外"))))))</f>
      </c>
    </row>
    <row r="2541">
      <c r="DB2541" s="2909">
        <f>IF($A2541="","",IF($AE2541&amp;""&lt;&gt;'DB_設定'!$C$4,"対象外",IF($AH2541=20,IF(OR($AJ2541=10,$AJ2541=11,$AJ2541=18),"①病院一般",IF($AJ2541=41,"②病院短期","対象外")),IF($AH2541=5,IF($AJ2541=30,"③特定消防","対象外"),IF(OR($AJ2541=10,$AJ2541=11,$AJ2541=74),"④一般",IF(OR($AJ2541=41,$AJ2541=47),"⑤短期","対象外"))))))</f>
      </c>
    </row>
    <row r="2542">
      <c r="DB2542" s="2909">
        <f>IF($A2542="","",IF($AE2542&amp;""&lt;&gt;'DB_設定'!$C$4,"対象外",IF($AH2542=20,IF(OR($AJ2542=10,$AJ2542=11,$AJ2542=18),"①病院一般",IF($AJ2542=41,"②病院短期","対象外")),IF($AH2542=5,IF($AJ2542=30,"③特定消防","対象外"),IF(OR($AJ2542=10,$AJ2542=11,$AJ2542=74),"④一般",IF(OR($AJ2542=41,$AJ2542=47),"⑤短期","対象外"))))))</f>
      </c>
    </row>
    <row r="2543">
      <c r="DB2543" s="2909">
        <f>IF($A2543="","",IF($AE2543&amp;""&lt;&gt;'DB_設定'!$C$4,"対象外",IF($AH2543=20,IF(OR($AJ2543=10,$AJ2543=11,$AJ2543=18),"①病院一般",IF($AJ2543=41,"②病院短期","対象外")),IF($AH2543=5,IF($AJ2543=30,"③特定消防","対象外"),IF(OR($AJ2543=10,$AJ2543=11,$AJ2543=74),"④一般",IF(OR($AJ2543=41,$AJ2543=47),"⑤短期","対象外"))))))</f>
      </c>
    </row>
    <row r="2544">
      <c r="DB2544" s="2909">
        <f>IF($A2544="","",IF($AE2544&amp;""&lt;&gt;'DB_設定'!$C$4,"対象外",IF($AH2544=20,IF(OR($AJ2544=10,$AJ2544=11,$AJ2544=18),"①病院一般",IF($AJ2544=41,"②病院短期","対象外")),IF($AH2544=5,IF($AJ2544=30,"③特定消防","対象外"),IF(OR($AJ2544=10,$AJ2544=11,$AJ2544=74),"④一般",IF(OR($AJ2544=41,$AJ2544=47),"⑤短期","対象外"))))))</f>
      </c>
    </row>
    <row r="2545">
      <c r="DB2545" s="2909">
        <f>IF($A2545="","",IF($AE2545&amp;""&lt;&gt;'DB_設定'!$C$4,"対象外",IF($AH2545=20,IF(OR($AJ2545=10,$AJ2545=11,$AJ2545=18),"①病院一般",IF($AJ2545=41,"②病院短期","対象外")),IF($AH2545=5,IF($AJ2545=30,"③特定消防","対象外"),IF(OR($AJ2545=10,$AJ2545=11,$AJ2545=74),"④一般",IF(OR($AJ2545=41,$AJ2545=47),"⑤短期","対象外"))))))</f>
      </c>
    </row>
    <row r="2546">
      <c r="DB2546" s="2909">
        <f>IF($A2546="","",IF($AE2546&amp;""&lt;&gt;'DB_設定'!$C$4,"対象外",IF($AH2546=20,IF(OR($AJ2546=10,$AJ2546=11,$AJ2546=18),"①病院一般",IF($AJ2546=41,"②病院短期","対象外")),IF($AH2546=5,IF($AJ2546=30,"③特定消防","対象外"),IF(OR($AJ2546=10,$AJ2546=11,$AJ2546=74),"④一般",IF(OR($AJ2546=41,$AJ2546=47),"⑤短期","対象外"))))))</f>
      </c>
    </row>
    <row r="2547">
      <c r="DB2547" s="2909">
        <f>IF($A2547="","",IF($AE2547&amp;""&lt;&gt;'DB_設定'!$C$4,"対象外",IF($AH2547=20,IF(OR($AJ2547=10,$AJ2547=11,$AJ2547=18),"①病院一般",IF($AJ2547=41,"②病院短期","対象外")),IF($AH2547=5,IF($AJ2547=30,"③特定消防","対象外"),IF(OR($AJ2547=10,$AJ2547=11,$AJ2547=74),"④一般",IF(OR($AJ2547=41,$AJ2547=47),"⑤短期","対象外"))))))</f>
      </c>
    </row>
    <row r="2548">
      <c r="DB2548" s="2909">
        <f>IF($A2548="","",IF($AE2548&amp;""&lt;&gt;'DB_設定'!$C$4,"対象外",IF($AH2548=20,IF(OR($AJ2548=10,$AJ2548=11,$AJ2548=18),"①病院一般",IF($AJ2548=41,"②病院短期","対象外")),IF($AH2548=5,IF($AJ2548=30,"③特定消防","対象外"),IF(OR($AJ2548=10,$AJ2548=11,$AJ2548=74),"④一般",IF(OR($AJ2548=41,$AJ2548=47),"⑤短期","対象外"))))))</f>
      </c>
    </row>
    <row r="2549">
      <c r="DB2549" s="2909">
        <f>IF($A2549="","",IF($AE2549&amp;""&lt;&gt;'DB_設定'!$C$4,"対象外",IF($AH2549=20,IF(OR($AJ2549=10,$AJ2549=11,$AJ2549=18),"①病院一般",IF($AJ2549=41,"②病院短期","対象外")),IF($AH2549=5,IF($AJ2549=30,"③特定消防","対象外"),IF(OR($AJ2549=10,$AJ2549=11,$AJ2549=74),"④一般",IF(OR($AJ2549=41,$AJ2549=47),"⑤短期","対象外"))))))</f>
      </c>
    </row>
    <row r="2550">
      <c r="DB2550" s="2909">
        <f>IF($A2550="","",IF($AE2550&amp;""&lt;&gt;'DB_設定'!$C$4,"対象外",IF($AH2550=20,IF(OR($AJ2550=10,$AJ2550=11,$AJ2550=18),"①病院一般",IF($AJ2550=41,"②病院短期","対象外")),IF($AH2550=5,IF($AJ2550=30,"③特定消防","対象外"),IF(OR($AJ2550=10,$AJ2550=11,$AJ2550=74),"④一般",IF(OR($AJ2550=41,$AJ2550=47),"⑤短期","対象外"))))))</f>
      </c>
    </row>
    <row r="2551">
      <c r="DB2551" s="2909">
        <f>IF($A2551="","",IF($AE2551&amp;""&lt;&gt;'DB_設定'!$C$4,"対象外",IF($AH2551=20,IF(OR($AJ2551=10,$AJ2551=11,$AJ2551=18),"①病院一般",IF($AJ2551=41,"②病院短期","対象外")),IF($AH2551=5,IF($AJ2551=30,"③特定消防","対象外"),IF(OR($AJ2551=10,$AJ2551=11,$AJ2551=74),"④一般",IF(OR($AJ2551=41,$AJ2551=47),"⑤短期","対象外"))))))</f>
      </c>
    </row>
    <row r="2552">
      <c r="DB2552" s="2909">
        <f>IF($A2552="","",IF($AE2552&amp;""&lt;&gt;'DB_設定'!$C$4,"対象外",IF($AH2552=20,IF(OR($AJ2552=10,$AJ2552=11,$AJ2552=18),"①病院一般",IF($AJ2552=41,"②病院短期","対象外")),IF($AH2552=5,IF($AJ2552=30,"③特定消防","対象外"),IF(OR($AJ2552=10,$AJ2552=11,$AJ2552=74),"④一般",IF(OR($AJ2552=41,$AJ2552=47),"⑤短期","対象外"))))))</f>
      </c>
    </row>
    <row r="2553">
      <c r="DB2553" s="2909">
        <f>IF($A2553="","",IF($AE2553&amp;""&lt;&gt;'DB_設定'!$C$4,"対象外",IF($AH2553=20,IF(OR($AJ2553=10,$AJ2553=11,$AJ2553=18),"①病院一般",IF($AJ2553=41,"②病院短期","対象外")),IF($AH2553=5,IF($AJ2553=30,"③特定消防","対象外"),IF(OR($AJ2553=10,$AJ2553=11,$AJ2553=74),"④一般",IF(OR($AJ2553=41,$AJ2553=47),"⑤短期","対象外"))))))</f>
      </c>
    </row>
    <row r="2554">
      <c r="DB2554" s="2909">
        <f>IF($A2554="","",IF($AE2554&amp;""&lt;&gt;'DB_設定'!$C$4,"対象外",IF($AH2554=20,IF(OR($AJ2554=10,$AJ2554=11,$AJ2554=18),"①病院一般",IF($AJ2554=41,"②病院短期","対象外")),IF($AH2554=5,IF($AJ2554=30,"③特定消防","対象外"),IF(OR($AJ2554=10,$AJ2554=11,$AJ2554=74),"④一般",IF(OR($AJ2554=41,$AJ2554=47),"⑤短期","対象外"))))))</f>
      </c>
    </row>
    <row r="2555">
      <c r="DB2555" s="2909">
        <f>IF($A2555="","",IF($AE2555&amp;""&lt;&gt;'DB_設定'!$C$4,"対象外",IF($AH2555=20,IF(OR($AJ2555=10,$AJ2555=11,$AJ2555=18),"①病院一般",IF($AJ2555=41,"②病院短期","対象外")),IF($AH2555=5,IF($AJ2555=30,"③特定消防","対象外"),IF(OR($AJ2555=10,$AJ2555=11,$AJ2555=74),"④一般",IF(OR($AJ2555=41,$AJ2555=47),"⑤短期","対象外"))))))</f>
      </c>
    </row>
    <row r="2556">
      <c r="DB2556" s="2909">
        <f>IF($A2556="","",IF($AE2556&amp;""&lt;&gt;'DB_設定'!$C$4,"対象外",IF($AH2556=20,IF(OR($AJ2556=10,$AJ2556=11,$AJ2556=18),"①病院一般",IF($AJ2556=41,"②病院短期","対象外")),IF($AH2556=5,IF($AJ2556=30,"③特定消防","対象外"),IF(OR($AJ2556=10,$AJ2556=11,$AJ2556=74),"④一般",IF(OR($AJ2556=41,$AJ2556=47),"⑤短期","対象外"))))))</f>
      </c>
    </row>
    <row r="2557">
      <c r="DB2557" s="2909">
        <f>IF($A2557="","",IF($AE2557&amp;""&lt;&gt;'DB_設定'!$C$4,"対象外",IF($AH2557=20,IF(OR($AJ2557=10,$AJ2557=11,$AJ2557=18),"①病院一般",IF($AJ2557=41,"②病院短期","対象外")),IF($AH2557=5,IF($AJ2557=30,"③特定消防","対象外"),IF(OR($AJ2557=10,$AJ2557=11,$AJ2557=74),"④一般",IF(OR($AJ2557=41,$AJ2557=47),"⑤短期","対象外"))))))</f>
      </c>
    </row>
    <row r="2558">
      <c r="DB2558" s="2909">
        <f>IF($A2558="","",IF($AE2558&amp;""&lt;&gt;'DB_設定'!$C$4,"対象外",IF($AH2558=20,IF(OR($AJ2558=10,$AJ2558=11,$AJ2558=18),"①病院一般",IF($AJ2558=41,"②病院短期","対象外")),IF($AH2558=5,IF($AJ2558=30,"③特定消防","対象外"),IF(OR($AJ2558=10,$AJ2558=11,$AJ2558=74),"④一般",IF(OR($AJ2558=41,$AJ2558=47),"⑤短期","対象外"))))))</f>
      </c>
    </row>
    <row r="2559">
      <c r="DB2559" s="2909">
        <f>IF($A2559="","",IF($AE2559&amp;""&lt;&gt;'DB_設定'!$C$4,"対象外",IF($AH2559=20,IF(OR($AJ2559=10,$AJ2559=11,$AJ2559=18),"①病院一般",IF($AJ2559=41,"②病院短期","対象外")),IF($AH2559=5,IF($AJ2559=30,"③特定消防","対象外"),IF(OR($AJ2559=10,$AJ2559=11,$AJ2559=74),"④一般",IF(OR($AJ2559=41,$AJ2559=47),"⑤短期","対象外"))))))</f>
      </c>
    </row>
    <row r="2560">
      <c r="DB2560" s="2909">
        <f>IF($A2560="","",IF($AE2560&amp;""&lt;&gt;'DB_設定'!$C$4,"対象外",IF($AH2560=20,IF(OR($AJ2560=10,$AJ2560=11,$AJ2560=18),"①病院一般",IF($AJ2560=41,"②病院短期","対象外")),IF($AH2560=5,IF($AJ2560=30,"③特定消防","対象外"),IF(OR($AJ2560=10,$AJ2560=11,$AJ2560=74),"④一般",IF(OR($AJ2560=41,$AJ2560=47),"⑤短期","対象外"))))))</f>
      </c>
    </row>
    <row r="2561">
      <c r="DB2561" s="2909">
        <f>IF($A2561="","",IF($AE2561&amp;""&lt;&gt;'DB_設定'!$C$4,"対象外",IF($AH2561=20,IF(OR($AJ2561=10,$AJ2561=11,$AJ2561=18),"①病院一般",IF($AJ2561=41,"②病院短期","対象外")),IF($AH2561=5,IF($AJ2561=30,"③特定消防","対象外"),IF(OR($AJ2561=10,$AJ2561=11,$AJ2561=74),"④一般",IF(OR($AJ2561=41,$AJ2561=47),"⑤短期","対象外"))))))</f>
      </c>
    </row>
    <row r="2562">
      <c r="DB2562" s="2909">
        <f>IF($A2562="","",IF($AE2562&amp;""&lt;&gt;'DB_設定'!$C$4,"対象外",IF($AH2562=20,IF(OR($AJ2562=10,$AJ2562=11,$AJ2562=18),"①病院一般",IF($AJ2562=41,"②病院短期","対象外")),IF($AH2562=5,IF($AJ2562=30,"③特定消防","対象外"),IF(OR($AJ2562=10,$AJ2562=11,$AJ2562=74),"④一般",IF(OR($AJ2562=41,$AJ2562=47),"⑤短期","対象外"))))))</f>
      </c>
    </row>
    <row r="2563">
      <c r="DB2563" s="2909">
        <f>IF($A2563="","",IF($AE2563&amp;""&lt;&gt;'DB_設定'!$C$4,"対象外",IF($AH2563=20,IF(OR($AJ2563=10,$AJ2563=11,$AJ2563=18),"①病院一般",IF($AJ2563=41,"②病院短期","対象外")),IF($AH2563=5,IF($AJ2563=30,"③特定消防","対象外"),IF(OR($AJ2563=10,$AJ2563=11,$AJ2563=74),"④一般",IF(OR($AJ2563=41,$AJ2563=47),"⑤短期","対象外"))))))</f>
      </c>
    </row>
    <row r="2564">
      <c r="DB2564" s="2909">
        <f>IF($A2564="","",IF($AE2564&amp;""&lt;&gt;'DB_設定'!$C$4,"対象外",IF($AH2564=20,IF(OR($AJ2564=10,$AJ2564=11,$AJ2564=18),"①病院一般",IF($AJ2564=41,"②病院短期","対象外")),IF($AH2564=5,IF($AJ2564=30,"③特定消防","対象外"),IF(OR($AJ2564=10,$AJ2564=11,$AJ2564=74),"④一般",IF(OR($AJ2564=41,$AJ2564=47),"⑤短期","対象外"))))))</f>
      </c>
    </row>
    <row r="2565">
      <c r="DB2565" s="2909">
        <f>IF($A2565="","",IF($AE2565&amp;""&lt;&gt;'DB_設定'!$C$4,"対象外",IF($AH2565=20,IF(OR($AJ2565=10,$AJ2565=11,$AJ2565=18),"①病院一般",IF($AJ2565=41,"②病院短期","対象外")),IF($AH2565=5,IF($AJ2565=30,"③特定消防","対象外"),IF(OR($AJ2565=10,$AJ2565=11,$AJ2565=74),"④一般",IF(OR($AJ2565=41,$AJ2565=47),"⑤短期","対象外"))))))</f>
      </c>
    </row>
    <row r="2566">
      <c r="DB2566" s="2909">
        <f>IF($A2566="","",IF($AE2566&amp;""&lt;&gt;'DB_設定'!$C$4,"対象外",IF($AH2566=20,IF(OR($AJ2566=10,$AJ2566=11,$AJ2566=18),"①病院一般",IF($AJ2566=41,"②病院短期","対象外")),IF($AH2566=5,IF($AJ2566=30,"③特定消防","対象外"),IF(OR($AJ2566=10,$AJ2566=11,$AJ2566=74),"④一般",IF(OR($AJ2566=41,$AJ2566=47),"⑤短期","対象外"))))))</f>
      </c>
    </row>
    <row r="2567">
      <c r="DB2567" s="2909">
        <f>IF($A2567="","",IF($AE2567&amp;""&lt;&gt;'DB_設定'!$C$4,"対象外",IF($AH2567=20,IF(OR($AJ2567=10,$AJ2567=11,$AJ2567=18),"①病院一般",IF($AJ2567=41,"②病院短期","対象外")),IF($AH2567=5,IF($AJ2567=30,"③特定消防","対象外"),IF(OR($AJ2567=10,$AJ2567=11,$AJ2567=74),"④一般",IF(OR($AJ2567=41,$AJ2567=47),"⑤短期","対象外"))))))</f>
      </c>
    </row>
    <row r="2568">
      <c r="DB2568" s="2909">
        <f>IF($A2568="","",IF($AE2568&amp;""&lt;&gt;'DB_設定'!$C$4,"対象外",IF($AH2568=20,IF(OR($AJ2568=10,$AJ2568=11,$AJ2568=18),"①病院一般",IF($AJ2568=41,"②病院短期","対象外")),IF($AH2568=5,IF($AJ2568=30,"③特定消防","対象外"),IF(OR($AJ2568=10,$AJ2568=11,$AJ2568=74),"④一般",IF(OR($AJ2568=41,$AJ2568=47),"⑤短期","対象外"))))))</f>
      </c>
    </row>
    <row r="2569">
      <c r="DB2569" s="2909">
        <f>IF($A2569="","",IF($AE2569&amp;""&lt;&gt;'DB_設定'!$C$4,"対象外",IF($AH2569=20,IF(OR($AJ2569=10,$AJ2569=11,$AJ2569=18),"①病院一般",IF($AJ2569=41,"②病院短期","対象外")),IF($AH2569=5,IF($AJ2569=30,"③特定消防","対象外"),IF(OR($AJ2569=10,$AJ2569=11,$AJ2569=74),"④一般",IF(OR($AJ2569=41,$AJ2569=47),"⑤短期","対象外"))))))</f>
      </c>
    </row>
    <row r="2570">
      <c r="DB2570" s="2909">
        <f>IF($A2570="","",IF($AE2570&amp;""&lt;&gt;'DB_設定'!$C$4,"対象外",IF($AH2570=20,IF(OR($AJ2570=10,$AJ2570=11,$AJ2570=18),"①病院一般",IF($AJ2570=41,"②病院短期","対象外")),IF($AH2570=5,IF($AJ2570=30,"③特定消防","対象外"),IF(OR($AJ2570=10,$AJ2570=11,$AJ2570=74),"④一般",IF(OR($AJ2570=41,$AJ2570=47),"⑤短期","対象外"))))))</f>
      </c>
    </row>
    <row r="2571">
      <c r="DB2571" s="2909">
        <f>IF($A2571="","",IF($AE2571&amp;""&lt;&gt;'DB_設定'!$C$4,"対象外",IF($AH2571=20,IF(OR($AJ2571=10,$AJ2571=11,$AJ2571=18),"①病院一般",IF($AJ2571=41,"②病院短期","対象外")),IF($AH2571=5,IF($AJ2571=30,"③特定消防","対象外"),IF(OR($AJ2571=10,$AJ2571=11,$AJ2571=74),"④一般",IF(OR($AJ2571=41,$AJ2571=47),"⑤短期","対象外"))))))</f>
      </c>
    </row>
    <row r="2572">
      <c r="DB2572" s="2909">
        <f>IF($A2572="","",IF($AE2572&amp;""&lt;&gt;'DB_設定'!$C$4,"対象外",IF($AH2572=20,IF(OR($AJ2572=10,$AJ2572=11,$AJ2572=18),"①病院一般",IF($AJ2572=41,"②病院短期","対象外")),IF($AH2572=5,IF($AJ2572=30,"③特定消防","対象外"),IF(OR($AJ2572=10,$AJ2572=11,$AJ2572=74),"④一般",IF(OR($AJ2572=41,$AJ2572=47),"⑤短期","対象外"))))))</f>
      </c>
    </row>
    <row r="2573">
      <c r="DB2573" s="2909">
        <f>IF($A2573="","",IF($AE2573&amp;""&lt;&gt;'DB_設定'!$C$4,"対象外",IF($AH2573=20,IF(OR($AJ2573=10,$AJ2573=11,$AJ2573=18),"①病院一般",IF($AJ2573=41,"②病院短期","対象外")),IF($AH2573=5,IF($AJ2573=30,"③特定消防","対象外"),IF(OR($AJ2573=10,$AJ2573=11,$AJ2573=74),"④一般",IF(OR($AJ2573=41,$AJ2573=47),"⑤短期","対象外"))))))</f>
      </c>
    </row>
    <row r="2574">
      <c r="DB2574" s="2909">
        <f>IF($A2574="","",IF($AE2574&amp;""&lt;&gt;'DB_設定'!$C$4,"対象外",IF($AH2574=20,IF(OR($AJ2574=10,$AJ2574=11,$AJ2574=18),"①病院一般",IF($AJ2574=41,"②病院短期","対象外")),IF($AH2574=5,IF($AJ2574=30,"③特定消防","対象外"),IF(OR($AJ2574=10,$AJ2574=11,$AJ2574=74),"④一般",IF(OR($AJ2574=41,$AJ2574=47),"⑤短期","対象外"))))))</f>
      </c>
    </row>
    <row r="2575">
      <c r="DB2575" s="2909">
        <f>IF($A2575="","",IF($AE2575&amp;""&lt;&gt;'DB_設定'!$C$4,"対象外",IF($AH2575=20,IF(OR($AJ2575=10,$AJ2575=11,$AJ2575=18),"①病院一般",IF($AJ2575=41,"②病院短期","対象外")),IF($AH2575=5,IF($AJ2575=30,"③特定消防","対象外"),IF(OR($AJ2575=10,$AJ2575=11,$AJ2575=74),"④一般",IF(OR($AJ2575=41,$AJ2575=47),"⑤短期","対象外"))))))</f>
      </c>
    </row>
    <row r="2576">
      <c r="DB2576" s="2909">
        <f>IF($A2576="","",IF($AE2576&amp;""&lt;&gt;'DB_設定'!$C$4,"対象外",IF($AH2576=20,IF(OR($AJ2576=10,$AJ2576=11,$AJ2576=18),"①病院一般",IF($AJ2576=41,"②病院短期","対象外")),IF($AH2576=5,IF($AJ2576=30,"③特定消防","対象外"),IF(OR($AJ2576=10,$AJ2576=11,$AJ2576=74),"④一般",IF(OR($AJ2576=41,$AJ2576=47),"⑤短期","対象外"))))))</f>
      </c>
    </row>
    <row r="2577">
      <c r="DB2577" s="2909">
        <f>IF($A2577="","",IF($AE2577&amp;""&lt;&gt;'DB_設定'!$C$4,"対象外",IF($AH2577=20,IF(OR($AJ2577=10,$AJ2577=11,$AJ2577=18),"①病院一般",IF($AJ2577=41,"②病院短期","対象外")),IF($AH2577=5,IF($AJ2577=30,"③特定消防","対象外"),IF(OR($AJ2577=10,$AJ2577=11,$AJ2577=74),"④一般",IF(OR($AJ2577=41,$AJ2577=47),"⑤短期","対象外"))))))</f>
      </c>
    </row>
    <row r="2578">
      <c r="DB2578" s="2909">
        <f>IF($A2578="","",IF($AE2578&amp;""&lt;&gt;'DB_設定'!$C$4,"対象外",IF($AH2578=20,IF(OR($AJ2578=10,$AJ2578=11,$AJ2578=18),"①病院一般",IF($AJ2578=41,"②病院短期","対象外")),IF($AH2578=5,IF($AJ2578=30,"③特定消防","対象外"),IF(OR($AJ2578=10,$AJ2578=11,$AJ2578=74),"④一般",IF(OR($AJ2578=41,$AJ2578=47),"⑤短期","対象外"))))))</f>
      </c>
    </row>
    <row r="2579">
      <c r="DB2579" s="2909">
        <f>IF($A2579="","",IF($AE2579&amp;""&lt;&gt;'DB_設定'!$C$4,"対象外",IF($AH2579=20,IF(OR($AJ2579=10,$AJ2579=11,$AJ2579=18),"①病院一般",IF($AJ2579=41,"②病院短期","対象外")),IF($AH2579=5,IF($AJ2579=30,"③特定消防","対象外"),IF(OR($AJ2579=10,$AJ2579=11,$AJ2579=74),"④一般",IF(OR($AJ2579=41,$AJ2579=47),"⑤短期","対象外"))))))</f>
      </c>
    </row>
    <row r="2580">
      <c r="DB2580" s="2909">
        <f>IF($A2580="","",IF($AE2580&amp;""&lt;&gt;'DB_設定'!$C$4,"対象外",IF($AH2580=20,IF(OR($AJ2580=10,$AJ2580=11,$AJ2580=18),"①病院一般",IF($AJ2580=41,"②病院短期","対象外")),IF($AH2580=5,IF($AJ2580=30,"③特定消防","対象外"),IF(OR($AJ2580=10,$AJ2580=11,$AJ2580=74),"④一般",IF(OR($AJ2580=41,$AJ2580=47),"⑤短期","対象外"))))))</f>
      </c>
    </row>
    <row r="2581">
      <c r="DB2581" s="2909">
        <f>IF($A2581="","",IF($AE2581&amp;""&lt;&gt;'DB_設定'!$C$4,"対象外",IF($AH2581=20,IF(OR($AJ2581=10,$AJ2581=11,$AJ2581=18),"①病院一般",IF($AJ2581=41,"②病院短期","対象外")),IF($AH2581=5,IF($AJ2581=30,"③特定消防","対象外"),IF(OR($AJ2581=10,$AJ2581=11,$AJ2581=74),"④一般",IF(OR($AJ2581=41,$AJ2581=47),"⑤短期","対象外"))))))</f>
      </c>
    </row>
    <row r="2582">
      <c r="DB2582" s="2909">
        <f>IF($A2582="","",IF($AE2582&amp;""&lt;&gt;'DB_設定'!$C$4,"対象外",IF($AH2582=20,IF(OR($AJ2582=10,$AJ2582=11,$AJ2582=18),"①病院一般",IF($AJ2582=41,"②病院短期","対象外")),IF($AH2582=5,IF($AJ2582=30,"③特定消防","対象外"),IF(OR($AJ2582=10,$AJ2582=11,$AJ2582=74),"④一般",IF(OR($AJ2582=41,$AJ2582=47),"⑤短期","対象外"))))))</f>
      </c>
    </row>
    <row r="2583">
      <c r="DB2583" s="2909">
        <f>IF($A2583="","",IF($AE2583&amp;""&lt;&gt;'DB_設定'!$C$4,"対象外",IF($AH2583=20,IF(OR($AJ2583=10,$AJ2583=11,$AJ2583=18),"①病院一般",IF($AJ2583=41,"②病院短期","対象外")),IF($AH2583=5,IF($AJ2583=30,"③特定消防","対象外"),IF(OR($AJ2583=10,$AJ2583=11,$AJ2583=74),"④一般",IF(OR($AJ2583=41,$AJ2583=47),"⑤短期","対象外"))))))</f>
      </c>
    </row>
    <row r="2584">
      <c r="DB2584" s="2909">
        <f>IF($A2584="","",IF($AE2584&amp;""&lt;&gt;'DB_設定'!$C$4,"対象外",IF($AH2584=20,IF(OR($AJ2584=10,$AJ2584=11,$AJ2584=18),"①病院一般",IF($AJ2584=41,"②病院短期","対象外")),IF($AH2584=5,IF($AJ2584=30,"③特定消防","対象外"),IF(OR($AJ2584=10,$AJ2584=11,$AJ2584=74),"④一般",IF(OR($AJ2584=41,$AJ2584=47),"⑤短期","対象外"))))))</f>
      </c>
    </row>
    <row r="2585">
      <c r="DB2585" s="2909">
        <f>IF($A2585="","",IF($AE2585&amp;""&lt;&gt;'DB_設定'!$C$4,"対象外",IF($AH2585=20,IF(OR($AJ2585=10,$AJ2585=11,$AJ2585=18),"①病院一般",IF($AJ2585=41,"②病院短期","対象外")),IF($AH2585=5,IF($AJ2585=30,"③特定消防","対象外"),IF(OR($AJ2585=10,$AJ2585=11,$AJ2585=74),"④一般",IF(OR($AJ2585=41,$AJ2585=47),"⑤短期","対象外"))))))</f>
      </c>
    </row>
    <row r="2586">
      <c r="DB2586" s="2909">
        <f>IF($A2586="","",IF($AE2586&amp;""&lt;&gt;'DB_設定'!$C$4,"対象外",IF($AH2586=20,IF(OR($AJ2586=10,$AJ2586=11,$AJ2586=18),"①病院一般",IF($AJ2586=41,"②病院短期","対象外")),IF($AH2586=5,IF($AJ2586=30,"③特定消防","対象外"),IF(OR($AJ2586=10,$AJ2586=11,$AJ2586=74),"④一般",IF(OR($AJ2586=41,$AJ2586=47),"⑤短期","対象外"))))))</f>
      </c>
    </row>
    <row r="2587">
      <c r="DB2587" s="2909">
        <f>IF($A2587="","",IF($AE2587&amp;""&lt;&gt;'DB_設定'!$C$4,"対象外",IF($AH2587=20,IF(OR($AJ2587=10,$AJ2587=11,$AJ2587=18),"①病院一般",IF($AJ2587=41,"②病院短期","対象外")),IF($AH2587=5,IF($AJ2587=30,"③特定消防","対象外"),IF(OR($AJ2587=10,$AJ2587=11,$AJ2587=74),"④一般",IF(OR($AJ2587=41,$AJ2587=47),"⑤短期","対象外"))))))</f>
      </c>
    </row>
    <row r="2588">
      <c r="DB2588" s="2909">
        <f>IF($A2588="","",IF($AE2588&amp;""&lt;&gt;'DB_設定'!$C$4,"対象外",IF($AH2588=20,IF(OR($AJ2588=10,$AJ2588=11,$AJ2588=18),"①病院一般",IF($AJ2588=41,"②病院短期","対象外")),IF($AH2588=5,IF($AJ2588=30,"③特定消防","対象外"),IF(OR($AJ2588=10,$AJ2588=11,$AJ2588=74),"④一般",IF(OR($AJ2588=41,$AJ2588=47),"⑤短期","対象外"))))))</f>
      </c>
    </row>
    <row r="2589">
      <c r="DB2589" s="2909">
        <f>IF($A2589="","",IF($AE2589&amp;""&lt;&gt;'DB_設定'!$C$4,"対象外",IF($AH2589=20,IF(OR($AJ2589=10,$AJ2589=11,$AJ2589=18),"①病院一般",IF($AJ2589=41,"②病院短期","対象外")),IF($AH2589=5,IF($AJ2589=30,"③特定消防","対象外"),IF(OR($AJ2589=10,$AJ2589=11,$AJ2589=74),"④一般",IF(OR($AJ2589=41,$AJ2589=47),"⑤短期","対象外"))))))</f>
      </c>
    </row>
    <row r="2590">
      <c r="DB2590" s="2909">
        <f>IF($A2590="","",IF($AE2590&amp;""&lt;&gt;'DB_設定'!$C$4,"対象外",IF($AH2590=20,IF(OR($AJ2590=10,$AJ2590=11,$AJ2590=18),"①病院一般",IF($AJ2590=41,"②病院短期","対象外")),IF($AH2590=5,IF($AJ2590=30,"③特定消防","対象外"),IF(OR($AJ2590=10,$AJ2590=11,$AJ2590=74),"④一般",IF(OR($AJ2590=41,$AJ2590=47),"⑤短期","対象外"))))))</f>
      </c>
    </row>
    <row r="2591">
      <c r="DB2591" s="2909">
        <f>IF($A2591="","",IF($AE2591&amp;""&lt;&gt;'DB_設定'!$C$4,"対象外",IF($AH2591=20,IF(OR($AJ2591=10,$AJ2591=11,$AJ2591=18),"①病院一般",IF($AJ2591=41,"②病院短期","対象外")),IF($AH2591=5,IF($AJ2591=30,"③特定消防","対象外"),IF(OR($AJ2591=10,$AJ2591=11,$AJ2591=74),"④一般",IF(OR($AJ2591=41,$AJ2591=47),"⑤短期","対象外"))))))</f>
      </c>
    </row>
    <row r="2592">
      <c r="DB2592" s="2909">
        <f>IF($A2592="","",IF($AE2592&amp;""&lt;&gt;'DB_設定'!$C$4,"対象外",IF($AH2592=20,IF(OR($AJ2592=10,$AJ2592=11,$AJ2592=18),"①病院一般",IF($AJ2592=41,"②病院短期","対象外")),IF($AH2592=5,IF($AJ2592=30,"③特定消防","対象外"),IF(OR($AJ2592=10,$AJ2592=11,$AJ2592=74),"④一般",IF(OR($AJ2592=41,$AJ2592=47),"⑤短期","対象外"))))))</f>
      </c>
    </row>
    <row r="2593">
      <c r="DB2593" s="2909">
        <f>IF($A2593="","",IF($AE2593&amp;""&lt;&gt;'DB_設定'!$C$4,"対象外",IF($AH2593=20,IF(OR($AJ2593=10,$AJ2593=11,$AJ2593=18),"①病院一般",IF($AJ2593=41,"②病院短期","対象外")),IF($AH2593=5,IF($AJ2593=30,"③特定消防","対象外"),IF(OR($AJ2593=10,$AJ2593=11,$AJ2593=74),"④一般",IF(OR($AJ2593=41,$AJ2593=47),"⑤短期","対象外"))))))</f>
      </c>
    </row>
    <row r="2594">
      <c r="DB2594" s="2909">
        <f>IF($A2594="","",IF($AE2594&amp;""&lt;&gt;'DB_設定'!$C$4,"対象外",IF($AH2594=20,IF(OR($AJ2594=10,$AJ2594=11,$AJ2594=18),"①病院一般",IF($AJ2594=41,"②病院短期","対象外")),IF($AH2594=5,IF($AJ2594=30,"③特定消防","対象外"),IF(OR($AJ2594=10,$AJ2594=11,$AJ2594=74),"④一般",IF(OR($AJ2594=41,$AJ2594=47),"⑤短期","対象外"))))))</f>
      </c>
    </row>
    <row r="2595">
      <c r="DB2595" s="2909">
        <f>IF($A2595="","",IF($AE2595&amp;""&lt;&gt;'DB_設定'!$C$4,"対象外",IF($AH2595=20,IF(OR($AJ2595=10,$AJ2595=11,$AJ2595=18),"①病院一般",IF($AJ2595=41,"②病院短期","対象外")),IF($AH2595=5,IF($AJ2595=30,"③特定消防","対象外"),IF(OR($AJ2595=10,$AJ2595=11,$AJ2595=74),"④一般",IF(OR($AJ2595=41,$AJ2595=47),"⑤短期","対象外"))))))</f>
      </c>
    </row>
    <row r="2596">
      <c r="DB2596" s="2909">
        <f>IF($A2596="","",IF($AE2596&amp;""&lt;&gt;'DB_設定'!$C$4,"対象外",IF($AH2596=20,IF(OR($AJ2596=10,$AJ2596=11,$AJ2596=18),"①病院一般",IF($AJ2596=41,"②病院短期","対象外")),IF($AH2596=5,IF($AJ2596=30,"③特定消防","対象外"),IF(OR($AJ2596=10,$AJ2596=11,$AJ2596=74),"④一般",IF(OR($AJ2596=41,$AJ2596=47),"⑤短期","対象外"))))))</f>
      </c>
    </row>
    <row r="2597">
      <c r="DB2597" s="2909">
        <f>IF($A2597="","",IF($AE2597&amp;""&lt;&gt;'DB_設定'!$C$4,"対象外",IF($AH2597=20,IF(OR($AJ2597=10,$AJ2597=11,$AJ2597=18),"①病院一般",IF($AJ2597=41,"②病院短期","対象外")),IF($AH2597=5,IF($AJ2597=30,"③特定消防","対象外"),IF(OR($AJ2597=10,$AJ2597=11,$AJ2597=74),"④一般",IF(OR($AJ2597=41,$AJ2597=47),"⑤短期","対象外"))))))</f>
      </c>
    </row>
    <row r="2598">
      <c r="DB2598" s="2909">
        <f>IF($A2598="","",IF($AE2598&amp;""&lt;&gt;'DB_設定'!$C$4,"対象外",IF($AH2598=20,IF(OR($AJ2598=10,$AJ2598=11,$AJ2598=18),"①病院一般",IF($AJ2598=41,"②病院短期","対象外")),IF($AH2598=5,IF($AJ2598=30,"③特定消防","対象外"),IF(OR($AJ2598=10,$AJ2598=11,$AJ2598=74),"④一般",IF(OR($AJ2598=41,$AJ2598=47),"⑤短期","対象外"))))))</f>
      </c>
    </row>
    <row r="2599">
      <c r="DB2599" s="2909">
        <f>IF($A2599="","",IF($AE2599&amp;""&lt;&gt;'DB_設定'!$C$4,"対象外",IF($AH2599=20,IF(OR($AJ2599=10,$AJ2599=11,$AJ2599=18),"①病院一般",IF($AJ2599=41,"②病院短期","対象外")),IF($AH2599=5,IF($AJ2599=30,"③特定消防","対象外"),IF(OR($AJ2599=10,$AJ2599=11,$AJ2599=74),"④一般",IF(OR($AJ2599=41,$AJ2599=47),"⑤短期","対象外"))))))</f>
      </c>
    </row>
    <row r="2600">
      <c r="DB2600" s="2909">
        <f>IF($A2600="","",IF($AE2600&amp;""&lt;&gt;'DB_設定'!$C$4,"対象外",IF($AH2600=20,IF(OR($AJ2600=10,$AJ2600=11,$AJ2600=18),"①病院一般",IF($AJ2600=41,"②病院短期","対象外")),IF($AH2600=5,IF($AJ2600=30,"③特定消防","対象外"),IF(OR($AJ2600=10,$AJ2600=11,$AJ2600=74),"④一般",IF(OR($AJ2600=41,$AJ2600=47),"⑤短期","対象外"))))))</f>
      </c>
    </row>
    <row r="2601">
      <c r="DB2601" s="2909">
        <f>IF($A2601="","",IF($AE2601&amp;""&lt;&gt;'DB_設定'!$C$4,"対象外",IF($AH2601=20,IF(OR($AJ2601=10,$AJ2601=11,$AJ2601=18),"①病院一般",IF($AJ2601=41,"②病院短期","対象外")),IF($AH2601=5,IF($AJ2601=30,"③特定消防","対象外"),IF(OR($AJ2601=10,$AJ2601=11,$AJ2601=74),"④一般",IF(OR($AJ2601=41,$AJ2601=47),"⑤短期","対象外"))))))</f>
      </c>
    </row>
    <row r="2602">
      <c r="DB2602" s="2909">
        <f>IF($A2602="","",IF($AE2602&amp;""&lt;&gt;'DB_設定'!$C$4,"対象外",IF($AH2602=20,IF(OR($AJ2602=10,$AJ2602=11,$AJ2602=18),"①病院一般",IF($AJ2602=41,"②病院短期","対象外")),IF($AH2602=5,IF($AJ2602=30,"③特定消防","対象外"),IF(OR($AJ2602=10,$AJ2602=11,$AJ2602=74),"④一般",IF(OR($AJ2602=41,$AJ2602=47),"⑤短期","対象外"))))))</f>
      </c>
    </row>
    <row r="2603">
      <c r="DB2603" s="2909">
        <f>IF($A2603="","",IF($AE2603&amp;""&lt;&gt;'DB_設定'!$C$4,"対象外",IF($AH2603=20,IF(OR($AJ2603=10,$AJ2603=11,$AJ2603=18),"①病院一般",IF($AJ2603=41,"②病院短期","対象外")),IF($AH2603=5,IF($AJ2603=30,"③特定消防","対象外"),IF(OR($AJ2603=10,$AJ2603=11,$AJ2603=74),"④一般",IF(OR($AJ2603=41,$AJ2603=47),"⑤短期","対象外"))))))</f>
      </c>
    </row>
    <row r="2604">
      <c r="DB2604" s="2909">
        <f>IF($A2604="","",IF($AE2604&amp;""&lt;&gt;'DB_設定'!$C$4,"対象外",IF($AH2604=20,IF(OR($AJ2604=10,$AJ2604=11,$AJ2604=18),"①病院一般",IF($AJ2604=41,"②病院短期","対象外")),IF($AH2604=5,IF($AJ2604=30,"③特定消防","対象外"),IF(OR($AJ2604=10,$AJ2604=11,$AJ2604=74),"④一般",IF(OR($AJ2604=41,$AJ2604=47),"⑤短期","対象外"))))))</f>
      </c>
    </row>
    <row r="2605">
      <c r="DB2605" s="2909">
        <f>IF($A2605="","",IF($AE2605&amp;""&lt;&gt;'DB_設定'!$C$4,"対象外",IF($AH2605=20,IF(OR($AJ2605=10,$AJ2605=11,$AJ2605=18),"①病院一般",IF($AJ2605=41,"②病院短期","対象外")),IF($AH2605=5,IF($AJ2605=30,"③特定消防","対象外"),IF(OR($AJ2605=10,$AJ2605=11,$AJ2605=74),"④一般",IF(OR($AJ2605=41,$AJ2605=47),"⑤短期","対象外"))))))</f>
      </c>
    </row>
    <row r="2606">
      <c r="DB2606" s="2909">
        <f>IF($A2606="","",IF($AE2606&amp;""&lt;&gt;'DB_設定'!$C$4,"対象外",IF($AH2606=20,IF(OR($AJ2606=10,$AJ2606=11,$AJ2606=18),"①病院一般",IF($AJ2606=41,"②病院短期","対象外")),IF($AH2606=5,IF($AJ2606=30,"③特定消防","対象外"),IF(OR($AJ2606=10,$AJ2606=11,$AJ2606=74),"④一般",IF(OR($AJ2606=41,$AJ2606=47),"⑤短期","対象外"))))))</f>
      </c>
    </row>
    <row r="2607">
      <c r="DB2607" s="2909">
        <f>IF($A2607="","",IF($AE2607&amp;""&lt;&gt;'DB_設定'!$C$4,"対象外",IF($AH2607=20,IF(OR($AJ2607=10,$AJ2607=11,$AJ2607=18),"①病院一般",IF($AJ2607=41,"②病院短期","対象外")),IF($AH2607=5,IF($AJ2607=30,"③特定消防","対象外"),IF(OR($AJ2607=10,$AJ2607=11,$AJ2607=74),"④一般",IF(OR($AJ2607=41,$AJ2607=47),"⑤短期","対象外"))))))</f>
      </c>
    </row>
    <row r="2608">
      <c r="DB2608" s="2909">
        <f>IF($A2608="","",IF($AE2608&amp;""&lt;&gt;'DB_設定'!$C$4,"対象外",IF($AH2608=20,IF(OR($AJ2608=10,$AJ2608=11,$AJ2608=18),"①病院一般",IF($AJ2608=41,"②病院短期","対象外")),IF($AH2608=5,IF($AJ2608=30,"③特定消防","対象外"),IF(OR($AJ2608=10,$AJ2608=11,$AJ2608=74),"④一般",IF(OR($AJ2608=41,$AJ2608=47),"⑤短期","対象外"))))))</f>
      </c>
    </row>
    <row r="2609">
      <c r="DB2609" s="2909">
        <f>IF($A2609="","",IF($AE2609&amp;""&lt;&gt;'DB_設定'!$C$4,"対象外",IF($AH2609=20,IF(OR($AJ2609=10,$AJ2609=11,$AJ2609=18),"①病院一般",IF($AJ2609=41,"②病院短期","対象外")),IF($AH2609=5,IF($AJ2609=30,"③特定消防","対象外"),IF(OR($AJ2609=10,$AJ2609=11,$AJ2609=74),"④一般",IF(OR($AJ2609=41,$AJ2609=47),"⑤短期","対象外"))))))</f>
      </c>
    </row>
    <row r="2610">
      <c r="DB2610" s="2909">
        <f>IF($A2610="","",IF($AE2610&amp;""&lt;&gt;'DB_設定'!$C$4,"対象外",IF($AH2610=20,IF(OR($AJ2610=10,$AJ2610=11,$AJ2610=18),"①病院一般",IF($AJ2610=41,"②病院短期","対象外")),IF($AH2610=5,IF($AJ2610=30,"③特定消防","対象外"),IF(OR($AJ2610=10,$AJ2610=11,$AJ2610=74),"④一般",IF(OR($AJ2610=41,$AJ2610=47),"⑤短期","対象外"))))))</f>
      </c>
    </row>
    <row r="2611">
      <c r="DB2611" s="2909">
        <f>IF($A2611="","",IF($AE2611&amp;""&lt;&gt;'DB_設定'!$C$4,"対象外",IF($AH2611=20,IF(OR($AJ2611=10,$AJ2611=11,$AJ2611=18),"①病院一般",IF($AJ2611=41,"②病院短期","対象外")),IF($AH2611=5,IF($AJ2611=30,"③特定消防","対象外"),IF(OR($AJ2611=10,$AJ2611=11,$AJ2611=74),"④一般",IF(OR($AJ2611=41,$AJ2611=47),"⑤短期","対象外"))))))</f>
      </c>
    </row>
    <row r="2612">
      <c r="DB2612" s="2909">
        <f>IF($A2612="","",IF($AE2612&amp;""&lt;&gt;'DB_設定'!$C$4,"対象外",IF($AH2612=20,IF(OR($AJ2612=10,$AJ2612=11,$AJ2612=18),"①病院一般",IF($AJ2612=41,"②病院短期","対象外")),IF($AH2612=5,IF($AJ2612=30,"③特定消防","対象外"),IF(OR($AJ2612=10,$AJ2612=11,$AJ2612=74),"④一般",IF(OR($AJ2612=41,$AJ2612=47),"⑤短期","対象外"))))))</f>
      </c>
    </row>
    <row r="2613">
      <c r="DB2613" s="2909">
        <f>IF($A2613="","",IF($AE2613&amp;""&lt;&gt;'DB_設定'!$C$4,"対象外",IF($AH2613=20,IF(OR($AJ2613=10,$AJ2613=11,$AJ2613=18),"①病院一般",IF($AJ2613=41,"②病院短期","対象外")),IF($AH2613=5,IF($AJ2613=30,"③特定消防","対象外"),IF(OR($AJ2613=10,$AJ2613=11,$AJ2613=74),"④一般",IF(OR($AJ2613=41,$AJ2613=47),"⑤短期","対象外"))))))</f>
      </c>
    </row>
    <row r="2614">
      <c r="DB2614" s="2909">
        <f>IF($A2614="","",IF($AE2614&amp;""&lt;&gt;'DB_設定'!$C$4,"対象外",IF($AH2614=20,IF(OR($AJ2614=10,$AJ2614=11,$AJ2614=18),"①病院一般",IF($AJ2614=41,"②病院短期","対象外")),IF($AH2614=5,IF($AJ2614=30,"③特定消防","対象外"),IF(OR($AJ2614=10,$AJ2614=11,$AJ2614=74),"④一般",IF(OR($AJ2614=41,$AJ2614=47),"⑤短期","対象外"))))))</f>
      </c>
    </row>
    <row r="2615">
      <c r="DB2615" s="2909">
        <f>IF($A2615="","",IF($AE2615&amp;""&lt;&gt;'DB_設定'!$C$4,"対象外",IF($AH2615=20,IF(OR($AJ2615=10,$AJ2615=11,$AJ2615=18),"①病院一般",IF($AJ2615=41,"②病院短期","対象外")),IF($AH2615=5,IF($AJ2615=30,"③特定消防","対象外"),IF(OR($AJ2615=10,$AJ2615=11,$AJ2615=74),"④一般",IF(OR($AJ2615=41,$AJ2615=47),"⑤短期","対象外"))))))</f>
      </c>
    </row>
    <row r="2616">
      <c r="DB2616" s="2909">
        <f>IF($A2616="","",IF($AE2616&amp;""&lt;&gt;'DB_設定'!$C$4,"対象外",IF($AH2616=20,IF(OR($AJ2616=10,$AJ2616=11,$AJ2616=18),"①病院一般",IF($AJ2616=41,"②病院短期","対象外")),IF($AH2616=5,IF($AJ2616=30,"③特定消防","対象外"),IF(OR($AJ2616=10,$AJ2616=11,$AJ2616=74),"④一般",IF(OR($AJ2616=41,$AJ2616=47),"⑤短期","対象外"))))))</f>
      </c>
    </row>
    <row r="2617">
      <c r="DB2617" s="2909">
        <f>IF($A2617="","",IF($AE2617&amp;""&lt;&gt;'DB_設定'!$C$4,"対象外",IF($AH2617=20,IF(OR($AJ2617=10,$AJ2617=11,$AJ2617=18),"①病院一般",IF($AJ2617=41,"②病院短期","対象外")),IF($AH2617=5,IF($AJ2617=30,"③特定消防","対象外"),IF(OR($AJ2617=10,$AJ2617=11,$AJ2617=74),"④一般",IF(OR($AJ2617=41,$AJ2617=47),"⑤短期","対象外"))))))</f>
      </c>
    </row>
    <row r="2618">
      <c r="DB2618" s="2909">
        <f>IF($A2618="","",IF($AE2618&amp;""&lt;&gt;'DB_設定'!$C$4,"対象外",IF($AH2618=20,IF(OR($AJ2618=10,$AJ2618=11,$AJ2618=18),"①病院一般",IF($AJ2618=41,"②病院短期","対象外")),IF($AH2618=5,IF($AJ2618=30,"③特定消防","対象外"),IF(OR($AJ2618=10,$AJ2618=11,$AJ2618=74),"④一般",IF(OR($AJ2618=41,$AJ2618=47),"⑤短期","対象外"))))))</f>
      </c>
    </row>
    <row r="2619">
      <c r="DB2619" s="2909">
        <f>IF($A2619="","",IF($AE2619&amp;""&lt;&gt;'DB_設定'!$C$4,"対象外",IF($AH2619=20,IF(OR($AJ2619=10,$AJ2619=11,$AJ2619=18),"①病院一般",IF($AJ2619=41,"②病院短期","対象外")),IF($AH2619=5,IF($AJ2619=30,"③特定消防","対象外"),IF(OR($AJ2619=10,$AJ2619=11,$AJ2619=74),"④一般",IF(OR($AJ2619=41,$AJ2619=47),"⑤短期","対象外"))))))</f>
      </c>
    </row>
    <row r="2620">
      <c r="DB2620" s="2909">
        <f>IF($A2620="","",IF($AE2620&amp;""&lt;&gt;'DB_設定'!$C$4,"対象外",IF($AH2620=20,IF(OR($AJ2620=10,$AJ2620=11,$AJ2620=18),"①病院一般",IF($AJ2620=41,"②病院短期","対象外")),IF($AH2620=5,IF($AJ2620=30,"③特定消防","対象外"),IF(OR($AJ2620=10,$AJ2620=11,$AJ2620=74),"④一般",IF(OR($AJ2620=41,$AJ2620=47),"⑤短期","対象外"))))))</f>
      </c>
    </row>
    <row r="2621">
      <c r="DB2621" s="2909">
        <f>IF($A2621="","",IF($AE2621&amp;""&lt;&gt;'DB_設定'!$C$4,"対象外",IF($AH2621=20,IF(OR($AJ2621=10,$AJ2621=11,$AJ2621=18),"①病院一般",IF($AJ2621=41,"②病院短期","対象外")),IF($AH2621=5,IF($AJ2621=30,"③特定消防","対象外"),IF(OR($AJ2621=10,$AJ2621=11,$AJ2621=74),"④一般",IF(OR($AJ2621=41,$AJ2621=47),"⑤短期","対象外"))))))</f>
      </c>
    </row>
    <row r="2622">
      <c r="DB2622" s="2909">
        <f>IF($A2622="","",IF($AE2622&amp;""&lt;&gt;'DB_設定'!$C$4,"対象外",IF($AH2622=20,IF(OR($AJ2622=10,$AJ2622=11,$AJ2622=18),"①病院一般",IF($AJ2622=41,"②病院短期","対象外")),IF($AH2622=5,IF($AJ2622=30,"③特定消防","対象外"),IF(OR($AJ2622=10,$AJ2622=11,$AJ2622=74),"④一般",IF(OR($AJ2622=41,$AJ2622=47),"⑤短期","対象外"))))))</f>
      </c>
    </row>
    <row r="2623">
      <c r="DB2623" s="2909">
        <f>IF($A2623="","",IF($AE2623&amp;""&lt;&gt;'DB_設定'!$C$4,"対象外",IF($AH2623=20,IF(OR($AJ2623=10,$AJ2623=11,$AJ2623=18),"①病院一般",IF($AJ2623=41,"②病院短期","対象外")),IF($AH2623=5,IF($AJ2623=30,"③特定消防","対象外"),IF(OR($AJ2623=10,$AJ2623=11,$AJ2623=74),"④一般",IF(OR($AJ2623=41,$AJ2623=47),"⑤短期","対象外"))))))</f>
      </c>
    </row>
    <row r="2624">
      <c r="DB2624" s="2909">
        <f>IF($A2624="","",IF($AE2624&amp;""&lt;&gt;'DB_設定'!$C$4,"対象外",IF($AH2624=20,IF(OR($AJ2624=10,$AJ2624=11,$AJ2624=18),"①病院一般",IF($AJ2624=41,"②病院短期","対象外")),IF($AH2624=5,IF($AJ2624=30,"③特定消防","対象外"),IF(OR($AJ2624=10,$AJ2624=11,$AJ2624=74),"④一般",IF(OR($AJ2624=41,$AJ2624=47),"⑤短期","対象外"))))))</f>
      </c>
    </row>
    <row r="2625">
      <c r="DB2625" s="2909">
        <f>IF($A2625="","",IF($AE2625&amp;""&lt;&gt;'DB_設定'!$C$4,"対象外",IF($AH2625=20,IF(OR($AJ2625=10,$AJ2625=11,$AJ2625=18),"①病院一般",IF($AJ2625=41,"②病院短期","対象外")),IF($AH2625=5,IF($AJ2625=30,"③特定消防","対象外"),IF(OR($AJ2625=10,$AJ2625=11,$AJ2625=74),"④一般",IF(OR($AJ2625=41,$AJ2625=47),"⑤短期","対象外"))))))</f>
      </c>
    </row>
    <row r="2626">
      <c r="DB2626" s="2909">
        <f>IF($A2626="","",IF($AE2626&amp;""&lt;&gt;'DB_設定'!$C$4,"対象外",IF($AH2626=20,IF(OR($AJ2626=10,$AJ2626=11,$AJ2626=18),"①病院一般",IF($AJ2626=41,"②病院短期","対象外")),IF($AH2626=5,IF($AJ2626=30,"③特定消防","対象外"),IF(OR($AJ2626=10,$AJ2626=11,$AJ2626=74),"④一般",IF(OR($AJ2626=41,$AJ2626=47),"⑤短期","対象外"))))))</f>
      </c>
    </row>
    <row r="2627">
      <c r="DB2627" s="2909">
        <f>IF($A2627="","",IF($AE2627&amp;""&lt;&gt;'DB_設定'!$C$4,"対象外",IF($AH2627=20,IF(OR($AJ2627=10,$AJ2627=11,$AJ2627=18),"①病院一般",IF($AJ2627=41,"②病院短期","対象外")),IF($AH2627=5,IF($AJ2627=30,"③特定消防","対象外"),IF(OR($AJ2627=10,$AJ2627=11,$AJ2627=74),"④一般",IF(OR($AJ2627=41,$AJ2627=47),"⑤短期","対象外"))))))</f>
      </c>
    </row>
    <row r="2628">
      <c r="DB2628" s="2909">
        <f>IF($A2628="","",IF($AE2628&amp;""&lt;&gt;'DB_設定'!$C$4,"対象外",IF($AH2628=20,IF(OR($AJ2628=10,$AJ2628=11,$AJ2628=18),"①病院一般",IF($AJ2628=41,"②病院短期","対象外")),IF($AH2628=5,IF($AJ2628=30,"③特定消防","対象外"),IF(OR($AJ2628=10,$AJ2628=11,$AJ2628=74),"④一般",IF(OR($AJ2628=41,$AJ2628=47),"⑤短期","対象外"))))))</f>
      </c>
    </row>
    <row r="2629">
      <c r="DB2629" s="2909">
        <f>IF($A2629="","",IF($AE2629&amp;""&lt;&gt;'DB_設定'!$C$4,"対象外",IF($AH2629=20,IF(OR($AJ2629=10,$AJ2629=11,$AJ2629=18),"①病院一般",IF($AJ2629=41,"②病院短期","対象外")),IF($AH2629=5,IF($AJ2629=30,"③特定消防","対象外"),IF(OR($AJ2629=10,$AJ2629=11,$AJ2629=74),"④一般",IF(OR($AJ2629=41,$AJ2629=47),"⑤短期","対象外"))))))</f>
      </c>
    </row>
    <row r="2630">
      <c r="DB2630" s="2909">
        <f>IF($A2630="","",IF($AE2630&amp;""&lt;&gt;'DB_設定'!$C$4,"対象外",IF($AH2630=20,IF(OR($AJ2630=10,$AJ2630=11,$AJ2630=18),"①病院一般",IF($AJ2630=41,"②病院短期","対象外")),IF($AH2630=5,IF($AJ2630=30,"③特定消防","対象外"),IF(OR($AJ2630=10,$AJ2630=11,$AJ2630=74),"④一般",IF(OR($AJ2630=41,$AJ2630=47),"⑤短期","対象外"))))))</f>
      </c>
    </row>
    <row r="2631">
      <c r="DB2631" s="2909">
        <f>IF($A2631="","",IF($AE2631&amp;""&lt;&gt;'DB_設定'!$C$4,"対象外",IF($AH2631=20,IF(OR($AJ2631=10,$AJ2631=11,$AJ2631=18),"①病院一般",IF($AJ2631=41,"②病院短期","対象外")),IF($AH2631=5,IF($AJ2631=30,"③特定消防","対象外"),IF(OR($AJ2631=10,$AJ2631=11,$AJ2631=74),"④一般",IF(OR($AJ2631=41,$AJ2631=47),"⑤短期","対象外"))))))</f>
      </c>
    </row>
    <row r="2632">
      <c r="DB2632" s="2909">
        <f>IF($A2632="","",IF($AE2632&amp;""&lt;&gt;'DB_設定'!$C$4,"対象外",IF($AH2632=20,IF(OR($AJ2632=10,$AJ2632=11,$AJ2632=18),"①病院一般",IF($AJ2632=41,"②病院短期","対象外")),IF($AH2632=5,IF($AJ2632=30,"③特定消防","対象外"),IF(OR($AJ2632=10,$AJ2632=11,$AJ2632=74),"④一般",IF(OR($AJ2632=41,$AJ2632=47),"⑤短期","対象外"))))))</f>
      </c>
    </row>
    <row r="2633">
      <c r="DB2633" s="2909">
        <f>IF($A2633="","",IF($AE2633&amp;""&lt;&gt;'DB_設定'!$C$4,"対象外",IF($AH2633=20,IF(OR($AJ2633=10,$AJ2633=11,$AJ2633=18),"①病院一般",IF($AJ2633=41,"②病院短期","対象外")),IF($AH2633=5,IF($AJ2633=30,"③特定消防","対象外"),IF(OR($AJ2633=10,$AJ2633=11,$AJ2633=74),"④一般",IF(OR($AJ2633=41,$AJ2633=47),"⑤短期","対象外"))))))</f>
      </c>
    </row>
    <row r="2634">
      <c r="DB2634" s="2909">
        <f>IF($A2634="","",IF($AE2634&amp;""&lt;&gt;'DB_設定'!$C$4,"対象外",IF($AH2634=20,IF(OR($AJ2634=10,$AJ2634=11,$AJ2634=18),"①病院一般",IF($AJ2634=41,"②病院短期","対象外")),IF($AH2634=5,IF($AJ2634=30,"③特定消防","対象外"),IF(OR($AJ2634=10,$AJ2634=11,$AJ2634=74),"④一般",IF(OR($AJ2634=41,$AJ2634=47),"⑤短期","対象外"))))))</f>
      </c>
    </row>
    <row r="2635">
      <c r="DB2635" s="2909">
        <f>IF($A2635="","",IF($AE2635&amp;""&lt;&gt;'DB_設定'!$C$4,"対象外",IF($AH2635=20,IF(OR($AJ2635=10,$AJ2635=11,$AJ2635=18),"①病院一般",IF($AJ2635=41,"②病院短期","対象外")),IF($AH2635=5,IF($AJ2635=30,"③特定消防","対象外"),IF(OR($AJ2635=10,$AJ2635=11,$AJ2635=74),"④一般",IF(OR($AJ2635=41,$AJ2635=47),"⑤短期","対象外"))))))</f>
      </c>
    </row>
    <row r="2636">
      <c r="DB2636" s="2909">
        <f>IF($A2636="","",IF($AE2636&amp;""&lt;&gt;'DB_設定'!$C$4,"対象外",IF($AH2636=20,IF(OR($AJ2636=10,$AJ2636=11,$AJ2636=18),"①病院一般",IF($AJ2636=41,"②病院短期","対象外")),IF($AH2636=5,IF($AJ2636=30,"③特定消防","対象外"),IF(OR($AJ2636=10,$AJ2636=11,$AJ2636=74),"④一般",IF(OR($AJ2636=41,$AJ2636=47),"⑤短期","対象外"))))))</f>
      </c>
    </row>
    <row r="2637">
      <c r="DB2637" s="2909">
        <f>IF($A2637="","",IF($AE2637&amp;""&lt;&gt;'DB_設定'!$C$4,"対象外",IF($AH2637=20,IF(OR($AJ2637=10,$AJ2637=11,$AJ2637=18),"①病院一般",IF($AJ2637=41,"②病院短期","対象外")),IF($AH2637=5,IF($AJ2637=30,"③特定消防","対象外"),IF(OR($AJ2637=10,$AJ2637=11,$AJ2637=74),"④一般",IF(OR($AJ2637=41,$AJ2637=47),"⑤短期","対象外"))))))</f>
      </c>
    </row>
    <row r="2638">
      <c r="DB2638" s="2909">
        <f>IF($A2638="","",IF($AE2638&amp;""&lt;&gt;'DB_設定'!$C$4,"対象外",IF($AH2638=20,IF(OR($AJ2638=10,$AJ2638=11,$AJ2638=18),"①病院一般",IF($AJ2638=41,"②病院短期","対象外")),IF($AH2638=5,IF($AJ2638=30,"③特定消防","対象外"),IF(OR($AJ2638=10,$AJ2638=11,$AJ2638=74),"④一般",IF(OR($AJ2638=41,$AJ2638=47),"⑤短期","対象外"))))))</f>
      </c>
    </row>
    <row r="2639">
      <c r="DB2639" s="2909">
        <f>IF($A2639="","",IF($AE2639&amp;""&lt;&gt;'DB_設定'!$C$4,"対象外",IF($AH2639=20,IF(OR($AJ2639=10,$AJ2639=11,$AJ2639=18),"①病院一般",IF($AJ2639=41,"②病院短期","対象外")),IF($AH2639=5,IF($AJ2639=30,"③特定消防","対象外"),IF(OR($AJ2639=10,$AJ2639=11,$AJ2639=74),"④一般",IF(OR($AJ2639=41,$AJ2639=47),"⑤短期","対象外"))))))</f>
      </c>
    </row>
    <row r="2640">
      <c r="DB2640" s="2909">
        <f>IF($A2640="","",IF($AE2640&amp;""&lt;&gt;'DB_設定'!$C$4,"対象外",IF($AH2640=20,IF(OR($AJ2640=10,$AJ2640=11,$AJ2640=18),"①病院一般",IF($AJ2640=41,"②病院短期","対象外")),IF($AH2640=5,IF($AJ2640=30,"③特定消防","対象外"),IF(OR($AJ2640=10,$AJ2640=11,$AJ2640=74),"④一般",IF(OR($AJ2640=41,$AJ2640=47),"⑤短期","対象外"))))))</f>
      </c>
    </row>
    <row r="2641">
      <c r="DB2641" s="2909">
        <f>IF($A2641="","",IF($AE2641&amp;""&lt;&gt;'DB_設定'!$C$4,"対象外",IF($AH2641=20,IF(OR($AJ2641=10,$AJ2641=11,$AJ2641=18),"①病院一般",IF($AJ2641=41,"②病院短期","対象外")),IF($AH2641=5,IF($AJ2641=30,"③特定消防","対象外"),IF(OR($AJ2641=10,$AJ2641=11,$AJ2641=74),"④一般",IF(OR($AJ2641=41,$AJ2641=47),"⑤短期","対象外"))))))</f>
      </c>
    </row>
    <row r="2642">
      <c r="DB2642" s="2909">
        <f>IF($A2642="","",IF($AE2642&amp;""&lt;&gt;'DB_設定'!$C$4,"対象外",IF($AH2642=20,IF(OR($AJ2642=10,$AJ2642=11,$AJ2642=18),"①病院一般",IF($AJ2642=41,"②病院短期","対象外")),IF($AH2642=5,IF($AJ2642=30,"③特定消防","対象外"),IF(OR($AJ2642=10,$AJ2642=11,$AJ2642=74),"④一般",IF(OR($AJ2642=41,$AJ2642=47),"⑤短期","対象外"))))))</f>
      </c>
    </row>
    <row r="2643">
      <c r="DB2643" s="2909">
        <f>IF($A2643="","",IF($AE2643&amp;""&lt;&gt;'DB_設定'!$C$4,"対象外",IF($AH2643=20,IF(OR($AJ2643=10,$AJ2643=11,$AJ2643=18),"①病院一般",IF($AJ2643=41,"②病院短期","対象外")),IF($AH2643=5,IF($AJ2643=30,"③特定消防","対象外"),IF(OR($AJ2643=10,$AJ2643=11,$AJ2643=74),"④一般",IF(OR($AJ2643=41,$AJ2643=47),"⑤短期","対象外"))))))</f>
      </c>
    </row>
    <row r="2644">
      <c r="DB2644" s="2909">
        <f>IF($A2644="","",IF($AE2644&amp;""&lt;&gt;'DB_設定'!$C$4,"対象外",IF($AH2644=20,IF(OR($AJ2644=10,$AJ2644=11,$AJ2644=18),"①病院一般",IF($AJ2644=41,"②病院短期","対象外")),IF($AH2644=5,IF($AJ2644=30,"③特定消防","対象外"),IF(OR($AJ2644=10,$AJ2644=11,$AJ2644=74),"④一般",IF(OR($AJ2644=41,$AJ2644=47),"⑤短期","対象外"))))))</f>
      </c>
    </row>
    <row r="2645">
      <c r="DB2645" s="2909">
        <f>IF($A2645="","",IF($AE2645&amp;""&lt;&gt;'DB_設定'!$C$4,"対象外",IF($AH2645=20,IF(OR($AJ2645=10,$AJ2645=11,$AJ2645=18),"①病院一般",IF($AJ2645=41,"②病院短期","対象外")),IF($AH2645=5,IF($AJ2645=30,"③特定消防","対象外"),IF(OR($AJ2645=10,$AJ2645=11,$AJ2645=74),"④一般",IF(OR($AJ2645=41,$AJ2645=47),"⑤短期","対象外"))))))</f>
      </c>
    </row>
    <row r="2646">
      <c r="DB2646" s="2909">
        <f>IF($A2646="","",IF($AE2646&amp;""&lt;&gt;'DB_設定'!$C$4,"対象外",IF($AH2646=20,IF(OR($AJ2646=10,$AJ2646=11,$AJ2646=18),"①病院一般",IF($AJ2646=41,"②病院短期","対象外")),IF($AH2646=5,IF($AJ2646=30,"③特定消防","対象外"),IF(OR($AJ2646=10,$AJ2646=11,$AJ2646=74),"④一般",IF(OR($AJ2646=41,$AJ2646=47),"⑤短期","対象外"))))))</f>
      </c>
    </row>
    <row r="2647">
      <c r="DB2647" s="2909">
        <f>IF($A2647="","",IF($AE2647&amp;""&lt;&gt;'DB_設定'!$C$4,"対象外",IF($AH2647=20,IF(OR($AJ2647=10,$AJ2647=11,$AJ2647=18),"①病院一般",IF($AJ2647=41,"②病院短期","対象外")),IF($AH2647=5,IF($AJ2647=30,"③特定消防","対象外"),IF(OR($AJ2647=10,$AJ2647=11,$AJ2647=74),"④一般",IF(OR($AJ2647=41,$AJ2647=47),"⑤短期","対象外"))))))</f>
      </c>
    </row>
    <row r="2648">
      <c r="DB2648" s="2909">
        <f>IF($A2648="","",IF($AE2648&amp;""&lt;&gt;'DB_設定'!$C$4,"対象外",IF($AH2648=20,IF(OR($AJ2648=10,$AJ2648=11,$AJ2648=18),"①病院一般",IF($AJ2648=41,"②病院短期","対象外")),IF($AH2648=5,IF($AJ2648=30,"③特定消防","対象外"),IF(OR($AJ2648=10,$AJ2648=11,$AJ2648=74),"④一般",IF(OR($AJ2648=41,$AJ2648=47),"⑤短期","対象外"))))))</f>
      </c>
    </row>
    <row r="2649">
      <c r="DB2649" s="2909">
        <f>IF($A2649="","",IF($AE2649&amp;""&lt;&gt;'DB_設定'!$C$4,"対象外",IF($AH2649=20,IF(OR($AJ2649=10,$AJ2649=11,$AJ2649=18),"①病院一般",IF($AJ2649=41,"②病院短期","対象外")),IF($AH2649=5,IF($AJ2649=30,"③特定消防","対象外"),IF(OR($AJ2649=10,$AJ2649=11,$AJ2649=74),"④一般",IF(OR($AJ2649=41,$AJ2649=47),"⑤短期","対象外"))))))</f>
      </c>
    </row>
    <row r="2650">
      <c r="DB2650" s="2909">
        <f>IF($A2650="","",IF($AE2650&amp;""&lt;&gt;'DB_設定'!$C$4,"対象外",IF($AH2650=20,IF(OR($AJ2650=10,$AJ2650=11,$AJ2650=18),"①病院一般",IF($AJ2650=41,"②病院短期","対象外")),IF($AH2650=5,IF($AJ2650=30,"③特定消防","対象外"),IF(OR($AJ2650=10,$AJ2650=11,$AJ2650=74),"④一般",IF(OR($AJ2650=41,$AJ2650=47),"⑤短期","対象外"))))))</f>
      </c>
    </row>
    <row r="2651">
      <c r="DB2651" s="2909">
        <f>IF($A2651="","",IF($AE2651&amp;""&lt;&gt;'DB_設定'!$C$4,"対象外",IF($AH2651=20,IF(OR($AJ2651=10,$AJ2651=11,$AJ2651=18),"①病院一般",IF($AJ2651=41,"②病院短期","対象外")),IF($AH2651=5,IF($AJ2651=30,"③特定消防","対象外"),IF(OR($AJ2651=10,$AJ2651=11,$AJ2651=74),"④一般",IF(OR($AJ2651=41,$AJ2651=47),"⑤短期","対象外"))))))</f>
      </c>
    </row>
    <row r="2652">
      <c r="DB2652" s="2909">
        <f>IF($A2652="","",IF($AE2652&amp;""&lt;&gt;'DB_設定'!$C$4,"対象外",IF($AH2652=20,IF(OR($AJ2652=10,$AJ2652=11,$AJ2652=18),"①病院一般",IF($AJ2652=41,"②病院短期","対象外")),IF($AH2652=5,IF($AJ2652=30,"③特定消防","対象外"),IF(OR($AJ2652=10,$AJ2652=11,$AJ2652=74),"④一般",IF(OR($AJ2652=41,$AJ2652=47),"⑤短期","対象外"))))))</f>
      </c>
    </row>
    <row r="2653">
      <c r="DB2653" s="2909">
        <f>IF($A2653="","",IF($AE2653&amp;""&lt;&gt;'DB_設定'!$C$4,"対象外",IF($AH2653=20,IF(OR($AJ2653=10,$AJ2653=11,$AJ2653=18),"①病院一般",IF($AJ2653=41,"②病院短期","対象外")),IF($AH2653=5,IF($AJ2653=30,"③特定消防","対象外"),IF(OR($AJ2653=10,$AJ2653=11,$AJ2653=74),"④一般",IF(OR($AJ2653=41,$AJ2653=47),"⑤短期","対象外"))))))</f>
      </c>
    </row>
    <row r="2654">
      <c r="DB2654" s="2909">
        <f>IF($A2654="","",IF($AE2654&amp;""&lt;&gt;'DB_設定'!$C$4,"対象外",IF($AH2654=20,IF(OR($AJ2654=10,$AJ2654=11,$AJ2654=18),"①病院一般",IF($AJ2654=41,"②病院短期","対象外")),IF($AH2654=5,IF($AJ2654=30,"③特定消防","対象外"),IF(OR($AJ2654=10,$AJ2654=11,$AJ2654=74),"④一般",IF(OR($AJ2654=41,$AJ2654=47),"⑤短期","対象外"))))))</f>
      </c>
    </row>
    <row r="2655">
      <c r="DB2655" s="2909">
        <f>IF($A2655="","",IF($AE2655&amp;""&lt;&gt;'DB_設定'!$C$4,"対象外",IF($AH2655=20,IF(OR($AJ2655=10,$AJ2655=11,$AJ2655=18),"①病院一般",IF($AJ2655=41,"②病院短期","対象外")),IF($AH2655=5,IF($AJ2655=30,"③特定消防","対象外"),IF(OR($AJ2655=10,$AJ2655=11,$AJ2655=74),"④一般",IF(OR($AJ2655=41,$AJ2655=47),"⑤短期","対象外"))))))</f>
      </c>
    </row>
    <row r="2656">
      <c r="DB2656" s="2909">
        <f>IF($A2656="","",IF($AE2656&amp;""&lt;&gt;'DB_設定'!$C$4,"対象外",IF($AH2656=20,IF(OR($AJ2656=10,$AJ2656=11,$AJ2656=18),"①病院一般",IF($AJ2656=41,"②病院短期","対象外")),IF($AH2656=5,IF($AJ2656=30,"③特定消防","対象外"),IF(OR($AJ2656=10,$AJ2656=11,$AJ2656=74),"④一般",IF(OR($AJ2656=41,$AJ2656=47),"⑤短期","対象外"))))))</f>
      </c>
    </row>
    <row r="2657">
      <c r="DB2657" s="2909">
        <f>IF($A2657="","",IF($AE2657&amp;""&lt;&gt;'DB_設定'!$C$4,"対象外",IF($AH2657=20,IF(OR($AJ2657=10,$AJ2657=11,$AJ2657=18),"①病院一般",IF($AJ2657=41,"②病院短期","対象外")),IF($AH2657=5,IF($AJ2657=30,"③特定消防","対象外"),IF(OR($AJ2657=10,$AJ2657=11,$AJ2657=74),"④一般",IF(OR($AJ2657=41,$AJ2657=47),"⑤短期","対象外"))))))</f>
      </c>
    </row>
    <row r="2658">
      <c r="DB2658" s="2909">
        <f>IF($A2658="","",IF($AE2658&amp;""&lt;&gt;'DB_設定'!$C$4,"対象外",IF($AH2658=20,IF(OR($AJ2658=10,$AJ2658=11,$AJ2658=18),"①病院一般",IF($AJ2658=41,"②病院短期","対象外")),IF($AH2658=5,IF($AJ2658=30,"③特定消防","対象外"),IF(OR($AJ2658=10,$AJ2658=11,$AJ2658=74),"④一般",IF(OR($AJ2658=41,$AJ2658=47),"⑤短期","対象外"))))))</f>
      </c>
    </row>
    <row r="2659">
      <c r="DB2659" s="2909">
        <f>IF($A2659="","",IF($AE2659&amp;""&lt;&gt;'DB_設定'!$C$4,"対象外",IF($AH2659=20,IF(OR($AJ2659=10,$AJ2659=11,$AJ2659=18),"①病院一般",IF($AJ2659=41,"②病院短期","対象外")),IF($AH2659=5,IF($AJ2659=30,"③特定消防","対象外"),IF(OR($AJ2659=10,$AJ2659=11,$AJ2659=74),"④一般",IF(OR($AJ2659=41,$AJ2659=47),"⑤短期","対象外"))))))</f>
      </c>
    </row>
    <row r="2660">
      <c r="DB2660" s="2909">
        <f>IF($A2660="","",IF($AE2660&amp;""&lt;&gt;'DB_設定'!$C$4,"対象外",IF($AH2660=20,IF(OR($AJ2660=10,$AJ2660=11,$AJ2660=18),"①病院一般",IF($AJ2660=41,"②病院短期","対象外")),IF($AH2660=5,IF($AJ2660=30,"③特定消防","対象外"),IF(OR($AJ2660=10,$AJ2660=11,$AJ2660=74),"④一般",IF(OR($AJ2660=41,$AJ2660=47),"⑤短期","対象外"))))))</f>
      </c>
    </row>
    <row r="2661">
      <c r="DB2661" s="2909">
        <f>IF($A2661="","",IF($AE2661&amp;""&lt;&gt;'DB_設定'!$C$4,"対象外",IF($AH2661=20,IF(OR($AJ2661=10,$AJ2661=11,$AJ2661=18),"①病院一般",IF($AJ2661=41,"②病院短期","対象外")),IF($AH2661=5,IF($AJ2661=30,"③特定消防","対象外"),IF(OR($AJ2661=10,$AJ2661=11,$AJ2661=74),"④一般",IF(OR($AJ2661=41,$AJ2661=47),"⑤短期","対象外"))))))</f>
      </c>
    </row>
    <row r="2662">
      <c r="DB2662" s="2909">
        <f>IF($A2662="","",IF($AE2662&amp;""&lt;&gt;'DB_設定'!$C$4,"対象外",IF($AH2662=20,IF(OR($AJ2662=10,$AJ2662=11,$AJ2662=18),"①病院一般",IF($AJ2662=41,"②病院短期","対象外")),IF($AH2662=5,IF($AJ2662=30,"③特定消防","対象外"),IF(OR($AJ2662=10,$AJ2662=11,$AJ2662=74),"④一般",IF(OR($AJ2662=41,$AJ2662=47),"⑤短期","対象外"))))))</f>
      </c>
    </row>
    <row r="2663">
      <c r="DB2663" s="2909">
        <f>IF($A2663="","",IF($AE2663&amp;""&lt;&gt;'DB_設定'!$C$4,"対象外",IF($AH2663=20,IF(OR($AJ2663=10,$AJ2663=11,$AJ2663=18),"①病院一般",IF($AJ2663=41,"②病院短期","対象外")),IF($AH2663=5,IF($AJ2663=30,"③特定消防","対象外"),IF(OR($AJ2663=10,$AJ2663=11,$AJ2663=74),"④一般",IF(OR($AJ2663=41,$AJ2663=47),"⑤短期","対象外"))))))</f>
      </c>
    </row>
    <row r="2664">
      <c r="DB2664" s="2909">
        <f>IF($A2664="","",IF($AE2664&amp;""&lt;&gt;'DB_設定'!$C$4,"対象外",IF($AH2664=20,IF(OR($AJ2664=10,$AJ2664=11,$AJ2664=18),"①病院一般",IF($AJ2664=41,"②病院短期","対象外")),IF($AH2664=5,IF($AJ2664=30,"③特定消防","対象外"),IF(OR($AJ2664=10,$AJ2664=11,$AJ2664=74),"④一般",IF(OR($AJ2664=41,$AJ2664=47),"⑤短期","対象外"))))))</f>
      </c>
    </row>
    <row r="2665">
      <c r="DB2665" s="2909">
        <f>IF($A2665="","",IF($AE2665&amp;""&lt;&gt;'DB_設定'!$C$4,"対象外",IF($AH2665=20,IF(OR($AJ2665=10,$AJ2665=11,$AJ2665=18),"①病院一般",IF($AJ2665=41,"②病院短期","対象外")),IF($AH2665=5,IF($AJ2665=30,"③特定消防","対象外"),IF(OR($AJ2665=10,$AJ2665=11,$AJ2665=74),"④一般",IF(OR($AJ2665=41,$AJ2665=47),"⑤短期","対象外"))))))</f>
      </c>
    </row>
    <row r="2666">
      <c r="DB2666" s="2909">
        <f>IF($A2666="","",IF($AE2666&amp;""&lt;&gt;'DB_設定'!$C$4,"対象外",IF($AH2666=20,IF(OR($AJ2666=10,$AJ2666=11,$AJ2666=18),"①病院一般",IF($AJ2666=41,"②病院短期","対象外")),IF($AH2666=5,IF($AJ2666=30,"③特定消防","対象外"),IF(OR($AJ2666=10,$AJ2666=11,$AJ2666=74),"④一般",IF(OR($AJ2666=41,$AJ2666=47),"⑤短期","対象外"))))))</f>
      </c>
    </row>
    <row r="2667">
      <c r="DB2667" s="2909">
        <f>IF($A2667="","",IF($AE2667&amp;""&lt;&gt;'DB_設定'!$C$4,"対象外",IF($AH2667=20,IF(OR($AJ2667=10,$AJ2667=11,$AJ2667=18),"①病院一般",IF($AJ2667=41,"②病院短期","対象外")),IF($AH2667=5,IF($AJ2667=30,"③特定消防","対象外"),IF(OR($AJ2667=10,$AJ2667=11,$AJ2667=74),"④一般",IF(OR($AJ2667=41,$AJ2667=47),"⑤短期","対象外"))))))</f>
      </c>
    </row>
    <row r="2668">
      <c r="DB2668" s="2909">
        <f>IF($A2668="","",IF($AE2668&amp;""&lt;&gt;'DB_設定'!$C$4,"対象外",IF($AH2668=20,IF(OR($AJ2668=10,$AJ2668=11,$AJ2668=18),"①病院一般",IF($AJ2668=41,"②病院短期","対象外")),IF($AH2668=5,IF($AJ2668=30,"③特定消防","対象外"),IF(OR($AJ2668=10,$AJ2668=11,$AJ2668=74),"④一般",IF(OR($AJ2668=41,$AJ2668=47),"⑤短期","対象外"))))))</f>
      </c>
    </row>
    <row r="2669">
      <c r="DB2669" s="2909">
        <f>IF($A2669="","",IF($AE2669&amp;""&lt;&gt;'DB_設定'!$C$4,"対象外",IF($AH2669=20,IF(OR($AJ2669=10,$AJ2669=11,$AJ2669=18),"①病院一般",IF($AJ2669=41,"②病院短期","対象外")),IF($AH2669=5,IF($AJ2669=30,"③特定消防","対象外"),IF(OR($AJ2669=10,$AJ2669=11,$AJ2669=74),"④一般",IF(OR($AJ2669=41,$AJ2669=47),"⑤短期","対象外"))))))</f>
      </c>
    </row>
    <row r="2670">
      <c r="DB2670" s="2909">
        <f>IF($A2670="","",IF($AE2670&amp;""&lt;&gt;'DB_設定'!$C$4,"対象外",IF($AH2670=20,IF(OR($AJ2670=10,$AJ2670=11,$AJ2670=18),"①病院一般",IF($AJ2670=41,"②病院短期","対象外")),IF($AH2670=5,IF($AJ2670=30,"③特定消防","対象外"),IF(OR($AJ2670=10,$AJ2670=11,$AJ2670=74),"④一般",IF(OR($AJ2670=41,$AJ2670=47),"⑤短期","対象外"))))))</f>
      </c>
    </row>
    <row r="2671">
      <c r="DB2671" s="2909">
        <f>IF($A2671="","",IF($AE2671&amp;""&lt;&gt;'DB_設定'!$C$4,"対象外",IF($AH2671=20,IF(OR($AJ2671=10,$AJ2671=11,$AJ2671=18),"①病院一般",IF($AJ2671=41,"②病院短期","対象外")),IF($AH2671=5,IF($AJ2671=30,"③特定消防","対象外"),IF(OR($AJ2671=10,$AJ2671=11,$AJ2671=74),"④一般",IF(OR($AJ2671=41,$AJ2671=47),"⑤短期","対象外"))))))</f>
      </c>
    </row>
    <row r="2672">
      <c r="DB2672" s="2909">
        <f>IF($A2672="","",IF($AE2672&amp;""&lt;&gt;'DB_設定'!$C$4,"対象外",IF($AH2672=20,IF(OR($AJ2672=10,$AJ2672=11,$AJ2672=18),"①病院一般",IF($AJ2672=41,"②病院短期","対象外")),IF($AH2672=5,IF($AJ2672=30,"③特定消防","対象外"),IF(OR($AJ2672=10,$AJ2672=11,$AJ2672=74),"④一般",IF(OR($AJ2672=41,$AJ2672=47),"⑤短期","対象外"))))))</f>
      </c>
    </row>
    <row r="2673">
      <c r="DB2673" s="2909">
        <f>IF($A2673="","",IF($AE2673&amp;""&lt;&gt;'DB_設定'!$C$4,"対象外",IF($AH2673=20,IF(OR($AJ2673=10,$AJ2673=11,$AJ2673=18),"①病院一般",IF($AJ2673=41,"②病院短期","対象外")),IF($AH2673=5,IF($AJ2673=30,"③特定消防","対象外"),IF(OR($AJ2673=10,$AJ2673=11,$AJ2673=74),"④一般",IF(OR($AJ2673=41,$AJ2673=47),"⑤短期","対象外"))))))</f>
      </c>
    </row>
    <row r="2674">
      <c r="DB2674" s="2909">
        <f>IF($A2674="","",IF($AE2674&amp;""&lt;&gt;'DB_設定'!$C$4,"対象外",IF($AH2674=20,IF(OR($AJ2674=10,$AJ2674=11,$AJ2674=18),"①病院一般",IF($AJ2674=41,"②病院短期","対象外")),IF($AH2674=5,IF($AJ2674=30,"③特定消防","対象外"),IF(OR($AJ2674=10,$AJ2674=11,$AJ2674=74),"④一般",IF(OR($AJ2674=41,$AJ2674=47),"⑤短期","対象外"))))))</f>
      </c>
    </row>
    <row r="2675">
      <c r="DB2675" s="2909">
        <f>IF($A2675="","",IF($AE2675&amp;""&lt;&gt;'DB_設定'!$C$4,"対象外",IF($AH2675=20,IF(OR($AJ2675=10,$AJ2675=11,$AJ2675=18),"①病院一般",IF($AJ2675=41,"②病院短期","対象外")),IF($AH2675=5,IF($AJ2675=30,"③特定消防","対象外"),IF(OR($AJ2675=10,$AJ2675=11,$AJ2675=74),"④一般",IF(OR($AJ2675=41,$AJ2675=47),"⑤短期","対象外"))))))</f>
      </c>
    </row>
    <row r="2676">
      <c r="DB2676" s="2909">
        <f>IF($A2676="","",IF($AE2676&amp;""&lt;&gt;'DB_設定'!$C$4,"対象外",IF($AH2676=20,IF(OR($AJ2676=10,$AJ2676=11,$AJ2676=18),"①病院一般",IF($AJ2676=41,"②病院短期","対象外")),IF($AH2676=5,IF($AJ2676=30,"③特定消防","対象外"),IF(OR($AJ2676=10,$AJ2676=11,$AJ2676=74),"④一般",IF(OR($AJ2676=41,$AJ2676=47),"⑤短期","対象外"))))))</f>
      </c>
    </row>
    <row r="2677">
      <c r="DB2677" s="2909">
        <f>IF($A2677="","",IF($AE2677&amp;""&lt;&gt;'DB_設定'!$C$4,"対象外",IF($AH2677=20,IF(OR($AJ2677=10,$AJ2677=11,$AJ2677=18),"①病院一般",IF($AJ2677=41,"②病院短期","対象外")),IF($AH2677=5,IF($AJ2677=30,"③特定消防","対象外"),IF(OR($AJ2677=10,$AJ2677=11,$AJ2677=74),"④一般",IF(OR($AJ2677=41,$AJ2677=47),"⑤短期","対象外"))))))</f>
      </c>
    </row>
    <row r="2678">
      <c r="DB2678" s="2909">
        <f>IF($A2678="","",IF($AE2678&amp;""&lt;&gt;'DB_設定'!$C$4,"対象外",IF($AH2678=20,IF(OR($AJ2678=10,$AJ2678=11,$AJ2678=18),"①病院一般",IF($AJ2678=41,"②病院短期","対象外")),IF($AH2678=5,IF($AJ2678=30,"③特定消防","対象外"),IF(OR($AJ2678=10,$AJ2678=11,$AJ2678=74),"④一般",IF(OR($AJ2678=41,$AJ2678=47),"⑤短期","対象外"))))))</f>
      </c>
    </row>
    <row r="2679">
      <c r="DB2679" s="2909">
        <f>IF($A2679="","",IF($AE2679&amp;""&lt;&gt;'DB_設定'!$C$4,"対象外",IF($AH2679=20,IF(OR($AJ2679=10,$AJ2679=11,$AJ2679=18),"①病院一般",IF($AJ2679=41,"②病院短期","対象外")),IF($AH2679=5,IF($AJ2679=30,"③特定消防","対象外"),IF(OR($AJ2679=10,$AJ2679=11,$AJ2679=74),"④一般",IF(OR($AJ2679=41,$AJ2679=47),"⑤短期","対象外"))))))</f>
      </c>
    </row>
    <row r="2680">
      <c r="DB2680" s="2909">
        <f>IF($A2680="","",IF($AE2680&amp;""&lt;&gt;'DB_設定'!$C$4,"対象外",IF($AH2680=20,IF(OR($AJ2680=10,$AJ2680=11,$AJ2680=18),"①病院一般",IF($AJ2680=41,"②病院短期","対象外")),IF($AH2680=5,IF($AJ2680=30,"③特定消防","対象外"),IF(OR($AJ2680=10,$AJ2680=11,$AJ2680=74),"④一般",IF(OR($AJ2680=41,$AJ2680=47),"⑤短期","対象外"))))))</f>
      </c>
    </row>
    <row r="2681">
      <c r="DB2681" s="2909">
        <f>IF($A2681="","",IF($AE2681&amp;""&lt;&gt;'DB_設定'!$C$4,"対象外",IF($AH2681=20,IF(OR($AJ2681=10,$AJ2681=11,$AJ2681=18),"①病院一般",IF($AJ2681=41,"②病院短期","対象外")),IF($AH2681=5,IF($AJ2681=30,"③特定消防","対象外"),IF(OR($AJ2681=10,$AJ2681=11,$AJ2681=74),"④一般",IF(OR($AJ2681=41,$AJ2681=47),"⑤短期","対象外"))))))</f>
      </c>
    </row>
    <row r="2682">
      <c r="DB2682" s="2909">
        <f>IF($A2682="","",IF($AE2682&amp;""&lt;&gt;'DB_設定'!$C$4,"対象外",IF($AH2682=20,IF(OR($AJ2682=10,$AJ2682=11,$AJ2682=18),"①病院一般",IF($AJ2682=41,"②病院短期","対象外")),IF($AH2682=5,IF($AJ2682=30,"③特定消防","対象外"),IF(OR($AJ2682=10,$AJ2682=11,$AJ2682=74),"④一般",IF(OR($AJ2682=41,$AJ2682=47),"⑤短期","対象外"))))))</f>
      </c>
    </row>
    <row r="2683">
      <c r="DB2683" s="2909">
        <f>IF($A2683="","",IF($AE2683&amp;""&lt;&gt;'DB_設定'!$C$4,"対象外",IF($AH2683=20,IF(OR($AJ2683=10,$AJ2683=11,$AJ2683=18),"①病院一般",IF($AJ2683=41,"②病院短期","対象外")),IF($AH2683=5,IF($AJ2683=30,"③特定消防","対象外"),IF(OR($AJ2683=10,$AJ2683=11,$AJ2683=74),"④一般",IF(OR($AJ2683=41,$AJ2683=47),"⑤短期","対象外"))))))</f>
      </c>
    </row>
    <row r="2684">
      <c r="DB2684" s="2909">
        <f>IF($A2684="","",IF($AE2684&amp;""&lt;&gt;'DB_設定'!$C$4,"対象外",IF($AH2684=20,IF(OR($AJ2684=10,$AJ2684=11,$AJ2684=18),"①病院一般",IF($AJ2684=41,"②病院短期","対象外")),IF($AH2684=5,IF($AJ2684=30,"③特定消防","対象外"),IF(OR($AJ2684=10,$AJ2684=11,$AJ2684=74),"④一般",IF(OR($AJ2684=41,$AJ2684=47),"⑤短期","対象外"))))))</f>
      </c>
    </row>
    <row r="2685">
      <c r="DB2685" s="2909">
        <f>IF($A2685="","",IF($AE2685&amp;""&lt;&gt;'DB_設定'!$C$4,"対象外",IF($AH2685=20,IF(OR($AJ2685=10,$AJ2685=11,$AJ2685=18),"①病院一般",IF($AJ2685=41,"②病院短期","対象外")),IF($AH2685=5,IF($AJ2685=30,"③特定消防","対象外"),IF(OR($AJ2685=10,$AJ2685=11,$AJ2685=74),"④一般",IF(OR($AJ2685=41,$AJ2685=47),"⑤短期","対象外"))))))</f>
      </c>
    </row>
    <row r="2686">
      <c r="DB2686" s="2909">
        <f>IF($A2686="","",IF($AE2686&amp;""&lt;&gt;'DB_設定'!$C$4,"対象外",IF($AH2686=20,IF(OR($AJ2686=10,$AJ2686=11,$AJ2686=18),"①病院一般",IF($AJ2686=41,"②病院短期","対象外")),IF($AH2686=5,IF($AJ2686=30,"③特定消防","対象外"),IF(OR($AJ2686=10,$AJ2686=11,$AJ2686=74),"④一般",IF(OR($AJ2686=41,$AJ2686=47),"⑤短期","対象外"))))))</f>
      </c>
    </row>
    <row r="2687">
      <c r="DB2687" s="2909">
        <f>IF($A2687="","",IF($AE2687&amp;""&lt;&gt;'DB_設定'!$C$4,"対象外",IF($AH2687=20,IF(OR($AJ2687=10,$AJ2687=11,$AJ2687=18),"①病院一般",IF($AJ2687=41,"②病院短期","対象外")),IF($AH2687=5,IF($AJ2687=30,"③特定消防","対象外"),IF(OR($AJ2687=10,$AJ2687=11,$AJ2687=74),"④一般",IF(OR($AJ2687=41,$AJ2687=47),"⑤短期","対象外"))))))</f>
      </c>
    </row>
    <row r="2688">
      <c r="DB2688" s="2909">
        <f>IF($A2688="","",IF($AE2688&amp;""&lt;&gt;'DB_設定'!$C$4,"対象外",IF($AH2688=20,IF(OR($AJ2688=10,$AJ2688=11,$AJ2688=18),"①病院一般",IF($AJ2688=41,"②病院短期","対象外")),IF($AH2688=5,IF($AJ2688=30,"③特定消防","対象外"),IF(OR($AJ2688=10,$AJ2688=11,$AJ2688=74),"④一般",IF(OR($AJ2688=41,$AJ2688=47),"⑤短期","対象外"))))))</f>
      </c>
    </row>
    <row r="2689">
      <c r="DB2689" s="2909">
        <f>IF($A2689="","",IF($AE2689&amp;""&lt;&gt;'DB_設定'!$C$4,"対象外",IF($AH2689=20,IF(OR($AJ2689=10,$AJ2689=11,$AJ2689=18),"①病院一般",IF($AJ2689=41,"②病院短期","対象外")),IF($AH2689=5,IF($AJ2689=30,"③特定消防","対象外"),IF(OR($AJ2689=10,$AJ2689=11,$AJ2689=74),"④一般",IF(OR($AJ2689=41,$AJ2689=47),"⑤短期","対象外"))))))</f>
      </c>
    </row>
    <row r="2690">
      <c r="DB2690" s="2909">
        <f>IF($A2690="","",IF($AE2690&amp;""&lt;&gt;'DB_設定'!$C$4,"対象外",IF($AH2690=20,IF(OR($AJ2690=10,$AJ2690=11,$AJ2690=18),"①病院一般",IF($AJ2690=41,"②病院短期","対象外")),IF($AH2690=5,IF($AJ2690=30,"③特定消防","対象外"),IF(OR($AJ2690=10,$AJ2690=11,$AJ2690=74),"④一般",IF(OR($AJ2690=41,$AJ2690=47),"⑤短期","対象外"))))))</f>
      </c>
    </row>
    <row r="2691">
      <c r="DB2691" s="2909">
        <f>IF($A2691="","",IF($AE2691&amp;""&lt;&gt;'DB_設定'!$C$4,"対象外",IF($AH2691=20,IF(OR($AJ2691=10,$AJ2691=11,$AJ2691=18),"①病院一般",IF($AJ2691=41,"②病院短期","対象外")),IF($AH2691=5,IF($AJ2691=30,"③特定消防","対象外"),IF(OR($AJ2691=10,$AJ2691=11,$AJ2691=74),"④一般",IF(OR($AJ2691=41,$AJ2691=47),"⑤短期","対象外"))))))</f>
      </c>
    </row>
    <row r="2692">
      <c r="DB2692" s="2909">
        <f>IF($A2692="","",IF($AE2692&amp;""&lt;&gt;'DB_設定'!$C$4,"対象外",IF($AH2692=20,IF(OR($AJ2692=10,$AJ2692=11,$AJ2692=18),"①病院一般",IF($AJ2692=41,"②病院短期","対象外")),IF($AH2692=5,IF($AJ2692=30,"③特定消防","対象外"),IF(OR($AJ2692=10,$AJ2692=11,$AJ2692=74),"④一般",IF(OR($AJ2692=41,$AJ2692=47),"⑤短期","対象外"))))))</f>
      </c>
    </row>
    <row r="2693">
      <c r="DB2693" s="2909">
        <f>IF($A2693="","",IF($AE2693&amp;""&lt;&gt;'DB_設定'!$C$4,"対象外",IF($AH2693=20,IF(OR($AJ2693=10,$AJ2693=11,$AJ2693=18),"①病院一般",IF($AJ2693=41,"②病院短期","対象外")),IF($AH2693=5,IF($AJ2693=30,"③特定消防","対象外"),IF(OR($AJ2693=10,$AJ2693=11,$AJ2693=74),"④一般",IF(OR($AJ2693=41,$AJ2693=47),"⑤短期","対象外"))))))</f>
      </c>
    </row>
    <row r="2694">
      <c r="DB2694" s="2909">
        <f>IF($A2694="","",IF($AE2694&amp;""&lt;&gt;'DB_設定'!$C$4,"対象外",IF($AH2694=20,IF(OR($AJ2694=10,$AJ2694=11,$AJ2694=18),"①病院一般",IF($AJ2694=41,"②病院短期","対象外")),IF($AH2694=5,IF($AJ2694=30,"③特定消防","対象外"),IF(OR($AJ2694=10,$AJ2694=11,$AJ2694=74),"④一般",IF(OR($AJ2694=41,$AJ2694=47),"⑤短期","対象外"))))))</f>
      </c>
    </row>
    <row r="2695">
      <c r="DB2695" s="2909">
        <f>IF($A2695="","",IF($AE2695&amp;""&lt;&gt;'DB_設定'!$C$4,"対象外",IF($AH2695=20,IF(OR($AJ2695=10,$AJ2695=11,$AJ2695=18),"①病院一般",IF($AJ2695=41,"②病院短期","対象外")),IF($AH2695=5,IF($AJ2695=30,"③特定消防","対象外"),IF(OR($AJ2695=10,$AJ2695=11,$AJ2695=74),"④一般",IF(OR($AJ2695=41,$AJ2695=47),"⑤短期","対象外"))))))</f>
      </c>
    </row>
    <row r="2696">
      <c r="DB2696" s="2909">
        <f>IF($A2696="","",IF($AE2696&amp;""&lt;&gt;'DB_設定'!$C$4,"対象外",IF($AH2696=20,IF(OR($AJ2696=10,$AJ2696=11,$AJ2696=18),"①病院一般",IF($AJ2696=41,"②病院短期","対象外")),IF($AH2696=5,IF($AJ2696=30,"③特定消防","対象外"),IF(OR($AJ2696=10,$AJ2696=11,$AJ2696=74),"④一般",IF(OR($AJ2696=41,$AJ2696=47),"⑤短期","対象外"))))))</f>
      </c>
    </row>
    <row r="2697">
      <c r="DB2697" s="2909">
        <f>IF($A2697="","",IF($AE2697&amp;""&lt;&gt;'DB_設定'!$C$4,"対象外",IF($AH2697=20,IF(OR($AJ2697=10,$AJ2697=11,$AJ2697=18),"①病院一般",IF($AJ2697=41,"②病院短期","対象外")),IF($AH2697=5,IF($AJ2697=30,"③特定消防","対象外"),IF(OR($AJ2697=10,$AJ2697=11,$AJ2697=74),"④一般",IF(OR($AJ2697=41,$AJ2697=47),"⑤短期","対象外"))))))</f>
      </c>
    </row>
    <row r="2698">
      <c r="DB2698" s="2909">
        <f>IF($A2698="","",IF($AE2698&amp;""&lt;&gt;'DB_設定'!$C$4,"対象外",IF($AH2698=20,IF(OR($AJ2698=10,$AJ2698=11,$AJ2698=18),"①病院一般",IF($AJ2698=41,"②病院短期","対象外")),IF($AH2698=5,IF($AJ2698=30,"③特定消防","対象外"),IF(OR($AJ2698=10,$AJ2698=11,$AJ2698=74),"④一般",IF(OR($AJ2698=41,$AJ2698=47),"⑤短期","対象外"))))))</f>
      </c>
    </row>
    <row r="2699">
      <c r="DB2699" s="2909">
        <f>IF($A2699="","",IF($AE2699&amp;""&lt;&gt;'DB_設定'!$C$4,"対象外",IF($AH2699=20,IF(OR($AJ2699=10,$AJ2699=11,$AJ2699=18),"①病院一般",IF($AJ2699=41,"②病院短期","対象外")),IF($AH2699=5,IF($AJ2699=30,"③特定消防","対象外"),IF(OR($AJ2699=10,$AJ2699=11,$AJ2699=74),"④一般",IF(OR($AJ2699=41,$AJ2699=47),"⑤短期","対象外"))))))</f>
      </c>
    </row>
    <row r="2700">
      <c r="DB2700" s="2909">
        <f>IF($A2700="","",IF($AE2700&amp;""&lt;&gt;'DB_設定'!$C$4,"対象外",IF($AH2700=20,IF(OR($AJ2700=10,$AJ2700=11,$AJ2700=18),"①病院一般",IF($AJ2700=41,"②病院短期","対象外")),IF($AH2700=5,IF($AJ2700=30,"③特定消防","対象外"),IF(OR($AJ2700=10,$AJ2700=11,$AJ2700=74),"④一般",IF(OR($AJ2700=41,$AJ2700=47),"⑤短期","対象外"))))))</f>
      </c>
    </row>
    <row r="2701">
      <c r="DB2701" s="2909">
        <f>IF($A2701="","",IF($AE2701&amp;""&lt;&gt;'DB_設定'!$C$4,"対象外",IF($AH2701=20,IF(OR($AJ2701=10,$AJ2701=11,$AJ2701=18),"①病院一般",IF($AJ2701=41,"②病院短期","対象外")),IF($AH2701=5,IF($AJ2701=30,"③特定消防","対象外"),IF(OR($AJ2701=10,$AJ2701=11,$AJ2701=74),"④一般",IF(OR($AJ2701=41,$AJ2701=47),"⑤短期","対象外"))))))</f>
      </c>
    </row>
    <row r="2702">
      <c r="DB2702" s="2909">
        <f>IF($A2702="","",IF($AE2702&amp;""&lt;&gt;'DB_設定'!$C$4,"対象外",IF($AH2702=20,IF(OR($AJ2702=10,$AJ2702=11,$AJ2702=18),"①病院一般",IF($AJ2702=41,"②病院短期","対象外")),IF($AH2702=5,IF($AJ2702=30,"③特定消防","対象外"),IF(OR($AJ2702=10,$AJ2702=11,$AJ2702=74),"④一般",IF(OR($AJ2702=41,$AJ2702=47),"⑤短期","対象外"))))))</f>
      </c>
    </row>
    <row r="2703">
      <c r="DB2703" s="2909">
        <f>IF($A2703="","",IF($AE2703&amp;""&lt;&gt;'DB_設定'!$C$4,"対象外",IF($AH2703=20,IF(OR($AJ2703=10,$AJ2703=11,$AJ2703=18),"①病院一般",IF($AJ2703=41,"②病院短期","対象外")),IF($AH2703=5,IF($AJ2703=30,"③特定消防","対象外"),IF(OR($AJ2703=10,$AJ2703=11,$AJ2703=74),"④一般",IF(OR($AJ2703=41,$AJ2703=47),"⑤短期","対象外"))))))</f>
      </c>
    </row>
    <row r="2704">
      <c r="DB2704" s="2909">
        <f>IF($A2704="","",IF($AE2704&amp;""&lt;&gt;'DB_設定'!$C$4,"対象外",IF($AH2704=20,IF(OR($AJ2704=10,$AJ2704=11,$AJ2704=18),"①病院一般",IF($AJ2704=41,"②病院短期","対象外")),IF($AH2704=5,IF($AJ2704=30,"③特定消防","対象外"),IF(OR($AJ2704=10,$AJ2704=11,$AJ2704=74),"④一般",IF(OR($AJ2704=41,$AJ2704=47),"⑤短期","対象外"))))))</f>
      </c>
    </row>
    <row r="2705">
      <c r="DB2705" s="2909">
        <f>IF($A2705="","",IF($AE2705&amp;""&lt;&gt;'DB_設定'!$C$4,"対象外",IF($AH2705=20,IF(OR($AJ2705=10,$AJ2705=11,$AJ2705=18),"①病院一般",IF($AJ2705=41,"②病院短期","対象外")),IF($AH2705=5,IF($AJ2705=30,"③特定消防","対象外"),IF(OR($AJ2705=10,$AJ2705=11,$AJ2705=74),"④一般",IF(OR($AJ2705=41,$AJ2705=47),"⑤短期","対象外"))))))</f>
      </c>
    </row>
    <row r="2706">
      <c r="DB2706" s="2909">
        <f>IF($A2706="","",IF($AE2706&amp;""&lt;&gt;'DB_設定'!$C$4,"対象外",IF($AH2706=20,IF(OR($AJ2706=10,$AJ2706=11,$AJ2706=18),"①病院一般",IF($AJ2706=41,"②病院短期","対象外")),IF($AH2706=5,IF($AJ2706=30,"③特定消防","対象外"),IF(OR($AJ2706=10,$AJ2706=11,$AJ2706=74),"④一般",IF(OR($AJ2706=41,$AJ2706=47),"⑤短期","対象外"))))))</f>
      </c>
    </row>
    <row r="2707">
      <c r="DB2707" s="2909">
        <f>IF($A2707="","",IF($AE2707&amp;""&lt;&gt;'DB_設定'!$C$4,"対象外",IF($AH2707=20,IF(OR($AJ2707=10,$AJ2707=11,$AJ2707=18),"①病院一般",IF($AJ2707=41,"②病院短期","対象外")),IF($AH2707=5,IF($AJ2707=30,"③特定消防","対象外"),IF(OR($AJ2707=10,$AJ2707=11,$AJ2707=74),"④一般",IF(OR($AJ2707=41,$AJ2707=47),"⑤短期","対象外"))))))</f>
      </c>
    </row>
    <row r="2708">
      <c r="DB2708" s="2909">
        <f>IF($A2708="","",IF($AE2708&amp;""&lt;&gt;'DB_設定'!$C$4,"対象外",IF($AH2708=20,IF(OR($AJ2708=10,$AJ2708=11,$AJ2708=18),"①病院一般",IF($AJ2708=41,"②病院短期","対象外")),IF($AH2708=5,IF($AJ2708=30,"③特定消防","対象外"),IF(OR($AJ2708=10,$AJ2708=11,$AJ2708=74),"④一般",IF(OR($AJ2708=41,$AJ2708=47),"⑤短期","対象外"))))))</f>
      </c>
    </row>
    <row r="2709">
      <c r="DB2709" s="2909">
        <f>IF($A2709="","",IF($AE2709&amp;""&lt;&gt;'DB_設定'!$C$4,"対象外",IF($AH2709=20,IF(OR($AJ2709=10,$AJ2709=11,$AJ2709=18),"①病院一般",IF($AJ2709=41,"②病院短期","対象外")),IF($AH2709=5,IF($AJ2709=30,"③特定消防","対象外"),IF(OR($AJ2709=10,$AJ2709=11,$AJ2709=74),"④一般",IF(OR($AJ2709=41,$AJ2709=47),"⑤短期","対象外"))))))</f>
      </c>
    </row>
    <row r="2710">
      <c r="DB2710" s="2909">
        <f>IF($A2710="","",IF($AE2710&amp;""&lt;&gt;'DB_設定'!$C$4,"対象外",IF($AH2710=20,IF(OR($AJ2710=10,$AJ2710=11,$AJ2710=18),"①病院一般",IF($AJ2710=41,"②病院短期","対象外")),IF($AH2710=5,IF($AJ2710=30,"③特定消防","対象外"),IF(OR($AJ2710=10,$AJ2710=11,$AJ2710=74),"④一般",IF(OR($AJ2710=41,$AJ2710=47),"⑤短期","対象外"))))))</f>
      </c>
    </row>
    <row r="2711">
      <c r="DB2711" s="2909">
        <f>IF($A2711="","",IF($AE2711&amp;""&lt;&gt;'DB_設定'!$C$4,"対象外",IF($AH2711=20,IF(OR($AJ2711=10,$AJ2711=11,$AJ2711=18),"①病院一般",IF($AJ2711=41,"②病院短期","対象外")),IF($AH2711=5,IF($AJ2711=30,"③特定消防","対象外"),IF(OR($AJ2711=10,$AJ2711=11,$AJ2711=74),"④一般",IF(OR($AJ2711=41,$AJ2711=47),"⑤短期","対象外"))))))</f>
      </c>
    </row>
    <row r="2712">
      <c r="DB2712" s="2909">
        <f>IF($A2712="","",IF($AE2712&amp;""&lt;&gt;'DB_設定'!$C$4,"対象外",IF($AH2712=20,IF(OR($AJ2712=10,$AJ2712=11,$AJ2712=18),"①病院一般",IF($AJ2712=41,"②病院短期","対象外")),IF($AH2712=5,IF($AJ2712=30,"③特定消防","対象外"),IF(OR($AJ2712=10,$AJ2712=11,$AJ2712=74),"④一般",IF(OR($AJ2712=41,$AJ2712=47),"⑤短期","対象外"))))))</f>
      </c>
    </row>
    <row r="2713">
      <c r="DB2713" s="2909">
        <f>IF($A2713="","",IF($AE2713&amp;""&lt;&gt;'DB_設定'!$C$4,"対象外",IF($AH2713=20,IF(OR($AJ2713=10,$AJ2713=11,$AJ2713=18),"①病院一般",IF($AJ2713=41,"②病院短期","対象外")),IF($AH2713=5,IF($AJ2713=30,"③特定消防","対象外"),IF(OR($AJ2713=10,$AJ2713=11,$AJ2713=74),"④一般",IF(OR($AJ2713=41,$AJ2713=47),"⑤短期","対象外"))))))</f>
      </c>
    </row>
    <row r="2714">
      <c r="DB2714" s="2909">
        <f>IF($A2714="","",IF($AE2714&amp;""&lt;&gt;'DB_設定'!$C$4,"対象外",IF($AH2714=20,IF(OR($AJ2714=10,$AJ2714=11,$AJ2714=18),"①病院一般",IF($AJ2714=41,"②病院短期","対象外")),IF($AH2714=5,IF($AJ2714=30,"③特定消防","対象外"),IF(OR($AJ2714=10,$AJ2714=11,$AJ2714=74),"④一般",IF(OR($AJ2714=41,$AJ2714=47),"⑤短期","対象外"))))))</f>
      </c>
    </row>
    <row r="2715">
      <c r="DB2715" s="2909">
        <f>IF($A2715="","",IF($AE2715&amp;""&lt;&gt;'DB_設定'!$C$4,"対象外",IF($AH2715=20,IF(OR($AJ2715=10,$AJ2715=11,$AJ2715=18),"①病院一般",IF($AJ2715=41,"②病院短期","対象外")),IF($AH2715=5,IF($AJ2715=30,"③特定消防","対象外"),IF(OR($AJ2715=10,$AJ2715=11,$AJ2715=74),"④一般",IF(OR($AJ2715=41,$AJ2715=47),"⑤短期","対象外"))))))</f>
      </c>
    </row>
    <row r="2716">
      <c r="DB2716" s="2909">
        <f>IF($A2716="","",IF($AE2716&amp;""&lt;&gt;'DB_設定'!$C$4,"対象外",IF($AH2716=20,IF(OR($AJ2716=10,$AJ2716=11,$AJ2716=18),"①病院一般",IF($AJ2716=41,"②病院短期","対象外")),IF($AH2716=5,IF($AJ2716=30,"③特定消防","対象外"),IF(OR($AJ2716=10,$AJ2716=11,$AJ2716=74),"④一般",IF(OR($AJ2716=41,$AJ2716=47),"⑤短期","対象外"))))))</f>
      </c>
    </row>
    <row r="2717">
      <c r="DB2717" s="2909">
        <f>IF($A2717="","",IF($AE2717&amp;""&lt;&gt;'DB_設定'!$C$4,"対象外",IF($AH2717=20,IF(OR($AJ2717=10,$AJ2717=11,$AJ2717=18),"①病院一般",IF($AJ2717=41,"②病院短期","対象外")),IF($AH2717=5,IF($AJ2717=30,"③特定消防","対象外"),IF(OR($AJ2717=10,$AJ2717=11,$AJ2717=74),"④一般",IF(OR($AJ2717=41,$AJ2717=47),"⑤短期","対象外"))))))</f>
      </c>
    </row>
    <row r="2718">
      <c r="DB2718" s="2909">
        <f>IF($A2718="","",IF($AE2718&amp;""&lt;&gt;'DB_設定'!$C$4,"対象外",IF($AH2718=20,IF(OR($AJ2718=10,$AJ2718=11,$AJ2718=18),"①病院一般",IF($AJ2718=41,"②病院短期","対象外")),IF($AH2718=5,IF($AJ2718=30,"③特定消防","対象外"),IF(OR($AJ2718=10,$AJ2718=11,$AJ2718=74),"④一般",IF(OR($AJ2718=41,$AJ2718=47),"⑤短期","対象外"))))))</f>
      </c>
    </row>
    <row r="2719">
      <c r="DB2719" s="2909">
        <f>IF($A2719="","",IF($AE2719&amp;""&lt;&gt;'DB_設定'!$C$4,"対象外",IF($AH2719=20,IF(OR($AJ2719=10,$AJ2719=11,$AJ2719=18),"①病院一般",IF($AJ2719=41,"②病院短期","対象外")),IF($AH2719=5,IF($AJ2719=30,"③特定消防","対象外"),IF(OR($AJ2719=10,$AJ2719=11,$AJ2719=74),"④一般",IF(OR($AJ2719=41,$AJ2719=47),"⑤短期","対象外"))))))</f>
      </c>
    </row>
    <row r="2720">
      <c r="DB2720" s="2909">
        <f>IF($A2720="","",IF($AE2720&amp;""&lt;&gt;'DB_設定'!$C$4,"対象外",IF($AH2720=20,IF(OR($AJ2720=10,$AJ2720=11,$AJ2720=18),"①病院一般",IF($AJ2720=41,"②病院短期","対象外")),IF($AH2720=5,IF($AJ2720=30,"③特定消防","対象外"),IF(OR($AJ2720=10,$AJ2720=11,$AJ2720=74),"④一般",IF(OR($AJ2720=41,$AJ2720=47),"⑤短期","対象外"))))))</f>
      </c>
    </row>
    <row r="2721">
      <c r="DB2721" s="2909">
        <f>IF($A2721="","",IF($AE2721&amp;""&lt;&gt;'DB_設定'!$C$4,"対象外",IF($AH2721=20,IF(OR($AJ2721=10,$AJ2721=11,$AJ2721=18),"①病院一般",IF($AJ2721=41,"②病院短期","対象外")),IF($AH2721=5,IF($AJ2721=30,"③特定消防","対象外"),IF(OR($AJ2721=10,$AJ2721=11,$AJ2721=74),"④一般",IF(OR($AJ2721=41,$AJ2721=47),"⑤短期","対象外"))))))</f>
      </c>
    </row>
    <row r="2722">
      <c r="DB2722" s="2909">
        <f>IF($A2722="","",IF($AE2722&amp;""&lt;&gt;'DB_設定'!$C$4,"対象外",IF($AH2722=20,IF(OR($AJ2722=10,$AJ2722=11,$AJ2722=18),"①病院一般",IF($AJ2722=41,"②病院短期","対象外")),IF($AH2722=5,IF($AJ2722=30,"③特定消防","対象外"),IF(OR($AJ2722=10,$AJ2722=11,$AJ2722=74),"④一般",IF(OR($AJ2722=41,$AJ2722=47),"⑤短期","対象外"))))))</f>
      </c>
    </row>
    <row r="2723">
      <c r="DB2723" s="2909">
        <f>IF($A2723="","",IF($AE2723&amp;""&lt;&gt;'DB_設定'!$C$4,"対象外",IF($AH2723=20,IF(OR($AJ2723=10,$AJ2723=11,$AJ2723=18),"①病院一般",IF($AJ2723=41,"②病院短期","対象外")),IF($AH2723=5,IF($AJ2723=30,"③特定消防","対象外"),IF(OR($AJ2723=10,$AJ2723=11,$AJ2723=74),"④一般",IF(OR($AJ2723=41,$AJ2723=47),"⑤短期","対象外"))))))</f>
      </c>
    </row>
    <row r="2724">
      <c r="DB2724" s="2909">
        <f>IF($A2724="","",IF($AE2724&amp;""&lt;&gt;'DB_設定'!$C$4,"対象外",IF($AH2724=20,IF(OR($AJ2724=10,$AJ2724=11,$AJ2724=18),"①病院一般",IF($AJ2724=41,"②病院短期","対象外")),IF($AH2724=5,IF($AJ2724=30,"③特定消防","対象外"),IF(OR($AJ2724=10,$AJ2724=11,$AJ2724=74),"④一般",IF(OR($AJ2724=41,$AJ2724=47),"⑤短期","対象外"))))))</f>
      </c>
    </row>
    <row r="2725">
      <c r="DB2725" s="2909">
        <f>IF($A2725="","",IF($AE2725&amp;""&lt;&gt;'DB_設定'!$C$4,"対象外",IF($AH2725=20,IF(OR($AJ2725=10,$AJ2725=11,$AJ2725=18),"①病院一般",IF($AJ2725=41,"②病院短期","対象外")),IF($AH2725=5,IF($AJ2725=30,"③特定消防","対象外"),IF(OR($AJ2725=10,$AJ2725=11,$AJ2725=74),"④一般",IF(OR($AJ2725=41,$AJ2725=47),"⑤短期","対象外"))))))</f>
      </c>
    </row>
    <row r="2726">
      <c r="DB2726" s="2909">
        <f>IF($A2726="","",IF($AE2726&amp;""&lt;&gt;'DB_設定'!$C$4,"対象外",IF($AH2726=20,IF(OR($AJ2726=10,$AJ2726=11,$AJ2726=18),"①病院一般",IF($AJ2726=41,"②病院短期","対象外")),IF($AH2726=5,IF($AJ2726=30,"③特定消防","対象外"),IF(OR($AJ2726=10,$AJ2726=11,$AJ2726=74),"④一般",IF(OR($AJ2726=41,$AJ2726=47),"⑤短期","対象外"))))))</f>
      </c>
    </row>
    <row r="2727">
      <c r="DB2727" s="2909">
        <f>IF($A2727="","",IF($AE2727&amp;""&lt;&gt;'DB_設定'!$C$4,"対象外",IF($AH2727=20,IF(OR($AJ2727=10,$AJ2727=11,$AJ2727=18),"①病院一般",IF($AJ2727=41,"②病院短期","対象外")),IF($AH2727=5,IF($AJ2727=30,"③特定消防","対象外"),IF(OR($AJ2727=10,$AJ2727=11,$AJ2727=74),"④一般",IF(OR($AJ2727=41,$AJ2727=47),"⑤短期","対象外"))))))</f>
      </c>
    </row>
    <row r="2728">
      <c r="DB2728" s="2909">
        <f>IF($A2728="","",IF($AE2728&amp;""&lt;&gt;'DB_設定'!$C$4,"対象外",IF($AH2728=20,IF(OR($AJ2728=10,$AJ2728=11,$AJ2728=18),"①病院一般",IF($AJ2728=41,"②病院短期","対象外")),IF($AH2728=5,IF($AJ2728=30,"③特定消防","対象外"),IF(OR($AJ2728=10,$AJ2728=11,$AJ2728=74),"④一般",IF(OR($AJ2728=41,$AJ2728=47),"⑤短期","対象外"))))))</f>
      </c>
    </row>
    <row r="2729">
      <c r="DB2729" s="2909">
        <f>IF($A2729="","",IF($AE2729&amp;""&lt;&gt;'DB_設定'!$C$4,"対象外",IF($AH2729=20,IF(OR($AJ2729=10,$AJ2729=11,$AJ2729=18),"①病院一般",IF($AJ2729=41,"②病院短期","対象外")),IF($AH2729=5,IF($AJ2729=30,"③特定消防","対象外"),IF(OR($AJ2729=10,$AJ2729=11,$AJ2729=74),"④一般",IF(OR($AJ2729=41,$AJ2729=47),"⑤短期","対象外"))))))</f>
      </c>
    </row>
    <row r="2730">
      <c r="DB2730" s="2909">
        <f>IF($A2730="","",IF($AE2730&amp;""&lt;&gt;'DB_設定'!$C$4,"対象外",IF($AH2730=20,IF(OR($AJ2730=10,$AJ2730=11,$AJ2730=18),"①病院一般",IF($AJ2730=41,"②病院短期","対象外")),IF($AH2730=5,IF($AJ2730=30,"③特定消防","対象外"),IF(OR($AJ2730=10,$AJ2730=11,$AJ2730=74),"④一般",IF(OR($AJ2730=41,$AJ2730=47),"⑤短期","対象外"))))))</f>
      </c>
    </row>
    <row r="2731">
      <c r="DB2731" s="2909">
        <f>IF($A2731="","",IF($AE2731&amp;""&lt;&gt;'DB_設定'!$C$4,"対象外",IF($AH2731=20,IF(OR($AJ2731=10,$AJ2731=11,$AJ2731=18),"①病院一般",IF($AJ2731=41,"②病院短期","対象外")),IF($AH2731=5,IF($AJ2731=30,"③特定消防","対象外"),IF(OR($AJ2731=10,$AJ2731=11,$AJ2731=74),"④一般",IF(OR($AJ2731=41,$AJ2731=47),"⑤短期","対象外"))))))</f>
      </c>
    </row>
    <row r="2732">
      <c r="DB2732" s="2909">
        <f>IF($A2732="","",IF($AE2732&amp;""&lt;&gt;'DB_設定'!$C$4,"対象外",IF($AH2732=20,IF(OR($AJ2732=10,$AJ2732=11,$AJ2732=18),"①病院一般",IF($AJ2732=41,"②病院短期","対象外")),IF($AH2732=5,IF($AJ2732=30,"③特定消防","対象外"),IF(OR($AJ2732=10,$AJ2732=11,$AJ2732=74),"④一般",IF(OR($AJ2732=41,$AJ2732=47),"⑤短期","対象外"))))))</f>
      </c>
    </row>
    <row r="2733">
      <c r="DB2733" s="2909">
        <f>IF($A2733="","",IF($AE2733&amp;""&lt;&gt;'DB_設定'!$C$4,"対象外",IF($AH2733=20,IF(OR($AJ2733=10,$AJ2733=11,$AJ2733=18),"①病院一般",IF($AJ2733=41,"②病院短期","対象外")),IF($AH2733=5,IF($AJ2733=30,"③特定消防","対象外"),IF(OR($AJ2733=10,$AJ2733=11,$AJ2733=74),"④一般",IF(OR($AJ2733=41,$AJ2733=47),"⑤短期","対象外"))))))</f>
      </c>
    </row>
    <row r="2734">
      <c r="DB2734" s="2909">
        <f>IF($A2734="","",IF($AE2734&amp;""&lt;&gt;'DB_設定'!$C$4,"対象外",IF($AH2734=20,IF(OR($AJ2734=10,$AJ2734=11,$AJ2734=18),"①病院一般",IF($AJ2734=41,"②病院短期","対象外")),IF($AH2734=5,IF($AJ2734=30,"③特定消防","対象外"),IF(OR($AJ2734=10,$AJ2734=11,$AJ2734=74),"④一般",IF(OR($AJ2734=41,$AJ2734=47),"⑤短期","対象外"))))))</f>
      </c>
    </row>
    <row r="2735">
      <c r="DB2735" s="2909">
        <f>IF($A2735="","",IF($AE2735&amp;""&lt;&gt;'DB_設定'!$C$4,"対象外",IF($AH2735=20,IF(OR($AJ2735=10,$AJ2735=11,$AJ2735=18),"①病院一般",IF($AJ2735=41,"②病院短期","対象外")),IF($AH2735=5,IF($AJ2735=30,"③特定消防","対象外"),IF(OR($AJ2735=10,$AJ2735=11,$AJ2735=74),"④一般",IF(OR($AJ2735=41,$AJ2735=47),"⑤短期","対象外"))))))</f>
      </c>
    </row>
    <row r="2736">
      <c r="DB2736" s="2909">
        <f>IF($A2736="","",IF($AE2736&amp;""&lt;&gt;'DB_設定'!$C$4,"対象外",IF($AH2736=20,IF(OR($AJ2736=10,$AJ2736=11,$AJ2736=18),"①病院一般",IF($AJ2736=41,"②病院短期","対象外")),IF($AH2736=5,IF($AJ2736=30,"③特定消防","対象外"),IF(OR($AJ2736=10,$AJ2736=11,$AJ2736=74),"④一般",IF(OR($AJ2736=41,$AJ2736=47),"⑤短期","対象外"))))))</f>
      </c>
    </row>
    <row r="2737">
      <c r="DB2737" s="2909">
        <f>IF($A2737="","",IF($AE2737&amp;""&lt;&gt;'DB_設定'!$C$4,"対象外",IF($AH2737=20,IF(OR($AJ2737=10,$AJ2737=11,$AJ2737=18),"①病院一般",IF($AJ2737=41,"②病院短期","対象外")),IF($AH2737=5,IF($AJ2737=30,"③特定消防","対象外"),IF(OR($AJ2737=10,$AJ2737=11,$AJ2737=74),"④一般",IF(OR($AJ2737=41,$AJ2737=47),"⑤短期","対象外"))))))</f>
      </c>
    </row>
    <row r="2738">
      <c r="DB2738" s="2909">
        <f>IF($A2738="","",IF($AE2738&amp;""&lt;&gt;'DB_設定'!$C$4,"対象外",IF($AH2738=20,IF(OR($AJ2738=10,$AJ2738=11,$AJ2738=18),"①病院一般",IF($AJ2738=41,"②病院短期","対象外")),IF($AH2738=5,IF($AJ2738=30,"③特定消防","対象外"),IF(OR($AJ2738=10,$AJ2738=11,$AJ2738=74),"④一般",IF(OR($AJ2738=41,$AJ2738=47),"⑤短期","対象外"))))))</f>
      </c>
    </row>
    <row r="2739">
      <c r="DB2739" s="2909">
        <f>IF($A2739="","",IF($AE2739&amp;""&lt;&gt;'DB_設定'!$C$4,"対象外",IF($AH2739=20,IF(OR($AJ2739=10,$AJ2739=11,$AJ2739=18),"①病院一般",IF($AJ2739=41,"②病院短期","対象外")),IF($AH2739=5,IF($AJ2739=30,"③特定消防","対象外"),IF(OR($AJ2739=10,$AJ2739=11,$AJ2739=74),"④一般",IF(OR($AJ2739=41,$AJ2739=47),"⑤短期","対象外"))))))</f>
      </c>
    </row>
    <row r="2740">
      <c r="DB2740" s="2909">
        <f>IF($A2740="","",IF($AE2740&amp;""&lt;&gt;'DB_設定'!$C$4,"対象外",IF($AH2740=20,IF(OR($AJ2740=10,$AJ2740=11,$AJ2740=18),"①病院一般",IF($AJ2740=41,"②病院短期","対象外")),IF($AH2740=5,IF($AJ2740=30,"③特定消防","対象外"),IF(OR($AJ2740=10,$AJ2740=11,$AJ2740=74),"④一般",IF(OR($AJ2740=41,$AJ2740=47),"⑤短期","対象外"))))))</f>
      </c>
    </row>
    <row r="2741">
      <c r="DB2741" s="2909">
        <f>IF($A2741="","",IF($AE2741&amp;""&lt;&gt;'DB_設定'!$C$4,"対象外",IF($AH2741=20,IF(OR($AJ2741=10,$AJ2741=11,$AJ2741=18),"①病院一般",IF($AJ2741=41,"②病院短期","対象外")),IF($AH2741=5,IF($AJ2741=30,"③特定消防","対象外"),IF(OR($AJ2741=10,$AJ2741=11,$AJ2741=74),"④一般",IF(OR($AJ2741=41,$AJ2741=47),"⑤短期","対象外"))))))</f>
      </c>
    </row>
    <row r="2742">
      <c r="DB2742" s="2909">
        <f>IF($A2742="","",IF($AE2742&amp;""&lt;&gt;'DB_設定'!$C$4,"対象外",IF($AH2742=20,IF(OR($AJ2742=10,$AJ2742=11,$AJ2742=18),"①病院一般",IF($AJ2742=41,"②病院短期","対象外")),IF($AH2742=5,IF($AJ2742=30,"③特定消防","対象外"),IF(OR($AJ2742=10,$AJ2742=11,$AJ2742=74),"④一般",IF(OR($AJ2742=41,$AJ2742=47),"⑤短期","対象外"))))))</f>
      </c>
    </row>
    <row r="2743">
      <c r="DB2743" s="2909">
        <f>IF($A2743="","",IF($AE2743&amp;""&lt;&gt;'DB_設定'!$C$4,"対象外",IF($AH2743=20,IF(OR($AJ2743=10,$AJ2743=11,$AJ2743=18),"①病院一般",IF($AJ2743=41,"②病院短期","対象外")),IF($AH2743=5,IF($AJ2743=30,"③特定消防","対象外"),IF(OR($AJ2743=10,$AJ2743=11,$AJ2743=74),"④一般",IF(OR($AJ2743=41,$AJ2743=47),"⑤短期","対象外"))))))</f>
      </c>
    </row>
    <row r="2744">
      <c r="DB2744" s="2909">
        <f>IF($A2744="","",IF($AE2744&amp;""&lt;&gt;'DB_設定'!$C$4,"対象外",IF($AH2744=20,IF(OR($AJ2744=10,$AJ2744=11,$AJ2744=18),"①病院一般",IF($AJ2744=41,"②病院短期","対象外")),IF($AH2744=5,IF($AJ2744=30,"③特定消防","対象外"),IF(OR($AJ2744=10,$AJ2744=11,$AJ2744=74),"④一般",IF(OR($AJ2744=41,$AJ2744=47),"⑤短期","対象外"))))))</f>
      </c>
    </row>
    <row r="2745">
      <c r="DB2745" s="2909">
        <f>IF($A2745="","",IF($AE2745&amp;""&lt;&gt;'DB_設定'!$C$4,"対象外",IF($AH2745=20,IF(OR($AJ2745=10,$AJ2745=11,$AJ2745=18),"①病院一般",IF($AJ2745=41,"②病院短期","対象外")),IF($AH2745=5,IF($AJ2745=30,"③特定消防","対象外"),IF(OR($AJ2745=10,$AJ2745=11,$AJ2745=74),"④一般",IF(OR($AJ2745=41,$AJ2745=47),"⑤短期","対象外"))))))</f>
      </c>
    </row>
    <row r="2746">
      <c r="DB2746" s="2909">
        <f>IF($A2746="","",IF($AE2746&amp;""&lt;&gt;'DB_設定'!$C$4,"対象外",IF($AH2746=20,IF(OR($AJ2746=10,$AJ2746=11,$AJ2746=18),"①病院一般",IF($AJ2746=41,"②病院短期","対象外")),IF($AH2746=5,IF($AJ2746=30,"③特定消防","対象外"),IF(OR($AJ2746=10,$AJ2746=11,$AJ2746=74),"④一般",IF(OR($AJ2746=41,$AJ2746=47),"⑤短期","対象外"))))))</f>
      </c>
    </row>
    <row r="2747">
      <c r="DB2747" s="2909">
        <f>IF($A2747="","",IF($AE2747&amp;""&lt;&gt;'DB_設定'!$C$4,"対象外",IF($AH2747=20,IF(OR($AJ2747=10,$AJ2747=11,$AJ2747=18),"①病院一般",IF($AJ2747=41,"②病院短期","対象外")),IF($AH2747=5,IF($AJ2747=30,"③特定消防","対象外"),IF(OR($AJ2747=10,$AJ2747=11,$AJ2747=74),"④一般",IF(OR($AJ2747=41,$AJ2747=47),"⑤短期","対象外"))))))</f>
      </c>
    </row>
    <row r="2748">
      <c r="DB2748" s="2909">
        <f>IF($A2748="","",IF($AE2748&amp;""&lt;&gt;'DB_設定'!$C$4,"対象外",IF($AH2748=20,IF(OR($AJ2748=10,$AJ2748=11,$AJ2748=18),"①病院一般",IF($AJ2748=41,"②病院短期","対象外")),IF($AH2748=5,IF($AJ2748=30,"③特定消防","対象外"),IF(OR($AJ2748=10,$AJ2748=11,$AJ2748=74),"④一般",IF(OR($AJ2748=41,$AJ2748=47),"⑤短期","対象外"))))))</f>
      </c>
    </row>
    <row r="2749">
      <c r="DB2749" s="2909">
        <f>IF($A2749="","",IF($AE2749&amp;""&lt;&gt;'DB_設定'!$C$4,"対象外",IF($AH2749=20,IF(OR($AJ2749=10,$AJ2749=11,$AJ2749=18),"①病院一般",IF($AJ2749=41,"②病院短期","対象外")),IF($AH2749=5,IF($AJ2749=30,"③特定消防","対象外"),IF(OR($AJ2749=10,$AJ2749=11,$AJ2749=74),"④一般",IF(OR($AJ2749=41,$AJ2749=47),"⑤短期","対象外"))))))</f>
      </c>
    </row>
    <row r="2750">
      <c r="DB2750" s="2909">
        <f>IF($A2750="","",IF($AE2750&amp;""&lt;&gt;'DB_設定'!$C$4,"対象外",IF($AH2750=20,IF(OR($AJ2750=10,$AJ2750=11,$AJ2750=18),"①病院一般",IF($AJ2750=41,"②病院短期","対象外")),IF($AH2750=5,IF($AJ2750=30,"③特定消防","対象外"),IF(OR($AJ2750=10,$AJ2750=11,$AJ2750=74),"④一般",IF(OR($AJ2750=41,$AJ2750=47),"⑤短期","対象外"))))))</f>
      </c>
    </row>
    <row r="2751">
      <c r="DB2751" s="2909">
        <f>IF($A2751="","",IF($AE2751&amp;""&lt;&gt;'DB_設定'!$C$4,"対象外",IF($AH2751=20,IF(OR($AJ2751=10,$AJ2751=11,$AJ2751=18),"①病院一般",IF($AJ2751=41,"②病院短期","対象外")),IF($AH2751=5,IF($AJ2751=30,"③特定消防","対象外"),IF(OR($AJ2751=10,$AJ2751=11,$AJ2751=74),"④一般",IF(OR($AJ2751=41,$AJ2751=47),"⑤短期","対象外"))))))</f>
      </c>
    </row>
    <row r="2752">
      <c r="DB2752" s="2909">
        <f>IF($A2752="","",IF($AE2752&amp;""&lt;&gt;'DB_設定'!$C$4,"対象外",IF($AH2752=20,IF(OR($AJ2752=10,$AJ2752=11,$AJ2752=18),"①病院一般",IF($AJ2752=41,"②病院短期","対象外")),IF($AH2752=5,IF($AJ2752=30,"③特定消防","対象外"),IF(OR($AJ2752=10,$AJ2752=11,$AJ2752=74),"④一般",IF(OR($AJ2752=41,$AJ2752=47),"⑤短期","対象外"))))))</f>
      </c>
    </row>
    <row r="2753">
      <c r="DB2753" s="2909">
        <f>IF($A2753="","",IF($AE2753&amp;""&lt;&gt;'DB_設定'!$C$4,"対象外",IF($AH2753=20,IF(OR($AJ2753=10,$AJ2753=11,$AJ2753=18),"①病院一般",IF($AJ2753=41,"②病院短期","対象外")),IF($AH2753=5,IF($AJ2753=30,"③特定消防","対象外"),IF(OR($AJ2753=10,$AJ2753=11,$AJ2753=74),"④一般",IF(OR($AJ2753=41,$AJ2753=47),"⑤短期","対象外"))))))</f>
      </c>
    </row>
    <row r="2754">
      <c r="DB2754" s="2909">
        <f>IF($A2754="","",IF($AE2754&amp;""&lt;&gt;'DB_設定'!$C$4,"対象外",IF($AH2754=20,IF(OR($AJ2754=10,$AJ2754=11,$AJ2754=18),"①病院一般",IF($AJ2754=41,"②病院短期","対象外")),IF($AH2754=5,IF($AJ2754=30,"③特定消防","対象外"),IF(OR($AJ2754=10,$AJ2754=11,$AJ2754=74),"④一般",IF(OR($AJ2754=41,$AJ2754=47),"⑤短期","対象外"))))))</f>
      </c>
    </row>
    <row r="2755">
      <c r="DB2755" s="2909">
        <f>IF($A2755="","",IF($AE2755&amp;""&lt;&gt;'DB_設定'!$C$4,"対象外",IF($AH2755=20,IF(OR($AJ2755=10,$AJ2755=11,$AJ2755=18),"①病院一般",IF($AJ2755=41,"②病院短期","対象外")),IF($AH2755=5,IF($AJ2755=30,"③特定消防","対象外"),IF(OR($AJ2755=10,$AJ2755=11,$AJ2755=74),"④一般",IF(OR($AJ2755=41,$AJ2755=47),"⑤短期","対象外"))))))</f>
      </c>
    </row>
    <row r="2756">
      <c r="DB2756" s="2909">
        <f>IF($A2756="","",IF($AE2756&amp;""&lt;&gt;'DB_設定'!$C$4,"対象外",IF($AH2756=20,IF(OR($AJ2756=10,$AJ2756=11,$AJ2756=18),"①病院一般",IF($AJ2756=41,"②病院短期","対象外")),IF($AH2756=5,IF($AJ2756=30,"③特定消防","対象外"),IF(OR($AJ2756=10,$AJ2756=11,$AJ2756=74),"④一般",IF(OR($AJ2756=41,$AJ2756=47),"⑤短期","対象外"))))))</f>
      </c>
    </row>
    <row r="2757">
      <c r="DB2757" s="2909">
        <f>IF($A2757="","",IF($AE2757&amp;""&lt;&gt;'DB_設定'!$C$4,"対象外",IF($AH2757=20,IF(OR($AJ2757=10,$AJ2757=11,$AJ2757=18),"①病院一般",IF($AJ2757=41,"②病院短期","対象外")),IF($AH2757=5,IF($AJ2757=30,"③特定消防","対象外"),IF(OR($AJ2757=10,$AJ2757=11,$AJ2757=74),"④一般",IF(OR($AJ2757=41,$AJ2757=47),"⑤短期","対象外"))))))</f>
      </c>
    </row>
    <row r="2758">
      <c r="DB2758" s="2909">
        <f>IF($A2758="","",IF($AE2758&amp;""&lt;&gt;'DB_設定'!$C$4,"対象外",IF($AH2758=20,IF(OR($AJ2758=10,$AJ2758=11,$AJ2758=18),"①病院一般",IF($AJ2758=41,"②病院短期","対象外")),IF($AH2758=5,IF($AJ2758=30,"③特定消防","対象外"),IF(OR($AJ2758=10,$AJ2758=11,$AJ2758=74),"④一般",IF(OR($AJ2758=41,$AJ2758=47),"⑤短期","対象外"))))))</f>
      </c>
    </row>
    <row r="2759">
      <c r="DB2759" s="2909">
        <f>IF($A2759="","",IF($AE2759&amp;""&lt;&gt;'DB_設定'!$C$4,"対象外",IF($AH2759=20,IF(OR($AJ2759=10,$AJ2759=11,$AJ2759=18),"①病院一般",IF($AJ2759=41,"②病院短期","対象外")),IF($AH2759=5,IF($AJ2759=30,"③特定消防","対象外"),IF(OR($AJ2759=10,$AJ2759=11,$AJ2759=74),"④一般",IF(OR($AJ2759=41,$AJ2759=47),"⑤短期","対象外"))))))</f>
      </c>
    </row>
    <row r="2760">
      <c r="DB2760" s="2909">
        <f>IF($A2760="","",IF($AE2760&amp;""&lt;&gt;'DB_設定'!$C$4,"対象外",IF($AH2760=20,IF(OR($AJ2760=10,$AJ2760=11,$AJ2760=18),"①病院一般",IF($AJ2760=41,"②病院短期","対象外")),IF($AH2760=5,IF($AJ2760=30,"③特定消防","対象外"),IF(OR($AJ2760=10,$AJ2760=11,$AJ2760=74),"④一般",IF(OR($AJ2760=41,$AJ2760=47),"⑤短期","対象外"))))))</f>
      </c>
    </row>
    <row r="2761">
      <c r="DB2761" s="2909">
        <f>IF($A2761="","",IF($AE2761&amp;""&lt;&gt;'DB_設定'!$C$4,"対象外",IF($AH2761=20,IF(OR($AJ2761=10,$AJ2761=11,$AJ2761=18),"①病院一般",IF($AJ2761=41,"②病院短期","対象外")),IF($AH2761=5,IF($AJ2761=30,"③特定消防","対象外"),IF(OR($AJ2761=10,$AJ2761=11,$AJ2761=74),"④一般",IF(OR($AJ2761=41,$AJ2761=47),"⑤短期","対象外"))))))</f>
      </c>
    </row>
    <row r="2762">
      <c r="DB2762" s="2909">
        <f>IF($A2762="","",IF($AE2762&amp;""&lt;&gt;'DB_設定'!$C$4,"対象外",IF($AH2762=20,IF(OR($AJ2762=10,$AJ2762=11,$AJ2762=18),"①病院一般",IF($AJ2762=41,"②病院短期","対象外")),IF($AH2762=5,IF($AJ2762=30,"③特定消防","対象外"),IF(OR($AJ2762=10,$AJ2762=11,$AJ2762=74),"④一般",IF(OR($AJ2762=41,$AJ2762=47),"⑤短期","対象外"))))))</f>
      </c>
    </row>
    <row r="2763">
      <c r="DB2763" s="2909">
        <f>IF($A2763="","",IF($AE2763&amp;""&lt;&gt;'DB_設定'!$C$4,"対象外",IF($AH2763=20,IF(OR($AJ2763=10,$AJ2763=11,$AJ2763=18),"①病院一般",IF($AJ2763=41,"②病院短期","対象外")),IF($AH2763=5,IF($AJ2763=30,"③特定消防","対象外"),IF(OR($AJ2763=10,$AJ2763=11,$AJ2763=74),"④一般",IF(OR($AJ2763=41,$AJ2763=47),"⑤短期","対象外"))))))</f>
      </c>
    </row>
    <row r="2764">
      <c r="DB2764" s="2909">
        <f>IF($A2764="","",IF($AE2764&amp;""&lt;&gt;'DB_設定'!$C$4,"対象外",IF($AH2764=20,IF(OR($AJ2764=10,$AJ2764=11,$AJ2764=18),"①病院一般",IF($AJ2764=41,"②病院短期","対象外")),IF($AH2764=5,IF($AJ2764=30,"③特定消防","対象外"),IF(OR($AJ2764=10,$AJ2764=11,$AJ2764=74),"④一般",IF(OR($AJ2764=41,$AJ2764=47),"⑤短期","対象外"))))))</f>
      </c>
    </row>
    <row r="2765">
      <c r="DB2765" s="2909">
        <f>IF($A2765="","",IF($AE2765&amp;""&lt;&gt;'DB_設定'!$C$4,"対象外",IF($AH2765=20,IF(OR($AJ2765=10,$AJ2765=11,$AJ2765=18),"①病院一般",IF($AJ2765=41,"②病院短期","対象外")),IF($AH2765=5,IF($AJ2765=30,"③特定消防","対象外"),IF(OR($AJ2765=10,$AJ2765=11,$AJ2765=74),"④一般",IF(OR($AJ2765=41,$AJ2765=47),"⑤短期","対象外"))))))</f>
      </c>
    </row>
    <row r="2766">
      <c r="DB2766" s="2909">
        <f>IF($A2766="","",IF($AE2766&amp;""&lt;&gt;'DB_設定'!$C$4,"対象外",IF($AH2766=20,IF(OR($AJ2766=10,$AJ2766=11,$AJ2766=18),"①病院一般",IF($AJ2766=41,"②病院短期","対象外")),IF($AH2766=5,IF($AJ2766=30,"③特定消防","対象外"),IF(OR($AJ2766=10,$AJ2766=11,$AJ2766=74),"④一般",IF(OR($AJ2766=41,$AJ2766=47),"⑤短期","対象外"))))))</f>
      </c>
    </row>
    <row r="2767">
      <c r="DB2767" s="2909">
        <f>IF($A2767="","",IF($AE2767&amp;""&lt;&gt;'DB_設定'!$C$4,"対象外",IF($AH2767=20,IF(OR($AJ2767=10,$AJ2767=11,$AJ2767=18),"①病院一般",IF($AJ2767=41,"②病院短期","対象外")),IF($AH2767=5,IF($AJ2767=30,"③特定消防","対象外"),IF(OR($AJ2767=10,$AJ2767=11,$AJ2767=74),"④一般",IF(OR($AJ2767=41,$AJ2767=47),"⑤短期","対象外"))))))</f>
      </c>
    </row>
    <row r="2768">
      <c r="DB2768" s="2909">
        <f>IF($A2768="","",IF($AE2768&amp;""&lt;&gt;'DB_設定'!$C$4,"対象外",IF($AH2768=20,IF(OR($AJ2768=10,$AJ2768=11,$AJ2768=18),"①病院一般",IF($AJ2768=41,"②病院短期","対象外")),IF($AH2768=5,IF($AJ2768=30,"③特定消防","対象外"),IF(OR($AJ2768=10,$AJ2768=11,$AJ2768=74),"④一般",IF(OR($AJ2768=41,$AJ2768=47),"⑤短期","対象外"))))))</f>
      </c>
    </row>
    <row r="2769">
      <c r="DB2769" s="2909">
        <f>IF($A2769="","",IF($AE2769&amp;""&lt;&gt;'DB_設定'!$C$4,"対象外",IF($AH2769=20,IF(OR($AJ2769=10,$AJ2769=11,$AJ2769=18),"①病院一般",IF($AJ2769=41,"②病院短期","対象外")),IF($AH2769=5,IF($AJ2769=30,"③特定消防","対象外"),IF(OR($AJ2769=10,$AJ2769=11,$AJ2769=74),"④一般",IF(OR($AJ2769=41,$AJ2769=47),"⑤短期","対象外"))))))</f>
      </c>
    </row>
    <row r="2770">
      <c r="DB2770" s="2909">
        <f>IF($A2770="","",IF($AE2770&amp;""&lt;&gt;'DB_設定'!$C$4,"対象外",IF($AH2770=20,IF(OR($AJ2770=10,$AJ2770=11,$AJ2770=18),"①病院一般",IF($AJ2770=41,"②病院短期","対象外")),IF($AH2770=5,IF($AJ2770=30,"③特定消防","対象外"),IF(OR($AJ2770=10,$AJ2770=11,$AJ2770=74),"④一般",IF(OR($AJ2770=41,$AJ2770=47),"⑤短期","対象外"))))))</f>
      </c>
    </row>
    <row r="2771">
      <c r="DB2771" s="2909">
        <f>IF($A2771="","",IF($AE2771&amp;""&lt;&gt;'DB_設定'!$C$4,"対象外",IF($AH2771=20,IF(OR($AJ2771=10,$AJ2771=11,$AJ2771=18),"①病院一般",IF($AJ2771=41,"②病院短期","対象外")),IF($AH2771=5,IF($AJ2771=30,"③特定消防","対象外"),IF(OR($AJ2771=10,$AJ2771=11,$AJ2771=74),"④一般",IF(OR($AJ2771=41,$AJ2771=47),"⑤短期","対象外"))))))</f>
      </c>
    </row>
    <row r="2772">
      <c r="DB2772" s="2909">
        <f>IF($A2772="","",IF($AE2772&amp;""&lt;&gt;'DB_設定'!$C$4,"対象外",IF($AH2772=20,IF(OR($AJ2772=10,$AJ2772=11,$AJ2772=18),"①病院一般",IF($AJ2772=41,"②病院短期","対象外")),IF($AH2772=5,IF($AJ2772=30,"③特定消防","対象外"),IF(OR($AJ2772=10,$AJ2772=11,$AJ2772=74),"④一般",IF(OR($AJ2772=41,$AJ2772=47),"⑤短期","対象外"))))))</f>
      </c>
    </row>
    <row r="2773">
      <c r="DB2773" s="2909">
        <f>IF($A2773="","",IF($AE2773&amp;""&lt;&gt;'DB_設定'!$C$4,"対象外",IF($AH2773=20,IF(OR($AJ2773=10,$AJ2773=11,$AJ2773=18),"①病院一般",IF($AJ2773=41,"②病院短期","対象外")),IF($AH2773=5,IF($AJ2773=30,"③特定消防","対象外"),IF(OR($AJ2773=10,$AJ2773=11,$AJ2773=74),"④一般",IF(OR($AJ2773=41,$AJ2773=47),"⑤短期","対象外"))))))</f>
      </c>
    </row>
    <row r="2774">
      <c r="DB2774" s="2909">
        <f>IF($A2774="","",IF($AE2774&amp;""&lt;&gt;'DB_設定'!$C$4,"対象外",IF($AH2774=20,IF(OR($AJ2774=10,$AJ2774=11,$AJ2774=18),"①病院一般",IF($AJ2774=41,"②病院短期","対象外")),IF($AH2774=5,IF($AJ2774=30,"③特定消防","対象外"),IF(OR($AJ2774=10,$AJ2774=11,$AJ2774=74),"④一般",IF(OR($AJ2774=41,$AJ2774=47),"⑤短期","対象外"))))))</f>
      </c>
    </row>
    <row r="2775">
      <c r="DB2775" s="2909">
        <f>IF($A2775="","",IF($AE2775&amp;""&lt;&gt;'DB_設定'!$C$4,"対象外",IF($AH2775=20,IF(OR($AJ2775=10,$AJ2775=11,$AJ2775=18),"①病院一般",IF($AJ2775=41,"②病院短期","対象外")),IF($AH2775=5,IF($AJ2775=30,"③特定消防","対象外"),IF(OR($AJ2775=10,$AJ2775=11,$AJ2775=74),"④一般",IF(OR($AJ2775=41,$AJ2775=47),"⑤短期","対象外"))))))</f>
      </c>
    </row>
    <row r="2776">
      <c r="DB2776" s="2909">
        <f>IF($A2776="","",IF($AE2776&amp;""&lt;&gt;'DB_設定'!$C$4,"対象外",IF($AH2776=20,IF(OR($AJ2776=10,$AJ2776=11,$AJ2776=18),"①病院一般",IF($AJ2776=41,"②病院短期","対象外")),IF($AH2776=5,IF($AJ2776=30,"③特定消防","対象外"),IF(OR($AJ2776=10,$AJ2776=11,$AJ2776=74),"④一般",IF(OR($AJ2776=41,$AJ2776=47),"⑤短期","対象外"))))))</f>
      </c>
    </row>
    <row r="2777">
      <c r="DB2777" s="2909">
        <f>IF($A2777="","",IF($AE2777&amp;""&lt;&gt;'DB_設定'!$C$4,"対象外",IF($AH2777=20,IF(OR($AJ2777=10,$AJ2777=11,$AJ2777=18),"①病院一般",IF($AJ2777=41,"②病院短期","対象外")),IF($AH2777=5,IF($AJ2777=30,"③特定消防","対象外"),IF(OR($AJ2777=10,$AJ2777=11,$AJ2777=74),"④一般",IF(OR($AJ2777=41,$AJ2777=47),"⑤短期","対象外"))))))</f>
      </c>
    </row>
    <row r="2778">
      <c r="DB2778" s="2909">
        <f>IF($A2778="","",IF($AE2778&amp;""&lt;&gt;'DB_設定'!$C$4,"対象外",IF($AH2778=20,IF(OR($AJ2778=10,$AJ2778=11,$AJ2778=18),"①病院一般",IF($AJ2778=41,"②病院短期","対象外")),IF($AH2778=5,IF($AJ2778=30,"③特定消防","対象外"),IF(OR($AJ2778=10,$AJ2778=11,$AJ2778=74),"④一般",IF(OR($AJ2778=41,$AJ2778=47),"⑤短期","対象外"))))))</f>
      </c>
    </row>
    <row r="2779">
      <c r="DB2779" s="2909">
        <f>IF($A2779="","",IF($AE2779&amp;""&lt;&gt;'DB_設定'!$C$4,"対象外",IF($AH2779=20,IF(OR($AJ2779=10,$AJ2779=11,$AJ2779=18),"①病院一般",IF($AJ2779=41,"②病院短期","対象外")),IF($AH2779=5,IF($AJ2779=30,"③特定消防","対象外"),IF(OR($AJ2779=10,$AJ2779=11,$AJ2779=74),"④一般",IF(OR($AJ2779=41,$AJ2779=47),"⑤短期","対象外"))))))</f>
      </c>
    </row>
    <row r="2780">
      <c r="DB2780" s="2909">
        <f>IF($A2780="","",IF($AE2780&amp;""&lt;&gt;'DB_設定'!$C$4,"対象外",IF($AH2780=20,IF(OR($AJ2780=10,$AJ2780=11,$AJ2780=18),"①病院一般",IF($AJ2780=41,"②病院短期","対象外")),IF($AH2780=5,IF($AJ2780=30,"③特定消防","対象外"),IF(OR($AJ2780=10,$AJ2780=11,$AJ2780=74),"④一般",IF(OR($AJ2780=41,$AJ2780=47),"⑤短期","対象外"))))))</f>
      </c>
    </row>
    <row r="2781">
      <c r="DB2781" s="2909">
        <f>IF($A2781="","",IF($AE2781&amp;""&lt;&gt;'DB_設定'!$C$4,"対象外",IF($AH2781=20,IF(OR($AJ2781=10,$AJ2781=11,$AJ2781=18),"①病院一般",IF($AJ2781=41,"②病院短期","対象外")),IF($AH2781=5,IF($AJ2781=30,"③特定消防","対象外"),IF(OR($AJ2781=10,$AJ2781=11,$AJ2781=74),"④一般",IF(OR($AJ2781=41,$AJ2781=47),"⑤短期","対象外"))))))</f>
      </c>
    </row>
    <row r="2782">
      <c r="DB2782" s="2909">
        <f>IF($A2782="","",IF($AE2782&amp;""&lt;&gt;'DB_設定'!$C$4,"対象外",IF($AH2782=20,IF(OR($AJ2782=10,$AJ2782=11,$AJ2782=18),"①病院一般",IF($AJ2782=41,"②病院短期","対象外")),IF($AH2782=5,IF($AJ2782=30,"③特定消防","対象外"),IF(OR($AJ2782=10,$AJ2782=11,$AJ2782=74),"④一般",IF(OR($AJ2782=41,$AJ2782=47),"⑤短期","対象外"))))))</f>
      </c>
    </row>
    <row r="2783">
      <c r="DB2783" s="2909">
        <f>IF($A2783="","",IF($AE2783&amp;""&lt;&gt;'DB_設定'!$C$4,"対象外",IF($AH2783=20,IF(OR($AJ2783=10,$AJ2783=11,$AJ2783=18),"①病院一般",IF($AJ2783=41,"②病院短期","対象外")),IF($AH2783=5,IF($AJ2783=30,"③特定消防","対象外"),IF(OR($AJ2783=10,$AJ2783=11,$AJ2783=74),"④一般",IF(OR($AJ2783=41,$AJ2783=47),"⑤短期","対象外"))))))</f>
      </c>
    </row>
    <row r="2784">
      <c r="DB2784" s="2909">
        <f>IF($A2784="","",IF($AE2784&amp;""&lt;&gt;'DB_設定'!$C$4,"対象外",IF($AH2784=20,IF(OR($AJ2784=10,$AJ2784=11,$AJ2784=18),"①病院一般",IF($AJ2784=41,"②病院短期","対象外")),IF($AH2784=5,IF($AJ2784=30,"③特定消防","対象外"),IF(OR($AJ2784=10,$AJ2784=11,$AJ2784=74),"④一般",IF(OR($AJ2784=41,$AJ2784=47),"⑤短期","対象外"))))))</f>
      </c>
    </row>
    <row r="2785">
      <c r="DB2785" s="2909">
        <f>IF($A2785="","",IF($AE2785&amp;""&lt;&gt;'DB_設定'!$C$4,"対象外",IF($AH2785=20,IF(OR($AJ2785=10,$AJ2785=11,$AJ2785=18),"①病院一般",IF($AJ2785=41,"②病院短期","対象外")),IF($AH2785=5,IF($AJ2785=30,"③特定消防","対象外"),IF(OR($AJ2785=10,$AJ2785=11,$AJ2785=74),"④一般",IF(OR($AJ2785=41,$AJ2785=47),"⑤短期","対象外"))))))</f>
      </c>
    </row>
    <row r="2786">
      <c r="DB2786" s="2909">
        <f>IF($A2786="","",IF($AE2786&amp;""&lt;&gt;'DB_設定'!$C$4,"対象外",IF($AH2786=20,IF(OR($AJ2786=10,$AJ2786=11,$AJ2786=18),"①病院一般",IF($AJ2786=41,"②病院短期","対象外")),IF($AH2786=5,IF($AJ2786=30,"③特定消防","対象外"),IF(OR($AJ2786=10,$AJ2786=11,$AJ2786=74),"④一般",IF(OR($AJ2786=41,$AJ2786=47),"⑤短期","対象外"))))))</f>
      </c>
    </row>
    <row r="2787">
      <c r="DB2787" s="2909">
        <f>IF($A2787="","",IF($AE2787&amp;""&lt;&gt;'DB_設定'!$C$4,"対象外",IF($AH2787=20,IF(OR($AJ2787=10,$AJ2787=11,$AJ2787=18),"①病院一般",IF($AJ2787=41,"②病院短期","対象外")),IF($AH2787=5,IF($AJ2787=30,"③特定消防","対象外"),IF(OR($AJ2787=10,$AJ2787=11,$AJ2787=74),"④一般",IF(OR($AJ2787=41,$AJ2787=47),"⑤短期","対象外"))))))</f>
      </c>
    </row>
    <row r="2788">
      <c r="DB2788" s="2909">
        <f>IF($A2788="","",IF($AE2788&amp;""&lt;&gt;'DB_設定'!$C$4,"対象外",IF($AH2788=20,IF(OR($AJ2788=10,$AJ2788=11,$AJ2788=18),"①病院一般",IF($AJ2788=41,"②病院短期","対象外")),IF($AH2788=5,IF($AJ2788=30,"③特定消防","対象外"),IF(OR($AJ2788=10,$AJ2788=11,$AJ2788=74),"④一般",IF(OR($AJ2788=41,$AJ2788=47),"⑤短期","対象外"))))))</f>
      </c>
    </row>
    <row r="2789">
      <c r="DB2789" s="2909">
        <f>IF($A2789="","",IF($AE2789&amp;""&lt;&gt;'DB_設定'!$C$4,"対象外",IF($AH2789=20,IF(OR($AJ2789=10,$AJ2789=11,$AJ2789=18),"①病院一般",IF($AJ2789=41,"②病院短期","対象外")),IF($AH2789=5,IF($AJ2789=30,"③特定消防","対象外"),IF(OR($AJ2789=10,$AJ2789=11,$AJ2789=74),"④一般",IF(OR($AJ2789=41,$AJ2789=47),"⑤短期","対象外"))))))</f>
      </c>
    </row>
    <row r="2790">
      <c r="DB2790" s="2909">
        <f>IF($A2790="","",IF($AE2790&amp;""&lt;&gt;'DB_設定'!$C$4,"対象外",IF($AH2790=20,IF(OR($AJ2790=10,$AJ2790=11,$AJ2790=18),"①病院一般",IF($AJ2790=41,"②病院短期","対象外")),IF($AH2790=5,IF($AJ2790=30,"③特定消防","対象外"),IF(OR($AJ2790=10,$AJ2790=11,$AJ2790=74),"④一般",IF(OR($AJ2790=41,$AJ2790=47),"⑤短期","対象外"))))))</f>
      </c>
    </row>
    <row r="2791">
      <c r="DB2791" s="2909">
        <f>IF($A2791="","",IF($AE2791&amp;""&lt;&gt;'DB_設定'!$C$4,"対象外",IF($AH2791=20,IF(OR($AJ2791=10,$AJ2791=11,$AJ2791=18),"①病院一般",IF($AJ2791=41,"②病院短期","対象外")),IF($AH2791=5,IF($AJ2791=30,"③特定消防","対象外"),IF(OR($AJ2791=10,$AJ2791=11,$AJ2791=74),"④一般",IF(OR($AJ2791=41,$AJ2791=47),"⑤短期","対象外"))))))</f>
      </c>
    </row>
    <row r="2792">
      <c r="DB2792" s="2909">
        <f>IF($A2792="","",IF($AE2792&amp;""&lt;&gt;'DB_設定'!$C$4,"対象外",IF($AH2792=20,IF(OR($AJ2792=10,$AJ2792=11,$AJ2792=18),"①病院一般",IF($AJ2792=41,"②病院短期","対象外")),IF($AH2792=5,IF($AJ2792=30,"③特定消防","対象外"),IF(OR($AJ2792=10,$AJ2792=11,$AJ2792=74),"④一般",IF(OR($AJ2792=41,$AJ2792=47),"⑤短期","対象外"))))))</f>
      </c>
    </row>
    <row r="2793">
      <c r="DB2793" s="2909">
        <f>IF($A2793="","",IF($AE2793&amp;""&lt;&gt;'DB_設定'!$C$4,"対象外",IF($AH2793=20,IF(OR($AJ2793=10,$AJ2793=11,$AJ2793=18),"①病院一般",IF($AJ2793=41,"②病院短期","対象外")),IF($AH2793=5,IF($AJ2793=30,"③特定消防","対象外"),IF(OR($AJ2793=10,$AJ2793=11,$AJ2793=74),"④一般",IF(OR($AJ2793=41,$AJ2793=47),"⑤短期","対象外"))))))</f>
      </c>
    </row>
    <row r="2794">
      <c r="DB2794" s="2909">
        <f>IF($A2794="","",IF($AE2794&amp;""&lt;&gt;'DB_設定'!$C$4,"対象外",IF($AH2794=20,IF(OR($AJ2794=10,$AJ2794=11,$AJ2794=18),"①病院一般",IF($AJ2794=41,"②病院短期","対象外")),IF($AH2794=5,IF($AJ2794=30,"③特定消防","対象外"),IF(OR($AJ2794=10,$AJ2794=11,$AJ2794=74),"④一般",IF(OR($AJ2794=41,$AJ2794=47),"⑤短期","対象外"))))))</f>
      </c>
    </row>
    <row r="2795">
      <c r="DB2795" s="2909">
        <f>IF($A2795="","",IF($AE2795&amp;""&lt;&gt;'DB_設定'!$C$4,"対象外",IF($AH2795=20,IF(OR($AJ2795=10,$AJ2795=11,$AJ2795=18),"①病院一般",IF($AJ2795=41,"②病院短期","対象外")),IF($AH2795=5,IF($AJ2795=30,"③特定消防","対象外"),IF(OR($AJ2795=10,$AJ2795=11,$AJ2795=74),"④一般",IF(OR($AJ2795=41,$AJ2795=47),"⑤短期","対象外"))))))</f>
      </c>
    </row>
    <row r="2796">
      <c r="DB2796" s="2909">
        <f>IF($A2796="","",IF($AE2796&amp;""&lt;&gt;'DB_設定'!$C$4,"対象外",IF($AH2796=20,IF(OR($AJ2796=10,$AJ2796=11,$AJ2796=18),"①病院一般",IF($AJ2796=41,"②病院短期","対象外")),IF($AH2796=5,IF($AJ2796=30,"③特定消防","対象外"),IF(OR($AJ2796=10,$AJ2796=11,$AJ2796=74),"④一般",IF(OR($AJ2796=41,$AJ2796=47),"⑤短期","対象外"))))))</f>
      </c>
    </row>
    <row r="2797">
      <c r="DB2797" s="2909">
        <f>IF($A2797="","",IF($AE2797&amp;""&lt;&gt;'DB_設定'!$C$4,"対象外",IF($AH2797=20,IF(OR($AJ2797=10,$AJ2797=11,$AJ2797=18),"①病院一般",IF($AJ2797=41,"②病院短期","対象外")),IF($AH2797=5,IF($AJ2797=30,"③特定消防","対象外"),IF(OR($AJ2797=10,$AJ2797=11,$AJ2797=74),"④一般",IF(OR($AJ2797=41,$AJ2797=47),"⑤短期","対象外"))))))</f>
      </c>
    </row>
    <row r="2798">
      <c r="DB2798" s="2909">
        <f>IF($A2798="","",IF($AE2798&amp;""&lt;&gt;'DB_設定'!$C$4,"対象外",IF($AH2798=20,IF(OR($AJ2798=10,$AJ2798=11,$AJ2798=18),"①病院一般",IF($AJ2798=41,"②病院短期","対象外")),IF($AH2798=5,IF($AJ2798=30,"③特定消防","対象外"),IF(OR($AJ2798=10,$AJ2798=11,$AJ2798=74),"④一般",IF(OR($AJ2798=41,$AJ2798=47),"⑤短期","対象外"))))))</f>
      </c>
    </row>
    <row r="2799">
      <c r="DB2799" s="2909">
        <f>IF($A2799="","",IF($AE2799&amp;""&lt;&gt;'DB_設定'!$C$4,"対象外",IF($AH2799=20,IF(OR($AJ2799=10,$AJ2799=11,$AJ2799=18),"①病院一般",IF($AJ2799=41,"②病院短期","対象外")),IF($AH2799=5,IF($AJ2799=30,"③特定消防","対象外"),IF(OR($AJ2799=10,$AJ2799=11,$AJ2799=74),"④一般",IF(OR($AJ2799=41,$AJ2799=47),"⑤短期","対象外"))))))</f>
      </c>
    </row>
    <row r="2800">
      <c r="DB2800" s="2909">
        <f>IF($A2800="","",IF($AE2800&amp;""&lt;&gt;'DB_設定'!$C$4,"対象外",IF($AH2800=20,IF(OR($AJ2800=10,$AJ2800=11,$AJ2800=18),"①病院一般",IF($AJ2800=41,"②病院短期","対象外")),IF($AH2800=5,IF($AJ2800=30,"③特定消防","対象外"),IF(OR($AJ2800=10,$AJ2800=11,$AJ2800=74),"④一般",IF(OR($AJ2800=41,$AJ2800=47),"⑤短期","対象外"))))))</f>
      </c>
    </row>
    <row r="2801">
      <c r="DB2801" s="2909">
        <f>IF($A2801="","",IF($AE2801&amp;""&lt;&gt;'DB_設定'!$C$4,"対象外",IF($AH2801=20,IF(OR($AJ2801=10,$AJ2801=11,$AJ2801=18),"①病院一般",IF($AJ2801=41,"②病院短期","対象外")),IF($AH2801=5,IF($AJ2801=30,"③特定消防","対象外"),IF(OR($AJ2801=10,$AJ2801=11,$AJ2801=74),"④一般",IF(OR($AJ2801=41,$AJ2801=47),"⑤短期","対象外"))))))</f>
      </c>
    </row>
    <row r="2802">
      <c r="DB2802" s="2909">
        <f>IF($A2802="","",IF($AE2802&amp;""&lt;&gt;'DB_設定'!$C$4,"対象外",IF($AH2802=20,IF(OR($AJ2802=10,$AJ2802=11,$AJ2802=18),"①病院一般",IF($AJ2802=41,"②病院短期","対象外")),IF($AH2802=5,IF($AJ2802=30,"③特定消防","対象外"),IF(OR($AJ2802=10,$AJ2802=11,$AJ2802=74),"④一般",IF(OR($AJ2802=41,$AJ2802=47),"⑤短期","対象外"))))))</f>
      </c>
    </row>
    <row r="2803">
      <c r="DB2803" s="2909">
        <f>IF($A2803="","",IF($AE2803&amp;""&lt;&gt;'DB_設定'!$C$4,"対象外",IF($AH2803=20,IF(OR($AJ2803=10,$AJ2803=11,$AJ2803=18),"①病院一般",IF($AJ2803=41,"②病院短期","対象外")),IF($AH2803=5,IF($AJ2803=30,"③特定消防","対象外"),IF(OR($AJ2803=10,$AJ2803=11,$AJ2803=74),"④一般",IF(OR($AJ2803=41,$AJ2803=47),"⑤短期","対象外"))))))</f>
      </c>
    </row>
    <row r="2804">
      <c r="DB2804" s="2909">
        <f>IF($A2804="","",IF($AE2804&amp;""&lt;&gt;'DB_設定'!$C$4,"対象外",IF($AH2804=20,IF(OR($AJ2804=10,$AJ2804=11,$AJ2804=18),"①病院一般",IF($AJ2804=41,"②病院短期","対象外")),IF($AH2804=5,IF($AJ2804=30,"③特定消防","対象外"),IF(OR($AJ2804=10,$AJ2804=11,$AJ2804=74),"④一般",IF(OR($AJ2804=41,$AJ2804=47),"⑤短期","対象外"))))))</f>
      </c>
    </row>
    <row r="2805">
      <c r="DB2805" s="2909">
        <f>IF($A2805="","",IF($AE2805&amp;""&lt;&gt;'DB_設定'!$C$4,"対象外",IF($AH2805=20,IF(OR($AJ2805=10,$AJ2805=11,$AJ2805=18),"①病院一般",IF($AJ2805=41,"②病院短期","対象外")),IF($AH2805=5,IF($AJ2805=30,"③特定消防","対象外"),IF(OR($AJ2805=10,$AJ2805=11,$AJ2805=74),"④一般",IF(OR($AJ2805=41,$AJ2805=47),"⑤短期","対象外"))))))</f>
      </c>
    </row>
    <row r="2806">
      <c r="DB2806" s="2909">
        <f>IF($A2806="","",IF($AE2806&amp;""&lt;&gt;'DB_設定'!$C$4,"対象外",IF($AH2806=20,IF(OR($AJ2806=10,$AJ2806=11,$AJ2806=18),"①病院一般",IF($AJ2806=41,"②病院短期","対象外")),IF($AH2806=5,IF($AJ2806=30,"③特定消防","対象外"),IF(OR($AJ2806=10,$AJ2806=11,$AJ2806=74),"④一般",IF(OR($AJ2806=41,$AJ2806=47),"⑤短期","対象外"))))))</f>
      </c>
    </row>
    <row r="2807">
      <c r="DB2807" s="2909">
        <f>IF($A2807="","",IF($AE2807&amp;""&lt;&gt;'DB_設定'!$C$4,"対象外",IF($AH2807=20,IF(OR($AJ2807=10,$AJ2807=11,$AJ2807=18),"①病院一般",IF($AJ2807=41,"②病院短期","対象外")),IF($AH2807=5,IF($AJ2807=30,"③特定消防","対象外"),IF(OR($AJ2807=10,$AJ2807=11,$AJ2807=74),"④一般",IF(OR($AJ2807=41,$AJ2807=47),"⑤短期","対象外"))))))</f>
      </c>
    </row>
    <row r="2808">
      <c r="DB2808" s="2909">
        <f>IF($A2808="","",IF($AE2808&amp;""&lt;&gt;'DB_設定'!$C$4,"対象外",IF($AH2808=20,IF(OR($AJ2808=10,$AJ2808=11,$AJ2808=18),"①病院一般",IF($AJ2808=41,"②病院短期","対象外")),IF($AH2808=5,IF($AJ2808=30,"③特定消防","対象外"),IF(OR($AJ2808=10,$AJ2808=11,$AJ2808=74),"④一般",IF(OR($AJ2808=41,$AJ2808=47),"⑤短期","対象外"))))))</f>
      </c>
    </row>
    <row r="2809">
      <c r="DB2809" s="2909">
        <f>IF($A2809="","",IF($AE2809&amp;""&lt;&gt;'DB_設定'!$C$4,"対象外",IF($AH2809=20,IF(OR($AJ2809=10,$AJ2809=11,$AJ2809=18),"①病院一般",IF($AJ2809=41,"②病院短期","対象外")),IF($AH2809=5,IF($AJ2809=30,"③特定消防","対象外"),IF(OR($AJ2809=10,$AJ2809=11,$AJ2809=74),"④一般",IF(OR($AJ2809=41,$AJ2809=47),"⑤短期","対象外"))))))</f>
      </c>
    </row>
    <row r="2810">
      <c r="DB2810" s="2909">
        <f>IF($A2810="","",IF($AE2810&amp;""&lt;&gt;'DB_設定'!$C$4,"対象外",IF($AH2810=20,IF(OR($AJ2810=10,$AJ2810=11,$AJ2810=18),"①病院一般",IF($AJ2810=41,"②病院短期","対象外")),IF($AH2810=5,IF($AJ2810=30,"③特定消防","対象外"),IF(OR($AJ2810=10,$AJ2810=11,$AJ2810=74),"④一般",IF(OR($AJ2810=41,$AJ2810=47),"⑤短期","対象外"))))))</f>
      </c>
    </row>
    <row r="2811">
      <c r="DB2811" s="2909">
        <f>IF($A2811="","",IF($AE2811&amp;""&lt;&gt;'DB_設定'!$C$4,"対象外",IF($AH2811=20,IF(OR($AJ2811=10,$AJ2811=11,$AJ2811=18),"①病院一般",IF($AJ2811=41,"②病院短期","対象外")),IF($AH2811=5,IF($AJ2811=30,"③特定消防","対象外"),IF(OR($AJ2811=10,$AJ2811=11,$AJ2811=74),"④一般",IF(OR($AJ2811=41,$AJ2811=47),"⑤短期","対象外"))))))</f>
      </c>
    </row>
    <row r="2812">
      <c r="DB2812" s="2909">
        <f>IF($A2812="","",IF($AE2812&amp;""&lt;&gt;'DB_設定'!$C$4,"対象外",IF($AH2812=20,IF(OR($AJ2812=10,$AJ2812=11,$AJ2812=18),"①病院一般",IF($AJ2812=41,"②病院短期","対象外")),IF($AH2812=5,IF($AJ2812=30,"③特定消防","対象外"),IF(OR($AJ2812=10,$AJ2812=11,$AJ2812=74),"④一般",IF(OR($AJ2812=41,$AJ2812=47),"⑤短期","対象外"))))))</f>
      </c>
    </row>
    <row r="2813">
      <c r="DB2813" s="2909">
        <f>IF($A2813="","",IF($AE2813&amp;""&lt;&gt;'DB_設定'!$C$4,"対象外",IF($AH2813=20,IF(OR($AJ2813=10,$AJ2813=11,$AJ2813=18),"①病院一般",IF($AJ2813=41,"②病院短期","対象外")),IF($AH2813=5,IF($AJ2813=30,"③特定消防","対象外"),IF(OR($AJ2813=10,$AJ2813=11,$AJ2813=74),"④一般",IF(OR($AJ2813=41,$AJ2813=47),"⑤短期","対象外"))))))</f>
      </c>
    </row>
    <row r="2814">
      <c r="DB2814" s="2909">
        <f>IF($A2814="","",IF($AE2814&amp;""&lt;&gt;'DB_設定'!$C$4,"対象外",IF($AH2814=20,IF(OR($AJ2814=10,$AJ2814=11,$AJ2814=18),"①病院一般",IF($AJ2814=41,"②病院短期","対象外")),IF($AH2814=5,IF($AJ2814=30,"③特定消防","対象外"),IF(OR($AJ2814=10,$AJ2814=11,$AJ2814=74),"④一般",IF(OR($AJ2814=41,$AJ2814=47),"⑤短期","対象外"))))))</f>
      </c>
    </row>
    <row r="2815">
      <c r="DB2815" s="2909">
        <f>IF($A2815="","",IF($AE2815&amp;""&lt;&gt;'DB_設定'!$C$4,"対象外",IF($AH2815=20,IF(OR($AJ2815=10,$AJ2815=11,$AJ2815=18),"①病院一般",IF($AJ2815=41,"②病院短期","対象外")),IF($AH2815=5,IF($AJ2815=30,"③特定消防","対象外"),IF(OR($AJ2815=10,$AJ2815=11,$AJ2815=74),"④一般",IF(OR($AJ2815=41,$AJ2815=47),"⑤短期","対象外"))))))</f>
      </c>
    </row>
    <row r="2816">
      <c r="DB2816" s="2909">
        <f>IF($A2816="","",IF($AE2816&amp;""&lt;&gt;'DB_設定'!$C$4,"対象外",IF($AH2816=20,IF(OR($AJ2816=10,$AJ2816=11,$AJ2816=18),"①病院一般",IF($AJ2816=41,"②病院短期","対象外")),IF($AH2816=5,IF($AJ2816=30,"③特定消防","対象外"),IF(OR($AJ2816=10,$AJ2816=11,$AJ2816=74),"④一般",IF(OR($AJ2816=41,$AJ2816=47),"⑤短期","対象外"))))))</f>
      </c>
    </row>
    <row r="2817">
      <c r="DB2817" s="2909">
        <f>IF($A2817="","",IF($AE2817&amp;""&lt;&gt;'DB_設定'!$C$4,"対象外",IF($AH2817=20,IF(OR($AJ2817=10,$AJ2817=11,$AJ2817=18),"①病院一般",IF($AJ2817=41,"②病院短期","対象外")),IF($AH2817=5,IF($AJ2817=30,"③特定消防","対象外"),IF(OR($AJ2817=10,$AJ2817=11,$AJ2817=74),"④一般",IF(OR($AJ2817=41,$AJ2817=47),"⑤短期","対象外"))))))</f>
      </c>
    </row>
    <row r="2818">
      <c r="DB2818" s="2909">
        <f>IF($A2818="","",IF($AE2818&amp;""&lt;&gt;'DB_設定'!$C$4,"対象外",IF($AH2818=20,IF(OR($AJ2818=10,$AJ2818=11,$AJ2818=18),"①病院一般",IF($AJ2818=41,"②病院短期","対象外")),IF($AH2818=5,IF($AJ2818=30,"③特定消防","対象外"),IF(OR($AJ2818=10,$AJ2818=11,$AJ2818=74),"④一般",IF(OR($AJ2818=41,$AJ2818=47),"⑤短期","対象外"))))))</f>
      </c>
    </row>
    <row r="2819">
      <c r="DB2819" s="2909">
        <f>IF($A2819="","",IF($AE2819&amp;""&lt;&gt;'DB_設定'!$C$4,"対象外",IF($AH2819=20,IF(OR($AJ2819=10,$AJ2819=11,$AJ2819=18),"①病院一般",IF($AJ2819=41,"②病院短期","対象外")),IF($AH2819=5,IF($AJ2819=30,"③特定消防","対象外"),IF(OR($AJ2819=10,$AJ2819=11,$AJ2819=74),"④一般",IF(OR($AJ2819=41,$AJ2819=47),"⑤短期","対象外"))))))</f>
      </c>
    </row>
    <row r="2820">
      <c r="DB2820" s="2909">
        <f>IF($A2820="","",IF($AE2820&amp;""&lt;&gt;'DB_設定'!$C$4,"対象外",IF($AH2820=20,IF(OR($AJ2820=10,$AJ2820=11,$AJ2820=18),"①病院一般",IF($AJ2820=41,"②病院短期","対象外")),IF($AH2820=5,IF($AJ2820=30,"③特定消防","対象外"),IF(OR($AJ2820=10,$AJ2820=11,$AJ2820=74),"④一般",IF(OR($AJ2820=41,$AJ2820=47),"⑤短期","対象外"))))))</f>
      </c>
    </row>
    <row r="2821">
      <c r="DB2821" s="2909">
        <f>IF($A2821="","",IF($AE2821&amp;""&lt;&gt;'DB_設定'!$C$4,"対象外",IF($AH2821=20,IF(OR($AJ2821=10,$AJ2821=11,$AJ2821=18),"①病院一般",IF($AJ2821=41,"②病院短期","対象外")),IF($AH2821=5,IF($AJ2821=30,"③特定消防","対象外"),IF(OR($AJ2821=10,$AJ2821=11,$AJ2821=74),"④一般",IF(OR($AJ2821=41,$AJ2821=47),"⑤短期","対象外"))))))</f>
      </c>
    </row>
    <row r="2822">
      <c r="DB2822" s="2909">
        <f>IF($A2822="","",IF($AE2822&amp;""&lt;&gt;'DB_設定'!$C$4,"対象外",IF($AH2822=20,IF(OR($AJ2822=10,$AJ2822=11,$AJ2822=18),"①病院一般",IF($AJ2822=41,"②病院短期","対象外")),IF($AH2822=5,IF($AJ2822=30,"③特定消防","対象外"),IF(OR($AJ2822=10,$AJ2822=11,$AJ2822=74),"④一般",IF(OR($AJ2822=41,$AJ2822=47),"⑤短期","対象外"))))))</f>
      </c>
    </row>
    <row r="2823">
      <c r="DB2823" s="2909">
        <f>IF($A2823="","",IF($AE2823&amp;""&lt;&gt;'DB_設定'!$C$4,"対象外",IF($AH2823=20,IF(OR($AJ2823=10,$AJ2823=11,$AJ2823=18),"①病院一般",IF($AJ2823=41,"②病院短期","対象外")),IF($AH2823=5,IF($AJ2823=30,"③特定消防","対象外"),IF(OR($AJ2823=10,$AJ2823=11,$AJ2823=74),"④一般",IF(OR($AJ2823=41,$AJ2823=47),"⑤短期","対象外"))))))</f>
      </c>
    </row>
    <row r="2824">
      <c r="DB2824" s="2909">
        <f>IF($A2824="","",IF($AE2824&amp;""&lt;&gt;'DB_設定'!$C$4,"対象外",IF($AH2824=20,IF(OR($AJ2824=10,$AJ2824=11,$AJ2824=18),"①病院一般",IF($AJ2824=41,"②病院短期","対象外")),IF($AH2824=5,IF($AJ2824=30,"③特定消防","対象外"),IF(OR($AJ2824=10,$AJ2824=11,$AJ2824=74),"④一般",IF(OR($AJ2824=41,$AJ2824=47),"⑤短期","対象外"))))))</f>
      </c>
    </row>
    <row r="2825">
      <c r="DB2825" s="2909">
        <f>IF($A2825="","",IF($AE2825&amp;""&lt;&gt;'DB_設定'!$C$4,"対象外",IF($AH2825=20,IF(OR($AJ2825=10,$AJ2825=11,$AJ2825=18),"①病院一般",IF($AJ2825=41,"②病院短期","対象外")),IF($AH2825=5,IF($AJ2825=30,"③特定消防","対象外"),IF(OR($AJ2825=10,$AJ2825=11,$AJ2825=74),"④一般",IF(OR($AJ2825=41,$AJ2825=47),"⑤短期","対象外"))))))</f>
      </c>
    </row>
    <row r="2826">
      <c r="DB2826" s="2909">
        <f>IF($A2826="","",IF($AE2826&amp;""&lt;&gt;'DB_設定'!$C$4,"対象外",IF($AH2826=20,IF(OR($AJ2826=10,$AJ2826=11,$AJ2826=18),"①病院一般",IF($AJ2826=41,"②病院短期","対象外")),IF($AH2826=5,IF($AJ2826=30,"③特定消防","対象外"),IF(OR($AJ2826=10,$AJ2826=11,$AJ2826=74),"④一般",IF(OR($AJ2826=41,$AJ2826=47),"⑤短期","対象外"))))))</f>
      </c>
    </row>
    <row r="2827">
      <c r="DB2827" s="2909">
        <f>IF($A2827="","",IF($AE2827&amp;""&lt;&gt;'DB_設定'!$C$4,"対象外",IF($AH2827=20,IF(OR($AJ2827=10,$AJ2827=11,$AJ2827=18),"①病院一般",IF($AJ2827=41,"②病院短期","対象外")),IF($AH2827=5,IF($AJ2827=30,"③特定消防","対象外"),IF(OR($AJ2827=10,$AJ2827=11,$AJ2827=74),"④一般",IF(OR($AJ2827=41,$AJ2827=47),"⑤短期","対象外"))))))</f>
      </c>
    </row>
    <row r="2828">
      <c r="DB2828" s="2909">
        <f>IF($A2828="","",IF($AE2828&amp;""&lt;&gt;'DB_設定'!$C$4,"対象外",IF($AH2828=20,IF(OR($AJ2828=10,$AJ2828=11,$AJ2828=18),"①病院一般",IF($AJ2828=41,"②病院短期","対象外")),IF($AH2828=5,IF($AJ2828=30,"③特定消防","対象外"),IF(OR($AJ2828=10,$AJ2828=11,$AJ2828=74),"④一般",IF(OR($AJ2828=41,$AJ2828=47),"⑤短期","対象外"))))))</f>
      </c>
    </row>
    <row r="2829">
      <c r="DB2829" s="2909">
        <f>IF($A2829="","",IF($AE2829&amp;""&lt;&gt;'DB_設定'!$C$4,"対象外",IF($AH2829=20,IF(OR($AJ2829=10,$AJ2829=11,$AJ2829=18),"①病院一般",IF($AJ2829=41,"②病院短期","対象外")),IF($AH2829=5,IF($AJ2829=30,"③特定消防","対象外"),IF(OR($AJ2829=10,$AJ2829=11,$AJ2829=74),"④一般",IF(OR($AJ2829=41,$AJ2829=47),"⑤短期","対象外"))))))</f>
      </c>
    </row>
    <row r="2830">
      <c r="DB2830" s="2909">
        <f>IF($A2830="","",IF($AE2830&amp;""&lt;&gt;'DB_設定'!$C$4,"対象外",IF($AH2830=20,IF(OR($AJ2830=10,$AJ2830=11,$AJ2830=18),"①病院一般",IF($AJ2830=41,"②病院短期","対象外")),IF($AH2830=5,IF($AJ2830=30,"③特定消防","対象外"),IF(OR($AJ2830=10,$AJ2830=11,$AJ2830=74),"④一般",IF(OR($AJ2830=41,$AJ2830=47),"⑤短期","対象外"))))))</f>
      </c>
    </row>
    <row r="2831">
      <c r="DB2831" s="2909">
        <f>IF($A2831="","",IF($AE2831&amp;""&lt;&gt;'DB_設定'!$C$4,"対象外",IF($AH2831=20,IF(OR($AJ2831=10,$AJ2831=11,$AJ2831=18),"①病院一般",IF($AJ2831=41,"②病院短期","対象外")),IF($AH2831=5,IF($AJ2831=30,"③特定消防","対象外"),IF(OR($AJ2831=10,$AJ2831=11,$AJ2831=74),"④一般",IF(OR($AJ2831=41,$AJ2831=47),"⑤短期","対象外"))))))</f>
      </c>
    </row>
    <row r="2832">
      <c r="DB2832" s="2909">
        <f>IF($A2832="","",IF($AE2832&amp;""&lt;&gt;'DB_設定'!$C$4,"対象外",IF($AH2832=20,IF(OR($AJ2832=10,$AJ2832=11,$AJ2832=18),"①病院一般",IF($AJ2832=41,"②病院短期","対象外")),IF($AH2832=5,IF($AJ2832=30,"③特定消防","対象外"),IF(OR($AJ2832=10,$AJ2832=11,$AJ2832=74),"④一般",IF(OR($AJ2832=41,$AJ2832=47),"⑤短期","対象外"))))))</f>
      </c>
    </row>
    <row r="2833">
      <c r="DB2833" s="2909">
        <f>IF($A2833="","",IF($AE2833&amp;""&lt;&gt;'DB_設定'!$C$4,"対象外",IF($AH2833=20,IF(OR($AJ2833=10,$AJ2833=11,$AJ2833=18),"①病院一般",IF($AJ2833=41,"②病院短期","対象外")),IF($AH2833=5,IF($AJ2833=30,"③特定消防","対象外"),IF(OR($AJ2833=10,$AJ2833=11,$AJ2833=74),"④一般",IF(OR($AJ2833=41,$AJ2833=47),"⑤短期","対象外"))))))</f>
      </c>
    </row>
    <row r="2834">
      <c r="DB2834" s="2909">
        <f>IF($A2834="","",IF($AE2834&amp;""&lt;&gt;'DB_設定'!$C$4,"対象外",IF($AH2834=20,IF(OR($AJ2834=10,$AJ2834=11,$AJ2834=18),"①病院一般",IF($AJ2834=41,"②病院短期","対象外")),IF($AH2834=5,IF($AJ2834=30,"③特定消防","対象外"),IF(OR($AJ2834=10,$AJ2834=11,$AJ2834=74),"④一般",IF(OR($AJ2834=41,$AJ2834=47),"⑤短期","対象外"))))))</f>
      </c>
    </row>
    <row r="2835">
      <c r="DB2835" s="2909">
        <f>IF($A2835="","",IF($AE2835&amp;""&lt;&gt;'DB_設定'!$C$4,"対象外",IF($AH2835=20,IF(OR($AJ2835=10,$AJ2835=11,$AJ2835=18),"①病院一般",IF($AJ2835=41,"②病院短期","対象外")),IF($AH2835=5,IF($AJ2835=30,"③特定消防","対象外"),IF(OR($AJ2835=10,$AJ2835=11,$AJ2835=74),"④一般",IF(OR($AJ2835=41,$AJ2835=47),"⑤短期","対象外"))))))</f>
      </c>
    </row>
    <row r="2836">
      <c r="DB2836" s="2909">
        <f>IF($A2836="","",IF($AE2836&amp;""&lt;&gt;'DB_設定'!$C$4,"対象外",IF($AH2836=20,IF(OR($AJ2836=10,$AJ2836=11,$AJ2836=18),"①病院一般",IF($AJ2836=41,"②病院短期","対象外")),IF($AH2836=5,IF($AJ2836=30,"③特定消防","対象外"),IF(OR($AJ2836=10,$AJ2836=11,$AJ2836=74),"④一般",IF(OR($AJ2836=41,$AJ2836=47),"⑤短期","対象外"))))))</f>
      </c>
    </row>
    <row r="2837">
      <c r="DB2837" s="2909">
        <f>IF($A2837="","",IF($AE2837&amp;""&lt;&gt;'DB_設定'!$C$4,"対象外",IF($AH2837=20,IF(OR($AJ2837=10,$AJ2837=11,$AJ2837=18),"①病院一般",IF($AJ2837=41,"②病院短期","対象外")),IF($AH2837=5,IF($AJ2837=30,"③特定消防","対象外"),IF(OR($AJ2837=10,$AJ2837=11,$AJ2837=74),"④一般",IF(OR($AJ2837=41,$AJ2837=47),"⑤短期","対象外"))))))</f>
      </c>
    </row>
    <row r="2838">
      <c r="DB2838" s="2909">
        <f>IF($A2838="","",IF($AE2838&amp;""&lt;&gt;'DB_設定'!$C$4,"対象外",IF($AH2838=20,IF(OR($AJ2838=10,$AJ2838=11,$AJ2838=18),"①病院一般",IF($AJ2838=41,"②病院短期","対象外")),IF($AH2838=5,IF($AJ2838=30,"③特定消防","対象外"),IF(OR($AJ2838=10,$AJ2838=11,$AJ2838=74),"④一般",IF(OR($AJ2838=41,$AJ2838=47),"⑤短期","対象外"))))))</f>
      </c>
    </row>
    <row r="2839">
      <c r="DB2839" s="2909">
        <f>IF($A2839="","",IF($AE2839&amp;""&lt;&gt;'DB_設定'!$C$4,"対象外",IF($AH2839=20,IF(OR($AJ2839=10,$AJ2839=11,$AJ2839=18),"①病院一般",IF($AJ2839=41,"②病院短期","対象外")),IF($AH2839=5,IF($AJ2839=30,"③特定消防","対象外"),IF(OR($AJ2839=10,$AJ2839=11,$AJ2839=74),"④一般",IF(OR($AJ2839=41,$AJ2839=47),"⑤短期","対象外"))))))</f>
      </c>
    </row>
    <row r="2840">
      <c r="DB2840" s="2909">
        <f>IF($A2840="","",IF($AE2840&amp;""&lt;&gt;'DB_設定'!$C$4,"対象外",IF($AH2840=20,IF(OR($AJ2840=10,$AJ2840=11,$AJ2840=18),"①病院一般",IF($AJ2840=41,"②病院短期","対象外")),IF($AH2840=5,IF($AJ2840=30,"③特定消防","対象外"),IF(OR($AJ2840=10,$AJ2840=11,$AJ2840=74),"④一般",IF(OR($AJ2840=41,$AJ2840=47),"⑤短期","対象外"))))))</f>
      </c>
    </row>
    <row r="2841">
      <c r="DB2841" s="2909">
        <f>IF($A2841="","",IF($AE2841&amp;""&lt;&gt;'DB_設定'!$C$4,"対象外",IF($AH2841=20,IF(OR($AJ2841=10,$AJ2841=11,$AJ2841=18),"①病院一般",IF($AJ2841=41,"②病院短期","対象外")),IF($AH2841=5,IF($AJ2841=30,"③特定消防","対象外"),IF(OR($AJ2841=10,$AJ2841=11,$AJ2841=74),"④一般",IF(OR($AJ2841=41,$AJ2841=47),"⑤短期","対象外"))))))</f>
      </c>
    </row>
    <row r="2842">
      <c r="DB2842" s="2909">
        <f>IF($A2842="","",IF($AE2842&amp;""&lt;&gt;'DB_設定'!$C$4,"対象外",IF($AH2842=20,IF(OR($AJ2842=10,$AJ2842=11,$AJ2842=18),"①病院一般",IF($AJ2842=41,"②病院短期","対象外")),IF($AH2842=5,IF($AJ2842=30,"③特定消防","対象外"),IF(OR($AJ2842=10,$AJ2842=11,$AJ2842=74),"④一般",IF(OR($AJ2842=41,$AJ2842=47),"⑤短期","対象外"))))))</f>
      </c>
    </row>
    <row r="2843">
      <c r="DB2843" s="2909">
        <f>IF($A2843="","",IF($AE2843&amp;""&lt;&gt;'DB_設定'!$C$4,"対象外",IF($AH2843=20,IF(OR($AJ2843=10,$AJ2843=11,$AJ2843=18),"①病院一般",IF($AJ2843=41,"②病院短期","対象外")),IF($AH2843=5,IF($AJ2843=30,"③特定消防","対象外"),IF(OR($AJ2843=10,$AJ2843=11,$AJ2843=74),"④一般",IF(OR($AJ2843=41,$AJ2843=47),"⑤短期","対象外"))))))</f>
      </c>
    </row>
    <row r="2844">
      <c r="DB2844" s="2909">
        <f>IF($A2844="","",IF($AE2844&amp;""&lt;&gt;'DB_設定'!$C$4,"対象外",IF($AH2844=20,IF(OR($AJ2844=10,$AJ2844=11,$AJ2844=18),"①病院一般",IF($AJ2844=41,"②病院短期","対象外")),IF($AH2844=5,IF($AJ2844=30,"③特定消防","対象外"),IF(OR($AJ2844=10,$AJ2844=11,$AJ2844=74),"④一般",IF(OR($AJ2844=41,$AJ2844=47),"⑤短期","対象外"))))))</f>
      </c>
    </row>
    <row r="2845">
      <c r="DB2845" s="2909">
        <f>IF($A2845="","",IF($AE2845&amp;""&lt;&gt;'DB_設定'!$C$4,"対象外",IF($AH2845=20,IF(OR($AJ2845=10,$AJ2845=11,$AJ2845=18),"①病院一般",IF($AJ2845=41,"②病院短期","対象外")),IF($AH2845=5,IF($AJ2845=30,"③特定消防","対象外"),IF(OR($AJ2845=10,$AJ2845=11,$AJ2845=74),"④一般",IF(OR($AJ2845=41,$AJ2845=47),"⑤短期","対象外"))))))</f>
      </c>
    </row>
    <row r="2846">
      <c r="DB2846" s="2909">
        <f>IF($A2846="","",IF($AE2846&amp;""&lt;&gt;'DB_設定'!$C$4,"対象外",IF($AH2846=20,IF(OR($AJ2846=10,$AJ2846=11,$AJ2846=18),"①病院一般",IF($AJ2846=41,"②病院短期","対象外")),IF($AH2846=5,IF($AJ2846=30,"③特定消防","対象外"),IF(OR($AJ2846=10,$AJ2846=11,$AJ2846=74),"④一般",IF(OR($AJ2846=41,$AJ2846=47),"⑤短期","対象外"))))))</f>
      </c>
    </row>
    <row r="2847">
      <c r="DB2847" s="2909">
        <f>IF($A2847="","",IF($AE2847&amp;""&lt;&gt;'DB_設定'!$C$4,"対象外",IF($AH2847=20,IF(OR($AJ2847=10,$AJ2847=11,$AJ2847=18),"①病院一般",IF($AJ2847=41,"②病院短期","対象外")),IF($AH2847=5,IF($AJ2847=30,"③特定消防","対象外"),IF(OR($AJ2847=10,$AJ2847=11,$AJ2847=74),"④一般",IF(OR($AJ2847=41,$AJ2847=47),"⑤短期","対象外"))))))</f>
      </c>
    </row>
    <row r="2848">
      <c r="DB2848" s="2909">
        <f>IF($A2848="","",IF($AE2848&amp;""&lt;&gt;'DB_設定'!$C$4,"対象外",IF($AH2848=20,IF(OR($AJ2848=10,$AJ2848=11,$AJ2848=18),"①病院一般",IF($AJ2848=41,"②病院短期","対象外")),IF($AH2848=5,IF($AJ2848=30,"③特定消防","対象外"),IF(OR($AJ2848=10,$AJ2848=11,$AJ2848=74),"④一般",IF(OR($AJ2848=41,$AJ2848=47),"⑤短期","対象外"))))))</f>
      </c>
    </row>
    <row r="2849">
      <c r="DB2849" s="2909">
        <f>IF($A2849="","",IF($AE2849&amp;""&lt;&gt;'DB_設定'!$C$4,"対象外",IF($AH2849=20,IF(OR($AJ2849=10,$AJ2849=11,$AJ2849=18),"①病院一般",IF($AJ2849=41,"②病院短期","対象外")),IF($AH2849=5,IF($AJ2849=30,"③特定消防","対象外"),IF(OR($AJ2849=10,$AJ2849=11,$AJ2849=74),"④一般",IF(OR($AJ2849=41,$AJ2849=47),"⑤短期","対象外"))))))</f>
      </c>
    </row>
    <row r="2850">
      <c r="DB2850" s="2909">
        <f>IF($A2850="","",IF($AE2850&amp;""&lt;&gt;'DB_設定'!$C$4,"対象外",IF($AH2850=20,IF(OR($AJ2850=10,$AJ2850=11,$AJ2850=18),"①病院一般",IF($AJ2850=41,"②病院短期","対象外")),IF($AH2850=5,IF($AJ2850=30,"③特定消防","対象外"),IF(OR($AJ2850=10,$AJ2850=11,$AJ2850=74),"④一般",IF(OR($AJ2850=41,$AJ2850=47),"⑤短期","対象外"))))))</f>
      </c>
    </row>
    <row r="2851">
      <c r="DB2851" s="2909">
        <f>IF($A2851="","",IF($AE2851&amp;""&lt;&gt;'DB_設定'!$C$4,"対象外",IF($AH2851=20,IF(OR($AJ2851=10,$AJ2851=11,$AJ2851=18),"①病院一般",IF($AJ2851=41,"②病院短期","対象外")),IF($AH2851=5,IF($AJ2851=30,"③特定消防","対象外"),IF(OR($AJ2851=10,$AJ2851=11,$AJ2851=74),"④一般",IF(OR($AJ2851=41,$AJ2851=47),"⑤短期","対象外"))))))</f>
      </c>
    </row>
    <row r="2852">
      <c r="DB2852" s="2909">
        <f>IF($A2852="","",IF($AE2852&amp;""&lt;&gt;'DB_設定'!$C$4,"対象外",IF($AH2852=20,IF(OR($AJ2852=10,$AJ2852=11,$AJ2852=18),"①病院一般",IF($AJ2852=41,"②病院短期","対象外")),IF($AH2852=5,IF($AJ2852=30,"③特定消防","対象外"),IF(OR($AJ2852=10,$AJ2852=11,$AJ2852=74),"④一般",IF(OR($AJ2852=41,$AJ2852=47),"⑤短期","対象外"))))))</f>
      </c>
    </row>
    <row r="2853">
      <c r="DB2853" s="2909">
        <f>IF($A2853="","",IF($AE2853&amp;""&lt;&gt;'DB_設定'!$C$4,"対象外",IF($AH2853=20,IF(OR($AJ2853=10,$AJ2853=11,$AJ2853=18),"①病院一般",IF($AJ2853=41,"②病院短期","対象外")),IF($AH2853=5,IF($AJ2853=30,"③特定消防","対象外"),IF(OR($AJ2853=10,$AJ2853=11,$AJ2853=74),"④一般",IF(OR($AJ2853=41,$AJ2853=47),"⑤短期","対象外"))))))</f>
      </c>
    </row>
    <row r="2854">
      <c r="DB2854" s="2909">
        <f>IF($A2854="","",IF($AE2854&amp;""&lt;&gt;'DB_設定'!$C$4,"対象外",IF($AH2854=20,IF(OR($AJ2854=10,$AJ2854=11,$AJ2854=18),"①病院一般",IF($AJ2854=41,"②病院短期","対象外")),IF($AH2854=5,IF($AJ2854=30,"③特定消防","対象外"),IF(OR($AJ2854=10,$AJ2854=11,$AJ2854=74),"④一般",IF(OR($AJ2854=41,$AJ2854=47),"⑤短期","対象外"))))))</f>
      </c>
    </row>
    <row r="2855">
      <c r="DB2855" s="2909">
        <f>IF($A2855="","",IF($AE2855&amp;""&lt;&gt;'DB_設定'!$C$4,"対象外",IF($AH2855=20,IF(OR($AJ2855=10,$AJ2855=11,$AJ2855=18),"①病院一般",IF($AJ2855=41,"②病院短期","対象外")),IF($AH2855=5,IF($AJ2855=30,"③特定消防","対象外"),IF(OR($AJ2855=10,$AJ2855=11,$AJ2855=74),"④一般",IF(OR($AJ2855=41,$AJ2855=47),"⑤短期","対象外"))))))</f>
      </c>
    </row>
    <row r="2856">
      <c r="DB2856" s="2909">
        <f>IF($A2856="","",IF($AE2856&amp;""&lt;&gt;'DB_設定'!$C$4,"対象外",IF($AH2856=20,IF(OR($AJ2856=10,$AJ2856=11,$AJ2856=18),"①病院一般",IF($AJ2856=41,"②病院短期","対象外")),IF($AH2856=5,IF($AJ2856=30,"③特定消防","対象外"),IF(OR($AJ2856=10,$AJ2856=11,$AJ2856=74),"④一般",IF(OR($AJ2856=41,$AJ2856=47),"⑤短期","対象外"))))))</f>
      </c>
    </row>
    <row r="2857">
      <c r="DB2857" s="2909">
        <f>IF($A2857="","",IF($AE2857&amp;""&lt;&gt;'DB_設定'!$C$4,"対象外",IF($AH2857=20,IF(OR($AJ2857=10,$AJ2857=11,$AJ2857=18),"①病院一般",IF($AJ2857=41,"②病院短期","対象外")),IF($AH2857=5,IF($AJ2857=30,"③特定消防","対象外"),IF(OR($AJ2857=10,$AJ2857=11,$AJ2857=74),"④一般",IF(OR($AJ2857=41,$AJ2857=47),"⑤短期","対象外"))))))</f>
      </c>
    </row>
    <row r="2858">
      <c r="DB2858" s="2909">
        <f>IF($A2858="","",IF($AE2858&amp;""&lt;&gt;'DB_設定'!$C$4,"対象外",IF($AH2858=20,IF(OR($AJ2858=10,$AJ2858=11,$AJ2858=18),"①病院一般",IF($AJ2858=41,"②病院短期","対象外")),IF($AH2858=5,IF($AJ2858=30,"③特定消防","対象外"),IF(OR($AJ2858=10,$AJ2858=11,$AJ2858=74),"④一般",IF(OR($AJ2858=41,$AJ2858=47),"⑤短期","対象外"))))))</f>
      </c>
    </row>
    <row r="2859">
      <c r="DB2859" s="2909">
        <f>IF($A2859="","",IF($AE2859&amp;""&lt;&gt;'DB_設定'!$C$4,"対象外",IF($AH2859=20,IF(OR($AJ2859=10,$AJ2859=11,$AJ2859=18),"①病院一般",IF($AJ2859=41,"②病院短期","対象外")),IF($AH2859=5,IF($AJ2859=30,"③特定消防","対象外"),IF(OR($AJ2859=10,$AJ2859=11,$AJ2859=74),"④一般",IF(OR($AJ2859=41,$AJ2859=47),"⑤短期","対象外"))))))</f>
      </c>
    </row>
    <row r="2860">
      <c r="DB2860" s="2909">
        <f>IF($A2860="","",IF($AE2860&amp;""&lt;&gt;'DB_設定'!$C$4,"対象外",IF($AH2860=20,IF(OR($AJ2860=10,$AJ2860=11,$AJ2860=18),"①病院一般",IF($AJ2860=41,"②病院短期","対象外")),IF($AH2860=5,IF($AJ2860=30,"③特定消防","対象外"),IF(OR($AJ2860=10,$AJ2860=11,$AJ2860=74),"④一般",IF(OR($AJ2860=41,$AJ2860=47),"⑤短期","対象外"))))))</f>
      </c>
    </row>
    <row r="2861">
      <c r="DB2861" s="2909">
        <f>IF($A2861="","",IF($AE2861&amp;""&lt;&gt;'DB_設定'!$C$4,"対象外",IF($AH2861=20,IF(OR($AJ2861=10,$AJ2861=11,$AJ2861=18),"①病院一般",IF($AJ2861=41,"②病院短期","対象外")),IF($AH2861=5,IF($AJ2861=30,"③特定消防","対象外"),IF(OR($AJ2861=10,$AJ2861=11,$AJ2861=74),"④一般",IF(OR($AJ2861=41,$AJ2861=47),"⑤短期","対象外"))))))</f>
      </c>
    </row>
    <row r="2862">
      <c r="DB2862" s="2909">
        <f>IF($A2862="","",IF($AE2862&amp;""&lt;&gt;'DB_設定'!$C$4,"対象外",IF($AH2862=20,IF(OR($AJ2862=10,$AJ2862=11,$AJ2862=18),"①病院一般",IF($AJ2862=41,"②病院短期","対象外")),IF($AH2862=5,IF($AJ2862=30,"③特定消防","対象外"),IF(OR($AJ2862=10,$AJ2862=11,$AJ2862=74),"④一般",IF(OR($AJ2862=41,$AJ2862=47),"⑤短期","対象外"))))))</f>
      </c>
    </row>
    <row r="2863">
      <c r="DB2863" s="2909">
        <f>IF($A2863="","",IF($AE2863&amp;""&lt;&gt;'DB_設定'!$C$4,"対象外",IF($AH2863=20,IF(OR($AJ2863=10,$AJ2863=11,$AJ2863=18),"①病院一般",IF($AJ2863=41,"②病院短期","対象外")),IF($AH2863=5,IF($AJ2863=30,"③特定消防","対象外"),IF(OR($AJ2863=10,$AJ2863=11,$AJ2863=74),"④一般",IF(OR($AJ2863=41,$AJ2863=47),"⑤短期","対象外"))))))</f>
      </c>
    </row>
    <row r="2864">
      <c r="DB2864" s="2909">
        <f>IF($A2864="","",IF($AE2864&amp;""&lt;&gt;'DB_設定'!$C$4,"対象外",IF($AH2864=20,IF(OR($AJ2864=10,$AJ2864=11,$AJ2864=18),"①病院一般",IF($AJ2864=41,"②病院短期","対象外")),IF($AH2864=5,IF($AJ2864=30,"③特定消防","対象外"),IF(OR($AJ2864=10,$AJ2864=11,$AJ2864=74),"④一般",IF(OR($AJ2864=41,$AJ2864=47),"⑤短期","対象外"))))))</f>
      </c>
    </row>
    <row r="2865">
      <c r="DB2865" s="2909">
        <f>IF($A2865="","",IF($AE2865&amp;""&lt;&gt;'DB_設定'!$C$4,"対象外",IF($AH2865=20,IF(OR($AJ2865=10,$AJ2865=11,$AJ2865=18),"①病院一般",IF($AJ2865=41,"②病院短期","対象外")),IF($AH2865=5,IF($AJ2865=30,"③特定消防","対象外"),IF(OR($AJ2865=10,$AJ2865=11,$AJ2865=74),"④一般",IF(OR($AJ2865=41,$AJ2865=47),"⑤短期","対象外"))))))</f>
      </c>
    </row>
    <row r="2866">
      <c r="DB2866" s="2909">
        <f>IF($A2866="","",IF($AE2866&amp;""&lt;&gt;'DB_設定'!$C$4,"対象外",IF($AH2866=20,IF(OR($AJ2866=10,$AJ2866=11,$AJ2866=18),"①病院一般",IF($AJ2866=41,"②病院短期","対象外")),IF($AH2866=5,IF($AJ2866=30,"③特定消防","対象外"),IF(OR($AJ2866=10,$AJ2866=11,$AJ2866=74),"④一般",IF(OR($AJ2866=41,$AJ2866=47),"⑤短期","対象外"))))))</f>
      </c>
    </row>
    <row r="2867">
      <c r="DB2867" s="2909">
        <f>IF($A2867="","",IF($AE2867&amp;""&lt;&gt;'DB_設定'!$C$4,"対象外",IF($AH2867=20,IF(OR($AJ2867=10,$AJ2867=11,$AJ2867=18),"①病院一般",IF($AJ2867=41,"②病院短期","対象外")),IF($AH2867=5,IF($AJ2867=30,"③特定消防","対象外"),IF(OR($AJ2867=10,$AJ2867=11,$AJ2867=74),"④一般",IF(OR($AJ2867=41,$AJ2867=47),"⑤短期","対象外"))))))</f>
      </c>
    </row>
    <row r="2868">
      <c r="DB2868" s="2909">
        <f>IF($A2868="","",IF($AE2868&amp;""&lt;&gt;'DB_設定'!$C$4,"対象外",IF($AH2868=20,IF(OR($AJ2868=10,$AJ2868=11,$AJ2868=18),"①病院一般",IF($AJ2868=41,"②病院短期","対象外")),IF($AH2868=5,IF($AJ2868=30,"③特定消防","対象外"),IF(OR($AJ2868=10,$AJ2868=11,$AJ2868=74),"④一般",IF(OR($AJ2868=41,$AJ2868=47),"⑤短期","対象外"))))))</f>
      </c>
    </row>
    <row r="2869">
      <c r="DB2869" s="2909">
        <f>IF($A2869="","",IF($AE2869&amp;""&lt;&gt;'DB_設定'!$C$4,"対象外",IF($AH2869=20,IF(OR($AJ2869=10,$AJ2869=11,$AJ2869=18),"①病院一般",IF($AJ2869=41,"②病院短期","対象外")),IF($AH2869=5,IF($AJ2869=30,"③特定消防","対象外"),IF(OR($AJ2869=10,$AJ2869=11,$AJ2869=74),"④一般",IF(OR($AJ2869=41,$AJ2869=47),"⑤短期","対象外"))))))</f>
      </c>
    </row>
    <row r="2870">
      <c r="DB2870" s="2909">
        <f>IF($A2870="","",IF($AE2870&amp;""&lt;&gt;'DB_設定'!$C$4,"対象外",IF($AH2870=20,IF(OR($AJ2870=10,$AJ2870=11,$AJ2870=18),"①病院一般",IF($AJ2870=41,"②病院短期","対象外")),IF($AH2870=5,IF($AJ2870=30,"③特定消防","対象外"),IF(OR($AJ2870=10,$AJ2870=11,$AJ2870=74),"④一般",IF(OR($AJ2870=41,$AJ2870=47),"⑤短期","対象外"))))))</f>
      </c>
    </row>
    <row r="2871">
      <c r="DB2871" s="2909">
        <f>IF($A2871="","",IF($AE2871&amp;""&lt;&gt;'DB_設定'!$C$4,"対象外",IF($AH2871=20,IF(OR($AJ2871=10,$AJ2871=11,$AJ2871=18),"①病院一般",IF($AJ2871=41,"②病院短期","対象外")),IF($AH2871=5,IF($AJ2871=30,"③特定消防","対象外"),IF(OR($AJ2871=10,$AJ2871=11,$AJ2871=74),"④一般",IF(OR($AJ2871=41,$AJ2871=47),"⑤短期","対象外"))))))</f>
      </c>
    </row>
    <row r="2872">
      <c r="DB2872" s="2909">
        <f>IF($A2872="","",IF($AE2872&amp;""&lt;&gt;'DB_設定'!$C$4,"対象外",IF($AH2872=20,IF(OR($AJ2872=10,$AJ2872=11,$AJ2872=18),"①病院一般",IF($AJ2872=41,"②病院短期","対象外")),IF($AH2872=5,IF($AJ2872=30,"③特定消防","対象外"),IF(OR($AJ2872=10,$AJ2872=11,$AJ2872=74),"④一般",IF(OR($AJ2872=41,$AJ2872=47),"⑤短期","対象外"))))))</f>
      </c>
    </row>
    <row r="2873">
      <c r="DB2873" s="2909">
        <f>IF($A2873="","",IF($AE2873&amp;""&lt;&gt;'DB_設定'!$C$4,"対象外",IF($AH2873=20,IF(OR($AJ2873=10,$AJ2873=11,$AJ2873=18),"①病院一般",IF($AJ2873=41,"②病院短期","対象外")),IF($AH2873=5,IF($AJ2873=30,"③特定消防","対象外"),IF(OR($AJ2873=10,$AJ2873=11,$AJ2873=74),"④一般",IF(OR($AJ2873=41,$AJ2873=47),"⑤短期","対象外"))))))</f>
      </c>
    </row>
    <row r="2874">
      <c r="DB2874" s="2909">
        <f>IF($A2874="","",IF($AE2874&amp;""&lt;&gt;'DB_設定'!$C$4,"対象外",IF($AH2874=20,IF(OR($AJ2874=10,$AJ2874=11,$AJ2874=18),"①病院一般",IF($AJ2874=41,"②病院短期","対象外")),IF($AH2874=5,IF($AJ2874=30,"③特定消防","対象外"),IF(OR($AJ2874=10,$AJ2874=11,$AJ2874=74),"④一般",IF(OR($AJ2874=41,$AJ2874=47),"⑤短期","対象外"))))))</f>
      </c>
    </row>
    <row r="2875">
      <c r="DB2875" s="2909">
        <f>IF($A2875="","",IF($AE2875&amp;""&lt;&gt;'DB_設定'!$C$4,"対象外",IF($AH2875=20,IF(OR($AJ2875=10,$AJ2875=11,$AJ2875=18),"①病院一般",IF($AJ2875=41,"②病院短期","対象外")),IF($AH2875=5,IF($AJ2875=30,"③特定消防","対象外"),IF(OR($AJ2875=10,$AJ2875=11,$AJ2875=74),"④一般",IF(OR($AJ2875=41,$AJ2875=47),"⑤短期","対象外"))))))</f>
      </c>
    </row>
    <row r="2876">
      <c r="DB2876" s="2909">
        <f>IF($A2876="","",IF($AE2876&amp;""&lt;&gt;'DB_設定'!$C$4,"対象外",IF($AH2876=20,IF(OR($AJ2876=10,$AJ2876=11,$AJ2876=18),"①病院一般",IF($AJ2876=41,"②病院短期","対象外")),IF($AH2876=5,IF($AJ2876=30,"③特定消防","対象外"),IF(OR($AJ2876=10,$AJ2876=11,$AJ2876=74),"④一般",IF(OR($AJ2876=41,$AJ2876=47),"⑤短期","対象外"))))))</f>
      </c>
    </row>
    <row r="2877">
      <c r="DB2877" s="2909">
        <f>IF($A2877="","",IF($AE2877&amp;""&lt;&gt;'DB_設定'!$C$4,"対象外",IF($AH2877=20,IF(OR($AJ2877=10,$AJ2877=11,$AJ2877=18),"①病院一般",IF($AJ2877=41,"②病院短期","対象外")),IF($AH2877=5,IF($AJ2877=30,"③特定消防","対象外"),IF(OR($AJ2877=10,$AJ2877=11,$AJ2877=74),"④一般",IF(OR($AJ2877=41,$AJ2877=47),"⑤短期","対象外"))))))</f>
      </c>
    </row>
    <row r="2878">
      <c r="DB2878" s="2909">
        <f>IF($A2878="","",IF($AE2878&amp;""&lt;&gt;'DB_設定'!$C$4,"対象外",IF($AH2878=20,IF(OR($AJ2878=10,$AJ2878=11,$AJ2878=18),"①病院一般",IF($AJ2878=41,"②病院短期","対象外")),IF($AH2878=5,IF($AJ2878=30,"③特定消防","対象外"),IF(OR($AJ2878=10,$AJ2878=11,$AJ2878=74),"④一般",IF(OR($AJ2878=41,$AJ2878=47),"⑤短期","対象外"))))))</f>
      </c>
    </row>
    <row r="2879">
      <c r="DB2879" s="2909">
        <f>IF($A2879="","",IF($AE2879&amp;""&lt;&gt;'DB_設定'!$C$4,"対象外",IF($AH2879=20,IF(OR($AJ2879=10,$AJ2879=11,$AJ2879=18),"①病院一般",IF($AJ2879=41,"②病院短期","対象外")),IF($AH2879=5,IF($AJ2879=30,"③特定消防","対象外"),IF(OR($AJ2879=10,$AJ2879=11,$AJ2879=74),"④一般",IF(OR($AJ2879=41,$AJ2879=47),"⑤短期","対象外"))))))</f>
      </c>
    </row>
    <row r="2880">
      <c r="DB2880" s="2909">
        <f>IF($A2880="","",IF($AE2880&amp;""&lt;&gt;'DB_設定'!$C$4,"対象外",IF($AH2880=20,IF(OR($AJ2880=10,$AJ2880=11,$AJ2880=18),"①病院一般",IF($AJ2880=41,"②病院短期","対象外")),IF($AH2880=5,IF($AJ2880=30,"③特定消防","対象外"),IF(OR($AJ2880=10,$AJ2880=11,$AJ2880=74),"④一般",IF(OR($AJ2880=41,$AJ2880=47),"⑤短期","対象外"))))))</f>
      </c>
    </row>
    <row r="2881">
      <c r="DB2881" s="2909">
        <f>IF($A2881="","",IF($AE2881&amp;""&lt;&gt;'DB_設定'!$C$4,"対象外",IF($AH2881=20,IF(OR($AJ2881=10,$AJ2881=11,$AJ2881=18),"①病院一般",IF($AJ2881=41,"②病院短期","対象外")),IF($AH2881=5,IF($AJ2881=30,"③特定消防","対象外"),IF(OR($AJ2881=10,$AJ2881=11,$AJ2881=74),"④一般",IF(OR($AJ2881=41,$AJ2881=47),"⑤短期","対象外"))))))</f>
      </c>
    </row>
    <row r="2882">
      <c r="DB2882" s="2909">
        <f>IF($A2882="","",IF($AE2882&amp;""&lt;&gt;'DB_設定'!$C$4,"対象外",IF($AH2882=20,IF(OR($AJ2882=10,$AJ2882=11,$AJ2882=18),"①病院一般",IF($AJ2882=41,"②病院短期","対象外")),IF($AH2882=5,IF($AJ2882=30,"③特定消防","対象外"),IF(OR($AJ2882=10,$AJ2882=11,$AJ2882=74),"④一般",IF(OR($AJ2882=41,$AJ2882=47),"⑤短期","対象外"))))))</f>
      </c>
    </row>
    <row r="2883">
      <c r="DB2883" s="2909">
        <f>IF($A2883="","",IF($AE2883&amp;""&lt;&gt;'DB_設定'!$C$4,"対象外",IF($AH2883=20,IF(OR($AJ2883=10,$AJ2883=11,$AJ2883=18),"①病院一般",IF($AJ2883=41,"②病院短期","対象外")),IF($AH2883=5,IF($AJ2883=30,"③特定消防","対象外"),IF(OR($AJ2883=10,$AJ2883=11,$AJ2883=74),"④一般",IF(OR($AJ2883=41,$AJ2883=47),"⑤短期","対象外"))))))</f>
      </c>
    </row>
    <row r="2884">
      <c r="DB2884" s="2909">
        <f>IF($A2884="","",IF($AE2884&amp;""&lt;&gt;'DB_設定'!$C$4,"対象外",IF($AH2884=20,IF(OR($AJ2884=10,$AJ2884=11,$AJ2884=18),"①病院一般",IF($AJ2884=41,"②病院短期","対象外")),IF($AH2884=5,IF($AJ2884=30,"③特定消防","対象外"),IF(OR($AJ2884=10,$AJ2884=11,$AJ2884=74),"④一般",IF(OR($AJ2884=41,$AJ2884=47),"⑤短期","対象外"))))))</f>
      </c>
    </row>
    <row r="2885">
      <c r="DB2885" s="2909">
        <f>IF($A2885="","",IF($AE2885&amp;""&lt;&gt;'DB_設定'!$C$4,"対象外",IF($AH2885=20,IF(OR($AJ2885=10,$AJ2885=11,$AJ2885=18),"①病院一般",IF($AJ2885=41,"②病院短期","対象外")),IF($AH2885=5,IF($AJ2885=30,"③特定消防","対象外"),IF(OR($AJ2885=10,$AJ2885=11,$AJ2885=74),"④一般",IF(OR($AJ2885=41,$AJ2885=47),"⑤短期","対象外"))))))</f>
      </c>
    </row>
    <row r="2886">
      <c r="DB2886" s="2909">
        <f>IF($A2886="","",IF($AE2886&amp;""&lt;&gt;'DB_設定'!$C$4,"対象外",IF($AH2886=20,IF(OR($AJ2886=10,$AJ2886=11,$AJ2886=18),"①病院一般",IF($AJ2886=41,"②病院短期","対象外")),IF($AH2886=5,IF($AJ2886=30,"③特定消防","対象外"),IF(OR($AJ2886=10,$AJ2886=11,$AJ2886=74),"④一般",IF(OR($AJ2886=41,$AJ2886=47),"⑤短期","対象外"))))))</f>
      </c>
    </row>
    <row r="2887">
      <c r="DB2887" s="2909">
        <f>IF($A2887="","",IF($AE2887&amp;""&lt;&gt;'DB_設定'!$C$4,"対象外",IF($AH2887=20,IF(OR($AJ2887=10,$AJ2887=11,$AJ2887=18),"①病院一般",IF($AJ2887=41,"②病院短期","対象外")),IF($AH2887=5,IF($AJ2887=30,"③特定消防","対象外"),IF(OR($AJ2887=10,$AJ2887=11,$AJ2887=74),"④一般",IF(OR($AJ2887=41,$AJ2887=47),"⑤短期","対象外"))))))</f>
      </c>
    </row>
    <row r="2888">
      <c r="DB2888" s="2909">
        <f>IF($A2888="","",IF($AE2888&amp;""&lt;&gt;'DB_設定'!$C$4,"対象外",IF($AH2888=20,IF(OR($AJ2888=10,$AJ2888=11,$AJ2888=18),"①病院一般",IF($AJ2888=41,"②病院短期","対象外")),IF($AH2888=5,IF($AJ2888=30,"③特定消防","対象外"),IF(OR($AJ2888=10,$AJ2888=11,$AJ2888=74),"④一般",IF(OR($AJ2888=41,$AJ2888=47),"⑤短期","対象外"))))))</f>
      </c>
    </row>
    <row r="2889">
      <c r="DB2889" s="2909">
        <f>IF($A2889="","",IF($AE2889&amp;""&lt;&gt;'DB_設定'!$C$4,"対象外",IF($AH2889=20,IF(OR($AJ2889=10,$AJ2889=11,$AJ2889=18),"①病院一般",IF($AJ2889=41,"②病院短期","対象外")),IF($AH2889=5,IF($AJ2889=30,"③特定消防","対象外"),IF(OR($AJ2889=10,$AJ2889=11,$AJ2889=74),"④一般",IF(OR($AJ2889=41,$AJ2889=47),"⑤短期","対象外"))))))</f>
      </c>
    </row>
    <row r="2890">
      <c r="DB2890" s="2909">
        <f>IF($A2890="","",IF($AE2890&amp;""&lt;&gt;'DB_設定'!$C$4,"対象外",IF($AH2890=20,IF(OR($AJ2890=10,$AJ2890=11,$AJ2890=18),"①病院一般",IF($AJ2890=41,"②病院短期","対象外")),IF($AH2890=5,IF($AJ2890=30,"③特定消防","対象外"),IF(OR($AJ2890=10,$AJ2890=11,$AJ2890=74),"④一般",IF(OR($AJ2890=41,$AJ2890=47),"⑤短期","対象外"))))))</f>
      </c>
    </row>
    <row r="2891">
      <c r="DB2891" s="2909">
        <f>IF($A2891="","",IF($AE2891&amp;""&lt;&gt;'DB_設定'!$C$4,"対象外",IF($AH2891=20,IF(OR($AJ2891=10,$AJ2891=11,$AJ2891=18),"①病院一般",IF($AJ2891=41,"②病院短期","対象外")),IF($AH2891=5,IF($AJ2891=30,"③特定消防","対象外"),IF(OR($AJ2891=10,$AJ2891=11,$AJ2891=74),"④一般",IF(OR($AJ2891=41,$AJ2891=47),"⑤短期","対象外"))))))</f>
      </c>
    </row>
    <row r="2892">
      <c r="DB2892" s="2909">
        <f>IF($A2892="","",IF($AE2892&amp;""&lt;&gt;'DB_設定'!$C$4,"対象外",IF($AH2892=20,IF(OR($AJ2892=10,$AJ2892=11,$AJ2892=18),"①病院一般",IF($AJ2892=41,"②病院短期","対象外")),IF($AH2892=5,IF($AJ2892=30,"③特定消防","対象外"),IF(OR($AJ2892=10,$AJ2892=11,$AJ2892=74),"④一般",IF(OR($AJ2892=41,$AJ2892=47),"⑤短期","対象外"))))))</f>
      </c>
    </row>
    <row r="2893">
      <c r="DB2893" s="2909">
        <f>IF($A2893="","",IF($AE2893&amp;""&lt;&gt;'DB_設定'!$C$4,"対象外",IF($AH2893=20,IF(OR($AJ2893=10,$AJ2893=11,$AJ2893=18),"①病院一般",IF($AJ2893=41,"②病院短期","対象外")),IF($AH2893=5,IF($AJ2893=30,"③特定消防","対象外"),IF(OR($AJ2893=10,$AJ2893=11,$AJ2893=74),"④一般",IF(OR($AJ2893=41,$AJ2893=47),"⑤短期","対象外"))))))</f>
      </c>
    </row>
    <row r="2894">
      <c r="DB2894" s="2909">
        <f>IF($A2894="","",IF($AE2894&amp;""&lt;&gt;'DB_設定'!$C$4,"対象外",IF($AH2894=20,IF(OR($AJ2894=10,$AJ2894=11,$AJ2894=18),"①病院一般",IF($AJ2894=41,"②病院短期","対象外")),IF($AH2894=5,IF($AJ2894=30,"③特定消防","対象外"),IF(OR($AJ2894=10,$AJ2894=11,$AJ2894=74),"④一般",IF(OR($AJ2894=41,$AJ2894=47),"⑤短期","対象外"))))))</f>
      </c>
    </row>
    <row r="2895">
      <c r="DB2895" s="2909">
        <f>IF($A2895="","",IF($AE2895&amp;""&lt;&gt;'DB_設定'!$C$4,"対象外",IF($AH2895=20,IF(OR($AJ2895=10,$AJ2895=11,$AJ2895=18),"①病院一般",IF($AJ2895=41,"②病院短期","対象外")),IF($AH2895=5,IF($AJ2895=30,"③特定消防","対象外"),IF(OR($AJ2895=10,$AJ2895=11,$AJ2895=74),"④一般",IF(OR($AJ2895=41,$AJ2895=47),"⑤短期","対象外"))))))</f>
      </c>
    </row>
    <row r="2896">
      <c r="DB2896" s="2909">
        <f>IF($A2896="","",IF($AE2896&amp;""&lt;&gt;'DB_設定'!$C$4,"対象外",IF($AH2896=20,IF(OR($AJ2896=10,$AJ2896=11,$AJ2896=18),"①病院一般",IF($AJ2896=41,"②病院短期","対象外")),IF($AH2896=5,IF($AJ2896=30,"③特定消防","対象外"),IF(OR($AJ2896=10,$AJ2896=11,$AJ2896=74),"④一般",IF(OR($AJ2896=41,$AJ2896=47),"⑤短期","対象外"))))))</f>
      </c>
    </row>
    <row r="2897">
      <c r="DB2897" s="2909">
        <f>IF($A2897="","",IF($AE2897&amp;""&lt;&gt;'DB_設定'!$C$4,"対象外",IF($AH2897=20,IF(OR($AJ2897=10,$AJ2897=11,$AJ2897=18),"①病院一般",IF($AJ2897=41,"②病院短期","対象外")),IF($AH2897=5,IF($AJ2897=30,"③特定消防","対象外"),IF(OR($AJ2897=10,$AJ2897=11,$AJ2897=74),"④一般",IF(OR($AJ2897=41,$AJ2897=47),"⑤短期","対象外"))))))</f>
      </c>
    </row>
    <row r="2898">
      <c r="DB2898" s="2909">
        <f>IF($A2898="","",IF($AE2898&amp;""&lt;&gt;'DB_設定'!$C$4,"対象外",IF($AH2898=20,IF(OR($AJ2898=10,$AJ2898=11,$AJ2898=18),"①病院一般",IF($AJ2898=41,"②病院短期","対象外")),IF($AH2898=5,IF($AJ2898=30,"③特定消防","対象外"),IF(OR($AJ2898=10,$AJ2898=11,$AJ2898=74),"④一般",IF(OR($AJ2898=41,$AJ2898=47),"⑤短期","対象外"))))))</f>
      </c>
    </row>
    <row r="2899">
      <c r="DB2899" s="2909">
        <f>IF($A2899="","",IF($AE2899&amp;""&lt;&gt;'DB_設定'!$C$4,"対象外",IF($AH2899=20,IF(OR($AJ2899=10,$AJ2899=11,$AJ2899=18),"①病院一般",IF($AJ2899=41,"②病院短期","対象外")),IF($AH2899=5,IF($AJ2899=30,"③特定消防","対象外"),IF(OR($AJ2899=10,$AJ2899=11,$AJ2899=74),"④一般",IF(OR($AJ2899=41,$AJ2899=47),"⑤短期","対象外"))))))</f>
      </c>
    </row>
    <row r="2900">
      <c r="DB2900" s="2909">
        <f>IF($A2900="","",IF($AE2900&amp;""&lt;&gt;'DB_設定'!$C$4,"対象外",IF($AH2900=20,IF(OR($AJ2900=10,$AJ2900=11,$AJ2900=18),"①病院一般",IF($AJ2900=41,"②病院短期","対象外")),IF($AH2900=5,IF($AJ2900=30,"③特定消防","対象外"),IF(OR($AJ2900=10,$AJ2900=11,$AJ2900=74),"④一般",IF(OR($AJ2900=41,$AJ2900=47),"⑤短期","対象外"))))))</f>
      </c>
    </row>
    <row r="2901">
      <c r="DB2901" s="2909">
        <f>IF($A2901="","",IF($AE2901&amp;""&lt;&gt;'DB_設定'!$C$4,"対象外",IF($AH2901=20,IF(OR($AJ2901=10,$AJ2901=11,$AJ2901=18),"①病院一般",IF($AJ2901=41,"②病院短期","対象外")),IF($AH2901=5,IF($AJ2901=30,"③特定消防","対象外"),IF(OR($AJ2901=10,$AJ2901=11,$AJ2901=74),"④一般",IF(OR($AJ2901=41,$AJ2901=47),"⑤短期","対象外"))))))</f>
      </c>
    </row>
    <row r="2902">
      <c r="DB2902" s="2909">
        <f>IF($A2902="","",IF($AE2902&amp;""&lt;&gt;'DB_設定'!$C$4,"対象外",IF($AH2902=20,IF(OR($AJ2902=10,$AJ2902=11,$AJ2902=18),"①病院一般",IF($AJ2902=41,"②病院短期","対象外")),IF($AH2902=5,IF($AJ2902=30,"③特定消防","対象外"),IF(OR($AJ2902=10,$AJ2902=11,$AJ2902=74),"④一般",IF(OR($AJ2902=41,$AJ2902=47),"⑤短期","対象外"))))))</f>
      </c>
    </row>
    <row r="2903">
      <c r="DB2903" s="2909">
        <f>IF($A2903="","",IF($AE2903&amp;""&lt;&gt;'DB_設定'!$C$4,"対象外",IF($AH2903=20,IF(OR($AJ2903=10,$AJ2903=11,$AJ2903=18),"①病院一般",IF($AJ2903=41,"②病院短期","対象外")),IF($AH2903=5,IF($AJ2903=30,"③特定消防","対象外"),IF(OR($AJ2903=10,$AJ2903=11,$AJ2903=74),"④一般",IF(OR($AJ2903=41,$AJ2903=47),"⑤短期","対象外"))))))</f>
      </c>
    </row>
    <row r="2904">
      <c r="DB2904" s="2909">
        <f>IF($A2904="","",IF($AE2904&amp;""&lt;&gt;'DB_設定'!$C$4,"対象外",IF($AH2904=20,IF(OR($AJ2904=10,$AJ2904=11,$AJ2904=18),"①病院一般",IF($AJ2904=41,"②病院短期","対象外")),IF($AH2904=5,IF($AJ2904=30,"③特定消防","対象外"),IF(OR($AJ2904=10,$AJ2904=11,$AJ2904=74),"④一般",IF(OR($AJ2904=41,$AJ2904=47),"⑤短期","対象外"))))))</f>
      </c>
    </row>
    <row r="2905">
      <c r="DB2905" s="2909">
        <f>IF($A2905="","",IF($AE2905&amp;""&lt;&gt;'DB_設定'!$C$4,"対象外",IF($AH2905=20,IF(OR($AJ2905=10,$AJ2905=11,$AJ2905=18),"①病院一般",IF($AJ2905=41,"②病院短期","対象外")),IF($AH2905=5,IF($AJ2905=30,"③特定消防","対象外"),IF(OR($AJ2905=10,$AJ2905=11,$AJ2905=74),"④一般",IF(OR($AJ2905=41,$AJ2905=47),"⑤短期","対象外"))))))</f>
      </c>
    </row>
    <row r="2906">
      <c r="DB2906" s="2909">
        <f>IF($A2906="","",IF($AE2906&amp;""&lt;&gt;'DB_設定'!$C$4,"対象外",IF($AH2906=20,IF(OR($AJ2906=10,$AJ2906=11,$AJ2906=18),"①病院一般",IF($AJ2906=41,"②病院短期","対象外")),IF($AH2906=5,IF($AJ2906=30,"③特定消防","対象外"),IF(OR($AJ2906=10,$AJ2906=11,$AJ2906=74),"④一般",IF(OR($AJ2906=41,$AJ2906=47),"⑤短期","対象外"))))))</f>
      </c>
    </row>
    <row r="2907">
      <c r="DB2907" s="2909">
        <f>IF($A2907="","",IF($AE2907&amp;""&lt;&gt;'DB_設定'!$C$4,"対象外",IF($AH2907=20,IF(OR($AJ2907=10,$AJ2907=11,$AJ2907=18),"①病院一般",IF($AJ2907=41,"②病院短期","対象外")),IF($AH2907=5,IF($AJ2907=30,"③特定消防","対象外"),IF(OR($AJ2907=10,$AJ2907=11,$AJ2907=74),"④一般",IF(OR($AJ2907=41,$AJ2907=47),"⑤短期","対象外"))))))</f>
      </c>
    </row>
    <row r="2908">
      <c r="DB2908" s="2909">
        <f>IF($A2908="","",IF($AE2908&amp;""&lt;&gt;'DB_設定'!$C$4,"対象外",IF($AH2908=20,IF(OR($AJ2908=10,$AJ2908=11,$AJ2908=18),"①病院一般",IF($AJ2908=41,"②病院短期","対象外")),IF($AH2908=5,IF($AJ2908=30,"③特定消防","対象外"),IF(OR($AJ2908=10,$AJ2908=11,$AJ2908=74),"④一般",IF(OR($AJ2908=41,$AJ2908=47),"⑤短期","対象外"))))))</f>
      </c>
    </row>
    <row r="2909">
      <c r="DB2909" s="2909">
        <f>IF($A2909="","",IF($AE2909&amp;""&lt;&gt;'DB_設定'!$C$4,"対象外",IF($AH2909=20,IF(OR($AJ2909=10,$AJ2909=11,$AJ2909=18),"①病院一般",IF($AJ2909=41,"②病院短期","対象外")),IF($AH2909=5,IF($AJ2909=30,"③特定消防","対象外"),IF(OR($AJ2909=10,$AJ2909=11,$AJ2909=74),"④一般",IF(OR($AJ2909=41,$AJ2909=47),"⑤短期","対象外"))))))</f>
      </c>
    </row>
    <row r="2910">
      <c r="DB2910" s="2909">
        <f>IF($A2910="","",IF($AE2910&amp;""&lt;&gt;'DB_設定'!$C$4,"対象外",IF($AH2910=20,IF(OR($AJ2910=10,$AJ2910=11,$AJ2910=18),"①病院一般",IF($AJ2910=41,"②病院短期","対象外")),IF($AH2910=5,IF($AJ2910=30,"③特定消防","対象外"),IF(OR($AJ2910=10,$AJ2910=11,$AJ2910=74),"④一般",IF(OR($AJ2910=41,$AJ2910=47),"⑤短期","対象外"))))))</f>
      </c>
    </row>
    <row r="2911">
      <c r="DB2911" s="2909">
        <f>IF($A2911="","",IF($AE2911&amp;""&lt;&gt;'DB_設定'!$C$4,"対象外",IF($AH2911=20,IF(OR($AJ2911=10,$AJ2911=11,$AJ2911=18),"①病院一般",IF($AJ2911=41,"②病院短期","対象外")),IF($AH2911=5,IF($AJ2911=30,"③特定消防","対象外"),IF(OR($AJ2911=10,$AJ2911=11,$AJ2911=74),"④一般",IF(OR($AJ2911=41,$AJ2911=47),"⑤短期","対象外"))))))</f>
      </c>
    </row>
    <row r="2912">
      <c r="DB2912" s="2909">
        <f>IF($A2912="","",IF($AE2912&amp;""&lt;&gt;'DB_設定'!$C$4,"対象外",IF($AH2912=20,IF(OR($AJ2912=10,$AJ2912=11,$AJ2912=18),"①病院一般",IF($AJ2912=41,"②病院短期","対象外")),IF($AH2912=5,IF($AJ2912=30,"③特定消防","対象外"),IF(OR($AJ2912=10,$AJ2912=11,$AJ2912=74),"④一般",IF(OR($AJ2912=41,$AJ2912=47),"⑤短期","対象外"))))))</f>
      </c>
    </row>
    <row r="2913">
      <c r="DB2913" s="2909">
        <f>IF($A2913="","",IF($AE2913&amp;""&lt;&gt;'DB_設定'!$C$4,"対象外",IF($AH2913=20,IF(OR($AJ2913=10,$AJ2913=11,$AJ2913=18),"①病院一般",IF($AJ2913=41,"②病院短期","対象外")),IF($AH2913=5,IF($AJ2913=30,"③特定消防","対象外"),IF(OR($AJ2913=10,$AJ2913=11,$AJ2913=74),"④一般",IF(OR($AJ2913=41,$AJ2913=47),"⑤短期","対象外"))))))</f>
      </c>
    </row>
    <row r="2914">
      <c r="DB2914" s="2909">
        <f>IF($A2914="","",IF($AE2914&amp;""&lt;&gt;'DB_設定'!$C$4,"対象外",IF($AH2914=20,IF(OR($AJ2914=10,$AJ2914=11,$AJ2914=18),"①病院一般",IF($AJ2914=41,"②病院短期","対象外")),IF($AH2914=5,IF($AJ2914=30,"③特定消防","対象外"),IF(OR($AJ2914=10,$AJ2914=11,$AJ2914=74),"④一般",IF(OR($AJ2914=41,$AJ2914=47),"⑤短期","対象外"))))))</f>
      </c>
    </row>
    <row r="2915">
      <c r="DB2915" s="2909">
        <f>IF($A2915="","",IF($AE2915&amp;""&lt;&gt;'DB_設定'!$C$4,"対象外",IF($AH2915=20,IF(OR($AJ2915=10,$AJ2915=11,$AJ2915=18),"①病院一般",IF($AJ2915=41,"②病院短期","対象外")),IF($AH2915=5,IF($AJ2915=30,"③特定消防","対象外"),IF(OR($AJ2915=10,$AJ2915=11,$AJ2915=74),"④一般",IF(OR($AJ2915=41,$AJ2915=47),"⑤短期","対象外"))))))</f>
      </c>
    </row>
    <row r="2916">
      <c r="DB2916" s="2909">
        <f>IF($A2916="","",IF($AE2916&amp;""&lt;&gt;'DB_設定'!$C$4,"対象外",IF($AH2916=20,IF(OR($AJ2916=10,$AJ2916=11,$AJ2916=18),"①病院一般",IF($AJ2916=41,"②病院短期","対象外")),IF($AH2916=5,IF($AJ2916=30,"③特定消防","対象外"),IF(OR($AJ2916=10,$AJ2916=11,$AJ2916=74),"④一般",IF(OR($AJ2916=41,$AJ2916=47),"⑤短期","対象外"))))))</f>
      </c>
    </row>
    <row r="2917">
      <c r="DB2917" s="2909">
        <f>IF($A2917="","",IF($AE2917&amp;""&lt;&gt;'DB_設定'!$C$4,"対象外",IF($AH2917=20,IF(OR($AJ2917=10,$AJ2917=11,$AJ2917=18),"①病院一般",IF($AJ2917=41,"②病院短期","対象外")),IF($AH2917=5,IF($AJ2917=30,"③特定消防","対象外"),IF(OR($AJ2917=10,$AJ2917=11,$AJ2917=74),"④一般",IF(OR($AJ2917=41,$AJ2917=47),"⑤短期","対象外"))))))</f>
      </c>
    </row>
    <row r="2918">
      <c r="DB2918" s="2909">
        <f>IF($A2918="","",IF($AE2918&amp;""&lt;&gt;'DB_設定'!$C$4,"対象外",IF($AH2918=20,IF(OR($AJ2918=10,$AJ2918=11,$AJ2918=18),"①病院一般",IF($AJ2918=41,"②病院短期","対象外")),IF($AH2918=5,IF($AJ2918=30,"③特定消防","対象外"),IF(OR($AJ2918=10,$AJ2918=11,$AJ2918=74),"④一般",IF(OR($AJ2918=41,$AJ2918=47),"⑤短期","対象外"))))))</f>
      </c>
    </row>
    <row r="2919">
      <c r="DB2919" s="2909">
        <f>IF($A2919="","",IF($AE2919&amp;""&lt;&gt;'DB_設定'!$C$4,"対象外",IF($AH2919=20,IF(OR($AJ2919=10,$AJ2919=11,$AJ2919=18),"①病院一般",IF($AJ2919=41,"②病院短期","対象外")),IF($AH2919=5,IF($AJ2919=30,"③特定消防","対象外"),IF(OR($AJ2919=10,$AJ2919=11,$AJ2919=74),"④一般",IF(OR($AJ2919=41,$AJ2919=47),"⑤短期","対象外"))))))</f>
      </c>
    </row>
    <row r="2920">
      <c r="DB2920" s="2909">
        <f>IF($A2920="","",IF($AE2920&amp;""&lt;&gt;'DB_設定'!$C$4,"対象外",IF($AH2920=20,IF(OR($AJ2920=10,$AJ2920=11,$AJ2920=18),"①病院一般",IF($AJ2920=41,"②病院短期","対象外")),IF($AH2920=5,IF($AJ2920=30,"③特定消防","対象外"),IF(OR($AJ2920=10,$AJ2920=11,$AJ2920=74),"④一般",IF(OR($AJ2920=41,$AJ2920=47),"⑤短期","対象外"))))))</f>
      </c>
    </row>
    <row r="2921">
      <c r="DB2921" s="2909">
        <f>IF($A2921="","",IF($AE2921&amp;""&lt;&gt;'DB_設定'!$C$4,"対象外",IF($AH2921=20,IF(OR($AJ2921=10,$AJ2921=11,$AJ2921=18),"①病院一般",IF($AJ2921=41,"②病院短期","対象外")),IF($AH2921=5,IF($AJ2921=30,"③特定消防","対象外"),IF(OR($AJ2921=10,$AJ2921=11,$AJ2921=74),"④一般",IF(OR($AJ2921=41,$AJ2921=47),"⑤短期","対象外"))))))</f>
      </c>
    </row>
    <row r="2922">
      <c r="DB2922" s="2909">
        <f>IF($A2922="","",IF($AE2922&amp;""&lt;&gt;'DB_設定'!$C$4,"対象外",IF($AH2922=20,IF(OR($AJ2922=10,$AJ2922=11,$AJ2922=18),"①病院一般",IF($AJ2922=41,"②病院短期","対象外")),IF($AH2922=5,IF($AJ2922=30,"③特定消防","対象外"),IF(OR($AJ2922=10,$AJ2922=11,$AJ2922=74),"④一般",IF(OR($AJ2922=41,$AJ2922=47),"⑤短期","対象外"))))))</f>
      </c>
    </row>
    <row r="2923">
      <c r="DB2923" s="2909">
        <f>IF($A2923="","",IF($AE2923&amp;""&lt;&gt;'DB_設定'!$C$4,"対象外",IF($AH2923=20,IF(OR($AJ2923=10,$AJ2923=11,$AJ2923=18),"①病院一般",IF($AJ2923=41,"②病院短期","対象外")),IF($AH2923=5,IF($AJ2923=30,"③特定消防","対象外"),IF(OR($AJ2923=10,$AJ2923=11,$AJ2923=74),"④一般",IF(OR($AJ2923=41,$AJ2923=47),"⑤短期","対象外"))))))</f>
      </c>
    </row>
    <row r="2924">
      <c r="DB2924" s="2909">
        <f>IF($A2924="","",IF($AE2924&amp;""&lt;&gt;'DB_設定'!$C$4,"対象外",IF($AH2924=20,IF(OR($AJ2924=10,$AJ2924=11,$AJ2924=18),"①病院一般",IF($AJ2924=41,"②病院短期","対象外")),IF($AH2924=5,IF($AJ2924=30,"③特定消防","対象外"),IF(OR($AJ2924=10,$AJ2924=11,$AJ2924=74),"④一般",IF(OR($AJ2924=41,$AJ2924=47),"⑤短期","対象外"))))))</f>
      </c>
    </row>
    <row r="2925">
      <c r="DB2925" s="2909">
        <f>IF($A2925="","",IF($AE2925&amp;""&lt;&gt;'DB_設定'!$C$4,"対象外",IF($AH2925=20,IF(OR($AJ2925=10,$AJ2925=11,$AJ2925=18),"①病院一般",IF($AJ2925=41,"②病院短期","対象外")),IF($AH2925=5,IF($AJ2925=30,"③特定消防","対象外"),IF(OR($AJ2925=10,$AJ2925=11,$AJ2925=74),"④一般",IF(OR($AJ2925=41,$AJ2925=47),"⑤短期","対象外"))))))</f>
      </c>
    </row>
    <row r="2926">
      <c r="DB2926" s="2909">
        <f>IF($A2926="","",IF($AE2926&amp;""&lt;&gt;'DB_設定'!$C$4,"対象外",IF($AH2926=20,IF(OR($AJ2926=10,$AJ2926=11,$AJ2926=18),"①病院一般",IF($AJ2926=41,"②病院短期","対象外")),IF($AH2926=5,IF($AJ2926=30,"③特定消防","対象外"),IF(OR($AJ2926=10,$AJ2926=11,$AJ2926=74),"④一般",IF(OR($AJ2926=41,$AJ2926=47),"⑤短期","対象外"))))))</f>
      </c>
    </row>
    <row r="2927">
      <c r="DB2927" s="2909">
        <f>IF($A2927="","",IF($AE2927&amp;""&lt;&gt;'DB_設定'!$C$4,"対象外",IF($AH2927=20,IF(OR($AJ2927=10,$AJ2927=11,$AJ2927=18),"①病院一般",IF($AJ2927=41,"②病院短期","対象外")),IF($AH2927=5,IF($AJ2927=30,"③特定消防","対象外"),IF(OR($AJ2927=10,$AJ2927=11,$AJ2927=74),"④一般",IF(OR($AJ2927=41,$AJ2927=47),"⑤短期","対象外"))))))</f>
      </c>
    </row>
    <row r="2928">
      <c r="DB2928" s="2909">
        <f>IF($A2928="","",IF($AE2928&amp;""&lt;&gt;'DB_設定'!$C$4,"対象外",IF($AH2928=20,IF(OR($AJ2928=10,$AJ2928=11,$AJ2928=18),"①病院一般",IF($AJ2928=41,"②病院短期","対象外")),IF($AH2928=5,IF($AJ2928=30,"③特定消防","対象外"),IF(OR($AJ2928=10,$AJ2928=11,$AJ2928=74),"④一般",IF(OR($AJ2928=41,$AJ2928=47),"⑤短期","対象外"))))))</f>
      </c>
    </row>
    <row r="2929">
      <c r="DB2929" s="2909">
        <f>IF($A2929="","",IF($AE2929&amp;""&lt;&gt;'DB_設定'!$C$4,"対象外",IF($AH2929=20,IF(OR($AJ2929=10,$AJ2929=11,$AJ2929=18),"①病院一般",IF($AJ2929=41,"②病院短期","対象外")),IF($AH2929=5,IF($AJ2929=30,"③特定消防","対象外"),IF(OR($AJ2929=10,$AJ2929=11,$AJ2929=74),"④一般",IF(OR($AJ2929=41,$AJ2929=47),"⑤短期","対象外"))))))</f>
      </c>
    </row>
    <row r="2930">
      <c r="DB2930" s="2909">
        <f>IF($A2930="","",IF($AE2930&amp;""&lt;&gt;'DB_設定'!$C$4,"対象外",IF($AH2930=20,IF(OR($AJ2930=10,$AJ2930=11,$AJ2930=18),"①病院一般",IF($AJ2930=41,"②病院短期","対象外")),IF($AH2930=5,IF($AJ2930=30,"③特定消防","対象外"),IF(OR($AJ2930=10,$AJ2930=11,$AJ2930=74),"④一般",IF(OR($AJ2930=41,$AJ2930=47),"⑤短期","対象外"))))))</f>
      </c>
    </row>
    <row r="2931">
      <c r="DB2931" s="2909">
        <f>IF($A2931="","",IF($AE2931&amp;""&lt;&gt;'DB_設定'!$C$4,"対象外",IF($AH2931=20,IF(OR($AJ2931=10,$AJ2931=11,$AJ2931=18),"①病院一般",IF($AJ2931=41,"②病院短期","対象外")),IF($AH2931=5,IF($AJ2931=30,"③特定消防","対象外"),IF(OR($AJ2931=10,$AJ2931=11,$AJ2931=74),"④一般",IF(OR($AJ2931=41,$AJ2931=47),"⑤短期","対象外"))))))</f>
      </c>
    </row>
    <row r="2932">
      <c r="DB2932" s="2909">
        <f>IF($A2932="","",IF($AE2932&amp;""&lt;&gt;'DB_設定'!$C$4,"対象外",IF($AH2932=20,IF(OR($AJ2932=10,$AJ2932=11,$AJ2932=18),"①病院一般",IF($AJ2932=41,"②病院短期","対象外")),IF($AH2932=5,IF($AJ2932=30,"③特定消防","対象外"),IF(OR($AJ2932=10,$AJ2932=11,$AJ2932=74),"④一般",IF(OR($AJ2932=41,$AJ2932=47),"⑤短期","対象外"))))))</f>
      </c>
    </row>
    <row r="2933">
      <c r="DB2933" s="2909">
        <f>IF($A2933="","",IF($AE2933&amp;""&lt;&gt;'DB_設定'!$C$4,"対象外",IF($AH2933=20,IF(OR($AJ2933=10,$AJ2933=11,$AJ2933=18),"①病院一般",IF($AJ2933=41,"②病院短期","対象外")),IF($AH2933=5,IF($AJ2933=30,"③特定消防","対象外"),IF(OR($AJ2933=10,$AJ2933=11,$AJ2933=74),"④一般",IF(OR($AJ2933=41,$AJ2933=47),"⑤短期","対象外"))))))</f>
      </c>
    </row>
    <row r="2934">
      <c r="DB2934" s="2909">
        <f>IF($A2934="","",IF($AE2934&amp;""&lt;&gt;'DB_設定'!$C$4,"対象外",IF($AH2934=20,IF(OR($AJ2934=10,$AJ2934=11,$AJ2934=18),"①病院一般",IF($AJ2934=41,"②病院短期","対象外")),IF($AH2934=5,IF($AJ2934=30,"③特定消防","対象外"),IF(OR($AJ2934=10,$AJ2934=11,$AJ2934=74),"④一般",IF(OR($AJ2934=41,$AJ2934=47),"⑤短期","対象外"))))))</f>
      </c>
    </row>
    <row r="2935">
      <c r="DB2935" s="2909">
        <f>IF($A2935="","",IF($AE2935&amp;""&lt;&gt;'DB_設定'!$C$4,"対象外",IF($AH2935=20,IF(OR($AJ2935=10,$AJ2935=11,$AJ2935=18),"①病院一般",IF($AJ2935=41,"②病院短期","対象外")),IF($AH2935=5,IF($AJ2935=30,"③特定消防","対象外"),IF(OR($AJ2935=10,$AJ2935=11,$AJ2935=74),"④一般",IF(OR($AJ2935=41,$AJ2935=47),"⑤短期","対象外"))))))</f>
      </c>
    </row>
    <row r="2936">
      <c r="DB2936" s="2909">
        <f>IF($A2936="","",IF($AE2936&amp;""&lt;&gt;'DB_設定'!$C$4,"対象外",IF($AH2936=20,IF(OR($AJ2936=10,$AJ2936=11,$AJ2936=18),"①病院一般",IF($AJ2936=41,"②病院短期","対象外")),IF($AH2936=5,IF($AJ2936=30,"③特定消防","対象外"),IF(OR($AJ2936=10,$AJ2936=11,$AJ2936=74),"④一般",IF(OR($AJ2936=41,$AJ2936=47),"⑤短期","対象外"))))))</f>
      </c>
    </row>
    <row r="2937">
      <c r="DB2937" s="2909">
        <f>IF($A2937="","",IF($AE2937&amp;""&lt;&gt;'DB_設定'!$C$4,"対象外",IF($AH2937=20,IF(OR($AJ2937=10,$AJ2937=11,$AJ2937=18),"①病院一般",IF($AJ2937=41,"②病院短期","対象外")),IF($AH2937=5,IF($AJ2937=30,"③特定消防","対象外"),IF(OR($AJ2937=10,$AJ2937=11,$AJ2937=74),"④一般",IF(OR($AJ2937=41,$AJ2937=47),"⑤短期","対象外"))))))</f>
      </c>
    </row>
    <row r="2938">
      <c r="DB2938" s="2909">
        <f>IF($A2938="","",IF($AE2938&amp;""&lt;&gt;'DB_設定'!$C$4,"対象外",IF($AH2938=20,IF(OR($AJ2938=10,$AJ2938=11,$AJ2938=18),"①病院一般",IF($AJ2938=41,"②病院短期","対象外")),IF($AH2938=5,IF($AJ2938=30,"③特定消防","対象外"),IF(OR($AJ2938=10,$AJ2938=11,$AJ2938=74),"④一般",IF(OR($AJ2938=41,$AJ2938=47),"⑤短期","対象外"))))))</f>
      </c>
    </row>
    <row r="2939">
      <c r="DB2939" s="2909">
        <f>IF($A2939="","",IF($AE2939&amp;""&lt;&gt;'DB_設定'!$C$4,"対象外",IF($AH2939=20,IF(OR($AJ2939=10,$AJ2939=11,$AJ2939=18),"①病院一般",IF($AJ2939=41,"②病院短期","対象外")),IF($AH2939=5,IF($AJ2939=30,"③特定消防","対象外"),IF(OR($AJ2939=10,$AJ2939=11,$AJ2939=74),"④一般",IF(OR($AJ2939=41,$AJ2939=47),"⑤短期","対象外"))))))</f>
      </c>
    </row>
    <row r="2940">
      <c r="DB2940" s="2909">
        <f>IF($A2940="","",IF($AE2940&amp;""&lt;&gt;'DB_設定'!$C$4,"対象外",IF($AH2940=20,IF(OR($AJ2940=10,$AJ2940=11,$AJ2940=18),"①病院一般",IF($AJ2940=41,"②病院短期","対象外")),IF($AH2940=5,IF($AJ2940=30,"③特定消防","対象外"),IF(OR($AJ2940=10,$AJ2940=11,$AJ2940=74),"④一般",IF(OR($AJ2940=41,$AJ2940=47),"⑤短期","対象外"))))))</f>
      </c>
    </row>
    <row r="2941">
      <c r="DB2941" s="2909">
        <f>IF($A2941="","",IF($AE2941&amp;""&lt;&gt;'DB_設定'!$C$4,"対象外",IF($AH2941=20,IF(OR($AJ2941=10,$AJ2941=11,$AJ2941=18),"①病院一般",IF($AJ2941=41,"②病院短期","対象外")),IF($AH2941=5,IF($AJ2941=30,"③特定消防","対象外"),IF(OR($AJ2941=10,$AJ2941=11,$AJ2941=74),"④一般",IF(OR($AJ2941=41,$AJ2941=47),"⑤短期","対象外"))))))</f>
      </c>
    </row>
    <row r="2942">
      <c r="DB2942" s="2909">
        <f>IF($A2942="","",IF($AE2942&amp;""&lt;&gt;'DB_設定'!$C$4,"対象外",IF($AH2942=20,IF(OR($AJ2942=10,$AJ2942=11,$AJ2942=18),"①病院一般",IF($AJ2942=41,"②病院短期","対象外")),IF($AH2942=5,IF($AJ2942=30,"③特定消防","対象外"),IF(OR($AJ2942=10,$AJ2942=11,$AJ2942=74),"④一般",IF(OR($AJ2942=41,$AJ2942=47),"⑤短期","対象外"))))))</f>
      </c>
    </row>
    <row r="2943">
      <c r="DB2943" s="2909">
        <f>IF($A2943="","",IF($AE2943&amp;""&lt;&gt;'DB_設定'!$C$4,"対象外",IF($AH2943=20,IF(OR($AJ2943=10,$AJ2943=11,$AJ2943=18),"①病院一般",IF($AJ2943=41,"②病院短期","対象外")),IF($AH2943=5,IF($AJ2943=30,"③特定消防","対象外"),IF(OR($AJ2943=10,$AJ2943=11,$AJ2943=74),"④一般",IF(OR($AJ2943=41,$AJ2943=47),"⑤短期","対象外"))))))</f>
      </c>
    </row>
    <row r="2944">
      <c r="DB2944" s="2909">
        <f>IF($A2944="","",IF($AE2944&amp;""&lt;&gt;'DB_設定'!$C$4,"対象外",IF($AH2944=20,IF(OR($AJ2944=10,$AJ2944=11,$AJ2944=18),"①病院一般",IF($AJ2944=41,"②病院短期","対象外")),IF($AH2944=5,IF($AJ2944=30,"③特定消防","対象外"),IF(OR($AJ2944=10,$AJ2944=11,$AJ2944=74),"④一般",IF(OR($AJ2944=41,$AJ2944=47),"⑤短期","対象外"))))))</f>
      </c>
    </row>
    <row r="2945">
      <c r="DB2945" s="2909">
        <f>IF($A2945="","",IF($AE2945&amp;""&lt;&gt;'DB_設定'!$C$4,"対象外",IF($AH2945=20,IF(OR($AJ2945=10,$AJ2945=11,$AJ2945=18),"①病院一般",IF($AJ2945=41,"②病院短期","対象外")),IF($AH2945=5,IF($AJ2945=30,"③特定消防","対象外"),IF(OR($AJ2945=10,$AJ2945=11,$AJ2945=74),"④一般",IF(OR($AJ2945=41,$AJ2945=47),"⑤短期","対象外"))))))</f>
      </c>
    </row>
    <row r="2946">
      <c r="DB2946" s="2909">
        <f>IF($A2946="","",IF($AE2946&amp;""&lt;&gt;'DB_設定'!$C$4,"対象外",IF($AH2946=20,IF(OR($AJ2946=10,$AJ2946=11,$AJ2946=18),"①病院一般",IF($AJ2946=41,"②病院短期","対象外")),IF($AH2946=5,IF($AJ2946=30,"③特定消防","対象外"),IF(OR($AJ2946=10,$AJ2946=11,$AJ2946=74),"④一般",IF(OR($AJ2946=41,$AJ2946=47),"⑤短期","対象外"))))))</f>
      </c>
    </row>
    <row r="2947">
      <c r="DB2947" s="2909">
        <f>IF($A2947="","",IF($AE2947&amp;""&lt;&gt;'DB_設定'!$C$4,"対象外",IF($AH2947=20,IF(OR($AJ2947=10,$AJ2947=11,$AJ2947=18),"①病院一般",IF($AJ2947=41,"②病院短期","対象外")),IF($AH2947=5,IF($AJ2947=30,"③特定消防","対象外"),IF(OR($AJ2947=10,$AJ2947=11,$AJ2947=74),"④一般",IF(OR($AJ2947=41,$AJ2947=47),"⑤短期","対象外"))))))</f>
      </c>
    </row>
    <row r="2948">
      <c r="DB2948" s="2909">
        <f>IF($A2948="","",IF($AE2948&amp;""&lt;&gt;'DB_設定'!$C$4,"対象外",IF($AH2948=20,IF(OR($AJ2948=10,$AJ2948=11,$AJ2948=18),"①病院一般",IF($AJ2948=41,"②病院短期","対象外")),IF($AH2948=5,IF($AJ2948=30,"③特定消防","対象外"),IF(OR($AJ2948=10,$AJ2948=11,$AJ2948=74),"④一般",IF(OR($AJ2948=41,$AJ2948=47),"⑤短期","対象外"))))))</f>
      </c>
    </row>
    <row r="2949">
      <c r="DB2949" s="2909">
        <f>IF($A2949="","",IF($AE2949&amp;""&lt;&gt;'DB_設定'!$C$4,"対象外",IF($AH2949=20,IF(OR($AJ2949=10,$AJ2949=11,$AJ2949=18),"①病院一般",IF($AJ2949=41,"②病院短期","対象外")),IF($AH2949=5,IF($AJ2949=30,"③特定消防","対象外"),IF(OR($AJ2949=10,$AJ2949=11,$AJ2949=74),"④一般",IF(OR($AJ2949=41,$AJ2949=47),"⑤短期","対象外"))))))</f>
      </c>
    </row>
    <row r="2950">
      <c r="DB2950" s="2909">
        <f>IF($A2950="","",IF($AE2950&amp;""&lt;&gt;'DB_設定'!$C$4,"対象外",IF($AH2950=20,IF(OR($AJ2950=10,$AJ2950=11,$AJ2950=18),"①病院一般",IF($AJ2950=41,"②病院短期","対象外")),IF($AH2950=5,IF($AJ2950=30,"③特定消防","対象外"),IF(OR($AJ2950=10,$AJ2950=11,$AJ2950=74),"④一般",IF(OR($AJ2950=41,$AJ2950=47),"⑤短期","対象外"))))))</f>
      </c>
    </row>
    <row r="2951">
      <c r="DB2951" s="2909">
        <f>IF($A2951="","",IF($AE2951&amp;""&lt;&gt;'DB_設定'!$C$4,"対象外",IF($AH2951=20,IF(OR($AJ2951=10,$AJ2951=11,$AJ2951=18),"①病院一般",IF($AJ2951=41,"②病院短期","対象外")),IF($AH2951=5,IF($AJ2951=30,"③特定消防","対象外"),IF(OR($AJ2951=10,$AJ2951=11,$AJ2951=74),"④一般",IF(OR($AJ2951=41,$AJ2951=47),"⑤短期","対象外"))))))</f>
      </c>
    </row>
    <row r="2952">
      <c r="DB2952" s="2909">
        <f>IF($A2952="","",IF($AE2952&amp;""&lt;&gt;'DB_設定'!$C$4,"対象外",IF($AH2952=20,IF(OR($AJ2952=10,$AJ2952=11,$AJ2952=18),"①病院一般",IF($AJ2952=41,"②病院短期","対象外")),IF($AH2952=5,IF($AJ2952=30,"③特定消防","対象外"),IF(OR($AJ2952=10,$AJ2952=11,$AJ2952=74),"④一般",IF(OR($AJ2952=41,$AJ2952=47),"⑤短期","対象外"))))))</f>
      </c>
    </row>
    <row r="2953">
      <c r="DB2953" s="2909">
        <f>IF($A2953="","",IF($AE2953&amp;""&lt;&gt;'DB_設定'!$C$4,"対象外",IF($AH2953=20,IF(OR($AJ2953=10,$AJ2953=11,$AJ2953=18),"①病院一般",IF($AJ2953=41,"②病院短期","対象外")),IF($AH2953=5,IF($AJ2953=30,"③特定消防","対象外"),IF(OR($AJ2953=10,$AJ2953=11,$AJ2953=74),"④一般",IF(OR($AJ2953=41,$AJ2953=47),"⑤短期","対象外"))))))</f>
      </c>
    </row>
    <row r="2954">
      <c r="DB2954" s="2909">
        <f>IF($A2954="","",IF($AE2954&amp;""&lt;&gt;'DB_設定'!$C$4,"対象外",IF($AH2954=20,IF(OR($AJ2954=10,$AJ2954=11,$AJ2954=18),"①病院一般",IF($AJ2954=41,"②病院短期","対象外")),IF($AH2954=5,IF($AJ2954=30,"③特定消防","対象外"),IF(OR($AJ2954=10,$AJ2954=11,$AJ2954=74),"④一般",IF(OR($AJ2954=41,$AJ2954=47),"⑤短期","対象外"))))))</f>
      </c>
    </row>
    <row r="2955">
      <c r="DB2955" s="2909">
        <f>IF($A2955="","",IF($AE2955&amp;""&lt;&gt;'DB_設定'!$C$4,"対象外",IF($AH2955=20,IF(OR($AJ2955=10,$AJ2955=11,$AJ2955=18),"①病院一般",IF($AJ2955=41,"②病院短期","対象外")),IF($AH2955=5,IF($AJ2955=30,"③特定消防","対象外"),IF(OR($AJ2955=10,$AJ2955=11,$AJ2955=74),"④一般",IF(OR($AJ2955=41,$AJ2955=47),"⑤短期","対象外"))))))</f>
      </c>
    </row>
    <row r="2956">
      <c r="DB2956" s="2909">
        <f>IF($A2956="","",IF($AE2956&amp;""&lt;&gt;'DB_設定'!$C$4,"対象外",IF($AH2956=20,IF(OR($AJ2956=10,$AJ2956=11,$AJ2956=18),"①病院一般",IF($AJ2956=41,"②病院短期","対象外")),IF($AH2956=5,IF($AJ2956=30,"③特定消防","対象外"),IF(OR($AJ2956=10,$AJ2956=11,$AJ2956=74),"④一般",IF(OR($AJ2956=41,$AJ2956=47),"⑤短期","対象外"))))))</f>
      </c>
    </row>
    <row r="2957">
      <c r="DB2957" s="2909">
        <f>IF($A2957="","",IF($AE2957&amp;""&lt;&gt;'DB_設定'!$C$4,"対象外",IF($AH2957=20,IF(OR($AJ2957=10,$AJ2957=11,$AJ2957=18),"①病院一般",IF($AJ2957=41,"②病院短期","対象外")),IF($AH2957=5,IF($AJ2957=30,"③特定消防","対象外"),IF(OR($AJ2957=10,$AJ2957=11,$AJ2957=74),"④一般",IF(OR($AJ2957=41,$AJ2957=47),"⑤短期","対象外"))))))</f>
      </c>
    </row>
    <row r="2958">
      <c r="DB2958" s="2909">
        <f>IF($A2958="","",IF($AE2958&amp;""&lt;&gt;'DB_設定'!$C$4,"対象外",IF($AH2958=20,IF(OR($AJ2958=10,$AJ2958=11,$AJ2958=18),"①病院一般",IF($AJ2958=41,"②病院短期","対象外")),IF($AH2958=5,IF($AJ2958=30,"③特定消防","対象外"),IF(OR($AJ2958=10,$AJ2958=11,$AJ2958=74),"④一般",IF(OR($AJ2958=41,$AJ2958=47),"⑤短期","対象外"))))))</f>
      </c>
    </row>
    <row r="2959">
      <c r="DB2959" s="2909">
        <f>IF($A2959="","",IF($AE2959&amp;""&lt;&gt;'DB_設定'!$C$4,"対象外",IF($AH2959=20,IF(OR($AJ2959=10,$AJ2959=11,$AJ2959=18),"①病院一般",IF($AJ2959=41,"②病院短期","対象外")),IF($AH2959=5,IF($AJ2959=30,"③特定消防","対象外"),IF(OR($AJ2959=10,$AJ2959=11,$AJ2959=74),"④一般",IF(OR($AJ2959=41,$AJ2959=47),"⑤短期","対象外"))))))</f>
      </c>
    </row>
    <row r="2960">
      <c r="DB2960" s="2909">
        <f>IF($A2960="","",IF($AE2960&amp;""&lt;&gt;'DB_設定'!$C$4,"対象外",IF($AH2960=20,IF(OR($AJ2960=10,$AJ2960=11,$AJ2960=18),"①病院一般",IF($AJ2960=41,"②病院短期","対象外")),IF($AH2960=5,IF($AJ2960=30,"③特定消防","対象外"),IF(OR($AJ2960=10,$AJ2960=11,$AJ2960=74),"④一般",IF(OR($AJ2960=41,$AJ2960=47),"⑤短期","対象外"))))))</f>
      </c>
    </row>
    <row r="2961">
      <c r="DB2961" s="2909">
        <f>IF($A2961="","",IF($AE2961&amp;""&lt;&gt;'DB_設定'!$C$4,"対象外",IF($AH2961=20,IF(OR($AJ2961=10,$AJ2961=11,$AJ2961=18),"①病院一般",IF($AJ2961=41,"②病院短期","対象外")),IF($AH2961=5,IF($AJ2961=30,"③特定消防","対象外"),IF(OR($AJ2961=10,$AJ2961=11,$AJ2961=74),"④一般",IF(OR($AJ2961=41,$AJ2961=47),"⑤短期","対象外"))))))</f>
      </c>
    </row>
    <row r="2962">
      <c r="DB2962" s="2909">
        <f>IF($A2962="","",IF($AE2962&amp;""&lt;&gt;'DB_設定'!$C$4,"対象外",IF($AH2962=20,IF(OR($AJ2962=10,$AJ2962=11,$AJ2962=18),"①病院一般",IF($AJ2962=41,"②病院短期","対象外")),IF($AH2962=5,IF($AJ2962=30,"③特定消防","対象外"),IF(OR($AJ2962=10,$AJ2962=11,$AJ2962=74),"④一般",IF(OR($AJ2962=41,$AJ2962=47),"⑤短期","対象外"))))))</f>
      </c>
    </row>
    <row r="2963">
      <c r="DB2963" s="2909">
        <f>IF($A2963="","",IF($AE2963&amp;""&lt;&gt;'DB_設定'!$C$4,"対象外",IF($AH2963=20,IF(OR($AJ2963=10,$AJ2963=11,$AJ2963=18),"①病院一般",IF($AJ2963=41,"②病院短期","対象外")),IF($AH2963=5,IF($AJ2963=30,"③特定消防","対象外"),IF(OR($AJ2963=10,$AJ2963=11,$AJ2963=74),"④一般",IF(OR($AJ2963=41,$AJ2963=47),"⑤短期","対象外"))))))</f>
      </c>
    </row>
    <row r="2964">
      <c r="DB2964" s="2909">
        <f>IF($A2964="","",IF($AE2964&amp;""&lt;&gt;'DB_設定'!$C$4,"対象外",IF($AH2964=20,IF(OR($AJ2964=10,$AJ2964=11,$AJ2964=18),"①病院一般",IF($AJ2964=41,"②病院短期","対象外")),IF($AH2964=5,IF($AJ2964=30,"③特定消防","対象外"),IF(OR($AJ2964=10,$AJ2964=11,$AJ2964=74),"④一般",IF(OR($AJ2964=41,$AJ2964=47),"⑤短期","対象外"))))))</f>
      </c>
    </row>
    <row r="2965">
      <c r="DB2965" s="2909">
        <f>IF($A2965="","",IF($AE2965&amp;""&lt;&gt;'DB_設定'!$C$4,"対象外",IF($AH2965=20,IF(OR($AJ2965=10,$AJ2965=11,$AJ2965=18),"①病院一般",IF($AJ2965=41,"②病院短期","対象外")),IF($AH2965=5,IF($AJ2965=30,"③特定消防","対象外"),IF(OR($AJ2965=10,$AJ2965=11,$AJ2965=74),"④一般",IF(OR($AJ2965=41,$AJ2965=47),"⑤短期","対象外"))))))</f>
      </c>
    </row>
    <row r="2966">
      <c r="DB2966" s="2909">
        <f>IF($A2966="","",IF($AE2966&amp;""&lt;&gt;'DB_設定'!$C$4,"対象外",IF($AH2966=20,IF(OR($AJ2966=10,$AJ2966=11,$AJ2966=18),"①病院一般",IF($AJ2966=41,"②病院短期","対象外")),IF($AH2966=5,IF($AJ2966=30,"③特定消防","対象外"),IF(OR($AJ2966=10,$AJ2966=11,$AJ2966=74),"④一般",IF(OR($AJ2966=41,$AJ2966=47),"⑤短期","対象外"))))))</f>
      </c>
    </row>
    <row r="2967">
      <c r="DB2967" s="2909">
        <f>IF($A2967="","",IF($AE2967&amp;""&lt;&gt;'DB_設定'!$C$4,"対象外",IF($AH2967=20,IF(OR($AJ2967=10,$AJ2967=11,$AJ2967=18),"①病院一般",IF($AJ2967=41,"②病院短期","対象外")),IF($AH2967=5,IF($AJ2967=30,"③特定消防","対象外"),IF(OR($AJ2967=10,$AJ2967=11,$AJ2967=74),"④一般",IF(OR($AJ2967=41,$AJ2967=47),"⑤短期","対象外"))))))</f>
      </c>
    </row>
    <row r="2968">
      <c r="DB2968" s="2909">
        <f>IF($A2968="","",IF($AE2968&amp;""&lt;&gt;'DB_設定'!$C$4,"対象外",IF($AH2968=20,IF(OR($AJ2968=10,$AJ2968=11,$AJ2968=18),"①病院一般",IF($AJ2968=41,"②病院短期","対象外")),IF($AH2968=5,IF($AJ2968=30,"③特定消防","対象外"),IF(OR($AJ2968=10,$AJ2968=11,$AJ2968=74),"④一般",IF(OR($AJ2968=41,$AJ2968=47),"⑤短期","対象外"))))))</f>
      </c>
    </row>
    <row r="2969">
      <c r="DB2969" s="2909">
        <f>IF($A2969="","",IF($AE2969&amp;""&lt;&gt;'DB_設定'!$C$4,"対象外",IF($AH2969=20,IF(OR($AJ2969=10,$AJ2969=11,$AJ2969=18),"①病院一般",IF($AJ2969=41,"②病院短期","対象外")),IF($AH2969=5,IF($AJ2969=30,"③特定消防","対象外"),IF(OR($AJ2969=10,$AJ2969=11,$AJ2969=74),"④一般",IF(OR($AJ2969=41,$AJ2969=47),"⑤短期","対象外"))))))</f>
      </c>
    </row>
    <row r="2970">
      <c r="DB2970" s="2909">
        <f>IF($A2970="","",IF($AE2970&amp;""&lt;&gt;'DB_設定'!$C$4,"対象外",IF($AH2970=20,IF(OR($AJ2970=10,$AJ2970=11,$AJ2970=18),"①病院一般",IF($AJ2970=41,"②病院短期","対象外")),IF($AH2970=5,IF($AJ2970=30,"③特定消防","対象外"),IF(OR($AJ2970=10,$AJ2970=11,$AJ2970=74),"④一般",IF(OR($AJ2970=41,$AJ2970=47),"⑤短期","対象外"))))))</f>
      </c>
    </row>
    <row r="2971">
      <c r="DB2971" s="2909">
        <f>IF($A2971="","",IF($AE2971&amp;""&lt;&gt;'DB_設定'!$C$4,"対象外",IF($AH2971=20,IF(OR($AJ2971=10,$AJ2971=11,$AJ2971=18),"①病院一般",IF($AJ2971=41,"②病院短期","対象外")),IF($AH2971=5,IF($AJ2971=30,"③特定消防","対象外"),IF(OR($AJ2971=10,$AJ2971=11,$AJ2971=74),"④一般",IF(OR($AJ2971=41,$AJ2971=47),"⑤短期","対象外"))))))</f>
      </c>
    </row>
    <row r="2972">
      <c r="DB2972" s="2909">
        <f>IF($A2972="","",IF($AE2972&amp;""&lt;&gt;'DB_設定'!$C$4,"対象外",IF($AH2972=20,IF(OR($AJ2972=10,$AJ2972=11,$AJ2972=18),"①病院一般",IF($AJ2972=41,"②病院短期","対象外")),IF($AH2972=5,IF($AJ2972=30,"③特定消防","対象外"),IF(OR($AJ2972=10,$AJ2972=11,$AJ2972=74),"④一般",IF(OR($AJ2972=41,$AJ2972=47),"⑤短期","対象外"))))))</f>
      </c>
    </row>
    <row r="2973">
      <c r="DB2973" s="2909">
        <f>IF($A2973="","",IF($AE2973&amp;""&lt;&gt;'DB_設定'!$C$4,"対象外",IF($AH2973=20,IF(OR($AJ2973=10,$AJ2973=11,$AJ2973=18),"①病院一般",IF($AJ2973=41,"②病院短期","対象外")),IF($AH2973=5,IF($AJ2973=30,"③特定消防","対象外"),IF(OR($AJ2973=10,$AJ2973=11,$AJ2973=74),"④一般",IF(OR($AJ2973=41,$AJ2973=47),"⑤短期","対象外"))))))</f>
      </c>
    </row>
    <row r="2974">
      <c r="DB2974" s="2909">
        <f>IF($A2974="","",IF($AE2974&amp;""&lt;&gt;'DB_設定'!$C$4,"対象外",IF($AH2974=20,IF(OR($AJ2974=10,$AJ2974=11,$AJ2974=18),"①病院一般",IF($AJ2974=41,"②病院短期","対象外")),IF($AH2974=5,IF($AJ2974=30,"③特定消防","対象外"),IF(OR($AJ2974=10,$AJ2974=11,$AJ2974=74),"④一般",IF(OR($AJ2974=41,$AJ2974=47),"⑤短期","対象外"))))))</f>
      </c>
    </row>
    <row r="2975">
      <c r="DB2975" s="2909">
        <f>IF($A2975="","",IF($AE2975&amp;""&lt;&gt;'DB_設定'!$C$4,"対象外",IF($AH2975=20,IF(OR($AJ2975=10,$AJ2975=11,$AJ2975=18),"①病院一般",IF($AJ2975=41,"②病院短期","対象外")),IF($AH2975=5,IF($AJ2975=30,"③特定消防","対象外"),IF(OR($AJ2975=10,$AJ2975=11,$AJ2975=74),"④一般",IF(OR($AJ2975=41,$AJ2975=47),"⑤短期","対象外"))))))</f>
      </c>
    </row>
    <row r="2976">
      <c r="DB2976" s="2909">
        <f>IF($A2976="","",IF($AE2976&amp;""&lt;&gt;'DB_設定'!$C$4,"対象外",IF($AH2976=20,IF(OR($AJ2976=10,$AJ2976=11,$AJ2976=18),"①病院一般",IF($AJ2976=41,"②病院短期","対象外")),IF($AH2976=5,IF($AJ2976=30,"③特定消防","対象外"),IF(OR($AJ2976=10,$AJ2976=11,$AJ2976=74),"④一般",IF(OR($AJ2976=41,$AJ2976=47),"⑤短期","対象外"))))))</f>
      </c>
    </row>
    <row r="2977">
      <c r="DB2977" s="2909">
        <f>IF($A2977="","",IF($AE2977&amp;""&lt;&gt;'DB_設定'!$C$4,"対象外",IF($AH2977=20,IF(OR($AJ2977=10,$AJ2977=11,$AJ2977=18),"①病院一般",IF($AJ2977=41,"②病院短期","対象外")),IF($AH2977=5,IF($AJ2977=30,"③特定消防","対象外"),IF(OR($AJ2977=10,$AJ2977=11,$AJ2977=74),"④一般",IF(OR($AJ2977=41,$AJ2977=47),"⑤短期","対象外"))))))</f>
      </c>
    </row>
    <row r="2978">
      <c r="DB2978" s="2909">
        <f>IF($A2978="","",IF($AE2978&amp;""&lt;&gt;'DB_設定'!$C$4,"対象外",IF($AH2978=20,IF(OR($AJ2978=10,$AJ2978=11,$AJ2978=18),"①病院一般",IF($AJ2978=41,"②病院短期","対象外")),IF($AH2978=5,IF($AJ2978=30,"③特定消防","対象外"),IF(OR($AJ2978=10,$AJ2978=11,$AJ2978=74),"④一般",IF(OR($AJ2978=41,$AJ2978=47),"⑤短期","対象外"))))))</f>
      </c>
    </row>
    <row r="2979">
      <c r="DB2979" s="2909">
        <f>IF($A2979="","",IF($AE2979&amp;""&lt;&gt;'DB_設定'!$C$4,"対象外",IF($AH2979=20,IF(OR($AJ2979=10,$AJ2979=11,$AJ2979=18),"①病院一般",IF($AJ2979=41,"②病院短期","対象外")),IF($AH2979=5,IF($AJ2979=30,"③特定消防","対象外"),IF(OR($AJ2979=10,$AJ2979=11,$AJ2979=74),"④一般",IF(OR($AJ2979=41,$AJ2979=47),"⑤短期","対象外"))))))</f>
      </c>
    </row>
    <row r="2980">
      <c r="DB2980" s="2909">
        <f>IF($A2980="","",IF($AE2980&amp;""&lt;&gt;'DB_設定'!$C$4,"対象外",IF($AH2980=20,IF(OR($AJ2980=10,$AJ2980=11,$AJ2980=18),"①病院一般",IF($AJ2980=41,"②病院短期","対象外")),IF($AH2980=5,IF($AJ2980=30,"③特定消防","対象外"),IF(OR($AJ2980=10,$AJ2980=11,$AJ2980=74),"④一般",IF(OR($AJ2980=41,$AJ2980=47),"⑤短期","対象外"))))))</f>
      </c>
    </row>
    <row r="2981">
      <c r="DB2981" s="2909">
        <f>IF($A2981="","",IF($AE2981&amp;""&lt;&gt;'DB_設定'!$C$4,"対象外",IF($AH2981=20,IF(OR($AJ2981=10,$AJ2981=11,$AJ2981=18),"①病院一般",IF($AJ2981=41,"②病院短期","対象外")),IF($AH2981=5,IF($AJ2981=30,"③特定消防","対象外"),IF(OR($AJ2981=10,$AJ2981=11,$AJ2981=74),"④一般",IF(OR($AJ2981=41,$AJ2981=47),"⑤短期","対象外"))))))</f>
      </c>
    </row>
    <row r="2982">
      <c r="DB2982" s="2909">
        <f>IF($A2982="","",IF($AE2982&amp;""&lt;&gt;'DB_設定'!$C$4,"対象外",IF($AH2982=20,IF(OR($AJ2982=10,$AJ2982=11,$AJ2982=18),"①病院一般",IF($AJ2982=41,"②病院短期","対象外")),IF($AH2982=5,IF($AJ2982=30,"③特定消防","対象外"),IF(OR($AJ2982=10,$AJ2982=11,$AJ2982=74),"④一般",IF(OR($AJ2982=41,$AJ2982=47),"⑤短期","対象外"))))))</f>
      </c>
    </row>
    <row r="2983">
      <c r="DB2983" s="2909">
        <f>IF($A2983="","",IF($AE2983&amp;""&lt;&gt;'DB_設定'!$C$4,"対象外",IF($AH2983=20,IF(OR($AJ2983=10,$AJ2983=11,$AJ2983=18),"①病院一般",IF($AJ2983=41,"②病院短期","対象外")),IF($AH2983=5,IF($AJ2983=30,"③特定消防","対象外"),IF(OR($AJ2983=10,$AJ2983=11,$AJ2983=74),"④一般",IF(OR($AJ2983=41,$AJ2983=47),"⑤短期","対象外"))))))</f>
      </c>
    </row>
    <row r="2984">
      <c r="DB2984" s="2909">
        <f>IF($A2984="","",IF($AE2984&amp;""&lt;&gt;'DB_設定'!$C$4,"対象外",IF($AH2984=20,IF(OR($AJ2984=10,$AJ2984=11,$AJ2984=18),"①病院一般",IF($AJ2984=41,"②病院短期","対象外")),IF($AH2984=5,IF($AJ2984=30,"③特定消防","対象外"),IF(OR($AJ2984=10,$AJ2984=11,$AJ2984=74),"④一般",IF(OR($AJ2984=41,$AJ2984=47),"⑤短期","対象外"))))))</f>
      </c>
    </row>
    <row r="2985">
      <c r="DB2985" s="2909">
        <f>IF($A2985="","",IF($AE2985&amp;""&lt;&gt;'DB_設定'!$C$4,"対象外",IF($AH2985=20,IF(OR($AJ2985=10,$AJ2985=11,$AJ2985=18),"①病院一般",IF($AJ2985=41,"②病院短期","対象外")),IF($AH2985=5,IF($AJ2985=30,"③特定消防","対象外"),IF(OR($AJ2985=10,$AJ2985=11,$AJ2985=74),"④一般",IF(OR($AJ2985=41,$AJ2985=47),"⑤短期","対象外"))))))</f>
      </c>
    </row>
    <row r="2986">
      <c r="DB2986" s="2909">
        <f>IF($A2986="","",IF($AE2986&amp;""&lt;&gt;'DB_設定'!$C$4,"対象外",IF($AH2986=20,IF(OR($AJ2986=10,$AJ2986=11,$AJ2986=18),"①病院一般",IF($AJ2986=41,"②病院短期","対象外")),IF($AH2986=5,IF($AJ2986=30,"③特定消防","対象外"),IF(OR($AJ2986=10,$AJ2986=11,$AJ2986=74),"④一般",IF(OR($AJ2986=41,$AJ2986=47),"⑤短期","対象外"))))))</f>
      </c>
    </row>
    <row r="2987">
      <c r="DB2987" s="2909">
        <f>IF($A2987="","",IF($AE2987&amp;""&lt;&gt;'DB_設定'!$C$4,"対象外",IF($AH2987=20,IF(OR($AJ2987=10,$AJ2987=11,$AJ2987=18),"①病院一般",IF($AJ2987=41,"②病院短期","対象外")),IF($AH2987=5,IF($AJ2987=30,"③特定消防","対象外"),IF(OR($AJ2987=10,$AJ2987=11,$AJ2987=74),"④一般",IF(OR($AJ2987=41,$AJ2987=47),"⑤短期","対象外"))))))</f>
      </c>
    </row>
    <row r="2988">
      <c r="DB2988" s="2909">
        <f>IF($A2988="","",IF($AE2988&amp;""&lt;&gt;'DB_設定'!$C$4,"対象外",IF($AH2988=20,IF(OR($AJ2988=10,$AJ2988=11,$AJ2988=18),"①病院一般",IF($AJ2988=41,"②病院短期","対象外")),IF($AH2988=5,IF($AJ2988=30,"③特定消防","対象外"),IF(OR($AJ2988=10,$AJ2988=11,$AJ2988=74),"④一般",IF(OR($AJ2988=41,$AJ2988=47),"⑤短期","対象外"))))))</f>
      </c>
    </row>
    <row r="2989">
      <c r="DB2989" s="2909">
        <f>IF($A2989="","",IF($AE2989&amp;""&lt;&gt;'DB_設定'!$C$4,"対象外",IF($AH2989=20,IF(OR($AJ2989=10,$AJ2989=11,$AJ2989=18),"①病院一般",IF($AJ2989=41,"②病院短期","対象外")),IF($AH2989=5,IF($AJ2989=30,"③特定消防","対象外"),IF(OR($AJ2989=10,$AJ2989=11,$AJ2989=74),"④一般",IF(OR($AJ2989=41,$AJ2989=47),"⑤短期","対象外"))))))</f>
      </c>
    </row>
    <row r="2990">
      <c r="DB2990" s="2909">
        <f>IF($A2990="","",IF($AE2990&amp;""&lt;&gt;'DB_設定'!$C$4,"対象外",IF($AH2990=20,IF(OR($AJ2990=10,$AJ2990=11,$AJ2990=18),"①病院一般",IF($AJ2990=41,"②病院短期","対象外")),IF($AH2990=5,IF($AJ2990=30,"③特定消防","対象外"),IF(OR($AJ2990=10,$AJ2990=11,$AJ2990=74),"④一般",IF(OR($AJ2990=41,$AJ2990=47),"⑤短期","対象外"))))))</f>
      </c>
    </row>
    <row r="2991">
      <c r="DB2991" s="2909">
        <f>IF($A2991="","",IF($AE2991&amp;""&lt;&gt;'DB_設定'!$C$4,"対象外",IF($AH2991=20,IF(OR($AJ2991=10,$AJ2991=11,$AJ2991=18),"①病院一般",IF($AJ2991=41,"②病院短期","対象外")),IF($AH2991=5,IF($AJ2991=30,"③特定消防","対象外"),IF(OR($AJ2991=10,$AJ2991=11,$AJ2991=74),"④一般",IF(OR($AJ2991=41,$AJ2991=47),"⑤短期","対象外"))))))</f>
      </c>
    </row>
    <row r="2992">
      <c r="DB2992" s="2909">
        <f>IF($A2992="","",IF($AE2992&amp;""&lt;&gt;'DB_設定'!$C$4,"対象外",IF($AH2992=20,IF(OR($AJ2992=10,$AJ2992=11,$AJ2992=18),"①病院一般",IF($AJ2992=41,"②病院短期","対象外")),IF($AH2992=5,IF($AJ2992=30,"③特定消防","対象外"),IF(OR($AJ2992=10,$AJ2992=11,$AJ2992=74),"④一般",IF(OR($AJ2992=41,$AJ2992=47),"⑤短期","対象外"))))))</f>
      </c>
    </row>
    <row r="2993">
      <c r="DB2993" s="2909">
        <f>IF($A2993="","",IF($AE2993&amp;""&lt;&gt;'DB_設定'!$C$4,"対象外",IF($AH2993=20,IF(OR($AJ2993=10,$AJ2993=11,$AJ2993=18),"①病院一般",IF($AJ2993=41,"②病院短期","対象外")),IF($AH2993=5,IF($AJ2993=30,"③特定消防","対象外"),IF(OR($AJ2993=10,$AJ2993=11,$AJ2993=74),"④一般",IF(OR($AJ2993=41,$AJ2993=47),"⑤短期","対象外"))))))</f>
      </c>
    </row>
    <row r="2994">
      <c r="DB2994" s="2909">
        <f>IF($A2994="","",IF($AE2994&amp;""&lt;&gt;'DB_設定'!$C$4,"対象外",IF($AH2994=20,IF(OR($AJ2994=10,$AJ2994=11,$AJ2994=18),"①病院一般",IF($AJ2994=41,"②病院短期","対象外")),IF($AH2994=5,IF($AJ2994=30,"③特定消防","対象外"),IF(OR($AJ2994=10,$AJ2994=11,$AJ2994=74),"④一般",IF(OR($AJ2994=41,$AJ2994=47),"⑤短期","対象外"))))))</f>
      </c>
    </row>
    <row r="2995">
      <c r="DB2995" s="2909">
        <f>IF($A2995="","",IF($AE2995&amp;""&lt;&gt;'DB_設定'!$C$4,"対象外",IF($AH2995=20,IF(OR($AJ2995=10,$AJ2995=11,$AJ2995=18),"①病院一般",IF($AJ2995=41,"②病院短期","対象外")),IF($AH2995=5,IF($AJ2995=30,"③特定消防","対象外"),IF(OR($AJ2995=10,$AJ2995=11,$AJ2995=74),"④一般",IF(OR($AJ2995=41,$AJ2995=47),"⑤短期","対象外"))))))</f>
      </c>
    </row>
    <row r="2996">
      <c r="DB2996" s="2909">
        <f>IF($A2996="","",IF($AE2996&amp;""&lt;&gt;'DB_設定'!$C$4,"対象外",IF($AH2996=20,IF(OR($AJ2996=10,$AJ2996=11,$AJ2996=18),"①病院一般",IF($AJ2996=41,"②病院短期","対象外")),IF($AH2996=5,IF($AJ2996=30,"③特定消防","対象外"),IF(OR($AJ2996=10,$AJ2996=11,$AJ2996=74),"④一般",IF(OR($AJ2996=41,$AJ2996=47),"⑤短期","対象外"))))))</f>
      </c>
    </row>
    <row r="2997">
      <c r="DB2997" s="2909">
        <f>IF($A2997="","",IF($AE2997&amp;""&lt;&gt;'DB_設定'!$C$4,"対象外",IF($AH2997=20,IF(OR($AJ2997=10,$AJ2997=11,$AJ2997=18),"①病院一般",IF($AJ2997=41,"②病院短期","対象外")),IF($AH2997=5,IF($AJ2997=30,"③特定消防","対象外"),IF(OR($AJ2997=10,$AJ2997=11,$AJ2997=74),"④一般",IF(OR($AJ2997=41,$AJ2997=47),"⑤短期","対象外"))))))</f>
      </c>
    </row>
    <row r="2998">
      <c r="DB2998" s="2909">
        <f>IF($A2998="","",IF($AE2998&amp;""&lt;&gt;'DB_設定'!$C$4,"対象外",IF($AH2998=20,IF(OR($AJ2998=10,$AJ2998=11,$AJ2998=18),"①病院一般",IF($AJ2998=41,"②病院短期","対象外")),IF($AH2998=5,IF($AJ2998=30,"③特定消防","対象外"),IF(OR($AJ2998=10,$AJ2998=11,$AJ2998=74),"④一般",IF(OR($AJ2998=41,$AJ2998=47),"⑤短期","対象外"))))))</f>
      </c>
    </row>
    <row r="2999">
      <c r="DB2999" s="2909">
        <f>IF($A2999="","",IF($AE2999&amp;""&lt;&gt;'DB_設定'!$C$4,"対象外",IF($AH2999=20,IF(OR($AJ2999=10,$AJ2999=11,$AJ2999=18),"①病院一般",IF($AJ2999=41,"②病院短期","対象外")),IF($AH2999=5,IF($AJ2999=30,"③特定消防","対象外"),IF(OR($AJ2999=10,$AJ2999=11,$AJ2999=74),"④一般",IF(OR($AJ2999=41,$AJ2999=47),"⑤短期","対象外"))))))</f>
      </c>
    </row>
    <row r="3000">
      <c r="DB3000" s="2909">
        <f>IF($A3000="","",IF($AE3000&amp;""&lt;&gt;'DB_設定'!$C$4,"対象外",IF($AH3000=20,IF(OR($AJ3000=10,$AJ3000=11,$AJ3000=18),"①病院一般",IF($AJ3000=41,"②病院短期","対象外")),IF($AH3000=5,IF($AJ3000=30,"③特定消防","対象外"),IF(OR($AJ3000=10,$AJ3000=11,$AJ3000=74),"④一般",IF(OR($AJ3000=41,$AJ3000=47),"⑤短期","対象外"))))))</f>
      </c>
    </row>
    <row r="3001">
      <c r="DB3001" s="2909">
        <f>IF($A3001="","",IF($AE3001&amp;""&lt;&gt;'DB_設定'!$C$4,"対象外",IF($AH3001=20,IF(OR($AJ3001=10,$AJ3001=11,$AJ3001=18),"①病院一般",IF($AJ3001=41,"②病院短期","対象外")),IF($AH3001=5,IF($AJ3001=30,"③特定消防","対象外"),IF(OR($AJ3001=10,$AJ3001=11,$AJ3001=74),"④一般",IF(OR($AJ3001=41,$AJ3001=47),"⑤短期","対象外"))))))</f>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21</v>
      </c>
      <c r="AB2" t="inlineStr" s="2909">
        <is>
          <t>19840401</t>
        </is>
      </c>
      <c r="AD2" t="n" s="2909">
        <v>0</v>
      </c>
      <c r="AE2" t="inlineStr" s="2909">
        <is>
          <t>00000000</t>
        </is>
      </c>
      <c r="AH2" t="n" s="2909">
        <v>5</v>
      </c>
      <c r="AJ2" t="n" s="2909">
        <v>30</v>
      </c>
      <c r="AP2" t="n" s="2909">
        <v>530000</v>
      </c>
      <c r="DB2" s="2909" t="str">
        <f>IF($A2="","",IF(AND($A2=21,$AE2&amp;""="00000000"),IF($AH2=20,"病院",IF($AH2=5,"消防","市長")),"対象外"))</f>
        <v>消防</v>
      </c>
    </row>
    <row r="3">
      <c r="A3" t="n" s="2909">
        <v>21</v>
      </c>
      <c r="AA3" t="n" s="2909">
        <v>21</v>
      </c>
      <c r="AB3" t="inlineStr" s="2909">
        <is>
          <t>19840401</t>
        </is>
      </c>
      <c r="AD3" t="n" s="2909">
        <v>0</v>
      </c>
      <c r="AE3" t="inlineStr" s="2909">
        <is>
          <t>00000000</t>
        </is>
      </c>
      <c r="AH3" t="n" s="2909">
        <v>1</v>
      </c>
      <c r="AJ3" t="n" s="2909">
        <v>10</v>
      </c>
      <c r="AP3" t="n" s="2909">
        <v>500000</v>
      </c>
      <c r="DB3" s="2909" t="str">
        <f>IF($A3="","",IF(AND($A3=21,$AE3&amp;""="00000000"),IF($AH3=20,"病院",IF($AH3=5,"消防","市長")),"対象外"))</f>
        <v>市長</v>
      </c>
    </row>
    <row r="4">
      <c r="A4" t="n" s="2909">
        <v>21</v>
      </c>
      <c r="AA4" t="n" s="2909">
        <v>21</v>
      </c>
      <c r="AB4" t="inlineStr" s="2909">
        <is>
          <t>19880401</t>
        </is>
      </c>
      <c r="AD4" t="n" s="2909">
        <v>0</v>
      </c>
      <c r="AE4" t="inlineStr" s="2909">
        <is>
          <t>00000000</t>
        </is>
      </c>
      <c r="AH4" t="n" s="2909">
        <v>1</v>
      </c>
      <c r="AJ4" t="n" s="2909">
        <v>10</v>
      </c>
      <c r="AP4" t="n" s="2909">
        <v>560000</v>
      </c>
      <c r="DB4" s="2909" t="str">
        <f>IF($A4="","",IF(AND($A4=21,$AE4&amp;""="00000000"),IF($AH4=20,"病院",IF($AH4=5,"消防","市長")),"対象外"))</f>
        <v>市長</v>
      </c>
    </row>
    <row r="5">
      <c r="A5" t="n" s="2909">
        <v>21</v>
      </c>
      <c r="AA5" t="n" s="2909">
        <v>21</v>
      </c>
      <c r="AB5" t="inlineStr" s="2909">
        <is>
          <t>19880401</t>
        </is>
      </c>
      <c r="AD5" t="n" s="2909">
        <v>0</v>
      </c>
      <c r="AE5" t="inlineStr" s="2909">
        <is>
          <t>00000000</t>
        </is>
      </c>
      <c r="AH5" t="n" s="2909">
        <v>1</v>
      </c>
      <c r="AJ5" t="n" s="2909">
        <v>10</v>
      </c>
      <c r="AP5" t="n" s="2909">
        <v>650000</v>
      </c>
      <c r="DB5" s="2909" t="str">
        <f>IF($A5="","",IF(AND($A5=21,$AE5&amp;""="00000000"),IF($AH5=20,"病院",IF($AH5=5,"消防","市長")),"対象外"))</f>
        <v>市長</v>
      </c>
    </row>
    <row r="6">
      <c r="A6" t="n" s="2909">
        <v>21</v>
      </c>
      <c r="AA6" t="n" s="2909">
        <v>21</v>
      </c>
      <c r="AB6" t="inlineStr" s="2909">
        <is>
          <t>19840401</t>
        </is>
      </c>
      <c r="AD6" t="n" s="2909">
        <v>0</v>
      </c>
      <c r="AE6" t="inlineStr" s="2909">
        <is>
          <t>00000000</t>
        </is>
      </c>
      <c r="AH6" t="n" s="2909">
        <v>5</v>
      </c>
      <c r="AJ6" t="n" s="2909">
        <v>30</v>
      </c>
      <c r="AP6" t="n" s="2909">
        <v>560000</v>
      </c>
      <c r="DB6" s="2909" t="str">
        <f>IF($A6="","",IF(AND($A6=21,$AE6&amp;""="00000000"),IF($AH6=20,"病院",IF($AH6=5,"消防","市長")),"対象外"))</f>
        <v>消防</v>
      </c>
    </row>
    <row r="7">
      <c r="A7" t="n" s="2909">
        <v>21</v>
      </c>
      <c r="AA7" t="n" s="2909">
        <v>21</v>
      </c>
      <c r="AB7" t="inlineStr" s="2909">
        <is>
          <t>19890401</t>
        </is>
      </c>
      <c r="AD7" t="n" s="2909">
        <v>0</v>
      </c>
      <c r="AE7" t="inlineStr" s="2909">
        <is>
          <t>00000000</t>
        </is>
      </c>
      <c r="AH7" t="n" s="2909">
        <v>1</v>
      </c>
      <c r="AJ7" t="n" s="2909">
        <v>10</v>
      </c>
      <c r="AP7" t="n" s="2909">
        <v>560000</v>
      </c>
      <c r="DB7" s="2909" t="str">
        <f>IF($A7="","",IF(AND($A7=21,$AE7&amp;""="00000000"),IF($AH7=20,"病院",IF($AH7=5,"消防","市長")),"対象外"))</f>
        <v>市長</v>
      </c>
    </row>
    <row r="8">
      <c r="A8" t="n" s="2909">
        <v>21</v>
      </c>
      <c r="AA8" t="n" s="2909">
        <v>21</v>
      </c>
      <c r="AB8" t="inlineStr" s="2909">
        <is>
          <t>19890401</t>
        </is>
      </c>
      <c r="AD8" t="n" s="2909">
        <v>0</v>
      </c>
      <c r="AE8" t="inlineStr" s="2909">
        <is>
          <t>00000000</t>
        </is>
      </c>
      <c r="AH8" t="n" s="2909">
        <v>5</v>
      </c>
      <c r="AJ8" t="n" s="2909">
        <v>30</v>
      </c>
      <c r="AP8" t="n" s="2909">
        <v>470000</v>
      </c>
      <c r="DB8" s="2909" t="str">
        <f>IF($A8="","",IF(AND($A8=21,$AE8&amp;""="00000000"),IF($AH8=20,"病院",IF($AH8=5,"消防","市長")),"対象外"))</f>
        <v>消防</v>
      </c>
    </row>
    <row r="9">
      <c r="A9" t="n" s="2909">
        <v>31</v>
      </c>
      <c r="AA9" t="n" s="2909">
        <v>21</v>
      </c>
      <c r="AB9" t="inlineStr" s="2909">
        <is>
          <t>20221001</t>
        </is>
      </c>
      <c r="AD9" t="n" s="2909">
        <v>0</v>
      </c>
      <c r="AE9" t="inlineStr" s="2909">
        <is>
          <t>00000000</t>
        </is>
      </c>
      <c r="AH9" t="n" s="2909">
        <v>11</v>
      </c>
      <c r="AJ9" t="n" s="2909">
        <v>41</v>
      </c>
      <c r="AP9" t="n" s="2909">
        <v>190000</v>
      </c>
      <c r="DB9" s="2909" t="str">
        <f>IF($A9="","",IF(AND($A9=21,$AE9&amp;""="00000000"),IF($AH9=20,"病院",IF($AH9=5,"消防","市長")),"対象外"))</f>
        <v>対象外</v>
      </c>
    </row>
    <row r="10">
      <c r="A10" t="n" s="2909">
        <v>21</v>
      </c>
      <c r="AA10" t="n" s="2909">
        <v>21</v>
      </c>
      <c r="AB10" t="inlineStr" s="2909">
        <is>
          <t>19880401</t>
        </is>
      </c>
      <c r="AD10" t="n" s="2909">
        <v>0</v>
      </c>
      <c r="AE10" t="inlineStr" s="2909">
        <is>
          <t>00000000</t>
        </is>
      </c>
      <c r="AH10" t="n" s="2909">
        <v>1</v>
      </c>
      <c r="AJ10" t="n" s="2909">
        <v>10</v>
      </c>
      <c r="AP10" t="n" s="2909">
        <v>500000</v>
      </c>
      <c r="DB10" s="2909" t="str">
        <f>IF($A10="","",IF(AND($A10=21,$AE10&amp;""="00000000"),IF($AH10=20,"病院",IF($AH10=5,"消防","市長")),"対象外"))</f>
        <v>市長</v>
      </c>
    </row>
    <row r="11">
      <c r="A11" t="n" s="2909">
        <v>21</v>
      </c>
      <c r="AA11" t="n" s="2909">
        <v>21</v>
      </c>
      <c r="AB11" t="inlineStr" s="2909">
        <is>
          <t>19900401</t>
        </is>
      </c>
      <c r="AD11" t="n" s="2909">
        <v>0</v>
      </c>
      <c r="AE11" t="inlineStr" s="2909">
        <is>
          <t>00000000</t>
        </is>
      </c>
      <c r="AH11" t="n" s="2909">
        <v>47</v>
      </c>
      <c r="AJ11" t="n" s="2909">
        <v>74</v>
      </c>
      <c r="AP11" t="n" s="2909">
        <v>560000</v>
      </c>
      <c r="DB11" s="2909" t="str">
        <f>IF($A11="","",IF(AND($A11=21,$AE11&amp;""="00000000"),IF($AH11=20,"病院",IF($AH11=5,"消防","市長")),"対象外"))</f>
        <v>市長</v>
      </c>
    </row>
    <row r="12">
      <c r="A12" t="n" s="2909">
        <v>21</v>
      </c>
      <c r="AA12" t="n" s="2909">
        <v>21</v>
      </c>
      <c r="AB12" t="inlineStr" s="2909">
        <is>
          <t>19840401</t>
        </is>
      </c>
      <c r="AD12" t="n" s="2909">
        <v>0</v>
      </c>
      <c r="AE12" t="inlineStr" s="2909">
        <is>
          <t>00000000</t>
        </is>
      </c>
      <c r="AH12" t="n" s="2909">
        <v>5</v>
      </c>
      <c r="AJ12" t="n" s="2909">
        <v>30</v>
      </c>
      <c r="AP12" t="n" s="2909">
        <v>530000</v>
      </c>
      <c r="DB12" s="2909" t="str">
        <f>IF($A12="","",IF(AND($A12=21,$AE12&amp;""="00000000"),IF($AH12=20,"病院",IF($AH12=5,"消防","市長")),"対象外"))</f>
        <v>消防</v>
      </c>
    </row>
    <row r="13">
      <c r="A13" t="n" s="2909">
        <v>21</v>
      </c>
      <c r="AA13" t="n" s="2909">
        <v>21</v>
      </c>
      <c r="AB13" t="inlineStr" s="2909">
        <is>
          <t>19840401</t>
        </is>
      </c>
      <c r="AD13" t="n" s="2909">
        <v>0</v>
      </c>
      <c r="AE13" t="inlineStr" s="2909">
        <is>
          <t>00000000</t>
        </is>
      </c>
      <c r="AH13" t="n" s="2909">
        <v>4</v>
      </c>
      <c r="AJ13" t="n" s="2909">
        <v>10</v>
      </c>
      <c r="AP13" t="n" s="2909">
        <v>470000</v>
      </c>
      <c r="DB13" s="2909" t="str">
        <f>IF($A13="","",IF(AND($A13=21,$AE13&amp;""="00000000"),IF($AH13=20,"病院",IF($AH13=5,"消防","市長")),"対象外"))</f>
        <v>市長</v>
      </c>
    </row>
    <row r="14">
      <c r="A14" t="n" s="2909">
        <v>21</v>
      </c>
      <c r="AA14" t="n" s="2909">
        <v>21</v>
      </c>
      <c r="AB14" t="inlineStr" s="2909">
        <is>
          <t>19880401</t>
        </is>
      </c>
      <c r="AD14" t="n" s="2909">
        <v>0</v>
      </c>
      <c r="AE14" t="inlineStr" s="2909">
        <is>
          <t>00000000</t>
        </is>
      </c>
      <c r="AH14" t="n" s="2909">
        <v>47</v>
      </c>
      <c r="AJ14" t="n" s="2909">
        <v>74</v>
      </c>
      <c r="AP14" t="n" s="2909">
        <v>500000</v>
      </c>
      <c r="DB14" s="2909" t="str">
        <f>IF($A14="","",IF(AND($A14=21,$AE14&amp;""="00000000"),IF($AH14=20,"病院",IF($AH14=5,"消防","市長")),"対象外"))</f>
        <v>市長</v>
      </c>
    </row>
    <row r="15">
      <c r="A15" t="n" s="2909">
        <v>21</v>
      </c>
      <c r="AA15" t="n" s="2909">
        <v>21</v>
      </c>
      <c r="AB15" t="inlineStr" s="2909">
        <is>
          <t>19880401</t>
        </is>
      </c>
      <c r="AD15" t="n" s="2909">
        <v>0</v>
      </c>
      <c r="AE15" t="inlineStr" s="2909">
        <is>
          <t>00000000</t>
        </is>
      </c>
      <c r="AH15" t="n" s="2909">
        <v>1</v>
      </c>
      <c r="AJ15" t="n" s="2909">
        <v>10</v>
      </c>
      <c r="AP15" t="n" s="2909">
        <v>530000</v>
      </c>
      <c r="DB15" s="2909" t="str">
        <f>IF($A15="","",IF(AND($A15=21,$AE15&amp;""="00000000"),IF($AH15=20,"病院",IF($AH15=5,"消防","市長")),"対象外"))</f>
        <v>市長</v>
      </c>
    </row>
    <row r="16">
      <c r="A16" t="n" s="2909">
        <v>21</v>
      </c>
      <c r="AA16" t="n" s="2909">
        <v>21</v>
      </c>
      <c r="AB16" t="inlineStr" s="2909">
        <is>
          <t>19940401</t>
        </is>
      </c>
      <c r="AD16" t="n" s="2909">
        <v>0</v>
      </c>
      <c r="AE16" t="inlineStr" s="2909">
        <is>
          <t>00000000</t>
        </is>
      </c>
      <c r="AH16" t="n" s="2909">
        <v>3</v>
      </c>
      <c r="AJ16" t="n" s="2909">
        <v>10</v>
      </c>
      <c r="AP16" t="n" s="2909">
        <v>560000</v>
      </c>
      <c r="DB16" s="2909" t="str">
        <f>IF($A16="","",IF(AND($A16=21,$AE16&amp;""="00000000"),IF($AH16=20,"病院",IF($AH16=5,"消防","市長")),"対象外"))</f>
        <v>市長</v>
      </c>
    </row>
    <row r="17">
      <c r="A17" t="n" s="2909">
        <v>21</v>
      </c>
      <c r="AA17" t="n" s="2909">
        <v>21</v>
      </c>
      <c r="AB17" t="inlineStr" s="2909">
        <is>
          <t>19840401</t>
        </is>
      </c>
      <c r="AD17" t="n" s="2909">
        <v>0</v>
      </c>
      <c r="AE17" t="inlineStr" s="2909">
        <is>
          <t>00000000</t>
        </is>
      </c>
      <c r="AH17" t="n" s="2909">
        <v>4</v>
      </c>
      <c r="AJ17" t="n" s="2909">
        <v>10</v>
      </c>
      <c r="AP17" t="n" s="2909">
        <v>590000</v>
      </c>
      <c r="DB17" s="2909" t="str">
        <f>IF($A17="","",IF(AND($A17=21,$AE17&amp;""="00000000"),IF($AH17=20,"病院",IF($AH17=5,"消防","市長")),"対象外"))</f>
        <v>市長</v>
      </c>
    </row>
    <row r="18">
      <c r="A18" t="n" s="2909">
        <v>21</v>
      </c>
      <c r="AA18" t="n" s="2909">
        <v>21</v>
      </c>
      <c r="AB18" t="inlineStr" s="2909">
        <is>
          <t>19880401</t>
        </is>
      </c>
      <c r="AD18" t="n" s="2909">
        <v>0</v>
      </c>
      <c r="AE18" t="inlineStr" s="2909">
        <is>
          <t>00000000</t>
        </is>
      </c>
      <c r="AH18" t="n" s="2909">
        <v>11</v>
      </c>
      <c r="AJ18" t="n" s="2909">
        <v>10</v>
      </c>
      <c r="AP18" t="n" s="2909">
        <v>470000</v>
      </c>
      <c r="DB18" s="2909" t="str">
        <f>IF($A18="","",IF(AND($A18=21,$AE18&amp;""="00000000"),IF($AH18=20,"病院",IF($AH18=5,"消防","市長")),"対象外"))</f>
        <v>市長</v>
      </c>
    </row>
    <row r="19">
      <c r="A19" t="n" s="2909">
        <v>21</v>
      </c>
      <c r="AA19" t="n" s="2909">
        <v>21</v>
      </c>
      <c r="AB19" t="inlineStr" s="2909">
        <is>
          <t>19910401</t>
        </is>
      </c>
      <c r="AD19" t="n" s="2909">
        <v>0</v>
      </c>
      <c r="AE19" t="inlineStr" s="2909">
        <is>
          <t>00000000</t>
        </is>
      </c>
      <c r="AH19" t="n" s="2909">
        <v>3</v>
      </c>
      <c r="AJ19" t="n" s="2909">
        <v>10</v>
      </c>
      <c r="AP19" t="n" s="2909">
        <v>560000</v>
      </c>
      <c r="DB19" s="2909" t="str">
        <f>IF($A19="","",IF(AND($A19=21,$AE19&amp;""="00000000"),IF($AH19=20,"病院",IF($AH19=5,"消防","市長")),"対象外"))</f>
        <v>市長</v>
      </c>
    </row>
    <row r="20">
      <c r="A20" t="n" s="2909">
        <v>21</v>
      </c>
      <c r="AA20" t="n" s="2909">
        <v>21</v>
      </c>
      <c r="AB20" t="inlineStr" s="2909">
        <is>
          <t>19890401</t>
        </is>
      </c>
      <c r="AD20" t="n" s="2909">
        <v>0</v>
      </c>
      <c r="AE20" t="inlineStr" s="2909">
        <is>
          <t>00000000</t>
        </is>
      </c>
      <c r="AH20" t="n" s="2909">
        <v>1</v>
      </c>
      <c r="AJ20" t="n" s="2909">
        <v>10</v>
      </c>
      <c r="AP20" t="n" s="2909">
        <v>650000</v>
      </c>
      <c r="DB20" s="2909" t="str">
        <f>IF($A20="","",IF(AND($A20=21,$AE20&amp;""="00000000"),IF($AH20=20,"病院",IF($AH20=5,"消防","市長")),"対象外"))</f>
        <v>市長</v>
      </c>
    </row>
    <row r="21">
      <c r="A21" t="n" s="2909">
        <v>21</v>
      </c>
      <c r="AA21" t="n" s="2909">
        <v>21</v>
      </c>
      <c r="AB21" t="inlineStr" s="2909">
        <is>
          <t>19840401</t>
        </is>
      </c>
      <c r="AD21" t="n" s="2909">
        <v>0</v>
      </c>
      <c r="AE21" t="inlineStr" s="2909">
        <is>
          <t>00000000</t>
        </is>
      </c>
      <c r="AH21" t="n" s="2909">
        <v>4</v>
      </c>
      <c r="AJ21" t="n" s="2909">
        <v>10</v>
      </c>
      <c r="AP21" t="n" s="2909">
        <v>530000</v>
      </c>
      <c r="DB21" s="2909" t="str">
        <f>IF($A21="","",IF(AND($A21=21,$AE21&amp;""="00000000"),IF($AH21=20,"病院",IF($AH21=5,"消防","市長")),"対象外"))</f>
        <v>市長</v>
      </c>
    </row>
    <row r="22">
      <c r="A22" t="n" s="2909">
        <v>21</v>
      </c>
      <c r="AA22" t="n" s="2909">
        <v>21</v>
      </c>
      <c r="AB22" t="inlineStr" s="2909">
        <is>
          <t>19890401</t>
        </is>
      </c>
      <c r="AD22" t="n" s="2909">
        <v>0</v>
      </c>
      <c r="AE22" t="inlineStr" s="2909">
        <is>
          <t>00000000</t>
        </is>
      </c>
      <c r="AH22" t="n" s="2909">
        <v>1</v>
      </c>
      <c r="AJ22" t="n" s="2909">
        <v>10</v>
      </c>
      <c r="AP22" t="n" s="2909">
        <v>620000</v>
      </c>
      <c r="DB22" s="2909" t="str">
        <f>IF($A22="","",IF(AND($A22=21,$AE22&amp;""="00000000"),IF($AH22=20,"病院",IF($AH22=5,"消防","市長")),"対象外"))</f>
        <v>市長</v>
      </c>
    </row>
    <row r="23">
      <c r="A23" t="n" s="2909">
        <v>21</v>
      </c>
      <c r="AA23" t="n" s="2909">
        <v>21</v>
      </c>
      <c r="AB23" t="inlineStr" s="2909">
        <is>
          <t>19880401</t>
        </is>
      </c>
      <c r="AD23" t="n" s="2909">
        <v>0</v>
      </c>
      <c r="AE23" t="inlineStr" s="2909">
        <is>
          <t>00000000</t>
        </is>
      </c>
      <c r="AH23" t="n" s="2909">
        <v>1</v>
      </c>
      <c r="AJ23" t="n" s="2909">
        <v>10</v>
      </c>
      <c r="AP23" t="n" s="2909">
        <v>650000</v>
      </c>
      <c r="DB23" s="2909" t="str">
        <f>IF($A23="","",IF(AND($A23=21,$AE23&amp;""="00000000"),IF($AH23=20,"病院",IF($AH23=5,"消防","市長")),"対象外"))</f>
        <v>市長</v>
      </c>
    </row>
    <row r="24">
      <c r="A24" t="n" s="2909">
        <v>21</v>
      </c>
      <c r="AA24" t="n" s="2909">
        <v>21</v>
      </c>
      <c r="AB24" t="inlineStr" s="2909">
        <is>
          <t>19880401</t>
        </is>
      </c>
      <c r="AD24" t="n" s="2909">
        <v>0</v>
      </c>
      <c r="AE24" t="inlineStr" s="2909">
        <is>
          <t>00000000</t>
        </is>
      </c>
      <c r="AH24" t="n" s="2909">
        <v>1</v>
      </c>
      <c r="AJ24" t="n" s="2909">
        <v>10</v>
      </c>
      <c r="AP24" t="n" s="2909">
        <v>590000</v>
      </c>
      <c r="DB24" s="2909" t="str">
        <f>IF($A24="","",IF(AND($A24=21,$AE24&amp;""="00000000"),IF($AH24=20,"病院",IF($AH24=5,"消防","市長")),"対象外"))</f>
        <v>市長</v>
      </c>
    </row>
    <row r="25">
      <c r="A25" t="n" s="2909">
        <v>21</v>
      </c>
      <c r="AA25" t="n" s="2909">
        <v>21</v>
      </c>
      <c r="AB25" t="inlineStr" s="2909">
        <is>
          <t>19880401</t>
        </is>
      </c>
      <c r="AD25" t="n" s="2909">
        <v>0</v>
      </c>
      <c r="AE25" t="inlineStr" s="2909">
        <is>
          <t>00000000</t>
        </is>
      </c>
      <c r="AH25" t="n" s="2909">
        <v>1</v>
      </c>
      <c r="AJ25" t="n" s="2909">
        <v>10</v>
      </c>
      <c r="AP25" t="n" s="2909">
        <v>650000</v>
      </c>
      <c r="DB25" s="2909" t="str">
        <f>IF($A25="","",IF(AND($A25=21,$AE25&amp;""="00000000"),IF($AH25=20,"病院",IF($AH25=5,"消防","市長")),"対象外"))</f>
        <v>市長</v>
      </c>
    </row>
    <row r="26">
      <c r="A26" t="n" s="2909">
        <v>31</v>
      </c>
      <c r="AA26" t="n" s="2909">
        <v>21</v>
      </c>
      <c r="AB26" t="inlineStr" s="2909">
        <is>
          <t>20250401</t>
        </is>
      </c>
      <c r="AD26" t="n" s="2909">
        <v>0</v>
      </c>
      <c r="AE26" t="inlineStr" s="2909">
        <is>
          <t>00000000</t>
        </is>
      </c>
      <c r="AH26" t="n" s="2909">
        <v>11</v>
      </c>
      <c r="AJ26" t="n" s="2909">
        <v>41</v>
      </c>
      <c r="AP26" t="n" s="2909">
        <v>180000</v>
      </c>
      <c r="DB26" s="2909" t="str">
        <f>IF($A26="","",IF(AND($A26=21,$AE26&amp;""="00000000"),IF($AH26=20,"病院",IF($AH26=5,"消防","市長")),"対象外"))</f>
        <v>対象外</v>
      </c>
    </row>
    <row r="27">
      <c r="A27" t="n" s="2909">
        <v>21</v>
      </c>
      <c r="AA27" t="n" s="2909">
        <v>21</v>
      </c>
      <c r="AB27" t="inlineStr" s="2909">
        <is>
          <t>19890401</t>
        </is>
      </c>
      <c r="AD27" t="n" s="2909">
        <v>0</v>
      </c>
      <c r="AE27" t="inlineStr" s="2909">
        <is>
          <t>00000000</t>
        </is>
      </c>
      <c r="AH27" t="n" s="2909">
        <v>1</v>
      </c>
      <c r="AJ27" t="n" s="2909">
        <v>10</v>
      </c>
      <c r="AP27" t="n" s="2909">
        <v>560000</v>
      </c>
      <c r="DB27" s="2909" t="str">
        <f>IF($A27="","",IF(AND($A27=21,$AE27&amp;""="00000000"),IF($AH27=20,"病院",IF($AH27=5,"消防","市長")),"対象外"))</f>
        <v>市長</v>
      </c>
    </row>
    <row r="28">
      <c r="A28" t="n" s="2909">
        <v>21</v>
      </c>
      <c r="AA28" t="n" s="2909">
        <v>21</v>
      </c>
      <c r="AB28" t="inlineStr" s="2909">
        <is>
          <t>19880401</t>
        </is>
      </c>
      <c r="AD28" t="n" s="2909">
        <v>0</v>
      </c>
      <c r="AE28" t="inlineStr" s="2909">
        <is>
          <t>00000000</t>
        </is>
      </c>
      <c r="AH28" t="n" s="2909">
        <v>11</v>
      </c>
      <c r="AJ28" t="n" s="2909">
        <v>10</v>
      </c>
      <c r="AP28" t="n" s="2909">
        <v>440000</v>
      </c>
      <c r="DB28" s="2909" t="str">
        <f>IF($A28="","",IF(AND($A28=21,$AE28&amp;""="00000000"),IF($AH28=20,"病院",IF($AH28=5,"消防","市長")),"対象外"))</f>
        <v>市長</v>
      </c>
    </row>
    <row r="29">
      <c r="A29" t="n" s="2909">
        <v>21</v>
      </c>
      <c r="AA29" t="n" s="2909">
        <v>21</v>
      </c>
      <c r="AB29" t="inlineStr" s="2909">
        <is>
          <t>19840401</t>
        </is>
      </c>
      <c r="AD29" t="n" s="2909">
        <v>0</v>
      </c>
      <c r="AE29" t="inlineStr" s="2909">
        <is>
          <t>00000000</t>
        </is>
      </c>
      <c r="AH29" t="n" s="2909">
        <v>1</v>
      </c>
      <c r="AJ29" t="n" s="2909">
        <v>10</v>
      </c>
      <c r="AP29" t="n" s="2909">
        <v>530000</v>
      </c>
      <c r="DB29" s="2909" t="str">
        <f>IF($A29="","",IF(AND($A29=21,$AE29&amp;""="00000000"),IF($AH29=20,"病院",IF($AH29=5,"消防","市長")),"対象外"))</f>
        <v>市長</v>
      </c>
    </row>
    <row r="30">
      <c r="A30" t="n" s="2909">
        <v>21</v>
      </c>
      <c r="AA30" t="n" s="2909">
        <v>21</v>
      </c>
      <c r="AB30" t="inlineStr" s="2909">
        <is>
          <t>19890401</t>
        </is>
      </c>
      <c r="AD30" t="n" s="2909">
        <v>0</v>
      </c>
      <c r="AE30" t="inlineStr" s="2909">
        <is>
          <t>00000000</t>
        </is>
      </c>
      <c r="AH30" t="n" s="2909">
        <v>4</v>
      </c>
      <c r="AJ30" t="n" s="2909">
        <v>10</v>
      </c>
      <c r="AP30" t="n" s="2909">
        <v>500000</v>
      </c>
      <c r="DB30" s="2909" t="str">
        <f>IF($A30="","",IF(AND($A30=21,$AE30&amp;""="00000000"),IF($AH30=20,"病院",IF($AH30=5,"消防","市長")),"対象外"))</f>
        <v>市長</v>
      </c>
    </row>
    <row r="31">
      <c r="A31" t="n" s="2909">
        <v>21</v>
      </c>
      <c r="AA31" t="n" s="2909">
        <v>21</v>
      </c>
      <c r="AB31" t="inlineStr" s="2909">
        <is>
          <t>19890401</t>
        </is>
      </c>
      <c r="AD31" t="n" s="2909">
        <v>0</v>
      </c>
      <c r="AE31" t="inlineStr" s="2909">
        <is>
          <t>00000000</t>
        </is>
      </c>
      <c r="AH31" t="n" s="2909">
        <v>1</v>
      </c>
      <c r="AJ31" t="n" s="2909">
        <v>10</v>
      </c>
      <c r="AP31" t="n" s="2909">
        <v>620000</v>
      </c>
      <c r="DB31" s="2909" t="str">
        <f>IF($A31="","",IF(AND($A31=21,$AE31&amp;""="00000000"),IF($AH31=20,"病院",IF($AH31=5,"消防","市長")),"対象外"))</f>
        <v>市長</v>
      </c>
    </row>
    <row r="32">
      <c r="A32" t="n" s="2909">
        <v>31</v>
      </c>
      <c r="AA32" t="n" s="2909">
        <v>21</v>
      </c>
      <c r="AB32" t="inlineStr" s="2909">
        <is>
          <t>20250401</t>
        </is>
      </c>
      <c r="AD32" t="n" s="2909">
        <v>0</v>
      </c>
      <c r="AE32" t="inlineStr" s="2909">
        <is>
          <t>00000000</t>
        </is>
      </c>
      <c r="AH32" t="n" s="2909">
        <v>1</v>
      </c>
      <c r="AJ32" t="n" s="2909">
        <v>41</v>
      </c>
      <c r="AP32" t="n" s="2909">
        <v>200000</v>
      </c>
      <c r="DB32" s="2909" t="str">
        <f>IF($A32="","",IF(AND($A32=21,$AE32&amp;""="00000000"),IF($AH32=20,"病院",IF($AH32=5,"消防","市長")),"対象外"))</f>
        <v>対象外</v>
      </c>
    </row>
    <row r="33">
      <c r="A33" t="n" s="2909">
        <v>21</v>
      </c>
      <c r="AA33" t="n" s="2909">
        <v>24</v>
      </c>
      <c r="AB33" t="inlineStr" s="2909">
        <is>
          <t>20160401</t>
        </is>
      </c>
      <c r="AD33" t="n" s="2909">
        <v>0</v>
      </c>
      <c r="AE33" t="inlineStr" s="2909">
        <is>
          <t>00000000</t>
        </is>
      </c>
      <c r="AH33" t="n" s="2909">
        <v>1</v>
      </c>
      <c r="AJ33" t="n" s="2909">
        <v>10</v>
      </c>
      <c r="AP33" t="n" s="2909">
        <v>590000</v>
      </c>
      <c r="DB33" s="2909" t="str">
        <f>IF($A33="","",IF(AND($A33=21,$AE33&amp;""="00000000"),IF($AH33=20,"病院",IF($AH33=5,"消防","市長")),"対象外"))</f>
        <v>市長</v>
      </c>
    </row>
    <row r="34">
      <c r="A34" t="n" s="2909">
        <v>21</v>
      </c>
      <c r="AA34" t="n" s="2909">
        <v>21</v>
      </c>
      <c r="AB34" t="inlineStr" s="2909">
        <is>
          <t>20100401</t>
        </is>
      </c>
      <c r="AD34" t="n" s="2909">
        <v>0</v>
      </c>
      <c r="AE34" t="inlineStr" s="2909">
        <is>
          <t>00000000</t>
        </is>
      </c>
      <c r="AH34" t="n" s="2909">
        <v>20</v>
      </c>
      <c r="AJ34" t="n" s="2909">
        <v>10</v>
      </c>
      <c r="AP34" t="n" s="2909">
        <v>1210000</v>
      </c>
      <c r="DB34" s="2909" t="str">
        <f>IF($A34="","",IF(AND($A34=21,$AE34&amp;""="00000000"),IF($AH34=20,"病院",IF($AH34=5,"消防","市長")),"対象外"))</f>
        <v>病院</v>
      </c>
    </row>
    <row r="35">
      <c r="A35" t="n" s="2909">
        <v>21</v>
      </c>
      <c r="AA35" t="n" s="2909">
        <v>21</v>
      </c>
      <c r="AB35" t="inlineStr" s="2909">
        <is>
          <t>19860401</t>
        </is>
      </c>
      <c r="AD35" t="n" s="2909">
        <v>0</v>
      </c>
      <c r="AE35" t="inlineStr" s="2909">
        <is>
          <t>00000000</t>
        </is>
      </c>
      <c r="AH35" t="n" s="2909">
        <v>4</v>
      </c>
      <c r="AJ35" t="n" s="2909">
        <v>10</v>
      </c>
      <c r="AP35" t="n" s="2909">
        <v>530000</v>
      </c>
      <c r="DB35" s="2909" t="str">
        <f>IF($A35="","",IF(AND($A35=21,$AE35&amp;""="00000000"),IF($AH35=20,"病院",IF($AH35=5,"消防","市長")),"対象外"))</f>
        <v>市長</v>
      </c>
    </row>
    <row r="36">
      <c r="A36" t="n" s="2909">
        <v>21</v>
      </c>
      <c r="AA36" t="n" s="2909">
        <v>21</v>
      </c>
      <c r="AB36" t="inlineStr" s="2909">
        <is>
          <t>19900401</t>
        </is>
      </c>
      <c r="AD36" t="n" s="2909">
        <v>0</v>
      </c>
      <c r="AE36" t="inlineStr" s="2909">
        <is>
          <t>00000000</t>
        </is>
      </c>
      <c r="AH36" t="n" s="2909">
        <v>1</v>
      </c>
      <c r="AJ36" t="n" s="2909">
        <v>10</v>
      </c>
      <c r="AP36" t="n" s="2909">
        <v>590000</v>
      </c>
      <c r="DB36" s="2909" t="str">
        <f>IF($A36="","",IF(AND($A36=21,$AE36&amp;""="00000000"),IF($AH36=20,"病院",IF($AH36=5,"消防","市長")),"対象外"))</f>
        <v>市長</v>
      </c>
    </row>
    <row r="37">
      <c r="A37" t="n" s="2909">
        <v>21</v>
      </c>
      <c r="AA37" t="n" s="2909">
        <v>21</v>
      </c>
      <c r="AB37" t="inlineStr" s="2909">
        <is>
          <t>19930401</t>
        </is>
      </c>
      <c r="AD37" t="n" s="2909">
        <v>0</v>
      </c>
      <c r="AE37" t="inlineStr" s="2909">
        <is>
          <t>00000000</t>
        </is>
      </c>
      <c r="AH37" t="n" s="2909">
        <v>3</v>
      </c>
      <c r="AJ37" t="n" s="2909">
        <v>10</v>
      </c>
      <c r="AP37" t="n" s="2909">
        <v>590000</v>
      </c>
      <c r="DB37" s="2909" t="str">
        <f>IF($A37="","",IF(AND($A37=21,$AE37&amp;""="00000000"),IF($AH37=20,"病院",IF($AH37=5,"消防","市長")),"対象外"))</f>
        <v>市長</v>
      </c>
    </row>
    <row r="38">
      <c r="A38" t="n" s="2909">
        <v>21</v>
      </c>
      <c r="AA38" t="n" s="2909">
        <v>21</v>
      </c>
      <c r="AB38" t="inlineStr" s="2909">
        <is>
          <t>19890401</t>
        </is>
      </c>
      <c r="AD38" t="n" s="2909">
        <v>0</v>
      </c>
      <c r="AE38" t="inlineStr" s="2909">
        <is>
          <t>00000000</t>
        </is>
      </c>
      <c r="AH38" t="n" s="2909">
        <v>12</v>
      </c>
      <c r="AJ38" t="n" s="2909">
        <v>10</v>
      </c>
      <c r="AP38" t="n" s="2909">
        <v>620000</v>
      </c>
      <c r="DB38" s="2909" t="str">
        <f>IF($A38="","",IF(AND($A38=21,$AE38&amp;""="00000000"),IF($AH38=20,"病院",IF($AH38=5,"消防","市長")),"対象外"))</f>
        <v>市長</v>
      </c>
    </row>
    <row r="39">
      <c r="A39" t="n" s="2909">
        <v>31</v>
      </c>
      <c r="AA39" t="n" s="2909">
        <v>21</v>
      </c>
      <c r="AB39" t="inlineStr" s="2909">
        <is>
          <t>20221001</t>
        </is>
      </c>
      <c r="AD39" t="n" s="2909">
        <v>0</v>
      </c>
      <c r="AE39" t="inlineStr" s="2909">
        <is>
          <t>00000000</t>
        </is>
      </c>
      <c r="AH39" t="n" s="2909">
        <v>11</v>
      </c>
      <c r="AJ39" t="n" s="2909">
        <v>41</v>
      </c>
      <c r="AP39" t="n" s="2909">
        <v>180000</v>
      </c>
      <c r="DB39" s="2909" t="str">
        <f>IF($A39="","",IF(AND($A39=21,$AE39&amp;""="00000000"),IF($AH39=20,"病院",IF($AH39=5,"消防","市長")),"対象外"))</f>
        <v>対象外</v>
      </c>
    </row>
    <row r="40">
      <c r="A40" t="n" s="2909">
        <v>21</v>
      </c>
      <c r="AA40" t="n" s="2909">
        <v>21</v>
      </c>
      <c r="AB40" t="inlineStr" s="2909">
        <is>
          <t>19880401</t>
        </is>
      </c>
      <c r="AD40" t="n" s="2909">
        <v>0</v>
      </c>
      <c r="AE40" t="inlineStr" s="2909">
        <is>
          <t>00000000</t>
        </is>
      </c>
      <c r="AH40" t="n" s="2909">
        <v>5</v>
      </c>
      <c r="AJ40" t="n" s="2909">
        <v>10</v>
      </c>
      <c r="AP40" t="n" s="2909">
        <v>590000</v>
      </c>
      <c r="DB40" s="2909" t="str">
        <f>IF($A40="","",IF(AND($A40=21,$AE40&amp;""="00000000"),IF($AH40=20,"病院",IF($AH40=5,"消防","市長")),"対象外"))</f>
        <v>消防</v>
      </c>
    </row>
    <row r="41">
      <c r="A41" t="n" s="2909">
        <v>31</v>
      </c>
      <c r="AA41" t="n" s="2909">
        <v>21</v>
      </c>
      <c r="AB41" t="inlineStr" s="2909">
        <is>
          <t>20250401</t>
        </is>
      </c>
      <c r="AD41" t="n" s="2909">
        <v>0</v>
      </c>
      <c r="AE41" t="inlineStr" s="2909">
        <is>
          <t>00000000</t>
        </is>
      </c>
      <c r="AH41" t="n" s="2909">
        <v>11</v>
      </c>
      <c r="AJ41" t="n" s="2909">
        <v>41</v>
      </c>
      <c r="AP41" t="n" s="2909">
        <v>180000</v>
      </c>
      <c r="DB41" s="2909" t="str">
        <f>IF($A41="","",IF(AND($A41=21,$AE41&amp;""="00000000"),IF($AH41=20,"病院",IF($AH41=5,"消防","市長")),"対象外"))</f>
        <v>対象外</v>
      </c>
    </row>
    <row r="42">
      <c r="A42" t="n" s="2909">
        <v>21</v>
      </c>
      <c r="AA42" t="n" s="2909">
        <v>21</v>
      </c>
      <c r="AB42" t="inlineStr" s="2909">
        <is>
          <t>19860401</t>
        </is>
      </c>
      <c r="AD42" t="n" s="2909">
        <v>0</v>
      </c>
      <c r="AE42" t="inlineStr" s="2909">
        <is>
          <t>00000000</t>
        </is>
      </c>
      <c r="AH42" t="n" s="2909">
        <v>5</v>
      </c>
      <c r="AJ42" t="n" s="2909">
        <v>10</v>
      </c>
      <c r="AP42" t="n" s="2909">
        <v>650000</v>
      </c>
      <c r="DB42" s="2909" t="str">
        <f>IF($A42="","",IF(AND($A42=21,$AE42&amp;""="00000000"),IF($AH42=20,"病院",IF($AH42=5,"消防","市長")),"対象外"))</f>
        <v>消防</v>
      </c>
    </row>
    <row r="43">
      <c r="A43" t="n" s="2909">
        <v>21</v>
      </c>
      <c r="AA43" t="n" s="2909">
        <v>21</v>
      </c>
      <c r="AB43" t="inlineStr" s="2909">
        <is>
          <t>19890401</t>
        </is>
      </c>
      <c r="AD43" t="n" s="2909">
        <v>0</v>
      </c>
      <c r="AE43" t="inlineStr" s="2909">
        <is>
          <t>00000000</t>
        </is>
      </c>
      <c r="AH43" t="n" s="2909">
        <v>1</v>
      </c>
      <c r="AJ43" t="n" s="2909">
        <v>10</v>
      </c>
      <c r="AP43" t="n" s="2909">
        <v>750000</v>
      </c>
      <c r="DB43" s="2909" t="str">
        <f>IF($A43="","",IF(AND($A43=21,$AE43&amp;""="00000000"),IF($AH43=20,"病院",IF($AH43=5,"消防","市長")),"対象外"))</f>
        <v>市長</v>
      </c>
    </row>
    <row r="44">
      <c r="A44" t="n" s="2909">
        <v>21</v>
      </c>
      <c r="AA44" t="n" s="2909">
        <v>21</v>
      </c>
      <c r="AB44" t="inlineStr" s="2909">
        <is>
          <t>19910401</t>
        </is>
      </c>
      <c r="AD44" t="n" s="2909">
        <v>0</v>
      </c>
      <c r="AE44" t="inlineStr" s="2909">
        <is>
          <t>00000000</t>
        </is>
      </c>
      <c r="AH44" t="n" s="2909">
        <v>1</v>
      </c>
      <c r="AJ44" t="n" s="2909">
        <v>10</v>
      </c>
      <c r="AP44" t="n" s="2909">
        <v>440000</v>
      </c>
      <c r="DB44" s="2909" t="str">
        <f>IF($A44="","",IF(AND($A44=21,$AE44&amp;""="00000000"),IF($AH44=20,"病院",IF($AH44=5,"消防","市長")),"対象外"))</f>
        <v>市長</v>
      </c>
    </row>
    <row r="45">
      <c r="A45" t="n" s="2909">
        <v>21</v>
      </c>
      <c r="AA45" t="n" s="2909">
        <v>21</v>
      </c>
      <c r="AB45" t="inlineStr" s="2909">
        <is>
          <t>19900401</t>
        </is>
      </c>
      <c r="AD45" t="n" s="2909">
        <v>0</v>
      </c>
      <c r="AE45" t="inlineStr" s="2909">
        <is>
          <t>00000000</t>
        </is>
      </c>
      <c r="AH45" t="n" s="2909">
        <v>1</v>
      </c>
      <c r="AJ45" t="n" s="2909">
        <v>10</v>
      </c>
      <c r="AP45" t="n" s="2909">
        <v>590000</v>
      </c>
      <c r="DB45" s="2909" t="str">
        <f>IF($A45="","",IF(AND($A45=21,$AE45&amp;""="00000000"),IF($AH45=20,"病院",IF($AH45=5,"消防","市長")),"対象外"))</f>
        <v>市長</v>
      </c>
    </row>
    <row r="46">
      <c r="A46" t="n" s="2909">
        <v>21</v>
      </c>
      <c r="AA46" t="n" s="2909">
        <v>21</v>
      </c>
      <c r="AB46" t="inlineStr" s="2909">
        <is>
          <t>19900401</t>
        </is>
      </c>
      <c r="AD46" t="n" s="2909">
        <v>0</v>
      </c>
      <c r="AE46" t="inlineStr" s="2909">
        <is>
          <t>00000000</t>
        </is>
      </c>
      <c r="AH46" t="n" s="2909">
        <v>1</v>
      </c>
      <c r="AJ46" t="n" s="2909">
        <v>10</v>
      </c>
      <c r="AP46" t="n" s="2909">
        <v>560000</v>
      </c>
      <c r="DB46" s="2909" t="str">
        <f>IF($A46="","",IF(AND($A46=21,$AE46&amp;""="00000000"),IF($AH46=20,"病院",IF($AH46=5,"消防","市長")),"対象外"))</f>
        <v>市長</v>
      </c>
    </row>
    <row r="47">
      <c r="A47" t="n" s="2909">
        <v>21</v>
      </c>
      <c r="AA47" t="n" s="2909">
        <v>21</v>
      </c>
      <c r="AB47" t="inlineStr" s="2909">
        <is>
          <t>19840401</t>
        </is>
      </c>
      <c r="AD47" t="n" s="2909">
        <v>0</v>
      </c>
      <c r="AE47" t="inlineStr" s="2909">
        <is>
          <t>00000000</t>
        </is>
      </c>
      <c r="AH47" t="n" s="2909">
        <v>1</v>
      </c>
      <c r="AJ47" t="n" s="2909">
        <v>10</v>
      </c>
      <c r="AP47" t="n" s="2909">
        <v>590000</v>
      </c>
      <c r="DB47" s="2909" t="str">
        <f>IF($A47="","",IF(AND($A47=21,$AE47&amp;""="00000000"),IF($AH47=20,"病院",IF($AH47=5,"消防","市長")),"対象外"))</f>
        <v>市長</v>
      </c>
    </row>
    <row r="48">
      <c r="A48" t="n" s="2909">
        <v>21</v>
      </c>
      <c r="AA48" t="n" s="2909">
        <v>21</v>
      </c>
      <c r="AB48" t="inlineStr" s="2909">
        <is>
          <t>19880401</t>
        </is>
      </c>
      <c r="AD48" t="n" s="2909">
        <v>0</v>
      </c>
      <c r="AE48" t="inlineStr" s="2909">
        <is>
          <t>00000000</t>
        </is>
      </c>
      <c r="AH48" t="n" s="2909">
        <v>1</v>
      </c>
      <c r="AJ48" t="n" s="2909">
        <v>10</v>
      </c>
      <c r="AP48" t="n" s="2909">
        <v>500000</v>
      </c>
      <c r="DB48" s="2909" t="str">
        <f>IF($A48="","",IF(AND($A48=21,$AE48&amp;""="00000000"),IF($AH48=20,"病院",IF($AH48=5,"消防","市長")),"対象外"))</f>
        <v>市長</v>
      </c>
    </row>
    <row r="49">
      <c r="A49" t="n" s="2909">
        <v>21</v>
      </c>
      <c r="AA49" t="n" s="2909">
        <v>21</v>
      </c>
      <c r="AB49" t="inlineStr" s="2909">
        <is>
          <t>20220401</t>
        </is>
      </c>
      <c r="AD49" t="n" s="2909">
        <v>0</v>
      </c>
      <c r="AE49" t="inlineStr" s="2909">
        <is>
          <t>00000000</t>
        </is>
      </c>
      <c r="AH49" t="n" s="2909">
        <v>1</v>
      </c>
      <c r="AJ49" t="n" s="2909">
        <v>10</v>
      </c>
      <c r="AP49" t="n" s="2909">
        <v>590000</v>
      </c>
      <c r="DB49" s="2909" t="str">
        <f>IF($A49="","",IF(AND($A49=21,$AE49&amp;""="00000000"),IF($AH49=20,"病院",IF($AH49=5,"消防","市長")),"対象外"))</f>
        <v>市長</v>
      </c>
    </row>
    <row r="50">
      <c r="A50" t="n" s="2909">
        <v>21</v>
      </c>
      <c r="AA50" t="n" s="2909">
        <v>21</v>
      </c>
      <c r="AB50" t="inlineStr" s="2909">
        <is>
          <t>19890401</t>
        </is>
      </c>
      <c r="AD50" t="n" s="2909">
        <v>0</v>
      </c>
      <c r="AE50" t="inlineStr" s="2909">
        <is>
          <t>00000000</t>
        </is>
      </c>
      <c r="AH50" t="n" s="2909">
        <v>1</v>
      </c>
      <c r="AJ50" t="n" s="2909">
        <v>10</v>
      </c>
      <c r="AP50" t="n" s="2909">
        <v>470000</v>
      </c>
      <c r="DB50" s="2909" t="str">
        <f>IF($A50="","",IF(AND($A50=21,$AE50&amp;""="00000000"),IF($AH50=20,"病院",IF($AH50=5,"消防","市長")),"対象外"))</f>
        <v>市長</v>
      </c>
    </row>
    <row r="51">
      <c r="A51" t="n" s="2909">
        <v>21</v>
      </c>
      <c r="AA51" t="n" s="2909">
        <v>21</v>
      </c>
      <c r="AB51" t="inlineStr" s="2909">
        <is>
          <t>19890401</t>
        </is>
      </c>
      <c r="AD51" t="n" s="2909">
        <v>0</v>
      </c>
      <c r="AE51" t="inlineStr" s="2909">
        <is>
          <t>00000000</t>
        </is>
      </c>
      <c r="AH51" t="n" s="2909">
        <v>1</v>
      </c>
      <c r="AJ51" t="n" s="2909">
        <v>10</v>
      </c>
      <c r="AP51" t="n" s="2909">
        <v>440000</v>
      </c>
      <c r="DB51" s="2909" t="str">
        <f>IF($A51="","",IF(AND($A51=21,$AE51&amp;""="00000000"),IF($AH51=20,"病院",IF($AH51=5,"消防","市長")),"対象外"))</f>
        <v>市長</v>
      </c>
    </row>
    <row r="52">
      <c r="A52" t="n" s="2909">
        <v>21</v>
      </c>
      <c r="AA52" t="n" s="2909">
        <v>21</v>
      </c>
      <c r="AB52" t="inlineStr" s="2909">
        <is>
          <t>19840401</t>
        </is>
      </c>
      <c r="AD52" t="n" s="2909">
        <v>0</v>
      </c>
      <c r="AE52" t="inlineStr" s="2909">
        <is>
          <t>00000000</t>
        </is>
      </c>
      <c r="AH52" t="n" s="2909">
        <v>1</v>
      </c>
      <c r="AJ52" t="n" s="2909">
        <v>10</v>
      </c>
      <c r="AP52" t="n" s="2909">
        <v>470000</v>
      </c>
      <c r="DB52" s="2909" t="str">
        <f>IF($A52="","",IF(AND($A52=21,$AE52&amp;""="00000000"),IF($AH52=20,"病院",IF($AH52=5,"消防","市長")),"対象外"))</f>
        <v>市長</v>
      </c>
    </row>
    <row r="53">
      <c r="A53" t="n" s="2909">
        <v>21</v>
      </c>
      <c r="AA53" t="n" s="2909">
        <v>21</v>
      </c>
      <c r="AB53" t="inlineStr" s="2909">
        <is>
          <t>19900401</t>
        </is>
      </c>
      <c r="AD53" t="n" s="2909">
        <v>0</v>
      </c>
      <c r="AE53" t="inlineStr" s="2909">
        <is>
          <t>00000000</t>
        </is>
      </c>
      <c r="AH53" t="n" s="2909">
        <v>1</v>
      </c>
      <c r="AJ53" t="n" s="2909">
        <v>10</v>
      </c>
      <c r="AP53" t="n" s="2909">
        <v>590000</v>
      </c>
      <c r="DB53" s="2909" t="str">
        <f>IF($A53="","",IF(AND($A53=21,$AE53&amp;""="00000000"),IF($AH53=20,"病院",IF($AH53=5,"消防","市長")),"対象外"))</f>
        <v>市長</v>
      </c>
    </row>
    <row r="54">
      <c r="A54" t="n" s="2909">
        <v>21</v>
      </c>
      <c r="AA54" t="n" s="2909">
        <v>21</v>
      </c>
      <c r="AB54" t="inlineStr" s="2909">
        <is>
          <t>19840401</t>
        </is>
      </c>
      <c r="AD54" t="n" s="2909">
        <v>0</v>
      </c>
      <c r="AE54" t="inlineStr" s="2909">
        <is>
          <t>00000000</t>
        </is>
      </c>
      <c r="AH54" t="n" s="2909">
        <v>1</v>
      </c>
      <c r="AJ54" t="n" s="2909">
        <v>10</v>
      </c>
      <c r="AP54" t="n" s="2909">
        <v>590000</v>
      </c>
      <c r="DB54" s="2909" t="str">
        <f>IF($A54="","",IF(AND($A54=21,$AE54&amp;""="00000000"),IF($AH54=20,"病院",IF($AH54=5,"消防","市長")),"対象外"))</f>
        <v>市長</v>
      </c>
    </row>
    <row r="55">
      <c r="A55" t="n" s="2909">
        <v>21</v>
      </c>
      <c r="AA55" t="n" s="2909">
        <v>21</v>
      </c>
      <c r="AB55" t="inlineStr" s="2909">
        <is>
          <t>19880401</t>
        </is>
      </c>
      <c r="AD55" t="n" s="2909">
        <v>0</v>
      </c>
      <c r="AE55" t="inlineStr" s="2909">
        <is>
          <t>00000000</t>
        </is>
      </c>
      <c r="AH55" t="n" s="2909">
        <v>1</v>
      </c>
      <c r="AJ55" t="n" s="2909">
        <v>10</v>
      </c>
      <c r="AP55" t="n" s="2909">
        <v>560000</v>
      </c>
      <c r="DB55" s="2909" t="str">
        <f>IF($A55="","",IF(AND($A55=21,$AE55&amp;""="00000000"),IF($AH55=20,"病院",IF($AH55=5,"消防","市長")),"対象外"))</f>
        <v>市長</v>
      </c>
    </row>
    <row r="56">
      <c r="A56" t="n" s="2909">
        <v>21</v>
      </c>
      <c r="AA56" t="n" s="2909">
        <v>21</v>
      </c>
      <c r="AB56" t="inlineStr" s="2909">
        <is>
          <t>19890401</t>
        </is>
      </c>
      <c r="AD56" t="n" s="2909">
        <v>0</v>
      </c>
      <c r="AE56" t="inlineStr" s="2909">
        <is>
          <t>00000000</t>
        </is>
      </c>
      <c r="AH56" t="n" s="2909">
        <v>1</v>
      </c>
      <c r="AJ56" t="n" s="2909">
        <v>10</v>
      </c>
      <c r="AP56" t="n" s="2909">
        <v>560000</v>
      </c>
      <c r="DB56" s="2909" t="str">
        <f>IF($A56="","",IF(AND($A56=21,$AE56&amp;""="00000000"),IF($AH56=20,"病院",IF($AH56=5,"消防","市長")),"対象外"))</f>
        <v>市長</v>
      </c>
    </row>
    <row r="57">
      <c r="A57" t="n" s="2909">
        <v>21</v>
      </c>
      <c r="AA57" t="n" s="2909">
        <v>21</v>
      </c>
      <c r="AB57" t="inlineStr" s="2909">
        <is>
          <t>20200701</t>
        </is>
      </c>
      <c r="AD57" t="n" s="2909">
        <v>0</v>
      </c>
      <c r="AE57" t="inlineStr" s="2909">
        <is>
          <t>00000000</t>
        </is>
      </c>
      <c r="AH57" t="n" s="2909">
        <v>20</v>
      </c>
      <c r="AJ57" t="n" s="2909">
        <v>10</v>
      </c>
      <c r="AP57" t="n" s="2909">
        <v>1090000</v>
      </c>
      <c r="DB57" s="2909" t="str">
        <f>IF($A57="","",IF(AND($A57=21,$AE57&amp;""="00000000"),IF($AH57=20,"病院",IF($AH57=5,"消防","市長")),"対象外"))</f>
        <v>病院</v>
      </c>
    </row>
    <row r="58">
      <c r="A58" t="n" s="2909">
        <v>21</v>
      </c>
      <c r="AA58" t="n" s="2909">
        <v>21</v>
      </c>
      <c r="AB58" t="inlineStr" s="2909">
        <is>
          <t>20030401</t>
        </is>
      </c>
      <c r="AD58" t="n" s="2909">
        <v>0</v>
      </c>
      <c r="AE58" t="inlineStr" s="2909">
        <is>
          <t>00000000</t>
        </is>
      </c>
      <c r="AH58" t="n" s="2909">
        <v>20</v>
      </c>
      <c r="AJ58" t="n" s="2909">
        <v>10</v>
      </c>
      <c r="AP58" t="n" s="2909">
        <v>1150000</v>
      </c>
      <c r="DB58" s="2909" t="str">
        <f>IF($A58="","",IF(AND($A58=21,$AE58&amp;""="00000000"),IF($AH58=20,"病院",IF($AH58=5,"消防","市長")),"対象外"))</f>
        <v>病院</v>
      </c>
    </row>
    <row r="59">
      <c r="A59" t="n" s="2909">
        <v>21</v>
      </c>
      <c r="AA59" t="n" s="2909">
        <v>21</v>
      </c>
      <c r="AB59" t="inlineStr" s="2909">
        <is>
          <t>20030401</t>
        </is>
      </c>
      <c r="AD59" t="n" s="2909">
        <v>0</v>
      </c>
      <c r="AE59" t="inlineStr" s="2909">
        <is>
          <t>00000000</t>
        </is>
      </c>
      <c r="AH59" t="n" s="2909">
        <v>20</v>
      </c>
      <c r="AJ59" t="n" s="2909">
        <v>10</v>
      </c>
      <c r="AP59" t="n" s="2909">
        <v>1270000</v>
      </c>
      <c r="DB59" s="2909" t="str">
        <f>IF($A59="","",IF(AND($A59=21,$AE59&amp;""="00000000"),IF($AH59=20,"病院",IF($AH59=5,"消防","市長")),"対象外"))</f>
        <v>病院</v>
      </c>
    </row>
    <row r="60">
      <c r="A60" t="n" s="2909">
        <v>31</v>
      </c>
      <c r="AA60" t="n" s="2909">
        <v>21</v>
      </c>
      <c r="AB60" t="inlineStr" s="2909">
        <is>
          <t>20231002</t>
        </is>
      </c>
      <c r="AD60" t="n" s="2909">
        <v>0</v>
      </c>
      <c r="AE60" t="inlineStr" s="2909">
        <is>
          <t>00000000</t>
        </is>
      </c>
      <c r="AH60" t="n" s="2909">
        <v>20</v>
      </c>
      <c r="AJ60" t="n" s="2909">
        <v>41</v>
      </c>
      <c r="AP60" t="n" s="2909">
        <v>190000</v>
      </c>
      <c r="DB60" s="2909" t="str">
        <f>IF($A60="","",IF(AND($A60=21,$AE60&amp;""="00000000"),IF($AH60=20,"病院",IF($AH60=5,"消防","市長")),"対象外"))</f>
        <v>対象外</v>
      </c>
    </row>
    <row r="61">
      <c r="A61" t="n" s="2909">
        <v>21</v>
      </c>
      <c r="AA61" t="n" s="2909">
        <v>21</v>
      </c>
      <c r="AB61" t="inlineStr" s="2909">
        <is>
          <t>19860401</t>
        </is>
      </c>
      <c r="AD61" t="n" s="2909">
        <v>0</v>
      </c>
      <c r="AE61" t="inlineStr" s="2909">
        <is>
          <t>00000000</t>
        </is>
      </c>
      <c r="AH61" t="n" s="2909">
        <v>4</v>
      </c>
      <c r="AJ61" t="n" s="2909">
        <v>10</v>
      </c>
      <c r="AP61" t="n" s="2909">
        <v>500000</v>
      </c>
      <c r="DB61" s="2909" t="str">
        <f>IF($A61="","",IF(AND($A61=21,$AE61&amp;""="00000000"),IF($AH61=20,"病院",IF($AH61=5,"消防","市長")),"対象外"))</f>
        <v>市長</v>
      </c>
    </row>
    <row r="62">
      <c r="A62" t="n" s="2909">
        <v>21</v>
      </c>
      <c r="AA62" t="n" s="2909">
        <v>21</v>
      </c>
      <c r="AB62" t="inlineStr" s="2909">
        <is>
          <t>20180401</t>
        </is>
      </c>
      <c r="AD62" t="n" s="2909">
        <v>0</v>
      </c>
      <c r="AE62" t="inlineStr" s="2909">
        <is>
          <t>00000000</t>
        </is>
      </c>
      <c r="AH62" t="n" s="2909">
        <v>20</v>
      </c>
      <c r="AJ62" t="n" s="2909">
        <v>10</v>
      </c>
      <c r="AP62" t="n" s="2909">
        <v>1150000</v>
      </c>
      <c r="DB62" s="2909" t="str">
        <f>IF($A62="","",IF(AND($A62=21,$AE62&amp;""="00000000"),IF($AH62=20,"病院",IF($AH62=5,"消防","市長")),"対象外"))</f>
        <v>病院</v>
      </c>
    </row>
    <row r="63">
      <c r="A63" t="n" s="2909">
        <v>21</v>
      </c>
      <c r="AA63" t="n" s="2909">
        <v>21</v>
      </c>
      <c r="AB63" t="inlineStr" s="2909">
        <is>
          <t>19900401</t>
        </is>
      </c>
      <c r="AD63" t="n" s="2909">
        <v>0</v>
      </c>
      <c r="AE63" t="inlineStr" s="2909">
        <is>
          <t>00000000</t>
        </is>
      </c>
      <c r="AH63" t="n" s="2909">
        <v>1</v>
      </c>
      <c r="AJ63" t="n" s="2909">
        <v>10</v>
      </c>
      <c r="AP63" t="n" s="2909">
        <v>650000</v>
      </c>
      <c r="DB63" s="2909" t="str">
        <f>IF($A63="","",IF(AND($A63=21,$AE63&amp;""="00000000"),IF($AH63=20,"病院",IF($AH63=5,"消防","市長")),"対象外"))</f>
        <v>市長</v>
      </c>
    </row>
    <row r="64">
      <c r="A64" t="n" s="2909">
        <v>21</v>
      </c>
      <c r="AA64" t="n" s="2909">
        <v>21</v>
      </c>
      <c r="AB64" t="inlineStr" s="2909">
        <is>
          <t>19990401</t>
        </is>
      </c>
      <c r="AD64" t="n" s="2909">
        <v>0</v>
      </c>
      <c r="AE64" t="inlineStr" s="2909">
        <is>
          <t>00000000</t>
        </is>
      </c>
      <c r="AH64" t="n" s="2909">
        <v>1</v>
      </c>
      <c r="AJ64" t="n" s="2909">
        <v>10</v>
      </c>
      <c r="AP64" t="n" s="2909">
        <v>500000</v>
      </c>
      <c r="DB64" s="2909" t="str">
        <f>IF($A64="","",IF(AND($A64=21,$AE64&amp;""="00000000"),IF($AH64=20,"病院",IF($AH64=5,"消防","市長")),"対象外"))</f>
        <v>市長</v>
      </c>
    </row>
    <row r="65">
      <c r="A65" t="n" s="2909">
        <v>21</v>
      </c>
      <c r="AA65" t="n" s="2909">
        <v>21</v>
      </c>
      <c r="AB65" t="inlineStr" s="2909">
        <is>
          <t>19890401</t>
        </is>
      </c>
      <c r="AD65" t="n" s="2909">
        <v>0</v>
      </c>
      <c r="AE65" t="inlineStr" s="2909">
        <is>
          <t>00000000</t>
        </is>
      </c>
      <c r="AH65" t="n" s="2909">
        <v>1</v>
      </c>
      <c r="AJ65" t="n" s="2909">
        <v>10</v>
      </c>
      <c r="AP65" t="n" s="2909">
        <v>530000</v>
      </c>
      <c r="DB65" s="2909" t="str">
        <f>IF($A65="","",IF(AND($A65=21,$AE65&amp;""="00000000"),IF($AH65=20,"病院",IF($AH65=5,"消防","市長")),"対象外"))</f>
        <v>市長</v>
      </c>
    </row>
    <row r="66">
      <c r="A66" t="n" s="2909">
        <v>31</v>
      </c>
      <c r="AA66" t="n" s="2909">
        <v>21</v>
      </c>
      <c r="AB66" t="inlineStr" s="2909">
        <is>
          <t>20240401</t>
        </is>
      </c>
      <c r="AD66" t="n" s="2909">
        <v>0</v>
      </c>
      <c r="AE66" t="inlineStr" s="2909">
        <is>
          <t>00000000</t>
        </is>
      </c>
      <c r="AH66" t="n" s="2909">
        <v>11</v>
      </c>
      <c r="AJ66" t="n" s="2909">
        <v>41</v>
      </c>
      <c r="AP66" t="n" s="2909">
        <v>180000</v>
      </c>
      <c r="DB66" s="2909" t="str">
        <f>IF($A66="","",IF(AND($A66=21,$AE66&amp;""="00000000"),IF($AH66=20,"病院",IF($AH66=5,"消防","市長")),"対象外"))</f>
        <v>対象外</v>
      </c>
    </row>
    <row r="67">
      <c r="A67" t="n" s="2909">
        <v>21</v>
      </c>
      <c r="AA67" t="n" s="2909">
        <v>21</v>
      </c>
      <c r="AB67" t="inlineStr" s="2909">
        <is>
          <t>19960401</t>
        </is>
      </c>
      <c r="AD67" t="n" s="2909">
        <v>0</v>
      </c>
      <c r="AE67" t="inlineStr" s="2909">
        <is>
          <t>00000000</t>
        </is>
      </c>
      <c r="AH67" t="n" s="2909">
        <v>1</v>
      </c>
      <c r="AJ67" t="n" s="2909">
        <v>10</v>
      </c>
      <c r="AP67" t="n" s="2909">
        <v>500000</v>
      </c>
      <c r="DB67" s="2909" t="str">
        <f>IF($A67="","",IF(AND($A67=21,$AE67&amp;""="00000000"),IF($AH67=20,"病院",IF($AH67=5,"消防","市長")),"対象外"))</f>
        <v>市長</v>
      </c>
    </row>
    <row r="68">
      <c r="A68" t="n" s="2909">
        <v>21</v>
      </c>
      <c r="AA68" t="n" s="2909">
        <v>21</v>
      </c>
      <c r="AB68" t="inlineStr" s="2909">
        <is>
          <t>19950401</t>
        </is>
      </c>
      <c r="AD68" t="n" s="2909">
        <v>0</v>
      </c>
      <c r="AE68" t="inlineStr" s="2909">
        <is>
          <t>00000000</t>
        </is>
      </c>
      <c r="AH68" t="n" s="2909">
        <v>11</v>
      </c>
      <c r="AJ68" t="n" s="2909">
        <v>10</v>
      </c>
      <c r="AP68" t="n" s="2909">
        <v>500000</v>
      </c>
      <c r="DB68" s="2909" t="str">
        <f>IF($A68="","",IF(AND($A68=21,$AE68&amp;""="00000000"),IF($AH68=20,"病院",IF($AH68=5,"消防","市長")),"対象外"))</f>
        <v>市長</v>
      </c>
    </row>
    <row r="69">
      <c r="A69" t="n" s="2909">
        <v>21</v>
      </c>
      <c r="AA69" t="n" s="2909">
        <v>21</v>
      </c>
      <c r="AB69" t="inlineStr" s="2909">
        <is>
          <t>19840401</t>
        </is>
      </c>
      <c r="AD69" t="n" s="2909">
        <v>0</v>
      </c>
      <c r="AE69" t="inlineStr" s="2909">
        <is>
          <t>00000000</t>
        </is>
      </c>
      <c r="AH69" t="n" s="2909">
        <v>1</v>
      </c>
      <c r="AJ69" t="n" s="2909">
        <v>10</v>
      </c>
      <c r="AP69" t="n" s="2909">
        <v>560000</v>
      </c>
      <c r="DB69" s="2909" t="str">
        <f>IF($A69="","",IF(AND($A69=21,$AE69&amp;""="00000000"),IF($AH69=20,"病院",IF($AH69=5,"消防","市長")),"対象外"))</f>
        <v>市長</v>
      </c>
    </row>
    <row r="70">
      <c r="A70" t="n" s="2909">
        <v>21</v>
      </c>
      <c r="AA70" t="n" s="2909">
        <v>21</v>
      </c>
      <c r="AB70" t="inlineStr" s="2909">
        <is>
          <t>20010401</t>
        </is>
      </c>
      <c r="AD70" t="n" s="2909">
        <v>0</v>
      </c>
      <c r="AE70" t="inlineStr" s="2909">
        <is>
          <t>00000000</t>
        </is>
      </c>
      <c r="AH70" t="n" s="2909">
        <v>3</v>
      </c>
      <c r="AJ70" t="n" s="2909">
        <v>10</v>
      </c>
      <c r="AP70" t="n" s="2909">
        <v>680000</v>
      </c>
      <c r="DB70" s="2909" t="str">
        <f>IF($A70="","",IF(AND($A70=21,$AE70&amp;""="00000000"),IF($AH70=20,"病院",IF($AH70=5,"消防","市長")),"対象外"))</f>
        <v>市長</v>
      </c>
    </row>
    <row r="71">
      <c r="A71" t="n" s="2909">
        <v>21</v>
      </c>
      <c r="AA71" t="n" s="2909">
        <v>21</v>
      </c>
      <c r="AB71" t="inlineStr" s="2909">
        <is>
          <t>19890401</t>
        </is>
      </c>
      <c r="AD71" t="n" s="2909">
        <v>0</v>
      </c>
      <c r="AE71" t="inlineStr" s="2909">
        <is>
          <t>00000000</t>
        </is>
      </c>
      <c r="AH71" t="n" s="2909">
        <v>1</v>
      </c>
      <c r="AJ71" t="n" s="2909">
        <v>10</v>
      </c>
      <c r="AP71" t="n" s="2909">
        <v>560000</v>
      </c>
      <c r="DB71" s="2909" t="str">
        <f>IF($A71="","",IF(AND($A71=21,$AE71&amp;""="00000000"),IF($AH71=20,"病院",IF($AH71=5,"消防","市長")),"対象外"))</f>
        <v>市長</v>
      </c>
    </row>
    <row r="72">
      <c r="A72" t="n" s="2909">
        <v>21</v>
      </c>
      <c r="AA72" t="n" s="2909">
        <v>21</v>
      </c>
      <c r="AB72" t="inlineStr" s="2909">
        <is>
          <t>19920401</t>
        </is>
      </c>
      <c r="AD72" t="n" s="2909">
        <v>0</v>
      </c>
      <c r="AE72" t="inlineStr" s="2909">
        <is>
          <t>00000000</t>
        </is>
      </c>
      <c r="AH72" t="n" s="2909">
        <v>1</v>
      </c>
      <c r="AJ72" t="n" s="2909">
        <v>10</v>
      </c>
      <c r="AP72" t="n" s="2909">
        <v>530000</v>
      </c>
      <c r="DB72" s="2909" t="str">
        <f>IF($A72="","",IF(AND($A72=21,$AE72&amp;""="00000000"),IF($AH72=20,"病院",IF($AH72=5,"消防","市長")),"対象外"))</f>
        <v>市長</v>
      </c>
    </row>
    <row r="73">
      <c r="A73" t="n" s="2909">
        <v>21</v>
      </c>
      <c r="AA73" t="n" s="2909">
        <v>21</v>
      </c>
      <c r="AB73" t="inlineStr" s="2909">
        <is>
          <t>19880401</t>
        </is>
      </c>
      <c r="AD73" t="n" s="2909">
        <v>0</v>
      </c>
      <c r="AE73" t="inlineStr" s="2909">
        <is>
          <t>00000000</t>
        </is>
      </c>
      <c r="AH73" t="n" s="2909">
        <v>1</v>
      </c>
      <c r="AJ73" t="n" s="2909">
        <v>10</v>
      </c>
      <c r="AP73" t="n" s="2909">
        <v>710000</v>
      </c>
      <c r="DB73" s="2909" t="str">
        <f>IF($A73="","",IF(AND($A73=21,$AE73&amp;""="00000000"),IF($AH73=20,"病院",IF($AH73=5,"消防","市長")),"対象外"))</f>
        <v>市長</v>
      </c>
    </row>
    <row r="74">
      <c r="A74" t="n" s="2909">
        <v>21</v>
      </c>
      <c r="AA74" t="n" s="2909">
        <v>21</v>
      </c>
      <c r="AB74" t="inlineStr" s="2909">
        <is>
          <t>19840401</t>
        </is>
      </c>
      <c r="AD74" t="n" s="2909">
        <v>0</v>
      </c>
      <c r="AE74" t="inlineStr" s="2909">
        <is>
          <t>00000000</t>
        </is>
      </c>
      <c r="AH74" t="n" s="2909">
        <v>11</v>
      </c>
      <c r="AJ74" t="n" s="2909">
        <v>10</v>
      </c>
      <c r="AP74" t="n" s="2909">
        <v>680000</v>
      </c>
      <c r="DB74" s="2909" t="str">
        <f>IF($A74="","",IF(AND($A74=21,$AE74&amp;""="00000000"),IF($AH74=20,"病院",IF($AH74=5,"消防","市長")),"対象外"))</f>
        <v>市長</v>
      </c>
    </row>
    <row r="75">
      <c r="A75" t="n" s="2909">
        <v>21</v>
      </c>
      <c r="AA75" t="n" s="2909">
        <v>21</v>
      </c>
      <c r="AB75" t="inlineStr" s="2909">
        <is>
          <t>20110401</t>
        </is>
      </c>
      <c r="AD75" t="n" s="2909">
        <v>0</v>
      </c>
      <c r="AE75" t="inlineStr" s="2909">
        <is>
          <t>00000000</t>
        </is>
      </c>
      <c r="AH75" t="n" s="2909">
        <v>11</v>
      </c>
      <c r="AJ75" t="n" s="2909">
        <v>10</v>
      </c>
      <c r="AP75" t="n" s="2909">
        <v>410000</v>
      </c>
      <c r="DB75" s="2909" t="str">
        <f>IF($A75="","",IF(AND($A75=21,$AE75&amp;""="00000000"),IF($AH75=20,"病院",IF($AH75=5,"消防","市長")),"対象外"))</f>
        <v>市長</v>
      </c>
    </row>
    <row r="76">
      <c r="A76" t="n" s="2909">
        <v>21</v>
      </c>
      <c r="AA76" t="n" s="2909">
        <v>21</v>
      </c>
      <c r="AB76" t="inlineStr" s="2909">
        <is>
          <t>19890401</t>
        </is>
      </c>
      <c r="AD76" t="n" s="2909">
        <v>0</v>
      </c>
      <c r="AE76" t="inlineStr" s="2909">
        <is>
          <t>00000000</t>
        </is>
      </c>
      <c r="AH76" t="n" s="2909">
        <v>1</v>
      </c>
      <c r="AJ76" t="n" s="2909">
        <v>10</v>
      </c>
      <c r="AP76" t="n" s="2909">
        <v>680000</v>
      </c>
      <c r="DB76" s="2909" t="str">
        <f>IF($A76="","",IF(AND($A76=21,$AE76&amp;""="00000000"),IF($AH76=20,"病院",IF($AH76=5,"消防","市長")),"対象外"))</f>
        <v>市長</v>
      </c>
    </row>
    <row r="77">
      <c r="A77" t="n" s="2909">
        <v>21</v>
      </c>
      <c r="AA77" t="n" s="2909">
        <v>21</v>
      </c>
      <c r="AB77" t="inlineStr" s="2909">
        <is>
          <t>19980401</t>
        </is>
      </c>
      <c r="AD77" t="n" s="2909">
        <v>0</v>
      </c>
      <c r="AE77" t="inlineStr" s="2909">
        <is>
          <t>00000000</t>
        </is>
      </c>
      <c r="AH77" t="n" s="2909">
        <v>20</v>
      </c>
      <c r="AJ77" t="n" s="2909">
        <v>10</v>
      </c>
      <c r="AP77" t="n" s="2909">
        <v>1030000</v>
      </c>
      <c r="DB77" s="2909" t="str">
        <f>IF($A77="","",IF(AND($A77=21,$AE77&amp;""="00000000"),IF($AH77=20,"病院",IF($AH77=5,"消防","市長")),"対象外"))</f>
        <v>病院</v>
      </c>
    </row>
    <row r="78">
      <c r="A78" t="n" s="2909">
        <v>21</v>
      </c>
      <c r="AA78" t="n" s="2909">
        <v>21</v>
      </c>
      <c r="AB78" t="inlineStr" s="2909">
        <is>
          <t>19850401</t>
        </is>
      </c>
      <c r="AD78" t="n" s="2909">
        <v>0</v>
      </c>
      <c r="AE78" t="inlineStr" s="2909">
        <is>
          <t>00000000</t>
        </is>
      </c>
      <c r="AH78" t="n" s="2909">
        <v>4</v>
      </c>
      <c r="AJ78" t="n" s="2909">
        <v>10</v>
      </c>
      <c r="AP78" t="n" s="2909">
        <v>470000</v>
      </c>
      <c r="DB78" s="2909" t="str">
        <f>IF($A78="","",IF(AND($A78=21,$AE78&amp;""="00000000"),IF($AH78=20,"病院",IF($AH78=5,"消防","市長")),"対象外"))</f>
        <v>市長</v>
      </c>
    </row>
    <row r="79">
      <c r="A79" t="n" s="2909">
        <v>21</v>
      </c>
      <c r="AA79" t="n" s="2909">
        <v>21</v>
      </c>
      <c r="AB79" t="inlineStr" s="2909">
        <is>
          <t>19880401</t>
        </is>
      </c>
      <c r="AD79" t="n" s="2909">
        <v>0</v>
      </c>
      <c r="AE79" t="inlineStr" s="2909">
        <is>
          <t>00000000</t>
        </is>
      </c>
      <c r="AH79" t="n" s="2909">
        <v>1</v>
      </c>
      <c r="AJ79" t="n" s="2909">
        <v>10</v>
      </c>
      <c r="AP79" t="n" s="2909">
        <v>750000</v>
      </c>
      <c r="DB79" s="2909" t="str">
        <f>IF($A79="","",IF(AND($A79=21,$AE79&amp;""="00000000"),IF($AH79=20,"病院",IF($AH79=5,"消防","市長")),"対象外"))</f>
        <v>市長</v>
      </c>
    </row>
    <row r="80">
      <c r="A80" t="n" s="2909">
        <v>21</v>
      </c>
      <c r="AA80" t="n" s="2909">
        <v>21</v>
      </c>
      <c r="AB80" t="inlineStr" s="2909">
        <is>
          <t>20250401</t>
        </is>
      </c>
      <c r="AD80" t="n" s="2909">
        <v>0</v>
      </c>
      <c r="AE80" t="inlineStr" s="2909">
        <is>
          <t>00000000</t>
        </is>
      </c>
      <c r="AH80" t="n" s="2909">
        <v>20</v>
      </c>
      <c r="AJ80" t="n" s="2909">
        <v>10</v>
      </c>
      <c r="AP80" t="n" s="2909">
        <v>260000</v>
      </c>
      <c r="DB80" s="2909" t="str">
        <f>IF($A80="","",IF(AND($A80=21,$AE80&amp;""="00000000"),IF($AH80=20,"病院",IF($AH80=5,"消防","市長")),"対象外"))</f>
        <v>病院</v>
      </c>
    </row>
    <row r="81">
      <c r="A81" t="n" s="2909">
        <v>21</v>
      </c>
      <c r="AA81" t="n" s="2909">
        <v>21</v>
      </c>
      <c r="AB81" t="inlineStr" s="2909">
        <is>
          <t>19840401</t>
        </is>
      </c>
      <c r="AD81" t="n" s="2909">
        <v>0</v>
      </c>
      <c r="AE81" t="inlineStr" s="2909">
        <is>
          <t>00000000</t>
        </is>
      </c>
      <c r="AH81" t="n" s="2909">
        <v>1</v>
      </c>
      <c r="AJ81" t="n" s="2909">
        <v>10</v>
      </c>
      <c r="AP81" t="n" s="2909">
        <v>620000</v>
      </c>
      <c r="DB81" s="2909" t="str">
        <f>IF($A81="","",IF(AND($A81=21,$AE81&amp;""="00000000"),IF($AH81=20,"病院",IF($AH81=5,"消防","市長")),"対象外"))</f>
        <v>市長</v>
      </c>
    </row>
    <row r="82">
      <c r="A82" t="n" s="2909">
        <v>21</v>
      </c>
      <c r="AA82" t="n" s="2909">
        <v>21</v>
      </c>
      <c r="AB82" t="inlineStr" s="2909">
        <is>
          <t>19910901</t>
        </is>
      </c>
      <c r="AD82" t="n" s="2909">
        <v>0</v>
      </c>
      <c r="AE82" t="inlineStr" s="2909">
        <is>
          <t>00000000</t>
        </is>
      </c>
      <c r="AH82" t="n" s="2909">
        <v>20</v>
      </c>
      <c r="AJ82" t="n" s="2909">
        <v>10</v>
      </c>
      <c r="AP82" t="n" s="2909">
        <v>530000</v>
      </c>
      <c r="DB82" s="2909" t="str">
        <f>IF($A82="","",IF(AND($A82=21,$AE82&amp;""="00000000"),IF($AH82=20,"病院",IF($AH82=5,"消防","市長")),"対象外"))</f>
        <v>病院</v>
      </c>
    </row>
    <row r="83">
      <c r="A83" t="n" s="2909">
        <v>21</v>
      </c>
      <c r="AA83" t="n" s="2909">
        <v>21</v>
      </c>
      <c r="AB83" t="inlineStr" s="2909">
        <is>
          <t>19860401</t>
        </is>
      </c>
      <c r="AD83" t="n" s="2909">
        <v>0</v>
      </c>
      <c r="AE83" t="inlineStr" s="2909">
        <is>
          <t>00000000</t>
        </is>
      </c>
      <c r="AH83" t="n" s="2909">
        <v>4</v>
      </c>
      <c r="AJ83" t="n" s="2909">
        <v>10</v>
      </c>
      <c r="AP83" t="n" s="2909">
        <v>500000</v>
      </c>
      <c r="DB83" s="2909" t="str">
        <f>IF($A83="","",IF(AND($A83=21,$AE83&amp;""="00000000"),IF($AH83=20,"病院",IF($AH83=5,"消防","市長")),"対象外"))</f>
        <v>市長</v>
      </c>
    </row>
    <row r="84">
      <c r="A84" t="n" s="2909">
        <v>21</v>
      </c>
      <c r="AA84" t="n" s="2909">
        <v>21</v>
      </c>
      <c r="AB84" t="inlineStr" s="2909">
        <is>
          <t>19950401</t>
        </is>
      </c>
      <c r="AD84" t="n" s="2909">
        <v>0</v>
      </c>
      <c r="AE84" t="inlineStr" s="2909">
        <is>
          <t>00000000</t>
        </is>
      </c>
      <c r="AH84" t="n" s="2909">
        <v>1</v>
      </c>
      <c r="AJ84" t="n" s="2909">
        <v>10</v>
      </c>
      <c r="AP84" t="n" s="2909">
        <v>470000</v>
      </c>
      <c r="DB84" s="2909" t="str">
        <f>IF($A84="","",IF(AND($A84=21,$AE84&amp;""="00000000"),IF($AH84=20,"病院",IF($AH84=5,"消防","市長")),"対象外"))</f>
        <v>市長</v>
      </c>
    </row>
    <row r="85">
      <c r="A85" t="n" s="2909">
        <v>21</v>
      </c>
      <c r="AA85" t="n" s="2909">
        <v>21</v>
      </c>
      <c r="AB85" t="inlineStr" s="2909">
        <is>
          <t>19840401</t>
        </is>
      </c>
      <c r="AD85" t="n" s="2909">
        <v>0</v>
      </c>
      <c r="AE85" t="inlineStr" s="2909">
        <is>
          <t>00000000</t>
        </is>
      </c>
      <c r="AH85" t="n" s="2909">
        <v>1</v>
      </c>
      <c r="AJ85" t="n" s="2909">
        <v>10</v>
      </c>
      <c r="AP85" t="n" s="2909">
        <v>590000</v>
      </c>
      <c r="DB85" s="2909" t="str">
        <f>IF($A85="","",IF(AND($A85=21,$AE85&amp;""="00000000"),IF($AH85=20,"病院",IF($AH85=5,"消防","市長")),"対象外"))</f>
        <v>市長</v>
      </c>
    </row>
    <row r="86">
      <c r="A86" t="n" s="2909">
        <v>21</v>
      </c>
      <c r="AA86" t="n" s="2909">
        <v>21</v>
      </c>
      <c r="AB86" t="inlineStr" s="2909">
        <is>
          <t>19840401</t>
        </is>
      </c>
      <c r="AD86" t="n" s="2909">
        <v>0</v>
      </c>
      <c r="AE86" t="inlineStr" s="2909">
        <is>
          <t>00000000</t>
        </is>
      </c>
      <c r="AH86" t="n" s="2909">
        <v>4</v>
      </c>
      <c r="AJ86" t="n" s="2909">
        <v>10</v>
      </c>
      <c r="AP86" t="n" s="2909">
        <v>560000</v>
      </c>
      <c r="DB86" s="2909" t="str">
        <f>IF($A86="","",IF(AND($A86=21,$AE86&amp;""="00000000"),IF($AH86=20,"病院",IF($AH86=5,"消防","市長")),"対象外"))</f>
        <v>市長</v>
      </c>
    </row>
    <row r="87">
      <c r="A87" t="n" s="2909">
        <v>21</v>
      </c>
      <c r="AA87" t="n" s="2909">
        <v>21</v>
      </c>
      <c r="AB87" t="inlineStr" s="2909">
        <is>
          <t>20050425</t>
        </is>
      </c>
      <c r="AD87" t="n" s="2909">
        <v>0</v>
      </c>
      <c r="AE87" t="inlineStr" s="2909">
        <is>
          <t>00000000</t>
        </is>
      </c>
      <c r="AH87" t="n" s="2909">
        <v>11</v>
      </c>
      <c r="AJ87" t="n" s="2909">
        <v>10</v>
      </c>
      <c r="AP87" t="n" s="2909">
        <v>500000</v>
      </c>
      <c r="DB87" s="2909" t="str">
        <f>IF($A87="","",IF(AND($A87=21,$AE87&amp;""="00000000"),IF($AH87=20,"病院",IF($AH87=5,"消防","市長")),"対象外"))</f>
        <v>市長</v>
      </c>
    </row>
    <row r="88">
      <c r="A88" t="n" s="2909">
        <v>21</v>
      </c>
      <c r="AA88" t="n" s="2909">
        <v>21</v>
      </c>
      <c r="AB88" t="inlineStr" s="2909">
        <is>
          <t>19930401</t>
        </is>
      </c>
      <c r="AD88" t="n" s="2909">
        <v>0</v>
      </c>
      <c r="AE88" t="inlineStr" s="2909">
        <is>
          <t>00000000</t>
        </is>
      </c>
      <c r="AH88" t="n" s="2909">
        <v>1</v>
      </c>
      <c r="AJ88" t="n" s="2909">
        <v>10</v>
      </c>
      <c r="AP88" t="n" s="2909">
        <v>620000</v>
      </c>
      <c r="DB88" s="2909" t="str">
        <f>IF($A88="","",IF(AND($A88=21,$AE88&amp;""="00000000"),IF($AH88=20,"病院",IF($AH88=5,"消防","市長")),"対象外"))</f>
        <v>市長</v>
      </c>
    </row>
    <row r="89">
      <c r="A89" t="n" s="2909">
        <v>21</v>
      </c>
      <c r="AA89" t="n" s="2909">
        <v>21</v>
      </c>
      <c r="AB89" t="inlineStr" s="2909">
        <is>
          <t>20160401</t>
        </is>
      </c>
      <c r="AD89" t="n" s="2909">
        <v>0</v>
      </c>
      <c r="AE89" t="inlineStr" s="2909">
        <is>
          <t>00000000</t>
        </is>
      </c>
      <c r="AH89" t="n" s="2909">
        <v>20</v>
      </c>
      <c r="AJ89" t="n" s="2909">
        <v>10</v>
      </c>
      <c r="AP89" t="n" s="2909">
        <v>1030000</v>
      </c>
      <c r="DB89" s="2909" t="str">
        <f>IF($A89="","",IF(AND($A89=21,$AE89&amp;""="00000000"),IF($AH89=20,"病院",IF($AH89=5,"消防","市長")),"対象外"))</f>
        <v>病院</v>
      </c>
    </row>
    <row r="90">
      <c r="A90" t="n" s="2909">
        <v>31</v>
      </c>
      <c r="AA90" t="n" s="2909">
        <v>21</v>
      </c>
      <c r="AB90" t="inlineStr" s="2909">
        <is>
          <t>20221001</t>
        </is>
      </c>
      <c r="AD90" t="n" s="2909">
        <v>0</v>
      </c>
      <c r="AE90" t="inlineStr" s="2909">
        <is>
          <t>00000000</t>
        </is>
      </c>
      <c r="AH90" t="n" s="2909">
        <v>20</v>
      </c>
      <c r="AJ90" t="n" s="2909">
        <v>41</v>
      </c>
      <c r="AP90" t="n" s="2909">
        <v>190000</v>
      </c>
      <c r="DB90" s="2909" t="str">
        <f>IF($A90="","",IF(AND($A90=21,$AE90&amp;""="00000000"),IF($AH90=20,"病院",IF($AH90=5,"消防","市長")),"対象外"))</f>
        <v>対象外</v>
      </c>
    </row>
    <row r="91">
      <c r="A91" t="n" s="2909">
        <v>21</v>
      </c>
      <c r="AA91" t="n" s="2909">
        <v>21</v>
      </c>
      <c r="AB91" t="inlineStr" s="2909">
        <is>
          <t>19890401</t>
        </is>
      </c>
      <c r="AD91" t="n" s="2909">
        <v>0</v>
      </c>
      <c r="AE91" t="inlineStr" s="2909">
        <is>
          <t>00000000</t>
        </is>
      </c>
      <c r="AH91" t="n" s="2909">
        <v>1</v>
      </c>
      <c r="AJ91" t="n" s="2909">
        <v>10</v>
      </c>
      <c r="AP91" t="n" s="2909">
        <v>650000</v>
      </c>
      <c r="DB91" s="2909" t="str">
        <f>IF($A91="","",IF(AND($A91=21,$AE91&amp;""="00000000"),IF($AH91=20,"病院",IF($AH91=5,"消防","市長")),"対象外"))</f>
        <v>市長</v>
      </c>
    </row>
    <row r="92">
      <c r="A92" t="n" s="2909">
        <v>21</v>
      </c>
      <c r="AA92" t="n" s="2909">
        <v>21</v>
      </c>
      <c r="AB92" t="inlineStr" s="2909">
        <is>
          <t>19880401</t>
        </is>
      </c>
      <c r="AD92" t="n" s="2909">
        <v>0</v>
      </c>
      <c r="AE92" t="inlineStr" s="2909">
        <is>
          <t>00000000</t>
        </is>
      </c>
      <c r="AH92" t="n" s="2909">
        <v>5</v>
      </c>
      <c r="AJ92" t="n" s="2909">
        <v>10</v>
      </c>
      <c r="AP92" t="n" s="2909">
        <v>650000</v>
      </c>
      <c r="DB92" s="2909" t="str">
        <f>IF($A92="","",IF(AND($A92=21,$AE92&amp;""="00000000"),IF($AH92=20,"病院",IF($AH92=5,"消防","市長")),"対象外"))</f>
        <v>消防</v>
      </c>
    </row>
    <row r="93">
      <c r="A93" t="n" s="2909">
        <v>21</v>
      </c>
      <c r="AA93" t="n" s="2909">
        <v>21</v>
      </c>
      <c r="AB93" t="inlineStr" s="2909">
        <is>
          <t>19880401</t>
        </is>
      </c>
      <c r="AD93" t="n" s="2909">
        <v>0</v>
      </c>
      <c r="AE93" t="inlineStr" s="2909">
        <is>
          <t>00000000</t>
        </is>
      </c>
      <c r="AH93" t="n" s="2909">
        <v>1</v>
      </c>
      <c r="AJ93" t="n" s="2909">
        <v>10</v>
      </c>
      <c r="AP93" t="n" s="2909">
        <v>500000</v>
      </c>
      <c r="DB93" s="2909" t="str">
        <f>IF($A93="","",IF(AND($A93=21,$AE93&amp;""="00000000"),IF($AH93=20,"病院",IF($AH93=5,"消防","市長")),"対象外"))</f>
        <v>市長</v>
      </c>
    </row>
    <row r="94">
      <c r="A94" t="n" s="2909">
        <v>21</v>
      </c>
      <c r="AA94" t="n" s="2909">
        <v>21</v>
      </c>
      <c r="AB94" t="inlineStr" s="2909">
        <is>
          <t>19880401</t>
        </is>
      </c>
      <c r="AD94" t="n" s="2909">
        <v>0</v>
      </c>
      <c r="AE94" t="inlineStr" s="2909">
        <is>
          <t>00000000</t>
        </is>
      </c>
      <c r="AH94" t="n" s="2909">
        <v>1</v>
      </c>
      <c r="AJ94" t="n" s="2909">
        <v>10</v>
      </c>
      <c r="AP94" t="n" s="2909">
        <v>620000</v>
      </c>
      <c r="DB94" s="2909" t="str">
        <f>IF($A94="","",IF(AND($A94=21,$AE94&amp;""="00000000"),IF($AH94=20,"病院",IF($AH94=5,"消防","市長")),"対象外"))</f>
        <v>市長</v>
      </c>
    </row>
    <row r="95">
      <c r="A95" t="n" s="2909">
        <v>21</v>
      </c>
      <c r="AA95" t="n" s="2909">
        <v>21</v>
      </c>
      <c r="AB95" t="inlineStr" s="2909">
        <is>
          <t>19880401</t>
        </is>
      </c>
      <c r="AD95" t="n" s="2909">
        <v>0</v>
      </c>
      <c r="AE95" t="inlineStr" s="2909">
        <is>
          <t>00000000</t>
        </is>
      </c>
      <c r="AH95" t="n" s="2909">
        <v>5</v>
      </c>
      <c r="AJ95" t="n" s="2909">
        <v>30</v>
      </c>
      <c r="AP95" t="n" s="2909">
        <v>560000</v>
      </c>
      <c r="DB95" s="2909" t="str">
        <f>IF($A95="","",IF(AND($A95=21,$AE95&amp;""="00000000"),IF($AH95=20,"病院",IF($AH95=5,"消防","市長")),"対象外"))</f>
        <v>消防</v>
      </c>
    </row>
    <row r="96">
      <c r="A96" t="n" s="2909">
        <v>21</v>
      </c>
      <c r="AA96" t="n" s="2909">
        <v>21</v>
      </c>
      <c r="AB96" t="inlineStr" s="2909">
        <is>
          <t>19880401</t>
        </is>
      </c>
      <c r="AD96" t="n" s="2909">
        <v>0</v>
      </c>
      <c r="AE96" t="inlineStr" s="2909">
        <is>
          <t>00000000</t>
        </is>
      </c>
      <c r="AH96" t="n" s="2909">
        <v>1</v>
      </c>
      <c r="AJ96" t="n" s="2909">
        <v>10</v>
      </c>
      <c r="AP96" t="n" s="2909">
        <v>710000</v>
      </c>
      <c r="DB96" s="2909" t="str">
        <f>IF($A96="","",IF(AND($A96=21,$AE96&amp;""="00000000"),IF($AH96=20,"病院",IF($AH96=5,"消防","市長")),"対象外"))</f>
        <v>市長</v>
      </c>
    </row>
    <row r="97">
      <c r="A97" t="n" s="2909">
        <v>21</v>
      </c>
      <c r="AA97" t="n" s="2909">
        <v>21</v>
      </c>
      <c r="AB97" t="inlineStr" s="2909">
        <is>
          <t>19930401</t>
        </is>
      </c>
      <c r="AD97" t="n" s="2909">
        <v>0</v>
      </c>
      <c r="AE97" t="inlineStr" s="2909">
        <is>
          <t>00000000</t>
        </is>
      </c>
      <c r="AH97" t="n" s="2909">
        <v>1</v>
      </c>
      <c r="AJ97" t="n" s="2909">
        <v>10</v>
      </c>
      <c r="AP97" t="n" s="2909">
        <v>530000</v>
      </c>
      <c r="DB97" s="2909" t="str">
        <f>IF($A97="","",IF(AND($A97=21,$AE97&amp;""="00000000"),IF($AH97=20,"病院",IF($AH97=5,"消防","市長")),"対象外"))</f>
        <v>市長</v>
      </c>
    </row>
    <row r="98">
      <c r="A98" t="n" s="2909">
        <v>21</v>
      </c>
      <c r="AA98" t="n" s="2909">
        <v>21</v>
      </c>
      <c r="AB98" t="inlineStr" s="2909">
        <is>
          <t>19870401</t>
        </is>
      </c>
      <c r="AD98" t="n" s="2909">
        <v>0</v>
      </c>
      <c r="AE98" t="inlineStr" s="2909">
        <is>
          <t>00000000</t>
        </is>
      </c>
      <c r="AH98" t="n" s="2909">
        <v>1</v>
      </c>
      <c r="AJ98" t="n" s="2909">
        <v>10</v>
      </c>
      <c r="AP98" t="n" s="2909">
        <v>500000</v>
      </c>
      <c r="DB98" s="2909" t="str">
        <f>IF($A98="","",IF(AND($A98=21,$AE98&amp;""="00000000"),IF($AH98=20,"病院",IF($AH98=5,"消防","市長")),"対象外"))</f>
        <v>市長</v>
      </c>
    </row>
    <row r="99">
      <c r="A99" t="n" s="2909">
        <v>21</v>
      </c>
      <c r="AA99" t="n" s="2909">
        <v>21</v>
      </c>
      <c r="AB99" t="inlineStr" s="2909">
        <is>
          <t>20170401</t>
        </is>
      </c>
      <c r="AD99" t="n" s="2909">
        <v>0</v>
      </c>
      <c r="AE99" t="inlineStr" s="2909">
        <is>
          <t>00000000</t>
        </is>
      </c>
      <c r="AH99" t="n" s="2909">
        <v>11</v>
      </c>
      <c r="AJ99" t="n" s="2909">
        <v>10</v>
      </c>
      <c r="AP99" t="n" s="2909">
        <v>530000</v>
      </c>
      <c r="DB99" s="2909" t="str">
        <f>IF($A99="","",IF(AND($A99=21,$AE99&amp;""="00000000"),IF($AH99=20,"病院",IF($AH99=5,"消防","市長")),"対象外"))</f>
        <v>市長</v>
      </c>
    </row>
    <row r="100">
      <c r="A100" t="n" s="2909">
        <v>21</v>
      </c>
      <c r="AA100" t="n" s="2909">
        <v>21</v>
      </c>
      <c r="AB100" t="inlineStr" s="2909">
        <is>
          <t>19850401</t>
        </is>
      </c>
      <c r="AD100" t="n" s="2909">
        <v>0</v>
      </c>
      <c r="AE100" t="inlineStr" s="2909">
        <is>
          <t>00000000</t>
        </is>
      </c>
      <c r="AH100" t="n" s="2909">
        <v>11</v>
      </c>
      <c r="AJ100" t="n" s="2909">
        <v>10</v>
      </c>
      <c r="AP100" t="n" s="2909">
        <v>500000</v>
      </c>
      <c r="DB100" s="2909" t="str">
        <f>IF($A100="","",IF(AND($A100=21,$AE100&amp;""="00000000"),IF($AH100=20,"病院",IF($AH100=5,"消防","市長")),"対象外"))</f>
        <v>市長</v>
      </c>
    </row>
    <row r="101">
      <c r="A101" t="n" s="2909">
        <v>21</v>
      </c>
      <c r="AA101" t="n" s="2909">
        <v>21</v>
      </c>
      <c r="AB101" t="inlineStr" s="2909">
        <is>
          <t>19900401</t>
        </is>
      </c>
      <c r="AD101" t="n" s="2909">
        <v>0</v>
      </c>
      <c r="AE101" t="inlineStr" s="2909">
        <is>
          <t>00000000</t>
        </is>
      </c>
      <c r="AH101" t="n" s="2909">
        <v>1</v>
      </c>
      <c r="AJ101" t="n" s="2909">
        <v>10</v>
      </c>
      <c r="AP101" t="n" s="2909">
        <v>590000</v>
      </c>
      <c r="DB101" s="2909" t="str">
        <f>IF($A101="","",IF(AND($A101=21,$AE101&amp;""="00000000"),IF($AH101=20,"病院",IF($AH101=5,"消防","市長")),"対象外"))</f>
        <v>市長</v>
      </c>
    </row>
    <row r="102">
      <c r="A102" t="n" s="2909">
        <v>21</v>
      </c>
      <c r="AA102" t="n" s="2909">
        <v>21</v>
      </c>
      <c r="AB102" t="inlineStr" s="2909">
        <is>
          <t>19840401</t>
        </is>
      </c>
      <c r="AD102" t="n" s="2909">
        <v>0</v>
      </c>
      <c r="AE102" t="inlineStr" s="2909">
        <is>
          <t>00000000</t>
        </is>
      </c>
      <c r="AH102" t="n" s="2909">
        <v>1</v>
      </c>
      <c r="AJ102" t="n" s="2909">
        <v>10</v>
      </c>
      <c r="AP102" t="n" s="2909">
        <v>560000</v>
      </c>
      <c r="DB102" s="2909" t="str">
        <f>IF($A102="","",IF(AND($A102=21,$AE102&amp;""="00000000"),IF($AH102=20,"病院",IF($AH102=5,"消防","市長")),"対象外"))</f>
        <v>市長</v>
      </c>
    </row>
    <row r="103">
      <c r="A103" t="n" s="2909">
        <v>21</v>
      </c>
      <c r="AA103" t="n" s="2909">
        <v>21</v>
      </c>
      <c r="AB103" t="inlineStr" s="2909">
        <is>
          <t>19910401</t>
        </is>
      </c>
      <c r="AD103" t="n" s="2909">
        <v>0</v>
      </c>
      <c r="AE103" t="inlineStr" s="2909">
        <is>
          <t>00000000</t>
        </is>
      </c>
      <c r="AH103" t="n" s="2909">
        <v>3</v>
      </c>
      <c r="AJ103" t="n" s="2909">
        <v>10</v>
      </c>
      <c r="AP103" t="n" s="2909">
        <v>590000</v>
      </c>
      <c r="DB103" s="2909" t="str">
        <f>IF($A103="","",IF(AND($A103=21,$AE103&amp;""="00000000"),IF($AH103=20,"病院",IF($AH103=5,"消防","市長")),"対象外"))</f>
        <v>市長</v>
      </c>
    </row>
    <row r="104">
      <c r="A104" t="n" s="2909">
        <v>21</v>
      </c>
      <c r="AA104" t="n" s="2909">
        <v>21</v>
      </c>
      <c r="AB104" t="inlineStr" s="2909">
        <is>
          <t>19840401</t>
        </is>
      </c>
      <c r="AD104" t="n" s="2909">
        <v>0</v>
      </c>
      <c r="AE104" t="inlineStr" s="2909">
        <is>
          <t>00000000</t>
        </is>
      </c>
      <c r="AH104" t="n" s="2909">
        <v>4</v>
      </c>
      <c r="AJ104" t="n" s="2909">
        <v>10</v>
      </c>
      <c r="AP104" t="n" s="2909">
        <v>380000</v>
      </c>
      <c r="DB104" s="2909" t="str">
        <f>IF($A104="","",IF(AND($A104=21,$AE104&amp;""="00000000"),IF($AH104=20,"病院",IF($AH104=5,"消防","市長")),"対象外"))</f>
        <v>市長</v>
      </c>
    </row>
    <row r="105">
      <c r="A105" t="n" s="2909">
        <v>21</v>
      </c>
      <c r="AA105" t="n" s="2909">
        <v>21</v>
      </c>
      <c r="AB105" t="inlineStr" s="2909">
        <is>
          <t>19840401</t>
        </is>
      </c>
      <c r="AD105" t="n" s="2909">
        <v>0</v>
      </c>
      <c r="AE105" t="inlineStr" s="2909">
        <is>
          <t>00000000</t>
        </is>
      </c>
      <c r="AH105" t="n" s="2909">
        <v>11</v>
      </c>
      <c r="AJ105" t="n" s="2909">
        <v>10</v>
      </c>
      <c r="AP105" t="n" s="2909">
        <v>470000</v>
      </c>
      <c r="DB105" s="2909" t="str">
        <f>IF($A105="","",IF(AND($A105=21,$AE105&amp;""="00000000"),IF($AH105=20,"病院",IF($AH105=5,"消防","市長")),"対象外"))</f>
        <v>市長</v>
      </c>
    </row>
    <row r="106">
      <c r="A106" t="n" s="2909">
        <v>21</v>
      </c>
      <c r="AA106" t="n" s="2909">
        <v>21</v>
      </c>
      <c r="AB106" t="inlineStr" s="2909">
        <is>
          <t>19890401</t>
        </is>
      </c>
      <c r="AD106" t="n" s="2909">
        <v>0</v>
      </c>
      <c r="AE106" t="inlineStr" s="2909">
        <is>
          <t>00000000</t>
        </is>
      </c>
      <c r="AH106" t="n" s="2909">
        <v>11</v>
      </c>
      <c r="AJ106" t="n" s="2909">
        <v>10</v>
      </c>
      <c r="AP106" t="n" s="2909">
        <v>620000</v>
      </c>
      <c r="DB106" s="2909" t="str">
        <f>IF($A106="","",IF(AND($A106=21,$AE106&amp;""="00000000"),IF($AH106=20,"病院",IF($AH106=5,"消防","市長")),"対象外"))</f>
        <v>市長</v>
      </c>
    </row>
    <row r="107">
      <c r="A107" t="n" s="2909">
        <v>21</v>
      </c>
      <c r="AA107" t="n" s="2909">
        <v>21</v>
      </c>
      <c r="AB107" t="inlineStr" s="2909">
        <is>
          <t>19880401</t>
        </is>
      </c>
      <c r="AD107" t="n" s="2909">
        <v>0</v>
      </c>
      <c r="AE107" t="inlineStr" s="2909">
        <is>
          <t>00000000</t>
        </is>
      </c>
      <c r="AH107" t="n" s="2909">
        <v>1</v>
      </c>
      <c r="AJ107" t="n" s="2909">
        <v>10</v>
      </c>
      <c r="AP107" t="n" s="2909">
        <v>650000</v>
      </c>
      <c r="DB107" s="2909" t="str">
        <f>IF($A107="","",IF(AND($A107=21,$AE107&amp;""="00000000"),IF($AH107=20,"病院",IF($AH107=5,"消防","市長")),"対象外"))</f>
        <v>市長</v>
      </c>
    </row>
    <row r="108">
      <c r="A108" t="n" s="2909">
        <v>21</v>
      </c>
      <c r="AA108" t="n" s="2909">
        <v>21</v>
      </c>
      <c r="AB108" t="inlineStr" s="2909">
        <is>
          <t>19840401</t>
        </is>
      </c>
      <c r="AD108" t="n" s="2909">
        <v>0</v>
      </c>
      <c r="AE108" t="inlineStr" s="2909">
        <is>
          <t>00000000</t>
        </is>
      </c>
      <c r="AH108" t="n" s="2909">
        <v>4</v>
      </c>
      <c r="AJ108" t="n" s="2909">
        <v>10</v>
      </c>
      <c r="AP108" t="n" s="2909">
        <v>590000</v>
      </c>
      <c r="DB108" s="2909" t="str">
        <f>IF($A108="","",IF(AND($A108=21,$AE108&amp;""="00000000"),IF($AH108=20,"病院",IF($AH108=5,"消防","市長")),"対象外"))</f>
        <v>市長</v>
      </c>
    </row>
    <row r="109">
      <c r="A109" t="n" s="2909">
        <v>21</v>
      </c>
      <c r="AA109" t="n" s="2909">
        <v>21</v>
      </c>
      <c r="AB109" t="inlineStr" s="2909">
        <is>
          <t>19890401</t>
        </is>
      </c>
      <c r="AD109" t="n" s="2909">
        <v>0</v>
      </c>
      <c r="AE109" t="inlineStr" s="2909">
        <is>
          <t>00000000</t>
        </is>
      </c>
      <c r="AH109" t="n" s="2909">
        <v>1</v>
      </c>
      <c r="AJ109" t="n" s="2909">
        <v>10</v>
      </c>
      <c r="AP109" t="n" s="2909">
        <v>710000</v>
      </c>
      <c r="DB109" s="2909" t="str">
        <f>IF($A109="","",IF(AND($A109=21,$AE109&amp;""="00000000"),IF($AH109=20,"病院",IF($AH109=5,"消防","市長")),"対象外"))</f>
        <v>市長</v>
      </c>
    </row>
    <row r="110">
      <c r="A110" t="n" s="2909">
        <v>21</v>
      </c>
      <c r="AA110" t="n" s="2909">
        <v>21</v>
      </c>
      <c r="AB110" t="inlineStr" s="2909">
        <is>
          <t>19950401</t>
        </is>
      </c>
      <c r="AD110" t="n" s="2909">
        <v>0</v>
      </c>
      <c r="AE110" t="inlineStr" s="2909">
        <is>
          <t>00000000</t>
        </is>
      </c>
      <c r="AH110" t="n" s="2909">
        <v>11</v>
      </c>
      <c r="AJ110" t="n" s="2909">
        <v>10</v>
      </c>
      <c r="AP110" t="n" s="2909">
        <v>440000</v>
      </c>
      <c r="DB110" s="2909" t="str">
        <f>IF($A110="","",IF(AND($A110=21,$AE110&amp;""="00000000"),IF($AH110=20,"病院",IF($AH110=5,"消防","市長")),"対象外"))</f>
        <v>市長</v>
      </c>
    </row>
    <row r="111">
      <c r="A111" t="n" s="2909">
        <v>21</v>
      </c>
      <c r="AA111" t="n" s="2909">
        <v>21</v>
      </c>
      <c r="AB111" t="inlineStr" s="2909">
        <is>
          <t>19890401</t>
        </is>
      </c>
      <c r="AD111" t="n" s="2909">
        <v>0</v>
      </c>
      <c r="AE111" t="inlineStr" s="2909">
        <is>
          <t>00000000</t>
        </is>
      </c>
      <c r="AH111" t="n" s="2909">
        <v>3</v>
      </c>
      <c r="AJ111" t="n" s="2909">
        <v>10</v>
      </c>
      <c r="AP111" t="n" s="2909">
        <v>530000</v>
      </c>
      <c r="DB111" s="2909" t="str">
        <f>IF($A111="","",IF(AND($A111=21,$AE111&amp;""="00000000"),IF($AH111=20,"病院",IF($AH111=5,"消防","市長")),"対象外"))</f>
        <v>市長</v>
      </c>
    </row>
    <row r="112">
      <c r="A112" t="n" s="2909">
        <v>21</v>
      </c>
      <c r="AA112" t="n" s="2909">
        <v>21</v>
      </c>
      <c r="AB112" t="inlineStr" s="2909">
        <is>
          <t>20050425</t>
        </is>
      </c>
      <c r="AD112" t="n" s="2909">
        <v>0</v>
      </c>
      <c r="AE112" t="inlineStr" s="2909">
        <is>
          <t>00000000</t>
        </is>
      </c>
      <c r="AH112" t="n" s="2909">
        <v>1</v>
      </c>
      <c r="AJ112" t="n" s="2909">
        <v>10</v>
      </c>
      <c r="AP112" t="n" s="2909">
        <v>560000</v>
      </c>
      <c r="DB112" s="2909" t="str">
        <f>IF($A112="","",IF(AND($A112=21,$AE112&amp;""="00000000"),IF($AH112=20,"病院",IF($AH112=5,"消防","市長")),"対象外"))</f>
        <v>市長</v>
      </c>
    </row>
    <row r="113">
      <c r="A113" t="n" s="2909">
        <v>21</v>
      </c>
      <c r="AA113" t="n" s="2909">
        <v>21</v>
      </c>
      <c r="AB113" t="inlineStr" s="2909">
        <is>
          <t>19930401</t>
        </is>
      </c>
      <c r="AD113" t="n" s="2909">
        <v>0</v>
      </c>
      <c r="AE113" t="inlineStr" s="2909">
        <is>
          <t>00000000</t>
        </is>
      </c>
      <c r="AH113" t="n" s="2909">
        <v>4</v>
      </c>
      <c r="AJ113" t="n" s="2909">
        <v>10</v>
      </c>
      <c r="AP113" t="n" s="2909">
        <v>500000</v>
      </c>
      <c r="DB113" s="2909" t="str">
        <f>IF($A113="","",IF(AND($A113=21,$AE113&amp;""="00000000"),IF($AH113=20,"病院",IF($AH113=5,"消防","市長")),"対象外"))</f>
        <v>市長</v>
      </c>
    </row>
    <row r="114">
      <c r="A114" t="n" s="2909">
        <v>21</v>
      </c>
      <c r="AA114" t="n" s="2909">
        <v>21</v>
      </c>
      <c r="AB114" t="inlineStr" s="2909">
        <is>
          <t>19900401</t>
        </is>
      </c>
      <c r="AD114" t="n" s="2909">
        <v>0</v>
      </c>
      <c r="AE114" t="inlineStr" s="2909">
        <is>
          <t>00000000</t>
        </is>
      </c>
      <c r="AH114" t="n" s="2909">
        <v>4</v>
      </c>
      <c r="AJ114" t="n" s="2909">
        <v>10</v>
      </c>
      <c r="AP114" t="n" s="2909">
        <v>500000</v>
      </c>
      <c r="DB114" s="2909" t="str">
        <f>IF($A114="","",IF(AND($A114=21,$AE114&amp;""="00000000"),IF($AH114=20,"病院",IF($AH114=5,"消防","市長")),"対象外"))</f>
        <v>市長</v>
      </c>
    </row>
    <row r="115">
      <c r="A115" t="n" s="2909">
        <v>21</v>
      </c>
      <c r="AA115" t="n" s="2909">
        <v>21</v>
      </c>
      <c r="AB115" t="inlineStr" s="2909">
        <is>
          <t>19910401</t>
        </is>
      </c>
      <c r="AD115" t="n" s="2909">
        <v>0</v>
      </c>
      <c r="AE115" t="inlineStr" s="2909">
        <is>
          <t>00000000</t>
        </is>
      </c>
      <c r="AH115" t="n" s="2909">
        <v>3</v>
      </c>
      <c r="AJ115" t="n" s="2909">
        <v>10</v>
      </c>
      <c r="AP115" t="n" s="2909">
        <v>560000</v>
      </c>
      <c r="DB115" s="2909" t="str">
        <f>IF($A115="","",IF(AND($A115=21,$AE115&amp;""="00000000"),IF($AH115=20,"病院",IF($AH115=5,"消防","市長")),"対象外"))</f>
        <v>市長</v>
      </c>
    </row>
    <row r="116">
      <c r="A116" t="n" s="2909">
        <v>21</v>
      </c>
      <c r="AA116" t="n" s="2909">
        <v>21</v>
      </c>
      <c r="AB116" t="inlineStr" s="2909">
        <is>
          <t>19840401</t>
        </is>
      </c>
      <c r="AD116" t="n" s="2909">
        <v>0</v>
      </c>
      <c r="AE116" t="inlineStr" s="2909">
        <is>
          <t>00000000</t>
        </is>
      </c>
      <c r="AH116" t="n" s="2909">
        <v>11</v>
      </c>
      <c r="AJ116" t="n" s="2909">
        <v>10</v>
      </c>
      <c r="AP116" t="n" s="2909">
        <v>440000</v>
      </c>
      <c r="DB116" s="2909" t="str">
        <f>IF($A116="","",IF(AND($A116=21,$AE116&amp;""="00000000"),IF($AH116=20,"病院",IF($AH116=5,"消防","市長")),"対象外"))</f>
        <v>市長</v>
      </c>
    </row>
    <row r="117">
      <c r="A117" t="n" s="2909">
        <v>21</v>
      </c>
      <c r="AA117" t="n" s="2909">
        <v>21</v>
      </c>
      <c r="AB117" t="inlineStr" s="2909">
        <is>
          <t>19880401</t>
        </is>
      </c>
      <c r="AD117" t="n" s="2909">
        <v>0</v>
      </c>
      <c r="AE117" t="inlineStr" s="2909">
        <is>
          <t>00000000</t>
        </is>
      </c>
      <c r="AH117" t="n" s="2909">
        <v>3</v>
      </c>
      <c r="AJ117" t="n" s="2909">
        <v>10</v>
      </c>
      <c r="AP117" t="n" s="2909">
        <v>560000</v>
      </c>
      <c r="DB117" s="2909" t="str">
        <f>IF($A117="","",IF(AND($A117=21,$AE117&amp;""="00000000"),IF($AH117=20,"病院",IF($AH117=5,"消防","市長")),"対象外"))</f>
        <v>市長</v>
      </c>
    </row>
    <row r="118">
      <c r="A118" t="n" s="2909">
        <v>21</v>
      </c>
      <c r="AA118" t="n" s="2909">
        <v>21</v>
      </c>
      <c r="AB118" t="inlineStr" s="2909">
        <is>
          <t>19870401</t>
        </is>
      </c>
      <c r="AD118" t="n" s="2909">
        <v>0</v>
      </c>
      <c r="AE118" t="inlineStr" s="2909">
        <is>
          <t>00000000</t>
        </is>
      </c>
      <c r="AH118" t="n" s="2909">
        <v>41</v>
      </c>
      <c r="AJ118" t="n" s="2909">
        <v>74</v>
      </c>
      <c r="AP118" t="n" s="2909">
        <v>590000</v>
      </c>
      <c r="DB118" s="2909" t="str">
        <f>IF($A118="","",IF(AND($A118=21,$AE118&amp;""="00000000"),IF($AH118=20,"病院",IF($AH118=5,"消防","市長")),"対象外"))</f>
        <v>市長</v>
      </c>
    </row>
    <row r="119">
      <c r="A119" t="n" s="2909">
        <v>21</v>
      </c>
      <c r="AA119" t="n" s="2909">
        <v>21</v>
      </c>
      <c r="AB119" t="inlineStr" s="2909">
        <is>
          <t>19880401</t>
        </is>
      </c>
      <c r="AD119" t="n" s="2909">
        <v>0</v>
      </c>
      <c r="AE119" t="inlineStr" s="2909">
        <is>
          <t>00000000</t>
        </is>
      </c>
      <c r="AH119" t="n" s="2909">
        <v>1</v>
      </c>
      <c r="AJ119" t="n" s="2909">
        <v>10</v>
      </c>
      <c r="AP119" t="n" s="2909">
        <v>620000</v>
      </c>
      <c r="DB119" s="2909" t="str">
        <f>IF($A119="","",IF(AND($A119=21,$AE119&amp;""="00000000"),IF($AH119=20,"病院",IF($AH119=5,"消防","市長")),"対象外"))</f>
        <v>市長</v>
      </c>
    </row>
    <row r="120">
      <c r="A120" t="n" s="2909">
        <v>21</v>
      </c>
      <c r="AA120" t="n" s="2909">
        <v>21</v>
      </c>
      <c r="AB120" t="inlineStr" s="2909">
        <is>
          <t>19880401</t>
        </is>
      </c>
      <c r="AD120" t="n" s="2909">
        <v>0</v>
      </c>
      <c r="AE120" t="inlineStr" s="2909">
        <is>
          <t>00000000</t>
        </is>
      </c>
      <c r="AH120" t="n" s="2909">
        <v>1</v>
      </c>
      <c r="AJ120" t="n" s="2909">
        <v>10</v>
      </c>
      <c r="AP120" t="n" s="2909">
        <v>620000</v>
      </c>
      <c r="DB120" s="2909" t="str">
        <f>IF($A120="","",IF(AND($A120=21,$AE120&amp;""="00000000"),IF($AH120=20,"病院",IF($AH120=5,"消防","市長")),"対象外"))</f>
        <v>市長</v>
      </c>
    </row>
    <row r="121">
      <c r="A121" t="n" s="2909">
        <v>21</v>
      </c>
      <c r="AA121" t="n" s="2909">
        <v>21</v>
      </c>
      <c r="AB121" t="inlineStr" s="2909">
        <is>
          <t>19840401</t>
        </is>
      </c>
      <c r="AD121" t="n" s="2909">
        <v>0</v>
      </c>
      <c r="AE121" t="inlineStr" s="2909">
        <is>
          <t>00000000</t>
        </is>
      </c>
      <c r="AH121" t="n" s="2909">
        <v>1</v>
      </c>
      <c r="AJ121" t="n" s="2909">
        <v>10</v>
      </c>
      <c r="AP121" t="n" s="2909">
        <v>500000</v>
      </c>
      <c r="DB121" s="2909" t="str">
        <f>IF($A121="","",IF(AND($A121=21,$AE121&amp;""="00000000"),IF($AH121=20,"病院",IF($AH121=5,"消防","市長")),"対象外"))</f>
        <v>市長</v>
      </c>
    </row>
    <row r="122">
      <c r="A122" t="n" s="2909">
        <v>21</v>
      </c>
      <c r="AA122" t="n" s="2909">
        <v>21</v>
      </c>
      <c r="AB122" t="inlineStr" s="2909">
        <is>
          <t>19840401</t>
        </is>
      </c>
      <c r="AD122" t="n" s="2909">
        <v>0</v>
      </c>
      <c r="AE122" t="inlineStr" s="2909">
        <is>
          <t>00000000</t>
        </is>
      </c>
      <c r="AH122" t="n" s="2909">
        <v>1</v>
      </c>
      <c r="AJ122" t="n" s="2909">
        <v>10</v>
      </c>
      <c r="AP122" t="n" s="2909">
        <v>500000</v>
      </c>
      <c r="DB122" s="2909" t="str">
        <f>IF($A122="","",IF(AND($A122=21,$AE122&amp;""="00000000"),IF($AH122=20,"病院",IF($AH122=5,"消防","市長")),"対象外"))</f>
        <v>市長</v>
      </c>
    </row>
    <row r="123">
      <c r="A123" t="n" s="2909">
        <v>21</v>
      </c>
      <c r="AA123" t="n" s="2909">
        <v>21</v>
      </c>
      <c r="AB123" t="inlineStr" s="2909">
        <is>
          <t>19910401</t>
        </is>
      </c>
      <c r="AD123" t="n" s="2909">
        <v>0</v>
      </c>
      <c r="AE123" t="inlineStr" s="2909">
        <is>
          <t>00000000</t>
        </is>
      </c>
      <c r="AH123" t="n" s="2909">
        <v>1</v>
      </c>
      <c r="AJ123" t="n" s="2909">
        <v>10</v>
      </c>
      <c r="AP123" t="n" s="2909">
        <v>500000</v>
      </c>
      <c r="DB123" s="2909" t="str">
        <f>IF($A123="","",IF(AND($A123=21,$AE123&amp;""="00000000"),IF($AH123=20,"病院",IF($AH123=5,"消防","市長")),"対象外"))</f>
        <v>市長</v>
      </c>
    </row>
    <row r="124">
      <c r="A124" t="n" s="2909">
        <v>21</v>
      </c>
      <c r="AA124" t="n" s="2909">
        <v>21</v>
      </c>
      <c r="AB124" t="inlineStr" s="2909">
        <is>
          <t>19950401</t>
        </is>
      </c>
      <c r="AD124" t="n" s="2909">
        <v>0</v>
      </c>
      <c r="AE124" t="inlineStr" s="2909">
        <is>
          <t>00000000</t>
        </is>
      </c>
      <c r="AH124" t="n" s="2909">
        <v>1</v>
      </c>
      <c r="AJ124" t="n" s="2909">
        <v>10</v>
      </c>
      <c r="AP124" t="n" s="2909">
        <v>470000</v>
      </c>
      <c r="DB124" s="2909" t="str">
        <f>IF($A124="","",IF(AND($A124=21,$AE124&amp;""="00000000"),IF($AH124=20,"病院",IF($AH124=5,"消防","市長")),"対象外"))</f>
        <v>市長</v>
      </c>
    </row>
    <row r="125">
      <c r="A125" t="n" s="2909">
        <v>21</v>
      </c>
      <c r="AA125" t="n" s="2909">
        <v>21</v>
      </c>
      <c r="AB125" t="inlineStr" s="2909">
        <is>
          <t>19840401</t>
        </is>
      </c>
      <c r="AD125" t="n" s="2909">
        <v>0</v>
      </c>
      <c r="AE125" t="inlineStr" s="2909">
        <is>
          <t>00000000</t>
        </is>
      </c>
      <c r="AH125" t="n" s="2909">
        <v>1</v>
      </c>
      <c r="AJ125" t="n" s="2909">
        <v>10</v>
      </c>
      <c r="AP125" t="n" s="2909">
        <v>470000</v>
      </c>
      <c r="DB125" s="2909" t="str">
        <f>IF($A125="","",IF(AND($A125=21,$AE125&amp;""="00000000"),IF($AH125=20,"病院",IF($AH125=5,"消防","市長")),"対象外"))</f>
        <v>市長</v>
      </c>
    </row>
    <row r="126">
      <c r="A126" t="n" s="2909">
        <v>21</v>
      </c>
      <c r="AA126" t="n" s="2909">
        <v>21</v>
      </c>
      <c r="AB126" t="inlineStr" s="2909">
        <is>
          <t>20000401</t>
        </is>
      </c>
      <c r="AD126" t="n" s="2909">
        <v>0</v>
      </c>
      <c r="AE126" t="inlineStr" s="2909">
        <is>
          <t>00000000</t>
        </is>
      </c>
      <c r="AH126" t="n" s="2909">
        <v>1</v>
      </c>
      <c r="AJ126" t="n" s="2909">
        <v>10</v>
      </c>
      <c r="AP126" t="n" s="2909">
        <v>470000</v>
      </c>
      <c r="DB126" s="2909" t="str">
        <f>IF($A126="","",IF(AND($A126=21,$AE126&amp;""="00000000"),IF($AH126=20,"病院",IF($AH126=5,"消防","市長")),"対象外"))</f>
        <v>市長</v>
      </c>
    </row>
    <row r="127">
      <c r="A127" t="n" s="2909">
        <v>21</v>
      </c>
      <c r="AA127" t="n" s="2909">
        <v>21</v>
      </c>
      <c r="AB127" t="inlineStr" s="2909">
        <is>
          <t>19880401</t>
        </is>
      </c>
      <c r="AD127" t="n" s="2909">
        <v>0</v>
      </c>
      <c r="AE127" t="inlineStr" s="2909">
        <is>
          <t>00000000</t>
        </is>
      </c>
      <c r="AH127" t="n" s="2909">
        <v>1</v>
      </c>
      <c r="AJ127" t="n" s="2909">
        <v>10</v>
      </c>
      <c r="AP127" t="n" s="2909">
        <v>590000</v>
      </c>
      <c r="DB127" s="2909" t="str">
        <f>IF($A127="","",IF(AND($A127=21,$AE127&amp;""="00000000"),IF($AH127=20,"病院",IF($AH127=5,"消防","市長")),"対象外"))</f>
        <v>市長</v>
      </c>
    </row>
    <row r="128">
      <c r="A128" t="n" s="2909">
        <v>21</v>
      </c>
      <c r="AA128" t="n" s="2909">
        <v>21</v>
      </c>
      <c r="AB128" t="inlineStr" s="2909">
        <is>
          <t>19880401</t>
        </is>
      </c>
      <c r="AD128" t="n" s="2909">
        <v>0</v>
      </c>
      <c r="AE128" t="inlineStr" s="2909">
        <is>
          <t>00000000</t>
        </is>
      </c>
      <c r="AH128" t="n" s="2909">
        <v>5</v>
      </c>
      <c r="AJ128" t="n" s="2909">
        <v>10</v>
      </c>
      <c r="AP128" t="n" s="2909">
        <v>620000</v>
      </c>
      <c r="DB128" s="2909" t="str">
        <f>IF($A128="","",IF(AND($A128=21,$AE128&amp;""="00000000"),IF($AH128=20,"病院",IF($AH128=5,"消防","市長")),"対象外"))</f>
        <v>消防</v>
      </c>
    </row>
    <row r="129">
      <c r="A129" t="n" s="2909">
        <v>31</v>
      </c>
      <c r="AA129" t="n" s="2909">
        <v>21</v>
      </c>
      <c r="AB129" t="inlineStr" s="2909">
        <is>
          <t>20250401</t>
        </is>
      </c>
      <c r="AD129" t="n" s="2909">
        <v>0</v>
      </c>
      <c r="AE129" t="inlineStr" s="2909">
        <is>
          <t>00000000</t>
        </is>
      </c>
      <c r="AH129" t="n" s="2909">
        <v>1</v>
      </c>
      <c r="AJ129" t="n" s="2909">
        <v>41</v>
      </c>
      <c r="AP129" t="n" s="2909">
        <v>220000</v>
      </c>
      <c r="DB129" s="2909" t="str">
        <f>IF($A129="","",IF(AND($A129=21,$AE129&amp;""="00000000"),IF($AH129=20,"病院",IF($AH129=5,"消防","市長")),"対象外"))</f>
        <v>対象外</v>
      </c>
    </row>
    <row r="130">
      <c r="A130" t="n" s="2909">
        <v>21</v>
      </c>
      <c r="AA130" t="n" s="2909">
        <v>21</v>
      </c>
      <c r="AB130" t="inlineStr" s="2909">
        <is>
          <t>19910401</t>
        </is>
      </c>
      <c r="AD130" t="n" s="2909">
        <v>0</v>
      </c>
      <c r="AE130" t="inlineStr" s="2909">
        <is>
          <t>00000000</t>
        </is>
      </c>
      <c r="AH130" t="n" s="2909">
        <v>3</v>
      </c>
      <c r="AJ130" t="n" s="2909">
        <v>10</v>
      </c>
      <c r="AP130" t="n" s="2909">
        <v>710000</v>
      </c>
      <c r="DB130" s="2909" t="str">
        <f>IF($A130="","",IF(AND($A130=21,$AE130&amp;""="00000000"),IF($AH130=20,"病院",IF($AH130=5,"消防","市長")),"対象外"))</f>
        <v>市長</v>
      </c>
    </row>
    <row r="131">
      <c r="A131" t="n" s="2909">
        <v>21</v>
      </c>
      <c r="AA131" t="n" s="2909">
        <v>21</v>
      </c>
      <c r="AB131" t="inlineStr" s="2909">
        <is>
          <t>20220401</t>
        </is>
      </c>
      <c r="AD131" t="n" s="2909">
        <v>0</v>
      </c>
      <c r="AE131" t="inlineStr" s="2909">
        <is>
          <t>00000000</t>
        </is>
      </c>
      <c r="AH131" t="n" s="2909">
        <v>1</v>
      </c>
      <c r="AJ131" t="n" s="2909">
        <v>10</v>
      </c>
      <c r="AP131" t="n" s="2909">
        <v>410000</v>
      </c>
      <c r="DB131" s="2909" t="str">
        <f>IF($A131="","",IF(AND($A131=21,$AE131&amp;""="00000000"),IF($AH131=20,"病院",IF($AH131=5,"消防","市長")),"対象外"))</f>
        <v>市長</v>
      </c>
    </row>
    <row r="132">
      <c r="A132" t="n" s="2909">
        <v>21</v>
      </c>
      <c r="AA132" t="n" s="2909">
        <v>21</v>
      </c>
      <c r="AB132" t="inlineStr" s="2909">
        <is>
          <t>19890401</t>
        </is>
      </c>
      <c r="AD132" t="n" s="2909">
        <v>0</v>
      </c>
      <c r="AE132" t="inlineStr" s="2909">
        <is>
          <t>00000000</t>
        </is>
      </c>
      <c r="AH132" t="n" s="2909">
        <v>1</v>
      </c>
      <c r="AJ132" t="n" s="2909">
        <v>10</v>
      </c>
      <c r="AP132" t="n" s="2909">
        <v>560000</v>
      </c>
      <c r="DB132" s="2909" t="str">
        <f>IF($A132="","",IF(AND($A132=21,$AE132&amp;""="00000000"),IF($AH132=20,"病院",IF($AH132=5,"消防","市長")),"対象外"))</f>
        <v>市長</v>
      </c>
    </row>
    <row r="133">
      <c r="A133" t="n" s="2909">
        <v>21</v>
      </c>
      <c r="AA133" t="n" s="2909">
        <v>21</v>
      </c>
      <c r="AB133" t="inlineStr" s="2909">
        <is>
          <t>19880401</t>
        </is>
      </c>
      <c r="AD133" t="n" s="2909">
        <v>0</v>
      </c>
      <c r="AE133" t="inlineStr" s="2909">
        <is>
          <t>00000000</t>
        </is>
      </c>
      <c r="AH133" t="n" s="2909">
        <v>4</v>
      </c>
      <c r="AJ133" t="n" s="2909">
        <v>10</v>
      </c>
      <c r="AP133" t="n" s="2909">
        <v>650000</v>
      </c>
      <c r="DB133" s="2909" t="str">
        <f>IF($A133="","",IF(AND($A133=21,$AE133&amp;""="00000000"),IF($AH133=20,"病院",IF($AH133=5,"消防","市長")),"対象外"))</f>
        <v>市長</v>
      </c>
    </row>
    <row r="134">
      <c r="A134" t="n" s="2909">
        <v>21</v>
      </c>
      <c r="AA134" t="n" s="2909">
        <v>21</v>
      </c>
      <c r="AB134" t="inlineStr" s="2909">
        <is>
          <t>19890401</t>
        </is>
      </c>
      <c r="AD134" t="n" s="2909">
        <v>0</v>
      </c>
      <c r="AE134" t="inlineStr" s="2909">
        <is>
          <t>00000000</t>
        </is>
      </c>
      <c r="AH134" t="n" s="2909">
        <v>1</v>
      </c>
      <c r="AJ134" t="n" s="2909">
        <v>10</v>
      </c>
      <c r="AP134" t="n" s="2909">
        <v>710000</v>
      </c>
      <c r="DB134" s="2909" t="str">
        <f>IF($A134="","",IF(AND($A134=21,$AE134&amp;""="00000000"),IF($AH134=20,"病院",IF($AH134=5,"消防","市長")),"対象外"))</f>
        <v>市長</v>
      </c>
    </row>
    <row r="135">
      <c r="A135" t="n" s="2909">
        <v>21</v>
      </c>
      <c r="AA135" t="n" s="2909">
        <v>21</v>
      </c>
      <c r="AB135" t="inlineStr" s="2909">
        <is>
          <t>19950401</t>
        </is>
      </c>
      <c r="AD135" t="n" s="2909">
        <v>0</v>
      </c>
      <c r="AE135" t="inlineStr" s="2909">
        <is>
          <t>00000000</t>
        </is>
      </c>
      <c r="AH135" t="n" s="2909">
        <v>3</v>
      </c>
      <c r="AJ135" t="n" s="2909">
        <v>10</v>
      </c>
      <c r="AP135" t="n" s="2909">
        <v>590000</v>
      </c>
      <c r="DB135" s="2909" t="str">
        <f>IF($A135="","",IF(AND($A135=21,$AE135&amp;""="00000000"),IF($AH135=20,"病院",IF($AH135=5,"消防","市長")),"対象外"))</f>
        <v>市長</v>
      </c>
    </row>
    <row r="136">
      <c r="A136" t="n" s="2909">
        <v>21</v>
      </c>
      <c r="AA136" t="n" s="2909">
        <v>21</v>
      </c>
      <c r="AB136" t="inlineStr" s="2909">
        <is>
          <t>19880401</t>
        </is>
      </c>
      <c r="AD136" t="n" s="2909">
        <v>0</v>
      </c>
      <c r="AE136" t="inlineStr" s="2909">
        <is>
          <t>00000000</t>
        </is>
      </c>
      <c r="AH136" t="n" s="2909">
        <v>1</v>
      </c>
      <c r="AJ136" t="n" s="2909">
        <v>10</v>
      </c>
      <c r="AP136" t="n" s="2909">
        <v>530000</v>
      </c>
      <c r="DB136" s="2909" t="str">
        <f>IF($A136="","",IF(AND($A136=21,$AE136&amp;""="00000000"),IF($AH136=20,"病院",IF($AH136=5,"消防","市長")),"対象外"))</f>
        <v>市長</v>
      </c>
    </row>
    <row r="137">
      <c r="A137" t="n" s="2909">
        <v>21</v>
      </c>
      <c r="AA137" t="n" s="2909">
        <v>21</v>
      </c>
      <c r="AB137" t="inlineStr" s="2909">
        <is>
          <t>19910401</t>
        </is>
      </c>
      <c r="AD137" t="n" s="2909">
        <v>0</v>
      </c>
      <c r="AE137" t="inlineStr" s="2909">
        <is>
          <t>00000000</t>
        </is>
      </c>
      <c r="AH137" t="n" s="2909">
        <v>20</v>
      </c>
      <c r="AJ137" t="n" s="2909">
        <v>10</v>
      </c>
      <c r="AP137" t="n" s="2909">
        <v>500000</v>
      </c>
      <c r="DB137" s="2909" t="str">
        <f>IF($A137="","",IF(AND($A137=21,$AE137&amp;""="00000000"),IF($AH137=20,"病院",IF($AH137=5,"消防","市長")),"対象外"))</f>
        <v>病院</v>
      </c>
    </row>
    <row r="138">
      <c r="A138" t="n" s="2909">
        <v>21</v>
      </c>
      <c r="AA138" t="n" s="2909">
        <v>21</v>
      </c>
      <c r="AB138" t="inlineStr" s="2909">
        <is>
          <t>19890401</t>
        </is>
      </c>
      <c r="AD138" t="n" s="2909">
        <v>0</v>
      </c>
      <c r="AE138" t="inlineStr" s="2909">
        <is>
          <t>00000000</t>
        </is>
      </c>
      <c r="AH138" t="n" s="2909">
        <v>1</v>
      </c>
      <c r="AJ138" t="n" s="2909">
        <v>10</v>
      </c>
      <c r="AP138" t="n" s="2909">
        <v>750000</v>
      </c>
      <c r="DB138" s="2909" t="str">
        <f>IF($A138="","",IF(AND($A138=21,$AE138&amp;""="00000000"),IF($AH138=20,"病院",IF($AH138=5,"消防","市長")),"対象外"))</f>
        <v>市長</v>
      </c>
    </row>
    <row r="139">
      <c r="A139" t="n" s="2909">
        <v>21</v>
      </c>
      <c r="AA139" t="n" s="2909">
        <v>21</v>
      </c>
      <c r="AB139" t="inlineStr" s="2909">
        <is>
          <t>19840401</t>
        </is>
      </c>
      <c r="AD139" t="n" s="2909">
        <v>0</v>
      </c>
      <c r="AE139" t="inlineStr" s="2909">
        <is>
          <t>00000000</t>
        </is>
      </c>
      <c r="AH139" t="n" s="2909">
        <v>5</v>
      </c>
      <c r="AJ139" t="n" s="2909">
        <v>30</v>
      </c>
      <c r="AP139" t="n" s="2909">
        <v>530000</v>
      </c>
      <c r="DB139" s="2909" t="str">
        <f>IF($A139="","",IF(AND($A139=21,$AE139&amp;""="00000000"),IF($AH139=20,"病院",IF($AH139=5,"消防","市長")),"対象外"))</f>
        <v>消防</v>
      </c>
    </row>
    <row r="140">
      <c r="A140" t="n" s="2909">
        <v>21</v>
      </c>
      <c r="AA140" t="n" s="2909">
        <v>21</v>
      </c>
      <c r="AB140" t="inlineStr" s="2909">
        <is>
          <t>20011001</t>
        </is>
      </c>
      <c r="AD140" t="n" s="2909">
        <v>0</v>
      </c>
      <c r="AE140" t="inlineStr" s="2909">
        <is>
          <t>00000000</t>
        </is>
      </c>
      <c r="AH140" t="n" s="2909">
        <v>20</v>
      </c>
      <c r="AJ140" t="n" s="2909">
        <v>10</v>
      </c>
      <c r="AP140" t="n" s="2909">
        <v>1390000</v>
      </c>
      <c r="DB140" s="2909" t="str">
        <f>IF($A140="","",IF(AND($A140=21,$AE140&amp;""="00000000"),IF($AH140=20,"病院",IF($AH140=5,"消防","市長")),"対象外"))</f>
        <v>病院</v>
      </c>
    </row>
    <row r="141">
      <c r="A141" t="n" s="2909">
        <v>21</v>
      </c>
      <c r="AA141" t="n" s="2909">
        <v>21</v>
      </c>
      <c r="AB141" t="inlineStr" s="2909">
        <is>
          <t>19910401</t>
        </is>
      </c>
      <c r="AD141" t="n" s="2909">
        <v>0</v>
      </c>
      <c r="AE141" t="inlineStr" s="2909">
        <is>
          <t>00000000</t>
        </is>
      </c>
      <c r="AH141" t="n" s="2909">
        <v>4</v>
      </c>
      <c r="AJ141" t="n" s="2909">
        <v>10</v>
      </c>
      <c r="AP141" t="n" s="2909">
        <v>500000</v>
      </c>
      <c r="DB141" s="2909" t="str">
        <f>IF($A141="","",IF(AND($A141=21,$AE141&amp;""="00000000"),IF($AH141=20,"病院",IF($AH141=5,"消防","市長")),"対象外"))</f>
        <v>市長</v>
      </c>
    </row>
    <row r="142">
      <c r="A142" t="n" s="2909">
        <v>21</v>
      </c>
      <c r="AA142" t="n" s="2909">
        <v>21</v>
      </c>
      <c r="AB142" t="inlineStr" s="2909">
        <is>
          <t>19920401</t>
        </is>
      </c>
      <c r="AD142" t="n" s="2909">
        <v>0</v>
      </c>
      <c r="AE142" t="inlineStr" s="2909">
        <is>
          <t>00000000</t>
        </is>
      </c>
      <c r="AH142" t="n" s="2909">
        <v>3</v>
      </c>
      <c r="AJ142" t="n" s="2909">
        <v>10</v>
      </c>
      <c r="AP142" t="n" s="2909">
        <v>590000</v>
      </c>
      <c r="DB142" s="2909" t="str">
        <f>IF($A142="","",IF(AND($A142=21,$AE142&amp;""="00000000"),IF($AH142=20,"病院",IF($AH142=5,"消防","市長")),"対象外"))</f>
        <v>市長</v>
      </c>
    </row>
    <row r="143">
      <c r="A143" t="n" s="2909">
        <v>21</v>
      </c>
      <c r="AA143" t="n" s="2909">
        <v>21</v>
      </c>
      <c r="AB143" t="inlineStr" s="2909">
        <is>
          <t>20180401</t>
        </is>
      </c>
      <c r="AD143" t="n" s="2909">
        <v>0</v>
      </c>
      <c r="AE143" t="inlineStr" s="2909">
        <is>
          <t>00000000</t>
        </is>
      </c>
      <c r="AH143" t="n" s="2909">
        <v>1</v>
      </c>
      <c r="AJ143" t="n" s="2909">
        <v>10</v>
      </c>
      <c r="AP143" t="n" s="2909">
        <v>470000</v>
      </c>
      <c r="DB143" s="2909" t="str">
        <f>IF($A143="","",IF(AND($A143=21,$AE143&amp;""="00000000"),IF($AH143=20,"病院",IF($AH143=5,"消防","市長")),"対象外"))</f>
        <v>市長</v>
      </c>
    </row>
    <row r="144">
      <c r="A144" t="n" s="2909">
        <v>21</v>
      </c>
      <c r="AA144" t="n" s="2909">
        <v>21</v>
      </c>
      <c r="AB144" t="inlineStr" s="2909">
        <is>
          <t>19840401</t>
        </is>
      </c>
      <c r="AD144" t="n" s="2909">
        <v>0</v>
      </c>
      <c r="AE144" t="inlineStr" s="2909">
        <is>
          <t>00000000</t>
        </is>
      </c>
      <c r="AH144" t="n" s="2909">
        <v>4</v>
      </c>
      <c r="AJ144" t="n" s="2909">
        <v>10</v>
      </c>
      <c r="AP144" t="n" s="2909">
        <v>560000</v>
      </c>
      <c r="DB144" s="2909" t="str">
        <f>IF($A144="","",IF(AND($A144=21,$AE144&amp;""="00000000"),IF($AH144=20,"病院",IF($AH144=5,"消防","市長")),"対象外"))</f>
        <v>市長</v>
      </c>
    </row>
    <row r="145">
      <c r="A145" t="n" s="2909">
        <v>21</v>
      </c>
      <c r="AA145" t="n" s="2909">
        <v>21</v>
      </c>
      <c r="AB145" t="inlineStr" s="2909">
        <is>
          <t>19880401</t>
        </is>
      </c>
      <c r="AD145" t="n" s="2909">
        <v>0</v>
      </c>
      <c r="AE145" t="inlineStr" s="2909">
        <is>
          <t>00000000</t>
        </is>
      </c>
      <c r="AH145" t="n" s="2909">
        <v>1</v>
      </c>
      <c r="AJ145" t="n" s="2909">
        <v>10</v>
      </c>
      <c r="AP145" t="n" s="2909">
        <v>620000</v>
      </c>
      <c r="DB145" s="2909" t="str">
        <f>IF($A145="","",IF(AND($A145=21,$AE145&amp;""="00000000"),IF($AH145=20,"病院",IF($AH145=5,"消防","市長")),"対象外"))</f>
        <v>市長</v>
      </c>
    </row>
    <row r="146">
      <c r="A146" t="n" s="2909">
        <v>21</v>
      </c>
      <c r="AA146" t="n" s="2909">
        <v>21</v>
      </c>
      <c r="AB146" t="inlineStr" s="2909">
        <is>
          <t>19890401</t>
        </is>
      </c>
      <c r="AD146" t="n" s="2909">
        <v>0</v>
      </c>
      <c r="AE146" t="inlineStr" s="2909">
        <is>
          <t>00000000</t>
        </is>
      </c>
      <c r="AH146" t="n" s="2909">
        <v>1</v>
      </c>
      <c r="AJ146" t="n" s="2909">
        <v>10</v>
      </c>
      <c r="AP146" t="n" s="2909">
        <v>680000</v>
      </c>
      <c r="DB146" s="2909" t="str">
        <f>IF($A146="","",IF(AND($A146=21,$AE146&amp;""="00000000"),IF($AH146=20,"病院",IF($AH146=5,"消防","市長")),"対象外"))</f>
        <v>市長</v>
      </c>
    </row>
    <row r="147">
      <c r="A147" t="n" s="2909">
        <v>21</v>
      </c>
      <c r="AA147" t="n" s="2909">
        <v>21</v>
      </c>
      <c r="AB147" t="inlineStr" s="2909">
        <is>
          <t>19840401</t>
        </is>
      </c>
      <c r="AD147" t="n" s="2909">
        <v>0</v>
      </c>
      <c r="AE147" t="inlineStr" s="2909">
        <is>
          <t>00000000</t>
        </is>
      </c>
      <c r="AH147" t="n" s="2909">
        <v>5</v>
      </c>
      <c r="AJ147" t="n" s="2909">
        <v>10</v>
      </c>
      <c r="AP147" t="n" s="2909">
        <v>560000</v>
      </c>
      <c r="DB147" s="2909" t="str">
        <f>IF($A147="","",IF(AND($A147=21,$AE147&amp;""="00000000"),IF($AH147=20,"病院",IF($AH147=5,"消防","市長")),"対象外"))</f>
        <v>消防</v>
      </c>
    </row>
    <row r="148">
      <c r="A148" t="n" s="2909">
        <v>21</v>
      </c>
      <c r="AA148" t="n" s="2909">
        <v>21</v>
      </c>
      <c r="AB148" t="inlineStr" s="2909">
        <is>
          <t>19860401</t>
        </is>
      </c>
      <c r="AD148" t="n" s="2909">
        <v>0</v>
      </c>
      <c r="AE148" t="inlineStr" s="2909">
        <is>
          <t>00000000</t>
        </is>
      </c>
      <c r="AH148" t="n" s="2909">
        <v>4</v>
      </c>
      <c r="AJ148" t="n" s="2909">
        <v>10</v>
      </c>
      <c r="AP148" t="n" s="2909">
        <v>590000</v>
      </c>
      <c r="DB148" s="2909" t="str">
        <f>IF($A148="","",IF(AND($A148=21,$AE148&amp;""="00000000"),IF($AH148=20,"病院",IF($AH148=5,"消防","市長")),"対象外"))</f>
        <v>市長</v>
      </c>
    </row>
    <row r="149">
      <c r="A149" t="n" s="2909">
        <v>21</v>
      </c>
      <c r="AA149" t="n" s="2909">
        <v>21</v>
      </c>
      <c r="AB149" t="inlineStr" s="2909">
        <is>
          <t>19880401</t>
        </is>
      </c>
      <c r="AD149" t="n" s="2909">
        <v>0</v>
      </c>
      <c r="AE149" t="inlineStr" s="2909">
        <is>
          <t>00000000</t>
        </is>
      </c>
      <c r="AH149" t="n" s="2909">
        <v>20</v>
      </c>
      <c r="AJ149" t="n" s="2909">
        <v>10</v>
      </c>
      <c r="AP149" t="n" s="2909">
        <v>650000</v>
      </c>
      <c r="DB149" s="2909" t="str">
        <f>IF($A149="","",IF(AND($A149=21,$AE149&amp;""="00000000"),IF($AH149=20,"病院",IF($AH149=5,"消防","市長")),"対象外"))</f>
        <v>病院</v>
      </c>
    </row>
    <row r="150">
      <c r="A150" t="n" s="2909">
        <v>21</v>
      </c>
      <c r="AA150" t="n" s="2909">
        <v>21</v>
      </c>
      <c r="AB150" t="inlineStr" s="2909">
        <is>
          <t>19910401</t>
        </is>
      </c>
      <c r="AD150" t="n" s="2909">
        <v>0</v>
      </c>
      <c r="AE150" t="inlineStr" s="2909">
        <is>
          <t>00000000</t>
        </is>
      </c>
      <c r="AH150" t="n" s="2909">
        <v>1</v>
      </c>
      <c r="AJ150" t="n" s="2909">
        <v>10</v>
      </c>
      <c r="AP150" t="n" s="2909">
        <v>530000</v>
      </c>
      <c r="DB150" s="2909" t="str">
        <f>IF($A150="","",IF(AND($A150=21,$AE150&amp;""="00000000"),IF($AH150=20,"病院",IF($AH150=5,"消防","市長")),"対象外"))</f>
        <v>市長</v>
      </c>
    </row>
    <row r="151">
      <c r="A151" t="n" s="2909">
        <v>21</v>
      </c>
      <c r="AA151" t="n" s="2909">
        <v>21</v>
      </c>
      <c r="AB151" t="inlineStr" s="2909">
        <is>
          <t>19920401</t>
        </is>
      </c>
      <c r="AD151" t="n" s="2909">
        <v>0</v>
      </c>
      <c r="AE151" t="inlineStr" s="2909">
        <is>
          <t>00000000</t>
        </is>
      </c>
      <c r="AH151" t="n" s="2909">
        <v>1</v>
      </c>
      <c r="AJ151" t="n" s="2909">
        <v>10</v>
      </c>
      <c r="AP151" t="n" s="2909">
        <v>560000</v>
      </c>
      <c r="DB151" s="2909" t="str">
        <f>IF($A151="","",IF(AND($A151=21,$AE151&amp;""="00000000"),IF($AH151=20,"病院",IF($AH151=5,"消防","市長")),"対象外"))</f>
        <v>市長</v>
      </c>
    </row>
    <row r="152">
      <c r="A152" t="n" s="2909">
        <v>21</v>
      </c>
      <c r="AA152" t="n" s="2909">
        <v>21</v>
      </c>
      <c r="AB152" t="inlineStr" s="2909">
        <is>
          <t>20000401</t>
        </is>
      </c>
      <c r="AD152" t="n" s="2909">
        <v>0</v>
      </c>
      <c r="AE152" t="inlineStr" s="2909">
        <is>
          <t>00000000</t>
        </is>
      </c>
      <c r="AH152" t="n" s="2909">
        <v>20</v>
      </c>
      <c r="AJ152" t="n" s="2909">
        <v>10</v>
      </c>
      <c r="AP152" t="n" s="2909">
        <v>1030000</v>
      </c>
      <c r="DB152" s="2909" t="str">
        <f>IF($A152="","",IF(AND($A152=21,$AE152&amp;""="00000000"),IF($AH152=20,"病院",IF($AH152=5,"消防","市長")),"対象外"))</f>
        <v>病院</v>
      </c>
    </row>
    <row r="153">
      <c r="A153" t="n" s="2909">
        <v>21</v>
      </c>
      <c r="AA153" t="n" s="2909">
        <v>21</v>
      </c>
      <c r="AB153" t="inlineStr" s="2909">
        <is>
          <t>19880401</t>
        </is>
      </c>
      <c r="AD153" t="n" s="2909">
        <v>0</v>
      </c>
      <c r="AE153" t="inlineStr" s="2909">
        <is>
          <t>00000000</t>
        </is>
      </c>
      <c r="AH153" t="n" s="2909">
        <v>1</v>
      </c>
      <c r="AJ153" t="n" s="2909">
        <v>10</v>
      </c>
      <c r="AP153" t="n" s="2909">
        <v>500000</v>
      </c>
      <c r="DB153" s="2909" t="str">
        <f>IF($A153="","",IF(AND($A153=21,$AE153&amp;""="00000000"),IF($AH153=20,"病院",IF($AH153=5,"消防","市長")),"対象外"))</f>
        <v>市長</v>
      </c>
    </row>
    <row r="154">
      <c r="A154" t="n" s="2909">
        <v>21</v>
      </c>
      <c r="AA154" t="n" s="2909">
        <v>21</v>
      </c>
      <c r="AB154" t="inlineStr" s="2909">
        <is>
          <t>19840401</t>
        </is>
      </c>
      <c r="AD154" t="n" s="2909">
        <v>0</v>
      </c>
      <c r="AE154" t="inlineStr" s="2909">
        <is>
          <t>00000000</t>
        </is>
      </c>
      <c r="AH154" t="n" s="2909">
        <v>1</v>
      </c>
      <c r="AJ154" t="n" s="2909">
        <v>10</v>
      </c>
      <c r="AP154" t="n" s="2909">
        <v>620000</v>
      </c>
      <c r="DB154" s="2909" t="str">
        <f>IF($A154="","",IF(AND($A154=21,$AE154&amp;""="00000000"),IF($AH154=20,"病院",IF($AH154=5,"消防","市長")),"対象外"))</f>
        <v>市長</v>
      </c>
    </row>
    <row r="155">
      <c r="A155" t="n" s="2909">
        <v>21</v>
      </c>
      <c r="AA155" t="n" s="2909">
        <v>21</v>
      </c>
      <c r="AB155" t="inlineStr" s="2909">
        <is>
          <t>19970401</t>
        </is>
      </c>
      <c r="AD155" t="n" s="2909">
        <v>0</v>
      </c>
      <c r="AE155" t="inlineStr" s="2909">
        <is>
          <t>00000000</t>
        </is>
      </c>
      <c r="AH155" t="n" s="2909">
        <v>1</v>
      </c>
      <c r="AJ155" t="n" s="2909">
        <v>10</v>
      </c>
      <c r="AP155" t="n" s="2909">
        <v>500000</v>
      </c>
      <c r="DB155" s="2909" t="str">
        <f>IF($A155="","",IF(AND($A155=21,$AE155&amp;""="00000000"),IF($AH155=20,"病院",IF($AH155=5,"消防","市長")),"対象外"))</f>
        <v>市長</v>
      </c>
    </row>
    <row r="156">
      <c r="A156" t="n" s="2909">
        <v>21</v>
      </c>
      <c r="AA156" t="n" s="2909">
        <v>21</v>
      </c>
      <c r="AB156" t="inlineStr" s="2909">
        <is>
          <t>19880401</t>
        </is>
      </c>
      <c r="AD156" t="n" s="2909">
        <v>0</v>
      </c>
      <c r="AE156" t="inlineStr" s="2909">
        <is>
          <t>00000000</t>
        </is>
      </c>
      <c r="AH156" t="n" s="2909">
        <v>1</v>
      </c>
      <c r="AJ156" t="n" s="2909">
        <v>10</v>
      </c>
      <c r="AP156" t="n" s="2909">
        <v>620000</v>
      </c>
      <c r="DB156" s="2909" t="str">
        <f>IF($A156="","",IF(AND($A156=21,$AE156&amp;""="00000000"),IF($AH156=20,"病院",IF($AH156=5,"消防","市長")),"対象外"))</f>
        <v>市長</v>
      </c>
    </row>
    <row r="157">
      <c r="A157" t="n" s="2909">
        <v>21</v>
      </c>
      <c r="AA157" t="n" s="2909">
        <v>21</v>
      </c>
      <c r="AB157" t="inlineStr" s="2909">
        <is>
          <t>19880401</t>
        </is>
      </c>
      <c r="AD157" t="n" s="2909">
        <v>0</v>
      </c>
      <c r="AE157" t="inlineStr" s="2909">
        <is>
          <t>00000000</t>
        </is>
      </c>
      <c r="AH157" t="n" s="2909">
        <v>1</v>
      </c>
      <c r="AJ157" t="n" s="2909">
        <v>10</v>
      </c>
      <c r="AP157" t="n" s="2909">
        <v>620000</v>
      </c>
      <c r="DB157" s="2909" t="str">
        <f>IF($A157="","",IF(AND($A157=21,$AE157&amp;""="00000000"),IF($AH157=20,"病院",IF($AH157=5,"消防","市長")),"対象外"))</f>
        <v>市長</v>
      </c>
    </row>
    <row r="158">
      <c r="A158" t="n" s="2909">
        <v>21</v>
      </c>
      <c r="AA158" t="n" s="2909">
        <v>21</v>
      </c>
      <c r="AB158" t="inlineStr" s="2909">
        <is>
          <t>20070401</t>
        </is>
      </c>
      <c r="AD158" t="n" s="2909">
        <v>0</v>
      </c>
      <c r="AE158" t="inlineStr" s="2909">
        <is>
          <t>00000000</t>
        </is>
      </c>
      <c r="AH158" t="n" s="2909">
        <v>5</v>
      </c>
      <c r="AJ158" t="n" s="2909">
        <v>30</v>
      </c>
      <c r="AP158" t="n" s="2909">
        <v>560000</v>
      </c>
      <c r="DB158" s="2909" t="str">
        <f>IF($A158="","",IF(AND($A158=21,$AE158&amp;""="00000000"),IF($AH158=20,"病院",IF($AH158=5,"消防","市長")),"対象外"))</f>
        <v>消防</v>
      </c>
    </row>
    <row r="159">
      <c r="A159" t="n" s="2909">
        <v>21</v>
      </c>
      <c r="AA159" t="n" s="2909">
        <v>21</v>
      </c>
      <c r="AB159" t="inlineStr" s="2909">
        <is>
          <t>19860401</t>
        </is>
      </c>
      <c r="AD159" t="n" s="2909">
        <v>0</v>
      </c>
      <c r="AE159" t="inlineStr" s="2909">
        <is>
          <t>00000000</t>
        </is>
      </c>
      <c r="AH159" t="n" s="2909">
        <v>4</v>
      </c>
      <c r="AJ159" t="n" s="2909">
        <v>10</v>
      </c>
      <c r="AP159" t="n" s="2909">
        <v>560000</v>
      </c>
      <c r="DB159" s="2909" t="str">
        <f>IF($A159="","",IF(AND($A159=21,$AE159&amp;""="00000000"),IF($AH159=20,"病院",IF($AH159=5,"消防","市長")),"対象外"))</f>
        <v>市長</v>
      </c>
    </row>
    <row r="160">
      <c r="A160" t="n" s="2909">
        <v>21</v>
      </c>
      <c r="AA160" t="n" s="2909">
        <v>21</v>
      </c>
      <c r="AB160" t="inlineStr" s="2909">
        <is>
          <t>19840401</t>
        </is>
      </c>
      <c r="AD160" t="n" s="2909">
        <v>0</v>
      </c>
      <c r="AE160" t="inlineStr" s="2909">
        <is>
          <t>00000000</t>
        </is>
      </c>
      <c r="AH160" t="n" s="2909">
        <v>4</v>
      </c>
      <c r="AJ160" t="n" s="2909">
        <v>10</v>
      </c>
      <c r="AP160" t="n" s="2909">
        <v>500000</v>
      </c>
      <c r="DB160" s="2909" t="str">
        <f>IF($A160="","",IF(AND($A160=21,$AE160&amp;""="00000000"),IF($AH160=20,"病院",IF($AH160=5,"消防","市長")),"対象外"))</f>
        <v>市長</v>
      </c>
    </row>
    <row r="161">
      <c r="A161" t="n" s="2909">
        <v>21</v>
      </c>
      <c r="AA161" t="n" s="2909">
        <v>21</v>
      </c>
      <c r="AB161" t="inlineStr" s="2909">
        <is>
          <t>20070401</t>
        </is>
      </c>
      <c r="AD161" t="n" s="2909">
        <v>0</v>
      </c>
      <c r="AE161" t="inlineStr" s="2909">
        <is>
          <t>00000000</t>
        </is>
      </c>
      <c r="AH161" t="n" s="2909">
        <v>5</v>
      </c>
      <c r="AJ161" t="n" s="2909">
        <v>30</v>
      </c>
      <c r="AP161" t="n" s="2909">
        <v>560000</v>
      </c>
      <c r="DB161" s="2909" t="str">
        <f>IF($A161="","",IF(AND($A161=21,$AE161&amp;""="00000000"),IF($AH161=20,"病院",IF($AH161=5,"消防","市長")),"対象外"))</f>
        <v>消防</v>
      </c>
    </row>
    <row r="162">
      <c r="A162" t="n" s="2909">
        <v>21</v>
      </c>
      <c r="AA162" t="n" s="2909">
        <v>21</v>
      </c>
      <c r="AB162" t="inlineStr" s="2909">
        <is>
          <t>20070401</t>
        </is>
      </c>
      <c r="AD162" t="n" s="2909">
        <v>0</v>
      </c>
      <c r="AE162" t="inlineStr" s="2909">
        <is>
          <t>00000000</t>
        </is>
      </c>
      <c r="AH162" t="n" s="2909">
        <v>5</v>
      </c>
      <c r="AJ162" t="n" s="2909">
        <v>30</v>
      </c>
      <c r="AP162" t="n" s="2909">
        <v>500000</v>
      </c>
      <c r="DB162" s="2909" t="str">
        <f>IF($A162="","",IF(AND($A162=21,$AE162&amp;""="00000000"),IF($AH162=20,"病院",IF($AH162=5,"消防","市長")),"対象外"))</f>
        <v>消防</v>
      </c>
    </row>
    <row r="163">
      <c r="A163" t="n" s="2909">
        <v>21</v>
      </c>
      <c r="AA163" t="n" s="2909">
        <v>21</v>
      </c>
      <c r="AB163" t="inlineStr" s="2909">
        <is>
          <t>19840401</t>
        </is>
      </c>
      <c r="AD163" t="n" s="2909">
        <v>0</v>
      </c>
      <c r="AE163" t="inlineStr" s="2909">
        <is>
          <t>00000000</t>
        </is>
      </c>
      <c r="AH163" t="n" s="2909">
        <v>4</v>
      </c>
      <c r="AJ163" t="n" s="2909">
        <v>10</v>
      </c>
      <c r="AP163" t="n" s="2909">
        <v>470000</v>
      </c>
      <c r="DB163" s="2909" t="str">
        <f>IF($A163="","",IF(AND($A163=21,$AE163&amp;""="00000000"),IF($AH163=20,"病院",IF($AH163=5,"消防","市長")),"対象外"))</f>
        <v>市長</v>
      </c>
    </row>
    <row r="164">
      <c r="A164" t="n" s="2909">
        <v>21</v>
      </c>
      <c r="AA164" t="n" s="2909">
        <v>21</v>
      </c>
      <c r="AB164" t="inlineStr" s="2909">
        <is>
          <t>19930401</t>
        </is>
      </c>
      <c r="AD164" t="n" s="2909">
        <v>0</v>
      </c>
      <c r="AE164" t="inlineStr" s="2909">
        <is>
          <t>00000000</t>
        </is>
      </c>
      <c r="AH164" t="n" s="2909">
        <v>1</v>
      </c>
      <c r="AJ164" t="n" s="2909">
        <v>10</v>
      </c>
      <c r="AP164" t="n" s="2909">
        <v>590000</v>
      </c>
      <c r="DB164" s="2909" t="str">
        <f>IF($A164="","",IF(AND($A164=21,$AE164&amp;""="00000000"),IF($AH164=20,"病院",IF($AH164=5,"消防","市長")),"対象外"))</f>
        <v>市長</v>
      </c>
    </row>
    <row r="165">
      <c r="A165" t="n" s="2909">
        <v>21</v>
      </c>
      <c r="AA165" t="n" s="2909">
        <v>21</v>
      </c>
      <c r="AB165" t="inlineStr" s="2909">
        <is>
          <t>19860401</t>
        </is>
      </c>
      <c r="AD165" t="n" s="2909">
        <v>0</v>
      </c>
      <c r="AE165" t="inlineStr" s="2909">
        <is>
          <t>00000000</t>
        </is>
      </c>
      <c r="AH165" t="n" s="2909">
        <v>5</v>
      </c>
      <c r="AJ165" t="n" s="2909">
        <v>10</v>
      </c>
      <c r="AP165" t="n" s="2909">
        <v>560000</v>
      </c>
      <c r="DB165" s="2909" t="str">
        <f>IF($A165="","",IF(AND($A165=21,$AE165&amp;""="00000000"),IF($AH165=20,"病院",IF($AH165=5,"消防","市長")),"対象外"))</f>
        <v>消防</v>
      </c>
    </row>
    <row r="166">
      <c r="A166" t="n" s="2909">
        <v>21</v>
      </c>
      <c r="AA166" t="n" s="2909">
        <v>21</v>
      </c>
      <c r="AB166" t="inlineStr" s="2909">
        <is>
          <t>19980401</t>
        </is>
      </c>
      <c r="AD166" t="n" s="2909">
        <v>0</v>
      </c>
      <c r="AE166" t="inlineStr" s="2909">
        <is>
          <t>00000000</t>
        </is>
      </c>
      <c r="AH166" t="n" s="2909">
        <v>11</v>
      </c>
      <c r="AJ166" t="n" s="2909">
        <v>10</v>
      </c>
      <c r="AP166" t="n" s="2909">
        <v>440000</v>
      </c>
      <c r="DB166" s="2909" t="str">
        <f>IF($A166="","",IF(AND($A166=21,$AE166&amp;""="00000000"),IF($AH166=20,"病院",IF($AH166=5,"消防","市長")),"対象外"))</f>
        <v>市長</v>
      </c>
    </row>
    <row r="167">
      <c r="A167" t="n" s="2909">
        <v>21</v>
      </c>
      <c r="AA167" t="n" s="2909">
        <v>21</v>
      </c>
      <c r="AB167" t="inlineStr" s="2909">
        <is>
          <t>19890401</t>
        </is>
      </c>
      <c r="AD167" t="n" s="2909">
        <v>0</v>
      </c>
      <c r="AE167" t="inlineStr" s="2909">
        <is>
          <t>00000000</t>
        </is>
      </c>
      <c r="AH167" t="n" s="2909">
        <v>4</v>
      </c>
      <c r="AJ167" t="n" s="2909">
        <v>10</v>
      </c>
      <c r="AP167" t="n" s="2909">
        <v>620000</v>
      </c>
      <c r="DB167" s="2909" t="str">
        <f>IF($A167="","",IF(AND($A167=21,$AE167&amp;""="00000000"),IF($AH167=20,"病院",IF($AH167=5,"消防","市長")),"対象外"))</f>
        <v>市長</v>
      </c>
    </row>
    <row r="168">
      <c r="A168" t="n" s="2909">
        <v>21</v>
      </c>
      <c r="AA168" t="n" s="2909">
        <v>21</v>
      </c>
      <c r="AB168" t="inlineStr" s="2909">
        <is>
          <t>19870401</t>
        </is>
      </c>
      <c r="AD168" t="n" s="2909">
        <v>0</v>
      </c>
      <c r="AE168" t="inlineStr" s="2909">
        <is>
          <t>00000000</t>
        </is>
      </c>
      <c r="AH168" t="n" s="2909">
        <v>4</v>
      </c>
      <c r="AJ168" t="n" s="2909">
        <v>10</v>
      </c>
      <c r="AP168" t="n" s="2909">
        <v>500000</v>
      </c>
      <c r="DB168" s="2909" t="str">
        <f>IF($A168="","",IF(AND($A168=21,$AE168&amp;""="00000000"),IF($AH168=20,"病院",IF($AH168=5,"消防","市長")),"対象外"))</f>
        <v>市長</v>
      </c>
    </row>
    <row r="169">
      <c r="A169" t="n" s="2909">
        <v>21</v>
      </c>
      <c r="AA169" t="n" s="2909">
        <v>21</v>
      </c>
      <c r="AB169" t="inlineStr" s="2909">
        <is>
          <t>19940401</t>
        </is>
      </c>
      <c r="AD169" t="n" s="2909">
        <v>0</v>
      </c>
      <c r="AE169" t="inlineStr" s="2909">
        <is>
          <t>00000000</t>
        </is>
      </c>
      <c r="AH169" t="n" s="2909">
        <v>1</v>
      </c>
      <c r="AJ169" t="n" s="2909">
        <v>10</v>
      </c>
      <c r="AP169" t="n" s="2909">
        <v>530000</v>
      </c>
      <c r="DB169" s="2909" t="str">
        <f>IF($A169="","",IF(AND($A169=21,$AE169&amp;""="00000000"),IF($AH169=20,"病院",IF($AH169=5,"消防","市長")),"対象外"))</f>
        <v>市長</v>
      </c>
    </row>
    <row r="170">
      <c r="A170" t="n" s="2909">
        <v>21</v>
      </c>
      <c r="AA170" t="n" s="2909">
        <v>21</v>
      </c>
      <c r="AB170" t="inlineStr" s="2909">
        <is>
          <t>19890401</t>
        </is>
      </c>
      <c r="AD170" t="n" s="2909">
        <v>0</v>
      </c>
      <c r="AE170" t="inlineStr" s="2909">
        <is>
          <t>00000000</t>
        </is>
      </c>
      <c r="AH170" t="n" s="2909">
        <v>1</v>
      </c>
      <c r="AJ170" t="n" s="2909">
        <v>10</v>
      </c>
      <c r="AP170" t="n" s="2909">
        <v>710000</v>
      </c>
      <c r="DB170" s="2909" t="str">
        <f>IF($A170="","",IF(AND($A170=21,$AE170&amp;""="00000000"),IF($AH170=20,"病院",IF($AH170=5,"消防","市長")),"対象外"))</f>
        <v>市長</v>
      </c>
    </row>
    <row r="171">
      <c r="A171" t="n" s="2909">
        <v>21</v>
      </c>
      <c r="AA171" t="n" s="2909">
        <v>21</v>
      </c>
      <c r="AB171" t="inlineStr" s="2909">
        <is>
          <t>19890401</t>
        </is>
      </c>
      <c r="AD171" t="n" s="2909">
        <v>0</v>
      </c>
      <c r="AE171" t="inlineStr" s="2909">
        <is>
          <t>00000000</t>
        </is>
      </c>
      <c r="AH171" t="n" s="2909">
        <v>1</v>
      </c>
      <c r="AJ171" t="n" s="2909">
        <v>10</v>
      </c>
      <c r="AP171" t="n" s="2909">
        <v>470000</v>
      </c>
      <c r="DB171" s="2909" t="str">
        <f>IF($A171="","",IF(AND($A171=21,$AE171&amp;""="00000000"),IF($AH171=20,"病院",IF($AH171=5,"消防","市長")),"対象外"))</f>
        <v>市長</v>
      </c>
    </row>
    <row r="172">
      <c r="A172" t="n" s="2909">
        <v>21</v>
      </c>
      <c r="AA172" t="n" s="2909">
        <v>21</v>
      </c>
      <c r="AB172" t="inlineStr" s="2909">
        <is>
          <t>19880401</t>
        </is>
      </c>
      <c r="AD172" t="n" s="2909">
        <v>0</v>
      </c>
      <c r="AE172" t="inlineStr" s="2909">
        <is>
          <t>00000000</t>
        </is>
      </c>
      <c r="AH172" t="n" s="2909">
        <v>1</v>
      </c>
      <c r="AJ172" t="n" s="2909">
        <v>10</v>
      </c>
      <c r="AP172" t="n" s="2909">
        <v>560000</v>
      </c>
      <c r="DB172" s="2909" t="str">
        <f>IF($A172="","",IF(AND($A172=21,$AE172&amp;""="00000000"),IF($AH172=20,"病院",IF($AH172=5,"消防","市長")),"対象外"))</f>
        <v>市長</v>
      </c>
    </row>
    <row r="173">
      <c r="A173" t="n" s="2909">
        <v>31</v>
      </c>
      <c r="AA173" t="n" s="2909">
        <v>21</v>
      </c>
      <c r="AB173" t="inlineStr" s="2909">
        <is>
          <t>20240401</t>
        </is>
      </c>
      <c r="AD173" t="n" s="2909">
        <v>0</v>
      </c>
      <c r="AE173" t="inlineStr" s="2909">
        <is>
          <t>00000000</t>
        </is>
      </c>
      <c r="AH173" t="n" s="2909">
        <v>11</v>
      </c>
      <c r="AJ173" t="n" s="2909">
        <v>41</v>
      </c>
      <c r="AP173" t="n" s="2909">
        <v>180000</v>
      </c>
      <c r="DB173" s="2909" t="str">
        <f>IF($A173="","",IF(AND($A173=21,$AE173&amp;""="00000000"),IF($AH173=20,"病院",IF($AH173=5,"消防","市長")),"対象外"))</f>
        <v>対象外</v>
      </c>
    </row>
    <row r="174">
      <c r="A174" t="n" s="2909">
        <v>21</v>
      </c>
      <c r="AA174" t="n" s="2909">
        <v>21</v>
      </c>
      <c r="AB174" t="inlineStr" s="2909">
        <is>
          <t>19880401</t>
        </is>
      </c>
      <c r="AD174" t="n" s="2909">
        <v>0</v>
      </c>
      <c r="AE174" t="inlineStr" s="2909">
        <is>
          <t>00000000</t>
        </is>
      </c>
      <c r="AH174" t="n" s="2909">
        <v>1</v>
      </c>
      <c r="AJ174" t="n" s="2909">
        <v>10</v>
      </c>
      <c r="AP174" t="n" s="2909">
        <v>620000</v>
      </c>
      <c r="DB174" s="2909" t="str">
        <f>IF($A174="","",IF(AND($A174=21,$AE174&amp;""="00000000"),IF($AH174=20,"病院",IF($AH174=5,"消防","市長")),"対象外"))</f>
        <v>市長</v>
      </c>
    </row>
    <row r="175">
      <c r="A175" t="n" s="2909">
        <v>21</v>
      </c>
      <c r="AA175" t="n" s="2909">
        <v>21</v>
      </c>
      <c r="AB175" t="inlineStr" s="2909">
        <is>
          <t>19840401</t>
        </is>
      </c>
      <c r="AD175" t="n" s="2909">
        <v>0</v>
      </c>
      <c r="AE175" t="inlineStr" s="2909">
        <is>
          <t>00000000</t>
        </is>
      </c>
      <c r="AH175" t="n" s="2909">
        <v>1</v>
      </c>
      <c r="AJ175" t="n" s="2909">
        <v>10</v>
      </c>
      <c r="AP175" t="n" s="2909">
        <v>530000</v>
      </c>
      <c r="DB175" s="2909" t="str">
        <f>IF($A175="","",IF(AND($A175=21,$AE175&amp;""="00000000"),IF($AH175=20,"病院",IF($AH175=5,"消防","市長")),"対象外"))</f>
        <v>市長</v>
      </c>
    </row>
    <row r="176">
      <c r="A176" t="n" s="2909">
        <v>21</v>
      </c>
      <c r="AA176" t="n" s="2909">
        <v>21</v>
      </c>
      <c r="AB176" t="inlineStr" s="2909">
        <is>
          <t>19880401</t>
        </is>
      </c>
      <c r="AD176" t="n" s="2909">
        <v>0</v>
      </c>
      <c r="AE176" t="inlineStr" s="2909">
        <is>
          <t>00000000</t>
        </is>
      </c>
      <c r="AH176" t="n" s="2909">
        <v>1</v>
      </c>
      <c r="AJ176" t="n" s="2909">
        <v>10</v>
      </c>
      <c r="AP176" t="n" s="2909">
        <v>620000</v>
      </c>
      <c r="DB176" s="2909" t="str">
        <f>IF($A176="","",IF(AND($A176=21,$AE176&amp;""="00000000"),IF($AH176=20,"病院",IF($AH176=5,"消防","市長")),"対象外"))</f>
        <v>市長</v>
      </c>
    </row>
    <row r="177">
      <c r="A177" t="n" s="2909">
        <v>21</v>
      </c>
      <c r="AA177" t="n" s="2909">
        <v>21</v>
      </c>
      <c r="AB177" t="inlineStr" s="2909">
        <is>
          <t>19890401</t>
        </is>
      </c>
      <c r="AD177" t="n" s="2909">
        <v>0</v>
      </c>
      <c r="AE177" t="inlineStr" s="2909">
        <is>
          <t>00000000</t>
        </is>
      </c>
      <c r="AH177" t="n" s="2909">
        <v>39</v>
      </c>
      <c r="AJ177" t="n" s="2909">
        <v>74</v>
      </c>
      <c r="AP177" t="n" s="2909">
        <v>530000</v>
      </c>
      <c r="DB177" s="2909" t="str">
        <f>IF($A177="","",IF(AND($A177=21,$AE177&amp;""="00000000"),IF($AH177=20,"病院",IF($AH177=5,"消防","市長")),"対象外"))</f>
        <v>市長</v>
      </c>
    </row>
    <row r="178">
      <c r="A178" t="n" s="2909">
        <v>21</v>
      </c>
      <c r="AA178" t="n" s="2909">
        <v>21</v>
      </c>
      <c r="AB178" t="inlineStr" s="2909">
        <is>
          <t>19890401</t>
        </is>
      </c>
      <c r="AD178" t="n" s="2909">
        <v>0</v>
      </c>
      <c r="AE178" t="inlineStr" s="2909">
        <is>
          <t>00000000</t>
        </is>
      </c>
      <c r="AH178" t="n" s="2909">
        <v>1</v>
      </c>
      <c r="AJ178" t="n" s="2909">
        <v>10</v>
      </c>
      <c r="AP178" t="n" s="2909">
        <v>500000</v>
      </c>
      <c r="DB178" s="2909" t="str">
        <f>IF($A178="","",IF(AND($A178=21,$AE178&amp;""="00000000"),IF($AH178=20,"病院",IF($AH178=5,"消防","市長")),"対象外"))</f>
        <v>市長</v>
      </c>
    </row>
    <row r="179">
      <c r="A179" t="n" s="2909">
        <v>21</v>
      </c>
      <c r="AA179" t="n" s="2909">
        <v>21</v>
      </c>
      <c r="AB179" t="inlineStr" s="2909">
        <is>
          <t>20070401</t>
        </is>
      </c>
      <c r="AD179" t="n" s="2909">
        <v>0</v>
      </c>
      <c r="AE179" t="inlineStr" s="2909">
        <is>
          <t>00000000</t>
        </is>
      </c>
      <c r="AH179" t="n" s="2909">
        <v>5</v>
      </c>
      <c r="AJ179" t="n" s="2909">
        <v>10</v>
      </c>
      <c r="AP179" t="n" s="2909">
        <v>560000</v>
      </c>
      <c r="DB179" s="2909" t="str">
        <f>IF($A179="","",IF(AND($A179=21,$AE179&amp;""="00000000"),IF($AH179=20,"病院",IF($AH179=5,"消防","市長")),"対象外"))</f>
        <v>消防</v>
      </c>
    </row>
    <row r="180">
      <c r="A180" t="n" s="2909">
        <v>21</v>
      </c>
      <c r="AA180" t="n" s="2909">
        <v>21</v>
      </c>
      <c r="AB180" t="inlineStr" s="2909">
        <is>
          <t>19840401</t>
        </is>
      </c>
      <c r="AD180" t="n" s="2909">
        <v>0</v>
      </c>
      <c r="AE180" t="inlineStr" s="2909">
        <is>
          <t>00000000</t>
        </is>
      </c>
      <c r="AH180" t="n" s="2909">
        <v>4</v>
      </c>
      <c r="AJ180" t="n" s="2909">
        <v>10</v>
      </c>
      <c r="AP180" t="n" s="2909">
        <v>470000</v>
      </c>
      <c r="DB180" s="2909" t="str">
        <f>IF($A180="","",IF(AND($A180=21,$AE180&amp;""="00000000"),IF($AH180=20,"病院",IF($AH180=5,"消防","市長")),"対象外"))</f>
        <v>市長</v>
      </c>
    </row>
    <row r="181">
      <c r="A181" t="n" s="2909">
        <v>21</v>
      </c>
      <c r="AA181" t="n" s="2909">
        <v>21</v>
      </c>
      <c r="AB181" t="inlineStr" s="2909">
        <is>
          <t>19900401</t>
        </is>
      </c>
      <c r="AD181" t="n" s="2909">
        <v>0</v>
      </c>
      <c r="AE181" t="inlineStr" s="2909">
        <is>
          <t>00000000</t>
        </is>
      </c>
      <c r="AH181" t="n" s="2909">
        <v>58</v>
      </c>
      <c r="AJ181" t="n" s="2909">
        <v>74</v>
      </c>
      <c r="AP181" t="n" s="2909">
        <v>650000</v>
      </c>
      <c r="DB181" s="2909" t="str">
        <f>IF($A181="","",IF(AND($A181=21,$AE181&amp;""="00000000"),IF($AH181=20,"病院",IF($AH181=5,"消防","市長")),"対象外"))</f>
        <v>市長</v>
      </c>
    </row>
    <row r="182">
      <c r="A182" t="n" s="2909">
        <v>21</v>
      </c>
      <c r="AA182" t="n" s="2909">
        <v>21</v>
      </c>
      <c r="AB182" t="inlineStr" s="2909">
        <is>
          <t>19900401</t>
        </is>
      </c>
      <c r="AD182" t="n" s="2909">
        <v>0</v>
      </c>
      <c r="AE182" t="inlineStr" s="2909">
        <is>
          <t>00000000</t>
        </is>
      </c>
      <c r="AH182" t="n" s="2909">
        <v>1</v>
      </c>
      <c r="AJ182" t="n" s="2909">
        <v>10</v>
      </c>
      <c r="AP182" t="n" s="2909">
        <v>590000</v>
      </c>
      <c r="DB182" s="2909" t="str">
        <f>IF($A182="","",IF(AND($A182=21,$AE182&amp;""="00000000"),IF($AH182=20,"病院",IF($AH182=5,"消防","市長")),"対象外"))</f>
        <v>市長</v>
      </c>
    </row>
    <row r="183">
      <c r="A183" t="n" s="2909">
        <v>21</v>
      </c>
      <c r="AA183" t="n" s="2909">
        <v>21</v>
      </c>
      <c r="AB183" t="inlineStr" s="2909">
        <is>
          <t>19840401</t>
        </is>
      </c>
      <c r="AD183" t="n" s="2909">
        <v>0</v>
      </c>
      <c r="AE183" t="inlineStr" s="2909">
        <is>
          <t>00000000</t>
        </is>
      </c>
      <c r="AH183" t="n" s="2909">
        <v>1</v>
      </c>
      <c r="AJ183" t="n" s="2909">
        <v>10</v>
      </c>
      <c r="AP183" t="n" s="2909">
        <v>590000</v>
      </c>
      <c r="DB183" s="2909" t="str">
        <f>IF($A183="","",IF(AND($A183=21,$AE183&amp;""="00000000"),IF($AH183=20,"病院",IF($AH183=5,"消防","市長")),"対象外"))</f>
        <v>市長</v>
      </c>
    </row>
    <row r="184">
      <c r="A184" t="n" s="2909">
        <v>21</v>
      </c>
      <c r="AA184" t="n" s="2909">
        <v>21</v>
      </c>
      <c r="AB184" t="inlineStr" s="2909">
        <is>
          <t>19890401</t>
        </is>
      </c>
      <c r="AD184" t="n" s="2909">
        <v>0</v>
      </c>
      <c r="AE184" t="inlineStr" s="2909">
        <is>
          <t>00000000</t>
        </is>
      </c>
      <c r="AH184" t="n" s="2909">
        <v>1</v>
      </c>
      <c r="AJ184" t="n" s="2909">
        <v>10</v>
      </c>
      <c r="AP184" t="n" s="2909">
        <v>530000</v>
      </c>
      <c r="DB184" s="2909" t="str">
        <f>IF($A184="","",IF(AND($A184=21,$AE184&amp;""="00000000"),IF($AH184=20,"病院",IF($AH184=5,"消防","市長")),"対象外"))</f>
        <v>市長</v>
      </c>
    </row>
    <row r="185">
      <c r="A185" t="n" s="2909">
        <v>21</v>
      </c>
      <c r="AA185" t="n" s="2909">
        <v>21</v>
      </c>
      <c r="AB185" t="inlineStr" s="2909">
        <is>
          <t>19880401</t>
        </is>
      </c>
      <c r="AD185" t="n" s="2909">
        <v>0</v>
      </c>
      <c r="AE185" t="inlineStr" s="2909">
        <is>
          <t>00000000</t>
        </is>
      </c>
      <c r="AH185" t="n" s="2909">
        <v>1</v>
      </c>
      <c r="AJ185" t="n" s="2909">
        <v>10</v>
      </c>
      <c r="AP185" t="n" s="2909">
        <v>620000</v>
      </c>
      <c r="DB185" s="2909" t="str">
        <f>IF($A185="","",IF(AND($A185=21,$AE185&amp;""="00000000"),IF($AH185=20,"病院",IF($AH185=5,"消防","市長")),"対象外"))</f>
        <v>市長</v>
      </c>
    </row>
    <row r="186">
      <c r="A186" t="n" s="2909">
        <v>21</v>
      </c>
      <c r="AA186" t="n" s="2909">
        <v>21</v>
      </c>
      <c r="AB186" t="inlineStr" s="2909">
        <is>
          <t>19880401</t>
        </is>
      </c>
      <c r="AD186" t="n" s="2909">
        <v>0</v>
      </c>
      <c r="AE186" t="inlineStr" s="2909">
        <is>
          <t>00000000</t>
        </is>
      </c>
      <c r="AH186" t="n" s="2909">
        <v>1</v>
      </c>
      <c r="AJ186" t="n" s="2909">
        <v>10</v>
      </c>
      <c r="AP186" t="n" s="2909">
        <v>560000</v>
      </c>
      <c r="DB186" s="2909" t="str">
        <f>IF($A186="","",IF(AND($A186=21,$AE186&amp;""="00000000"),IF($AH186=20,"病院",IF($AH186=5,"消防","市長")),"対象外"))</f>
        <v>市長</v>
      </c>
    </row>
    <row r="187">
      <c r="A187" t="n" s="2909">
        <v>21</v>
      </c>
      <c r="AA187" t="n" s="2909">
        <v>21</v>
      </c>
      <c r="AB187" t="inlineStr" s="2909">
        <is>
          <t>19840401</t>
        </is>
      </c>
      <c r="AD187" t="n" s="2909">
        <v>0</v>
      </c>
      <c r="AE187" t="inlineStr" s="2909">
        <is>
          <t>00000000</t>
        </is>
      </c>
      <c r="AH187" t="n" s="2909">
        <v>1</v>
      </c>
      <c r="AJ187" t="n" s="2909">
        <v>10</v>
      </c>
      <c r="AP187" t="n" s="2909">
        <v>590000</v>
      </c>
      <c r="DB187" s="2909" t="str">
        <f>IF($A187="","",IF(AND($A187=21,$AE187&amp;""="00000000"),IF($AH187=20,"病院",IF($AH187=5,"消防","市長")),"対象外"))</f>
        <v>市長</v>
      </c>
    </row>
    <row r="188">
      <c r="A188" t="n" s="2909">
        <v>21</v>
      </c>
      <c r="AA188" t="n" s="2909">
        <v>21</v>
      </c>
      <c r="AB188" t="inlineStr" s="2909">
        <is>
          <t>19890401</t>
        </is>
      </c>
      <c r="AD188" t="n" s="2909">
        <v>0</v>
      </c>
      <c r="AE188" t="inlineStr" s="2909">
        <is>
          <t>00000000</t>
        </is>
      </c>
      <c r="AH188" t="n" s="2909">
        <v>1</v>
      </c>
      <c r="AJ188" t="n" s="2909">
        <v>10</v>
      </c>
      <c r="AP188" t="n" s="2909">
        <v>650000</v>
      </c>
      <c r="DB188" s="2909" t="str">
        <f>IF($A188="","",IF(AND($A188=21,$AE188&amp;""="00000000"),IF($AH188=20,"病院",IF($AH188=5,"消防","市長")),"対象外"))</f>
        <v>市長</v>
      </c>
    </row>
    <row r="189">
      <c r="A189" t="n" s="2909">
        <v>21</v>
      </c>
      <c r="AA189" t="n" s="2909">
        <v>21</v>
      </c>
      <c r="AB189" t="inlineStr" s="2909">
        <is>
          <t>19880401</t>
        </is>
      </c>
      <c r="AD189" t="n" s="2909">
        <v>0</v>
      </c>
      <c r="AE189" t="inlineStr" s="2909">
        <is>
          <t>00000000</t>
        </is>
      </c>
      <c r="AH189" t="n" s="2909">
        <v>4</v>
      </c>
      <c r="AJ189" t="n" s="2909">
        <v>10</v>
      </c>
      <c r="AP189" t="n" s="2909">
        <v>530000</v>
      </c>
      <c r="DB189" s="2909" t="str">
        <f>IF($A189="","",IF(AND($A189=21,$AE189&amp;""="00000000"),IF($AH189=20,"病院",IF($AH189=5,"消防","市長")),"対象外"))</f>
        <v>市長</v>
      </c>
    </row>
    <row r="190">
      <c r="A190" t="n" s="2909">
        <v>21</v>
      </c>
      <c r="AA190" t="n" s="2909">
        <v>21</v>
      </c>
      <c r="AB190" t="inlineStr" s="2909">
        <is>
          <t>19960401</t>
        </is>
      </c>
      <c r="AD190" t="n" s="2909">
        <v>0</v>
      </c>
      <c r="AE190" t="inlineStr" s="2909">
        <is>
          <t>00000000</t>
        </is>
      </c>
      <c r="AH190" t="n" s="2909">
        <v>11</v>
      </c>
      <c r="AJ190" t="n" s="2909">
        <v>10</v>
      </c>
      <c r="AP190" t="n" s="2909">
        <v>470000</v>
      </c>
      <c r="DB190" s="2909" t="str">
        <f>IF($A190="","",IF(AND($A190=21,$AE190&amp;""="00000000"),IF($AH190=20,"病院",IF($AH190=5,"消防","市長")),"対象外"))</f>
        <v>市長</v>
      </c>
    </row>
    <row r="191">
      <c r="A191" t="n" s="2909">
        <v>21</v>
      </c>
      <c r="AA191" t="n" s="2909">
        <v>21</v>
      </c>
      <c r="AB191" t="inlineStr" s="2909">
        <is>
          <t>19840401</t>
        </is>
      </c>
      <c r="AD191" t="n" s="2909">
        <v>0</v>
      </c>
      <c r="AE191" t="inlineStr" s="2909">
        <is>
          <t>00000000</t>
        </is>
      </c>
      <c r="AH191" t="n" s="2909">
        <v>4</v>
      </c>
      <c r="AJ191" t="n" s="2909">
        <v>10</v>
      </c>
      <c r="AP191" t="n" s="2909">
        <v>530000</v>
      </c>
      <c r="DB191" s="2909" t="str">
        <f>IF($A191="","",IF(AND($A191=21,$AE191&amp;""="00000000"),IF($AH191=20,"病院",IF($AH191=5,"消防","市長")),"対象外"))</f>
        <v>市長</v>
      </c>
    </row>
    <row r="192">
      <c r="A192" t="n" s="2909">
        <v>21</v>
      </c>
      <c r="AA192" t="n" s="2909">
        <v>21</v>
      </c>
      <c r="AB192" t="inlineStr" s="2909">
        <is>
          <t>19840401</t>
        </is>
      </c>
      <c r="AD192" t="n" s="2909">
        <v>0</v>
      </c>
      <c r="AE192" t="inlineStr" s="2909">
        <is>
          <t>00000000</t>
        </is>
      </c>
      <c r="AH192" t="n" s="2909">
        <v>1</v>
      </c>
      <c r="AJ192" t="n" s="2909">
        <v>10</v>
      </c>
      <c r="AP192" t="n" s="2909">
        <v>530000</v>
      </c>
      <c r="DB192" s="2909" t="str">
        <f>IF($A192="","",IF(AND($A192=21,$AE192&amp;""="00000000"),IF($AH192=20,"病院",IF($AH192=5,"消防","市長")),"対象外"))</f>
        <v>市長</v>
      </c>
    </row>
    <row r="193">
      <c r="A193" t="n" s="2909">
        <v>21</v>
      </c>
      <c r="AA193" t="n" s="2909">
        <v>21</v>
      </c>
      <c r="AB193" t="inlineStr" s="2909">
        <is>
          <t>20050425</t>
        </is>
      </c>
      <c r="AD193" t="n" s="2909">
        <v>0</v>
      </c>
      <c r="AE193" t="inlineStr" s="2909">
        <is>
          <t>00000000</t>
        </is>
      </c>
      <c r="AH193" t="n" s="2909">
        <v>1</v>
      </c>
      <c r="AJ193" t="n" s="2909">
        <v>10</v>
      </c>
      <c r="AP193" t="n" s="2909">
        <v>560000</v>
      </c>
      <c r="DB193" s="2909" t="str">
        <f>IF($A193="","",IF(AND($A193=21,$AE193&amp;""="00000000"),IF($AH193=20,"病院",IF($AH193=5,"消防","市長")),"対象外"))</f>
        <v>市長</v>
      </c>
    </row>
    <row r="194">
      <c r="A194" t="n" s="2909">
        <v>21</v>
      </c>
      <c r="AA194" t="n" s="2909">
        <v>21</v>
      </c>
      <c r="AB194" t="inlineStr" s="2909">
        <is>
          <t>19930401</t>
        </is>
      </c>
      <c r="AD194" t="n" s="2909">
        <v>0</v>
      </c>
      <c r="AE194" t="inlineStr" s="2909">
        <is>
          <t>00000000</t>
        </is>
      </c>
      <c r="AH194" t="n" s="2909">
        <v>1</v>
      </c>
      <c r="AJ194" t="n" s="2909">
        <v>10</v>
      </c>
      <c r="AP194" t="n" s="2909">
        <v>440000</v>
      </c>
      <c r="DB194" s="2909" t="str">
        <f>IF($A194="","",IF(AND($A194=21,$AE194&amp;""="00000000"),IF($AH194=20,"病院",IF($AH194=5,"消防","市長")),"対象外"))</f>
        <v>市長</v>
      </c>
    </row>
    <row r="195">
      <c r="A195" t="n" s="2909">
        <v>21</v>
      </c>
      <c r="AA195" t="n" s="2909">
        <v>21</v>
      </c>
      <c r="AB195" t="inlineStr" s="2909">
        <is>
          <t>19890401</t>
        </is>
      </c>
      <c r="AD195" t="n" s="2909">
        <v>0</v>
      </c>
      <c r="AE195" t="inlineStr" s="2909">
        <is>
          <t>00000000</t>
        </is>
      </c>
      <c r="AH195" t="n" s="2909">
        <v>11</v>
      </c>
      <c r="AJ195" t="n" s="2909">
        <v>10</v>
      </c>
      <c r="AP195" t="n" s="2909">
        <v>470000</v>
      </c>
      <c r="DB195" s="2909" t="str">
        <f>IF($A195="","",IF(AND($A195=21,$AE195&amp;""="00000000"),IF($AH195=20,"病院",IF($AH195=5,"消防","市長")),"対象外"))</f>
        <v>市長</v>
      </c>
    </row>
    <row r="196">
      <c r="A196" t="n" s="2909">
        <v>31</v>
      </c>
      <c r="AA196" t="n" s="2909">
        <v>21</v>
      </c>
      <c r="AB196" t="inlineStr" s="2909">
        <is>
          <t>20221001</t>
        </is>
      </c>
      <c r="AD196" t="n" s="2909">
        <v>0</v>
      </c>
      <c r="AE196" t="inlineStr" s="2909">
        <is>
          <t>00000000</t>
        </is>
      </c>
      <c r="AH196" t="n" s="2909">
        <v>1</v>
      </c>
      <c r="AJ196" t="n" s="2909">
        <v>41</v>
      </c>
      <c r="AP196" t="n" s="2909">
        <v>200000</v>
      </c>
      <c r="DB196" s="2909" t="str">
        <f>IF($A196="","",IF(AND($A196=21,$AE196&amp;""="00000000"),IF($AH196=20,"病院",IF($AH196=5,"消防","市長")),"対象外"))</f>
        <v>対象外</v>
      </c>
    </row>
    <row r="197">
      <c r="A197" t="n" s="2909">
        <v>21</v>
      </c>
      <c r="AA197" t="n" s="2909">
        <v>21</v>
      </c>
      <c r="AB197" t="inlineStr" s="2909">
        <is>
          <t>20150601</t>
        </is>
      </c>
      <c r="AD197" t="n" s="2909">
        <v>0</v>
      </c>
      <c r="AE197" t="inlineStr" s="2909">
        <is>
          <t>00000000</t>
        </is>
      </c>
      <c r="AH197" t="n" s="2909">
        <v>20</v>
      </c>
      <c r="AJ197" t="n" s="2909">
        <v>10</v>
      </c>
      <c r="AP197" t="n" s="2909">
        <v>260000</v>
      </c>
      <c r="DB197" s="2909" t="str">
        <f>IF($A197="","",IF(AND($A197=21,$AE197&amp;""="00000000"),IF($AH197=20,"病院",IF($AH197=5,"消防","市長")),"対象外"))</f>
        <v>病院</v>
      </c>
    </row>
    <row r="198">
      <c r="A198" t="n" s="2909">
        <v>31</v>
      </c>
      <c r="AA198" t="n" s="2909">
        <v>21</v>
      </c>
      <c r="AB198" t="inlineStr" s="2909">
        <is>
          <t>20221001</t>
        </is>
      </c>
      <c r="AD198" t="n" s="2909">
        <v>0</v>
      </c>
      <c r="AE198" t="inlineStr" s="2909">
        <is>
          <t>00000000</t>
        </is>
      </c>
      <c r="AH198" t="n" s="2909">
        <v>11</v>
      </c>
      <c r="AJ198" t="n" s="2909">
        <v>41</v>
      </c>
      <c r="AP198" t="n" s="2909">
        <v>180000</v>
      </c>
      <c r="DB198" s="2909" t="str">
        <f>IF($A198="","",IF(AND($A198=21,$AE198&amp;""="00000000"),IF($AH198=20,"病院",IF($AH198=5,"消防","市長")),"対象外"))</f>
        <v>対象外</v>
      </c>
    </row>
    <row r="199">
      <c r="A199" t="n" s="2909">
        <v>31</v>
      </c>
      <c r="AA199" t="n" s="2909">
        <v>21</v>
      </c>
      <c r="AB199" t="inlineStr" s="2909">
        <is>
          <t>20221001</t>
        </is>
      </c>
      <c r="AD199" t="n" s="2909">
        <v>0</v>
      </c>
      <c r="AE199" t="inlineStr" s="2909">
        <is>
          <t>00000000</t>
        </is>
      </c>
      <c r="AH199" t="n" s="2909">
        <v>1</v>
      </c>
      <c r="AJ199" t="n" s="2909">
        <v>41</v>
      </c>
      <c r="AP199" t="n" s="2909">
        <v>220000</v>
      </c>
      <c r="DB199" s="2909" t="str">
        <f>IF($A199="","",IF(AND($A199=21,$AE199&amp;""="00000000"),IF($AH199=20,"病院",IF($AH199=5,"消防","市長")),"対象外"))</f>
        <v>対象外</v>
      </c>
    </row>
    <row r="200">
      <c r="A200" t="n" s="2909">
        <v>31</v>
      </c>
      <c r="AA200" t="n" s="2909">
        <v>21</v>
      </c>
      <c r="AB200" t="inlineStr" s="2909">
        <is>
          <t>20221001</t>
        </is>
      </c>
      <c r="AD200" t="n" s="2909">
        <v>0</v>
      </c>
      <c r="AE200" t="inlineStr" s="2909">
        <is>
          <t>00000000</t>
        </is>
      </c>
      <c r="AH200" t="n" s="2909">
        <v>20</v>
      </c>
      <c r="AJ200" t="n" s="2909">
        <v>41</v>
      </c>
      <c r="AP200" t="n" s="2909">
        <v>200000</v>
      </c>
      <c r="DB200" s="2909" t="str">
        <f>IF($A200="","",IF(AND($A200=21,$AE200&amp;""="00000000"),IF($AH200=20,"病院",IF($AH200=5,"消防","市長")),"対象外"))</f>
        <v>対象外</v>
      </c>
    </row>
    <row r="201">
      <c r="A201" t="n" s="2909">
        <v>21</v>
      </c>
      <c r="AA201" t="n" s="2909">
        <v>21</v>
      </c>
      <c r="AB201" t="inlineStr" s="2909">
        <is>
          <t>19880401</t>
        </is>
      </c>
      <c r="AD201" t="n" s="2909">
        <v>0</v>
      </c>
      <c r="AE201" t="inlineStr" s="2909">
        <is>
          <t>00000000</t>
        </is>
      </c>
      <c r="AH201" t="n" s="2909">
        <v>1</v>
      </c>
      <c r="AJ201" t="n" s="2909">
        <v>10</v>
      </c>
      <c r="AP201" t="n" s="2909">
        <v>620000</v>
      </c>
      <c r="DB201" s="2909" t="str">
        <f>IF($A201="","",IF(AND($A201=21,$AE201&amp;""="00000000"),IF($AH201=20,"病院",IF($AH201=5,"消防","市長")),"対象外"))</f>
        <v>市長</v>
      </c>
    </row>
    <row r="202">
      <c r="A202" t="n" s="2909">
        <v>31</v>
      </c>
      <c r="AA202" t="n" s="2909">
        <v>21</v>
      </c>
      <c r="AB202" t="inlineStr" s="2909">
        <is>
          <t>20221001</t>
        </is>
      </c>
      <c r="AD202" t="n" s="2909">
        <v>0</v>
      </c>
      <c r="AE202" t="inlineStr" s="2909">
        <is>
          <t>00000000</t>
        </is>
      </c>
      <c r="AH202" t="n" s="2909">
        <v>1</v>
      </c>
      <c r="AJ202" t="n" s="2909">
        <v>41</v>
      </c>
      <c r="AP202" t="n" s="2909">
        <v>142000</v>
      </c>
      <c r="DB202" s="2909" t="str">
        <f>IF($A202="","",IF(AND($A202=21,$AE202&amp;""="00000000"),IF($AH202=20,"病院",IF($AH202=5,"消防","市長")),"対象外"))</f>
        <v>対象外</v>
      </c>
    </row>
    <row r="203">
      <c r="A203" t="n" s="2909">
        <v>31</v>
      </c>
      <c r="AA203" t="n" s="2909">
        <v>21</v>
      </c>
      <c r="AB203" t="inlineStr" s="2909">
        <is>
          <t>20221001</t>
        </is>
      </c>
      <c r="AD203" t="n" s="2909">
        <v>0</v>
      </c>
      <c r="AE203" t="inlineStr" s="2909">
        <is>
          <t>00000000</t>
        </is>
      </c>
      <c r="AH203" t="n" s="2909">
        <v>1</v>
      </c>
      <c r="AJ203" t="n" s="2909">
        <v>41</v>
      </c>
      <c r="AP203" t="n" s="2909">
        <v>142000</v>
      </c>
      <c r="DB203" s="2909" t="str">
        <f>IF($A203="","",IF(AND($A203=21,$AE203&amp;""="00000000"),IF($AH203=20,"病院",IF($AH203=5,"消防","市長")),"対象外"))</f>
        <v>対象外</v>
      </c>
    </row>
    <row r="204">
      <c r="A204" t="n" s="2909">
        <v>31</v>
      </c>
      <c r="AA204" t="n" s="2909">
        <v>21</v>
      </c>
      <c r="AB204" t="inlineStr" s="2909">
        <is>
          <t>20221201</t>
        </is>
      </c>
      <c r="AD204" t="n" s="2909">
        <v>0</v>
      </c>
      <c r="AE204" t="inlineStr" s="2909">
        <is>
          <t>00000000</t>
        </is>
      </c>
      <c r="AH204" t="n" s="2909">
        <v>1</v>
      </c>
      <c r="AJ204" t="n" s="2909">
        <v>41</v>
      </c>
      <c r="AP204" t="n" s="2909">
        <v>142000</v>
      </c>
      <c r="DB204" s="2909" t="str">
        <f>IF($A204="","",IF(AND($A204=21,$AE204&amp;""="00000000"),IF($AH204=20,"病院",IF($AH204=5,"消防","市長")),"対象外"))</f>
        <v>対象外</v>
      </c>
    </row>
    <row r="205">
      <c r="A205" t="n" s="2909">
        <v>31</v>
      </c>
      <c r="AA205" t="n" s="2909">
        <v>21</v>
      </c>
      <c r="AB205" t="inlineStr" s="2909">
        <is>
          <t>20250401</t>
        </is>
      </c>
      <c r="AD205" t="n" s="2909">
        <v>0</v>
      </c>
      <c r="AE205" t="inlineStr" s="2909">
        <is>
          <t>00000000</t>
        </is>
      </c>
      <c r="AH205" t="n" s="2909">
        <v>11</v>
      </c>
      <c r="AJ205" t="n" s="2909">
        <v>41</v>
      </c>
      <c r="AP205" t="n" s="2909">
        <v>200000</v>
      </c>
      <c r="DB205" s="2909" t="str">
        <f>IF($A205="","",IF(AND($A205=21,$AE205&amp;""="00000000"),IF($AH205=20,"病院",IF($AH205=5,"消防","市長")),"対象外"))</f>
        <v>対象外</v>
      </c>
    </row>
    <row r="206">
      <c r="A206" t="n" s="2909">
        <v>21</v>
      </c>
      <c r="AA206" t="n" s="2909">
        <v>21</v>
      </c>
      <c r="AB206" t="inlineStr" s="2909">
        <is>
          <t>19871101</t>
        </is>
      </c>
      <c r="AD206" t="n" s="2909">
        <v>0</v>
      </c>
      <c r="AE206" t="inlineStr" s="2909">
        <is>
          <t>00000000</t>
        </is>
      </c>
      <c r="AH206" t="n" s="2909">
        <v>20</v>
      </c>
      <c r="AJ206" t="n" s="2909">
        <v>10</v>
      </c>
      <c r="AP206" t="n" s="2909">
        <v>500000</v>
      </c>
      <c r="DB206" s="2909" t="str">
        <f>IF($A206="","",IF(AND($A206=21,$AE206&amp;""="00000000"),IF($AH206=20,"病院",IF($AH206=5,"消防","市長")),"対象外"))</f>
        <v>病院</v>
      </c>
    </row>
    <row r="207">
      <c r="A207" t="n" s="2909">
        <v>31</v>
      </c>
      <c r="AA207" t="n" s="2909">
        <v>21</v>
      </c>
      <c r="AB207" t="inlineStr" s="2909">
        <is>
          <t>20240109</t>
        </is>
      </c>
      <c r="AD207" t="n" s="2909">
        <v>0</v>
      </c>
      <c r="AE207" t="inlineStr" s="2909">
        <is>
          <t>00000000</t>
        </is>
      </c>
      <c r="AH207" t="n" s="2909">
        <v>20</v>
      </c>
      <c r="AJ207" t="n" s="2909">
        <v>41</v>
      </c>
      <c r="AP207" t="n" s="2909">
        <v>160000</v>
      </c>
      <c r="DB207" s="2909" t="str">
        <f>IF($A207="","",IF(AND($A207=21,$AE207&amp;""="00000000"),IF($AH207=20,"病院",IF($AH207=5,"消防","市長")),"対象外"))</f>
        <v>対象外</v>
      </c>
    </row>
    <row r="208">
      <c r="A208" t="n" s="2909">
        <v>21</v>
      </c>
      <c r="AA208" t="n" s="2909">
        <v>21</v>
      </c>
      <c r="AB208" t="inlineStr" s="2909">
        <is>
          <t>20000401</t>
        </is>
      </c>
      <c r="AD208" t="n" s="2909">
        <v>0</v>
      </c>
      <c r="AE208" t="inlineStr" s="2909">
        <is>
          <t>00000000</t>
        </is>
      </c>
      <c r="AH208" t="n" s="2909">
        <v>11</v>
      </c>
      <c r="AJ208" t="n" s="2909">
        <v>10</v>
      </c>
      <c r="AP208" t="n" s="2909">
        <v>410000</v>
      </c>
      <c r="DB208" s="2909" t="str">
        <f>IF($A208="","",IF(AND($A208=21,$AE208&amp;""="00000000"),IF($AH208=20,"病院",IF($AH208=5,"消防","市長")),"対象外"))</f>
        <v>市長</v>
      </c>
    </row>
    <row r="209">
      <c r="A209" t="n" s="2909">
        <v>21</v>
      </c>
      <c r="AA209" t="n" s="2909">
        <v>21</v>
      </c>
      <c r="AB209" t="inlineStr" s="2909">
        <is>
          <t>19860901</t>
        </is>
      </c>
      <c r="AD209" t="n" s="2909">
        <v>0</v>
      </c>
      <c r="AE209" t="inlineStr" s="2909">
        <is>
          <t>00000000</t>
        </is>
      </c>
      <c r="AH209" t="n" s="2909">
        <v>20</v>
      </c>
      <c r="AJ209" t="n" s="2909">
        <v>10</v>
      </c>
      <c r="AP209" t="n" s="2909">
        <v>530000</v>
      </c>
      <c r="DB209" s="2909" t="str">
        <f>IF($A209="","",IF(AND($A209=21,$AE209&amp;""="00000000"),IF($AH209=20,"病院",IF($AH209=5,"消防","市長")),"対象外"))</f>
        <v>病院</v>
      </c>
    </row>
    <row r="210">
      <c r="A210" t="n" s="2909">
        <v>31</v>
      </c>
      <c r="AA210" t="n" s="2909">
        <v>21</v>
      </c>
      <c r="AB210" t="inlineStr" s="2909">
        <is>
          <t>20221001</t>
        </is>
      </c>
      <c r="AD210" t="n" s="2909">
        <v>0</v>
      </c>
      <c r="AE210" t="inlineStr" s="2909">
        <is>
          <t>00000000</t>
        </is>
      </c>
      <c r="AH210" t="n" s="2909">
        <v>1</v>
      </c>
      <c r="AJ210" t="n" s="2909">
        <v>41</v>
      </c>
      <c r="AP210" t="n" s="2909">
        <v>142000</v>
      </c>
      <c r="DB210" s="2909" t="str">
        <f>IF($A210="","",IF(AND($A210=21,$AE210&amp;""="00000000"),IF($AH210=20,"病院",IF($AH210=5,"消防","市長")),"対象外"))</f>
        <v>対象外</v>
      </c>
    </row>
    <row r="211">
      <c r="A211" t="n" s="2909">
        <v>31</v>
      </c>
      <c r="AA211" t="n" s="2909">
        <v>21</v>
      </c>
      <c r="AB211" t="inlineStr" s="2909">
        <is>
          <t>20221201</t>
        </is>
      </c>
      <c r="AD211" t="n" s="2909">
        <v>0</v>
      </c>
      <c r="AE211" t="inlineStr" s="2909">
        <is>
          <t>00000000</t>
        </is>
      </c>
      <c r="AH211" t="n" s="2909">
        <v>1</v>
      </c>
      <c r="AJ211" t="n" s="2909">
        <v>41</v>
      </c>
      <c r="AP211" t="n" s="2909">
        <v>180000</v>
      </c>
      <c r="DB211" s="2909" t="str">
        <f>IF($A211="","",IF(AND($A211=21,$AE211&amp;""="00000000"),IF($AH211=20,"病院",IF($AH211=5,"消防","市長")),"対象外"))</f>
        <v>対象外</v>
      </c>
    </row>
    <row r="212">
      <c r="A212" t="n" s="2909">
        <v>31</v>
      </c>
      <c r="AA212" t="n" s="2909">
        <v>21</v>
      </c>
      <c r="AB212" t="inlineStr" s="2909">
        <is>
          <t>20221001</t>
        </is>
      </c>
      <c r="AD212" t="n" s="2909">
        <v>0</v>
      </c>
      <c r="AE212" t="inlineStr" s="2909">
        <is>
          <t>00000000</t>
        </is>
      </c>
      <c r="AH212" t="n" s="2909">
        <v>1</v>
      </c>
      <c r="AJ212" t="n" s="2909">
        <v>41</v>
      </c>
      <c r="AP212" t="n" s="2909">
        <v>134000</v>
      </c>
      <c r="DB212" s="2909" t="str">
        <f>IF($A212="","",IF(AND($A212=21,$AE212&amp;""="00000000"),IF($AH212=20,"病院",IF($AH212=5,"消防","市長")),"対象外"))</f>
        <v>対象外</v>
      </c>
    </row>
    <row r="213">
      <c r="A213" t="n" s="2909">
        <v>31</v>
      </c>
      <c r="AA213" t="n" s="2909">
        <v>21</v>
      </c>
      <c r="AB213" t="inlineStr" s="2909">
        <is>
          <t>20240501</t>
        </is>
      </c>
      <c r="AD213" t="n" s="2909">
        <v>0</v>
      </c>
      <c r="AE213" t="inlineStr" s="2909">
        <is>
          <t>00000000</t>
        </is>
      </c>
      <c r="AH213" t="n" s="2909">
        <v>1</v>
      </c>
      <c r="AJ213" t="n" s="2909">
        <v>41</v>
      </c>
      <c r="AP213" t="n" s="2909">
        <v>190000</v>
      </c>
      <c r="DB213" s="2909" t="str">
        <f>IF($A213="","",IF(AND($A213=21,$AE213&amp;""="00000000"),IF($AH213=20,"病院",IF($AH213=5,"消防","市長")),"対象外"))</f>
        <v>対象外</v>
      </c>
    </row>
    <row r="214">
      <c r="A214" t="n" s="2909">
        <v>31</v>
      </c>
      <c r="AA214" t="n" s="2909">
        <v>21</v>
      </c>
      <c r="AB214" t="inlineStr" s="2909">
        <is>
          <t>20221001</t>
        </is>
      </c>
      <c r="AD214" t="n" s="2909">
        <v>0</v>
      </c>
      <c r="AE214" t="inlineStr" s="2909">
        <is>
          <t>00000000</t>
        </is>
      </c>
      <c r="AH214" t="n" s="2909">
        <v>1</v>
      </c>
      <c r="AJ214" t="n" s="2909">
        <v>41</v>
      </c>
      <c r="AP214" t="n" s="2909">
        <v>200000</v>
      </c>
      <c r="DB214" s="2909" t="str">
        <f>IF($A214="","",IF(AND($A214=21,$AE214&amp;""="00000000"),IF($AH214=20,"病院",IF($AH214=5,"消防","市長")),"対象外"))</f>
        <v>対象外</v>
      </c>
    </row>
    <row r="215">
      <c r="A215" t="n" s="2909">
        <v>31</v>
      </c>
      <c r="AA215" t="n" s="2909">
        <v>21</v>
      </c>
      <c r="AB215" t="inlineStr" s="2909">
        <is>
          <t>20221001</t>
        </is>
      </c>
      <c r="AD215" t="n" s="2909">
        <v>0</v>
      </c>
      <c r="AE215" t="inlineStr" s="2909">
        <is>
          <t>00000000</t>
        </is>
      </c>
      <c r="AH215" t="n" s="2909">
        <v>1</v>
      </c>
      <c r="AJ215" t="n" s="2909">
        <v>41</v>
      </c>
      <c r="AP215" t="n" s="2909">
        <v>200000</v>
      </c>
      <c r="DB215" s="2909" t="str">
        <f>IF($A215="","",IF(AND($A215=21,$AE215&amp;""="00000000"),IF($AH215=20,"病院",IF($AH215=5,"消防","市長")),"対象外"))</f>
        <v>対象外</v>
      </c>
    </row>
    <row r="216">
      <c r="A216" t="n" s="2909">
        <v>31</v>
      </c>
      <c r="AA216" t="n" s="2909">
        <v>21</v>
      </c>
      <c r="AB216" t="inlineStr" s="2909">
        <is>
          <t>20221001</t>
        </is>
      </c>
      <c r="AD216" t="n" s="2909">
        <v>0</v>
      </c>
      <c r="AE216" t="inlineStr" s="2909">
        <is>
          <t>00000000</t>
        </is>
      </c>
      <c r="AH216" t="n" s="2909">
        <v>20</v>
      </c>
      <c r="AJ216" t="n" s="2909">
        <v>41</v>
      </c>
      <c r="AP216" t="n" s="2909">
        <v>260000</v>
      </c>
      <c r="DB216" s="2909" t="str">
        <f>IF($A216="","",IF(AND($A216=21,$AE216&amp;""="00000000"),IF($AH216=20,"病院",IF($AH216=5,"消防","市長")),"対象外"))</f>
        <v>対象外</v>
      </c>
    </row>
    <row r="217">
      <c r="A217" t="n" s="2909">
        <v>21</v>
      </c>
      <c r="AA217" t="n" s="2909">
        <v>21</v>
      </c>
      <c r="AB217" t="inlineStr" s="2909">
        <is>
          <t>19880401</t>
        </is>
      </c>
      <c r="AD217" t="n" s="2909">
        <v>0</v>
      </c>
      <c r="AE217" t="inlineStr" s="2909">
        <is>
          <t>00000000</t>
        </is>
      </c>
      <c r="AH217" t="n" s="2909">
        <v>1</v>
      </c>
      <c r="AJ217" t="n" s="2909">
        <v>10</v>
      </c>
      <c r="AP217" t="n" s="2909">
        <v>620000</v>
      </c>
      <c r="DB217" s="2909" t="str">
        <f>IF($A217="","",IF(AND($A217=21,$AE217&amp;""="00000000"),IF($AH217=20,"病院",IF($AH217=5,"消防","市長")),"対象外"))</f>
        <v>市長</v>
      </c>
    </row>
    <row r="218">
      <c r="A218" t="n" s="2909">
        <v>21</v>
      </c>
      <c r="AA218" t="n" s="2909">
        <v>21</v>
      </c>
      <c r="AB218" t="inlineStr" s="2909">
        <is>
          <t>20050425</t>
        </is>
      </c>
      <c r="AD218" t="n" s="2909">
        <v>0</v>
      </c>
      <c r="AE218" t="inlineStr" s="2909">
        <is>
          <t>00000000</t>
        </is>
      </c>
      <c r="AH218" t="n" s="2909">
        <v>1</v>
      </c>
      <c r="AJ218" t="n" s="2909">
        <v>10</v>
      </c>
      <c r="AP218" t="n" s="2909">
        <v>530000</v>
      </c>
      <c r="DB218" s="2909" t="str">
        <f>IF($A218="","",IF(AND($A218=21,$AE218&amp;""="00000000"),IF($AH218=20,"病院",IF($AH218=5,"消防","市長")),"対象外"))</f>
        <v>市長</v>
      </c>
    </row>
    <row r="219">
      <c r="A219" t="n" s="2909">
        <v>31</v>
      </c>
      <c r="AA219" t="n" s="2909">
        <v>21</v>
      </c>
      <c r="AB219" t="inlineStr" s="2909">
        <is>
          <t>20240901</t>
        </is>
      </c>
      <c r="AD219" t="n" s="2909">
        <v>0</v>
      </c>
      <c r="AE219" t="inlineStr" s="2909">
        <is>
          <t>00000000</t>
        </is>
      </c>
      <c r="AH219" t="n" s="2909">
        <v>1</v>
      </c>
      <c r="AJ219" t="n" s="2909">
        <v>41</v>
      </c>
      <c r="AP219" t="n" s="2909">
        <v>200000</v>
      </c>
      <c r="DB219" s="2909" t="str">
        <f>IF($A219="","",IF(AND($A219=21,$AE219&amp;""="00000000"),IF($AH219=20,"病院",IF($AH219=5,"消防","市長")),"対象外"))</f>
        <v>対象外</v>
      </c>
    </row>
    <row r="220">
      <c r="A220" t="n" s="2909">
        <v>31</v>
      </c>
      <c r="AA220" t="n" s="2909">
        <v>21</v>
      </c>
      <c r="AB220" t="inlineStr" s="2909">
        <is>
          <t>20241001</t>
        </is>
      </c>
      <c r="AD220" t="n" s="2909">
        <v>0</v>
      </c>
      <c r="AE220" t="inlineStr" s="2909">
        <is>
          <t>00000000</t>
        </is>
      </c>
      <c r="AH220" t="n" s="2909">
        <v>20</v>
      </c>
      <c r="AJ220" t="n" s="2909">
        <v>41</v>
      </c>
      <c r="AP220" t="n" s="2909">
        <v>200000</v>
      </c>
      <c r="DB220" s="2909" t="str">
        <f>IF($A220="","",IF(AND($A220=21,$AE220&amp;""="00000000"),IF($AH220=20,"病院",IF($AH220=5,"消防","市長")),"対象外"))</f>
        <v>対象外</v>
      </c>
    </row>
    <row r="221">
      <c r="A221" t="n" s="2909">
        <v>21</v>
      </c>
      <c r="AA221" t="n" s="2909">
        <v>21</v>
      </c>
      <c r="AB221" t="inlineStr" s="2909">
        <is>
          <t>19930401</t>
        </is>
      </c>
      <c r="AD221" t="n" s="2909">
        <v>0</v>
      </c>
      <c r="AE221" t="inlineStr" s="2909">
        <is>
          <t>00000000</t>
        </is>
      </c>
      <c r="AH221" t="n" s="2909">
        <v>1</v>
      </c>
      <c r="AJ221" t="n" s="2909">
        <v>10</v>
      </c>
      <c r="AP221" t="n" s="2909">
        <v>470000</v>
      </c>
      <c r="DB221" s="2909" t="str">
        <f>IF($A221="","",IF(AND($A221=21,$AE221&amp;""="00000000"),IF($AH221=20,"病院",IF($AH221=5,"消防","市長")),"対象外"))</f>
        <v>市長</v>
      </c>
    </row>
    <row r="222">
      <c r="A222" t="n" s="2909">
        <v>31</v>
      </c>
      <c r="AA222" t="n" s="2909">
        <v>21</v>
      </c>
      <c r="AB222" t="inlineStr" s="2909">
        <is>
          <t>20221001</t>
        </is>
      </c>
      <c r="AD222" t="n" s="2909">
        <v>0</v>
      </c>
      <c r="AE222" t="inlineStr" s="2909">
        <is>
          <t>00000000</t>
        </is>
      </c>
      <c r="AH222" t="n" s="2909">
        <v>1</v>
      </c>
      <c r="AJ222" t="n" s="2909">
        <v>41</v>
      </c>
      <c r="AP222" t="n" s="2909">
        <v>150000</v>
      </c>
      <c r="DB222" s="2909" t="str">
        <f>IF($A222="","",IF(AND($A222=21,$AE222&amp;""="00000000"),IF($AH222=20,"病院",IF($AH222=5,"消防","市長")),"対象外"))</f>
        <v>対象外</v>
      </c>
    </row>
    <row r="223">
      <c r="A223" t="n" s="2909">
        <v>21</v>
      </c>
      <c r="AA223" t="n" s="2909">
        <v>21</v>
      </c>
      <c r="AB223" t="inlineStr" s="2909">
        <is>
          <t>19870501</t>
        </is>
      </c>
      <c r="AD223" t="n" s="2909">
        <v>0</v>
      </c>
      <c r="AE223" t="inlineStr" s="2909">
        <is>
          <t>00000000</t>
        </is>
      </c>
      <c r="AH223" t="n" s="2909">
        <v>20</v>
      </c>
      <c r="AJ223" t="n" s="2909">
        <v>10</v>
      </c>
      <c r="AP223" t="n" s="2909">
        <v>650000</v>
      </c>
      <c r="DB223" s="2909" t="str">
        <f>IF($A223="","",IF(AND($A223=21,$AE223&amp;""="00000000"),IF($AH223=20,"病院",IF($AH223=5,"消防","市長")),"対象外"))</f>
        <v>病院</v>
      </c>
    </row>
    <row r="224">
      <c r="A224" t="n" s="2909">
        <v>31</v>
      </c>
      <c r="AA224" t="n" s="2909">
        <v>21</v>
      </c>
      <c r="AB224" t="inlineStr" s="2909">
        <is>
          <t>20221001</t>
        </is>
      </c>
      <c r="AD224" t="n" s="2909">
        <v>0</v>
      </c>
      <c r="AE224" t="inlineStr" s="2909">
        <is>
          <t>00000000</t>
        </is>
      </c>
      <c r="AH224" t="n" s="2909">
        <v>1</v>
      </c>
      <c r="AJ224" t="n" s="2909">
        <v>41</v>
      </c>
      <c r="AP224" t="n" s="2909">
        <v>134000</v>
      </c>
      <c r="DB224" s="2909" t="str">
        <f>IF($A224="","",IF(AND($A224=21,$AE224&amp;""="00000000"),IF($AH224=20,"病院",IF($AH224=5,"消防","市長")),"対象外"))</f>
        <v>対象外</v>
      </c>
    </row>
    <row r="225">
      <c r="A225" t="n" s="2909">
        <v>21</v>
      </c>
      <c r="AA225" t="n" s="2909">
        <v>21</v>
      </c>
      <c r="AB225" t="inlineStr" s="2909">
        <is>
          <t>19860401</t>
        </is>
      </c>
      <c r="AD225" t="n" s="2909">
        <v>0</v>
      </c>
      <c r="AE225" t="inlineStr" s="2909">
        <is>
          <t>00000000</t>
        </is>
      </c>
      <c r="AH225" t="n" s="2909">
        <v>1</v>
      </c>
      <c r="AJ225" t="n" s="2909">
        <v>10</v>
      </c>
      <c r="AP225" t="n" s="2909">
        <v>530000</v>
      </c>
      <c r="DB225" s="2909" t="str">
        <f>IF($A225="","",IF(AND($A225=21,$AE225&amp;""="00000000"),IF($AH225=20,"病院",IF($AH225=5,"消防","市長")),"対象外"))</f>
        <v>市長</v>
      </c>
    </row>
    <row r="226">
      <c r="A226" t="n" s="2909">
        <v>31</v>
      </c>
      <c r="AA226" t="n" s="2909">
        <v>21</v>
      </c>
      <c r="AB226" t="inlineStr" s="2909">
        <is>
          <t>20230829</t>
        </is>
      </c>
      <c r="AD226" t="n" s="2909">
        <v>0</v>
      </c>
      <c r="AE226" t="inlineStr" s="2909">
        <is>
          <t>00000000</t>
        </is>
      </c>
      <c r="AH226" t="n" s="2909">
        <v>11</v>
      </c>
      <c r="AJ226" t="n" s="2909">
        <v>41</v>
      </c>
      <c r="AP226" t="n" s="2909">
        <v>118000</v>
      </c>
      <c r="DB226" s="2909" t="str">
        <f>IF($A226="","",IF(AND($A226=21,$AE226&amp;""="00000000"),IF($AH226=20,"病院",IF($AH226=5,"消防","市長")),"対象外"))</f>
        <v>対象外</v>
      </c>
    </row>
    <row r="227">
      <c r="A227" t="n" s="2909">
        <v>21</v>
      </c>
      <c r="AA227" t="n" s="2909">
        <v>21</v>
      </c>
      <c r="AB227" t="inlineStr" s="2909">
        <is>
          <t>19890501</t>
        </is>
      </c>
      <c r="AD227" t="n" s="2909">
        <v>0</v>
      </c>
      <c r="AE227" t="inlineStr" s="2909">
        <is>
          <t>00000000</t>
        </is>
      </c>
      <c r="AH227" t="n" s="2909">
        <v>20</v>
      </c>
      <c r="AJ227" t="n" s="2909">
        <v>10</v>
      </c>
      <c r="AP227" t="n" s="2909">
        <v>500000</v>
      </c>
      <c r="DB227" s="2909" t="str">
        <f>IF($A227="","",IF(AND($A227=21,$AE227&amp;""="00000000"),IF($AH227=20,"病院",IF($AH227=5,"消防","市長")),"対象外"))</f>
        <v>病院</v>
      </c>
    </row>
    <row r="228">
      <c r="A228" t="n" s="2909">
        <v>31</v>
      </c>
      <c r="AA228" t="n" s="2909">
        <v>21</v>
      </c>
      <c r="AB228" t="inlineStr" s="2909">
        <is>
          <t>20221001</t>
        </is>
      </c>
      <c r="AD228" t="n" s="2909">
        <v>0</v>
      </c>
      <c r="AE228" t="inlineStr" s="2909">
        <is>
          <t>00000000</t>
        </is>
      </c>
      <c r="AH228" t="n" s="2909">
        <v>20</v>
      </c>
      <c r="AJ228" t="n" s="2909">
        <v>41</v>
      </c>
      <c r="AP228" t="n" s="2909">
        <v>240000</v>
      </c>
      <c r="DB228" s="2909" t="str">
        <f>IF($A228="","",IF(AND($A228=21,$AE228&amp;""="00000000"),IF($AH228=20,"病院",IF($AH228=5,"消防","市長")),"対象外"))</f>
        <v>対象外</v>
      </c>
    </row>
    <row r="229">
      <c r="A229" t="n" s="2909">
        <v>31</v>
      </c>
      <c r="AA229" t="n" s="2909">
        <v>21</v>
      </c>
      <c r="AB229" t="inlineStr" s="2909">
        <is>
          <t>20221001</t>
        </is>
      </c>
      <c r="AD229" t="n" s="2909">
        <v>0</v>
      </c>
      <c r="AE229" t="inlineStr" s="2909">
        <is>
          <t>00000000</t>
        </is>
      </c>
      <c r="AH229" t="n" s="2909">
        <v>1</v>
      </c>
      <c r="AJ229" t="n" s="2909">
        <v>41</v>
      </c>
      <c r="AP229" t="n" s="2909">
        <v>134000</v>
      </c>
      <c r="DB229" s="2909" t="str">
        <f>IF($A229="","",IF(AND($A229=21,$AE229&amp;""="00000000"),IF($AH229=20,"病院",IF($AH229=5,"消防","市長")),"対象外"))</f>
        <v>対象外</v>
      </c>
    </row>
    <row r="230">
      <c r="A230" t="n" s="2909">
        <v>21</v>
      </c>
      <c r="AA230" t="n" s="2909">
        <v>21</v>
      </c>
      <c r="AB230" t="inlineStr" s="2909">
        <is>
          <t>19871001</t>
        </is>
      </c>
      <c r="AD230" t="n" s="2909">
        <v>0</v>
      </c>
      <c r="AE230" t="inlineStr" s="2909">
        <is>
          <t>00000000</t>
        </is>
      </c>
      <c r="AH230" t="n" s="2909">
        <v>20</v>
      </c>
      <c r="AJ230" t="n" s="2909">
        <v>10</v>
      </c>
      <c r="AP230" t="n" s="2909">
        <v>500000</v>
      </c>
      <c r="DB230" s="2909" t="str">
        <f>IF($A230="","",IF(AND($A230=21,$AE230&amp;""="00000000"),IF($AH230=20,"病院",IF($AH230=5,"消防","市長")),"対象外"))</f>
        <v>病院</v>
      </c>
    </row>
    <row r="231">
      <c r="A231" t="n" s="2909">
        <v>31</v>
      </c>
      <c r="AA231" t="n" s="2909">
        <v>21</v>
      </c>
      <c r="AB231" t="inlineStr" s="2909">
        <is>
          <t>20221001</t>
        </is>
      </c>
      <c r="AD231" t="n" s="2909">
        <v>0</v>
      </c>
      <c r="AE231" t="inlineStr" s="2909">
        <is>
          <t>00000000</t>
        </is>
      </c>
      <c r="AH231" t="n" s="2909">
        <v>11</v>
      </c>
      <c r="AJ231" t="n" s="2909">
        <v>41</v>
      </c>
      <c r="AP231" t="n" s="2909">
        <v>126000</v>
      </c>
      <c r="DB231" s="2909" t="str">
        <f>IF($A231="","",IF(AND($A231=21,$AE231&amp;""="00000000"),IF($AH231=20,"病院",IF($AH231=5,"消防","市長")),"対象外"))</f>
        <v>対象外</v>
      </c>
    </row>
    <row r="232">
      <c r="A232" t="n" s="2909">
        <v>31</v>
      </c>
      <c r="AA232" t="n" s="2909">
        <v>21</v>
      </c>
      <c r="AB232" t="inlineStr" s="2909">
        <is>
          <t>20221001</t>
        </is>
      </c>
      <c r="AD232" t="n" s="2909">
        <v>0</v>
      </c>
      <c r="AE232" t="inlineStr" s="2909">
        <is>
          <t>00000000</t>
        </is>
      </c>
      <c r="AH232" t="n" s="2909">
        <v>20</v>
      </c>
      <c r="AJ232" t="n" s="2909">
        <v>41</v>
      </c>
      <c r="AP232" t="n" s="2909">
        <v>220000</v>
      </c>
      <c r="DB232" s="2909" t="str">
        <f>IF($A232="","",IF(AND($A232=21,$AE232&amp;""="00000000"),IF($AH232=20,"病院",IF($AH232=5,"消防","市長")),"対象外"))</f>
        <v>対象外</v>
      </c>
    </row>
    <row r="233">
      <c r="A233" t="n" s="2909">
        <v>21</v>
      </c>
      <c r="AA233" t="n" s="2909">
        <v>21</v>
      </c>
      <c r="AB233" t="inlineStr" s="2909">
        <is>
          <t>19860401</t>
        </is>
      </c>
      <c r="AD233" t="n" s="2909">
        <v>0</v>
      </c>
      <c r="AE233" t="inlineStr" s="2909">
        <is>
          <t>00000000</t>
        </is>
      </c>
      <c r="AH233" t="n" s="2909">
        <v>1</v>
      </c>
      <c r="AJ233" t="n" s="2909">
        <v>10</v>
      </c>
      <c r="AP233" t="n" s="2909">
        <v>500000</v>
      </c>
      <c r="DB233" s="2909" t="str">
        <f>IF($A233="","",IF(AND($A233=21,$AE233&amp;""="00000000"),IF($AH233=20,"病院",IF($AH233=5,"消防","市長")),"対象外"))</f>
        <v>市長</v>
      </c>
    </row>
    <row r="234">
      <c r="A234" t="n" s="2909">
        <v>21</v>
      </c>
      <c r="AA234" t="n" s="2909">
        <v>21</v>
      </c>
      <c r="AB234" t="inlineStr" s="2909">
        <is>
          <t>19840401</t>
        </is>
      </c>
      <c r="AD234" t="n" s="2909">
        <v>0</v>
      </c>
      <c r="AE234" t="inlineStr" s="2909">
        <is>
          <t>00000000</t>
        </is>
      </c>
      <c r="AH234" t="n" s="2909">
        <v>11</v>
      </c>
      <c r="AJ234" t="n" s="2909">
        <v>10</v>
      </c>
      <c r="AP234" t="n" s="2909">
        <v>500000</v>
      </c>
      <c r="DB234" s="2909" t="str">
        <f>IF($A234="","",IF(AND($A234=21,$AE234&amp;""="00000000"),IF($AH234=20,"病院",IF($AH234=5,"消防","市長")),"対象外"))</f>
        <v>市長</v>
      </c>
    </row>
    <row r="235">
      <c r="A235" t="n" s="2909">
        <v>31</v>
      </c>
      <c r="AA235" t="n" s="2909">
        <v>21</v>
      </c>
      <c r="AB235" t="inlineStr" s="2909">
        <is>
          <t>20230401</t>
        </is>
      </c>
      <c r="AD235" t="n" s="2909">
        <v>0</v>
      </c>
      <c r="AE235" t="inlineStr" s="2909">
        <is>
          <t>00000000</t>
        </is>
      </c>
      <c r="AH235" t="n" s="2909">
        <v>1</v>
      </c>
      <c r="AJ235" t="n" s="2909">
        <v>41</v>
      </c>
      <c r="AP235" t="n" s="2909">
        <v>190000</v>
      </c>
      <c r="DB235" s="2909" t="str">
        <f>IF($A235="","",IF(AND($A235=21,$AE235&amp;""="00000000"),IF($AH235=20,"病院",IF($AH235=5,"消防","市長")),"対象外"))</f>
        <v>対象外</v>
      </c>
    </row>
    <row r="236">
      <c r="A236" t="n" s="2909">
        <v>31</v>
      </c>
      <c r="AA236" t="n" s="2909">
        <v>21</v>
      </c>
      <c r="AB236" t="inlineStr" s="2909">
        <is>
          <t>20200401</t>
        </is>
      </c>
      <c r="AD236" t="n" s="2909">
        <v>0</v>
      </c>
      <c r="AE236" t="inlineStr" s="2909">
        <is>
          <t>00000000</t>
        </is>
      </c>
      <c r="AH236" t="n" s="2909">
        <v>1</v>
      </c>
      <c r="AJ236" t="n" s="2909">
        <v>10</v>
      </c>
      <c r="AP236" t="n" s="2909">
        <v>260000</v>
      </c>
      <c r="DB236" s="2909" t="str">
        <f>IF($A236="","",IF(AND($A236=21,$AE236&amp;""="00000000"),IF($AH236=20,"病院",IF($AH236=5,"消防","市長")),"対象外"))</f>
        <v>対象外</v>
      </c>
    </row>
    <row r="237">
      <c r="A237" t="n" s="2909">
        <v>31</v>
      </c>
      <c r="AA237" t="n" s="2909">
        <v>21</v>
      </c>
      <c r="AB237" t="inlineStr" s="2909">
        <is>
          <t>20221001</t>
        </is>
      </c>
      <c r="AD237" t="n" s="2909">
        <v>0</v>
      </c>
      <c r="AE237" t="inlineStr" s="2909">
        <is>
          <t>00000000</t>
        </is>
      </c>
      <c r="AH237" t="n" s="2909">
        <v>11</v>
      </c>
      <c r="AJ237" t="n" s="2909">
        <v>41</v>
      </c>
      <c r="AP237" t="n" s="2909">
        <v>200000</v>
      </c>
      <c r="DB237" s="2909" t="str">
        <f>IF($A237="","",IF(AND($A237=21,$AE237&amp;""="00000000"),IF($AH237=20,"病院",IF($AH237=5,"消防","市長")),"対象外"))</f>
        <v>対象外</v>
      </c>
    </row>
    <row r="238">
      <c r="A238" t="n" s="2909">
        <v>31</v>
      </c>
      <c r="AA238" t="n" s="2909">
        <v>21</v>
      </c>
      <c r="AB238" t="inlineStr" s="2909">
        <is>
          <t>20210401</t>
        </is>
      </c>
      <c r="AD238" t="n" s="2909">
        <v>0</v>
      </c>
      <c r="AE238" t="inlineStr" s="2909">
        <is>
          <t>00000000</t>
        </is>
      </c>
      <c r="AH238" t="n" s="2909">
        <v>1</v>
      </c>
      <c r="AJ238" t="n" s="2909">
        <v>10</v>
      </c>
      <c r="AP238" t="n" s="2909">
        <v>320000</v>
      </c>
      <c r="DB238" s="2909" t="str">
        <f>IF($A238="","",IF(AND($A238=21,$AE238&amp;""="00000000"),IF($AH238=20,"病院",IF($AH238=5,"消防","市長")),"対象外"))</f>
        <v>対象外</v>
      </c>
    </row>
    <row r="239">
      <c r="A239" t="n" s="2909">
        <v>31</v>
      </c>
      <c r="AA239" t="n" s="2909">
        <v>21</v>
      </c>
      <c r="AB239" t="inlineStr" s="2909">
        <is>
          <t>20221001</t>
        </is>
      </c>
      <c r="AD239" t="n" s="2909">
        <v>0</v>
      </c>
      <c r="AE239" t="inlineStr" s="2909">
        <is>
          <t>00000000</t>
        </is>
      </c>
      <c r="AH239" t="n" s="2909">
        <v>1</v>
      </c>
      <c r="AJ239" t="n" s="2909">
        <v>41</v>
      </c>
      <c r="AP239" t="n" s="2909">
        <v>150000</v>
      </c>
      <c r="DB239" s="2909" t="str">
        <f>IF($A239="","",IF(AND($A239=21,$AE239&amp;""="00000000"),IF($AH239=20,"病院",IF($AH239=5,"消防","市長")),"対象外"))</f>
        <v>対象外</v>
      </c>
    </row>
    <row r="240">
      <c r="A240" t="n" s="2909">
        <v>21</v>
      </c>
      <c r="AA240" t="n" s="2909">
        <v>24</v>
      </c>
      <c r="AB240" t="inlineStr" s="2909">
        <is>
          <t>20150601</t>
        </is>
      </c>
      <c r="AD240" t="n" s="2909">
        <v>0</v>
      </c>
      <c r="AE240" t="inlineStr" s="2909">
        <is>
          <t>00000000</t>
        </is>
      </c>
      <c r="AH240" t="n" s="2909">
        <v>20</v>
      </c>
      <c r="AJ240" t="n" s="2909">
        <v>10</v>
      </c>
      <c r="AP240" t="n" s="2909">
        <v>340000</v>
      </c>
      <c r="DB240" s="2909" t="str">
        <f>IF($A240="","",IF(AND($A240=21,$AE240&amp;""="00000000"),IF($AH240=20,"病院",IF($AH240=5,"消防","市長")),"対象外"))</f>
        <v>病院</v>
      </c>
    </row>
    <row r="241">
      <c r="A241" t="n" s="2909">
        <v>21</v>
      </c>
      <c r="AA241" t="n" s="2909">
        <v>21</v>
      </c>
      <c r="AB241" t="inlineStr" s="2909">
        <is>
          <t>19890401</t>
        </is>
      </c>
      <c r="AD241" t="n" s="2909">
        <v>0</v>
      </c>
      <c r="AE241" t="inlineStr" s="2909">
        <is>
          <t>00000000</t>
        </is>
      </c>
      <c r="AH241" t="n" s="2909">
        <v>1</v>
      </c>
      <c r="AJ241" t="n" s="2909">
        <v>10</v>
      </c>
      <c r="AP241" t="n" s="2909">
        <v>500000</v>
      </c>
      <c r="DB241" s="2909" t="str">
        <f>IF($A241="","",IF(AND($A241=21,$AE241&amp;""="00000000"),IF($AH241=20,"病院",IF($AH241=5,"消防","市長")),"対象外"))</f>
        <v>市長</v>
      </c>
    </row>
    <row r="242">
      <c r="A242" t="n" s="2909">
        <v>31</v>
      </c>
      <c r="AA242" t="n" s="2909">
        <v>21</v>
      </c>
      <c r="AB242" t="inlineStr" s="2909">
        <is>
          <t>20221001</t>
        </is>
      </c>
      <c r="AD242" t="n" s="2909">
        <v>0</v>
      </c>
      <c r="AE242" t="inlineStr" s="2909">
        <is>
          <t>00000000</t>
        </is>
      </c>
      <c r="AH242" t="n" s="2909">
        <v>1</v>
      </c>
      <c r="AJ242" t="n" s="2909">
        <v>41</v>
      </c>
      <c r="AP242" t="n" s="2909">
        <v>200000</v>
      </c>
      <c r="DB242" s="2909" t="str">
        <f>IF($A242="","",IF(AND($A242=21,$AE242&amp;""="00000000"),IF($AH242=20,"病院",IF($AH242=5,"消防","市長")),"対象外"))</f>
        <v>対象外</v>
      </c>
    </row>
    <row r="243">
      <c r="A243" t="n" s="2909">
        <v>31</v>
      </c>
      <c r="AA243" t="n" s="2909">
        <v>21</v>
      </c>
      <c r="AB243" t="inlineStr" s="2909">
        <is>
          <t>20221001</t>
        </is>
      </c>
      <c r="AD243" t="n" s="2909">
        <v>0</v>
      </c>
      <c r="AE243" t="inlineStr" s="2909">
        <is>
          <t>00000000</t>
        </is>
      </c>
      <c r="AH243" t="n" s="2909">
        <v>1</v>
      </c>
      <c r="AJ243" t="n" s="2909">
        <v>41</v>
      </c>
      <c r="AP243" t="n" s="2909">
        <v>142000</v>
      </c>
      <c r="DB243" s="2909" t="str">
        <f>IF($A243="","",IF(AND($A243=21,$AE243&amp;""="00000000"),IF($AH243=20,"病院",IF($AH243=5,"消防","市長")),"対象外"))</f>
        <v>対象外</v>
      </c>
    </row>
    <row r="244">
      <c r="A244" t="n" s="2909">
        <v>31</v>
      </c>
      <c r="AA244" t="n" s="2909">
        <v>21</v>
      </c>
      <c r="AB244" t="inlineStr" s="2909">
        <is>
          <t>20221001</t>
        </is>
      </c>
      <c r="AD244" t="n" s="2909">
        <v>0</v>
      </c>
      <c r="AE244" t="inlineStr" s="2909">
        <is>
          <t>00000000</t>
        </is>
      </c>
      <c r="AH244" t="n" s="2909">
        <v>1</v>
      </c>
      <c r="AJ244" t="n" s="2909">
        <v>41</v>
      </c>
      <c r="AP244" t="n" s="2909">
        <v>142000</v>
      </c>
      <c r="DB244" s="2909" t="str">
        <f>IF($A244="","",IF(AND($A244=21,$AE244&amp;""="00000000"),IF($AH244=20,"病院",IF($AH244=5,"消防","市長")),"対象外"))</f>
        <v>対象外</v>
      </c>
    </row>
    <row r="245">
      <c r="A245" t="n" s="2909">
        <v>31</v>
      </c>
      <c r="AA245" t="n" s="2909">
        <v>21</v>
      </c>
      <c r="AB245" t="inlineStr" s="2909">
        <is>
          <t>20250411</t>
        </is>
      </c>
      <c r="AD245" t="n" s="2909">
        <v>0</v>
      </c>
      <c r="AE245" t="inlineStr" s="2909">
        <is>
          <t>00000000</t>
        </is>
      </c>
      <c r="AH245" t="n" s="2909">
        <v>11</v>
      </c>
      <c r="AJ245" t="n" s="2909">
        <v>41</v>
      </c>
      <c r="AP245" t="n" s="2909">
        <v>78000</v>
      </c>
      <c r="DB245" s="2909" t="str">
        <f>IF($A245="","",IF(AND($A245=21,$AE245&amp;""="00000000"),IF($AH245=20,"病院",IF($AH245=5,"消防","市長")),"対象外"))</f>
        <v>対象外</v>
      </c>
    </row>
    <row r="246">
      <c r="A246" t="n" s="2909">
        <v>31</v>
      </c>
      <c r="AA246" t="n" s="2909">
        <v>21</v>
      </c>
      <c r="AB246" t="inlineStr" s="2909">
        <is>
          <t>20221001</t>
        </is>
      </c>
      <c r="AD246" t="n" s="2909">
        <v>0</v>
      </c>
      <c r="AE246" t="inlineStr" s="2909">
        <is>
          <t>00000000</t>
        </is>
      </c>
      <c r="AH246" t="n" s="2909">
        <v>1</v>
      </c>
      <c r="AJ246" t="n" s="2909">
        <v>41</v>
      </c>
      <c r="AP246" t="n" s="2909">
        <v>150000</v>
      </c>
      <c r="DB246" s="2909" t="str">
        <f>IF($A246="","",IF(AND($A246=21,$AE246&amp;""="00000000"),IF($AH246=20,"病院",IF($AH246=5,"消防","市長")),"対象外"))</f>
        <v>対象外</v>
      </c>
    </row>
    <row r="247">
      <c r="A247" t="n" s="2909">
        <v>21</v>
      </c>
      <c r="AA247" t="n" s="2909">
        <v>21</v>
      </c>
      <c r="AB247" t="inlineStr" s="2909">
        <is>
          <t>20030401</t>
        </is>
      </c>
      <c r="AD247" t="n" s="2909">
        <v>0</v>
      </c>
      <c r="AE247" t="inlineStr" s="2909">
        <is>
          <t>00000000</t>
        </is>
      </c>
      <c r="AH247" t="n" s="2909">
        <v>11</v>
      </c>
      <c r="AJ247" t="n" s="2909">
        <v>10</v>
      </c>
      <c r="AP247" t="n" s="2909">
        <v>410000</v>
      </c>
      <c r="DB247" s="2909" t="str">
        <f>IF($A247="","",IF(AND($A247=21,$AE247&amp;""="00000000"),IF($AH247=20,"病院",IF($AH247=5,"消防","市長")),"対象外"))</f>
        <v>市長</v>
      </c>
    </row>
    <row r="248">
      <c r="A248" t="n" s="2909">
        <v>21</v>
      </c>
      <c r="AA248" t="n" s="2909">
        <v>21</v>
      </c>
      <c r="AB248" t="inlineStr" s="2909">
        <is>
          <t>20100401</t>
        </is>
      </c>
      <c r="AD248" t="n" s="2909">
        <v>0</v>
      </c>
      <c r="AE248" t="inlineStr" s="2909">
        <is>
          <t>00000000</t>
        </is>
      </c>
      <c r="AH248" t="n" s="2909">
        <v>1</v>
      </c>
      <c r="AJ248" t="n" s="2909">
        <v>10</v>
      </c>
      <c r="AP248" t="n" s="2909">
        <v>500000</v>
      </c>
      <c r="DB248" s="2909" t="str">
        <f>IF($A248="","",IF(AND($A248=21,$AE248&amp;""="00000000"),IF($AH248=20,"病院",IF($AH248=5,"消防","市長")),"対象外"))</f>
        <v>市長</v>
      </c>
    </row>
    <row r="249">
      <c r="A249" t="n" s="2909">
        <v>21</v>
      </c>
      <c r="AA249" t="n" s="2909">
        <v>21</v>
      </c>
      <c r="AB249" t="inlineStr" s="2909">
        <is>
          <t>19860901</t>
        </is>
      </c>
      <c r="AD249" t="n" s="2909">
        <v>0</v>
      </c>
      <c r="AE249" t="inlineStr" s="2909">
        <is>
          <t>00000000</t>
        </is>
      </c>
      <c r="AH249" t="n" s="2909">
        <v>20</v>
      </c>
      <c r="AJ249" t="n" s="2909">
        <v>10</v>
      </c>
      <c r="AP249" t="n" s="2909">
        <v>530000</v>
      </c>
      <c r="DB249" s="2909" t="str">
        <f>IF($A249="","",IF(AND($A249=21,$AE249&amp;""="00000000"),IF($AH249=20,"病院",IF($AH249=5,"消防","市長")),"対象外"))</f>
        <v>病院</v>
      </c>
    </row>
    <row r="250">
      <c r="A250" t="n" s="2909">
        <v>31</v>
      </c>
      <c r="AA250" t="n" s="2909">
        <v>21</v>
      </c>
      <c r="AB250" t="inlineStr" s="2909">
        <is>
          <t>20221001</t>
        </is>
      </c>
      <c r="AD250" t="n" s="2909">
        <v>0</v>
      </c>
      <c r="AE250" t="inlineStr" s="2909">
        <is>
          <t>00000000</t>
        </is>
      </c>
      <c r="AH250" t="n" s="2909">
        <v>1</v>
      </c>
      <c r="AJ250" t="n" s="2909">
        <v>41</v>
      </c>
      <c r="AP250" t="n" s="2909">
        <v>142000</v>
      </c>
      <c r="DB250" s="2909" t="str">
        <f>IF($A250="","",IF(AND($A250=21,$AE250&amp;""="00000000"),IF($AH250=20,"病院",IF($AH250=5,"消防","市長")),"対象外"))</f>
        <v>対象外</v>
      </c>
    </row>
    <row r="251">
      <c r="A251" t="n" s="2909">
        <v>21</v>
      </c>
      <c r="AA251" t="n" s="2909">
        <v>21</v>
      </c>
      <c r="AB251" t="inlineStr" s="2909">
        <is>
          <t>19840401</t>
        </is>
      </c>
      <c r="AD251" t="n" s="2909">
        <v>0</v>
      </c>
      <c r="AE251" t="inlineStr" s="2909">
        <is>
          <t>00000000</t>
        </is>
      </c>
      <c r="AH251" t="n" s="2909">
        <v>1</v>
      </c>
      <c r="AJ251" t="n" s="2909">
        <v>10</v>
      </c>
      <c r="AP251" t="n" s="2909">
        <v>590000</v>
      </c>
      <c r="DB251" s="2909" t="str">
        <f>IF($A251="","",IF(AND($A251=21,$AE251&amp;""="00000000"),IF($AH251=20,"病院",IF($AH251=5,"消防","市長")),"対象外"))</f>
        <v>市長</v>
      </c>
    </row>
    <row r="252">
      <c r="A252" t="n" s="2909">
        <v>21</v>
      </c>
      <c r="AA252" t="n" s="2909">
        <v>21</v>
      </c>
      <c r="AB252" t="inlineStr" s="2909">
        <is>
          <t>19840401</t>
        </is>
      </c>
      <c r="AD252" t="n" s="2909">
        <v>0</v>
      </c>
      <c r="AE252" t="inlineStr" s="2909">
        <is>
          <t>00000000</t>
        </is>
      </c>
      <c r="AH252" t="n" s="2909">
        <v>3</v>
      </c>
      <c r="AJ252" t="n" s="2909">
        <v>10</v>
      </c>
      <c r="AP252" t="n" s="2909">
        <v>470000</v>
      </c>
      <c r="DB252" s="2909" t="str">
        <f>IF($A252="","",IF(AND($A252=21,$AE252&amp;""="00000000"),IF($AH252=20,"病院",IF($AH252=5,"消防","市長")),"対象外"))</f>
        <v>市長</v>
      </c>
    </row>
    <row r="253">
      <c r="A253" t="n" s="2909">
        <v>31</v>
      </c>
      <c r="AA253" t="n" s="2909">
        <v>21</v>
      </c>
      <c r="AB253" t="inlineStr" s="2909">
        <is>
          <t>20221001</t>
        </is>
      </c>
      <c r="AD253" t="n" s="2909">
        <v>0</v>
      </c>
      <c r="AE253" t="inlineStr" s="2909">
        <is>
          <t>00000000</t>
        </is>
      </c>
      <c r="AH253" t="n" s="2909">
        <v>1</v>
      </c>
      <c r="AJ253" t="n" s="2909">
        <v>41</v>
      </c>
      <c r="AP253" t="n" s="2909">
        <v>200000</v>
      </c>
      <c r="DB253" s="2909" t="str">
        <f>IF($A253="","",IF(AND($A253=21,$AE253&amp;""="00000000"),IF($AH253=20,"病院",IF($AH253=5,"消防","市長")),"対象外"))</f>
        <v>対象外</v>
      </c>
    </row>
    <row r="254">
      <c r="A254" t="n" s="2909">
        <v>31</v>
      </c>
      <c r="AA254" t="n" s="2909">
        <v>21</v>
      </c>
      <c r="AB254" t="inlineStr" s="2909">
        <is>
          <t>20221001</t>
        </is>
      </c>
      <c r="AD254" t="n" s="2909">
        <v>0</v>
      </c>
      <c r="AE254" t="inlineStr" s="2909">
        <is>
          <t>00000000</t>
        </is>
      </c>
      <c r="AH254" t="n" s="2909">
        <v>1</v>
      </c>
      <c r="AJ254" t="n" s="2909">
        <v>41</v>
      </c>
      <c r="AP254" t="n" s="2909">
        <v>200000</v>
      </c>
      <c r="DB254" s="2909" t="str">
        <f>IF($A254="","",IF(AND($A254=21,$AE254&amp;""="00000000"),IF($AH254=20,"病院",IF($AH254=5,"消防","市長")),"対象外"))</f>
        <v>対象外</v>
      </c>
    </row>
    <row r="255">
      <c r="A255" t="n" s="2909">
        <v>31</v>
      </c>
      <c r="AA255" t="n" s="2909">
        <v>21</v>
      </c>
      <c r="AB255" t="inlineStr" s="2909">
        <is>
          <t>20221001</t>
        </is>
      </c>
      <c r="AD255" t="n" s="2909">
        <v>0</v>
      </c>
      <c r="AE255" t="inlineStr" s="2909">
        <is>
          <t>00000000</t>
        </is>
      </c>
      <c r="AH255" t="n" s="2909">
        <v>1</v>
      </c>
      <c r="AJ255" t="n" s="2909">
        <v>41</v>
      </c>
      <c r="AP255" t="n" s="2909">
        <v>134000</v>
      </c>
      <c r="DB255" s="2909" t="str">
        <f>IF($A255="","",IF(AND($A255=21,$AE255&amp;""="00000000"),IF($AH255=20,"病院",IF($AH255=5,"消防","市長")),"対象外"))</f>
        <v>対象外</v>
      </c>
    </row>
    <row r="256">
      <c r="A256" t="n" s="2909">
        <v>31</v>
      </c>
      <c r="AA256" t="n" s="2909">
        <v>21</v>
      </c>
      <c r="AB256" t="inlineStr" s="2909">
        <is>
          <t>20221001</t>
        </is>
      </c>
      <c r="AD256" t="n" s="2909">
        <v>0</v>
      </c>
      <c r="AE256" t="inlineStr" s="2909">
        <is>
          <t>00000000</t>
        </is>
      </c>
      <c r="AH256" t="n" s="2909">
        <v>11</v>
      </c>
      <c r="AJ256" t="n" s="2909">
        <v>41</v>
      </c>
      <c r="AP256" t="n" s="2909">
        <v>190000</v>
      </c>
      <c r="DB256" s="2909" t="str">
        <f>IF($A256="","",IF(AND($A256=21,$AE256&amp;""="00000000"),IF($AH256=20,"病院",IF($AH256=5,"消防","市長")),"対象外"))</f>
        <v>対象外</v>
      </c>
    </row>
    <row r="257">
      <c r="A257" t="n" s="2909">
        <v>31</v>
      </c>
      <c r="AA257" t="n" s="2909">
        <v>21</v>
      </c>
      <c r="AB257" t="inlineStr" s="2909">
        <is>
          <t>20221001</t>
        </is>
      </c>
      <c r="AD257" t="n" s="2909">
        <v>0</v>
      </c>
      <c r="AE257" t="inlineStr" s="2909">
        <is>
          <t>00000000</t>
        </is>
      </c>
      <c r="AH257" t="n" s="2909">
        <v>1</v>
      </c>
      <c r="AJ257" t="n" s="2909">
        <v>41</v>
      </c>
      <c r="AP257" t="n" s="2909">
        <v>220000</v>
      </c>
      <c r="DB257" s="2909" t="str">
        <f>IF($A257="","",IF(AND($A257=21,$AE257&amp;""="00000000"),IF($AH257=20,"病院",IF($AH257=5,"消防","市長")),"対象外"))</f>
        <v>対象外</v>
      </c>
    </row>
    <row r="258">
      <c r="A258" t="n" s="2909">
        <v>31</v>
      </c>
      <c r="AA258" t="n" s="2909">
        <v>21</v>
      </c>
      <c r="AB258" t="inlineStr" s="2909">
        <is>
          <t>20221001</t>
        </is>
      </c>
      <c r="AD258" t="n" s="2909">
        <v>0</v>
      </c>
      <c r="AE258" t="inlineStr" s="2909">
        <is>
          <t>00000000</t>
        </is>
      </c>
      <c r="AH258" t="n" s="2909">
        <v>1</v>
      </c>
      <c r="AJ258" t="n" s="2909">
        <v>41</v>
      </c>
      <c r="AP258" t="n" s="2909">
        <v>300000</v>
      </c>
      <c r="DB258" s="2909" t="str">
        <f>IF($A258="","",IF(AND($A258=21,$AE258&amp;""="00000000"),IF($AH258=20,"病院",IF($AH258=5,"消防","市長")),"対象外"))</f>
        <v>対象外</v>
      </c>
    </row>
    <row r="259">
      <c r="A259" t="n" s="2909">
        <v>21</v>
      </c>
      <c r="AA259" t="n" s="2909">
        <v>21</v>
      </c>
      <c r="AB259" t="inlineStr" s="2909">
        <is>
          <t>19880401</t>
        </is>
      </c>
      <c r="AD259" t="n" s="2909">
        <v>0</v>
      </c>
      <c r="AE259" t="inlineStr" s="2909">
        <is>
          <t>00000000</t>
        </is>
      </c>
      <c r="AH259" t="n" s="2909">
        <v>35</v>
      </c>
      <c r="AJ259" t="n" s="2909">
        <v>74</v>
      </c>
      <c r="AP259" t="n" s="2909">
        <v>530000</v>
      </c>
      <c r="DB259" s="2909" t="str">
        <f>IF($A259="","",IF(AND($A259=21,$AE259&amp;""="00000000"),IF($AH259=20,"病院",IF($AH259=5,"消防","市長")),"対象外"))</f>
        <v>市長</v>
      </c>
    </row>
    <row r="260">
      <c r="A260" t="n" s="2909">
        <v>21</v>
      </c>
      <c r="AA260" t="n" s="2909">
        <v>21</v>
      </c>
      <c r="AB260" t="inlineStr" s="2909">
        <is>
          <t>19880401</t>
        </is>
      </c>
      <c r="AD260" t="n" s="2909">
        <v>0</v>
      </c>
      <c r="AE260" t="inlineStr" s="2909">
        <is>
          <t>00000000</t>
        </is>
      </c>
      <c r="AH260" t="n" s="2909">
        <v>47</v>
      </c>
      <c r="AJ260" t="n" s="2909">
        <v>74</v>
      </c>
      <c r="AP260" t="n" s="2909">
        <v>470000</v>
      </c>
      <c r="DB260" s="2909" t="str">
        <f>IF($A260="","",IF(AND($A260=21,$AE260&amp;""="00000000"),IF($AH260=20,"病院",IF($AH260=5,"消防","市長")),"対象外"))</f>
        <v>市長</v>
      </c>
    </row>
    <row r="261">
      <c r="A261" t="n" s="2909">
        <v>31</v>
      </c>
      <c r="AA261" t="n" s="2909">
        <v>21</v>
      </c>
      <c r="AB261" t="inlineStr" s="2909">
        <is>
          <t>20230401</t>
        </is>
      </c>
      <c r="AD261" t="n" s="2909">
        <v>0</v>
      </c>
      <c r="AE261" t="inlineStr" s="2909">
        <is>
          <t>00000000</t>
        </is>
      </c>
      <c r="AH261" t="n" s="2909">
        <v>11</v>
      </c>
      <c r="AJ261" t="n" s="2909">
        <v>41</v>
      </c>
      <c r="AP261" t="n" s="2909">
        <v>180000</v>
      </c>
      <c r="DB261" s="2909" t="str">
        <f>IF($A261="","",IF(AND($A261=21,$AE261&amp;""="00000000"),IF($AH261=20,"病院",IF($AH261=5,"消防","市長")),"対象外"))</f>
        <v>対象外</v>
      </c>
    </row>
    <row r="262">
      <c r="A262" t="n" s="2909">
        <v>31</v>
      </c>
      <c r="AA262" t="n" s="2909">
        <v>21</v>
      </c>
      <c r="AB262" t="inlineStr" s="2909">
        <is>
          <t>20221001</t>
        </is>
      </c>
      <c r="AD262" t="n" s="2909">
        <v>0</v>
      </c>
      <c r="AE262" t="inlineStr" s="2909">
        <is>
          <t>00000000</t>
        </is>
      </c>
      <c r="AH262" t="n" s="2909">
        <v>1</v>
      </c>
      <c r="AJ262" t="n" s="2909">
        <v>41</v>
      </c>
      <c r="AP262" t="n" s="2909">
        <v>190000</v>
      </c>
      <c r="DB262" s="2909" t="str">
        <f>IF($A262="","",IF(AND($A262=21,$AE262&amp;""="00000000"),IF($AH262=20,"病院",IF($AH262=5,"消防","市長")),"対象外"))</f>
        <v>対象外</v>
      </c>
    </row>
    <row r="263">
      <c r="A263" t="n" s="2909">
        <v>31</v>
      </c>
      <c r="AA263" t="n" s="2909">
        <v>21</v>
      </c>
      <c r="AB263" t="inlineStr" s="2909">
        <is>
          <t>20210401</t>
        </is>
      </c>
      <c r="AD263" t="n" s="2909">
        <v>0</v>
      </c>
      <c r="AE263" t="inlineStr" s="2909">
        <is>
          <t>00000000</t>
        </is>
      </c>
      <c r="AH263" t="n" s="2909">
        <v>1</v>
      </c>
      <c r="AJ263" t="n" s="2909">
        <v>10</v>
      </c>
      <c r="AP263" t="n" s="2909">
        <v>280000</v>
      </c>
      <c r="DB263" s="2909" t="str">
        <f>IF($A263="","",IF(AND($A263=21,$AE263&amp;""="00000000"),IF($AH263=20,"病院",IF($AH263=5,"消防","市長")),"対象外"))</f>
        <v>対象外</v>
      </c>
    </row>
    <row r="264">
      <c r="A264" t="n" s="2909">
        <v>31</v>
      </c>
      <c r="AA264" t="n" s="2909">
        <v>21</v>
      </c>
      <c r="AB264" t="inlineStr" s="2909">
        <is>
          <t>20221001</t>
        </is>
      </c>
      <c r="AD264" t="n" s="2909">
        <v>0</v>
      </c>
      <c r="AE264" t="inlineStr" s="2909">
        <is>
          <t>00000000</t>
        </is>
      </c>
      <c r="AH264" t="n" s="2909">
        <v>1</v>
      </c>
      <c r="AJ264" t="n" s="2909">
        <v>41</v>
      </c>
      <c r="AP264" t="n" s="2909">
        <v>220000</v>
      </c>
      <c r="DB264" s="2909" t="str">
        <f>IF($A264="","",IF(AND($A264=21,$AE264&amp;""="00000000"),IF($AH264=20,"病院",IF($AH264=5,"消防","市長")),"対象外"))</f>
        <v>対象外</v>
      </c>
    </row>
    <row r="265">
      <c r="A265" t="n" s="2909">
        <v>21</v>
      </c>
      <c r="AA265" t="n" s="2909">
        <v>21</v>
      </c>
      <c r="AB265" t="inlineStr" s="2909">
        <is>
          <t>20030401</t>
        </is>
      </c>
      <c r="AD265" t="n" s="2909">
        <v>0</v>
      </c>
      <c r="AE265" t="inlineStr" s="2909">
        <is>
          <t>00000000</t>
        </is>
      </c>
      <c r="AH265" t="n" s="2909">
        <v>11</v>
      </c>
      <c r="AJ265" t="n" s="2909">
        <v>10</v>
      </c>
      <c r="AP265" t="n" s="2909">
        <v>410000</v>
      </c>
      <c r="DB265" s="2909" t="str">
        <f>IF($A265="","",IF(AND($A265=21,$AE265&amp;""="00000000"),IF($AH265=20,"病院",IF($AH265=5,"消防","市長")),"対象外"))</f>
        <v>市長</v>
      </c>
    </row>
    <row r="266">
      <c r="A266" t="n" s="2909">
        <v>31</v>
      </c>
      <c r="AA266" t="n" s="2909">
        <v>21</v>
      </c>
      <c r="AB266" t="inlineStr" s="2909">
        <is>
          <t>20221001</t>
        </is>
      </c>
      <c r="AD266" t="n" s="2909">
        <v>0</v>
      </c>
      <c r="AE266" t="inlineStr" s="2909">
        <is>
          <t>00000000</t>
        </is>
      </c>
      <c r="AH266" t="n" s="2909">
        <v>11</v>
      </c>
      <c r="AJ266" t="n" s="2909">
        <v>41</v>
      </c>
      <c r="AP266" t="n" s="2909">
        <v>118000</v>
      </c>
      <c r="DB266" s="2909" t="str">
        <f>IF($A266="","",IF(AND($A266=21,$AE266&amp;""="00000000"),IF($AH266=20,"病院",IF($AH266=5,"消防","市長")),"対象外"))</f>
        <v>対象外</v>
      </c>
    </row>
    <row r="267">
      <c r="A267" t="n" s="2909">
        <v>31</v>
      </c>
      <c r="AA267" t="n" s="2909">
        <v>21</v>
      </c>
      <c r="AB267" t="inlineStr" s="2909">
        <is>
          <t>20200401</t>
        </is>
      </c>
      <c r="AD267" t="n" s="2909">
        <v>0</v>
      </c>
      <c r="AE267" t="inlineStr" s="2909">
        <is>
          <t>00000000</t>
        </is>
      </c>
      <c r="AH267" t="n" s="2909">
        <v>1</v>
      </c>
      <c r="AJ267" t="n" s="2909">
        <v>10</v>
      </c>
      <c r="AP267" t="n" s="2909">
        <v>260000</v>
      </c>
      <c r="DB267" s="2909" t="str">
        <f>IF($A267="","",IF(AND($A267=21,$AE267&amp;""="00000000"),IF($AH267=20,"病院",IF($AH267=5,"消防","市長")),"対象外"))</f>
        <v>対象外</v>
      </c>
    </row>
    <row r="268">
      <c r="A268" t="n" s="2909">
        <v>31</v>
      </c>
      <c r="AA268" t="n" s="2909">
        <v>21</v>
      </c>
      <c r="AB268" t="inlineStr" s="2909">
        <is>
          <t>20221001</t>
        </is>
      </c>
      <c r="AD268" t="n" s="2909">
        <v>0</v>
      </c>
      <c r="AE268" t="inlineStr" s="2909">
        <is>
          <t>00000000</t>
        </is>
      </c>
      <c r="AH268" t="n" s="2909">
        <v>11</v>
      </c>
      <c r="AJ268" t="n" s="2909">
        <v>41</v>
      </c>
      <c r="AP268" t="n" s="2909">
        <v>126000</v>
      </c>
      <c r="DB268" s="2909" t="str">
        <f>IF($A268="","",IF(AND($A268=21,$AE268&amp;""="00000000"),IF($AH268=20,"病院",IF($AH268=5,"消防","市長")),"対象外"))</f>
        <v>対象外</v>
      </c>
    </row>
    <row r="269">
      <c r="A269" t="n" s="2909">
        <v>31</v>
      </c>
      <c r="AA269" t="n" s="2909">
        <v>24</v>
      </c>
      <c r="AB269" t="inlineStr" s="2909">
        <is>
          <t>20250408</t>
        </is>
      </c>
      <c r="AD269" t="n" s="2909">
        <v>0</v>
      </c>
      <c r="AE269" t="inlineStr" s="2909">
        <is>
          <t>00000000</t>
        </is>
      </c>
      <c r="AH269" t="n" s="2909">
        <v>11</v>
      </c>
      <c r="AJ269" t="n" s="2909">
        <v>41</v>
      </c>
      <c r="AP269" t="n" s="2909">
        <v>126000</v>
      </c>
      <c r="DB269" s="2909" t="str">
        <f>IF($A269="","",IF(AND($A269=21,$AE269&amp;""="00000000"),IF($AH269=20,"病院",IF($AH269=5,"消防","市長")),"対象外"))</f>
        <v>対象外</v>
      </c>
    </row>
    <row r="270">
      <c r="A270" t="n" s="2909">
        <v>31</v>
      </c>
      <c r="AA270" t="n" s="2909">
        <v>21</v>
      </c>
      <c r="AB270" t="inlineStr" s="2909">
        <is>
          <t>20221001</t>
        </is>
      </c>
      <c r="AD270" t="n" s="2909">
        <v>0</v>
      </c>
      <c r="AE270" t="inlineStr" s="2909">
        <is>
          <t>00000000</t>
        </is>
      </c>
      <c r="AH270" t="n" s="2909">
        <v>11</v>
      </c>
      <c r="AJ270" t="n" s="2909">
        <v>41</v>
      </c>
      <c r="AP270" t="n" s="2909">
        <v>190000</v>
      </c>
      <c r="DB270" s="2909" t="str">
        <f>IF($A270="","",IF(AND($A270=21,$AE270&amp;""="00000000"),IF($AH270=20,"病院",IF($AH270=5,"消防","市長")),"対象外"))</f>
        <v>対象外</v>
      </c>
    </row>
    <row r="271">
      <c r="A271" t="n" s="2909">
        <v>31</v>
      </c>
      <c r="AA271" t="n" s="2909">
        <v>21</v>
      </c>
      <c r="AB271" t="inlineStr" s="2909">
        <is>
          <t>20221001</t>
        </is>
      </c>
      <c r="AD271" t="n" s="2909">
        <v>0</v>
      </c>
      <c r="AE271" t="inlineStr" s="2909">
        <is>
          <t>00000000</t>
        </is>
      </c>
      <c r="AH271" t="n" s="2909">
        <v>1</v>
      </c>
      <c r="AJ271" t="n" s="2909">
        <v>41</v>
      </c>
      <c r="AP271" t="n" s="2909">
        <v>190000</v>
      </c>
      <c r="DB271" s="2909" t="str">
        <f>IF($A271="","",IF(AND($A271=21,$AE271&amp;""="00000000"),IF($AH271=20,"病院",IF($AH271=5,"消防","市長")),"対象外"))</f>
        <v>対象外</v>
      </c>
    </row>
    <row r="272">
      <c r="A272" t="n" s="2909">
        <v>31</v>
      </c>
      <c r="AA272" t="n" s="2909">
        <v>21</v>
      </c>
      <c r="AB272" t="inlineStr" s="2909">
        <is>
          <t>20221001</t>
        </is>
      </c>
      <c r="AD272" t="n" s="2909">
        <v>0</v>
      </c>
      <c r="AE272" t="inlineStr" s="2909">
        <is>
          <t>00000000</t>
        </is>
      </c>
      <c r="AH272" t="n" s="2909">
        <v>1</v>
      </c>
      <c r="AJ272" t="n" s="2909">
        <v>41</v>
      </c>
      <c r="AP272" t="n" s="2909">
        <v>220000</v>
      </c>
      <c r="DB272" s="2909" t="str">
        <f>IF($A272="","",IF(AND($A272=21,$AE272&amp;""="00000000"),IF($AH272=20,"病院",IF($AH272=5,"消防","市長")),"対象外"))</f>
        <v>対象外</v>
      </c>
    </row>
    <row r="273">
      <c r="A273" t="n" s="2909">
        <v>21</v>
      </c>
      <c r="AA273" t="n" s="2909">
        <v>21</v>
      </c>
      <c r="AB273" t="inlineStr" s="2909">
        <is>
          <t>20020401</t>
        </is>
      </c>
      <c r="AD273" t="n" s="2909">
        <v>0</v>
      </c>
      <c r="AE273" t="inlineStr" s="2909">
        <is>
          <t>00000000</t>
        </is>
      </c>
      <c r="AH273" t="n" s="2909">
        <v>1</v>
      </c>
      <c r="AJ273" t="n" s="2909">
        <v>10</v>
      </c>
      <c r="AP273" t="n" s="2909">
        <v>440000</v>
      </c>
      <c r="DB273" s="2909" t="str">
        <f>IF($A273="","",IF(AND($A273=21,$AE273&amp;""="00000000"),IF($AH273=20,"病院",IF($AH273=5,"消防","市長")),"対象外"))</f>
        <v>市長</v>
      </c>
    </row>
    <row r="274">
      <c r="A274" t="n" s="2909">
        <v>21</v>
      </c>
      <c r="AA274" t="n" s="2909">
        <v>21</v>
      </c>
      <c r="AB274" t="inlineStr" s="2909">
        <is>
          <t>20040401</t>
        </is>
      </c>
      <c r="AD274" t="n" s="2909">
        <v>0</v>
      </c>
      <c r="AE274" t="inlineStr" s="2909">
        <is>
          <t>00000000</t>
        </is>
      </c>
      <c r="AH274" t="n" s="2909">
        <v>11</v>
      </c>
      <c r="AJ274" t="n" s="2909">
        <v>10</v>
      </c>
      <c r="AP274" t="n" s="2909">
        <v>410000</v>
      </c>
      <c r="DB274" s="2909" t="str">
        <f>IF($A274="","",IF(AND($A274=21,$AE274&amp;""="00000000"),IF($AH274=20,"病院",IF($AH274=5,"消防","市長")),"対象外"))</f>
        <v>市長</v>
      </c>
    </row>
    <row r="275">
      <c r="A275" t="n" s="2909">
        <v>31</v>
      </c>
      <c r="AA275" t="n" s="2909">
        <v>21</v>
      </c>
      <c r="AB275" t="inlineStr" s="2909">
        <is>
          <t>20221001</t>
        </is>
      </c>
      <c r="AD275" t="n" s="2909">
        <v>0</v>
      </c>
      <c r="AE275" t="inlineStr" s="2909">
        <is>
          <t>00000000</t>
        </is>
      </c>
      <c r="AH275" t="n" s="2909">
        <v>1</v>
      </c>
      <c r="AJ275" t="n" s="2909">
        <v>41</v>
      </c>
      <c r="AP275" t="n" s="2909">
        <v>142000</v>
      </c>
      <c r="DB275" s="2909" t="str">
        <f>IF($A275="","",IF(AND($A275=21,$AE275&amp;""="00000000"),IF($AH275=20,"病院",IF($AH275=5,"消防","市長")),"対象外"))</f>
        <v>対象外</v>
      </c>
    </row>
    <row r="276">
      <c r="A276" t="n" s="2909">
        <v>21</v>
      </c>
      <c r="AA276" t="n" s="2909">
        <v>21</v>
      </c>
      <c r="AB276" t="inlineStr" s="2909">
        <is>
          <t>19871201</t>
        </is>
      </c>
      <c r="AD276" t="n" s="2909">
        <v>0</v>
      </c>
      <c r="AE276" t="inlineStr" s="2909">
        <is>
          <t>00000000</t>
        </is>
      </c>
      <c r="AH276" t="n" s="2909">
        <v>20</v>
      </c>
      <c r="AJ276" t="n" s="2909">
        <v>10</v>
      </c>
      <c r="AP276" t="n" s="2909">
        <v>530000</v>
      </c>
      <c r="DB276" s="2909" t="str">
        <f>IF($A276="","",IF(AND($A276=21,$AE276&amp;""="00000000"),IF($AH276=20,"病院",IF($AH276=5,"消防","市長")),"対象外"))</f>
        <v>病院</v>
      </c>
    </row>
    <row r="277">
      <c r="A277" t="n" s="2909">
        <v>21</v>
      </c>
      <c r="AA277" t="n" s="2909">
        <v>21</v>
      </c>
      <c r="AB277" t="inlineStr" s="2909">
        <is>
          <t>19860916</t>
        </is>
      </c>
      <c r="AD277" t="n" s="2909">
        <v>0</v>
      </c>
      <c r="AE277" t="inlineStr" s="2909">
        <is>
          <t>00000000</t>
        </is>
      </c>
      <c r="AH277" t="n" s="2909">
        <v>20</v>
      </c>
      <c r="AJ277" t="n" s="2909">
        <v>10</v>
      </c>
      <c r="AP277" t="n" s="2909">
        <v>500000</v>
      </c>
      <c r="DB277" s="2909" t="str">
        <f>IF($A277="","",IF(AND($A277=21,$AE277&amp;""="00000000"),IF($AH277=20,"病院",IF($AH277=5,"消防","市長")),"対象外"))</f>
        <v>病院</v>
      </c>
    </row>
    <row r="278">
      <c r="A278" t="n" s="2909">
        <v>31</v>
      </c>
      <c r="AA278" t="n" s="2909">
        <v>21</v>
      </c>
      <c r="AB278" t="inlineStr" s="2909">
        <is>
          <t>20221001</t>
        </is>
      </c>
      <c r="AD278" t="n" s="2909">
        <v>0</v>
      </c>
      <c r="AE278" t="inlineStr" s="2909">
        <is>
          <t>00000000</t>
        </is>
      </c>
      <c r="AH278" t="n" s="2909">
        <v>11</v>
      </c>
      <c r="AJ278" t="n" s="2909">
        <v>41</v>
      </c>
      <c r="AP278" t="n" s="2909">
        <v>190000</v>
      </c>
      <c r="DB278" s="2909" t="str">
        <f>IF($A278="","",IF(AND($A278=21,$AE278&amp;""="00000000"),IF($AH278=20,"病院",IF($AH278=5,"消防","市長")),"対象外"))</f>
        <v>対象外</v>
      </c>
    </row>
    <row r="279">
      <c r="A279" t="n" s="2909">
        <v>31</v>
      </c>
      <c r="AA279" t="n" s="2909">
        <v>21</v>
      </c>
      <c r="AB279" t="inlineStr" s="2909">
        <is>
          <t>20221001</t>
        </is>
      </c>
      <c r="AD279" t="n" s="2909">
        <v>0</v>
      </c>
      <c r="AE279" t="inlineStr" s="2909">
        <is>
          <t>00000000</t>
        </is>
      </c>
      <c r="AH279" t="n" s="2909">
        <v>11</v>
      </c>
      <c r="AJ279" t="n" s="2909">
        <v>41</v>
      </c>
      <c r="AP279" t="n" s="2909">
        <v>180000</v>
      </c>
      <c r="DB279" s="2909" t="str">
        <f>IF($A279="","",IF(AND($A279=21,$AE279&amp;""="00000000"),IF($AH279=20,"病院",IF($AH279=5,"消防","市長")),"対象外"))</f>
        <v>対象外</v>
      </c>
    </row>
    <row r="280">
      <c r="A280" t="n" s="2909">
        <v>21</v>
      </c>
      <c r="AA280" t="n" s="2909">
        <v>21</v>
      </c>
      <c r="AB280" t="inlineStr" s="2909">
        <is>
          <t>19890401</t>
        </is>
      </c>
      <c r="AD280" t="n" s="2909">
        <v>0</v>
      </c>
      <c r="AE280" t="inlineStr" s="2909">
        <is>
          <t>00000000</t>
        </is>
      </c>
      <c r="AH280" t="n" s="2909">
        <v>1</v>
      </c>
      <c r="AJ280" t="n" s="2909">
        <v>10</v>
      </c>
      <c r="AP280" t="n" s="2909">
        <v>620000</v>
      </c>
      <c r="DB280" s="2909" t="str">
        <f>IF($A280="","",IF(AND($A280=21,$AE280&amp;""="00000000"),IF($AH280=20,"病院",IF($AH280=5,"消防","市長")),"対象外"))</f>
        <v>市長</v>
      </c>
    </row>
    <row r="281">
      <c r="A281" t="n" s="2909">
        <v>21</v>
      </c>
      <c r="AA281" t="n" s="2909">
        <v>21</v>
      </c>
      <c r="AB281" t="inlineStr" s="2909">
        <is>
          <t>19860701</t>
        </is>
      </c>
      <c r="AD281" t="n" s="2909">
        <v>0</v>
      </c>
      <c r="AE281" t="inlineStr" s="2909">
        <is>
          <t>00000000</t>
        </is>
      </c>
      <c r="AH281" t="n" s="2909">
        <v>1</v>
      </c>
      <c r="AJ281" t="n" s="2909">
        <v>10</v>
      </c>
      <c r="AP281" t="n" s="2909">
        <v>500000</v>
      </c>
      <c r="DB281" s="2909" t="str">
        <f>IF($A281="","",IF(AND($A281=21,$AE281&amp;""="00000000"),IF($AH281=20,"病院",IF($AH281=5,"消防","市長")),"対象外"))</f>
        <v>市長</v>
      </c>
    </row>
    <row r="282">
      <c r="A282" t="n" s="2909">
        <v>31</v>
      </c>
      <c r="AA282" t="n" s="2909">
        <v>21</v>
      </c>
      <c r="AB282" t="inlineStr" s="2909">
        <is>
          <t>20240401</t>
        </is>
      </c>
      <c r="AD282" t="n" s="2909">
        <v>0</v>
      </c>
      <c r="AE282" t="inlineStr" s="2909">
        <is>
          <t>00000000</t>
        </is>
      </c>
      <c r="AH282" t="n" s="2909">
        <v>1</v>
      </c>
      <c r="AJ282" t="n" s="2909">
        <v>41</v>
      </c>
      <c r="AP282" t="n" s="2909">
        <v>190000</v>
      </c>
      <c r="DB282" s="2909" t="str">
        <f>IF($A282="","",IF(AND($A282=21,$AE282&amp;""="00000000"),IF($AH282=20,"病院",IF($AH282=5,"消防","市長")),"対象外"))</f>
        <v>対象外</v>
      </c>
    </row>
    <row r="283">
      <c r="A283" t="n" s="2909">
        <v>21</v>
      </c>
      <c r="AA283" t="n" s="2909">
        <v>21</v>
      </c>
      <c r="AB283" t="inlineStr" s="2909">
        <is>
          <t>19860401</t>
        </is>
      </c>
      <c r="AD283" t="n" s="2909">
        <v>0</v>
      </c>
      <c r="AE283" t="inlineStr" s="2909">
        <is>
          <t>00000000</t>
        </is>
      </c>
      <c r="AH283" t="n" s="2909">
        <v>1</v>
      </c>
      <c r="AJ283" t="n" s="2909">
        <v>10</v>
      </c>
      <c r="AP283" t="n" s="2909">
        <v>530000</v>
      </c>
      <c r="DB283" s="2909" t="str">
        <f>IF($A283="","",IF(AND($A283=21,$AE283&amp;""="00000000"),IF($AH283=20,"病院",IF($AH283=5,"消防","市長")),"対象外"))</f>
        <v>市長</v>
      </c>
    </row>
    <row r="284">
      <c r="A284" t="n" s="2909">
        <v>21</v>
      </c>
      <c r="AA284" t="n" s="2909">
        <v>21</v>
      </c>
      <c r="AB284" t="inlineStr" s="2909">
        <is>
          <t>19840401</t>
        </is>
      </c>
      <c r="AD284" t="n" s="2909">
        <v>0</v>
      </c>
      <c r="AE284" t="inlineStr" s="2909">
        <is>
          <t>00000000</t>
        </is>
      </c>
      <c r="AH284" t="n" s="2909">
        <v>1</v>
      </c>
      <c r="AJ284" t="n" s="2909">
        <v>10</v>
      </c>
      <c r="AP284" t="n" s="2909">
        <v>620000</v>
      </c>
      <c r="DB284" s="2909" t="str">
        <f>IF($A284="","",IF(AND($A284=21,$AE284&amp;""="00000000"),IF($AH284=20,"病院",IF($AH284=5,"消防","市長")),"対象外"))</f>
        <v>市長</v>
      </c>
    </row>
    <row r="285">
      <c r="A285" t="n" s="2909">
        <v>31</v>
      </c>
      <c r="AA285" t="n" s="2909">
        <v>21</v>
      </c>
      <c r="AB285" t="inlineStr" s="2909">
        <is>
          <t>20221001</t>
        </is>
      </c>
      <c r="AD285" t="n" s="2909">
        <v>0</v>
      </c>
      <c r="AE285" t="inlineStr" s="2909">
        <is>
          <t>00000000</t>
        </is>
      </c>
      <c r="AH285" t="n" s="2909">
        <v>1</v>
      </c>
      <c r="AJ285" t="n" s="2909">
        <v>41</v>
      </c>
      <c r="AP285" t="n" s="2909">
        <v>200000</v>
      </c>
      <c r="DB285" s="2909" t="str">
        <f>IF($A285="","",IF(AND($A285=21,$AE285&amp;""="00000000"),IF($AH285=20,"病院",IF($AH285=5,"消防","市長")),"対象外"))</f>
        <v>対象外</v>
      </c>
    </row>
    <row r="286">
      <c r="A286" t="n" s="2909">
        <v>21</v>
      </c>
      <c r="AA286" t="n" s="2909">
        <v>21</v>
      </c>
      <c r="AB286" t="inlineStr" s="2909">
        <is>
          <t>19960401</t>
        </is>
      </c>
      <c r="AD286" t="n" s="2909">
        <v>0</v>
      </c>
      <c r="AE286" t="inlineStr" s="2909">
        <is>
          <t>00000000</t>
        </is>
      </c>
      <c r="AH286" t="n" s="2909">
        <v>11</v>
      </c>
      <c r="AJ286" t="n" s="2909">
        <v>10</v>
      </c>
      <c r="AP286" t="n" s="2909">
        <v>440000</v>
      </c>
      <c r="DB286" s="2909" t="str">
        <f>IF($A286="","",IF(AND($A286=21,$AE286&amp;""="00000000"),IF($AH286=20,"病院",IF($AH286=5,"消防","市長")),"対象外"))</f>
        <v>市長</v>
      </c>
    </row>
    <row r="287">
      <c r="A287" t="n" s="2909">
        <v>21</v>
      </c>
      <c r="AA287" t="n" s="2909">
        <v>24</v>
      </c>
      <c r="AB287" t="inlineStr" s="2909">
        <is>
          <t>20160601</t>
        </is>
      </c>
      <c r="AD287" t="n" s="2909">
        <v>0</v>
      </c>
      <c r="AE287" t="inlineStr" s="2909">
        <is>
          <t>00000000</t>
        </is>
      </c>
      <c r="AH287" t="n" s="2909">
        <v>20</v>
      </c>
      <c r="AJ287" t="n" s="2909">
        <v>10</v>
      </c>
      <c r="AP287" t="n" s="2909">
        <v>300000</v>
      </c>
      <c r="DB287" s="2909" t="str">
        <f>IF($A287="","",IF(AND($A287=21,$AE287&amp;""="00000000"),IF($AH287=20,"病院",IF($AH287=5,"消防","市長")),"対象外"))</f>
        <v>病院</v>
      </c>
    </row>
    <row r="288">
      <c r="A288" t="n" s="2909">
        <v>31</v>
      </c>
      <c r="AA288" t="n" s="2909">
        <v>21</v>
      </c>
      <c r="AB288" t="inlineStr" s="2909">
        <is>
          <t>20200601</t>
        </is>
      </c>
      <c r="AD288" t="n" s="2909">
        <v>0</v>
      </c>
      <c r="AE288" t="inlineStr" s="2909">
        <is>
          <t>00000000</t>
        </is>
      </c>
      <c r="AH288" t="n" s="2909">
        <v>1</v>
      </c>
      <c r="AJ288" t="n" s="2909">
        <v>10</v>
      </c>
      <c r="AP288" t="n" s="2909">
        <v>280000</v>
      </c>
      <c r="DB288" s="2909" t="str">
        <f>IF($A288="","",IF(AND($A288=21,$AE288&amp;""="00000000"),IF($AH288=20,"病院",IF($AH288=5,"消防","市長")),"対象外"))</f>
        <v>対象外</v>
      </c>
    </row>
    <row r="289">
      <c r="A289" t="n" s="2909">
        <v>31</v>
      </c>
      <c r="AA289" t="n" s="2909">
        <v>21</v>
      </c>
      <c r="AB289" t="inlineStr" s="2909">
        <is>
          <t>20221001</t>
        </is>
      </c>
      <c r="AD289" t="n" s="2909">
        <v>0</v>
      </c>
      <c r="AE289" t="inlineStr" s="2909">
        <is>
          <t>00000000</t>
        </is>
      </c>
      <c r="AH289" t="n" s="2909">
        <v>1</v>
      </c>
      <c r="AJ289" t="n" s="2909">
        <v>41</v>
      </c>
      <c r="AP289" t="n" s="2909">
        <v>104000</v>
      </c>
      <c r="DB289" s="2909" t="str">
        <f>IF($A289="","",IF(AND($A289=21,$AE289&amp;""="00000000"),IF($AH289=20,"病院",IF($AH289=5,"消防","市長")),"対象外"))</f>
        <v>対象外</v>
      </c>
    </row>
    <row r="290">
      <c r="A290" t="n" s="2909">
        <v>31</v>
      </c>
      <c r="AA290" t="n" s="2909">
        <v>24</v>
      </c>
      <c r="AB290" t="inlineStr" s="2909">
        <is>
          <t>20251001</t>
        </is>
      </c>
      <c r="AD290" t="n" s="2909">
        <v>0</v>
      </c>
      <c r="AE290" t="inlineStr" s="2909">
        <is>
          <t>00000000</t>
        </is>
      </c>
      <c r="AH290" t="n" s="2909">
        <v>27</v>
      </c>
      <c r="AJ290" t="n" s="2909">
        <v>41</v>
      </c>
      <c r="AP290" t="n" s="2909">
        <v>190000</v>
      </c>
      <c r="DB290" s="2909" t="str">
        <f>IF($A290="","",IF(AND($A290=21,$AE290&amp;""="00000000"),IF($AH290=20,"病院",IF($AH290=5,"消防","市長")),"対象外"))</f>
        <v>対象外</v>
      </c>
    </row>
    <row r="291">
      <c r="A291" t="n" s="2909">
        <v>31</v>
      </c>
      <c r="AA291" t="n" s="2909">
        <v>21</v>
      </c>
      <c r="AB291" t="inlineStr" s="2909">
        <is>
          <t>20221001</t>
        </is>
      </c>
      <c r="AD291" t="n" s="2909">
        <v>0</v>
      </c>
      <c r="AE291" t="inlineStr" s="2909">
        <is>
          <t>00000000</t>
        </is>
      </c>
      <c r="AH291" t="n" s="2909">
        <v>1</v>
      </c>
      <c r="AJ291" t="n" s="2909">
        <v>41</v>
      </c>
      <c r="AP291" t="n" s="2909">
        <v>150000</v>
      </c>
      <c r="DB291" s="2909" t="str">
        <f>IF($A291="","",IF(AND($A291=21,$AE291&amp;""="00000000"),IF($AH291=20,"病院",IF($AH291=5,"消防","市長")),"対象外"))</f>
        <v>対象外</v>
      </c>
    </row>
    <row r="292">
      <c r="A292" t="n" s="2909">
        <v>21</v>
      </c>
      <c r="AA292" t="n" s="2909">
        <v>21</v>
      </c>
      <c r="AB292" t="inlineStr" s="2909">
        <is>
          <t>20020401</t>
        </is>
      </c>
      <c r="AD292" t="n" s="2909">
        <v>0</v>
      </c>
      <c r="AE292" t="inlineStr" s="2909">
        <is>
          <t>00000000</t>
        </is>
      </c>
      <c r="AH292" t="n" s="2909">
        <v>11</v>
      </c>
      <c r="AJ292" t="n" s="2909">
        <v>10</v>
      </c>
      <c r="AP292" t="n" s="2909">
        <v>410000</v>
      </c>
      <c r="DB292" s="2909" t="str">
        <f>IF($A292="","",IF(AND($A292=21,$AE292&amp;""="00000000"),IF($AH292=20,"病院",IF($AH292=5,"消防","市長")),"対象外"))</f>
        <v>市長</v>
      </c>
    </row>
    <row r="293">
      <c r="A293" t="n" s="2909">
        <v>31</v>
      </c>
      <c r="AA293" t="n" s="2909">
        <v>21</v>
      </c>
      <c r="AB293" t="inlineStr" s="2909">
        <is>
          <t>20210401</t>
        </is>
      </c>
      <c r="AD293" t="n" s="2909">
        <v>0</v>
      </c>
      <c r="AE293" t="inlineStr" s="2909">
        <is>
          <t>00000000</t>
        </is>
      </c>
      <c r="AH293" t="n" s="2909">
        <v>1</v>
      </c>
      <c r="AJ293" t="n" s="2909">
        <v>10</v>
      </c>
      <c r="AP293" t="n" s="2909">
        <v>280000</v>
      </c>
      <c r="DB293" s="2909" t="str">
        <f>IF($A293="","",IF(AND($A293=21,$AE293&amp;""="00000000"),IF($AH293=20,"病院",IF($AH293=5,"消防","市長")),"対象外"))</f>
        <v>対象外</v>
      </c>
    </row>
    <row r="294">
      <c r="A294" t="n" s="2909">
        <v>31</v>
      </c>
      <c r="AA294" t="n" s="2909">
        <v>21</v>
      </c>
      <c r="AB294" t="inlineStr" s="2909">
        <is>
          <t>20221001</t>
        </is>
      </c>
      <c r="AD294" t="n" s="2909">
        <v>0</v>
      </c>
      <c r="AE294" t="inlineStr" s="2909">
        <is>
          <t>00000000</t>
        </is>
      </c>
      <c r="AH294" t="n" s="2909">
        <v>1</v>
      </c>
      <c r="AJ294" t="n" s="2909">
        <v>41</v>
      </c>
      <c r="AP294" t="n" s="2909">
        <v>142000</v>
      </c>
      <c r="DB294" s="2909" t="str">
        <f>IF($A294="","",IF(AND($A294=21,$AE294&amp;""="00000000"),IF($AH294=20,"病院",IF($AH294=5,"消防","市長")),"対象外"))</f>
        <v>対象外</v>
      </c>
    </row>
    <row r="295">
      <c r="A295" t="n" s="2909">
        <v>21</v>
      </c>
      <c r="AA295" t="n" s="2909">
        <v>21</v>
      </c>
      <c r="AB295" t="inlineStr" s="2909">
        <is>
          <t>20071001</t>
        </is>
      </c>
      <c r="AD295" t="n" s="2909">
        <v>0</v>
      </c>
      <c r="AE295" t="inlineStr" s="2909">
        <is>
          <t>00000000</t>
        </is>
      </c>
      <c r="AH295" t="n" s="2909">
        <v>20</v>
      </c>
      <c r="AJ295" t="n" s="2909">
        <v>10</v>
      </c>
      <c r="AP295" t="n" s="2909">
        <v>500000</v>
      </c>
      <c r="DB295" s="2909" t="str">
        <f>IF($A295="","",IF(AND($A295=21,$AE295&amp;""="00000000"),IF($AH295=20,"病院",IF($AH295=5,"消防","市長")),"対象外"))</f>
        <v>病院</v>
      </c>
    </row>
    <row r="296">
      <c r="A296" t="n" s="2909">
        <v>31</v>
      </c>
      <c r="AA296" t="n" s="2909">
        <v>21</v>
      </c>
      <c r="AB296" t="inlineStr" s="2909">
        <is>
          <t>20221001</t>
        </is>
      </c>
      <c r="AD296" t="n" s="2909">
        <v>0</v>
      </c>
      <c r="AE296" t="inlineStr" s="2909">
        <is>
          <t>00000000</t>
        </is>
      </c>
      <c r="AH296" t="n" s="2909">
        <v>1</v>
      </c>
      <c r="AJ296" t="n" s="2909">
        <v>41</v>
      </c>
      <c r="AP296" t="n" s="2909">
        <v>150000</v>
      </c>
      <c r="DB296" s="2909" t="str">
        <f>IF($A296="","",IF(AND($A296=21,$AE296&amp;""="00000000"),IF($AH296=20,"病院",IF($AH296=5,"消防","市長")),"対象外"))</f>
        <v>対象外</v>
      </c>
    </row>
    <row r="297">
      <c r="A297" t="n" s="2909">
        <v>31</v>
      </c>
      <c r="AA297" t="n" s="2909">
        <v>21</v>
      </c>
      <c r="AB297" t="inlineStr" s="2909">
        <is>
          <t>20221001</t>
        </is>
      </c>
      <c r="AD297" t="n" s="2909">
        <v>0</v>
      </c>
      <c r="AE297" t="inlineStr" s="2909">
        <is>
          <t>00000000</t>
        </is>
      </c>
      <c r="AH297" t="n" s="2909">
        <v>1</v>
      </c>
      <c r="AJ297" t="n" s="2909">
        <v>41</v>
      </c>
      <c r="AP297" t="n" s="2909">
        <v>150000</v>
      </c>
      <c r="DB297" s="2909" t="str">
        <f>IF($A297="","",IF(AND($A297=21,$AE297&amp;""="00000000"),IF($AH297=20,"病院",IF($AH297=5,"消防","市長")),"対象外"))</f>
        <v>対象外</v>
      </c>
    </row>
    <row r="298">
      <c r="A298" t="n" s="2909">
        <v>31</v>
      </c>
      <c r="AA298" t="n" s="2909">
        <v>21</v>
      </c>
      <c r="AB298" t="inlineStr" s="2909">
        <is>
          <t>20221001</t>
        </is>
      </c>
      <c r="AD298" t="n" s="2909">
        <v>0</v>
      </c>
      <c r="AE298" t="inlineStr" s="2909">
        <is>
          <t>00000000</t>
        </is>
      </c>
      <c r="AH298" t="n" s="2909">
        <v>1</v>
      </c>
      <c r="AJ298" t="n" s="2909">
        <v>41</v>
      </c>
      <c r="AP298" t="n" s="2909">
        <v>200000</v>
      </c>
      <c r="DB298" s="2909" t="str">
        <f>IF($A298="","",IF(AND($A298=21,$AE298&amp;""="00000000"),IF($AH298=20,"病院",IF($AH298=5,"消防","市長")),"対象外"))</f>
        <v>対象外</v>
      </c>
    </row>
    <row r="299">
      <c r="A299" t="n" s="2909">
        <v>31</v>
      </c>
      <c r="AA299" t="n" s="2909">
        <v>21</v>
      </c>
      <c r="AB299" t="inlineStr" s="2909">
        <is>
          <t>20221001</t>
        </is>
      </c>
      <c r="AD299" t="n" s="2909">
        <v>0</v>
      </c>
      <c r="AE299" t="inlineStr" s="2909">
        <is>
          <t>00000000</t>
        </is>
      </c>
      <c r="AH299" t="n" s="2909">
        <v>1</v>
      </c>
      <c r="AJ299" t="n" s="2909">
        <v>41</v>
      </c>
      <c r="AP299" t="n" s="2909">
        <v>170000</v>
      </c>
      <c r="DB299" s="2909" t="str">
        <f>IF($A299="","",IF(AND($A299=21,$AE299&amp;""="00000000"),IF($AH299=20,"病院",IF($AH299=5,"消防","市長")),"対象外"))</f>
        <v>対象外</v>
      </c>
    </row>
    <row r="300">
      <c r="A300" t="n" s="2909">
        <v>21</v>
      </c>
      <c r="AA300" t="n" s="2909">
        <v>21</v>
      </c>
      <c r="AB300" t="inlineStr" s="2909">
        <is>
          <t>20150401</t>
        </is>
      </c>
      <c r="AD300" t="n" s="2909">
        <v>0</v>
      </c>
      <c r="AE300" t="inlineStr" s="2909">
        <is>
          <t>00000000</t>
        </is>
      </c>
      <c r="AH300" t="n" s="2909">
        <v>20</v>
      </c>
      <c r="AJ300" t="n" s="2909">
        <v>10</v>
      </c>
      <c r="AP300" t="n" s="2909">
        <v>440000</v>
      </c>
      <c r="DB300" s="2909" t="str">
        <f>IF($A300="","",IF(AND($A300=21,$AE300&amp;""="00000000"),IF($AH300=20,"病院",IF($AH300=5,"消防","市長")),"対象外"))</f>
        <v>病院</v>
      </c>
    </row>
    <row r="301">
      <c r="A301" t="n" s="2909">
        <v>31</v>
      </c>
      <c r="AA301" t="n" s="2909">
        <v>21</v>
      </c>
      <c r="AB301" t="inlineStr" s="2909">
        <is>
          <t>20210401</t>
        </is>
      </c>
      <c r="AD301" t="n" s="2909">
        <v>0</v>
      </c>
      <c r="AE301" t="inlineStr" s="2909">
        <is>
          <t>00000000</t>
        </is>
      </c>
      <c r="AH301" t="n" s="2909">
        <v>1</v>
      </c>
      <c r="AJ301" t="n" s="2909">
        <v>10</v>
      </c>
      <c r="AP301" t="n" s="2909">
        <v>280000</v>
      </c>
      <c r="DB301" s="2909" t="str">
        <f>IF($A301="","",IF(AND($A301=21,$AE301&amp;""="00000000"),IF($AH301=20,"病院",IF($AH301=5,"消防","市長")),"対象外"))</f>
        <v>対象外</v>
      </c>
    </row>
    <row r="302">
      <c r="A302" t="n" s="2909">
        <v>31</v>
      </c>
      <c r="AA302" t="n" s="2909">
        <v>21</v>
      </c>
      <c r="AB302" t="inlineStr" s="2909">
        <is>
          <t>20221001</t>
        </is>
      </c>
      <c r="AD302" t="n" s="2909">
        <v>0</v>
      </c>
      <c r="AE302" t="inlineStr" s="2909">
        <is>
          <t>00000000</t>
        </is>
      </c>
      <c r="AH302" t="n" s="2909">
        <v>11</v>
      </c>
      <c r="AJ302" t="n" s="2909">
        <v>41</v>
      </c>
      <c r="AP302" t="n" s="2909">
        <v>134000</v>
      </c>
      <c r="DB302" s="2909" t="str">
        <f>IF($A302="","",IF(AND($A302=21,$AE302&amp;""="00000000"),IF($AH302=20,"病院",IF($AH302=5,"消防","市長")),"対象外"))</f>
        <v>対象外</v>
      </c>
    </row>
    <row r="303">
      <c r="A303" t="n" s="2909">
        <v>21</v>
      </c>
      <c r="AA303" t="n" s="2909">
        <v>21</v>
      </c>
      <c r="AB303" t="inlineStr" s="2909">
        <is>
          <t>20020401</t>
        </is>
      </c>
      <c r="AD303" t="n" s="2909">
        <v>0</v>
      </c>
      <c r="AE303" t="inlineStr" s="2909">
        <is>
          <t>00000000</t>
        </is>
      </c>
      <c r="AH303" t="n" s="2909">
        <v>11</v>
      </c>
      <c r="AJ303" t="n" s="2909">
        <v>10</v>
      </c>
      <c r="AP303" t="n" s="2909">
        <v>410000</v>
      </c>
      <c r="DB303" s="2909" t="str">
        <f>IF($A303="","",IF(AND($A303=21,$AE303&amp;""="00000000"),IF($AH303=20,"病院",IF($AH303=5,"消防","市長")),"対象外"))</f>
        <v>市長</v>
      </c>
    </row>
    <row r="304">
      <c r="A304" t="n" s="2909">
        <v>31</v>
      </c>
      <c r="AA304" t="n" s="2909">
        <v>21</v>
      </c>
      <c r="AB304" t="inlineStr" s="2909">
        <is>
          <t>20250401</t>
        </is>
      </c>
      <c r="AD304" t="n" s="2909">
        <v>0</v>
      </c>
      <c r="AE304" t="inlineStr" s="2909">
        <is>
          <t>00000000</t>
        </is>
      </c>
      <c r="AH304" t="n" s="2909">
        <v>1</v>
      </c>
      <c r="AJ304" t="n" s="2909">
        <v>41</v>
      </c>
      <c r="AP304" t="n" s="2909">
        <v>260000</v>
      </c>
      <c r="DB304" s="2909" t="str">
        <f>IF($A304="","",IF(AND($A304=21,$AE304&amp;""="00000000"),IF($AH304=20,"病院",IF($AH304=5,"消防","市長")),"対象外"))</f>
        <v>対象外</v>
      </c>
    </row>
    <row r="305">
      <c r="A305" t="n" s="2909">
        <v>31</v>
      </c>
      <c r="AA305" t="n" s="2909">
        <v>21</v>
      </c>
      <c r="AB305" t="inlineStr" s="2909">
        <is>
          <t>20221001</t>
        </is>
      </c>
      <c r="AD305" t="n" s="2909">
        <v>0</v>
      </c>
      <c r="AE305" t="inlineStr" s="2909">
        <is>
          <t>00000000</t>
        </is>
      </c>
      <c r="AH305" t="n" s="2909">
        <v>1</v>
      </c>
      <c r="AJ305" t="n" s="2909">
        <v>41</v>
      </c>
      <c r="AP305" t="n" s="2909">
        <v>134000</v>
      </c>
      <c r="DB305" s="2909" t="str">
        <f>IF($A305="","",IF(AND($A305=21,$AE305&amp;""="00000000"),IF($AH305=20,"病院",IF($AH305=5,"消防","市長")),"対象外"))</f>
        <v>対象外</v>
      </c>
    </row>
    <row r="306">
      <c r="A306" t="n" s="2909">
        <v>21</v>
      </c>
      <c r="AA306" t="n" s="2909">
        <v>21</v>
      </c>
      <c r="AB306" t="inlineStr" s="2909">
        <is>
          <t>20010401</t>
        </is>
      </c>
      <c r="AD306" t="n" s="2909">
        <v>0</v>
      </c>
      <c r="AE306" t="inlineStr" s="2909">
        <is>
          <t>00000000</t>
        </is>
      </c>
      <c r="AH306" t="n" s="2909">
        <v>11</v>
      </c>
      <c r="AJ306" t="n" s="2909">
        <v>10</v>
      </c>
      <c r="AP306" t="n" s="2909">
        <v>410000</v>
      </c>
      <c r="DB306" s="2909" t="str">
        <f>IF($A306="","",IF(AND($A306=21,$AE306&amp;""="00000000"),IF($AH306=20,"病院",IF($AH306=5,"消防","市長")),"対象外"))</f>
        <v>市長</v>
      </c>
    </row>
    <row r="307">
      <c r="A307" t="n" s="2909">
        <v>21</v>
      </c>
      <c r="AA307" t="n" s="2909">
        <v>21</v>
      </c>
      <c r="AB307" t="inlineStr" s="2909">
        <is>
          <t>19860401</t>
        </is>
      </c>
      <c r="AD307" t="n" s="2909">
        <v>0</v>
      </c>
      <c r="AE307" t="inlineStr" s="2909">
        <is>
          <t>00000000</t>
        </is>
      </c>
      <c r="AH307" t="n" s="2909">
        <v>1</v>
      </c>
      <c r="AJ307" t="n" s="2909">
        <v>10</v>
      </c>
      <c r="AP307" t="n" s="2909">
        <v>530000</v>
      </c>
      <c r="DB307" s="2909" t="str">
        <f>IF($A307="","",IF(AND($A307=21,$AE307&amp;""="00000000"),IF($AH307=20,"病院",IF($AH307=5,"消防","市長")),"対象外"))</f>
        <v>市長</v>
      </c>
    </row>
    <row r="308">
      <c r="A308" t="n" s="2909">
        <v>21</v>
      </c>
      <c r="AA308" t="n" s="2909">
        <v>21</v>
      </c>
      <c r="AB308" t="inlineStr" s="2909">
        <is>
          <t>19860401</t>
        </is>
      </c>
      <c r="AD308" t="n" s="2909">
        <v>0</v>
      </c>
      <c r="AE308" t="inlineStr" s="2909">
        <is>
          <t>00000000</t>
        </is>
      </c>
      <c r="AH308" t="n" s="2909">
        <v>4</v>
      </c>
      <c r="AJ308" t="n" s="2909">
        <v>10</v>
      </c>
      <c r="AP308" t="n" s="2909">
        <v>440000</v>
      </c>
      <c r="DB308" s="2909" t="str">
        <f>IF($A308="","",IF(AND($A308=21,$AE308&amp;""="00000000"),IF($AH308=20,"病院",IF($AH308=5,"消防","市長")),"対象外"))</f>
        <v>市長</v>
      </c>
    </row>
    <row r="309">
      <c r="A309" t="n" s="2909">
        <v>31</v>
      </c>
      <c r="AA309" t="n" s="2909">
        <v>21</v>
      </c>
      <c r="AB309" t="inlineStr" s="2909">
        <is>
          <t>20240601</t>
        </is>
      </c>
      <c r="AD309" t="n" s="2909">
        <v>0</v>
      </c>
      <c r="AE309" t="inlineStr" s="2909">
        <is>
          <t>00000000</t>
        </is>
      </c>
      <c r="AH309" t="n" s="2909">
        <v>20</v>
      </c>
      <c r="AJ309" t="n" s="2909">
        <v>41</v>
      </c>
      <c r="AP309" t="n" s="2909">
        <v>180000</v>
      </c>
      <c r="DB309" s="2909" t="str">
        <f>IF($A309="","",IF(AND($A309=21,$AE309&amp;""="00000000"),IF($AH309=20,"病院",IF($AH309=5,"消防","市長")),"対象外"))</f>
        <v>対象外</v>
      </c>
    </row>
    <row r="310">
      <c r="A310" t="n" s="2909">
        <v>21</v>
      </c>
      <c r="AA310" t="n" s="2909">
        <v>21</v>
      </c>
      <c r="AB310" t="inlineStr" s="2909">
        <is>
          <t>19880401</t>
        </is>
      </c>
      <c r="AD310" t="n" s="2909">
        <v>0</v>
      </c>
      <c r="AE310" t="inlineStr" s="2909">
        <is>
          <t>00000000</t>
        </is>
      </c>
      <c r="AH310" t="n" s="2909">
        <v>11</v>
      </c>
      <c r="AJ310" t="n" s="2909">
        <v>10</v>
      </c>
      <c r="AP310" t="n" s="2909">
        <v>530000</v>
      </c>
      <c r="DB310" s="2909" t="str">
        <f>IF($A310="","",IF(AND($A310=21,$AE310&amp;""="00000000"),IF($AH310=20,"病院",IF($AH310=5,"消防","市長")),"対象外"))</f>
        <v>市長</v>
      </c>
    </row>
    <row r="311">
      <c r="A311" t="n" s="2909">
        <v>31</v>
      </c>
      <c r="AA311" t="n" s="2909">
        <v>21</v>
      </c>
      <c r="AB311" t="inlineStr" s="2909">
        <is>
          <t>20200401</t>
        </is>
      </c>
      <c r="AD311" t="n" s="2909">
        <v>0</v>
      </c>
      <c r="AE311" t="inlineStr" s="2909">
        <is>
          <t>00000000</t>
        </is>
      </c>
      <c r="AH311" t="n" s="2909">
        <v>1</v>
      </c>
      <c r="AJ311" t="n" s="2909">
        <v>41</v>
      </c>
      <c r="AP311" t="n" s="2909">
        <v>200000</v>
      </c>
      <c r="DB311" s="2909" t="str">
        <f>IF($A311="","",IF(AND($A311=21,$AE311&amp;""="00000000"),IF($AH311=20,"病院",IF($AH311=5,"消防","市長")),"対象外"))</f>
        <v>対象外</v>
      </c>
    </row>
    <row r="312">
      <c r="A312" t="n" s="2909">
        <v>21</v>
      </c>
      <c r="AA312" t="n" s="2909">
        <v>21</v>
      </c>
      <c r="AB312" t="inlineStr" s="2909">
        <is>
          <t>20250401</t>
        </is>
      </c>
      <c r="AD312" t="n" s="2909">
        <v>0</v>
      </c>
      <c r="AE312" t="inlineStr" s="2909">
        <is>
          <t>00000000</t>
        </is>
      </c>
      <c r="AH312" t="n" s="2909">
        <v>20</v>
      </c>
      <c r="AJ312" t="n" s="2909">
        <v>10</v>
      </c>
      <c r="AP312" t="n" s="2909">
        <v>880000</v>
      </c>
      <c r="DB312" s="2909" t="str">
        <f>IF($A312="","",IF(AND($A312=21,$AE312&amp;""="00000000"),IF($AH312=20,"病院",IF($AH312=5,"消防","市長")),"対象外"))</f>
        <v>病院</v>
      </c>
    </row>
    <row r="313">
      <c r="A313" t="n" s="2909">
        <v>31</v>
      </c>
      <c r="AA313" t="n" s="2909">
        <v>21</v>
      </c>
      <c r="AB313" t="inlineStr" s="2909">
        <is>
          <t>20221001</t>
        </is>
      </c>
      <c r="AD313" t="n" s="2909">
        <v>0</v>
      </c>
      <c r="AE313" t="inlineStr" s="2909">
        <is>
          <t>00000000</t>
        </is>
      </c>
      <c r="AH313" t="n" s="2909">
        <v>1</v>
      </c>
      <c r="AJ313" t="n" s="2909">
        <v>41</v>
      </c>
      <c r="AP313" t="n" s="2909">
        <v>142000</v>
      </c>
      <c r="DB313" s="2909" t="str">
        <f>IF($A313="","",IF(AND($A313=21,$AE313&amp;""="00000000"),IF($AH313=20,"病院",IF($AH313=5,"消防","市長")),"対象外"))</f>
        <v>対象外</v>
      </c>
    </row>
    <row r="314">
      <c r="A314" t="n" s="2909">
        <v>21</v>
      </c>
      <c r="AA314" t="n" s="2909">
        <v>21</v>
      </c>
      <c r="AB314" t="inlineStr" s="2909">
        <is>
          <t>20050425</t>
        </is>
      </c>
      <c r="AD314" t="n" s="2909">
        <v>0</v>
      </c>
      <c r="AE314" t="inlineStr" s="2909">
        <is>
          <t>00000000</t>
        </is>
      </c>
      <c r="AH314" t="n" s="2909">
        <v>11</v>
      </c>
      <c r="AJ314" t="n" s="2909">
        <v>10</v>
      </c>
      <c r="AP314" t="n" s="2909">
        <v>470000</v>
      </c>
      <c r="DB314" s="2909" t="str">
        <f>IF($A314="","",IF(AND($A314=21,$AE314&amp;""="00000000"),IF($AH314=20,"病院",IF($AH314=5,"消防","市長")),"対象外"))</f>
        <v>市長</v>
      </c>
    </row>
    <row r="315">
      <c r="A315" t="n" s="2909">
        <v>21</v>
      </c>
      <c r="AA315" t="n" s="2909">
        <v>21</v>
      </c>
      <c r="AB315" t="inlineStr" s="2909">
        <is>
          <t>19880401</t>
        </is>
      </c>
      <c r="AD315" t="n" s="2909">
        <v>0</v>
      </c>
      <c r="AE315" t="inlineStr" s="2909">
        <is>
          <t>00000000</t>
        </is>
      </c>
      <c r="AH315" t="n" s="2909">
        <v>1</v>
      </c>
      <c r="AJ315" t="n" s="2909">
        <v>10</v>
      </c>
      <c r="AP315" t="n" s="2909">
        <v>620000</v>
      </c>
      <c r="DB315" s="2909" t="str">
        <f>IF($A315="","",IF(AND($A315=21,$AE315&amp;""="00000000"),IF($AH315=20,"病院",IF($AH315=5,"消防","市長")),"対象外"))</f>
        <v>市長</v>
      </c>
    </row>
    <row r="316">
      <c r="A316" t="n" s="2909">
        <v>31</v>
      </c>
      <c r="AA316" t="n" s="2909">
        <v>21</v>
      </c>
      <c r="AB316" t="inlineStr" s="2909">
        <is>
          <t>20221001</t>
        </is>
      </c>
      <c r="AD316" t="n" s="2909">
        <v>0</v>
      </c>
      <c r="AE316" t="inlineStr" s="2909">
        <is>
          <t>00000000</t>
        </is>
      </c>
      <c r="AH316" t="n" s="2909">
        <v>1</v>
      </c>
      <c r="AJ316" t="n" s="2909">
        <v>41</v>
      </c>
      <c r="AP316" t="n" s="2909">
        <v>200000</v>
      </c>
      <c r="DB316" s="2909" t="str">
        <f>IF($A316="","",IF(AND($A316=21,$AE316&amp;""="00000000"),IF($AH316=20,"病院",IF($AH316=5,"消防","市長")),"対象外"))</f>
        <v>対象外</v>
      </c>
    </row>
    <row r="317">
      <c r="A317" t="n" s="2909">
        <v>31</v>
      </c>
      <c r="AA317" t="n" s="2909">
        <v>21</v>
      </c>
      <c r="AB317" t="inlineStr" s="2909">
        <is>
          <t>20221001</t>
        </is>
      </c>
      <c r="AD317" t="n" s="2909">
        <v>0</v>
      </c>
      <c r="AE317" t="inlineStr" s="2909">
        <is>
          <t>00000000</t>
        </is>
      </c>
      <c r="AH317" t="n" s="2909">
        <v>1</v>
      </c>
      <c r="AJ317" t="n" s="2909">
        <v>41</v>
      </c>
      <c r="AP317" t="n" s="2909">
        <v>200000</v>
      </c>
      <c r="DB317" s="2909" t="str">
        <f>IF($A317="","",IF(AND($A317=21,$AE317&amp;""="00000000"),IF($AH317=20,"病院",IF($AH317=5,"消防","市長")),"対象外"))</f>
        <v>対象外</v>
      </c>
    </row>
    <row r="318">
      <c r="A318" t="n" s="2909">
        <v>21</v>
      </c>
      <c r="AA318" t="n" s="2909">
        <v>21</v>
      </c>
      <c r="AB318" t="inlineStr" s="2909">
        <is>
          <t>19910401</t>
        </is>
      </c>
      <c r="AD318" t="n" s="2909">
        <v>0</v>
      </c>
      <c r="AE318" t="inlineStr" s="2909">
        <is>
          <t>00000000</t>
        </is>
      </c>
      <c r="AH318" t="n" s="2909">
        <v>20</v>
      </c>
      <c r="AJ318" t="n" s="2909">
        <v>10</v>
      </c>
      <c r="AP318" t="n" s="2909">
        <v>530000</v>
      </c>
      <c r="DB318" s="2909" t="str">
        <f>IF($A318="","",IF(AND($A318=21,$AE318&amp;""="00000000"),IF($AH318=20,"病院",IF($AH318=5,"消防","市長")),"対象外"))</f>
        <v>病院</v>
      </c>
    </row>
    <row r="319">
      <c r="A319" t="n" s="2909">
        <v>31</v>
      </c>
      <c r="AA319" t="n" s="2909">
        <v>21</v>
      </c>
      <c r="AB319" t="inlineStr" s="2909">
        <is>
          <t>20221001</t>
        </is>
      </c>
      <c r="AD319" t="n" s="2909">
        <v>0</v>
      </c>
      <c r="AE319" t="inlineStr" s="2909">
        <is>
          <t>00000000</t>
        </is>
      </c>
      <c r="AH319" t="n" s="2909">
        <v>1</v>
      </c>
      <c r="AJ319" t="n" s="2909">
        <v>41</v>
      </c>
      <c r="AP319" t="n" s="2909">
        <v>200000</v>
      </c>
      <c r="DB319" s="2909" t="str">
        <f>IF($A319="","",IF(AND($A319=21,$AE319&amp;""="00000000"),IF($AH319=20,"病院",IF($AH319=5,"消防","市長")),"対象外"))</f>
        <v>対象外</v>
      </c>
    </row>
    <row r="320">
      <c r="A320" t="n" s="2909">
        <v>21</v>
      </c>
      <c r="AA320" t="n" s="2909">
        <v>21</v>
      </c>
      <c r="AB320" t="inlineStr" s="2909">
        <is>
          <t>20130401</t>
        </is>
      </c>
      <c r="AD320" t="n" s="2909">
        <v>0</v>
      </c>
      <c r="AE320" t="inlineStr" s="2909">
        <is>
          <t>00000000</t>
        </is>
      </c>
      <c r="AH320" t="n" s="2909">
        <v>11</v>
      </c>
      <c r="AJ320" t="n" s="2909">
        <v>10</v>
      </c>
      <c r="AP320" t="n" s="2909">
        <v>590000</v>
      </c>
      <c r="DB320" s="2909" t="str">
        <f>IF($A320="","",IF(AND($A320=21,$AE320&amp;""="00000000"),IF($AH320=20,"病院",IF($AH320=5,"消防","市長")),"対象外"))</f>
        <v>市長</v>
      </c>
    </row>
    <row r="321">
      <c r="A321" t="n" s="2909">
        <v>21</v>
      </c>
      <c r="AA321" t="n" s="2909">
        <v>21</v>
      </c>
      <c r="AB321" t="inlineStr" s="2909">
        <is>
          <t>20050425</t>
        </is>
      </c>
      <c r="AD321" t="n" s="2909">
        <v>0</v>
      </c>
      <c r="AE321" t="inlineStr" s="2909">
        <is>
          <t>00000000</t>
        </is>
      </c>
      <c r="AH321" t="n" s="2909">
        <v>1</v>
      </c>
      <c r="AJ321" t="n" s="2909">
        <v>10</v>
      </c>
      <c r="AP321" t="n" s="2909">
        <v>500000</v>
      </c>
      <c r="DB321" s="2909" t="str">
        <f>IF($A321="","",IF(AND($A321=21,$AE321&amp;""="00000000"),IF($AH321=20,"病院",IF($AH321=5,"消防","市長")),"対象外"))</f>
        <v>市長</v>
      </c>
    </row>
    <row r="322">
      <c r="A322" t="n" s="2909">
        <v>31</v>
      </c>
      <c r="AA322" t="n" s="2909">
        <v>21</v>
      </c>
      <c r="AB322" t="inlineStr" s="2909">
        <is>
          <t>20240601</t>
        </is>
      </c>
      <c r="AD322" t="n" s="2909">
        <v>0</v>
      </c>
      <c r="AE322" t="inlineStr" s="2909">
        <is>
          <t>00000000</t>
        </is>
      </c>
      <c r="AH322" t="n" s="2909">
        <v>1</v>
      </c>
      <c r="AJ322" t="n" s="2909">
        <v>41</v>
      </c>
      <c r="AP322" t="n" s="2909">
        <v>88000</v>
      </c>
      <c r="DB322" s="2909" t="str">
        <f>IF($A322="","",IF(AND($A322=21,$AE322&amp;""="00000000"),IF($AH322=20,"病院",IF($AH322=5,"消防","市長")),"対象外"))</f>
        <v>対象外</v>
      </c>
    </row>
    <row r="323">
      <c r="A323" t="n" s="2909">
        <v>31</v>
      </c>
      <c r="AA323" t="n" s="2909">
        <v>21</v>
      </c>
      <c r="AB323" t="inlineStr" s="2909">
        <is>
          <t>20250701</t>
        </is>
      </c>
      <c r="AD323" t="n" s="2909">
        <v>0</v>
      </c>
      <c r="AE323" t="inlineStr" s="2909">
        <is>
          <t>00000000</t>
        </is>
      </c>
      <c r="AH323" t="n" s="2909">
        <v>1</v>
      </c>
      <c r="AJ323" t="n" s="2909">
        <v>41</v>
      </c>
      <c r="AP323" t="n" s="2909">
        <v>190000</v>
      </c>
      <c r="DB323" s="2909" t="str">
        <f>IF($A323="","",IF(AND($A323=21,$AE323&amp;""="00000000"),IF($AH323=20,"病院",IF($AH323=5,"消防","市長")),"対象外"))</f>
        <v>対象外</v>
      </c>
    </row>
    <row r="324">
      <c r="A324" t="n" s="2909">
        <v>31</v>
      </c>
      <c r="AA324" t="n" s="2909">
        <v>21</v>
      </c>
      <c r="AB324" t="inlineStr" s="2909">
        <is>
          <t>20221001</t>
        </is>
      </c>
      <c r="AD324" t="n" s="2909">
        <v>0</v>
      </c>
      <c r="AE324" t="inlineStr" s="2909">
        <is>
          <t>00000000</t>
        </is>
      </c>
      <c r="AH324" t="n" s="2909">
        <v>1</v>
      </c>
      <c r="AJ324" t="n" s="2909">
        <v>41</v>
      </c>
      <c r="AP324" t="n" s="2909">
        <v>220000</v>
      </c>
      <c r="DB324" s="2909" t="str">
        <f>IF($A324="","",IF(AND($A324=21,$AE324&amp;""="00000000"),IF($AH324=20,"病院",IF($AH324=5,"消防","市長")),"対象外"))</f>
        <v>対象外</v>
      </c>
    </row>
    <row r="325">
      <c r="A325" t="n" s="2909">
        <v>21</v>
      </c>
      <c r="AA325" t="n" s="2909">
        <v>21</v>
      </c>
      <c r="AB325" t="inlineStr" s="2909">
        <is>
          <t>19890501</t>
        </is>
      </c>
      <c r="AD325" t="n" s="2909">
        <v>0</v>
      </c>
      <c r="AE325" t="inlineStr" s="2909">
        <is>
          <t>00000000</t>
        </is>
      </c>
      <c r="AH325" t="n" s="2909">
        <v>20</v>
      </c>
      <c r="AJ325" t="n" s="2909">
        <v>10</v>
      </c>
      <c r="AP325" t="n" s="2909">
        <v>500000</v>
      </c>
      <c r="DB325" s="2909" t="str">
        <f>IF($A325="","",IF(AND($A325=21,$AE325&amp;""="00000000"),IF($AH325=20,"病院",IF($AH325=5,"消防","市長")),"対象外"))</f>
        <v>病院</v>
      </c>
    </row>
    <row r="326">
      <c r="A326" t="n" s="2909">
        <v>31</v>
      </c>
      <c r="AA326" t="n" s="2909">
        <v>21</v>
      </c>
      <c r="AB326" t="inlineStr" s="2909">
        <is>
          <t>20221001</t>
        </is>
      </c>
      <c r="AD326" t="n" s="2909">
        <v>0</v>
      </c>
      <c r="AE326" t="inlineStr" s="2909">
        <is>
          <t>00000000</t>
        </is>
      </c>
      <c r="AH326" t="n" s="2909">
        <v>1</v>
      </c>
      <c r="AJ326" t="n" s="2909">
        <v>41</v>
      </c>
      <c r="AP326" t="n" s="2909">
        <v>190000</v>
      </c>
      <c r="DB326" s="2909" t="str">
        <f>IF($A326="","",IF(AND($A326=21,$AE326&amp;""="00000000"),IF($AH326=20,"病院",IF($AH326=5,"消防","市長")),"対象外"))</f>
        <v>対象外</v>
      </c>
    </row>
    <row r="327">
      <c r="A327" t="n" s="2909">
        <v>31</v>
      </c>
      <c r="AA327" t="n" s="2909">
        <v>21</v>
      </c>
      <c r="AB327" t="inlineStr" s="2909">
        <is>
          <t>20240401</t>
        </is>
      </c>
      <c r="AD327" t="n" s="2909">
        <v>0</v>
      </c>
      <c r="AE327" t="inlineStr" s="2909">
        <is>
          <t>00000000</t>
        </is>
      </c>
      <c r="AH327" t="n" s="2909">
        <v>1</v>
      </c>
      <c r="AJ327" t="n" s="2909">
        <v>41</v>
      </c>
      <c r="AP327" t="n" s="2909">
        <v>220000</v>
      </c>
      <c r="DB327" s="2909" t="str">
        <f>IF($A327="","",IF(AND($A327=21,$AE327&amp;""="00000000"),IF($AH327=20,"病院",IF($AH327=5,"消防","市長")),"対象外"))</f>
        <v>対象外</v>
      </c>
    </row>
    <row r="328">
      <c r="A328" t="n" s="2909">
        <v>31</v>
      </c>
      <c r="AA328" t="n" s="2909">
        <v>21</v>
      </c>
      <c r="AB328" t="inlineStr" s="2909">
        <is>
          <t>20221001</t>
        </is>
      </c>
      <c r="AD328" t="n" s="2909">
        <v>0</v>
      </c>
      <c r="AE328" t="inlineStr" s="2909">
        <is>
          <t>00000000</t>
        </is>
      </c>
      <c r="AH328" t="n" s="2909">
        <v>11</v>
      </c>
      <c r="AJ328" t="n" s="2909">
        <v>41</v>
      </c>
      <c r="AP328" t="n" s="2909">
        <v>126000</v>
      </c>
      <c r="DB328" s="2909" t="str">
        <f>IF($A328="","",IF(AND($A328=21,$AE328&amp;""="00000000"),IF($AH328=20,"病院",IF($AH328=5,"消防","市長")),"対象外"))</f>
        <v>対象外</v>
      </c>
    </row>
    <row r="329">
      <c r="A329" t="n" s="2909">
        <v>31</v>
      </c>
      <c r="AA329" t="n" s="2909">
        <v>21</v>
      </c>
      <c r="AB329" t="inlineStr" s="2909">
        <is>
          <t>20200401</t>
        </is>
      </c>
      <c r="AD329" t="n" s="2909">
        <v>0</v>
      </c>
      <c r="AE329" t="inlineStr" s="2909">
        <is>
          <t>00000000</t>
        </is>
      </c>
      <c r="AH329" t="n" s="2909">
        <v>1</v>
      </c>
      <c r="AJ329" t="n" s="2909">
        <v>10</v>
      </c>
      <c r="AP329" t="n" s="2909">
        <v>280000</v>
      </c>
      <c r="DB329" s="2909" t="str">
        <f>IF($A329="","",IF(AND($A329=21,$AE329&amp;""="00000000"),IF($AH329=20,"病院",IF($AH329=5,"消防","市長")),"対象外"))</f>
        <v>対象外</v>
      </c>
    </row>
    <row r="330">
      <c r="A330" t="n" s="2909">
        <v>31</v>
      </c>
      <c r="AA330" t="n" s="2909">
        <v>21</v>
      </c>
      <c r="AB330" t="inlineStr" s="2909">
        <is>
          <t>20221001</t>
        </is>
      </c>
      <c r="AD330" t="n" s="2909">
        <v>0</v>
      </c>
      <c r="AE330" t="inlineStr" s="2909">
        <is>
          <t>00000000</t>
        </is>
      </c>
      <c r="AH330" t="n" s="2909">
        <v>1</v>
      </c>
      <c r="AJ330" t="n" s="2909">
        <v>41</v>
      </c>
      <c r="AP330" t="n" s="2909">
        <v>200000</v>
      </c>
      <c r="DB330" s="2909" t="str">
        <f>IF($A330="","",IF(AND($A330=21,$AE330&amp;""="00000000"),IF($AH330=20,"病院",IF($AH330=5,"消防","市長")),"対象外"))</f>
        <v>対象外</v>
      </c>
    </row>
    <row r="331">
      <c r="A331" t="n" s="2909">
        <v>31</v>
      </c>
      <c r="AA331" t="n" s="2909">
        <v>21</v>
      </c>
      <c r="AB331" t="inlineStr" s="2909">
        <is>
          <t>20250716</t>
        </is>
      </c>
      <c r="AD331" t="n" s="2909">
        <v>0</v>
      </c>
      <c r="AE331" t="inlineStr" s="2909">
        <is>
          <t>00000000</t>
        </is>
      </c>
      <c r="AH331" t="n" s="2909">
        <v>1</v>
      </c>
      <c r="AJ331" t="n" s="2909">
        <v>41</v>
      </c>
      <c r="AP331" t="n" s="2909">
        <v>126000</v>
      </c>
      <c r="DB331" s="2909" t="str">
        <f>IF($A331="","",IF(AND($A331=21,$AE331&amp;""="00000000"),IF($AH331=20,"病院",IF($AH331=5,"消防","市長")),"対象外"))</f>
        <v>対象外</v>
      </c>
    </row>
    <row r="332">
      <c r="A332" t="n" s="2909">
        <v>31</v>
      </c>
      <c r="AA332" t="n" s="2909">
        <v>21</v>
      </c>
      <c r="AB332" t="inlineStr" s="2909">
        <is>
          <t>20221001</t>
        </is>
      </c>
      <c r="AD332" t="n" s="2909">
        <v>0</v>
      </c>
      <c r="AE332" t="inlineStr" s="2909">
        <is>
          <t>00000000</t>
        </is>
      </c>
      <c r="AH332" t="n" s="2909">
        <v>1</v>
      </c>
      <c r="AJ332" t="n" s="2909">
        <v>41</v>
      </c>
      <c r="AP332" t="n" s="2909">
        <v>142000</v>
      </c>
      <c r="DB332" s="2909" t="str">
        <f>IF($A332="","",IF(AND($A332=21,$AE332&amp;""="00000000"),IF($AH332=20,"病院",IF($AH332=5,"消防","市長")),"対象外"))</f>
        <v>対象外</v>
      </c>
    </row>
    <row r="333">
      <c r="A333" t="n" s="2909">
        <v>31</v>
      </c>
      <c r="AA333" t="n" s="2909">
        <v>21</v>
      </c>
      <c r="AB333" t="inlineStr" s="2909">
        <is>
          <t>20221001</t>
        </is>
      </c>
      <c r="AD333" t="n" s="2909">
        <v>0</v>
      </c>
      <c r="AE333" t="inlineStr" s="2909">
        <is>
          <t>00000000</t>
        </is>
      </c>
      <c r="AH333" t="n" s="2909">
        <v>1</v>
      </c>
      <c r="AJ333" t="n" s="2909">
        <v>41</v>
      </c>
      <c r="AP333" t="n" s="2909">
        <v>134000</v>
      </c>
      <c r="DB333" s="2909" t="str">
        <f>IF($A333="","",IF(AND($A333=21,$AE333&amp;""="00000000"),IF($AH333=20,"病院",IF($AH333=5,"消防","市長")),"対象外"))</f>
        <v>対象外</v>
      </c>
    </row>
    <row r="334">
      <c r="A334" t="n" s="2909">
        <v>21</v>
      </c>
      <c r="AA334" t="n" s="2909">
        <v>21</v>
      </c>
      <c r="AB334" t="inlineStr" s="2909">
        <is>
          <t>20000401</t>
        </is>
      </c>
      <c r="AD334" t="n" s="2909">
        <v>0</v>
      </c>
      <c r="AE334" t="inlineStr" s="2909">
        <is>
          <t>00000000</t>
        </is>
      </c>
      <c r="AH334" t="n" s="2909">
        <v>11</v>
      </c>
      <c r="AJ334" t="n" s="2909">
        <v>10</v>
      </c>
      <c r="AP334" t="n" s="2909">
        <v>410000</v>
      </c>
      <c r="DB334" s="2909" t="str">
        <f>IF($A334="","",IF(AND($A334=21,$AE334&amp;""="00000000"),IF($AH334=20,"病院",IF($AH334=5,"消防","市長")),"対象外"))</f>
        <v>市長</v>
      </c>
    </row>
    <row r="335">
      <c r="A335" t="n" s="2909">
        <v>21</v>
      </c>
      <c r="AA335" t="n" s="2909">
        <v>21</v>
      </c>
      <c r="AB335" t="inlineStr" s="2909">
        <is>
          <t>19950401</t>
        </is>
      </c>
      <c r="AD335" t="n" s="2909">
        <v>0</v>
      </c>
      <c r="AE335" t="inlineStr" s="2909">
        <is>
          <t>00000000</t>
        </is>
      </c>
      <c r="AH335" t="n" s="2909">
        <v>11</v>
      </c>
      <c r="AJ335" t="n" s="2909">
        <v>10</v>
      </c>
      <c r="AP335" t="n" s="2909">
        <v>440000</v>
      </c>
      <c r="DB335" s="2909" t="str">
        <f>IF($A335="","",IF(AND($A335=21,$AE335&amp;""="00000000"),IF($AH335=20,"病院",IF($AH335=5,"消防","市長")),"対象外"))</f>
        <v>市長</v>
      </c>
    </row>
    <row r="336">
      <c r="A336" t="n" s="2909">
        <v>31</v>
      </c>
      <c r="AA336" t="n" s="2909">
        <v>21</v>
      </c>
      <c r="AB336" t="inlineStr" s="2909">
        <is>
          <t>20240401</t>
        </is>
      </c>
      <c r="AD336" t="n" s="2909">
        <v>0</v>
      </c>
      <c r="AE336" t="inlineStr" s="2909">
        <is>
          <t>00000000</t>
        </is>
      </c>
      <c r="AH336" t="n" s="2909">
        <v>1</v>
      </c>
      <c r="AJ336" t="n" s="2909">
        <v>41</v>
      </c>
      <c r="AP336" t="n" s="2909">
        <v>134000</v>
      </c>
      <c r="DB336" s="2909" t="str">
        <f>IF($A336="","",IF(AND($A336=21,$AE336&amp;""="00000000"),IF($AH336=20,"病院",IF($AH336=5,"消防","市長")),"対象外"))</f>
        <v>対象外</v>
      </c>
    </row>
    <row r="337">
      <c r="A337" t="n" s="2909">
        <v>21</v>
      </c>
      <c r="AA337" t="n" s="2909">
        <v>21</v>
      </c>
      <c r="AB337" t="inlineStr" s="2909">
        <is>
          <t>20050401</t>
        </is>
      </c>
      <c r="AD337" t="n" s="2909">
        <v>0</v>
      </c>
      <c r="AE337" t="inlineStr" s="2909">
        <is>
          <t>00000000</t>
        </is>
      </c>
      <c r="AH337" t="n" s="2909">
        <v>1</v>
      </c>
      <c r="AJ337" t="n" s="2909">
        <v>10</v>
      </c>
      <c r="AP337" t="n" s="2909">
        <v>410000</v>
      </c>
      <c r="DB337" s="2909" t="str">
        <f>IF($A337="","",IF(AND($A337=21,$AE337&amp;""="00000000"),IF($AH337=20,"病院",IF($AH337=5,"消防","市長")),"対象外"))</f>
        <v>市長</v>
      </c>
    </row>
    <row r="338">
      <c r="A338" t="n" s="2909">
        <v>31</v>
      </c>
      <c r="AA338" t="n" s="2909">
        <v>21</v>
      </c>
      <c r="AB338" t="inlineStr" s="2909">
        <is>
          <t>20210401</t>
        </is>
      </c>
      <c r="AD338" t="n" s="2909">
        <v>0</v>
      </c>
      <c r="AE338" t="inlineStr" s="2909">
        <is>
          <t>00000000</t>
        </is>
      </c>
      <c r="AH338" t="n" s="2909">
        <v>1</v>
      </c>
      <c r="AJ338" t="n" s="2909">
        <v>10</v>
      </c>
      <c r="AP338" t="n" s="2909">
        <v>280000</v>
      </c>
      <c r="DB338" s="2909" t="str">
        <f>IF($A338="","",IF(AND($A338=21,$AE338&amp;""="00000000"),IF($AH338=20,"病院",IF($AH338=5,"消防","市長")),"対象外"))</f>
        <v>対象外</v>
      </c>
    </row>
    <row r="339">
      <c r="A339" t="n" s="2909">
        <v>31</v>
      </c>
      <c r="AA339" t="n" s="2909">
        <v>21</v>
      </c>
      <c r="AB339" t="inlineStr" s="2909">
        <is>
          <t>20221001</t>
        </is>
      </c>
      <c r="AD339" t="n" s="2909">
        <v>0</v>
      </c>
      <c r="AE339" t="inlineStr" s="2909">
        <is>
          <t>00000000</t>
        </is>
      </c>
      <c r="AH339" t="n" s="2909">
        <v>1</v>
      </c>
      <c r="AJ339" t="n" s="2909">
        <v>41</v>
      </c>
      <c r="AP339" t="n" s="2909">
        <v>150000</v>
      </c>
      <c r="DB339" s="2909" t="str">
        <f>IF($A339="","",IF(AND($A339=21,$AE339&amp;""="00000000"),IF($AH339=20,"病院",IF($AH339=5,"消防","市長")),"対象外"))</f>
        <v>対象外</v>
      </c>
    </row>
    <row r="340">
      <c r="A340" t="n" s="2909">
        <v>21</v>
      </c>
      <c r="AA340" t="n" s="2909">
        <v>21</v>
      </c>
      <c r="AB340" t="inlineStr" s="2909">
        <is>
          <t>19880401</t>
        </is>
      </c>
      <c r="AD340" t="n" s="2909">
        <v>0</v>
      </c>
      <c r="AE340" t="inlineStr" s="2909">
        <is>
          <t>00000000</t>
        </is>
      </c>
      <c r="AH340" t="n" s="2909">
        <v>20</v>
      </c>
      <c r="AJ340" t="n" s="2909">
        <v>10</v>
      </c>
      <c r="AP340" t="n" s="2909">
        <v>590000</v>
      </c>
      <c r="DB340" s="2909" t="str">
        <f>IF($A340="","",IF(AND($A340=21,$AE340&amp;""="00000000"),IF($AH340=20,"病院",IF($AH340=5,"消防","市長")),"対象外"))</f>
        <v>病院</v>
      </c>
    </row>
    <row r="341">
      <c r="A341" t="n" s="2909">
        <v>31</v>
      </c>
      <c r="AA341" t="n" s="2909">
        <v>21</v>
      </c>
      <c r="AB341" t="inlineStr" s="2909">
        <is>
          <t>20221001</t>
        </is>
      </c>
      <c r="AD341" t="n" s="2909">
        <v>0</v>
      </c>
      <c r="AE341" t="inlineStr" s="2909">
        <is>
          <t>00000000</t>
        </is>
      </c>
      <c r="AH341" t="n" s="2909">
        <v>11</v>
      </c>
      <c r="AJ341" t="n" s="2909">
        <v>41</v>
      </c>
      <c r="AP341" t="n" s="2909">
        <v>190000</v>
      </c>
      <c r="DB341" s="2909" t="str">
        <f>IF($A341="","",IF(AND($A341=21,$AE341&amp;""="00000000"),IF($AH341=20,"病院",IF($AH341=5,"消防","市長")),"対象外"))</f>
        <v>対象外</v>
      </c>
    </row>
    <row r="342">
      <c r="A342" t="n" s="2909">
        <v>31</v>
      </c>
      <c r="AA342" t="n" s="2909">
        <v>21</v>
      </c>
      <c r="AB342" t="inlineStr" s="2909">
        <is>
          <t>20221001</t>
        </is>
      </c>
      <c r="AD342" t="n" s="2909">
        <v>0</v>
      </c>
      <c r="AE342" t="inlineStr" s="2909">
        <is>
          <t>00000000</t>
        </is>
      </c>
      <c r="AH342" t="n" s="2909">
        <v>1</v>
      </c>
      <c r="AJ342" t="n" s="2909">
        <v>41</v>
      </c>
      <c r="AP342" t="n" s="2909">
        <v>220000</v>
      </c>
      <c r="DB342" s="2909" t="str">
        <f>IF($A342="","",IF(AND($A342=21,$AE342&amp;""="00000000"),IF($AH342=20,"病院",IF($AH342=5,"消防","市長")),"対象外"))</f>
        <v>対象外</v>
      </c>
    </row>
    <row r="343">
      <c r="A343" t="n" s="2909">
        <v>21</v>
      </c>
      <c r="AA343" t="n" s="2909">
        <v>21</v>
      </c>
      <c r="AB343" t="inlineStr" s="2909">
        <is>
          <t>19870501</t>
        </is>
      </c>
      <c r="AD343" t="n" s="2909">
        <v>0</v>
      </c>
      <c r="AE343" t="inlineStr" s="2909">
        <is>
          <t>00000000</t>
        </is>
      </c>
      <c r="AH343" t="n" s="2909">
        <v>20</v>
      </c>
      <c r="AJ343" t="n" s="2909">
        <v>10</v>
      </c>
      <c r="AP343" t="n" s="2909">
        <v>560000</v>
      </c>
      <c r="DB343" s="2909" t="str">
        <f>IF($A343="","",IF(AND($A343=21,$AE343&amp;""="00000000"),IF($AH343=20,"病院",IF($AH343=5,"消防","市長")),"対象外"))</f>
        <v>病院</v>
      </c>
    </row>
    <row r="344">
      <c r="A344" t="n" s="2909">
        <v>31</v>
      </c>
      <c r="AA344" t="n" s="2909">
        <v>21</v>
      </c>
      <c r="AB344" t="inlineStr" s="2909">
        <is>
          <t>20251001</t>
        </is>
      </c>
      <c r="AD344" t="n" s="2909">
        <v>0</v>
      </c>
      <c r="AE344" t="inlineStr" s="2909">
        <is>
          <t>00000000</t>
        </is>
      </c>
      <c r="AH344" t="n" s="2909">
        <v>1</v>
      </c>
      <c r="AJ344" t="n" s="2909">
        <v>41</v>
      </c>
      <c r="AP344" t="n" s="2909">
        <v>200000</v>
      </c>
      <c r="DB344" s="2909" t="str">
        <f>IF($A344="","",IF(AND($A344=21,$AE344&amp;""="00000000"),IF($AH344=20,"病院",IF($AH344=5,"消防","市長")),"対象外"))</f>
        <v>対象外</v>
      </c>
    </row>
    <row r="345">
      <c r="A345" t="n" s="2909">
        <v>21</v>
      </c>
      <c r="AA345" t="n" s="2909">
        <v>21</v>
      </c>
      <c r="AB345" t="inlineStr" s="2909">
        <is>
          <t>19840401</t>
        </is>
      </c>
      <c r="AD345" t="n" s="2909">
        <v>0</v>
      </c>
      <c r="AE345" t="inlineStr" s="2909">
        <is>
          <t>00000000</t>
        </is>
      </c>
      <c r="AH345" t="n" s="2909">
        <v>1</v>
      </c>
      <c r="AJ345" t="n" s="2909">
        <v>10</v>
      </c>
      <c r="AP345" t="n" s="2909">
        <v>560000</v>
      </c>
      <c r="DB345" s="2909" t="str">
        <f>IF($A345="","",IF(AND($A345=21,$AE345&amp;""="00000000"),IF($AH345=20,"病院",IF($AH345=5,"消防","市長")),"対象外"))</f>
        <v>市長</v>
      </c>
    </row>
    <row r="346">
      <c r="A346" t="n" s="2909">
        <v>21</v>
      </c>
      <c r="AA346" t="n" s="2909">
        <v>21</v>
      </c>
      <c r="AB346" t="inlineStr" s="2909">
        <is>
          <t>20190401</t>
        </is>
      </c>
      <c r="AD346" t="n" s="2909">
        <v>0</v>
      </c>
      <c r="AE346" t="inlineStr" s="2909">
        <is>
          <t>00000000</t>
        </is>
      </c>
      <c r="AH346" t="n" s="2909">
        <v>1</v>
      </c>
      <c r="AJ346" t="n" s="2909">
        <v>10</v>
      </c>
      <c r="AP346" t="n" s="2909">
        <v>380000</v>
      </c>
      <c r="DB346" s="2909" t="str">
        <f>IF($A346="","",IF(AND($A346=21,$AE346&amp;""="00000000"),IF($AH346=20,"病院",IF($AH346=5,"消防","市長")),"対象外"))</f>
        <v>市長</v>
      </c>
    </row>
    <row r="347">
      <c r="A347" t="n" s="2909">
        <v>31</v>
      </c>
      <c r="AA347" t="n" s="2909">
        <v>21</v>
      </c>
      <c r="AB347" t="inlineStr" s="2909">
        <is>
          <t>20221001</t>
        </is>
      </c>
      <c r="AD347" t="n" s="2909">
        <v>0</v>
      </c>
      <c r="AE347" t="inlineStr" s="2909">
        <is>
          <t>00000000</t>
        </is>
      </c>
      <c r="AH347" t="n" s="2909">
        <v>1</v>
      </c>
      <c r="AJ347" t="n" s="2909">
        <v>41</v>
      </c>
      <c r="AP347" t="n" s="2909">
        <v>142000</v>
      </c>
      <c r="DB347" s="2909" t="str">
        <f>IF($A347="","",IF(AND($A347=21,$AE347&amp;""="00000000"),IF($AH347=20,"病院",IF($AH347=5,"消防","市長")),"対象外"))</f>
        <v>対象外</v>
      </c>
    </row>
    <row r="348">
      <c r="A348" t="n" s="2909">
        <v>31</v>
      </c>
      <c r="AA348" t="n" s="2909">
        <v>21</v>
      </c>
      <c r="AB348" t="inlineStr" s="2909">
        <is>
          <t>20221001</t>
        </is>
      </c>
      <c r="AD348" t="n" s="2909">
        <v>0</v>
      </c>
      <c r="AE348" t="inlineStr" s="2909">
        <is>
          <t>00000000</t>
        </is>
      </c>
      <c r="AH348" t="n" s="2909">
        <v>11</v>
      </c>
      <c r="AJ348" t="n" s="2909">
        <v>41</v>
      </c>
      <c r="AP348" t="n" s="2909">
        <v>126000</v>
      </c>
      <c r="DB348" s="2909" t="str">
        <f>IF($A348="","",IF(AND($A348=21,$AE348&amp;""="00000000"),IF($AH348=20,"病院",IF($AH348=5,"消防","市長")),"対象外"))</f>
        <v>対象外</v>
      </c>
    </row>
    <row r="349">
      <c r="A349" t="n" s="2909">
        <v>31</v>
      </c>
      <c r="AA349" t="n" s="2909">
        <v>21</v>
      </c>
      <c r="AB349" t="inlineStr" s="2909">
        <is>
          <t>20221001</t>
        </is>
      </c>
      <c r="AD349" t="n" s="2909">
        <v>0</v>
      </c>
      <c r="AE349" t="inlineStr" s="2909">
        <is>
          <t>00000000</t>
        </is>
      </c>
      <c r="AH349" t="n" s="2909">
        <v>1</v>
      </c>
      <c r="AJ349" t="n" s="2909">
        <v>41</v>
      </c>
      <c r="AP349" t="n" s="2909">
        <v>150000</v>
      </c>
      <c r="DB349" s="2909" t="str">
        <f>IF($A349="","",IF(AND($A349=21,$AE349&amp;""="00000000"),IF($AH349=20,"病院",IF($AH349=5,"消防","市長")),"対象外"))</f>
        <v>対象外</v>
      </c>
    </row>
    <row r="350">
      <c r="A350" t="n" s="2909">
        <v>31</v>
      </c>
      <c r="AA350" t="n" s="2909">
        <v>21</v>
      </c>
      <c r="AB350" t="inlineStr" s="2909">
        <is>
          <t>20221001</t>
        </is>
      </c>
      <c r="AD350" t="n" s="2909">
        <v>0</v>
      </c>
      <c r="AE350" t="inlineStr" s="2909">
        <is>
          <t>00000000</t>
        </is>
      </c>
      <c r="AH350" t="n" s="2909">
        <v>11</v>
      </c>
      <c r="AJ350" t="n" s="2909">
        <v>41</v>
      </c>
      <c r="AP350" t="n" s="2909">
        <v>118000</v>
      </c>
      <c r="DB350" s="2909" t="str">
        <f>IF($A350="","",IF(AND($A350=21,$AE350&amp;""="00000000"),IF($AH350=20,"病院",IF($AH350=5,"消防","市長")),"対象外"))</f>
        <v>対象外</v>
      </c>
    </row>
    <row r="351">
      <c r="A351" t="n" s="2909">
        <v>31</v>
      </c>
      <c r="AA351" t="n" s="2909">
        <v>21</v>
      </c>
      <c r="AB351" t="inlineStr" s="2909">
        <is>
          <t>20221001</t>
        </is>
      </c>
      <c r="AD351" t="n" s="2909">
        <v>0</v>
      </c>
      <c r="AE351" t="inlineStr" s="2909">
        <is>
          <t>00000000</t>
        </is>
      </c>
      <c r="AH351" t="n" s="2909">
        <v>1</v>
      </c>
      <c r="AJ351" t="n" s="2909">
        <v>41</v>
      </c>
      <c r="AP351" t="n" s="2909">
        <v>150000</v>
      </c>
      <c r="DB351" s="2909" t="str">
        <f>IF($A351="","",IF(AND($A351=21,$AE351&amp;""="00000000"),IF($AH351=20,"病院",IF($AH351=5,"消防","市長")),"対象外"))</f>
        <v>対象外</v>
      </c>
    </row>
    <row r="352">
      <c r="A352" t="n" s="2909">
        <v>31</v>
      </c>
      <c r="AA352" t="n" s="2909">
        <v>21</v>
      </c>
      <c r="AB352" t="inlineStr" s="2909">
        <is>
          <t>20221001</t>
        </is>
      </c>
      <c r="AD352" t="n" s="2909">
        <v>0</v>
      </c>
      <c r="AE352" t="inlineStr" s="2909">
        <is>
          <t>00000000</t>
        </is>
      </c>
      <c r="AH352" t="n" s="2909">
        <v>1</v>
      </c>
      <c r="AJ352" t="n" s="2909">
        <v>41</v>
      </c>
      <c r="AP352" t="n" s="2909">
        <v>134000</v>
      </c>
      <c r="DB352" s="2909" t="str">
        <f>IF($A352="","",IF(AND($A352=21,$AE352&amp;""="00000000"),IF($AH352=20,"病院",IF($AH352=5,"消防","市長")),"対象外"))</f>
        <v>対象外</v>
      </c>
    </row>
    <row r="353">
      <c r="A353" t="n" s="2909">
        <v>31</v>
      </c>
      <c r="AA353" t="n" s="2909">
        <v>21</v>
      </c>
      <c r="AB353" t="inlineStr" s="2909">
        <is>
          <t>20221001</t>
        </is>
      </c>
      <c r="AD353" t="n" s="2909">
        <v>0</v>
      </c>
      <c r="AE353" t="inlineStr" s="2909">
        <is>
          <t>00000000</t>
        </is>
      </c>
      <c r="AH353" t="n" s="2909">
        <v>1</v>
      </c>
      <c r="AJ353" t="n" s="2909">
        <v>41</v>
      </c>
      <c r="AP353" t="n" s="2909">
        <v>150000</v>
      </c>
      <c r="DB353" s="2909" t="str">
        <f>IF($A353="","",IF(AND($A353=21,$AE353&amp;""="00000000"),IF($AH353=20,"病院",IF($AH353=5,"消防","市長")),"対象外"))</f>
        <v>対象外</v>
      </c>
    </row>
    <row r="354">
      <c r="A354" t="n" s="2909">
        <v>31</v>
      </c>
      <c r="AA354" t="n" s="2909">
        <v>21</v>
      </c>
      <c r="AB354" t="inlineStr" s="2909">
        <is>
          <t>20230401</t>
        </is>
      </c>
      <c r="AD354" t="n" s="2909">
        <v>0</v>
      </c>
      <c r="AE354" t="inlineStr" s="2909">
        <is>
          <t>00000000</t>
        </is>
      </c>
      <c r="AH354" t="n" s="2909">
        <v>1</v>
      </c>
      <c r="AJ354" t="n" s="2909">
        <v>10</v>
      </c>
      <c r="AP354" t="n" s="2909">
        <v>260000</v>
      </c>
      <c r="DB354" s="2909" t="str">
        <f>IF($A354="","",IF(AND($A354=21,$AE354&amp;""="00000000"),IF($AH354=20,"病院",IF($AH354=5,"消防","市長")),"対象外"))</f>
        <v>対象外</v>
      </c>
    </row>
    <row r="355">
      <c r="A355" t="n" s="2909">
        <v>31</v>
      </c>
      <c r="AA355" t="n" s="2909">
        <v>21</v>
      </c>
      <c r="AB355" t="inlineStr" s="2909">
        <is>
          <t>20221001</t>
        </is>
      </c>
      <c r="AD355" t="n" s="2909">
        <v>0</v>
      </c>
      <c r="AE355" t="inlineStr" s="2909">
        <is>
          <t>00000000</t>
        </is>
      </c>
      <c r="AH355" t="n" s="2909">
        <v>1</v>
      </c>
      <c r="AJ355" t="n" s="2909">
        <v>41</v>
      </c>
      <c r="AP355" t="n" s="2909">
        <v>142000</v>
      </c>
      <c r="DB355" s="2909" t="str">
        <f>IF($A355="","",IF(AND($A355=21,$AE355&amp;""="00000000"),IF($AH355=20,"病院",IF($AH355=5,"消防","市長")),"対象外"))</f>
        <v>対象外</v>
      </c>
    </row>
    <row r="356">
      <c r="A356" t="n" s="2909">
        <v>31</v>
      </c>
      <c r="AA356" t="n" s="2909">
        <v>21</v>
      </c>
      <c r="AB356" t="inlineStr" s="2909">
        <is>
          <t>20221001</t>
        </is>
      </c>
      <c r="AD356" t="n" s="2909">
        <v>0</v>
      </c>
      <c r="AE356" t="inlineStr" s="2909">
        <is>
          <t>00000000</t>
        </is>
      </c>
      <c r="AH356" t="n" s="2909">
        <v>1</v>
      </c>
      <c r="AJ356" t="n" s="2909">
        <v>41</v>
      </c>
      <c r="AP356" t="n" s="2909">
        <v>200000</v>
      </c>
      <c r="DB356" s="2909" t="str">
        <f>IF($A356="","",IF(AND($A356=21,$AE356&amp;""="00000000"),IF($AH356=20,"病院",IF($AH356=5,"消防","市長")),"対象外"))</f>
        <v>対象外</v>
      </c>
    </row>
    <row r="357">
      <c r="A357" t="n" s="2909">
        <v>21</v>
      </c>
      <c r="AA357" t="n" s="2909">
        <v>21</v>
      </c>
      <c r="AB357" t="inlineStr" s="2909">
        <is>
          <t>19880401</t>
        </is>
      </c>
      <c r="AD357" t="n" s="2909">
        <v>0</v>
      </c>
      <c r="AE357" t="inlineStr" s="2909">
        <is>
          <t>00000000</t>
        </is>
      </c>
      <c r="AH357" t="n" s="2909">
        <v>1</v>
      </c>
      <c r="AJ357" t="n" s="2909">
        <v>10</v>
      </c>
      <c r="AP357" t="n" s="2909">
        <v>500000</v>
      </c>
      <c r="DB357" s="2909" t="str">
        <f>IF($A357="","",IF(AND($A357=21,$AE357&amp;""="00000000"),IF($AH357=20,"病院",IF($AH357=5,"消防","市長")),"対象外"))</f>
        <v>市長</v>
      </c>
    </row>
    <row r="358">
      <c r="A358" t="n" s="2909">
        <v>31</v>
      </c>
      <c r="AA358" t="n" s="2909">
        <v>21</v>
      </c>
      <c r="AB358" t="inlineStr" s="2909">
        <is>
          <t>20221001</t>
        </is>
      </c>
      <c r="AD358" t="n" s="2909">
        <v>0</v>
      </c>
      <c r="AE358" t="inlineStr" s="2909">
        <is>
          <t>00000000</t>
        </is>
      </c>
      <c r="AH358" t="n" s="2909">
        <v>1</v>
      </c>
      <c r="AJ358" t="n" s="2909">
        <v>41</v>
      </c>
      <c r="AP358" t="n" s="2909">
        <v>200000</v>
      </c>
      <c r="DB358" s="2909" t="str">
        <f>IF($A358="","",IF(AND($A358=21,$AE358&amp;""="00000000"),IF($AH358=20,"病院",IF($AH358=5,"消防","市長")),"対象外"))</f>
        <v>対象外</v>
      </c>
    </row>
    <row r="359">
      <c r="A359" t="n" s="2909">
        <v>31</v>
      </c>
      <c r="AA359" t="n" s="2909">
        <v>21</v>
      </c>
      <c r="AB359" t="inlineStr" s="2909">
        <is>
          <t>20221001</t>
        </is>
      </c>
      <c r="AD359" t="n" s="2909">
        <v>0</v>
      </c>
      <c r="AE359" t="inlineStr" s="2909">
        <is>
          <t>00000000</t>
        </is>
      </c>
      <c r="AH359" t="n" s="2909">
        <v>1</v>
      </c>
      <c r="AJ359" t="n" s="2909">
        <v>41</v>
      </c>
      <c r="AP359" t="n" s="2909">
        <v>118000</v>
      </c>
      <c r="DB359" s="2909" t="str">
        <f>IF($A359="","",IF(AND($A359=21,$AE359&amp;""="00000000"),IF($AH359=20,"病院",IF($AH359=5,"消防","市長")),"対象外"))</f>
        <v>対象外</v>
      </c>
    </row>
    <row r="360">
      <c r="A360" t="n" s="2909">
        <v>31</v>
      </c>
      <c r="AA360" t="n" s="2909">
        <v>21</v>
      </c>
      <c r="AB360" t="inlineStr" s="2909">
        <is>
          <t>20250801</t>
        </is>
      </c>
      <c r="AD360" t="n" s="2909">
        <v>0</v>
      </c>
      <c r="AE360" t="inlineStr" s="2909">
        <is>
          <t>00000000</t>
        </is>
      </c>
      <c r="AH360" t="n" s="2909">
        <v>1</v>
      </c>
      <c r="AJ360" t="n" s="2909">
        <v>41</v>
      </c>
      <c r="AP360" t="n" s="2909">
        <v>126000</v>
      </c>
      <c r="DB360" s="2909" t="str">
        <f>IF($A360="","",IF(AND($A360=21,$AE360&amp;""="00000000"),IF($AH360=20,"病院",IF($AH360=5,"消防","市長")),"対象外"))</f>
        <v>対象外</v>
      </c>
    </row>
    <row r="361">
      <c r="A361" t="n" s="2909">
        <v>31</v>
      </c>
      <c r="AA361" t="n" s="2909">
        <v>21</v>
      </c>
      <c r="AB361" t="inlineStr" s="2909">
        <is>
          <t>20221001</t>
        </is>
      </c>
      <c r="AD361" t="n" s="2909">
        <v>0</v>
      </c>
      <c r="AE361" t="inlineStr" s="2909">
        <is>
          <t>00000000</t>
        </is>
      </c>
      <c r="AH361" t="n" s="2909">
        <v>1</v>
      </c>
      <c r="AJ361" t="n" s="2909">
        <v>41</v>
      </c>
      <c r="AP361" t="n" s="2909">
        <v>220000</v>
      </c>
      <c r="DB361" s="2909" t="str">
        <f>IF($A361="","",IF(AND($A361=21,$AE361&amp;""="00000000"),IF($AH361=20,"病院",IF($AH361=5,"消防","市長")),"対象外"))</f>
        <v>対象外</v>
      </c>
    </row>
    <row r="362">
      <c r="A362" t="n" s="2909">
        <v>31</v>
      </c>
      <c r="AA362" t="n" s="2909">
        <v>21</v>
      </c>
      <c r="AB362" t="inlineStr" s="2909">
        <is>
          <t>20221001</t>
        </is>
      </c>
      <c r="AD362" t="n" s="2909">
        <v>0</v>
      </c>
      <c r="AE362" t="inlineStr" s="2909">
        <is>
          <t>00000000</t>
        </is>
      </c>
      <c r="AH362" t="n" s="2909">
        <v>11</v>
      </c>
      <c r="AJ362" t="n" s="2909">
        <v>41</v>
      </c>
      <c r="AP362" t="n" s="2909">
        <v>190000</v>
      </c>
      <c r="DB362" s="2909" t="str">
        <f>IF($A362="","",IF(AND($A362=21,$AE362&amp;""="00000000"),IF($AH362=20,"病院",IF($AH362=5,"消防","市長")),"対象外"))</f>
        <v>対象外</v>
      </c>
    </row>
    <row r="363">
      <c r="A363" t="n" s="2909">
        <v>31</v>
      </c>
      <c r="AA363" t="n" s="2909">
        <v>21</v>
      </c>
      <c r="AB363" t="inlineStr" s="2909">
        <is>
          <t>20221001</t>
        </is>
      </c>
      <c r="AD363" t="n" s="2909">
        <v>0</v>
      </c>
      <c r="AE363" t="inlineStr" s="2909">
        <is>
          <t>00000000</t>
        </is>
      </c>
      <c r="AH363" t="n" s="2909">
        <v>1</v>
      </c>
      <c r="AJ363" t="n" s="2909">
        <v>41</v>
      </c>
      <c r="AP363" t="n" s="2909">
        <v>160000</v>
      </c>
      <c r="DB363" s="2909" t="str">
        <f>IF($A363="","",IF(AND($A363=21,$AE363&amp;""="00000000"),IF($AH363=20,"病院",IF($AH363=5,"消防","市長")),"対象外"))</f>
        <v>対象外</v>
      </c>
    </row>
    <row r="364">
      <c r="A364" t="n" s="2909">
        <v>21</v>
      </c>
      <c r="AA364" t="n" s="2909">
        <v>21</v>
      </c>
      <c r="AB364" t="inlineStr" s="2909">
        <is>
          <t>19891201</t>
        </is>
      </c>
      <c r="AD364" t="n" s="2909">
        <v>0</v>
      </c>
      <c r="AE364" t="inlineStr" s="2909">
        <is>
          <t>00000000</t>
        </is>
      </c>
      <c r="AH364" t="n" s="2909">
        <v>20</v>
      </c>
      <c r="AJ364" t="n" s="2909">
        <v>10</v>
      </c>
      <c r="AP364" t="n" s="2909">
        <v>560000</v>
      </c>
      <c r="DB364" s="2909" t="str">
        <f>IF($A364="","",IF(AND($A364=21,$AE364&amp;""="00000000"),IF($AH364=20,"病院",IF($AH364=5,"消防","市長")),"対象外"))</f>
        <v>病院</v>
      </c>
    </row>
    <row r="365">
      <c r="A365" t="n" s="2909">
        <v>31</v>
      </c>
      <c r="AA365" t="n" s="2909">
        <v>21</v>
      </c>
      <c r="AB365" t="inlineStr" s="2909">
        <is>
          <t>20250414</t>
        </is>
      </c>
      <c r="AD365" t="n" s="2909">
        <v>0</v>
      </c>
      <c r="AE365" t="inlineStr" s="2909">
        <is>
          <t>00000000</t>
        </is>
      </c>
      <c r="AH365" t="n" s="2909">
        <v>20</v>
      </c>
      <c r="AJ365" t="n" s="2909">
        <v>41</v>
      </c>
      <c r="AP365" t="n" s="2909">
        <v>150000</v>
      </c>
      <c r="DB365" s="2909" t="str">
        <f>IF($A365="","",IF(AND($A365=21,$AE365&amp;""="00000000"),IF($AH365=20,"病院",IF($AH365=5,"消防","市長")),"対象外"))</f>
        <v>対象外</v>
      </c>
    </row>
    <row r="366">
      <c r="A366" t="n" s="2909">
        <v>31</v>
      </c>
      <c r="AA366" t="n" s="2909">
        <v>21</v>
      </c>
      <c r="AB366" t="inlineStr" s="2909">
        <is>
          <t>20210401</t>
        </is>
      </c>
      <c r="AD366" t="n" s="2909">
        <v>0</v>
      </c>
      <c r="AE366" t="inlineStr" s="2909">
        <is>
          <t>00000000</t>
        </is>
      </c>
      <c r="AH366" t="n" s="2909">
        <v>1</v>
      </c>
      <c r="AJ366" t="n" s="2909">
        <v>10</v>
      </c>
      <c r="AP366" t="n" s="2909">
        <v>280000</v>
      </c>
      <c r="DB366" s="2909" t="str">
        <f>IF($A366="","",IF(AND($A366=21,$AE366&amp;""="00000000"),IF($AH366=20,"病院",IF($AH366=5,"消防","市長")),"対象外"))</f>
        <v>対象外</v>
      </c>
    </row>
    <row r="367">
      <c r="A367" t="n" s="2909">
        <v>21</v>
      </c>
      <c r="AA367" t="n" s="2909">
        <v>21</v>
      </c>
      <c r="AB367" t="inlineStr" s="2909">
        <is>
          <t>19860701</t>
        </is>
      </c>
      <c r="AD367" t="n" s="2909">
        <v>0</v>
      </c>
      <c r="AE367" t="inlineStr" s="2909">
        <is>
          <t>00000000</t>
        </is>
      </c>
      <c r="AH367" t="n" s="2909">
        <v>1</v>
      </c>
      <c r="AJ367" t="n" s="2909">
        <v>10</v>
      </c>
      <c r="AP367" t="n" s="2909">
        <v>500000</v>
      </c>
      <c r="DB367" s="2909" t="str">
        <f>IF($A367="","",IF(AND($A367=21,$AE367&amp;""="00000000"),IF($AH367=20,"病院",IF($AH367=5,"消防","市長")),"対象外"))</f>
        <v>市長</v>
      </c>
    </row>
    <row r="368">
      <c r="A368" t="n" s="2909">
        <v>31</v>
      </c>
      <c r="AA368" t="n" s="2909">
        <v>21</v>
      </c>
      <c r="AB368" t="inlineStr" s="2909">
        <is>
          <t>20221001</t>
        </is>
      </c>
      <c r="AD368" t="n" s="2909">
        <v>0</v>
      </c>
      <c r="AE368" t="inlineStr" s="2909">
        <is>
          <t>00000000</t>
        </is>
      </c>
      <c r="AH368" t="n" s="2909">
        <v>1</v>
      </c>
      <c r="AJ368" t="n" s="2909">
        <v>41</v>
      </c>
      <c r="AP368" t="n" s="2909">
        <v>200000</v>
      </c>
      <c r="DB368" s="2909" t="str">
        <f>IF($A368="","",IF(AND($A368=21,$AE368&amp;""="00000000"),IF($AH368=20,"病院",IF($AH368=5,"消防","市長")),"対象外"))</f>
        <v>対象外</v>
      </c>
    </row>
    <row r="369">
      <c r="A369" t="n" s="2909">
        <v>31</v>
      </c>
      <c r="AA369" t="n" s="2909">
        <v>21</v>
      </c>
      <c r="AB369" t="inlineStr" s="2909">
        <is>
          <t>20221001</t>
        </is>
      </c>
      <c r="AD369" t="n" s="2909">
        <v>0</v>
      </c>
      <c r="AE369" t="inlineStr" s="2909">
        <is>
          <t>00000000</t>
        </is>
      </c>
      <c r="AH369" t="n" s="2909">
        <v>1</v>
      </c>
      <c r="AJ369" t="n" s="2909">
        <v>41</v>
      </c>
      <c r="AP369" t="n" s="2909">
        <v>134000</v>
      </c>
      <c r="DB369" s="2909" t="str">
        <f>IF($A369="","",IF(AND($A369=21,$AE369&amp;""="00000000"),IF($AH369=20,"病院",IF($AH369=5,"消防","市長")),"対象外"))</f>
        <v>対象外</v>
      </c>
    </row>
    <row r="370">
      <c r="A370" t="n" s="2909">
        <v>31</v>
      </c>
      <c r="AA370" t="n" s="2909">
        <v>21</v>
      </c>
      <c r="AB370" t="inlineStr" s="2909">
        <is>
          <t>20221001</t>
        </is>
      </c>
      <c r="AD370" t="n" s="2909">
        <v>0</v>
      </c>
      <c r="AE370" t="inlineStr" s="2909">
        <is>
          <t>00000000</t>
        </is>
      </c>
      <c r="AH370" t="n" s="2909">
        <v>1</v>
      </c>
      <c r="AJ370" t="n" s="2909">
        <v>41</v>
      </c>
      <c r="AP370" t="n" s="2909">
        <v>200000</v>
      </c>
      <c r="DB370" s="2909" t="str">
        <f>IF($A370="","",IF(AND($A370=21,$AE370&amp;""="00000000"),IF($AH370=20,"病院",IF($AH370=5,"消防","市長")),"対象外"))</f>
        <v>対象外</v>
      </c>
    </row>
    <row r="371">
      <c r="A371" t="n" s="2909">
        <v>31</v>
      </c>
      <c r="AA371" t="n" s="2909">
        <v>21</v>
      </c>
      <c r="AB371" t="inlineStr" s="2909">
        <is>
          <t>20221001</t>
        </is>
      </c>
      <c r="AD371" t="n" s="2909">
        <v>0</v>
      </c>
      <c r="AE371" t="inlineStr" s="2909">
        <is>
          <t>00000000</t>
        </is>
      </c>
      <c r="AH371" t="n" s="2909">
        <v>1</v>
      </c>
      <c r="AJ371" t="n" s="2909">
        <v>41</v>
      </c>
      <c r="AP371" t="n" s="2909">
        <v>150000</v>
      </c>
      <c r="DB371" s="2909" t="str">
        <f>IF($A371="","",IF(AND($A371=21,$AE371&amp;""="00000000"),IF($AH371=20,"病院",IF($AH371=5,"消防","市長")),"対象外"))</f>
        <v>対象外</v>
      </c>
    </row>
    <row r="372">
      <c r="A372" t="n" s="2909">
        <v>21</v>
      </c>
      <c r="AA372" t="n" s="2909">
        <v>21</v>
      </c>
      <c r="AB372" t="inlineStr" s="2909">
        <is>
          <t>19840401</t>
        </is>
      </c>
      <c r="AD372" t="n" s="2909">
        <v>0</v>
      </c>
      <c r="AE372" t="inlineStr" s="2909">
        <is>
          <t>00000000</t>
        </is>
      </c>
      <c r="AH372" t="n" s="2909">
        <v>14</v>
      </c>
      <c r="AJ372" t="n" s="2909">
        <v>10</v>
      </c>
      <c r="AP372" t="n" s="2909">
        <v>680000</v>
      </c>
      <c r="DB372" s="2909" t="str">
        <f>IF($A372="","",IF(AND($A372=21,$AE372&amp;""="00000000"),IF($AH372=20,"病院",IF($AH372=5,"消防","市長")),"対象外"))</f>
        <v>市長</v>
      </c>
    </row>
    <row r="373">
      <c r="A373" t="n" s="2909">
        <v>31</v>
      </c>
      <c r="AA373" t="n" s="2909">
        <v>21</v>
      </c>
      <c r="AB373" t="inlineStr" s="2909">
        <is>
          <t>20221001</t>
        </is>
      </c>
      <c r="AD373" t="n" s="2909">
        <v>0</v>
      </c>
      <c r="AE373" t="inlineStr" s="2909">
        <is>
          <t>00000000</t>
        </is>
      </c>
      <c r="AH373" t="n" s="2909">
        <v>1</v>
      </c>
      <c r="AJ373" t="n" s="2909">
        <v>41</v>
      </c>
      <c r="AP373" t="n" s="2909">
        <v>142000</v>
      </c>
      <c r="DB373" s="2909" t="str">
        <f>IF($A373="","",IF(AND($A373=21,$AE373&amp;""="00000000"),IF($AH373=20,"病院",IF($AH373=5,"消防","市長")),"対象外"))</f>
        <v>対象外</v>
      </c>
    </row>
    <row r="374">
      <c r="A374" t="n" s="2909">
        <v>21</v>
      </c>
      <c r="AA374" t="n" s="2909">
        <v>21</v>
      </c>
      <c r="AB374" t="inlineStr" s="2909">
        <is>
          <t>19880401</t>
        </is>
      </c>
      <c r="AD374" t="n" s="2909">
        <v>0</v>
      </c>
      <c r="AE374" t="inlineStr" s="2909">
        <is>
          <t>00000000</t>
        </is>
      </c>
      <c r="AH374" t="n" s="2909">
        <v>11</v>
      </c>
      <c r="AJ374" t="n" s="2909">
        <v>10</v>
      </c>
      <c r="AP374" t="n" s="2909">
        <v>470000</v>
      </c>
      <c r="DB374" s="2909" t="str">
        <f>IF($A374="","",IF(AND($A374=21,$AE374&amp;""="00000000"),IF($AH374=20,"病院",IF($AH374=5,"消防","市長")),"対象外"))</f>
        <v>市長</v>
      </c>
    </row>
    <row r="375">
      <c r="A375" t="n" s="2909">
        <v>21</v>
      </c>
      <c r="AA375" t="n" s="2909">
        <v>21</v>
      </c>
      <c r="AB375" t="inlineStr" s="2909">
        <is>
          <t>19880401</t>
        </is>
      </c>
      <c r="AD375" t="n" s="2909">
        <v>0</v>
      </c>
      <c r="AE375" t="inlineStr" s="2909">
        <is>
          <t>00000000</t>
        </is>
      </c>
      <c r="AH375" t="n" s="2909">
        <v>37</v>
      </c>
      <c r="AJ375" t="n" s="2909">
        <v>74</v>
      </c>
      <c r="AP375" t="n" s="2909">
        <v>590000</v>
      </c>
      <c r="DB375" s="2909" t="str">
        <f>IF($A375="","",IF(AND($A375=21,$AE375&amp;""="00000000"),IF($AH375=20,"病院",IF($AH375=5,"消防","市長")),"対象外"))</f>
        <v>市長</v>
      </c>
    </row>
    <row r="376">
      <c r="A376" t="n" s="2909">
        <v>31</v>
      </c>
      <c r="AA376" t="n" s="2909">
        <v>21</v>
      </c>
      <c r="AB376" t="inlineStr" s="2909">
        <is>
          <t>20200401</t>
        </is>
      </c>
      <c r="AD376" t="n" s="2909">
        <v>0</v>
      </c>
      <c r="AE376" t="inlineStr" s="2909">
        <is>
          <t>00000000</t>
        </is>
      </c>
      <c r="AH376" t="n" s="2909">
        <v>1</v>
      </c>
      <c r="AJ376" t="n" s="2909">
        <v>10</v>
      </c>
      <c r="AP376" t="n" s="2909">
        <v>260000</v>
      </c>
      <c r="DB376" s="2909" t="str">
        <f>IF($A376="","",IF(AND($A376=21,$AE376&amp;""="00000000"),IF($AH376=20,"病院",IF($AH376=5,"消防","市長")),"対象外"))</f>
        <v>対象外</v>
      </c>
    </row>
    <row r="377">
      <c r="A377" t="n" s="2909">
        <v>31</v>
      </c>
      <c r="AA377" t="n" s="2909">
        <v>21</v>
      </c>
      <c r="AB377" t="inlineStr" s="2909">
        <is>
          <t>20221001</t>
        </is>
      </c>
      <c r="AD377" t="n" s="2909">
        <v>0</v>
      </c>
      <c r="AE377" t="inlineStr" s="2909">
        <is>
          <t>00000000</t>
        </is>
      </c>
      <c r="AH377" t="n" s="2909">
        <v>11</v>
      </c>
      <c r="AJ377" t="n" s="2909">
        <v>41</v>
      </c>
      <c r="AP377" t="n" s="2909">
        <v>170000</v>
      </c>
      <c r="DB377" s="2909" t="str">
        <f>IF($A377="","",IF(AND($A377=21,$AE377&amp;""="00000000"),IF($AH377=20,"病院",IF($AH377=5,"消防","市長")),"対象外"))</f>
        <v>対象外</v>
      </c>
    </row>
    <row r="378">
      <c r="A378" t="n" s="2909">
        <v>31</v>
      </c>
      <c r="AA378" t="n" s="2909">
        <v>21</v>
      </c>
      <c r="AB378" t="inlineStr" s="2909">
        <is>
          <t>20221001</t>
        </is>
      </c>
      <c r="AD378" t="n" s="2909">
        <v>0</v>
      </c>
      <c r="AE378" t="inlineStr" s="2909">
        <is>
          <t>00000000</t>
        </is>
      </c>
      <c r="AH378" t="n" s="2909">
        <v>1</v>
      </c>
      <c r="AJ378" t="n" s="2909">
        <v>41</v>
      </c>
      <c r="AP378" t="n" s="2909">
        <v>134000</v>
      </c>
      <c r="DB378" s="2909" t="str">
        <f>IF($A378="","",IF(AND($A378=21,$AE378&amp;""="00000000"),IF($AH378=20,"病院",IF($AH378=5,"消防","市長")),"対象外"))</f>
        <v>対象外</v>
      </c>
    </row>
    <row r="379">
      <c r="A379" t="n" s="2909">
        <v>31</v>
      </c>
      <c r="AA379" t="n" s="2909">
        <v>21</v>
      </c>
      <c r="AB379" t="inlineStr" s="2909">
        <is>
          <t>20221001</t>
        </is>
      </c>
      <c r="AD379" t="n" s="2909">
        <v>0</v>
      </c>
      <c r="AE379" t="inlineStr" s="2909">
        <is>
          <t>00000000</t>
        </is>
      </c>
      <c r="AH379" t="n" s="2909">
        <v>1</v>
      </c>
      <c r="AJ379" t="n" s="2909">
        <v>41</v>
      </c>
      <c r="AP379" t="n" s="2909">
        <v>200000</v>
      </c>
      <c r="DB379" s="2909" t="str">
        <f>IF($A379="","",IF(AND($A379=21,$AE379&amp;""="00000000"),IF($AH379=20,"病院",IF($AH379=5,"消防","市長")),"対象外"))</f>
        <v>対象外</v>
      </c>
    </row>
    <row r="380">
      <c r="A380" t="n" s="2909">
        <v>21</v>
      </c>
      <c r="AA380" t="n" s="2909">
        <v>24</v>
      </c>
      <c r="AB380" t="inlineStr" s="2909">
        <is>
          <t>20190501</t>
        </is>
      </c>
      <c r="AD380" t="n" s="2909">
        <v>0</v>
      </c>
      <c r="AE380" t="inlineStr" s="2909">
        <is>
          <t>00000000</t>
        </is>
      </c>
      <c r="AH380" t="n" s="2909">
        <v>20</v>
      </c>
      <c r="AJ380" t="n" s="2909">
        <v>10</v>
      </c>
      <c r="AP380" t="n" s="2909">
        <v>360000</v>
      </c>
      <c r="DB380" s="2909" t="str">
        <f>IF($A380="","",IF(AND($A380=21,$AE380&amp;""="00000000"),IF($AH380=20,"病院",IF($AH380=5,"消防","市長")),"対象外"))</f>
        <v>病院</v>
      </c>
    </row>
    <row r="381">
      <c r="A381" t="n" s="2909">
        <v>31</v>
      </c>
      <c r="AA381" t="n" s="2909">
        <v>21</v>
      </c>
      <c r="AB381" t="inlineStr" s="2909">
        <is>
          <t>20221001</t>
        </is>
      </c>
      <c r="AD381" t="n" s="2909">
        <v>0</v>
      </c>
      <c r="AE381" t="inlineStr" s="2909">
        <is>
          <t>00000000</t>
        </is>
      </c>
      <c r="AH381" t="n" s="2909">
        <v>1</v>
      </c>
      <c r="AJ381" t="n" s="2909">
        <v>41</v>
      </c>
      <c r="AP381" t="n" s="2909">
        <v>142000</v>
      </c>
      <c r="DB381" s="2909" t="str">
        <f>IF($A381="","",IF(AND($A381=21,$AE381&amp;""="00000000"),IF($AH381=20,"病院",IF($AH381=5,"消防","市長")),"対象外"))</f>
        <v>対象外</v>
      </c>
    </row>
    <row r="382">
      <c r="A382" t="n" s="2909">
        <v>31</v>
      </c>
      <c r="AA382" t="n" s="2909">
        <v>21</v>
      </c>
      <c r="AB382" t="inlineStr" s="2909">
        <is>
          <t>20221001</t>
        </is>
      </c>
      <c r="AD382" t="n" s="2909">
        <v>0</v>
      </c>
      <c r="AE382" t="inlineStr" s="2909">
        <is>
          <t>00000000</t>
        </is>
      </c>
      <c r="AH382" t="n" s="2909">
        <v>1</v>
      </c>
      <c r="AJ382" t="n" s="2909">
        <v>41</v>
      </c>
      <c r="AP382" t="n" s="2909">
        <v>190000</v>
      </c>
      <c r="DB382" s="2909" t="str">
        <f>IF($A382="","",IF(AND($A382=21,$AE382&amp;""="00000000"),IF($AH382=20,"病院",IF($AH382=5,"消防","市長")),"対象外"))</f>
        <v>対象外</v>
      </c>
    </row>
    <row r="383">
      <c r="A383" t="n" s="2909">
        <v>31</v>
      </c>
      <c r="AA383" t="n" s="2909">
        <v>21</v>
      </c>
      <c r="AB383" t="inlineStr" s="2909">
        <is>
          <t>20221001</t>
        </is>
      </c>
      <c r="AD383" t="n" s="2909">
        <v>0</v>
      </c>
      <c r="AE383" t="inlineStr" s="2909">
        <is>
          <t>00000000</t>
        </is>
      </c>
      <c r="AH383" t="n" s="2909">
        <v>1</v>
      </c>
      <c r="AJ383" t="n" s="2909">
        <v>41</v>
      </c>
      <c r="AP383" t="n" s="2909">
        <v>200000</v>
      </c>
      <c r="DB383" s="2909" t="str">
        <f>IF($A383="","",IF(AND($A383=21,$AE383&amp;""="00000000"),IF($AH383=20,"病院",IF($AH383=5,"消防","市長")),"対象外"))</f>
        <v>対象外</v>
      </c>
    </row>
    <row r="384">
      <c r="A384" t="n" s="2909">
        <v>31</v>
      </c>
      <c r="AA384" t="n" s="2909">
        <v>21</v>
      </c>
      <c r="AB384" t="inlineStr" s="2909">
        <is>
          <t>20221001</t>
        </is>
      </c>
      <c r="AD384" t="n" s="2909">
        <v>0</v>
      </c>
      <c r="AE384" t="inlineStr" s="2909">
        <is>
          <t>00000000</t>
        </is>
      </c>
      <c r="AH384" t="n" s="2909">
        <v>1</v>
      </c>
      <c r="AJ384" t="n" s="2909">
        <v>41</v>
      </c>
      <c r="AP384" t="n" s="2909">
        <v>200000</v>
      </c>
      <c r="DB384" s="2909" t="str">
        <f>IF($A384="","",IF(AND($A384=21,$AE384&amp;""="00000000"),IF($AH384=20,"病院",IF($AH384=5,"消防","市長")),"対象外"))</f>
        <v>対象外</v>
      </c>
    </row>
    <row r="385">
      <c r="A385" t="n" s="2909">
        <v>31</v>
      </c>
      <c r="AA385" t="n" s="2909">
        <v>21</v>
      </c>
      <c r="AB385" t="inlineStr" s="2909">
        <is>
          <t>20221001</t>
        </is>
      </c>
      <c r="AD385" t="n" s="2909">
        <v>0</v>
      </c>
      <c r="AE385" t="inlineStr" s="2909">
        <is>
          <t>00000000</t>
        </is>
      </c>
      <c r="AH385" t="n" s="2909">
        <v>20</v>
      </c>
      <c r="AJ385" t="n" s="2909">
        <v>41</v>
      </c>
      <c r="AP385" t="n" s="2909">
        <v>240000</v>
      </c>
      <c r="DB385" s="2909" t="str">
        <f>IF($A385="","",IF(AND($A385=21,$AE385&amp;""="00000000"),IF($AH385=20,"病院",IF($AH385=5,"消防","市長")),"対象外"))</f>
        <v>対象外</v>
      </c>
    </row>
    <row r="386">
      <c r="A386" t="n" s="2909">
        <v>31</v>
      </c>
      <c r="AA386" t="n" s="2909">
        <v>21</v>
      </c>
      <c r="AB386" t="inlineStr" s="2909">
        <is>
          <t>20221001</t>
        </is>
      </c>
      <c r="AD386" t="n" s="2909">
        <v>0</v>
      </c>
      <c r="AE386" t="inlineStr" s="2909">
        <is>
          <t>00000000</t>
        </is>
      </c>
      <c r="AH386" t="n" s="2909">
        <v>1</v>
      </c>
      <c r="AJ386" t="n" s="2909">
        <v>41</v>
      </c>
      <c r="AP386" t="n" s="2909">
        <v>142000</v>
      </c>
      <c r="DB386" s="2909" t="str">
        <f>IF($A386="","",IF(AND($A386=21,$AE386&amp;""="00000000"),IF($AH386=20,"病院",IF($AH386=5,"消防","市長")),"対象外"))</f>
        <v>対象外</v>
      </c>
    </row>
    <row r="387">
      <c r="A387" t="n" s="2909">
        <v>31</v>
      </c>
      <c r="AA387" t="n" s="2909">
        <v>21</v>
      </c>
      <c r="AB387" t="inlineStr" s="2909">
        <is>
          <t>20250401</t>
        </is>
      </c>
      <c r="AD387" t="n" s="2909">
        <v>0</v>
      </c>
      <c r="AE387" t="inlineStr" s="2909">
        <is>
          <t>00000000</t>
        </is>
      </c>
      <c r="AH387" t="n" s="2909">
        <v>1</v>
      </c>
      <c r="AJ387" t="n" s="2909">
        <v>41</v>
      </c>
      <c r="AP387" t="n" s="2909">
        <v>200000</v>
      </c>
      <c r="DB387" s="2909" t="str">
        <f>IF($A387="","",IF(AND($A387=21,$AE387&amp;""="00000000"),IF($AH387=20,"病院",IF($AH387=5,"消防","市長")),"対象外"))</f>
        <v>対象外</v>
      </c>
    </row>
    <row r="388">
      <c r="A388" t="n" s="2909">
        <v>31</v>
      </c>
      <c r="AA388" t="n" s="2909">
        <v>21</v>
      </c>
      <c r="AB388" t="inlineStr" s="2909">
        <is>
          <t>20221001</t>
        </is>
      </c>
      <c r="AD388" t="n" s="2909">
        <v>0</v>
      </c>
      <c r="AE388" t="inlineStr" s="2909">
        <is>
          <t>00000000</t>
        </is>
      </c>
      <c r="AH388" t="n" s="2909">
        <v>1</v>
      </c>
      <c r="AJ388" t="n" s="2909">
        <v>41</v>
      </c>
      <c r="AP388" t="n" s="2909">
        <v>134000</v>
      </c>
      <c r="DB388" s="2909" t="str">
        <f>IF($A388="","",IF(AND($A388=21,$AE388&amp;""="00000000"),IF($AH388=20,"病院",IF($AH388=5,"消防","市長")),"対象外"))</f>
        <v>対象外</v>
      </c>
    </row>
    <row r="389">
      <c r="A389" t="n" s="2909">
        <v>21</v>
      </c>
      <c r="AA389" t="n" s="2909">
        <v>21</v>
      </c>
      <c r="AB389" t="inlineStr" s="2909">
        <is>
          <t>19880401</t>
        </is>
      </c>
      <c r="AD389" t="n" s="2909">
        <v>0</v>
      </c>
      <c r="AE389" t="inlineStr" s="2909">
        <is>
          <t>00000000</t>
        </is>
      </c>
      <c r="AH389" t="n" s="2909">
        <v>1</v>
      </c>
      <c r="AJ389" t="n" s="2909">
        <v>10</v>
      </c>
      <c r="AP389" t="n" s="2909">
        <v>500000</v>
      </c>
      <c r="DB389" s="2909" t="str">
        <f>IF($A389="","",IF(AND($A389=21,$AE389&amp;""="00000000"),IF($AH389=20,"病院",IF($AH389=5,"消防","市長")),"対象外"))</f>
        <v>市長</v>
      </c>
    </row>
    <row r="390">
      <c r="A390" t="n" s="2909">
        <v>31</v>
      </c>
      <c r="AA390" t="n" s="2909">
        <v>21</v>
      </c>
      <c r="AB390" t="inlineStr" s="2909">
        <is>
          <t>20230201</t>
        </is>
      </c>
      <c r="AD390" t="n" s="2909">
        <v>0</v>
      </c>
      <c r="AE390" t="inlineStr" s="2909">
        <is>
          <t>00000000</t>
        </is>
      </c>
      <c r="AH390" t="n" s="2909">
        <v>1</v>
      </c>
      <c r="AJ390" t="n" s="2909">
        <v>41</v>
      </c>
      <c r="AP390" t="n" s="2909">
        <v>134000</v>
      </c>
      <c r="DB390" s="2909" t="str">
        <f>IF($A390="","",IF(AND($A390=21,$AE390&amp;""="00000000"),IF($AH390=20,"病院",IF($AH390=5,"消防","市長")),"対象外"))</f>
        <v>対象外</v>
      </c>
    </row>
    <row r="391">
      <c r="A391" t="n" s="2909">
        <v>31</v>
      </c>
      <c r="AA391" t="n" s="2909">
        <v>21</v>
      </c>
      <c r="AB391" t="inlineStr" s="2909">
        <is>
          <t>20221001</t>
        </is>
      </c>
      <c r="AD391" t="n" s="2909">
        <v>0</v>
      </c>
      <c r="AE391" t="inlineStr" s="2909">
        <is>
          <t>00000000</t>
        </is>
      </c>
      <c r="AH391" t="n" s="2909">
        <v>1</v>
      </c>
      <c r="AJ391" t="n" s="2909">
        <v>41</v>
      </c>
      <c r="AP391" t="n" s="2909">
        <v>142000</v>
      </c>
      <c r="DB391" s="2909" t="str">
        <f>IF($A391="","",IF(AND($A391=21,$AE391&amp;""="00000000"),IF($AH391=20,"病院",IF($AH391=5,"消防","市長")),"対象外"))</f>
        <v>対象外</v>
      </c>
    </row>
    <row r="392">
      <c r="A392" t="n" s="2909">
        <v>21</v>
      </c>
      <c r="AA392" t="n" s="2909">
        <v>21</v>
      </c>
      <c r="AB392" t="inlineStr" s="2909">
        <is>
          <t>19880401</t>
        </is>
      </c>
      <c r="AD392" t="n" s="2909">
        <v>0</v>
      </c>
      <c r="AE392" t="inlineStr" s="2909">
        <is>
          <t>00000000</t>
        </is>
      </c>
      <c r="AH392" t="n" s="2909">
        <v>1</v>
      </c>
      <c r="AJ392" t="n" s="2909">
        <v>10</v>
      </c>
      <c r="AP392" t="n" s="2909">
        <v>650000</v>
      </c>
      <c r="DB392" s="2909" t="str">
        <f>IF($A392="","",IF(AND($A392=21,$AE392&amp;""="00000000"),IF($AH392=20,"病院",IF($AH392=5,"消防","市長")),"対象外"))</f>
        <v>市長</v>
      </c>
    </row>
    <row r="393">
      <c r="A393" t="n" s="2909">
        <v>21</v>
      </c>
      <c r="AA393" t="n" s="2909">
        <v>21</v>
      </c>
      <c r="AB393" t="inlineStr" s="2909">
        <is>
          <t>19940101</t>
        </is>
      </c>
      <c r="AD393" t="n" s="2909">
        <v>0</v>
      </c>
      <c r="AE393" t="inlineStr" s="2909">
        <is>
          <t>00000000</t>
        </is>
      </c>
      <c r="AH393" t="n" s="2909">
        <v>20</v>
      </c>
      <c r="AJ393" t="n" s="2909">
        <v>10</v>
      </c>
      <c r="AP393" t="n" s="2909">
        <v>560000</v>
      </c>
      <c r="DB393" s="2909" t="str">
        <f>IF($A393="","",IF(AND($A393=21,$AE393&amp;""="00000000"),IF($AH393=20,"病院",IF($AH393=5,"消防","市長")),"対象外"))</f>
        <v>病院</v>
      </c>
    </row>
    <row r="394">
      <c r="A394" t="n" s="2909">
        <v>31</v>
      </c>
      <c r="AA394" t="n" s="2909">
        <v>21</v>
      </c>
      <c r="AB394" t="inlineStr" s="2909">
        <is>
          <t>20250801</t>
        </is>
      </c>
      <c r="AD394" t="n" s="2909">
        <v>0</v>
      </c>
      <c r="AE394" t="inlineStr" s="2909">
        <is>
          <t>00000000</t>
        </is>
      </c>
      <c r="AH394" t="n" s="2909">
        <v>20</v>
      </c>
      <c r="AJ394" t="n" s="2909">
        <v>41</v>
      </c>
      <c r="AP394" t="n" s="2909">
        <v>190000</v>
      </c>
      <c r="DB394" s="2909" t="str">
        <f>IF($A394="","",IF(AND($A394=21,$AE394&amp;""="00000000"),IF($AH394=20,"病院",IF($AH394=5,"消防","市長")),"対象外"))</f>
        <v>対象外</v>
      </c>
    </row>
    <row r="395">
      <c r="A395" t="n" s="2909">
        <v>31</v>
      </c>
      <c r="AA395" t="n" s="2909">
        <v>21</v>
      </c>
      <c r="AB395" t="inlineStr" s="2909">
        <is>
          <t>20240601</t>
        </is>
      </c>
      <c r="AD395" t="n" s="2909">
        <v>0</v>
      </c>
      <c r="AE395" t="inlineStr" s="2909">
        <is>
          <t>00000000</t>
        </is>
      </c>
      <c r="AH395" t="n" s="2909">
        <v>20</v>
      </c>
      <c r="AJ395" t="n" s="2909">
        <v>41</v>
      </c>
      <c r="AP395" t="n" s="2909">
        <v>190000</v>
      </c>
      <c r="DB395" s="2909" t="str">
        <f>IF($A395="","",IF(AND($A395=21,$AE395&amp;""="00000000"),IF($AH395=20,"病院",IF($AH395=5,"消防","市長")),"対象外"))</f>
        <v>対象外</v>
      </c>
    </row>
    <row r="396">
      <c r="A396" t="n" s="2909">
        <v>31</v>
      </c>
      <c r="AA396" t="n" s="2909">
        <v>21</v>
      </c>
      <c r="AB396" t="inlineStr" s="2909">
        <is>
          <t>20250201</t>
        </is>
      </c>
      <c r="AD396" t="n" s="2909">
        <v>0</v>
      </c>
      <c r="AE396" t="inlineStr" s="2909">
        <is>
          <t>00000000</t>
        </is>
      </c>
      <c r="AH396" t="n" s="2909">
        <v>1</v>
      </c>
      <c r="AJ396" t="n" s="2909">
        <v>41</v>
      </c>
      <c r="AP396" t="n" s="2909">
        <v>126000</v>
      </c>
      <c r="DB396" s="2909" t="str">
        <f>IF($A396="","",IF(AND($A396=21,$AE396&amp;""="00000000"),IF($AH396=20,"病院",IF($AH396=5,"消防","市長")),"対象外"))</f>
        <v>対象外</v>
      </c>
    </row>
    <row r="397">
      <c r="A397" t="n" s="2909">
        <v>31</v>
      </c>
      <c r="AA397" t="n" s="2909">
        <v>21</v>
      </c>
      <c r="AB397" t="inlineStr" s="2909">
        <is>
          <t>20221001</t>
        </is>
      </c>
      <c r="AD397" t="n" s="2909">
        <v>0</v>
      </c>
      <c r="AE397" t="inlineStr" s="2909">
        <is>
          <t>00000000</t>
        </is>
      </c>
      <c r="AH397" t="n" s="2909">
        <v>11</v>
      </c>
      <c r="AJ397" t="n" s="2909">
        <v>41</v>
      </c>
      <c r="AP397" t="n" s="2909">
        <v>170000</v>
      </c>
      <c r="DB397" s="2909" t="str">
        <f>IF($A397="","",IF(AND($A397=21,$AE397&amp;""="00000000"),IF($AH397=20,"病院",IF($AH397=5,"消防","市長")),"対象外"))</f>
        <v>対象外</v>
      </c>
    </row>
    <row r="398">
      <c r="A398" t="n" s="2909">
        <v>31</v>
      </c>
      <c r="AA398" t="n" s="2909">
        <v>21</v>
      </c>
      <c r="AB398" t="inlineStr" s="2909">
        <is>
          <t>20221001</t>
        </is>
      </c>
      <c r="AD398" t="n" s="2909">
        <v>0</v>
      </c>
      <c r="AE398" t="inlineStr" s="2909">
        <is>
          <t>00000000</t>
        </is>
      </c>
      <c r="AH398" t="n" s="2909">
        <v>27</v>
      </c>
      <c r="AJ398" t="n" s="2909">
        <v>41</v>
      </c>
      <c r="AP398" t="n" s="2909">
        <v>190000</v>
      </c>
      <c r="DB398" s="2909" t="str">
        <f>IF($A398="","",IF(AND($A398=21,$AE398&amp;""="00000000"),IF($AH398=20,"病院",IF($AH398=5,"消防","市長")),"対象外"))</f>
        <v>対象外</v>
      </c>
    </row>
    <row r="399">
      <c r="A399" t="n" s="2909">
        <v>31</v>
      </c>
      <c r="AA399" t="n" s="2909">
        <v>21</v>
      </c>
      <c r="AB399" t="inlineStr" s="2909">
        <is>
          <t>20200401</t>
        </is>
      </c>
      <c r="AD399" t="n" s="2909">
        <v>0</v>
      </c>
      <c r="AE399" t="inlineStr" s="2909">
        <is>
          <t>00000000</t>
        </is>
      </c>
      <c r="AH399" t="n" s="2909">
        <v>1</v>
      </c>
      <c r="AJ399" t="n" s="2909">
        <v>10</v>
      </c>
      <c r="AP399" t="n" s="2909">
        <v>260000</v>
      </c>
      <c r="DB399" s="2909" t="str">
        <f>IF($A399="","",IF(AND($A399=21,$AE399&amp;""="00000000"),IF($AH399=20,"病院",IF($AH399=5,"消防","市長")),"対象外"))</f>
        <v>対象外</v>
      </c>
    </row>
    <row r="400">
      <c r="A400" t="n" s="2909">
        <v>31</v>
      </c>
      <c r="AA400" t="n" s="2909">
        <v>21</v>
      </c>
      <c r="AB400" t="inlineStr" s="2909">
        <is>
          <t>20221001</t>
        </is>
      </c>
      <c r="AD400" t="n" s="2909">
        <v>0</v>
      </c>
      <c r="AE400" t="inlineStr" s="2909">
        <is>
          <t>00000000</t>
        </is>
      </c>
      <c r="AH400" t="n" s="2909">
        <v>1</v>
      </c>
      <c r="AJ400" t="n" s="2909">
        <v>41</v>
      </c>
      <c r="AP400" t="n" s="2909">
        <v>200000</v>
      </c>
      <c r="DB400" s="2909" t="str">
        <f>IF($A400="","",IF(AND($A400=21,$AE400&amp;""="00000000"),IF($AH400=20,"病院",IF($AH400=5,"消防","市長")),"対象外"))</f>
        <v>対象外</v>
      </c>
    </row>
    <row r="401">
      <c r="A401" t="n" s="2909">
        <v>31</v>
      </c>
      <c r="AA401" t="n" s="2909">
        <v>21</v>
      </c>
      <c r="AB401" t="inlineStr" s="2909">
        <is>
          <t>20221001</t>
        </is>
      </c>
      <c r="AD401" t="n" s="2909">
        <v>0</v>
      </c>
      <c r="AE401" t="inlineStr" s="2909">
        <is>
          <t>00000000</t>
        </is>
      </c>
      <c r="AH401" t="n" s="2909">
        <v>20</v>
      </c>
      <c r="AJ401" t="n" s="2909">
        <v>41</v>
      </c>
      <c r="AP401" t="n" s="2909">
        <v>170000</v>
      </c>
      <c r="DB401" s="2909" t="str">
        <f>IF($A401="","",IF(AND($A401=21,$AE401&amp;""="00000000"),IF($AH401=20,"病院",IF($AH401=5,"消防","市長")),"対象外"))</f>
        <v>対象外</v>
      </c>
    </row>
    <row r="402">
      <c r="A402" t="n" s="2909">
        <v>21</v>
      </c>
      <c r="AA402" t="n" s="2909">
        <v>21</v>
      </c>
      <c r="AB402" t="inlineStr" s="2909">
        <is>
          <t>19860401</t>
        </is>
      </c>
      <c r="AD402" t="n" s="2909">
        <v>0</v>
      </c>
      <c r="AE402" t="inlineStr" s="2909">
        <is>
          <t>00000000</t>
        </is>
      </c>
      <c r="AH402" t="n" s="2909">
        <v>1</v>
      </c>
      <c r="AJ402" t="n" s="2909">
        <v>10</v>
      </c>
      <c r="AP402" t="n" s="2909">
        <v>560000</v>
      </c>
      <c r="DB402" s="2909" t="str">
        <f>IF($A402="","",IF(AND($A402=21,$AE402&amp;""="00000000"),IF($AH402=20,"病院",IF($AH402=5,"消防","市長")),"対象外"))</f>
        <v>市長</v>
      </c>
    </row>
    <row r="403">
      <c r="A403" t="n" s="2909">
        <v>21</v>
      </c>
      <c r="AA403" t="n" s="2909">
        <v>21</v>
      </c>
      <c r="AB403" t="inlineStr" s="2909">
        <is>
          <t>19911001</t>
        </is>
      </c>
      <c r="AD403" t="n" s="2909">
        <v>0</v>
      </c>
      <c r="AE403" t="inlineStr" s="2909">
        <is>
          <t>00000000</t>
        </is>
      </c>
      <c r="AH403" t="n" s="2909">
        <v>20</v>
      </c>
      <c r="AJ403" t="n" s="2909">
        <v>10</v>
      </c>
      <c r="AP403" t="n" s="2909">
        <v>620000</v>
      </c>
      <c r="DB403" s="2909" t="str">
        <f>IF($A403="","",IF(AND($A403=21,$AE403&amp;""="00000000"),IF($AH403=20,"病院",IF($AH403=5,"消防","市長")),"対象外"))</f>
        <v>病院</v>
      </c>
    </row>
    <row r="404">
      <c r="A404" t="n" s="2909">
        <v>21</v>
      </c>
      <c r="AA404" t="n" s="2909">
        <v>21</v>
      </c>
      <c r="AB404" t="inlineStr" s="2909">
        <is>
          <t>19880501</t>
        </is>
      </c>
      <c r="AD404" t="n" s="2909">
        <v>0</v>
      </c>
      <c r="AE404" t="inlineStr" s="2909">
        <is>
          <t>00000000</t>
        </is>
      </c>
      <c r="AH404" t="n" s="2909">
        <v>20</v>
      </c>
      <c r="AJ404" t="n" s="2909">
        <v>10</v>
      </c>
      <c r="AP404" t="n" s="2909">
        <v>500000</v>
      </c>
      <c r="DB404" s="2909" t="str">
        <f>IF($A404="","",IF(AND($A404=21,$AE404&amp;""="00000000"),IF($AH404=20,"病院",IF($AH404=5,"消防","市長")),"対象外"))</f>
        <v>病院</v>
      </c>
    </row>
    <row r="405">
      <c r="A405" t="n" s="2909">
        <v>31</v>
      </c>
      <c r="AA405" t="n" s="2909">
        <v>21</v>
      </c>
      <c r="AB405" t="inlineStr" s="2909">
        <is>
          <t>20240401</t>
        </is>
      </c>
      <c r="AD405" t="n" s="2909">
        <v>0</v>
      </c>
      <c r="AE405" t="inlineStr" s="2909">
        <is>
          <t>00000000</t>
        </is>
      </c>
      <c r="AH405" t="n" s="2909">
        <v>1</v>
      </c>
      <c r="AJ405" t="n" s="2909">
        <v>41</v>
      </c>
      <c r="AP405" t="n" s="2909">
        <v>134000</v>
      </c>
      <c r="DB405" s="2909" t="str">
        <f>IF($A405="","",IF(AND($A405=21,$AE405&amp;""="00000000"),IF($AH405=20,"病院",IF($AH405=5,"消防","市長")),"対象外"))</f>
        <v>対象外</v>
      </c>
    </row>
    <row r="406">
      <c r="A406" t="n" s="2909">
        <v>21</v>
      </c>
      <c r="AA406" t="n" s="2909">
        <v>21</v>
      </c>
      <c r="AB406" t="inlineStr" s="2909">
        <is>
          <t>20000401</t>
        </is>
      </c>
      <c r="AD406" t="n" s="2909">
        <v>0</v>
      </c>
      <c r="AE406" t="inlineStr" s="2909">
        <is>
          <t>00000000</t>
        </is>
      </c>
      <c r="AH406" t="n" s="2909">
        <v>1</v>
      </c>
      <c r="AJ406" t="n" s="2909">
        <v>10</v>
      </c>
      <c r="AP406" t="n" s="2909">
        <v>440000</v>
      </c>
      <c r="DB406" s="2909" t="str">
        <f>IF($A406="","",IF(AND($A406=21,$AE406&amp;""="00000000"),IF($AH406=20,"病院",IF($AH406=5,"消防","市長")),"対象外"))</f>
        <v>市長</v>
      </c>
    </row>
    <row r="407">
      <c r="A407" t="n" s="2909">
        <v>31</v>
      </c>
      <c r="AA407" t="n" s="2909">
        <v>21</v>
      </c>
      <c r="AB407" t="inlineStr" s="2909">
        <is>
          <t>20240401</t>
        </is>
      </c>
      <c r="AD407" t="n" s="2909">
        <v>0</v>
      </c>
      <c r="AE407" t="inlineStr" s="2909">
        <is>
          <t>00000000</t>
        </is>
      </c>
      <c r="AH407" t="n" s="2909">
        <v>1</v>
      </c>
      <c r="AJ407" t="n" s="2909">
        <v>41</v>
      </c>
      <c r="AP407" t="n" s="2909">
        <v>142000</v>
      </c>
      <c r="DB407" s="2909" t="str">
        <f>IF($A407="","",IF(AND($A407=21,$AE407&amp;""="00000000"),IF($AH407=20,"病院",IF($AH407=5,"消防","市長")),"対象外"))</f>
        <v>対象外</v>
      </c>
    </row>
    <row r="408">
      <c r="A408" t="n" s="2909">
        <v>21</v>
      </c>
      <c r="AA408" t="n" s="2909">
        <v>21</v>
      </c>
      <c r="AB408" t="inlineStr" s="2909">
        <is>
          <t>20221201</t>
        </is>
      </c>
      <c r="AD408" t="n" s="2909">
        <v>0</v>
      </c>
      <c r="AE408" t="inlineStr" s="2909">
        <is>
          <t>00000000</t>
        </is>
      </c>
      <c r="AH408" t="n" s="2909">
        <v>20</v>
      </c>
      <c r="AJ408" t="n" s="2909">
        <v>10</v>
      </c>
      <c r="AP408" t="n" s="2909">
        <v>280000</v>
      </c>
      <c r="DB408" s="2909" t="str">
        <f>IF($A408="","",IF(AND($A408=21,$AE408&amp;""="00000000"),IF($AH408=20,"病院",IF($AH408=5,"消防","市長")),"対象外"))</f>
        <v>病院</v>
      </c>
    </row>
    <row r="409">
      <c r="A409" t="n" s="2909">
        <v>21</v>
      </c>
      <c r="AA409" t="n" s="2909">
        <v>21</v>
      </c>
      <c r="AB409" t="inlineStr" s="2909">
        <is>
          <t>19920401</t>
        </is>
      </c>
      <c r="AD409" t="n" s="2909">
        <v>0</v>
      </c>
      <c r="AE409" t="inlineStr" s="2909">
        <is>
          <t>00000000</t>
        </is>
      </c>
      <c r="AH409" t="n" s="2909">
        <v>20</v>
      </c>
      <c r="AJ409" t="n" s="2909">
        <v>10</v>
      </c>
      <c r="AP409" t="n" s="2909">
        <v>590000</v>
      </c>
      <c r="DB409" s="2909" t="str">
        <f>IF($A409="","",IF(AND($A409=21,$AE409&amp;""="00000000"),IF($AH409=20,"病院",IF($AH409=5,"消防","市長")),"対象外"))</f>
        <v>病院</v>
      </c>
    </row>
    <row r="410">
      <c r="A410" t="n" s="2909">
        <v>21</v>
      </c>
      <c r="AA410" t="n" s="2909">
        <v>21</v>
      </c>
      <c r="AB410" t="inlineStr" s="2909">
        <is>
          <t>19840401</t>
        </is>
      </c>
      <c r="AD410" t="n" s="2909">
        <v>0</v>
      </c>
      <c r="AE410" t="inlineStr" s="2909">
        <is>
          <t>00000000</t>
        </is>
      </c>
      <c r="AH410" t="n" s="2909">
        <v>11</v>
      </c>
      <c r="AJ410" t="n" s="2909">
        <v>10</v>
      </c>
      <c r="AP410" t="n" s="2909">
        <v>500000</v>
      </c>
      <c r="DB410" s="2909" t="str">
        <f>IF($A410="","",IF(AND($A410=21,$AE410&amp;""="00000000"),IF($AH410=20,"病院",IF($AH410=5,"消防","市長")),"対象外"))</f>
        <v>市長</v>
      </c>
    </row>
    <row r="411">
      <c r="A411" t="n" s="2909">
        <v>21</v>
      </c>
      <c r="AA411" t="n" s="2909">
        <v>21</v>
      </c>
      <c r="AB411" t="inlineStr" s="2909">
        <is>
          <t>20160401</t>
        </is>
      </c>
      <c r="AD411" t="n" s="2909">
        <v>0</v>
      </c>
      <c r="AE411" t="inlineStr" s="2909">
        <is>
          <t>00000000</t>
        </is>
      </c>
      <c r="AH411" t="n" s="2909">
        <v>20</v>
      </c>
      <c r="AJ411" t="n" s="2909">
        <v>10</v>
      </c>
      <c r="AP411" t="n" s="2909">
        <v>380000</v>
      </c>
      <c r="DB411" s="2909" t="str">
        <f>IF($A411="","",IF(AND($A411=21,$AE411&amp;""="00000000"),IF($AH411=20,"病院",IF($AH411=5,"消防","市長")),"対象外"))</f>
        <v>病院</v>
      </c>
    </row>
    <row r="412">
      <c r="A412" t="n" s="2909">
        <v>31</v>
      </c>
      <c r="AA412" t="n" s="2909">
        <v>21</v>
      </c>
      <c r="AB412" t="inlineStr" s="2909">
        <is>
          <t>20250201</t>
        </is>
      </c>
      <c r="AD412" t="n" s="2909">
        <v>0</v>
      </c>
      <c r="AE412" t="inlineStr" s="2909">
        <is>
          <t>00000000</t>
        </is>
      </c>
      <c r="AH412" t="n" s="2909">
        <v>20</v>
      </c>
      <c r="AJ412" t="n" s="2909">
        <v>41</v>
      </c>
      <c r="AP412" t="n" s="2909">
        <v>260000</v>
      </c>
      <c r="DB412" s="2909" t="str">
        <f>IF($A412="","",IF(AND($A412=21,$AE412&amp;""="00000000"),IF($AH412=20,"病院",IF($AH412=5,"消防","市長")),"対象外"))</f>
        <v>対象外</v>
      </c>
    </row>
    <row r="413">
      <c r="A413" t="n" s="2909">
        <v>31</v>
      </c>
      <c r="AA413" t="n" s="2909">
        <v>21</v>
      </c>
      <c r="AB413" t="inlineStr" s="2909">
        <is>
          <t>20221001</t>
        </is>
      </c>
      <c r="AD413" t="n" s="2909">
        <v>0</v>
      </c>
      <c r="AE413" t="inlineStr" s="2909">
        <is>
          <t>00000000</t>
        </is>
      </c>
      <c r="AH413" t="n" s="2909">
        <v>1</v>
      </c>
      <c r="AJ413" t="n" s="2909">
        <v>41</v>
      </c>
      <c r="AP413" t="n" s="2909">
        <v>170000</v>
      </c>
      <c r="DB413" s="2909" t="str">
        <f>IF($A413="","",IF(AND($A413=21,$AE413&amp;""="00000000"),IF($AH413=20,"病院",IF($AH413=5,"消防","市長")),"対象外"))</f>
        <v>対象外</v>
      </c>
    </row>
    <row r="414">
      <c r="A414" t="n" s="2909">
        <v>31</v>
      </c>
      <c r="AA414" t="n" s="2909">
        <v>21</v>
      </c>
      <c r="AB414" t="inlineStr" s="2909">
        <is>
          <t>20221001</t>
        </is>
      </c>
      <c r="AD414" t="n" s="2909">
        <v>0</v>
      </c>
      <c r="AE414" t="inlineStr" s="2909">
        <is>
          <t>00000000</t>
        </is>
      </c>
      <c r="AH414" t="n" s="2909">
        <v>1</v>
      </c>
      <c r="AJ414" t="n" s="2909">
        <v>41</v>
      </c>
      <c r="AP414" t="n" s="2909">
        <v>190000</v>
      </c>
      <c r="DB414" s="2909" t="str">
        <f>IF($A414="","",IF(AND($A414=21,$AE414&amp;""="00000000"),IF($AH414=20,"病院",IF($AH414=5,"消防","市長")),"対象外"))</f>
        <v>対象外</v>
      </c>
    </row>
    <row r="415">
      <c r="A415" t="n" s="2909">
        <v>31</v>
      </c>
      <c r="AA415" t="n" s="2909">
        <v>21</v>
      </c>
      <c r="AB415" t="inlineStr" s="2909">
        <is>
          <t>20210401</t>
        </is>
      </c>
      <c r="AD415" t="n" s="2909">
        <v>0</v>
      </c>
      <c r="AE415" t="inlineStr" s="2909">
        <is>
          <t>00000000</t>
        </is>
      </c>
      <c r="AH415" t="n" s="2909">
        <v>1</v>
      </c>
      <c r="AJ415" t="n" s="2909">
        <v>10</v>
      </c>
      <c r="AP415" t="n" s="2909">
        <v>280000</v>
      </c>
      <c r="DB415" s="2909" t="str">
        <f>IF($A415="","",IF(AND($A415=21,$AE415&amp;""="00000000"),IF($AH415=20,"病院",IF($AH415=5,"消防","市長")),"対象外"))</f>
        <v>対象外</v>
      </c>
    </row>
    <row r="416">
      <c r="A416" t="n" s="2909">
        <v>31</v>
      </c>
      <c r="AA416" t="n" s="2909">
        <v>21</v>
      </c>
      <c r="AB416" t="inlineStr" s="2909">
        <is>
          <t>20221001</t>
        </is>
      </c>
      <c r="AD416" t="n" s="2909">
        <v>0</v>
      </c>
      <c r="AE416" t="inlineStr" s="2909">
        <is>
          <t>00000000</t>
        </is>
      </c>
      <c r="AH416" t="n" s="2909">
        <v>1</v>
      </c>
      <c r="AJ416" t="n" s="2909">
        <v>41</v>
      </c>
      <c r="AP416" t="n" s="2909">
        <v>200000</v>
      </c>
      <c r="DB416" s="2909" t="str">
        <f>IF($A416="","",IF(AND($A416=21,$AE416&amp;""="00000000"),IF($AH416=20,"病院",IF($AH416=5,"消防","市長")),"対象外"))</f>
        <v>対象外</v>
      </c>
    </row>
    <row r="417">
      <c r="A417" t="n" s="2909">
        <v>31</v>
      </c>
      <c r="AA417" t="n" s="2909">
        <v>21</v>
      </c>
      <c r="AB417" t="inlineStr" s="2909">
        <is>
          <t>20250401</t>
        </is>
      </c>
      <c r="AD417" t="n" s="2909">
        <v>0</v>
      </c>
      <c r="AE417" t="inlineStr" s="2909">
        <is>
          <t>00000000</t>
        </is>
      </c>
      <c r="AH417" t="n" s="2909">
        <v>1</v>
      </c>
      <c r="AJ417" t="n" s="2909">
        <v>41</v>
      </c>
      <c r="AP417" t="n" s="2909">
        <v>200000</v>
      </c>
      <c r="DB417" s="2909" t="str">
        <f>IF($A417="","",IF(AND($A417=21,$AE417&amp;""="00000000"),IF($AH417=20,"病院",IF($AH417=5,"消防","市長")),"対象外"))</f>
        <v>対象外</v>
      </c>
    </row>
    <row r="418">
      <c r="A418" t="n" s="2909">
        <v>21</v>
      </c>
      <c r="AA418" t="n" s="2909">
        <v>21</v>
      </c>
      <c r="AB418" t="inlineStr" s="2909">
        <is>
          <t>20170401</t>
        </is>
      </c>
      <c r="AD418" t="n" s="2909">
        <v>0</v>
      </c>
      <c r="AE418" t="inlineStr" s="2909">
        <is>
          <t>00000000</t>
        </is>
      </c>
      <c r="AH418" t="n" s="2909">
        <v>20</v>
      </c>
      <c r="AJ418" t="n" s="2909">
        <v>10</v>
      </c>
      <c r="AP418" t="n" s="2909">
        <v>410000</v>
      </c>
      <c r="DB418" s="2909" t="str">
        <f>IF($A418="","",IF(AND($A418=21,$AE418&amp;""="00000000"),IF($AH418=20,"病院",IF($AH418=5,"消防","市長")),"対象外"))</f>
        <v>病院</v>
      </c>
    </row>
    <row r="419">
      <c r="A419" t="n" s="2909">
        <v>31</v>
      </c>
      <c r="AA419" t="n" s="2909">
        <v>21</v>
      </c>
      <c r="AB419" t="inlineStr" s="2909">
        <is>
          <t>20221001</t>
        </is>
      </c>
      <c r="AD419" t="n" s="2909">
        <v>0</v>
      </c>
      <c r="AE419" t="inlineStr" s="2909">
        <is>
          <t>00000000</t>
        </is>
      </c>
      <c r="AH419" t="n" s="2909">
        <v>1</v>
      </c>
      <c r="AJ419" t="n" s="2909">
        <v>41</v>
      </c>
      <c r="AP419" t="n" s="2909">
        <v>150000</v>
      </c>
      <c r="DB419" s="2909" t="str">
        <f>IF($A419="","",IF(AND($A419=21,$AE419&amp;""="00000000"),IF($AH419=20,"病院",IF($AH419=5,"消防","市長")),"対象外"))</f>
        <v>対象外</v>
      </c>
    </row>
    <row r="420">
      <c r="A420" t="n" s="2909">
        <v>31</v>
      </c>
      <c r="AA420" t="n" s="2909">
        <v>21</v>
      </c>
      <c r="AB420" t="inlineStr" s="2909">
        <is>
          <t>20221001</t>
        </is>
      </c>
      <c r="AD420" t="n" s="2909">
        <v>0</v>
      </c>
      <c r="AE420" t="inlineStr" s="2909">
        <is>
          <t>00000000</t>
        </is>
      </c>
      <c r="AH420" t="n" s="2909">
        <v>1</v>
      </c>
      <c r="AJ420" t="n" s="2909">
        <v>41</v>
      </c>
      <c r="AP420" t="n" s="2909">
        <v>200000</v>
      </c>
      <c r="DB420" s="2909" t="str">
        <f>IF($A420="","",IF(AND($A420=21,$AE420&amp;""="00000000"),IF($AH420=20,"病院",IF($AH420=5,"消防","市長")),"対象外"))</f>
        <v>対象外</v>
      </c>
    </row>
    <row r="421">
      <c r="A421" t="n" s="2909">
        <v>21</v>
      </c>
      <c r="AA421" t="n" s="2909">
        <v>21</v>
      </c>
      <c r="AB421" t="inlineStr" s="2909">
        <is>
          <t>20050425</t>
        </is>
      </c>
      <c r="AD421" t="n" s="2909">
        <v>0</v>
      </c>
      <c r="AE421" t="inlineStr" s="2909">
        <is>
          <t>00000000</t>
        </is>
      </c>
      <c r="AH421" t="n" s="2909">
        <v>11</v>
      </c>
      <c r="AJ421" t="n" s="2909">
        <v>10</v>
      </c>
      <c r="AP421" t="n" s="2909">
        <v>440000</v>
      </c>
      <c r="DB421" s="2909" t="str">
        <f>IF($A421="","",IF(AND($A421=21,$AE421&amp;""="00000000"),IF($AH421=20,"病院",IF($AH421=5,"消防","市長")),"対象外"))</f>
        <v>市長</v>
      </c>
    </row>
    <row r="422">
      <c r="A422" t="n" s="2909">
        <v>31</v>
      </c>
      <c r="AA422" t="n" s="2909">
        <v>21</v>
      </c>
      <c r="AB422" t="inlineStr" s="2909">
        <is>
          <t>20221001</t>
        </is>
      </c>
      <c r="AD422" t="n" s="2909">
        <v>0</v>
      </c>
      <c r="AE422" t="inlineStr" s="2909">
        <is>
          <t>00000000</t>
        </is>
      </c>
      <c r="AH422" t="n" s="2909">
        <v>11</v>
      </c>
      <c r="AJ422" t="n" s="2909">
        <v>41</v>
      </c>
      <c r="AP422" t="n" s="2909">
        <v>126000</v>
      </c>
      <c r="DB422" s="2909" t="str">
        <f>IF($A422="","",IF(AND($A422=21,$AE422&amp;""="00000000"),IF($AH422=20,"病院",IF($AH422=5,"消防","市長")),"対象外"))</f>
        <v>対象外</v>
      </c>
    </row>
    <row r="423">
      <c r="A423" t="n" s="2909">
        <v>31</v>
      </c>
      <c r="AA423" t="n" s="2909">
        <v>21</v>
      </c>
      <c r="AB423" t="inlineStr" s="2909">
        <is>
          <t>20230411</t>
        </is>
      </c>
      <c r="AD423" t="n" s="2909">
        <v>0</v>
      </c>
      <c r="AE423" t="inlineStr" s="2909">
        <is>
          <t>00000000</t>
        </is>
      </c>
      <c r="AH423" t="n" s="2909">
        <v>11</v>
      </c>
      <c r="AJ423" t="n" s="2909">
        <v>41</v>
      </c>
      <c r="AP423" t="n" s="2909">
        <v>104000</v>
      </c>
      <c r="DB423" s="2909" t="str">
        <f>IF($A423="","",IF(AND($A423=21,$AE423&amp;""="00000000"),IF($AH423=20,"病院",IF($AH423=5,"消防","市長")),"対象外"))</f>
        <v>対象外</v>
      </c>
    </row>
    <row r="424">
      <c r="A424" t="n" s="2909">
        <v>21</v>
      </c>
      <c r="AA424" t="n" s="2909">
        <v>21</v>
      </c>
      <c r="AB424" t="inlineStr" s="2909">
        <is>
          <t>19860401</t>
        </is>
      </c>
      <c r="AD424" t="n" s="2909">
        <v>0</v>
      </c>
      <c r="AE424" t="inlineStr" s="2909">
        <is>
          <t>00000000</t>
        </is>
      </c>
      <c r="AH424" t="n" s="2909">
        <v>1</v>
      </c>
      <c r="AJ424" t="n" s="2909">
        <v>10</v>
      </c>
      <c r="AP424" t="n" s="2909">
        <v>530000</v>
      </c>
      <c r="DB424" s="2909" t="str">
        <f>IF($A424="","",IF(AND($A424=21,$AE424&amp;""="00000000"),IF($AH424=20,"病院",IF($AH424=5,"消防","市長")),"対象外"))</f>
        <v>市長</v>
      </c>
    </row>
    <row r="425">
      <c r="A425" t="n" s="2909">
        <v>21</v>
      </c>
      <c r="AA425" t="n" s="2909">
        <v>21</v>
      </c>
      <c r="AB425" t="inlineStr" s="2909">
        <is>
          <t>19860701</t>
        </is>
      </c>
      <c r="AD425" t="n" s="2909">
        <v>0</v>
      </c>
      <c r="AE425" t="inlineStr" s="2909">
        <is>
          <t>00000000</t>
        </is>
      </c>
      <c r="AH425" t="n" s="2909">
        <v>1</v>
      </c>
      <c r="AJ425" t="n" s="2909">
        <v>10</v>
      </c>
      <c r="AP425" t="n" s="2909">
        <v>530000</v>
      </c>
      <c r="DB425" s="2909" t="str">
        <f>IF($A425="","",IF(AND($A425=21,$AE425&amp;""="00000000"),IF($AH425=20,"病院",IF($AH425=5,"消防","市長")),"対象外"))</f>
        <v>市長</v>
      </c>
    </row>
    <row r="426">
      <c r="A426" t="n" s="2909">
        <v>31</v>
      </c>
      <c r="AA426" t="n" s="2909">
        <v>21</v>
      </c>
      <c r="AB426" t="inlineStr" s="2909">
        <is>
          <t>20221001</t>
        </is>
      </c>
      <c r="AD426" t="n" s="2909">
        <v>0</v>
      </c>
      <c r="AE426" t="inlineStr" s="2909">
        <is>
          <t>00000000</t>
        </is>
      </c>
      <c r="AH426" t="n" s="2909">
        <v>1</v>
      </c>
      <c r="AJ426" t="n" s="2909">
        <v>41</v>
      </c>
      <c r="AP426" t="n" s="2909">
        <v>190000</v>
      </c>
      <c r="DB426" s="2909" t="str">
        <f>IF($A426="","",IF(AND($A426=21,$AE426&amp;""="00000000"),IF($AH426=20,"病院",IF($AH426=5,"消防","市長")),"対象外"))</f>
        <v>対象外</v>
      </c>
    </row>
    <row r="427">
      <c r="A427" t="n" s="2909">
        <v>31</v>
      </c>
      <c r="AA427" t="n" s="2909">
        <v>21</v>
      </c>
      <c r="AB427" t="inlineStr" s="2909">
        <is>
          <t>20221001</t>
        </is>
      </c>
      <c r="AD427" t="n" s="2909">
        <v>0</v>
      </c>
      <c r="AE427" t="inlineStr" s="2909">
        <is>
          <t>00000000</t>
        </is>
      </c>
      <c r="AH427" t="n" s="2909">
        <v>1</v>
      </c>
      <c r="AJ427" t="n" s="2909">
        <v>41</v>
      </c>
      <c r="AP427" t="n" s="2909">
        <v>134000</v>
      </c>
      <c r="DB427" s="2909" t="str">
        <f>IF($A427="","",IF(AND($A427=21,$AE427&amp;""="00000000"),IF($AH427=20,"病院",IF($AH427=5,"消防","市長")),"対象外"))</f>
        <v>対象外</v>
      </c>
    </row>
    <row r="428">
      <c r="A428" t="n" s="2909">
        <v>31</v>
      </c>
      <c r="AA428" t="n" s="2909">
        <v>21</v>
      </c>
      <c r="AB428" t="inlineStr" s="2909">
        <is>
          <t>20221001</t>
        </is>
      </c>
      <c r="AD428" t="n" s="2909">
        <v>0</v>
      </c>
      <c r="AE428" t="inlineStr" s="2909">
        <is>
          <t>00000000</t>
        </is>
      </c>
      <c r="AH428" t="n" s="2909">
        <v>1</v>
      </c>
      <c r="AJ428" t="n" s="2909">
        <v>41</v>
      </c>
      <c r="AP428" t="n" s="2909">
        <v>142000</v>
      </c>
      <c r="DB428" s="2909" t="str">
        <f>IF($A428="","",IF(AND($A428=21,$AE428&amp;""="00000000"),IF($AH428=20,"病院",IF($AH428=5,"消防","市長")),"対象外"))</f>
        <v>対象外</v>
      </c>
    </row>
    <row r="429">
      <c r="A429" t="n" s="2909">
        <v>21</v>
      </c>
      <c r="AA429" t="n" s="2909">
        <v>21</v>
      </c>
      <c r="AB429" t="inlineStr" s="2909">
        <is>
          <t>19880501</t>
        </is>
      </c>
      <c r="AD429" t="n" s="2909">
        <v>0</v>
      </c>
      <c r="AE429" t="inlineStr" s="2909">
        <is>
          <t>00000000</t>
        </is>
      </c>
      <c r="AH429" t="n" s="2909">
        <v>20</v>
      </c>
      <c r="AJ429" t="n" s="2909">
        <v>10</v>
      </c>
      <c r="AP429" t="n" s="2909">
        <v>500000</v>
      </c>
      <c r="DB429" s="2909" t="str">
        <f>IF($A429="","",IF(AND($A429=21,$AE429&amp;""="00000000"),IF($AH429=20,"病院",IF($AH429=5,"消防","市長")),"対象外"))</f>
        <v>病院</v>
      </c>
    </row>
    <row r="430">
      <c r="A430" t="n" s="2909">
        <v>21</v>
      </c>
      <c r="AA430" t="n" s="2909">
        <v>21</v>
      </c>
      <c r="AB430" t="inlineStr" s="2909">
        <is>
          <t>19900401</t>
        </is>
      </c>
      <c r="AD430" t="n" s="2909">
        <v>0</v>
      </c>
      <c r="AE430" t="inlineStr" s="2909">
        <is>
          <t>00000000</t>
        </is>
      </c>
      <c r="AH430" t="n" s="2909">
        <v>1</v>
      </c>
      <c r="AJ430" t="n" s="2909">
        <v>10</v>
      </c>
      <c r="AP430" t="n" s="2909">
        <v>560000</v>
      </c>
      <c r="DB430" s="2909" t="str">
        <f>IF($A430="","",IF(AND($A430=21,$AE430&amp;""="00000000"),IF($AH430=20,"病院",IF($AH430=5,"消防","市長")),"対象外"))</f>
        <v>市長</v>
      </c>
    </row>
    <row r="431">
      <c r="A431" t="n" s="2909">
        <v>31</v>
      </c>
      <c r="AA431" t="n" s="2909">
        <v>21</v>
      </c>
      <c r="AB431" t="inlineStr" s="2909">
        <is>
          <t>20221001</t>
        </is>
      </c>
      <c r="AD431" t="n" s="2909">
        <v>0</v>
      </c>
      <c r="AE431" t="inlineStr" s="2909">
        <is>
          <t>00000000</t>
        </is>
      </c>
      <c r="AH431" t="n" s="2909">
        <v>1</v>
      </c>
      <c r="AJ431" t="n" s="2909">
        <v>41</v>
      </c>
      <c r="AP431" t="n" s="2909">
        <v>134000</v>
      </c>
      <c r="DB431" s="2909" t="str">
        <f>IF($A431="","",IF(AND($A431=21,$AE431&amp;""="00000000"),IF($AH431=20,"病院",IF($AH431=5,"消防","市長")),"対象外"))</f>
        <v>対象外</v>
      </c>
    </row>
    <row r="432">
      <c r="A432" t="n" s="2909">
        <v>21</v>
      </c>
      <c r="AA432" t="n" s="2909">
        <v>21</v>
      </c>
      <c r="AB432" t="inlineStr" s="2909">
        <is>
          <t>19970401</t>
        </is>
      </c>
      <c r="AD432" t="n" s="2909">
        <v>0</v>
      </c>
      <c r="AE432" t="inlineStr" s="2909">
        <is>
          <t>00000000</t>
        </is>
      </c>
      <c r="AH432" t="n" s="2909">
        <v>1</v>
      </c>
      <c r="AJ432" t="n" s="2909">
        <v>10</v>
      </c>
      <c r="AP432" t="n" s="2909">
        <v>440000</v>
      </c>
      <c r="DB432" s="2909" t="str">
        <f>IF($A432="","",IF(AND($A432=21,$AE432&amp;""="00000000"),IF($AH432=20,"病院",IF($AH432=5,"消防","市長")),"対象外"))</f>
        <v>市長</v>
      </c>
    </row>
    <row r="433">
      <c r="A433" t="n" s="2909">
        <v>31</v>
      </c>
      <c r="AA433" t="n" s="2909">
        <v>21</v>
      </c>
      <c r="AB433" t="inlineStr" s="2909">
        <is>
          <t>20221001</t>
        </is>
      </c>
      <c r="AD433" t="n" s="2909">
        <v>0</v>
      </c>
      <c r="AE433" t="inlineStr" s="2909">
        <is>
          <t>00000000</t>
        </is>
      </c>
      <c r="AH433" t="n" s="2909">
        <v>1</v>
      </c>
      <c r="AJ433" t="n" s="2909">
        <v>41</v>
      </c>
      <c r="AP433" t="n" s="2909">
        <v>180000</v>
      </c>
      <c r="DB433" s="2909" t="str">
        <f>IF($A433="","",IF(AND($A433=21,$AE433&amp;""="00000000"),IF($AH433=20,"病院",IF($AH433=5,"消防","市長")),"対象外"))</f>
        <v>対象外</v>
      </c>
    </row>
    <row r="434">
      <c r="A434" t="n" s="2909">
        <v>21</v>
      </c>
      <c r="AA434" t="n" s="2909">
        <v>21</v>
      </c>
      <c r="AB434" t="inlineStr" s="2909">
        <is>
          <t>20050425</t>
        </is>
      </c>
      <c r="AD434" t="n" s="2909">
        <v>0</v>
      </c>
      <c r="AE434" t="inlineStr" s="2909">
        <is>
          <t>00000000</t>
        </is>
      </c>
      <c r="AH434" t="n" s="2909">
        <v>1</v>
      </c>
      <c r="AJ434" t="n" s="2909">
        <v>10</v>
      </c>
      <c r="AP434" t="n" s="2909">
        <v>530000</v>
      </c>
      <c r="DB434" s="2909" t="str">
        <f>IF($A434="","",IF(AND($A434=21,$AE434&amp;""="00000000"),IF($AH434=20,"病院",IF($AH434=5,"消防","市長")),"対象外"))</f>
        <v>市長</v>
      </c>
    </row>
    <row r="435">
      <c r="A435" t="n" s="2909">
        <v>31</v>
      </c>
      <c r="AA435" t="n" s="2909">
        <v>21</v>
      </c>
      <c r="AB435" t="inlineStr" s="2909">
        <is>
          <t>20221001</t>
        </is>
      </c>
      <c r="AD435" t="n" s="2909">
        <v>0</v>
      </c>
      <c r="AE435" t="inlineStr" s="2909">
        <is>
          <t>00000000</t>
        </is>
      </c>
      <c r="AH435" t="n" s="2909">
        <v>1</v>
      </c>
      <c r="AJ435" t="n" s="2909">
        <v>41</v>
      </c>
      <c r="AP435" t="n" s="2909">
        <v>200000</v>
      </c>
      <c r="DB435" s="2909" t="str">
        <f>IF($A435="","",IF(AND($A435=21,$AE435&amp;""="00000000"),IF($AH435=20,"病院",IF($AH435=5,"消防","市長")),"対象外"))</f>
        <v>対象外</v>
      </c>
    </row>
    <row r="436">
      <c r="A436" t="n" s="2909">
        <v>21</v>
      </c>
      <c r="AA436" t="n" s="2909">
        <v>21</v>
      </c>
      <c r="AB436" t="inlineStr" s="2909">
        <is>
          <t>19880401</t>
        </is>
      </c>
      <c r="AD436" t="n" s="2909">
        <v>0</v>
      </c>
      <c r="AE436" t="inlineStr" s="2909">
        <is>
          <t>00000000</t>
        </is>
      </c>
      <c r="AH436" t="n" s="2909">
        <v>1</v>
      </c>
      <c r="AJ436" t="n" s="2909">
        <v>10</v>
      </c>
      <c r="AP436" t="n" s="2909">
        <v>560000</v>
      </c>
      <c r="DB436" s="2909" t="str">
        <f>IF($A436="","",IF(AND($A436=21,$AE436&amp;""="00000000"),IF($AH436=20,"病院",IF($AH436=5,"消防","市長")),"対象外"))</f>
        <v>市長</v>
      </c>
    </row>
    <row r="437">
      <c r="A437" t="n" s="2909">
        <v>21</v>
      </c>
      <c r="AA437" t="n" s="2909">
        <v>21</v>
      </c>
      <c r="AB437" t="inlineStr" s="2909">
        <is>
          <t>19930401</t>
        </is>
      </c>
      <c r="AD437" t="n" s="2909">
        <v>0</v>
      </c>
      <c r="AE437" t="inlineStr" s="2909">
        <is>
          <t>00000000</t>
        </is>
      </c>
      <c r="AH437" t="n" s="2909">
        <v>11</v>
      </c>
      <c r="AJ437" t="n" s="2909">
        <v>10</v>
      </c>
      <c r="AP437" t="n" s="2909">
        <v>440000</v>
      </c>
      <c r="DB437" s="2909" t="str">
        <f>IF($A437="","",IF(AND($A437=21,$AE437&amp;""="00000000"),IF($AH437=20,"病院",IF($AH437=5,"消防","市長")),"対象外"))</f>
        <v>市長</v>
      </c>
    </row>
    <row r="438">
      <c r="A438" t="n" s="2909">
        <v>21</v>
      </c>
      <c r="AA438" t="n" s="2909">
        <v>21</v>
      </c>
      <c r="AB438" t="inlineStr" s="2909">
        <is>
          <t>20050401</t>
        </is>
      </c>
      <c r="AD438" t="n" s="2909">
        <v>0</v>
      </c>
      <c r="AE438" t="inlineStr" s="2909">
        <is>
          <t>00000000</t>
        </is>
      </c>
      <c r="AH438" t="n" s="2909">
        <v>1</v>
      </c>
      <c r="AJ438" t="n" s="2909">
        <v>10</v>
      </c>
      <c r="AP438" t="n" s="2909">
        <v>440000</v>
      </c>
      <c r="DB438" s="2909" t="str">
        <f>IF($A438="","",IF(AND($A438=21,$AE438&amp;""="00000000"),IF($AH438=20,"病院",IF($AH438=5,"消防","市長")),"対象外"))</f>
        <v>市長</v>
      </c>
    </row>
    <row r="439">
      <c r="A439" t="n" s="2909">
        <v>31</v>
      </c>
      <c r="AA439" t="n" s="2909">
        <v>21</v>
      </c>
      <c r="AB439" t="inlineStr" s="2909">
        <is>
          <t>20221001</t>
        </is>
      </c>
      <c r="AD439" t="n" s="2909">
        <v>0</v>
      </c>
      <c r="AE439" t="inlineStr" s="2909">
        <is>
          <t>00000000</t>
        </is>
      </c>
      <c r="AH439" t="n" s="2909">
        <v>1</v>
      </c>
      <c r="AJ439" t="n" s="2909">
        <v>41</v>
      </c>
      <c r="AP439" t="n" s="2909">
        <v>170000</v>
      </c>
      <c r="DB439" s="2909" t="str">
        <f>IF($A439="","",IF(AND($A439=21,$AE439&amp;""="00000000"),IF($AH439=20,"病院",IF($AH439=5,"消防","市長")),"対象外"))</f>
        <v>対象外</v>
      </c>
    </row>
    <row r="440">
      <c r="A440" t="n" s="2909">
        <v>31</v>
      </c>
      <c r="AA440" t="n" s="2909">
        <v>21</v>
      </c>
      <c r="AB440" t="inlineStr" s="2909">
        <is>
          <t>20221001</t>
        </is>
      </c>
      <c r="AD440" t="n" s="2909">
        <v>0</v>
      </c>
      <c r="AE440" t="inlineStr" s="2909">
        <is>
          <t>00000000</t>
        </is>
      </c>
      <c r="AH440" t="n" s="2909">
        <v>20</v>
      </c>
      <c r="AJ440" t="n" s="2909">
        <v>41</v>
      </c>
      <c r="AP440" t="n" s="2909">
        <v>190000</v>
      </c>
      <c r="DB440" s="2909" t="str">
        <f>IF($A440="","",IF(AND($A440=21,$AE440&amp;""="00000000"),IF($AH440=20,"病院",IF($AH440=5,"消防","市長")),"対象外"))</f>
        <v>対象外</v>
      </c>
    </row>
    <row r="441">
      <c r="A441" t="n" s="2909">
        <v>31</v>
      </c>
      <c r="AA441" t="n" s="2909">
        <v>21</v>
      </c>
      <c r="AB441" t="inlineStr" s="2909">
        <is>
          <t>20221001</t>
        </is>
      </c>
      <c r="AD441" t="n" s="2909">
        <v>0</v>
      </c>
      <c r="AE441" t="inlineStr" s="2909">
        <is>
          <t>00000000</t>
        </is>
      </c>
      <c r="AH441" t="n" s="2909">
        <v>1</v>
      </c>
      <c r="AJ441" t="n" s="2909">
        <v>41</v>
      </c>
      <c r="AP441" t="n" s="2909">
        <v>134000</v>
      </c>
      <c r="DB441" s="2909" t="str">
        <f>IF($A441="","",IF(AND($A441=21,$AE441&amp;""="00000000"),IF($AH441=20,"病院",IF($AH441=5,"消防","市長")),"対象外"))</f>
        <v>対象外</v>
      </c>
    </row>
    <row r="442">
      <c r="A442" t="n" s="2909">
        <v>31</v>
      </c>
      <c r="AA442" t="n" s="2909">
        <v>21</v>
      </c>
      <c r="AB442" t="inlineStr" s="2909">
        <is>
          <t>20221001</t>
        </is>
      </c>
      <c r="AD442" t="n" s="2909">
        <v>0</v>
      </c>
      <c r="AE442" t="inlineStr" s="2909">
        <is>
          <t>00000000</t>
        </is>
      </c>
      <c r="AH442" t="n" s="2909">
        <v>1</v>
      </c>
      <c r="AJ442" t="n" s="2909">
        <v>41</v>
      </c>
      <c r="AP442" t="n" s="2909">
        <v>150000</v>
      </c>
      <c r="DB442" s="2909" t="str">
        <f>IF($A442="","",IF(AND($A442=21,$AE442&amp;""="00000000"),IF($AH442=20,"病院",IF($AH442=5,"消防","市長")),"対象外"))</f>
        <v>対象外</v>
      </c>
    </row>
    <row r="443">
      <c r="A443" t="n" s="2909">
        <v>31</v>
      </c>
      <c r="AA443" t="n" s="2909">
        <v>21</v>
      </c>
      <c r="AB443" t="inlineStr" s="2909">
        <is>
          <t>20221001</t>
        </is>
      </c>
      <c r="AD443" t="n" s="2909">
        <v>0</v>
      </c>
      <c r="AE443" t="inlineStr" s="2909">
        <is>
          <t>00000000</t>
        </is>
      </c>
      <c r="AH443" t="n" s="2909">
        <v>11</v>
      </c>
      <c r="AJ443" t="n" s="2909">
        <v>41</v>
      </c>
      <c r="AP443" t="n" s="2909">
        <v>150000</v>
      </c>
      <c r="DB443" s="2909" t="str">
        <f>IF($A443="","",IF(AND($A443=21,$AE443&amp;""="00000000"),IF($AH443=20,"病院",IF($AH443=5,"消防","市長")),"対象外"))</f>
        <v>対象外</v>
      </c>
    </row>
    <row r="444">
      <c r="A444" t="n" s="2909">
        <v>21</v>
      </c>
      <c r="AA444" t="n" s="2909">
        <v>21</v>
      </c>
      <c r="AB444" t="inlineStr" s="2909">
        <is>
          <t>19860401</t>
        </is>
      </c>
      <c r="AD444" t="n" s="2909">
        <v>0</v>
      </c>
      <c r="AE444" t="inlineStr" s="2909">
        <is>
          <t>00000000</t>
        </is>
      </c>
      <c r="AH444" t="n" s="2909">
        <v>1</v>
      </c>
      <c r="AJ444" t="n" s="2909">
        <v>10</v>
      </c>
      <c r="AP444" t="n" s="2909">
        <v>500000</v>
      </c>
      <c r="DB444" s="2909" t="str">
        <f>IF($A444="","",IF(AND($A444=21,$AE444&amp;""="00000000"),IF($AH444=20,"病院",IF($AH444=5,"消防","市長")),"対象外"))</f>
        <v>市長</v>
      </c>
    </row>
    <row r="445">
      <c r="A445" t="n" s="2909">
        <v>31</v>
      </c>
      <c r="AA445" t="n" s="2909">
        <v>21</v>
      </c>
      <c r="AB445" t="inlineStr" s="2909">
        <is>
          <t>20230401</t>
        </is>
      </c>
      <c r="AD445" t="n" s="2909">
        <v>0</v>
      </c>
      <c r="AE445" t="inlineStr" s="2909">
        <is>
          <t>00000000</t>
        </is>
      </c>
      <c r="AH445" t="n" s="2909">
        <v>1</v>
      </c>
      <c r="AJ445" t="n" s="2909">
        <v>41</v>
      </c>
      <c r="AP445" t="n" s="2909">
        <v>126000</v>
      </c>
      <c r="DB445" s="2909" t="str">
        <f>IF($A445="","",IF(AND($A445=21,$AE445&amp;""="00000000"),IF($AH445=20,"病院",IF($AH445=5,"消防","市長")),"対象外"))</f>
        <v>対象外</v>
      </c>
    </row>
    <row r="446">
      <c r="A446" t="n" s="2909">
        <v>21</v>
      </c>
      <c r="AA446" t="n" s="2909">
        <v>24</v>
      </c>
      <c r="AB446" t="inlineStr" s="2909">
        <is>
          <t>20240801</t>
        </is>
      </c>
      <c r="AD446" t="n" s="2909">
        <v>0</v>
      </c>
      <c r="AE446" t="inlineStr" s="2909">
        <is>
          <t>00000000</t>
        </is>
      </c>
      <c r="AH446" t="n" s="2909">
        <v>20</v>
      </c>
      <c r="AJ446" t="n" s="2909">
        <v>10</v>
      </c>
      <c r="AP446" t="n" s="2909">
        <v>360000</v>
      </c>
      <c r="DB446" s="2909" t="str">
        <f>IF($A446="","",IF(AND($A446=21,$AE446&amp;""="00000000"),IF($AH446=20,"病院",IF($AH446=5,"消防","市長")),"対象外"))</f>
        <v>病院</v>
      </c>
    </row>
    <row r="447">
      <c r="A447" t="n" s="2909">
        <v>31</v>
      </c>
      <c r="AA447" t="n" s="2909">
        <v>21</v>
      </c>
      <c r="AB447" t="inlineStr" s="2909">
        <is>
          <t>20221001</t>
        </is>
      </c>
      <c r="AD447" t="n" s="2909">
        <v>0</v>
      </c>
      <c r="AE447" t="inlineStr" s="2909">
        <is>
          <t>00000000</t>
        </is>
      </c>
      <c r="AH447" t="n" s="2909">
        <v>1</v>
      </c>
      <c r="AJ447" t="n" s="2909">
        <v>41</v>
      </c>
      <c r="AP447" t="n" s="2909">
        <v>142000</v>
      </c>
      <c r="DB447" s="2909" t="str">
        <f>IF($A447="","",IF(AND($A447=21,$AE447&amp;""="00000000"),IF($AH447=20,"病院",IF($AH447=5,"消防","市長")),"対象外"))</f>
        <v>対象外</v>
      </c>
    </row>
    <row r="448">
      <c r="A448" t="n" s="2909">
        <v>31</v>
      </c>
      <c r="AA448" t="n" s="2909">
        <v>21</v>
      </c>
      <c r="AB448" t="inlineStr" s="2909">
        <is>
          <t>20210401</t>
        </is>
      </c>
      <c r="AD448" t="n" s="2909">
        <v>0</v>
      </c>
      <c r="AE448" t="inlineStr" s="2909">
        <is>
          <t>00000000</t>
        </is>
      </c>
      <c r="AH448" t="n" s="2909">
        <v>1</v>
      </c>
      <c r="AJ448" t="n" s="2909">
        <v>10</v>
      </c>
      <c r="AP448" t="n" s="2909">
        <v>280000</v>
      </c>
      <c r="DB448" s="2909" t="str">
        <f>IF($A448="","",IF(AND($A448=21,$AE448&amp;""="00000000"),IF($AH448=20,"病院",IF($AH448=5,"消防","市長")),"対象外"))</f>
        <v>対象外</v>
      </c>
    </row>
    <row r="449">
      <c r="A449" t="n" s="2909">
        <v>31</v>
      </c>
      <c r="AA449" t="n" s="2909">
        <v>21</v>
      </c>
      <c r="AB449" t="inlineStr" s="2909">
        <is>
          <t>20221001</t>
        </is>
      </c>
      <c r="AD449" t="n" s="2909">
        <v>0</v>
      </c>
      <c r="AE449" t="inlineStr" s="2909">
        <is>
          <t>00000000</t>
        </is>
      </c>
      <c r="AH449" t="n" s="2909">
        <v>1</v>
      </c>
      <c r="AJ449" t="n" s="2909">
        <v>41</v>
      </c>
      <c r="AP449" t="n" s="2909">
        <v>190000</v>
      </c>
      <c r="DB449" s="2909" t="str">
        <f>IF($A449="","",IF(AND($A449=21,$AE449&amp;""="00000000"),IF($AH449=20,"病院",IF($AH449=5,"消防","市長")),"対象外"))</f>
        <v>対象外</v>
      </c>
    </row>
    <row r="450">
      <c r="A450" t="n" s="2909">
        <v>31</v>
      </c>
      <c r="AA450" t="n" s="2909">
        <v>21</v>
      </c>
      <c r="AB450" t="inlineStr" s="2909">
        <is>
          <t>20221001</t>
        </is>
      </c>
      <c r="AD450" t="n" s="2909">
        <v>0</v>
      </c>
      <c r="AE450" t="inlineStr" s="2909">
        <is>
          <t>00000000</t>
        </is>
      </c>
      <c r="AH450" t="n" s="2909">
        <v>1</v>
      </c>
      <c r="AJ450" t="n" s="2909">
        <v>41</v>
      </c>
      <c r="AP450" t="n" s="2909">
        <v>190000</v>
      </c>
      <c r="DB450" s="2909" t="str">
        <f>IF($A450="","",IF(AND($A450=21,$AE450&amp;""="00000000"),IF($AH450=20,"病院",IF($AH450=5,"消防","市長")),"対象外"))</f>
        <v>対象外</v>
      </c>
    </row>
    <row r="451">
      <c r="A451" t="n" s="2909">
        <v>21</v>
      </c>
      <c r="AA451" t="n" s="2909">
        <v>21</v>
      </c>
      <c r="AB451" t="inlineStr" s="2909">
        <is>
          <t>19910901</t>
        </is>
      </c>
      <c r="AD451" t="n" s="2909">
        <v>0</v>
      </c>
      <c r="AE451" t="inlineStr" s="2909">
        <is>
          <t>00000000</t>
        </is>
      </c>
      <c r="AH451" t="n" s="2909">
        <v>20</v>
      </c>
      <c r="AJ451" t="n" s="2909">
        <v>10</v>
      </c>
      <c r="AP451" t="n" s="2909">
        <v>500000</v>
      </c>
      <c r="DB451" s="2909" t="str">
        <f>IF($A451="","",IF(AND($A451=21,$AE451&amp;""="00000000"),IF($AH451=20,"病院",IF($AH451=5,"消防","市長")),"対象外"))</f>
        <v>病院</v>
      </c>
    </row>
    <row r="452">
      <c r="A452" t="n" s="2909">
        <v>31</v>
      </c>
      <c r="AA452" t="n" s="2909">
        <v>21</v>
      </c>
      <c r="AB452" t="inlineStr" s="2909">
        <is>
          <t>20221001</t>
        </is>
      </c>
      <c r="AD452" t="n" s="2909">
        <v>0</v>
      </c>
      <c r="AE452" t="inlineStr" s="2909">
        <is>
          <t>00000000</t>
        </is>
      </c>
      <c r="AH452" t="n" s="2909">
        <v>1</v>
      </c>
      <c r="AJ452" t="n" s="2909">
        <v>41</v>
      </c>
      <c r="AP452" t="n" s="2909">
        <v>240000</v>
      </c>
      <c r="DB452" s="2909" t="str">
        <f>IF($A452="","",IF(AND($A452=21,$AE452&amp;""="00000000"),IF($AH452=20,"病院",IF($AH452=5,"消防","市長")),"対象外"))</f>
        <v>対象外</v>
      </c>
    </row>
    <row r="453">
      <c r="A453" t="n" s="2909">
        <v>31</v>
      </c>
      <c r="AA453" t="n" s="2909">
        <v>21</v>
      </c>
      <c r="AB453" t="inlineStr" s="2909">
        <is>
          <t>20221001</t>
        </is>
      </c>
      <c r="AD453" t="n" s="2909">
        <v>0</v>
      </c>
      <c r="AE453" t="inlineStr" s="2909">
        <is>
          <t>00000000</t>
        </is>
      </c>
      <c r="AH453" t="n" s="2909">
        <v>1</v>
      </c>
      <c r="AJ453" t="n" s="2909">
        <v>41</v>
      </c>
      <c r="AP453" t="n" s="2909">
        <v>200000</v>
      </c>
      <c r="DB453" s="2909" t="str">
        <f>IF($A453="","",IF(AND($A453=21,$AE453&amp;""="00000000"),IF($AH453=20,"病院",IF($AH453=5,"消防","市長")),"対象外"))</f>
        <v>対象外</v>
      </c>
    </row>
    <row r="454">
      <c r="A454" t="n" s="2909">
        <v>31</v>
      </c>
      <c r="AA454" t="n" s="2909">
        <v>21</v>
      </c>
      <c r="AB454" t="inlineStr" s="2909">
        <is>
          <t>20250401</t>
        </is>
      </c>
      <c r="AD454" t="n" s="2909">
        <v>0</v>
      </c>
      <c r="AE454" t="inlineStr" s="2909">
        <is>
          <t>00000000</t>
        </is>
      </c>
      <c r="AH454" t="n" s="2909">
        <v>1</v>
      </c>
      <c r="AJ454" t="n" s="2909">
        <v>41</v>
      </c>
      <c r="AP454" t="n" s="2909">
        <v>142000</v>
      </c>
      <c r="DB454" s="2909" t="str">
        <f>IF($A454="","",IF(AND($A454=21,$AE454&amp;""="00000000"),IF($AH454=20,"病院",IF($AH454=5,"消防","市長")),"対象外"))</f>
        <v>対象外</v>
      </c>
    </row>
    <row r="455">
      <c r="A455" t="n" s="2909">
        <v>31</v>
      </c>
      <c r="AA455" t="n" s="2909">
        <v>21</v>
      </c>
      <c r="AB455" t="inlineStr" s="2909">
        <is>
          <t>20221001</t>
        </is>
      </c>
      <c r="AD455" t="n" s="2909">
        <v>0</v>
      </c>
      <c r="AE455" t="inlineStr" s="2909">
        <is>
          <t>00000000</t>
        </is>
      </c>
      <c r="AH455" t="n" s="2909">
        <v>1</v>
      </c>
      <c r="AJ455" t="n" s="2909">
        <v>41</v>
      </c>
      <c r="AP455" t="n" s="2909">
        <v>142000</v>
      </c>
      <c r="DB455" s="2909" t="str">
        <f>IF($A455="","",IF(AND($A455=21,$AE455&amp;""="00000000"),IF($AH455=20,"病院",IF($AH455=5,"消防","市長")),"対象外"))</f>
        <v>対象外</v>
      </c>
    </row>
    <row r="456">
      <c r="A456" t="n" s="2909">
        <v>31</v>
      </c>
      <c r="AA456" t="n" s="2909">
        <v>21</v>
      </c>
      <c r="AB456" t="inlineStr" s="2909">
        <is>
          <t>20221001</t>
        </is>
      </c>
      <c r="AD456" t="n" s="2909">
        <v>0</v>
      </c>
      <c r="AE456" t="inlineStr" s="2909">
        <is>
          <t>00000000</t>
        </is>
      </c>
      <c r="AH456" t="n" s="2909">
        <v>11</v>
      </c>
      <c r="AJ456" t="n" s="2909">
        <v>41</v>
      </c>
      <c r="AP456" t="n" s="2909">
        <v>118000</v>
      </c>
      <c r="DB456" s="2909" t="str">
        <f>IF($A456="","",IF(AND($A456=21,$AE456&amp;""="00000000"),IF($AH456=20,"病院",IF($AH456=5,"消防","市長")),"対象外"))</f>
        <v>対象外</v>
      </c>
    </row>
    <row r="457">
      <c r="A457" t="n" s="2909">
        <v>31</v>
      </c>
      <c r="AA457" t="n" s="2909">
        <v>21</v>
      </c>
      <c r="AB457" t="inlineStr" s="2909">
        <is>
          <t>20221001</t>
        </is>
      </c>
      <c r="AD457" t="n" s="2909">
        <v>0</v>
      </c>
      <c r="AE457" t="inlineStr" s="2909">
        <is>
          <t>00000000</t>
        </is>
      </c>
      <c r="AH457" t="n" s="2909">
        <v>1</v>
      </c>
      <c r="AJ457" t="n" s="2909">
        <v>41</v>
      </c>
      <c r="AP457" t="n" s="2909">
        <v>200000</v>
      </c>
      <c r="DB457" s="2909" t="str">
        <f>IF($A457="","",IF(AND($A457=21,$AE457&amp;""="00000000"),IF($AH457=20,"病院",IF($AH457=5,"消防","市長")),"対象外"))</f>
        <v>対象外</v>
      </c>
    </row>
    <row r="458">
      <c r="A458" t="n" s="2909">
        <v>31</v>
      </c>
      <c r="AA458" t="n" s="2909">
        <v>21</v>
      </c>
      <c r="AB458" t="inlineStr" s="2909">
        <is>
          <t>20221001</t>
        </is>
      </c>
      <c r="AD458" t="n" s="2909">
        <v>0</v>
      </c>
      <c r="AE458" t="inlineStr" s="2909">
        <is>
          <t>00000000</t>
        </is>
      </c>
      <c r="AH458" t="n" s="2909">
        <v>11</v>
      </c>
      <c r="AJ458" t="n" s="2909">
        <v>41</v>
      </c>
      <c r="AP458" t="n" s="2909">
        <v>180000</v>
      </c>
      <c r="DB458" s="2909" t="str">
        <f>IF($A458="","",IF(AND($A458=21,$AE458&amp;""="00000000"),IF($AH458=20,"病院",IF($AH458=5,"消防","市長")),"対象外"))</f>
        <v>対象外</v>
      </c>
    </row>
    <row r="459">
      <c r="A459" t="n" s="2909">
        <v>31</v>
      </c>
      <c r="AA459" t="n" s="2909">
        <v>21</v>
      </c>
      <c r="AB459" t="inlineStr" s="2909">
        <is>
          <t>20210401</t>
        </is>
      </c>
      <c r="AD459" t="n" s="2909">
        <v>0</v>
      </c>
      <c r="AE459" t="inlineStr" s="2909">
        <is>
          <t>00000000</t>
        </is>
      </c>
      <c r="AH459" t="n" s="2909">
        <v>1</v>
      </c>
      <c r="AJ459" t="n" s="2909">
        <v>10</v>
      </c>
      <c r="AP459" t="n" s="2909">
        <v>260000</v>
      </c>
      <c r="DB459" s="2909" t="str">
        <f>IF($A459="","",IF(AND($A459=21,$AE459&amp;""="00000000"),IF($AH459=20,"病院",IF($AH459=5,"消防","市長")),"対象外"))</f>
        <v>対象外</v>
      </c>
    </row>
    <row r="460">
      <c r="A460" t="n" s="2909">
        <v>21</v>
      </c>
      <c r="AA460" t="n" s="2909">
        <v>21</v>
      </c>
      <c r="AB460" t="inlineStr" s="2909">
        <is>
          <t>19840401</t>
        </is>
      </c>
      <c r="AD460" t="n" s="2909">
        <v>12</v>
      </c>
      <c r="AE460" t="inlineStr" s="2909">
        <is>
          <t>20110911</t>
        </is>
      </c>
      <c r="AH460" t="n" s="2909">
        <v>0</v>
      </c>
      <c r="AJ460" t="n" s="2909">
        <v>10</v>
      </c>
      <c r="AP460" t="n" s="2909">
        <v>309700</v>
      </c>
      <c r="DB460" s="2909" t="str">
        <f>IF($A460="","",IF(AND($A460=21,$AE460&amp;""="00000000"),IF($AH460=20,"病院",IF($AH460=5,"消防","市長")),"対象外"))</f>
        <v>対象外</v>
      </c>
    </row>
    <row r="461">
      <c r="A461" t="n" s="2909">
        <v>21</v>
      </c>
      <c r="AA461" t="n" s="2909">
        <v>21</v>
      </c>
      <c r="AB461" t="inlineStr" s="2909">
        <is>
          <t>19840401</t>
        </is>
      </c>
      <c r="AD461" t="n" s="2909">
        <v>12</v>
      </c>
      <c r="AE461" t="inlineStr" s="2909">
        <is>
          <t>20200401</t>
        </is>
      </c>
      <c r="AH461" t="n" s="2909">
        <v>1</v>
      </c>
      <c r="AJ461" t="n" s="2909">
        <v>10</v>
      </c>
      <c r="AP461" t="n" s="2909">
        <v>750000</v>
      </c>
      <c r="DB461" s="2909" t="str">
        <f>IF($A461="","",IF(AND($A461=21,$AE461&amp;""="00000000"),IF($AH461=20,"病院",IF($AH461=5,"消防","市長")),"対象外"))</f>
        <v>対象外</v>
      </c>
    </row>
    <row r="462">
      <c r="A462" t="n" s="2909">
        <v>21</v>
      </c>
      <c r="AA462" t="n" s="2909">
        <v>21</v>
      </c>
      <c r="AB462" t="inlineStr" s="2909">
        <is>
          <t>20180401</t>
        </is>
      </c>
      <c r="AD462" t="n" s="2909">
        <v>12</v>
      </c>
      <c r="AE462" t="inlineStr" s="2909">
        <is>
          <t>20190901</t>
        </is>
      </c>
      <c r="AH462" t="n" s="2909">
        <v>20</v>
      </c>
      <c r="AJ462" t="n" s="2909">
        <v>10</v>
      </c>
      <c r="AP462" t="n" s="2909">
        <v>1390000</v>
      </c>
      <c r="DB462" s="2909" t="str">
        <f>IF($A462="","",IF(AND($A462=21,$AE462&amp;""="00000000"),IF($AH462=20,"病院",IF($AH462=5,"消防","市長")),"対象外"))</f>
        <v>対象外</v>
      </c>
    </row>
    <row r="463">
      <c r="A463" t="n" s="2909">
        <v>21</v>
      </c>
      <c r="AA463" t="n" s="2909">
        <v>21</v>
      </c>
      <c r="AB463" t="inlineStr" s="2909">
        <is>
          <t>19890401</t>
        </is>
      </c>
      <c r="AD463" t="n" s="2909">
        <v>12</v>
      </c>
      <c r="AE463" t="inlineStr" s="2909">
        <is>
          <t>20180828</t>
        </is>
      </c>
      <c r="AH463" t="n" s="2909">
        <v>1</v>
      </c>
      <c r="AJ463" t="n" s="2909">
        <v>10</v>
      </c>
      <c r="AP463" t="n" s="2909">
        <v>380000</v>
      </c>
      <c r="DB463" s="2909" t="str">
        <f>IF($A463="","",IF(AND($A463=21,$AE463&amp;""="00000000"),IF($AH463=20,"病院",IF($AH463=5,"消防","市長")),"対象外"))</f>
        <v>対象外</v>
      </c>
    </row>
    <row r="464">
      <c r="A464" t="n" s="2909">
        <v>21</v>
      </c>
      <c r="AA464" t="n" s="2909">
        <v>21</v>
      </c>
      <c r="AB464" t="inlineStr" s="2909">
        <is>
          <t>20050425</t>
        </is>
      </c>
      <c r="AD464" t="n" s="2909">
        <v>12</v>
      </c>
      <c r="AE464" t="inlineStr" s="2909">
        <is>
          <t>20230801</t>
        </is>
      </c>
      <c r="AH464" t="n" s="2909">
        <v>1</v>
      </c>
      <c r="AJ464" t="n" s="2909">
        <v>10</v>
      </c>
      <c r="AP464" t="n" s="2909">
        <v>440000</v>
      </c>
      <c r="DB464" s="2909" t="str">
        <f>IF($A464="","",IF(AND($A464=21,$AE464&amp;""="00000000"),IF($AH464=20,"病院",IF($AH464=5,"消防","市長")),"対象外"))</f>
        <v>対象外</v>
      </c>
    </row>
    <row r="465">
      <c r="A465" t="n" s="2909">
        <v>21</v>
      </c>
      <c r="AA465" t="n" s="2909">
        <v>21</v>
      </c>
      <c r="AB465" t="inlineStr" s="2909">
        <is>
          <t>20020401</t>
        </is>
      </c>
      <c r="AD465" t="n" s="2909">
        <v>12</v>
      </c>
      <c r="AE465" t="inlineStr" s="2909">
        <is>
          <t>20230401</t>
        </is>
      </c>
      <c r="AH465" t="n" s="2909">
        <v>20</v>
      </c>
      <c r="AJ465" t="n" s="2909">
        <v>10</v>
      </c>
      <c r="AP465" t="n" s="2909">
        <v>1330000</v>
      </c>
      <c r="DB465" s="2909" t="str">
        <f>IF($A465="","",IF(AND($A465=21,$AE465&amp;""="00000000"),IF($AH465=20,"病院",IF($AH465=5,"消防","市長")),"対象外"))</f>
        <v>対象外</v>
      </c>
    </row>
    <row r="466">
      <c r="A466" t="n" s="2909">
        <v>21</v>
      </c>
      <c r="AA466" t="n" s="2909">
        <v>21</v>
      </c>
      <c r="AB466" t="inlineStr" s="2909">
        <is>
          <t>19840401</t>
        </is>
      </c>
      <c r="AD466" t="n" s="2909">
        <v>12</v>
      </c>
      <c r="AE466" t="inlineStr" s="2909">
        <is>
          <t>20180401</t>
        </is>
      </c>
      <c r="AH466" t="n" s="2909">
        <v>48</v>
      </c>
      <c r="AJ466" t="n" s="2909">
        <v>74</v>
      </c>
      <c r="AP466" t="n" s="2909">
        <v>530000</v>
      </c>
      <c r="DB466" s="2909" t="str">
        <f>IF($A466="","",IF(AND($A466=21,$AE466&amp;""="00000000"),IF($AH466=20,"病院",IF($AH466=5,"消防","市長")),"対象外"))</f>
        <v>対象外</v>
      </c>
    </row>
    <row r="467">
      <c r="A467" t="n" s="2909">
        <v>21</v>
      </c>
      <c r="AA467" t="n" s="2909">
        <v>21</v>
      </c>
      <c r="AB467" t="inlineStr" s="2909">
        <is>
          <t>19900401</t>
        </is>
      </c>
      <c r="AD467" t="n" s="2909">
        <v>12</v>
      </c>
      <c r="AE467" t="inlineStr" s="2909">
        <is>
          <t>20210401</t>
        </is>
      </c>
      <c r="AH467" t="n" s="2909">
        <v>1</v>
      </c>
      <c r="AJ467" t="n" s="2909">
        <v>10</v>
      </c>
      <c r="AP467" t="n" s="2909">
        <v>440000</v>
      </c>
      <c r="DB467" s="2909" t="str">
        <f>IF($A467="","",IF(AND($A467=21,$AE467&amp;""="00000000"),IF($AH467=20,"病院",IF($AH467=5,"消防","市長")),"対象外"))</f>
        <v>対象外</v>
      </c>
    </row>
    <row r="468">
      <c r="A468" t="n" s="2909">
        <v>21</v>
      </c>
      <c r="AA468" t="n" s="2909">
        <v>21</v>
      </c>
      <c r="AB468" t="inlineStr" s="2909">
        <is>
          <t>19840401</t>
        </is>
      </c>
      <c r="AD468" t="n" s="2909">
        <v>12</v>
      </c>
      <c r="AE468" t="inlineStr" s="2909">
        <is>
          <t>20240401</t>
        </is>
      </c>
      <c r="AH468" t="n" s="2909">
        <v>1</v>
      </c>
      <c r="AJ468" t="n" s="2909">
        <v>10</v>
      </c>
      <c r="AP468" t="n" s="2909">
        <v>500000</v>
      </c>
      <c r="DB468" s="2909" t="str">
        <f>IF($A468="","",IF(AND($A468=21,$AE468&amp;""="00000000"),IF($AH468=20,"病院",IF($AH468=5,"消防","市長")),"対象外"))</f>
        <v>対象外</v>
      </c>
    </row>
    <row r="469">
      <c r="A469" t="n" s="2909">
        <v>21</v>
      </c>
      <c r="AA469" t="n" s="2909">
        <v>21</v>
      </c>
      <c r="AB469" t="inlineStr" s="2909">
        <is>
          <t>20070401</t>
        </is>
      </c>
      <c r="AD469" t="n" s="2909">
        <v>12</v>
      </c>
      <c r="AE469" t="inlineStr" s="2909">
        <is>
          <t>20240401</t>
        </is>
      </c>
      <c r="AH469" t="n" s="2909">
        <v>5</v>
      </c>
      <c r="AJ469" t="n" s="2909">
        <v>30</v>
      </c>
      <c r="AP469" t="n" s="2909">
        <v>530000</v>
      </c>
      <c r="DB469" s="2909" t="str">
        <f>IF($A469="","",IF(AND($A469=21,$AE469&amp;""="00000000"),IF($AH469=20,"病院",IF($AH469=5,"消防","市長")),"対象外"))</f>
        <v>対象外</v>
      </c>
    </row>
    <row r="470">
      <c r="A470" t="n" s="2909">
        <v>21</v>
      </c>
      <c r="AA470" t="n" s="2909">
        <v>21</v>
      </c>
      <c r="AB470" t="inlineStr" s="2909">
        <is>
          <t>19890401</t>
        </is>
      </c>
      <c r="AD470" t="n" s="2909">
        <v>12</v>
      </c>
      <c r="AE470" t="inlineStr" s="2909">
        <is>
          <t>20100601</t>
        </is>
      </c>
      <c r="AH470" t="n" s="2909">
        <v>0</v>
      </c>
      <c r="AJ470" t="n" s="2909">
        <v>10</v>
      </c>
      <c r="AP470" t="n" s="2909">
        <v>357100</v>
      </c>
      <c r="DB470" s="2909" t="str">
        <f>IF($A470="","",IF(AND($A470=21,$AE470&amp;""="00000000"),IF($AH470=20,"病院",IF($AH470=5,"消防","市長")),"対象外"))</f>
        <v>対象外</v>
      </c>
    </row>
    <row r="471">
      <c r="A471" t="n" s="2909">
        <v>21</v>
      </c>
      <c r="AA471" t="n" s="2909">
        <v>21</v>
      </c>
      <c r="AB471" t="inlineStr" s="2909">
        <is>
          <t>20030401</t>
        </is>
      </c>
      <c r="AD471" t="n" s="2909">
        <v>12</v>
      </c>
      <c r="AE471" t="inlineStr" s="2909">
        <is>
          <t>20250401</t>
        </is>
      </c>
      <c r="AH471" t="n" s="2909">
        <v>11</v>
      </c>
      <c r="AJ471" t="n" s="2909">
        <v>10</v>
      </c>
      <c r="AP471" t="n" s="2909">
        <v>650000</v>
      </c>
      <c r="DB471" s="2909" t="str">
        <f>IF($A471="","",IF(AND($A471=21,$AE471&amp;""="00000000"),IF($AH471=20,"病院",IF($AH471=5,"消防","市長")),"対象外"))</f>
        <v>対象外</v>
      </c>
    </row>
    <row r="472">
      <c r="A472" t="n" s="2909">
        <v>21</v>
      </c>
      <c r="AA472" t="n" s="2909">
        <v>21</v>
      </c>
      <c r="AB472" t="inlineStr" s="2909">
        <is>
          <t>20090401</t>
        </is>
      </c>
      <c r="AD472" t="n" s="2909">
        <v>12</v>
      </c>
      <c r="AE472" t="inlineStr" s="2909">
        <is>
          <t>20180401</t>
        </is>
      </c>
      <c r="AH472" t="n" s="2909">
        <v>11</v>
      </c>
      <c r="AJ472" t="n" s="2909">
        <v>10</v>
      </c>
      <c r="AP472" t="n" s="2909">
        <v>710000</v>
      </c>
      <c r="DB472" s="2909" t="str">
        <f>IF($A472="","",IF(AND($A472=21,$AE472&amp;""="00000000"),IF($AH472=20,"病院",IF($AH472=5,"消防","市長")),"対象外"))</f>
        <v>対象外</v>
      </c>
    </row>
    <row r="473">
      <c r="A473" t="n" s="2909">
        <v>21</v>
      </c>
      <c r="AA473" t="n" s="2909">
        <v>21</v>
      </c>
      <c r="AB473" t="inlineStr" s="2909">
        <is>
          <t>20040401</t>
        </is>
      </c>
      <c r="AD473" t="n" s="2909">
        <v>12</v>
      </c>
      <c r="AE473" t="inlineStr" s="2909">
        <is>
          <t>20200401</t>
        </is>
      </c>
      <c r="AH473" t="n" s="2909">
        <v>11</v>
      </c>
      <c r="AJ473" t="n" s="2909">
        <v>10</v>
      </c>
      <c r="AP473" t="n" s="2909">
        <v>590000</v>
      </c>
      <c r="DB473" s="2909" t="str">
        <f>IF($A473="","",IF(AND($A473=21,$AE473&amp;""="00000000"),IF($AH473=20,"病院",IF($AH473=5,"消防","市長")),"対象外"))</f>
        <v>対象外</v>
      </c>
    </row>
    <row r="474">
      <c r="A474" t="n" s="2909">
        <v>21</v>
      </c>
      <c r="AA474" t="n" s="2909">
        <v>21</v>
      </c>
      <c r="AB474" t="inlineStr" s="2909">
        <is>
          <t>20030401</t>
        </is>
      </c>
      <c r="AD474" t="n" s="2909">
        <v>12</v>
      </c>
      <c r="AE474" t="inlineStr" s="2909">
        <is>
          <t>20200701</t>
        </is>
      </c>
      <c r="AH474" t="n" s="2909">
        <v>20</v>
      </c>
      <c r="AJ474" t="n" s="2909">
        <v>10</v>
      </c>
      <c r="AP474" t="n" s="2909">
        <v>1390000</v>
      </c>
      <c r="DB474" s="2909" t="str">
        <f>IF($A474="","",IF(AND($A474=21,$AE474&amp;""="00000000"),IF($AH474=20,"病院",IF($AH474=5,"消防","市長")),"対象外"))</f>
        <v>対象外</v>
      </c>
    </row>
    <row r="475">
      <c r="A475" t="n" s="2909">
        <v>21</v>
      </c>
      <c r="AA475" t="n" s="2909">
        <v>21</v>
      </c>
      <c r="AB475" t="inlineStr" s="2909">
        <is>
          <t>20080401</t>
        </is>
      </c>
      <c r="AD475" t="n" s="2909">
        <v>12</v>
      </c>
      <c r="AE475" t="inlineStr" s="2909">
        <is>
          <t>20091201</t>
        </is>
      </c>
      <c r="AH475" t="n" s="2909">
        <v>0</v>
      </c>
      <c r="AJ475" t="n" s="2909">
        <v>10</v>
      </c>
      <c r="AP475" t="n" s="2909">
        <v>1</v>
      </c>
      <c r="DB475" s="2909" t="str">
        <f>IF($A475="","",IF(AND($A475=21,$AE475&amp;""="00000000"),IF($AH475=20,"病院",IF($AH475=5,"消防","市長")),"対象外"))</f>
        <v>対象外</v>
      </c>
    </row>
    <row r="476">
      <c r="A476" t="n" s="2909">
        <v>21</v>
      </c>
      <c r="AA476" t="n" s="2909">
        <v>21</v>
      </c>
      <c r="AB476" t="inlineStr" s="2909">
        <is>
          <t>19840401</t>
        </is>
      </c>
      <c r="AD476" t="n" s="2909">
        <v>12</v>
      </c>
      <c r="AE476" t="inlineStr" s="2909">
        <is>
          <t>20240101</t>
        </is>
      </c>
      <c r="AH476" t="n" s="2909">
        <v>1</v>
      </c>
      <c r="AJ476" t="n" s="2909">
        <v>10</v>
      </c>
      <c r="AP476" t="n" s="2909">
        <v>500000</v>
      </c>
      <c r="DB476" s="2909" t="str">
        <f>IF($A476="","",IF(AND($A476=21,$AE476&amp;""="00000000"),IF($AH476=20,"病院",IF($AH476=5,"消防","市長")),"対象外"))</f>
        <v>対象外</v>
      </c>
    </row>
    <row r="477">
      <c r="A477" t="n" s="2909">
        <v>21</v>
      </c>
      <c r="AA477" t="n" s="2909">
        <v>21</v>
      </c>
      <c r="AB477" t="inlineStr" s="2909">
        <is>
          <t>20100712</t>
        </is>
      </c>
      <c r="AD477" t="n" s="2909">
        <v>12</v>
      </c>
      <c r="AE477" t="inlineStr" s="2909">
        <is>
          <t>20140210</t>
        </is>
      </c>
      <c r="AH477" t="n" s="2909">
        <v>0</v>
      </c>
      <c r="AJ477" t="n" s="2909">
        <v>10</v>
      </c>
      <c r="AP477" t="n" s="2909">
        <v>477417</v>
      </c>
      <c r="DB477" s="2909" t="str">
        <f>IF($A477="","",IF(AND($A477=21,$AE477&amp;""="00000000"),IF($AH477=20,"病院",IF($AH477=5,"消防","市長")),"対象外"))</f>
        <v>対象外</v>
      </c>
    </row>
    <row r="478">
      <c r="A478" t="n" s="2909">
        <v>21</v>
      </c>
      <c r="AA478" t="n" s="2909">
        <v>21</v>
      </c>
      <c r="AB478" t="inlineStr" s="2909">
        <is>
          <t>20021001</t>
        </is>
      </c>
      <c r="AD478" t="n" s="2909">
        <v>12</v>
      </c>
      <c r="AE478" t="inlineStr" s="2909">
        <is>
          <t>20100401</t>
        </is>
      </c>
      <c r="AH478" t="n" s="2909">
        <v>0</v>
      </c>
      <c r="AJ478" t="n" s="2909">
        <v>10</v>
      </c>
      <c r="AP478" t="n" s="2909">
        <v>513200</v>
      </c>
      <c r="DB478" s="2909" t="str">
        <f>IF($A478="","",IF(AND($A478=21,$AE478&amp;""="00000000"),IF($AH478=20,"病院",IF($AH478=5,"消防","市長")),"対象外"))</f>
        <v>対象外</v>
      </c>
    </row>
    <row r="479">
      <c r="A479" t="n" s="2909">
        <v>21</v>
      </c>
      <c r="AA479" t="n" s="2909">
        <v>21</v>
      </c>
      <c r="AB479" t="inlineStr" s="2909">
        <is>
          <t>20230401</t>
        </is>
      </c>
      <c r="AD479" t="n" s="2909">
        <v>12</v>
      </c>
      <c r="AE479" t="inlineStr" s="2909">
        <is>
          <t>20240701</t>
        </is>
      </c>
      <c r="AH479" t="n" s="2909">
        <v>1</v>
      </c>
      <c r="AJ479" t="n" s="2909">
        <v>10</v>
      </c>
      <c r="AP479" t="n" s="2909">
        <v>320000</v>
      </c>
      <c r="DB479" s="2909" t="str">
        <f>IF($A479="","",IF(AND($A479=21,$AE479&amp;""="00000000"),IF($AH479=20,"病院",IF($AH479=5,"消防","市長")),"対象外"))</f>
        <v>対象外</v>
      </c>
    </row>
    <row r="480">
      <c r="A480" t="n" s="2909">
        <v>21</v>
      </c>
      <c r="AA480" t="n" s="2909">
        <v>21</v>
      </c>
      <c r="AB480" t="inlineStr" s="2909">
        <is>
          <t>19970401</t>
        </is>
      </c>
      <c r="AD480" t="n" s="2909">
        <v>12</v>
      </c>
      <c r="AE480" t="inlineStr" s="2909">
        <is>
          <t>20250401</t>
        </is>
      </c>
      <c r="AH480" t="n" s="2909">
        <v>1</v>
      </c>
      <c r="AJ480" t="n" s="2909">
        <v>10</v>
      </c>
      <c r="AP480" t="n" s="2909">
        <v>500000</v>
      </c>
      <c r="DB480" s="2909" t="str">
        <f>IF($A480="","",IF(AND($A480=21,$AE480&amp;""="00000000"),IF($AH480=20,"病院",IF($AH480=5,"消防","市長")),"対象外"))</f>
        <v>対象外</v>
      </c>
    </row>
    <row r="481">
      <c r="A481" t="n" s="2909">
        <v>21</v>
      </c>
      <c r="AA481" t="n" s="2909">
        <v>24</v>
      </c>
      <c r="AB481" t="inlineStr" s="2909">
        <is>
          <t>20091008</t>
        </is>
      </c>
      <c r="AD481" t="n" s="2909">
        <v>12</v>
      </c>
      <c r="AE481" t="inlineStr" s="2909">
        <is>
          <t>20091201</t>
        </is>
      </c>
      <c r="AH481" t="n" s="2909">
        <v>0</v>
      </c>
      <c r="AJ481" t="n" s="2909">
        <v>10</v>
      </c>
      <c r="AP481" t="n" s="2909">
        <v>142590</v>
      </c>
      <c r="DB481" s="2909" t="str">
        <f>IF($A481="","",IF(AND($A481=21,$AE481&amp;""="00000000"),IF($AH481=20,"病院",IF($AH481=5,"消防","市長")),"対象外"))</f>
        <v>対象外</v>
      </c>
    </row>
    <row r="482">
      <c r="A482" t="n" s="2909">
        <v>21</v>
      </c>
      <c r="AA482" t="n" s="2909">
        <v>21</v>
      </c>
      <c r="AB482" t="inlineStr" s="2909">
        <is>
          <t>20000901</t>
        </is>
      </c>
      <c r="AD482" t="n" s="2909">
        <v>12</v>
      </c>
      <c r="AE482" t="inlineStr" s="2909">
        <is>
          <t>20080401</t>
        </is>
      </c>
      <c r="AH482" t="n" s="2909">
        <v>0</v>
      </c>
      <c r="AJ482" t="n" s="2909">
        <v>10</v>
      </c>
      <c r="AP482" t="n" s="2909">
        <v>1</v>
      </c>
      <c r="DB482" s="2909" t="str">
        <f>IF($A482="","",IF(AND($A482=21,$AE482&amp;""="00000000"),IF($AH482=20,"病院",IF($AH482=5,"消防","市長")),"対象外"))</f>
        <v>対象外</v>
      </c>
    </row>
    <row r="483">
      <c r="A483" t="n" s="2909">
        <v>21</v>
      </c>
      <c r="AA483" t="n" s="2909">
        <v>21</v>
      </c>
      <c r="AB483" t="inlineStr" s="2909">
        <is>
          <t>20070701</t>
        </is>
      </c>
      <c r="AD483" t="n" s="2909">
        <v>12</v>
      </c>
      <c r="AE483" t="inlineStr" s="2909">
        <is>
          <t>20120401</t>
        </is>
      </c>
      <c r="AH483" t="n" s="2909">
        <v>0</v>
      </c>
      <c r="AJ483" t="n" s="2909">
        <v>10</v>
      </c>
      <c r="AP483" t="n" s="2909">
        <v>376300</v>
      </c>
      <c r="DB483" s="2909" t="str">
        <f>IF($A483="","",IF(AND($A483=21,$AE483&amp;""="00000000"),IF($AH483=20,"病院",IF($AH483=5,"消防","市長")),"対象外"))</f>
        <v>対象外</v>
      </c>
    </row>
    <row r="484">
      <c r="A484" t="n" s="2909">
        <v>31</v>
      </c>
      <c r="AA484" t="n" s="2909">
        <v>21</v>
      </c>
      <c r="AB484" t="inlineStr" s="2909">
        <is>
          <t>20241101</t>
        </is>
      </c>
      <c r="AD484" t="n" s="2909">
        <v>12</v>
      </c>
      <c r="AE484" t="inlineStr" s="2909">
        <is>
          <t>20250201</t>
        </is>
      </c>
      <c r="AH484" t="n" s="2909">
        <v>1</v>
      </c>
      <c r="AJ484" t="n" s="2909">
        <v>41</v>
      </c>
      <c r="AP484" t="n" s="2909">
        <v>170000</v>
      </c>
      <c r="DB484" s="2909" t="str">
        <f>IF($A484="","",IF(AND($A484=21,$AE484&amp;""="00000000"),IF($AH484=20,"病院",IF($AH484=5,"消防","市長")),"対象外"))</f>
        <v>対象外</v>
      </c>
    </row>
    <row r="485">
      <c r="A485" t="n" s="2909">
        <v>21</v>
      </c>
      <c r="AA485" t="n" s="2909">
        <v>21</v>
      </c>
      <c r="AB485" t="inlineStr" s="2909">
        <is>
          <t>19910401</t>
        </is>
      </c>
      <c r="AD485" t="n" s="2909">
        <v>12</v>
      </c>
      <c r="AE485" t="inlineStr" s="2909">
        <is>
          <t>20200401</t>
        </is>
      </c>
      <c r="AH485" t="n" s="2909">
        <v>32</v>
      </c>
      <c r="AJ485" t="n" s="2909">
        <v>74</v>
      </c>
      <c r="AP485" t="n" s="2909">
        <v>560000</v>
      </c>
      <c r="DB485" s="2909" t="str">
        <f>IF($A485="","",IF(AND($A485=21,$AE485&amp;""="00000000"),IF($AH485=20,"病院",IF($AH485=5,"消防","市長")),"対象外"))</f>
        <v>対象外</v>
      </c>
    </row>
    <row r="486">
      <c r="A486" t="n" s="2909">
        <v>21</v>
      </c>
      <c r="AA486" t="n" s="2909">
        <v>21</v>
      </c>
      <c r="AB486" t="inlineStr" s="2909">
        <is>
          <t>19840401</t>
        </is>
      </c>
      <c r="AD486" t="n" s="2909">
        <v>12</v>
      </c>
      <c r="AE486" t="inlineStr" s="2909">
        <is>
          <t>20241001</t>
        </is>
      </c>
      <c r="AH486" t="n" s="2909">
        <v>1</v>
      </c>
      <c r="AJ486" t="n" s="2909">
        <v>10</v>
      </c>
      <c r="AP486" t="n" s="2909">
        <v>470000</v>
      </c>
      <c r="DB486" s="2909" t="str">
        <f>IF($A486="","",IF(AND($A486=21,$AE486&amp;""="00000000"),IF($AH486=20,"病院",IF($AH486=5,"消防","市長")),"対象外"))</f>
        <v>対象外</v>
      </c>
    </row>
    <row r="487">
      <c r="A487" t="n" s="2909">
        <v>31</v>
      </c>
      <c r="AA487" t="n" s="2909">
        <v>21</v>
      </c>
      <c r="AB487" t="inlineStr" s="2909">
        <is>
          <t>20241001</t>
        </is>
      </c>
      <c r="AD487" t="n" s="2909">
        <v>12</v>
      </c>
      <c r="AE487" t="inlineStr" s="2909">
        <is>
          <t>20250401</t>
        </is>
      </c>
      <c r="AH487" t="n" s="2909">
        <v>20</v>
      </c>
      <c r="AJ487" t="n" s="2909">
        <v>41</v>
      </c>
      <c r="AP487" t="n" s="2909">
        <v>240000</v>
      </c>
      <c r="DB487" s="2909" t="str">
        <f>IF($A487="","",IF(AND($A487=21,$AE487&amp;""="00000000"),IF($AH487=20,"病院",IF($AH487=5,"消防","市長")),"対象外"))</f>
        <v>対象外</v>
      </c>
    </row>
    <row r="488">
      <c r="A488" t="n" s="2909">
        <v>21</v>
      </c>
      <c r="AA488" t="n" s="2909">
        <v>21</v>
      </c>
      <c r="AB488" t="inlineStr" s="2909">
        <is>
          <t>20060401</t>
        </is>
      </c>
      <c r="AD488" t="n" s="2909">
        <v>12</v>
      </c>
      <c r="AE488" t="inlineStr" s="2909">
        <is>
          <t>20080401</t>
        </is>
      </c>
      <c r="AH488" t="n" s="2909">
        <v>0</v>
      </c>
      <c r="AJ488" t="n" s="2909">
        <v>10</v>
      </c>
      <c r="AP488" t="n" s="2909">
        <v>1</v>
      </c>
      <c r="DB488" s="2909" t="str">
        <f>IF($A488="","",IF(AND($A488=21,$AE488&amp;""="00000000"),IF($AH488=20,"病院",IF($AH488=5,"消防","市長")),"対象外"))</f>
        <v>対象外</v>
      </c>
    </row>
    <row r="489">
      <c r="A489" t="n" s="2909">
        <v>21</v>
      </c>
      <c r="AA489" t="n" s="2909">
        <v>21</v>
      </c>
      <c r="AB489" t="inlineStr" s="2909">
        <is>
          <t>19890401</t>
        </is>
      </c>
      <c r="AD489" t="n" s="2909">
        <v>12</v>
      </c>
      <c r="AE489" t="inlineStr" s="2909">
        <is>
          <t>20240401</t>
        </is>
      </c>
      <c r="AH489" t="n" s="2909">
        <v>1</v>
      </c>
      <c r="AJ489" t="n" s="2909">
        <v>10</v>
      </c>
      <c r="AP489" t="n" s="2909">
        <v>470000</v>
      </c>
      <c r="DB489" s="2909" t="str">
        <f>IF($A489="","",IF(AND($A489=21,$AE489&amp;""="00000000"),IF($AH489=20,"病院",IF($AH489=5,"消防","市長")),"対象外"))</f>
        <v>対象外</v>
      </c>
    </row>
    <row r="490">
      <c r="A490" t="n" s="2909">
        <v>21</v>
      </c>
      <c r="AA490" t="n" s="2909">
        <v>21</v>
      </c>
      <c r="AB490" t="inlineStr" s="2909">
        <is>
          <t>20040401</t>
        </is>
      </c>
      <c r="AD490" t="n" s="2909">
        <v>12</v>
      </c>
      <c r="AE490" t="inlineStr" s="2909">
        <is>
          <t>20090401</t>
        </is>
      </c>
      <c r="AH490" t="n" s="2909">
        <v>0</v>
      </c>
      <c r="AJ490" t="n" s="2909">
        <v>10</v>
      </c>
      <c r="AP490" t="n" s="2909">
        <v>1051813</v>
      </c>
      <c r="DB490" s="2909" t="str">
        <f>IF($A490="","",IF(AND($A490=21,$AE490&amp;""="00000000"),IF($AH490=20,"病院",IF($AH490=5,"消防","市長")),"対象外"))</f>
        <v>対象外</v>
      </c>
    </row>
    <row r="491">
      <c r="A491" t="n" s="2909">
        <v>21</v>
      </c>
      <c r="AA491" t="n" s="2909">
        <v>21</v>
      </c>
      <c r="AB491" t="inlineStr" s="2909">
        <is>
          <t>20140401</t>
        </is>
      </c>
      <c r="AD491" t="n" s="2909">
        <v>12</v>
      </c>
      <c r="AE491" t="inlineStr" s="2909">
        <is>
          <t>20240401</t>
        </is>
      </c>
      <c r="AH491" t="n" s="2909">
        <v>20</v>
      </c>
      <c r="AJ491" t="n" s="2909">
        <v>10</v>
      </c>
      <c r="AP491" t="n" s="2909">
        <v>1150000</v>
      </c>
      <c r="DB491" s="2909" t="str">
        <f>IF($A491="","",IF(AND($A491=21,$AE491&amp;""="00000000"),IF($AH491=20,"病院",IF($AH491=5,"消防","市長")),"対象外"))</f>
        <v>対象外</v>
      </c>
    </row>
    <row r="492">
      <c r="A492" t="n" s="2909">
        <v>21</v>
      </c>
      <c r="AA492" t="n" s="2909">
        <v>21</v>
      </c>
      <c r="AB492" t="inlineStr" s="2909">
        <is>
          <t>19880401</t>
        </is>
      </c>
      <c r="AD492" t="n" s="2909">
        <v>12</v>
      </c>
      <c r="AE492" t="inlineStr" s="2909">
        <is>
          <t>20240401</t>
        </is>
      </c>
      <c r="AH492" t="n" s="2909">
        <v>1</v>
      </c>
      <c r="AJ492" t="n" s="2909">
        <v>10</v>
      </c>
      <c r="AP492" t="n" s="2909">
        <v>590000</v>
      </c>
      <c r="DB492" s="2909" t="str">
        <f>IF($A492="","",IF(AND($A492=21,$AE492&amp;""="00000000"),IF($AH492=20,"病院",IF($AH492=5,"消防","市長")),"対象外"))</f>
        <v>対象外</v>
      </c>
    </row>
    <row r="493">
      <c r="A493" t="n" s="2909">
        <v>21</v>
      </c>
      <c r="AA493" t="n" s="2909">
        <v>21</v>
      </c>
      <c r="AB493" t="inlineStr" s="2909">
        <is>
          <t>19990416</t>
        </is>
      </c>
      <c r="AD493" t="n" s="2909">
        <v>12</v>
      </c>
      <c r="AE493" t="inlineStr" s="2909">
        <is>
          <t>20240401</t>
        </is>
      </c>
      <c r="AH493" t="n" s="2909">
        <v>20</v>
      </c>
      <c r="AJ493" t="n" s="2909">
        <v>10</v>
      </c>
      <c r="AP493" t="n" s="2909">
        <v>1210000</v>
      </c>
      <c r="DB493" s="2909" t="str">
        <f>IF($A493="","",IF(AND($A493=21,$AE493&amp;""="00000000"),IF($AH493=20,"病院",IF($AH493=5,"消防","市長")),"対象外"))</f>
        <v>対象外</v>
      </c>
    </row>
    <row r="494">
      <c r="A494" t="n" s="2909">
        <v>21</v>
      </c>
      <c r="AA494" t="n" s="2909">
        <v>21</v>
      </c>
      <c r="AB494" t="inlineStr" s="2909">
        <is>
          <t>19850320</t>
        </is>
      </c>
      <c r="AD494" t="n" s="2909">
        <v>12</v>
      </c>
      <c r="AE494" t="inlineStr" s="2909">
        <is>
          <t>20090307</t>
        </is>
      </c>
      <c r="AH494" t="n" s="2909">
        <v>0</v>
      </c>
      <c r="AJ494" t="n" s="2909">
        <v>10</v>
      </c>
      <c r="AP494" t="n" s="2909">
        <v>470539</v>
      </c>
      <c r="DB494" s="2909" t="str">
        <f>IF($A494="","",IF(AND($A494=21,$AE494&amp;""="00000000"),IF($AH494=20,"病院",IF($AH494=5,"消防","市長")),"対象外"))</f>
        <v>対象外</v>
      </c>
    </row>
    <row r="495">
      <c r="A495" t="n" s="2909">
        <v>21</v>
      </c>
      <c r="AA495" t="n" s="2909">
        <v>21</v>
      </c>
      <c r="AB495" t="inlineStr" s="2909">
        <is>
          <t>19860401</t>
        </is>
      </c>
      <c r="AD495" t="n" s="2909">
        <v>12</v>
      </c>
      <c r="AE495" t="inlineStr" s="2909">
        <is>
          <t>20190801</t>
        </is>
      </c>
      <c r="AH495" t="n" s="2909">
        <v>1</v>
      </c>
      <c r="AJ495" t="n" s="2909">
        <v>10</v>
      </c>
      <c r="AP495" t="n" s="2909">
        <v>710000</v>
      </c>
      <c r="DB495" s="2909" t="str">
        <f>IF($A495="","",IF(AND($A495=21,$AE495&amp;""="00000000"),IF($AH495=20,"病院",IF($AH495=5,"消防","市長")),"対象外"))</f>
        <v>対象外</v>
      </c>
    </row>
    <row r="496">
      <c r="A496" t="n" s="2909">
        <v>21</v>
      </c>
      <c r="AA496" t="n" s="2909">
        <v>21</v>
      </c>
      <c r="AB496" t="inlineStr" s="2909">
        <is>
          <t>19890401</t>
        </is>
      </c>
      <c r="AD496" t="n" s="2909">
        <v>15</v>
      </c>
      <c r="AE496" t="inlineStr" s="2909">
        <is>
          <t>20160419</t>
        </is>
      </c>
      <c r="AH496" t="n" s="2909">
        <v>1</v>
      </c>
      <c r="AJ496" t="n" s="2909">
        <v>10</v>
      </c>
      <c r="AP496" t="n" s="2909">
        <v>530000</v>
      </c>
      <c r="DB496" s="2909" t="str">
        <f>IF($A496="","",IF(AND($A496=21,$AE496&amp;""="00000000"),IF($AH496=20,"病院",IF($AH496=5,"消防","市長")),"対象外"))</f>
        <v>対象外</v>
      </c>
    </row>
    <row r="497">
      <c r="A497" t="n" s="2909">
        <v>21</v>
      </c>
      <c r="AA497" t="n" s="2909">
        <v>21</v>
      </c>
      <c r="AB497" t="inlineStr" s="2909">
        <is>
          <t>19880401</t>
        </is>
      </c>
      <c r="AD497" t="n" s="2909">
        <v>12</v>
      </c>
      <c r="AE497" t="inlineStr" s="2909">
        <is>
          <t>20240101</t>
        </is>
      </c>
      <c r="AH497" t="n" s="2909">
        <v>1</v>
      </c>
      <c r="AJ497" t="n" s="2909">
        <v>10</v>
      </c>
      <c r="AP497" t="n" s="2909">
        <v>500000</v>
      </c>
      <c r="DB497" s="2909" t="str">
        <f>IF($A497="","",IF(AND($A497=21,$AE497&amp;""="00000000"),IF($AH497=20,"病院",IF($AH497=5,"消防","市長")),"対象外"))</f>
        <v>対象外</v>
      </c>
    </row>
    <row r="498">
      <c r="A498" t="n" s="2909">
        <v>21</v>
      </c>
      <c r="AA498" t="n" s="2909">
        <v>21</v>
      </c>
      <c r="AB498" t="inlineStr" s="2909">
        <is>
          <t>19890401</t>
        </is>
      </c>
      <c r="AD498" t="n" s="2909">
        <v>12</v>
      </c>
      <c r="AE498" t="inlineStr" s="2909">
        <is>
          <t>20210701</t>
        </is>
      </c>
      <c r="AH498" t="n" s="2909">
        <v>1</v>
      </c>
      <c r="AJ498" t="n" s="2909">
        <v>10</v>
      </c>
      <c r="AP498" t="n" s="2909">
        <v>530000</v>
      </c>
      <c r="DB498" s="2909" t="str">
        <f>IF($A498="","",IF(AND($A498=21,$AE498&amp;""="00000000"),IF($AH498=20,"病院",IF($AH498=5,"消防","市長")),"対象外"))</f>
        <v>対象外</v>
      </c>
    </row>
    <row r="499">
      <c r="A499" t="n" s="2909">
        <v>21</v>
      </c>
      <c r="AA499" t="n" s="2909">
        <v>21</v>
      </c>
      <c r="AB499" t="inlineStr" s="2909">
        <is>
          <t>19900401</t>
        </is>
      </c>
      <c r="AD499" t="n" s="2909">
        <v>12</v>
      </c>
      <c r="AE499" t="inlineStr" s="2909">
        <is>
          <t>20210401</t>
        </is>
      </c>
      <c r="AH499" t="n" s="2909">
        <v>1</v>
      </c>
      <c r="AJ499" t="n" s="2909">
        <v>10</v>
      </c>
      <c r="AP499" t="n" s="2909">
        <v>470000</v>
      </c>
      <c r="DB499" s="2909" t="str">
        <f>IF($A499="","",IF(AND($A499=21,$AE499&amp;""="00000000"),IF($AH499=20,"病院",IF($AH499=5,"消防","市長")),"対象外"))</f>
        <v>対象外</v>
      </c>
    </row>
    <row r="500">
      <c r="A500" t="n" s="2909">
        <v>21</v>
      </c>
      <c r="AA500" t="n" s="2909">
        <v>21</v>
      </c>
      <c r="AB500" t="inlineStr" s="2909">
        <is>
          <t>20080601</t>
        </is>
      </c>
      <c r="AD500" t="n" s="2909">
        <v>12</v>
      </c>
      <c r="AE500" t="inlineStr" s="2909">
        <is>
          <t>20120601</t>
        </is>
      </c>
      <c r="AH500" t="n" s="2909">
        <v>0</v>
      </c>
      <c r="AJ500" t="n" s="2909">
        <v>10</v>
      </c>
      <c r="AP500" t="n" s="2909">
        <v>506000</v>
      </c>
      <c r="DB500" s="2909" t="str">
        <f>IF($A500="","",IF(AND($A500=21,$AE500&amp;""="00000000"),IF($AH500=20,"病院",IF($AH500=5,"消防","市長")),"対象外"))</f>
        <v>対象外</v>
      </c>
    </row>
    <row r="501">
      <c r="A501" t="n" s="2909">
        <v>21</v>
      </c>
      <c r="AA501" t="n" s="2909">
        <v>21</v>
      </c>
      <c r="AB501" t="inlineStr" s="2909">
        <is>
          <t>19910401</t>
        </is>
      </c>
      <c r="AD501" t="n" s="2909">
        <v>12</v>
      </c>
      <c r="AE501" t="inlineStr" s="2909">
        <is>
          <t>20220701</t>
        </is>
      </c>
      <c r="AH501" t="n" s="2909">
        <v>1</v>
      </c>
      <c r="AJ501" t="n" s="2909">
        <v>10</v>
      </c>
      <c r="AP501" t="n" s="2909">
        <v>500000</v>
      </c>
      <c r="DB501" s="2909" t="str">
        <f>IF($A501="","",IF(AND($A501=21,$AE501&amp;""="00000000"),IF($AH501=20,"病院",IF($AH501=5,"消防","市長")),"対象外"))</f>
        <v>対象外</v>
      </c>
    </row>
    <row r="502">
      <c r="A502" t="n" s="2909">
        <v>21</v>
      </c>
      <c r="AA502" t="n" s="2909">
        <v>21</v>
      </c>
      <c r="AB502" t="inlineStr" s="2909">
        <is>
          <t>19910401</t>
        </is>
      </c>
      <c r="AD502" t="n" s="2909">
        <v>12</v>
      </c>
      <c r="AE502" t="inlineStr" s="2909">
        <is>
          <t>20221001</t>
        </is>
      </c>
      <c r="AH502" t="n" s="2909">
        <v>1</v>
      </c>
      <c r="AJ502" t="n" s="2909">
        <v>10</v>
      </c>
      <c r="AP502" t="n" s="2909">
        <v>500000</v>
      </c>
      <c r="DB502" s="2909" t="str">
        <f>IF($A502="","",IF(AND($A502=21,$AE502&amp;""="00000000"),IF($AH502=20,"病院",IF($AH502=5,"消防","市長")),"対象外"))</f>
        <v>対象外</v>
      </c>
    </row>
    <row r="503">
      <c r="A503" t="n" s="2909">
        <v>21</v>
      </c>
      <c r="AA503" t="n" s="2909">
        <v>21</v>
      </c>
      <c r="AB503" t="inlineStr" s="2909">
        <is>
          <t>20160401</t>
        </is>
      </c>
      <c r="AD503" t="n" s="2909">
        <v>12</v>
      </c>
      <c r="AE503" t="inlineStr" s="2909">
        <is>
          <t>20200401</t>
        </is>
      </c>
      <c r="AH503" t="n" s="2909">
        <v>1</v>
      </c>
      <c r="AJ503" t="n" s="2909">
        <v>10</v>
      </c>
      <c r="AP503" t="n" s="2909">
        <v>680000</v>
      </c>
      <c r="DB503" s="2909" t="str">
        <f>IF($A503="","",IF(AND($A503=21,$AE503&amp;""="00000000"),IF($AH503=20,"病院",IF($AH503=5,"消防","市長")),"対象外"))</f>
        <v>対象外</v>
      </c>
    </row>
    <row r="504">
      <c r="A504" t="n" s="2909">
        <v>21</v>
      </c>
      <c r="AA504" t="n" s="2909">
        <v>21</v>
      </c>
      <c r="AB504" t="inlineStr" s="2909">
        <is>
          <t>19900401</t>
        </is>
      </c>
      <c r="AD504" t="n" s="2909">
        <v>13</v>
      </c>
      <c r="AE504" t="inlineStr" s="2909">
        <is>
          <t>20211102</t>
        </is>
      </c>
      <c r="AH504" t="n" s="2909">
        <v>1</v>
      </c>
      <c r="AJ504" t="n" s="2909">
        <v>10</v>
      </c>
      <c r="AP504" t="n" s="2909">
        <v>560000</v>
      </c>
      <c r="DB504" s="2909" t="str">
        <f>IF($A504="","",IF(AND($A504=21,$AE504&amp;""="00000000"),IF($AH504=20,"病院",IF($AH504=5,"消防","市長")),"対象外"))</f>
        <v>対象外</v>
      </c>
    </row>
    <row r="505">
      <c r="A505" t="n" s="2909">
        <v>21</v>
      </c>
      <c r="AA505" t="n" s="2909">
        <v>21</v>
      </c>
      <c r="AB505" t="inlineStr" s="2909">
        <is>
          <t>19870401</t>
        </is>
      </c>
      <c r="AD505" t="n" s="2909">
        <v>15</v>
      </c>
      <c r="AE505" t="inlineStr" s="2909">
        <is>
          <t>20200411</t>
        </is>
      </c>
      <c r="AH505" t="n" s="2909">
        <v>1</v>
      </c>
      <c r="AJ505" t="n" s="2909">
        <v>10</v>
      </c>
      <c r="AP505" t="n" s="2909">
        <v>620000</v>
      </c>
      <c r="DB505" s="2909" t="str">
        <f>IF($A505="","",IF(AND($A505=21,$AE505&amp;""="00000000"),IF($AH505=20,"病院",IF($AH505=5,"消防","市長")),"対象外"))</f>
        <v>対象外</v>
      </c>
    </row>
    <row r="506">
      <c r="A506" t="n" s="2909">
        <v>21</v>
      </c>
      <c r="AA506" t="n" s="2909">
        <v>21</v>
      </c>
      <c r="AB506" t="inlineStr" s="2909">
        <is>
          <t>19840401</t>
        </is>
      </c>
      <c r="AD506" t="n" s="2909">
        <v>12</v>
      </c>
      <c r="AE506" t="inlineStr" s="2909">
        <is>
          <t>20130624</t>
        </is>
      </c>
      <c r="AH506" t="n" s="2909">
        <v>0</v>
      </c>
      <c r="AJ506" t="n" s="2909">
        <v>10</v>
      </c>
      <c r="AP506" t="n" s="2909">
        <v>384400</v>
      </c>
      <c r="DB506" s="2909" t="str">
        <f>IF($A506="","",IF(AND($A506=21,$AE506&amp;""="00000000"),IF($AH506=20,"病院",IF($AH506=5,"消防","市長")),"対象外"))</f>
        <v>対象外</v>
      </c>
    </row>
    <row r="507">
      <c r="A507" t="n" s="2909">
        <v>21</v>
      </c>
      <c r="AA507" t="n" s="2909">
        <v>21</v>
      </c>
      <c r="AB507" t="inlineStr" s="2909">
        <is>
          <t>20190401</t>
        </is>
      </c>
      <c r="AD507" t="n" s="2909">
        <v>12</v>
      </c>
      <c r="AE507" t="inlineStr" s="2909">
        <is>
          <t>20220401</t>
        </is>
      </c>
      <c r="AH507" t="n" s="2909">
        <v>11</v>
      </c>
      <c r="AJ507" t="n" s="2909">
        <v>10</v>
      </c>
      <c r="AP507" t="n" s="2909">
        <v>470000</v>
      </c>
      <c r="DB507" s="2909" t="str">
        <f>IF($A507="","",IF(AND($A507=21,$AE507&amp;""="00000000"),IF($AH507=20,"病院",IF($AH507=5,"消防","市長")),"対象外"))</f>
        <v>対象外</v>
      </c>
    </row>
    <row r="508">
      <c r="A508" t="n" s="2909">
        <v>21</v>
      </c>
      <c r="AA508" t="n" s="2909">
        <v>21</v>
      </c>
      <c r="AB508" t="inlineStr" s="2909">
        <is>
          <t>20070405</t>
        </is>
      </c>
      <c r="AD508" t="n" s="2909">
        <v>12</v>
      </c>
      <c r="AE508" t="inlineStr" s="2909">
        <is>
          <t>20080328</t>
        </is>
      </c>
      <c r="AH508" t="n" s="2909">
        <v>0</v>
      </c>
      <c r="AJ508" t="n" s="2909">
        <v>10</v>
      </c>
      <c r="AP508" t="n" s="2909">
        <v>1</v>
      </c>
      <c r="DB508" s="2909" t="str">
        <f>IF($A508="","",IF(AND($A508=21,$AE508&amp;""="00000000"),IF($AH508=20,"病院",IF($AH508=5,"消防","市長")),"対象外"))</f>
        <v>対象外</v>
      </c>
    </row>
    <row r="509">
      <c r="A509" t="n" s="2909">
        <v>21</v>
      </c>
      <c r="AA509" t="n" s="2909">
        <v>21</v>
      </c>
      <c r="AB509" t="inlineStr" s="2909">
        <is>
          <t>19890401</t>
        </is>
      </c>
      <c r="AD509" t="n" s="2909">
        <v>12</v>
      </c>
      <c r="AE509" t="inlineStr" s="2909">
        <is>
          <t>20080401</t>
        </is>
      </c>
      <c r="AH509" t="n" s="2909">
        <v>0</v>
      </c>
      <c r="AJ509" t="n" s="2909">
        <v>10</v>
      </c>
      <c r="AP509" t="n" s="2909">
        <v>1</v>
      </c>
      <c r="DB509" s="2909" t="str">
        <f>IF($A509="","",IF(AND($A509=21,$AE509&amp;""="00000000"),IF($AH509=20,"病院",IF($AH509=5,"消防","市長")),"対象外"))</f>
        <v>対象外</v>
      </c>
    </row>
    <row r="510">
      <c r="A510" t="n" s="2909">
        <v>21</v>
      </c>
      <c r="AA510" t="n" s="2909">
        <v>24</v>
      </c>
      <c r="AB510" t="inlineStr" s="2909">
        <is>
          <t>20070416</t>
        </is>
      </c>
      <c r="AD510" t="n" s="2909">
        <v>12</v>
      </c>
      <c r="AE510" t="inlineStr" s="2909">
        <is>
          <t>20091201</t>
        </is>
      </c>
      <c r="AH510" t="n" s="2909">
        <v>0</v>
      </c>
      <c r="AJ510" t="n" s="2909">
        <v>10</v>
      </c>
      <c r="AP510" t="n" s="2909">
        <v>1</v>
      </c>
      <c r="DB510" s="2909" t="str">
        <f>IF($A510="","",IF(AND($A510=21,$AE510&amp;""="00000000"),IF($AH510=20,"病院",IF($AH510=5,"消防","市長")),"対象外"))</f>
        <v>対象外</v>
      </c>
    </row>
    <row r="511">
      <c r="A511" t="n" s="2909">
        <v>21</v>
      </c>
      <c r="AA511" t="n" s="2909">
        <v>21</v>
      </c>
      <c r="AB511" t="inlineStr" s="2909">
        <is>
          <t>20230704</t>
        </is>
      </c>
      <c r="AD511" t="n" s="2909">
        <v>12</v>
      </c>
      <c r="AE511" t="inlineStr" s="2909">
        <is>
          <t>20250713</t>
        </is>
      </c>
      <c r="AH511" t="n" s="2909">
        <v>1</v>
      </c>
      <c r="AJ511" t="n" s="2909">
        <v>10</v>
      </c>
      <c r="AP511" t="n" s="2909">
        <v>880000</v>
      </c>
      <c r="DB511" s="2909" t="str">
        <f>IF($A511="","",IF(AND($A511=21,$AE511&amp;""="00000000"),IF($AH511=20,"病院",IF($AH511=5,"消防","市長")),"対象外"))</f>
        <v>対象外</v>
      </c>
    </row>
    <row r="512">
      <c r="A512" t="n" s="2909">
        <v>21</v>
      </c>
      <c r="AA512" t="n" s="2909">
        <v>21</v>
      </c>
      <c r="AB512" t="inlineStr" s="2909">
        <is>
          <t>19890401</t>
        </is>
      </c>
      <c r="AD512" t="n" s="2909">
        <v>12</v>
      </c>
      <c r="AE512" t="inlineStr" s="2909">
        <is>
          <t>20250602</t>
        </is>
      </c>
      <c r="AH512" t="n" s="2909">
        <v>1</v>
      </c>
      <c r="AJ512" t="n" s="2909">
        <v>10</v>
      </c>
      <c r="AP512" t="n" s="2909">
        <v>620000</v>
      </c>
      <c r="DB512" s="2909" t="str">
        <f>IF($A512="","",IF(AND($A512=21,$AE512&amp;""="00000000"),IF($AH512=20,"病院",IF($AH512=5,"消防","市長")),"対象外"))</f>
        <v>対象外</v>
      </c>
    </row>
    <row r="513">
      <c r="A513" t="n" s="2909">
        <v>21</v>
      </c>
      <c r="AA513" t="n" s="2909">
        <v>21</v>
      </c>
      <c r="AB513" t="inlineStr" s="2909">
        <is>
          <t>19880401</t>
        </is>
      </c>
      <c r="AD513" t="n" s="2909">
        <v>12</v>
      </c>
      <c r="AE513" t="inlineStr" s="2909">
        <is>
          <t>20200710</t>
        </is>
      </c>
      <c r="AH513" t="n" s="2909">
        <v>3</v>
      </c>
      <c r="AJ513" t="n" s="2909">
        <v>10</v>
      </c>
      <c r="AP513" t="n" s="2909">
        <v>470000</v>
      </c>
      <c r="DB513" s="2909" t="str">
        <f>IF($A513="","",IF(AND($A513=21,$AE513&amp;""="00000000"),IF($AH513=20,"病院",IF($AH513=5,"消防","市長")),"対象外"))</f>
        <v>対象外</v>
      </c>
    </row>
    <row r="514">
      <c r="A514" t="n" s="2909">
        <v>21</v>
      </c>
      <c r="AA514" t="n" s="2909">
        <v>21</v>
      </c>
      <c r="AB514" t="inlineStr" s="2909">
        <is>
          <t>19840401</t>
        </is>
      </c>
      <c r="AD514" t="n" s="2909">
        <v>12</v>
      </c>
      <c r="AE514" t="inlineStr" s="2909">
        <is>
          <t>20220901</t>
        </is>
      </c>
      <c r="AH514" t="n" s="2909">
        <v>1</v>
      </c>
      <c r="AJ514" t="n" s="2909">
        <v>10</v>
      </c>
      <c r="AP514" t="n" s="2909">
        <v>500000</v>
      </c>
      <c r="DB514" s="2909" t="str">
        <f>IF($A514="","",IF(AND($A514=21,$AE514&amp;""="00000000"),IF($AH514=20,"病院",IF($AH514=5,"消防","市長")),"対象外"))</f>
        <v>対象外</v>
      </c>
    </row>
    <row r="515">
      <c r="A515" t="n" s="2909">
        <v>21</v>
      </c>
      <c r="AA515" t="n" s="2909">
        <v>21</v>
      </c>
      <c r="AB515" t="inlineStr" s="2909">
        <is>
          <t>19880401</t>
        </is>
      </c>
      <c r="AD515" t="n" s="2909">
        <v>12</v>
      </c>
      <c r="AE515" t="inlineStr" s="2909">
        <is>
          <t>20250401</t>
        </is>
      </c>
      <c r="AH515" t="n" s="2909">
        <v>1</v>
      </c>
      <c r="AJ515" t="n" s="2909">
        <v>10</v>
      </c>
      <c r="AP515" t="n" s="2909">
        <v>590000</v>
      </c>
      <c r="DB515" s="2909" t="str">
        <f>IF($A515="","",IF(AND($A515=21,$AE515&amp;""="00000000"),IF($AH515=20,"病院",IF($AH515=5,"消防","市長")),"対象外"))</f>
        <v>対象外</v>
      </c>
    </row>
    <row r="516">
      <c r="A516" t="n" s="2909">
        <v>21</v>
      </c>
      <c r="AA516" t="n" s="2909">
        <v>21</v>
      </c>
      <c r="AB516" t="inlineStr" s="2909">
        <is>
          <t>20100401</t>
        </is>
      </c>
      <c r="AD516" t="n" s="2909">
        <v>12</v>
      </c>
      <c r="AE516" t="inlineStr" s="2909">
        <is>
          <t>20130401</t>
        </is>
      </c>
      <c r="AH516" t="n" s="2909">
        <v>0</v>
      </c>
      <c r="AJ516" t="n" s="2909">
        <v>10</v>
      </c>
      <c r="AP516" t="n" s="2909">
        <v>406000</v>
      </c>
      <c r="DB516" s="2909" t="str">
        <f>IF($A516="","",IF(AND($A516=21,$AE516&amp;""="00000000"),IF($AH516=20,"病院",IF($AH516=5,"消防","市長")),"対象外"))</f>
        <v>対象外</v>
      </c>
    </row>
    <row r="517">
      <c r="A517" t="n" s="2909">
        <v>21</v>
      </c>
      <c r="AA517" t="n" s="2909">
        <v>21</v>
      </c>
      <c r="AB517" t="inlineStr" s="2909">
        <is>
          <t>20150401</t>
        </is>
      </c>
      <c r="AD517" t="n" s="2909">
        <v>12</v>
      </c>
      <c r="AE517" t="inlineStr" s="2909">
        <is>
          <t>20170401</t>
        </is>
      </c>
      <c r="AH517" t="n" s="2909">
        <v>1</v>
      </c>
      <c r="AJ517" t="n" s="2909">
        <v>10</v>
      </c>
      <c r="AP517" t="n" s="2909">
        <v>790000</v>
      </c>
      <c r="DB517" s="2909" t="str">
        <f>IF($A517="","",IF(AND($A517=21,$AE517&amp;""="00000000"),IF($AH517=20,"病院",IF($AH517=5,"消防","市長")),"対象外"))</f>
        <v>対象外</v>
      </c>
    </row>
    <row r="518">
      <c r="A518" t="n" s="2909">
        <v>21</v>
      </c>
      <c r="AA518" t="n" s="2909">
        <v>21</v>
      </c>
      <c r="AB518" t="inlineStr" s="2909">
        <is>
          <t>19890401</t>
        </is>
      </c>
      <c r="AD518" t="n" s="2909">
        <v>12</v>
      </c>
      <c r="AE518" t="inlineStr" s="2909">
        <is>
          <t>20201001</t>
        </is>
      </c>
      <c r="AH518" t="n" s="2909">
        <v>1</v>
      </c>
      <c r="AJ518" t="n" s="2909">
        <v>10</v>
      </c>
      <c r="AP518" t="n" s="2909">
        <v>470000</v>
      </c>
      <c r="DB518" s="2909" t="str">
        <f>IF($A518="","",IF(AND($A518=21,$AE518&amp;""="00000000"),IF($AH518=20,"病院",IF($AH518=5,"消防","市長")),"対象外"))</f>
        <v>対象外</v>
      </c>
    </row>
    <row r="519">
      <c r="A519" t="n" s="2909">
        <v>21</v>
      </c>
      <c r="AA519" t="n" s="2909">
        <v>21</v>
      </c>
      <c r="AB519" t="inlineStr" s="2909">
        <is>
          <t>20150401</t>
        </is>
      </c>
      <c r="AD519" t="n" s="2909">
        <v>15</v>
      </c>
      <c r="AE519" t="inlineStr" s="2909">
        <is>
          <t>20240322</t>
        </is>
      </c>
      <c r="AH519" t="n" s="2909">
        <v>1</v>
      </c>
      <c r="AJ519" t="n" s="2909">
        <v>10</v>
      </c>
      <c r="AP519" t="n" s="2909">
        <v>470000</v>
      </c>
      <c r="DB519" s="2909" t="str">
        <f>IF($A519="","",IF(AND($A519=21,$AE519&amp;""="00000000"),IF($AH519=20,"病院",IF($AH519=5,"消防","市長")),"対象外"))</f>
        <v>対象外</v>
      </c>
    </row>
    <row r="520">
      <c r="A520" t="n" s="2909">
        <v>21</v>
      </c>
      <c r="AA520" t="n" s="2909">
        <v>21</v>
      </c>
      <c r="AB520" t="inlineStr" s="2909">
        <is>
          <t>20070401</t>
        </is>
      </c>
      <c r="AD520" t="n" s="2909">
        <v>12</v>
      </c>
      <c r="AE520" t="inlineStr" s="2909">
        <is>
          <t>20110401</t>
        </is>
      </c>
      <c r="AH520" t="n" s="2909">
        <v>0</v>
      </c>
      <c r="AJ520" t="n" s="2909">
        <v>10</v>
      </c>
      <c r="AP520" t="n" s="2909">
        <v>383800</v>
      </c>
      <c r="DB520" s="2909" t="str">
        <f>IF($A520="","",IF(AND($A520=21,$AE520&amp;""="00000000"),IF($AH520=20,"病院",IF($AH520=5,"消防","市長")),"対象外"))</f>
        <v>対象外</v>
      </c>
    </row>
    <row r="521">
      <c r="A521" t="n" s="2909">
        <v>21</v>
      </c>
      <c r="AA521" t="n" s="2909">
        <v>21</v>
      </c>
      <c r="AB521" t="inlineStr" s="2909">
        <is>
          <t>19880401</t>
        </is>
      </c>
      <c r="AD521" t="n" s="2909">
        <v>12</v>
      </c>
      <c r="AE521" t="inlineStr" s="2909">
        <is>
          <t>20240401</t>
        </is>
      </c>
      <c r="AH521" t="n" s="2909">
        <v>1</v>
      </c>
      <c r="AJ521" t="n" s="2909">
        <v>10</v>
      </c>
      <c r="AP521" t="n" s="2909">
        <v>680000</v>
      </c>
      <c r="DB521" s="2909" t="str">
        <f>IF($A521="","",IF(AND($A521=21,$AE521&amp;""="00000000"),IF($AH521=20,"病院",IF($AH521=5,"消防","市長")),"対象外"))</f>
        <v>対象外</v>
      </c>
    </row>
    <row r="522">
      <c r="A522" t="n" s="2909">
        <v>21</v>
      </c>
      <c r="AA522" t="n" s="2909">
        <v>21</v>
      </c>
      <c r="AB522" t="inlineStr" s="2909">
        <is>
          <t>20070401</t>
        </is>
      </c>
      <c r="AD522" t="n" s="2909">
        <v>12</v>
      </c>
      <c r="AE522" t="inlineStr" s="2909">
        <is>
          <t>20090401</t>
        </is>
      </c>
      <c r="AH522" t="n" s="2909">
        <v>0</v>
      </c>
      <c r="AJ522" t="n" s="2909">
        <v>10</v>
      </c>
      <c r="AP522" t="n" s="2909">
        <v>751970</v>
      </c>
      <c r="DB522" s="2909" t="str">
        <f>IF($A522="","",IF(AND($A522=21,$AE522&amp;""="00000000"),IF($AH522=20,"病院",IF($AH522=5,"消防","市長")),"対象外"))</f>
        <v>対象外</v>
      </c>
    </row>
    <row r="523">
      <c r="A523" t="n" s="2909">
        <v>21</v>
      </c>
      <c r="AA523" t="n" s="2909">
        <v>21</v>
      </c>
      <c r="AB523" t="inlineStr" s="2909">
        <is>
          <t>19860701</t>
        </is>
      </c>
      <c r="AD523" t="n" s="2909">
        <v>12</v>
      </c>
      <c r="AE523" t="inlineStr" s="2909">
        <is>
          <t>20110401</t>
        </is>
      </c>
      <c r="AH523" t="n" s="2909">
        <v>0</v>
      </c>
      <c r="AJ523" t="n" s="2909">
        <v>10</v>
      </c>
      <c r="AP523" t="n" s="2909">
        <v>358300</v>
      </c>
      <c r="DB523" s="2909" t="str">
        <f>IF($A523="","",IF(AND($A523=21,$AE523&amp;""="00000000"),IF($AH523=20,"病院",IF($AH523=5,"消防","市長")),"対象外"))</f>
        <v>対象外</v>
      </c>
    </row>
    <row r="524">
      <c r="A524" t="n" s="2909">
        <v>21</v>
      </c>
      <c r="AA524" t="n" s="2909">
        <v>21</v>
      </c>
      <c r="AB524" t="inlineStr" s="2909">
        <is>
          <t>20050401</t>
        </is>
      </c>
      <c r="AD524" t="n" s="2909">
        <v>12</v>
      </c>
      <c r="AE524" t="inlineStr" s="2909">
        <is>
          <t>20091201</t>
        </is>
      </c>
      <c r="AH524" t="n" s="2909">
        <v>0</v>
      </c>
      <c r="AJ524" t="n" s="2909">
        <v>10</v>
      </c>
      <c r="AP524" t="n" s="2909">
        <v>1</v>
      </c>
      <c r="DB524" s="2909" t="str">
        <f>IF($A524="","",IF(AND($A524=21,$AE524&amp;""="00000000"),IF($AH524=20,"病院",IF($AH524=5,"消防","市長")),"対象外"))</f>
        <v>対象外</v>
      </c>
    </row>
    <row r="525">
      <c r="A525" t="n" s="2909">
        <v>21</v>
      </c>
      <c r="AA525" t="n" s="2909">
        <v>24</v>
      </c>
      <c r="AB525" t="inlineStr" s="2909">
        <is>
          <t>20160601</t>
        </is>
      </c>
      <c r="AD525" t="n" s="2909">
        <v>12</v>
      </c>
      <c r="AE525" t="inlineStr" s="2909">
        <is>
          <t>20220101</t>
        </is>
      </c>
      <c r="AH525" t="n" s="2909">
        <v>20</v>
      </c>
      <c r="AJ525" t="n" s="2909">
        <v>10</v>
      </c>
      <c r="AP525" t="n" s="2909">
        <v>240000</v>
      </c>
      <c r="DB525" s="2909" t="str">
        <f>IF($A525="","",IF(AND($A525=21,$AE525&amp;""="00000000"),IF($AH525=20,"病院",IF($AH525=5,"消防","市長")),"対象外"))</f>
        <v>対象外</v>
      </c>
    </row>
    <row r="526">
      <c r="A526" t="n" s="2909">
        <v>21</v>
      </c>
      <c r="AA526" t="n" s="2909">
        <v>21</v>
      </c>
      <c r="AB526" t="inlineStr" s="2909">
        <is>
          <t>20090401</t>
        </is>
      </c>
      <c r="AD526" t="n" s="2909">
        <v>12</v>
      </c>
      <c r="AE526" t="inlineStr" s="2909">
        <is>
          <t>20091201</t>
        </is>
      </c>
      <c r="AH526" t="n" s="2909">
        <v>0</v>
      </c>
      <c r="AJ526" t="n" s="2909">
        <v>10</v>
      </c>
      <c r="AP526" t="n" s="2909">
        <v>1</v>
      </c>
      <c r="DB526" s="2909" t="str">
        <f>IF($A526="","",IF(AND($A526=21,$AE526&amp;""="00000000"),IF($AH526=20,"病院",IF($AH526=5,"消防","市長")),"対象外"))</f>
        <v>対象外</v>
      </c>
    </row>
    <row r="527">
      <c r="A527" t="n" s="2909">
        <v>21</v>
      </c>
      <c r="AA527" t="n" s="2909">
        <v>21</v>
      </c>
      <c r="AB527" t="inlineStr" s="2909">
        <is>
          <t>20080401</t>
        </is>
      </c>
      <c r="AD527" t="n" s="2909">
        <v>12</v>
      </c>
      <c r="AE527" t="inlineStr" s="2909">
        <is>
          <t>20091201</t>
        </is>
      </c>
      <c r="AH527" t="n" s="2909">
        <v>0</v>
      </c>
      <c r="AJ527" t="n" s="2909">
        <v>10</v>
      </c>
      <c r="AP527" t="n" s="2909">
        <v>1</v>
      </c>
      <c r="DB527" s="2909" t="str">
        <f>IF($A527="","",IF(AND($A527=21,$AE527&amp;""="00000000"),IF($AH527=20,"病院",IF($AH527=5,"消防","市長")),"対象外"))</f>
        <v>対象外</v>
      </c>
    </row>
    <row r="528">
      <c r="A528" t="n" s="2909">
        <v>31</v>
      </c>
      <c r="AA528" t="n" s="2909">
        <v>21</v>
      </c>
      <c r="AB528" t="inlineStr" s="2909">
        <is>
          <t>20221001</t>
        </is>
      </c>
      <c r="AD528" t="n" s="2909">
        <v>12</v>
      </c>
      <c r="AE528" t="inlineStr" s="2909">
        <is>
          <t>20230401</t>
        </is>
      </c>
      <c r="AH528" t="n" s="2909">
        <v>1</v>
      </c>
      <c r="AJ528" t="n" s="2909">
        <v>41</v>
      </c>
      <c r="AP528" t="n" s="2909">
        <v>160000</v>
      </c>
      <c r="DB528" s="2909" t="str">
        <f>IF($A528="","",IF(AND($A528=21,$AE528&amp;""="00000000"),IF($AH528=20,"病院",IF($AH528=5,"消防","市長")),"対象外"))</f>
        <v>対象外</v>
      </c>
    </row>
    <row r="529">
      <c r="A529" t="n" s="2909">
        <v>21</v>
      </c>
      <c r="AA529" t="n" s="2909">
        <v>24</v>
      </c>
      <c r="AB529" t="inlineStr" s="2909">
        <is>
          <t>20090831</t>
        </is>
      </c>
      <c r="AD529" t="n" s="2909">
        <v>12</v>
      </c>
      <c r="AE529" t="inlineStr" s="2909">
        <is>
          <t>20091201</t>
        </is>
      </c>
      <c r="AH529" t="n" s="2909">
        <v>0</v>
      </c>
      <c r="AJ529" t="n" s="2909">
        <v>10</v>
      </c>
      <c r="AP529" t="n" s="2909">
        <v>148890</v>
      </c>
      <c r="DB529" s="2909" t="str">
        <f>IF($A529="","",IF(AND($A529=21,$AE529&amp;""="00000000"),IF($AH529=20,"病院",IF($AH529=5,"消防","市長")),"対象外"))</f>
        <v>対象外</v>
      </c>
    </row>
    <row r="530">
      <c r="A530" t="n" s="2909">
        <v>21</v>
      </c>
      <c r="AA530" t="n" s="2909">
        <v>21</v>
      </c>
      <c r="AB530" t="inlineStr" s="2909">
        <is>
          <t>20091002</t>
        </is>
      </c>
      <c r="AD530" t="n" s="2909">
        <v>12</v>
      </c>
      <c r="AE530" t="inlineStr" s="2909">
        <is>
          <t>20091201</t>
        </is>
      </c>
      <c r="AH530" t="n" s="2909">
        <v>0</v>
      </c>
      <c r="AJ530" t="n" s="2909">
        <v>10</v>
      </c>
      <c r="AP530" t="n" s="2909">
        <v>134400</v>
      </c>
      <c r="DB530" s="2909" t="str">
        <f>IF($A530="","",IF(AND($A530=21,$AE530&amp;""="00000000"),IF($AH530=20,"病院",IF($AH530=5,"消防","市長")),"対象外"))</f>
        <v>対象外</v>
      </c>
    </row>
    <row r="531">
      <c r="A531" t="n" s="2909">
        <v>21</v>
      </c>
      <c r="AA531" t="n" s="2909">
        <v>21</v>
      </c>
      <c r="AB531" t="inlineStr" s="2909">
        <is>
          <t>20070702</t>
        </is>
      </c>
      <c r="AD531" t="n" s="2909">
        <v>12</v>
      </c>
      <c r="AE531" t="inlineStr" s="2909">
        <is>
          <t>20070929</t>
        </is>
      </c>
      <c r="AH531" t="n" s="2909">
        <v>0</v>
      </c>
      <c r="AJ531" t="n" s="2909">
        <v>10</v>
      </c>
      <c r="AP531" t="n" s="2909">
        <v>1</v>
      </c>
      <c r="DB531" s="2909" t="str">
        <f>IF($A531="","",IF(AND($A531=21,$AE531&amp;""="00000000"),IF($AH531=20,"病院",IF($AH531=5,"消防","市長")),"対象外"))</f>
        <v>対象外</v>
      </c>
    </row>
    <row r="532">
      <c r="A532" t="n" s="2909">
        <v>21</v>
      </c>
      <c r="AA532" t="n" s="2909">
        <v>21</v>
      </c>
      <c r="AB532" t="inlineStr" s="2909">
        <is>
          <t>20060501</t>
        </is>
      </c>
      <c r="AD532" t="n" s="2909">
        <v>12</v>
      </c>
      <c r="AE532" t="inlineStr" s="2909">
        <is>
          <t>20070401</t>
        </is>
      </c>
      <c r="AH532" t="n" s="2909">
        <v>0</v>
      </c>
      <c r="AJ532" t="n" s="2909">
        <v>10</v>
      </c>
      <c r="AP532" t="n" s="2909">
        <v>1</v>
      </c>
      <c r="DB532" s="2909" t="str">
        <f>IF($A532="","",IF(AND($A532=21,$AE532&amp;""="00000000"),IF($AH532=20,"病院",IF($AH532=5,"消防","市長")),"対象外"))</f>
        <v>対象外</v>
      </c>
    </row>
    <row r="533">
      <c r="A533" t="n" s="2909">
        <v>21</v>
      </c>
      <c r="AA533" t="n" s="2909">
        <v>21</v>
      </c>
      <c r="AB533" t="inlineStr" s="2909">
        <is>
          <t>20070501</t>
        </is>
      </c>
      <c r="AD533" t="n" s="2909">
        <v>12</v>
      </c>
      <c r="AE533" t="inlineStr" s="2909">
        <is>
          <t>20080901</t>
        </is>
      </c>
      <c r="AH533" t="n" s="2909">
        <v>0</v>
      </c>
      <c r="AJ533" t="n" s="2909">
        <v>10</v>
      </c>
      <c r="AP533" t="n" s="2909">
        <v>1</v>
      </c>
      <c r="DB533" s="2909" t="str">
        <f>IF($A533="","",IF(AND($A533=21,$AE533&amp;""="00000000"),IF($AH533=20,"病院",IF($AH533=5,"消防","市長")),"対象外"))</f>
        <v>対象外</v>
      </c>
    </row>
    <row r="534">
      <c r="A534" t="n" s="2909">
        <v>21</v>
      </c>
      <c r="AA534" t="n" s="2909">
        <v>21</v>
      </c>
      <c r="AB534" t="inlineStr" s="2909">
        <is>
          <t>20080201</t>
        </is>
      </c>
      <c r="AD534" t="n" s="2909">
        <v>12</v>
      </c>
      <c r="AE534" t="inlineStr" s="2909">
        <is>
          <t>20091201</t>
        </is>
      </c>
      <c r="AH534" t="n" s="2909">
        <v>0</v>
      </c>
      <c r="AJ534" t="n" s="2909">
        <v>10</v>
      </c>
      <c r="AP534" t="n" s="2909">
        <v>1</v>
      </c>
      <c r="DB534" s="2909" t="str">
        <f>IF($A534="","",IF(AND($A534=21,$AE534&amp;""="00000000"),IF($AH534=20,"病院",IF($AH534=5,"消防","市長")),"対象外"))</f>
        <v>対象外</v>
      </c>
    </row>
    <row r="535">
      <c r="A535" t="n" s="2909">
        <v>31</v>
      </c>
      <c r="AA535" t="n" s="2909">
        <v>21</v>
      </c>
      <c r="AB535" t="inlineStr" s="2909">
        <is>
          <t>20221001</t>
        </is>
      </c>
      <c r="AD535" t="n" s="2909">
        <v>12</v>
      </c>
      <c r="AE535" t="inlineStr" s="2909">
        <is>
          <t>20240401</t>
        </is>
      </c>
      <c r="AH535" t="n" s="2909">
        <v>20</v>
      </c>
      <c r="AJ535" t="n" s="2909">
        <v>41</v>
      </c>
      <c r="AP535" t="n" s="2909">
        <v>190000</v>
      </c>
      <c r="DB535" s="2909" t="str">
        <f>IF($A535="","",IF(AND($A535=21,$AE535&amp;""="00000000"),IF($AH535=20,"病院",IF($AH535=5,"消防","市長")),"対象外"))</f>
        <v>対象外</v>
      </c>
    </row>
    <row r="536">
      <c r="A536" t="n" s="2909">
        <v>31</v>
      </c>
      <c r="AA536" t="n" s="2909">
        <v>21</v>
      </c>
      <c r="AB536" t="inlineStr" s="2909">
        <is>
          <t>20250527</t>
        </is>
      </c>
      <c r="AD536" t="n" s="2909">
        <v>12</v>
      </c>
      <c r="AE536" t="inlineStr" s="2909">
        <is>
          <t>20250821</t>
        </is>
      </c>
      <c r="AH536" t="n" s="2909">
        <v>1</v>
      </c>
      <c r="AJ536" t="n" s="2909">
        <v>41</v>
      </c>
      <c r="AP536" t="n" s="2909">
        <v>180000</v>
      </c>
      <c r="DB536" s="2909" t="str">
        <f>IF($A536="","",IF(AND($A536=21,$AE536&amp;""="00000000"),IF($AH536=20,"病院",IF($AH536=5,"消防","市長")),"対象外"))</f>
        <v>対象外</v>
      </c>
    </row>
    <row r="537">
      <c r="A537" t="n" s="2909">
        <v>31</v>
      </c>
      <c r="AA537" t="n" s="2909">
        <v>21</v>
      </c>
      <c r="AB537" t="inlineStr" s="2909">
        <is>
          <t>20221001</t>
        </is>
      </c>
      <c r="AD537" t="n" s="2909">
        <v>12</v>
      </c>
      <c r="AE537" t="inlineStr" s="2909">
        <is>
          <t>20240401</t>
        </is>
      </c>
      <c r="AH537" t="n" s="2909">
        <v>1</v>
      </c>
      <c r="AJ537" t="n" s="2909">
        <v>41</v>
      </c>
      <c r="AP537" t="n" s="2909">
        <v>118000</v>
      </c>
      <c r="DB537" s="2909" t="str">
        <f>IF($A537="","",IF(AND($A537=21,$AE537&amp;""="00000000"),IF($AH537=20,"病院",IF($AH537=5,"消防","市長")),"対象外"))</f>
        <v>対象外</v>
      </c>
    </row>
    <row r="538">
      <c r="A538" t="n" s="2909">
        <v>21</v>
      </c>
      <c r="AA538" t="n" s="2909">
        <v>21</v>
      </c>
      <c r="AB538" t="inlineStr" s="2909">
        <is>
          <t>19981001</t>
        </is>
      </c>
      <c r="AD538" t="n" s="2909">
        <v>12</v>
      </c>
      <c r="AE538" t="inlineStr" s="2909">
        <is>
          <t>20091201</t>
        </is>
      </c>
      <c r="AH538" t="n" s="2909">
        <v>0</v>
      </c>
      <c r="AJ538" t="n" s="2909">
        <v>10</v>
      </c>
      <c r="AP538" t="n" s="2909">
        <v>1</v>
      </c>
      <c r="DB538" s="2909" t="str">
        <f>IF($A538="","",IF(AND($A538=21,$AE538&amp;""="00000000"),IF($AH538=20,"病院",IF($AH538=5,"消防","市長")),"対象外"))</f>
        <v>対象外</v>
      </c>
    </row>
    <row r="539">
      <c r="A539" t="n" s="2909">
        <v>21</v>
      </c>
      <c r="AA539" t="n" s="2909">
        <v>21</v>
      </c>
      <c r="AB539" t="inlineStr" s="2909">
        <is>
          <t>19880701</t>
        </is>
      </c>
      <c r="AD539" t="n" s="2909">
        <v>12</v>
      </c>
      <c r="AE539" t="inlineStr" s="2909">
        <is>
          <t>20150401</t>
        </is>
      </c>
      <c r="AH539" t="n" s="2909">
        <v>1</v>
      </c>
      <c r="AJ539" t="n" s="2909">
        <v>10</v>
      </c>
      <c r="AP539" t="n" s="2909">
        <v>366800</v>
      </c>
      <c r="DB539" s="2909" t="str">
        <f>IF($A539="","",IF(AND($A539=21,$AE539&amp;""="00000000"),IF($AH539=20,"病院",IF($AH539=5,"消防","市長")),"対象外"))</f>
        <v>対象外</v>
      </c>
    </row>
    <row r="540">
      <c r="A540" t="n" s="2909">
        <v>21</v>
      </c>
      <c r="AA540" t="n" s="2909">
        <v>21</v>
      </c>
      <c r="AB540" t="inlineStr" s="2909">
        <is>
          <t>20070404</t>
        </is>
      </c>
      <c r="AD540" t="n" s="2909">
        <v>12</v>
      </c>
      <c r="AE540" t="inlineStr" s="2909">
        <is>
          <t>20091001</t>
        </is>
      </c>
      <c r="AH540" t="n" s="2909">
        <v>0</v>
      </c>
      <c r="AJ540" t="n" s="2909">
        <v>10</v>
      </c>
      <c r="AP540" t="n" s="2909">
        <v>1</v>
      </c>
      <c r="DB540" s="2909" t="str">
        <f>IF($A540="","",IF(AND($A540=21,$AE540&amp;""="00000000"),IF($AH540=20,"病院",IF($AH540=5,"消防","市長")),"対象外"))</f>
        <v>対象外</v>
      </c>
    </row>
    <row r="541">
      <c r="A541" t="n" s="2909">
        <v>21</v>
      </c>
      <c r="AA541" t="n" s="2909">
        <v>21</v>
      </c>
      <c r="AB541" t="inlineStr" s="2909">
        <is>
          <t>20091001</t>
        </is>
      </c>
      <c r="AD541" t="n" s="2909">
        <v>12</v>
      </c>
      <c r="AE541" t="inlineStr" s="2909">
        <is>
          <t>20091201</t>
        </is>
      </c>
      <c r="AH541" t="n" s="2909">
        <v>0</v>
      </c>
      <c r="AJ541" t="n" s="2909">
        <v>10</v>
      </c>
      <c r="AP541" t="n" s="2909">
        <v>1</v>
      </c>
      <c r="DB541" s="2909" t="str">
        <f>IF($A541="","",IF(AND($A541=21,$AE541&amp;""="00000000"),IF($AH541=20,"病院",IF($AH541=5,"消防","市長")),"対象外"))</f>
        <v>対象外</v>
      </c>
    </row>
    <row r="542">
      <c r="A542" t="n" s="2909">
        <v>21</v>
      </c>
      <c r="AA542" t="n" s="2909">
        <v>21</v>
      </c>
      <c r="AB542" t="inlineStr" s="2909">
        <is>
          <t>20000718</t>
        </is>
      </c>
      <c r="AD542" t="n" s="2909">
        <v>12</v>
      </c>
      <c r="AE542" t="inlineStr" s="2909">
        <is>
          <t>20091201</t>
        </is>
      </c>
      <c r="AH542" t="n" s="2909">
        <v>0</v>
      </c>
      <c r="AJ542" t="n" s="2909">
        <v>10</v>
      </c>
      <c r="AP542" t="n" s="2909">
        <v>1</v>
      </c>
      <c r="DB542" s="2909" t="str">
        <f>IF($A542="","",IF(AND($A542=21,$AE542&amp;""="00000000"),IF($AH542=20,"病院",IF($AH542=5,"消防","市長")),"対象外"))</f>
        <v>対象外</v>
      </c>
    </row>
    <row r="543">
      <c r="A543" t="n" s="2909">
        <v>21</v>
      </c>
      <c r="AA543" t="n" s="2909">
        <v>21</v>
      </c>
      <c r="AB543" t="inlineStr" s="2909">
        <is>
          <t>19910401</t>
        </is>
      </c>
      <c r="AD543" t="n" s="2909">
        <v>12</v>
      </c>
      <c r="AE543" t="inlineStr" s="2909">
        <is>
          <t>20230101</t>
        </is>
      </c>
      <c r="AH543" t="n" s="2909">
        <v>20</v>
      </c>
      <c r="AJ543" t="n" s="2909">
        <v>10</v>
      </c>
      <c r="AP543" t="n" s="2909">
        <v>440000</v>
      </c>
      <c r="DB543" s="2909" t="str">
        <f>IF($A543="","",IF(AND($A543=21,$AE543&amp;""="00000000"),IF($AH543=20,"病院",IF($AH543=5,"消防","市長")),"対象外"))</f>
        <v>対象外</v>
      </c>
    </row>
    <row r="544">
      <c r="A544" t="n" s="2909">
        <v>31</v>
      </c>
      <c r="AA544" t="n" s="2909">
        <v>21</v>
      </c>
      <c r="AB544" t="inlineStr" s="2909">
        <is>
          <t>20230112</t>
        </is>
      </c>
      <c r="AD544" t="n" s="2909">
        <v>12</v>
      </c>
      <c r="AE544" t="inlineStr" s="2909">
        <is>
          <t>20241001</t>
        </is>
      </c>
      <c r="AH544" t="n" s="2909">
        <v>20</v>
      </c>
      <c r="AJ544" t="n" s="2909">
        <v>41</v>
      </c>
      <c r="AP544" t="n" s="2909">
        <v>180000</v>
      </c>
      <c r="DB544" s="2909" t="str">
        <f>IF($A544="","",IF(AND($A544=21,$AE544&amp;""="00000000"),IF($AH544=20,"病院",IF($AH544=5,"消防","市長")),"対象外"))</f>
        <v>対象外</v>
      </c>
    </row>
    <row r="545">
      <c r="A545" t="n" s="2909">
        <v>31</v>
      </c>
      <c r="AA545" t="n" s="2909">
        <v>21</v>
      </c>
      <c r="AB545" t="inlineStr" s="2909">
        <is>
          <t>20230401</t>
        </is>
      </c>
      <c r="AD545" t="n" s="2909">
        <v>12</v>
      </c>
      <c r="AE545" t="inlineStr" s="2909">
        <is>
          <t>20230501</t>
        </is>
      </c>
      <c r="AH545" t="n" s="2909">
        <v>1</v>
      </c>
      <c r="AJ545" t="n" s="2909">
        <v>41</v>
      </c>
      <c r="AP545" t="n" s="2909">
        <v>160000</v>
      </c>
      <c r="DB545" s="2909" t="str">
        <f>IF($A545="","",IF(AND($A545=21,$AE545&amp;""="00000000"),IF($AH545=20,"病院",IF($AH545=5,"消防","市長")),"対象外"))</f>
        <v>対象外</v>
      </c>
    </row>
    <row r="546">
      <c r="A546" t="n" s="2909">
        <v>21</v>
      </c>
      <c r="AA546" t="n" s="2909">
        <v>21</v>
      </c>
      <c r="AB546" t="inlineStr" s="2909">
        <is>
          <t>20091113</t>
        </is>
      </c>
      <c r="AD546" t="n" s="2909">
        <v>12</v>
      </c>
      <c r="AE546" t="inlineStr" s="2909">
        <is>
          <t>20091201</t>
        </is>
      </c>
      <c r="AH546" t="n" s="2909">
        <v>0</v>
      </c>
      <c r="AJ546" t="n" s="2909">
        <v>10</v>
      </c>
      <c r="AP546" t="n" s="2909">
        <v>131800</v>
      </c>
      <c r="DB546" s="2909" t="str">
        <f>IF($A546="","",IF(AND($A546=21,$AE546&amp;""="00000000"),IF($AH546=20,"病院",IF($AH546=5,"消防","市長")),"対象外"))</f>
        <v>対象外</v>
      </c>
    </row>
    <row r="547">
      <c r="A547" t="n" s="2909">
        <v>21</v>
      </c>
      <c r="AA547" t="n" s="2909">
        <v>21</v>
      </c>
      <c r="AB547" t="inlineStr" s="2909">
        <is>
          <t>20080401</t>
        </is>
      </c>
      <c r="AD547" t="n" s="2909">
        <v>12</v>
      </c>
      <c r="AE547" t="inlineStr" s="2909">
        <is>
          <t>20091201</t>
        </is>
      </c>
      <c r="AH547" t="n" s="2909">
        <v>0</v>
      </c>
      <c r="AJ547" t="n" s="2909">
        <v>10</v>
      </c>
      <c r="AP547" t="n" s="2909">
        <v>1</v>
      </c>
      <c r="DB547" s="2909" t="str">
        <f>IF($A547="","",IF(AND($A547=21,$AE547&amp;""="00000000"),IF($AH547=20,"病院",IF($AH547=5,"消防","市長")),"対象外"))</f>
        <v>対象外</v>
      </c>
    </row>
    <row r="548">
      <c r="A548" t="n" s="2909">
        <v>31</v>
      </c>
      <c r="AA548" t="n" s="2909">
        <v>21</v>
      </c>
      <c r="AB548" t="inlineStr" s="2909">
        <is>
          <t>20221001</t>
        </is>
      </c>
      <c r="AD548" t="n" s="2909">
        <v>12</v>
      </c>
      <c r="AE548" t="inlineStr" s="2909">
        <is>
          <t>20230401</t>
        </is>
      </c>
      <c r="AH548" t="n" s="2909">
        <v>1</v>
      </c>
      <c r="AJ548" t="n" s="2909">
        <v>41</v>
      </c>
      <c r="AP548" t="n" s="2909">
        <v>110000</v>
      </c>
      <c r="DB548" s="2909" t="str">
        <f>IF($A548="","",IF(AND($A548=21,$AE548&amp;""="00000000"),IF($AH548=20,"病院",IF($AH548=5,"消防","市長")),"対象外"))</f>
        <v>対象外</v>
      </c>
    </row>
    <row r="549">
      <c r="A549" t="n" s="2909">
        <v>21</v>
      </c>
      <c r="AA549" t="n" s="2909">
        <v>21</v>
      </c>
      <c r="AB549" t="inlineStr" s="2909">
        <is>
          <t>20050401</t>
        </is>
      </c>
      <c r="AD549" t="n" s="2909">
        <v>12</v>
      </c>
      <c r="AE549" t="inlineStr" s="2909">
        <is>
          <t>20070401</t>
        </is>
      </c>
      <c r="AH549" t="n" s="2909">
        <v>0</v>
      </c>
      <c r="AJ549" t="n" s="2909">
        <v>10</v>
      </c>
      <c r="AP549" t="n" s="2909">
        <v>1</v>
      </c>
      <c r="DB549" s="2909" t="str">
        <f>IF($A549="","",IF(AND($A549=21,$AE549&amp;""="00000000"),IF($AH549=20,"病院",IF($AH549=5,"消防","市長")),"対象外"))</f>
        <v>対象外</v>
      </c>
    </row>
    <row r="550">
      <c r="A550" t="n" s="2909">
        <v>21</v>
      </c>
      <c r="AA550" t="n" s="2909">
        <v>24</v>
      </c>
      <c r="AB550" t="inlineStr" s="2909">
        <is>
          <t>20140401</t>
        </is>
      </c>
      <c r="AD550" t="n" s="2909">
        <v>12</v>
      </c>
      <c r="AE550" t="inlineStr" s="2909">
        <is>
          <t>20210401</t>
        </is>
      </c>
      <c r="AH550" t="n" s="2909">
        <v>20</v>
      </c>
      <c r="AJ550" t="n" s="2909">
        <v>10</v>
      </c>
      <c r="AP550" t="n" s="2909">
        <v>470000</v>
      </c>
      <c r="DB550" s="2909" t="str">
        <f>IF($A550="","",IF(AND($A550=21,$AE550&amp;""="00000000"),IF($AH550=20,"病院",IF($AH550=5,"消防","市長")),"対象外"))</f>
        <v>対象外</v>
      </c>
    </row>
    <row r="551">
      <c r="A551" t="n" s="2909">
        <v>21</v>
      </c>
      <c r="AA551" t="n" s="2909">
        <v>21</v>
      </c>
      <c r="AB551" t="inlineStr" s="2909">
        <is>
          <t>20080401</t>
        </is>
      </c>
      <c r="AD551" t="n" s="2909">
        <v>12</v>
      </c>
      <c r="AE551" t="inlineStr" s="2909">
        <is>
          <t>20091201</t>
        </is>
      </c>
      <c r="AH551" t="n" s="2909">
        <v>0</v>
      </c>
      <c r="AJ551" t="n" s="2909">
        <v>10</v>
      </c>
      <c r="AP551" t="n" s="2909">
        <v>1</v>
      </c>
      <c r="DB551" s="2909" t="str">
        <f>IF($A551="","",IF(AND($A551=21,$AE551&amp;""="00000000"),IF($AH551=20,"病院",IF($AH551=5,"消防","市長")),"対象外"))</f>
        <v>対象外</v>
      </c>
    </row>
    <row r="552">
      <c r="A552" t="n" s="2909">
        <v>21</v>
      </c>
      <c r="AA552" t="n" s="2909">
        <v>21</v>
      </c>
      <c r="AB552" t="inlineStr" s="2909">
        <is>
          <t>20000401</t>
        </is>
      </c>
      <c r="AD552" t="n" s="2909">
        <v>12</v>
      </c>
      <c r="AE552" t="inlineStr" s="2909">
        <is>
          <t>20090828</t>
        </is>
      </c>
      <c r="AH552" t="n" s="2909">
        <v>0</v>
      </c>
      <c r="AJ552" t="n" s="2909">
        <v>10</v>
      </c>
      <c r="AP552" t="n" s="2909">
        <v>296585</v>
      </c>
      <c r="DB552" s="2909" t="str">
        <f>IF($A552="","",IF(AND($A552=21,$AE552&amp;""="00000000"),IF($AH552=20,"病院",IF($AH552=5,"消防","市長")),"対象外"))</f>
        <v>対象外</v>
      </c>
    </row>
    <row r="553">
      <c r="A553" t="n" s="2909">
        <v>21</v>
      </c>
      <c r="AA553" t="n" s="2909">
        <v>21</v>
      </c>
      <c r="AB553" t="inlineStr" s="2909">
        <is>
          <t>20060401</t>
        </is>
      </c>
      <c r="AD553" t="n" s="2909">
        <v>12</v>
      </c>
      <c r="AE553" t="inlineStr" s="2909">
        <is>
          <t>20121001</t>
        </is>
      </c>
      <c r="AH553" t="n" s="2909">
        <v>0</v>
      </c>
      <c r="AJ553" t="n" s="2909">
        <v>10</v>
      </c>
      <c r="AP553" t="n" s="2909">
        <v>484800</v>
      </c>
      <c r="DB553" s="2909" t="str">
        <f>IF($A553="","",IF(AND($A553=21,$AE553&amp;""="00000000"),IF($AH553=20,"病院",IF($AH553=5,"消防","市長")),"対象外"))</f>
        <v>対象外</v>
      </c>
    </row>
    <row r="554">
      <c r="A554" t="n" s="2909">
        <v>21</v>
      </c>
      <c r="AA554" t="n" s="2909">
        <v>21</v>
      </c>
      <c r="AB554" t="inlineStr" s="2909">
        <is>
          <t>20070109</t>
        </is>
      </c>
      <c r="AD554" t="n" s="2909">
        <v>12</v>
      </c>
      <c r="AE554" t="inlineStr" s="2909">
        <is>
          <t>20091201</t>
        </is>
      </c>
      <c r="AH554" t="n" s="2909">
        <v>0</v>
      </c>
      <c r="AJ554" t="n" s="2909">
        <v>10</v>
      </c>
      <c r="AP554" t="n" s="2909">
        <v>1</v>
      </c>
      <c r="DB554" s="2909" t="str">
        <f>IF($A554="","",IF(AND($A554=21,$AE554&amp;""="00000000"),IF($AH554=20,"病院",IF($AH554=5,"消防","市長")),"対象外"))</f>
        <v>対象外</v>
      </c>
    </row>
    <row r="555">
      <c r="A555" t="n" s="2909">
        <v>31</v>
      </c>
      <c r="AA555" t="n" s="2909">
        <v>21</v>
      </c>
      <c r="AB555" t="inlineStr" s="2909">
        <is>
          <t>20200601</t>
        </is>
      </c>
      <c r="AD555" t="n" s="2909">
        <v>12</v>
      </c>
      <c r="AE555" t="inlineStr" s="2909">
        <is>
          <t>20220715</t>
        </is>
      </c>
      <c r="AH555" t="n" s="2909">
        <v>1</v>
      </c>
      <c r="AJ555" t="n" s="2909">
        <v>10</v>
      </c>
      <c r="AP555" t="n" s="2909">
        <v>200000</v>
      </c>
      <c r="DB555" s="2909" t="str">
        <f>IF($A555="","",IF(AND($A555=21,$AE555&amp;""="00000000"),IF($AH555=20,"病院",IF($AH555=5,"消防","市長")),"対象外"))</f>
        <v>対象外</v>
      </c>
    </row>
    <row r="556">
      <c r="A556" t="n" s="2909">
        <v>21</v>
      </c>
      <c r="AA556" t="n" s="2909">
        <v>21</v>
      </c>
      <c r="AB556" t="inlineStr" s="2909">
        <is>
          <t>19991001</t>
        </is>
      </c>
      <c r="AD556" t="n" s="2909">
        <v>12</v>
      </c>
      <c r="AE556" t="inlineStr" s="2909">
        <is>
          <t>20091201</t>
        </is>
      </c>
      <c r="AH556" t="n" s="2909">
        <v>0</v>
      </c>
      <c r="AJ556" t="n" s="2909">
        <v>10</v>
      </c>
      <c r="AP556" t="n" s="2909">
        <v>1</v>
      </c>
      <c r="DB556" s="2909" t="str">
        <f>IF($A556="","",IF(AND($A556=21,$AE556&amp;""="00000000"),IF($AH556=20,"病院",IF($AH556=5,"消防","市長")),"対象外"))</f>
        <v>対象外</v>
      </c>
    </row>
    <row r="557">
      <c r="A557" t="n" s="2909">
        <v>21</v>
      </c>
      <c r="AA557" t="n" s="2909">
        <v>21</v>
      </c>
      <c r="AB557" t="inlineStr" s="2909">
        <is>
          <t>20091002</t>
        </is>
      </c>
      <c r="AD557" t="n" s="2909">
        <v>12</v>
      </c>
      <c r="AE557" t="inlineStr" s="2909">
        <is>
          <t>20091201</t>
        </is>
      </c>
      <c r="AH557" t="n" s="2909">
        <v>0</v>
      </c>
      <c r="AJ557" t="n" s="2909">
        <v>10</v>
      </c>
      <c r="AP557" t="n" s="2909">
        <v>138390</v>
      </c>
      <c r="DB557" s="2909" t="str">
        <f>IF($A557="","",IF(AND($A557=21,$AE557&amp;""="00000000"),IF($AH557=20,"病院",IF($AH557=5,"消防","市長")),"対象外"))</f>
        <v>対象外</v>
      </c>
    </row>
    <row r="558">
      <c r="A558" t="n" s="2909">
        <v>21</v>
      </c>
      <c r="AA558" t="n" s="2909">
        <v>21</v>
      </c>
      <c r="AB558" t="inlineStr" s="2909">
        <is>
          <t>19860401</t>
        </is>
      </c>
      <c r="AD558" t="n" s="2909">
        <v>12</v>
      </c>
      <c r="AE558" t="inlineStr" s="2909">
        <is>
          <t>20151001</t>
        </is>
      </c>
      <c r="AH558" t="n" s="2909">
        <v>20</v>
      </c>
      <c r="AJ558" t="n" s="2909">
        <v>10</v>
      </c>
      <c r="AP558" t="n" s="2909">
        <v>377800</v>
      </c>
      <c r="DB558" s="2909" t="str">
        <f>IF($A558="","",IF(AND($A558=21,$AE558&amp;""="00000000"),IF($AH558=20,"病院",IF($AH558=5,"消防","市長")),"対象外"))</f>
        <v>対象外</v>
      </c>
    </row>
    <row r="559">
      <c r="A559" t="n" s="2909">
        <v>21</v>
      </c>
      <c r="AA559" t="n" s="2909">
        <v>21</v>
      </c>
      <c r="AB559" t="inlineStr" s="2909">
        <is>
          <t>20160401</t>
        </is>
      </c>
      <c r="AD559" t="n" s="2909">
        <v>12</v>
      </c>
      <c r="AE559" t="inlineStr" s="2909">
        <is>
          <t>20190901</t>
        </is>
      </c>
      <c r="AH559" t="n" s="2909">
        <v>20</v>
      </c>
      <c r="AJ559" t="n" s="2909">
        <v>10</v>
      </c>
      <c r="AP559" t="n" s="2909">
        <v>280000</v>
      </c>
      <c r="DB559" s="2909" t="str">
        <f>IF($A559="","",IF(AND($A559=21,$AE559&amp;""="00000000"),IF($AH559=20,"病院",IF($AH559=5,"消防","市長")),"対象外"))</f>
        <v>対象外</v>
      </c>
    </row>
    <row r="560">
      <c r="A560" t="n" s="2909">
        <v>21</v>
      </c>
      <c r="AA560" t="n" s="2909">
        <v>21</v>
      </c>
      <c r="AB560" t="inlineStr" s="2909">
        <is>
          <t>20050425</t>
        </is>
      </c>
      <c r="AD560" t="n" s="2909">
        <v>12</v>
      </c>
      <c r="AE560" t="inlineStr" s="2909">
        <is>
          <t>20240401</t>
        </is>
      </c>
      <c r="AH560" t="n" s="2909">
        <v>1</v>
      </c>
      <c r="AJ560" t="n" s="2909">
        <v>10</v>
      </c>
      <c r="AP560" t="n" s="2909">
        <v>560000</v>
      </c>
      <c r="DB560" s="2909" t="str">
        <f>IF($A560="","",IF(AND($A560=21,$AE560&amp;""="00000000"),IF($AH560=20,"病院",IF($AH560=5,"消防","市長")),"対象外"))</f>
        <v>対象外</v>
      </c>
    </row>
    <row r="561">
      <c r="A561" t="n" s="2909">
        <v>21</v>
      </c>
      <c r="AA561" t="n" s="2909">
        <v>21</v>
      </c>
      <c r="AB561" t="inlineStr" s="2909">
        <is>
          <t>20091002</t>
        </is>
      </c>
      <c r="AD561" t="n" s="2909">
        <v>12</v>
      </c>
      <c r="AE561" t="inlineStr" s="2909">
        <is>
          <t>20091201</t>
        </is>
      </c>
      <c r="AH561" t="n" s="2909">
        <v>0</v>
      </c>
      <c r="AJ561" t="n" s="2909">
        <v>10</v>
      </c>
      <c r="AP561" t="n" s="2909">
        <v>137760</v>
      </c>
      <c r="DB561" s="2909" t="str">
        <f>IF($A561="","",IF(AND($A561=21,$AE561&amp;""="00000000"),IF($AH561=20,"病院",IF($AH561=5,"消防","市長")),"対象外"))</f>
        <v>対象外</v>
      </c>
    </row>
    <row r="562">
      <c r="A562" t="n" s="2909">
        <v>21</v>
      </c>
      <c r="AA562" t="n" s="2909">
        <v>21</v>
      </c>
      <c r="AB562" t="inlineStr" s="2909">
        <is>
          <t>19840401</t>
        </is>
      </c>
      <c r="AD562" t="n" s="2909">
        <v>12</v>
      </c>
      <c r="AE562" t="inlineStr" s="2909">
        <is>
          <t>20130921</t>
        </is>
      </c>
      <c r="AH562" t="n" s="2909">
        <v>0</v>
      </c>
      <c r="AJ562" t="n" s="2909">
        <v>10</v>
      </c>
      <c r="AP562" t="n" s="2909">
        <v>347119</v>
      </c>
      <c r="DB562" s="2909" t="str">
        <f>IF($A562="","",IF(AND($A562=21,$AE562&amp;""="00000000"),IF($AH562=20,"病院",IF($AH562=5,"消防","市長")),"対象外"))</f>
        <v>対象外</v>
      </c>
    </row>
    <row r="563">
      <c r="A563" t="n" s="2909">
        <v>21</v>
      </c>
      <c r="AA563" t="n" s="2909">
        <v>24</v>
      </c>
      <c r="AB563" t="inlineStr" s="2909">
        <is>
          <t>20080107</t>
        </is>
      </c>
      <c r="AD563" t="n" s="2909">
        <v>12</v>
      </c>
      <c r="AE563" t="inlineStr" s="2909">
        <is>
          <t>20080401</t>
        </is>
      </c>
      <c r="AH563" t="n" s="2909">
        <v>0</v>
      </c>
      <c r="AJ563" t="n" s="2909">
        <v>10</v>
      </c>
      <c r="AP563" t="n" s="2909">
        <v>1</v>
      </c>
      <c r="DB563" s="2909" t="str">
        <f>IF($A563="","",IF(AND($A563=21,$AE563&amp;""="00000000"),IF($AH563=20,"病院",IF($AH563=5,"消防","市長")),"対象外"))</f>
        <v>対象外</v>
      </c>
    </row>
    <row r="564">
      <c r="A564" t="n" s="2909">
        <v>31</v>
      </c>
      <c r="AA564" t="n" s="2909">
        <v>21</v>
      </c>
      <c r="AB564" t="inlineStr" s="2909">
        <is>
          <t>20221001</t>
        </is>
      </c>
      <c r="AD564" t="n" s="2909">
        <v>12</v>
      </c>
      <c r="AE564" t="inlineStr" s="2909">
        <is>
          <t>20240401</t>
        </is>
      </c>
      <c r="AH564" t="n" s="2909">
        <v>1</v>
      </c>
      <c r="AJ564" t="n" s="2909">
        <v>41</v>
      </c>
      <c r="AP564" t="n" s="2909">
        <v>150000</v>
      </c>
      <c r="DB564" s="2909" t="str">
        <f>IF($A564="","",IF(AND($A564=21,$AE564&amp;""="00000000"),IF($AH564=20,"病院",IF($AH564=5,"消防","市長")),"対象外"))</f>
        <v>対象外</v>
      </c>
    </row>
    <row r="565">
      <c r="A565" t="n" s="2909">
        <v>21</v>
      </c>
      <c r="AA565" t="n" s="2909">
        <v>21</v>
      </c>
      <c r="AB565" t="inlineStr" s="2909">
        <is>
          <t>20120401</t>
        </is>
      </c>
      <c r="AD565" t="n" s="2909">
        <v>12</v>
      </c>
      <c r="AE565" t="inlineStr" s="2909">
        <is>
          <t>20150106</t>
        </is>
      </c>
      <c r="AH565" t="n" s="2909">
        <v>11</v>
      </c>
      <c r="AJ565" t="n" s="2909">
        <v>10</v>
      </c>
      <c r="AP565" t="n" s="2909">
        <v>410600</v>
      </c>
      <c r="DB565" s="2909" t="str">
        <f>IF($A565="","",IF(AND($A565=21,$AE565&amp;""="00000000"),IF($AH565=20,"病院",IF($AH565=5,"消防","市長")),"対象外"))</f>
        <v>対象外</v>
      </c>
    </row>
    <row r="566">
      <c r="A566" t="n" s="2909">
        <v>21</v>
      </c>
      <c r="AA566" t="n" s="2909">
        <v>21</v>
      </c>
      <c r="AB566" t="inlineStr" s="2909">
        <is>
          <t>20030901</t>
        </is>
      </c>
      <c r="AD566" t="n" s="2909">
        <v>12</v>
      </c>
      <c r="AE566" t="inlineStr" s="2909">
        <is>
          <t>20091201</t>
        </is>
      </c>
      <c r="AH566" t="n" s="2909">
        <v>0</v>
      </c>
      <c r="AJ566" t="n" s="2909">
        <v>10</v>
      </c>
      <c r="AP566" t="n" s="2909">
        <v>1</v>
      </c>
      <c r="DB566" s="2909" t="str">
        <f>IF($A566="","",IF(AND($A566=21,$AE566&amp;""="00000000"),IF($AH566=20,"病院",IF($AH566=5,"消防","市長")),"対象外"))</f>
        <v>対象外</v>
      </c>
    </row>
    <row r="567">
      <c r="A567" t="n" s="2909">
        <v>21</v>
      </c>
      <c r="AA567" t="n" s="2909">
        <v>21</v>
      </c>
      <c r="AB567" t="inlineStr" s="2909">
        <is>
          <t>20090630</t>
        </is>
      </c>
      <c r="AD567" t="n" s="2909">
        <v>12</v>
      </c>
      <c r="AE567" t="inlineStr" s="2909">
        <is>
          <t>20091201</t>
        </is>
      </c>
      <c r="AH567" t="n" s="2909">
        <v>0</v>
      </c>
      <c r="AJ567" t="n" s="2909">
        <v>10</v>
      </c>
      <c r="AP567" t="n" s="2909">
        <v>125160</v>
      </c>
      <c r="DB567" s="2909" t="str">
        <f>IF($A567="","",IF(AND($A567=21,$AE567&amp;""="00000000"),IF($AH567=20,"病院",IF($AH567=5,"消防","市長")),"対象外"))</f>
        <v>対象外</v>
      </c>
    </row>
    <row r="568">
      <c r="A568" t="n" s="2909">
        <v>21</v>
      </c>
      <c r="AA568" t="n" s="2909">
        <v>21</v>
      </c>
      <c r="AB568" t="inlineStr" s="2909">
        <is>
          <t>20020401</t>
        </is>
      </c>
      <c r="AD568" t="n" s="2909">
        <v>12</v>
      </c>
      <c r="AE568" t="inlineStr" s="2909">
        <is>
          <t>20091201</t>
        </is>
      </c>
      <c r="AH568" t="n" s="2909">
        <v>0</v>
      </c>
      <c r="AJ568" t="n" s="2909">
        <v>10</v>
      </c>
      <c r="AP568" t="n" s="2909">
        <v>1</v>
      </c>
      <c r="DB568" s="2909" t="str">
        <f>IF($A568="","",IF(AND($A568=21,$AE568&amp;""="00000000"),IF($AH568=20,"病院",IF($AH568=5,"消防","市長")),"対象外"))</f>
        <v>対象外</v>
      </c>
    </row>
    <row r="569">
      <c r="A569" t="n" s="2909">
        <v>21</v>
      </c>
      <c r="AA569" t="n" s="2909">
        <v>21</v>
      </c>
      <c r="AB569" t="inlineStr" s="2909">
        <is>
          <t>20080703</t>
        </is>
      </c>
      <c r="AD569" t="n" s="2909">
        <v>12</v>
      </c>
      <c r="AE569" t="inlineStr" s="2909">
        <is>
          <t>20081101</t>
        </is>
      </c>
      <c r="AH569" t="n" s="2909">
        <v>0</v>
      </c>
      <c r="AJ569" t="n" s="2909">
        <v>10</v>
      </c>
      <c r="AP569" t="n" s="2909">
        <v>1</v>
      </c>
      <c r="DB569" s="2909" t="str">
        <f>IF($A569="","",IF(AND($A569=21,$AE569&amp;""="00000000"),IF($AH569=20,"病院",IF($AH569=5,"消防","市長")),"対象外"))</f>
        <v>対象外</v>
      </c>
    </row>
    <row r="570">
      <c r="A570" t="n" s="2909">
        <v>21</v>
      </c>
      <c r="AA570" t="n" s="2909">
        <v>21</v>
      </c>
      <c r="AB570" t="inlineStr" s="2909">
        <is>
          <t>20090901</t>
        </is>
      </c>
      <c r="AD570" t="n" s="2909">
        <v>12</v>
      </c>
      <c r="AE570" t="inlineStr" s="2909">
        <is>
          <t>20091201</t>
        </is>
      </c>
      <c r="AH570" t="n" s="2909">
        <v>0</v>
      </c>
      <c r="AJ570" t="n" s="2909">
        <v>10</v>
      </c>
      <c r="AP570" t="n" s="2909">
        <v>128400</v>
      </c>
      <c r="DB570" s="2909" t="str">
        <f>IF($A570="","",IF(AND($A570=21,$AE570&amp;""="00000000"),IF($AH570=20,"病院",IF($AH570=5,"消防","市長")),"対象外"))</f>
        <v>対象外</v>
      </c>
    </row>
    <row r="571">
      <c r="A571" t="n" s="2909">
        <v>21</v>
      </c>
      <c r="AA571" t="n" s="2909">
        <v>21</v>
      </c>
      <c r="AB571" t="inlineStr" s="2909">
        <is>
          <t>19870501</t>
        </is>
      </c>
      <c r="AD571" t="n" s="2909">
        <v>12</v>
      </c>
      <c r="AE571" t="inlineStr" s="2909">
        <is>
          <t>20250401</t>
        </is>
      </c>
      <c r="AH571" t="n" s="2909">
        <v>1</v>
      </c>
      <c r="AJ571" t="n" s="2909">
        <v>10</v>
      </c>
      <c r="AP571" t="n" s="2909">
        <v>530000</v>
      </c>
      <c r="DB571" s="2909" t="str">
        <f>IF($A571="","",IF(AND($A571=21,$AE571&amp;""="00000000"),IF($AH571=20,"病院",IF($AH571=5,"消防","市長")),"対象外"))</f>
        <v>対象外</v>
      </c>
    </row>
    <row r="572">
      <c r="A572" t="n" s="2909">
        <v>21</v>
      </c>
      <c r="AA572" t="n" s="2909">
        <v>21</v>
      </c>
      <c r="AB572" t="inlineStr" s="2909">
        <is>
          <t>20090401</t>
        </is>
      </c>
      <c r="AD572" t="n" s="2909">
        <v>12</v>
      </c>
      <c r="AE572" t="inlineStr" s="2909">
        <is>
          <t>20120401</t>
        </is>
      </c>
      <c r="AH572" t="n" s="2909">
        <v>0</v>
      </c>
      <c r="AJ572" t="n" s="2909">
        <v>10</v>
      </c>
      <c r="AP572" t="n" s="2909">
        <v>381700</v>
      </c>
      <c r="DB572" s="2909" t="str">
        <f>IF($A572="","",IF(AND($A572=21,$AE572&amp;""="00000000"),IF($AH572=20,"病院",IF($AH572=5,"消防","市長")),"対象外"))</f>
        <v>対象外</v>
      </c>
    </row>
    <row r="573">
      <c r="A573" t="n" s="2909">
        <v>21</v>
      </c>
      <c r="AA573" t="n" s="2909">
        <v>21</v>
      </c>
      <c r="AB573" t="inlineStr" s="2909">
        <is>
          <t>20000401</t>
        </is>
      </c>
      <c r="AD573" t="n" s="2909">
        <v>12</v>
      </c>
      <c r="AE573" t="inlineStr" s="2909">
        <is>
          <t>20091201</t>
        </is>
      </c>
      <c r="AH573" t="n" s="2909">
        <v>0</v>
      </c>
      <c r="AJ573" t="n" s="2909">
        <v>10</v>
      </c>
      <c r="AP573" t="n" s="2909">
        <v>1</v>
      </c>
      <c r="DB573" s="2909" t="str">
        <f>IF($A573="","",IF(AND($A573=21,$AE573&amp;""="00000000"),IF($AH573=20,"病院",IF($AH573=5,"消防","市長")),"対象外"))</f>
        <v>対象外</v>
      </c>
    </row>
    <row r="574">
      <c r="A574" t="n" s="2909">
        <v>21</v>
      </c>
      <c r="AA574" t="n" s="2909">
        <v>21</v>
      </c>
      <c r="AB574" t="inlineStr" s="2909">
        <is>
          <t>19870701</t>
        </is>
      </c>
      <c r="AD574" t="n" s="2909">
        <v>12</v>
      </c>
      <c r="AE574" t="inlineStr" s="2909">
        <is>
          <t>20130101</t>
        </is>
      </c>
      <c r="AH574" t="n" s="2909">
        <v>0</v>
      </c>
      <c r="AJ574" t="n" s="2909">
        <v>10</v>
      </c>
      <c r="AP574" t="n" s="2909">
        <v>354400</v>
      </c>
      <c r="DB574" s="2909" t="str">
        <f>IF($A574="","",IF(AND($A574=21,$AE574&amp;""="00000000"),IF($AH574=20,"病院",IF($AH574=5,"消防","市長")),"対象外"))</f>
        <v>対象外</v>
      </c>
    </row>
    <row r="575">
      <c r="A575" t="n" s="2909">
        <v>21</v>
      </c>
      <c r="AA575" t="n" s="2909">
        <v>21</v>
      </c>
      <c r="AB575" t="inlineStr" s="2909">
        <is>
          <t>19890401</t>
        </is>
      </c>
      <c r="AD575" t="n" s="2909">
        <v>12</v>
      </c>
      <c r="AE575" t="inlineStr" s="2909">
        <is>
          <t>20250401</t>
        </is>
      </c>
      <c r="AH575" t="n" s="2909">
        <v>1</v>
      </c>
      <c r="AJ575" t="n" s="2909">
        <v>10</v>
      </c>
      <c r="AP575" t="n" s="2909">
        <v>470000</v>
      </c>
      <c r="DB575" s="2909" t="str">
        <f>IF($A575="","",IF(AND($A575=21,$AE575&amp;""="00000000"),IF($AH575=20,"病院",IF($AH575=5,"消防","市長")),"対象外"))</f>
        <v>対象外</v>
      </c>
    </row>
    <row r="576">
      <c r="A576" t="n" s="2909">
        <v>31</v>
      </c>
      <c r="AA576" t="n" s="2909">
        <v>21</v>
      </c>
      <c r="AB576" t="inlineStr" s="2909">
        <is>
          <t>20221001</t>
        </is>
      </c>
      <c r="AD576" t="n" s="2909">
        <v>12</v>
      </c>
      <c r="AE576" t="inlineStr" s="2909">
        <is>
          <t>20230930</t>
        </is>
      </c>
      <c r="AH576" t="n" s="2909">
        <v>1</v>
      </c>
      <c r="AJ576" t="n" s="2909">
        <v>41</v>
      </c>
      <c r="AP576" t="n" s="2909">
        <v>110000</v>
      </c>
      <c r="DB576" s="2909" t="str">
        <f>IF($A576="","",IF(AND($A576=21,$AE576&amp;""="00000000"),IF($AH576=20,"病院",IF($AH576=5,"消防","市長")),"対象外"))</f>
        <v>対象外</v>
      </c>
    </row>
    <row r="577">
      <c r="A577" t="n" s="2909">
        <v>31</v>
      </c>
      <c r="AA577" t="n" s="2909">
        <v>21</v>
      </c>
      <c r="AB577" t="inlineStr" s="2909">
        <is>
          <t>20221001</t>
        </is>
      </c>
      <c r="AD577" t="n" s="2909">
        <v>12</v>
      </c>
      <c r="AE577" t="inlineStr" s="2909">
        <is>
          <t>20250101</t>
        </is>
      </c>
      <c r="AH577" t="n" s="2909">
        <v>20</v>
      </c>
      <c r="AJ577" t="n" s="2909">
        <v>41</v>
      </c>
      <c r="AP577" t="n" s="2909">
        <v>150000</v>
      </c>
      <c r="DB577" s="2909" t="str">
        <f>IF($A577="","",IF(AND($A577=21,$AE577&amp;""="00000000"),IF($AH577=20,"病院",IF($AH577=5,"消防","市長")),"対象外"))</f>
        <v>対象外</v>
      </c>
    </row>
    <row r="578">
      <c r="A578" t="n" s="2909">
        <v>21</v>
      </c>
      <c r="AA578" t="n" s="2909">
        <v>21</v>
      </c>
      <c r="AB578" t="inlineStr" s="2909">
        <is>
          <t>20091002</t>
        </is>
      </c>
      <c r="AD578" t="n" s="2909">
        <v>12</v>
      </c>
      <c r="AE578" t="inlineStr" s="2909">
        <is>
          <t>20091201</t>
        </is>
      </c>
      <c r="AH578" t="n" s="2909">
        <v>0</v>
      </c>
      <c r="AJ578" t="n" s="2909">
        <v>10</v>
      </c>
      <c r="AP578" t="n" s="2909">
        <v>134400</v>
      </c>
      <c r="DB578" s="2909" t="str">
        <f>IF($A578="","",IF(AND($A578=21,$AE578&amp;""="00000000"),IF($AH578=20,"病院",IF($AH578=5,"消防","市長")),"対象外"))</f>
        <v>対象外</v>
      </c>
    </row>
    <row r="579">
      <c r="A579" t="n" s="2909">
        <v>21</v>
      </c>
      <c r="AA579" t="n" s="2909">
        <v>21</v>
      </c>
      <c r="AB579" t="inlineStr" s="2909">
        <is>
          <t>20091002</t>
        </is>
      </c>
      <c r="AD579" t="n" s="2909">
        <v>12</v>
      </c>
      <c r="AE579" t="inlineStr" s="2909">
        <is>
          <t>20091201</t>
        </is>
      </c>
      <c r="AH579" t="n" s="2909">
        <v>0</v>
      </c>
      <c r="AJ579" t="n" s="2909">
        <v>10</v>
      </c>
      <c r="AP579" t="n" s="2909">
        <v>137760</v>
      </c>
      <c r="DB579" s="2909" t="str">
        <f>IF($A579="","",IF(AND($A579=21,$AE579&amp;""="00000000"),IF($AH579=20,"病院",IF($AH579=5,"消防","市長")),"対象外"))</f>
        <v>対象外</v>
      </c>
    </row>
    <row r="580">
      <c r="A580" t="n" s="2909">
        <v>21</v>
      </c>
      <c r="AA580" t="n" s="2909">
        <v>21</v>
      </c>
      <c r="AB580" t="inlineStr" s="2909">
        <is>
          <t>20170401</t>
        </is>
      </c>
      <c r="AD580" t="n" s="2909">
        <v>12</v>
      </c>
      <c r="AE580" t="inlineStr" s="2909">
        <is>
          <t>20190401</t>
        </is>
      </c>
      <c r="AH580" t="n" s="2909">
        <v>1</v>
      </c>
      <c r="AJ580" t="n" s="2909">
        <v>10</v>
      </c>
      <c r="AP580" t="n" s="2909">
        <v>470000</v>
      </c>
      <c r="DB580" s="2909" t="str">
        <f>IF($A580="","",IF(AND($A580=21,$AE580&amp;""="00000000"),IF($AH580=20,"病院",IF($AH580=5,"消防","市長")),"対象外"))</f>
        <v>対象外</v>
      </c>
    </row>
    <row r="581">
      <c r="A581" t="n" s="2909">
        <v>21</v>
      </c>
      <c r="AA581" t="n" s="2909">
        <v>21</v>
      </c>
      <c r="AB581" t="inlineStr" s="2909">
        <is>
          <t>20080401</t>
        </is>
      </c>
      <c r="AD581" t="n" s="2909">
        <v>12</v>
      </c>
      <c r="AE581" t="inlineStr" s="2909">
        <is>
          <t>20091201</t>
        </is>
      </c>
      <c r="AH581" t="n" s="2909">
        <v>0</v>
      </c>
      <c r="AJ581" t="n" s="2909">
        <v>10</v>
      </c>
      <c r="AP581" t="n" s="2909">
        <v>1</v>
      </c>
      <c r="DB581" s="2909" t="str">
        <f>IF($A581="","",IF(AND($A581=21,$AE581&amp;""="00000000"),IF($AH581=20,"病院",IF($AH581=5,"消防","市長")),"対象外"))</f>
        <v>対象外</v>
      </c>
    </row>
    <row r="582">
      <c r="A582" t="n" s="2909">
        <v>21</v>
      </c>
      <c r="AA582" t="n" s="2909">
        <v>21</v>
      </c>
      <c r="AB582" t="inlineStr" s="2909">
        <is>
          <t>20050401</t>
        </is>
      </c>
      <c r="AD582" t="n" s="2909">
        <v>12</v>
      </c>
      <c r="AE582" t="inlineStr" s="2909">
        <is>
          <t>20091201</t>
        </is>
      </c>
      <c r="AH582" t="n" s="2909">
        <v>0</v>
      </c>
      <c r="AJ582" t="n" s="2909">
        <v>10</v>
      </c>
      <c r="AP582" t="n" s="2909">
        <v>1</v>
      </c>
      <c r="DB582" s="2909" t="str">
        <f>IF($A582="","",IF(AND($A582=21,$AE582&amp;""="00000000"),IF($AH582=20,"病院",IF($AH582=5,"消防","市長")),"対象外"))</f>
        <v>対象外</v>
      </c>
    </row>
    <row r="583">
      <c r="A583" t="n" s="2909">
        <v>21</v>
      </c>
      <c r="AA583" t="n" s="2909">
        <v>21</v>
      </c>
      <c r="AB583" t="inlineStr" s="2909">
        <is>
          <t>19920401</t>
        </is>
      </c>
      <c r="AD583" t="n" s="2909">
        <v>12</v>
      </c>
      <c r="AE583" t="inlineStr" s="2909">
        <is>
          <t>20210401</t>
        </is>
      </c>
      <c r="AH583" t="n" s="2909">
        <v>20</v>
      </c>
      <c r="AJ583" t="n" s="2909">
        <v>10</v>
      </c>
      <c r="AP583" t="n" s="2909">
        <v>560000</v>
      </c>
      <c r="DB583" s="2909" t="str">
        <f>IF($A583="","",IF(AND($A583=21,$AE583&amp;""="00000000"),IF($AH583=20,"病院",IF($AH583=5,"消防","市長")),"対象外"))</f>
        <v>対象外</v>
      </c>
    </row>
    <row r="584">
      <c r="A584" t="n" s="2909">
        <v>21</v>
      </c>
      <c r="AA584" t="n" s="2909">
        <v>21</v>
      </c>
      <c r="AB584" t="inlineStr" s="2909">
        <is>
          <t>19880401</t>
        </is>
      </c>
      <c r="AD584" t="n" s="2909">
        <v>12</v>
      </c>
      <c r="AE584" t="inlineStr" s="2909">
        <is>
          <t>20220101</t>
        </is>
      </c>
      <c r="AH584" t="n" s="2909">
        <v>1</v>
      </c>
      <c r="AJ584" t="n" s="2909">
        <v>10</v>
      </c>
      <c r="AP584" t="n" s="2909">
        <v>500000</v>
      </c>
      <c r="DB584" s="2909" t="str">
        <f>IF($A584="","",IF(AND($A584=21,$AE584&amp;""="00000000"),IF($AH584=20,"病院",IF($AH584=5,"消防","市長")),"対象外"))</f>
        <v>対象外</v>
      </c>
    </row>
    <row r="585">
      <c r="A585" t="n" s="2909">
        <v>31</v>
      </c>
      <c r="AA585" t="n" s="2909">
        <v>21</v>
      </c>
      <c r="AB585" t="inlineStr" s="2909">
        <is>
          <t>20200401</t>
        </is>
      </c>
      <c r="AD585" t="n" s="2909">
        <v>12</v>
      </c>
      <c r="AE585" t="inlineStr" s="2909">
        <is>
          <t>20220401</t>
        </is>
      </c>
      <c r="AH585" t="n" s="2909">
        <v>1</v>
      </c>
      <c r="AJ585" t="n" s="2909">
        <v>10</v>
      </c>
      <c r="AP585" t="n" s="2909">
        <v>220000</v>
      </c>
      <c r="DB585" s="2909" t="str">
        <f>IF($A585="","",IF(AND($A585=21,$AE585&amp;""="00000000"),IF($AH585=20,"病院",IF($AH585=5,"消防","市長")),"対象外"))</f>
        <v>対象外</v>
      </c>
    </row>
    <row r="586">
      <c r="A586" t="n" s="2909">
        <v>21</v>
      </c>
      <c r="AA586" t="n" s="2909">
        <v>21</v>
      </c>
      <c r="AB586" t="inlineStr" s="2909">
        <is>
          <t>20010401</t>
        </is>
      </c>
      <c r="AD586" t="n" s="2909">
        <v>12</v>
      </c>
      <c r="AE586" t="inlineStr" s="2909">
        <is>
          <t>20091201</t>
        </is>
      </c>
      <c r="AH586" t="n" s="2909">
        <v>0</v>
      </c>
      <c r="AJ586" t="n" s="2909">
        <v>10</v>
      </c>
      <c r="AP586" t="n" s="2909">
        <v>1</v>
      </c>
      <c r="DB586" s="2909" t="str">
        <f>IF($A586="","",IF(AND($A586=21,$AE586&amp;""="00000000"),IF($AH586=20,"病院",IF($AH586=5,"消防","市長")),"対象外"))</f>
        <v>対象外</v>
      </c>
    </row>
    <row r="587">
      <c r="A587" t="n" s="2909">
        <v>31</v>
      </c>
      <c r="AA587" t="n" s="2909">
        <v>24</v>
      </c>
      <c r="AB587" t="inlineStr" s="2909">
        <is>
          <t>20250401</t>
        </is>
      </c>
      <c r="AD587" t="n" s="2909">
        <v>12</v>
      </c>
      <c r="AE587" t="inlineStr" s="2909">
        <is>
          <t>20250616</t>
        </is>
      </c>
      <c r="AH587" t="n" s="2909">
        <v>1</v>
      </c>
      <c r="AJ587" t="n" s="2909">
        <v>41</v>
      </c>
      <c r="AP587" t="n" s="2909">
        <v>142000</v>
      </c>
      <c r="DB587" s="2909" t="str">
        <f>IF($A587="","",IF(AND($A587=21,$AE587&amp;""="00000000"),IF($AH587=20,"病院",IF($AH587=5,"消防","市長")),"対象外"))</f>
        <v>対象外</v>
      </c>
    </row>
    <row r="588">
      <c r="A588" t="n" s="2909">
        <v>21</v>
      </c>
      <c r="AA588" t="n" s="2909">
        <v>24</v>
      </c>
      <c r="AB588" t="inlineStr" s="2909">
        <is>
          <t>20090401</t>
        </is>
      </c>
      <c r="AD588" t="n" s="2909">
        <v>12</v>
      </c>
      <c r="AE588" t="inlineStr" s="2909">
        <is>
          <t>20091201</t>
        </is>
      </c>
      <c r="AH588" t="n" s="2909">
        <v>0</v>
      </c>
      <c r="AJ588" t="n" s="2909">
        <v>10</v>
      </c>
      <c r="AP588" t="n" s="2909">
        <v>1</v>
      </c>
      <c r="DB588" s="2909" t="str">
        <f>IF($A588="","",IF(AND($A588=21,$AE588&amp;""="00000000"),IF($AH588=20,"病院",IF($AH588=5,"消防","市長")),"対象外"))</f>
        <v>対象外</v>
      </c>
    </row>
    <row r="589">
      <c r="A589" t="n" s="2909">
        <v>31</v>
      </c>
      <c r="AA589" t="n" s="2909">
        <v>21</v>
      </c>
      <c r="AB589" t="inlineStr" s="2909">
        <is>
          <t>20230501</t>
        </is>
      </c>
      <c r="AD589" t="n" s="2909">
        <v>12</v>
      </c>
      <c r="AE589" t="inlineStr" s="2909">
        <is>
          <t>20230701</t>
        </is>
      </c>
      <c r="AH589" t="n" s="2909">
        <v>1</v>
      </c>
      <c r="AJ589" t="n" s="2909">
        <v>41</v>
      </c>
      <c r="AP589" t="n" s="2909">
        <v>118000</v>
      </c>
      <c r="DB589" s="2909" t="str">
        <f>IF($A589="","",IF(AND($A589=21,$AE589&amp;""="00000000"),IF($AH589=20,"病院",IF($AH589=5,"消防","市長")),"対象外"))</f>
        <v>対象外</v>
      </c>
    </row>
    <row r="590">
      <c r="A590" t="n" s="2909">
        <v>31</v>
      </c>
      <c r="AA590" t="n" s="2909">
        <v>21</v>
      </c>
      <c r="AB590" t="inlineStr" s="2909">
        <is>
          <t>20221001</t>
        </is>
      </c>
      <c r="AD590" t="n" s="2909">
        <v>12</v>
      </c>
      <c r="AE590" t="inlineStr" s="2909">
        <is>
          <t>20250401</t>
        </is>
      </c>
      <c r="AH590" t="n" s="2909">
        <v>1</v>
      </c>
      <c r="AJ590" t="n" s="2909">
        <v>41</v>
      </c>
      <c r="AP590" t="n" s="2909">
        <v>134000</v>
      </c>
      <c r="DB590" s="2909" t="str">
        <f>IF($A590="","",IF(AND($A590=21,$AE590&amp;""="00000000"),IF($AH590=20,"病院",IF($AH590=5,"消防","市長")),"対象外"))</f>
        <v>対象外</v>
      </c>
    </row>
    <row r="591">
      <c r="A591" t="n" s="2909">
        <v>21</v>
      </c>
      <c r="AA591" t="n" s="2909">
        <v>21</v>
      </c>
      <c r="AB591" t="inlineStr" s="2909">
        <is>
          <t>19980401</t>
        </is>
      </c>
      <c r="AD591" t="n" s="2909">
        <v>12</v>
      </c>
      <c r="AE591" t="inlineStr" s="2909">
        <is>
          <t>20250401</t>
        </is>
      </c>
      <c r="AH591" t="n" s="2909">
        <v>1</v>
      </c>
      <c r="AJ591" t="n" s="2909">
        <v>10</v>
      </c>
      <c r="AP591" t="n" s="2909">
        <v>440000</v>
      </c>
      <c r="DB591" s="2909" t="str">
        <f>IF($A591="","",IF(AND($A591=21,$AE591&amp;""="00000000"),IF($AH591=20,"病院",IF($AH591=5,"消防","市長")),"対象外"))</f>
        <v>対象外</v>
      </c>
    </row>
    <row r="592">
      <c r="A592" t="n" s="2909">
        <v>21</v>
      </c>
      <c r="AA592" t="n" s="2909">
        <v>21</v>
      </c>
      <c r="AB592" t="inlineStr" s="2909">
        <is>
          <t>20060401</t>
        </is>
      </c>
      <c r="AD592" t="n" s="2909">
        <v>12</v>
      </c>
      <c r="AE592" t="inlineStr" s="2909">
        <is>
          <t>20091201</t>
        </is>
      </c>
      <c r="AH592" t="n" s="2909">
        <v>0</v>
      </c>
      <c r="AJ592" t="n" s="2909">
        <v>10</v>
      </c>
      <c r="AP592" t="n" s="2909">
        <v>1</v>
      </c>
      <c r="DB592" s="2909" t="str">
        <f>IF($A592="","",IF(AND($A592=21,$AE592&amp;""="00000000"),IF($AH592=20,"病院",IF($AH592=5,"消防","市長")),"対象外"))</f>
        <v>対象外</v>
      </c>
    </row>
    <row r="593">
      <c r="A593" t="n" s="2909">
        <v>21</v>
      </c>
      <c r="AA593" t="n" s="2909">
        <v>24</v>
      </c>
      <c r="AB593" t="inlineStr" s="2909">
        <is>
          <t>20091105</t>
        </is>
      </c>
      <c r="AD593" t="n" s="2909">
        <v>12</v>
      </c>
      <c r="AE593" t="inlineStr" s="2909">
        <is>
          <t>20091201</t>
        </is>
      </c>
      <c r="AH593" t="n" s="2909">
        <v>0</v>
      </c>
      <c r="AJ593" t="n" s="2909">
        <v>10</v>
      </c>
      <c r="AP593" t="n" s="2909">
        <v>180570</v>
      </c>
      <c r="DB593" s="2909" t="str">
        <f>IF($A593="","",IF(AND($A593=21,$AE593&amp;""="00000000"),IF($AH593=20,"病院",IF($AH593=5,"消防","市長")),"対象外"))</f>
        <v>対象外</v>
      </c>
    </row>
    <row r="594">
      <c r="A594" t="n" s="2909">
        <v>31</v>
      </c>
      <c r="AA594" t="n" s="2909">
        <v>21</v>
      </c>
      <c r="AB594" t="inlineStr" s="2909">
        <is>
          <t>20200401</t>
        </is>
      </c>
      <c r="AD594" t="n" s="2909">
        <v>12</v>
      </c>
      <c r="AE594" t="inlineStr" s="2909">
        <is>
          <t>20250401</t>
        </is>
      </c>
      <c r="AH594" t="n" s="2909">
        <v>1</v>
      </c>
      <c r="AJ594" t="n" s="2909">
        <v>10</v>
      </c>
      <c r="AP594" t="n" s="2909">
        <v>240000</v>
      </c>
      <c r="DB594" s="2909" t="str">
        <f>IF($A594="","",IF(AND($A594=21,$AE594&amp;""="00000000"),IF($AH594=20,"病院",IF($AH594=5,"消防","市長")),"対象外"))</f>
        <v>対象外</v>
      </c>
    </row>
    <row r="595">
      <c r="A595" t="n" s="2909">
        <v>21</v>
      </c>
      <c r="AA595" t="n" s="2909">
        <v>21</v>
      </c>
      <c r="AB595" t="inlineStr" s="2909">
        <is>
          <t>20051217</t>
        </is>
      </c>
      <c r="AD595" t="n" s="2909">
        <v>12</v>
      </c>
      <c r="AE595" t="inlineStr" s="2909">
        <is>
          <t>20091201</t>
        </is>
      </c>
      <c r="AH595" t="n" s="2909">
        <v>0</v>
      </c>
      <c r="AJ595" t="n" s="2909">
        <v>10</v>
      </c>
      <c r="AP595" t="n" s="2909">
        <v>1</v>
      </c>
      <c r="DB595" s="2909" t="str">
        <f>IF($A595="","",IF(AND($A595=21,$AE595&amp;""="00000000"),IF($AH595=20,"病院",IF($AH595=5,"消防","市長")),"対象外"))</f>
        <v>対象外</v>
      </c>
    </row>
    <row r="596">
      <c r="A596" t="n" s="2909">
        <v>31</v>
      </c>
      <c r="AA596" t="n" s="2909">
        <v>21</v>
      </c>
      <c r="AB596" t="inlineStr" s="2909">
        <is>
          <t>20240507</t>
        </is>
      </c>
      <c r="AD596" t="n" s="2909">
        <v>12</v>
      </c>
      <c r="AE596" t="inlineStr" s="2909">
        <is>
          <t>20240602</t>
        </is>
      </c>
      <c r="AH596" t="n" s="2909">
        <v>1</v>
      </c>
      <c r="AJ596" t="n" s="2909">
        <v>41</v>
      </c>
      <c r="AP596" t="n" s="2909">
        <v>220000</v>
      </c>
      <c r="DB596" s="2909" t="str">
        <f>IF($A596="","",IF(AND($A596=21,$AE596&amp;""="00000000"),IF($AH596=20,"病院",IF($AH596=5,"消防","市長")),"対象外"))</f>
        <v>対象外</v>
      </c>
    </row>
    <row r="597">
      <c r="A597" t="n" s="2909">
        <v>21</v>
      </c>
      <c r="AA597" t="n" s="2909">
        <v>21</v>
      </c>
      <c r="AB597" t="inlineStr" s="2909">
        <is>
          <t>20030401</t>
        </is>
      </c>
      <c r="AD597" t="n" s="2909">
        <v>12</v>
      </c>
      <c r="AE597" t="inlineStr" s="2909">
        <is>
          <t>20091201</t>
        </is>
      </c>
      <c r="AH597" t="n" s="2909">
        <v>0</v>
      </c>
      <c r="AJ597" t="n" s="2909">
        <v>10</v>
      </c>
      <c r="AP597" t="n" s="2909">
        <v>1</v>
      </c>
      <c r="DB597" s="2909" t="str">
        <f>IF($A597="","",IF(AND($A597=21,$AE597&amp;""="00000000"),IF($AH597=20,"病院",IF($AH597=5,"消防","市長")),"対象外"))</f>
        <v>対象外</v>
      </c>
    </row>
    <row r="598">
      <c r="A598" t="n" s="2909">
        <v>21</v>
      </c>
      <c r="AA598" t="n" s="2909">
        <v>24</v>
      </c>
      <c r="AB598" t="inlineStr" s="2909">
        <is>
          <t>20090126</t>
        </is>
      </c>
      <c r="AD598" t="n" s="2909">
        <v>12</v>
      </c>
      <c r="AE598" t="inlineStr" s="2909">
        <is>
          <t>20090401</t>
        </is>
      </c>
      <c r="AH598" t="n" s="2909">
        <v>0</v>
      </c>
      <c r="AJ598" t="n" s="2909">
        <v>10</v>
      </c>
      <c r="AP598" t="n" s="2909">
        <v>128000</v>
      </c>
      <c r="DB598" s="2909" t="str">
        <f>IF($A598="","",IF(AND($A598=21,$AE598&amp;""="00000000"),IF($AH598=20,"病院",IF($AH598=5,"消防","市長")),"対象外"))</f>
        <v>対象外</v>
      </c>
    </row>
    <row r="599">
      <c r="A599" t="n" s="2909">
        <v>21</v>
      </c>
      <c r="AA599" t="n" s="2909">
        <v>21</v>
      </c>
      <c r="AB599" t="inlineStr" s="2909">
        <is>
          <t>20070401</t>
        </is>
      </c>
      <c r="AD599" t="n" s="2909">
        <v>12</v>
      </c>
      <c r="AE599" t="inlineStr" s="2909">
        <is>
          <t>20091201</t>
        </is>
      </c>
      <c r="AH599" t="n" s="2909">
        <v>0</v>
      </c>
      <c r="AJ599" t="n" s="2909">
        <v>10</v>
      </c>
      <c r="AP599" t="n" s="2909">
        <v>1</v>
      </c>
      <c r="DB599" s="2909" t="str">
        <f>IF($A599="","",IF(AND($A599=21,$AE599&amp;""="00000000"),IF($AH599=20,"病院",IF($AH599=5,"消防","市長")),"対象外"))</f>
        <v>対象外</v>
      </c>
    </row>
    <row r="600">
      <c r="A600" t="n" s="2909">
        <v>21</v>
      </c>
      <c r="AA600" t="n" s="2909">
        <v>21</v>
      </c>
      <c r="AB600" t="inlineStr" s="2909">
        <is>
          <t>20040401</t>
        </is>
      </c>
      <c r="AD600" t="n" s="2909">
        <v>12</v>
      </c>
      <c r="AE600" t="inlineStr" s="2909">
        <is>
          <t>20091201</t>
        </is>
      </c>
      <c r="AH600" t="n" s="2909">
        <v>0</v>
      </c>
      <c r="AJ600" t="n" s="2909">
        <v>10</v>
      </c>
      <c r="AP600" t="n" s="2909">
        <v>1</v>
      </c>
      <c r="DB600" s="2909" t="str">
        <f>IF($A600="","",IF(AND($A600=21,$AE600&amp;""="00000000"),IF($AH600=20,"病院",IF($AH600=5,"消防","市長")),"対象外"))</f>
        <v>対象外</v>
      </c>
    </row>
    <row r="601">
      <c r="A601" t="n" s="2909">
        <v>21</v>
      </c>
      <c r="AA601" t="n" s="2909">
        <v>21</v>
      </c>
      <c r="AB601" t="inlineStr" s="2909">
        <is>
          <t>20051024</t>
        </is>
      </c>
      <c r="AD601" t="n" s="2909">
        <v>12</v>
      </c>
      <c r="AE601" t="inlineStr" s="2909">
        <is>
          <t>20091201</t>
        </is>
      </c>
      <c r="AH601" t="n" s="2909">
        <v>0</v>
      </c>
      <c r="AJ601" t="n" s="2909">
        <v>10</v>
      </c>
      <c r="AP601" t="n" s="2909">
        <v>1</v>
      </c>
      <c r="DB601" s="2909" t="str">
        <f>IF($A601="","",IF(AND($A601=21,$AE601&amp;""="00000000"),IF($AH601=20,"病院",IF($AH601=5,"消防","市長")),"対象外"))</f>
        <v>対象外</v>
      </c>
    </row>
    <row r="602">
      <c r="A602" t="n" s="2909">
        <v>21</v>
      </c>
      <c r="AA602" t="n" s="2909">
        <v>21</v>
      </c>
      <c r="AB602" t="inlineStr" s="2909">
        <is>
          <t>20070401</t>
        </is>
      </c>
      <c r="AD602" t="n" s="2909">
        <v>12</v>
      </c>
      <c r="AE602" t="inlineStr" s="2909">
        <is>
          <t>20240401</t>
        </is>
      </c>
      <c r="AH602" t="n" s="2909">
        <v>20</v>
      </c>
      <c r="AJ602" t="n" s="2909">
        <v>10</v>
      </c>
      <c r="AP602" t="n" s="2909">
        <v>590000</v>
      </c>
      <c r="DB602" s="2909" t="str">
        <f>IF($A602="","",IF(AND($A602=21,$AE602&amp;""="00000000"),IF($AH602=20,"病院",IF($AH602=5,"消防","市長")),"対象外"))</f>
        <v>対象外</v>
      </c>
    </row>
    <row r="603">
      <c r="A603" t="n" s="2909">
        <v>31</v>
      </c>
      <c r="AA603" t="n" s="2909">
        <v>21</v>
      </c>
      <c r="AB603" t="inlineStr" s="2909">
        <is>
          <t>20221001</t>
        </is>
      </c>
      <c r="AD603" t="n" s="2909">
        <v>12</v>
      </c>
      <c r="AE603" t="inlineStr" s="2909">
        <is>
          <t>20230401</t>
        </is>
      </c>
      <c r="AH603" t="n" s="2909">
        <v>1</v>
      </c>
      <c r="AJ603" t="n" s="2909">
        <v>41</v>
      </c>
      <c r="AP603" t="n" s="2909">
        <v>170000</v>
      </c>
      <c r="DB603" s="2909" t="str">
        <f>IF($A603="","",IF(AND($A603=21,$AE603&amp;""="00000000"),IF($AH603=20,"病院",IF($AH603=5,"消防","市長")),"対象外"))</f>
        <v>対象外</v>
      </c>
    </row>
    <row r="604">
      <c r="A604" t="n" s="2909">
        <v>31</v>
      </c>
      <c r="AA604" t="n" s="2909">
        <v>21</v>
      </c>
      <c r="AB604" t="inlineStr" s="2909">
        <is>
          <t>20221001</t>
        </is>
      </c>
      <c r="AD604" t="n" s="2909">
        <v>12</v>
      </c>
      <c r="AE604" t="inlineStr" s="2909">
        <is>
          <t>20230401</t>
        </is>
      </c>
      <c r="AH604" t="n" s="2909">
        <v>1</v>
      </c>
      <c r="AJ604" t="n" s="2909">
        <v>41</v>
      </c>
      <c r="AP604" t="n" s="2909">
        <v>170000</v>
      </c>
      <c r="DB604" s="2909" t="str">
        <f>IF($A604="","",IF(AND($A604=21,$AE604&amp;""="00000000"),IF($AH604=20,"病院",IF($AH604=5,"消防","市長")),"対象外"))</f>
        <v>対象外</v>
      </c>
    </row>
    <row r="605">
      <c r="A605" t="n" s="2909">
        <v>21</v>
      </c>
      <c r="AA605" t="n" s="2909">
        <v>21</v>
      </c>
      <c r="AB605" t="inlineStr" s="2909">
        <is>
          <t>20060517</t>
        </is>
      </c>
      <c r="AD605" t="n" s="2909">
        <v>12</v>
      </c>
      <c r="AE605" t="inlineStr" s="2909">
        <is>
          <t>20071026</t>
        </is>
      </c>
      <c r="AH605" t="n" s="2909">
        <v>0</v>
      </c>
      <c r="AJ605" t="n" s="2909">
        <v>10</v>
      </c>
      <c r="AP605" t="n" s="2909">
        <v>1</v>
      </c>
      <c r="DB605" s="2909" t="str">
        <f>IF($A605="","",IF(AND($A605=21,$AE605&amp;""="00000000"),IF($AH605=20,"病院",IF($AH605=5,"消防","市長")),"対象外"))</f>
        <v>対象外</v>
      </c>
    </row>
    <row r="606">
      <c r="A606" t="n" s="2909">
        <v>21</v>
      </c>
      <c r="AA606" t="n" s="2909">
        <v>21</v>
      </c>
      <c r="AB606" t="inlineStr" s="2909">
        <is>
          <t>20091002</t>
        </is>
      </c>
      <c r="AD606" t="n" s="2909">
        <v>12</v>
      </c>
      <c r="AE606" t="inlineStr" s="2909">
        <is>
          <t>20091201</t>
        </is>
      </c>
      <c r="AH606" t="n" s="2909">
        <v>0</v>
      </c>
      <c r="AJ606" t="n" s="2909">
        <v>10</v>
      </c>
      <c r="AP606" t="n" s="2909">
        <v>139167</v>
      </c>
      <c r="DB606" s="2909" t="str">
        <f>IF($A606="","",IF(AND($A606=21,$AE606&amp;""="00000000"),IF($AH606=20,"病院",IF($AH606=5,"消防","市長")),"対象外"))</f>
        <v>対象外</v>
      </c>
    </row>
    <row r="607">
      <c r="A607" t="n" s="2909">
        <v>21</v>
      </c>
      <c r="AA607" t="n" s="2909">
        <v>21</v>
      </c>
      <c r="AB607" t="inlineStr" s="2909">
        <is>
          <t>20040401</t>
        </is>
      </c>
      <c r="AD607" t="n" s="2909">
        <v>12</v>
      </c>
      <c r="AE607" t="inlineStr" s="2909">
        <is>
          <t>20091201</t>
        </is>
      </c>
      <c r="AH607" t="n" s="2909">
        <v>0</v>
      </c>
      <c r="AJ607" t="n" s="2909">
        <v>10</v>
      </c>
      <c r="AP607" t="n" s="2909">
        <v>1</v>
      </c>
      <c r="DB607" s="2909" t="str">
        <f>IF($A607="","",IF(AND($A607=21,$AE607&amp;""="00000000"),IF($AH607=20,"病院",IF($AH607=5,"消防","市長")),"対象外"))</f>
        <v>対象外</v>
      </c>
    </row>
    <row r="608">
      <c r="A608" t="n" s="2909">
        <v>21</v>
      </c>
      <c r="AA608" t="n" s="2909">
        <v>24</v>
      </c>
      <c r="AB608" t="inlineStr" s="2909">
        <is>
          <t>20090901</t>
        </is>
      </c>
      <c r="AD608" t="n" s="2909">
        <v>12</v>
      </c>
      <c r="AE608" t="inlineStr" s="2909">
        <is>
          <t>20091201</t>
        </is>
      </c>
      <c r="AH608" t="n" s="2909">
        <v>0</v>
      </c>
      <c r="AJ608" t="n" s="2909">
        <v>10</v>
      </c>
      <c r="AP608" t="n" s="2909">
        <v>153300</v>
      </c>
      <c r="DB608" s="2909" t="str">
        <f>IF($A608="","",IF(AND($A608=21,$AE608&amp;""="00000000"),IF($AH608=20,"病院",IF($AH608=5,"消防","市長")),"対象外"))</f>
        <v>対象外</v>
      </c>
    </row>
    <row r="609">
      <c r="A609" t="n" s="2909">
        <v>21</v>
      </c>
      <c r="AA609" t="n" s="2909">
        <v>21</v>
      </c>
      <c r="AB609" t="inlineStr" s="2909">
        <is>
          <t>20091002</t>
        </is>
      </c>
      <c r="AD609" t="n" s="2909">
        <v>12</v>
      </c>
      <c r="AE609" t="inlineStr" s="2909">
        <is>
          <t>20091201</t>
        </is>
      </c>
      <c r="AH609" t="n" s="2909">
        <v>0</v>
      </c>
      <c r="AJ609" t="n" s="2909">
        <v>10</v>
      </c>
      <c r="AP609" t="n" s="2909">
        <v>132300</v>
      </c>
      <c r="DB609" s="2909" t="str">
        <f>IF($A609="","",IF(AND($A609=21,$AE609&amp;""="00000000"),IF($AH609=20,"病院",IF($AH609=5,"消防","市長")),"対象外"))</f>
        <v>対象外</v>
      </c>
    </row>
    <row r="610">
      <c r="A610" t="n" s="2909">
        <v>21</v>
      </c>
      <c r="AA610" t="n" s="2909">
        <v>21</v>
      </c>
      <c r="AB610" t="inlineStr" s="2909">
        <is>
          <t>20020501</t>
        </is>
      </c>
      <c r="AD610" t="n" s="2909">
        <v>12</v>
      </c>
      <c r="AE610" t="inlineStr" s="2909">
        <is>
          <t>20070401</t>
        </is>
      </c>
      <c r="AH610" t="n" s="2909">
        <v>0</v>
      </c>
      <c r="AJ610" t="n" s="2909">
        <v>10</v>
      </c>
      <c r="AP610" t="n" s="2909">
        <v>1</v>
      </c>
      <c r="DB610" s="2909" t="str">
        <f>IF($A610="","",IF(AND($A610=21,$AE610&amp;""="00000000"),IF($AH610=20,"病院",IF($AH610=5,"消防","市長")),"対象外"))</f>
        <v>対象外</v>
      </c>
    </row>
    <row r="611">
      <c r="A611" t="n" s="2909">
        <v>31</v>
      </c>
      <c r="AA611" t="n" s="2909">
        <v>21</v>
      </c>
      <c r="AB611" t="inlineStr" s="2909">
        <is>
          <t>20240517</t>
        </is>
      </c>
      <c r="AD611" t="n" s="2909">
        <v>12</v>
      </c>
      <c r="AE611" t="inlineStr" s="2909">
        <is>
          <t>20240521</t>
        </is>
      </c>
      <c r="AH611" t="n" s="2909">
        <v>20</v>
      </c>
      <c r="AJ611" t="n" s="2909">
        <v>41</v>
      </c>
      <c r="AP611" t="n" s="2909">
        <v>160000</v>
      </c>
      <c r="DB611" s="2909" t="str">
        <f>IF($A611="","",IF(AND($A611=21,$AE611&amp;""="00000000"),IF($AH611=20,"病院",IF($AH611=5,"消防","市長")),"対象外"))</f>
        <v>対象外</v>
      </c>
    </row>
    <row r="612">
      <c r="A612" t="n" s="2909">
        <v>31</v>
      </c>
      <c r="AA612" t="n" s="2909">
        <v>21</v>
      </c>
      <c r="AB612" t="inlineStr" s="2909">
        <is>
          <t>20221001</t>
        </is>
      </c>
      <c r="AD612" t="n" s="2909">
        <v>12</v>
      </c>
      <c r="AE612" t="inlineStr" s="2909">
        <is>
          <t>20250401</t>
        </is>
      </c>
      <c r="AH612" t="n" s="2909">
        <v>1</v>
      </c>
      <c r="AJ612" t="n" s="2909">
        <v>41</v>
      </c>
      <c r="AP612" t="n" s="2909">
        <v>190000</v>
      </c>
      <c r="DB612" s="2909" t="str">
        <f>IF($A612="","",IF(AND($A612=21,$AE612&amp;""="00000000"),IF($AH612=20,"病院",IF($AH612=5,"消防","市長")),"対象外"))</f>
        <v>対象外</v>
      </c>
    </row>
    <row r="613">
      <c r="A613" t="n" s="2909">
        <v>21</v>
      </c>
      <c r="AA613" t="n" s="2909">
        <v>21</v>
      </c>
      <c r="AB613" t="inlineStr" s="2909">
        <is>
          <t>20071001</t>
        </is>
      </c>
      <c r="AD613" t="n" s="2909">
        <v>12</v>
      </c>
      <c r="AE613" t="inlineStr" s="2909">
        <is>
          <t>20091201</t>
        </is>
      </c>
      <c r="AH613" t="n" s="2909">
        <v>0</v>
      </c>
      <c r="AJ613" t="n" s="2909">
        <v>10</v>
      </c>
      <c r="AP613" t="n" s="2909">
        <v>1</v>
      </c>
      <c r="DB613" s="2909" t="str">
        <f>IF($A613="","",IF(AND($A613=21,$AE613&amp;""="00000000"),IF($AH613=20,"病院",IF($AH613=5,"消防","市長")),"対象外"))</f>
        <v>対象外</v>
      </c>
    </row>
    <row r="614">
      <c r="A614" t="n" s="2909">
        <v>31</v>
      </c>
      <c r="AA614" t="n" s="2909">
        <v>21</v>
      </c>
      <c r="AB614" t="inlineStr" s="2909">
        <is>
          <t>20221001</t>
        </is>
      </c>
      <c r="AD614" t="n" s="2909">
        <v>12</v>
      </c>
      <c r="AE614" t="inlineStr" s="2909">
        <is>
          <t>20251015</t>
        </is>
      </c>
      <c r="AH614" t="n" s="2909">
        <v>11</v>
      </c>
      <c r="AJ614" t="n" s="2909">
        <v>41</v>
      </c>
      <c r="AP614" t="n" s="2909">
        <v>126000</v>
      </c>
      <c r="DB614" s="2909" t="str">
        <f>IF($A614="","",IF(AND($A614=21,$AE614&amp;""="00000000"),IF($AH614=20,"病院",IF($AH614=5,"消防","市長")),"対象外"))</f>
        <v>対象外</v>
      </c>
    </row>
    <row r="615">
      <c r="A615" t="n" s="2909">
        <v>31</v>
      </c>
      <c r="AA615" t="n" s="2909">
        <v>21</v>
      </c>
      <c r="AB615" t="inlineStr" s="2909">
        <is>
          <t>20221001</t>
        </is>
      </c>
      <c r="AD615" t="n" s="2909">
        <v>12</v>
      </c>
      <c r="AE615" t="inlineStr" s="2909">
        <is>
          <t>20221101</t>
        </is>
      </c>
      <c r="AH615" t="n" s="2909">
        <v>1</v>
      </c>
      <c r="AJ615" t="n" s="2909">
        <v>41</v>
      </c>
      <c r="AP615" t="n" s="2909">
        <v>180000</v>
      </c>
      <c r="DB615" s="2909" t="str">
        <f>IF($A615="","",IF(AND($A615=21,$AE615&amp;""="00000000"),IF($AH615=20,"病院",IF($AH615=5,"消防","市長")),"対象外"))</f>
        <v>対象外</v>
      </c>
    </row>
    <row r="616">
      <c r="A616" t="n" s="2909">
        <v>21</v>
      </c>
      <c r="AA616" t="n" s="2909">
        <v>21</v>
      </c>
      <c r="AB616" t="inlineStr" s="2909">
        <is>
          <t>20080601</t>
        </is>
      </c>
      <c r="AD616" t="n" s="2909">
        <v>12</v>
      </c>
      <c r="AE616" t="inlineStr" s="2909">
        <is>
          <t>20091201</t>
        </is>
      </c>
      <c r="AH616" t="n" s="2909">
        <v>0</v>
      </c>
      <c r="AJ616" t="n" s="2909">
        <v>10</v>
      </c>
      <c r="AP616" t="n" s="2909">
        <v>1</v>
      </c>
      <c r="DB616" s="2909" t="str">
        <f>IF($A616="","",IF(AND($A616=21,$AE616&amp;""="00000000"),IF($AH616=20,"病院",IF($AH616=5,"消防","市長")),"対象外"))</f>
        <v>対象外</v>
      </c>
    </row>
    <row r="617">
      <c r="A617" t="n" s="2909">
        <v>21</v>
      </c>
      <c r="AA617" t="n" s="2909">
        <v>21</v>
      </c>
      <c r="AB617" t="inlineStr" s="2909">
        <is>
          <t>20050614</t>
        </is>
      </c>
      <c r="AD617" t="n" s="2909">
        <v>12</v>
      </c>
      <c r="AE617" t="inlineStr" s="2909">
        <is>
          <t>20091201</t>
        </is>
      </c>
      <c r="AH617" t="n" s="2909">
        <v>0</v>
      </c>
      <c r="AJ617" t="n" s="2909">
        <v>10</v>
      </c>
      <c r="AP617" t="n" s="2909">
        <v>1</v>
      </c>
      <c r="DB617" s="2909" t="str">
        <f>IF($A617="","",IF(AND($A617=21,$AE617&amp;""="00000000"),IF($AH617=20,"病院",IF($AH617=5,"消防","市長")),"対象外"))</f>
        <v>対象外</v>
      </c>
    </row>
    <row r="618">
      <c r="A618" t="n" s="2909">
        <v>21</v>
      </c>
      <c r="AA618" t="n" s="2909">
        <v>21</v>
      </c>
      <c r="AB618" t="inlineStr" s="2909">
        <is>
          <t>20080401</t>
        </is>
      </c>
      <c r="AD618" t="n" s="2909">
        <v>12</v>
      </c>
      <c r="AE618" t="inlineStr" s="2909">
        <is>
          <t>20091201</t>
        </is>
      </c>
      <c r="AH618" t="n" s="2909">
        <v>0</v>
      </c>
      <c r="AJ618" t="n" s="2909">
        <v>10</v>
      </c>
      <c r="AP618" t="n" s="2909">
        <v>1</v>
      </c>
      <c r="DB618" s="2909" t="str">
        <f>IF($A618="","",IF(AND($A618=21,$AE618&amp;""="00000000"),IF($AH618=20,"病院",IF($AH618=5,"消防","市長")),"対象外"))</f>
        <v>対象外</v>
      </c>
    </row>
    <row r="619">
      <c r="A619" t="n" s="2909">
        <v>31</v>
      </c>
      <c r="AA619" t="n" s="2909">
        <v>21</v>
      </c>
      <c r="AB619" t="inlineStr" s="2909">
        <is>
          <t>20250601</t>
        </is>
      </c>
      <c r="AD619" t="n" s="2909">
        <v>12</v>
      </c>
      <c r="AE619" t="inlineStr" s="2909">
        <is>
          <t>20251001</t>
        </is>
      </c>
      <c r="AH619" t="n" s="2909">
        <v>1</v>
      </c>
      <c r="AJ619" t="n" s="2909">
        <v>41</v>
      </c>
      <c r="AP619" t="n" s="2909">
        <v>180000</v>
      </c>
      <c r="DB619" s="2909" t="str">
        <f>IF($A619="","",IF(AND($A619=21,$AE619&amp;""="00000000"),IF($AH619=20,"病院",IF($AH619=5,"消防","市長")),"対象外"))</f>
        <v>対象外</v>
      </c>
    </row>
    <row r="620">
      <c r="A620" t="n" s="2909">
        <v>31</v>
      </c>
      <c r="AA620" t="n" s="2909">
        <v>21</v>
      </c>
      <c r="AB620" t="inlineStr" s="2909">
        <is>
          <t>20221001</t>
        </is>
      </c>
      <c r="AD620" t="n" s="2909">
        <v>12</v>
      </c>
      <c r="AE620" t="inlineStr" s="2909">
        <is>
          <t>20230325</t>
        </is>
      </c>
      <c r="AH620" t="n" s="2909">
        <v>11</v>
      </c>
      <c r="AJ620" t="n" s="2909">
        <v>41</v>
      </c>
      <c r="AP620" t="n" s="2909">
        <v>98000</v>
      </c>
      <c r="DB620" s="2909" t="str">
        <f>IF($A620="","",IF(AND($A620=21,$AE620&amp;""="00000000"),IF($AH620=20,"病院",IF($AH620=5,"消防","市長")),"対象外"))</f>
        <v>対象外</v>
      </c>
    </row>
    <row r="621">
      <c r="A621" t="n" s="2909">
        <v>31</v>
      </c>
      <c r="AA621" t="n" s="2909">
        <v>21</v>
      </c>
      <c r="AB621" t="inlineStr" s="2909">
        <is>
          <t>20221001</t>
        </is>
      </c>
      <c r="AD621" t="n" s="2909">
        <v>12</v>
      </c>
      <c r="AE621" t="inlineStr" s="2909">
        <is>
          <t>20240601</t>
        </is>
      </c>
      <c r="AH621" t="n" s="2909">
        <v>20</v>
      </c>
      <c r="AJ621" t="n" s="2909">
        <v>41</v>
      </c>
      <c r="AP621" t="n" s="2909">
        <v>142000</v>
      </c>
      <c r="DB621" s="2909" t="str">
        <f>IF($A621="","",IF(AND($A621=21,$AE621&amp;""="00000000"),IF($AH621=20,"病院",IF($AH621=5,"消防","市長")),"対象外"))</f>
        <v>対象外</v>
      </c>
    </row>
    <row r="622">
      <c r="A622" t="n" s="2909">
        <v>21</v>
      </c>
      <c r="AA622" t="n" s="2909">
        <v>21</v>
      </c>
      <c r="AB622" t="inlineStr" s="2909">
        <is>
          <t>20070401</t>
        </is>
      </c>
      <c r="AD622" t="n" s="2909">
        <v>12</v>
      </c>
      <c r="AE622" t="inlineStr" s="2909">
        <is>
          <t>20091201</t>
        </is>
      </c>
      <c r="AH622" t="n" s="2909">
        <v>0</v>
      </c>
      <c r="AJ622" t="n" s="2909">
        <v>10</v>
      </c>
      <c r="AP622" t="n" s="2909">
        <v>1</v>
      </c>
      <c r="DB622" s="2909" t="str">
        <f>IF($A622="","",IF(AND($A622=21,$AE622&amp;""="00000000"),IF($AH622=20,"病院",IF($AH622=5,"消防","市長")),"対象外"))</f>
        <v>対象外</v>
      </c>
    </row>
    <row r="623">
      <c r="A623" t="n" s="2909">
        <v>21</v>
      </c>
      <c r="AA623" t="n" s="2909">
        <v>21</v>
      </c>
      <c r="AB623" t="inlineStr" s="2909">
        <is>
          <t>20090721</t>
        </is>
      </c>
      <c r="AD623" t="n" s="2909">
        <v>12</v>
      </c>
      <c r="AE623" t="inlineStr" s="2909">
        <is>
          <t>20091201</t>
        </is>
      </c>
      <c r="AH623" t="n" s="2909">
        <v>0</v>
      </c>
      <c r="AJ623" t="n" s="2909">
        <v>10</v>
      </c>
      <c r="AP623" t="n" s="2909">
        <v>136395</v>
      </c>
      <c r="DB623" s="2909" t="str">
        <f>IF($A623="","",IF(AND($A623=21,$AE623&amp;""="00000000"),IF($AH623=20,"病院",IF($AH623=5,"消防","市長")),"対象外"))</f>
        <v>対象外</v>
      </c>
    </row>
    <row r="624">
      <c r="A624" t="n" s="2909">
        <v>21</v>
      </c>
      <c r="AA624" t="n" s="2909">
        <v>24</v>
      </c>
      <c r="AB624" t="inlineStr" s="2909">
        <is>
          <t>20090831</t>
        </is>
      </c>
      <c r="AD624" t="n" s="2909">
        <v>12</v>
      </c>
      <c r="AE624" t="inlineStr" s="2909">
        <is>
          <t>20091201</t>
        </is>
      </c>
      <c r="AH624" t="n" s="2909">
        <v>0</v>
      </c>
      <c r="AJ624" t="n" s="2909">
        <v>10</v>
      </c>
      <c r="AP624" t="n" s="2909">
        <v>157395</v>
      </c>
      <c r="DB624" s="2909" t="str">
        <f>IF($A624="","",IF(AND($A624=21,$AE624&amp;""="00000000"),IF($AH624=20,"病院",IF($AH624=5,"消防","市長")),"対象外"))</f>
        <v>対象外</v>
      </c>
    </row>
    <row r="625">
      <c r="A625" t="n" s="2909">
        <v>21</v>
      </c>
      <c r="AA625" t="n" s="2909">
        <v>21</v>
      </c>
      <c r="AB625" t="inlineStr" s="2909">
        <is>
          <t>19870417</t>
        </is>
      </c>
      <c r="AD625" t="n" s="2909">
        <v>12</v>
      </c>
      <c r="AE625" t="inlineStr" s="2909">
        <is>
          <t>20091201</t>
        </is>
      </c>
      <c r="AH625" t="n" s="2909">
        <v>0</v>
      </c>
      <c r="AJ625" t="n" s="2909">
        <v>10</v>
      </c>
      <c r="AP625" t="n" s="2909">
        <v>1</v>
      </c>
      <c r="DB625" s="2909" t="str">
        <f>IF($A625="","",IF(AND($A625=21,$AE625&amp;""="00000000"),IF($AH625=20,"病院",IF($AH625=5,"消防","市長")),"対象外"))</f>
        <v>対象外</v>
      </c>
    </row>
    <row r="626">
      <c r="A626" t="n" s="2909">
        <v>21</v>
      </c>
      <c r="AA626" t="n" s="2909">
        <v>24</v>
      </c>
      <c r="AB626" t="inlineStr" s="2909">
        <is>
          <t>20090831</t>
        </is>
      </c>
      <c r="AD626" t="n" s="2909">
        <v>12</v>
      </c>
      <c r="AE626" t="inlineStr" s="2909">
        <is>
          <t>20091201</t>
        </is>
      </c>
      <c r="AH626" t="n" s="2909">
        <v>0</v>
      </c>
      <c r="AJ626" t="n" s="2909">
        <v>10</v>
      </c>
      <c r="AP626" t="n" s="2909">
        <v>169155</v>
      </c>
      <c r="DB626" s="2909" t="str">
        <f>IF($A626="","",IF(AND($A626=21,$AE626&amp;""="00000000"),IF($AH626=20,"病院",IF($AH626=5,"消防","市長")),"対象外"))</f>
        <v>対象外</v>
      </c>
    </row>
    <row r="627">
      <c r="A627" t="n" s="2909">
        <v>21</v>
      </c>
      <c r="AA627" t="n" s="2909">
        <v>21</v>
      </c>
      <c r="AB627" t="inlineStr" s="2909">
        <is>
          <t>20040401</t>
        </is>
      </c>
      <c r="AD627" t="n" s="2909">
        <v>12</v>
      </c>
      <c r="AE627" t="inlineStr" s="2909">
        <is>
          <t>20091201</t>
        </is>
      </c>
      <c r="AH627" t="n" s="2909">
        <v>0</v>
      </c>
      <c r="AJ627" t="n" s="2909">
        <v>10</v>
      </c>
      <c r="AP627" t="n" s="2909">
        <v>1</v>
      </c>
      <c r="DB627" s="2909" t="str">
        <f>IF($A627="","",IF(AND($A627=21,$AE627&amp;""="00000000"),IF($AH627=20,"病院",IF($AH627=5,"消防","市長")),"対象外"))</f>
        <v>対象外</v>
      </c>
    </row>
    <row r="628">
      <c r="A628" t="n" s="2909">
        <v>21</v>
      </c>
      <c r="AA628" t="n" s="2909">
        <v>21</v>
      </c>
      <c r="AB628" t="inlineStr" s="2909">
        <is>
          <t>20060403</t>
        </is>
      </c>
      <c r="AD628" t="n" s="2909">
        <v>12</v>
      </c>
      <c r="AE628" t="inlineStr" s="2909">
        <is>
          <t>20080329</t>
        </is>
      </c>
      <c r="AH628" t="n" s="2909">
        <v>0</v>
      </c>
      <c r="AJ628" t="n" s="2909">
        <v>10</v>
      </c>
      <c r="AP628" t="n" s="2909">
        <v>1</v>
      </c>
      <c r="DB628" s="2909" t="str">
        <f>IF($A628="","",IF(AND($A628=21,$AE628&amp;""="00000000"),IF($AH628=20,"病院",IF($AH628=5,"消防","市長")),"対象外"))</f>
        <v>対象外</v>
      </c>
    </row>
    <row r="629">
      <c r="A629" t="n" s="2909">
        <v>21</v>
      </c>
      <c r="AA629" t="n" s="2909">
        <v>21</v>
      </c>
      <c r="AB629" t="inlineStr" s="2909">
        <is>
          <t>19880401</t>
        </is>
      </c>
      <c r="AD629" t="n" s="2909">
        <v>12</v>
      </c>
      <c r="AE629" t="inlineStr" s="2909">
        <is>
          <t>20220401</t>
        </is>
      </c>
      <c r="AH629" t="n" s="2909">
        <v>1</v>
      </c>
      <c r="AJ629" t="n" s="2909">
        <v>10</v>
      </c>
      <c r="AP629" t="n" s="2909">
        <v>500000</v>
      </c>
      <c r="DB629" s="2909" t="str">
        <f>IF($A629="","",IF(AND($A629=21,$AE629&amp;""="00000000"),IF($AH629=20,"病院",IF($AH629=5,"消防","市長")),"対象外"))</f>
        <v>対象外</v>
      </c>
    </row>
    <row r="630">
      <c r="A630" t="n" s="2909">
        <v>31</v>
      </c>
      <c r="AA630" t="n" s="2909">
        <v>24</v>
      </c>
      <c r="AB630" t="inlineStr" s="2909">
        <is>
          <t>20250401</t>
        </is>
      </c>
      <c r="AD630" t="n" s="2909">
        <v>12</v>
      </c>
      <c r="AE630" t="inlineStr" s="2909">
        <is>
          <t>20250801</t>
        </is>
      </c>
      <c r="AH630" t="n" s="2909">
        <v>1</v>
      </c>
      <c r="AJ630" t="n" s="2909">
        <v>41</v>
      </c>
      <c r="AP630" t="n" s="2909">
        <v>142000</v>
      </c>
      <c r="DB630" s="2909" t="str">
        <f>IF($A630="","",IF(AND($A630=21,$AE630&amp;""="00000000"),IF($AH630=20,"病院",IF($AH630=5,"消防","市長")),"対象外"))</f>
        <v>対象外</v>
      </c>
    </row>
    <row r="631">
      <c r="A631" t="n" s="2909">
        <v>31</v>
      </c>
      <c r="AA631" t="n" s="2909">
        <v>21</v>
      </c>
      <c r="AB631" t="inlineStr" s="2909">
        <is>
          <t>20221001</t>
        </is>
      </c>
      <c r="AD631" t="n" s="2909">
        <v>12</v>
      </c>
      <c r="AE631" t="inlineStr" s="2909">
        <is>
          <t>20250326</t>
        </is>
      </c>
      <c r="AH631" t="n" s="2909">
        <v>11</v>
      </c>
      <c r="AJ631" t="n" s="2909">
        <v>41</v>
      </c>
      <c r="AP631" t="n" s="2909">
        <v>110000</v>
      </c>
      <c r="DB631" s="2909" t="str">
        <f>IF($A631="","",IF(AND($A631=21,$AE631&amp;""="00000000"),IF($AH631=20,"病院",IF($AH631=5,"消防","市長")),"対象外"))</f>
        <v>対象外</v>
      </c>
    </row>
    <row r="632">
      <c r="A632" t="n" s="2909">
        <v>21</v>
      </c>
      <c r="AA632" t="n" s="2909">
        <v>21</v>
      </c>
      <c r="AB632" t="inlineStr" s="2909">
        <is>
          <t>19880401</t>
        </is>
      </c>
      <c r="AD632" t="n" s="2909">
        <v>12</v>
      </c>
      <c r="AE632" t="inlineStr" s="2909">
        <is>
          <t>20151001</t>
        </is>
      </c>
      <c r="AH632" t="n" s="2909">
        <v>20</v>
      </c>
      <c r="AJ632" t="n" s="2909">
        <v>10</v>
      </c>
      <c r="AP632" t="n" s="2909">
        <v>383500</v>
      </c>
      <c r="DB632" s="2909" t="str">
        <f>IF($A632="","",IF(AND($A632=21,$AE632&amp;""="00000000"),IF($AH632=20,"病院",IF($AH632=5,"消防","市長")),"対象外"))</f>
        <v>対象外</v>
      </c>
    </row>
    <row r="633">
      <c r="A633" t="n" s="2909">
        <v>31</v>
      </c>
      <c r="AA633" t="n" s="2909">
        <v>21</v>
      </c>
      <c r="AB633" t="inlineStr" s="2909">
        <is>
          <t>20221001</t>
        </is>
      </c>
      <c r="AD633" t="n" s="2909">
        <v>12</v>
      </c>
      <c r="AE633" t="inlineStr" s="2909">
        <is>
          <t>20241001</t>
        </is>
      </c>
      <c r="AH633" t="n" s="2909">
        <v>1</v>
      </c>
      <c r="AJ633" t="n" s="2909">
        <v>41</v>
      </c>
      <c r="AP633" t="n" s="2909">
        <v>200000</v>
      </c>
      <c r="DB633" s="2909" t="str">
        <f>IF($A633="","",IF(AND($A633=21,$AE633&amp;""="00000000"),IF($AH633=20,"病院",IF($AH633=5,"消防","市長")),"対象外"))</f>
        <v>対象外</v>
      </c>
    </row>
    <row r="634">
      <c r="A634" t="n" s="2909">
        <v>21</v>
      </c>
      <c r="AA634" t="n" s="2909">
        <v>21</v>
      </c>
      <c r="AB634" t="inlineStr" s="2909">
        <is>
          <t>20070401</t>
        </is>
      </c>
      <c r="AD634" t="n" s="2909">
        <v>12</v>
      </c>
      <c r="AE634" t="inlineStr" s="2909">
        <is>
          <t>20091201</t>
        </is>
      </c>
      <c r="AH634" t="n" s="2909">
        <v>0</v>
      </c>
      <c r="AJ634" t="n" s="2909">
        <v>10</v>
      </c>
      <c r="AP634" t="n" s="2909">
        <v>1</v>
      </c>
      <c r="DB634" s="2909" t="str">
        <f>IF($A634="","",IF(AND($A634=21,$AE634&amp;""="00000000"),IF($AH634=20,"病院",IF($AH634=5,"消防","市長")),"対象外"))</f>
        <v>対象外</v>
      </c>
    </row>
    <row r="635">
      <c r="A635" t="n" s="2909">
        <v>21</v>
      </c>
      <c r="AA635" t="n" s="2909">
        <v>21</v>
      </c>
      <c r="AB635" t="inlineStr" s="2909">
        <is>
          <t>20021001</t>
        </is>
      </c>
      <c r="AD635" t="n" s="2909">
        <v>12</v>
      </c>
      <c r="AE635" t="inlineStr" s="2909">
        <is>
          <t>20091201</t>
        </is>
      </c>
      <c r="AH635" t="n" s="2909">
        <v>0</v>
      </c>
      <c r="AJ635" t="n" s="2909">
        <v>10</v>
      </c>
      <c r="AP635" t="n" s="2909">
        <v>1</v>
      </c>
      <c r="DB635" s="2909" t="str">
        <f>IF($A635="","",IF(AND($A635=21,$AE635&amp;""="00000000"),IF($AH635=20,"病院",IF($AH635=5,"消防","市長")),"対象外"))</f>
        <v>対象外</v>
      </c>
    </row>
    <row r="636">
      <c r="A636" t="n" s="2909">
        <v>21</v>
      </c>
      <c r="AA636" t="n" s="2909">
        <v>21</v>
      </c>
      <c r="AB636" t="inlineStr" s="2909">
        <is>
          <t>20080601</t>
        </is>
      </c>
      <c r="AD636" t="n" s="2909">
        <v>12</v>
      </c>
      <c r="AE636" t="inlineStr" s="2909">
        <is>
          <t>20091201</t>
        </is>
      </c>
      <c r="AH636" t="n" s="2909">
        <v>0</v>
      </c>
      <c r="AJ636" t="n" s="2909">
        <v>10</v>
      </c>
      <c r="AP636" t="n" s="2909">
        <v>1</v>
      </c>
      <c r="DB636" s="2909" t="str">
        <f>IF($A636="","",IF(AND($A636=21,$AE636&amp;""="00000000"),IF($AH636=20,"病院",IF($AH636=5,"消防","市長")),"対象外"))</f>
        <v>対象外</v>
      </c>
    </row>
    <row r="637">
      <c r="A637" t="n" s="2909">
        <v>21</v>
      </c>
      <c r="AA637" t="n" s="2909">
        <v>21</v>
      </c>
      <c r="AB637" t="inlineStr" s="2909">
        <is>
          <t>19860401</t>
        </is>
      </c>
      <c r="AD637" t="n" s="2909">
        <v>12</v>
      </c>
      <c r="AE637" t="inlineStr" s="2909">
        <is>
          <t>20240401</t>
        </is>
      </c>
      <c r="AH637" t="n" s="2909">
        <v>1</v>
      </c>
      <c r="AJ637" t="n" s="2909">
        <v>10</v>
      </c>
      <c r="AP637" t="n" s="2909">
        <v>530000</v>
      </c>
      <c r="DB637" s="2909" t="str">
        <f>IF($A637="","",IF(AND($A637=21,$AE637&amp;""="00000000"),IF($AH637=20,"病院",IF($AH637=5,"消防","市長")),"対象外"))</f>
        <v>対象外</v>
      </c>
    </row>
    <row r="638">
      <c r="A638" t="n" s="2909">
        <v>21</v>
      </c>
      <c r="AA638" t="n" s="2909">
        <v>21</v>
      </c>
      <c r="AB638" t="inlineStr" s="2909">
        <is>
          <t>20090401</t>
        </is>
      </c>
      <c r="AD638" t="n" s="2909">
        <v>12</v>
      </c>
      <c r="AE638" t="inlineStr" s="2909">
        <is>
          <t>20091201</t>
        </is>
      </c>
      <c r="AH638" t="n" s="2909">
        <v>0</v>
      </c>
      <c r="AJ638" t="n" s="2909">
        <v>10</v>
      </c>
      <c r="AP638" t="n" s="2909">
        <v>1</v>
      </c>
      <c r="DB638" s="2909" t="str">
        <f>IF($A638="","",IF(AND($A638=21,$AE638&amp;""="00000000"),IF($AH638=20,"病院",IF($AH638=5,"消防","市長")),"対象外"))</f>
        <v>対象外</v>
      </c>
    </row>
    <row r="639">
      <c r="A639" t="n" s="2909">
        <v>21</v>
      </c>
      <c r="AA639" t="n" s="2909">
        <v>21</v>
      </c>
      <c r="AB639" t="inlineStr" s="2909">
        <is>
          <t>19951002</t>
        </is>
      </c>
      <c r="AD639" t="n" s="2909">
        <v>12</v>
      </c>
      <c r="AE639" t="inlineStr" s="2909">
        <is>
          <t>20091201</t>
        </is>
      </c>
      <c r="AH639" t="n" s="2909">
        <v>0</v>
      </c>
      <c r="AJ639" t="n" s="2909">
        <v>10</v>
      </c>
      <c r="AP639" t="n" s="2909">
        <v>1</v>
      </c>
      <c r="DB639" s="2909" t="str">
        <f>IF($A639="","",IF(AND($A639=21,$AE639&amp;""="00000000"),IF($AH639=20,"病院",IF($AH639=5,"消防","市長")),"対象外"))</f>
        <v>対象外</v>
      </c>
    </row>
    <row r="640">
      <c r="A640" t="n" s="2909">
        <v>21</v>
      </c>
      <c r="AA640" t="n" s="2909">
        <v>21</v>
      </c>
      <c r="AB640" t="inlineStr" s="2909">
        <is>
          <t>19980401</t>
        </is>
      </c>
      <c r="AD640" t="n" s="2909">
        <v>12</v>
      </c>
      <c r="AE640" t="inlineStr" s="2909">
        <is>
          <t>20091201</t>
        </is>
      </c>
      <c r="AH640" t="n" s="2909">
        <v>0</v>
      </c>
      <c r="AJ640" t="n" s="2909">
        <v>10</v>
      </c>
      <c r="AP640" t="n" s="2909">
        <v>1</v>
      </c>
      <c r="DB640" s="2909" t="str">
        <f>IF($A640="","",IF(AND($A640=21,$AE640&amp;""="00000000"),IF($AH640=20,"病院",IF($AH640=5,"消防","市長")),"対象外"))</f>
        <v>対象外</v>
      </c>
    </row>
    <row r="641">
      <c r="A641" t="n" s="2909">
        <v>31</v>
      </c>
      <c r="AA641" t="n" s="2909">
        <v>21</v>
      </c>
      <c r="AB641" t="inlineStr" s="2909">
        <is>
          <t>20231001</t>
        </is>
      </c>
      <c r="AD641" t="n" s="2909">
        <v>12</v>
      </c>
      <c r="AE641" t="inlineStr" s="2909">
        <is>
          <t>20241001</t>
        </is>
      </c>
      <c r="AH641" t="n" s="2909">
        <v>1</v>
      </c>
      <c r="AJ641" t="n" s="2909">
        <v>41</v>
      </c>
      <c r="AP641" t="n" s="2909">
        <v>134000</v>
      </c>
      <c r="DB641" s="2909" t="str">
        <f>IF($A641="","",IF(AND($A641=21,$AE641&amp;""="00000000"),IF($AH641=20,"病院",IF($AH641=5,"消防","市長")),"対象外"))</f>
        <v>対象外</v>
      </c>
    </row>
    <row r="642">
      <c r="A642" t="n" s="2909">
        <v>31</v>
      </c>
      <c r="AA642" t="n" s="2909">
        <v>21</v>
      </c>
      <c r="AB642" t="inlineStr" s="2909">
        <is>
          <t>20221001</t>
        </is>
      </c>
      <c r="AD642" t="n" s="2909">
        <v>12</v>
      </c>
      <c r="AE642" t="inlineStr" s="2909">
        <is>
          <t>20241224</t>
        </is>
      </c>
      <c r="AH642" t="n" s="2909">
        <v>11</v>
      </c>
      <c r="AJ642" t="n" s="2909">
        <v>41</v>
      </c>
      <c r="AP642" t="n" s="2909">
        <v>104000</v>
      </c>
      <c r="DB642" s="2909" t="str">
        <f>IF($A642="","",IF(AND($A642=21,$AE642&amp;""="00000000"),IF($AH642=20,"病院",IF($AH642=5,"消防","市長")),"対象外"))</f>
        <v>対象外</v>
      </c>
    </row>
    <row r="643">
      <c r="A643" t="n" s="2909">
        <v>21</v>
      </c>
      <c r="AA643" t="n" s="2909">
        <v>21</v>
      </c>
      <c r="AB643" t="inlineStr" s="2909">
        <is>
          <t>19880401</t>
        </is>
      </c>
      <c r="AD643" t="n" s="2909">
        <v>12</v>
      </c>
      <c r="AE643" t="inlineStr" s="2909">
        <is>
          <t>20250401</t>
        </is>
      </c>
      <c r="AH643" t="n" s="2909">
        <v>1</v>
      </c>
      <c r="AJ643" t="n" s="2909">
        <v>10</v>
      </c>
      <c r="AP643" t="n" s="2909">
        <v>650000</v>
      </c>
      <c r="DB643" s="2909" t="str">
        <f>IF($A643="","",IF(AND($A643=21,$AE643&amp;""="00000000"),IF($AH643=20,"病院",IF($AH643=5,"消防","市長")),"対象外"))</f>
        <v>対象外</v>
      </c>
    </row>
    <row r="644">
      <c r="A644" t="n" s="2909">
        <v>31</v>
      </c>
      <c r="AA644" t="n" s="2909">
        <v>21</v>
      </c>
      <c r="AB644" t="inlineStr" s="2909">
        <is>
          <t>20221001</t>
        </is>
      </c>
      <c r="AD644" t="n" s="2909">
        <v>12</v>
      </c>
      <c r="AE644" t="inlineStr" s="2909">
        <is>
          <t>20240601</t>
        </is>
      </c>
      <c r="AH644" t="n" s="2909">
        <v>1</v>
      </c>
      <c r="AJ644" t="n" s="2909">
        <v>41</v>
      </c>
      <c r="AP644" t="n" s="2909">
        <v>160000</v>
      </c>
      <c r="DB644" s="2909" t="str">
        <f>IF($A644="","",IF(AND($A644=21,$AE644&amp;""="00000000"),IF($AH644=20,"病院",IF($AH644=5,"消防","市長")),"対象外"))</f>
        <v>対象外</v>
      </c>
    </row>
    <row r="645">
      <c r="A645" t="n" s="2909">
        <v>31</v>
      </c>
      <c r="AA645" t="n" s="2909">
        <v>21</v>
      </c>
      <c r="AB645" t="inlineStr" s="2909">
        <is>
          <t>20250801</t>
        </is>
      </c>
      <c r="AD645" t="n" s="2909">
        <v>12</v>
      </c>
      <c r="AE645" t="inlineStr" s="2909">
        <is>
          <t>20250901</t>
        </is>
      </c>
      <c r="AH645" t="n" s="2909">
        <v>1</v>
      </c>
      <c r="AJ645" t="n" s="2909">
        <v>41</v>
      </c>
      <c r="AP645" t="n" s="2909">
        <v>126000</v>
      </c>
      <c r="DB645" s="2909" t="str">
        <f>IF($A645="","",IF(AND($A645=21,$AE645&amp;""="00000000"),IF($AH645=20,"病院",IF($AH645=5,"消防","市長")),"対象外"))</f>
        <v>対象外</v>
      </c>
    </row>
    <row r="646">
      <c r="A646" t="n" s="2909">
        <v>21</v>
      </c>
      <c r="AA646" t="n" s="2909">
        <v>21</v>
      </c>
      <c r="AB646" t="inlineStr" s="2909">
        <is>
          <t>20090804</t>
        </is>
      </c>
      <c r="AD646" t="n" s="2909">
        <v>12</v>
      </c>
      <c r="AE646" t="inlineStr" s="2909">
        <is>
          <t>20091201</t>
        </is>
      </c>
      <c r="AH646" t="n" s="2909">
        <v>0</v>
      </c>
      <c r="AJ646" t="n" s="2909">
        <v>10</v>
      </c>
      <c r="AP646" t="n" s="2909">
        <v>134720</v>
      </c>
      <c r="DB646" s="2909" t="str">
        <f>IF($A646="","",IF(AND($A646=21,$AE646&amp;""="00000000"),IF($AH646=20,"病院",IF($AH646=5,"消防","市長")),"対象外"))</f>
        <v>対象外</v>
      </c>
    </row>
    <row r="647">
      <c r="A647" t="n" s="2909">
        <v>21</v>
      </c>
      <c r="AA647" t="n" s="2909">
        <v>21</v>
      </c>
      <c r="AB647" t="inlineStr" s="2909">
        <is>
          <t>20090205</t>
        </is>
      </c>
      <c r="AD647" t="n" s="2909">
        <v>12</v>
      </c>
      <c r="AE647" t="inlineStr" s="2909">
        <is>
          <t>20090401</t>
        </is>
      </c>
      <c r="AH647" t="n" s="2909">
        <v>0</v>
      </c>
      <c r="AJ647" t="n" s="2909">
        <v>10</v>
      </c>
      <c r="AP647" t="n" s="2909">
        <v>128000</v>
      </c>
      <c r="DB647" s="2909" t="str">
        <f>IF($A647="","",IF(AND($A647=21,$AE647&amp;""="00000000"),IF($AH647=20,"病院",IF($AH647=5,"消防","市長")),"対象外"))</f>
        <v>対象外</v>
      </c>
    </row>
    <row r="648">
      <c r="A648" t="n" s="2909">
        <v>21</v>
      </c>
      <c r="AA648" t="n" s="2909">
        <v>24</v>
      </c>
      <c r="AB648" t="inlineStr" s="2909">
        <is>
          <t>20090107</t>
        </is>
      </c>
      <c r="AD648" t="n" s="2909">
        <v>12</v>
      </c>
      <c r="AE648" t="inlineStr" s="2909">
        <is>
          <t>20090320</t>
        </is>
      </c>
      <c r="AH648" t="n" s="2909">
        <v>0</v>
      </c>
      <c r="AJ648" t="n" s="2909">
        <v>10</v>
      </c>
      <c r="AP648" t="n" s="2909">
        <v>176610</v>
      </c>
      <c r="DB648" s="2909" t="str">
        <f>IF($A648="","",IF(AND($A648=21,$AE648&amp;""="00000000"),IF($AH648=20,"病院",IF($AH648=5,"消防","市長")),"対象外"))</f>
        <v>対象外</v>
      </c>
    </row>
    <row r="649">
      <c r="A649" t="n" s="2909">
        <v>21</v>
      </c>
      <c r="AA649" t="n" s="2909">
        <v>21</v>
      </c>
      <c r="AB649" t="inlineStr" s="2909">
        <is>
          <t>19861101</t>
        </is>
      </c>
      <c r="AD649" t="n" s="2909">
        <v>12</v>
      </c>
      <c r="AE649" t="inlineStr" s="2909">
        <is>
          <t>20160708</t>
        </is>
      </c>
      <c r="AH649" t="n" s="2909">
        <v>20</v>
      </c>
      <c r="AJ649" t="n" s="2909">
        <v>10</v>
      </c>
      <c r="AP649" t="n" s="2909">
        <v>620000</v>
      </c>
      <c r="DB649" s="2909" t="str">
        <f>IF($A649="","",IF(AND($A649=21,$AE649&amp;""="00000000"),IF($AH649=20,"病院",IF($AH649=5,"消防","市長")),"対象外"))</f>
        <v>対象外</v>
      </c>
    </row>
    <row r="650">
      <c r="A650" t="n" s="2909">
        <v>21</v>
      </c>
      <c r="AA650" t="n" s="2909">
        <v>21</v>
      </c>
      <c r="AB650" t="inlineStr" s="2909">
        <is>
          <t>19980601</t>
        </is>
      </c>
      <c r="AD650" t="n" s="2909">
        <v>12</v>
      </c>
      <c r="AE650" t="inlineStr" s="2909">
        <is>
          <t>20080401</t>
        </is>
      </c>
      <c r="AH650" t="n" s="2909">
        <v>0</v>
      </c>
      <c r="AJ650" t="n" s="2909">
        <v>10</v>
      </c>
      <c r="AP650" t="n" s="2909">
        <v>1</v>
      </c>
      <c r="DB650" s="2909" t="str">
        <f>IF($A650="","",IF(AND($A650=21,$AE650&amp;""="00000000"),IF($AH650=20,"病院",IF($AH650=5,"消防","市長")),"対象外"))</f>
        <v>対象外</v>
      </c>
    </row>
    <row r="651">
      <c r="A651" t="n" s="2909">
        <v>21</v>
      </c>
      <c r="AA651" t="n" s="2909">
        <v>21</v>
      </c>
      <c r="AB651" t="inlineStr" s="2909">
        <is>
          <t>20070401</t>
        </is>
      </c>
      <c r="AD651" t="n" s="2909">
        <v>12</v>
      </c>
      <c r="AE651" t="inlineStr" s="2909">
        <is>
          <t>20091201</t>
        </is>
      </c>
      <c r="AH651" t="n" s="2909">
        <v>0</v>
      </c>
      <c r="AJ651" t="n" s="2909">
        <v>10</v>
      </c>
      <c r="AP651" t="n" s="2909">
        <v>1</v>
      </c>
      <c r="DB651" s="2909" t="str">
        <f>IF($A651="","",IF(AND($A651=21,$AE651&amp;""="00000000"),IF($AH651=20,"病院",IF($AH651=5,"消防","市長")),"対象外"))</f>
        <v>対象外</v>
      </c>
    </row>
    <row r="652">
      <c r="A652" t="n" s="2909">
        <v>31</v>
      </c>
      <c r="AA652" t="n" s="2909">
        <v>21</v>
      </c>
      <c r="AB652" t="inlineStr" s="2909">
        <is>
          <t>20221001</t>
        </is>
      </c>
      <c r="AD652" t="n" s="2909">
        <v>12</v>
      </c>
      <c r="AE652" t="inlineStr" s="2909">
        <is>
          <t>20240401</t>
        </is>
      </c>
      <c r="AH652" t="n" s="2909">
        <v>1</v>
      </c>
      <c r="AJ652" t="n" s="2909">
        <v>41</v>
      </c>
      <c r="AP652" t="n" s="2909">
        <v>180000</v>
      </c>
      <c r="DB652" s="2909" t="str">
        <f>IF($A652="","",IF(AND($A652=21,$AE652&amp;""="00000000"),IF($AH652=20,"病院",IF($AH652=5,"消防","市長")),"対象外"))</f>
        <v>対象外</v>
      </c>
    </row>
    <row r="653">
      <c r="A653" t="n" s="2909">
        <v>21</v>
      </c>
      <c r="AA653" t="n" s="2909">
        <v>21</v>
      </c>
      <c r="AB653" t="inlineStr" s="2909">
        <is>
          <t>19870701</t>
        </is>
      </c>
      <c r="AD653" t="n" s="2909">
        <v>12</v>
      </c>
      <c r="AE653" t="inlineStr" s="2909">
        <is>
          <t>20230401</t>
        </is>
      </c>
      <c r="AH653" t="n" s="2909">
        <v>20</v>
      </c>
      <c r="AJ653" t="n" s="2909">
        <v>10</v>
      </c>
      <c r="AP653" t="n" s="2909">
        <v>650000</v>
      </c>
      <c r="DB653" s="2909" t="str">
        <f>IF($A653="","",IF(AND($A653=21,$AE653&amp;""="00000000"),IF($AH653=20,"病院",IF($AH653=5,"消防","市長")),"対象外"))</f>
        <v>対象外</v>
      </c>
    </row>
    <row r="654">
      <c r="A654" t="n" s="2909">
        <v>31</v>
      </c>
      <c r="AA654" t="n" s="2909">
        <v>21</v>
      </c>
      <c r="AB654" t="inlineStr" s="2909">
        <is>
          <t>20221001</t>
        </is>
      </c>
      <c r="AD654" t="n" s="2909">
        <v>12</v>
      </c>
      <c r="AE654" t="inlineStr" s="2909">
        <is>
          <t>20230101</t>
        </is>
      </c>
      <c r="AH654" t="n" s="2909">
        <v>1</v>
      </c>
      <c r="AJ654" t="n" s="2909">
        <v>41</v>
      </c>
      <c r="AP654" t="n" s="2909">
        <v>190000</v>
      </c>
      <c r="DB654" s="2909" t="str">
        <f>IF($A654="","",IF(AND($A654=21,$AE654&amp;""="00000000"),IF($AH654=20,"病院",IF($AH654=5,"消防","市長")),"対象外"))</f>
        <v>対象外</v>
      </c>
    </row>
    <row r="655">
      <c r="A655" t="n" s="2909">
        <v>21</v>
      </c>
      <c r="AA655" t="n" s="2909">
        <v>21</v>
      </c>
      <c r="AB655" t="inlineStr" s="2909">
        <is>
          <t>19920901</t>
        </is>
      </c>
      <c r="AD655" t="n" s="2909">
        <v>12</v>
      </c>
      <c r="AE655" t="inlineStr" s="2909">
        <is>
          <t>20220401</t>
        </is>
      </c>
      <c r="AH655" t="n" s="2909">
        <v>20</v>
      </c>
      <c r="AJ655" t="n" s="2909">
        <v>10</v>
      </c>
      <c r="AP655" t="n" s="2909">
        <v>560000</v>
      </c>
      <c r="DB655" s="2909" t="str">
        <f>IF($A655="","",IF(AND($A655=21,$AE655&amp;""="00000000"),IF($AH655=20,"病院",IF($AH655=5,"消防","市長")),"対象外"))</f>
        <v>対象外</v>
      </c>
    </row>
    <row r="656">
      <c r="A656" t="n" s="2909">
        <v>21</v>
      </c>
      <c r="AA656" t="n" s="2909">
        <v>21</v>
      </c>
      <c r="AB656" t="inlineStr" s="2909">
        <is>
          <t>19860401</t>
        </is>
      </c>
      <c r="AD656" t="n" s="2909">
        <v>12</v>
      </c>
      <c r="AE656" t="inlineStr" s="2909">
        <is>
          <t>20150401</t>
        </is>
      </c>
      <c r="AH656" t="n" s="2909">
        <v>1</v>
      </c>
      <c r="AJ656" t="n" s="2909">
        <v>10</v>
      </c>
      <c r="AP656" t="n" s="2909">
        <v>369700</v>
      </c>
      <c r="DB656" s="2909" t="str">
        <f>IF($A656="","",IF(AND($A656=21,$AE656&amp;""="00000000"),IF($AH656=20,"病院",IF($AH656=5,"消防","市長")),"対象外"))</f>
        <v>対象外</v>
      </c>
    </row>
    <row r="657">
      <c r="A657" t="n" s="2909">
        <v>21</v>
      </c>
      <c r="AA657" t="n" s="2909">
        <v>21</v>
      </c>
      <c r="AB657" t="inlineStr" s="2909">
        <is>
          <t>20090401</t>
        </is>
      </c>
      <c r="AD657" t="n" s="2909">
        <v>12</v>
      </c>
      <c r="AE657" t="inlineStr" s="2909">
        <is>
          <t>20091201</t>
        </is>
      </c>
      <c r="AH657" t="n" s="2909">
        <v>0</v>
      </c>
      <c r="AJ657" t="n" s="2909">
        <v>10</v>
      </c>
      <c r="AP657" t="n" s="2909">
        <v>1</v>
      </c>
      <c r="DB657" s="2909" t="str">
        <f>IF($A657="","",IF(AND($A657=21,$AE657&amp;""="00000000"),IF($AH657=20,"病院",IF($AH657=5,"消防","市長")),"対象外"))</f>
        <v>対象外</v>
      </c>
    </row>
    <row r="658">
      <c r="A658" t="n" s="2909">
        <v>21</v>
      </c>
      <c r="AA658" t="n" s="2909">
        <v>21</v>
      </c>
      <c r="AB658" t="inlineStr" s="2909">
        <is>
          <t>20080401</t>
        </is>
      </c>
      <c r="AD658" t="n" s="2909">
        <v>12</v>
      </c>
      <c r="AE658" t="inlineStr" s="2909">
        <is>
          <t>20091201</t>
        </is>
      </c>
      <c r="AH658" t="n" s="2909">
        <v>0</v>
      </c>
      <c r="AJ658" t="n" s="2909">
        <v>10</v>
      </c>
      <c r="AP658" t="n" s="2909">
        <v>1</v>
      </c>
      <c r="DB658" s="2909" t="str">
        <f>IF($A658="","",IF(AND($A658=21,$AE658&amp;""="00000000"),IF($AH658=20,"病院",IF($AH658=5,"消防","市長")),"対象外"))</f>
        <v>対象外</v>
      </c>
    </row>
    <row r="659">
      <c r="A659" t="n" s="2909">
        <v>21</v>
      </c>
      <c r="AA659" t="n" s="2909">
        <v>24</v>
      </c>
      <c r="AB659" t="inlineStr" s="2909">
        <is>
          <t>20090901</t>
        </is>
      </c>
      <c r="AD659" t="n" s="2909">
        <v>12</v>
      </c>
      <c r="AE659" t="inlineStr" s="2909">
        <is>
          <t>20091201</t>
        </is>
      </c>
      <c r="AH659" t="n" s="2909">
        <v>0</v>
      </c>
      <c r="AJ659" t="n" s="2909">
        <v>10</v>
      </c>
      <c r="AP659" t="n" s="2909">
        <v>157748</v>
      </c>
      <c r="DB659" s="2909" t="str">
        <f>IF($A659="","",IF(AND($A659=21,$AE659&amp;""="00000000"),IF($AH659=20,"病院",IF($AH659=5,"消防","市長")),"対象外"))</f>
        <v>対象外</v>
      </c>
    </row>
    <row r="660">
      <c r="A660" t="n" s="2909">
        <v>21</v>
      </c>
      <c r="AA660" t="n" s="2909">
        <v>21</v>
      </c>
      <c r="AB660" t="inlineStr" s="2909">
        <is>
          <t>20040108</t>
        </is>
      </c>
      <c r="AD660" t="n" s="2909">
        <v>12</v>
      </c>
      <c r="AE660" t="inlineStr" s="2909">
        <is>
          <t>20091201</t>
        </is>
      </c>
      <c r="AH660" t="n" s="2909">
        <v>0</v>
      </c>
      <c r="AJ660" t="n" s="2909">
        <v>10</v>
      </c>
      <c r="AP660" t="n" s="2909">
        <v>1</v>
      </c>
      <c r="DB660" s="2909" t="str">
        <f>IF($A660="","",IF(AND($A660=21,$AE660&amp;""="00000000"),IF($AH660=20,"病院",IF($AH660=5,"消防","市長")),"対象外"))</f>
        <v>対象外</v>
      </c>
    </row>
    <row r="661">
      <c r="A661" t="n" s="2909">
        <v>21</v>
      </c>
      <c r="AA661" t="n" s="2909">
        <v>24</v>
      </c>
      <c r="AB661" t="inlineStr" s="2909">
        <is>
          <t>20090901</t>
        </is>
      </c>
      <c r="AD661" t="n" s="2909">
        <v>12</v>
      </c>
      <c r="AE661" t="inlineStr" s="2909">
        <is>
          <t>20091201</t>
        </is>
      </c>
      <c r="AH661" t="n" s="2909">
        <v>0</v>
      </c>
      <c r="AJ661" t="n" s="2909">
        <v>10</v>
      </c>
      <c r="AP661" t="n" s="2909">
        <v>148970</v>
      </c>
      <c r="DB661" s="2909" t="str">
        <f>IF($A661="","",IF(AND($A661=21,$AE661&amp;""="00000000"),IF($AH661=20,"病院",IF($AH661=5,"消防","市長")),"対象外"))</f>
        <v>対象外</v>
      </c>
    </row>
    <row r="662">
      <c r="A662" t="n" s="2909">
        <v>21</v>
      </c>
      <c r="AA662" t="n" s="2909">
        <v>21</v>
      </c>
      <c r="AB662" t="inlineStr" s="2909">
        <is>
          <t>20040401</t>
        </is>
      </c>
      <c r="AD662" t="n" s="2909">
        <v>12</v>
      </c>
      <c r="AE662" t="inlineStr" s="2909">
        <is>
          <t>20080401</t>
        </is>
      </c>
      <c r="AH662" t="n" s="2909">
        <v>0</v>
      </c>
      <c r="AJ662" t="n" s="2909">
        <v>10</v>
      </c>
      <c r="AP662" t="n" s="2909">
        <v>1</v>
      </c>
      <c r="DB662" s="2909" t="str">
        <f>IF($A662="","",IF(AND($A662=21,$AE662&amp;""="00000000"),IF($AH662=20,"病院",IF($AH662=5,"消防","市長")),"対象外"))</f>
        <v>対象外</v>
      </c>
    </row>
    <row r="663">
      <c r="A663" t="n" s="2909">
        <v>21</v>
      </c>
      <c r="AA663" t="n" s="2909">
        <v>21</v>
      </c>
      <c r="AB663" t="inlineStr" s="2909">
        <is>
          <t>20080401</t>
        </is>
      </c>
      <c r="AD663" t="n" s="2909">
        <v>12</v>
      </c>
      <c r="AE663" t="inlineStr" s="2909">
        <is>
          <t>20090401</t>
        </is>
      </c>
      <c r="AH663" t="n" s="2909">
        <v>0</v>
      </c>
      <c r="AJ663" t="n" s="2909">
        <v>10</v>
      </c>
      <c r="AP663" t="n" s="2909">
        <v>166500</v>
      </c>
      <c r="DB663" s="2909" t="str">
        <f>IF($A663="","",IF(AND($A663=21,$AE663&amp;""="00000000"),IF($AH663=20,"病院",IF($AH663=5,"消防","市長")),"対象外"))</f>
        <v>対象外</v>
      </c>
    </row>
    <row r="664">
      <c r="A664" t="n" s="2909">
        <v>21</v>
      </c>
      <c r="AA664" t="n" s="2909">
        <v>21</v>
      </c>
      <c r="AB664" t="inlineStr" s="2909">
        <is>
          <t>20140701</t>
        </is>
      </c>
      <c r="AD664" t="n" s="2909">
        <v>12</v>
      </c>
      <c r="AE664" t="inlineStr" s="2909">
        <is>
          <t>20170401</t>
        </is>
      </c>
      <c r="AH664" t="n" s="2909">
        <v>20</v>
      </c>
      <c r="AJ664" t="n" s="2909">
        <v>10</v>
      </c>
      <c r="AP664" t="n" s="2909">
        <v>440000</v>
      </c>
      <c r="DB664" s="2909" t="str">
        <f>IF($A664="","",IF(AND($A664=21,$AE664&amp;""="00000000"),IF($AH664=20,"病院",IF($AH664=5,"消防","市長")),"対象外"))</f>
        <v>対象外</v>
      </c>
    </row>
    <row r="665">
      <c r="A665" t="n" s="2909">
        <v>21</v>
      </c>
      <c r="AA665" t="n" s="2909">
        <v>21</v>
      </c>
      <c r="AB665" t="inlineStr" s="2909">
        <is>
          <t>20070107</t>
        </is>
      </c>
      <c r="AD665" t="n" s="2909">
        <v>12</v>
      </c>
      <c r="AE665" t="inlineStr" s="2909">
        <is>
          <t>20091201</t>
        </is>
      </c>
      <c r="AH665" t="n" s="2909">
        <v>0</v>
      </c>
      <c r="AJ665" t="n" s="2909">
        <v>10</v>
      </c>
      <c r="AP665" t="n" s="2909">
        <v>1</v>
      </c>
      <c r="DB665" s="2909" t="str">
        <f>IF($A665="","",IF(AND($A665=21,$AE665&amp;""="00000000"),IF($AH665=20,"病院",IF($AH665=5,"消防","市長")),"対象外"))</f>
        <v>対象外</v>
      </c>
    </row>
    <row r="666">
      <c r="A666" t="n" s="2909">
        <v>21</v>
      </c>
      <c r="AA666" t="n" s="2909">
        <v>21</v>
      </c>
      <c r="AB666" t="inlineStr" s="2909">
        <is>
          <t>20040401</t>
        </is>
      </c>
      <c r="AD666" t="n" s="2909">
        <v>12</v>
      </c>
      <c r="AE666" t="inlineStr" s="2909">
        <is>
          <t>20091201</t>
        </is>
      </c>
      <c r="AH666" t="n" s="2909">
        <v>0</v>
      </c>
      <c r="AJ666" t="n" s="2909">
        <v>10</v>
      </c>
      <c r="AP666" t="n" s="2909">
        <v>1</v>
      </c>
      <c r="DB666" s="2909" t="str">
        <f>IF($A666="","",IF(AND($A666=21,$AE666&amp;""="00000000"),IF($AH666=20,"病院",IF($AH666=5,"消防","市長")),"対象外"))</f>
        <v>対象外</v>
      </c>
    </row>
    <row r="667">
      <c r="A667" t="n" s="2909">
        <v>21</v>
      </c>
      <c r="AA667" t="n" s="2909">
        <v>21</v>
      </c>
      <c r="AB667" t="inlineStr" s="2909">
        <is>
          <t>20090401</t>
        </is>
      </c>
      <c r="AD667" t="n" s="2909">
        <v>12</v>
      </c>
      <c r="AE667" t="inlineStr" s="2909">
        <is>
          <t>20090613</t>
        </is>
      </c>
      <c r="AH667" t="n" s="2909">
        <v>0</v>
      </c>
      <c r="AJ667" t="n" s="2909">
        <v>10</v>
      </c>
      <c r="AP667" t="n" s="2909">
        <v>138789</v>
      </c>
      <c r="DB667" s="2909" t="str">
        <f>IF($A667="","",IF(AND($A667=21,$AE667&amp;""="00000000"),IF($AH667=20,"病院",IF($AH667=5,"消防","市長")),"対象外"))</f>
        <v>対象外</v>
      </c>
    </row>
    <row r="668">
      <c r="A668" t="n" s="2909">
        <v>21</v>
      </c>
      <c r="AA668" t="n" s="2909">
        <v>21</v>
      </c>
      <c r="AB668" t="inlineStr" s="2909">
        <is>
          <t>20080101</t>
        </is>
      </c>
      <c r="AD668" t="n" s="2909">
        <v>12</v>
      </c>
      <c r="AE668" t="inlineStr" s="2909">
        <is>
          <t>20090101</t>
        </is>
      </c>
      <c r="AH668" t="n" s="2909">
        <v>0</v>
      </c>
      <c r="AJ668" t="n" s="2909">
        <v>10</v>
      </c>
      <c r="AP668" t="n" s="2909">
        <v>166244</v>
      </c>
      <c r="DB668" s="2909" t="str">
        <f>IF($A668="","",IF(AND($A668=21,$AE668&amp;""="00000000"),IF($AH668=20,"病院",IF($AH668=5,"消防","市長")),"対象外"))</f>
        <v>対象外</v>
      </c>
    </row>
    <row r="669">
      <c r="A669" t="n" s="2909">
        <v>21</v>
      </c>
      <c r="AA669" t="n" s="2909">
        <v>21</v>
      </c>
      <c r="AB669" t="inlineStr" s="2909">
        <is>
          <t>19880301</t>
        </is>
      </c>
      <c r="AD669" t="n" s="2909">
        <v>12</v>
      </c>
      <c r="AE669" t="inlineStr" s="2909">
        <is>
          <t>20240401</t>
        </is>
      </c>
      <c r="AH669" t="n" s="2909">
        <v>1</v>
      </c>
      <c r="AJ669" t="n" s="2909">
        <v>10</v>
      </c>
      <c r="AP669" t="n" s="2909">
        <v>440000</v>
      </c>
      <c r="DB669" s="2909" t="str">
        <f>IF($A669="","",IF(AND($A669=21,$AE669&amp;""="00000000"),IF($AH669=20,"病院",IF($AH669=5,"消防","市長")),"対象外"))</f>
        <v>対象外</v>
      </c>
    </row>
    <row r="670">
      <c r="A670" t="n" s="2909">
        <v>31</v>
      </c>
      <c r="AA670" t="n" s="2909">
        <v>21</v>
      </c>
      <c r="AB670" t="inlineStr" s="2909">
        <is>
          <t>20221001</t>
        </is>
      </c>
      <c r="AD670" t="n" s="2909">
        <v>12</v>
      </c>
      <c r="AE670" t="inlineStr" s="2909">
        <is>
          <t>20230325</t>
        </is>
      </c>
      <c r="AH670" t="n" s="2909">
        <v>11</v>
      </c>
      <c r="AJ670" t="n" s="2909">
        <v>41</v>
      </c>
      <c r="AP670" t="n" s="2909">
        <v>104000</v>
      </c>
      <c r="DB670" s="2909" t="str">
        <f>IF($A670="","",IF(AND($A670=21,$AE670&amp;""="00000000"),IF($AH670=20,"病院",IF($AH670=5,"消防","市長")),"対象外"))</f>
        <v>対象外</v>
      </c>
    </row>
    <row r="671">
      <c r="A671" t="n" s="2909">
        <v>21</v>
      </c>
      <c r="AA671" t="n" s="2909">
        <v>21</v>
      </c>
      <c r="AB671" t="inlineStr" s="2909">
        <is>
          <t>20040901</t>
        </is>
      </c>
      <c r="AD671" t="n" s="2909">
        <v>12</v>
      </c>
      <c r="AE671" t="inlineStr" s="2909">
        <is>
          <t>20090621</t>
        </is>
      </c>
      <c r="AH671" t="n" s="2909">
        <v>0</v>
      </c>
      <c r="AJ671" t="n" s="2909">
        <v>10</v>
      </c>
      <c r="AP671" t="n" s="2909">
        <v>177300</v>
      </c>
      <c r="DB671" s="2909" t="str">
        <f>IF($A671="","",IF(AND($A671=21,$AE671&amp;""="00000000"),IF($AH671=20,"病院",IF($AH671=5,"消防","市長")),"対象外"))</f>
        <v>対象外</v>
      </c>
    </row>
    <row r="672">
      <c r="A672" t="n" s="2909">
        <v>21</v>
      </c>
      <c r="AA672" t="n" s="2909">
        <v>21</v>
      </c>
      <c r="AB672" t="inlineStr" s="2909">
        <is>
          <t>20090105</t>
        </is>
      </c>
      <c r="AD672" t="n" s="2909">
        <v>12</v>
      </c>
      <c r="AE672" t="inlineStr" s="2909">
        <is>
          <t>20091201</t>
        </is>
      </c>
      <c r="AH672" t="n" s="2909">
        <v>0</v>
      </c>
      <c r="AJ672" t="n" s="2909">
        <v>10</v>
      </c>
      <c r="AP672" t="n" s="2909">
        <v>1</v>
      </c>
      <c r="DB672" s="2909" t="str">
        <f>IF($A672="","",IF(AND($A672=21,$AE672&amp;""="00000000"),IF($AH672=20,"病院",IF($AH672=5,"消防","市長")),"対象外"))</f>
        <v>対象外</v>
      </c>
    </row>
    <row r="673">
      <c r="A673" t="n" s="2909">
        <v>21</v>
      </c>
      <c r="AA673" t="n" s="2909">
        <v>21</v>
      </c>
      <c r="AB673" t="inlineStr" s="2909">
        <is>
          <t>20070801</t>
        </is>
      </c>
      <c r="AD673" t="n" s="2909">
        <v>12</v>
      </c>
      <c r="AE673" t="inlineStr" s="2909">
        <is>
          <t>20091201</t>
        </is>
      </c>
      <c r="AH673" t="n" s="2909">
        <v>0</v>
      </c>
      <c r="AJ673" t="n" s="2909">
        <v>10</v>
      </c>
      <c r="AP673" t="n" s="2909">
        <v>1</v>
      </c>
      <c r="DB673" s="2909" t="str">
        <f>IF($A673="","",IF(AND($A673=21,$AE673&amp;""="00000000"),IF($AH673=20,"病院",IF($AH673=5,"消防","市長")),"対象外"))</f>
        <v>対象外</v>
      </c>
    </row>
    <row r="674">
      <c r="A674" t="n" s="2909">
        <v>21</v>
      </c>
      <c r="AA674" t="n" s="2909">
        <v>21</v>
      </c>
      <c r="AB674" t="inlineStr" s="2909">
        <is>
          <t>20091002</t>
        </is>
      </c>
      <c r="AD674" t="n" s="2909">
        <v>12</v>
      </c>
      <c r="AE674" t="inlineStr" s="2909">
        <is>
          <t>20091201</t>
        </is>
      </c>
      <c r="AH674" t="n" s="2909">
        <v>0</v>
      </c>
      <c r="AJ674" t="n" s="2909">
        <v>10</v>
      </c>
      <c r="AP674" t="n" s="2909">
        <v>134400</v>
      </c>
      <c r="DB674" s="2909" t="str">
        <f>IF($A674="","",IF(AND($A674=21,$AE674&amp;""="00000000"),IF($AH674=20,"病院",IF($AH674=5,"消防","市長")),"対象外"))</f>
        <v>対象外</v>
      </c>
    </row>
    <row r="675">
      <c r="A675" t="n" s="2909">
        <v>21</v>
      </c>
      <c r="AA675" t="n" s="2909">
        <v>21</v>
      </c>
      <c r="AB675" t="inlineStr" s="2909">
        <is>
          <t>20050404</t>
        </is>
      </c>
      <c r="AD675" t="n" s="2909">
        <v>12</v>
      </c>
      <c r="AE675" t="inlineStr" s="2909">
        <is>
          <t>20071101</t>
        </is>
      </c>
      <c r="AH675" t="n" s="2909">
        <v>0</v>
      </c>
      <c r="AJ675" t="n" s="2909">
        <v>10</v>
      </c>
      <c r="AP675" t="n" s="2909">
        <v>1</v>
      </c>
      <c r="DB675" s="2909" t="str">
        <f>IF($A675="","",IF(AND($A675=21,$AE675&amp;""="00000000"),IF($AH675=20,"病院",IF($AH675=5,"消防","市長")),"対象外"))</f>
        <v>対象外</v>
      </c>
    </row>
    <row r="676">
      <c r="A676" t="n" s="2909">
        <v>21</v>
      </c>
      <c r="AA676" t="n" s="2909">
        <v>21</v>
      </c>
      <c r="AB676" t="inlineStr" s="2909">
        <is>
          <t>19880401</t>
        </is>
      </c>
      <c r="AD676" t="n" s="2909">
        <v>12</v>
      </c>
      <c r="AE676" t="inlineStr" s="2909">
        <is>
          <t>20210401</t>
        </is>
      </c>
      <c r="AH676" t="n" s="2909">
        <v>1</v>
      </c>
      <c r="AJ676" t="n" s="2909">
        <v>10</v>
      </c>
      <c r="AP676" t="n" s="2909">
        <v>620000</v>
      </c>
      <c r="DB676" s="2909" t="str">
        <f>IF($A676="","",IF(AND($A676=21,$AE676&amp;""="00000000"),IF($AH676=20,"病院",IF($AH676=5,"消防","市長")),"対象外"))</f>
        <v>対象外</v>
      </c>
    </row>
    <row r="677">
      <c r="A677" t="n" s="2909">
        <v>21</v>
      </c>
      <c r="AA677" t="n" s="2909">
        <v>21</v>
      </c>
      <c r="AB677" t="inlineStr" s="2909">
        <is>
          <t>19961101</t>
        </is>
      </c>
      <c r="AD677" t="n" s="2909">
        <v>12</v>
      </c>
      <c r="AE677" t="inlineStr" s="2909">
        <is>
          <t>20091201</t>
        </is>
      </c>
      <c r="AH677" t="n" s="2909">
        <v>0</v>
      </c>
      <c r="AJ677" t="n" s="2909">
        <v>10</v>
      </c>
      <c r="AP677" t="n" s="2909">
        <v>1</v>
      </c>
      <c r="DB677" s="2909" t="str">
        <f>IF($A677="","",IF(AND($A677=21,$AE677&amp;""="00000000"),IF($AH677=20,"病院",IF($AH677=5,"消防","市長")),"対象外"))</f>
        <v>対象外</v>
      </c>
    </row>
    <row r="678">
      <c r="A678" t="n" s="2909">
        <v>21</v>
      </c>
      <c r="AA678" t="n" s="2909">
        <v>21</v>
      </c>
      <c r="AB678" t="inlineStr" s="2909">
        <is>
          <t>20040401</t>
        </is>
      </c>
      <c r="AD678" t="n" s="2909">
        <v>12</v>
      </c>
      <c r="AE678" t="inlineStr" s="2909">
        <is>
          <t>20091201</t>
        </is>
      </c>
      <c r="AH678" t="n" s="2909">
        <v>0</v>
      </c>
      <c r="AJ678" t="n" s="2909">
        <v>10</v>
      </c>
      <c r="AP678" t="n" s="2909">
        <v>1</v>
      </c>
      <c r="DB678" s="2909" t="str">
        <f>IF($A678="","",IF(AND($A678=21,$AE678&amp;""="00000000"),IF($AH678=20,"病院",IF($AH678=5,"消防","市長")),"対象外"))</f>
        <v>対象外</v>
      </c>
    </row>
    <row r="679">
      <c r="A679" t="n" s="2909">
        <v>21</v>
      </c>
      <c r="AA679" t="n" s="2909">
        <v>21</v>
      </c>
      <c r="AB679" t="inlineStr" s="2909">
        <is>
          <t>19900401</t>
        </is>
      </c>
      <c r="AD679" t="n" s="2909">
        <v>12</v>
      </c>
      <c r="AE679" t="inlineStr" s="2909">
        <is>
          <t>20091201</t>
        </is>
      </c>
      <c r="AH679" t="n" s="2909">
        <v>0</v>
      </c>
      <c r="AJ679" t="n" s="2909">
        <v>10</v>
      </c>
      <c r="AP679" t="n" s="2909">
        <v>1</v>
      </c>
      <c r="DB679" s="2909" t="str">
        <f>IF($A679="","",IF(AND($A679=21,$AE679&amp;""="00000000"),IF($AH679=20,"病院",IF($AH679=5,"消防","市長")),"対象外"))</f>
        <v>対象外</v>
      </c>
    </row>
    <row r="680">
      <c r="A680" t="n" s="2909">
        <v>21</v>
      </c>
      <c r="AA680" t="n" s="2909">
        <v>21</v>
      </c>
      <c r="AB680" t="inlineStr" s="2909">
        <is>
          <t>19900501</t>
        </is>
      </c>
      <c r="AD680" t="n" s="2909">
        <v>12</v>
      </c>
      <c r="AE680" t="inlineStr" s="2909">
        <is>
          <t>20080701</t>
        </is>
      </c>
      <c r="AH680" t="n" s="2909">
        <v>0</v>
      </c>
      <c r="AJ680" t="n" s="2909">
        <v>10</v>
      </c>
      <c r="AP680" t="n" s="2909">
        <v>1</v>
      </c>
      <c r="DB680" s="2909" t="str">
        <f>IF($A680="","",IF(AND($A680=21,$AE680&amp;""="00000000"),IF($AH680=20,"病院",IF($AH680=5,"消防","市長")),"対象外"))</f>
        <v>対象外</v>
      </c>
    </row>
    <row r="681">
      <c r="A681" t="n" s="2909">
        <v>21</v>
      </c>
      <c r="AA681" t="n" s="2909">
        <v>21</v>
      </c>
      <c r="AB681" t="inlineStr" s="2909">
        <is>
          <t>20081224</t>
        </is>
      </c>
      <c r="AD681" t="n" s="2909">
        <v>12</v>
      </c>
      <c r="AE681" t="inlineStr" s="2909">
        <is>
          <t>20090201</t>
        </is>
      </c>
      <c r="AH681" t="n" s="2909">
        <v>0</v>
      </c>
      <c r="AJ681" t="n" s="2909">
        <v>10</v>
      </c>
      <c r="AP681" t="n" s="2909">
        <v>109620</v>
      </c>
      <c r="DB681" s="2909" t="str">
        <f>IF($A681="","",IF(AND($A681=21,$AE681&amp;""="00000000"),IF($AH681=20,"病院",IF($AH681=5,"消防","市長")),"対象外"))</f>
        <v>対象外</v>
      </c>
    </row>
    <row r="682">
      <c r="A682" t="n" s="2909">
        <v>21</v>
      </c>
      <c r="AA682" t="n" s="2909">
        <v>21</v>
      </c>
      <c r="AB682" t="inlineStr" s="2909">
        <is>
          <t>19870401</t>
        </is>
      </c>
      <c r="AD682" t="n" s="2909">
        <v>12</v>
      </c>
      <c r="AE682" t="inlineStr" s="2909">
        <is>
          <t>20180401</t>
        </is>
      </c>
      <c r="AH682" t="n" s="2909">
        <v>1</v>
      </c>
      <c r="AJ682" t="n" s="2909">
        <v>10</v>
      </c>
      <c r="AP682" t="n" s="2909">
        <v>500000</v>
      </c>
      <c r="DB682" s="2909" t="str">
        <f>IF($A682="","",IF(AND($A682=21,$AE682&amp;""="00000000"),IF($AH682=20,"病院",IF($AH682=5,"消防","市長")),"対象外"))</f>
        <v>対象外</v>
      </c>
    </row>
    <row r="683">
      <c r="A683" t="n" s="2909">
        <v>21</v>
      </c>
      <c r="AA683" t="n" s="2909">
        <v>21</v>
      </c>
      <c r="AB683" t="inlineStr" s="2909">
        <is>
          <t>20050301</t>
        </is>
      </c>
      <c r="AD683" t="n" s="2909">
        <v>12</v>
      </c>
      <c r="AE683" t="inlineStr" s="2909">
        <is>
          <t>20091201</t>
        </is>
      </c>
      <c r="AH683" t="n" s="2909">
        <v>0</v>
      </c>
      <c r="AJ683" t="n" s="2909">
        <v>10</v>
      </c>
      <c r="AP683" t="n" s="2909">
        <v>1</v>
      </c>
      <c r="DB683" s="2909" t="str">
        <f>IF($A683="","",IF(AND($A683=21,$AE683&amp;""="00000000"),IF($AH683=20,"病院",IF($AH683=5,"消防","市長")),"対象外"))</f>
        <v>対象外</v>
      </c>
    </row>
    <row r="684">
      <c r="A684" t="n" s="2909">
        <v>21</v>
      </c>
      <c r="AA684" t="n" s="2909">
        <v>21</v>
      </c>
      <c r="AB684" t="inlineStr" s="2909">
        <is>
          <t>20091001</t>
        </is>
      </c>
      <c r="AD684" t="n" s="2909">
        <v>12</v>
      </c>
      <c r="AE684" t="inlineStr" s="2909">
        <is>
          <t>20091101</t>
        </is>
      </c>
      <c r="AH684" t="n" s="2909">
        <v>0</v>
      </c>
      <c r="AJ684" t="n" s="2909">
        <v>10</v>
      </c>
      <c r="AP684" t="n" s="2909">
        <v>165400</v>
      </c>
      <c r="DB684" s="2909" t="str">
        <f>IF($A684="","",IF(AND($A684=21,$AE684&amp;""="00000000"),IF($AH684=20,"病院",IF($AH684=5,"消防","市長")),"対象外"))</f>
        <v>対象外</v>
      </c>
    </row>
    <row r="685">
      <c r="A685" t="n" s="2909">
        <v>31</v>
      </c>
      <c r="AA685" t="n" s="2909">
        <v>21</v>
      </c>
      <c r="AB685" t="inlineStr" s="2909">
        <is>
          <t>20221001</t>
        </is>
      </c>
      <c r="AD685" t="n" s="2909">
        <v>12</v>
      </c>
      <c r="AE685" t="inlineStr" s="2909">
        <is>
          <t>20250320</t>
        </is>
      </c>
      <c r="AH685" t="n" s="2909">
        <v>11</v>
      </c>
      <c r="AJ685" t="n" s="2909">
        <v>41</v>
      </c>
      <c r="AP685" t="n" s="2909">
        <v>98000</v>
      </c>
      <c r="DB685" s="2909" t="str">
        <f>IF($A685="","",IF(AND($A685=21,$AE685&amp;""="00000000"),IF($AH685=20,"病院",IF($AH685=5,"消防","市長")),"対象外"))</f>
        <v>対象外</v>
      </c>
    </row>
    <row r="686">
      <c r="A686" t="n" s="2909">
        <v>31</v>
      </c>
      <c r="AA686" t="n" s="2909">
        <v>21</v>
      </c>
      <c r="AB686" t="inlineStr" s="2909">
        <is>
          <t>20221201</t>
        </is>
      </c>
      <c r="AD686" t="n" s="2909">
        <v>12</v>
      </c>
      <c r="AE686" t="inlineStr" s="2909">
        <is>
          <t>20240601</t>
        </is>
      </c>
      <c r="AH686" t="n" s="2909">
        <v>20</v>
      </c>
      <c r="AJ686" t="n" s="2909">
        <v>41</v>
      </c>
      <c r="AP686" t="n" s="2909">
        <v>150000</v>
      </c>
      <c r="DB686" s="2909" t="str">
        <f>IF($A686="","",IF(AND($A686=21,$AE686&amp;""="00000000"),IF($AH686=20,"病院",IF($AH686=5,"消防","市長")),"対象外"))</f>
        <v>対象外</v>
      </c>
    </row>
    <row r="687">
      <c r="A687" t="n" s="2909">
        <v>21</v>
      </c>
      <c r="AA687" t="n" s="2909">
        <v>21</v>
      </c>
      <c r="AB687" t="inlineStr" s="2909">
        <is>
          <t>20091020</t>
        </is>
      </c>
      <c r="AD687" t="n" s="2909">
        <v>12</v>
      </c>
      <c r="AE687" t="inlineStr" s="2909">
        <is>
          <t>20091201</t>
        </is>
      </c>
      <c r="AH687" t="n" s="2909">
        <v>0</v>
      </c>
      <c r="AJ687" t="n" s="2909">
        <v>10</v>
      </c>
      <c r="AP687" t="n" s="2909">
        <v>133260</v>
      </c>
      <c r="DB687" s="2909" t="str">
        <f>IF($A687="","",IF(AND($A687=21,$AE687&amp;""="00000000"),IF($AH687=20,"病院",IF($AH687=5,"消防","市長")),"対象外"))</f>
        <v>対象外</v>
      </c>
    </row>
    <row r="688">
      <c r="A688" t="n" s="2909">
        <v>21</v>
      </c>
      <c r="AA688" t="n" s="2909">
        <v>21</v>
      </c>
      <c r="AB688" t="inlineStr" s="2909">
        <is>
          <t>20020401</t>
        </is>
      </c>
      <c r="AD688" t="n" s="2909">
        <v>12</v>
      </c>
      <c r="AE688" t="inlineStr" s="2909">
        <is>
          <t>20091201</t>
        </is>
      </c>
      <c r="AH688" t="n" s="2909">
        <v>0</v>
      </c>
      <c r="AJ688" t="n" s="2909">
        <v>10</v>
      </c>
      <c r="AP688" t="n" s="2909">
        <v>1</v>
      </c>
      <c r="DB688" s="2909" t="str">
        <f>IF($A688="","",IF(AND($A688=21,$AE688&amp;""="00000000"),IF($AH688=20,"病院",IF($AH688=5,"消防","市長")),"対象外"))</f>
        <v>対象外</v>
      </c>
    </row>
    <row r="689">
      <c r="A689" t="n" s="2909">
        <v>21</v>
      </c>
      <c r="AA689" t="n" s="2909">
        <v>21</v>
      </c>
      <c r="AB689" t="inlineStr" s="2909">
        <is>
          <t>19860701</t>
        </is>
      </c>
      <c r="AD689" t="n" s="2909">
        <v>15</v>
      </c>
      <c r="AE689" t="inlineStr" s="2909">
        <is>
          <t>20161008</t>
        </is>
      </c>
      <c r="AH689" t="n" s="2909">
        <v>20</v>
      </c>
      <c r="AJ689" t="n" s="2909">
        <v>10</v>
      </c>
      <c r="AP689" t="n" s="2909">
        <v>680000</v>
      </c>
      <c r="DB689" s="2909" t="str">
        <f>IF($A689="","",IF(AND($A689=21,$AE689&amp;""="00000000"),IF($AH689=20,"病院",IF($AH689=5,"消防","市長")),"対象外"))</f>
        <v>対象外</v>
      </c>
    </row>
    <row r="690">
      <c r="A690" t="n" s="2909">
        <v>21</v>
      </c>
      <c r="AA690" t="n" s="2909">
        <v>21</v>
      </c>
      <c r="AB690" t="inlineStr" s="2909">
        <is>
          <t>20180601</t>
        </is>
      </c>
      <c r="AD690" t="n" s="2909">
        <v>12</v>
      </c>
      <c r="AE690" t="inlineStr" s="2909">
        <is>
          <t>20201101</t>
        </is>
      </c>
      <c r="AH690" t="n" s="2909">
        <v>20</v>
      </c>
      <c r="AJ690" t="n" s="2909">
        <v>10</v>
      </c>
      <c r="AP690" t="n" s="2909">
        <v>300000</v>
      </c>
      <c r="DB690" s="2909" t="str">
        <f>IF($A690="","",IF(AND($A690=21,$AE690&amp;""="00000000"),IF($AH690=20,"病院",IF($AH690=5,"消防","市長")),"対象外"))</f>
        <v>対象外</v>
      </c>
    </row>
    <row r="691">
      <c r="A691" t="n" s="2909">
        <v>31</v>
      </c>
      <c r="AA691" t="n" s="2909">
        <v>21</v>
      </c>
      <c r="AB691" t="inlineStr" s="2909">
        <is>
          <t>20240401</t>
        </is>
      </c>
      <c r="AD691" t="n" s="2909">
        <v>12</v>
      </c>
      <c r="AE691" t="inlineStr" s="2909">
        <is>
          <t>20240427</t>
        </is>
      </c>
      <c r="AH691" t="n" s="2909">
        <v>1</v>
      </c>
      <c r="AJ691" t="n" s="2909">
        <v>41</v>
      </c>
      <c r="AP691" t="n" s="2909">
        <v>170000</v>
      </c>
      <c r="DB691" s="2909" t="str">
        <f>IF($A691="","",IF(AND($A691=21,$AE691&amp;""="00000000"),IF($AH691=20,"病院",IF($AH691=5,"消防","市長")),"対象外"))</f>
        <v>対象外</v>
      </c>
    </row>
    <row r="692">
      <c r="A692" t="n" s="2909">
        <v>21</v>
      </c>
      <c r="AA692" t="n" s="2909">
        <v>21</v>
      </c>
      <c r="AB692" t="inlineStr" s="2909">
        <is>
          <t>20100401</t>
        </is>
      </c>
      <c r="AD692" t="n" s="2909">
        <v>12</v>
      </c>
      <c r="AE692" t="inlineStr" s="2909">
        <is>
          <t>20160401</t>
        </is>
      </c>
      <c r="AH692" t="n" s="2909">
        <v>11</v>
      </c>
      <c r="AJ692" t="n" s="2909">
        <v>10</v>
      </c>
      <c r="AP692" t="n" s="2909">
        <v>560000</v>
      </c>
      <c r="DB692" s="2909" t="str">
        <f>IF($A692="","",IF(AND($A692=21,$AE692&amp;""="00000000"),IF($AH692=20,"病院",IF($AH692=5,"消防","市長")),"対象外"))</f>
        <v>対象外</v>
      </c>
    </row>
    <row r="693">
      <c r="A693" t="n" s="2909">
        <v>31</v>
      </c>
      <c r="AA693" t="n" s="2909">
        <v>21</v>
      </c>
      <c r="AB693" t="inlineStr" s="2909">
        <is>
          <t>20230508</t>
        </is>
      </c>
      <c r="AD693" t="n" s="2909">
        <v>12</v>
      </c>
      <c r="AE693" t="inlineStr" s="2909">
        <is>
          <t>20230512</t>
        </is>
      </c>
      <c r="AH693" t="n" s="2909">
        <v>11</v>
      </c>
      <c r="AJ693" t="n" s="2909">
        <v>41</v>
      </c>
      <c r="AP693" t="n" s="2909">
        <v>88000</v>
      </c>
      <c r="DB693" s="2909" t="str">
        <f>IF($A693="","",IF(AND($A693=21,$AE693&amp;""="00000000"),IF($AH693=20,"病院",IF($AH693=5,"消防","市長")),"対象外"))</f>
        <v>対象外</v>
      </c>
    </row>
    <row r="694">
      <c r="A694" t="n" s="2909">
        <v>21</v>
      </c>
      <c r="AA694" t="n" s="2909">
        <v>24</v>
      </c>
      <c r="AB694" t="inlineStr" s="2909">
        <is>
          <t>20090901</t>
        </is>
      </c>
      <c r="AD694" t="n" s="2909">
        <v>12</v>
      </c>
      <c r="AE694" t="inlineStr" s="2909">
        <is>
          <t>20091201</t>
        </is>
      </c>
      <c r="AH694" t="n" s="2909">
        <v>0</v>
      </c>
      <c r="AJ694" t="n" s="2909">
        <v>10</v>
      </c>
      <c r="AP694" t="n" s="2909">
        <v>158760</v>
      </c>
      <c r="DB694" s="2909" t="str">
        <f>IF($A694="","",IF(AND($A694=21,$AE694&amp;""="00000000"),IF($AH694=20,"病院",IF($AH694=5,"消防","市長")),"対象外"))</f>
        <v>対象外</v>
      </c>
    </row>
    <row r="695">
      <c r="A695" t="n" s="2909">
        <v>21</v>
      </c>
      <c r="AA695" t="n" s="2909">
        <v>21</v>
      </c>
      <c r="AB695" t="inlineStr" s="2909">
        <is>
          <t>20171201</t>
        </is>
      </c>
      <c r="AD695" t="n" s="2909">
        <v>12</v>
      </c>
      <c r="AE695" t="inlineStr" s="2909">
        <is>
          <t>20241201</t>
        </is>
      </c>
      <c r="AH695" t="n" s="2909">
        <v>20</v>
      </c>
      <c r="AJ695" t="n" s="2909">
        <v>10</v>
      </c>
      <c r="AP695" t="n" s="2909">
        <v>260000</v>
      </c>
      <c r="DB695" s="2909" t="str">
        <f>IF($A695="","",IF(AND($A695=21,$AE695&amp;""="00000000"),IF($AH695=20,"病院",IF($AH695=5,"消防","市長")),"対象外"))</f>
        <v>対象外</v>
      </c>
    </row>
    <row r="696">
      <c r="A696" t="n" s="2909">
        <v>31</v>
      </c>
      <c r="AA696" t="n" s="2909">
        <v>21</v>
      </c>
      <c r="AB696" t="inlineStr" s="2909">
        <is>
          <t>20241201</t>
        </is>
      </c>
      <c r="AD696" t="n" s="2909">
        <v>12</v>
      </c>
      <c r="AE696" t="inlineStr" s="2909">
        <is>
          <t>20250921</t>
        </is>
      </c>
      <c r="AH696" t="n" s="2909">
        <v>20</v>
      </c>
      <c r="AJ696" t="n" s="2909">
        <v>41</v>
      </c>
      <c r="AP696" t="n" s="2909">
        <v>180000</v>
      </c>
      <c r="DB696" s="2909" t="str">
        <f>IF($A696="","",IF(AND($A696=21,$AE696&amp;""="00000000"),IF($AH696=20,"病院",IF($AH696=5,"消防","市長")),"対象外"))</f>
        <v>対象外</v>
      </c>
    </row>
    <row r="697">
      <c r="A697" t="n" s="2909">
        <v>31</v>
      </c>
      <c r="AA697" t="n" s="2909">
        <v>21</v>
      </c>
      <c r="AB697" t="inlineStr" s="2909">
        <is>
          <t>20231101</t>
        </is>
      </c>
      <c r="AD697" t="n" s="2909">
        <v>12</v>
      </c>
      <c r="AE697" t="inlineStr" s="2909">
        <is>
          <t>20240901</t>
        </is>
      </c>
      <c r="AH697" t="n" s="2909">
        <v>1</v>
      </c>
      <c r="AJ697" t="n" s="2909">
        <v>41</v>
      </c>
      <c r="AP697" t="n" s="2909">
        <v>180000</v>
      </c>
      <c r="DB697" s="2909" t="str">
        <f>IF($A697="","",IF(AND($A697=21,$AE697&amp;""="00000000"),IF($AH697=20,"病院",IF($AH697=5,"消防","市長")),"対象外"))</f>
        <v>対象外</v>
      </c>
    </row>
    <row r="698">
      <c r="A698" t="n" s="2909">
        <v>21</v>
      </c>
      <c r="AA698" t="n" s="2909">
        <v>21</v>
      </c>
      <c r="AB698" t="inlineStr" s="2909">
        <is>
          <t>20081001</t>
        </is>
      </c>
      <c r="AD698" t="n" s="2909">
        <v>12</v>
      </c>
      <c r="AE698" t="inlineStr" s="2909">
        <is>
          <t>20091201</t>
        </is>
      </c>
      <c r="AH698" t="n" s="2909">
        <v>0</v>
      </c>
      <c r="AJ698" t="n" s="2909">
        <v>10</v>
      </c>
      <c r="AP698" t="n" s="2909">
        <v>1</v>
      </c>
      <c r="DB698" s="2909" t="str">
        <f>IF($A698="","",IF(AND($A698=21,$AE698&amp;""="00000000"),IF($AH698=20,"病院",IF($AH698=5,"消防","市長")),"対象外"))</f>
        <v>対象外</v>
      </c>
    </row>
    <row r="699">
      <c r="A699" t="n" s="2909">
        <v>31</v>
      </c>
      <c r="AA699" t="n" s="2909">
        <v>21</v>
      </c>
      <c r="AB699" t="inlineStr" s="2909">
        <is>
          <t>20221001</t>
        </is>
      </c>
      <c r="AD699" t="n" s="2909">
        <v>12</v>
      </c>
      <c r="AE699" t="inlineStr" s="2909">
        <is>
          <t>20221201</t>
        </is>
      </c>
      <c r="AH699" t="n" s="2909">
        <v>20</v>
      </c>
      <c r="AJ699" t="n" s="2909">
        <v>41</v>
      </c>
      <c r="AP699" t="n" s="2909">
        <v>150000</v>
      </c>
      <c r="DB699" s="2909" t="str">
        <f>IF($A699="","",IF(AND($A699=21,$AE699&amp;""="00000000"),IF($AH699=20,"病院",IF($AH699=5,"消防","市長")),"対象外"))</f>
        <v>対象外</v>
      </c>
    </row>
    <row r="700">
      <c r="A700" t="n" s="2909">
        <v>21</v>
      </c>
      <c r="AA700" t="n" s="2909">
        <v>21</v>
      </c>
      <c r="AB700" t="inlineStr" s="2909">
        <is>
          <t>20140701</t>
        </is>
      </c>
      <c r="AD700" t="n" s="2909">
        <v>12</v>
      </c>
      <c r="AE700" t="inlineStr" s="2909">
        <is>
          <t>20150501</t>
        </is>
      </c>
      <c r="AH700" t="n" s="2909">
        <v>20</v>
      </c>
      <c r="AJ700" t="n" s="2909">
        <v>10</v>
      </c>
      <c r="AP700" t="n" s="2909">
        <v>311100</v>
      </c>
      <c r="DB700" s="2909" t="str">
        <f>IF($A700="","",IF(AND($A700=21,$AE700&amp;""="00000000"),IF($AH700=20,"病院",IF($AH700=5,"消防","市長")),"対象外"))</f>
        <v>対象外</v>
      </c>
    </row>
    <row r="701">
      <c r="A701" t="n" s="2909">
        <v>31</v>
      </c>
      <c r="AA701" t="n" s="2909">
        <v>21</v>
      </c>
      <c r="AB701" t="inlineStr" s="2909">
        <is>
          <t>20230201</t>
        </is>
      </c>
      <c r="AD701" t="n" s="2909">
        <v>12</v>
      </c>
      <c r="AE701" t="inlineStr" s="2909">
        <is>
          <t>20231028</t>
        </is>
      </c>
      <c r="AH701" t="n" s="2909">
        <v>11</v>
      </c>
      <c r="AJ701" t="n" s="2909">
        <v>41</v>
      </c>
      <c r="AP701" t="n" s="2909">
        <v>104000</v>
      </c>
      <c r="DB701" s="2909" t="str">
        <f>IF($A701="","",IF(AND($A701=21,$AE701&amp;""="00000000"),IF($AH701=20,"病院",IF($AH701=5,"消防","市長")),"対象外"))</f>
        <v>対象外</v>
      </c>
    </row>
    <row r="702">
      <c r="A702" t="n" s="2909">
        <v>21</v>
      </c>
      <c r="AA702" t="n" s="2909">
        <v>21</v>
      </c>
      <c r="AB702" t="inlineStr" s="2909">
        <is>
          <t>20050301</t>
        </is>
      </c>
      <c r="AD702" t="n" s="2909">
        <v>12</v>
      </c>
      <c r="AE702" t="inlineStr" s="2909">
        <is>
          <t>20091201</t>
        </is>
      </c>
      <c r="AH702" t="n" s="2909">
        <v>0</v>
      </c>
      <c r="AJ702" t="n" s="2909">
        <v>10</v>
      </c>
      <c r="AP702" t="n" s="2909">
        <v>1</v>
      </c>
      <c r="DB702" s="2909" t="str">
        <f>IF($A702="","",IF(AND($A702=21,$AE702&amp;""="00000000"),IF($AH702=20,"病院",IF($AH702=5,"消防","市長")),"対象外"))</f>
        <v>対象外</v>
      </c>
    </row>
    <row r="703">
      <c r="A703" t="n" s="2909">
        <v>21</v>
      </c>
      <c r="AA703" t="n" s="2909">
        <v>21</v>
      </c>
      <c r="AB703" t="inlineStr" s="2909">
        <is>
          <t>20091002</t>
        </is>
      </c>
      <c r="AD703" t="n" s="2909">
        <v>12</v>
      </c>
      <c r="AE703" t="inlineStr" s="2909">
        <is>
          <t>20091201</t>
        </is>
      </c>
      <c r="AH703" t="n" s="2909">
        <v>0</v>
      </c>
      <c r="AJ703" t="n" s="2909">
        <v>10</v>
      </c>
      <c r="AP703" t="n" s="2909">
        <v>136395</v>
      </c>
      <c r="DB703" s="2909" t="str">
        <f>IF($A703="","",IF(AND($A703=21,$AE703&amp;""="00000000"),IF($AH703=20,"病院",IF($AH703=5,"消防","市長")),"対象外"))</f>
        <v>対象外</v>
      </c>
    </row>
    <row r="704">
      <c r="A704" t="n" s="2909">
        <v>21</v>
      </c>
      <c r="AA704" t="n" s="2909">
        <v>21</v>
      </c>
      <c r="AB704" t="inlineStr" s="2909">
        <is>
          <t>20160601</t>
        </is>
      </c>
      <c r="AD704" t="n" s="2909">
        <v>12</v>
      </c>
      <c r="AE704" t="inlineStr" s="2909">
        <is>
          <t>20200701</t>
        </is>
      </c>
      <c r="AH704" t="n" s="2909">
        <v>20</v>
      </c>
      <c r="AJ704" t="n" s="2909">
        <v>10</v>
      </c>
      <c r="AP704" t="n" s="2909">
        <v>240000</v>
      </c>
      <c r="DB704" s="2909" t="str">
        <f>IF($A704="","",IF(AND($A704=21,$AE704&amp;""="00000000"),IF($AH704=20,"病院",IF($AH704=5,"消防","市長")),"対象外"))</f>
        <v>対象外</v>
      </c>
    </row>
    <row r="705">
      <c r="A705" t="n" s="2909">
        <v>21</v>
      </c>
      <c r="AA705" t="n" s="2909">
        <v>21</v>
      </c>
      <c r="AB705" t="inlineStr" s="2909">
        <is>
          <t>20220601</t>
        </is>
      </c>
      <c r="AD705" t="n" s="2909">
        <v>12</v>
      </c>
      <c r="AE705" t="inlineStr" s="2909">
        <is>
          <t>20240701</t>
        </is>
      </c>
      <c r="AH705" t="n" s="2909">
        <v>20</v>
      </c>
      <c r="AJ705" t="n" s="2909">
        <v>10</v>
      </c>
      <c r="AP705" t="n" s="2909">
        <v>240000</v>
      </c>
      <c r="DB705" s="2909" t="str">
        <f>IF($A705="","",IF(AND($A705=21,$AE705&amp;""="00000000"),IF($AH705=20,"病院",IF($AH705=5,"消防","市長")),"対象外"))</f>
        <v>対象外</v>
      </c>
    </row>
    <row r="706">
      <c r="A706" t="n" s="2909">
        <v>31</v>
      </c>
      <c r="AA706" t="n" s="2909">
        <v>21</v>
      </c>
      <c r="AB706" t="inlineStr" s="2909">
        <is>
          <t>20230407</t>
        </is>
      </c>
      <c r="AD706" t="n" s="2909">
        <v>12</v>
      </c>
      <c r="AE706" t="inlineStr" s="2909">
        <is>
          <t>20240326</t>
        </is>
      </c>
      <c r="AH706" t="n" s="2909">
        <v>11</v>
      </c>
      <c r="AJ706" t="n" s="2909">
        <v>41</v>
      </c>
      <c r="AP706" t="n" s="2909">
        <v>110000</v>
      </c>
      <c r="DB706" s="2909" t="str">
        <f>IF($A706="","",IF(AND($A706=21,$AE706&amp;""="00000000"),IF($AH706=20,"病院",IF($AH706=5,"消防","市長")),"対象外"))</f>
        <v>対象外</v>
      </c>
    </row>
    <row r="707">
      <c r="A707" t="n" s="2909">
        <v>31</v>
      </c>
      <c r="AA707" t="n" s="2909">
        <v>21</v>
      </c>
      <c r="AB707" t="inlineStr" s="2909">
        <is>
          <t>20221001</t>
        </is>
      </c>
      <c r="AD707" t="n" s="2909">
        <v>12</v>
      </c>
      <c r="AE707" t="inlineStr" s="2909">
        <is>
          <t>20230325</t>
        </is>
      </c>
      <c r="AH707" t="n" s="2909">
        <v>11</v>
      </c>
      <c r="AJ707" t="n" s="2909">
        <v>41</v>
      </c>
      <c r="AP707" t="n" s="2909">
        <v>118000</v>
      </c>
      <c r="DB707" s="2909" t="str">
        <f>IF($A707="","",IF(AND($A707=21,$AE707&amp;""="00000000"),IF($AH707=20,"病院",IF($AH707=5,"消防","市長")),"対象外"))</f>
        <v>対象外</v>
      </c>
    </row>
    <row r="708">
      <c r="A708" t="n" s="2909">
        <v>21</v>
      </c>
      <c r="AA708" t="n" s="2909">
        <v>21</v>
      </c>
      <c r="AB708" t="inlineStr" s="2909">
        <is>
          <t>20090415</t>
        </is>
      </c>
      <c r="AD708" t="n" s="2909">
        <v>12</v>
      </c>
      <c r="AE708" t="inlineStr" s="2909">
        <is>
          <t>20091001</t>
        </is>
      </c>
      <c r="AH708" t="n" s="2909">
        <v>0</v>
      </c>
      <c r="AJ708" t="n" s="2909">
        <v>10</v>
      </c>
      <c r="AP708" t="n" s="2909">
        <v>1</v>
      </c>
      <c r="DB708" s="2909" t="str">
        <f>IF($A708="","",IF(AND($A708=21,$AE708&amp;""="00000000"),IF($AH708=20,"病院",IF($AH708=5,"消防","市長")),"対象外"))</f>
        <v>対象外</v>
      </c>
    </row>
    <row r="709">
      <c r="A709" t="n" s="2909">
        <v>21</v>
      </c>
      <c r="AA709" t="n" s="2909">
        <v>21</v>
      </c>
      <c r="AB709" t="inlineStr" s="2909">
        <is>
          <t>20080401</t>
        </is>
      </c>
      <c r="AD709" t="n" s="2909">
        <v>12</v>
      </c>
      <c r="AE709" t="inlineStr" s="2909">
        <is>
          <t>20091201</t>
        </is>
      </c>
      <c r="AH709" t="n" s="2909">
        <v>0</v>
      </c>
      <c r="AJ709" t="n" s="2909">
        <v>10</v>
      </c>
      <c r="AP709" t="n" s="2909">
        <v>1</v>
      </c>
      <c r="DB709" s="2909" t="str">
        <f>IF($A709="","",IF(AND($A709=21,$AE709&amp;""="00000000"),IF($AH709=20,"病院",IF($AH709=5,"消防","市長")),"対象外"))</f>
        <v>対象外</v>
      </c>
    </row>
    <row r="710">
      <c r="A710" t="n" s="2909">
        <v>21</v>
      </c>
      <c r="AA710" t="n" s="2909">
        <v>21</v>
      </c>
      <c r="AB710" t="inlineStr" s="2909">
        <is>
          <t>19981001</t>
        </is>
      </c>
      <c r="AD710" t="n" s="2909">
        <v>12</v>
      </c>
      <c r="AE710" t="inlineStr" s="2909">
        <is>
          <t>20091201</t>
        </is>
      </c>
      <c r="AH710" t="n" s="2909">
        <v>0</v>
      </c>
      <c r="AJ710" t="n" s="2909">
        <v>10</v>
      </c>
      <c r="AP710" t="n" s="2909">
        <v>1</v>
      </c>
      <c r="DB710" s="2909" t="str">
        <f>IF($A710="","",IF(AND($A710=21,$AE710&amp;""="00000000"),IF($AH710=20,"病院",IF($AH710=5,"消防","市長")),"対象外"))</f>
        <v>対象外</v>
      </c>
    </row>
    <row r="711">
      <c r="A711" t="n" s="2909">
        <v>21</v>
      </c>
      <c r="AA711" t="n" s="2909">
        <v>21</v>
      </c>
      <c r="AB711" t="inlineStr" s="2909">
        <is>
          <t>20051201</t>
        </is>
      </c>
      <c r="AD711" t="n" s="2909">
        <v>12</v>
      </c>
      <c r="AE711" t="inlineStr" s="2909">
        <is>
          <t>20091201</t>
        </is>
      </c>
      <c r="AH711" t="n" s="2909">
        <v>0</v>
      </c>
      <c r="AJ711" t="n" s="2909">
        <v>10</v>
      </c>
      <c r="AP711" t="n" s="2909">
        <v>1</v>
      </c>
      <c r="DB711" s="2909" t="str">
        <f>IF($A711="","",IF(AND($A711=21,$AE711&amp;""="00000000"),IF($AH711=20,"病院",IF($AH711=5,"消防","市長")),"対象外"))</f>
        <v>対象外</v>
      </c>
    </row>
    <row r="712">
      <c r="A712" t="n" s="2909">
        <v>21</v>
      </c>
      <c r="AA712" t="n" s="2909">
        <v>21</v>
      </c>
      <c r="AB712" t="inlineStr" s="2909">
        <is>
          <t>20080707</t>
        </is>
      </c>
      <c r="AD712" t="n" s="2909">
        <v>12</v>
      </c>
      <c r="AE712" t="inlineStr" s="2909">
        <is>
          <t>20091201</t>
        </is>
      </c>
      <c r="AH712" t="n" s="2909">
        <v>0</v>
      </c>
      <c r="AJ712" t="n" s="2909">
        <v>10</v>
      </c>
      <c r="AP712" t="n" s="2909">
        <v>1</v>
      </c>
      <c r="DB712" s="2909" t="str">
        <f>IF($A712="","",IF(AND($A712=21,$AE712&amp;""="00000000"),IF($AH712=20,"病院",IF($AH712=5,"消防","市長")),"対象外"))</f>
        <v>対象外</v>
      </c>
    </row>
    <row r="713">
      <c r="A713" t="n" s="2909">
        <v>21</v>
      </c>
      <c r="AA713" t="n" s="2909">
        <v>21</v>
      </c>
      <c r="AB713" t="inlineStr" s="2909">
        <is>
          <t>20050701</t>
        </is>
      </c>
      <c r="AD713" t="n" s="2909">
        <v>12</v>
      </c>
      <c r="AE713" t="inlineStr" s="2909">
        <is>
          <t>20091201</t>
        </is>
      </c>
      <c r="AH713" t="n" s="2909">
        <v>0</v>
      </c>
      <c r="AJ713" t="n" s="2909">
        <v>10</v>
      </c>
      <c r="AP713" t="n" s="2909">
        <v>1</v>
      </c>
      <c r="DB713" s="2909" t="str">
        <f>IF($A713="","",IF(AND($A713=21,$AE713&amp;""="00000000"),IF($AH713=20,"病院",IF($AH713=5,"消防","市長")),"対象外"))</f>
        <v>対象外</v>
      </c>
    </row>
    <row r="714">
      <c r="A714" t="n" s="2909">
        <v>21</v>
      </c>
      <c r="AA714" t="n" s="2909">
        <v>21</v>
      </c>
      <c r="AB714" t="inlineStr" s="2909">
        <is>
          <t>20040401</t>
        </is>
      </c>
      <c r="AD714" t="n" s="2909">
        <v>15</v>
      </c>
      <c r="AE714" t="inlineStr" s="2909">
        <is>
          <t>20230815</t>
        </is>
      </c>
      <c r="AH714" t="n" s="2909">
        <v>1</v>
      </c>
      <c r="AJ714" t="n" s="2909">
        <v>10</v>
      </c>
      <c r="AP714" t="n" s="2909">
        <v>380000</v>
      </c>
      <c r="DB714" s="2909" t="str">
        <f>IF($A714="","",IF(AND($A714=21,$AE714&amp;""="00000000"),IF($AH714=20,"病院",IF($AH714=5,"消防","市長")),"対象外"))</f>
        <v>対象外</v>
      </c>
    </row>
    <row r="715">
      <c r="A715" t="n" s="2909">
        <v>21</v>
      </c>
      <c r="AA715" t="n" s="2909">
        <v>21</v>
      </c>
      <c r="AB715" t="inlineStr" s="2909">
        <is>
          <t>19890401</t>
        </is>
      </c>
      <c r="AD715" t="n" s="2909">
        <v>12</v>
      </c>
      <c r="AE715" t="inlineStr" s="2909">
        <is>
          <t>20230401</t>
        </is>
      </c>
      <c r="AH715" t="n" s="2909">
        <v>1</v>
      </c>
      <c r="AJ715" t="n" s="2909">
        <v>10</v>
      </c>
      <c r="AP715" t="n" s="2909">
        <v>590000</v>
      </c>
      <c r="DB715" s="2909" t="str">
        <f>IF($A715="","",IF(AND($A715=21,$AE715&amp;""="00000000"),IF($AH715=20,"病院",IF($AH715=5,"消防","市長")),"対象外"))</f>
        <v>対象外</v>
      </c>
    </row>
    <row r="716">
      <c r="A716" t="n" s="2909">
        <v>31</v>
      </c>
      <c r="AA716" t="n" s="2909">
        <v>21</v>
      </c>
      <c r="AB716" t="inlineStr" s="2909">
        <is>
          <t>20221001</t>
        </is>
      </c>
      <c r="AD716" t="n" s="2909">
        <v>12</v>
      </c>
      <c r="AE716" t="inlineStr" s="2909">
        <is>
          <t>20221101</t>
        </is>
      </c>
      <c r="AH716" t="n" s="2909">
        <v>1</v>
      </c>
      <c r="AJ716" t="n" s="2909">
        <v>41</v>
      </c>
      <c r="AP716" t="n" s="2909">
        <v>118000</v>
      </c>
      <c r="DB716" s="2909" t="str">
        <f>IF($A716="","",IF(AND($A716=21,$AE716&amp;""="00000000"),IF($AH716=20,"病院",IF($AH716=5,"消防","市長")),"対象外"))</f>
        <v>対象外</v>
      </c>
    </row>
    <row r="717">
      <c r="A717" t="n" s="2909">
        <v>21</v>
      </c>
      <c r="AA717" t="n" s="2909">
        <v>21</v>
      </c>
      <c r="AB717" t="inlineStr" s="2909">
        <is>
          <t>20091002</t>
        </is>
      </c>
      <c r="AD717" t="n" s="2909">
        <v>12</v>
      </c>
      <c r="AE717" t="inlineStr" s="2909">
        <is>
          <t>20091201</t>
        </is>
      </c>
      <c r="AH717" t="n" s="2909">
        <v>0</v>
      </c>
      <c r="AJ717" t="n" s="2909">
        <v>10</v>
      </c>
      <c r="AP717" t="n" s="2909">
        <v>134400</v>
      </c>
      <c r="DB717" s="2909" t="str">
        <f>IF($A717="","",IF(AND($A717=21,$AE717&amp;""="00000000"),IF($AH717=20,"病院",IF($AH717=5,"消防","市長")),"対象外"))</f>
        <v>対象外</v>
      </c>
    </row>
    <row r="718">
      <c r="A718" t="n" s="2909">
        <v>21</v>
      </c>
      <c r="AA718" t="n" s="2909">
        <v>24</v>
      </c>
      <c r="AB718" t="inlineStr" s="2909">
        <is>
          <t>20150601</t>
        </is>
      </c>
      <c r="AD718" t="n" s="2909">
        <v>12</v>
      </c>
      <c r="AE718" t="inlineStr" s="2909">
        <is>
          <t>20160401</t>
        </is>
      </c>
      <c r="AH718" t="n" s="2909">
        <v>20</v>
      </c>
      <c r="AJ718" t="n" s="2909">
        <v>10</v>
      </c>
      <c r="AP718" t="n" s="2909">
        <v>220000</v>
      </c>
      <c r="DB718" s="2909" t="str">
        <f>IF($A718="","",IF(AND($A718=21,$AE718&amp;""="00000000"),IF($AH718=20,"病院",IF($AH718=5,"消防","市長")),"対象外"))</f>
        <v>対象外</v>
      </c>
    </row>
    <row r="719">
      <c r="A719" t="n" s="2909">
        <v>21</v>
      </c>
      <c r="AA719" t="n" s="2909">
        <v>21</v>
      </c>
      <c r="AB719" t="inlineStr" s="2909">
        <is>
          <t>20090701</t>
        </is>
      </c>
      <c r="AD719" t="n" s="2909">
        <v>12</v>
      </c>
      <c r="AE719" t="inlineStr" s="2909">
        <is>
          <t>20091201</t>
        </is>
      </c>
      <c r="AH719" t="n" s="2909">
        <v>0</v>
      </c>
      <c r="AJ719" t="n" s="2909">
        <v>10</v>
      </c>
      <c r="AP719" t="n" s="2909">
        <v>176900</v>
      </c>
      <c r="DB719" s="2909" t="str">
        <f>IF($A719="","",IF(AND($A719=21,$AE719&amp;""="00000000"),IF($AH719=20,"病院",IF($AH719=5,"消防","市長")),"対象外"))</f>
        <v>対象外</v>
      </c>
    </row>
    <row r="720">
      <c r="A720" t="n" s="2909">
        <v>21</v>
      </c>
      <c r="AA720" t="n" s="2909">
        <v>21</v>
      </c>
      <c r="AB720" t="inlineStr" s="2909">
        <is>
          <t>20080401</t>
        </is>
      </c>
      <c r="AD720" t="n" s="2909">
        <v>12</v>
      </c>
      <c r="AE720" t="inlineStr" s="2909">
        <is>
          <t>20091201</t>
        </is>
      </c>
      <c r="AH720" t="n" s="2909">
        <v>0</v>
      </c>
      <c r="AJ720" t="n" s="2909">
        <v>10</v>
      </c>
      <c r="AP720" t="n" s="2909">
        <v>1</v>
      </c>
      <c r="DB720" s="2909" t="str">
        <f>IF($A720="","",IF(AND($A720=21,$AE720&amp;""="00000000"),IF($AH720=20,"病院",IF($AH720=5,"消防","市長")),"対象外"))</f>
        <v>対象外</v>
      </c>
    </row>
    <row r="721">
      <c r="A721" t="n" s="2909">
        <v>21</v>
      </c>
      <c r="AA721" t="n" s="2909">
        <v>24</v>
      </c>
      <c r="AB721" t="inlineStr" s="2909">
        <is>
          <t>20090401</t>
        </is>
      </c>
      <c r="AD721" t="n" s="2909">
        <v>12</v>
      </c>
      <c r="AE721" t="inlineStr" s="2909">
        <is>
          <t>20091201</t>
        </is>
      </c>
      <c r="AH721" t="n" s="2909">
        <v>0</v>
      </c>
      <c r="AJ721" t="n" s="2909">
        <v>10</v>
      </c>
      <c r="AP721" t="n" s="2909">
        <v>1</v>
      </c>
      <c r="DB721" s="2909" t="str">
        <f>IF($A721="","",IF(AND($A721=21,$AE721&amp;""="00000000"),IF($AH721=20,"病院",IF($AH721=5,"消防","市長")),"対象外"))</f>
        <v>対象外</v>
      </c>
    </row>
    <row r="722">
      <c r="A722" t="n" s="2909">
        <v>31</v>
      </c>
      <c r="AA722" t="n" s="2909">
        <v>21</v>
      </c>
      <c r="AB722" t="inlineStr" s="2909">
        <is>
          <t>20221001</t>
        </is>
      </c>
      <c r="AD722" t="n" s="2909">
        <v>12</v>
      </c>
      <c r="AE722" t="inlineStr" s="2909">
        <is>
          <t>20240401</t>
        </is>
      </c>
      <c r="AH722" t="n" s="2909">
        <v>1</v>
      </c>
      <c r="AJ722" t="n" s="2909">
        <v>41</v>
      </c>
      <c r="AP722" t="n" s="2909">
        <v>126000</v>
      </c>
      <c r="DB722" s="2909" t="str">
        <f>IF($A722="","",IF(AND($A722=21,$AE722&amp;""="00000000"),IF($AH722=20,"病院",IF($AH722=5,"消防","市長")),"対象外"))</f>
        <v>対象外</v>
      </c>
    </row>
    <row r="723">
      <c r="A723" t="n" s="2909">
        <v>21</v>
      </c>
      <c r="AA723" t="n" s="2909">
        <v>21</v>
      </c>
      <c r="AB723" t="inlineStr" s="2909">
        <is>
          <t>20091002</t>
        </is>
      </c>
      <c r="AD723" t="n" s="2909">
        <v>12</v>
      </c>
      <c r="AE723" t="inlineStr" s="2909">
        <is>
          <t>20091201</t>
        </is>
      </c>
      <c r="AH723" t="n" s="2909">
        <v>0</v>
      </c>
      <c r="AJ723" t="n" s="2909">
        <v>10</v>
      </c>
      <c r="AP723" t="n" s="2909">
        <v>146034</v>
      </c>
      <c r="DB723" s="2909" t="str">
        <f>IF($A723="","",IF(AND($A723=21,$AE723&amp;""="00000000"),IF($AH723=20,"病院",IF($AH723=5,"消防","市長")),"対象外"))</f>
        <v>対象外</v>
      </c>
    </row>
    <row r="724">
      <c r="A724" t="n" s="2909">
        <v>21</v>
      </c>
      <c r="AA724" t="n" s="2909">
        <v>24</v>
      </c>
      <c r="AB724" t="inlineStr" s="2909">
        <is>
          <t>20071206</t>
        </is>
      </c>
      <c r="AD724" t="n" s="2909">
        <v>12</v>
      </c>
      <c r="AE724" t="inlineStr" s="2909">
        <is>
          <t>20080809</t>
        </is>
      </c>
      <c r="AH724" t="n" s="2909">
        <v>0</v>
      </c>
      <c r="AJ724" t="n" s="2909">
        <v>10</v>
      </c>
      <c r="AP724" t="n" s="2909">
        <v>1</v>
      </c>
      <c r="DB724" s="2909" t="str">
        <f>IF($A724="","",IF(AND($A724=21,$AE724&amp;""="00000000"),IF($AH724=20,"病院",IF($AH724=5,"消防","市長")),"対象外"))</f>
        <v>対象外</v>
      </c>
    </row>
    <row r="725">
      <c r="A725" t="n" s="2909">
        <v>21</v>
      </c>
      <c r="AA725" t="n" s="2909">
        <v>21</v>
      </c>
      <c r="AB725" t="inlineStr" s="2909">
        <is>
          <t>20030501</t>
        </is>
      </c>
      <c r="AD725" t="n" s="2909">
        <v>12</v>
      </c>
      <c r="AE725" t="inlineStr" s="2909">
        <is>
          <t>20091201</t>
        </is>
      </c>
      <c r="AH725" t="n" s="2909">
        <v>0</v>
      </c>
      <c r="AJ725" t="n" s="2909">
        <v>10</v>
      </c>
      <c r="AP725" t="n" s="2909">
        <v>1</v>
      </c>
      <c r="DB725" s="2909" t="str">
        <f>IF($A725="","",IF(AND($A725=21,$AE725&amp;""="00000000"),IF($AH725=20,"病院",IF($AH725=5,"消防","市長")),"対象外"))</f>
        <v>対象外</v>
      </c>
    </row>
    <row r="726">
      <c r="A726" t="n" s="2909">
        <v>21</v>
      </c>
      <c r="AA726" t="n" s="2909">
        <v>21</v>
      </c>
      <c r="AB726" t="inlineStr" s="2909">
        <is>
          <t>20070401</t>
        </is>
      </c>
      <c r="AD726" t="n" s="2909">
        <v>12</v>
      </c>
      <c r="AE726" t="inlineStr" s="2909">
        <is>
          <t>20071009</t>
        </is>
      </c>
      <c r="AH726" t="n" s="2909">
        <v>0</v>
      </c>
      <c r="AJ726" t="n" s="2909">
        <v>10</v>
      </c>
      <c r="AP726" t="n" s="2909">
        <v>1</v>
      </c>
      <c r="DB726" s="2909" t="str">
        <f>IF($A726="","",IF(AND($A726=21,$AE726&amp;""="00000000"),IF($AH726=20,"病院",IF($AH726=5,"消防","市長")),"対象外"))</f>
        <v>対象外</v>
      </c>
    </row>
    <row r="727">
      <c r="A727" t="n" s="2909">
        <v>21</v>
      </c>
      <c r="AA727" t="n" s="2909">
        <v>21</v>
      </c>
      <c r="AB727" t="inlineStr" s="2909">
        <is>
          <t>20021120</t>
        </is>
      </c>
      <c r="AD727" t="n" s="2909">
        <v>12</v>
      </c>
      <c r="AE727" t="inlineStr" s="2909">
        <is>
          <t>20091201</t>
        </is>
      </c>
      <c r="AH727" t="n" s="2909">
        <v>0</v>
      </c>
      <c r="AJ727" t="n" s="2909">
        <v>10</v>
      </c>
      <c r="AP727" t="n" s="2909">
        <v>1</v>
      </c>
      <c r="DB727" s="2909" t="str">
        <f>IF($A727="","",IF(AND($A727=21,$AE727&amp;""="00000000"),IF($AH727=20,"病院",IF($AH727=5,"消防","市長")),"対象外"))</f>
        <v>対象外</v>
      </c>
    </row>
    <row r="728">
      <c r="A728" t="n" s="2909">
        <v>31</v>
      </c>
      <c r="AA728" t="n" s="2909">
        <v>21</v>
      </c>
      <c r="AB728" t="inlineStr" s="2909">
        <is>
          <t>20210401</t>
        </is>
      </c>
      <c r="AD728" t="n" s="2909">
        <v>12</v>
      </c>
      <c r="AE728" t="inlineStr" s="2909">
        <is>
          <t>20220401</t>
        </is>
      </c>
      <c r="AH728" t="n" s="2909">
        <v>1</v>
      </c>
      <c r="AJ728" t="n" s="2909">
        <v>10</v>
      </c>
      <c r="AP728" t="n" s="2909">
        <v>240000</v>
      </c>
      <c r="DB728" s="2909" t="str">
        <f>IF($A728="","",IF(AND($A728=21,$AE728&amp;""="00000000"),IF($AH728=20,"病院",IF($AH728=5,"消防","市長")),"対象外"))</f>
        <v>対象外</v>
      </c>
    </row>
    <row r="729">
      <c r="A729" t="n" s="2909">
        <v>31</v>
      </c>
      <c r="AA729" t="n" s="2909">
        <v>21</v>
      </c>
      <c r="AB729" t="inlineStr" s="2909">
        <is>
          <t>20221001</t>
        </is>
      </c>
      <c r="AD729" t="n" s="2909">
        <v>12</v>
      </c>
      <c r="AE729" t="inlineStr" s="2909">
        <is>
          <t>20240710</t>
        </is>
      </c>
      <c r="AH729" t="n" s="2909">
        <v>11</v>
      </c>
      <c r="AJ729" t="n" s="2909">
        <v>41</v>
      </c>
      <c r="AP729" t="n" s="2909">
        <v>160000</v>
      </c>
      <c r="DB729" s="2909" t="str">
        <f>IF($A729="","",IF(AND($A729=21,$AE729&amp;""="00000000"),IF($AH729=20,"病院",IF($AH729=5,"消防","市長")),"対象外"))</f>
        <v>対象外</v>
      </c>
    </row>
    <row r="730">
      <c r="A730" t="n" s="2909">
        <v>21</v>
      </c>
      <c r="AA730" t="n" s="2909">
        <v>21</v>
      </c>
      <c r="AB730" t="inlineStr" s="2909">
        <is>
          <t>20001001</t>
        </is>
      </c>
      <c r="AD730" t="n" s="2909">
        <v>12</v>
      </c>
      <c r="AE730" t="inlineStr" s="2909">
        <is>
          <t>20091201</t>
        </is>
      </c>
      <c r="AH730" t="n" s="2909">
        <v>0</v>
      </c>
      <c r="AJ730" t="n" s="2909">
        <v>10</v>
      </c>
      <c r="AP730" t="n" s="2909">
        <v>1</v>
      </c>
      <c r="DB730" s="2909" t="str">
        <f>IF($A730="","",IF(AND($A730=21,$AE730&amp;""="00000000"),IF($AH730=20,"病院",IF($AH730=5,"消防","市長")),"対象外"))</f>
        <v>対象外</v>
      </c>
    </row>
    <row r="731">
      <c r="A731" t="n" s="2909">
        <v>21</v>
      </c>
      <c r="AA731" t="n" s="2909">
        <v>21</v>
      </c>
      <c r="AB731" t="inlineStr" s="2909">
        <is>
          <t>20170701</t>
        </is>
      </c>
      <c r="AD731" t="n" s="2909">
        <v>12</v>
      </c>
      <c r="AE731" t="inlineStr" s="2909">
        <is>
          <t>20180401</t>
        </is>
      </c>
      <c r="AH731" t="n" s="2909">
        <v>20</v>
      </c>
      <c r="AJ731" t="n" s="2909">
        <v>10</v>
      </c>
      <c r="AP731" t="n" s="2909">
        <v>360000</v>
      </c>
      <c r="DB731" s="2909" t="str">
        <f>IF($A731="","",IF(AND($A731=21,$AE731&amp;""="00000000"),IF($AH731=20,"病院",IF($AH731=5,"消防","市長")),"対象外"))</f>
        <v>対象外</v>
      </c>
    </row>
    <row r="732">
      <c r="A732" t="n" s="2909">
        <v>21</v>
      </c>
      <c r="AA732" t="n" s="2909">
        <v>21</v>
      </c>
      <c r="AB732" t="inlineStr" s="2909">
        <is>
          <t>20090901</t>
        </is>
      </c>
      <c r="AD732" t="n" s="2909">
        <v>12</v>
      </c>
      <c r="AE732" t="inlineStr" s="2909">
        <is>
          <t>20091201</t>
        </is>
      </c>
      <c r="AH732" t="n" s="2909">
        <v>0</v>
      </c>
      <c r="AJ732" t="n" s="2909">
        <v>10</v>
      </c>
      <c r="AP732" t="n" s="2909">
        <v>158760</v>
      </c>
      <c r="DB732" s="2909" t="str">
        <f>IF($A732="","",IF(AND($A732=21,$AE732&amp;""="00000000"),IF($AH732=20,"病院",IF($AH732=5,"消防","市長")),"対象外"))</f>
        <v>対象外</v>
      </c>
    </row>
    <row r="733">
      <c r="A733" t="n" s="2909">
        <v>31</v>
      </c>
      <c r="AA733" t="n" s="2909">
        <v>21</v>
      </c>
      <c r="AB733" t="inlineStr" s="2909">
        <is>
          <t>20221001</t>
        </is>
      </c>
      <c r="AD733" t="n" s="2909">
        <v>12</v>
      </c>
      <c r="AE733" t="inlineStr" s="2909">
        <is>
          <t>20240801</t>
        </is>
      </c>
      <c r="AH733" t="n" s="2909">
        <v>20</v>
      </c>
      <c r="AJ733" t="n" s="2909">
        <v>41</v>
      </c>
      <c r="AP733" t="n" s="2909">
        <v>240000</v>
      </c>
      <c r="DB733" s="2909" t="str">
        <f>IF($A733="","",IF(AND($A733=21,$AE733&amp;""="00000000"),IF($AH733=20,"病院",IF($AH733=5,"消防","市長")),"対象外"))</f>
        <v>対象外</v>
      </c>
    </row>
    <row r="734">
      <c r="A734" t="n" s="2909">
        <v>21</v>
      </c>
      <c r="AA734" t="n" s="2909">
        <v>21</v>
      </c>
      <c r="AB734" t="inlineStr" s="2909">
        <is>
          <t>20060401</t>
        </is>
      </c>
      <c r="AD734" t="n" s="2909">
        <v>12</v>
      </c>
      <c r="AE734" t="inlineStr" s="2909">
        <is>
          <t>20091201</t>
        </is>
      </c>
      <c r="AH734" t="n" s="2909">
        <v>0</v>
      </c>
      <c r="AJ734" t="n" s="2909">
        <v>10</v>
      </c>
      <c r="AP734" t="n" s="2909">
        <v>1</v>
      </c>
      <c r="DB734" s="2909" t="str">
        <f>IF($A734="","",IF(AND($A734=21,$AE734&amp;""="00000000"),IF($AH734=20,"病院",IF($AH734=5,"消防","市長")),"対象外"))</f>
        <v>対象外</v>
      </c>
    </row>
    <row r="735">
      <c r="A735" t="n" s="2909">
        <v>21</v>
      </c>
      <c r="AA735" t="n" s="2909">
        <v>24</v>
      </c>
      <c r="AB735" t="inlineStr" s="2909">
        <is>
          <t>20090408</t>
        </is>
      </c>
      <c r="AD735" t="n" s="2909">
        <v>12</v>
      </c>
      <c r="AE735" t="inlineStr" s="2909">
        <is>
          <t>20090718</t>
        </is>
      </c>
      <c r="AH735" t="n" s="2909">
        <v>0</v>
      </c>
      <c r="AJ735" t="n" s="2909">
        <v>10</v>
      </c>
      <c r="AP735" t="n" s="2909">
        <v>1</v>
      </c>
      <c r="DB735" s="2909" t="str">
        <f>IF($A735="","",IF(AND($A735=21,$AE735&amp;""="00000000"),IF($AH735=20,"病院",IF($AH735=5,"消防","市長")),"対象外"))</f>
        <v>対象外</v>
      </c>
    </row>
    <row r="736">
      <c r="A736" t="n" s="2909">
        <v>21</v>
      </c>
      <c r="AA736" t="n" s="2909">
        <v>21</v>
      </c>
      <c r="AB736" t="inlineStr" s="2909">
        <is>
          <t>20080704</t>
        </is>
      </c>
      <c r="AD736" t="n" s="2909">
        <v>12</v>
      </c>
      <c r="AE736" t="inlineStr" s="2909">
        <is>
          <t>20110215</t>
        </is>
      </c>
      <c r="AH736" t="n" s="2909">
        <v>0</v>
      </c>
      <c r="AJ736" t="n" s="2909">
        <v>10</v>
      </c>
      <c r="AP736" t="n" s="2909">
        <v>1050000</v>
      </c>
      <c r="DB736" s="2909" t="str">
        <f>IF($A736="","",IF(AND($A736=21,$AE736&amp;""="00000000"),IF($AH736=20,"病院",IF($AH736=5,"消防","市長")),"対象外"))</f>
        <v>対象外</v>
      </c>
    </row>
    <row r="737">
      <c r="A737" t="n" s="2909">
        <v>31</v>
      </c>
      <c r="AA737" t="n" s="2909">
        <v>21</v>
      </c>
      <c r="AB737" t="inlineStr" s="2909">
        <is>
          <t>20230616</t>
        </is>
      </c>
      <c r="AD737" t="n" s="2909">
        <v>12</v>
      </c>
      <c r="AE737" t="inlineStr" s="2909">
        <is>
          <t>20231223</t>
        </is>
      </c>
      <c r="AH737" t="n" s="2909">
        <v>11</v>
      </c>
      <c r="AJ737" t="n" s="2909">
        <v>41</v>
      </c>
      <c r="AP737" t="n" s="2909">
        <v>88000</v>
      </c>
      <c r="DB737" s="2909" t="str">
        <f>IF($A737="","",IF(AND($A737=21,$AE737&amp;""="00000000"),IF($AH737=20,"病院",IF($AH737=5,"消防","市長")),"対象外"))</f>
        <v>対象外</v>
      </c>
    </row>
    <row r="738">
      <c r="A738" t="n" s="2909">
        <v>21</v>
      </c>
      <c r="AA738" t="n" s="2909">
        <v>21</v>
      </c>
      <c r="AB738" t="inlineStr" s="2909">
        <is>
          <t>20071001</t>
        </is>
      </c>
      <c r="AD738" t="n" s="2909">
        <v>12</v>
      </c>
      <c r="AE738" t="inlineStr" s="2909">
        <is>
          <t>20091201</t>
        </is>
      </c>
      <c r="AH738" t="n" s="2909">
        <v>0</v>
      </c>
      <c r="AJ738" t="n" s="2909">
        <v>10</v>
      </c>
      <c r="AP738" t="n" s="2909">
        <v>1</v>
      </c>
      <c r="DB738" s="2909" t="str">
        <f>IF($A738="","",IF(AND($A738=21,$AE738&amp;""="00000000"),IF($AH738=20,"病院",IF($AH738=5,"消防","市長")),"対象外"))</f>
        <v>対象外</v>
      </c>
    </row>
    <row r="739">
      <c r="A739" t="n" s="2909">
        <v>21</v>
      </c>
      <c r="AA739" t="n" s="2909">
        <v>21</v>
      </c>
      <c r="AB739" t="inlineStr" s="2909">
        <is>
          <t>20080401</t>
        </is>
      </c>
      <c r="AD739" t="n" s="2909">
        <v>12</v>
      </c>
      <c r="AE739" t="inlineStr" s="2909">
        <is>
          <t>20091201</t>
        </is>
      </c>
      <c r="AH739" t="n" s="2909">
        <v>0</v>
      </c>
      <c r="AJ739" t="n" s="2909">
        <v>10</v>
      </c>
      <c r="AP739" t="n" s="2909">
        <v>1</v>
      </c>
      <c r="DB739" s="2909" t="str">
        <f>IF($A739="","",IF(AND($A739=21,$AE739&amp;""="00000000"),IF($AH739=20,"病院",IF($AH739=5,"消防","市長")),"対象外"))</f>
        <v>対象外</v>
      </c>
    </row>
    <row r="740">
      <c r="A740" t="n" s="2909">
        <v>219</v>
      </c>
      <c r="AA740" t="n" s="2909">
        <v>0</v>
      </c>
      <c r="AB740" t="inlineStr" s="2909">
        <is>
          <t>00000000</t>
        </is>
      </c>
      <c r="AD740" t="n" s="2909">
        <v>0</v>
      </c>
      <c r="AE740" t="inlineStr" s="2909">
        <is>
          <t>00000000</t>
        </is>
      </c>
      <c r="AH740" t="n" s="2909">
        <v>0</v>
      </c>
      <c r="AJ740" t="n" s="2909">
        <v>50</v>
      </c>
      <c r="AP740" t="n" s="2909">
        <v>0</v>
      </c>
      <c r="DB740" s="2909" t="str">
        <f>IF($A740="","",IF(AND($A740=21,$AE740&amp;""="00000000"),IF($AH740=20,"病院",IF($AH740=5,"消防","市長")),"対象外"))</f>
        <v>対象外</v>
      </c>
    </row>
    <row r="741">
      <c r="A741" t="n" s="2909">
        <v>219</v>
      </c>
      <c r="AA741" t="n" s="2909">
        <v>0</v>
      </c>
      <c r="AB741" t="inlineStr" s="2909">
        <is>
          <t>00000000</t>
        </is>
      </c>
      <c r="AD741" t="n" s="2909">
        <v>0</v>
      </c>
      <c r="AE741" t="inlineStr" s="2909">
        <is>
          <t>00000000</t>
        </is>
      </c>
      <c r="AH741" t="n" s="2909">
        <v>0</v>
      </c>
      <c r="AJ741" t="n" s="2909">
        <v>50</v>
      </c>
      <c r="AP741" t="n" s="2909">
        <v>0</v>
      </c>
      <c r="DB741" s="2909" t="str">
        <f>IF($A741="","",IF(AND($A741=21,$AE741&amp;""="00000000"),IF($AH741=20,"病院",IF($AH741=5,"消防","市長")),"対象外"))</f>
        <v>対象外</v>
      </c>
    </row>
    <row r="742">
      <c r="A742" t="n" s="2909">
        <v>219</v>
      </c>
      <c r="AA742" t="n" s="2909">
        <v>0</v>
      </c>
      <c r="AB742" t="inlineStr" s="2909">
        <is>
          <t>00000000</t>
        </is>
      </c>
      <c r="AD742" t="n" s="2909">
        <v>0</v>
      </c>
      <c r="AE742" t="inlineStr" s="2909">
        <is>
          <t>00000000</t>
        </is>
      </c>
      <c r="AH742" t="n" s="2909">
        <v>0</v>
      </c>
      <c r="AJ742" t="n" s="2909">
        <v>50</v>
      </c>
      <c r="AP742" t="n" s="2909">
        <v>0</v>
      </c>
      <c r="DB742" s="2909" t="str">
        <f>IF($A742="","",IF(AND($A742=21,$AE742&amp;""="00000000"),IF($AH742=20,"病院",IF($AH742=5,"消防","市長")),"対象外"))</f>
        <v>対象外</v>
      </c>
    </row>
    <row r="743">
      <c r="A743" t="n" s="2909">
        <v>219</v>
      </c>
      <c r="AA743" t="n" s="2909">
        <v>0</v>
      </c>
      <c r="AB743" t="inlineStr" s="2909">
        <is>
          <t>00000000</t>
        </is>
      </c>
      <c r="AD743" t="n" s="2909">
        <v>0</v>
      </c>
      <c r="AE743" t="inlineStr" s="2909">
        <is>
          <t>00000000</t>
        </is>
      </c>
      <c r="AH743" t="n" s="2909">
        <v>0</v>
      </c>
      <c r="AJ743" t="n" s="2909">
        <v>50</v>
      </c>
      <c r="AP743" t="n" s="2909">
        <v>0</v>
      </c>
      <c r="DB743" s="2909" t="str">
        <f>IF($A743="","",IF(AND($A743=21,$AE743&amp;""="00000000"),IF($AH743=20,"病院",IF($AH743=5,"消防","市長")),"対象外"))</f>
        <v>対象外</v>
      </c>
    </row>
    <row r="744">
      <c r="A744" t="n" s="2909">
        <v>219</v>
      </c>
      <c r="AA744" t="n" s="2909">
        <v>0</v>
      </c>
      <c r="AB744" t="inlineStr" s="2909">
        <is>
          <t>00000000</t>
        </is>
      </c>
      <c r="AD744" t="n" s="2909">
        <v>0</v>
      </c>
      <c r="AE744" t="inlineStr" s="2909">
        <is>
          <t>00000000</t>
        </is>
      </c>
      <c r="AH744" t="n" s="2909">
        <v>0</v>
      </c>
      <c r="AJ744" t="n" s="2909">
        <v>50</v>
      </c>
      <c r="AP744" t="n" s="2909">
        <v>0</v>
      </c>
      <c r="DB744" s="2909" t="str">
        <f>IF($A744="","",IF(AND($A744=21,$AE744&amp;""="00000000"),IF($AH744=20,"病院",IF($AH744=5,"消防","市長")),"対象外"))</f>
        <v>対象外</v>
      </c>
    </row>
    <row r="745">
      <c r="A745" t="n" s="2909">
        <v>219</v>
      </c>
      <c r="AA745" t="n" s="2909">
        <v>0</v>
      </c>
      <c r="AB745" t="inlineStr" s="2909">
        <is>
          <t>00000000</t>
        </is>
      </c>
      <c r="AD745" t="n" s="2909">
        <v>0</v>
      </c>
      <c r="AE745" t="inlineStr" s="2909">
        <is>
          <t>00000000</t>
        </is>
      </c>
      <c r="AH745" t="n" s="2909">
        <v>0</v>
      </c>
      <c r="AJ745" t="n" s="2909">
        <v>50</v>
      </c>
      <c r="AP745" t="n" s="2909">
        <v>0</v>
      </c>
      <c r="DB745" s="2909" t="str">
        <f>IF($A745="","",IF(AND($A745=21,$AE745&amp;""="00000000"),IF($AH745=20,"病院",IF($AH745=5,"消防","市長")),"対象外"))</f>
        <v>対象外</v>
      </c>
    </row>
    <row r="746">
      <c r="A746" t="n" s="2909">
        <v>219</v>
      </c>
      <c r="AA746" t="n" s="2909">
        <v>0</v>
      </c>
      <c r="AB746" t="inlineStr" s="2909">
        <is>
          <t>00000000</t>
        </is>
      </c>
      <c r="AD746" t="n" s="2909">
        <v>0</v>
      </c>
      <c r="AE746" t="inlineStr" s="2909">
        <is>
          <t>00000000</t>
        </is>
      </c>
      <c r="AH746" t="n" s="2909">
        <v>0</v>
      </c>
      <c r="AJ746" t="n" s="2909">
        <v>50</v>
      </c>
      <c r="AP746" t="n" s="2909">
        <v>0</v>
      </c>
      <c r="DB746" s="2909" t="str">
        <f>IF($A746="","",IF(AND($A746=21,$AE746&amp;""="00000000"),IF($AH746=20,"病院",IF($AH746=5,"消防","市長")),"対象外"))</f>
        <v>対象外</v>
      </c>
    </row>
    <row r="747">
      <c r="A747" t="n" s="2909">
        <v>219</v>
      </c>
      <c r="AA747" t="n" s="2909">
        <v>0</v>
      </c>
      <c r="AB747" t="inlineStr" s="2909">
        <is>
          <t>00000000</t>
        </is>
      </c>
      <c r="AD747" t="n" s="2909">
        <v>0</v>
      </c>
      <c r="AE747" t="inlineStr" s="2909">
        <is>
          <t>00000000</t>
        </is>
      </c>
      <c r="AH747" t="n" s="2909">
        <v>0</v>
      </c>
      <c r="AJ747" t="n" s="2909">
        <v>50</v>
      </c>
      <c r="AP747" t="n" s="2909">
        <v>0</v>
      </c>
      <c r="DB747" s="2909" t="str">
        <f>IF($A747="","",IF(AND($A747=21,$AE747&amp;""="00000000"),IF($AH747=20,"病院",IF($AH747=5,"消防","市長")),"対象外"))</f>
        <v>対象外</v>
      </c>
    </row>
    <row r="748">
      <c r="A748" t="n" s="2909">
        <v>219</v>
      </c>
      <c r="AA748" t="n" s="2909">
        <v>0</v>
      </c>
      <c r="AB748" t="inlineStr" s="2909">
        <is>
          <t>00000000</t>
        </is>
      </c>
      <c r="AD748" t="n" s="2909">
        <v>0</v>
      </c>
      <c r="AE748" t="inlineStr" s="2909">
        <is>
          <t>00000000</t>
        </is>
      </c>
      <c r="AH748" t="n" s="2909">
        <v>0</v>
      </c>
      <c r="AJ748" t="n" s="2909">
        <v>50</v>
      </c>
      <c r="AP748" t="n" s="2909">
        <v>0</v>
      </c>
      <c r="DB748" s="2909" t="str">
        <f>IF($A748="","",IF(AND($A748=21,$AE748&amp;""="00000000"),IF($AH748=20,"病院",IF($AH748=5,"消防","市長")),"対象外"))</f>
        <v>対象外</v>
      </c>
    </row>
    <row r="749">
      <c r="A749" t="n" s="2909">
        <v>219</v>
      </c>
      <c r="AA749" t="n" s="2909">
        <v>0</v>
      </c>
      <c r="AB749" t="inlineStr" s="2909">
        <is>
          <t>00000000</t>
        </is>
      </c>
      <c r="AD749" t="n" s="2909">
        <v>0</v>
      </c>
      <c r="AE749" t="inlineStr" s="2909">
        <is>
          <t>00000000</t>
        </is>
      </c>
      <c r="AH749" t="n" s="2909">
        <v>0</v>
      </c>
      <c r="AJ749" t="n" s="2909">
        <v>50</v>
      </c>
      <c r="AP749" t="n" s="2909">
        <v>0</v>
      </c>
      <c r="DB749" s="2909" t="str">
        <f>IF($A749="","",IF(AND($A749=21,$AE749&amp;""="00000000"),IF($AH749=20,"病院",IF($AH749=5,"消防","市長")),"対象外"))</f>
        <v>対象外</v>
      </c>
    </row>
    <row r="750">
      <c r="A750" t="n" s="2909">
        <v>219</v>
      </c>
      <c r="AA750" t="n" s="2909">
        <v>0</v>
      </c>
      <c r="AB750" t="inlineStr" s="2909">
        <is>
          <t>00000000</t>
        </is>
      </c>
      <c r="AD750" t="n" s="2909">
        <v>0</v>
      </c>
      <c r="AE750" t="inlineStr" s="2909">
        <is>
          <t>00000000</t>
        </is>
      </c>
      <c r="AH750" t="n" s="2909">
        <v>0</v>
      </c>
      <c r="AJ750" t="n" s="2909">
        <v>50</v>
      </c>
      <c r="AP750" t="n" s="2909">
        <v>0</v>
      </c>
      <c r="DB750" s="2909" t="str">
        <f>IF($A750="","",IF(AND($A750=21,$AE750&amp;""="00000000"),IF($AH750=20,"病院",IF($AH750=5,"消防","市長")),"対象外"))</f>
        <v>対象外</v>
      </c>
    </row>
    <row r="751">
      <c r="A751" t="n" s="2909">
        <v>219</v>
      </c>
      <c r="AA751" t="n" s="2909">
        <v>0</v>
      </c>
      <c r="AB751" t="inlineStr" s="2909">
        <is>
          <t>00000000</t>
        </is>
      </c>
      <c r="AD751" t="n" s="2909">
        <v>0</v>
      </c>
      <c r="AE751" t="inlineStr" s="2909">
        <is>
          <t>00000000</t>
        </is>
      </c>
      <c r="AH751" t="n" s="2909">
        <v>0</v>
      </c>
      <c r="AJ751" t="n" s="2909">
        <v>50</v>
      </c>
      <c r="AP751" t="n" s="2909">
        <v>0</v>
      </c>
      <c r="DB751" s="2909" t="str">
        <f>IF($A751="","",IF(AND($A751=21,$AE751&amp;""="00000000"),IF($AH751=20,"病院",IF($AH751=5,"消防","市長")),"対象外"))</f>
        <v>対象外</v>
      </c>
    </row>
    <row r="752">
      <c r="A752" t="n" s="2909">
        <v>219</v>
      </c>
      <c r="AA752" t="n" s="2909">
        <v>0</v>
      </c>
      <c r="AB752" t="inlineStr" s="2909">
        <is>
          <t>00000000</t>
        </is>
      </c>
      <c r="AD752" t="n" s="2909">
        <v>0</v>
      </c>
      <c r="AE752" t="inlineStr" s="2909">
        <is>
          <t>00000000</t>
        </is>
      </c>
      <c r="AH752" t="n" s="2909">
        <v>0</v>
      </c>
      <c r="AJ752" t="n" s="2909">
        <v>50</v>
      </c>
      <c r="AP752" t="n" s="2909">
        <v>0</v>
      </c>
      <c r="DB752" s="2909" t="str">
        <f>IF($A752="","",IF(AND($A752=21,$AE752&amp;""="00000000"),IF($AH752=20,"病院",IF($AH752=5,"消防","市長")),"対象外"))</f>
        <v>対象外</v>
      </c>
    </row>
    <row r="753">
      <c r="A753" t="n" s="2909">
        <v>219</v>
      </c>
      <c r="AA753" t="n" s="2909">
        <v>0</v>
      </c>
      <c r="AB753" t="inlineStr" s="2909">
        <is>
          <t>00000000</t>
        </is>
      </c>
      <c r="AD753" t="n" s="2909">
        <v>0</v>
      </c>
      <c r="AE753" t="inlineStr" s="2909">
        <is>
          <t>00000000</t>
        </is>
      </c>
      <c r="AH753" t="n" s="2909">
        <v>0</v>
      </c>
      <c r="AJ753" t="n" s="2909">
        <v>50</v>
      </c>
      <c r="AP753" t="n" s="2909">
        <v>0</v>
      </c>
      <c r="DB753" s="2909" t="str">
        <f>IF($A753="","",IF(AND($A753=21,$AE753&amp;""="00000000"),IF($AH753=20,"病院",IF($AH753=5,"消防","市長")),"対象外"))</f>
        <v>対象外</v>
      </c>
    </row>
    <row r="754">
      <c r="A754" t="n" s="2909">
        <v>219</v>
      </c>
      <c r="AA754" t="n" s="2909">
        <v>0</v>
      </c>
      <c r="AB754" t="inlineStr" s="2909">
        <is>
          <t>00000000</t>
        </is>
      </c>
      <c r="AD754" t="n" s="2909">
        <v>0</v>
      </c>
      <c r="AE754" t="inlineStr" s="2909">
        <is>
          <t>00000000</t>
        </is>
      </c>
      <c r="AH754" t="n" s="2909">
        <v>0</v>
      </c>
      <c r="AJ754" t="n" s="2909">
        <v>50</v>
      </c>
      <c r="AP754" t="n" s="2909">
        <v>0</v>
      </c>
      <c r="DB754" s="2909" t="str">
        <f>IF($A754="","",IF(AND($A754=21,$AE754&amp;""="00000000"),IF($AH754=20,"病院",IF($AH754=5,"消防","市長")),"対象外"))</f>
        <v>対象外</v>
      </c>
    </row>
    <row r="755">
      <c r="A755" t="n" s="2909">
        <v>219</v>
      </c>
      <c r="AA755" t="n" s="2909">
        <v>0</v>
      </c>
      <c r="AB755" t="inlineStr" s="2909">
        <is>
          <t>00000000</t>
        </is>
      </c>
      <c r="AD755" t="n" s="2909">
        <v>0</v>
      </c>
      <c r="AE755" t="inlineStr" s="2909">
        <is>
          <t>00000000</t>
        </is>
      </c>
      <c r="AH755" t="n" s="2909">
        <v>0</v>
      </c>
      <c r="AJ755" t="n" s="2909">
        <v>50</v>
      </c>
      <c r="AP755" t="n" s="2909">
        <v>0</v>
      </c>
      <c r="DB755" s="2909" t="str">
        <f>IF($A755="","",IF(AND($A755=21,$AE755&amp;""="00000000"),IF($AH755=20,"病院",IF($AH755=5,"消防","市長")),"対象外"))</f>
        <v>対象外</v>
      </c>
    </row>
    <row r="756">
      <c r="A756" t="n" s="2909">
        <v>219</v>
      </c>
      <c r="AA756" t="n" s="2909">
        <v>0</v>
      </c>
      <c r="AB756" t="inlineStr" s="2909">
        <is>
          <t>00000000</t>
        </is>
      </c>
      <c r="AD756" t="n" s="2909">
        <v>0</v>
      </c>
      <c r="AE756" t="inlineStr" s="2909">
        <is>
          <t>00000000</t>
        </is>
      </c>
      <c r="AH756" t="n" s="2909">
        <v>0</v>
      </c>
      <c r="AJ756" t="n" s="2909">
        <v>50</v>
      </c>
      <c r="AP756" t="n" s="2909">
        <v>0</v>
      </c>
      <c r="DB756" s="2909" t="str">
        <f>IF($A756="","",IF(AND($A756=21,$AE756&amp;""="00000000"),IF($AH756=20,"病院",IF($AH756=5,"消防","市長")),"対象外"))</f>
        <v>対象外</v>
      </c>
    </row>
    <row r="757">
      <c r="A757" t="n" s="2909">
        <v>219</v>
      </c>
      <c r="AA757" t="n" s="2909">
        <v>0</v>
      </c>
      <c r="AB757" t="inlineStr" s="2909">
        <is>
          <t>00000000</t>
        </is>
      </c>
      <c r="AD757" t="n" s="2909">
        <v>0</v>
      </c>
      <c r="AE757" t="inlineStr" s="2909">
        <is>
          <t>00000000</t>
        </is>
      </c>
      <c r="AH757" t="n" s="2909">
        <v>0</v>
      </c>
      <c r="AJ757" t="n" s="2909">
        <v>50</v>
      </c>
      <c r="AP757" t="n" s="2909">
        <v>0</v>
      </c>
      <c r="DB757" s="2909" t="str">
        <f>IF($A757="","",IF(AND($A757=21,$AE757&amp;""="00000000"),IF($AH757=20,"病院",IF($AH757=5,"消防","市長")),"対象外"))</f>
        <v>対象外</v>
      </c>
    </row>
    <row r="758">
      <c r="A758" t="n" s="2909">
        <v>219</v>
      </c>
      <c r="AA758" t="n" s="2909">
        <v>0</v>
      </c>
      <c r="AB758" t="inlineStr" s="2909">
        <is>
          <t>00000000</t>
        </is>
      </c>
      <c r="AD758" t="n" s="2909">
        <v>0</v>
      </c>
      <c r="AE758" t="inlineStr" s="2909">
        <is>
          <t>00000000</t>
        </is>
      </c>
      <c r="AH758" t="n" s="2909">
        <v>0</v>
      </c>
      <c r="AJ758" t="n" s="2909">
        <v>50</v>
      </c>
      <c r="AP758" t="n" s="2909">
        <v>0</v>
      </c>
      <c r="DB758" s="2909" t="str">
        <f>IF($A758="","",IF(AND($A758=21,$AE758&amp;""="00000000"),IF($AH758=20,"病院",IF($AH758=5,"消防","市長")),"対象外"))</f>
        <v>対象外</v>
      </c>
    </row>
    <row r="759">
      <c r="A759" t="n" s="2909">
        <v>219</v>
      </c>
      <c r="AA759" t="n" s="2909">
        <v>0</v>
      </c>
      <c r="AB759" t="inlineStr" s="2909">
        <is>
          <t>00000000</t>
        </is>
      </c>
      <c r="AD759" t="n" s="2909">
        <v>0</v>
      </c>
      <c r="AE759" t="inlineStr" s="2909">
        <is>
          <t>00000000</t>
        </is>
      </c>
      <c r="AH759" t="n" s="2909">
        <v>0</v>
      </c>
      <c r="AJ759" t="n" s="2909">
        <v>50</v>
      </c>
      <c r="AP759" t="n" s="2909">
        <v>0</v>
      </c>
      <c r="DB759" s="2909" t="str">
        <f>IF($A759="","",IF(AND($A759=21,$AE759&amp;""="00000000"),IF($AH759=20,"病院",IF($AH759=5,"消防","市長")),"対象外"))</f>
        <v>対象外</v>
      </c>
    </row>
    <row r="760">
      <c r="A760" t="n" s="2909">
        <v>219</v>
      </c>
      <c r="AA760" t="n" s="2909">
        <v>0</v>
      </c>
      <c r="AB760" t="inlineStr" s="2909">
        <is>
          <t>00000000</t>
        </is>
      </c>
      <c r="AD760" t="n" s="2909">
        <v>0</v>
      </c>
      <c r="AE760" t="inlineStr" s="2909">
        <is>
          <t>00000000</t>
        </is>
      </c>
      <c r="AH760" t="n" s="2909">
        <v>0</v>
      </c>
      <c r="AJ760" t="n" s="2909">
        <v>50</v>
      </c>
      <c r="AP760" t="n" s="2909">
        <v>0</v>
      </c>
      <c r="DB760" s="2909" t="str">
        <f>IF($A760="","",IF(AND($A760=21,$AE760&amp;""="00000000"),IF($AH760=20,"病院",IF($AH760=5,"消防","市長")),"対象外"))</f>
        <v>対象外</v>
      </c>
    </row>
    <row r="761">
      <c r="A761" t="n" s="2909">
        <v>219</v>
      </c>
      <c r="AA761" t="n" s="2909">
        <v>0</v>
      </c>
      <c r="AB761" t="inlineStr" s="2909">
        <is>
          <t>00000000</t>
        </is>
      </c>
      <c r="AD761" t="n" s="2909">
        <v>0</v>
      </c>
      <c r="AE761" t="inlineStr" s="2909">
        <is>
          <t>00000000</t>
        </is>
      </c>
      <c r="AH761" t="n" s="2909">
        <v>0</v>
      </c>
      <c r="AJ761" t="n" s="2909">
        <v>50</v>
      </c>
      <c r="AP761" t="n" s="2909">
        <v>0</v>
      </c>
      <c r="DB761" s="2909" t="str">
        <f>IF($A761="","",IF(AND($A761=21,$AE761&amp;""="00000000"),IF($AH761=20,"病院",IF($AH761=5,"消防","市長")),"対象外"))</f>
        <v>対象外</v>
      </c>
    </row>
    <row r="762">
      <c r="A762" t="n" s="2909">
        <v>219</v>
      </c>
      <c r="AA762" t="n" s="2909">
        <v>0</v>
      </c>
      <c r="AB762" t="inlineStr" s="2909">
        <is>
          <t>00000000</t>
        </is>
      </c>
      <c r="AD762" t="n" s="2909">
        <v>0</v>
      </c>
      <c r="AE762" t="inlineStr" s="2909">
        <is>
          <t>00000000</t>
        </is>
      </c>
      <c r="AH762" t="n" s="2909">
        <v>0</v>
      </c>
      <c r="AJ762" t="n" s="2909">
        <v>50</v>
      </c>
      <c r="AP762" t="n" s="2909">
        <v>0</v>
      </c>
      <c r="DB762" s="2909" t="str">
        <f>IF($A762="","",IF(AND($A762=21,$AE762&amp;""="00000000"),IF($AH762=20,"病院",IF($AH762=5,"消防","市長")),"対象外"))</f>
        <v>対象外</v>
      </c>
    </row>
    <row r="763">
      <c r="A763" t="n" s="2909">
        <v>219</v>
      </c>
      <c r="AA763" t="n" s="2909">
        <v>0</v>
      </c>
      <c r="AB763" t="inlineStr" s="2909">
        <is>
          <t>00000000</t>
        </is>
      </c>
      <c r="AD763" t="n" s="2909">
        <v>0</v>
      </c>
      <c r="AE763" t="inlineStr" s="2909">
        <is>
          <t>00000000</t>
        </is>
      </c>
      <c r="AH763" t="n" s="2909">
        <v>0</v>
      </c>
      <c r="AJ763" t="n" s="2909">
        <v>50</v>
      </c>
      <c r="AP763" t="n" s="2909">
        <v>0</v>
      </c>
      <c r="DB763" s="2909" t="str">
        <f>IF($A763="","",IF(AND($A763=21,$AE763&amp;""="00000000"),IF($AH763=20,"病院",IF($AH763=5,"消防","市長")),"対象外"))</f>
        <v>対象外</v>
      </c>
    </row>
    <row r="764">
      <c r="A764" t="n" s="2909">
        <v>219</v>
      </c>
      <c r="AA764" t="n" s="2909">
        <v>0</v>
      </c>
      <c r="AB764" t="inlineStr" s="2909">
        <is>
          <t>00000000</t>
        </is>
      </c>
      <c r="AD764" t="n" s="2909">
        <v>0</v>
      </c>
      <c r="AE764" t="inlineStr" s="2909">
        <is>
          <t>00000000</t>
        </is>
      </c>
      <c r="AH764" t="n" s="2909">
        <v>0</v>
      </c>
      <c r="AJ764" t="n" s="2909">
        <v>50</v>
      </c>
      <c r="AP764" t="n" s="2909">
        <v>0</v>
      </c>
      <c r="DB764" s="2909" t="str">
        <f>IF($A764="","",IF(AND($A764=21,$AE764&amp;""="00000000"),IF($AH764=20,"病院",IF($AH764=5,"消防","市長")),"対象外"))</f>
        <v>対象外</v>
      </c>
    </row>
    <row r="765">
      <c r="A765" t="n" s="2909">
        <v>219</v>
      </c>
      <c r="AA765" t="n" s="2909">
        <v>0</v>
      </c>
      <c r="AB765" t="inlineStr" s="2909">
        <is>
          <t>00000000</t>
        </is>
      </c>
      <c r="AD765" t="n" s="2909">
        <v>0</v>
      </c>
      <c r="AE765" t="inlineStr" s="2909">
        <is>
          <t>00000000</t>
        </is>
      </c>
      <c r="AH765" t="n" s="2909">
        <v>0</v>
      </c>
      <c r="AJ765" t="n" s="2909">
        <v>50</v>
      </c>
      <c r="AP765" t="n" s="2909">
        <v>0</v>
      </c>
      <c r="DB765" s="2909" t="str">
        <f>IF($A765="","",IF(AND($A765=21,$AE765&amp;""="00000000"),IF($AH765=20,"病院",IF($AH765=5,"消防","市長")),"対象外"))</f>
        <v>対象外</v>
      </c>
    </row>
    <row r="766">
      <c r="A766" t="n" s="2909">
        <v>219</v>
      </c>
      <c r="AA766" t="n" s="2909">
        <v>0</v>
      </c>
      <c r="AB766" t="inlineStr" s="2909">
        <is>
          <t>00000000</t>
        </is>
      </c>
      <c r="AD766" t="n" s="2909">
        <v>0</v>
      </c>
      <c r="AE766" t="inlineStr" s="2909">
        <is>
          <t>00000000</t>
        </is>
      </c>
      <c r="AH766" t="n" s="2909">
        <v>0</v>
      </c>
      <c r="AJ766" t="n" s="2909">
        <v>50</v>
      </c>
      <c r="AP766" t="n" s="2909">
        <v>0</v>
      </c>
      <c r="DB766" s="2909" t="str">
        <f>IF($A766="","",IF(AND($A766=21,$AE766&amp;""="00000000"),IF($AH766=20,"病院",IF($AH766=5,"消防","市長")),"対象外"))</f>
        <v>対象外</v>
      </c>
    </row>
    <row r="767">
      <c r="A767" t="n" s="2909">
        <v>219</v>
      </c>
      <c r="AA767" t="n" s="2909">
        <v>0</v>
      </c>
      <c r="AB767" t="inlineStr" s="2909">
        <is>
          <t>00000000</t>
        </is>
      </c>
      <c r="AD767" t="n" s="2909">
        <v>0</v>
      </c>
      <c r="AE767" t="inlineStr" s="2909">
        <is>
          <t>00000000</t>
        </is>
      </c>
      <c r="AH767" t="n" s="2909">
        <v>0</v>
      </c>
      <c r="AJ767" t="n" s="2909">
        <v>50</v>
      </c>
      <c r="AP767" t="n" s="2909">
        <v>0</v>
      </c>
      <c r="DB767" s="2909" t="str">
        <f>IF($A767="","",IF(AND($A767=21,$AE767&amp;""="00000000"),IF($AH767=20,"病院",IF($AH767=5,"消防","市長")),"対象外"))</f>
        <v>対象外</v>
      </c>
    </row>
    <row r="768">
      <c r="A768" t="n" s="2909">
        <v>219</v>
      </c>
      <c r="AA768" t="n" s="2909">
        <v>0</v>
      </c>
      <c r="AB768" t="inlineStr" s="2909">
        <is>
          <t>00000000</t>
        </is>
      </c>
      <c r="AD768" t="n" s="2909">
        <v>0</v>
      </c>
      <c r="AE768" t="inlineStr" s="2909">
        <is>
          <t>00000000</t>
        </is>
      </c>
      <c r="AH768" t="n" s="2909">
        <v>0</v>
      </c>
      <c r="AJ768" t="n" s="2909">
        <v>50</v>
      </c>
      <c r="AP768" t="n" s="2909">
        <v>0</v>
      </c>
      <c r="DB768" s="2909" t="str">
        <f>IF($A768="","",IF(AND($A768=21,$AE768&amp;""="00000000"),IF($AH768=20,"病院",IF($AH768=5,"消防","市長")),"対象外"))</f>
        <v>対象外</v>
      </c>
    </row>
    <row r="769">
      <c r="A769" t="n" s="2909">
        <v>219</v>
      </c>
      <c r="AA769" t="n" s="2909">
        <v>0</v>
      </c>
      <c r="AB769" t="inlineStr" s="2909">
        <is>
          <t>00000000</t>
        </is>
      </c>
      <c r="AD769" t="n" s="2909">
        <v>0</v>
      </c>
      <c r="AE769" t="inlineStr" s="2909">
        <is>
          <t>00000000</t>
        </is>
      </c>
      <c r="AH769" t="n" s="2909">
        <v>0</v>
      </c>
      <c r="AJ769" t="n" s="2909">
        <v>50</v>
      </c>
      <c r="AP769" t="n" s="2909">
        <v>0</v>
      </c>
      <c r="DB769" s="2909" t="str">
        <f>IF($A769="","",IF(AND($A769=21,$AE769&amp;""="00000000"),IF($AH769=20,"病院",IF($AH769=5,"消防","市長")),"対象外"))</f>
        <v>対象外</v>
      </c>
    </row>
    <row r="770">
      <c r="A770" t="n" s="2909">
        <v>219</v>
      </c>
      <c r="AA770" t="n" s="2909">
        <v>0</v>
      </c>
      <c r="AB770" t="inlineStr" s="2909">
        <is>
          <t>00000000</t>
        </is>
      </c>
      <c r="AD770" t="n" s="2909">
        <v>0</v>
      </c>
      <c r="AE770" t="inlineStr" s="2909">
        <is>
          <t>00000000</t>
        </is>
      </c>
      <c r="AH770" t="n" s="2909">
        <v>0</v>
      </c>
      <c r="AJ770" t="n" s="2909">
        <v>50</v>
      </c>
      <c r="AP770" t="n" s="2909">
        <v>0</v>
      </c>
      <c r="DB770" s="2909" t="str">
        <f>IF($A770="","",IF(AND($A770=21,$AE770&amp;""="00000000"),IF($AH770=20,"病院",IF($AH770=5,"消防","市長")),"対象外"))</f>
        <v>対象外</v>
      </c>
    </row>
    <row r="771">
      <c r="A771" t="n" s="2909">
        <v>219</v>
      </c>
      <c r="AA771" t="n" s="2909">
        <v>0</v>
      </c>
      <c r="AB771" t="inlineStr" s="2909">
        <is>
          <t>00000000</t>
        </is>
      </c>
      <c r="AD771" t="n" s="2909">
        <v>0</v>
      </c>
      <c r="AE771" t="inlineStr" s="2909">
        <is>
          <t>00000000</t>
        </is>
      </c>
      <c r="AH771" t="n" s="2909">
        <v>0</v>
      </c>
      <c r="AJ771" t="n" s="2909">
        <v>50</v>
      </c>
      <c r="AP771" t="n" s="2909">
        <v>0</v>
      </c>
      <c r="DB771" s="2909" t="str">
        <f>IF($A771="","",IF(AND($A771=21,$AE771&amp;""="00000000"),IF($AH771=20,"病院",IF($AH771=5,"消防","市長")),"対象外"))</f>
        <v>対象外</v>
      </c>
    </row>
    <row r="772">
      <c r="A772" t="n" s="2909">
        <v>219</v>
      </c>
      <c r="AA772" t="n" s="2909">
        <v>0</v>
      </c>
      <c r="AB772" t="inlineStr" s="2909">
        <is>
          <t>00000000</t>
        </is>
      </c>
      <c r="AD772" t="n" s="2909">
        <v>0</v>
      </c>
      <c r="AE772" t="inlineStr" s="2909">
        <is>
          <t>00000000</t>
        </is>
      </c>
      <c r="AH772" t="n" s="2909">
        <v>0</v>
      </c>
      <c r="AJ772" t="n" s="2909">
        <v>50</v>
      </c>
      <c r="AP772" t="n" s="2909">
        <v>0</v>
      </c>
      <c r="DB772" s="2909" t="str">
        <f>IF($A772="","",IF(AND($A772=21,$AE772&amp;""="00000000"),IF($AH772=20,"病院",IF($AH772=5,"消防","市長")),"対象外"))</f>
        <v>対象外</v>
      </c>
    </row>
    <row r="773">
      <c r="A773" t="n" s="2909">
        <v>219</v>
      </c>
      <c r="AA773" t="n" s="2909">
        <v>0</v>
      </c>
      <c r="AB773" t="inlineStr" s="2909">
        <is>
          <t>00000000</t>
        </is>
      </c>
      <c r="AD773" t="n" s="2909">
        <v>0</v>
      </c>
      <c r="AE773" t="inlineStr" s="2909">
        <is>
          <t>00000000</t>
        </is>
      </c>
      <c r="AH773" t="n" s="2909">
        <v>0</v>
      </c>
      <c r="AJ773" t="n" s="2909">
        <v>50</v>
      </c>
      <c r="AP773" t="n" s="2909">
        <v>0</v>
      </c>
      <c r="DB773" s="2909" t="str">
        <f>IF($A773="","",IF(AND($A773=21,$AE773&amp;""="00000000"),IF($AH773=20,"病院",IF($AH773=5,"消防","市長")),"対象外"))</f>
        <v>対象外</v>
      </c>
    </row>
    <row r="774">
      <c r="A774" t="n" s="2909">
        <v>219</v>
      </c>
      <c r="AA774" t="n" s="2909">
        <v>0</v>
      </c>
      <c r="AB774" t="inlineStr" s="2909">
        <is>
          <t>00000000</t>
        </is>
      </c>
      <c r="AD774" t="n" s="2909">
        <v>0</v>
      </c>
      <c r="AE774" t="inlineStr" s="2909">
        <is>
          <t>00000000</t>
        </is>
      </c>
      <c r="AH774" t="n" s="2909">
        <v>0</v>
      </c>
      <c r="AJ774" t="n" s="2909">
        <v>50</v>
      </c>
      <c r="AP774" t="n" s="2909">
        <v>0</v>
      </c>
      <c r="DB774" s="2909" t="str">
        <f>IF($A774="","",IF(AND($A774=21,$AE774&amp;""="00000000"),IF($AH774=20,"病院",IF($AH774=5,"消防","市長")),"対象外"))</f>
        <v>対象外</v>
      </c>
    </row>
    <row r="775">
      <c r="A775" t="n" s="2909">
        <v>219</v>
      </c>
      <c r="AA775" t="n" s="2909">
        <v>0</v>
      </c>
      <c r="AB775" t="inlineStr" s="2909">
        <is>
          <t>00000000</t>
        </is>
      </c>
      <c r="AD775" t="n" s="2909">
        <v>0</v>
      </c>
      <c r="AE775" t="inlineStr" s="2909">
        <is>
          <t>00000000</t>
        </is>
      </c>
      <c r="AH775" t="n" s="2909">
        <v>0</v>
      </c>
      <c r="AJ775" t="n" s="2909">
        <v>50</v>
      </c>
      <c r="AP775" t="n" s="2909">
        <v>0</v>
      </c>
      <c r="DB775" s="2909" t="str">
        <f>IF($A775="","",IF(AND($A775=21,$AE775&amp;""="00000000"),IF($AH775=20,"病院",IF($AH775=5,"消防","市長")),"対象外"))</f>
        <v>対象外</v>
      </c>
    </row>
    <row r="776">
      <c r="A776" t="n" s="2909">
        <v>219</v>
      </c>
      <c r="AA776" t="n" s="2909">
        <v>0</v>
      </c>
      <c r="AB776" t="inlineStr" s="2909">
        <is>
          <t>00000000</t>
        </is>
      </c>
      <c r="AD776" t="n" s="2909">
        <v>0</v>
      </c>
      <c r="AE776" t="inlineStr" s="2909">
        <is>
          <t>00000000</t>
        </is>
      </c>
      <c r="AH776" t="n" s="2909">
        <v>0</v>
      </c>
      <c r="AJ776" t="n" s="2909">
        <v>50</v>
      </c>
      <c r="AP776" t="n" s="2909">
        <v>0</v>
      </c>
      <c r="DB776" s="2909" t="str">
        <f>IF($A776="","",IF(AND($A776=21,$AE776&amp;""="00000000"),IF($AH776=20,"病院",IF($AH776=5,"消防","市長")),"対象外"))</f>
        <v>対象外</v>
      </c>
    </row>
    <row r="777">
      <c r="A777" t="n" s="2909">
        <v>219</v>
      </c>
      <c r="AA777" t="n" s="2909">
        <v>0</v>
      </c>
      <c r="AB777" t="inlineStr" s="2909">
        <is>
          <t>00000000</t>
        </is>
      </c>
      <c r="AD777" t="n" s="2909">
        <v>0</v>
      </c>
      <c r="AE777" t="inlineStr" s="2909">
        <is>
          <t>00000000</t>
        </is>
      </c>
      <c r="AH777" t="n" s="2909">
        <v>0</v>
      </c>
      <c r="AJ777" t="n" s="2909">
        <v>50</v>
      </c>
      <c r="AP777" t="n" s="2909">
        <v>0</v>
      </c>
      <c r="DB777" s="2909" t="str">
        <f>IF($A777="","",IF(AND($A777=21,$AE777&amp;""="00000000"),IF($AH777=20,"病院",IF($AH777=5,"消防","市長")),"対象外"))</f>
        <v>対象外</v>
      </c>
    </row>
    <row r="778">
      <c r="A778" t="n" s="2909">
        <v>219</v>
      </c>
      <c r="AA778" t="n" s="2909">
        <v>0</v>
      </c>
      <c r="AB778" t="inlineStr" s="2909">
        <is>
          <t>00000000</t>
        </is>
      </c>
      <c r="AD778" t="n" s="2909">
        <v>0</v>
      </c>
      <c r="AE778" t="inlineStr" s="2909">
        <is>
          <t>00000000</t>
        </is>
      </c>
      <c r="AH778" t="n" s="2909">
        <v>0</v>
      </c>
      <c r="AJ778" t="n" s="2909">
        <v>50</v>
      </c>
      <c r="AP778" t="n" s="2909">
        <v>0</v>
      </c>
      <c r="DB778" s="2909" t="str">
        <f>IF($A778="","",IF(AND($A778=21,$AE778&amp;""="00000000"),IF($AH778=20,"病院",IF($AH778=5,"消防","市長")),"対象外"))</f>
        <v>対象外</v>
      </c>
    </row>
    <row r="779">
      <c r="A779" t="n" s="2909">
        <v>219</v>
      </c>
      <c r="AA779" t="n" s="2909">
        <v>0</v>
      </c>
      <c r="AB779" t="inlineStr" s="2909">
        <is>
          <t>00000000</t>
        </is>
      </c>
      <c r="AD779" t="n" s="2909">
        <v>0</v>
      </c>
      <c r="AE779" t="inlineStr" s="2909">
        <is>
          <t>00000000</t>
        </is>
      </c>
      <c r="AH779" t="n" s="2909">
        <v>0</v>
      </c>
      <c r="AJ779" t="n" s="2909">
        <v>50</v>
      </c>
      <c r="AP779" t="n" s="2909">
        <v>0</v>
      </c>
      <c r="DB779" s="2909" t="str">
        <f>IF($A779="","",IF(AND($A779=21,$AE779&amp;""="00000000"),IF($AH779=20,"病院",IF($AH779=5,"消防","市長")),"対象外"))</f>
        <v>対象外</v>
      </c>
    </row>
    <row r="780">
      <c r="A780" t="n" s="2909">
        <v>219</v>
      </c>
      <c r="AA780" t="n" s="2909">
        <v>0</v>
      </c>
      <c r="AB780" t="inlineStr" s="2909">
        <is>
          <t>00000000</t>
        </is>
      </c>
      <c r="AD780" t="n" s="2909">
        <v>0</v>
      </c>
      <c r="AE780" t="inlineStr" s="2909">
        <is>
          <t>00000000</t>
        </is>
      </c>
      <c r="AH780" t="n" s="2909">
        <v>0</v>
      </c>
      <c r="AJ780" t="n" s="2909">
        <v>50</v>
      </c>
      <c r="AP780" t="n" s="2909">
        <v>0</v>
      </c>
      <c r="DB780" s="2909" t="str">
        <f>IF($A780="","",IF(AND($A780=21,$AE780&amp;""="00000000"),IF($AH780=20,"病院",IF($AH780=5,"消防","市長")),"対象外"))</f>
        <v>対象外</v>
      </c>
    </row>
    <row r="781">
      <c r="DB781" s="2909">
        <f>IF($A781="","",IF(AND($A781=21,$AE781&amp;""="00000000"),IF($AH781=20,"病院",IF($AH781=5,"消防","市長")),"対象外"))</f>
      </c>
    </row>
    <row r="782">
      <c r="DB782" s="2909">
        <f>IF($A782="","",IF(AND($A782=21,$AE782&amp;""="00000000"),IF($AH782=20,"病院",IF($AH782=5,"消防","市長")),"対象外"))</f>
      </c>
    </row>
    <row r="783">
      <c r="DB783" s="2909">
        <f>IF($A783="","",IF(AND($A783=21,$AE783&amp;""="00000000"),IF($AH783=20,"病院",IF($AH783=5,"消防","市長")),"対象外"))</f>
      </c>
    </row>
    <row r="784">
      <c r="DB784" s="2909">
        <f>IF($A784="","",IF(AND($A784=21,$AE784&amp;""="00000000"),IF($AH784=20,"病院",IF($AH784=5,"消防","市長")),"対象外"))</f>
      </c>
    </row>
    <row r="785">
      <c r="DB785" s="2909">
        <f>IF($A785="","",IF(AND($A785=21,$AE785&amp;""="00000000"),IF($AH785=20,"病院",IF($AH785=5,"消防","市長")),"対象外"))</f>
      </c>
    </row>
    <row r="786">
      <c r="DB786" s="2909">
        <f>IF($A786="","",IF(AND($A786=21,$AE786&amp;""="00000000"),IF($AH786=20,"病院",IF($AH786=5,"消防","市長")),"対象外"))</f>
      </c>
    </row>
    <row r="787">
      <c r="DB787" s="2909">
        <f>IF($A787="","",IF(AND($A787=21,$AE787&amp;""="00000000"),IF($AH787=20,"病院",IF($AH787=5,"消防","市長")),"対象外"))</f>
      </c>
    </row>
    <row r="788">
      <c r="DB788" s="2909">
        <f>IF($A788="","",IF(AND($A788=21,$AE788&amp;""="00000000"),IF($AH788=20,"病院",IF($AH788=5,"消防","市長")),"対象外"))</f>
      </c>
    </row>
    <row r="789">
      <c r="DB789" s="2909">
        <f>IF($A789="","",IF(AND($A789=21,$AE789&amp;""="00000000"),IF($AH789=20,"病院",IF($AH789=5,"消防","市長")),"対象外"))</f>
      </c>
    </row>
    <row r="790">
      <c r="DB790" s="2909">
        <f>IF($A790="","",IF(AND($A790=21,$AE790&amp;""="00000000"),IF($AH790=20,"病院",IF($AH790=5,"消防","市長")),"対象外"))</f>
      </c>
    </row>
    <row r="791">
      <c r="DB791" s="2909">
        <f>IF($A791="","",IF(AND($A791=21,$AE791&amp;""="00000000"),IF($AH791=20,"病院",IF($AH791=5,"消防","市長")),"対象外"))</f>
      </c>
    </row>
    <row r="792">
      <c r="DB792" s="2909">
        <f>IF($A792="","",IF(AND($A792=21,$AE792&amp;""="00000000"),IF($AH792=20,"病院",IF($AH792=5,"消防","市長")),"対象外"))</f>
      </c>
    </row>
    <row r="793">
      <c r="DB793" s="2909">
        <f>IF($A793="","",IF(AND($A793=21,$AE793&amp;""="00000000"),IF($AH793=20,"病院",IF($AH793=5,"消防","市長")),"対象外"))</f>
      </c>
    </row>
    <row r="794">
      <c r="DB794" s="2909">
        <f>IF($A794="","",IF(AND($A794=21,$AE794&amp;""="00000000"),IF($AH794=20,"病院",IF($AH794=5,"消防","市長")),"対象外"))</f>
      </c>
    </row>
    <row r="795">
      <c r="DB795" s="2909">
        <f>IF($A795="","",IF(AND($A795=21,$AE795&amp;""="00000000"),IF($AH795=20,"病院",IF($AH795=5,"消防","市長")),"対象外"))</f>
      </c>
    </row>
    <row r="796">
      <c r="DB796" s="2909">
        <f>IF($A796="","",IF(AND($A796=21,$AE796&amp;""="00000000"),IF($AH796=20,"病院",IF($AH796=5,"消防","市長")),"対象外"))</f>
      </c>
    </row>
    <row r="797">
      <c r="DB797" s="2909">
        <f>IF($A797="","",IF(AND($A797=21,$AE797&amp;""="00000000"),IF($AH797=20,"病院",IF($AH797=5,"消防","市長")),"対象外"))</f>
      </c>
    </row>
    <row r="798">
      <c r="DB798" s="2909">
        <f>IF($A798="","",IF(AND($A798=21,$AE798&amp;""="00000000"),IF($AH798=20,"病院",IF($AH798=5,"消防","市長")),"対象外"))</f>
      </c>
    </row>
    <row r="799">
      <c r="DB799" s="2909">
        <f>IF($A799="","",IF(AND($A799=21,$AE799&amp;""="00000000"),IF($AH799=20,"病院",IF($AH799=5,"消防","市長")),"対象外"))</f>
      </c>
    </row>
    <row r="800">
      <c r="DB800" s="2909">
        <f>IF($A800="","",IF(AND($A800=21,$AE800&amp;""="00000000"),IF($AH800=20,"病院",IF($AH800=5,"消防","市長")),"対象外"))</f>
      </c>
    </row>
    <row r="801">
      <c r="DB801" s="2909">
        <f>IF($A801="","",IF(AND($A801=21,$AE801&amp;""="00000000"),IF($AH801=20,"病院",IF($AH801=5,"消防","市長")),"対象外"))</f>
      </c>
    </row>
    <row r="802">
      <c r="DB802" s="2909">
        <f>IF($A802="","",IF(AND($A802=21,$AE802&amp;""="00000000"),IF($AH802=20,"病院",IF($AH802=5,"消防","市長")),"対象外"))</f>
      </c>
    </row>
    <row r="803">
      <c r="DB803" s="2909">
        <f>IF($A803="","",IF(AND($A803=21,$AE803&amp;""="00000000"),IF($AH803=20,"病院",IF($AH803=5,"消防","市長")),"対象外"))</f>
      </c>
    </row>
    <row r="804">
      <c r="DB804" s="2909">
        <f>IF($A804="","",IF(AND($A804=21,$AE804&amp;""="00000000"),IF($AH804=20,"病院",IF($AH804=5,"消防","市長")),"対象外"))</f>
      </c>
    </row>
    <row r="805">
      <c r="DB805" s="2909">
        <f>IF($A805="","",IF(AND($A805=21,$AE805&amp;""="00000000"),IF($AH805=20,"病院",IF($AH805=5,"消防","市長")),"対象外"))</f>
      </c>
    </row>
    <row r="806">
      <c r="DB806" s="2909">
        <f>IF($A806="","",IF(AND($A806=21,$AE806&amp;""="00000000"),IF($AH806=20,"病院",IF($AH806=5,"消防","市長")),"対象外"))</f>
      </c>
    </row>
    <row r="807">
      <c r="DB807" s="2909">
        <f>IF($A807="","",IF(AND($A807=21,$AE807&amp;""="00000000"),IF($AH807=20,"病院",IF($AH807=5,"消防","市長")),"対象外"))</f>
      </c>
    </row>
    <row r="808">
      <c r="DB808" s="2909">
        <f>IF($A808="","",IF(AND($A808=21,$AE808&amp;""="00000000"),IF($AH808=20,"病院",IF($AH808=5,"消防","市長")),"対象外"))</f>
      </c>
    </row>
    <row r="809">
      <c r="DB809" s="2909">
        <f>IF($A809="","",IF(AND($A809=21,$AE809&amp;""="00000000"),IF($AH809=20,"病院",IF($AH809=5,"消防","市長")),"対象外"))</f>
      </c>
    </row>
    <row r="810">
      <c r="DB810" s="2909">
        <f>IF($A810="","",IF(AND($A810=21,$AE810&amp;""="00000000"),IF($AH810=20,"病院",IF($AH810=5,"消防","市長")),"対象外"))</f>
      </c>
    </row>
    <row r="811">
      <c r="DB811" s="2909">
        <f>IF($A811="","",IF(AND($A811=21,$AE811&amp;""="00000000"),IF($AH811=20,"病院",IF($AH811=5,"消防","市長")),"対象外"))</f>
      </c>
    </row>
    <row r="812">
      <c r="DB812" s="2909">
        <f>IF($A812="","",IF(AND($A812=21,$AE812&amp;""="00000000"),IF($AH812=20,"病院",IF($AH812=5,"消防","市長")),"対象外"))</f>
      </c>
    </row>
    <row r="813">
      <c r="DB813" s="2909">
        <f>IF($A813="","",IF(AND($A813=21,$AE813&amp;""="00000000"),IF($AH813=20,"病院",IF($AH813=5,"消防","市長")),"対象外"))</f>
      </c>
    </row>
    <row r="814">
      <c r="DB814" s="2909">
        <f>IF($A814="","",IF(AND($A814=21,$AE814&amp;""="00000000"),IF($AH814=20,"病院",IF($AH814=5,"消防","市長")),"対象外"))</f>
      </c>
    </row>
    <row r="815">
      <c r="DB815" s="2909">
        <f>IF($A815="","",IF(AND($A815=21,$AE815&amp;""="00000000"),IF($AH815=20,"病院",IF($AH815=5,"消防","市長")),"対象外"))</f>
      </c>
    </row>
    <row r="816">
      <c r="DB816" s="2909">
        <f>IF($A816="","",IF(AND($A816=21,$AE816&amp;""="00000000"),IF($AH816=20,"病院",IF($AH816=5,"消防","市長")),"対象外"))</f>
      </c>
    </row>
    <row r="817">
      <c r="DB817" s="2909">
        <f>IF($A817="","",IF(AND($A817=21,$AE817&amp;""="00000000"),IF($AH817=20,"病院",IF($AH817=5,"消防","市長")),"対象外"))</f>
      </c>
    </row>
    <row r="818">
      <c r="DB818" s="2909">
        <f>IF($A818="","",IF(AND($A818=21,$AE818&amp;""="00000000"),IF($AH818=20,"病院",IF($AH818=5,"消防","市長")),"対象外"))</f>
      </c>
    </row>
    <row r="819">
      <c r="DB819" s="2909">
        <f>IF($A819="","",IF(AND($A819=21,$AE819&amp;""="00000000"),IF($AH819=20,"病院",IF($AH819=5,"消防","市長")),"対象外"))</f>
      </c>
    </row>
    <row r="820">
      <c r="DB820" s="2909">
        <f>IF($A820="","",IF(AND($A820=21,$AE820&amp;""="00000000"),IF($AH820=20,"病院",IF($AH820=5,"消防","市長")),"対象外"))</f>
      </c>
    </row>
    <row r="821">
      <c r="DB821" s="2909">
        <f>IF($A821="","",IF(AND($A821=21,$AE821&amp;""="00000000"),IF($AH821=20,"病院",IF($AH821=5,"消防","市長")),"対象外"))</f>
      </c>
    </row>
    <row r="822">
      <c r="DB822" s="2909">
        <f>IF($A822="","",IF(AND($A822=21,$AE822&amp;""="00000000"),IF($AH822=20,"病院",IF($AH822=5,"消防","市長")),"対象外"))</f>
      </c>
    </row>
    <row r="823">
      <c r="DB823" s="2909">
        <f>IF($A823="","",IF(AND($A823=21,$AE823&amp;""="00000000"),IF($AH823=20,"病院",IF($AH823=5,"消防","市長")),"対象外"))</f>
      </c>
    </row>
    <row r="824">
      <c r="DB824" s="2909">
        <f>IF($A824="","",IF(AND($A824=21,$AE824&amp;""="00000000"),IF($AH824=20,"病院",IF($AH824=5,"消防","市長")),"対象外"))</f>
      </c>
    </row>
    <row r="825">
      <c r="DB825" s="2909">
        <f>IF($A825="","",IF(AND($A825=21,$AE825&amp;""="00000000"),IF($AH825=20,"病院",IF($AH825=5,"消防","市長")),"対象外"))</f>
      </c>
    </row>
    <row r="826">
      <c r="DB826" s="2909">
        <f>IF($A826="","",IF(AND($A826=21,$AE826&amp;""="00000000"),IF($AH826=20,"病院",IF($AH826=5,"消防","市長")),"対象外"))</f>
      </c>
    </row>
    <row r="827">
      <c r="DB827" s="2909">
        <f>IF($A827="","",IF(AND($A827=21,$AE827&amp;""="00000000"),IF($AH827=20,"病院",IF($AH827=5,"消防","市長")),"対象外"))</f>
      </c>
    </row>
    <row r="828">
      <c r="DB828" s="2909">
        <f>IF($A828="","",IF(AND($A828=21,$AE828&amp;""="00000000"),IF($AH828=20,"病院",IF($AH828=5,"消防","市長")),"対象外"))</f>
      </c>
    </row>
    <row r="829">
      <c r="DB829" s="2909">
        <f>IF($A829="","",IF(AND($A829=21,$AE829&amp;""="00000000"),IF($AH829=20,"病院",IF($AH829=5,"消防","市長")),"対象外"))</f>
      </c>
    </row>
    <row r="830">
      <c r="DB830" s="2909">
        <f>IF($A830="","",IF(AND($A830=21,$AE830&amp;""="00000000"),IF($AH830=20,"病院",IF($AH830=5,"消防","市長")),"対象外"))</f>
      </c>
    </row>
    <row r="831">
      <c r="DB831" s="2909">
        <f>IF($A831="","",IF(AND($A831=21,$AE831&amp;""="00000000"),IF($AH831=20,"病院",IF($AH831=5,"消防","市長")),"対象外"))</f>
      </c>
    </row>
    <row r="832">
      <c r="DB832" s="2909">
        <f>IF($A832="","",IF(AND($A832=21,$AE832&amp;""="00000000"),IF($AH832=20,"病院",IF($AH832=5,"消防","市長")),"対象外"))</f>
      </c>
    </row>
    <row r="833">
      <c r="DB833" s="2909">
        <f>IF($A833="","",IF(AND($A833=21,$AE833&amp;""="00000000"),IF($AH833=20,"病院",IF($AH833=5,"消防","市長")),"対象外"))</f>
      </c>
    </row>
    <row r="834">
      <c r="DB834" s="2909">
        <f>IF($A834="","",IF(AND($A834=21,$AE834&amp;""="00000000"),IF($AH834=20,"病院",IF($AH834=5,"消防","市長")),"対象外"))</f>
      </c>
    </row>
    <row r="835">
      <c r="DB835" s="2909">
        <f>IF($A835="","",IF(AND($A835=21,$AE835&amp;""="00000000"),IF($AH835=20,"病院",IF($AH835=5,"消防","市長")),"対象外"))</f>
      </c>
    </row>
    <row r="836">
      <c r="DB836" s="2909">
        <f>IF($A836="","",IF(AND($A836=21,$AE836&amp;""="00000000"),IF($AH836=20,"病院",IF($AH836=5,"消防","市長")),"対象外"))</f>
      </c>
    </row>
    <row r="837">
      <c r="DB837" s="2909">
        <f>IF($A837="","",IF(AND($A837=21,$AE837&amp;""="00000000"),IF($AH837=20,"病院",IF($AH837=5,"消防","市長")),"対象外"))</f>
      </c>
    </row>
    <row r="838">
      <c r="DB838" s="2909">
        <f>IF($A838="","",IF(AND($A838=21,$AE838&amp;""="00000000"),IF($AH838=20,"病院",IF($AH838=5,"消防","市長")),"対象外"))</f>
      </c>
    </row>
    <row r="839">
      <c r="DB839" s="2909">
        <f>IF($A839="","",IF(AND($A839=21,$AE839&amp;""="00000000"),IF($AH839=20,"病院",IF($AH839=5,"消防","市長")),"対象外"))</f>
      </c>
    </row>
    <row r="840">
      <c r="DB840" s="2909">
        <f>IF($A840="","",IF(AND($A840=21,$AE840&amp;""="00000000"),IF($AH840=20,"病院",IF($AH840=5,"消防","市長")),"対象外"))</f>
      </c>
    </row>
    <row r="841">
      <c r="DB841" s="2909">
        <f>IF($A841="","",IF(AND($A841=21,$AE841&amp;""="00000000"),IF($AH841=20,"病院",IF($AH841=5,"消防","市長")),"対象外"))</f>
      </c>
    </row>
    <row r="842">
      <c r="DB842" s="2909">
        <f>IF($A842="","",IF(AND($A842=21,$AE842&amp;""="00000000"),IF($AH842=20,"病院",IF($AH842=5,"消防","市長")),"対象外"))</f>
      </c>
    </row>
    <row r="843">
      <c r="DB843" s="2909">
        <f>IF($A843="","",IF(AND($A843=21,$AE843&amp;""="00000000"),IF($AH843=20,"病院",IF($AH843=5,"消防","市長")),"対象外"))</f>
      </c>
    </row>
    <row r="844">
      <c r="DB844" s="2909">
        <f>IF($A844="","",IF(AND($A844=21,$AE844&amp;""="00000000"),IF($AH844=20,"病院",IF($AH844=5,"消防","市長")),"対象外"))</f>
      </c>
    </row>
    <row r="845">
      <c r="DB845" s="2909">
        <f>IF($A845="","",IF(AND($A845=21,$AE845&amp;""="00000000"),IF($AH845=20,"病院",IF($AH845=5,"消防","市長")),"対象外"))</f>
      </c>
    </row>
    <row r="846">
      <c r="DB846" s="2909">
        <f>IF($A846="","",IF(AND($A846=21,$AE846&amp;""="00000000"),IF($AH846=20,"病院",IF($AH846=5,"消防","市長")),"対象外"))</f>
      </c>
    </row>
    <row r="847">
      <c r="DB847" s="2909">
        <f>IF($A847="","",IF(AND($A847=21,$AE847&amp;""="00000000"),IF($AH847=20,"病院",IF($AH847=5,"消防","市長")),"対象外"))</f>
      </c>
    </row>
    <row r="848">
      <c r="DB848" s="2909">
        <f>IF($A848="","",IF(AND($A848=21,$AE848&amp;""="00000000"),IF($AH848=20,"病院",IF($AH848=5,"消防","市長")),"対象外"))</f>
      </c>
    </row>
    <row r="849">
      <c r="DB849" s="2909">
        <f>IF($A849="","",IF(AND($A849=21,$AE849&amp;""="00000000"),IF($AH849=20,"病院",IF($AH849=5,"消防","市長")),"対象外"))</f>
      </c>
    </row>
    <row r="850">
      <c r="DB850" s="2909">
        <f>IF($A850="","",IF(AND($A850=21,$AE850&amp;""="00000000"),IF($AH850=20,"病院",IF($AH850=5,"消防","市長")),"対象外"))</f>
      </c>
    </row>
    <row r="851">
      <c r="DB851" s="2909">
        <f>IF($A851="","",IF(AND($A851=21,$AE851&amp;""="00000000"),IF($AH851=20,"病院",IF($AH851=5,"消防","市長")),"対象外"))</f>
      </c>
    </row>
    <row r="852">
      <c r="DB852" s="2909">
        <f>IF($A852="","",IF(AND($A852=21,$AE852&amp;""="00000000"),IF($AH852=20,"病院",IF($AH852=5,"消防","市長")),"対象外"))</f>
      </c>
    </row>
    <row r="853">
      <c r="DB853" s="2909">
        <f>IF($A853="","",IF(AND($A853=21,$AE853&amp;""="00000000"),IF($AH853=20,"病院",IF($AH853=5,"消防","市長")),"対象外"))</f>
      </c>
    </row>
    <row r="854">
      <c r="DB854" s="2909">
        <f>IF($A854="","",IF(AND($A854=21,$AE854&amp;""="00000000"),IF($AH854=20,"病院",IF($AH854=5,"消防","市長")),"対象外"))</f>
      </c>
    </row>
    <row r="855">
      <c r="DB855" s="2909">
        <f>IF($A855="","",IF(AND($A855=21,$AE855&amp;""="00000000"),IF($AH855=20,"病院",IF($AH855=5,"消防","市長")),"対象外"))</f>
      </c>
    </row>
    <row r="856">
      <c r="DB856" s="2909">
        <f>IF($A856="","",IF(AND($A856=21,$AE856&amp;""="00000000"),IF($AH856=20,"病院",IF($AH856=5,"消防","市長")),"対象外"))</f>
      </c>
    </row>
    <row r="857">
      <c r="DB857" s="2909">
        <f>IF($A857="","",IF(AND($A857=21,$AE857&amp;""="00000000"),IF($AH857=20,"病院",IF($AH857=5,"消防","市長")),"対象外"))</f>
      </c>
    </row>
    <row r="858">
      <c r="DB858" s="2909">
        <f>IF($A858="","",IF(AND($A858=21,$AE858&amp;""="00000000"),IF($AH858=20,"病院",IF($AH858=5,"消防","市長")),"対象外"))</f>
      </c>
    </row>
    <row r="859">
      <c r="DB859" s="2909">
        <f>IF($A859="","",IF(AND($A859=21,$AE859&amp;""="00000000"),IF($AH859=20,"病院",IF($AH859=5,"消防","市長")),"対象外"))</f>
      </c>
    </row>
    <row r="860">
      <c r="DB860" s="2909">
        <f>IF($A860="","",IF(AND($A860=21,$AE860&amp;""="00000000"),IF($AH860=20,"病院",IF($AH860=5,"消防","市長")),"対象外"))</f>
      </c>
    </row>
    <row r="861">
      <c r="DB861" s="2909">
        <f>IF($A861="","",IF(AND($A861=21,$AE861&amp;""="00000000"),IF($AH861=20,"病院",IF($AH861=5,"消防","市長")),"対象外"))</f>
      </c>
    </row>
    <row r="862">
      <c r="DB862" s="2909">
        <f>IF($A862="","",IF(AND($A862=21,$AE862&amp;""="00000000"),IF($AH862=20,"病院",IF($AH862=5,"消防","市長")),"対象外"))</f>
      </c>
    </row>
    <row r="863">
      <c r="DB863" s="2909">
        <f>IF($A863="","",IF(AND($A863=21,$AE863&amp;""="00000000"),IF($AH863=20,"病院",IF($AH863=5,"消防","市長")),"対象外"))</f>
      </c>
    </row>
    <row r="864">
      <c r="DB864" s="2909">
        <f>IF($A864="","",IF(AND($A864=21,$AE864&amp;""="00000000"),IF($AH864=20,"病院",IF($AH864=5,"消防","市長")),"対象外"))</f>
      </c>
    </row>
    <row r="865">
      <c r="DB865" s="2909">
        <f>IF($A865="","",IF(AND($A865=21,$AE865&amp;""="00000000"),IF($AH865=20,"病院",IF($AH865=5,"消防","市長")),"対象外"))</f>
      </c>
    </row>
    <row r="866">
      <c r="DB866" s="2909">
        <f>IF($A866="","",IF(AND($A866=21,$AE866&amp;""="00000000"),IF($AH866=20,"病院",IF($AH866=5,"消防","市長")),"対象外"))</f>
      </c>
    </row>
    <row r="867">
      <c r="DB867" s="2909">
        <f>IF($A867="","",IF(AND($A867=21,$AE867&amp;""="00000000"),IF($AH867=20,"病院",IF($AH867=5,"消防","市長")),"対象外"))</f>
      </c>
    </row>
    <row r="868">
      <c r="DB868" s="2909">
        <f>IF($A868="","",IF(AND($A868=21,$AE868&amp;""="00000000"),IF($AH868=20,"病院",IF($AH868=5,"消防","市長")),"対象外"))</f>
      </c>
    </row>
    <row r="869">
      <c r="DB869" s="2909">
        <f>IF($A869="","",IF(AND($A869=21,$AE869&amp;""="00000000"),IF($AH869=20,"病院",IF($AH869=5,"消防","市長")),"対象外"))</f>
      </c>
    </row>
    <row r="870">
      <c r="DB870" s="2909">
        <f>IF($A870="","",IF(AND($A870=21,$AE870&amp;""="00000000"),IF($AH870=20,"病院",IF($AH870=5,"消防","市長")),"対象外"))</f>
      </c>
    </row>
    <row r="871">
      <c r="DB871" s="2909">
        <f>IF($A871="","",IF(AND($A871=21,$AE871&amp;""="00000000"),IF($AH871=20,"病院",IF($AH871=5,"消防","市長")),"対象外"))</f>
      </c>
    </row>
    <row r="872">
      <c r="DB872" s="2909">
        <f>IF($A872="","",IF(AND($A872=21,$AE872&amp;""="00000000"),IF($AH872=20,"病院",IF($AH872=5,"消防","市長")),"対象外"))</f>
      </c>
    </row>
    <row r="873">
      <c r="DB873" s="2909">
        <f>IF($A873="","",IF(AND($A873=21,$AE873&amp;""="00000000"),IF($AH873=20,"病院",IF($AH873=5,"消防","市長")),"対象外"))</f>
      </c>
    </row>
    <row r="874">
      <c r="DB874" s="2909">
        <f>IF($A874="","",IF(AND($A874=21,$AE874&amp;""="00000000"),IF($AH874=20,"病院",IF($AH874=5,"消防","市長")),"対象外"))</f>
      </c>
    </row>
    <row r="875">
      <c r="DB875" s="2909">
        <f>IF($A875="","",IF(AND($A875=21,$AE875&amp;""="00000000"),IF($AH875=20,"病院",IF($AH875=5,"消防","市長")),"対象外"))</f>
      </c>
    </row>
    <row r="876">
      <c r="DB876" s="2909">
        <f>IF($A876="","",IF(AND($A876=21,$AE876&amp;""="00000000"),IF($AH876=20,"病院",IF($AH876=5,"消防","市長")),"対象外"))</f>
      </c>
    </row>
    <row r="877">
      <c r="DB877" s="2909">
        <f>IF($A877="","",IF(AND($A877=21,$AE877&amp;""="00000000"),IF($AH877=20,"病院",IF($AH877=5,"消防","市長")),"対象外"))</f>
      </c>
    </row>
    <row r="878">
      <c r="DB878" s="2909">
        <f>IF($A878="","",IF(AND($A878=21,$AE878&amp;""="00000000"),IF($AH878=20,"病院",IF($AH878=5,"消防","市長")),"対象外"))</f>
      </c>
    </row>
    <row r="879">
      <c r="DB879" s="2909">
        <f>IF($A879="","",IF(AND($A879=21,$AE879&amp;""="00000000"),IF($AH879=20,"病院",IF($AH879=5,"消防","市長")),"対象外"))</f>
      </c>
    </row>
    <row r="880">
      <c r="DB880" s="2909">
        <f>IF($A880="","",IF(AND($A880=21,$AE880&amp;""="00000000"),IF($AH880=20,"病院",IF($AH880=5,"消防","市長")),"対象外"))</f>
      </c>
    </row>
    <row r="881">
      <c r="DB881" s="2909">
        <f>IF($A881="","",IF(AND($A881=21,$AE881&amp;""="00000000"),IF($AH881=20,"病院",IF($AH881=5,"消防","市長")),"対象外"))</f>
      </c>
    </row>
    <row r="882">
      <c r="DB882" s="2909">
        <f>IF($A882="","",IF(AND($A882=21,$AE882&amp;""="00000000"),IF($AH882=20,"病院",IF($AH882=5,"消防","市長")),"対象外"))</f>
      </c>
    </row>
    <row r="883">
      <c r="DB883" s="2909">
        <f>IF($A883="","",IF(AND($A883=21,$AE883&amp;""="00000000"),IF($AH883=20,"病院",IF($AH883=5,"消防","市長")),"対象外"))</f>
      </c>
    </row>
    <row r="884">
      <c r="DB884" s="2909">
        <f>IF($A884="","",IF(AND($A884=21,$AE884&amp;""="00000000"),IF($AH884=20,"病院",IF($AH884=5,"消防","市長")),"対象外"))</f>
      </c>
    </row>
    <row r="885">
      <c r="DB885" s="2909">
        <f>IF($A885="","",IF(AND($A885=21,$AE885&amp;""="00000000"),IF($AH885=20,"病院",IF($AH885=5,"消防","市長")),"対象外"))</f>
      </c>
    </row>
    <row r="886">
      <c r="DB886" s="2909">
        <f>IF($A886="","",IF(AND($A886=21,$AE886&amp;""="00000000"),IF($AH886=20,"病院",IF($AH886=5,"消防","市長")),"対象外"))</f>
      </c>
    </row>
    <row r="887">
      <c r="DB887" s="2909">
        <f>IF($A887="","",IF(AND($A887=21,$AE887&amp;""="00000000"),IF($AH887=20,"病院",IF($AH887=5,"消防","市長")),"対象外"))</f>
      </c>
    </row>
    <row r="888">
      <c r="DB888" s="2909">
        <f>IF($A888="","",IF(AND($A888=21,$AE888&amp;""="00000000"),IF($AH888=20,"病院",IF($AH888=5,"消防","市長")),"対象外"))</f>
      </c>
    </row>
    <row r="889">
      <c r="DB889" s="2909">
        <f>IF($A889="","",IF(AND($A889=21,$AE889&amp;""="00000000"),IF($AH889=20,"病院",IF($AH889=5,"消防","市長")),"対象外"))</f>
      </c>
    </row>
    <row r="890">
      <c r="DB890" s="2909">
        <f>IF($A890="","",IF(AND($A890=21,$AE890&amp;""="00000000"),IF($AH890=20,"病院",IF($AH890=5,"消防","市長")),"対象外"))</f>
      </c>
    </row>
    <row r="891">
      <c r="DB891" s="2909">
        <f>IF($A891="","",IF(AND($A891=21,$AE891&amp;""="00000000"),IF($AH891=20,"病院",IF($AH891=5,"消防","市長")),"対象外"))</f>
      </c>
    </row>
    <row r="892">
      <c r="DB892" s="2909">
        <f>IF($A892="","",IF(AND($A892=21,$AE892&amp;""="00000000"),IF($AH892=20,"病院",IF($AH892=5,"消防","市長")),"対象外"))</f>
      </c>
    </row>
    <row r="893">
      <c r="DB893" s="2909">
        <f>IF($A893="","",IF(AND($A893=21,$AE893&amp;""="00000000"),IF($AH893=20,"病院",IF($AH893=5,"消防","市長")),"対象外"))</f>
      </c>
    </row>
    <row r="894">
      <c r="DB894" s="2909">
        <f>IF($A894="","",IF(AND($A894=21,$AE894&amp;""="00000000"),IF($AH894=20,"病院",IF($AH894=5,"消防","市長")),"対象外"))</f>
      </c>
    </row>
    <row r="895">
      <c r="DB895" s="2909">
        <f>IF($A895="","",IF(AND($A895=21,$AE895&amp;""="00000000"),IF($AH895=20,"病院",IF($AH895=5,"消防","市長")),"対象外"))</f>
      </c>
    </row>
    <row r="896">
      <c r="DB896" s="2909">
        <f>IF($A896="","",IF(AND($A896=21,$AE896&amp;""="00000000"),IF($AH896=20,"病院",IF($AH896=5,"消防","市長")),"対象外"))</f>
      </c>
    </row>
    <row r="897">
      <c r="DB897" s="2909">
        <f>IF($A897="","",IF(AND($A897=21,$AE897&amp;""="00000000"),IF($AH897=20,"病院",IF($AH897=5,"消防","市長")),"対象外"))</f>
      </c>
    </row>
    <row r="898">
      <c r="DB898" s="2909">
        <f>IF($A898="","",IF(AND($A898=21,$AE898&amp;""="00000000"),IF($AH898=20,"病院",IF($AH898=5,"消防","市長")),"対象外"))</f>
      </c>
    </row>
    <row r="899">
      <c r="DB899" s="2909">
        <f>IF($A899="","",IF(AND($A899=21,$AE899&amp;""="00000000"),IF($AH899=20,"病院",IF($AH899=5,"消防","市長")),"対象外"))</f>
      </c>
    </row>
    <row r="900">
      <c r="DB900" s="2909">
        <f>IF($A900="","",IF(AND($A900=21,$AE900&amp;""="00000000"),IF($AH900=20,"病院",IF($AH900=5,"消防","市長")),"対象外"))</f>
      </c>
    </row>
    <row r="901">
      <c r="DB901" s="2909">
        <f>IF($A901="","",IF(AND($A901=21,$AE901&amp;""="00000000"),IF($AH901=20,"病院",IF($AH901=5,"消防","市長")),"対象外"))</f>
      </c>
    </row>
    <row r="902">
      <c r="DB902" s="2909">
        <f>IF($A902="","",IF(AND($A902=21,$AE902&amp;""="00000000"),IF($AH902=20,"病院",IF($AH902=5,"消防","市長")),"対象外"))</f>
      </c>
    </row>
    <row r="903">
      <c r="DB903" s="2909">
        <f>IF($A903="","",IF(AND($A903=21,$AE903&amp;""="00000000"),IF($AH903=20,"病院",IF($AH903=5,"消防","市長")),"対象外"))</f>
      </c>
    </row>
    <row r="904">
      <c r="DB904" s="2909">
        <f>IF($A904="","",IF(AND($A904=21,$AE904&amp;""="00000000"),IF($AH904=20,"病院",IF($AH904=5,"消防","市長")),"対象外"))</f>
      </c>
    </row>
    <row r="905">
      <c r="DB905" s="2909">
        <f>IF($A905="","",IF(AND($A905=21,$AE905&amp;""="00000000"),IF($AH905=20,"病院",IF($AH905=5,"消防","市長")),"対象外"))</f>
      </c>
    </row>
    <row r="906">
      <c r="DB906" s="2909">
        <f>IF($A906="","",IF(AND($A906=21,$AE906&amp;""="00000000"),IF($AH906=20,"病院",IF($AH906=5,"消防","市長")),"対象外"))</f>
      </c>
    </row>
    <row r="907">
      <c r="DB907" s="2909">
        <f>IF($A907="","",IF(AND($A907=21,$AE907&amp;""="00000000"),IF($AH907=20,"病院",IF($AH907=5,"消防","市長")),"対象外"))</f>
      </c>
    </row>
    <row r="908">
      <c r="DB908" s="2909">
        <f>IF($A908="","",IF(AND($A908=21,$AE908&amp;""="00000000"),IF($AH908=20,"病院",IF($AH908=5,"消防","市長")),"対象外"))</f>
      </c>
    </row>
    <row r="909">
      <c r="DB909" s="2909">
        <f>IF($A909="","",IF(AND($A909=21,$AE909&amp;""="00000000"),IF($AH909=20,"病院",IF($AH909=5,"消防","市長")),"対象外"))</f>
      </c>
    </row>
    <row r="910">
      <c r="DB910" s="2909">
        <f>IF($A910="","",IF(AND($A910=21,$AE910&amp;""="00000000"),IF($AH910=20,"病院",IF($AH910=5,"消防","市長")),"対象外"))</f>
      </c>
    </row>
    <row r="911">
      <c r="DB911" s="2909">
        <f>IF($A911="","",IF(AND($A911=21,$AE911&amp;""="00000000"),IF($AH911=20,"病院",IF($AH911=5,"消防","市長")),"対象外"))</f>
      </c>
    </row>
    <row r="912">
      <c r="DB912" s="2909">
        <f>IF($A912="","",IF(AND($A912=21,$AE912&amp;""="00000000"),IF($AH912=20,"病院",IF($AH912=5,"消防","市長")),"対象外"))</f>
      </c>
    </row>
    <row r="913">
      <c r="DB913" s="2909">
        <f>IF($A913="","",IF(AND($A913=21,$AE913&amp;""="00000000"),IF($AH913=20,"病院",IF($AH913=5,"消防","市長")),"対象外"))</f>
      </c>
    </row>
    <row r="914">
      <c r="DB914" s="2909">
        <f>IF($A914="","",IF(AND($A914=21,$AE914&amp;""="00000000"),IF($AH914=20,"病院",IF($AH914=5,"消防","市長")),"対象外"))</f>
      </c>
    </row>
    <row r="915">
      <c r="DB915" s="2909">
        <f>IF($A915="","",IF(AND($A915=21,$AE915&amp;""="00000000"),IF($AH915=20,"病院",IF($AH915=5,"消防","市長")),"対象外"))</f>
      </c>
    </row>
    <row r="916">
      <c r="DB916" s="2909">
        <f>IF($A916="","",IF(AND($A916=21,$AE916&amp;""="00000000"),IF($AH916=20,"病院",IF($AH916=5,"消防","市長")),"対象外"))</f>
      </c>
    </row>
    <row r="917">
      <c r="DB917" s="2909">
        <f>IF($A917="","",IF(AND($A917=21,$AE917&amp;""="00000000"),IF($AH917=20,"病院",IF($AH917=5,"消防","市長")),"対象外"))</f>
      </c>
    </row>
    <row r="918">
      <c r="DB918" s="2909">
        <f>IF($A918="","",IF(AND($A918=21,$AE918&amp;""="00000000"),IF($AH918=20,"病院",IF($AH918=5,"消防","市長")),"対象外"))</f>
      </c>
    </row>
    <row r="919">
      <c r="DB919" s="2909">
        <f>IF($A919="","",IF(AND($A919=21,$AE919&amp;""="00000000"),IF($AH919=20,"病院",IF($AH919=5,"消防","市長")),"対象外"))</f>
      </c>
    </row>
    <row r="920">
      <c r="DB920" s="2909">
        <f>IF($A920="","",IF(AND($A920=21,$AE920&amp;""="00000000"),IF($AH920=20,"病院",IF($AH920=5,"消防","市長")),"対象外"))</f>
      </c>
    </row>
    <row r="921">
      <c r="DB921" s="2909">
        <f>IF($A921="","",IF(AND($A921=21,$AE921&amp;""="00000000"),IF($AH921=20,"病院",IF($AH921=5,"消防","市長")),"対象外"))</f>
      </c>
    </row>
    <row r="922">
      <c r="DB922" s="2909">
        <f>IF($A922="","",IF(AND($A922=21,$AE922&amp;""="00000000"),IF($AH922=20,"病院",IF($AH922=5,"消防","市長")),"対象外"))</f>
      </c>
    </row>
    <row r="923">
      <c r="DB923" s="2909">
        <f>IF($A923="","",IF(AND($A923=21,$AE923&amp;""="00000000"),IF($AH923=20,"病院",IF($AH923=5,"消防","市長")),"対象外"))</f>
      </c>
    </row>
    <row r="924">
      <c r="DB924" s="2909">
        <f>IF($A924="","",IF(AND($A924=21,$AE924&amp;""="00000000"),IF($AH924=20,"病院",IF($AH924=5,"消防","市長")),"対象外"))</f>
      </c>
    </row>
    <row r="925">
      <c r="DB925" s="2909">
        <f>IF($A925="","",IF(AND($A925=21,$AE925&amp;""="00000000"),IF($AH925=20,"病院",IF($AH925=5,"消防","市長")),"対象外"))</f>
      </c>
    </row>
    <row r="926">
      <c r="DB926" s="2909">
        <f>IF($A926="","",IF(AND($A926=21,$AE926&amp;""="00000000"),IF($AH926=20,"病院",IF($AH926=5,"消防","市長")),"対象外"))</f>
      </c>
    </row>
    <row r="927">
      <c r="DB927" s="2909">
        <f>IF($A927="","",IF(AND($A927=21,$AE927&amp;""="00000000"),IF($AH927=20,"病院",IF($AH927=5,"消防","市長")),"対象外"))</f>
      </c>
    </row>
    <row r="928">
      <c r="DB928" s="2909">
        <f>IF($A928="","",IF(AND($A928=21,$AE928&amp;""="00000000"),IF($AH928=20,"病院",IF($AH928=5,"消防","市長")),"対象外"))</f>
      </c>
    </row>
    <row r="929">
      <c r="DB929" s="2909">
        <f>IF($A929="","",IF(AND($A929=21,$AE929&amp;""="00000000"),IF($AH929=20,"病院",IF($AH929=5,"消防","市長")),"対象外"))</f>
      </c>
    </row>
    <row r="930">
      <c r="DB930" s="2909">
        <f>IF($A930="","",IF(AND($A930=21,$AE930&amp;""="00000000"),IF($AH930=20,"病院",IF($AH930=5,"消防","市長")),"対象外"))</f>
      </c>
    </row>
    <row r="931">
      <c r="DB931" s="2909">
        <f>IF($A931="","",IF(AND($A931=21,$AE931&amp;""="00000000"),IF($AH931=20,"病院",IF($AH931=5,"消防","市長")),"対象外"))</f>
      </c>
    </row>
    <row r="932">
      <c r="DB932" s="2909">
        <f>IF($A932="","",IF(AND($A932=21,$AE932&amp;""="00000000"),IF($AH932=20,"病院",IF($AH932=5,"消防","市長")),"対象外"))</f>
      </c>
    </row>
    <row r="933">
      <c r="DB933" s="2909">
        <f>IF($A933="","",IF(AND($A933=21,$AE933&amp;""="00000000"),IF($AH933=20,"病院",IF($AH933=5,"消防","市長")),"対象外"))</f>
      </c>
    </row>
    <row r="934">
      <c r="DB934" s="2909">
        <f>IF($A934="","",IF(AND($A934=21,$AE934&amp;""="00000000"),IF($AH934=20,"病院",IF($AH934=5,"消防","市長")),"対象外"))</f>
      </c>
    </row>
    <row r="935">
      <c r="DB935" s="2909">
        <f>IF($A935="","",IF(AND($A935=21,$AE935&amp;""="00000000"),IF($AH935=20,"病院",IF($AH935=5,"消防","市長")),"対象外"))</f>
      </c>
    </row>
    <row r="936">
      <c r="DB936" s="2909">
        <f>IF($A936="","",IF(AND($A936=21,$AE936&amp;""="00000000"),IF($AH936=20,"病院",IF($AH936=5,"消防","市長")),"対象外"))</f>
      </c>
    </row>
    <row r="937">
      <c r="DB937" s="2909">
        <f>IF($A937="","",IF(AND($A937=21,$AE937&amp;""="00000000"),IF($AH937=20,"病院",IF($AH937=5,"消防","市長")),"対象外"))</f>
      </c>
    </row>
    <row r="938">
      <c r="DB938" s="2909">
        <f>IF($A938="","",IF(AND($A938=21,$AE938&amp;""="00000000"),IF($AH938=20,"病院",IF($AH938=5,"消防","市長")),"対象外"))</f>
      </c>
    </row>
    <row r="939">
      <c r="DB939" s="2909">
        <f>IF($A939="","",IF(AND($A939=21,$AE939&amp;""="00000000"),IF($AH939=20,"病院",IF($AH939=5,"消防","市長")),"対象外"))</f>
      </c>
    </row>
    <row r="940">
      <c r="DB940" s="2909">
        <f>IF($A940="","",IF(AND($A940=21,$AE940&amp;""="00000000"),IF($AH940=20,"病院",IF($AH940=5,"消防","市長")),"対象外"))</f>
      </c>
    </row>
    <row r="941">
      <c r="DB941" s="2909">
        <f>IF($A941="","",IF(AND($A941=21,$AE941&amp;""="00000000"),IF($AH941=20,"病院",IF($AH941=5,"消防","市長")),"対象外"))</f>
      </c>
    </row>
    <row r="942">
      <c r="DB942" s="2909">
        <f>IF($A942="","",IF(AND($A942=21,$AE942&amp;""="00000000"),IF($AH942=20,"病院",IF($AH942=5,"消防","市長")),"対象外"))</f>
      </c>
    </row>
    <row r="943">
      <c r="DB943" s="2909">
        <f>IF($A943="","",IF(AND($A943=21,$AE943&amp;""="00000000"),IF($AH943=20,"病院",IF($AH943=5,"消防","市長")),"対象外"))</f>
      </c>
    </row>
    <row r="944">
      <c r="DB944" s="2909">
        <f>IF($A944="","",IF(AND($A944=21,$AE944&amp;""="00000000"),IF($AH944=20,"病院",IF($AH944=5,"消防","市長")),"対象外"))</f>
      </c>
    </row>
    <row r="945">
      <c r="DB945" s="2909">
        <f>IF($A945="","",IF(AND($A945=21,$AE945&amp;""="00000000"),IF($AH945=20,"病院",IF($AH945=5,"消防","市長")),"対象外"))</f>
      </c>
    </row>
    <row r="946">
      <c r="DB946" s="2909">
        <f>IF($A946="","",IF(AND($A946=21,$AE946&amp;""="00000000"),IF($AH946=20,"病院",IF($AH946=5,"消防","市長")),"対象外"))</f>
      </c>
    </row>
    <row r="947">
      <c r="DB947" s="2909">
        <f>IF($A947="","",IF(AND($A947=21,$AE947&amp;""="00000000"),IF($AH947=20,"病院",IF($AH947=5,"消防","市長")),"対象外"))</f>
      </c>
    </row>
    <row r="948">
      <c r="DB948" s="2909">
        <f>IF($A948="","",IF(AND($A948=21,$AE948&amp;""="00000000"),IF($AH948=20,"病院",IF($AH948=5,"消防","市長")),"対象外"))</f>
      </c>
    </row>
    <row r="949">
      <c r="DB949" s="2909">
        <f>IF($A949="","",IF(AND($A949=21,$AE949&amp;""="00000000"),IF($AH949=20,"病院",IF($AH949=5,"消防","市長")),"対象外"))</f>
      </c>
    </row>
    <row r="950">
      <c r="DB950" s="2909">
        <f>IF($A950="","",IF(AND($A950=21,$AE950&amp;""="00000000"),IF($AH950=20,"病院",IF($AH950=5,"消防","市長")),"対象外"))</f>
      </c>
    </row>
    <row r="951">
      <c r="DB951" s="2909">
        <f>IF($A951="","",IF(AND($A951=21,$AE951&amp;""="00000000"),IF($AH951=20,"病院",IF($AH951=5,"消防","市長")),"対象外"))</f>
      </c>
    </row>
    <row r="952">
      <c r="DB952" s="2909">
        <f>IF($A952="","",IF(AND($A952=21,$AE952&amp;""="00000000"),IF($AH952=20,"病院",IF($AH952=5,"消防","市長")),"対象外"))</f>
      </c>
    </row>
    <row r="953">
      <c r="DB953" s="2909">
        <f>IF($A953="","",IF(AND($A953=21,$AE953&amp;""="00000000"),IF($AH953=20,"病院",IF($AH953=5,"消防","市長")),"対象外"))</f>
      </c>
    </row>
    <row r="954">
      <c r="DB954" s="2909">
        <f>IF($A954="","",IF(AND($A954=21,$AE954&amp;""="00000000"),IF($AH954=20,"病院",IF($AH954=5,"消防","市長")),"対象外"))</f>
      </c>
    </row>
    <row r="955">
      <c r="DB955" s="2909">
        <f>IF($A955="","",IF(AND($A955=21,$AE955&amp;""="00000000"),IF($AH955=20,"病院",IF($AH955=5,"消防","市長")),"対象外"))</f>
      </c>
    </row>
    <row r="956">
      <c r="DB956" s="2909">
        <f>IF($A956="","",IF(AND($A956=21,$AE956&amp;""="00000000"),IF($AH956=20,"病院",IF($AH956=5,"消防","市長")),"対象外"))</f>
      </c>
    </row>
    <row r="957">
      <c r="DB957" s="2909">
        <f>IF($A957="","",IF(AND($A957=21,$AE957&amp;""="00000000"),IF($AH957=20,"病院",IF($AH957=5,"消防","市長")),"対象外"))</f>
      </c>
    </row>
    <row r="958">
      <c r="DB958" s="2909">
        <f>IF($A958="","",IF(AND($A958=21,$AE958&amp;""="00000000"),IF($AH958=20,"病院",IF($AH958=5,"消防","市長")),"対象外"))</f>
      </c>
    </row>
    <row r="959">
      <c r="DB959" s="2909">
        <f>IF($A959="","",IF(AND($A959=21,$AE959&amp;""="00000000"),IF($AH959=20,"病院",IF($AH959=5,"消防","市長")),"対象外"))</f>
      </c>
    </row>
    <row r="960">
      <c r="DB960" s="2909">
        <f>IF($A960="","",IF(AND($A960=21,$AE960&amp;""="00000000"),IF($AH960=20,"病院",IF($AH960=5,"消防","市長")),"対象外"))</f>
      </c>
    </row>
    <row r="961">
      <c r="DB961" s="2909">
        <f>IF($A961="","",IF(AND($A961=21,$AE961&amp;""="00000000"),IF($AH961=20,"病院",IF($AH961=5,"消防","市長")),"対象外"))</f>
      </c>
    </row>
    <row r="962">
      <c r="DB962" s="2909">
        <f>IF($A962="","",IF(AND($A962=21,$AE962&amp;""="00000000"),IF($AH962=20,"病院",IF($AH962=5,"消防","市長")),"対象外"))</f>
      </c>
    </row>
    <row r="963">
      <c r="DB963" s="2909">
        <f>IF($A963="","",IF(AND($A963=21,$AE963&amp;""="00000000"),IF($AH963=20,"病院",IF($AH963=5,"消防","市長")),"対象外"))</f>
      </c>
    </row>
    <row r="964">
      <c r="DB964" s="2909">
        <f>IF($A964="","",IF(AND($A964=21,$AE964&amp;""="00000000"),IF($AH964=20,"病院",IF($AH964=5,"消防","市長")),"対象外"))</f>
      </c>
    </row>
    <row r="965">
      <c r="DB965" s="2909">
        <f>IF($A965="","",IF(AND($A965=21,$AE965&amp;""="00000000"),IF($AH965=20,"病院",IF($AH965=5,"消防","市長")),"対象外"))</f>
      </c>
    </row>
    <row r="966">
      <c r="DB966" s="2909">
        <f>IF($A966="","",IF(AND($A966=21,$AE966&amp;""="00000000"),IF($AH966=20,"病院",IF($AH966=5,"消防","市長")),"対象外"))</f>
      </c>
    </row>
    <row r="967">
      <c r="DB967" s="2909">
        <f>IF($A967="","",IF(AND($A967=21,$AE967&amp;""="00000000"),IF($AH967=20,"病院",IF($AH967=5,"消防","市長")),"対象外"))</f>
      </c>
    </row>
    <row r="968">
      <c r="DB968" s="2909">
        <f>IF($A968="","",IF(AND($A968=21,$AE968&amp;""="00000000"),IF($AH968=20,"病院",IF($AH968=5,"消防","市長")),"対象外"))</f>
      </c>
    </row>
    <row r="969">
      <c r="DB969" s="2909">
        <f>IF($A969="","",IF(AND($A969=21,$AE969&amp;""="00000000"),IF($AH969=20,"病院",IF($AH969=5,"消防","市長")),"対象外"))</f>
      </c>
    </row>
    <row r="970">
      <c r="DB970" s="2909">
        <f>IF($A970="","",IF(AND($A970=21,$AE970&amp;""="00000000"),IF($AH970=20,"病院",IF($AH970=5,"消防","市長")),"対象外"))</f>
      </c>
    </row>
    <row r="971">
      <c r="DB971" s="2909">
        <f>IF($A971="","",IF(AND($A971=21,$AE971&amp;""="00000000"),IF($AH971=20,"病院",IF($AH971=5,"消防","市長")),"対象外"))</f>
      </c>
    </row>
    <row r="972">
      <c r="DB972" s="2909">
        <f>IF($A972="","",IF(AND($A972=21,$AE972&amp;""="00000000"),IF($AH972=20,"病院",IF($AH972=5,"消防","市長")),"対象外"))</f>
      </c>
    </row>
    <row r="973">
      <c r="DB973" s="2909">
        <f>IF($A973="","",IF(AND($A973=21,$AE973&amp;""="00000000"),IF($AH973=20,"病院",IF($AH973=5,"消防","市長")),"対象外"))</f>
      </c>
    </row>
    <row r="974">
      <c r="DB974" s="2909">
        <f>IF($A974="","",IF(AND($A974=21,$AE974&amp;""="00000000"),IF($AH974=20,"病院",IF($AH974=5,"消防","市長")),"対象外"))</f>
      </c>
    </row>
    <row r="975">
      <c r="DB975" s="2909">
        <f>IF($A975="","",IF(AND($A975=21,$AE975&amp;""="00000000"),IF($AH975=20,"病院",IF($AH975=5,"消防","市長")),"対象外"))</f>
      </c>
    </row>
    <row r="976">
      <c r="DB976" s="2909">
        <f>IF($A976="","",IF(AND($A976=21,$AE976&amp;""="00000000"),IF($AH976=20,"病院",IF($AH976=5,"消防","市長")),"対象外"))</f>
      </c>
    </row>
    <row r="977">
      <c r="DB977" s="2909">
        <f>IF($A977="","",IF(AND($A977=21,$AE977&amp;""="00000000"),IF($AH977=20,"病院",IF($AH977=5,"消防","市長")),"対象外"))</f>
      </c>
    </row>
    <row r="978">
      <c r="DB978" s="2909">
        <f>IF($A978="","",IF(AND($A978=21,$AE978&amp;""="00000000"),IF($AH978=20,"病院",IF($AH978=5,"消防","市長")),"対象外"))</f>
      </c>
    </row>
    <row r="979">
      <c r="DB979" s="2909">
        <f>IF($A979="","",IF(AND($A979=21,$AE979&amp;""="00000000"),IF($AH979=20,"病院",IF($AH979=5,"消防","市長")),"対象外"))</f>
      </c>
    </row>
    <row r="980">
      <c r="DB980" s="2909">
        <f>IF($A980="","",IF(AND($A980=21,$AE980&amp;""="00000000"),IF($AH980=20,"病院",IF($AH980=5,"消防","市長")),"対象外"))</f>
      </c>
    </row>
    <row r="981">
      <c r="DB981" s="2909">
        <f>IF($A981="","",IF(AND($A981=21,$AE981&amp;""="00000000"),IF($AH981=20,"病院",IF($AH981=5,"消防","市長")),"対象外"))</f>
      </c>
    </row>
    <row r="982">
      <c r="DB982" s="2909">
        <f>IF($A982="","",IF(AND($A982=21,$AE982&amp;""="00000000"),IF($AH982=20,"病院",IF($AH982=5,"消防","市長")),"対象外"))</f>
      </c>
    </row>
    <row r="983">
      <c r="DB983" s="2909">
        <f>IF($A983="","",IF(AND($A983=21,$AE983&amp;""="00000000"),IF($AH983=20,"病院",IF($AH983=5,"消防","市長")),"対象外"))</f>
      </c>
    </row>
    <row r="984">
      <c r="DB984" s="2909">
        <f>IF($A984="","",IF(AND($A984=21,$AE984&amp;""="00000000"),IF($AH984=20,"病院",IF($AH984=5,"消防","市長")),"対象外"))</f>
      </c>
    </row>
    <row r="985">
      <c r="DB985" s="2909">
        <f>IF($A985="","",IF(AND($A985=21,$AE985&amp;""="00000000"),IF($AH985=20,"病院",IF($AH985=5,"消防","市長")),"対象外"))</f>
      </c>
    </row>
    <row r="986">
      <c r="DB986" s="2909">
        <f>IF($A986="","",IF(AND($A986=21,$AE986&amp;""="00000000"),IF($AH986=20,"病院",IF($AH986=5,"消防","市長")),"対象外"))</f>
      </c>
    </row>
    <row r="987">
      <c r="DB987" s="2909">
        <f>IF($A987="","",IF(AND($A987=21,$AE987&amp;""="00000000"),IF($AH987=20,"病院",IF($AH987=5,"消防","市長")),"対象外"))</f>
      </c>
    </row>
    <row r="988">
      <c r="DB988" s="2909">
        <f>IF($A988="","",IF(AND($A988=21,$AE988&amp;""="00000000"),IF($AH988=20,"病院",IF($AH988=5,"消防","市長")),"対象外"))</f>
      </c>
    </row>
    <row r="989">
      <c r="DB989" s="2909">
        <f>IF($A989="","",IF(AND($A989=21,$AE989&amp;""="00000000"),IF($AH989=20,"病院",IF($AH989=5,"消防","市長")),"対象外"))</f>
      </c>
    </row>
    <row r="990">
      <c r="DB990" s="2909">
        <f>IF($A990="","",IF(AND($A990=21,$AE990&amp;""="00000000"),IF($AH990=20,"病院",IF($AH990=5,"消防","市長")),"対象外"))</f>
      </c>
    </row>
    <row r="991">
      <c r="DB991" s="2909">
        <f>IF($A991="","",IF(AND($A991=21,$AE991&amp;""="00000000"),IF($AH991=20,"病院",IF($AH991=5,"消防","市長")),"対象外"))</f>
      </c>
    </row>
    <row r="992">
      <c r="DB992" s="2909">
        <f>IF($A992="","",IF(AND($A992=21,$AE992&amp;""="00000000"),IF($AH992=20,"病院",IF($AH992=5,"消防","市長")),"対象外"))</f>
      </c>
    </row>
    <row r="993">
      <c r="DB993" s="2909">
        <f>IF($A993="","",IF(AND($A993=21,$AE993&amp;""="00000000"),IF($AH993=20,"病院",IF($AH993=5,"消防","市長")),"対象外"))</f>
      </c>
    </row>
    <row r="994">
      <c r="DB994" s="2909">
        <f>IF($A994="","",IF(AND($A994=21,$AE994&amp;""="00000000"),IF($AH994=20,"病院",IF($AH994=5,"消防","市長")),"対象外"))</f>
      </c>
    </row>
    <row r="995">
      <c r="DB995" s="2909">
        <f>IF($A995="","",IF(AND($A995=21,$AE995&amp;""="00000000"),IF($AH995=20,"病院",IF($AH995=5,"消防","市長")),"対象外"))</f>
      </c>
    </row>
    <row r="996">
      <c r="DB996" s="2909">
        <f>IF($A996="","",IF(AND($A996=21,$AE996&amp;""="00000000"),IF($AH996=20,"病院",IF($AH996=5,"消防","市長")),"対象外"))</f>
      </c>
    </row>
    <row r="997">
      <c r="DB997" s="2909">
        <f>IF($A997="","",IF(AND($A997=21,$AE997&amp;""="00000000"),IF($AH997=20,"病院",IF($AH997=5,"消防","市長")),"対象外"))</f>
      </c>
    </row>
    <row r="998">
      <c r="DB998" s="2909">
        <f>IF($A998="","",IF(AND($A998=21,$AE998&amp;""="00000000"),IF($AH998=20,"病院",IF($AH998=5,"消防","市長")),"対象外"))</f>
      </c>
    </row>
    <row r="999">
      <c r="DB999" s="2909">
        <f>IF($A999="","",IF(AND($A999=21,$AE999&amp;""="00000000"),IF($AH999=20,"病院",IF($AH999=5,"消防","市長")),"対象外"))</f>
      </c>
    </row>
    <row r="1000">
      <c r="DB1000" s="2909">
        <f>IF($A1000="","",IF(AND($A1000=21,$AE1000&amp;""="00000000"),IF($AH1000=20,"病院",IF($AH1000=5,"消防","市長")),"対象外"))</f>
      </c>
    </row>
    <row r="1001">
      <c r="DB1001" s="2909">
        <f>IF($A1001="","",IF(AND($A1001=21,$AE1001&amp;""="00000000"),IF($AH1001=20,"病院",IF($AH1001=5,"消防","市長")),"対象外"))</f>
      </c>
    </row>
    <row r="1002">
      <c r="DB1002" s="2909">
        <f>IF($A1002="","",IF(AND($A1002=21,$AE1002&amp;""="00000000"),IF($AH1002=20,"病院",IF($AH1002=5,"消防","市長")),"対象外"))</f>
      </c>
    </row>
    <row r="1003">
      <c r="DB1003" s="2909">
        <f>IF($A1003="","",IF(AND($A1003=21,$AE1003&amp;""="00000000"),IF($AH1003=20,"病院",IF($AH1003=5,"消防","市長")),"対象外"))</f>
      </c>
    </row>
    <row r="1004">
      <c r="DB1004" s="2909">
        <f>IF($A1004="","",IF(AND($A1004=21,$AE1004&amp;""="00000000"),IF($AH1004=20,"病院",IF($AH1004=5,"消防","市長")),"対象外"))</f>
      </c>
    </row>
    <row r="1005">
      <c r="DB1005" s="2909">
        <f>IF($A1005="","",IF(AND($A1005=21,$AE1005&amp;""="00000000"),IF($AH1005=20,"病院",IF($AH1005=5,"消防","市長")),"対象外"))</f>
      </c>
    </row>
    <row r="1006">
      <c r="DB1006" s="2909">
        <f>IF($A1006="","",IF(AND($A1006=21,$AE1006&amp;""="00000000"),IF($AH1006=20,"病院",IF($AH1006=5,"消防","市長")),"対象外"))</f>
      </c>
    </row>
    <row r="1007">
      <c r="DB1007" s="2909">
        <f>IF($A1007="","",IF(AND($A1007=21,$AE1007&amp;""="00000000"),IF($AH1007=20,"病院",IF($AH1007=5,"消防","市長")),"対象外"))</f>
      </c>
    </row>
    <row r="1008">
      <c r="DB1008" s="2909">
        <f>IF($A1008="","",IF(AND($A1008=21,$AE1008&amp;""="00000000"),IF($AH1008=20,"病院",IF($AH1008=5,"消防","市長")),"対象外"))</f>
      </c>
    </row>
    <row r="1009">
      <c r="DB1009" s="2909">
        <f>IF($A1009="","",IF(AND($A1009=21,$AE1009&amp;""="00000000"),IF($AH1009=20,"病院",IF($AH1009=5,"消防","市長")),"対象外"))</f>
      </c>
    </row>
    <row r="1010">
      <c r="DB1010" s="2909">
        <f>IF($A1010="","",IF(AND($A1010=21,$AE1010&amp;""="00000000"),IF($AH1010=20,"病院",IF($AH1010=5,"消防","市長")),"対象外"))</f>
      </c>
    </row>
    <row r="1011">
      <c r="DB1011" s="2909">
        <f>IF($A1011="","",IF(AND($A1011=21,$AE1011&amp;""="00000000"),IF($AH1011=20,"病院",IF($AH1011=5,"消防","市長")),"対象外"))</f>
      </c>
    </row>
    <row r="1012">
      <c r="DB1012" s="2909">
        <f>IF($A1012="","",IF(AND($A1012=21,$AE1012&amp;""="00000000"),IF($AH1012=20,"病院",IF($AH1012=5,"消防","市長")),"対象外"))</f>
      </c>
    </row>
    <row r="1013">
      <c r="DB1013" s="2909">
        <f>IF($A1013="","",IF(AND($A1013=21,$AE1013&amp;""="00000000"),IF($AH1013=20,"病院",IF($AH1013=5,"消防","市長")),"対象外"))</f>
      </c>
    </row>
    <row r="1014">
      <c r="DB1014" s="2909">
        <f>IF($A1014="","",IF(AND($A1014=21,$AE1014&amp;""="00000000"),IF($AH1014=20,"病院",IF($AH1014=5,"消防","市長")),"対象外"))</f>
      </c>
    </row>
    <row r="1015">
      <c r="DB1015" s="2909">
        <f>IF($A1015="","",IF(AND($A1015=21,$AE1015&amp;""="00000000"),IF($AH1015=20,"病院",IF($AH1015=5,"消防","市長")),"対象外"))</f>
      </c>
    </row>
    <row r="1016">
      <c r="DB1016" s="2909">
        <f>IF($A1016="","",IF(AND($A1016=21,$AE1016&amp;""="00000000"),IF($AH1016=20,"病院",IF($AH1016=5,"消防","市長")),"対象外"))</f>
      </c>
    </row>
    <row r="1017">
      <c r="DB1017" s="2909">
        <f>IF($A1017="","",IF(AND($A1017=21,$AE1017&amp;""="00000000"),IF($AH1017=20,"病院",IF($AH1017=5,"消防","市長")),"対象外"))</f>
      </c>
    </row>
    <row r="1018">
      <c r="DB1018" s="2909">
        <f>IF($A1018="","",IF(AND($A1018=21,$AE1018&amp;""="00000000"),IF($AH1018=20,"病院",IF($AH1018=5,"消防","市長")),"対象外"))</f>
      </c>
    </row>
    <row r="1019">
      <c r="DB1019" s="2909">
        <f>IF($A1019="","",IF(AND($A1019=21,$AE1019&amp;""="00000000"),IF($AH1019=20,"病院",IF($AH1019=5,"消防","市長")),"対象外"))</f>
      </c>
    </row>
    <row r="1020">
      <c r="DB1020" s="2909">
        <f>IF($A1020="","",IF(AND($A1020=21,$AE1020&amp;""="00000000"),IF($AH1020=20,"病院",IF($AH1020=5,"消防","市長")),"対象外"))</f>
      </c>
    </row>
    <row r="1021">
      <c r="DB1021" s="2909">
        <f>IF($A1021="","",IF(AND($A1021=21,$AE1021&amp;""="00000000"),IF($AH1021=20,"病院",IF($AH1021=5,"消防","市長")),"対象外"))</f>
      </c>
    </row>
    <row r="1022">
      <c r="DB1022" s="2909">
        <f>IF($A1022="","",IF(AND($A1022=21,$AE1022&amp;""="00000000"),IF($AH1022=20,"病院",IF($AH1022=5,"消防","市長")),"対象外"))</f>
      </c>
    </row>
    <row r="1023">
      <c r="DB1023" s="2909">
        <f>IF($A1023="","",IF(AND($A1023=21,$AE1023&amp;""="00000000"),IF($AH1023=20,"病院",IF($AH1023=5,"消防","市長")),"対象外"))</f>
      </c>
    </row>
    <row r="1024">
      <c r="DB1024" s="2909">
        <f>IF($A1024="","",IF(AND($A1024=21,$AE1024&amp;""="00000000"),IF($AH1024=20,"病院",IF($AH1024=5,"消防","市長")),"対象外"))</f>
      </c>
    </row>
    <row r="1025">
      <c r="DB1025" s="2909">
        <f>IF($A1025="","",IF(AND($A1025=21,$AE1025&amp;""="00000000"),IF($AH1025=20,"病院",IF($AH1025=5,"消防","市長")),"対象外"))</f>
      </c>
    </row>
    <row r="1026">
      <c r="DB1026" s="2909">
        <f>IF($A1026="","",IF(AND($A1026=21,$AE1026&amp;""="00000000"),IF($AH1026=20,"病院",IF($AH1026=5,"消防","市長")),"対象外"))</f>
      </c>
    </row>
    <row r="1027">
      <c r="DB1027" s="2909">
        <f>IF($A1027="","",IF(AND($A1027=21,$AE1027&amp;""="00000000"),IF($AH1027=20,"病院",IF($AH1027=5,"消防","市長")),"対象外"))</f>
      </c>
    </row>
    <row r="1028">
      <c r="DB1028" s="2909">
        <f>IF($A1028="","",IF(AND($A1028=21,$AE1028&amp;""="00000000"),IF($AH1028=20,"病院",IF($AH1028=5,"消防","市長")),"対象外"))</f>
      </c>
    </row>
    <row r="1029">
      <c r="DB1029" s="2909">
        <f>IF($A1029="","",IF(AND($A1029=21,$AE1029&amp;""="00000000"),IF($AH1029=20,"病院",IF($AH1029=5,"消防","市長")),"対象外"))</f>
      </c>
    </row>
    <row r="1030">
      <c r="DB1030" s="2909">
        <f>IF($A1030="","",IF(AND($A1030=21,$AE1030&amp;""="00000000"),IF($AH1030=20,"病院",IF($AH1030=5,"消防","市長")),"対象外"))</f>
      </c>
    </row>
    <row r="1031">
      <c r="DB1031" s="2909">
        <f>IF($A1031="","",IF(AND($A1031=21,$AE1031&amp;""="00000000"),IF($AH1031=20,"病院",IF($AH1031=5,"消防","市長")),"対象外"))</f>
      </c>
    </row>
    <row r="1032">
      <c r="DB1032" s="2909">
        <f>IF($A1032="","",IF(AND($A1032=21,$AE1032&amp;""="00000000"),IF($AH1032=20,"病院",IF($AH1032=5,"消防","市長")),"対象外"))</f>
      </c>
    </row>
    <row r="1033">
      <c r="DB1033" s="2909">
        <f>IF($A1033="","",IF(AND($A1033=21,$AE1033&amp;""="00000000"),IF($AH1033=20,"病院",IF($AH1033=5,"消防","市長")),"対象外"))</f>
      </c>
    </row>
    <row r="1034">
      <c r="DB1034" s="2909">
        <f>IF($A1034="","",IF(AND($A1034=21,$AE1034&amp;""="00000000"),IF($AH1034=20,"病院",IF($AH1034=5,"消防","市長")),"対象外"))</f>
      </c>
    </row>
    <row r="1035">
      <c r="DB1035" s="2909">
        <f>IF($A1035="","",IF(AND($A1035=21,$AE1035&amp;""="00000000"),IF($AH1035=20,"病院",IF($AH1035=5,"消防","市長")),"対象外"))</f>
      </c>
    </row>
    <row r="1036">
      <c r="DB1036" s="2909">
        <f>IF($A1036="","",IF(AND($A1036=21,$AE1036&amp;""="00000000"),IF($AH1036=20,"病院",IF($AH1036=5,"消防","市長")),"対象外"))</f>
      </c>
    </row>
    <row r="1037">
      <c r="DB1037" s="2909">
        <f>IF($A1037="","",IF(AND($A1037=21,$AE1037&amp;""="00000000"),IF($AH1037=20,"病院",IF($AH1037=5,"消防","市長")),"対象外"))</f>
      </c>
    </row>
    <row r="1038">
      <c r="DB1038" s="2909">
        <f>IF($A1038="","",IF(AND($A1038=21,$AE1038&amp;""="00000000"),IF($AH1038=20,"病院",IF($AH1038=5,"消防","市長")),"対象外"))</f>
      </c>
    </row>
    <row r="1039">
      <c r="DB1039" s="2909">
        <f>IF($A1039="","",IF(AND($A1039=21,$AE1039&amp;""="00000000"),IF($AH1039=20,"病院",IF($AH1039=5,"消防","市長")),"対象外"))</f>
      </c>
    </row>
    <row r="1040">
      <c r="DB1040" s="2909">
        <f>IF($A1040="","",IF(AND($A1040=21,$AE1040&amp;""="00000000"),IF($AH1040=20,"病院",IF($AH1040=5,"消防","市長")),"対象外"))</f>
      </c>
    </row>
    <row r="1041">
      <c r="DB1041" s="2909">
        <f>IF($A1041="","",IF(AND($A1041=21,$AE1041&amp;""="00000000"),IF($AH1041=20,"病院",IF($AH1041=5,"消防","市長")),"対象外"))</f>
      </c>
    </row>
    <row r="1042">
      <c r="DB1042" s="2909">
        <f>IF($A1042="","",IF(AND($A1042=21,$AE1042&amp;""="00000000"),IF($AH1042=20,"病院",IF($AH1042=5,"消防","市長")),"対象外"))</f>
      </c>
    </row>
    <row r="1043">
      <c r="DB1043" s="2909">
        <f>IF($A1043="","",IF(AND($A1043=21,$AE1043&amp;""="00000000"),IF($AH1043=20,"病院",IF($AH1043=5,"消防","市長")),"対象外"))</f>
      </c>
    </row>
    <row r="1044">
      <c r="DB1044" s="2909">
        <f>IF($A1044="","",IF(AND($A1044=21,$AE1044&amp;""="00000000"),IF($AH1044=20,"病院",IF($AH1044=5,"消防","市長")),"対象外"))</f>
      </c>
    </row>
    <row r="1045">
      <c r="DB1045" s="2909">
        <f>IF($A1045="","",IF(AND($A1045=21,$AE1045&amp;""="00000000"),IF($AH1045=20,"病院",IF($AH1045=5,"消防","市長")),"対象外"))</f>
      </c>
    </row>
    <row r="1046">
      <c r="DB1046" s="2909">
        <f>IF($A1046="","",IF(AND($A1046=21,$AE1046&amp;""="00000000"),IF($AH1046=20,"病院",IF($AH1046=5,"消防","市長")),"対象外"))</f>
      </c>
    </row>
    <row r="1047">
      <c r="DB1047" s="2909">
        <f>IF($A1047="","",IF(AND($A1047=21,$AE1047&amp;""="00000000"),IF($AH1047=20,"病院",IF($AH1047=5,"消防","市長")),"対象外"))</f>
      </c>
    </row>
    <row r="1048">
      <c r="DB1048" s="2909">
        <f>IF($A1048="","",IF(AND($A1048=21,$AE1048&amp;""="00000000"),IF($AH1048=20,"病院",IF($AH1048=5,"消防","市長")),"対象外"))</f>
      </c>
    </row>
    <row r="1049">
      <c r="DB1049" s="2909">
        <f>IF($A1049="","",IF(AND($A1049=21,$AE1049&amp;""="00000000"),IF($AH1049=20,"病院",IF($AH1049=5,"消防","市長")),"対象外"))</f>
      </c>
    </row>
    <row r="1050">
      <c r="DB1050" s="2909">
        <f>IF($A1050="","",IF(AND($A1050=21,$AE1050&amp;""="00000000"),IF($AH1050=20,"病院",IF($AH1050=5,"消防","市長")),"対象外"))</f>
      </c>
    </row>
    <row r="1051">
      <c r="DB1051" s="2909">
        <f>IF($A1051="","",IF(AND($A1051=21,$AE1051&amp;""="00000000"),IF($AH1051=20,"病院",IF($AH1051=5,"消防","市長")),"対象外"))</f>
      </c>
    </row>
    <row r="1052">
      <c r="DB1052" s="2909">
        <f>IF($A1052="","",IF(AND($A1052=21,$AE1052&amp;""="00000000"),IF($AH1052=20,"病院",IF($AH1052=5,"消防","市長")),"対象外"))</f>
      </c>
    </row>
    <row r="1053">
      <c r="DB1053" s="2909">
        <f>IF($A1053="","",IF(AND($A1053=21,$AE1053&amp;""="00000000"),IF($AH1053=20,"病院",IF($AH1053=5,"消防","市長")),"対象外"))</f>
      </c>
    </row>
    <row r="1054">
      <c r="DB1054" s="2909">
        <f>IF($A1054="","",IF(AND($A1054=21,$AE1054&amp;""="00000000"),IF($AH1054=20,"病院",IF($AH1054=5,"消防","市長")),"対象外"))</f>
      </c>
    </row>
    <row r="1055">
      <c r="DB1055" s="2909">
        <f>IF($A1055="","",IF(AND($A1055=21,$AE1055&amp;""="00000000"),IF($AH1055=20,"病院",IF($AH1055=5,"消防","市長")),"対象外"))</f>
      </c>
    </row>
    <row r="1056">
      <c r="DB1056" s="2909">
        <f>IF($A1056="","",IF(AND($A1056=21,$AE1056&amp;""="00000000"),IF($AH1056=20,"病院",IF($AH1056=5,"消防","市長")),"対象外"))</f>
      </c>
    </row>
    <row r="1057">
      <c r="DB1057" s="2909">
        <f>IF($A1057="","",IF(AND($A1057=21,$AE1057&amp;""="00000000"),IF($AH1057=20,"病院",IF($AH1057=5,"消防","市長")),"対象外"))</f>
      </c>
    </row>
    <row r="1058">
      <c r="DB1058" s="2909">
        <f>IF($A1058="","",IF(AND($A1058=21,$AE1058&amp;""="00000000"),IF($AH1058=20,"病院",IF($AH1058=5,"消防","市長")),"対象外"))</f>
      </c>
    </row>
    <row r="1059">
      <c r="DB1059" s="2909">
        <f>IF($A1059="","",IF(AND($A1059=21,$AE1059&amp;""="00000000"),IF($AH1059=20,"病院",IF($AH1059=5,"消防","市長")),"対象外"))</f>
      </c>
    </row>
    <row r="1060">
      <c r="DB1060" s="2909">
        <f>IF($A1060="","",IF(AND($A1060=21,$AE1060&amp;""="00000000"),IF($AH1060=20,"病院",IF($AH1060=5,"消防","市長")),"対象外"))</f>
      </c>
    </row>
    <row r="1061">
      <c r="DB1061" s="2909">
        <f>IF($A1061="","",IF(AND($A1061=21,$AE1061&amp;""="00000000"),IF($AH1061=20,"病院",IF($AH1061=5,"消防","市長")),"対象外"))</f>
      </c>
    </row>
    <row r="1062">
      <c r="DB1062" s="2909">
        <f>IF($A1062="","",IF(AND($A1062=21,$AE1062&amp;""="00000000"),IF($AH1062=20,"病院",IF($AH1062=5,"消防","市長")),"対象外"))</f>
      </c>
    </row>
    <row r="1063">
      <c r="DB1063" s="2909">
        <f>IF($A1063="","",IF(AND($A1063=21,$AE1063&amp;""="00000000"),IF($AH1063=20,"病院",IF($AH1063=5,"消防","市長")),"対象外"))</f>
      </c>
    </row>
    <row r="1064">
      <c r="DB1064" s="2909">
        <f>IF($A1064="","",IF(AND($A1064=21,$AE1064&amp;""="00000000"),IF($AH1064=20,"病院",IF($AH1064=5,"消防","市長")),"対象外"))</f>
      </c>
    </row>
    <row r="1065">
      <c r="DB1065" s="2909">
        <f>IF($A1065="","",IF(AND($A1065=21,$AE1065&amp;""="00000000"),IF($AH1065=20,"病院",IF($AH1065=5,"消防","市長")),"対象外"))</f>
      </c>
    </row>
    <row r="1066">
      <c r="DB1066" s="2909">
        <f>IF($A1066="","",IF(AND($A1066=21,$AE1066&amp;""="00000000"),IF($AH1066=20,"病院",IF($AH1066=5,"消防","市長")),"対象外"))</f>
      </c>
    </row>
    <row r="1067">
      <c r="DB1067" s="2909">
        <f>IF($A1067="","",IF(AND($A1067=21,$AE1067&amp;""="00000000"),IF($AH1067=20,"病院",IF($AH1067=5,"消防","市長")),"対象外"))</f>
      </c>
    </row>
    <row r="1068">
      <c r="DB1068" s="2909">
        <f>IF($A1068="","",IF(AND($A1068=21,$AE1068&amp;""="00000000"),IF($AH1068=20,"病院",IF($AH1068=5,"消防","市長")),"対象外"))</f>
      </c>
    </row>
    <row r="1069">
      <c r="DB1069" s="2909">
        <f>IF($A1069="","",IF(AND($A1069=21,$AE1069&amp;""="00000000"),IF($AH1069=20,"病院",IF($AH1069=5,"消防","市長")),"対象外"))</f>
      </c>
    </row>
    <row r="1070">
      <c r="DB1070" s="2909">
        <f>IF($A1070="","",IF(AND($A1070=21,$AE1070&amp;""="00000000"),IF($AH1070=20,"病院",IF($AH1070=5,"消防","市長")),"対象外"))</f>
      </c>
    </row>
    <row r="1071">
      <c r="DB1071" s="2909">
        <f>IF($A1071="","",IF(AND($A1071=21,$AE1071&amp;""="00000000"),IF($AH1071=20,"病院",IF($AH1071=5,"消防","市長")),"対象外"))</f>
      </c>
    </row>
    <row r="1072">
      <c r="DB1072" s="2909">
        <f>IF($A1072="","",IF(AND($A1072=21,$AE1072&amp;""="00000000"),IF($AH1072=20,"病院",IF($AH1072=5,"消防","市長")),"対象外"))</f>
      </c>
    </row>
    <row r="1073">
      <c r="DB1073" s="2909">
        <f>IF($A1073="","",IF(AND($A1073=21,$AE1073&amp;""="00000000"),IF($AH1073=20,"病院",IF($AH1073=5,"消防","市長")),"対象外"))</f>
      </c>
    </row>
    <row r="1074">
      <c r="DB1074" s="2909">
        <f>IF($A1074="","",IF(AND($A1074=21,$AE1074&amp;""="00000000"),IF($AH1074=20,"病院",IF($AH1074=5,"消防","市長")),"対象外"))</f>
      </c>
    </row>
    <row r="1075">
      <c r="DB1075" s="2909">
        <f>IF($A1075="","",IF(AND($A1075=21,$AE1075&amp;""="00000000"),IF($AH1075=20,"病院",IF($AH1075=5,"消防","市長")),"対象外"))</f>
      </c>
    </row>
    <row r="1076">
      <c r="DB1076" s="2909">
        <f>IF($A1076="","",IF(AND($A1076=21,$AE1076&amp;""="00000000"),IF($AH1076=20,"病院",IF($AH1076=5,"消防","市長")),"対象外"))</f>
      </c>
    </row>
    <row r="1077">
      <c r="DB1077" s="2909">
        <f>IF($A1077="","",IF(AND($A1077=21,$AE1077&amp;""="00000000"),IF($AH1077=20,"病院",IF($AH1077=5,"消防","市長")),"対象外"))</f>
      </c>
    </row>
    <row r="1078">
      <c r="DB1078" s="2909">
        <f>IF($A1078="","",IF(AND($A1078=21,$AE1078&amp;""="00000000"),IF($AH1078=20,"病院",IF($AH1078=5,"消防","市長")),"対象外"))</f>
      </c>
    </row>
    <row r="1079">
      <c r="DB1079" s="2909">
        <f>IF($A1079="","",IF(AND($A1079=21,$AE1079&amp;""="00000000"),IF($AH1079=20,"病院",IF($AH1079=5,"消防","市長")),"対象外"))</f>
      </c>
    </row>
    <row r="1080">
      <c r="DB1080" s="2909">
        <f>IF($A1080="","",IF(AND($A1080=21,$AE1080&amp;""="00000000"),IF($AH1080=20,"病院",IF($AH1080=5,"消防","市長")),"対象外"))</f>
      </c>
    </row>
    <row r="1081">
      <c r="DB1081" s="2909">
        <f>IF($A1081="","",IF(AND($A1081=21,$AE1081&amp;""="00000000"),IF($AH1081=20,"病院",IF($AH1081=5,"消防","市長")),"対象外"))</f>
      </c>
    </row>
    <row r="1082">
      <c r="DB1082" s="2909">
        <f>IF($A1082="","",IF(AND($A1082=21,$AE1082&amp;""="00000000"),IF($AH1082=20,"病院",IF($AH1082=5,"消防","市長")),"対象外"))</f>
      </c>
    </row>
    <row r="1083">
      <c r="DB1083" s="2909">
        <f>IF($A1083="","",IF(AND($A1083=21,$AE1083&amp;""="00000000"),IF($AH1083=20,"病院",IF($AH1083=5,"消防","市長")),"対象外"))</f>
      </c>
    </row>
    <row r="1084">
      <c r="DB1084" s="2909">
        <f>IF($A1084="","",IF(AND($A1084=21,$AE1084&amp;""="00000000"),IF($AH1084=20,"病院",IF($AH1084=5,"消防","市長")),"対象外"))</f>
      </c>
    </row>
    <row r="1085">
      <c r="DB1085" s="2909">
        <f>IF($A1085="","",IF(AND($A1085=21,$AE1085&amp;""="00000000"),IF($AH1085=20,"病院",IF($AH1085=5,"消防","市長")),"対象外"))</f>
      </c>
    </row>
    <row r="1086">
      <c r="DB1086" s="2909">
        <f>IF($A1086="","",IF(AND($A1086=21,$AE1086&amp;""="00000000"),IF($AH1086=20,"病院",IF($AH1086=5,"消防","市長")),"対象外"))</f>
      </c>
    </row>
    <row r="1087">
      <c r="DB1087" s="2909">
        <f>IF($A1087="","",IF(AND($A1087=21,$AE1087&amp;""="00000000"),IF($AH1087=20,"病院",IF($AH1087=5,"消防","市長")),"対象外"))</f>
      </c>
    </row>
    <row r="1088">
      <c r="DB1088" s="2909">
        <f>IF($A1088="","",IF(AND($A1088=21,$AE1088&amp;""="00000000"),IF($AH1088=20,"病院",IF($AH1088=5,"消防","市長")),"対象外"))</f>
      </c>
    </row>
    <row r="1089">
      <c r="DB1089" s="2909">
        <f>IF($A1089="","",IF(AND($A1089=21,$AE1089&amp;""="00000000"),IF($AH1089=20,"病院",IF($AH1089=5,"消防","市長")),"対象外"))</f>
      </c>
    </row>
    <row r="1090">
      <c r="DB1090" s="2909">
        <f>IF($A1090="","",IF(AND($A1090=21,$AE1090&amp;""="00000000"),IF($AH1090=20,"病院",IF($AH1090=5,"消防","市長")),"対象外"))</f>
      </c>
    </row>
    <row r="1091">
      <c r="DB1091" s="2909">
        <f>IF($A1091="","",IF(AND($A1091=21,$AE1091&amp;""="00000000"),IF($AH1091=20,"病院",IF($AH1091=5,"消防","市長")),"対象外"))</f>
      </c>
    </row>
    <row r="1092">
      <c r="DB1092" s="2909">
        <f>IF($A1092="","",IF(AND($A1092=21,$AE1092&amp;""="00000000"),IF($AH1092=20,"病院",IF($AH1092=5,"消防","市長")),"対象外"))</f>
      </c>
    </row>
    <row r="1093">
      <c r="DB1093" s="2909">
        <f>IF($A1093="","",IF(AND($A1093=21,$AE1093&amp;""="00000000"),IF($AH1093=20,"病院",IF($AH1093=5,"消防","市長")),"対象外"))</f>
      </c>
    </row>
    <row r="1094">
      <c r="DB1094" s="2909">
        <f>IF($A1094="","",IF(AND($A1094=21,$AE1094&amp;""="00000000"),IF($AH1094=20,"病院",IF($AH1094=5,"消防","市長")),"対象外"))</f>
      </c>
    </row>
    <row r="1095">
      <c r="DB1095" s="2909">
        <f>IF($A1095="","",IF(AND($A1095=21,$AE1095&amp;""="00000000"),IF($AH1095=20,"病院",IF($AH1095=5,"消防","市長")),"対象外"))</f>
      </c>
    </row>
    <row r="1096">
      <c r="DB1096" s="2909">
        <f>IF($A1096="","",IF(AND($A1096=21,$AE1096&amp;""="00000000"),IF($AH1096=20,"病院",IF($AH1096=5,"消防","市長")),"対象外"))</f>
      </c>
    </row>
    <row r="1097">
      <c r="DB1097" s="2909">
        <f>IF($A1097="","",IF(AND($A1097=21,$AE1097&amp;""="00000000"),IF($AH1097=20,"病院",IF($AH1097=5,"消防","市長")),"対象外"))</f>
      </c>
    </row>
    <row r="1098">
      <c r="DB1098" s="2909">
        <f>IF($A1098="","",IF(AND($A1098=21,$AE1098&amp;""="00000000"),IF($AH1098=20,"病院",IF($AH1098=5,"消防","市長")),"対象外"))</f>
      </c>
    </row>
    <row r="1099">
      <c r="DB1099" s="2909">
        <f>IF($A1099="","",IF(AND($A1099=21,$AE1099&amp;""="00000000"),IF($AH1099=20,"病院",IF($AH1099=5,"消防","市長")),"対象外"))</f>
      </c>
    </row>
    <row r="1100">
      <c r="DB1100" s="2909">
        <f>IF($A1100="","",IF(AND($A1100=21,$AE1100&amp;""="00000000"),IF($AH1100=20,"病院",IF($AH1100=5,"消防","市長")),"対象外"))</f>
      </c>
    </row>
    <row r="1101">
      <c r="DB1101" s="2909">
        <f>IF($A1101="","",IF(AND($A1101=21,$AE1101&amp;""="00000000"),IF($AH1101=20,"病院",IF($AH1101=5,"消防","市長")),"対象外"))</f>
      </c>
    </row>
    <row r="1102">
      <c r="DB1102" s="2909">
        <f>IF($A1102="","",IF(AND($A1102=21,$AE1102&amp;""="00000000"),IF($AH1102=20,"病院",IF($AH1102=5,"消防","市長")),"対象外"))</f>
      </c>
    </row>
    <row r="1103">
      <c r="DB1103" s="2909">
        <f>IF($A1103="","",IF(AND($A1103=21,$AE1103&amp;""="00000000"),IF($AH1103=20,"病院",IF($AH1103=5,"消防","市長")),"対象外"))</f>
      </c>
    </row>
    <row r="1104">
      <c r="DB1104" s="2909">
        <f>IF($A1104="","",IF(AND($A1104=21,$AE1104&amp;""="00000000"),IF($AH1104=20,"病院",IF($AH1104=5,"消防","市長")),"対象外"))</f>
      </c>
    </row>
    <row r="1105">
      <c r="DB1105" s="2909">
        <f>IF($A1105="","",IF(AND($A1105=21,$AE1105&amp;""="00000000"),IF($AH1105=20,"病院",IF($AH1105=5,"消防","市長")),"対象外"))</f>
      </c>
    </row>
    <row r="1106">
      <c r="DB1106" s="2909">
        <f>IF($A1106="","",IF(AND($A1106=21,$AE1106&amp;""="00000000"),IF($AH1106=20,"病院",IF($AH1106=5,"消防","市長")),"対象外"))</f>
      </c>
    </row>
    <row r="1107">
      <c r="DB1107" s="2909">
        <f>IF($A1107="","",IF(AND($A1107=21,$AE1107&amp;""="00000000"),IF($AH1107=20,"病院",IF($AH1107=5,"消防","市長")),"対象外"))</f>
      </c>
    </row>
    <row r="1108">
      <c r="DB1108" s="2909">
        <f>IF($A1108="","",IF(AND($A1108=21,$AE1108&amp;""="00000000"),IF($AH1108=20,"病院",IF($AH1108=5,"消防","市長")),"対象外"))</f>
      </c>
    </row>
    <row r="1109">
      <c r="DB1109" s="2909">
        <f>IF($A1109="","",IF(AND($A1109=21,$AE1109&amp;""="00000000"),IF($AH1109=20,"病院",IF($AH1109=5,"消防","市長")),"対象外"))</f>
      </c>
    </row>
    <row r="1110">
      <c r="DB1110" s="2909">
        <f>IF($A1110="","",IF(AND($A1110=21,$AE1110&amp;""="00000000"),IF($AH1110=20,"病院",IF($AH1110=5,"消防","市長")),"対象外"))</f>
      </c>
    </row>
    <row r="1111">
      <c r="DB1111" s="2909">
        <f>IF($A1111="","",IF(AND($A1111=21,$AE1111&amp;""="00000000"),IF($AH1111=20,"病院",IF($AH1111=5,"消防","市長")),"対象外"))</f>
      </c>
    </row>
    <row r="1112">
      <c r="DB1112" s="2909">
        <f>IF($A1112="","",IF(AND($A1112=21,$AE1112&amp;""="00000000"),IF($AH1112=20,"病院",IF($AH1112=5,"消防","市長")),"対象外"))</f>
      </c>
    </row>
    <row r="1113">
      <c r="DB1113" s="2909">
        <f>IF($A1113="","",IF(AND($A1113=21,$AE1113&amp;""="00000000"),IF($AH1113=20,"病院",IF($AH1113=5,"消防","市長")),"対象外"))</f>
      </c>
    </row>
    <row r="1114">
      <c r="DB1114" s="2909">
        <f>IF($A1114="","",IF(AND($A1114=21,$AE1114&amp;""="00000000"),IF($AH1114=20,"病院",IF($AH1114=5,"消防","市長")),"対象外"))</f>
      </c>
    </row>
    <row r="1115">
      <c r="DB1115" s="2909">
        <f>IF($A1115="","",IF(AND($A1115=21,$AE1115&amp;""="00000000"),IF($AH1115=20,"病院",IF($AH1115=5,"消防","市長")),"対象外"))</f>
      </c>
    </row>
    <row r="1116">
      <c r="DB1116" s="2909">
        <f>IF($A1116="","",IF(AND($A1116=21,$AE1116&amp;""="00000000"),IF($AH1116=20,"病院",IF($AH1116=5,"消防","市長")),"対象外"))</f>
      </c>
    </row>
    <row r="1117">
      <c r="DB1117" s="2909">
        <f>IF($A1117="","",IF(AND($A1117=21,$AE1117&amp;""="00000000"),IF($AH1117=20,"病院",IF($AH1117=5,"消防","市長")),"対象外"))</f>
      </c>
    </row>
    <row r="1118">
      <c r="DB1118" s="2909">
        <f>IF($A1118="","",IF(AND($A1118=21,$AE1118&amp;""="00000000"),IF($AH1118=20,"病院",IF($AH1118=5,"消防","市長")),"対象外"))</f>
      </c>
    </row>
    <row r="1119">
      <c r="DB1119" s="2909">
        <f>IF($A1119="","",IF(AND($A1119=21,$AE1119&amp;""="00000000"),IF($AH1119=20,"病院",IF($AH1119=5,"消防","市長")),"対象外"))</f>
      </c>
    </row>
    <row r="1120">
      <c r="DB1120" s="2909">
        <f>IF($A1120="","",IF(AND($A1120=21,$AE1120&amp;""="00000000"),IF($AH1120=20,"病院",IF($AH1120=5,"消防","市長")),"対象外"))</f>
      </c>
    </row>
    <row r="1121">
      <c r="DB1121" s="2909">
        <f>IF($A1121="","",IF(AND($A1121=21,$AE1121&amp;""="00000000"),IF($AH1121=20,"病院",IF($AH1121=5,"消防","市長")),"対象外"))</f>
      </c>
    </row>
    <row r="1122">
      <c r="DB1122" s="2909">
        <f>IF($A1122="","",IF(AND($A1122=21,$AE1122&amp;""="00000000"),IF($AH1122=20,"病院",IF($AH1122=5,"消防","市長")),"対象外"))</f>
      </c>
    </row>
    <row r="1123">
      <c r="DB1123" s="2909">
        <f>IF($A1123="","",IF(AND($A1123=21,$AE1123&amp;""="00000000"),IF($AH1123=20,"病院",IF($AH1123=5,"消防","市長")),"対象外"))</f>
      </c>
    </row>
    <row r="1124">
      <c r="DB1124" s="2909">
        <f>IF($A1124="","",IF(AND($A1124=21,$AE1124&amp;""="00000000"),IF($AH1124=20,"病院",IF($AH1124=5,"消防","市長")),"対象外"))</f>
      </c>
    </row>
    <row r="1125">
      <c r="DB1125" s="2909">
        <f>IF($A1125="","",IF(AND($A1125=21,$AE1125&amp;""="00000000"),IF($AH1125=20,"病院",IF($AH1125=5,"消防","市長")),"対象外"))</f>
      </c>
    </row>
    <row r="1126">
      <c r="DB1126" s="2909">
        <f>IF($A1126="","",IF(AND($A1126=21,$AE1126&amp;""="00000000"),IF($AH1126=20,"病院",IF($AH1126=5,"消防","市長")),"対象外"))</f>
      </c>
    </row>
    <row r="1127">
      <c r="DB1127" s="2909">
        <f>IF($A1127="","",IF(AND($A1127=21,$AE1127&amp;""="00000000"),IF($AH1127=20,"病院",IF($AH1127=5,"消防","市長")),"対象外"))</f>
      </c>
    </row>
    <row r="1128">
      <c r="DB1128" s="2909">
        <f>IF($A1128="","",IF(AND($A1128=21,$AE1128&amp;""="00000000"),IF($AH1128=20,"病院",IF($AH1128=5,"消防","市長")),"対象外"))</f>
      </c>
    </row>
    <row r="1129">
      <c r="DB1129" s="2909">
        <f>IF($A1129="","",IF(AND($A1129=21,$AE1129&amp;""="00000000"),IF($AH1129=20,"病院",IF($AH1129=5,"消防","市長")),"対象外"))</f>
      </c>
    </row>
    <row r="1130">
      <c r="DB1130" s="2909">
        <f>IF($A1130="","",IF(AND($A1130=21,$AE1130&amp;""="00000000"),IF($AH1130=20,"病院",IF($AH1130=5,"消防","市長")),"対象外"))</f>
      </c>
    </row>
    <row r="1131">
      <c r="DB1131" s="2909">
        <f>IF($A1131="","",IF(AND($A1131=21,$AE1131&amp;""="00000000"),IF($AH1131=20,"病院",IF($AH1131=5,"消防","市長")),"対象外"))</f>
      </c>
    </row>
    <row r="1132">
      <c r="DB1132" s="2909">
        <f>IF($A1132="","",IF(AND($A1132=21,$AE1132&amp;""="00000000"),IF($AH1132=20,"病院",IF($AH1132=5,"消防","市長")),"対象外"))</f>
      </c>
    </row>
    <row r="1133">
      <c r="DB1133" s="2909">
        <f>IF($A1133="","",IF(AND($A1133=21,$AE1133&amp;""="00000000"),IF($AH1133=20,"病院",IF($AH1133=5,"消防","市長")),"対象外"))</f>
      </c>
    </row>
    <row r="1134">
      <c r="DB1134" s="2909">
        <f>IF($A1134="","",IF(AND($A1134=21,$AE1134&amp;""="00000000"),IF($AH1134=20,"病院",IF($AH1134=5,"消防","市長")),"対象外"))</f>
      </c>
    </row>
    <row r="1135">
      <c r="DB1135" s="2909">
        <f>IF($A1135="","",IF(AND($A1135=21,$AE1135&amp;""="00000000"),IF($AH1135=20,"病院",IF($AH1135=5,"消防","市長")),"対象外"))</f>
      </c>
    </row>
    <row r="1136">
      <c r="DB1136" s="2909">
        <f>IF($A1136="","",IF(AND($A1136=21,$AE1136&amp;""="00000000"),IF($AH1136=20,"病院",IF($AH1136=5,"消防","市長")),"対象外"))</f>
      </c>
    </row>
    <row r="1137">
      <c r="DB1137" s="2909">
        <f>IF($A1137="","",IF(AND($A1137=21,$AE1137&amp;""="00000000"),IF($AH1137=20,"病院",IF($AH1137=5,"消防","市長")),"対象外"))</f>
      </c>
    </row>
    <row r="1138">
      <c r="DB1138" s="2909">
        <f>IF($A1138="","",IF(AND($A1138=21,$AE1138&amp;""="00000000"),IF($AH1138=20,"病院",IF($AH1138=5,"消防","市長")),"対象外"))</f>
      </c>
    </row>
    <row r="1139">
      <c r="DB1139" s="2909">
        <f>IF($A1139="","",IF(AND($A1139=21,$AE1139&amp;""="00000000"),IF($AH1139=20,"病院",IF($AH1139=5,"消防","市長")),"対象外"))</f>
      </c>
    </row>
    <row r="1140">
      <c r="DB1140" s="2909">
        <f>IF($A1140="","",IF(AND($A1140=21,$AE1140&amp;""="00000000"),IF($AH1140=20,"病院",IF($AH1140=5,"消防","市長")),"対象外"))</f>
      </c>
    </row>
    <row r="1141">
      <c r="DB1141" s="2909">
        <f>IF($A1141="","",IF(AND($A1141=21,$AE1141&amp;""="00000000"),IF($AH1141=20,"病院",IF($AH1141=5,"消防","市長")),"対象外"))</f>
      </c>
    </row>
    <row r="1142">
      <c r="DB1142" s="2909">
        <f>IF($A1142="","",IF(AND($A1142=21,$AE1142&amp;""="00000000"),IF($AH1142=20,"病院",IF($AH1142=5,"消防","市長")),"対象外"))</f>
      </c>
    </row>
    <row r="1143">
      <c r="DB1143" s="2909">
        <f>IF($A1143="","",IF(AND($A1143=21,$AE1143&amp;""="00000000"),IF($AH1143=20,"病院",IF($AH1143=5,"消防","市長")),"対象外"))</f>
      </c>
    </row>
    <row r="1144">
      <c r="DB1144" s="2909">
        <f>IF($A1144="","",IF(AND($A1144=21,$AE1144&amp;""="00000000"),IF($AH1144=20,"病院",IF($AH1144=5,"消防","市長")),"対象外"))</f>
      </c>
    </row>
    <row r="1145">
      <c r="DB1145" s="2909">
        <f>IF($A1145="","",IF(AND($A1145=21,$AE1145&amp;""="00000000"),IF($AH1145=20,"病院",IF($AH1145=5,"消防","市長")),"対象外"))</f>
      </c>
    </row>
    <row r="1146">
      <c r="DB1146" s="2909">
        <f>IF($A1146="","",IF(AND($A1146=21,$AE1146&amp;""="00000000"),IF($AH1146=20,"病院",IF($AH1146=5,"消防","市長")),"対象外"))</f>
      </c>
    </row>
    <row r="1147">
      <c r="DB1147" s="2909">
        <f>IF($A1147="","",IF(AND($A1147=21,$AE1147&amp;""="00000000"),IF($AH1147=20,"病院",IF($AH1147=5,"消防","市長")),"対象外"))</f>
      </c>
    </row>
    <row r="1148">
      <c r="DB1148" s="2909">
        <f>IF($A1148="","",IF(AND($A1148=21,$AE1148&amp;""="00000000"),IF($AH1148=20,"病院",IF($AH1148=5,"消防","市長")),"対象外"))</f>
      </c>
    </row>
    <row r="1149">
      <c r="DB1149" s="2909">
        <f>IF($A1149="","",IF(AND($A1149=21,$AE1149&amp;""="00000000"),IF($AH1149=20,"病院",IF($AH1149=5,"消防","市長")),"対象外"))</f>
      </c>
    </row>
    <row r="1150">
      <c r="DB1150" s="2909">
        <f>IF($A1150="","",IF(AND($A1150=21,$AE1150&amp;""="00000000"),IF($AH1150=20,"病院",IF($AH1150=5,"消防","市長")),"対象外"))</f>
      </c>
    </row>
    <row r="1151">
      <c r="DB1151" s="2909">
        <f>IF($A1151="","",IF(AND($A1151=21,$AE1151&amp;""="00000000"),IF($AH1151=20,"病院",IF($AH1151=5,"消防","市長")),"対象外"))</f>
      </c>
    </row>
    <row r="1152">
      <c r="DB1152" s="2909">
        <f>IF($A1152="","",IF(AND($A1152=21,$AE1152&amp;""="00000000"),IF($AH1152=20,"病院",IF($AH1152=5,"消防","市長")),"対象外"))</f>
      </c>
    </row>
    <row r="1153">
      <c r="DB1153" s="2909">
        <f>IF($A1153="","",IF(AND($A1153=21,$AE1153&amp;""="00000000"),IF($AH1153=20,"病院",IF($AH1153=5,"消防","市長")),"対象外"))</f>
      </c>
    </row>
    <row r="1154">
      <c r="DB1154" s="2909">
        <f>IF($A1154="","",IF(AND($A1154=21,$AE1154&amp;""="00000000"),IF($AH1154=20,"病院",IF($AH1154=5,"消防","市長")),"対象外"))</f>
      </c>
    </row>
    <row r="1155">
      <c r="DB1155" s="2909">
        <f>IF($A1155="","",IF(AND($A1155=21,$AE1155&amp;""="00000000"),IF($AH1155=20,"病院",IF($AH1155=5,"消防","市長")),"対象外"))</f>
      </c>
    </row>
    <row r="1156">
      <c r="DB1156" s="2909">
        <f>IF($A1156="","",IF(AND($A1156=21,$AE1156&amp;""="00000000"),IF($AH1156=20,"病院",IF($AH1156=5,"消防","市長")),"対象外"))</f>
      </c>
    </row>
    <row r="1157">
      <c r="DB1157" s="2909">
        <f>IF($A1157="","",IF(AND($A1157=21,$AE1157&amp;""="00000000"),IF($AH1157=20,"病院",IF($AH1157=5,"消防","市長")),"対象外"))</f>
      </c>
    </row>
    <row r="1158">
      <c r="DB1158" s="2909">
        <f>IF($A1158="","",IF(AND($A1158=21,$AE1158&amp;""="00000000"),IF($AH1158=20,"病院",IF($AH1158=5,"消防","市長")),"対象外"))</f>
      </c>
    </row>
    <row r="1159">
      <c r="DB1159" s="2909">
        <f>IF($A1159="","",IF(AND($A1159=21,$AE1159&amp;""="00000000"),IF($AH1159=20,"病院",IF($AH1159=5,"消防","市長")),"対象外"))</f>
      </c>
    </row>
    <row r="1160">
      <c r="DB1160" s="2909">
        <f>IF($A1160="","",IF(AND($A1160=21,$AE1160&amp;""="00000000"),IF($AH1160=20,"病院",IF($AH1160=5,"消防","市長")),"対象外"))</f>
      </c>
    </row>
    <row r="1161">
      <c r="DB1161" s="2909">
        <f>IF($A1161="","",IF(AND($A1161=21,$AE1161&amp;""="00000000"),IF($AH1161=20,"病院",IF($AH1161=5,"消防","市長")),"対象外"))</f>
      </c>
    </row>
    <row r="1162">
      <c r="DB1162" s="2909">
        <f>IF($A1162="","",IF(AND($A1162=21,$AE1162&amp;""="00000000"),IF($AH1162=20,"病院",IF($AH1162=5,"消防","市長")),"対象外"))</f>
      </c>
    </row>
    <row r="1163">
      <c r="DB1163" s="2909">
        <f>IF($A1163="","",IF(AND($A1163=21,$AE1163&amp;""="00000000"),IF($AH1163=20,"病院",IF($AH1163=5,"消防","市長")),"対象外"))</f>
      </c>
    </row>
    <row r="1164">
      <c r="DB1164" s="2909">
        <f>IF($A1164="","",IF(AND($A1164=21,$AE1164&amp;""="00000000"),IF($AH1164=20,"病院",IF($AH1164=5,"消防","市長")),"対象外"))</f>
      </c>
    </row>
    <row r="1165">
      <c r="DB1165" s="2909">
        <f>IF($A1165="","",IF(AND($A1165=21,$AE1165&amp;""="00000000"),IF($AH1165=20,"病院",IF($AH1165=5,"消防","市長")),"対象外"))</f>
      </c>
    </row>
    <row r="1166">
      <c r="DB1166" s="2909">
        <f>IF($A1166="","",IF(AND($A1166=21,$AE1166&amp;""="00000000"),IF($AH1166=20,"病院",IF($AH1166=5,"消防","市長")),"対象外"))</f>
      </c>
    </row>
    <row r="1167">
      <c r="DB1167" s="2909">
        <f>IF($A1167="","",IF(AND($A1167=21,$AE1167&amp;""="00000000"),IF($AH1167=20,"病院",IF($AH1167=5,"消防","市長")),"対象外"))</f>
      </c>
    </row>
    <row r="1168">
      <c r="DB1168" s="2909">
        <f>IF($A1168="","",IF(AND($A1168=21,$AE1168&amp;""="00000000"),IF($AH1168=20,"病院",IF($AH1168=5,"消防","市長")),"対象外"))</f>
      </c>
    </row>
    <row r="1169">
      <c r="DB1169" s="2909">
        <f>IF($A1169="","",IF(AND($A1169=21,$AE1169&amp;""="00000000"),IF($AH1169=20,"病院",IF($AH1169=5,"消防","市長")),"対象外"))</f>
      </c>
    </row>
    <row r="1170">
      <c r="DB1170" s="2909">
        <f>IF($A1170="","",IF(AND($A1170=21,$AE1170&amp;""="00000000"),IF($AH1170=20,"病院",IF($AH1170=5,"消防","市長")),"対象外"))</f>
      </c>
    </row>
    <row r="1171">
      <c r="DB1171" s="2909">
        <f>IF($A1171="","",IF(AND($A1171=21,$AE1171&amp;""="00000000"),IF($AH1171=20,"病院",IF($AH1171=5,"消防","市長")),"対象外"))</f>
      </c>
    </row>
    <row r="1172">
      <c r="DB1172" s="2909">
        <f>IF($A1172="","",IF(AND($A1172=21,$AE1172&amp;""="00000000"),IF($AH1172=20,"病院",IF($AH1172=5,"消防","市長")),"対象外"))</f>
      </c>
    </row>
    <row r="1173">
      <c r="DB1173" s="2909">
        <f>IF($A1173="","",IF(AND($A1173=21,$AE1173&amp;""="00000000"),IF($AH1173=20,"病院",IF($AH1173=5,"消防","市長")),"対象外"))</f>
      </c>
    </row>
    <row r="1174">
      <c r="DB1174" s="2909">
        <f>IF($A1174="","",IF(AND($A1174=21,$AE1174&amp;""="00000000"),IF($AH1174=20,"病院",IF($AH1174=5,"消防","市長")),"対象外"))</f>
      </c>
    </row>
    <row r="1175">
      <c r="DB1175" s="2909">
        <f>IF($A1175="","",IF(AND($A1175=21,$AE1175&amp;""="00000000"),IF($AH1175=20,"病院",IF($AH1175=5,"消防","市長")),"対象外"))</f>
      </c>
    </row>
    <row r="1176">
      <c r="DB1176" s="2909">
        <f>IF($A1176="","",IF(AND($A1176=21,$AE1176&amp;""="00000000"),IF($AH1176=20,"病院",IF($AH1176=5,"消防","市長")),"対象外"))</f>
      </c>
    </row>
    <row r="1177">
      <c r="DB1177" s="2909">
        <f>IF($A1177="","",IF(AND($A1177=21,$AE1177&amp;""="00000000"),IF($AH1177=20,"病院",IF($AH1177=5,"消防","市長")),"対象外"))</f>
      </c>
    </row>
    <row r="1178">
      <c r="DB1178" s="2909">
        <f>IF($A1178="","",IF(AND($A1178=21,$AE1178&amp;""="00000000"),IF($AH1178=20,"病院",IF($AH1178=5,"消防","市長")),"対象外"))</f>
      </c>
    </row>
    <row r="1179">
      <c r="DB1179" s="2909">
        <f>IF($A1179="","",IF(AND($A1179=21,$AE1179&amp;""="00000000"),IF($AH1179=20,"病院",IF($AH1179=5,"消防","市長")),"対象外"))</f>
      </c>
    </row>
    <row r="1180">
      <c r="DB1180" s="2909">
        <f>IF($A1180="","",IF(AND($A1180=21,$AE1180&amp;""="00000000"),IF($AH1180=20,"病院",IF($AH1180=5,"消防","市長")),"対象外"))</f>
      </c>
    </row>
    <row r="1181">
      <c r="DB1181" s="2909">
        <f>IF($A1181="","",IF(AND($A1181=21,$AE1181&amp;""="00000000"),IF($AH1181=20,"病院",IF($AH1181=5,"消防","市長")),"対象外"))</f>
      </c>
    </row>
    <row r="1182">
      <c r="DB1182" s="2909">
        <f>IF($A1182="","",IF(AND($A1182=21,$AE1182&amp;""="00000000"),IF($AH1182=20,"病院",IF($AH1182=5,"消防","市長")),"対象外"))</f>
      </c>
    </row>
    <row r="1183">
      <c r="DB1183" s="2909">
        <f>IF($A1183="","",IF(AND($A1183=21,$AE1183&amp;""="00000000"),IF($AH1183=20,"病院",IF($AH1183=5,"消防","市長")),"対象外"))</f>
      </c>
    </row>
    <row r="1184">
      <c r="DB1184" s="2909">
        <f>IF($A1184="","",IF(AND($A1184=21,$AE1184&amp;""="00000000"),IF($AH1184=20,"病院",IF($AH1184=5,"消防","市長")),"対象外"))</f>
      </c>
    </row>
    <row r="1185">
      <c r="DB1185" s="2909">
        <f>IF($A1185="","",IF(AND($A1185=21,$AE1185&amp;""="00000000"),IF($AH1185=20,"病院",IF($AH1185=5,"消防","市長")),"対象外"))</f>
      </c>
    </row>
    <row r="1186">
      <c r="DB1186" s="2909">
        <f>IF($A1186="","",IF(AND($A1186=21,$AE1186&amp;""="00000000"),IF($AH1186=20,"病院",IF($AH1186=5,"消防","市長")),"対象外"))</f>
      </c>
    </row>
    <row r="1187">
      <c r="DB1187" s="2909">
        <f>IF($A1187="","",IF(AND($A1187=21,$AE1187&amp;""="00000000"),IF($AH1187=20,"病院",IF($AH1187=5,"消防","市長")),"対象外"))</f>
      </c>
    </row>
    <row r="1188">
      <c r="DB1188" s="2909">
        <f>IF($A1188="","",IF(AND($A1188=21,$AE1188&amp;""="00000000"),IF($AH1188=20,"病院",IF($AH1188=5,"消防","市長")),"対象外"))</f>
      </c>
    </row>
    <row r="1189">
      <c r="DB1189" s="2909">
        <f>IF($A1189="","",IF(AND($A1189=21,$AE1189&amp;""="00000000"),IF($AH1189=20,"病院",IF($AH1189=5,"消防","市長")),"対象外"))</f>
      </c>
    </row>
    <row r="1190">
      <c r="DB1190" s="2909">
        <f>IF($A1190="","",IF(AND($A1190=21,$AE1190&amp;""="00000000"),IF($AH1190=20,"病院",IF($AH1190=5,"消防","市長")),"対象外"))</f>
      </c>
    </row>
    <row r="1191">
      <c r="DB1191" s="2909">
        <f>IF($A1191="","",IF(AND($A1191=21,$AE1191&amp;""="00000000"),IF($AH1191=20,"病院",IF($AH1191=5,"消防","市長")),"対象外"))</f>
      </c>
    </row>
    <row r="1192">
      <c r="DB1192" s="2909">
        <f>IF($A1192="","",IF(AND($A1192=21,$AE1192&amp;""="00000000"),IF($AH1192=20,"病院",IF($AH1192=5,"消防","市長")),"対象外"))</f>
      </c>
    </row>
    <row r="1193">
      <c r="DB1193" s="2909">
        <f>IF($A1193="","",IF(AND($A1193=21,$AE1193&amp;""="00000000"),IF($AH1193=20,"病院",IF($AH1193=5,"消防","市長")),"対象外"))</f>
      </c>
    </row>
    <row r="1194">
      <c r="DB1194" s="2909">
        <f>IF($A1194="","",IF(AND($A1194=21,$AE1194&amp;""="00000000"),IF($AH1194=20,"病院",IF($AH1194=5,"消防","市長")),"対象外"))</f>
      </c>
    </row>
    <row r="1195">
      <c r="DB1195" s="2909">
        <f>IF($A1195="","",IF(AND($A1195=21,$AE1195&amp;""="00000000"),IF($AH1195=20,"病院",IF($AH1195=5,"消防","市長")),"対象外"))</f>
      </c>
    </row>
    <row r="1196">
      <c r="DB1196" s="2909">
        <f>IF($A1196="","",IF(AND($A1196=21,$AE1196&amp;""="00000000"),IF($AH1196=20,"病院",IF($AH1196=5,"消防","市長")),"対象外"))</f>
      </c>
    </row>
    <row r="1197">
      <c r="DB1197" s="2909">
        <f>IF($A1197="","",IF(AND($A1197=21,$AE1197&amp;""="00000000"),IF($AH1197=20,"病院",IF($AH1197=5,"消防","市長")),"対象外"))</f>
      </c>
    </row>
    <row r="1198">
      <c r="DB1198" s="2909">
        <f>IF($A1198="","",IF(AND($A1198=21,$AE1198&amp;""="00000000"),IF($AH1198=20,"病院",IF($AH1198=5,"消防","市長")),"対象外"))</f>
      </c>
    </row>
    <row r="1199">
      <c r="DB1199" s="2909">
        <f>IF($A1199="","",IF(AND($A1199=21,$AE1199&amp;""="00000000"),IF($AH1199=20,"病院",IF($AH1199=5,"消防","市長")),"対象外"))</f>
      </c>
    </row>
    <row r="1200">
      <c r="DB1200" s="2909">
        <f>IF($A1200="","",IF(AND($A1200=21,$AE1200&amp;""="00000000"),IF($AH1200=20,"病院",IF($AH1200=5,"消防","市長")),"対象外"))</f>
      </c>
    </row>
    <row r="1201">
      <c r="DB1201" s="2909">
        <f>IF($A1201="","",IF(AND($A1201=21,$AE1201&amp;""="00000000"),IF($AH1201=20,"病院",IF($AH1201=5,"消防","市長")),"対象外"))</f>
      </c>
    </row>
    <row r="1202">
      <c r="DB1202" s="2909">
        <f>IF($A1202="","",IF(AND($A1202=21,$AE1202&amp;""="00000000"),IF($AH1202=20,"病院",IF($AH1202=5,"消防","市長")),"対象外"))</f>
      </c>
    </row>
    <row r="1203">
      <c r="DB1203" s="2909">
        <f>IF($A1203="","",IF(AND($A1203=21,$AE1203&amp;""="00000000"),IF($AH1203=20,"病院",IF($AH1203=5,"消防","市長")),"対象外"))</f>
      </c>
    </row>
    <row r="1204">
      <c r="DB1204" s="2909">
        <f>IF($A1204="","",IF(AND($A1204=21,$AE1204&amp;""="00000000"),IF($AH1204=20,"病院",IF($AH1204=5,"消防","市長")),"対象外"))</f>
      </c>
    </row>
    <row r="1205">
      <c r="DB1205" s="2909">
        <f>IF($A1205="","",IF(AND($A1205=21,$AE1205&amp;""="00000000"),IF($AH1205=20,"病院",IF($AH1205=5,"消防","市長")),"対象外"))</f>
      </c>
    </row>
    <row r="1206">
      <c r="DB1206" s="2909">
        <f>IF($A1206="","",IF(AND($A1206=21,$AE1206&amp;""="00000000"),IF($AH1206=20,"病院",IF($AH1206=5,"消防","市長")),"対象外"))</f>
      </c>
    </row>
    <row r="1207">
      <c r="DB1207" s="2909">
        <f>IF($A1207="","",IF(AND($A1207=21,$AE1207&amp;""="00000000"),IF($AH1207=20,"病院",IF($AH1207=5,"消防","市長")),"対象外"))</f>
      </c>
    </row>
    <row r="1208">
      <c r="DB1208" s="2909">
        <f>IF($A1208="","",IF(AND($A1208=21,$AE1208&amp;""="00000000"),IF($AH1208=20,"病院",IF($AH1208=5,"消防","市長")),"対象外"))</f>
      </c>
    </row>
    <row r="1209">
      <c r="DB1209" s="2909">
        <f>IF($A1209="","",IF(AND($A1209=21,$AE1209&amp;""="00000000"),IF($AH1209=20,"病院",IF($AH1209=5,"消防","市長")),"対象外"))</f>
      </c>
    </row>
    <row r="1210">
      <c r="DB1210" s="2909">
        <f>IF($A1210="","",IF(AND($A1210=21,$AE1210&amp;""="00000000"),IF($AH1210=20,"病院",IF($AH1210=5,"消防","市長")),"対象外"))</f>
      </c>
    </row>
    <row r="1211">
      <c r="DB1211" s="2909">
        <f>IF($A1211="","",IF(AND($A1211=21,$AE1211&amp;""="00000000"),IF($AH1211=20,"病院",IF($AH1211=5,"消防","市長")),"対象外"))</f>
      </c>
    </row>
    <row r="1212">
      <c r="DB1212" s="2909">
        <f>IF($A1212="","",IF(AND($A1212=21,$AE1212&amp;""="00000000"),IF($AH1212=20,"病院",IF($AH1212=5,"消防","市長")),"対象外"))</f>
      </c>
    </row>
    <row r="1213">
      <c r="DB1213" s="2909">
        <f>IF($A1213="","",IF(AND($A1213=21,$AE1213&amp;""="00000000"),IF($AH1213=20,"病院",IF($AH1213=5,"消防","市長")),"対象外"))</f>
      </c>
    </row>
    <row r="1214">
      <c r="DB1214" s="2909">
        <f>IF($A1214="","",IF(AND($A1214=21,$AE1214&amp;""="00000000"),IF($AH1214=20,"病院",IF($AH1214=5,"消防","市長")),"対象外"))</f>
      </c>
    </row>
    <row r="1215">
      <c r="DB1215" s="2909">
        <f>IF($A1215="","",IF(AND($A1215=21,$AE1215&amp;""="00000000"),IF($AH1215=20,"病院",IF($AH1215=5,"消防","市長")),"対象外"))</f>
      </c>
    </row>
    <row r="1216">
      <c r="DB1216" s="2909">
        <f>IF($A1216="","",IF(AND($A1216=21,$AE1216&amp;""="00000000"),IF($AH1216=20,"病院",IF($AH1216=5,"消防","市長")),"対象外"))</f>
      </c>
    </row>
    <row r="1217">
      <c r="DB1217" s="2909">
        <f>IF($A1217="","",IF(AND($A1217=21,$AE1217&amp;""="00000000"),IF($AH1217=20,"病院",IF($AH1217=5,"消防","市長")),"対象外"))</f>
      </c>
    </row>
    <row r="1218">
      <c r="DB1218" s="2909">
        <f>IF($A1218="","",IF(AND($A1218=21,$AE1218&amp;""="00000000"),IF($AH1218=20,"病院",IF($AH1218=5,"消防","市長")),"対象外"))</f>
      </c>
    </row>
    <row r="1219">
      <c r="DB1219" s="2909">
        <f>IF($A1219="","",IF(AND($A1219=21,$AE1219&amp;""="00000000"),IF($AH1219=20,"病院",IF($AH1219=5,"消防","市長")),"対象外"))</f>
      </c>
    </row>
    <row r="1220">
      <c r="DB1220" s="2909">
        <f>IF($A1220="","",IF(AND($A1220=21,$AE1220&amp;""="00000000"),IF($AH1220=20,"病院",IF($AH1220=5,"消防","市長")),"対象外"))</f>
      </c>
    </row>
    <row r="1221">
      <c r="DB1221" s="2909">
        <f>IF($A1221="","",IF(AND($A1221=21,$AE1221&amp;""="00000000"),IF($AH1221=20,"病院",IF($AH1221=5,"消防","市長")),"対象外"))</f>
      </c>
    </row>
    <row r="1222">
      <c r="DB1222" s="2909">
        <f>IF($A1222="","",IF(AND($A1222=21,$AE1222&amp;""="00000000"),IF($AH1222=20,"病院",IF($AH1222=5,"消防","市長")),"対象外"))</f>
      </c>
    </row>
    <row r="1223">
      <c r="DB1223" s="2909">
        <f>IF($A1223="","",IF(AND($A1223=21,$AE1223&amp;""="00000000"),IF($AH1223=20,"病院",IF($AH1223=5,"消防","市長")),"対象外"))</f>
      </c>
    </row>
    <row r="1224">
      <c r="DB1224" s="2909">
        <f>IF($A1224="","",IF(AND($A1224=21,$AE1224&amp;""="00000000"),IF($AH1224=20,"病院",IF($AH1224=5,"消防","市長")),"対象外"))</f>
      </c>
    </row>
    <row r="1225">
      <c r="DB1225" s="2909">
        <f>IF($A1225="","",IF(AND($A1225=21,$AE1225&amp;""="00000000"),IF($AH1225=20,"病院",IF($AH1225=5,"消防","市長")),"対象外"))</f>
      </c>
    </row>
    <row r="1226">
      <c r="DB1226" s="2909">
        <f>IF($A1226="","",IF(AND($A1226=21,$AE1226&amp;""="00000000"),IF($AH1226=20,"病院",IF($AH1226=5,"消防","市長")),"対象外"))</f>
      </c>
    </row>
    <row r="1227">
      <c r="DB1227" s="2909">
        <f>IF($A1227="","",IF(AND($A1227=21,$AE1227&amp;""="00000000"),IF($AH1227=20,"病院",IF($AH1227=5,"消防","市長")),"対象外"))</f>
      </c>
    </row>
    <row r="1228">
      <c r="DB1228" s="2909">
        <f>IF($A1228="","",IF(AND($A1228=21,$AE1228&amp;""="00000000"),IF($AH1228=20,"病院",IF($AH1228=5,"消防","市長")),"対象外"))</f>
      </c>
    </row>
    <row r="1229">
      <c r="DB1229" s="2909">
        <f>IF($A1229="","",IF(AND($A1229=21,$AE1229&amp;""="00000000"),IF($AH1229=20,"病院",IF($AH1229=5,"消防","市長")),"対象外"))</f>
      </c>
    </row>
    <row r="1230">
      <c r="DB1230" s="2909">
        <f>IF($A1230="","",IF(AND($A1230=21,$AE1230&amp;""="00000000"),IF($AH1230=20,"病院",IF($AH1230=5,"消防","市長")),"対象外"))</f>
      </c>
    </row>
    <row r="1231">
      <c r="DB1231" s="2909">
        <f>IF($A1231="","",IF(AND($A1231=21,$AE1231&amp;""="00000000"),IF($AH1231=20,"病院",IF($AH1231=5,"消防","市長")),"対象外"))</f>
      </c>
    </row>
    <row r="1232">
      <c r="DB1232" s="2909">
        <f>IF($A1232="","",IF(AND($A1232=21,$AE1232&amp;""="00000000"),IF($AH1232=20,"病院",IF($AH1232=5,"消防","市長")),"対象外"))</f>
      </c>
    </row>
    <row r="1233">
      <c r="DB1233" s="2909">
        <f>IF($A1233="","",IF(AND($A1233=21,$AE1233&amp;""="00000000"),IF($AH1233=20,"病院",IF($AH1233=5,"消防","市長")),"対象外"))</f>
      </c>
    </row>
    <row r="1234">
      <c r="DB1234" s="2909">
        <f>IF($A1234="","",IF(AND($A1234=21,$AE1234&amp;""="00000000"),IF($AH1234=20,"病院",IF($AH1234=5,"消防","市長")),"対象外"))</f>
      </c>
    </row>
    <row r="1235">
      <c r="DB1235" s="2909">
        <f>IF($A1235="","",IF(AND($A1235=21,$AE1235&amp;""="00000000"),IF($AH1235=20,"病院",IF($AH1235=5,"消防","市長")),"対象外"))</f>
      </c>
    </row>
    <row r="1236">
      <c r="DB1236" s="2909">
        <f>IF($A1236="","",IF(AND($A1236=21,$AE1236&amp;""="00000000"),IF($AH1236=20,"病院",IF($AH1236=5,"消防","市長")),"対象外"))</f>
      </c>
    </row>
    <row r="1237">
      <c r="DB1237" s="2909">
        <f>IF($A1237="","",IF(AND($A1237=21,$AE1237&amp;""="00000000"),IF($AH1237=20,"病院",IF($AH1237=5,"消防","市長")),"対象外"))</f>
      </c>
    </row>
    <row r="1238">
      <c r="DB1238" s="2909">
        <f>IF($A1238="","",IF(AND($A1238=21,$AE1238&amp;""="00000000"),IF($AH1238=20,"病院",IF($AH1238=5,"消防","市長")),"対象外"))</f>
      </c>
    </row>
    <row r="1239">
      <c r="DB1239" s="2909">
        <f>IF($A1239="","",IF(AND($A1239=21,$AE1239&amp;""="00000000"),IF($AH1239=20,"病院",IF($AH1239=5,"消防","市長")),"対象外"))</f>
      </c>
    </row>
    <row r="1240">
      <c r="DB1240" s="2909">
        <f>IF($A1240="","",IF(AND($A1240=21,$AE1240&amp;""="00000000"),IF($AH1240=20,"病院",IF($AH1240=5,"消防","市長")),"対象外"))</f>
      </c>
    </row>
    <row r="1241">
      <c r="DB1241" s="2909">
        <f>IF($A1241="","",IF(AND($A1241=21,$AE1241&amp;""="00000000"),IF($AH1241=20,"病院",IF($AH1241=5,"消防","市長")),"対象外"))</f>
      </c>
    </row>
    <row r="1242">
      <c r="DB1242" s="2909">
        <f>IF($A1242="","",IF(AND($A1242=21,$AE1242&amp;""="00000000"),IF($AH1242=20,"病院",IF($AH1242=5,"消防","市長")),"対象外"))</f>
      </c>
    </row>
    <row r="1243">
      <c r="DB1243" s="2909">
        <f>IF($A1243="","",IF(AND($A1243=21,$AE1243&amp;""="00000000"),IF($AH1243=20,"病院",IF($AH1243=5,"消防","市長")),"対象外"))</f>
      </c>
    </row>
    <row r="1244">
      <c r="DB1244" s="2909">
        <f>IF($A1244="","",IF(AND($A1244=21,$AE1244&amp;""="00000000"),IF($AH1244=20,"病院",IF($AH1244=5,"消防","市長")),"対象外"))</f>
      </c>
    </row>
    <row r="1245">
      <c r="DB1245" s="2909">
        <f>IF($A1245="","",IF(AND($A1245=21,$AE1245&amp;""="00000000"),IF($AH1245=20,"病院",IF($AH1245=5,"消防","市長")),"対象外"))</f>
      </c>
    </row>
    <row r="1246">
      <c r="DB1246" s="2909">
        <f>IF($A1246="","",IF(AND($A1246=21,$AE1246&amp;""="00000000"),IF($AH1246=20,"病院",IF($AH1246=5,"消防","市長")),"対象外"))</f>
      </c>
    </row>
    <row r="1247">
      <c r="DB1247" s="2909">
        <f>IF($A1247="","",IF(AND($A1247=21,$AE1247&amp;""="00000000"),IF($AH1247=20,"病院",IF($AH1247=5,"消防","市長")),"対象外"))</f>
      </c>
    </row>
    <row r="1248">
      <c r="DB1248" s="2909">
        <f>IF($A1248="","",IF(AND($A1248=21,$AE1248&amp;""="00000000"),IF($AH1248=20,"病院",IF($AH1248=5,"消防","市長")),"対象外"))</f>
      </c>
    </row>
    <row r="1249">
      <c r="DB1249" s="2909">
        <f>IF($A1249="","",IF(AND($A1249=21,$AE1249&amp;""="00000000"),IF($AH1249=20,"病院",IF($AH1249=5,"消防","市長")),"対象外"))</f>
      </c>
    </row>
    <row r="1250">
      <c r="DB1250" s="2909">
        <f>IF($A1250="","",IF(AND($A1250=21,$AE1250&amp;""="00000000"),IF($AH1250=20,"病院",IF($AH1250=5,"消防","市長")),"対象外"))</f>
      </c>
    </row>
    <row r="1251">
      <c r="DB1251" s="2909">
        <f>IF($A1251="","",IF(AND($A1251=21,$AE1251&amp;""="00000000"),IF($AH1251=20,"病院",IF($AH1251=5,"消防","市長")),"対象外"))</f>
      </c>
    </row>
    <row r="1252">
      <c r="DB1252" s="2909">
        <f>IF($A1252="","",IF(AND($A1252=21,$AE1252&amp;""="00000000"),IF($AH1252=20,"病院",IF($AH1252=5,"消防","市長")),"対象外"))</f>
      </c>
    </row>
    <row r="1253">
      <c r="DB1253" s="2909">
        <f>IF($A1253="","",IF(AND($A1253=21,$AE1253&amp;""="00000000"),IF($AH1253=20,"病院",IF($AH1253=5,"消防","市長")),"対象外"))</f>
      </c>
    </row>
    <row r="1254">
      <c r="DB1254" s="2909">
        <f>IF($A1254="","",IF(AND($A1254=21,$AE1254&amp;""="00000000"),IF($AH1254=20,"病院",IF($AH1254=5,"消防","市長")),"対象外"))</f>
      </c>
    </row>
    <row r="1255">
      <c r="DB1255" s="2909">
        <f>IF($A1255="","",IF(AND($A1255=21,$AE1255&amp;""="00000000"),IF($AH1255=20,"病院",IF($AH1255=5,"消防","市長")),"対象外"))</f>
      </c>
    </row>
    <row r="1256">
      <c r="DB1256" s="2909">
        <f>IF($A1256="","",IF(AND($A1256=21,$AE1256&amp;""="00000000"),IF($AH1256=20,"病院",IF($AH1256=5,"消防","市長")),"対象外"))</f>
      </c>
    </row>
    <row r="1257">
      <c r="DB1257" s="2909">
        <f>IF($A1257="","",IF(AND($A1257=21,$AE1257&amp;""="00000000"),IF($AH1257=20,"病院",IF($AH1257=5,"消防","市長")),"対象外"))</f>
      </c>
    </row>
    <row r="1258">
      <c r="DB1258" s="2909">
        <f>IF($A1258="","",IF(AND($A1258=21,$AE1258&amp;""="00000000"),IF($AH1258=20,"病院",IF($AH1258=5,"消防","市長")),"対象外"))</f>
      </c>
    </row>
    <row r="1259">
      <c r="DB1259" s="2909">
        <f>IF($A1259="","",IF(AND($A1259=21,$AE1259&amp;""="00000000"),IF($AH1259=20,"病院",IF($AH1259=5,"消防","市長")),"対象外"))</f>
      </c>
    </row>
    <row r="1260">
      <c r="DB1260" s="2909">
        <f>IF($A1260="","",IF(AND($A1260=21,$AE1260&amp;""="00000000"),IF($AH1260=20,"病院",IF($AH1260=5,"消防","市長")),"対象外"))</f>
      </c>
    </row>
    <row r="1261">
      <c r="DB1261" s="2909">
        <f>IF($A1261="","",IF(AND($A1261=21,$AE1261&amp;""="00000000"),IF($AH1261=20,"病院",IF($AH1261=5,"消防","市長")),"対象外"))</f>
      </c>
    </row>
    <row r="1262">
      <c r="DB1262" s="2909">
        <f>IF($A1262="","",IF(AND($A1262=21,$AE1262&amp;""="00000000"),IF($AH1262=20,"病院",IF($AH1262=5,"消防","市長")),"対象外"))</f>
      </c>
    </row>
    <row r="1263">
      <c r="DB1263" s="2909">
        <f>IF($A1263="","",IF(AND($A1263=21,$AE1263&amp;""="00000000"),IF($AH1263=20,"病院",IF($AH1263=5,"消防","市長")),"対象外"))</f>
      </c>
    </row>
    <row r="1264">
      <c r="DB1264" s="2909">
        <f>IF($A1264="","",IF(AND($A1264=21,$AE1264&amp;""="00000000"),IF($AH1264=20,"病院",IF($AH1264=5,"消防","市長")),"対象外"))</f>
      </c>
    </row>
    <row r="1265">
      <c r="DB1265" s="2909">
        <f>IF($A1265="","",IF(AND($A1265=21,$AE1265&amp;""="00000000"),IF($AH1265=20,"病院",IF($AH1265=5,"消防","市長")),"対象外"))</f>
      </c>
    </row>
    <row r="1266">
      <c r="DB1266" s="2909">
        <f>IF($A1266="","",IF(AND($A1266=21,$AE1266&amp;""="00000000"),IF($AH1266=20,"病院",IF($AH1266=5,"消防","市長")),"対象外"))</f>
      </c>
    </row>
    <row r="1267">
      <c r="DB1267" s="2909">
        <f>IF($A1267="","",IF(AND($A1267=21,$AE1267&amp;""="00000000"),IF($AH1267=20,"病院",IF($AH1267=5,"消防","市長")),"対象外"))</f>
      </c>
    </row>
    <row r="1268">
      <c r="DB1268" s="2909">
        <f>IF($A1268="","",IF(AND($A1268=21,$AE1268&amp;""="00000000"),IF($AH1268=20,"病院",IF($AH1268=5,"消防","市長")),"対象外"))</f>
      </c>
    </row>
    <row r="1269">
      <c r="DB1269" s="2909">
        <f>IF($A1269="","",IF(AND($A1269=21,$AE1269&amp;""="00000000"),IF($AH1269=20,"病院",IF($AH1269=5,"消防","市長")),"対象外"))</f>
      </c>
    </row>
    <row r="1270">
      <c r="DB1270" s="2909">
        <f>IF($A1270="","",IF(AND($A1270=21,$AE1270&amp;""="00000000"),IF($AH1270=20,"病院",IF($AH1270=5,"消防","市長")),"対象外"))</f>
      </c>
    </row>
    <row r="1271">
      <c r="DB1271" s="2909">
        <f>IF($A1271="","",IF(AND($A1271=21,$AE1271&amp;""="00000000"),IF($AH1271=20,"病院",IF($AH1271=5,"消防","市長")),"対象外"))</f>
      </c>
    </row>
    <row r="1272">
      <c r="DB1272" s="2909">
        <f>IF($A1272="","",IF(AND($A1272=21,$AE1272&amp;""="00000000"),IF($AH1272=20,"病院",IF($AH1272=5,"消防","市長")),"対象外"))</f>
      </c>
    </row>
    <row r="1273">
      <c r="DB1273" s="2909">
        <f>IF($A1273="","",IF(AND($A1273=21,$AE1273&amp;""="00000000"),IF($AH1273=20,"病院",IF($AH1273=5,"消防","市長")),"対象外"))</f>
      </c>
    </row>
    <row r="1274">
      <c r="DB1274" s="2909">
        <f>IF($A1274="","",IF(AND($A1274=21,$AE1274&amp;""="00000000"),IF($AH1274=20,"病院",IF($AH1274=5,"消防","市長")),"対象外"))</f>
      </c>
    </row>
    <row r="1275">
      <c r="DB1275" s="2909">
        <f>IF($A1275="","",IF(AND($A1275=21,$AE1275&amp;""="00000000"),IF($AH1275=20,"病院",IF($AH1275=5,"消防","市長")),"対象外"))</f>
      </c>
    </row>
    <row r="1276">
      <c r="DB1276" s="2909">
        <f>IF($A1276="","",IF(AND($A1276=21,$AE1276&amp;""="00000000"),IF($AH1276=20,"病院",IF($AH1276=5,"消防","市長")),"対象外"))</f>
      </c>
    </row>
    <row r="1277">
      <c r="DB1277" s="2909">
        <f>IF($A1277="","",IF(AND($A1277=21,$AE1277&amp;""="00000000"),IF($AH1277=20,"病院",IF($AH1277=5,"消防","市長")),"対象外"))</f>
      </c>
    </row>
    <row r="1278">
      <c r="DB1278" s="2909">
        <f>IF($A1278="","",IF(AND($A1278=21,$AE1278&amp;""="00000000"),IF($AH1278=20,"病院",IF($AH1278=5,"消防","市長")),"対象外"))</f>
      </c>
    </row>
    <row r="1279">
      <c r="DB1279" s="2909">
        <f>IF($A1279="","",IF(AND($A1279=21,$AE1279&amp;""="00000000"),IF($AH1279=20,"病院",IF($AH1279=5,"消防","市長")),"対象外"))</f>
      </c>
    </row>
    <row r="1280">
      <c r="DB1280" s="2909">
        <f>IF($A1280="","",IF(AND($A1280=21,$AE1280&amp;""="00000000"),IF($AH1280=20,"病院",IF($AH1280=5,"消防","市長")),"対象外"))</f>
      </c>
    </row>
    <row r="1281">
      <c r="DB1281" s="2909">
        <f>IF($A1281="","",IF(AND($A1281=21,$AE1281&amp;""="00000000"),IF($AH1281=20,"病院",IF($AH1281=5,"消防","市長")),"対象外"))</f>
      </c>
    </row>
    <row r="1282">
      <c r="DB1282" s="2909">
        <f>IF($A1282="","",IF(AND($A1282=21,$AE1282&amp;""="00000000"),IF($AH1282=20,"病院",IF($AH1282=5,"消防","市長")),"対象外"))</f>
      </c>
    </row>
    <row r="1283">
      <c r="DB1283" s="2909">
        <f>IF($A1283="","",IF(AND($A1283=21,$AE1283&amp;""="00000000"),IF($AH1283=20,"病院",IF($AH1283=5,"消防","市長")),"対象外"))</f>
      </c>
    </row>
    <row r="1284">
      <c r="DB1284" s="2909">
        <f>IF($A1284="","",IF(AND($A1284=21,$AE1284&amp;""="00000000"),IF($AH1284=20,"病院",IF($AH1284=5,"消防","市長")),"対象外"))</f>
      </c>
    </row>
    <row r="1285">
      <c r="DB1285" s="2909">
        <f>IF($A1285="","",IF(AND($A1285=21,$AE1285&amp;""="00000000"),IF($AH1285=20,"病院",IF($AH1285=5,"消防","市長")),"対象外"))</f>
      </c>
    </row>
    <row r="1286">
      <c r="DB1286" s="2909">
        <f>IF($A1286="","",IF(AND($A1286=21,$AE1286&amp;""="00000000"),IF($AH1286=20,"病院",IF($AH1286=5,"消防","市長")),"対象外"))</f>
      </c>
    </row>
    <row r="1287">
      <c r="DB1287" s="2909">
        <f>IF($A1287="","",IF(AND($A1287=21,$AE1287&amp;""="00000000"),IF($AH1287=20,"病院",IF($AH1287=5,"消防","市長")),"対象外"))</f>
      </c>
    </row>
    <row r="1288">
      <c r="DB1288" s="2909">
        <f>IF($A1288="","",IF(AND($A1288=21,$AE1288&amp;""="00000000"),IF($AH1288=20,"病院",IF($AH1288=5,"消防","市長")),"対象外"))</f>
      </c>
    </row>
    <row r="1289">
      <c r="DB1289" s="2909">
        <f>IF($A1289="","",IF(AND($A1289=21,$AE1289&amp;""="00000000"),IF($AH1289=20,"病院",IF($AH1289=5,"消防","市長")),"対象外"))</f>
      </c>
    </row>
    <row r="1290">
      <c r="DB1290" s="2909">
        <f>IF($A1290="","",IF(AND($A1290=21,$AE1290&amp;""="00000000"),IF($AH1290=20,"病院",IF($AH1290=5,"消防","市長")),"対象外"))</f>
      </c>
    </row>
    <row r="1291">
      <c r="DB1291" s="2909">
        <f>IF($A1291="","",IF(AND($A1291=21,$AE1291&amp;""="00000000"),IF($AH1291=20,"病院",IF($AH1291=5,"消防","市長")),"対象外"))</f>
      </c>
    </row>
    <row r="1292">
      <c r="DB1292" s="2909">
        <f>IF($A1292="","",IF(AND($A1292=21,$AE1292&amp;""="00000000"),IF($AH1292=20,"病院",IF($AH1292=5,"消防","市長")),"対象外"))</f>
      </c>
    </row>
    <row r="1293">
      <c r="DB1293" s="2909">
        <f>IF($A1293="","",IF(AND($A1293=21,$AE1293&amp;""="00000000"),IF($AH1293=20,"病院",IF($AH1293=5,"消防","市長")),"対象外"))</f>
      </c>
    </row>
    <row r="1294">
      <c r="DB1294" s="2909">
        <f>IF($A1294="","",IF(AND($A1294=21,$AE1294&amp;""="00000000"),IF($AH1294=20,"病院",IF($AH1294=5,"消防","市長")),"対象外"))</f>
      </c>
    </row>
    <row r="1295">
      <c r="DB1295" s="2909">
        <f>IF($A1295="","",IF(AND($A1295=21,$AE1295&amp;""="00000000"),IF($AH1295=20,"病院",IF($AH1295=5,"消防","市長")),"対象外"))</f>
      </c>
    </row>
    <row r="1296">
      <c r="DB1296" s="2909">
        <f>IF($A1296="","",IF(AND($A1296=21,$AE1296&amp;""="00000000"),IF($AH1296=20,"病院",IF($AH1296=5,"消防","市長")),"対象外"))</f>
      </c>
    </row>
    <row r="1297">
      <c r="DB1297" s="2909">
        <f>IF($A1297="","",IF(AND($A1297=21,$AE1297&amp;""="00000000"),IF($AH1297=20,"病院",IF($AH1297=5,"消防","市長")),"対象外"))</f>
      </c>
    </row>
    <row r="1298">
      <c r="DB1298" s="2909">
        <f>IF($A1298="","",IF(AND($A1298=21,$AE1298&amp;""="00000000"),IF($AH1298=20,"病院",IF($AH1298=5,"消防","市長")),"対象外"))</f>
      </c>
    </row>
    <row r="1299">
      <c r="DB1299" s="2909">
        <f>IF($A1299="","",IF(AND($A1299=21,$AE1299&amp;""="00000000"),IF($AH1299=20,"病院",IF($AH1299=5,"消防","市長")),"対象外"))</f>
      </c>
    </row>
    <row r="1300">
      <c r="DB1300" s="2909">
        <f>IF($A1300="","",IF(AND($A1300=21,$AE1300&amp;""="00000000"),IF($AH1300=20,"病院",IF($AH1300=5,"消防","市長")),"対象外"))</f>
      </c>
    </row>
    <row r="1301">
      <c r="DB1301" s="2909">
        <f>IF($A1301="","",IF(AND($A1301=21,$AE1301&amp;""="00000000"),IF($AH1301=20,"病院",IF($AH1301=5,"消防","市長")),"対象外"))</f>
      </c>
    </row>
    <row r="1302">
      <c r="DB1302" s="2909">
        <f>IF($A1302="","",IF(AND($A1302=21,$AE1302&amp;""="00000000"),IF($AH1302=20,"病院",IF($AH1302=5,"消防","市長")),"対象外"))</f>
      </c>
    </row>
    <row r="1303">
      <c r="DB1303" s="2909">
        <f>IF($A1303="","",IF(AND($A1303=21,$AE1303&amp;""="00000000"),IF($AH1303=20,"病院",IF($AH1303=5,"消防","市長")),"対象外"))</f>
      </c>
    </row>
    <row r="1304">
      <c r="DB1304" s="2909">
        <f>IF($A1304="","",IF(AND($A1304=21,$AE1304&amp;""="00000000"),IF($AH1304=20,"病院",IF($AH1304=5,"消防","市長")),"対象外"))</f>
      </c>
    </row>
    <row r="1305">
      <c r="DB1305" s="2909">
        <f>IF($A1305="","",IF(AND($A1305=21,$AE1305&amp;""="00000000"),IF($AH1305=20,"病院",IF($AH1305=5,"消防","市長")),"対象外"))</f>
      </c>
    </row>
    <row r="1306">
      <c r="DB1306" s="2909">
        <f>IF($A1306="","",IF(AND($A1306=21,$AE1306&amp;""="00000000"),IF($AH1306=20,"病院",IF($AH1306=5,"消防","市長")),"対象外"))</f>
      </c>
    </row>
    <row r="1307">
      <c r="DB1307" s="2909">
        <f>IF($A1307="","",IF(AND($A1307=21,$AE1307&amp;""="00000000"),IF($AH1307=20,"病院",IF($AH1307=5,"消防","市長")),"対象外"))</f>
      </c>
    </row>
    <row r="1308">
      <c r="DB1308" s="2909">
        <f>IF($A1308="","",IF(AND($A1308=21,$AE1308&amp;""="00000000"),IF($AH1308=20,"病院",IF($AH1308=5,"消防","市長")),"対象外"))</f>
      </c>
    </row>
    <row r="1309">
      <c r="DB1309" s="2909">
        <f>IF($A1309="","",IF(AND($A1309=21,$AE1309&amp;""="00000000"),IF($AH1309=20,"病院",IF($AH1309=5,"消防","市長")),"対象外"))</f>
      </c>
    </row>
    <row r="1310">
      <c r="DB1310" s="2909">
        <f>IF($A1310="","",IF(AND($A1310=21,$AE1310&amp;""="00000000"),IF($AH1310=20,"病院",IF($AH1310=5,"消防","市長")),"対象外"))</f>
      </c>
    </row>
    <row r="1311">
      <c r="DB1311" s="2909">
        <f>IF($A1311="","",IF(AND($A1311=21,$AE1311&amp;""="00000000"),IF($AH1311=20,"病院",IF($AH1311=5,"消防","市長")),"対象外"))</f>
      </c>
    </row>
    <row r="1312">
      <c r="DB1312" s="2909">
        <f>IF($A1312="","",IF(AND($A1312=21,$AE1312&amp;""="00000000"),IF($AH1312=20,"病院",IF($AH1312=5,"消防","市長")),"対象外"))</f>
      </c>
    </row>
    <row r="1313">
      <c r="DB1313" s="2909">
        <f>IF($A1313="","",IF(AND($A1313=21,$AE1313&amp;""="00000000"),IF($AH1313=20,"病院",IF($AH1313=5,"消防","市長")),"対象外"))</f>
      </c>
    </row>
    <row r="1314">
      <c r="DB1314" s="2909">
        <f>IF($A1314="","",IF(AND($A1314=21,$AE1314&amp;""="00000000"),IF($AH1314=20,"病院",IF($AH1314=5,"消防","市長")),"対象外"))</f>
      </c>
    </row>
    <row r="1315">
      <c r="DB1315" s="2909">
        <f>IF($A1315="","",IF(AND($A1315=21,$AE1315&amp;""="00000000"),IF($AH1315=20,"病院",IF($AH1315=5,"消防","市長")),"対象外"))</f>
      </c>
    </row>
    <row r="1316">
      <c r="DB1316" s="2909">
        <f>IF($A1316="","",IF(AND($A1316=21,$AE1316&amp;""="00000000"),IF($AH1316=20,"病院",IF($AH1316=5,"消防","市長")),"対象外"))</f>
      </c>
    </row>
    <row r="1317">
      <c r="DB1317" s="2909">
        <f>IF($A1317="","",IF(AND($A1317=21,$AE1317&amp;""="00000000"),IF($AH1317=20,"病院",IF($AH1317=5,"消防","市長")),"対象外"))</f>
      </c>
    </row>
    <row r="1318">
      <c r="DB1318" s="2909">
        <f>IF($A1318="","",IF(AND($A1318=21,$AE1318&amp;""="00000000"),IF($AH1318=20,"病院",IF($AH1318=5,"消防","市長")),"対象外"))</f>
      </c>
    </row>
    <row r="1319">
      <c r="DB1319" s="2909">
        <f>IF($A1319="","",IF(AND($A1319=21,$AE1319&amp;""="00000000"),IF($AH1319=20,"病院",IF($AH1319=5,"消防","市長")),"対象外"))</f>
      </c>
    </row>
    <row r="1320">
      <c r="DB1320" s="2909">
        <f>IF($A1320="","",IF(AND($A1320=21,$AE1320&amp;""="00000000"),IF($AH1320=20,"病院",IF($AH1320=5,"消防","市長")),"対象外"))</f>
      </c>
    </row>
    <row r="1321">
      <c r="DB1321" s="2909">
        <f>IF($A1321="","",IF(AND($A1321=21,$AE1321&amp;""="00000000"),IF($AH1321=20,"病院",IF($AH1321=5,"消防","市長")),"対象外"))</f>
      </c>
    </row>
    <row r="1322">
      <c r="DB1322" s="2909">
        <f>IF($A1322="","",IF(AND($A1322=21,$AE1322&amp;""="00000000"),IF($AH1322=20,"病院",IF($AH1322=5,"消防","市長")),"対象外"))</f>
      </c>
    </row>
    <row r="1323">
      <c r="DB1323" s="2909">
        <f>IF($A1323="","",IF(AND($A1323=21,$AE1323&amp;""="00000000"),IF($AH1323=20,"病院",IF($AH1323=5,"消防","市長")),"対象外"))</f>
      </c>
    </row>
    <row r="1324">
      <c r="DB1324" s="2909">
        <f>IF($A1324="","",IF(AND($A1324=21,$AE1324&amp;""="00000000"),IF($AH1324=20,"病院",IF($AH1324=5,"消防","市長")),"対象外"))</f>
      </c>
    </row>
    <row r="1325">
      <c r="DB1325" s="2909">
        <f>IF($A1325="","",IF(AND($A1325=21,$AE1325&amp;""="00000000"),IF($AH1325=20,"病院",IF($AH1325=5,"消防","市長")),"対象外"))</f>
      </c>
    </row>
    <row r="1326">
      <c r="DB1326" s="2909">
        <f>IF($A1326="","",IF(AND($A1326=21,$AE1326&amp;""="00000000"),IF($AH1326=20,"病院",IF($AH1326=5,"消防","市長")),"対象外"))</f>
      </c>
    </row>
    <row r="1327">
      <c r="DB1327" s="2909">
        <f>IF($A1327="","",IF(AND($A1327=21,$AE1327&amp;""="00000000"),IF($AH1327=20,"病院",IF($AH1327=5,"消防","市長")),"対象外"))</f>
      </c>
    </row>
    <row r="1328">
      <c r="DB1328" s="2909">
        <f>IF($A1328="","",IF(AND($A1328=21,$AE1328&amp;""="00000000"),IF($AH1328=20,"病院",IF($AH1328=5,"消防","市長")),"対象外"))</f>
      </c>
    </row>
    <row r="1329">
      <c r="DB1329" s="2909">
        <f>IF($A1329="","",IF(AND($A1329=21,$AE1329&amp;""="00000000"),IF($AH1329=20,"病院",IF($AH1329=5,"消防","市長")),"対象外"))</f>
      </c>
    </row>
    <row r="1330">
      <c r="DB1330" s="2909">
        <f>IF($A1330="","",IF(AND($A1330=21,$AE1330&amp;""="00000000"),IF($AH1330=20,"病院",IF($AH1330=5,"消防","市長")),"対象外"))</f>
      </c>
    </row>
    <row r="1331">
      <c r="DB1331" s="2909">
        <f>IF($A1331="","",IF(AND($A1331=21,$AE1331&amp;""="00000000"),IF($AH1331=20,"病院",IF($AH1331=5,"消防","市長")),"対象外"))</f>
      </c>
    </row>
    <row r="1332">
      <c r="DB1332" s="2909">
        <f>IF($A1332="","",IF(AND($A1332=21,$AE1332&amp;""="00000000"),IF($AH1332=20,"病院",IF($AH1332=5,"消防","市長")),"対象外"))</f>
      </c>
    </row>
    <row r="1333">
      <c r="DB1333" s="2909">
        <f>IF($A1333="","",IF(AND($A1333=21,$AE1333&amp;""="00000000"),IF($AH1333=20,"病院",IF($AH1333=5,"消防","市長")),"対象外"))</f>
      </c>
    </row>
    <row r="1334">
      <c r="DB1334" s="2909">
        <f>IF($A1334="","",IF(AND($A1334=21,$AE1334&amp;""="00000000"),IF($AH1334=20,"病院",IF($AH1334=5,"消防","市長")),"対象外"))</f>
      </c>
    </row>
    <row r="1335">
      <c r="DB1335" s="2909">
        <f>IF($A1335="","",IF(AND($A1335=21,$AE1335&amp;""="00000000"),IF($AH1335=20,"病院",IF($AH1335=5,"消防","市長")),"対象外"))</f>
      </c>
    </row>
    <row r="1336">
      <c r="DB1336" s="2909">
        <f>IF($A1336="","",IF(AND($A1336=21,$AE1336&amp;""="00000000"),IF($AH1336=20,"病院",IF($AH1336=5,"消防","市長")),"対象外"))</f>
      </c>
    </row>
    <row r="1337">
      <c r="DB1337" s="2909">
        <f>IF($A1337="","",IF(AND($A1337=21,$AE1337&amp;""="00000000"),IF($AH1337=20,"病院",IF($AH1337=5,"消防","市長")),"対象外"))</f>
      </c>
    </row>
    <row r="1338">
      <c r="DB1338" s="2909">
        <f>IF($A1338="","",IF(AND($A1338=21,$AE1338&amp;""="00000000"),IF($AH1338=20,"病院",IF($AH1338=5,"消防","市長")),"対象外"))</f>
      </c>
    </row>
    <row r="1339">
      <c r="DB1339" s="2909">
        <f>IF($A1339="","",IF(AND($A1339=21,$AE1339&amp;""="00000000"),IF($AH1339=20,"病院",IF($AH1339=5,"消防","市長")),"対象外"))</f>
      </c>
    </row>
    <row r="1340">
      <c r="DB1340" s="2909">
        <f>IF($A1340="","",IF(AND($A1340=21,$AE1340&amp;""="00000000"),IF($AH1340=20,"病院",IF($AH1340=5,"消防","市長")),"対象外"))</f>
      </c>
    </row>
    <row r="1341">
      <c r="DB1341" s="2909">
        <f>IF($A1341="","",IF(AND($A1341=21,$AE1341&amp;""="00000000"),IF($AH1341=20,"病院",IF($AH1341=5,"消防","市長")),"対象外"))</f>
      </c>
    </row>
    <row r="1342">
      <c r="DB1342" s="2909">
        <f>IF($A1342="","",IF(AND($A1342=21,$AE1342&amp;""="00000000"),IF($AH1342=20,"病院",IF($AH1342=5,"消防","市長")),"対象外"))</f>
      </c>
    </row>
    <row r="1343">
      <c r="DB1343" s="2909">
        <f>IF($A1343="","",IF(AND($A1343=21,$AE1343&amp;""="00000000"),IF($AH1343=20,"病院",IF($AH1343=5,"消防","市長")),"対象外"))</f>
      </c>
    </row>
    <row r="1344">
      <c r="DB1344" s="2909">
        <f>IF($A1344="","",IF(AND($A1344=21,$AE1344&amp;""="00000000"),IF($AH1344=20,"病院",IF($AH1344=5,"消防","市長")),"対象外"))</f>
      </c>
    </row>
    <row r="1345">
      <c r="DB1345" s="2909">
        <f>IF($A1345="","",IF(AND($A1345=21,$AE1345&amp;""="00000000"),IF($AH1345=20,"病院",IF($AH1345=5,"消防","市長")),"対象外"))</f>
      </c>
    </row>
    <row r="1346">
      <c r="DB1346" s="2909">
        <f>IF($A1346="","",IF(AND($A1346=21,$AE1346&amp;""="00000000"),IF($AH1346=20,"病院",IF($AH1346=5,"消防","市長")),"対象外"))</f>
      </c>
    </row>
    <row r="1347">
      <c r="DB1347" s="2909">
        <f>IF($A1347="","",IF(AND($A1347=21,$AE1347&amp;""="00000000"),IF($AH1347=20,"病院",IF($AH1347=5,"消防","市長")),"対象外"))</f>
      </c>
    </row>
    <row r="1348">
      <c r="DB1348" s="2909">
        <f>IF($A1348="","",IF(AND($A1348=21,$AE1348&amp;""="00000000"),IF($AH1348=20,"病院",IF($AH1348=5,"消防","市長")),"対象外"))</f>
      </c>
    </row>
    <row r="1349">
      <c r="DB1349" s="2909">
        <f>IF($A1349="","",IF(AND($A1349=21,$AE1349&amp;""="00000000"),IF($AH1349=20,"病院",IF($AH1349=5,"消防","市長")),"対象外"))</f>
      </c>
    </row>
    <row r="1350">
      <c r="DB1350" s="2909">
        <f>IF($A1350="","",IF(AND($A1350=21,$AE1350&amp;""="00000000"),IF($AH1350=20,"病院",IF($AH1350=5,"消防","市長")),"対象外"))</f>
      </c>
    </row>
    <row r="1351">
      <c r="DB1351" s="2909">
        <f>IF($A1351="","",IF(AND($A1351=21,$AE1351&amp;""="00000000"),IF($AH1351=20,"病院",IF($AH1351=5,"消防","市長")),"対象外"))</f>
      </c>
    </row>
    <row r="1352">
      <c r="DB1352" s="2909">
        <f>IF($A1352="","",IF(AND($A1352=21,$AE1352&amp;""="00000000"),IF($AH1352=20,"病院",IF($AH1352=5,"消防","市長")),"対象外"))</f>
      </c>
    </row>
    <row r="1353">
      <c r="DB1353" s="2909">
        <f>IF($A1353="","",IF(AND($A1353=21,$AE1353&amp;""="00000000"),IF($AH1353=20,"病院",IF($AH1353=5,"消防","市長")),"対象外"))</f>
      </c>
    </row>
    <row r="1354">
      <c r="DB1354" s="2909">
        <f>IF($A1354="","",IF(AND($A1354=21,$AE1354&amp;""="00000000"),IF($AH1354=20,"病院",IF($AH1354=5,"消防","市長")),"対象外"))</f>
      </c>
    </row>
    <row r="1355">
      <c r="DB1355" s="2909">
        <f>IF($A1355="","",IF(AND($A1355=21,$AE1355&amp;""="00000000"),IF($AH1355=20,"病院",IF($AH1355=5,"消防","市長")),"対象外"))</f>
      </c>
    </row>
    <row r="1356">
      <c r="DB1356" s="2909">
        <f>IF($A1356="","",IF(AND($A1356=21,$AE1356&amp;""="00000000"),IF($AH1356=20,"病院",IF($AH1356=5,"消防","市長")),"対象外"))</f>
      </c>
    </row>
    <row r="1357">
      <c r="DB1357" s="2909">
        <f>IF($A1357="","",IF(AND($A1357=21,$AE1357&amp;""="00000000"),IF($AH1357=20,"病院",IF($AH1357=5,"消防","市長")),"対象外"))</f>
      </c>
    </row>
    <row r="1358">
      <c r="DB1358" s="2909">
        <f>IF($A1358="","",IF(AND($A1358=21,$AE1358&amp;""="00000000"),IF($AH1358=20,"病院",IF($AH1358=5,"消防","市長")),"対象外"))</f>
      </c>
    </row>
    <row r="1359">
      <c r="DB1359" s="2909">
        <f>IF($A1359="","",IF(AND($A1359=21,$AE1359&amp;""="00000000"),IF($AH1359=20,"病院",IF($AH1359=5,"消防","市長")),"対象外"))</f>
      </c>
    </row>
    <row r="1360">
      <c r="DB1360" s="2909">
        <f>IF($A1360="","",IF(AND($A1360=21,$AE1360&amp;""="00000000"),IF($AH1360=20,"病院",IF($AH1360=5,"消防","市長")),"対象外"))</f>
      </c>
    </row>
    <row r="1361">
      <c r="DB1361" s="2909">
        <f>IF($A1361="","",IF(AND($A1361=21,$AE1361&amp;""="00000000"),IF($AH1361=20,"病院",IF($AH1361=5,"消防","市長")),"対象外"))</f>
      </c>
    </row>
    <row r="1362">
      <c r="DB1362" s="2909">
        <f>IF($A1362="","",IF(AND($A1362=21,$AE1362&amp;""="00000000"),IF($AH1362=20,"病院",IF($AH1362=5,"消防","市長")),"対象外"))</f>
      </c>
    </row>
    <row r="1363">
      <c r="DB1363" s="2909">
        <f>IF($A1363="","",IF(AND($A1363=21,$AE1363&amp;""="00000000"),IF($AH1363=20,"病院",IF($AH1363=5,"消防","市長")),"対象外"))</f>
      </c>
    </row>
    <row r="1364">
      <c r="DB1364" s="2909">
        <f>IF($A1364="","",IF(AND($A1364=21,$AE1364&amp;""="00000000"),IF($AH1364=20,"病院",IF($AH1364=5,"消防","市長")),"対象外"))</f>
      </c>
    </row>
    <row r="1365">
      <c r="DB1365" s="2909">
        <f>IF($A1365="","",IF(AND($A1365=21,$AE1365&amp;""="00000000"),IF($AH1365=20,"病院",IF($AH1365=5,"消防","市長")),"対象外"))</f>
      </c>
    </row>
    <row r="1366">
      <c r="DB1366" s="2909">
        <f>IF($A1366="","",IF(AND($A1366=21,$AE1366&amp;""="00000000"),IF($AH1366=20,"病院",IF($AH1366=5,"消防","市長")),"対象外"))</f>
      </c>
    </row>
    <row r="1367">
      <c r="DB1367" s="2909">
        <f>IF($A1367="","",IF(AND($A1367=21,$AE1367&amp;""="00000000"),IF($AH1367=20,"病院",IF($AH1367=5,"消防","市長")),"対象外"))</f>
      </c>
    </row>
    <row r="1368">
      <c r="DB1368" s="2909">
        <f>IF($A1368="","",IF(AND($A1368=21,$AE1368&amp;""="00000000"),IF($AH1368=20,"病院",IF($AH1368=5,"消防","市長")),"対象外"))</f>
      </c>
    </row>
    <row r="1369">
      <c r="DB1369" s="2909">
        <f>IF($A1369="","",IF(AND($A1369=21,$AE1369&amp;""="00000000"),IF($AH1369=20,"病院",IF($AH1369=5,"消防","市長")),"対象外"))</f>
      </c>
    </row>
    <row r="1370">
      <c r="DB1370" s="2909">
        <f>IF($A1370="","",IF(AND($A1370=21,$AE1370&amp;""="00000000"),IF($AH1370=20,"病院",IF($AH1370=5,"消防","市長")),"対象外"))</f>
      </c>
    </row>
    <row r="1371">
      <c r="DB1371" s="2909">
        <f>IF($A1371="","",IF(AND($A1371=21,$AE1371&amp;""="00000000"),IF($AH1371=20,"病院",IF($AH1371=5,"消防","市長")),"対象外"))</f>
      </c>
    </row>
    <row r="1372">
      <c r="DB1372" s="2909">
        <f>IF($A1372="","",IF(AND($A1372=21,$AE1372&amp;""="00000000"),IF($AH1372=20,"病院",IF($AH1372=5,"消防","市長")),"対象外"))</f>
      </c>
    </row>
    <row r="1373">
      <c r="DB1373" s="2909">
        <f>IF($A1373="","",IF(AND($A1373=21,$AE1373&amp;""="00000000"),IF($AH1373=20,"病院",IF($AH1373=5,"消防","市長")),"対象外"))</f>
      </c>
    </row>
    <row r="1374">
      <c r="DB1374" s="2909">
        <f>IF($A1374="","",IF(AND($A1374=21,$AE1374&amp;""="00000000"),IF($AH1374=20,"病院",IF($AH1374=5,"消防","市長")),"対象外"))</f>
      </c>
    </row>
    <row r="1375">
      <c r="DB1375" s="2909">
        <f>IF($A1375="","",IF(AND($A1375=21,$AE1375&amp;""="00000000"),IF($AH1375=20,"病院",IF($AH1375=5,"消防","市長")),"対象外"))</f>
      </c>
    </row>
    <row r="1376">
      <c r="DB1376" s="2909">
        <f>IF($A1376="","",IF(AND($A1376=21,$AE1376&amp;""="00000000"),IF($AH1376=20,"病院",IF($AH1376=5,"消防","市長")),"対象外"))</f>
      </c>
    </row>
    <row r="1377">
      <c r="DB1377" s="2909">
        <f>IF($A1377="","",IF(AND($A1377=21,$AE1377&amp;""="00000000"),IF($AH1377=20,"病院",IF($AH1377=5,"消防","市長")),"対象外"))</f>
      </c>
    </row>
    <row r="1378">
      <c r="DB1378" s="2909">
        <f>IF($A1378="","",IF(AND($A1378=21,$AE1378&amp;""="00000000"),IF($AH1378=20,"病院",IF($AH1378=5,"消防","市長")),"対象外"))</f>
      </c>
    </row>
    <row r="1379">
      <c r="DB1379" s="2909">
        <f>IF($A1379="","",IF(AND($A1379=21,$AE1379&amp;""="00000000"),IF($AH1379=20,"病院",IF($AH1379=5,"消防","市長")),"対象外"))</f>
      </c>
    </row>
    <row r="1380">
      <c r="DB1380" s="2909">
        <f>IF($A1380="","",IF(AND($A1380=21,$AE1380&amp;""="00000000"),IF($AH1380=20,"病院",IF($AH1380=5,"消防","市長")),"対象外"))</f>
      </c>
    </row>
    <row r="1381">
      <c r="DB1381" s="2909">
        <f>IF($A1381="","",IF(AND($A1381=21,$AE1381&amp;""="00000000"),IF($AH1381=20,"病院",IF($AH1381=5,"消防","市長")),"対象外"))</f>
      </c>
    </row>
    <row r="1382">
      <c r="DB1382" s="2909">
        <f>IF($A1382="","",IF(AND($A1382=21,$AE1382&amp;""="00000000"),IF($AH1382=20,"病院",IF($AH1382=5,"消防","市長")),"対象外"))</f>
      </c>
    </row>
    <row r="1383">
      <c r="DB1383" s="2909">
        <f>IF($A1383="","",IF(AND($A1383=21,$AE1383&amp;""="00000000"),IF($AH1383=20,"病院",IF($AH1383=5,"消防","市長")),"対象外"))</f>
      </c>
    </row>
    <row r="1384">
      <c r="DB1384" s="2909">
        <f>IF($A1384="","",IF(AND($A1384=21,$AE1384&amp;""="00000000"),IF($AH1384=20,"病院",IF($AH1384=5,"消防","市長")),"対象外"))</f>
      </c>
    </row>
    <row r="1385">
      <c r="DB1385" s="2909">
        <f>IF($A1385="","",IF(AND($A1385=21,$AE1385&amp;""="00000000"),IF($AH1385=20,"病院",IF($AH1385=5,"消防","市長")),"対象外"))</f>
      </c>
    </row>
    <row r="1386">
      <c r="DB1386" s="2909">
        <f>IF($A1386="","",IF(AND($A1386=21,$AE1386&amp;""="00000000"),IF($AH1386=20,"病院",IF($AH1386=5,"消防","市長")),"対象外"))</f>
      </c>
    </row>
    <row r="1387">
      <c r="DB1387" s="2909">
        <f>IF($A1387="","",IF(AND($A1387=21,$AE1387&amp;""="00000000"),IF($AH1387=20,"病院",IF($AH1387=5,"消防","市長")),"対象外"))</f>
      </c>
    </row>
    <row r="1388">
      <c r="DB1388" s="2909">
        <f>IF($A1388="","",IF(AND($A1388=21,$AE1388&amp;""="00000000"),IF($AH1388=20,"病院",IF($AH1388=5,"消防","市長")),"対象外"))</f>
      </c>
    </row>
    <row r="1389">
      <c r="DB1389" s="2909">
        <f>IF($A1389="","",IF(AND($A1389=21,$AE1389&amp;""="00000000"),IF($AH1389=20,"病院",IF($AH1389=5,"消防","市長")),"対象外"))</f>
      </c>
    </row>
    <row r="1390">
      <c r="DB1390" s="2909">
        <f>IF($A1390="","",IF(AND($A1390=21,$AE1390&amp;""="00000000"),IF($AH1390=20,"病院",IF($AH1390=5,"消防","市長")),"対象外"))</f>
      </c>
    </row>
    <row r="1391">
      <c r="DB1391" s="2909">
        <f>IF($A1391="","",IF(AND($A1391=21,$AE1391&amp;""="00000000"),IF($AH1391=20,"病院",IF($AH1391=5,"消防","市長")),"対象外"))</f>
      </c>
    </row>
    <row r="1392">
      <c r="DB1392" s="2909">
        <f>IF($A1392="","",IF(AND($A1392=21,$AE1392&amp;""="00000000"),IF($AH1392=20,"病院",IF($AH1392=5,"消防","市長")),"対象外"))</f>
      </c>
    </row>
    <row r="1393">
      <c r="DB1393" s="2909">
        <f>IF($A1393="","",IF(AND($A1393=21,$AE1393&amp;""="00000000"),IF($AH1393=20,"病院",IF($AH1393=5,"消防","市長")),"対象外"))</f>
      </c>
    </row>
    <row r="1394">
      <c r="DB1394" s="2909">
        <f>IF($A1394="","",IF(AND($A1394=21,$AE1394&amp;""="00000000"),IF($AH1394=20,"病院",IF($AH1394=5,"消防","市長")),"対象外"))</f>
      </c>
    </row>
    <row r="1395">
      <c r="DB1395" s="2909">
        <f>IF($A1395="","",IF(AND($A1395=21,$AE1395&amp;""="00000000"),IF($AH1395=20,"病院",IF($AH1395=5,"消防","市長")),"対象外"))</f>
      </c>
    </row>
    <row r="1396">
      <c r="DB1396" s="2909">
        <f>IF($A1396="","",IF(AND($A1396=21,$AE1396&amp;""="00000000"),IF($AH1396=20,"病院",IF($AH1396=5,"消防","市長")),"対象外"))</f>
      </c>
    </row>
    <row r="1397">
      <c r="DB1397" s="2909">
        <f>IF($A1397="","",IF(AND($A1397=21,$AE1397&amp;""="00000000"),IF($AH1397=20,"病院",IF($AH1397=5,"消防","市長")),"対象外"))</f>
      </c>
    </row>
    <row r="1398">
      <c r="DB1398" s="2909">
        <f>IF($A1398="","",IF(AND($A1398=21,$AE1398&amp;""="00000000"),IF($AH1398=20,"病院",IF($AH1398=5,"消防","市長")),"対象外"))</f>
      </c>
    </row>
    <row r="1399">
      <c r="DB1399" s="2909">
        <f>IF($A1399="","",IF(AND($A1399=21,$AE1399&amp;""="00000000"),IF($AH1399=20,"病院",IF($AH1399=5,"消防","市長")),"対象外"))</f>
      </c>
    </row>
    <row r="1400">
      <c r="DB1400" s="2909">
        <f>IF($A1400="","",IF(AND($A1400=21,$AE1400&amp;""="00000000"),IF($AH1400=20,"病院",IF($AH1400=5,"消防","市長")),"対象外"))</f>
      </c>
    </row>
    <row r="1401">
      <c r="DB1401" s="2909">
        <f>IF($A1401="","",IF(AND($A1401=21,$AE1401&amp;""="00000000"),IF($AH1401=20,"病院",IF($AH1401=5,"消防","市長")),"対象外"))</f>
      </c>
    </row>
    <row r="1402">
      <c r="DB1402" s="2909">
        <f>IF($A1402="","",IF(AND($A1402=21,$AE1402&amp;""="00000000"),IF($AH1402=20,"病院",IF($AH1402=5,"消防","市長")),"対象外"))</f>
      </c>
    </row>
    <row r="1403">
      <c r="DB1403" s="2909">
        <f>IF($A1403="","",IF(AND($A1403=21,$AE1403&amp;""="00000000"),IF($AH1403=20,"病院",IF($AH1403=5,"消防","市長")),"対象外"))</f>
      </c>
    </row>
    <row r="1404">
      <c r="DB1404" s="2909">
        <f>IF($A1404="","",IF(AND($A1404=21,$AE1404&amp;""="00000000"),IF($AH1404=20,"病院",IF($AH1404=5,"消防","市長")),"対象外"))</f>
      </c>
    </row>
    <row r="1405">
      <c r="DB1405" s="2909">
        <f>IF($A1405="","",IF(AND($A1405=21,$AE1405&amp;""="00000000"),IF($AH1405=20,"病院",IF($AH1405=5,"消防","市長")),"対象外"))</f>
      </c>
    </row>
    <row r="1406">
      <c r="DB1406" s="2909">
        <f>IF($A1406="","",IF(AND($A1406=21,$AE1406&amp;""="00000000"),IF($AH1406=20,"病院",IF($AH1406=5,"消防","市長")),"対象外"))</f>
      </c>
    </row>
    <row r="1407">
      <c r="DB1407" s="2909">
        <f>IF($A1407="","",IF(AND($A1407=21,$AE1407&amp;""="00000000"),IF($AH1407=20,"病院",IF($AH1407=5,"消防","市長")),"対象外"))</f>
      </c>
    </row>
    <row r="1408">
      <c r="DB1408" s="2909">
        <f>IF($A1408="","",IF(AND($A1408=21,$AE1408&amp;""="00000000"),IF($AH1408=20,"病院",IF($AH1408=5,"消防","市長")),"対象外"))</f>
      </c>
    </row>
    <row r="1409">
      <c r="DB1409" s="2909">
        <f>IF($A1409="","",IF(AND($A1409=21,$AE1409&amp;""="00000000"),IF($AH1409=20,"病院",IF($AH1409=5,"消防","市長")),"対象外"))</f>
      </c>
    </row>
    <row r="1410">
      <c r="DB1410" s="2909">
        <f>IF($A1410="","",IF(AND($A1410=21,$AE1410&amp;""="00000000"),IF($AH1410=20,"病院",IF($AH1410=5,"消防","市長")),"対象外"))</f>
      </c>
    </row>
    <row r="1411">
      <c r="DB1411" s="2909">
        <f>IF($A1411="","",IF(AND($A1411=21,$AE1411&amp;""="00000000"),IF($AH1411=20,"病院",IF($AH1411=5,"消防","市長")),"対象外"))</f>
      </c>
    </row>
    <row r="1412">
      <c r="DB1412" s="2909">
        <f>IF($A1412="","",IF(AND($A1412=21,$AE1412&amp;""="00000000"),IF($AH1412=20,"病院",IF($AH1412=5,"消防","市長")),"対象外"))</f>
      </c>
    </row>
    <row r="1413">
      <c r="DB1413" s="2909">
        <f>IF($A1413="","",IF(AND($A1413=21,$AE1413&amp;""="00000000"),IF($AH1413=20,"病院",IF($AH1413=5,"消防","市長")),"対象外"))</f>
      </c>
    </row>
    <row r="1414">
      <c r="DB1414" s="2909">
        <f>IF($A1414="","",IF(AND($A1414=21,$AE1414&amp;""="00000000"),IF($AH1414=20,"病院",IF($AH1414=5,"消防","市長")),"対象外"))</f>
      </c>
    </row>
    <row r="1415">
      <c r="DB1415" s="2909">
        <f>IF($A1415="","",IF(AND($A1415=21,$AE1415&amp;""="00000000"),IF($AH1415=20,"病院",IF($AH1415=5,"消防","市長")),"対象外"))</f>
      </c>
    </row>
    <row r="1416">
      <c r="DB1416" s="2909">
        <f>IF($A1416="","",IF(AND($A1416=21,$AE1416&amp;""="00000000"),IF($AH1416=20,"病院",IF($AH1416=5,"消防","市長")),"対象外"))</f>
      </c>
    </row>
    <row r="1417">
      <c r="DB1417" s="2909">
        <f>IF($A1417="","",IF(AND($A1417=21,$AE1417&amp;""="00000000"),IF($AH1417=20,"病院",IF($AH1417=5,"消防","市長")),"対象外"))</f>
      </c>
    </row>
    <row r="1418">
      <c r="DB1418" s="2909">
        <f>IF($A1418="","",IF(AND($A1418=21,$AE1418&amp;""="00000000"),IF($AH1418=20,"病院",IF($AH1418=5,"消防","市長")),"対象外"))</f>
      </c>
    </row>
    <row r="1419">
      <c r="DB1419" s="2909">
        <f>IF($A1419="","",IF(AND($A1419=21,$AE1419&amp;""="00000000"),IF($AH1419=20,"病院",IF($AH1419=5,"消防","市長")),"対象外"))</f>
      </c>
    </row>
    <row r="1420">
      <c r="DB1420" s="2909">
        <f>IF($A1420="","",IF(AND($A1420=21,$AE1420&amp;""="00000000"),IF($AH1420=20,"病院",IF($AH1420=5,"消防","市長")),"対象外"))</f>
      </c>
    </row>
    <row r="1421">
      <c r="DB1421" s="2909">
        <f>IF($A1421="","",IF(AND($A1421=21,$AE1421&amp;""="00000000"),IF($AH1421=20,"病院",IF($AH1421=5,"消防","市長")),"対象外"))</f>
      </c>
    </row>
    <row r="1422">
      <c r="DB1422" s="2909">
        <f>IF($A1422="","",IF(AND($A1422=21,$AE1422&amp;""="00000000"),IF($AH1422=20,"病院",IF($AH1422=5,"消防","市長")),"対象外"))</f>
      </c>
    </row>
    <row r="1423">
      <c r="DB1423" s="2909">
        <f>IF($A1423="","",IF(AND($A1423=21,$AE1423&amp;""="00000000"),IF($AH1423=20,"病院",IF($AH1423=5,"消防","市長")),"対象外"))</f>
      </c>
    </row>
    <row r="1424">
      <c r="DB1424" s="2909">
        <f>IF($A1424="","",IF(AND($A1424=21,$AE1424&amp;""="00000000"),IF($AH1424=20,"病院",IF($AH1424=5,"消防","市長")),"対象外"))</f>
      </c>
    </row>
    <row r="1425">
      <c r="DB1425" s="2909">
        <f>IF($A1425="","",IF(AND($A1425=21,$AE1425&amp;""="00000000"),IF($AH1425=20,"病院",IF($AH1425=5,"消防","市長")),"対象外"))</f>
      </c>
    </row>
    <row r="1426">
      <c r="DB1426" s="2909">
        <f>IF($A1426="","",IF(AND($A1426=21,$AE1426&amp;""="00000000"),IF($AH1426=20,"病院",IF($AH1426=5,"消防","市長")),"対象外"))</f>
      </c>
    </row>
    <row r="1427">
      <c r="DB1427" s="2909">
        <f>IF($A1427="","",IF(AND($A1427=21,$AE1427&amp;""="00000000"),IF($AH1427=20,"病院",IF($AH1427=5,"消防","市長")),"対象外"))</f>
      </c>
    </row>
    <row r="1428">
      <c r="DB1428" s="2909">
        <f>IF($A1428="","",IF(AND($A1428=21,$AE1428&amp;""="00000000"),IF($AH1428=20,"病院",IF($AH1428=5,"消防","市長")),"対象外"))</f>
      </c>
    </row>
    <row r="1429">
      <c r="DB1429" s="2909">
        <f>IF($A1429="","",IF(AND($A1429=21,$AE1429&amp;""="00000000"),IF($AH1429=20,"病院",IF($AH1429=5,"消防","市長")),"対象外"))</f>
      </c>
    </row>
    <row r="1430">
      <c r="DB1430" s="2909">
        <f>IF($A1430="","",IF(AND($A1430=21,$AE1430&amp;""="00000000"),IF($AH1430=20,"病院",IF($AH1430=5,"消防","市長")),"対象外"))</f>
      </c>
    </row>
    <row r="1431">
      <c r="DB1431" s="2909">
        <f>IF($A1431="","",IF(AND($A1431=21,$AE1431&amp;""="00000000"),IF($AH1431=20,"病院",IF($AH1431=5,"消防","市長")),"対象外"))</f>
      </c>
    </row>
    <row r="1432">
      <c r="DB1432" s="2909">
        <f>IF($A1432="","",IF(AND($A1432=21,$AE1432&amp;""="00000000"),IF($AH1432=20,"病院",IF($AH1432=5,"消防","市長")),"対象外"))</f>
      </c>
    </row>
    <row r="1433">
      <c r="DB1433" s="2909">
        <f>IF($A1433="","",IF(AND($A1433=21,$AE1433&amp;""="00000000"),IF($AH1433=20,"病院",IF($AH1433=5,"消防","市長")),"対象外"))</f>
      </c>
    </row>
    <row r="1434">
      <c r="DB1434" s="2909">
        <f>IF($A1434="","",IF(AND($A1434=21,$AE1434&amp;""="00000000"),IF($AH1434=20,"病院",IF($AH1434=5,"消防","市長")),"対象外"))</f>
      </c>
    </row>
    <row r="1435">
      <c r="DB1435" s="2909">
        <f>IF($A1435="","",IF(AND($A1435=21,$AE1435&amp;""="00000000"),IF($AH1435=20,"病院",IF($AH1435=5,"消防","市長")),"対象外"))</f>
      </c>
    </row>
    <row r="1436">
      <c r="DB1436" s="2909">
        <f>IF($A1436="","",IF(AND($A1436=21,$AE1436&amp;""="00000000"),IF($AH1436=20,"病院",IF($AH1436=5,"消防","市長")),"対象外"))</f>
      </c>
    </row>
    <row r="1437">
      <c r="DB1437" s="2909">
        <f>IF($A1437="","",IF(AND($A1437=21,$AE1437&amp;""="00000000"),IF($AH1437=20,"病院",IF($AH1437=5,"消防","市長")),"対象外"))</f>
      </c>
    </row>
    <row r="1438">
      <c r="DB1438" s="2909">
        <f>IF($A1438="","",IF(AND($A1438=21,$AE1438&amp;""="00000000"),IF($AH1438=20,"病院",IF($AH1438=5,"消防","市長")),"対象外"))</f>
      </c>
    </row>
    <row r="1439">
      <c r="DB1439" s="2909">
        <f>IF($A1439="","",IF(AND($A1439=21,$AE1439&amp;""="00000000"),IF($AH1439=20,"病院",IF($AH1439=5,"消防","市長")),"対象外"))</f>
      </c>
    </row>
    <row r="1440">
      <c r="DB1440" s="2909">
        <f>IF($A1440="","",IF(AND($A1440=21,$AE1440&amp;""="00000000"),IF($AH1440=20,"病院",IF($AH1440=5,"消防","市長")),"対象外"))</f>
      </c>
    </row>
    <row r="1441">
      <c r="DB1441" s="2909">
        <f>IF($A1441="","",IF(AND($A1441=21,$AE1441&amp;""="00000000"),IF($AH1441=20,"病院",IF($AH1441=5,"消防","市長")),"対象外"))</f>
      </c>
    </row>
    <row r="1442">
      <c r="DB1442" s="2909">
        <f>IF($A1442="","",IF(AND($A1442=21,$AE1442&amp;""="00000000"),IF($AH1442=20,"病院",IF($AH1442=5,"消防","市長")),"対象外"))</f>
      </c>
    </row>
    <row r="1443">
      <c r="DB1443" s="2909">
        <f>IF($A1443="","",IF(AND($A1443=21,$AE1443&amp;""="00000000"),IF($AH1443=20,"病院",IF($AH1443=5,"消防","市長")),"対象外"))</f>
      </c>
    </row>
    <row r="1444">
      <c r="DB1444" s="2909">
        <f>IF($A1444="","",IF(AND($A1444=21,$AE1444&amp;""="00000000"),IF($AH1444=20,"病院",IF($AH1444=5,"消防","市長")),"対象外"))</f>
      </c>
    </row>
    <row r="1445">
      <c r="DB1445" s="2909">
        <f>IF($A1445="","",IF(AND($A1445=21,$AE1445&amp;""="00000000"),IF($AH1445=20,"病院",IF($AH1445=5,"消防","市長")),"対象外"))</f>
      </c>
    </row>
    <row r="1446">
      <c r="DB1446" s="2909">
        <f>IF($A1446="","",IF(AND($A1446=21,$AE1446&amp;""="00000000"),IF($AH1446=20,"病院",IF($AH1446=5,"消防","市長")),"対象外"))</f>
      </c>
    </row>
    <row r="1447">
      <c r="DB1447" s="2909">
        <f>IF($A1447="","",IF(AND($A1447=21,$AE1447&amp;""="00000000"),IF($AH1447=20,"病院",IF($AH1447=5,"消防","市長")),"対象外"))</f>
      </c>
    </row>
    <row r="1448">
      <c r="DB1448" s="2909">
        <f>IF($A1448="","",IF(AND($A1448=21,$AE1448&amp;""="00000000"),IF($AH1448=20,"病院",IF($AH1448=5,"消防","市長")),"対象外"))</f>
      </c>
    </row>
    <row r="1449">
      <c r="DB1449" s="2909">
        <f>IF($A1449="","",IF(AND($A1449=21,$AE1449&amp;""="00000000"),IF($AH1449=20,"病院",IF($AH1449=5,"消防","市長")),"対象外"))</f>
      </c>
    </row>
    <row r="1450">
      <c r="DB1450" s="2909">
        <f>IF($A1450="","",IF(AND($A1450=21,$AE1450&amp;""="00000000"),IF($AH1450=20,"病院",IF($AH1450=5,"消防","市長")),"対象外"))</f>
      </c>
    </row>
    <row r="1451">
      <c r="DB1451" s="2909">
        <f>IF($A1451="","",IF(AND($A1451=21,$AE1451&amp;""="00000000"),IF($AH1451=20,"病院",IF($AH1451=5,"消防","市長")),"対象外"))</f>
      </c>
    </row>
    <row r="1452">
      <c r="DB1452" s="2909">
        <f>IF($A1452="","",IF(AND($A1452=21,$AE1452&amp;""="00000000"),IF($AH1452=20,"病院",IF($AH1452=5,"消防","市長")),"対象外"))</f>
      </c>
    </row>
    <row r="1453">
      <c r="DB1453" s="2909">
        <f>IF($A1453="","",IF(AND($A1453=21,$AE1453&amp;""="00000000"),IF($AH1453=20,"病院",IF($AH1453=5,"消防","市長")),"対象外"))</f>
      </c>
    </row>
    <row r="1454">
      <c r="DB1454" s="2909">
        <f>IF($A1454="","",IF(AND($A1454=21,$AE1454&amp;""="00000000"),IF($AH1454=20,"病院",IF($AH1454=5,"消防","市長")),"対象外"))</f>
      </c>
    </row>
    <row r="1455">
      <c r="DB1455" s="2909">
        <f>IF($A1455="","",IF(AND($A1455=21,$AE1455&amp;""="00000000"),IF($AH1455=20,"病院",IF($AH1455=5,"消防","市長")),"対象外"))</f>
      </c>
    </row>
    <row r="1456">
      <c r="DB1456" s="2909">
        <f>IF($A1456="","",IF(AND($A1456=21,$AE1456&amp;""="00000000"),IF($AH1456=20,"病院",IF($AH1456=5,"消防","市長")),"対象外"))</f>
      </c>
    </row>
    <row r="1457">
      <c r="DB1457" s="2909">
        <f>IF($A1457="","",IF(AND($A1457=21,$AE1457&amp;""="00000000"),IF($AH1457=20,"病院",IF($AH1457=5,"消防","市長")),"対象外"))</f>
      </c>
    </row>
    <row r="1458">
      <c r="DB1458" s="2909">
        <f>IF($A1458="","",IF(AND($A1458=21,$AE1458&amp;""="00000000"),IF($AH1458=20,"病院",IF($AH1458=5,"消防","市長")),"対象外"))</f>
      </c>
    </row>
    <row r="1459">
      <c r="DB1459" s="2909">
        <f>IF($A1459="","",IF(AND($A1459=21,$AE1459&amp;""="00000000"),IF($AH1459=20,"病院",IF($AH1459=5,"消防","市長")),"対象外"))</f>
      </c>
    </row>
    <row r="1460">
      <c r="DB1460" s="2909">
        <f>IF($A1460="","",IF(AND($A1460=21,$AE1460&amp;""="00000000"),IF($AH1460=20,"病院",IF($AH1460=5,"消防","市長")),"対象外"))</f>
      </c>
    </row>
    <row r="1461">
      <c r="DB1461" s="2909">
        <f>IF($A1461="","",IF(AND($A1461=21,$AE1461&amp;""="00000000"),IF($AH1461=20,"病院",IF($AH1461=5,"消防","市長")),"対象外"))</f>
      </c>
    </row>
    <row r="1462">
      <c r="DB1462" s="2909">
        <f>IF($A1462="","",IF(AND($A1462=21,$AE1462&amp;""="00000000"),IF($AH1462=20,"病院",IF($AH1462=5,"消防","市長")),"対象外"))</f>
      </c>
    </row>
    <row r="1463">
      <c r="DB1463" s="2909">
        <f>IF($A1463="","",IF(AND($A1463=21,$AE1463&amp;""="00000000"),IF($AH1463=20,"病院",IF($AH1463=5,"消防","市長")),"対象外"))</f>
      </c>
    </row>
    <row r="1464">
      <c r="DB1464" s="2909">
        <f>IF($A1464="","",IF(AND($A1464=21,$AE1464&amp;""="00000000"),IF($AH1464=20,"病院",IF($AH1464=5,"消防","市長")),"対象外"))</f>
      </c>
    </row>
    <row r="1465">
      <c r="DB1465" s="2909">
        <f>IF($A1465="","",IF(AND($A1465=21,$AE1465&amp;""="00000000"),IF($AH1465=20,"病院",IF($AH1465=5,"消防","市長")),"対象外"))</f>
      </c>
    </row>
    <row r="1466">
      <c r="DB1466" s="2909">
        <f>IF($A1466="","",IF(AND($A1466=21,$AE1466&amp;""="00000000"),IF($AH1466=20,"病院",IF($AH1466=5,"消防","市長")),"対象外"))</f>
      </c>
    </row>
    <row r="1467">
      <c r="DB1467" s="2909">
        <f>IF($A1467="","",IF(AND($A1467=21,$AE1467&amp;""="00000000"),IF($AH1467=20,"病院",IF($AH1467=5,"消防","市長")),"対象外"))</f>
      </c>
    </row>
    <row r="1468">
      <c r="DB1468" s="2909">
        <f>IF($A1468="","",IF(AND($A1468=21,$AE1468&amp;""="00000000"),IF($AH1468=20,"病院",IF($AH1468=5,"消防","市長")),"対象外"))</f>
      </c>
    </row>
    <row r="1469">
      <c r="DB1469" s="2909">
        <f>IF($A1469="","",IF(AND($A1469=21,$AE1469&amp;""="00000000"),IF($AH1469=20,"病院",IF($AH1469=5,"消防","市長")),"対象外"))</f>
      </c>
    </row>
    <row r="1470">
      <c r="DB1470" s="2909">
        <f>IF($A1470="","",IF(AND($A1470=21,$AE1470&amp;""="00000000"),IF($AH1470=20,"病院",IF($AH1470=5,"消防","市長")),"対象外"))</f>
      </c>
    </row>
    <row r="1471">
      <c r="DB1471" s="2909">
        <f>IF($A1471="","",IF(AND($A1471=21,$AE1471&amp;""="00000000"),IF($AH1471=20,"病院",IF($AH1471=5,"消防","市長")),"対象外"))</f>
      </c>
    </row>
    <row r="1472">
      <c r="DB1472" s="2909">
        <f>IF($A1472="","",IF(AND($A1472=21,$AE1472&amp;""="00000000"),IF($AH1472=20,"病院",IF($AH1472=5,"消防","市長")),"対象外"))</f>
      </c>
    </row>
    <row r="1473">
      <c r="DB1473" s="2909">
        <f>IF($A1473="","",IF(AND($A1473=21,$AE1473&amp;""="00000000"),IF($AH1473=20,"病院",IF($AH1473=5,"消防","市長")),"対象外"))</f>
      </c>
    </row>
    <row r="1474">
      <c r="DB1474" s="2909">
        <f>IF($A1474="","",IF(AND($A1474=21,$AE1474&amp;""="00000000"),IF($AH1474=20,"病院",IF($AH1474=5,"消防","市長")),"対象外"))</f>
      </c>
    </row>
    <row r="1475">
      <c r="DB1475" s="2909">
        <f>IF($A1475="","",IF(AND($A1475=21,$AE1475&amp;""="00000000"),IF($AH1475=20,"病院",IF($AH1475=5,"消防","市長")),"対象外"))</f>
      </c>
    </row>
    <row r="1476">
      <c r="DB1476" s="2909">
        <f>IF($A1476="","",IF(AND($A1476=21,$AE1476&amp;""="00000000"),IF($AH1476=20,"病院",IF($AH1476=5,"消防","市長")),"対象外"))</f>
      </c>
    </row>
    <row r="1477">
      <c r="DB1477" s="2909">
        <f>IF($A1477="","",IF(AND($A1477=21,$AE1477&amp;""="00000000"),IF($AH1477=20,"病院",IF($AH1477=5,"消防","市長")),"対象外"))</f>
      </c>
    </row>
    <row r="1478">
      <c r="DB1478" s="2909">
        <f>IF($A1478="","",IF(AND($A1478=21,$AE1478&amp;""="00000000"),IF($AH1478=20,"病院",IF($AH1478=5,"消防","市長")),"対象外"))</f>
      </c>
    </row>
    <row r="1479">
      <c r="DB1479" s="2909">
        <f>IF($A1479="","",IF(AND($A1479=21,$AE1479&amp;""="00000000"),IF($AH1479=20,"病院",IF($AH1479=5,"消防","市長")),"対象外"))</f>
      </c>
    </row>
    <row r="1480">
      <c r="DB1480" s="2909">
        <f>IF($A1480="","",IF(AND($A1480=21,$AE1480&amp;""="00000000"),IF($AH1480=20,"病院",IF($AH1480=5,"消防","市長")),"対象外"))</f>
      </c>
    </row>
    <row r="1481">
      <c r="DB1481" s="2909">
        <f>IF($A1481="","",IF(AND($A1481=21,$AE1481&amp;""="00000000"),IF($AH1481=20,"病院",IF($AH1481=5,"消防","市長")),"対象外"))</f>
      </c>
    </row>
    <row r="1482">
      <c r="DB1482" s="2909">
        <f>IF($A1482="","",IF(AND($A1482=21,$AE1482&amp;""="00000000"),IF($AH1482=20,"病院",IF($AH1482=5,"消防","市長")),"対象外"))</f>
      </c>
    </row>
    <row r="1483">
      <c r="DB1483" s="2909">
        <f>IF($A1483="","",IF(AND($A1483=21,$AE1483&amp;""="00000000"),IF($AH1483=20,"病院",IF($AH1483=5,"消防","市長")),"対象外"))</f>
      </c>
    </row>
    <row r="1484">
      <c r="DB1484" s="2909">
        <f>IF($A1484="","",IF(AND($A1484=21,$AE1484&amp;""="00000000"),IF($AH1484=20,"病院",IF($AH1484=5,"消防","市長")),"対象外"))</f>
      </c>
    </row>
    <row r="1485">
      <c r="DB1485" s="2909">
        <f>IF($A1485="","",IF(AND($A1485=21,$AE1485&amp;""="00000000"),IF($AH1485=20,"病院",IF($AH1485=5,"消防","市長")),"対象外"))</f>
      </c>
    </row>
    <row r="1486">
      <c r="DB1486" s="2909">
        <f>IF($A1486="","",IF(AND($A1486=21,$AE1486&amp;""="00000000"),IF($AH1486=20,"病院",IF($AH1486=5,"消防","市長")),"対象外"))</f>
      </c>
    </row>
    <row r="1487">
      <c r="DB1487" s="2909">
        <f>IF($A1487="","",IF(AND($A1487=21,$AE1487&amp;""="00000000"),IF($AH1487=20,"病院",IF($AH1487=5,"消防","市長")),"対象外"))</f>
      </c>
    </row>
    <row r="1488">
      <c r="DB1488" s="2909">
        <f>IF($A1488="","",IF(AND($A1488=21,$AE1488&amp;""="00000000"),IF($AH1488=20,"病院",IF($AH1488=5,"消防","市長")),"対象外"))</f>
      </c>
    </row>
    <row r="1489">
      <c r="DB1489" s="2909">
        <f>IF($A1489="","",IF(AND($A1489=21,$AE1489&amp;""="00000000"),IF($AH1489=20,"病院",IF($AH1489=5,"消防","市長")),"対象外"))</f>
      </c>
    </row>
    <row r="1490">
      <c r="DB1490" s="2909">
        <f>IF($A1490="","",IF(AND($A1490=21,$AE1490&amp;""="00000000"),IF($AH1490=20,"病院",IF($AH1490=5,"消防","市長")),"対象外"))</f>
      </c>
    </row>
    <row r="1491">
      <c r="DB1491" s="2909">
        <f>IF($A1491="","",IF(AND($A1491=21,$AE1491&amp;""="00000000"),IF($AH1491=20,"病院",IF($AH1491=5,"消防","市長")),"対象外"))</f>
      </c>
    </row>
    <row r="1492">
      <c r="DB1492" s="2909">
        <f>IF($A1492="","",IF(AND($A1492=21,$AE1492&amp;""="00000000"),IF($AH1492=20,"病院",IF($AH1492=5,"消防","市長")),"対象外"))</f>
      </c>
    </row>
    <row r="1493">
      <c r="DB1493" s="2909">
        <f>IF($A1493="","",IF(AND($A1493=21,$AE1493&amp;""="00000000"),IF($AH1493=20,"病院",IF($AH1493=5,"消防","市長")),"対象外"))</f>
      </c>
    </row>
    <row r="1494">
      <c r="DB1494" s="2909">
        <f>IF($A1494="","",IF(AND($A1494=21,$AE1494&amp;""="00000000"),IF($AH1494=20,"病院",IF($AH1494=5,"消防","市長")),"対象外"))</f>
      </c>
    </row>
    <row r="1495">
      <c r="DB1495" s="2909">
        <f>IF($A1495="","",IF(AND($A1495=21,$AE1495&amp;""="00000000"),IF($AH1495=20,"病院",IF($AH1495=5,"消防","市長")),"対象外"))</f>
      </c>
    </row>
    <row r="1496">
      <c r="DB1496" s="2909">
        <f>IF($A1496="","",IF(AND($A1496=21,$AE1496&amp;""="00000000"),IF($AH1496=20,"病院",IF($AH1496=5,"消防","市長")),"対象外"))</f>
      </c>
    </row>
    <row r="1497">
      <c r="DB1497" s="2909">
        <f>IF($A1497="","",IF(AND($A1497=21,$AE1497&amp;""="00000000"),IF($AH1497=20,"病院",IF($AH1497=5,"消防","市長")),"対象外"))</f>
      </c>
    </row>
    <row r="1498">
      <c r="DB1498" s="2909">
        <f>IF($A1498="","",IF(AND($A1498=21,$AE1498&amp;""="00000000"),IF($AH1498=20,"病院",IF($AH1498=5,"消防","市長")),"対象外"))</f>
      </c>
    </row>
    <row r="1499">
      <c r="DB1499" s="2909">
        <f>IF($A1499="","",IF(AND($A1499=21,$AE1499&amp;""="00000000"),IF($AH1499=20,"病院",IF($AH1499=5,"消防","市長")),"対象外"))</f>
      </c>
    </row>
    <row r="1500">
      <c r="DB1500" s="2909">
        <f>IF($A1500="","",IF(AND($A1500=21,$AE1500&amp;""="00000000"),IF($AH1500=20,"病院",IF($AH1500=5,"消防","市長")),"対象外"))</f>
      </c>
    </row>
    <row r="1501">
      <c r="DB1501" s="2909">
        <f>IF($A1501="","",IF(AND($A1501=21,$AE1501&amp;""="00000000"),IF($AH1501=20,"病院",IF($AH1501=5,"消防","市長")),"対象外"))</f>
      </c>
    </row>
    <row r="1502">
      <c r="DB1502" s="2909">
        <f>IF($A1502="","",IF(AND($A1502=21,$AE1502&amp;""="00000000"),IF($AH1502=20,"病院",IF($AH1502=5,"消防","市長")),"対象外"))</f>
      </c>
    </row>
    <row r="1503">
      <c r="DB1503" s="2909">
        <f>IF($A1503="","",IF(AND($A1503=21,$AE1503&amp;""="00000000"),IF($AH1503=20,"病院",IF($AH1503=5,"消防","市長")),"対象外"))</f>
      </c>
    </row>
    <row r="1504">
      <c r="DB1504" s="2909">
        <f>IF($A1504="","",IF(AND($A1504=21,$AE1504&amp;""="00000000"),IF($AH1504=20,"病院",IF($AH1504=5,"消防","市長")),"対象外"))</f>
      </c>
    </row>
    <row r="1505">
      <c r="DB1505" s="2909">
        <f>IF($A1505="","",IF(AND($A1505=21,$AE1505&amp;""="00000000"),IF($AH1505=20,"病院",IF($AH1505=5,"消防","市長")),"対象外"))</f>
      </c>
    </row>
    <row r="1506">
      <c r="DB1506" s="2909">
        <f>IF($A1506="","",IF(AND($A1506=21,$AE1506&amp;""="00000000"),IF($AH1506=20,"病院",IF($AH1506=5,"消防","市長")),"対象外"))</f>
      </c>
    </row>
    <row r="1507">
      <c r="DB1507" s="2909">
        <f>IF($A1507="","",IF(AND($A1507=21,$AE1507&amp;""="00000000"),IF($AH1507=20,"病院",IF($AH1507=5,"消防","市長")),"対象外"))</f>
      </c>
    </row>
    <row r="1508">
      <c r="DB1508" s="2909">
        <f>IF($A1508="","",IF(AND($A1508=21,$AE1508&amp;""="00000000"),IF($AH1508=20,"病院",IF($AH1508=5,"消防","市長")),"対象外"))</f>
      </c>
    </row>
    <row r="1509">
      <c r="DB1509" s="2909">
        <f>IF($A1509="","",IF(AND($A1509=21,$AE1509&amp;""="00000000"),IF($AH1509=20,"病院",IF($AH1509=5,"消防","市長")),"対象外"))</f>
      </c>
    </row>
    <row r="1510">
      <c r="DB1510" s="2909">
        <f>IF($A1510="","",IF(AND($A1510=21,$AE1510&amp;""="00000000"),IF($AH1510=20,"病院",IF($AH1510=5,"消防","市長")),"対象外"))</f>
      </c>
    </row>
    <row r="1511">
      <c r="DB1511" s="2909">
        <f>IF($A1511="","",IF(AND($A1511=21,$AE1511&amp;""="00000000"),IF($AH1511=20,"病院",IF($AH1511=5,"消防","市長")),"対象外"))</f>
      </c>
    </row>
    <row r="1512">
      <c r="DB1512" s="2909">
        <f>IF($A1512="","",IF(AND($A1512=21,$AE1512&amp;""="00000000"),IF($AH1512=20,"病院",IF($AH1512=5,"消防","市長")),"対象外"))</f>
      </c>
    </row>
    <row r="1513">
      <c r="DB1513" s="2909">
        <f>IF($A1513="","",IF(AND($A1513=21,$AE1513&amp;""="00000000"),IF($AH1513=20,"病院",IF($AH1513=5,"消防","市長")),"対象外"))</f>
      </c>
    </row>
    <row r="1514">
      <c r="DB1514" s="2909">
        <f>IF($A1514="","",IF(AND($A1514=21,$AE1514&amp;""="00000000"),IF($AH1514=20,"病院",IF($AH1514=5,"消防","市長")),"対象外"))</f>
      </c>
    </row>
    <row r="1515">
      <c r="DB1515" s="2909">
        <f>IF($A1515="","",IF(AND($A1515=21,$AE1515&amp;""="00000000"),IF($AH1515=20,"病院",IF($AH1515=5,"消防","市長")),"対象外"))</f>
      </c>
    </row>
    <row r="1516">
      <c r="DB1516" s="2909">
        <f>IF($A1516="","",IF(AND($A1516=21,$AE1516&amp;""="00000000"),IF($AH1516=20,"病院",IF($AH1516=5,"消防","市長")),"対象外"))</f>
      </c>
    </row>
    <row r="1517">
      <c r="DB1517" s="2909">
        <f>IF($A1517="","",IF(AND($A1517=21,$AE1517&amp;""="00000000"),IF($AH1517=20,"病院",IF($AH1517=5,"消防","市長")),"対象外"))</f>
      </c>
    </row>
    <row r="1518">
      <c r="DB1518" s="2909">
        <f>IF($A1518="","",IF(AND($A1518=21,$AE1518&amp;""="00000000"),IF($AH1518=20,"病院",IF($AH1518=5,"消防","市長")),"対象外"))</f>
      </c>
    </row>
    <row r="1519">
      <c r="DB1519" s="2909">
        <f>IF($A1519="","",IF(AND($A1519=21,$AE1519&amp;""="00000000"),IF($AH1519=20,"病院",IF($AH1519=5,"消防","市長")),"対象外"))</f>
      </c>
    </row>
    <row r="1520">
      <c r="DB1520" s="2909">
        <f>IF($A1520="","",IF(AND($A1520=21,$AE1520&amp;""="00000000"),IF($AH1520=20,"病院",IF($AH1520=5,"消防","市長")),"対象外"))</f>
      </c>
    </row>
    <row r="1521">
      <c r="DB1521" s="2909">
        <f>IF($A1521="","",IF(AND($A1521=21,$AE1521&amp;""="00000000"),IF($AH1521=20,"病院",IF($AH1521=5,"消防","市長")),"対象外"))</f>
      </c>
    </row>
    <row r="1522">
      <c r="DB1522" s="2909">
        <f>IF($A1522="","",IF(AND($A1522=21,$AE1522&amp;""="00000000"),IF($AH1522=20,"病院",IF($AH1522=5,"消防","市長")),"対象外"))</f>
      </c>
    </row>
    <row r="1523">
      <c r="DB1523" s="2909">
        <f>IF($A1523="","",IF(AND($A1523=21,$AE1523&amp;""="00000000"),IF($AH1523=20,"病院",IF($AH1523=5,"消防","市長")),"対象外"))</f>
      </c>
    </row>
    <row r="1524">
      <c r="DB1524" s="2909">
        <f>IF($A1524="","",IF(AND($A1524=21,$AE1524&amp;""="00000000"),IF($AH1524=20,"病院",IF($AH1524=5,"消防","市長")),"対象外"))</f>
      </c>
    </row>
    <row r="1525">
      <c r="DB1525" s="2909">
        <f>IF($A1525="","",IF(AND($A1525=21,$AE1525&amp;""="00000000"),IF($AH1525=20,"病院",IF($AH1525=5,"消防","市長")),"対象外"))</f>
      </c>
    </row>
    <row r="1526">
      <c r="DB1526" s="2909">
        <f>IF($A1526="","",IF(AND($A1526=21,$AE1526&amp;""="00000000"),IF($AH1526=20,"病院",IF($AH1526=5,"消防","市長")),"対象外"))</f>
      </c>
    </row>
    <row r="1527">
      <c r="DB1527" s="2909">
        <f>IF($A1527="","",IF(AND($A1527=21,$AE1527&amp;""="00000000"),IF($AH1527=20,"病院",IF($AH1527=5,"消防","市長")),"対象外"))</f>
      </c>
    </row>
    <row r="1528">
      <c r="DB1528" s="2909">
        <f>IF($A1528="","",IF(AND($A1528=21,$AE1528&amp;""="00000000"),IF($AH1528=20,"病院",IF($AH1528=5,"消防","市長")),"対象外"))</f>
      </c>
    </row>
    <row r="1529">
      <c r="DB1529" s="2909">
        <f>IF($A1529="","",IF(AND($A1529=21,$AE1529&amp;""="00000000"),IF($AH1529=20,"病院",IF($AH1529=5,"消防","市長")),"対象外"))</f>
      </c>
    </row>
    <row r="1530">
      <c r="DB1530" s="2909">
        <f>IF($A1530="","",IF(AND($A1530=21,$AE1530&amp;""="00000000"),IF($AH1530=20,"病院",IF($AH1530=5,"消防","市長")),"対象外"))</f>
      </c>
    </row>
    <row r="1531">
      <c r="DB1531" s="2909">
        <f>IF($A1531="","",IF(AND($A1531=21,$AE1531&amp;""="00000000"),IF($AH1531=20,"病院",IF($AH1531=5,"消防","市長")),"対象外"))</f>
      </c>
    </row>
    <row r="1532">
      <c r="DB1532" s="2909">
        <f>IF($A1532="","",IF(AND($A1532=21,$AE1532&amp;""="00000000"),IF($AH1532=20,"病院",IF($AH1532=5,"消防","市長")),"対象外"))</f>
      </c>
    </row>
    <row r="1533">
      <c r="DB1533" s="2909">
        <f>IF($A1533="","",IF(AND($A1533=21,$AE1533&amp;""="00000000"),IF($AH1533=20,"病院",IF($AH1533=5,"消防","市長")),"対象外"))</f>
      </c>
    </row>
    <row r="1534">
      <c r="DB1534" s="2909">
        <f>IF($A1534="","",IF(AND($A1534=21,$AE1534&amp;""="00000000"),IF($AH1534=20,"病院",IF($AH1534=5,"消防","市長")),"対象外"))</f>
      </c>
    </row>
    <row r="1535">
      <c r="DB1535" s="2909">
        <f>IF($A1535="","",IF(AND($A1535=21,$AE1535&amp;""="00000000"),IF($AH1535=20,"病院",IF($AH1535=5,"消防","市長")),"対象外"))</f>
      </c>
    </row>
    <row r="1536">
      <c r="DB1536" s="2909">
        <f>IF($A1536="","",IF(AND($A1536=21,$AE1536&amp;""="00000000"),IF($AH1536=20,"病院",IF($AH1536=5,"消防","市長")),"対象外"))</f>
      </c>
    </row>
    <row r="1537">
      <c r="DB1537" s="2909">
        <f>IF($A1537="","",IF(AND($A1537=21,$AE1537&amp;""="00000000"),IF($AH1537=20,"病院",IF($AH1537=5,"消防","市長")),"対象外"))</f>
      </c>
    </row>
    <row r="1538">
      <c r="DB1538" s="2909">
        <f>IF($A1538="","",IF(AND($A1538=21,$AE1538&amp;""="00000000"),IF($AH1538=20,"病院",IF($AH1538=5,"消防","市長")),"対象外"))</f>
      </c>
    </row>
    <row r="1539">
      <c r="DB1539" s="2909">
        <f>IF($A1539="","",IF(AND($A1539=21,$AE1539&amp;""="00000000"),IF($AH1539=20,"病院",IF($AH1539=5,"消防","市長")),"対象外"))</f>
      </c>
    </row>
    <row r="1540">
      <c r="DB1540" s="2909">
        <f>IF($A1540="","",IF(AND($A1540=21,$AE1540&amp;""="00000000"),IF($AH1540=20,"病院",IF($AH1540=5,"消防","市長")),"対象外"))</f>
      </c>
    </row>
    <row r="1541">
      <c r="DB1541" s="2909">
        <f>IF($A1541="","",IF(AND($A1541=21,$AE1541&amp;""="00000000"),IF($AH1541=20,"病院",IF($AH1541=5,"消防","市長")),"対象外"))</f>
      </c>
    </row>
    <row r="1542">
      <c r="DB1542" s="2909">
        <f>IF($A1542="","",IF(AND($A1542=21,$AE1542&amp;""="00000000"),IF($AH1542=20,"病院",IF($AH1542=5,"消防","市長")),"対象外"))</f>
      </c>
    </row>
    <row r="1543">
      <c r="DB1543" s="2909">
        <f>IF($A1543="","",IF(AND($A1543=21,$AE1543&amp;""="00000000"),IF($AH1543=20,"病院",IF($AH1543=5,"消防","市長")),"対象外"))</f>
      </c>
    </row>
    <row r="1544">
      <c r="DB1544" s="2909">
        <f>IF($A1544="","",IF(AND($A1544=21,$AE1544&amp;""="00000000"),IF($AH1544=20,"病院",IF($AH1544=5,"消防","市長")),"対象外"))</f>
      </c>
    </row>
    <row r="1545">
      <c r="DB1545" s="2909">
        <f>IF($A1545="","",IF(AND($A1545=21,$AE1545&amp;""="00000000"),IF($AH1545=20,"病院",IF($AH1545=5,"消防","市長")),"対象外"))</f>
      </c>
    </row>
    <row r="1546">
      <c r="DB1546" s="2909">
        <f>IF($A1546="","",IF(AND($A1546=21,$AE1546&amp;""="00000000"),IF($AH1546=20,"病院",IF($AH1546=5,"消防","市長")),"対象外"))</f>
      </c>
    </row>
    <row r="1547">
      <c r="DB1547" s="2909">
        <f>IF($A1547="","",IF(AND($A1547=21,$AE1547&amp;""="00000000"),IF($AH1547=20,"病院",IF($AH1547=5,"消防","市長")),"対象外"))</f>
      </c>
    </row>
    <row r="1548">
      <c r="DB1548" s="2909">
        <f>IF($A1548="","",IF(AND($A1548=21,$AE1548&amp;""="00000000"),IF($AH1548=20,"病院",IF($AH1548=5,"消防","市長")),"対象外"))</f>
      </c>
    </row>
    <row r="1549">
      <c r="DB1549" s="2909">
        <f>IF($A1549="","",IF(AND($A1549=21,$AE1549&amp;""="00000000"),IF($AH1549=20,"病院",IF($AH1549=5,"消防","市長")),"対象外"))</f>
      </c>
    </row>
    <row r="1550">
      <c r="DB1550" s="2909">
        <f>IF($A1550="","",IF(AND($A1550=21,$AE1550&amp;""="00000000"),IF($AH1550=20,"病院",IF($AH1550=5,"消防","市長")),"対象外"))</f>
      </c>
    </row>
    <row r="1551">
      <c r="DB1551" s="2909">
        <f>IF($A1551="","",IF(AND($A1551=21,$AE1551&amp;""="00000000"),IF($AH1551=20,"病院",IF($AH1551=5,"消防","市長")),"対象外"))</f>
      </c>
    </row>
    <row r="1552">
      <c r="DB1552" s="2909">
        <f>IF($A1552="","",IF(AND($A1552=21,$AE1552&amp;""="00000000"),IF($AH1552=20,"病院",IF($AH1552=5,"消防","市長")),"対象外"))</f>
      </c>
    </row>
    <row r="1553">
      <c r="DB1553" s="2909">
        <f>IF($A1553="","",IF(AND($A1553=21,$AE1553&amp;""="00000000"),IF($AH1553=20,"病院",IF($AH1553=5,"消防","市長")),"対象外"))</f>
      </c>
    </row>
    <row r="1554">
      <c r="DB1554" s="2909">
        <f>IF($A1554="","",IF(AND($A1554=21,$AE1554&amp;""="00000000"),IF($AH1554=20,"病院",IF($AH1554=5,"消防","市長")),"対象外"))</f>
      </c>
    </row>
    <row r="1555">
      <c r="DB1555" s="2909">
        <f>IF($A1555="","",IF(AND($A1555=21,$AE1555&amp;""="00000000"),IF($AH1555=20,"病院",IF($AH1555=5,"消防","市長")),"対象外"))</f>
      </c>
    </row>
    <row r="1556">
      <c r="DB1556" s="2909">
        <f>IF($A1556="","",IF(AND($A1556=21,$AE1556&amp;""="00000000"),IF($AH1556=20,"病院",IF($AH1556=5,"消防","市長")),"対象外"))</f>
      </c>
    </row>
    <row r="1557">
      <c r="DB1557" s="2909">
        <f>IF($A1557="","",IF(AND($A1557=21,$AE1557&amp;""="00000000"),IF($AH1557=20,"病院",IF($AH1557=5,"消防","市長")),"対象外"))</f>
      </c>
    </row>
    <row r="1558">
      <c r="DB1558" s="2909">
        <f>IF($A1558="","",IF(AND($A1558=21,$AE1558&amp;""="00000000"),IF($AH1558=20,"病院",IF($AH1558=5,"消防","市長")),"対象外"))</f>
      </c>
    </row>
    <row r="1559">
      <c r="DB1559" s="2909">
        <f>IF($A1559="","",IF(AND($A1559=21,$AE1559&amp;""="00000000"),IF($AH1559=20,"病院",IF($AH1559=5,"消防","市長")),"対象外"))</f>
      </c>
    </row>
    <row r="1560">
      <c r="DB1560" s="2909">
        <f>IF($A1560="","",IF(AND($A1560=21,$AE1560&amp;""="00000000"),IF($AH1560=20,"病院",IF($AH1560=5,"消防","市長")),"対象外"))</f>
      </c>
    </row>
    <row r="1561">
      <c r="DB1561" s="2909">
        <f>IF($A1561="","",IF(AND($A1561=21,$AE1561&amp;""="00000000"),IF($AH1561=20,"病院",IF($AH1561=5,"消防","市長")),"対象外"))</f>
      </c>
    </row>
    <row r="1562">
      <c r="DB1562" s="2909">
        <f>IF($A1562="","",IF(AND($A1562=21,$AE1562&amp;""="00000000"),IF($AH1562=20,"病院",IF($AH1562=5,"消防","市長")),"対象外"))</f>
      </c>
    </row>
    <row r="1563">
      <c r="DB1563" s="2909">
        <f>IF($A1563="","",IF(AND($A1563=21,$AE1563&amp;""="00000000"),IF($AH1563=20,"病院",IF($AH1563=5,"消防","市長")),"対象外"))</f>
      </c>
    </row>
    <row r="1564">
      <c r="DB1564" s="2909">
        <f>IF($A1564="","",IF(AND($A1564=21,$AE1564&amp;""="00000000"),IF($AH1564=20,"病院",IF($AH1564=5,"消防","市長")),"対象外"))</f>
      </c>
    </row>
    <row r="1565">
      <c r="DB1565" s="2909">
        <f>IF($A1565="","",IF(AND($A1565=21,$AE1565&amp;""="00000000"),IF($AH1565=20,"病院",IF($AH1565=5,"消防","市長")),"対象外"))</f>
      </c>
    </row>
    <row r="1566">
      <c r="DB1566" s="2909">
        <f>IF($A1566="","",IF(AND($A1566=21,$AE1566&amp;""="00000000"),IF($AH1566=20,"病院",IF($AH1566=5,"消防","市長")),"対象外"))</f>
      </c>
    </row>
    <row r="1567">
      <c r="DB1567" s="2909">
        <f>IF($A1567="","",IF(AND($A1567=21,$AE1567&amp;""="00000000"),IF($AH1567=20,"病院",IF($AH1567=5,"消防","市長")),"対象外"))</f>
      </c>
    </row>
    <row r="1568">
      <c r="DB1568" s="2909">
        <f>IF($A1568="","",IF(AND($A1568=21,$AE1568&amp;""="00000000"),IF($AH1568=20,"病院",IF($AH1568=5,"消防","市長")),"対象外"))</f>
      </c>
    </row>
    <row r="1569">
      <c r="DB1569" s="2909">
        <f>IF($A1569="","",IF(AND($A1569=21,$AE1569&amp;""="00000000"),IF($AH1569=20,"病院",IF($AH1569=5,"消防","市長")),"対象外"))</f>
      </c>
    </row>
    <row r="1570">
      <c r="DB1570" s="2909">
        <f>IF($A1570="","",IF(AND($A1570=21,$AE1570&amp;""="00000000"),IF($AH1570=20,"病院",IF($AH1570=5,"消防","市長")),"対象外"))</f>
      </c>
    </row>
    <row r="1571">
      <c r="DB1571" s="2909">
        <f>IF($A1571="","",IF(AND($A1571=21,$AE1571&amp;""="00000000"),IF($AH1571=20,"病院",IF($AH1571=5,"消防","市長")),"対象外"))</f>
      </c>
    </row>
    <row r="1572">
      <c r="DB1572" s="2909">
        <f>IF($A1572="","",IF(AND($A1572=21,$AE1572&amp;""="00000000"),IF($AH1572=20,"病院",IF($AH1572=5,"消防","市長")),"対象外"))</f>
      </c>
    </row>
    <row r="1573">
      <c r="DB1573" s="2909">
        <f>IF($A1573="","",IF(AND($A1573=21,$AE1573&amp;""="00000000"),IF($AH1573=20,"病院",IF($AH1573=5,"消防","市長")),"対象外"))</f>
      </c>
    </row>
    <row r="1574">
      <c r="DB1574" s="2909">
        <f>IF($A1574="","",IF(AND($A1574=21,$AE1574&amp;""="00000000"),IF($AH1574=20,"病院",IF($AH1574=5,"消防","市長")),"対象外"))</f>
      </c>
    </row>
    <row r="1575">
      <c r="DB1575" s="2909">
        <f>IF($A1575="","",IF(AND($A1575=21,$AE1575&amp;""="00000000"),IF($AH1575=20,"病院",IF($AH1575=5,"消防","市長")),"対象外"))</f>
      </c>
    </row>
    <row r="1576">
      <c r="DB1576" s="2909">
        <f>IF($A1576="","",IF(AND($A1576=21,$AE1576&amp;""="00000000"),IF($AH1576=20,"病院",IF($AH1576=5,"消防","市長")),"対象外"))</f>
      </c>
    </row>
    <row r="1577">
      <c r="DB1577" s="2909">
        <f>IF($A1577="","",IF(AND($A1577=21,$AE1577&amp;""="00000000"),IF($AH1577=20,"病院",IF($AH1577=5,"消防","市長")),"対象外"))</f>
      </c>
    </row>
    <row r="1578">
      <c r="DB1578" s="2909">
        <f>IF($A1578="","",IF(AND($A1578=21,$AE1578&amp;""="00000000"),IF($AH1578=20,"病院",IF($AH1578=5,"消防","市長")),"対象外"))</f>
      </c>
    </row>
    <row r="1579">
      <c r="DB1579" s="2909">
        <f>IF($A1579="","",IF(AND($A1579=21,$AE1579&amp;""="00000000"),IF($AH1579=20,"病院",IF($AH1579=5,"消防","市長")),"対象外"))</f>
      </c>
    </row>
    <row r="1580">
      <c r="DB1580" s="2909">
        <f>IF($A1580="","",IF(AND($A1580=21,$AE1580&amp;""="00000000"),IF($AH1580=20,"病院",IF($AH1580=5,"消防","市長")),"対象外"))</f>
      </c>
    </row>
    <row r="1581">
      <c r="DB1581" s="2909">
        <f>IF($A1581="","",IF(AND($A1581=21,$AE1581&amp;""="00000000"),IF($AH1581=20,"病院",IF($AH1581=5,"消防","市長")),"対象外"))</f>
      </c>
    </row>
    <row r="1582">
      <c r="DB1582" s="2909">
        <f>IF($A1582="","",IF(AND($A1582=21,$AE1582&amp;""="00000000"),IF($AH1582=20,"病院",IF($AH1582=5,"消防","市長")),"対象外"))</f>
      </c>
    </row>
    <row r="1583">
      <c r="DB1583" s="2909">
        <f>IF($A1583="","",IF(AND($A1583=21,$AE1583&amp;""="00000000"),IF($AH1583=20,"病院",IF($AH1583=5,"消防","市長")),"対象外"))</f>
      </c>
    </row>
    <row r="1584">
      <c r="DB1584" s="2909">
        <f>IF($A1584="","",IF(AND($A1584=21,$AE1584&amp;""="00000000"),IF($AH1584=20,"病院",IF($AH1584=5,"消防","市長")),"対象外"))</f>
      </c>
    </row>
    <row r="1585">
      <c r="DB1585" s="2909">
        <f>IF($A1585="","",IF(AND($A1585=21,$AE1585&amp;""="00000000"),IF($AH1585=20,"病院",IF($AH1585=5,"消防","市長")),"対象外"))</f>
      </c>
    </row>
    <row r="1586">
      <c r="DB1586" s="2909">
        <f>IF($A1586="","",IF(AND($A1586=21,$AE1586&amp;""="00000000"),IF($AH1586=20,"病院",IF($AH1586=5,"消防","市長")),"対象外"))</f>
      </c>
    </row>
    <row r="1587">
      <c r="DB1587" s="2909">
        <f>IF($A1587="","",IF(AND($A1587=21,$AE1587&amp;""="00000000"),IF($AH1587=20,"病院",IF($AH1587=5,"消防","市長")),"対象外"))</f>
      </c>
    </row>
    <row r="1588">
      <c r="DB1588" s="2909">
        <f>IF($A1588="","",IF(AND($A1588=21,$AE1588&amp;""="00000000"),IF($AH1588=20,"病院",IF($AH1588=5,"消防","市長")),"対象外"))</f>
      </c>
    </row>
    <row r="1589">
      <c r="DB1589" s="2909">
        <f>IF($A1589="","",IF(AND($A1589=21,$AE1589&amp;""="00000000"),IF($AH1589=20,"病院",IF($AH1589=5,"消防","市長")),"対象外"))</f>
      </c>
    </row>
    <row r="1590">
      <c r="DB1590" s="2909">
        <f>IF($A1590="","",IF(AND($A1590=21,$AE1590&amp;""="00000000"),IF($AH1590=20,"病院",IF($AH1590=5,"消防","市長")),"対象外"))</f>
      </c>
    </row>
    <row r="1591">
      <c r="DB1591" s="2909">
        <f>IF($A1591="","",IF(AND($A1591=21,$AE1591&amp;""="00000000"),IF($AH1591=20,"病院",IF($AH1591=5,"消防","市長")),"対象外"))</f>
      </c>
    </row>
    <row r="1592">
      <c r="DB1592" s="2909">
        <f>IF($A1592="","",IF(AND($A1592=21,$AE1592&amp;""="00000000"),IF($AH1592=20,"病院",IF($AH1592=5,"消防","市長")),"対象外"))</f>
      </c>
    </row>
    <row r="1593">
      <c r="DB1593" s="2909">
        <f>IF($A1593="","",IF(AND($A1593=21,$AE1593&amp;""="00000000"),IF($AH1593=20,"病院",IF($AH1593=5,"消防","市長")),"対象外"))</f>
      </c>
    </row>
    <row r="1594">
      <c r="DB1594" s="2909">
        <f>IF($A1594="","",IF(AND($A1594=21,$AE1594&amp;""="00000000"),IF($AH1594=20,"病院",IF($AH1594=5,"消防","市長")),"対象外"))</f>
      </c>
    </row>
    <row r="1595">
      <c r="DB1595" s="2909">
        <f>IF($A1595="","",IF(AND($A1595=21,$AE1595&amp;""="00000000"),IF($AH1595=20,"病院",IF($AH1595=5,"消防","市長")),"対象外"))</f>
      </c>
    </row>
    <row r="1596">
      <c r="DB1596" s="2909">
        <f>IF($A1596="","",IF(AND($A1596=21,$AE1596&amp;""="00000000"),IF($AH1596=20,"病院",IF($AH1596=5,"消防","市長")),"対象外"))</f>
      </c>
    </row>
    <row r="1597">
      <c r="DB1597" s="2909">
        <f>IF($A1597="","",IF(AND($A1597=21,$AE1597&amp;""="00000000"),IF($AH1597=20,"病院",IF($AH1597=5,"消防","市長")),"対象外"))</f>
      </c>
    </row>
    <row r="1598">
      <c r="DB1598" s="2909">
        <f>IF($A1598="","",IF(AND($A1598=21,$AE1598&amp;""="00000000"),IF($AH1598=20,"病院",IF($AH1598=5,"消防","市長")),"対象外"))</f>
      </c>
    </row>
    <row r="1599">
      <c r="DB1599" s="2909">
        <f>IF($A1599="","",IF(AND($A1599=21,$AE1599&amp;""="00000000"),IF($AH1599=20,"病院",IF($AH1599=5,"消防","市長")),"対象外"))</f>
      </c>
    </row>
    <row r="1600">
      <c r="DB1600" s="2909">
        <f>IF($A1600="","",IF(AND($A1600=21,$AE1600&amp;""="00000000"),IF($AH1600=20,"病院",IF($AH1600=5,"消防","市長")),"対象外"))</f>
      </c>
    </row>
    <row r="1601">
      <c r="DB1601" s="2909">
        <f>IF($A1601="","",IF(AND($A1601=21,$AE1601&amp;""="00000000"),IF($AH1601=20,"病院",IF($AH1601=5,"消防","市長")),"対象外"))</f>
      </c>
    </row>
    <row r="1602">
      <c r="DB1602" s="2909">
        <f>IF($A1602="","",IF(AND($A1602=21,$AE1602&amp;""="00000000"),IF($AH1602=20,"病院",IF($AH1602=5,"消防","市長")),"対象外"))</f>
      </c>
    </row>
    <row r="1603">
      <c r="DB1603" s="2909">
        <f>IF($A1603="","",IF(AND($A1603=21,$AE1603&amp;""="00000000"),IF($AH1603=20,"病院",IF($AH1603=5,"消防","市長")),"対象外"))</f>
      </c>
    </row>
    <row r="1604">
      <c r="DB1604" s="2909">
        <f>IF($A1604="","",IF(AND($A1604=21,$AE1604&amp;""="00000000"),IF($AH1604=20,"病院",IF($AH1604=5,"消防","市長")),"対象外"))</f>
      </c>
    </row>
    <row r="1605">
      <c r="DB1605" s="2909">
        <f>IF($A1605="","",IF(AND($A1605=21,$AE1605&amp;""="00000000"),IF($AH1605=20,"病院",IF($AH1605=5,"消防","市長")),"対象外"))</f>
      </c>
    </row>
    <row r="1606">
      <c r="DB1606" s="2909">
        <f>IF($A1606="","",IF(AND($A1606=21,$AE1606&amp;""="00000000"),IF($AH1606=20,"病院",IF($AH1606=5,"消防","市長")),"対象外"))</f>
      </c>
    </row>
    <row r="1607">
      <c r="DB1607" s="2909">
        <f>IF($A1607="","",IF(AND($A1607=21,$AE1607&amp;""="00000000"),IF($AH1607=20,"病院",IF($AH1607=5,"消防","市長")),"対象外"))</f>
      </c>
    </row>
    <row r="1608">
      <c r="DB1608" s="2909">
        <f>IF($A1608="","",IF(AND($A1608=21,$AE1608&amp;""="00000000"),IF($AH1608=20,"病院",IF($AH1608=5,"消防","市長")),"対象外"))</f>
      </c>
    </row>
    <row r="1609">
      <c r="DB1609" s="2909">
        <f>IF($A1609="","",IF(AND($A1609=21,$AE1609&amp;""="00000000"),IF($AH1609=20,"病院",IF($AH1609=5,"消防","市長")),"対象外"))</f>
      </c>
    </row>
    <row r="1610">
      <c r="DB1610" s="2909">
        <f>IF($A1610="","",IF(AND($A1610=21,$AE1610&amp;""="00000000"),IF($AH1610=20,"病院",IF($AH1610=5,"消防","市長")),"対象外"))</f>
      </c>
    </row>
    <row r="1611">
      <c r="DB1611" s="2909">
        <f>IF($A1611="","",IF(AND($A1611=21,$AE1611&amp;""="00000000"),IF($AH1611=20,"病院",IF($AH1611=5,"消防","市長")),"対象外"))</f>
      </c>
    </row>
    <row r="1612">
      <c r="DB1612" s="2909">
        <f>IF($A1612="","",IF(AND($A1612=21,$AE1612&amp;""="00000000"),IF($AH1612=20,"病院",IF($AH1612=5,"消防","市長")),"対象外"))</f>
      </c>
    </row>
    <row r="1613">
      <c r="DB1613" s="2909">
        <f>IF($A1613="","",IF(AND($A1613=21,$AE1613&amp;""="00000000"),IF($AH1613=20,"病院",IF($AH1613=5,"消防","市長")),"対象外"))</f>
      </c>
    </row>
    <row r="1614">
      <c r="DB1614" s="2909">
        <f>IF($A1614="","",IF(AND($A1614=21,$AE1614&amp;""="00000000"),IF($AH1614=20,"病院",IF($AH1614=5,"消防","市長")),"対象外"))</f>
      </c>
    </row>
    <row r="1615">
      <c r="DB1615" s="2909">
        <f>IF($A1615="","",IF(AND($A1615=21,$AE1615&amp;""="00000000"),IF($AH1615=20,"病院",IF($AH1615=5,"消防","市長")),"対象外"))</f>
      </c>
    </row>
    <row r="1616">
      <c r="DB1616" s="2909">
        <f>IF($A1616="","",IF(AND($A1616=21,$AE1616&amp;""="00000000"),IF($AH1616=20,"病院",IF($AH1616=5,"消防","市長")),"対象外"))</f>
      </c>
    </row>
    <row r="1617">
      <c r="DB1617" s="2909">
        <f>IF($A1617="","",IF(AND($A1617=21,$AE1617&amp;""="00000000"),IF($AH1617=20,"病院",IF($AH1617=5,"消防","市長")),"対象外"))</f>
      </c>
    </row>
    <row r="1618">
      <c r="DB1618" s="2909">
        <f>IF($A1618="","",IF(AND($A1618=21,$AE1618&amp;""="00000000"),IF($AH1618=20,"病院",IF($AH1618=5,"消防","市長")),"対象外"))</f>
      </c>
    </row>
    <row r="1619">
      <c r="DB1619" s="2909">
        <f>IF($A1619="","",IF(AND($A1619=21,$AE1619&amp;""="00000000"),IF($AH1619=20,"病院",IF($AH1619=5,"消防","市長")),"対象外"))</f>
      </c>
    </row>
    <row r="1620">
      <c r="DB1620" s="2909">
        <f>IF($A1620="","",IF(AND($A1620=21,$AE1620&amp;""="00000000"),IF($AH1620=20,"病院",IF($AH1620=5,"消防","市長")),"対象外"))</f>
      </c>
    </row>
    <row r="1621">
      <c r="DB1621" s="2909">
        <f>IF($A1621="","",IF(AND($A1621=21,$AE1621&amp;""="00000000"),IF($AH1621=20,"病院",IF($AH1621=5,"消防","市長")),"対象外"))</f>
      </c>
    </row>
    <row r="1622">
      <c r="DB1622" s="2909">
        <f>IF($A1622="","",IF(AND($A1622=21,$AE1622&amp;""="00000000"),IF($AH1622=20,"病院",IF($AH1622=5,"消防","市長")),"対象外"))</f>
      </c>
    </row>
    <row r="1623">
      <c r="DB1623" s="2909">
        <f>IF($A1623="","",IF(AND($A1623=21,$AE1623&amp;""="00000000"),IF($AH1623=20,"病院",IF($AH1623=5,"消防","市長")),"対象外"))</f>
      </c>
    </row>
    <row r="1624">
      <c r="DB1624" s="2909">
        <f>IF($A1624="","",IF(AND($A1624=21,$AE1624&amp;""="00000000"),IF($AH1624=20,"病院",IF($AH1624=5,"消防","市長")),"対象外"))</f>
      </c>
    </row>
    <row r="1625">
      <c r="DB1625" s="2909">
        <f>IF($A1625="","",IF(AND($A1625=21,$AE1625&amp;""="00000000"),IF($AH1625=20,"病院",IF($AH1625=5,"消防","市長")),"対象外"))</f>
      </c>
    </row>
    <row r="1626">
      <c r="DB1626" s="2909">
        <f>IF($A1626="","",IF(AND($A1626=21,$AE1626&amp;""="00000000"),IF($AH1626=20,"病院",IF($AH1626=5,"消防","市長")),"対象外"))</f>
      </c>
    </row>
    <row r="1627">
      <c r="DB1627" s="2909">
        <f>IF($A1627="","",IF(AND($A1627=21,$AE1627&amp;""="00000000"),IF($AH1627=20,"病院",IF($AH1627=5,"消防","市長")),"対象外"))</f>
      </c>
    </row>
    <row r="1628">
      <c r="DB1628" s="2909">
        <f>IF($A1628="","",IF(AND($A1628=21,$AE1628&amp;""="00000000"),IF($AH1628=20,"病院",IF($AH1628=5,"消防","市長")),"対象外"))</f>
      </c>
    </row>
    <row r="1629">
      <c r="DB1629" s="2909">
        <f>IF($A1629="","",IF(AND($A1629=21,$AE1629&amp;""="00000000"),IF($AH1629=20,"病院",IF($AH1629=5,"消防","市長")),"対象外"))</f>
      </c>
    </row>
    <row r="1630">
      <c r="DB1630" s="2909">
        <f>IF($A1630="","",IF(AND($A1630=21,$AE1630&amp;""="00000000"),IF($AH1630=20,"病院",IF($AH1630=5,"消防","市長")),"対象外"))</f>
      </c>
    </row>
    <row r="1631">
      <c r="DB1631" s="2909">
        <f>IF($A1631="","",IF(AND($A1631=21,$AE1631&amp;""="00000000"),IF($AH1631=20,"病院",IF($AH1631=5,"消防","市長")),"対象外"))</f>
      </c>
    </row>
    <row r="1632">
      <c r="DB1632" s="2909">
        <f>IF($A1632="","",IF(AND($A1632=21,$AE1632&amp;""="00000000"),IF($AH1632=20,"病院",IF($AH1632=5,"消防","市長")),"対象外"))</f>
      </c>
    </row>
    <row r="1633">
      <c r="DB1633" s="2909">
        <f>IF($A1633="","",IF(AND($A1633=21,$AE1633&amp;""="00000000"),IF($AH1633=20,"病院",IF($AH1633=5,"消防","市長")),"対象外"))</f>
      </c>
    </row>
    <row r="1634">
      <c r="DB1634" s="2909">
        <f>IF($A1634="","",IF(AND($A1634=21,$AE1634&amp;""="00000000"),IF($AH1634=20,"病院",IF($AH1634=5,"消防","市長")),"対象外"))</f>
      </c>
    </row>
    <row r="1635">
      <c r="DB1635" s="2909">
        <f>IF($A1635="","",IF(AND($A1635=21,$AE1635&amp;""="00000000"),IF($AH1635=20,"病院",IF($AH1635=5,"消防","市長")),"対象外"))</f>
      </c>
    </row>
    <row r="1636">
      <c r="DB1636" s="2909">
        <f>IF($A1636="","",IF(AND($A1636=21,$AE1636&amp;""="00000000"),IF($AH1636=20,"病院",IF($AH1636=5,"消防","市長")),"対象外"))</f>
      </c>
    </row>
    <row r="1637">
      <c r="DB1637" s="2909">
        <f>IF($A1637="","",IF(AND($A1637=21,$AE1637&amp;""="00000000"),IF($AH1637=20,"病院",IF($AH1637=5,"消防","市長")),"対象外"))</f>
      </c>
    </row>
    <row r="1638">
      <c r="DB1638" s="2909">
        <f>IF($A1638="","",IF(AND($A1638=21,$AE1638&amp;""="00000000"),IF($AH1638=20,"病院",IF($AH1638=5,"消防","市長")),"対象外"))</f>
      </c>
    </row>
    <row r="1639">
      <c r="DB1639" s="2909">
        <f>IF($A1639="","",IF(AND($A1639=21,$AE1639&amp;""="00000000"),IF($AH1639=20,"病院",IF($AH1639=5,"消防","市長")),"対象外"))</f>
      </c>
    </row>
    <row r="1640">
      <c r="DB1640" s="2909">
        <f>IF($A1640="","",IF(AND($A1640=21,$AE1640&amp;""="00000000"),IF($AH1640=20,"病院",IF($AH1640=5,"消防","市長")),"対象外"))</f>
      </c>
    </row>
    <row r="1641">
      <c r="DB1641" s="2909">
        <f>IF($A1641="","",IF(AND($A1641=21,$AE1641&amp;""="00000000"),IF($AH1641=20,"病院",IF($AH1641=5,"消防","市長")),"対象外"))</f>
      </c>
    </row>
    <row r="1642">
      <c r="DB1642" s="2909">
        <f>IF($A1642="","",IF(AND($A1642=21,$AE1642&amp;""="00000000"),IF($AH1642=20,"病院",IF($AH1642=5,"消防","市長")),"対象外"))</f>
      </c>
    </row>
    <row r="1643">
      <c r="DB1643" s="2909">
        <f>IF($A1643="","",IF(AND($A1643=21,$AE1643&amp;""="00000000"),IF($AH1643=20,"病院",IF($AH1643=5,"消防","市長")),"対象外"))</f>
      </c>
    </row>
    <row r="1644">
      <c r="DB1644" s="2909">
        <f>IF($A1644="","",IF(AND($A1644=21,$AE1644&amp;""="00000000"),IF($AH1644=20,"病院",IF($AH1644=5,"消防","市長")),"対象外"))</f>
      </c>
    </row>
    <row r="1645">
      <c r="DB1645" s="2909">
        <f>IF($A1645="","",IF(AND($A1645=21,$AE1645&amp;""="00000000"),IF($AH1645=20,"病院",IF($AH1645=5,"消防","市長")),"対象外"))</f>
      </c>
    </row>
    <row r="1646">
      <c r="DB1646" s="2909">
        <f>IF($A1646="","",IF(AND($A1646=21,$AE1646&amp;""="00000000"),IF($AH1646=20,"病院",IF($AH1646=5,"消防","市長")),"対象外"))</f>
      </c>
    </row>
    <row r="1647">
      <c r="DB1647" s="2909">
        <f>IF($A1647="","",IF(AND($A1647=21,$AE1647&amp;""="00000000"),IF($AH1647=20,"病院",IF($AH1647=5,"消防","市長")),"対象外"))</f>
      </c>
    </row>
    <row r="1648">
      <c r="DB1648" s="2909">
        <f>IF($A1648="","",IF(AND($A1648=21,$AE1648&amp;""="00000000"),IF($AH1648=20,"病院",IF($AH1648=5,"消防","市長")),"対象外"))</f>
      </c>
    </row>
    <row r="1649">
      <c r="DB1649" s="2909">
        <f>IF($A1649="","",IF(AND($A1649=21,$AE1649&amp;""="00000000"),IF($AH1649=20,"病院",IF($AH1649=5,"消防","市長")),"対象外"))</f>
      </c>
    </row>
    <row r="1650">
      <c r="DB1650" s="2909">
        <f>IF($A1650="","",IF(AND($A1650=21,$AE1650&amp;""="00000000"),IF($AH1650=20,"病院",IF($AH1650=5,"消防","市長")),"対象外"))</f>
      </c>
    </row>
    <row r="1651">
      <c r="DB1651" s="2909">
        <f>IF($A1651="","",IF(AND($A1651=21,$AE1651&amp;""="00000000"),IF($AH1651=20,"病院",IF($AH1651=5,"消防","市長")),"対象外"))</f>
      </c>
    </row>
    <row r="1652">
      <c r="DB1652" s="2909">
        <f>IF($A1652="","",IF(AND($A1652=21,$AE1652&amp;""="00000000"),IF($AH1652=20,"病院",IF($AH1652=5,"消防","市長")),"対象外"))</f>
      </c>
    </row>
    <row r="1653">
      <c r="DB1653" s="2909">
        <f>IF($A1653="","",IF(AND($A1653=21,$AE1653&amp;""="00000000"),IF($AH1653=20,"病院",IF($AH1653=5,"消防","市長")),"対象外"))</f>
      </c>
    </row>
    <row r="1654">
      <c r="DB1654" s="2909">
        <f>IF($A1654="","",IF(AND($A1654=21,$AE1654&amp;""="00000000"),IF($AH1654=20,"病院",IF($AH1654=5,"消防","市長")),"対象外"))</f>
      </c>
    </row>
    <row r="1655">
      <c r="DB1655" s="2909">
        <f>IF($A1655="","",IF(AND($A1655=21,$AE1655&amp;""="00000000"),IF($AH1655=20,"病院",IF($AH1655=5,"消防","市長")),"対象外"))</f>
      </c>
    </row>
    <row r="1656">
      <c r="DB1656" s="2909">
        <f>IF($A1656="","",IF(AND($A1656=21,$AE1656&amp;""="00000000"),IF($AH1656=20,"病院",IF($AH1656=5,"消防","市長")),"対象外"))</f>
      </c>
    </row>
    <row r="1657">
      <c r="DB1657" s="2909">
        <f>IF($A1657="","",IF(AND($A1657=21,$AE1657&amp;""="00000000"),IF($AH1657=20,"病院",IF($AH1657=5,"消防","市長")),"対象外"))</f>
      </c>
    </row>
    <row r="1658">
      <c r="DB1658" s="2909">
        <f>IF($A1658="","",IF(AND($A1658=21,$AE1658&amp;""="00000000"),IF($AH1658=20,"病院",IF($AH1658=5,"消防","市長")),"対象外"))</f>
      </c>
    </row>
    <row r="1659">
      <c r="DB1659" s="2909">
        <f>IF($A1659="","",IF(AND($A1659=21,$AE1659&amp;""="00000000"),IF($AH1659=20,"病院",IF($AH1659=5,"消防","市長")),"対象外"))</f>
      </c>
    </row>
    <row r="1660">
      <c r="DB1660" s="2909">
        <f>IF($A1660="","",IF(AND($A1660=21,$AE1660&amp;""="00000000"),IF($AH1660=20,"病院",IF($AH1660=5,"消防","市長")),"対象外"))</f>
      </c>
    </row>
    <row r="1661">
      <c r="DB1661" s="2909">
        <f>IF($A1661="","",IF(AND($A1661=21,$AE1661&amp;""="00000000"),IF($AH1661=20,"病院",IF($AH1661=5,"消防","市長")),"対象外"))</f>
      </c>
    </row>
    <row r="1662">
      <c r="DB1662" s="2909">
        <f>IF($A1662="","",IF(AND($A1662=21,$AE1662&amp;""="00000000"),IF($AH1662=20,"病院",IF($AH1662=5,"消防","市長")),"対象外"))</f>
      </c>
    </row>
    <row r="1663">
      <c r="DB1663" s="2909">
        <f>IF($A1663="","",IF(AND($A1663=21,$AE1663&amp;""="00000000"),IF($AH1663=20,"病院",IF($AH1663=5,"消防","市長")),"対象外"))</f>
      </c>
    </row>
    <row r="1664">
      <c r="DB1664" s="2909">
        <f>IF($A1664="","",IF(AND($A1664=21,$AE1664&amp;""="00000000"),IF($AH1664=20,"病院",IF($AH1664=5,"消防","市長")),"対象外"))</f>
      </c>
    </row>
    <row r="1665">
      <c r="DB1665" s="2909">
        <f>IF($A1665="","",IF(AND($A1665=21,$AE1665&amp;""="00000000"),IF($AH1665=20,"病院",IF($AH1665=5,"消防","市長")),"対象外"))</f>
      </c>
    </row>
    <row r="1666">
      <c r="DB1666" s="2909">
        <f>IF($A1666="","",IF(AND($A1666=21,$AE1666&amp;""="00000000"),IF($AH1666=20,"病院",IF($AH1666=5,"消防","市長")),"対象外"))</f>
      </c>
    </row>
    <row r="1667">
      <c r="DB1667" s="2909">
        <f>IF($A1667="","",IF(AND($A1667=21,$AE1667&amp;""="00000000"),IF($AH1667=20,"病院",IF($AH1667=5,"消防","市長")),"対象外"))</f>
      </c>
    </row>
    <row r="1668">
      <c r="DB1668" s="2909">
        <f>IF($A1668="","",IF(AND($A1668=21,$AE1668&amp;""="00000000"),IF($AH1668=20,"病院",IF($AH1668=5,"消防","市長")),"対象外"))</f>
      </c>
    </row>
    <row r="1669">
      <c r="DB1669" s="2909">
        <f>IF($A1669="","",IF(AND($A1669=21,$AE1669&amp;""="00000000"),IF($AH1669=20,"病院",IF($AH1669=5,"消防","市長")),"対象外"))</f>
      </c>
    </row>
    <row r="1670">
      <c r="DB1670" s="2909">
        <f>IF($A1670="","",IF(AND($A1670=21,$AE1670&amp;""="00000000"),IF($AH1670=20,"病院",IF($AH1670=5,"消防","市長")),"対象外"))</f>
      </c>
    </row>
    <row r="1671">
      <c r="DB1671" s="2909">
        <f>IF($A1671="","",IF(AND($A1671=21,$AE1671&amp;""="00000000"),IF($AH1671=20,"病院",IF($AH1671=5,"消防","市長")),"対象外"))</f>
      </c>
    </row>
    <row r="1672">
      <c r="DB1672" s="2909">
        <f>IF($A1672="","",IF(AND($A1672=21,$AE1672&amp;""="00000000"),IF($AH1672=20,"病院",IF($AH1672=5,"消防","市長")),"対象外"))</f>
      </c>
    </row>
    <row r="1673">
      <c r="DB1673" s="2909">
        <f>IF($A1673="","",IF(AND($A1673=21,$AE1673&amp;""="00000000"),IF($AH1673=20,"病院",IF($AH1673=5,"消防","市長")),"対象外"))</f>
      </c>
    </row>
    <row r="1674">
      <c r="DB1674" s="2909">
        <f>IF($A1674="","",IF(AND($A1674=21,$AE1674&amp;""="00000000"),IF($AH1674=20,"病院",IF($AH1674=5,"消防","市長")),"対象外"))</f>
      </c>
    </row>
    <row r="1675">
      <c r="DB1675" s="2909">
        <f>IF($A1675="","",IF(AND($A1675=21,$AE1675&amp;""="00000000"),IF($AH1675=20,"病院",IF($AH1675=5,"消防","市長")),"対象外"))</f>
      </c>
    </row>
    <row r="1676">
      <c r="DB1676" s="2909">
        <f>IF($A1676="","",IF(AND($A1676=21,$AE1676&amp;""="00000000"),IF($AH1676=20,"病院",IF($AH1676=5,"消防","市長")),"対象外"))</f>
      </c>
    </row>
    <row r="1677">
      <c r="DB1677" s="2909">
        <f>IF($A1677="","",IF(AND($A1677=21,$AE1677&amp;""="00000000"),IF($AH1677=20,"病院",IF($AH1677=5,"消防","市長")),"対象外"))</f>
      </c>
    </row>
    <row r="1678">
      <c r="DB1678" s="2909">
        <f>IF($A1678="","",IF(AND($A1678=21,$AE1678&amp;""="00000000"),IF($AH1678=20,"病院",IF($AH1678=5,"消防","市長")),"対象外"))</f>
      </c>
    </row>
    <row r="1679">
      <c r="DB1679" s="2909">
        <f>IF($A1679="","",IF(AND($A1679=21,$AE1679&amp;""="00000000"),IF($AH1679=20,"病院",IF($AH1679=5,"消防","市長")),"対象外"))</f>
      </c>
    </row>
    <row r="1680">
      <c r="DB1680" s="2909">
        <f>IF($A1680="","",IF(AND($A1680=21,$AE1680&amp;""="00000000"),IF($AH1680=20,"病院",IF($AH1680=5,"消防","市長")),"対象外"))</f>
      </c>
    </row>
    <row r="1681">
      <c r="DB1681" s="2909">
        <f>IF($A1681="","",IF(AND($A1681=21,$AE1681&amp;""="00000000"),IF($AH1681=20,"病院",IF($AH1681=5,"消防","市長")),"対象外"))</f>
      </c>
    </row>
    <row r="1682">
      <c r="DB1682" s="2909">
        <f>IF($A1682="","",IF(AND($A1682=21,$AE1682&amp;""="00000000"),IF($AH1682=20,"病院",IF($AH1682=5,"消防","市長")),"対象外"))</f>
      </c>
    </row>
    <row r="1683">
      <c r="DB1683" s="2909">
        <f>IF($A1683="","",IF(AND($A1683=21,$AE1683&amp;""="00000000"),IF($AH1683=20,"病院",IF($AH1683=5,"消防","市長")),"対象外"))</f>
      </c>
    </row>
    <row r="1684">
      <c r="DB1684" s="2909">
        <f>IF($A1684="","",IF(AND($A1684=21,$AE1684&amp;""="00000000"),IF($AH1684=20,"病院",IF($AH1684=5,"消防","市長")),"対象外"))</f>
      </c>
    </row>
    <row r="1685">
      <c r="DB1685" s="2909">
        <f>IF($A1685="","",IF(AND($A1685=21,$AE1685&amp;""="00000000"),IF($AH1685=20,"病院",IF($AH1685=5,"消防","市長")),"対象外"))</f>
      </c>
    </row>
    <row r="1686">
      <c r="DB1686" s="2909">
        <f>IF($A1686="","",IF(AND($A1686=21,$AE1686&amp;""="00000000"),IF($AH1686=20,"病院",IF($AH1686=5,"消防","市長")),"対象外"))</f>
      </c>
    </row>
    <row r="1687">
      <c r="DB1687" s="2909">
        <f>IF($A1687="","",IF(AND($A1687=21,$AE1687&amp;""="00000000"),IF($AH1687=20,"病院",IF($AH1687=5,"消防","市長")),"対象外"))</f>
      </c>
    </row>
    <row r="1688">
      <c r="DB1688" s="2909">
        <f>IF($A1688="","",IF(AND($A1688=21,$AE1688&amp;""="00000000"),IF($AH1688=20,"病院",IF($AH1688=5,"消防","市長")),"対象外"))</f>
      </c>
    </row>
    <row r="1689">
      <c r="DB1689" s="2909">
        <f>IF($A1689="","",IF(AND($A1689=21,$AE1689&amp;""="00000000"),IF($AH1689=20,"病院",IF($AH1689=5,"消防","市長")),"対象外"))</f>
      </c>
    </row>
    <row r="1690">
      <c r="DB1690" s="2909">
        <f>IF($A1690="","",IF(AND($A1690=21,$AE1690&amp;""="00000000"),IF($AH1690=20,"病院",IF($AH1690=5,"消防","市長")),"対象外"))</f>
      </c>
    </row>
    <row r="1691">
      <c r="DB1691" s="2909">
        <f>IF($A1691="","",IF(AND($A1691=21,$AE1691&amp;""="00000000"),IF($AH1691=20,"病院",IF($AH1691=5,"消防","市長")),"対象外"))</f>
      </c>
    </row>
    <row r="1692">
      <c r="DB1692" s="2909">
        <f>IF($A1692="","",IF(AND($A1692=21,$AE1692&amp;""="00000000"),IF($AH1692=20,"病院",IF($AH1692=5,"消防","市長")),"対象外"))</f>
      </c>
    </row>
    <row r="1693">
      <c r="DB1693" s="2909">
        <f>IF($A1693="","",IF(AND($A1693=21,$AE1693&amp;""="00000000"),IF($AH1693=20,"病院",IF($AH1693=5,"消防","市長")),"対象外"))</f>
      </c>
    </row>
    <row r="1694">
      <c r="DB1694" s="2909">
        <f>IF($A1694="","",IF(AND($A1694=21,$AE1694&amp;""="00000000"),IF($AH1694=20,"病院",IF($AH1694=5,"消防","市長")),"対象外"))</f>
      </c>
    </row>
    <row r="1695">
      <c r="DB1695" s="2909">
        <f>IF($A1695="","",IF(AND($A1695=21,$AE1695&amp;""="00000000"),IF($AH1695=20,"病院",IF($AH1695=5,"消防","市長")),"対象外"))</f>
      </c>
    </row>
    <row r="1696">
      <c r="DB1696" s="2909">
        <f>IF($A1696="","",IF(AND($A1696=21,$AE1696&amp;""="00000000"),IF($AH1696=20,"病院",IF($AH1696=5,"消防","市長")),"対象外"))</f>
      </c>
    </row>
    <row r="1697">
      <c r="DB1697" s="2909">
        <f>IF($A1697="","",IF(AND($A1697=21,$AE1697&amp;""="00000000"),IF($AH1697=20,"病院",IF($AH1697=5,"消防","市長")),"対象外"))</f>
      </c>
    </row>
    <row r="1698">
      <c r="DB1698" s="2909">
        <f>IF($A1698="","",IF(AND($A1698=21,$AE1698&amp;""="00000000"),IF($AH1698=20,"病院",IF($AH1698=5,"消防","市長")),"対象外"))</f>
      </c>
    </row>
    <row r="1699">
      <c r="DB1699" s="2909">
        <f>IF($A1699="","",IF(AND($A1699=21,$AE1699&amp;""="00000000"),IF($AH1699=20,"病院",IF($AH1699=5,"消防","市長")),"対象外"))</f>
      </c>
    </row>
    <row r="1700">
      <c r="DB1700" s="2909">
        <f>IF($A1700="","",IF(AND($A1700=21,$AE1700&amp;""="00000000"),IF($AH1700=20,"病院",IF($AH1700=5,"消防","市長")),"対象外"))</f>
      </c>
    </row>
    <row r="1701">
      <c r="DB1701" s="2909">
        <f>IF($A1701="","",IF(AND($A1701=21,$AE1701&amp;""="00000000"),IF($AH1701=20,"病院",IF($AH1701=5,"消防","市長")),"対象外"))</f>
      </c>
    </row>
    <row r="1702">
      <c r="DB1702" s="2909">
        <f>IF($A1702="","",IF(AND($A1702=21,$AE1702&amp;""="00000000"),IF($AH1702=20,"病院",IF($AH1702=5,"消防","市長")),"対象外"))</f>
      </c>
    </row>
    <row r="1703">
      <c r="DB1703" s="2909">
        <f>IF($A1703="","",IF(AND($A1703=21,$AE1703&amp;""="00000000"),IF($AH1703=20,"病院",IF($AH1703=5,"消防","市長")),"対象外"))</f>
      </c>
    </row>
    <row r="1704">
      <c r="DB1704" s="2909">
        <f>IF($A1704="","",IF(AND($A1704=21,$AE1704&amp;""="00000000"),IF($AH1704=20,"病院",IF($AH1704=5,"消防","市長")),"対象外"))</f>
      </c>
    </row>
    <row r="1705">
      <c r="DB1705" s="2909">
        <f>IF($A1705="","",IF(AND($A1705=21,$AE1705&amp;""="00000000"),IF($AH1705=20,"病院",IF($AH1705=5,"消防","市長")),"対象外"))</f>
      </c>
    </row>
    <row r="1706">
      <c r="DB1706" s="2909">
        <f>IF($A1706="","",IF(AND($A1706=21,$AE1706&amp;""="00000000"),IF($AH1706=20,"病院",IF($AH1706=5,"消防","市長")),"対象外"))</f>
      </c>
    </row>
    <row r="1707">
      <c r="DB1707" s="2909">
        <f>IF($A1707="","",IF(AND($A1707=21,$AE1707&amp;""="00000000"),IF($AH1707=20,"病院",IF($AH1707=5,"消防","市長")),"対象外"))</f>
      </c>
    </row>
    <row r="1708">
      <c r="DB1708" s="2909">
        <f>IF($A1708="","",IF(AND($A1708=21,$AE1708&amp;""="00000000"),IF($AH1708=20,"病院",IF($AH1708=5,"消防","市長")),"対象外"))</f>
      </c>
    </row>
    <row r="1709">
      <c r="DB1709" s="2909">
        <f>IF($A1709="","",IF(AND($A1709=21,$AE1709&amp;""="00000000"),IF($AH1709=20,"病院",IF($AH1709=5,"消防","市長")),"対象外"))</f>
      </c>
    </row>
    <row r="1710">
      <c r="DB1710" s="2909">
        <f>IF($A1710="","",IF(AND($A1710=21,$AE1710&amp;""="00000000"),IF($AH1710=20,"病院",IF($AH1710=5,"消防","市長")),"対象外"))</f>
      </c>
    </row>
    <row r="1711">
      <c r="DB1711" s="2909">
        <f>IF($A1711="","",IF(AND($A1711=21,$AE1711&amp;""="00000000"),IF($AH1711=20,"病院",IF($AH1711=5,"消防","市長")),"対象外"))</f>
      </c>
    </row>
    <row r="1712">
      <c r="DB1712" s="2909">
        <f>IF($A1712="","",IF(AND($A1712=21,$AE1712&amp;""="00000000"),IF($AH1712=20,"病院",IF($AH1712=5,"消防","市長")),"対象外"))</f>
      </c>
    </row>
    <row r="1713">
      <c r="DB1713" s="2909">
        <f>IF($A1713="","",IF(AND($A1713=21,$AE1713&amp;""="00000000"),IF($AH1713=20,"病院",IF($AH1713=5,"消防","市長")),"対象外"))</f>
      </c>
    </row>
    <row r="1714">
      <c r="DB1714" s="2909">
        <f>IF($A1714="","",IF(AND($A1714=21,$AE1714&amp;""="00000000"),IF($AH1714=20,"病院",IF($AH1714=5,"消防","市長")),"対象外"))</f>
      </c>
    </row>
    <row r="1715">
      <c r="DB1715" s="2909">
        <f>IF($A1715="","",IF(AND($A1715=21,$AE1715&amp;""="00000000"),IF($AH1715=20,"病院",IF($AH1715=5,"消防","市長")),"対象外"))</f>
      </c>
    </row>
    <row r="1716">
      <c r="DB1716" s="2909">
        <f>IF($A1716="","",IF(AND($A1716=21,$AE1716&amp;""="00000000"),IF($AH1716=20,"病院",IF($AH1716=5,"消防","市長")),"対象外"))</f>
      </c>
    </row>
    <row r="1717">
      <c r="DB1717" s="2909">
        <f>IF($A1717="","",IF(AND($A1717=21,$AE1717&amp;""="00000000"),IF($AH1717=20,"病院",IF($AH1717=5,"消防","市長")),"対象外"))</f>
      </c>
    </row>
    <row r="1718">
      <c r="DB1718" s="2909">
        <f>IF($A1718="","",IF(AND($A1718=21,$AE1718&amp;""="00000000"),IF($AH1718=20,"病院",IF($AH1718=5,"消防","市長")),"対象外"))</f>
      </c>
    </row>
    <row r="1719">
      <c r="DB1719" s="2909">
        <f>IF($A1719="","",IF(AND($A1719=21,$AE1719&amp;""="00000000"),IF($AH1719=20,"病院",IF($AH1719=5,"消防","市長")),"対象外"))</f>
      </c>
    </row>
    <row r="1720">
      <c r="DB1720" s="2909">
        <f>IF($A1720="","",IF(AND($A1720=21,$AE1720&amp;""="00000000"),IF($AH1720=20,"病院",IF($AH1720=5,"消防","市長")),"対象外"))</f>
      </c>
    </row>
    <row r="1721">
      <c r="DB1721" s="2909">
        <f>IF($A1721="","",IF(AND($A1721=21,$AE1721&amp;""="00000000"),IF($AH1721=20,"病院",IF($AH1721=5,"消防","市長")),"対象外"))</f>
      </c>
    </row>
    <row r="1722">
      <c r="DB1722" s="2909">
        <f>IF($A1722="","",IF(AND($A1722=21,$AE1722&amp;""="00000000"),IF($AH1722=20,"病院",IF($AH1722=5,"消防","市長")),"対象外"))</f>
      </c>
    </row>
    <row r="1723">
      <c r="DB1723" s="2909">
        <f>IF($A1723="","",IF(AND($A1723=21,$AE1723&amp;""="00000000"),IF($AH1723=20,"病院",IF($AH1723=5,"消防","市長")),"対象外"))</f>
      </c>
    </row>
    <row r="1724">
      <c r="DB1724" s="2909">
        <f>IF($A1724="","",IF(AND($A1724=21,$AE1724&amp;""="00000000"),IF($AH1724=20,"病院",IF($AH1724=5,"消防","市長")),"対象外"))</f>
      </c>
    </row>
    <row r="1725">
      <c r="DB1725" s="2909">
        <f>IF($A1725="","",IF(AND($A1725=21,$AE1725&amp;""="00000000"),IF($AH1725=20,"病院",IF($AH1725=5,"消防","市長")),"対象外"))</f>
      </c>
    </row>
    <row r="1726">
      <c r="DB1726" s="2909">
        <f>IF($A1726="","",IF(AND($A1726=21,$AE1726&amp;""="00000000"),IF($AH1726=20,"病院",IF($AH1726=5,"消防","市長")),"対象外"))</f>
      </c>
    </row>
    <row r="1727">
      <c r="DB1727" s="2909">
        <f>IF($A1727="","",IF(AND($A1727=21,$AE1727&amp;""="00000000"),IF($AH1727=20,"病院",IF($AH1727=5,"消防","市長")),"対象外"))</f>
      </c>
    </row>
    <row r="1728">
      <c r="DB1728" s="2909">
        <f>IF($A1728="","",IF(AND($A1728=21,$AE1728&amp;""="00000000"),IF($AH1728=20,"病院",IF($AH1728=5,"消防","市長")),"対象外"))</f>
      </c>
    </row>
    <row r="1729">
      <c r="DB1729" s="2909">
        <f>IF($A1729="","",IF(AND($A1729=21,$AE1729&amp;""="00000000"),IF($AH1729=20,"病院",IF($AH1729=5,"消防","市長")),"対象外"))</f>
      </c>
    </row>
    <row r="1730">
      <c r="DB1730" s="2909">
        <f>IF($A1730="","",IF(AND($A1730=21,$AE1730&amp;""="00000000"),IF($AH1730=20,"病院",IF($AH1730=5,"消防","市長")),"対象外"))</f>
      </c>
    </row>
    <row r="1731">
      <c r="DB1731" s="2909">
        <f>IF($A1731="","",IF(AND($A1731=21,$AE1731&amp;""="00000000"),IF($AH1731=20,"病院",IF($AH1731=5,"消防","市長")),"対象外"))</f>
      </c>
    </row>
    <row r="1732">
      <c r="DB1732" s="2909">
        <f>IF($A1732="","",IF(AND($A1732=21,$AE1732&amp;""="00000000"),IF($AH1732=20,"病院",IF($AH1732=5,"消防","市長")),"対象外"))</f>
      </c>
    </row>
    <row r="1733">
      <c r="DB1733" s="2909">
        <f>IF($A1733="","",IF(AND($A1733=21,$AE1733&amp;""="00000000"),IF($AH1733=20,"病院",IF($AH1733=5,"消防","市長")),"対象外"))</f>
      </c>
    </row>
    <row r="1734">
      <c r="DB1734" s="2909">
        <f>IF($A1734="","",IF(AND($A1734=21,$AE1734&amp;""="00000000"),IF($AH1734=20,"病院",IF($AH1734=5,"消防","市長")),"対象外"))</f>
      </c>
    </row>
    <row r="1735">
      <c r="DB1735" s="2909">
        <f>IF($A1735="","",IF(AND($A1735=21,$AE1735&amp;""="00000000"),IF($AH1735=20,"病院",IF($AH1735=5,"消防","市長")),"対象外"))</f>
      </c>
    </row>
    <row r="1736">
      <c r="DB1736" s="2909">
        <f>IF($A1736="","",IF(AND($A1736=21,$AE1736&amp;""="00000000"),IF($AH1736=20,"病院",IF($AH1736=5,"消防","市長")),"対象外"))</f>
      </c>
    </row>
    <row r="1737">
      <c r="DB1737" s="2909">
        <f>IF($A1737="","",IF(AND($A1737=21,$AE1737&amp;""="00000000"),IF($AH1737=20,"病院",IF($AH1737=5,"消防","市長")),"対象外"))</f>
      </c>
    </row>
    <row r="1738">
      <c r="DB1738" s="2909">
        <f>IF($A1738="","",IF(AND($A1738=21,$AE1738&amp;""="00000000"),IF($AH1738=20,"病院",IF($AH1738=5,"消防","市長")),"対象外"))</f>
      </c>
    </row>
    <row r="1739">
      <c r="DB1739" s="2909">
        <f>IF($A1739="","",IF(AND($A1739=21,$AE1739&amp;""="00000000"),IF($AH1739=20,"病院",IF($AH1739=5,"消防","市長")),"対象外"))</f>
      </c>
    </row>
    <row r="1740">
      <c r="DB1740" s="2909">
        <f>IF($A1740="","",IF(AND($A1740=21,$AE1740&amp;""="00000000"),IF($AH1740=20,"病院",IF($AH1740=5,"消防","市長")),"対象外"))</f>
      </c>
    </row>
    <row r="1741">
      <c r="DB1741" s="2909">
        <f>IF($A1741="","",IF(AND($A1741=21,$AE1741&amp;""="00000000"),IF($AH1741=20,"病院",IF($AH1741=5,"消防","市長")),"対象外"))</f>
      </c>
    </row>
    <row r="1742">
      <c r="DB1742" s="2909">
        <f>IF($A1742="","",IF(AND($A1742=21,$AE1742&amp;""="00000000"),IF($AH1742=20,"病院",IF($AH1742=5,"消防","市長")),"対象外"))</f>
      </c>
    </row>
    <row r="1743">
      <c r="DB1743" s="2909">
        <f>IF($A1743="","",IF(AND($A1743=21,$AE1743&amp;""="00000000"),IF($AH1743=20,"病院",IF($AH1743=5,"消防","市長")),"対象外"))</f>
      </c>
    </row>
    <row r="1744">
      <c r="DB1744" s="2909">
        <f>IF($A1744="","",IF(AND($A1744=21,$AE1744&amp;""="00000000"),IF($AH1744=20,"病院",IF($AH1744=5,"消防","市長")),"対象外"))</f>
      </c>
    </row>
    <row r="1745">
      <c r="DB1745" s="2909">
        <f>IF($A1745="","",IF(AND($A1745=21,$AE1745&amp;""="00000000"),IF($AH1745=20,"病院",IF($AH1745=5,"消防","市長")),"対象外"))</f>
      </c>
    </row>
    <row r="1746">
      <c r="DB1746" s="2909">
        <f>IF($A1746="","",IF(AND($A1746=21,$AE1746&amp;""="00000000"),IF($AH1746=20,"病院",IF($AH1746=5,"消防","市長")),"対象外"))</f>
      </c>
    </row>
    <row r="1747">
      <c r="DB1747" s="2909">
        <f>IF($A1747="","",IF(AND($A1747=21,$AE1747&amp;""="00000000"),IF($AH1747=20,"病院",IF($AH1747=5,"消防","市長")),"対象外"))</f>
      </c>
    </row>
    <row r="1748">
      <c r="DB1748" s="2909">
        <f>IF($A1748="","",IF(AND($A1748=21,$AE1748&amp;""="00000000"),IF($AH1748=20,"病院",IF($AH1748=5,"消防","市長")),"対象外"))</f>
      </c>
    </row>
    <row r="1749">
      <c r="DB1749" s="2909">
        <f>IF($A1749="","",IF(AND($A1749=21,$AE1749&amp;""="00000000"),IF($AH1749=20,"病院",IF($AH1749=5,"消防","市長")),"対象外"))</f>
      </c>
    </row>
    <row r="1750">
      <c r="DB1750" s="2909">
        <f>IF($A1750="","",IF(AND($A1750=21,$AE1750&amp;""="00000000"),IF($AH1750=20,"病院",IF($AH1750=5,"消防","市長")),"対象外"))</f>
      </c>
    </row>
    <row r="1751">
      <c r="DB1751" s="2909">
        <f>IF($A1751="","",IF(AND($A1751=21,$AE1751&amp;""="00000000"),IF($AH1751=20,"病院",IF($AH1751=5,"消防","市長")),"対象外"))</f>
      </c>
    </row>
    <row r="1752">
      <c r="DB1752" s="2909">
        <f>IF($A1752="","",IF(AND($A1752=21,$AE1752&amp;""="00000000"),IF($AH1752=20,"病院",IF($AH1752=5,"消防","市長")),"対象外"))</f>
      </c>
    </row>
    <row r="1753">
      <c r="DB1753" s="2909">
        <f>IF($A1753="","",IF(AND($A1753=21,$AE1753&amp;""="00000000"),IF($AH1753=20,"病院",IF($AH1753=5,"消防","市長")),"対象外"))</f>
      </c>
    </row>
    <row r="1754">
      <c r="DB1754" s="2909">
        <f>IF($A1754="","",IF(AND($A1754=21,$AE1754&amp;""="00000000"),IF($AH1754=20,"病院",IF($AH1754=5,"消防","市長")),"対象外"))</f>
      </c>
    </row>
    <row r="1755">
      <c r="DB1755" s="2909">
        <f>IF($A1755="","",IF(AND($A1755=21,$AE1755&amp;""="00000000"),IF($AH1755=20,"病院",IF($AH1755=5,"消防","市長")),"対象外"))</f>
      </c>
    </row>
    <row r="1756">
      <c r="DB1756" s="2909">
        <f>IF($A1756="","",IF(AND($A1756=21,$AE1756&amp;""="00000000"),IF($AH1756=20,"病院",IF($AH1756=5,"消防","市長")),"対象外"))</f>
      </c>
    </row>
    <row r="1757">
      <c r="DB1757" s="2909">
        <f>IF($A1757="","",IF(AND($A1757=21,$AE1757&amp;""="00000000"),IF($AH1757=20,"病院",IF($AH1757=5,"消防","市長")),"対象外"))</f>
      </c>
    </row>
    <row r="1758">
      <c r="DB1758" s="2909">
        <f>IF($A1758="","",IF(AND($A1758=21,$AE1758&amp;""="00000000"),IF($AH1758=20,"病院",IF($AH1758=5,"消防","市長")),"対象外"))</f>
      </c>
    </row>
    <row r="1759">
      <c r="DB1759" s="2909">
        <f>IF($A1759="","",IF(AND($A1759=21,$AE1759&amp;""="00000000"),IF($AH1759=20,"病院",IF($AH1759=5,"消防","市長")),"対象外"))</f>
      </c>
    </row>
    <row r="1760">
      <c r="DB1760" s="2909">
        <f>IF($A1760="","",IF(AND($A1760=21,$AE1760&amp;""="00000000"),IF($AH1760=20,"病院",IF($AH1760=5,"消防","市長")),"対象外"))</f>
      </c>
    </row>
    <row r="1761">
      <c r="DB1761" s="2909">
        <f>IF($A1761="","",IF(AND($A1761=21,$AE1761&amp;""="00000000"),IF($AH1761=20,"病院",IF($AH1761=5,"消防","市長")),"対象外"))</f>
      </c>
    </row>
    <row r="1762">
      <c r="DB1762" s="2909">
        <f>IF($A1762="","",IF(AND($A1762=21,$AE1762&amp;""="00000000"),IF($AH1762=20,"病院",IF($AH1762=5,"消防","市長")),"対象外"))</f>
      </c>
    </row>
    <row r="1763">
      <c r="DB1763" s="2909">
        <f>IF($A1763="","",IF(AND($A1763=21,$AE1763&amp;""="00000000"),IF($AH1763=20,"病院",IF($AH1763=5,"消防","市長")),"対象外"))</f>
      </c>
    </row>
    <row r="1764">
      <c r="DB1764" s="2909">
        <f>IF($A1764="","",IF(AND($A1764=21,$AE1764&amp;""="00000000"),IF($AH1764=20,"病院",IF($AH1764=5,"消防","市長")),"対象外"))</f>
      </c>
    </row>
    <row r="1765">
      <c r="DB1765" s="2909">
        <f>IF($A1765="","",IF(AND($A1765=21,$AE1765&amp;""="00000000"),IF($AH1765=20,"病院",IF($AH1765=5,"消防","市長")),"対象外"))</f>
      </c>
    </row>
    <row r="1766">
      <c r="DB1766" s="2909">
        <f>IF($A1766="","",IF(AND($A1766=21,$AE1766&amp;""="00000000"),IF($AH1766=20,"病院",IF($AH1766=5,"消防","市長")),"対象外"))</f>
      </c>
    </row>
    <row r="1767">
      <c r="DB1767" s="2909">
        <f>IF($A1767="","",IF(AND($A1767=21,$AE1767&amp;""="00000000"),IF($AH1767=20,"病院",IF($AH1767=5,"消防","市長")),"対象外"))</f>
      </c>
    </row>
    <row r="1768">
      <c r="DB1768" s="2909">
        <f>IF($A1768="","",IF(AND($A1768=21,$AE1768&amp;""="00000000"),IF($AH1768=20,"病院",IF($AH1768=5,"消防","市長")),"対象外"))</f>
      </c>
    </row>
    <row r="1769">
      <c r="DB1769" s="2909">
        <f>IF($A1769="","",IF(AND($A1769=21,$AE1769&amp;""="00000000"),IF($AH1769=20,"病院",IF($AH1769=5,"消防","市長")),"対象外"))</f>
      </c>
    </row>
    <row r="1770">
      <c r="DB1770" s="2909">
        <f>IF($A1770="","",IF(AND($A1770=21,$AE1770&amp;""="00000000"),IF($AH1770=20,"病院",IF($AH1770=5,"消防","市長")),"対象外"))</f>
      </c>
    </row>
    <row r="1771">
      <c r="DB1771" s="2909">
        <f>IF($A1771="","",IF(AND($A1771=21,$AE1771&amp;""="00000000"),IF($AH1771=20,"病院",IF($AH1771=5,"消防","市長")),"対象外"))</f>
      </c>
    </row>
    <row r="1772">
      <c r="DB1772" s="2909">
        <f>IF($A1772="","",IF(AND($A1772=21,$AE1772&amp;""="00000000"),IF($AH1772=20,"病院",IF($AH1772=5,"消防","市長")),"対象外"))</f>
      </c>
    </row>
    <row r="1773">
      <c r="DB1773" s="2909">
        <f>IF($A1773="","",IF(AND($A1773=21,$AE1773&amp;""="00000000"),IF($AH1773=20,"病院",IF($AH1773=5,"消防","市長")),"対象外"))</f>
      </c>
    </row>
    <row r="1774">
      <c r="DB1774" s="2909">
        <f>IF($A1774="","",IF(AND($A1774=21,$AE1774&amp;""="00000000"),IF($AH1774=20,"病院",IF($AH1774=5,"消防","市長")),"対象外"))</f>
      </c>
    </row>
    <row r="1775">
      <c r="DB1775" s="2909">
        <f>IF($A1775="","",IF(AND($A1775=21,$AE1775&amp;""="00000000"),IF($AH1775=20,"病院",IF($AH1775=5,"消防","市長")),"対象外"))</f>
      </c>
    </row>
    <row r="1776">
      <c r="DB1776" s="2909">
        <f>IF($A1776="","",IF(AND($A1776=21,$AE1776&amp;""="00000000"),IF($AH1776=20,"病院",IF($AH1776=5,"消防","市長")),"対象外"))</f>
      </c>
    </row>
    <row r="1777">
      <c r="DB1777" s="2909">
        <f>IF($A1777="","",IF(AND($A1777=21,$AE1777&amp;""="00000000"),IF($AH1777=20,"病院",IF($AH1777=5,"消防","市長")),"対象外"))</f>
      </c>
    </row>
    <row r="1778">
      <c r="DB1778" s="2909">
        <f>IF($A1778="","",IF(AND($A1778=21,$AE1778&amp;""="00000000"),IF($AH1778=20,"病院",IF($AH1778=5,"消防","市長")),"対象外"))</f>
      </c>
    </row>
    <row r="1779">
      <c r="DB1779" s="2909">
        <f>IF($A1779="","",IF(AND($A1779=21,$AE1779&amp;""="00000000"),IF($AH1779=20,"病院",IF($AH1779=5,"消防","市長")),"対象外"))</f>
      </c>
    </row>
    <row r="1780">
      <c r="DB1780" s="2909">
        <f>IF($A1780="","",IF(AND($A1780=21,$AE1780&amp;""="00000000"),IF($AH1780=20,"病院",IF($AH1780=5,"消防","市長")),"対象外"))</f>
      </c>
    </row>
    <row r="1781">
      <c r="DB1781" s="2909">
        <f>IF($A1781="","",IF(AND($A1781=21,$AE1781&amp;""="00000000"),IF($AH1781=20,"病院",IF($AH1781=5,"消防","市長")),"対象外"))</f>
      </c>
    </row>
    <row r="1782">
      <c r="DB1782" s="2909">
        <f>IF($A1782="","",IF(AND($A1782=21,$AE1782&amp;""="00000000"),IF($AH1782=20,"病院",IF($AH1782=5,"消防","市長")),"対象外"))</f>
      </c>
    </row>
    <row r="1783">
      <c r="DB1783" s="2909">
        <f>IF($A1783="","",IF(AND($A1783=21,$AE1783&amp;""="00000000"),IF($AH1783=20,"病院",IF($AH1783=5,"消防","市長")),"対象外"))</f>
      </c>
    </row>
    <row r="1784">
      <c r="DB1784" s="2909">
        <f>IF($A1784="","",IF(AND($A1784=21,$AE1784&amp;""="00000000"),IF($AH1784=20,"病院",IF($AH1784=5,"消防","市長")),"対象外"))</f>
      </c>
    </row>
    <row r="1785">
      <c r="DB1785" s="2909">
        <f>IF($A1785="","",IF(AND($A1785=21,$AE1785&amp;""="00000000"),IF($AH1785=20,"病院",IF($AH1785=5,"消防","市長")),"対象外"))</f>
      </c>
    </row>
    <row r="1786">
      <c r="DB1786" s="2909">
        <f>IF($A1786="","",IF(AND($A1786=21,$AE1786&amp;""="00000000"),IF($AH1786=20,"病院",IF($AH1786=5,"消防","市長")),"対象外"))</f>
      </c>
    </row>
    <row r="1787">
      <c r="DB1787" s="2909">
        <f>IF($A1787="","",IF(AND($A1787=21,$AE1787&amp;""="00000000"),IF($AH1787=20,"病院",IF($AH1787=5,"消防","市長")),"対象外"))</f>
      </c>
    </row>
    <row r="1788">
      <c r="DB1788" s="2909">
        <f>IF($A1788="","",IF(AND($A1788=21,$AE1788&amp;""="00000000"),IF($AH1788=20,"病院",IF($AH1788=5,"消防","市長")),"対象外"))</f>
      </c>
    </row>
    <row r="1789">
      <c r="DB1789" s="2909">
        <f>IF($A1789="","",IF(AND($A1789=21,$AE1789&amp;""="00000000"),IF($AH1789=20,"病院",IF($AH1789=5,"消防","市長")),"対象外"))</f>
      </c>
    </row>
    <row r="1790">
      <c r="DB1790" s="2909">
        <f>IF($A1790="","",IF(AND($A1790=21,$AE1790&amp;""="00000000"),IF($AH1790=20,"病院",IF($AH1790=5,"消防","市長")),"対象外"))</f>
      </c>
    </row>
    <row r="1791">
      <c r="DB1791" s="2909">
        <f>IF($A1791="","",IF(AND($A1791=21,$AE1791&amp;""="00000000"),IF($AH1791=20,"病院",IF($AH1791=5,"消防","市長")),"対象外"))</f>
      </c>
    </row>
    <row r="1792">
      <c r="DB1792" s="2909">
        <f>IF($A1792="","",IF(AND($A1792=21,$AE1792&amp;""="00000000"),IF($AH1792=20,"病院",IF($AH1792=5,"消防","市長")),"対象外"))</f>
      </c>
    </row>
    <row r="1793">
      <c r="DB1793" s="2909">
        <f>IF($A1793="","",IF(AND($A1793=21,$AE1793&amp;""="00000000"),IF($AH1793=20,"病院",IF($AH1793=5,"消防","市長")),"対象外"))</f>
      </c>
    </row>
    <row r="1794">
      <c r="DB1794" s="2909">
        <f>IF($A1794="","",IF(AND($A1794=21,$AE1794&amp;""="00000000"),IF($AH1794=20,"病院",IF($AH1794=5,"消防","市長")),"対象外"))</f>
      </c>
    </row>
    <row r="1795">
      <c r="DB1795" s="2909">
        <f>IF($A1795="","",IF(AND($A1795=21,$AE1795&amp;""="00000000"),IF($AH1795=20,"病院",IF($AH1795=5,"消防","市長")),"対象外"))</f>
      </c>
    </row>
    <row r="1796">
      <c r="DB1796" s="2909">
        <f>IF($A1796="","",IF(AND($A1796=21,$AE1796&amp;""="00000000"),IF($AH1796=20,"病院",IF($AH1796=5,"消防","市長")),"対象外"))</f>
      </c>
    </row>
    <row r="1797">
      <c r="DB1797" s="2909">
        <f>IF($A1797="","",IF(AND($A1797=21,$AE1797&amp;""="00000000"),IF($AH1797=20,"病院",IF($AH1797=5,"消防","市長")),"対象外"))</f>
      </c>
    </row>
    <row r="1798">
      <c r="DB1798" s="2909">
        <f>IF($A1798="","",IF(AND($A1798=21,$AE1798&amp;""="00000000"),IF($AH1798=20,"病院",IF($AH1798=5,"消防","市長")),"対象外"))</f>
      </c>
    </row>
    <row r="1799">
      <c r="DB1799" s="2909">
        <f>IF($A1799="","",IF(AND($A1799=21,$AE1799&amp;""="00000000"),IF($AH1799=20,"病院",IF($AH1799=5,"消防","市長")),"対象外"))</f>
      </c>
    </row>
    <row r="1800">
      <c r="DB1800" s="2909">
        <f>IF($A1800="","",IF(AND($A1800=21,$AE1800&amp;""="00000000"),IF($AH1800=20,"病院",IF($AH1800=5,"消防","市長")),"対象外"))</f>
      </c>
    </row>
    <row r="1801">
      <c r="DB1801" s="2909">
        <f>IF($A1801="","",IF(AND($A1801=21,$AE1801&amp;""="00000000"),IF($AH1801=20,"病院",IF($AH1801=5,"消防","市長")),"対象外"))</f>
      </c>
    </row>
    <row r="1802">
      <c r="DB1802" s="2909">
        <f>IF($A1802="","",IF(AND($A1802=21,$AE1802&amp;""="00000000"),IF($AH1802=20,"病院",IF($AH1802=5,"消防","市長")),"対象外"))</f>
      </c>
    </row>
    <row r="1803">
      <c r="DB1803" s="2909">
        <f>IF($A1803="","",IF(AND($A1803=21,$AE1803&amp;""="00000000"),IF($AH1803=20,"病院",IF($AH1803=5,"消防","市長")),"対象外"))</f>
      </c>
    </row>
    <row r="1804">
      <c r="DB1804" s="2909">
        <f>IF($A1804="","",IF(AND($A1804=21,$AE1804&amp;""="00000000"),IF($AH1804=20,"病院",IF($AH1804=5,"消防","市長")),"対象外"))</f>
      </c>
    </row>
    <row r="1805">
      <c r="DB1805" s="2909">
        <f>IF($A1805="","",IF(AND($A1805=21,$AE1805&amp;""="00000000"),IF($AH1805=20,"病院",IF($AH1805=5,"消防","市長")),"対象外"))</f>
      </c>
    </row>
    <row r="1806">
      <c r="DB1806" s="2909">
        <f>IF($A1806="","",IF(AND($A1806=21,$AE1806&amp;""="00000000"),IF($AH1806=20,"病院",IF($AH1806=5,"消防","市長")),"対象外"))</f>
      </c>
    </row>
    <row r="1807">
      <c r="DB1807" s="2909">
        <f>IF($A1807="","",IF(AND($A1807=21,$AE1807&amp;""="00000000"),IF($AH1807=20,"病院",IF($AH1807=5,"消防","市長")),"対象外"))</f>
      </c>
    </row>
    <row r="1808">
      <c r="DB1808" s="2909">
        <f>IF($A1808="","",IF(AND($A1808=21,$AE1808&amp;""="00000000"),IF($AH1808=20,"病院",IF($AH1808=5,"消防","市長")),"対象外"))</f>
      </c>
    </row>
    <row r="1809">
      <c r="DB1809" s="2909">
        <f>IF($A1809="","",IF(AND($A1809=21,$AE1809&amp;""="00000000"),IF($AH1809=20,"病院",IF($AH1809=5,"消防","市長")),"対象外"))</f>
      </c>
    </row>
    <row r="1810">
      <c r="DB1810" s="2909">
        <f>IF($A1810="","",IF(AND($A1810=21,$AE1810&amp;""="00000000"),IF($AH1810=20,"病院",IF($AH1810=5,"消防","市長")),"対象外"))</f>
      </c>
    </row>
    <row r="1811">
      <c r="DB1811" s="2909">
        <f>IF($A1811="","",IF(AND($A1811=21,$AE1811&amp;""="00000000"),IF($AH1811=20,"病院",IF($AH1811=5,"消防","市長")),"対象外"))</f>
      </c>
    </row>
    <row r="1812">
      <c r="DB1812" s="2909">
        <f>IF($A1812="","",IF(AND($A1812=21,$AE1812&amp;""="00000000"),IF($AH1812=20,"病院",IF($AH1812=5,"消防","市長")),"対象外"))</f>
      </c>
    </row>
    <row r="1813">
      <c r="DB1813" s="2909">
        <f>IF($A1813="","",IF(AND($A1813=21,$AE1813&amp;""="00000000"),IF($AH1813=20,"病院",IF($AH1813=5,"消防","市長")),"対象外"))</f>
      </c>
    </row>
    <row r="1814">
      <c r="DB1814" s="2909">
        <f>IF($A1814="","",IF(AND($A1814=21,$AE1814&amp;""="00000000"),IF($AH1814=20,"病院",IF($AH1814=5,"消防","市長")),"対象外"))</f>
      </c>
    </row>
    <row r="1815">
      <c r="DB1815" s="2909">
        <f>IF($A1815="","",IF(AND($A1815=21,$AE1815&amp;""="00000000"),IF($AH1815=20,"病院",IF($AH1815=5,"消防","市長")),"対象外"))</f>
      </c>
    </row>
    <row r="1816">
      <c r="DB1816" s="2909">
        <f>IF($A1816="","",IF(AND($A1816=21,$AE1816&amp;""="00000000"),IF($AH1816=20,"病院",IF($AH1816=5,"消防","市長")),"対象外"))</f>
      </c>
    </row>
    <row r="1817">
      <c r="DB1817" s="2909">
        <f>IF($A1817="","",IF(AND($A1817=21,$AE1817&amp;""="00000000"),IF($AH1817=20,"病院",IF($AH1817=5,"消防","市長")),"対象外"))</f>
      </c>
    </row>
    <row r="1818">
      <c r="DB1818" s="2909">
        <f>IF($A1818="","",IF(AND($A1818=21,$AE1818&amp;""="00000000"),IF($AH1818=20,"病院",IF($AH1818=5,"消防","市長")),"対象外"))</f>
      </c>
    </row>
    <row r="1819">
      <c r="DB1819" s="2909">
        <f>IF($A1819="","",IF(AND($A1819=21,$AE1819&amp;""="00000000"),IF($AH1819=20,"病院",IF($AH1819=5,"消防","市長")),"対象外"))</f>
      </c>
    </row>
    <row r="1820">
      <c r="DB1820" s="2909">
        <f>IF($A1820="","",IF(AND($A1820=21,$AE1820&amp;""="00000000"),IF($AH1820=20,"病院",IF($AH1820=5,"消防","市長")),"対象外"))</f>
      </c>
    </row>
    <row r="1821">
      <c r="DB1821" s="2909">
        <f>IF($A1821="","",IF(AND($A1821=21,$AE1821&amp;""="00000000"),IF($AH1821=20,"病院",IF($AH1821=5,"消防","市長")),"対象外"))</f>
      </c>
    </row>
    <row r="1822">
      <c r="DB1822" s="2909">
        <f>IF($A1822="","",IF(AND($A1822=21,$AE1822&amp;""="00000000"),IF($AH1822=20,"病院",IF($AH1822=5,"消防","市長")),"対象外"))</f>
      </c>
    </row>
    <row r="1823">
      <c r="DB1823" s="2909">
        <f>IF($A1823="","",IF(AND($A1823=21,$AE1823&amp;""="00000000"),IF($AH1823=20,"病院",IF($AH1823=5,"消防","市長")),"対象外"))</f>
      </c>
    </row>
    <row r="1824">
      <c r="DB1824" s="2909">
        <f>IF($A1824="","",IF(AND($A1824=21,$AE1824&amp;""="00000000"),IF($AH1824=20,"病院",IF($AH1824=5,"消防","市長")),"対象外"))</f>
      </c>
    </row>
    <row r="1825">
      <c r="DB1825" s="2909">
        <f>IF($A1825="","",IF(AND($A1825=21,$AE1825&amp;""="00000000"),IF($AH1825=20,"病院",IF($AH1825=5,"消防","市長")),"対象外"))</f>
      </c>
    </row>
    <row r="1826">
      <c r="DB1826" s="2909">
        <f>IF($A1826="","",IF(AND($A1826=21,$AE1826&amp;""="00000000"),IF($AH1826=20,"病院",IF($AH1826=5,"消防","市長")),"対象外"))</f>
      </c>
    </row>
    <row r="1827">
      <c r="DB1827" s="2909">
        <f>IF($A1827="","",IF(AND($A1827=21,$AE1827&amp;""="00000000"),IF($AH1827=20,"病院",IF($AH1827=5,"消防","市長")),"対象外"))</f>
      </c>
    </row>
    <row r="1828">
      <c r="DB1828" s="2909">
        <f>IF($A1828="","",IF(AND($A1828=21,$AE1828&amp;""="00000000"),IF($AH1828=20,"病院",IF($AH1828=5,"消防","市長")),"対象外"))</f>
      </c>
    </row>
    <row r="1829">
      <c r="DB1829" s="2909">
        <f>IF($A1829="","",IF(AND($A1829=21,$AE1829&amp;""="00000000"),IF($AH1829=20,"病院",IF($AH1829=5,"消防","市長")),"対象外"))</f>
      </c>
    </row>
    <row r="1830">
      <c r="DB1830" s="2909">
        <f>IF($A1830="","",IF(AND($A1830=21,$AE1830&amp;""="00000000"),IF($AH1830=20,"病院",IF($AH1830=5,"消防","市長")),"対象外"))</f>
      </c>
    </row>
    <row r="1831">
      <c r="DB1831" s="2909">
        <f>IF($A1831="","",IF(AND($A1831=21,$AE1831&amp;""="00000000"),IF($AH1831=20,"病院",IF($AH1831=5,"消防","市長")),"対象外"))</f>
      </c>
    </row>
    <row r="1832">
      <c r="DB1832" s="2909">
        <f>IF($A1832="","",IF(AND($A1832=21,$AE1832&amp;""="00000000"),IF($AH1832=20,"病院",IF($AH1832=5,"消防","市長")),"対象外"))</f>
      </c>
    </row>
    <row r="1833">
      <c r="DB1833" s="2909">
        <f>IF($A1833="","",IF(AND($A1833=21,$AE1833&amp;""="00000000"),IF($AH1833=20,"病院",IF($AH1833=5,"消防","市長")),"対象外"))</f>
      </c>
    </row>
    <row r="1834">
      <c r="DB1834" s="2909">
        <f>IF($A1834="","",IF(AND($A1834=21,$AE1834&amp;""="00000000"),IF($AH1834=20,"病院",IF($AH1834=5,"消防","市長")),"対象外"))</f>
      </c>
    </row>
    <row r="1835">
      <c r="DB1835" s="2909">
        <f>IF($A1835="","",IF(AND($A1835=21,$AE1835&amp;""="00000000"),IF($AH1835=20,"病院",IF($AH1835=5,"消防","市長")),"対象外"))</f>
      </c>
    </row>
    <row r="1836">
      <c r="DB1836" s="2909">
        <f>IF($A1836="","",IF(AND($A1836=21,$AE1836&amp;""="00000000"),IF($AH1836=20,"病院",IF($AH1836=5,"消防","市長")),"対象外"))</f>
      </c>
    </row>
    <row r="1837">
      <c r="DB1837" s="2909">
        <f>IF($A1837="","",IF(AND($A1837=21,$AE1837&amp;""="00000000"),IF($AH1837=20,"病院",IF($AH1837=5,"消防","市長")),"対象外"))</f>
      </c>
    </row>
    <row r="1838">
      <c r="DB1838" s="2909">
        <f>IF($A1838="","",IF(AND($A1838=21,$AE1838&amp;""="00000000"),IF($AH1838=20,"病院",IF($AH1838=5,"消防","市長")),"対象外"))</f>
      </c>
    </row>
    <row r="1839">
      <c r="DB1839" s="2909">
        <f>IF($A1839="","",IF(AND($A1839=21,$AE1839&amp;""="00000000"),IF($AH1839=20,"病院",IF($AH1839=5,"消防","市長")),"対象外"))</f>
      </c>
    </row>
    <row r="1840">
      <c r="DB1840" s="2909">
        <f>IF($A1840="","",IF(AND($A1840=21,$AE1840&amp;""="00000000"),IF($AH1840=20,"病院",IF($AH1840=5,"消防","市長")),"対象外"))</f>
      </c>
    </row>
    <row r="1841">
      <c r="DB1841" s="2909">
        <f>IF($A1841="","",IF(AND($A1841=21,$AE1841&amp;""="00000000"),IF($AH1841=20,"病院",IF($AH1841=5,"消防","市長")),"対象外"))</f>
      </c>
    </row>
    <row r="1842">
      <c r="DB1842" s="2909">
        <f>IF($A1842="","",IF(AND($A1842=21,$AE1842&amp;""="00000000"),IF($AH1842=20,"病院",IF($AH1842=5,"消防","市長")),"対象外"))</f>
      </c>
    </row>
    <row r="1843">
      <c r="DB1843" s="2909">
        <f>IF($A1843="","",IF(AND($A1843=21,$AE1843&amp;""="00000000"),IF($AH1843=20,"病院",IF($AH1843=5,"消防","市長")),"対象外"))</f>
      </c>
    </row>
    <row r="1844">
      <c r="DB1844" s="2909">
        <f>IF($A1844="","",IF(AND($A1844=21,$AE1844&amp;""="00000000"),IF($AH1844=20,"病院",IF($AH1844=5,"消防","市長")),"対象外"))</f>
      </c>
    </row>
    <row r="1845">
      <c r="DB1845" s="2909">
        <f>IF($A1845="","",IF(AND($A1845=21,$AE1845&amp;""="00000000"),IF($AH1845=20,"病院",IF($AH1845=5,"消防","市長")),"対象外"))</f>
      </c>
    </row>
    <row r="1846">
      <c r="DB1846" s="2909">
        <f>IF($A1846="","",IF(AND($A1846=21,$AE1846&amp;""="00000000"),IF($AH1846=20,"病院",IF($AH1846=5,"消防","市長")),"対象外"))</f>
      </c>
    </row>
    <row r="1847">
      <c r="DB1847" s="2909">
        <f>IF($A1847="","",IF(AND($A1847=21,$AE1847&amp;""="00000000"),IF($AH1847=20,"病院",IF($AH1847=5,"消防","市長")),"対象外"))</f>
      </c>
    </row>
    <row r="1848">
      <c r="DB1848" s="2909">
        <f>IF($A1848="","",IF(AND($A1848=21,$AE1848&amp;""="00000000"),IF($AH1848=20,"病院",IF($AH1848=5,"消防","市長")),"対象外"))</f>
      </c>
    </row>
    <row r="1849">
      <c r="DB1849" s="2909">
        <f>IF($A1849="","",IF(AND($A1849=21,$AE1849&amp;""="00000000"),IF($AH1849=20,"病院",IF($AH1849=5,"消防","市長")),"対象外"))</f>
      </c>
    </row>
    <row r="1850">
      <c r="DB1850" s="2909">
        <f>IF($A1850="","",IF(AND($A1850=21,$AE1850&amp;""="00000000"),IF($AH1850=20,"病院",IF($AH1850=5,"消防","市長")),"対象外"))</f>
      </c>
    </row>
    <row r="1851">
      <c r="DB1851" s="2909">
        <f>IF($A1851="","",IF(AND($A1851=21,$AE1851&amp;""="00000000"),IF($AH1851=20,"病院",IF($AH1851=5,"消防","市長")),"対象外"))</f>
      </c>
    </row>
    <row r="1852">
      <c r="DB1852" s="2909">
        <f>IF($A1852="","",IF(AND($A1852=21,$AE1852&amp;""="00000000"),IF($AH1852=20,"病院",IF($AH1852=5,"消防","市長")),"対象外"))</f>
      </c>
    </row>
    <row r="1853">
      <c r="DB1853" s="2909">
        <f>IF($A1853="","",IF(AND($A1853=21,$AE1853&amp;""="00000000"),IF($AH1853=20,"病院",IF($AH1853=5,"消防","市長")),"対象外"))</f>
      </c>
    </row>
    <row r="1854">
      <c r="DB1854" s="2909">
        <f>IF($A1854="","",IF(AND($A1854=21,$AE1854&amp;""="00000000"),IF($AH1854=20,"病院",IF($AH1854=5,"消防","市長")),"対象外"))</f>
      </c>
    </row>
    <row r="1855">
      <c r="DB1855" s="2909">
        <f>IF($A1855="","",IF(AND($A1855=21,$AE1855&amp;""="00000000"),IF($AH1855=20,"病院",IF($AH1855=5,"消防","市長")),"対象外"))</f>
      </c>
    </row>
    <row r="1856">
      <c r="DB1856" s="2909">
        <f>IF($A1856="","",IF(AND($A1856=21,$AE1856&amp;""="00000000"),IF($AH1856=20,"病院",IF($AH1856=5,"消防","市長")),"対象外"))</f>
      </c>
    </row>
    <row r="1857">
      <c r="DB1857" s="2909">
        <f>IF($A1857="","",IF(AND($A1857=21,$AE1857&amp;""="00000000"),IF($AH1857=20,"病院",IF($AH1857=5,"消防","市長")),"対象外"))</f>
      </c>
    </row>
    <row r="1858">
      <c r="DB1858" s="2909">
        <f>IF($A1858="","",IF(AND($A1858=21,$AE1858&amp;""="00000000"),IF($AH1858=20,"病院",IF($AH1858=5,"消防","市長")),"対象外"))</f>
      </c>
    </row>
    <row r="1859">
      <c r="DB1859" s="2909">
        <f>IF($A1859="","",IF(AND($A1859=21,$AE1859&amp;""="00000000"),IF($AH1859=20,"病院",IF($AH1859=5,"消防","市長")),"対象外"))</f>
      </c>
    </row>
    <row r="1860">
      <c r="DB1860" s="2909">
        <f>IF($A1860="","",IF(AND($A1860=21,$AE1860&amp;""="00000000"),IF($AH1860=20,"病院",IF($AH1860=5,"消防","市長")),"対象外"))</f>
      </c>
    </row>
    <row r="1861">
      <c r="DB1861" s="2909">
        <f>IF($A1861="","",IF(AND($A1861=21,$AE1861&amp;""="00000000"),IF($AH1861=20,"病院",IF($AH1861=5,"消防","市長")),"対象外"))</f>
      </c>
    </row>
    <row r="1862">
      <c r="DB1862" s="2909">
        <f>IF($A1862="","",IF(AND($A1862=21,$AE1862&amp;""="00000000"),IF($AH1862=20,"病院",IF($AH1862=5,"消防","市長")),"対象外"))</f>
      </c>
    </row>
    <row r="1863">
      <c r="DB1863" s="2909">
        <f>IF($A1863="","",IF(AND($A1863=21,$AE1863&amp;""="00000000"),IF($AH1863=20,"病院",IF($AH1863=5,"消防","市長")),"対象外"))</f>
      </c>
    </row>
    <row r="1864">
      <c r="DB1864" s="2909">
        <f>IF($A1864="","",IF(AND($A1864=21,$AE1864&amp;""="00000000"),IF($AH1864=20,"病院",IF($AH1864=5,"消防","市長")),"対象外"))</f>
      </c>
    </row>
    <row r="1865">
      <c r="DB1865" s="2909">
        <f>IF($A1865="","",IF(AND($A1865=21,$AE1865&amp;""="00000000"),IF($AH1865=20,"病院",IF($AH1865=5,"消防","市長")),"対象外"))</f>
      </c>
    </row>
    <row r="1866">
      <c r="DB1866" s="2909">
        <f>IF($A1866="","",IF(AND($A1866=21,$AE1866&amp;""="00000000"),IF($AH1866=20,"病院",IF($AH1866=5,"消防","市長")),"対象外"))</f>
      </c>
    </row>
    <row r="1867">
      <c r="DB1867" s="2909">
        <f>IF($A1867="","",IF(AND($A1867=21,$AE1867&amp;""="00000000"),IF($AH1867=20,"病院",IF($AH1867=5,"消防","市長")),"対象外"))</f>
      </c>
    </row>
    <row r="1868">
      <c r="DB1868" s="2909">
        <f>IF($A1868="","",IF(AND($A1868=21,$AE1868&amp;""="00000000"),IF($AH1868=20,"病院",IF($AH1868=5,"消防","市長")),"対象外"))</f>
      </c>
    </row>
    <row r="1869">
      <c r="DB1869" s="2909">
        <f>IF($A1869="","",IF(AND($A1869=21,$AE1869&amp;""="00000000"),IF($AH1869=20,"病院",IF($AH1869=5,"消防","市長")),"対象外"))</f>
      </c>
    </row>
    <row r="1870">
      <c r="DB1870" s="2909">
        <f>IF($A1870="","",IF(AND($A1870=21,$AE1870&amp;""="00000000"),IF($AH1870=20,"病院",IF($AH1870=5,"消防","市長")),"対象外"))</f>
      </c>
    </row>
    <row r="1871">
      <c r="DB1871" s="2909">
        <f>IF($A1871="","",IF(AND($A1871=21,$AE1871&amp;""="00000000"),IF($AH1871=20,"病院",IF($AH1871=5,"消防","市長")),"対象外"))</f>
      </c>
    </row>
    <row r="1872">
      <c r="DB1872" s="2909">
        <f>IF($A1872="","",IF(AND($A1872=21,$AE1872&amp;""="00000000"),IF($AH1872=20,"病院",IF($AH1872=5,"消防","市長")),"対象外"))</f>
      </c>
    </row>
    <row r="1873">
      <c r="DB1873" s="2909">
        <f>IF($A1873="","",IF(AND($A1873=21,$AE1873&amp;""="00000000"),IF($AH1873=20,"病院",IF($AH1873=5,"消防","市長")),"対象外"))</f>
      </c>
    </row>
    <row r="1874">
      <c r="DB1874" s="2909">
        <f>IF($A1874="","",IF(AND($A1874=21,$AE1874&amp;""="00000000"),IF($AH1874=20,"病院",IF($AH1874=5,"消防","市長")),"対象外"))</f>
      </c>
    </row>
    <row r="1875">
      <c r="DB1875" s="2909">
        <f>IF($A1875="","",IF(AND($A1875=21,$AE1875&amp;""="00000000"),IF($AH1875=20,"病院",IF($AH1875=5,"消防","市長")),"対象外"))</f>
      </c>
    </row>
    <row r="1876">
      <c r="DB1876" s="2909">
        <f>IF($A1876="","",IF(AND($A1876=21,$AE1876&amp;""="00000000"),IF($AH1876=20,"病院",IF($AH1876=5,"消防","市長")),"対象外"))</f>
      </c>
    </row>
    <row r="1877">
      <c r="DB1877" s="2909">
        <f>IF($A1877="","",IF(AND($A1877=21,$AE1877&amp;""="00000000"),IF($AH1877=20,"病院",IF($AH1877=5,"消防","市長")),"対象外"))</f>
      </c>
    </row>
    <row r="1878">
      <c r="DB1878" s="2909">
        <f>IF($A1878="","",IF(AND($A1878=21,$AE1878&amp;""="00000000"),IF($AH1878=20,"病院",IF($AH1878=5,"消防","市長")),"対象外"))</f>
      </c>
    </row>
    <row r="1879">
      <c r="DB1879" s="2909">
        <f>IF($A1879="","",IF(AND($A1879=21,$AE1879&amp;""="00000000"),IF($AH1879=20,"病院",IF($AH1879=5,"消防","市長")),"対象外"))</f>
      </c>
    </row>
    <row r="1880">
      <c r="DB1880" s="2909">
        <f>IF($A1880="","",IF(AND($A1880=21,$AE1880&amp;""="00000000"),IF($AH1880=20,"病院",IF($AH1880=5,"消防","市長")),"対象外"))</f>
      </c>
    </row>
    <row r="1881">
      <c r="DB1881" s="2909">
        <f>IF($A1881="","",IF(AND($A1881=21,$AE1881&amp;""="00000000"),IF($AH1881=20,"病院",IF($AH1881=5,"消防","市長")),"対象外"))</f>
      </c>
    </row>
    <row r="1882">
      <c r="DB1882" s="2909">
        <f>IF($A1882="","",IF(AND($A1882=21,$AE1882&amp;""="00000000"),IF($AH1882=20,"病院",IF($AH1882=5,"消防","市長")),"対象外"))</f>
      </c>
    </row>
    <row r="1883">
      <c r="DB1883" s="2909">
        <f>IF($A1883="","",IF(AND($A1883=21,$AE1883&amp;""="00000000"),IF($AH1883=20,"病院",IF($AH1883=5,"消防","市長")),"対象外"))</f>
      </c>
    </row>
    <row r="1884">
      <c r="DB1884" s="2909">
        <f>IF($A1884="","",IF(AND($A1884=21,$AE1884&amp;""="00000000"),IF($AH1884=20,"病院",IF($AH1884=5,"消防","市長")),"対象外"))</f>
      </c>
    </row>
    <row r="1885">
      <c r="DB1885" s="2909">
        <f>IF($A1885="","",IF(AND($A1885=21,$AE1885&amp;""="00000000"),IF($AH1885=20,"病院",IF($AH1885=5,"消防","市長")),"対象外"))</f>
      </c>
    </row>
    <row r="1886">
      <c r="DB1886" s="2909">
        <f>IF($A1886="","",IF(AND($A1886=21,$AE1886&amp;""="00000000"),IF($AH1886=20,"病院",IF($AH1886=5,"消防","市長")),"対象外"))</f>
      </c>
    </row>
    <row r="1887">
      <c r="DB1887" s="2909">
        <f>IF($A1887="","",IF(AND($A1887=21,$AE1887&amp;""="00000000"),IF($AH1887=20,"病院",IF($AH1887=5,"消防","市長")),"対象外"))</f>
      </c>
    </row>
    <row r="1888">
      <c r="DB1888" s="2909">
        <f>IF($A1888="","",IF(AND($A1888=21,$AE1888&amp;""="00000000"),IF($AH1888=20,"病院",IF($AH1888=5,"消防","市長")),"対象外"))</f>
      </c>
    </row>
    <row r="1889">
      <c r="DB1889" s="2909">
        <f>IF($A1889="","",IF(AND($A1889=21,$AE1889&amp;""="00000000"),IF($AH1889=20,"病院",IF($AH1889=5,"消防","市長")),"対象外"))</f>
      </c>
    </row>
    <row r="1890">
      <c r="DB1890" s="2909">
        <f>IF($A1890="","",IF(AND($A1890=21,$AE1890&amp;""="00000000"),IF($AH1890=20,"病院",IF($AH1890=5,"消防","市長")),"対象外"))</f>
      </c>
    </row>
    <row r="1891">
      <c r="DB1891" s="2909">
        <f>IF($A1891="","",IF(AND($A1891=21,$AE1891&amp;""="00000000"),IF($AH1891=20,"病院",IF($AH1891=5,"消防","市長")),"対象外"))</f>
      </c>
    </row>
    <row r="1892">
      <c r="DB1892" s="2909">
        <f>IF($A1892="","",IF(AND($A1892=21,$AE1892&amp;""="00000000"),IF($AH1892=20,"病院",IF($AH1892=5,"消防","市長")),"対象外"))</f>
      </c>
    </row>
    <row r="1893">
      <c r="DB1893" s="2909">
        <f>IF($A1893="","",IF(AND($A1893=21,$AE1893&amp;""="00000000"),IF($AH1893=20,"病院",IF($AH1893=5,"消防","市長")),"対象外"))</f>
      </c>
    </row>
    <row r="1894">
      <c r="DB1894" s="2909">
        <f>IF($A1894="","",IF(AND($A1894=21,$AE1894&amp;""="00000000"),IF($AH1894=20,"病院",IF($AH1894=5,"消防","市長")),"対象外"))</f>
      </c>
    </row>
    <row r="1895">
      <c r="DB1895" s="2909">
        <f>IF($A1895="","",IF(AND($A1895=21,$AE1895&amp;""="00000000"),IF($AH1895=20,"病院",IF($AH1895=5,"消防","市長")),"対象外"))</f>
      </c>
    </row>
    <row r="1896">
      <c r="DB1896" s="2909">
        <f>IF($A1896="","",IF(AND($A1896=21,$AE1896&amp;""="00000000"),IF($AH1896=20,"病院",IF($AH1896=5,"消防","市長")),"対象外"))</f>
      </c>
    </row>
    <row r="1897">
      <c r="DB1897" s="2909">
        <f>IF($A1897="","",IF(AND($A1897=21,$AE1897&amp;""="00000000"),IF($AH1897=20,"病院",IF($AH1897=5,"消防","市長")),"対象外"))</f>
      </c>
    </row>
    <row r="1898">
      <c r="DB1898" s="2909">
        <f>IF($A1898="","",IF(AND($A1898=21,$AE1898&amp;""="00000000"),IF($AH1898=20,"病院",IF($AH1898=5,"消防","市長")),"対象外"))</f>
      </c>
    </row>
    <row r="1899">
      <c r="DB1899" s="2909">
        <f>IF($A1899="","",IF(AND($A1899=21,$AE1899&amp;""="00000000"),IF($AH1899=20,"病院",IF($AH1899=5,"消防","市長")),"対象外"))</f>
      </c>
    </row>
    <row r="1900">
      <c r="DB1900" s="2909">
        <f>IF($A1900="","",IF(AND($A1900=21,$AE1900&amp;""="00000000"),IF($AH1900=20,"病院",IF($AH1900=5,"消防","市長")),"対象外"))</f>
      </c>
    </row>
    <row r="1901">
      <c r="DB1901" s="2909">
        <f>IF($A1901="","",IF(AND($A1901=21,$AE1901&amp;""="00000000"),IF($AH1901=20,"病院",IF($AH1901=5,"消防","市長")),"対象外"))</f>
      </c>
    </row>
    <row r="1902">
      <c r="DB1902" s="2909">
        <f>IF($A1902="","",IF(AND($A1902=21,$AE1902&amp;""="00000000"),IF($AH1902=20,"病院",IF($AH1902=5,"消防","市長")),"対象外"))</f>
      </c>
    </row>
    <row r="1903">
      <c r="DB1903" s="2909">
        <f>IF($A1903="","",IF(AND($A1903=21,$AE1903&amp;""="00000000"),IF($AH1903=20,"病院",IF($AH1903=5,"消防","市長")),"対象外"))</f>
      </c>
    </row>
    <row r="1904">
      <c r="DB1904" s="2909">
        <f>IF($A1904="","",IF(AND($A1904=21,$AE1904&amp;""="00000000"),IF($AH1904=20,"病院",IF($AH1904=5,"消防","市長")),"対象外"))</f>
      </c>
    </row>
    <row r="1905">
      <c r="DB1905" s="2909">
        <f>IF($A1905="","",IF(AND($A1905=21,$AE1905&amp;""="00000000"),IF($AH1905=20,"病院",IF($AH1905=5,"消防","市長")),"対象外"))</f>
      </c>
    </row>
    <row r="1906">
      <c r="DB1906" s="2909">
        <f>IF($A1906="","",IF(AND($A1906=21,$AE1906&amp;""="00000000"),IF($AH1906=20,"病院",IF($AH1906=5,"消防","市長")),"対象外"))</f>
      </c>
    </row>
    <row r="1907">
      <c r="DB1907" s="2909">
        <f>IF($A1907="","",IF(AND($A1907=21,$AE1907&amp;""="00000000"),IF($AH1907=20,"病院",IF($AH1907=5,"消防","市長")),"対象外"))</f>
      </c>
    </row>
    <row r="1908">
      <c r="DB1908" s="2909">
        <f>IF($A1908="","",IF(AND($A1908=21,$AE1908&amp;""="00000000"),IF($AH1908=20,"病院",IF($AH1908=5,"消防","市長")),"対象外"))</f>
      </c>
    </row>
    <row r="1909">
      <c r="DB1909" s="2909">
        <f>IF($A1909="","",IF(AND($A1909=21,$AE1909&amp;""="00000000"),IF($AH1909=20,"病院",IF($AH1909=5,"消防","市長")),"対象外"))</f>
      </c>
    </row>
    <row r="1910">
      <c r="DB1910" s="2909">
        <f>IF($A1910="","",IF(AND($A1910=21,$AE1910&amp;""="00000000"),IF($AH1910=20,"病院",IF($AH1910=5,"消防","市長")),"対象外"))</f>
      </c>
    </row>
    <row r="1911">
      <c r="DB1911" s="2909">
        <f>IF($A1911="","",IF(AND($A1911=21,$AE1911&amp;""="00000000"),IF($AH1911=20,"病院",IF($AH1911=5,"消防","市長")),"対象外"))</f>
      </c>
    </row>
    <row r="1912">
      <c r="DB1912" s="2909">
        <f>IF($A1912="","",IF(AND($A1912=21,$AE1912&amp;""="00000000"),IF($AH1912=20,"病院",IF($AH1912=5,"消防","市長")),"対象外"))</f>
      </c>
    </row>
    <row r="1913">
      <c r="DB1913" s="2909">
        <f>IF($A1913="","",IF(AND($A1913=21,$AE1913&amp;""="00000000"),IF($AH1913=20,"病院",IF($AH1913=5,"消防","市長")),"対象外"))</f>
      </c>
    </row>
    <row r="1914">
      <c r="DB1914" s="2909">
        <f>IF($A1914="","",IF(AND($A1914=21,$AE1914&amp;""="00000000"),IF($AH1914=20,"病院",IF($AH1914=5,"消防","市長")),"対象外"))</f>
      </c>
    </row>
    <row r="1915">
      <c r="DB1915" s="2909">
        <f>IF($A1915="","",IF(AND($A1915=21,$AE1915&amp;""="00000000"),IF($AH1915=20,"病院",IF($AH1915=5,"消防","市長")),"対象外"))</f>
      </c>
    </row>
    <row r="1916">
      <c r="DB1916" s="2909">
        <f>IF($A1916="","",IF(AND($A1916=21,$AE1916&amp;""="00000000"),IF($AH1916=20,"病院",IF($AH1916=5,"消防","市長")),"対象外"))</f>
      </c>
    </row>
    <row r="1917">
      <c r="DB1917" s="2909">
        <f>IF($A1917="","",IF(AND($A1917=21,$AE1917&amp;""="00000000"),IF($AH1917=20,"病院",IF($AH1917=5,"消防","市長")),"対象外"))</f>
      </c>
    </row>
    <row r="1918">
      <c r="DB1918" s="2909">
        <f>IF($A1918="","",IF(AND($A1918=21,$AE1918&amp;""="00000000"),IF($AH1918=20,"病院",IF($AH1918=5,"消防","市長")),"対象外"))</f>
      </c>
    </row>
    <row r="1919">
      <c r="DB1919" s="2909">
        <f>IF($A1919="","",IF(AND($A1919=21,$AE1919&amp;""="00000000"),IF($AH1919=20,"病院",IF($AH1919=5,"消防","市長")),"対象外"))</f>
      </c>
    </row>
    <row r="1920">
      <c r="DB1920" s="2909">
        <f>IF($A1920="","",IF(AND($A1920=21,$AE1920&amp;""="00000000"),IF($AH1920=20,"病院",IF($AH1920=5,"消防","市長")),"対象外"))</f>
      </c>
    </row>
    <row r="1921">
      <c r="DB1921" s="2909">
        <f>IF($A1921="","",IF(AND($A1921=21,$AE1921&amp;""="00000000"),IF($AH1921=20,"病院",IF($AH1921=5,"消防","市長")),"対象外"))</f>
      </c>
    </row>
    <row r="1922">
      <c r="DB1922" s="2909">
        <f>IF($A1922="","",IF(AND($A1922=21,$AE1922&amp;""="00000000"),IF($AH1922=20,"病院",IF($AH1922=5,"消防","市長")),"対象外"))</f>
      </c>
    </row>
    <row r="1923">
      <c r="DB1923" s="2909">
        <f>IF($A1923="","",IF(AND($A1923=21,$AE1923&amp;""="00000000"),IF($AH1923=20,"病院",IF($AH1923=5,"消防","市長")),"対象外"))</f>
      </c>
    </row>
    <row r="1924">
      <c r="DB1924" s="2909">
        <f>IF($A1924="","",IF(AND($A1924=21,$AE1924&amp;""="00000000"),IF($AH1924=20,"病院",IF($AH1924=5,"消防","市長")),"対象外"))</f>
      </c>
    </row>
    <row r="1925">
      <c r="DB1925" s="2909">
        <f>IF($A1925="","",IF(AND($A1925=21,$AE1925&amp;""="00000000"),IF($AH1925=20,"病院",IF($AH1925=5,"消防","市長")),"対象外"))</f>
      </c>
    </row>
    <row r="1926">
      <c r="DB1926" s="2909">
        <f>IF($A1926="","",IF(AND($A1926=21,$AE1926&amp;""="00000000"),IF($AH1926=20,"病院",IF($AH1926=5,"消防","市長")),"対象外"))</f>
      </c>
    </row>
    <row r="1927">
      <c r="DB1927" s="2909">
        <f>IF($A1927="","",IF(AND($A1927=21,$AE1927&amp;""="00000000"),IF($AH1927=20,"病院",IF($AH1927=5,"消防","市長")),"対象外"))</f>
      </c>
    </row>
    <row r="1928">
      <c r="DB1928" s="2909">
        <f>IF($A1928="","",IF(AND($A1928=21,$AE1928&amp;""="00000000"),IF($AH1928=20,"病院",IF($AH1928=5,"消防","市長")),"対象外"))</f>
      </c>
    </row>
    <row r="1929">
      <c r="DB1929" s="2909">
        <f>IF($A1929="","",IF(AND($A1929=21,$AE1929&amp;""="00000000"),IF($AH1929=20,"病院",IF($AH1929=5,"消防","市長")),"対象外"))</f>
      </c>
    </row>
    <row r="1930">
      <c r="DB1930" s="2909">
        <f>IF($A1930="","",IF(AND($A1930=21,$AE1930&amp;""="00000000"),IF($AH1930=20,"病院",IF($AH1930=5,"消防","市長")),"対象外"))</f>
      </c>
    </row>
    <row r="1931">
      <c r="DB1931" s="2909">
        <f>IF($A1931="","",IF(AND($A1931=21,$AE1931&amp;""="00000000"),IF($AH1931=20,"病院",IF($AH1931=5,"消防","市長")),"対象外"))</f>
      </c>
    </row>
    <row r="1932">
      <c r="DB1932" s="2909">
        <f>IF($A1932="","",IF(AND($A1932=21,$AE1932&amp;""="00000000"),IF($AH1932=20,"病院",IF($AH1932=5,"消防","市長")),"対象外"))</f>
      </c>
    </row>
    <row r="1933">
      <c r="DB1933" s="2909">
        <f>IF($A1933="","",IF(AND($A1933=21,$AE1933&amp;""="00000000"),IF($AH1933=20,"病院",IF($AH1933=5,"消防","市長")),"対象外"))</f>
      </c>
    </row>
    <row r="1934">
      <c r="DB1934" s="2909">
        <f>IF($A1934="","",IF(AND($A1934=21,$AE1934&amp;""="00000000"),IF($AH1934=20,"病院",IF($AH1934=5,"消防","市長")),"対象外"))</f>
      </c>
    </row>
    <row r="1935">
      <c r="DB1935" s="2909">
        <f>IF($A1935="","",IF(AND($A1935=21,$AE1935&amp;""="00000000"),IF($AH1935=20,"病院",IF($AH1935=5,"消防","市長")),"対象外"))</f>
      </c>
    </row>
    <row r="1936">
      <c r="DB1936" s="2909">
        <f>IF($A1936="","",IF(AND($A1936=21,$AE1936&amp;""="00000000"),IF($AH1936=20,"病院",IF($AH1936=5,"消防","市長")),"対象外"))</f>
      </c>
    </row>
    <row r="1937">
      <c r="DB1937" s="2909">
        <f>IF($A1937="","",IF(AND($A1937=21,$AE1937&amp;""="00000000"),IF($AH1937=20,"病院",IF($AH1937=5,"消防","市長")),"対象外"))</f>
      </c>
    </row>
    <row r="1938">
      <c r="DB1938" s="2909">
        <f>IF($A1938="","",IF(AND($A1938=21,$AE1938&amp;""="00000000"),IF($AH1938=20,"病院",IF($AH1938=5,"消防","市長")),"対象外"))</f>
      </c>
    </row>
    <row r="1939">
      <c r="DB1939" s="2909">
        <f>IF($A1939="","",IF(AND($A1939=21,$AE1939&amp;""="00000000"),IF($AH1939=20,"病院",IF($AH1939=5,"消防","市長")),"対象外"))</f>
      </c>
    </row>
    <row r="1940">
      <c r="DB1940" s="2909">
        <f>IF($A1940="","",IF(AND($A1940=21,$AE1940&amp;""="00000000"),IF($AH1940=20,"病院",IF($AH1940=5,"消防","市長")),"対象外"))</f>
      </c>
    </row>
    <row r="1941">
      <c r="DB1941" s="2909">
        <f>IF($A1941="","",IF(AND($A1941=21,$AE1941&amp;""="00000000"),IF($AH1941=20,"病院",IF($AH1941=5,"消防","市長")),"対象外"))</f>
      </c>
    </row>
    <row r="1942">
      <c r="DB1942" s="2909">
        <f>IF($A1942="","",IF(AND($A1942=21,$AE1942&amp;""="00000000"),IF($AH1942=20,"病院",IF($AH1942=5,"消防","市長")),"対象外"))</f>
      </c>
    </row>
    <row r="1943">
      <c r="DB1943" s="2909">
        <f>IF($A1943="","",IF(AND($A1943=21,$AE1943&amp;""="00000000"),IF($AH1943=20,"病院",IF($AH1943=5,"消防","市長")),"対象外"))</f>
      </c>
    </row>
    <row r="1944">
      <c r="DB1944" s="2909">
        <f>IF($A1944="","",IF(AND($A1944=21,$AE1944&amp;""="00000000"),IF($AH1944=20,"病院",IF($AH1944=5,"消防","市長")),"対象外"))</f>
      </c>
    </row>
    <row r="1945">
      <c r="DB1945" s="2909">
        <f>IF($A1945="","",IF(AND($A1945=21,$AE1945&amp;""="00000000"),IF($AH1945=20,"病院",IF($AH1945=5,"消防","市長")),"対象外"))</f>
      </c>
    </row>
    <row r="1946">
      <c r="DB1946" s="2909">
        <f>IF($A1946="","",IF(AND($A1946=21,$AE1946&amp;""="00000000"),IF($AH1946=20,"病院",IF($AH1946=5,"消防","市長")),"対象外"))</f>
      </c>
    </row>
    <row r="1947">
      <c r="DB1947" s="2909">
        <f>IF($A1947="","",IF(AND($A1947=21,$AE1947&amp;""="00000000"),IF($AH1947=20,"病院",IF($AH1947=5,"消防","市長")),"対象外"))</f>
      </c>
    </row>
    <row r="1948">
      <c r="DB1948" s="2909">
        <f>IF($A1948="","",IF(AND($A1948=21,$AE1948&amp;""="00000000"),IF($AH1948=20,"病院",IF($AH1948=5,"消防","市長")),"対象外"))</f>
      </c>
    </row>
    <row r="1949">
      <c r="DB1949" s="2909">
        <f>IF($A1949="","",IF(AND($A1949=21,$AE1949&amp;""="00000000"),IF($AH1949=20,"病院",IF($AH1949=5,"消防","市長")),"対象外"))</f>
      </c>
    </row>
    <row r="1950">
      <c r="DB1950" s="2909">
        <f>IF($A1950="","",IF(AND($A1950=21,$AE1950&amp;""="00000000"),IF($AH1950=20,"病院",IF($AH1950=5,"消防","市長")),"対象外"))</f>
      </c>
    </row>
    <row r="1951">
      <c r="DB1951" s="2909">
        <f>IF($A1951="","",IF(AND($A1951=21,$AE1951&amp;""="00000000"),IF($AH1951=20,"病院",IF($AH1951=5,"消防","市長")),"対象外"))</f>
      </c>
    </row>
    <row r="1952">
      <c r="DB1952" s="2909">
        <f>IF($A1952="","",IF(AND($A1952=21,$AE1952&amp;""="00000000"),IF($AH1952=20,"病院",IF($AH1952=5,"消防","市長")),"対象外"))</f>
      </c>
    </row>
    <row r="1953">
      <c r="DB1953" s="2909">
        <f>IF($A1953="","",IF(AND($A1953=21,$AE1953&amp;""="00000000"),IF($AH1953=20,"病院",IF($AH1953=5,"消防","市長")),"対象外"))</f>
      </c>
    </row>
    <row r="1954">
      <c r="DB1954" s="2909">
        <f>IF($A1954="","",IF(AND($A1954=21,$AE1954&amp;""="00000000"),IF($AH1954=20,"病院",IF($AH1954=5,"消防","市長")),"対象外"))</f>
      </c>
    </row>
    <row r="1955">
      <c r="DB1955" s="2909">
        <f>IF($A1955="","",IF(AND($A1955=21,$AE1955&amp;""="00000000"),IF($AH1955=20,"病院",IF($AH1955=5,"消防","市長")),"対象外"))</f>
      </c>
    </row>
    <row r="1956">
      <c r="DB1956" s="2909">
        <f>IF($A1956="","",IF(AND($A1956=21,$AE1956&amp;""="00000000"),IF($AH1956=20,"病院",IF($AH1956=5,"消防","市長")),"対象外"))</f>
      </c>
    </row>
    <row r="1957">
      <c r="DB1957" s="2909">
        <f>IF($A1957="","",IF(AND($A1957=21,$AE1957&amp;""="00000000"),IF($AH1957=20,"病院",IF($AH1957=5,"消防","市長")),"対象外"))</f>
      </c>
    </row>
    <row r="1958">
      <c r="DB1958" s="2909">
        <f>IF($A1958="","",IF(AND($A1958=21,$AE1958&amp;""="00000000"),IF($AH1958=20,"病院",IF($AH1958=5,"消防","市長")),"対象外"))</f>
      </c>
    </row>
    <row r="1959">
      <c r="DB1959" s="2909">
        <f>IF($A1959="","",IF(AND($A1959=21,$AE1959&amp;""="00000000"),IF($AH1959=20,"病院",IF($AH1959=5,"消防","市長")),"対象外"))</f>
      </c>
    </row>
    <row r="1960">
      <c r="DB1960" s="2909">
        <f>IF($A1960="","",IF(AND($A1960=21,$AE1960&amp;""="00000000"),IF($AH1960=20,"病院",IF($AH1960=5,"消防","市長")),"対象外"))</f>
      </c>
    </row>
    <row r="1961">
      <c r="DB1961" s="2909">
        <f>IF($A1961="","",IF(AND($A1961=21,$AE1961&amp;""="00000000"),IF($AH1961=20,"病院",IF($AH1961=5,"消防","市長")),"対象外"))</f>
      </c>
    </row>
    <row r="1962">
      <c r="DB1962" s="2909">
        <f>IF($A1962="","",IF(AND($A1962=21,$AE1962&amp;""="00000000"),IF($AH1962=20,"病院",IF($AH1962=5,"消防","市長")),"対象外"))</f>
      </c>
    </row>
    <row r="1963">
      <c r="DB1963" s="2909">
        <f>IF($A1963="","",IF(AND($A1963=21,$AE1963&amp;""="00000000"),IF($AH1963=20,"病院",IF($AH1963=5,"消防","市長")),"対象外"))</f>
      </c>
    </row>
    <row r="1964">
      <c r="DB1964" s="2909">
        <f>IF($A1964="","",IF(AND($A1964=21,$AE1964&amp;""="00000000"),IF($AH1964=20,"病院",IF($AH1964=5,"消防","市長")),"対象外"))</f>
      </c>
    </row>
    <row r="1965">
      <c r="DB1965" s="2909">
        <f>IF($A1965="","",IF(AND($A1965=21,$AE1965&amp;""="00000000"),IF($AH1965=20,"病院",IF($AH1965=5,"消防","市長")),"対象外"))</f>
      </c>
    </row>
    <row r="1966">
      <c r="DB1966" s="2909">
        <f>IF($A1966="","",IF(AND($A1966=21,$AE1966&amp;""="00000000"),IF($AH1966=20,"病院",IF($AH1966=5,"消防","市長")),"対象外"))</f>
      </c>
    </row>
    <row r="1967">
      <c r="DB1967" s="2909">
        <f>IF($A1967="","",IF(AND($A1967=21,$AE1967&amp;""="00000000"),IF($AH1967=20,"病院",IF($AH1967=5,"消防","市長")),"対象外"))</f>
      </c>
    </row>
    <row r="1968">
      <c r="DB1968" s="2909">
        <f>IF($A1968="","",IF(AND($A1968=21,$AE1968&amp;""="00000000"),IF($AH1968=20,"病院",IF($AH1968=5,"消防","市長")),"対象外"))</f>
      </c>
    </row>
    <row r="1969">
      <c r="DB1969" s="2909">
        <f>IF($A1969="","",IF(AND($A1969=21,$AE1969&amp;""="00000000"),IF($AH1969=20,"病院",IF($AH1969=5,"消防","市長")),"対象外"))</f>
      </c>
    </row>
    <row r="1970">
      <c r="DB1970" s="2909">
        <f>IF($A1970="","",IF(AND($A1970=21,$AE1970&amp;""="00000000"),IF($AH1970=20,"病院",IF($AH1970=5,"消防","市長")),"対象外"))</f>
      </c>
    </row>
    <row r="1971">
      <c r="DB1971" s="2909">
        <f>IF($A1971="","",IF(AND($A1971=21,$AE1971&amp;""="00000000"),IF($AH1971=20,"病院",IF($AH1971=5,"消防","市長")),"対象外"))</f>
      </c>
    </row>
    <row r="1972">
      <c r="DB1972" s="2909">
        <f>IF($A1972="","",IF(AND($A1972=21,$AE1972&amp;""="00000000"),IF($AH1972=20,"病院",IF($AH1972=5,"消防","市長")),"対象外"))</f>
      </c>
    </row>
    <row r="1973">
      <c r="DB1973" s="2909">
        <f>IF($A1973="","",IF(AND($A1973=21,$AE1973&amp;""="00000000"),IF($AH1973=20,"病院",IF($AH1973=5,"消防","市長")),"対象外"))</f>
      </c>
    </row>
    <row r="1974">
      <c r="DB1974" s="2909">
        <f>IF($A1974="","",IF(AND($A1974=21,$AE1974&amp;""="00000000"),IF($AH1974=20,"病院",IF($AH1974=5,"消防","市長")),"対象外"))</f>
      </c>
    </row>
    <row r="1975">
      <c r="DB1975" s="2909">
        <f>IF($A1975="","",IF(AND($A1975=21,$AE1975&amp;""="00000000"),IF($AH1975=20,"病院",IF($AH1975=5,"消防","市長")),"対象外"))</f>
      </c>
    </row>
    <row r="1976">
      <c r="DB1976" s="2909">
        <f>IF($A1976="","",IF(AND($A1976=21,$AE1976&amp;""="00000000"),IF($AH1976=20,"病院",IF($AH1976=5,"消防","市長")),"対象外"))</f>
      </c>
    </row>
    <row r="1977">
      <c r="DB1977" s="2909">
        <f>IF($A1977="","",IF(AND($A1977=21,$AE1977&amp;""="00000000"),IF($AH1977=20,"病院",IF($AH1977=5,"消防","市長")),"対象外"))</f>
      </c>
    </row>
    <row r="1978">
      <c r="DB1978" s="2909">
        <f>IF($A1978="","",IF(AND($A1978=21,$AE1978&amp;""="00000000"),IF($AH1978=20,"病院",IF($AH1978=5,"消防","市長")),"対象外"))</f>
      </c>
    </row>
    <row r="1979">
      <c r="DB1979" s="2909">
        <f>IF($A1979="","",IF(AND($A1979=21,$AE1979&amp;""="00000000"),IF($AH1979=20,"病院",IF($AH1979=5,"消防","市長")),"対象外"))</f>
      </c>
    </row>
    <row r="1980">
      <c r="DB1980" s="2909">
        <f>IF($A1980="","",IF(AND($A1980=21,$AE1980&amp;""="00000000"),IF($AH1980=20,"病院",IF($AH1980=5,"消防","市長")),"対象外"))</f>
      </c>
    </row>
    <row r="1981">
      <c r="DB1981" s="2909">
        <f>IF($A1981="","",IF(AND($A1981=21,$AE1981&amp;""="00000000"),IF($AH1981=20,"病院",IF($AH1981=5,"消防","市長")),"対象外"))</f>
      </c>
    </row>
    <row r="1982">
      <c r="DB1982" s="2909">
        <f>IF($A1982="","",IF(AND($A1982=21,$AE1982&amp;""="00000000"),IF($AH1982=20,"病院",IF($AH1982=5,"消防","市長")),"対象外"))</f>
      </c>
    </row>
    <row r="1983">
      <c r="DB1983" s="2909">
        <f>IF($A1983="","",IF(AND($A1983=21,$AE1983&amp;""="00000000"),IF($AH1983=20,"病院",IF($AH1983=5,"消防","市長")),"対象外"))</f>
      </c>
    </row>
    <row r="1984">
      <c r="DB1984" s="2909">
        <f>IF($A1984="","",IF(AND($A1984=21,$AE1984&amp;""="00000000"),IF($AH1984=20,"病院",IF($AH1984=5,"消防","市長")),"対象外"))</f>
      </c>
    </row>
    <row r="1985">
      <c r="DB1985" s="2909">
        <f>IF($A1985="","",IF(AND($A1985=21,$AE1985&amp;""="00000000"),IF($AH1985=20,"病院",IF($AH1985=5,"消防","市長")),"対象外"))</f>
      </c>
    </row>
    <row r="1986">
      <c r="DB1986" s="2909">
        <f>IF($A1986="","",IF(AND($A1986=21,$AE1986&amp;""="00000000"),IF($AH1986=20,"病院",IF($AH1986=5,"消防","市長")),"対象外"))</f>
      </c>
    </row>
    <row r="1987">
      <c r="DB1987" s="2909">
        <f>IF($A1987="","",IF(AND($A1987=21,$AE1987&amp;""="00000000"),IF($AH1987=20,"病院",IF($AH1987=5,"消防","市長")),"対象外"))</f>
      </c>
    </row>
    <row r="1988">
      <c r="DB1988" s="2909">
        <f>IF($A1988="","",IF(AND($A1988=21,$AE1988&amp;""="00000000"),IF($AH1988=20,"病院",IF($AH1988=5,"消防","市長")),"対象外"))</f>
      </c>
    </row>
    <row r="1989">
      <c r="DB1989" s="2909">
        <f>IF($A1989="","",IF(AND($A1989=21,$AE1989&amp;""="00000000"),IF($AH1989=20,"病院",IF($AH1989=5,"消防","市長")),"対象外"))</f>
      </c>
    </row>
    <row r="1990">
      <c r="DB1990" s="2909">
        <f>IF($A1990="","",IF(AND($A1990=21,$AE1990&amp;""="00000000"),IF($AH1990=20,"病院",IF($AH1990=5,"消防","市長")),"対象外"))</f>
      </c>
    </row>
    <row r="1991">
      <c r="DB1991" s="2909">
        <f>IF($A1991="","",IF(AND($A1991=21,$AE1991&amp;""="00000000"),IF($AH1991=20,"病院",IF($AH1991=5,"消防","市長")),"対象外"))</f>
      </c>
    </row>
    <row r="1992">
      <c r="DB1992" s="2909">
        <f>IF($A1992="","",IF(AND($A1992=21,$AE1992&amp;""="00000000"),IF($AH1992=20,"病院",IF($AH1992=5,"消防","市長")),"対象外"))</f>
      </c>
    </row>
    <row r="1993">
      <c r="DB1993" s="2909">
        <f>IF($A1993="","",IF(AND($A1993=21,$AE1993&amp;""="00000000"),IF($AH1993=20,"病院",IF($AH1993=5,"消防","市長")),"対象外"))</f>
      </c>
    </row>
    <row r="1994">
      <c r="DB1994" s="2909">
        <f>IF($A1994="","",IF(AND($A1994=21,$AE1994&amp;""="00000000"),IF($AH1994=20,"病院",IF($AH1994=5,"消防","市長")),"対象外"))</f>
      </c>
    </row>
    <row r="1995">
      <c r="DB1995" s="2909">
        <f>IF($A1995="","",IF(AND($A1995=21,$AE1995&amp;""="00000000"),IF($AH1995=20,"病院",IF($AH1995=5,"消防","市長")),"対象外"))</f>
      </c>
    </row>
    <row r="1996">
      <c r="DB1996" s="2909">
        <f>IF($A1996="","",IF(AND($A1996=21,$AE1996&amp;""="00000000"),IF($AH1996=20,"病院",IF($AH1996=5,"消防","市長")),"対象外"))</f>
      </c>
    </row>
    <row r="1997">
      <c r="DB1997" s="2909">
        <f>IF($A1997="","",IF(AND($A1997=21,$AE1997&amp;""="00000000"),IF($AH1997=20,"病院",IF($AH1997=5,"消防","市長")),"対象外"))</f>
      </c>
    </row>
    <row r="1998">
      <c r="DB1998" s="2909">
        <f>IF($A1998="","",IF(AND($A1998=21,$AE1998&amp;""="00000000"),IF($AH1998=20,"病院",IF($AH1998=5,"消防","市長")),"対象外"))</f>
      </c>
    </row>
    <row r="1999">
      <c r="DB1999" s="2909">
        <f>IF($A1999="","",IF(AND($A1999=21,$AE1999&amp;""="00000000"),IF($AH1999=20,"病院",IF($AH1999=5,"消防","市長")),"対象外"))</f>
      </c>
    </row>
    <row r="2000">
      <c r="DB2000" s="2909">
        <f>IF($A2000="","",IF(AND($A2000=21,$AE2000&amp;""="00000000"),IF($AH2000=20,"病院",IF($AH2000=5,"消防","市長")),"対象外"))</f>
      </c>
    </row>
    <row r="2001">
      <c r="DB2001" s="2909">
        <f>IF($A2001="","",IF(AND($A2001=21,$AE2001&amp;""="00000000"),IF($AH2001=20,"病院",IF($AH2001=5,"消防","市長")),"対象外"))</f>
      </c>
    </row>
    <row r="2002">
      <c r="DB2002" s="2909">
        <f>IF($A2002="","",IF(AND($A2002=21,$AE2002&amp;""="00000000"),IF($AH2002=20,"病院",IF($AH2002=5,"消防","市長")),"対象外"))</f>
      </c>
    </row>
    <row r="2003">
      <c r="DB2003" s="2909">
        <f>IF($A2003="","",IF(AND($A2003=21,$AE2003&amp;""="00000000"),IF($AH2003=20,"病院",IF($AH2003=5,"消防","市長")),"対象外"))</f>
      </c>
    </row>
    <row r="2004">
      <c r="DB2004" s="2909">
        <f>IF($A2004="","",IF(AND($A2004=21,$AE2004&amp;""="00000000"),IF($AH2004=20,"病院",IF($AH2004=5,"消防","市長")),"対象外"))</f>
      </c>
    </row>
    <row r="2005">
      <c r="DB2005" s="2909">
        <f>IF($A2005="","",IF(AND($A2005=21,$AE2005&amp;""="00000000"),IF($AH2005=20,"病院",IF($AH2005=5,"消防","市長")),"対象外"))</f>
      </c>
    </row>
    <row r="2006">
      <c r="DB2006" s="2909">
        <f>IF($A2006="","",IF(AND($A2006=21,$AE2006&amp;""="00000000"),IF($AH2006=20,"病院",IF($AH2006=5,"消防","市長")),"対象外"))</f>
      </c>
    </row>
    <row r="2007">
      <c r="DB2007" s="2909">
        <f>IF($A2007="","",IF(AND($A2007=21,$AE2007&amp;""="00000000"),IF($AH2007=20,"病院",IF($AH2007=5,"消防","市長")),"対象外"))</f>
      </c>
    </row>
    <row r="2008">
      <c r="DB2008" s="2909">
        <f>IF($A2008="","",IF(AND($A2008=21,$AE2008&amp;""="00000000"),IF($AH2008=20,"病院",IF($AH2008=5,"消防","市長")),"対象外"))</f>
      </c>
    </row>
    <row r="2009">
      <c r="DB2009" s="2909">
        <f>IF($A2009="","",IF(AND($A2009=21,$AE2009&amp;""="00000000"),IF($AH2009=20,"病院",IF($AH2009=5,"消防","市長")),"対象外"))</f>
      </c>
    </row>
    <row r="2010">
      <c r="DB2010" s="2909">
        <f>IF($A2010="","",IF(AND($A2010=21,$AE2010&amp;""="00000000"),IF($AH2010=20,"病院",IF($AH2010=5,"消防","市長")),"対象外"))</f>
      </c>
    </row>
    <row r="2011">
      <c r="DB2011" s="2909">
        <f>IF($A2011="","",IF(AND($A2011=21,$AE2011&amp;""="00000000"),IF($AH2011=20,"病院",IF($AH2011=5,"消防","市長")),"対象外"))</f>
      </c>
    </row>
    <row r="2012">
      <c r="DB2012" s="2909">
        <f>IF($A2012="","",IF(AND($A2012=21,$AE2012&amp;""="00000000"),IF($AH2012=20,"病院",IF($AH2012=5,"消防","市長")),"対象外"))</f>
      </c>
    </row>
    <row r="2013">
      <c r="DB2013" s="2909">
        <f>IF($A2013="","",IF(AND($A2013=21,$AE2013&amp;""="00000000"),IF($AH2013=20,"病院",IF($AH2013=5,"消防","市長")),"対象外"))</f>
      </c>
    </row>
    <row r="2014">
      <c r="DB2014" s="2909">
        <f>IF($A2014="","",IF(AND($A2014=21,$AE2014&amp;""="00000000"),IF($AH2014=20,"病院",IF($AH2014=5,"消防","市長")),"対象外"))</f>
      </c>
    </row>
    <row r="2015">
      <c r="DB2015" s="2909">
        <f>IF($A2015="","",IF(AND($A2015=21,$AE2015&amp;""="00000000"),IF($AH2015=20,"病院",IF($AH2015=5,"消防","市長")),"対象外"))</f>
      </c>
    </row>
    <row r="2016">
      <c r="DB2016" s="2909">
        <f>IF($A2016="","",IF(AND($A2016=21,$AE2016&amp;""="00000000"),IF($AH2016=20,"病院",IF($AH2016=5,"消防","市長")),"対象外"))</f>
      </c>
    </row>
    <row r="2017">
      <c r="DB2017" s="2909">
        <f>IF($A2017="","",IF(AND($A2017=21,$AE2017&amp;""="00000000"),IF($AH2017=20,"病院",IF($AH2017=5,"消防","市長")),"対象外"))</f>
      </c>
    </row>
    <row r="2018">
      <c r="DB2018" s="2909">
        <f>IF($A2018="","",IF(AND($A2018=21,$AE2018&amp;""="00000000"),IF($AH2018=20,"病院",IF($AH2018=5,"消防","市長")),"対象外"))</f>
      </c>
    </row>
    <row r="2019">
      <c r="DB2019" s="2909">
        <f>IF($A2019="","",IF(AND($A2019=21,$AE2019&amp;""="00000000"),IF($AH2019=20,"病院",IF($AH2019=5,"消防","市長")),"対象外"))</f>
      </c>
    </row>
    <row r="2020">
      <c r="DB2020" s="2909">
        <f>IF($A2020="","",IF(AND($A2020=21,$AE2020&amp;""="00000000"),IF($AH2020=20,"病院",IF($AH2020=5,"消防","市長")),"対象外"))</f>
      </c>
    </row>
    <row r="2021">
      <c r="DB2021" s="2909">
        <f>IF($A2021="","",IF(AND($A2021=21,$AE2021&amp;""="00000000"),IF($AH2021=20,"病院",IF($AH2021=5,"消防","市長")),"対象外"))</f>
      </c>
    </row>
    <row r="2022">
      <c r="DB2022" s="2909">
        <f>IF($A2022="","",IF(AND($A2022=21,$AE2022&amp;""="00000000"),IF($AH2022=20,"病院",IF($AH2022=5,"消防","市長")),"対象外"))</f>
      </c>
    </row>
    <row r="2023">
      <c r="DB2023" s="2909">
        <f>IF($A2023="","",IF(AND($A2023=21,$AE2023&amp;""="00000000"),IF($AH2023=20,"病院",IF($AH2023=5,"消防","市長")),"対象外"))</f>
      </c>
    </row>
    <row r="2024">
      <c r="DB2024" s="2909">
        <f>IF($A2024="","",IF(AND($A2024=21,$AE2024&amp;""="00000000"),IF($AH2024=20,"病院",IF($AH2024=5,"消防","市長")),"対象外"))</f>
      </c>
    </row>
    <row r="2025">
      <c r="DB2025" s="2909">
        <f>IF($A2025="","",IF(AND($A2025=21,$AE2025&amp;""="00000000"),IF($AH2025=20,"病院",IF($AH2025=5,"消防","市長")),"対象外"))</f>
      </c>
    </row>
    <row r="2026">
      <c r="DB2026" s="2909">
        <f>IF($A2026="","",IF(AND($A2026=21,$AE2026&amp;""="00000000"),IF($AH2026=20,"病院",IF($AH2026=5,"消防","市長")),"対象外"))</f>
      </c>
    </row>
    <row r="2027">
      <c r="DB2027" s="2909">
        <f>IF($A2027="","",IF(AND($A2027=21,$AE2027&amp;""="00000000"),IF($AH2027=20,"病院",IF($AH2027=5,"消防","市長")),"対象外"))</f>
      </c>
    </row>
    <row r="2028">
      <c r="DB2028" s="2909">
        <f>IF($A2028="","",IF(AND($A2028=21,$AE2028&amp;""="00000000"),IF($AH2028=20,"病院",IF($AH2028=5,"消防","市長")),"対象外"))</f>
      </c>
    </row>
    <row r="2029">
      <c r="DB2029" s="2909">
        <f>IF($A2029="","",IF(AND($A2029=21,$AE2029&amp;""="00000000"),IF($AH2029=20,"病院",IF($AH2029=5,"消防","市長")),"対象外"))</f>
      </c>
    </row>
    <row r="2030">
      <c r="DB2030" s="2909">
        <f>IF($A2030="","",IF(AND($A2030=21,$AE2030&amp;""="00000000"),IF($AH2030=20,"病院",IF($AH2030=5,"消防","市長")),"対象外"))</f>
      </c>
    </row>
    <row r="2031">
      <c r="DB2031" s="2909">
        <f>IF($A2031="","",IF(AND($A2031=21,$AE2031&amp;""="00000000"),IF($AH2031=20,"病院",IF($AH2031=5,"消防","市長")),"対象外"))</f>
      </c>
    </row>
    <row r="2032">
      <c r="DB2032" s="2909">
        <f>IF($A2032="","",IF(AND($A2032=21,$AE2032&amp;""="00000000"),IF($AH2032=20,"病院",IF($AH2032=5,"消防","市長")),"対象外"))</f>
      </c>
    </row>
    <row r="2033">
      <c r="DB2033" s="2909">
        <f>IF($A2033="","",IF(AND($A2033=21,$AE2033&amp;""="00000000"),IF($AH2033=20,"病院",IF($AH2033=5,"消防","市長")),"対象外"))</f>
      </c>
    </row>
    <row r="2034">
      <c r="DB2034" s="2909">
        <f>IF($A2034="","",IF(AND($A2034=21,$AE2034&amp;""="00000000"),IF($AH2034=20,"病院",IF($AH2034=5,"消防","市長")),"対象外"))</f>
      </c>
    </row>
    <row r="2035">
      <c r="DB2035" s="2909">
        <f>IF($A2035="","",IF(AND($A2035=21,$AE2035&amp;""="00000000"),IF($AH2035=20,"病院",IF($AH2035=5,"消防","市長")),"対象外"))</f>
      </c>
    </row>
    <row r="2036">
      <c r="DB2036" s="2909">
        <f>IF($A2036="","",IF(AND($A2036=21,$AE2036&amp;""="00000000"),IF($AH2036=20,"病院",IF($AH2036=5,"消防","市長")),"対象外"))</f>
      </c>
    </row>
    <row r="2037">
      <c r="DB2037" s="2909">
        <f>IF($A2037="","",IF(AND($A2037=21,$AE2037&amp;""="00000000"),IF($AH2037=20,"病院",IF($AH2037=5,"消防","市長")),"対象外"))</f>
      </c>
    </row>
    <row r="2038">
      <c r="DB2038" s="2909">
        <f>IF($A2038="","",IF(AND($A2038=21,$AE2038&amp;""="00000000"),IF($AH2038=20,"病院",IF($AH2038=5,"消防","市長")),"対象外"))</f>
      </c>
    </row>
    <row r="2039">
      <c r="DB2039" s="2909">
        <f>IF($A2039="","",IF(AND($A2039=21,$AE2039&amp;""="00000000"),IF($AH2039=20,"病院",IF($AH2039=5,"消防","市長")),"対象外"))</f>
      </c>
    </row>
    <row r="2040">
      <c r="DB2040" s="2909">
        <f>IF($A2040="","",IF(AND($A2040=21,$AE2040&amp;""="00000000"),IF($AH2040=20,"病院",IF($AH2040=5,"消防","市長")),"対象外"))</f>
      </c>
    </row>
    <row r="2041">
      <c r="DB2041" s="2909">
        <f>IF($A2041="","",IF(AND($A2041=21,$AE2041&amp;""="00000000"),IF($AH2041=20,"病院",IF($AH2041=5,"消防","市長")),"対象外"))</f>
      </c>
    </row>
    <row r="2042">
      <c r="DB2042" s="2909">
        <f>IF($A2042="","",IF(AND($A2042=21,$AE2042&amp;""="00000000"),IF($AH2042=20,"病院",IF($AH2042=5,"消防","市長")),"対象外"))</f>
      </c>
    </row>
    <row r="2043">
      <c r="DB2043" s="2909">
        <f>IF($A2043="","",IF(AND($A2043=21,$AE2043&amp;""="00000000"),IF($AH2043=20,"病院",IF($AH2043=5,"消防","市長")),"対象外"))</f>
      </c>
    </row>
    <row r="2044">
      <c r="DB2044" s="2909">
        <f>IF($A2044="","",IF(AND($A2044=21,$AE2044&amp;""="00000000"),IF($AH2044=20,"病院",IF($AH2044=5,"消防","市長")),"対象外"))</f>
      </c>
    </row>
    <row r="2045">
      <c r="DB2045" s="2909">
        <f>IF($A2045="","",IF(AND($A2045=21,$AE2045&amp;""="00000000"),IF($AH2045=20,"病院",IF($AH2045=5,"消防","市長")),"対象外"))</f>
      </c>
    </row>
    <row r="2046">
      <c r="DB2046" s="2909">
        <f>IF($A2046="","",IF(AND($A2046=21,$AE2046&amp;""="00000000"),IF($AH2046=20,"病院",IF($AH2046=5,"消防","市長")),"対象外"))</f>
      </c>
    </row>
    <row r="2047">
      <c r="DB2047" s="2909">
        <f>IF($A2047="","",IF(AND($A2047=21,$AE2047&amp;""="00000000"),IF($AH2047=20,"病院",IF($AH2047=5,"消防","市長")),"対象外"))</f>
      </c>
    </row>
    <row r="2048">
      <c r="DB2048" s="2909">
        <f>IF($A2048="","",IF(AND($A2048=21,$AE2048&amp;""="00000000"),IF($AH2048=20,"病院",IF($AH2048=5,"消防","市長")),"対象外"))</f>
      </c>
    </row>
    <row r="2049">
      <c r="DB2049" s="2909">
        <f>IF($A2049="","",IF(AND($A2049=21,$AE2049&amp;""="00000000"),IF($AH2049=20,"病院",IF($AH2049=5,"消防","市長")),"対象外"))</f>
      </c>
    </row>
    <row r="2050">
      <c r="DB2050" s="2909">
        <f>IF($A2050="","",IF(AND($A2050=21,$AE2050&amp;""="00000000"),IF($AH2050=20,"病院",IF($AH2050=5,"消防","市長")),"対象外"))</f>
      </c>
    </row>
    <row r="2051">
      <c r="DB2051" s="2909">
        <f>IF($A2051="","",IF(AND($A2051=21,$AE2051&amp;""="00000000"),IF($AH2051=20,"病院",IF($AH2051=5,"消防","市長")),"対象外"))</f>
      </c>
    </row>
    <row r="2052">
      <c r="DB2052" s="2909">
        <f>IF($A2052="","",IF(AND($A2052=21,$AE2052&amp;""="00000000"),IF($AH2052=20,"病院",IF($AH2052=5,"消防","市長")),"対象外"))</f>
      </c>
    </row>
    <row r="2053">
      <c r="DB2053" s="2909">
        <f>IF($A2053="","",IF(AND($A2053=21,$AE2053&amp;""="00000000"),IF($AH2053=20,"病院",IF($AH2053=5,"消防","市長")),"対象外"))</f>
      </c>
    </row>
    <row r="2054">
      <c r="DB2054" s="2909">
        <f>IF($A2054="","",IF(AND($A2054=21,$AE2054&amp;""="00000000"),IF($AH2054=20,"病院",IF($AH2054=5,"消防","市長")),"対象外"))</f>
      </c>
    </row>
    <row r="2055">
      <c r="DB2055" s="2909">
        <f>IF($A2055="","",IF(AND($A2055=21,$AE2055&amp;""="00000000"),IF($AH2055=20,"病院",IF($AH2055=5,"消防","市長")),"対象外"))</f>
      </c>
    </row>
    <row r="2056">
      <c r="DB2056" s="2909">
        <f>IF($A2056="","",IF(AND($A2056=21,$AE2056&amp;""="00000000"),IF($AH2056=20,"病院",IF($AH2056=5,"消防","市長")),"対象外"))</f>
      </c>
    </row>
    <row r="2057">
      <c r="DB2057" s="2909">
        <f>IF($A2057="","",IF(AND($A2057=21,$AE2057&amp;""="00000000"),IF($AH2057=20,"病院",IF($AH2057=5,"消防","市長")),"対象外"))</f>
      </c>
    </row>
    <row r="2058">
      <c r="DB2058" s="2909">
        <f>IF($A2058="","",IF(AND($A2058=21,$AE2058&amp;""="00000000"),IF($AH2058=20,"病院",IF($AH2058=5,"消防","市長")),"対象外"))</f>
      </c>
    </row>
    <row r="2059">
      <c r="DB2059" s="2909">
        <f>IF($A2059="","",IF(AND($A2059=21,$AE2059&amp;""="00000000"),IF($AH2059=20,"病院",IF($AH2059=5,"消防","市長")),"対象外"))</f>
      </c>
    </row>
    <row r="2060">
      <c r="DB2060" s="2909">
        <f>IF($A2060="","",IF(AND($A2060=21,$AE2060&amp;""="00000000"),IF($AH2060=20,"病院",IF($AH2060=5,"消防","市長")),"対象外"))</f>
      </c>
    </row>
    <row r="2061">
      <c r="DB2061" s="2909">
        <f>IF($A2061="","",IF(AND($A2061=21,$AE2061&amp;""="00000000"),IF($AH2061=20,"病院",IF($AH2061=5,"消防","市長")),"対象外"))</f>
      </c>
    </row>
    <row r="2062">
      <c r="DB2062" s="2909">
        <f>IF($A2062="","",IF(AND($A2062=21,$AE2062&amp;""="00000000"),IF($AH2062=20,"病院",IF($AH2062=5,"消防","市長")),"対象外"))</f>
      </c>
    </row>
    <row r="2063">
      <c r="DB2063" s="2909">
        <f>IF($A2063="","",IF(AND($A2063=21,$AE2063&amp;""="00000000"),IF($AH2063=20,"病院",IF($AH2063=5,"消防","市長")),"対象外"))</f>
      </c>
    </row>
    <row r="2064">
      <c r="DB2064" s="2909">
        <f>IF($A2064="","",IF(AND($A2064=21,$AE2064&amp;""="00000000"),IF($AH2064=20,"病院",IF($AH2064=5,"消防","市長")),"対象外"))</f>
      </c>
    </row>
    <row r="2065">
      <c r="DB2065" s="2909">
        <f>IF($A2065="","",IF(AND($A2065=21,$AE2065&amp;""="00000000"),IF($AH2065=20,"病院",IF($AH2065=5,"消防","市長")),"対象外"))</f>
      </c>
    </row>
    <row r="2066">
      <c r="DB2066" s="2909">
        <f>IF($A2066="","",IF(AND($A2066=21,$AE2066&amp;""="00000000"),IF($AH2066=20,"病院",IF($AH2066=5,"消防","市長")),"対象外"))</f>
      </c>
    </row>
    <row r="2067">
      <c r="DB2067" s="2909">
        <f>IF($A2067="","",IF(AND($A2067=21,$AE2067&amp;""="00000000"),IF($AH2067=20,"病院",IF($AH2067=5,"消防","市長")),"対象外"))</f>
      </c>
    </row>
    <row r="2068">
      <c r="DB2068" s="2909">
        <f>IF($A2068="","",IF(AND($A2068=21,$AE2068&amp;""="00000000"),IF($AH2068=20,"病院",IF($AH2068=5,"消防","市長")),"対象外"))</f>
      </c>
    </row>
    <row r="2069">
      <c r="DB2069" s="2909">
        <f>IF($A2069="","",IF(AND($A2069=21,$AE2069&amp;""="00000000"),IF($AH2069=20,"病院",IF($AH2069=5,"消防","市長")),"対象外"))</f>
      </c>
    </row>
    <row r="2070">
      <c r="DB2070" s="2909">
        <f>IF($A2070="","",IF(AND($A2070=21,$AE2070&amp;""="00000000"),IF($AH2070=20,"病院",IF($AH2070=5,"消防","市長")),"対象外"))</f>
      </c>
    </row>
    <row r="2071">
      <c r="DB2071" s="2909">
        <f>IF($A2071="","",IF(AND($A2071=21,$AE2071&amp;""="00000000"),IF($AH2071=20,"病院",IF($AH2071=5,"消防","市長")),"対象外"))</f>
      </c>
    </row>
    <row r="2072">
      <c r="DB2072" s="2909">
        <f>IF($A2072="","",IF(AND($A2072=21,$AE2072&amp;""="00000000"),IF($AH2072=20,"病院",IF($AH2072=5,"消防","市長")),"対象外"))</f>
      </c>
    </row>
    <row r="2073">
      <c r="DB2073" s="2909">
        <f>IF($A2073="","",IF(AND($A2073=21,$AE2073&amp;""="00000000"),IF($AH2073=20,"病院",IF($AH2073=5,"消防","市長")),"対象外"))</f>
      </c>
    </row>
    <row r="2074">
      <c r="DB2074" s="2909">
        <f>IF($A2074="","",IF(AND($A2074=21,$AE2074&amp;""="00000000"),IF($AH2074=20,"病院",IF($AH2074=5,"消防","市長")),"対象外"))</f>
      </c>
    </row>
    <row r="2075">
      <c r="DB2075" s="2909">
        <f>IF($A2075="","",IF(AND($A2075=21,$AE2075&amp;""="00000000"),IF($AH2075=20,"病院",IF($AH2075=5,"消防","市長")),"対象外"))</f>
      </c>
    </row>
    <row r="2076">
      <c r="DB2076" s="2909">
        <f>IF($A2076="","",IF(AND($A2076=21,$AE2076&amp;""="00000000"),IF($AH2076=20,"病院",IF($AH2076=5,"消防","市長")),"対象外"))</f>
      </c>
    </row>
    <row r="2077">
      <c r="DB2077" s="2909">
        <f>IF($A2077="","",IF(AND($A2077=21,$AE2077&amp;""="00000000"),IF($AH2077=20,"病院",IF($AH2077=5,"消防","市長")),"対象外"))</f>
      </c>
    </row>
    <row r="2078">
      <c r="DB2078" s="2909">
        <f>IF($A2078="","",IF(AND($A2078=21,$AE2078&amp;""="00000000"),IF($AH2078=20,"病院",IF($AH2078=5,"消防","市長")),"対象外"))</f>
      </c>
    </row>
    <row r="2079">
      <c r="DB2079" s="2909">
        <f>IF($A2079="","",IF(AND($A2079=21,$AE2079&amp;""="00000000"),IF($AH2079=20,"病院",IF($AH2079=5,"消防","市長")),"対象外"))</f>
      </c>
    </row>
    <row r="2080">
      <c r="DB2080" s="2909">
        <f>IF($A2080="","",IF(AND($A2080=21,$AE2080&amp;""="00000000"),IF($AH2080=20,"病院",IF($AH2080=5,"消防","市長")),"対象外"))</f>
      </c>
    </row>
    <row r="2081">
      <c r="DB2081" s="2909">
        <f>IF($A2081="","",IF(AND($A2081=21,$AE2081&amp;""="00000000"),IF($AH2081=20,"病院",IF($AH2081=5,"消防","市長")),"対象外"))</f>
      </c>
    </row>
    <row r="2082">
      <c r="DB2082" s="2909">
        <f>IF($A2082="","",IF(AND($A2082=21,$AE2082&amp;""="00000000"),IF($AH2082=20,"病院",IF($AH2082=5,"消防","市長")),"対象外"))</f>
      </c>
    </row>
    <row r="2083">
      <c r="DB2083" s="2909">
        <f>IF($A2083="","",IF(AND($A2083=21,$AE2083&amp;""="00000000"),IF($AH2083=20,"病院",IF($AH2083=5,"消防","市長")),"対象外"))</f>
      </c>
    </row>
    <row r="2084">
      <c r="DB2084" s="2909">
        <f>IF($A2084="","",IF(AND($A2084=21,$AE2084&amp;""="00000000"),IF($AH2084=20,"病院",IF($AH2084=5,"消防","市長")),"対象外"))</f>
      </c>
    </row>
    <row r="2085">
      <c r="DB2085" s="2909">
        <f>IF($A2085="","",IF(AND($A2085=21,$AE2085&amp;""="00000000"),IF($AH2085=20,"病院",IF($AH2085=5,"消防","市長")),"対象外"))</f>
      </c>
    </row>
    <row r="2086">
      <c r="DB2086" s="2909">
        <f>IF($A2086="","",IF(AND($A2086=21,$AE2086&amp;""="00000000"),IF($AH2086=20,"病院",IF($AH2086=5,"消防","市長")),"対象外"))</f>
      </c>
    </row>
    <row r="2087">
      <c r="DB2087" s="2909">
        <f>IF($A2087="","",IF(AND($A2087=21,$AE2087&amp;""="00000000"),IF($AH2087=20,"病院",IF($AH2087=5,"消防","市長")),"対象外"))</f>
      </c>
    </row>
    <row r="2088">
      <c r="DB2088" s="2909">
        <f>IF($A2088="","",IF(AND($A2088=21,$AE2088&amp;""="00000000"),IF($AH2088=20,"病院",IF($AH2088=5,"消防","市長")),"対象外"))</f>
      </c>
    </row>
    <row r="2089">
      <c r="DB2089" s="2909">
        <f>IF($A2089="","",IF(AND($A2089=21,$AE2089&amp;""="00000000"),IF($AH2089=20,"病院",IF($AH2089=5,"消防","市長")),"対象外"))</f>
      </c>
    </row>
    <row r="2090">
      <c r="DB2090" s="2909">
        <f>IF($A2090="","",IF(AND($A2090=21,$AE2090&amp;""="00000000"),IF($AH2090=20,"病院",IF($AH2090=5,"消防","市長")),"対象外"))</f>
      </c>
    </row>
    <row r="2091">
      <c r="DB2091" s="2909">
        <f>IF($A2091="","",IF(AND($A2091=21,$AE2091&amp;""="00000000"),IF($AH2091=20,"病院",IF($AH2091=5,"消防","市長")),"対象外"))</f>
      </c>
    </row>
    <row r="2092">
      <c r="DB2092" s="2909">
        <f>IF($A2092="","",IF(AND($A2092=21,$AE2092&amp;""="00000000"),IF($AH2092=20,"病院",IF($AH2092=5,"消防","市長")),"対象外"))</f>
      </c>
    </row>
    <row r="2093">
      <c r="DB2093" s="2909">
        <f>IF($A2093="","",IF(AND($A2093=21,$AE2093&amp;""="00000000"),IF($AH2093=20,"病院",IF($AH2093=5,"消防","市長")),"対象外"))</f>
      </c>
    </row>
    <row r="2094">
      <c r="DB2094" s="2909">
        <f>IF($A2094="","",IF(AND($A2094=21,$AE2094&amp;""="00000000"),IF($AH2094=20,"病院",IF($AH2094=5,"消防","市長")),"対象外"))</f>
      </c>
    </row>
    <row r="2095">
      <c r="DB2095" s="2909">
        <f>IF($A2095="","",IF(AND($A2095=21,$AE2095&amp;""="00000000"),IF($AH2095=20,"病院",IF($AH2095=5,"消防","市長")),"対象外"))</f>
      </c>
    </row>
    <row r="2096">
      <c r="DB2096" s="2909">
        <f>IF($A2096="","",IF(AND($A2096=21,$AE2096&amp;""="00000000"),IF($AH2096=20,"病院",IF($AH2096=5,"消防","市長")),"対象外"))</f>
      </c>
    </row>
    <row r="2097">
      <c r="DB2097" s="2909">
        <f>IF($A2097="","",IF(AND($A2097=21,$AE2097&amp;""="00000000"),IF($AH2097=20,"病院",IF($AH2097=5,"消防","市長")),"対象外"))</f>
      </c>
    </row>
    <row r="2098">
      <c r="DB2098" s="2909">
        <f>IF($A2098="","",IF(AND($A2098=21,$AE2098&amp;""="00000000"),IF($AH2098=20,"病院",IF($AH2098=5,"消防","市長")),"対象外"))</f>
      </c>
    </row>
    <row r="2099">
      <c r="DB2099" s="2909">
        <f>IF($A2099="","",IF(AND($A2099=21,$AE2099&amp;""="00000000"),IF($AH2099=20,"病院",IF($AH2099=5,"消防","市長")),"対象外"))</f>
      </c>
    </row>
    <row r="2100">
      <c r="DB2100" s="2909">
        <f>IF($A2100="","",IF(AND($A2100=21,$AE2100&amp;""="00000000"),IF($AH2100=20,"病院",IF($AH2100=5,"消防","市長")),"対象外"))</f>
      </c>
    </row>
    <row r="2101">
      <c r="DB2101" s="2909">
        <f>IF($A2101="","",IF(AND($A2101=21,$AE2101&amp;""="00000000"),IF($AH2101=20,"病院",IF($AH2101=5,"消防","市長")),"対象外"))</f>
      </c>
    </row>
    <row r="2102">
      <c r="DB2102" s="2909">
        <f>IF($A2102="","",IF(AND($A2102=21,$AE2102&amp;""="00000000"),IF($AH2102=20,"病院",IF($AH2102=5,"消防","市長")),"対象外"))</f>
      </c>
    </row>
    <row r="2103">
      <c r="DB2103" s="2909">
        <f>IF($A2103="","",IF(AND($A2103=21,$AE2103&amp;""="00000000"),IF($AH2103=20,"病院",IF($AH2103=5,"消防","市長")),"対象外"))</f>
      </c>
    </row>
    <row r="2104">
      <c r="DB2104" s="2909">
        <f>IF($A2104="","",IF(AND($A2104=21,$AE2104&amp;""="00000000"),IF($AH2104=20,"病院",IF($AH2104=5,"消防","市長")),"対象外"))</f>
      </c>
    </row>
    <row r="2105">
      <c r="DB2105" s="2909">
        <f>IF($A2105="","",IF(AND($A2105=21,$AE2105&amp;""="00000000"),IF($AH2105=20,"病院",IF($AH2105=5,"消防","市長")),"対象外"))</f>
      </c>
    </row>
    <row r="2106">
      <c r="DB2106" s="2909">
        <f>IF($A2106="","",IF(AND($A2106=21,$AE2106&amp;""="00000000"),IF($AH2106=20,"病院",IF($AH2106=5,"消防","市長")),"対象外"))</f>
      </c>
    </row>
    <row r="2107">
      <c r="DB2107" s="2909">
        <f>IF($A2107="","",IF(AND($A2107=21,$AE2107&amp;""="00000000"),IF($AH2107=20,"病院",IF($AH2107=5,"消防","市長")),"対象外"))</f>
      </c>
    </row>
    <row r="2108">
      <c r="DB2108" s="2909">
        <f>IF($A2108="","",IF(AND($A2108=21,$AE2108&amp;""="00000000"),IF($AH2108=20,"病院",IF($AH2108=5,"消防","市長")),"対象外"))</f>
      </c>
    </row>
    <row r="2109">
      <c r="DB2109" s="2909">
        <f>IF($A2109="","",IF(AND($A2109=21,$AE2109&amp;""="00000000"),IF($AH2109=20,"病院",IF($AH2109=5,"消防","市長")),"対象外"))</f>
      </c>
    </row>
    <row r="2110">
      <c r="DB2110" s="2909">
        <f>IF($A2110="","",IF(AND($A2110=21,$AE2110&amp;""="00000000"),IF($AH2110=20,"病院",IF($AH2110=5,"消防","市長")),"対象外"))</f>
      </c>
    </row>
    <row r="2111">
      <c r="DB2111" s="2909">
        <f>IF($A2111="","",IF(AND($A2111=21,$AE2111&amp;""="00000000"),IF($AH2111=20,"病院",IF($AH2111=5,"消防","市長")),"対象外"))</f>
      </c>
    </row>
    <row r="2112">
      <c r="DB2112" s="2909">
        <f>IF($A2112="","",IF(AND($A2112=21,$AE2112&amp;""="00000000"),IF($AH2112=20,"病院",IF($AH2112=5,"消防","市長")),"対象外"))</f>
      </c>
    </row>
    <row r="2113">
      <c r="DB2113" s="2909">
        <f>IF($A2113="","",IF(AND($A2113=21,$AE2113&amp;""="00000000"),IF($AH2113=20,"病院",IF($AH2113=5,"消防","市長")),"対象外"))</f>
      </c>
    </row>
    <row r="2114">
      <c r="DB2114" s="2909">
        <f>IF($A2114="","",IF(AND($A2114=21,$AE2114&amp;""="00000000"),IF($AH2114=20,"病院",IF($AH2114=5,"消防","市長")),"対象外"))</f>
      </c>
    </row>
    <row r="2115">
      <c r="DB2115" s="2909">
        <f>IF($A2115="","",IF(AND($A2115=21,$AE2115&amp;""="00000000"),IF($AH2115=20,"病院",IF($AH2115=5,"消防","市長")),"対象外"))</f>
      </c>
    </row>
    <row r="2116">
      <c r="DB2116" s="2909">
        <f>IF($A2116="","",IF(AND($A2116=21,$AE2116&amp;""="00000000"),IF($AH2116=20,"病院",IF($AH2116=5,"消防","市長")),"対象外"))</f>
      </c>
    </row>
    <row r="2117">
      <c r="DB2117" s="2909">
        <f>IF($A2117="","",IF(AND($A2117=21,$AE2117&amp;""="00000000"),IF($AH2117=20,"病院",IF($AH2117=5,"消防","市長")),"対象外"))</f>
      </c>
    </row>
    <row r="2118">
      <c r="DB2118" s="2909">
        <f>IF($A2118="","",IF(AND($A2118=21,$AE2118&amp;""="00000000"),IF($AH2118=20,"病院",IF($AH2118=5,"消防","市長")),"対象外"))</f>
      </c>
    </row>
    <row r="2119">
      <c r="DB2119" s="2909">
        <f>IF($A2119="","",IF(AND($A2119=21,$AE2119&amp;""="00000000"),IF($AH2119=20,"病院",IF($AH2119=5,"消防","市長")),"対象外"))</f>
      </c>
    </row>
    <row r="2120">
      <c r="DB2120" s="2909">
        <f>IF($A2120="","",IF(AND($A2120=21,$AE2120&amp;""="00000000"),IF($AH2120=20,"病院",IF($AH2120=5,"消防","市長")),"対象外"))</f>
      </c>
    </row>
    <row r="2121">
      <c r="DB2121" s="2909">
        <f>IF($A2121="","",IF(AND($A2121=21,$AE2121&amp;""="00000000"),IF($AH2121=20,"病院",IF($AH2121=5,"消防","市長")),"対象外"))</f>
      </c>
    </row>
    <row r="2122">
      <c r="DB2122" s="2909">
        <f>IF($A2122="","",IF(AND($A2122=21,$AE2122&amp;""="00000000"),IF($AH2122=20,"病院",IF($AH2122=5,"消防","市長")),"対象外"))</f>
      </c>
    </row>
    <row r="2123">
      <c r="DB2123" s="2909">
        <f>IF($A2123="","",IF(AND($A2123=21,$AE2123&amp;""="00000000"),IF($AH2123=20,"病院",IF($AH2123=5,"消防","市長")),"対象外"))</f>
      </c>
    </row>
    <row r="2124">
      <c r="DB2124" s="2909">
        <f>IF($A2124="","",IF(AND($A2124=21,$AE2124&amp;""="00000000"),IF($AH2124=20,"病院",IF($AH2124=5,"消防","市長")),"対象外"))</f>
      </c>
    </row>
    <row r="2125">
      <c r="DB2125" s="2909">
        <f>IF($A2125="","",IF(AND($A2125=21,$AE2125&amp;""="00000000"),IF($AH2125=20,"病院",IF($AH2125=5,"消防","市長")),"対象外"))</f>
      </c>
    </row>
    <row r="2126">
      <c r="DB2126" s="2909">
        <f>IF($A2126="","",IF(AND($A2126=21,$AE2126&amp;""="00000000"),IF($AH2126=20,"病院",IF($AH2126=5,"消防","市長")),"対象外"))</f>
      </c>
    </row>
    <row r="2127">
      <c r="DB2127" s="2909">
        <f>IF($A2127="","",IF(AND($A2127=21,$AE2127&amp;""="00000000"),IF($AH2127=20,"病院",IF($AH2127=5,"消防","市長")),"対象外"))</f>
      </c>
    </row>
    <row r="2128">
      <c r="DB2128" s="2909">
        <f>IF($A2128="","",IF(AND($A2128=21,$AE2128&amp;""="00000000"),IF($AH2128=20,"病院",IF($AH2128=5,"消防","市長")),"対象外"))</f>
      </c>
    </row>
    <row r="2129">
      <c r="DB2129" s="2909">
        <f>IF($A2129="","",IF(AND($A2129=21,$AE2129&amp;""="00000000"),IF($AH2129=20,"病院",IF($AH2129=5,"消防","市長")),"対象外"))</f>
      </c>
    </row>
    <row r="2130">
      <c r="DB2130" s="2909">
        <f>IF($A2130="","",IF(AND($A2130=21,$AE2130&amp;""="00000000"),IF($AH2130=20,"病院",IF($AH2130=5,"消防","市長")),"対象外"))</f>
      </c>
    </row>
    <row r="2131">
      <c r="DB2131" s="2909">
        <f>IF($A2131="","",IF(AND($A2131=21,$AE2131&amp;""="00000000"),IF($AH2131=20,"病院",IF($AH2131=5,"消防","市長")),"対象外"))</f>
      </c>
    </row>
    <row r="2132">
      <c r="DB2132" s="2909">
        <f>IF($A2132="","",IF(AND($A2132=21,$AE2132&amp;""="00000000"),IF($AH2132=20,"病院",IF($AH2132=5,"消防","市長")),"対象外"))</f>
      </c>
    </row>
    <row r="2133">
      <c r="DB2133" s="2909">
        <f>IF($A2133="","",IF(AND($A2133=21,$AE2133&amp;""="00000000"),IF($AH2133=20,"病院",IF($AH2133=5,"消防","市長")),"対象外"))</f>
      </c>
    </row>
    <row r="2134">
      <c r="DB2134" s="2909">
        <f>IF($A2134="","",IF(AND($A2134=21,$AE2134&amp;""="00000000"),IF($AH2134=20,"病院",IF($AH2134=5,"消防","市長")),"対象外"))</f>
      </c>
    </row>
    <row r="2135">
      <c r="DB2135" s="2909">
        <f>IF($A2135="","",IF(AND($A2135=21,$AE2135&amp;""="00000000"),IF($AH2135=20,"病院",IF($AH2135=5,"消防","市長")),"対象外"))</f>
      </c>
    </row>
    <row r="2136">
      <c r="DB2136" s="2909">
        <f>IF($A2136="","",IF(AND($A2136=21,$AE2136&amp;""="00000000"),IF($AH2136=20,"病院",IF($AH2136=5,"消防","市長")),"対象外"))</f>
      </c>
    </row>
    <row r="2137">
      <c r="DB2137" s="2909">
        <f>IF($A2137="","",IF(AND($A2137=21,$AE2137&amp;""="00000000"),IF($AH2137=20,"病院",IF($AH2137=5,"消防","市長")),"対象外"))</f>
      </c>
    </row>
    <row r="2138">
      <c r="DB2138" s="2909">
        <f>IF($A2138="","",IF(AND($A2138=21,$AE2138&amp;""="00000000"),IF($AH2138=20,"病院",IF($AH2138=5,"消防","市長")),"対象外"))</f>
      </c>
    </row>
    <row r="2139">
      <c r="DB2139" s="2909">
        <f>IF($A2139="","",IF(AND($A2139=21,$AE2139&amp;""="00000000"),IF($AH2139=20,"病院",IF($AH2139=5,"消防","市長")),"対象外"))</f>
      </c>
    </row>
    <row r="2140">
      <c r="DB2140" s="2909">
        <f>IF($A2140="","",IF(AND($A2140=21,$AE2140&amp;""="00000000"),IF($AH2140=20,"病院",IF($AH2140=5,"消防","市長")),"対象外"))</f>
      </c>
    </row>
    <row r="2141">
      <c r="DB2141" s="2909">
        <f>IF($A2141="","",IF(AND($A2141=21,$AE2141&amp;""="00000000"),IF($AH2141=20,"病院",IF($AH2141=5,"消防","市長")),"対象外"))</f>
      </c>
    </row>
    <row r="2142">
      <c r="DB2142" s="2909">
        <f>IF($A2142="","",IF(AND($A2142=21,$AE2142&amp;""="00000000"),IF($AH2142=20,"病院",IF($AH2142=5,"消防","市長")),"対象外"))</f>
      </c>
    </row>
    <row r="2143">
      <c r="DB2143" s="2909">
        <f>IF($A2143="","",IF(AND($A2143=21,$AE2143&amp;""="00000000"),IF($AH2143=20,"病院",IF($AH2143=5,"消防","市長")),"対象外"))</f>
      </c>
    </row>
    <row r="2144">
      <c r="DB2144" s="2909">
        <f>IF($A2144="","",IF(AND($A2144=21,$AE2144&amp;""="00000000"),IF($AH2144=20,"病院",IF($AH2144=5,"消防","市長")),"対象外"))</f>
      </c>
    </row>
    <row r="2145">
      <c r="DB2145" s="2909">
        <f>IF($A2145="","",IF(AND($A2145=21,$AE2145&amp;""="00000000"),IF($AH2145=20,"病院",IF($AH2145=5,"消防","市長")),"対象外"))</f>
      </c>
    </row>
    <row r="2146">
      <c r="DB2146" s="2909">
        <f>IF($A2146="","",IF(AND($A2146=21,$AE2146&amp;""="00000000"),IF($AH2146=20,"病院",IF($AH2146=5,"消防","市長")),"対象外"))</f>
      </c>
    </row>
    <row r="2147">
      <c r="DB2147" s="2909">
        <f>IF($A2147="","",IF(AND($A2147=21,$AE2147&amp;""="00000000"),IF($AH2147=20,"病院",IF($AH2147=5,"消防","市長")),"対象外"))</f>
      </c>
    </row>
    <row r="2148">
      <c r="DB2148" s="2909">
        <f>IF($A2148="","",IF(AND($A2148=21,$AE2148&amp;""="00000000"),IF($AH2148=20,"病院",IF($AH2148=5,"消防","市長")),"対象外"))</f>
      </c>
    </row>
    <row r="2149">
      <c r="DB2149" s="2909">
        <f>IF($A2149="","",IF(AND($A2149=21,$AE2149&amp;""="00000000"),IF($AH2149=20,"病院",IF($AH2149=5,"消防","市長")),"対象外"))</f>
      </c>
    </row>
    <row r="2150">
      <c r="DB2150" s="2909">
        <f>IF($A2150="","",IF(AND($A2150=21,$AE2150&amp;""="00000000"),IF($AH2150=20,"病院",IF($AH2150=5,"消防","市長")),"対象外"))</f>
      </c>
    </row>
    <row r="2151">
      <c r="DB2151" s="2909">
        <f>IF($A2151="","",IF(AND($A2151=21,$AE2151&amp;""="00000000"),IF($AH2151=20,"病院",IF($AH2151=5,"消防","市長")),"対象外"))</f>
      </c>
    </row>
    <row r="2152">
      <c r="DB2152" s="2909">
        <f>IF($A2152="","",IF(AND($A2152=21,$AE2152&amp;""="00000000"),IF($AH2152=20,"病院",IF($AH2152=5,"消防","市長")),"対象外"))</f>
      </c>
    </row>
    <row r="2153">
      <c r="DB2153" s="2909">
        <f>IF($A2153="","",IF(AND($A2153=21,$AE2153&amp;""="00000000"),IF($AH2153=20,"病院",IF($AH2153=5,"消防","市長")),"対象外"))</f>
      </c>
    </row>
    <row r="2154">
      <c r="DB2154" s="2909">
        <f>IF($A2154="","",IF(AND($A2154=21,$AE2154&amp;""="00000000"),IF($AH2154=20,"病院",IF($AH2154=5,"消防","市長")),"対象外"))</f>
      </c>
    </row>
    <row r="2155">
      <c r="DB2155" s="2909">
        <f>IF($A2155="","",IF(AND($A2155=21,$AE2155&amp;""="00000000"),IF($AH2155=20,"病院",IF($AH2155=5,"消防","市長")),"対象外"))</f>
      </c>
    </row>
    <row r="2156">
      <c r="DB2156" s="2909">
        <f>IF($A2156="","",IF(AND($A2156=21,$AE2156&amp;""="00000000"),IF($AH2156=20,"病院",IF($AH2156=5,"消防","市長")),"対象外"))</f>
      </c>
    </row>
    <row r="2157">
      <c r="DB2157" s="2909">
        <f>IF($A2157="","",IF(AND($A2157=21,$AE2157&amp;""="00000000"),IF($AH2157=20,"病院",IF($AH2157=5,"消防","市長")),"対象外"))</f>
      </c>
    </row>
    <row r="2158">
      <c r="DB2158" s="2909">
        <f>IF($A2158="","",IF(AND($A2158=21,$AE2158&amp;""="00000000"),IF($AH2158=20,"病院",IF($AH2158=5,"消防","市長")),"対象外"))</f>
      </c>
    </row>
    <row r="2159">
      <c r="DB2159" s="2909">
        <f>IF($A2159="","",IF(AND($A2159=21,$AE2159&amp;""="00000000"),IF($AH2159=20,"病院",IF($AH2159=5,"消防","市長")),"対象外"))</f>
      </c>
    </row>
    <row r="2160">
      <c r="DB2160" s="2909">
        <f>IF($A2160="","",IF(AND($A2160=21,$AE2160&amp;""="00000000"),IF($AH2160=20,"病院",IF($AH2160=5,"消防","市長")),"対象外"))</f>
      </c>
    </row>
    <row r="2161">
      <c r="DB2161" s="2909">
        <f>IF($A2161="","",IF(AND($A2161=21,$AE2161&amp;""="00000000"),IF($AH2161=20,"病院",IF($AH2161=5,"消防","市長")),"対象外"))</f>
      </c>
    </row>
    <row r="2162">
      <c r="DB2162" s="2909">
        <f>IF($A2162="","",IF(AND($A2162=21,$AE2162&amp;""="00000000"),IF($AH2162=20,"病院",IF($AH2162=5,"消防","市長")),"対象外"))</f>
      </c>
    </row>
    <row r="2163">
      <c r="DB2163" s="2909">
        <f>IF($A2163="","",IF(AND($A2163=21,$AE2163&amp;""="00000000"),IF($AH2163=20,"病院",IF($AH2163=5,"消防","市長")),"対象外"))</f>
      </c>
    </row>
    <row r="2164">
      <c r="DB2164" s="2909">
        <f>IF($A2164="","",IF(AND($A2164=21,$AE2164&amp;""="00000000"),IF($AH2164=20,"病院",IF($AH2164=5,"消防","市長")),"対象外"))</f>
      </c>
    </row>
    <row r="2165">
      <c r="DB2165" s="2909">
        <f>IF($A2165="","",IF(AND($A2165=21,$AE2165&amp;""="00000000"),IF($AH2165=20,"病院",IF($AH2165=5,"消防","市長")),"対象外"))</f>
      </c>
    </row>
    <row r="2166">
      <c r="DB2166" s="2909">
        <f>IF($A2166="","",IF(AND($A2166=21,$AE2166&amp;""="00000000"),IF($AH2166=20,"病院",IF($AH2166=5,"消防","市長")),"対象外"))</f>
      </c>
    </row>
    <row r="2167">
      <c r="DB2167" s="2909">
        <f>IF($A2167="","",IF(AND($A2167=21,$AE2167&amp;""="00000000"),IF($AH2167=20,"病院",IF($AH2167=5,"消防","市長")),"対象外"))</f>
      </c>
    </row>
    <row r="2168">
      <c r="DB2168" s="2909">
        <f>IF($A2168="","",IF(AND($A2168=21,$AE2168&amp;""="00000000"),IF($AH2168=20,"病院",IF($AH2168=5,"消防","市長")),"対象外"))</f>
      </c>
    </row>
    <row r="2169">
      <c r="DB2169" s="2909">
        <f>IF($A2169="","",IF(AND($A2169=21,$AE2169&amp;""="00000000"),IF($AH2169=20,"病院",IF($AH2169=5,"消防","市長")),"対象外"))</f>
      </c>
    </row>
    <row r="2170">
      <c r="DB2170" s="2909">
        <f>IF($A2170="","",IF(AND($A2170=21,$AE2170&amp;""="00000000"),IF($AH2170=20,"病院",IF($AH2170=5,"消防","市長")),"対象外"))</f>
      </c>
    </row>
    <row r="2171">
      <c r="DB2171" s="2909">
        <f>IF($A2171="","",IF(AND($A2171=21,$AE2171&amp;""="00000000"),IF($AH2171=20,"病院",IF($AH2171=5,"消防","市長")),"対象外"))</f>
      </c>
    </row>
    <row r="2172">
      <c r="DB2172" s="2909">
        <f>IF($A2172="","",IF(AND($A2172=21,$AE2172&amp;""="00000000"),IF($AH2172=20,"病院",IF($AH2172=5,"消防","市長")),"対象外"))</f>
      </c>
    </row>
    <row r="2173">
      <c r="DB2173" s="2909">
        <f>IF($A2173="","",IF(AND($A2173=21,$AE2173&amp;""="00000000"),IF($AH2173=20,"病院",IF($AH2173=5,"消防","市長")),"対象外"))</f>
      </c>
    </row>
    <row r="2174">
      <c r="DB2174" s="2909">
        <f>IF($A2174="","",IF(AND($A2174=21,$AE2174&amp;""="00000000"),IF($AH2174=20,"病院",IF($AH2174=5,"消防","市長")),"対象外"))</f>
      </c>
    </row>
    <row r="2175">
      <c r="DB2175" s="2909">
        <f>IF($A2175="","",IF(AND($A2175=21,$AE2175&amp;""="00000000"),IF($AH2175=20,"病院",IF($AH2175=5,"消防","市長")),"対象外"))</f>
      </c>
    </row>
    <row r="2176">
      <c r="DB2176" s="2909">
        <f>IF($A2176="","",IF(AND($A2176=21,$AE2176&amp;""="00000000"),IF($AH2176=20,"病院",IF($AH2176=5,"消防","市長")),"対象外"))</f>
      </c>
    </row>
    <row r="2177">
      <c r="DB2177" s="2909">
        <f>IF($A2177="","",IF(AND($A2177=21,$AE2177&amp;""="00000000"),IF($AH2177=20,"病院",IF($AH2177=5,"消防","市長")),"対象外"))</f>
      </c>
    </row>
    <row r="2178">
      <c r="DB2178" s="2909">
        <f>IF($A2178="","",IF(AND($A2178=21,$AE2178&amp;""="00000000"),IF($AH2178=20,"病院",IF($AH2178=5,"消防","市長")),"対象外"))</f>
      </c>
    </row>
    <row r="2179">
      <c r="DB2179" s="2909">
        <f>IF($A2179="","",IF(AND($A2179=21,$AE2179&amp;""="00000000"),IF($AH2179=20,"病院",IF($AH2179=5,"消防","市長")),"対象外"))</f>
      </c>
    </row>
    <row r="2180">
      <c r="DB2180" s="2909">
        <f>IF($A2180="","",IF(AND($A2180=21,$AE2180&amp;""="00000000"),IF($AH2180=20,"病院",IF($AH2180=5,"消防","市長")),"対象外"))</f>
      </c>
    </row>
    <row r="2181">
      <c r="DB2181" s="2909">
        <f>IF($A2181="","",IF(AND($A2181=21,$AE2181&amp;""="00000000"),IF($AH2181=20,"病院",IF($AH2181=5,"消防","市長")),"対象外"))</f>
      </c>
    </row>
    <row r="2182">
      <c r="DB2182" s="2909">
        <f>IF($A2182="","",IF(AND($A2182=21,$AE2182&amp;""="00000000"),IF($AH2182=20,"病院",IF($AH2182=5,"消防","市長")),"対象外"))</f>
      </c>
    </row>
    <row r="2183">
      <c r="DB2183" s="2909">
        <f>IF($A2183="","",IF(AND($A2183=21,$AE2183&amp;""="00000000"),IF($AH2183=20,"病院",IF($AH2183=5,"消防","市長")),"対象外"))</f>
      </c>
    </row>
    <row r="2184">
      <c r="DB2184" s="2909">
        <f>IF($A2184="","",IF(AND($A2184=21,$AE2184&amp;""="00000000"),IF($AH2184=20,"病院",IF($AH2184=5,"消防","市長")),"対象外"))</f>
      </c>
    </row>
    <row r="2185">
      <c r="DB2185" s="2909">
        <f>IF($A2185="","",IF(AND($A2185=21,$AE2185&amp;""="00000000"),IF($AH2185=20,"病院",IF($AH2185=5,"消防","市長")),"対象外"))</f>
      </c>
    </row>
    <row r="2186">
      <c r="DB2186" s="2909">
        <f>IF($A2186="","",IF(AND($A2186=21,$AE2186&amp;""="00000000"),IF($AH2186=20,"病院",IF($AH2186=5,"消防","市長")),"対象外"))</f>
      </c>
    </row>
    <row r="2187">
      <c r="DB2187" s="2909">
        <f>IF($A2187="","",IF(AND($A2187=21,$AE2187&amp;""="00000000"),IF($AH2187=20,"病院",IF($AH2187=5,"消防","市長")),"対象外"))</f>
      </c>
    </row>
    <row r="2188">
      <c r="DB2188" s="2909">
        <f>IF($A2188="","",IF(AND($A2188=21,$AE2188&amp;""="00000000"),IF($AH2188=20,"病院",IF($AH2188=5,"消防","市長")),"対象外"))</f>
      </c>
    </row>
    <row r="2189">
      <c r="DB2189" s="2909">
        <f>IF($A2189="","",IF(AND($A2189=21,$AE2189&amp;""="00000000"),IF($AH2189=20,"病院",IF($AH2189=5,"消防","市長")),"対象外"))</f>
      </c>
    </row>
    <row r="2190">
      <c r="DB2190" s="2909">
        <f>IF($A2190="","",IF(AND($A2190=21,$AE2190&amp;""="00000000"),IF($AH2190=20,"病院",IF($AH2190=5,"消防","市長")),"対象外"))</f>
      </c>
    </row>
    <row r="2191">
      <c r="DB2191" s="2909">
        <f>IF($A2191="","",IF(AND($A2191=21,$AE2191&amp;""="00000000"),IF($AH2191=20,"病院",IF($AH2191=5,"消防","市長")),"対象外"))</f>
      </c>
    </row>
    <row r="2192">
      <c r="DB2192" s="2909">
        <f>IF($A2192="","",IF(AND($A2192=21,$AE2192&amp;""="00000000"),IF($AH2192=20,"病院",IF($AH2192=5,"消防","市長")),"対象外"))</f>
      </c>
    </row>
    <row r="2193">
      <c r="DB2193" s="2909">
        <f>IF($A2193="","",IF(AND($A2193=21,$AE2193&amp;""="00000000"),IF($AH2193=20,"病院",IF($AH2193=5,"消防","市長")),"対象外"))</f>
      </c>
    </row>
    <row r="2194">
      <c r="DB2194" s="2909">
        <f>IF($A2194="","",IF(AND($A2194=21,$AE2194&amp;""="00000000"),IF($AH2194=20,"病院",IF($AH2194=5,"消防","市長")),"対象外"))</f>
      </c>
    </row>
    <row r="2195">
      <c r="DB2195" s="2909">
        <f>IF($A2195="","",IF(AND($A2195=21,$AE2195&amp;""="00000000"),IF($AH2195=20,"病院",IF($AH2195=5,"消防","市長")),"対象外"))</f>
      </c>
    </row>
    <row r="2196">
      <c r="DB2196" s="2909">
        <f>IF($A2196="","",IF(AND($A2196=21,$AE2196&amp;""="00000000"),IF($AH2196=20,"病院",IF($AH2196=5,"消防","市長")),"対象外"))</f>
      </c>
    </row>
    <row r="2197">
      <c r="DB2197" s="2909">
        <f>IF($A2197="","",IF(AND($A2197=21,$AE2197&amp;""="00000000"),IF($AH2197=20,"病院",IF($AH2197=5,"消防","市長")),"対象外"))</f>
      </c>
    </row>
    <row r="2198">
      <c r="DB2198" s="2909">
        <f>IF($A2198="","",IF(AND($A2198=21,$AE2198&amp;""="00000000"),IF($AH2198=20,"病院",IF($AH2198=5,"消防","市長")),"対象外"))</f>
      </c>
    </row>
    <row r="2199">
      <c r="DB2199" s="2909">
        <f>IF($A2199="","",IF(AND($A2199=21,$AE2199&amp;""="00000000"),IF($AH2199=20,"病院",IF($AH2199=5,"消防","市長")),"対象外"))</f>
      </c>
    </row>
    <row r="2200">
      <c r="DB2200" s="2909">
        <f>IF($A2200="","",IF(AND($A2200=21,$AE2200&amp;""="00000000"),IF($AH2200=20,"病院",IF($AH2200=5,"消防","市長")),"対象外"))</f>
      </c>
    </row>
    <row r="2201">
      <c r="DB2201" s="2909">
        <f>IF($A2201="","",IF(AND($A2201=21,$AE2201&amp;""="00000000"),IF($AH2201=20,"病院",IF($AH2201=5,"消防","市長")),"対象外"))</f>
      </c>
    </row>
    <row r="2202">
      <c r="DB2202" s="2909">
        <f>IF($A2202="","",IF(AND($A2202=21,$AE2202&amp;""="00000000"),IF($AH2202=20,"病院",IF($AH2202=5,"消防","市長")),"対象外"))</f>
      </c>
    </row>
    <row r="2203">
      <c r="DB2203" s="2909">
        <f>IF($A2203="","",IF(AND($A2203=21,$AE2203&amp;""="00000000"),IF($AH2203=20,"病院",IF($AH2203=5,"消防","市長")),"対象外"))</f>
      </c>
    </row>
    <row r="2204">
      <c r="DB2204" s="2909">
        <f>IF($A2204="","",IF(AND($A2204=21,$AE2204&amp;""="00000000"),IF($AH2204=20,"病院",IF($AH2204=5,"消防","市長")),"対象外"))</f>
      </c>
    </row>
    <row r="2205">
      <c r="DB2205" s="2909">
        <f>IF($A2205="","",IF(AND($A2205=21,$AE2205&amp;""="00000000"),IF($AH2205=20,"病院",IF($AH2205=5,"消防","市長")),"対象外"))</f>
      </c>
    </row>
    <row r="2206">
      <c r="DB2206" s="2909">
        <f>IF($A2206="","",IF(AND($A2206=21,$AE2206&amp;""="00000000"),IF($AH2206=20,"病院",IF($AH2206=5,"消防","市長")),"対象外"))</f>
      </c>
    </row>
    <row r="2207">
      <c r="DB2207" s="2909">
        <f>IF($A2207="","",IF(AND($A2207=21,$AE2207&amp;""="00000000"),IF($AH2207=20,"病院",IF($AH2207=5,"消防","市長")),"対象外"))</f>
      </c>
    </row>
    <row r="2208">
      <c r="DB2208" s="2909">
        <f>IF($A2208="","",IF(AND($A2208=21,$AE2208&amp;""="00000000"),IF($AH2208=20,"病院",IF($AH2208=5,"消防","市長")),"対象外"))</f>
      </c>
    </row>
    <row r="2209">
      <c r="DB2209" s="2909">
        <f>IF($A2209="","",IF(AND($A2209=21,$AE2209&amp;""="00000000"),IF($AH2209=20,"病院",IF($AH2209=5,"消防","市長")),"対象外"))</f>
      </c>
    </row>
    <row r="2210">
      <c r="DB2210" s="2909">
        <f>IF($A2210="","",IF(AND($A2210=21,$AE2210&amp;""="00000000"),IF($AH2210=20,"病院",IF($AH2210=5,"消防","市長")),"対象外"))</f>
      </c>
    </row>
    <row r="2211">
      <c r="DB2211" s="2909">
        <f>IF($A2211="","",IF(AND($A2211=21,$AE2211&amp;""="00000000"),IF($AH2211=20,"病院",IF($AH2211=5,"消防","市長")),"対象外"))</f>
      </c>
    </row>
    <row r="2212">
      <c r="DB2212" s="2909">
        <f>IF($A2212="","",IF(AND($A2212=21,$AE2212&amp;""="00000000"),IF($AH2212=20,"病院",IF($AH2212=5,"消防","市長")),"対象外"))</f>
      </c>
    </row>
    <row r="2213">
      <c r="DB2213" s="2909">
        <f>IF($A2213="","",IF(AND($A2213=21,$AE2213&amp;""="00000000"),IF($AH2213=20,"病院",IF($AH2213=5,"消防","市長")),"対象外"))</f>
      </c>
    </row>
    <row r="2214">
      <c r="DB2214" s="2909">
        <f>IF($A2214="","",IF(AND($A2214=21,$AE2214&amp;""="00000000"),IF($AH2214=20,"病院",IF($AH2214=5,"消防","市長")),"対象外"))</f>
      </c>
    </row>
    <row r="2215">
      <c r="DB2215" s="2909">
        <f>IF($A2215="","",IF(AND($A2215=21,$AE2215&amp;""="00000000"),IF($AH2215=20,"病院",IF($AH2215=5,"消防","市長")),"対象外"))</f>
      </c>
    </row>
    <row r="2216">
      <c r="DB2216" s="2909">
        <f>IF($A2216="","",IF(AND($A2216=21,$AE2216&amp;""="00000000"),IF($AH2216=20,"病院",IF($AH2216=5,"消防","市長")),"対象外"))</f>
      </c>
    </row>
    <row r="2217">
      <c r="DB2217" s="2909">
        <f>IF($A2217="","",IF(AND($A2217=21,$AE2217&amp;""="00000000"),IF($AH2217=20,"病院",IF($AH2217=5,"消防","市長")),"対象外"))</f>
      </c>
    </row>
    <row r="2218">
      <c r="DB2218" s="2909">
        <f>IF($A2218="","",IF(AND($A2218=21,$AE2218&amp;""="00000000"),IF($AH2218=20,"病院",IF($AH2218=5,"消防","市長")),"対象外"))</f>
      </c>
    </row>
    <row r="2219">
      <c r="DB2219" s="2909">
        <f>IF($A2219="","",IF(AND($A2219=21,$AE2219&amp;""="00000000"),IF($AH2219=20,"病院",IF($AH2219=5,"消防","市長")),"対象外"))</f>
      </c>
    </row>
    <row r="2220">
      <c r="DB2220" s="2909">
        <f>IF($A2220="","",IF(AND($A2220=21,$AE2220&amp;""="00000000"),IF($AH2220=20,"病院",IF($AH2220=5,"消防","市長")),"対象外"))</f>
      </c>
    </row>
    <row r="2221">
      <c r="DB2221" s="2909">
        <f>IF($A2221="","",IF(AND($A2221=21,$AE2221&amp;""="00000000"),IF($AH2221=20,"病院",IF($AH2221=5,"消防","市長")),"対象外"))</f>
      </c>
    </row>
    <row r="2222">
      <c r="DB2222" s="2909">
        <f>IF($A2222="","",IF(AND($A2222=21,$AE2222&amp;""="00000000"),IF($AH2222=20,"病院",IF($AH2222=5,"消防","市長")),"対象外"))</f>
      </c>
    </row>
    <row r="2223">
      <c r="DB2223" s="2909">
        <f>IF($A2223="","",IF(AND($A2223=21,$AE2223&amp;""="00000000"),IF($AH2223=20,"病院",IF($AH2223=5,"消防","市長")),"対象外"))</f>
      </c>
    </row>
    <row r="2224">
      <c r="DB2224" s="2909">
        <f>IF($A2224="","",IF(AND($A2224=21,$AE2224&amp;""="00000000"),IF($AH2224=20,"病院",IF($AH2224=5,"消防","市長")),"対象外"))</f>
      </c>
    </row>
    <row r="2225">
      <c r="DB2225" s="2909">
        <f>IF($A2225="","",IF(AND($A2225=21,$AE2225&amp;""="00000000"),IF($AH2225=20,"病院",IF($AH2225=5,"消防","市長")),"対象外"))</f>
      </c>
    </row>
    <row r="2226">
      <c r="DB2226" s="2909">
        <f>IF($A2226="","",IF(AND($A2226=21,$AE2226&amp;""="00000000"),IF($AH2226=20,"病院",IF($AH2226=5,"消防","市長")),"対象外"))</f>
      </c>
    </row>
    <row r="2227">
      <c r="DB2227" s="2909">
        <f>IF($A2227="","",IF(AND($A2227=21,$AE2227&amp;""="00000000"),IF($AH2227=20,"病院",IF($AH2227=5,"消防","市長")),"対象外"))</f>
      </c>
    </row>
    <row r="2228">
      <c r="DB2228" s="2909">
        <f>IF($A2228="","",IF(AND($A2228=21,$AE2228&amp;""="00000000"),IF($AH2228=20,"病院",IF($AH2228=5,"消防","市長")),"対象外"))</f>
      </c>
    </row>
    <row r="2229">
      <c r="DB2229" s="2909">
        <f>IF($A2229="","",IF(AND($A2229=21,$AE2229&amp;""="00000000"),IF($AH2229=20,"病院",IF($AH2229=5,"消防","市長")),"対象外"))</f>
      </c>
    </row>
    <row r="2230">
      <c r="DB2230" s="2909">
        <f>IF($A2230="","",IF(AND($A2230=21,$AE2230&amp;""="00000000"),IF($AH2230=20,"病院",IF($AH2230=5,"消防","市長")),"対象外"))</f>
      </c>
    </row>
    <row r="2231">
      <c r="DB2231" s="2909">
        <f>IF($A2231="","",IF(AND($A2231=21,$AE2231&amp;""="00000000"),IF($AH2231=20,"病院",IF($AH2231=5,"消防","市長")),"対象外"))</f>
      </c>
    </row>
    <row r="2232">
      <c r="DB2232" s="2909">
        <f>IF($A2232="","",IF(AND($A2232=21,$AE2232&amp;""="00000000"),IF($AH2232=20,"病院",IF($AH2232=5,"消防","市長")),"対象外"))</f>
      </c>
    </row>
    <row r="2233">
      <c r="DB2233" s="2909">
        <f>IF($A2233="","",IF(AND($A2233=21,$AE2233&amp;""="00000000"),IF($AH2233=20,"病院",IF($AH2233=5,"消防","市長")),"対象外"))</f>
      </c>
    </row>
    <row r="2234">
      <c r="DB2234" s="2909">
        <f>IF($A2234="","",IF(AND($A2234=21,$AE2234&amp;""="00000000"),IF($AH2234=20,"病院",IF($AH2234=5,"消防","市長")),"対象外"))</f>
      </c>
    </row>
    <row r="2235">
      <c r="DB2235" s="2909">
        <f>IF($A2235="","",IF(AND($A2235=21,$AE2235&amp;""="00000000"),IF($AH2235=20,"病院",IF($AH2235=5,"消防","市長")),"対象外"))</f>
      </c>
    </row>
    <row r="2236">
      <c r="DB2236" s="2909">
        <f>IF($A2236="","",IF(AND($A2236=21,$AE2236&amp;""="00000000"),IF($AH2236=20,"病院",IF($AH2236=5,"消防","市長")),"対象外"))</f>
      </c>
    </row>
    <row r="2237">
      <c r="DB2237" s="2909">
        <f>IF($A2237="","",IF(AND($A2237=21,$AE2237&amp;""="00000000"),IF($AH2237=20,"病院",IF($AH2237=5,"消防","市長")),"対象外"))</f>
      </c>
    </row>
    <row r="2238">
      <c r="DB2238" s="2909">
        <f>IF($A2238="","",IF(AND($A2238=21,$AE2238&amp;""="00000000"),IF($AH2238=20,"病院",IF($AH2238=5,"消防","市長")),"対象外"))</f>
      </c>
    </row>
    <row r="2239">
      <c r="DB2239" s="2909">
        <f>IF($A2239="","",IF(AND($A2239=21,$AE2239&amp;""="00000000"),IF($AH2239=20,"病院",IF($AH2239=5,"消防","市長")),"対象外"))</f>
      </c>
    </row>
    <row r="2240">
      <c r="DB2240" s="2909">
        <f>IF($A2240="","",IF(AND($A2240=21,$AE2240&amp;""="00000000"),IF($AH2240=20,"病院",IF($AH2240=5,"消防","市長")),"対象外"))</f>
      </c>
    </row>
    <row r="2241">
      <c r="DB2241" s="2909">
        <f>IF($A2241="","",IF(AND($A2241=21,$AE2241&amp;""="00000000"),IF($AH2241=20,"病院",IF($AH2241=5,"消防","市長")),"対象外"))</f>
      </c>
    </row>
    <row r="2242">
      <c r="DB2242" s="2909">
        <f>IF($A2242="","",IF(AND($A2242=21,$AE2242&amp;""="00000000"),IF($AH2242=20,"病院",IF($AH2242=5,"消防","市長")),"対象外"))</f>
      </c>
    </row>
    <row r="2243">
      <c r="DB2243" s="2909">
        <f>IF($A2243="","",IF(AND($A2243=21,$AE2243&amp;""="00000000"),IF($AH2243=20,"病院",IF($AH2243=5,"消防","市長")),"対象外"))</f>
      </c>
    </row>
    <row r="2244">
      <c r="DB2244" s="2909">
        <f>IF($A2244="","",IF(AND($A2244=21,$AE2244&amp;""="00000000"),IF($AH2244=20,"病院",IF($AH2244=5,"消防","市長")),"対象外"))</f>
      </c>
    </row>
    <row r="2245">
      <c r="DB2245" s="2909">
        <f>IF($A2245="","",IF(AND($A2245=21,$AE2245&amp;""="00000000"),IF($AH2245=20,"病院",IF($AH2245=5,"消防","市長")),"対象外"))</f>
      </c>
    </row>
    <row r="2246">
      <c r="DB2246" s="2909">
        <f>IF($A2246="","",IF(AND($A2246=21,$AE2246&amp;""="00000000"),IF($AH2246=20,"病院",IF($AH2246=5,"消防","市長")),"対象外"))</f>
      </c>
    </row>
    <row r="2247">
      <c r="DB2247" s="2909">
        <f>IF($A2247="","",IF(AND($A2247=21,$AE2247&amp;""="00000000"),IF($AH2247=20,"病院",IF($AH2247=5,"消防","市長")),"対象外"))</f>
      </c>
    </row>
    <row r="2248">
      <c r="DB2248" s="2909">
        <f>IF($A2248="","",IF(AND($A2248=21,$AE2248&amp;""="00000000"),IF($AH2248=20,"病院",IF($AH2248=5,"消防","市長")),"対象外"))</f>
      </c>
    </row>
    <row r="2249">
      <c r="DB2249" s="2909">
        <f>IF($A2249="","",IF(AND($A2249=21,$AE2249&amp;""="00000000"),IF($AH2249=20,"病院",IF($AH2249=5,"消防","市長")),"対象外"))</f>
      </c>
    </row>
    <row r="2250">
      <c r="DB2250" s="2909">
        <f>IF($A2250="","",IF(AND($A2250=21,$AE2250&amp;""="00000000"),IF($AH2250=20,"病院",IF($AH2250=5,"消防","市長")),"対象外"))</f>
      </c>
    </row>
    <row r="2251">
      <c r="DB2251" s="2909">
        <f>IF($A2251="","",IF(AND($A2251=21,$AE2251&amp;""="00000000"),IF($AH2251=20,"病院",IF($AH2251=5,"消防","市長")),"対象外"))</f>
      </c>
    </row>
    <row r="2252">
      <c r="DB2252" s="2909">
        <f>IF($A2252="","",IF(AND($A2252=21,$AE2252&amp;""="00000000"),IF($AH2252=20,"病院",IF($AH2252=5,"消防","市長")),"対象外"))</f>
      </c>
    </row>
    <row r="2253">
      <c r="DB2253" s="2909">
        <f>IF($A2253="","",IF(AND($A2253=21,$AE2253&amp;""="00000000"),IF($AH2253=20,"病院",IF($AH2253=5,"消防","市長")),"対象外"))</f>
      </c>
    </row>
    <row r="2254">
      <c r="DB2254" s="2909">
        <f>IF($A2254="","",IF(AND($A2254=21,$AE2254&amp;""="00000000"),IF($AH2254=20,"病院",IF($AH2254=5,"消防","市長")),"対象外"))</f>
      </c>
    </row>
    <row r="2255">
      <c r="DB2255" s="2909">
        <f>IF($A2255="","",IF(AND($A2255=21,$AE2255&amp;""="00000000"),IF($AH2255=20,"病院",IF($AH2255=5,"消防","市長")),"対象外"))</f>
      </c>
    </row>
    <row r="2256">
      <c r="DB2256" s="2909">
        <f>IF($A2256="","",IF(AND($A2256=21,$AE2256&amp;""="00000000"),IF($AH2256=20,"病院",IF($AH2256=5,"消防","市長")),"対象外"))</f>
      </c>
    </row>
    <row r="2257">
      <c r="DB2257" s="2909">
        <f>IF($A2257="","",IF(AND($A2257=21,$AE2257&amp;""="00000000"),IF($AH2257=20,"病院",IF($AH2257=5,"消防","市長")),"対象外"))</f>
      </c>
    </row>
    <row r="2258">
      <c r="DB2258" s="2909">
        <f>IF($A2258="","",IF(AND($A2258=21,$AE2258&amp;""="00000000"),IF($AH2258=20,"病院",IF($AH2258=5,"消防","市長")),"対象外"))</f>
      </c>
    </row>
    <row r="2259">
      <c r="DB2259" s="2909">
        <f>IF($A2259="","",IF(AND($A2259=21,$AE2259&amp;""="00000000"),IF($AH2259=20,"病院",IF($AH2259=5,"消防","市長")),"対象外"))</f>
      </c>
    </row>
    <row r="2260">
      <c r="DB2260" s="2909">
        <f>IF($A2260="","",IF(AND($A2260=21,$AE2260&amp;""="00000000"),IF($AH2260=20,"病院",IF($AH2260=5,"消防","市長")),"対象外"))</f>
      </c>
    </row>
    <row r="2261">
      <c r="DB2261" s="2909">
        <f>IF($A2261="","",IF(AND($A2261=21,$AE2261&amp;""="00000000"),IF($AH2261=20,"病院",IF($AH2261=5,"消防","市長")),"対象外"))</f>
      </c>
    </row>
    <row r="2262">
      <c r="DB2262" s="2909">
        <f>IF($A2262="","",IF(AND($A2262=21,$AE2262&amp;""="00000000"),IF($AH2262=20,"病院",IF($AH2262=5,"消防","市長")),"対象外"))</f>
      </c>
    </row>
    <row r="2263">
      <c r="DB2263" s="2909">
        <f>IF($A2263="","",IF(AND($A2263=21,$AE2263&amp;""="00000000"),IF($AH2263=20,"病院",IF($AH2263=5,"消防","市長")),"対象外"))</f>
      </c>
    </row>
    <row r="2264">
      <c r="DB2264" s="2909">
        <f>IF($A2264="","",IF(AND($A2264=21,$AE2264&amp;""="00000000"),IF($AH2264=20,"病院",IF($AH2264=5,"消防","市長")),"対象外"))</f>
      </c>
    </row>
    <row r="2265">
      <c r="DB2265" s="2909">
        <f>IF($A2265="","",IF(AND($A2265=21,$AE2265&amp;""="00000000"),IF($AH2265=20,"病院",IF($AH2265=5,"消防","市長")),"対象外"))</f>
      </c>
    </row>
    <row r="2266">
      <c r="DB2266" s="2909">
        <f>IF($A2266="","",IF(AND($A2266=21,$AE2266&amp;""="00000000"),IF($AH2266=20,"病院",IF($AH2266=5,"消防","市長")),"対象外"))</f>
      </c>
    </row>
    <row r="2267">
      <c r="DB2267" s="2909">
        <f>IF($A2267="","",IF(AND($A2267=21,$AE2267&amp;""="00000000"),IF($AH2267=20,"病院",IF($AH2267=5,"消防","市長")),"対象外"))</f>
      </c>
    </row>
    <row r="2268">
      <c r="DB2268" s="2909">
        <f>IF($A2268="","",IF(AND($A2268=21,$AE2268&amp;""="00000000"),IF($AH2268=20,"病院",IF($AH2268=5,"消防","市長")),"対象外"))</f>
      </c>
    </row>
    <row r="2269">
      <c r="DB2269" s="2909">
        <f>IF($A2269="","",IF(AND($A2269=21,$AE2269&amp;""="00000000"),IF($AH2269=20,"病院",IF($AH2269=5,"消防","市長")),"対象外"))</f>
      </c>
    </row>
    <row r="2270">
      <c r="DB2270" s="2909">
        <f>IF($A2270="","",IF(AND($A2270=21,$AE2270&amp;""="00000000"),IF($AH2270=20,"病院",IF($AH2270=5,"消防","市長")),"対象外"))</f>
      </c>
    </row>
    <row r="2271">
      <c r="DB2271" s="2909">
        <f>IF($A2271="","",IF(AND($A2271=21,$AE2271&amp;""="00000000"),IF($AH2271=20,"病院",IF($AH2271=5,"消防","市長")),"対象外"))</f>
      </c>
    </row>
    <row r="2272">
      <c r="DB2272" s="2909">
        <f>IF($A2272="","",IF(AND($A2272=21,$AE2272&amp;""="00000000"),IF($AH2272=20,"病院",IF($AH2272=5,"消防","市長")),"対象外"))</f>
      </c>
    </row>
    <row r="2273">
      <c r="DB2273" s="2909">
        <f>IF($A2273="","",IF(AND($A2273=21,$AE2273&amp;""="00000000"),IF($AH2273=20,"病院",IF($AH2273=5,"消防","市長")),"対象外"))</f>
      </c>
    </row>
    <row r="2274">
      <c r="DB2274" s="2909">
        <f>IF($A2274="","",IF(AND($A2274=21,$AE2274&amp;""="00000000"),IF($AH2274=20,"病院",IF($AH2274=5,"消防","市長")),"対象外"))</f>
      </c>
    </row>
    <row r="2275">
      <c r="DB2275" s="2909">
        <f>IF($A2275="","",IF(AND($A2275=21,$AE2275&amp;""="00000000"),IF($AH2275=20,"病院",IF($AH2275=5,"消防","市長")),"対象外"))</f>
      </c>
    </row>
    <row r="2276">
      <c r="DB2276" s="2909">
        <f>IF($A2276="","",IF(AND($A2276=21,$AE2276&amp;""="00000000"),IF($AH2276=20,"病院",IF($AH2276=5,"消防","市長")),"対象外"))</f>
      </c>
    </row>
    <row r="2277">
      <c r="DB2277" s="2909">
        <f>IF($A2277="","",IF(AND($A2277=21,$AE2277&amp;""="00000000"),IF($AH2277=20,"病院",IF($AH2277=5,"消防","市長")),"対象外"))</f>
      </c>
    </row>
    <row r="2278">
      <c r="DB2278" s="2909">
        <f>IF($A2278="","",IF(AND($A2278=21,$AE2278&amp;""="00000000"),IF($AH2278=20,"病院",IF($AH2278=5,"消防","市長")),"対象外"))</f>
      </c>
    </row>
    <row r="2279">
      <c r="DB2279" s="2909">
        <f>IF($A2279="","",IF(AND($A2279=21,$AE2279&amp;""="00000000"),IF($AH2279=20,"病院",IF($AH2279=5,"消防","市長")),"対象外"))</f>
      </c>
    </row>
    <row r="2280">
      <c r="DB2280" s="2909">
        <f>IF($A2280="","",IF(AND($A2280=21,$AE2280&amp;""="00000000"),IF($AH2280=20,"病院",IF($AH2280=5,"消防","市長")),"対象外"))</f>
      </c>
    </row>
    <row r="2281">
      <c r="DB2281" s="2909">
        <f>IF($A2281="","",IF(AND($A2281=21,$AE2281&amp;""="00000000"),IF($AH2281=20,"病院",IF($AH2281=5,"消防","市長")),"対象外"))</f>
      </c>
    </row>
    <row r="2282">
      <c r="DB2282" s="2909">
        <f>IF($A2282="","",IF(AND($A2282=21,$AE2282&amp;""="00000000"),IF($AH2282=20,"病院",IF($AH2282=5,"消防","市長")),"対象外"))</f>
      </c>
    </row>
    <row r="2283">
      <c r="DB2283" s="2909">
        <f>IF($A2283="","",IF(AND($A2283=21,$AE2283&amp;""="00000000"),IF($AH2283=20,"病院",IF($AH2283=5,"消防","市長")),"対象外"))</f>
      </c>
    </row>
    <row r="2284">
      <c r="DB2284" s="2909">
        <f>IF($A2284="","",IF(AND($A2284=21,$AE2284&amp;""="00000000"),IF($AH2284=20,"病院",IF($AH2284=5,"消防","市長")),"対象外"))</f>
      </c>
    </row>
    <row r="2285">
      <c r="DB2285" s="2909">
        <f>IF($A2285="","",IF(AND($A2285=21,$AE2285&amp;""="00000000"),IF($AH2285=20,"病院",IF($AH2285=5,"消防","市長")),"対象外"))</f>
      </c>
    </row>
    <row r="2286">
      <c r="DB2286" s="2909">
        <f>IF($A2286="","",IF(AND($A2286=21,$AE2286&amp;""="00000000"),IF($AH2286=20,"病院",IF($AH2286=5,"消防","市長")),"対象外"))</f>
      </c>
    </row>
    <row r="2287">
      <c r="DB2287" s="2909">
        <f>IF($A2287="","",IF(AND($A2287=21,$AE2287&amp;""="00000000"),IF($AH2287=20,"病院",IF($AH2287=5,"消防","市長")),"対象外"))</f>
      </c>
    </row>
    <row r="2288">
      <c r="DB2288" s="2909">
        <f>IF($A2288="","",IF(AND($A2288=21,$AE2288&amp;""="00000000"),IF($AH2288=20,"病院",IF($AH2288=5,"消防","市長")),"対象外"))</f>
      </c>
    </row>
    <row r="2289">
      <c r="DB2289" s="2909">
        <f>IF($A2289="","",IF(AND($A2289=21,$AE2289&amp;""="00000000"),IF($AH2289=20,"病院",IF($AH2289=5,"消防","市長")),"対象外"))</f>
      </c>
    </row>
    <row r="2290">
      <c r="DB2290" s="2909">
        <f>IF($A2290="","",IF(AND($A2290=21,$AE2290&amp;""="00000000"),IF($AH2290=20,"病院",IF($AH2290=5,"消防","市長")),"対象外"))</f>
      </c>
    </row>
    <row r="2291">
      <c r="DB2291" s="2909">
        <f>IF($A2291="","",IF(AND($A2291=21,$AE2291&amp;""="00000000"),IF($AH2291=20,"病院",IF($AH2291=5,"消防","市長")),"対象外"))</f>
      </c>
    </row>
    <row r="2292">
      <c r="DB2292" s="2909">
        <f>IF($A2292="","",IF(AND($A2292=21,$AE2292&amp;""="00000000"),IF($AH2292=20,"病院",IF($AH2292=5,"消防","市長")),"対象外"))</f>
      </c>
    </row>
    <row r="2293">
      <c r="DB2293" s="2909">
        <f>IF($A2293="","",IF(AND($A2293=21,$AE2293&amp;""="00000000"),IF($AH2293=20,"病院",IF($AH2293=5,"消防","市長")),"対象外"))</f>
      </c>
    </row>
    <row r="2294">
      <c r="DB2294" s="2909">
        <f>IF($A2294="","",IF(AND($A2294=21,$AE2294&amp;""="00000000"),IF($AH2294=20,"病院",IF($AH2294=5,"消防","市長")),"対象外"))</f>
      </c>
    </row>
    <row r="2295">
      <c r="DB2295" s="2909">
        <f>IF($A2295="","",IF(AND($A2295=21,$AE2295&amp;""="00000000"),IF($AH2295=20,"病院",IF($AH2295=5,"消防","市長")),"対象外"))</f>
      </c>
    </row>
    <row r="2296">
      <c r="DB2296" s="2909">
        <f>IF($A2296="","",IF(AND($A2296=21,$AE2296&amp;""="00000000"),IF($AH2296=20,"病院",IF($AH2296=5,"消防","市長")),"対象外"))</f>
      </c>
    </row>
    <row r="2297">
      <c r="DB2297" s="2909">
        <f>IF($A2297="","",IF(AND($A2297=21,$AE2297&amp;""="00000000"),IF($AH2297=20,"病院",IF($AH2297=5,"消防","市長")),"対象外"))</f>
      </c>
    </row>
    <row r="2298">
      <c r="DB2298" s="2909">
        <f>IF($A2298="","",IF(AND($A2298=21,$AE2298&amp;""="00000000"),IF($AH2298=20,"病院",IF($AH2298=5,"消防","市長")),"対象外"))</f>
      </c>
    </row>
    <row r="2299">
      <c r="DB2299" s="2909">
        <f>IF($A2299="","",IF(AND($A2299=21,$AE2299&amp;""="00000000"),IF($AH2299=20,"病院",IF($AH2299=5,"消防","市長")),"対象外"))</f>
      </c>
    </row>
    <row r="2300">
      <c r="DB2300" s="2909">
        <f>IF($A2300="","",IF(AND($A2300=21,$AE2300&amp;""="00000000"),IF($AH2300=20,"病院",IF($AH2300=5,"消防","市長")),"対象外"))</f>
      </c>
    </row>
    <row r="2301">
      <c r="DB2301" s="2909">
        <f>IF($A2301="","",IF(AND($A2301=21,$AE2301&amp;""="00000000"),IF($AH2301=20,"病院",IF($AH2301=5,"消防","市長")),"対象外"))</f>
      </c>
    </row>
    <row r="2302">
      <c r="DB2302" s="2909">
        <f>IF($A2302="","",IF(AND($A2302=21,$AE2302&amp;""="00000000"),IF($AH2302=20,"病院",IF($AH2302=5,"消防","市長")),"対象外"))</f>
      </c>
    </row>
    <row r="2303">
      <c r="DB2303" s="2909">
        <f>IF($A2303="","",IF(AND($A2303=21,$AE2303&amp;""="00000000"),IF($AH2303=20,"病院",IF($AH2303=5,"消防","市長")),"対象外"))</f>
      </c>
    </row>
    <row r="2304">
      <c r="DB2304" s="2909">
        <f>IF($A2304="","",IF(AND($A2304=21,$AE2304&amp;""="00000000"),IF($AH2304=20,"病院",IF($AH2304=5,"消防","市長")),"対象外"))</f>
      </c>
    </row>
    <row r="2305">
      <c r="DB2305" s="2909">
        <f>IF($A2305="","",IF(AND($A2305=21,$AE2305&amp;""="00000000"),IF($AH2305=20,"病院",IF($AH2305=5,"消防","市長")),"対象外"))</f>
      </c>
    </row>
    <row r="2306">
      <c r="DB2306" s="2909">
        <f>IF($A2306="","",IF(AND($A2306=21,$AE2306&amp;""="00000000"),IF($AH2306=20,"病院",IF($AH2306=5,"消防","市長")),"対象外"))</f>
      </c>
    </row>
    <row r="2307">
      <c r="DB2307" s="2909">
        <f>IF($A2307="","",IF(AND($A2307=21,$AE2307&amp;""="00000000"),IF($AH2307=20,"病院",IF($AH2307=5,"消防","市長")),"対象外"))</f>
      </c>
    </row>
    <row r="2308">
      <c r="DB2308" s="2909">
        <f>IF($A2308="","",IF(AND($A2308=21,$AE2308&amp;""="00000000"),IF($AH2308=20,"病院",IF($AH2308=5,"消防","市長")),"対象外"))</f>
      </c>
    </row>
    <row r="2309">
      <c r="DB2309" s="2909">
        <f>IF($A2309="","",IF(AND($A2309=21,$AE2309&amp;""="00000000"),IF($AH2309=20,"病院",IF($AH2309=5,"消防","市長")),"対象外"))</f>
      </c>
    </row>
    <row r="2310">
      <c r="DB2310" s="2909">
        <f>IF($A2310="","",IF(AND($A2310=21,$AE2310&amp;""="00000000"),IF($AH2310=20,"病院",IF($AH2310=5,"消防","市長")),"対象外"))</f>
      </c>
    </row>
    <row r="2311">
      <c r="DB2311" s="2909">
        <f>IF($A2311="","",IF(AND($A2311=21,$AE2311&amp;""="00000000"),IF($AH2311=20,"病院",IF($AH2311=5,"消防","市長")),"対象外"))</f>
      </c>
    </row>
    <row r="2312">
      <c r="DB2312" s="2909">
        <f>IF($A2312="","",IF(AND($A2312=21,$AE2312&amp;""="00000000"),IF($AH2312=20,"病院",IF($AH2312=5,"消防","市長")),"対象外"))</f>
      </c>
    </row>
    <row r="2313">
      <c r="DB2313" s="2909">
        <f>IF($A2313="","",IF(AND($A2313=21,$AE2313&amp;""="00000000"),IF($AH2313=20,"病院",IF($AH2313=5,"消防","市長")),"対象外"))</f>
      </c>
    </row>
    <row r="2314">
      <c r="DB2314" s="2909">
        <f>IF($A2314="","",IF(AND($A2314=21,$AE2314&amp;""="00000000"),IF($AH2314=20,"病院",IF($AH2314=5,"消防","市長")),"対象外"))</f>
      </c>
    </row>
    <row r="2315">
      <c r="DB2315" s="2909">
        <f>IF($A2315="","",IF(AND($A2315=21,$AE2315&amp;""="00000000"),IF($AH2315=20,"病院",IF($AH2315=5,"消防","市長")),"対象外"))</f>
      </c>
    </row>
    <row r="2316">
      <c r="DB2316" s="2909">
        <f>IF($A2316="","",IF(AND($A2316=21,$AE2316&amp;""="00000000"),IF($AH2316=20,"病院",IF($AH2316=5,"消防","市長")),"対象外"))</f>
      </c>
    </row>
    <row r="2317">
      <c r="DB2317" s="2909">
        <f>IF($A2317="","",IF(AND($A2317=21,$AE2317&amp;""="00000000"),IF($AH2317=20,"病院",IF($AH2317=5,"消防","市長")),"対象外"))</f>
      </c>
    </row>
    <row r="2318">
      <c r="DB2318" s="2909">
        <f>IF($A2318="","",IF(AND($A2318=21,$AE2318&amp;""="00000000"),IF($AH2318=20,"病院",IF($AH2318=5,"消防","市長")),"対象外"))</f>
      </c>
    </row>
    <row r="2319">
      <c r="DB2319" s="2909">
        <f>IF($A2319="","",IF(AND($A2319=21,$AE2319&amp;""="00000000"),IF($AH2319=20,"病院",IF($AH2319=5,"消防","市長")),"対象外"))</f>
      </c>
    </row>
    <row r="2320">
      <c r="DB2320" s="2909">
        <f>IF($A2320="","",IF(AND($A2320=21,$AE2320&amp;""="00000000"),IF($AH2320=20,"病院",IF($AH2320=5,"消防","市長")),"対象外"))</f>
      </c>
    </row>
    <row r="2321">
      <c r="DB2321" s="2909">
        <f>IF($A2321="","",IF(AND($A2321=21,$AE2321&amp;""="00000000"),IF($AH2321=20,"病院",IF($AH2321=5,"消防","市長")),"対象外"))</f>
      </c>
    </row>
    <row r="2322">
      <c r="DB2322" s="2909">
        <f>IF($A2322="","",IF(AND($A2322=21,$AE2322&amp;""="00000000"),IF($AH2322=20,"病院",IF($AH2322=5,"消防","市長")),"対象外"))</f>
      </c>
    </row>
    <row r="2323">
      <c r="DB2323" s="2909">
        <f>IF($A2323="","",IF(AND($A2323=21,$AE2323&amp;""="00000000"),IF($AH2323=20,"病院",IF($AH2323=5,"消防","市長")),"対象外"))</f>
      </c>
    </row>
    <row r="2324">
      <c r="DB2324" s="2909">
        <f>IF($A2324="","",IF(AND($A2324=21,$AE2324&amp;""="00000000"),IF($AH2324=20,"病院",IF($AH2324=5,"消防","市長")),"対象外"))</f>
      </c>
    </row>
    <row r="2325">
      <c r="DB2325" s="2909">
        <f>IF($A2325="","",IF(AND($A2325=21,$AE2325&amp;""="00000000"),IF($AH2325=20,"病院",IF($AH2325=5,"消防","市長")),"対象外"))</f>
      </c>
    </row>
    <row r="2326">
      <c r="DB2326" s="2909">
        <f>IF($A2326="","",IF(AND($A2326=21,$AE2326&amp;""="00000000"),IF($AH2326=20,"病院",IF($AH2326=5,"消防","市長")),"対象外"))</f>
      </c>
    </row>
    <row r="2327">
      <c r="DB2327" s="2909">
        <f>IF($A2327="","",IF(AND($A2327=21,$AE2327&amp;""="00000000"),IF($AH2327=20,"病院",IF($AH2327=5,"消防","市長")),"対象外"))</f>
      </c>
    </row>
    <row r="2328">
      <c r="DB2328" s="2909">
        <f>IF($A2328="","",IF(AND($A2328=21,$AE2328&amp;""="00000000"),IF($AH2328=20,"病院",IF($AH2328=5,"消防","市長")),"対象外"))</f>
      </c>
    </row>
    <row r="2329">
      <c r="DB2329" s="2909">
        <f>IF($A2329="","",IF(AND($A2329=21,$AE2329&amp;""="00000000"),IF($AH2329=20,"病院",IF($AH2329=5,"消防","市長")),"対象外"))</f>
      </c>
    </row>
    <row r="2330">
      <c r="DB2330" s="2909">
        <f>IF($A2330="","",IF(AND($A2330=21,$AE2330&amp;""="00000000"),IF($AH2330=20,"病院",IF($AH2330=5,"消防","市長")),"対象外"))</f>
      </c>
    </row>
    <row r="2331">
      <c r="DB2331" s="2909">
        <f>IF($A2331="","",IF(AND($A2331=21,$AE2331&amp;""="00000000"),IF($AH2331=20,"病院",IF($AH2331=5,"消防","市長")),"対象外"))</f>
      </c>
    </row>
    <row r="2332">
      <c r="DB2332" s="2909">
        <f>IF($A2332="","",IF(AND($A2332=21,$AE2332&amp;""="00000000"),IF($AH2332=20,"病院",IF($AH2332=5,"消防","市長")),"対象外"))</f>
      </c>
    </row>
    <row r="2333">
      <c r="DB2333" s="2909">
        <f>IF($A2333="","",IF(AND($A2333=21,$AE2333&amp;""="00000000"),IF($AH2333=20,"病院",IF($AH2333=5,"消防","市長")),"対象外"))</f>
      </c>
    </row>
    <row r="2334">
      <c r="DB2334" s="2909">
        <f>IF($A2334="","",IF(AND($A2334=21,$AE2334&amp;""="00000000"),IF($AH2334=20,"病院",IF($AH2334=5,"消防","市長")),"対象外"))</f>
      </c>
    </row>
    <row r="2335">
      <c r="DB2335" s="2909">
        <f>IF($A2335="","",IF(AND($A2335=21,$AE2335&amp;""="00000000"),IF($AH2335=20,"病院",IF($AH2335=5,"消防","市長")),"対象外"))</f>
      </c>
    </row>
    <row r="2336">
      <c r="DB2336" s="2909">
        <f>IF($A2336="","",IF(AND($A2336=21,$AE2336&amp;""="00000000"),IF($AH2336=20,"病院",IF($AH2336=5,"消防","市長")),"対象外"))</f>
      </c>
    </row>
    <row r="2337">
      <c r="DB2337" s="2909">
        <f>IF($A2337="","",IF(AND($A2337=21,$AE2337&amp;""="00000000"),IF($AH2337=20,"病院",IF($AH2337=5,"消防","市長")),"対象外"))</f>
      </c>
    </row>
    <row r="2338">
      <c r="DB2338" s="2909">
        <f>IF($A2338="","",IF(AND($A2338=21,$AE2338&amp;""="00000000"),IF($AH2338=20,"病院",IF($AH2338=5,"消防","市長")),"対象外"))</f>
      </c>
    </row>
    <row r="2339">
      <c r="DB2339" s="2909">
        <f>IF($A2339="","",IF(AND($A2339=21,$AE2339&amp;""="00000000"),IF($AH2339=20,"病院",IF($AH2339=5,"消防","市長")),"対象外"))</f>
      </c>
    </row>
    <row r="2340">
      <c r="DB2340" s="2909">
        <f>IF($A2340="","",IF(AND($A2340=21,$AE2340&amp;""="00000000"),IF($AH2340=20,"病院",IF($AH2340=5,"消防","市長")),"対象外"))</f>
      </c>
    </row>
    <row r="2341">
      <c r="DB2341" s="2909">
        <f>IF($A2341="","",IF(AND($A2341=21,$AE2341&amp;""="00000000"),IF($AH2341=20,"病院",IF($AH2341=5,"消防","市長")),"対象外"))</f>
      </c>
    </row>
    <row r="2342">
      <c r="DB2342" s="2909">
        <f>IF($A2342="","",IF(AND($A2342=21,$AE2342&amp;""="00000000"),IF($AH2342=20,"病院",IF($AH2342=5,"消防","市長")),"対象外"))</f>
      </c>
    </row>
    <row r="2343">
      <c r="DB2343" s="2909">
        <f>IF($A2343="","",IF(AND($A2343=21,$AE2343&amp;""="00000000"),IF($AH2343=20,"病院",IF($AH2343=5,"消防","市長")),"対象外"))</f>
      </c>
    </row>
    <row r="2344">
      <c r="DB2344" s="2909">
        <f>IF($A2344="","",IF(AND($A2344=21,$AE2344&amp;""="00000000"),IF($AH2344=20,"病院",IF($AH2344=5,"消防","市長")),"対象外"))</f>
      </c>
    </row>
    <row r="2345">
      <c r="DB2345" s="2909">
        <f>IF($A2345="","",IF(AND($A2345=21,$AE2345&amp;""="00000000"),IF($AH2345=20,"病院",IF($AH2345=5,"消防","市長")),"対象外"))</f>
      </c>
    </row>
    <row r="2346">
      <c r="DB2346" s="2909">
        <f>IF($A2346="","",IF(AND($A2346=21,$AE2346&amp;""="00000000"),IF($AH2346=20,"病院",IF($AH2346=5,"消防","市長")),"対象外"))</f>
      </c>
    </row>
    <row r="2347">
      <c r="DB2347" s="2909">
        <f>IF($A2347="","",IF(AND($A2347=21,$AE2347&amp;""="00000000"),IF($AH2347=20,"病院",IF($AH2347=5,"消防","市長")),"対象外"))</f>
      </c>
    </row>
    <row r="2348">
      <c r="DB2348" s="2909">
        <f>IF($A2348="","",IF(AND($A2348=21,$AE2348&amp;""="00000000"),IF($AH2348=20,"病院",IF($AH2348=5,"消防","市長")),"対象外"))</f>
      </c>
    </row>
    <row r="2349">
      <c r="DB2349" s="2909">
        <f>IF($A2349="","",IF(AND($A2349=21,$AE2349&amp;""="00000000"),IF($AH2349=20,"病院",IF($AH2349=5,"消防","市長")),"対象外"))</f>
      </c>
    </row>
    <row r="2350">
      <c r="DB2350" s="2909">
        <f>IF($A2350="","",IF(AND($A2350=21,$AE2350&amp;""="00000000"),IF($AH2350=20,"病院",IF($AH2350=5,"消防","市長")),"対象外"))</f>
      </c>
    </row>
    <row r="2351">
      <c r="DB2351" s="2909">
        <f>IF($A2351="","",IF(AND($A2351=21,$AE2351&amp;""="00000000"),IF($AH2351=20,"病院",IF($AH2351=5,"消防","市長")),"対象外"))</f>
      </c>
    </row>
    <row r="2352">
      <c r="DB2352" s="2909">
        <f>IF($A2352="","",IF(AND($A2352=21,$AE2352&amp;""="00000000"),IF($AH2352=20,"病院",IF($AH2352=5,"消防","市長")),"対象外"))</f>
      </c>
    </row>
    <row r="2353">
      <c r="DB2353" s="2909">
        <f>IF($A2353="","",IF(AND($A2353=21,$AE2353&amp;""="00000000"),IF($AH2353=20,"病院",IF($AH2353=5,"消防","市長")),"対象外"))</f>
      </c>
    </row>
    <row r="2354">
      <c r="DB2354" s="2909">
        <f>IF($A2354="","",IF(AND($A2354=21,$AE2354&amp;""="00000000"),IF($AH2354=20,"病院",IF($AH2354=5,"消防","市長")),"対象外"))</f>
      </c>
    </row>
    <row r="2355">
      <c r="DB2355" s="2909">
        <f>IF($A2355="","",IF(AND($A2355=21,$AE2355&amp;""="00000000"),IF($AH2355=20,"病院",IF($AH2355=5,"消防","市長")),"対象外"))</f>
      </c>
    </row>
    <row r="2356">
      <c r="DB2356" s="2909">
        <f>IF($A2356="","",IF(AND($A2356=21,$AE2356&amp;""="00000000"),IF($AH2356=20,"病院",IF($AH2356=5,"消防","市長")),"対象外"))</f>
      </c>
    </row>
    <row r="2357">
      <c r="DB2357" s="2909">
        <f>IF($A2357="","",IF(AND($A2357=21,$AE2357&amp;""="00000000"),IF($AH2357=20,"病院",IF($AH2357=5,"消防","市長")),"対象外"))</f>
      </c>
    </row>
    <row r="2358">
      <c r="DB2358" s="2909">
        <f>IF($A2358="","",IF(AND($A2358=21,$AE2358&amp;""="00000000"),IF($AH2358=20,"病院",IF($AH2358=5,"消防","市長")),"対象外"))</f>
      </c>
    </row>
    <row r="2359">
      <c r="DB2359" s="2909">
        <f>IF($A2359="","",IF(AND($A2359=21,$AE2359&amp;""="00000000"),IF($AH2359=20,"病院",IF($AH2359=5,"消防","市長")),"対象外"))</f>
      </c>
    </row>
    <row r="2360">
      <c r="DB2360" s="2909">
        <f>IF($A2360="","",IF(AND($A2360=21,$AE2360&amp;""="00000000"),IF($AH2360=20,"病院",IF($AH2360=5,"消防","市長")),"対象外"))</f>
      </c>
    </row>
    <row r="2361">
      <c r="DB2361" s="2909">
        <f>IF($A2361="","",IF(AND($A2361=21,$AE2361&amp;""="00000000"),IF($AH2361=20,"病院",IF($AH2361=5,"消防","市長")),"対象外"))</f>
      </c>
    </row>
    <row r="2362">
      <c r="DB2362" s="2909">
        <f>IF($A2362="","",IF(AND($A2362=21,$AE2362&amp;""="00000000"),IF($AH2362=20,"病院",IF($AH2362=5,"消防","市長")),"対象外"))</f>
      </c>
    </row>
    <row r="2363">
      <c r="DB2363" s="2909">
        <f>IF($A2363="","",IF(AND($A2363=21,$AE2363&amp;""="00000000"),IF($AH2363=20,"病院",IF($AH2363=5,"消防","市長")),"対象外"))</f>
      </c>
    </row>
    <row r="2364">
      <c r="DB2364" s="2909">
        <f>IF($A2364="","",IF(AND($A2364=21,$AE2364&amp;""="00000000"),IF($AH2364=20,"病院",IF($AH2364=5,"消防","市長")),"対象外"))</f>
      </c>
    </row>
    <row r="2365">
      <c r="DB2365" s="2909">
        <f>IF($A2365="","",IF(AND($A2365=21,$AE2365&amp;""="00000000"),IF($AH2365=20,"病院",IF($AH2365=5,"消防","市長")),"対象外"))</f>
      </c>
    </row>
    <row r="2366">
      <c r="DB2366" s="2909">
        <f>IF($A2366="","",IF(AND($A2366=21,$AE2366&amp;""="00000000"),IF($AH2366=20,"病院",IF($AH2366=5,"消防","市長")),"対象外"))</f>
      </c>
    </row>
    <row r="2367">
      <c r="DB2367" s="2909">
        <f>IF($A2367="","",IF(AND($A2367=21,$AE2367&amp;""="00000000"),IF($AH2367=20,"病院",IF($AH2367=5,"消防","市長")),"対象外"))</f>
      </c>
    </row>
    <row r="2368">
      <c r="DB2368" s="2909">
        <f>IF($A2368="","",IF(AND($A2368=21,$AE2368&amp;""="00000000"),IF($AH2368=20,"病院",IF($AH2368=5,"消防","市長")),"対象外"))</f>
      </c>
    </row>
    <row r="2369">
      <c r="DB2369" s="2909">
        <f>IF($A2369="","",IF(AND($A2369=21,$AE2369&amp;""="00000000"),IF($AH2369=20,"病院",IF($AH2369=5,"消防","市長")),"対象外"))</f>
      </c>
    </row>
    <row r="2370">
      <c r="DB2370" s="2909">
        <f>IF($A2370="","",IF(AND($A2370=21,$AE2370&amp;""="00000000"),IF($AH2370=20,"病院",IF($AH2370=5,"消防","市長")),"対象外"))</f>
      </c>
    </row>
    <row r="2371">
      <c r="DB2371" s="2909">
        <f>IF($A2371="","",IF(AND($A2371=21,$AE2371&amp;""="00000000"),IF($AH2371=20,"病院",IF($AH2371=5,"消防","市長")),"対象外"))</f>
      </c>
    </row>
    <row r="2372">
      <c r="DB2372" s="2909">
        <f>IF($A2372="","",IF(AND($A2372=21,$AE2372&amp;""="00000000"),IF($AH2372=20,"病院",IF($AH2372=5,"消防","市長")),"対象外"))</f>
      </c>
    </row>
    <row r="2373">
      <c r="DB2373" s="2909">
        <f>IF($A2373="","",IF(AND($A2373=21,$AE2373&amp;""="00000000"),IF($AH2373=20,"病院",IF($AH2373=5,"消防","市長")),"対象外"))</f>
      </c>
    </row>
    <row r="2374">
      <c r="DB2374" s="2909">
        <f>IF($A2374="","",IF(AND($A2374=21,$AE2374&amp;""="00000000"),IF($AH2374=20,"病院",IF($AH2374=5,"消防","市長")),"対象外"))</f>
      </c>
    </row>
    <row r="2375">
      <c r="DB2375" s="2909">
        <f>IF($A2375="","",IF(AND($A2375=21,$AE2375&amp;""="00000000"),IF($AH2375=20,"病院",IF($AH2375=5,"消防","市長")),"対象外"))</f>
      </c>
    </row>
    <row r="2376">
      <c r="DB2376" s="2909">
        <f>IF($A2376="","",IF(AND($A2376=21,$AE2376&amp;""="00000000"),IF($AH2376=20,"病院",IF($AH2376=5,"消防","市長")),"対象外"))</f>
      </c>
    </row>
    <row r="2377">
      <c r="DB2377" s="2909">
        <f>IF($A2377="","",IF(AND($A2377=21,$AE2377&amp;""="00000000"),IF($AH2377=20,"病院",IF($AH2377=5,"消防","市長")),"対象外"))</f>
      </c>
    </row>
    <row r="2378">
      <c r="DB2378" s="2909">
        <f>IF($A2378="","",IF(AND($A2378=21,$AE2378&amp;""="00000000"),IF($AH2378=20,"病院",IF($AH2378=5,"消防","市長")),"対象外"))</f>
      </c>
    </row>
    <row r="2379">
      <c r="DB2379" s="2909">
        <f>IF($A2379="","",IF(AND($A2379=21,$AE2379&amp;""="00000000"),IF($AH2379=20,"病院",IF($AH2379=5,"消防","市長")),"対象外"))</f>
      </c>
    </row>
    <row r="2380">
      <c r="DB2380" s="2909">
        <f>IF($A2380="","",IF(AND($A2380=21,$AE2380&amp;""="00000000"),IF($AH2380=20,"病院",IF($AH2380=5,"消防","市長")),"対象外"))</f>
      </c>
    </row>
    <row r="2381">
      <c r="DB2381" s="2909">
        <f>IF($A2381="","",IF(AND($A2381=21,$AE2381&amp;""="00000000"),IF($AH2381=20,"病院",IF($AH2381=5,"消防","市長")),"対象外"))</f>
      </c>
    </row>
    <row r="2382">
      <c r="DB2382" s="2909">
        <f>IF($A2382="","",IF(AND($A2382=21,$AE2382&amp;""="00000000"),IF($AH2382=20,"病院",IF($AH2382=5,"消防","市長")),"対象外"))</f>
      </c>
    </row>
    <row r="2383">
      <c r="DB2383" s="2909">
        <f>IF($A2383="","",IF(AND($A2383=21,$AE2383&amp;""="00000000"),IF($AH2383=20,"病院",IF($AH2383=5,"消防","市長")),"対象外"))</f>
      </c>
    </row>
    <row r="2384">
      <c r="DB2384" s="2909">
        <f>IF($A2384="","",IF(AND($A2384=21,$AE2384&amp;""="00000000"),IF($AH2384=20,"病院",IF($AH2384=5,"消防","市長")),"対象外"))</f>
      </c>
    </row>
    <row r="2385">
      <c r="DB2385" s="2909">
        <f>IF($A2385="","",IF(AND($A2385=21,$AE2385&amp;""="00000000"),IF($AH2385=20,"病院",IF($AH2385=5,"消防","市長")),"対象外"))</f>
      </c>
    </row>
    <row r="2386">
      <c r="DB2386" s="2909">
        <f>IF($A2386="","",IF(AND($A2386=21,$AE2386&amp;""="00000000"),IF($AH2386=20,"病院",IF($AH2386=5,"消防","市長")),"対象外"))</f>
      </c>
    </row>
    <row r="2387">
      <c r="DB2387" s="2909">
        <f>IF($A2387="","",IF(AND($A2387=21,$AE2387&amp;""="00000000"),IF($AH2387=20,"病院",IF($AH2387=5,"消防","市長")),"対象外"))</f>
      </c>
    </row>
    <row r="2388">
      <c r="DB2388" s="2909">
        <f>IF($A2388="","",IF(AND($A2388=21,$AE2388&amp;""="00000000"),IF($AH2388=20,"病院",IF($AH2388=5,"消防","市長")),"対象外"))</f>
      </c>
    </row>
    <row r="2389">
      <c r="DB2389" s="2909">
        <f>IF($A2389="","",IF(AND($A2389=21,$AE2389&amp;""="00000000"),IF($AH2389=20,"病院",IF($AH2389=5,"消防","市長")),"対象外"))</f>
      </c>
    </row>
    <row r="2390">
      <c r="DB2390" s="2909">
        <f>IF($A2390="","",IF(AND($A2390=21,$AE2390&amp;""="00000000"),IF($AH2390=20,"病院",IF($AH2390=5,"消防","市長")),"対象外"))</f>
      </c>
    </row>
    <row r="2391">
      <c r="DB2391" s="2909">
        <f>IF($A2391="","",IF(AND($A2391=21,$AE2391&amp;""="00000000"),IF($AH2391=20,"病院",IF($AH2391=5,"消防","市長")),"対象外"))</f>
      </c>
    </row>
    <row r="2392">
      <c r="DB2392" s="2909">
        <f>IF($A2392="","",IF(AND($A2392=21,$AE2392&amp;""="00000000"),IF($AH2392=20,"病院",IF($AH2392=5,"消防","市長")),"対象外"))</f>
      </c>
    </row>
    <row r="2393">
      <c r="DB2393" s="2909">
        <f>IF($A2393="","",IF(AND($A2393=21,$AE2393&amp;""="00000000"),IF($AH2393=20,"病院",IF($AH2393=5,"消防","市長")),"対象外"))</f>
      </c>
    </row>
    <row r="2394">
      <c r="DB2394" s="2909">
        <f>IF($A2394="","",IF(AND($A2394=21,$AE2394&amp;""="00000000"),IF($AH2394=20,"病院",IF($AH2394=5,"消防","市長")),"対象外"))</f>
      </c>
    </row>
    <row r="2395">
      <c r="DB2395" s="2909">
        <f>IF($A2395="","",IF(AND($A2395=21,$AE2395&amp;""="00000000"),IF($AH2395=20,"病院",IF($AH2395=5,"消防","市長")),"対象外"))</f>
      </c>
    </row>
    <row r="2396">
      <c r="DB2396" s="2909">
        <f>IF($A2396="","",IF(AND($A2396=21,$AE2396&amp;""="00000000"),IF($AH2396=20,"病院",IF($AH2396=5,"消防","市長")),"対象外"))</f>
      </c>
    </row>
    <row r="2397">
      <c r="DB2397" s="2909">
        <f>IF($A2397="","",IF(AND($A2397=21,$AE2397&amp;""="00000000"),IF($AH2397=20,"病院",IF($AH2397=5,"消防","市長")),"対象外"))</f>
      </c>
    </row>
    <row r="2398">
      <c r="DB2398" s="2909">
        <f>IF($A2398="","",IF(AND($A2398=21,$AE2398&amp;""="00000000"),IF($AH2398=20,"病院",IF($AH2398=5,"消防","市長")),"対象外"))</f>
      </c>
    </row>
    <row r="2399">
      <c r="DB2399" s="2909">
        <f>IF($A2399="","",IF(AND($A2399=21,$AE2399&amp;""="00000000"),IF($AH2399=20,"病院",IF($AH2399=5,"消防","市長")),"対象外"))</f>
      </c>
    </row>
    <row r="2400">
      <c r="DB2400" s="2909">
        <f>IF($A2400="","",IF(AND($A2400=21,$AE2400&amp;""="00000000"),IF($AH2400=20,"病院",IF($AH2400=5,"消防","市長")),"対象外"))</f>
      </c>
    </row>
    <row r="2401">
      <c r="DB2401" s="2909">
        <f>IF($A2401="","",IF(AND($A2401=21,$AE2401&amp;""="00000000"),IF($AH2401=20,"病院",IF($AH2401=5,"消防","市長")),"対象外"))</f>
      </c>
    </row>
    <row r="2402">
      <c r="DB2402" s="2909">
        <f>IF($A2402="","",IF(AND($A2402=21,$AE2402&amp;""="00000000"),IF($AH2402=20,"病院",IF($AH2402=5,"消防","市長")),"対象外"))</f>
      </c>
    </row>
    <row r="2403">
      <c r="DB2403" s="2909">
        <f>IF($A2403="","",IF(AND($A2403=21,$AE2403&amp;""="00000000"),IF($AH2403=20,"病院",IF($AH2403=5,"消防","市長")),"対象外"))</f>
      </c>
    </row>
    <row r="2404">
      <c r="DB2404" s="2909">
        <f>IF($A2404="","",IF(AND($A2404=21,$AE2404&amp;""="00000000"),IF($AH2404=20,"病院",IF($AH2404=5,"消防","市長")),"対象外"))</f>
      </c>
    </row>
    <row r="2405">
      <c r="DB2405" s="2909">
        <f>IF($A2405="","",IF(AND($A2405=21,$AE2405&amp;""="00000000"),IF($AH2405=20,"病院",IF($AH2405=5,"消防","市長")),"対象外"))</f>
      </c>
    </row>
    <row r="2406">
      <c r="DB2406" s="2909">
        <f>IF($A2406="","",IF(AND($A2406=21,$AE2406&amp;""="00000000"),IF($AH2406=20,"病院",IF($AH2406=5,"消防","市長")),"対象外"))</f>
      </c>
    </row>
    <row r="2407">
      <c r="DB2407" s="2909">
        <f>IF($A2407="","",IF(AND($A2407=21,$AE2407&amp;""="00000000"),IF($AH2407=20,"病院",IF($AH2407=5,"消防","市長")),"対象外"))</f>
      </c>
    </row>
    <row r="2408">
      <c r="DB2408" s="2909">
        <f>IF($A2408="","",IF(AND($A2408=21,$AE2408&amp;""="00000000"),IF($AH2408=20,"病院",IF($AH2408=5,"消防","市長")),"対象外"))</f>
      </c>
    </row>
    <row r="2409">
      <c r="DB2409" s="2909">
        <f>IF($A2409="","",IF(AND($A2409=21,$AE2409&amp;""="00000000"),IF($AH2409=20,"病院",IF($AH2409=5,"消防","市長")),"対象外"))</f>
      </c>
    </row>
    <row r="2410">
      <c r="DB2410" s="2909">
        <f>IF($A2410="","",IF(AND($A2410=21,$AE2410&amp;""="00000000"),IF($AH2410=20,"病院",IF($AH2410=5,"消防","市長")),"対象外"))</f>
      </c>
    </row>
    <row r="2411">
      <c r="DB2411" s="2909">
        <f>IF($A2411="","",IF(AND($A2411=21,$AE2411&amp;""="00000000"),IF($AH2411=20,"病院",IF($AH2411=5,"消防","市長")),"対象外"))</f>
      </c>
    </row>
    <row r="2412">
      <c r="DB2412" s="2909">
        <f>IF($A2412="","",IF(AND($A2412=21,$AE2412&amp;""="00000000"),IF($AH2412=20,"病院",IF($AH2412=5,"消防","市長")),"対象外"))</f>
      </c>
    </row>
    <row r="2413">
      <c r="DB2413" s="2909">
        <f>IF($A2413="","",IF(AND($A2413=21,$AE2413&amp;""="00000000"),IF($AH2413=20,"病院",IF($AH2413=5,"消防","市長")),"対象外"))</f>
      </c>
    </row>
    <row r="2414">
      <c r="DB2414" s="2909">
        <f>IF($A2414="","",IF(AND($A2414=21,$AE2414&amp;""="00000000"),IF($AH2414=20,"病院",IF($AH2414=5,"消防","市長")),"対象外"))</f>
      </c>
    </row>
    <row r="2415">
      <c r="DB2415" s="2909">
        <f>IF($A2415="","",IF(AND($A2415=21,$AE2415&amp;""="00000000"),IF($AH2415=20,"病院",IF($AH2415=5,"消防","市長")),"対象外"))</f>
      </c>
    </row>
    <row r="2416">
      <c r="DB2416" s="2909">
        <f>IF($A2416="","",IF(AND($A2416=21,$AE2416&amp;""="00000000"),IF($AH2416=20,"病院",IF($AH2416=5,"消防","市長")),"対象外"))</f>
      </c>
    </row>
    <row r="2417">
      <c r="DB2417" s="2909">
        <f>IF($A2417="","",IF(AND($A2417=21,$AE2417&amp;""="00000000"),IF($AH2417=20,"病院",IF($AH2417=5,"消防","市長")),"対象外"))</f>
      </c>
    </row>
    <row r="2418">
      <c r="DB2418" s="2909">
        <f>IF($A2418="","",IF(AND($A2418=21,$AE2418&amp;""="00000000"),IF($AH2418=20,"病院",IF($AH2418=5,"消防","市長")),"対象外"))</f>
      </c>
    </row>
    <row r="2419">
      <c r="DB2419" s="2909">
        <f>IF($A2419="","",IF(AND($A2419=21,$AE2419&amp;""="00000000"),IF($AH2419=20,"病院",IF($AH2419=5,"消防","市長")),"対象外"))</f>
      </c>
    </row>
    <row r="2420">
      <c r="DB2420" s="2909">
        <f>IF($A2420="","",IF(AND($A2420=21,$AE2420&amp;""="00000000"),IF($AH2420=20,"病院",IF($AH2420=5,"消防","市長")),"対象外"))</f>
      </c>
    </row>
    <row r="2421">
      <c r="DB2421" s="2909">
        <f>IF($A2421="","",IF(AND($A2421=21,$AE2421&amp;""="00000000"),IF($AH2421=20,"病院",IF($AH2421=5,"消防","市長")),"対象外"))</f>
      </c>
    </row>
    <row r="2422">
      <c r="DB2422" s="2909">
        <f>IF($A2422="","",IF(AND($A2422=21,$AE2422&amp;""="00000000"),IF($AH2422=20,"病院",IF($AH2422=5,"消防","市長")),"対象外"))</f>
      </c>
    </row>
    <row r="2423">
      <c r="DB2423" s="2909">
        <f>IF($A2423="","",IF(AND($A2423=21,$AE2423&amp;""="00000000"),IF($AH2423=20,"病院",IF($AH2423=5,"消防","市長")),"対象外"))</f>
      </c>
    </row>
    <row r="2424">
      <c r="DB2424" s="2909">
        <f>IF($A2424="","",IF(AND($A2424=21,$AE2424&amp;""="00000000"),IF($AH2424=20,"病院",IF($AH2424=5,"消防","市長")),"対象外"))</f>
      </c>
    </row>
    <row r="2425">
      <c r="DB2425" s="2909">
        <f>IF($A2425="","",IF(AND($A2425=21,$AE2425&amp;""="00000000"),IF($AH2425=20,"病院",IF($AH2425=5,"消防","市長")),"対象外"))</f>
      </c>
    </row>
    <row r="2426">
      <c r="DB2426" s="2909">
        <f>IF($A2426="","",IF(AND($A2426=21,$AE2426&amp;""="00000000"),IF($AH2426=20,"病院",IF($AH2426=5,"消防","市長")),"対象外"))</f>
      </c>
    </row>
    <row r="2427">
      <c r="DB2427" s="2909">
        <f>IF($A2427="","",IF(AND($A2427=21,$AE2427&amp;""="00000000"),IF($AH2427=20,"病院",IF($AH2427=5,"消防","市長")),"対象外"))</f>
      </c>
    </row>
    <row r="2428">
      <c r="DB2428" s="2909">
        <f>IF($A2428="","",IF(AND($A2428=21,$AE2428&amp;""="00000000"),IF($AH2428=20,"病院",IF($AH2428=5,"消防","市長")),"対象外"))</f>
      </c>
    </row>
    <row r="2429">
      <c r="DB2429" s="2909">
        <f>IF($A2429="","",IF(AND($A2429=21,$AE2429&amp;""="00000000"),IF($AH2429=20,"病院",IF($AH2429=5,"消防","市長")),"対象外"))</f>
      </c>
    </row>
    <row r="2430">
      <c r="DB2430" s="2909">
        <f>IF($A2430="","",IF(AND($A2430=21,$AE2430&amp;""="00000000"),IF($AH2430=20,"病院",IF($AH2430=5,"消防","市長")),"対象外"))</f>
      </c>
    </row>
    <row r="2431">
      <c r="DB2431" s="2909">
        <f>IF($A2431="","",IF(AND($A2431=21,$AE2431&amp;""="00000000"),IF($AH2431=20,"病院",IF($AH2431=5,"消防","市長")),"対象外"))</f>
      </c>
    </row>
    <row r="2432">
      <c r="DB2432" s="2909">
        <f>IF($A2432="","",IF(AND($A2432=21,$AE2432&amp;""="00000000"),IF($AH2432=20,"病院",IF($AH2432=5,"消防","市長")),"対象外"))</f>
      </c>
    </row>
    <row r="2433">
      <c r="DB2433" s="2909">
        <f>IF($A2433="","",IF(AND($A2433=21,$AE2433&amp;""="00000000"),IF($AH2433=20,"病院",IF($AH2433=5,"消防","市長")),"対象外"))</f>
      </c>
    </row>
    <row r="2434">
      <c r="DB2434" s="2909">
        <f>IF($A2434="","",IF(AND($A2434=21,$AE2434&amp;""="00000000"),IF($AH2434=20,"病院",IF($AH2434=5,"消防","市長")),"対象外"))</f>
      </c>
    </row>
    <row r="2435">
      <c r="DB2435" s="2909">
        <f>IF($A2435="","",IF(AND($A2435=21,$AE2435&amp;""="00000000"),IF($AH2435=20,"病院",IF($AH2435=5,"消防","市長")),"対象外"))</f>
      </c>
    </row>
    <row r="2436">
      <c r="DB2436" s="2909">
        <f>IF($A2436="","",IF(AND($A2436=21,$AE2436&amp;""="00000000"),IF($AH2436=20,"病院",IF($AH2436=5,"消防","市長")),"対象外"))</f>
      </c>
    </row>
    <row r="2437">
      <c r="DB2437" s="2909">
        <f>IF($A2437="","",IF(AND($A2437=21,$AE2437&amp;""="00000000"),IF($AH2437=20,"病院",IF($AH2437=5,"消防","市長")),"対象外"))</f>
      </c>
    </row>
    <row r="2438">
      <c r="DB2438" s="2909">
        <f>IF($A2438="","",IF(AND($A2438=21,$AE2438&amp;""="00000000"),IF($AH2438=20,"病院",IF($AH2438=5,"消防","市長")),"対象外"))</f>
      </c>
    </row>
    <row r="2439">
      <c r="DB2439" s="2909">
        <f>IF($A2439="","",IF(AND($A2439=21,$AE2439&amp;""="00000000"),IF($AH2439=20,"病院",IF($AH2439=5,"消防","市長")),"対象外"))</f>
      </c>
    </row>
    <row r="2440">
      <c r="DB2440" s="2909">
        <f>IF($A2440="","",IF(AND($A2440=21,$AE2440&amp;""="00000000"),IF($AH2440=20,"病院",IF($AH2440=5,"消防","市長")),"対象外"))</f>
      </c>
    </row>
    <row r="2441">
      <c r="DB2441" s="2909">
        <f>IF($A2441="","",IF(AND($A2441=21,$AE2441&amp;""="00000000"),IF($AH2441=20,"病院",IF($AH2441=5,"消防","市長")),"対象外"))</f>
      </c>
    </row>
    <row r="2442">
      <c r="DB2442" s="2909">
        <f>IF($A2442="","",IF(AND($A2442=21,$AE2442&amp;""="00000000"),IF($AH2442=20,"病院",IF($AH2442=5,"消防","市長")),"対象外"))</f>
      </c>
    </row>
    <row r="2443">
      <c r="DB2443" s="2909">
        <f>IF($A2443="","",IF(AND($A2443=21,$AE2443&amp;""="00000000"),IF($AH2443=20,"病院",IF($AH2443=5,"消防","市長")),"対象外"))</f>
      </c>
    </row>
    <row r="2444">
      <c r="DB2444" s="2909">
        <f>IF($A2444="","",IF(AND($A2444=21,$AE2444&amp;""="00000000"),IF($AH2444=20,"病院",IF($AH2444=5,"消防","市長")),"対象外"))</f>
      </c>
    </row>
    <row r="2445">
      <c r="DB2445" s="2909">
        <f>IF($A2445="","",IF(AND($A2445=21,$AE2445&amp;""="00000000"),IF($AH2445=20,"病院",IF($AH2445=5,"消防","市長")),"対象外"))</f>
      </c>
    </row>
    <row r="2446">
      <c r="DB2446" s="2909">
        <f>IF($A2446="","",IF(AND($A2446=21,$AE2446&amp;""="00000000"),IF($AH2446=20,"病院",IF($AH2446=5,"消防","市長")),"対象外"))</f>
      </c>
    </row>
    <row r="2447">
      <c r="DB2447" s="2909">
        <f>IF($A2447="","",IF(AND($A2447=21,$AE2447&amp;""="00000000"),IF($AH2447=20,"病院",IF($AH2447=5,"消防","市長")),"対象外"))</f>
      </c>
    </row>
    <row r="2448">
      <c r="DB2448" s="2909">
        <f>IF($A2448="","",IF(AND($A2448=21,$AE2448&amp;""="00000000"),IF($AH2448=20,"病院",IF($AH2448=5,"消防","市長")),"対象外"))</f>
      </c>
    </row>
    <row r="2449">
      <c r="DB2449" s="2909">
        <f>IF($A2449="","",IF(AND($A2449=21,$AE2449&amp;""="00000000"),IF($AH2449=20,"病院",IF($AH2449=5,"消防","市長")),"対象外"))</f>
      </c>
    </row>
    <row r="2450">
      <c r="DB2450" s="2909">
        <f>IF($A2450="","",IF(AND($A2450=21,$AE2450&amp;""="00000000"),IF($AH2450=20,"病院",IF($AH2450=5,"消防","市長")),"対象外"))</f>
      </c>
    </row>
    <row r="2451">
      <c r="DB2451" s="2909">
        <f>IF($A2451="","",IF(AND($A2451=21,$AE2451&amp;""="00000000"),IF($AH2451=20,"病院",IF($AH2451=5,"消防","市長")),"対象外"))</f>
      </c>
    </row>
    <row r="2452">
      <c r="DB2452" s="2909">
        <f>IF($A2452="","",IF(AND($A2452=21,$AE2452&amp;""="00000000"),IF($AH2452=20,"病院",IF($AH2452=5,"消防","市長")),"対象外"))</f>
      </c>
    </row>
    <row r="2453">
      <c r="DB2453" s="2909">
        <f>IF($A2453="","",IF(AND($A2453=21,$AE2453&amp;""="00000000"),IF($AH2453=20,"病院",IF($AH2453=5,"消防","市長")),"対象外"))</f>
      </c>
    </row>
    <row r="2454">
      <c r="DB2454" s="2909">
        <f>IF($A2454="","",IF(AND($A2454=21,$AE2454&amp;""="00000000"),IF($AH2454=20,"病院",IF($AH2454=5,"消防","市長")),"対象外"))</f>
      </c>
    </row>
    <row r="2455">
      <c r="DB2455" s="2909">
        <f>IF($A2455="","",IF(AND($A2455=21,$AE2455&amp;""="00000000"),IF($AH2455=20,"病院",IF($AH2455=5,"消防","市長")),"対象外"))</f>
      </c>
    </row>
    <row r="2456">
      <c r="DB2456" s="2909">
        <f>IF($A2456="","",IF(AND($A2456=21,$AE2456&amp;""="00000000"),IF($AH2456=20,"病院",IF($AH2456=5,"消防","市長")),"対象外"))</f>
      </c>
    </row>
    <row r="2457">
      <c r="DB2457" s="2909">
        <f>IF($A2457="","",IF(AND($A2457=21,$AE2457&amp;""="00000000"),IF($AH2457=20,"病院",IF($AH2457=5,"消防","市長")),"対象外"))</f>
      </c>
    </row>
    <row r="2458">
      <c r="DB2458" s="2909">
        <f>IF($A2458="","",IF(AND($A2458=21,$AE2458&amp;""="00000000"),IF($AH2458=20,"病院",IF($AH2458=5,"消防","市長")),"対象外"))</f>
      </c>
    </row>
    <row r="2459">
      <c r="DB2459" s="2909">
        <f>IF($A2459="","",IF(AND($A2459=21,$AE2459&amp;""="00000000"),IF($AH2459=20,"病院",IF($AH2459=5,"消防","市長")),"対象外"))</f>
      </c>
    </row>
    <row r="2460">
      <c r="DB2460" s="2909">
        <f>IF($A2460="","",IF(AND($A2460=21,$AE2460&amp;""="00000000"),IF($AH2460=20,"病院",IF($AH2460=5,"消防","市長")),"対象外"))</f>
      </c>
    </row>
    <row r="2461">
      <c r="DB2461" s="2909">
        <f>IF($A2461="","",IF(AND($A2461=21,$AE2461&amp;""="00000000"),IF($AH2461=20,"病院",IF($AH2461=5,"消防","市長")),"対象外"))</f>
      </c>
    </row>
    <row r="2462">
      <c r="DB2462" s="2909">
        <f>IF($A2462="","",IF(AND($A2462=21,$AE2462&amp;""="00000000"),IF($AH2462=20,"病院",IF($AH2462=5,"消防","市長")),"対象外"))</f>
      </c>
    </row>
    <row r="2463">
      <c r="DB2463" s="2909">
        <f>IF($A2463="","",IF(AND($A2463=21,$AE2463&amp;""="00000000"),IF($AH2463=20,"病院",IF($AH2463=5,"消防","市長")),"対象外"))</f>
      </c>
    </row>
    <row r="2464">
      <c r="DB2464" s="2909">
        <f>IF($A2464="","",IF(AND($A2464=21,$AE2464&amp;""="00000000"),IF($AH2464=20,"病院",IF($AH2464=5,"消防","市長")),"対象外"))</f>
      </c>
    </row>
    <row r="2465">
      <c r="DB2465" s="2909">
        <f>IF($A2465="","",IF(AND($A2465=21,$AE2465&amp;""="00000000"),IF($AH2465=20,"病院",IF($AH2465=5,"消防","市長")),"対象外"))</f>
      </c>
    </row>
    <row r="2466">
      <c r="DB2466" s="2909">
        <f>IF($A2466="","",IF(AND($A2466=21,$AE2466&amp;""="00000000"),IF($AH2466=20,"病院",IF($AH2466=5,"消防","市長")),"対象外"))</f>
      </c>
    </row>
    <row r="2467">
      <c r="DB2467" s="2909">
        <f>IF($A2467="","",IF(AND($A2467=21,$AE2467&amp;""="00000000"),IF($AH2467=20,"病院",IF($AH2467=5,"消防","市長")),"対象外"))</f>
      </c>
    </row>
    <row r="2468">
      <c r="DB2468" s="2909">
        <f>IF($A2468="","",IF(AND($A2468=21,$AE2468&amp;""="00000000"),IF($AH2468=20,"病院",IF($AH2468=5,"消防","市長")),"対象外"))</f>
      </c>
    </row>
    <row r="2469">
      <c r="DB2469" s="2909">
        <f>IF($A2469="","",IF(AND($A2469=21,$AE2469&amp;""="00000000"),IF($AH2469=20,"病院",IF($AH2469=5,"消防","市長")),"対象外"))</f>
      </c>
    </row>
    <row r="2470">
      <c r="DB2470" s="2909">
        <f>IF($A2470="","",IF(AND($A2470=21,$AE2470&amp;""="00000000"),IF($AH2470=20,"病院",IF($AH2470=5,"消防","市長")),"対象外"))</f>
      </c>
    </row>
    <row r="2471">
      <c r="DB2471" s="2909">
        <f>IF($A2471="","",IF(AND($A2471=21,$AE2471&amp;""="00000000"),IF($AH2471=20,"病院",IF($AH2471=5,"消防","市長")),"対象外"))</f>
      </c>
    </row>
    <row r="2472">
      <c r="DB2472" s="2909">
        <f>IF($A2472="","",IF(AND($A2472=21,$AE2472&amp;""="00000000"),IF($AH2472=20,"病院",IF($AH2472=5,"消防","市長")),"対象外"))</f>
      </c>
    </row>
    <row r="2473">
      <c r="DB2473" s="2909">
        <f>IF($A2473="","",IF(AND($A2473=21,$AE2473&amp;""="00000000"),IF($AH2473=20,"病院",IF($AH2473=5,"消防","市長")),"対象外"))</f>
      </c>
    </row>
    <row r="2474">
      <c r="DB2474" s="2909">
        <f>IF($A2474="","",IF(AND($A2474=21,$AE2474&amp;""="00000000"),IF($AH2474=20,"病院",IF($AH2474=5,"消防","市長")),"対象外"))</f>
      </c>
    </row>
    <row r="2475">
      <c r="DB2475" s="2909">
        <f>IF($A2475="","",IF(AND($A2475=21,$AE2475&amp;""="00000000"),IF($AH2475=20,"病院",IF($AH2475=5,"消防","市長")),"対象外"))</f>
      </c>
    </row>
    <row r="2476">
      <c r="DB2476" s="2909">
        <f>IF($A2476="","",IF(AND($A2476=21,$AE2476&amp;""="00000000"),IF($AH2476=20,"病院",IF($AH2476=5,"消防","市長")),"対象外"))</f>
      </c>
    </row>
    <row r="2477">
      <c r="DB2477" s="2909">
        <f>IF($A2477="","",IF(AND($A2477=21,$AE2477&amp;""="00000000"),IF($AH2477=20,"病院",IF($AH2477=5,"消防","市長")),"対象外"))</f>
      </c>
    </row>
    <row r="2478">
      <c r="DB2478" s="2909">
        <f>IF($A2478="","",IF(AND($A2478=21,$AE2478&amp;""="00000000"),IF($AH2478=20,"病院",IF($AH2478=5,"消防","市長")),"対象外"))</f>
      </c>
    </row>
    <row r="2479">
      <c r="DB2479" s="2909">
        <f>IF($A2479="","",IF(AND($A2479=21,$AE2479&amp;""="00000000"),IF($AH2479=20,"病院",IF($AH2479=5,"消防","市長")),"対象外"))</f>
      </c>
    </row>
    <row r="2480">
      <c r="DB2480" s="2909">
        <f>IF($A2480="","",IF(AND($A2480=21,$AE2480&amp;""="00000000"),IF($AH2480=20,"病院",IF($AH2480=5,"消防","市長")),"対象外"))</f>
      </c>
    </row>
    <row r="2481">
      <c r="DB2481" s="2909">
        <f>IF($A2481="","",IF(AND($A2481=21,$AE2481&amp;""="00000000"),IF($AH2481=20,"病院",IF($AH2481=5,"消防","市長")),"対象外"))</f>
      </c>
    </row>
    <row r="2482">
      <c r="DB2482" s="2909">
        <f>IF($A2482="","",IF(AND($A2482=21,$AE2482&amp;""="00000000"),IF($AH2482=20,"病院",IF($AH2482=5,"消防","市長")),"対象外"))</f>
      </c>
    </row>
    <row r="2483">
      <c r="DB2483" s="2909">
        <f>IF($A2483="","",IF(AND($A2483=21,$AE2483&amp;""="00000000"),IF($AH2483=20,"病院",IF($AH2483=5,"消防","市長")),"対象外"))</f>
      </c>
    </row>
    <row r="2484">
      <c r="DB2484" s="2909">
        <f>IF($A2484="","",IF(AND($A2484=21,$AE2484&amp;""="00000000"),IF($AH2484=20,"病院",IF($AH2484=5,"消防","市長")),"対象外"))</f>
      </c>
    </row>
    <row r="2485">
      <c r="DB2485" s="2909">
        <f>IF($A2485="","",IF(AND($A2485=21,$AE2485&amp;""="00000000"),IF($AH2485=20,"病院",IF($AH2485=5,"消防","市長")),"対象外"))</f>
      </c>
    </row>
    <row r="2486">
      <c r="DB2486" s="2909">
        <f>IF($A2486="","",IF(AND($A2486=21,$AE2486&amp;""="00000000"),IF($AH2486=20,"病院",IF($AH2486=5,"消防","市長")),"対象外"))</f>
      </c>
    </row>
    <row r="2487">
      <c r="DB2487" s="2909">
        <f>IF($A2487="","",IF(AND($A2487=21,$AE2487&amp;""="00000000"),IF($AH2487=20,"病院",IF($AH2487=5,"消防","市長")),"対象外"))</f>
      </c>
    </row>
    <row r="2488">
      <c r="DB2488" s="2909">
        <f>IF($A2488="","",IF(AND($A2488=21,$AE2488&amp;""="00000000"),IF($AH2488=20,"病院",IF($AH2488=5,"消防","市長")),"対象外"))</f>
      </c>
    </row>
    <row r="2489">
      <c r="DB2489" s="2909">
        <f>IF($A2489="","",IF(AND($A2489=21,$AE2489&amp;""="00000000"),IF($AH2489=20,"病院",IF($AH2489=5,"消防","市長")),"対象外"))</f>
      </c>
    </row>
    <row r="2490">
      <c r="DB2490" s="2909">
        <f>IF($A2490="","",IF(AND($A2490=21,$AE2490&amp;""="00000000"),IF($AH2490=20,"病院",IF($AH2490=5,"消防","市長")),"対象外"))</f>
      </c>
    </row>
    <row r="2491">
      <c r="DB2491" s="2909">
        <f>IF($A2491="","",IF(AND($A2491=21,$AE2491&amp;""="00000000"),IF($AH2491=20,"病院",IF($AH2491=5,"消防","市長")),"対象外"))</f>
      </c>
    </row>
    <row r="2492">
      <c r="DB2492" s="2909">
        <f>IF($A2492="","",IF(AND($A2492=21,$AE2492&amp;""="00000000"),IF($AH2492=20,"病院",IF($AH2492=5,"消防","市長")),"対象外"))</f>
      </c>
    </row>
    <row r="2493">
      <c r="DB2493" s="2909">
        <f>IF($A2493="","",IF(AND($A2493=21,$AE2493&amp;""="00000000"),IF($AH2493=20,"病院",IF($AH2493=5,"消防","市長")),"対象外"))</f>
      </c>
    </row>
    <row r="2494">
      <c r="DB2494" s="2909">
        <f>IF($A2494="","",IF(AND($A2494=21,$AE2494&amp;""="00000000"),IF($AH2494=20,"病院",IF($AH2494=5,"消防","市長")),"対象外"))</f>
      </c>
    </row>
    <row r="2495">
      <c r="DB2495" s="2909">
        <f>IF($A2495="","",IF(AND($A2495=21,$AE2495&amp;""="00000000"),IF($AH2495=20,"病院",IF($AH2495=5,"消防","市長")),"対象外"))</f>
      </c>
    </row>
    <row r="2496">
      <c r="DB2496" s="2909">
        <f>IF($A2496="","",IF(AND($A2496=21,$AE2496&amp;""="00000000"),IF($AH2496=20,"病院",IF($AH2496=5,"消防","市長")),"対象外"))</f>
      </c>
    </row>
    <row r="2497">
      <c r="DB2497" s="2909">
        <f>IF($A2497="","",IF(AND($A2497=21,$AE2497&amp;""="00000000"),IF($AH2497=20,"病院",IF($AH2497=5,"消防","市長")),"対象外"))</f>
      </c>
    </row>
    <row r="2498">
      <c r="DB2498" s="2909">
        <f>IF($A2498="","",IF(AND($A2498=21,$AE2498&amp;""="00000000"),IF($AH2498=20,"病院",IF($AH2498=5,"消防","市長")),"対象外"))</f>
      </c>
    </row>
    <row r="2499">
      <c r="DB2499" s="2909">
        <f>IF($A2499="","",IF(AND($A2499=21,$AE2499&amp;""="00000000"),IF($AH2499=20,"病院",IF($AH2499=5,"消防","市長")),"対象外"))</f>
      </c>
    </row>
    <row r="2500">
      <c r="DB2500" s="2909">
        <f>IF($A2500="","",IF(AND($A2500=21,$AE2500&amp;""="00000000"),IF($AH2500=20,"病院",IF($AH2500=5,"消防","市長")),"対象外"))</f>
      </c>
    </row>
    <row r="2501">
      <c r="DB2501" s="2909">
        <f>IF($A2501="","",IF(AND($A2501=21,$AE2501&amp;""="00000000"),IF($AH2501=20,"病院",IF($AH2501=5,"消防","市長")),"対象外"))</f>
      </c>
    </row>
    <row r="2502">
      <c r="DB2502" s="2909">
        <f>IF($A2502="","",IF(AND($A2502=21,$AE2502&amp;""="00000000"),IF($AH2502=20,"病院",IF($AH2502=5,"消防","市長")),"対象外"))</f>
      </c>
    </row>
    <row r="2503">
      <c r="DB2503" s="2909">
        <f>IF($A2503="","",IF(AND($A2503=21,$AE2503&amp;""="00000000"),IF($AH2503=20,"病院",IF($AH2503=5,"消防","市長")),"対象外"))</f>
      </c>
    </row>
    <row r="2504">
      <c r="DB2504" s="2909">
        <f>IF($A2504="","",IF(AND($A2504=21,$AE2504&amp;""="00000000"),IF($AH2504=20,"病院",IF($AH2504=5,"消防","市長")),"対象外"))</f>
      </c>
    </row>
    <row r="2505">
      <c r="DB2505" s="2909">
        <f>IF($A2505="","",IF(AND($A2505=21,$AE2505&amp;""="00000000"),IF($AH2505=20,"病院",IF($AH2505=5,"消防","市長")),"対象外"))</f>
      </c>
    </row>
    <row r="2506">
      <c r="DB2506" s="2909">
        <f>IF($A2506="","",IF(AND($A2506=21,$AE2506&amp;""="00000000"),IF($AH2506=20,"病院",IF($AH2506=5,"消防","市長")),"対象外"))</f>
      </c>
    </row>
    <row r="2507">
      <c r="DB2507" s="2909">
        <f>IF($A2507="","",IF(AND($A2507=21,$AE2507&amp;""="00000000"),IF($AH2507=20,"病院",IF($AH2507=5,"消防","市長")),"対象外"))</f>
      </c>
    </row>
    <row r="2508">
      <c r="DB2508" s="2909">
        <f>IF($A2508="","",IF(AND($A2508=21,$AE2508&amp;""="00000000"),IF($AH2508=20,"病院",IF($AH2508=5,"消防","市長")),"対象外"))</f>
      </c>
    </row>
    <row r="2509">
      <c r="DB2509" s="2909">
        <f>IF($A2509="","",IF(AND($A2509=21,$AE2509&amp;""="00000000"),IF($AH2509=20,"病院",IF($AH2509=5,"消防","市長")),"対象外"))</f>
      </c>
    </row>
    <row r="2510">
      <c r="DB2510" s="2909">
        <f>IF($A2510="","",IF(AND($A2510=21,$AE2510&amp;""="00000000"),IF($AH2510=20,"病院",IF($AH2510=5,"消防","市長")),"対象外"))</f>
      </c>
    </row>
    <row r="2511">
      <c r="DB2511" s="2909">
        <f>IF($A2511="","",IF(AND($A2511=21,$AE2511&amp;""="00000000"),IF($AH2511=20,"病院",IF($AH2511=5,"消防","市長")),"対象外"))</f>
      </c>
    </row>
    <row r="2512">
      <c r="DB2512" s="2909">
        <f>IF($A2512="","",IF(AND($A2512=21,$AE2512&amp;""="00000000"),IF($AH2512=20,"病院",IF($AH2512=5,"消防","市長")),"対象外"))</f>
      </c>
    </row>
    <row r="2513">
      <c r="DB2513" s="2909">
        <f>IF($A2513="","",IF(AND($A2513=21,$AE2513&amp;""="00000000"),IF($AH2513=20,"病院",IF($AH2513=5,"消防","市長")),"対象外"))</f>
      </c>
    </row>
    <row r="2514">
      <c r="DB2514" s="2909">
        <f>IF($A2514="","",IF(AND($A2514=21,$AE2514&amp;""="00000000"),IF($AH2514=20,"病院",IF($AH2514=5,"消防","市長")),"対象外"))</f>
      </c>
    </row>
    <row r="2515">
      <c r="DB2515" s="2909">
        <f>IF($A2515="","",IF(AND($A2515=21,$AE2515&amp;""="00000000"),IF($AH2515=20,"病院",IF($AH2515=5,"消防","市長")),"対象外"))</f>
      </c>
    </row>
    <row r="2516">
      <c r="DB2516" s="2909">
        <f>IF($A2516="","",IF(AND($A2516=21,$AE2516&amp;""="00000000"),IF($AH2516=20,"病院",IF($AH2516=5,"消防","市長")),"対象外"))</f>
      </c>
    </row>
    <row r="2517">
      <c r="DB2517" s="2909">
        <f>IF($A2517="","",IF(AND($A2517=21,$AE2517&amp;""="00000000"),IF($AH2517=20,"病院",IF($AH2517=5,"消防","市長")),"対象外"))</f>
      </c>
    </row>
    <row r="2518">
      <c r="DB2518" s="2909">
        <f>IF($A2518="","",IF(AND($A2518=21,$AE2518&amp;""="00000000"),IF($AH2518=20,"病院",IF($AH2518=5,"消防","市長")),"対象外"))</f>
      </c>
    </row>
    <row r="2519">
      <c r="DB2519" s="2909">
        <f>IF($A2519="","",IF(AND($A2519=21,$AE2519&amp;""="00000000"),IF($AH2519=20,"病院",IF($AH2519=5,"消防","市長")),"対象外"))</f>
      </c>
    </row>
    <row r="2520">
      <c r="DB2520" s="2909">
        <f>IF($A2520="","",IF(AND($A2520=21,$AE2520&amp;""="00000000"),IF($AH2520=20,"病院",IF($AH2520=5,"消防","市長")),"対象外"))</f>
      </c>
    </row>
    <row r="2521">
      <c r="DB2521" s="2909">
        <f>IF($A2521="","",IF(AND($A2521=21,$AE2521&amp;""="00000000"),IF($AH2521=20,"病院",IF($AH2521=5,"消防","市長")),"対象外"))</f>
      </c>
    </row>
    <row r="2522">
      <c r="DB2522" s="2909">
        <f>IF($A2522="","",IF(AND($A2522=21,$AE2522&amp;""="00000000"),IF($AH2522=20,"病院",IF($AH2522=5,"消防","市長")),"対象外"))</f>
      </c>
    </row>
    <row r="2523">
      <c r="DB2523" s="2909">
        <f>IF($A2523="","",IF(AND($A2523=21,$AE2523&amp;""="00000000"),IF($AH2523=20,"病院",IF($AH2523=5,"消防","市長")),"対象外"))</f>
      </c>
    </row>
    <row r="2524">
      <c r="DB2524" s="2909">
        <f>IF($A2524="","",IF(AND($A2524=21,$AE2524&amp;""="00000000"),IF($AH2524=20,"病院",IF($AH2524=5,"消防","市長")),"対象外"))</f>
      </c>
    </row>
    <row r="2525">
      <c r="DB2525" s="2909">
        <f>IF($A2525="","",IF(AND($A2525=21,$AE2525&amp;""="00000000"),IF($AH2525=20,"病院",IF($AH2525=5,"消防","市長")),"対象外"))</f>
      </c>
    </row>
    <row r="2526">
      <c r="DB2526" s="2909">
        <f>IF($A2526="","",IF(AND($A2526=21,$AE2526&amp;""="00000000"),IF($AH2526=20,"病院",IF($AH2526=5,"消防","市長")),"対象外"))</f>
      </c>
    </row>
    <row r="2527">
      <c r="DB2527" s="2909">
        <f>IF($A2527="","",IF(AND($A2527=21,$AE2527&amp;""="00000000"),IF($AH2527=20,"病院",IF($AH2527=5,"消防","市長")),"対象外"))</f>
      </c>
    </row>
    <row r="2528">
      <c r="DB2528" s="2909">
        <f>IF($A2528="","",IF(AND($A2528=21,$AE2528&amp;""="00000000"),IF($AH2528=20,"病院",IF($AH2528=5,"消防","市長")),"対象外"))</f>
      </c>
    </row>
    <row r="2529">
      <c r="DB2529" s="2909">
        <f>IF($A2529="","",IF(AND($A2529=21,$AE2529&amp;""="00000000"),IF($AH2529=20,"病院",IF($AH2529=5,"消防","市長")),"対象外"))</f>
      </c>
    </row>
    <row r="2530">
      <c r="DB2530" s="2909">
        <f>IF($A2530="","",IF(AND($A2530=21,$AE2530&amp;""="00000000"),IF($AH2530=20,"病院",IF($AH2530=5,"消防","市長")),"対象外"))</f>
      </c>
    </row>
    <row r="2531">
      <c r="DB2531" s="2909">
        <f>IF($A2531="","",IF(AND($A2531=21,$AE2531&amp;""="00000000"),IF($AH2531=20,"病院",IF($AH2531=5,"消防","市長")),"対象外"))</f>
      </c>
    </row>
    <row r="2532">
      <c r="DB2532" s="2909">
        <f>IF($A2532="","",IF(AND($A2532=21,$AE2532&amp;""="00000000"),IF($AH2532=20,"病院",IF($AH2532=5,"消防","市長")),"対象外"))</f>
      </c>
    </row>
    <row r="2533">
      <c r="DB2533" s="2909">
        <f>IF($A2533="","",IF(AND($A2533=21,$AE2533&amp;""="00000000"),IF($AH2533=20,"病院",IF($AH2533=5,"消防","市長")),"対象外"))</f>
      </c>
    </row>
    <row r="2534">
      <c r="DB2534" s="2909">
        <f>IF($A2534="","",IF(AND($A2534=21,$AE2534&amp;""="00000000"),IF($AH2534=20,"病院",IF($AH2534=5,"消防","市長")),"対象外"))</f>
      </c>
    </row>
    <row r="2535">
      <c r="DB2535" s="2909">
        <f>IF($A2535="","",IF(AND($A2535=21,$AE2535&amp;""="00000000"),IF($AH2535=20,"病院",IF($AH2535=5,"消防","市長")),"対象外"))</f>
      </c>
    </row>
    <row r="2536">
      <c r="DB2536" s="2909">
        <f>IF($A2536="","",IF(AND($A2536=21,$AE2536&amp;""="00000000"),IF($AH2536=20,"病院",IF($AH2536=5,"消防","市長")),"対象外"))</f>
      </c>
    </row>
    <row r="2537">
      <c r="DB2537" s="2909">
        <f>IF($A2537="","",IF(AND($A2537=21,$AE2537&amp;""="00000000"),IF($AH2537=20,"病院",IF($AH2537=5,"消防","市長")),"対象外"))</f>
      </c>
    </row>
    <row r="2538">
      <c r="DB2538" s="2909">
        <f>IF($A2538="","",IF(AND($A2538=21,$AE2538&amp;""="00000000"),IF($AH2538=20,"病院",IF($AH2538=5,"消防","市長")),"対象外"))</f>
      </c>
    </row>
    <row r="2539">
      <c r="DB2539" s="2909">
        <f>IF($A2539="","",IF(AND($A2539=21,$AE2539&amp;""="00000000"),IF($AH2539=20,"病院",IF($AH2539=5,"消防","市長")),"対象外"))</f>
      </c>
    </row>
    <row r="2540">
      <c r="DB2540" s="2909">
        <f>IF($A2540="","",IF(AND($A2540=21,$AE2540&amp;""="00000000"),IF($AH2540=20,"病院",IF($AH2540=5,"消防","市長")),"対象外"))</f>
      </c>
    </row>
    <row r="2541">
      <c r="DB2541" s="2909">
        <f>IF($A2541="","",IF(AND($A2541=21,$AE2541&amp;""="00000000"),IF($AH2541=20,"病院",IF($AH2541=5,"消防","市長")),"対象外"))</f>
      </c>
    </row>
    <row r="2542">
      <c r="DB2542" s="2909">
        <f>IF($A2542="","",IF(AND($A2542=21,$AE2542&amp;""="00000000"),IF($AH2542=20,"病院",IF($AH2542=5,"消防","市長")),"対象外"))</f>
      </c>
    </row>
    <row r="2543">
      <c r="DB2543" s="2909">
        <f>IF($A2543="","",IF(AND($A2543=21,$AE2543&amp;""="00000000"),IF($AH2543=20,"病院",IF($AH2543=5,"消防","市長")),"対象外"))</f>
      </c>
    </row>
    <row r="2544">
      <c r="DB2544" s="2909">
        <f>IF($A2544="","",IF(AND($A2544=21,$AE2544&amp;""="00000000"),IF($AH2544=20,"病院",IF($AH2544=5,"消防","市長")),"対象外"))</f>
      </c>
    </row>
    <row r="2545">
      <c r="DB2545" s="2909">
        <f>IF($A2545="","",IF(AND($A2545=21,$AE2545&amp;""="00000000"),IF($AH2545=20,"病院",IF($AH2545=5,"消防","市長")),"対象外"))</f>
      </c>
    </row>
    <row r="2546">
      <c r="DB2546" s="2909">
        <f>IF($A2546="","",IF(AND($A2546=21,$AE2546&amp;""="00000000"),IF($AH2546=20,"病院",IF($AH2546=5,"消防","市長")),"対象外"))</f>
      </c>
    </row>
    <row r="2547">
      <c r="DB2547" s="2909">
        <f>IF($A2547="","",IF(AND($A2547=21,$AE2547&amp;""="00000000"),IF($AH2547=20,"病院",IF($AH2547=5,"消防","市長")),"対象外"))</f>
      </c>
    </row>
    <row r="2548">
      <c r="DB2548" s="2909">
        <f>IF($A2548="","",IF(AND($A2548=21,$AE2548&amp;""="00000000"),IF($AH2548=20,"病院",IF($AH2548=5,"消防","市長")),"対象外"))</f>
      </c>
    </row>
    <row r="2549">
      <c r="DB2549" s="2909">
        <f>IF($A2549="","",IF(AND($A2549=21,$AE2549&amp;""="00000000"),IF($AH2549=20,"病院",IF($AH2549=5,"消防","市長")),"対象外"))</f>
      </c>
    </row>
    <row r="2550">
      <c r="DB2550" s="2909">
        <f>IF($A2550="","",IF(AND($A2550=21,$AE2550&amp;""="00000000"),IF($AH2550=20,"病院",IF($AH2550=5,"消防","市長")),"対象外"))</f>
      </c>
    </row>
    <row r="2551">
      <c r="DB2551" s="2909">
        <f>IF($A2551="","",IF(AND($A2551=21,$AE2551&amp;""="00000000"),IF($AH2551=20,"病院",IF($AH2551=5,"消防","市長")),"対象外"))</f>
      </c>
    </row>
    <row r="2552">
      <c r="DB2552" s="2909">
        <f>IF($A2552="","",IF(AND($A2552=21,$AE2552&amp;""="00000000"),IF($AH2552=20,"病院",IF($AH2552=5,"消防","市長")),"対象外"))</f>
      </c>
    </row>
    <row r="2553">
      <c r="DB2553" s="2909">
        <f>IF($A2553="","",IF(AND($A2553=21,$AE2553&amp;""="00000000"),IF($AH2553=20,"病院",IF($AH2553=5,"消防","市長")),"対象外"))</f>
      </c>
    </row>
    <row r="2554">
      <c r="DB2554" s="2909">
        <f>IF($A2554="","",IF(AND($A2554=21,$AE2554&amp;""="00000000"),IF($AH2554=20,"病院",IF($AH2554=5,"消防","市長")),"対象外"))</f>
      </c>
    </row>
    <row r="2555">
      <c r="DB2555" s="2909">
        <f>IF($A2555="","",IF(AND($A2555=21,$AE2555&amp;""="00000000"),IF($AH2555=20,"病院",IF($AH2555=5,"消防","市長")),"対象外"))</f>
      </c>
    </row>
    <row r="2556">
      <c r="DB2556" s="2909">
        <f>IF($A2556="","",IF(AND($A2556=21,$AE2556&amp;""="00000000"),IF($AH2556=20,"病院",IF($AH2556=5,"消防","市長")),"対象外"))</f>
      </c>
    </row>
    <row r="2557">
      <c r="DB2557" s="2909">
        <f>IF($A2557="","",IF(AND($A2557=21,$AE2557&amp;""="00000000"),IF($AH2557=20,"病院",IF($AH2557=5,"消防","市長")),"対象外"))</f>
      </c>
    </row>
    <row r="2558">
      <c r="DB2558" s="2909">
        <f>IF($A2558="","",IF(AND($A2558=21,$AE2558&amp;""="00000000"),IF($AH2558=20,"病院",IF($AH2558=5,"消防","市長")),"対象外"))</f>
      </c>
    </row>
    <row r="2559">
      <c r="DB2559" s="2909">
        <f>IF($A2559="","",IF(AND($A2559=21,$AE2559&amp;""="00000000"),IF($AH2559=20,"病院",IF($AH2559=5,"消防","市長")),"対象外"))</f>
      </c>
    </row>
    <row r="2560">
      <c r="DB2560" s="2909">
        <f>IF($A2560="","",IF(AND($A2560=21,$AE2560&amp;""="00000000"),IF($AH2560=20,"病院",IF($AH2560=5,"消防","市長")),"対象外"))</f>
      </c>
    </row>
    <row r="2561">
      <c r="DB2561" s="2909">
        <f>IF($A2561="","",IF(AND($A2561=21,$AE2561&amp;""="00000000"),IF($AH2561=20,"病院",IF($AH2561=5,"消防","市長")),"対象外"))</f>
      </c>
    </row>
    <row r="2562">
      <c r="DB2562" s="2909">
        <f>IF($A2562="","",IF(AND($A2562=21,$AE2562&amp;""="00000000"),IF($AH2562=20,"病院",IF($AH2562=5,"消防","市長")),"対象外"))</f>
      </c>
    </row>
    <row r="2563">
      <c r="DB2563" s="2909">
        <f>IF($A2563="","",IF(AND($A2563=21,$AE2563&amp;""="00000000"),IF($AH2563=20,"病院",IF($AH2563=5,"消防","市長")),"対象外"))</f>
      </c>
    </row>
    <row r="2564">
      <c r="DB2564" s="2909">
        <f>IF($A2564="","",IF(AND($A2564=21,$AE2564&amp;""="00000000"),IF($AH2564=20,"病院",IF($AH2564=5,"消防","市長")),"対象外"))</f>
      </c>
    </row>
    <row r="2565">
      <c r="DB2565" s="2909">
        <f>IF($A2565="","",IF(AND($A2565=21,$AE2565&amp;""="00000000"),IF($AH2565=20,"病院",IF($AH2565=5,"消防","市長")),"対象外"))</f>
      </c>
    </row>
    <row r="2566">
      <c r="DB2566" s="2909">
        <f>IF($A2566="","",IF(AND($A2566=21,$AE2566&amp;""="00000000"),IF($AH2566=20,"病院",IF($AH2566=5,"消防","市長")),"対象外"))</f>
      </c>
    </row>
    <row r="2567">
      <c r="DB2567" s="2909">
        <f>IF($A2567="","",IF(AND($A2567=21,$AE2567&amp;""="00000000"),IF($AH2567=20,"病院",IF($AH2567=5,"消防","市長")),"対象外"))</f>
      </c>
    </row>
    <row r="2568">
      <c r="DB2568" s="2909">
        <f>IF($A2568="","",IF(AND($A2568=21,$AE2568&amp;""="00000000"),IF($AH2568=20,"病院",IF($AH2568=5,"消防","市長")),"対象外"))</f>
      </c>
    </row>
    <row r="2569">
      <c r="DB2569" s="2909">
        <f>IF($A2569="","",IF(AND($A2569=21,$AE2569&amp;""="00000000"),IF($AH2569=20,"病院",IF($AH2569=5,"消防","市長")),"対象外"))</f>
      </c>
    </row>
    <row r="2570">
      <c r="DB2570" s="2909">
        <f>IF($A2570="","",IF(AND($A2570=21,$AE2570&amp;""="00000000"),IF($AH2570=20,"病院",IF($AH2570=5,"消防","市長")),"対象外"))</f>
      </c>
    </row>
    <row r="2571">
      <c r="DB2571" s="2909">
        <f>IF($A2571="","",IF(AND($A2571=21,$AE2571&amp;""="00000000"),IF($AH2571=20,"病院",IF($AH2571=5,"消防","市長")),"対象外"))</f>
      </c>
    </row>
    <row r="2572">
      <c r="DB2572" s="2909">
        <f>IF($A2572="","",IF(AND($A2572=21,$AE2572&amp;""="00000000"),IF($AH2572=20,"病院",IF($AH2572=5,"消防","市長")),"対象外"))</f>
      </c>
    </row>
    <row r="2573">
      <c r="DB2573" s="2909">
        <f>IF($A2573="","",IF(AND($A2573=21,$AE2573&amp;""="00000000"),IF($AH2573=20,"病院",IF($AH2573=5,"消防","市長")),"対象外"))</f>
      </c>
    </row>
    <row r="2574">
      <c r="DB2574" s="2909">
        <f>IF($A2574="","",IF(AND($A2574=21,$AE2574&amp;""="00000000"),IF($AH2574=20,"病院",IF($AH2574=5,"消防","市長")),"対象外"))</f>
      </c>
    </row>
    <row r="2575">
      <c r="DB2575" s="2909">
        <f>IF($A2575="","",IF(AND($A2575=21,$AE2575&amp;""="00000000"),IF($AH2575=20,"病院",IF($AH2575=5,"消防","市長")),"対象外"))</f>
      </c>
    </row>
    <row r="2576">
      <c r="DB2576" s="2909">
        <f>IF($A2576="","",IF(AND($A2576=21,$AE2576&amp;""="00000000"),IF($AH2576=20,"病院",IF($AH2576=5,"消防","市長")),"対象外"))</f>
      </c>
    </row>
    <row r="2577">
      <c r="DB2577" s="2909">
        <f>IF($A2577="","",IF(AND($A2577=21,$AE2577&amp;""="00000000"),IF($AH2577=20,"病院",IF($AH2577=5,"消防","市長")),"対象外"))</f>
      </c>
    </row>
    <row r="2578">
      <c r="DB2578" s="2909">
        <f>IF($A2578="","",IF(AND($A2578=21,$AE2578&amp;""="00000000"),IF($AH2578=20,"病院",IF($AH2578=5,"消防","市長")),"対象外"))</f>
      </c>
    </row>
    <row r="2579">
      <c r="DB2579" s="2909">
        <f>IF($A2579="","",IF(AND($A2579=21,$AE2579&amp;""="00000000"),IF($AH2579=20,"病院",IF($AH2579=5,"消防","市長")),"対象外"))</f>
      </c>
    </row>
    <row r="2580">
      <c r="DB2580" s="2909">
        <f>IF($A2580="","",IF(AND($A2580=21,$AE2580&amp;""="00000000"),IF($AH2580=20,"病院",IF($AH2580=5,"消防","市長")),"対象外"))</f>
      </c>
    </row>
    <row r="2581">
      <c r="DB2581" s="2909">
        <f>IF($A2581="","",IF(AND($A2581=21,$AE2581&amp;""="00000000"),IF($AH2581=20,"病院",IF($AH2581=5,"消防","市長")),"対象外"))</f>
      </c>
    </row>
    <row r="2582">
      <c r="DB2582" s="2909">
        <f>IF($A2582="","",IF(AND($A2582=21,$AE2582&amp;""="00000000"),IF($AH2582=20,"病院",IF($AH2582=5,"消防","市長")),"対象外"))</f>
      </c>
    </row>
    <row r="2583">
      <c r="DB2583" s="2909">
        <f>IF($A2583="","",IF(AND($A2583=21,$AE2583&amp;""="00000000"),IF($AH2583=20,"病院",IF($AH2583=5,"消防","市長")),"対象外"))</f>
      </c>
    </row>
    <row r="2584">
      <c r="DB2584" s="2909">
        <f>IF($A2584="","",IF(AND($A2584=21,$AE2584&amp;""="00000000"),IF($AH2584=20,"病院",IF($AH2584=5,"消防","市長")),"対象外"))</f>
      </c>
    </row>
    <row r="2585">
      <c r="DB2585" s="2909">
        <f>IF($A2585="","",IF(AND($A2585=21,$AE2585&amp;""="00000000"),IF($AH2585=20,"病院",IF($AH2585=5,"消防","市長")),"対象外"))</f>
      </c>
    </row>
    <row r="2586">
      <c r="DB2586" s="2909">
        <f>IF($A2586="","",IF(AND($A2586=21,$AE2586&amp;""="00000000"),IF($AH2586=20,"病院",IF($AH2586=5,"消防","市長")),"対象外"))</f>
      </c>
    </row>
    <row r="2587">
      <c r="DB2587" s="2909">
        <f>IF($A2587="","",IF(AND($A2587=21,$AE2587&amp;""="00000000"),IF($AH2587=20,"病院",IF($AH2587=5,"消防","市長")),"対象外"))</f>
      </c>
    </row>
    <row r="2588">
      <c r="DB2588" s="2909">
        <f>IF($A2588="","",IF(AND($A2588=21,$AE2588&amp;""="00000000"),IF($AH2588=20,"病院",IF($AH2588=5,"消防","市長")),"対象外"))</f>
      </c>
    </row>
    <row r="2589">
      <c r="DB2589" s="2909">
        <f>IF($A2589="","",IF(AND($A2589=21,$AE2589&amp;""="00000000"),IF($AH2589=20,"病院",IF($AH2589=5,"消防","市長")),"対象外"))</f>
      </c>
    </row>
    <row r="2590">
      <c r="DB2590" s="2909">
        <f>IF($A2590="","",IF(AND($A2590=21,$AE2590&amp;""="00000000"),IF($AH2590=20,"病院",IF($AH2590=5,"消防","市長")),"対象外"))</f>
      </c>
    </row>
    <row r="2591">
      <c r="DB2591" s="2909">
        <f>IF($A2591="","",IF(AND($A2591=21,$AE2591&amp;""="00000000"),IF($AH2591=20,"病院",IF($AH2591=5,"消防","市長")),"対象外"))</f>
      </c>
    </row>
    <row r="2592">
      <c r="DB2592" s="2909">
        <f>IF($A2592="","",IF(AND($A2592=21,$AE2592&amp;""="00000000"),IF($AH2592=20,"病院",IF($AH2592=5,"消防","市長")),"対象外"))</f>
      </c>
    </row>
    <row r="2593">
      <c r="DB2593" s="2909">
        <f>IF($A2593="","",IF(AND($A2593=21,$AE2593&amp;""="00000000"),IF($AH2593=20,"病院",IF($AH2593=5,"消防","市長")),"対象外"))</f>
      </c>
    </row>
    <row r="2594">
      <c r="DB2594" s="2909">
        <f>IF($A2594="","",IF(AND($A2594=21,$AE2594&amp;""="00000000"),IF($AH2594=20,"病院",IF($AH2594=5,"消防","市長")),"対象外"))</f>
      </c>
    </row>
    <row r="2595">
      <c r="DB2595" s="2909">
        <f>IF($A2595="","",IF(AND($A2595=21,$AE2595&amp;""="00000000"),IF($AH2595=20,"病院",IF($AH2595=5,"消防","市長")),"対象外"))</f>
      </c>
    </row>
    <row r="2596">
      <c r="DB2596" s="2909">
        <f>IF($A2596="","",IF(AND($A2596=21,$AE2596&amp;""="00000000"),IF($AH2596=20,"病院",IF($AH2596=5,"消防","市長")),"対象外"))</f>
      </c>
    </row>
    <row r="2597">
      <c r="DB2597" s="2909">
        <f>IF($A2597="","",IF(AND($A2597=21,$AE2597&amp;""="00000000"),IF($AH2597=20,"病院",IF($AH2597=5,"消防","市長")),"対象外"))</f>
      </c>
    </row>
    <row r="2598">
      <c r="DB2598" s="2909">
        <f>IF($A2598="","",IF(AND($A2598=21,$AE2598&amp;""="00000000"),IF($AH2598=20,"病院",IF($AH2598=5,"消防","市長")),"対象外"))</f>
      </c>
    </row>
    <row r="2599">
      <c r="DB2599" s="2909">
        <f>IF($A2599="","",IF(AND($A2599=21,$AE2599&amp;""="00000000"),IF($AH2599=20,"病院",IF($AH2599=5,"消防","市長")),"対象外"))</f>
      </c>
    </row>
    <row r="2600">
      <c r="DB2600" s="2909">
        <f>IF($A2600="","",IF(AND($A2600=21,$AE2600&amp;""="00000000"),IF($AH2600=20,"病院",IF($AH2600=5,"消防","市長")),"対象外"))</f>
      </c>
    </row>
    <row r="2601">
      <c r="DB2601" s="2909">
        <f>IF($A2601="","",IF(AND($A2601=21,$AE2601&amp;""="00000000"),IF($AH2601=20,"病院",IF($AH2601=5,"消防","市長")),"対象外"))</f>
      </c>
    </row>
    <row r="2602">
      <c r="DB2602" s="2909">
        <f>IF($A2602="","",IF(AND($A2602=21,$AE2602&amp;""="00000000"),IF($AH2602=20,"病院",IF($AH2602=5,"消防","市長")),"対象外"))</f>
      </c>
    </row>
    <row r="2603">
      <c r="DB2603" s="2909">
        <f>IF($A2603="","",IF(AND($A2603=21,$AE2603&amp;""="00000000"),IF($AH2603=20,"病院",IF($AH2603=5,"消防","市長")),"対象外"))</f>
      </c>
    </row>
    <row r="2604">
      <c r="DB2604" s="2909">
        <f>IF($A2604="","",IF(AND($A2604=21,$AE2604&amp;""="00000000"),IF($AH2604=20,"病院",IF($AH2604=5,"消防","市長")),"対象外"))</f>
      </c>
    </row>
    <row r="2605">
      <c r="DB2605" s="2909">
        <f>IF($A2605="","",IF(AND($A2605=21,$AE2605&amp;""="00000000"),IF($AH2605=20,"病院",IF($AH2605=5,"消防","市長")),"対象外"))</f>
      </c>
    </row>
    <row r="2606">
      <c r="DB2606" s="2909">
        <f>IF($A2606="","",IF(AND($A2606=21,$AE2606&amp;""="00000000"),IF($AH2606=20,"病院",IF($AH2606=5,"消防","市長")),"対象外"))</f>
      </c>
    </row>
    <row r="2607">
      <c r="DB2607" s="2909">
        <f>IF($A2607="","",IF(AND($A2607=21,$AE2607&amp;""="00000000"),IF($AH2607=20,"病院",IF($AH2607=5,"消防","市長")),"対象外"))</f>
      </c>
    </row>
    <row r="2608">
      <c r="DB2608" s="2909">
        <f>IF($A2608="","",IF(AND($A2608=21,$AE2608&amp;""="00000000"),IF($AH2608=20,"病院",IF($AH2608=5,"消防","市長")),"対象外"))</f>
      </c>
    </row>
    <row r="2609">
      <c r="DB2609" s="2909">
        <f>IF($A2609="","",IF(AND($A2609=21,$AE2609&amp;""="00000000"),IF($AH2609=20,"病院",IF($AH2609=5,"消防","市長")),"対象外"))</f>
      </c>
    </row>
    <row r="2610">
      <c r="DB2610" s="2909">
        <f>IF($A2610="","",IF(AND($A2610=21,$AE2610&amp;""="00000000"),IF($AH2610=20,"病院",IF($AH2610=5,"消防","市長")),"対象外"))</f>
      </c>
    </row>
    <row r="2611">
      <c r="DB2611" s="2909">
        <f>IF($A2611="","",IF(AND($A2611=21,$AE2611&amp;""="00000000"),IF($AH2611=20,"病院",IF($AH2611=5,"消防","市長")),"対象外"))</f>
      </c>
    </row>
    <row r="2612">
      <c r="DB2612" s="2909">
        <f>IF($A2612="","",IF(AND($A2612=21,$AE2612&amp;""="00000000"),IF($AH2612=20,"病院",IF($AH2612=5,"消防","市長")),"対象外"))</f>
      </c>
    </row>
    <row r="2613">
      <c r="DB2613" s="2909">
        <f>IF($A2613="","",IF(AND($A2613=21,$AE2613&amp;""="00000000"),IF($AH2613=20,"病院",IF($AH2613=5,"消防","市長")),"対象外"))</f>
      </c>
    </row>
    <row r="2614">
      <c r="DB2614" s="2909">
        <f>IF($A2614="","",IF(AND($A2614=21,$AE2614&amp;""="00000000"),IF($AH2614=20,"病院",IF($AH2614=5,"消防","市長")),"対象外"))</f>
      </c>
    </row>
    <row r="2615">
      <c r="DB2615" s="2909">
        <f>IF($A2615="","",IF(AND($A2615=21,$AE2615&amp;""="00000000"),IF($AH2615=20,"病院",IF($AH2615=5,"消防","市長")),"対象外"))</f>
      </c>
    </row>
    <row r="2616">
      <c r="DB2616" s="2909">
        <f>IF($A2616="","",IF(AND($A2616=21,$AE2616&amp;""="00000000"),IF($AH2616=20,"病院",IF($AH2616=5,"消防","市長")),"対象外"))</f>
      </c>
    </row>
    <row r="2617">
      <c r="DB2617" s="2909">
        <f>IF($A2617="","",IF(AND($A2617=21,$AE2617&amp;""="00000000"),IF($AH2617=20,"病院",IF($AH2617=5,"消防","市長")),"対象外"))</f>
      </c>
    </row>
    <row r="2618">
      <c r="DB2618" s="2909">
        <f>IF($A2618="","",IF(AND($A2618=21,$AE2618&amp;""="00000000"),IF($AH2618=20,"病院",IF($AH2618=5,"消防","市長")),"対象外"))</f>
      </c>
    </row>
    <row r="2619">
      <c r="DB2619" s="2909">
        <f>IF($A2619="","",IF(AND($A2619=21,$AE2619&amp;""="00000000"),IF($AH2619=20,"病院",IF($AH2619=5,"消防","市長")),"対象外"))</f>
      </c>
    </row>
    <row r="2620">
      <c r="DB2620" s="2909">
        <f>IF($A2620="","",IF(AND($A2620=21,$AE2620&amp;""="00000000"),IF($AH2620=20,"病院",IF($AH2620=5,"消防","市長")),"対象外"))</f>
      </c>
    </row>
    <row r="2621">
      <c r="DB2621" s="2909">
        <f>IF($A2621="","",IF(AND($A2621=21,$AE2621&amp;""="00000000"),IF($AH2621=20,"病院",IF($AH2621=5,"消防","市長")),"対象外"))</f>
      </c>
    </row>
    <row r="2622">
      <c r="DB2622" s="2909">
        <f>IF($A2622="","",IF(AND($A2622=21,$AE2622&amp;""="00000000"),IF($AH2622=20,"病院",IF($AH2622=5,"消防","市長")),"対象外"))</f>
      </c>
    </row>
    <row r="2623">
      <c r="DB2623" s="2909">
        <f>IF($A2623="","",IF(AND($A2623=21,$AE2623&amp;""="00000000"),IF($AH2623=20,"病院",IF($AH2623=5,"消防","市長")),"対象外"))</f>
      </c>
    </row>
    <row r="2624">
      <c r="DB2624" s="2909">
        <f>IF($A2624="","",IF(AND($A2624=21,$AE2624&amp;""="00000000"),IF($AH2624=20,"病院",IF($AH2624=5,"消防","市長")),"対象外"))</f>
      </c>
    </row>
    <row r="2625">
      <c r="DB2625" s="2909">
        <f>IF($A2625="","",IF(AND($A2625=21,$AE2625&amp;""="00000000"),IF($AH2625=20,"病院",IF($AH2625=5,"消防","市長")),"対象外"))</f>
      </c>
    </row>
    <row r="2626">
      <c r="DB2626" s="2909">
        <f>IF($A2626="","",IF(AND($A2626=21,$AE2626&amp;""="00000000"),IF($AH2626=20,"病院",IF($AH2626=5,"消防","市長")),"対象外"))</f>
      </c>
    </row>
    <row r="2627">
      <c r="DB2627" s="2909">
        <f>IF($A2627="","",IF(AND($A2627=21,$AE2627&amp;""="00000000"),IF($AH2627=20,"病院",IF($AH2627=5,"消防","市長")),"対象外"))</f>
      </c>
    </row>
    <row r="2628">
      <c r="DB2628" s="2909">
        <f>IF($A2628="","",IF(AND($A2628=21,$AE2628&amp;""="00000000"),IF($AH2628=20,"病院",IF($AH2628=5,"消防","市長")),"対象外"))</f>
      </c>
    </row>
    <row r="2629">
      <c r="DB2629" s="2909">
        <f>IF($A2629="","",IF(AND($A2629=21,$AE2629&amp;""="00000000"),IF($AH2629=20,"病院",IF($AH2629=5,"消防","市長")),"対象外"))</f>
      </c>
    </row>
    <row r="2630">
      <c r="DB2630" s="2909">
        <f>IF($A2630="","",IF(AND($A2630=21,$AE2630&amp;""="00000000"),IF($AH2630=20,"病院",IF($AH2630=5,"消防","市長")),"対象外"))</f>
      </c>
    </row>
    <row r="2631">
      <c r="DB2631" s="2909">
        <f>IF($A2631="","",IF(AND($A2631=21,$AE2631&amp;""="00000000"),IF($AH2631=20,"病院",IF($AH2631=5,"消防","市長")),"対象外"))</f>
      </c>
    </row>
    <row r="2632">
      <c r="DB2632" s="2909">
        <f>IF($A2632="","",IF(AND($A2632=21,$AE2632&amp;""="00000000"),IF($AH2632=20,"病院",IF($AH2632=5,"消防","市長")),"対象外"))</f>
      </c>
    </row>
    <row r="2633">
      <c r="DB2633" s="2909">
        <f>IF($A2633="","",IF(AND($A2633=21,$AE2633&amp;""="00000000"),IF($AH2633=20,"病院",IF($AH2633=5,"消防","市長")),"対象外"))</f>
      </c>
    </row>
    <row r="2634">
      <c r="DB2634" s="2909">
        <f>IF($A2634="","",IF(AND($A2634=21,$AE2634&amp;""="00000000"),IF($AH2634=20,"病院",IF($AH2634=5,"消防","市長")),"対象外"))</f>
      </c>
    </row>
    <row r="2635">
      <c r="DB2635" s="2909">
        <f>IF($A2635="","",IF(AND($A2635=21,$AE2635&amp;""="00000000"),IF($AH2635=20,"病院",IF($AH2635=5,"消防","市長")),"対象外"))</f>
      </c>
    </row>
    <row r="2636">
      <c r="DB2636" s="2909">
        <f>IF($A2636="","",IF(AND($A2636=21,$AE2636&amp;""="00000000"),IF($AH2636=20,"病院",IF($AH2636=5,"消防","市長")),"対象外"))</f>
      </c>
    </row>
    <row r="2637">
      <c r="DB2637" s="2909">
        <f>IF($A2637="","",IF(AND($A2637=21,$AE2637&amp;""="00000000"),IF($AH2637=20,"病院",IF($AH2637=5,"消防","市長")),"対象外"))</f>
      </c>
    </row>
    <row r="2638">
      <c r="DB2638" s="2909">
        <f>IF($A2638="","",IF(AND($A2638=21,$AE2638&amp;""="00000000"),IF($AH2638=20,"病院",IF($AH2638=5,"消防","市長")),"対象外"))</f>
      </c>
    </row>
    <row r="2639">
      <c r="DB2639" s="2909">
        <f>IF($A2639="","",IF(AND($A2639=21,$AE2639&amp;""="00000000"),IF($AH2639=20,"病院",IF($AH2639=5,"消防","市長")),"対象外"))</f>
      </c>
    </row>
    <row r="2640">
      <c r="DB2640" s="2909">
        <f>IF($A2640="","",IF(AND($A2640=21,$AE2640&amp;""="00000000"),IF($AH2640=20,"病院",IF($AH2640=5,"消防","市長")),"対象外"))</f>
      </c>
    </row>
    <row r="2641">
      <c r="DB2641" s="2909">
        <f>IF($A2641="","",IF(AND($A2641=21,$AE2641&amp;""="00000000"),IF($AH2641=20,"病院",IF($AH2641=5,"消防","市長")),"対象外"))</f>
      </c>
    </row>
    <row r="2642">
      <c r="DB2642" s="2909">
        <f>IF($A2642="","",IF(AND($A2642=21,$AE2642&amp;""="00000000"),IF($AH2642=20,"病院",IF($AH2642=5,"消防","市長")),"対象外"))</f>
      </c>
    </row>
    <row r="2643">
      <c r="DB2643" s="2909">
        <f>IF($A2643="","",IF(AND($A2643=21,$AE2643&amp;""="00000000"),IF($AH2643=20,"病院",IF($AH2643=5,"消防","市長")),"対象外"))</f>
      </c>
    </row>
    <row r="2644">
      <c r="DB2644" s="2909">
        <f>IF($A2644="","",IF(AND($A2644=21,$AE2644&amp;""="00000000"),IF($AH2644=20,"病院",IF($AH2644=5,"消防","市長")),"対象外"))</f>
      </c>
    </row>
    <row r="2645">
      <c r="DB2645" s="2909">
        <f>IF($A2645="","",IF(AND($A2645=21,$AE2645&amp;""="00000000"),IF($AH2645=20,"病院",IF($AH2645=5,"消防","市長")),"対象外"))</f>
      </c>
    </row>
    <row r="2646">
      <c r="DB2646" s="2909">
        <f>IF($A2646="","",IF(AND($A2646=21,$AE2646&amp;""="00000000"),IF($AH2646=20,"病院",IF($AH2646=5,"消防","市長")),"対象外"))</f>
      </c>
    </row>
    <row r="2647">
      <c r="DB2647" s="2909">
        <f>IF($A2647="","",IF(AND($A2647=21,$AE2647&amp;""="00000000"),IF($AH2647=20,"病院",IF($AH2647=5,"消防","市長")),"対象外"))</f>
      </c>
    </row>
    <row r="2648">
      <c r="DB2648" s="2909">
        <f>IF($A2648="","",IF(AND($A2648=21,$AE2648&amp;""="00000000"),IF($AH2648=20,"病院",IF($AH2648=5,"消防","市長")),"対象外"))</f>
      </c>
    </row>
    <row r="2649">
      <c r="DB2649" s="2909">
        <f>IF($A2649="","",IF(AND($A2649=21,$AE2649&amp;""="00000000"),IF($AH2649=20,"病院",IF($AH2649=5,"消防","市長")),"対象外"))</f>
      </c>
    </row>
    <row r="2650">
      <c r="DB2650" s="2909">
        <f>IF($A2650="","",IF(AND($A2650=21,$AE2650&amp;""="00000000"),IF($AH2650=20,"病院",IF($AH2650=5,"消防","市長")),"対象外"))</f>
      </c>
    </row>
    <row r="2651">
      <c r="DB2651" s="2909">
        <f>IF($A2651="","",IF(AND($A2651=21,$AE2651&amp;""="00000000"),IF($AH2651=20,"病院",IF($AH2651=5,"消防","市長")),"対象外"))</f>
      </c>
    </row>
    <row r="2652">
      <c r="DB2652" s="2909">
        <f>IF($A2652="","",IF(AND($A2652=21,$AE2652&amp;""="00000000"),IF($AH2652=20,"病院",IF($AH2652=5,"消防","市長")),"対象外"))</f>
      </c>
    </row>
    <row r="2653">
      <c r="DB2653" s="2909">
        <f>IF($A2653="","",IF(AND($A2653=21,$AE2653&amp;""="00000000"),IF($AH2653=20,"病院",IF($AH2653=5,"消防","市長")),"対象外"))</f>
      </c>
    </row>
    <row r="2654">
      <c r="DB2654" s="2909">
        <f>IF($A2654="","",IF(AND($A2654=21,$AE2654&amp;""="00000000"),IF($AH2654=20,"病院",IF($AH2654=5,"消防","市長")),"対象外"))</f>
      </c>
    </row>
    <row r="2655">
      <c r="DB2655" s="2909">
        <f>IF($A2655="","",IF(AND($A2655=21,$AE2655&amp;""="00000000"),IF($AH2655=20,"病院",IF($AH2655=5,"消防","市長")),"対象外"))</f>
      </c>
    </row>
    <row r="2656">
      <c r="DB2656" s="2909">
        <f>IF($A2656="","",IF(AND($A2656=21,$AE2656&amp;""="00000000"),IF($AH2656=20,"病院",IF($AH2656=5,"消防","市長")),"対象外"))</f>
      </c>
    </row>
    <row r="2657">
      <c r="DB2657" s="2909">
        <f>IF($A2657="","",IF(AND($A2657=21,$AE2657&amp;""="00000000"),IF($AH2657=20,"病院",IF($AH2657=5,"消防","市長")),"対象外"))</f>
      </c>
    </row>
    <row r="2658">
      <c r="DB2658" s="2909">
        <f>IF($A2658="","",IF(AND($A2658=21,$AE2658&amp;""="00000000"),IF($AH2658=20,"病院",IF($AH2658=5,"消防","市長")),"対象外"))</f>
      </c>
    </row>
    <row r="2659">
      <c r="DB2659" s="2909">
        <f>IF($A2659="","",IF(AND($A2659=21,$AE2659&amp;""="00000000"),IF($AH2659=20,"病院",IF($AH2659=5,"消防","市長")),"対象外"))</f>
      </c>
    </row>
    <row r="2660">
      <c r="DB2660" s="2909">
        <f>IF($A2660="","",IF(AND($A2660=21,$AE2660&amp;""="00000000"),IF($AH2660=20,"病院",IF($AH2660=5,"消防","市長")),"対象外"))</f>
      </c>
    </row>
    <row r="2661">
      <c r="DB2661" s="2909">
        <f>IF($A2661="","",IF(AND($A2661=21,$AE2661&amp;""="00000000"),IF($AH2661=20,"病院",IF($AH2661=5,"消防","市長")),"対象外"))</f>
      </c>
    </row>
    <row r="2662">
      <c r="DB2662" s="2909">
        <f>IF($A2662="","",IF(AND($A2662=21,$AE2662&amp;""="00000000"),IF($AH2662=20,"病院",IF($AH2662=5,"消防","市長")),"対象外"))</f>
      </c>
    </row>
    <row r="2663">
      <c r="DB2663" s="2909">
        <f>IF($A2663="","",IF(AND($A2663=21,$AE2663&amp;""="00000000"),IF($AH2663=20,"病院",IF($AH2663=5,"消防","市長")),"対象外"))</f>
      </c>
    </row>
    <row r="2664">
      <c r="DB2664" s="2909">
        <f>IF($A2664="","",IF(AND($A2664=21,$AE2664&amp;""="00000000"),IF($AH2664=20,"病院",IF($AH2664=5,"消防","市長")),"対象外"))</f>
      </c>
    </row>
    <row r="2665">
      <c r="DB2665" s="2909">
        <f>IF($A2665="","",IF(AND($A2665=21,$AE2665&amp;""="00000000"),IF($AH2665=20,"病院",IF($AH2665=5,"消防","市長")),"対象外"))</f>
      </c>
    </row>
    <row r="2666">
      <c r="DB2666" s="2909">
        <f>IF($A2666="","",IF(AND($A2666=21,$AE2666&amp;""="00000000"),IF($AH2666=20,"病院",IF($AH2666=5,"消防","市長")),"対象外"))</f>
      </c>
    </row>
    <row r="2667">
      <c r="DB2667" s="2909">
        <f>IF($A2667="","",IF(AND($A2667=21,$AE2667&amp;""="00000000"),IF($AH2667=20,"病院",IF($AH2667=5,"消防","市長")),"対象外"))</f>
      </c>
    </row>
    <row r="2668">
      <c r="DB2668" s="2909">
        <f>IF($A2668="","",IF(AND($A2668=21,$AE2668&amp;""="00000000"),IF($AH2668=20,"病院",IF($AH2668=5,"消防","市長")),"対象外"))</f>
      </c>
    </row>
    <row r="2669">
      <c r="DB2669" s="2909">
        <f>IF($A2669="","",IF(AND($A2669=21,$AE2669&amp;""="00000000"),IF($AH2669=20,"病院",IF($AH2669=5,"消防","市長")),"対象外"))</f>
      </c>
    </row>
    <row r="2670">
      <c r="DB2670" s="2909">
        <f>IF($A2670="","",IF(AND($A2670=21,$AE2670&amp;""="00000000"),IF($AH2670=20,"病院",IF($AH2670=5,"消防","市長")),"対象外"))</f>
      </c>
    </row>
    <row r="2671">
      <c r="DB2671" s="2909">
        <f>IF($A2671="","",IF(AND($A2671=21,$AE2671&amp;""="00000000"),IF($AH2671=20,"病院",IF($AH2671=5,"消防","市長")),"対象外"))</f>
      </c>
    </row>
    <row r="2672">
      <c r="DB2672" s="2909">
        <f>IF($A2672="","",IF(AND($A2672=21,$AE2672&amp;""="00000000"),IF($AH2672=20,"病院",IF($AH2672=5,"消防","市長")),"対象外"))</f>
      </c>
    </row>
    <row r="2673">
      <c r="DB2673" s="2909">
        <f>IF($A2673="","",IF(AND($A2673=21,$AE2673&amp;""="00000000"),IF($AH2673=20,"病院",IF($AH2673=5,"消防","市長")),"対象外"))</f>
      </c>
    </row>
    <row r="2674">
      <c r="DB2674" s="2909">
        <f>IF($A2674="","",IF(AND($A2674=21,$AE2674&amp;""="00000000"),IF($AH2674=20,"病院",IF($AH2674=5,"消防","市長")),"対象外"))</f>
      </c>
    </row>
    <row r="2675">
      <c r="DB2675" s="2909">
        <f>IF($A2675="","",IF(AND($A2675=21,$AE2675&amp;""="00000000"),IF($AH2675=20,"病院",IF($AH2675=5,"消防","市長")),"対象外"))</f>
      </c>
    </row>
    <row r="2676">
      <c r="DB2676" s="2909">
        <f>IF($A2676="","",IF(AND($A2676=21,$AE2676&amp;""="00000000"),IF($AH2676=20,"病院",IF($AH2676=5,"消防","市長")),"対象外"))</f>
      </c>
    </row>
    <row r="2677">
      <c r="DB2677" s="2909">
        <f>IF($A2677="","",IF(AND($A2677=21,$AE2677&amp;""="00000000"),IF($AH2677=20,"病院",IF($AH2677=5,"消防","市長")),"対象外"))</f>
      </c>
    </row>
    <row r="2678">
      <c r="DB2678" s="2909">
        <f>IF($A2678="","",IF(AND($A2678=21,$AE2678&amp;""="00000000"),IF($AH2678=20,"病院",IF($AH2678=5,"消防","市長")),"対象外"))</f>
      </c>
    </row>
    <row r="2679">
      <c r="DB2679" s="2909">
        <f>IF($A2679="","",IF(AND($A2679=21,$AE2679&amp;""="00000000"),IF($AH2679=20,"病院",IF($AH2679=5,"消防","市長")),"対象外"))</f>
      </c>
    </row>
    <row r="2680">
      <c r="DB2680" s="2909">
        <f>IF($A2680="","",IF(AND($A2680=21,$AE2680&amp;""="00000000"),IF($AH2680=20,"病院",IF($AH2680=5,"消防","市長")),"対象外"))</f>
      </c>
    </row>
    <row r="2681">
      <c r="DB2681" s="2909">
        <f>IF($A2681="","",IF(AND($A2681=21,$AE2681&amp;""="00000000"),IF($AH2681=20,"病院",IF($AH2681=5,"消防","市長")),"対象外"))</f>
      </c>
    </row>
    <row r="2682">
      <c r="DB2682" s="2909">
        <f>IF($A2682="","",IF(AND($A2682=21,$AE2682&amp;""="00000000"),IF($AH2682=20,"病院",IF($AH2682=5,"消防","市長")),"対象外"))</f>
      </c>
    </row>
    <row r="2683">
      <c r="DB2683" s="2909">
        <f>IF($A2683="","",IF(AND($A2683=21,$AE2683&amp;""="00000000"),IF($AH2683=20,"病院",IF($AH2683=5,"消防","市長")),"対象外"))</f>
      </c>
    </row>
    <row r="2684">
      <c r="DB2684" s="2909">
        <f>IF($A2684="","",IF(AND($A2684=21,$AE2684&amp;""="00000000"),IF($AH2684=20,"病院",IF($AH2684=5,"消防","市長")),"対象外"))</f>
      </c>
    </row>
    <row r="2685">
      <c r="DB2685" s="2909">
        <f>IF($A2685="","",IF(AND($A2685=21,$AE2685&amp;""="00000000"),IF($AH2685=20,"病院",IF($AH2685=5,"消防","市長")),"対象外"))</f>
      </c>
    </row>
    <row r="2686">
      <c r="DB2686" s="2909">
        <f>IF($A2686="","",IF(AND($A2686=21,$AE2686&amp;""="00000000"),IF($AH2686=20,"病院",IF($AH2686=5,"消防","市長")),"対象外"))</f>
      </c>
    </row>
    <row r="2687">
      <c r="DB2687" s="2909">
        <f>IF($A2687="","",IF(AND($A2687=21,$AE2687&amp;""="00000000"),IF($AH2687=20,"病院",IF($AH2687=5,"消防","市長")),"対象外"))</f>
      </c>
    </row>
    <row r="2688">
      <c r="DB2688" s="2909">
        <f>IF($A2688="","",IF(AND($A2688=21,$AE2688&amp;""="00000000"),IF($AH2688=20,"病院",IF($AH2688=5,"消防","市長")),"対象外"))</f>
      </c>
    </row>
    <row r="2689">
      <c r="DB2689" s="2909">
        <f>IF($A2689="","",IF(AND($A2689=21,$AE2689&amp;""="00000000"),IF($AH2689=20,"病院",IF($AH2689=5,"消防","市長")),"対象外"))</f>
      </c>
    </row>
    <row r="2690">
      <c r="DB2690" s="2909">
        <f>IF($A2690="","",IF(AND($A2690=21,$AE2690&amp;""="00000000"),IF($AH2690=20,"病院",IF($AH2690=5,"消防","市長")),"対象外"))</f>
      </c>
    </row>
    <row r="2691">
      <c r="DB2691" s="2909">
        <f>IF($A2691="","",IF(AND($A2691=21,$AE2691&amp;""="00000000"),IF($AH2691=20,"病院",IF($AH2691=5,"消防","市長")),"対象外"))</f>
      </c>
    </row>
    <row r="2692">
      <c r="DB2692" s="2909">
        <f>IF($A2692="","",IF(AND($A2692=21,$AE2692&amp;""="00000000"),IF($AH2692=20,"病院",IF($AH2692=5,"消防","市長")),"対象外"))</f>
      </c>
    </row>
    <row r="2693">
      <c r="DB2693" s="2909">
        <f>IF($A2693="","",IF(AND($A2693=21,$AE2693&amp;""="00000000"),IF($AH2693=20,"病院",IF($AH2693=5,"消防","市長")),"対象外"))</f>
      </c>
    </row>
    <row r="2694">
      <c r="DB2694" s="2909">
        <f>IF($A2694="","",IF(AND($A2694=21,$AE2694&amp;""="00000000"),IF($AH2694=20,"病院",IF($AH2694=5,"消防","市長")),"対象外"))</f>
      </c>
    </row>
    <row r="2695">
      <c r="DB2695" s="2909">
        <f>IF($A2695="","",IF(AND($A2695=21,$AE2695&amp;""="00000000"),IF($AH2695=20,"病院",IF($AH2695=5,"消防","市長")),"対象外"))</f>
      </c>
    </row>
    <row r="2696">
      <c r="DB2696" s="2909">
        <f>IF($A2696="","",IF(AND($A2696=21,$AE2696&amp;""="00000000"),IF($AH2696=20,"病院",IF($AH2696=5,"消防","市長")),"対象外"))</f>
      </c>
    </row>
    <row r="2697">
      <c r="DB2697" s="2909">
        <f>IF($A2697="","",IF(AND($A2697=21,$AE2697&amp;""="00000000"),IF($AH2697=20,"病院",IF($AH2697=5,"消防","市長")),"対象外"))</f>
      </c>
    </row>
    <row r="2698">
      <c r="DB2698" s="2909">
        <f>IF($A2698="","",IF(AND($A2698=21,$AE2698&amp;""="00000000"),IF($AH2698=20,"病院",IF($AH2698=5,"消防","市長")),"対象外"))</f>
      </c>
    </row>
    <row r="2699">
      <c r="DB2699" s="2909">
        <f>IF($A2699="","",IF(AND($A2699=21,$AE2699&amp;""="00000000"),IF($AH2699=20,"病院",IF($AH2699=5,"消防","市長")),"対象外"))</f>
      </c>
    </row>
    <row r="2700">
      <c r="DB2700" s="2909">
        <f>IF($A2700="","",IF(AND($A2700=21,$AE2700&amp;""="00000000"),IF($AH2700=20,"病院",IF($AH2700=5,"消防","市長")),"対象外"))</f>
      </c>
    </row>
    <row r="2701">
      <c r="DB2701" s="2909">
        <f>IF($A2701="","",IF(AND($A2701=21,$AE2701&amp;""="00000000"),IF($AH2701=20,"病院",IF($AH2701=5,"消防","市長")),"対象外"))</f>
      </c>
    </row>
    <row r="2702">
      <c r="DB2702" s="2909">
        <f>IF($A2702="","",IF(AND($A2702=21,$AE2702&amp;""="00000000"),IF($AH2702=20,"病院",IF($AH2702=5,"消防","市長")),"対象外"))</f>
      </c>
    </row>
    <row r="2703">
      <c r="DB2703" s="2909">
        <f>IF($A2703="","",IF(AND($A2703=21,$AE2703&amp;""="00000000"),IF($AH2703=20,"病院",IF($AH2703=5,"消防","市長")),"対象外"))</f>
      </c>
    </row>
    <row r="2704">
      <c r="DB2704" s="2909">
        <f>IF($A2704="","",IF(AND($A2704=21,$AE2704&amp;""="00000000"),IF($AH2704=20,"病院",IF($AH2704=5,"消防","市長")),"対象外"))</f>
      </c>
    </row>
    <row r="2705">
      <c r="DB2705" s="2909">
        <f>IF($A2705="","",IF(AND($A2705=21,$AE2705&amp;""="00000000"),IF($AH2705=20,"病院",IF($AH2705=5,"消防","市長")),"対象外"))</f>
      </c>
    </row>
    <row r="2706">
      <c r="DB2706" s="2909">
        <f>IF($A2706="","",IF(AND($A2706=21,$AE2706&amp;""="00000000"),IF($AH2706=20,"病院",IF($AH2706=5,"消防","市長")),"対象外"))</f>
      </c>
    </row>
    <row r="2707">
      <c r="DB2707" s="2909">
        <f>IF($A2707="","",IF(AND($A2707=21,$AE2707&amp;""="00000000"),IF($AH2707=20,"病院",IF($AH2707=5,"消防","市長")),"対象外"))</f>
      </c>
    </row>
    <row r="2708">
      <c r="DB2708" s="2909">
        <f>IF($A2708="","",IF(AND($A2708=21,$AE2708&amp;""="00000000"),IF($AH2708=20,"病院",IF($AH2708=5,"消防","市長")),"対象外"))</f>
      </c>
    </row>
    <row r="2709">
      <c r="DB2709" s="2909">
        <f>IF($A2709="","",IF(AND($A2709=21,$AE2709&amp;""="00000000"),IF($AH2709=20,"病院",IF($AH2709=5,"消防","市長")),"対象外"))</f>
      </c>
    </row>
    <row r="2710">
      <c r="DB2710" s="2909">
        <f>IF($A2710="","",IF(AND($A2710=21,$AE2710&amp;""="00000000"),IF($AH2710=20,"病院",IF($AH2710=5,"消防","市長")),"対象外"))</f>
      </c>
    </row>
    <row r="2711">
      <c r="DB2711" s="2909">
        <f>IF($A2711="","",IF(AND($A2711=21,$AE2711&amp;""="00000000"),IF($AH2711=20,"病院",IF($AH2711=5,"消防","市長")),"対象外"))</f>
      </c>
    </row>
    <row r="2712">
      <c r="DB2712" s="2909">
        <f>IF($A2712="","",IF(AND($A2712=21,$AE2712&amp;""="00000000"),IF($AH2712=20,"病院",IF($AH2712=5,"消防","市長")),"対象外"))</f>
      </c>
    </row>
    <row r="2713">
      <c r="DB2713" s="2909">
        <f>IF($A2713="","",IF(AND($A2713=21,$AE2713&amp;""="00000000"),IF($AH2713=20,"病院",IF($AH2713=5,"消防","市長")),"対象外"))</f>
      </c>
    </row>
    <row r="2714">
      <c r="DB2714" s="2909">
        <f>IF($A2714="","",IF(AND($A2714=21,$AE2714&amp;""="00000000"),IF($AH2714=20,"病院",IF($AH2714=5,"消防","市長")),"対象外"))</f>
      </c>
    </row>
    <row r="2715">
      <c r="DB2715" s="2909">
        <f>IF($A2715="","",IF(AND($A2715=21,$AE2715&amp;""="00000000"),IF($AH2715=20,"病院",IF($AH2715=5,"消防","市長")),"対象外"))</f>
      </c>
    </row>
    <row r="2716">
      <c r="DB2716" s="2909">
        <f>IF($A2716="","",IF(AND($A2716=21,$AE2716&amp;""="00000000"),IF($AH2716=20,"病院",IF($AH2716=5,"消防","市長")),"対象外"))</f>
      </c>
    </row>
    <row r="2717">
      <c r="DB2717" s="2909">
        <f>IF($A2717="","",IF(AND($A2717=21,$AE2717&amp;""="00000000"),IF($AH2717=20,"病院",IF($AH2717=5,"消防","市長")),"対象外"))</f>
      </c>
    </row>
    <row r="2718">
      <c r="DB2718" s="2909">
        <f>IF($A2718="","",IF(AND($A2718=21,$AE2718&amp;""="00000000"),IF($AH2718=20,"病院",IF($AH2718=5,"消防","市長")),"対象外"))</f>
      </c>
    </row>
    <row r="2719">
      <c r="DB2719" s="2909">
        <f>IF($A2719="","",IF(AND($A2719=21,$AE2719&amp;""="00000000"),IF($AH2719=20,"病院",IF($AH2719=5,"消防","市長")),"対象外"))</f>
      </c>
    </row>
    <row r="2720">
      <c r="DB2720" s="2909">
        <f>IF($A2720="","",IF(AND($A2720=21,$AE2720&amp;""="00000000"),IF($AH2720=20,"病院",IF($AH2720=5,"消防","市長")),"対象外"))</f>
      </c>
    </row>
    <row r="2721">
      <c r="DB2721" s="2909">
        <f>IF($A2721="","",IF(AND($A2721=21,$AE2721&amp;""="00000000"),IF($AH2721=20,"病院",IF($AH2721=5,"消防","市長")),"対象外"))</f>
      </c>
    </row>
    <row r="2722">
      <c r="DB2722" s="2909">
        <f>IF($A2722="","",IF(AND($A2722=21,$AE2722&amp;""="00000000"),IF($AH2722=20,"病院",IF($AH2722=5,"消防","市長")),"対象外"))</f>
      </c>
    </row>
    <row r="2723">
      <c r="DB2723" s="2909">
        <f>IF($A2723="","",IF(AND($A2723=21,$AE2723&amp;""="00000000"),IF($AH2723=20,"病院",IF($AH2723=5,"消防","市長")),"対象外"))</f>
      </c>
    </row>
    <row r="2724">
      <c r="DB2724" s="2909">
        <f>IF($A2724="","",IF(AND($A2724=21,$AE2724&amp;""="00000000"),IF($AH2724=20,"病院",IF($AH2724=5,"消防","市長")),"対象外"))</f>
      </c>
    </row>
    <row r="2725">
      <c r="DB2725" s="2909">
        <f>IF($A2725="","",IF(AND($A2725=21,$AE2725&amp;""="00000000"),IF($AH2725=20,"病院",IF($AH2725=5,"消防","市長")),"対象外"))</f>
      </c>
    </row>
    <row r="2726">
      <c r="DB2726" s="2909">
        <f>IF($A2726="","",IF(AND($A2726=21,$AE2726&amp;""="00000000"),IF($AH2726=20,"病院",IF($AH2726=5,"消防","市長")),"対象外"))</f>
      </c>
    </row>
    <row r="2727">
      <c r="DB2727" s="2909">
        <f>IF($A2727="","",IF(AND($A2727=21,$AE2727&amp;""="00000000"),IF($AH2727=20,"病院",IF($AH2727=5,"消防","市長")),"対象外"))</f>
      </c>
    </row>
    <row r="2728">
      <c r="DB2728" s="2909">
        <f>IF($A2728="","",IF(AND($A2728=21,$AE2728&amp;""="00000000"),IF($AH2728=20,"病院",IF($AH2728=5,"消防","市長")),"対象外"))</f>
      </c>
    </row>
    <row r="2729">
      <c r="DB2729" s="2909">
        <f>IF($A2729="","",IF(AND($A2729=21,$AE2729&amp;""="00000000"),IF($AH2729=20,"病院",IF($AH2729=5,"消防","市長")),"対象外"))</f>
      </c>
    </row>
    <row r="2730">
      <c r="DB2730" s="2909">
        <f>IF($A2730="","",IF(AND($A2730=21,$AE2730&amp;""="00000000"),IF($AH2730=20,"病院",IF($AH2730=5,"消防","市長")),"対象外"))</f>
      </c>
    </row>
    <row r="2731">
      <c r="DB2731" s="2909">
        <f>IF($A2731="","",IF(AND($A2731=21,$AE2731&amp;""="00000000"),IF($AH2731=20,"病院",IF($AH2731=5,"消防","市長")),"対象外"))</f>
      </c>
    </row>
    <row r="2732">
      <c r="DB2732" s="2909">
        <f>IF($A2732="","",IF(AND($A2732=21,$AE2732&amp;""="00000000"),IF($AH2732=20,"病院",IF($AH2732=5,"消防","市長")),"対象外"))</f>
      </c>
    </row>
    <row r="2733">
      <c r="DB2733" s="2909">
        <f>IF($A2733="","",IF(AND($A2733=21,$AE2733&amp;""="00000000"),IF($AH2733=20,"病院",IF($AH2733=5,"消防","市長")),"対象外"))</f>
      </c>
    </row>
    <row r="2734">
      <c r="DB2734" s="2909">
        <f>IF($A2734="","",IF(AND($A2734=21,$AE2734&amp;""="00000000"),IF($AH2734=20,"病院",IF($AH2734=5,"消防","市長")),"対象外"))</f>
      </c>
    </row>
    <row r="2735">
      <c r="DB2735" s="2909">
        <f>IF($A2735="","",IF(AND($A2735=21,$AE2735&amp;""="00000000"),IF($AH2735=20,"病院",IF($AH2735=5,"消防","市長")),"対象外"))</f>
      </c>
    </row>
    <row r="2736">
      <c r="DB2736" s="2909">
        <f>IF($A2736="","",IF(AND($A2736=21,$AE2736&amp;""="00000000"),IF($AH2736=20,"病院",IF($AH2736=5,"消防","市長")),"対象外"))</f>
      </c>
    </row>
    <row r="2737">
      <c r="DB2737" s="2909">
        <f>IF($A2737="","",IF(AND($A2737=21,$AE2737&amp;""="00000000"),IF($AH2737=20,"病院",IF($AH2737=5,"消防","市長")),"対象外"))</f>
      </c>
    </row>
    <row r="2738">
      <c r="DB2738" s="2909">
        <f>IF($A2738="","",IF(AND($A2738=21,$AE2738&amp;""="00000000"),IF($AH2738=20,"病院",IF($AH2738=5,"消防","市長")),"対象外"))</f>
      </c>
    </row>
    <row r="2739">
      <c r="DB2739" s="2909">
        <f>IF($A2739="","",IF(AND($A2739=21,$AE2739&amp;""="00000000"),IF($AH2739=20,"病院",IF($AH2739=5,"消防","市長")),"対象外"))</f>
      </c>
    </row>
    <row r="2740">
      <c r="DB2740" s="2909">
        <f>IF($A2740="","",IF(AND($A2740=21,$AE2740&amp;""="00000000"),IF($AH2740=20,"病院",IF($AH2740=5,"消防","市長")),"対象外"))</f>
      </c>
    </row>
    <row r="2741">
      <c r="DB2741" s="2909">
        <f>IF($A2741="","",IF(AND($A2741=21,$AE2741&amp;""="00000000"),IF($AH2741=20,"病院",IF($AH2741=5,"消防","市長")),"対象外"))</f>
      </c>
    </row>
    <row r="2742">
      <c r="DB2742" s="2909">
        <f>IF($A2742="","",IF(AND($A2742=21,$AE2742&amp;""="00000000"),IF($AH2742=20,"病院",IF($AH2742=5,"消防","市長")),"対象外"))</f>
      </c>
    </row>
    <row r="2743">
      <c r="DB2743" s="2909">
        <f>IF($A2743="","",IF(AND($A2743=21,$AE2743&amp;""="00000000"),IF($AH2743=20,"病院",IF($AH2743=5,"消防","市長")),"対象外"))</f>
      </c>
    </row>
    <row r="2744">
      <c r="DB2744" s="2909">
        <f>IF($A2744="","",IF(AND($A2744=21,$AE2744&amp;""="00000000"),IF($AH2744=20,"病院",IF($AH2744=5,"消防","市長")),"対象外"))</f>
      </c>
    </row>
    <row r="2745">
      <c r="DB2745" s="2909">
        <f>IF($A2745="","",IF(AND($A2745=21,$AE2745&amp;""="00000000"),IF($AH2745=20,"病院",IF($AH2745=5,"消防","市長")),"対象外"))</f>
      </c>
    </row>
    <row r="2746">
      <c r="DB2746" s="2909">
        <f>IF($A2746="","",IF(AND($A2746=21,$AE2746&amp;""="00000000"),IF($AH2746=20,"病院",IF($AH2746=5,"消防","市長")),"対象外"))</f>
      </c>
    </row>
    <row r="2747">
      <c r="DB2747" s="2909">
        <f>IF($A2747="","",IF(AND($A2747=21,$AE2747&amp;""="00000000"),IF($AH2747=20,"病院",IF($AH2747=5,"消防","市長")),"対象外"))</f>
      </c>
    </row>
    <row r="2748">
      <c r="DB2748" s="2909">
        <f>IF($A2748="","",IF(AND($A2748=21,$AE2748&amp;""="00000000"),IF($AH2748=20,"病院",IF($AH2748=5,"消防","市長")),"対象外"))</f>
      </c>
    </row>
    <row r="2749">
      <c r="DB2749" s="2909">
        <f>IF($A2749="","",IF(AND($A2749=21,$AE2749&amp;""="00000000"),IF($AH2749=20,"病院",IF($AH2749=5,"消防","市長")),"対象外"))</f>
      </c>
    </row>
    <row r="2750">
      <c r="DB2750" s="2909">
        <f>IF($A2750="","",IF(AND($A2750=21,$AE2750&amp;""="00000000"),IF($AH2750=20,"病院",IF($AH2750=5,"消防","市長")),"対象外"))</f>
      </c>
    </row>
    <row r="2751">
      <c r="DB2751" s="2909">
        <f>IF($A2751="","",IF(AND($A2751=21,$AE2751&amp;""="00000000"),IF($AH2751=20,"病院",IF($AH2751=5,"消防","市長")),"対象外"))</f>
      </c>
    </row>
    <row r="2752">
      <c r="DB2752" s="2909">
        <f>IF($A2752="","",IF(AND($A2752=21,$AE2752&amp;""="00000000"),IF($AH2752=20,"病院",IF($AH2752=5,"消防","市長")),"対象外"))</f>
      </c>
    </row>
    <row r="2753">
      <c r="DB2753" s="2909">
        <f>IF($A2753="","",IF(AND($A2753=21,$AE2753&amp;""="00000000"),IF($AH2753=20,"病院",IF($AH2753=5,"消防","市長")),"対象外"))</f>
      </c>
    </row>
    <row r="2754">
      <c r="DB2754" s="2909">
        <f>IF($A2754="","",IF(AND($A2754=21,$AE2754&amp;""="00000000"),IF($AH2754=20,"病院",IF($AH2754=5,"消防","市長")),"対象外"))</f>
      </c>
    </row>
    <row r="2755">
      <c r="DB2755" s="2909">
        <f>IF($A2755="","",IF(AND($A2755=21,$AE2755&amp;""="00000000"),IF($AH2755=20,"病院",IF($AH2755=5,"消防","市長")),"対象外"))</f>
      </c>
    </row>
    <row r="2756">
      <c r="DB2756" s="2909">
        <f>IF($A2756="","",IF(AND($A2756=21,$AE2756&amp;""="00000000"),IF($AH2756=20,"病院",IF($AH2756=5,"消防","市長")),"対象外"))</f>
      </c>
    </row>
    <row r="2757">
      <c r="DB2757" s="2909">
        <f>IF($A2757="","",IF(AND($A2757=21,$AE2757&amp;""="00000000"),IF($AH2757=20,"病院",IF($AH2757=5,"消防","市長")),"対象外"))</f>
      </c>
    </row>
    <row r="2758">
      <c r="DB2758" s="2909">
        <f>IF($A2758="","",IF(AND($A2758=21,$AE2758&amp;""="00000000"),IF($AH2758=20,"病院",IF($AH2758=5,"消防","市長")),"対象外"))</f>
      </c>
    </row>
    <row r="2759">
      <c r="DB2759" s="2909">
        <f>IF($A2759="","",IF(AND($A2759=21,$AE2759&amp;""="00000000"),IF($AH2759=20,"病院",IF($AH2759=5,"消防","市長")),"対象外"))</f>
      </c>
    </row>
    <row r="2760">
      <c r="DB2760" s="2909">
        <f>IF($A2760="","",IF(AND($A2760=21,$AE2760&amp;""="00000000"),IF($AH2760=20,"病院",IF($AH2760=5,"消防","市長")),"対象外"))</f>
      </c>
    </row>
    <row r="2761">
      <c r="DB2761" s="2909">
        <f>IF($A2761="","",IF(AND($A2761=21,$AE2761&amp;""="00000000"),IF($AH2761=20,"病院",IF($AH2761=5,"消防","市長")),"対象外"))</f>
      </c>
    </row>
    <row r="2762">
      <c r="DB2762" s="2909">
        <f>IF($A2762="","",IF(AND($A2762=21,$AE2762&amp;""="00000000"),IF($AH2762=20,"病院",IF($AH2762=5,"消防","市長")),"対象外"))</f>
      </c>
    </row>
    <row r="2763">
      <c r="DB2763" s="2909">
        <f>IF($A2763="","",IF(AND($A2763=21,$AE2763&amp;""="00000000"),IF($AH2763=20,"病院",IF($AH2763=5,"消防","市長")),"対象外"))</f>
      </c>
    </row>
    <row r="2764">
      <c r="DB2764" s="2909">
        <f>IF($A2764="","",IF(AND($A2764=21,$AE2764&amp;""="00000000"),IF($AH2764=20,"病院",IF($AH2764=5,"消防","市長")),"対象外"))</f>
      </c>
    </row>
    <row r="2765">
      <c r="DB2765" s="2909">
        <f>IF($A2765="","",IF(AND($A2765=21,$AE2765&amp;""="00000000"),IF($AH2765=20,"病院",IF($AH2765=5,"消防","市長")),"対象外"))</f>
      </c>
    </row>
    <row r="2766">
      <c r="DB2766" s="2909">
        <f>IF($A2766="","",IF(AND($A2766=21,$AE2766&amp;""="00000000"),IF($AH2766=20,"病院",IF($AH2766=5,"消防","市長")),"対象外"))</f>
      </c>
    </row>
    <row r="2767">
      <c r="DB2767" s="2909">
        <f>IF($A2767="","",IF(AND($A2767=21,$AE2767&amp;""="00000000"),IF($AH2767=20,"病院",IF($AH2767=5,"消防","市長")),"対象外"))</f>
      </c>
    </row>
    <row r="2768">
      <c r="DB2768" s="2909">
        <f>IF($A2768="","",IF(AND($A2768=21,$AE2768&amp;""="00000000"),IF($AH2768=20,"病院",IF($AH2768=5,"消防","市長")),"対象外"))</f>
      </c>
    </row>
    <row r="2769">
      <c r="DB2769" s="2909">
        <f>IF($A2769="","",IF(AND($A2769=21,$AE2769&amp;""="00000000"),IF($AH2769=20,"病院",IF($AH2769=5,"消防","市長")),"対象外"))</f>
      </c>
    </row>
    <row r="2770">
      <c r="DB2770" s="2909">
        <f>IF($A2770="","",IF(AND($A2770=21,$AE2770&amp;""="00000000"),IF($AH2770=20,"病院",IF($AH2770=5,"消防","市長")),"対象外"))</f>
      </c>
    </row>
    <row r="2771">
      <c r="DB2771" s="2909">
        <f>IF($A2771="","",IF(AND($A2771=21,$AE2771&amp;""="00000000"),IF($AH2771=20,"病院",IF($AH2771=5,"消防","市長")),"対象外"))</f>
      </c>
    </row>
    <row r="2772">
      <c r="DB2772" s="2909">
        <f>IF($A2772="","",IF(AND($A2772=21,$AE2772&amp;""="00000000"),IF($AH2772=20,"病院",IF($AH2772=5,"消防","市長")),"対象外"))</f>
      </c>
    </row>
    <row r="2773">
      <c r="DB2773" s="2909">
        <f>IF($A2773="","",IF(AND($A2773=21,$AE2773&amp;""="00000000"),IF($AH2773=20,"病院",IF($AH2773=5,"消防","市長")),"対象外"))</f>
      </c>
    </row>
    <row r="2774">
      <c r="DB2774" s="2909">
        <f>IF($A2774="","",IF(AND($A2774=21,$AE2774&amp;""="00000000"),IF($AH2774=20,"病院",IF($AH2774=5,"消防","市長")),"対象外"))</f>
      </c>
    </row>
    <row r="2775">
      <c r="DB2775" s="2909">
        <f>IF($A2775="","",IF(AND($A2775=21,$AE2775&amp;""="00000000"),IF($AH2775=20,"病院",IF($AH2775=5,"消防","市長")),"対象外"))</f>
      </c>
    </row>
    <row r="2776">
      <c r="DB2776" s="2909">
        <f>IF($A2776="","",IF(AND($A2776=21,$AE2776&amp;""="00000000"),IF($AH2776=20,"病院",IF($AH2776=5,"消防","市長")),"対象外"))</f>
      </c>
    </row>
    <row r="2777">
      <c r="DB2777" s="2909">
        <f>IF($A2777="","",IF(AND($A2777=21,$AE2777&amp;""="00000000"),IF($AH2777=20,"病院",IF($AH2777=5,"消防","市長")),"対象外"))</f>
      </c>
    </row>
    <row r="2778">
      <c r="DB2778" s="2909">
        <f>IF($A2778="","",IF(AND($A2778=21,$AE2778&amp;""="00000000"),IF($AH2778=20,"病院",IF($AH2778=5,"消防","市長")),"対象外"))</f>
      </c>
    </row>
    <row r="2779">
      <c r="DB2779" s="2909">
        <f>IF($A2779="","",IF(AND($A2779=21,$AE2779&amp;""="00000000"),IF($AH2779=20,"病院",IF($AH2779=5,"消防","市長")),"対象外"))</f>
      </c>
    </row>
    <row r="2780">
      <c r="DB2780" s="2909">
        <f>IF($A2780="","",IF(AND($A2780=21,$AE2780&amp;""="00000000"),IF($AH2780=20,"病院",IF($AH2780=5,"消防","市長")),"対象外"))</f>
      </c>
    </row>
    <row r="2781">
      <c r="DB2781" s="2909">
        <f>IF($A2781="","",IF(AND($A2781=21,$AE2781&amp;""="00000000"),IF($AH2781=20,"病院",IF($AH2781=5,"消防","市長")),"対象外"))</f>
      </c>
    </row>
    <row r="2782">
      <c r="DB2782" s="2909">
        <f>IF($A2782="","",IF(AND($A2782=21,$AE2782&amp;""="00000000"),IF($AH2782=20,"病院",IF($AH2782=5,"消防","市長")),"対象外"))</f>
      </c>
    </row>
    <row r="2783">
      <c r="DB2783" s="2909">
        <f>IF($A2783="","",IF(AND($A2783=21,$AE2783&amp;""="00000000"),IF($AH2783=20,"病院",IF($AH2783=5,"消防","市長")),"対象外"))</f>
      </c>
    </row>
    <row r="2784">
      <c r="DB2784" s="2909">
        <f>IF($A2784="","",IF(AND($A2784=21,$AE2784&amp;""="00000000"),IF($AH2784=20,"病院",IF($AH2784=5,"消防","市長")),"対象外"))</f>
      </c>
    </row>
    <row r="2785">
      <c r="DB2785" s="2909">
        <f>IF($A2785="","",IF(AND($A2785=21,$AE2785&amp;""="00000000"),IF($AH2785=20,"病院",IF($AH2785=5,"消防","市長")),"対象外"))</f>
      </c>
    </row>
    <row r="2786">
      <c r="DB2786" s="2909">
        <f>IF($A2786="","",IF(AND($A2786=21,$AE2786&amp;""="00000000"),IF($AH2786=20,"病院",IF($AH2786=5,"消防","市長")),"対象外"))</f>
      </c>
    </row>
    <row r="2787">
      <c r="DB2787" s="2909">
        <f>IF($A2787="","",IF(AND($A2787=21,$AE2787&amp;""="00000000"),IF($AH2787=20,"病院",IF($AH2787=5,"消防","市長")),"対象外"))</f>
      </c>
    </row>
    <row r="2788">
      <c r="DB2788" s="2909">
        <f>IF($A2788="","",IF(AND($A2788=21,$AE2788&amp;""="00000000"),IF($AH2788=20,"病院",IF($AH2788=5,"消防","市長")),"対象外"))</f>
      </c>
    </row>
    <row r="2789">
      <c r="DB2789" s="2909">
        <f>IF($A2789="","",IF(AND($A2789=21,$AE2789&amp;""="00000000"),IF($AH2789=20,"病院",IF($AH2789=5,"消防","市長")),"対象外"))</f>
      </c>
    </row>
    <row r="2790">
      <c r="DB2790" s="2909">
        <f>IF($A2790="","",IF(AND($A2790=21,$AE2790&amp;""="00000000"),IF($AH2790=20,"病院",IF($AH2790=5,"消防","市長")),"対象外"))</f>
      </c>
    </row>
    <row r="2791">
      <c r="DB2791" s="2909">
        <f>IF($A2791="","",IF(AND($A2791=21,$AE2791&amp;""="00000000"),IF($AH2791=20,"病院",IF($AH2791=5,"消防","市長")),"対象外"))</f>
      </c>
    </row>
    <row r="2792">
      <c r="DB2792" s="2909">
        <f>IF($A2792="","",IF(AND($A2792=21,$AE2792&amp;""="00000000"),IF($AH2792=20,"病院",IF($AH2792=5,"消防","市長")),"対象外"))</f>
      </c>
    </row>
    <row r="2793">
      <c r="DB2793" s="2909">
        <f>IF($A2793="","",IF(AND($A2793=21,$AE2793&amp;""="00000000"),IF($AH2793=20,"病院",IF($AH2793=5,"消防","市長")),"対象外"))</f>
      </c>
    </row>
    <row r="2794">
      <c r="DB2794" s="2909">
        <f>IF($A2794="","",IF(AND($A2794=21,$AE2794&amp;""="00000000"),IF($AH2794=20,"病院",IF($AH2794=5,"消防","市長")),"対象外"))</f>
      </c>
    </row>
    <row r="2795">
      <c r="DB2795" s="2909">
        <f>IF($A2795="","",IF(AND($A2795=21,$AE2795&amp;""="00000000"),IF($AH2795=20,"病院",IF($AH2795=5,"消防","市長")),"対象外"))</f>
      </c>
    </row>
    <row r="2796">
      <c r="DB2796" s="2909">
        <f>IF($A2796="","",IF(AND($A2796=21,$AE2796&amp;""="00000000"),IF($AH2796=20,"病院",IF($AH2796=5,"消防","市長")),"対象外"))</f>
      </c>
    </row>
    <row r="2797">
      <c r="DB2797" s="2909">
        <f>IF($A2797="","",IF(AND($A2797=21,$AE2797&amp;""="00000000"),IF($AH2797=20,"病院",IF($AH2797=5,"消防","市長")),"対象外"))</f>
      </c>
    </row>
    <row r="2798">
      <c r="DB2798" s="2909">
        <f>IF($A2798="","",IF(AND($A2798=21,$AE2798&amp;""="00000000"),IF($AH2798=20,"病院",IF($AH2798=5,"消防","市長")),"対象外"))</f>
      </c>
    </row>
    <row r="2799">
      <c r="DB2799" s="2909">
        <f>IF($A2799="","",IF(AND($A2799=21,$AE2799&amp;""="00000000"),IF($AH2799=20,"病院",IF($AH2799=5,"消防","市長")),"対象外"))</f>
      </c>
    </row>
    <row r="2800">
      <c r="DB2800" s="2909">
        <f>IF($A2800="","",IF(AND($A2800=21,$AE2800&amp;""="00000000"),IF($AH2800=20,"病院",IF($AH2800=5,"消防","市長")),"対象外"))</f>
      </c>
    </row>
    <row r="2801">
      <c r="DB2801" s="2909">
        <f>IF($A2801="","",IF(AND($A2801=21,$AE2801&amp;""="00000000"),IF($AH2801=20,"病院",IF($AH2801=5,"消防","市長")),"対象外"))</f>
      </c>
    </row>
    <row r="2802">
      <c r="DB2802" s="2909">
        <f>IF($A2802="","",IF(AND($A2802=21,$AE2802&amp;""="00000000"),IF($AH2802=20,"病院",IF($AH2802=5,"消防","市長")),"対象外"))</f>
      </c>
    </row>
    <row r="2803">
      <c r="DB2803" s="2909">
        <f>IF($A2803="","",IF(AND($A2803=21,$AE2803&amp;""="00000000"),IF($AH2803=20,"病院",IF($AH2803=5,"消防","市長")),"対象外"))</f>
      </c>
    </row>
    <row r="2804">
      <c r="DB2804" s="2909">
        <f>IF($A2804="","",IF(AND($A2804=21,$AE2804&amp;""="00000000"),IF($AH2804=20,"病院",IF($AH2804=5,"消防","市長")),"対象外"))</f>
      </c>
    </row>
    <row r="2805">
      <c r="DB2805" s="2909">
        <f>IF($A2805="","",IF(AND($A2805=21,$AE2805&amp;""="00000000"),IF($AH2805=20,"病院",IF($AH2805=5,"消防","市長")),"対象外"))</f>
      </c>
    </row>
    <row r="2806">
      <c r="DB2806" s="2909">
        <f>IF($A2806="","",IF(AND($A2806=21,$AE2806&amp;""="00000000"),IF($AH2806=20,"病院",IF($AH2806=5,"消防","市長")),"対象外"))</f>
      </c>
    </row>
    <row r="2807">
      <c r="DB2807" s="2909">
        <f>IF($A2807="","",IF(AND($A2807=21,$AE2807&amp;""="00000000"),IF($AH2807=20,"病院",IF($AH2807=5,"消防","市長")),"対象外"))</f>
      </c>
    </row>
    <row r="2808">
      <c r="DB2808" s="2909">
        <f>IF($A2808="","",IF(AND($A2808=21,$AE2808&amp;""="00000000"),IF($AH2808=20,"病院",IF($AH2808=5,"消防","市長")),"対象外"))</f>
      </c>
    </row>
    <row r="2809">
      <c r="DB2809" s="2909">
        <f>IF($A2809="","",IF(AND($A2809=21,$AE2809&amp;""="00000000"),IF($AH2809=20,"病院",IF($AH2809=5,"消防","市長")),"対象外"))</f>
      </c>
    </row>
    <row r="2810">
      <c r="DB2810" s="2909">
        <f>IF($A2810="","",IF(AND($A2810=21,$AE2810&amp;""="00000000"),IF($AH2810=20,"病院",IF($AH2810=5,"消防","市長")),"対象外"))</f>
      </c>
    </row>
    <row r="2811">
      <c r="DB2811" s="2909">
        <f>IF($A2811="","",IF(AND($A2811=21,$AE2811&amp;""="00000000"),IF($AH2811=20,"病院",IF($AH2811=5,"消防","市長")),"対象外"))</f>
      </c>
    </row>
    <row r="2812">
      <c r="DB2812" s="2909">
        <f>IF($A2812="","",IF(AND($A2812=21,$AE2812&amp;""="00000000"),IF($AH2812=20,"病院",IF($AH2812=5,"消防","市長")),"対象外"))</f>
      </c>
    </row>
    <row r="2813">
      <c r="DB2813" s="2909">
        <f>IF($A2813="","",IF(AND($A2813=21,$AE2813&amp;""="00000000"),IF($AH2813=20,"病院",IF($AH2813=5,"消防","市長")),"対象外"))</f>
      </c>
    </row>
    <row r="2814">
      <c r="DB2814" s="2909">
        <f>IF($A2814="","",IF(AND($A2814=21,$AE2814&amp;""="00000000"),IF($AH2814=20,"病院",IF($AH2814=5,"消防","市長")),"対象外"))</f>
      </c>
    </row>
    <row r="2815">
      <c r="DB2815" s="2909">
        <f>IF($A2815="","",IF(AND($A2815=21,$AE2815&amp;""="00000000"),IF($AH2815=20,"病院",IF($AH2815=5,"消防","市長")),"対象外"))</f>
      </c>
    </row>
    <row r="2816">
      <c r="DB2816" s="2909">
        <f>IF($A2816="","",IF(AND($A2816=21,$AE2816&amp;""="00000000"),IF($AH2816=20,"病院",IF($AH2816=5,"消防","市長")),"対象外"))</f>
      </c>
    </row>
    <row r="2817">
      <c r="DB2817" s="2909">
        <f>IF($A2817="","",IF(AND($A2817=21,$AE2817&amp;""="00000000"),IF($AH2817=20,"病院",IF($AH2817=5,"消防","市長")),"対象外"))</f>
      </c>
    </row>
    <row r="2818">
      <c r="DB2818" s="2909">
        <f>IF($A2818="","",IF(AND($A2818=21,$AE2818&amp;""="00000000"),IF($AH2818=20,"病院",IF($AH2818=5,"消防","市長")),"対象外"))</f>
      </c>
    </row>
    <row r="2819">
      <c r="DB2819" s="2909">
        <f>IF($A2819="","",IF(AND($A2819=21,$AE2819&amp;""="00000000"),IF($AH2819=20,"病院",IF($AH2819=5,"消防","市長")),"対象外"))</f>
      </c>
    </row>
    <row r="2820">
      <c r="DB2820" s="2909">
        <f>IF($A2820="","",IF(AND($A2820=21,$AE2820&amp;""="00000000"),IF($AH2820=20,"病院",IF($AH2820=5,"消防","市長")),"対象外"))</f>
      </c>
    </row>
    <row r="2821">
      <c r="DB2821" s="2909">
        <f>IF($A2821="","",IF(AND($A2821=21,$AE2821&amp;""="00000000"),IF($AH2821=20,"病院",IF($AH2821=5,"消防","市長")),"対象外"))</f>
      </c>
    </row>
    <row r="2822">
      <c r="DB2822" s="2909">
        <f>IF($A2822="","",IF(AND($A2822=21,$AE2822&amp;""="00000000"),IF($AH2822=20,"病院",IF($AH2822=5,"消防","市長")),"対象外"))</f>
      </c>
    </row>
    <row r="2823">
      <c r="DB2823" s="2909">
        <f>IF($A2823="","",IF(AND($A2823=21,$AE2823&amp;""="00000000"),IF($AH2823=20,"病院",IF($AH2823=5,"消防","市長")),"対象外"))</f>
      </c>
    </row>
    <row r="2824">
      <c r="DB2824" s="2909">
        <f>IF($A2824="","",IF(AND($A2824=21,$AE2824&amp;""="00000000"),IF($AH2824=20,"病院",IF($AH2824=5,"消防","市長")),"対象外"))</f>
      </c>
    </row>
    <row r="2825">
      <c r="DB2825" s="2909">
        <f>IF($A2825="","",IF(AND($A2825=21,$AE2825&amp;""="00000000"),IF($AH2825=20,"病院",IF($AH2825=5,"消防","市長")),"対象外"))</f>
      </c>
    </row>
    <row r="2826">
      <c r="DB2826" s="2909">
        <f>IF($A2826="","",IF(AND($A2826=21,$AE2826&amp;""="00000000"),IF($AH2826=20,"病院",IF($AH2826=5,"消防","市長")),"対象外"))</f>
      </c>
    </row>
    <row r="2827">
      <c r="DB2827" s="2909">
        <f>IF($A2827="","",IF(AND($A2827=21,$AE2827&amp;""="00000000"),IF($AH2827=20,"病院",IF($AH2827=5,"消防","市長")),"対象外"))</f>
      </c>
    </row>
    <row r="2828">
      <c r="DB2828" s="2909">
        <f>IF($A2828="","",IF(AND($A2828=21,$AE2828&amp;""="00000000"),IF($AH2828=20,"病院",IF($AH2828=5,"消防","市長")),"対象外"))</f>
      </c>
    </row>
    <row r="2829">
      <c r="DB2829" s="2909">
        <f>IF($A2829="","",IF(AND($A2829=21,$AE2829&amp;""="00000000"),IF($AH2829=20,"病院",IF($AH2829=5,"消防","市長")),"対象外"))</f>
      </c>
    </row>
    <row r="2830">
      <c r="DB2830" s="2909">
        <f>IF($A2830="","",IF(AND($A2830=21,$AE2830&amp;""="00000000"),IF($AH2830=20,"病院",IF($AH2830=5,"消防","市長")),"対象外"))</f>
      </c>
    </row>
    <row r="2831">
      <c r="DB2831" s="2909">
        <f>IF($A2831="","",IF(AND($A2831=21,$AE2831&amp;""="00000000"),IF($AH2831=20,"病院",IF($AH2831=5,"消防","市長")),"対象外"))</f>
      </c>
    </row>
    <row r="2832">
      <c r="DB2832" s="2909">
        <f>IF($A2832="","",IF(AND($A2832=21,$AE2832&amp;""="00000000"),IF($AH2832=20,"病院",IF($AH2832=5,"消防","市長")),"対象外"))</f>
      </c>
    </row>
    <row r="2833">
      <c r="DB2833" s="2909">
        <f>IF($A2833="","",IF(AND($A2833=21,$AE2833&amp;""="00000000"),IF($AH2833=20,"病院",IF($AH2833=5,"消防","市長")),"対象外"))</f>
      </c>
    </row>
    <row r="2834">
      <c r="DB2834" s="2909">
        <f>IF($A2834="","",IF(AND($A2834=21,$AE2834&amp;""="00000000"),IF($AH2834=20,"病院",IF($AH2834=5,"消防","市長")),"対象外"))</f>
      </c>
    </row>
    <row r="2835">
      <c r="DB2835" s="2909">
        <f>IF($A2835="","",IF(AND($A2835=21,$AE2835&amp;""="00000000"),IF($AH2835=20,"病院",IF($AH2835=5,"消防","市長")),"対象外"))</f>
      </c>
    </row>
    <row r="2836">
      <c r="DB2836" s="2909">
        <f>IF($A2836="","",IF(AND($A2836=21,$AE2836&amp;""="00000000"),IF($AH2836=20,"病院",IF($AH2836=5,"消防","市長")),"対象外"))</f>
      </c>
    </row>
    <row r="2837">
      <c r="DB2837" s="2909">
        <f>IF($A2837="","",IF(AND($A2837=21,$AE2837&amp;""="00000000"),IF($AH2837=20,"病院",IF($AH2837=5,"消防","市長")),"対象外"))</f>
      </c>
    </row>
    <row r="2838">
      <c r="DB2838" s="2909">
        <f>IF($A2838="","",IF(AND($A2838=21,$AE2838&amp;""="00000000"),IF($AH2838=20,"病院",IF($AH2838=5,"消防","市長")),"対象外"))</f>
      </c>
    </row>
    <row r="2839">
      <c r="DB2839" s="2909">
        <f>IF($A2839="","",IF(AND($A2839=21,$AE2839&amp;""="00000000"),IF($AH2839=20,"病院",IF($AH2839=5,"消防","市長")),"対象外"))</f>
      </c>
    </row>
    <row r="2840">
      <c r="DB2840" s="2909">
        <f>IF($A2840="","",IF(AND($A2840=21,$AE2840&amp;""="00000000"),IF($AH2840=20,"病院",IF($AH2840=5,"消防","市長")),"対象外"))</f>
      </c>
    </row>
    <row r="2841">
      <c r="DB2841" s="2909">
        <f>IF($A2841="","",IF(AND($A2841=21,$AE2841&amp;""="00000000"),IF($AH2841=20,"病院",IF($AH2841=5,"消防","市長")),"対象外"))</f>
      </c>
    </row>
    <row r="2842">
      <c r="DB2842" s="2909">
        <f>IF($A2842="","",IF(AND($A2842=21,$AE2842&amp;""="00000000"),IF($AH2842=20,"病院",IF($AH2842=5,"消防","市長")),"対象外"))</f>
      </c>
    </row>
    <row r="2843">
      <c r="DB2843" s="2909">
        <f>IF($A2843="","",IF(AND($A2843=21,$AE2843&amp;""="00000000"),IF($AH2843=20,"病院",IF($AH2843=5,"消防","市長")),"対象外"))</f>
      </c>
    </row>
    <row r="2844">
      <c r="DB2844" s="2909">
        <f>IF($A2844="","",IF(AND($A2844=21,$AE2844&amp;""="00000000"),IF($AH2844=20,"病院",IF($AH2844=5,"消防","市長")),"対象外"))</f>
      </c>
    </row>
    <row r="2845">
      <c r="DB2845" s="2909">
        <f>IF($A2845="","",IF(AND($A2845=21,$AE2845&amp;""="00000000"),IF($AH2845=20,"病院",IF($AH2845=5,"消防","市長")),"対象外"))</f>
      </c>
    </row>
    <row r="2846">
      <c r="DB2846" s="2909">
        <f>IF($A2846="","",IF(AND($A2846=21,$AE2846&amp;""="00000000"),IF($AH2846=20,"病院",IF($AH2846=5,"消防","市長")),"対象外"))</f>
      </c>
    </row>
    <row r="2847">
      <c r="DB2847" s="2909">
        <f>IF($A2847="","",IF(AND($A2847=21,$AE2847&amp;""="00000000"),IF($AH2847=20,"病院",IF($AH2847=5,"消防","市長")),"対象外"))</f>
      </c>
    </row>
    <row r="2848">
      <c r="DB2848" s="2909">
        <f>IF($A2848="","",IF(AND($A2848=21,$AE2848&amp;""="00000000"),IF($AH2848=20,"病院",IF($AH2848=5,"消防","市長")),"対象外"))</f>
      </c>
    </row>
    <row r="2849">
      <c r="DB2849" s="2909">
        <f>IF($A2849="","",IF(AND($A2849=21,$AE2849&amp;""="00000000"),IF($AH2849=20,"病院",IF($AH2849=5,"消防","市長")),"対象外"))</f>
      </c>
    </row>
    <row r="2850">
      <c r="DB2850" s="2909">
        <f>IF($A2850="","",IF(AND($A2850=21,$AE2850&amp;""="00000000"),IF($AH2850=20,"病院",IF($AH2850=5,"消防","市長")),"対象外"))</f>
      </c>
    </row>
    <row r="2851">
      <c r="DB2851" s="2909">
        <f>IF($A2851="","",IF(AND($A2851=21,$AE2851&amp;""="00000000"),IF($AH2851=20,"病院",IF($AH2851=5,"消防","市長")),"対象外"))</f>
      </c>
    </row>
    <row r="2852">
      <c r="DB2852" s="2909">
        <f>IF($A2852="","",IF(AND($A2852=21,$AE2852&amp;""="00000000"),IF($AH2852=20,"病院",IF($AH2852=5,"消防","市長")),"対象外"))</f>
      </c>
    </row>
    <row r="2853">
      <c r="DB2853" s="2909">
        <f>IF($A2853="","",IF(AND($A2853=21,$AE2853&amp;""="00000000"),IF($AH2853=20,"病院",IF($AH2853=5,"消防","市長")),"対象外"))</f>
      </c>
    </row>
    <row r="2854">
      <c r="DB2854" s="2909">
        <f>IF($A2854="","",IF(AND($A2854=21,$AE2854&amp;""="00000000"),IF($AH2854=20,"病院",IF($AH2854=5,"消防","市長")),"対象外"))</f>
      </c>
    </row>
    <row r="2855">
      <c r="DB2855" s="2909">
        <f>IF($A2855="","",IF(AND($A2855=21,$AE2855&amp;""="00000000"),IF($AH2855=20,"病院",IF($AH2855=5,"消防","市長")),"対象外"))</f>
      </c>
    </row>
    <row r="2856">
      <c r="DB2856" s="2909">
        <f>IF($A2856="","",IF(AND($A2856=21,$AE2856&amp;""="00000000"),IF($AH2856=20,"病院",IF($AH2856=5,"消防","市長")),"対象外"))</f>
      </c>
    </row>
    <row r="2857">
      <c r="DB2857" s="2909">
        <f>IF($A2857="","",IF(AND($A2857=21,$AE2857&amp;""="00000000"),IF($AH2857=20,"病院",IF($AH2857=5,"消防","市長")),"対象外"))</f>
      </c>
    </row>
    <row r="2858">
      <c r="DB2858" s="2909">
        <f>IF($A2858="","",IF(AND($A2858=21,$AE2858&amp;""="00000000"),IF($AH2858=20,"病院",IF($AH2858=5,"消防","市長")),"対象外"))</f>
      </c>
    </row>
    <row r="2859">
      <c r="DB2859" s="2909">
        <f>IF($A2859="","",IF(AND($A2859=21,$AE2859&amp;""="00000000"),IF($AH2859=20,"病院",IF($AH2859=5,"消防","市長")),"対象外"))</f>
      </c>
    </row>
    <row r="2860">
      <c r="DB2860" s="2909">
        <f>IF($A2860="","",IF(AND($A2860=21,$AE2860&amp;""="00000000"),IF($AH2860=20,"病院",IF($AH2860=5,"消防","市長")),"対象外"))</f>
      </c>
    </row>
    <row r="2861">
      <c r="DB2861" s="2909">
        <f>IF($A2861="","",IF(AND($A2861=21,$AE2861&amp;""="00000000"),IF($AH2861=20,"病院",IF($AH2861=5,"消防","市長")),"対象外"))</f>
      </c>
    </row>
    <row r="2862">
      <c r="DB2862" s="2909">
        <f>IF($A2862="","",IF(AND($A2862=21,$AE2862&amp;""="00000000"),IF($AH2862=20,"病院",IF($AH2862=5,"消防","市長")),"対象外"))</f>
      </c>
    </row>
    <row r="2863">
      <c r="DB2863" s="2909">
        <f>IF($A2863="","",IF(AND($A2863=21,$AE2863&amp;""="00000000"),IF($AH2863=20,"病院",IF($AH2863=5,"消防","市長")),"対象外"))</f>
      </c>
    </row>
    <row r="2864">
      <c r="DB2864" s="2909">
        <f>IF($A2864="","",IF(AND($A2864=21,$AE2864&amp;""="00000000"),IF($AH2864=20,"病院",IF($AH2864=5,"消防","市長")),"対象外"))</f>
      </c>
    </row>
    <row r="2865">
      <c r="DB2865" s="2909">
        <f>IF($A2865="","",IF(AND($A2865=21,$AE2865&amp;""="00000000"),IF($AH2865=20,"病院",IF($AH2865=5,"消防","市長")),"対象外"))</f>
      </c>
    </row>
    <row r="2866">
      <c r="DB2866" s="2909">
        <f>IF($A2866="","",IF(AND($A2866=21,$AE2866&amp;""="00000000"),IF($AH2866=20,"病院",IF($AH2866=5,"消防","市長")),"対象外"))</f>
      </c>
    </row>
    <row r="2867">
      <c r="DB2867" s="2909">
        <f>IF($A2867="","",IF(AND($A2867=21,$AE2867&amp;""="00000000"),IF($AH2867=20,"病院",IF($AH2867=5,"消防","市長")),"対象外"))</f>
      </c>
    </row>
    <row r="2868">
      <c r="DB2868" s="2909">
        <f>IF($A2868="","",IF(AND($A2868=21,$AE2868&amp;""="00000000"),IF($AH2868=20,"病院",IF($AH2868=5,"消防","市長")),"対象外"))</f>
      </c>
    </row>
    <row r="2869">
      <c r="DB2869" s="2909">
        <f>IF($A2869="","",IF(AND($A2869=21,$AE2869&amp;""="00000000"),IF($AH2869=20,"病院",IF($AH2869=5,"消防","市長")),"対象外"))</f>
      </c>
    </row>
    <row r="2870">
      <c r="DB2870" s="2909">
        <f>IF($A2870="","",IF(AND($A2870=21,$AE2870&amp;""="00000000"),IF($AH2870=20,"病院",IF($AH2870=5,"消防","市長")),"対象外"))</f>
      </c>
    </row>
    <row r="2871">
      <c r="DB2871" s="2909">
        <f>IF($A2871="","",IF(AND($A2871=21,$AE2871&amp;""="00000000"),IF($AH2871=20,"病院",IF($AH2871=5,"消防","市長")),"対象外"))</f>
      </c>
    </row>
    <row r="2872">
      <c r="DB2872" s="2909">
        <f>IF($A2872="","",IF(AND($A2872=21,$AE2872&amp;""="00000000"),IF($AH2872=20,"病院",IF($AH2872=5,"消防","市長")),"対象外"))</f>
      </c>
    </row>
    <row r="2873">
      <c r="DB2873" s="2909">
        <f>IF($A2873="","",IF(AND($A2873=21,$AE2873&amp;""="00000000"),IF($AH2873=20,"病院",IF($AH2873=5,"消防","市長")),"対象外"))</f>
      </c>
    </row>
    <row r="2874">
      <c r="DB2874" s="2909">
        <f>IF($A2874="","",IF(AND($A2874=21,$AE2874&amp;""="00000000"),IF($AH2874=20,"病院",IF($AH2874=5,"消防","市長")),"対象外"))</f>
      </c>
    </row>
    <row r="2875">
      <c r="DB2875" s="2909">
        <f>IF($A2875="","",IF(AND($A2875=21,$AE2875&amp;""="00000000"),IF($AH2875=20,"病院",IF($AH2875=5,"消防","市長")),"対象外"))</f>
      </c>
    </row>
    <row r="2876">
      <c r="DB2876" s="2909">
        <f>IF($A2876="","",IF(AND($A2876=21,$AE2876&amp;""="00000000"),IF($AH2876=20,"病院",IF($AH2876=5,"消防","市長")),"対象外"))</f>
      </c>
    </row>
    <row r="2877">
      <c r="DB2877" s="2909">
        <f>IF($A2877="","",IF(AND($A2877=21,$AE2877&amp;""="00000000"),IF($AH2877=20,"病院",IF($AH2877=5,"消防","市長")),"対象外"))</f>
      </c>
    </row>
    <row r="2878">
      <c r="DB2878" s="2909">
        <f>IF($A2878="","",IF(AND($A2878=21,$AE2878&amp;""="00000000"),IF($AH2878=20,"病院",IF($AH2878=5,"消防","市長")),"対象外"))</f>
      </c>
    </row>
    <row r="2879">
      <c r="DB2879" s="2909">
        <f>IF($A2879="","",IF(AND($A2879=21,$AE2879&amp;""="00000000"),IF($AH2879=20,"病院",IF($AH2879=5,"消防","市長")),"対象外"))</f>
      </c>
    </row>
    <row r="2880">
      <c r="DB2880" s="2909">
        <f>IF($A2880="","",IF(AND($A2880=21,$AE2880&amp;""="00000000"),IF($AH2880=20,"病院",IF($AH2880=5,"消防","市長")),"対象外"))</f>
      </c>
    </row>
    <row r="2881">
      <c r="DB2881" s="2909">
        <f>IF($A2881="","",IF(AND($A2881=21,$AE2881&amp;""="00000000"),IF($AH2881=20,"病院",IF($AH2881=5,"消防","市長")),"対象外"))</f>
      </c>
    </row>
    <row r="2882">
      <c r="DB2882" s="2909">
        <f>IF($A2882="","",IF(AND($A2882=21,$AE2882&amp;""="00000000"),IF($AH2882=20,"病院",IF($AH2882=5,"消防","市長")),"対象外"))</f>
      </c>
    </row>
    <row r="2883">
      <c r="DB2883" s="2909">
        <f>IF($A2883="","",IF(AND($A2883=21,$AE2883&amp;""="00000000"),IF($AH2883=20,"病院",IF($AH2883=5,"消防","市長")),"対象外"))</f>
      </c>
    </row>
    <row r="2884">
      <c r="DB2884" s="2909">
        <f>IF($A2884="","",IF(AND($A2884=21,$AE2884&amp;""="00000000"),IF($AH2884=20,"病院",IF($AH2884=5,"消防","市長")),"対象外"))</f>
      </c>
    </row>
    <row r="2885">
      <c r="DB2885" s="2909">
        <f>IF($A2885="","",IF(AND($A2885=21,$AE2885&amp;""="00000000"),IF($AH2885=20,"病院",IF($AH2885=5,"消防","市長")),"対象外"))</f>
      </c>
    </row>
    <row r="2886">
      <c r="DB2886" s="2909">
        <f>IF($A2886="","",IF(AND($A2886=21,$AE2886&amp;""="00000000"),IF($AH2886=20,"病院",IF($AH2886=5,"消防","市長")),"対象外"))</f>
      </c>
    </row>
    <row r="2887">
      <c r="DB2887" s="2909">
        <f>IF($A2887="","",IF(AND($A2887=21,$AE2887&amp;""="00000000"),IF($AH2887=20,"病院",IF($AH2887=5,"消防","市長")),"対象外"))</f>
      </c>
    </row>
    <row r="2888">
      <c r="DB2888" s="2909">
        <f>IF($A2888="","",IF(AND($A2888=21,$AE2888&amp;""="00000000"),IF($AH2888=20,"病院",IF($AH2888=5,"消防","市長")),"対象外"))</f>
      </c>
    </row>
    <row r="2889">
      <c r="DB2889" s="2909">
        <f>IF($A2889="","",IF(AND($A2889=21,$AE2889&amp;""="00000000"),IF($AH2889=20,"病院",IF($AH2889=5,"消防","市長")),"対象外"))</f>
      </c>
    </row>
    <row r="2890">
      <c r="DB2890" s="2909">
        <f>IF($A2890="","",IF(AND($A2890=21,$AE2890&amp;""="00000000"),IF($AH2890=20,"病院",IF($AH2890=5,"消防","市長")),"対象外"))</f>
      </c>
    </row>
    <row r="2891">
      <c r="DB2891" s="2909">
        <f>IF($A2891="","",IF(AND($A2891=21,$AE2891&amp;""="00000000"),IF($AH2891=20,"病院",IF($AH2891=5,"消防","市長")),"対象外"))</f>
      </c>
    </row>
    <row r="2892">
      <c r="DB2892" s="2909">
        <f>IF($A2892="","",IF(AND($A2892=21,$AE2892&amp;""="00000000"),IF($AH2892=20,"病院",IF($AH2892=5,"消防","市長")),"対象外"))</f>
      </c>
    </row>
    <row r="2893">
      <c r="DB2893" s="2909">
        <f>IF($A2893="","",IF(AND($A2893=21,$AE2893&amp;""="00000000"),IF($AH2893=20,"病院",IF($AH2893=5,"消防","市長")),"対象外"))</f>
      </c>
    </row>
    <row r="2894">
      <c r="DB2894" s="2909">
        <f>IF($A2894="","",IF(AND($A2894=21,$AE2894&amp;""="00000000"),IF($AH2894=20,"病院",IF($AH2894=5,"消防","市長")),"対象外"))</f>
      </c>
    </row>
    <row r="2895">
      <c r="DB2895" s="2909">
        <f>IF($A2895="","",IF(AND($A2895=21,$AE2895&amp;""="00000000"),IF($AH2895=20,"病院",IF($AH2895=5,"消防","市長")),"対象外"))</f>
      </c>
    </row>
    <row r="2896">
      <c r="DB2896" s="2909">
        <f>IF($A2896="","",IF(AND($A2896=21,$AE2896&amp;""="00000000"),IF($AH2896=20,"病院",IF($AH2896=5,"消防","市長")),"対象外"))</f>
      </c>
    </row>
    <row r="2897">
      <c r="DB2897" s="2909">
        <f>IF($A2897="","",IF(AND($A2897=21,$AE2897&amp;""="00000000"),IF($AH2897=20,"病院",IF($AH2897=5,"消防","市長")),"対象外"))</f>
      </c>
    </row>
    <row r="2898">
      <c r="DB2898" s="2909">
        <f>IF($A2898="","",IF(AND($A2898=21,$AE2898&amp;""="00000000"),IF($AH2898=20,"病院",IF($AH2898=5,"消防","市長")),"対象外"))</f>
      </c>
    </row>
    <row r="2899">
      <c r="DB2899" s="2909">
        <f>IF($A2899="","",IF(AND($A2899=21,$AE2899&amp;""="00000000"),IF($AH2899=20,"病院",IF($AH2899=5,"消防","市長")),"対象外"))</f>
      </c>
    </row>
    <row r="2900">
      <c r="DB2900" s="2909">
        <f>IF($A2900="","",IF(AND($A2900=21,$AE2900&amp;""="00000000"),IF($AH2900=20,"病院",IF($AH2900=5,"消防","市長")),"対象外"))</f>
      </c>
    </row>
    <row r="2901">
      <c r="DB2901" s="2909">
        <f>IF($A2901="","",IF(AND($A2901=21,$AE2901&amp;""="00000000"),IF($AH2901=20,"病院",IF($AH2901=5,"消防","市長")),"対象外"))</f>
      </c>
    </row>
    <row r="2902">
      <c r="DB2902" s="2909">
        <f>IF($A2902="","",IF(AND($A2902=21,$AE2902&amp;""="00000000"),IF($AH2902=20,"病院",IF($AH2902=5,"消防","市長")),"対象外"))</f>
      </c>
    </row>
    <row r="2903">
      <c r="DB2903" s="2909">
        <f>IF($A2903="","",IF(AND($A2903=21,$AE2903&amp;""="00000000"),IF($AH2903=20,"病院",IF($AH2903=5,"消防","市長")),"対象外"))</f>
      </c>
    </row>
    <row r="2904">
      <c r="DB2904" s="2909">
        <f>IF($A2904="","",IF(AND($A2904=21,$AE2904&amp;""="00000000"),IF($AH2904=20,"病院",IF($AH2904=5,"消防","市長")),"対象外"))</f>
      </c>
    </row>
    <row r="2905">
      <c r="DB2905" s="2909">
        <f>IF($A2905="","",IF(AND($A2905=21,$AE2905&amp;""="00000000"),IF($AH2905=20,"病院",IF($AH2905=5,"消防","市長")),"対象外"))</f>
      </c>
    </row>
    <row r="2906">
      <c r="DB2906" s="2909">
        <f>IF($A2906="","",IF(AND($A2906=21,$AE2906&amp;""="00000000"),IF($AH2906=20,"病院",IF($AH2906=5,"消防","市長")),"対象外"))</f>
      </c>
    </row>
    <row r="2907">
      <c r="DB2907" s="2909">
        <f>IF($A2907="","",IF(AND($A2907=21,$AE2907&amp;""="00000000"),IF($AH2907=20,"病院",IF($AH2907=5,"消防","市長")),"対象外"))</f>
      </c>
    </row>
    <row r="2908">
      <c r="DB2908" s="2909">
        <f>IF($A2908="","",IF(AND($A2908=21,$AE2908&amp;""="00000000"),IF($AH2908=20,"病院",IF($AH2908=5,"消防","市長")),"対象外"))</f>
      </c>
    </row>
    <row r="2909">
      <c r="DB2909" s="2909">
        <f>IF($A2909="","",IF(AND($A2909=21,$AE2909&amp;""="00000000"),IF($AH2909=20,"病院",IF($AH2909=5,"消防","市長")),"対象外"))</f>
      </c>
    </row>
    <row r="2910">
      <c r="DB2910" s="2909">
        <f>IF($A2910="","",IF(AND($A2910=21,$AE2910&amp;""="00000000"),IF($AH2910=20,"病院",IF($AH2910=5,"消防","市長")),"対象外"))</f>
      </c>
    </row>
    <row r="2911">
      <c r="DB2911" s="2909">
        <f>IF($A2911="","",IF(AND($A2911=21,$AE2911&amp;""="00000000"),IF($AH2911=20,"病院",IF($AH2911=5,"消防","市長")),"対象外"))</f>
      </c>
    </row>
    <row r="2912">
      <c r="DB2912" s="2909">
        <f>IF($A2912="","",IF(AND($A2912=21,$AE2912&amp;""="00000000"),IF($AH2912=20,"病院",IF($AH2912=5,"消防","市長")),"対象外"))</f>
      </c>
    </row>
    <row r="2913">
      <c r="DB2913" s="2909">
        <f>IF($A2913="","",IF(AND($A2913=21,$AE2913&amp;""="00000000"),IF($AH2913=20,"病院",IF($AH2913=5,"消防","市長")),"対象外"))</f>
      </c>
    </row>
    <row r="2914">
      <c r="DB2914" s="2909">
        <f>IF($A2914="","",IF(AND($A2914=21,$AE2914&amp;""="00000000"),IF($AH2914=20,"病院",IF($AH2914=5,"消防","市長")),"対象外"))</f>
      </c>
    </row>
    <row r="2915">
      <c r="DB2915" s="2909">
        <f>IF($A2915="","",IF(AND($A2915=21,$AE2915&amp;""="00000000"),IF($AH2915=20,"病院",IF($AH2915=5,"消防","市長")),"対象外"))</f>
      </c>
    </row>
    <row r="2916">
      <c r="DB2916" s="2909">
        <f>IF($A2916="","",IF(AND($A2916=21,$AE2916&amp;""="00000000"),IF($AH2916=20,"病院",IF($AH2916=5,"消防","市長")),"対象外"))</f>
      </c>
    </row>
    <row r="2917">
      <c r="DB2917" s="2909">
        <f>IF($A2917="","",IF(AND($A2917=21,$AE2917&amp;""="00000000"),IF($AH2917=20,"病院",IF($AH2917=5,"消防","市長")),"対象外"))</f>
      </c>
    </row>
    <row r="2918">
      <c r="DB2918" s="2909">
        <f>IF($A2918="","",IF(AND($A2918=21,$AE2918&amp;""="00000000"),IF($AH2918=20,"病院",IF($AH2918=5,"消防","市長")),"対象外"))</f>
      </c>
    </row>
    <row r="2919">
      <c r="DB2919" s="2909">
        <f>IF($A2919="","",IF(AND($A2919=21,$AE2919&amp;""="00000000"),IF($AH2919=20,"病院",IF($AH2919=5,"消防","市長")),"対象外"))</f>
      </c>
    </row>
    <row r="2920">
      <c r="DB2920" s="2909">
        <f>IF($A2920="","",IF(AND($A2920=21,$AE2920&amp;""="00000000"),IF($AH2920=20,"病院",IF($AH2920=5,"消防","市長")),"対象外"))</f>
      </c>
    </row>
    <row r="2921">
      <c r="DB2921" s="2909">
        <f>IF($A2921="","",IF(AND($A2921=21,$AE2921&amp;""="00000000"),IF($AH2921=20,"病院",IF($AH2921=5,"消防","市長")),"対象外"))</f>
      </c>
    </row>
    <row r="2922">
      <c r="DB2922" s="2909">
        <f>IF($A2922="","",IF(AND($A2922=21,$AE2922&amp;""="00000000"),IF($AH2922=20,"病院",IF($AH2922=5,"消防","市長")),"対象外"))</f>
      </c>
    </row>
    <row r="2923">
      <c r="DB2923" s="2909">
        <f>IF($A2923="","",IF(AND($A2923=21,$AE2923&amp;""="00000000"),IF($AH2923=20,"病院",IF($AH2923=5,"消防","市長")),"対象外"))</f>
      </c>
    </row>
    <row r="2924">
      <c r="DB2924" s="2909">
        <f>IF($A2924="","",IF(AND($A2924=21,$AE2924&amp;""="00000000"),IF($AH2924=20,"病院",IF($AH2924=5,"消防","市長")),"対象外"))</f>
      </c>
    </row>
    <row r="2925">
      <c r="DB2925" s="2909">
        <f>IF($A2925="","",IF(AND($A2925=21,$AE2925&amp;""="00000000"),IF($AH2925=20,"病院",IF($AH2925=5,"消防","市長")),"対象外"))</f>
      </c>
    </row>
    <row r="2926">
      <c r="DB2926" s="2909">
        <f>IF($A2926="","",IF(AND($A2926=21,$AE2926&amp;""="00000000"),IF($AH2926=20,"病院",IF($AH2926=5,"消防","市長")),"対象外"))</f>
      </c>
    </row>
    <row r="2927">
      <c r="DB2927" s="2909">
        <f>IF($A2927="","",IF(AND($A2927=21,$AE2927&amp;""="00000000"),IF($AH2927=20,"病院",IF($AH2927=5,"消防","市長")),"対象外"))</f>
      </c>
    </row>
    <row r="2928">
      <c r="DB2928" s="2909">
        <f>IF($A2928="","",IF(AND($A2928=21,$AE2928&amp;""="00000000"),IF($AH2928=20,"病院",IF($AH2928=5,"消防","市長")),"対象外"))</f>
      </c>
    </row>
    <row r="2929">
      <c r="DB2929" s="2909">
        <f>IF($A2929="","",IF(AND($A2929=21,$AE2929&amp;""="00000000"),IF($AH2929=20,"病院",IF($AH2929=5,"消防","市長")),"対象外"))</f>
      </c>
    </row>
    <row r="2930">
      <c r="DB2930" s="2909">
        <f>IF($A2930="","",IF(AND($A2930=21,$AE2930&amp;""="00000000"),IF($AH2930=20,"病院",IF($AH2930=5,"消防","市長")),"対象外"))</f>
      </c>
    </row>
    <row r="2931">
      <c r="DB2931" s="2909">
        <f>IF($A2931="","",IF(AND($A2931=21,$AE2931&amp;""="00000000"),IF($AH2931=20,"病院",IF($AH2931=5,"消防","市長")),"対象外"))</f>
      </c>
    </row>
    <row r="2932">
      <c r="DB2932" s="2909">
        <f>IF($A2932="","",IF(AND($A2932=21,$AE2932&amp;""="00000000"),IF($AH2932=20,"病院",IF($AH2932=5,"消防","市長")),"対象外"))</f>
      </c>
    </row>
    <row r="2933">
      <c r="DB2933" s="2909">
        <f>IF($A2933="","",IF(AND($A2933=21,$AE2933&amp;""="00000000"),IF($AH2933=20,"病院",IF($AH2933=5,"消防","市長")),"対象外"))</f>
      </c>
    </row>
    <row r="2934">
      <c r="DB2934" s="2909">
        <f>IF($A2934="","",IF(AND($A2934=21,$AE2934&amp;""="00000000"),IF($AH2934=20,"病院",IF($AH2934=5,"消防","市長")),"対象外"))</f>
      </c>
    </row>
    <row r="2935">
      <c r="DB2935" s="2909">
        <f>IF($A2935="","",IF(AND($A2935=21,$AE2935&amp;""="00000000"),IF($AH2935=20,"病院",IF($AH2935=5,"消防","市長")),"対象外"))</f>
      </c>
    </row>
    <row r="2936">
      <c r="DB2936" s="2909">
        <f>IF($A2936="","",IF(AND($A2936=21,$AE2936&amp;""="00000000"),IF($AH2936=20,"病院",IF($AH2936=5,"消防","市長")),"対象外"))</f>
      </c>
    </row>
    <row r="2937">
      <c r="DB2937" s="2909">
        <f>IF($A2937="","",IF(AND($A2937=21,$AE2937&amp;""="00000000"),IF($AH2937=20,"病院",IF($AH2937=5,"消防","市長")),"対象外"))</f>
      </c>
    </row>
    <row r="2938">
      <c r="DB2938" s="2909">
        <f>IF($A2938="","",IF(AND($A2938=21,$AE2938&amp;""="00000000"),IF($AH2938=20,"病院",IF($AH2938=5,"消防","市長")),"対象外"))</f>
      </c>
    </row>
    <row r="2939">
      <c r="DB2939" s="2909">
        <f>IF($A2939="","",IF(AND($A2939=21,$AE2939&amp;""="00000000"),IF($AH2939=20,"病院",IF($AH2939=5,"消防","市長")),"対象外"))</f>
      </c>
    </row>
    <row r="2940">
      <c r="DB2940" s="2909">
        <f>IF($A2940="","",IF(AND($A2940=21,$AE2940&amp;""="00000000"),IF($AH2940=20,"病院",IF($AH2940=5,"消防","市長")),"対象外"))</f>
      </c>
    </row>
    <row r="2941">
      <c r="DB2941" s="2909">
        <f>IF($A2941="","",IF(AND($A2941=21,$AE2941&amp;""="00000000"),IF($AH2941=20,"病院",IF($AH2941=5,"消防","市長")),"対象外"))</f>
      </c>
    </row>
    <row r="2942">
      <c r="DB2942" s="2909">
        <f>IF($A2942="","",IF(AND($A2942=21,$AE2942&amp;""="00000000"),IF($AH2942=20,"病院",IF($AH2942=5,"消防","市長")),"対象外"))</f>
      </c>
    </row>
    <row r="2943">
      <c r="DB2943" s="2909">
        <f>IF($A2943="","",IF(AND($A2943=21,$AE2943&amp;""="00000000"),IF($AH2943=20,"病院",IF($AH2943=5,"消防","市長")),"対象外"))</f>
      </c>
    </row>
    <row r="2944">
      <c r="DB2944" s="2909">
        <f>IF($A2944="","",IF(AND($A2944=21,$AE2944&amp;""="00000000"),IF($AH2944=20,"病院",IF($AH2944=5,"消防","市長")),"対象外"))</f>
      </c>
    </row>
    <row r="2945">
      <c r="DB2945" s="2909">
        <f>IF($A2945="","",IF(AND($A2945=21,$AE2945&amp;""="00000000"),IF($AH2945=20,"病院",IF($AH2945=5,"消防","市長")),"対象外"))</f>
      </c>
    </row>
    <row r="2946">
      <c r="DB2946" s="2909">
        <f>IF($A2946="","",IF(AND($A2946=21,$AE2946&amp;""="00000000"),IF($AH2946=20,"病院",IF($AH2946=5,"消防","市長")),"対象外"))</f>
      </c>
    </row>
    <row r="2947">
      <c r="DB2947" s="2909">
        <f>IF($A2947="","",IF(AND($A2947=21,$AE2947&amp;""="00000000"),IF($AH2947=20,"病院",IF($AH2947=5,"消防","市長")),"対象外"))</f>
      </c>
    </row>
    <row r="2948">
      <c r="DB2948" s="2909">
        <f>IF($A2948="","",IF(AND($A2948=21,$AE2948&amp;""="00000000"),IF($AH2948=20,"病院",IF($AH2948=5,"消防","市長")),"対象外"))</f>
      </c>
    </row>
    <row r="2949">
      <c r="DB2949" s="2909">
        <f>IF($A2949="","",IF(AND($A2949=21,$AE2949&amp;""="00000000"),IF($AH2949=20,"病院",IF($AH2949=5,"消防","市長")),"対象外"))</f>
      </c>
    </row>
    <row r="2950">
      <c r="DB2950" s="2909">
        <f>IF($A2950="","",IF(AND($A2950=21,$AE2950&amp;""="00000000"),IF($AH2950=20,"病院",IF($AH2950=5,"消防","市長")),"対象外"))</f>
      </c>
    </row>
    <row r="2951">
      <c r="DB2951" s="2909">
        <f>IF($A2951="","",IF(AND($A2951=21,$AE2951&amp;""="00000000"),IF($AH2951=20,"病院",IF($AH2951=5,"消防","市長")),"対象外"))</f>
      </c>
    </row>
    <row r="2952">
      <c r="DB2952" s="2909">
        <f>IF($A2952="","",IF(AND($A2952=21,$AE2952&amp;""="00000000"),IF($AH2952=20,"病院",IF($AH2952=5,"消防","市長")),"対象外"))</f>
      </c>
    </row>
    <row r="2953">
      <c r="DB2953" s="2909">
        <f>IF($A2953="","",IF(AND($A2953=21,$AE2953&amp;""="00000000"),IF($AH2953=20,"病院",IF($AH2953=5,"消防","市長")),"対象外"))</f>
      </c>
    </row>
    <row r="2954">
      <c r="DB2954" s="2909">
        <f>IF($A2954="","",IF(AND($A2954=21,$AE2954&amp;""="00000000"),IF($AH2954=20,"病院",IF($AH2954=5,"消防","市長")),"対象外"))</f>
      </c>
    </row>
    <row r="2955">
      <c r="DB2955" s="2909">
        <f>IF($A2955="","",IF(AND($A2955=21,$AE2955&amp;""="00000000"),IF($AH2955=20,"病院",IF($AH2955=5,"消防","市長")),"対象外"))</f>
      </c>
    </row>
    <row r="2956">
      <c r="DB2956" s="2909">
        <f>IF($A2956="","",IF(AND($A2956=21,$AE2956&amp;""="00000000"),IF($AH2956=20,"病院",IF($AH2956=5,"消防","市長")),"対象外"))</f>
      </c>
    </row>
    <row r="2957">
      <c r="DB2957" s="2909">
        <f>IF($A2957="","",IF(AND($A2957=21,$AE2957&amp;""="00000000"),IF($AH2957=20,"病院",IF($AH2957=5,"消防","市長")),"対象外"))</f>
      </c>
    </row>
    <row r="2958">
      <c r="DB2958" s="2909">
        <f>IF($A2958="","",IF(AND($A2958=21,$AE2958&amp;""="00000000"),IF($AH2958=20,"病院",IF($AH2958=5,"消防","市長")),"対象外"))</f>
      </c>
    </row>
    <row r="2959">
      <c r="DB2959" s="2909">
        <f>IF($A2959="","",IF(AND($A2959=21,$AE2959&amp;""="00000000"),IF($AH2959=20,"病院",IF($AH2959=5,"消防","市長")),"対象外"))</f>
      </c>
    </row>
    <row r="2960">
      <c r="DB2960" s="2909">
        <f>IF($A2960="","",IF(AND($A2960=21,$AE2960&amp;""="00000000"),IF($AH2960=20,"病院",IF($AH2960=5,"消防","市長")),"対象外"))</f>
      </c>
    </row>
    <row r="2961">
      <c r="DB2961" s="2909">
        <f>IF($A2961="","",IF(AND($A2961=21,$AE2961&amp;""="00000000"),IF($AH2961=20,"病院",IF($AH2961=5,"消防","市長")),"対象外"))</f>
      </c>
    </row>
    <row r="2962">
      <c r="DB2962" s="2909">
        <f>IF($A2962="","",IF(AND($A2962=21,$AE2962&amp;""="00000000"),IF($AH2962=20,"病院",IF($AH2962=5,"消防","市長")),"対象外"))</f>
      </c>
    </row>
    <row r="2963">
      <c r="DB2963" s="2909">
        <f>IF($A2963="","",IF(AND($A2963=21,$AE2963&amp;""="00000000"),IF($AH2963=20,"病院",IF($AH2963=5,"消防","市長")),"対象外"))</f>
      </c>
    </row>
    <row r="2964">
      <c r="DB2964" s="2909">
        <f>IF($A2964="","",IF(AND($A2964=21,$AE2964&amp;""="00000000"),IF($AH2964=20,"病院",IF($AH2964=5,"消防","市長")),"対象外"))</f>
      </c>
    </row>
    <row r="2965">
      <c r="DB2965" s="2909">
        <f>IF($A2965="","",IF(AND($A2965=21,$AE2965&amp;""="00000000"),IF($AH2965=20,"病院",IF($AH2965=5,"消防","市長")),"対象外"))</f>
      </c>
    </row>
    <row r="2966">
      <c r="DB2966" s="2909">
        <f>IF($A2966="","",IF(AND($A2966=21,$AE2966&amp;""="00000000"),IF($AH2966=20,"病院",IF($AH2966=5,"消防","市長")),"対象外"))</f>
      </c>
    </row>
    <row r="2967">
      <c r="DB2967" s="2909">
        <f>IF($A2967="","",IF(AND($A2967=21,$AE2967&amp;""="00000000"),IF($AH2967=20,"病院",IF($AH2967=5,"消防","市長")),"対象外"))</f>
      </c>
    </row>
    <row r="2968">
      <c r="DB2968" s="2909">
        <f>IF($A2968="","",IF(AND($A2968=21,$AE2968&amp;""="00000000"),IF($AH2968=20,"病院",IF($AH2968=5,"消防","市長")),"対象外"))</f>
      </c>
    </row>
    <row r="2969">
      <c r="DB2969" s="2909">
        <f>IF($A2969="","",IF(AND($A2969=21,$AE2969&amp;""="00000000"),IF($AH2969=20,"病院",IF($AH2969=5,"消防","市長")),"対象外"))</f>
      </c>
    </row>
    <row r="2970">
      <c r="DB2970" s="2909">
        <f>IF($A2970="","",IF(AND($A2970=21,$AE2970&amp;""="00000000"),IF($AH2970=20,"病院",IF($AH2970=5,"消防","市長")),"対象外"))</f>
      </c>
    </row>
    <row r="2971">
      <c r="DB2971" s="2909">
        <f>IF($A2971="","",IF(AND($A2971=21,$AE2971&amp;""="00000000"),IF($AH2971=20,"病院",IF($AH2971=5,"消防","市長")),"対象外"))</f>
      </c>
    </row>
    <row r="2972">
      <c r="DB2972" s="2909">
        <f>IF($A2972="","",IF(AND($A2972=21,$AE2972&amp;""="00000000"),IF($AH2972=20,"病院",IF($AH2972=5,"消防","市長")),"対象外"))</f>
      </c>
    </row>
    <row r="2973">
      <c r="DB2973" s="2909">
        <f>IF($A2973="","",IF(AND($A2973=21,$AE2973&amp;""="00000000"),IF($AH2973=20,"病院",IF($AH2973=5,"消防","市長")),"対象外"))</f>
      </c>
    </row>
    <row r="2974">
      <c r="DB2974" s="2909">
        <f>IF($A2974="","",IF(AND($A2974=21,$AE2974&amp;""="00000000"),IF($AH2974=20,"病院",IF($AH2974=5,"消防","市長")),"対象外"))</f>
      </c>
    </row>
    <row r="2975">
      <c r="DB2975" s="2909">
        <f>IF($A2975="","",IF(AND($A2975=21,$AE2975&amp;""="00000000"),IF($AH2975=20,"病院",IF($AH2975=5,"消防","市長")),"対象外"))</f>
      </c>
    </row>
    <row r="2976">
      <c r="DB2976" s="2909">
        <f>IF($A2976="","",IF(AND($A2976=21,$AE2976&amp;""="00000000"),IF($AH2976=20,"病院",IF($AH2976=5,"消防","市長")),"対象外"))</f>
      </c>
    </row>
    <row r="2977">
      <c r="DB2977" s="2909">
        <f>IF($A2977="","",IF(AND($A2977=21,$AE2977&amp;""="00000000"),IF($AH2977=20,"病院",IF($AH2977=5,"消防","市長")),"対象外"))</f>
      </c>
    </row>
    <row r="2978">
      <c r="DB2978" s="2909">
        <f>IF($A2978="","",IF(AND($A2978=21,$AE2978&amp;""="00000000"),IF($AH2978=20,"病院",IF($AH2978=5,"消防","市長")),"対象外"))</f>
      </c>
    </row>
    <row r="2979">
      <c r="DB2979" s="2909">
        <f>IF($A2979="","",IF(AND($A2979=21,$AE2979&amp;""="00000000"),IF($AH2979=20,"病院",IF($AH2979=5,"消防","市長")),"対象外"))</f>
      </c>
    </row>
    <row r="2980">
      <c r="DB2980" s="2909">
        <f>IF($A2980="","",IF(AND($A2980=21,$AE2980&amp;""="00000000"),IF($AH2980=20,"病院",IF($AH2980=5,"消防","市長")),"対象外"))</f>
      </c>
    </row>
    <row r="2981">
      <c r="DB2981" s="2909">
        <f>IF($A2981="","",IF(AND($A2981=21,$AE2981&amp;""="00000000"),IF($AH2981=20,"病院",IF($AH2981=5,"消防","市長")),"対象外"))</f>
      </c>
    </row>
    <row r="2982">
      <c r="DB2982" s="2909">
        <f>IF($A2982="","",IF(AND($A2982=21,$AE2982&amp;""="00000000"),IF($AH2982=20,"病院",IF($AH2982=5,"消防","市長")),"対象外"))</f>
      </c>
    </row>
    <row r="2983">
      <c r="DB2983" s="2909">
        <f>IF($A2983="","",IF(AND($A2983=21,$AE2983&amp;""="00000000"),IF($AH2983=20,"病院",IF($AH2983=5,"消防","市長")),"対象外"))</f>
      </c>
    </row>
    <row r="2984">
      <c r="DB2984" s="2909">
        <f>IF($A2984="","",IF(AND($A2984=21,$AE2984&amp;""="00000000"),IF($AH2984=20,"病院",IF($AH2984=5,"消防","市長")),"対象外"))</f>
      </c>
    </row>
    <row r="2985">
      <c r="DB2985" s="2909">
        <f>IF($A2985="","",IF(AND($A2985=21,$AE2985&amp;""="00000000"),IF($AH2985=20,"病院",IF($AH2985=5,"消防","市長")),"対象外"))</f>
      </c>
    </row>
    <row r="2986">
      <c r="DB2986" s="2909">
        <f>IF($A2986="","",IF(AND($A2986=21,$AE2986&amp;""="00000000"),IF($AH2986=20,"病院",IF($AH2986=5,"消防","市長")),"対象外"))</f>
      </c>
    </row>
    <row r="2987">
      <c r="DB2987" s="2909">
        <f>IF($A2987="","",IF(AND($A2987=21,$AE2987&amp;""="00000000"),IF($AH2987=20,"病院",IF($AH2987=5,"消防","市長")),"対象外"))</f>
      </c>
    </row>
    <row r="2988">
      <c r="DB2988" s="2909">
        <f>IF($A2988="","",IF(AND($A2988=21,$AE2988&amp;""="00000000"),IF($AH2988=20,"病院",IF($AH2988=5,"消防","市長")),"対象外"))</f>
      </c>
    </row>
    <row r="2989">
      <c r="DB2989" s="2909">
        <f>IF($A2989="","",IF(AND($A2989=21,$AE2989&amp;""="00000000"),IF($AH2989=20,"病院",IF($AH2989=5,"消防","市長")),"対象外"))</f>
      </c>
    </row>
    <row r="2990">
      <c r="DB2990" s="2909">
        <f>IF($A2990="","",IF(AND($A2990=21,$AE2990&amp;""="00000000"),IF($AH2990=20,"病院",IF($AH2990=5,"消防","市長")),"対象外"))</f>
      </c>
    </row>
    <row r="2991">
      <c r="DB2991" s="2909">
        <f>IF($A2991="","",IF(AND($A2991=21,$AE2991&amp;""="00000000"),IF($AH2991=20,"病院",IF($AH2991=5,"消防","市長")),"対象外"))</f>
      </c>
    </row>
    <row r="2992">
      <c r="DB2992" s="2909">
        <f>IF($A2992="","",IF(AND($A2992=21,$AE2992&amp;""="00000000"),IF($AH2992=20,"病院",IF($AH2992=5,"消防","市長")),"対象外"))</f>
      </c>
    </row>
    <row r="2993">
      <c r="DB2993" s="2909">
        <f>IF($A2993="","",IF(AND($A2993=21,$AE2993&amp;""="00000000"),IF($AH2993=20,"病院",IF($AH2993=5,"消防","市長")),"対象外"))</f>
      </c>
    </row>
    <row r="2994">
      <c r="DB2994" s="2909">
        <f>IF($A2994="","",IF(AND($A2994=21,$AE2994&amp;""="00000000"),IF($AH2994=20,"病院",IF($AH2994=5,"消防","市長")),"対象外"))</f>
      </c>
    </row>
    <row r="2995">
      <c r="DB2995" s="2909">
        <f>IF($A2995="","",IF(AND($A2995=21,$AE2995&amp;""="00000000"),IF($AH2995=20,"病院",IF($AH2995=5,"消防","市長")),"対象外"))</f>
      </c>
    </row>
    <row r="2996">
      <c r="DB2996" s="2909">
        <f>IF($A2996="","",IF(AND($A2996=21,$AE2996&amp;""="00000000"),IF($AH2996=20,"病院",IF($AH2996=5,"消防","市長")),"対象外"))</f>
      </c>
    </row>
    <row r="2997">
      <c r="DB2997" s="2909">
        <f>IF($A2997="","",IF(AND($A2997=21,$AE2997&amp;""="00000000"),IF($AH2997=20,"病院",IF($AH2997=5,"消防","市長")),"対象外"))</f>
      </c>
    </row>
    <row r="2998">
      <c r="DB2998" s="2909">
        <f>IF($A2998="","",IF(AND($A2998=21,$AE2998&amp;""="00000000"),IF($AH2998=20,"病院",IF($AH2998=5,"消防","市長")),"対象外"))</f>
      </c>
    </row>
    <row r="2999">
      <c r="DB2999" s="2909">
        <f>IF($A2999="","",IF(AND($A2999=21,$AE2999&amp;""="00000000"),IF($AH2999=20,"病院",IF($AH2999=5,"消防","市長")),"対象外"))</f>
      </c>
    </row>
    <row r="3000">
      <c r="DB3000" s="2909">
        <f>IF($A3000="","",IF(AND($A3000=21,$AE3000&amp;""="00000000"),IF($AH3000=20,"病院",IF($AH3000=5,"消防","市長")),"対象外"))</f>
      </c>
    </row>
    <row r="3001">
      <c r="DB3001" s="2909">
        <f>IF($A3001="","",IF(AND($A3001=21,$AE3001&amp;""="00000000"),IF($AH3001=20,"病院",IF($AH3001=5,"消防","市長")),"対象外"))</f>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21</v>
      </c>
      <c r="AB2" t="inlineStr" s="2909">
        <is>
          <t>20240401</t>
        </is>
      </c>
      <c r="AD2" t="n" s="2909">
        <v>0</v>
      </c>
      <c r="AE2" t="inlineStr" s="2909">
        <is>
          <t>00000000</t>
        </is>
      </c>
      <c r="AH2" t="n" s="2909">
        <v>20</v>
      </c>
      <c r="AJ2" t="n" s="2909">
        <v>10</v>
      </c>
      <c r="AP2" t="n" s="2909">
        <v>980000</v>
      </c>
      <c r="DB2" s="2909" t="str">
        <f>IF($A2="","",IF($A2&lt;&gt;21,"対象外",IF($AE2&amp;""="00000000","在職",IF($AE2&amp;""='DB_設定'!$C$4,"4/1喪失","その他喪失"))))</f>
        <v>在職</v>
      </c>
    </row>
    <row r="3">
      <c r="A3" t="n" s="2909">
        <v>21</v>
      </c>
      <c r="AA3" t="n" s="2909">
        <v>21</v>
      </c>
      <c r="AB3" t="inlineStr" s="2909">
        <is>
          <t>19850320</t>
        </is>
      </c>
      <c r="AD3" t="n" s="2909">
        <v>0</v>
      </c>
      <c r="AE3" t="inlineStr" s="2909">
        <is>
          <t>00000000</t>
        </is>
      </c>
      <c r="AH3" t="n" s="2909">
        <v>5</v>
      </c>
      <c r="AJ3" t="n" s="2909">
        <v>30</v>
      </c>
      <c r="AP3" t="n" s="2909">
        <v>360000</v>
      </c>
      <c r="DB3" s="2909" t="str">
        <f>IF($A3="","",IF($A3&lt;&gt;21,"対象外",IF($AE3&amp;""="00000000","在職",IF($AE3&amp;""='DB_設定'!$C$4,"4/1喪失","その他喪失"))))</f>
        <v>在職</v>
      </c>
    </row>
    <row r="4">
      <c r="A4" t="n" s="2909">
        <v>21</v>
      </c>
      <c r="AA4" t="n" s="2909">
        <v>21</v>
      </c>
      <c r="AB4" t="inlineStr" s="2909">
        <is>
          <t>19870401</t>
        </is>
      </c>
      <c r="AD4" t="n" s="2909">
        <v>0</v>
      </c>
      <c r="AE4" t="inlineStr" s="2909">
        <is>
          <t>00000000</t>
        </is>
      </c>
      <c r="AH4" t="n" s="2909">
        <v>1</v>
      </c>
      <c r="AJ4" t="n" s="2909">
        <v>10</v>
      </c>
      <c r="AP4" t="n" s="2909">
        <v>380000</v>
      </c>
      <c r="DB4" s="2909" t="str">
        <f>IF($A4="","",IF($A4&lt;&gt;21,"対象外",IF($AE4&amp;""="00000000","在職",IF($AE4&amp;""='DB_設定'!$C$4,"4/1喪失","その他喪失"))))</f>
        <v>在職</v>
      </c>
    </row>
    <row r="5">
      <c r="A5" t="n" s="2909">
        <v>21</v>
      </c>
      <c r="AA5" t="n" s="2909">
        <v>21</v>
      </c>
      <c r="AB5" t="inlineStr" s="2909">
        <is>
          <t>19880401</t>
        </is>
      </c>
      <c r="AD5" t="n" s="2909">
        <v>0</v>
      </c>
      <c r="AE5" t="inlineStr" s="2909">
        <is>
          <t>00000000</t>
        </is>
      </c>
      <c r="AH5" t="n" s="2909">
        <v>37</v>
      </c>
      <c r="AJ5" t="n" s="2909">
        <v>74</v>
      </c>
      <c r="AP5" t="n" s="2909">
        <v>380000</v>
      </c>
      <c r="DB5" s="2909" t="str">
        <f>IF($A5="","",IF($A5&lt;&gt;21,"対象外",IF($AE5&amp;""="00000000","在職",IF($AE5&amp;""='DB_設定'!$C$4,"4/1喪失","その他喪失"))))</f>
        <v>在職</v>
      </c>
    </row>
    <row r="6">
      <c r="A6" t="n" s="2909">
        <v>21</v>
      </c>
      <c r="AA6" t="n" s="2909">
        <v>21</v>
      </c>
      <c r="AB6" t="inlineStr" s="2909">
        <is>
          <t>19890401</t>
        </is>
      </c>
      <c r="AD6" t="n" s="2909">
        <v>0</v>
      </c>
      <c r="AE6" t="inlineStr" s="2909">
        <is>
          <t>00000000</t>
        </is>
      </c>
      <c r="AH6" t="n" s="2909">
        <v>1</v>
      </c>
      <c r="AJ6" t="n" s="2909">
        <v>10</v>
      </c>
      <c r="AP6" t="n" s="2909">
        <v>380000</v>
      </c>
      <c r="DB6" s="2909" t="str">
        <f>IF($A6="","",IF($A6&lt;&gt;21,"対象外",IF($AE6&amp;""="00000000","在職",IF($AE6&amp;""='DB_設定'!$C$4,"4/1喪失","その他喪失"))))</f>
        <v>在職</v>
      </c>
    </row>
    <row r="7">
      <c r="A7" t="n" s="2909">
        <v>21</v>
      </c>
      <c r="AA7" t="n" s="2909">
        <v>21</v>
      </c>
      <c r="AB7" t="inlineStr" s="2909">
        <is>
          <t>20050425</t>
        </is>
      </c>
      <c r="AD7" t="n" s="2909">
        <v>0</v>
      </c>
      <c r="AE7" t="inlineStr" s="2909">
        <is>
          <t>00000000</t>
        </is>
      </c>
      <c r="AH7" t="n" s="2909">
        <v>1</v>
      </c>
      <c r="AJ7" t="n" s="2909">
        <v>10</v>
      </c>
      <c r="AP7" t="n" s="2909">
        <v>380000</v>
      </c>
      <c r="DB7" s="2909" t="str">
        <f>IF($A7="","",IF($A7&lt;&gt;21,"対象外",IF($AE7&amp;""="00000000","在職",IF($AE7&amp;""='DB_設定'!$C$4,"4/1喪失","その他喪失"))))</f>
        <v>在職</v>
      </c>
    </row>
    <row r="8">
      <c r="A8" t="n" s="2909">
        <v>21</v>
      </c>
      <c r="AA8" t="n" s="2909">
        <v>21</v>
      </c>
      <c r="AB8" t="inlineStr" s="2909">
        <is>
          <t>19950401</t>
        </is>
      </c>
      <c r="AD8" t="n" s="2909">
        <v>0</v>
      </c>
      <c r="AE8" t="inlineStr" s="2909">
        <is>
          <t>00000000</t>
        </is>
      </c>
      <c r="AH8" t="n" s="2909">
        <v>11</v>
      </c>
      <c r="AJ8" t="n" s="2909">
        <v>10</v>
      </c>
      <c r="AP8" t="n" s="2909">
        <v>320000</v>
      </c>
      <c r="DB8" s="2909" t="str">
        <f>IF($A8="","",IF($A8&lt;&gt;21,"対象外",IF($AE8&amp;""="00000000","在職",IF($AE8&amp;""='DB_設定'!$C$4,"4/1喪失","その他喪失"))))</f>
        <v>在職</v>
      </c>
    </row>
    <row r="9">
      <c r="A9" t="n" s="2909">
        <v>31</v>
      </c>
      <c r="AA9" t="n" s="2909">
        <v>21</v>
      </c>
      <c r="AB9" t="inlineStr" s="2909">
        <is>
          <t>20250401</t>
        </is>
      </c>
      <c r="AD9" t="n" s="2909">
        <v>0</v>
      </c>
      <c r="AE9" t="inlineStr" s="2909">
        <is>
          <t>00000000</t>
        </is>
      </c>
      <c r="AH9" t="n" s="2909">
        <v>1</v>
      </c>
      <c r="AJ9" t="n" s="2909">
        <v>41</v>
      </c>
      <c r="AP9" t="n" s="2909">
        <v>220000</v>
      </c>
      <c r="DB9" s="2909" t="str">
        <f>IF($A9="","",IF($A9&lt;&gt;21,"対象外",IF($AE9&amp;""="00000000","在職",IF($AE9&amp;""='DB_設定'!$C$4,"4/1喪失","その他喪失"))))</f>
        <v>対象外</v>
      </c>
    </row>
    <row r="10">
      <c r="A10" t="n" s="2909">
        <v>21</v>
      </c>
      <c r="AA10" t="n" s="2909">
        <v>21</v>
      </c>
      <c r="AB10" t="inlineStr" s="2909">
        <is>
          <t>19881110</t>
        </is>
      </c>
      <c r="AD10" t="n" s="2909">
        <v>0</v>
      </c>
      <c r="AE10" t="inlineStr" s="2909">
        <is>
          <t>00000000</t>
        </is>
      </c>
      <c r="AH10" t="n" s="2909">
        <v>5</v>
      </c>
      <c r="AJ10" t="n" s="2909">
        <v>30</v>
      </c>
      <c r="AP10" t="n" s="2909">
        <v>380000</v>
      </c>
      <c r="DB10" s="2909" t="str">
        <f>IF($A10="","",IF($A10&lt;&gt;21,"対象外",IF($AE10&amp;""="00000000","在職",IF($AE10&amp;""='DB_設定'!$C$4,"4/1喪失","その他喪失"))))</f>
        <v>在職</v>
      </c>
    </row>
    <row r="11">
      <c r="A11" t="n" s="2909">
        <v>21</v>
      </c>
      <c r="AA11" t="n" s="2909">
        <v>21</v>
      </c>
      <c r="AB11" t="inlineStr" s="2909">
        <is>
          <t>20000401</t>
        </is>
      </c>
      <c r="AD11" t="n" s="2909">
        <v>0</v>
      </c>
      <c r="AE11" t="inlineStr" s="2909">
        <is>
          <t>00000000</t>
        </is>
      </c>
      <c r="AH11" t="n" s="2909">
        <v>20</v>
      </c>
      <c r="AJ11" t="n" s="2909">
        <v>10</v>
      </c>
      <c r="AP11" t="n" s="2909">
        <v>1210000</v>
      </c>
      <c r="DB11" s="2909" t="str">
        <f>IF($A11="","",IF($A11&lt;&gt;21,"対象外",IF($AE11&amp;""="00000000","在職",IF($AE11&amp;""='DB_設定'!$C$4,"4/1喪失","その他喪失"))))</f>
        <v>在職</v>
      </c>
    </row>
    <row r="12">
      <c r="A12" t="n" s="2909">
        <v>21</v>
      </c>
      <c r="AA12" t="n" s="2909">
        <v>21</v>
      </c>
      <c r="AB12" t="inlineStr" s="2909">
        <is>
          <t>19880401</t>
        </is>
      </c>
      <c r="AD12" t="n" s="2909">
        <v>0</v>
      </c>
      <c r="AE12" t="inlineStr" s="2909">
        <is>
          <t>00000000</t>
        </is>
      </c>
      <c r="AH12" t="n" s="2909">
        <v>1</v>
      </c>
      <c r="AJ12" t="n" s="2909">
        <v>10</v>
      </c>
      <c r="AP12" t="n" s="2909">
        <v>360000</v>
      </c>
      <c r="DB12" s="2909" t="str">
        <f>IF($A12="","",IF($A12&lt;&gt;21,"対象外",IF($AE12&amp;""="00000000","在職",IF($AE12&amp;""='DB_設定'!$C$4,"4/1喪失","その他喪失"))))</f>
        <v>在職</v>
      </c>
    </row>
    <row r="13">
      <c r="A13" t="n" s="2909">
        <v>21</v>
      </c>
      <c r="AA13" t="n" s="2909">
        <v>21</v>
      </c>
      <c r="AB13" t="inlineStr" s="2909">
        <is>
          <t>20070401</t>
        </is>
      </c>
      <c r="AD13" t="n" s="2909">
        <v>0</v>
      </c>
      <c r="AE13" t="inlineStr" s="2909">
        <is>
          <t>00000000</t>
        </is>
      </c>
      <c r="AH13" t="n" s="2909">
        <v>5</v>
      </c>
      <c r="AJ13" t="n" s="2909">
        <v>30</v>
      </c>
      <c r="AP13" t="n" s="2909">
        <v>360000</v>
      </c>
      <c r="DB13" s="2909" t="str">
        <f>IF($A13="","",IF($A13&lt;&gt;21,"対象外",IF($AE13&amp;""="00000000","在職",IF($AE13&amp;""='DB_設定'!$C$4,"4/1喪失","その他喪失"))))</f>
        <v>在職</v>
      </c>
    </row>
    <row r="14">
      <c r="A14" t="n" s="2909">
        <v>21</v>
      </c>
      <c r="AA14" t="n" s="2909">
        <v>21</v>
      </c>
      <c r="AB14" t="inlineStr" s="2909">
        <is>
          <t>19940401</t>
        </is>
      </c>
      <c r="AD14" t="n" s="2909">
        <v>0</v>
      </c>
      <c r="AE14" t="inlineStr" s="2909">
        <is>
          <t>00000000</t>
        </is>
      </c>
      <c r="AH14" t="n" s="2909">
        <v>11</v>
      </c>
      <c r="AJ14" t="n" s="2909">
        <v>10</v>
      </c>
      <c r="AP14" t="n" s="2909">
        <v>320000</v>
      </c>
      <c r="DB14" s="2909" t="str">
        <f>IF($A14="","",IF($A14&lt;&gt;21,"対象外",IF($AE14&amp;""="00000000","在職",IF($AE14&amp;""='DB_設定'!$C$4,"4/1喪失","その他喪失"))))</f>
        <v>在職</v>
      </c>
    </row>
    <row r="15">
      <c r="A15" t="n" s="2909">
        <v>21</v>
      </c>
      <c r="AA15" t="n" s="2909">
        <v>21</v>
      </c>
      <c r="AB15" t="inlineStr" s="2909">
        <is>
          <t>19830401</t>
        </is>
      </c>
      <c r="AD15" t="n" s="2909">
        <v>0</v>
      </c>
      <c r="AE15" t="inlineStr" s="2909">
        <is>
          <t>00000000</t>
        </is>
      </c>
      <c r="AH15" t="n" s="2909">
        <v>1</v>
      </c>
      <c r="AJ15" t="n" s="2909">
        <v>10</v>
      </c>
      <c r="AP15" t="n" s="2909">
        <v>410000</v>
      </c>
      <c r="DB15" s="2909" t="str">
        <f>IF($A15="","",IF($A15&lt;&gt;21,"対象外",IF($AE15&amp;""="00000000","在職",IF($AE15&amp;""='DB_設定'!$C$4,"4/1喪失","その他喪失"))))</f>
        <v>在職</v>
      </c>
    </row>
    <row r="16">
      <c r="A16" t="n" s="2909">
        <v>215</v>
      </c>
      <c r="AA16" t="n" s="2909">
        <v>21</v>
      </c>
      <c r="AB16" t="inlineStr" s="2909">
        <is>
          <t>20250401</t>
        </is>
      </c>
      <c r="AD16" t="n" s="2909">
        <v>0</v>
      </c>
      <c r="AE16" t="inlineStr" s="2909">
        <is>
          <t>00000000</t>
        </is>
      </c>
      <c r="AH16" t="n" s="2909">
        <v>20</v>
      </c>
      <c r="AJ16" t="n" s="2909">
        <v>10</v>
      </c>
      <c r="AP16" t="n" s="2909">
        <v>380000</v>
      </c>
      <c r="DB16" s="2909" t="str">
        <f>IF($A16="","",IF($A16&lt;&gt;21,"対象外",IF($AE16&amp;""="00000000","在職",IF($AE16&amp;""='DB_設定'!$C$4,"4/1喪失","その他喪失"))))</f>
        <v>対象外</v>
      </c>
    </row>
    <row r="17">
      <c r="A17" t="n" s="2909">
        <v>31</v>
      </c>
      <c r="AA17" t="n" s="2909">
        <v>21</v>
      </c>
      <c r="AB17" t="inlineStr" s="2909">
        <is>
          <t>20250401</t>
        </is>
      </c>
      <c r="AD17" t="n" s="2909">
        <v>0</v>
      </c>
      <c r="AE17" t="inlineStr" s="2909">
        <is>
          <t>00000000</t>
        </is>
      </c>
      <c r="AH17" t="n" s="2909">
        <v>1</v>
      </c>
      <c r="AJ17" t="n" s="2909">
        <v>41</v>
      </c>
      <c r="AP17" t="n" s="2909">
        <v>240000</v>
      </c>
      <c r="DB17" s="2909" t="str">
        <f>IF($A17="","",IF($A17&lt;&gt;21,"対象外",IF($AE17&amp;""="00000000","在職",IF($AE17&amp;""='DB_設定'!$C$4,"4/1喪失","その他喪失"))))</f>
        <v>対象外</v>
      </c>
    </row>
    <row r="18">
      <c r="A18" t="n" s="2909">
        <v>21</v>
      </c>
      <c r="AA18" t="n" s="2909">
        <v>21</v>
      </c>
      <c r="AB18" t="inlineStr" s="2909">
        <is>
          <t>19830401</t>
        </is>
      </c>
      <c r="AD18" t="n" s="2909">
        <v>0</v>
      </c>
      <c r="AE18" t="inlineStr" s="2909">
        <is>
          <t>00000000</t>
        </is>
      </c>
      <c r="AH18" t="n" s="2909">
        <v>15</v>
      </c>
      <c r="AJ18" t="n" s="2909">
        <v>10</v>
      </c>
      <c r="AP18" t="n" s="2909">
        <v>410000</v>
      </c>
      <c r="DB18" s="2909" t="str">
        <f>IF($A18="","",IF($A18&lt;&gt;21,"対象外",IF($AE18&amp;""="00000000","在職",IF($AE18&amp;""='DB_設定'!$C$4,"4/1喪失","その他喪失"))))</f>
        <v>在職</v>
      </c>
    </row>
    <row r="19">
      <c r="A19" t="n" s="2909">
        <v>21</v>
      </c>
      <c r="AA19" t="n" s="2909">
        <v>21</v>
      </c>
      <c r="AB19" t="inlineStr" s="2909">
        <is>
          <t>19970401</t>
        </is>
      </c>
      <c r="AD19" t="n" s="2909">
        <v>0</v>
      </c>
      <c r="AE19" t="inlineStr" s="2909">
        <is>
          <t>00000000</t>
        </is>
      </c>
      <c r="AH19" t="n" s="2909">
        <v>3</v>
      </c>
      <c r="AJ19" t="n" s="2909">
        <v>10</v>
      </c>
      <c r="AP19" t="n" s="2909">
        <v>380000</v>
      </c>
      <c r="DB19" s="2909" t="str">
        <f>IF($A19="","",IF($A19&lt;&gt;21,"対象外",IF($AE19&amp;""="00000000","在職",IF($AE19&amp;""='DB_設定'!$C$4,"4/1喪失","その他喪失"))))</f>
        <v>在職</v>
      </c>
    </row>
    <row r="20">
      <c r="A20" t="n" s="2909">
        <v>31</v>
      </c>
      <c r="AA20" t="n" s="2909">
        <v>21</v>
      </c>
      <c r="AB20" t="inlineStr" s="2909">
        <is>
          <t>20250401</t>
        </is>
      </c>
      <c r="AD20" t="n" s="2909">
        <v>0</v>
      </c>
      <c r="AE20" t="inlineStr" s="2909">
        <is>
          <t>00000000</t>
        </is>
      </c>
      <c r="AH20" t="n" s="2909">
        <v>11</v>
      </c>
      <c r="AJ20" t="n" s="2909">
        <v>41</v>
      </c>
      <c r="AP20" t="n" s="2909">
        <v>240000</v>
      </c>
      <c r="DB20" s="2909" t="str">
        <f>IF($A20="","",IF($A20&lt;&gt;21,"対象外",IF($AE20&amp;""="00000000","在職",IF($AE20&amp;""='DB_設定'!$C$4,"4/1喪失","その他喪失"))))</f>
        <v>対象外</v>
      </c>
    </row>
    <row r="21">
      <c r="A21" t="n" s="2909">
        <v>21</v>
      </c>
      <c r="AA21" t="n" s="2909">
        <v>21</v>
      </c>
      <c r="AB21" t="inlineStr" s="2909">
        <is>
          <t>19880401</t>
        </is>
      </c>
      <c r="AD21" t="n" s="2909">
        <v>0</v>
      </c>
      <c r="AE21" t="inlineStr" s="2909">
        <is>
          <t>00000000</t>
        </is>
      </c>
      <c r="AH21" t="n" s="2909">
        <v>1</v>
      </c>
      <c r="AJ21" t="n" s="2909">
        <v>10</v>
      </c>
      <c r="AP21" t="n" s="2909">
        <v>340000</v>
      </c>
      <c r="DB21" s="2909" t="str">
        <f>IF($A21="","",IF($A21&lt;&gt;21,"対象外",IF($AE21&amp;""="00000000","在職",IF($AE21&amp;""='DB_設定'!$C$4,"4/1喪失","その他喪失"))))</f>
        <v>在職</v>
      </c>
    </row>
    <row r="22">
      <c r="A22" t="n" s="2909">
        <v>21</v>
      </c>
      <c r="AA22" t="n" s="2909">
        <v>21</v>
      </c>
      <c r="AB22" t="inlineStr" s="2909">
        <is>
          <t>19880401</t>
        </is>
      </c>
      <c r="AD22" t="n" s="2909">
        <v>0</v>
      </c>
      <c r="AE22" t="inlineStr" s="2909">
        <is>
          <t>00000000</t>
        </is>
      </c>
      <c r="AH22" t="n" s="2909">
        <v>1</v>
      </c>
      <c r="AJ22" t="n" s="2909">
        <v>10</v>
      </c>
      <c r="AP22" t="n" s="2909">
        <v>340000</v>
      </c>
      <c r="DB22" s="2909" t="str">
        <f>IF($A22="","",IF($A22&lt;&gt;21,"対象外",IF($AE22&amp;""="00000000","在職",IF($AE22&amp;""='DB_設定'!$C$4,"4/1喪失","その他喪失"))))</f>
        <v>在職</v>
      </c>
    </row>
    <row r="23">
      <c r="A23" t="n" s="2909">
        <v>21</v>
      </c>
      <c r="AA23" t="n" s="2909">
        <v>21</v>
      </c>
      <c r="AB23" t="inlineStr" s="2909">
        <is>
          <t>19980401</t>
        </is>
      </c>
      <c r="AD23" t="n" s="2909">
        <v>0</v>
      </c>
      <c r="AE23" t="inlineStr" s="2909">
        <is>
          <t>00000000</t>
        </is>
      </c>
      <c r="AH23" t="n" s="2909">
        <v>1</v>
      </c>
      <c r="AJ23" t="n" s="2909">
        <v>10</v>
      </c>
      <c r="AP23" t="n" s="2909">
        <v>360000</v>
      </c>
      <c r="DB23" s="2909" t="str">
        <f>IF($A23="","",IF($A23&lt;&gt;21,"対象外",IF($AE23&amp;""="00000000","在職",IF($AE23&amp;""='DB_設定'!$C$4,"4/1喪失","その他喪失"))))</f>
        <v>在職</v>
      </c>
    </row>
    <row r="24">
      <c r="A24" t="n" s="2909">
        <v>21</v>
      </c>
      <c r="AA24" t="n" s="2909">
        <v>21</v>
      </c>
      <c r="AB24" t="inlineStr" s="2909">
        <is>
          <t>20070401</t>
        </is>
      </c>
      <c r="AD24" t="n" s="2909">
        <v>0</v>
      </c>
      <c r="AE24" t="inlineStr" s="2909">
        <is>
          <t>00000000</t>
        </is>
      </c>
      <c r="AH24" t="n" s="2909">
        <v>5</v>
      </c>
      <c r="AJ24" t="n" s="2909">
        <v>30</v>
      </c>
      <c r="AP24" t="n" s="2909">
        <v>380000</v>
      </c>
      <c r="DB24" s="2909" t="str">
        <f>IF($A24="","",IF($A24&lt;&gt;21,"対象外",IF($AE24&amp;""="00000000","在職",IF($AE24&amp;""='DB_設定'!$C$4,"4/1喪失","その他喪失"))))</f>
        <v>在職</v>
      </c>
    </row>
    <row r="25">
      <c r="A25" t="n" s="2909">
        <v>31</v>
      </c>
      <c r="AA25" t="n" s="2909">
        <v>21</v>
      </c>
      <c r="AB25" t="inlineStr" s="2909">
        <is>
          <t>20250401</t>
        </is>
      </c>
      <c r="AD25" t="n" s="2909">
        <v>0</v>
      </c>
      <c r="AE25" t="inlineStr" s="2909">
        <is>
          <t>00000000</t>
        </is>
      </c>
      <c r="AH25" t="n" s="2909">
        <v>11</v>
      </c>
      <c r="AJ25" t="n" s="2909">
        <v>41</v>
      </c>
      <c r="AP25" t="n" s="2909">
        <v>220000</v>
      </c>
      <c r="DB25" s="2909" t="str">
        <f>IF($A25="","",IF($A25&lt;&gt;21,"対象外",IF($AE25&amp;""="00000000","在職",IF($AE25&amp;""='DB_設定'!$C$4,"4/1喪失","その他喪失"))))</f>
        <v>対象外</v>
      </c>
    </row>
    <row r="26">
      <c r="A26" t="n" s="2909">
        <v>31</v>
      </c>
      <c r="AA26" t="n" s="2909">
        <v>21</v>
      </c>
      <c r="AB26" t="inlineStr" s="2909">
        <is>
          <t>20250401</t>
        </is>
      </c>
      <c r="AD26" t="n" s="2909">
        <v>0</v>
      </c>
      <c r="AE26" t="inlineStr" s="2909">
        <is>
          <t>00000000</t>
        </is>
      </c>
      <c r="AH26" t="n" s="2909">
        <v>20</v>
      </c>
      <c r="AJ26" t="n" s="2909">
        <v>41</v>
      </c>
      <c r="AP26" t="n" s="2909">
        <v>320000</v>
      </c>
      <c r="DB26" s="2909" t="str">
        <f>IF($A26="","",IF($A26&lt;&gt;21,"対象外",IF($AE26&amp;""="00000000","在職",IF($AE26&amp;""='DB_設定'!$C$4,"4/1喪失","その他喪失"))))</f>
        <v>対象外</v>
      </c>
    </row>
    <row r="27">
      <c r="A27" t="n" s="2909">
        <v>21</v>
      </c>
      <c r="AA27" t="n" s="2909">
        <v>21</v>
      </c>
      <c r="AB27" t="inlineStr" s="2909">
        <is>
          <t>19870401</t>
        </is>
      </c>
      <c r="AD27" t="n" s="2909">
        <v>0</v>
      </c>
      <c r="AE27" t="inlineStr" s="2909">
        <is>
          <t>00000000</t>
        </is>
      </c>
      <c r="AH27" t="n" s="2909">
        <v>1</v>
      </c>
      <c r="AJ27" t="n" s="2909">
        <v>10</v>
      </c>
      <c r="AP27" t="n" s="2909">
        <v>380000</v>
      </c>
      <c r="DB27" s="2909" t="str">
        <f>IF($A27="","",IF($A27&lt;&gt;21,"対象外",IF($AE27&amp;""="00000000","在職",IF($AE27&amp;""='DB_設定'!$C$4,"4/1喪失","その他喪失"))))</f>
        <v>在職</v>
      </c>
    </row>
    <row r="28">
      <c r="A28" t="n" s="2909">
        <v>21</v>
      </c>
      <c r="AA28" t="n" s="2909">
        <v>21</v>
      </c>
      <c r="AB28" t="inlineStr" s="2909">
        <is>
          <t>20250401</t>
        </is>
      </c>
      <c r="AD28" t="n" s="2909">
        <v>0</v>
      </c>
      <c r="AE28" t="inlineStr" s="2909">
        <is>
          <t>00000000</t>
        </is>
      </c>
      <c r="AH28" t="n" s="2909">
        <v>11</v>
      </c>
      <c r="AJ28" t="n" s="2909">
        <v>10</v>
      </c>
      <c r="AP28" t="n" s="2909">
        <v>220000</v>
      </c>
      <c r="DB28" s="2909" t="str">
        <f>IF($A28="","",IF($A28&lt;&gt;21,"対象外",IF($AE28&amp;""="00000000","在職",IF($AE28&amp;""='DB_設定'!$C$4,"4/1喪失","その他喪失"))))</f>
        <v>在職</v>
      </c>
    </row>
    <row r="29">
      <c r="A29" t="n" s="2909">
        <v>21</v>
      </c>
      <c r="AA29" t="n" s="2909">
        <v>21</v>
      </c>
      <c r="AB29" t="inlineStr" s="2909">
        <is>
          <t>19870401</t>
        </is>
      </c>
      <c r="AD29" t="n" s="2909">
        <v>0</v>
      </c>
      <c r="AE29" t="inlineStr" s="2909">
        <is>
          <t>00000000</t>
        </is>
      </c>
      <c r="AH29" t="n" s="2909">
        <v>1</v>
      </c>
      <c r="AJ29" t="n" s="2909">
        <v>10</v>
      </c>
      <c r="AP29" t="n" s="2909">
        <v>360000</v>
      </c>
      <c r="DB29" s="2909" t="str">
        <f>IF($A29="","",IF($A29&lt;&gt;21,"対象外",IF($AE29&amp;""="00000000","在職",IF($AE29&amp;""='DB_設定'!$C$4,"4/1喪失","その他喪失"))))</f>
        <v>在職</v>
      </c>
    </row>
    <row r="30">
      <c r="A30" t="n" s="2909">
        <v>21</v>
      </c>
      <c r="AA30" t="n" s="2909">
        <v>21</v>
      </c>
      <c r="AB30" t="inlineStr" s="2909">
        <is>
          <t>20230401</t>
        </is>
      </c>
      <c r="AD30" t="n" s="2909">
        <v>0</v>
      </c>
      <c r="AE30" t="inlineStr" s="2909">
        <is>
          <t>00000000</t>
        </is>
      </c>
      <c r="AH30" t="n" s="2909">
        <v>20</v>
      </c>
      <c r="AJ30" t="n" s="2909">
        <v>10</v>
      </c>
      <c r="AP30" t="n" s="2909">
        <v>1150000</v>
      </c>
      <c r="DB30" s="2909" t="str">
        <f>IF($A30="","",IF($A30&lt;&gt;21,"対象外",IF($AE30&amp;""="00000000","在職",IF($AE30&amp;""='DB_設定'!$C$4,"4/1喪失","その他喪失"))))</f>
        <v>在職</v>
      </c>
    </row>
    <row r="31">
      <c r="A31" t="n" s="2909">
        <v>21</v>
      </c>
      <c r="AA31" t="n" s="2909">
        <v>21</v>
      </c>
      <c r="AB31" t="inlineStr" s="2909">
        <is>
          <t>19870401</t>
        </is>
      </c>
      <c r="AD31" t="n" s="2909">
        <v>0</v>
      </c>
      <c r="AE31" t="inlineStr" s="2909">
        <is>
          <t>00000000</t>
        </is>
      </c>
      <c r="AH31" t="n" s="2909">
        <v>1</v>
      </c>
      <c r="AJ31" t="n" s="2909">
        <v>10</v>
      </c>
      <c r="AP31" t="n" s="2909">
        <v>380000</v>
      </c>
      <c r="DB31" s="2909" t="str">
        <f>IF($A31="","",IF($A31&lt;&gt;21,"対象外",IF($AE31&amp;""="00000000","在職",IF($AE31&amp;""='DB_設定'!$C$4,"4/1喪失","その他喪失"))))</f>
        <v>在職</v>
      </c>
    </row>
    <row r="32">
      <c r="A32" t="n" s="2909">
        <v>21</v>
      </c>
      <c r="AA32" t="n" s="2909">
        <v>21</v>
      </c>
      <c r="AB32" t="inlineStr" s="2909">
        <is>
          <t>19870401</t>
        </is>
      </c>
      <c r="AD32" t="n" s="2909">
        <v>0</v>
      </c>
      <c r="AE32" t="inlineStr" s="2909">
        <is>
          <t>00000000</t>
        </is>
      </c>
      <c r="AH32" t="n" s="2909">
        <v>11</v>
      </c>
      <c r="AJ32" t="n" s="2909">
        <v>10</v>
      </c>
      <c r="AP32" t="n" s="2909">
        <v>380000</v>
      </c>
      <c r="DB32" s="2909" t="str">
        <f>IF($A32="","",IF($A32&lt;&gt;21,"対象外",IF($AE32&amp;""="00000000","在職",IF($AE32&amp;""='DB_設定'!$C$4,"4/1喪失","その他喪失"))))</f>
        <v>在職</v>
      </c>
    </row>
    <row r="33">
      <c r="A33" t="n" s="2909">
        <v>21</v>
      </c>
      <c r="AA33" t="n" s="2909">
        <v>21</v>
      </c>
      <c r="AB33" t="inlineStr" s="2909">
        <is>
          <t>20040401</t>
        </is>
      </c>
      <c r="AD33" t="n" s="2909">
        <v>0</v>
      </c>
      <c r="AE33" t="inlineStr" s="2909">
        <is>
          <t>00000000</t>
        </is>
      </c>
      <c r="AH33" t="n" s="2909">
        <v>1</v>
      </c>
      <c r="AJ33" t="n" s="2909">
        <v>10</v>
      </c>
      <c r="AP33" t="n" s="2909">
        <v>470000</v>
      </c>
      <c r="DB33" s="2909" t="str">
        <f>IF($A33="","",IF($A33&lt;&gt;21,"対象外",IF($AE33&amp;""="00000000","在職",IF($AE33&amp;""='DB_設定'!$C$4,"4/1喪失","その他喪失"))))</f>
        <v>在職</v>
      </c>
    </row>
    <row r="34">
      <c r="A34" t="n" s="2909">
        <v>31</v>
      </c>
      <c r="AA34" t="n" s="2909">
        <v>21</v>
      </c>
      <c r="AB34" t="inlineStr" s="2909">
        <is>
          <t>20250401</t>
        </is>
      </c>
      <c r="AD34" t="n" s="2909">
        <v>0</v>
      </c>
      <c r="AE34" t="inlineStr" s="2909">
        <is>
          <t>00000000</t>
        </is>
      </c>
      <c r="AH34" t="n" s="2909">
        <v>4</v>
      </c>
      <c r="AJ34" t="n" s="2909">
        <v>41</v>
      </c>
      <c r="AP34" t="n" s="2909">
        <v>240000</v>
      </c>
      <c r="DB34" s="2909" t="str">
        <f>IF($A34="","",IF($A34&lt;&gt;21,"対象外",IF($AE34&amp;""="00000000","在職",IF($AE34&amp;""='DB_設定'!$C$4,"4/1喪失","その他喪失"))))</f>
        <v>対象外</v>
      </c>
    </row>
    <row r="35">
      <c r="A35" t="n" s="2909">
        <v>31</v>
      </c>
      <c r="AA35" t="n" s="2909">
        <v>21</v>
      </c>
      <c r="AB35" t="inlineStr" s="2909">
        <is>
          <t>20250401</t>
        </is>
      </c>
      <c r="AD35" t="n" s="2909">
        <v>0</v>
      </c>
      <c r="AE35" t="inlineStr" s="2909">
        <is>
          <t>00000000</t>
        </is>
      </c>
      <c r="AH35" t="n" s="2909">
        <v>11</v>
      </c>
      <c r="AJ35" t="n" s="2909">
        <v>41</v>
      </c>
      <c r="AP35" t="n" s="2909">
        <v>200000</v>
      </c>
      <c r="DB35" s="2909" t="str">
        <f>IF($A35="","",IF($A35&lt;&gt;21,"対象外",IF($AE35&amp;""="00000000","在職",IF($AE35&amp;""='DB_設定'!$C$4,"4/1喪失","その他喪失"))))</f>
        <v>対象外</v>
      </c>
    </row>
    <row r="36">
      <c r="A36" t="n" s="2909">
        <v>31</v>
      </c>
      <c r="AA36" t="n" s="2909">
        <v>21</v>
      </c>
      <c r="AB36" t="inlineStr" s="2909">
        <is>
          <t>20250401</t>
        </is>
      </c>
      <c r="AD36" t="n" s="2909">
        <v>0</v>
      </c>
      <c r="AE36" t="inlineStr" s="2909">
        <is>
          <t>00000000</t>
        </is>
      </c>
      <c r="AH36" t="n" s="2909">
        <v>1</v>
      </c>
      <c r="AJ36" t="n" s="2909">
        <v>41</v>
      </c>
      <c r="AP36" t="n" s="2909">
        <v>240000</v>
      </c>
      <c r="DB36" s="2909" t="str">
        <f>IF($A36="","",IF($A36&lt;&gt;21,"対象外",IF($AE36&amp;""="00000000","在職",IF($AE36&amp;""='DB_設定'!$C$4,"4/1喪失","その他喪失"))))</f>
        <v>対象外</v>
      </c>
    </row>
    <row r="37">
      <c r="A37" t="n" s="2909">
        <v>31</v>
      </c>
      <c r="AA37" t="n" s="2909">
        <v>21</v>
      </c>
      <c r="AB37" t="inlineStr" s="2909">
        <is>
          <t>20250401</t>
        </is>
      </c>
      <c r="AD37" t="n" s="2909">
        <v>0</v>
      </c>
      <c r="AE37" t="inlineStr" s="2909">
        <is>
          <t>00000000</t>
        </is>
      </c>
      <c r="AH37" t="n" s="2909">
        <v>1</v>
      </c>
      <c r="AJ37" t="n" s="2909">
        <v>41</v>
      </c>
      <c r="AP37" t="n" s="2909">
        <v>240000</v>
      </c>
      <c r="DB37" s="2909" t="str">
        <f>IF($A37="","",IF($A37&lt;&gt;21,"対象外",IF($AE37&amp;""="00000000","在職",IF($AE37&amp;""='DB_設定'!$C$4,"4/1喪失","その他喪失"))))</f>
        <v>対象外</v>
      </c>
    </row>
    <row r="38">
      <c r="A38" t="n" s="2909">
        <v>31</v>
      </c>
      <c r="AA38" t="n" s="2909">
        <v>21</v>
      </c>
      <c r="AB38" t="inlineStr" s="2909">
        <is>
          <t>20250401</t>
        </is>
      </c>
      <c r="AD38" t="n" s="2909">
        <v>0</v>
      </c>
      <c r="AE38" t="inlineStr" s="2909">
        <is>
          <t>00000000</t>
        </is>
      </c>
      <c r="AH38" t="n" s="2909">
        <v>1</v>
      </c>
      <c r="AJ38" t="n" s="2909">
        <v>41</v>
      </c>
      <c r="AP38" t="n" s="2909">
        <v>220000</v>
      </c>
      <c r="DB38" s="2909" t="str">
        <f>IF($A38="","",IF($A38&lt;&gt;21,"対象外",IF($AE38&amp;""="00000000","在職",IF($AE38&amp;""='DB_設定'!$C$4,"4/1喪失","その他喪失"))))</f>
        <v>対象外</v>
      </c>
    </row>
    <row r="39">
      <c r="A39" t="n" s="2909">
        <v>21</v>
      </c>
      <c r="AA39" t="n" s="2909">
        <v>21</v>
      </c>
      <c r="AB39" t="inlineStr" s="2909">
        <is>
          <t>19870401</t>
        </is>
      </c>
      <c r="AD39" t="n" s="2909">
        <v>0</v>
      </c>
      <c r="AE39" t="inlineStr" s="2909">
        <is>
          <t>00000000</t>
        </is>
      </c>
      <c r="AH39" t="n" s="2909">
        <v>1</v>
      </c>
      <c r="AJ39" t="n" s="2909">
        <v>10</v>
      </c>
      <c r="AP39" t="n" s="2909">
        <v>380000</v>
      </c>
      <c r="DB39" s="2909" t="str">
        <f>IF($A39="","",IF($A39&lt;&gt;21,"対象外",IF($AE39&amp;""="00000000","在職",IF($AE39&amp;""='DB_設定'!$C$4,"4/1喪失","その他喪失"))))</f>
        <v>在職</v>
      </c>
    </row>
    <row r="40">
      <c r="A40" t="n" s="2909">
        <v>21</v>
      </c>
      <c r="AA40" t="n" s="2909">
        <v>21</v>
      </c>
      <c r="AB40" t="inlineStr" s="2909">
        <is>
          <t>19980401</t>
        </is>
      </c>
      <c r="AD40" t="n" s="2909">
        <v>0</v>
      </c>
      <c r="AE40" t="inlineStr" s="2909">
        <is>
          <t>00000000</t>
        </is>
      </c>
      <c r="AH40" t="n" s="2909">
        <v>1</v>
      </c>
      <c r="AJ40" t="n" s="2909">
        <v>10</v>
      </c>
      <c r="AP40" t="n" s="2909">
        <v>360000</v>
      </c>
      <c r="DB40" s="2909" t="str">
        <f>IF($A40="","",IF($A40&lt;&gt;21,"対象外",IF($AE40&amp;""="00000000","在職",IF($AE40&amp;""='DB_設定'!$C$4,"4/1喪失","その他喪失"))))</f>
        <v>在職</v>
      </c>
    </row>
    <row r="41">
      <c r="A41" t="n" s="2909">
        <v>21</v>
      </c>
      <c r="AA41" t="n" s="2909">
        <v>21</v>
      </c>
      <c r="AB41" t="inlineStr" s="2909">
        <is>
          <t>19870401</t>
        </is>
      </c>
      <c r="AD41" t="n" s="2909">
        <v>0</v>
      </c>
      <c r="AE41" t="inlineStr" s="2909">
        <is>
          <t>00000000</t>
        </is>
      </c>
      <c r="AH41" t="n" s="2909">
        <v>1</v>
      </c>
      <c r="AJ41" t="n" s="2909">
        <v>10</v>
      </c>
      <c r="AP41" t="n" s="2909">
        <v>320000</v>
      </c>
      <c r="DB41" s="2909" t="str">
        <f>IF($A41="","",IF($A41&lt;&gt;21,"対象外",IF($AE41&amp;""="00000000","在職",IF($AE41&amp;""='DB_設定'!$C$4,"4/1喪失","その他喪失"))))</f>
        <v>在職</v>
      </c>
    </row>
    <row r="42">
      <c r="A42" t="n" s="2909">
        <v>21</v>
      </c>
      <c r="AA42" t="n" s="2909">
        <v>21</v>
      </c>
      <c r="AB42" t="inlineStr" s="2909">
        <is>
          <t>19910401</t>
        </is>
      </c>
      <c r="AD42" t="n" s="2909">
        <v>0</v>
      </c>
      <c r="AE42" t="inlineStr" s="2909">
        <is>
          <t>00000000</t>
        </is>
      </c>
      <c r="AH42" t="n" s="2909">
        <v>1</v>
      </c>
      <c r="AJ42" t="n" s="2909">
        <v>10</v>
      </c>
      <c r="AP42" t="n" s="2909">
        <v>410000</v>
      </c>
      <c r="DB42" s="2909" t="str">
        <f>IF($A42="","",IF($A42&lt;&gt;21,"対象外",IF($AE42&amp;""="00000000","在職",IF($AE42&amp;""='DB_設定'!$C$4,"4/1喪失","その他喪失"))))</f>
        <v>在職</v>
      </c>
    </row>
    <row r="43">
      <c r="A43" t="n" s="2909">
        <v>21</v>
      </c>
      <c r="AA43" t="n" s="2909">
        <v>21</v>
      </c>
      <c r="AB43" t="inlineStr" s="2909">
        <is>
          <t>19880401</t>
        </is>
      </c>
      <c r="AD43" t="n" s="2909">
        <v>0</v>
      </c>
      <c r="AE43" t="inlineStr" s="2909">
        <is>
          <t>00000000</t>
        </is>
      </c>
      <c r="AH43" t="n" s="2909">
        <v>1</v>
      </c>
      <c r="AJ43" t="n" s="2909">
        <v>10</v>
      </c>
      <c r="AP43" t="n" s="2909">
        <v>380000</v>
      </c>
      <c r="DB43" s="2909" t="str">
        <f>IF($A43="","",IF($A43&lt;&gt;21,"対象外",IF($AE43&amp;""="00000000","在職",IF($AE43&amp;""='DB_設定'!$C$4,"4/1喪失","その他喪失"))))</f>
        <v>在職</v>
      </c>
    </row>
    <row r="44">
      <c r="A44" t="n" s="2909">
        <v>21</v>
      </c>
      <c r="AA44" t="n" s="2909">
        <v>21</v>
      </c>
      <c r="AB44" t="inlineStr" s="2909">
        <is>
          <t>19980401</t>
        </is>
      </c>
      <c r="AD44" t="n" s="2909">
        <v>0</v>
      </c>
      <c r="AE44" t="inlineStr" s="2909">
        <is>
          <t>00000000</t>
        </is>
      </c>
      <c r="AH44" t="n" s="2909">
        <v>1</v>
      </c>
      <c r="AJ44" t="n" s="2909">
        <v>10</v>
      </c>
      <c r="AP44" t="n" s="2909">
        <v>360000</v>
      </c>
      <c r="DB44" s="2909" t="str">
        <f>IF($A44="","",IF($A44&lt;&gt;21,"対象外",IF($AE44&amp;""="00000000","在職",IF($AE44&amp;""='DB_設定'!$C$4,"4/1喪失","その他喪失"))))</f>
        <v>在職</v>
      </c>
    </row>
    <row r="45">
      <c r="A45" t="n" s="2909">
        <v>21</v>
      </c>
      <c r="AA45" t="n" s="2909">
        <v>21</v>
      </c>
      <c r="AB45" t="inlineStr" s="2909">
        <is>
          <t>19900401</t>
        </is>
      </c>
      <c r="AD45" t="n" s="2909">
        <v>0</v>
      </c>
      <c r="AE45" t="inlineStr" s="2909">
        <is>
          <t>00000000</t>
        </is>
      </c>
      <c r="AH45" t="n" s="2909">
        <v>1</v>
      </c>
      <c r="AJ45" t="n" s="2909">
        <v>10</v>
      </c>
      <c r="AP45" t="n" s="2909">
        <v>380000</v>
      </c>
      <c r="DB45" s="2909" t="str">
        <f>IF($A45="","",IF($A45&lt;&gt;21,"対象外",IF($AE45&amp;""="00000000","在職",IF($AE45&amp;""='DB_設定'!$C$4,"4/1喪失","その他喪失"))))</f>
        <v>在職</v>
      </c>
    </row>
    <row r="46">
      <c r="A46" t="n" s="2909">
        <v>21</v>
      </c>
      <c r="AA46" t="n" s="2909">
        <v>21</v>
      </c>
      <c r="AB46" t="inlineStr" s="2909">
        <is>
          <t>19960401</t>
        </is>
      </c>
      <c r="AD46" t="n" s="2909">
        <v>0</v>
      </c>
      <c r="AE46" t="inlineStr" s="2909">
        <is>
          <t>00000000</t>
        </is>
      </c>
      <c r="AH46" t="n" s="2909">
        <v>3</v>
      </c>
      <c r="AJ46" t="n" s="2909">
        <v>10</v>
      </c>
      <c r="AP46" t="n" s="2909">
        <v>410000</v>
      </c>
      <c r="DB46" s="2909" t="str">
        <f>IF($A46="","",IF($A46&lt;&gt;21,"対象外",IF($AE46&amp;""="00000000","在職",IF($AE46&amp;""='DB_設定'!$C$4,"4/1喪失","その他喪失"))))</f>
        <v>在職</v>
      </c>
    </row>
    <row r="47">
      <c r="A47" t="n" s="2909">
        <v>21</v>
      </c>
      <c r="AA47" t="n" s="2909">
        <v>21</v>
      </c>
      <c r="AB47" t="inlineStr" s="2909">
        <is>
          <t>19880401</t>
        </is>
      </c>
      <c r="AD47" t="n" s="2909">
        <v>0</v>
      </c>
      <c r="AE47" t="inlineStr" s="2909">
        <is>
          <t>00000000</t>
        </is>
      </c>
      <c r="AH47" t="n" s="2909">
        <v>1</v>
      </c>
      <c r="AJ47" t="n" s="2909">
        <v>10</v>
      </c>
      <c r="AP47" t="n" s="2909">
        <v>360000</v>
      </c>
      <c r="DB47" s="2909" t="str">
        <f>IF($A47="","",IF($A47&lt;&gt;21,"対象外",IF($AE47&amp;""="00000000","在職",IF($AE47&amp;""='DB_設定'!$C$4,"4/1喪失","その他喪失"))))</f>
        <v>在職</v>
      </c>
    </row>
    <row r="48">
      <c r="A48" t="n" s="2909">
        <v>31</v>
      </c>
      <c r="AA48" t="n" s="2909">
        <v>21</v>
      </c>
      <c r="AB48" t="inlineStr" s="2909">
        <is>
          <t>20250401</t>
        </is>
      </c>
      <c r="AD48" t="n" s="2909">
        <v>0</v>
      </c>
      <c r="AE48" t="inlineStr" s="2909">
        <is>
          <t>00000000</t>
        </is>
      </c>
      <c r="AH48" t="n" s="2909">
        <v>1</v>
      </c>
      <c r="AJ48" t="n" s="2909">
        <v>41</v>
      </c>
      <c r="AP48" t="n" s="2909">
        <v>240000</v>
      </c>
      <c r="DB48" s="2909" t="str">
        <f>IF($A48="","",IF($A48&lt;&gt;21,"対象外",IF($AE48&amp;""="00000000","在職",IF($AE48&amp;""='DB_設定'!$C$4,"4/1喪失","その他喪失"))))</f>
        <v>対象外</v>
      </c>
    </row>
    <row r="49">
      <c r="A49" t="n" s="2909">
        <v>31</v>
      </c>
      <c r="AA49" t="n" s="2909">
        <v>24</v>
      </c>
      <c r="AB49" t="inlineStr" s="2909">
        <is>
          <t>20230901</t>
        </is>
      </c>
      <c r="AD49" t="n" s="2909">
        <v>0</v>
      </c>
      <c r="AE49" t="inlineStr" s="2909">
        <is>
          <t>00000000</t>
        </is>
      </c>
      <c r="AH49" t="n" s="2909">
        <v>1</v>
      </c>
      <c r="AJ49" t="n" s="2909">
        <v>41</v>
      </c>
      <c r="AP49" t="n" s="2909">
        <v>160000</v>
      </c>
      <c r="DB49" s="2909" t="str">
        <f>IF($A49="","",IF($A49&lt;&gt;21,"対象外",IF($AE49&amp;""="00000000","在職",IF($AE49&amp;""='DB_設定'!$C$4,"4/1喪失","その他喪失"))))</f>
        <v>対象外</v>
      </c>
    </row>
    <row r="50">
      <c r="A50" t="n" s="2909">
        <v>21</v>
      </c>
      <c r="AA50" t="n" s="2909">
        <v>21</v>
      </c>
      <c r="AB50" t="inlineStr" s="2909">
        <is>
          <t>20080401</t>
        </is>
      </c>
      <c r="AD50" t="n" s="2909">
        <v>0</v>
      </c>
      <c r="AE50" t="inlineStr" s="2909">
        <is>
          <t>00000000</t>
        </is>
      </c>
      <c r="AH50" t="n" s="2909">
        <v>20</v>
      </c>
      <c r="AJ50" t="n" s="2909">
        <v>10</v>
      </c>
      <c r="AP50" t="n" s="2909">
        <v>1150000</v>
      </c>
      <c r="DB50" s="2909" t="str">
        <f>IF($A50="","",IF($A50&lt;&gt;21,"対象外",IF($AE50&amp;""="00000000","在職",IF($AE50&amp;""='DB_設定'!$C$4,"4/1喪失","その他喪失"))))</f>
        <v>在職</v>
      </c>
    </row>
    <row r="51">
      <c r="A51" t="n" s="2909">
        <v>21</v>
      </c>
      <c r="AA51" t="n" s="2909">
        <v>21</v>
      </c>
      <c r="AB51" t="inlineStr" s="2909">
        <is>
          <t>19880401</t>
        </is>
      </c>
      <c r="AD51" t="n" s="2909">
        <v>0</v>
      </c>
      <c r="AE51" t="inlineStr" s="2909">
        <is>
          <t>00000000</t>
        </is>
      </c>
      <c r="AH51" t="n" s="2909">
        <v>1</v>
      </c>
      <c r="AJ51" t="n" s="2909">
        <v>10</v>
      </c>
      <c r="AP51" t="n" s="2909">
        <v>380000</v>
      </c>
      <c r="DB51" s="2909" t="str">
        <f>IF($A51="","",IF($A51&lt;&gt;21,"対象外",IF($AE51&amp;""="00000000","在職",IF($AE51&amp;""='DB_設定'!$C$4,"4/1喪失","その他喪失"))))</f>
        <v>在職</v>
      </c>
    </row>
    <row r="52">
      <c r="A52" t="n" s="2909">
        <v>31</v>
      </c>
      <c r="AA52" t="n" s="2909">
        <v>21</v>
      </c>
      <c r="AB52" t="inlineStr" s="2909">
        <is>
          <t>20250401</t>
        </is>
      </c>
      <c r="AD52" t="n" s="2909">
        <v>0</v>
      </c>
      <c r="AE52" t="inlineStr" s="2909">
        <is>
          <t>00000000</t>
        </is>
      </c>
      <c r="AH52" t="n" s="2909">
        <v>4</v>
      </c>
      <c r="AJ52" t="n" s="2909">
        <v>41</v>
      </c>
      <c r="AP52" t="n" s="2909">
        <v>220000</v>
      </c>
      <c r="DB52" s="2909" t="str">
        <f>IF($A52="","",IF($A52&lt;&gt;21,"対象外",IF($AE52&amp;""="00000000","在職",IF($AE52&amp;""='DB_設定'!$C$4,"4/1喪失","その他喪失"))))</f>
        <v>対象外</v>
      </c>
    </row>
    <row r="53">
      <c r="A53" t="n" s="2909">
        <v>21</v>
      </c>
      <c r="AA53" t="n" s="2909">
        <v>21</v>
      </c>
      <c r="AB53" t="inlineStr" s="2909">
        <is>
          <t>19950401</t>
        </is>
      </c>
      <c r="AD53" t="n" s="2909">
        <v>0</v>
      </c>
      <c r="AE53" t="inlineStr" s="2909">
        <is>
          <t>00000000</t>
        </is>
      </c>
      <c r="AH53" t="n" s="2909">
        <v>1</v>
      </c>
      <c r="AJ53" t="n" s="2909">
        <v>10</v>
      </c>
      <c r="AP53" t="n" s="2909">
        <v>360000</v>
      </c>
      <c r="DB53" s="2909" t="str">
        <f>IF($A53="","",IF($A53&lt;&gt;21,"対象外",IF($AE53&amp;""="00000000","在職",IF($AE53&amp;""='DB_設定'!$C$4,"4/1喪失","その他喪失"))))</f>
        <v>在職</v>
      </c>
    </row>
    <row r="54">
      <c r="A54" t="n" s="2909">
        <v>21</v>
      </c>
      <c r="AA54" t="n" s="2909">
        <v>21</v>
      </c>
      <c r="AB54" t="inlineStr" s="2909">
        <is>
          <t>19830401</t>
        </is>
      </c>
      <c r="AD54" t="n" s="2909">
        <v>0</v>
      </c>
      <c r="AE54" t="inlineStr" s="2909">
        <is>
          <t>00000000</t>
        </is>
      </c>
      <c r="AH54" t="n" s="2909">
        <v>5</v>
      </c>
      <c r="AJ54" t="n" s="2909">
        <v>30</v>
      </c>
      <c r="AP54" t="n" s="2909">
        <v>360000</v>
      </c>
      <c r="DB54" s="2909" t="str">
        <f>IF($A54="","",IF($A54&lt;&gt;21,"対象外",IF($AE54&amp;""="00000000","在職",IF($AE54&amp;""='DB_設定'!$C$4,"4/1喪失","その他喪失"))))</f>
        <v>在職</v>
      </c>
    </row>
    <row r="55">
      <c r="A55" t="n" s="2909">
        <v>31</v>
      </c>
      <c r="AA55" t="n" s="2909">
        <v>24</v>
      </c>
      <c r="AB55" t="inlineStr" s="2909">
        <is>
          <t>20250801</t>
        </is>
      </c>
      <c r="AD55" t="n" s="2909">
        <v>0</v>
      </c>
      <c r="AE55" t="inlineStr" s="2909">
        <is>
          <t>00000000</t>
        </is>
      </c>
      <c r="AH55" t="n" s="2909">
        <v>11</v>
      </c>
      <c r="AJ55" t="n" s="2909">
        <v>41</v>
      </c>
      <c r="AP55" t="n" s="2909">
        <v>190000</v>
      </c>
      <c r="DB55" s="2909" t="str">
        <f>IF($A55="","",IF($A55&lt;&gt;21,"対象外",IF($AE55&amp;""="00000000","在職",IF($AE55&amp;""='DB_設定'!$C$4,"4/1喪失","その他喪失"))))</f>
        <v>対象外</v>
      </c>
    </row>
    <row r="56">
      <c r="A56" t="n" s="2909">
        <v>21</v>
      </c>
      <c r="AA56" t="n" s="2909">
        <v>21</v>
      </c>
      <c r="AB56" t="inlineStr" s="2909">
        <is>
          <t>19880401</t>
        </is>
      </c>
      <c r="AD56" t="n" s="2909">
        <v>0</v>
      </c>
      <c r="AE56" t="inlineStr" s="2909">
        <is>
          <t>00000000</t>
        </is>
      </c>
      <c r="AH56" t="n" s="2909">
        <v>4</v>
      </c>
      <c r="AJ56" t="n" s="2909">
        <v>10</v>
      </c>
      <c r="AP56" t="n" s="2909">
        <v>340000</v>
      </c>
      <c r="DB56" s="2909" t="str">
        <f>IF($A56="","",IF($A56&lt;&gt;21,"対象外",IF($AE56&amp;""="00000000","在職",IF($AE56&amp;""='DB_設定'!$C$4,"4/1喪失","その他喪失"))))</f>
        <v>在職</v>
      </c>
    </row>
    <row r="57">
      <c r="A57" t="n" s="2909">
        <v>21</v>
      </c>
      <c r="AA57" t="n" s="2909">
        <v>21</v>
      </c>
      <c r="AB57" t="inlineStr" s="2909">
        <is>
          <t>19910401</t>
        </is>
      </c>
      <c r="AD57" t="n" s="2909">
        <v>0</v>
      </c>
      <c r="AE57" t="inlineStr" s="2909">
        <is>
          <t>00000000</t>
        </is>
      </c>
      <c r="AH57" t="n" s="2909">
        <v>1</v>
      </c>
      <c r="AJ57" t="n" s="2909">
        <v>10</v>
      </c>
      <c r="AP57" t="n" s="2909">
        <v>380000</v>
      </c>
      <c r="DB57" s="2909" t="str">
        <f>IF($A57="","",IF($A57&lt;&gt;21,"対象外",IF($AE57&amp;""="00000000","在職",IF($AE57&amp;""='DB_設定'!$C$4,"4/1喪失","その他喪失"))))</f>
        <v>在職</v>
      </c>
    </row>
    <row r="58">
      <c r="A58" t="n" s="2909">
        <v>21</v>
      </c>
      <c r="AA58" t="n" s="2909">
        <v>21</v>
      </c>
      <c r="AB58" t="inlineStr" s="2909">
        <is>
          <t>19880401</t>
        </is>
      </c>
      <c r="AD58" t="n" s="2909">
        <v>0</v>
      </c>
      <c r="AE58" t="inlineStr" s="2909">
        <is>
          <t>00000000</t>
        </is>
      </c>
      <c r="AH58" t="n" s="2909">
        <v>1</v>
      </c>
      <c r="AJ58" t="n" s="2909">
        <v>10</v>
      </c>
      <c r="AP58" t="n" s="2909">
        <v>360000</v>
      </c>
      <c r="DB58" s="2909" t="str">
        <f>IF($A58="","",IF($A58&lt;&gt;21,"対象外",IF($AE58&amp;""="00000000","在職",IF($AE58&amp;""='DB_設定'!$C$4,"4/1喪失","その他喪失"))))</f>
        <v>在職</v>
      </c>
    </row>
    <row r="59">
      <c r="A59" t="n" s="2909">
        <v>31</v>
      </c>
      <c r="AA59" t="n" s="2909">
        <v>21</v>
      </c>
      <c r="AB59" t="inlineStr" s="2909">
        <is>
          <t>20250401</t>
        </is>
      </c>
      <c r="AD59" t="n" s="2909">
        <v>0</v>
      </c>
      <c r="AE59" t="inlineStr" s="2909">
        <is>
          <t>00000000</t>
        </is>
      </c>
      <c r="AH59" t="n" s="2909">
        <v>11</v>
      </c>
      <c r="AJ59" t="n" s="2909">
        <v>41</v>
      </c>
      <c r="AP59" t="n" s="2909">
        <v>220000</v>
      </c>
      <c r="DB59" s="2909" t="str">
        <f>IF($A59="","",IF($A59&lt;&gt;21,"対象外",IF($AE59&amp;""="00000000","在職",IF($AE59&amp;""='DB_設定'!$C$4,"4/1喪失","その他喪失"))))</f>
        <v>対象外</v>
      </c>
    </row>
    <row r="60">
      <c r="A60" t="n" s="2909">
        <v>31</v>
      </c>
      <c r="AA60" t="n" s="2909">
        <v>21</v>
      </c>
      <c r="AB60" t="inlineStr" s="2909">
        <is>
          <t>20250401</t>
        </is>
      </c>
      <c r="AD60" t="n" s="2909">
        <v>0</v>
      </c>
      <c r="AE60" t="inlineStr" s="2909">
        <is>
          <t>00000000</t>
        </is>
      </c>
      <c r="AH60" t="n" s="2909">
        <v>11</v>
      </c>
      <c r="AJ60" t="n" s="2909">
        <v>41</v>
      </c>
      <c r="AP60" t="n" s="2909">
        <v>200000</v>
      </c>
      <c r="DB60" s="2909" t="str">
        <f>IF($A60="","",IF($A60&lt;&gt;21,"対象外",IF($AE60&amp;""="00000000","在職",IF($AE60&amp;""='DB_設定'!$C$4,"4/1喪失","その他喪失"))))</f>
        <v>対象外</v>
      </c>
    </row>
    <row r="61">
      <c r="A61" t="n" s="2909">
        <v>21</v>
      </c>
      <c r="AA61" t="n" s="2909">
        <v>21</v>
      </c>
      <c r="AB61" t="inlineStr" s="2909">
        <is>
          <t>19900401</t>
        </is>
      </c>
      <c r="AD61" t="n" s="2909">
        <v>0</v>
      </c>
      <c r="AE61" t="inlineStr" s="2909">
        <is>
          <t>00000000</t>
        </is>
      </c>
      <c r="AH61" t="n" s="2909">
        <v>4</v>
      </c>
      <c r="AJ61" t="n" s="2909">
        <v>10</v>
      </c>
      <c r="AP61" t="n" s="2909">
        <v>360000</v>
      </c>
      <c r="DB61" s="2909" t="str">
        <f>IF($A61="","",IF($A61&lt;&gt;21,"対象外",IF($AE61&amp;""="00000000","在職",IF($AE61&amp;""='DB_設定'!$C$4,"4/1喪失","その他喪失"))))</f>
        <v>在職</v>
      </c>
    </row>
    <row r="62">
      <c r="A62" t="n" s="2909">
        <v>21</v>
      </c>
      <c r="AA62" t="n" s="2909">
        <v>21</v>
      </c>
      <c r="AB62" t="inlineStr" s="2909">
        <is>
          <t>19890401</t>
        </is>
      </c>
      <c r="AD62" t="n" s="2909">
        <v>0</v>
      </c>
      <c r="AE62" t="inlineStr" s="2909">
        <is>
          <t>00000000</t>
        </is>
      </c>
      <c r="AH62" t="n" s="2909">
        <v>5</v>
      </c>
      <c r="AJ62" t="n" s="2909">
        <v>10</v>
      </c>
      <c r="AP62" t="n" s="2909">
        <v>360000</v>
      </c>
      <c r="DB62" s="2909" t="str">
        <f>IF($A62="","",IF($A62&lt;&gt;21,"対象外",IF($AE62&amp;""="00000000","在職",IF($AE62&amp;""='DB_設定'!$C$4,"4/1喪失","その他喪失"))))</f>
        <v>在職</v>
      </c>
    </row>
    <row r="63">
      <c r="A63" t="n" s="2909">
        <v>21</v>
      </c>
      <c r="AA63" t="n" s="2909">
        <v>21</v>
      </c>
      <c r="AB63" t="inlineStr" s="2909">
        <is>
          <t>20001001</t>
        </is>
      </c>
      <c r="AD63" t="n" s="2909">
        <v>0</v>
      </c>
      <c r="AE63" t="inlineStr" s="2909">
        <is>
          <t>00000000</t>
        </is>
      </c>
      <c r="AH63" t="n" s="2909">
        <v>20</v>
      </c>
      <c r="AJ63" t="n" s="2909">
        <v>10</v>
      </c>
      <c r="AP63" t="n" s="2909">
        <v>1150000</v>
      </c>
      <c r="DB63" s="2909" t="str">
        <f>IF($A63="","",IF($A63&lt;&gt;21,"対象外",IF($AE63&amp;""="00000000","在職",IF($AE63&amp;""='DB_設定'!$C$4,"4/1喪失","その他喪失"))))</f>
        <v>在職</v>
      </c>
    </row>
    <row r="64">
      <c r="A64" t="n" s="2909">
        <v>21</v>
      </c>
      <c r="AA64" t="n" s="2909">
        <v>21</v>
      </c>
      <c r="AB64" t="inlineStr" s="2909">
        <is>
          <t>19880401</t>
        </is>
      </c>
      <c r="AD64" t="n" s="2909">
        <v>0</v>
      </c>
      <c r="AE64" t="inlineStr" s="2909">
        <is>
          <t>00000000</t>
        </is>
      </c>
      <c r="AH64" t="n" s="2909">
        <v>4</v>
      </c>
      <c r="AJ64" t="n" s="2909">
        <v>10</v>
      </c>
      <c r="AP64" t="n" s="2909">
        <v>340000</v>
      </c>
      <c r="DB64" s="2909" t="str">
        <f>IF($A64="","",IF($A64&lt;&gt;21,"対象外",IF($AE64&amp;""="00000000","在職",IF($AE64&amp;""='DB_設定'!$C$4,"4/1喪失","その他喪失"))))</f>
        <v>在職</v>
      </c>
    </row>
    <row r="65">
      <c r="A65" t="n" s="2909">
        <v>21</v>
      </c>
      <c r="AA65" t="n" s="2909">
        <v>21</v>
      </c>
      <c r="AB65" t="inlineStr" s="2909">
        <is>
          <t>19960401</t>
        </is>
      </c>
      <c r="AD65" t="n" s="2909">
        <v>0</v>
      </c>
      <c r="AE65" t="inlineStr" s="2909">
        <is>
          <t>00000000</t>
        </is>
      </c>
      <c r="AH65" t="n" s="2909">
        <v>11</v>
      </c>
      <c r="AJ65" t="n" s="2909">
        <v>10</v>
      </c>
      <c r="AP65" t="n" s="2909">
        <v>320000</v>
      </c>
      <c r="DB65" s="2909" t="str">
        <f>IF($A65="","",IF($A65&lt;&gt;21,"対象外",IF($AE65&amp;""="00000000","在職",IF($AE65&amp;""='DB_設定'!$C$4,"4/1喪失","その他喪失"))))</f>
        <v>在職</v>
      </c>
    </row>
    <row r="66">
      <c r="A66" t="n" s="2909">
        <v>21</v>
      </c>
      <c r="AA66" t="n" s="2909">
        <v>21</v>
      </c>
      <c r="AB66" t="inlineStr" s="2909">
        <is>
          <t>20000401</t>
        </is>
      </c>
      <c r="AD66" t="n" s="2909">
        <v>0</v>
      </c>
      <c r="AE66" t="inlineStr" s="2909">
        <is>
          <t>00000000</t>
        </is>
      </c>
      <c r="AH66" t="n" s="2909">
        <v>20</v>
      </c>
      <c r="AJ66" t="n" s="2909">
        <v>10</v>
      </c>
      <c r="AP66" t="n" s="2909">
        <v>1330000</v>
      </c>
      <c r="DB66" s="2909" t="str">
        <f>IF($A66="","",IF($A66&lt;&gt;21,"対象外",IF($AE66&amp;""="00000000","在職",IF($AE66&amp;""='DB_設定'!$C$4,"4/1喪失","その他喪失"))))</f>
        <v>在職</v>
      </c>
    </row>
    <row r="67">
      <c r="A67" t="n" s="2909">
        <v>21</v>
      </c>
      <c r="AA67" t="n" s="2909">
        <v>21</v>
      </c>
      <c r="AB67" t="inlineStr" s="2909">
        <is>
          <t>19840401</t>
        </is>
      </c>
      <c r="AD67" t="n" s="2909">
        <v>0</v>
      </c>
      <c r="AE67" t="inlineStr" s="2909">
        <is>
          <t>00000000</t>
        </is>
      </c>
      <c r="AH67" t="n" s="2909">
        <v>5</v>
      </c>
      <c r="AJ67" t="n" s="2909">
        <v>30</v>
      </c>
      <c r="AP67" t="n" s="2909">
        <v>360000</v>
      </c>
      <c r="DB67" s="2909" t="str">
        <f>IF($A67="","",IF($A67&lt;&gt;21,"対象外",IF($AE67&amp;""="00000000","在職",IF($AE67&amp;""='DB_設定'!$C$4,"4/1喪失","その他喪失"))))</f>
        <v>在職</v>
      </c>
    </row>
    <row r="68">
      <c r="A68" t="n" s="2909">
        <v>31</v>
      </c>
      <c r="AA68" t="n" s="2909">
        <v>21</v>
      </c>
      <c r="AB68" t="inlineStr" s="2909">
        <is>
          <t>20221001</t>
        </is>
      </c>
      <c r="AD68" t="n" s="2909">
        <v>0</v>
      </c>
      <c r="AE68" t="inlineStr" s="2909">
        <is>
          <t>00000000</t>
        </is>
      </c>
      <c r="AH68" t="n" s="2909">
        <v>11</v>
      </c>
      <c r="AJ68" t="n" s="2909">
        <v>41</v>
      </c>
      <c r="AP68" t="n" s="2909">
        <v>190000</v>
      </c>
      <c r="DB68" s="2909" t="str">
        <f>IF($A68="","",IF($A68&lt;&gt;21,"対象外",IF($AE68&amp;""="00000000","在職",IF($AE68&amp;""='DB_設定'!$C$4,"4/1喪失","その他喪失"))))</f>
        <v>対象外</v>
      </c>
    </row>
    <row r="69">
      <c r="A69" t="n" s="2909">
        <v>21</v>
      </c>
      <c r="AA69" t="n" s="2909">
        <v>21</v>
      </c>
      <c r="AB69" t="inlineStr" s="2909">
        <is>
          <t>19880401</t>
        </is>
      </c>
      <c r="AD69" t="n" s="2909">
        <v>0</v>
      </c>
      <c r="AE69" t="inlineStr" s="2909">
        <is>
          <t>00000000</t>
        </is>
      </c>
      <c r="AH69" t="n" s="2909">
        <v>1</v>
      </c>
      <c r="AJ69" t="n" s="2909">
        <v>10</v>
      </c>
      <c r="AP69" t="n" s="2909">
        <v>340000</v>
      </c>
      <c r="DB69" s="2909" t="str">
        <f>IF($A69="","",IF($A69&lt;&gt;21,"対象外",IF($AE69&amp;""="00000000","在職",IF($AE69&amp;""='DB_設定'!$C$4,"4/1喪失","その他喪失"))))</f>
        <v>在職</v>
      </c>
    </row>
    <row r="70">
      <c r="A70" t="n" s="2909">
        <v>21</v>
      </c>
      <c r="AA70" t="n" s="2909">
        <v>21</v>
      </c>
      <c r="AB70" t="inlineStr" s="2909">
        <is>
          <t>19880401</t>
        </is>
      </c>
      <c r="AD70" t="n" s="2909">
        <v>0</v>
      </c>
      <c r="AE70" t="inlineStr" s="2909">
        <is>
          <t>00000000</t>
        </is>
      </c>
      <c r="AH70" t="n" s="2909">
        <v>1</v>
      </c>
      <c r="AJ70" t="n" s="2909">
        <v>10</v>
      </c>
      <c r="AP70" t="n" s="2909">
        <v>340000</v>
      </c>
      <c r="DB70" s="2909" t="str">
        <f>IF($A70="","",IF($A70&lt;&gt;21,"対象外",IF($AE70&amp;""="00000000","在職",IF($AE70&amp;""='DB_設定'!$C$4,"4/1喪失","その他喪失"))))</f>
        <v>在職</v>
      </c>
    </row>
    <row r="71">
      <c r="A71" t="n" s="2909">
        <v>21</v>
      </c>
      <c r="AA71" t="n" s="2909">
        <v>21</v>
      </c>
      <c r="AB71" t="inlineStr" s="2909">
        <is>
          <t>19870401</t>
        </is>
      </c>
      <c r="AD71" t="n" s="2909">
        <v>0</v>
      </c>
      <c r="AE71" t="inlineStr" s="2909">
        <is>
          <t>00000000</t>
        </is>
      </c>
      <c r="AH71" t="n" s="2909">
        <v>5</v>
      </c>
      <c r="AJ71" t="n" s="2909">
        <v>10</v>
      </c>
      <c r="AP71" t="n" s="2909">
        <v>340000</v>
      </c>
      <c r="DB71" s="2909" t="str">
        <f>IF($A71="","",IF($A71&lt;&gt;21,"対象外",IF($AE71&amp;""="00000000","在職",IF($AE71&amp;""='DB_設定'!$C$4,"4/1喪失","その他喪失"))))</f>
        <v>在職</v>
      </c>
    </row>
    <row r="72">
      <c r="A72" t="n" s="2909">
        <v>21</v>
      </c>
      <c r="AA72" t="n" s="2909">
        <v>21</v>
      </c>
      <c r="AB72" t="inlineStr" s="2909">
        <is>
          <t>20040401</t>
        </is>
      </c>
      <c r="AD72" t="n" s="2909">
        <v>0</v>
      </c>
      <c r="AE72" t="inlineStr" s="2909">
        <is>
          <t>00000000</t>
        </is>
      </c>
      <c r="AH72" t="n" s="2909">
        <v>20</v>
      </c>
      <c r="AJ72" t="n" s="2909">
        <v>10</v>
      </c>
      <c r="AP72" t="n" s="2909">
        <v>980000</v>
      </c>
      <c r="DB72" s="2909" t="str">
        <f>IF($A72="","",IF($A72&lt;&gt;21,"対象外",IF($AE72&amp;""="00000000","在職",IF($AE72&amp;""='DB_設定'!$C$4,"4/1喪失","その他喪失"))))</f>
        <v>在職</v>
      </c>
    </row>
    <row r="73">
      <c r="A73" t="n" s="2909">
        <v>21</v>
      </c>
      <c r="AA73" t="n" s="2909">
        <v>21</v>
      </c>
      <c r="AB73" t="inlineStr" s="2909">
        <is>
          <t>19870401</t>
        </is>
      </c>
      <c r="AD73" t="n" s="2909">
        <v>0</v>
      </c>
      <c r="AE73" t="inlineStr" s="2909">
        <is>
          <t>00000000</t>
        </is>
      </c>
      <c r="AH73" t="n" s="2909">
        <v>5</v>
      </c>
      <c r="AJ73" t="n" s="2909">
        <v>30</v>
      </c>
      <c r="AP73" t="n" s="2909">
        <v>360000</v>
      </c>
      <c r="DB73" s="2909" t="str">
        <f>IF($A73="","",IF($A73&lt;&gt;21,"対象外",IF($AE73&amp;""="00000000","在職",IF($AE73&amp;""='DB_設定'!$C$4,"4/1喪失","その他喪失"))))</f>
        <v>在職</v>
      </c>
    </row>
    <row r="74">
      <c r="A74" t="n" s="2909">
        <v>21</v>
      </c>
      <c r="AA74" t="n" s="2909">
        <v>21</v>
      </c>
      <c r="AB74" t="inlineStr" s="2909">
        <is>
          <t>19980301</t>
        </is>
      </c>
      <c r="AD74" t="n" s="2909">
        <v>0</v>
      </c>
      <c r="AE74" t="inlineStr" s="2909">
        <is>
          <t>00000000</t>
        </is>
      </c>
      <c r="AH74" t="n" s="2909">
        <v>1</v>
      </c>
      <c r="AJ74" t="n" s="2909">
        <v>10</v>
      </c>
      <c r="AP74" t="n" s="2909">
        <v>360000</v>
      </c>
      <c r="DB74" s="2909" t="str">
        <f>IF($A74="","",IF($A74&lt;&gt;21,"対象外",IF($AE74&amp;""="00000000","在職",IF($AE74&amp;""='DB_設定'!$C$4,"4/1喪失","その他喪失"))))</f>
        <v>在職</v>
      </c>
    </row>
    <row r="75">
      <c r="A75" t="n" s="2909">
        <v>21</v>
      </c>
      <c r="AA75" t="n" s="2909">
        <v>21</v>
      </c>
      <c r="AB75" t="inlineStr" s="2909">
        <is>
          <t>20130401</t>
        </is>
      </c>
      <c r="AD75" t="n" s="2909">
        <v>0</v>
      </c>
      <c r="AE75" t="inlineStr" s="2909">
        <is>
          <t>00000000</t>
        </is>
      </c>
      <c r="AH75" t="n" s="2909">
        <v>20</v>
      </c>
      <c r="AJ75" t="n" s="2909">
        <v>10</v>
      </c>
      <c r="AP75" t="n" s="2909">
        <v>1090000</v>
      </c>
      <c r="DB75" s="2909" t="str">
        <f>IF($A75="","",IF($A75&lt;&gt;21,"対象外",IF($AE75&amp;""="00000000","在職",IF($AE75&amp;""='DB_設定'!$C$4,"4/1喪失","その他喪失"))))</f>
        <v>在職</v>
      </c>
    </row>
    <row r="76">
      <c r="A76" t="n" s="2909">
        <v>31</v>
      </c>
      <c r="AA76" t="n" s="2909">
        <v>21</v>
      </c>
      <c r="AB76" t="inlineStr" s="2909">
        <is>
          <t>20250401</t>
        </is>
      </c>
      <c r="AD76" t="n" s="2909">
        <v>0</v>
      </c>
      <c r="AE76" t="inlineStr" s="2909">
        <is>
          <t>00000000</t>
        </is>
      </c>
      <c r="AH76" t="n" s="2909">
        <v>11</v>
      </c>
      <c r="AJ76" t="n" s="2909">
        <v>41</v>
      </c>
      <c r="AP76" t="n" s="2909">
        <v>240000</v>
      </c>
      <c r="DB76" s="2909" t="str">
        <f>IF($A76="","",IF($A76&lt;&gt;21,"対象外",IF($AE76&amp;""="00000000","在職",IF($AE76&amp;""='DB_設定'!$C$4,"4/1喪失","その他喪失"))))</f>
        <v>対象外</v>
      </c>
    </row>
    <row r="77">
      <c r="A77" t="n" s="2909">
        <v>21</v>
      </c>
      <c r="AA77" t="n" s="2909">
        <v>21</v>
      </c>
      <c r="AB77" t="inlineStr" s="2909">
        <is>
          <t>19830401</t>
        </is>
      </c>
      <c r="AD77" t="n" s="2909">
        <v>0</v>
      </c>
      <c r="AE77" t="inlineStr" s="2909">
        <is>
          <t>00000000</t>
        </is>
      </c>
      <c r="AH77" t="n" s="2909">
        <v>1</v>
      </c>
      <c r="AJ77" t="n" s="2909">
        <v>10</v>
      </c>
      <c r="AP77" t="n" s="2909">
        <v>360000</v>
      </c>
      <c r="DB77" s="2909" t="str">
        <f>IF($A77="","",IF($A77&lt;&gt;21,"対象外",IF($AE77&amp;""="00000000","在職",IF($AE77&amp;""='DB_設定'!$C$4,"4/1喪失","その他喪失"))))</f>
        <v>在職</v>
      </c>
    </row>
    <row r="78">
      <c r="A78" t="n" s="2909">
        <v>21</v>
      </c>
      <c r="AA78" t="n" s="2909">
        <v>21</v>
      </c>
      <c r="AB78" t="inlineStr" s="2909">
        <is>
          <t>19830401</t>
        </is>
      </c>
      <c r="AD78" t="n" s="2909">
        <v>0</v>
      </c>
      <c r="AE78" t="inlineStr" s="2909">
        <is>
          <t>00000000</t>
        </is>
      </c>
      <c r="AH78" t="n" s="2909">
        <v>1</v>
      </c>
      <c r="AJ78" t="n" s="2909">
        <v>10</v>
      </c>
      <c r="AP78" t="n" s="2909">
        <v>340000</v>
      </c>
      <c r="DB78" s="2909" t="str">
        <f>IF($A78="","",IF($A78&lt;&gt;21,"対象外",IF($AE78&amp;""="00000000","在職",IF($AE78&amp;""='DB_設定'!$C$4,"4/1喪失","その他喪失"))))</f>
        <v>在職</v>
      </c>
    </row>
    <row r="79">
      <c r="A79" t="n" s="2909">
        <v>21</v>
      </c>
      <c r="AA79" t="n" s="2909">
        <v>21</v>
      </c>
      <c r="AB79" t="inlineStr" s="2909">
        <is>
          <t>19870401</t>
        </is>
      </c>
      <c r="AD79" t="n" s="2909">
        <v>0</v>
      </c>
      <c r="AE79" t="inlineStr" s="2909">
        <is>
          <t>00000000</t>
        </is>
      </c>
      <c r="AH79" t="n" s="2909">
        <v>3</v>
      </c>
      <c r="AJ79" t="n" s="2909">
        <v>10</v>
      </c>
      <c r="AP79" t="n" s="2909">
        <v>410000</v>
      </c>
      <c r="DB79" s="2909" t="str">
        <f>IF($A79="","",IF($A79&lt;&gt;21,"対象外",IF($AE79&amp;""="00000000","在職",IF($AE79&amp;""='DB_設定'!$C$4,"4/1喪失","その他喪失"))))</f>
        <v>在職</v>
      </c>
    </row>
    <row r="80">
      <c r="A80" t="n" s="2909">
        <v>21</v>
      </c>
      <c r="AA80" t="n" s="2909">
        <v>21</v>
      </c>
      <c r="AB80" t="inlineStr" s="2909">
        <is>
          <t>19830411</t>
        </is>
      </c>
      <c r="AD80" t="n" s="2909">
        <v>0</v>
      </c>
      <c r="AE80" t="inlineStr" s="2909">
        <is>
          <t>00000000</t>
        </is>
      </c>
      <c r="AH80" t="n" s="2909">
        <v>5</v>
      </c>
      <c r="AJ80" t="n" s="2909">
        <v>10</v>
      </c>
      <c r="AP80" t="n" s="2909">
        <v>470000</v>
      </c>
      <c r="DB80" s="2909" t="str">
        <f>IF($A80="","",IF($A80&lt;&gt;21,"対象外",IF($AE80&amp;""="00000000","在職",IF($AE80&amp;""='DB_設定'!$C$4,"4/1喪失","その他喪失"))))</f>
        <v>在職</v>
      </c>
    </row>
    <row r="81">
      <c r="A81" t="n" s="2909">
        <v>31</v>
      </c>
      <c r="AA81" t="n" s="2909">
        <v>21</v>
      </c>
      <c r="AB81" t="inlineStr" s="2909">
        <is>
          <t>20241001</t>
        </is>
      </c>
      <c r="AD81" t="n" s="2909">
        <v>0</v>
      </c>
      <c r="AE81" t="inlineStr" s="2909">
        <is>
          <t>00000000</t>
        </is>
      </c>
      <c r="AH81" t="n" s="2909">
        <v>20</v>
      </c>
      <c r="AJ81" t="n" s="2909">
        <v>41</v>
      </c>
      <c r="AP81" t="n" s="2909">
        <v>170000</v>
      </c>
      <c r="DB81" s="2909" t="str">
        <f>IF($A81="","",IF($A81&lt;&gt;21,"対象外",IF($AE81&amp;""="00000000","在職",IF($AE81&amp;""='DB_設定'!$C$4,"4/1喪失","その他喪失"))))</f>
        <v>対象外</v>
      </c>
    </row>
    <row r="82">
      <c r="A82" t="n" s="2909">
        <v>21</v>
      </c>
      <c r="AA82" t="n" s="2909">
        <v>21</v>
      </c>
      <c r="AB82" t="inlineStr" s="2909">
        <is>
          <t>19830401</t>
        </is>
      </c>
      <c r="AD82" t="n" s="2909">
        <v>0</v>
      </c>
      <c r="AE82" t="inlineStr" s="2909">
        <is>
          <t>00000000</t>
        </is>
      </c>
      <c r="AH82" t="n" s="2909">
        <v>1</v>
      </c>
      <c r="AJ82" t="n" s="2909">
        <v>10</v>
      </c>
      <c r="AP82" t="n" s="2909">
        <v>340000</v>
      </c>
      <c r="DB82" s="2909" t="str">
        <f>IF($A82="","",IF($A82&lt;&gt;21,"対象外",IF($AE82&amp;""="00000000","在職",IF($AE82&amp;""='DB_設定'!$C$4,"4/1喪失","その他喪失"))))</f>
        <v>在職</v>
      </c>
    </row>
    <row r="83">
      <c r="A83" t="n" s="2909">
        <v>21</v>
      </c>
      <c r="AA83" t="n" s="2909">
        <v>21</v>
      </c>
      <c r="AB83" t="inlineStr" s="2909">
        <is>
          <t>20000401</t>
        </is>
      </c>
      <c r="AD83" t="n" s="2909">
        <v>0</v>
      </c>
      <c r="AE83" t="inlineStr" s="2909">
        <is>
          <t>00000000</t>
        </is>
      </c>
      <c r="AH83" t="n" s="2909">
        <v>11</v>
      </c>
      <c r="AJ83" t="n" s="2909">
        <v>10</v>
      </c>
      <c r="AP83" t="n" s="2909">
        <v>300000</v>
      </c>
      <c r="DB83" s="2909" t="str">
        <f>IF($A83="","",IF($A83&lt;&gt;21,"対象外",IF($AE83&amp;""="00000000","在職",IF($AE83&amp;""='DB_設定'!$C$4,"4/1喪失","その他喪失"))))</f>
        <v>在職</v>
      </c>
    </row>
    <row r="84">
      <c r="A84" t="n" s="2909">
        <v>21</v>
      </c>
      <c r="AA84" t="n" s="2909">
        <v>21</v>
      </c>
      <c r="AB84" t="inlineStr" s="2909">
        <is>
          <t>19920201</t>
        </is>
      </c>
      <c r="AD84" t="n" s="2909">
        <v>0</v>
      </c>
      <c r="AE84" t="inlineStr" s="2909">
        <is>
          <t>00000000</t>
        </is>
      </c>
      <c r="AH84" t="n" s="2909">
        <v>20</v>
      </c>
      <c r="AJ84" t="n" s="2909">
        <v>10</v>
      </c>
      <c r="AP84" t="n" s="2909">
        <v>380000</v>
      </c>
      <c r="DB84" s="2909" t="str">
        <f>IF($A84="","",IF($A84&lt;&gt;21,"対象外",IF($AE84&amp;""="00000000","在職",IF($AE84&amp;""='DB_設定'!$C$4,"4/1喪失","その他喪失"))))</f>
        <v>在職</v>
      </c>
    </row>
    <row r="85">
      <c r="A85" t="n" s="2909">
        <v>21</v>
      </c>
      <c r="AA85" t="n" s="2909">
        <v>21</v>
      </c>
      <c r="AB85" t="inlineStr" s="2909">
        <is>
          <t>19830401</t>
        </is>
      </c>
      <c r="AD85" t="n" s="2909">
        <v>0</v>
      </c>
      <c r="AE85" t="inlineStr" s="2909">
        <is>
          <t>00000000</t>
        </is>
      </c>
      <c r="AH85" t="n" s="2909">
        <v>1</v>
      </c>
      <c r="AJ85" t="n" s="2909">
        <v>10</v>
      </c>
      <c r="AP85" t="n" s="2909">
        <v>340000</v>
      </c>
      <c r="DB85" s="2909" t="str">
        <f>IF($A85="","",IF($A85&lt;&gt;21,"対象外",IF($AE85&amp;""="00000000","在職",IF($AE85&amp;""='DB_設定'!$C$4,"4/1喪失","その他喪失"))))</f>
        <v>在職</v>
      </c>
    </row>
    <row r="86">
      <c r="A86" t="n" s="2909">
        <v>21</v>
      </c>
      <c r="AA86" t="n" s="2909">
        <v>21</v>
      </c>
      <c r="AB86" t="inlineStr" s="2909">
        <is>
          <t>19870401</t>
        </is>
      </c>
      <c r="AD86" t="n" s="2909">
        <v>0</v>
      </c>
      <c r="AE86" t="inlineStr" s="2909">
        <is>
          <t>00000000</t>
        </is>
      </c>
      <c r="AH86" t="n" s="2909">
        <v>1</v>
      </c>
      <c r="AJ86" t="n" s="2909">
        <v>10</v>
      </c>
      <c r="AP86" t="n" s="2909">
        <v>380000</v>
      </c>
      <c r="DB86" s="2909" t="str">
        <f>IF($A86="","",IF($A86&lt;&gt;21,"対象外",IF($AE86&amp;""="00000000","在職",IF($AE86&amp;""='DB_設定'!$C$4,"4/1喪失","その他喪失"))))</f>
        <v>在職</v>
      </c>
    </row>
    <row r="87">
      <c r="A87" t="n" s="2909">
        <v>31</v>
      </c>
      <c r="AA87" t="n" s="2909">
        <v>21</v>
      </c>
      <c r="AB87" t="inlineStr" s="2909">
        <is>
          <t>20221001</t>
        </is>
      </c>
      <c r="AD87" t="n" s="2909">
        <v>0</v>
      </c>
      <c r="AE87" t="inlineStr" s="2909">
        <is>
          <t>00000000</t>
        </is>
      </c>
      <c r="AH87" t="n" s="2909">
        <v>11</v>
      </c>
      <c r="AJ87" t="n" s="2909">
        <v>41</v>
      </c>
      <c r="AP87" t="n" s="2909">
        <v>190000</v>
      </c>
      <c r="DB87" s="2909" t="str">
        <f>IF($A87="","",IF($A87&lt;&gt;21,"対象外",IF($AE87&amp;""="00000000","在職",IF($AE87&amp;""='DB_設定'!$C$4,"4/1喪失","その他喪失"))))</f>
        <v>対象外</v>
      </c>
    </row>
    <row r="88">
      <c r="A88" t="n" s="2909">
        <v>21</v>
      </c>
      <c r="AA88" t="n" s="2909">
        <v>21</v>
      </c>
      <c r="AB88" t="inlineStr" s="2909">
        <is>
          <t>19870401</t>
        </is>
      </c>
      <c r="AD88" t="n" s="2909">
        <v>0</v>
      </c>
      <c r="AE88" t="inlineStr" s="2909">
        <is>
          <t>00000000</t>
        </is>
      </c>
      <c r="AH88" t="n" s="2909">
        <v>1</v>
      </c>
      <c r="AJ88" t="n" s="2909">
        <v>10</v>
      </c>
      <c r="AP88" t="n" s="2909">
        <v>320000</v>
      </c>
      <c r="DB88" s="2909" t="str">
        <f>IF($A88="","",IF($A88&lt;&gt;21,"対象外",IF($AE88&amp;""="00000000","在職",IF($AE88&amp;""='DB_設定'!$C$4,"4/1喪失","その他喪失"))))</f>
        <v>在職</v>
      </c>
    </row>
    <row r="89">
      <c r="A89" t="n" s="2909">
        <v>21</v>
      </c>
      <c r="AA89" t="n" s="2909">
        <v>21</v>
      </c>
      <c r="AB89" t="inlineStr" s="2909">
        <is>
          <t>19880401</t>
        </is>
      </c>
      <c r="AD89" t="n" s="2909">
        <v>0</v>
      </c>
      <c r="AE89" t="inlineStr" s="2909">
        <is>
          <t>00000000</t>
        </is>
      </c>
      <c r="AH89" t="n" s="2909">
        <v>1</v>
      </c>
      <c r="AJ89" t="n" s="2909">
        <v>10</v>
      </c>
      <c r="AP89" t="n" s="2909">
        <v>360000</v>
      </c>
      <c r="DB89" s="2909" t="str">
        <f>IF($A89="","",IF($A89&lt;&gt;21,"対象外",IF($AE89&amp;""="00000000","在職",IF($AE89&amp;""='DB_設定'!$C$4,"4/1喪失","その他喪失"))))</f>
        <v>在職</v>
      </c>
    </row>
    <row r="90">
      <c r="A90" t="n" s="2909">
        <v>21</v>
      </c>
      <c r="AA90" t="n" s="2909">
        <v>21</v>
      </c>
      <c r="AB90" t="inlineStr" s="2909">
        <is>
          <t>19830501</t>
        </is>
      </c>
      <c r="AD90" t="n" s="2909">
        <v>0</v>
      </c>
      <c r="AE90" t="inlineStr" s="2909">
        <is>
          <t>00000000</t>
        </is>
      </c>
      <c r="AH90" t="n" s="2909">
        <v>1</v>
      </c>
      <c r="AJ90" t="n" s="2909">
        <v>10</v>
      </c>
      <c r="AP90" t="n" s="2909">
        <v>440000</v>
      </c>
      <c r="DB90" s="2909" t="str">
        <f>IF($A90="","",IF($A90&lt;&gt;21,"対象外",IF($AE90&amp;""="00000000","在職",IF($AE90&amp;""='DB_設定'!$C$4,"4/1喪失","その他喪失"))))</f>
        <v>在職</v>
      </c>
    </row>
    <row r="91">
      <c r="A91" t="n" s="2909">
        <v>21</v>
      </c>
      <c r="AA91" t="n" s="2909">
        <v>21</v>
      </c>
      <c r="AB91" t="inlineStr" s="2909">
        <is>
          <t>19940401</t>
        </is>
      </c>
      <c r="AD91" t="n" s="2909">
        <v>0</v>
      </c>
      <c r="AE91" t="inlineStr" s="2909">
        <is>
          <t>00000000</t>
        </is>
      </c>
      <c r="AH91" t="n" s="2909">
        <v>1</v>
      </c>
      <c r="AJ91" t="n" s="2909">
        <v>10</v>
      </c>
      <c r="AP91" t="n" s="2909">
        <v>410000</v>
      </c>
      <c r="DB91" s="2909" t="str">
        <f>IF($A91="","",IF($A91&lt;&gt;21,"対象外",IF($AE91&amp;""="00000000","在職",IF($AE91&amp;""='DB_設定'!$C$4,"4/1喪失","その他喪失"))))</f>
        <v>在職</v>
      </c>
    </row>
    <row r="92">
      <c r="A92" t="n" s="2909">
        <v>21</v>
      </c>
      <c r="AA92" t="n" s="2909">
        <v>21</v>
      </c>
      <c r="AB92" t="inlineStr" s="2909">
        <is>
          <t>19850320</t>
        </is>
      </c>
      <c r="AD92" t="n" s="2909">
        <v>0</v>
      </c>
      <c r="AE92" t="inlineStr" s="2909">
        <is>
          <t>00000000</t>
        </is>
      </c>
      <c r="AH92" t="n" s="2909">
        <v>5</v>
      </c>
      <c r="AJ92" t="n" s="2909">
        <v>10</v>
      </c>
      <c r="AP92" t="n" s="2909">
        <v>360000</v>
      </c>
      <c r="DB92" s="2909" t="str">
        <f>IF($A92="","",IF($A92&lt;&gt;21,"対象外",IF($AE92&amp;""="00000000","在職",IF($AE92&amp;""='DB_設定'!$C$4,"4/1喪失","その他喪失"))))</f>
        <v>在職</v>
      </c>
    </row>
    <row r="93">
      <c r="A93" t="n" s="2909">
        <v>21</v>
      </c>
      <c r="AA93" t="n" s="2909">
        <v>21</v>
      </c>
      <c r="AB93" t="inlineStr" s="2909">
        <is>
          <t>19840401</t>
        </is>
      </c>
      <c r="AD93" t="n" s="2909">
        <v>0</v>
      </c>
      <c r="AE93" t="inlineStr" s="2909">
        <is>
          <t>00000000</t>
        </is>
      </c>
      <c r="AH93" t="n" s="2909">
        <v>1</v>
      </c>
      <c r="AJ93" t="n" s="2909">
        <v>10</v>
      </c>
      <c r="AP93" t="n" s="2909">
        <v>380000</v>
      </c>
      <c r="DB93" s="2909" t="str">
        <f>IF($A93="","",IF($A93&lt;&gt;21,"対象外",IF($AE93&amp;""="00000000","在職",IF($AE93&amp;""='DB_設定'!$C$4,"4/1喪失","その他喪失"))))</f>
        <v>在職</v>
      </c>
    </row>
    <row r="94">
      <c r="A94" t="n" s="2909">
        <v>21</v>
      </c>
      <c r="AA94" t="n" s="2909">
        <v>21</v>
      </c>
      <c r="AB94" t="inlineStr" s="2909">
        <is>
          <t>19880401</t>
        </is>
      </c>
      <c r="AD94" t="n" s="2909">
        <v>0</v>
      </c>
      <c r="AE94" t="inlineStr" s="2909">
        <is>
          <t>00000000</t>
        </is>
      </c>
      <c r="AH94" t="n" s="2909">
        <v>3</v>
      </c>
      <c r="AJ94" t="n" s="2909">
        <v>10</v>
      </c>
      <c r="AP94" t="n" s="2909">
        <v>380000</v>
      </c>
      <c r="DB94" s="2909" t="str">
        <f>IF($A94="","",IF($A94&lt;&gt;21,"対象外",IF($AE94&amp;""="00000000","在職",IF($AE94&amp;""='DB_設定'!$C$4,"4/1喪失","その他喪失"))))</f>
        <v>在職</v>
      </c>
    </row>
    <row r="95">
      <c r="A95" t="n" s="2909">
        <v>31</v>
      </c>
      <c r="AA95" t="n" s="2909">
        <v>21</v>
      </c>
      <c r="AB95" t="inlineStr" s="2909">
        <is>
          <t>20250401</t>
        </is>
      </c>
      <c r="AD95" t="n" s="2909">
        <v>0</v>
      </c>
      <c r="AE95" t="inlineStr" s="2909">
        <is>
          <t>00000000</t>
        </is>
      </c>
      <c r="AH95" t="n" s="2909">
        <v>20</v>
      </c>
      <c r="AJ95" t="n" s="2909">
        <v>41</v>
      </c>
      <c r="AP95" t="n" s="2909">
        <v>300000</v>
      </c>
      <c r="DB95" s="2909" t="str">
        <f>IF($A95="","",IF($A95&lt;&gt;21,"対象外",IF($AE95&amp;""="00000000","在職",IF($AE95&amp;""='DB_設定'!$C$4,"4/1喪失","その他喪失"))))</f>
        <v>対象外</v>
      </c>
    </row>
    <row r="96">
      <c r="A96" t="n" s="2909">
        <v>21</v>
      </c>
      <c r="AA96" t="n" s="2909">
        <v>21</v>
      </c>
      <c r="AB96" t="inlineStr" s="2909">
        <is>
          <t>19900401</t>
        </is>
      </c>
      <c r="AD96" t="n" s="2909">
        <v>0</v>
      </c>
      <c r="AE96" t="inlineStr" s="2909">
        <is>
          <t>00000000</t>
        </is>
      </c>
      <c r="AH96" t="n" s="2909">
        <v>11</v>
      </c>
      <c r="AJ96" t="n" s="2909">
        <v>10</v>
      </c>
      <c r="AP96" t="n" s="2909">
        <v>320000</v>
      </c>
      <c r="DB96" s="2909" t="str">
        <f>IF($A96="","",IF($A96&lt;&gt;21,"対象外",IF($AE96&amp;""="00000000","在職",IF($AE96&amp;""='DB_設定'!$C$4,"4/1喪失","その他喪失"))))</f>
        <v>在職</v>
      </c>
    </row>
    <row r="97">
      <c r="A97" t="n" s="2909">
        <v>21</v>
      </c>
      <c r="AA97" t="n" s="2909">
        <v>21</v>
      </c>
      <c r="AB97" t="inlineStr" s="2909">
        <is>
          <t>19870401</t>
        </is>
      </c>
      <c r="AD97" t="n" s="2909">
        <v>0</v>
      </c>
      <c r="AE97" t="inlineStr" s="2909">
        <is>
          <t>00000000</t>
        </is>
      </c>
      <c r="AH97" t="n" s="2909">
        <v>1</v>
      </c>
      <c r="AJ97" t="n" s="2909">
        <v>10</v>
      </c>
      <c r="AP97" t="n" s="2909">
        <v>360000</v>
      </c>
      <c r="DB97" s="2909" t="str">
        <f>IF($A97="","",IF($A97&lt;&gt;21,"対象外",IF($AE97&amp;""="00000000","在職",IF($AE97&amp;""='DB_設定'!$C$4,"4/1喪失","その他喪失"))))</f>
        <v>在職</v>
      </c>
    </row>
    <row r="98">
      <c r="A98" t="n" s="2909">
        <v>31</v>
      </c>
      <c r="AA98" t="n" s="2909">
        <v>21</v>
      </c>
      <c r="AB98" t="inlineStr" s="2909">
        <is>
          <t>20221001</t>
        </is>
      </c>
      <c r="AD98" t="n" s="2909">
        <v>0</v>
      </c>
      <c r="AE98" t="inlineStr" s="2909">
        <is>
          <t>00000000</t>
        </is>
      </c>
      <c r="AH98" t="n" s="2909">
        <v>20</v>
      </c>
      <c r="AJ98" t="n" s="2909">
        <v>41</v>
      </c>
      <c r="AP98" t="n" s="2909">
        <v>260000</v>
      </c>
      <c r="DB98" s="2909" t="str">
        <f>IF($A98="","",IF($A98&lt;&gt;21,"対象外",IF($AE98&amp;""="00000000","在職",IF($AE98&amp;""='DB_設定'!$C$4,"4/1喪失","その他喪失"))))</f>
        <v>対象外</v>
      </c>
    </row>
    <row r="99">
      <c r="A99" t="n" s="2909">
        <v>31</v>
      </c>
      <c r="AA99" t="n" s="2909">
        <v>21</v>
      </c>
      <c r="AB99" t="inlineStr" s="2909">
        <is>
          <t>20250401</t>
        </is>
      </c>
      <c r="AD99" t="n" s="2909">
        <v>0</v>
      </c>
      <c r="AE99" t="inlineStr" s="2909">
        <is>
          <t>00000000</t>
        </is>
      </c>
      <c r="AH99" t="n" s="2909">
        <v>11</v>
      </c>
      <c r="AJ99" t="n" s="2909">
        <v>41</v>
      </c>
      <c r="AP99" t="n" s="2909">
        <v>200000</v>
      </c>
      <c r="DB99" s="2909" t="str">
        <f>IF($A99="","",IF($A99&lt;&gt;21,"対象外",IF($AE99&amp;""="00000000","在職",IF($AE99&amp;""='DB_設定'!$C$4,"4/1喪失","その他喪失"))))</f>
        <v>対象外</v>
      </c>
    </row>
    <row r="100">
      <c r="A100" t="n" s="2909">
        <v>21</v>
      </c>
      <c r="AA100" t="n" s="2909">
        <v>21</v>
      </c>
      <c r="AB100" t="inlineStr" s="2909">
        <is>
          <t>19840401</t>
        </is>
      </c>
      <c r="AD100" t="n" s="2909">
        <v>0</v>
      </c>
      <c r="AE100" t="inlineStr" s="2909">
        <is>
          <t>00000000</t>
        </is>
      </c>
      <c r="AH100" t="n" s="2909">
        <v>4</v>
      </c>
      <c r="AJ100" t="n" s="2909">
        <v>10</v>
      </c>
      <c r="AP100" t="n" s="2909">
        <v>360000</v>
      </c>
      <c r="DB100" s="2909" t="str">
        <f>IF($A100="","",IF($A100&lt;&gt;21,"対象外",IF($AE100&amp;""="00000000","在職",IF($AE100&amp;""='DB_設定'!$C$4,"4/1喪失","その他喪失"))))</f>
        <v>在職</v>
      </c>
    </row>
    <row r="101">
      <c r="A101" t="n" s="2909">
        <v>21</v>
      </c>
      <c r="AA101" t="n" s="2909">
        <v>21</v>
      </c>
      <c r="AB101" t="inlineStr" s="2909">
        <is>
          <t>19830401</t>
        </is>
      </c>
      <c r="AD101" t="n" s="2909">
        <v>0</v>
      </c>
      <c r="AE101" t="inlineStr" s="2909">
        <is>
          <t>00000000</t>
        </is>
      </c>
      <c r="AH101" t="n" s="2909">
        <v>1</v>
      </c>
      <c r="AJ101" t="n" s="2909">
        <v>10</v>
      </c>
      <c r="AP101" t="n" s="2909">
        <v>410000</v>
      </c>
      <c r="DB101" s="2909" t="str">
        <f>IF($A101="","",IF($A101&lt;&gt;21,"対象外",IF($AE101&amp;""="00000000","在職",IF($AE101&amp;""='DB_設定'!$C$4,"4/1喪失","その他喪失"))))</f>
        <v>在職</v>
      </c>
    </row>
    <row r="102">
      <c r="A102" t="n" s="2909">
        <v>21</v>
      </c>
      <c r="AA102" t="n" s="2909">
        <v>21</v>
      </c>
      <c r="AB102" t="inlineStr" s="2909">
        <is>
          <t>19870401</t>
        </is>
      </c>
      <c r="AD102" t="n" s="2909">
        <v>0</v>
      </c>
      <c r="AE102" t="inlineStr" s="2909">
        <is>
          <t>00000000</t>
        </is>
      </c>
      <c r="AH102" t="n" s="2909">
        <v>1</v>
      </c>
      <c r="AJ102" t="n" s="2909">
        <v>10</v>
      </c>
      <c r="AP102" t="n" s="2909">
        <v>440000</v>
      </c>
      <c r="DB102" s="2909" t="str">
        <f>IF($A102="","",IF($A102&lt;&gt;21,"対象外",IF($AE102&amp;""="00000000","在職",IF($AE102&amp;""='DB_設定'!$C$4,"4/1喪失","その他喪失"))))</f>
        <v>在職</v>
      </c>
    </row>
    <row r="103">
      <c r="A103" t="n" s="2909">
        <v>31</v>
      </c>
      <c r="AA103" t="n" s="2909">
        <v>21</v>
      </c>
      <c r="AB103" t="inlineStr" s="2909">
        <is>
          <t>20250401</t>
        </is>
      </c>
      <c r="AD103" t="n" s="2909">
        <v>0</v>
      </c>
      <c r="AE103" t="inlineStr" s="2909">
        <is>
          <t>00000000</t>
        </is>
      </c>
      <c r="AH103" t="n" s="2909">
        <v>1</v>
      </c>
      <c r="AJ103" t="n" s="2909">
        <v>41</v>
      </c>
      <c r="AP103" t="n" s="2909">
        <v>220000</v>
      </c>
      <c r="DB103" s="2909" t="str">
        <f>IF($A103="","",IF($A103&lt;&gt;21,"対象外",IF($AE103&amp;""="00000000","在職",IF($AE103&amp;""='DB_設定'!$C$4,"4/1喪失","その他喪失"))))</f>
        <v>対象外</v>
      </c>
    </row>
    <row r="104">
      <c r="A104" t="n" s="2909">
        <v>215</v>
      </c>
      <c r="AA104" t="n" s="2909">
        <v>21</v>
      </c>
      <c r="AB104" t="inlineStr" s="2909">
        <is>
          <t>20250401</t>
        </is>
      </c>
      <c r="AD104" t="n" s="2909">
        <v>0</v>
      </c>
      <c r="AE104" t="inlineStr" s="2909">
        <is>
          <t>00000000</t>
        </is>
      </c>
      <c r="AH104" t="n" s="2909">
        <v>20</v>
      </c>
      <c r="AJ104" t="n" s="2909">
        <v>11</v>
      </c>
      <c r="AP104" t="n" s="2909">
        <v>620000</v>
      </c>
      <c r="DB104" s="2909" t="str">
        <f>IF($A104="","",IF($A104&lt;&gt;21,"対象外",IF($AE104&amp;""="00000000","在職",IF($AE104&amp;""='DB_設定'!$C$4,"4/1喪失","その他喪失"))))</f>
        <v>対象外</v>
      </c>
    </row>
    <row r="105">
      <c r="A105" t="n" s="2909">
        <v>21</v>
      </c>
      <c r="AA105" t="n" s="2909">
        <v>21</v>
      </c>
      <c r="AB105" t="inlineStr" s="2909">
        <is>
          <t>19830401</t>
        </is>
      </c>
      <c r="AD105" t="n" s="2909">
        <v>0</v>
      </c>
      <c r="AE105" t="inlineStr" s="2909">
        <is>
          <t>00000000</t>
        </is>
      </c>
      <c r="AH105" t="n" s="2909">
        <v>1</v>
      </c>
      <c r="AJ105" t="n" s="2909">
        <v>10</v>
      </c>
      <c r="AP105" t="n" s="2909">
        <v>360000</v>
      </c>
      <c r="DB105" s="2909" t="str">
        <f>IF($A105="","",IF($A105&lt;&gt;21,"対象外",IF($AE105&amp;""="00000000","在職",IF($AE105&amp;""='DB_設定'!$C$4,"4/1喪失","その他喪失"))))</f>
        <v>在職</v>
      </c>
    </row>
    <row r="106">
      <c r="A106" t="n" s="2909">
        <v>21</v>
      </c>
      <c r="AA106" t="n" s="2909">
        <v>21</v>
      </c>
      <c r="AB106" t="inlineStr" s="2909">
        <is>
          <t>19830401</t>
        </is>
      </c>
      <c r="AD106" t="n" s="2909">
        <v>0</v>
      </c>
      <c r="AE106" t="inlineStr" s="2909">
        <is>
          <t>00000000</t>
        </is>
      </c>
      <c r="AH106" t="n" s="2909">
        <v>1</v>
      </c>
      <c r="AJ106" t="n" s="2909">
        <v>10</v>
      </c>
      <c r="AP106" t="n" s="2909">
        <v>340000</v>
      </c>
      <c r="DB106" s="2909" t="str">
        <f>IF($A106="","",IF($A106&lt;&gt;21,"対象外",IF($AE106&amp;""="00000000","在職",IF($AE106&amp;""='DB_設定'!$C$4,"4/1喪失","その他喪失"))))</f>
        <v>在職</v>
      </c>
    </row>
    <row r="107">
      <c r="A107" t="n" s="2909">
        <v>21</v>
      </c>
      <c r="AA107" t="n" s="2909">
        <v>21</v>
      </c>
      <c r="AB107" t="inlineStr" s="2909">
        <is>
          <t>19890401</t>
        </is>
      </c>
      <c r="AD107" t="n" s="2909">
        <v>0</v>
      </c>
      <c r="AE107" t="inlineStr" s="2909">
        <is>
          <t>00000000</t>
        </is>
      </c>
      <c r="AH107" t="n" s="2909">
        <v>3</v>
      </c>
      <c r="AJ107" t="n" s="2909">
        <v>10</v>
      </c>
      <c r="AP107" t="n" s="2909">
        <v>410000</v>
      </c>
      <c r="DB107" s="2909" t="str">
        <f>IF($A107="","",IF($A107&lt;&gt;21,"対象外",IF($AE107&amp;""="00000000","在職",IF($AE107&amp;""='DB_設定'!$C$4,"4/1喪失","その他喪失"))))</f>
        <v>在職</v>
      </c>
    </row>
    <row r="108">
      <c r="A108" t="n" s="2909">
        <v>21</v>
      </c>
      <c r="AA108" t="n" s="2909">
        <v>21</v>
      </c>
      <c r="AB108" t="inlineStr" s="2909">
        <is>
          <t>19890401</t>
        </is>
      </c>
      <c r="AD108" t="n" s="2909">
        <v>0</v>
      </c>
      <c r="AE108" t="inlineStr" s="2909">
        <is>
          <t>00000000</t>
        </is>
      </c>
      <c r="AH108" t="n" s="2909">
        <v>48</v>
      </c>
      <c r="AJ108" t="n" s="2909">
        <v>74</v>
      </c>
      <c r="AP108" t="n" s="2909">
        <v>340000</v>
      </c>
      <c r="DB108" s="2909" t="str">
        <f>IF($A108="","",IF($A108&lt;&gt;21,"対象外",IF($AE108&amp;""="00000000","在職",IF($AE108&amp;""='DB_設定'!$C$4,"4/1喪失","その他喪失"))))</f>
        <v>在職</v>
      </c>
    </row>
    <row r="109">
      <c r="A109" t="n" s="2909">
        <v>31</v>
      </c>
      <c r="AA109" t="n" s="2909">
        <v>21</v>
      </c>
      <c r="AB109" t="inlineStr" s="2909">
        <is>
          <t>20250401</t>
        </is>
      </c>
      <c r="AD109" t="n" s="2909">
        <v>0</v>
      </c>
      <c r="AE109" t="inlineStr" s="2909">
        <is>
          <t>00000000</t>
        </is>
      </c>
      <c r="AH109" t="n" s="2909">
        <v>1</v>
      </c>
      <c r="AJ109" t="n" s="2909">
        <v>41</v>
      </c>
      <c r="AP109" t="n" s="2909">
        <v>220000</v>
      </c>
      <c r="DB109" s="2909" t="str">
        <f>IF($A109="","",IF($A109&lt;&gt;21,"対象外",IF($AE109&amp;""="00000000","在職",IF($AE109&amp;""='DB_設定'!$C$4,"4/1喪失","その他喪失"))))</f>
        <v>対象外</v>
      </c>
    </row>
    <row r="110">
      <c r="A110" t="n" s="2909">
        <v>31</v>
      </c>
      <c r="AA110" t="n" s="2909">
        <v>21</v>
      </c>
      <c r="AB110" t="inlineStr" s="2909">
        <is>
          <t>20221001</t>
        </is>
      </c>
      <c r="AD110" t="n" s="2909">
        <v>0</v>
      </c>
      <c r="AE110" t="inlineStr" s="2909">
        <is>
          <t>00000000</t>
        </is>
      </c>
      <c r="AH110" t="n" s="2909">
        <v>11</v>
      </c>
      <c r="AJ110" t="n" s="2909">
        <v>41</v>
      </c>
      <c r="AP110" t="n" s="2909">
        <v>180000</v>
      </c>
      <c r="DB110" s="2909" t="str">
        <f>IF($A110="","",IF($A110&lt;&gt;21,"対象外",IF($AE110&amp;""="00000000","在職",IF($AE110&amp;""='DB_設定'!$C$4,"4/1喪失","その他喪失"))))</f>
        <v>対象外</v>
      </c>
    </row>
    <row r="111">
      <c r="A111" t="n" s="2909">
        <v>21</v>
      </c>
      <c r="AA111" t="n" s="2909">
        <v>24</v>
      </c>
      <c r="AB111" t="inlineStr" s="2909">
        <is>
          <t>20250701</t>
        </is>
      </c>
      <c r="AD111" t="n" s="2909">
        <v>0</v>
      </c>
      <c r="AE111" t="inlineStr" s="2909">
        <is>
          <t>00000000</t>
        </is>
      </c>
      <c r="AH111" t="n" s="2909">
        <v>1</v>
      </c>
      <c r="AJ111" t="n" s="2909">
        <v>11</v>
      </c>
      <c r="AP111" t="n" s="2909">
        <v>1090000</v>
      </c>
      <c r="DB111" s="2909" t="str">
        <f>IF($A111="","",IF($A111&lt;&gt;21,"対象外",IF($AE111&amp;""="00000000","在職",IF($AE111&amp;""='DB_設定'!$C$4,"4/1喪失","その他喪失"))))</f>
        <v>在職</v>
      </c>
    </row>
    <row r="112">
      <c r="A112" t="n" s="2909">
        <v>21</v>
      </c>
      <c r="AA112" t="n" s="2909">
        <v>21</v>
      </c>
      <c r="AB112" t="inlineStr" s="2909">
        <is>
          <t>19831001</t>
        </is>
      </c>
      <c r="AD112" t="n" s="2909">
        <v>0</v>
      </c>
      <c r="AE112" t="inlineStr" s="2909">
        <is>
          <t>00000000</t>
        </is>
      </c>
      <c r="AH112" t="n" s="2909">
        <v>39</v>
      </c>
      <c r="AJ112" t="n" s="2909">
        <v>74</v>
      </c>
      <c r="AP112" t="n" s="2909">
        <v>360000</v>
      </c>
      <c r="DB112" s="2909" t="str">
        <f>IF($A112="","",IF($A112&lt;&gt;21,"対象外",IF($AE112&amp;""="00000000","在職",IF($AE112&amp;""='DB_設定'!$C$4,"4/1喪失","その他喪失"))))</f>
        <v>在職</v>
      </c>
    </row>
    <row r="113">
      <c r="A113" t="n" s="2909">
        <v>31</v>
      </c>
      <c r="AA113" t="n" s="2909">
        <v>21</v>
      </c>
      <c r="AB113" t="inlineStr" s="2909">
        <is>
          <t>20250401</t>
        </is>
      </c>
      <c r="AD113" t="n" s="2909">
        <v>0</v>
      </c>
      <c r="AE113" t="inlineStr" s="2909">
        <is>
          <t>00000000</t>
        </is>
      </c>
      <c r="AH113" t="n" s="2909">
        <v>4</v>
      </c>
      <c r="AJ113" t="n" s="2909">
        <v>41</v>
      </c>
      <c r="AP113" t="n" s="2909">
        <v>240000</v>
      </c>
      <c r="DB113" s="2909" t="str">
        <f>IF($A113="","",IF($A113&lt;&gt;21,"対象外",IF($AE113&amp;""="00000000","在職",IF($AE113&amp;""='DB_設定'!$C$4,"4/1喪失","その他喪失"))))</f>
        <v>対象外</v>
      </c>
    </row>
    <row r="114">
      <c r="A114" t="n" s="2909">
        <v>21</v>
      </c>
      <c r="AA114" t="n" s="2909">
        <v>21</v>
      </c>
      <c r="AB114" t="inlineStr" s="2909">
        <is>
          <t>19890401</t>
        </is>
      </c>
      <c r="AD114" t="n" s="2909">
        <v>0</v>
      </c>
      <c r="AE114" t="inlineStr" s="2909">
        <is>
          <t>00000000</t>
        </is>
      </c>
      <c r="AH114" t="n" s="2909">
        <v>1</v>
      </c>
      <c r="AJ114" t="n" s="2909">
        <v>10</v>
      </c>
      <c r="AP114" t="n" s="2909">
        <v>340000</v>
      </c>
      <c r="DB114" s="2909" t="str">
        <f>IF($A114="","",IF($A114&lt;&gt;21,"対象外",IF($AE114&amp;""="00000000","在職",IF($AE114&amp;""='DB_設定'!$C$4,"4/1喪失","その他喪失"))))</f>
        <v>在職</v>
      </c>
    </row>
    <row r="115">
      <c r="A115" t="n" s="2909">
        <v>31</v>
      </c>
      <c r="AA115" t="n" s="2909">
        <v>21</v>
      </c>
      <c r="AB115" t="inlineStr" s="2909">
        <is>
          <t>20221001</t>
        </is>
      </c>
      <c r="AD115" t="n" s="2909">
        <v>0</v>
      </c>
      <c r="AE115" t="inlineStr" s="2909">
        <is>
          <t>00000000</t>
        </is>
      </c>
      <c r="AH115" t="n" s="2909">
        <v>20</v>
      </c>
      <c r="AJ115" t="n" s="2909">
        <v>41</v>
      </c>
      <c r="AP115" t="n" s="2909">
        <v>260000</v>
      </c>
      <c r="DB115" s="2909" t="str">
        <f>IF($A115="","",IF($A115&lt;&gt;21,"対象外",IF($AE115&amp;""="00000000","在職",IF($AE115&amp;""='DB_設定'!$C$4,"4/1喪失","その他喪失"))))</f>
        <v>対象外</v>
      </c>
    </row>
    <row r="116">
      <c r="A116" t="n" s="2909">
        <v>21</v>
      </c>
      <c r="AA116" t="n" s="2909">
        <v>21</v>
      </c>
      <c r="AB116" t="inlineStr" s="2909">
        <is>
          <t>19830401</t>
        </is>
      </c>
      <c r="AD116" t="n" s="2909">
        <v>0</v>
      </c>
      <c r="AE116" t="inlineStr" s="2909">
        <is>
          <t>00000000</t>
        </is>
      </c>
      <c r="AH116" t="n" s="2909">
        <v>1</v>
      </c>
      <c r="AJ116" t="n" s="2909">
        <v>10</v>
      </c>
      <c r="AP116" t="n" s="2909">
        <v>380000</v>
      </c>
      <c r="DB116" s="2909" t="str">
        <f>IF($A116="","",IF($A116&lt;&gt;21,"対象外",IF($AE116&amp;""="00000000","在職",IF($AE116&amp;""='DB_設定'!$C$4,"4/1喪失","その他喪失"))))</f>
        <v>在職</v>
      </c>
    </row>
    <row r="117">
      <c r="A117" t="n" s="2909">
        <v>21</v>
      </c>
      <c r="AA117" t="n" s="2909">
        <v>21</v>
      </c>
      <c r="AB117" t="inlineStr" s="2909">
        <is>
          <t>19840401</t>
        </is>
      </c>
      <c r="AD117" t="n" s="2909">
        <v>0</v>
      </c>
      <c r="AE117" t="inlineStr" s="2909">
        <is>
          <t>00000000</t>
        </is>
      </c>
      <c r="AH117" t="n" s="2909">
        <v>1</v>
      </c>
      <c r="AJ117" t="n" s="2909">
        <v>10</v>
      </c>
      <c r="AP117" t="n" s="2909">
        <v>360000</v>
      </c>
      <c r="DB117" s="2909" t="str">
        <f>IF($A117="","",IF($A117&lt;&gt;21,"対象外",IF($AE117&amp;""="00000000","在職",IF($AE117&amp;""='DB_設定'!$C$4,"4/1喪失","その他喪失"))))</f>
        <v>在職</v>
      </c>
    </row>
    <row r="118">
      <c r="A118" t="n" s="2909">
        <v>21</v>
      </c>
      <c r="AA118" t="n" s="2909">
        <v>21</v>
      </c>
      <c r="AB118" t="inlineStr" s="2909">
        <is>
          <t>19840401</t>
        </is>
      </c>
      <c r="AD118" t="n" s="2909">
        <v>0</v>
      </c>
      <c r="AE118" t="inlineStr" s="2909">
        <is>
          <t>00000000</t>
        </is>
      </c>
      <c r="AH118" t="n" s="2909">
        <v>4</v>
      </c>
      <c r="AJ118" t="n" s="2909">
        <v>10</v>
      </c>
      <c r="AP118" t="n" s="2909">
        <v>380000</v>
      </c>
      <c r="DB118" s="2909" t="str">
        <f>IF($A118="","",IF($A118&lt;&gt;21,"対象外",IF($AE118&amp;""="00000000","在職",IF($AE118&amp;""='DB_設定'!$C$4,"4/1喪失","その他喪失"))))</f>
        <v>在職</v>
      </c>
    </row>
    <row r="119">
      <c r="A119" t="n" s="2909">
        <v>21</v>
      </c>
      <c r="AA119" t="n" s="2909">
        <v>21</v>
      </c>
      <c r="AB119" t="inlineStr" s="2909">
        <is>
          <t>19970401</t>
        </is>
      </c>
      <c r="AD119" t="n" s="2909">
        <v>0</v>
      </c>
      <c r="AE119" t="inlineStr" s="2909">
        <is>
          <t>00000000</t>
        </is>
      </c>
      <c r="AH119" t="n" s="2909">
        <v>11</v>
      </c>
      <c r="AJ119" t="n" s="2909">
        <v>10</v>
      </c>
      <c r="AP119" t="n" s="2909">
        <v>320000</v>
      </c>
      <c r="DB119" s="2909" t="str">
        <f>IF($A119="","",IF($A119&lt;&gt;21,"対象外",IF($AE119&amp;""="00000000","在職",IF($AE119&amp;""='DB_設定'!$C$4,"4/1喪失","その他喪失"))))</f>
        <v>在職</v>
      </c>
    </row>
    <row r="120">
      <c r="A120" t="n" s="2909">
        <v>21</v>
      </c>
      <c r="AA120" t="n" s="2909">
        <v>21</v>
      </c>
      <c r="AB120" t="inlineStr" s="2909">
        <is>
          <t>19900401</t>
        </is>
      </c>
      <c r="AD120" t="n" s="2909">
        <v>0</v>
      </c>
      <c r="AE120" t="inlineStr" s="2909">
        <is>
          <t>00000000</t>
        </is>
      </c>
      <c r="AH120" t="n" s="2909">
        <v>1</v>
      </c>
      <c r="AJ120" t="n" s="2909">
        <v>10</v>
      </c>
      <c r="AP120" t="n" s="2909">
        <v>410000</v>
      </c>
      <c r="DB120" s="2909" t="str">
        <f>IF($A120="","",IF($A120&lt;&gt;21,"対象外",IF($AE120&amp;""="00000000","在職",IF($AE120&amp;""='DB_設定'!$C$4,"4/1喪失","その他喪失"))))</f>
        <v>在職</v>
      </c>
    </row>
    <row r="121">
      <c r="A121" t="n" s="2909">
        <v>31</v>
      </c>
      <c r="AA121" t="n" s="2909">
        <v>21</v>
      </c>
      <c r="AB121" t="inlineStr" s="2909">
        <is>
          <t>20250401</t>
        </is>
      </c>
      <c r="AD121" t="n" s="2909">
        <v>0</v>
      </c>
      <c r="AE121" t="inlineStr" s="2909">
        <is>
          <t>00000000</t>
        </is>
      </c>
      <c r="AH121" t="n" s="2909">
        <v>3</v>
      </c>
      <c r="AJ121" t="n" s="2909">
        <v>41</v>
      </c>
      <c r="AP121" t="n" s="2909">
        <v>240000</v>
      </c>
      <c r="DB121" s="2909" t="str">
        <f>IF($A121="","",IF($A121&lt;&gt;21,"対象外",IF($AE121&amp;""="00000000","在職",IF($AE121&amp;""='DB_設定'!$C$4,"4/1喪失","その他喪失"))))</f>
        <v>対象外</v>
      </c>
    </row>
    <row r="122">
      <c r="A122" t="n" s="2909">
        <v>21</v>
      </c>
      <c r="AA122" t="n" s="2909">
        <v>21</v>
      </c>
      <c r="AB122" t="inlineStr" s="2909">
        <is>
          <t>19940401</t>
        </is>
      </c>
      <c r="AD122" t="n" s="2909">
        <v>0</v>
      </c>
      <c r="AE122" t="inlineStr" s="2909">
        <is>
          <t>00000000</t>
        </is>
      </c>
      <c r="AH122" t="n" s="2909">
        <v>1</v>
      </c>
      <c r="AJ122" t="n" s="2909">
        <v>10</v>
      </c>
      <c r="AP122" t="n" s="2909">
        <v>320000</v>
      </c>
      <c r="DB122" s="2909" t="str">
        <f>IF($A122="","",IF($A122&lt;&gt;21,"対象外",IF($AE122&amp;""="00000000","在職",IF($AE122&amp;""='DB_設定'!$C$4,"4/1喪失","その他喪失"))))</f>
        <v>在職</v>
      </c>
    </row>
    <row r="123">
      <c r="A123" t="n" s="2909">
        <v>21</v>
      </c>
      <c r="AA123" t="n" s="2909">
        <v>21</v>
      </c>
      <c r="AB123" t="inlineStr" s="2909">
        <is>
          <t>20200601</t>
        </is>
      </c>
      <c r="AD123" t="n" s="2909">
        <v>0</v>
      </c>
      <c r="AE123" t="inlineStr" s="2909">
        <is>
          <t>00000000</t>
        </is>
      </c>
      <c r="AH123" t="n" s="2909">
        <v>20</v>
      </c>
      <c r="AJ123" t="n" s="2909">
        <v>10</v>
      </c>
      <c r="AP123" t="n" s="2909">
        <v>410000</v>
      </c>
      <c r="DB123" s="2909" t="str">
        <f>IF($A123="","",IF($A123&lt;&gt;21,"対象外",IF($AE123&amp;""="00000000","在職",IF($AE123&amp;""='DB_設定'!$C$4,"4/1喪失","その他喪失"))))</f>
        <v>在職</v>
      </c>
    </row>
    <row r="124">
      <c r="A124" t="n" s="2909">
        <v>21</v>
      </c>
      <c r="AA124" t="n" s="2909">
        <v>21</v>
      </c>
      <c r="AB124" t="inlineStr" s="2909">
        <is>
          <t>19840401</t>
        </is>
      </c>
      <c r="AD124" t="n" s="2909">
        <v>0</v>
      </c>
      <c r="AE124" t="inlineStr" s="2909">
        <is>
          <t>00000000</t>
        </is>
      </c>
      <c r="AH124" t="n" s="2909">
        <v>4</v>
      </c>
      <c r="AJ124" t="n" s="2909">
        <v>10</v>
      </c>
      <c r="AP124" t="n" s="2909">
        <v>380000</v>
      </c>
      <c r="DB124" s="2909" t="str">
        <f>IF($A124="","",IF($A124&lt;&gt;21,"対象外",IF($AE124&amp;""="00000000","在職",IF($AE124&amp;""='DB_設定'!$C$4,"4/1喪失","その他喪失"))))</f>
        <v>在職</v>
      </c>
    </row>
    <row r="125">
      <c r="A125" t="n" s="2909">
        <v>21</v>
      </c>
      <c r="AA125" t="n" s="2909">
        <v>21</v>
      </c>
      <c r="AB125" t="inlineStr" s="2909">
        <is>
          <t>19870401</t>
        </is>
      </c>
      <c r="AD125" t="n" s="2909">
        <v>0</v>
      </c>
      <c r="AE125" t="inlineStr" s="2909">
        <is>
          <t>00000000</t>
        </is>
      </c>
      <c r="AH125" t="n" s="2909">
        <v>1</v>
      </c>
      <c r="AJ125" t="n" s="2909">
        <v>10</v>
      </c>
      <c r="AP125" t="n" s="2909">
        <v>340000</v>
      </c>
      <c r="DB125" s="2909" t="str">
        <f>IF($A125="","",IF($A125&lt;&gt;21,"対象外",IF($AE125&amp;""="00000000","在職",IF($AE125&amp;""='DB_設定'!$C$4,"4/1喪失","その他喪失"))))</f>
        <v>在職</v>
      </c>
    </row>
    <row r="126">
      <c r="A126" t="n" s="2909">
        <v>21</v>
      </c>
      <c r="AA126" t="n" s="2909">
        <v>21</v>
      </c>
      <c r="AB126" t="inlineStr" s="2909">
        <is>
          <t>19870401</t>
        </is>
      </c>
      <c r="AD126" t="n" s="2909">
        <v>0</v>
      </c>
      <c r="AE126" t="inlineStr" s="2909">
        <is>
          <t>00000000</t>
        </is>
      </c>
      <c r="AH126" t="n" s="2909">
        <v>1</v>
      </c>
      <c r="AJ126" t="n" s="2909">
        <v>10</v>
      </c>
      <c r="AP126" t="n" s="2909">
        <v>380000</v>
      </c>
      <c r="DB126" s="2909" t="str">
        <f>IF($A126="","",IF($A126&lt;&gt;21,"対象外",IF($AE126&amp;""="00000000","在職",IF($AE126&amp;""='DB_設定'!$C$4,"4/1喪失","その他喪失"))))</f>
        <v>在職</v>
      </c>
    </row>
    <row r="127">
      <c r="A127" t="n" s="2909">
        <v>21</v>
      </c>
      <c r="AA127" t="n" s="2909">
        <v>21</v>
      </c>
      <c r="AB127" t="inlineStr" s="2909">
        <is>
          <t>19930401</t>
        </is>
      </c>
      <c r="AD127" t="n" s="2909">
        <v>0</v>
      </c>
      <c r="AE127" t="inlineStr" s="2909">
        <is>
          <t>00000000</t>
        </is>
      </c>
      <c r="AH127" t="n" s="2909">
        <v>1</v>
      </c>
      <c r="AJ127" t="n" s="2909">
        <v>10</v>
      </c>
      <c r="AP127" t="n" s="2909">
        <v>410000</v>
      </c>
      <c r="DB127" s="2909" t="str">
        <f>IF($A127="","",IF($A127&lt;&gt;21,"対象外",IF($AE127&amp;""="00000000","在職",IF($AE127&amp;""='DB_設定'!$C$4,"4/1喪失","その他喪失"))))</f>
        <v>在職</v>
      </c>
    </row>
    <row r="128">
      <c r="A128" t="n" s="2909">
        <v>21</v>
      </c>
      <c r="AA128" t="n" s="2909">
        <v>21</v>
      </c>
      <c r="AB128" t="inlineStr" s="2909">
        <is>
          <t>19870401</t>
        </is>
      </c>
      <c r="AD128" t="n" s="2909">
        <v>0</v>
      </c>
      <c r="AE128" t="inlineStr" s="2909">
        <is>
          <t>00000000</t>
        </is>
      </c>
      <c r="AH128" t="n" s="2909">
        <v>1</v>
      </c>
      <c r="AJ128" t="n" s="2909">
        <v>10</v>
      </c>
      <c r="AP128" t="n" s="2909">
        <v>360000</v>
      </c>
      <c r="DB128" s="2909" t="str">
        <f>IF($A128="","",IF($A128&lt;&gt;21,"対象外",IF($AE128&amp;""="00000000","在職",IF($AE128&amp;""='DB_設定'!$C$4,"4/1喪失","その他喪失"))))</f>
        <v>在職</v>
      </c>
    </row>
    <row r="129">
      <c r="A129" t="n" s="2909">
        <v>21</v>
      </c>
      <c r="AA129" t="n" s="2909">
        <v>21</v>
      </c>
      <c r="AB129" t="inlineStr" s="2909">
        <is>
          <t>20020401</t>
        </is>
      </c>
      <c r="AD129" t="n" s="2909">
        <v>0</v>
      </c>
      <c r="AE129" t="inlineStr" s="2909">
        <is>
          <t>00000000</t>
        </is>
      </c>
      <c r="AH129" t="n" s="2909">
        <v>11</v>
      </c>
      <c r="AJ129" t="n" s="2909">
        <v>10</v>
      </c>
      <c r="AP129" t="n" s="2909">
        <v>300000</v>
      </c>
      <c r="DB129" s="2909" t="str">
        <f>IF($A129="","",IF($A129&lt;&gt;21,"対象外",IF($AE129&amp;""="00000000","在職",IF($AE129&amp;""='DB_設定'!$C$4,"4/1喪失","その他喪失"))))</f>
        <v>在職</v>
      </c>
    </row>
    <row r="130">
      <c r="A130" t="n" s="2909">
        <v>21</v>
      </c>
      <c r="AA130" t="n" s="2909">
        <v>21</v>
      </c>
      <c r="AB130" t="inlineStr" s="2909">
        <is>
          <t>20070401</t>
        </is>
      </c>
      <c r="AD130" t="n" s="2909">
        <v>0</v>
      </c>
      <c r="AE130" t="inlineStr" s="2909">
        <is>
          <t>00000000</t>
        </is>
      </c>
      <c r="AH130" t="n" s="2909">
        <v>5</v>
      </c>
      <c r="AJ130" t="n" s="2909">
        <v>30</v>
      </c>
      <c r="AP130" t="n" s="2909">
        <v>320000</v>
      </c>
      <c r="DB130" s="2909" t="str">
        <f>IF($A130="","",IF($A130&lt;&gt;21,"対象外",IF($AE130&amp;""="00000000","在職",IF($AE130&amp;""='DB_設定'!$C$4,"4/1喪失","その他喪失"))))</f>
        <v>在職</v>
      </c>
    </row>
    <row r="131">
      <c r="A131" t="n" s="2909">
        <v>21</v>
      </c>
      <c r="AA131" t="n" s="2909">
        <v>21</v>
      </c>
      <c r="AB131" t="inlineStr" s="2909">
        <is>
          <t>19880401</t>
        </is>
      </c>
      <c r="AD131" t="n" s="2909">
        <v>0</v>
      </c>
      <c r="AE131" t="inlineStr" s="2909">
        <is>
          <t>00000000</t>
        </is>
      </c>
      <c r="AH131" t="n" s="2909">
        <v>1</v>
      </c>
      <c r="AJ131" t="n" s="2909">
        <v>10</v>
      </c>
      <c r="AP131" t="n" s="2909">
        <v>360000</v>
      </c>
      <c r="DB131" s="2909" t="str">
        <f>IF($A131="","",IF($A131&lt;&gt;21,"対象外",IF($AE131&amp;""="00000000","在職",IF($AE131&amp;""='DB_設定'!$C$4,"4/1喪失","その他喪失"))))</f>
        <v>在職</v>
      </c>
    </row>
    <row r="132">
      <c r="A132" t="n" s="2909">
        <v>21</v>
      </c>
      <c r="AA132" t="n" s="2909">
        <v>21</v>
      </c>
      <c r="AB132" t="inlineStr" s="2909">
        <is>
          <t>19850401</t>
        </is>
      </c>
      <c r="AD132" t="n" s="2909">
        <v>0</v>
      </c>
      <c r="AE132" t="inlineStr" s="2909">
        <is>
          <t>00000000</t>
        </is>
      </c>
      <c r="AH132" t="n" s="2909">
        <v>4</v>
      </c>
      <c r="AJ132" t="n" s="2909">
        <v>10</v>
      </c>
      <c r="AP132" t="n" s="2909">
        <v>340000</v>
      </c>
      <c r="DB132" s="2909" t="str">
        <f>IF($A132="","",IF($A132&lt;&gt;21,"対象外",IF($AE132&amp;""="00000000","在職",IF($AE132&amp;""='DB_設定'!$C$4,"4/1喪失","その他喪失"))))</f>
        <v>在職</v>
      </c>
    </row>
    <row r="133">
      <c r="A133" t="n" s="2909">
        <v>21</v>
      </c>
      <c r="AA133" t="n" s="2909">
        <v>21</v>
      </c>
      <c r="AB133" t="inlineStr" s="2909">
        <is>
          <t>19870401</t>
        </is>
      </c>
      <c r="AD133" t="n" s="2909">
        <v>0</v>
      </c>
      <c r="AE133" t="inlineStr" s="2909">
        <is>
          <t>00000000</t>
        </is>
      </c>
      <c r="AH133" t="n" s="2909">
        <v>1</v>
      </c>
      <c r="AJ133" t="n" s="2909">
        <v>10</v>
      </c>
      <c r="AP133" t="n" s="2909">
        <v>470000</v>
      </c>
      <c r="DB133" s="2909" t="str">
        <f>IF($A133="","",IF($A133&lt;&gt;21,"対象外",IF($AE133&amp;""="00000000","在職",IF($AE133&amp;""='DB_設定'!$C$4,"4/1喪失","その他喪失"))))</f>
        <v>在職</v>
      </c>
    </row>
    <row r="134">
      <c r="A134" t="n" s="2909">
        <v>21</v>
      </c>
      <c r="AA134" t="n" s="2909">
        <v>21</v>
      </c>
      <c r="AB134" t="inlineStr" s="2909">
        <is>
          <t>19880401</t>
        </is>
      </c>
      <c r="AD134" t="n" s="2909">
        <v>0</v>
      </c>
      <c r="AE134" t="inlineStr" s="2909">
        <is>
          <t>00000000</t>
        </is>
      </c>
      <c r="AH134" t="n" s="2909">
        <v>3</v>
      </c>
      <c r="AJ134" t="n" s="2909">
        <v>10</v>
      </c>
      <c r="AP134" t="n" s="2909">
        <v>380000</v>
      </c>
      <c r="DB134" s="2909" t="str">
        <f>IF($A134="","",IF($A134&lt;&gt;21,"対象外",IF($AE134&amp;""="00000000","在職",IF($AE134&amp;""='DB_設定'!$C$4,"4/1喪失","その他喪失"))))</f>
        <v>在職</v>
      </c>
    </row>
    <row r="135">
      <c r="A135" t="n" s="2909">
        <v>21</v>
      </c>
      <c r="AA135" t="n" s="2909">
        <v>21</v>
      </c>
      <c r="AB135" t="inlineStr" s="2909">
        <is>
          <t>19900401</t>
        </is>
      </c>
      <c r="AD135" t="n" s="2909">
        <v>0</v>
      </c>
      <c r="AE135" t="inlineStr" s="2909">
        <is>
          <t>00000000</t>
        </is>
      </c>
      <c r="AH135" t="n" s="2909">
        <v>5</v>
      </c>
      <c r="AJ135" t="n" s="2909">
        <v>10</v>
      </c>
      <c r="AP135" t="n" s="2909">
        <v>360000</v>
      </c>
      <c r="DB135" s="2909" t="str">
        <f>IF($A135="","",IF($A135&lt;&gt;21,"対象外",IF($AE135&amp;""="00000000","在職",IF($AE135&amp;""='DB_設定'!$C$4,"4/1喪失","その他喪失"))))</f>
        <v>在職</v>
      </c>
    </row>
    <row r="136">
      <c r="A136" t="n" s="2909">
        <v>21</v>
      </c>
      <c r="AA136" t="n" s="2909">
        <v>21</v>
      </c>
      <c r="AB136" t="inlineStr" s="2909">
        <is>
          <t>19940401</t>
        </is>
      </c>
      <c r="AD136" t="n" s="2909">
        <v>0</v>
      </c>
      <c r="AE136" t="inlineStr" s="2909">
        <is>
          <t>00000000</t>
        </is>
      </c>
      <c r="AH136" t="n" s="2909">
        <v>1</v>
      </c>
      <c r="AJ136" t="n" s="2909">
        <v>10</v>
      </c>
      <c r="AP136" t="n" s="2909">
        <v>380000</v>
      </c>
      <c r="DB136" s="2909" t="str">
        <f>IF($A136="","",IF($A136&lt;&gt;21,"対象外",IF($AE136&amp;""="00000000","在職",IF($AE136&amp;""='DB_設定'!$C$4,"4/1喪失","その他喪失"))))</f>
        <v>在職</v>
      </c>
    </row>
    <row r="137">
      <c r="A137" t="n" s="2909">
        <v>21</v>
      </c>
      <c r="AA137" t="n" s="2909">
        <v>21</v>
      </c>
      <c r="AB137" t="inlineStr" s="2909">
        <is>
          <t>19880401</t>
        </is>
      </c>
      <c r="AD137" t="n" s="2909">
        <v>0</v>
      </c>
      <c r="AE137" t="inlineStr" s="2909">
        <is>
          <t>00000000</t>
        </is>
      </c>
      <c r="AH137" t="n" s="2909">
        <v>4</v>
      </c>
      <c r="AJ137" t="n" s="2909">
        <v>10</v>
      </c>
      <c r="AP137" t="n" s="2909">
        <v>380000</v>
      </c>
      <c r="DB137" s="2909" t="str">
        <f>IF($A137="","",IF($A137&lt;&gt;21,"対象外",IF($AE137&amp;""="00000000","在職",IF($AE137&amp;""='DB_設定'!$C$4,"4/1喪失","その他喪失"))))</f>
        <v>在職</v>
      </c>
    </row>
    <row r="138">
      <c r="A138" t="n" s="2909">
        <v>21</v>
      </c>
      <c r="AA138" t="n" s="2909">
        <v>21</v>
      </c>
      <c r="AB138" t="inlineStr" s="2909">
        <is>
          <t>19870401</t>
        </is>
      </c>
      <c r="AD138" t="n" s="2909">
        <v>0</v>
      </c>
      <c r="AE138" t="inlineStr" s="2909">
        <is>
          <t>00000000</t>
        </is>
      </c>
      <c r="AH138" t="n" s="2909">
        <v>11</v>
      </c>
      <c r="AJ138" t="n" s="2909">
        <v>11</v>
      </c>
      <c r="AP138" t="n" s="2909">
        <v>830000</v>
      </c>
      <c r="DB138" s="2909" t="str">
        <f>IF($A138="","",IF($A138&lt;&gt;21,"対象外",IF($AE138&amp;""="00000000","在職",IF($AE138&amp;""='DB_設定'!$C$4,"4/1喪失","その他喪失"))))</f>
        <v>在職</v>
      </c>
    </row>
    <row r="139">
      <c r="A139" t="n" s="2909">
        <v>21</v>
      </c>
      <c r="AA139" t="n" s="2909">
        <v>21</v>
      </c>
      <c r="AB139" t="inlineStr" s="2909">
        <is>
          <t>19850320</t>
        </is>
      </c>
      <c r="AD139" t="n" s="2909">
        <v>0</v>
      </c>
      <c r="AE139" t="inlineStr" s="2909">
        <is>
          <t>00000000</t>
        </is>
      </c>
      <c r="AH139" t="n" s="2909">
        <v>5</v>
      </c>
      <c r="AJ139" t="n" s="2909">
        <v>10</v>
      </c>
      <c r="AP139" t="n" s="2909">
        <v>380000</v>
      </c>
      <c r="DB139" s="2909" t="str">
        <f>IF($A139="","",IF($A139&lt;&gt;21,"対象外",IF($AE139&amp;""="00000000","在職",IF($AE139&amp;""='DB_設定'!$C$4,"4/1喪失","その他喪失"))))</f>
        <v>在職</v>
      </c>
    </row>
    <row r="140">
      <c r="A140" t="n" s="2909">
        <v>21</v>
      </c>
      <c r="AA140" t="n" s="2909">
        <v>21</v>
      </c>
      <c r="AB140" t="inlineStr" s="2909">
        <is>
          <t>19830401</t>
        </is>
      </c>
      <c r="AD140" t="n" s="2909">
        <v>0</v>
      </c>
      <c r="AE140" t="inlineStr" s="2909">
        <is>
          <t>00000000</t>
        </is>
      </c>
      <c r="AH140" t="n" s="2909">
        <v>1</v>
      </c>
      <c r="AJ140" t="n" s="2909">
        <v>10</v>
      </c>
      <c r="AP140" t="n" s="2909">
        <v>340000</v>
      </c>
      <c r="DB140" s="2909" t="str">
        <f>IF($A140="","",IF($A140&lt;&gt;21,"対象外",IF($AE140&amp;""="00000000","在職",IF($AE140&amp;""='DB_設定'!$C$4,"4/1喪失","その他喪失"))))</f>
        <v>在職</v>
      </c>
    </row>
    <row r="141">
      <c r="A141" t="n" s="2909">
        <v>21</v>
      </c>
      <c r="AA141" t="n" s="2909">
        <v>21</v>
      </c>
      <c r="AB141" t="inlineStr" s="2909">
        <is>
          <t>19830401</t>
        </is>
      </c>
      <c r="AD141" t="n" s="2909">
        <v>0</v>
      </c>
      <c r="AE141" t="inlineStr" s="2909">
        <is>
          <t>00000000</t>
        </is>
      </c>
      <c r="AH141" t="n" s="2909">
        <v>1</v>
      </c>
      <c r="AJ141" t="n" s="2909">
        <v>10</v>
      </c>
      <c r="AP141" t="n" s="2909">
        <v>380000</v>
      </c>
      <c r="DB141" s="2909" t="str">
        <f>IF($A141="","",IF($A141&lt;&gt;21,"対象外",IF($AE141&amp;""="00000000","在職",IF($AE141&amp;""='DB_設定'!$C$4,"4/1喪失","その他喪失"))))</f>
        <v>在職</v>
      </c>
    </row>
    <row r="142">
      <c r="A142" t="n" s="2909">
        <v>21</v>
      </c>
      <c r="AA142" t="n" s="2909">
        <v>21</v>
      </c>
      <c r="AB142" t="inlineStr" s="2909">
        <is>
          <t>19870401</t>
        </is>
      </c>
      <c r="AD142" t="n" s="2909">
        <v>0</v>
      </c>
      <c r="AE142" t="inlineStr" s="2909">
        <is>
          <t>00000000</t>
        </is>
      </c>
      <c r="AH142" t="n" s="2909">
        <v>1</v>
      </c>
      <c r="AJ142" t="n" s="2909">
        <v>10</v>
      </c>
      <c r="AP142" t="n" s="2909">
        <v>360000</v>
      </c>
      <c r="DB142" s="2909" t="str">
        <f>IF($A142="","",IF($A142&lt;&gt;21,"対象外",IF($AE142&amp;""="00000000","在職",IF($AE142&amp;""='DB_設定'!$C$4,"4/1喪失","その他喪失"))))</f>
        <v>在職</v>
      </c>
    </row>
    <row r="143">
      <c r="A143" t="n" s="2909">
        <v>21</v>
      </c>
      <c r="AA143" t="n" s="2909">
        <v>21</v>
      </c>
      <c r="AB143" t="inlineStr" s="2909">
        <is>
          <t>19970301</t>
        </is>
      </c>
      <c r="AD143" t="n" s="2909">
        <v>0</v>
      </c>
      <c r="AE143" t="inlineStr" s="2909">
        <is>
          <t>00000000</t>
        </is>
      </c>
      <c r="AH143" t="n" s="2909">
        <v>1</v>
      </c>
      <c r="AJ143" t="n" s="2909">
        <v>10</v>
      </c>
      <c r="AP143" t="n" s="2909">
        <v>360000</v>
      </c>
      <c r="DB143" s="2909" t="str">
        <f>IF($A143="","",IF($A143&lt;&gt;21,"対象外",IF($AE143&amp;""="00000000","在職",IF($AE143&amp;""='DB_設定'!$C$4,"4/1喪失","その他喪失"))))</f>
        <v>在職</v>
      </c>
    </row>
    <row r="144">
      <c r="A144" t="n" s="2909">
        <v>21</v>
      </c>
      <c r="AA144" t="n" s="2909">
        <v>21</v>
      </c>
      <c r="AB144" t="inlineStr" s="2909">
        <is>
          <t>19950401</t>
        </is>
      </c>
      <c r="AD144" t="n" s="2909">
        <v>0</v>
      </c>
      <c r="AE144" t="inlineStr" s="2909">
        <is>
          <t>00000000</t>
        </is>
      </c>
      <c r="AH144" t="n" s="2909">
        <v>1</v>
      </c>
      <c r="AJ144" t="n" s="2909">
        <v>10</v>
      </c>
      <c r="AP144" t="n" s="2909">
        <v>380000</v>
      </c>
      <c r="DB144" s="2909" t="str">
        <f>IF($A144="","",IF($A144&lt;&gt;21,"対象外",IF($AE144&amp;""="00000000","在職",IF($AE144&amp;""='DB_設定'!$C$4,"4/1喪失","その他喪失"))))</f>
        <v>在職</v>
      </c>
    </row>
    <row r="145">
      <c r="A145" t="n" s="2909">
        <v>31</v>
      </c>
      <c r="AA145" t="n" s="2909">
        <v>21</v>
      </c>
      <c r="AB145" t="inlineStr" s="2909">
        <is>
          <t>20240401</t>
        </is>
      </c>
      <c r="AD145" t="n" s="2909">
        <v>0</v>
      </c>
      <c r="AE145" t="inlineStr" s="2909">
        <is>
          <t>00000000</t>
        </is>
      </c>
      <c r="AH145" t="n" s="2909">
        <v>11</v>
      </c>
      <c r="AJ145" t="n" s="2909">
        <v>41</v>
      </c>
      <c r="AP145" t="n" s="2909">
        <v>190000</v>
      </c>
      <c r="DB145" s="2909" t="str">
        <f>IF($A145="","",IF($A145&lt;&gt;21,"対象外",IF($AE145&amp;""="00000000","在職",IF($AE145&amp;""='DB_設定'!$C$4,"4/1喪失","その他喪失"))))</f>
        <v>対象外</v>
      </c>
    </row>
    <row r="146">
      <c r="A146" t="n" s="2909">
        <v>31</v>
      </c>
      <c r="AA146" t="n" s="2909">
        <v>21</v>
      </c>
      <c r="AB146" t="inlineStr" s="2909">
        <is>
          <t>20221001</t>
        </is>
      </c>
      <c r="AD146" t="n" s="2909">
        <v>0</v>
      </c>
      <c r="AE146" t="inlineStr" s="2909">
        <is>
          <t>00000000</t>
        </is>
      </c>
      <c r="AH146" t="n" s="2909">
        <v>5</v>
      </c>
      <c r="AJ146" t="n" s="2909">
        <v>41</v>
      </c>
      <c r="AP146" t="n" s="2909">
        <v>142000</v>
      </c>
      <c r="DB146" s="2909" t="str">
        <f>IF($A146="","",IF($A146&lt;&gt;21,"対象外",IF($AE146&amp;""="00000000","在職",IF($AE146&amp;""='DB_設定'!$C$4,"4/1喪失","その他喪失"))))</f>
        <v>対象外</v>
      </c>
    </row>
    <row r="147">
      <c r="A147" t="n" s="2909">
        <v>21</v>
      </c>
      <c r="AA147" t="n" s="2909">
        <v>21</v>
      </c>
      <c r="AB147" t="inlineStr" s="2909">
        <is>
          <t>20010401</t>
        </is>
      </c>
      <c r="AD147" t="n" s="2909">
        <v>0</v>
      </c>
      <c r="AE147" t="inlineStr" s="2909">
        <is>
          <t>00000000</t>
        </is>
      </c>
      <c r="AH147" t="n" s="2909">
        <v>11</v>
      </c>
      <c r="AJ147" t="n" s="2909">
        <v>10</v>
      </c>
      <c r="AP147" t="n" s="2909">
        <v>280000</v>
      </c>
      <c r="DB147" s="2909" t="str">
        <f>IF($A147="","",IF($A147&lt;&gt;21,"対象外",IF($AE147&amp;""="00000000","在職",IF($AE147&amp;""='DB_設定'!$C$4,"4/1喪失","その他喪失"))))</f>
        <v>在職</v>
      </c>
    </row>
    <row r="148">
      <c r="A148" t="n" s="2909">
        <v>21</v>
      </c>
      <c r="AA148" t="n" s="2909">
        <v>21</v>
      </c>
      <c r="AB148" t="inlineStr" s="2909">
        <is>
          <t>20160601</t>
        </is>
      </c>
      <c r="AD148" t="n" s="2909">
        <v>0</v>
      </c>
      <c r="AE148" t="inlineStr" s="2909">
        <is>
          <t>00000000</t>
        </is>
      </c>
      <c r="AH148" t="n" s="2909">
        <v>20</v>
      </c>
      <c r="AJ148" t="n" s="2909">
        <v>10</v>
      </c>
      <c r="AP148" t="n" s="2909">
        <v>280000</v>
      </c>
      <c r="DB148" s="2909" t="str">
        <f>IF($A148="","",IF($A148&lt;&gt;21,"対象外",IF($AE148&amp;""="00000000","在職",IF($AE148&amp;""='DB_設定'!$C$4,"4/1喪失","その他喪失"))))</f>
        <v>在職</v>
      </c>
    </row>
    <row r="149">
      <c r="A149" t="n" s="2909">
        <v>31</v>
      </c>
      <c r="AA149" t="n" s="2909">
        <v>21</v>
      </c>
      <c r="AB149" t="inlineStr" s="2909">
        <is>
          <t>20221001</t>
        </is>
      </c>
      <c r="AD149" t="n" s="2909">
        <v>0</v>
      </c>
      <c r="AE149" t="inlineStr" s="2909">
        <is>
          <t>00000000</t>
        </is>
      </c>
      <c r="AH149" t="n" s="2909">
        <v>1</v>
      </c>
      <c r="AJ149" t="n" s="2909">
        <v>41</v>
      </c>
      <c r="AP149" t="n" s="2909">
        <v>134000</v>
      </c>
      <c r="DB149" s="2909" t="str">
        <f>IF($A149="","",IF($A149&lt;&gt;21,"対象外",IF($AE149&amp;""="00000000","在職",IF($AE149&amp;""='DB_設定'!$C$4,"4/1喪失","その他喪失"))))</f>
        <v>対象外</v>
      </c>
    </row>
    <row r="150">
      <c r="A150" t="n" s="2909">
        <v>21</v>
      </c>
      <c r="AA150" t="n" s="2909">
        <v>21</v>
      </c>
      <c r="AB150" t="inlineStr" s="2909">
        <is>
          <t>20040401</t>
        </is>
      </c>
      <c r="AD150" t="n" s="2909">
        <v>0</v>
      </c>
      <c r="AE150" t="inlineStr" s="2909">
        <is>
          <t>00000000</t>
        </is>
      </c>
      <c r="AH150" t="n" s="2909">
        <v>11</v>
      </c>
      <c r="AJ150" t="n" s="2909">
        <v>10</v>
      </c>
      <c r="AP150" t="n" s="2909">
        <v>300000</v>
      </c>
      <c r="DB150" s="2909" t="str">
        <f>IF($A150="","",IF($A150&lt;&gt;21,"対象外",IF($AE150&amp;""="00000000","在職",IF($AE150&amp;""='DB_設定'!$C$4,"4/1喪失","その他喪失"))))</f>
        <v>在職</v>
      </c>
    </row>
    <row r="151">
      <c r="A151" t="n" s="2909">
        <v>31</v>
      </c>
      <c r="AA151" t="n" s="2909">
        <v>21</v>
      </c>
      <c r="AB151" t="inlineStr" s="2909">
        <is>
          <t>20221001</t>
        </is>
      </c>
      <c r="AD151" t="n" s="2909">
        <v>0</v>
      </c>
      <c r="AE151" t="inlineStr" s="2909">
        <is>
          <t>00000000</t>
        </is>
      </c>
      <c r="AH151" t="n" s="2909">
        <v>1</v>
      </c>
      <c r="AJ151" t="n" s="2909">
        <v>41</v>
      </c>
      <c r="AP151" t="n" s="2909">
        <v>134000</v>
      </c>
      <c r="DB151" s="2909" t="str">
        <f>IF($A151="","",IF($A151&lt;&gt;21,"対象外",IF($AE151&amp;""="00000000","在職",IF($AE151&amp;""='DB_設定'!$C$4,"4/1喪失","その他喪失"))))</f>
        <v>対象外</v>
      </c>
    </row>
    <row r="152">
      <c r="A152" t="n" s="2909">
        <v>21</v>
      </c>
      <c r="AA152" t="n" s="2909">
        <v>21</v>
      </c>
      <c r="AB152" t="inlineStr" s="2909">
        <is>
          <t>19970401</t>
        </is>
      </c>
      <c r="AD152" t="n" s="2909">
        <v>0</v>
      </c>
      <c r="AE152" t="inlineStr" s="2909">
        <is>
          <t>00000000</t>
        </is>
      </c>
      <c r="AH152" t="n" s="2909">
        <v>11</v>
      </c>
      <c r="AJ152" t="n" s="2909">
        <v>10</v>
      </c>
      <c r="AP152" t="n" s="2909">
        <v>300000</v>
      </c>
      <c r="DB152" s="2909" t="str">
        <f>IF($A152="","",IF($A152&lt;&gt;21,"対象外",IF($AE152&amp;""="00000000","在職",IF($AE152&amp;""='DB_設定'!$C$4,"4/1喪失","その他喪失"))))</f>
        <v>在職</v>
      </c>
    </row>
    <row r="153">
      <c r="A153" t="n" s="2909">
        <v>31</v>
      </c>
      <c r="AA153" t="n" s="2909">
        <v>21</v>
      </c>
      <c r="AB153" t="inlineStr" s="2909">
        <is>
          <t>20230401</t>
        </is>
      </c>
      <c r="AD153" t="n" s="2909">
        <v>0</v>
      </c>
      <c r="AE153" t="inlineStr" s="2909">
        <is>
          <t>00000000</t>
        </is>
      </c>
      <c r="AH153" t="n" s="2909">
        <v>11</v>
      </c>
      <c r="AJ153" t="n" s="2909">
        <v>41</v>
      </c>
      <c r="AP153" t="n" s="2909">
        <v>200000</v>
      </c>
      <c r="DB153" s="2909" t="str">
        <f>IF($A153="","",IF($A153&lt;&gt;21,"対象外",IF($AE153&amp;""="00000000","在職",IF($AE153&amp;""='DB_設定'!$C$4,"4/1喪失","その他喪失"))))</f>
        <v>対象外</v>
      </c>
    </row>
    <row r="154">
      <c r="A154" t="n" s="2909">
        <v>31</v>
      </c>
      <c r="AA154" t="n" s="2909">
        <v>21</v>
      </c>
      <c r="AB154" t="inlineStr" s="2909">
        <is>
          <t>20210401</t>
        </is>
      </c>
      <c r="AD154" t="n" s="2909">
        <v>0</v>
      </c>
      <c r="AE154" t="inlineStr" s="2909">
        <is>
          <t>00000000</t>
        </is>
      </c>
      <c r="AH154" t="n" s="2909">
        <v>1</v>
      </c>
      <c r="AJ154" t="n" s="2909">
        <v>10</v>
      </c>
      <c r="AP154" t="n" s="2909">
        <v>280000</v>
      </c>
      <c r="DB154" s="2909" t="str">
        <f>IF($A154="","",IF($A154&lt;&gt;21,"対象外",IF($AE154&amp;""="00000000","在職",IF($AE154&amp;""='DB_設定'!$C$4,"4/1喪失","その他喪失"))))</f>
        <v>対象外</v>
      </c>
    </row>
    <row r="155">
      <c r="A155" t="n" s="2909">
        <v>31</v>
      </c>
      <c r="AA155" t="n" s="2909">
        <v>21</v>
      </c>
      <c r="AB155" t="inlineStr" s="2909">
        <is>
          <t>20210401</t>
        </is>
      </c>
      <c r="AD155" t="n" s="2909">
        <v>0</v>
      </c>
      <c r="AE155" t="inlineStr" s="2909">
        <is>
          <t>00000000</t>
        </is>
      </c>
      <c r="AH155" t="n" s="2909">
        <v>1</v>
      </c>
      <c r="AJ155" t="n" s="2909">
        <v>41</v>
      </c>
      <c r="AP155" t="n" s="2909">
        <v>190000</v>
      </c>
      <c r="DB155" s="2909" t="str">
        <f>IF($A155="","",IF($A155&lt;&gt;21,"対象外",IF($AE155&amp;""="00000000","在職",IF($AE155&amp;""='DB_設定'!$C$4,"4/1喪失","その他喪失"))))</f>
        <v>対象外</v>
      </c>
    </row>
    <row r="156">
      <c r="A156" t="n" s="2909">
        <v>31</v>
      </c>
      <c r="AA156" t="n" s="2909">
        <v>21</v>
      </c>
      <c r="AB156" t="inlineStr" s="2909">
        <is>
          <t>20250722</t>
        </is>
      </c>
      <c r="AD156" t="n" s="2909">
        <v>0</v>
      </c>
      <c r="AE156" t="inlineStr" s="2909">
        <is>
          <t>00000000</t>
        </is>
      </c>
      <c r="AH156" t="n" s="2909">
        <v>1</v>
      </c>
      <c r="AJ156" t="n" s="2909">
        <v>41</v>
      </c>
      <c r="AP156" t="n" s="2909">
        <v>142000</v>
      </c>
      <c r="DB156" s="2909" t="str">
        <f>IF($A156="","",IF($A156&lt;&gt;21,"対象外",IF($AE156&amp;""="00000000","在職",IF($AE156&amp;""='DB_設定'!$C$4,"4/1喪失","その他喪失"))))</f>
        <v>対象外</v>
      </c>
    </row>
    <row r="157">
      <c r="A157" t="n" s="2909">
        <v>31</v>
      </c>
      <c r="AA157" t="n" s="2909">
        <v>21</v>
      </c>
      <c r="AB157" t="inlineStr" s="2909">
        <is>
          <t>20221001</t>
        </is>
      </c>
      <c r="AD157" t="n" s="2909">
        <v>0</v>
      </c>
      <c r="AE157" t="inlineStr" s="2909">
        <is>
          <t>00000000</t>
        </is>
      </c>
      <c r="AH157" t="n" s="2909">
        <v>1</v>
      </c>
      <c r="AJ157" t="n" s="2909">
        <v>41</v>
      </c>
      <c r="AP157" t="n" s="2909">
        <v>142000</v>
      </c>
      <c r="DB157" s="2909" t="str">
        <f>IF($A157="","",IF($A157&lt;&gt;21,"対象外",IF($AE157&amp;""="00000000","在職",IF($AE157&amp;""='DB_設定'!$C$4,"4/1喪失","その他喪失"))))</f>
        <v>対象外</v>
      </c>
    </row>
    <row r="158">
      <c r="A158" t="n" s="2909">
        <v>31</v>
      </c>
      <c r="AA158" t="n" s="2909">
        <v>21</v>
      </c>
      <c r="AB158" t="inlineStr" s="2909">
        <is>
          <t>20221001</t>
        </is>
      </c>
      <c r="AD158" t="n" s="2909">
        <v>0</v>
      </c>
      <c r="AE158" t="inlineStr" s="2909">
        <is>
          <t>00000000</t>
        </is>
      </c>
      <c r="AH158" t="n" s="2909">
        <v>1</v>
      </c>
      <c r="AJ158" t="n" s="2909">
        <v>41</v>
      </c>
      <c r="AP158" t="n" s="2909">
        <v>220000</v>
      </c>
      <c r="DB158" s="2909" t="str">
        <f>IF($A158="","",IF($A158&lt;&gt;21,"対象外",IF($AE158&amp;""="00000000","在職",IF($AE158&amp;""='DB_設定'!$C$4,"4/1喪失","その他喪失"))))</f>
        <v>対象外</v>
      </c>
    </row>
    <row r="159">
      <c r="A159" t="n" s="2909">
        <v>31</v>
      </c>
      <c r="AA159" t="n" s="2909">
        <v>21</v>
      </c>
      <c r="AB159" t="inlineStr" s="2909">
        <is>
          <t>20221001</t>
        </is>
      </c>
      <c r="AD159" t="n" s="2909">
        <v>0</v>
      </c>
      <c r="AE159" t="inlineStr" s="2909">
        <is>
          <t>00000000</t>
        </is>
      </c>
      <c r="AH159" t="n" s="2909">
        <v>1</v>
      </c>
      <c r="AJ159" t="n" s="2909">
        <v>41</v>
      </c>
      <c r="AP159" t="n" s="2909">
        <v>220000</v>
      </c>
      <c r="DB159" s="2909" t="str">
        <f>IF($A159="","",IF($A159&lt;&gt;21,"対象外",IF($AE159&amp;""="00000000","在職",IF($AE159&amp;""='DB_設定'!$C$4,"4/1喪失","その他喪失"))))</f>
        <v>対象外</v>
      </c>
    </row>
    <row r="160">
      <c r="A160" t="n" s="2909">
        <v>21</v>
      </c>
      <c r="AA160" t="n" s="2909">
        <v>21</v>
      </c>
      <c r="AB160" t="inlineStr" s="2909">
        <is>
          <t>19850701</t>
        </is>
      </c>
      <c r="AD160" t="n" s="2909">
        <v>0</v>
      </c>
      <c r="AE160" t="inlineStr" s="2909">
        <is>
          <t>00000000</t>
        </is>
      </c>
      <c r="AH160" t="n" s="2909">
        <v>1</v>
      </c>
      <c r="AJ160" t="n" s="2909">
        <v>10</v>
      </c>
      <c r="AP160" t="n" s="2909">
        <v>360000</v>
      </c>
      <c r="DB160" s="2909" t="str">
        <f>IF($A160="","",IF($A160&lt;&gt;21,"対象外",IF($AE160&amp;""="00000000","在職",IF($AE160&amp;""='DB_設定'!$C$4,"4/1喪失","その他喪失"))))</f>
        <v>在職</v>
      </c>
    </row>
    <row r="161">
      <c r="A161" t="n" s="2909">
        <v>21</v>
      </c>
      <c r="AA161" t="n" s="2909">
        <v>21</v>
      </c>
      <c r="AB161" t="inlineStr" s="2909">
        <is>
          <t>19970401</t>
        </is>
      </c>
      <c r="AD161" t="n" s="2909">
        <v>0</v>
      </c>
      <c r="AE161" t="inlineStr" s="2909">
        <is>
          <t>00000000</t>
        </is>
      </c>
      <c r="AH161" t="n" s="2909">
        <v>11</v>
      </c>
      <c r="AJ161" t="n" s="2909">
        <v>10</v>
      </c>
      <c r="AP161" t="n" s="2909">
        <v>320000</v>
      </c>
      <c r="DB161" s="2909" t="str">
        <f>IF($A161="","",IF($A161&lt;&gt;21,"対象外",IF($AE161&amp;""="00000000","在職",IF($AE161&amp;""='DB_設定'!$C$4,"4/1喪失","その他喪失"))))</f>
        <v>在職</v>
      </c>
    </row>
    <row r="162">
      <c r="A162" t="n" s="2909">
        <v>31</v>
      </c>
      <c r="AA162" t="n" s="2909">
        <v>21</v>
      </c>
      <c r="AB162" t="inlineStr" s="2909">
        <is>
          <t>20221001</t>
        </is>
      </c>
      <c r="AD162" t="n" s="2909">
        <v>0</v>
      </c>
      <c r="AE162" t="inlineStr" s="2909">
        <is>
          <t>00000000</t>
        </is>
      </c>
      <c r="AH162" t="n" s="2909">
        <v>1</v>
      </c>
      <c r="AJ162" t="n" s="2909">
        <v>41</v>
      </c>
      <c r="AP162" t="n" s="2909">
        <v>200000</v>
      </c>
      <c r="DB162" s="2909" t="str">
        <f>IF($A162="","",IF($A162&lt;&gt;21,"対象外",IF($AE162&amp;""="00000000","在職",IF($AE162&amp;""='DB_設定'!$C$4,"4/1喪失","その他喪失"))))</f>
        <v>対象外</v>
      </c>
    </row>
    <row r="163">
      <c r="A163" t="n" s="2909">
        <v>31</v>
      </c>
      <c r="AA163" t="n" s="2909">
        <v>24</v>
      </c>
      <c r="AB163" t="inlineStr" s="2909">
        <is>
          <t>20240401</t>
        </is>
      </c>
      <c r="AD163" t="n" s="2909">
        <v>0</v>
      </c>
      <c r="AE163" t="inlineStr" s="2909">
        <is>
          <t>00000000</t>
        </is>
      </c>
      <c r="AH163" t="n" s="2909">
        <v>1</v>
      </c>
      <c r="AJ163" t="n" s="2909">
        <v>41</v>
      </c>
      <c r="AP163" t="n" s="2909">
        <v>150000</v>
      </c>
      <c r="DB163" s="2909" t="str">
        <f>IF($A163="","",IF($A163&lt;&gt;21,"対象外",IF($AE163&amp;""="00000000","在職",IF($AE163&amp;""='DB_設定'!$C$4,"4/1喪失","その他喪失"))))</f>
        <v>対象外</v>
      </c>
    </row>
    <row r="164">
      <c r="A164" t="n" s="2909">
        <v>31</v>
      </c>
      <c r="AA164" t="n" s="2909">
        <v>21</v>
      </c>
      <c r="AB164" t="inlineStr" s="2909">
        <is>
          <t>20221001</t>
        </is>
      </c>
      <c r="AD164" t="n" s="2909">
        <v>0</v>
      </c>
      <c r="AE164" t="inlineStr" s="2909">
        <is>
          <t>00000000</t>
        </is>
      </c>
      <c r="AH164" t="n" s="2909">
        <v>1</v>
      </c>
      <c r="AJ164" t="n" s="2909">
        <v>41</v>
      </c>
      <c r="AP164" t="n" s="2909">
        <v>142000</v>
      </c>
      <c r="DB164" s="2909" t="str">
        <f>IF($A164="","",IF($A164&lt;&gt;21,"対象外",IF($AE164&amp;""="00000000","在職",IF($AE164&amp;""='DB_設定'!$C$4,"4/1喪失","その他喪失"))))</f>
        <v>対象外</v>
      </c>
    </row>
    <row r="165">
      <c r="A165" t="n" s="2909">
        <v>31</v>
      </c>
      <c r="AA165" t="n" s="2909">
        <v>21</v>
      </c>
      <c r="AB165" t="inlineStr" s="2909">
        <is>
          <t>20221001</t>
        </is>
      </c>
      <c r="AD165" t="n" s="2909">
        <v>0</v>
      </c>
      <c r="AE165" t="inlineStr" s="2909">
        <is>
          <t>00000000</t>
        </is>
      </c>
      <c r="AH165" t="n" s="2909">
        <v>1</v>
      </c>
      <c r="AJ165" t="n" s="2909">
        <v>41</v>
      </c>
      <c r="AP165" t="n" s="2909">
        <v>150000</v>
      </c>
      <c r="DB165" s="2909" t="str">
        <f>IF($A165="","",IF($A165&lt;&gt;21,"対象外",IF($AE165&amp;""="00000000","在職",IF($AE165&amp;""='DB_設定'!$C$4,"4/1喪失","その他喪失"))))</f>
        <v>対象外</v>
      </c>
    </row>
    <row r="166">
      <c r="A166" t="n" s="2909">
        <v>31</v>
      </c>
      <c r="AA166" t="n" s="2909">
        <v>21</v>
      </c>
      <c r="AB166" t="inlineStr" s="2909">
        <is>
          <t>20221001</t>
        </is>
      </c>
      <c r="AD166" t="n" s="2909">
        <v>0</v>
      </c>
      <c r="AE166" t="inlineStr" s="2909">
        <is>
          <t>00000000</t>
        </is>
      </c>
      <c r="AH166" t="n" s="2909">
        <v>1</v>
      </c>
      <c r="AJ166" t="n" s="2909">
        <v>41</v>
      </c>
      <c r="AP166" t="n" s="2909">
        <v>142000</v>
      </c>
      <c r="DB166" s="2909" t="str">
        <f>IF($A166="","",IF($A166&lt;&gt;21,"対象外",IF($AE166&amp;""="00000000","在職",IF($AE166&amp;""='DB_設定'!$C$4,"4/1喪失","その他喪失"))))</f>
        <v>対象外</v>
      </c>
    </row>
    <row r="167">
      <c r="A167" t="n" s="2909">
        <v>31</v>
      </c>
      <c r="AA167" t="n" s="2909">
        <v>21</v>
      </c>
      <c r="AB167" t="inlineStr" s="2909">
        <is>
          <t>20210401</t>
        </is>
      </c>
      <c r="AD167" t="n" s="2909">
        <v>0</v>
      </c>
      <c r="AE167" t="inlineStr" s="2909">
        <is>
          <t>00000000</t>
        </is>
      </c>
      <c r="AH167" t="n" s="2909">
        <v>1</v>
      </c>
      <c r="AJ167" t="n" s="2909">
        <v>10</v>
      </c>
      <c r="AP167" t="n" s="2909">
        <v>300000</v>
      </c>
      <c r="DB167" s="2909" t="str">
        <f>IF($A167="","",IF($A167&lt;&gt;21,"対象外",IF($AE167&amp;""="00000000","在職",IF($AE167&amp;""='DB_設定'!$C$4,"4/1喪失","その他喪失"))))</f>
        <v>対象外</v>
      </c>
    </row>
    <row r="168">
      <c r="A168" t="n" s="2909">
        <v>31</v>
      </c>
      <c r="AA168" t="n" s="2909">
        <v>21</v>
      </c>
      <c r="AB168" t="inlineStr" s="2909">
        <is>
          <t>20221001</t>
        </is>
      </c>
      <c r="AD168" t="n" s="2909">
        <v>0</v>
      </c>
      <c r="AE168" t="inlineStr" s="2909">
        <is>
          <t>00000000</t>
        </is>
      </c>
      <c r="AH168" t="n" s="2909">
        <v>1</v>
      </c>
      <c r="AJ168" t="n" s="2909">
        <v>41</v>
      </c>
      <c r="AP168" t="n" s="2909">
        <v>142000</v>
      </c>
      <c r="DB168" s="2909" t="str">
        <f>IF($A168="","",IF($A168&lt;&gt;21,"対象外",IF($AE168&amp;""="00000000","在職",IF($AE168&amp;""='DB_設定'!$C$4,"4/1喪失","その他喪失"))))</f>
        <v>対象外</v>
      </c>
    </row>
    <row r="169">
      <c r="A169" t="n" s="2909">
        <v>31</v>
      </c>
      <c r="AA169" t="n" s="2909">
        <v>21</v>
      </c>
      <c r="AB169" t="inlineStr" s="2909">
        <is>
          <t>20221001</t>
        </is>
      </c>
      <c r="AD169" t="n" s="2909">
        <v>0</v>
      </c>
      <c r="AE169" t="inlineStr" s="2909">
        <is>
          <t>00000000</t>
        </is>
      </c>
      <c r="AH169" t="n" s="2909">
        <v>1</v>
      </c>
      <c r="AJ169" t="n" s="2909">
        <v>41</v>
      </c>
      <c r="AP169" t="n" s="2909">
        <v>142000</v>
      </c>
      <c r="DB169" s="2909" t="str">
        <f>IF($A169="","",IF($A169&lt;&gt;21,"対象外",IF($AE169&amp;""="00000000","在職",IF($AE169&amp;""='DB_設定'!$C$4,"4/1喪失","その他喪失"))))</f>
        <v>対象外</v>
      </c>
    </row>
    <row r="170">
      <c r="A170" t="n" s="2909">
        <v>31</v>
      </c>
      <c r="AA170" t="n" s="2909">
        <v>21</v>
      </c>
      <c r="AB170" t="inlineStr" s="2909">
        <is>
          <t>20250701</t>
        </is>
      </c>
      <c r="AD170" t="n" s="2909">
        <v>0</v>
      </c>
      <c r="AE170" t="inlineStr" s="2909">
        <is>
          <t>00000000</t>
        </is>
      </c>
      <c r="AH170" t="n" s="2909">
        <v>1</v>
      </c>
      <c r="AJ170" t="n" s="2909">
        <v>41</v>
      </c>
      <c r="AP170" t="n" s="2909">
        <v>200000</v>
      </c>
      <c r="DB170" s="2909" t="str">
        <f>IF($A170="","",IF($A170&lt;&gt;21,"対象外",IF($AE170&amp;""="00000000","在職",IF($AE170&amp;""='DB_設定'!$C$4,"4/1喪失","その他喪失"))))</f>
        <v>対象外</v>
      </c>
    </row>
    <row r="171">
      <c r="A171" t="n" s="2909">
        <v>31</v>
      </c>
      <c r="AA171" t="n" s="2909">
        <v>21</v>
      </c>
      <c r="AB171" t="inlineStr" s="2909">
        <is>
          <t>20230401</t>
        </is>
      </c>
      <c r="AD171" t="n" s="2909">
        <v>0</v>
      </c>
      <c r="AE171" t="inlineStr" s="2909">
        <is>
          <t>00000000</t>
        </is>
      </c>
      <c r="AH171" t="n" s="2909">
        <v>1</v>
      </c>
      <c r="AJ171" t="n" s="2909">
        <v>41</v>
      </c>
      <c r="AP171" t="n" s="2909">
        <v>200000</v>
      </c>
      <c r="DB171" s="2909" t="str">
        <f>IF($A171="","",IF($A171&lt;&gt;21,"対象外",IF($AE171&amp;""="00000000","在職",IF($AE171&amp;""='DB_設定'!$C$4,"4/1喪失","その他喪失"))))</f>
        <v>対象外</v>
      </c>
    </row>
    <row r="172">
      <c r="A172" t="n" s="2909">
        <v>31</v>
      </c>
      <c r="AA172" t="n" s="2909">
        <v>24</v>
      </c>
      <c r="AB172" t="inlineStr" s="2909">
        <is>
          <t>20250325</t>
        </is>
      </c>
      <c r="AD172" t="n" s="2909">
        <v>0</v>
      </c>
      <c r="AE172" t="inlineStr" s="2909">
        <is>
          <t>00000000</t>
        </is>
      </c>
      <c r="AH172" t="n" s="2909">
        <v>1</v>
      </c>
      <c r="AJ172" t="n" s="2909">
        <v>41</v>
      </c>
      <c r="AP172" t="n" s="2909">
        <v>126000</v>
      </c>
      <c r="DB172" s="2909" t="str">
        <f>IF($A172="","",IF($A172&lt;&gt;21,"対象外",IF($AE172&amp;""="00000000","在職",IF($AE172&amp;""='DB_設定'!$C$4,"4/1喪失","その他喪失"))))</f>
        <v>対象外</v>
      </c>
    </row>
    <row r="173">
      <c r="A173" t="n" s="2909">
        <v>31</v>
      </c>
      <c r="AA173" t="n" s="2909">
        <v>21</v>
      </c>
      <c r="AB173" t="inlineStr" s="2909">
        <is>
          <t>20221001</t>
        </is>
      </c>
      <c r="AD173" t="n" s="2909">
        <v>0</v>
      </c>
      <c r="AE173" t="inlineStr" s="2909">
        <is>
          <t>00000000</t>
        </is>
      </c>
      <c r="AH173" t="n" s="2909">
        <v>1</v>
      </c>
      <c r="AJ173" t="n" s="2909">
        <v>41</v>
      </c>
      <c r="AP173" t="n" s="2909">
        <v>150000</v>
      </c>
      <c r="DB173" s="2909" t="str">
        <f>IF($A173="","",IF($A173&lt;&gt;21,"対象外",IF($AE173&amp;""="00000000","在職",IF($AE173&amp;""='DB_設定'!$C$4,"4/1喪失","その他喪失"))))</f>
        <v>対象外</v>
      </c>
    </row>
    <row r="174">
      <c r="A174" t="n" s="2909">
        <v>31</v>
      </c>
      <c r="AA174" t="n" s="2909">
        <v>21</v>
      </c>
      <c r="AB174" t="inlineStr" s="2909">
        <is>
          <t>20221001</t>
        </is>
      </c>
      <c r="AD174" t="n" s="2909">
        <v>0</v>
      </c>
      <c r="AE174" t="inlineStr" s="2909">
        <is>
          <t>00000000</t>
        </is>
      </c>
      <c r="AH174" t="n" s="2909">
        <v>1</v>
      </c>
      <c r="AJ174" t="n" s="2909">
        <v>41</v>
      </c>
      <c r="AP174" t="n" s="2909">
        <v>200000</v>
      </c>
      <c r="DB174" s="2909" t="str">
        <f>IF($A174="","",IF($A174&lt;&gt;21,"対象外",IF($AE174&amp;""="00000000","在職",IF($AE174&amp;""='DB_設定'!$C$4,"4/1喪失","その他喪失"))))</f>
        <v>対象外</v>
      </c>
    </row>
    <row r="175">
      <c r="A175" t="n" s="2909">
        <v>31</v>
      </c>
      <c r="AA175" t="n" s="2909">
        <v>21</v>
      </c>
      <c r="AB175" t="inlineStr" s="2909">
        <is>
          <t>20221001</t>
        </is>
      </c>
      <c r="AD175" t="n" s="2909">
        <v>0</v>
      </c>
      <c r="AE175" t="inlineStr" s="2909">
        <is>
          <t>00000000</t>
        </is>
      </c>
      <c r="AH175" t="n" s="2909">
        <v>1</v>
      </c>
      <c r="AJ175" t="n" s="2909">
        <v>41</v>
      </c>
      <c r="AP175" t="n" s="2909">
        <v>200000</v>
      </c>
      <c r="DB175" s="2909" t="str">
        <f>IF($A175="","",IF($A175&lt;&gt;21,"対象外",IF($AE175&amp;""="00000000","在職",IF($AE175&amp;""='DB_設定'!$C$4,"4/1喪失","その他喪失"))))</f>
        <v>対象外</v>
      </c>
    </row>
    <row r="176">
      <c r="A176" t="n" s="2909">
        <v>31</v>
      </c>
      <c r="AA176" t="n" s="2909">
        <v>21</v>
      </c>
      <c r="AB176" t="inlineStr" s="2909">
        <is>
          <t>20221001</t>
        </is>
      </c>
      <c r="AD176" t="n" s="2909">
        <v>0</v>
      </c>
      <c r="AE176" t="inlineStr" s="2909">
        <is>
          <t>00000000</t>
        </is>
      </c>
      <c r="AH176" t="n" s="2909">
        <v>11</v>
      </c>
      <c r="AJ176" t="n" s="2909">
        <v>41</v>
      </c>
      <c r="AP176" t="n" s="2909">
        <v>190000</v>
      </c>
      <c r="DB176" s="2909" t="str">
        <f>IF($A176="","",IF($A176&lt;&gt;21,"対象外",IF($AE176&amp;""="00000000","在職",IF($AE176&amp;""='DB_設定'!$C$4,"4/1喪失","その他喪失"))))</f>
        <v>対象外</v>
      </c>
    </row>
    <row r="177">
      <c r="A177" t="n" s="2909">
        <v>31</v>
      </c>
      <c r="AA177" t="n" s="2909">
        <v>21</v>
      </c>
      <c r="AB177" t="inlineStr" s="2909">
        <is>
          <t>20221001</t>
        </is>
      </c>
      <c r="AD177" t="n" s="2909">
        <v>0</v>
      </c>
      <c r="AE177" t="inlineStr" s="2909">
        <is>
          <t>00000000</t>
        </is>
      </c>
      <c r="AH177" t="n" s="2909">
        <v>1</v>
      </c>
      <c r="AJ177" t="n" s="2909">
        <v>41</v>
      </c>
      <c r="AP177" t="n" s="2909">
        <v>200000</v>
      </c>
      <c r="DB177" s="2909" t="str">
        <f>IF($A177="","",IF($A177&lt;&gt;21,"対象外",IF($AE177&amp;""="00000000","在職",IF($AE177&amp;""='DB_設定'!$C$4,"4/1喪失","その他喪失"))))</f>
        <v>対象外</v>
      </c>
    </row>
    <row r="178">
      <c r="A178" t="n" s="2909">
        <v>31</v>
      </c>
      <c r="AA178" t="n" s="2909">
        <v>21</v>
      </c>
      <c r="AB178" t="inlineStr" s="2909">
        <is>
          <t>20200401</t>
        </is>
      </c>
      <c r="AD178" t="n" s="2909">
        <v>0</v>
      </c>
      <c r="AE178" t="inlineStr" s="2909">
        <is>
          <t>00000000</t>
        </is>
      </c>
      <c r="AH178" t="n" s="2909">
        <v>1</v>
      </c>
      <c r="AJ178" t="n" s="2909">
        <v>10</v>
      </c>
      <c r="AP178" t="n" s="2909">
        <v>280000</v>
      </c>
      <c r="DB178" s="2909" t="str">
        <f>IF($A178="","",IF($A178&lt;&gt;21,"対象外",IF($AE178&amp;""="00000000","在職",IF($AE178&amp;""='DB_設定'!$C$4,"4/1喪失","その他喪失"))))</f>
        <v>対象外</v>
      </c>
    </row>
    <row r="179">
      <c r="A179" t="n" s="2909">
        <v>31</v>
      </c>
      <c r="AA179" t="n" s="2909">
        <v>21</v>
      </c>
      <c r="AB179" t="inlineStr" s="2909">
        <is>
          <t>20221001</t>
        </is>
      </c>
      <c r="AD179" t="n" s="2909">
        <v>0</v>
      </c>
      <c r="AE179" t="inlineStr" s="2909">
        <is>
          <t>00000000</t>
        </is>
      </c>
      <c r="AH179" t="n" s="2909">
        <v>11</v>
      </c>
      <c r="AJ179" t="n" s="2909">
        <v>41</v>
      </c>
      <c r="AP179" t="n" s="2909">
        <v>190000</v>
      </c>
      <c r="DB179" s="2909" t="str">
        <f>IF($A179="","",IF($A179&lt;&gt;21,"対象外",IF($AE179&amp;""="00000000","在職",IF($AE179&amp;""='DB_設定'!$C$4,"4/1喪失","その他喪失"))))</f>
        <v>対象外</v>
      </c>
    </row>
    <row r="180">
      <c r="A180" t="n" s="2909">
        <v>31</v>
      </c>
      <c r="AA180" t="n" s="2909">
        <v>21</v>
      </c>
      <c r="AB180" t="inlineStr" s="2909">
        <is>
          <t>20230401</t>
        </is>
      </c>
      <c r="AD180" t="n" s="2909">
        <v>0</v>
      </c>
      <c r="AE180" t="inlineStr" s="2909">
        <is>
          <t>00000000</t>
        </is>
      </c>
      <c r="AH180" t="n" s="2909">
        <v>1</v>
      </c>
      <c r="AJ180" t="n" s="2909">
        <v>41</v>
      </c>
      <c r="AP180" t="n" s="2909">
        <v>110000</v>
      </c>
      <c r="DB180" s="2909" t="str">
        <f>IF($A180="","",IF($A180&lt;&gt;21,"対象外",IF($AE180&amp;""="00000000","在職",IF($AE180&amp;""='DB_設定'!$C$4,"4/1喪失","その他喪失"))))</f>
        <v>対象外</v>
      </c>
    </row>
    <row r="181">
      <c r="A181" t="n" s="2909">
        <v>31</v>
      </c>
      <c r="AA181" t="n" s="2909">
        <v>21</v>
      </c>
      <c r="AB181" t="inlineStr" s="2909">
        <is>
          <t>20221001</t>
        </is>
      </c>
      <c r="AD181" t="n" s="2909">
        <v>0</v>
      </c>
      <c r="AE181" t="inlineStr" s="2909">
        <is>
          <t>00000000</t>
        </is>
      </c>
      <c r="AH181" t="n" s="2909">
        <v>1</v>
      </c>
      <c r="AJ181" t="n" s="2909">
        <v>41</v>
      </c>
      <c r="AP181" t="n" s="2909">
        <v>150000</v>
      </c>
      <c r="DB181" s="2909" t="str">
        <f>IF($A181="","",IF($A181&lt;&gt;21,"対象外",IF($AE181&amp;""="00000000","在職",IF($AE181&amp;""='DB_設定'!$C$4,"4/1喪失","その他喪失"))))</f>
        <v>対象外</v>
      </c>
    </row>
    <row r="182">
      <c r="A182" t="n" s="2909">
        <v>21</v>
      </c>
      <c r="AA182" t="n" s="2909">
        <v>21</v>
      </c>
      <c r="AB182" t="inlineStr" s="2909">
        <is>
          <t>19851201</t>
        </is>
      </c>
      <c r="AD182" t="n" s="2909">
        <v>0</v>
      </c>
      <c r="AE182" t="inlineStr" s="2909">
        <is>
          <t>00000000</t>
        </is>
      </c>
      <c r="AH182" t="n" s="2909">
        <v>20</v>
      </c>
      <c r="AJ182" t="n" s="2909">
        <v>10</v>
      </c>
      <c r="AP182" t="n" s="2909">
        <v>360000</v>
      </c>
      <c r="DB182" s="2909" t="str">
        <f>IF($A182="","",IF($A182&lt;&gt;21,"対象外",IF($AE182&amp;""="00000000","在職",IF($AE182&amp;""='DB_設定'!$C$4,"4/1喪失","その他喪失"))))</f>
        <v>在職</v>
      </c>
    </row>
    <row r="183">
      <c r="A183" t="n" s="2909">
        <v>31</v>
      </c>
      <c r="AA183" t="n" s="2909">
        <v>21</v>
      </c>
      <c r="AB183" t="inlineStr" s="2909">
        <is>
          <t>20221001</t>
        </is>
      </c>
      <c r="AD183" t="n" s="2909">
        <v>0</v>
      </c>
      <c r="AE183" t="inlineStr" s="2909">
        <is>
          <t>00000000</t>
        </is>
      </c>
      <c r="AH183" t="n" s="2909">
        <v>1</v>
      </c>
      <c r="AJ183" t="n" s="2909">
        <v>41</v>
      </c>
      <c r="AP183" t="n" s="2909">
        <v>200000</v>
      </c>
      <c r="DB183" s="2909" t="str">
        <f>IF($A183="","",IF($A183&lt;&gt;21,"対象外",IF($AE183&amp;""="00000000","在職",IF($AE183&amp;""='DB_設定'!$C$4,"4/1喪失","その他喪失"))))</f>
        <v>対象外</v>
      </c>
    </row>
    <row r="184">
      <c r="A184" t="n" s="2909">
        <v>31</v>
      </c>
      <c r="AA184" t="n" s="2909">
        <v>21</v>
      </c>
      <c r="AB184" t="inlineStr" s="2909">
        <is>
          <t>20210401</t>
        </is>
      </c>
      <c r="AD184" t="n" s="2909">
        <v>0</v>
      </c>
      <c r="AE184" t="inlineStr" s="2909">
        <is>
          <t>00000000</t>
        </is>
      </c>
      <c r="AH184" t="n" s="2909">
        <v>1</v>
      </c>
      <c r="AJ184" t="n" s="2909">
        <v>10</v>
      </c>
      <c r="AP184" t="n" s="2909">
        <v>280000</v>
      </c>
      <c r="DB184" s="2909" t="str">
        <f>IF($A184="","",IF($A184&lt;&gt;21,"対象外",IF($AE184&amp;""="00000000","在職",IF($AE184&amp;""='DB_設定'!$C$4,"4/1喪失","その他喪失"))))</f>
        <v>対象外</v>
      </c>
    </row>
    <row r="185">
      <c r="A185" t="n" s="2909">
        <v>31</v>
      </c>
      <c r="AA185" t="n" s="2909">
        <v>21</v>
      </c>
      <c r="AB185" t="inlineStr" s="2909">
        <is>
          <t>20210401</t>
        </is>
      </c>
      <c r="AD185" t="n" s="2909">
        <v>0</v>
      </c>
      <c r="AE185" t="inlineStr" s="2909">
        <is>
          <t>00000000</t>
        </is>
      </c>
      <c r="AH185" t="n" s="2909">
        <v>1</v>
      </c>
      <c r="AJ185" t="n" s="2909">
        <v>10</v>
      </c>
      <c r="AP185" t="n" s="2909">
        <v>280000</v>
      </c>
      <c r="DB185" s="2909" t="str">
        <f>IF($A185="","",IF($A185&lt;&gt;21,"対象外",IF($AE185&amp;""="00000000","在職",IF($AE185&amp;""='DB_設定'!$C$4,"4/1喪失","その他喪失"))))</f>
        <v>対象外</v>
      </c>
    </row>
    <row r="186">
      <c r="A186" t="n" s="2909">
        <v>31</v>
      </c>
      <c r="AA186" t="n" s="2909">
        <v>21</v>
      </c>
      <c r="AB186" t="inlineStr" s="2909">
        <is>
          <t>20221001</t>
        </is>
      </c>
      <c r="AD186" t="n" s="2909">
        <v>0</v>
      </c>
      <c r="AE186" t="inlineStr" s="2909">
        <is>
          <t>00000000</t>
        </is>
      </c>
      <c r="AH186" t="n" s="2909">
        <v>1</v>
      </c>
      <c r="AJ186" t="n" s="2909">
        <v>41</v>
      </c>
      <c r="AP186" t="n" s="2909">
        <v>134000</v>
      </c>
      <c r="DB186" s="2909" t="str">
        <f>IF($A186="","",IF($A186&lt;&gt;21,"対象外",IF($AE186&amp;""="00000000","在職",IF($AE186&amp;""='DB_設定'!$C$4,"4/1喪失","その他喪失"))))</f>
        <v>対象外</v>
      </c>
    </row>
    <row r="187">
      <c r="A187" t="n" s="2909">
        <v>21</v>
      </c>
      <c r="AA187" t="n" s="2909">
        <v>21</v>
      </c>
      <c r="AB187" t="inlineStr" s="2909">
        <is>
          <t>19980401</t>
        </is>
      </c>
      <c r="AD187" t="n" s="2909">
        <v>0</v>
      </c>
      <c r="AE187" t="inlineStr" s="2909">
        <is>
          <t>00000000</t>
        </is>
      </c>
      <c r="AH187" t="n" s="2909">
        <v>11</v>
      </c>
      <c r="AJ187" t="n" s="2909">
        <v>10</v>
      </c>
      <c r="AP187" t="n" s="2909">
        <v>300000</v>
      </c>
      <c r="DB187" s="2909" t="str">
        <f>IF($A187="","",IF($A187&lt;&gt;21,"対象外",IF($AE187&amp;""="00000000","在職",IF($AE187&amp;""='DB_設定'!$C$4,"4/1喪失","その他喪失"))))</f>
        <v>在職</v>
      </c>
    </row>
    <row r="188">
      <c r="A188" t="n" s="2909">
        <v>31</v>
      </c>
      <c r="AA188" t="n" s="2909">
        <v>21</v>
      </c>
      <c r="AB188" t="inlineStr" s="2909">
        <is>
          <t>20230601</t>
        </is>
      </c>
      <c r="AD188" t="n" s="2909">
        <v>0</v>
      </c>
      <c r="AE188" t="inlineStr" s="2909">
        <is>
          <t>00000000</t>
        </is>
      </c>
      <c r="AH188" t="n" s="2909">
        <v>20</v>
      </c>
      <c r="AJ188" t="n" s="2909">
        <v>41</v>
      </c>
      <c r="AP188" t="n" s="2909">
        <v>200000</v>
      </c>
      <c r="DB188" s="2909" t="str">
        <f>IF($A188="","",IF($A188&lt;&gt;21,"対象外",IF($AE188&amp;""="00000000","在職",IF($AE188&amp;""='DB_設定'!$C$4,"4/1喪失","その他喪失"))))</f>
        <v>対象外</v>
      </c>
    </row>
    <row r="189">
      <c r="A189" t="n" s="2909">
        <v>31</v>
      </c>
      <c r="AA189" t="n" s="2909">
        <v>21</v>
      </c>
      <c r="AB189" t="inlineStr" s="2909">
        <is>
          <t>20250401</t>
        </is>
      </c>
      <c r="AD189" t="n" s="2909">
        <v>0</v>
      </c>
      <c r="AE189" t="inlineStr" s="2909">
        <is>
          <t>00000000</t>
        </is>
      </c>
      <c r="AH189" t="n" s="2909">
        <v>1</v>
      </c>
      <c r="AJ189" t="n" s="2909">
        <v>41</v>
      </c>
      <c r="AP189" t="n" s="2909">
        <v>134000</v>
      </c>
      <c r="DB189" s="2909" t="str">
        <f>IF($A189="","",IF($A189&lt;&gt;21,"対象外",IF($AE189&amp;""="00000000","在職",IF($AE189&amp;""='DB_設定'!$C$4,"4/1喪失","その他喪失"))))</f>
        <v>対象外</v>
      </c>
    </row>
    <row r="190">
      <c r="A190" t="n" s="2909">
        <v>31</v>
      </c>
      <c r="AA190" t="n" s="2909">
        <v>21</v>
      </c>
      <c r="AB190" t="inlineStr" s="2909">
        <is>
          <t>20221001</t>
        </is>
      </c>
      <c r="AD190" t="n" s="2909">
        <v>0</v>
      </c>
      <c r="AE190" t="inlineStr" s="2909">
        <is>
          <t>00000000</t>
        </is>
      </c>
      <c r="AH190" t="n" s="2909">
        <v>1</v>
      </c>
      <c r="AJ190" t="n" s="2909">
        <v>41</v>
      </c>
      <c r="AP190" t="n" s="2909">
        <v>134000</v>
      </c>
      <c r="DB190" s="2909" t="str">
        <f>IF($A190="","",IF($A190&lt;&gt;21,"対象外",IF($AE190&amp;""="00000000","在職",IF($AE190&amp;""='DB_設定'!$C$4,"4/1喪失","その他喪失"))))</f>
        <v>対象外</v>
      </c>
    </row>
    <row r="191">
      <c r="A191" t="n" s="2909">
        <v>31</v>
      </c>
      <c r="AA191" t="n" s="2909">
        <v>21</v>
      </c>
      <c r="AB191" t="inlineStr" s="2909">
        <is>
          <t>20250401</t>
        </is>
      </c>
      <c r="AD191" t="n" s="2909">
        <v>0</v>
      </c>
      <c r="AE191" t="inlineStr" s="2909">
        <is>
          <t>00000000</t>
        </is>
      </c>
      <c r="AH191" t="n" s="2909">
        <v>1</v>
      </c>
      <c r="AJ191" t="n" s="2909">
        <v>41</v>
      </c>
      <c r="AP191" t="n" s="2909">
        <v>240000</v>
      </c>
      <c r="DB191" s="2909" t="str">
        <f>IF($A191="","",IF($A191&lt;&gt;21,"対象外",IF($AE191&amp;""="00000000","在職",IF($AE191&amp;""='DB_設定'!$C$4,"4/1喪失","その他喪失"))))</f>
        <v>対象外</v>
      </c>
    </row>
    <row r="192">
      <c r="A192" t="n" s="2909">
        <v>31</v>
      </c>
      <c r="AA192" t="n" s="2909">
        <v>21</v>
      </c>
      <c r="AB192" t="inlineStr" s="2909">
        <is>
          <t>20210401</t>
        </is>
      </c>
      <c r="AD192" t="n" s="2909">
        <v>0</v>
      </c>
      <c r="AE192" t="inlineStr" s="2909">
        <is>
          <t>00000000</t>
        </is>
      </c>
      <c r="AH192" t="n" s="2909">
        <v>1</v>
      </c>
      <c r="AJ192" t="n" s="2909">
        <v>10</v>
      </c>
      <c r="AP192" t="n" s="2909">
        <v>280000</v>
      </c>
      <c r="DB192" s="2909" t="str">
        <f>IF($A192="","",IF($A192&lt;&gt;21,"対象外",IF($AE192&amp;""="00000000","在職",IF($AE192&amp;""='DB_設定'!$C$4,"4/1喪失","その他喪失"))))</f>
        <v>対象外</v>
      </c>
    </row>
    <row r="193">
      <c r="A193" t="n" s="2909">
        <v>31</v>
      </c>
      <c r="AA193" t="n" s="2909">
        <v>21</v>
      </c>
      <c r="AB193" t="inlineStr" s="2909">
        <is>
          <t>20221001</t>
        </is>
      </c>
      <c r="AD193" t="n" s="2909">
        <v>0</v>
      </c>
      <c r="AE193" t="inlineStr" s="2909">
        <is>
          <t>00000000</t>
        </is>
      </c>
      <c r="AH193" t="n" s="2909">
        <v>1</v>
      </c>
      <c r="AJ193" t="n" s="2909">
        <v>41</v>
      </c>
      <c r="AP193" t="n" s="2909">
        <v>142000</v>
      </c>
      <c r="DB193" s="2909" t="str">
        <f>IF($A193="","",IF($A193&lt;&gt;21,"対象外",IF($AE193&amp;""="00000000","在職",IF($AE193&amp;""='DB_設定'!$C$4,"4/1喪失","その他喪失"))))</f>
        <v>対象外</v>
      </c>
    </row>
    <row r="194">
      <c r="A194" t="n" s="2909">
        <v>31</v>
      </c>
      <c r="AA194" t="n" s="2909">
        <v>21</v>
      </c>
      <c r="AB194" t="inlineStr" s="2909">
        <is>
          <t>20221001</t>
        </is>
      </c>
      <c r="AD194" t="n" s="2909">
        <v>0</v>
      </c>
      <c r="AE194" t="inlineStr" s="2909">
        <is>
          <t>00000000</t>
        </is>
      </c>
      <c r="AH194" t="n" s="2909">
        <v>1</v>
      </c>
      <c r="AJ194" t="n" s="2909">
        <v>41</v>
      </c>
      <c r="AP194" t="n" s="2909">
        <v>200000</v>
      </c>
      <c r="DB194" s="2909" t="str">
        <f>IF($A194="","",IF($A194&lt;&gt;21,"対象外",IF($AE194&amp;""="00000000","在職",IF($AE194&amp;""='DB_設定'!$C$4,"4/1喪失","その他喪失"))))</f>
        <v>対象外</v>
      </c>
    </row>
    <row r="195">
      <c r="A195" t="n" s="2909">
        <v>21</v>
      </c>
      <c r="AA195" t="n" s="2909">
        <v>21</v>
      </c>
      <c r="AB195" t="inlineStr" s="2909">
        <is>
          <t>19920401</t>
        </is>
      </c>
      <c r="AD195" t="n" s="2909">
        <v>0</v>
      </c>
      <c r="AE195" t="inlineStr" s="2909">
        <is>
          <t>00000000</t>
        </is>
      </c>
      <c r="AH195" t="n" s="2909">
        <v>20</v>
      </c>
      <c r="AJ195" t="n" s="2909">
        <v>10</v>
      </c>
      <c r="AP195" t="n" s="2909">
        <v>360000</v>
      </c>
      <c r="DB195" s="2909" t="str">
        <f>IF($A195="","",IF($A195&lt;&gt;21,"対象外",IF($AE195&amp;""="00000000","在職",IF($AE195&amp;""='DB_設定'!$C$4,"4/1喪失","その他喪失"))))</f>
        <v>在職</v>
      </c>
    </row>
    <row r="196">
      <c r="A196" t="n" s="2909">
        <v>31</v>
      </c>
      <c r="AA196" t="n" s="2909">
        <v>21</v>
      </c>
      <c r="AB196" t="inlineStr" s="2909">
        <is>
          <t>20221001</t>
        </is>
      </c>
      <c r="AD196" t="n" s="2909">
        <v>0</v>
      </c>
      <c r="AE196" t="inlineStr" s="2909">
        <is>
          <t>00000000</t>
        </is>
      </c>
      <c r="AH196" t="n" s="2909">
        <v>11</v>
      </c>
      <c r="AJ196" t="n" s="2909">
        <v>41</v>
      </c>
      <c r="AP196" t="n" s="2909">
        <v>104000</v>
      </c>
      <c r="DB196" s="2909" t="str">
        <f>IF($A196="","",IF($A196&lt;&gt;21,"対象外",IF($AE196&amp;""="00000000","在職",IF($AE196&amp;""='DB_設定'!$C$4,"4/1喪失","その他喪失"))))</f>
        <v>対象外</v>
      </c>
    </row>
    <row r="197">
      <c r="A197" t="n" s="2909">
        <v>31</v>
      </c>
      <c r="AA197" t="n" s="2909">
        <v>21</v>
      </c>
      <c r="AB197" t="inlineStr" s="2909">
        <is>
          <t>20221001</t>
        </is>
      </c>
      <c r="AD197" t="n" s="2909">
        <v>0</v>
      </c>
      <c r="AE197" t="inlineStr" s="2909">
        <is>
          <t>00000000</t>
        </is>
      </c>
      <c r="AH197" t="n" s="2909">
        <v>1</v>
      </c>
      <c r="AJ197" t="n" s="2909">
        <v>41</v>
      </c>
      <c r="AP197" t="n" s="2909">
        <v>134000</v>
      </c>
      <c r="DB197" s="2909" t="str">
        <f>IF($A197="","",IF($A197&lt;&gt;21,"対象外",IF($AE197&amp;""="00000000","在職",IF($AE197&amp;""='DB_設定'!$C$4,"4/1喪失","その他喪失"))))</f>
        <v>対象外</v>
      </c>
    </row>
    <row r="198">
      <c r="A198" t="n" s="2909">
        <v>31</v>
      </c>
      <c r="AA198" t="n" s="2909">
        <v>21</v>
      </c>
      <c r="AB198" t="inlineStr" s="2909">
        <is>
          <t>20250401</t>
        </is>
      </c>
      <c r="AD198" t="n" s="2909">
        <v>0</v>
      </c>
      <c r="AE198" t="inlineStr" s="2909">
        <is>
          <t>00000000</t>
        </is>
      </c>
      <c r="AH198" t="n" s="2909">
        <v>1</v>
      </c>
      <c r="AJ198" t="n" s="2909">
        <v>41</v>
      </c>
      <c r="AP198" t="n" s="2909">
        <v>134000</v>
      </c>
      <c r="DB198" s="2909" t="str">
        <f>IF($A198="","",IF($A198&lt;&gt;21,"対象外",IF($AE198&amp;""="00000000","在職",IF($AE198&amp;""='DB_設定'!$C$4,"4/1喪失","その他喪失"))))</f>
        <v>対象外</v>
      </c>
    </row>
    <row r="199">
      <c r="A199" t="n" s="2909">
        <v>31</v>
      </c>
      <c r="AA199" t="n" s="2909">
        <v>21</v>
      </c>
      <c r="AB199" t="inlineStr" s="2909">
        <is>
          <t>20221001</t>
        </is>
      </c>
      <c r="AD199" t="n" s="2909">
        <v>0</v>
      </c>
      <c r="AE199" t="inlineStr" s="2909">
        <is>
          <t>00000000</t>
        </is>
      </c>
      <c r="AH199" t="n" s="2909">
        <v>1</v>
      </c>
      <c r="AJ199" t="n" s="2909">
        <v>41</v>
      </c>
      <c r="AP199" t="n" s="2909">
        <v>240000</v>
      </c>
      <c r="DB199" s="2909" t="str">
        <f>IF($A199="","",IF($A199&lt;&gt;21,"対象外",IF($AE199&amp;""="00000000","在職",IF($AE199&amp;""='DB_設定'!$C$4,"4/1喪失","その他喪失"))))</f>
        <v>対象外</v>
      </c>
    </row>
    <row r="200">
      <c r="A200" t="n" s="2909">
        <v>31</v>
      </c>
      <c r="AA200" t="n" s="2909">
        <v>21</v>
      </c>
      <c r="AB200" t="inlineStr" s="2909">
        <is>
          <t>20221001</t>
        </is>
      </c>
      <c r="AD200" t="n" s="2909">
        <v>0</v>
      </c>
      <c r="AE200" t="inlineStr" s="2909">
        <is>
          <t>00000000</t>
        </is>
      </c>
      <c r="AH200" t="n" s="2909">
        <v>1</v>
      </c>
      <c r="AJ200" t="n" s="2909">
        <v>41</v>
      </c>
      <c r="AP200" t="n" s="2909">
        <v>220000</v>
      </c>
      <c r="DB200" s="2909" t="str">
        <f>IF($A200="","",IF($A200&lt;&gt;21,"対象外",IF($AE200&amp;""="00000000","在職",IF($AE200&amp;""='DB_設定'!$C$4,"4/1喪失","その他喪失"))))</f>
        <v>対象外</v>
      </c>
    </row>
    <row r="201">
      <c r="A201" t="n" s="2909">
        <v>21</v>
      </c>
      <c r="AA201" t="n" s="2909">
        <v>21</v>
      </c>
      <c r="AB201" t="inlineStr" s="2909">
        <is>
          <t>19880401</t>
        </is>
      </c>
      <c r="AD201" t="n" s="2909">
        <v>0</v>
      </c>
      <c r="AE201" t="inlineStr" s="2909">
        <is>
          <t>00000000</t>
        </is>
      </c>
      <c r="AH201" t="n" s="2909">
        <v>1</v>
      </c>
      <c r="AJ201" t="n" s="2909">
        <v>10</v>
      </c>
      <c r="AP201" t="n" s="2909">
        <v>380000</v>
      </c>
      <c r="DB201" s="2909" t="str">
        <f>IF($A201="","",IF($A201&lt;&gt;21,"対象外",IF($AE201&amp;""="00000000","在職",IF($AE201&amp;""='DB_設定'!$C$4,"4/1喪失","その他喪失"))))</f>
        <v>在職</v>
      </c>
    </row>
    <row r="202">
      <c r="A202" t="n" s="2909">
        <v>21</v>
      </c>
      <c r="AA202" t="n" s="2909">
        <v>21</v>
      </c>
      <c r="AB202" t="inlineStr" s="2909">
        <is>
          <t>20030401</t>
        </is>
      </c>
      <c r="AD202" t="n" s="2909">
        <v>0</v>
      </c>
      <c r="AE202" t="inlineStr" s="2909">
        <is>
          <t>00000000</t>
        </is>
      </c>
      <c r="AH202" t="n" s="2909">
        <v>11</v>
      </c>
      <c r="AJ202" t="n" s="2909">
        <v>10</v>
      </c>
      <c r="AP202" t="n" s="2909">
        <v>280000</v>
      </c>
      <c r="DB202" s="2909" t="str">
        <f>IF($A202="","",IF($A202&lt;&gt;21,"対象外",IF($AE202&amp;""="00000000","在職",IF($AE202&amp;""='DB_設定'!$C$4,"4/1喪失","その他喪失"))))</f>
        <v>在職</v>
      </c>
    </row>
    <row r="203">
      <c r="A203" t="n" s="2909">
        <v>31</v>
      </c>
      <c r="AA203" t="n" s="2909">
        <v>21</v>
      </c>
      <c r="AB203" t="inlineStr" s="2909">
        <is>
          <t>20221001</t>
        </is>
      </c>
      <c r="AD203" t="n" s="2909">
        <v>0</v>
      </c>
      <c r="AE203" t="inlineStr" s="2909">
        <is>
          <t>00000000</t>
        </is>
      </c>
      <c r="AH203" t="n" s="2909">
        <v>1</v>
      </c>
      <c r="AJ203" t="n" s="2909">
        <v>41</v>
      </c>
      <c r="AP203" t="n" s="2909">
        <v>150000</v>
      </c>
      <c r="DB203" s="2909" t="str">
        <f>IF($A203="","",IF($A203&lt;&gt;21,"対象外",IF($AE203&amp;""="00000000","在職",IF($AE203&amp;""='DB_設定'!$C$4,"4/1喪失","その他喪失"))))</f>
        <v>対象外</v>
      </c>
    </row>
    <row r="204">
      <c r="A204" t="n" s="2909">
        <v>21</v>
      </c>
      <c r="AA204" t="n" s="2909">
        <v>21</v>
      </c>
      <c r="AB204" t="inlineStr" s="2909">
        <is>
          <t>20040401</t>
        </is>
      </c>
      <c r="AD204" t="n" s="2909">
        <v>0</v>
      </c>
      <c r="AE204" t="inlineStr" s="2909">
        <is>
          <t>00000000</t>
        </is>
      </c>
      <c r="AH204" t="n" s="2909">
        <v>11</v>
      </c>
      <c r="AJ204" t="n" s="2909">
        <v>10</v>
      </c>
      <c r="AP204" t="n" s="2909">
        <v>280000</v>
      </c>
      <c r="DB204" s="2909" t="str">
        <f>IF($A204="","",IF($A204&lt;&gt;21,"対象外",IF($AE204&amp;""="00000000","在職",IF($AE204&amp;""='DB_設定'!$C$4,"4/1喪失","その他喪失"))))</f>
        <v>在職</v>
      </c>
    </row>
    <row r="205">
      <c r="A205" t="n" s="2909">
        <v>31</v>
      </c>
      <c r="AA205" t="n" s="2909">
        <v>21</v>
      </c>
      <c r="AB205" t="inlineStr" s="2909">
        <is>
          <t>20221001</t>
        </is>
      </c>
      <c r="AD205" t="n" s="2909">
        <v>0</v>
      </c>
      <c r="AE205" t="inlineStr" s="2909">
        <is>
          <t>00000000</t>
        </is>
      </c>
      <c r="AH205" t="n" s="2909">
        <v>11</v>
      </c>
      <c r="AJ205" t="n" s="2909">
        <v>41</v>
      </c>
      <c r="AP205" t="n" s="2909">
        <v>126000</v>
      </c>
      <c r="DB205" s="2909" t="str">
        <f>IF($A205="","",IF($A205&lt;&gt;21,"対象外",IF($AE205&amp;""="00000000","在職",IF($AE205&amp;""='DB_設定'!$C$4,"4/1喪失","その他喪失"))))</f>
        <v>対象外</v>
      </c>
    </row>
    <row r="206">
      <c r="A206" t="n" s="2909">
        <v>31</v>
      </c>
      <c r="AA206" t="n" s="2909">
        <v>21</v>
      </c>
      <c r="AB206" t="inlineStr" s="2909">
        <is>
          <t>20221001</t>
        </is>
      </c>
      <c r="AD206" t="n" s="2909">
        <v>0</v>
      </c>
      <c r="AE206" t="inlineStr" s="2909">
        <is>
          <t>00000000</t>
        </is>
      </c>
      <c r="AH206" t="n" s="2909">
        <v>1</v>
      </c>
      <c r="AJ206" t="n" s="2909">
        <v>41</v>
      </c>
      <c r="AP206" t="n" s="2909">
        <v>190000</v>
      </c>
      <c r="DB206" s="2909" t="str">
        <f>IF($A206="","",IF($A206&lt;&gt;21,"対象外",IF($AE206&amp;""="00000000","在職",IF($AE206&amp;""='DB_設定'!$C$4,"4/1喪失","その他喪失"))))</f>
        <v>対象外</v>
      </c>
    </row>
    <row r="207">
      <c r="A207" t="n" s="2909">
        <v>31</v>
      </c>
      <c r="AA207" t="n" s="2909">
        <v>21</v>
      </c>
      <c r="AB207" t="inlineStr" s="2909">
        <is>
          <t>20221001</t>
        </is>
      </c>
      <c r="AD207" t="n" s="2909">
        <v>0</v>
      </c>
      <c r="AE207" t="inlineStr" s="2909">
        <is>
          <t>00000000</t>
        </is>
      </c>
      <c r="AH207" t="n" s="2909">
        <v>11</v>
      </c>
      <c r="AJ207" t="n" s="2909">
        <v>41</v>
      </c>
      <c r="AP207" t="n" s="2909">
        <v>150000</v>
      </c>
      <c r="DB207" s="2909" t="str">
        <f>IF($A207="","",IF($A207&lt;&gt;21,"対象外",IF($AE207&amp;""="00000000","在職",IF($AE207&amp;""='DB_設定'!$C$4,"4/1喪失","その他喪失"))))</f>
        <v>対象外</v>
      </c>
    </row>
    <row r="208">
      <c r="A208" t="n" s="2909">
        <v>31</v>
      </c>
      <c r="AA208" t="n" s="2909">
        <v>21</v>
      </c>
      <c r="AB208" t="inlineStr" s="2909">
        <is>
          <t>20210401</t>
        </is>
      </c>
      <c r="AD208" t="n" s="2909">
        <v>0</v>
      </c>
      <c r="AE208" t="inlineStr" s="2909">
        <is>
          <t>00000000</t>
        </is>
      </c>
      <c r="AH208" t="n" s="2909">
        <v>1</v>
      </c>
      <c r="AJ208" t="n" s="2909">
        <v>10</v>
      </c>
      <c r="AP208" t="n" s="2909">
        <v>280000</v>
      </c>
      <c r="DB208" s="2909" t="str">
        <f>IF($A208="","",IF($A208&lt;&gt;21,"対象外",IF($AE208&amp;""="00000000","在職",IF($AE208&amp;""='DB_設定'!$C$4,"4/1喪失","その他喪失"))))</f>
        <v>対象外</v>
      </c>
    </row>
    <row r="209">
      <c r="A209" t="n" s="2909">
        <v>31</v>
      </c>
      <c r="AA209" t="n" s="2909">
        <v>21</v>
      </c>
      <c r="AB209" t="inlineStr" s="2909">
        <is>
          <t>20221001</t>
        </is>
      </c>
      <c r="AD209" t="n" s="2909">
        <v>0</v>
      </c>
      <c r="AE209" t="inlineStr" s="2909">
        <is>
          <t>00000000</t>
        </is>
      </c>
      <c r="AH209" t="n" s="2909">
        <v>11</v>
      </c>
      <c r="AJ209" t="n" s="2909">
        <v>41</v>
      </c>
      <c r="AP209" t="n" s="2909">
        <v>190000</v>
      </c>
      <c r="DB209" s="2909" t="str">
        <f>IF($A209="","",IF($A209&lt;&gt;21,"対象外",IF($AE209&amp;""="00000000","在職",IF($AE209&amp;""='DB_設定'!$C$4,"4/1喪失","その他喪失"))))</f>
        <v>対象外</v>
      </c>
    </row>
    <row r="210">
      <c r="A210" t="n" s="2909">
        <v>31</v>
      </c>
      <c r="AA210" t="n" s="2909">
        <v>21</v>
      </c>
      <c r="AB210" t="inlineStr" s="2909">
        <is>
          <t>20221001</t>
        </is>
      </c>
      <c r="AD210" t="n" s="2909">
        <v>0</v>
      </c>
      <c r="AE210" t="inlineStr" s="2909">
        <is>
          <t>00000000</t>
        </is>
      </c>
      <c r="AH210" t="n" s="2909">
        <v>1</v>
      </c>
      <c r="AJ210" t="n" s="2909">
        <v>41</v>
      </c>
      <c r="AP210" t="n" s="2909">
        <v>220000</v>
      </c>
      <c r="DB210" s="2909" t="str">
        <f>IF($A210="","",IF($A210&lt;&gt;21,"対象外",IF($AE210&amp;""="00000000","在職",IF($AE210&amp;""='DB_設定'!$C$4,"4/1喪失","その他喪失"))))</f>
        <v>対象外</v>
      </c>
    </row>
    <row r="211">
      <c r="A211" t="n" s="2909">
        <v>21</v>
      </c>
      <c r="AA211" t="n" s="2909">
        <v>21</v>
      </c>
      <c r="AB211" t="inlineStr" s="2909">
        <is>
          <t>20011101</t>
        </is>
      </c>
      <c r="AD211" t="n" s="2909">
        <v>0</v>
      </c>
      <c r="AE211" t="inlineStr" s="2909">
        <is>
          <t>00000000</t>
        </is>
      </c>
      <c r="AH211" t="n" s="2909">
        <v>1</v>
      </c>
      <c r="AJ211" t="n" s="2909">
        <v>10</v>
      </c>
      <c r="AP211" t="n" s="2909">
        <v>980000</v>
      </c>
      <c r="DB211" s="2909" t="str">
        <f>IF($A211="","",IF($A211&lt;&gt;21,"対象外",IF($AE211&amp;""="00000000","在職",IF($AE211&amp;""='DB_設定'!$C$4,"4/1喪失","その他喪失"))))</f>
        <v>在職</v>
      </c>
    </row>
    <row r="212">
      <c r="A212" t="n" s="2909">
        <v>31</v>
      </c>
      <c r="AA212" t="n" s="2909">
        <v>21</v>
      </c>
      <c r="AB212" t="inlineStr" s="2909">
        <is>
          <t>20221001</t>
        </is>
      </c>
      <c r="AD212" t="n" s="2909">
        <v>0</v>
      </c>
      <c r="AE212" t="inlineStr" s="2909">
        <is>
          <t>00000000</t>
        </is>
      </c>
      <c r="AH212" t="n" s="2909">
        <v>1</v>
      </c>
      <c r="AJ212" t="n" s="2909">
        <v>41</v>
      </c>
      <c r="AP212" t="n" s="2909">
        <v>142000</v>
      </c>
      <c r="DB212" s="2909" t="str">
        <f>IF($A212="","",IF($A212&lt;&gt;21,"対象外",IF($AE212&amp;""="00000000","在職",IF($AE212&amp;""='DB_設定'!$C$4,"4/1喪失","その他喪失"))))</f>
        <v>対象外</v>
      </c>
    </row>
    <row r="213">
      <c r="A213" t="n" s="2909">
        <v>31</v>
      </c>
      <c r="AA213" t="n" s="2909">
        <v>21</v>
      </c>
      <c r="AB213" t="inlineStr" s="2909">
        <is>
          <t>20221001</t>
        </is>
      </c>
      <c r="AD213" t="n" s="2909">
        <v>0</v>
      </c>
      <c r="AE213" t="inlineStr" s="2909">
        <is>
          <t>00000000</t>
        </is>
      </c>
      <c r="AH213" t="n" s="2909">
        <v>11</v>
      </c>
      <c r="AJ213" t="n" s="2909">
        <v>41</v>
      </c>
      <c r="AP213" t="n" s="2909">
        <v>190000</v>
      </c>
      <c r="DB213" s="2909" t="str">
        <f>IF($A213="","",IF($A213&lt;&gt;21,"対象外",IF($AE213&amp;""="00000000","在職",IF($AE213&amp;""='DB_設定'!$C$4,"4/1喪失","その他喪失"))))</f>
        <v>対象外</v>
      </c>
    </row>
    <row r="214">
      <c r="A214" t="n" s="2909">
        <v>31</v>
      </c>
      <c r="AA214" t="n" s="2909">
        <v>24</v>
      </c>
      <c r="AB214" t="inlineStr" s="2909">
        <is>
          <t>20240401</t>
        </is>
      </c>
      <c r="AD214" t="n" s="2909">
        <v>0</v>
      </c>
      <c r="AE214" t="inlineStr" s="2909">
        <is>
          <t>00000000</t>
        </is>
      </c>
      <c r="AH214" t="n" s="2909">
        <v>1</v>
      </c>
      <c r="AJ214" t="n" s="2909">
        <v>41</v>
      </c>
      <c r="AP214" t="n" s="2909">
        <v>142000</v>
      </c>
      <c r="DB214" s="2909" t="str">
        <f>IF($A214="","",IF($A214&lt;&gt;21,"対象外",IF($AE214&amp;""="00000000","在職",IF($AE214&amp;""='DB_設定'!$C$4,"4/1喪失","その他喪失"))))</f>
        <v>対象外</v>
      </c>
    </row>
    <row r="215">
      <c r="A215" t="n" s="2909">
        <v>31</v>
      </c>
      <c r="AA215" t="n" s="2909">
        <v>21</v>
      </c>
      <c r="AB215" t="inlineStr" s="2909">
        <is>
          <t>20221001</t>
        </is>
      </c>
      <c r="AD215" t="n" s="2909">
        <v>0</v>
      </c>
      <c r="AE215" t="inlineStr" s="2909">
        <is>
          <t>00000000</t>
        </is>
      </c>
      <c r="AH215" t="n" s="2909">
        <v>1</v>
      </c>
      <c r="AJ215" t="n" s="2909">
        <v>41</v>
      </c>
      <c r="AP215" t="n" s="2909">
        <v>200000</v>
      </c>
      <c r="DB215" s="2909" t="str">
        <f>IF($A215="","",IF($A215&lt;&gt;21,"対象外",IF($AE215&amp;""="00000000","在職",IF($AE215&amp;""='DB_設定'!$C$4,"4/1喪失","その他喪失"))))</f>
        <v>対象外</v>
      </c>
    </row>
    <row r="216">
      <c r="A216" t="n" s="2909">
        <v>31</v>
      </c>
      <c r="AA216" t="n" s="2909">
        <v>21</v>
      </c>
      <c r="AB216" t="inlineStr" s="2909">
        <is>
          <t>20221001</t>
        </is>
      </c>
      <c r="AD216" t="n" s="2909">
        <v>0</v>
      </c>
      <c r="AE216" t="inlineStr" s="2909">
        <is>
          <t>00000000</t>
        </is>
      </c>
      <c r="AH216" t="n" s="2909">
        <v>1</v>
      </c>
      <c r="AJ216" t="n" s="2909">
        <v>41</v>
      </c>
      <c r="AP216" t="n" s="2909">
        <v>200000</v>
      </c>
      <c r="DB216" s="2909" t="str">
        <f>IF($A216="","",IF($A216&lt;&gt;21,"対象外",IF($AE216&amp;""="00000000","在職",IF($AE216&amp;""='DB_設定'!$C$4,"4/1喪失","その他喪失"))))</f>
        <v>対象外</v>
      </c>
    </row>
    <row r="217">
      <c r="A217" t="n" s="2909">
        <v>31</v>
      </c>
      <c r="AA217" t="n" s="2909">
        <v>21</v>
      </c>
      <c r="AB217" t="inlineStr" s="2909">
        <is>
          <t>20221001</t>
        </is>
      </c>
      <c r="AD217" t="n" s="2909">
        <v>0</v>
      </c>
      <c r="AE217" t="inlineStr" s="2909">
        <is>
          <t>00000000</t>
        </is>
      </c>
      <c r="AH217" t="n" s="2909">
        <v>11</v>
      </c>
      <c r="AJ217" t="n" s="2909">
        <v>41</v>
      </c>
      <c r="AP217" t="n" s="2909">
        <v>190000</v>
      </c>
      <c r="DB217" s="2909" t="str">
        <f>IF($A217="","",IF($A217&lt;&gt;21,"対象外",IF($AE217&amp;""="00000000","在職",IF($AE217&amp;""='DB_設定'!$C$4,"4/1喪失","その他喪失"))))</f>
        <v>対象外</v>
      </c>
    </row>
    <row r="218">
      <c r="A218" t="n" s="2909">
        <v>31</v>
      </c>
      <c r="AA218" t="n" s="2909">
        <v>21</v>
      </c>
      <c r="AB218" t="inlineStr" s="2909">
        <is>
          <t>20221001</t>
        </is>
      </c>
      <c r="AD218" t="n" s="2909">
        <v>0</v>
      </c>
      <c r="AE218" t="inlineStr" s="2909">
        <is>
          <t>00000000</t>
        </is>
      </c>
      <c r="AH218" t="n" s="2909">
        <v>11</v>
      </c>
      <c r="AJ218" t="n" s="2909">
        <v>41</v>
      </c>
      <c r="AP218" t="n" s="2909">
        <v>190000</v>
      </c>
      <c r="DB218" s="2909" t="str">
        <f>IF($A218="","",IF($A218&lt;&gt;21,"対象外",IF($AE218&amp;""="00000000","在職",IF($AE218&amp;""='DB_設定'!$C$4,"4/1喪失","その他喪失"))))</f>
        <v>対象外</v>
      </c>
    </row>
    <row r="219">
      <c r="A219" t="n" s="2909">
        <v>31</v>
      </c>
      <c r="AA219" t="n" s="2909">
        <v>21</v>
      </c>
      <c r="AB219" t="inlineStr" s="2909">
        <is>
          <t>20221001</t>
        </is>
      </c>
      <c r="AD219" t="n" s="2909">
        <v>0</v>
      </c>
      <c r="AE219" t="inlineStr" s="2909">
        <is>
          <t>00000000</t>
        </is>
      </c>
      <c r="AH219" t="n" s="2909">
        <v>1</v>
      </c>
      <c r="AJ219" t="n" s="2909">
        <v>41</v>
      </c>
      <c r="AP219" t="n" s="2909">
        <v>134000</v>
      </c>
      <c r="DB219" s="2909" t="str">
        <f>IF($A219="","",IF($A219&lt;&gt;21,"対象外",IF($AE219&amp;""="00000000","在職",IF($AE219&amp;""='DB_設定'!$C$4,"4/1喪失","その他喪失"))))</f>
        <v>対象外</v>
      </c>
    </row>
    <row r="220">
      <c r="A220" t="n" s="2909">
        <v>31</v>
      </c>
      <c r="AA220" t="n" s="2909">
        <v>21</v>
      </c>
      <c r="AB220" t="inlineStr" s="2909">
        <is>
          <t>20240614</t>
        </is>
      </c>
      <c r="AD220" t="n" s="2909">
        <v>0</v>
      </c>
      <c r="AE220" t="inlineStr" s="2909">
        <is>
          <t>00000000</t>
        </is>
      </c>
      <c r="AH220" t="n" s="2909">
        <v>11</v>
      </c>
      <c r="AJ220" t="n" s="2909">
        <v>41</v>
      </c>
      <c r="AP220" t="n" s="2909">
        <v>118000</v>
      </c>
      <c r="DB220" s="2909" t="str">
        <f>IF($A220="","",IF($A220&lt;&gt;21,"対象外",IF($AE220&amp;""="00000000","在職",IF($AE220&amp;""='DB_設定'!$C$4,"4/1喪失","その他喪失"))))</f>
        <v>対象外</v>
      </c>
    </row>
    <row r="221">
      <c r="A221" t="n" s="2909">
        <v>31</v>
      </c>
      <c r="AA221" t="n" s="2909">
        <v>21</v>
      </c>
      <c r="AB221" t="inlineStr" s="2909">
        <is>
          <t>20221001</t>
        </is>
      </c>
      <c r="AD221" t="n" s="2909">
        <v>0</v>
      </c>
      <c r="AE221" t="inlineStr" s="2909">
        <is>
          <t>00000000</t>
        </is>
      </c>
      <c r="AH221" t="n" s="2909">
        <v>1</v>
      </c>
      <c r="AJ221" t="n" s="2909">
        <v>41</v>
      </c>
      <c r="AP221" t="n" s="2909">
        <v>134000</v>
      </c>
      <c r="DB221" s="2909" t="str">
        <f>IF($A221="","",IF($A221&lt;&gt;21,"対象外",IF($AE221&amp;""="00000000","在職",IF($AE221&amp;""='DB_設定'!$C$4,"4/1喪失","その他喪失"))))</f>
        <v>対象外</v>
      </c>
    </row>
    <row r="222">
      <c r="A222" t="n" s="2909">
        <v>31</v>
      </c>
      <c r="AA222" t="n" s="2909">
        <v>21</v>
      </c>
      <c r="AB222" t="inlineStr" s="2909">
        <is>
          <t>20221001</t>
        </is>
      </c>
      <c r="AD222" t="n" s="2909">
        <v>0</v>
      </c>
      <c r="AE222" t="inlineStr" s="2909">
        <is>
          <t>00000000</t>
        </is>
      </c>
      <c r="AH222" t="n" s="2909">
        <v>1</v>
      </c>
      <c r="AJ222" t="n" s="2909">
        <v>41</v>
      </c>
      <c r="AP222" t="n" s="2909">
        <v>134000</v>
      </c>
      <c r="DB222" s="2909" t="str">
        <f>IF($A222="","",IF($A222&lt;&gt;21,"対象外",IF($AE222&amp;""="00000000","在職",IF($AE222&amp;""='DB_設定'!$C$4,"4/1喪失","その他喪失"))))</f>
        <v>対象外</v>
      </c>
    </row>
    <row r="223">
      <c r="A223" t="n" s="2909">
        <v>31</v>
      </c>
      <c r="AA223" t="n" s="2909">
        <v>21</v>
      </c>
      <c r="AB223" t="inlineStr" s="2909">
        <is>
          <t>20221001</t>
        </is>
      </c>
      <c r="AD223" t="n" s="2909">
        <v>0</v>
      </c>
      <c r="AE223" t="inlineStr" s="2909">
        <is>
          <t>00000000</t>
        </is>
      </c>
      <c r="AH223" t="n" s="2909">
        <v>1</v>
      </c>
      <c r="AJ223" t="n" s="2909">
        <v>41</v>
      </c>
      <c r="AP223" t="n" s="2909">
        <v>200000</v>
      </c>
      <c r="DB223" s="2909" t="str">
        <f>IF($A223="","",IF($A223&lt;&gt;21,"対象外",IF($AE223&amp;""="00000000","在職",IF($AE223&amp;""='DB_設定'!$C$4,"4/1喪失","その他喪失"))))</f>
        <v>対象外</v>
      </c>
    </row>
    <row r="224">
      <c r="A224" t="n" s="2909">
        <v>31</v>
      </c>
      <c r="AA224" t="n" s="2909">
        <v>21</v>
      </c>
      <c r="AB224" t="inlineStr" s="2909">
        <is>
          <t>20221001</t>
        </is>
      </c>
      <c r="AD224" t="n" s="2909">
        <v>0</v>
      </c>
      <c r="AE224" t="inlineStr" s="2909">
        <is>
          <t>00000000</t>
        </is>
      </c>
      <c r="AH224" t="n" s="2909">
        <v>1</v>
      </c>
      <c r="AJ224" t="n" s="2909">
        <v>41</v>
      </c>
      <c r="AP224" t="n" s="2909">
        <v>240000</v>
      </c>
      <c r="DB224" s="2909" t="str">
        <f>IF($A224="","",IF($A224&lt;&gt;21,"対象外",IF($AE224&amp;""="00000000","在職",IF($AE224&amp;""='DB_設定'!$C$4,"4/1喪失","その他喪失"))))</f>
        <v>対象外</v>
      </c>
    </row>
    <row r="225">
      <c r="A225" t="n" s="2909">
        <v>31</v>
      </c>
      <c r="AA225" t="n" s="2909">
        <v>21</v>
      </c>
      <c r="AB225" t="inlineStr" s="2909">
        <is>
          <t>20250401</t>
        </is>
      </c>
      <c r="AD225" t="n" s="2909">
        <v>0</v>
      </c>
      <c r="AE225" t="inlineStr" s="2909">
        <is>
          <t>00000000</t>
        </is>
      </c>
      <c r="AH225" t="n" s="2909">
        <v>1</v>
      </c>
      <c r="AJ225" t="n" s="2909">
        <v>41</v>
      </c>
      <c r="AP225" t="n" s="2909">
        <v>220000</v>
      </c>
      <c r="DB225" s="2909" t="str">
        <f>IF($A225="","",IF($A225&lt;&gt;21,"対象外",IF($AE225&amp;""="00000000","在職",IF($AE225&amp;""='DB_設定'!$C$4,"4/1喪失","その他喪失"))))</f>
        <v>対象外</v>
      </c>
    </row>
    <row r="226">
      <c r="A226" t="n" s="2909">
        <v>31</v>
      </c>
      <c r="AA226" t="n" s="2909">
        <v>21</v>
      </c>
      <c r="AB226" t="inlineStr" s="2909">
        <is>
          <t>20221001</t>
        </is>
      </c>
      <c r="AD226" t="n" s="2909">
        <v>0</v>
      </c>
      <c r="AE226" t="inlineStr" s="2909">
        <is>
          <t>00000000</t>
        </is>
      </c>
      <c r="AH226" t="n" s="2909">
        <v>11</v>
      </c>
      <c r="AJ226" t="n" s="2909">
        <v>41</v>
      </c>
      <c r="AP226" t="n" s="2909">
        <v>126000</v>
      </c>
      <c r="DB226" s="2909" t="str">
        <f>IF($A226="","",IF($A226&lt;&gt;21,"対象外",IF($AE226&amp;""="00000000","在職",IF($AE226&amp;""='DB_設定'!$C$4,"4/1喪失","その他喪失"))))</f>
        <v>対象外</v>
      </c>
    </row>
    <row r="227">
      <c r="A227" t="n" s="2909">
        <v>31</v>
      </c>
      <c r="AA227" t="n" s="2909">
        <v>21</v>
      </c>
      <c r="AB227" t="inlineStr" s="2909">
        <is>
          <t>20221001</t>
        </is>
      </c>
      <c r="AD227" t="n" s="2909">
        <v>0</v>
      </c>
      <c r="AE227" t="inlineStr" s="2909">
        <is>
          <t>00000000</t>
        </is>
      </c>
      <c r="AH227" t="n" s="2909">
        <v>11</v>
      </c>
      <c r="AJ227" t="n" s="2909">
        <v>41</v>
      </c>
      <c r="AP227" t="n" s="2909">
        <v>118000</v>
      </c>
      <c r="DB227" s="2909" t="str">
        <f>IF($A227="","",IF($A227&lt;&gt;21,"対象外",IF($AE227&amp;""="00000000","在職",IF($AE227&amp;""='DB_設定'!$C$4,"4/1喪失","その他喪失"))))</f>
        <v>対象外</v>
      </c>
    </row>
    <row r="228">
      <c r="A228" t="n" s="2909">
        <v>31</v>
      </c>
      <c r="AA228" t="n" s="2909">
        <v>21</v>
      </c>
      <c r="AB228" t="inlineStr" s="2909">
        <is>
          <t>20221001</t>
        </is>
      </c>
      <c r="AD228" t="n" s="2909">
        <v>0</v>
      </c>
      <c r="AE228" t="inlineStr" s="2909">
        <is>
          <t>00000000</t>
        </is>
      </c>
      <c r="AH228" t="n" s="2909">
        <v>1</v>
      </c>
      <c r="AJ228" t="n" s="2909">
        <v>41</v>
      </c>
      <c r="AP228" t="n" s="2909">
        <v>142000</v>
      </c>
      <c r="DB228" s="2909" t="str">
        <f>IF($A228="","",IF($A228&lt;&gt;21,"対象外",IF($AE228&amp;""="00000000","在職",IF($AE228&amp;""='DB_設定'!$C$4,"4/1喪失","その他喪失"))))</f>
        <v>対象外</v>
      </c>
    </row>
    <row r="229">
      <c r="A229" t="n" s="2909">
        <v>21</v>
      </c>
      <c r="AA229" t="n" s="2909">
        <v>24</v>
      </c>
      <c r="AB229" t="inlineStr" s="2909">
        <is>
          <t>20190401</t>
        </is>
      </c>
      <c r="AD229" t="n" s="2909">
        <v>0</v>
      </c>
      <c r="AE229" t="inlineStr" s="2909">
        <is>
          <t>00000000</t>
        </is>
      </c>
      <c r="AH229" t="n" s="2909">
        <v>20</v>
      </c>
      <c r="AJ229" t="n" s="2909">
        <v>10</v>
      </c>
      <c r="AP229" t="n" s="2909">
        <v>320000</v>
      </c>
      <c r="DB229" s="2909" t="str">
        <f>IF($A229="","",IF($A229&lt;&gt;21,"対象外",IF($AE229&amp;""="00000000","在職",IF($AE229&amp;""='DB_設定'!$C$4,"4/1喪失","その他喪失"))))</f>
        <v>在職</v>
      </c>
    </row>
    <row r="230">
      <c r="A230" t="n" s="2909">
        <v>31</v>
      </c>
      <c r="AA230" t="n" s="2909">
        <v>21</v>
      </c>
      <c r="AB230" t="inlineStr" s="2909">
        <is>
          <t>20221001</t>
        </is>
      </c>
      <c r="AD230" t="n" s="2909">
        <v>0</v>
      </c>
      <c r="AE230" t="inlineStr" s="2909">
        <is>
          <t>00000000</t>
        </is>
      </c>
      <c r="AH230" t="n" s="2909">
        <v>11</v>
      </c>
      <c r="AJ230" t="n" s="2909">
        <v>41</v>
      </c>
      <c r="AP230" t="n" s="2909">
        <v>134000</v>
      </c>
      <c r="DB230" s="2909" t="str">
        <f>IF($A230="","",IF($A230&lt;&gt;21,"対象外",IF($AE230&amp;""="00000000","在職",IF($AE230&amp;""='DB_設定'!$C$4,"4/1喪失","その他喪失"))))</f>
        <v>対象外</v>
      </c>
    </row>
    <row r="231">
      <c r="A231" t="n" s="2909">
        <v>31</v>
      </c>
      <c r="AA231" t="n" s="2909">
        <v>21</v>
      </c>
      <c r="AB231" t="inlineStr" s="2909">
        <is>
          <t>20221001</t>
        </is>
      </c>
      <c r="AD231" t="n" s="2909">
        <v>0</v>
      </c>
      <c r="AE231" t="inlineStr" s="2909">
        <is>
          <t>00000000</t>
        </is>
      </c>
      <c r="AH231" t="n" s="2909">
        <v>1</v>
      </c>
      <c r="AJ231" t="n" s="2909">
        <v>41</v>
      </c>
      <c r="AP231" t="n" s="2909">
        <v>220000</v>
      </c>
      <c r="DB231" s="2909" t="str">
        <f>IF($A231="","",IF($A231&lt;&gt;21,"対象外",IF($AE231&amp;""="00000000","在職",IF($AE231&amp;""='DB_設定'!$C$4,"4/1喪失","その他喪失"))))</f>
        <v>対象外</v>
      </c>
    </row>
    <row r="232">
      <c r="A232" t="n" s="2909">
        <v>21</v>
      </c>
      <c r="AA232" t="n" s="2909">
        <v>21</v>
      </c>
      <c r="AB232" t="inlineStr" s="2909">
        <is>
          <t>19830401</t>
        </is>
      </c>
      <c r="AD232" t="n" s="2909">
        <v>0</v>
      </c>
      <c r="AE232" t="inlineStr" s="2909">
        <is>
          <t>00000000</t>
        </is>
      </c>
      <c r="AH232" t="n" s="2909">
        <v>11</v>
      </c>
      <c r="AJ232" t="n" s="2909">
        <v>10</v>
      </c>
      <c r="AP232" t="n" s="2909">
        <v>320000</v>
      </c>
      <c r="DB232" s="2909" t="str">
        <f>IF($A232="","",IF($A232&lt;&gt;21,"対象外",IF($AE232&amp;""="00000000","在職",IF($AE232&amp;""='DB_設定'!$C$4,"4/1喪失","その他喪失"))))</f>
        <v>在職</v>
      </c>
    </row>
    <row r="233">
      <c r="A233" t="n" s="2909">
        <v>21</v>
      </c>
      <c r="AA233" t="n" s="2909">
        <v>21</v>
      </c>
      <c r="AB233" t="inlineStr" s="2909">
        <is>
          <t>20160601</t>
        </is>
      </c>
      <c r="AD233" t="n" s="2909">
        <v>0</v>
      </c>
      <c r="AE233" t="inlineStr" s="2909">
        <is>
          <t>00000000</t>
        </is>
      </c>
      <c r="AH233" t="n" s="2909">
        <v>20</v>
      </c>
      <c r="AJ233" t="n" s="2909">
        <v>10</v>
      </c>
      <c r="AP233" t="n" s="2909">
        <v>260000</v>
      </c>
      <c r="DB233" s="2909" t="str">
        <f>IF($A233="","",IF($A233&lt;&gt;21,"対象外",IF($AE233&amp;""="00000000","在職",IF($AE233&amp;""='DB_設定'!$C$4,"4/1喪失","その他喪失"))))</f>
        <v>在職</v>
      </c>
    </row>
    <row r="234">
      <c r="A234" t="n" s="2909">
        <v>31</v>
      </c>
      <c r="AA234" t="n" s="2909">
        <v>21</v>
      </c>
      <c r="AB234" t="inlineStr" s="2909">
        <is>
          <t>20221001</t>
        </is>
      </c>
      <c r="AD234" t="n" s="2909">
        <v>0</v>
      </c>
      <c r="AE234" t="inlineStr" s="2909">
        <is>
          <t>00000000</t>
        </is>
      </c>
      <c r="AH234" t="n" s="2909">
        <v>1</v>
      </c>
      <c r="AJ234" t="n" s="2909">
        <v>41</v>
      </c>
      <c r="AP234" t="n" s="2909">
        <v>142000</v>
      </c>
      <c r="DB234" s="2909" t="str">
        <f>IF($A234="","",IF($A234&lt;&gt;21,"対象外",IF($AE234&amp;""="00000000","在職",IF($AE234&amp;""='DB_設定'!$C$4,"4/1喪失","その他喪失"))))</f>
        <v>対象外</v>
      </c>
    </row>
    <row r="235">
      <c r="A235" t="n" s="2909">
        <v>31</v>
      </c>
      <c r="AA235" t="n" s="2909">
        <v>21</v>
      </c>
      <c r="AB235" t="inlineStr" s="2909">
        <is>
          <t>20221001</t>
        </is>
      </c>
      <c r="AD235" t="n" s="2909">
        <v>0</v>
      </c>
      <c r="AE235" t="inlineStr" s="2909">
        <is>
          <t>00000000</t>
        </is>
      </c>
      <c r="AH235" t="n" s="2909">
        <v>1</v>
      </c>
      <c r="AJ235" t="n" s="2909">
        <v>41</v>
      </c>
      <c r="AP235" t="n" s="2909">
        <v>200000</v>
      </c>
      <c r="DB235" s="2909" t="str">
        <f>IF($A235="","",IF($A235&lt;&gt;21,"対象外",IF($AE235&amp;""="00000000","在職",IF($AE235&amp;""='DB_設定'!$C$4,"4/1喪失","その他喪失"))))</f>
        <v>対象外</v>
      </c>
    </row>
    <row r="236">
      <c r="A236" t="n" s="2909">
        <v>31</v>
      </c>
      <c r="AA236" t="n" s="2909">
        <v>21</v>
      </c>
      <c r="AB236" t="inlineStr" s="2909">
        <is>
          <t>20221001</t>
        </is>
      </c>
      <c r="AD236" t="n" s="2909">
        <v>0</v>
      </c>
      <c r="AE236" t="inlineStr" s="2909">
        <is>
          <t>00000000</t>
        </is>
      </c>
      <c r="AH236" t="n" s="2909">
        <v>1</v>
      </c>
      <c r="AJ236" t="n" s="2909">
        <v>41</v>
      </c>
      <c r="AP236" t="n" s="2909">
        <v>200000</v>
      </c>
      <c r="DB236" s="2909" t="str">
        <f>IF($A236="","",IF($A236&lt;&gt;21,"対象外",IF($AE236&amp;""="00000000","在職",IF($AE236&amp;""='DB_設定'!$C$4,"4/1喪失","その他喪失"))))</f>
        <v>対象外</v>
      </c>
    </row>
    <row r="237">
      <c r="A237" t="n" s="2909">
        <v>21</v>
      </c>
      <c r="AA237" t="n" s="2909">
        <v>21</v>
      </c>
      <c r="AB237" t="inlineStr" s="2909">
        <is>
          <t>20030401</t>
        </is>
      </c>
      <c r="AD237" t="n" s="2909">
        <v>0</v>
      </c>
      <c r="AE237" t="inlineStr" s="2909">
        <is>
          <t>00000000</t>
        </is>
      </c>
      <c r="AH237" t="n" s="2909">
        <v>11</v>
      </c>
      <c r="AJ237" t="n" s="2909">
        <v>10</v>
      </c>
      <c r="AP237" t="n" s="2909">
        <v>320000</v>
      </c>
      <c r="DB237" s="2909" t="str">
        <f>IF($A237="","",IF($A237&lt;&gt;21,"対象外",IF($AE237&amp;""="00000000","在職",IF($AE237&amp;""='DB_設定'!$C$4,"4/1喪失","その他喪失"))))</f>
        <v>在職</v>
      </c>
    </row>
    <row r="238">
      <c r="A238" t="n" s="2909">
        <v>31</v>
      </c>
      <c r="AA238" t="n" s="2909">
        <v>21</v>
      </c>
      <c r="AB238" t="inlineStr" s="2909">
        <is>
          <t>20221001</t>
        </is>
      </c>
      <c r="AD238" t="n" s="2909">
        <v>0</v>
      </c>
      <c r="AE238" t="inlineStr" s="2909">
        <is>
          <t>00000000</t>
        </is>
      </c>
      <c r="AH238" t="n" s="2909">
        <v>11</v>
      </c>
      <c r="AJ238" t="n" s="2909">
        <v>41</v>
      </c>
      <c r="AP238" t="n" s="2909">
        <v>126000</v>
      </c>
      <c r="DB238" s="2909" t="str">
        <f>IF($A238="","",IF($A238&lt;&gt;21,"対象外",IF($AE238&amp;""="00000000","在職",IF($AE238&amp;""='DB_設定'!$C$4,"4/1喪失","その他喪失"))))</f>
        <v>対象外</v>
      </c>
    </row>
    <row r="239">
      <c r="A239" t="n" s="2909">
        <v>21</v>
      </c>
      <c r="AA239" t="n" s="2909">
        <v>21</v>
      </c>
      <c r="AB239" t="inlineStr" s="2909">
        <is>
          <t>19870301</t>
        </is>
      </c>
      <c r="AD239" t="n" s="2909">
        <v>0</v>
      </c>
      <c r="AE239" t="inlineStr" s="2909">
        <is>
          <t>00000000</t>
        </is>
      </c>
      <c r="AH239" t="n" s="2909">
        <v>20</v>
      </c>
      <c r="AJ239" t="n" s="2909">
        <v>10</v>
      </c>
      <c r="AP239" t="n" s="2909">
        <v>360000</v>
      </c>
      <c r="DB239" s="2909" t="str">
        <f>IF($A239="","",IF($A239&lt;&gt;21,"対象外",IF($AE239&amp;""="00000000","在職",IF($AE239&amp;""='DB_設定'!$C$4,"4/1喪失","その他喪失"))))</f>
        <v>在職</v>
      </c>
    </row>
    <row r="240">
      <c r="A240" t="n" s="2909">
        <v>21</v>
      </c>
      <c r="AA240" t="n" s="2909">
        <v>21</v>
      </c>
      <c r="AB240" t="inlineStr" s="2909">
        <is>
          <t>20210701</t>
        </is>
      </c>
      <c r="AD240" t="n" s="2909">
        <v>0</v>
      </c>
      <c r="AE240" t="inlineStr" s="2909">
        <is>
          <t>00000000</t>
        </is>
      </c>
      <c r="AH240" t="n" s="2909">
        <v>20</v>
      </c>
      <c r="AJ240" t="n" s="2909">
        <v>10</v>
      </c>
      <c r="AP240" t="n" s="2909">
        <v>260000</v>
      </c>
      <c r="DB240" s="2909" t="str">
        <f>IF($A240="","",IF($A240&lt;&gt;21,"対象外",IF($AE240&amp;""="00000000","在職",IF($AE240&amp;""='DB_設定'!$C$4,"4/1喪失","その他喪失"))))</f>
        <v>在職</v>
      </c>
    </row>
    <row r="241">
      <c r="A241" t="n" s="2909">
        <v>31</v>
      </c>
      <c r="AA241" t="n" s="2909">
        <v>21</v>
      </c>
      <c r="AB241" t="inlineStr" s="2909">
        <is>
          <t>20221001</t>
        </is>
      </c>
      <c r="AD241" t="n" s="2909">
        <v>0</v>
      </c>
      <c r="AE241" t="inlineStr" s="2909">
        <is>
          <t>00000000</t>
        </is>
      </c>
      <c r="AH241" t="n" s="2909">
        <v>1</v>
      </c>
      <c r="AJ241" t="n" s="2909">
        <v>41</v>
      </c>
      <c r="AP241" t="n" s="2909">
        <v>150000</v>
      </c>
      <c r="DB241" s="2909" t="str">
        <f>IF($A241="","",IF($A241&lt;&gt;21,"対象外",IF($AE241&amp;""="00000000","在職",IF($AE241&amp;""='DB_設定'!$C$4,"4/1喪失","その他喪失"))))</f>
        <v>対象外</v>
      </c>
    </row>
    <row r="242">
      <c r="A242" t="n" s="2909">
        <v>21</v>
      </c>
      <c r="AA242" t="n" s="2909">
        <v>21</v>
      </c>
      <c r="AB242" t="inlineStr" s="2909">
        <is>
          <t>20031001</t>
        </is>
      </c>
      <c r="AD242" t="n" s="2909">
        <v>0</v>
      </c>
      <c r="AE242" t="inlineStr" s="2909">
        <is>
          <t>00000000</t>
        </is>
      </c>
      <c r="AH242" t="n" s="2909">
        <v>11</v>
      </c>
      <c r="AJ242" t="n" s="2909">
        <v>10</v>
      </c>
      <c r="AP242" t="n" s="2909">
        <v>300000</v>
      </c>
      <c r="DB242" s="2909" t="str">
        <f>IF($A242="","",IF($A242&lt;&gt;21,"対象外",IF($AE242&amp;""="00000000","在職",IF($AE242&amp;""='DB_設定'!$C$4,"4/1喪失","その他喪失"))))</f>
        <v>在職</v>
      </c>
    </row>
    <row r="243">
      <c r="A243" t="n" s="2909">
        <v>21</v>
      </c>
      <c r="AA243" t="n" s="2909">
        <v>21</v>
      </c>
      <c r="AB243" t="inlineStr" s="2909">
        <is>
          <t>19861001</t>
        </is>
      </c>
      <c r="AD243" t="n" s="2909">
        <v>0</v>
      </c>
      <c r="AE243" t="inlineStr" s="2909">
        <is>
          <t>00000000</t>
        </is>
      </c>
      <c r="AH243" t="n" s="2909">
        <v>20</v>
      </c>
      <c r="AJ243" t="n" s="2909">
        <v>10</v>
      </c>
      <c r="AP243" t="n" s="2909">
        <v>410000</v>
      </c>
      <c r="DB243" s="2909" t="str">
        <f>IF($A243="","",IF($A243&lt;&gt;21,"対象外",IF($AE243&amp;""="00000000","在職",IF($AE243&amp;""='DB_設定'!$C$4,"4/1喪失","その他喪失"))))</f>
        <v>在職</v>
      </c>
    </row>
    <row r="244">
      <c r="A244" t="n" s="2909">
        <v>31</v>
      </c>
      <c r="AA244" t="n" s="2909">
        <v>21</v>
      </c>
      <c r="AB244" t="inlineStr" s="2909">
        <is>
          <t>20221001</t>
        </is>
      </c>
      <c r="AD244" t="n" s="2909">
        <v>0</v>
      </c>
      <c r="AE244" t="inlineStr" s="2909">
        <is>
          <t>00000000</t>
        </is>
      </c>
      <c r="AH244" t="n" s="2909">
        <v>1</v>
      </c>
      <c r="AJ244" t="n" s="2909">
        <v>41</v>
      </c>
      <c r="AP244" t="n" s="2909">
        <v>150000</v>
      </c>
      <c r="DB244" s="2909" t="str">
        <f>IF($A244="","",IF($A244&lt;&gt;21,"対象外",IF($AE244&amp;""="00000000","在職",IF($AE244&amp;""='DB_設定'!$C$4,"4/1喪失","その他喪失"))))</f>
        <v>対象外</v>
      </c>
    </row>
    <row r="245">
      <c r="A245" t="n" s="2909">
        <v>31</v>
      </c>
      <c r="AA245" t="n" s="2909">
        <v>21</v>
      </c>
      <c r="AB245" t="inlineStr" s="2909">
        <is>
          <t>20221001</t>
        </is>
      </c>
      <c r="AD245" t="n" s="2909">
        <v>0</v>
      </c>
      <c r="AE245" t="inlineStr" s="2909">
        <is>
          <t>00000000</t>
        </is>
      </c>
      <c r="AH245" t="n" s="2909">
        <v>1</v>
      </c>
      <c r="AJ245" t="n" s="2909">
        <v>41</v>
      </c>
      <c r="AP245" t="n" s="2909">
        <v>150000</v>
      </c>
      <c r="DB245" s="2909" t="str">
        <f>IF($A245="","",IF($A245&lt;&gt;21,"対象外",IF($AE245&amp;""="00000000","在職",IF($AE245&amp;""='DB_設定'!$C$4,"4/1喪失","その他喪失"))))</f>
        <v>対象外</v>
      </c>
    </row>
    <row r="246">
      <c r="A246" t="n" s="2909">
        <v>31</v>
      </c>
      <c r="AA246" t="n" s="2909">
        <v>21</v>
      </c>
      <c r="AB246" t="inlineStr" s="2909">
        <is>
          <t>20221001</t>
        </is>
      </c>
      <c r="AD246" t="n" s="2909">
        <v>0</v>
      </c>
      <c r="AE246" t="inlineStr" s="2909">
        <is>
          <t>00000000</t>
        </is>
      </c>
      <c r="AH246" t="n" s="2909">
        <v>1</v>
      </c>
      <c r="AJ246" t="n" s="2909">
        <v>41</v>
      </c>
      <c r="AP246" t="n" s="2909">
        <v>170000</v>
      </c>
      <c r="DB246" s="2909" t="str">
        <f>IF($A246="","",IF($A246&lt;&gt;21,"対象外",IF($AE246&amp;""="00000000","在職",IF($AE246&amp;""='DB_設定'!$C$4,"4/1喪失","その他喪失"))))</f>
        <v>対象外</v>
      </c>
    </row>
    <row r="247">
      <c r="A247" t="n" s="2909">
        <v>31</v>
      </c>
      <c r="AA247" t="n" s="2909">
        <v>21</v>
      </c>
      <c r="AB247" t="inlineStr" s="2909">
        <is>
          <t>20221001</t>
        </is>
      </c>
      <c r="AD247" t="n" s="2909">
        <v>0</v>
      </c>
      <c r="AE247" t="inlineStr" s="2909">
        <is>
          <t>00000000</t>
        </is>
      </c>
      <c r="AH247" t="n" s="2909">
        <v>11</v>
      </c>
      <c r="AJ247" t="n" s="2909">
        <v>41</v>
      </c>
      <c r="AP247" t="n" s="2909">
        <v>118000</v>
      </c>
      <c r="DB247" s="2909" t="str">
        <f>IF($A247="","",IF($A247&lt;&gt;21,"対象外",IF($AE247&amp;""="00000000","在職",IF($AE247&amp;""='DB_設定'!$C$4,"4/1喪失","その他喪失"))))</f>
        <v>対象外</v>
      </c>
    </row>
    <row r="248">
      <c r="A248" t="n" s="2909">
        <v>21</v>
      </c>
      <c r="AA248" t="n" s="2909">
        <v>21</v>
      </c>
      <c r="AB248" t="inlineStr" s="2909">
        <is>
          <t>19980401</t>
        </is>
      </c>
      <c r="AD248" t="n" s="2909">
        <v>0</v>
      </c>
      <c r="AE248" t="inlineStr" s="2909">
        <is>
          <t>00000000</t>
        </is>
      </c>
      <c r="AH248" t="n" s="2909">
        <v>11</v>
      </c>
      <c r="AJ248" t="n" s="2909">
        <v>10</v>
      </c>
      <c r="AP248" t="n" s="2909">
        <v>300000</v>
      </c>
      <c r="DB248" s="2909" t="str">
        <f>IF($A248="","",IF($A248&lt;&gt;21,"対象外",IF($AE248&amp;""="00000000","在職",IF($AE248&amp;""='DB_設定'!$C$4,"4/1喪失","その他喪失"))))</f>
        <v>在職</v>
      </c>
    </row>
    <row r="249">
      <c r="A249" t="n" s="2909">
        <v>21</v>
      </c>
      <c r="AA249" t="n" s="2909">
        <v>24</v>
      </c>
      <c r="AB249" t="inlineStr" s="2909">
        <is>
          <t>20150601</t>
        </is>
      </c>
      <c r="AD249" t="n" s="2909">
        <v>0</v>
      </c>
      <c r="AE249" t="inlineStr" s="2909">
        <is>
          <t>00000000</t>
        </is>
      </c>
      <c r="AH249" t="n" s="2909">
        <v>20</v>
      </c>
      <c r="AJ249" t="n" s="2909">
        <v>10</v>
      </c>
      <c r="AP249" t="n" s="2909">
        <v>280000</v>
      </c>
      <c r="DB249" s="2909" t="str">
        <f>IF($A249="","",IF($A249&lt;&gt;21,"対象外",IF($AE249&amp;""="00000000","在職",IF($AE249&amp;""='DB_設定'!$C$4,"4/1喪失","その他喪失"))))</f>
        <v>在職</v>
      </c>
    </row>
    <row r="250">
      <c r="A250" t="n" s="2909">
        <v>31</v>
      </c>
      <c r="AA250" t="n" s="2909">
        <v>21</v>
      </c>
      <c r="AB250" t="inlineStr" s="2909">
        <is>
          <t>20221001</t>
        </is>
      </c>
      <c r="AD250" t="n" s="2909">
        <v>0</v>
      </c>
      <c r="AE250" t="inlineStr" s="2909">
        <is>
          <t>00000000</t>
        </is>
      </c>
      <c r="AH250" t="n" s="2909">
        <v>1</v>
      </c>
      <c r="AJ250" t="n" s="2909">
        <v>41</v>
      </c>
      <c r="AP250" t="n" s="2909">
        <v>134000</v>
      </c>
      <c r="DB250" s="2909" t="str">
        <f>IF($A250="","",IF($A250&lt;&gt;21,"対象外",IF($AE250&amp;""="00000000","在職",IF($AE250&amp;""='DB_設定'!$C$4,"4/1喪失","その他喪失"))))</f>
        <v>対象外</v>
      </c>
    </row>
    <row r="251">
      <c r="A251" t="n" s="2909">
        <v>31</v>
      </c>
      <c r="AA251" t="n" s="2909">
        <v>21</v>
      </c>
      <c r="AB251" t="inlineStr" s="2909">
        <is>
          <t>20221001</t>
        </is>
      </c>
      <c r="AD251" t="n" s="2909">
        <v>0</v>
      </c>
      <c r="AE251" t="inlineStr" s="2909">
        <is>
          <t>00000000</t>
        </is>
      </c>
      <c r="AH251" t="n" s="2909">
        <v>1</v>
      </c>
      <c r="AJ251" t="n" s="2909">
        <v>10</v>
      </c>
      <c r="AP251" t="n" s="2909">
        <v>260000</v>
      </c>
      <c r="DB251" s="2909" t="str">
        <f>IF($A251="","",IF($A251&lt;&gt;21,"対象外",IF($AE251&amp;""="00000000","在職",IF($AE251&amp;""='DB_設定'!$C$4,"4/1喪失","その他喪失"))))</f>
        <v>対象外</v>
      </c>
    </row>
    <row r="252">
      <c r="A252" t="n" s="2909">
        <v>31</v>
      </c>
      <c r="AA252" t="n" s="2909">
        <v>21</v>
      </c>
      <c r="AB252" t="inlineStr" s="2909">
        <is>
          <t>20221001</t>
        </is>
      </c>
      <c r="AD252" t="n" s="2909">
        <v>0</v>
      </c>
      <c r="AE252" t="inlineStr" s="2909">
        <is>
          <t>00000000</t>
        </is>
      </c>
      <c r="AH252" t="n" s="2909">
        <v>1</v>
      </c>
      <c r="AJ252" t="n" s="2909">
        <v>41</v>
      </c>
      <c r="AP252" t="n" s="2909">
        <v>240000</v>
      </c>
      <c r="DB252" s="2909" t="str">
        <f>IF($A252="","",IF($A252&lt;&gt;21,"対象外",IF($AE252&amp;""="00000000","在職",IF($AE252&amp;""='DB_設定'!$C$4,"4/1喪失","その他喪失"))))</f>
        <v>対象外</v>
      </c>
    </row>
    <row r="253">
      <c r="A253" t="n" s="2909">
        <v>31</v>
      </c>
      <c r="AA253" t="n" s="2909">
        <v>21</v>
      </c>
      <c r="AB253" t="inlineStr" s="2909">
        <is>
          <t>20240401</t>
        </is>
      </c>
      <c r="AD253" t="n" s="2909">
        <v>0</v>
      </c>
      <c r="AE253" t="inlineStr" s="2909">
        <is>
          <t>00000000</t>
        </is>
      </c>
      <c r="AH253" t="n" s="2909">
        <v>11</v>
      </c>
      <c r="AJ253" t="n" s="2909">
        <v>41</v>
      </c>
      <c r="AP253" t="n" s="2909">
        <v>190000</v>
      </c>
      <c r="DB253" s="2909" t="str">
        <f>IF($A253="","",IF($A253&lt;&gt;21,"対象外",IF($AE253&amp;""="00000000","在職",IF($AE253&amp;""='DB_設定'!$C$4,"4/1喪失","その他喪失"))))</f>
        <v>対象外</v>
      </c>
    </row>
    <row r="254">
      <c r="A254" t="n" s="2909">
        <v>31</v>
      </c>
      <c r="AA254" t="n" s="2909">
        <v>21</v>
      </c>
      <c r="AB254" t="inlineStr" s="2909">
        <is>
          <t>20200601</t>
        </is>
      </c>
      <c r="AD254" t="n" s="2909">
        <v>0</v>
      </c>
      <c r="AE254" t="inlineStr" s="2909">
        <is>
          <t>00000000</t>
        </is>
      </c>
      <c r="AH254" t="n" s="2909">
        <v>1</v>
      </c>
      <c r="AJ254" t="n" s="2909">
        <v>10</v>
      </c>
      <c r="AP254" t="n" s="2909">
        <v>260000</v>
      </c>
      <c r="DB254" s="2909" t="str">
        <f>IF($A254="","",IF($A254&lt;&gt;21,"対象外",IF($AE254&amp;""="00000000","在職",IF($AE254&amp;""='DB_設定'!$C$4,"4/1喪失","その他喪失"))))</f>
        <v>対象外</v>
      </c>
    </row>
    <row r="255">
      <c r="A255" t="n" s="2909">
        <v>31</v>
      </c>
      <c r="AA255" t="n" s="2909">
        <v>21</v>
      </c>
      <c r="AB255" t="inlineStr" s="2909">
        <is>
          <t>20221001</t>
        </is>
      </c>
      <c r="AD255" t="n" s="2909">
        <v>0</v>
      </c>
      <c r="AE255" t="inlineStr" s="2909">
        <is>
          <t>00000000</t>
        </is>
      </c>
      <c r="AH255" t="n" s="2909">
        <v>1</v>
      </c>
      <c r="AJ255" t="n" s="2909">
        <v>41</v>
      </c>
      <c r="AP255" t="n" s="2909">
        <v>150000</v>
      </c>
      <c r="DB255" s="2909" t="str">
        <f>IF($A255="","",IF($A255&lt;&gt;21,"対象外",IF($AE255&amp;""="00000000","在職",IF($AE255&amp;""='DB_設定'!$C$4,"4/1喪失","その他喪失"))))</f>
        <v>対象外</v>
      </c>
    </row>
    <row r="256">
      <c r="A256" t="n" s="2909">
        <v>31</v>
      </c>
      <c r="AA256" t="n" s="2909">
        <v>21</v>
      </c>
      <c r="AB256" t="inlineStr" s="2909">
        <is>
          <t>20221001</t>
        </is>
      </c>
      <c r="AD256" t="n" s="2909">
        <v>0</v>
      </c>
      <c r="AE256" t="inlineStr" s="2909">
        <is>
          <t>00000000</t>
        </is>
      </c>
      <c r="AH256" t="n" s="2909">
        <v>1</v>
      </c>
      <c r="AJ256" t="n" s="2909">
        <v>41</v>
      </c>
      <c r="AP256" t="n" s="2909">
        <v>220000</v>
      </c>
      <c r="DB256" s="2909" t="str">
        <f>IF($A256="","",IF($A256&lt;&gt;21,"対象外",IF($AE256&amp;""="00000000","在職",IF($AE256&amp;""='DB_設定'!$C$4,"4/1喪失","その他喪失"))))</f>
        <v>対象外</v>
      </c>
    </row>
    <row r="257">
      <c r="A257" t="n" s="2909">
        <v>31</v>
      </c>
      <c r="AA257" t="n" s="2909">
        <v>21</v>
      </c>
      <c r="AB257" t="inlineStr" s="2909">
        <is>
          <t>20221001</t>
        </is>
      </c>
      <c r="AD257" t="n" s="2909">
        <v>0</v>
      </c>
      <c r="AE257" t="inlineStr" s="2909">
        <is>
          <t>00000000</t>
        </is>
      </c>
      <c r="AH257" t="n" s="2909">
        <v>1</v>
      </c>
      <c r="AJ257" t="n" s="2909">
        <v>41</v>
      </c>
      <c r="AP257" t="n" s="2909">
        <v>160000</v>
      </c>
      <c r="DB257" s="2909" t="str">
        <f>IF($A257="","",IF($A257&lt;&gt;21,"対象外",IF($AE257&amp;""="00000000","在職",IF($AE257&amp;""='DB_設定'!$C$4,"4/1喪失","その他喪失"))))</f>
        <v>対象外</v>
      </c>
    </row>
    <row r="258">
      <c r="A258" t="n" s="2909">
        <v>31</v>
      </c>
      <c r="AA258" t="n" s="2909">
        <v>21</v>
      </c>
      <c r="AB258" t="inlineStr" s="2909">
        <is>
          <t>20221001</t>
        </is>
      </c>
      <c r="AD258" t="n" s="2909">
        <v>0</v>
      </c>
      <c r="AE258" t="inlineStr" s="2909">
        <is>
          <t>00000000</t>
        </is>
      </c>
      <c r="AH258" t="n" s="2909">
        <v>1</v>
      </c>
      <c r="AJ258" t="n" s="2909">
        <v>41</v>
      </c>
      <c r="AP258" t="n" s="2909">
        <v>142000</v>
      </c>
      <c r="DB258" s="2909" t="str">
        <f>IF($A258="","",IF($A258&lt;&gt;21,"対象外",IF($AE258&amp;""="00000000","在職",IF($AE258&amp;""='DB_設定'!$C$4,"4/1喪失","その他喪失"))))</f>
        <v>対象外</v>
      </c>
    </row>
    <row r="259">
      <c r="A259" t="n" s="2909">
        <v>31</v>
      </c>
      <c r="AA259" t="n" s="2909">
        <v>21</v>
      </c>
      <c r="AB259" t="inlineStr" s="2909">
        <is>
          <t>20221001</t>
        </is>
      </c>
      <c r="AD259" t="n" s="2909">
        <v>0</v>
      </c>
      <c r="AE259" t="inlineStr" s="2909">
        <is>
          <t>00000000</t>
        </is>
      </c>
      <c r="AH259" t="n" s="2909">
        <v>1</v>
      </c>
      <c r="AJ259" t="n" s="2909">
        <v>41</v>
      </c>
      <c r="AP259" t="n" s="2909">
        <v>200000</v>
      </c>
      <c r="DB259" s="2909" t="str">
        <f>IF($A259="","",IF($A259&lt;&gt;21,"対象外",IF($AE259&amp;""="00000000","在職",IF($AE259&amp;""='DB_設定'!$C$4,"4/1喪失","その他喪失"))))</f>
        <v>対象外</v>
      </c>
    </row>
    <row r="260">
      <c r="A260" t="n" s="2909">
        <v>31</v>
      </c>
      <c r="AA260" t="n" s="2909">
        <v>21</v>
      </c>
      <c r="AB260" t="inlineStr" s="2909">
        <is>
          <t>20221001</t>
        </is>
      </c>
      <c r="AD260" t="n" s="2909">
        <v>0</v>
      </c>
      <c r="AE260" t="inlineStr" s="2909">
        <is>
          <t>00000000</t>
        </is>
      </c>
      <c r="AH260" t="n" s="2909">
        <v>1</v>
      </c>
      <c r="AJ260" t="n" s="2909">
        <v>41</v>
      </c>
      <c r="AP260" t="n" s="2909">
        <v>190000</v>
      </c>
      <c r="DB260" s="2909" t="str">
        <f>IF($A260="","",IF($A260&lt;&gt;21,"対象外",IF($AE260&amp;""="00000000","在職",IF($AE260&amp;""='DB_設定'!$C$4,"4/1喪失","その他喪失"))))</f>
        <v>対象外</v>
      </c>
    </row>
    <row r="261">
      <c r="A261" t="n" s="2909">
        <v>31</v>
      </c>
      <c r="AA261" t="n" s="2909">
        <v>21</v>
      </c>
      <c r="AB261" t="inlineStr" s="2909">
        <is>
          <t>20221001</t>
        </is>
      </c>
      <c r="AD261" t="n" s="2909">
        <v>0</v>
      </c>
      <c r="AE261" t="inlineStr" s="2909">
        <is>
          <t>00000000</t>
        </is>
      </c>
      <c r="AH261" t="n" s="2909">
        <v>1</v>
      </c>
      <c r="AJ261" t="n" s="2909">
        <v>41</v>
      </c>
      <c r="AP261" t="n" s="2909">
        <v>142000</v>
      </c>
      <c r="DB261" s="2909" t="str">
        <f>IF($A261="","",IF($A261&lt;&gt;21,"対象外",IF($AE261&amp;""="00000000","在職",IF($AE261&amp;""='DB_設定'!$C$4,"4/1喪失","その他喪失"))))</f>
        <v>対象外</v>
      </c>
    </row>
    <row r="262">
      <c r="A262" t="n" s="2909">
        <v>31</v>
      </c>
      <c r="AA262" t="n" s="2909">
        <v>21</v>
      </c>
      <c r="AB262" t="inlineStr" s="2909">
        <is>
          <t>20230401</t>
        </is>
      </c>
      <c r="AD262" t="n" s="2909">
        <v>0</v>
      </c>
      <c r="AE262" t="inlineStr" s="2909">
        <is>
          <t>00000000</t>
        </is>
      </c>
      <c r="AH262" t="n" s="2909">
        <v>11</v>
      </c>
      <c r="AJ262" t="n" s="2909">
        <v>41</v>
      </c>
      <c r="AP262" t="n" s="2909">
        <v>190000</v>
      </c>
      <c r="DB262" s="2909" t="str">
        <f>IF($A262="","",IF($A262&lt;&gt;21,"対象外",IF($AE262&amp;""="00000000","在職",IF($AE262&amp;""='DB_設定'!$C$4,"4/1喪失","その他喪失"))))</f>
        <v>対象外</v>
      </c>
    </row>
    <row r="263">
      <c r="A263" t="n" s="2909">
        <v>31</v>
      </c>
      <c r="AA263" t="n" s="2909">
        <v>21</v>
      </c>
      <c r="AB263" t="inlineStr" s="2909">
        <is>
          <t>20250401</t>
        </is>
      </c>
      <c r="AD263" t="n" s="2909">
        <v>0</v>
      </c>
      <c r="AE263" t="inlineStr" s="2909">
        <is>
          <t>00000000</t>
        </is>
      </c>
      <c r="AH263" t="n" s="2909">
        <v>20</v>
      </c>
      <c r="AJ263" t="n" s="2909">
        <v>41</v>
      </c>
      <c r="AP263" t="n" s="2909">
        <v>260000</v>
      </c>
      <c r="DB263" s="2909" t="str">
        <f>IF($A263="","",IF($A263&lt;&gt;21,"対象外",IF($AE263&amp;""="00000000","在職",IF($AE263&amp;""='DB_設定'!$C$4,"4/1喪失","その他喪失"))))</f>
        <v>対象外</v>
      </c>
    </row>
    <row r="264">
      <c r="A264" t="n" s="2909">
        <v>31</v>
      </c>
      <c r="AA264" t="n" s="2909">
        <v>21</v>
      </c>
      <c r="AB264" t="inlineStr" s="2909">
        <is>
          <t>20221001</t>
        </is>
      </c>
      <c r="AD264" t="n" s="2909">
        <v>0</v>
      </c>
      <c r="AE264" t="inlineStr" s="2909">
        <is>
          <t>00000000</t>
        </is>
      </c>
      <c r="AH264" t="n" s="2909">
        <v>1</v>
      </c>
      <c r="AJ264" t="n" s="2909">
        <v>41</v>
      </c>
      <c r="AP264" t="n" s="2909">
        <v>220000</v>
      </c>
      <c r="DB264" s="2909" t="str">
        <f>IF($A264="","",IF($A264&lt;&gt;21,"対象外",IF($AE264&amp;""="00000000","在職",IF($AE264&amp;""='DB_設定'!$C$4,"4/1喪失","その他喪失"))))</f>
        <v>対象外</v>
      </c>
    </row>
    <row r="265">
      <c r="A265" t="n" s="2909">
        <v>31</v>
      </c>
      <c r="AA265" t="n" s="2909">
        <v>21</v>
      </c>
      <c r="AB265" t="inlineStr" s="2909">
        <is>
          <t>20221001</t>
        </is>
      </c>
      <c r="AD265" t="n" s="2909">
        <v>0</v>
      </c>
      <c r="AE265" t="inlineStr" s="2909">
        <is>
          <t>00000000</t>
        </is>
      </c>
      <c r="AH265" t="n" s="2909">
        <v>1</v>
      </c>
      <c r="AJ265" t="n" s="2909">
        <v>41</v>
      </c>
      <c r="AP265" t="n" s="2909">
        <v>200000</v>
      </c>
      <c r="DB265" s="2909" t="str">
        <f>IF($A265="","",IF($A265&lt;&gt;21,"対象外",IF($AE265&amp;""="00000000","在職",IF($AE265&amp;""='DB_設定'!$C$4,"4/1喪失","その他喪失"))))</f>
        <v>対象外</v>
      </c>
    </row>
    <row r="266">
      <c r="A266" t="n" s="2909">
        <v>31</v>
      </c>
      <c r="AA266" t="n" s="2909">
        <v>21</v>
      </c>
      <c r="AB266" t="inlineStr" s="2909">
        <is>
          <t>20221001</t>
        </is>
      </c>
      <c r="AD266" t="n" s="2909">
        <v>0</v>
      </c>
      <c r="AE266" t="inlineStr" s="2909">
        <is>
          <t>00000000</t>
        </is>
      </c>
      <c r="AH266" t="n" s="2909">
        <v>1</v>
      </c>
      <c r="AJ266" t="n" s="2909">
        <v>41</v>
      </c>
      <c r="AP266" t="n" s="2909">
        <v>200000</v>
      </c>
      <c r="DB266" s="2909" t="str">
        <f>IF($A266="","",IF($A266&lt;&gt;21,"対象外",IF($AE266&amp;""="00000000","在職",IF($AE266&amp;""='DB_設定'!$C$4,"4/1喪失","その他喪失"))))</f>
        <v>対象外</v>
      </c>
    </row>
    <row r="267">
      <c r="A267" t="n" s="2909">
        <v>21</v>
      </c>
      <c r="AA267" t="n" s="2909">
        <v>21</v>
      </c>
      <c r="AB267" t="inlineStr" s="2909">
        <is>
          <t>19870817</t>
        </is>
      </c>
      <c r="AD267" t="n" s="2909">
        <v>0</v>
      </c>
      <c r="AE267" t="inlineStr" s="2909">
        <is>
          <t>00000000</t>
        </is>
      </c>
      <c r="AH267" t="n" s="2909">
        <v>20</v>
      </c>
      <c r="AJ267" t="n" s="2909">
        <v>10</v>
      </c>
      <c r="AP267" t="n" s="2909">
        <v>340000</v>
      </c>
      <c r="DB267" s="2909" t="str">
        <f>IF($A267="","",IF($A267&lt;&gt;21,"対象外",IF($AE267&amp;""="00000000","在職",IF($AE267&amp;""='DB_設定'!$C$4,"4/1喪失","その他喪失"))))</f>
        <v>在職</v>
      </c>
    </row>
    <row r="268">
      <c r="A268" t="n" s="2909">
        <v>21</v>
      </c>
      <c r="AA268" t="n" s="2909">
        <v>21</v>
      </c>
      <c r="AB268" t="inlineStr" s="2909">
        <is>
          <t>19860601</t>
        </is>
      </c>
      <c r="AD268" t="n" s="2909">
        <v>0</v>
      </c>
      <c r="AE268" t="inlineStr" s="2909">
        <is>
          <t>00000000</t>
        </is>
      </c>
      <c r="AH268" t="n" s="2909">
        <v>1</v>
      </c>
      <c r="AJ268" t="n" s="2909">
        <v>10</v>
      </c>
      <c r="AP268" t="n" s="2909">
        <v>360000</v>
      </c>
      <c r="DB268" s="2909" t="str">
        <f>IF($A268="","",IF($A268&lt;&gt;21,"対象外",IF($AE268&amp;""="00000000","在職",IF($AE268&amp;""='DB_設定'!$C$4,"4/1喪失","その他喪失"))))</f>
        <v>在職</v>
      </c>
    </row>
    <row r="269">
      <c r="A269" t="n" s="2909">
        <v>31</v>
      </c>
      <c r="AA269" t="n" s="2909">
        <v>21</v>
      </c>
      <c r="AB269" t="inlineStr" s="2909">
        <is>
          <t>20221001</t>
        </is>
      </c>
      <c r="AD269" t="n" s="2909">
        <v>0</v>
      </c>
      <c r="AE269" t="inlineStr" s="2909">
        <is>
          <t>00000000</t>
        </is>
      </c>
      <c r="AH269" t="n" s="2909">
        <v>1</v>
      </c>
      <c r="AJ269" t="n" s="2909">
        <v>41</v>
      </c>
      <c r="AP269" t="n" s="2909">
        <v>200000</v>
      </c>
      <c r="DB269" s="2909" t="str">
        <f>IF($A269="","",IF($A269&lt;&gt;21,"対象外",IF($AE269&amp;""="00000000","在職",IF($AE269&amp;""='DB_設定'!$C$4,"4/1喪失","その他喪失"))))</f>
        <v>対象外</v>
      </c>
    </row>
    <row r="270">
      <c r="A270" t="n" s="2909">
        <v>31</v>
      </c>
      <c r="AA270" t="n" s="2909">
        <v>21</v>
      </c>
      <c r="AB270" t="inlineStr" s="2909">
        <is>
          <t>20221001</t>
        </is>
      </c>
      <c r="AD270" t="n" s="2909">
        <v>0</v>
      </c>
      <c r="AE270" t="inlineStr" s="2909">
        <is>
          <t>00000000</t>
        </is>
      </c>
      <c r="AH270" t="n" s="2909">
        <v>1</v>
      </c>
      <c r="AJ270" t="n" s="2909">
        <v>41</v>
      </c>
      <c r="AP270" t="n" s="2909">
        <v>134000</v>
      </c>
      <c r="DB270" s="2909" t="str">
        <f>IF($A270="","",IF($A270&lt;&gt;21,"対象外",IF($AE270&amp;""="00000000","在職",IF($AE270&amp;""='DB_設定'!$C$4,"4/1喪失","その他喪失"))))</f>
        <v>対象外</v>
      </c>
    </row>
    <row r="271">
      <c r="A271" t="n" s="2909">
        <v>31</v>
      </c>
      <c r="AA271" t="n" s="2909">
        <v>21</v>
      </c>
      <c r="AB271" t="inlineStr" s="2909">
        <is>
          <t>20221001</t>
        </is>
      </c>
      <c r="AD271" t="n" s="2909">
        <v>0</v>
      </c>
      <c r="AE271" t="inlineStr" s="2909">
        <is>
          <t>00000000</t>
        </is>
      </c>
      <c r="AH271" t="n" s="2909">
        <v>1</v>
      </c>
      <c r="AJ271" t="n" s="2909">
        <v>41</v>
      </c>
      <c r="AP271" t="n" s="2909">
        <v>150000</v>
      </c>
      <c r="DB271" s="2909" t="str">
        <f>IF($A271="","",IF($A271&lt;&gt;21,"対象外",IF($AE271&amp;""="00000000","在職",IF($AE271&amp;""='DB_設定'!$C$4,"4/1喪失","その他喪失"))))</f>
        <v>対象外</v>
      </c>
    </row>
    <row r="272">
      <c r="A272" t="n" s="2909">
        <v>31</v>
      </c>
      <c r="AA272" t="n" s="2909">
        <v>21</v>
      </c>
      <c r="AB272" t="inlineStr" s="2909">
        <is>
          <t>20221001</t>
        </is>
      </c>
      <c r="AD272" t="n" s="2909">
        <v>0</v>
      </c>
      <c r="AE272" t="inlineStr" s="2909">
        <is>
          <t>00000000</t>
        </is>
      </c>
      <c r="AH272" t="n" s="2909">
        <v>1</v>
      </c>
      <c r="AJ272" t="n" s="2909">
        <v>41</v>
      </c>
      <c r="AP272" t="n" s="2909">
        <v>170000</v>
      </c>
      <c r="DB272" s="2909" t="str">
        <f>IF($A272="","",IF($A272&lt;&gt;21,"対象外",IF($AE272&amp;""="00000000","在職",IF($AE272&amp;""='DB_設定'!$C$4,"4/1喪失","その他喪失"))))</f>
        <v>対象外</v>
      </c>
    </row>
    <row r="273">
      <c r="A273" t="n" s="2909">
        <v>21</v>
      </c>
      <c r="AA273" t="n" s="2909">
        <v>21</v>
      </c>
      <c r="AB273" t="inlineStr" s="2909">
        <is>
          <t>19850801</t>
        </is>
      </c>
      <c r="AD273" t="n" s="2909">
        <v>0</v>
      </c>
      <c r="AE273" t="inlineStr" s="2909">
        <is>
          <t>00000000</t>
        </is>
      </c>
      <c r="AH273" t="n" s="2909">
        <v>20</v>
      </c>
      <c r="AJ273" t="n" s="2909">
        <v>10</v>
      </c>
      <c r="AP273" t="n" s="2909">
        <v>340000</v>
      </c>
      <c r="DB273" s="2909" t="str">
        <f>IF($A273="","",IF($A273&lt;&gt;21,"対象外",IF($AE273&amp;""="00000000","在職",IF($AE273&amp;""='DB_設定'!$C$4,"4/1喪失","その他喪失"))))</f>
        <v>在職</v>
      </c>
    </row>
    <row r="274">
      <c r="A274" t="n" s="2909">
        <v>31</v>
      </c>
      <c r="AA274" t="n" s="2909">
        <v>21</v>
      </c>
      <c r="AB274" t="inlineStr" s="2909">
        <is>
          <t>20221001</t>
        </is>
      </c>
      <c r="AD274" t="n" s="2909">
        <v>0</v>
      </c>
      <c r="AE274" t="inlineStr" s="2909">
        <is>
          <t>00000000</t>
        </is>
      </c>
      <c r="AH274" t="n" s="2909">
        <v>1</v>
      </c>
      <c r="AJ274" t="n" s="2909">
        <v>41</v>
      </c>
      <c r="AP274" t="n" s="2909">
        <v>200000</v>
      </c>
      <c r="DB274" s="2909" t="str">
        <f>IF($A274="","",IF($A274&lt;&gt;21,"対象外",IF($AE274&amp;""="00000000","在職",IF($AE274&amp;""='DB_設定'!$C$4,"4/1喪失","その他喪失"))))</f>
        <v>対象外</v>
      </c>
    </row>
    <row r="275">
      <c r="A275" t="n" s="2909">
        <v>31</v>
      </c>
      <c r="AA275" t="n" s="2909">
        <v>21</v>
      </c>
      <c r="AB275" t="inlineStr" s="2909">
        <is>
          <t>20221001</t>
        </is>
      </c>
      <c r="AD275" t="n" s="2909">
        <v>0</v>
      </c>
      <c r="AE275" t="inlineStr" s="2909">
        <is>
          <t>00000000</t>
        </is>
      </c>
      <c r="AH275" t="n" s="2909">
        <v>1</v>
      </c>
      <c r="AJ275" t="n" s="2909">
        <v>41</v>
      </c>
      <c r="AP275" t="n" s="2909">
        <v>142000</v>
      </c>
      <c r="DB275" s="2909" t="str">
        <f>IF($A275="","",IF($A275&lt;&gt;21,"対象外",IF($AE275&amp;""="00000000","在職",IF($AE275&amp;""='DB_設定'!$C$4,"4/1喪失","その他喪失"))))</f>
        <v>対象外</v>
      </c>
    </row>
    <row r="276">
      <c r="A276" t="n" s="2909">
        <v>31</v>
      </c>
      <c r="AA276" t="n" s="2909">
        <v>21</v>
      </c>
      <c r="AB276" t="inlineStr" s="2909">
        <is>
          <t>20240901</t>
        </is>
      </c>
      <c r="AD276" t="n" s="2909">
        <v>0</v>
      </c>
      <c r="AE276" t="inlineStr" s="2909">
        <is>
          <t>00000000</t>
        </is>
      </c>
      <c r="AH276" t="n" s="2909">
        <v>1</v>
      </c>
      <c r="AJ276" t="n" s="2909">
        <v>41</v>
      </c>
      <c r="AP276" t="n" s="2909">
        <v>190000</v>
      </c>
      <c r="DB276" s="2909" t="str">
        <f>IF($A276="","",IF($A276&lt;&gt;21,"対象外",IF($AE276&amp;""="00000000","在職",IF($AE276&amp;""='DB_設定'!$C$4,"4/1喪失","その他喪失"))))</f>
        <v>対象外</v>
      </c>
    </row>
    <row r="277">
      <c r="A277" t="n" s="2909">
        <v>31</v>
      </c>
      <c r="AA277" t="n" s="2909">
        <v>21</v>
      </c>
      <c r="AB277" t="inlineStr" s="2909">
        <is>
          <t>20221001</t>
        </is>
      </c>
      <c r="AD277" t="n" s="2909">
        <v>0</v>
      </c>
      <c r="AE277" t="inlineStr" s="2909">
        <is>
          <t>00000000</t>
        </is>
      </c>
      <c r="AH277" t="n" s="2909">
        <v>1</v>
      </c>
      <c r="AJ277" t="n" s="2909">
        <v>41</v>
      </c>
      <c r="AP277" t="n" s="2909">
        <v>150000</v>
      </c>
      <c r="DB277" s="2909" t="str">
        <f>IF($A277="","",IF($A277&lt;&gt;21,"対象外",IF($AE277&amp;""="00000000","在職",IF($AE277&amp;""='DB_設定'!$C$4,"4/1喪失","その他喪失"))))</f>
        <v>対象外</v>
      </c>
    </row>
    <row r="278">
      <c r="A278" t="n" s="2909">
        <v>31</v>
      </c>
      <c r="AA278" t="n" s="2909">
        <v>21</v>
      </c>
      <c r="AB278" t="inlineStr" s="2909">
        <is>
          <t>20221001</t>
        </is>
      </c>
      <c r="AD278" t="n" s="2909">
        <v>0</v>
      </c>
      <c r="AE278" t="inlineStr" s="2909">
        <is>
          <t>00000000</t>
        </is>
      </c>
      <c r="AH278" t="n" s="2909">
        <v>11</v>
      </c>
      <c r="AJ278" t="n" s="2909">
        <v>41</v>
      </c>
      <c r="AP278" t="n" s="2909">
        <v>180000</v>
      </c>
      <c r="DB278" s="2909" t="str">
        <f>IF($A278="","",IF($A278&lt;&gt;21,"対象外",IF($AE278&amp;""="00000000","在職",IF($AE278&amp;""='DB_設定'!$C$4,"4/1喪失","その他喪失"))))</f>
        <v>対象外</v>
      </c>
    </row>
    <row r="279">
      <c r="A279" t="n" s="2909">
        <v>31</v>
      </c>
      <c r="AA279" t="n" s="2909">
        <v>21</v>
      </c>
      <c r="AB279" t="inlineStr" s="2909">
        <is>
          <t>20221001</t>
        </is>
      </c>
      <c r="AD279" t="n" s="2909">
        <v>0</v>
      </c>
      <c r="AE279" t="inlineStr" s="2909">
        <is>
          <t>00000000</t>
        </is>
      </c>
      <c r="AH279" t="n" s="2909">
        <v>1</v>
      </c>
      <c r="AJ279" t="n" s="2909">
        <v>41</v>
      </c>
      <c r="AP279" t="n" s="2909">
        <v>220000</v>
      </c>
      <c r="DB279" s="2909" t="str">
        <f>IF($A279="","",IF($A279&lt;&gt;21,"対象外",IF($AE279&amp;""="00000000","在職",IF($AE279&amp;""='DB_設定'!$C$4,"4/1喪失","その他喪失"))))</f>
        <v>対象外</v>
      </c>
    </row>
    <row r="280">
      <c r="A280" t="n" s="2909">
        <v>31</v>
      </c>
      <c r="AA280" t="n" s="2909">
        <v>21</v>
      </c>
      <c r="AB280" t="inlineStr" s="2909">
        <is>
          <t>20210401</t>
        </is>
      </c>
      <c r="AD280" t="n" s="2909">
        <v>0</v>
      </c>
      <c r="AE280" t="inlineStr" s="2909">
        <is>
          <t>00000000</t>
        </is>
      </c>
      <c r="AH280" t="n" s="2909">
        <v>1</v>
      </c>
      <c r="AJ280" t="n" s="2909">
        <v>10</v>
      </c>
      <c r="AP280" t="n" s="2909">
        <v>280000</v>
      </c>
      <c r="DB280" s="2909" t="str">
        <f>IF($A280="","",IF($A280&lt;&gt;21,"対象外",IF($AE280&amp;""="00000000","在職",IF($AE280&amp;""='DB_設定'!$C$4,"4/1喪失","その他喪失"))))</f>
        <v>対象外</v>
      </c>
    </row>
    <row r="281">
      <c r="A281" t="n" s="2909">
        <v>31</v>
      </c>
      <c r="AA281" t="n" s="2909">
        <v>21</v>
      </c>
      <c r="AB281" t="inlineStr" s="2909">
        <is>
          <t>20250401</t>
        </is>
      </c>
      <c r="AD281" t="n" s="2909">
        <v>0</v>
      </c>
      <c r="AE281" t="inlineStr" s="2909">
        <is>
          <t>00000000</t>
        </is>
      </c>
      <c r="AH281" t="n" s="2909">
        <v>20</v>
      </c>
      <c r="AJ281" t="n" s="2909">
        <v>41</v>
      </c>
      <c r="AP281" t="n" s="2909">
        <v>220000</v>
      </c>
      <c r="DB281" s="2909" t="str">
        <f>IF($A281="","",IF($A281&lt;&gt;21,"対象外",IF($AE281&amp;""="00000000","在職",IF($AE281&amp;""='DB_設定'!$C$4,"4/1喪失","その他喪失"))))</f>
        <v>対象外</v>
      </c>
    </row>
    <row r="282">
      <c r="A282" t="n" s="2909">
        <v>21</v>
      </c>
      <c r="AA282" t="n" s="2909">
        <v>21</v>
      </c>
      <c r="AB282" t="inlineStr" s="2909">
        <is>
          <t>20200101</t>
        </is>
      </c>
      <c r="AD282" t="n" s="2909">
        <v>0</v>
      </c>
      <c r="AE282" t="inlineStr" s="2909">
        <is>
          <t>00000000</t>
        </is>
      </c>
      <c r="AH282" t="n" s="2909">
        <v>20</v>
      </c>
      <c r="AJ282" t="n" s="2909">
        <v>10</v>
      </c>
      <c r="AP282" t="n" s="2909">
        <v>280000</v>
      </c>
      <c r="DB282" s="2909" t="str">
        <f>IF($A282="","",IF($A282&lt;&gt;21,"対象外",IF($AE282&amp;""="00000000","在職",IF($AE282&amp;""='DB_設定'!$C$4,"4/1喪失","その他喪失"))))</f>
        <v>在職</v>
      </c>
    </row>
    <row r="283">
      <c r="A283" t="n" s="2909">
        <v>21</v>
      </c>
      <c r="AA283" t="n" s="2909">
        <v>21</v>
      </c>
      <c r="AB283" t="inlineStr" s="2909">
        <is>
          <t>19950401</t>
        </is>
      </c>
      <c r="AD283" t="n" s="2909">
        <v>0</v>
      </c>
      <c r="AE283" t="inlineStr" s="2909">
        <is>
          <t>00000000</t>
        </is>
      </c>
      <c r="AH283" t="n" s="2909">
        <v>11</v>
      </c>
      <c r="AJ283" t="n" s="2909">
        <v>10</v>
      </c>
      <c r="AP283" t="n" s="2909">
        <v>300000</v>
      </c>
      <c r="DB283" s="2909" t="str">
        <f>IF($A283="","",IF($A283&lt;&gt;21,"対象外",IF($AE283&amp;""="00000000","在職",IF($AE283&amp;""='DB_設定'!$C$4,"4/1喪失","その他喪失"))))</f>
        <v>在職</v>
      </c>
    </row>
    <row r="284">
      <c r="A284" t="n" s="2909">
        <v>31</v>
      </c>
      <c r="AA284" t="n" s="2909">
        <v>21</v>
      </c>
      <c r="AB284" t="inlineStr" s="2909">
        <is>
          <t>20221001</t>
        </is>
      </c>
      <c r="AD284" t="n" s="2909">
        <v>0</v>
      </c>
      <c r="AE284" t="inlineStr" s="2909">
        <is>
          <t>00000000</t>
        </is>
      </c>
      <c r="AH284" t="n" s="2909">
        <v>20</v>
      </c>
      <c r="AJ284" t="n" s="2909">
        <v>41</v>
      </c>
      <c r="AP284" t="n" s="2909">
        <v>220000</v>
      </c>
      <c r="DB284" s="2909" t="str">
        <f>IF($A284="","",IF($A284&lt;&gt;21,"対象外",IF($AE284&amp;""="00000000","在職",IF($AE284&amp;""='DB_設定'!$C$4,"4/1喪失","その他喪失"))))</f>
        <v>対象外</v>
      </c>
    </row>
    <row r="285">
      <c r="A285" t="n" s="2909">
        <v>31</v>
      </c>
      <c r="AA285" t="n" s="2909">
        <v>21</v>
      </c>
      <c r="AB285" t="inlineStr" s="2909">
        <is>
          <t>20221201</t>
        </is>
      </c>
      <c r="AD285" t="n" s="2909">
        <v>0</v>
      </c>
      <c r="AE285" t="inlineStr" s="2909">
        <is>
          <t>00000000</t>
        </is>
      </c>
      <c r="AH285" t="n" s="2909">
        <v>1</v>
      </c>
      <c r="AJ285" t="n" s="2909">
        <v>41</v>
      </c>
      <c r="AP285" t="n" s="2909">
        <v>134000</v>
      </c>
      <c r="DB285" s="2909" t="str">
        <f>IF($A285="","",IF($A285&lt;&gt;21,"対象外",IF($AE285&amp;""="00000000","在職",IF($AE285&amp;""='DB_設定'!$C$4,"4/1喪失","その他喪失"))))</f>
        <v>対象外</v>
      </c>
    </row>
    <row r="286">
      <c r="A286" t="n" s="2909">
        <v>31</v>
      </c>
      <c r="AA286" t="n" s="2909">
        <v>21</v>
      </c>
      <c r="AB286" t="inlineStr" s="2909">
        <is>
          <t>20221001</t>
        </is>
      </c>
      <c r="AD286" t="n" s="2909">
        <v>0</v>
      </c>
      <c r="AE286" t="inlineStr" s="2909">
        <is>
          <t>00000000</t>
        </is>
      </c>
      <c r="AH286" t="n" s="2909">
        <v>1</v>
      </c>
      <c r="AJ286" t="n" s="2909">
        <v>41</v>
      </c>
      <c r="AP286" t="n" s="2909">
        <v>200000</v>
      </c>
      <c r="DB286" s="2909" t="str">
        <f>IF($A286="","",IF($A286&lt;&gt;21,"対象外",IF($AE286&amp;""="00000000","在職",IF($AE286&amp;""='DB_設定'!$C$4,"4/1喪失","その他喪失"))))</f>
        <v>対象外</v>
      </c>
    </row>
    <row r="287">
      <c r="A287" t="n" s="2909">
        <v>21</v>
      </c>
      <c r="AA287" t="n" s="2909">
        <v>21</v>
      </c>
      <c r="AB287" t="inlineStr" s="2909">
        <is>
          <t>20040401</t>
        </is>
      </c>
      <c r="AD287" t="n" s="2909">
        <v>0</v>
      </c>
      <c r="AE287" t="inlineStr" s="2909">
        <is>
          <t>00000000</t>
        </is>
      </c>
      <c r="AH287" t="n" s="2909">
        <v>11</v>
      </c>
      <c r="AJ287" t="n" s="2909">
        <v>10</v>
      </c>
      <c r="AP287" t="n" s="2909">
        <v>280000</v>
      </c>
      <c r="DB287" s="2909" t="str">
        <f>IF($A287="","",IF($A287&lt;&gt;21,"対象外",IF($AE287&amp;""="00000000","在職",IF($AE287&amp;""='DB_設定'!$C$4,"4/1喪失","その他喪失"))))</f>
        <v>在職</v>
      </c>
    </row>
    <row r="288">
      <c r="A288" t="n" s="2909">
        <v>31</v>
      </c>
      <c r="AA288" t="n" s="2909">
        <v>21</v>
      </c>
      <c r="AB288" t="inlineStr" s="2909">
        <is>
          <t>20221001</t>
        </is>
      </c>
      <c r="AD288" t="n" s="2909">
        <v>0</v>
      </c>
      <c r="AE288" t="inlineStr" s="2909">
        <is>
          <t>00000000</t>
        </is>
      </c>
      <c r="AH288" t="n" s="2909">
        <v>1</v>
      </c>
      <c r="AJ288" t="n" s="2909">
        <v>41</v>
      </c>
      <c r="AP288" t="n" s="2909">
        <v>220000</v>
      </c>
      <c r="DB288" s="2909" t="str">
        <f>IF($A288="","",IF($A288&lt;&gt;21,"対象外",IF($AE288&amp;""="00000000","在職",IF($AE288&amp;""='DB_設定'!$C$4,"4/1喪失","その他喪失"))))</f>
        <v>対象外</v>
      </c>
    </row>
    <row r="289">
      <c r="A289" t="n" s="2909">
        <v>31</v>
      </c>
      <c r="AA289" t="n" s="2909">
        <v>21</v>
      </c>
      <c r="AB289" t="inlineStr" s="2909">
        <is>
          <t>20250401</t>
        </is>
      </c>
      <c r="AD289" t="n" s="2909">
        <v>0</v>
      </c>
      <c r="AE289" t="inlineStr" s="2909">
        <is>
          <t>00000000</t>
        </is>
      </c>
      <c r="AH289" t="n" s="2909">
        <v>1</v>
      </c>
      <c r="AJ289" t="n" s="2909">
        <v>41</v>
      </c>
      <c r="AP289" t="n" s="2909">
        <v>220000</v>
      </c>
      <c r="DB289" s="2909" t="str">
        <f>IF($A289="","",IF($A289&lt;&gt;21,"対象外",IF($AE289&amp;""="00000000","在職",IF($AE289&amp;""='DB_設定'!$C$4,"4/1喪失","その他喪失"))))</f>
        <v>対象外</v>
      </c>
    </row>
    <row r="290">
      <c r="A290" t="n" s="2909">
        <v>31</v>
      </c>
      <c r="AA290" t="n" s="2909">
        <v>21</v>
      </c>
      <c r="AB290" t="inlineStr" s="2909">
        <is>
          <t>20221001</t>
        </is>
      </c>
      <c r="AD290" t="n" s="2909">
        <v>0</v>
      </c>
      <c r="AE290" t="inlineStr" s="2909">
        <is>
          <t>00000000</t>
        </is>
      </c>
      <c r="AH290" t="n" s="2909">
        <v>1</v>
      </c>
      <c r="AJ290" t="n" s="2909">
        <v>41</v>
      </c>
      <c r="AP290" t="n" s="2909">
        <v>142000</v>
      </c>
      <c r="DB290" s="2909" t="str">
        <f>IF($A290="","",IF($A290&lt;&gt;21,"対象外",IF($AE290&amp;""="00000000","在職",IF($AE290&amp;""='DB_設定'!$C$4,"4/1喪失","その他喪失"))))</f>
        <v>対象外</v>
      </c>
    </row>
    <row r="291">
      <c r="A291" t="n" s="2909">
        <v>31</v>
      </c>
      <c r="AA291" t="n" s="2909">
        <v>24</v>
      </c>
      <c r="AB291" t="inlineStr" s="2909">
        <is>
          <t>20250101</t>
        </is>
      </c>
      <c r="AD291" t="n" s="2909">
        <v>0</v>
      </c>
      <c r="AE291" t="inlineStr" s="2909">
        <is>
          <t>00000000</t>
        </is>
      </c>
      <c r="AH291" t="n" s="2909">
        <v>1</v>
      </c>
      <c r="AJ291" t="n" s="2909">
        <v>41</v>
      </c>
      <c r="AP291" t="n" s="2909">
        <v>260000</v>
      </c>
      <c r="DB291" s="2909" t="str">
        <f>IF($A291="","",IF($A291&lt;&gt;21,"対象外",IF($AE291&amp;""="00000000","在職",IF($AE291&amp;""='DB_設定'!$C$4,"4/1喪失","その他喪失"))))</f>
        <v>対象外</v>
      </c>
    </row>
    <row r="292">
      <c r="A292" t="n" s="2909">
        <v>31</v>
      </c>
      <c r="AA292" t="n" s="2909">
        <v>21</v>
      </c>
      <c r="AB292" t="inlineStr" s="2909">
        <is>
          <t>20221001</t>
        </is>
      </c>
      <c r="AD292" t="n" s="2909">
        <v>0</v>
      </c>
      <c r="AE292" t="inlineStr" s="2909">
        <is>
          <t>00000000</t>
        </is>
      </c>
      <c r="AH292" t="n" s="2909">
        <v>1</v>
      </c>
      <c r="AJ292" t="n" s="2909">
        <v>41</v>
      </c>
      <c r="AP292" t="n" s="2909">
        <v>142000</v>
      </c>
      <c r="DB292" s="2909" t="str">
        <f>IF($A292="","",IF($A292&lt;&gt;21,"対象外",IF($AE292&amp;""="00000000","在職",IF($AE292&amp;""='DB_設定'!$C$4,"4/1喪失","その他喪失"))))</f>
        <v>対象外</v>
      </c>
    </row>
    <row r="293">
      <c r="A293" t="n" s="2909">
        <v>31</v>
      </c>
      <c r="AA293" t="n" s="2909">
        <v>21</v>
      </c>
      <c r="AB293" t="inlineStr" s="2909">
        <is>
          <t>20221001</t>
        </is>
      </c>
      <c r="AD293" t="n" s="2909">
        <v>0</v>
      </c>
      <c r="AE293" t="inlineStr" s="2909">
        <is>
          <t>00000000</t>
        </is>
      </c>
      <c r="AH293" t="n" s="2909">
        <v>1</v>
      </c>
      <c r="AJ293" t="n" s="2909">
        <v>41</v>
      </c>
      <c r="AP293" t="n" s="2909">
        <v>160000</v>
      </c>
      <c r="DB293" s="2909" t="str">
        <f>IF($A293="","",IF($A293&lt;&gt;21,"対象外",IF($AE293&amp;""="00000000","在職",IF($AE293&amp;""='DB_設定'!$C$4,"4/1喪失","その他喪失"))))</f>
        <v>対象外</v>
      </c>
    </row>
    <row r="294">
      <c r="A294" t="n" s="2909">
        <v>31</v>
      </c>
      <c r="AA294" t="n" s="2909">
        <v>21</v>
      </c>
      <c r="AB294" t="inlineStr" s="2909">
        <is>
          <t>20250107</t>
        </is>
      </c>
      <c r="AD294" t="n" s="2909">
        <v>0</v>
      </c>
      <c r="AE294" t="inlineStr" s="2909">
        <is>
          <t>00000000</t>
        </is>
      </c>
      <c r="AH294" t="n" s="2909">
        <v>1</v>
      </c>
      <c r="AJ294" t="n" s="2909">
        <v>41</v>
      </c>
      <c r="AP294" t="n" s="2909">
        <v>142000</v>
      </c>
      <c r="DB294" s="2909" t="str">
        <f>IF($A294="","",IF($A294&lt;&gt;21,"対象外",IF($AE294&amp;""="00000000","在職",IF($AE294&amp;""='DB_設定'!$C$4,"4/1喪失","その他喪失"))))</f>
        <v>対象外</v>
      </c>
    </row>
    <row r="295">
      <c r="A295" t="n" s="2909">
        <v>31</v>
      </c>
      <c r="AA295" t="n" s="2909">
        <v>21</v>
      </c>
      <c r="AB295" t="inlineStr" s="2909">
        <is>
          <t>20221001</t>
        </is>
      </c>
      <c r="AD295" t="n" s="2909">
        <v>0</v>
      </c>
      <c r="AE295" t="inlineStr" s="2909">
        <is>
          <t>00000000</t>
        </is>
      </c>
      <c r="AH295" t="n" s="2909">
        <v>1</v>
      </c>
      <c r="AJ295" t="n" s="2909">
        <v>41</v>
      </c>
      <c r="AP295" t="n" s="2909">
        <v>150000</v>
      </c>
      <c r="DB295" s="2909" t="str">
        <f>IF($A295="","",IF($A295&lt;&gt;21,"対象外",IF($AE295&amp;""="00000000","在職",IF($AE295&amp;""='DB_設定'!$C$4,"4/1喪失","その他喪失"))))</f>
        <v>対象外</v>
      </c>
    </row>
    <row r="296">
      <c r="A296" t="n" s="2909">
        <v>31</v>
      </c>
      <c r="AA296" t="n" s="2909">
        <v>21</v>
      </c>
      <c r="AB296" t="inlineStr" s="2909">
        <is>
          <t>20221001</t>
        </is>
      </c>
      <c r="AD296" t="n" s="2909">
        <v>0</v>
      </c>
      <c r="AE296" t="inlineStr" s="2909">
        <is>
          <t>00000000</t>
        </is>
      </c>
      <c r="AH296" t="n" s="2909">
        <v>1</v>
      </c>
      <c r="AJ296" t="n" s="2909">
        <v>41</v>
      </c>
      <c r="AP296" t="n" s="2909">
        <v>200000</v>
      </c>
      <c r="DB296" s="2909" t="str">
        <f>IF($A296="","",IF($A296&lt;&gt;21,"対象外",IF($AE296&amp;""="00000000","在職",IF($AE296&amp;""='DB_設定'!$C$4,"4/1喪失","その他喪失"))))</f>
        <v>対象外</v>
      </c>
    </row>
    <row r="297">
      <c r="A297" t="n" s="2909">
        <v>31</v>
      </c>
      <c r="AA297" t="n" s="2909">
        <v>21</v>
      </c>
      <c r="AB297" t="inlineStr" s="2909">
        <is>
          <t>20250401</t>
        </is>
      </c>
      <c r="AD297" t="n" s="2909">
        <v>0</v>
      </c>
      <c r="AE297" t="inlineStr" s="2909">
        <is>
          <t>00000000</t>
        </is>
      </c>
      <c r="AH297" t="n" s="2909">
        <v>11</v>
      </c>
      <c r="AJ297" t="n" s="2909">
        <v>41</v>
      </c>
      <c r="AP297" t="n" s="2909">
        <v>220000</v>
      </c>
      <c r="DB297" s="2909" t="str">
        <f>IF($A297="","",IF($A297&lt;&gt;21,"対象外",IF($AE297&amp;""="00000000","在職",IF($AE297&amp;""='DB_設定'!$C$4,"4/1喪失","その他喪失"))))</f>
        <v>対象外</v>
      </c>
    </row>
    <row r="298">
      <c r="A298" t="n" s="2909">
        <v>31</v>
      </c>
      <c r="AA298" t="n" s="2909">
        <v>21</v>
      </c>
      <c r="AB298" t="inlineStr" s="2909">
        <is>
          <t>20210401</t>
        </is>
      </c>
      <c r="AD298" t="n" s="2909">
        <v>0</v>
      </c>
      <c r="AE298" t="inlineStr" s="2909">
        <is>
          <t>00000000</t>
        </is>
      </c>
      <c r="AH298" t="n" s="2909">
        <v>1</v>
      </c>
      <c r="AJ298" t="n" s="2909">
        <v>10</v>
      </c>
      <c r="AP298" t="n" s="2909">
        <v>280000</v>
      </c>
      <c r="DB298" s="2909" t="str">
        <f>IF($A298="","",IF($A298&lt;&gt;21,"対象外",IF($AE298&amp;""="00000000","在職",IF($AE298&amp;""='DB_設定'!$C$4,"4/1喪失","その他喪失"))))</f>
        <v>対象外</v>
      </c>
    </row>
    <row r="299">
      <c r="A299" t="n" s="2909">
        <v>31</v>
      </c>
      <c r="AA299" t="n" s="2909">
        <v>21</v>
      </c>
      <c r="AB299" t="inlineStr" s="2909">
        <is>
          <t>20221001</t>
        </is>
      </c>
      <c r="AD299" t="n" s="2909">
        <v>0</v>
      </c>
      <c r="AE299" t="inlineStr" s="2909">
        <is>
          <t>00000000</t>
        </is>
      </c>
      <c r="AH299" t="n" s="2909">
        <v>1</v>
      </c>
      <c r="AJ299" t="n" s="2909">
        <v>41</v>
      </c>
      <c r="AP299" t="n" s="2909">
        <v>200000</v>
      </c>
      <c r="DB299" s="2909" t="str">
        <f>IF($A299="","",IF($A299&lt;&gt;21,"対象外",IF($AE299&amp;""="00000000","在職",IF($AE299&amp;""='DB_設定'!$C$4,"4/1喪失","その他喪失"))))</f>
        <v>対象外</v>
      </c>
    </row>
    <row r="300">
      <c r="A300" t="n" s="2909">
        <v>31</v>
      </c>
      <c r="AA300" t="n" s="2909">
        <v>21</v>
      </c>
      <c r="AB300" t="inlineStr" s="2909">
        <is>
          <t>20221001</t>
        </is>
      </c>
      <c r="AD300" t="n" s="2909">
        <v>0</v>
      </c>
      <c r="AE300" t="inlineStr" s="2909">
        <is>
          <t>00000000</t>
        </is>
      </c>
      <c r="AH300" t="n" s="2909">
        <v>1</v>
      </c>
      <c r="AJ300" t="n" s="2909">
        <v>41</v>
      </c>
      <c r="AP300" t="n" s="2909">
        <v>142000</v>
      </c>
      <c r="DB300" s="2909" t="str">
        <f>IF($A300="","",IF($A300&lt;&gt;21,"対象外",IF($AE300&amp;""="00000000","在職",IF($AE300&amp;""='DB_設定'!$C$4,"4/1喪失","その他喪失"))))</f>
        <v>対象外</v>
      </c>
    </row>
    <row r="301">
      <c r="A301" t="n" s="2909">
        <v>21</v>
      </c>
      <c r="AA301" t="n" s="2909">
        <v>21</v>
      </c>
      <c r="AB301" t="inlineStr" s="2909">
        <is>
          <t>19960401</t>
        </is>
      </c>
      <c r="AD301" t="n" s="2909">
        <v>0</v>
      </c>
      <c r="AE301" t="inlineStr" s="2909">
        <is>
          <t>00000000</t>
        </is>
      </c>
      <c r="AH301" t="n" s="2909">
        <v>32</v>
      </c>
      <c r="AJ301" t="n" s="2909">
        <v>74</v>
      </c>
      <c r="AP301" t="n" s="2909">
        <v>340000</v>
      </c>
      <c r="DB301" s="2909" t="str">
        <f>IF($A301="","",IF($A301&lt;&gt;21,"対象外",IF($AE301&amp;""="00000000","在職",IF($AE301&amp;""='DB_設定'!$C$4,"4/1喪失","その他喪失"))))</f>
        <v>在職</v>
      </c>
    </row>
    <row r="302">
      <c r="A302" t="n" s="2909">
        <v>31</v>
      </c>
      <c r="AA302" t="n" s="2909">
        <v>21</v>
      </c>
      <c r="AB302" t="inlineStr" s="2909">
        <is>
          <t>20221001</t>
        </is>
      </c>
      <c r="AD302" t="n" s="2909">
        <v>0</v>
      </c>
      <c r="AE302" t="inlineStr" s="2909">
        <is>
          <t>00000000</t>
        </is>
      </c>
      <c r="AH302" t="n" s="2909">
        <v>11</v>
      </c>
      <c r="AJ302" t="n" s="2909">
        <v>41</v>
      </c>
      <c r="AP302" t="n" s="2909">
        <v>190000</v>
      </c>
      <c r="DB302" s="2909" t="str">
        <f>IF($A302="","",IF($A302&lt;&gt;21,"対象外",IF($AE302&amp;""="00000000","在職",IF($AE302&amp;""='DB_設定'!$C$4,"4/1喪失","その他喪失"))))</f>
        <v>対象外</v>
      </c>
    </row>
    <row r="303">
      <c r="A303" t="n" s="2909">
        <v>31</v>
      </c>
      <c r="AA303" t="n" s="2909">
        <v>21</v>
      </c>
      <c r="AB303" t="inlineStr" s="2909">
        <is>
          <t>20250401</t>
        </is>
      </c>
      <c r="AD303" t="n" s="2909">
        <v>0</v>
      </c>
      <c r="AE303" t="inlineStr" s="2909">
        <is>
          <t>00000000</t>
        </is>
      </c>
      <c r="AH303" t="n" s="2909">
        <v>1</v>
      </c>
      <c r="AJ303" t="n" s="2909">
        <v>41</v>
      </c>
      <c r="AP303" t="n" s="2909">
        <v>134000</v>
      </c>
      <c r="DB303" s="2909" t="str">
        <f>IF($A303="","",IF($A303&lt;&gt;21,"対象外",IF($AE303&amp;""="00000000","在職",IF($AE303&amp;""='DB_設定'!$C$4,"4/1喪失","その他喪失"))))</f>
        <v>対象外</v>
      </c>
    </row>
    <row r="304">
      <c r="A304" t="n" s="2909">
        <v>21</v>
      </c>
      <c r="AA304" t="n" s="2909">
        <v>21</v>
      </c>
      <c r="AB304" t="inlineStr" s="2909">
        <is>
          <t>19870401</t>
        </is>
      </c>
      <c r="AD304" t="n" s="2909">
        <v>0</v>
      </c>
      <c r="AE304" t="inlineStr" s="2909">
        <is>
          <t>00000000</t>
        </is>
      </c>
      <c r="AH304" t="n" s="2909">
        <v>1</v>
      </c>
      <c r="AJ304" t="n" s="2909">
        <v>10</v>
      </c>
      <c r="AP304" t="n" s="2909">
        <v>360000</v>
      </c>
      <c r="DB304" s="2909" t="str">
        <f>IF($A304="","",IF($A304&lt;&gt;21,"対象外",IF($AE304&amp;""="00000000","在職",IF($AE304&amp;""='DB_設定'!$C$4,"4/1喪失","その他喪失"))))</f>
        <v>在職</v>
      </c>
    </row>
    <row r="305">
      <c r="A305" t="n" s="2909">
        <v>21</v>
      </c>
      <c r="AA305" t="n" s="2909">
        <v>21</v>
      </c>
      <c r="AB305" t="inlineStr" s="2909">
        <is>
          <t>19880601</t>
        </is>
      </c>
      <c r="AD305" t="n" s="2909">
        <v>0</v>
      </c>
      <c r="AE305" t="inlineStr" s="2909">
        <is>
          <t>00000000</t>
        </is>
      </c>
      <c r="AH305" t="n" s="2909">
        <v>1</v>
      </c>
      <c r="AJ305" t="n" s="2909">
        <v>10</v>
      </c>
      <c r="AP305" t="n" s="2909">
        <v>380000</v>
      </c>
      <c r="DB305" s="2909" t="str">
        <f>IF($A305="","",IF($A305&lt;&gt;21,"対象外",IF($AE305&amp;""="00000000","在職",IF($AE305&amp;""='DB_設定'!$C$4,"4/1喪失","その他喪失"))))</f>
        <v>在職</v>
      </c>
    </row>
    <row r="306">
      <c r="A306" t="n" s="2909">
        <v>31</v>
      </c>
      <c r="AA306" t="n" s="2909">
        <v>21</v>
      </c>
      <c r="AB306" t="inlineStr" s="2909">
        <is>
          <t>20250707</t>
        </is>
      </c>
      <c r="AD306" t="n" s="2909">
        <v>0</v>
      </c>
      <c r="AE306" t="inlineStr" s="2909">
        <is>
          <t>00000000</t>
        </is>
      </c>
      <c r="AH306" t="n" s="2909">
        <v>20</v>
      </c>
      <c r="AJ306" t="n" s="2909">
        <v>41</v>
      </c>
      <c r="AP306" t="n" s="2909">
        <v>180000</v>
      </c>
      <c r="DB306" s="2909" t="str">
        <f>IF($A306="","",IF($A306&lt;&gt;21,"対象外",IF($AE306&amp;""="00000000","在職",IF($AE306&amp;""='DB_設定'!$C$4,"4/1喪失","その他喪失"))))</f>
        <v>対象外</v>
      </c>
    </row>
    <row r="307">
      <c r="A307" t="n" s="2909">
        <v>31</v>
      </c>
      <c r="AA307" t="n" s="2909">
        <v>21</v>
      </c>
      <c r="AB307" t="inlineStr" s="2909">
        <is>
          <t>20221001</t>
        </is>
      </c>
      <c r="AD307" t="n" s="2909">
        <v>0</v>
      </c>
      <c r="AE307" t="inlineStr" s="2909">
        <is>
          <t>00000000</t>
        </is>
      </c>
      <c r="AH307" t="n" s="2909">
        <v>11</v>
      </c>
      <c r="AJ307" t="n" s="2909">
        <v>41</v>
      </c>
      <c r="AP307" t="n" s="2909">
        <v>200000</v>
      </c>
      <c r="DB307" s="2909" t="str">
        <f>IF($A307="","",IF($A307&lt;&gt;21,"対象外",IF($AE307&amp;""="00000000","在職",IF($AE307&amp;""='DB_設定'!$C$4,"4/1喪失","その他喪失"))))</f>
        <v>対象外</v>
      </c>
    </row>
    <row r="308">
      <c r="A308" t="n" s="2909">
        <v>31</v>
      </c>
      <c r="AA308" t="n" s="2909">
        <v>21</v>
      </c>
      <c r="AB308" t="inlineStr" s="2909">
        <is>
          <t>20221001</t>
        </is>
      </c>
      <c r="AD308" t="n" s="2909">
        <v>0</v>
      </c>
      <c r="AE308" t="inlineStr" s="2909">
        <is>
          <t>00000000</t>
        </is>
      </c>
      <c r="AH308" t="n" s="2909">
        <v>1</v>
      </c>
      <c r="AJ308" t="n" s="2909">
        <v>10</v>
      </c>
      <c r="AP308" t="n" s="2909">
        <v>280000</v>
      </c>
      <c r="DB308" s="2909" t="str">
        <f>IF($A308="","",IF($A308&lt;&gt;21,"対象外",IF($AE308&amp;""="00000000","在職",IF($AE308&amp;""='DB_設定'!$C$4,"4/1喪失","その他喪失"))))</f>
        <v>対象外</v>
      </c>
    </row>
    <row r="309">
      <c r="A309" t="n" s="2909">
        <v>31</v>
      </c>
      <c r="AA309" t="n" s="2909">
        <v>21</v>
      </c>
      <c r="AB309" t="inlineStr" s="2909">
        <is>
          <t>20230401</t>
        </is>
      </c>
      <c r="AD309" t="n" s="2909">
        <v>0</v>
      </c>
      <c r="AE309" t="inlineStr" s="2909">
        <is>
          <t>00000000</t>
        </is>
      </c>
      <c r="AH309" t="n" s="2909">
        <v>1</v>
      </c>
      <c r="AJ309" t="n" s="2909">
        <v>41</v>
      </c>
      <c r="AP309" t="n" s="2909">
        <v>142000</v>
      </c>
      <c r="DB309" s="2909" t="str">
        <f>IF($A309="","",IF($A309&lt;&gt;21,"対象外",IF($AE309&amp;""="00000000","在職",IF($AE309&amp;""='DB_設定'!$C$4,"4/1喪失","その他喪失"))))</f>
        <v>対象外</v>
      </c>
    </row>
    <row r="310">
      <c r="A310" t="n" s="2909">
        <v>31</v>
      </c>
      <c r="AA310" t="n" s="2909">
        <v>21</v>
      </c>
      <c r="AB310" t="inlineStr" s="2909">
        <is>
          <t>20221001</t>
        </is>
      </c>
      <c r="AD310" t="n" s="2909">
        <v>0</v>
      </c>
      <c r="AE310" t="inlineStr" s="2909">
        <is>
          <t>00000000</t>
        </is>
      </c>
      <c r="AH310" t="n" s="2909">
        <v>1</v>
      </c>
      <c r="AJ310" t="n" s="2909">
        <v>41</v>
      </c>
      <c r="AP310" t="n" s="2909">
        <v>126000</v>
      </c>
      <c r="DB310" s="2909" t="str">
        <f>IF($A310="","",IF($A310&lt;&gt;21,"対象外",IF($AE310&amp;""="00000000","在職",IF($AE310&amp;""='DB_設定'!$C$4,"4/1喪失","その他喪失"))))</f>
        <v>対象外</v>
      </c>
    </row>
    <row r="311">
      <c r="A311" t="n" s="2909">
        <v>31</v>
      </c>
      <c r="AA311" t="n" s="2909">
        <v>21</v>
      </c>
      <c r="AB311" t="inlineStr" s="2909">
        <is>
          <t>20221001</t>
        </is>
      </c>
      <c r="AD311" t="n" s="2909">
        <v>0</v>
      </c>
      <c r="AE311" t="inlineStr" s="2909">
        <is>
          <t>00000000</t>
        </is>
      </c>
      <c r="AH311" t="n" s="2909">
        <v>1</v>
      </c>
      <c r="AJ311" t="n" s="2909">
        <v>41</v>
      </c>
      <c r="AP311" t="n" s="2909">
        <v>200000</v>
      </c>
      <c r="DB311" s="2909" t="str">
        <f>IF($A311="","",IF($A311&lt;&gt;21,"対象外",IF($AE311&amp;""="00000000","在職",IF($AE311&amp;""='DB_設定'!$C$4,"4/1喪失","その他喪失"))))</f>
        <v>対象外</v>
      </c>
    </row>
    <row r="312">
      <c r="A312" t="n" s="2909">
        <v>31</v>
      </c>
      <c r="AA312" t="n" s="2909">
        <v>21</v>
      </c>
      <c r="AB312" t="inlineStr" s="2909">
        <is>
          <t>20221001</t>
        </is>
      </c>
      <c r="AD312" t="n" s="2909">
        <v>0</v>
      </c>
      <c r="AE312" t="inlineStr" s="2909">
        <is>
          <t>00000000</t>
        </is>
      </c>
      <c r="AH312" t="n" s="2909">
        <v>11</v>
      </c>
      <c r="AJ312" t="n" s="2909">
        <v>41</v>
      </c>
      <c r="AP312" t="n" s="2909">
        <v>142000</v>
      </c>
      <c r="DB312" s="2909" t="str">
        <f>IF($A312="","",IF($A312&lt;&gt;21,"対象外",IF($AE312&amp;""="00000000","在職",IF($AE312&amp;""='DB_設定'!$C$4,"4/1喪失","その他喪失"))))</f>
        <v>対象外</v>
      </c>
    </row>
    <row r="313">
      <c r="A313" t="n" s="2909">
        <v>31</v>
      </c>
      <c r="AA313" t="n" s="2909">
        <v>21</v>
      </c>
      <c r="AB313" t="inlineStr" s="2909">
        <is>
          <t>20221001</t>
        </is>
      </c>
      <c r="AD313" t="n" s="2909">
        <v>0</v>
      </c>
      <c r="AE313" t="inlineStr" s="2909">
        <is>
          <t>00000000</t>
        </is>
      </c>
      <c r="AH313" t="n" s="2909">
        <v>1</v>
      </c>
      <c r="AJ313" t="n" s="2909">
        <v>41</v>
      </c>
      <c r="AP313" t="n" s="2909">
        <v>200000</v>
      </c>
      <c r="DB313" s="2909" t="str">
        <f>IF($A313="","",IF($A313&lt;&gt;21,"対象外",IF($AE313&amp;""="00000000","在職",IF($AE313&amp;""='DB_設定'!$C$4,"4/1喪失","その他喪失"))))</f>
        <v>対象外</v>
      </c>
    </row>
    <row r="314">
      <c r="A314" t="n" s="2909">
        <v>31</v>
      </c>
      <c r="AA314" t="n" s="2909">
        <v>21</v>
      </c>
      <c r="AB314" t="inlineStr" s="2909">
        <is>
          <t>20231101</t>
        </is>
      </c>
      <c r="AD314" t="n" s="2909">
        <v>0</v>
      </c>
      <c r="AE314" t="inlineStr" s="2909">
        <is>
          <t>00000000</t>
        </is>
      </c>
      <c r="AH314" t="n" s="2909">
        <v>1</v>
      </c>
      <c r="AJ314" t="n" s="2909">
        <v>41</v>
      </c>
      <c r="AP314" t="n" s="2909">
        <v>190000</v>
      </c>
      <c r="DB314" s="2909" t="str">
        <f>IF($A314="","",IF($A314&lt;&gt;21,"対象外",IF($AE314&amp;""="00000000","在職",IF($AE314&amp;""='DB_設定'!$C$4,"4/1喪失","その他喪失"))))</f>
        <v>対象外</v>
      </c>
    </row>
    <row r="315">
      <c r="A315" t="n" s="2909">
        <v>31</v>
      </c>
      <c r="AA315" t="n" s="2909">
        <v>21</v>
      </c>
      <c r="AB315" t="inlineStr" s="2909">
        <is>
          <t>20221001</t>
        </is>
      </c>
      <c r="AD315" t="n" s="2909">
        <v>0</v>
      </c>
      <c r="AE315" t="inlineStr" s="2909">
        <is>
          <t>00000000</t>
        </is>
      </c>
      <c r="AH315" t="n" s="2909">
        <v>1</v>
      </c>
      <c r="AJ315" t="n" s="2909">
        <v>41</v>
      </c>
      <c r="AP315" t="n" s="2909">
        <v>200000</v>
      </c>
      <c r="DB315" s="2909" t="str">
        <f>IF($A315="","",IF($A315&lt;&gt;21,"対象外",IF($AE315&amp;""="00000000","在職",IF($AE315&amp;""='DB_設定'!$C$4,"4/1喪失","その他喪失"))))</f>
        <v>対象外</v>
      </c>
    </row>
    <row r="316">
      <c r="A316" t="n" s="2909">
        <v>21</v>
      </c>
      <c r="AA316" t="n" s="2909">
        <v>21</v>
      </c>
      <c r="AB316" t="inlineStr" s="2909">
        <is>
          <t>20150401</t>
        </is>
      </c>
      <c r="AD316" t="n" s="2909">
        <v>0</v>
      </c>
      <c r="AE316" t="inlineStr" s="2909">
        <is>
          <t>00000000</t>
        </is>
      </c>
      <c r="AH316" t="n" s="2909">
        <v>20</v>
      </c>
      <c r="AJ316" t="n" s="2909">
        <v>10</v>
      </c>
      <c r="AP316" t="n" s="2909">
        <v>320000</v>
      </c>
      <c r="DB316" s="2909" t="str">
        <f>IF($A316="","",IF($A316&lt;&gt;21,"対象外",IF($AE316&amp;""="00000000","在職",IF($AE316&amp;""='DB_設定'!$C$4,"4/1喪失","その他喪失"))))</f>
        <v>在職</v>
      </c>
    </row>
    <row r="317">
      <c r="A317" t="n" s="2909">
        <v>21</v>
      </c>
      <c r="AA317" t="n" s="2909">
        <v>21</v>
      </c>
      <c r="AB317" t="inlineStr" s="2909">
        <is>
          <t>20200919</t>
        </is>
      </c>
      <c r="AD317" t="n" s="2909">
        <v>0</v>
      </c>
      <c r="AE317" t="inlineStr" s="2909">
        <is>
          <t>00000000</t>
        </is>
      </c>
      <c r="AH317" t="n" s="2909">
        <v>20</v>
      </c>
      <c r="AJ317" t="n" s="2909">
        <v>10</v>
      </c>
      <c r="AP317" t="n" s="2909">
        <v>260000</v>
      </c>
      <c r="DB317" s="2909" t="str">
        <f>IF($A317="","",IF($A317&lt;&gt;21,"対象外",IF($AE317&amp;""="00000000","在職",IF($AE317&amp;""='DB_設定'!$C$4,"4/1喪失","その他喪失"))))</f>
        <v>在職</v>
      </c>
    </row>
    <row r="318">
      <c r="A318" t="n" s="2909">
        <v>31</v>
      </c>
      <c r="AA318" t="n" s="2909">
        <v>21</v>
      </c>
      <c r="AB318" t="inlineStr" s="2909">
        <is>
          <t>20240401</t>
        </is>
      </c>
      <c r="AD318" t="n" s="2909">
        <v>0</v>
      </c>
      <c r="AE318" t="inlineStr" s="2909">
        <is>
          <t>00000000</t>
        </is>
      </c>
      <c r="AH318" t="n" s="2909">
        <v>1</v>
      </c>
      <c r="AJ318" t="n" s="2909">
        <v>41</v>
      </c>
      <c r="AP318" t="n" s="2909">
        <v>150000</v>
      </c>
      <c r="DB318" s="2909" t="str">
        <f>IF($A318="","",IF($A318&lt;&gt;21,"対象外",IF($AE318&amp;""="00000000","在職",IF($AE318&amp;""='DB_設定'!$C$4,"4/1喪失","その他喪失"))))</f>
        <v>対象外</v>
      </c>
    </row>
    <row r="319">
      <c r="A319" t="n" s="2909">
        <v>31</v>
      </c>
      <c r="AA319" t="n" s="2909">
        <v>21</v>
      </c>
      <c r="AB319" t="inlineStr" s="2909">
        <is>
          <t>20210401</t>
        </is>
      </c>
      <c r="AD319" t="n" s="2909">
        <v>0</v>
      </c>
      <c r="AE319" t="inlineStr" s="2909">
        <is>
          <t>00000000</t>
        </is>
      </c>
      <c r="AH319" t="n" s="2909">
        <v>1</v>
      </c>
      <c r="AJ319" t="n" s="2909">
        <v>10</v>
      </c>
      <c r="AP319" t="n" s="2909">
        <v>280000</v>
      </c>
      <c r="DB319" s="2909" t="str">
        <f>IF($A319="","",IF($A319&lt;&gt;21,"対象外",IF($AE319&amp;""="00000000","在職",IF($AE319&amp;""='DB_設定'!$C$4,"4/1喪失","その他喪失"))))</f>
        <v>対象外</v>
      </c>
    </row>
    <row r="320">
      <c r="A320" t="n" s="2909">
        <v>31</v>
      </c>
      <c r="AA320" t="n" s="2909">
        <v>21</v>
      </c>
      <c r="AB320" t="inlineStr" s="2909">
        <is>
          <t>20221001</t>
        </is>
      </c>
      <c r="AD320" t="n" s="2909">
        <v>0</v>
      </c>
      <c r="AE320" t="inlineStr" s="2909">
        <is>
          <t>00000000</t>
        </is>
      </c>
      <c r="AH320" t="n" s="2909">
        <v>1</v>
      </c>
      <c r="AJ320" t="n" s="2909">
        <v>41</v>
      </c>
      <c r="AP320" t="n" s="2909">
        <v>170000</v>
      </c>
      <c r="DB320" s="2909" t="str">
        <f>IF($A320="","",IF($A320&lt;&gt;21,"対象外",IF($AE320&amp;""="00000000","在職",IF($AE320&amp;""='DB_設定'!$C$4,"4/1喪失","その他喪失"))))</f>
        <v>対象外</v>
      </c>
    </row>
    <row r="321">
      <c r="A321" t="n" s="2909">
        <v>31</v>
      </c>
      <c r="AA321" t="n" s="2909">
        <v>21</v>
      </c>
      <c r="AB321" t="inlineStr" s="2909">
        <is>
          <t>20221001</t>
        </is>
      </c>
      <c r="AD321" t="n" s="2909">
        <v>0</v>
      </c>
      <c r="AE321" t="inlineStr" s="2909">
        <is>
          <t>00000000</t>
        </is>
      </c>
      <c r="AH321" t="n" s="2909">
        <v>1</v>
      </c>
      <c r="AJ321" t="n" s="2909">
        <v>41</v>
      </c>
      <c r="AP321" t="n" s="2909">
        <v>200000</v>
      </c>
      <c r="DB321" s="2909" t="str">
        <f>IF($A321="","",IF($A321&lt;&gt;21,"対象外",IF($AE321&amp;""="00000000","在職",IF($AE321&amp;""='DB_設定'!$C$4,"4/1喪失","その他喪失"))))</f>
        <v>対象外</v>
      </c>
    </row>
    <row r="322">
      <c r="A322" t="n" s="2909">
        <v>21</v>
      </c>
      <c r="AA322" t="n" s="2909">
        <v>21</v>
      </c>
      <c r="AB322" t="inlineStr" s="2909">
        <is>
          <t>19910401</t>
        </is>
      </c>
      <c r="AD322" t="n" s="2909">
        <v>0</v>
      </c>
      <c r="AE322" t="inlineStr" s="2909">
        <is>
          <t>00000000</t>
        </is>
      </c>
      <c r="AH322" t="n" s="2909">
        <v>1</v>
      </c>
      <c r="AJ322" t="n" s="2909">
        <v>10</v>
      </c>
      <c r="AP322" t="n" s="2909">
        <v>340000</v>
      </c>
      <c r="DB322" s="2909" t="str">
        <f>IF($A322="","",IF($A322&lt;&gt;21,"対象外",IF($AE322&amp;""="00000000","在職",IF($AE322&amp;""='DB_設定'!$C$4,"4/1喪失","その他喪失"))))</f>
        <v>在職</v>
      </c>
    </row>
    <row r="323">
      <c r="A323" t="n" s="2909">
        <v>21</v>
      </c>
      <c r="AA323" t="n" s="2909">
        <v>21</v>
      </c>
      <c r="AB323" t="inlineStr" s="2909">
        <is>
          <t>19880401</t>
        </is>
      </c>
      <c r="AD323" t="n" s="2909">
        <v>0</v>
      </c>
      <c r="AE323" t="inlineStr" s="2909">
        <is>
          <t>00000000</t>
        </is>
      </c>
      <c r="AH323" t="n" s="2909">
        <v>11</v>
      </c>
      <c r="AJ323" t="n" s="2909">
        <v>10</v>
      </c>
      <c r="AP323" t="n" s="2909">
        <v>360000</v>
      </c>
      <c r="DB323" s="2909" t="str">
        <f>IF($A323="","",IF($A323&lt;&gt;21,"対象外",IF($AE323&amp;""="00000000","在職",IF($AE323&amp;""='DB_設定'!$C$4,"4/1喪失","その他喪失"))))</f>
        <v>在職</v>
      </c>
    </row>
    <row r="324">
      <c r="A324" t="n" s="2909">
        <v>31</v>
      </c>
      <c r="AA324" t="n" s="2909">
        <v>21</v>
      </c>
      <c r="AB324" t="inlineStr" s="2909">
        <is>
          <t>20221001</t>
        </is>
      </c>
      <c r="AD324" t="n" s="2909">
        <v>0</v>
      </c>
      <c r="AE324" t="inlineStr" s="2909">
        <is>
          <t>00000000</t>
        </is>
      </c>
      <c r="AH324" t="n" s="2909">
        <v>1</v>
      </c>
      <c r="AJ324" t="n" s="2909">
        <v>41</v>
      </c>
      <c r="AP324" t="n" s="2909">
        <v>190000</v>
      </c>
      <c r="DB324" s="2909" t="str">
        <f>IF($A324="","",IF($A324&lt;&gt;21,"対象外",IF($AE324&amp;""="00000000","在職",IF($AE324&amp;""='DB_設定'!$C$4,"4/1喪失","その他喪失"))))</f>
        <v>対象外</v>
      </c>
    </row>
    <row r="325">
      <c r="A325" t="n" s="2909">
        <v>31</v>
      </c>
      <c r="AA325" t="n" s="2909">
        <v>21</v>
      </c>
      <c r="AB325" t="inlineStr" s="2909">
        <is>
          <t>20221001</t>
        </is>
      </c>
      <c r="AD325" t="n" s="2909">
        <v>0</v>
      </c>
      <c r="AE325" t="inlineStr" s="2909">
        <is>
          <t>00000000</t>
        </is>
      </c>
      <c r="AH325" t="n" s="2909">
        <v>1</v>
      </c>
      <c r="AJ325" t="n" s="2909">
        <v>41</v>
      </c>
      <c r="AP325" t="n" s="2909">
        <v>220000</v>
      </c>
      <c r="DB325" s="2909" t="str">
        <f>IF($A325="","",IF($A325&lt;&gt;21,"対象外",IF($AE325&amp;""="00000000","在職",IF($AE325&amp;""='DB_設定'!$C$4,"4/1喪失","その他喪失"))))</f>
        <v>対象外</v>
      </c>
    </row>
    <row r="326">
      <c r="A326" t="n" s="2909">
        <v>21</v>
      </c>
      <c r="AA326" t="n" s="2909">
        <v>21</v>
      </c>
      <c r="AB326" t="inlineStr" s="2909">
        <is>
          <t>20040401</t>
        </is>
      </c>
      <c r="AD326" t="n" s="2909">
        <v>0</v>
      </c>
      <c r="AE326" t="inlineStr" s="2909">
        <is>
          <t>00000000</t>
        </is>
      </c>
      <c r="AH326" t="n" s="2909">
        <v>1</v>
      </c>
      <c r="AJ326" t="n" s="2909">
        <v>10</v>
      </c>
      <c r="AP326" t="n" s="2909">
        <v>300000</v>
      </c>
      <c r="DB326" s="2909" t="str">
        <f>IF($A326="","",IF($A326&lt;&gt;21,"対象外",IF($AE326&amp;""="00000000","在職",IF($AE326&amp;""='DB_設定'!$C$4,"4/1喪失","その他喪失"))))</f>
        <v>在職</v>
      </c>
    </row>
    <row r="327">
      <c r="A327" t="n" s="2909">
        <v>31</v>
      </c>
      <c r="AA327" t="n" s="2909">
        <v>21</v>
      </c>
      <c r="AB327" t="inlineStr" s="2909">
        <is>
          <t>20250401</t>
        </is>
      </c>
      <c r="AD327" t="n" s="2909">
        <v>0</v>
      </c>
      <c r="AE327" t="inlineStr" s="2909">
        <is>
          <t>00000000</t>
        </is>
      </c>
      <c r="AH327" t="n" s="2909">
        <v>1</v>
      </c>
      <c r="AJ327" t="n" s="2909">
        <v>41</v>
      </c>
      <c r="AP327" t="n" s="2909">
        <v>142000</v>
      </c>
      <c r="DB327" s="2909" t="str">
        <f>IF($A327="","",IF($A327&lt;&gt;21,"対象外",IF($AE327&amp;""="00000000","在職",IF($AE327&amp;""='DB_設定'!$C$4,"4/1喪失","その他喪失"))))</f>
        <v>対象外</v>
      </c>
    </row>
    <row r="328">
      <c r="A328" t="n" s="2909">
        <v>21</v>
      </c>
      <c r="AA328" t="n" s="2909">
        <v>21</v>
      </c>
      <c r="AB328" t="inlineStr" s="2909">
        <is>
          <t>19970801</t>
        </is>
      </c>
      <c r="AD328" t="n" s="2909">
        <v>0</v>
      </c>
      <c r="AE328" t="inlineStr" s="2909">
        <is>
          <t>00000000</t>
        </is>
      </c>
      <c r="AH328" t="n" s="2909">
        <v>20</v>
      </c>
      <c r="AJ328" t="n" s="2909">
        <v>10</v>
      </c>
      <c r="AP328" t="n" s="2909">
        <v>340000</v>
      </c>
      <c r="DB328" s="2909" t="str">
        <f>IF($A328="","",IF($A328&lt;&gt;21,"対象外",IF($AE328&amp;""="00000000","在職",IF($AE328&amp;""='DB_設定'!$C$4,"4/1喪失","その他喪失"))))</f>
        <v>在職</v>
      </c>
    </row>
    <row r="329">
      <c r="A329" t="n" s="2909">
        <v>31</v>
      </c>
      <c r="AA329" t="n" s="2909">
        <v>21</v>
      </c>
      <c r="AB329" t="inlineStr" s="2909">
        <is>
          <t>20210401</t>
        </is>
      </c>
      <c r="AD329" t="n" s="2909">
        <v>0</v>
      </c>
      <c r="AE329" t="inlineStr" s="2909">
        <is>
          <t>00000000</t>
        </is>
      </c>
      <c r="AH329" t="n" s="2909">
        <v>1</v>
      </c>
      <c r="AJ329" t="n" s="2909">
        <v>41</v>
      </c>
      <c r="AP329" t="n" s="2909">
        <v>200000</v>
      </c>
      <c r="DB329" s="2909" t="str">
        <f>IF($A329="","",IF($A329&lt;&gt;21,"対象外",IF($AE329&amp;""="00000000","在職",IF($AE329&amp;""='DB_設定'!$C$4,"4/1喪失","その他喪失"))))</f>
        <v>対象外</v>
      </c>
    </row>
    <row r="330">
      <c r="A330" t="n" s="2909">
        <v>31</v>
      </c>
      <c r="AA330" t="n" s="2909">
        <v>21</v>
      </c>
      <c r="AB330" t="inlineStr" s="2909">
        <is>
          <t>20221001</t>
        </is>
      </c>
      <c r="AD330" t="n" s="2909">
        <v>0</v>
      </c>
      <c r="AE330" t="inlineStr" s="2909">
        <is>
          <t>00000000</t>
        </is>
      </c>
      <c r="AH330" t="n" s="2909">
        <v>1</v>
      </c>
      <c r="AJ330" t="n" s="2909">
        <v>41</v>
      </c>
      <c r="AP330" t="n" s="2909">
        <v>134000</v>
      </c>
      <c r="DB330" s="2909" t="str">
        <f>IF($A330="","",IF($A330&lt;&gt;21,"対象外",IF($AE330&amp;""="00000000","在職",IF($AE330&amp;""='DB_設定'!$C$4,"4/1喪失","その他喪失"))))</f>
        <v>対象外</v>
      </c>
    </row>
    <row r="331">
      <c r="A331" t="n" s="2909">
        <v>31</v>
      </c>
      <c r="AA331" t="n" s="2909">
        <v>21</v>
      </c>
      <c r="AB331" t="inlineStr" s="2909">
        <is>
          <t>20221001</t>
        </is>
      </c>
      <c r="AD331" t="n" s="2909">
        <v>0</v>
      </c>
      <c r="AE331" t="inlineStr" s="2909">
        <is>
          <t>00000000</t>
        </is>
      </c>
      <c r="AH331" t="n" s="2909">
        <v>1</v>
      </c>
      <c r="AJ331" t="n" s="2909">
        <v>41</v>
      </c>
      <c r="AP331" t="n" s="2909">
        <v>220000</v>
      </c>
      <c r="DB331" s="2909" t="str">
        <f>IF($A331="","",IF($A331&lt;&gt;21,"対象外",IF($AE331&amp;""="00000000","在職",IF($AE331&amp;""='DB_設定'!$C$4,"4/1喪失","その他喪失"))))</f>
        <v>対象外</v>
      </c>
    </row>
    <row r="332">
      <c r="A332" t="n" s="2909">
        <v>31</v>
      </c>
      <c r="AA332" t="n" s="2909">
        <v>21</v>
      </c>
      <c r="AB332" t="inlineStr" s="2909">
        <is>
          <t>20221001</t>
        </is>
      </c>
      <c r="AD332" t="n" s="2909">
        <v>0</v>
      </c>
      <c r="AE332" t="inlineStr" s="2909">
        <is>
          <t>00000000</t>
        </is>
      </c>
      <c r="AH332" t="n" s="2909">
        <v>1</v>
      </c>
      <c r="AJ332" t="n" s="2909">
        <v>41</v>
      </c>
      <c r="AP332" t="n" s="2909">
        <v>200000</v>
      </c>
      <c r="DB332" s="2909" t="str">
        <f>IF($A332="","",IF($A332&lt;&gt;21,"対象外",IF($AE332&amp;""="00000000","在職",IF($AE332&amp;""='DB_設定'!$C$4,"4/1喪失","その他喪失"))))</f>
        <v>対象外</v>
      </c>
    </row>
    <row r="333">
      <c r="A333" t="n" s="2909">
        <v>31</v>
      </c>
      <c r="AA333" t="n" s="2909">
        <v>21</v>
      </c>
      <c r="AB333" t="inlineStr" s="2909">
        <is>
          <t>20221001</t>
        </is>
      </c>
      <c r="AD333" t="n" s="2909">
        <v>0</v>
      </c>
      <c r="AE333" t="inlineStr" s="2909">
        <is>
          <t>00000000</t>
        </is>
      </c>
      <c r="AH333" t="n" s="2909">
        <v>1</v>
      </c>
      <c r="AJ333" t="n" s="2909">
        <v>41</v>
      </c>
      <c r="AP333" t="n" s="2909">
        <v>142000</v>
      </c>
      <c r="DB333" s="2909" t="str">
        <f>IF($A333="","",IF($A333&lt;&gt;21,"対象外",IF($AE333&amp;""="00000000","在職",IF($AE333&amp;""='DB_設定'!$C$4,"4/1喪失","その他喪失"))))</f>
        <v>対象外</v>
      </c>
    </row>
    <row r="334">
      <c r="A334" t="n" s="2909">
        <v>21</v>
      </c>
      <c r="AA334" t="n" s="2909">
        <v>21</v>
      </c>
      <c r="AB334" t="inlineStr" s="2909">
        <is>
          <t>20020401</t>
        </is>
      </c>
      <c r="AD334" t="n" s="2909">
        <v>0</v>
      </c>
      <c r="AE334" t="inlineStr" s="2909">
        <is>
          <t>00000000</t>
        </is>
      </c>
      <c r="AH334" t="n" s="2909">
        <v>11</v>
      </c>
      <c r="AJ334" t="n" s="2909">
        <v>10</v>
      </c>
      <c r="AP334" t="n" s="2909">
        <v>280000</v>
      </c>
      <c r="DB334" s="2909" t="str">
        <f>IF($A334="","",IF($A334&lt;&gt;21,"対象外",IF($AE334&amp;""="00000000","在職",IF($AE334&amp;""='DB_設定'!$C$4,"4/1喪失","その他喪失"))))</f>
        <v>在職</v>
      </c>
    </row>
    <row r="335">
      <c r="A335" t="n" s="2909">
        <v>31</v>
      </c>
      <c r="AA335" t="n" s="2909">
        <v>21</v>
      </c>
      <c r="AB335" t="inlineStr" s="2909">
        <is>
          <t>20250401</t>
        </is>
      </c>
      <c r="AD335" t="n" s="2909">
        <v>0</v>
      </c>
      <c r="AE335" t="inlineStr" s="2909">
        <is>
          <t>00000000</t>
        </is>
      </c>
      <c r="AH335" t="n" s="2909">
        <v>20</v>
      </c>
      <c r="AJ335" t="n" s="2909">
        <v>41</v>
      </c>
      <c r="AP335" t="n" s="2909">
        <v>260000</v>
      </c>
      <c r="DB335" s="2909" t="str">
        <f>IF($A335="","",IF($A335&lt;&gt;21,"対象外",IF($AE335&amp;""="00000000","在職",IF($AE335&amp;""='DB_設定'!$C$4,"4/1喪失","その他喪失"))))</f>
        <v>対象外</v>
      </c>
    </row>
    <row r="336">
      <c r="A336" t="n" s="2909">
        <v>31</v>
      </c>
      <c r="AA336" t="n" s="2909">
        <v>21</v>
      </c>
      <c r="AB336" t="inlineStr" s="2909">
        <is>
          <t>20221001</t>
        </is>
      </c>
      <c r="AD336" t="n" s="2909">
        <v>0</v>
      </c>
      <c r="AE336" t="inlineStr" s="2909">
        <is>
          <t>00000000</t>
        </is>
      </c>
      <c r="AH336" t="n" s="2909">
        <v>1</v>
      </c>
      <c r="AJ336" t="n" s="2909">
        <v>41</v>
      </c>
      <c r="AP336" t="n" s="2909">
        <v>150000</v>
      </c>
      <c r="DB336" s="2909" t="str">
        <f>IF($A336="","",IF($A336&lt;&gt;21,"対象外",IF($AE336&amp;""="00000000","在職",IF($AE336&amp;""='DB_設定'!$C$4,"4/1喪失","その他喪失"))))</f>
        <v>対象外</v>
      </c>
    </row>
    <row r="337">
      <c r="A337" t="n" s="2909">
        <v>31</v>
      </c>
      <c r="AA337" t="n" s="2909">
        <v>21</v>
      </c>
      <c r="AB337" t="inlineStr" s="2909">
        <is>
          <t>20221001</t>
        </is>
      </c>
      <c r="AD337" t="n" s="2909">
        <v>0</v>
      </c>
      <c r="AE337" t="inlineStr" s="2909">
        <is>
          <t>00000000</t>
        </is>
      </c>
      <c r="AH337" t="n" s="2909">
        <v>1</v>
      </c>
      <c r="AJ337" t="n" s="2909">
        <v>41</v>
      </c>
      <c r="AP337" t="n" s="2909">
        <v>142000</v>
      </c>
      <c r="DB337" s="2909" t="str">
        <f>IF($A337="","",IF($A337&lt;&gt;21,"対象外",IF($AE337&amp;""="00000000","在職",IF($AE337&amp;""='DB_設定'!$C$4,"4/1喪失","その他喪失"))))</f>
        <v>対象外</v>
      </c>
    </row>
    <row r="338">
      <c r="A338" t="n" s="2909">
        <v>31</v>
      </c>
      <c r="AA338" t="n" s="2909">
        <v>21</v>
      </c>
      <c r="AB338" t="inlineStr" s="2909">
        <is>
          <t>20250401</t>
        </is>
      </c>
      <c r="AD338" t="n" s="2909">
        <v>0</v>
      </c>
      <c r="AE338" t="inlineStr" s="2909">
        <is>
          <t>00000000</t>
        </is>
      </c>
      <c r="AH338" t="n" s="2909">
        <v>1</v>
      </c>
      <c r="AJ338" t="n" s="2909">
        <v>41</v>
      </c>
      <c r="AP338" t="n" s="2909">
        <v>220000</v>
      </c>
      <c r="DB338" s="2909" t="str">
        <f>IF($A338="","",IF($A338&lt;&gt;21,"対象外",IF($AE338&amp;""="00000000","在職",IF($AE338&amp;""='DB_設定'!$C$4,"4/1喪失","その他喪失"))))</f>
        <v>対象外</v>
      </c>
    </row>
    <row r="339">
      <c r="A339" t="n" s="2909">
        <v>31</v>
      </c>
      <c r="AA339" t="n" s="2909">
        <v>21</v>
      </c>
      <c r="AB339" t="inlineStr" s="2909">
        <is>
          <t>20221001</t>
        </is>
      </c>
      <c r="AD339" t="n" s="2909">
        <v>0</v>
      </c>
      <c r="AE339" t="inlineStr" s="2909">
        <is>
          <t>00000000</t>
        </is>
      </c>
      <c r="AH339" t="n" s="2909">
        <v>11</v>
      </c>
      <c r="AJ339" t="n" s="2909">
        <v>41</v>
      </c>
      <c r="AP339" t="n" s="2909">
        <v>142000</v>
      </c>
      <c r="DB339" s="2909" t="str">
        <f>IF($A339="","",IF($A339&lt;&gt;21,"対象外",IF($AE339&amp;""="00000000","在職",IF($AE339&amp;""='DB_設定'!$C$4,"4/1喪失","その他喪失"))))</f>
        <v>対象外</v>
      </c>
    </row>
    <row r="340">
      <c r="A340" t="n" s="2909">
        <v>215</v>
      </c>
      <c r="AA340" t="n" s="2909">
        <v>21</v>
      </c>
      <c r="AB340" t="inlineStr" s="2909">
        <is>
          <t>20250401</t>
        </is>
      </c>
      <c r="AD340" t="n" s="2909">
        <v>0</v>
      </c>
      <c r="AE340" t="inlineStr" s="2909">
        <is>
          <t>00000000</t>
        </is>
      </c>
      <c r="AH340" t="n" s="2909">
        <v>20</v>
      </c>
      <c r="AJ340" t="n" s="2909">
        <v>10</v>
      </c>
      <c r="AP340" t="n" s="2909">
        <v>440000</v>
      </c>
      <c r="DB340" s="2909" t="str">
        <f>IF($A340="","",IF($A340&lt;&gt;21,"対象外",IF($AE340&amp;""="00000000","在職",IF($AE340&amp;""='DB_設定'!$C$4,"4/1喪失","その他喪失"))))</f>
        <v>対象外</v>
      </c>
    </row>
    <row r="341">
      <c r="A341" t="n" s="2909">
        <v>31</v>
      </c>
      <c r="AA341" t="n" s="2909">
        <v>21</v>
      </c>
      <c r="AB341" t="inlineStr" s="2909">
        <is>
          <t>20221001</t>
        </is>
      </c>
      <c r="AD341" t="n" s="2909">
        <v>0</v>
      </c>
      <c r="AE341" t="inlineStr" s="2909">
        <is>
          <t>00000000</t>
        </is>
      </c>
      <c r="AH341" t="n" s="2909">
        <v>1</v>
      </c>
      <c r="AJ341" t="n" s="2909">
        <v>41</v>
      </c>
      <c r="AP341" t="n" s="2909">
        <v>200000</v>
      </c>
      <c r="DB341" s="2909" t="str">
        <f>IF($A341="","",IF($A341&lt;&gt;21,"対象外",IF($AE341&amp;""="00000000","在職",IF($AE341&amp;""='DB_設定'!$C$4,"4/1喪失","その他喪失"))))</f>
        <v>対象外</v>
      </c>
    </row>
    <row r="342">
      <c r="A342" t="n" s="2909">
        <v>31</v>
      </c>
      <c r="AA342" t="n" s="2909">
        <v>21</v>
      </c>
      <c r="AB342" t="inlineStr" s="2909">
        <is>
          <t>20221001</t>
        </is>
      </c>
      <c r="AD342" t="n" s="2909">
        <v>0</v>
      </c>
      <c r="AE342" t="inlineStr" s="2909">
        <is>
          <t>00000000</t>
        </is>
      </c>
      <c r="AH342" t="n" s="2909">
        <v>1</v>
      </c>
      <c r="AJ342" t="n" s="2909">
        <v>41</v>
      </c>
      <c r="AP342" t="n" s="2909">
        <v>240000</v>
      </c>
      <c r="DB342" s="2909" t="str">
        <f>IF($A342="","",IF($A342&lt;&gt;21,"対象外",IF($AE342&amp;""="00000000","在職",IF($AE342&amp;""='DB_設定'!$C$4,"4/1喪失","その他喪失"))))</f>
        <v>対象外</v>
      </c>
    </row>
    <row r="343">
      <c r="A343" t="n" s="2909">
        <v>31</v>
      </c>
      <c r="AA343" t="n" s="2909">
        <v>21</v>
      </c>
      <c r="AB343" t="inlineStr" s="2909">
        <is>
          <t>20221001</t>
        </is>
      </c>
      <c r="AD343" t="n" s="2909">
        <v>0</v>
      </c>
      <c r="AE343" t="inlineStr" s="2909">
        <is>
          <t>00000000</t>
        </is>
      </c>
      <c r="AH343" t="n" s="2909">
        <v>1</v>
      </c>
      <c r="AJ343" t="n" s="2909">
        <v>41</v>
      </c>
      <c r="AP343" t="n" s="2909">
        <v>200000</v>
      </c>
      <c r="DB343" s="2909" t="str">
        <f>IF($A343="","",IF($A343&lt;&gt;21,"対象外",IF($AE343&amp;""="00000000","在職",IF($AE343&amp;""='DB_設定'!$C$4,"4/1喪失","その他喪失"))))</f>
        <v>対象外</v>
      </c>
    </row>
    <row r="344">
      <c r="A344" t="n" s="2909">
        <v>21</v>
      </c>
      <c r="AA344" t="n" s="2909">
        <v>21</v>
      </c>
      <c r="AB344" t="inlineStr" s="2909">
        <is>
          <t>19870401</t>
        </is>
      </c>
      <c r="AD344" t="n" s="2909">
        <v>0</v>
      </c>
      <c r="AE344" t="inlineStr" s="2909">
        <is>
          <t>00000000</t>
        </is>
      </c>
      <c r="AH344" t="n" s="2909">
        <v>1</v>
      </c>
      <c r="AJ344" t="n" s="2909">
        <v>10</v>
      </c>
      <c r="AP344" t="n" s="2909">
        <v>380000</v>
      </c>
      <c r="DB344" s="2909" t="str">
        <f>IF($A344="","",IF($A344&lt;&gt;21,"対象外",IF($AE344&amp;""="00000000","在職",IF($AE344&amp;""='DB_設定'!$C$4,"4/1喪失","その他喪失"))))</f>
        <v>在職</v>
      </c>
    </row>
    <row r="345">
      <c r="A345" t="n" s="2909">
        <v>31</v>
      </c>
      <c r="AA345" t="n" s="2909">
        <v>21</v>
      </c>
      <c r="AB345" t="inlineStr" s="2909">
        <is>
          <t>20210401</t>
        </is>
      </c>
      <c r="AD345" t="n" s="2909">
        <v>0</v>
      </c>
      <c r="AE345" t="inlineStr" s="2909">
        <is>
          <t>00000000</t>
        </is>
      </c>
      <c r="AH345" t="n" s="2909">
        <v>1</v>
      </c>
      <c r="AJ345" t="n" s="2909">
        <v>41</v>
      </c>
      <c r="AP345" t="n" s="2909">
        <v>180000</v>
      </c>
      <c r="DB345" s="2909" t="str">
        <f>IF($A345="","",IF($A345&lt;&gt;21,"対象外",IF($AE345&amp;""="00000000","在職",IF($AE345&amp;""='DB_設定'!$C$4,"4/1喪失","その他喪失"))))</f>
        <v>対象外</v>
      </c>
    </row>
    <row r="346">
      <c r="A346" t="n" s="2909">
        <v>31</v>
      </c>
      <c r="AA346" t="n" s="2909">
        <v>21</v>
      </c>
      <c r="AB346" t="inlineStr" s="2909">
        <is>
          <t>20221001</t>
        </is>
      </c>
      <c r="AD346" t="n" s="2909">
        <v>0</v>
      </c>
      <c r="AE346" t="inlineStr" s="2909">
        <is>
          <t>00000000</t>
        </is>
      </c>
      <c r="AH346" t="n" s="2909">
        <v>1</v>
      </c>
      <c r="AJ346" t="n" s="2909">
        <v>41</v>
      </c>
      <c r="AP346" t="n" s="2909">
        <v>200000</v>
      </c>
      <c r="DB346" s="2909" t="str">
        <f>IF($A346="","",IF($A346&lt;&gt;21,"対象外",IF($AE346&amp;""="00000000","在職",IF($AE346&amp;""='DB_設定'!$C$4,"4/1喪失","その他喪失"))))</f>
        <v>対象外</v>
      </c>
    </row>
    <row r="347">
      <c r="A347" t="n" s="2909">
        <v>21</v>
      </c>
      <c r="AA347" t="n" s="2909">
        <v>21</v>
      </c>
      <c r="AB347" t="inlineStr" s="2909">
        <is>
          <t>19850401</t>
        </is>
      </c>
      <c r="AD347" t="n" s="2909">
        <v>0</v>
      </c>
      <c r="AE347" t="inlineStr" s="2909">
        <is>
          <t>00000000</t>
        </is>
      </c>
      <c r="AH347" t="n" s="2909">
        <v>1</v>
      </c>
      <c r="AJ347" t="n" s="2909">
        <v>10</v>
      </c>
      <c r="AP347" t="n" s="2909">
        <v>340000</v>
      </c>
      <c r="DB347" s="2909" t="str">
        <f>IF($A347="","",IF($A347&lt;&gt;21,"対象外",IF($AE347&amp;""="00000000","在職",IF($AE347&amp;""='DB_設定'!$C$4,"4/1喪失","その他喪失"))))</f>
        <v>在職</v>
      </c>
    </row>
    <row r="348">
      <c r="A348" t="n" s="2909">
        <v>31</v>
      </c>
      <c r="AA348" t="n" s="2909">
        <v>21</v>
      </c>
      <c r="AB348" t="inlineStr" s="2909">
        <is>
          <t>20250701</t>
        </is>
      </c>
      <c r="AD348" t="n" s="2909">
        <v>0</v>
      </c>
      <c r="AE348" t="inlineStr" s="2909">
        <is>
          <t>00000000</t>
        </is>
      </c>
      <c r="AH348" t="n" s="2909">
        <v>1</v>
      </c>
      <c r="AJ348" t="n" s="2909">
        <v>41</v>
      </c>
      <c r="AP348" t="n" s="2909">
        <v>190000</v>
      </c>
      <c r="DB348" s="2909" t="str">
        <f>IF($A348="","",IF($A348&lt;&gt;21,"対象外",IF($AE348&amp;""="00000000","在職",IF($AE348&amp;""='DB_設定'!$C$4,"4/1喪失","その他喪失"))))</f>
        <v>対象外</v>
      </c>
    </row>
    <row r="349">
      <c r="A349" t="n" s="2909">
        <v>31</v>
      </c>
      <c r="AA349" t="n" s="2909">
        <v>21</v>
      </c>
      <c r="AB349" t="inlineStr" s="2909">
        <is>
          <t>20210401</t>
        </is>
      </c>
      <c r="AD349" t="n" s="2909">
        <v>0</v>
      </c>
      <c r="AE349" t="inlineStr" s="2909">
        <is>
          <t>00000000</t>
        </is>
      </c>
      <c r="AH349" t="n" s="2909">
        <v>1</v>
      </c>
      <c r="AJ349" t="n" s="2909">
        <v>10</v>
      </c>
      <c r="AP349" t="n" s="2909">
        <v>280000</v>
      </c>
      <c r="DB349" s="2909" t="str">
        <f>IF($A349="","",IF($A349&lt;&gt;21,"対象外",IF($AE349&amp;""="00000000","在職",IF($AE349&amp;""='DB_設定'!$C$4,"4/1喪失","その他喪失"))))</f>
        <v>対象外</v>
      </c>
    </row>
    <row r="350">
      <c r="A350" t="n" s="2909">
        <v>31</v>
      </c>
      <c r="AA350" t="n" s="2909">
        <v>21</v>
      </c>
      <c r="AB350" t="inlineStr" s="2909">
        <is>
          <t>20221001</t>
        </is>
      </c>
      <c r="AD350" t="n" s="2909">
        <v>0</v>
      </c>
      <c r="AE350" t="inlineStr" s="2909">
        <is>
          <t>00000000</t>
        </is>
      </c>
      <c r="AH350" t="n" s="2909">
        <v>1</v>
      </c>
      <c r="AJ350" t="n" s="2909">
        <v>41</v>
      </c>
      <c r="AP350" t="n" s="2909">
        <v>134000</v>
      </c>
      <c r="DB350" s="2909" t="str">
        <f>IF($A350="","",IF($A350&lt;&gt;21,"対象外",IF($AE350&amp;""="00000000","在職",IF($AE350&amp;""='DB_設定'!$C$4,"4/1喪失","その他喪失"))))</f>
        <v>対象外</v>
      </c>
    </row>
    <row r="351">
      <c r="A351" t="n" s="2909">
        <v>31</v>
      </c>
      <c r="AA351" t="n" s="2909">
        <v>21</v>
      </c>
      <c r="AB351" t="inlineStr" s="2909">
        <is>
          <t>20221001</t>
        </is>
      </c>
      <c r="AD351" t="n" s="2909">
        <v>0</v>
      </c>
      <c r="AE351" t="inlineStr" s="2909">
        <is>
          <t>00000000</t>
        </is>
      </c>
      <c r="AH351" t="n" s="2909">
        <v>1</v>
      </c>
      <c r="AJ351" t="n" s="2909">
        <v>41</v>
      </c>
      <c r="AP351" t="n" s="2909">
        <v>104000</v>
      </c>
      <c r="DB351" s="2909" t="str">
        <f>IF($A351="","",IF($A351&lt;&gt;21,"対象外",IF($AE351&amp;""="00000000","在職",IF($AE351&amp;""='DB_設定'!$C$4,"4/1喪失","その他喪失"))))</f>
        <v>対象外</v>
      </c>
    </row>
    <row r="352">
      <c r="A352" t="n" s="2909">
        <v>31</v>
      </c>
      <c r="AA352" t="n" s="2909">
        <v>21</v>
      </c>
      <c r="AB352" t="inlineStr" s="2909">
        <is>
          <t>20221001</t>
        </is>
      </c>
      <c r="AD352" t="n" s="2909">
        <v>0</v>
      </c>
      <c r="AE352" t="inlineStr" s="2909">
        <is>
          <t>00000000</t>
        </is>
      </c>
      <c r="AH352" t="n" s="2909">
        <v>1</v>
      </c>
      <c r="AJ352" t="n" s="2909">
        <v>41</v>
      </c>
      <c r="AP352" t="n" s="2909">
        <v>160000</v>
      </c>
      <c r="DB352" s="2909" t="str">
        <f>IF($A352="","",IF($A352&lt;&gt;21,"対象外",IF($AE352&amp;""="00000000","在職",IF($AE352&amp;""='DB_設定'!$C$4,"4/1喪失","その他喪失"))))</f>
        <v>対象外</v>
      </c>
    </row>
    <row r="353">
      <c r="A353" t="n" s="2909">
        <v>21</v>
      </c>
      <c r="AA353" t="n" s="2909">
        <v>21</v>
      </c>
      <c r="AB353" t="inlineStr" s="2909">
        <is>
          <t>20000401</t>
        </is>
      </c>
      <c r="AD353" t="n" s="2909">
        <v>0</v>
      </c>
      <c r="AE353" t="inlineStr" s="2909">
        <is>
          <t>00000000</t>
        </is>
      </c>
      <c r="AH353" t="n" s="2909">
        <v>11</v>
      </c>
      <c r="AJ353" t="n" s="2909">
        <v>10</v>
      </c>
      <c r="AP353" t="n" s="2909">
        <v>280000</v>
      </c>
      <c r="DB353" s="2909" t="str">
        <f>IF($A353="","",IF($A353&lt;&gt;21,"対象外",IF($AE353&amp;""="00000000","在職",IF($AE353&amp;""='DB_設定'!$C$4,"4/1喪失","その他喪失"))))</f>
        <v>在職</v>
      </c>
    </row>
    <row r="354">
      <c r="A354" t="n" s="2909">
        <v>21</v>
      </c>
      <c r="AA354" t="n" s="2909">
        <v>21</v>
      </c>
      <c r="AB354" t="inlineStr" s="2909">
        <is>
          <t>19850401</t>
        </is>
      </c>
      <c r="AD354" t="n" s="2909">
        <v>0</v>
      </c>
      <c r="AE354" t="inlineStr" s="2909">
        <is>
          <t>00000000</t>
        </is>
      </c>
      <c r="AH354" t="n" s="2909">
        <v>20</v>
      </c>
      <c r="AJ354" t="n" s="2909">
        <v>10</v>
      </c>
      <c r="AP354" t="n" s="2909">
        <v>360000</v>
      </c>
      <c r="DB354" s="2909" t="str">
        <f>IF($A354="","",IF($A354&lt;&gt;21,"対象外",IF($AE354&amp;""="00000000","在職",IF($AE354&amp;""='DB_設定'!$C$4,"4/1喪失","その他喪失"))))</f>
        <v>在職</v>
      </c>
    </row>
    <row r="355">
      <c r="A355" t="n" s="2909">
        <v>21</v>
      </c>
      <c r="AA355" t="n" s="2909">
        <v>21</v>
      </c>
      <c r="AB355" t="inlineStr" s="2909">
        <is>
          <t>19870501</t>
        </is>
      </c>
      <c r="AD355" t="n" s="2909">
        <v>0</v>
      </c>
      <c r="AE355" t="inlineStr" s="2909">
        <is>
          <t>00000000</t>
        </is>
      </c>
      <c r="AH355" t="n" s="2909">
        <v>20</v>
      </c>
      <c r="AJ355" t="n" s="2909">
        <v>10</v>
      </c>
      <c r="AP355" t="n" s="2909">
        <v>340000</v>
      </c>
      <c r="DB355" s="2909" t="str">
        <f>IF($A355="","",IF($A355&lt;&gt;21,"対象外",IF($AE355&amp;""="00000000","在職",IF($AE355&amp;""='DB_設定'!$C$4,"4/1喪失","その他喪失"))))</f>
        <v>在職</v>
      </c>
    </row>
    <row r="356">
      <c r="A356" t="n" s="2909">
        <v>31</v>
      </c>
      <c r="AA356" t="n" s="2909">
        <v>21</v>
      </c>
      <c r="AB356" t="inlineStr" s="2909">
        <is>
          <t>20221001</t>
        </is>
      </c>
      <c r="AD356" t="n" s="2909">
        <v>0</v>
      </c>
      <c r="AE356" t="inlineStr" s="2909">
        <is>
          <t>00000000</t>
        </is>
      </c>
      <c r="AH356" t="n" s="2909">
        <v>1</v>
      </c>
      <c r="AJ356" t="n" s="2909">
        <v>41</v>
      </c>
      <c r="AP356" t="n" s="2909">
        <v>200000</v>
      </c>
      <c r="DB356" s="2909" t="str">
        <f>IF($A356="","",IF($A356&lt;&gt;21,"対象外",IF($AE356&amp;""="00000000","在職",IF($AE356&amp;""='DB_設定'!$C$4,"4/1喪失","その他喪失"))))</f>
        <v>対象外</v>
      </c>
    </row>
    <row r="357">
      <c r="A357" t="n" s="2909">
        <v>31</v>
      </c>
      <c r="AA357" t="n" s="2909">
        <v>21</v>
      </c>
      <c r="AB357" t="inlineStr" s="2909">
        <is>
          <t>20221001</t>
        </is>
      </c>
      <c r="AD357" t="n" s="2909">
        <v>0</v>
      </c>
      <c r="AE357" t="inlineStr" s="2909">
        <is>
          <t>00000000</t>
        </is>
      </c>
      <c r="AH357" t="n" s="2909">
        <v>1</v>
      </c>
      <c r="AJ357" t="n" s="2909">
        <v>41</v>
      </c>
      <c r="AP357" t="n" s="2909">
        <v>220000</v>
      </c>
      <c r="DB357" s="2909" t="str">
        <f>IF($A357="","",IF($A357&lt;&gt;21,"対象外",IF($AE357&amp;""="00000000","在職",IF($AE357&amp;""='DB_設定'!$C$4,"4/1喪失","その他喪失"))))</f>
        <v>対象外</v>
      </c>
    </row>
    <row r="358">
      <c r="A358" t="n" s="2909">
        <v>31</v>
      </c>
      <c r="AA358" t="n" s="2909">
        <v>21</v>
      </c>
      <c r="AB358" t="inlineStr" s="2909">
        <is>
          <t>20221001</t>
        </is>
      </c>
      <c r="AD358" t="n" s="2909">
        <v>0</v>
      </c>
      <c r="AE358" t="inlineStr" s="2909">
        <is>
          <t>00000000</t>
        </is>
      </c>
      <c r="AH358" t="n" s="2909">
        <v>1</v>
      </c>
      <c r="AJ358" t="n" s="2909">
        <v>41</v>
      </c>
      <c r="AP358" t="n" s="2909">
        <v>88000</v>
      </c>
      <c r="DB358" s="2909" t="str">
        <f>IF($A358="","",IF($A358&lt;&gt;21,"対象外",IF($AE358&amp;""="00000000","在職",IF($AE358&amp;""='DB_設定'!$C$4,"4/1喪失","その他喪失"))))</f>
        <v>対象外</v>
      </c>
    </row>
    <row r="359">
      <c r="A359" t="n" s="2909">
        <v>31</v>
      </c>
      <c r="AA359" t="n" s="2909">
        <v>21</v>
      </c>
      <c r="AB359" t="inlineStr" s="2909">
        <is>
          <t>20221001</t>
        </is>
      </c>
      <c r="AD359" t="n" s="2909">
        <v>0</v>
      </c>
      <c r="AE359" t="inlineStr" s="2909">
        <is>
          <t>00000000</t>
        </is>
      </c>
      <c r="AH359" t="n" s="2909">
        <v>1</v>
      </c>
      <c r="AJ359" t="n" s="2909">
        <v>41</v>
      </c>
      <c r="AP359" t="n" s="2909">
        <v>190000</v>
      </c>
      <c r="DB359" s="2909" t="str">
        <f>IF($A359="","",IF($A359&lt;&gt;21,"対象外",IF($AE359&amp;""="00000000","在職",IF($AE359&amp;""='DB_設定'!$C$4,"4/1喪失","その他喪失"))))</f>
        <v>対象外</v>
      </c>
    </row>
    <row r="360">
      <c r="A360" t="n" s="2909">
        <v>31</v>
      </c>
      <c r="AA360" t="n" s="2909">
        <v>21</v>
      </c>
      <c r="AB360" t="inlineStr" s="2909">
        <is>
          <t>20221001</t>
        </is>
      </c>
      <c r="AD360" t="n" s="2909">
        <v>0</v>
      </c>
      <c r="AE360" t="inlineStr" s="2909">
        <is>
          <t>00000000</t>
        </is>
      </c>
      <c r="AH360" t="n" s="2909">
        <v>1</v>
      </c>
      <c r="AJ360" t="n" s="2909">
        <v>41</v>
      </c>
      <c r="AP360" t="n" s="2909">
        <v>200000</v>
      </c>
      <c r="DB360" s="2909" t="str">
        <f>IF($A360="","",IF($A360&lt;&gt;21,"対象外",IF($AE360&amp;""="00000000","在職",IF($AE360&amp;""='DB_設定'!$C$4,"4/1喪失","その他喪失"))))</f>
        <v>対象外</v>
      </c>
    </row>
    <row r="361">
      <c r="A361" t="n" s="2909">
        <v>31</v>
      </c>
      <c r="AA361" t="n" s="2909">
        <v>21</v>
      </c>
      <c r="AB361" t="inlineStr" s="2909">
        <is>
          <t>20221001</t>
        </is>
      </c>
      <c r="AD361" t="n" s="2909">
        <v>0</v>
      </c>
      <c r="AE361" t="inlineStr" s="2909">
        <is>
          <t>00000000</t>
        </is>
      </c>
      <c r="AH361" t="n" s="2909">
        <v>1</v>
      </c>
      <c r="AJ361" t="n" s="2909">
        <v>41</v>
      </c>
      <c r="AP361" t="n" s="2909">
        <v>142000</v>
      </c>
      <c r="DB361" s="2909" t="str">
        <f>IF($A361="","",IF($A361&lt;&gt;21,"対象外",IF($AE361&amp;""="00000000","在職",IF($AE361&amp;""='DB_設定'!$C$4,"4/1喪失","その他喪失"))))</f>
        <v>対象外</v>
      </c>
    </row>
    <row r="362">
      <c r="A362" t="n" s="2909">
        <v>31</v>
      </c>
      <c r="AA362" t="n" s="2909">
        <v>21</v>
      </c>
      <c r="AB362" t="inlineStr" s="2909">
        <is>
          <t>20250401</t>
        </is>
      </c>
      <c r="AD362" t="n" s="2909">
        <v>0</v>
      </c>
      <c r="AE362" t="inlineStr" s="2909">
        <is>
          <t>00000000</t>
        </is>
      </c>
      <c r="AH362" t="n" s="2909">
        <v>1</v>
      </c>
      <c r="AJ362" t="n" s="2909">
        <v>41</v>
      </c>
      <c r="AP362" t="n" s="2909">
        <v>220000</v>
      </c>
      <c r="DB362" s="2909" t="str">
        <f>IF($A362="","",IF($A362&lt;&gt;21,"対象外",IF($AE362&amp;""="00000000","在職",IF($AE362&amp;""='DB_設定'!$C$4,"4/1喪失","その他喪失"))))</f>
        <v>対象外</v>
      </c>
    </row>
    <row r="363">
      <c r="A363" t="n" s="2909">
        <v>21</v>
      </c>
      <c r="AA363" t="n" s="2909">
        <v>21</v>
      </c>
      <c r="AB363" t="inlineStr" s="2909">
        <is>
          <t>19880401</t>
        </is>
      </c>
      <c r="AD363" t="n" s="2909">
        <v>0</v>
      </c>
      <c r="AE363" t="inlineStr" s="2909">
        <is>
          <t>00000000</t>
        </is>
      </c>
      <c r="AH363" t="n" s="2909">
        <v>1</v>
      </c>
      <c r="AJ363" t="n" s="2909">
        <v>10</v>
      </c>
      <c r="AP363" t="n" s="2909">
        <v>340000</v>
      </c>
      <c r="DB363" s="2909" t="str">
        <f>IF($A363="","",IF($A363&lt;&gt;21,"対象外",IF($AE363&amp;""="00000000","在職",IF($AE363&amp;""='DB_設定'!$C$4,"4/1喪失","その他喪失"))))</f>
        <v>在職</v>
      </c>
    </row>
    <row r="364">
      <c r="A364" t="n" s="2909">
        <v>21</v>
      </c>
      <c r="AA364" t="n" s="2909">
        <v>21</v>
      </c>
      <c r="AB364" t="inlineStr" s="2909">
        <is>
          <t>19910401</t>
        </is>
      </c>
      <c r="AD364" t="n" s="2909">
        <v>0</v>
      </c>
      <c r="AE364" t="inlineStr" s="2909">
        <is>
          <t>00000000</t>
        </is>
      </c>
      <c r="AH364" t="n" s="2909">
        <v>47</v>
      </c>
      <c r="AJ364" t="n" s="2909">
        <v>74</v>
      </c>
      <c r="AP364" t="n" s="2909">
        <v>360000</v>
      </c>
      <c r="DB364" s="2909" t="str">
        <f>IF($A364="","",IF($A364&lt;&gt;21,"対象外",IF($AE364&amp;""="00000000","在職",IF($AE364&amp;""='DB_設定'!$C$4,"4/1喪失","その他喪失"))))</f>
        <v>在職</v>
      </c>
    </row>
    <row r="365">
      <c r="A365" t="n" s="2909">
        <v>31</v>
      </c>
      <c r="AA365" t="n" s="2909">
        <v>21</v>
      </c>
      <c r="AB365" t="inlineStr" s="2909">
        <is>
          <t>20221001</t>
        </is>
      </c>
      <c r="AD365" t="n" s="2909">
        <v>0</v>
      </c>
      <c r="AE365" t="inlineStr" s="2909">
        <is>
          <t>00000000</t>
        </is>
      </c>
      <c r="AH365" t="n" s="2909">
        <v>20</v>
      </c>
      <c r="AJ365" t="n" s="2909">
        <v>41</v>
      </c>
      <c r="AP365" t="n" s="2909">
        <v>300000</v>
      </c>
      <c r="DB365" s="2909" t="str">
        <f>IF($A365="","",IF($A365&lt;&gt;21,"対象外",IF($AE365&amp;""="00000000","在職",IF($AE365&amp;""='DB_設定'!$C$4,"4/1喪失","その他喪失"))))</f>
        <v>対象外</v>
      </c>
    </row>
    <row r="366">
      <c r="A366" t="n" s="2909">
        <v>31</v>
      </c>
      <c r="AA366" t="n" s="2909">
        <v>21</v>
      </c>
      <c r="AB366" t="inlineStr" s="2909">
        <is>
          <t>20221001</t>
        </is>
      </c>
      <c r="AD366" t="n" s="2909">
        <v>0</v>
      </c>
      <c r="AE366" t="inlineStr" s="2909">
        <is>
          <t>00000000</t>
        </is>
      </c>
      <c r="AH366" t="n" s="2909">
        <v>11</v>
      </c>
      <c r="AJ366" t="n" s="2909">
        <v>41</v>
      </c>
      <c r="AP366" t="n" s="2909">
        <v>200000</v>
      </c>
      <c r="DB366" s="2909" t="str">
        <f>IF($A366="","",IF($A366&lt;&gt;21,"対象外",IF($AE366&amp;""="00000000","在職",IF($AE366&amp;""='DB_設定'!$C$4,"4/1喪失","その他喪失"))))</f>
        <v>対象外</v>
      </c>
    </row>
    <row r="367">
      <c r="A367" t="n" s="2909">
        <v>21</v>
      </c>
      <c r="AA367" t="n" s="2909">
        <v>21</v>
      </c>
      <c r="AB367" t="inlineStr" s="2909">
        <is>
          <t>20040401</t>
        </is>
      </c>
      <c r="AD367" t="n" s="2909">
        <v>0</v>
      </c>
      <c r="AE367" t="inlineStr" s="2909">
        <is>
          <t>00000000</t>
        </is>
      </c>
      <c r="AH367" t="n" s="2909">
        <v>11</v>
      </c>
      <c r="AJ367" t="n" s="2909">
        <v>10</v>
      </c>
      <c r="AP367" t="n" s="2909">
        <v>280000</v>
      </c>
      <c r="DB367" s="2909" t="str">
        <f>IF($A367="","",IF($A367&lt;&gt;21,"対象外",IF($AE367&amp;""="00000000","在職",IF($AE367&amp;""='DB_設定'!$C$4,"4/1喪失","その他喪失"))))</f>
        <v>在職</v>
      </c>
    </row>
    <row r="368">
      <c r="A368" t="n" s="2909">
        <v>21</v>
      </c>
      <c r="AA368" t="n" s="2909">
        <v>21</v>
      </c>
      <c r="AB368" t="inlineStr" s="2909">
        <is>
          <t>19870601</t>
        </is>
      </c>
      <c r="AD368" t="n" s="2909">
        <v>0</v>
      </c>
      <c r="AE368" t="inlineStr" s="2909">
        <is>
          <t>00000000</t>
        </is>
      </c>
      <c r="AH368" t="n" s="2909">
        <v>20</v>
      </c>
      <c r="AJ368" t="n" s="2909">
        <v>10</v>
      </c>
      <c r="AP368" t="n" s="2909">
        <v>340000</v>
      </c>
      <c r="DB368" s="2909" t="str">
        <f>IF($A368="","",IF($A368&lt;&gt;21,"対象外",IF($AE368&amp;""="00000000","在職",IF($AE368&amp;""='DB_設定'!$C$4,"4/1喪失","その他喪失"))))</f>
        <v>在職</v>
      </c>
    </row>
    <row r="369">
      <c r="A369" t="n" s="2909">
        <v>31</v>
      </c>
      <c r="AA369" t="n" s="2909">
        <v>21</v>
      </c>
      <c r="AB369" t="inlineStr" s="2909">
        <is>
          <t>20221001</t>
        </is>
      </c>
      <c r="AD369" t="n" s="2909">
        <v>0</v>
      </c>
      <c r="AE369" t="inlineStr" s="2909">
        <is>
          <t>00000000</t>
        </is>
      </c>
      <c r="AH369" t="n" s="2909">
        <v>1</v>
      </c>
      <c r="AJ369" t="n" s="2909">
        <v>41</v>
      </c>
      <c r="AP369" t="n" s="2909">
        <v>134000</v>
      </c>
      <c r="DB369" s="2909" t="str">
        <f>IF($A369="","",IF($A369&lt;&gt;21,"対象外",IF($AE369&amp;""="00000000","在職",IF($AE369&amp;""='DB_設定'!$C$4,"4/1喪失","その他喪失"))))</f>
        <v>対象外</v>
      </c>
    </row>
    <row r="370">
      <c r="A370" t="n" s="2909">
        <v>31</v>
      </c>
      <c r="AA370" t="n" s="2909">
        <v>21</v>
      </c>
      <c r="AB370" t="inlineStr" s="2909">
        <is>
          <t>20250411</t>
        </is>
      </c>
      <c r="AD370" t="n" s="2909">
        <v>0</v>
      </c>
      <c r="AE370" t="inlineStr" s="2909">
        <is>
          <t>00000000</t>
        </is>
      </c>
      <c r="AH370" t="n" s="2909">
        <v>11</v>
      </c>
      <c r="AJ370" t="n" s="2909">
        <v>41</v>
      </c>
      <c r="AP370" t="n" s="2909">
        <v>78000</v>
      </c>
      <c r="DB370" s="2909" t="str">
        <f>IF($A370="","",IF($A370&lt;&gt;21,"対象外",IF($AE370&amp;""="00000000","在職",IF($AE370&amp;""='DB_設定'!$C$4,"4/1喪失","その他喪失"))))</f>
        <v>対象外</v>
      </c>
    </row>
    <row r="371">
      <c r="A371" t="n" s="2909">
        <v>31</v>
      </c>
      <c r="AA371" t="n" s="2909">
        <v>21</v>
      </c>
      <c r="AB371" t="inlineStr" s="2909">
        <is>
          <t>20221001</t>
        </is>
      </c>
      <c r="AD371" t="n" s="2909">
        <v>0</v>
      </c>
      <c r="AE371" t="inlineStr" s="2909">
        <is>
          <t>00000000</t>
        </is>
      </c>
      <c r="AH371" t="n" s="2909">
        <v>1</v>
      </c>
      <c r="AJ371" t="n" s="2909">
        <v>41</v>
      </c>
      <c r="AP371" t="n" s="2909">
        <v>220000</v>
      </c>
      <c r="DB371" s="2909" t="str">
        <f>IF($A371="","",IF($A371&lt;&gt;21,"対象外",IF($AE371&amp;""="00000000","在職",IF($AE371&amp;""='DB_設定'!$C$4,"4/1喪失","その他喪失"))))</f>
        <v>対象外</v>
      </c>
    </row>
    <row r="372">
      <c r="A372" t="n" s="2909">
        <v>21</v>
      </c>
      <c r="AA372" t="n" s="2909">
        <v>21</v>
      </c>
      <c r="AB372" t="inlineStr" s="2909">
        <is>
          <t>20050425</t>
        </is>
      </c>
      <c r="AD372" t="n" s="2909">
        <v>0</v>
      </c>
      <c r="AE372" t="inlineStr" s="2909">
        <is>
          <t>00000000</t>
        </is>
      </c>
      <c r="AH372" t="n" s="2909">
        <v>11</v>
      </c>
      <c r="AJ372" t="n" s="2909">
        <v>10</v>
      </c>
      <c r="AP372" t="n" s="2909">
        <v>360000</v>
      </c>
      <c r="DB372" s="2909" t="str">
        <f>IF($A372="","",IF($A372&lt;&gt;21,"対象外",IF($AE372&amp;""="00000000","在職",IF($AE372&amp;""='DB_設定'!$C$4,"4/1喪失","その他喪失"))))</f>
        <v>在職</v>
      </c>
    </row>
    <row r="373">
      <c r="A373" t="n" s="2909">
        <v>31</v>
      </c>
      <c r="AA373" t="n" s="2909">
        <v>21</v>
      </c>
      <c r="AB373" t="inlineStr" s="2909">
        <is>
          <t>20221001</t>
        </is>
      </c>
      <c r="AD373" t="n" s="2909">
        <v>0</v>
      </c>
      <c r="AE373" t="inlineStr" s="2909">
        <is>
          <t>00000000</t>
        </is>
      </c>
      <c r="AH373" t="n" s="2909">
        <v>1</v>
      </c>
      <c r="AJ373" t="n" s="2909">
        <v>41</v>
      </c>
      <c r="AP373" t="n" s="2909">
        <v>200000</v>
      </c>
      <c r="DB373" s="2909" t="str">
        <f>IF($A373="","",IF($A373&lt;&gt;21,"対象外",IF($AE373&amp;""="00000000","在職",IF($AE373&amp;""='DB_設定'!$C$4,"4/1喪失","その他喪失"))))</f>
        <v>対象外</v>
      </c>
    </row>
    <row r="374">
      <c r="A374" t="n" s="2909">
        <v>31</v>
      </c>
      <c r="AA374" t="n" s="2909">
        <v>21</v>
      </c>
      <c r="AB374" t="inlineStr" s="2909">
        <is>
          <t>20221001</t>
        </is>
      </c>
      <c r="AD374" t="n" s="2909">
        <v>0</v>
      </c>
      <c r="AE374" t="inlineStr" s="2909">
        <is>
          <t>00000000</t>
        </is>
      </c>
      <c r="AH374" t="n" s="2909">
        <v>1</v>
      </c>
      <c r="AJ374" t="n" s="2909">
        <v>41</v>
      </c>
      <c r="AP374" t="n" s="2909">
        <v>220000</v>
      </c>
      <c r="DB374" s="2909" t="str">
        <f>IF($A374="","",IF($A374&lt;&gt;21,"対象外",IF($AE374&amp;""="00000000","在職",IF($AE374&amp;""='DB_設定'!$C$4,"4/1喪失","その他喪失"))))</f>
        <v>対象外</v>
      </c>
    </row>
    <row r="375">
      <c r="A375" t="n" s="2909">
        <v>31</v>
      </c>
      <c r="AA375" t="n" s="2909">
        <v>21</v>
      </c>
      <c r="AB375" t="inlineStr" s="2909">
        <is>
          <t>20221001</t>
        </is>
      </c>
      <c r="AD375" t="n" s="2909">
        <v>0</v>
      </c>
      <c r="AE375" t="inlineStr" s="2909">
        <is>
          <t>00000000</t>
        </is>
      </c>
      <c r="AH375" t="n" s="2909">
        <v>1</v>
      </c>
      <c r="AJ375" t="n" s="2909">
        <v>41</v>
      </c>
      <c r="AP375" t="n" s="2909">
        <v>200000</v>
      </c>
      <c r="DB375" s="2909" t="str">
        <f>IF($A375="","",IF($A375&lt;&gt;21,"対象外",IF($AE375&amp;""="00000000","在職",IF($AE375&amp;""='DB_設定'!$C$4,"4/1喪失","その他喪失"))))</f>
        <v>対象外</v>
      </c>
    </row>
    <row r="376">
      <c r="A376" t="n" s="2909">
        <v>21</v>
      </c>
      <c r="AA376" t="n" s="2909">
        <v>21</v>
      </c>
      <c r="AB376" t="inlineStr" s="2909">
        <is>
          <t>19880401</t>
        </is>
      </c>
      <c r="AD376" t="n" s="2909">
        <v>0</v>
      </c>
      <c r="AE376" t="inlineStr" s="2909">
        <is>
          <t>00000000</t>
        </is>
      </c>
      <c r="AH376" t="n" s="2909">
        <v>1</v>
      </c>
      <c r="AJ376" t="n" s="2909">
        <v>10</v>
      </c>
      <c r="AP376" t="n" s="2909">
        <v>360000</v>
      </c>
      <c r="DB376" s="2909" t="str">
        <f>IF($A376="","",IF($A376&lt;&gt;21,"対象外",IF($AE376&amp;""="00000000","在職",IF($AE376&amp;""='DB_設定'!$C$4,"4/1喪失","その他喪失"))))</f>
        <v>在職</v>
      </c>
    </row>
    <row r="377">
      <c r="A377" t="n" s="2909">
        <v>31</v>
      </c>
      <c r="AA377" t="n" s="2909">
        <v>21</v>
      </c>
      <c r="AB377" t="inlineStr" s="2909">
        <is>
          <t>20240401</t>
        </is>
      </c>
      <c r="AD377" t="n" s="2909">
        <v>0</v>
      </c>
      <c r="AE377" t="inlineStr" s="2909">
        <is>
          <t>00000000</t>
        </is>
      </c>
      <c r="AH377" t="n" s="2909">
        <v>1</v>
      </c>
      <c r="AJ377" t="n" s="2909">
        <v>41</v>
      </c>
      <c r="AP377" t="n" s="2909">
        <v>126000</v>
      </c>
      <c r="DB377" s="2909" t="str">
        <f>IF($A377="","",IF($A377&lt;&gt;21,"対象外",IF($AE377&amp;""="00000000","在職",IF($AE377&amp;""='DB_設定'!$C$4,"4/1喪失","その他喪失"))))</f>
        <v>対象外</v>
      </c>
    </row>
    <row r="378">
      <c r="A378" t="n" s="2909">
        <v>31</v>
      </c>
      <c r="AA378" t="n" s="2909">
        <v>21</v>
      </c>
      <c r="AB378" t="inlineStr" s="2909">
        <is>
          <t>20221001</t>
        </is>
      </c>
      <c r="AD378" t="n" s="2909">
        <v>0</v>
      </c>
      <c r="AE378" t="inlineStr" s="2909">
        <is>
          <t>00000000</t>
        </is>
      </c>
      <c r="AH378" t="n" s="2909">
        <v>1</v>
      </c>
      <c r="AJ378" t="n" s="2909">
        <v>41</v>
      </c>
      <c r="AP378" t="n" s="2909">
        <v>190000</v>
      </c>
      <c r="DB378" s="2909" t="str">
        <f>IF($A378="","",IF($A378&lt;&gt;21,"対象外",IF($AE378&amp;""="00000000","在職",IF($AE378&amp;""='DB_設定'!$C$4,"4/1喪失","その他喪失"))))</f>
        <v>対象外</v>
      </c>
    </row>
    <row r="379">
      <c r="A379" t="n" s="2909">
        <v>31</v>
      </c>
      <c r="AA379" t="n" s="2909">
        <v>21</v>
      </c>
      <c r="AB379" t="inlineStr" s="2909">
        <is>
          <t>20221001</t>
        </is>
      </c>
      <c r="AD379" t="n" s="2909">
        <v>0</v>
      </c>
      <c r="AE379" t="inlineStr" s="2909">
        <is>
          <t>00000000</t>
        </is>
      </c>
      <c r="AH379" t="n" s="2909">
        <v>1</v>
      </c>
      <c r="AJ379" t="n" s="2909">
        <v>41</v>
      </c>
      <c r="AP379" t="n" s="2909">
        <v>142000</v>
      </c>
      <c r="DB379" s="2909" t="str">
        <f>IF($A379="","",IF($A379&lt;&gt;21,"対象外",IF($AE379&amp;""="00000000","在職",IF($AE379&amp;""='DB_設定'!$C$4,"4/1喪失","その他喪失"))))</f>
        <v>対象外</v>
      </c>
    </row>
    <row r="380">
      <c r="A380" t="n" s="2909">
        <v>31</v>
      </c>
      <c r="AA380" t="n" s="2909">
        <v>21</v>
      </c>
      <c r="AB380" t="inlineStr" s="2909">
        <is>
          <t>20250401</t>
        </is>
      </c>
      <c r="AD380" t="n" s="2909">
        <v>0</v>
      </c>
      <c r="AE380" t="inlineStr" s="2909">
        <is>
          <t>00000000</t>
        </is>
      </c>
      <c r="AH380" t="n" s="2909">
        <v>11</v>
      </c>
      <c r="AJ380" t="n" s="2909">
        <v>41</v>
      </c>
      <c r="AP380" t="n" s="2909">
        <v>240000</v>
      </c>
      <c r="DB380" s="2909" t="str">
        <f>IF($A380="","",IF($A380&lt;&gt;21,"対象外",IF($AE380&amp;""="00000000","在職",IF($AE380&amp;""='DB_設定'!$C$4,"4/1喪失","その他喪失"))))</f>
        <v>対象外</v>
      </c>
    </row>
    <row r="381">
      <c r="A381" t="n" s="2909">
        <v>31</v>
      </c>
      <c r="AA381" t="n" s="2909">
        <v>21</v>
      </c>
      <c r="AB381" t="inlineStr" s="2909">
        <is>
          <t>20250901</t>
        </is>
      </c>
      <c r="AD381" t="n" s="2909">
        <v>0</v>
      </c>
      <c r="AE381" t="inlineStr" s="2909">
        <is>
          <t>00000000</t>
        </is>
      </c>
      <c r="AH381" t="n" s="2909">
        <v>1</v>
      </c>
      <c r="AJ381" t="n" s="2909">
        <v>41</v>
      </c>
      <c r="AP381" t="n" s="2909">
        <v>170000</v>
      </c>
      <c r="DB381" s="2909" t="str">
        <f>IF($A381="","",IF($A381&lt;&gt;21,"対象外",IF($AE381&amp;""="00000000","在職",IF($AE381&amp;""='DB_設定'!$C$4,"4/1喪失","その他喪失"))))</f>
        <v>対象外</v>
      </c>
    </row>
    <row r="382">
      <c r="A382" t="n" s="2909">
        <v>31</v>
      </c>
      <c r="AA382" t="n" s="2909">
        <v>21</v>
      </c>
      <c r="AB382" t="inlineStr" s="2909">
        <is>
          <t>20221001</t>
        </is>
      </c>
      <c r="AD382" t="n" s="2909">
        <v>0</v>
      </c>
      <c r="AE382" t="inlineStr" s="2909">
        <is>
          <t>00000000</t>
        </is>
      </c>
      <c r="AH382" t="n" s="2909">
        <v>1</v>
      </c>
      <c r="AJ382" t="n" s="2909">
        <v>41</v>
      </c>
      <c r="AP382" t="n" s="2909">
        <v>260000</v>
      </c>
      <c r="DB382" s="2909" t="str">
        <f>IF($A382="","",IF($A382&lt;&gt;21,"対象外",IF($AE382&amp;""="00000000","在職",IF($AE382&amp;""='DB_設定'!$C$4,"4/1喪失","その他喪失"))))</f>
        <v>対象外</v>
      </c>
    </row>
    <row r="383">
      <c r="A383" t="n" s="2909">
        <v>31</v>
      </c>
      <c r="AA383" t="n" s="2909">
        <v>21</v>
      </c>
      <c r="AB383" t="inlineStr" s="2909">
        <is>
          <t>20221001</t>
        </is>
      </c>
      <c r="AD383" t="n" s="2909">
        <v>0</v>
      </c>
      <c r="AE383" t="inlineStr" s="2909">
        <is>
          <t>00000000</t>
        </is>
      </c>
      <c r="AH383" t="n" s="2909">
        <v>1</v>
      </c>
      <c r="AJ383" t="n" s="2909">
        <v>41</v>
      </c>
      <c r="AP383" t="n" s="2909">
        <v>160000</v>
      </c>
      <c r="DB383" s="2909" t="str">
        <f>IF($A383="","",IF($A383&lt;&gt;21,"対象外",IF($AE383&amp;""="00000000","在職",IF($AE383&amp;""='DB_設定'!$C$4,"4/1喪失","その他喪失"))))</f>
        <v>対象外</v>
      </c>
    </row>
    <row r="384">
      <c r="A384" t="n" s="2909">
        <v>31</v>
      </c>
      <c r="AA384" t="n" s="2909">
        <v>21</v>
      </c>
      <c r="AB384" t="inlineStr" s="2909">
        <is>
          <t>20221001</t>
        </is>
      </c>
      <c r="AD384" t="n" s="2909">
        <v>0</v>
      </c>
      <c r="AE384" t="inlineStr" s="2909">
        <is>
          <t>00000000</t>
        </is>
      </c>
      <c r="AH384" t="n" s="2909">
        <v>1</v>
      </c>
      <c r="AJ384" t="n" s="2909">
        <v>41</v>
      </c>
      <c r="AP384" t="n" s="2909">
        <v>220000</v>
      </c>
      <c r="DB384" s="2909" t="str">
        <f>IF($A384="","",IF($A384&lt;&gt;21,"対象外",IF($AE384&amp;""="00000000","在職",IF($AE384&amp;""='DB_設定'!$C$4,"4/1喪失","その他喪失"))))</f>
        <v>対象外</v>
      </c>
    </row>
    <row r="385">
      <c r="A385" t="n" s="2909">
        <v>21</v>
      </c>
      <c r="AA385" t="n" s="2909">
        <v>21</v>
      </c>
      <c r="AB385" t="inlineStr" s="2909">
        <is>
          <t>20111001</t>
        </is>
      </c>
      <c r="AD385" t="n" s="2909">
        <v>0</v>
      </c>
      <c r="AE385" t="inlineStr" s="2909">
        <is>
          <t>00000000</t>
        </is>
      </c>
      <c r="AH385" t="n" s="2909">
        <v>20</v>
      </c>
      <c r="AJ385" t="n" s="2909">
        <v>10</v>
      </c>
      <c r="AP385" t="n" s="2909">
        <v>1150000</v>
      </c>
      <c r="DB385" s="2909" t="str">
        <f>IF($A385="","",IF($A385&lt;&gt;21,"対象外",IF($AE385&amp;""="00000000","在職",IF($AE385&amp;""='DB_設定'!$C$4,"4/1喪失","その他喪失"))))</f>
        <v>在職</v>
      </c>
    </row>
    <row r="386">
      <c r="A386" t="n" s="2909">
        <v>31</v>
      </c>
      <c r="AA386" t="n" s="2909">
        <v>21</v>
      </c>
      <c r="AB386" t="inlineStr" s="2909">
        <is>
          <t>20250401</t>
        </is>
      </c>
      <c r="AD386" t="n" s="2909">
        <v>0</v>
      </c>
      <c r="AE386" t="inlineStr" s="2909">
        <is>
          <t>00000000</t>
        </is>
      </c>
      <c r="AH386" t="n" s="2909">
        <v>1</v>
      </c>
      <c r="AJ386" t="n" s="2909">
        <v>41</v>
      </c>
      <c r="AP386" t="n" s="2909">
        <v>220000</v>
      </c>
      <c r="DB386" s="2909" t="str">
        <f>IF($A386="","",IF($A386&lt;&gt;21,"対象外",IF($AE386&amp;""="00000000","在職",IF($AE386&amp;""='DB_設定'!$C$4,"4/1喪失","その他喪失"))))</f>
        <v>対象外</v>
      </c>
    </row>
    <row r="387">
      <c r="A387" t="n" s="2909">
        <v>31</v>
      </c>
      <c r="AA387" t="n" s="2909">
        <v>21</v>
      </c>
      <c r="AB387" t="inlineStr" s="2909">
        <is>
          <t>20221001</t>
        </is>
      </c>
      <c r="AD387" t="n" s="2909">
        <v>0</v>
      </c>
      <c r="AE387" t="inlineStr" s="2909">
        <is>
          <t>00000000</t>
        </is>
      </c>
      <c r="AH387" t="n" s="2909">
        <v>1</v>
      </c>
      <c r="AJ387" t="n" s="2909">
        <v>41</v>
      </c>
      <c r="AP387" t="n" s="2909">
        <v>190000</v>
      </c>
      <c r="DB387" s="2909" t="str">
        <f>IF($A387="","",IF($A387&lt;&gt;21,"対象外",IF($AE387&amp;""="00000000","在職",IF($AE387&amp;""='DB_設定'!$C$4,"4/1喪失","その他喪失"))))</f>
        <v>対象外</v>
      </c>
    </row>
    <row r="388">
      <c r="A388" t="n" s="2909">
        <v>31</v>
      </c>
      <c r="AA388" t="n" s="2909">
        <v>21</v>
      </c>
      <c r="AB388" t="inlineStr" s="2909">
        <is>
          <t>20221001</t>
        </is>
      </c>
      <c r="AD388" t="n" s="2909">
        <v>0</v>
      </c>
      <c r="AE388" t="inlineStr" s="2909">
        <is>
          <t>00000000</t>
        </is>
      </c>
      <c r="AH388" t="n" s="2909">
        <v>11</v>
      </c>
      <c r="AJ388" t="n" s="2909">
        <v>41</v>
      </c>
      <c r="AP388" t="n" s="2909">
        <v>200000</v>
      </c>
      <c r="DB388" s="2909" t="str">
        <f>IF($A388="","",IF($A388&lt;&gt;21,"対象外",IF($AE388&amp;""="00000000","在職",IF($AE388&amp;""='DB_設定'!$C$4,"4/1喪失","その他喪失"))))</f>
        <v>対象外</v>
      </c>
    </row>
    <row r="389">
      <c r="A389" t="n" s="2909">
        <v>31</v>
      </c>
      <c r="AA389" t="n" s="2909">
        <v>21</v>
      </c>
      <c r="AB389" t="inlineStr" s="2909">
        <is>
          <t>20250901</t>
        </is>
      </c>
      <c r="AD389" t="n" s="2909">
        <v>0</v>
      </c>
      <c r="AE389" t="inlineStr" s="2909">
        <is>
          <t>00000000</t>
        </is>
      </c>
      <c r="AH389" t="n" s="2909">
        <v>1</v>
      </c>
      <c r="AJ389" t="n" s="2909">
        <v>41</v>
      </c>
      <c r="AP389" t="n" s="2909">
        <v>200000</v>
      </c>
      <c r="DB389" s="2909" t="str">
        <f>IF($A389="","",IF($A389&lt;&gt;21,"対象外",IF($AE389&amp;""="00000000","在職",IF($AE389&amp;""='DB_設定'!$C$4,"4/1喪失","その他喪失"))))</f>
        <v>対象外</v>
      </c>
    </row>
    <row r="390">
      <c r="A390" t="n" s="2909">
        <v>31</v>
      </c>
      <c r="AA390" t="n" s="2909">
        <v>21</v>
      </c>
      <c r="AB390" t="inlineStr" s="2909">
        <is>
          <t>20221001</t>
        </is>
      </c>
      <c r="AD390" t="n" s="2909">
        <v>0</v>
      </c>
      <c r="AE390" t="inlineStr" s="2909">
        <is>
          <t>00000000</t>
        </is>
      </c>
      <c r="AH390" t="n" s="2909">
        <v>11</v>
      </c>
      <c r="AJ390" t="n" s="2909">
        <v>41</v>
      </c>
      <c r="AP390" t="n" s="2909">
        <v>200000</v>
      </c>
      <c r="DB390" s="2909" t="str">
        <f>IF($A390="","",IF($A390&lt;&gt;21,"対象外",IF($AE390&amp;""="00000000","在職",IF($AE390&amp;""='DB_設定'!$C$4,"4/1喪失","その他喪失"))))</f>
        <v>対象外</v>
      </c>
    </row>
    <row r="391">
      <c r="A391" t="n" s="2909">
        <v>31</v>
      </c>
      <c r="AA391" t="n" s="2909">
        <v>21</v>
      </c>
      <c r="AB391" t="inlineStr" s="2909">
        <is>
          <t>20221001</t>
        </is>
      </c>
      <c r="AD391" t="n" s="2909">
        <v>0</v>
      </c>
      <c r="AE391" t="inlineStr" s="2909">
        <is>
          <t>00000000</t>
        </is>
      </c>
      <c r="AH391" t="n" s="2909">
        <v>1</v>
      </c>
      <c r="AJ391" t="n" s="2909">
        <v>41</v>
      </c>
      <c r="AP391" t="n" s="2909">
        <v>190000</v>
      </c>
      <c r="DB391" s="2909" t="str">
        <f>IF($A391="","",IF($A391&lt;&gt;21,"対象外",IF($AE391&amp;""="00000000","在職",IF($AE391&amp;""='DB_設定'!$C$4,"4/1喪失","その他喪失"))))</f>
        <v>対象外</v>
      </c>
    </row>
    <row r="392">
      <c r="A392" t="n" s="2909">
        <v>31</v>
      </c>
      <c r="AA392" t="n" s="2909">
        <v>21</v>
      </c>
      <c r="AB392" t="inlineStr" s="2909">
        <is>
          <t>20221001</t>
        </is>
      </c>
      <c r="AD392" t="n" s="2909">
        <v>0</v>
      </c>
      <c r="AE392" t="inlineStr" s="2909">
        <is>
          <t>00000000</t>
        </is>
      </c>
      <c r="AH392" t="n" s="2909">
        <v>1</v>
      </c>
      <c r="AJ392" t="n" s="2909">
        <v>41</v>
      </c>
      <c r="AP392" t="n" s="2909">
        <v>220000</v>
      </c>
      <c r="DB392" s="2909" t="str">
        <f>IF($A392="","",IF($A392&lt;&gt;21,"対象外",IF($AE392&amp;""="00000000","在職",IF($AE392&amp;""='DB_設定'!$C$4,"4/1喪失","その他喪失"))))</f>
        <v>対象外</v>
      </c>
    </row>
    <row r="393">
      <c r="A393" t="n" s="2909">
        <v>31</v>
      </c>
      <c r="AA393" t="n" s="2909">
        <v>21</v>
      </c>
      <c r="AB393" t="inlineStr" s="2909">
        <is>
          <t>20221001</t>
        </is>
      </c>
      <c r="AD393" t="n" s="2909">
        <v>0</v>
      </c>
      <c r="AE393" t="inlineStr" s="2909">
        <is>
          <t>00000000</t>
        </is>
      </c>
      <c r="AH393" t="n" s="2909">
        <v>1</v>
      </c>
      <c r="AJ393" t="n" s="2909">
        <v>41</v>
      </c>
      <c r="AP393" t="n" s="2909">
        <v>220000</v>
      </c>
      <c r="DB393" s="2909" t="str">
        <f>IF($A393="","",IF($A393&lt;&gt;21,"対象外",IF($AE393&amp;""="00000000","在職",IF($AE393&amp;""='DB_設定'!$C$4,"4/1喪失","その他喪失"))))</f>
        <v>対象外</v>
      </c>
    </row>
    <row r="394">
      <c r="A394" t="n" s="2909">
        <v>31</v>
      </c>
      <c r="AA394" t="n" s="2909">
        <v>21</v>
      </c>
      <c r="AB394" t="inlineStr" s="2909">
        <is>
          <t>20250401</t>
        </is>
      </c>
      <c r="AD394" t="n" s="2909">
        <v>0</v>
      </c>
      <c r="AE394" t="inlineStr" s="2909">
        <is>
          <t>00000000</t>
        </is>
      </c>
      <c r="AH394" t="n" s="2909">
        <v>11</v>
      </c>
      <c r="AJ394" t="n" s="2909">
        <v>41</v>
      </c>
      <c r="AP394" t="n" s="2909">
        <v>220000</v>
      </c>
      <c r="DB394" s="2909" t="str">
        <f>IF($A394="","",IF($A394&lt;&gt;21,"対象外",IF($AE394&amp;""="00000000","在職",IF($AE394&amp;""='DB_設定'!$C$4,"4/1喪失","その他喪失"))))</f>
        <v>対象外</v>
      </c>
    </row>
    <row r="395">
      <c r="A395" t="n" s="2909">
        <v>31</v>
      </c>
      <c r="AA395" t="n" s="2909">
        <v>21</v>
      </c>
      <c r="AB395" t="inlineStr" s="2909">
        <is>
          <t>20221001</t>
        </is>
      </c>
      <c r="AD395" t="n" s="2909">
        <v>0</v>
      </c>
      <c r="AE395" t="inlineStr" s="2909">
        <is>
          <t>00000000</t>
        </is>
      </c>
      <c r="AH395" t="n" s="2909">
        <v>1</v>
      </c>
      <c r="AJ395" t="n" s="2909">
        <v>41</v>
      </c>
      <c r="AP395" t="n" s="2909">
        <v>142000</v>
      </c>
      <c r="DB395" s="2909" t="str">
        <f>IF($A395="","",IF($A395&lt;&gt;21,"対象外",IF($AE395&amp;""="00000000","在職",IF($AE395&amp;""='DB_設定'!$C$4,"4/1喪失","その他喪失"))))</f>
        <v>対象外</v>
      </c>
    </row>
    <row r="396">
      <c r="A396" t="n" s="2909">
        <v>31</v>
      </c>
      <c r="AA396" t="n" s="2909">
        <v>21</v>
      </c>
      <c r="AB396" t="inlineStr" s="2909">
        <is>
          <t>20221001</t>
        </is>
      </c>
      <c r="AD396" t="n" s="2909">
        <v>0</v>
      </c>
      <c r="AE396" t="inlineStr" s="2909">
        <is>
          <t>00000000</t>
        </is>
      </c>
      <c r="AH396" t="n" s="2909">
        <v>1</v>
      </c>
      <c r="AJ396" t="n" s="2909">
        <v>41</v>
      </c>
      <c r="AP396" t="n" s="2909">
        <v>150000</v>
      </c>
      <c r="DB396" s="2909" t="str">
        <f>IF($A396="","",IF($A396&lt;&gt;21,"対象外",IF($AE396&amp;""="00000000","在職",IF($AE396&amp;""='DB_設定'!$C$4,"4/1喪失","その他喪失"))))</f>
        <v>対象外</v>
      </c>
    </row>
    <row r="397">
      <c r="A397" t="n" s="2909">
        <v>21</v>
      </c>
      <c r="AA397" t="n" s="2909">
        <v>21</v>
      </c>
      <c r="AB397" t="inlineStr" s="2909">
        <is>
          <t>20050425</t>
        </is>
      </c>
      <c r="AD397" t="n" s="2909">
        <v>0</v>
      </c>
      <c r="AE397" t="inlineStr" s="2909">
        <is>
          <t>00000000</t>
        </is>
      </c>
      <c r="AH397" t="n" s="2909">
        <v>1</v>
      </c>
      <c r="AJ397" t="n" s="2909">
        <v>10</v>
      </c>
      <c r="AP397" t="n" s="2909">
        <v>320000</v>
      </c>
      <c r="DB397" s="2909" t="str">
        <f>IF($A397="","",IF($A397&lt;&gt;21,"対象外",IF($AE397&amp;""="00000000","在職",IF($AE397&amp;""='DB_設定'!$C$4,"4/1喪失","その他喪失"))))</f>
        <v>在職</v>
      </c>
    </row>
    <row r="398">
      <c r="A398" t="n" s="2909">
        <v>21</v>
      </c>
      <c r="AA398" t="n" s="2909">
        <v>21</v>
      </c>
      <c r="AB398" t="inlineStr" s="2909">
        <is>
          <t>19910901</t>
        </is>
      </c>
      <c r="AD398" t="n" s="2909">
        <v>0</v>
      </c>
      <c r="AE398" t="inlineStr" s="2909">
        <is>
          <t>00000000</t>
        </is>
      </c>
      <c r="AH398" t="n" s="2909">
        <v>20</v>
      </c>
      <c r="AJ398" t="n" s="2909">
        <v>10</v>
      </c>
      <c r="AP398" t="n" s="2909">
        <v>380000</v>
      </c>
      <c r="DB398" s="2909" t="str">
        <f>IF($A398="","",IF($A398&lt;&gt;21,"対象外",IF($AE398&amp;""="00000000","在職",IF($AE398&amp;""='DB_設定'!$C$4,"4/1喪失","その他喪失"))))</f>
        <v>在職</v>
      </c>
    </row>
    <row r="399">
      <c r="A399" t="n" s="2909">
        <v>31</v>
      </c>
      <c r="AA399" t="n" s="2909">
        <v>21</v>
      </c>
      <c r="AB399" t="inlineStr" s="2909">
        <is>
          <t>20221001</t>
        </is>
      </c>
      <c r="AD399" t="n" s="2909">
        <v>0</v>
      </c>
      <c r="AE399" t="inlineStr" s="2909">
        <is>
          <t>00000000</t>
        </is>
      </c>
      <c r="AH399" t="n" s="2909">
        <v>20</v>
      </c>
      <c r="AJ399" t="n" s="2909">
        <v>41</v>
      </c>
      <c r="AP399" t="n" s="2909">
        <v>190000</v>
      </c>
      <c r="DB399" s="2909" t="str">
        <f>IF($A399="","",IF($A399&lt;&gt;21,"対象外",IF($AE399&amp;""="00000000","在職",IF($AE399&amp;""='DB_設定'!$C$4,"4/1喪失","その他喪失"))))</f>
        <v>対象外</v>
      </c>
    </row>
    <row r="400">
      <c r="A400" t="n" s="2909">
        <v>31</v>
      </c>
      <c r="AA400" t="n" s="2909">
        <v>21</v>
      </c>
      <c r="AB400" t="inlineStr" s="2909">
        <is>
          <t>20221001</t>
        </is>
      </c>
      <c r="AD400" t="n" s="2909">
        <v>0</v>
      </c>
      <c r="AE400" t="inlineStr" s="2909">
        <is>
          <t>00000000</t>
        </is>
      </c>
      <c r="AH400" t="n" s="2909">
        <v>11</v>
      </c>
      <c r="AJ400" t="n" s="2909">
        <v>41</v>
      </c>
      <c r="AP400" t="n" s="2909">
        <v>180000</v>
      </c>
      <c r="DB400" s="2909" t="str">
        <f>IF($A400="","",IF($A400&lt;&gt;21,"対象外",IF($AE400&amp;""="00000000","在職",IF($AE400&amp;""='DB_設定'!$C$4,"4/1喪失","その他喪失"))))</f>
        <v>対象外</v>
      </c>
    </row>
    <row r="401">
      <c r="A401" t="n" s="2909">
        <v>31</v>
      </c>
      <c r="AA401" t="n" s="2909">
        <v>21</v>
      </c>
      <c r="AB401" t="inlineStr" s="2909">
        <is>
          <t>20221001</t>
        </is>
      </c>
      <c r="AD401" t="n" s="2909">
        <v>0</v>
      </c>
      <c r="AE401" t="inlineStr" s="2909">
        <is>
          <t>00000000</t>
        </is>
      </c>
      <c r="AH401" t="n" s="2909">
        <v>1</v>
      </c>
      <c r="AJ401" t="n" s="2909">
        <v>41</v>
      </c>
      <c r="AP401" t="n" s="2909">
        <v>200000</v>
      </c>
      <c r="DB401" s="2909" t="str">
        <f>IF($A401="","",IF($A401&lt;&gt;21,"対象外",IF($AE401&amp;""="00000000","在職",IF($AE401&amp;""='DB_設定'!$C$4,"4/1喪失","その他喪失"))))</f>
        <v>対象外</v>
      </c>
    </row>
    <row r="402">
      <c r="A402" t="n" s="2909">
        <v>31</v>
      </c>
      <c r="AA402" t="n" s="2909">
        <v>21</v>
      </c>
      <c r="AB402" t="inlineStr" s="2909">
        <is>
          <t>20221001</t>
        </is>
      </c>
      <c r="AD402" t="n" s="2909">
        <v>0</v>
      </c>
      <c r="AE402" t="inlineStr" s="2909">
        <is>
          <t>00000000</t>
        </is>
      </c>
      <c r="AH402" t="n" s="2909">
        <v>1</v>
      </c>
      <c r="AJ402" t="n" s="2909">
        <v>41</v>
      </c>
      <c r="AP402" t="n" s="2909">
        <v>190000</v>
      </c>
      <c r="DB402" s="2909" t="str">
        <f>IF($A402="","",IF($A402&lt;&gt;21,"対象外",IF($AE402&amp;""="00000000","在職",IF($AE402&amp;""='DB_設定'!$C$4,"4/1喪失","その他喪失"))))</f>
        <v>対象外</v>
      </c>
    </row>
    <row r="403">
      <c r="A403" t="n" s="2909">
        <v>31</v>
      </c>
      <c r="AA403" t="n" s="2909">
        <v>21</v>
      </c>
      <c r="AB403" t="inlineStr" s="2909">
        <is>
          <t>20221001</t>
        </is>
      </c>
      <c r="AD403" t="n" s="2909">
        <v>0</v>
      </c>
      <c r="AE403" t="inlineStr" s="2909">
        <is>
          <t>00000000</t>
        </is>
      </c>
      <c r="AH403" t="n" s="2909">
        <v>1</v>
      </c>
      <c r="AJ403" t="n" s="2909">
        <v>41</v>
      </c>
      <c r="AP403" t="n" s="2909">
        <v>142000</v>
      </c>
      <c r="DB403" s="2909" t="str">
        <f>IF($A403="","",IF($A403&lt;&gt;21,"対象外",IF($AE403&amp;""="00000000","在職",IF($AE403&amp;""='DB_設定'!$C$4,"4/1喪失","その他喪失"))))</f>
        <v>対象外</v>
      </c>
    </row>
    <row r="404">
      <c r="A404" t="n" s="2909">
        <v>31</v>
      </c>
      <c r="AA404" t="n" s="2909">
        <v>21</v>
      </c>
      <c r="AB404" t="inlineStr" s="2909">
        <is>
          <t>20221001</t>
        </is>
      </c>
      <c r="AD404" t="n" s="2909">
        <v>0</v>
      </c>
      <c r="AE404" t="inlineStr" s="2909">
        <is>
          <t>00000000</t>
        </is>
      </c>
      <c r="AH404" t="n" s="2909">
        <v>1</v>
      </c>
      <c r="AJ404" t="n" s="2909">
        <v>41</v>
      </c>
      <c r="AP404" t="n" s="2909">
        <v>220000</v>
      </c>
      <c r="DB404" s="2909" t="str">
        <f>IF($A404="","",IF($A404&lt;&gt;21,"対象外",IF($AE404&amp;""="00000000","在職",IF($AE404&amp;""='DB_設定'!$C$4,"4/1喪失","その他喪失"))))</f>
        <v>対象外</v>
      </c>
    </row>
    <row r="405">
      <c r="A405" t="n" s="2909">
        <v>31</v>
      </c>
      <c r="AA405" t="n" s="2909">
        <v>21</v>
      </c>
      <c r="AB405" t="inlineStr" s="2909">
        <is>
          <t>20231101</t>
        </is>
      </c>
      <c r="AD405" t="n" s="2909">
        <v>0</v>
      </c>
      <c r="AE405" t="inlineStr" s="2909">
        <is>
          <t>00000000</t>
        </is>
      </c>
      <c r="AH405" t="n" s="2909">
        <v>1</v>
      </c>
      <c r="AJ405" t="n" s="2909">
        <v>41</v>
      </c>
      <c r="AP405" t="n" s="2909">
        <v>134000</v>
      </c>
      <c r="DB405" s="2909" t="str">
        <f>IF($A405="","",IF($A405&lt;&gt;21,"対象外",IF($AE405&amp;""="00000000","在職",IF($AE405&amp;""='DB_設定'!$C$4,"4/1喪失","その他喪失"))))</f>
        <v>対象外</v>
      </c>
    </row>
    <row r="406">
      <c r="A406" t="n" s="2909">
        <v>31</v>
      </c>
      <c r="AA406" t="n" s="2909">
        <v>21</v>
      </c>
      <c r="AB406" t="inlineStr" s="2909">
        <is>
          <t>20221001</t>
        </is>
      </c>
      <c r="AD406" t="n" s="2909">
        <v>0</v>
      </c>
      <c r="AE406" t="inlineStr" s="2909">
        <is>
          <t>00000000</t>
        </is>
      </c>
      <c r="AH406" t="n" s="2909">
        <v>1</v>
      </c>
      <c r="AJ406" t="n" s="2909">
        <v>41</v>
      </c>
      <c r="AP406" t="n" s="2909">
        <v>150000</v>
      </c>
      <c r="DB406" s="2909" t="str">
        <f>IF($A406="","",IF($A406&lt;&gt;21,"対象外",IF($AE406&amp;""="00000000","在職",IF($AE406&amp;""='DB_設定'!$C$4,"4/1喪失","その他喪失"))))</f>
        <v>対象外</v>
      </c>
    </row>
    <row r="407">
      <c r="A407" t="n" s="2909">
        <v>21</v>
      </c>
      <c r="AA407" t="n" s="2909">
        <v>21</v>
      </c>
      <c r="AB407" t="inlineStr" s="2909">
        <is>
          <t>20160601</t>
        </is>
      </c>
      <c r="AD407" t="n" s="2909">
        <v>0</v>
      </c>
      <c r="AE407" t="inlineStr" s="2909">
        <is>
          <t>00000000</t>
        </is>
      </c>
      <c r="AH407" t="n" s="2909">
        <v>20</v>
      </c>
      <c r="AJ407" t="n" s="2909">
        <v>10</v>
      </c>
      <c r="AP407" t="n" s="2909">
        <v>280000</v>
      </c>
      <c r="DB407" s="2909" t="str">
        <f>IF($A407="","",IF($A407&lt;&gt;21,"対象外",IF($AE407&amp;""="00000000","在職",IF($AE407&amp;""='DB_設定'!$C$4,"4/1喪失","その他喪失"))))</f>
        <v>在職</v>
      </c>
    </row>
    <row r="408">
      <c r="A408" t="n" s="2909">
        <v>31</v>
      </c>
      <c r="AA408" t="n" s="2909">
        <v>21</v>
      </c>
      <c r="AB408" t="inlineStr" s="2909">
        <is>
          <t>20221001</t>
        </is>
      </c>
      <c r="AD408" t="n" s="2909">
        <v>0</v>
      </c>
      <c r="AE408" t="inlineStr" s="2909">
        <is>
          <t>00000000</t>
        </is>
      </c>
      <c r="AH408" t="n" s="2909">
        <v>1</v>
      </c>
      <c r="AJ408" t="n" s="2909">
        <v>41</v>
      </c>
      <c r="AP408" t="n" s="2909">
        <v>200000</v>
      </c>
      <c r="DB408" s="2909" t="str">
        <f>IF($A408="","",IF($A408&lt;&gt;21,"対象外",IF($AE408&amp;""="00000000","在職",IF($AE408&amp;""='DB_設定'!$C$4,"4/1喪失","その他喪失"))))</f>
        <v>対象外</v>
      </c>
    </row>
    <row r="409">
      <c r="A409" t="n" s="2909">
        <v>31</v>
      </c>
      <c r="AA409" t="n" s="2909">
        <v>21</v>
      </c>
      <c r="AB409" t="inlineStr" s="2909">
        <is>
          <t>20201201</t>
        </is>
      </c>
      <c r="AD409" t="n" s="2909">
        <v>0</v>
      </c>
      <c r="AE409" t="inlineStr" s="2909">
        <is>
          <t>00000000</t>
        </is>
      </c>
      <c r="AH409" t="n" s="2909">
        <v>1</v>
      </c>
      <c r="AJ409" t="n" s="2909">
        <v>10</v>
      </c>
      <c r="AP409" t="n" s="2909">
        <v>260000</v>
      </c>
      <c r="DB409" s="2909" t="str">
        <f>IF($A409="","",IF($A409&lt;&gt;21,"対象外",IF($AE409&amp;""="00000000","在職",IF($AE409&amp;""='DB_設定'!$C$4,"4/1喪失","その他喪失"))))</f>
        <v>対象外</v>
      </c>
    </row>
    <row r="410">
      <c r="A410" t="n" s="2909">
        <v>31</v>
      </c>
      <c r="AA410" t="n" s="2909">
        <v>21</v>
      </c>
      <c r="AB410" t="inlineStr" s="2909">
        <is>
          <t>20221001</t>
        </is>
      </c>
      <c r="AD410" t="n" s="2909">
        <v>0</v>
      </c>
      <c r="AE410" t="inlineStr" s="2909">
        <is>
          <t>00000000</t>
        </is>
      </c>
      <c r="AH410" t="n" s="2909">
        <v>1</v>
      </c>
      <c r="AJ410" t="n" s="2909">
        <v>41</v>
      </c>
      <c r="AP410" t="n" s="2909">
        <v>200000</v>
      </c>
      <c r="DB410" s="2909" t="str">
        <f>IF($A410="","",IF($A410&lt;&gt;21,"対象外",IF($AE410&amp;""="00000000","在職",IF($AE410&amp;""='DB_設定'!$C$4,"4/1喪失","その他喪失"))))</f>
        <v>対象外</v>
      </c>
    </row>
    <row r="411">
      <c r="A411" t="n" s="2909">
        <v>31</v>
      </c>
      <c r="AA411" t="n" s="2909">
        <v>21</v>
      </c>
      <c r="AB411" t="inlineStr" s="2909">
        <is>
          <t>20221001</t>
        </is>
      </c>
      <c r="AD411" t="n" s="2909">
        <v>0</v>
      </c>
      <c r="AE411" t="inlineStr" s="2909">
        <is>
          <t>00000000</t>
        </is>
      </c>
      <c r="AH411" t="n" s="2909">
        <v>1</v>
      </c>
      <c r="AJ411" t="n" s="2909">
        <v>41</v>
      </c>
      <c r="AP411" t="n" s="2909">
        <v>150000</v>
      </c>
      <c r="DB411" s="2909" t="str">
        <f>IF($A411="","",IF($A411&lt;&gt;21,"対象外",IF($AE411&amp;""="00000000","在職",IF($AE411&amp;""='DB_設定'!$C$4,"4/1喪失","その他喪失"))))</f>
        <v>対象外</v>
      </c>
    </row>
    <row r="412">
      <c r="A412" t="n" s="2909">
        <v>21</v>
      </c>
      <c r="AA412" t="n" s="2909">
        <v>21</v>
      </c>
      <c r="AB412" t="inlineStr" s="2909">
        <is>
          <t>20020401</t>
        </is>
      </c>
      <c r="AD412" t="n" s="2909">
        <v>0</v>
      </c>
      <c r="AE412" t="inlineStr" s="2909">
        <is>
          <t>00000000</t>
        </is>
      </c>
      <c r="AH412" t="n" s="2909">
        <v>1</v>
      </c>
      <c r="AJ412" t="n" s="2909">
        <v>10</v>
      </c>
      <c r="AP412" t="n" s="2909">
        <v>280000</v>
      </c>
      <c r="DB412" s="2909" t="str">
        <f>IF($A412="","",IF($A412&lt;&gt;21,"対象外",IF($AE412&amp;""="00000000","在職",IF($AE412&amp;""='DB_設定'!$C$4,"4/1喪失","その他喪失"))))</f>
        <v>在職</v>
      </c>
    </row>
    <row r="413">
      <c r="A413" t="n" s="2909">
        <v>31</v>
      </c>
      <c r="AA413" t="n" s="2909">
        <v>21</v>
      </c>
      <c r="AB413" t="inlineStr" s="2909">
        <is>
          <t>20240601</t>
        </is>
      </c>
      <c r="AD413" t="n" s="2909">
        <v>0</v>
      </c>
      <c r="AE413" t="inlineStr" s="2909">
        <is>
          <t>00000000</t>
        </is>
      </c>
      <c r="AH413" t="n" s="2909">
        <v>1</v>
      </c>
      <c r="AJ413" t="n" s="2909">
        <v>41</v>
      </c>
      <c r="AP413" t="n" s="2909">
        <v>150000</v>
      </c>
      <c r="DB413" s="2909" t="str">
        <f>IF($A413="","",IF($A413&lt;&gt;21,"対象外",IF($AE413&amp;""="00000000","在職",IF($AE413&amp;""='DB_設定'!$C$4,"4/1喪失","その他喪失"))))</f>
        <v>対象外</v>
      </c>
    </row>
    <row r="414">
      <c r="A414" t="n" s="2909">
        <v>31</v>
      </c>
      <c r="AA414" t="n" s="2909">
        <v>21</v>
      </c>
      <c r="AB414" t="inlineStr" s="2909">
        <is>
          <t>20200601</t>
        </is>
      </c>
      <c r="AD414" t="n" s="2909">
        <v>0</v>
      </c>
      <c r="AE414" t="inlineStr" s="2909">
        <is>
          <t>00000000</t>
        </is>
      </c>
      <c r="AH414" t="n" s="2909">
        <v>1</v>
      </c>
      <c r="AJ414" t="n" s="2909">
        <v>10</v>
      </c>
      <c r="AP414" t="n" s="2909">
        <v>260000</v>
      </c>
      <c r="DB414" s="2909" t="str">
        <f>IF($A414="","",IF($A414&lt;&gt;21,"対象外",IF($AE414&amp;""="00000000","在職",IF($AE414&amp;""='DB_設定'!$C$4,"4/1喪失","その他喪失"))))</f>
        <v>対象外</v>
      </c>
    </row>
    <row r="415">
      <c r="A415" t="n" s="2909">
        <v>21</v>
      </c>
      <c r="AA415" t="n" s="2909">
        <v>21</v>
      </c>
      <c r="AB415" t="inlineStr" s="2909">
        <is>
          <t>20150601</t>
        </is>
      </c>
      <c r="AD415" t="n" s="2909">
        <v>0</v>
      </c>
      <c r="AE415" t="inlineStr" s="2909">
        <is>
          <t>00000000</t>
        </is>
      </c>
      <c r="AH415" t="n" s="2909">
        <v>20</v>
      </c>
      <c r="AJ415" t="n" s="2909">
        <v>10</v>
      </c>
      <c r="AP415" t="n" s="2909">
        <v>260000</v>
      </c>
      <c r="DB415" s="2909" t="str">
        <f>IF($A415="","",IF($A415&lt;&gt;21,"対象外",IF($AE415&amp;""="00000000","在職",IF($AE415&amp;""='DB_設定'!$C$4,"4/1喪失","その他喪失"))))</f>
        <v>在職</v>
      </c>
    </row>
    <row r="416">
      <c r="A416" t="n" s="2909">
        <v>31</v>
      </c>
      <c r="AA416" t="n" s="2909">
        <v>21</v>
      </c>
      <c r="AB416" t="inlineStr" s="2909">
        <is>
          <t>20221001</t>
        </is>
      </c>
      <c r="AD416" t="n" s="2909">
        <v>0</v>
      </c>
      <c r="AE416" t="inlineStr" s="2909">
        <is>
          <t>00000000</t>
        </is>
      </c>
      <c r="AH416" t="n" s="2909">
        <v>1</v>
      </c>
      <c r="AJ416" t="n" s="2909">
        <v>41</v>
      </c>
      <c r="AP416" t="n" s="2909">
        <v>220000</v>
      </c>
      <c r="DB416" s="2909" t="str">
        <f>IF($A416="","",IF($A416&lt;&gt;21,"対象外",IF($AE416&amp;""="00000000","在職",IF($AE416&amp;""='DB_設定'!$C$4,"4/1喪失","その他喪失"))))</f>
        <v>対象外</v>
      </c>
    </row>
    <row r="417">
      <c r="A417" t="n" s="2909">
        <v>31</v>
      </c>
      <c r="AA417" t="n" s="2909">
        <v>21</v>
      </c>
      <c r="AB417" t="inlineStr" s="2909">
        <is>
          <t>20221001</t>
        </is>
      </c>
      <c r="AD417" t="n" s="2909">
        <v>0</v>
      </c>
      <c r="AE417" t="inlineStr" s="2909">
        <is>
          <t>00000000</t>
        </is>
      </c>
      <c r="AH417" t="n" s="2909">
        <v>1</v>
      </c>
      <c r="AJ417" t="n" s="2909">
        <v>41</v>
      </c>
      <c r="AP417" t="n" s="2909">
        <v>150000</v>
      </c>
      <c r="DB417" s="2909" t="str">
        <f>IF($A417="","",IF($A417&lt;&gt;21,"対象外",IF($AE417&amp;""="00000000","在職",IF($AE417&amp;""='DB_設定'!$C$4,"4/1喪失","その他喪失"))))</f>
        <v>対象外</v>
      </c>
    </row>
    <row r="418">
      <c r="A418" t="n" s="2909">
        <v>31</v>
      </c>
      <c r="AA418" t="n" s="2909">
        <v>24</v>
      </c>
      <c r="AB418" t="inlineStr" s="2909">
        <is>
          <t>20250901</t>
        </is>
      </c>
      <c r="AD418" t="n" s="2909">
        <v>0</v>
      </c>
      <c r="AE418" t="inlineStr" s="2909">
        <is>
          <t>00000000</t>
        </is>
      </c>
      <c r="AH418" t="n" s="2909">
        <v>1</v>
      </c>
      <c r="AJ418" t="n" s="2909">
        <v>41</v>
      </c>
      <c r="AP418" t="n" s="2909">
        <v>142000</v>
      </c>
      <c r="DB418" s="2909" t="str">
        <f>IF($A418="","",IF($A418&lt;&gt;21,"対象外",IF($AE418&amp;""="00000000","在職",IF($AE418&amp;""='DB_設定'!$C$4,"4/1喪失","その他喪失"))))</f>
        <v>対象外</v>
      </c>
    </row>
    <row r="419">
      <c r="A419" t="n" s="2909">
        <v>21</v>
      </c>
      <c r="AA419" t="n" s="2909">
        <v>21</v>
      </c>
      <c r="AB419" t="inlineStr" s="2909">
        <is>
          <t>19830401</t>
        </is>
      </c>
      <c r="AD419" t="n" s="2909">
        <v>0</v>
      </c>
      <c r="AE419" t="inlineStr" s="2909">
        <is>
          <t>00000000</t>
        </is>
      </c>
      <c r="AH419" t="n" s="2909">
        <v>1</v>
      </c>
      <c r="AJ419" t="n" s="2909">
        <v>10</v>
      </c>
      <c r="AP419" t="n" s="2909">
        <v>360000</v>
      </c>
      <c r="DB419" s="2909" t="str">
        <f>IF($A419="","",IF($A419&lt;&gt;21,"対象外",IF($AE419&amp;""="00000000","在職",IF($AE419&amp;""='DB_設定'!$C$4,"4/1喪失","その他喪失"))))</f>
        <v>在職</v>
      </c>
    </row>
    <row r="420">
      <c r="A420" t="n" s="2909">
        <v>21</v>
      </c>
      <c r="AA420" t="n" s="2909">
        <v>21</v>
      </c>
      <c r="AB420" t="inlineStr" s="2909">
        <is>
          <t>20040401</t>
        </is>
      </c>
      <c r="AD420" t="n" s="2909">
        <v>0</v>
      </c>
      <c r="AE420" t="inlineStr" s="2909">
        <is>
          <t>00000000</t>
        </is>
      </c>
      <c r="AH420" t="n" s="2909">
        <v>11</v>
      </c>
      <c r="AJ420" t="n" s="2909">
        <v>10</v>
      </c>
      <c r="AP420" t="n" s="2909">
        <v>280000</v>
      </c>
      <c r="DB420" s="2909" t="str">
        <f>IF($A420="","",IF($A420&lt;&gt;21,"対象外",IF($AE420&amp;""="00000000","在職",IF($AE420&amp;""='DB_設定'!$C$4,"4/1喪失","その他喪失"))))</f>
        <v>在職</v>
      </c>
    </row>
    <row r="421">
      <c r="A421" t="n" s="2909">
        <v>21</v>
      </c>
      <c r="AA421" t="n" s="2909">
        <v>21</v>
      </c>
      <c r="AB421" t="inlineStr" s="2909">
        <is>
          <t>20200401</t>
        </is>
      </c>
      <c r="AD421" t="n" s="2909">
        <v>0</v>
      </c>
      <c r="AE421" t="inlineStr" s="2909">
        <is>
          <t>00000000</t>
        </is>
      </c>
      <c r="AH421" t="n" s="2909">
        <v>1</v>
      </c>
      <c r="AJ421" t="n" s="2909">
        <v>10</v>
      </c>
      <c r="AP421" t="n" s="2909">
        <v>260000</v>
      </c>
      <c r="DB421" s="2909" t="str">
        <f>IF($A421="","",IF($A421&lt;&gt;21,"対象外",IF($AE421&amp;""="00000000","在職",IF($AE421&amp;""='DB_設定'!$C$4,"4/1喪失","その他喪失"))))</f>
        <v>在職</v>
      </c>
    </row>
    <row r="422">
      <c r="A422" t="n" s="2909">
        <v>31</v>
      </c>
      <c r="AA422" t="n" s="2909">
        <v>21</v>
      </c>
      <c r="AB422" t="inlineStr" s="2909">
        <is>
          <t>20221001</t>
        </is>
      </c>
      <c r="AD422" t="n" s="2909">
        <v>0</v>
      </c>
      <c r="AE422" t="inlineStr" s="2909">
        <is>
          <t>00000000</t>
        </is>
      </c>
      <c r="AH422" t="n" s="2909">
        <v>11</v>
      </c>
      <c r="AJ422" t="n" s="2909">
        <v>41</v>
      </c>
      <c r="AP422" t="n" s="2909">
        <v>126000</v>
      </c>
      <c r="DB422" s="2909" t="str">
        <f>IF($A422="","",IF($A422&lt;&gt;21,"対象外",IF($AE422&amp;""="00000000","在職",IF($AE422&amp;""='DB_設定'!$C$4,"4/1喪失","その他喪失"))))</f>
        <v>対象外</v>
      </c>
    </row>
    <row r="423">
      <c r="A423" t="n" s="2909">
        <v>31</v>
      </c>
      <c r="AA423" t="n" s="2909">
        <v>21</v>
      </c>
      <c r="AB423" t="inlineStr" s="2909">
        <is>
          <t>20221001</t>
        </is>
      </c>
      <c r="AD423" t="n" s="2909">
        <v>0</v>
      </c>
      <c r="AE423" t="inlineStr" s="2909">
        <is>
          <t>00000000</t>
        </is>
      </c>
      <c r="AH423" t="n" s="2909">
        <v>1</v>
      </c>
      <c r="AJ423" t="n" s="2909">
        <v>41</v>
      </c>
      <c r="AP423" t="n" s="2909">
        <v>142000</v>
      </c>
      <c r="DB423" s="2909" t="str">
        <f>IF($A423="","",IF($A423&lt;&gt;21,"対象外",IF($AE423&amp;""="00000000","在職",IF($AE423&amp;""='DB_設定'!$C$4,"4/1喪失","その他喪失"))))</f>
        <v>対象外</v>
      </c>
    </row>
    <row r="424">
      <c r="A424" t="n" s="2909">
        <v>31</v>
      </c>
      <c r="AA424" t="n" s="2909">
        <v>21</v>
      </c>
      <c r="AB424" t="inlineStr" s="2909">
        <is>
          <t>20221001</t>
        </is>
      </c>
      <c r="AD424" t="n" s="2909">
        <v>0</v>
      </c>
      <c r="AE424" t="inlineStr" s="2909">
        <is>
          <t>00000000</t>
        </is>
      </c>
      <c r="AH424" t="n" s="2909">
        <v>1</v>
      </c>
      <c r="AJ424" t="n" s="2909">
        <v>41</v>
      </c>
      <c r="AP424" t="n" s="2909">
        <v>150000</v>
      </c>
      <c r="DB424" s="2909" t="str">
        <f>IF($A424="","",IF($A424&lt;&gt;21,"対象外",IF($AE424&amp;""="00000000","在職",IF($AE424&amp;""='DB_設定'!$C$4,"4/1喪失","その他喪失"))))</f>
        <v>対象外</v>
      </c>
    </row>
    <row r="425">
      <c r="A425" t="n" s="2909">
        <v>31</v>
      </c>
      <c r="AA425" t="n" s="2909">
        <v>21</v>
      </c>
      <c r="AB425" t="inlineStr" s="2909">
        <is>
          <t>20221001</t>
        </is>
      </c>
      <c r="AD425" t="n" s="2909">
        <v>0</v>
      </c>
      <c r="AE425" t="inlineStr" s="2909">
        <is>
          <t>00000000</t>
        </is>
      </c>
      <c r="AH425" t="n" s="2909">
        <v>11</v>
      </c>
      <c r="AJ425" t="n" s="2909">
        <v>41</v>
      </c>
      <c r="AP425" t="n" s="2909">
        <v>190000</v>
      </c>
      <c r="DB425" s="2909" t="str">
        <f>IF($A425="","",IF($A425&lt;&gt;21,"対象外",IF($AE425&amp;""="00000000","在職",IF($AE425&amp;""='DB_設定'!$C$4,"4/1喪失","その他喪失"))))</f>
        <v>対象外</v>
      </c>
    </row>
    <row r="426">
      <c r="A426" t="n" s="2909">
        <v>31</v>
      </c>
      <c r="AA426" t="n" s="2909">
        <v>21</v>
      </c>
      <c r="AB426" t="inlineStr" s="2909">
        <is>
          <t>20221001</t>
        </is>
      </c>
      <c r="AD426" t="n" s="2909">
        <v>0</v>
      </c>
      <c r="AE426" t="inlineStr" s="2909">
        <is>
          <t>00000000</t>
        </is>
      </c>
      <c r="AH426" t="n" s="2909">
        <v>1</v>
      </c>
      <c r="AJ426" t="n" s="2909">
        <v>41</v>
      </c>
      <c r="AP426" t="n" s="2909">
        <v>142000</v>
      </c>
      <c r="DB426" s="2909" t="str">
        <f>IF($A426="","",IF($A426&lt;&gt;21,"対象外",IF($AE426&amp;""="00000000","在職",IF($AE426&amp;""='DB_設定'!$C$4,"4/1喪失","その他喪失"))))</f>
        <v>対象外</v>
      </c>
    </row>
    <row r="427">
      <c r="A427" t="n" s="2909">
        <v>31</v>
      </c>
      <c r="AA427" t="n" s="2909">
        <v>21</v>
      </c>
      <c r="AB427" t="inlineStr" s="2909">
        <is>
          <t>20221001</t>
        </is>
      </c>
      <c r="AD427" t="n" s="2909">
        <v>0</v>
      </c>
      <c r="AE427" t="inlineStr" s="2909">
        <is>
          <t>00000000</t>
        </is>
      </c>
      <c r="AH427" t="n" s="2909">
        <v>1</v>
      </c>
      <c r="AJ427" t="n" s="2909">
        <v>41</v>
      </c>
      <c r="AP427" t="n" s="2909">
        <v>200000</v>
      </c>
      <c r="DB427" s="2909" t="str">
        <f>IF($A427="","",IF($A427&lt;&gt;21,"対象外",IF($AE427&amp;""="00000000","在職",IF($AE427&amp;""='DB_設定'!$C$4,"4/1喪失","その他喪失"))))</f>
        <v>対象外</v>
      </c>
    </row>
    <row r="428">
      <c r="A428" t="n" s="2909">
        <v>21</v>
      </c>
      <c r="AA428" t="n" s="2909">
        <v>21</v>
      </c>
      <c r="AB428" t="inlineStr" s="2909">
        <is>
          <t>20100901</t>
        </is>
      </c>
      <c r="AD428" t="n" s="2909">
        <v>12</v>
      </c>
      <c r="AE428" t="inlineStr" s="2909">
        <is>
          <t>20130901</t>
        </is>
      </c>
      <c r="AH428" t="n" s="2909">
        <v>0</v>
      </c>
      <c r="AJ428" t="n" s="2909">
        <v>10</v>
      </c>
      <c r="AP428" t="n" s="2909">
        <v>470886</v>
      </c>
      <c r="DB428" s="2909" t="str">
        <f>IF($A428="","",IF($A428&lt;&gt;21,"対象外",IF($AE428&amp;""="00000000","在職",IF($AE428&amp;""='DB_設定'!$C$4,"4/1喪失","その他喪失"))))</f>
        <v>その他喪失</v>
      </c>
    </row>
    <row r="429">
      <c r="A429" t="n" s="2909">
        <v>21</v>
      </c>
      <c r="AA429" t="n" s="2909">
        <v>21</v>
      </c>
      <c r="AB429" t="inlineStr" s="2909">
        <is>
          <t>19830401</t>
        </is>
      </c>
      <c r="AD429" t="n" s="2909">
        <v>12</v>
      </c>
      <c r="AE429" t="inlineStr" s="2909">
        <is>
          <t>20180401</t>
        </is>
      </c>
      <c r="AH429" t="n" s="2909">
        <v>11</v>
      </c>
      <c r="AJ429" t="n" s="2909">
        <v>10</v>
      </c>
      <c r="AP429" t="n" s="2909">
        <v>500000</v>
      </c>
      <c r="DB429" s="2909" t="str">
        <f>IF($A429="","",IF($A429&lt;&gt;21,"対象外",IF($AE429&amp;""="00000000","在職",IF($AE429&amp;""='DB_設定'!$C$4,"4/1喪失","その他喪失"))))</f>
        <v>その他喪失</v>
      </c>
    </row>
    <row r="430">
      <c r="A430" t="n" s="2909">
        <v>21</v>
      </c>
      <c r="AA430" t="n" s="2909">
        <v>21</v>
      </c>
      <c r="AB430" t="inlineStr" s="2909">
        <is>
          <t>19830401</t>
        </is>
      </c>
      <c r="AD430" t="n" s="2909">
        <v>12</v>
      </c>
      <c r="AE430" t="inlineStr" s="2909">
        <is>
          <t>20250401</t>
        </is>
      </c>
      <c r="AH430" t="n" s="2909">
        <v>5</v>
      </c>
      <c r="AJ430" t="n" s="2909">
        <v>30</v>
      </c>
      <c r="AP430" t="n" s="2909">
        <v>560000</v>
      </c>
      <c r="DB430" s="2909" t="str">
        <f>IF($A430="","",IF($A430&lt;&gt;21,"対象外",IF($AE430&amp;""="00000000","在職",IF($AE430&amp;""='DB_設定'!$C$4,"4/1喪失","その他喪失"))))</f>
        <v>4/1喪失</v>
      </c>
    </row>
    <row r="431">
      <c r="A431" t="n" s="2909">
        <v>21</v>
      </c>
      <c r="AA431" t="n" s="2909">
        <v>21</v>
      </c>
      <c r="AB431" t="inlineStr" s="2909">
        <is>
          <t>19870401</t>
        </is>
      </c>
      <c r="AD431" t="n" s="2909">
        <v>12</v>
      </c>
      <c r="AE431" t="inlineStr" s="2909">
        <is>
          <t>20250401</t>
        </is>
      </c>
      <c r="AH431" t="n" s="2909">
        <v>1</v>
      </c>
      <c r="AJ431" t="n" s="2909">
        <v>10</v>
      </c>
      <c r="AP431" t="n" s="2909">
        <v>560000</v>
      </c>
      <c r="DB431" s="2909" t="str">
        <f>IF($A431="","",IF($A431&lt;&gt;21,"対象外",IF($AE431&amp;""="00000000","在職",IF($AE431&amp;""='DB_設定'!$C$4,"4/1喪失","その他喪失"))))</f>
        <v>4/1喪失</v>
      </c>
    </row>
    <row r="432">
      <c r="A432" t="n" s="2909">
        <v>21</v>
      </c>
      <c r="AA432" t="n" s="2909">
        <v>21</v>
      </c>
      <c r="AB432" t="inlineStr" s="2909">
        <is>
          <t>19830401</t>
        </is>
      </c>
      <c r="AD432" t="n" s="2909">
        <v>12</v>
      </c>
      <c r="AE432" t="inlineStr" s="2909">
        <is>
          <t>20250401</t>
        </is>
      </c>
      <c r="AH432" t="n" s="2909">
        <v>5</v>
      </c>
      <c r="AJ432" t="n" s="2909">
        <v>10</v>
      </c>
      <c r="AP432" t="n" s="2909">
        <v>620000</v>
      </c>
      <c r="DB432" s="2909" t="str">
        <f>IF($A432="","",IF($A432&lt;&gt;21,"対象外",IF($AE432&amp;""="00000000","在職",IF($AE432&amp;""='DB_設定'!$C$4,"4/1喪失","その他喪失"))))</f>
        <v>4/1喪失</v>
      </c>
    </row>
    <row r="433">
      <c r="A433" t="n" s="2909">
        <v>21</v>
      </c>
      <c r="AA433" t="n" s="2909">
        <v>21</v>
      </c>
      <c r="AB433" t="inlineStr" s="2909">
        <is>
          <t>19870401</t>
        </is>
      </c>
      <c r="AD433" t="n" s="2909">
        <v>11</v>
      </c>
      <c r="AE433" t="inlineStr" s="2909">
        <is>
          <t>20250401</t>
        </is>
      </c>
      <c r="AH433" t="n" s="2909">
        <v>20</v>
      </c>
      <c r="AJ433" t="n" s="2909">
        <v>10</v>
      </c>
      <c r="AP433" t="n" s="2909">
        <v>500000</v>
      </c>
      <c r="DB433" s="2909" t="str">
        <f>IF($A433="","",IF($A433&lt;&gt;21,"対象外",IF($AE433&amp;""="00000000","在職",IF($AE433&amp;""='DB_設定'!$C$4,"4/1喪失","その他喪失"))))</f>
        <v>4/1喪失</v>
      </c>
    </row>
    <row r="434">
      <c r="A434" t="n" s="2909">
        <v>21</v>
      </c>
      <c r="AA434" t="n" s="2909">
        <v>21</v>
      </c>
      <c r="AB434" t="inlineStr" s="2909">
        <is>
          <t>19900401</t>
        </is>
      </c>
      <c r="AD434" t="n" s="2909">
        <v>12</v>
      </c>
      <c r="AE434" t="inlineStr" s="2909">
        <is>
          <t>20220301</t>
        </is>
      </c>
      <c r="AH434" t="n" s="2909">
        <v>1</v>
      </c>
      <c r="AJ434" t="n" s="2909">
        <v>10</v>
      </c>
      <c r="AP434" t="n" s="2909">
        <v>440000</v>
      </c>
      <c r="DB434" s="2909" t="str">
        <f>IF($A434="","",IF($A434&lt;&gt;21,"対象外",IF($AE434&amp;""="00000000","在職",IF($AE434&amp;""='DB_設定'!$C$4,"4/1喪失","その他喪失"))))</f>
        <v>その他喪失</v>
      </c>
    </row>
    <row r="435">
      <c r="A435" t="n" s="2909">
        <v>21</v>
      </c>
      <c r="AA435" t="n" s="2909">
        <v>21</v>
      </c>
      <c r="AB435" t="inlineStr" s="2909">
        <is>
          <t>19830401</t>
        </is>
      </c>
      <c r="AD435" t="n" s="2909">
        <v>12</v>
      </c>
      <c r="AE435" t="inlineStr" s="2909">
        <is>
          <t>20250401</t>
        </is>
      </c>
      <c r="AH435" t="n" s="2909">
        <v>1</v>
      </c>
      <c r="AJ435" t="n" s="2909">
        <v>10</v>
      </c>
      <c r="AP435" t="n" s="2909">
        <v>590000</v>
      </c>
      <c r="DB435" s="2909" t="str">
        <f>IF($A435="","",IF($A435&lt;&gt;21,"対象外",IF($AE435&amp;""="00000000","在職",IF($AE435&amp;""='DB_設定'!$C$4,"4/1喪失","その他喪失"))))</f>
        <v>4/1喪失</v>
      </c>
    </row>
    <row r="436">
      <c r="A436" t="n" s="2909">
        <v>21</v>
      </c>
      <c r="AA436" t="n" s="2909">
        <v>21</v>
      </c>
      <c r="AB436" t="inlineStr" s="2909">
        <is>
          <t>19830401</t>
        </is>
      </c>
      <c r="AD436" t="n" s="2909">
        <v>12</v>
      </c>
      <c r="AE436" t="inlineStr" s="2909">
        <is>
          <t>20250401</t>
        </is>
      </c>
      <c r="AH436" t="n" s="2909">
        <v>1</v>
      </c>
      <c r="AJ436" t="n" s="2909">
        <v>10</v>
      </c>
      <c r="AP436" t="n" s="2909">
        <v>710000</v>
      </c>
      <c r="DB436" s="2909" t="str">
        <f>IF($A436="","",IF($A436&lt;&gt;21,"対象外",IF($AE436&amp;""="00000000","在職",IF($AE436&amp;""='DB_設定'!$C$4,"4/1喪失","その他喪失"))))</f>
        <v>4/1喪失</v>
      </c>
    </row>
    <row r="437">
      <c r="A437" t="n" s="2909">
        <v>21</v>
      </c>
      <c r="AA437" t="n" s="2909">
        <v>21</v>
      </c>
      <c r="AB437" t="inlineStr" s="2909">
        <is>
          <t>19900401</t>
        </is>
      </c>
      <c r="AD437" t="n" s="2909">
        <v>12</v>
      </c>
      <c r="AE437" t="inlineStr" s="2909">
        <is>
          <t>20200101</t>
        </is>
      </c>
      <c r="AH437" t="n" s="2909">
        <v>1</v>
      </c>
      <c r="AJ437" t="n" s="2909">
        <v>10</v>
      </c>
      <c r="AP437" t="n" s="2909">
        <v>530000</v>
      </c>
      <c r="DB437" s="2909" t="str">
        <f>IF($A437="","",IF($A437&lt;&gt;21,"対象外",IF($AE437&amp;""="00000000","在職",IF($AE437&amp;""='DB_設定'!$C$4,"4/1喪失","その他喪失"))))</f>
        <v>その他喪失</v>
      </c>
    </row>
    <row r="438">
      <c r="A438" t="n" s="2909">
        <v>21</v>
      </c>
      <c r="AA438" t="n" s="2909">
        <v>21</v>
      </c>
      <c r="AB438" t="inlineStr" s="2909">
        <is>
          <t>19840401</t>
        </is>
      </c>
      <c r="AD438" t="n" s="2909">
        <v>12</v>
      </c>
      <c r="AE438" t="inlineStr" s="2909">
        <is>
          <t>20250401</t>
        </is>
      </c>
      <c r="AH438" t="n" s="2909">
        <v>5</v>
      </c>
      <c r="AJ438" t="n" s="2909">
        <v>30</v>
      </c>
      <c r="AP438" t="n" s="2909">
        <v>530000</v>
      </c>
      <c r="DB438" s="2909" t="str">
        <f>IF($A438="","",IF($A438&lt;&gt;21,"対象外",IF($AE438&amp;""="00000000","在職",IF($AE438&amp;""='DB_設定'!$C$4,"4/1喪失","その他喪失"))))</f>
        <v>4/1喪失</v>
      </c>
    </row>
    <row r="439">
      <c r="A439" t="n" s="2909">
        <v>21</v>
      </c>
      <c r="AA439" t="n" s="2909">
        <v>21</v>
      </c>
      <c r="AB439" t="inlineStr" s="2909">
        <is>
          <t>20100401</t>
        </is>
      </c>
      <c r="AD439" t="n" s="2909">
        <v>12</v>
      </c>
      <c r="AE439" t="inlineStr" s="2909">
        <is>
          <t>20110401</t>
        </is>
      </c>
      <c r="AH439" t="n" s="2909">
        <v>0</v>
      </c>
      <c r="AJ439" t="n" s="2909">
        <v>10</v>
      </c>
      <c r="AP439" t="n" s="2909">
        <v>403300</v>
      </c>
      <c r="DB439" s="2909" t="str">
        <f>IF($A439="","",IF($A439&lt;&gt;21,"対象外",IF($AE439&amp;""="00000000","在職",IF($AE439&amp;""='DB_設定'!$C$4,"4/1喪失","その他喪失"))))</f>
        <v>その他喪失</v>
      </c>
    </row>
    <row r="440">
      <c r="A440" t="n" s="2909">
        <v>21</v>
      </c>
      <c r="AA440" t="n" s="2909">
        <v>21</v>
      </c>
      <c r="AB440" t="inlineStr" s="2909">
        <is>
          <t>20020401</t>
        </is>
      </c>
      <c r="AD440" t="n" s="2909">
        <v>12</v>
      </c>
      <c r="AE440" t="inlineStr" s="2909">
        <is>
          <t>20180401</t>
        </is>
      </c>
      <c r="AH440" t="n" s="2909">
        <v>11</v>
      </c>
      <c r="AJ440" t="n" s="2909">
        <v>10</v>
      </c>
      <c r="AP440" t="n" s="2909">
        <v>590000</v>
      </c>
      <c r="DB440" s="2909" t="str">
        <f>IF($A440="","",IF($A440&lt;&gt;21,"対象外",IF($AE440&amp;""="00000000","在職",IF($AE440&amp;""='DB_設定'!$C$4,"4/1喪失","その他喪失"))))</f>
        <v>その他喪失</v>
      </c>
    </row>
    <row r="441">
      <c r="A441" t="n" s="2909">
        <v>21</v>
      </c>
      <c r="AA441" t="n" s="2909">
        <v>21</v>
      </c>
      <c r="AB441" t="inlineStr" s="2909">
        <is>
          <t>19830401</t>
        </is>
      </c>
      <c r="AD441" t="n" s="2909">
        <v>12</v>
      </c>
      <c r="AE441" t="inlineStr" s="2909">
        <is>
          <t>20250401</t>
        </is>
      </c>
      <c r="AH441" t="n" s="2909">
        <v>5</v>
      </c>
      <c r="AJ441" t="n" s="2909">
        <v>10</v>
      </c>
      <c r="AP441" t="n" s="2909">
        <v>590000</v>
      </c>
      <c r="DB441" s="2909" t="str">
        <f>IF($A441="","",IF($A441&lt;&gt;21,"対象外",IF($AE441&amp;""="00000000","在職",IF($AE441&amp;""='DB_設定'!$C$4,"4/1喪失","その他喪失"))))</f>
        <v>4/1喪失</v>
      </c>
    </row>
    <row r="442">
      <c r="A442" t="n" s="2909">
        <v>21</v>
      </c>
      <c r="AA442" t="n" s="2909">
        <v>21</v>
      </c>
      <c r="AB442" t="inlineStr" s="2909">
        <is>
          <t>19870401</t>
        </is>
      </c>
      <c r="AD442" t="n" s="2909">
        <v>12</v>
      </c>
      <c r="AE442" t="inlineStr" s="2909">
        <is>
          <t>20250401</t>
        </is>
      </c>
      <c r="AH442" t="n" s="2909">
        <v>1</v>
      </c>
      <c r="AJ442" t="n" s="2909">
        <v>10</v>
      </c>
      <c r="AP442" t="n" s="2909">
        <v>650000</v>
      </c>
      <c r="DB442" s="2909" t="str">
        <f>IF($A442="","",IF($A442&lt;&gt;21,"対象外",IF($AE442&amp;""="00000000","在職",IF($AE442&amp;""='DB_設定'!$C$4,"4/1喪失","その他喪失"))))</f>
        <v>4/1喪失</v>
      </c>
    </row>
    <row r="443">
      <c r="A443" t="n" s="2909">
        <v>31</v>
      </c>
      <c r="AA443" t="n" s="2909">
        <v>21</v>
      </c>
      <c r="AB443" t="inlineStr" s="2909">
        <is>
          <t>20221001</t>
        </is>
      </c>
      <c r="AD443" t="n" s="2909">
        <v>12</v>
      </c>
      <c r="AE443" t="inlineStr" s="2909">
        <is>
          <t>20240914</t>
        </is>
      </c>
      <c r="AH443" t="n" s="2909">
        <v>20</v>
      </c>
      <c r="AJ443" t="n" s="2909">
        <v>41</v>
      </c>
      <c r="AP443" t="n" s="2909">
        <v>150000</v>
      </c>
      <c r="DB443" s="2909" t="str">
        <f>IF($A443="","",IF($A443&lt;&gt;21,"対象外",IF($AE443&amp;""="00000000","在職",IF($AE443&amp;""='DB_設定'!$C$4,"4/1喪失","その他喪失"))))</f>
        <v>対象外</v>
      </c>
    </row>
    <row r="444">
      <c r="A444" t="n" s="2909">
        <v>21</v>
      </c>
      <c r="AA444" t="n" s="2909">
        <v>21</v>
      </c>
      <c r="AB444" t="inlineStr" s="2909">
        <is>
          <t>19880401</t>
        </is>
      </c>
      <c r="AD444" t="n" s="2909">
        <v>12</v>
      </c>
      <c r="AE444" t="inlineStr" s="2909">
        <is>
          <t>20240401</t>
        </is>
      </c>
      <c r="AH444" t="n" s="2909">
        <v>1</v>
      </c>
      <c r="AJ444" t="n" s="2909">
        <v>10</v>
      </c>
      <c r="AP444" t="n" s="2909">
        <v>560000</v>
      </c>
      <c r="DB444" s="2909" t="str">
        <f>IF($A444="","",IF($A444&lt;&gt;21,"対象外",IF($AE444&amp;""="00000000","在職",IF($AE444&amp;""='DB_設定'!$C$4,"4/1喪失","その他喪失"))))</f>
        <v>その他喪失</v>
      </c>
    </row>
    <row r="445">
      <c r="A445" t="n" s="2909">
        <v>21</v>
      </c>
      <c r="AA445" t="n" s="2909">
        <v>21</v>
      </c>
      <c r="AB445" t="inlineStr" s="2909">
        <is>
          <t>20070401</t>
        </is>
      </c>
      <c r="AD445" t="n" s="2909">
        <v>12</v>
      </c>
      <c r="AE445" t="inlineStr" s="2909">
        <is>
          <t>20150401</t>
        </is>
      </c>
      <c r="AH445" t="n" s="2909">
        <v>11</v>
      </c>
      <c r="AJ445" t="n" s="2909">
        <v>10</v>
      </c>
      <c r="AP445" t="n" s="2909">
        <v>411400</v>
      </c>
      <c r="DB445" s="2909" t="str">
        <f>IF($A445="","",IF($A445&lt;&gt;21,"対象外",IF($AE445&amp;""="00000000","在職",IF($AE445&amp;""='DB_設定'!$C$4,"4/1喪失","その他喪失"))))</f>
        <v>その他喪失</v>
      </c>
    </row>
    <row r="446">
      <c r="A446" t="n" s="2909">
        <v>21</v>
      </c>
      <c r="AA446" t="n" s="2909">
        <v>21</v>
      </c>
      <c r="AB446" t="inlineStr" s="2909">
        <is>
          <t>19830401</t>
        </is>
      </c>
      <c r="AD446" t="n" s="2909">
        <v>12</v>
      </c>
      <c r="AE446" t="inlineStr" s="2909">
        <is>
          <t>20160501</t>
        </is>
      </c>
      <c r="AH446" t="n" s="2909">
        <v>1</v>
      </c>
      <c r="AJ446" t="n" s="2909">
        <v>10</v>
      </c>
      <c r="AP446" t="n" s="2909">
        <v>380000</v>
      </c>
      <c r="DB446" s="2909" t="str">
        <f>IF($A446="","",IF($A446&lt;&gt;21,"対象外",IF($AE446&amp;""="00000000","在職",IF($AE446&amp;""='DB_設定'!$C$4,"4/1喪失","その他喪失"))))</f>
        <v>その他喪失</v>
      </c>
    </row>
    <row r="447">
      <c r="A447" t="n" s="2909">
        <v>21</v>
      </c>
      <c r="AA447" t="n" s="2909">
        <v>21</v>
      </c>
      <c r="AB447" t="inlineStr" s="2909">
        <is>
          <t>19830401</t>
        </is>
      </c>
      <c r="AD447" t="n" s="2909">
        <v>12</v>
      </c>
      <c r="AE447" t="inlineStr" s="2909">
        <is>
          <t>20250401</t>
        </is>
      </c>
      <c r="AH447" t="n" s="2909">
        <v>1</v>
      </c>
      <c r="AJ447" t="n" s="2909">
        <v>10</v>
      </c>
      <c r="AP447" t="n" s="2909">
        <v>650000</v>
      </c>
      <c r="DB447" s="2909" t="str">
        <f>IF($A447="","",IF($A447&lt;&gt;21,"対象外",IF($AE447&amp;""="00000000","在職",IF($AE447&amp;""='DB_設定'!$C$4,"4/1喪失","その他喪失"))))</f>
        <v>4/1喪失</v>
      </c>
    </row>
    <row r="448">
      <c r="A448" t="n" s="2909">
        <v>21</v>
      </c>
      <c r="AA448" t="n" s="2909">
        <v>21</v>
      </c>
      <c r="AB448" t="inlineStr" s="2909">
        <is>
          <t>19900401</t>
        </is>
      </c>
      <c r="AD448" t="n" s="2909">
        <v>15</v>
      </c>
      <c r="AE448" t="inlineStr" s="2909">
        <is>
          <t>20231121</t>
        </is>
      </c>
      <c r="AH448" t="n" s="2909">
        <v>1</v>
      </c>
      <c r="AJ448" t="n" s="2909">
        <v>10</v>
      </c>
      <c r="AP448" t="n" s="2909">
        <v>620000</v>
      </c>
      <c r="DB448" s="2909" t="str">
        <f>IF($A448="","",IF($A448&lt;&gt;21,"対象外",IF($AE448&amp;""="00000000","在職",IF($AE448&amp;""='DB_設定'!$C$4,"4/1喪失","その他喪失"))))</f>
        <v>その他喪失</v>
      </c>
    </row>
    <row r="449">
      <c r="A449" t="n" s="2909">
        <v>21</v>
      </c>
      <c r="AA449" t="n" s="2909">
        <v>21</v>
      </c>
      <c r="AB449" t="inlineStr" s="2909">
        <is>
          <t>19850320</t>
        </is>
      </c>
      <c r="AD449" t="n" s="2909">
        <v>12</v>
      </c>
      <c r="AE449" t="inlineStr" s="2909">
        <is>
          <t>20230401</t>
        </is>
      </c>
      <c r="AH449" t="n" s="2909">
        <v>1</v>
      </c>
      <c r="AJ449" t="n" s="2909">
        <v>10</v>
      </c>
      <c r="AP449" t="n" s="2909">
        <v>440000</v>
      </c>
      <c r="DB449" s="2909" t="str">
        <f>IF($A449="","",IF($A449&lt;&gt;21,"対象外",IF($AE449&amp;""="00000000","在職",IF($AE449&amp;""='DB_設定'!$C$4,"4/1喪失","その他喪失"))))</f>
        <v>その他喪失</v>
      </c>
    </row>
    <row r="450">
      <c r="A450" t="n" s="2909">
        <v>21</v>
      </c>
      <c r="AA450" t="n" s="2909">
        <v>21</v>
      </c>
      <c r="AB450" t="inlineStr" s="2909">
        <is>
          <t>20140401</t>
        </is>
      </c>
      <c r="AD450" t="n" s="2909">
        <v>12</v>
      </c>
      <c r="AE450" t="inlineStr" s="2909">
        <is>
          <t>20221001</t>
        </is>
      </c>
      <c r="AH450" t="n" s="2909">
        <v>1</v>
      </c>
      <c r="AJ450" t="n" s="2909">
        <v>10</v>
      </c>
      <c r="AP450" t="n" s="2909">
        <v>1090000</v>
      </c>
      <c r="DB450" s="2909" t="str">
        <f>IF($A450="","",IF($A450&lt;&gt;21,"対象外",IF($AE450&amp;""="00000000","在職",IF($AE450&amp;""='DB_設定'!$C$4,"4/1喪失","その他喪失"))))</f>
        <v>その他喪失</v>
      </c>
    </row>
    <row r="451">
      <c r="A451" t="n" s="2909">
        <v>21</v>
      </c>
      <c r="AA451" t="n" s="2909">
        <v>21</v>
      </c>
      <c r="AB451" t="inlineStr" s="2909">
        <is>
          <t>19840401</t>
        </is>
      </c>
      <c r="AD451" t="n" s="2909">
        <v>12</v>
      </c>
      <c r="AE451" t="inlineStr" s="2909">
        <is>
          <t>20250401</t>
        </is>
      </c>
      <c r="AH451" t="n" s="2909">
        <v>4</v>
      </c>
      <c r="AJ451" t="n" s="2909">
        <v>10</v>
      </c>
      <c r="AP451" t="n" s="2909">
        <v>470000</v>
      </c>
      <c r="DB451" s="2909" t="str">
        <f>IF($A451="","",IF($A451&lt;&gt;21,"対象外",IF($AE451&amp;""="00000000","在職",IF($AE451&amp;""='DB_設定'!$C$4,"4/1喪失","その他喪失"))))</f>
        <v>4/1喪失</v>
      </c>
    </row>
    <row r="452">
      <c r="A452" t="n" s="2909">
        <v>21</v>
      </c>
      <c r="AA452" t="n" s="2909">
        <v>21</v>
      </c>
      <c r="AB452" t="inlineStr" s="2909">
        <is>
          <t>19830401</t>
        </is>
      </c>
      <c r="AD452" t="n" s="2909">
        <v>12</v>
      </c>
      <c r="AE452" t="inlineStr" s="2909">
        <is>
          <t>20220401</t>
        </is>
      </c>
      <c r="AH452" t="n" s="2909">
        <v>1</v>
      </c>
      <c r="AJ452" t="n" s="2909">
        <v>10</v>
      </c>
      <c r="AP452" t="n" s="2909">
        <v>590000</v>
      </c>
      <c r="DB452" s="2909" t="str">
        <f>IF($A452="","",IF($A452&lt;&gt;21,"対象外",IF($AE452&amp;""="00000000","在職",IF($AE452&amp;""='DB_設定'!$C$4,"4/1喪失","その他喪失"))))</f>
        <v>その他喪失</v>
      </c>
    </row>
    <row r="453">
      <c r="A453" t="n" s="2909">
        <v>21</v>
      </c>
      <c r="AA453" t="n" s="2909">
        <v>21</v>
      </c>
      <c r="AB453" t="inlineStr" s="2909">
        <is>
          <t>20040401</t>
        </is>
      </c>
      <c r="AD453" t="n" s="2909">
        <v>11</v>
      </c>
      <c r="AE453" t="inlineStr" s="2909">
        <is>
          <t>20250401</t>
        </is>
      </c>
      <c r="AH453" t="n" s="2909">
        <v>1</v>
      </c>
      <c r="AJ453" t="n" s="2909">
        <v>10</v>
      </c>
      <c r="AP453" t="n" s="2909">
        <v>620000</v>
      </c>
      <c r="DB453" s="2909" t="str">
        <f>IF($A453="","",IF($A453&lt;&gt;21,"対象外",IF($AE453&amp;""="00000000","在職",IF($AE453&amp;""='DB_設定'!$C$4,"4/1喪失","その他喪失"))))</f>
        <v>4/1喪失</v>
      </c>
    </row>
    <row r="454">
      <c r="A454" t="n" s="2909">
        <v>21</v>
      </c>
      <c r="AA454" t="n" s="2909">
        <v>21</v>
      </c>
      <c r="AB454" t="inlineStr" s="2909">
        <is>
          <t>20080102</t>
        </is>
      </c>
      <c r="AD454" t="n" s="2909">
        <v>12</v>
      </c>
      <c r="AE454" t="inlineStr" s="2909">
        <is>
          <t>20160301</t>
        </is>
      </c>
      <c r="AH454" t="n" s="2909">
        <v>20</v>
      </c>
      <c r="AJ454" t="n" s="2909">
        <v>10</v>
      </c>
      <c r="AP454" t="n" s="2909">
        <v>930000</v>
      </c>
      <c r="DB454" s="2909" t="str">
        <f>IF($A454="","",IF($A454&lt;&gt;21,"対象外",IF($AE454&amp;""="00000000","在職",IF($AE454&amp;""='DB_設定'!$C$4,"4/1喪失","その他喪失"))))</f>
        <v>その他喪失</v>
      </c>
    </row>
    <row r="455">
      <c r="A455" t="n" s="2909">
        <v>21</v>
      </c>
      <c r="AA455" t="n" s="2909">
        <v>21</v>
      </c>
      <c r="AB455" t="inlineStr" s="2909">
        <is>
          <t>19870401</t>
        </is>
      </c>
      <c r="AD455" t="n" s="2909">
        <v>12</v>
      </c>
      <c r="AE455" t="inlineStr" s="2909">
        <is>
          <t>20250401</t>
        </is>
      </c>
      <c r="AH455" t="n" s="2909">
        <v>1</v>
      </c>
      <c r="AJ455" t="n" s="2909">
        <v>10</v>
      </c>
      <c r="AP455" t="n" s="2909">
        <v>590000</v>
      </c>
      <c r="DB455" s="2909" t="str">
        <f>IF($A455="","",IF($A455&lt;&gt;21,"対象外",IF($AE455&amp;""="00000000","在職",IF($AE455&amp;""='DB_設定'!$C$4,"4/1喪失","その他喪失"))))</f>
        <v>4/1喪失</v>
      </c>
    </row>
    <row r="456">
      <c r="A456" t="n" s="2909">
        <v>21</v>
      </c>
      <c r="AA456" t="n" s="2909">
        <v>21</v>
      </c>
      <c r="AB456" t="inlineStr" s="2909">
        <is>
          <t>19870401</t>
        </is>
      </c>
      <c r="AD456" t="n" s="2909">
        <v>12</v>
      </c>
      <c r="AE456" t="inlineStr" s="2909">
        <is>
          <t>20250401</t>
        </is>
      </c>
      <c r="AH456" t="n" s="2909">
        <v>1</v>
      </c>
      <c r="AJ456" t="n" s="2909">
        <v>10</v>
      </c>
      <c r="AP456" t="n" s="2909">
        <v>620000</v>
      </c>
      <c r="DB456" s="2909" t="str">
        <f>IF($A456="","",IF($A456&lt;&gt;21,"対象外",IF($AE456&amp;""="00000000","在職",IF($AE456&amp;""='DB_設定'!$C$4,"4/1喪失","その他喪失"))))</f>
        <v>4/1喪失</v>
      </c>
    </row>
    <row r="457">
      <c r="A457" t="n" s="2909">
        <v>21</v>
      </c>
      <c r="AA457" t="n" s="2909">
        <v>21</v>
      </c>
      <c r="AB457" t="inlineStr" s="2909">
        <is>
          <t>19850401</t>
        </is>
      </c>
      <c r="AD457" t="n" s="2909">
        <v>11</v>
      </c>
      <c r="AE457" t="inlineStr" s="2909">
        <is>
          <t>20250401</t>
        </is>
      </c>
      <c r="AH457" t="n" s="2909">
        <v>1</v>
      </c>
      <c r="AJ457" t="n" s="2909">
        <v>10</v>
      </c>
      <c r="AP457" t="n" s="2909">
        <v>560000</v>
      </c>
      <c r="DB457" s="2909" t="str">
        <f>IF($A457="","",IF($A457&lt;&gt;21,"対象外",IF($AE457&amp;""="00000000","在職",IF($AE457&amp;""='DB_設定'!$C$4,"4/1喪失","その他喪失"))))</f>
        <v>4/1喪失</v>
      </c>
    </row>
    <row r="458">
      <c r="A458" t="n" s="2909">
        <v>21</v>
      </c>
      <c r="AA458" t="n" s="2909">
        <v>21</v>
      </c>
      <c r="AB458" t="inlineStr" s="2909">
        <is>
          <t>19880401</t>
        </is>
      </c>
      <c r="AD458" t="n" s="2909">
        <v>12</v>
      </c>
      <c r="AE458" t="inlineStr" s="2909">
        <is>
          <t>20250401</t>
        </is>
      </c>
      <c r="AH458" t="n" s="2909">
        <v>47</v>
      </c>
      <c r="AJ458" t="n" s="2909">
        <v>74</v>
      </c>
      <c r="AP458" t="n" s="2909">
        <v>530000</v>
      </c>
      <c r="DB458" s="2909" t="str">
        <f>IF($A458="","",IF($A458&lt;&gt;21,"対象外",IF($AE458&amp;""="00000000","在職",IF($AE458&amp;""='DB_設定'!$C$4,"4/1喪失","その他喪失"))))</f>
        <v>4/1喪失</v>
      </c>
    </row>
    <row r="459">
      <c r="A459" t="n" s="2909">
        <v>21</v>
      </c>
      <c r="AA459" t="n" s="2909">
        <v>21</v>
      </c>
      <c r="AB459" t="inlineStr" s="2909">
        <is>
          <t>20080401</t>
        </is>
      </c>
      <c r="AD459" t="n" s="2909">
        <v>12</v>
      </c>
      <c r="AE459" t="inlineStr" s="2909">
        <is>
          <t>20100401</t>
        </is>
      </c>
      <c r="AH459" t="n" s="2909">
        <v>0</v>
      </c>
      <c r="AJ459" t="n" s="2909">
        <v>10</v>
      </c>
      <c r="AP459" t="n" s="2909">
        <v>380500</v>
      </c>
      <c r="DB459" s="2909" t="str">
        <f>IF($A459="","",IF($A459&lt;&gt;21,"対象外",IF($AE459&amp;""="00000000","在職",IF($AE459&amp;""='DB_設定'!$C$4,"4/1喪失","その他喪失"))))</f>
        <v>その他喪失</v>
      </c>
    </row>
    <row r="460">
      <c r="A460" t="n" s="2909">
        <v>21</v>
      </c>
      <c r="AA460" t="n" s="2909">
        <v>21</v>
      </c>
      <c r="AB460" t="inlineStr" s="2909">
        <is>
          <t>19870401</t>
        </is>
      </c>
      <c r="AD460" t="n" s="2909">
        <v>12</v>
      </c>
      <c r="AE460" t="inlineStr" s="2909">
        <is>
          <t>20250401</t>
        </is>
      </c>
      <c r="AH460" t="n" s="2909">
        <v>1</v>
      </c>
      <c r="AJ460" t="n" s="2909">
        <v>10</v>
      </c>
      <c r="AP460" t="n" s="2909">
        <v>500000</v>
      </c>
      <c r="DB460" s="2909" t="str">
        <f>IF($A460="","",IF($A460&lt;&gt;21,"対象外",IF($AE460&amp;""="00000000","在職",IF($AE460&amp;""='DB_設定'!$C$4,"4/1喪失","その他喪失"))))</f>
        <v>4/1喪失</v>
      </c>
    </row>
    <row r="461">
      <c r="A461" t="n" s="2909">
        <v>21</v>
      </c>
      <c r="AA461" t="n" s="2909">
        <v>21</v>
      </c>
      <c r="AB461" t="inlineStr" s="2909">
        <is>
          <t>20150401</t>
        </is>
      </c>
      <c r="AD461" t="n" s="2909">
        <v>12</v>
      </c>
      <c r="AE461" t="inlineStr" s="2909">
        <is>
          <t>20170321</t>
        </is>
      </c>
      <c r="AH461" t="n" s="2909">
        <v>1</v>
      </c>
      <c r="AJ461" t="n" s="2909">
        <v>10</v>
      </c>
      <c r="AP461" t="n" s="2909">
        <v>650000</v>
      </c>
      <c r="DB461" s="2909" t="str">
        <f>IF($A461="","",IF($A461&lt;&gt;21,"対象外",IF($AE461&amp;""="00000000","在職",IF($AE461&amp;""='DB_設定'!$C$4,"4/1喪失","その他喪失"))))</f>
        <v>その他喪失</v>
      </c>
    </row>
    <row r="462">
      <c r="A462" t="n" s="2909">
        <v>21</v>
      </c>
      <c r="AA462" t="n" s="2909">
        <v>21</v>
      </c>
      <c r="AB462" t="inlineStr" s="2909">
        <is>
          <t>19890401</t>
        </is>
      </c>
      <c r="AD462" t="n" s="2909">
        <v>12</v>
      </c>
      <c r="AE462" t="inlineStr" s="2909">
        <is>
          <t>20250401</t>
        </is>
      </c>
      <c r="AH462" t="n" s="2909">
        <v>1</v>
      </c>
      <c r="AJ462" t="n" s="2909">
        <v>10</v>
      </c>
      <c r="AP462" t="n" s="2909">
        <v>750000</v>
      </c>
      <c r="DB462" s="2909" t="str">
        <f>IF($A462="","",IF($A462&lt;&gt;21,"対象外",IF($AE462&amp;""="00000000","在職",IF($AE462&amp;""='DB_設定'!$C$4,"4/1喪失","その他喪失"))))</f>
        <v>4/1喪失</v>
      </c>
    </row>
    <row r="463">
      <c r="A463" t="n" s="2909">
        <v>21</v>
      </c>
      <c r="AA463" t="n" s="2909">
        <v>21</v>
      </c>
      <c r="AB463" t="inlineStr" s="2909">
        <is>
          <t>19830401</t>
        </is>
      </c>
      <c r="AD463" t="n" s="2909">
        <v>15</v>
      </c>
      <c r="AE463" t="inlineStr" s="2909">
        <is>
          <t>20240719</t>
        </is>
      </c>
      <c r="AH463" t="n" s="2909">
        <v>1</v>
      </c>
      <c r="AJ463" t="n" s="2909">
        <v>10</v>
      </c>
      <c r="AP463" t="n" s="2909">
        <v>470000</v>
      </c>
      <c r="DB463" s="2909" t="str">
        <f>IF($A463="","",IF($A463&lt;&gt;21,"対象外",IF($AE463&amp;""="00000000","在職",IF($AE463&amp;""='DB_設定'!$C$4,"4/1喪失","その他喪失"))))</f>
        <v>その他喪失</v>
      </c>
    </row>
    <row r="464">
      <c r="A464" t="n" s="2909">
        <v>21</v>
      </c>
      <c r="AA464" t="n" s="2909">
        <v>21</v>
      </c>
      <c r="AB464" t="inlineStr" s="2909">
        <is>
          <t>20120401</t>
        </is>
      </c>
      <c r="AD464" t="n" s="2909">
        <v>12</v>
      </c>
      <c r="AE464" t="inlineStr" s="2909">
        <is>
          <t>20140401</t>
        </is>
      </c>
      <c r="AH464" t="n" s="2909">
        <v>0</v>
      </c>
      <c r="AJ464" t="n" s="2909">
        <v>10</v>
      </c>
      <c r="AP464" t="n" s="2909">
        <v>388688</v>
      </c>
      <c r="DB464" s="2909" t="str">
        <f>IF($A464="","",IF($A464&lt;&gt;21,"対象外",IF($AE464&amp;""="00000000","在職",IF($AE464&amp;""='DB_設定'!$C$4,"4/1喪失","その他喪失"))))</f>
        <v>その他喪失</v>
      </c>
    </row>
    <row r="465">
      <c r="A465" t="n" s="2909">
        <v>21</v>
      </c>
      <c r="AA465" t="n" s="2909">
        <v>21</v>
      </c>
      <c r="AB465" t="inlineStr" s="2909">
        <is>
          <t>19870401</t>
        </is>
      </c>
      <c r="AD465" t="n" s="2909">
        <v>12</v>
      </c>
      <c r="AE465" t="inlineStr" s="2909">
        <is>
          <t>20240401</t>
        </is>
      </c>
      <c r="AH465" t="n" s="2909">
        <v>1</v>
      </c>
      <c r="AJ465" t="n" s="2909">
        <v>10</v>
      </c>
      <c r="AP465" t="n" s="2909">
        <v>560000</v>
      </c>
      <c r="DB465" s="2909" t="str">
        <f>IF($A465="","",IF($A465&lt;&gt;21,"対象外",IF($AE465&amp;""="00000000","在職",IF($AE465&amp;""='DB_設定'!$C$4,"4/1喪失","その他喪失"))))</f>
        <v>その他喪失</v>
      </c>
    </row>
    <row r="466">
      <c r="A466" t="n" s="2909">
        <v>21</v>
      </c>
      <c r="AA466" t="n" s="2909">
        <v>21</v>
      </c>
      <c r="AB466" t="inlineStr" s="2909">
        <is>
          <t>19900401</t>
        </is>
      </c>
      <c r="AD466" t="n" s="2909">
        <v>12</v>
      </c>
      <c r="AE466" t="inlineStr" s="2909">
        <is>
          <t>20250401</t>
        </is>
      </c>
      <c r="AH466" t="n" s="2909">
        <v>4</v>
      </c>
      <c r="AJ466" t="n" s="2909">
        <v>11</v>
      </c>
      <c r="AP466" t="n" s="2909">
        <v>710000</v>
      </c>
      <c r="DB466" s="2909" t="str">
        <f>IF($A466="","",IF($A466&lt;&gt;21,"対象外",IF($AE466&amp;""="00000000","在職",IF($AE466&amp;""='DB_設定'!$C$4,"4/1喪失","その他喪失"))))</f>
        <v>4/1喪失</v>
      </c>
    </row>
    <row r="467">
      <c r="A467" t="n" s="2909">
        <v>31</v>
      </c>
      <c r="AA467" t="n" s="2909">
        <v>21</v>
      </c>
      <c r="AB467" t="inlineStr" s="2909">
        <is>
          <t>20221001</t>
        </is>
      </c>
      <c r="AD467" t="n" s="2909">
        <v>12</v>
      </c>
      <c r="AE467" t="inlineStr" s="2909">
        <is>
          <t>20230401</t>
        </is>
      </c>
      <c r="AH467" t="n" s="2909">
        <v>1</v>
      </c>
      <c r="AJ467" t="n" s="2909">
        <v>41</v>
      </c>
      <c r="AP467" t="n" s="2909">
        <v>142000</v>
      </c>
      <c r="DB467" s="2909" t="str">
        <f>IF($A467="","",IF($A467&lt;&gt;21,"対象外",IF($AE467&amp;""="00000000","在職",IF($AE467&amp;""='DB_設定'!$C$4,"4/1喪失","その他喪失"))))</f>
        <v>対象外</v>
      </c>
    </row>
    <row r="468">
      <c r="A468" t="n" s="2909">
        <v>21</v>
      </c>
      <c r="AA468" t="n" s="2909">
        <v>21</v>
      </c>
      <c r="AB468" t="inlineStr" s="2909">
        <is>
          <t>20070401</t>
        </is>
      </c>
      <c r="AD468" t="n" s="2909">
        <v>12</v>
      </c>
      <c r="AE468" t="inlineStr" s="2909">
        <is>
          <t>20100401</t>
        </is>
      </c>
      <c r="AH468" t="n" s="2909">
        <v>0</v>
      </c>
      <c r="AJ468" t="n" s="2909">
        <v>10</v>
      </c>
      <c r="AP468" t="n" s="2909">
        <v>383500</v>
      </c>
      <c r="DB468" s="2909" t="str">
        <f>IF($A468="","",IF($A468&lt;&gt;21,"対象外",IF($AE468&amp;""="00000000","在職",IF($AE468&amp;""='DB_設定'!$C$4,"4/1喪失","その他喪失"))))</f>
        <v>その他喪失</v>
      </c>
    </row>
    <row r="469">
      <c r="A469" t="n" s="2909">
        <v>21</v>
      </c>
      <c r="AA469" t="n" s="2909">
        <v>21</v>
      </c>
      <c r="AB469" t="inlineStr" s="2909">
        <is>
          <t>19880401</t>
        </is>
      </c>
      <c r="AD469" t="n" s="2909">
        <v>12</v>
      </c>
      <c r="AE469" t="inlineStr" s="2909">
        <is>
          <t>20250401</t>
        </is>
      </c>
      <c r="AH469" t="n" s="2909">
        <v>1</v>
      </c>
      <c r="AJ469" t="n" s="2909">
        <v>10</v>
      </c>
      <c r="AP469" t="n" s="2909">
        <v>790000</v>
      </c>
      <c r="DB469" s="2909" t="str">
        <f>IF($A469="","",IF($A469&lt;&gt;21,"対象外",IF($AE469&amp;""="00000000","在職",IF($AE469&amp;""='DB_設定'!$C$4,"4/1喪失","その他喪失"))))</f>
        <v>4/1喪失</v>
      </c>
    </row>
    <row r="470">
      <c r="A470" t="n" s="2909">
        <v>21</v>
      </c>
      <c r="AA470" t="n" s="2909">
        <v>21</v>
      </c>
      <c r="AB470" t="inlineStr" s="2909">
        <is>
          <t>19870401</t>
        </is>
      </c>
      <c r="AD470" t="n" s="2909">
        <v>12</v>
      </c>
      <c r="AE470" t="inlineStr" s="2909">
        <is>
          <t>20230401</t>
        </is>
      </c>
      <c r="AH470" t="n" s="2909">
        <v>1</v>
      </c>
      <c r="AJ470" t="n" s="2909">
        <v>10</v>
      </c>
      <c r="AP470" t="n" s="2909">
        <v>680000</v>
      </c>
      <c r="DB470" s="2909" t="str">
        <f>IF($A470="","",IF($A470&lt;&gt;21,"対象外",IF($AE470&amp;""="00000000","在職",IF($AE470&amp;""='DB_設定'!$C$4,"4/1喪失","その他喪失"))))</f>
        <v>その他喪失</v>
      </c>
    </row>
    <row r="471">
      <c r="A471" t="n" s="2909">
        <v>21</v>
      </c>
      <c r="AA471" t="n" s="2909">
        <v>21</v>
      </c>
      <c r="AB471" t="inlineStr" s="2909">
        <is>
          <t>19870401</t>
        </is>
      </c>
      <c r="AD471" t="n" s="2909">
        <v>12</v>
      </c>
      <c r="AE471" t="inlineStr" s="2909">
        <is>
          <t>20250401</t>
        </is>
      </c>
      <c r="AH471" t="n" s="2909">
        <v>1</v>
      </c>
      <c r="AJ471" t="n" s="2909">
        <v>10</v>
      </c>
      <c r="AP471" t="n" s="2909">
        <v>650000</v>
      </c>
      <c r="DB471" s="2909" t="str">
        <f>IF($A471="","",IF($A471&lt;&gt;21,"対象外",IF($AE471&amp;""="00000000","在職",IF($AE471&amp;""='DB_設定'!$C$4,"4/1喪失","その他喪失"))))</f>
        <v>4/1喪失</v>
      </c>
    </row>
    <row r="472">
      <c r="A472" t="n" s="2909">
        <v>21</v>
      </c>
      <c r="AA472" t="n" s="2909">
        <v>21</v>
      </c>
      <c r="AB472" t="inlineStr" s="2909">
        <is>
          <t>19890401</t>
        </is>
      </c>
      <c r="AD472" t="n" s="2909">
        <v>12</v>
      </c>
      <c r="AE472" t="inlineStr" s="2909">
        <is>
          <t>20250701</t>
        </is>
      </c>
      <c r="AH472" t="n" s="2909">
        <v>1</v>
      </c>
      <c r="AJ472" t="n" s="2909">
        <v>11</v>
      </c>
      <c r="AP472" t="n" s="2909">
        <v>1090000</v>
      </c>
      <c r="DB472" s="2909" t="str">
        <f>IF($A472="","",IF($A472&lt;&gt;21,"対象外",IF($AE472&amp;""="00000000","在職",IF($AE472&amp;""='DB_設定'!$C$4,"4/1喪失","その他喪失"))))</f>
        <v>その他喪失</v>
      </c>
    </row>
    <row r="473">
      <c r="A473" t="n" s="2909">
        <v>21</v>
      </c>
      <c r="AA473" t="n" s="2909">
        <v>21</v>
      </c>
      <c r="AB473" t="inlineStr" s="2909">
        <is>
          <t>19870401</t>
        </is>
      </c>
      <c r="AD473" t="n" s="2909">
        <v>12</v>
      </c>
      <c r="AE473" t="inlineStr" s="2909">
        <is>
          <t>20230401</t>
        </is>
      </c>
      <c r="AH473" t="n" s="2909">
        <v>1</v>
      </c>
      <c r="AJ473" t="n" s="2909">
        <v>10</v>
      </c>
      <c r="AP473" t="n" s="2909">
        <v>750000</v>
      </c>
      <c r="DB473" s="2909" t="str">
        <f>IF($A473="","",IF($A473&lt;&gt;21,"対象外",IF($AE473&amp;""="00000000","在職",IF($AE473&amp;""='DB_設定'!$C$4,"4/1喪失","その他喪失"))))</f>
        <v>その他喪失</v>
      </c>
    </row>
    <row r="474">
      <c r="A474" t="n" s="2909">
        <v>21</v>
      </c>
      <c r="AA474" t="n" s="2909">
        <v>21</v>
      </c>
      <c r="AB474" t="inlineStr" s="2909">
        <is>
          <t>19880401</t>
        </is>
      </c>
      <c r="AD474" t="n" s="2909">
        <v>11</v>
      </c>
      <c r="AE474" t="inlineStr" s="2909">
        <is>
          <t>20250401</t>
        </is>
      </c>
      <c r="AH474" t="n" s="2909">
        <v>1</v>
      </c>
      <c r="AJ474" t="n" s="2909">
        <v>10</v>
      </c>
      <c r="AP474" t="n" s="2909">
        <v>680000</v>
      </c>
      <c r="DB474" s="2909" t="str">
        <f>IF($A474="","",IF($A474&lt;&gt;21,"対象外",IF($AE474&amp;""="00000000","在職",IF($AE474&amp;""='DB_設定'!$C$4,"4/1喪失","その他喪失"))))</f>
        <v>4/1喪失</v>
      </c>
    </row>
    <row r="475">
      <c r="A475" t="n" s="2909">
        <v>21</v>
      </c>
      <c r="AA475" t="n" s="2909">
        <v>21</v>
      </c>
      <c r="AB475" t="inlineStr" s="2909">
        <is>
          <t>19870401</t>
        </is>
      </c>
      <c r="AD475" t="n" s="2909">
        <v>12</v>
      </c>
      <c r="AE475" t="inlineStr" s="2909">
        <is>
          <t>20250401</t>
        </is>
      </c>
      <c r="AH475" t="n" s="2909">
        <v>4</v>
      </c>
      <c r="AJ475" t="n" s="2909">
        <v>10</v>
      </c>
      <c r="AP475" t="n" s="2909">
        <v>620000</v>
      </c>
      <c r="DB475" s="2909" t="str">
        <f>IF($A475="","",IF($A475&lt;&gt;21,"対象外",IF($AE475&amp;""="00000000","在職",IF($AE475&amp;""='DB_設定'!$C$4,"4/1喪失","その他喪失"))))</f>
        <v>4/1喪失</v>
      </c>
    </row>
    <row r="476">
      <c r="A476" t="n" s="2909">
        <v>21</v>
      </c>
      <c r="AA476" t="n" s="2909">
        <v>21</v>
      </c>
      <c r="AB476" t="inlineStr" s="2909">
        <is>
          <t>19880401</t>
        </is>
      </c>
      <c r="AD476" t="n" s="2909">
        <v>12</v>
      </c>
      <c r="AE476" t="inlineStr" s="2909">
        <is>
          <t>20250401</t>
        </is>
      </c>
      <c r="AH476" t="n" s="2909">
        <v>1</v>
      </c>
      <c r="AJ476" t="n" s="2909">
        <v>10</v>
      </c>
      <c r="AP476" t="n" s="2909">
        <v>590000</v>
      </c>
      <c r="DB476" s="2909" t="str">
        <f>IF($A476="","",IF($A476&lt;&gt;21,"対象外",IF($AE476&amp;""="00000000","在職",IF($AE476&amp;""='DB_設定'!$C$4,"4/1喪失","その他喪失"))))</f>
        <v>4/1喪失</v>
      </c>
    </row>
    <row r="477">
      <c r="A477" t="n" s="2909">
        <v>21</v>
      </c>
      <c r="AA477" t="n" s="2909">
        <v>21</v>
      </c>
      <c r="AB477" t="inlineStr" s="2909">
        <is>
          <t>19880401</t>
        </is>
      </c>
      <c r="AD477" t="n" s="2909">
        <v>11</v>
      </c>
      <c r="AE477" t="inlineStr" s="2909">
        <is>
          <t>20250401</t>
        </is>
      </c>
      <c r="AH477" t="n" s="2909">
        <v>1</v>
      </c>
      <c r="AJ477" t="n" s="2909">
        <v>10</v>
      </c>
      <c r="AP477" t="n" s="2909">
        <v>620000</v>
      </c>
      <c r="DB477" s="2909" t="str">
        <f>IF($A477="","",IF($A477&lt;&gt;21,"対象外",IF($AE477&amp;""="00000000","在職",IF($AE477&amp;""='DB_設定'!$C$4,"4/1喪失","その他喪失"))))</f>
        <v>4/1喪失</v>
      </c>
    </row>
    <row r="478">
      <c r="A478" t="n" s="2909">
        <v>21</v>
      </c>
      <c r="AA478" t="n" s="2909">
        <v>21</v>
      </c>
      <c r="AB478" t="inlineStr" s="2909">
        <is>
          <t>20030401</t>
        </is>
      </c>
      <c r="AD478" t="n" s="2909">
        <v>12</v>
      </c>
      <c r="AE478" t="inlineStr" s="2909">
        <is>
          <t>20180401</t>
        </is>
      </c>
      <c r="AH478" t="n" s="2909">
        <v>11</v>
      </c>
      <c r="AJ478" t="n" s="2909">
        <v>10</v>
      </c>
      <c r="AP478" t="n" s="2909">
        <v>590000</v>
      </c>
      <c r="DB478" s="2909" t="str">
        <f>IF($A478="","",IF($A478&lt;&gt;21,"対象外",IF($AE478&amp;""="00000000","在職",IF($AE478&amp;""='DB_設定'!$C$4,"4/1喪失","その他喪失"))))</f>
        <v>その他喪失</v>
      </c>
    </row>
    <row r="479">
      <c r="A479" t="n" s="2909">
        <v>21</v>
      </c>
      <c r="AA479" t="n" s="2909">
        <v>21</v>
      </c>
      <c r="AB479" t="inlineStr" s="2909">
        <is>
          <t>19850401</t>
        </is>
      </c>
      <c r="AD479" t="n" s="2909">
        <v>12</v>
      </c>
      <c r="AE479" t="inlineStr" s="2909">
        <is>
          <t>20250401</t>
        </is>
      </c>
      <c r="AH479" t="n" s="2909">
        <v>1</v>
      </c>
      <c r="AJ479" t="n" s="2909">
        <v>10</v>
      </c>
      <c r="AP479" t="n" s="2909">
        <v>560000</v>
      </c>
      <c r="DB479" s="2909" t="str">
        <f>IF($A479="","",IF($A479&lt;&gt;21,"対象外",IF($AE479&amp;""="00000000","在職",IF($AE479&amp;""='DB_設定'!$C$4,"4/1喪失","その他喪失"))))</f>
        <v>4/1喪失</v>
      </c>
    </row>
    <row r="480">
      <c r="A480" t="n" s="2909">
        <v>21</v>
      </c>
      <c r="AA480" t="n" s="2909">
        <v>21</v>
      </c>
      <c r="AB480" t="inlineStr" s="2909">
        <is>
          <t>19880401</t>
        </is>
      </c>
      <c r="AD480" t="n" s="2909">
        <v>12</v>
      </c>
      <c r="AE480" t="inlineStr" s="2909">
        <is>
          <t>20250401</t>
        </is>
      </c>
      <c r="AH480" t="n" s="2909">
        <v>14</v>
      </c>
      <c r="AJ480" t="n" s="2909">
        <v>10</v>
      </c>
      <c r="AP480" t="n" s="2909">
        <v>710000</v>
      </c>
      <c r="DB480" s="2909" t="str">
        <f>IF($A480="","",IF($A480&lt;&gt;21,"対象外",IF($AE480&amp;""="00000000","在職",IF($AE480&amp;""='DB_設定'!$C$4,"4/1喪失","その他喪失"))))</f>
        <v>4/1喪失</v>
      </c>
    </row>
    <row r="481">
      <c r="A481" t="n" s="2909">
        <v>21</v>
      </c>
      <c r="AA481" t="n" s="2909">
        <v>21</v>
      </c>
      <c r="AB481" t="inlineStr" s="2909">
        <is>
          <t>19880401</t>
        </is>
      </c>
      <c r="AD481" t="n" s="2909">
        <v>11</v>
      </c>
      <c r="AE481" t="inlineStr" s="2909">
        <is>
          <t>20250401</t>
        </is>
      </c>
      <c r="AH481" t="n" s="2909">
        <v>1</v>
      </c>
      <c r="AJ481" t="n" s="2909">
        <v>10</v>
      </c>
      <c r="AP481" t="n" s="2909">
        <v>650000</v>
      </c>
      <c r="DB481" s="2909" t="str">
        <f>IF($A481="","",IF($A481&lt;&gt;21,"対象外",IF($AE481&amp;""="00000000","在職",IF($AE481&amp;""='DB_設定'!$C$4,"4/1喪失","その他喪失"))))</f>
        <v>4/1喪失</v>
      </c>
    </row>
    <row r="482">
      <c r="A482" t="n" s="2909">
        <v>21</v>
      </c>
      <c r="AA482" t="n" s="2909">
        <v>21</v>
      </c>
      <c r="AB482" t="inlineStr" s="2909">
        <is>
          <t>19830401</t>
        </is>
      </c>
      <c r="AD482" t="n" s="2909">
        <v>12</v>
      </c>
      <c r="AE482" t="inlineStr" s="2909">
        <is>
          <t>20250401</t>
        </is>
      </c>
      <c r="AH482" t="n" s="2909">
        <v>11</v>
      </c>
      <c r="AJ482" t="n" s="2909">
        <v>10</v>
      </c>
      <c r="AP482" t="n" s="2909">
        <v>470000</v>
      </c>
      <c r="DB482" s="2909" t="str">
        <f>IF($A482="","",IF($A482&lt;&gt;21,"対象外",IF($AE482&amp;""="00000000","在職",IF($AE482&amp;""='DB_設定'!$C$4,"4/1喪失","その他喪失"))))</f>
        <v>4/1喪失</v>
      </c>
    </row>
    <row r="483">
      <c r="A483" t="n" s="2909">
        <v>31</v>
      </c>
      <c r="AA483" t="n" s="2909">
        <v>21</v>
      </c>
      <c r="AB483" t="inlineStr" s="2909">
        <is>
          <t>20250401</t>
        </is>
      </c>
      <c r="AD483" t="n" s="2909">
        <v>12</v>
      </c>
      <c r="AE483" t="inlineStr" s="2909">
        <is>
          <t>20250701</t>
        </is>
      </c>
      <c r="AH483" t="n" s="2909">
        <v>1</v>
      </c>
      <c r="AJ483" t="n" s="2909">
        <v>41</v>
      </c>
      <c r="AP483" t="n" s="2909">
        <v>260000</v>
      </c>
      <c r="DB483" s="2909" t="str">
        <f>IF($A483="","",IF($A483&lt;&gt;21,"対象外",IF($AE483&amp;""="00000000","在職",IF($AE483&amp;""='DB_設定'!$C$4,"4/1喪失","その他喪失"))))</f>
        <v>対象外</v>
      </c>
    </row>
    <row r="484">
      <c r="A484" t="n" s="2909">
        <v>21</v>
      </c>
      <c r="AA484" t="n" s="2909">
        <v>21</v>
      </c>
      <c r="AB484" t="inlineStr" s="2909">
        <is>
          <t>19910401</t>
        </is>
      </c>
      <c r="AD484" t="n" s="2909">
        <v>12</v>
      </c>
      <c r="AE484" t="inlineStr" s="2909">
        <is>
          <t>20200401</t>
        </is>
      </c>
      <c r="AH484" t="n" s="2909">
        <v>11</v>
      </c>
      <c r="AJ484" t="n" s="2909">
        <v>10</v>
      </c>
      <c r="AP484" t="n" s="2909">
        <v>470000</v>
      </c>
      <c r="DB484" s="2909" t="str">
        <f>IF($A484="","",IF($A484&lt;&gt;21,"対象外",IF($AE484&amp;""="00000000","在職",IF($AE484&amp;""='DB_設定'!$C$4,"4/1喪失","その他喪失"))))</f>
        <v>その他喪失</v>
      </c>
    </row>
    <row r="485">
      <c r="A485" t="n" s="2909">
        <v>21</v>
      </c>
      <c r="AA485" t="n" s="2909">
        <v>21</v>
      </c>
      <c r="AB485" t="inlineStr" s="2909">
        <is>
          <t>19830401</t>
        </is>
      </c>
      <c r="AD485" t="n" s="2909">
        <v>12</v>
      </c>
      <c r="AE485" t="inlineStr" s="2909">
        <is>
          <t>20250401</t>
        </is>
      </c>
      <c r="AH485" t="n" s="2909">
        <v>1</v>
      </c>
      <c r="AJ485" t="n" s="2909">
        <v>10</v>
      </c>
      <c r="AP485" t="n" s="2909">
        <v>560000</v>
      </c>
      <c r="DB485" s="2909" t="str">
        <f>IF($A485="","",IF($A485&lt;&gt;21,"対象外",IF($AE485&amp;""="00000000","在職",IF($AE485&amp;""='DB_設定'!$C$4,"4/1喪失","その他喪失"))))</f>
        <v>4/1喪失</v>
      </c>
    </row>
    <row r="486">
      <c r="A486" t="n" s="2909">
        <v>21</v>
      </c>
      <c r="AA486" t="n" s="2909">
        <v>21</v>
      </c>
      <c r="AB486" t="inlineStr" s="2909">
        <is>
          <t>19830401</t>
        </is>
      </c>
      <c r="AD486" t="n" s="2909">
        <v>12</v>
      </c>
      <c r="AE486" t="inlineStr" s="2909">
        <is>
          <t>20090401</t>
        </is>
      </c>
      <c r="AH486" t="n" s="2909">
        <v>0</v>
      </c>
      <c r="AJ486" t="n" s="2909">
        <v>10</v>
      </c>
      <c r="AP486" t="n" s="2909">
        <v>360000</v>
      </c>
      <c r="DB486" s="2909" t="str">
        <f>IF($A486="","",IF($A486&lt;&gt;21,"対象外",IF($AE486&amp;""="00000000","在職",IF($AE486&amp;""='DB_設定'!$C$4,"4/1喪失","その他喪失"))))</f>
        <v>その他喪失</v>
      </c>
    </row>
    <row r="487">
      <c r="A487" t="n" s="2909">
        <v>21</v>
      </c>
      <c r="AA487" t="n" s="2909">
        <v>21</v>
      </c>
      <c r="AB487" t="inlineStr" s="2909">
        <is>
          <t>20080401</t>
        </is>
      </c>
      <c r="AD487" t="n" s="2909">
        <v>12</v>
      </c>
      <c r="AE487" t="inlineStr" s="2909">
        <is>
          <t>20100401</t>
        </is>
      </c>
      <c r="AH487" t="n" s="2909">
        <v>0</v>
      </c>
      <c r="AJ487" t="n" s="2909">
        <v>10</v>
      </c>
      <c r="AP487" t="n" s="2909">
        <v>403000</v>
      </c>
      <c r="DB487" s="2909" t="str">
        <f>IF($A487="","",IF($A487&lt;&gt;21,"対象外",IF($AE487&amp;""="00000000","在職",IF($AE487&amp;""='DB_設定'!$C$4,"4/1喪失","その他喪失"))))</f>
        <v>その他喪失</v>
      </c>
    </row>
    <row r="488">
      <c r="A488" t="n" s="2909">
        <v>21</v>
      </c>
      <c r="AA488" t="n" s="2909">
        <v>21</v>
      </c>
      <c r="AB488" t="inlineStr" s="2909">
        <is>
          <t>19880401</t>
        </is>
      </c>
      <c r="AD488" t="n" s="2909">
        <v>15</v>
      </c>
      <c r="AE488" t="inlineStr" s="2909">
        <is>
          <t>20210806</t>
        </is>
      </c>
      <c r="AH488" t="n" s="2909">
        <v>1</v>
      </c>
      <c r="AJ488" t="n" s="2909">
        <v>10</v>
      </c>
      <c r="AP488" t="n" s="2909">
        <v>750000</v>
      </c>
      <c r="DB488" s="2909" t="str">
        <f>IF($A488="","",IF($A488&lt;&gt;21,"対象外",IF($AE488&amp;""="00000000","在職",IF($AE488&amp;""='DB_設定'!$C$4,"4/1喪失","その他喪失"))))</f>
        <v>その他喪失</v>
      </c>
    </row>
    <row r="489">
      <c r="A489" t="n" s="2909">
        <v>21</v>
      </c>
      <c r="AA489" t="n" s="2909">
        <v>24</v>
      </c>
      <c r="AB489" t="inlineStr" s="2909">
        <is>
          <t>20190401</t>
        </is>
      </c>
      <c r="AD489" t="n" s="2909">
        <v>11</v>
      </c>
      <c r="AE489" t="inlineStr" s="2909">
        <is>
          <t>20250401</t>
        </is>
      </c>
      <c r="AH489" t="n" s="2909">
        <v>1</v>
      </c>
      <c r="AJ489" t="n" s="2909">
        <v>10</v>
      </c>
      <c r="AP489" t="n" s="2909">
        <v>560000</v>
      </c>
      <c r="DB489" s="2909" t="str">
        <f>IF($A489="","",IF($A489&lt;&gt;21,"対象外",IF($AE489&amp;""="00000000","在職",IF($AE489&amp;""='DB_設定'!$C$4,"4/1喪失","その他喪失"))))</f>
        <v>4/1喪失</v>
      </c>
    </row>
    <row r="490">
      <c r="A490" t="n" s="2909">
        <v>21</v>
      </c>
      <c r="AA490" t="n" s="2909">
        <v>21</v>
      </c>
      <c r="AB490" t="inlineStr" s="2909">
        <is>
          <t>20190401</t>
        </is>
      </c>
      <c r="AD490" t="n" s="2909">
        <v>12</v>
      </c>
      <c r="AE490" t="inlineStr" s="2909">
        <is>
          <t>20220701</t>
        </is>
      </c>
      <c r="AH490" t="n" s="2909">
        <v>11</v>
      </c>
      <c r="AJ490" t="n" s="2909">
        <v>10</v>
      </c>
      <c r="AP490" t="n" s="2909">
        <v>360000</v>
      </c>
      <c r="DB490" s="2909" t="str">
        <f>IF($A490="","",IF($A490&lt;&gt;21,"対象外",IF($AE490&amp;""="00000000","在職",IF($AE490&amp;""='DB_設定'!$C$4,"4/1喪失","その他喪失"))))</f>
        <v>その他喪失</v>
      </c>
    </row>
    <row r="491">
      <c r="A491" t="n" s="2909">
        <v>21</v>
      </c>
      <c r="AA491" t="n" s="2909">
        <v>21</v>
      </c>
      <c r="AB491" t="inlineStr" s="2909">
        <is>
          <t>19870401</t>
        </is>
      </c>
      <c r="AD491" t="n" s="2909">
        <v>12</v>
      </c>
      <c r="AE491" t="inlineStr" s="2909">
        <is>
          <t>20250401</t>
        </is>
      </c>
      <c r="AH491" t="n" s="2909">
        <v>1</v>
      </c>
      <c r="AJ491" t="n" s="2909">
        <v>10</v>
      </c>
      <c r="AP491" t="n" s="2909">
        <v>560000</v>
      </c>
      <c r="DB491" s="2909" t="str">
        <f>IF($A491="","",IF($A491&lt;&gt;21,"対象外",IF($AE491&amp;""="00000000","在職",IF($AE491&amp;""='DB_設定'!$C$4,"4/1喪失","その他喪失"))))</f>
        <v>4/1喪失</v>
      </c>
    </row>
    <row r="492">
      <c r="A492" t="n" s="2909">
        <v>21</v>
      </c>
      <c r="AA492" t="n" s="2909">
        <v>21</v>
      </c>
      <c r="AB492" t="inlineStr" s="2909">
        <is>
          <t>19880401</t>
        </is>
      </c>
      <c r="AD492" t="n" s="2909">
        <v>12</v>
      </c>
      <c r="AE492" t="inlineStr" s="2909">
        <is>
          <t>20250401</t>
        </is>
      </c>
      <c r="AH492" t="n" s="2909">
        <v>1</v>
      </c>
      <c r="AJ492" t="n" s="2909">
        <v>10</v>
      </c>
      <c r="AP492" t="n" s="2909">
        <v>620000</v>
      </c>
      <c r="DB492" s="2909" t="str">
        <f>IF($A492="","",IF($A492&lt;&gt;21,"対象外",IF($AE492&amp;""="00000000","在職",IF($AE492&amp;""='DB_設定'!$C$4,"4/1喪失","その他喪失"))))</f>
        <v>4/1喪失</v>
      </c>
    </row>
    <row r="493">
      <c r="A493" t="n" s="2909">
        <v>21</v>
      </c>
      <c r="AA493" t="n" s="2909">
        <v>21</v>
      </c>
      <c r="AB493" t="inlineStr" s="2909">
        <is>
          <t>19880401</t>
        </is>
      </c>
      <c r="AD493" t="n" s="2909">
        <v>12</v>
      </c>
      <c r="AE493" t="inlineStr" s="2909">
        <is>
          <t>20250401</t>
        </is>
      </c>
      <c r="AH493" t="n" s="2909">
        <v>1</v>
      </c>
      <c r="AJ493" t="n" s="2909">
        <v>10</v>
      </c>
      <c r="AP493" t="n" s="2909">
        <v>620000</v>
      </c>
      <c r="DB493" s="2909" t="str">
        <f>IF($A493="","",IF($A493&lt;&gt;21,"対象外",IF($AE493&amp;""="00000000","在職",IF($AE493&amp;""='DB_設定'!$C$4,"4/1喪失","その他喪失"))))</f>
        <v>4/1喪失</v>
      </c>
    </row>
    <row r="494">
      <c r="A494" t="n" s="2909">
        <v>21</v>
      </c>
      <c r="AA494" t="n" s="2909">
        <v>21</v>
      </c>
      <c r="AB494" t="inlineStr" s="2909">
        <is>
          <t>19870401</t>
        </is>
      </c>
      <c r="AD494" t="n" s="2909">
        <v>12</v>
      </c>
      <c r="AE494" t="inlineStr" s="2909">
        <is>
          <t>20250401</t>
        </is>
      </c>
      <c r="AH494" t="n" s="2909">
        <v>13</v>
      </c>
      <c r="AJ494" t="n" s="2909">
        <v>10</v>
      </c>
      <c r="AP494" t="n" s="2909">
        <v>710000</v>
      </c>
      <c r="DB494" s="2909" t="str">
        <f>IF($A494="","",IF($A494&lt;&gt;21,"対象外",IF($AE494&amp;""="00000000","在職",IF($AE494&amp;""='DB_設定'!$C$4,"4/1喪失","その他喪失"))))</f>
        <v>4/1喪失</v>
      </c>
    </row>
    <row r="495">
      <c r="A495" t="n" s="2909">
        <v>21</v>
      </c>
      <c r="AA495" t="n" s="2909">
        <v>21</v>
      </c>
      <c r="AB495" t="inlineStr" s="2909">
        <is>
          <t>20190401</t>
        </is>
      </c>
      <c r="AD495" t="n" s="2909">
        <v>12</v>
      </c>
      <c r="AE495" t="inlineStr" s="2909">
        <is>
          <t>20220401</t>
        </is>
      </c>
      <c r="AH495" t="n" s="2909">
        <v>1</v>
      </c>
      <c r="AJ495" t="n" s="2909">
        <v>10</v>
      </c>
      <c r="AP495" t="n" s="2909">
        <v>830000</v>
      </c>
      <c r="DB495" s="2909" t="str">
        <f>IF($A495="","",IF($A495&lt;&gt;21,"対象外",IF($AE495&amp;""="00000000","在職",IF($AE495&amp;""='DB_設定'!$C$4,"4/1喪失","その他喪失"))))</f>
        <v>その他喪失</v>
      </c>
    </row>
    <row r="496">
      <c r="A496" t="n" s="2909">
        <v>21</v>
      </c>
      <c r="AA496" t="n" s="2909">
        <v>21</v>
      </c>
      <c r="AB496" t="inlineStr" s="2909">
        <is>
          <t>19870401</t>
        </is>
      </c>
      <c r="AD496" t="n" s="2909">
        <v>12</v>
      </c>
      <c r="AE496" t="inlineStr" s="2909">
        <is>
          <t>20241001</t>
        </is>
      </c>
      <c r="AH496" t="n" s="2909">
        <v>1</v>
      </c>
      <c r="AJ496" t="n" s="2909">
        <v>10</v>
      </c>
      <c r="AP496" t="n" s="2909">
        <v>500000</v>
      </c>
      <c r="DB496" s="2909" t="str">
        <f>IF($A496="","",IF($A496&lt;&gt;21,"対象外",IF($AE496&amp;""="00000000","在職",IF($AE496&amp;""='DB_設定'!$C$4,"4/1喪失","その他喪失"))))</f>
        <v>その他喪失</v>
      </c>
    </row>
    <row r="497">
      <c r="A497" t="n" s="2909">
        <v>21</v>
      </c>
      <c r="AA497" t="n" s="2909">
        <v>21</v>
      </c>
      <c r="AB497" t="inlineStr" s="2909">
        <is>
          <t>19830401</t>
        </is>
      </c>
      <c r="AD497" t="n" s="2909">
        <v>12</v>
      </c>
      <c r="AE497" t="inlineStr" s="2909">
        <is>
          <t>20250401</t>
        </is>
      </c>
      <c r="AH497" t="n" s="2909">
        <v>5</v>
      </c>
      <c r="AJ497" t="n" s="2909">
        <v>30</v>
      </c>
      <c r="AP497" t="n" s="2909">
        <v>590000</v>
      </c>
      <c r="DB497" s="2909" t="str">
        <f>IF($A497="","",IF($A497&lt;&gt;21,"対象外",IF($AE497&amp;""="00000000","在職",IF($AE497&amp;""='DB_設定'!$C$4,"4/1喪失","その他喪失"))))</f>
        <v>4/1喪失</v>
      </c>
    </row>
    <row r="498">
      <c r="A498" t="n" s="2909">
        <v>21</v>
      </c>
      <c r="AA498" t="n" s="2909">
        <v>21</v>
      </c>
      <c r="AB498" t="inlineStr" s="2909">
        <is>
          <t>19870401</t>
        </is>
      </c>
      <c r="AD498" t="n" s="2909">
        <v>12</v>
      </c>
      <c r="AE498" t="inlineStr" s="2909">
        <is>
          <t>20220401</t>
        </is>
      </c>
      <c r="AH498" t="n" s="2909">
        <v>1</v>
      </c>
      <c r="AJ498" t="n" s="2909">
        <v>10</v>
      </c>
      <c r="AP498" t="n" s="2909">
        <v>470000</v>
      </c>
      <c r="DB498" s="2909" t="str">
        <f>IF($A498="","",IF($A498&lt;&gt;21,"対象外",IF($AE498&amp;""="00000000","在職",IF($AE498&amp;""='DB_設定'!$C$4,"4/1喪失","その他喪失"))))</f>
        <v>その他喪失</v>
      </c>
    </row>
    <row r="499">
      <c r="A499" t="n" s="2909">
        <v>21</v>
      </c>
      <c r="AA499" t="n" s="2909">
        <v>21</v>
      </c>
      <c r="AB499" t="inlineStr" s="2909">
        <is>
          <t>19830401</t>
        </is>
      </c>
      <c r="AD499" t="n" s="2909">
        <v>12</v>
      </c>
      <c r="AE499" t="inlineStr" s="2909">
        <is>
          <t>20250401</t>
        </is>
      </c>
      <c r="AH499" t="n" s="2909">
        <v>5</v>
      </c>
      <c r="AJ499" t="n" s="2909">
        <v>30</v>
      </c>
      <c r="AP499" t="n" s="2909">
        <v>560000</v>
      </c>
      <c r="DB499" s="2909" t="str">
        <f>IF($A499="","",IF($A499&lt;&gt;21,"対象外",IF($AE499&amp;""="00000000","在職",IF($AE499&amp;""='DB_設定'!$C$4,"4/1喪失","その他喪失"))))</f>
        <v>4/1喪失</v>
      </c>
    </row>
    <row r="500">
      <c r="A500" t="n" s="2909">
        <v>21</v>
      </c>
      <c r="AA500" t="n" s="2909">
        <v>21</v>
      </c>
      <c r="AB500" t="inlineStr" s="2909">
        <is>
          <t>20080602</t>
        </is>
      </c>
      <c r="AD500" t="n" s="2909">
        <v>12</v>
      </c>
      <c r="AE500" t="inlineStr" s="2909">
        <is>
          <t>20091201</t>
        </is>
      </c>
      <c r="AH500" t="n" s="2909">
        <v>0</v>
      </c>
      <c r="AJ500" t="n" s="2909">
        <v>10</v>
      </c>
      <c r="AP500" t="n" s="2909">
        <v>1</v>
      </c>
      <c r="DB500" s="2909" t="str">
        <f>IF($A500="","",IF($A500&lt;&gt;21,"対象外",IF($AE500&amp;""="00000000","在職",IF($AE500&amp;""='DB_設定'!$C$4,"4/1喪失","その他喪失"))))</f>
        <v>その他喪失</v>
      </c>
    </row>
    <row r="501">
      <c r="A501" t="n" s="2909">
        <v>21</v>
      </c>
      <c r="AA501" t="n" s="2909">
        <v>21</v>
      </c>
      <c r="AB501" t="inlineStr" s="2909">
        <is>
          <t>20041001</t>
        </is>
      </c>
      <c r="AD501" t="n" s="2909">
        <v>12</v>
      </c>
      <c r="AE501" t="inlineStr" s="2909">
        <is>
          <t>20090401</t>
        </is>
      </c>
      <c r="AH501" t="n" s="2909">
        <v>0</v>
      </c>
      <c r="AJ501" t="n" s="2909">
        <v>10</v>
      </c>
      <c r="AP501" t="n" s="2909">
        <v>1022031</v>
      </c>
      <c r="DB501" s="2909" t="str">
        <f>IF($A501="","",IF($A501&lt;&gt;21,"対象外",IF($AE501&amp;""="00000000","在職",IF($AE501&amp;""='DB_設定'!$C$4,"4/1喪失","その他喪失"))))</f>
        <v>その他喪失</v>
      </c>
    </row>
    <row r="502">
      <c r="A502" t="n" s="2909">
        <v>21</v>
      </c>
      <c r="AA502" t="n" s="2909">
        <v>21</v>
      </c>
      <c r="AB502" t="inlineStr" s="2909">
        <is>
          <t>20000401</t>
        </is>
      </c>
      <c r="AD502" t="n" s="2909">
        <v>12</v>
      </c>
      <c r="AE502" t="inlineStr" s="2909">
        <is>
          <t>20090401</t>
        </is>
      </c>
      <c r="AH502" t="n" s="2909">
        <v>0</v>
      </c>
      <c r="AJ502" t="n" s="2909">
        <v>10</v>
      </c>
      <c r="AP502" t="n" s="2909">
        <v>1160999</v>
      </c>
      <c r="DB502" s="2909" t="str">
        <f>IF($A502="","",IF($A502&lt;&gt;21,"対象外",IF($AE502&amp;""="00000000","在職",IF($AE502&amp;""='DB_設定'!$C$4,"4/1喪失","その他喪失"))))</f>
        <v>その他喪失</v>
      </c>
    </row>
    <row r="503">
      <c r="A503" t="n" s="2909">
        <v>21</v>
      </c>
      <c r="AA503" t="n" s="2909">
        <v>21</v>
      </c>
      <c r="AB503" t="inlineStr" s="2909">
        <is>
          <t>19880401</t>
        </is>
      </c>
      <c r="AD503" t="n" s="2909">
        <v>12</v>
      </c>
      <c r="AE503" t="inlineStr" s="2909">
        <is>
          <t>20250401</t>
        </is>
      </c>
      <c r="AH503" t="n" s="2909">
        <v>1</v>
      </c>
      <c r="AJ503" t="n" s="2909">
        <v>10</v>
      </c>
      <c r="AP503" t="n" s="2909">
        <v>560000</v>
      </c>
      <c r="DB503" s="2909" t="str">
        <f>IF($A503="","",IF($A503&lt;&gt;21,"対象外",IF($AE503&amp;""="00000000","在職",IF($AE503&amp;""='DB_設定'!$C$4,"4/1喪失","その他喪失"))))</f>
        <v>4/1喪失</v>
      </c>
    </row>
    <row r="504">
      <c r="A504" t="n" s="2909">
        <v>21</v>
      </c>
      <c r="AA504" t="n" s="2909">
        <v>21</v>
      </c>
      <c r="AB504" t="inlineStr" s="2909">
        <is>
          <t>19831001</t>
        </is>
      </c>
      <c r="AD504" t="n" s="2909">
        <v>15</v>
      </c>
      <c r="AE504" t="inlineStr" s="2909">
        <is>
          <t>20200822</t>
        </is>
      </c>
      <c r="AH504" t="n" s="2909">
        <v>5</v>
      </c>
      <c r="AJ504" t="n" s="2909">
        <v>10</v>
      </c>
      <c r="AP504" t="n" s="2909">
        <v>620000</v>
      </c>
      <c r="DB504" s="2909" t="str">
        <f>IF($A504="","",IF($A504&lt;&gt;21,"対象外",IF($AE504&amp;""="00000000","在職",IF($AE504&amp;""='DB_設定'!$C$4,"4/1喪失","その他喪失"))))</f>
        <v>その他喪失</v>
      </c>
    </row>
    <row r="505">
      <c r="A505" t="n" s="2909">
        <v>21</v>
      </c>
      <c r="AA505" t="n" s="2909">
        <v>21</v>
      </c>
      <c r="AB505" t="inlineStr" s="2909">
        <is>
          <t>19900401</t>
        </is>
      </c>
      <c r="AD505" t="n" s="2909">
        <v>12</v>
      </c>
      <c r="AE505" t="inlineStr" s="2909">
        <is>
          <t>20250401</t>
        </is>
      </c>
      <c r="AH505" t="n" s="2909">
        <v>1</v>
      </c>
      <c r="AJ505" t="n" s="2909">
        <v>10</v>
      </c>
      <c r="AP505" t="n" s="2909">
        <v>620000</v>
      </c>
      <c r="DB505" s="2909" t="str">
        <f>IF($A505="","",IF($A505&lt;&gt;21,"対象外",IF($AE505&amp;""="00000000","在職",IF($AE505&amp;""='DB_設定'!$C$4,"4/1喪失","その他喪失"))))</f>
        <v>4/1喪失</v>
      </c>
    </row>
    <row r="506">
      <c r="A506" t="n" s="2909">
        <v>21</v>
      </c>
      <c r="AA506" t="n" s="2909">
        <v>21</v>
      </c>
      <c r="AB506" t="inlineStr" s="2909">
        <is>
          <t>19870401</t>
        </is>
      </c>
      <c r="AD506" t="n" s="2909">
        <v>12</v>
      </c>
      <c r="AE506" t="inlineStr" s="2909">
        <is>
          <t>20180401</t>
        </is>
      </c>
      <c r="AH506" t="n" s="2909">
        <v>1</v>
      </c>
      <c r="AJ506" t="n" s="2909">
        <v>10</v>
      </c>
      <c r="AP506" t="n" s="2909">
        <v>590000</v>
      </c>
      <c r="DB506" s="2909" t="str">
        <f>IF($A506="","",IF($A506&lt;&gt;21,"対象外",IF($AE506&amp;""="00000000","在職",IF($AE506&amp;""='DB_設定'!$C$4,"4/1喪失","その他喪失"))))</f>
        <v>その他喪失</v>
      </c>
    </row>
    <row r="507">
      <c r="A507" t="n" s="2909">
        <v>21</v>
      </c>
      <c r="AA507" t="n" s="2909">
        <v>21</v>
      </c>
      <c r="AB507" t="inlineStr" s="2909">
        <is>
          <t>19840401</t>
        </is>
      </c>
      <c r="AD507" t="n" s="2909">
        <v>12</v>
      </c>
      <c r="AE507" t="inlineStr" s="2909">
        <is>
          <t>20240101</t>
        </is>
      </c>
      <c r="AH507" t="n" s="2909">
        <v>1</v>
      </c>
      <c r="AJ507" t="n" s="2909">
        <v>10</v>
      </c>
      <c r="AP507" t="n" s="2909">
        <v>500000</v>
      </c>
      <c r="DB507" s="2909" t="str">
        <f>IF($A507="","",IF($A507&lt;&gt;21,"対象外",IF($AE507&amp;""="00000000","在職",IF($AE507&amp;""='DB_設定'!$C$4,"4/1喪失","その他喪失"))))</f>
        <v>その他喪失</v>
      </c>
    </row>
    <row r="508">
      <c r="A508" t="n" s="2909">
        <v>21</v>
      </c>
      <c r="AA508" t="n" s="2909">
        <v>21</v>
      </c>
      <c r="AB508" t="inlineStr" s="2909">
        <is>
          <t>20060401</t>
        </is>
      </c>
      <c r="AD508" t="n" s="2909">
        <v>12</v>
      </c>
      <c r="AE508" t="inlineStr" s="2909">
        <is>
          <t>20080401</t>
        </is>
      </c>
      <c r="AH508" t="n" s="2909">
        <v>0</v>
      </c>
      <c r="AJ508" t="n" s="2909">
        <v>10</v>
      </c>
      <c r="AP508" t="n" s="2909">
        <v>1</v>
      </c>
      <c r="DB508" s="2909" t="str">
        <f>IF($A508="","",IF($A508&lt;&gt;21,"対象外",IF($AE508&amp;""="00000000","在職",IF($AE508&amp;""='DB_設定'!$C$4,"4/1喪失","その他喪失"))))</f>
        <v>その他喪失</v>
      </c>
    </row>
    <row r="509">
      <c r="A509" t="n" s="2909">
        <v>21</v>
      </c>
      <c r="AA509" t="n" s="2909">
        <v>21</v>
      </c>
      <c r="AB509" t="inlineStr" s="2909">
        <is>
          <t>19880401</t>
        </is>
      </c>
      <c r="AD509" t="n" s="2909">
        <v>12</v>
      </c>
      <c r="AE509" t="inlineStr" s="2909">
        <is>
          <t>20250401</t>
        </is>
      </c>
      <c r="AH509" t="n" s="2909">
        <v>4</v>
      </c>
      <c r="AJ509" t="n" s="2909">
        <v>10</v>
      </c>
      <c r="AP509" t="n" s="2909">
        <v>590000</v>
      </c>
      <c r="DB509" s="2909" t="str">
        <f>IF($A509="","",IF($A509&lt;&gt;21,"対象外",IF($AE509&amp;""="00000000","在職",IF($AE509&amp;""='DB_設定'!$C$4,"4/1喪失","その他喪失"))))</f>
        <v>4/1喪失</v>
      </c>
    </row>
    <row r="510">
      <c r="A510" t="n" s="2909">
        <v>21</v>
      </c>
      <c r="AA510" t="n" s="2909">
        <v>21</v>
      </c>
      <c r="AB510" t="inlineStr" s="2909">
        <is>
          <t>19880401</t>
        </is>
      </c>
      <c r="AD510" t="n" s="2909">
        <v>12</v>
      </c>
      <c r="AE510" t="inlineStr" s="2909">
        <is>
          <t>20230401</t>
        </is>
      </c>
      <c r="AH510" t="n" s="2909">
        <v>1</v>
      </c>
      <c r="AJ510" t="n" s="2909">
        <v>10</v>
      </c>
      <c r="AP510" t="n" s="2909">
        <v>470000</v>
      </c>
      <c r="DB510" s="2909" t="str">
        <f>IF($A510="","",IF($A510&lt;&gt;21,"対象外",IF($AE510&amp;""="00000000","在職",IF($AE510&amp;""='DB_設定'!$C$4,"4/1喪失","その他喪失"))))</f>
        <v>その他喪失</v>
      </c>
    </row>
    <row r="511">
      <c r="A511" t="n" s="2909">
        <v>21</v>
      </c>
      <c r="AA511" t="n" s="2909">
        <v>21</v>
      </c>
      <c r="AB511" t="inlineStr" s="2909">
        <is>
          <t>19850320</t>
        </is>
      </c>
      <c r="AD511" t="n" s="2909">
        <v>12</v>
      </c>
      <c r="AE511" t="inlineStr" s="2909">
        <is>
          <t>20250401</t>
        </is>
      </c>
      <c r="AH511" t="n" s="2909">
        <v>5</v>
      </c>
      <c r="AJ511" t="n" s="2909">
        <v>10</v>
      </c>
      <c r="AP511" t="n" s="2909">
        <v>560000</v>
      </c>
      <c r="DB511" s="2909" t="str">
        <f>IF($A511="","",IF($A511&lt;&gt;21,"対象外",IF($AE511&amp;""="00000000","在職",IF($AE511&amp;""='DB_設定'!$C$4,"4/1喪失","その他喪失"))))</f>
        <v>4/1喪失</v>
      </c>
    </row>
    <row r="512">
      <c r="A512" t="n" s="2909">
        <v>21</v>
      </c>
      <c r="AA512" t="n" s="2909">
        <v>21</v>
      </c>
      <c r="AB512" t="inlineStr" s="2909">
        <is>
          <t>19831001</t>
        </is>
      </c>
      <c r="AD512" t="n" s="2909">
        <v>12</v>
      </c>
      <c r="AE512" t="inlineStr" s="2909">
        <is>
          <t>20250401</t>
        </is>
      </c>
      <c r="AH512" t="n" s="2909">
        <v>5</v>
      </c>
      <c r="AJ512" t="n" s="2909">
        <v>10</v>
      </c>
      <c r="AP512" t="n" s="2909">
        <v>650000</v>
      </c>
      <c r="DB512" s="2909" t="str">
        <f>IF($A512="","",IF($A512&lt;&gt;21,"対象外",IF($AE512&amp;""="00000000","在職",IF($AE512&amp;""='DB_設定'!$C$4,"4/1喪失","その他喪失"))))</f>
        <v>4/1喪失</v>
      </c>
    </row>
    <row r="513">
      <c r="A513" t="n" s="2909">
        <v>21</v>
      </c>
      <c r="AA513" t="n" s="2909">
        <v>24</v>
      </c>
      <c r="AB513" t="inlineStr" s="2909">
        <is>
          <t>20200401</t>
        </is>
      </c>
      <c r="AD513" t="n" s="2909">
        <v>12</v>
      </c>
      <c r="AE513" t="inlineStr" s="2909">
        <is>
          <t>20220401</t>
        </is>
      </c>
      <c r="AH513" t="n" s="2909">
        <v>11</v>
      </c>
      <c r="AJ513" t="n" s="2909">
        <v>10</v>
      </c>
      <c r="AP513" t="n" s="2909">
        <v>590000</v>
      </c>
      <c r="DB513" s="2909" t="str">
        <f>IF($A513="","",IF($A513&lt;&gt;21,"対象外",IF($AE513&amp;""="00000000","在職",IF($AE513&amp;""='DB_設定'!$C$4,"4/1喪失","その他喪失"))))</f>
        <v>その他喪失</v>
      </c>
    </row>
    <row r="514">
      <c r="A514" t="n" s="2909">
        <v>21</v>
      </c>
      <c r="AA514" t="n" s="2909">
        <v>21</v>
      </c>
      <c r="AB514" t="inlineStr" s="2909">
        <is>
          <t>19830401</t>
        </is>
      </c>
      <c r="AD514" t="n" s="2909">
        <v>12</v>
      </c>
      <c r="AE514" t="inlineStr" s="2909">
        <is>
          <t>20250401</t>
        </is>
      </c>
      <c r="AH514" t="n" s="2909">
        <v>1</v>
      </c>
      <c r="AJ514" t="n" s="2909">
        <v>10</v>
      </c>
      <c r="AP514" t="n" s="2909">
        <v>620000</v>
      </c>
      <c r="DB514" s="2909" t="str">
        <f>IF($A514="","",IF($A514&lt;&gt;21,"対象外",IF($AE514&amp;""="00000000","在職",IF($AE514&amp;""='DB_設定'!$C$4,"4/1喪失","その他喪失"))))</f>
        <v>4/1喪失</v>
      </c>
    </row>
    <row r="515">
      <c r="A515" t="n" s="2909">
        <v>21</v>
      </c>
      <c r="AA515" t="n" s="2909">
        <v>21</v>
      </c>
      <c r="AB515" t="inlineStr" s="2909">
        <is>
          <t>19880401</t>
        </is>
      </c>
      <c r="AD515" t="n" s="2909">
        <v>12</v>
      </c>
      <c r="AE515" t="inlineStr" s="2909">
        <is>
          <t>20250401</t>
        </is>
      </c>
      <c r="AH515" t="n" s="2909">
        <v>1</v>
      </c>
      <c r="AJ515" t="n" s="2909">
        <v>10</v>
      </c>
      <c r="AP515" t="n" s="2909">
        <v>750000</v>
      </c>
      <c r="DB515" s="2909" t="str">
        <f>IF($A515="","",IF($A515&lt;&gt;21,"対象外",IF($AE515&amp;""="00000000","在職",IF($AE515&amp;""='DB_設定'!$C$4,"4/1喪失","その他喪失"))))</f>
        <v>4/1喪失</v>
      </c>
    </row>
    <row r="516">
      <c r="A516" t="n" s="2909">
        <v>21</v>
      </c>
      <c r="AA516" t="n" s="2909">
        <v>21</v>
      </c>
      <c r="AB516" t="inlineStr" s="2909">
        <is>
          <t>20200401</t>
        </is>
      </c>
      <c r="AD516" t="n" s="2909">
        <v>12</v>
      </c>
      <c r="AE516" t="inlineStr" s="2909">
        <is>
          <t>20221001</t>
        </is>
      </c>
      <c r="AH516" t="n" s="2909">
        <v>20</v>
      </c>
      <c r="AJ516" t="n" s="2909">
        <v>10</v>
      </c>
      <c r="AP516" t="n" s="2909">
        <v>240000</v>
      </c>
      <c r="DB516" s="2909" t="str">
        <f>IF($A516="","",IF($A516&lt;&gt;21,"対象外",IF($AE516&amp;""="00000000","在職",IF($AE516&amp;""='DB_設定'!$C$4,"4/1喪失","その他喪失"))))</f>
        <v>その他喪失</v>
      </c>
    </row>
    <row r="517">
      <c r="A517" t="n" s="2909">
        <v>21</v>
      </c>
      <c r="AA517" t="n" s="2909">
        <v>21</v>
      </c>
      <c r="AB517" t="inlineStr" s="2909">
        <is>
          <t>19940401</t>
        </is>
      </c>
      <c r="AD517" t="n" s="2909">
        <v>12</v>
      </c>
      <c r="AE517" t="inlineStr" s="2909">
        <is>
          <t>20250401</t>
        </is>
      </c>
      <c r="AH517" t="n" s="2909">
        <v>11</v>
      </c>
      <c r="AJ517" t="n" s="2909">
        <v>10</v>
      </c>
      <c r="AP517" t="n" s="2909">
        <v>470000</v>
      </c>
      <c r="DB517" s="2909" t="str">
        <f>IF($A517="","",IF($A517&lt;&gt;21,"対象外",IF($AE517&amp;""="00000000","在職",IF($AE517&amp;""='DB_設定'!$C$4,"4/1喪失","その他喪失"))))</f>
        <v>4/1喪失</v>
      </c>
    </row>
    <row r="518">
      <c r="A518" t="n" s="2909">
        <v>21</v>
      </c>
      <c r="AA518" t="n" s="2909">
        <v>21</v>
      </c>
      <c r="AB518" t="inlineStr" s="2909">
        <is>
          <t>19830401</t>
        </is>
      </c>
      <c r="AD518" t="n" s="2909">
        <v>12</v>
      </c>
      <c r="AE518" t="inlineStr" s="2909">
        <is>
          <t>20250401</t>
        </is>
      </c>
      <c r="AH518" t="n" s="2909">
        <v>1</v>
      </c>
      <c r="AJ518" t="n" s="2909">
        <v>10</v>
      </c>
      <c r="AP518" t="n" s="2909">
        <v>560000</v>
      </c>
      <c r="DB518" s="2909" t="str">
        <f>IF($A518="","",IF($A518&lt;&gt;21,"対象外",IF($AE518&amp;""="00000000","在職",IF($AE518&amp;""='DB_設定'!$C$4,"4/1喪失","その他喪失"))))</f>
        <v>4/1喪失</v>
      </c>
    </row>
    <row r="519">
      <c r="A519" t="n" s="2909">
        <v>21</v>
      </c>
      <c r="AA519" t="n" s="2909">
        <v>21</v>
      </c>
      <c r="AB519" t="inlineStr" s="2909">
        <is>
          <t>19870401</t>
        </is>
      </c>
      <c r="AD519" t="n" s="2909">
        <v>12</v>
      </c>
      <c r="AE519" t="inlineStr" s="2909">
        <is>
          <t>20250401</t>
        </is>
      </c>
      <c r="AH519" t="n" s="2909">
        <v>1</v>
      </c>
      <c r="AJ519" t="n" s="2909">
        <v>10</v>
      </c>
      <c r="AP519" t="n" s="2909">
        <v>710000</v>
      </c>
      <c r="DB519" s="2909" t="str">
        <f>IF($A519="","",IF($A519&lt;&gt;21,"対象外",IF($AE519&amp;""="00000000","在職",IF($AE519&amp;""='DB_設定'!$C$4,"4/1喪失","その他喪失"))))</f>
        <v>4/1喪失</v>
      </c>
    </row>
    <row r="520">
      <c r="A520" t="n" s="2909">
        <v>21</v>
      </c>
      <c r="AA520" t="n" s="2909">
        <v>21</v>
      </c>
      <c r="AB520" t="inlineStr" s="2909">
        <is>
          <t>19870401</t>
        </is>
      </c>
      <c r="AD520" t="n" s="2909">
        <v>12</v>
      </c>
      <c r="AE520" t="inlineStr" s="2909">
        <is>
          <t>20250401</t>
        </is>
      </c>
      <c r="AH520" t="n" s="2909">
        <v>11</v>
      </c>
      <c r="AJ520" t="n" s="2909">
        <v>10</v>
      </c>
      <c r="AP520" t="n" s="2909">
        <v>530000</v>
      </c>
      <c r="DB520" s="2909" t="str">
        <f>IF($A520="","",IF($A520&lt;&gt;21,"対象外",IF($AE520&amp;""="00000000","在職",IF($AE520&amp;""='DB_設定'!$C$4,"4/1喪失","その他喪失"))))</f>
        <v>4/1喪失</v>
      </c>
    </row>
    <row r="521">
      <c r="A521" t="n" s="2909">
        <v>21</v>
      </c>
      <c r="AA521" t="n" s="2909">
        <v>21</v>
      </c>
      <c r="AB521" t="inlineStr" s="2909">
        <is>
          <t>20070401</t>
        </is>
      </c>
      <c r="AD521" t="n" s="2909">
        <v>12</v>
      </c>
      <c r="AE521" t="inlineStr" s="2909">
        <is>
          <t>20240401</t>
        </is>
      </c>
      <c r="AH521" t="n" s="2909">
        <v>5</v>
      </c>
      <c r="AJ521" t="n" s="2909">
        <v>30</v>
      </c>
      <c r="AP521" t="n" s="2909">
        <v>590000</v>
      </c>
      <c r="DB521" s="2909" t="str">
        <f>IF($A521="","",IF($A521&lt;&gt;21,"対象外",IF($AE521&amp;""="00000000","在職",IF($AE521&amp;""='DB_設定'!$C$4,"4/1喪失","その他喪失"))))</f>
        <v>その他喪失</v>
      </c>
    </row>
    <row r="522">
      <c r="A522" t="n" s="2909">
        <v>21</v>
      </c>
      <c r="AA522" t="n" s="2909">
        <v>21</v>
      </c>
      <c r="AB522" t="inlineStr" s="2909">
        <is>
          <t>19850320</t>
        </is>
      </c>
      <c r="AD522" t="n" s="2909">
        <v>12</v>
      </c>
      <c r="AE522" t="inlineStr" s="2909">
        <is>
          <t>20250401</t>
        </is>
      </c>
      <c r="AH522" t="n" s="2909">
        <v>5</v>
      </c>
      <c r="AJ522" t="n" s="2909">
        <v>10</v>
      </c>
      <c r="AP522" t="n" s="2909">
        <v>650000</v>
      </c>
      <c r="DB522" s="2909" t="str">
        <f>IF($A522="","",IF($A522&lt;&gt;21,"対象外",IF($AE522&amp;""="00000000","在職",IF($AE522&amp;""='DB_設定'!$C$4,"4/1喪失","その他喪失"))))</f>
        <v>4/1喪失</v>
      </c>
    </row>
    <row r="523">
      <c r="A523" t="n" s="2909">
        <v>21</v>
      </c>
      <c r="AA523" t="n" s="2909">
        <v>21</v>
      </c>
      <c r="AB523" t="inlineStr" s="2909">
        <is>
          <t>19870401</t>
        </is>
      </c>
      <c r="AD523" t="n" s="2909">
        <v>12</v>
      </c>
      <c r="AE523" t="inlineStr" s="2909">
        <is>
          <t>20250401</t>
        </is>
      </c>
      <c r="AH523" t="n" s="2909">
        <v>5</v>
      </c>
      <c r="AJ523" t="n" s="2909">
        <v>30</v>
      </c>
      <c r="AP523" t="n" s="2909">
        <v>500000</v>
      </c>
      <c r="DB523" s="2909" t="str">
        <f>IF($A523="","",IF($A523&lt;&gt;21,"対象外",IF($AE523&amp;""="00000000","在職",IF($AE523&amp;""='DB_設定'!$C$4,"4/1喪失","その他喪失"))))</f>
        <v>4/1喪失</v>
      </c>
    </row>
    <row r="524">
      <c r="A524" t="n" s="2909">
        <v>21</v>
      </c>
      <c r="AA524" t="n" s="2909">
        <v>21</v>
      </c>
      <c r="AB524" t="inlineStr" s="2909">
        <is>
          <t>20050401</t>
        </is>
      </c>
      <c r="AD524" t="n" s="2909">
        <v>12</v>
      </c>
      <c r="AE524" t="inlineStr" s="2909">
        <is>
          <t>20180401</t>
        </is>
      </c>
      <c r="AH524" t="n" s="2909">
        <v>11</v>
      </c>
      <c r="AJ524" t="n" s="2909">
        <v>10</v>
      </c>
      <c r="AP524" t="n" s="2909">
        <v>590000</v>
      </c>
      <c r="DB524" s="2909" t="str">
        <f>IF($A524="","",IF($A524&lt;&gt;21,"対象外",IF($AE524&amp;""="00000000","在職",IF($AE524&amp;""='DB_設定'!$C$4,"4/1喪失","その他喪失"))))</f>
        <v>その他喪失</v>
      </c>
    </row>
    <row r="525">
      <c r="A525" t="n" s="2909">
        <v>21</v>
      </c>
      <c r="AA525" t="n" s="2909">
        <v>21</v>
      </c>
      <c r="AB525" t="inlineStr" s="2909">
        <is>
          <t>19830401</t>
        </is>
      </c>
      <c r="AD525" t="n" s="2909">
        <v>12</v>
      </c>
      <c r="AE525" t="inlineStr" s="2909">
        <is>
          <t>20250401</t>
        </is>
      </c>
      <c r="AH525" t="n" s="2909">
        <v>1</v>
      </c>
      <c r="AJ525" t="n" s="2909">
        <v>10</v>
      </c>
      <c r="AP525" t="n" s="2909">
        <v>470000</v>
      </c>
      <c r="DB525" s="2909" t="str">
        <f>IF($A525="","",IF($A525&lt;&gt;21,"対象外",IF($AE525&amp;""="00000000","在職",IF($AE525&amp;""='DB_設定'!$C$4,"4/1喪失","その他喪失"))))</f>
        <v>4/1喪失</v>
      </c>
    </row>
    <row r="526">
      <c r="A526" t="n" s="2909">
        <v>21</v>
      </c>
      <c r="AA526" t="n" s="2909">
        <v>21</v>
      </c>
      <c r="AB526" t="inlineStr" s="2909">
        <is>
          <t>19840401</t>
        </is>
      </c>
      <c r="AD526" t="n" s="2909">
        <v>12</v>
      </c>
      <c r="AE526" t="inlineStr" s="2909">
        <is>
          <t>20250401</t>
        </is>
      </c>
      <c r="AH526" t="n" s="2909">
        <v>4</v>
      </c>
      <c r="AJ526" t="n" s="2909">
        <v>10</v>
      </c>
      <c r="AP526" t="n" s="2909">
        <v>650000</v>
      </c>
      <c r="DB526" s="2909" t="str">
        <f>IF($A526="","",IF($A526&lt;&gt;21,"対象外",IF($AE526&amp;""="00000000","在職",IF($AE526&amp;""='DB_設定'!$C$4,"4/1喪失","その他喪失"))))</f>
        <v>4/1喪失</v>
      </c>
    </row>
    <row r="527">
      <c r="A527" t="n" s="2909">
        <v>21</v>
      </c>
      <c r="AA527" t="n" s="2909">
        <v>21</v>
      </c>
      <c r="AB527" t="inlineStr" s="2909">
        <is>
          <t>19880401</t>
        </is>
      </c>
      <c r="AD527" t="n" s="2909">
        <v>12</v>
      </c>
      <c r="AE527" t="inlineStr" s="2909">
        <is>
          <t>20250401</t>
        </is>
      </c>
      <c r="AH527" t="n" s="2909">
        <v>1</v>
      </c>
      <c r="AJ527" t="n" s="2909">
        <v>10</v>
      </c>
      <c r="AP527" t="n" s="2909">
        <v>710000</v>
      </c>
      <c r="DB527" s="2909" t="str">
        <f>IF($A527="","",IF($A527&lt;&gt;21,"対象外",IF($AE527&amp;""="00000000","在職",IF($AE527&amp;""='DB_設定'!$C$4,"4/1喪失","その他喪失"))))</f>
        <v>4/1喪失</v>
      </c>
    </row>
    <row r="528">
      <c r="A528" t="n" s="2909">
        <v>21</v>
      </c>
      <c r="AA528" t="n" s="2909">
        <v>21</v>
      </c>
      <c r="AB528" t="inlineStr" s="2909">
        <is>
          <t>19830401</t>
        </is>
      </c>
      <c r="AD528" t="n" s="2909">
        <v>12</v>
      </c>
      <c r="AE528" t="inlineStr" s="2909">
        <is>
          <t>20250901</t>
        </is>
      </c>
      <c r="AH528" t="n" s="2909">
        <v>5</v>
      </c>
      <c r="AJ528" t="n" s="2909">
        <v>30</v>
      </c>
      <c r="AP528" t="n" s="2909">
        <v>320000</v>
      </c>
      <c r="DB528" s="2909" t="str">
        <f>IF($A528="","",IF($A528&lt;&gt;21,"対象外",IF($AE528&amp;""="00000000","在職",IF($AE528&amp;""='DB_設定'!$C$4,"4/1喪失","その他喪失"))))</f>
        <v>その他喪失</v>
      </c>
    </row>
    <row r="529">
      <c r="A529" t="n" s="2909">
        <v>21</v>
      </c>
      <c r="AA529" t="n" s="2909">
        <v>21</v>
      </c>
      <c r="AB529" t="inlineStr" s="2909">
        <is>
          <t>19830401</t>
        </is>
      </c>
      <c r="AD529" t="n" s="2909">
        <v>12</v>
      </c>
      <c r="AE529" t="inlineStr" s="2909">
        <is>
          <t>20110701</t>
        </is>
      </c>
      <c r="AH529" t="n" s="2909">
        <v>0</v>
      </c>
      <c r="AJ529" t="n" s="2909">
        <v>10</v>
      </c>
      <c r="AP529" t="n" s="2909">
        <v>339700</v>
      </c>
      <c r="DB529" s="2909" t="str">
        <f>IF($A529="","",IF($A529&lt;&gt;21,"対象外",IF($AE529&amp;""="00000000","在職",IF($AE529&amp;""='DB_設定'!$C$4,"4/1喪失","その他喪失"))))</f>
        <v>その他喪失</v>
      </c>
    </row>
    <row r="530">
      <c r="A530" t="n" s="2909">
        <v>21</v>
      </c>
      <c r="AA530" t="n" s="2909">
        <v>21</v>
      </c>
      <c r="AB530" t="inlineStr" s="2909">
        <is>
          <t>19900401</t>
        </is>
      </c>
      <c r="AD530" t="n" s="2909">
        <v>11</v>
      </c>
      <c r="AE530" t="inlineStr" s="2909">
        <is>
          <t>20250401</t>
        </is>
      </c>
      <c r="AH530" t="n" s="2909">
        <v>3</v>
      </c>
      <c r="AJ530" t="n" s="2909">
        <v>10</v>
      </c>
      <c r="AP530" t="n" s="2909">
        <v>650000</v>
      </c>
      <c r="DB530" s="2909" t="str">
        <f>IF($A530="","",IF($A530&lt;&gt;21,"対象外",IF($AE530&amp;""="00000000","在職",IF($AE530&amp;""='DB_設定'!$C$4,"4/1喪失","その他喪失"))))</f>
        <v>4/1喪失</v>
      </c>
    </row>
    <row r="531">
      <c r="A531" t="n" s="2909">
        <v>21</v>
      </c>
      <c r="AA531" t="n" s="2909">
        <v>21</v>
      </c>
      <c r="AB531" t="inlineStr" s="2909">
        <is>
          <t>19900501</t>
        </is>
      </c>
      <c r="AD531" t="n" s="2909">
        <v>12</v>
      </c>
      <c r="AE531" t="inlineStr" s="2909">
        <is>
          <t>20250401</t>
        </is>
      </c>
      <c r="AH531" t="n" s="2909">
        <v>45</v>
      </c>
      <c r="AJ531" t="n" s="2909">
        <v>74</v>
      </c>
      <c r="AP531" t="n" s="2909">
        <v>650000</v>
      </c>
      <c r="DB531" s="2909" t="str">
        <f>IF($A531="","",IF($A531&lt;&gt;21,"対象外",IF($AE531&amp;""="00000000","在職",IF($AE531&amp;""='DB_設定'!$C$4,"4/1喪失","その他喪失"))))</f>
        <v>4/1喪失</v>
      </c>
    </row>
    <row r="532">
      <c r="A532" t="n" s="2909">
        <v>21</v>
      </c>
      <c r="AA532" t="n" s="2909">
        <v>21</v>
      </c>
      <c r="AB532" t="inlineStr" s="2909">
        <is>
          <t>19890401</t>
        </is>
      </c>
      <c r="AD532" t="n" s="2909">
        <v>12</v>
      </c>
      <c r="AE532" t="inlineStr" s="2909">
        <is>
          <t>20250401</t>
        </is>
      </c>
      <c r="AH532" t="n" s="2909">
        <v>14</v>
      </c>
      <c r="AJ532" t="n" s="2909">
        <v>10</v>
      </c>
      <c r="AP532" t="n" s="2909">
        <v>650000</v>
      </c>
      <c r="DB532" s="2909" t="str">
        <f>IF($A532="","",IF($A532&lt;&gt;21,"対象外",IF($AE532&amp;""="00000000","在職",IF($AE532&amp;""='DB_設定'!$C$4,"4/1喪失","その他喪失"))))</f>
        <v>4/1喪失</v>
      </c>
    </row>
    <row r="533">
      <c r="A533" t="n" s="2909">
        <v>21</v>
      </c>
      <c r="AA533" t="n" s="2909">
        <v>21</v>
      </c>
      <c r="AB533" t="inlineStr" s="2909">
        <is>
          <t>19880401</t>
        </is>
      </c>
      <c r="AD533" t="n" s="2909">
        <v>12</v>
      </c>
      <c r="AE533" t="inlineStr" s="2909">
        <is>
          <t>20250401</t>
        </is>
      </c>
      <c r="AH533" t="n" s="2909">
        <v>1</v>
      </c>
      <c r="AJ533" t="n" s="2909">
        <v>10</v>
      </c>
      <c r="AP533" t="n" s="2909">
        <v>470000</v>
      </c>
      <c r="DB533" s="2909" t="str">
        <f>IF($A533="","",IF($A533&lt;&gt;21,"対象外",IF($AE533&amp;""="00000000","在職",IF($AE533&amp;""='DB_設定'!$C$4,"4/1喪失","その他喪失"))))</f>
        <v>4/1喪失</v>
      </c>
    </row>
    <row r="534">
      <c r="A534" t="n" s="2909">
        <v>21</v>
      </c>
      <c r="AA534" t="n" s="2909">
        <v>21</v>
      </c>
      <c r="AB534" t="inlineStr" s="2909">
        <is>
          <t>19900401</t>
        </is>
      </c>
      <c r="AD534" t="n" s="2909">
        <v>13</v>
      </c>
      <c r="AE534" t="inlineStr" s="2909">
        <is>
          <t>20150501</t>
        </is>
      </c>
      <c r="AH534" t="n" s="2909">
        <v>1</v>
      </c>
      <c r="AJ534" t="n" s="2909">
        <v>10</v>
      </c>
      <c r="AP534" t="n" s="2909">
        <v>415500</v>
      </c>
      <c r="DB534" s="2909" t="str">
        <f>IF($A534="","",IF($A534&lt;&gt;21,"対象外",IF($AE534&amp;""="00000000","在職",IF($AE534&amp;""='DB_設定'!$C$4,"4/1喪失","その他喪失"))))</f>
        <v>その他喪失</v>
      </c>
    </row>
    <row r="535">
      <c r="A535" t="n" s="2909">
        <v>21</v>
      </c>
      <c r="AA535" t="n" s="2909">
        <v>21</v>
      </c>
      <c r="AB535" t="inlineStr" s="2909">
        <is>
          <t>19960501</t>
        </is>
      </c>
      <c r="AD535" t="n" s="2909">
        <v>12</v>
      </c>
      <c r="AE535" t="inlineStr" s="2909">
        <is>
          <t>20250401</t>
        </is>
      </c>
      <c r="AH535" t="n" s="2909">
        <v>20</v>
      </c>
      <c r="AJ535" t="n" s="2909">
        <v>10</v>
      </c>
      <c r="AP535" t="n" s="2909">
        <v>590000</v>
      </c>
      <c r="DB535" s="2909" t="str">
        <f>IF($A535="","",IF($A535&lt;&gt;21,"対象外",IF($AE535&amp;""="00000000","在職",IF($AE535&amp;""='DB_設定'!$C$4,"4/1喪失","その他喪失"))))</f>
        <v>4/1喪失</v>
      </c>
    </row>
    <row r="536">
      <c r="A536" t="n" s="2909">
        <v>21</v>
      </c>
      <c r="AA536" t="n" s="2909">
        <v>21</v>
      </c>
      <c r="AB536" t="inlineStr" s="2909">
        <is>
          <t>20040726</t>
        </is>
      </c>
      <c r="AD536" t="n" s="2909">
        <v>12</v>
      </c>
      <c r="AE536" t="inlineStr" s="2909">
        <is>
          <t>20070726</t>
        </is>
      </c>
      <c r="AH536" t="n" s="2909">
        <v>0</v>
      </c>
      <c r="AJ536" t="n" s="2909">
        <v>10</v>
      </c>
      <c r="AP536" t="n" s="2909">
        <v>1</v>
      </c>
      <c r="DB536" s="2909" t="str">
        <f>IF($A536="","",IF($A536&lt;&gt;21,"対象外",IF($AE536&amp;""="00000000","在職",IF($AE536&amp;""='DB_設定'!$C$4,"4/1喪失","その他喪失"))))</f>
        <v>その他喪失</v>
      </c>
    </row>
    <row r="537">
      <c r="A537" t="n" s="2909">
        <v>21</v>
      </c>
      <c r="AA537" t="n" s="2909">
        <v>21</v>
      </c>
      <c r="AB537" t="inlineStr" s="2909">
        <is>
          <t>19870401</t>
        </is>
      </c>
      <c r="AD537" t="n" s="2909">
        <v>12</v>
      </c>
      <c r="AE537" t="inlineStr" s="2909">
        <is>
          <t>20160130</t>
        </is>
      </c>
      <c r="AH537" t="n" s="2909">
        <v>1</v>
      </c>
      <c r="AJ537" t="n" s="2909">
        <v>10</v>
      </c>
      <c r="AP537" t="n" s="2909">
        <v>410000</v>
      </c>
      <c r="DB537" s="2909" t="str">
        <f>IF($A537="","",IF($A537&lt;&gt;21,"対象外",IF($AE537&amp;""="00000000","在職",IF($AE537&amp;""='DB_設定'!$C$4,"4/1喪失","その他喪失"))))</f>
        <v>その他喪失</v>
      </c>
    </row>
    <row r="538">
      <c r="A538" t="n" s="2909">
        <v>21</v>
      </c>
      <c r="AA538" t="n" s="2909">
        <v>21</v>
      </c>
      <c r="AB538" t="inlineStr" s="2909">
        <is>
          <t>19880401</t>
        </is>
      </c>
      <c r="AD538" t="n" s="2909">
        <v>12</v>
      </c>
      <c r="AE538" t="inlineStr" s="2909">
        <is>
          <t>20250617</t>
        </is>
      </c>
      <c r="AH538" t="n" s="2909">
        <v>1</v>
      </c>
      <c r="AJ538" t="n" s="2909">
        <v>10</v>
      </c>
      <c r="AP538" t="n" s="2909">
        <v>410000</v>
      </c>
      <c r="DB538" s="2909" t="str">
        <f>IF($A538="","",IF($A538&lt;&gt;21,"対象外",IF($AE538&amp;""="00000000","在職",IF($AE538&amp;""='DB_設定'!$C$4,"4/1喪失","その他喪失"))))</f>
        <v>その他喪失</v>
      </c>
    </row>
    <row r="539">
      <c r="A539" t="n" s="2909">
        <v>21</v>
      </c>
      <c r="AA539" t="n" s="2909">
        <v>21</v>
      </c>
      <c r="AB539" t="inlineStr" s="2909">
        <is>
          <t>20210322</t>
        </is>
      </c>
      <c r="AD539" t="n" s="2909">
        <v>12</v>
      </c>
      <c r="AE539" t="inlineStr" s="2909">
        <is>
          <t>20230224</t>
        </is>
      </c>
      <c r="AH539" t="n" s="2909">
        <v>1</v>
      </c>
      <c r="AJ539" t="n" s="2909">
        <v>10</v>
      </c>
      <c r="AP539" t="n" s="2909">
        <v>650000</v>
      </c>
      <c r="DB539" s="2909" t="str">
        <f>IF($A539="","",IF($A539&lt;&gt;21,"対象外",IF($AE539&amp;""="00000000","在職",IF($AE539&amp;""='DB_設定'!$C$4,"4/1喪失","その他喪失"))))</f>
        <v>その他喪失</v>
      </c>
    </row>
    <row r="540">
      <c r="A540" t="n" s="2909">
        <v>21</v>
      </c>
      <c r="AA540" t="n" s="2909">
        <v>21</v>
      </c>
      <c r="AB540" t="inlineStr" s="2909">
        <is>
          <t>20051001</t>
        </is>
      </c>
      <c r="AD540" t="n" s="2909">
        <v>12</v>
      </c>
      <c r="AE540" t="inlineStr" s="2909">
        <is>
          <t>20090701</t>
        </is>
      </c>
      <c r="AH540" t="n" s="2909">
        <v>0</v>
      </c>
      <c r="AJ540" t="n" s="2909">
        <v>10</v>
      </c>
      <c r="AP540" t="n" s="2909">
        <v>1033981</v>
      </c>
      <c r="DB540" s="2909" t="str">
        <f>IF($A540="","",IF($A540&lt;&gt;21,"対象外",IF($AE540&amp;""="00000000","在職",IF($AE540&amp;""='DB_設定'!$C$4,"4/1喪失","その他喪失"))))</f>
        <v>その他喪失</v>
      </c>
    </row>
    <row r="541">
      <c r="A541" t="n" s="2909">
        <v>21</v>
      </c>
      <c r="AA541" t="n" s="2909">
        <v>21</v>
      </c>
      <c r="AB541" t="inlineStr" s="2909">
        <is>
          <t>20160701</t>
        </is>
      </c>
      <c r="AD541" t="n" s="2909">
        <v>12</v>
      </c>
      <c r="AE541" t="inlineStr" s="2909">
        <is>
          <t>20181001</t>
        </is>
      </c>
      <c r="AH541" t="n" s="2909">
        <v>20</v>
      </c>
      <c r="AJ541" t="n" s="2909">
        <v>10</v>
      </c>
      <c r="AP541" t="n" s="2909">
        <v>1210000</v>
      </c>
      <c r="DB541" s="2909" t="str">
        <f>IF($A541="","",IF($A541&lt;&gt;21,"対象外",IF($AE541&amp;""="00000000","在職",IF($AE541&amp;""='DB_設定'!$C$4,"4/1喪失","その他喪失"))))</f>
        <v>その他喪失</v>
      </c>
    </row>
    <row r="542">
      <c r="A542" t="n" s="2909">
        <v>21</v>
      </c>
      <c r="AA542" t="n" s="2909">
        <v>21</v>
      </c>
      <c r="AB542" t="inlineStr" s="2909">
        <is>
          <t>19870401</t>
        </is>
      </c>
      <c r="AD542" t="n" s="2909">
        <v>12</v>
      </c>
      <c r="AE542" t="inlineStr" s="2909">
        <is>
          <t>20250401</t>
        </is>
      </c>
      <c r="AH542" t="n" s="2909">
        <v>1</v>
      </c>
      <c r="AJ542" t="n" s="2909">
        <v>10</v>
      </c>
      <c r="AP542" t="n" s="2909">
        <v>590000</v>
      </c>
      <c r="DB542" s="2909" t="str">
        <f>IF($A542="","",IF($A542&lt;&gt;21,"対象外",IF($AE542&amp;""="00000000","在職",IF($AE542&amp;""='DB_設定'!$C$4,"4/1喪失","その他喪失"))))</f>
        <v>4/1喪失</v>
      </c>
    </row>
    <row r="543">
      <c r="A543" t="n" s="2909">
        <v>21</v>
      </c>
      <c r="AA543" t="n" s="2909">
        <v>21</v>
      </c>
      <c r="AB543" t="inlineStr" s="2909">
        <is>
          <t>20151001</t>
        </is>
      </c>
      <c r="AD543" t="n" s="2909">
        <v>12</v>
      </c>
      <c r="AE543" t="inlineStr" s="2909">
        <is>
          <t>20160901</t>
        </is>
      </c>
      <c r="AH543" t="n" s="2909">
        <v>20</v>
      </c>
      <c r="AJ543" t="n" s="2909">
        <v>10</v>
      </c>
      <c r="AP543" t="n" s="2909">
        <v>1090000</v>
      </c>
      <c r="DB543" s="2909" t="str">
        <f>IF($A543="","",IF($A543&lt;&gt;21,"対象外",IF($AE543&amp;""="00000000","在職",IF($AE543&amp;""='DB_設定'!$C$4,"4/1喪失","その他喪失"))))</f>
        <v>その他喪失</v>
      </c>
    </row>
    <row r="544">
      <c r="A544" t="n" s="2909">
        <v>21</v>
      </c>
      <c r="AA544" t="n" s="2909">
        <v>21</v>
      </c>
      <c r="AB544" t="inlineStr" s="2909">
        <is>
          <t>20190311</t>
        </is>
      </c>
      <c r="AD544" t="n" s="2909">
        <v>12</v>
      </c>
      <c r="AE544" t="inlineStr" s="2909">
        <is>
          <t>20220322</t>
        </is>
      </c>
      <c r="AH544" t="n" s="2909">
        <v>1</v>
      </c>
      <c r="AJ544" t="n" s="2909">
        <v>10</v>
      </c>
      <c r="AP544" t="n" s="2909">
        <v>560000</v>
      </c>
      <c r="DB544" s="2909" t="str">
        <f>IF($A544="","",IF($A544&lt;&gt;21,"対象外",IF($AE544&amp;""="00000000","在職",IF($AE544&amp;""='DB_設定'!$C$4,"4/1喪失","その他喪失"))))</f>
        <v>その他喪失</v>
      </c>
    </row>
    <row r="545">
      <c r="A545" t="n" s="2909">
        <v>21</v>
      </c>
      <c r="AA545" t="n" s="2909">
        <v>21</v>
      </c>
      <c r="AB545" t="inlineStr" s="2909">
        <is>
          <t>19880401</t>
        </is>
      </c>
      <c r="AD545" t="n" s="2909">
        <v>15</v>
      </c>
      <c r="AE545" t="inlineStr" s="2909">
        <is>
          <t>20141214</t>
        </is>
      </c>
      <c r="AH545" t="n" s="2909">
        <v>4</v>
      </c>
      <c r="AJ545" t="n" s="2909">
        <v>10</v>
      </c>
      <c r="AP545" t="n" s="2909">
        <v>384200</v>
      </c>
      <c r="DB545" s="2909" t="str">
        <f>IF($A545="","",IF($A545&lt;&gt;21,"対象外",IF($AE545&amp;""="00000000","在職",IF($AE545&amp;""='DB_設定'!$C$4,"4/1喪失","その他喪失"))))</f>
        <v>その他喪失</v>
      </c>
    </row>
    <row r="546">
      <c r="A546" t="n" s="2909">
        <v>21</v>
      </c>
      <c r="AA546" t="n" s="2909">
        <v>21</v>
      </c>
      <c r="AB546" t="inlineStr" s="2909">
        <is>
          <t>19880401</t>
        </is>
      </c>
      <c r="AD546" t="n" s="2909">
        <v>15</v>
      </c>
      <c r="AE546" t="inlineStr" s="2909">
        <is>
          <t>20230817</t>
        </is>
      </c>
      <c r="AH546" t="n" s="2909">
        <v>20</v>
      </c>
      <c r="AJ546" t="n" s="2909">
        <v>10</v>
      </c>
      <c r="AP546" t="n" s="2909">
        <v>590000</v>
      </c>
      <c r="DB546" s="2909" t="str">
        <f>IF($A546="","",IF($A546&lt;&gt;21,"対象外",IF($AE546&amp;""="00000000","在職",IF($AE546&amp;""='DB_設定'!$C$4,"4/1喪失","その他喪失"))))</f>
        <v>その他喪失</v>
      </c>
    </row>
    <row r="547">
      <c r="A547" t="n" s="2909">
        <v>21</v>
      </c>
      <c r="AA547" t="n" s="2909">
        <v>21</v>
      </c>
      <c r="AB547" t="inlineStr" s="2909">
        <is>
          <t>20090401</t>
        </is>
      </c>
      <c r="AD547" t="n" s="2909">
        <v>12</v>
      </c>
      <c r="AE547" t="inlineStr" s="2909">
        <is>
          <t>20140401</t>
        </is>
      </c>
      <c r="AH547" t="n" s="2909">
        <v>0</v>
      </c>
      <c r="AJ547" t="n" s="2909">
        <v>10</v>
      </c>
      <c r="AP547" t="n" s="2909">
        <v>384117</v>
      </c>
      <c r="DB547" s="2909" t="str">
        <f>IF($A547="","",IF($A547&lt;&gt;21,"対象外",IF($AE547&amp;""="00000000","在職",IF($AE547&amp;""='DB_設定'!$C$4,"4/1喪失","その他喪失"))))</f>
        <v>その他喪失</v>
      </c>
    </row>
    <row r="548">
      <c r="A548" t="n" s="2909">
        <v>21</v>
      </c>
      <c r="AA548" t="n" s="2909">
        <v>21</v>
      </c>
      <c r="AB548" t="inlineStr" s="2909">
        <is>
          <t>19850320</t>
        </is>
      </c>
      <c r="AD548" t="n" s="2909">
        <v>12</v>
      </c>
      <c r="AE548" t="inlineStr" s="2909">
        <is>
          <t>20250401</t>
        </is>
      </c>
      <c r="AH548" t="n" s="2909">
        <v>5</v>
      </c>
      <c r="AJ548" t="n" s="2909">
        <v>10</v>
      </c>
      <c r="AP548" t="n" s="2909">
        <v>650000</v>
      </c>
      <c r="DB548" s="2909" t="str">
        <f>IF($A548="","",IF($A548&lt;&gt;21,"対象外",IF($AE548&amp;""="00000000","在職",IF($AE548&amp;""='DB_設定'!$C$4,"4/1喪失","その他喪失"))))</f>
        <v>4/1喪失</v>
      </c>
    </row>
    <row r="549">
      <c r="A549" t="n" s="2909">
        <v>21</v>
      </c>
      <c r="AA549" t="n" s="2909">
        <v>21</v>
      </c>
      <c r="AB549" t="inlineStr" s="2909">
        <is>
          <t>19880401</t>
        </is>
      </c>
      <c r="AD549" t="n" s="2909">
        <v>12</v>
      </c>
      <c r="AE549" t="inlineStr" s="2909">
        <is>
          <t>20250401</t>
        </is>
      </c>
      <c r="AH549" t="n" s="2909">
        <v>5</v>
      </c>
      <c r="AJ549" t="n" s="2909">
        <v>10</v>
      </c>
      <c r="AP549" t="n" s="2909">
        <v>710000</v>
      </c>
      <c r="DB549" s="2909" t="str">
        <f>IF($A549="","",IF($A549&lt;&gt;21,"対象外",IF($AE549&amp;""="00000000","在職",IF($AE549&amp;""='DB_設定'!$C$4,"4/1喪失","その他喪失"))))</f>
        <v>4/1喪失</v>
      </c>
    </row>
    <row r="550">
      <c r="A550" t="n" s="2909">
        <v>21</v>
      </c>
      <c r="AA550" t="n" s="2909">
        <v>21</v>
      </c>
      <c r="AB550" t="inlineStr" s="2909">
        <is>
          <t>19830401</t>
        </is>
      </c>
      <c r="AD550" t="n" s="2909">
        <v>12</v>
      </c>
      <c r="AE550" t="inlineStr" s="2909">
        <is>
          <t>20131201</t>
        </is>
      </c>
      <c r="AH550" t="n" s="2909">
        <v>0</v>
      </c>
      <c r="AJ550" t="n" s="2909">
        <v>10</v>
      </c>
      <c r="AP550" t="n" s="2909">
        <v>369479</v>
      </c>
      <c r="DB550" s="2909" t="str">
        <f>IF($A550="","",IF($A550&lt;&gt;21,"対象外",IF($AE550&amp;""="00000000","在職",IF($AE550&amp;""='DB_設定'!$C$4,"4/1喪失","その他喪失"))))</f>
        <v>その他喪失</v>
      </c>
    </row>
    <row r="551">
      <c r="A551" t="n" s="2909">
        <v>21</v>
      </c>
      <c r="AA551" t="n" s="2909">
        <v>21</v>
      </c>
      <c r="AB551" t="inlineStr" s="2909">
        <is>
          <t>20030316</t>
        </is>
      </c>
      <c r="AD551" t="n" s="2909">
        <v>12</v>
      </c>
      <c r="AE551" t="inlineStr" s="2909">
        <is>
          <t>20170701</t>
        </is>
      </c>
      <c r="AH551" t="n" s="2909">
        <v>20</v>
      </c>
      <c r="AJ551" t="n" s="2909">
        <v>10</v>
      </c>
      <c r="AP551" t="n" s="2909">
        <v>1270000</v>
      </c>
      <c r="DB551" s="2909" t="str">
        <f>IF($A551="","",IF($A551&lt;&gt;21,"対象外",IF($AE551&amp;""="00000000","在職",IF($AE551&amp;""='DB_設定'!$C$4,"4/1喪失","その他喪失"))))</f>
        <v>その他喪失</v>
      </c>
    </row>
    <row r="552">
      <c r="A552" t="n" s="2909">
        <v>21</v>
      </c>
      <c r="AA552" t="n" s="2909">
        <v>21</v>
      </c>
      <c r="AB552" t="inlineStr" s="2909">
        <is>
          <t>19880401</t>
        </is>
      </c>
      <c r="AD552" t="n" s="2909">
        <v>12</v>
      </c>
      <c r="AE552" t="inlineStr" s="2909">
        <is>
          <t>20250401</t>
        </is>
      </c>
      <c r="AH552" t="n" s="2909">
        <v>1</v>
      </c>
      <c r="AJ552" t="n" s="2909">
        <v>10</v>
      </c>
      <c r="AP552" t="n" s="2909">
        <v>710000</v>
      </c>
      <c r="DB552" s="2909" t="str">
        <f>IF($A552="","",IF($A552&lt;&gt;21,"対象外",IF($AE552&amp;""="00000000","在職",IF($AE552&amp;""='DB_設定'!$C$4,"4/1喪失","その他喪失"))))</f>
        <v>4/1喪失</v>
      </c>
    </row>
    <row r="553">
      <c r="A553" t="n" s="2909">
        <v>21</v>
      </c>
      <c r="AA553" t="n" s="2909">
        <v>21</v>
      </c>
      <c r="AB553" t="inlineStr" s="2909">
        <is>
          <t>20190401</t>
        </is>
      </c>
      <c r="AD553" t="n" s="2909">
        <v>12</v>
      </c>
      <c r="AE553" t="inlineStr" s="2909">
        <is>
          <t>20191001</t>
        </is>
      </c>
      <c r="AH553" t="n" s="2909">
        <v>1</v>
      </c>
      <c r="AJ553" t="n" s="2909">
        <v>10</v>
      </c>
      <c r="AP553" t="n" s="2909">
        <v>280000</v>
      </c>
      <c r="DB553" s="2909" t="str">
        <f>IF($A553="","",IF($A553&lt;&gt;21,"対象外",IF($AE553&amp;""="00000000","在職",IF($AE553&amp;""='DB_設定'!$C$4,"4/1喪失","その他喪失"))))</f>
        <v>その他喪失</v>
      </c>
    </row>
    <row r="554">
      <c r="A554" t="n" s="2909">
        <v>21</v>
      </c>
      <c r="AA554" t="n" s="2909">
        <v>21</v>
      </c>
      <c r="AB554" t="inlineStr" s="2909">
        <is>
          <t>20110401</t>
        </is>
      </c>
      <c r="AD554" t="n" s="2909">
        <v>12</v>
      </c>
      <c r="AE554" t="inlineStr" s="2909">
        <is>
          <t>20120401</t>
        </is>
      </c>
      <c r="AH554" t="n" s="2909">
        <v>0</v>
      </c>
      <c r="AJ554" t="n" s="2909">
        <v>10</v>
      </c>
      <c r="AP554" t="n" s="2909">
        <v>412800</v>
      </c>
      <c r="DB554" s="2909" t="str">
        <f>IF($A554="","",IF($A554&lt;&gt;21,"対象外",IF($AE554&amp;""="00000000","在職",IF($AE554&amp;""='DB_設定'!$C$4,"4/1喪失","その他喪失"))))</f>
        <v>その他喪失</v>
      </c>
    </row>
    <row r="555">
      <c r="A555" t="n" s="2909">
        <v>21</v>
      </c>
      <c r="AA555" t="n" s="2909">
        <v>21</v>
      </c>
      <c r="AB555" t="inlineStr" s="2909">
        <is>
          <t>20110401</t>
        </is>
      </c>
      <c r="AD555" t="n" s="2909">
        <v>12</v>
      </c>
      <c r="AE555" t="inlineStr" s="2909">
        <is>
          <t>20120401</t>
        </is>
      </c>
      <c r="AH555" t="n" s="2909">
        <v>0</v>
      </c>
      <c r="AJ555" t="n" s="2909">
        <v>10</v>
      </c>
      <c r="AP555" t="n" s="2909">
        <v>413800</v>
      </c>
      <c r="DB555" s="2909" t="str">
        <f>IF($A555="","",IF($A555&lt;&gt;21,"対象外",IF($AE555&amp;""="00000000","在職",IF($AE555&amp;""='DB_設定'!$C$4,"4/1喪失","その他喪失"))))</f>
        <v>その他喪失</v>
      </c>
    </row>
    <row r="556">
      <c r="A556" t="n" s="2909">
        <v>21</v>
      </c>
      <c r="AA556" t="n" s="2909">
        <v>21</v>
      </c>
      <c r="AB556" t="inlineStr" s="2909">
        <is>
          <t>19850401</t>
        </is>
      </c>
      <c r="AD556" t="n" s="2909">
        <v>12</v>
      </c>
      <c r="AE556" t="inlineStr" s="2909">
        <is>
          <t>20250401</t>
        </is>
      </c>
      <c r="AH556" t="n" s="2909">
        <v>1</v>
      </c>
      <c r="AJ556" t="n" s="2909">
        <v>10</v>
      </c>
      <c r="AP556" t="n" s="2909">
        <v>560000</v>
      </c>
      <c r="DB556" s="2909" t="str">
        <f>IF($A556="","",IF($A556&lt;&gt;21,"対象外",IF($AE556&amp;""="00000000","在職",IF($AE556&amp;""='DB_設定'!$C$4,"4/1喪失","その他喪失"))))</f>
        <v>4/1喪失</v>
      </c>
    </row>
    <row r="557">
      <c r="A557" t="n" s="2909">
        <v>21</v>
      </c>
      <c r="AA557" t="n" s="2909">
        <v>21</v>
      </c>
      <c r="AB557" t="inlineStr" s="2909">
        <is>
          <t>19950401</t>
        </is>
      </c>
      <c r="AD557" t="n" s="2909">
        <v>12</v>
      </c>
      <c r="AE557" t="inlineStr" s="2909">
        <is>
          <t>20240401</t>
        </is>
      </c>
      <c r="AH557" t="n" s="2909">
        <v>1</v>
      </c>
      <c r="AJ557" t="n" s="2909">
        <v>10</v>
      </c>
      <c r="AP557" t="n" s="2909">
        <v>470000</v>
      </c>
      <c r="DB557" s="2909" t="str">
        <f>IF($A557="","",IF($A557&lt;&gt;21,"対象外",IF($AE557&amp;""="00000000","在職",IF($AE557&amp;""='DB_設定'!$C$4,"4/1喪失","その他喪失"))))</f>
        <v>その他喪失</v>
      </c>
    </row>
    <row r="558">
      <c r="A558" t="n" s="2909">
        <v>21</v>
      </c>
      <c r="AA558" t="n" s="2909">
        <v>21</v>
      </c>
      <c r="AB558" t="inlineStr" s="2909">
        <is>
          <t>20090601</t>
        </is>
      </c>
      <c r="AD558" t="n" s="2909">
        <v>12</v>
      </c>
      <c r="AE558" t="inlineStr" s="2909">
        <is>
          <t>20091201</t>
        </is>
      </c>
      <c r="AH558" t="n" s="2909">
        <v>0</v>
      </c>
      <c r="AJ558" t="n" s="2909">
        <v>10</v>
      </c>
      <c r="AP558" t="n" s="2909">
        <v>280110</v>
      </c>
      <c r="DB558" s="2909" t="str">
        <f>IF($A558="","",IF($A558&lt;&gt;21,"対象外",IF($AE558&amp;""="00000000","在職",IF($AE558&amp;""='DB_設定'!$C$4,"4/1喪失","その他喪失"))))</f>
        <v>その他喪失</v>
      </c>
    </row>
    <row r="559">
      <c r="A559" t="n" s="2909">
        <v>21</v>
      </c>
      <c r="AA559" t="n" s="2909">
        <v>21</v>
      </c>
      <c r="AB559" t="inlineStr" s="2909">
        <is>
          <t>20060401</t>
        </is>
      </c>
      <c r="AD559" t="n" s="2909">
        <v>12</v>
      </c>
      <c r="AE559" t="inlineStr" s="2909">
        <is>
          <t>20090401</t>
        </is>
      </c>
      <c r="AH559" t="n" s="2909">
        <v>0</v>
      </c>
      <c r="AJ559" t="n" s="2909">
        <v>10</v>
      </c>
      <c r="AP559" t="n" s="2909">
        <v>576699</v>
      </c>
      <c r="DB559" s="2909" t="str">
        <f>IF($A559="","",IF($A559&lt;&gt;21,"対象外",IF($AE559&amp;""="00000000","在職",IF($AE559&amp;""='DB_設定'!$C$4,"4/1喪失","その他喪失"))))</f>
        <v>その他喪失</v>
      </c>
    </row>
    <row r="560">
      <c r="A560" t="n" s="2909">
        <v>21</v>
      </c>
      <c r="AA560" t="n" s="2909">
        <v>24</v>
      </c>
      <c r="AB560" t="inlineStr" s="2909">
        <is>
          <t>20090831</t>
        </is>
      </c>
      <c r="AD560" t="n" s="2909">
        <v>12</v>
      </c>
      <c r="AE560" t="inlineStr" s="2909">
        <is>
          <t>20091201</t>
        </is>
      </c>
      <c r="AH560" t="n" s="2909">
        <v>0</v>
      </c>
      <c r="AJ560" t="n" s="2909">
        <v>10</v>
      </c>
      <c r="AP560" t="n" s="2909">
        <v>173250</v>
      </c>
      <c r="DB560" s="2909" t="str">
        <f>IF($A560="","",IF($A560&lt;&gt;21,"対象外",IF($AE560&amp;""="00000000","在職",IF($AE560&amp;""='DB_設定'!$C$4,"4/1喪失","その他喪失"))))</f>
        <v>その他喪失</v>
      </c>
    </row>
    <row r="561">
      <c r="A561" t="n" s="2909">
        <v>21</v>
      </c>
      <c r="AA561" t="n" s="2909">
        <v>21</v>
      </c>
      <c r="AB561" t="inlineStr" s="2909">
        <is>
          <t>20090401</t>
        </is>
      </c>
      <c r="AD561" t="n" s="2909">
        <v>12</v>
      </c>
      <c r="AE561" t="inlineStr" s="2909">
        <is>
          <t>20091201</t>
        </is>
      </c>
      <c r="AH561" t="n" s="2909">
        <v>0</v>
      </c>
      <c r="AJ561" t="n" s="2909">
        <v>10</v>
      </c>
      <c r="AP561" t="n" s="2909">
        <v>1</v>
      </c>
      <c r="DB561" s="2909" t="str">
        <f>IF($A561="","",IF($A561&lt;&gt;21,"対象外",IF($AE561&amp;""="00000000","在職",IF($AE561&amp;""='DB_設定'!$C$4,"4/1喪失","その他喪失"))))</f>
        <v>その他喪失</v>
      </c>
    </row>
    <row r="562">
      <c r="A562" t="n" s="2909">
        <v>21</v>
      </c>
      <c r="AA562" t="n" s="2909">
        <v>21</v>
      </c>
      <c r="AB562" t="inlineStr" s="2909">
        <is>
          <t>20080701</t>
        </is>
      </c>
      <c r="AD562" t="n" s="2909">
        <v>12</v>
      </c>
      <c r="AE562" t="inlineStr" s="2909">
        <is>
          <t>20091201</t>
        </is>
      </c>
      <c r="AH562" t="n" s="2909">
        <v>0</v>
      </c>
      <c r="AJ562" t="n" s="2909">
        <v>10</v>
      </c>
      <c r="AP562" t="n" s="2909">
        <v>1</v>
      </c>
      <c r="DB562" s="2909" t="str">
        <f>IF($A562="","",IF($A562&lt;&gt;21,"対象外",IF($AE562&amp;""="00000000","在職",IF($AE562&amp;""='DB_設定'!$C$4,"4/1喪失","その他喪失"))))</f>
        <v>その他喪失</v>
      </c>
    </row>
    <row r="563">
      <c r="A563" t="n" s="2909">
        <v>31</v>
      </c>
      <c r="AA563" t="n" s="2909">
        <v>21</v>
      </c>
      <c r="AB563" t="inlineStr" s="2909">
        <is>
          <t>20221117</t>
        </is>
      </c>
      <c r="AD563" t="n" s="2909">
        <v>12</v>
      </c>
      <c r="AE563" t="inlineStr" s="2909">
        <is>
          <t>20230601</t>
        </is>
      </c>
      <c r="AH563" t="n" s="2909">
        <v>1</v>
      </c>
      <c r="AJ563" t="n" s="2909">
        <v>41</v>
      </c>
      <c r="AP563" t="n" s="2909">
        <v>126000</v>
      </c>
      <c r="DB563" s="2909" t="str">
        <f>IF($A563="","",IF($A563&lt;&gt;21,"対象外",IF($AE563&amp;""="00000000","在職",IF($AE563&amp;""='DB_設定'!$C$4,"4/1喪失","その他喪失"))))</f>
        <v>対象外</v>
      </c>
    </row>
    <row r="564">
      <c r="A564" t="n" s="2909">
        <v>21</v>
      </c>
      <c r="AA564" t="n" s="2909">
        <v>21</v>
      </c>
      <c r="AB564" t="inlineStr" s="2909">
        <is>
          <t>20001002</t>
        </is>
      </c>
      <c r="AD564" t="n" s="2909">
        <v>12</v>
      </c>
      <c r="AE564" t="inlineStr" s="2909">
        <is>
          <t>20091201</t>
        </is>
      </c>
      <c r="AH564" t="n" s="2909">
        <v>0</v>
      </c>
      <c r="AJ564" t="n" s="2909">
        <v>10</v>
      </c>
      <c r="AP564" t="n" s="2909">
        <v>1</v>
      </c>
      <c r="DB564" s="2909" t="str">
        <f>IF($A564="","",IF($A564&lt;&gt;21,"対象外",IF($AE564&amp;""="00000000","在職",IF($AE564&amp;""='DB_設定'!$C$4,"4/1喪失","その他喪失"))))</f>
        <v>その他喪失</v>
      </c>
    </row>
    <row r="565">
      <c r="A565" t="n" s="2909">
        <v>21</v>
      </c>
      <c r="AA565" t="n" s="2909">
        <v>21</v>
      </c>
      <c r="AB565" t="inlineStr" s="2909">
        <is>
          <t>20050401</t>
        </is>
      </c>
      <c r="AD565" t="n" s="2909">
        <v>12</v>
      </c>
      <c r="AE565" t="inlineStr" s="2909">
        <is>
          <t>20091201</t>
        </is>
      </c>
      <c r="AH565" t="n" s="2909">
        <v>0</v>
      </c>
      <c r="AJ565" t="n" s="2909">
        <v>10</v>
      </c>
      <c r="AP565" t="n" s="2909">
        <v>1</v>
      </c>
      <c r="DB565" s="2909" t="str">
        <f>IF($A565="","",IF($A565&lt;&gt;21,"対象外",IF($AE565&amp;""="00000000","在職",IF($AE565&amp;""='DB_設定'!$C$4,"4/1喪失","その他喪失"))))</f>
        <v>その他喪失</v>
      </c>
    </row>
    <row r="566">
      <c r="A566" t="n" s="2909">
        <v>31</v>
      </c>
      <c r="AA566" t="n" s="2909">
        <v>21</v>
      </c>
      <c r="AB566" t="inlineStr" s="2909">
        <is>
          <t>20221001</t>
        </is>
      </c>
      <c r="AD566" t="n" s="2909">
        <v>12</v>
      </c>
      <c r="AE566" t="inlineStr" s="2909">
        <is>
          <t>20230401</t>
        </is>
      </c>
      <c r="AH566" t="n" s="2909">
        <v>20</v>
      </c>
      <c r="AJ566" t="n" s="2909">
        <v>41</v>
      </c>
      <c r="AP566" t="n" s="2909">
        <v>240000</v>
      </c>
      <c r="DB566" s="2909" t="str">
        <f>IF($A566="","",IF($A566&lt;&gt;21,"対象外",IF($AE566&amp;""="00000000","在職",IF($AE566&amp;""='DB_設定'!$C$4,"4/1喪失","その他喪失"))))</f>
        <v>対象外</v>
      </c>
    </row>
    <row r="567">
      <c r="A567" t="n" s="2909">
        <v>21</v>
      </c>
      <c r="AA567" t="n" s="2909">
        <v>24</v>
      </c>
      <c r="AB567" t="inlineStr" s="2909">
        <is>
          <t>20090831</t>
        </is>
      </c>
      <c r="AD567" t="n" s="2909">
        <v>12</v>
      </c>
      <c r="AE567" t="inlineStr" s="2909">
        <is>
          <t>20091201</t>
        </is>
      </c>
      <c r="AH567" t="n" s="2909">
        <v>0</v>
      </c>
      <c r="AJ567" t="n" s="2909">
        <v>10</v>
      </c>
      <c r="AP567" t="n" s="2909">
        <v>142695</v>
      </c>
      <c r="DB567" s="2909" t="str">
        <f>IF($A567="","",IF($A567&lt;&gt;21,"対象外",IF($AE567&amp;""="00000000","在職",IF($AE567&amp;""='DB_設定'!$C$4,"4/1喪失","その他喪失"))))</f>
        <v>その他喪失</v>
      </c>
    </row>
    <row r="568">
      <c r="A568" t="n" s="2909">
        <v>31</v>
      </c>
      <c r="AA568" t="n" s="2909">
        <v>21</v>
      </c>
      <c r="AB568" t="inlineStr" s="2909">
        <is>
          <t>20240313</t>
        </is>
      </c>
      <c r="AD568" t="n" s="2909">
        <v>12</v>
      </c>
      <c r="AE568" t="inlineStr" s="2909">
        <is>
          <t>20240401</t>
        </is>
      </c>
      <c r="AH568" t="n" s="2909">
        <v>1</v>
      </c>
      <c r="AJ568" t="n" s="2909">
        <v>41</v>
      </c>
      <c r="AP568" t="n" s="2909">
        <v>126000</v>
      </c>
      <c r="DB568" s="2909" t="str">
        <f>IF($A568="","",IF($A568&lt;&gt;21,"対象外",IF($AE568&amp;""="00000000","在職",IF($AE568&amp;""='DB_設定'!$C$4,"4/1喪失","その他喪失"))))</f>
        <v>対象外</v>
      </c>
    </row>
    <row r="569">
      <c r="A569" t="n" s="2909">
        <v>21</v>
      </c>
      <c r="AA569" t="n" s="2909">
        <v>21</v>
      </c>
      <c r="AB569" t="inlineStr" s="2909">
        <is>
          <t>19880401</t>
        </is>
      </c>
      <c r="AD569" t="n" s="2909">
        <v>12</v>
      </c>
      <c r="AE569" t="inlineStr" s="2909">
        <is>
          <t>20230401</t>
        </is>
      </c>
      <c r="AH569" t="n" s="2909">
        <v>1</v>
      </c>
      <c r="AJ569" t="n" s="2909">
        <v>10</v>
      </c>
      <c r="AP569" t="n" s="2909">
        <v>530000</v>
      </c>
      <c r="DB569" s="2909" t="str">
        <f>IF($A569="","",IF($A569&lt;&gt;21,"対象外",IF($AE569&amp;""="00000000","在職",IF($AE569&amp;""='DB_設定'!$C$4,"4/1喪失","その他喪失"))))</f>
        <v>その他喪失</v>
      </c>
    </row>
    <row r="570">
      <c r="A570" t="n" s="2909">
        <v>21</v>
      </c>
      <c r="AA570" t="n" s="2909">
        <v>21</v>
      </c>
      <c r="AB570" t="inlineStr" s="2909">
        <is>
          <t>20071119</t>
        </is>
      </c>
      <c r="AD570" t="n" s="2909">
        <v>12</v>
      </c>
      <c r="AE570" t="inlineStr" s="2909">
        <is>
          <t>20091201</t>
        </is>
      </c>
      <c r="AH570" t="n" s="2909">
        <v>0</v>
      </c>
      <c r="AJ570" t="n" s="2909">
        <v>10</v>
      </c>
      <c r="AP570" t="n" s="2909">
        <v>1</v>
      </c>
      <c r="DB570" s="2909" t="str">
        <f>IF($A570="","",IF($A570&lt;&gt;21,"対象外",IF($AE570&amp;""="00000000","在職",IF($AE570&amp;""='DB_設定'!$C$4,"4/1喪失","その他喪失"))))</f>
        <v>その他喪失</v>
      </c>
    </row>
    <row r="571">
      <c r="A571" t="n" s="2909">
        <v>21</v>
      </c>
      <c r="AA571" t="n" s="2909">
        <v>21</v>
      </c>
      <c r="AB571" t="inlineStr" s="2909">
        <is>
          <t>20010401</t>
        </is>
      </c>
      <c r="AD571" t="n" s="2909">
        <v>12</v>
      </c>
      <c r="AE571" t="inlineStr" s="2909">
        <is>
          <t>20091201</t>
        </is>
      </c>
      <c r="AH571" t="n" s="2909">
        <v>0</v>
      </c>
      <c r="AJ571" t="n" s="2909">
        <v>10</v>
      </c>
      <c r="AP571" t="n" s="2909">
        <v>1</v>
      </c>
      <c r="DB571" s="2909" t="str">
        <f>IF($A571="","",IF($A571&lt;&gt;21,"対象外",IF($AE571&amp;""="00000000","在職",IF($AE571&amp;""='DB_設定'!$C$4,"4/1喪失","その他喪失"))))</f>
        <v>その他喪失</v>
      </c>
    </row>
    <row r="572">
      <c r="A572" t="n" s="2909">
        <v>21</v>
      </c>
      <c r="AA572" t="n" s="2909">
        <v>21</v>
      </c>
      <c r="AB572" t="inlineStr" s="2909">
        <is>
          <t>19920401</t>
        </is>
      </c>
      <c r="AD572" t="n" s="2909">
        <v>12</v>
      </c>
      <c r="AE572" t="inlineStr" s="2909">
        <is>
          <t>20140401</t>
        </is>
      </c>
      <c r="AH572" t="n" s="2909">
        <v>0</v>
      </c>
      <c r="AJ572" t="n" s="2909">
        <v>10</v>
      </c>
      <c r="AP572" t="n" s="2909">
        <v>356722</v>
      </c>
      <c r="DB572" s="2909" t="str">
        <f>IF($A572="","",IF($A572&lt;&gt;21,"対象外",IF($AE572&amp;""="00000000","在職",IF($AE572&amp;""='DB_設定'!$C$4,"4/1喪失","その他喪失"))))</f>
        <v>その他喪失</v>
      </c>
    </row>
    <row r="573">
      <c r="A573" t="n" s="2909">
        <v>21</v>
      </c>
      <c r="AA573" t="n" s="2909">
        <v>24</v>
      </c>
      <c r="AB573" t="inlineStr" s="2909">
        <is>
          <t>20090701</t>
        </is>
      </c>
      <c r="AD573" t="n" s="2909">
        <v>12</v>
      </c>
      <c r="AE573" t="inlineStr" s="2909">
        <is>
          <t>20091201</t>
        </is>
      </c>
      <c r="AH573" t="n" s="2909">
        <v>0</v>
      </c>
      <c r="AJ573" t="n" s="2909">
        <v>10</v>
      </c>
      <c r="AP573" t="n" s="2909">
        <v>185773</v>
      </c>
      <c r="DB573" s="2909" t="str">
        <f>IF($A573="","",IF($A573&lt;&gt;21,"対象外",IF($AE573&amp;""="00000000","在職",IF($AE573&amp;""='DB_設定'!$C$4,"4/1喪失","その他喪失"))))</f>
        <v>その他喪失</v>
      </c>
    </row>
    <row r="574">
      <c r="A574" t="n" s="2909">
        <v>21</v>
      </c>
      <c r="AA574" t="n" s="2909">
        <v>24</v>
      </c>
      <c r="AB574" t="inlineStr" s="2909">
        <is>
          <t>20160601</t>
        </is>
      </c>
      <c r="AD574" t="n" s="2909">
        <v>12</v>
      </c>
      <c r="AE574" t="inlineStr" s="2909">
        <is>
          <t>20240301</t>
        </is>
      </c>
      <c r="AH574" t="n" s="2909">
        <v>20</v>
      </c>
      <c r="AJ574" t="n" s="2909">
        <v>10</v>
      </c>
      <c r="AP574" t="n" s="2909">
        <v>260000</v>
      </c>
      <c r="DB574" s="2909" t="str">
        <f>IF($A574="","",IF($A574&lt;&gt;21,"対象外",IF($AE574&amp;""="00000000","在職",IF($AE574&amp;""='DB_設定'!$C$4,"4/1喪失","その他喪失"))))</f>
        <v>その他喪失</v>
      </c>
    </row>
    <row r="575">
      <c r="A575" t="n" s="2909">
        <v>21</v>
      </c>
      <c r="AA575" t="n" s="2909">
        <v>21</v>
      </c>
      <c r="AB575" t="inlineStr" s="2909">
        <is>
          <t>19980401</t>
        </is>
      </c>
      <c r="AD575" t="n" s="2909">
        <v>12</v>
      </c>
      <c r="AE575" t="inlineStr" s="2909">
        <is>
          <t>20091201</t>
        </is>
      </c>
      <c r="AH575" t="n" s="2909">
        <v>0</v>
      </c>
      <c r="AJ575" t="n" s="2909">
        <v>10</v>
      </c>
      <c r="AP575" t="n" s="2909">
        <v>1</v>
      </c>
      <c r="DB575" s="2909" t="str">
        <f>IF($A575="","",IF($A575&lt;&gt;21,"対象外",IF($AE575&amp;""="00000000","在職",IF($AE575&amp;""='DB_設定'!$C$4,"4/1喪失","その他喪失"))))</f>
        <v>その他喪失</v>
      </c>
    </row>
    <row r="576">
      <c r="A576" t="n" s="2909">
        <v>21</v>
      </c>
      <c r="AA576" t="n" s="2909">
        <v>21</v>
      </c>
      <c r="AB576" t="inlineStr" s="2909">
        <is>
          <t>19971001</t>
        </is>
      </c>
      <c r="AD576" t="n" s="2909">
        <v>12</v>
      </c>
      <c r="AE576" t="inlineStr" s="2909">
        <is>
          <t>20091201</t>
        </is>
      </c>
      <c r="AH576" t="n" s="2909">
        <v>0</v>
      </c>
      <c r="AJ576" t="n" s="2909">
        <v>10</v>
      </c>
      <c r="AP576" t="n" s="2909">
        <v>1</v>
      </c>
      <c r="DB576" s="2909" t="str">
        <f>IF($A576="","",IF($A576&lt;&gt;21,"対象外",IF($AE576&amp;""="00000000","在職",IF($AE576&amp;""='DB_設定'!$C$4,"4/1喪失","その他喪失"))))</f>
        <v>その他喪失</v>
      </c>
    </row>
    <row r="577">
      <c r="A577" t="n" s="2909">
        <v>31</v>
      </c>
      <c r="AA577" t="n" s="2909">
        <v>21</v>
      </c>
      <c r="AB577" t="inlineStr" s="2909">
        <is>
          <t>20221001</t>
        </is>
      </c>
      <c r="AD577" t="n" s="2909">
        <v>12</v>
      </c>
      <c r="AE577" t="inlineStr" s="2909">
        <is>
          <t>20230401</t>
        </is>
      </c>
      <c r="AH577" t="n" s="2909">
        <v>4</v>
      </c>
      <c r="AJ577" t="n" s="2909">
        <v>41</v>
      </c>
      <c r="AP577" t="n" s="2909">
        <v>118000</v>
      </c>
      <c r="DB577" s="2909" t="str">
        <f>IF($A577="","",IF($A577&lt;&gt;21,"対象外",IF($AE577&amp;""="00000000","在職",IF($AE577&amp;""='DB_設定'!$C$4,"4/1喪失","その他喪失"))))</f>
        <v>対象外</v>
      </c>
    </row>
    <row r="578">
      <c r="A578" t="n" s="2909">
        <v>21</v>
      </c>
      <c r="AA578" t="n" s="2909">
        <v>21</v>
      </c>
      <c r="AB578" t="inlineStr" s="2909">
        <is>
          <t>20090413</t>
        </is>
      </c>
      <c r="AD578" t="n" s="2909">
        <v>12</v>
      </c>
      <c r="AE578" t="inlineStr" s="2909">
        <is>
          <t>20091201</t>
        </is>
      </c>
      <c r="AH578" t="n" s="2909">
        <v>0</v>
      </c>
      <c r="AJ578" t="n" s="2909">
        <v>10</v>
      </c>
      <c r="AP578" t="n" s="2909">
        <v>1</v>
      </c>
      <c r="DB578" s="2909" t="str">
        <f>IF($A578="","",IF($A578&lt;&gt;21,"対象外",IF($AE578&amp;""="00000000","在職",IF($AE578&amp;""='DB_設定'!$C$4,"4/1喪失","その他喪失"))))</f>
        <v>その他喪失</v>
      </c>
    </row>
    <row r="579">
      <c r="A579" t="n" s="2909">
        <v>21</v>
      </c>
      <c r="AA579" t="n" s="2909">
        <v>21</v>
      </c>
      <c r="AB579" t="inlineStr" s="2909">
        <is>
          <t>20090401</t>
        </is>
      </c>
      <c r="AD579" t="n" s="2909">
        <v>12</v>
      </c>
      <c r="AE579" t="inlineStr" s="2909">
        <is>
          <t>20091201</t>
        </is>
      </c>
      <c r="AH579" t="n" s="2909">
        <v>0</v>
      </c>
      <c r="AJ579" t="n" s="2909">
        <v>10</v>
      </c>
      <c r="AP579" t="n" s="2909">
        <v>1</v>
      </c>
      <c r="DB579" s="2909" t="str">
        <f>IF($A579="","",IF($A579&lt;&gt;21,"対象外",IF($AE579&amp;""="00000000","在職",IF($AE579&amp;""='DB_設定'!$C$4,"4/1喪失","その他喪失"))))</f>
        <v>その他喪失</v>
      </c>
    </row>
    <row r="580">
      <c r="A580" t="n" s="2909">
        <v>31</v>
      </c>
      <c r="AA580" t="n" s="2909">
        <v>21</v>
      </c>
      <c r="AB580" t="inlineStr" s="2909">
        <is>
          <t>20221001</t>
        </is>
      </c>
      <c r="AD580" t="n" s="2909">
        <v>12</v>
      </c>
      <c r="AE580" t="inlineStr" s="2909">
        <is>
          <t>20250401</t>
        </is>
      </c>
      <c r="AH580" t="n" s="2909">
        <v>20</v>
      </c>
      <c r="AJ580" t="n" s="2909">
        <v>41</v>
      </c>
      <c r="AP580" t="n" s="2909">
        <v>240000</v>
      </c>
      <c r="DB580" s="2909" t="str">
        <f>IF($A580="","",IF($A580&lt;&gt;21,"対象外",IF($AE580&amp;""="00000000","在職",IF($AE580&amp;""='DB_設定'!$C$4,"4/1喪失","その他喪失"))))</f>
        <v>対象外</v>
      </c>
    </row>
    <row r="581">
      <c r="A581" t="n" s="2909">
        <v>21</v>
      </c>
      <c r="AA581" t="n" s="2909">
        <v>24</v>
      </c>
      <c r="AB581" t="inlineStr" s="2909">
        <is>
          <t>20070403</t>
        </is>
      </c>
      <c r="AD581" t="n" s="2909">
        <v>12</v>
      </c>
      <c r="AE581" t="inlineStr" s="2909">
        <is>
          <t>20070601</t>
        </is>
      </c>
      <c r="AH581" t="n" s="2909">
        <v>0</v>
      </c>
      <c r="AJ581" t="n" s="2909">
        <v>10</v>
      </c>
      <c r="AP581" t="n" s="2909">
        <v>1</v>
      </c>
      <c r="DB581" s="2909" t="str">
        <f>IF($A581="","",IF($A581&lt;&gt;21,"対象外",IF($AE581&amp;""="00000000","在職",IF($AE581&amp;""='DB_設定'!$C$4,"4/1喪失","その他喪失"))))</f>
        <v>その他喪失</v>
      </c>
    </row>
    <row r="582">
      <c r="A582" t="n" s="2909">
        <v>21</v>
      </c>
      <c r="AA582" t="n" s="2909">
        <v>21</v>
      </c>
      <c r="AB582" t="inlineStr" s="2909">
        <is>
          <t>20030401</t>
        </is>
      </c>
      <c r="AD582" t="n" s="2909">
        <v>12</v>
      </c>
      <c r="AE582" t="inlineStr" s="2909">
        <is>
          <t>20091201</t>
        </is>
      </c>
      <c r="AH582" t="n" s="2909">
        <v>0</v>
      </c>
      <c r="AJ582" t="n" s="2909">
        <v>10</v>
      </c>
      <c r="AP582" t="n" s="2909">
        <v>1</v>
      </c>
      <c r="DB582" s="2909" t="str">
        <f>IF($A582="","",IF($A582&lt;&gt;21,"対象外",IF($AE582&amp;""="00000000","在職",IF($AE582&amp;""='DB_設定'!$C$4,"4/1喪失","その他喪失"))))</f>
        <v>その他喪失</v>
      </c>
    </row>
    <row r="583">
      <c r="A583" t="n" s="2909">
        <v>21</v>
      </c>
      <c r="AA583" t="n" s="2909">
        <v>21</v>
      </c>
      <c r="AB583" t="inlineStr" s="2909">
        <is>
          <t>19880401</t>
        </is>
      </c>
      <c r="AD583" t="n" s="2909">
        <v>12</v>
      </c>
      <c r="AE583" t="inlineStr" s="2909">
        <is>
          <t>20250401</t>
        </is>
      </c>
      <c r="AH583" t="n" s="2909">
        <v>1</v>
      </c>
      <c r="AJ583" t="n" s="2909">
        <v>10</v>
      </c>
      <c r="AP583" t="n" s="2909">
        <v>560000</v>
      </c>
      <c r="DB583" s="2909" t="str">
        <f>IF($A583="","",IF($A583&lt;&gt;21,"対象外",IF($AE583&amp;""="00000000","在職",IF($AE583&amp;""='DB_設定'!$C$4,"4/1喪失","その他喪失"))))</f>
        <v>4/1喪失</v>
      </c>
    </row>
    <row r="584">
      <c r="A584" t="n" s="2909">
        <v>21</v>
      </c>
      <c r="AA584" t="n" s="2909">
        <v>21</v>
      </c>
      <c r="AB584" t="inlineStr" s="2909">
        <is>
          <t>19940401</t>
        </is>
      </c>
      <c r="AD584" t="n" s="2909">
        <v>12</v>
      </c>
      <c r="AE584" t="inlineStr" s="2909">
        <is>
          <t>20091201</t>
        </is>
      </c>
      <c r="AH584" t="n" s="2909">
        <v>0</v>
      </c>
      <c r="AJ584" t="n" s="2909">
        <v>10</v>
      </c>
      <c r="AP584" t="n" s="2909">
        <v>1</v>
      </c>
      <c r="DB584" s="2909" t="str">
        <f>IF($A584="","",IF($A584&lt;&gt;21,"対象外",IF($AE584&amp;""="00000000","在職",IF($AE584&amp;""='DB_設定'!$C$4,"4/1喪失","その他喪失"))))</f>
        <v>その他喪失</v>
      </c>
    </row>
    <row r="585">
      <c r="A585" t="n" s="2909">
        <v>21</v>
      </c>
      <c r="AA585" t="n" s="2909">
        <v>21</v>
      </c>
      <c r="AB585" t="inlineStr" s="2909">
        <is>
          <t>19850901</t>
        </is>
      </c>
      <c r="AD585" t="n" s="2909">
        <v>11</v>
      </c>
      <c r="AE585" t="inlineStr" s="2909">
        <is>
          <t>20250401</t>
        </is>
      </c>
      <c r="AH585" t="n" s="2909">
        <v>1</v>
      </c>
      <c r="AJ585" t="n" s="2909">
        <v>10</v>
      </c>
      <c r="AP585" t="n" s="2909">
        <v>530000</v>
      </c>
      <c r="DB585" s="2909" t="str">
        <f>IF($A585="","",IF($A585&lt;&gt;21,"対象外",IF($AE585&amp;""="00000000","在職",IF($AE585&amp;""='DB_設定'!$C$4,"4/1喪失","その他喪失"))))</f>
        <v>4/1喪失</v>
      </c>
    </row>
    <row r="586">
      <c r="A586" t="n" s="2909">
        <v>21</v>
      </c>
      <c r="AA586" t="n" s="2909">
        <v>21</v>
      </c>
      <c r="AB586" t="inlineStr" s="2909">
        <is>
          <t>20091002</t>
        </is>
      </c>
      <c r="AD586" t="n" s="2909">
        <v>12</v>
      </c>
      <c r="AE586" t="inlineStr" s="2909">
        <is>
          <t>20091201</t>
        </is>
      </c>
      <c r="AH586" t="n" s="2909">
        <v>0</v>
      </c>
      <c r="AJ586" t="n" s="2909">
        <v>10</v>
      </c>
      <c r="AP586" t="n" s="2909">
        <v>134400</v>
      </c>
      <c r="DB586" s="2909" t="str">
        <f>IF($A586="","",IF($A586&lt;&gt;21,"対象外",IF($AE586&amp;""="00000000","在職",IF($AE586&amp;""='DB_設定'!$C$4,"4/1喪失","その他喪失"))))</f>
        <v>その他喪失</v>
      </c>
    </row>
    <row r="587">
      <c r="A587" t="n" s="2909">
        <v>21</v>
      </c>
      <c r="AA587" t="n" s="2909">
        <v>21</v>
      </c>
      <c r="AB587" t="inlineStr" s="2909">
        <is>
          <t>20000401</t>
        </is>
      </c>
      <c r="AD587" t="n" s="2909">
        <v>12</v>
      </c>
      <c r="AE587" t="inlineStr" s="2909">
        <is>
          <t>20091001</t>
        </is>
      </c>
      <c r="AH587" t="n" s="2909">
        <v>0</v>
      </c>
      <c r="AJ587" t="n" s="2909">
        <v>10</v>
      </c>
      <c r="AP587" t="n" s="2909">
        <v>1</v>
      </c>
      <c r="DB587" s="2909" t="str">
        <f>IF($A587="","",IF($A587&lt;&gt;21,"対象外",IF($AE587&amp;""="00000000","在職",IF($AE587&amp;""='DB_設定'!$C$4,"4/1喪失","その他喪失"))))</f>
        <v>その他喪失</v>
      </c>
    </row>
    <row r="588">
      <c r="A588" t="n" s="2909">
        <v>21</v>
      </c>
      <c r="AA588" t="n" s="2909">
        <v>24</v>
      </c>
      <c r="AB588" t="inlineStr" s="2909">
        <is>
          <t>20140401</t>
        </is>
      </c>
      <c r="AD588" t="n" s="2909">
        <v>12</v>
      </c>
      <c r="AE588" t="inlineStr" s="2909">
        <is>
          <t>20221001</t>
        </is>
      </c>
      <c r="AH588" t="n" s="2909">
        <v>20</v>
      </c>
      <c r="AJ588" t="n" s="2909">
        <v>10</v>
      </c>
      <c r="AP588" t="n" s="2909">
        <v>750000</v>
      </c>
      <c r="DB588" s="2909" t="str">
        <f>IF($A588="","",IF($A588&lt;&gt;21,"対象外",IF($AE588&amp;""="00000000","在職",IF($AE588&amp;""='DB_設定'!$C$4,"4/1喪失","その他喪失"))))</f>
        <v>その他喪失</v>
      </c>
    </row>
    <row r="589">
      <c r="A589" t="n" s="2909">
        <v>21</v>
      </c>
      <c r="AA589" t="n" s="2909">
        <v>21</v>
      </c>
      <c r="AB589" t="inlineStr" s="2909">
        <is>
          <t>20091002</t>
        </is>
      </c>
      <c r="AD589" t="n" s="2909">
        <v>12</v>
      </c>
      <c r="AE589" t="inlineStr" s="2909">
        <is>
          <t>20091201</t>
        </is>
      </c>
      <c r="AH589" t="n" s="2909">
        <v>0</v>
      </c>
      <c r="AJ589" t="n" s="2909">
        <v>10</v>
      </c>
      <c r="AP589" t="n" s="2909">
        <v>134400</v>
      </c>
      <c r="DB589" s="2909" t="str">
        <f>IF($A589="","",IF($A589&lt;&gt;21,"対象外",IF($AE589&amp;""="00000000","在職",IF($AE589&amp;""='DB_設定'!$C$4,"4/1喪失","その他喪失"))))</f>
        <v>その他喪失</v>
      </c>
    </row>
    <row r="590">
      <c r="A590" t="n" s="2909">
        <v>21</v>
      </c>
      <c r="AA590" t="n" s="2909">
        <v>21</v>
      </c>
      <c r="AB590" t="inlineStr" s="2909">
        <is>
          <t>20071004</t>
        </is>
      </c>
      <c r="AD590" t="n" s="2909">
        <v>12</v>
      </c>
      <c r="AE590" t="inlineStr" s="2909">
        <is>
          <t>20071110</t>
        </is>
      </c>
      <c r="AH590" t="n" s="2909">
        <v>0</v>
      </c>
      <c r="AJ590" t="n" s="2909">
        <v>10</v>
      </c>
      <c r="AP590" t="n" s="2909">
        <v>1</v>
      </c>
      <c r="DB590" s="2909" t="str">
        <f>IF($A590="","",IF($A590&lt;&gt;21,"対象外",IF($AE590&amp;""="00000000","在職",IF($AE590&amp;""='DB_設定'!$C$4,"4/1喪失","その他喪失"))))</f>
        <v>その他喪失</v>
      </c>
    </row>
    <row r="591">
      <c r="A591" t="n" s="2909">
        <v>31</v>
      </c>
      <c r="AA591" t="n" s="2909">
        <v>21</v>
      </c>
      <c r="AB591" t="inlineStr" s="2909">
        <is>
          <t>20221116</t>
        </is>
      </c>
      <c r="AD591" t="n" s="2909">
        <v>12</v>
      </c>
      <c r="AE591" t="inlineStr" s="2909">
        <is>
          <t>20231201</t>
        </is>
      </c>
      <c r="AH591" t="n" s="2909">
        <v>20</v>
      </c>
      <c r="AJ591" t="n" s="2909">
        <v>41</v>
      </c>
      <c r="AP591" t="n" s="2909">
        <v>180000</v>
      </c>
      <c r="DB591" s="2909" t="str">
        <f>IF($A591="","",IF($A591&lt;&gt;21,"対象外",IF($AE591&amp;""="00000000","在職",IF($AE591&amp;""='DB_設定'!$C$4,"4/1喪失","その他喪失"))))</f>
        <v>対象外</v>
      </c>
    </row>
    <row r="592">
      <c r="A592" t="n" s="2909">
        <v>21</v>
      </c>
      <c r="AA592" t="n" s="2909">
        <v>21</v>
      </c>
      <c r="AB592" t="inlineStr" s="2909">
        <is>
          <t>20080401</t>
        </is>
      </c>
      <c r="AD592" t="n" s="2909">
        <v>12</v>
      </c>
      <c r="AE592" t="inlineStr" s="2909">
        <is>
          <t>20091201</t>
        </is>
      </c>
      <c r="AH592" t="n" s="2909">
        <v>0</v>
      </c>
      <c r="AJ592" t="n" s="2909">
        <v>10</v>
      </c>
      <c r="AP592" t="n" s="2909">
        <v>1</v>
      </c>
      <c r="DB592" s="2909" t="str">
        <f>IF($A592="","",IF($A592&lt;&gt;21,"対象外",IF($AE592&amp;""="00000000","在職",IF($AE592&amp;""='DB_設定'!$C$4,"4/1喪失","その他喪失"))))</f>
        <v>その他喪失</v>
      </c>
    </row>
    <row r="593">
      <c r="A593" t="n" s="2909">
        <v>21</v>
      </c>
      <c r="AA593" t="n" s="2909">
        <v>21</v>
      </c>
      <c r="AB593" t="inlineStr" s="2909">
        <is>
          <t>20020610</t>
        </is>
      </c>
      <c r="AD593" t="n" s="2909">
        <v>12</v>
      </c>
      <c r="AE593" t="inlineStr" s="2909">
        <is>
          <t>20091201</t>
        </is>
      </c>
      <c r="AH593" t="n" s="2909">
        <v>0</v>
      </c>
      <c r="AJ593" t="n" s="2909">
        <v>10</v>
      </c>
      <c r="AP593" t="n" s="2909">
        <v>1</v>
      </c>
      <c r="DB593" s="2909" t="str">
        <f>IF($A593="","",IF($A593&lt;&gt;21,"対象外",IF($AE593&amp;""="00000000","在職",IF($AE593&amp;""='DB_設定'!$C$4,"4/1喪失","その他喪失"))))</f>
        <v>その他喪失</v>
      </c>
    </row>
    <row r="594">
      <c r="A594" t="n" s="2909">
        <v>21</v>
      </c>
      <c r="AA594" t="n" s="2909">
        <v>21</v>
      </c>
      <c r="AB594" t="inlineStr" s="2909">
        <is>
          <t>19860501</t>
        </is>
      </c>
      <c r="AD594" t="n" s="2909">
        <v>12</v>
      </c>
      <c r="AE594" t="inlineStr" s="2909">
        <is>
          <t>20210201</t>
        </is>
      </c>
      <c r="AH594" t="n" s="2909">
        <v>20</v>
      </c>
      <c r="AJ594" t="n" s="2909">
        <v>10</v>
      </c>
      <c r="AP594" t="n" s="2909">
        <v>380000</v>
      </c>
      <c r="DB594" s="2909" t="str">
        <f>IF($A594="","",IF($A594&lt;&gt;21,"対象外",IF($AE594&amp;""="00000000","在職",IF($AE594&amp;""='DB_設定'!$C$4,"4/1喪失","その他喪失"))))</f>
        <v>その他喪失</v>
      </c>
    </row>
    <row r="595">
      <c r="A595" t="n" s="2909">
        <v>21</v>
      </c>
      <c r="AA595" t="n" s="2909">
        <v>21</v>
      </c>
      <c r="AB595" t="inlineStr" s="2909">
        <is>
          <t>20050501</t>
        </is>
      </c>
      <c r="AD595" t="n" s="2909">
        <v>12</v>
      </c>
      <c r="AE595" t="inlineStr" s="2909">
        <is>
          <t>20091201</t>
        </is>
      </c>
      <c r="AH595" t="n" s="2909">
        <v>0</v>
      </c>
      <c r="AJ595" t="n" s="2909">
        <v>10</v>
      </c>
      <c r="AP595" t="n" s="2909">
        <v>1</v>
      </c>
      <c r="DB595" s="2909" t="str">
        <f>IF($A595="","",IF($A595&lt;&gt;21,"対象外",IF($AE595&amp;""="00000000","在職",IF($AE595&amp;""='DB_設定'!$C$4,"4/1喪失","その他喪失"))))</f>
        <v>その他喪失</v>
      </c>
    </row>
    <row r="596">
      <c r="A596" t="n" s="2909">
        <v>31</v>
      </c>
      <c r="AA596" t="n" s="2909">
        <v>21</v>
      </c>
      <c r="AB596" t="inlineStr" s="2909">
        <is>
          <t>20250107</t>
        </is>
      </c>
      <c r="AD596" t="n" s="2909">
        <v>12</v>
      </c>
      <c r="AE596" t="inlineStr" s="2909">
        <is>
          <t>20250401</t>
        </is>
      </c>
      <c r="AH596" t="n" s="2909">
        <v>1</v>
      </c>
      <c r="AJ596" t="n" s="2909">
        <v>41</v>
      </c>
      <c r="AP596" t="n" s="2909">
        <v>134000</v>
      </c>
      <c r="DB596" s="2909" t="str">
        <f>IF($A596="","",IF($A596&lt;&gt;21,"対象外",IF($AE596&amp;""="00000000","在職",IF($AE596&amp;""='DB_設定'!$C$4,"4/1喪失","その他喪失"))))</f>
        <v>対象外</v>
      </c>
    </row>
    <row r="597">
      <c r="A597" t="n" s="2909">
        <v>31</v>
      </c>
      <c r="AA597" t="n" s="2909">
        <v>21</v>
      </c>
      <c r="AB597" t="inlineStr" s="2909">
        <is>
          <t>20221001</t>
        </is>
      </c>
      <c r="AD597" t="n" s="2909">
        <v>12</v>
      </c>
      <c r="AE597" t="inlineStr" s="2909">
        <is>
          <t>20230601</t>
        </is>
      </c>
      <c r="AH597" t="n" s="2909">
        <v>20</v>
      </c>
      <c r="AJ597" t="n" s="2909">
        <v>41</v>
      </c>
      <c r="AP597" t="n" s="2909">
        <v>142000</v>
      </c>
      <c r="DB597" s="2909" t="str">
        <f>IF($A597="","",IF($A597&lt;&gt;21,"対象外",IF($AE597&amp;""="00000000","在職",IF($AE597&amp;""='DB_設定'!$C$4,"4/1喪失","その他喪失"))))</f>
        <v>対象外</v>
      </c>
    </row>
    <row r="598">
      <c r="A598" t="n" s="2909">
        <v>21</v>
      </c>
      <c r="AA598" t="n" s="2909">
        <v>21</v>
      </c>
      <c r="AB598" t="inlineStr" s="2909">
        <is>
          <t>19850401</t>
        </is>
      </c>
      <c r="AD598" t="n" s="2909">
        <v>12</v>
      </c>
      <c r="AE598" t="inlineStr" s="2909">
        <is>
          <t>20240401</t>
        </is>
      </c>
      <c r="AH598" t="n" s="2909">
        <v>1</v>
      </c>
      <c r="AJ598" t="n" s="2909">
        <v>10</v>
      </c>
      <c r="AP598" t="n" s="2909">
        <v>530000</v>
      </c>
      <c r="DB598" s="2909" t="str">
        <f>IF($A598="","",IF($A598&lt;&gt;21,"対象外",IF($AE598&amp;""="00000000","在職",IF($AE598&amp;""='DB_設定'!$C$4,"4/1喪失","その他喪失"))))</f>
        <v>その他喪失</v>
      </c>
    </row>
    <row r="599">
      <c r="A599" t="n" s="2909">
        <v>21</v>
      </c>
      <c r="AA599" t="n" s="2909">
        <v>21</v>
      </c>
      <c r="AB599" t="inlineStr" s="2909">
        <is>
          <t>20050501</t>
        </is>
      </c>
      <c r="AD599" t="n" s="2909">
        <v>12</v>
      </c>
      <c r="AE599" t="inlineStr" s="2909">
        <is>
          <t>20091201</t>
        </is>
      </c>
      <c r="AH599" t="n" s="2909">
        <v>0</v>
      </c>
      <c r="AJ599" t="n" s="2909">
        <v>10</v>
      </c>
      <c r="AP599" t="n" s="2909">
        <v>1</v>
      </c>
      <c r="DB599" s="2909" t="str">
        <f>IF($A599="","",IF($A599&lt;&gt;21,"対象外",IF($AE599&amp;""="00000000","在職",IF($AE599&amp;""='DB_設定'!$C$4,"4/1喪失","その他喪失"))))</f>
        <v>その他喪失</v>
      </c>
    </row>
    <row r="600">
      <c r="A600" t="n" s="2909">
        <v>21</v>
      </c>
      <c r="AA600" t="n" s="2909">
        <v>21</v>
      </c>
      <c r="AB600" t="inlineStr" s="2909">
        <is>
          <t>19850401</t>
        </is>
      </c>
      <c r="AD600" t="n" s="2909">
        <v>12</v>
      </c>
      <c r="AE600" t="inlineStr" s="2909">
        <is>
          <t>20250401</t>
        </is>
      </c>
      <c r="AH600" t="n" s="2909">
        <v>1</v>
      </c>
      <c r="AJ600" t="n" s="2909">
        <v>10</v>
      </c>
      <c r="AP600" t="n" s="2909">
        <v>530000</v>
      </c>
      <c r="DB600" s="2909" t="str">
        <f>IF($A600="","",IF($A600&lt;&gt;21,"対象外",IF($AE600&amp;""="00000000","在職",IF($AE600&amp;""='DB_設定'!$C$4,"4/1喪失","その他喪失"))))</f>
        <v>4/1喪失</v>
      </c>
    </row>
    <row r="601">
      <c r="A601" t="n" s="2909">
        <v>21</v>
      </c>
      <c r="AA601" t="n" s="2909">
        <v>21</v>
      </c>
      <c r="AB601" t="inlineStr" s="2909">
        <is>
          <t>20050401</t>
        </is>
      </c>
      <c r="AD601" t="n" s="2909">
        <v>12</v>
      </c>
      <c r="AE601" t="inlineStr" s="2909">
        <is>
          <t>20091201</t>
        </is>
      </c>
      <c r="AH601" t="n" s="2909">
        <v>0</v>
      </c>
      <c r="AJ601" t="n" s="2909">
        <v>10</v>
      </c>
      <c r="AP601" t="n" s="2909">
        <v>1</v>
      </c>
      <c r="DB601" s="2909" t="str">
        <f>IF($A601="","",IF($A601&lt;&gt;21,"対象外",IF($AE601&amp;""="00000000","在職",IF($AE601&amp;""='DB_設定'!$C$4,"4/1喪失","その他喪失"))))</f>
        <v>その他喪失</v>
      </c>
    </row>
    <row r="602">
      <c r="A602" t="n" s="2909">
        <v>21</v>
      </c>
      <c r="AA602" t="n" s="2909">
        <v>21</v>
      </c>
      <c r="AB602" t="inlineStr" s="2909">
        <is>
          <t>19830401</t>
        </is>
      </c>
      <c r="AD602" t="n" s="2909">
        <v>12</v>
      </c>
      <c r="AE602" t="inlineStr" s="2909">
        <is>
          <t>20230401</t>
        </is>
      </c>
      <c r="AH602" t="n" s="2909">
        <v>21</v>
      </c>
      <c r="AJ602" t="n" s="2909">
        <v>74</v>
      </c>
      <c r="AP602" t="n" s="2909">
        <v>590000</v>
      </c>
      <c r="DB602" s="2909" t="str">
        <f>IF($A602="","",IF($A602&lt;&gt;21,"対象外",IF($AE602&amp;""="00000000","在職",IF($AE602&amp;""='DB_設定'!$C$4,"4/1喪失","その他喪失"))))</f>
        <v>その他喪失</v>
      </c>
    </row>
    <row r="603">
      <c r="A603" t="n" s="2909">
        <v>21</v>
      </c>
      <c r="AA603" t="n" s="2909">
        <v>21</v>
      </c>
      <c r="AB603" t="inlineStr" s="2909">
        <is>
          <t>20060401</t>
        </is>
      </c>
      <c r="AD603" t="n" s="2909">
        <v>12</v>
      </c>
      <c r="AE603" t="inlineStr" s="2909">
        <is>
          <t>20091201</t>
        </is>
      </c>
      <c r="AH603" t="n" s="2909">
        <v>0</v>
      </c>
      <c r="AJ603" t="n" s="2909">
        <v>10</v>
      </c>
      <c r="AP603" t="n" s="2909">
        <v>1</v>
      </c>
      <c r="DB603" s="2909" t="str">
        <f>IF($A603="","",IF($A603&lt;&gt;21,"対象外",IF($AE603&amp;""="00000000","在職",IF($AE603&amp;""='DB_設定'!$C$4,"4/1喪失","その他喪失"))))</f>
        <v>その他喪失</v>
      </c>
    </row>
    <row r="604">
      <c r="A604" t="n" s="2909">
        <v>21</v>
      </c>
      <c r="AA604" t="n" s="2909">
        <v>21</v>
      </c>
      <c r="AB604" t="inlineStr" s="2909">
        <is>
          <t>19860701</t>
        </is>
      </c>
      <c r="AD604" t="n" s="2909">
        <v>12</v>
      </c>
      <c r="AE604" t="inlineStr" s="2909">
        <is>
          <t>20240401</t>
        </is>
      </c>
      <c r="AH604" t="n" s="2909">
        <v>1</v>
      </c>
      <c r="AJ604" t="n" s="2909">
        <v>10</v>
      </c>
      <c r="AP604" t="n" s="2909">
        <v>530000</v>
      </c>
      <c r="DB604" s="2909" t="str">
        <f>IF($A604="","",IF($A604&lt;&gt;21,"対象外",IF($AE604&amp;""="00000000","在職",IF($AE604&amp;""='DB_設定'!$C$4,"4/1喪失","その他喪失"))))</f>
        <v>その他喪失</v>
      </c>
    </row>
    <row r="605">
      <c r="A605" t="n" s="2909">
        <v>21</v>
      </c>
      <c r="AA605" t="n" s="2909">
        <v>21</v>
      </c>
      <c r="AB605" t="inlineStr" s="2909">
        <is>
          <t>20070401</t>
        </is>
      </c>
      <c r="AD605" t="n" s="2909">
        <v>12</v>
      </c>
      <c r="AE605" t="inlineStr" s="2909">
        <is>
          <t>20091201</t>
        </is>
      </c>
      <c r="AH605" t="n" s="2909">
        <v>0</v>
      </c>
      <c r="AJ605" t="n" s="2909">
        <v>10</v>
      </c>
      <c r="AP605" t="n" s="2909">
        <v>1</v>
      </c>
      <c r="DB605" s="2909" t="str">
        <f>IF($A605="","",IF($A605&lt;&gt;21,"対象外",IF($AE605&amp;""="00000000","在職",IF($AE605&amp;""='DB_設定'!$C$4,"4/1喪失","その他喪失"))))</f>
        <v>その他喪失</v>
      </c>
    </row>
    <row r="606">
      <c r="A606" t="n" s="2909">
        <v>21</v>
      </c>
      <c r="AA606" t="n" s="2909">
        <v>21</v>
      </c>
      <c r="AB606" t="inlineStr" s="2909">
        <is>
          <t>20090401</t>
        </is>
      </c>
      <c r="AD606" t="n" s="2909">
        <v>12</v>
      </c>
      <c r="AE606" t="inlineStr" s="2909">
        <is>
          <t>20091201</t>
        </is>
      </c>
      <c r="AH606" t="n" s="2909">
        <v>0</v>
      </c>
      <c r="AJ606" t="n" s="2909">
        <v>10</v>
      </c>
      <c r="AP606" t="n" s="2909">
        <v>1</v>
      </c>
      <c r="DB606" s="2909" t="str">
        <f>IF($A606="","",IF($A606&lt;&gt;21,"対象外",IF($AE606&amp;""="00000000","在職",IF($AE606&amp;""='DB_設定'!$C$4,"4/1喪失","その他喪失"))))</f>
        <v>その他喪失</v>
      </c>
    </row>
    <row r="607">
      <c r="A607" t="n" s="2909">
        <v>21</v>
      </c>
      <c r="AA607" t="n" s="2909">
        <v>21</v>
      </c>
      <c r="AB607" t="inlineStr" s="2909">
        <is>
          <t>20091002</t>
        </is>
      </c>
      <c r="AD607" t="n" s="2909">
        <v>12</v>
      </c>
      <c r="AE607" t="inlineStr" s="2909">
        <is>
          <t>20091201</t>
        </is>
      </c>
      <c r="AH607" t="n" s="2909">
        <v>0</v>
      </c>
      <c r="AJ607" t="n" s="2909">
        <v>10</v>
      </c>
      <c r="AP607" t="n" s="2909">
        <v>134400</v>
      </c>
      <c r="DB607" s="2909" t="str">
        <f>IF($A607="","",IF($A607&lt;&gt;21,"対象外",IF($AE607&amp;""="00000000","在職",IF($AE607&amp;""='DB_設定'!$C$4,"4/1喪失","その他喪失"))))</f>
        <v>その他喪失</v>
      </c>
    </row>
    <row r="608">
      <c r="A608" t="n" s="2909">
        <v>21</v>
      </c>
      <c r="AA608" t="n" s="2909">
        <v>21</v>
      </c>
      <c r="AB608" t="inlineStr" s="2909">
        <is>
          <t>19981001</t>
        </is>
      </c>
      <c r="AD608" t="n" s="2909">
        <v>12</v>
      </c>
      <c r="AE608" t="inlineStr" s="2909">
        <is>
          <t>20091201</t>
        </is>
      </c>
      <c r="AH608" t="n" s="2909">
        <v>0</v>
      </c>
      <c r="AJ608" t="n" s="2909">
        <v>10</v>
      </c>
      <c r="AP608" t="n" s="2909">
        <v>1</v>
      </c>
      <c r="DB608" s="2909" t="str">
        <f>IF($A608="","",IF($A608&lt;&gt;21,"対象外",IF($AE608&amp;""="00000000","在職",IF($AE608&amp;""='DB_設定'!$C$4,"4/1喪失","その他喪失"))))</f>
        <v>その他喪失</v>
      </c>
    </row>
    <row r="609">
      <c r="A609" t="n" s="2909">
        <v>21</v>
      </c>
      <c r="AA609" t="n" s="2909">
        <v>21</v>
      </c>
      <c r="AB609" t="inlineStr" s="2909">
        <is>
          <t>19850401</t>
        </is>
      </c>
      <c r="AD609" t="n" s="2909">
        <v>12</v>
      </c>
      <c r="AE609" t="inlineStr" s="2909">
        <is>
          <t>20200401</t>
        </is>
      </c>
      <c r="AH609" t="n" s="2909">
        <v>1</v>
      </c>
      <c r="AJ609" t="n" s="2909">
        <v>10</v>
      </c>
      <c r="AP609" t="n" s="2909">
        <v>440000</v>
      </c>
      <c r="DB609" s="2909" t="str">
        <f>IF($A609="","",IF($A609&lt;&gt;21,"対象外",IF($AE609&amp;""="00000000","在職",IF($AE609&amp;""='DB_設定'!$C$4,"4/1喪失","その他喪失"))))</f>
        <v>その他喪失</v>
      </c>
    </row>
    <row r="610">
      <c r="A610" t="n" s="2909">
        <v>21</v>
      </c>
      <c r="AA610" t="n" s="2909">
        <v>24</v>
      </c>
      <c r="AB610" t="inlineStr" s="2909">
        <is>
          <t>20090401</t>
        </is>
      </c>
      <c r="AD610" t="n" s="2909">
        <v>12</v>
      </c>
      <c r="AE610" t="inlineStr" s="2909">
        <is>
          <t>20091201</t>
        </is>
      </c>
      <c r="AH610" t="n" s="2909">
        <v>0</v>
      </c>
      <c r="AJ610" t="n" s="2909">
        <v>10</v>
      </c>
      <c r="AP610" t="n" s="2909">
        <v>1</v>
      </c>
      <c r="DB610" s="2909" t="str">
        <f>IF($A610="","",IF($A610&lt;&gt;21,"対象外",IF($AE610&amp;""="00000000","在職",IF($AE610&amp;""='DB_設定'!$C$4,"4/1喪失","その他喪失"))))</f>
        <v>その他喪失</v>
      </c>
    </row>
    <row r="611">
      <c r="A611" t="n" s="2909">
        <v>31</v>
      </c>
      <c r="AA611" t="n" s="2909">
        <v>24</v>
      </c>
      <c r="AB611" t="inlineStr" s="2909">
        <is>
          <t>20240501</t>
        </is>
      </c>
      <c r="AD611" t="n" s="2909">
        <v>12</v>
      </c>
      <c r="AE611" t="inlineStr" s="2909">
        <is>
          <t>20250326</t>
        </is>
      </c>
      <c r="AH611" t="n" s="2909">
        <v>11</v>
      </c>
      <c r="AJ611" t="n" s="2909">
        <v>41</v>
      </c>
      <c r="AP611" t="n" s="2909">
        <v>126000</v>
      </c>
      <c r="DB611" s="2909" t="str">
        <f>IF($A611="","",IF($A611&lt;&gt;21,"対象外",IF($AE611&amp;""="00000000","在職",IF($AE611&amp;""='DB_設定'!$C$4,"4/1喪失","その他喪失"))))</f>
        <v>対象外</v>
      </c>
    </row>
    <row r="612">
      <c r="A612" t="n" s="2909">
        <v>21</v>
      </c>
      <c r="AA612" t="n" s="2909">
        <v>21</v>
      </c>
      <c r="AB612" t="inlineStr" s="2909">
        <is>
          <t>20070401</t>
        </is>
      </c>
      <c r="AD612" t="n" s="2909">
        <v>12</v>
      </c>
      <c r="AE612" t="inlineStr" s="2909">
        <is>
          <t>20091201</t>
        </is>
      </c>
      <c r="AH612" t="n" s="2909">
        <v>0</v>
      </c>
      <c r="AJ612" t="n" s="2909">
        <v>10</v>
      </c>
      <c r="AP612" t="n" s="2909">
        <v>1</v>
      </c>
      <c r="DB612" s="2909" t="str">
        <f>IF($A612="","",IF($A612&lt;&gt;21,"対象外",IF($AE612&amp;""="00000000","在職",IF($AE612&amp;""='DB_設定'!$C$4,"4/1喪失","その他喪失"))))</f>
        <v>その他喪失</v>
      </c>
    </row>
    <row r="613">
      <c r="A613" t="n" s="2909">
        <v>31</v>
      </c>
      <c r="AA613" t="n" s="2909">
        <v>21</v>
      </c>
      <c r="AB613" t="inlineStr" s="2909">
        <is>
          <t>20221001</t>
        </is>
      </c>
      <c r="AD613" t="n" s="2909">
        <v>12</v>
      </c>
      <c r="AE613" t="inlineStr" s="2909">
        <is>
          <t>20250326</t>
        </is>
      </c>
      <c r="AH613" t="n" s="2909">
        <v>11</v>
      </c>
      <c r="AJ613" t="n" s="2909">
        <v>41</v>
      </c>
      <c r="AP613" t="n" s="2909">
        <v>104000</v>
      </c>
      <c r="DB613" s="2909" t="str">
        <f>IF($A613="","",IF($A613&lt;&gt;21,"対象外",IF($AE613&amp;""="00000000","在職",IF($AE613&amp;""='DB_設定'!$C$4,"4/1喪失","その他喪失"))))</f>
        <v>対象外</v>
      </c>
    </row>
    <row r="614">
      <c r="A614" t="n" s="2909">
        <v>21</v>
      </c>
      <c r="AA614" t="n" s="2909">
        <v>21</v>
      </c>
      <c r="AB614" t="inlineStr" s="2909">
        <is>
          <t>20030401</t>
        </is>
      </c>
      <c r="AD614" t="n" s="2909">
        <v>12</v>
      </c>
      <c r="AE614" t="inlineStr" s="2909">
        <is>
          <t>20091201</t>
        </is>
      </c>
      <c r="AH614" t="n" s="2909">
        <v>0</v>
      </c>
      <c r="AJ614" t="n" s="2909">
        <v>10</v>
      </c>
      <c r="AP614" t="n" s="2909">
        <v>1</v>
      </c>
      <c r="DB614" s="2909" t="str">
        <f>IF($A614="","",IF($A614&lt;&gt;21,"対象外",IF($AE614&amp;""="00000000","在職",IF($AE614&amp;""='DB_設定'!$C$4,"4/1喪失","その他喪失"))))</f>
        <v>その他喪失</v>
      </c>
    </row>
    <row r="615">
      <c r="A615" t="n" s="2909">
        <v>31</v>
      </c>
      <c r="AA615" t="n" s="2909">
        <v>21</v>
      </c>
      <c r="AB615" t="inlineStr" s="2909">
        <is>
          <t>20221001</t>
        </is>
      </c>
      <c r="AD615" t="n" s="2909">
        <v>12</v>
      </c>
      <c r="AE615" t="inlineStr" s="2909">
        <is>
          <t>20240730</t>
        </is>
      </c>
      <c r="AH615" t="n" s="2909">
        <v>11</v>
      </c>
      <c r="AJ615" t="n" s="2909">
        <v>41</v>
      </c>
      <c r="AP615" t="n" s="2909">
        <v>160000</v>
      </c>
      <c r="DB615" s="2909" t="str">
        <f>IF($A615="","",IF($A615&lt;&gt;21,"対象外",IF($AE615&amp;""="00000000","在職",IF($AE615&amp;""='DB_設定'!$C$4,"4/1喪失","その他喪失"))))</f>
        <v>対象外</v>
      </c>
    </row>
    <row r="616">
      <c r="A616" t="n" s="2909">
        <v>21</v>
      </c>
      <c r="AA616" t="n" s="2909">
        <v>21</v>
      </c>
      <c r="AB616" t="inlineStr" s="2909">
        <is>
          <t>20060401</t>
        </is>
      </c>
      <c r="AD616" t="n" s="2909">
        <v>12</v>
      </c>
      <c r="AE616" t="inlineStr" s="2909">
        <is>
          <t>20091201</t>
        </is>
      </c>
      <c r="AH616" t="n" s="2909">
        <v>0</v>
      </c>
      <c r="AJ616" t="n" s="2909">
        <v>10</v>
      </c>
      <c r="AP616" t="n" s="2909">
        <v>1</v>
      </c>
      <c r="DB616" s="2909" t="str">
        <f>IF($A616="","",IF($A616&lt;&gt;21,"対象外",IF($AE616&amp;""="00000000","在職",IF($AE616&amp;""='DB_設定'!$C$4,"4/1喪失","その他喪失"))))</f>
        <v>その他喪失</v>
      </c>
    </row>
    <row r="617">
      <c r="A617" t="n" s="2909">
        <v>21</v>
      </c>
      <c r="AA617" t="n" s="2909">
        <v>21</v>
      </c>
      <c r="AB617" t="inlineStr" s="2909">
        <is>
          <t>20020401</t>
        </is>
      </c>
      <c r="AD617" t="n" s="2909">
        <v>12</v>
      </c>
      <c r="AE617" t="inlineStr" s="2909">
        <is>
          <t>20091201</t>
        </is>
      </c>
      <c r="AH617" t="n" s="2909">
        <v>0</v>
      </c>
      <c r="AJ617" t="n" s="2909">
        <v>10</v>
      </c>
      <c r="AP617" t="n" s="2909">
        <v>1</v>
      </c>
      <c r="DB617" s="2909" t="str">
        <f>IF($A617="","",IF($A617&lt;&gt;21,"対象外",IF($AE617&amp;""="00000000","在職",IF($AE617&amp;""='DB_設定'!$C$4,"4/1喪失","その他喪失"))))</f>
        <v>その他喪失</v>
      </c>
    </row>
    <row r="618">
      <c r="A618" t="n" s="2909">
        <v>21</v>
      </c>
      <c r="AA618" t="n" s="2909">
        <v>21</v>
      </c>
      <c r="AB618" t="inlineStr" s="2909">
        <is>
          <t>20040401</t>
        </is>
      </c>
      <c r="AD618" t="n" s="2909">
        <v>12</v>
      </c>
      <c r="AE618" t="inlineStr" s="2909">
        <is>
          <t>20091201</t>
        </is>
      </c>
      <c r="AH618" t="n" s="2909">
        <v>0</v>
      </c>
      <c r="AJ618" t="n" s="2909">
        <v>10</v>
      </c>
      <c r="AP618" t="n" s="2909">
        <v>1</v>
      </c>
      <c r="DB618" s="2909" t="str">
        <f>IF($A618="","",IF($A618&lt;&gt;21,"対象外",IF($AE618&amp;""="00000000","在職",IF($AE618&amp;""='DB_設定'!$C$4,"4/1喪失","その他喪失"))))</f>
        <v>その他喪失</v>
      </c>
    </row>
    <row r="619">
      <c r="A619" t="n" s="2909">
        <v>31</v>
      </c>
      <c r="AA619" t="n" s="2909">
        <v>21</v>
      </c>
      <c r="AB619" t="inlineStr" s="2909">
        <is>
          <t>20221001</t>
        </is>
      </c>
      <c r="AD619" t="n" s="2909">
        <v>12</v>
      </c>
      <c r="AE619" t="inlineStr" s="2909">
        <is>
          <t>20230325</t>
        </is>
      </c>
      <c r="AH619" t="n" s="2909">
        <v>11</v>
      </c>
      <c r="AJ619" t="n" s="2909">
        <v>41</v>
      </c>
      <c r="AP619" t="n" s="2909">
        <v>118000</v>
      </c>
      <c r="DB619" s="2909" t="str">
        <f>IF($A619="","",IF($A619&lt;&gt;21,"対象外",IF($AE619&amp;""="00000000","在職",IF($AE619&amp;""='DB_設定'!$C$4,"4/1喪失","その他喪失"))))</f>
        <v>対象外</v>
      </c>
    </row>
    <row r="620">
      <c r="A620" t="n" s="2909">
        <v>21</v>
      </c>
      <c r="AA620" t="n" s="2909">
        <v>21</v>
      </c>
      <c r="AB620" t="inlineStr" s="2909">
        <is>
          <t>20000701</t>
        </is>
      </c>
      <c r="AD620" t="n" s="2909">
        <v>12</v>
      </c>
      <c r="AE620" t="inlineStr" s="2909">
        <is>
          <t>20091201</t>
        </is>
      </c>
      <c r="AH620" t="n" s="2909">
        <v>0</v>
      </c>
      <c r="AJ620" t="n" s="2909">
        <v>10</v>
      </c>
      <c r="AP620" t="n" s="2909">
        <v>1</v>
      </c>
      <c r="DB620" s="2909" t="str">
        <f>IF($A620="","",IF($A620&lt;&gt;21,"対象外",IF($AE620&amp;""="00000000","在職",IF($AE620&amp;""='DB_設定'!$C$4,"4/1喪失","その他喪失"))))</f>
        <v>その他喪失</v>
      </c>
    </row>
    <row r="621">
      <c r="A621" t="n" s="2909">
        <v>21</v>
      </c>
      <c r="AA621" t="n" s="2909">
        <v>21</v>
      </c>
      <c r="AB621" t="inlineStr" s="2909">
        <is>
          <t>20020401</t>
        </is>
      </c>
      <c r="AD621" t="n" s="2909">
        <v>12</v>
      </c>
      <c r="AE621" t="inlineStr" s="2909">
        <is>
          <t>20091201</t>
        </is>
      </c>
      <c r="AH621" t="n" s="2909">
        <v>0</v>
      </c>
      <c r="AJ621" t="n" s="2909">
        <v>10</v>
      </c>
      <c r="AP621" t="n" s="2909">
        <v>1</v>
      </c>
      <c r="DB621" s="2909" t="str">
        <f>IF($A621="","",IF($A621&lt;&gt;21,"対象外",IF($AE621&amp;""="00000000","在職",IF($AE621&amp;""='DB_設定'!$C$4,"4/1喪失","その他喪失"))))</f>
        <v>その他喪失</v>
      </c>
    </row>
    <row r="622">
      <c r="A622" t="n" s="2909">
        <v>21</v>
      </c>
      <c r="AA622" t="n" s="2909">
        <v>21</v>
      </c>
      <c r="AB622" t="inlineStr" s="2909">
        <is>
          <t>20050401</t>
        </is>
      </c>
      <c r="AD622" t="n" s="2909">
        <v>12</v>
      </c>
      <c r="AE622" t="inlineStr" s="2909">
        <is>
          <t>20091201</t>
        </is>
      </c>
      <c r="AH622" t="n" s="2909">
        <v>0</v>
      </c>
      <c r="AJ622" t="n" s="2909">
        <v>10</v>
      </c>
      <c r="AP622" t="n" s="2909">
        <v>1</v>
      </c>
      <c r="DB622" s="2909" t="str">
        <f>IF($A622="","",IF($A622&lt;&gt;21,"対象外",IF($AE622&amp;""="00000000","在職",IF($AE622&amp;""='DB_設定'!$C$4,"4/1喪失","その他喪失"))))</f>
        <v>その他喪失</v>
      </c>
    </row>
    <row r="623">
      <c r="A623" t="n" s="2909">
        <v>31</v>
      </c>
      <c r="AA623" t="n" s="2909">
        <v>21</v>
      </c>
      <c r="AB623" t="inlineStr" s="2909">
        <is>
          <t>20230410</t>
        </is>
      </c>
      <c r="AD623" t="n" s="2909">
        <v>12</v>
      </c>
      <c r="AE623" t="inlineStr" s="2909">
        <is>
          <t>20240401</t>
        </is>
      </c>
      <c r="AH623" t="n" s="2909">
        <v>20</v>
      </c>
      <c r="AJ623" t="n" s="2909">
        <v>41</v>
      </c>
      <c r="AP623" t="n" s="2909">
        <v>240000</v>
      </c>
      <c r="DB623" s="2909" t="str">
        <f>IF($A623="","",IF($A623&lt;&gt;21,"対象外",IF($AE623&amp;""="00000000","在職",IF($AE623&amp;""='DB_設定'!$C$4,"4/1喪失","その他喪失"))))</f>
        <v>対象外</v>
      </c>
    </row>
    <row r="624">
      <c r="A624" t="n" s="2909">
        <v>21</v>
      </c>
      <c r="AA624" t="n" s="2909">
        <v>21</v>
      </c>
      <c r="AB624" t="inlineStr" s="2909">
        <is>
          <t>20090401</t>
        </is>
      </c>
      <c r="AD624" t="n" s="2909">
        <v>12</v>
      </c>
      <c r="AE624" t="inlineStr" s="2909">
        <is>
          <t>20091201</t>
        </is>
      </c>
      <c r="AH624" t="n" s="2909">
        <v>0</v>
      </c>
      <c r="AJ624" t="n" s="2909">
        <v>10</v>
      </c>
      <c r="AP624" t="n" s="2909">
        <v>1</v>
      </c>
      <c r="DB624" s="2909" t="str">
        <f>IF($A624="","",IF($A624&lt;&gt;21,"対象外",IF($AE624&amp;""="00000000","在職",IF($AE624&amp;""='DB_設定'!$C$4,"4/1喪失","その他喪失"))))</f>
        <v>その他喪失</v>
      </c>
    </row>
    <row r="625">
      <c r="A625" t="n" s="2909">
        <v>21</v>
      </c>
      <c r="AA625" t="n" s="2909">
        <v>21</v>
      </c>
      <c r="AB625" t="inlineStr" s="2909">
        <is>
          <t>19991001</t>
        </is>
      </c>
      <c r="AD625" t="n" s="2909">
        <v>12</v>
      </c>
      <c r="AE625" t="inlineStr" s="2909">
        <is>
          <t>20091201</t>
        </is>
      </c>
      <c r="AH625" t="n" s="2909">
        <v>0</v>
      </c>
      <c r="AJ625" t="n" s="2909">
        <v>10</v>
      </c>
      <c r="AP625" t="n" s="2909">
        <v>1</v>
      </c>
      <c r="DB625" s="2909" t="str">
        <f>IF($A625="","",IF($A625&lt;&gt;21,"対象外",IF($AE625&amp;""="00000000","在職",IF($AE625&amp;""='DB_設定'!$C$4,"4/1喪失","その他喪失"))))</f>
        <v>その他喪失</v>
      </c>
    </row>
    <row r="626">
      <c r="A626" t="n" s="2909">
        <v>31</v>
      </c>
      <c r="AA626" t="n" s="2909">
        <v>21</v>
      </c>
      <c r="AB626" t="inlineStr" s="2909">
        <is>
          <t>20221001</t>
        </is>
      </c>
      <c r="AD626" t="n" s="2909">
        <v>12</v>
      </c>
      <c r="AE626" t="inlineStr" s="2909">
        <is>
          <t>20240401</t>
        </is>
      </c>
      <c r="AH626" t="n" s="2909">
        <v>1</v>
      </c>
      <c r="AJ626" t="n" s="2909">
        <v>41</v>
      </c>
      <c r="AP626" t="n" s="2909">
        <v>190000</v>
      </c>
      <c r="DB626" s="2909" t="str">
        <f>IF($A626="","",IF($A626&lt;&gt;21,"対象外",IF($AE626&amp;""="00000000","在職",IF($AE626&amp;""='DB_設定'!$C$4,"4/1喪失","その他喪失"))))</f>
        <v>対象外</v>
      </c>
    </row>
    <row r="627">
      <c r="A627" t="n" s="2909">
        <v>21</v>
      </c>
      <c r="AA627" t="n" s="2909">
        <v>21</v>
      </c>
      <c r="AB627" t="inlineStr" s="2909">
        <is>
          <t>19870401</t>
        </is>
      </c>
      <c r="AD627" t="n" s="2909">
        <v>12</v>
      </c>
      <c r="AE627" t="inlineStr" s="2909">
        <is>
          <t>20220401</t>
        </is>
      </c>
      <c r="AH627" t="n" s="2909">
        <v>1</v>
      </c>
      <c r="AJ627" t="n" s="2909">
        <v>10</v>
      </c>
      <c r="AP627" t="n" s="2909">
        <v>410000</v>
      </c>
      <c r="DB627" s="2909" t="str">
        <f>IF($A627="","",IF($A627&lt;&gt;21,"対象外",IF($AE627&amp;""="00000000","在職",IF($AE627&amp;""='DB_設定'!$C$4,"4/1喪失","その他喪失"))))</f>
        <v>その他喪失</v>
      </c>
    </row>
    <row r="628">
      <c r="A628" t="n" s="2909">
        <v>31</v>
      </c>
      <c r="AA628" t="n" s="2909">
        <v>24</v>
      </c>
      <c r="AB628" t="inlineStr" s="2909">
        <is>
          <t>20250107</t>
        </is>
      </c>
      <c r="AD628" t="n" s="2909">
        <v>12</v>
      </c>
      <c r="AE628" t="inlineStr" s="2909">
        <is>
          <t>20250701</t>
        </is>
      </c>
      <c r="AH628" t="n" s="2909">
        <v>1</v>
      </c>
      <c r="AJ628" t="n" s="2909">
        <v>41</v>
      </c>
      <c r="AP628" t="n" s="2909">
        <v>134000</v>
      </c>
      <c r="DB628" s="2909" t="str">
        <f>IF($A628="","",IF($A628&lt;&gt;21,"対象外",IF($AE628&amp;""="00000000","在職",IF($AE628&amp;""='DB_設定'!$C$4,"4/1喪失","その他喪失"))))</f>
        <v>対象外</v>
      </c>
    </row>
    <row r="629">
      <c r="A629" t="n" s="2909">
        <v>21</v>
      </c>
      <c r="AA629" t="n" s="2909">
        <v>21</v>
      </c>
      <c r="AB629" t="inlineStr" s="2909">
        <is>
          <t>19860401</t>
        </is>
      </c>
      <c r="AD629" t="n" s="2909">
        <v>11</v>
      </c>
      <c r="AE629" t="inlineStr" s="2909">
        <is>
          <t>20250401</t>
        </is>
      </c>
      <c r="AH629" t="n" s="2909">
        <v>1</v>
      </c>
      <c r="AJ629" t="n" s="2909">
        <v>10</v>
      </c>
      <c r="AP629" t="n" s="2909">
        <v>530000</v>
      </c>
      <c r="DB629" s="2909" t="str">
        <f>IF($A629="","",IF($A629&lt;&gt;21,"対象外",IF($AE629&amp;""="00000000","在職",IF($AE629&amp;""='DB_設定'!$C$4,"4/1喪失","その他喪失"))))</f>
        <v>4/1喪失</v>
      </c>
    </row>
    <row r="630">
      <c r="A630" t="n" s="2909">
        <v>21</v>
      </c>
      <c r="AA630" t="n" s="2909">
        <v>21</v>
      </c>
      <c r="AB630" t="inlineStr" s="2909">
        <is>
          <t>19900401</t>
        </is>
      </c>
      <c r="AD630" t="n" s="2909">
        <v>12</v>
      </c>
      <c r="AE630" t="inlineStr" s="2909">
        <is>
          <t>20170401</t>
        </is>
      </c>
      <c r="AH630" t="n" s="2909">
        <v>1</v>
      </c>
      <c r="AJ630" t="n" s="2909">
        <v>10</v>
      </c>
      <c r="AP630" t="n" s="2909">
        <v>530000</v>
      </c>
      <c r="DB630" s="2909" t="str">
        <f>IF($A630="","",IF($A630&lt;&gt;21,"対象外",IF($AE630&amp;""="00000000","在職",IF($AE630&amp;""='DB_設定'!$C$4,"4/1喪失","その他喪失"))))</f>
        <v>その他喪失</v>
      </c>
    </row>
    <row r="631">
      <c r="A631" t="n" s="2909">
        <v>31</v>
      </c>
      <c r="AA631" t="n" s="2909">
        <v>24</v>
      </c>
      <c r="AB631" t="inlineStr" s="2909">
        <is>
          <t>20230901</t>
        </is>
      </c>
      <c r="AD631" t="n" s="2909">
        <v>12</v>
      </c>
      <c r="AE631" t="inlineStr" s="2909">
        <is>
          <t>20240116</t>
        </is>
      </c>
      <c r="AH631" t="n" s="2909">
        <v>1</v>
      </c>
      <c r="AJ631" t="n" s="2909">
        <v>41</v>
      </c>
      <c r="AP631" t="n" s="2909">
        <v>118000</v>
      </c>
      <c r="DB631" s="2909" t="str">
        <f>IF($A631="","",IF($A631&lt;&gt;21,"対象外",IF($AE631&amp;""="00000000","在職",IF($AE631&amp;""='DB_設定'!$C$4,"4/1喪失","その他喪失"))))</f>
        <v>対象外</v>
      </c>
    </row>
    <row r="632">
      <c r="A632" t="n" s="2909">
        <v>21</v>
      </c>
      <c r="AA632" t="n" s="2909">
        <v>21</v>
      </c>
      <c r="AB632" t="inlineStr" s="2909">
        <is>
          <t>20051221</t>
        </is>
      </c>
      <c r="AD632" t="n" s="2909">
        <v>12</v>
      </c>
      <c r="AE632" t="inlineStr" s="2909">
        <is>
          <t>20070401</t>
        </is>
      </c>
      <c r="AH632" t="n" s="2909">
        <v>0</v>
      </c>
      <c r="AJ632" t="n" s="2909">
        <v>10</v>
      </c>
      <c r="AP632" t="n" s="2909">
        <v>1</v>
      </c>
      <c r="DB632" s="2909" t="str">
        <f>IF($A632="","",IF($A632&lt;&gt;21,"対象外",IF($AE632&amp;""="00000000","在職",IF($AE632&amp;""='DB_設定'!$C$4,"4/1喪失","その他喪失"))))</f>
        <v>その他喪失</v>
      </c>
    </row>
    <row r="633">
      <c r="A633" t="n" s="2909">
        <v>21</v>
      </c>
      <c r="AA633" t="n" s="2909">
        <v>21</v>
      </c>
      <c r="AB633" t="inlineStr" s="2909">
        <is>
          <t>20040401</t>
        </is>
      </c>
      <c r="AD633" t="n" s="2909">
        <v>12</v>
      </c>
      <c r="AE633" t="inlineStr" s="2909">
        <is>
          <t>20080401</t>
        </is>
      </c>
      <c r="AH633" t="n" s="2909">
        <v>0</v>
      </c>
      <c r="AJ633" t="n" s="2909">
        <v>10</v>
      </c>
      <c r="AP633" t="n" s="2909">
        <v>1</v>
      </c>
      <c r="DB633" s="2909" t="str">
        <f>IF($A633="","",IF($A633&lt;&gt;21,"対象外",IF($AE633&amp;""="00000000","在職",IF($AE633&amp;""='DB_設定'!$C$4,"4/1喪失","その他喪失"))))</f>
        <v>その他喪失</v>
      </c>
    </row>
    <row r="634">
      <c r="A634" t="n" s="2909">
        <v>21</v>
      </c>
      <c r="AA634" t="n" s="2909">
        <v>21</v>
      </c>
      <c r="AB634" t="inlineStr" s="2909">
        <is>
          <t>20030401</t>
        </is>
      </c>
      <c r="AD634" t="n" s="2909">
        <v>12</v>
      </c>
      <c r="AE634" t="inlineStr" s="2909">
        <is>
          <t>20250401</t>
        </is>
      </c>
      <c r="AH634" t="n" s="2909">
        <v>11</v>
      </c>
      <c r="AJ634" t="n" s="2909">
        <v>10</v>
      </c>
      <c r="AP634" t="n" s="2909">
        <v>410000</v>
      </c>
      <c r="DB634" s="2909" t="str">
        <f>IF($A634="","",IF($A634&lt;&gt;21,"対象外",IF($AE634&amp;""="00000000","在職",IF($AE634&amp;""='DB_設定'!$C$4,"4/1喪失","その他喪失"))))</f>
        <v>4/1喪失</v>
      </c>
    </row>
    <row r="635">
      <c r="A635" t="n" s="2909">
        <v>21</v>
      </c>
      <c r="AA635" t="n" s="2909">
        <v>21</v>
      </c>
      <c r="AB635" t="inlineStr" s="2909">
        <is>
          <t>20090803</t>
        </is>
      </c>
      <c r="AD635" t="n" s="2909">
        <v>12</v>
      </c>
      <c r="AE635" t="inlineStr" s="2909">
        <is>
          <t>20091201</t>
        </is>
      </c>
      <c r="AH635" t="n" s="2909">
        <v>0</v>
      </c>
      <c r="AJ635" t="n" s="2909">
        <v>10</v>
      </c>
      <c r="AP635" t="n" s="2909">
        <v>119301</v>
      </c>
      <c r="DB635" s="2909" t="str">
        <f>IF($A635="","",IF($A635&lt;&gt;21,"対象外",IF($AE635&amp;""="00000000","在職",IF($AE635&amp;""='DB_設定'!$C$4,"4/1喪失","その他喪失"))))</f>
        <v>その他喪失</v>
      </c>
    </row>
    <row r="636">
      <c r="A636" t="n" s="2909">
        <v>21</v>
      </c>
      <c r="AA636" t="n" s="2909">
        <v>21</v>
      </c>
      <c r="AB636" t="inlineStr" s="2909">
        <is>
          <t>20010401</t>
        </is>
      </c>
      <c r="AD636" t="n" s="2909">
        <v>12</v>
      </c>
      <c r="AE636" t="inlineStr" s="2909">
        <is>
          <t>20090401</t>
        </is>
      </c>
      <c r="AH636" t="n" s="2909">
        <v>0</v>
      </c>
      <c r="AJ636" t="n" s="2909">
        <v>10</v>
      </c>
      <c r="AP636" t="n" s="2909">
        <v>298755</v>
      </c>
      <c r="DB636" s="2909" t="str">
        <f>IF($A636="","",IF($A636&lt;&gt;21,"対象外",IF($AE636&amp;""="00000000","在職",IF($AE636&amp;""='DB_設定'!$C$4,"4/1喪失","その他喪失"))))</f>
        <v>その他喪失</v>
      </c>
    </row>
    <row r="637">
      <c r="A637" t="n" s="2909">
        <v>21</v>
      </c>
      <c r="AA637" t="n" s="2909">
        <v>21</v>
      </c>
      <c r="AB637" t="inlineStr" s="2909">
        <is>
          <t>20000705</t>
        </is>
      </c>
      <c r="AD637" t="n" s="2909">
        <v>12</v>
      </c>
      <c r="AE637" t="inlineStr" s="2909">
        <is>
          <t>20091201</t>
        </is>
      </c>
      <c r="AH637" t="n" s="2909">
        <v>0</v>
      </c>
      <c r="AJ637" t="n" s="2909">
        <v>10</v>
      </c>
      <c r="AP637" t="n" s="2909">
        <v>1</v>
      </c>
      <c r="DB637" s="2909" t="str">
        <f>IF($A637="","",IF($A637&lt;&gt;21,"対象外",IF($AE637&amp;""="00000000","在職",IF($AE637&amp;""='DB_設定'!$C$4,"4/1喪失","その他喪失"))))</f>
        <v>その他喪失</v>
      </c>
    </row>
    <row r="638">
      <c r="A638" t="n" s="2909">
        <v>31</v>
      </c>
      <c r="AA638" t="n" s="2909">
        <v>21</v>
      </c>
      <c r="AB638" t="inlineStr" s="2909">
        <is>
          <t>20241205</t>
        </is>
      </c>
      <c r="AD638" t="n" s="2909">
        <v>12</v>
      </c>
      <c r="AE638" t="inlineStr" s="2909">
        <is>
          <t>20251001</t>
        </is>
      </c>
      <c r="AH638" t="n" s="2909">
        <v>20</v>
      </c>
      <c r="AJ638" t="n" s="2909">
        <v>41</v>
      </c>
      <c r="AP638" t="n" s="2909">
        <v>200000</v>
      </c>
      <c r="DB638" s="2909" t="str">
        <f>IF($A638="","",IF($A638&lt;&gt;21,"対象外",IF($AE638&amp;""="00000000","在職",IF($AE638&amp;""='DB_設定'!$C$4,"4/1喪失","その他喪失"))))</f>
        <v>対象外</v>
      </c>
    </row>
    <row r="639">
      <c r="A639" t="n" s="2909">
        <v>21</v>
      </c>
      <c r="AA639" t="n" s="2909">
        <v>21</v>
      </c>
      <c r="AB639" t="inlineStr" s="2909">
        <is>
          <t>20091001</t>
        </is>
      </c>
      <c r="AD639" t="n" s="2909">
        <v>12</v>
      </c>
      <c r="AE639" t="inlineStr" s="2909">
        <is>
          <t>20091201</t>
        </is>
      </c>
      <c r="AH639" t="n" s="2909">
        <v>0</v>
      </c>
      <c r="AJ639" t="n" s="2909">
        <v>10</v>
      </c>
      <c r="AP639" t="n" s="2909">
        <v>157733</v>
      </c>
      <c r="DB639" s="2909" t="str">
        <f>IF($A639="","",IF($A639&lt;&gt;21,"対象外",IF($AE639&amp;""="00000000","在職",IF($AE639&amp;""='DB_設定'!$C$4,"4/1喪失","その他喪失"))))</f>
        <v>その他喪失</v>
      </c>
    </row>
    <row r="640">
      <c r="A640" t="n" s="2909">
        <v>21</v>
      </c>
      <c r="AA640" t="n" s="2909">
        <v>21</v>
      </c>
      <c r="AB640" t="inlineStr" s="2909">
        <is>
          <t>19870401</t>
        </is>
      </c>
      <c r="AD640" t="n" s="2909">
        <v>12</v>
      </c>
      <c r="AE640" t="inlineStr" s="2909">
        <is>
          <t>20250401</t>
        </is>
      </c>
      <c r="AH640" t="n" s="2909">
        <v>21</v>
      </c>
      <c r="AJ640" t="n" s="2909">
        <v>74</v>
      </c>
      <c r="AP640" t="n" s="2909">
        <v>560000</v>
      </c>
      <c r="DB640" s="2909" t="str">
        <f>IF($A640="","",IF($A640&lt;&gt;21,"対象外",IF($AE640&amp;""="00000000","在職",IF($AE640&amp;""='DB_設定'!$C$4,"4/1喪失","その他喪失"))))</f>
        <v>4/1喪失</v>
      </c>
    </row>
    <row r="641">
      <c r="A641" t="n" s="2909">
        <v>31</v>
      </c>
      <c r="AA641" t="n" s="2909">
        <v>21</v>
      </c>
      <c r="AB641" t="inlineStr" s="2909">
        <is>
          <t>20220401</t>
        </is>
      </c>
      <c r="AD641" t="n" s="2909">
        <v>12</v>
      </c>
      <c r="AE641" t="inlineStr" s="2909">
        <is>
          <t>20240401</t>
        </is>
      </c>
      <c r="AH641" t="n" s="2909">
        <v>1</v>
      </c>
      <c r="AJ641" t="n" s="2909">
        <v>10</v>
      </c>
      <c r="AP641" t="n" s="2909">
        <v>220000</v>
      </c>
      <c r="DB641" s="2909" t="str">
        <f>IF($A641="","",IF($A641&lt;&gt;21,"対象外",IF($AE641&amp;""="00000000","在職",IF($AE641&amp;""='DB_設定'!$C$4,"4/1喪失","その他喪失"))))</f>
        <v>対象外</v>
      </c>
    </row>
    <row r="642">
      <c r="A642" t="n" s="2909">
        <v>31</v>
      </c>
      <c r="AA642" t="n" s="2909">
        <v>21</v>
      </c>
      <c r="AB642" t="inlineStr" s="2909">
        <is>
          <t>20221001</t>
        </is>
      </c>
      <c r="AD642" t="n" s="2909">
        <v>12</v>
      </c>
      <c r="AE642" t="inlineStr" s="2909">
        <is>
          <t>20250401</t>
        </is>
      </c>
      <c r="AH642" t="n" s="2909">
        <v>1</v>
      </c>
      <c r="AJ642" t="n" s="2909">
        <v>41</v>
      </c>
      <c r="AP642" t="n" s="2909">
        <v>220000</v>
      </c>
      <c r="DB642" s="2909" t="str">
        <f>IF($A642="","",IF($A642&lt;&gt;21,"対象外",IF($AE642&amp;""="00000000","在職",IF($AE642&amp;""='DB_設定'!$C$4,"4/1喪失","その他喪失"))))</f>
        <v>対象外</v>
      </c>
    </row>
    <row r="643">
      <c r="A643" t="n" s="2909">
        <v>31</v>
      </c>
      <c r="AA643" t="n" s="2909">
        <v>21</v>
      </c>
      <c r="AB643" t="inlineStr" s="2909">
        <is>
          <t>20221001</t>
        </is>
      </c>
      <c r="AD643" t="n" s="2909">
        <v>12</v>
      </c>
      <c r="AE643" t="inlineStr" s="2909">
        <is>
          <t>20240401</t>
        </is>
      </c>
      <c r="AH643" t="n" s="2909">
        <v>1</v>
      </c>
      <c r="AJ643" t="n" s="2909">
        <v>41</v>
      </c>
      <c r="AP643" t="n" s="2909">
        <v>118000</v>
      </c>
      <c r="DB643" s="2909" t="str">
        <f>IF($A643="","",IF($A643&lt;&gt;21,"対象外",IF($AE643&amp;""="00000000","在職",IF($AE643&amp;""='DB_設定'!$C$4,"4/1喪失","その他喪失"))))</f>
        <v>対象外</v>
      </c>
    </row>
    <row r="644">
      <c r="A644" t="n" s="2909">
        <v>21</v>
      </c>
      <c r="AA644" t="n" s="2909">
        <v>21</v>
      </c>
      <c r="AB644" t="inlineStr" s="2909">
        <is>
          <t>19970401</t>
        </is>
      </c>
      <c r="AD644" t="n" s="2909">
        <v>12</v>
      </c>
      <c r="AE644" t="inlineStr" s="2909">
        <is>
          <t>20091201</t>
        </is>
      </c>
      <c r="AH644" t="n" s="2909">
        <v>0</v>
      </c>
      <c r="AJ644" t="n" s="2909">
        <v>10</v>
      </c>
      <c r="AP644" t="n" s="2909">
        <v>1</v>
      </c>
      <c r="DB644" s="2909" t="str">
        <f>IF($A644="","",IF($A644&lt;&gt;21,"対象外",IF($AE644&amp;""="00000000","在職",IF($AE644&amp;""='DB_設定'!$C$4,"4/1喪失","その他喪失"))))</f>
        <v>その他喪失</v>
      </c>
    </row>
    <row r="645">
      <c r="A645" t="n" s="2909">
        <v>21</v>
      </c>
      <c r="AA645" t="n" s="2909">
        <v>21</v>
      </c>
      <c r="AB645" t="inlineStr" s="2909">
        <is>
          <t>19860401</t>
        </is>
      </c>
      <c r="AD645" t="n" s="2909">
        <v>12</v>
      </c>
      <c r="AE645" t="inlineStr" s="2909">
        <is>
          <t>20230401</t>
        </is>
      </c>
      <c r="AH645" t="n" s="2909">
        <v>11</v>
      </c>
      <c r="AJ645" t="n" s="2909">
        <v>10</v>
      </c>
      <c r="AP645" t="n" s="2909">
        <v>560000</v>
      </c>
      <c r="DB645" s="2909" t="str">
        <f>IF($A645="","",IF($A645&lt;&gt;21,"対象外",IF($AE645&amp;""="00000000","在職",IF($AE645&amp;""='DB_設定'!$C$4,"4/1喪失","その他喪失"))))</f>
        <v>その他喪失</v>
      </c>
    </row>
    <row r="646">
      <c r="A646" t="n" s="2909">
        <v>21</v>
      </c>
      <c r="AA646" t="n" s="2909">
        <v>21</v>
      </c>
      <c r="AB646" t="inlineStr" s="2909">
        <is>
          <t>19870401</t>
        </is>
      </c>
      <c r="AD646" t="n" s="2909">
        <v>12</v>
      </c>
      <c r="AE646" t="inlineStr" s="2909">
        <is>
          <t>20250401</t>
        </is>
      </c>
      <c r="AH646" t="n" s="2909">
        <v>1</v>
      </c>
      <c r="AJ646" t="n" s="2909">
        <v>10</v>
      </c>
      <c r="AP646" t="n" s="2909">
        <v>500000</v>
      </c>
      <c r="DB646" s="2909" t="str">
        <f>IF($A646="","",IF($A646&lt;&gt;21,"対象外",IF($AE646&amp;""="00000000","在職",IF($AE646&amp;""='DB_設定'!$C$4,"4/1喪失","その他喪失"))))</f>
        <v>4/1喪失</v>
      </c>
    </row>
    <row r="647">
      <c r="A647" t="n" s="2909">
        <v>31</v>
      </c>
      <c r="AA647" t="n" s="2909">
        <v>21</v>
      </c>
      <c r="AB647" t="inlineStr" s="2909">
        <is>
          <t>20250401</t>
        </is>
      </c>
      <c r="AD647" t="n" s="2909">
        <v>12</v>
      </c>
      <c r="AE647" t="inlineStr" s="2909">
        <is>
          <t>20250801</t>
        </is>
      </c>
      <c r="AH647" t="n" s="2909">
        <v>1</v>
      </c>
      <c r="AJ647" t="n" s="2909">
        <v>41</v>
      </c>
      <c r="AP647" t="n" s="2909">
        <v>220000</v>
      </c>
      <c r="DB647" s="2909" t="str">
        <f>IF($A647="","",IF($A647&lt;&gt;21,"対象外",IF($AE647&amp;""="00000000","在職",IF($AE647&amp;""='DB_設定'!$C$4,"4/1喪失","その他喪失"))))</f>
        <v>対象外</v>
      </c>
    </row>
    <row r="648">
      <c r="A648" t="n" s="2909">
        <v>21</v>
      </c>
      <c r="AA648" t="n" s="2909">
        <v>21</v>
      </c>
      <c r="AB648" t="inlineStr" s="2909">
        <is>
          <t>19990901</t>
        </is>
      </c>
      <c r="AD648" t="n" s="2909">
        <v>12</v>
      </c>
      <c r="AE648" t="inlineStr" s="2909">
        <is>
          <t>20091201</t>
        </is>
      </c>
      <c r="AH648" t="n" s="2909">
        <v>0</v>
      </c>
      <c r="AJ648" t="n" s="2909">
        <v>10</v>
      </c>
      <c r="AP648" t="n" s="2909">
        <v>1</v>
      </c>
      <c r="DB648" s="2909" t="str">
        <f>IF($A648="","",IF($A648&lt;&gt;21,"対象外",IF($AE648&amp;""="00000000","在職",IF($AE648&amp;""='DB_設定'!$C$4,"4/1喪失","その他喪失"))))</f>
        <v>その他喪失</v>
      </c>
    </row>
    <row r="649">
      <c r="A649" t="n" s="2909">
        <v>21</v>
      </c>
      <c r="AA649" t="n" s="2909">
        <v>21</v>
      </c>
      <c r="AB649" t="inlineStr" s="2909">
        <is>
          <t>19970401</t>
        </is>
      </c>
      <c r="AD649" t="n" s="2909">
        <v>12</v>
      </c>
      <c r="AE649" t="inlineStr" s="2909">
        <is>
          <t>20190401</t>
        </is>
      </c>
      <c r="AH649" t="n" s="2909">
        <v>11</v>
      </c>
      <c r="AJ649" t="n" s="2909">
        <v>10</v>
      </c>
      <c r="AP649" t="n" s="2909">
        <v>410000</v>
      </c>
      <c r="DB649" s="2909" t="str">
        <f>IF($A649="","",IF($A649&lt;&gt;21,"対象外",IF($AE649&amp;""="00000000","在職",IF($AE649&amp;""='DB_設定'!$C$4,"4/1喪失","その他喪失"))))</f>
        <v>その他喪失</v>
      </c>
    </row>
    <row r="650">
      <c r="A650" t="n" s="2909">
        <v>21</v>
      </c>
      <c r="AA650" t="n" s="2909">
        <v>21</v>
      </c>
      <c r="AB650" t="inlineStr" s="2909">
        <is>
          <t>19880401</t>
        </is>
      </c>
      <c r="AD650" t="n" s="2909">
        <v>12</v>
      </c>
      <c r="AE650" t="inlineStr" s="2909">
        <is>
          <t>20240401</t>
        </is>
      </c>
      <c r="AH650" t="n" s="2909">
        <v>1</v>
      </c>
      <c r="AJ650" t="n" s="2909">
        <v>10</v>
      </c>
      <c r="AP650" t="n" s="2909">
        <v>590000</v>
      </c>
      <c r="DB650" s="2909" t="str">
        <f>IF($A650="","",IF($A650&lt;&gt;21,"対象外",IF($AE650&amp;""="00000000","在職",IF($AE650&amp;""='DB_設定'!$C$4,"4/1喪失","その他喪失"))))</f>
        <v>その他喪失</v>
      </c>
    </row>
    <row r="651">
      <c r="A651" t="n" s="2909">
        <v>21</v>
      </c>
      <c r="AA651" t="n" s="2909">
        <v>21</v>
      </c>
      <c r="AB651" t="inlineStr" s="2909">
        <is>
          <t>20050401</t>
        </is>
      </c>
      <c r="AD651" t="n" s="2909">
        <v>12</v>
      </c>
      <c r="AE651" t="inlineStr" s="2909">
        <is>
          <t>20091201</t>
        </is>
      </c>
      <c r="AH651" t="n" s="2909">
        <v>0</v>
      </c>
      <c r="AJ651" t="n" s="2909">
        <v>10</v>
      </c>
      <c r="AP651" t="n" s="2909">
        <v>1</v>
      </c>
      <c r="DB651" s="2909" t="str">
        <f>IF($A651="","",IF($A651&lt;&gt;21,"対象外",IF($AE651&amp;""="00000000","在職",IF($AE651&amp;""='DB_設定'!$C$4,"4/1喪失","その他喪失"))))</f>
        <v>その他喪失</v>
      </c>
    </row>
    <row r="652">
      <c r="A652" t="n" s="2909">
        <v>31</v>
      </c>
      <c r="AA652" t="n" s="2909">
        <v>21</v>
      </c>
      <c r="AB652" t="inlineStr" s="2909">
        <is>
          <t>20221001</t>
        </is>
      </c>
      <c r="AD652" t="n" s="2909">
        <v>12</v>
      </c>
      <c r="AE652" t="inlineStr" s="2909">
        <is>
          <t>20230501</t>
        </is>
      </c>
      <c r="AH652" t="n" s="2909">
        <v>1</v>
      </c>
      <c r="AJ652" t="n" s="2909">
        <v>41</v>
      </c>
      <c r="AP652" t="n" s="2909">
        <v>110000</v>
      </c>
      <c r="DB652" s="2909" t="str">
        <f>IF($A652="","",IF($A652&lt;&gt;21,"対象外",IF($AE652&amp;""="00000000","在職",IF($AE652&amp;""='DB_設定'!$C$4,"4/1喪失","その他喪失"))))</f>
        <v>対象外</v>
      </c>
    </row>
    <row r="653">
      <c r="A653" t="n" s="2909">
        <v>31</v>
      </c>
      <c r="AA653" t="n" s="2909">
        <v>21</v>
      </c>
      <c r="AB653" t="inlineStr" s="2909">
        <is>
          <t>20221001</t>
        </is>
      </c>
      <c r="AD653" t="n" s="2909">
        <v>12</v>
      </c>
      <c r="AE653" t="inlineStr" s="2909">
        <is>
          <t>20250326</t>
        </is>
      </c>
      <c r="AH653" t="n" s="2909">
        <v>11</v>
      </c>
      <c r="AJ653" t="n" s="2909">
        <v>41</v>
      </c>
      <c r="AP653" t="n" s="2909">
        <v>104000</v>
      </c>
      <c r="DB653" s="2909" t="str">
        <f>IF($A653="","",IF($A653&lt;&gt;21,"対象外",IF($AE653&amp;""="00000000","在職",IF($AE653&amp;""='DB_設定'!$C$4,"4/1喪失","その他喪失"))))</f>
        <v>対象外</v>
      </c>
    </row>
    <row r="654">
      <c r="A654" t="n" s="2909">
        <v>21</v>
      </c>
      <c r="AA654" t="n" s="2909">
        <v>21</v>
      </c>
      <c r="AB654" t="inlineStr" s="2909">
        <is>
          <t>19860501</t>
        </is>
      </c>
      <c r="AD654" t="n" s="2909">
        <v>12</v>
      </c>
      <c r="AE654" t="inlineStr" s="2909">
        <is>
          <t>20210401</t>
        </is>
      </c>
      <c r="AH654" t="n" s="2909">
        <v>20</v>
      </c>
      <c r="AJ654" t="n" s="2909">
        <v>10</v>
      </c>
      <c r="AP654" t="n" s="2909">
        <v>590000</v>
      </c>
      <c r="DB654" s="2909" t="str">
        <f>IF($A654="","",IF($A654&lt;&gt;21,"対象外",IF($AE654&amp;""="00000000","在職",IF($AE654&amp;""='DB_設定'!$C$4,"4/1喪失","その他喪失"))))</f>
        <v>その他喪失</v>
      </c>
    </row>
    <row r="655">
      <c r="A655" t="n" s="2909">
        <v>21</v>
      </c>
      <c r="AA655" t="n" s="2909">
        <v>21</v>
      </c>
      <c r="AB655" t="inlineStr" s="2909">
        <is>
          <t>19880401</t>
        </is>
      </c>
      <c r="AD655" t="n" s="2909">
        <v>12</v>
      </c>
      <c r="AE655" t="inlineStr" s="2909">
        <is>
          <t>20250401</t>
        </is>
      </c>
      <c r="AH655" t="n" s="2909">
        <v>1</v>
      </c>
      <c r="AJ655" t="n" s="2909">
        <v>10</v>
      </c>
      <c r="AP655" t="n" s="2909">
        <v>560000</v>
      </c>
      <c r="DB655" s="2909" t="str">
        <f>IF($A655="","",IF($A655&lt;&gt;21,"対象外",IF($AE655&amp;""="00000000","在職",IF($AE655&amp;""='DB_設定'!$C$4,"4/1喪失","その他喪失"))))</f>
        <v>4/1喪失</v>
      </c>
    </row>
    <row r="656">
      <c r="A656" t="n" s="2909">
        <v>31</v>
      </c>
      <c r="AA656" t="n" s="2909">
        <v>24</v>
      </c>
      <c r="AB656" t="inlineStr" s="2909">
        <is>
          <t>20241001</t>
        </is>
      </c>
      <c r="AD656" t="n" s="2909">
        <v>12</v>
      </c>
      <c r="AE656" t="inlineStr" s="2909">
        <is>
          <t>20250401</t>
        </is>
      </c>
      <c r="AH656" t="n" s="2909">
        <v>1</v>
      </c>
      <c r="AJ656" t="n" s="2909">
        <v>41</v>
      </c>
      <c r="AP656" t="n" s="2909">
        <v>126000</v>
      </c>
      <c r="DB656" s="2909" t="str">
        <f>IF($A656="","",IF($A656&lt;&gt;21,"対象外",IF($AE656&amp;""="00000000","在職",IF($AE656&amp;""='DB_設定'!$C$4,"4/1喪失","その他喪失"))))</f>
        <v>対象外</v>
      </c>
    </row>
    <row r="657">
      <c r="A657" t="n" s="2909">
        <v>21</v>
      </c>
      <c r="AA657" t="n" s="2909">
        <v>21</v>
      </c>
      <c r="AB657" t="inlineStr" s="2909">
        <is>
          <t>20070601</t>
        </is>
      </c>
      <c r="AD657" t="n" s="2909">
        <v>12</v>
      </c>
      <c r="AE657" t="inlineStr" s="2909">
        <is>
          <t>20080401</t>
        </is>
      </c>
      <c r="AH657" t="n" s="2909">
        <v>0</v>
      </c>
      <c r="AJ657" t="n" s="2909">
        <v>10</v>
      </c>
      <c r="AP657" t="n" s="2909">
        <v>1</v>
      </c>
      <c r="DB657" s="2909" t="str">
        <f>IF($A657="","",IF($A657&lt;&gt;21,"対象外",IF($AE657&amp;""="00000000","在職",IF($AE657&amp;""='DB_設定'!$C$4,"4/1喪失","その他喪失"))))</f>
        <v>その他喪失</v>
      </c>
    </row>
    <row r="658">
      <c r="A658" t="n" s="2909">
        <v>21</v>
      </c>
      <c r="AA658" t="n" s="2909">
        <v>21</v>
      </c>
      <c r="AB658" t="inlineStr" s="2909">
        <is>
          <t>20040113</t>
        </is>
      </c>
      <c r="AD658" t="n" s="2909">
        <v>12</v>
      </c>
      <c r="AE658" t="inlineStr" s="2909">
        <is>
          <t>20080817</t>
        </is>
      </c>
      <c r="AH658" t="n" s="2909">
        <v>0</v>
      </c>
      <c r="AJ658" t="n" s="2909">
        <v>10</v>
      </c>
      <c r="AP658" t="n" s="2909">
        <v>1</v>
      </c>
      <c r="DB658" s="2909" t="str">
        <f>IF($A658="","",IF($A658&lt;&gt;21,"対象外",IF($AE658&amp;""="00000000","在職",IF($AE658&amp;""='DB_設定'!$C$4,"4/1喪失","その他喪失"))))</f>
        <v>その他喪失</v>
      </c>
    </row>
    <row r="659">
      <c r="A659" t="n" s="2909">
        <v>21</v>
      </c>
      <c r="AA659" t="n" s="2909">
        <v>21</v>
      </c>
      <c r="AB659" t="inlineStr" s="2909">
        <is>
          <t>19860501</t>
        </is>
      </c>
      <c r="AD659" t="n" s="2909">
        <v>12</v>
      </c>
      <c r="AE659" t="inlineStr" s="2909">
        <is>
          <t>20250401</t>
        </is>
      </c>
      <c r="AH659" t="n" s="2909">
        <v>20</v>
      </c>
      <c r="AJ659" t="n" s="2909">
        <v>10</v>
      </c>
      <c r="AP659" t="n" s="2909">
        <v>680000</v>
      </c>
      <c r="DB659" s="2909" t="str">
        <f>IF($A659="","",IF($A659&lt;&gt;21,"対象外",IF($AE659&amp;""="00000000","在職",IF($AE659&amp;""='DB_設定'!$C$4,"4/1喪失","その他喪失"))))</f>
        <v>4/1喪失</v>
      </c>
    </row>
    <row r="660">
      <c r="A660" t="n" s="2909">
        <v>21</v>
      </c>
      <c r="AA660" t="n" s="2909">
        <v>21</v>
      </c>
      <c r="AB660" t="inlineStr" s="2909">
        <is>
          <t>20010501</t>
        </is>
      </c>
      <c r="AD660" t="n" s="2909">
        <v>12</v>
      </c>
      <c r="AE660" t="inlineStr" s="2909">
        <is>
          <t>20091201</t>
        </is>
      </c>
      <c r="AH660" t="n" s="2909">
        <v>0</v>
      </c>
      <c r="AJ660" t="n" s="2909">
        <v>10</v>
      </c>
      <c r="AP660" t="n" s="2909">
        <v>1</v>
      </c>
      <c r="DB660" s="2909" t="str">
        <f>IF($A660="","",IF($A660&lt;&gt;21,"対象外",IF($AE660&amp;""="00000000","在職",IF($AE660&amp;""='DB_設定'!$C$4,"4/1喪失","その他喪失"))))</f>
        <v>その他喪失</v>
      </c>
    </row>
    <row r="661">
      <c r="A661" t="n" s="2909">
        <v>21</v>
      </c>
      <c r="AA661" t="n" s="2909">
        <v>21</v>
      </c>
      <c r="AB661" t="inlineStr" s="2909">
        <is>
          <t>20060401</t>
        </is>
      </c>
      <c r="AD661" t="n" s="2909">
        <v>12</v>
      </c>
      <c r="AE661" t="inlineStr" s="2909">
        <is>
          <t>20091201</t>
        </is>
      </c>
      <c r="AH661" t="n" s="2909">
        <v>0</v>
      </c>
      <c r="AJ661" t="n" s="2909">
        <v>10</v>
      </c>
      <c r="AP661" t="n" s="2909">
        <v>1</v>
      </c>
      <c r="DB661" s="2909" t="str">
        <f>IF($A661="","",IF($A661&lt;&gt;21,"対象外",IF($AE661&amp;""="00000000","在職",IF($AE661&amp;""='DB_設定'!$C$4,"4/1喪失","その他喪失"))))</f>
        <v>その他喪失</v>
      </c>
    </row>
    <row r="662">
      <c r="A662" t="n" s="2909">
        <v>21</v>
      </c>
      <c r="AA662" t="n" s="2909">
        <v>21</v>
      </c>
      <c r="AB662" t="inlineStr" s="2909">
        <is>
          <t>19850401</t>
        </is>
      </c>
      <c r="AD662" t="n" s="2909">
        <v>12</v>
      </c>
      <c r="AE662" t="inlineStr" s="2909">
        <is>
          <t>20240401</t>
        </is>
      </c>
      <c r="AH662" t="n" s="2909">
        <v>1</v>
      </c>
      <c r="AJ662" t="n" s="2909">
        <v>10</v>
      </c>
      <c r="AP662" t="n" s="2909">
        <v>500000</v>
      </c>
      <c r="DB662" s="2909" t="str">
        <f>IF($A662="","",IF($A662&lt;&gt;21,"対象外",IF($AE662&amp;""="00000000","在職",IF($AE662&amp;""='DB_設定'!$C$4,"4/1喪失","その他喪失"))))</f>
        <v>その他喪失</v>
      </c>
    </row>
    <row r="663">
      <c r="A663" t="n" s="2909">
        <v>21</v>
      </c>
      <c r="AA663" t="n" s="2909">
        <v>21</v>
      </c>
      <c r="AB663" t="inlineStr" s="2909">
        <is>
          <t>20060401</t>
        </is>
      </c>
      <c r="AD663" t="n" s="2909">
        <v>12</v>
      </c>
      <c r="AE663" t="inlineStr" s="2909">
        <is>
          <t>20091201</t>
        </is>
      </c>
      <c r="AH663" t="n" s="2909">
        <v>0</v>
      </c>
      <c r="AJ663" t="n" s="2909">
        <v>10</v>
      </c>
      <c r="AP663" t="n" s="2909">
        <v>1</v>
      </c>
      <c r="DB663" s="2909" t="str">
        <f>IF($A663="","",IF($A663&lt;&gt;21,"対象外",IF($AE663&amp;""="00000000","在職",IF($AE663&amp;""='DB_設定'!$C$4,"4/1喪失","その他喪失"))))</f>
        <v>その他喪失</v>
      </c>
    </row>
    <row r="664">
      <c r="A664" t="n" s="2909">
        <v>21</v>
      </c>
      <c r="AA664" t="n" s="2909">
        <v>21</v>
      </c>
      <c r="AB664" t="inlineStr" s="2909">
        <is>
          <t>20060403</t>
        </is>
      </c>
      <c r="AD664" t="n" s="2909">
        <v>12</v>
      </c>
      <c r="AE664" t="inlineStr" s="2909">
        <is>
          <t>20090331</t>
        </is>
      </c>
      <c r="AH664" t="n" s="2909">
        <v>0</v>
      </c>
      <c r="AJ664" t="n" s="2909">
        <v>10</v>
      </c>
      <c r="AP664" t="n" s="2909">
        <v>123732</v>
      </c>
      <c r="DB664" s="2909" t="str">
        <f>IF($A664="","",IF($A664&lt;&gt;21,"対象外",IF($AE664&amp;""="00000000","在職",IF($AE664&amp;""='DB_設定'!$C$4,"4/1喪失","その他喪失"))))</f>
        <v>その他喪失</v>
      </c>
    </row>
    <row r="665">
      <c r="A665" t="n" s="2909">
        <v>21</v>
      </c>
      <c r="AA665" t="n" s="2909">
        <v>21</v>
      </c>
      <c r="AB665" t="inlineStr" s="2909">
        <is>
          <t>20050401</t>
        </is>
      </c>
      <c r="AD665" t="n" s="2909">
        <v>12</v>
      </c>
      <c r="AE665" t="inlineStr" s="2909">
        <is>
          <t>20090401</t>
        </is>
      </c>
      <c r="AH665" t="n" s="2909">
        <v>0</v>
      </c>
      <c r="AJ665" t="n" s="2909">
        <v>10</v>
      </c>
      <c r="AP665" t="n" s="2909">
        <v>169900</v>
      </c>
      <c r="DB665" s="2909" t="str">
        <f>IF($A665="","",IF($A665&lt;&gt;21,"対象外",IF($AE665&amp;""="00000000","在職",IF($AE665&amp;""='DB_設定'!$C$4,"4/1喪失","その他喪失"))))</f>
        <v>その他喪失</v>
      </c>
    </row>
    <row r="666">
      <c r="A666" t="n" s="2909">
        <v>21</v>
      </c>
      <c r="AA666" t="n" s="2909">
        <v>21</v>
      </c>
      <c r="AB666" t="inlineStr" s="2909">
        <is>
          <t>20020501</t>
        </is>
      </c>
      <c r="AD666" t="n" s="2909">
        <v>12</v>
      </c>
      <c r="AE666" t="inlineStr" s="2909">
        <is>
          <t>20090101</t>
        </is>
      </c>
      <c r="AH666" t="n" s="2909">
        <v>0</v>
      </c>
      <c r="AJ666" t="n" s="2909">
        <v>10</v>
      </c>
      <c r="AP666" t="n" s="2909">
        <v>154200</v>
      </c>
      <c r="DB666" s="2909" t="str">
        <f>IF($A666="","",IF($A666&lt;&gt;21,"対象外",IF($AE666&amp;""="00000000","在職",IF($AE666&amp;""='DB_設定'!$C$4,"4/1喪失","その他喪失"))))</f>
        <v>その他喪失</v>
      </c>
    </row>
    <row r="667">
      <c r="A667" t="n" s="2909">
        <v>21</v>
      </c>
      <c r="AA667" t="n" s="2909">
        <v>21</v>
      </c>
      <c r="AB667" t="inlineStr" s="2909">
        <is>
          <t>19861201</t>
        </is>
      </c>
      <c r="AD667" t="n" s="2909">
        <v>12</v>
      </c>
      <c r="AE667" t="inlineStr" s="2909">
        <is>
          <t>20250401</t>
        </is>
      </c>
      <c r="AH667" t="n" s="2909">
        <v>20</v>
      </c>
      <c r="AJ667" t="n" s="2909">
        <v>10</v>
      </c>
      <c r="AP667" t="n" s="2909">
        <v>560000</v>
      </c>
      <c r="DB667" s="2909" t="str">
        <f>IF($A667="","",IF($A667&lt;&gt;21,"対象外",IF($AE667&amp;""="00000000","在職",IF($AE667&amp;""='DB_設定'!$C$4,"4/1喪失","その他喪失"))))</f>
        <v>4/1喪失</v>
      </c>
    </row>
    <row r="668">
      <c r="A668" t="n" s="2909">
        <v>21</v>
      </c>
      <c r="AA668" t="n" s="2909">
        <v>21</v>
      </c>
      <c r="AB668" t="inlineStr" s="2909">
        <is>
          <t>20030401</t>
        </is>
      </c>
      <c r="AD668" t="n" s="2909">
        <v>12</v>
      </c>
      <c r="AE668" t="inlineStr" s="2909">
        <is>
          <t>20091201</t>
        </is>
      </c>
      <c r="AH668" t="n" s="2909">
        <v>0</v>
      </c>
      <c r="AJ668" t="n" s="2909">
        <v>10</v>
      </c>
      <c r="AP668" t="n" s="2909">
        <v>1</v>
      </c>
      <c r="DB668" s="2909" t="str">
        <f>IF($A668="","",IF($A668&lt;&gt;21,"対象外",IF($AE668&amp;""="00000000","在職",IF($AE668&amp;""='DB_設定'!$C$4,"4/1喪失","その他喪失"))))</f>
        <v>その他喪失</v>
      </c>
    </row>
    <row r="669">
      <c r="A669" t="n" s="2909">
        <v>21</v>
      </c>
      <c r="AA669" t="n" s="2909">
        <v>21</v>
      </c>
      <c r="AB669" t="inlineStr" s="2909">
        <is>
          <t>20050906</t>
        </is>
      </c>
      <c r="AD669" t="n" s="2909">
        <v>12</v>
      </c>
      <c r="AE669" t="inlineStr" s="2909">
        <is>
          <t>20091201</t>
        </is>
      </c>
      <c r="AH669" t="n" s="2909">
        <v>0</v>
      </c>
      <c r="AJ669" t="n" s="2909">
        <v>10</v>
      </c>
      <c r="AP669" t="n" s="2909">
        <v>1</v>
      </c>
      <c r="DB669" s="2909" t="str">
        <f>IF($A669="","",IF($A669&lt;&gt;21,"対象外",IF($AE669&amp;""="00000000","在職",IF($AE669&amp;""='DB_設定'!$C$4,"4/1喪失","その他喪失"))))</f>
        <v>その他喪失</v>
      </c>
    </row>
    <row r="670">
      <c r="A670" t="n" s="2909">
        <v>21</v>
      </c>
      <c r="AA670" t="n" s="2909">
        <v>21</v>
      </c>
      <c r="AB670" t="inlineStr" s="2909">
        <is>
          <t>20090101</t>
        </is>
      </c>
      <c r="AD670" t="n" s="2909">
        <v>12</v>
      </c>
      <c r="AE670" t="inlineStr" s="2909">
        <is>
          <t>20090530</t>
        </is>
      </c>
      <c r="AH670" t="n" s="2909">
        <v>0</v>
      </c>
      <c r="AJ670" t="n" s="2909">
        <v>10</v>
      </c>
      <c r="AP670" t="n" s="2909">
        <v>171150</v>
      </c>
      <c r="DB670" s="2909" t="str">
        <f>IF($A670="","",IF($A670&lt;&gt;21,"対象外",IF($AE670&amp;""="00000000","在職",IF($AE670&amp;""='DB_設定'!$C$4,"4/1喪失","その他喪失"))))</f>
        <v>その他喪失</v>
      </c>
    </row>
    <row r="671">
      <c r="A671" t="n" s="2909">
        <v>31</v>
      </c>
      <c r="AA671" t="n" s="2909">
        <v>24</v>
      </c>
      <c r="AB671" t="inlineStr" s="2909">
        <is>
          <t>20250201</t>
        </is>
      </c>
      <c r="AD671" t="n" s="2909">
        <v>12</v>
      </c>
      <c r="AE671" t="inlineStr" s="2909">
        <is>
          <t>20250601</t>
        </is>
      </c>
      <c r="AH671" t="n" s="2909">
        <v>1</v>
      </c>
      <c r="AJ671" t="n" s="2909">
        <v>41</v>
      </c>
      <c r="AP671" t="n" s="2909">
        <v>134000</v>
      </c>
      <c r="DB671" s="2909" t="str">
        <f>IF($A671="","",IF($A671&lt;&gt;21,"対象外",IF($AE671&amp;""="00000000","在職",IF($AE671&amp;""='DB_設定'!$C$4,"4/1喪失","その他喪失"))))</f>
        <v>対象外</v>
      </c>
    </row>
    <row r="672">
      <c r="A672" t="n" s="2909">
        <v>31</v>
      </c>
      <c r="AA672" t="n" s="2909">
        <v>21</v>
      </c>
      <c r="AB672" t="inlineStr" s="2909">
        <is>
          <t>20230407</t>
        </is>
      </c>
      <c r="AD672" t="n" s="2909">
        <v>12</v>
      </c>
      <c r="AE672" t="inlineStr" s="2909">
        <is>
          <t>20240323</t>
        </is>
      </c>
      <c r="AH672" t="n" s="2909">
        <v>11</v>
      </c>
      <c r="AJ672" t="n" s="2909">
        <v>41</v>
      </c>
      <c r="AP672" t="n" s="2909">
        <v>78000</v>
      </c>
      <c r="DB672" s="2909" t="str">
        <f>IF($A672="","",IF($A672&lt;&gt;21,"対象外",IF($AE672&amp;""="00000000","在職",IF($AE672&amp;""='DB_設定'!$C$4,"4/1喪失","その他喪失"))))</f>
        <v>対象外</v>
      </c>
    </row>
    <row r="673">
      <c r="A673" t="n" s="2909">
        <v>21</v>
      </c>
      <c r="AA673" t="n" s="2909">
        <v>21</v>
      </c>
      <c r="AB673" t="inlineStr" s="2909">
        <is>
          <t>20000406</t>
        </is>
      </c>
      <c r="AD673" t="n" s="2909">
        <v>12</v>
      </c>
      <c r="AE673" t="inlineStr" s="2909">
        <is>
          <t>20080328</t>
        </is>
      </c>
      <c r="AH673" t="n" s="2909">
        <v>0</v>
      </c>
      <c r="AJ673" t="n" s="2909">
        <v>10</v>
      </c>
      <c r="AP673" t="n" s="2909">
        <v>1</v>
      </c>
      <c r="DB673" s="2909" t="str">
        <f>IF($A673="","",IF($A673&lt;&gt;21,"対象外",IF($AE673&amp;""="00000000","在職",IF($AE673&amp;""='DB_設定'!$C$4,"4/1喪失","その他喪失"))))</f>
        <v>その他喪失</v>
      </c>
    </row>
    <row r="674">
      <c r="A674" t="n" s="2909">
        <v>21</v>
      </c>
      <c r="AA674" t="n" s="2909">
        <v>21</v>
      </c>
      <c r="AB674" t="inlineStr" s="2909">
        <is>
          <t>19920801</t>
        </is>
      </c>
      <c r="AD674" t="n" s="2909">
        <v>12</v>
      </c>
      <c r="AE674" t="inlineStr" s="2909">
        <is>
          <t>20210401</t>
        </is>
      </c>
      <c r="AH674" t="n" s="2909">
        <v>20</v>
      </c>
      <c r="AJ674" t="n" s="2909">
        <v>10</v>
      </c>
      <c r="AP674" t="n" s="2909">
        <v>590000</v>
      </c>
      <c r="DB674" s="2909" t="str">
        <f>IF($A674="","",IF($A674&lt;&gt;21,"対象外",IF($AE674&amp;""="00000000","在職",IF($AE674&amp;""='DB_設定'!$C$4,"4/1喪失","その他喪失"))))</f>
        <v>その他喪失</v>
      </c>
    </row>
    <row r="675">
      <c r="A675" t="n" s="2909">
        <v>31</v>
      </c>
      <c r="AA675" t="n" s="2909">
        <v>21</v>
      </c>
      <c r="AB675" t="inlineStr" s="2909">
        <is>
          <t>20221001</t>
        </is>
      </c>
      <c r="AD675" t="n" s="2909">
        <v>12</v>
      </c>
      <c r="AE675" t="inlineStr" s="2909">
        <is>
          <t>20240401</t>
        </is>
      </c>
      <c r="AH675" t="n" s="2909">
        <v>1</v>
      </c>
      <c r="AJ675" t="n" s="2909">
        <v>41</v>
      </c>
      <c r="AP675" t="n" s="2909">
        <v>118000</v>
      </c>
      <c r="DB675" s="2909" t="str">
        <f>IF($A675="","",IF($A675&lt;&gt;21,"対象外",IF($AE675&amp;""="00000000","在職",IF($AE675&amp;""='DB_設定'!$C$4,"4/1喪失","その他喪失"))))</f>
        <v>対象外</v>
      </c>
    </row>
    <row r="676">
      <c r="A676" t="n" s="2909">
        <v>21</v>
      </c>
      <c r="AA676" t="n" s="2909">
        <v>21</v>
      </c>
      <c r="AB676" t="inlineStr" s="2909">
        <is>
          <t>20070401</t>
        </is>
      </c>
      <c r="AD676" t="n" s="2909">
        <v>12</v>
      </c>
      <c r="AE676" t="inlineStr" s="2909">
        <is>
          <t>20090331</t>
        </is>
      </c>
      <c r="AH676" t="n" s="2909">
        <v>0</v>
      </c>
      <c r="AJ676" t="n" s="2909">
        <v>10</v>
      </c>
      <c r="AP676" t="n" s="2909">
        <v>136162</v>
      </c>
      <c r="DB676" s="2909" t="str">
        <f>IF($A676="","",IF($A676&lt;&gt;21,"対象外",IF($AE676&amp;""="00000000","在職",IF($AE676&amp;""='DB_設定'!$C$4,"4/1喪失","その他喪失"))))</f>
        <v>その他喪失</v>
      </c>
    </row>
    <row r="677">
      <c r="A677" t="n" s="2909">
        <v>21</v>
      </c>
      <c r="AA677" t="n" s="2909">
        <v>21</v>
      </c>
      <c r="AB677" t="inlineStr" s="2909">
        <is>
          <t>20030401</t>
        </is>
      </c>
      <c r="AD677" t="n" s="2909">
        <v>12</v>
      </c>
      <c r="AE677" t="inlineStr" s="2909">
        <is>
          <t>20091201</t>
        </is>
      </c>
      <c r="AH677" t="n" s="2909">
        <v>0</v>
      </c>
      <c r="AJ677" t="n" s="2909">
        <v>10</v>
      </c>
      <c r="AP677" t="n" s="2909">
        <v>1</v>
      </c>
      <c r="DB677" s="2909" t="str">
        <f>IF($A677="","",IF($A677&lt;&gt;21,"対象外",IF($AE677&amp;""="00000000","在職",IF($AE677&amp;""='DB_設定'!$C$4,"4/1喪失","その他喪失"))))</f>
        <v>その他喪失</v>
      </c>
    </row>
    <row r="678">
      <c r="A678" t="n" s="2909">
        <v>21</v>
      </c>
      <c r="AA678" t="n" s="2909">
        <v>21</v>
      </c>
      <c r="AB678" t="inlineStr" s="2909">
        <is>
          <t>20020401</t>
        </is>
      </c>
      <c r="AD678" t="n" s="2909">
        <v>12</v>
      </c>
      <c r="AE678" t="inlineStr" s="2909">
        <is>
          <t>20091201</t>
        </is>
      </c>
      <c r="AH678" t="n" s="2909">
        <v>0</v>
      </c>
      <c r="AJ678" t="n" s="2909">
        <v>10</v>
      </c>
      <c r="AP678" t="n" s="2909">
        <v>1</v>
      </c>
      <c r="DB678" s="2909" t="str">
        <f>IF($A678="","",IF($A678&lt;&gt;21,"対象外",IF($AE678&amp;""="00000000","在職",IF($AE678&amp;""='DB_設定'!$C$4,"4/1喪失","その他喪失"))))</f>
        <v>その他喪失</v>
      </c>
    </row>
    <row r="679">
      <c r="A679" t="n" s="2909">
        <v>31</v>
      </c>
      <c r="AA679" t="n" s="2909">
        <v>21</v>
      </c>
      <c r="AB679" t="inlineStr" s="2909">
        <is>
          <t>20221001</t>
        </is>
      </c>
      <c r="AD679" t="n" s="2909">
        <v>12</v>
      </c>
      <c r="AE679" t="inlineStr" s="2909">
        <is>
          <t>20240326</t>
        </is>
      </c>
      <c r="AH679" t="n" s="2909">
        <v>11</v>
      </c>
      <c r="AJ679" t="n" s="2909">
        <v>41</v>
      </c>
      <c r="AP679" t="n" s="2909">
        <v>126000</v>
      </c>
      <c r="DB679" s="2909" t="str">
        <f>IF($A679="","",IF($A679&lt;&gt;21,"対象外",IF($AE679&amp;""="00000000","在職",IF($AE679&amp;""='DB_設定'!$C$4,"4/1喪失","その他喪失"))))</f>
        <v>対象外</v>
      </c>
    </row>
    <row r="680">
      <c r="A680" t="n" s="2909">
        <v>21</v>
      </c>
      <c r="AA680" t="n" s="2909">
        <v>21</v>
      </c>
      <c r="AB680" t="inlineStr" s="2909">
        <is>
          <t>20140401</t>
        </is>
      </c>
      <c r="AD680" t="n" s="2909">
        <v>11</v>
      </c>
      <c r="AE680" t="inlineStr" s="2909">
        <is>
          <t>20250401</t>
        </is>
      </c>
      <c r="AH680" t="n" s="2909">
        <v>20</v>
      </c>
      <c r="AJ680" t="n" s="2909">
        <v>10</v>
      </c>
      <c r="AP680" t="n" s="2909">
        <v>440000</v>
      </c>
      <c r="DB680" s="2909" t="str">
        <f>IF($A680="","",IF($A680&lt;&gt;21,"対象外",IF($AE680&amp;""="00000000","在職",IF($AE680&amp;""='DB_設定'!$C$4,"4/1喪失","その他喪失"))))</f>
        <v>4/1喪失</v>
      </c>
    </row>
    <row r="681">
      <c r="A681" t="n" s="2909">
        <v>21</v>
      </c>
      <c r="AA681" t="n" s="2909">
        <v>24</v>
      </c>
      <c r="AB681" t="inlineStr" s="2909">
        <is>
          <t>20090202</t>
        </is>
      </c>
      <c r="AD681" t="n" s="2909">
        <v>12</v>
      </c>
      <c r="AE681" t="inlineStr" s="2909">
        <is>
          <t>20091201</t>
        </is>
      </c>
      <c r="AH681" t="n" s="2909">
        <v>0</v>
      </c>
      <c r="AJ681" t="n" s="2909">
        <v>10</v>
      </c>
      <c r="AP681" t="n" s="2909">
        <v>1</v>
      </c>
      <c r="DB681" s="2909" t="str">
        <f>IF($A681="","",IF($A681&lt;&gt;21,"対象外",IF($AE681&amp;""="00000000","在職",IF($AE681&amp;""='DB_設定'!$C$4,"4/1喪失","その他喪失"))))</f>
        <v>その他喪失</v>
      </c>
    </row>
    <row r="682">
      <c r="A682" t="n" s="2909">
        <v>21</v>
      </c>
      <c r="AA682" t="n" s="2909">
        <v>21</v>
      </c>
      <c r="AB682" t="inlineStr" s="2909">
        <is>
          <t>19870401</t>
        </is>
      </c>
      <c r="AD682" t="n" s="2909">
        <v>12</v>
      </c>
      <c r="AE682" t="inlineStr" s="2909">
        <is>
          <t>20250401</t>
        </is>
      </c>
      <c r="AH682" t="n" s="2909">
        <v>1</v>
      </c>
      <c r="AJ682" t="n" s="2909">
        <v>10</v>
      </c>
      <c r="AP682" t="n" s="2909">
        <v>590000</v>
      </c>
      <c r="DB682" s="2909" t="str">
        <f>IF($A682="","",IF($A682&lt;&gt;21,"対象外",IF($AE682&amp;""="00000000","在職",IF($AE682&amp;""='DB_設定'!$C$4,"4/1喪失","その他喪失"))))</f>
        <v>4/1喪失</v>
      </c>
    </row>
    <row r="683">
      <c r="A683" t="n" s="2909">
        <v>21</v>
      </c>
      <c r="AA683" t="n" s="2909">
        <v>21</v>
      </c>
      <c r="AB683" t="inlineStr" s="2909">
        <is>
          <t>20070607</t>
        </is>
      </c>
      <c r="AD683" t="n" s="2909">
        <v>12</v>
      </c>
      <c r="AE683" t="inlineStr" s="2909">
        <is>
          <t>20090401</t>
        </is>
      </c>
      <c r="AH683" t="n" s="2909">
        <v>0</v>
      </c>
      <c r="AJ683" t="n" s="2909">
        <v>10</v>
      </c>
      <c r="AP683" t="n" s="2909">
        <v>169900</v>
      </c>
      <c r="DB683" s="2909" t="str">
        <f>IF($A683="","",IF($A683&lt;&gt;21,"対象外",IF($AE683&amp;""="00000000","在職",IF($AE683&amp;""='DB_設定'!$C$4,"4/1喪失","その他喪失"))))</f>
        <v>その他喪失</v>
      </c>
    </row>
    <row r="684">
      <c r="A684" t="n" s="2909">
        <v>21</v>
      </c>
      <c r="AA684" t="n" s="2909">
        <v>21</v>
      </c>
      <c r="AB684" t="inlineStr" s="2909">
        <is>
          <t>19890401</t>
        </is>
      </c>
      <c r="AD684" t="n" s="2909">
        <v>12</v>
      </c>
      <c r="AE684" t="inlineStr" s="2909">
        <is>
          <t>20240401</t>
        </is>
      </c>
      <c r="AH684" t="n" s="2909">
        <v>35</v>
      </c>
      <c r="AJ684" t="n" s="2909">
        <v>74</v>
      </c>
      <c r="AP684" t="n" s="2909">
        <v>560000</v>
      </c>
      <c r="DB684" s="2909" t="str">
        <f>IF($A684="","",IF($A684&lt;&gt;21,"対象外",IF($AE684&amp;""="00000000","在職",IF($AE684&amp;""='DB_設定'!$C$4,"4/1喪失","その他喪失"))))</f>
        <v>その他喪失</v>
      </c>
    </row>
    <row r="685">
      <c r="A685" t="n" s="2909">
        <v>21</v>
      </c>
      <c r="AA685" t="n" s="2909">
        <v>21</v>
      </c>
      <c r="AB685" t="inlineStr" s="2909">
        <is>
          <t>20140401</t>
        </is>
      </c>
      <c r="AD685" t="n" s="2909">
        <v>12</v>
      </c>
      <c r="AE685" t="inlineStr" s="2909">
        <is>
          <t>20231001</t>
        </is>
      </c>
      <c r="AH685" t="n" s="2909">
        <v>20</v>
      </c>
      <c r="AJ685" t="n" s="2909">
        <v>10</v>
      </c>
      <c r="AP685" t="n" s="2909">
        <v>380000</v>
      </c>
      <c r="DB685" s="2909" t="str">
        <f>IF($A685="","",IF($A685&lt;&gt;21,"対象外",IF($AE685&amp;""="00000000","在職",IF($AE685&amp;""='DB_設定'!$C$4,"4/1喪失","その他喪失"))))</f>
        <v>その他喪失</v>
      </c>
    </row>
    <row r="686">
      <c r="A686" t="n" s="2909">
        <v>21</v>
      </c>
      <c r="AA686" t="n" s="2909">
        <v>21</v>
      </c>
      <c r="AB686" t="inlineStr" s="2909">
        <is>
          <t>20070801</t>
        </is>
      </c>
      <c r="AD686" t="n" s="2909">
        <v>12</v>
      </c>
      <c r="AE686" t="inlineStr" s="2909">
        <is>
          <t>20091201</t>
        </is>
      </c>
      <c r="AH686" t="n" s="2909">
        <v>0</v>
      </c>
      <c r="AJ686" t="n" s="2909">
        <v>10</v>
      </c>
      <c r="AP686" t="n" s="2909">
        <v>1</v>
      </c>
      <c r="DB686" s="2909" t="str">
        <f>IF($A686="","",IF($A686&lt;&gt;21,"対象外",IF($AE686&amp;""="00000000","在職",IF($AE686&amp;""='DB_設定'!$C$4,"4/1喪失","その他喪失"))))</f>
        <v>その他喪失</v>
      </c>
    </row>
    <row r="687">
      <c r="A687" t="n" s="2909">
        <v>21</v>
      </c>
      <c r="AA687" t="n" s="2909">
        <v>21</v>
      </c>
      <c r="AB687" t="inlineStr" s="2909">
        <is>
          <t>19920401</t>
        </is>
      </c>
      <c r="AD687" t="n" s="2909">
        <v>12</v>
      </c>
      <c r="AE687" t="inlineStr" s="2909">
        <is>
          <t>20220401</t>
        </is>
      </c>
      <c r="AH687" t="n" s="2909">
        <v>20</v>
      </c>
      <c r="AJ687" t="n" s="2909">
        <v>10</v>
      </c>
      <c r="AP687" t="n" s="2909">
        <v>590000</v>
      </c>
      <c r="DB687" s="2909" t="str">
        <f>IF($A687="","",IF($A687&lt;&gt;21,"対象外",IF($AE687&amp;""="00000000","在職",IF($AE687&amp;""='DB_設定'!$C$4,"4/1喪失","その他喪失"))))</f>
        <v>その他喪失</v>
      </c>
    </row>
    <row r="688">
      <c r="A688" t="n" s="2909">
        <v>21</v>
      </c>
      <c r="AA688" t="n" s="2909">
        <v>21</v>
      </c>
      <c r="AB688" t="inlineStr" s="2909">
        <is>
          <t>19850401</t>
        </is>
      </c>
      <c r="AD688" t="n" s="2909">
        <v>11</v>
      </c>
      <c r="AE688" t="inlineStr" s="2909">
        <is>
          <t>20250401</t>
        </is>
      </c>
      <c r="AH688" t="n" s="2909">
        <v>1</v>
      </c>
      <c r="AJ688" t="n" s="2909">
        <v>10</v>
      </c>
      <c r="AP688" t="n" s="2909">
        <v>500000</v>
      </c>
      <c r="DB688" s="2909" t="str">
        <f>IF($A688="","",IF($A688&lt;&gt;21,"対象外",IF($AE688&amp;""="00000000","在職",IF($AE688&amp;""='DB_設定'!$C$4,"4/1喪失","その他喪失"))))</f>
        <v>4/1喪失</v>
      </c>
    </row>
    <row r="689">
      <c r="A689" t="n" s="2909">
        <v>21</v>
      </c>
      <c r="AA689" t="n" s="2909">
        <v>21</v>
      </c>
      <c r="AB689" t="inlineStr" s="2909">
        <is>
          <t>20000401</t>
        </is>
      </c>
      <c r="AD689" t="n" s="2909">
        <v>12</v>
      </c>
      <c r="AE689" t="inlineStr" s="2909">
        <is>
          <t>20170401</t>
        </is>
      </c>
      <c r="AH689" t="n" s="2909">
        <v>11</v>
      </c>
      <c r="AJ689" t="n" s="2909">
        <v>10</v>
      </c>
      <c r="AP689" t="n" s="2909">
        <v>380000</v>
      </c>
      <c r="DB689" s="2909" t="str">
        <f>IF($A689="","",IF($A689&lt;&gt;21,"対象外",IF($AE689&amp;""="00000000","在職",IF($AE689&amp;""='DB_設定'!$C$4,"4/1喪失","その他喪失"))))</f>
        <v>その他喪失</v>
      </c>
    </row>
    <row r="690">
      <c r="A690" t="n" s="2909">
        <v>21</v>
      </c>
      <c r="AA690" t="n" s="2909">
        <v>21</v>
      </c>
      <c r="AB690" t="inlineStr" s="2909">
        <is>
          <t>20040701</t>
        </is>
      </c>
      <c r="AD690" t="n" s="2909">
        <v>12</v>
      </c>
      <c r="AE690" t="inlineStr" s="2909">
        <is>
          <t>20091201</t>
        </is>
      </c>
      <c r="AH690" t="n" s="2909">
        <v>0</v>
      </c>
      <c r="AJ690" t="n" s="2909">
        <v>10</v>
      </c>
      <c r="AP690" t="n" s="2909">
        <v>1</v>
      </c>
      <c r="DB690" s="2909" t="str">
        <f>IF($A690="","",IF($A690&lt;&gt;21,"対象外",IF($AE690&amp;""="00000000","在職",IF($AE690&amp;""='DB_設定'!$C$4,"4/1喪失","その他喪失"))))</f>
        <v>その他喪失</v>
      </c>
    </row>
    <row r="691">
      <c r="A691" t="n" s="2909">
        <v>21</v>
      </c>
      <c r="AA691" t="n" s="2909">
        <v>21</v>
      </c>
      <c r="AB691" t="inlineStr" s="2909">
        <is>
          <t>19861201</t>
        </is>
      </c>
      <c r="AD691" t="n" s="2909">
        <v>12</v>
      </c>
      <c r="AE691" t="inlineStr" s="2909">
        <is>
          <t>20150901</t>
        </is>
      </c>
      <c r="AH691" t="n" s="2909">
        <v>20</v>
      </c>
      <c r="AJ691" t="n" s="2909">
        <v>10</v>
      </c>
      <c r="AP691" t="n" s="2909">
        <v>395000</v>
      </c>
      <c r="DB691" s="2909" t="str">
        <f>IF($A691="","",IF($A691&lt;&gt;21,"対象外",IF($AE691&amp;""="00000000","在職",IF($AE691&amp;""='DB_設定'!$C$4,"4/1喪失","その他喪失"))))</f>
        <v>その他喪失</v>
      </c>
    </row>
    <row r="692">
      <c r="A692" t="n" s="2909">
        <v>21</v>
      </c>
      <c r="AA692" t="n" s="2909">
        <v>21</v>
      </c>
      <c r="AB692" t="inlineStr" s="2909">
        <is>
          <t>20060601</t>
        </is>
      </c>
      <c r="AD692" t="n" s="2909">
        <v>12</v>
      </c>
      <c r="AE692" t="inlineStr" s="2909">
        <is>
          <t>20070501</t>
        </is>
      </c>
      <c r="AH692" t="n" s="2909">
        <v>0</v>
      </c>
      <c r="AJ692" t="n" s="2909">
        <v>10</v>
      </c>
      <c r="AP692" t="n" s="2909">
        <v>1</v>
      </c>
      <c r="DB692" s="2909" t="str">
        <f>IF($A692="","",IF($A692&lt;&gt;21,"対象外",IF($AE692&amp;""="00000000","在職",IF($AE692&amp;""='DB_設定'!$C$4,"4/1喪失","その他喪失"))))</f>
        <v>その他喪失</v>
      </c>
    </row>
    <row r="693">
      <c r="A693" t="n" s="2909">
        <v>21</v>
      </c>
      <c r="AA693" t="n" s="2909">
        <v>21</v>
      </c>
      <c r="AB693" t="inlineStr" s="2909">
        <is>
          <t>20070219</t>
        </is>
      </c>
      <c r="AD693" t="n" s="2909">
        <v>12</v>
      </c>
      <c r="AE693" t="inlineStr" s="2909">
        <is>
          <t>20070929</t>
        </is>
      </c>
      <c r="AH693" t="n" s="2909">
        <v>0</v>
      </c>
      <c r="AJ693" t="n" s="2909">
        <v>10</v>
      </c>
      <c r="AP693" t="n" s="2909">
        <v>1</v>
      </c>
      <c r="DB693" s="2909" t="str">
        <f>IF($A693="","",IF($A693&lt;&gt;21,"対象外",IF($AE693&amp;""="00000000","在職",IF($AE693&amp;""='DB_設定'!$C$4,"4/1喪失","その他喪失"))))</f>
        <v>その他喪失</v>
      </c>
    </row>
    <row r="694">
      <c r="A694" t="n" s="2909">
        <v>21</v>
      </c>
      <c r="AA694" t="n" s="2909">
        <v>21</v>
      </c>
      <c r="AB694" t="inlineStr" s="2909">
        <is>
          <t>20090401</t>
        </is>
      </c>
      <c r="AD694" t="n" s="2909">
        <v>12</v>
      </c>
      <c r="AE694" t="inlineStr" s="2909">
        <is>
          <t>20091201</t>
        </is>
      </c>
      <c r="AH694" t="n" s="2909">
        <v>0</v>
      </c>
      <c r="AJ694" t="n" s="2909">
        <v>10</v>
      </c>
      <c r="AP694" t="n" s="2909">
        <v>1</v>
      </c>
      <c r="DB694" s="2909" t="str">
        <f>IF($A694="","",IF($A694&lt;&gt;21,"対象外",IF($AE694&amp;""="00000000","在職",IF($AE694&amp;""='DB_設定'!$C$4,"4/1喪失","その他喪失"))))</f>
        <v>その他喪失</v>
      </c>
    </row>
    <row r="695">
      <c r="A695" t="n" s="2909">
        <v>21</v>
      </c>
      <c r="AA695" t="n" s="2909">
        <v>21</v>
      </c>
      <c r="AB695" t="inlineStr" s="2909">
        <is>
          <t>20050701</t>
        </is>
      </c>
      <c r="AD695" t="n" s="2909">
        <v>12</v>
      </c>
      <c r="AE695" t="inlineStr" s="2909">
        <is>
          <t>20080401</t>
        </is>
      </c>
      <c r="AH695" t="n" s="2909">
        <v>0</v>
      </c>
      <c r="AJ695" t="n" s="2909">
        <v>10</v>
      </c>
      <c r="AP695" t="n" s="2909">
        <v>1</v>
      </c>
      <c r="DB695" s="2909" t="str">
        <f>IF($A695="","",IF($A695&lt;&gt;21,"対象外",IF($AE695&amp;""="00000000","在職",IF($AE695&amp;""='DB_設定'!$C$4,"4/1喪失","その他喪失"))))</f>
        <v>その他喪失</v>
      </c>
    </row>
    <row r="696">
      <c r="A696" t="n" s="2909">
        <v>21</v>
      </c>
      <c r="AA696" t="n" s="2909">
        <v>21</v>
      </c>
      <c r="AB696" t="inlineStr" s="2909">
        <is>
          <t>19990401</t>
        </is>
      </c>
      <c r="AD696" t="n" s="2909">
        <v>12</v>
      </c>
      <c r="AE696" t="inlineStr" s="2909">
        <is>
          <t>20091201</t>
        </is>
      </c>
      <c r="AH696" t="n" s="2909">
        <v>0</v>
      </c>
      <c r="AJ696" t="n" s="2909">
        <v>10</v>
      </c>
      <c r="AP696" t="n" s="2909">
        <v>1</v>
      </c>
      <c r="DB696" s="2909" t="str">
        <f>IF($A696="","",IF($A696&lt;&gt;21,"対象外",IF($AE696&amp;""="00000000","在職",IF($AE696&amp;""='DB_設定'!$C$4,"4/1喪失","その他喪失"))))</f>
        <v>その他喪失</v>
      </c>
    </row>
    <row r="697">
      <c r="A697" t="n" s="2909">
        <v>21</v>
      </c>
      <c r="AA697" t="n" s="2909">
        <v>24</v>
      </c>
      <c r="AB697" t="inlineStr" s="2909">
        <is>
          <t>20090901</t>
        </is>
      </c>
      <c r="AD697" t="n" s="2909">
        <v>12</v>
      </c>
      <c r="AE697" t="inlineStr" s="2909">
        <is>
          <t>20091201</t>
        </is>
      </c>
      <c r="AH697" t="n" s="2909">
        <v>0</v>
      </c>
      <c r="AJ697" t="n" s="2909">
        <v>10</v>
      </c>
      <c r="AP697" t="n" s="2909">
        <v>107100</v>
      </c>
      <c r="DB697" s="2909" t="str">
        <f>IF($A697="","",IF($A697&lt;&gt;21,"対象外",IF($AE697&amp;""="00000000","在職",IF($AE697&amp;""='DB_設定'!$C$4,"4/1喪失","その他喪失"))))</f>
        <v>その他喪失</v>
      </c>
    </row>
    <row r="698">
      <c r="A698" t="n" s="2909">
        <v>21</v>
      </c>
      <c r="AA698" t="n" s="2909">
        <v>21</v>
      </c>
      <c r="AB698" t="inlineStr" s="2909">
        <is>
          <t>20060401</t>
        </is>
      </c>
      <c r="AD698" t="n" s="2909">
        <v>12</v>
      </c>
      <c r="AE698" t="inlineStr" s="2909">
        <is>
          <t>20091201</t>
        </is>
      </c>
      <c r="AH698" t="n" s="2909">
        <v>0</v>
      </c>
      <c r="AJ698" t="n" s="2909">
        <v>10</v>
      </c>
      <c r="AP698" t="n" s="2909">
        <v>1</v>
      </c>
      <c r="DB698" s="2909" t="str">
        <f>IF($A698="","",IF($A698&lt;&gt;21,"対象外",IF($AE698&amp;""="00000000","在職",IF($AE698&amp;""='DB_設定'!$C$4,"4/1喪失","その他喪失"))))</f>
        <v>その他喪失</v>
      </c>
    </row>
    <row r="699">
      <c r="A699" t="n" s="2909">
        <v>21</v>
      </c>
      <c r="AA699" t="n" s="2909">
        <v>21</v>
      </c>
      <c r="AB699" t="inlineStr" s="2909">
        <is>
          <t>19960801</t>
        </is>
      </c>
      <c r="AD699" t="n" s="2909">
        <v>12</v>
      </c>
      <c r="AE699" t="inlineStr" s="2909">
        <is>
          <t>20091201</t>
        </is>
      </c>
      <c r="AH699" t="n" s="2909">
        <v>0</v>
      </c>
      <c r="AJ699" t="n" s="2909">
        <v>10</v>
      </c>
      <c r="AP699" t="n" s="2909">
        <v>1</v>
      </c>
      <c r="DB699" s="2909" t="str">
        <f>IF($A699="","",IF($A699&lt;&gt;21,"対象外",IF($AE699&amp;""="00000000","在職",IF($AE699&amp;""='DB_設定'!$C$4,"4/1喪失","その他喪失"))))</f>
        <v>その他喪失</v>
      </c>
    </row>
    <row r="700">
      <c r="A700" t="n" s="2909">
        <v>21</v>
      </c>
      <c r="AA700" t="n" s="2909">
        <v>21</v>
      </c>
      <c r="AB700" t="inlineStr" s="2909">
        <is>
          <t>20090125</t>
        </is>
      </c>
      <c r="AD700" t="n" s="2909">
        <v>12</v>
      </c>
      <c r="AE700" t="inlineStr" s="2909">
        <is>
          <t>20090401</t>
        </is>
      </c>
      <c r="AH700" t="n" s="2909">
        <v>0</v>
      </c>
      <c r="AJ700" t="n" s="2909">
        <v>10</v>
      </c>
      <c r="AP700" t="n" s="2909">
        <v>196000</v>
      </c>
      <c r="DB700" s="2909" t="str">
        <f>IF($A700="","",IF($A700&lt;&gt;21,"対象外",IF($AE700&amp;""="00000000","在職",IF($AE700&amp;""='DB_設定'!$C$4,"4/1喪失","その他喪失"))))</f>
        <v>その他喪失</v>
      </c>
    </row>
    <row r="701">
      <c r="A701" t="n" s="2909">
        <v>21</v>
      </c>
      <c r="AA701" t="n" s="2909">
        <v>21</v>
      </c>
      <c r="AB701" t="inlineStr" s="2909">
        <is>
          <t>20001001</t>
        </is>
      </c>
      <c r="AD701" t="n" s="2909">
        <v>12</v>
      </c>
      <c r="AE701" t="inlineStr" s="2909">
        <is>
          <t>20091201</t>
        </is>
      </c>
      <c r="AH701" t="n" s="2909">
        <v>0</v>
      </c>
      <c r="AJ701" t="n" s="2909">
        <v>10</v>
      </c>
      <c r="AP701" t="n" s="2909">
        <v>1</v>
      </c>
      <c r="DB701" s="2909" t="str">
        <f>IF($A701="","",IF($A701&lt;&gt;21,"対象外",IF($AE701&amp;""="00000000","在職",IF($AE701&amp;""='DB_設定'!$C$4,"4/1喪失","その他喪失"))))</f>
        <v>その他喪失</v>
      </c>
    </row>
    <row r="702">
      <c r="A702" t="n" s="2909">
        <v>31</v>
      </c>
      <c r="AA702" t="n" s="2909">
        <v>21</v>
      </c>
      <c r="AB702" t="inlineStr" s="2909">
        <is>
          <t>20221001</t>
        </is>
      </c>
      <c r="AD702" t="n" s="2909">
        <v>12</v>
      </c>
      <c r="AE702" t="inlineStr" s="2909">
        <is>
          <t>20250401</t>
        </is>
      </c>
      <c r="AH702" t="n" s="2909">
        <v>1</v>
      </c>
      <c r="AJ702" t="n" s="2909">
        <v>41</v>
      </c>
      <c r="AP702" t="n" s="2909">
        <v>190000</v>
      </c>
      <c r="DB702" s="2909" t="str">
        <f>IF($A702="","",IF($A702&lt;&gt;21,"対象外",IF($AE702&amp;""="00000000","在職",IF($AE702&amp;""='DB_設定'!$C$4,"4/1喪失","その他喪失"))))</f>
        <v>対象外</v>
      </c>
    </row>
    <row r="703">
      <c r="A703" t="n" s="2909">
        <v>21</v>
      </c>
      <c r="AA703" t="n" s="2909">
        <v>21</v>
      </c>
      <c r="AB703" t="inlineStr" s="2909">
        <is>
          <t>20050401</t>
        </is>
      </c>
      <c r="AD703" t="n" s="2909">
        <v>12</v>
      </c>
      <c r="AE703" t="inlineStr" s="2909">
        <is>
          <t>20091201</t>
        </is>
      </c>
      <c r="AH703" t="n" s="2909">
        <v>0</v>
      </c>
      <c r="AJ703" t="n" s="2909">
        <v>10</v>
      </c>
      <c r="AP703" t="n" s="2909">
        <v>1</v>
      </c>
      <c r="DB703" s="2909" t="str">
        <f>IF($A703="","",IF($A703&lt;&gt;21,"対象外",IF($AE703&amp;""="00000000","在職",IF($AE703&amp;""='DB_設定'!$C$4,"4/1喪失","その他喪失"))))</f>
        <v>その他喪失</v>
      </c>
    </row>
    <row r="704">
      <c r="A704" t="n" s="2909">
        <v>21</v>
      </c>
      <c r="AA704" t="n" s="2909">
        <v>21</v>
      </c>
      <c r="AB704" t="inlineStr" s="2909">
        <is>
          <t>20030401</t>
        </is>
      </c>
      <c r="AD704" t="n" s="2909">
        <v>12</v>
      </c>
      <c r="AE704" t="inlineStr" s="2909">
        <is>
          <t>20100401</t>
        </is>
      </c>
      <c r="AH704" t="n" s="2909">
        <v>0</v>
      </c>
      <c r="AJ704" t="n" s="2909">
        <v>10</v>
      </c>
      <c r="AP704" t="n" s="2909">
        <v>273900</v>
      </c>
      <c r="DB704" s="2909" t="str">
        <f>IF($A704="","",IF($A704&lt;&gt;21,"対象外",IF($AE704&amp;""="00000000","在職",IF($AE704&amp;""='DB_設定'!$C$4,"4/1喪失","その他喪失"))))</f>
        <v>その他喪失</v>
      </c>
    </row>
    <row r="705">
      <c r="A705" t="n" s="2909">
        <v>21</v>
      </c>
      <c r="AA705" t="n" s="2909">
        <v>21</v>
      </c>
      <c r="AB705" t="inlineStr" s="2909">
        <is>
          <t>20070124</t>
        </is>
      </c>
      <c r="AD705" t="n" s="2909">
        <v>12</v>
      </c>
      <c r="AE705" t="inlineStr" s="2909">
        <is>
          <t>20091201</t>
        </is>
      </c>
      <c r="AH705" t="n" s="2909">
        <v>0</v>
      </c>
      <c r="AJ705" t="n" s="2909">
        <v>10</v>
      </c>
      <c r="AP705" t="n" s="2909">
        <v>1</v>
      </c>
      <c r="DB705" s="2909" t="str">
        <f>IF($A705="","",IF($A705&lt;&gt;21,"対象外",IF($AE705&amp;""="00000000","在職",IF($AE705&amp;""='DB_設定'!$C$4,"4/1喪失","その他喪失"))))</f>
        <v>その他喪失</v>
      </c>
    </row>
    <row r="706">
      <c r="A706" t="n" s="2909">
        <v>21</v>
      </c>
      <c r="AA706" t="n" s="2909">
        <v>24</v>
      </c>
      <c r="AB706" t="inlineStr" s="2909">
        <is>
          <t>20090901</t>
        </is>
      </c>
      <c r="AD706" t="n" s="2909">
        <v>12</v>
      </c>
      <c r="AE706" t="inlineStr" s="2909">
        <is>
          <t>20091201</t>
        </is>
      </c>
      <c r="AH706" t="n" s="2909">
        <v>0</v>
      </c>
      <c r="AJ706" t="n" s="2909">
        <v>10</v>
      </c>
      <c r="AP706" t="n" s="2909">
        <v>155400</v>
      </c>
      <c r="DB706" s="2909" t="str">
        <f>IF($A706="","",IF($A706&lt;&gt;21,"対象外",IF($AE706&amp;""="00000000","在職",IF($AE706&amp;""='DB_設定'!$C$4,"4/1喪失","その他喪失"))))</f>
        <v>その他喪失</v>
      </c>
    </row>
    <row r="707">
      <c r="A707" t="n" s="2909">
        <v>31</v>
      </c>
      <c r="AA707" t="n" s="2909">
        <v>21</v>
      </c>
      <c r="AB707" t="inlineStr" s="2909">
        <is>
          <t>20231201</t>
        </is>
      </c>
      <c r="AD707" t="n" s="2909">
        <v>12</v>
      </c>
      <c r="AE707" t="inlineStr" s="2909">
        <is>
          <t>20240201</t>
        </is>
      </c>
      <c r="AH707" t="n" s="2909">
        <v>1</v>
      </c>
      <c r="AJ707" t="n" s="2909">
        <v>41</v>
      </c>
      <c r="AP707" t="n" s="2909">
        <v>134000</v>
      </c>
      <c r="DB707" s="2909" t="str">
        <f>IF($A707="","",IF($A707&lt;&gt;21,"対象外",IF($AE707&amp;""="00000000","在職",IF($AE707&amp;""='DB_設定'!$C$4,"4/1喪失","その他喪失"))))</f>
        <v>対象外</v>
      </c>
    </row>
    <row r="708">
      <c r="A708" t="n" s="2909">
        <v>21</v>
      </c>
      <c r="AA708" t="n" s="2909">
        <v>21</v>
      </c>
      <c r="AB708" t="inlineStr" s="2909">
        <is>
          <t>20040506</t>
        </is>
      </c>
      <c r="AD708" t="n" s="2909">
        <v>12</v>
      </c>
      <c r="AE708" t="inlineStr" s="2909">
        <is>
          <t>20091201</t>
        </is>
      </c>
      <c r="AH708" t="n" s="2909">
        <v>0</v>
      </c>
      <c r="AJ708" t="n" s="2909">
        <v>10</v>
      </c>
      <c r="AP708" t="n" s="2909">
        <v>1</v>
      </c>
      <c r="DB708" s="2909" t="str">
        <f>IF($A708="","",IF($A708&lt;&gt;21,"対象外",IF($AE708&amp;""="00000000","在職",IF($AE708&amp;""='DB_設定'!$C$4,"4/1喪失","その他喪失"))))</f>
        <v>その他喪失</v>
      </c>
    </row>
    <row r="709">
      <c r="A709" t="n" s="2909">
        <v>21</v>
      </c>
      <c r="AA709" t="n" s="2909">
        <v>21</v>
      </c>
      <c r="AB709" t="inlineStr" s="2909">
        <is>
          <t>19840401</t>
        </is>
      </c>
      <c r="AD709" t="n" s="2909">
        <v>12</v>
      </c>
      <c r="AE709" t="inlineStr" s="2909">
        <is>
          <t>20150401</t>
        </is>
      </c>
      <c r="AH709" t="n" s="2909">
        <v>1</v>
      </c>
      <c r="AJ709" t="n" s="2909">
        <v>10</v>
      </c>
      <c r="AP709" t="n" s="2909">
        <v>418500</v>
      </c>
      <c r="DB709" s="2909" t="str">
        <f>IF($A709="","",IF($A709&lt;&gt;21,"対象外",IF($AE709&amp;""="00000000","在職",IF($AE709&amp;""='DB_設定'!$C$4,"4/1喪失","その他喪失"))))</f>
        <v>その他喪失</v>
      </c>
    </row>
    <row r="710">
      <c r="A710" t="n" s="2909">
        <v>21</v>
      </c>
      <c r="AA710" t="n" s="2909">
        <v>21</v>
      </c>
      <c r="AB710" t="inlineStr" s="2909">
        <is>
          <t>19840401</t>
        </is>
      </c>
      <c r="AD710" t="n" s="2909">
        <v>12</v>
      </c>
      <c r="AE710" t="inlineStr" s="2909">
        <is>
          <t>20160401</t>
        </is>
      </c>
      <c r="AH710" t="n" s="2909">
        <v>1</v>
      </c>
      <c r="AJ710" t="n" s="2909">
        <v>10</v>
      </c>
      <c r="AP710" t="n" s="2909">
        <v>410000</v>
      </c>
      <c r="DB710" s="2909" t="str">
        <f>IF($A710="","",IF($A710&lt;&gt;21,"対象外",IF($AE710&amp;""="00000000","在職",IF($AE710&amp;""='DB_設定'!$C$4,"4/1喪失","その他喪失"))))</f>
        <v>その他喪失</v>
      </c>
    </row>
    <row r="711">
      <c r="A711" t="n" s="2909">
        <v>21</v>
      </c>
      <c r="AA711" t="n" s="2909">
        <v>21</v>
      </c>
      <c r="AB711" t="inlineStr" s="2909">
        <is>
          <t>20050401</t>
        </is>
      </c>
      <c r="AD711" t="n" s="2909">
        <v>12</v>
      </c>
      <c r="AE711" t="inlineStr" s="2909">
        <is>
          <t>20091201</t>
        </is>
      </c>
      <c r="AH711" t="n" s="2909">
        <v>0</v>
      </c>
      <c r="AJ711" t="n" s="2909">
        <v>10</v>
      </c>
      <c r="AP711" t="n" s="2909">
        <v>1</v>
      </c>
      <c r="DB711" s="2909" t="str">
        <f>IF($A711="","",IF($A711&lt;&gt;21,"対象外",IF($AE711&amp;""="00000000","在職",IF($AE711&amp;""='DB_設定'!$C$4,"4/1喪失","その他喪失"))))</f>
        <v>その他喪失</v>
      </c>
    </row>
    <row r="712">
      <c r="A712" t="n" s="2909">
        <v>21</v>
      </c>
      <c r="AA712" t="n" s="2909">
        <v>21</v>
      </c>
      <c r="AB712" t="inlineStr" s="2909">
        <is>
          <t>19870501</t>
        </is>
      </c>
      <c r="AD712" t="n" s="2909">
        <v>12</v>
      </c>
      <c r="AE712" t="inlineStr" s="2909">
        <is>
          <t>20200401</t>
        </is>
      </c>
      <c r="AH712" t="n" s="2909">
        <v>20</v>
      </c>
      <c r="AJ712" t="n" s="2909">
        <v>10</v>
      </c>
      <c r="AP712" t="n" s="2909">
        <v>530000</v>
      </c>
      <c r="DB712" s="2909" t="str">
        <f>IF($A712="","",IF($A712&lt;&gt;21,"対象外",IF($AE712&amp;""="00000000","在職",IF($AE712&amp;""='DB_設定'!$C$4,"4/1喪失","その他喪失"))))</f>
        <v>その他喪失</v>
      </c>
    </row>
    <row r="713">
      <c r="A713" t="n" s="2909">
        <v>31</v>
      </c>
      <c r="AA713" t="n" s="2909">
        <v>21</v>
      </c>
      <c r="AB713" t="inlineStr" s="2909">
        <is>
          <t>20240408</t>
        </is>
      </c>
      <c r="AD713" t="n" s="2909">
        <v>12</v>
      </c>
      <c r="AE713" t="inlineStr" s="2909">
        <is>
          <t>20250326</t>
        </is>
      </c>
      <c r="AH713" t="n" s="2909">
        <v>11</v>
      </c>
      <c r="AJ713" t="n" s="2909">
        <v>41</v>
      </c>
      <c r="AP713" t="n" s="2909">
        <v>118000</v>
      </c>
      <c r="DB713" s="2909" t="str">
        <f>IF($A713="","",IF($A713&lt;&gt;21,"対象外",IF($AE713&amp;""="00000000","在職",IF($AE713&amp;""='DB_設定'!$C$4,"4/1喪失","その他喪失"))))</f>
        <v>対象外</v>
      </c>
    </row>
    <row r="714">
      <c r="A714" t="n" s="2909">
        <v>31</v>
      </c>
      <c r="AA714" t="n" s="2909">
        <v>21</v>
      </c>
      <c r="AB714" t="inlineStr" s="2909">
        <is>
          <t>20230401</t>
        </is>
      </c>
      <c r="AD714" t="n" s="2909">
        <v>12</v>
      </c>
      <c r="AE714" t="inlineStr" s="2909">
        <is>
          <t>20240401</t>
        </is>
      </c>
      <c r="AH714" t="n" s="2909">
        <v>1</v>
      </c>
      <c r="AJ714" t="n" s="2909">
        <v>41</v>
      </c>
      <c r="AP714" t="n" s="2909">
        <v>126000</v>
      </c>
      <c r="DB714" s="2909" t="str">
        <f>IF($A714="","",IF($A714&lt;&gt;21,"対象外",IF($AE714&amp;""="00000000","在職",IF($AE714&amp;""='DB_設定'!$C$4,"4/1喪失","その他喪失"))))</f>
        <v>対象外</v>
      </c>
    </row>
    <row r="715">
      <c r="A715" t="n" s="2909">
        <v>21</v>
      </c>
      <c r="AA715" t="n" s="2909">
        <v>21</v>
      </c>
      <c r="AB715" t="inlineStr" s="2909">
        <is>
          <t>20030711</t>
        </is>
      </c>
      <c r="AD715" t="n" s="2909">
        <v>12</v>
      </c>
      <c r="AE715" t="inlineStr" s="2909">
        <is>
          <t>20091201</t>
        </is>
      </c>
      <c r="AH715" t="n" s="2909">
        <v>0</v>
      </c>
      <c r="AJ715" t="n" s="2909">
        <v>10</v>
      </c>
      <c r="AP715" t="n" s="2909">
        <v>1</v>
      </c>
      <c r="DB715" s="2909" t="str">
        <f>IF($A715="","",IF($A715&lt;&gt;21,"対象外",IF($AE715&amp;""="00000000","在職",IF($AE715&amp;""='DB_設定'!$C$4,"4/1喪失","その他喪失"))))</f>
        <v>その他喪失</v>
      </c>
    </row>
    <row r="716">
      <c r="A716" t="n" s="2909">
        <v>21</v>
      </c>
      <c r="AA716" t="n" s="2909">
        <v>21</v>
      </c>
      <c r="AB716" t="inlineStr" s="2909">
        <is>
          <t>19870801</t>
        </is>
      </c>
      <c r="AD716" t="n" s="2909">
        <v>12</v>
      </c>
      <c r="AE716" t="inlineStr" s="2909">
        <is>
          <t>20250401</t>
        </is>
      </c>
      <c r="AH716" t="n" s="2909">
        <v>20</v>
      </c>
      <c r="AJ716" t="n" s="2909">
        <v>10</v>
      </c>
      <c r="AP716" t="n" s="2909">
        <v>590000</v>
      </c>
      <c r="DB716" s="2909" t="str">
        <f>IF($A716="","",IF($A716&lt;&gt;21,"対象外",IF($AE716&amp;""="00000000","在職",IF($AE716&amp;""='DB_設定'!$C$4,"4/1喪失","その他喪失"))))</f>
        <v>4/1喪失</v>
      </c>
    </row>
    <row r="717">
      <c r="A717" t="n" s="2909">
        <v>21</v>
      </c>
      <c r="AA717" t="n" s="2909">
        <v>21</v>
      </c>
      <c r="AB717" t="inlineStr" s="2909">
        <is>
          <t>19960401</t>
        </is>
      </c>
      <c r="AD717" t="n" s="2909">
        <v>12</v>
      </c>
      <c r="AE717" t="inlineStr" s="2909">
        <is>
          <t>20080501</t>
        </is>
      </c>
      <c r="AH717" t="n" s="2909">
        <v>0</v>
      </c>
      <c r="AJ717" t="n" s="2909">
        <v>10</v>
      </c>
      <c r="AP717" t="n" s="2909">
        <v>1</v>
      </c>
      <c r="DB717" s="2909" t="str">
        <f>IF($A717="","",IF($A717&lt;&gt;21,"対象外",IF($AE717&amp;""="00000000","在職",IF($AE717&amp;""='DB_設定'!$C$4,"4/1喪失","その他喪失"))))</f>
        <v>その他喪失</v>
      </c>
    </row>
    <row r="718">
      <c r="A718" t="n" s="2909">
        <v>21</v>
      </c>
      <c r="AA718" t="n" s="2909">
        <v>21</v>
      </c>
      <c r="AB718" t="inlineStr" s="2909">
        <is>
          <t>19850501</t>
        </is>
      </c>
      <c r="AD718" t="n" s="2909">
        <v>12</v>
      </c>
      <c r="AE718" t="inlineStr" s="2909">
        <is>
          <t>20250401</t>
        </is>
      </c>
      <c r="AH718" t="n" s="2909">
        <v>20</v>
      </c>
      <c r="AJ718" t="n" s="2909">
        <v>10</v>
      </c>
      <c r="AP718" t="n" s="2909">
        <v>590000</v>
      </c>
      <c r="DB718" s="2909" t="str">
        <f>IF($A718="","",IF($A718&lt;&gt;21,"対象外",IF($AE718&amp;""="00000000","在職",IF($AE718&amp;""='DB_設定'!$C$4,"4/1喪失","その他喪失"))))</f>
        <v>4/1喪失</v>
      </c>
    </row>
    <row r="719">
      <c r="A719" t="n" s="2909">
        <v>21</v>
      </c>
      <c r="AA719" t="n" s="2909">
        <v>21</v>
      </c>
      <c r="AB719" t="inlineStr" s="2909">
        <is>
          <t>20040401</t>
        </is>
      </c>
      <c r="AD719" t="n" s="2909">
        <v>12</v>
      </c>
      <c r="AE719" t="inlineStr" s="2909">
        <is>
          <t>20091201</t>
        </is>
      </c>
      <c r="AH719" t="n" s="2909">
        <v>0</v>
      </c>
      <c r="AJ719" t="n" s="2909">
        <v>10</v>
      </c>
      <c r="AP719" t="n" s="2909">
        <v>1</v>
      </c>
      <c r="DB719" s="2909" t="str">
        <f>IF($A719="","",IF($A719&lt;&gt;21,"対象外",IF($AE719&amp;""="00000000","在職",IF($AE719&amp;""='DB_設定'!$C$4,"4/1喪失","その他喪失"))))</f>
        <v>その他喪失</v>
      </c>
    </row>
    <row r="720">
      <c r="A720" t="n" s="2909">
        <v>31</v>
      </c>
      <c r="AA720" t="n" s="2909">
        <v>21</v>
      </c>
      <c r="AB720" t="inlineStr" s="2909">
        <is>
          <t>20221001</t>
        </is>
      </c>
      <c r="AD720" t="n" s="2909">
        <v>12</v>
      </c>
      <c r="AE720" t="inlineStr" s="2909">
        <is>
          <t>20251001</t>
        </is>
      </c>
      <c r="AH720" t="n" s="2909">
        <v>11</v>
      </c>
      <c r="AJ720" t="n" s="2909">
        <v>41</v>
      </c>
      <c r="AP720" t="n" s="2909">
        <v>190000</v>
      </c>
      <c r="DB720" s="2909" t="str">
        <f>IF($A720="","",IF($A720&lt;&gt;21,"対象外",IF($AE720&amp;""="00000000","在職",IF($AE720&amp;""='DB_設定'!$C$4,"4/1喪失","その他喪失"))))</f>
        <v>対象外</v>
      </c>
    </row>
    <row r="721">
      <c r="A721" t="n" s="2909">
        <v>21</v>
      </c>
      <c r="AA721" t="n" s="2909">
        <v>21</v>
      </c>
      <c r="AB721" t="inlineStr" s="2909">
        <is>
          <t>19860401</t>
        </is>
      </c>
      <c r="AD721" t="n" s="2909">
        <v>12</v>
      </c>
      <c r="AE721" t="inlineStr" s="2909">
        <is>
          <t>20250401</t>
        </is>
      </c>
      <c r="AH721" t="n" s="2909">
        <v>1</v>
      </c>
      <c r="AJ721" t="n" s="2909">
        <v>10</v>
      </c>
      <c r="AP721" t="n" s="2909">
        <v>500000</v>
      </c>
      <c r="DB721" s="2909" t="str">
        <f>IF($A721="","",IF($A721&lt;&gt;21,"対象外",IF($AE721&amp;""="00000000","在職",IF($AE721&amp;""='DB_設定'!$C$4,"4/1喪失","その他喪失"))))</f>
        <v>4/1喪失</v>
      </c>
    </row>
    <row r="722">
      <c r="A722" t="n" s="2909">
        <v>21</v>
      </c>
      <c r="AA722" t="n" s="2909">
        <v>24</v>
      </c>
      <c r="AB722" t="inlineStr" s="2909">
        <is>
          <t>20090901</t>
        </is>
      </c>
      <c r="AD722" t="n" s="2909">
        <v>12</v>
      </c>
      <c r="AE722" t="inlineStr" s="2909">
        <is>
          <t>20091201</t>
        </is>
      </c>
      <c r="AH722" t="n" s="2909">
        <v>0</v>
      </c>
      <c r="AJ722" t="n" s="2909">
        <v>10</v>
      </c>
      <c r="AP722" t="n" s="2909">
        <v>107100</v>
      </c>
      <c r="DB722" s="2909" t="str">
        <f>IF($A722="","",IF($A722&lt;&gt;21,"対象外",IF($AE722&amp;""="00000000","在職",IF($AE722&amp;""='DB_設定'!$C$4,"4/1喪失","その他喪失"))))</f>
        <v>その他喪失</v>
      </c>
    </row>
    <row r="723">
      <c r="A723" t="n" s="2909">
        <v>21</v>
      </c>
      <c r="AA723" t="n" s="2909">
        <v>21</v>
      </c>
      <c r="AB723" t="inlineStr" s="2909">
        <is>
          <t>20081014</t>
        </is>
      </c>
      <c r="AD723" t="n" s="2909">
        <v>12</v>
      </c>
      <c r="AE723" t="inlineStr" s="2909">
        <is>
          <t>20090401</t>
        </is>
      </c>
      <c r="AH723" t="n" s="2909">
        <v>0</v>
      </c>
      <c r="AJ723" t="n" s="2909">
        <v>10</v>
      </c>
      <c r="AP723" t="n" s="2909">
        <v>138400</v>
      </c>
      <c r="DB723" s="2909" t="str">
        <f>IF($A723="","",IF($A723&lt;&gt;21,"対象外",IF($AE723&amp;""="00000000","在職",IF($AE723&amp;""='DB_設定'!$C$4,"4/1喪失","その他喪失"))))</f>
        <v>その他喪失</v>
      </c>
    </row>
    <row r="724">
      <c r="A724" t="n" s="2909">
        <v>21</v>
      </c>
      <c r="AA724" t="n" s="2909">
        <v>21</v>
      </c>
      <c r="AB724" t="inlineStr" s="2909">
        <is>
          <t>19860501</t>
        </is>
      </c>
      <c r="AD724" t="n" s="2909">
        <v>12</v>
      </c>
      <c r="AE724" t="inlineStr" s="2909">
        <is>
          <t>20250401</t>
        </is>
      </c>
      <c r="AH724" t="n" s="2909">
        <v>20</v>
      </c>
      <c r="AJ724" t="n" s="2909">
        <v>10</v>
      </c>
      <c r="AP724" t="n" s="2909">
        <v>680000</v>
      </c>
      <c r="DB724" s="2909" t="str">
        <f>IF($A724="","",IF($A724&lt;&gt;21,"対象外",IF($AE724&amp;""="00000000","在職",IF($AE724&amp;""='DB_設定'!$C$4,"4/1喪失","その他喪失"))))</f>
        <v>4/1喪失</v>
      </c>
    </row>
    <row r="725">
      <c r="A725" t="n" s="2909">
        <v>21</v>
      </c>
      <c r="AA725" t="n" s="2909">
        <v>21</v>
      </c>
      <c r="AB725" t="inlineStr" s="2909">
        <is>
          <t>19850401</t>
        </is>
      </c>
      <c r="AD725" t="n" s="2909">
        <v>12</v>
      </c>
      <c r="AE725" t="inlineStr" s="2909">
        <is>
          <t>20201101</t>
        </is>
      </c>
      <c r="AH725" t="n" s="2909">
        <v>1</v>
      </c>
      <c r="AJ725" t="n" s="2909">
        <v>10</v>
      </c>
      <c r="AP725" t="n" s="2909">
        <v>530000</v>
      </c>
      <c r="DB725" s="2909" t="str">
        <f>IF($A725="","",IF($A725&lt;&gt;21,"対象外",IF($AE725&amp;""="00000000","在職",IF($AE725&amp;""='DB_設定'!$C$4,"4/1喪失","その他喪失"))))</f>
        <v>その他喪失</v>
      </c>
    </row>
    <row r="726">
      <c r="A726" t="n" s="2909">
        <v>31</v>
      </c>
      <c r="AA726" t="n" s="2909">
        <v>21</v>
      </c>
      <c r="AB726" t="inlineStr" s="2909">
        <is>
          <t>20221001</t>
        </is>
      </c>
      <c r="AD726" t="n" s="2909">
        <v>12</v>
      </c>
      <c r="AE726" t="inlineStr" s="2909">
        <is>
          <t>20240401</t>
        </is>
      </c>
      <c r="AH726" t="n" s="2909">
        <v>1</v>
      </c>
      <c r="AJ726" t="n" s="2909">
        <v>41</v>
      </c>
      <c r="AP726" t="n" s="2909">
        <v>200000</v>
      </c>
      <c r="DB726" s="2909" t="str">
        <f>IF($A726="","",IF($A726&lt;&gt;21,"対象外",IF($AE726&amp;""="00000000","在職",IF($AE726&amp;""='DB_設定'!$C$4,"4/1喪失","その他喪失"))))</f>
        <v>対象外</v>
      </c>
    </row>
    <row r="727">
      <c r="A727" t="n" s="2909">
        <v>21</v>
      </c>
      <c r="AA727" t="n" s="2909">
        <v>21</v>
      </c>
      <c r="AB727" t="inlineStr" s="2909">
        <is>
          <t>20020401</t>
        </is>
      </c>
      <c r="AD727" t="n" s="2909">
        <v>12</v>
      </c>
      <c r="AE727" t="inlineStr" s="2909">
        <is>
          <t>20091201</t>
        </is>
      </c>
      <c r="AH727" t="n" s="2909">
        <v>0</v>
      </c>
      <c r="AJ727" t="n" s="2909">
        <v>10</v>
      </c>
      <c r="AP727" t="n" s="2909">
        <v>1</v>
      </c>
      <c r="DB727" s="2909" t="str">
        <f>IF($A727="","",IF($A727&lt;&gt;21,"対象外",IF($AE727&amp;""="00000000","在職",IF($AE727&amp;""='DB_設定'!$C$4,"4/1喪失","その他喪失"))))</f>
        <v>その他喪失</v>
      </c>
    </row>
    <row r="728">
      <c r="A728" t="n" s="2909">
        <v>31</v>
      </c>
      <c r="AA728" t="n" s="2909">
        <v>21</v>
      </c>
      <c r="AB728" t="inlineStr" s="2909">
        <is>
          <t>20221001</t>
        </is>
      </c>
      <c r="AD728" t="n" s="2909">
        <v>12</v>
      </c>
      <c r="AE728" t="inlineStr" s="2909">
        <is>
          <t>20230401</t>
        </is>
      </c>
      <c r="AH728" t="n" s="2909">
        <v>1</v>
      </c>
      <c r="AJ728" t="n" s="2909">
        <v>41</v>
      </c>
      <c r="AP728" t="n" s="2909">
        <v>200000</v>
      </c>
      <c r="DB728" s="2909" t="str">
        <f>IF($A728="","",IF($A728&lt;&gt;21,"対象外",IF($AE728&amp;""="00000000","在職",IF($AE728&amp;""='DB_設定'!$C$4,"4/1喪失","その他喪失"))))</f>
        <v>対象外</v>
      </c>
    </row>
    <row r="729">
      <c r="A729" t="n" s="2909">
        <v>21</v>
      </c>
      <c r="AA729" t="n" s="2909">
        <v>21</v>
      </c>
      <c r="AB729" t="inlineStr" s="2909">
        <is>
          <t>20070602</t>
        </is>
      </c>
      <c r="AD729" t="n" s="2909">
        <v>12</v>
      </c>
      <c r="AE729" t="inlineStr" s="2909">
        <is>
          <t>20091201</t>
        </is>
      </c>
      <c r="AH729" t="n" s="2909">
        <v>0</v>
      </c>
      <c r="AJ729" t="n" s="2909">
        <v>10</v>
      </c>
      <c r="AP729" t="n" s="2909">
        <v>1</v>
      </c>
      <c r="DB729" s="2909" t="str">
        <f>IF($A729="","",IF($A729&lt;&gt;21,"対象外",IF($AE729&amp;""="00000000","在職",IF($AE729&amp;""='DB_設定'!$C$4,"4/1喪失","その他喪失"))))</f>
        <v>その他喪失</v>
      </c>
    </row>
    <row r="730">
      <c r="A730" t="n" s="2909">
        <v>21</v>
      </c>
      <c r="AA730" t="n" s="2909">
        <v>21</v>
      </c>
      <c r="AB730" t="inlineStr" s="2909">
        <is>
          <t>20000401</t>
        </is>
      </c>
      <c r="AD730" t="n" s="2909">
        <v>12</v>
      </c>
      <c r="AE730" t="inlineStr" s="2909">
        <is>
          <t>20091201</t>
        </is>
      </c>
      <c r="AH730" t="n" s="2909">
        <v>0</v>
      </c>
      <c r="AJ730" t="n" s="2909">
        <v>10</v>
      </c>
      <c r="AP730" t="n" s="2909">
        <v>1</v>
      </c>
      <c r="DB730" s="2909" t="str">
        <f>IF($A730="","",IF($A730&lt;&gt;21,"対象外",IF($AE730&amp;""="00000000","在職",IF($AE730&amp;""='DB_設定'!$C$4,"4/1喪失","その他喪失"))))</f>
        <v>その他喪失</v>
      </c>
    </row>
    <row r="731">
      <c r="A731" t="n" s="2909">
        <v>21</v>
      </c>
      <c r="AA731" t="n" s="2909">
        <v>21</v>
      </c>
      <c r="AB731" t="inlineStr" s="2909">
        <is>
          <t>20010616</t>
        </is>
      </c>
      <c r="AD731" t="n" s="2909">
        <v>12</v>
      </c>
      <c r="AE731" t="inlineStr" s="2909">
        <is>
          <t>20091201</t>
        </is>
      </c>
      <c r="AH731" t="n" s="2909">
        <v>0</v>
      </c>
      <c r="AJ731" t="n" s="2909">
        <v>10</v>
      </c>
      <c r="AP731" t="n" s="2909">
        <v>1</v>
      </c>
      <c r="DB731" s="2909" t="str">
        <f>IF($A731="","",IF($A731&lt;&gt;21,"対象外",IF($AE731&amp;""="00000000","在職",IF($AE731&amp;""='DB_設定'!$C$4,"4/1喪失","その他喪失"))))</f>
        <v>その他喪失</v>
      </c>
    </row>
    <row r="732">
      <c r="A732" t="n" s="2909">
        <v>31</v>
      </c>
      <c r="AA732" t="n" s="2909">
        <v>21</v>
      </c>
      <c r="AB732" t="inlineStr" s="2909">
        <is>
          <t>20200701</t>
        </is>
      </c>
      <c r="AD732" t="n" s="2909">
        <v>12</v>
      </c>
      <c r="AE732" t="inlineStr" s="2909">
        <is>
          <t>20220401</t>
        </is>
      </c>
      <c r="AH732" t="n" s="2909">
        <v>1</v>
      </c>
      <c r="AJ732" t="n" s="2909">
        <v>10</v>
      </c>
      <c r="AP732" t="n" s="2909">
        <v>200000</v>
      </c>
      <c r="DB732" s="2909" t="str">
        <f>IF($A732="","",IF($A732&lt;&gt;21,"対象外",IF($AE732&amp;""="00000000","在職",IF($AE732&amp;""='DB_設定'!$C$4,"4/1喪失","その他喪失"))))</f>
        <v>対象外</v>
      </c>
    </row>
    <row r="733">
      <c r="A733" t="n" s="2909">
        <v>21</v>
      </c>
      <c r="AA733" t="n" s="2909">
        <v>21</v>
      </c>
      <c r="AB733" t="inlineStr" s="2909">
        <is>
          <t>19880401</t>
        </is>
      </c>
      <c r="AD733" t="n" s="2909">
        <v>12</v>
      </c>
      <c r="AE733" t="inlineStr" s="2909">
        <is>
          <t>20250401</t>
        </is>
      </c>
      <c r="AH733" t="n" s="2909">
        <v>1</v>
      </c>
      <c r="AJ733" t="n" s="2909">
        <v>10</v>
      </c>
      <c r="AP733" t="n" s="2909">
        <v>470000</v>
      </c>
      <c r="DB733" s="2909" t="str">
        <f>IF($A733="","",IF($A733&lt;&gt;21,"対象外",IF($AE733&amp;""="00000000","在職",IF($AE733&amp;""='DB_設定'!$C$4,"4/1喪失","その他喪失"))))</f>
        <v>4/1喪失</v>
      </c>
    </row>
    <row r="734">
      <c r="A734" t="n" s="2909">
        <v>21</v>
      </c>
      <c r="AA734" t="n" s="2909">
        <v>21</v>
      </c>
      <c r="AB734" t="inlineStr" s="2909">
        <is>
          <t>19981001</t>
        </is>
      </c>
      <c r="AD734" t="n" s="2909">
        <v>12</v>
      </c>
      <c r="AE734" t="inlineStr" s="2909">
        <is>
          <t>20091201</t>
        </is>
      </c>
      <c r="AH734" t="n" s="2909">
        <v>0</v>
      </c>
      <c r="AJ734" t="n" s="2909">
        <v>10</v>
      </c>
      <c r="AP734" t="n" s="2909">
        <v>1</v>
      </c>
      <c r="DB734" s="2909" t="str">
        <f>IF($A734="","",IF($A734&lt;&gt;21,"対象外",IF($AE734&amp;""="00000000","在職",IF($AE734&amp;""='DB_設定'!$C$4,"4/1喪失","その他喪失"))))</f>
        <v>その他喪失</v>
      </c>
    </row>
    <row r="735">
      <c r="A735" t="n" s="2909">
        <v>21</v>
      </c>
      <c r="AA735" t="n" s="2909">
        <v>21</v>
      </c>
      <c r="AB735" t="inlineStr" s="2909">
        <is>
          <t>20060401</t>
        </is>
      </c>
      <c r="AD735" t="n" s="2909">
        <v>12</v>
      </c>
      <c r="AE735" t="inlineStr" s="2909">
        <is>
          <t>20091201</t>
        </is>
      </c>
      <c r="AH735" t="n" s="2909">
        <v>0</v>
      </c>
      <c r="AJ735" t="n" s="2909">
        <v>10</v>
      </c>
      <c r="AP735" t="n" s="2909">
        <v>1</v>
      </c>
      <c r="DB735" s="2909" t="str">
        <f>IF($A735="","",IF($A735&lt;&gt;21,"対象外",IF($AE735&amp;""="00000000","在職",IF($AE735&amp;""='DB_設定'!$C$4,"4/1喪失","その他喪失"))))</f>
        <v>その他喪失</v>
      </c>
    </row>
    <row r="736">
      <c r="A736" t="n" s="2909">
        <v>21</v>
      </c>
      <c r="AA736" t="n" s="2909">
        <v>21</v>
      </c>
      <c r="AB736" t="inlineStr" s="2909">
        <is>
          <t>20030401</t>
        </is>
      </c>
      <c r="AD736" t="n" s="2909">
        <v>12</v>
      </c>
      <c r="AE736" t="inlineStr" s="2909">
        <is>
          <t>20091201</t>
        </is>
      </c>
      <c r="AH736" t="n" s="2909">
        <v>0</v>
      </c>
      <c r="AJ736" t="n" s="2909">
        <v>10</v>
      </c>
      <c r="AP736" t="n" s="2909">
        <v>1</v>
      </c>
      <c r="DB736" s="2909" t="str">
        <f>IF($A736="","",IF($A736&lt;&gt;21,"対象外",IF($AE736&amp;""="00000000","在職",IF($AE736&amp;""='DB_設定'!$C$4,"4/1喪失","その他喪失"))))</f>
        <v>その他喪失</v>
      </c>
    </row>
    <row r="737">
      <c r="A737" t="n" s="2909">
        <v>21</v>
      </c>
      <c r="AA737" t="n" s="2909">
        <v>21</v>
      </c>
      <c r="AB737" t="inlineStr" s="2909">
        <is>
          <t>20180801</t>
        </is>
      </c>
      <c r="AD737" t="n" s="2909">
        <v>12</v>
      </c>
      <c r="AE737" t="inlineStr" s="2909">
        <is>
          <t>20190401</t>
        </is>
      </c>
      <c r="AH737" t="n" s="2909">
        <v>20</v>
      </c>
      <c r="AJ737" t="n" s="2909">
        <v>10</v>
      </c>
      <c r="AP737" t="n" s="2909">
        <v>380000</v>
      </c>
      <c r="DB737" s="2909" t="str">
        <f>IF($A737="","",IF($A737&lt;&gt;21,"対象外",IF($AE737&amp;""="00000000","在職",IF($AE737&amp;""='DB_設定'!$C$4,"4/1喪失","その他喪失"))))</f>
        <v>その他喪失</v>
      </c>
    </row>
    <row r="738">
      <c r="A738" t="n" s="2909">
        <v>21</v>
      </c>
      <c r="AA738" t="n" s="2909">
        <v>21</v>
      </c>
      <c r="AB738" t="inlineStr" s="2909">
        <is>
          <t>20010401</t>
        </is>
      </c>
      <c r="AD738" t="n" s="2909">
        <v>12</v>
      </c>
      <c r="AE738" t="inlineStr" s="2909">
        <is>
          <t>20080401</t>
        </is>
      </c>
      <c r="AH738" t="n" s="2909">
        <v>0</v>
      </c>
      <c r="AJ738" t="n" s="2909">
        <v>10</v>
      </c>
      <c r="AP738" t="n" s="2909">
        <v>1</v>
      </c>
      <c r="DB738" s="2909" t="str">
        <f>IF($A738="","",IF($A738&lt;&gt;21,"対象外",IF($AE738&amp;""="00000000","在職",IF($AE738&amp;""='DB_設定'!$C$4,"4/1喪失","その他喪失"))))</f>
        <v>その他喪失</v>
      </c>
    </row>
    <row r="739">
      <c r="A739" t="n" s="2909">
        <v>21</v>
      </c>
      <c r="AA739" t="n" s="2909">
        <v>21</v>
      </c>
      <c r="AB739" t="inlineStr" s="2909">
        <is>
          <t>20010109</t>
        </is>
      </c>
      <c r="AD739" t="n" s="2909">
        <v>12</v>
      </c>
      <c r="AE739" t="inlineStr" s="2909">
        <is>
          <t>20091201</t>
        </is>
      </c>
      <c r="AH739" t="n" s="2909">
        <v>0</v>
      </c>
      <c r="AJ739" t="n" s="2909">
        <v>10</v>
      </c>
      <c r="AP739" t="n" s="2909">
        <v>1</v>
      </c>
      <c r="DB739" s="2909" t="str">
        <f>IF($A739="","",IF($A739&lt;&gt;21,"対象外",IF($AE739&amp;""="00000000","在職",IF($AE739&amp;""='DB_設定'!$C$4,"4/1喪失","その他喪失"))))</f>
        <v>その他喪失</v>
      </c>
    </row>
    <row r="740">
      <c r="A740" t="n" s="2909">
        <v>21</v>
      </c>
      <c r="AA740" t="n" s="2909">
        <v>24</v>
      </c>
      <c r="AB740" t="inlineStr" s="2909">
        <is>
          <t>20080401</t>
        </is>
      </c>
      <c r="AD740" t="n" s="2909">
        <v>12</v>
      </c>
      <c r="AE740" t="inlineStr" s="2909">
        <is>
          <t>20091201</t>
        </is>
      </c>
      <c r="AH740" t="n" s="2909">
        <v>0</v>
      </c>
      <c r="AJ740" t="n" s="2909">
        <v>10</v>
      </c>
      <c r="AP740" t="n" s="2909">
        <v>1</v>
      </c>
      <c r="DB740" s="2909" t="str">
        <f>IF($A740="","",IF($A740&lt;&gt;21,"対象外",IF($AE740&amp;""="00000000","在職",IF($AE740&amp;""='DB_設定'!$C$4,"4/1喪失","その他喪失"))))</f>
        <v>その他喪失</v>
      </c>
    </row>
    <row r="741">
      <c r="A741" t="n" s="2909">
        <v>21</v>
      </c>
      <c r="AA741" t="n" s="2909">
        <v>21</v>
      </c>
      <c r="AB741" t="inlineStr" s="2909">
        <is>
          <t>20080301</t>
        </is>
      </c>
      <c r="AD741" t="n" s="2909">
        <v>12</v>
      </c>
      <c r="AE741" t="inlineStr" s="2909">
        <is>
          <t>20081001</t>
        </is>
      </c>
      <c r="AH741" t="n" s="2909">
        <v>0</v>
      </c>
      <c r="AJ741" t="n" s="2909">
        <v>10</v>
      </c>
      <c r="AP741" t="n" s="2909">
        <v>1</v>
      </c>
      <c r="DB741" s="2909" t="str">
        <f>IF($A741="","",IF($A741&lt;&gt;21,"対象外",IF($AE741&amp;""="00000000","在職",IF($AE741&amp;""='DB_設定'!$C$4,"4/1喪失","その他喪失"))))</f>
        <v>その他喪失</v>
      </c>
    </row>
    <row r="742">
      <c r="A742" t="n" s="2909">
        <v>21</v>
      </c>
      <c r="AA742" t="n" s="2909">
        <v>21</v>
      </c>
      <c r="AB742" t="inlineStr" s="2909">
        <is>
          <t>20081001</t>
        </is>
      </c>
      <c r="AD742" t="n" s="2909">
        <v>12</v>
      </c>
      <c r="AE742" t="inlineStr" s="2909">
        <is>
          <t>20091201</t>
        </is>
      </c>
      <c r="AH742" t="n" s="2909">
        <v>0</v>
      </c>
      <c r="AJ742" t="n" s="2909">
        <v>10</v>
      </c>
      <c r="AP742" t="n" s="2909">
        <v>1</v>
      </c>
      <c r="DB742" s="2909" t="str">
        <f>IF($A742="","",IF($A742&lt;&gt;21,"対象外",IF($AE742&amp;""="00000000","在職",IF($AE742&amp;""='DB_設定'!$C$4,"4/1喪失","その他喪失"))))</f>
        <v>その他喪失</v>
      </c>
    </row>
    <row r="743">
      <c r="A743" t="n" s="2909">
        <v>21</v>
      </c>
      <c r="AA743" t="n" s="2909">
        <v>21</v>
      </c>
      <c r="AB743" t="inlineStr" s="2909">
        <is>
          <t>20050425</t>
        </is>
      </c>
      <c r="AD743" t="n" s="2909">
        <v>12</v>
      </c>
      <c r="AE743" t="inlineStr" s="2909">
        <is>
          <t>20250401</t>
        </is>
      </c>
      <c r="AH743" t="n" s="2909">
        <v>1</v>
      </c>
      <c r="AJ743" t="n" s="2909">
        <v>10</v>
      </c>
      <c r="AP743" t="n" s="2909">
        <v>500000</v>
      </c>
      <c r="DB743" s="2909" t="str">
        <f>IF($A743="","",IF($A743&lt;&gt;21,"対象外",IF($AE743&amp;""="00000000","在職",IF($AE743&amp;""='DB_設定'!$C$4,"4/1喪失","その他喪失"))))</f>
        <v>4/1喪失</v>
      </c>
    </row>
    <row r="744">
      <c r="A744" t="n" s="2909">
        <v>31</v>
      </c>
      <c r="AA744" t="n" s="2909">
        <v>21</v>
      </c>
      <c r="AB744" t="inlineStr" s="2909">
        <is>
          <t>20221001</t>
        </is>
      </c>
      <c r="AD744" t="n" s="2909">
        <v>15</v>
      </c>
      <c r="AE744" t="inlineStr" s="2909">
        <is>
          <t>20241016</t>
        </is>
      </c>
      <c r="AH744" t="n" s="2909">
        <v>1</v>
      </c>
      <c r="AJ744" t="n" s="2909">
        <v>41</v>
      </c>
      <c r="AP744" t="n" s="2909">
        <v>134000</v>
      </c>
      <c r="DB744" s="2909" t="str">
        <f>IF($A744="","",IF($A744&lt;&gt;21,"対象外",IF($AE744&amp;""="00000000","在職",IF($AE744&amp;""='DB_設定'!$C$4,"4/1喪失","その他喪失"))))</f>
        <v>対象外</v>
      </c>
    </row>
    <row r="745">
      <c r="A745" t="n" s="2909">
        <v>21</v>
      </c>
      <c r="AA745" t="n" s="2909">
        <v>21</v>
      </c>
      <c r="AB745" t="inlineStr" s="2909">
        <is>
          <t>20060401</t>
        </is>
      </c>
      <c r="AD745" t="n" s="2909">
        <v>12</v>
      </c>
      <c r="AE745" t="inlineStr" s="2909">
        <is>
          <t>20091201</t>
        </is>
      </c>
      <c r="AH745" t="n" s="2909">
        <v>0</v>
      </c>
      <c r="AJ745" t="n" s="2909">
        <v>10</v>
      </c>
      <c r="AP745" t="n" s="2909">
        <v>1</v>
      </c>
      <c r="DB745" s="2909" t="str">
        <f>IF($A745="","",IF($A745&lt;&gt;21,"対象外",IF($AE745&amp;""="00000000","在職",IF($AE745&amp;""='DB_設定'!$C$4,"4/1喪失","その他喪失"))))</f>
        <v>その他喪失</v>
      </c>
    </row>
    <row r="746">
      <c r="A746" t="n" s="2909">
        <v>21</v>
      </c>
      <c r="AA746" t="n" s="2909">
        <v>21</v>
      </c>
      <c r="AB746" t="inlineStr" s="2909">
        <is>
          <t>19850701</t>
        </is>
      </c>
      <c r="AD746" t="n" s="2909">
        <v>12</v>
      </c>
      <c r="AE746" t="inlineStr" s="2909">
        <is>
          <t>20250401</t>
        </is>
      </c>
      <c r="AH746" t="n" s="2909">
        <v>1</v>
      </c>
      <c r="AJ746" t="n" s="2909">
        <v>10</v>
      </c>
      <c r="AP746" t="n" s="2909">
        <v>500000</v>
      </c>
      <c r="DB746" s="2909" t="str">
        <f>IF($A746="","",IF($A746&lt;&gt;21,"対象外",IF($AE746&amp;""="00000000","在職",IF($AE746&amp;""='DB_設定'!$C$4,"4/1喪失","その他喪失"))))</f>
        <v>4/1喪失</v>
      </c>
    </row>
    <row r="747">
      <c r="A747" t="n" s="2909">
        <v>21</v>
      </c>
      <c r="AA747" t="n" s="2909">
        <v>21</v>
      </c>
      <c r="AB747" t="inlineStr" s="2909">
        <is>
          <t>20061001</t>
        </is>
      </c>
      <c r="AD747" t="n" s="2909">
        <v>12</v>
      </c>
      <c r="AE747" t="inlineStr" s="2909">
        <is>
          <t>20091201</t>
        </is>
      </c>
      <c r="AH747" t="n" s="2909">
        <v>0</v>
      </c>
      <c r="AJ747" t="n" s="2909">
        <v>10</v>
      </c>
      <c r="AP747" t="n" s="2909">
        <v>1</v>
      </c>
      <c r="DB747" s="2909" t="str">
        <f>IF($A747="","",IF($A747&lt;&gt;21,"対象外",IF($AE747&amp;""="00000000","在職",IF($AE747&amp;""='DB_設定'!$C$4,"4/1喪失","その他喪失"))))</f>
        <v>その他喪失</v>
      </c>
    </row>
    <row r="748">
      <c r="A748" t="n" s="2909">
        <v>21</v>
      </c>
      <c r="AA748" t="n" s="2909">
        <v>21</v>
      </c>
      <c r="AB748" t="inlineStr" s="2909">
        <is>
          <t>19880401</t>
        </is>
      </c>
      <c r="AD748" t="n" s="2909">
        <v>12</v>
      </c>
      <c r="AE748" t="inlineStr" s="2909">
        <is>
          <t>20250401</t>
        </is>
      </c>
      <c r="AH748" t="n" s="2909">
        <v>1</v>
      </c>
      <c r="AJ748" t="n" s="2909">
        <v>10</v>
      </c>
      <c r="AP748" t="n" s="2909">
        <v>710000</v>
      </c>
      <c r="DB748" s="2909" t="str">
        <f>IF($A748="","",IF($A748&lt;&gt;21,"対象外",IF($AE748&amp;""="00000000","在職",IF($AE748&amp;""='DB_設定'!$C$4,"4/1喪失","その他喪失"))))</f>
        <v>4/1喪失</v>
      </c>
    </row>
    <row r="749">
      <c r="A749" t="n" s="2909">
        <v>21</v>
      </c>
      <c r="AA749" t="n" s="2909">
        <v>21</v>
      </c>
      <c r="AB749" t="inlineStr" s="2909">
        <is>
          <t>20081001</t>
        </is>
      </c>
      <c r="AD749" t="n" s="2909">
        <v>12</v>
      </c>
      <c r="AE749" t="inlineStr" s="2909">
        <is>
          <t>20090331</t>
        </is>
      </c>
      <c r="AH749" t="n" s="2909">
        <v>0</v>
      </c>
      <c r="AJ749" t="n" s="2909">
        <v>10</v>
      </c>
      <c r="AP749" t="n" s="2909">
        <v>139545</v>
      </c>
      <c r="DB749" s="2909" t="str">
        <f>IF($A749="","",IF($A749&lt;&gt;21,"対象外",IF($AE749&amp;""="00000000","在職",IF($AE749&amp;""='DB_設定'!$C$4,"4/1喪失","その他喪失"))))</f>
        <v>その他喪失</v>
      </c>
    </row>
    <row r="750">
      <c r="A750" t="n" s="2909">
        <v>21</v>
      </c>
      <c r="AA750" t="n" s="2909">
        <v>21</v>
      </c>
      <c r="AB750" t="inlineStr" s="2909">
        <is>
          <t>19870401</t>
        </is>
      </c>
      <c r="AD750" t="n" s="2909">
        <v>12</v>
      </c>
      <c r="AE750" t="inlineStr" s="2909">
        <is>
          <t>20250401</t>
        </is>
      </c>
      <c r="AH750" t="n" s="2909">
        <v>32</v>
      </c>
      <c r="AJ750" t="n" s="2909">
        <v>74</v>
      </c>
      <c r="AP750" t="n" s="2909">
        <v>530000</v>
      </c>
      <c r="DB750" s="2909" t="str">
        <f>IF($A750="","",IF($A750&lt;&gt;21,"対象外",IF($AE750&amp;""="00000000","在職",IF($AE750&amp;""='DB_設定'!$C$4,"4/1喪失","その他喪失"))))</f>
        <v>4/1喪失</v>
      </c>
    </row>
    <row r="751">
      <c r="A751" t="n" s="2909">
        <v>21</v>
      </c>
      <c r="AA751" t="n" s="2909">
        <v>21</v>
      </c>
      <c r="AB751" t="inlineStr" s="2909">
        <is>
          <t>20151001</t>
        </is>
      </c>
      <c r="AD751" t="n" s="2909">
        <v>12</v>
      </c>
      <c r="AE751" t="inlineStr" s="2909">
        <is>
          <t>20160801</t>
        </is>
      </c>
      <c r="AH751" t="n" s="2909">
        <v>20</v>
      </c>
      <c r="AJ751" t="n" s="2909">
        <v>10</v>
      </c>
      <c r="AP751" t="n" s="2909">
        <v>220000</v>
      </c>
      <c r="DB751" s="2909" t="str">
        <f>IF($A751="","",IF($A751&lt;&gt;21,"対象外",IF($AE751&amp;""="00000000","在職",IF($AE751&amp;""='DB_設定'!$C$4,"4/1喪失","その他喪失"))))</f>
        <v>その他喪失</v>
      </c>
    </row>
    <row r="752">
      <c r="A752" t="n" s="2909">
        <v>21</v>
      </c>
      <c r="AA752" t="n" s="2909">
        <v>21</v>
      </c>
      <c r="AB752" t="inlineStr" s="2909">
        <is>
          <t>19910401</t>
        </is>
      </c>
      <c r="AD752" t="n" s="2909">
        <v>12</v>
      </c>
      <c r="AE752" t="inlineStr" s="2909">
        <is>
          <t>20230401</t>
        </is>
      </c>
      <c r="AH752" t="n" s="2909">
        <v>1</v>
      </c>
      <c r="AJ752" t="n" s="2909">
        <v>10</v>
      </c>
      <c r="AP752" t="n" s="2909">
        <v>560000</v>
      </c>
      <c r="DB752" s="2909" t="str">
        <f>IF($A752="","",IF($A752&lt;&gt;21,"対象外",IF($AE752&amp;""="00000000","在職",IF($AE752&amp;""='DB_設定'!$C$4,"4/1喪失","その他喪失"))))</f>
        <v>その他喪失</v>
      </c>
    </row>
    <row r="753">
      <c r="A753" t="n" s="2909">
        <v>21</v>
      </c>
      <c r="AA753" t="n" s="2909">
        <v>21</v>
      </c>
      <c r="AB753" t="inlineStr" s="2909">
        <is>
          <t>20040401</t>
        </is>
      </c>
      <c r="AD753" t="n" s="2909">
        <v>12</v>
      </c>
      <c r="AE753" t="inlineStr" s="2909">
        <is>
          <t>20170401</t>
        </is>
      </c>
      <c r="AH753" t="n" s="2909">
        <v>11</v>
      </c>
      <c r="AJ753" t="n" s="2909">
        <v>10</v>
      </c>
      <c r="AP753" t="n" s="2909">
        <v>360000</v>
      </c>
      <c r="DB753" s="2909" t="str">
        <f>IF($A753="","",IF($A753&lt;&gt;21,"対象外",IF($AE753&amp;""="00000000","在職",IF($AE753&amp;""='DB_設定'!$C$4,"4/1喪失","その他喪失"))))</f>
        <v>その他喪失</v>
      </c>
    </row>
    <row r="754">
      <c r="A754" t="n" s="2909">
        <v>21</v>
      </c>
      <c r="AA754" t="n" s="2909">
        <v>21</v>
      </c>
      <c r="AB754" t="inlineStr" s="2909">
        <is>
          <t>20040601</t>
        </is>
      </c>
      <c r="AD754" t="n" s="2909">
        <v>12</v>
      </c>
      <c r="AE754" t="inlineStr" s="2909">
        <is>
          <t>20091201</t>
        </is>
      </c>
      <c r="AH754" t="n" s="2909">
        <v>0</v>
      </c>
      <c r="AJ754" t="n" s="2909">
        <v>10</v>
      </c>
      <c r="AP754" t="n" s="2909">
        <v>1</v>
      </c>
      <c r="DB754" s="2909" t="str">
        <f>IF($A754="","",IF($A754&lt;&gt;21,"対象外",IF($AE754&amp;""="00000000","在職",IF($AE754&amp;""='DB_設定'!$C$4,"4/1喪失","その他喪失"))))</f>
        <v>その他喪失</v>
      </c>
    </row>
    <row r="755">
      <c r="A755" t="n" s="2909">
        <v>21</v>
      </c>
      <c r="AA755" t="n" s="2909">
        <v>21</v>
      </c>
      <c r="AB755" t="inlineStr" s="2909">
        <is>
          <t>20040401</t>
        </is>
      </c>
      <c r="AD755" t="n" s="2909">
        <v>12</v>
      </c>
      <c r="AE755" t="inlineStr" s="2909">
        <is>
          <t>20091201</t>
        </is>
      </c>
      <c r="AH755" t="n" s="2909">
        <v>0</v>
      </c>
      <c r="AJ755" t="n" s="2909">
        <v>10</v>
      </c>
      <c r="AP755" t="n" s="2909">
        <v>1</v>
      </c>
      <c r="DB755" s="2909" t="str">
        <f>IF($A755="","",IF($A755&lt;&gt;21,"対象外",IF($AE755&amp;""="00000000","在職",IF($AE755&amp;""='DB_設定'!$C$4,"4/1喪失","その他喪失"))))</f>
        <v>その他喪失</v>
      </c>
    </row>
    <row r="756">
      <c r="A756" t="n" s="2909">
        <v>31</v>
      </c>
      <c r="AA756" t="n" s="2909">
        <v>21</v>
      </c>
      <c r="AB756" t="inlineStr" s="2909">
        <is>
          <t>20230401</t>
        </is>
      </c>
      <c r="AD756" t="n" s="2909">
        <v>12</v>
      </c>
      <c r="AE756" t="inlineStr" s="2909">
        <is>
          <t>20230416</t>
        </is>
      </c>
      <c r="AH756" t="n" s="2909">
        <v>1</v>
      </c>
      <c r="AJ756" t="n" s="2909">
        <v>41</v>
      </c>
      <c r="AP756" t="n" s="2909">
        <v>142000</v>
      </c>
      <c r="DB756" s="2909" t="str">
        <f>IF($A756="","",IF($A756&lt;&gt;21,"対象外",IF($AE756&amp;""="00000000","在職",IF($AE756&amp;""='DB_設定'!$C$4,"4/1喪失","その他喪失"))))</f>
        <v>対象外</v>
      </c>
    </row>
    <row r="757">
      <c r="A757" t="n" s="2909">
        <v>21</v>
      </c>
      <c r="AA757" t="n" s="2909">
        <v>21</v>
      </c>
      <c r="AB757" t="inlineStr" s="2909">
        <is>
          <t>20080401</t>
        </is>
      </c>
      <c r="AD757" t="n" s="2909">
        <v>12</v>
      </c>
      <c r="AE757" t="inlineStr" s="2909">
        <is>
          <t>20090414</t>
        </is>
      </c>
      <c r="AH757" t="n" s="2909">
        <v>0</v>
      </c>
      <c r="AJ757" t="n" s="2909">
        <v>10</v>
      </c>
      <c r="AP757" t="n" s="2909">
        <v>562680</v>
      </c>
      <c r="DB757" s="2909" t="str">
        <f>IF($A757="","",IF($A757&lt;&gt;21,"対象外",IF($AE757&amp;""="00000000","在職",IF($AE757&amp;""='DB_設定'!$C$4,"4/1喪失","その他喪失"))))</f>
        <v>その他喪失</v>
      </c>
    </row>
    <row r="758">
      <c r="A758" t="n" s="2909">
        <v>21</v>
      </c>
      <c r="AA758" t="n" s="2909">
        <v>21</v>
      </c>
      <c r="AB758" t="inlineStr" s="2909">
        <is>
          <t>19930401</t>
        </is>
      </c>
      <c r="AD758" t="n" s="2909">
        <v>12</v>
      </c>
      <c r="AE758" t="inlineStr" s="2909">
        <is>
          <t>20110401</t>
        </is>
      </c>
      <c r="AH758" t="n" s="2909">
        <v>0</v>
      </c>
      <c r="AJ758" t="n" s="2909">
        <v>10</v>
      </c>
      <c r="AP758" t="n" s="2909">
        <v>368600</v>
      </c>
      <c r="DB758" s="2909" t="str">
        <f>IF($A758="","",IF($A758&lt;&gt;21,"対象外",IF($AE758&amp;""="00000000","在職",IF($AE758&amp;""='DB_設定'!$C$4,"4/1喪失","その他喪失"))))</f>
        <v>その他喪失</v>
      </c>
    </row>
    <row r="759">
      <c r="A759" t="n" s="2909">
        <v>21</v>
      </c>
      <c r="AA759" t="n" s="2909">
        <v>24</v>
      </c>
      <c r="AB759" t="inlineStr" s="2909">
        <is>
          <t>20100401</t>
        </is>
      </c>
      <c r="AD759" t="n" s="2909">
        <v>12</v>
      </c>
      <c r="AE759" t="inlineStr" s="2909">
        <is>
          <t>20250401</t>
        </is>
      </c>
      <c r="AH759" t="n" s="2909">
        <v>1</v>
      </c>
      <c r="AJ759" t="n" s="2909">
        <v>10</v>
      </c>
      <c r="AP759" t="n" s="2909">
        <v>560000</v>
      </c>
      <c r="DB759" s="2909" t="str">
        <f>IF($A759="","",IF($A759&lt;&gt;21,"対象外",IF($AE759&amp;""="00000000","在職",IF($AE759&amp;""='DB_設定'!$C$4,"4/1喪失","その他喪失"))))</f>
        <v>4/1喪失</v>
      </c>
    </row>
    <row r="760">
      <c r="A760" t="n" s="2909">
        <v>21</v>
      </c>
      <c r="AA760" t="n" s="2909">
        <v>21</v>
      </c>
      <c r="AB760" t="inlineStr" s="2909">
        <is>
          <t>20080401</t>
        </is>
      </c>
      <c r="AD760" t="n" s="2909">
        <v>12</v>
      </c>
      <c r="AE760" t="inlineStr" s="2909">
        <is>
          <t>20091201</t>
        </is>
      </c>
      <c r="AH760" t="n" s="2909">
        <v>0</v>
      </c>
      <c r="AJ760" t="n" s="2909">
        <v>10</v>
      </c>
      <c r="AP760" t="n" s="2909">
        <v>1</v>
      </c>
      <c r="DB760" s="2909" t="str">
        <f>IF($A760="","",IF($A760&lt;&gt;21,"対象外",IF($AE760&amp;""="00000000","在職",IF($AE760&amp;""='DB_設定'!$C$4,"4/1喪失","その他喪失"))))</f>
        <v>その他喪失</v>
      </c>
    </row>
    <row r="761">
      <c r="A761" t="n" s="2909">
        <v>21</v>
      </c>
      <c r="AA761" t="n" s="2909">
        <v>21</v>
      </c>
      <c r="AB761" t="inlineStr" s="2909">
        <is>
          <t>19860501</t>
        </is>
      </c>
      <c r="AD761" t="n" s="2909">
        <v>12</v>
      </c>
      <c r="AE761" t="inlineStr" s="2909">
        <is>
          <t>20210401</t>
        </is>
      </c>
      <c r="AH761" t="n" s="2909">
        <v>20</v>
      </c>
      <c r="AJ761" t="n" s="2909">
        <v>10</v>
      </c>
      <c r="AP761" t="n" s="2909">
        <v>530000</v>
      </c>
      <c r="DB761" s="2909" t="str">
        <f>IF($A761="","",IF($A761&lt;&gt;21,"対象外",IF($AE761&amp;""="00000000","在職",IF($AE761&amp;""='DB_設定'!$C$4,"4/1喪失","その他喪失"))))</f>
        <v>その他喪失</v>
      </c>
    </row>
    <row r="762">
      <c r="A762" t="n" s="2909">
        <v>21</v>
      </c>
      <c r="AA762" t="n" s="2909">
        <v>21</v>
      </c>
      <c r="AB762" t="inlineStr" s="2909">
        <is>
          <t>20090901</t>
        </is>
      </c>
      <c r="AD762" t="n" s="2909">
        <v>12</v>
      </c>
      <c r="AE762" t="inlineStr" s="2909">
        <is>
          <t>20091201</t>
        </is>
      </c>
      <c r="AH762" t="n" s="2909">
        <v>0</v>
      </c>
      <c r="AJ762" t="n" s="2909">
        <v>10</v>
      </c>
      <c r="AP762" t="n" s="2909">
        <v>372187</v>
      </c>
      <c r="DB762" s="2909" t="str">
        <f>IF($A762="","",IF($A762&lt;&gt;21,"対象外",IF($AE762&amp;""="00000000","在職",IF($AE762&amp;""='DB_設定'!$C$4,"4/1喪失","その他喪失"))))</f>
        <v>その他喪失</v>
      </c>
    </row>
    <row r="763">
      <c r="A763" t="n" s="2909">
        <v>21</v>
      </c>
      <c r="AA763" t="n" s="2909">
        <v>21</v>
      </c>
      <c r="AB763" t="inlineStr" s="2909">
        <is>
          <t>20050501</t>
        </is>
      </c>
      <c r="AD763" t="n" s="2909">
        <v>12</v>
      </c>
      <c r="AE763" t="inlineStr" s="2909">
        <is>
          <t>20091201</t>
        </is>
      </c>
      <c r="AH763" t="n" s="2909">
        <v>0</v>
      </c>
      <c r="AJ763" t="n" s="2909">
        <v>10</v>
      </c>
      <c r="AP763" t="n" s="2909">
        <v>1</v>
      </c>
      <c r="DB763" s="2909" t="str">
        <f>IF($A763="","",IF($A763&lt;&gt;21,"対象外",IF($AE763&amp;""="00000000","在職",IF($AE763&amp;""='DB_設定'!$C$4,"4/1喪失","その他喪失"))))</f>
        <v>その他喪失</v>
      </c>
    </row>
    <row r="764">
      <c r="A764" t="n" s="2909">
        <v>21</v>
      </c>
      <c r="AA764" t="n" s="2909">
        <v>21</v>
      </c>
      <c r="AB764" t="inlineStr" s="2909">
        <is>
          <t>20070401</t>
        </is>
      </c>
      <c r="AD764" t="n" s="2909">
        <v>12</v>
      </c>
      <c r="AE764" t="inlineStr" s="2909">
        <is>
          <t>20091201</t>
        </is>
      </c>
      <c r="AH764" t="n" s="2909">
        <v>0</v>
      </c>
      <c r="AJ764" t="n" s="2909">
        <v>10</v>
      </c>
      <c r="AP764" t="n" s="2909">
        <v>1</v>
      </c>
      <c r="DB764" s="2909" t="str">
        <f>IF($A764="","",IF($A764&lt;&gt;21,"対象外",IF($AE764&amp;""="00000000","在職",IF($AE764&amp;""='DB_設定'!$C$4,"4/1喪失","その他喪失"))))</f>
        <v>その他喪失</v>
      </c>
    </row>
    <row r="765">
      <c r="A765" t="n" s="2909">
        <v>31</v>
      </c>
      <c r="AA765" t="n" s="2909">
        <v>21</v>
      </c>
      <c r="AB765" t="inlineStr" s="2909">
        <is>
          <t>20221001</t>
        </is>
      </c>
      <c r="AD765" t="n" s="2909">
        <v>12</v>
      </c>
      <c r="AE765" t="inlineStr" s="2909">
        <is>
          <t>20250401</t>
        </is>
      </c>
      <c r="AH765" t="n" s="2909">
        <v>1</v>
      </c>
      <c r="AJ765" t="n" s="2909">
        <v>41</v>
      </c>
      <c r="AP765" t="n" s="2909">
        <v>180000</v>
      </c>
      <c r="DB765" s="2909" t="str">
        <f>IF($A765="","",IF($A765&lt;&gt;21,"対象外",IF($AE765&amp;""="00000000","在職",IF($AE765&amp;""='DB_設定'!$C$4,"4/1喪失","その他喪失"))))</f>
        <v>対象外</v>
      </c>
    </row>
    <row r="766">
      <c r="A766" t="n" s="2909">
        <v>21</v>
      </c>
      <c r="AA766" t="n" s="2909">
        <v>21</v>
      </c>
      <c r="AB766" t="inlineStr" s="2909">
        <is>
          <t>19840401</t>
        </is>
      </c>
      <c r="AD766" t="n" s="2909">
        <v>12</v>
      </c>
      <c r="AE766" t="inlineStr" s="2909">
        <is>
          <t>20250401</t>
        </is>
      </c>
      <c r="AH766" t="n" s="2909">
        <v>1</v>
      </c>
      <c r="AJ766" t="n" s="2909">
        <v>10</v>
      </c>
      <c r="AP766" t="n" s="2909">
        <v>560000</v>
      </c>
      <c r="DB766" s="2909" t="str">
        <f>IF($A766="","",IF($A766&lt;&gt;21,"対象外",IF($AE766&amp;""="00000000","在職",IF($AE766&amp;""='DB_設定'!$C$4,"4/1喪失","その他喪失"))))</f>
        <v>4/1喪失</v>
      </c>
    </row>
    <row r="767">
      <c r="A767" t="n" s="2909">
        <v>21</v>
      </c>
      <c r="AA767" t="n" s="2909">
        <v>21</v>
      </c>
      <c r="AB767" t="inlineStr" s="2909">
        <is>
          <t>20030601</t>
        </is>
      </c>
      <c r="AD767" t="n" s="2909">
        <v>12</v>
      </c>
      <c r="AE767" t="inlineStr" s="2909">
        <is>
          <t>20091201</t>
        </is>
      </c>
      <c r="AH767" t="n" s="2909">
        <v>0</v>
      </c>
      <c r="AJ767" t="n" s="2909">
        <v>10</v>
      </c>
      <c r="AP767" t="n" s="2909">
        <v>1</v>
      </c>
      <c r="DB767" s="2909" t="str">
        <f>IF($A767="","",IF($A767&lt;&gt;21,"対象外",IF($AE767&amp;""="00000000","在職",IF($AE767&amp;""='DB_設定'!$C$4,"4/1喪失","その他喪失"))))</f>
        <v>その他喪失</v>
      </c>
    </row>
    <row r="768">
      <c r="A768" t="n" s="2909">
        <v>21</v>
      </c>
      <c r="AA768" t="n" s="2909">
        <v>21</v>
      </c>
      <c r="AB768" t="inlineStr" s="2909">
        <is>
          <t>20060403</t>
        </is>
      </c>
      <c r="AD768" t="n" s="2909">
        <v>12</v>
      </c>
      <c r="AE768" t="inlineStr" s="2909">
        <is>
          <t>20091201</t>
        </is>
      </c>
      <c r="AH768" t="n" s="2909">
        <v>0</v>
      </c>
      <c r="AJ768" t="n" s="2909">
        <v>10</v>
      </c>
      <c r="AP768" t="n" s="2909">
        <v>1</v>
      </c>
      <c r="DB768" s="2909" t="str">
        <f>IF($A768="","",IF($A768&lt;&gt;21,"対象外",IF($AE768&amp;""="00000000","在職",IF($AE768&amp;""='DB_設定'!$C$4,"4/1喪失","その他喪失"))))</f>
        <v>その他喪失</v>
      </c>
    </row>
    <row r="769">
      <c r="A769" t="n" s="2909">
        <v>21</v>
      </c>
      <c r="AA769" t="n" s="2909">
        <v>21</v>
      </c>
      <c r="AB769" t="inlineStr" s="2909">
        <is>
          <t>20080401</t>
        </is>
      </c>
      <c r="AD769" t="n" s="2909">
        <v>12</v>
      </c>
      <c r="AE769" t="inlineStr" s="2909">
        <is>
          <t>20091201</t>
        </is>
      </c>
      <c r="AH769" t="n" s="2909">
        <v>0</v>
      </c>
      <c r="AJ769" t="n" s="2909">
        <v>10</v>
      </c>
      <c r="AP769" t="n" s="2909">
        <v>1</v>
      </c>
      <c r="DB769" s="2909" t="str">
        <f>IF($A769="","",IF($A769&lt;&gt;21,"対象外",IF($AE769&amp;""="00000000","在職",IF($AE769&amp;""='DB_設定'!$C$4,"4/1喪失","その他喪失"))))</f>
        <v>その他喪失</v>
      </c>
    </row>
    <row r="770">
      <c r="A770" t="n" s="2909">
        <v>21</v>
      </c>
      <c r="AA770" t="n" s="2909">
        <v>21</v>
      </c>
      <c r="AB770" t="inlineStr" s="2909">
        <is>
          <t>20080916</t>
        </is>
      </c>
      <c r="AD770" t="n" s="2909">
        <v>12</v>
      </c>
      <c r="AE770" t="inlineStr" s="2909">
        <is>
          <t>20090401</t>
        </is>
      </c>
      <c r="AH770" t="n" s="2909">
        <v>0</v>
      </c>
      <c r="AJ770" t="n" s="2909">
        <v>10</v>
      </c>
      <c r="AP770" t="n" s="2909">
        <v>164010</v>
      </c>
      <c r="DB770" s="2909" t="str">
        <f>IF($A770="","",IF($A770&lt;&gt;21,"対象外",IF($AE770&amp;""="00000000","在職",IF($AE770&amp;""='DB_設定'!$C$4,"4/1喪失","その他喪失"))))</f>
        <v>その他喪失</v>
      </c>
    </row>
    <row r="771">
      <c r="A771" t="n" s="2909">
        <v>21</v>
      </c>
      <c r="AA771" t="n" s="2909">
        <v>21</v>
      </c>
      <c r="AB771" t="inlineStr" s="2909">
        <is>
          <t>20090401</t>
        </is>
      </c>
      <c r="AD771" t="n" s="2909">
        <v>12</v>
      </c>
      <c r="AE771" t="inlineStr" s="2909">
        <is>
          <t>20091201</t>
        </is>
      </c>
      <c r="AH771" t="n" s="2909">
        <v>0</v>
      </c>
      <c r="AJ771" t="n" s="2909">
        <v>10</v>
      </c>
      <c r="AP771" t="n" s="2909">
        <v>1</v>
      </c>
      <c r="DB771" s="2909" t="str">
        <f>IF($A771="","",IF($A771&lt;&gt;21,"対象外",IF($AE771&amp;""="00000000","在職",IF($AE771&amp;""='DB_設定'!$C$4,"4/1喪失","その他喪失"))))</f>
        <v>その他喪失</v>
      </c>
    </row>
    <row r="772">
      <c r="A772" t="n" s="2909">
        <v>21</v>
      </c>
      <c r="AA772" t="n" s="2909">
        <v>21</v>
      </c>
      <c r="AB772" t="inlineStr" s="2909">
        <is>
          <t>20060401</t>
        </is>
      </c>
      <c r="AD772" t="n" s="2909">
        <v>12</v>
      </c>
      <c r="AE772" t="inlineStr" s="2909">
        <is>
          <t>20091201</t>
        </is>
      </c>
      <c r="AH772" t="n" s="2909">
        <v>0</v>
      </c>
      <c r="AJ772" t="n" s="2909">
        <v>10</v>
      </c>
      <c r="AP772" t="n" s="2909">
        <v>1</v>
      </c>
      <c r="DB772" s="2909" t="str">
        <f>IF($A772="","",IF($A772&lt;&gt;21,"対象外",IF($AE772&amp;""="00000000","在職",IF($AE772&amp;""='DB_設定'!$C$4,"4/1喪失","その他喪失"))))</f>
        <v>その他喪失</v>
      </c>
    </row>
    <row r="773">
      <c r="A773" t="n" s="2909">
        <v>21</v>
      </c>
      <c r="AA773" t="n" s="2909">
        <v>21</v>
      </c>
      <c r="AB773" t="inlineStr" s="2909">
        <is>
          <t>19980401</t>
        </is>
      </c>
      <c r="AD773" t="n" s="2909">
        <v>12</v>
      </c>
      <c r="AE773" t="inlineStr" s="2909">
        <is>
          <t>20220401</t>
        </is>
      </c>
      <c r="AH773" t="n" s="2909">
        <v>1</v>
      </c>
      <c r="AJ773" t="n" s="2909">
        <v>10</v>
      </c>
      <c r="AP773" t="n" s="2909">
        <v>410000</v>
      </c>
      <c r="DB773" s="2909" t="str">
        <f>IF($A773="","",IF($A773&lt;&gt;21,"対象外",IF($AE773&amp;""="00000000","在職",IF($AE773&amp;""='DB_設定'!$C$4,"4/1喪失","その他喪失"))))</f>
        <v>その他喪失</v>
      </c>
    </row>
    <row r="774">
      <c r="A774" t="n" s="2909">
        <v>21</v>
      </c>
      <c r="AA774" t="n" s="2909">
        <v>21</v>
      </c>
      <c r="AB774" t="inlineStr" s="2909">
        <is>
          <t>20060117</t>
        </is>
      </c>
      <c r="AD774" t="n" s="2909">
        <v>12</v>
      </c>
      <c r="AE774" t="inlineStr" s="2909">
        <is>
          <t>20091201</t>
        </is>
      </c>
      <c r="AH774" t="n" s="2909">
        <v>0</v>
      </c>
      <c r="AJ774" t="n" s="2909">
        <v>10</v>
      </c>
      <c r="AP774" t="n" s="2909">
        <v>1</v>
      </c>
      <c r="DB774" s="2909" t="str">
        <f>IF($A774="","",IF($A774&lt;&gt;21,"対象外",IF($AE774&amp;""="00000000","在職",IF($AE774&amp;""='DB_設定'!$C$4,"4/1喪失","その他喪失"))))</f>
        <v>その他喪失</v>
      </c>
    </row>
    <row r="775">
      <c r="A775" t="n" s="2909">
        <v>21</v>
      </c>
      <c r="AA775" t="n" s="2909">
        <v>21</v>
      </c>
      <c r="AB775" t="inlineStr" s="2909">
        <is>
          <t>20091002</t>
        </is>
      </c>
      <c r="AD775" t="n" s="2909">
        <v>12</v>
      </c>
      <c r="AE775" t="inlineStr" s="2909">
        <is>
          <t>20091201</t>
        </is>
      </c>
      <c r="AH775" t="n" s="2909">
        <v>0</v>
      </c>
      <c r="AJ775" t="n" s="2909">
        <v>10</v>
      </c>
      <c r="AP775" t="n" s="2909">
        <v>138390</v>
      </c>
      <c r="DB775" s="2909" t="str">
        <f>IF($A775="","",IF($A775&lt;&gt;21,"対象外",IF($AE775&amp;""="00000000","在職",IF($AE775&amp;""='DB_設定'!$C$4,"4/1喪失","その他喪失"))))</f>
        <v>その他喪失</v>
      </c>
    </row>
    <row r="776">
      <c r="A776" t="n" s="2909">
        <v>21</v>
      </c>
      <c r="AA776" t="n" s="2909">
        <v>21</v>
      </c>
      <c r="AB776" t="inlineStr" s="2909">
        <is>
          <t>19850701</t>
        </is>
      </c>
      <c r="AD776" t="n" s="2909">
        <v>12</v>
      </c>
      <c r="AE776" t="inlineStr" s="2909">
        <is>
          <t>20230401</t>
        </is>
      </c>
      <c r="AH776" t="n" s="2909">
        <v>1</v>
      </c>
      <c r="AJ776" t="n" s="2909">
        <v>10</v>
      </c>
      <c r="AP776" t="n" s="2909">
        <v>500000</v>
      </c>
      <c r="DB776" s="2909" t="str">
        <f>IF($A776="","",IF($A776&lt;&gt;21,"対象外",IF($AE776&amp;""="00000000","在職",IF($AE776&amp;""='DB_設定'!$C$4,"4/1喪失","その他喪失"))))</f>
        <v>その他喪失</v>
      </c>
    </row>
    <row r="777">
      <c r="A777" t="n" s="2909">
        <v>31</v>
      </c>
      <c r="AA777" t="n" s="2909">
        <v>21</v>
      </c>
      <c r="AB777" t="inlineStr" s="2909">
        <is>
          <t>20230401</t>
        </is>
      </c>
      <c r="AD777" t="n" s="2909">
        <v>12</v>
      </c>
      <c r="AE777" t="inlineStr" s="2909">
        <is>
          <t>20240801</t>
        </is>
      </c>
      <c r="AH777" t="n" s="2909">
        <v>1</v>
      </c>
      <c r="AJ777" t="n" s="2909">
        <v>41</v>
      </c>
      <c r="AP777" t="n" s="2909">
        <v>118000</v>
      </c>
      <c r="DB777" s="2909" t="str">
        <f>IF($A777="","",IF($A777&lt;&gt;21,"対象外",IF($AE777&amp;""="00000000","在職",IF($AE777&amp;""='DB_設定'!$C$4,"4/1喪失","その他喪失"))))</f>
        <v>対象外</v>
      </c>
    </row>
    <row r="778">
      <c r="A778" t="n" s="2909">
        <v>31</v>
      </c>
      <c r="AA778" t="n" s="2909">
        <v>21</v>
      </c>
      <c r="AB778" t="inlineStr" s="2909">
        <is>
          <t>20240411</t>
        </is>
      </c>
      <c r="AD778" t="n" s="2909">
        <v>12</v>
      </c>
      <c r="AE778" t="inlineStr" s="2909">
        <is>
          <t>20250401</t>
        </is>
      </c>
      <c r="AH778" t="n" s="2909">
        <v>11</v>
      </c>
      <c r="AJ778" t="n" s="2909">
        <v>41</v>
      </c>
      <c r="AP778" t="n" s="2909">
        <v>220000</v>
      </c>
      <c r="DB778" s="2909" t="str">
        <f>IF($A778="","",IF($A778&lt;&gt;21,"対象外",IF($AE778&amp;""="00000000","在職",IF($AE778&amp;""='DB_設定'!$C$4,"4/1喪失","その他喪失"))))</f>
        <v>対象外</v>
      </c>
    </row>
    <row r="779">
      <c r="A779" t="n" s="2909">
        <v>21</v>
      </c>
      <c r="AA779" t="n" s="2909">
        <v>21</v>
      </c>
      <c r="AB779" t="inlineStr" s="2909">
        <is>
          <t>20091002</t>
        </is>
      </c>
      <c r="AD779" t="n" s="2909">
        <v>12</v>
      </c>
      <c r="AE779" t="inlineStr" s="2909">
        <is>
          <t>20091201</t>
        </is>
      </c>
      <c r="AH779" t="n" s="2909">
        <v>0</v>
      </c>
      <c r="AJ779" t="n" s="2909">
        <v>10</v>
      </c>
      <c r="AP779" t="n" s="2909">
        <v>134400</v>
      </c>
      <c r="DB779" s="2909" t="str">
        <f>IF($A779="","",IF($A779&lt;&gt;21,"対象外",IF($AE779&amp;""="00000000","在職",IF($AE779&amp;""='DB_設定'!$C$4,"4/1喪失","その他喪失"))))</f>
        <v>その他喪失</v>
      </c>
    </row>
    <row r="780">
      <c r="A780" t="n" s="2909">
        <v>21</v>
      </c>
      <c r="AA780" t="n" s="2909">
        <v>21</v>
      </c>
      <c r="AB780" t="inlineStr" s="2909">
        <is>
          <t>19861201</t>
        </is>
      </c>
      <c r="AD780" t="n" s="2909">
        <v>12</v>
      </c>
      <c r="AE780" t="inlineStr" s="2909">
        <is>
          <t>20140719</t>
        </is>
      </c>
      <c r="AH780" t="n" s="2909">
        <v>0</v>
      </c>
      <c r="AJ780" t="n" s="2909">
        <v>10</v>
      </c>
      <c r="AP780" t="n" s="2909">
        <v>370600</v>
      </c>
      <c r="DB780" s="2909" t="str">
        <f>IF($A780="","",IF($A780&lt;&gt;21,"対象外",IF($AE780&amp;""="00000000","在職",IF($AE780&amp;""='DB_設定'!$C$4,"4/1喪失","その他喪失"))))</f>
        <v>その他喪失</v>
      </c>
    </row>
    <row r="781">
      <c r="A781" t="n" s="2909">
        <v>21</v>
      </c>
      <c r="AA781" t="n" s="2909">
        <v>21</v>
      </c>
      <c r="AB781" t="inlineStr" s="2909">
        <is>
          <t>19850401</t>
        </is>
      </c>
      <c r="AD781" t="n" s="2909">
        <v>12</v>
      </c>
      <c r="AE781" t="inlineStr" s="2909">
        <is>
          <t>20240401</t>
        </is>
      </c>
      <c r="AH781" t="n" s="2909">
        <v>1</v>
      </c>
      <c r="AJ781" t="n" s="2909">
        <v>10</v>
      </c>
      <c r="AP781" t="n" s="2909">
        <v>500000</v>
      </c>
      <c r="DB781" s="2909" t="str">
        <f>IF($A781="","",IF($A781&lt;&gt;21,"対象外",IF($AE781&amp;""="00000000","在職",IF($AE781&amp;""='DB_設定'!$C$4,"4/1喪失","その他喪失"))))</f>
        <v>その他喪失</v>
      </c>
    </row>
    <row r="782">
      <c r="A782" t="n" s="2909">
        <v>31</v>
      </c>
      <c r="AA782" t="n" s="2909">
        <v>21</v>
      </c>
      <c r="AB782" t="inlineStr" s="2909">
        <is>
          <t>20221001</t>
        </is>
      </c>
      <c r="AD782" t="n" s="2909">
        <v>12</v>
      </c>
      <c r="AE782" t="inlineStr" s="2909">
        <is>
          <t>20230201</t>
        </is>
      </c>
      <c r="AH782" t="n" s="2909">
        <v>20</v>
      </c>
      <c r="AJ782" t="n" s="2909">
        <v>41</v>
      </c>
      <c r="AP782" t="n" s="2909">
        <v>170000</v>
      </c>
      <c r="DB782" s="2909" t="str">
        <f>IF($A782="","",IF($A782&lt;&gt;21,"対象外",IF($AE782&amp;""="00000000","在職",IF($AE782&amp;""='DB_設定'!$C$4,"4/1喪失","その他喪失"))))</f>
        <v>対象外</v>
      </c>
    </row>
    <row r="783">
      <c r="A783" t="n" s="2909">
        <v>21</v>
      </c>
      <c r="AA783" t="n" s="2909">
        <v>21</v>
      </c>
      <c r="AB783" t="inlineStr" s="2909">
        <is>
          <t>20001001</t>
        </is>
      </c>
      <c r="AD783" t="n" s="2909">
        <v>12</v>
      </c>
      <c r="AE783" t="inlineStr" s="2909">
        <is>
          <t>20091201</t>
        </is>
      </c>
      <c r="AH783" t="n" s="2909">
        <v>0</v>
      </c>
      <c r="AJ783" t="n" s="2909">
        <v>10</v>
      </c>
      <c r="AP783" t="n" s="2909">
        <v>1</v>
      </c>
      <c r="DB783" s="2909" t="str">
        <f>IF($A783="","",IF($A783&lt;&gt;21,"対象外",IF($AE783&amp;""="00000000","在職",IF($AE783&amp;""='DB_設定'!$C$4,"4/1喪失","その他喪失"))))</f>
        <v>その他喪失</v>
      </c>
    </row>
    <row r="784">
      <c r="A784" t="n" s="2909">
        <v>21</v>
      </c>
      <c r="AA784" t="n" s="2909">
        <v>21</v>
      </c>
      <c r="AB784" t="inlineStr" s="2909">
        <is>
          <t>20050401</t>
        </is>
      </c>
      <c r="AD784" t="n" s="2909">
        <v>12</v>
      </c>
      <c r="AE784" t="inlineStr" s="2909">
        <is>
          <t>20091201</t>
        </is>
      </c>
      <c r="AH784" t="n" s="2909">
        <v>0</v>
      </c>
      <c r="AJ784" t="n" s="2909">
        <v>10</v>
      </c>
      <c r="AP784" t="n" s="2909">
        <v>1</v>
      </c>
      <c r="DB784" s="2909" t="str">
        <f>IF($A784="","",IF($A784&lt;&gt;21,"対象外",IF($AE784&amp;""="00000000","在職",IF($AE784&amp;""='DB_設定'!$C$4,"4/1喪失","その他喪失"))))</f>
        <v>その他喪失</v>
      </c>
    </row>
    <row r="785">
      <c r="A785" t="n" s="2909">
        <v>21</v>
      </c>
      <c r="AA785" t="n" s="2909">
        <v>24</v>
      </c>
      <c r="AB785" t="inlineStr" s="2909">
        <is>
          <t>20160601</t>
        </is>
      </c>
      <c r="AD785" t="n" s="2909">
        <v>12</v>
      </c>
      <c r="AE785" t="inlineStr" s="2909">
        <is>
          <t>20210730</t>
        </is>
      </c>
      <c r="AH785" t="n" s="2909">
        <v>20</v>
      </c>
      <c r="AJ785" t="n" s="2909">
        <v>10</v>
      </c>
      <c r="AP785" t="n" s="2909">
        <v>240000</v>
      </c>
      <c r="DB785" s="2909" t="str">
        <f>IF($A785="","",IF($A785&lt;&gt;21,"対象外",IF($AE785&amp;""="00000000","在職",IF($AE785&amp;""='DB_設定'!$C$4,"4/1喪失","その他喪失"))))</f>
        <v>その他喪失</v>
      </c>
    </row>
    <row r="786">
      <c r="A786" t="n" s="2909">
        <v>21</v>
      </c>
      <c r="AA786" t="n" s="2909">
        <v>21</v>
      </c>
      <c r="AB786" t="inlineStr" s="2909">
        <is>
          <t>20020821</t>
        </is>
      </c>
      <c r="AD786" t="n" s="2909">
        <v>12</v>
      </c>
      <c r="AE786" t="inlineStr" s="2909">
        <is>
          <t>20091201</t>
        </is>
      </c>
      <c r="AH786" t="n" s="2909">
        <v>0</v>
      </c>
      <c r="AJ786" t="n" s="2909">
        <v>10</v>
      </c>
      <c r="AP786" t="n" s="2909">
        <v>1</v>
      </c>
      <c r="DB786" s="2909" t="str">
        <f>IF($A786="","",IF($A786&lt;&gt;21,"対象外",IF($AE786&amp;""="00000000","在職",IF($AE786&amp;""='DB_設定'!$C$4,"4/1喪失","その他喪失"))))</f>
        <v>その他喪失</v>
      </c>
    </row>
    <row r="787">
      <c r="A787" t="n" s="2909">
        <v>21</v>
      </c>
      <c r="AA787" t="n" s="2909">
        <v>21</v>
      </c>
      <c r="AB787" t="inlineStr" s="2909">
        <is>
          <t>20030401</t>
        </is>
      </c>
      <c r="AD787" t="n" s="2909">
        <v>12</v>
      </c>
      <c r="AE787" t="inlineStr" s="2909">
        <is>
          <t>20200401</t>
        </is>
      </c>
      <c r="AH787" t="n" s="2909">
        <v>1</v>
      </c>
      <c r="AJ787" t="n" s="2909">
        <v>10</v>
      </c>
      <c r="AP787" t="n" s="2909">
        <v>440000</v>
      </c>
      <c r="DB787" s="2909" t="str">
        <f>IF($A787="","",IF($A787&lt;&gt;21,"対象外",IF($AE787&amp;""="00000000","在職",IF($AE787&amp;""='DB_設定'!$C$4,"4/1喪失","その他喪失"))))</f>
        <v>その他喪失</v>
      </c>
    </row>
    <row r="788">
      <c r="A788" t="n" s="2909">
        <v>21</v>
      </c>
      <c r="AA788" t="n" s="2909">
        <v>21</v>
      </c>
      <c r="AB788" t="inlineStr" s="2909">
        <is>
          <t>20090401</t>
        </is>
      </c>
      <c r="AD788" t="n" s="2909">
        <v>12</v>
      </c>
      <c r="AE788" t="inlineStr" s="2909">
        <is>
          <t>20091201</t>
        </is>
      </c>
      <c r="AH788" t="n" s="2909">
        <v>0</v>
      </c>
      <c r="AJ788" t="n" s="2909">
        <v>10</v>
      </c>
      <c r="AP788" t="n" s="2909">
        <v>1</v>
      </c>
      <c r="DB788" s="2909" t="str">
        <f>IF($A788="","",IF($A788&lt;&gt;21,"対象外",IF($AE788&amp;""="00000000","在職",IF($AE788&amp;""='DB_設定'!$C$4,"4/1喪失","その他喪失"))))</f>
        <v>その他喪失</v>
      </c>
    </row>
    <row r="789">
      <c r="A789" t="n" s="2909">
        <v>21</v>
      </c>
      <c r="AA789" t="n" s="2909">
        <v>21</v>
      </c>
      <c r="AB789" t="inlineStr" s="2909">
        <is>
          <t>19870401</t>
        </is>
      </c>
      <c r="AD789" t="n" s="2909">
        <v>12</v>
      </c>
      <c r="AE789" t="inlineStr" s="2909">
        <is>
          <t>20230401</t>
        </is>
      </c>
      <c r="AH789" t="n" s="2909">
        <v>1</v>
      </c>
      <c r="AJ789" t="n" s="2909">
        <v>10</v>
      </c>
      <c r="AP789" t="n" s="2909">
        <v>590000</v>
      </c>
      <c r="DB789" s="2909" t="str">
        <f>IF($A789="","",IF($A789&lt;&gt;21,"対象外",IF($AE789&amp;""="00000000","在職",IF($AE789&amp;""='DB_設定'!$C$4,"4/1喪失","その他喪失"))))</f>
        <v>その他喪失</v>
      </c>
    </row>
    <row r="790">
      <c r="A790" t="n" s="2909">
        <v>31</v>
      </c>
      <c r="AA790" t="n" s="2909">
        <v>21</v>
      </c>
      <c r="AB790" t="inlineStr" s="2909">
        <is>
          <t>20250401</t>
        </is>
      </c>
      <c r="AD790" t="n" s="2909">
        <v>12</v>
      </c>
      <c r="AE790" t="inlineStr" s="2909">
        <is>
          <t>20250416</t>
        </is>
      </c>
      <c r="AH790" t="n" s="2909">
        <v>1</v>
      </c>
      <c r="AJ790" t="n" s="2909">
        <v>41</v>
      </c>
      <c r="AP790" t="n" s="2909">
        <v>200000</v>
      </c>
      <c r="DB790" s="2909" t="str">
        <f>IF($A790="","",IF($A790&lt;&gt;21,"対象外",IF($AE790&amp;""="00000000","在職",IF($AE790&amp;""='DB_設定'!$C$4,"4/1喪失","その他喪失"))))</f>
        <v>対象外</v>
      </c>
    </row>
    <row r="791">
      <c r="A791" t="n" s="2909">
        <v>31</v>
      </c>
      <c r="AA791" t="n" s="2909">
        <v>24</v>
      </c>
      <c r="AB791" t="inlineStr" s="2909">
        <is>
          <t>20241201</t>
        </is>
      </c>
      <c r="AD791" t="n" s="2909">
        <v>12</v>
      </c>
      <c r="AE791" t="inlineStr" s="2909">
        <is>
          <t>20250401</t>
        </is>
      </c>
      <c r="AH791" t="n" s="2909">
        <v>1</v>
      </c>
      <c r="AJ791" t="n" s="2909">
        <v>41</v>
      </c>
      <c r="AP791" t="n" s="2909">
        <v>134000</v>
      </c>
      <c r="DB791" s="2909" t="str">
        <f>IF($A791="","",IF($A791&lt;&gt;21,"対象外",IF($AE791&amp;""="00000000","在職",IF($AE791&amp;""='DB_設定'!$C$4,"4/1喪失","その他喪失"))))</f>
        <v>対象外</v>
      </c>
    </row>
    <row r="792">
      <c r="A792" t="n" s="2909">
        <v>21</v>
      </c>
      <c r="AA792" t="n" s="2909">
        <v>21</v>
      </c>
      <c r="AB792" t="inlineStr" s="2909">
        <is>
          <t>19870516</t>
        </is>
      </c>
      <c r="AD792" t="n" s="2909">
        <v>12</v>
      </c>
      <c r="AE792" t="inlineStr" s="2909">
        <is>
          <t>20210401</t>
        </is>
      </c>
      <c r="AH792" t="n" s="2909">
        <v>20</v>
      </c>
      <c r="AJ792" t="n" s="2909">
        <v>10</v>
      </c>
      <c r="AP792" t="n" s="2909">
        <v>500000</v>
      </c>
      <c r="DB792" s="2909" t="str">
        <f>IF($A792="","",IF($A792&lt;&gt;21,"対象外",IF($AE792&amp;""="00000000","在職",IF($AE792&amp;""='DB_設定'!$C$4,"4/1喪失","その他喪失"))))</f>
        <v>その他喪失</v>
      </c>
    </row>
    <row r="793">
      <c r="A793" t="n" s="2909">
        <v>21</v>
      </c>
      <c r="AA793" t="n" s="2909">
        <v>21</v>
      </c>
      <c r="AB793" t="inlineStr" s="2909">
        <is>
          <t>20091002</t>
        </is>
      </c>
      <c r="AD793" t="n" s="2909">
        <v>12</v>
      </c>
      <c r="AE793" t="inlineStr" s="2909">
        <is>
          <t>20091201</t>
        </is>
      </c>
      <c r="AH793" t="n" s="2909">
        <v>0</v>
      </c>
      <c r="AJ793" t="n" s="2909">
        <v>10</v>
      </c>
      <c r="AP793" t="n" s="2909">
        <v>137760</v>
      </c>
      <c r="DB793" s="2909" t="str">
        <f>IF($A793="","",IF($A793&lt;&gt;21,"対象外",IF($AE793&amp;""="00000000","在職",IF($AE793&amp;""='DB_設定'!$C$4,"4/1喪失","その他喪失"))))</f>
        <v>その他喪失</v>
      </c>
    </row>
    <row r="794">
      <c r="A794" t="n" s="2909">
        <v>219</v>
      </c>
      <c r="AA794" t="n" s="2909">
        <v>0</v>
      </c>
      <c r="AB794" t="inlineStr" s="2909">
        <is>
          <t>00000000</t>
        </is>
      </c>
      <c r="AD794" t="n" s="2909">
        <v>0</v>
      </c>
      <c r="AE794" t="inlineStr" s="2909">
        <is>
          <t>00000000</t>
        </is>
      </c>
      <c r="AH794" t="n" s="2909">
        <v>0</v>
      </c>
      <c r="AJ794" t="n" s="2909">
        <v>50</v>
      </c>
      <c r="AP794" t="n" s="2909">
        <v>0</v>
      </c>
      <c r="DB794" s="2909" t="str">
        <f>IF($A794="","",IF($A794&lt;&gt;21,"対象外",IF($AE794&amp;""="00000000","在職",IF($AE794&amp;""='DB_設定'!$C$4,"4/1喪失","その他喪失"))))</f>
        <v>対象外</v>
      </c>
    </row>
    <row r="795">
      <c r="A795" t="n" s="2909">
        <v>219</v>
      </c>
      <c r="AA795" t="n" s="2909">
        <v>0</v>
      </c>
      <c r="AB795" t="inlineStr" s="2909">
        <is>
          <t>00000000</t>
        </is>
      </c>
      <c r="AD795" t="n" s="2909">
        <v>0</v>
      </c>
      <c r="AE795" t="inlineStr" s="2909">
        <is>
          <t>00000000</t>
        </is>
      </c>
      <c r="AH795" t="n" s="2909">
        <v>0</v>
      </c>
      <c r="AJ795" t="n" s="2909">
        <v>50</v>
      </c>
      <c r="AP795" t="n" s="2909">
        <v>0</v>
      </c>
      <c r="DB795" s="2909" t="str">
        <f>IF($A795="","",IF($A795&lt;&gt;21,"対象外",IF($AE795&amp;""="00000000","在職",IF($AE795&amp;""='DB_設定'!$C$4,"4/1喪失","その他喪失"))))</f>
        <v>対象外</v>
      </c>
    </row>
    <row r="796">
      <c r="A796" t="n" s="2909">
        <v>219</v>
      </c>
      <c r="AA796" t="n" s="2909">
        <v>0</v>
      </c>
      <c r="AB796" t="inlineStr" s="2909">
        <is>
          <t>00000000</t>
        </is>
      </c>
      <c r="AD796" t="n" s="2909">
        <v>0</v>
      </c>
      <c r="AE796" t="inlineStr" s="2909">
        <is>
          <t>00000000</t>
        </is>
      </c>
      <c r="AH796" t="n" s="2909">
        <v>0</v>
      </c>
      <c r="AJ796" t="n" s="2909">
        <v>50</v>
      </c>
      <c r="AP796" t="n" s="2909">
        <v>0</v>
      </c>
      <c r="DB796" s="2909" t="str">
        <f>IF($A796="","",IF($A796&lt;&gt;21,"対象外",IF($AE796&amp;""="00000000","在職",IF($AE796&amp;""='DB_設定'!$C$4,"4/1喪失","その他喪失"))))</f>
        <v>対象外</v>
      </c>
    </row>
    <row r="797">
      <c r="A797" t="n" s="2909">
        <v>219</v>
      </c>
      <c r="AA797" t="n" s="2909">
        <v>0</v>
      </c>
      <c r="AB797" t="inlineStr" s="2909">
        <is>
          <t>00000000</t>
        </is>
      </c>
      <c r="AD797" t="n" s="2909">
        <v>0</v>
      </c>
      <c r="AE797" t="inlineStr" s="2909">
        <is>
          <t>00000000</t>
        </is>
      </c>
      <c r="AH797" t="n" s="2909">
        <v>0</v>
      </c>
      <c r="AJ797" t="n" s="2909">
        <v>50</v>
      </c>
      <c r="AP797" t="n" s="2909">
        <v>0</v>
      </c>
      <c r="DB797" s="2909" t="str">
        <f>IF($A797="","",IF($A797&lt;&gt;21,"対象外",IF($AE797&amp;""="00000000","在職",IF($AE797&amp;""='DB_設定'!$C$4,"4/1喪失","その他喪失"))))</f>
        <v>対象外</v>
      </c>
    </row>
    <row r="798">
      <c r="A798" t="n" s="2909">
        <v>219</v>
      </c>
      <c r="AA798" t="n" s="2909">
        <v>0</v>
      </c>
      <c r="AB798" t="inlineStr" s="2909">
        <is>
          <t>00000000</t>
        </is>
      </c>
      <c r="AD798" t="n" s="2909">
        <v>0</v>
      </c>
      <c r="AE798" t="inlineStr" s="2909">
        <is>
          <t>00000000</t>
        </is>
      </c>
      <c r="AH798" t="n" s="2909">
        <v>0</v>
      </c>
      <c r="AJ798" t="n" s="2909">
        <v>50</v>
      </c>
      <c r="AP798" t="n" s="2909">
        <v>0</v>
      </c>
      <c r="DB798" s="2909" t="str">
        <f>IF($A798="","",IF($A798&lt;&gt;21,"対象外",IF($AE798&amp;""="00000000","在職",IF($AE798&amp;""='DB_設定'!$C$4,"4/1喪失","その他喪失"))))</f>
        <v>対象外</v>
      </c>
    </row>
    <row r="799">
      <c r="A799" t="n" s="2909">
        <v>219</v>
      </c>
      <c r="AA799" t="n" s="2909">
        <v>0</v>
      </c>
      <c r="AB799" t="inlineStr" s="2909">
        <is>
          <t>00000000</t>
        </is>
      </c>
      <c r="AD799" t="n" s="2909">
        <v>0</v>
      </c>
      <c r="AE799" t="inlineStr" s="2909">
        <is>
          <t>00000000</t>
        </is>
      </c>
      <c r="AH799" t="n" s="2909">
        <v>0</v>
      </c>
      <c r="AJ799" t="n" s="2909">
        <v>50</v>
      </c>
      <c r="AP799" t="n" s="2909">
        <v>0</v>
      </c>
      <c r="DB799" s="2909" t="str">
        <f>IF($A799="","",IF($A799&lt;&gt;21,"対象外",IF($AE799&amp;""="00000000","在職",IF($AE799&amp;""='DB_設定'!$C$4,"4/1喪失","その他喪失"))))</f>
        <v>対象外</v>
      </c>
    </row>
    <row r="800">
      <c r="A800" t="n" s="2909">
        <v>219</v>
      </c>
      <c r="AA800" t="n" s="2909">
        <v>0</v>
      </c>
      <c r="AB800" t="inlineStr" s="2909">
        <is>
          <t>00000000</t>
        </is>
      </c>
      <c r="AD800" t="n" s="2909">
        <v>0</v>
      </c>
      <c r="AE800" t="inlineStr" s="2909">
        <is>
          <t>00000000</t>
        </is>
      </c>
      <c r="AH800" t="n" s="2909">
        <v>0</v>
      </c>
      <c r="AJ800" t="n" s="2909">
        <v>50</v>
      </c>
      <c r="AP800" t="n" s="2909">
        <v>0</v>
      </c>
      <c r="DB800" s="2909" t="str">
        <f>IF($A800="","",IF($A800&lt;&gt;21,"対象外",IF($AE800&amp;""="00000000","在職",IF($AE800&amp;""='DB_設定'!$C$4,"4/1喪失","その他喪失"))))</f>
        <v>対象外</v>
      </c>
    </row>
    <row r="801">
      <c r="A801" t="n" s="2909">
        <v>219</v>
      </c>
      <c r="AA801" t="n" s="2909">
        <v>0</v>
      </c>
      <c r="AB801" t="inlineStr" s="2909">
        <is>
          <t>00000000</t>
        </is>
      </c>
      <c r="AD801" t="n" s="2909">
        <v>0</v>
      </c>
      <c r="AE801" t="inlineStr" s="2909">
        <is>
          <t>00000000</t>
        </is>
      </c>
      <c r="AH801" t="n" s="2909">
        <v>0</v>
      </c>
      <c r="AJ801" t="n" s="2909">
        <v>50</v>
      </c>
      <c r="AP801" t="n" s="2909">
        <v>0</v>
      </c>
      <c r="DB801" s="2909" t="str">
        <f>IF($A801="","",IF($A801&lt;&gt;21,"対象外",IF($AE801&amp;""="00000000","在職",IF($AE801&amp;""='DB_設定'!$C$4,"4/1喪失","その他喪失"))))</f>
        <v>対象外</v>
      </c>
    </row>
    <row r="802">
      <c r="A802" t="n" s="2909">
        <v>219</v>
      </c>
      <c r="AA802" t="n" s="2909">
        <v>0</v>
      </c>
      <c r="AB802" t="inlineStr" s="2909">
        <is>
          <t>00000000</t>
        </is>
      </c>
      <c r="AD802" t="n" s="2909">
        <v>0</v>
      </c>
      <c r="AE802" t="inlineStr" s="2909">
        <is>
          <t>00000000</t>
        </is>
      </c>
      <c r="AH802" t="n" s="2909">
        <v>0</v>
      </c>
      <c r="AJ802" t="n" s="2909">
        <v>50</v>
      </c>
      <c r="AP802" t="n" s="2909">
        <v>0</v>
      </c>
      <c r="DB802" s="2909" t="str">
        <f>IF($A802="","",IF($A802&lt;&gt;21,"対象外",IF($AE802&amp;""="00000000","在職",IF($AE802&amp;""='DB_設定'!$C$4,"4/1喪失","その他喪失"))))</f>
        <v>対象外</v>
      </c>
    </row>
    <row r="803">
      <c r="A803" t="n" s="2909">
        <v>219</v>
      </c>
      <c r="AA803" t="n" s="2909">
        <v>0</v>
      </c>
      <c r="AB803" t="inlineStr" s="2909">
        <is>
          <t>00000000</t>
        </is>
      </c>
      <c r="AD803" t="n" s="2909">
        <v>0</v>
      </c>
      <c r="AE803" t="inlineStr" s="2909">
        <is>
          <t>00000000</t>
        </is>
      </c>
      <c r="AH803" t="n" s="2909">
        <v>0</v>
      </c>
      <c r="AJ803" t="n" s="2909">
        <v>50</v>
      </c>
      <c r="AP803" t="n" s="2909">
        <v>0</v>
      </c>
      <c r="DB803" s="2909" t="str">
        <f>IF($A803="","",IF($A803&lt;&gt;21,"対象外",IF($AE803&amp;""="00000000","在職",IF($AE803&amp;""='DB_設定'!$C$4,"4/1喪失","その他喪失"))))</f>
        <v>対象外</v>
      </c>
    </row>
    <row r="804">
      <c r="A804" t="n" s="2909">
        <v>219</v>
      </c>
      <c r="AA804" t="n" s="2909">
        <v>0</v>
      </c>
      <c r="AB804" t="inlineStr" s="2909">
        <is>
          <t>00000000</t>
        </is>
      </c>
      <c r="AD804" t="n" s="2909">
        <v>0</v>
      </c>
      <c r="AE804" t="inlineStr" s="2909">
        <is>
          <t>00000000</t>
        </is>
      </c>
      <c r="AH804" t="n" s="2909">
        <v>0</v>
      </c>
      <c r="AJ804" t="n" s="2909">
        <v>50</v>
      </c>
      <c r="AP804" t="n" s="2909">
        <v>0</v>
      </c>
      <c r="DB804" s="2909" t="str">
        <f>IF($A804="","",IF($A804&lt;&gt;21,"対象外",IF($AE804&amp;""="00000000","在職",IF($AE804&amp;""='DB_設定'!$C$4,"4/1喪失","その他喪失"))))</f>
        <v>対象外</v>
      </c>
    </row>
    <row r="805">
      <c r="A805" t="n" s="2909">
        <v>219</v>
      </c>
      <c r="AA805" t="n" s="2909">
        <v>0</v>
      </c>
      <c r="AB805" t="inlineStr" s="2909">
        <is>
          <t>00000000</t>
        </is>
      </c>
      <c r="AD805" t="n" s="2909">
        <v>0</v>
      </c>
      <c r="AE805" t="inlineStr" s="2909">
        <is>
          <t>00000000</t>
        </is>
      </c>
      <c r="AH805" t="n" s="2909">
        <v>0</v>
      </c>
      <c r="AJ805" t="n" s="2909">
        <v>50</v>
      </c>
      <c r="AP805" t="n" s="2909">
        <v>0</v>
      </c>
      <c r="DB805" s="2909" t="str">
        <f>IF($A805="","",IF($A805&lt;&gt;21,"対象外",IF($AE805&amp;""="00000000","在職",IF($AE805&amp;""='DB_設定'!$C$4,"4/1喪失","その他喪失"))))</f>
        <v>対象外</v>
      </c>
    </row>
    <row r="806">
      <c r="A806" t="n" s="2909">
        <v>219</v>
      </c>
      <c r="AA806" t="n" s="2909">
        <v>0</v>
      </c>
      <c r="AB806" t="inlineStr" s="2909">
        <is>
          <t>00000000</t>
        </is>
      </c>
      <c r="AD806" t="n" s="2909">
        <v>0</v>
      </c>
      <c r="AE806" t="inlineStr" s="2909">
        <is>
          <t>00000000</t>
        </is>
      </c>
      <c r="AH806" t="n" s="2909">
        <v>0</v>
      </c>
      <c r="AJ806" t="n" s="2909">
        <v>50</v>
      </c>
      <c r="AP806" t="n" s="2909">
        <v>0</v>
      </c>
      <c r="DB806" s="2909" t="str">
        <f>IF($A806="","",IF($A806&lt;&gt;21,"対象外",IF($AE806&amp;""="00000000","在職",IF($AE806&amp;""='DB_設定'!$C$4,"4/1喪失","その他喪失"))))</f>
        <v>対象外</v>
      </c>
    </row>
    <row r="807">
      <c r="A807" t="n" s="2909">
        <v>219</v>
      </c>
      <c r="AA807" t="n" s="2909">
        <v>0</v>
      </c>
      <c r="AB807" t="inlineStr" s="2909">
        <is>
          <t>00000000</t>
        </is>
      </c>
      <c r="AD807" t="n" s="2909">
        <v>0</v>
      </c>
      <c r="AE807" t="inlineStr" s="2909">
        <is>
          <t>00000000</t>
        </is>
      </c>
      <c r="AH807" t="n" s="2909">
        <v>0</v>
      </c>
      <c r="AJ807" t="n" s="2909">
        <v>50</v>
      </c>
      <c r="AP807" t="n" s="2909">
        <v>0</v>
      </c>
      <c r="DB807" s="2909" t="str">
        <f>IF($A807="","",IF($A807&lt;&gt;21,"対象外",IF($AE807&amp;""="00000000","在職",IF($AE807&amp;""='DB_設定'!$C$4,"4/1喪失","その他喪失"))))</f>
        <v>対象外</v>
      </c>
    </row>
    <row r="808">
      <c r="A808" t="n" s="2909">
        <v>219</v>
      </c>
      <c r="AA808" t="n" s="2909">
        <v>0</v>
      </c>
      <c r="AB808" t="inlineStr" s="2909">
        <is>
          <t>00000000</t>
        </is>
      </c>
      <c r="AD808" t="n" s="2909">
        <v>0</v>
      </c>
      <c r="AE808" t="inlineStr" s="2909">
        <is>
          <t>00000000</t>
        </is>
      </c>
      <c r="AH808" t="n" s="2909">
        <v>0</v>
      </c>
      <c r="AJ808" t="n" s="2909">
        <v>50</v>
      </c>
      <c r="AP808" t="n" s="2909">
        <v>0</v>
      </c>
      <c r="DB808" s="2909" t="str">
        <f>IF($A808="","",IF($A808&lt;&gt;21,"対象外",IF($AE808&amp;""="00000000","在職",IF($AE808&amp;""='DB_設定'!$C$4,"4/1喪失","その他喪失"))))</f>
        <v>対象外</v>
      </c>
    </row>
    <row r="809">
      <c r="A809" t="n" s="2909">
        <v>219</v>
      </c>
      <c r="AA809" t="n" s="2909">
        <v>0</v>
      </c>
      <c r="AB809" t="inlineStr" s="2909">
        <is>
          <t>00000000</t>
        </is>
      </c>
      <c r="AD809" t="n" s="2909">
        <v>0</v>
      </c>
      <c r="AE809" t="inlineStr" s="2909">
        <is>
          <t>00000000</t>
        </is>
      </c>
      <c r="AH809" t="n" s="2909">
        <v>0</v>
      </c>
      <c r="AJ809" t="n" s="2909">
        <v>50</v>
      </c>
      <c r="AP809" t="n" s="2909">
        <v>0</v>
      </c>
      <c r="DB809" s="2909" t="str">
        <f>IF($A809="","",IF($A809&lt;&gt;21,"対象外",IF($AE809&amp;""="00000000","在職",IF($AE809&amp;""='DB_設定'!$C$4,"4/1喪失","その他喪失"))))</f>
        <v>対象外</v>
      </c>
    </row>
    <row r="810">
      <c r="A810" t="n" s="2909">
        <v>219</v>
      </c>
      <c r="AA810" t="n" s="2909">
        <v>0</v>
      </c>
      <c r="AB810" t="inlineStr" s="2909">
        <is>
          <t>00000000</t>
        </is>
      </c>
      <c r="AD810" t="n" s="2909">
        <v>0</v>
      </c>
      <c r="AE810" t="inlineStr" s="2909">
        <is>
          <t>00000000</t>
        </is>
      </c>
      <c r="AH810" t="n" s="2909">
        <v>0</v>
      </c>
      <c r="AJ810" t="n" s="2909">
        <v>50</v>
      </c>
      <c r="AP810" t="n" s="2909">
        <v>0</v>
      </c>
      <c r="DB810" s="2909" t="str">
        <f>IF($A810="","",IF($A810&lt;&gt;21,"対象外",IF($AE810&amp;""="00000000","在職",IF($AE810&amp;""='DB_設定'!$C$4,"4/1喪失","その他喪失"))))</f>
        <v>対象外</v>
      </c>
    </row>
    <row r="811">
      <c r="A811" t="n" s="2909">
        <v>219</v>
      </c>
      <c r="AA811" t="n" s="2909">
        <v>0</v>
      </c>
      <c r="AB811" t="inlineStr" s="2909">
        <is>
          <t>00000000</t>
        </is>
      </c>
      <c r="AD811" t="n" s="2909">
        <v>0</v>
      </c>
      <c r="AE811" t="inlineStr" s="2909">
        <is>
          <t>00000000</t>
        </is>
      </c>
      <c r="AH811" t="n" s="2909">
        <v>0</v>
      </c>
      <c r="AJ811" t="n" s="2909">
        <v>50</v>
      </c>
      <c r="AP811" t="n" s="2909">
        <v>0</v>
      </c>
      <c r="DB811" s="2909" t="str">
        <f>IF($A811="","",IF($A811&lt;&gt;21,"対象外",IF($AE811&amp;""="00000000","在職",IF($AE811&amp;""='DB_設定'!$C$4,"4/1喪失","その他喪失"))))</f>
        <v>対象外</v>
      </c>
    </row>
    <row r="812">
      <c r="A812" t="n" s="2909">
        <v>219</v>
      </c>
      <c r="AA812" t="n" s="2909">
        <v>0</v>
      </c>
      <c r="AB812" t="inlineStr" s="2909">
        <is>
          <t>00000000</t>
        </is>
      </c>
      <c r="AD812" t="n" s="2909">
        <v>0</v>
      </c>
      <c r="AE812" t="inlineStr" s="2909">
        <is>
          <t>00000000</t>
        </is>
      </c>
      <c r="AH812" t="n" s="2909">
        <v>0</v>
      </c>
      <c r="AJ812" t="n" s="2909">
        <v>50</v>
      </c>
      <c r="AP812" t="n" s="2909">
        <v>0</v>
      </c>
      <c r="DB812" s="2909" t="str">
        <f>IF($A812="","",IF($A812&lt;&gt;21,"対象外",IF($AE812&amp;""="00000000","在職",IF($AE812&amp;""='DB_設定'!$C$4,"4/1喪失","その他喪失"))))</f>
        <v>対象外</v>
      </c>
    </row>
    <row r="813">
      <c r="A813" t="n" s="2909">
        <v>219</v>
      </c>
      <c r="AA813" t="n" s="2909">
        <v>0</v>
      </c>
      <c r="AB813" t="inlineStr" s="2909">
        <is>
          <t>00000000</t>
        </is>
      </c>
      <c r="AD813" t="n" s="2909">
        <v>0</v>
      </c>
      <c r="AE813" t="inlineStr" s="2909">
        <is>
          <t>00000000</t>
        </is>
      </c>
      <c r="AH813" t="n" s="2909">
        <v>0</v>
      </c>
      <c r="AJ813" t="n" s="2909">
        <v>50</v>
      </c>
      <c r="AP813" t="n" s="2909">
        <v>0</v>
      </c>
      <c r="DB813" s="2909" t="str">
        <f>IF($A813="","",IF($A813&lt;&gt;21,"対象外",IF($AE813&amp;""="00000000","在職",IF($AE813&amp;""='DB_設定'!$C$4,"4/1喪失","その他喪失"))))</f>
        <v>対象外</v>
      </c>
    </row>
    <row r="814">
      <c r="A814" t="n" s="2909">
        <v>219</v>
      </c>
      <c r="AA814" t="n" s="2909">
        <v>0</v>
      </c>
      <c r="AB814" t="inlineStr" s="2909">
        <is>
          <t>00000000</t>
        </is>
      </c>
      <c r="AD814" t="n" s="2909">
        <v>0</v>
      </c>
      <c r="AE814" t="inlineStr" s="2909">
        <is>
          <t>00000000</t>
        </is>
      </c>
      <c r="AH814" t="n" s="2909">
        <v>0</v>
      </c>
      <c r="AJ814" t="n" s="2909">
        <v>50</v>
      </c>
      <c r="AP814" t="n" s="2909">
        <v>0</v>
      </c>
      <c r="DB814" s="2909" t="str">
        <f>IF($A814="","",IF($A814&lt;&gt;21,"対象外",IF($AE814&amp;""="00000000","在職",IF($AE814&amp;""='DB_設定'!$C$4,"4/1喪失","その他喪失"))))</f>
        <v>対象外</v>
      </c>
    </row>
    <row r="815">
      <c r="A815" t="n" s="2909">
        <v>219</v>
      </c>
      <c r="AA815" t="n" s="2909">
        <v>0</v>
      </c>
      <c r="AB815" t="inlineStr" s="2909">
        <is>
          <t>00000000</t>
        </is>
      </c>
      <c r="AD815" t="n" s="2909">
        <v>0</v>
      </c>
      <c r="AE815" t="inlineStr" s="2909">
        <is>
          <t>00000000</t>
        </is>
      </c>
      <c r="AH815" t="n" s="2909">
        <v>0</v>
      </c>
      <c r="AJ815" t="n" s="2909">
        <v>50</v>
      </c>
      <c r="AP815" t="n" s="2909">
        <v>0</v>
      </c>
      <c r="DB815" s="2909" t="str">
        <f>IF($A815="","",IF($A815&lt;&gt;21,"対象外",IF($AE815&amp;""="00000000","在職",IF($AE815&amp;""='DB_設定'!$C$4,"4/1喪失","その他喪失"))))</f>
        <v>対象外</v>
      </c>
    </row>
    <row r="816">
      <c r="A816" t="n" s="2909">
        <v>219</v>
      </c>
      <c r="AA816" t="n" s="2909">
        <v>0</v>
      </c>
      <c r="AB816" t="inlineStr" s="2909">
        <is>
          <t>00000000</t>
        </is>
      </c>
      <c r="AD816" t="n" s="2909">
        <v>0</v>
      </c>
      <c r="AE816" t="inlineStr" s="2909">
        <is>
          <t>00000000</t>
        </is>
      </c>
      <c r="AH816" t="n" s="2909">
        <v>0</v>
      </c>
      <c r="AJ816" t="n" s="2909">
        <v>50</v>
      </c>
      <c r="AP816" t="n" s="2909">
        <v>0</v>
      </c>
      <c r="DB816" s="2909" t="str">
        <f>IF($A816="","",IF($A816&lt;&gt;21,"対象外",IF($AE816&amp;""="00000000","在職",IF($AE816&amp;""='DB_設定'!$C$4,"4/1喪失","その他喪失"))))</f>
        <v>対象外</v>
      </c>
    </row>
    <row r="817">
      <c r="A817" t="n" s="2909">
        <v>219</v>
      </c>
      <c r="AA817" t="n" s="2909">
        <v>0</v>
      </c>
      <c r="AB817" t="inlineStr" s="2909">
        <is>
          <t>00000000</t>
        </is>
      </c>
      <c r="AD817" t="n" s="2909">
        <v>0</v>
      </c>
      <c r="AE817" t="inlineStr" s="2909">
        <is>
          <t>00000000</t>
        </is>
      </c>
      <c r="AH817" t="n" s="2909">
        <v>0</v>
      </c>
      <c r="AJ817" t="n" s="2909">
        <v>50</v>
      </c>
      <c r="AP817" t="n" s="2909">
        <v>0</v>
      </c>
      <c r="DB817" s="2909" t="str">
        <f>IF($A817="","",IF($A817&lt;&gt;21,"対象外",IF($AE817&amp;""="00000000","在職",IF($AE817&amp;""='DB_設定'!$C$4,"4/1喪失","その他喪失"))))</f>
        <v>対象外</v>
      </c>
    </row>
    <row r="818">
      <c r="A818" t="n" s="2909">
        <v>219</v>
      </c>
      <c r="AA818" t="n" s="2909">
        <v>0</v>
      </c>
      <c r="AB818" t="inlineStr" s="2909">
        <is>
          <t>00000000</t>
        </is>
      </c>
      <c r="AD818" t="n" s="2909">
        <v>0</v>
      </c>
      <c r="AE818" t="inlineStr" s="2909">
        <is>
          <t>00000000</t>
        </is>
      </c>
      <c r="AH818" t="n" s="2909">
        <v>0</v>
      </c>
      <c r="AJ818" t="n" s="2909">
        <v>50</v>
      </c>
      <c r="AP818" t="n" s="2909">
        <v>0</v>
      </c>
      <c r="DB818" s="2909" t="str">
        <f>IF($A818="","",IF($A818&lt;&gt;21,"対象外",IF($AE818&amp;""="00000000","在職",IF($AE818&amp;""='DB_設定'!$C$4,"4/1喪失","その他喪失"))))</f>
        <v>対象外</v>
      </c>
    </row>
    <row r="819">
      <c r="A819" t="n" s="2909">
        <v>219</v>
      </c>
      <c r="AA819" t="n" s="2909">
        <v>0</v>
      </c>
      <c r="AB819" t="inlineStr" s="2909">
        <is>
          <t>00000000</t>
        </is>
      </c>
      <c r="AD819" t="n" s="2909">
        <v>0</v>
      </c>
      <c r="AE819" t="inlineStr" s="2909">
        <is>
          <t>00000000</t>
        </is>
      </c>
      <c r="AH819" t="n" s="2909">
        <v>0</v>
      </c>
      <c r="AJ819" t="n" s="2909">
        <v>50</v>
      </c>
      <c r="AP819" t="n" s="2909">
        <v>0</v>
      </c>
      <c r="DB819" s="2909" t="str">
        <f>IF($A819="","",IF($A819&lt;&gt;21,"対象外",IF($AE819&amp;""="00000000","在職",IF($AE819&amp;""='DB_設定'!$C$4,"4/1喪失","その他喪失"))))</f>
        <v>対象外</v>
      </c>
    </row>
    <row r="820">
      <c r="A820" t="n" s="2909">
        <v>219</v>
      </c>
      <c r="AA820" t="n" s="2909">
        <v>0</v>
      </c>
      <c r="AB820" t="inlineStr" s="2909">
        <is>
          <t>00000000</t>
        </is>
      </c>
      <c r="AD820" t="n" s="2909">
        <v>0</v>
      </c>
      <c r="AE820" t="inlineStr" s="2909">
        <is>
          <t>00000000</t>
        </is>
      </c>
      <c r="AH820" t="n" s="2909">
        <v>0</v>
      </c>
      <c r="AJ820" t="n" s="2909">
        <v>50</v>
      </c>
      <c r="AP820" t="n" s="2909">
        <v>0</v>
      </c>
      <c r="DB820" s="2909" t="str">
        <f>IF($A820="","",IF($A820&lt;&gt;21,"対象外",IF($AE820&amp;""="00000000","在職",IF($AE820&amp;""='DB_設定'!$C$4,"4/1喪失","その他喪失"))))</f>
        <v>対象外</v>
      </c>
    </row>
    <row r="821">
      <c r="A821" t="n" s="2909">
        <v>219</v>
      </c>
      <c r="AA821" t="n" s="2909">
        <v>0</v>
      </c>
      <c r="AB821" t="inlineStr" s="2909">
        <is>
          <t>00000000</t>
        </is>
      </c>
      <c r="AD821" t="n" s="2909">
        <v>0</v>
      </c>
      <c r="AE821" t="inlineStr" s="2909">
        <is>
          <t>00000000</t>
        </is>
      </c>
      <c r="AH821" t="n" s="2909">
        <v>0</v>
      </c>
      <c r="AJ821" t="n" s="2909">
        <v>50</v>
      </c>
      <c r="AP821" t="n" s="2909">
        <v>0</v>
      </c>
      <c r="DB821" s="2909" t="str">
        <f>IF($A821="","",IF($A821&lt;&gt;21,"対象外",IF($AE821&amp;""="00000000","在職",IF($AE821&amp;""='DB_設定'!$C$4,"4/1喪失","その他喪失"))))</f>
        <v>対象外</v>
      </c>
    </row>
    <row r="822">
      <c r="A822" t="n" s="2909">
        <v>219</v>
      </c>
      <c r="AA822" t="n" s="2909">
        <v>0</v>
      </c>
      <c r="AB822" t="inlineStr" s="2909">
        <is>
          <t>00000000</t>
        </is>
      </c>
      <c r="AD822" t="n" s="2909">
        <v>0</v>
      </c>
      <c r="AE822" t="inlineStr" s="2909">
        <is>
          <t>00000000</t>
        </is>
      </c>
      <c r="AH822" t="n" s="2909">
        <v>0</v>
      </c>
      <c r="AJ822" t="n" s="2909">
        <v>50</v>
      </c>
      <c r="AP822" t="n" s="2909">
        <v>0</v>
      </c>
      <c r="DB822" s="2909" t="str">
        <f>IF($A822="","",IF($A822&lt;&gt;21,"対象外",IF($AE822&amp;""="00000000","在職",IF($AE822&amp;""='DB_設定'!$C$4,"4/1喪失","その他喪失"))))</f>
        <v>対象外</v>
      </c>
    </row>
    <row r="823">
      <c r="A823" t="n" s="2909">
        <v>219</v>
      </c>
      <c r="AA823" t="n" s="2909">
        <v>0</v>
      </c>
      <c r="AB823" t="inlineStr" s="2909">
        <is>
          <t>00000000</t>
        </is>
      </c>
      <c r="AD823" t="n" s="2909">
        <v>0</v>
      </c>
      <c r="AE823" t="inlineStr" s="2909">
        <is>
          <t>00000000</t>
        </is>
      </c>
      <c r="AH823" t="n" s="2909">
        <v>0</v>
      </c>
      <c r="AJ823" t="n" s="2909">
        <v>50</v>
      </c>
      <c r="AP823" t="n" s="2909">
        <v>0</v>
      </c>
      <c r="DB823" s="2909" t="str">
        <f>IF($A823="","",IF($A823&lt;&gt;21,"対象外",IF($AE823&amp;""="00000000","在職",IF($AE823&amp;""='DB_設定'!$C$4,"4/1喪失","その他喪失"))))</f>
        <v>対象外</v>
      </c>
    </row>
    <row r="824">
      <c r="A824" t="n" s="2909">
        <v>219</v>
      </c>
      <c r="AA824" t="n" s="2909">
        <v>0</v>
      </c>
      <c r="AB824" t="inlineStr" s="2909">
        <is>
          <t>00000000</t>
        </is>
      </c>
      <c r="AD824" t="n" s="2909">
        <v>0</v>
      </c>
      <c r="AE824" t="inlineStr" s="2909">
        <is>
          <t>00000000</t>
        </is>
      </c>
      <c r="AH824" t="n" s="2909">
        <v>0</v>
      </c>
      <c r="AJ824" t="n" s="2909">
        <v>50</v>
      </c>
      <c r="AP824" t="n" s="2909">
        <v>0</v>
      </c>
      <c r="DB824" s="2909" t="str">
        <f>IF($A824="","",IF($A824&lt;&gt;21,"対象外",IF($AE824&amp;""="00000000","在職",IF($AE824&amp;""='DB_設定'!$C$4,"4/1喪失","その他喪失"))))</f>
        <v>対象外</v>
      </c>
    </row>
    <row r="825">
      <c r="A825" t="n" s="2909">
        <v>219</v>
      </c>
      <c r="AA825" t="n" s="2909">
        <v>0</v>
      </c>
      <c r="AB825" t="inlineStr" s="2909">
        <is>
          <t>00000000</t>
        </is>
      </c>
      <c r="AD825" t="n" s="2909">
        <v>0</v>
      </c>
      <c r="AE825" t="inlineStr" s="2909">
        <is>
          <t>00000000</t>
        </is>
      </c>
      <c r="AH825" t="n" s="2909">
        <v>0</v>
      </c>
      <c r="AJ825" t="n" s="2909">
        <v>50</v>
      </c>
      <c r="AP825" t="n" s="2909">
        <v>0</v>
      </c>
      <c r="DB825" s="2909" t="str">
        <f>IF($A825="","",IF($A825&lt;&gt;21,"対象外",IF($AE825&amp;""="00000000","在職",IF($AE825&amp;""='DB_設定'!$C$4,"4/1喪失","その他喪失"))))</f>
        <v>対象外</v>
      </c>
    </row>
    <row r="826">
      <c r="A826" t="n" s="2909">
        <v>219</v>
      </c>
      <c r="AA826" t="n" s="2909">
        <v>0</v>
      </c>
      <c r="AB826" t="inlineStr" s="2909">
        <is>
          <t>00000000</t>
        </is>
      </c>
      <c r="AD826" t="n" s="2909">
        <v>0</v>
      </c>
      <c r="AE826" t="inlineStr" s="2909">
        <is>
          <t>00000000</t>
        </is>
      </c>
      <c r="AH826" t="n" s="2909">
        <v>0</v>
      </c>
      <c r="AJ826" t="n" s="2909">
        <v>50</v>
      </c>
      <c r="AP826" t="n" s="2909">
        <v>0</v>
      </c>
      <c r="DB826" s="2909" t="str">
        <f>IF($A826="","",IF($A826&lt;&gt;21,"対象外",IF($AE826&amp;""="00000000","在職",IF($AE826&amp;""='DB_設定'!$C$4,"4/1喪失","その他喪失"))))</f>
        <v>対象外</v>
      </c>
    </row>
    <row r="827">
      <c r="A827" t="n" s="2909">
        <v>219</v>
      </c>
      <c r="AA827" t="n" s="2909">
        <v>0</v>
      </c>
      <c r="AB827" t="inlineStr" s="2909">
        <is>
          <t>00000000</t>
        </is>
      </c>
      <c r="AD827" t="n" s="2909">
        <v>0</v>
      </c>
      <c r="AE827" t="inlineStr" s="2909">
        <is>
          <t>00000000</t>
        </is>
      </c>
      <c r="AH827" t="n" s="2909">
        <v>0</v>
      </c>
      <c r="AJ827" t="n" s="2909">
        <v>50</v>
      </c>
      <c r="AP827" t="n" s="2909">
        <v>0</v>
      </c>
      <c r="DB827" s="2909" t="str">
        <f>IF($A827="","",IF($A827&lt;&gt;21,"対象外",IF($AE827&amp;""="00000000","在職",IF($AE827&amp;""='DB_設定'!$C$4,"4/1喪失","その他喪失"))))</f>
        <v>対象外</v>
      </c>
    </row>
    <row r="828">
      <c r="A828" t="n" s="2909">
        <v>219</v>
      </c>
      <c r="AA828" t="n" s="2909">
        <v>0</v>
      </c>
      <c r="AB828" t="inlineStr" s="2909">
        <is>
          <t>00000000</t>
        </is>
      </c>
      <c r="AD828" t="n" s="2909">
        <v>0</v>
      </c>
      <c r="AE828" t="inlineStr" s="2909">
        <is>
          <t>00000000</t>
        </is>
      </c>
      <c r="AH828" t="n" s="2909">
        <v>0</v>
      </c>
      <c r="AJ828" t="n" s="2909">
        <v>50</v>
      </c>
      <c r="AP828" t="n" s="2909">
        <v>0</v>
      </c>
      <c r="DB828" s="2909" t="str">
        <f>IF($A828="","",IF($A828&lt;&gt;21,"対象外",IF($AE828&amp;""="00000000","在職",IF($AE828&amp;""='DB_設定'!$C$4,"4/1喪失","その他喪失"))))</f>
        <v>対象外</v>
      </c>
    </row>
    <row r="829">
      <c r="A829" t="n" s="2909">
        <v>219</v>
      </c>
      <c r="AA829" t="n" s="2909">
        <v>0</v>
      </c>
      <c r="AB829" t="inlineStr" s="2909">
        <is>
          <t>00000000</t>
        </is>
      </c>
      <c r="AD829" t="n" s="2909">
        <v>0</v>
      </c>
      <c r="AE829" t="inlineStr" s="2909">
        <is>
          <t>00000000</t>
        </is>
      </c>
      <c r="AH829" t="n" s="2909">
        <v>0</v>
      </c>
      <c r="AJ829" t="n" s="2909">
        <v>50</v>
      </c>
      <c r="AP829" t="n" s="2909">
        <v>0</v>
      </c>
      <c r="DB829" s="2909" t="str">
        <f>IF($A829="","",IF($A829&lt;&gt;21,"対象外",IF($AE829&amp;""="00000000","在職",IF($AE829&amp;""='DB_設定'!$C$4,"4/1喪失","その他喪失"))))</f>
        <v>対象外</v>
      </c>
    </row>
    <row r="830">
      <c r="A830" t="n" s="2909">
        <v>219</v>
      </c>
      <c r="AA830" t="n" s="2909">
        <v>0</v>
      </c>
      <c r="AB830" t="inlineStr" s="2909">
        <is>
          <t>00000000</t>
        </is>
      </c>
      <c r="AD830" t="n" s="2909">
        <v>0</v>
      </c>
      <c r="AE830" t="inlineStr" s="2909">
        <is>
          <t>00000000</t>
        </is>
      </c>
      <c r="AH830" t="n" s="2909">
        <v>0</v>
      </c>
      <c r="AJ830" t="n" s="2909">
        <v>50</v>
      </c>
      <c r="AP830" t="n" s="2909">
        <v>0</v>
      </c>
      <c r="DB830" s="2909" t="str">
        <f>IF($A830="","",IF($A830&lt;&gt;21,"対象外",IF($AE830&amp;""="00000000","在職",IF($AE830&amp;""='DB_設定'!$C$4,"4/1喪失","その他喪失"))))</f>
        <v>対象外</v>
      </c>
    </row>
    <row r="831">
      <c r="A831" t="n" s="2909">
        <v>219</v>
      </c>
      <c r="AA831" t="n" s="2909">
        <v>0</v>
      </c>
      <c r="AB831" t="inlineStr" s="2909">
        <is>
          <t>00000000</t>
        </is>
      </c>
      <c r="AD831" t="n" s="2909">
        <v>0</v>
      </c>
      <c r="AE831" t="inlineStr" s="2909">
        <is>
          <t>00000000</t>
        </is>
      </c>
      <c r="AH831" t="n" s="2909">
        <v>0</v>
      </c>
      <c r="AJ831" t="n" s="2909">
        <v>50</v>
      </c>
      <c r="AP831" t="n" s="2909">
        <v>0</v>
      </c>
      <c r="DB831" s="2909" t="str">
        <f>IF($A831="","",IF($A831&lt;&gt;21,"対象外",IF($AE831&amp;""="00000000","在職",IF($AE831&amp;""='DB_設定'!$C$4,"4/1喪失","その他喪失"))))</f>
        <v>対象外</v>
      </c>
    </row>
    <row r="832">
      <c r="A832" t="n" s="2909">
        <v>219</v>
      </c>
      <c r="AA832" t="n" s="2909">
        <v>0</v>
      </c>
      <c r="AB832" t="inlineStr" s="2909">
        <is>
          <t>00000000</t>
        </is>
      </c>
      <c r="AD832" t="n" s="2909">
        <v>0</v>
      </c>
      <c r="AE832" t="inlineStr" s="2909">
        <is>
          <t>00000000</t>
        </is>
      </c>
      <c r="AH832" t="n" s="2909">
        <v>0</v>
      </c>
      <c r="AJ832" t="n" s="2909">
        <v>50</v>
      </c>
      <c r="AP832" t="n" s="2909">
        <v>0</v>
      </c>
      <c r="DB832" s="2909" t="str">
        <f>IF($A832="","",IF($A832&lt;&gt;21,"対象外",IF($AE832&amp;""="00000000","在職",IF($AE832&amp;""='DB_設定'!$C$4,"4/1喪失","その他喪失"))))</f>
        <v>対象外</v>
      </c>
    </row>
    <row r="833">
      <c r="A833" t="n" s="2909">
        <v>219</v>
      </c>
      <c r="AA833" t="n" s="2909">
        <v>0</v>
      </c>
      <c r="AB833" t="inlineStr" s="2909">
        <is>
          <t>00000000</t>
        </is>
      </c>
      <c r="AD833" t="n" s="2909">
        <v>0</v>
      </c>
      <c r="AE833" t="inlineStr" s="2909">
        <is>
          <t>00000000</t>
        </is>
      </c>
      <c r="AH833" t="n" s="2909">
        <v>0</v>
      </c>
      <c r="AJ833" t="n" s="2909">
        <v>50</v>
      </c>
      <c r="AP833" t="n" s="2909">
        <v>0</v>
      </c>
      <c r="DB833" s="2909" t="str">
        <f>IF($A833="","",IF($A833&lt;&gt;21,"対象外",IF($AE833&amp;""="00000000","在職",IF($AE833&amp;""='DB_設定'!$C$4,"4/1喪失","その他喪失"))))</f>
        <v>対象外</v>
      </c>
    </row>
    <row r="834">
      <c r="A834" t="n" s="2909">
        <v>219</v>
      </c>
      <c r="AA834" t="n" s="2909">
        <v>0</v>
      </c>
      <c r="AB834" t="inlineStr" s="2909">
        <is>
          <t>00000000</t>
        </is>
      </c>
      <c r="AD834" t="n" s="2909">
        <v>0</v>
      </c>
      <c r="AE834" t="inlineStr" s="2909">
        <is>
          <t>00000000</t>
        </is>
      </c>
      <c r="AH834" t="n" s="2909">
        <v>0</v>
      </c>
      <c r="AJ834" t="n" s="2909">
        <v>50</v>
      </c>
      <c r="AP834" t="n" s="2909">
        <v>0</v>
      </c>
      <c r="DB834" s="2909" t="str">
        <f>IF($A834="","",IF($A834&lt;&gt;21,"対象外",IF($AE834&amp;""="00000000","在職",IF($AE834&amp;""='DB_設定'!$C$4,"4/1喪失","その他喪失"))))</f>
        <v>対象外</v>
      </c>
    </row>
    <row r="835">
      <c r="A835" t="n" s="2909">
        <v>219</v>
      </c>
      <c r="AA835" t="n" s="2909">
        <v>0</v>
      </c>
      <c r="AB835" t="inlineStr" s="2909">
        <is>
          <t>00000000</t>
        </is>
      </c>
      <c r="AD835" t="n" s="2909">
        <v>0</v>
      </c>
      <c r="AE835" t="inlineStr" s="2909">
        <is>
          <t>00000000</t>
        </is>
      </c>
      <c r="AH835" t="n" s="2909">
        <v>0</v>
      </c>
      <c r="AJ835" t="n" s="2909">
        <v>50</v>
      </c>
      <c r="AP835" t="n" s="2909">
        <v>0</v>
      </c>
      <c r="DB835" s="2909" t="str">
        <f>IF($A835="","",IF($A835&lt;&gt;21,"対象外",IF($AE835&amp;""="00000000","在職",IF($AE835&amp;""='DB_設定'!$C$4,"4/1喪失","その他喪失"))))</f>
        <v>対象外</v>
      </c>
    </row>
    <row r="836">
      <c r="A836" t="n" s="2909">
        <v>219</v>
      </c>
      <c r="AA836" t="n" s="2909">
        <v>0</v>
      </c>
      <c r="AB836" t="inlineStr" s="2909">
        <is>
          <t>00000000</t>
        </is>
      </c>
      <c r="AD836" t="n" s="2909">
        <v>0</v>
      </c>
      <c r="AE836" t="inlineStr" s="2909">
        <is>
          <t>00000000</t>
        </is>
      </c>
      <c r="AH836" t="n" s="2909">
        <v>0</v>
      </c>
      <c r="AJ836" t="n" s="2909">
        <v>50</v>
      </c>
      <c r="AP836" t="n" s="2909">
        <v>0</v>
      </c>
      <c r="DB836" s="2909" t="str">
        <f>IF($A836="","",IF($A836&lt;&gt;21,"対象外",IF($AE836&amp;""="00000000","在職",IF($AE836&amp;""='DB_設定'!$C$4,"4/1喪失","その他喪失"))))</f>
        <v>対象外</v>
      </c>
    </row>
    <row r="837">
      <c r="A837" t="n" s="2909">
        <v>219</v>
      </c>
      <c r="AA837" t="n" s="2909">
        <v>0</v>
      </c>
      <c r="AB837" t="inlineStr" s="2909">
        <is>
          <t>00000000</t>
        </is>
      </c>
      <c r="AD837" t="n" s="2909">
        <v>0</v>
      </c>
      <c r="AE837" t="inlineStr" s="2909">
        <is>
          <t>00000000</t>
        </is>
      </c>
      <c r="AH837" t="n" s="2909">
        <v>0</v>
      </c>
      <c r="AJ837" t="n" s="2909">
        <v>50</v>
      </c>
      <c r="AP837" t="n" s="2909">
        <v>0</v>
      </c>
      <c r="DB837" s="2909" t="str">
        <f>IF($A837="","",IF($A837&lt;&gt;21,"対象外",IF($AE837&amp;""="00000000","在職",IF($AE837&amp;""='DB_設定'!$C$4,"4/1喪失","その他喪失"))))</f>
        <v>対象外</v>
      </c>
    </row>
    <row r="838">
      <c r="A838" t="n" s="2909">
        <v>219</v>
      </c>
      <c r="AA838" t="n" s="2909">
        <v>0</v>
      </c>
      <c r="AB838" t="inlineStr" s="2909">
        <is>
          <t>00000000</t>
        </is>
      </c>
      <c r="AD838" t="n" s="2909">
        <v>0</v>
      </c>
      <c r="AE838" t="inlineStr" s="2909">
        <is>
          <t>00000000</t>
        </is>
      </c>
      <c r="AH838" t="n" s="2909">
        <v>0</v>
      </c>
      <c r="AJ838" t="n" s="2909">
        <v>50</v>
      </c>
      <c r="AP838" t="n" s="2909">
        <v>0</v>
      </c>
      <c r="DB838" s="2909" t="str">
        <f>IF($A838="","",IF($A838&lt;&gt;21,"対象外",IF($AE838&amp;""="00000000","在職",IF($AE838&amp;""='DB_設定'!$C$4,"4/1喪失","その他喪失"))))</f>
        <v>対象外</v>
      </c>
    </row>
    <row r="839">
      <c r="A839" t="n" s="2909">
        <v>219</v>
      </c>
      <c r="AA839" t="n" s="2909">
        <v>0</v>
      </c>
      <c r="AB839" t="inlineStr" s="2909">
        <is>
          <t>00000000</t>
        </is>
      </c>
      <c r="AD839" t="n" s="2909">
        <v>0</v>
      </c>
      <c r="AE839" t="inlineStr" s="2909">
        <is>
          <t>00000000</t>
        </is>
      </c>
      <c r="AH839" t="n" s="2909">
        <v>0</v>
      </c>
      <c r="AJ839" t="n" s="2909">
        <v>50</v>
      </c>
      <c r="AP839" t="n" s="2909">
        <v>0</v>
      </c>
      <c r="DB839" s="2909" t="str">
        <f>IF($A839="","",IF($A839&lt;&gt;21,"対象外",IF($AE839&amp;""="00000000","在職",IF($AE839&amp;""='DB_設定'!$C$4,"4/1喪失","その他喪失"))))</f>
        <v>対象外</v>
      </c>
    </row>
    <row r="840">
      <c r="A840" t="n" s="2909">
        <v>219</v>
      </c>
      <c r="AA840" t="n" s="2909">
        <v>0</v>
      </c>
      <c r="AB840" t="inlineStr" s="2909">
        <is>
          <t>00000000</t>
        </is>
      </c>
      <c r="AD840" t="n" s="2909">
        <v>0</v>
      </c>
      <c r="AE840" t="inlineStr" s="2909">
        <is>
          <t>00000000</t>
        </is>
      </c>
      <c r="AH840" t="n" s="2909">
        <v>0</v>
      </c>
      <c r="AJ840" t="n" s="2909">
        <v>50</v>
      </c>
      <c r="AP840" t="n" s="2909">
        <v>0</v>
      </c>
      <c r="DB840" s="2909" t="str">
        <f>IF($A840="","",IF($A840&lt;&gt;21,"対象外",IF($AE840&amp;""="00000000","在職",IF($AE840&amp;""='DB_設定'!$C$4,"4/1喪失","その他喪失"))))</f>
        <v>対象外</v>
      </c>
    </row>
    <row r="841">
      <c r="A841" t="n" s="2909">
        <v>219</v>
      </c>
      <c r="AA841" t="n" s="2909">
        <v>0</v>
      </c>
      <c r="AB841" t="inlineStr" s="2909">
        <is>
          <t>00000000</t>
        </is>
      </c>
      <c r="AD841" t="n" s="2909">
        <v>0</v>
      </c>
      <c r="AE841" t="inlineStr" s="2909">
        <is>
          <t>00000000</t>
        </is>
      </c>
      <c r="AH841" t="n" s="2909">
        <v>0</v>
      </c>
      <c r="AJ841" t="n" s="2909">
        <v>50</v>
      </c>
      <c r="AP841" t="n" s="2909">
        <v>0</v>
      </c>
      <c r="DB841" s="2909" t="str">
        <f>IF($A841="","",IF($A841&lt;&gt;21,"対象外",IF($AE841&amp;""="00000000","在職",IF($AE841&amp;""='DB_設定'!$C$4,"4/1喪失","その他喪失"))))</f>
        <v>対象外</v>
      </c>
    </row>
    <row r="842">
      <c r="A842" t="n" s="2909">
        <v>219</v>
      </c>
      <c r="AA842" t="n" s="2909">
        <v>0</v>
      </c>
      <c r="AB842" t="inlineStr" s="2909">
        <is>
          <t>00000000</t>
        </is>
      </c>
      <c r="AD842" t="n" s="2909">
        <v>0</v>
      </c>
      <c r="AE842" t="inlineStr" s="2909">
        <is>
          <t>00000000</t>
        </is>
      </c>
      <c r="AH842" t="n" s="2909">
        <v>0</v>
      </c>
      <c r="AJ842" t="n" s="2909">
        <v>50</v>
      </c>
      <c r="AP842" t="n" s="2909">
        <v>0</v>
      </c>
      <c r="DB842" s="2909" t="str">
        <f>IF($A842="","",IF($A842&lt;&gt;21,"対象外",IF($AE842&amp;""="00000000","在職",IF($AE842&amp;""='DB_設定'!$C$4,"4/1喪失","その他喪失"))))</f>
        <v>対象外</v>
      </c>
    </row>
    <row r="843">
      <c r="A843" t="n" s="2909">
        <v>219</v>
      </c>
      <c r="AA843" t="n" s="2909">
        <v>0</v>
      </c>
      <c r="AB843" t="inlineStr" s="2909">
        <is>
          <t>00000000</t>
        </is>
      </c>
      <c r="AD843" t="n" s="2909">
        <v>0</v>
      </c>
      <c r="AE843" t="inlineStr" s="2909">
        <is>
          <t>00000000</t>
        </is>
      </c>
      <c r="AH843" t="n" s="2909">
        <v>0</v>
      </c>
      <c r="AJ843" t="n" s="2909">
        <v>50</v>
      </c>
      <c r="AP843" t="n" s="2909">
        <v>0</v>
      </c>
      <c r="DB843" s="2909" t="str">
        <f>IF($A843="","",IF($A843&lt;&gt;21,"対象外",IF($AE843&amp;""="00000000","在職",IF($AE843&amp;""='DB_設定'!$C$4,"4/1喪失","その他喪失"))))</f>
        <v>対象外</v>
      </c>
    </row>
    <row r="844">
      <c r="A844" t="n" s="2909">
        <v>219</v>
      </c>
      <c r="AA844" t="n" s="2909">
        <v>0</v>
      </c>
      <c r="AB844" t="inlineStr" s="2909">
        <is>
          <t>00000000</t>
        </is>
      </c>
      <c r="AD844" t="n" s="2909">
        <v>0</v>
      </c>
      <c r="AE844" t="inlineStr" s="2909">
        <is>
          <t>00000000</t>
        </is>
      </c>
      <c r="AH844" t="n" s="2909">
        <v>0</v>
      </c>
      <c r="AJ844" t="n" s="2909">
        <v>50</v>
      </c>
      <c r="AP844" t="n" s="2909">
        <v>0</v>
      </c>
      <c r="DB844" s="2909" t="str">
        <f>IF($A844="","",IF($A844&lt;&gt;21,"対象外",IF($AE844&amp;""="00000000","在職",IF($AE844&amp;""='DB_設定'!$C$4,"4/1喪失","その他喪失"))))</f>
        <v>対象外</v>
      </c>
    </row>
    <row r="845">
      <c r="A845" t="n" s="2909">
        <v>219</v>
      </c>
      <c r="AA845" t="n" s="2909">
        <v>0</v>
      </c>
      <c r="AB845" t="inlineStr" s="2909">
        <is>
          <t>00000000</t>
        </is>
      </c>
      <c r="AD845" t="n" s="2909">
        <v>0</v>
      </c>
      <c r="AE845" t="inlineStr" s="2909">
        <is>
          <t>00000000</t>
        </is>
      </c>
      <c r="AH845" t="n" s="2909">
        <v>0</v>
      </c>
      <c r="AJ845" t="n" s="2909">
        <v>50</v>
      </c>
      <c r="AP845" t="n" s="2909">
        <v>0</v>
      </c>
      <c r="DB845" s="2909" t="str">
        <f>IF($A845="","",IF($A845&lt;&gt;21,"対象外",IF($AE845&amp;""="00000000","在職",IF($AE845&amp;""='DB_設定'!$C$4,"4/1喪失","その他喪失"))))</f>
        <v>対象外</v>
      </c>
    </row>
    <row r="846">
      <c r="A846" t="n" s="2909">
        <v>219</v>
      </c>
      <c r="AA846" t="n" s="2909">
        <v>0</v>
      </c>
      <c r="AB846" t="inlineStr" s="2909">
        <is>
          <t>00000000</t>
        </is>
      </c>
      <c r="AD846" t="n" s="2909">
        <v>0</v>
      </c>
      <c r="AE846" t="inlineStr" s="2909">
        <is>
          <t>00000000</t>
        </is>
      </c>
      <c r="AH846" t="n" s="2909">
        <v>0</v>
      </c>
      <c r="AJ846" t="n" s="2909">
        <v>50</v>
      </c>
      <c r="AP846" t="n" s="2909">
        <v>0</v>
      </c>
      <c r="DB846" s="2909" t="str">
        <f>IF($A846="","",IF($A846&lt;&gt;21,"対象外",IF($AE846&amp;""="00000000","在職",IF($AE846&amp;""='DB_設定'!$C$4,"4/1喪失","その他喪失"))))</f>
        <v>対象外</v>
      </c>
    </row>
    <row r="847">
      <c r="DB847" s="2909">
        <f>IF($A847="","",IF($A847&lt;&gt;21,"対象外",IF($AE847&amp;""="00000000","在職",IF($AE847&amp;""='DB_設定'!$C$4,"4/1喪失","その他喪失"))))</f>
      </c>
    </row>
    <row r="848">
      <c r="DB848" s="2909">
        <f>IF($A848="","",IF($A848&lt;&gt;21,"対象外",IF($AE848&amp;""="00000000","在職",IF($AE848&amp;""='DB_設定'!$C$4,"4/1喪失","その他喪失"))))</f>
      </c>
    </row>
    <row r="849">
      <c r="DB849" s="2909">
        <f>IF($A849="","",IF($A849&lt;&gt;21,"対象外",IF($AE849&amp;""="00000000","在職",IF($AE849&amp;""='DB_設定'!$C$4,"4/1喪失","その他喪失"))))</f>
      </c>
    </row>
    <row r="850">
      <c r="DB850" s="2909">
        <f>IF($A850="","",IF($A850&lt;&gt;21,"対象外",IF($AE850&amp;""="00000000","在職",IF($AE850&amp;""='DB_設定'!$C$4,"4/1喪失","その他喪失"))))</f>
      </c>
    </row>
    <row r="851">
      <c r="DB851" s="2909">
        <f>IF($A851="","",IF($A851&lt;&gt;21,"対象外",IF($AE851&amp;""="00000000","在職",IF($AE851&amp;""='DB_設定'!$C$4,"4/1喪失","その他喪失"))))</f>
      </c>
    </row>
    <row r="852">
      <c r="DB852" s="2909">
        <f>IF($A852="","",IF($A852&lt;&gt;21,"対象外",IF($AE852&amp;""="00000000","在職",IF($AE852&amp;""='DB_設定'!$C$4,"4/1喪失","その他喪失"))))</f>
      </c>
    </row>
    <row r="853">
      <c r="DB853" s="2909">
        <f>IF($A853="","",IF($A853&lt;&gt;21,"対象外",IF($AE853&amp;""="00000000","在職",IF($AE853&amp;""='DB_設定'!$C$4,"4/1喪失","その他喪失"))))</f>
      </c>
    </row>
    <row r="854">
      <c r="DB854" s="2909">
        <f>IF($A854="","",IF($A854&lt;&gt;21,"対象外",IF($AE854&amp;""="00000000","在職",IF($AE854&amp;""='DB_設定'!$C$4,"4/1喪失","その他喪失"))))</f>
      </c>
    </row>
    <row r="855">
      <c r="DB855" s="2909">
        <f>IF($A855="","",IF($A855&lt;&gt;21,"対象外",IF($AE855&amp;""="00000000","在職",IF($AE855&amp;""='DB_設定'!$C$4,"4/1喪失","その他喪失"))))</f>
      </c>
    </row>
    <row r="856">
      <c r="DB856" s="2909">
        <f>IF($A856="","",IF($A856&lt;&gt;21,"対象外",IF($AE856&amp;""="00000000","在職",IF($AE856&amp;""='DB_設定'!$C$4,"4/1喪失","その他喪失"))))</f>
      </c>
    </row>
    <row r="857">
      <c r="DB857" s="2909">
        <f>IF($A857="","",IF($A857&lt;&gt;21,"対象外",IF($AE857&amp;""="00000000","在職",IF($AE857&amp;""='DB_設定'!$C$4,"4/1喪失","その他喪失"))))</f>
      </c>
    </row>
    <row r="858">
      <c r="DB858" s="2909">
        <f>IF($A858="","",IF($A858&lt;&gt;21,"対象外",IF($AE858&amp;""="00000000","在職",IF($AE858&amp;""='DB_設定'!$C$4,"4/1喪失","その他喪失"))))</f>
      </c>
    </row>
    <row r="859">
      <c r="DB859" s="2909">
        <f>IF($A859="","",IF($A859&lt;&gt;21,"対象外",IF($AE859&amp;""="00000000","在職",IF($AE859&amp;""='DB_設定'!$C$4,"4/1喪失","その他喪失"))))</f>
      </c>
    </row>
    <row r="860">
      <c r="DB860" s="2909">
        <f>IF($A860="","",IF($A860&lt;&gt;21,"対象外",IF($AE860&amp;""="00000000","在職",IF($AE860&amp;""='DB_設定'!$C$4,"4/1喪失","その他喪失"))))</f>
      </c>
    </row>
    <row r="861">
      <c r="DB861" s="2909">
        <f>IF($A861="","",IF($A861&lt;&gt;21,"対象外",IF($AE861&amp;""="00000000","在職",IF($AE861&amp;""='DB_設定'!$C$4,"4/1喪失","その他喪失"))))</f>
      </c>
    </row>
    <row r="862">
      <c r="DB862" s="2909">
        <f>IF($A862="","",IF($A862&lt;&gt;21,"対象外",IF($AE862&amp;""="00000000","在職",IF($AE862&amp;""='DB_設定'!$C$4,"4/1喪失","その他喪失"))))</f>
      </c>
    </row>
    <row r="863">
      <c r="DB863" s="2909">
        <f>IF($A863="","",IF($A863&lt;&gt;21,"対象外",IF($AE863&amp;""="00000000","在職",IF($AE863&amp;""='DB_設定'!$C$4,"4/1喪失","その他喪失"))))</f>
      </c>
    </row>
    <row r="864">
      <c r="DB864" s="2909">
        <f>IF($A864="","",IF($A864&lt;&gt;21,"対象外",IF($AE864&amp;""="00000000","在職",IF($AE864&amp;""='DB_設定'!$C$4,"4/1喪失","その他喪失"))))</f>
      </c>
    </row>
    <row r="865">
      <c r="DB865" s="2909">
        <f>IF($A865="","",IF($A865&lt;&gt;21,"対象外",IF($AE865&amp;""="00000000","在職",IF($AE865&amp;""='DB_設定'!$C$4,"4/1喪失","その他喪失"))))</f>
      </c>
    </row>
    <row r="866">
      <c r="DB866" s="2909">
        <f>IF($A866="","",IF($A866&lt;&gt;21,"対象外",IF($AE866&amp;""="00000000","在職",IF($AE866&amp;""='DB_設定'!$C$4,"4/1喪失","その他喪失"))))</f>
      </c>
    </row>
    <row r="867">
      <c r="DB867" s="2909">
        <f>IF($A867="","",IF($A867&lt;&gt;21,"対象外",IF($AE867&amp;""="00000000","在職",IF($AE867&amp;""='DB_設定'!$C$4,"4/1喪失","その他喪失"))))</f>
      </c>
    </row>
    <row r="868">
      <c r="DB868" s="2909">
        <f>IF($A868="","",IF($A868&lt;&gt;21,"対象外",IF($AE868&amp;""="00000000","在職",IF($AE868&amp;""='DB_設定'!$C$4,"4/1喪失","その他喪失"))))</f>
      </c>
    </row>
    <row r="869">
      <c r="DB869" s="2909">
        <f>IF($A869="","",IF($A869&lt;&gt;21,"対象外",IF($AE869&amp;""="00000000","在職",IF($AE869&amp;""='DB_設定'!$C$4,"4/1喪失","その他喪失"))))</f>
      </c>
    </row>
    <row r="870">
      <c r="DB870" s="2909">
        <f>IF($A870="","",IF($A870&lt;&gt;21,"対象外",IF($AE870&amp;""="00000000","在職",IF($AE870&amp;""='DB_設定'!$C$4,"4/1喪失","その他喪失"))))</f>
      </c>
    </row>
    <row r="871">
      <c r="DB871" s="2909">
        <f>IF($A871="","",IF($A871&lt;&gt;21,"対象外",IF($AE871&amp;""="00000000","在職",IF($AE871&amp;""='DB_設定'!$C$4,"4/1喪失","その他喪失"))))</f>
      </c>
    </row>
    <row r="872">
      <c r="DB872" s="2909">
        <f>IF($A872="","",IF($A872&lt;&gt;21,"対象外",IF($AE872&amp;""="00000000","在職",IF($AE872&amp;""='DB_設定'!$C$4,"4/1喪失","その他喪失"))))</f>
      </c>
    </row>
    <row r="873">
      <c r="DB873" s="2909">
        <f>IF($A873="","",IF($A873&lt;&gt;21,"対象外",IF($AE873&amp;""="00000000","在職",IF($AE873&amp;""='DB_設定'!$C$4,"4/1喪失","その他喪失"))))</f>
      </c>
    </row>
    <row r="874">
      <c r="DB874" s="2909">
        <f>IF($A874="","",IF($A874&lt;&gt;21,"対象外",IF($AE874&amp;""="00000000","在職",IF($AE874&amp;""='DB_設定'!$C$4,"4/1喪失","その他喪失"))))</f>
      </c>
    </row>
    <row r="875">
      <c r="DB875" s="2909">
        <f>IF($A875="","",IF($A875&lt;&gt;21,"対象外",IF($AE875&amp;""="00000000","在職",IF($AE875&amp;""='DB_設定'!$C$4,"4/1喪失","その他喪失"))))</f>
      </c>
    </row>
    <row r="876">
      <c r="DB876" s="2909">
        <f>IF($A876="","",IF($A876&lt;&gt;21,"対象外",IF($AE876&amp;""="00000000","在職",IF($AE876&amp;""='DB_設定'!$C$4,"4/1喪失","その他喪失"))))</f>
      </c>
    </row>
    <row r="877">
      <c r="DB877" s="2909">
        <f>IF($A877="","",IF($A877&lt;&gt;21,"対象外",IF($AE877&amp;""="00000000","在職",IF($AE877&amp;""='DB_設定'!$C$4,"4/1喪失","その他喪失"))))</f>
      </c>
    </row>
    <row r="878">
      <c r="DB878" s="2909">
        <f>IF($A878="","",IF($A878&lt;&gt;21,"対象外",IF($AE878&amp;""="00000000","在職",IF($AE878&amp;""='DB_設定'!$C$4,"4/1喪失","その他喪失"))))</f>
      </c>
    </row>
    <row r="879">
      <c r="DB879" s="2909">
        <f>IF($A879="","",IF($A879&lt;&gt;21,"対象外",IF($AE879&amp;""="00000000","在職",IF($AE879&amp;""='DB_設定'!$C$4,"4/1喪失","その他喪失"))))</f>
      </c>
    </row>
    <row r="880">
      <c r="DB880" s="2909">
        <f>IF($A880="","",IF($A880&lt;&gt;21,"対象外",IF($AE880&amp;""="00000000","在職",IF($AE880&amp;""='DB_設定'!$C$4,"4/1喪失","その他喪失"))))</f>
      </c>
    </row>
    <row r="881">
      <c r="DB881" s="2909">
        <f>IF($A881="","",IF($A881&lt;&gt;21,"対象外",IF($AE881&amp;""="00000000","在職",IF($AE881&amp;""='DB_設定'!$C$4,"4/1喪失","その他喪失"))))</f>
      </c>
    </row>
    <row r="882">
      <c r="DB882" s="2909">
        <f>IF($A882="","",IF($A882&lt;&gt;21,"対象外",IF($AE882&amp;""="00000000","在職",IF($AE882&amp;""='DB_設定'!$C$4,"4/1喪失","その他喪失"))))</f>
      </c>
    </row>
    <row r="883">
      <c r="DB883" s="2909">
        <f>IF($A883="","",IF($A883&lt;&gt;21,"対象外",IF($AE883&amp;""="00000000","在職",IF($AE883&amp;""='DB_設定'!$C$4,"4/1喪失","その他喪失"))))</f>
      </c>
    </row>
    <row r="884">
      <c r="DB884" s="2909">
        <f>IF($A884="","",IF($A884&lt;&gt;21,"対象外",IF($AE884&amp;""="00000000","在職",IF($AE884&amp;""='DB_設定'!$C$4,"4/1喪失","その他喪失"))))</f>
      </c>
    </row>
    <row r="885">
      <c r="DB885" s="2909">
        <f>IF($A885="","",IF($A885&lt;&gt;21,"対象外",IF($AE885&amp;""="00000000","在職",IF($AE885&amp;""='DB_設定'!$C$4,"4/1喪失","その他喪失"))))</f>
      </c>
    </row>
    <row r="886">
      <c r="DB886" s="2909">
        <f>IF($A886="","",IF($A886&lt;&gt;21,"対象外",IF($AE886&amp;""="00000000","在職",IF($AE886&amp;""='DB_設定'!$C$4,"4/1喪失","その他喪失"))))</f>
      </c>
    </row>
    <row r="887">
      <c r="DB887" s="2909">
        <f>IF($A887="","",IF($A887&lt;&gt;21,"対象外",IF($AE887&amp;""="00000000","在職",IF($AE887&amp;""='DB_設定'!$C$4,"4/1喪失","その他喪失"))))</f>
      </c>
    </row>
    <row r="888">
      <c r="DB888" s="2909">
        <f>IF($A888="","",IF($A888&lt;&gt;21,"対象外",IF($AE888&amp;""="00000000","在職",IF($AE888&amp;""='DB_設定'!$C$4,"4/1喪失","その他喪失"))))</f>
      </c>
    </row>
    <row r="889">
      <c r="DB889" s="2909">
        <f>IF($A889="","",IF($A889&lt;&gt;21,"対象外",IF($AE889&amp;""="00000000","在職",IF($AE889&amp;""='DB_設定'!$C$4,"4/1喪失","その他喪失"))))</f>
      </c>
    </row>
    <row r="890">
      <c r="DB890" s="2909">
        <f>IF($A890="","",IF($A890&lt;&gt;21,"対象外",IF($AE890&amp;""="00000000","在職",IF($AE890&amp;""='DB_設定'!$C$4,"4/1喪失","その他喪失"))))</f>
      </c>
    </row>
    <row r="891">
      <c r="DB891" s="2909">
        <f>IF($A891="","",IF($A891&lt;&gt;21,"対象外",IF($AE891&amp;""="00000000","在職",IF($AE891&amp;""='DB_設定'!$C$4,"4/1喪失","その他喪失"))))</f>
      </c>
    </row>
    <row r="892">
      <c r="DB892" s="2909">
        <f>IF($A892="","",IF($A892&lt;&gt;21,"対象外",IF($AE892&amp;""="00000000","在職",IF($AE892&amp;""='DB_設定'!$C$4,"4/1喪失","その他喪失"))))</f>
      </c>
    </row>
    <row r="893">
      <c r="DB893" s="2909">
        <f>IF($A893="","",IF($A893&lt;&gt;21,"対象外",IF($AE893&amp;""="00000000","在職",IF($AE893&amp;""='DB_設定'!$C$4,"4/1喪失","その他喪失"))))</f>
      </c>
    </row>
    <row r="894">
      <c r="DB894" s="2909">
        <f>IF($A894="","",IF($A894&lt;&gt;21,"対象外",IF($AE894&amp;""="00000000","在職",IF($AE894&amp;""='DB_設定'!$C$4,"4/1喪失","その他喪失"))))</f>
      </c>
    </row>
    <row r="895">
      <c r="DB895" s="2909">
        <f>IF($A895="","",IF($A895&lt;&gt;21,"対象外",IF($AE895&amp;""="00000000","在職",IF($AE895&amp;""='DB_設定'!$C$4,"4/1喪失","その他喪失"))))</f>
      </c>
    </row>
    <row r="896">
      <c r="DB896" s="2909">
        <f>IF($A896="","",IF($A896&lt;&gt;21,"対象外",IF($AE896&amp;""="00000000","在職",IF($AE896&amp;""='DB_設定'!$C$4,"4/1喪失","その他喪失"))))</f>
      </c>
    </row>
    <row r="897">
      <c r="DB897" s="2909">
        <f>IF($A897="","",IF($A897&lt;&gt;21,"対象外",IF($AE897&amp;""="00000000","在職",IF($AE897&amp;""='DB_設定'!$C$4,"4/1喪失","その他喪失"))))</f>
      </c>
    </row>
    <row r="898">
      <c r="DB898" s="2909">
        <f>IF($A898="","",IF($A898&lt;&gt;21,"対象外",IF($AE898&amp;""="00000000","在職",IF($AE898&amp;""='DB_設定'!$C$4,"4/1喪失","その他喪失"))))</f>
      </c>
    </row>
    <row r="899">
      <c r="DB899" s="2909">
        <f>IF($A899="","",IF($A899&lt;&gt;21,"対象外",IF($AE899&amp;""="00000000","在職",IF($AE899&amp;""='DB_設定'!$C$4,"4/1喪失","その他喪失"))))</f>
      </c>
    </row>
    <row r="900">
      <c r="DB900" s="2909">
        <f>IF($A900="","",IF($A900&lt;&gt;21,"対象外",IF($AE900&amp;""="00000000","在職",IF($AE900&amp;""='DB_設定'!$C$4,"4/1喪失","その他喪失"))))</f>
      </c>
    </row>
    <row r="901">
      <c r="DB901" s="2909">
        <f>IF($A901="","",IF($A901&lt;&gt;21,"対象外",IF($AE901&amp;""="00000000","在職",IF($AE901&amp;""='DB_設定'!$C$4,"4/1喪失","その他喪失"))))</f>
      </c>
    </row>
    <row r="902">
      <c r="DB902" s="2909">
        <f>IF($A902="","",IF($A902&lt;&gt;21,"対象外",IF($AE902&amp;""="00000000","在職",IF($AE902&amp;""='DB_設定'!$C$4,"4/1喪失","その他喪失"))))</f>
      </c>
    </row>
    <row r="903">
      <c r="DB903" s="2909">
        <f>IF($A903="","",IF($A903&lt;&gt;21,"対象外",IF($AE903&amp;""="00000000","在職",IF($AE903&amp;""='DB_設定'!$C$4,"4/1喪失","その他喪失"))))</f>
      </c>
    </row>
    <row r="904">
      <c r="DB904" s="2909">
        <f>IF($A904="","",IF($A904&lt;&gt;21,"対象外",IF($AE904&amp;""="00000000","在職",IF($AE904&amp;""='DB_設定'!$C$4,"4/1喪失","その他喪失"))))</f>
      </c>
    </row>
    <row r="905">
      <c r="DB905" s="2909">
        <f>IF($A905="","",IF($A905&lt;&gt;21,"対象外",IF($AE905&amp;""="00000000","在職",IF($AE905&amp;""='DB_設定'!$C$4,"4/1喪失","その他喪失"))))</f>
      </c>
    </row>
    <row r="906">
      <c r="DB906" s="2909">
        <f>IF($A906="","",IF($A906&lt;&gt;21,"対象外",IF($AE906&amp;""="00000000","在職",IF($AE906&amp;""='DB_設定'!$C$4,"4/1喪失","その他喪失"))))</f>
      </c>
    </row>
    <row r="907">
      <c r="DB907" s="2909">
        <f>IF($A907="","",IF($A907&lt;&gt;21,"対象外",IF($AE907&amp;""="00000000","在職",IF($AE907&amp;""='DB_設定'!$C$4,"4/1喪失","その他喪失"))))</f>
      </c>
    </row>
    <row r="908">
      <c r="DB908" s="2909">
        <f>IF($A908="","",IF($A908&lt;&gt;21,"対象外",IF($AE908&amp;""="00000000","在職",IF($AE908&amp;""='DB_設定'!$C$4,"4/1喪失","その他喪失"))))</f>
      </c>
    </row>
    <row r="909">
      <c r="DB909" s="2909">
        <f>IF($A909="","",IF($A909&lt;&gt;21,"対象外",IF($AE909&amp;""="00000000","在職",IF($AE909&amp;""='DB_設定'!$C$4,"4/1喪失","その他喪失"))))</f>
      </c>
    </row>
    <row r="910">
      <c r="DB910" s="2909">
        <f>IF($A910="","",IF($A910&lt;&gt;21,"対象外",IF($AE910&amp;""="00000000","在職",IF($AE910&amp;""='DB_設定'!$C$4,"4/1喪失","その他喪失"))))</f>
      </c>
    </row>
    <row r="911">
      <c r="DB911" s="2909">
        <f>IF($A911="","",IF($A911&lt;&gt;21,"対象外",IF($AE911&amp;""="00000000","在職",IF($AE911&amp;""='DB_設定'!$C$4,"4/1喪失","その他喪失"))))</f>
      </c>
    </row>
    <row r="912">
      <c r="DB912" s="2909">
        <f>IF($A912="","",IF($A912&lt;&gt;21,"対象外",IF($AE912&amp;""="00000000","在職",IF($AE912&amp;""='DB_設定'!$C$4,"4/1喪失","その他喪失"))))</f>
      </c>
    </row>
    <row r="913">
      <c r="DB913" s="2909">
        <f>IF($A913="","",IF($A913&lt;&gt;21,"対象外",IF($AE913&amp;""="00000000","在職",IF($AE913&amp;""='DB_設定'!$C$4,"4/1喪失","その他喪失"))))</f>
      </c>
    </row>
    <row r="914">
      <c r="DB914" s="2909">
        <f>IF($A914="","",IF($A914&lt;&gt;21,"対象外",IF($AE914&amp;""="00000000","在職",IF($AE914&amp;""='DB_設定'!$C$4,"4/1喪失","その他喪失"))))</f>
      </c>
    </row>
    <row r="915">
      <c r="DB915" s="2909">
        <f>IF($A915="","",IF($A915&lt;&gt;21,"対象外",IF($AE915&amp;""="00000000","在職",IF($AE915&amp;""='DB_設定'!$C$4,"4/1喪失","その他喪失"))))</f>
      </c>
    </row>
    <row r="916">
      <c r="DB916" s="2909">
        <f>IF($A916="","",IF($A916&lt;&gt;21,"対象外",IF($AE916&amp;""="00000000","在職",IF($AE916&amp;""='DB_設定'!$C$4,"4/1喪失","その他喪失"))))</f>
      </c>
    </row>
    <row r="917">
      <c r="DB917" s="2909">
        <f>IF($A917="","",IF($A917&lt;&gt;21,"対象外",IF($AE917&amp;""="00000000","在職",IF($AE917&amp;""='DB_設定'!$C$4,"4/1喪失","その他喪失"))))</f>
      </c>
    </row>
    <row r="918">
      <c r="DB918" s="2909">
        <f>IF($A918="","",IF($A918&lt;&gt;21,"対象外",IF($AE918&amp;""="00000000","在職",IF($AE918&amp;""='DB_設定'!$C$4,"4/1喪失","その他喪失"))))</f>
      </c>
    </row>
    <row r="919">
      <c r="DB919" s="2909">
        <f>IF($A919="","",IF($A919&lt;&gt;21,"対象外",IF($AE919&amp;""="00000000","在職",IF($AE919&amp;""='DB_設定'!$C$4,"4/1喪失","その他喪失"))))</f>
      </c>
    </row>
    <row r="920">
      <c r="DB920" s="2909">
        <f>IF($A920="","",IF($A920&lt;&gt;21,"対象外",IF($AE920&amp;""="00000000","在職",IF($AE920&amp;""='DB_設定'!$C$4,"4/1喪失","その他喪失"))))</f>
      </c>
    </row>
    <row r="921">
      <c r="DB921" s="2909">
        <f>IF($A921="","",IF($A921&lt;&gt;21,"対象外",IF($AE921&amp;""="00000000","在職",IF($AE921&amp;""='DB_設定'!$C$4,"4/1喪失","その他喪失"))))</f>
      </c>
    </row>
    <row r="922">
      <c r="DB922" s="2909">
        <f>IF($A922="","",IF($A922&lt;&gt;21,"対象外",IF($AE922&amp;""="00000000","在職",IF($AE922&amp;""='DB_設定'!$C$4,"4/1喪失","その他喪失"))))</f>
      </c>
    </row>
    <row r="923">
      <c r="DB923" s="2909">
        <f>IF($A923="","",IF($A923&lt;&gt;21,"対象外",IF($AE923&amp;""="00000000","在職",IF($AE923&amp;""='DB_設定'!$C$4,"4/1喪失","その他喪失"))))</f>
      </c>
    </row>
    <row r="924">
      <c r="DB924" s="2909">
        <f>IF($A924="","",IF($A924&lt;&gt;21,"対象外",IF($AE924&amp;""="00000000","在職",IF($AE924&amp;""='DB_設定'!$C$4,"4/1喪失","その他喪失"))))</f>
      </c>
    </row>
    <row r="925">
      <c r="DB925" s="2909">
        <f>IF($A925="","",IF($A925&lt;&gt;21,"対象外",IF($AE925&amp;""="00000000","在職",IF($AE925&amp;""='DB_設定'!$C$4,"4/1喪失","その他喪失"))))</f>
      </c>
    </row>
    <row r="926">
      <c r="DB926" s="2909">
        <f>IF($A926="","",IF($A926&lt;&gt;21,"対象外",IF($AE926&amp;""="00000000","在職",IF($AE926&amp;""='DB_設定'!$C$4,"4/1喪失","その他喪失"))))</f>
      </c>
    </row>
    <row r="927">
      <c r="DB927" s="2909">
        <f>IF($A927="","",IF($A927&lt;&gt;21,"対象外",IF($AE927&amp;""="00000000","在職",IF($AE927&amp;""='DB_設定'!$C$4,"4/1喪失","その他喪失"))))</f>
      </c>
    </row>
    <row r="928">
      <c r="DB928" s="2909">
        <f>IF($A928="","",IF($A928&lt;&gt;21,"対象外",IF($AE928&amp;""="00000000","在職",IF($AE928&amp;""='DB_設定'!$C$4,"4/1喪失","その他喪失"))))</f>
      </c>
    </row>
    <row r="929">
      <c r="DB929" s="2909">
        <f>IF($A929="","",IF($A929&lt;&gt;21,"対象外",IF($AE929&amp;""="00000000","在職",IF($AE929&amp;""='DB_設定'!$C$4,"4/1喪失","その他喪失"))))</f>
      </c>
    </row>
    <row r="930">
      <c r="DB930" s="2909">
        <f>IF($A930="","",IF($A930&lt;&gt;21,"対象外",IF($AE930&amp;""="00000000","在職",IF($AE930&amp;""='DB_設定'!$C$4,"4/1喪失","その他喪失"))))</f>
      </c>
    </row>
    <row r="931">
      <c r="DB931" s="2909">
        <f>IF($A931="","",IF($A931&lt;&gt;21,"対象外",IF($AE931&amp;""="00000000","在職",IF($AE931&amp;""='DB_設定'!$C$4,"4/1喪失","その他喪失"))))</f>
      </c>
    </row>
    <row r="932">
      <c r="DB932" s="2909">
        <f>IF($A932="","",IF($A932&lt;&gt;21,"対象外",IF($AE932&amp;""="00000000","在職",IF($AE932&amp;""='DB_設定'!$C$4,"4/1喪失","その他喪失"))))</f>
      </c>
    </row>
    <row r="933">
      <c r="DB933" s="2909">
        <f>IF($A933="","",IF($A933&lt;&gt;21,"対象外",IF($AE933&amp;""="00000000","在職",IF($AE933&amp;""='DB_設定'!$C$4,"4/1喪失","その他喪失"))))</f>
      </c>
    </row>
    <row r="934">
      <c r="DB934" s="2909">
        <f>IF($A934="","",IF($A934&lt;&gt;21,"対象外",IF($AE934&amp;""="00000000","在職",IF($AE934&amp;""='DB_設定'!$C$4,"4/1喪失","その他喪失"))))</f>
      </c>
    </row>
    <row r="935">
      <c r="DB935" s="2909">
        <f>IF($A935="","",IF($A935&lt;&gt;21,"対象外",IF($AE935&amp;""="00000000","在職",IF($AE935&amp;""='DB_設定'!$C$4,"4/1喪失","その他喪失"))))</f>
      </c>
    </row>
    <row r="936">
      <c r="DB936" s="2909">
        <f>IF($A936="","",IF($A936&lt;&gt;21,"対象外",IF($AE936&amp;""="00000000","在職",IF($AE936&amp;""='DB_設定'!$C$4,"4/1喪失","その他喪失"))))</f>
      </c>
    </row>
    <row r="937">
      <c r="DB937" s="2909">
        <f>IF($A937="","",IF($A937&lt;&gt;21,"対象外",IF($AE937&amp;""="00000000","在職",IF($AE937&amp;""='DB_設定'!$C$4,"4/1喪失","その他喪失"))))</f>
      </c>
    </row>
    <row r="938">
      <c r="DB938" s="2909">
        <f>IF($A938="","",IF($A938&lt;&gt;21,"対象外",IF($AE938&amp;""="00000000","在職",IF($AE938&amp;""='DB_設定'!$C$4,"4/1喪失","その他喪失"))))</f>
      </c>
    </row>
    <row r="939">
      <c r="DB939" s="2909">
        <f>IF($A939="","",IF($A939&lt;&gt;21,"対象外",IF($AE939&amp;""="00000000","在職",IF($AE939&amp;""='DB_設定'!$C$4,"4/1喪失","その他喪失"))))</f>
      </c>
    </row>
    <row r="940">
      <c r="DB940" s="2909">
        <f>IF($A940="","",IF($A940&lt;&gt;21,"対象外",IF($AE940&amp;""="00000000","在職",IF($AE940&amp;""='DB_設定'!$C$4,"4/1喪失","その他喪失"))))</f>
      </c>
    </row>
    <row r="941">
      <c r="DB941" s="2909">
        <f>IF($A941="","",IF($A941&lt;&gt;21,"対象外",IF($AE941&amp;""="00000000","在職",IF($AE941&amp;""='DB_設定'!$C$4,"4/1喪失","その他喪失"))))</f>
      </c>
    </row>
    <row r="942">
      <c r="DB942" s="2909">
        <f>IF($A942="","",IF($A942&lt;&gt;21,"対象外",IF($AE942&amp;""="00000000","在職",IF($AE942&amp;""='DB_設定'!$C$4,"4/1喪失","その他喪失"))))</f>
      </c>
    </row>
    <row r="943">
      <c r="DB943" s="2909">
        <f>IF($A943="","",IF($A943&lt;&gt;21,"対象外",IF($AE943&amp;""="00000000","在職",IF($AE943&amp;""='DB_設定'!$C$4,"4/1喪失","その他喪失"))))</f>
      </c>
    </row>
    <row r="944">
      <c r="DB944" s="2909">
        <f>IF($A944="","",IF($A944&lt;&gt;21,"対象外",IF($AE944&amp;""="00000000","在職",IF($AE944&amp;""='DB_設定'!$C$4,"4/1喪失","その他喪失"))))</f>
      </c>
    </row>
    <row r="945">
      <c r="DB945" s="2909">
        <f>IF($A945="","",IF($A945&lt;&gt;21,"対象外",IF($AE945&amp;""="00000000","在職",IF($AE945&amp;""='DB_設定'!$C$4,"4/1喪失","その他喪失"))))</f>
      </c>
    </row>
    <row r="946">
      <c r="DB946" s="2909">
        <f>IF($A946="","",IF($A946&lt;&gt;21,"対象外",IF($AE946&amp;""="00000000","在職",IF($AE946&amp;""='DB_設定'!$C$4,"4/1喪失","その他喪失"))))</f>
      </c>
    </row>
    <row r="947">
      <c r="DB947" s="2909">
        <f>IF($A947="","",IF($A947&lt;&gt;21,"対象外",IF($AE947&amp;""="00000000","在職",IF($AE947&amp;""='DB_設定'!$C$4,"4/1喪失","その他喪失"))))</f>
      </c>
    </row>
    <row r="948">
      <c r="DB948" s="2909">
        <f>IF($A948="","",IF($A948&lt;&gt;21,"対象外",IF($AE948&amp;""="00000000","在職",IF($AE948&amp;""='DB_設定'!$C$4,"4/1喪失","その他喪失"))))</f>
      </c>
    </row>
    <row r="949">
      <c r="DB949" s="2909">
        <f>IF($A949="","",IF($A949&lt;&gt;21,"対象外",IF($AE949&amp;""="00000000","在職",IF($AE949&amp;""='DB_設定'!$C$4,"4/1喪失","その他喪失"))))</f>
      </c>
    </row>
    <row r="950">
      <c r="DB950" s="2909">
        <f>IF($A950="","",IF($A950&lt;&gt;21,"対象外",IF($AE950&amp;""="00000000","在職",IF($AE950&amp;""='DB_設定'!$C$4,"4/1喪失","その他喪失"))))</f>
      </c>
    </row>
    <row r="951">
      <c r="DB951" s="2909">
        <f>IF($A951="","",IF($A951&lt;&gt;21,"対象外",IF($AE951&amp;""="00000000","在職",IF($AE951&amp;""='DB_設定'!$C$4,"4/1喪失","その他喪失"))))</f>
      </c>
    </row>
    <row r="952">
      <c r="DB952" s="2909">
        <f>IF($A952="","",IF($A952&lt;&gt;21,"対象外",IF($AE952&amp;""="00000000","在職",IF($AE952&amp;""='DB_設定'!$C$4,"4/1喪失","その他喪失"))))</f>
      </c>
    </row>
    <row r="953">
      <c r="DB953" s="2909">
        <f>IF($A953="","",IF($A953&lt;&gt;21,"対象外",IF($AE953&amp;""="00000000","在職",IF($AE953&amp;""='DB_設定'!$C$4,"4/1喪失","その他喪失"))))</f>
      </c>
    </row>
    <row r="954">
      <c r="DB954" s="2909">
        <f>IF($A954="","",IF($A954&lt;&gt;21,"対象外",IF($AE954&amp;""="00000000","在職",IF($AE954&amp;""='DB_設定'!$C$4,"4/1喪失","その他喪失"))))</f>
      </c>
    </row>
    <row r="955">
      <c r="DB955" s="2909">
        <f>IF($A955="","",IF($A955&lt;&gt;21,"対象外",IF($AE955&amp;""="00000000","在職",IF($AE955&amp;""='DB_設定'!$C$4,"4/1喪失","その他喪失"))))</f>
      </c>
    </row>
    <row r="956">
      <c r="DB956" s="2909">
        <f>IF($A956="","",IF($A956&lt;&gt;21,"対象外",IF($AE956&amp;""="00000000","在職",IF($AE956&amp;""='DB_設定'!$C$4,"4/1喪失","その他喪失"))))</f>
      </c>
    </row>
    <row r="957">
      <c r="DB957" s="2909">
        <f>IF($A957="","",IF($A957&lt;&gt;21,"対象外",IF($AE957&amp;""="00000000","在職",IF($AE957&amp;""='DB_設定'!$C$4,"4/1喪失","その他喪失"))))</f>
      </c>
    </row>
    <row r="958">
      <c r="DB958" s="2909">
        <f>IF($A958="","",IF($A958&lt;&gt;21,"対象外",IF($AE958&amp;""="00000000","在職",IF($AE958&amp;""='DB_設定'!$C$4,"4/1喪失","その他喪失"))))</f>
      </c>
    </row>
    <row r="959">
      <c r="DB959" s="2909">
        <f>IF($A959="","",IF($A959&lt;&gt;21,"対象外",IF($AE959&amp;""="00000000","在職",IF($AE959&amp;""='DB_設定'!$C$4,"4/1喪失","その他喪失"))))</f>
      </c>
    </row>
    <row r="960">
      <c r="DB960" s="2909">
        <f>IF($A960="","",IF($A960&lt;&gt;21,"対象外",IF($AE960&amp;""="00000000","在職",IF($AE960&amp;""='DB_設定'!$C$4,"4/1喪失","その他喪失"))))</f>
      </c>
    </row>
    <row r="961">
      <c r="DB961" s="2909">
        <f>IF($A961="","",IF($A961&lt;&gt;21,"対象外",IF($AE961&amp;""="00000000","在職",IF($AE961&amp;""='DB_設定'!$C$4,"4/1喪失","その他喪失"))))</f>
      </c>
    </row>
    <row r="962">
      <c r="DB962" s="2909">
        <f>IF($A962="","",IF($A962&lt;&gt;21,"対象外",IF($AE962&amp;""="00000000","在職",IF($AE962&amp;""='DB_設定'!$C$4,"4/1喪失","その他喪失"))))</f>
      </c>
    </row>
    <row r="963">
      <c r="DB963" s="2909">
        <f>IF($A963="","",IF($A963&lt;&gt;21,"対象外",IF($AE963&amp;""="00000000","在職",IF($AE963&amp;""='DB_設定'!$C$4,"4/1喪失","その他喪失"))))</f>
      </c>
    </row>
    <row r="964">
      <c r="DB964" s="2909">
        <f>IF($A964="","",IF($A964&lt;&gt;21,"対象外",IF($AE964&amp;""="00000000","在職",IF($AE964&amp;""='DB_設定'!$C$4,"4/1喪失","その他喪失"))))</f>
      </c>
    </row>
    <row r="965">
      <c r="DB965" s="2909">
        <f>IF($A965="","",IF($A965&lt;&gt;21,"対象外",IF($AE965&amp;""="00000000","在職",IF($AE965&amp;""='DB_設定'!$C$4,"4/1喪失","その他喪失"))))</f>
      </c>
    </row>
    <row r="966">
      <c r="DB966" s="2909">
        <f>IF($A966="","",IF($A966&lt;&gt;21,"対象外",IF($AE966&amp;""="00000000","在職",IF($AE966&amp;""='DB_設定'!$C$4,"4/1喪失","その他喪失"))))</f>
      </c>
    </row>
    <row r="967">
      <c r="DB967" s="2909">
        <f>IF($A967="","",IF($A967&lt;&gt;21,"対象外",IF($AE967&amp;""="00000000","在職",IF($AE967&amp;""='DB_設定'!$C$4,"4/1喪失","その他喪失"))))</f>
      </c>
    </row>
    <row r="968">
      <c r="DB968" s="2909">
        <f>IF($A968="","",IF($A968&lt;&gt;21,"対象外",IF($AE968&amp;""="00000000","在職",IF($AE968&amp;""='DB_設定'!$C$4,"4/1喪失","その他喪失"))))</f>
      </c>
    </row>
    <row r="969">
      <c r="DB969" s="2909">
        <f>IF($A969="","",IF($A969&lt;&gt;21,"対象外",IF($AE969&amp;""="00000000","在職",IF($AE969&amp;""='DB_設定'!$C$4,"4/1喪失","その他喪失"))))</f>
      </c>
    </row>
    <row r="970">
      <c r="DB970" s="2909">
        <f>IF($A970="","",IF($A970&lt;&gt;21,"対象外",IF($AE970&amp;""="00000000","在職",IF($AE970&amp;""='DB_設定'!$C$4,"4/1喪失","その他喪失"))))</f>
      </c>
    </row>
    <row r="971">
      <c r="DB971" s="2909">
        <f>IF($A971="","",IF($A971&lt;&gt;21,"対象外",IF($AE971&amp;""="00000000","在職",IF($AE971&amp;""='DB_設定'!$C$4,"4/1喪失","その他喪失"))))</f>
      </c>
    </row>
    <row r="972">
      <c r="DB972" s="2909">
        <f>IF($A972="","",IF($A972&lt;&gt;21,"対象外",IF($AE972&amp;""="00000000","在職",IF($AE972&amp;""='DB_設定'!$C$4,"4/1喪失","その他喪失"))))</f>
      </c>
    </row>
    <row r="973">
      <c r="DB973" s="2909">
        <f>IF($A973="","",IF($A973&lt;&gt;21,"対象外",IF($AE973&amp;""="00000000","在職",IF($AE973&amp;""='DB_設定'!$C$4,"4/1喪失","その他喪失"))))</f>
      </c>
    </row>
    <row r="974">
      <c r="DB974" s="2909">
        <f>IF($A974="","",IF($A974&lt;&gt;21,"対象外",IF($AE974&amp;""="00000000","在職",IF($AE974&amp;""='DB_設定'!$C$4,"4/1喪失","その他喪失"))))</f>
      </c>
    </row>
    <row r="975">
      <c r="DB975" s="2909">
        <f>IF($A975="","",IF($A975&lt;&gt;21,"対象外",IF($AE975&amp;""="00000000","在職",IF($AE975&amp;""='DB_設定'!$C$4,"4/1喪失","その他喪失"))))</f>
      </c>
    </row>
    <row r="976">
      <c r="DB976" s="2909">
        <f>IF($A976="","",IF($A976&lt;&gt;21,"対象外",IF($AE976&amp;""="00000000","在職",IF($AE976&amp;""='DB_設定'!$C$4,"4/1喪失","その他喪失"))))</f>
      </c>
    </row>
    <row r="977">
      <c r="DB977" s="2909">
        <f>IF($A977="","",IF($A977&lt;&gt;21,"対象外",IF($AE977&amp;""="00000000","在職",IF($AE977&amp;""='DB_設定'!$C$4,"4/1喪失","その他喪失"))))</f>
      </c>
    </row>
    <row r="978">
      <c r="DB978" s="2909">
        <f>IF($A978="","",IF($A978&lt;&gt;21,"対象外",IF($AE978&amp;""="00000000","在職",IF($AE978&amp;""='DB_設定'!$C$4,"4/1喪失","その他喪失"))))</f>
      </c>
    </row>
    <row r="979">
      <c r="DB979" s="2909">
        <f>IF($A979="","",IF($A979&lt;&gt;21,"対象外",IF($AE979&amp;""="00000000","在職",IF($AE979&amp;""='DB_設定'!$C$4,"4/1喪失","その他喪失"))))</f>
      </c>
    </row>
    <row r="980">
      <c r="DB980" s="2909">
        <f>IF($A980="","",IF($A980&lt;&gt;21,"対象外",IF($AE980&amp;""="00000000","在職",IF($AE980&amp;""='DB_設定'!$C$4,"4/1喪失","その他喪失"))))</f>
      </c>
    </row>
    <row r="981">
      <c r="DB981" s="2909">
        <f>IF($A981="","",IF($A981&lt;&gt;21,"対象外",IF($AE981&amp;""="00000000","在職",IF($AE981&amp;""='DB_設定'!$C$4,"4/1喪失","その他喪失"))))</f>
      </c>
    </row>
    <row r="982">
      <c r="DB982" s="2909">
        <f>IF($A982="","",IF($A982&lt;&gt;21,"対象外",IF($AE982&amp;""="00000000","在職",IF($AE982&amp;""='DB_設定'!$C$4,"4/1喪失","その他喪失"))))</f>
      </c>
    </row>
    <row r="983">
      <c r="DB983" s="2909">
        <f>IF($A983="","",IF($A983&lt;&gt;21,"対象外",IF($AE983&amp;""="00000000","在職",IF($AE983&amp;""='DB_設定'!$C$4,"4/1喪失","その他喪失"))))</f>
      </c>
    </row>
    <row r="984">
      <c r="DB984" s="2909">
        <f>IF($A984="","",IF($A984&lt;&gt;21,"対象外",IF($AE984&amp;""="00000000","在職",IF($AE984&amp;""='DB_設定'!$C$4,"4/1喪失","その他喪失"))))</f>
      </c>
    </row>
    <row r="985">
      <c r="DB985" s="2909">
        <f>IF($A985="","",IF($A985&lt;&gt;21,"対象外",IF($AE985&amp;""="00000000","在職",IF($AE985&amp;""='DB_設定'!$C$4,"4/1喪失","その他喪失"))))</f>
      </c>
    </row>
    <row r="986">
      <c r="DB986" s="2909">
        <f>IF($A986="","",IF($A986&lt;&gt;21,"対象外",IF($AE986&amp;""="00000000","在職",IF($AE986&amp;""='DB_設定'!$C$4,"4/1喪失","その他喪失"))))</f>
      </c>
    </row>
    <row r="987">
      <c r="DB987" s="2909">
        <f>IF($A987="","",IF($A987&lt;&gt;21,"対象外",IF($AE987&amp;""="00000000","在職",IF($AE987&amp;""='DB_設定'!$C$4,"4/1喪失","その他喪失"))))</f>
      </c>
    </row>
    <row r="988">
      <c r="DB988" s="2909">
        <f>IF($A988="","",IF($A988&lt;&gt;21,"対象外",IF($AE988&amp;""="00000000","在職",IF($AE988&amp;""='DB_設定'!$C$4,"4/1喪失","その他喪失"))))</f>
      </c>
    </row>
    <row r="989">
      <c r="DB989" s="2909">
        <f>IF($A989="","",IF($A989&lt;&gt;21,"対象外",IF($AE989&amp;""="00000000","在職",IF($AE989&amp;""='DB_設定'!$C$4,"4/1喪失","その他喪失"))))</f>
      </c>
    </row>
    <row r="990">
      <c r="DB990" s="2909">
        <f>IF($A990="","",IF($A990&lt;&gt;21,"対象外",IF($AE990&amp;""="00000000","在職",IF($AE990&amp;""='DB_設定'!$C$4,"4/1喪失","その他喪失"))))</f>
      </c>
    </row>
    <row r="991">
      <c r="DB991" s="2909">
        <f>IF($A991="","",IF($A991&lt;&gt;21,"対象外",IF($AE991&amp;""="00000000","在職",IF($AE991&amp;""='DB_設定'!$C$4,"4/1喪失","その他喪失"))))</f>
      </c>
    </row>
    <row r="992">
      <c r="DB992" s="2909">
        <f>IF($A992="","",IF($A992&lt;&gt;21,"対象外",IF($AE992&amp;""="00000000","在職",IF($AE992&amp;""='DB_設定'!$C$4,"4/1喪失","その他喪失"))))</f>
      </c>
    </row>
    <row r="993">
      <c r="DB993" s="2909">
        <f>IF($A993="","",IF($A993&lt;&gt;21,"対象外",IF($AE993&amp;""="00000000","在職",IF($AE993&amp;""='DB_設定'!$C$4,"4/1喪失","その他喪失"))))</f>
      </c>
    </row>
    <row r="994">
      <c r="DB994" s="2909">
        <f>IF($A994="","",IF($A994&lt;&gt;21,"対象外",IF($AE994&amp;""="00000000","在職",IF($AE994&amp;""='DB_設定'!$C$4,"4/1喪失","その他喪失"))))</f>
      </c>
    </row>
    <row r="995">
      <c r="DB995" s="2909">
        <f>IF($A995="","",IF($A995&lt;&gt;21,"対象外",IF($AE995&amp;""="00000000","在職",IF($AE995&amp;""='DB_設定'!$C$4,"4/1喪失","その他喪失"))))</f>
      </c>
    </row>
    <row r="996">
      <c r="DB996" s="2909">
        <f>IF($A996="","",IF($A996&lt;&gt;21,"対象外",IF($AE996&amp;""="00000000","在職",IF($AE996&amp;""='DB_設定'!$C$4,"4/1喪失","その他喪失"))))</f>
      </c>
    </row>
    <row r="997">
      <c r="DB997" s="2909">
        <f>IF($A997="","",IF($A997&lt;&gt;21,"対象外",IF($AE997&amp;""="00000000","在職",IF($AE997&amp;""='DB_設定'!$C$4,"4/1喪失","その他喪失"))))</f>
      </c>
    </row>
    <row r="998">
      <c r="DB998" s="2909">
        <f>IF($A998="","",IF($A998&lt;&gt;21,"対象外",IF($AE998&amp;""="00000000","在職",IF($AE998&amp;""='DB_設定'!$C$4,"4/1喪失","その他喪失"))))</f>
      </c>
    </row>
    <row r="999">
      <c r="DB999" s="2909">
        <f>IF($A999="","",IF($A999&lt;&gt;21,"対象外",IF($AE999&amp;""="00000000","在職",IF($AE999&amp;""='DB_設定'!$C$4,"4/1喪失","その他喪失"))))</f>
      </c>
    </row>
    <row r="1000">
      <c r="DB1000" s="2909">
        <f>IF($A1000="","",IF($A1000&lt;&gt;21,"対象外",IF($AE1000&amp;""="00000000","在職",IF($AE1000&amp;""='DB_設定'!$C$4,"4/1喪失","その他喪失"))))</f>
      </c>
    </row>
    <row r="1001">
      <c r="DB1001" s="2909">
        <f>IF($A1001="","",IF($A1001&lt;&gt;21,"対象外",IF($AE1001&amp;""="00000000","在職",IF($AE1001&amp;""='DB_設定'!$C$4,"4/1喪失","その他喪失"))))</f>
      </c>
    </row>
    <row r="1002">
      <c r="DB1002" s="2909">
        <f>IF($A1002="","",IF($A1002&lt;&gt;21,"対象外",IF($AE1002&amp;""="00000000","在職",IF($AE1002&amp;""='DB_設定'!$C$4,"4/1喪失","その他喪失"))))</f>
      </c>
    </row>
    <row r="1003">
      <c r="DB1003" s="2909">
        <f>IF($A1003="","",IF($A1003&lt;&gt;21,"対象外",IF($AE1003&amp;""="00000000","在職",IF($AE1003&amp;""='DB_設定'!$C$4,"4/1喪失","その他喪失"))))</f>
      </c>
    </row>
    <row r="1004">
      <c r="DB1004" s="2909">
        <f>IF($A1004="","",IF($A1004&lt;&gt;21,"対象外",IF($AE1004&amp;""="00000000","在職",IF($AE1004&amp;""='DB_設定'!$C$4,"4/1喪失","その他喪失"))))</f>
      </c>
    </row>
    <row r="1005">
      <c r="DB1005" s="2909">
        <f>IF($A1005="","",IF($A1005&lt;&gt;21,"対象外",IF($AE1005&amp;""="00000000","在職",IF($AE1005&amp;""='DB_設定'!$C$4,"4/1喪失","その他喪失"))))</f>
      </c>
    </row>
    <row r="1006">
      <c r="DB1006" s="2909">
        <f>IF($A1006="","",IF($A1006&lt;&gt;21,"対象外",IF($AE1006&amp;""="00000000","在職",IF($AE1006&amp;""='DB_設定'!$C$4,"4/1喪失","その他喪失"))))</f>
      </c>
    </row>
    <row r="1007">
      <c r="DB1007" s="2909">
        <f>IF($A1007="","",IF($A1007&lt;&gt;21,"対象外",IF($AE1007&amp;""="00000000","在職",IF($AE1007&amp;""='DB_設定'!$C$4,"4/1喪失","その他喪失"))))</f>
      </c>
    </row>
    <row r="1008">
      <c r="DB1008" s="2909">
        <f>IF($A1008="","",IF($A1008&lt;&gt;21,"対象外",IF($AE1008&amp;""="00000000","在職",IF($AE1008&amp;""='DB_設定'!$C$4,"4/1喪失","その他喪失"))))</f>
      </c>
    </row>
    <row r="1009">
      <c r="DB1009" s="2909">
        <f>IF($A1009="","",IF($A1009&lt;&gt;21,"対象外",IF($AE1009&amp;""="00000000","在職",IF($AE1009&amp;""='DB_設定'!$C$4,"4/1喪失","その他喪失"))))</f>
      </c>
    </row>
    <row r="1010">
      <c r="DB1010" s="2909">
        <f>IF($A1010="","",IF($A1010&lt;&gt;21,"対象外",IF($AE1010&amp;""="00000000","在職",IF($AE1010&amp;""='DB_設定'!$C$4,"4/1喪失","その他喪失"))))</f>
      </c>
    </row>
    <row r="1011">
      <c r="DB1011" s="2909">
        <f>IF($A1011="","",IF($A1011&lt;&gt;21,"対象外",IF($AE1011&amp;""="00000000","在職",IF($AE1011&amp;""='DB_設定'!$C$4,"4/1喪失","その他喪失"))))</f>
      </c>
    </row>
    <row r="1012">
      <c r="DB1012" s="2909">
        <f>IF($A1012="","",IF($A1012&lt;&gt;21,"対象外",IF($AE1012&amp;""="00000000","在職",IF($AE1012&amp;""='DB_設定'!$C$4,"4/1喪失","その他喪失"))))</f>
      </c>
    </row>
    <row r="1013">
      <c r="DB1013" s="2909">
        <f>IF($A1013="","",IF($A1013&lt;&gt;21,"対象外",IF($AE1013&amp;""="00000000","在職",IF($AE1013&amp;""='DB_設定'!$C$4,"4/1喪失","その他喪失"))))</f>
      </c>
    </row>
    <row r="1014">
      <c r="DB1014" s="2909">
        <f>IF($A1014="","",IF($A1014&lt;&gt;21,"対象外",IF($AE1014&amp;""="00000000","在職",IF($AE1014&amp;""='DB_設定'!$C$4,"4/1喪失","その他喪失"))))</f>
      </c>
    </row>
    <row r="1015">
      <c r="DB1015" s="2909">
        <f>IF($A1015="","",IF($A1015&lt;&gt;21,"対象外",IF($AE1015&amp;""="00000000","在職",IF($AE1015&amp;""='DB_設定'!$C$4,"4/1喪失","その他喪失"))))</f>
      </c>
    </row>
    <row r="1016">
      <c r="DB1016" s="2909">
        <f>IF($A1016="","",IF($A1016&lt;&gt;21,"対象外",IF($AE1016&amp;""="00000000","在職",IF($AE1016&amp;""='DB_設定'!$C$4,"4/1喪失","その他喪失"))))</f>
      </c>
    </row>
    <row r="1017">
      <c r="DB1017" s="2909">
        <f>IF($A1017="","",IF($A1017&lt;&gt;21,"対象外",IF($AE1017&amp;""="00000000","在職",IF($AE1017&amp;""='DB_設定'!$C$4,"4/1喪失","その他喪失"))))</f>
      </c>
    </row>
    <row r="1018">
      <c r="DB1018" s="2909">
        <f>IF($A1018="","",IF($A1018&lt;&gt;21,"対象外",IF($AE1018&amp;""="00000000","在職",IF($AE1018&amp;""='DB_設定'!$C$4,"4/1喪失","その他喪失"))))</f>
      </c>
    </row>
    <row r="1019">
      <c r="DB1019" s="2909">
        <f>IF($A1019="","",IF($A1019&lt;&gt;21,"対象外",IF($AE1019&amp;""="00000000","在職",IF($AE1019&amp;""='DB_設定'!$C$4,"4/1喪失","その他喪失"))))</f>
      </c>
    </row>
    <row r="1020">
      <c r="DB1020" s="2909">
        <f>IF($A1020="","",IF($A1020&lt;&gt;21,"対象外",IF($AE1020&amp;""="00000000","在職",IF($AE1020&amp;""='DB_設定'!$C$4,"4/1喪失","その他喪失"))))</f>
      </c>
    </row>
    <row r="1021">
      <c r="DB1021" s="2909">
        <f>IF($A1021="","",IF($A1021&lt;&gt;21,"対象外",IF($AE1021&amp;""="00000000","在職",IF($AE1021&amp;""='DB_設定'!$C$4,"4/1喪失","その他喪失"))))</f>
      </c>
    </row>
    <row r="1022">
      <c r="DB1022" s="2909">
        <f>IF($A1022="","",IF($A1022&lt;&gt;21,"対象外",IF($AE1022&amp;""="00000000","在職",IF($AE1022&amp;""='DB_設定'!$C$4,"4/1喪失","その他喪失"))))</f>
      </c>
    </row>
    <row r="1023">
      <c r="DB1023" s="2909">
        <f>IF($A1023="","",IF($A1023&lt;&gt;21,"対象外",IF($AE1023&amp;""="00000000","在職",IF($AE1023&amp;""='DB_設定'!$C$4,"4/1喪失","その他喪失"))))</f>
      </c>
    </row>
    <row r="1024">
      <c r="DB1024" s="2909">
        <f>IF($A1024="","",IF($A1024&lt;&gt;21,"対象外",IF($AE1024&amp;""="00000000","在職",IF($AE1024&amp;""='DB_設定'!$C$4,"4/1喪失","その他喪失"))))</f>
      </c>
    </row>
    <row r="1025">
      <c r="DB1025" s="2909">
        <f>IF($A1025="","",IF($A1025&lt;&gt;21,"対象外",IF($AE1025&amp;""="00000000","在職",IF($AE1025&amp;""='DB_設定'!$C$4,"4/1喪失","その他喪失"))))</f>
      </c>
    </row>
    <row r="1026">
      <c r="DB1026" s="2909">
        <f>IF($A1026="","",IF($A1026&lt;&gt;21,"対象外",IF($AE1026&amp;""="00000000","在職",IF($AE1026&amp;""='DB_設定'!$C$4,"4/1喪失","その他喪失"))))</f>
      </c>
    </row>
    <row r="1027">
      <c r="DB1027" s="2909">
        <f>IF($A1027="","",IF($A1027&lt;&gt;21,"対象外",IF($AE1027&amp;""="00000000","在職",IF($AE1027&amp;""='DB_設定'!$C$4,"4/1喪失","その他喪失"))))</f>
      </c>
    </row>
    <row r="1028">
      <c r="DB1028" s="2909">
        <f>IF($A1028="","",IF($A1028&lt;&gt;21,"対象外",IF($AE1028&amp;""="00000000","在職",IF($AE1028&amp;""='DB_設定'!$C$4,"4/1喪失","その他喪失"))))</f>
      </c>
    </row>
    <row r="1029">
      <c r="DB1029" s="2909">
        <f>IF($A1029="","",IF($A1029&lt;&gt;21,"対象外",IF($AE1029&amp;""="00000000","在職",IF($AE1029&amp;""='DB_設定'!$C$4,"4/1喪失","その他喪失"))))</f>
      </c>
    </row>
    <row r="1030">
      <c r="DB1030" s="2909">
        <f>IF($A1030="","",IF($A1030&lt;&gt;21,"対象外",IF($AE1030&amp;""="00000000","在職",IF($AE1030&amp;""='DB_設定'!$C$4,"4/1喪失","その他喪失"))))</f>
      </c>
    </row>
    <row r="1031">
      <c r="DB1031" s="2909">
        <f>IF($A1031="","",IF($A1031&lt;&gt;21,"対象外",IF($AE1031&amp;""="00000000","在職",IF($AE1031&amp;""='DB_設定'!$C$4,"4/1喪失","その他喪失"))))</f>
      </c>
    </row>
    <row r="1032">
      <c r="DB1032" s="2909">
        <f>IF($A1032="","",IF($A1032&lt;&gt;21,"対象外",IF($AE1032&amp;""="00000000","在職",IF($AE1032&amp;""='DB_設定'!$C$4,"4/1喪失","その他喪失"))))</f>
      </c>
    </row>
    <row r="1033">
      <c r="DB1033" s="2909">
        <f>IF($A1033="","",IF($A1033&lt;&gt;21,"対象外",IF($AE1033&amp;""="00000000","在職",IF($AE1033&amp;""='DB_設定'!$C$4,"4/1喪失","その他喪失"))))</f>
      </c>
    </row>
    <row r="1034">
      <c r="DB1034" s="2909">
        <f>IF($A1034="","",IF($A1034&lt;&gt;21,"対象外",IF($AE1034&amp;""="00000000","在職",IF($AE1034&amp;""='DB_設定'!$C$4,"4/1喪失","その他喪失"))))</f>
      </c>
    </row>
    <row r="1035">
      <c r="DB1035" s="2909">
        <f>IF($A1035="","",IF($A1035&lt;&gt;21,"対象外",IF($AE1035&amp;""="00000000","在職",IF($AE1035&amp;""='DB_設定'!$C$4,"4/1喪失","その他喪失"))))</f>
      </c>
    </row>
    <row r="1036">
      <c r="DB1036" s="2909">
        <f>IF($A1036="","",IF($A1036&lt;&gt;21,"対象外",IF($AE1036&amp;""="00000000","在職",IF($AE1036&amp;""='DB_設定'!$C$4,"4/1喪失","その他喪失"))))</f>
      </c>
    </row>
    <row r="1037">
      <c r="DB1037" s="2909">
        <f>IF($A1037="","",IF($A1037&lt;&gt;21,"対象外",IF($AE1037&amp;""="00000000","在職",IF($AE1037&amp;""='DB_設定'!$C$4,"4/1喪失","その他喪失"))))</f>
      </c>
    </row>
    <row r="1038">
      <c r="DB1038" s="2909">
        <f>IF($A1038="","",IF($A1038&lt;&gt;21,"対象外",IF($AE1038&amp;""="00000000","在職",IF($AE1038&amp;""='DB_設定'!$C$4,"4/1喪失","その他喪失"))))</f>
      </c>
    </row>
    <row r="1039">
      <c r="DB1039" s="2909">
        <f>IF($A1039="","",IF($A1039&lt;&gt;21,"対象外",IF($AE1039&amp;""="00000000","在職",IF($AE1039&amp;""='DB_設定'!$C$4,"4/1喪失","その他喪失"))))</f>
      </c>
    </row>
    <row r="1040">
      <c r="DB1040" s="2909">
        <f>IF($A1040="","",IF($A1040&lt;&gt;21,"対象外",IF($AE1040&amp;""="00000000","在職",IF($AE1040&amp;""='DB_設定'!$C$4,"4/1喪失","その他喪失"))))</f>
      </c>
    </row>
    <row r="1041">
      <c r="DB1041" s="2909">
        <f>IF($A1041="","",IF($A1041&lt;&gt;21,"対象外",IF($AE1041&amp;""="00000000","在職",IF($AE1041&amp;""='DB_設定'!$C$4,"4/1喪失","その他喪失"))))</f>
      </c>
    </row>
    <row r="1042">
      <c r="DB1042" s="2909">
        <f>IF($A1042="","",IF($A1042&lt;&gt;21,"対象外",IF($AE1042&amp;""="00000000","在職",IF($AE1042&amp;""='DB_設定'!$C$4,"4/1喪失","その他喪失"))))</f>
      </c>
    </row>
    <row r="1043">
      <c r="DB1043" s="2909">
        <f>IF($A1043="","",IF($A1043&lt;&gt;21,"対象外",IF($AE1043&amp;""="00000000","在職",IF($AE1043&amp;""='DB_設定'!$C$4,"4/1喪失","その他喪失"))))</f>
      </c>
    </row>
    <row r="1044">
      <c r="DB1044" s="2909">
        <f>IF($A1044="","",IF($A1044&lt;&gt;21,"対象外",IF($AE1044&amp;""="00000000","在職",IF($AE1044&amp;""='DB_設定'!$C$4,"4/1喪失","その他喪失"))))</f>
      </c>
    </row>
    <row r="1045">
      <c r="DB1045" s="2909">
        <f>IF($A1045="","",IF($A1045&lt;&gt;21,"対象外",IF($AE1045&amp;""="00000000","在職",IF($AE1045&amp;""='DB_設定'!$C$4,"4/1喪失","その他喪失"))))</f>
      </c>
    </row>
    <row r="1046">
      <c r="DB1046" s="2909">
        <f>IF($A1046="","",IF($A1046&lt;&gt;21,"対象外",IF($AE1046&amp;""="00000000","在職",IF($AE1046&amp;""='DB_設定'!$C$4,"4/1喪失","その他喪失"))))</f>
      </c>
    </row>
    <row r="1047">
      <c r="DB1047" s="2909">
        <f>IF($A1047="","",IF($A1047&lt;&gt;21,"対象外",IF($AE1047&amp;""="00000000","在職",IF($AE1047&amp;""='DB_設定'!$C$4,"4/1喪失","その他喪失"))))</f>
      </c>
    </row>
    <row r="1048">
      <c r="DB1048" s="2909">
        <f>IF($A1048="","",IF($A1048&lt;&gt;21,"対象外",IF($AE1048&amp;""="00000000","在職",IF($AE1048&amp;""='DB_設定'!$C$4,"4/1喪失","その他喪失"))))</f>
      </c>
    </row>
    <row r="1049">
      <c r="DB1049" s="2909">
        <f>IF($A1049="","",IF($A1049&lt;&gt;21,"対象外",IF($AE1049&amp;""="00000000","在職",IF($AE1049&amp;""='DB_設定'!$C$4,"4/1喪失","その他喪失"))))</f>
      </c>
    </row>
    <row r="1050">
      <c r="DB1050" s="2909">
        <f>IF($A1050="","",IF($A1050&lt;&gt;21,"対象外",IF($AE1050&amp;""="00000000","在職",IF($AE1050&amp;""='DB_設定'!$C$4,"4/1喪失","その他喪失"))))</f>
      </c>
    </row>
    <row r="1051">
      <c r="DB1051" s="2909">
        <f>IF($A1051="","",IF($A1051&lt;&gt;21,"対象外",IF($AE1051&amp;""="00000000","在職",IF($AE1051&amp;""='DB_設定'!$C$4,"4/1喪失","その他喪失"))))</f>
      </c>
    </row>
    <row r="1052">
      <c r="DB1052" s="2909">
        <f>IF($A1052="","",IF($A1052&lt;&gt;21,"対象外",IF($AE1052&amp;""="00000000","在職",IF($AE1052&amp;""='DB_設定'!$C$4,"4/1喪失","その他喪失"))))</f>
      </c>
    </row>
    <row r="1053">
      <c r="DB1053" s="2909">
        <f>IF($A1053="","",IF($A1053&lt;&gt;21,"対象外",IF($AE1053&amp;""="00000000","在職",IF($AE1053&amp;""='DB_設定'!$C$4,"4/1喪失","その他喪失"))))</f>
      </c>
    </row>
    <row r="1054">
      <c r="DB1054" s="2909">
        <f>IF($A1054="","",IF($A1054&lt;&gt;21,"対象外",IF($AE1054&amp;""="00000000","在職",IF($AE1054&amp;""='DB_設定'!$C$4,"4/1喪失","その他喪失"))))</f>
      </c>
    </row>
    <row r="1055">
      <c r="DB1055" s="2909">
        <f>IF($A1055="","",IF($A1055&lt;&gt;21,"対象外",IF($AE1055&amp;""="00000000","在職",IF($AE1055&amp;""='DB_設定'!$C$4,"4/1喪失","その他喪失"))))</f>
      </c>
    </row>
    <row r="1056">
      <c r="DB1056" s="2909">
        <f>IF($A1056="","",IF($A1056&lt;&gt;21,"対象外",IF($AE1056&amp;""="00000000","在職",IF($AE1056&amp;""='DB_設定'!$C$4,"4/1喪失","その他喪失"))))</f>
      </c>
    </row>
    <row r="1057">
      <c r="DB1057" s="2909">
        <f>IF($A1057="","",IF($A1057&lt;&gt;21,"対象外",IF($AE1057&amp;""="00000000","在職",IF($AE1057&amp;""='DB_設定'!$C$4,"4/1喪失","その他喪失"))))</f>
      </c>
    </row>
    <row r="1058">
      <c r="DB1058" s="2909">
        <f>IF($A1058="","",IF($A1058&lt;&gt;21,"対象外",IF($AE1058&amp;""="00000000","在職",IF($AE1058&amp;""='DB_設定'!$C$4,"4/1喪失","その他喪失"))))</f>
      </c>
    </row>
    <row r="1059">
      <c r="DB1059" s="2909">
        <f>IF($A1059="","",IF($A1059&lt;&gt;21,"対象外",IF($AE1059&amp;""="00000000","在職",IF($AE1059&amp;""='DB_設定'!$C$4,"4/1喪失","その他喪失"))))</f>
      </c>
    </row>
    <row r="1060">
      <c r="DB1060" s="2909">
        <f>IF($A1060="","",IF($A1060&lt;&gt;21,"対象外",IF($AE1060&amp;""="00000000","在職",IF($AE1060&amp;""='DB_設定'!$C$4,"4/1喪失","その他喪失"))))</f>
      </c>
    </row>
    <row r="1061">
      <c r="DB1061" s="2909">
        <f>IF($A1061="","",IF($A1061&lt;&gt;21,"対象外",IF($AE1061&amp;""="00000000","在職",IF($AE1061&amp;""='DB_設定'!$C$4,"4/1喪失","その他喪失"))))</f>
      </c>
    </row>
    <row r="1062">
      <c r="DB1062" s="2909">
        <f>IF($A1062="","",IF($A1062&lt;&gt;21,"対象外",IF($AE1062&amp;""="00000000","在職",IF($AE1062&amp;""='DB_設定'!$C$4,"4/1喪失","その他喪失"))))</f>
      </c>
    </row>
    <row r="1063">
      <c r="DB1063" s="2909">
        <f>IF($A1063="","",IF($A1063&lt;&gt;21,"対象外",IF($AE1063&amp;""="00000000","在職",IF($AE1063&amp;""='DB_設定'!$C$4,"4/1喪失","その他喪失"))))</f>
      </c>
    </row>
    <row r="1064">
      <c r="DB1064" s="2909">
        <f>IF($A1064="","",IF($A1064&lt;&gt;21,"対象外",IF($AE1064&amp;""="00000000","在職",IF($AE1064&amp;""='DB_設定'!$C$4,"4/1喪失","その他喪失"))))</f>
      </c>
    </row>
    <row r="1065">
      <c r="DB1065" s="2909">
        <f>IF($A1065="","",IF($A1065&lt;&gt;21,"対象外",IF($AE1065&amp;""="00000000","在職",IF($AE1065&amp;""='DB_設定'!$C$4,"4/1喪失","その他喪失"))))</f>
      </c>
    </row>
    <row r="1066">
      <c r="DB1066" s="2909">
        <f>IF($A1066="","",IF($A1066&lt;&gt;21,"対象外",IF($AE1066&amp;""="00000000","在職",IF($AE1066&amp;""='DB_設定'!$C$4,"4/1喪失","その他喪失"))))</f>
      </c>
    </row>
    <row r="1067">
      <c r="DB1067" s="2909">
        <f>IF($A1067="","",IF($A1067&lt;&gt;21,"対象外",IF($AE1067&amp;""="00000000","在職",IF($AE1067&amp;""='DB_設定'!$C$4,"4/1喪失","その他喪失"))))</f>
      </c>
    </row>
    <row r="1068">
      <c r="DB1068" s="2909">
        <f>IF($A1068="","",IF($A1068&lt;&gt;21,"対象外",IF($AE1068&amp;""="00000000","在職",IF($AE1068&amp;""='DB_設定'!$C$4,"4/1喪失","その他喪失"))))</f>
      </c>
    </row>
    <row r="1069">
      <c r="DB1069" s="2909">
        <f>IF($A1069="","",IF($A1069&lt;&gt;21,"対象外",IF($AE1069&amp;""="00000000","在職",IF($AE1069&amp;""='DB_設定'!$C$4,"4/1喪失","その他喪失"))))</f>
      </c>
    </row>
    <row r="1070">
      <c r="DB1070" s="2909">
        <f>IF($A1070="","",IF($A1070&lt;&gt;21,"対象外",IF($AE1070&amp;""="00000000","在職",IF($AE1070&amp;""='DB_設定'!$C$4,"4/1喪失","その他喪失"))))</f>
      </c>
    </row>
    <row r="1071">
      <c r="DB1071" s="2909">
        <f>IF($A1071="","",IF($A1071&lt;&gt;21,"対象外",IF($AE1071&amp;""="00000000","在職",IF($AE1071&amp;""='DB_設定'!$C$4,"4/1喪失","その他喪失"))))</f>
      </c>
    </row>
    <row r="1072">
      <c r="DB1072" s="2909">
        <f>IF($A1072="","",IF($A1072&lt;&gt;21,"対象外",IF($AE1072&amp;""="00000000","在職",IF($AE1072&amp;""='DB_設定'!$C$4,"4/1喪失","その他喪失"))))</f>
      </c>
    </row>
    <row r="1073">
      <c r="DB1073" s="2909">
        <f>IF($A1073="","",IF($A1073&lt;&gt;21,"対象外",IF($AE1073&amp;""="00000000","在職",IF($AE1073&amp;""='DB_設定'!$C$4,"4/1喪失","その他喪失"))))</f>
      </c>
    </row>
    <row r="1074">
      <c r="DB1074" s="2909">
        <f>IF($A1074="","",IF($A1074&lt;&gt;21,"対象外",IF($AE1074&amp;""="00000000","在職",IF($AE1074&amp;""='DB_設定'!$C$4,"4/1喪失","その他喪失"))))</f>
      </c>
    </row>
    <row r="1075">
      <c r="DB1075" s="2909">
        <f>IF($A1075="","",IF($A1075&lt;&gt;21,"対象外",IF($AE1075&amp;""="00000000","在職",IF($AE1075&amp;""='DB_設定'!$C$4,"4/1喪失","その他喪失"))))</f>
      </c>
    </row>
    <row r="1076">
      <c r="DB1076" s="2909">
        <f>IF($A1076="","",IF($A1076&lt;&gt;21,"対象外",IF($AE1076&amp;""="00000000","在職",IF($AE1076&amp;""='DB_設定'!$C$4,"4/1喪失","その他喪失"))))</f>
      </c>
    </row>
    <row r="1077">
      <c r="DB1077" s="2909">
        <f>IF($A1077="","",IF($A1077&lt;&gt;21,"対象外",IF($AE1077&amp;""="00000000","在職",IF($AE1077&amp;""='DB_設定'!$C$4,"4/1喪失","その他喪失"))))</f>
      </c>
    </row>
    <row r="1078">
      <c r="DB1078" s="2909">
        <f>IF($A1078="","",IF($A1078&lt;&gt;21,"対象外",IF($AE1078&amp;""="00000000","在職",IF($AE1078&amp;""='DB_設定'!$C$4,"4/1喪失","その他喪失"))))</f>
      </c>
    </row>
    <row r="1079">
      <c r="DB1079" s="2909">
        <f>IF($A1079="","",IF($A1079&lt;&gt;21,"対象外",IF($AE1079&amp;""="00000000","在職",IF($AE1079&amp;""='DB_設定'!$C$4,"4/1喪失","その他喪失"))))</f>
      </c>
    </row>
    <row r="1080">
      <c r="DB1080" s="2909">
        <f>IF($A1080="","",IF($A1080&lt;&gt;21,"対象外",IF($AE1080&amp;""="00000000","在職",IF($AE1080&amp;""='DB_設定'!$C$4,"4/1喪失","その他喪失"))))</f>
      </c>
    </row>
    <row r="1081">
      <c r="DB1081" s="2909">
        <f>IF($A1081="","",IF($A1081&lt;&gt;21,"対象外",IF($AE1081&amp;""="00000000","在職",IF($AE1081&amp;""='DB_設定'!$C$4,"4/1喪失","その他喪失"))))</f>
      </c>
    </row>
    <row r="1082">
      <c r="DB1082" s="2909">
        <f>IF($A1082="","",IF($A1082&lt;&gt;21,"対象外",IF($AE1082&amp;""="00000000","在職",IF($AE1082&amp;""='DB_設定'!$C$4,"4/1喪失","その他喪失"))))</f>
      </c>
    </row>
    <row r="1083">
      <c r="DB1083" s="2909">
        <f>IF($A1083="","",IF($A1083&lt;&gt;21,"対象外",IF($AE1083&amp;""="00000000","在職",IF($AE1083&amp;""='DB_設定'!$C$4,"4/1喪失","その他喪失"))))</f>
      </c>
    </row>
    <row r="1084">
      <c r="DB1084" s="2909">
        <f>IF($A1084="","",IF($A1084&lt;&gt;21,"対象外",IF($AE1084&amp;""="00000000","在職",IF($AE1084&amp;""='DB_設定'!$C$4,"4/1喪失","その他喪失"))))</f>
      </c>
    </row>
    <row r="1085">
      <c r="DB1085" s="2909">
        <f>IF($A1085="","",IF($A1085&lt;&gt;21,"対象外",IF($AE1085&amp;""="00000000","在職",IF($AE1085&amp;""='DB_設定'!$C$4,"4/1喪失","その他喪失"))))</f>
      </c>
    </row>
    <row r="1086">
      <c r="DB1086" s="2909">
        <f>IF($A1086="","",IF($A1086&lt;&gt;21,"対象外",IF($AE1086&amp;""="00000000","在職",IF($AE1086&amp;""='DB_設定'!$C$4,"4/1喪失","その他喪失"))))</f>
      </c>
    </row>
    <row r="1087">
      <c r="DB1087" s="2909">
        <f>IF($A1087="","",IF($A1087&lt;&gt;21,"対象外",IF($AE1087&amp;""="00000000","在職",IF($AE1087&amp;""='DB_設定'!$C$4,"4/1喪失","その他喪失"))))</f>
      </c>
    </row>
    <row r="1088">
      <c r="DB1088" s="2909">
        <f>IF($A1088="","",IF($A1088&lt;&gt;21,"対象外",IF($AE1088&amp;""="00000000","在職",IF($AE1088&amp;""='DB_設定'!$C$4,"4/1喪失","その他喪失"))))</f>
      </c>
    </row>
    <row r="1089">
      <c r="DB1089" s="2909">
        <f>IF($A1089="","",IF($A1089&lt;&gt;21,"対象外",IF($AE1089&amp;""="00000000","在職",IF($AE1089&amp;""='DB_設定'!$C$4,"4/1喪失","その他喪失"))))</f>
      </c>
    </row>
    <row r="1090">
      <c r="DB1090" s="2909">
        <f>IF($A1090="","",IF($A1090&lt;&gt;21,"対象外",IF($AE1090&amp;""="00000000","在職",IF($AE1090&amp;""='DB_設定'!$C$4,"4/1喪失","その他喪失"))))</f>
      </c>
    </row>
    <row r="1091">
      <c r="DB1091" s="2909">
        <f>IF($A1091="","",IF($A1091&lt;&gt;21,"対象外",IF($AE1091&amp;""="00000000","在職",IF($AE1091&amp;""='DB_設定'!$C$4,"4/1喪失","その他喪失"))))</f>
      </c>
    </row>
    <row r="1092">
      <c r="DB1092" s="2909">
        <f>IF($A1092="","",IF($A1092&lt;&gt;21,"対象外",IF($AE1092&amp;""="00000000","在職",IF($AE1092&amp;""='DB_設定'!$C$4,"4/1喪失","その他喪失"))))</f>
      </c>
    </row>
    <row r="1093">
      <c r="DB1093" s="2909">
        <f>IF($A1093="","",IF($A1093&lt;&gt;21,"対象外",IF($AE1093&amp;""="00000000","在職",IF($AE1093&amp;""='DB_設定'!$C$4,"4/1喪失","その他喪失"))))</f>
      </c>
    </row>
    <row r="1094">
      <c r="DB1094" s="2909">
        <f>IF($A1094="","",IF($A1094&lt;&gt;21,"対象外",IF($AE1094&amp;""="00000000","在職",IF($AE1094&amp;""='DB_設定'!$C$4,"4/1喪失","その他喪失"))))</f>
      </c>
    </row>
    <row r="1095">
      <c r="DB1095" s="2909">
        <f>IF($A1095="","",IF($A1095&lt;&gt;21,"対象外",IF($AE1095&amp;""="00000000","在職",IF($AE1095&amp;""='DB_設定'!$C$4,"4/1喪失","その他喪失"))))</f>
      </c>
    </row>
    <row r="1096">
      <c r="DB1096" s="2909">
        <f>IF($A1096="","",IF($A1096&lt;&gt;21,"対象外",IF($AE1096&amp;""="00000000","在職",IF($AE1096&amp;""='DB_設定'!$C$4,"4/1喪失","その他喪失"))))</f>
      </c>
    </row>
    <row r="1097">
      <c r="DB1097" s="2909">
        <f>IF($A1097="","",IF($A1097&lt;&gt;21,"対象外",IF($AE1097&amp;""="00000000","在職",IF($AE1097&amp;""='DB_設定'!$C$4,"4/1喪失","その他喪失"))))</f>
      </c>
    </row>
    <row r="1098">
      <c r="DB1098" s="2909">
        <f>IF($A1098="","",IF($A1098&lt;&gt;21,"対象外",IF($AE1098&amp;""="00000000","在職",IF($AE1098&amp;""='DB_設定'!$C$4,"4/1喪失","その他喪失"))))</f>
      </c>
    </row>
    <row r="1099">
      <c r="DB1099" s="2909">
        <f>IF($A1099="","",IF($A1099&lt;&gt;21,"対象外",IF($AE1099&amp;""="00000000","在職",IF($AE1099&amp;""='DB_設定'!$C$4,"4/1喪失","その他喪失"))))</f>
      </c>
    </row>
    <row r="1100">
      <c r="DB1100" s="2909">
        <f>IF($A1100="","",IF($A1100&lt;&gt;21,"対象外",IF($AE1100&amp;""="00000000","在職",IF($AE1100&amp;""='DB_設定'!$C$4,"4/1喪失","その他喪失"))))</f>
      </c>
    </row>
    <row r="1101">
      <c r="DB1101" s="2909">
        <f>IF($A1101="","",IF($A1101&lt;&gt;21,"対象外",IF($AE1101&amp;""="00000000","在職",IF($AE1101&amp;""='DB_設定'!$C$4,"4/1喪失","その他喪失"))))</f>
      </c>
    </row>
    <row r="1102">
      <c r="DB1102" s="2909">
        <f>IF($A1102="","",IF($A1102&lt;&gt;21,"対象外",IF($AE1102&amp;""="00000000","在職",IF($AE1102&amp;""='DB_設定'!$C$4,"4/1喪失","その他喪失"))))</f>
      </c>
    </row>
    <row r="1103">
      <c r="DB1103" s="2909">
        <f>IF($A1103="","",IF($A1103&lt;&gt;21,"対象外",IF($AE1103&amp;""="00000000","在職",IF($AE1103&amp;""='DB_設定'!$C$4,"4/1喪失","その他喪失"))))</f>
      </c>
    </row>
    <row r="1104">
      <c r="DB1104" s="2909">
        <f>IF($A1104="","",IF($A1104&lt;&gt;21,"対象外",IF($AE1104&amp;""="00000000","在職",IF($AE1104&amp;""='DB_設定'!$C$4,"4/1喪失","その他喪失"))))</f>
      </c>
    </row>
    <row r="1105">
      <c r="DB1105" s="2909">
        <f>IF($A1105="","",IF($A1105&lt;&gt;21,"対象外",IF($AE1105&amp;""="00000000","在職",IF($AE1105&amp;""='DB_設定'!$C$4,"4/1喪失","その他喪失"))))</f>
      </c>
    </row>
    <row r="1106">
      <c r="DB1106" s="2909">
        <f>IF($A1106="","",IF($A1106&lt;&gt;21,"対象外",IF($AE1106&amp;""="00000000","在職",IF($AE1106&amp;""='DB_設定'!$C$4,"4/1喪失","その他喪失"))))</f>
      </c>
    </row>
    <row r="1107">
      <c r="DB1107" s="2909">
        <f>IF($A1107="","",IF($A1107&lt;&gt;21,"対象外",IF($AE1107&amp;""="00000000","在職",IF($AE1107&amp;""='DB_設定'!$C$4,"4/1喪失","その他喪失"))))</f>
      </c>
    </row>
    <row r="1108">
      <c r="DB1108" s="2909">
        <f>IF($A1108="","",IF($A1108&lt;&gt;21,"対象外",IF($AE1108&amp;""="00000000","在職",IF($AE1108&amp;""='DB_設定'!$C$4,"4/1喪失","その他喪失"))))</f>
      </c>
    </row>
    <row r="1109">
      <c r="DB1109" s="2909">
        <f>IF($A1109="","",IF($A1109&lt;&gt;21,"対象外",IF($AE1109&amp;""="00000000","在職",IF($AE1109&amp;""='DB_設定'!$C$4,"4/1喪失","その他喪失"))))</f>
      </c>
    </row>
    <row r="1110">
      <c r="DB1110" s="2909">
        <f>IF($A1110="","",IF($A1110&lt;&gt;21,"対象外",IF($AE1110&amp;""="00000000","在職",IF($AE1110&amp;""='DB_設定'!$C$4,"4/1喪失","その他喪失"))))</f>
      </c>
    </row>
    <row r="1111">
      <c r="DB1111" s="2909">
        <f>IF($A1111="","",IF($A1111&lt;&gt;21,"対象外",IF($AE1111&amp;""="00000000","在職",IF($AE1111&amp;""='DB_設定'!$C$4,"4/1喪失","その他喪失"))))</f>
      </c>
    </row>
    <row r="1112">
      <c r="DB1112" s="2909">
        <f>IF($A1112="","",IF($A1112&lt;&gt;21,"対象外",IF($AE1112&amp;""="00000000","在職",IF($AE1112&amp;""='DB_設定'!$C$4,"4/1喪失","その他喪失"))))</f>
      </c>
    </row>
    <row r="1113">
      <c r="DB1113" s="2909">
        <f>IF($A1113="","",IF($A1113&lt;&gt;21,"対象外",IF($AE1113&amp;""="00000000","在職",IF($AE1113&amp;""='DB_設定'!$C$4,"4/1喪失","その他喪失"))))</f>
      </c>
    </row>
    <row r="1114">
      <c r="DB1114" s="2909">
        <f>IF($A1114="","",IF($A1114&lt;&gt;21,"対象外",IF($AE1114&amp;""="00000000","在職",IF($AE1114&amp;""='DB_設定'!$C$4,"4/1喪失","その他喪失"))))</f>
      </c>
    </row>
    <row r="1115">
      <c r="DB1115" s="2909">
        <f>IF($A1115="","",IF($A1115&lt;&gt;21,"対象外",IF($AE1115&amp;""="00000000","在職",IF($AE1115&amp;""='DB_設定'!$C$4,"4/1喪失","その他喪失"))))</f>
      </c>
    </row>
    <row r="1116">
      <c r="DB1116" s="2909">
        <f>IF($A1116="","",IF($A1116&lt;&gt;21,"対象外",IF($AE1116&amp;""="00000000","在職",IF($AE1116&amp;""='DB_設定'!$C$4,"4/1喪失","その他喪失"))))</f>
      </c>
    </row>
    <row r="1117">
      <c r="DB1117" s="2909">
        <f>IF($A1117="","",IF($A1117&lt;&gt;21,"対象外",IF($AE1117&amp;""="00000000","在職",IF($AE1117&amp;""='DB_設定'!$C$4,"4/1喪失","その他喪失"))))</f>
      </c>
    </row>
    <row r="1118">
      <c r="DB1118" s="2909">
        <f>IF($A1118="","",IF($A1118&lt;&gt;21,"対象外",IF($AE1118&amp;""="00000000","在職",IF($AE1118&amp;""='DB_設定'!$C$4,"4/1喪失","その他喪失"))))</f>
      </c>
    </row>
    <row r="1119">
      <c r="DB1119" s="2909">
        <f>IF($A1119="","",IF($A1119&lt;&gt;21,"対象外",IF($AE1119&amp;""="00000000","在職",IF($AE1119&amp;""='DB_設定'!$C$4,"4/1喪失","その他喪失"))))</f>
      </c>
    </row>
    <row r="1120">
      <c r="DB1120" s="2909">
        <f>IF($A1120="","",IF($A1120&lt;&gt;21,"対象外",IF($AE1120&amp;""="00000000","在職",IF($AE1120&amp;""='DB_設定'!$C$4,"4/1喪失","その他喪失"))))</f>
      </c>
    </row>
    <row r="1121">
      <c r="DB1121" s="2909">
        <f>IF($A1121="","",IF($A1121&lt;&gt;21,"対象外",IF($AE1121&amp;""="00000000","在職",IF($AE1121&amp;""='DB_設定'!$C$4,"4/1喪失","その他喪失"))))</f>
      </c>
    </row>
    <row r="1122">
      <c r="DB1122" s="2909">
        <f>IF($A1122="","",IF($A1122&lt;&gt;21,"対象外",IF($AE1122&amp;""="00000000","在職",IF($AE1122&amp;""='DB_設定'!$C$4,"4/1喪失","その他喪失"))))</f>
      </c>
    </row>
    <row r="1123">
      <c r="DB1123" s="2909">
        <f>IF($A1123="","",IF($A1123&lt;&gt;21,"対象外",IF($AE1123&amp;""="00000000","在職",IF($AE1123&amp;""='DB_設定'!$C$4,"4/1喪失","その他喪失"))))</f>
      </c>
    </row>
    <row r="1124">
      <c r="DB1124" s="2909">
        <f>IF($A1124="","",IF($A1124&lt;&gt;21,"対象外",IF($AE1124&amp;""="00000000","在職",IF($AE1124&amp;""='DB_設定'!$C$4,"4/1喪失","その他喪失"))))</f>
      </c>
    </row>
    <row r="1125">
      <c r="DB1125" s="2909">
        <f>IF($A1125="","",IF($A1125&lt;&gt;21,"対象外",IF($AE1125&amp;""="00000000","在職",IF($AE1125&amp;""='DB_設定'!$C$4,"4/1喪失","その他喪失"))))</f>
      </c>
    </row>
    <row r="1126">
      <c r="DB1126" s="2909">
        <f>IF($A1126="","",IF($A1126&lt;&gt;21,"対象外",IF($AE1126&amp;""="00000000","在職",IF($AE1126&amp;""='DB_設定'!$C$4,"4/1喪失","その他喪失"))))</f>
      </c>
    </row>
    <row r="1127">
      <c r="DB1127" s="2909">
        <f>IF($A1127="","",IF($A1127&lt;&gt;21,"対象外",IF($AE1127&amp;""="00000000","在職",IF($AE1127&amp;""='DB_設定'!$C$4,"4/1喪失","その他喪失"))))</f>
      </c>
    </row>
    <row r="1128">
      <c r="DB1128" s="2909">
        <f>IF($A1128="","",IF($A1128&lt;&gt;21,"対象外",IF($AE1128&amp;""="00000000","在職",IF($AE1128&amp;""='DB_設定'!$C$4,"4/1喪失","その他喪失"))))</f>
      </c>
    </row>
    <row r="1129">
      <c r="DB1129" s="2909">
        <f>IF($A1129="","",IF($A1129&lt;&gt;21,"対象外",IF($AE1129&amp;""="00000000","在職",IF($AE1129&amp;""='DB_設定'!$C$4,"4/1喪失","その他喪失"))))</f>
      </c>
    </row>
    <row r="1130">
      <c r="DB1130" s="2909">
        <f>IF($A1130="","",IF($A1130&lt;&gt;21,"対象外",IF($AE1130&amp;""="00000000","在職",IF($AE1130&amp;""='DB_設定'!$C$4,"4/1喪失","その他喪失"))))</f>
      </c>
    </row>
    <row r="1131">
      <c r="DB1131" s="2909">
        <f>IF($A1131="","",IF($A1131&lt;&gt;21,"対象外",IF($AE1131&amp;""="00000000","在職",IF($AE1131&amp;""='DB_設定'!$C$4,"4/1喪失","その他喪失"))))</f>
      </c>
    </row>
    <row r="1132">
      <c r="DB1132" s="2909">
        <f>IF($A1132="","",IF($A1132&lt;&gt;21,"対象外",IF($AE1132&amp;""="00000000","在職",IF($AE1132&amp;""='DB_設定'!$C$4,"4/1喪失","その他喪失"))))</f>
      </c>
    </row>
    <row r="1133">
      <c r="DB1133" s="2909">
        <f>IF($A1133="","",IF($A1133&lt;&gt;21,"対象外",IF($AE1133&amp;""="00000000","在職",IF($AE1133&amp;""='DB_設定'!$C$4,"4/1喪失","その他喪失"))))</f>
      </c>
    </row>
    <row r="1134">
      <c r="DB1134" s="2909">
        <f>IF($A1134="","",IF($A1134&lt;&gt;21,"対象外",IF($AE1134&amp;""="00000000","在職",IF($AE1134&amp;""='DB_設定'!$C$4,"4/1喪失","その他喪失"))))</f>
      </c>
    </row>
    <row r="1135">
      <c r="DB1135" s="2909">
        <f>IF($A1135="","",IF($A1135&lt;&gt;21,"対象外",IF($AE1135&amp;""="00000000","在職",IF($AE1135&amp;""='DB_設定'!$C$4,"4/1喪失","その他喪失"))))</f>
      </c>
    </row>
    <row r="1136">
      <c r="DB1136" s="2909">
        <f>IF($A1136="","",IF($A1136&lt;&gt;21,"対象外",IF($AE1136&amp;""="00000000","在職",IF($AE1136&amp;""='DB_設定'!$C$4,"4/1喪失","その他喪失"))))</f>
      </c>
    </row>
    <row r="1137">
      <c r="DB1137" s="2909">
        <f>IF($A1137="","",IF($A1137&lt;&gt;21,"対象外",IF($AE1137&amp;""="00000000","在職",IF($AE1137&amp;""='DB_設定'!$C$4,"4/1喪失","その他喪失"))))</f>
      </c>
    </row>
    <row r="1138">
      <c r="DB1138" s="2909">
        <f>IF($A1138="","",IF($A1138&lt;&gt;21,"対象外",IF($AE1138&amp;""="00000000","在職",IF($AE1138&amp;""='DB_設定'!$C$4,"4/1喪失","その他喪失"))))</f>
      </c>
    </row>
    <row r="1139">
      <c r="DB1139" s="2909">
        <f>IF($A1139="","",IF($A1139&lt;&gt;21,"対象外",IF($AE1139&amp;""="00000000","在職",IF($AE1139&amp;""='DB_設定'!$C$4,"4/1喪失","その他喪失"))))</f>
      </c>
    </row>
    <row r="1140">
      <c r="DB1140" s="2909">
        <f>IF($A1140="","",IF($A1140&lt;&gt;21,"対象外",IF($AE1140&amp;""="00000000","在職",IF($AE1140&amp;""='DB_設定'!$C$4,"4/1喪失","その他喪失"))))</f>
      </c>
    </row>
    <row r="1141">
      <c r="DB1141" s="2909">
        <f>IF($A1141="","",IF($A1141&lt;&gt;21,"対象外",IF($AE1141&amp;""="00000000","在職",IF($AE1141&amp;""='DB_設定'!$C$4,"4/1喪失","その他喪失"))))</f>
      </c>
    </row>
    <row r="1142">
      <c r="DB1142" s="2909">
        <f>IF($A1142="","",IF($A1142&lt;&gt;21,"対象外",IF($AE1142&amp;""="00000000","在職",IF($AE1142&amp;""='DB_設定'!$C$4,"4/1喪失","その他喪失"))))</f>
      </c>
    </row>
    <row r="1143">
      <c r="DB1143" s="2909">
        <f>IF($A1143="","",IF($A1143&lt;&gt;21,"対象外",IF($AE1143&amp;""="00000000","在職",IF($AE1143&amp;""='DB_設定'!$C$4,"4/1喪失","その他喪失"))))</f>
      </c>
    </row>
    <row r="1144">
      <c r="DB1144" s="2909">
        <f>IF($A1144="","",IF($A1144&lt;&gt;21,"対象外",IF($AE1144&amp;""="00000000","在職",IF($AE1144&amp;""='DB_設定'!$C$4,"4/1喪失","その他喪失"))))</f>
      </c>
    </row>
    <row r="1145">
      <c r="DB1145" s="2909">
        <f>IF($A1145="","",IF($A1145&lt;&gt;21,"対象外",IF($AE1145&amp;""="00000000","在職",IF($AE1145&amp;""='DB_設定'!$C$4,"4/1喪失","その他喪失"))))</f>
      </c>
    </row>
    <row r="1146">
      <c r="DB1146" s="2909">
        <f>IF($A1146="","",IF($A1146&lt;&gt;21,"対象外",IF($AE1146&amp;""="00000000","在職",IF($AE1146&amp;""='DB_設定'!$C$4,"4/1喪失","その他喪失"))))</f>
      </c>
    </row>
    <row r="1147">
      <c r="DB1147" s="2909">
        <f>IF($A1147="","",IF($A1147&lt;&gt;21,"対象外",IF($AE1147&amp;""="00000000","在職",IF($AE1147&amp;""='DB_設定'!$C$4,"4/1喪失","その他喪失"))))</f>
      </c>
    </row>
    <row r="1148">
      <c r="DB1148" s="2909">
        <f>IF($A1148="","",IF($A1148&lt;&gt;21,"対象外",IF($AE1148&amp;""="00000000","在職",IF($AE1148&amp;""='DB_設定'!$C$4,"4/1喪失","その他喪失"))))</f>
      </c>
    </row>
    <row r="1149">
      <c r="DB1149" s="2909">
        <f>IF($A1149="","",IF($A1149&lt;&gt;21,"対象外",IF($AE1149&amp;""="00000000","在職",IF($AE1149&amp;""='DB_設定'!$C$4,"4/1喪失","その他喪失"))))</f>
      </c>
    </row>
    <row r="1150">
      <c r="DB1150" s="2909">
        <f>IF($A1150="","",IF($A1150&lt;&gt;21,"対象外",IF($AE1150&amp;""="00000000","在職",IF($AE1150&amp;""='DB_設定'!$C$4,"4/1喪失","その他喪失"))))</f>
      </c>
    </row>
    <row r="1151">
      <c r="DB1151" s="2909">
        <f>IF($A1151="","",IF($A1151&lt;&gt;21,"対象外",IF($AE1151&amp;""="00000000","在職",IF($AE1151&amp;""='DB_設定'!$C$4,"4/1喪失","その他喪失"))))</f>
      </c>
    </row>
    <row r="1152">
      <c r="DB1152" s="2909">
        <f>IF($A1152="","",IF($A1152&lt;&gt;21,"対象外",IF($AE1152&amp;""="00000000","在職",IF($AE1152&amp;""='DB_設定'!$C$4,"4/1喪失","その他喪失"))))</f>
      </c>
    </row>
    <row r="1153">
      <c r="DB1153" s="2909">
        <f>IF($A1153="","",IF($A1153&lt;&gt;21,"対象外",IF($AE1153&amp;""="00000000","在職",IF($AE1153&amp;""='DB_設定'!$C$4,"4/1喪失","その他喪失"))))</f>
      </c>
    </row>
    <row r="1154">
      <c r="DB1154" s="2909">
        <f>IF($A1154="","",IF($A1154&lt;&gt;21,"対象外",IF($AE1154&amp;""="00000000","在職",IF($AE1154&amp;""='DB_設定'!$C$4,"4/1喪失","その他喪失"))))</f>
      </c>
    </row>
    <row r="1155">
      <c r="DB1155" s="2909">
        <f>IF($A1155="","",IF($A1155&lt;&gt;21,"対象外",IF($AE1155&amp;""="00000000","在職",IF($AE1155&amp;""='DB_設定'!$C$4,"4/1喪失","その他喪失"))))</f>
      </c>
    </row>
    <row r="1156">
      <c r="DB1156" s="2909">
        <f>IF($A1156="","",IF($A1156&lt;&gt;21,"対象外",IF($AE1156&amp;""="00000000","在職",IF($AE1156&amp;""='DB_設定'!$C$4,"4/1喪失","その他喪失"))))</f>
      </c>
    </row>
    <row r="1157">
      <c r="DB1157" s="2909">
        <f>IF($A1157="","",IF($A1157&lt;&gt;21,"対象外",IF($AE1157&amp;""="00000000","在職",IF($AE1157&amp;""='DB_設定'!$C$4,"4/1喪失","その他喪失"))))</f>
      </c>
    </row>
    <row r="1158">
      <c r="DB1158" s="2909">
        <f>IF($A1158="","",IF($A1158&lt;&gt;21,"対象外",IF($AE1158&amp;""="00000000","在職",IF($AE1158&amp;""='DB_設定'!$C$4,"4/1喪失","その他喪失"))))</f>
      </c>
    </row>
    <row r="1159">
      <c r="DB1159" s="2909">
        <f>IF($A1159="","",IF($A1159&lt;&gt;21,"対象外",IF($AE1159&amp;""="00000000","在職",IF($AE1159&amp;""='DB_設定'!$C$4,"4/1喪失","その他喪失"))))</f>
      </c>
    </row>
    <row r="1160">
      <c r="DB1160" s="2909">
        <f>IF($A1160="","",IF($A1160&lt;&gt;21,"対象外",IF($AE1160&amp;""="00000000","在職",IF($AE1160&amp;""='DB_設定'!$C$4,"4/1喪失","その他喪失"))))</f>
      </c>
    </row>
    <row r="1161">
      <c r="DB1161" s="2909">
        <f>IF($A1161="","",IF($A1161&lt;&gt;21,"対象外",IF($AE1161&amp;""="00000000","在職",IF($AE1161&amp;""='DB_設定'!$C$4,"4/1喪失","その他喪失"))))</f>
      </c>
    </row>
    <row r="1162">
      <c r="DB1162" s="2909">
        <f>IF($A1162="","",IF($A1162&lt;&gt;21,"対象外",IF($AE1162&amp;""="00000000","在職",IF($AE1162&amp;""='DB_設定'!$C$4,"4/1喪失","その他喪失"))))</f>
      </c>
    </row>
    <row r="1163">
      <c r="DB1163" s="2909">
        <f>IF($A1163="","",IF($A1163&lt;&gt;21,"対象外",IF($AE1163&amp;""="00000000","在職",IF($AE1163&amp;""='DB_設定'!$C$4,"4/1喪失","その他喪失"))))</f>
      </c>
    </row>
    <row r="1164">
      <c r="DB1164" s="2909">
        <f>IF($A1164="","",IF($A1164&lt;&gt;21,"対象外",IF($AE1164&amp;""="00000000","在職",IF($AE1164&amp;""='DB_設定'!$C$4,"4/1喪失","その他喪失"))))</f>
      </c>
    </row>
    <row r="1165">
      <c r="DB1165" s="2909">
        <f>IF($A1165="","",IF($A1165&lt;&gt;21,"対象外",IF($AE1165&amp;""="00000000","在職",IF($AE1165&amp;""='DB_設定'!$C$4,"4/1喪失","その他喪失"))))</f>
      </c>
    </row>
    <row r="1166">
      <c r="DB1166" s="2909">
        <f>IF($A1166="","",IF($A1166&lt;&gt;21,"対象外",IF($AE1166&amp;""="00000000","在職",IF($AE1166&amp;""='DB_設定'!$C$4,"4/1喪失","その他喪失"))))</f>
      </c>
    </row>
    <row r="1167">
      <c r="DB1167" s="2909">
        <f>IF($A1167="","",IF($A1167&lt;&gt;21,"対象外",IF($AE1167&amp;""="00000000","在職",IF($AE1167&amp;""='DB_設定'!$C$4,"4/1喪失","その他喪失"))))</f>
      </c>
    </row>
    <row r="1168">
      <c r="DB1168" s="2909">
        <f>IF($A1168="","",IF($A1168&lt;&gt;21,"対象外",IF($AE1168&amp;""="00000000","在職",IF($AE1168&amp;""='DB_設定'!$C$4,"4/1喪失","その他喪失"))))</f>
      </c>
    </row>
    <row r="1169">
      <c r="DB1169" s="2909">
        <f>IF($A1169="","",IF($A1169&lt;&gt;21,"対象外",IF($AE1169&amp;""="00000000","在職",IF($AE1169&amp;""='DB_設定'!$C$4,"4/1喪失","その他喪失"))))</f>
      </c>
    </row>
    <row r="1170">
      <c r="DB1170" s="2909">
        <f>IF($A1170="","",IF($A1170&lt;&gt;21,"対象外",IF($AE1170&amp;""="00000000","在職",IF($AE1170&amp;""='DB_設定'!$C$4,"4/1喪失","その他喪失"))))</f>
      </c>
    </row>
    <row r="1171">
      <c r="DB1171" s="2909">
        <f>IF($A1171="","",IF($A1171&lt;&gt;21,"対象外",IF($AE1171&amp;""="00000000","在職",IF($AE1171&amp;""='DB_設定'!$C$4,"4/1喪失","その他喪失"))))</f>
      </c>
    </row>
    <row r="1172">
      <c r="DB1172" s="2909">
        <f>IF($A1172="","",IF($A1172&lt;&gt;21,"対象外",IF($AE1172&amp;""="00000000","在職",IF($AE1172&amp;""='DB_設定'!$C$4,"4/1喪失","その他喪失"))))</f>
      </c>
    </row>
    <row r="1173">
      <c r="DB1173" s="2909">
        <f>IF($A1173="","",IF($A1173&lt;&gt;21,"対象外",IF($AE1173&amp;""="00000000","在職",IF($AE1173&amp;""='DB_設定'!$C$4,"4/1喪失","その他喪失"))))</f>
      </c>
    </row>
    <row r="1174">
      <c r="DB1174" s="2909">
        <f>IF($A1174="","",IF($A1174&lt;&gt;21,"対象外",IF($AE1174&amp;""="00000000","在職",IF($AE1174&amp;""='DB_設定'!$C$4,"4/1喪失","その他喪失"))))</f>
      </c>
    </row>
    <row r="1175">
      <c r="DB1175" s="2909">
        <f>IF($A1175="","",IF($A1175&lt;&gt;21,"対象外",IF($AE1175&amp;""="00000000","在職",IF($AE1175&amp;""='DB_設定'!$C$4,"4/1喪失","その他喪失"))))</f>
      </c>
    </row>
    <row r="1176">
      <c r="DB1176" s="2909">
        <f>IF($A1176="","",IF($A1176&lt;&gt;21,"対象外",IF($AE1176&amp;""="00000000","在職",IF($AE1176&amp;""='DB_設定'!$C$4,"4/1喪失","その他喪失"))))</f>
      </c>
    </row>
    <row r="1177">
      <c r="DB1177" s="2909">
        <f>IF($A1177="","",IF($A1177&lt;&gt;21,"対象外",IF($AE1177&amp;""="00000000","在職",IF($AE1177&amp;""='DB_設定'!$C$4,"4/1喪失","その他喪失"))))</f>
      </c>
    </row>
    <row r="1178">
      <c r="DB1178" s="2909">
        <f>IF($A1178="","",IF($A1178&lt;&gt;21,"対象外",IF($AE1178&amp;""="00000000","在職",IF($AE1178&amp;""='DB_設定'!$C$4,"4/1喪失","その他喪失"))))</f>
      </c>
    </row>
    <row r="1179">
      <c r="DB1179" s="2909">
        <f>IF($A1179="","",IF($A1179&lt;&gt;21,"対象外",IF($AE1179&amp;""="00000000","在職",IF($AE1179&amp;""='DB_設定'!$C$4,"4/1喪失","その他喪失"))))</f>
      </c>
    </row>
    <row r="1180">
      <c r="DB1180" s="2909">
        <f>IF($A1180="","",IF($A1180&lt;&gt;21,"対象外",IF($AE1180&amp;""="00000000","在職",IF($AE1180&amp;""='DB_設定'!$C$4,"4/1喪失","その他喪失"))))</f>
      </c>
    </row>
    <row r="1181">
      <c r="DB1181" s="2909">
        <f>IF($A1181="","",IF($A1181&lt;&gt;21,"対象外",IF($AE1181&amp;""="00000000","在職",IF($AE1181&amp;""='DB_設定'!$C$4,"4/1喪失","その他喪失"))))</f>
      </c>
    </row>
    <row r="1182">
      <c r="DB1182" s="2909">
        <f>IF($A1182="","",IF($A1182&lt;&gt;21,"対象外",IF($AE1182&amp;""="00000000","在職",IF($AE1182&amp;""='DB_設定'!$C$4,"4/1喪失","その他喪失"))))</f>
      </c>
    </row>
    <row r="1183">
      <c r="DB1183" s="2909">
        <f>IF($A1183="","",IF($A1183&lt;&gt;21,"対象外",IF($AE1183&amp;""="00000000","在職",IF($AE1183&amp;""='DB_設定'!$C$4,"4/1喪失","その他喪失"))))</f>
      </c>
    </row>
    <row r="1184">
      <c r="DB1184" s="2909">
        <f>IF($A1184="","",IF($A1184&lt;&gt;21,"対象外",IF($AE1184&amp;""="00000000","在職",IF($AE1184&amp;""='DB_設定'!$C$4,"4/1喪失","その他喪失"))))</f>
      </c>
    </row>
    <row r="1185">
      <c r="DB1185" s="2909">
        <f>IF($A1185="","",IF($A1185&lt;&gt;21,"対象外",IF($AE1185&amp;""="00000000","在職",IF($AE1185&amp;""='DB_設定'!$C$4,"4/1喪失","その他喪失"))))</f>
      </c>
    </row>
    <row r="1186">
      <c r="DB1186" s="2909">
        <f>IF($A1186="","",IF($A1186&lt;&gt;21,"対象外",IF($AE1186&amp;""="00000000","在職",IF($AE1186&amp;""='DB_設定'!$C$4,"4/1喪失","その他喪失"))))</f>
      </c>
    </row>
    <row r="1187">
      <c r="DB1187" s="2909">
        <f>IF($A1187="","",IF($A1187&lt;&gt;21,"対象外",IF($AE1187&amp;""="00000000","在職",IF($AE1187&amp;""='DB_設定'!$C$4,"4/1喪失","その他喪失"))))</f>
      </c>
    </row>
    <row r="1188">
      <c r="DB1188" s="2909">
        <f>IF($A1188="","",IF($A1188&lt;&gt;21,"対象外",IF($AE1188&amp;""="00000000","在職",IF($AE1188&amp;""='DB_設定'!$C$4,"4/1喪失","その他喪失"))))</f>
      </c>
    </row>
    <row r="1189">
      <c r="DB1189" s="2909">
        <f>IF($A1189="","",IF($A1189&lt;&gt;21,"対象外",IF($AE1189&amp;""="00000000","在職",IF($AE1189&amp;""='DB_設定'!$C$4,"4/1喪失","その他喪失"))))</f>
      </c>
    </row>
    <row r="1190">
      <c r="DB1190" s="2909">
        <f>IF($A1190="","",IF($A1190&lt;&gt;21,"対象外",IF($AE1190&amp;""="00000000","在職",IF($AE1190&amp;""='DB_設定'!$C$4,"4/1喪失","その他喪失"))))</f>
      </c>
    </row>
    <row r="1191">
      <c r="DB1191" s="2909">
        <f>IF($A1191="","",IF($A1191&lt;&gt;21,"対象外",IF($AE1191&amp;""="00000000","在職",IF($AE1191&amp;""='DB_設定'!$C$4,"4/1喪失","その他喪失"))))</f>
      </c>
    </row>
    <row r="1192">
      <c r="DB1192" s="2909">
        <f>IF($A1192="","",IF($A1192&lt;&gt;21,"対象外",IF($AE1192&amp;""="00000000","在職",IF($AE1192&amp;""='DB_設定'!$C$4,"4/1喪失","その他喪失"))))</f>
      </c>
    </row>
    <row r="1193">
      <c r="DB1193" s="2909">
        <f>IF($A1193="","",IF($A1193&lt;&gt;21,"対象外",IF($AE1193&amp;""="00000000","在職",IF($AE1193&amp;""='DB_設定'!$C$4,"4/1喪失","その他喪失"))))</f>
      </c>
    </row>
    <row r="1194">
      <c r="DB1194" s="2909">
        <f>IF($A1194="","",IF($A1194&lt;&gt;21,"対象外",IF($AE1194&amp;""="00000000","在職",IF($AE1194&amp;""='DB_設定'!$C$4,"4/1喪失","その他喪失"))))</f>
      </c>
    </row>
    <row r="1195">
      <c r="DB1195" s="2909">
        <f>IF($A1195="","",IF($A1195&lt;&gt;21,"対象外",IF($AE1195&amp;""="00000000","在職",IF($AE1195&amp;""='DB_設定'!$C$4,"4/1喪失","その他喪失"))))</f>
      </c>
    </row>
    <row r="1196">
      <c r="DB1196" s="2909">
        <f>IF($A1196="","",IF($A1196&lt;&gt;21,"対象外",IF($AE1196&amp;""="00000000","在職",IF($AE1196&amp;""='DB_設定'!$C$4,"4/1喪失","その他喪失"))))</f>
      </c>
    </row>
    <row r="1197">
      <c r="DB1197" s="2909">
        <f>IF($A1197="","",IF($A1197&lt;&gt;21,"対象外",IF($AE1197&amp;""="00000000","在職",IF($AE1197&amp;""='DB_設定'!$C$4,"4/1喪失","その他喪失"))))</f>
      </c>
    </row>
    <row r="1198">
      <c r="DB1198" s="2909">
        <f>IF($A1198="","",IF($A1198&lt;&gt;21,"対象外",IF($AE1198&amp;""="00000000","在職",IF($AE1198&amp;""='DB_設定'!$C$4,"4/1喪失","その他喪失"))))</f>
      </c>
    </row>
    <row r="1199">
      <c r="DB1199" s="2909">
        <f>IF($A1199="","",IF($A1199&lt;&gt;21,"対象外",IF($AE1199&amp;""="00000000","在職",IF($AE1199&amp;""='DB_設定'!$C$4,"4/1喪失","その他喪失"))))</f>
      </c>
    </row>
    <row r="1200">
      <c r="DB1200" s="2909">
        <f>IF($A1200="","",IF($A1200&lt;&gt;21,"対象外",IF($AE1200&amp;""="00000000","在職",IF($AE1200&amp;""='DB_設定'!$C$4,"4/1喪失","その他喪失"))))</f>
      </c>
    </row>
    <row r="1201">
      <c r="DB1201" s="2909">
        <f>IF($A1201="","",IF($A1201&lt;&gt;21,"対象外",IF($AE1201&amp;""="00000000","在職",IF($AE1201&amp;""='DB_設定'!$C$4,"4/1喪失","その他喪失"))))</f>
      </c>
    </row>
    <row r="1202">
      <c r="DB1202" s="2909">
        <f>IF($A1202="","",IF($A1202&lt;&gt;21,"対象外",IF($AE1202&amp;""="00000000","在職",IF($AE1202&amp;""='DB_設定'!$C$4,"4/1喪失","その他喪失"))))</f>
      </c>
    </row>
    <row r="1203">
      <c r="DB1203" s="2909">
        <f>IF($A1203="","",IF($A1203&lt;&gt;21,"対象外",IF($AE1203&amp;""="00000000","在職",IF($AE1203&amp;""='DB_設定'!$C$4,"4/1喪失","その他喪失"))))</f>
      </c>
    </row>
    <row r="1204">
      <c r="DB1204" s="2909">
        <f>IF($A1204="","",IF($A1204&lt;&gt;21,"対象外",IF($AE1204&amp;""="00000000","在職",IF($AE1204&amp;""='DB_設定'!$C$4,"4/1喪失","その他喪失"))))</f>
      </c>
    </row>
    <row r="1205">
      <c r="DB1205" s="2909">
        <f>IF($A1205="","",IF($A1205&lt;&gt;21,"対象外",IF($AE1205&amp;""="00000000","在職",IF($AE1205&amp;""='DB_設定'!$C$4,"4/1喪失","その他喪失"))))</f>
      </c>
    </row>
    <row r="1206">
      <c r="DB1206" s="2909">
        <f>IF($A1206="","",IF($A1206&lt;&gt;21,"対象外",IF($AE1206&amp;""="00000000","在職",IF($AE1206&amp;""='DB_設定'!$C$4,"4/1喪失","その他喪失"))))</f>
      </c>
    </row>
    <row r="1207">
      <c r="DB1207" s="2909">
        <f>IF($A1207="","",IF($A1207&lt;&gt;21,"対象外",IF($AE1207&amp;""="00000000","在職",IF($AE1207&amp;""='DB_設定'!$C$4,"4/1喪失","その他喪失"))))</f>
      </c>
    </row>
    <row r="1208">
      <c r="DB1208" s="2909">
        <f>IF($A1208="","",IF($A1208&lt;&gt;21,"対象外",IF($AE1208&amp;""="00000000","在職",IF($AE1208&amp;""='DB_設定'!$C$4,"4/1喪失","その他喪失"))))</f>
      </c>
    </row>
    <row r="1209">
      <c r="DB1209" s="2909">
        <f>IF($A1209="","",IF($A1209&lt;&gt;21,"対象外",IF($AE1209&amp;""="00000000","在職",IF($AE1209&amp;""='DB_設定'!$C$4,"4/1喪失","その他喪失"))))</f>
      </c>
    </row>
    <row r="1210">
      <c r="DB1210" s="2909">
        <f>IF($A1210="","",IF($A1210&lt;&gt;21,"対象外",IF($AE1210&amp;""="00000000","在職",IF($AE1210&amp;""='DB_設定'!$C$4,"4/1喪失","その他喪失"))))</f>
      </c>
    </row>
    <row r="1211">
      <c r="DB1211" s="2909">
        <f>IF($A1211="","",IF($A1211&lt;&gt;21,"対象外",IF($AE1211&amp;""="00000000","在職",IF($AE1211&amp;""='DB_設定'!$C$4,"4/1喪失","その他喪失"))))</f>
      </c>
    </row>
    <row r="1212">
      <c r="DB1212" s="2909">
        <f>IF($A1212="","",IF($A1212&lt;&gt;21,"対象外",IF($AE1212&amp;""="00000000","在職",IF($AE1212&amp;""='DB_設定'!$C$4,"4/1喪失","その他喪失"))))</f>
      </c>
    </row>
    <row r="1213">
      <c r="DB1213" s="2909">
        <f>IF($A1213="","",IF($A1213&lt;&gt;21,"対象外",IF($AE1213&amp;""="00000000","在職",IF($AE1213&amp;""='DB_設定'!$C$4,"4/1喪失","その他喪失"))))</f>
      </c>
    </row>
    <row r="1214">
      <c r="DB1214" s="2909">
        <f>IF($A1214="","",IF($A1214&lt;&gt;21,"対象外",IF($AE1214&amp;""="00000000","在職",IF($AE1214&amp;""='DB_設定'!$C$4,"4/1喪失","その他喪失"))))</f>
      </c>
    </row>
    <row r="1215">
      <c r="DB1215" s="2909">
        <f>IF($A1215="","",IF($A1215&lt;&gt;21,"対象外",IF($AE1215&amp;""="00000000","在職",IF($AE1215&amp;""='DB_設定'!$C$4,"4/1喪失","その他喪失"))))</f>
      </c>
    </row>
    <row r="1216">
      <c r="DB1216" s="2909">
        <f>IF($A1216="","",IF($A1216&lt;&gt;21,"対象外",IF($AE1216&amp;""="00000000","在職",IF($AE1216&amp;""='DB_設定'!$C$4,"4/1喪失","その他喪失"))))</f>
      </c>
    </row>
    <row r="1217">
      <c r="DB1217" s="2909">
        <f>IF($A1217="","",IF($A1217&lt;&gt;21,"対象外",IF($AE1217&amp;""="00000000","在職",IF($AE1217&amp;""='DB_設定'!$C$4,"4/1喪失","その他喪失"))))</f>
      </c>
    </row>
    <row r="1218">
      <c r="DB1218" s="2909">
        <f>IF($A1218="","",IF($A1218&lt;&gt;21,"対象外",IF($AE1218&amp;""="00000000","在職",IF($AE1218&amp;""='DB_設定'!$C$4,"4/1喪失","その他喪失"))))</f>
      </c>
    </row>
    <row r="1219">
      <c r="DB1219" s="2909">
        <f>IF($A1219="","",IF($A1219&lt;&gt;21,"対象外",IF($AE1219&amp;""="00000000","在職",IF($AE1219&amp;""='DB_設定'!$C$4,"4/1喪失","その他喪失"))))</f>
      </c>
    </row>
    <row r="1220">
      <c r="DB1220" s="2909">
        <f>IF($A1220="","",IF($A1220&lt;&gt;21,"対象外",IF($AE1220&amp;""="00000000","在職",IF($AE1220&amp;""='DB_設定'!$C$4,"4/1喪失","その他喪失"))))</f>
      </c>
    </row>
    <row r="1221">
      <c r="DB1221" s="2909">
        <f>IF($A1221="","",IF($A1221&lt;&gt;21,"対象外",IF($AE1221&amp;""="00000000","在職",IF($AE1221&amp;""='DB_設定'!$C$4,"4/1喪失","その他喪失"))))</f>
      </c>
    </row>
    <row r="1222">
      <c r="DB1222" s="2909">
        <f>IF($A1222="","",IF($A1222&lt;&gt;21,"対象外",IF($AE1222&amp;""="00000000","在職",IF($AE1222&amp;""='DB_設定'!$C$4,"4/1喪失","その他喪失"))))</f>
      </c>
    </row>
    <row r="1223">
      <c r="DB1223" s="2909">
        <f>IF($A1223="","",IF($A1223&lt;&gt;21,"対象外",IF($AE1223&amp;""="00000000","在職",IF($AE1223&amp;""='DB_設定'!$C$4,"4/1喪失","その他喪失"))))</f>
      </c>
    </row>
    <row r="1224">
      <c r="DB1224" s="2909">
        <f>IF($A1224="","",IF($A1224&lt;&gt;21,"対象外",IF($AE1224&amp;""="00000000","在職",IF($AE1224&amp;""='DB_設定'!$C$4,"4/1喪失","その他喪失"))))</f>
      </c>
    </row>
    <row r="1225">
      <c r="DB1225" s="2909">
        <f>IF($A1225="","",IF($A1225&lt;&gt;21,"対象外",IF($AE1225&amp;""="00000000","在職",IF($AE1225&amp;""='DB_設定'!$C$4,"4/1喪失","その他喪失"))))</f>
      </c>
    </row>
    <row r="1226">
      <c r="DB1226" s="2909">
        <f>IF($A1226="","",IF($A1226&lt;&gt;21,"対象外",IF($AE1226&amp;""="00000000","在職",IF($AE1226&amp;""='DB_設定'!$C$4,"4/1喪失","その他喪失"))))</f>
      </c>
    </row>
    <row r="1227">
      <c r="DB1227" s="2909">
        <f>IF($A1227="","",IF($A1227&lt;&gt;21,"対象外",IF($AE1227&amp;""="00000000","在職",IF($AE1227&amp;""='DB_設定'!$C$4,"4/1喪失","その他喪失"))))</f>
      </c>
    </row>
    <row r="1228">
      <c r="DB1228" s="2909">
        <f>IF($A1228="","",IF($A1228&lt;&gt;21,"対象外",IF($AE1228&amp;""="00000000","在職",IF($AE1228&amp;""='DB_設定'!$C$4,"4/1喪失","その他喪失"))))</f>
      </c>
    </row>
    <row r="1229">
      <c r="DB1229" s="2909">
        <f>IF($A1229="","",IF($A1229&lt;&gt;21,"対象外",IF($AE1229&amp;""="00000000","在職",IF($AE1229&amp;""='DB_設定'!$C$4,"4/1喪失","その他喪失"))))</f>
      </c>
    </row>
    <row r="1230">
      <c r="DB1230" s="2909">
        <f>IF($A1230="","",IF($A1230&lt;&gt;21,"対象外",IF($AE1230&amp;""="00000000","在職",IF($AE1230&amp;""='DB_設定'!$C$4,"4/1喪失","その他喪失"))))</f>
      </c>
    </row>
    <row r="1231">
      <c r="DB1231" s="2909">
        <f>IF($A1231="","",IF($A1231&lt;&gt;21,"対象外",IF($AE1231&amp;""="00000000","在職",IF($AE1231&amp;""='DB_設定'!$C$4,"4/1喪失","その他喪失"))))</f>
      </c>
    </row>
    <row r="1232">
      <c r="DB1232" s="2909">
        <f>IF($A1232="","",IF($A1232&lt;&gt;21,"対象外",IF($AE1232&amp;""="00000000","在職",IF($AE1232&amp;""='DB_設定'!$C$4,"4/1喪失","その他喪失"))))</f>
      </c>
    </row>
    <row r="1233">
      <c r="DB1233" s="2909">
        <f>IF($A1233="","",IF($A1233&lt;&gt;21,"対象外",IF($AE1233&amp;""="00000000","在職",IF($AE1233&amp;""='DB_設定'!$C$4,"4/1喪失","その他喪失"))))</f>
      </c>
    </row>
    <row r="1234">
      <c r="DB1234" s="2909">
        <f>IF($A1234="","",IF($A1234&lt;&gt;21,"対象外",IF($AE1234&amp;""="00000000","在職",IF($AE1234&amp;""='DB_設定'!$C$4,"4/1喪失","その他喪失"))))</f>
      </c>
    </row>
    <row r="1235">
      <c r="DB1235" s="2909">
        <f>IF($A1235="","",IF($A1235&lt;&gt;21,"対象外",IF($AE1235&amp;""="00000000","在職",IF($AE1235&amp;""='DB_設定'!$C$4,"4/1喪失","その他喪失"))))</f>
      </c>
    </row>
    <row r="1236">
      <c r="DB1236" s="2909">
        <f>IF($A1236="","",IF($A1236&lt;&gt;21,"対象外",IF($AE1236&amp;""="00000000","在職",IF($AE1236&amp;""='DB_設定'!$C$4,"4/1喪失","その他喪失"))))</f>
      </c>
    </row>
    <row r="1237">
      <c r="DB1237" s="2909">
        <f>IF($A1237="","",IF($A1237&lt;&gt;21,"対象外",IF($AE1237&amp;""="00000000","在職",IF($AE1237&amp;""='DB_設定'!$C$4,"4/1喪失","その他喪失"))))</f>
      </c>
    </row>
    <row r="1238">
      <c r="DB1238" s="2909">
        <f>IF($A1238="","",IF($A1238&lt;&gt;21,"対象外",IF($AE1238&amp;""="00000000","在職",IF($AE1238&amp;""='DB_設定'!$C$4,"4/1喪失","その他喪失"))))</f>
      </c>
    </row>
    <row r="1239">
      <c r="DB1239" s="2909">
        <f>IF($A1239="","",IF($A1239&lt;&gt;21,"対象外",IF($AE1239&amp;""="00000000","在職",IF($AE1239&amp;""='DB_設定'!$C$4,"4/1喪失","その他喪失"))))</f>
      </c>
    </row>
    <row r="1240">
      <c r="DB1240" s="2909">
        <f>IF($A1240="","",IF($A1240&lt;&gt;21,"対象外",IF($AE1240&amp;""="00000000","在職",IF($AE1240&amp;""='DB_設定'!$C$4,"4/1喪失","その他喪失"))))</f>
      </c>
    </row>
    <row r="1241">
      <c r="DB1241" s="2909">
        <f>IF($A1241="","",IF($A1241&lt;&gt;21,"対象外",IF($AE1241&amp;""="00000000","在職",IF($AE1241&amp;""='DB_設定'!$C$4,"4/1喪失","その他喪失"))))</f>
      </c>
    </row>
    <row r="1242">
      <c r="DB1242" s="2909">
        <f>IF($A1242="","",IF($A1242&lt;&gt;21,"対象外",IF($AE1242&amp;""="00000000","在職",IF($AE1242&amp;""='DB_設定'!$C$4,"4/1喪失","その他喪失"))))</f>
      </c>
    </row>
    <row r="1243">
      <c r="DB1243" s="2909">
        <f>IF($A1243="","",IF($A1243&lt;&gt;21,"対象外",IF($AE1243&amp;""="00000000","在職",IF($AE1243&amp;""='DB_設定'!$C$4,"4/1喪失","その他喪失"))))</f>
      </c>
    </row>
    <row r="1244">
      <c r="DB1244" s="2909">
        <f>IF($A1244="","",IF($A1244&lt;&gt;21,"対象外",IF($AE1244&amp;""="00000000","在職",IF($AE1244&amp;""='DB_設定'!$C$4,"4/1喪失","その他喪失"))))</f>
      </c>
    </row>
    <row r="1245">
      <c r="DB1245" s="2909">
        <f>IF($A1245="","",IF($A1245&lt;&gt;21,"対象外",IF($AE1245&amp;""="00000000","在職",IF($AE1245&amp;""='DB_設定'!$C$4,"4/1喪失","その他喪失"))))</f>
      </c>
    </row>
    <row r="1246">
      <c r="DB1246" s="2909">
        <f>IF($A1246="","",IF($A1246&lt;&gt;21,"対象外",IF($AE1246&amp;""="00000000","在職",IF($AE1246&amp;""='DB_設定'!$C$4,"4/1喪失","その他喪失"))))</f>
      </c>
    </row>
    <row r="1247">
      <c r="DB1247" s="2909">
        <f>IF($A1247="","",IF($A1247&lt;&gt;21,"対象外",IF($AE1247&amp;""="00000000","在職",IF($AE1247&amp;""='DB_設定'!$C$4,"4/1喪失","その他喪失"))))</f>
      </c>
    </row>
    <row r="1248">
      <c r="DB1248" s="2909">
        <f>IF($A1248="","",IF($A1248&lt;&gt;21,"対象外",IF($AE1248&amp;""="00000000","在職",IF($AE1248&amp;""='DB_設定'!$C$4,"4/1喪失","その他喪失"))))</f>
      </c>
    </row>
    <row r="1249">
      <c r="DB1249" s="2909">
        <f>IF($A1249="","",IF($A1249&lt;&gt;21,"対象外",IF($AE1249&amp;""="00000000","在職",IF($AE1249&amp;""='DB_設定'!$C$4,"4/1喪失","その他喪失"))))</f>
      </c>
    </row>
    <row r="1250">
      <c r="DB1250" s="2909">
        <f>IF($A1250="","",IF($A1250&lt;&gt;21,"対象外",IF($AE1250&amp;""="00000000","在職",IF($AE1250&amp;""='DB_設定'!$C$4,"4/1喪失","その他喪失"))))</f>
      </c>
    </row>
    <row r="1251">
      <c r="DB1251" s="2909">
        <f>IF($A1251="","",IF($A1251&lt;&gt;21,"対象外",IF($AE1251&amp;""="00000000","在職",IF($AE1251&amp;""='DB_設定'!$C$4,"4/1喪失","その他喪失"))))</f>
      </c>
    </row>
    <row r="1252">
      <c r="DB1252" s="2909">
        <f>IF($A1252="","",IF($A1252&lt;&gt;21,"対象外",IF($AE1252&amp;""="00000000","在職",IF($AE1252&amp;""='DB_設定'!$C$4,"4/1喪失","その他喪失"))))</f>
      </c>
    </row>
    <row r="1253">
      <c r="DB1253" s="2909">
        <f>IF($A1253="","",IF($A1253&lt;&gt;21,"対象外",IF($AE1253&amp;""="00000000","在職",IF($AE1253&amp;""='DB_設定'!$C$4,"4/1喪失","その他喪失"))))</f>
      </c>
    </row>
    <row r="1254">
      <c r="DB1254" s="2909">
        <f>IF($A1254="","",IF($A1254&lt;&gt;21,"対象外",IF($AE1254&amp;""="00000000","在職",IF($AE1254&amp;""='DB_設定'!$C$4,"4/1喪失","その他喪失"))))</f>
      </c>
    </row>
    <row r="1255">
      <c r="DB1255" s="2909">
        <f>IF($A1255="","",IF($A1255&lt;&gt;21,"対象外",IF($AE1255&amp;""="00000000","在職",IF($AE1255&amp;""='DB_設定'!$C$4,"4/1喪失","その他喪失"))))</f>
      </c>
    </row>
    <row r="1256">
      <c r="DB1256" s="2909">
        <f>IF($A1256="","",IF($A1256&lt;&gt;21,"対象外",IF($AE1256&amp;""="00000000","在職",IF($AE1256&amp;""='DB_設定'!$C$4,"4/1喪失","その他喪失"))))</f>
      </c>
    </row>
    <row r="1257">
      <c r="DB1257" s="2909">
        <f>IF($A1257="","",IF($A1257&lt;&gt;21,"対象外",IF($AE1257&amp;""="00000000","在職",IF($AE1257&amp;""='DB_設定'!$C$4,"4/1喪失","その他喪失"))))</f>
      </c>
    </row>
    <row r="1258">
      <c r="DB1258" s="2909">
        <f>IF($A1258="","",IF($A1258&lt;&gt;21,"対象外",IF($AE1258&amp;""="00000000","在職",IF($AE1258&amp;""='DB_設定'!$C$4,"4/1喪失","その他喪失"))))</f>
      </c>
    </row>
    <row r="1259">
      <c r="DB1259" s="2909">
        <f>IF($A1259="","",IF($A1259&lt;&gt;21,"対象外",IF($AE1259&amp;""="00000000","在職",IF($AE1259&amp;""='DB_設定'!$C$4,"4/1喪失","その他喪失"))))</f>
      </c>
    </row>
    <row r="1260">
      <c r="DB1260" s="2909">
        <f>IF($A1260="","",IF($A1260&lt;&gt;21,"対象外",IF($AE1260&amp;""="00000000","在職",IF($AE1260&amp;""='DB_設定'!$C$4,"4/1喪失","その他喪失"))))</f>
      </c>
    </row>
    <row r="1261">
      <c r="DB1261" s="2909">
        <f>IF($A1261="","",IF($A1261&lt;&gt;21,"対象外",IF($AE1261&amp;""="00000000","在職",IF($AE1261&amp;""='DB_設定'!$C$4,"4/1喪失","その他喪失"))))</f>
      </c>
    </row>
    <row r="1262">
      <c r="DB1262" s="2909">
        <f>IF($A1262="","",IF($A1262&lt;&gt;21,"対象外",IF($AE1262&amp;""="00000000","在職",IF($AE1262&amp;""='DB_設定'!$C$4,"4/1喪失","その他喪失"))))</f>
      </c>
    </row>
    <row r="1263">
      <c r="DB1263" s="2909">
        <f>IF($A1263="","",IF($A1263&lt;&gt;21,"対象外",IF($AE1263&amp;""="00000000","在職",IF($AE1263&amp;""='DB_設定'!$C$4,"4/1喪失","その他喪失"))))</f>
      </c>
    </row>
    <row r="1264">
      <c r="DB1264" s="2909">
        <f>IF($A1264="","",IF($A1264&lt;&gt;21,"対象外",IF($AE1264&amp;""="00000000","在職",IF($AE1264&amp;""='DB_設定'!$C$4,"4/1喪失","その他喪失"))))</f>
      </c>
    </row>
    <row r="1265">
      <c r="DB1265" s="2909">
        <f>IF($A1265="","",IF($A1265&lt;&gt;21,"対象外",IF($AE1265&amp;""="00000000","在職",IF($AE1265&amp;""='DB_設定'!$C$4,"4/1喪失","その他喪失"))))</f>
      </c>
    </row>
    <row r="1266">
      <c r="DB1266" s="2909">
        <f>IF($A1266="","",IF($A1266&lt;&gt;21,"対象外",IF($AE1266&amp;""="00000000","在職",IF($AE1266&amp;""='DB_設定'!$C$4,"4/1喪失","その他喪失"))))</f>
      </c>
    </row>
    <row r="1267">
      <c r="DB1267" s="2909">
        <f>IF($A1267="","",IF($A1267&lt;&gt;21,"対象外",IF($AE1267&amp;""="00000000","在職",IF($AE1267&amp;""='DB_設定'!$C$4,"4/1喪失","その他喪失"))))</f>
      </c>
    </row>
    <row r="1268">
      <c r="DB1268" s="2909">
        <f>IF($A1268="","",IF($A1268&lt;&gt;21,"対象外",IF($AE1268&amp;""="00000000","在職",IF($AE1268&amp;""='DB_設定'!$C$4,"4/1喪失","その他喪失"))))</f>
      </c>
    </row>
    <row r="1269">
      <c r="DB1269" s="2909">
        <f>IF($A1269="","",IF($A1269&lt;&gt;21,"対象外",IF($AE1269&amp;""="00000000","在職",IF($AE1269&amp;""='DB_設定'!$C$4,"4/1喪失","その他喪失"))))</f>
      </c>
    </row>
    <row r="1270">
      <c r="DB1270" s="2909">
        <f>IF($A1270="","",IF($A1270&lt;&gt;21,"対象外",IF($AE1270&amp;""="00000000","在職",IF($AE1270&amp;""='DB_設定'!$C$4,"4/1喪失","その他喪失"))))</f>
      </c>
    </row>
    <row r="1271">
      <c r="DB1271" s="2909">
        <f>IF($A1271="","",IF($A1271&lt;&gt;21,"対象外",IF($AE1271&amp;""="00000000","在職",IF($AE1271&amp;""='DB_設定'!$C$4,"4/1喪失","その他喪失"))))</f>
      </c>
    </row>
    <row r="1272">
      <c r="DB1272" s="2909">
        <f>IF($A1272="","",IF($A1272&lt;&gt;21,"対象外",IF($AE1272&amp;""="00000000","在職",IF($AE1272&amp;""='DB_設定'!$C$4,"4/1喪失","その他喪失"))))</f>
      </c>
    </row>
    <row r="1273">
      <c r="DB1273" s="2909">
        <f>IF($A1273="","",IF($A1273&lt;&gt;21,"対象外",IF($AE1273&amp;""="00000000","在職",IF($AE1273&amp;""='DB_設定'!$C$4,"4/1喪失","その他喪失"))))</f>
      </c>
    </row>
    <row r="1274">
      <c r="DB1274" s="2909">
        <f>IF($A1274="","",IF($A1274&lt;&gt;21,"対象外",IF($AE1274&amp;""="00000000","在職",IF($AE1274&amp;""='DB_設定'!$C$4,"4/1喪失","その他喪失"))))</f>
      </c>
    </row>
    <row r="1275">
      <c r="DB1275" s="2909">
        <f>IF($A1275="","",IF($A1275&lt;&gt;21,"対象外",IF($AE1275&amp;""="00000000","在職",IF($AE1275&amp;""='DB_設定'!$C$4,"4/1喪失","その他喪失"))))</f>
      </c>
    </row>
    <row r="1276">
      <c r="DB1276" s="2909">
        <f>IF($A1276="","",IF($A1276&lt;&gt;21,"対象外",IF($AE1276&amp;""="00000000","在職",IF($AE1276&amp;""='DB_設定'!$C$4,"4/1喪失","その他喪失"))))</f>
      </c>
    </row>
    <row r="1277">
      <c r="DB1277" s="2909">
        <f>IF($A1277="","",IF($A1277&lt;&gt;21,"対象外",IF($AE1277&amp;""="00000000","在職",IF($AE1277&amp;""='DB_設定'!$C$4,"4/1喪失","その他喪失"))))</f>
      </c>
    </row>
    <row r="1278">
      <c r="DB1278" s="2909">
        <f>IF($A1278="","",IF($A1278&lt;&gt;21,"対象外",IF($AE1278&amp;""="00000000","在職",IF($AE1278&amp;""='DB_設定'!$C$4,"4/1喪失","その他喪失"))))</f>
      </c>
    </row>
    <row r="1279">
      <c r="DB1279" s="2909">
        <f>IF($A1279="","",IF($A1279&lt;&gt;21,"対象外",IF($AE1279&amp;""="00000000","在職",IF($AE1279&amp;""='DB_設定'!$C$4,"4/1喪失","その他喪失"))))</f>
      </c>
    </row>
    <row r="1280">
      <c r="DB1280" s="2909">
        <f>IF($A1280="","",IF($A1280&lt;&gt;21,"対象外",IF($AE1280&amp;""="00000000","在職",IF($AE1280&amp;""='DB_設定'!$C$4,"4/1喪失","その他喪失"))))</f>
      </c>
    </row>
    <row r="1281">
      <c r="DB1281" s="2909">
        <f>IF($A1281="","",IF($A1281&lt;&gt;21,"対象外",IF($AE1281&amp;""="00000000","在職",IF($AE1281&amp;""='DB_設定'!$C$4,"4/1喪失","その他喪失"))))</f>
      </c>
    </row>
    <row r="1282">
      <c r="DB1282" s="2909">
        <f>IF($A1282="","",IF($A1282&lt;&gt;21,"対象外",IF($AE1282&amp;""="00000000","在職",IF($AE1282&amp;""='DB_設定'!$C$4,"4/1喪失","その他喪失"))))</f>
      </c>
    </row>
    <row r="1283">
      <c r="DB1283" s="2909">
        <f>IF($A1283="","",IF($A1283&lt;&gt;21,"対象外",IF($AE1283&amp;""="00000000","在職",IF($AE1283&amp;""='DB_設定'!$C$4,"4/1喪失","その他喪失"))))</f>
      </c>
    </row>
    <row r="1284">
      <c r="DB1284" s="2909">
        <f>IF($A1284="","",IF($A1284&lt;&gt;21,"対象外",IF($AE1284&amp;""="00000000","在職",IF($AE1284&amp;""='DB_設定'!$C$4,"4/1喪失","その他喪失"))))</f>
      </c>
    </row>
    <row r="1285">
      <c r="DB1285" s="2909">
        <f>IF($A1285="","",IF($A1285&lt;&gt;21,"対象外",IF($AE1285&amp;""="00000000","在職",IF($AE1285&amp;""='DB_設定'!$C$4,"4/1喪失","その他喪失"))))</f>
      </c>
    </row>
    <row r="1286">
      <c r="DB1286" s="2909">
        <f>IF($A1286="","",IF($A1286&lt;&gt;21,"対象外",IF($AE1286&amp;""="00000000","在職",IF($AE1286&amp;""='DB_設定'!$C$4,"4/1喪失","その他喪失"))))</f>
      </c>
    </row>
    <row r="1287">
      <c r="DB1287" s="2909">
        <f>IF($A1287="","",IF($A1287&lt;&gt;21,"対象外",IF($AE1287&amp;""="00000000","在職",IF($AE1287&amp;""='DB_設定'!$C$4,"4/1喪失","その他喪失"))))</f>
      </c>
    </row>
    <row r="1288">
      <c r="DB1288" s="2909">
        <f>IF($A1288="","",IF($A1288&lt;&gt;21,"対象外",IF($AE1288&amp;""="00000000","在職",IF($AE1288&amp;""='DB_設定'!$C$4,"4/1喪失","その他喪失"))))</f>
      </c>
    </row>
    <row r="1289">
      <c r="DB1289" s="2909">
        <f>IF($A1289="","",IF($A1289&lt;&gt;21,"対象外",IF($AE1289&amp;""="00000000","在職",IF($AE1289&amp;""='DB_設定'!$C$4,"4/1喪失","その他喪失"))))</f>
      </c>
    </row>
    <row r="1290">
      <c r="DB1290" s="2909">
        <f>IF($A1290="","",IF($A1290&lt;&gt;21,"対象外",IF($AE1290&amp;""="00000000","在職",IF($AE1290&amp;""='DB_設定'!$C$4,"4/1喪失","その他喪失"))))</f>
      </c>
    </row>
    <row r="1291">
      <c r="DB1291" s="2909">
        <f>IF($A1291="","",IF($A1291&lt;&gt;21,"対象外",IF($AE1291&amp;""="00000000","在職",IF($AE1291&amp;""='DB_設定'!$C$4,"4/1喪失","その他喪失"))))</f>
      </c>
    </row>
    <row r="1292">
      <c r="DB1292" s="2909">
        <f>IF($A1292="","",IF($A1292&lt;&gt;21,"対象外",IF($AE1292&amp;""="00000000","在職",IF($AE1292&amp;""='DB_設定'!$C$4,"4/1喪失","その他喪失"))))</f>
      </c>
    </row>
    <row r="1293">
      <c r="DB1293" s="2909">
        <f>IF($A1293="","",IF($A1293&lt;&gt;21,"対象外",IF($AE1293&amp;""="00000000","在職",IF($AE1293&amp;""='DB_設定'!$C$4,"4/1喪失","その他喪失"))))</f>
      </c>
    </row>
    <row r="1294">
      <c r="DB1294" s="2909">
        <f>IF($A1294="","",IF($A1294&lt;&gt;21,"対象外",IF($AE1294&amp;""="00000000","在職",IF($AE1294&amp;""='DB_設定'!$C$4,"4/1喪失","その他喪失"))))</f>
      </c>
    </row>
    <row r="1295">
      <c r="DB1295" s="2909">
        <f>IF($A1295="","",IF($A1295&lt;&gt;21,"対象外",IF($AE1295&amp;""="00000000","在職",IF($AE1295&amp;""='DB_設定'!$C$4,"4/1喪失","その他喪失"))))</f>
      </c>
    </row>
    <row r="1296">
      <c r="DB1296" s="2909">
        <f>IF($A1296="","",IF($A1296&lt;&gt;21,"対象外",IF($AE1296&amp;""="00000000","在職",IF($AE1296&amp;""='DB_設定'!$C$4,"4/1喪失","その他喪失"))))</f>
      </c>
    </row>
    <row r="1297">
      <c r="DB1297" s="2909">
        <f>IF($A1297="","",IF($A1297&lt;&gt;21,"対象外",IF($AE1297&amp;""="00000000","在職",IF($AE1297&amp;""='DB_設定'!$C$4,"4/1喪失","その他喪失"))))</f>
      </c>
    </row>
    <row r="1298">
      <c r="DB1298" s="2909">
        <f>IF($A1298="","",IF($A1298&lt;&gt;21,"対象外",IF($AE1298&amp;""="00000000","在職",IF($AE1298&amp;""='DB_設定'!$C$4,"4/1喪失","その他喪失"))))</f>
      </c>
    </row>
    <row r="1299">
      <c r="DB1299" s="2909">
        <f>IF($A1299="","",IF($A1299&lt;&gt;21,"対象外",IF($AE1299&amp;""="00000000","在職",IF($AE1299&amp;""='DB_設定'!$C$4,"4/1喪失","その他喪失"))))</f>
      </c>
    </row>
    <row r="1300">
      <c r="DB1300" s="2909">
        <f>IF($A1300="","",IF($A1300&lt;&gt;21,"対象外",IF($AE1300&amp;""="00000000","在職",IF($AE1300&amp;""='DB_設定'!$C$4,"4/1喪失","その他喪失"))))</f>
      </c>
    </row>
    <row r="1301">
      <c r="DB1301" s="2909">
        <f>IF($A1301="","",IF($A1301&lt;&gt;21,"対象外",IF($AE1301&amp;""="00000000","在職",IF($AE1301&amp;""='DB_設定'!$C$4,"4/1喪失","その他喪失"))))</f>
      </c>
    </row>
    <row r="1302">
      <c r="DB1302" s="2909">
        <f>IF($A1302="","",IF($A1302&lt;&gt;21,"対象外",IF($AE1302&amp;""="00000000","在職",IF($AE1302&amp;""='DB_設定'!$C$4,"4/1喪失","その他喪失"))))</f>
      </c>
    </row>
    <row r="1303">
      <c r="DB1303" s="2909">
        <f>IF($A1303="","",IF($A1303&lt;&gt;21,"対象外",IF($AE1303&amp;""="00000000","在職",IF($AE1303&amp;""='DB_設定'!$C$4,"4/1喪失","その他喪失"))))</f>
      </c>
    </row>
    <row r="1304">
      <c r="DB1304" s="2909">
        <f>IF($A1304="","",IF($A1304&lt;&gt;21,"対象外",IF($AE1304&amp;""="00000000","在職",IF($AE1304&amp;""='DB_設定'!$C$4,"4/1喪失","その他喪失"))))</f>
      </c>
    </row>
    <row r="1305">
      <c r="DB1305" s="2909">
        <f>IF($A1305="","",IF($A1305&lt;&gt;21,"対象外",IF($AE1305&amp;""="00000000","在職",IF($AE1305&amp;""='DB_設定'!$C$4,"4/1喪失","その他喪失"))))</f>
      </c>
    </row>
    <row r="1306">
      <c r="DB1306" s="2909">
        <f>IF($A1306="","",IF($A1306&lt;&gt;21,"対象外",IF($AE1306&amp;""="00000000","在職",IF($AE1306&amp;""='DB_設定'!$C$4,"4/1喪失","その他喪失"))))</f>
      </c>
    </row>
    <row r="1307">
      <c r="DB1307" s="2909">
        <f>IF($A1307="","",IF($A1307&lt;&gt;21,"対象外",IF($AE1307&amp;""="00000000","在職",IF($AE1307&amp;""='DB_設定'!$C$4,"4/1喪失","その他喪失"))))</f>
      </c>
    </row>
    <row r="1308">
      <c r="DB1308" s="2909">
        <f>IF($A1308="","",IF($A1308&lt;&gt;21,"対象外",IF($AE1308&amp;""="00000000","在職",IF($AE1308&amp;""='DB_設定'!$C$4,"4/1喪失","その他喪失"))))</f>
      </c>
    </row>
    <row r="1309">
      <c r="DB1309" s="2909">
        <f>IF($A1309="","",IF($A1309&lt;&gt;21,"対象外",IF($AE1309&amp;""="00000000","在職",IF($AE1309&amp;""='DB_設定'!$C$4,"4/1喪失","その他喪失"))))</f>
      </c>
    </row>
    <row r="1310">
      <c r="DB1310" s="2909">
        <f>IF($A1310="","",IF($A1310&lt;&gt;21,"対象外",IF($AE1310&amp;""="00000000","在職",IF($AE1310&amp;""='DB_設定'!$C$4,"4/1喪失","その他喪失"))))</f>
      </c>
    </row>
    <row r="1311">
      <c r="DB1311" s="2909">
        <f>IF($A1311="","",IF($A1311&lt;&gt;21,"対象外",IF($AE1311&amp;""="00000000","在職",IF($AE1311&amp;""='DB_設定'!$C$4,"4/1喪失","その他喪失"))))</f>
      </c>
    </row>
    <row r="1312">
      <c r="DB1312" s="2909">
        <f>IF($A1312="","",IF($A1312&lt;&gt;21,"対象外",IF($AE1312&amp;""="00000000","在職",IF($AE1312&amp;""='DB_設定'!$C$4,"4/1喪失","その他喪失"))))</f>
      </c>
    </row>
    <row r="1313">
      <c r="DB1313" s="2909">
        <f>IF($A1313="","",IF($A1313&lt;&gt;21,"対象外",IF($AE1313&amp;""="00000000","在職",IF($AE1313&amp;""='DB_設定'!$C$4,"4/1喪失","その他喪失"))))</f>
      </c>
    </row>
    <row r="1314">
      <c r="DB1314" s="2909">
        <f>IF($A1314="","",IF($A1314&lt;&gt;21,"対象外",IF($AE1314&amp;""="00000000","在職",IF($AE1314&amp;""='DB_設定'!$C$4,"4/1喪失","その他喪失"))))</f>
      </c>
    </row>
    <row r="1315">
      <c r="DB1315" s="2909">
        <f>IF($A1315="","",IF($A1315&lt;&gt;21,"対象外",IF($AE1315&amp;""="00000000","在職",IF($AE1315&amp;""='DB_設定'!$C$4,"4/1喪失","その他喪失"))))</f>
      </c>
    </row>
    <row r="1316">
      <c r="DB1316" s="2909">
        <f>IF($A1316="","",IF($A1316&lt;&gt;21,"対象外",IF($AE1316&amp;""="00000000","在職",IF($AE1316&amp;""='DB_設定'!$C$4,"4/1喪失","その他喪失"))))</f>
      </c>
    </row>
    <row r="1317">
      <c r="DB1317" s="2909">
        <f>IF($A1317="","",IF($A1317&lt;&gt;21,"対象外",IF($AE1317&amp;""="00000000","在職",IF($AE1317&amp;""='DB_設定'!$C$4,"4/1喪失","その他喪失"))))</f>
      </c>
    </row>
    <row r="1318">
      <c r="DB1318" s="2909">
        <f>IF($A1318="","",IF($A1318&lt;&gt;21,"対象外",IF($AE1318&amp;""="00000000","在職",IF($AE1318&amp;""='DB_設定'!$C$4,"4/1喪失","その他喪失"))))</f>
      </c>
    </row>
    <row r="1319">
      <c r="DB1319" s="2909">
        <f>IF($A1319="","",IF($A1319&lt;&gt;21,"対象外",IF($AE1319&amp;""="00000000","在職",IF($AE1319&amp;""='DB_設定'!$C$4,"4/1喪失","その他喪失"))))</f>
      </c>
    </row>
    <row r="1320">
      <c r="DB1320" s="2909">
        <f>IF($A1320="","",IF($A1320&lt;&gt;21,"対象外",IF($AE1320&amp;""="00000000","在職",IF($AE1320&amp;""='DB_設定'!$C$4,"4/1喪失","その他喪失"))))</f>
      </c>
    </row>
    <row r="1321">
      <c r="DB1321" s="2909">
        <f>IF($A1321="","",IF($A1321&lt;&gt;21,"対象外",IF($AE1321&amp;""="00000000","在職",IF($AE1321&amp;""='DB_設定'!$C$4,"4/1喪失","その他喪失"))))</f>
      </c>
    </row>
    <row r="1322">
      <c r="DB1322" s="2909">
        <f>IF($A1322="","",IF($A1322&lt;&gt;21,"対象外",IF($AE1322&amp;""="00000000","在職",IF($AE1322&amp;""='DB_設定'!$C$4,"4/1喪失","その他喪失"))))</f>
      </c>
    </row>
    <row r="1323">
      <c r="DB1323" s="2909">
        <f>IF($A1323="","",IF($A1323&lt;&gt;21,"対象外",IF($AE1323&amp;""="00000000","在職",IF($AE1323&amp;""='DB_設定'!$C$4,"4/1喪失","その他喪失"))))</f>
      </c>
    </row>
    <row r="1324">
      <c r="DB1324" s="2909">
        <f>IF($A1324="","",IF($A1324&lt;&gt;21,"対象外",IF($AE1324&amp;""="00000000","在職",IF($AE1324&amp;""='DB_設定'!$C$4,"4/1喪失","その他喪失"))))</f>
      </c>
    </row>
    <row r="1325">
      <c r="DB1325" s="2909">
        <f>IF($A1325="","",IF($A1325&lt;&gt;21,"対象外",IF($AE1325&amp;""="00000000","在職",IF($AE1325&amp;""='DB_設定'!$C$4,"4/1喪失","その他喪失"))))</f>
      </c>
    </row>
    <row r="1326">
      <c r="DB1326" s="2909">
        <f>IF($A1326="","",IF($A1326&lt;&gt;21,"対象外",IF($AE1326&amp;""="00000000","在職",IF($AE1326&amp;""='DB_設定'!$C$4,"4/1喪失","その他喪失"))))</f>
      </c>
    </row>
    <row r="1327">
      <c r="DB1327" s="2909">
        <f>IF($A1327="","",IF($A1327&lt;&gt;21,"対象外",IF($AE1327&amp;""="00000000","在職",IF($AE1327&amp;""='DB_設定'!$C$4,"4/1喪失","その他喪失"))))</f>
      </c>
    </row>
    <row r="1328">
      <c r="DB1328" s="2909">
        <f>IF($A1328="","",IF($A1328&lt;&gt;21,"対象外",IF($AE1328&amp;""="00000000","在職",IF($AE1328&amp;""='DB_設定'!$C$4,"4/1喪失","その他喪失"))))</f>
      </c>
    </row>
    <row r="1329">
      <c r="DB1329" s="2909">
        <f>IF($A1329="","",IF($A1329&lt;&gt;21,"対象外",IF($AE1329&amp;""="00000000","在職",IF($AE1329&amp;""='DB_設定'!$C$4,"4/1喪失","その他喪失"))))</f>
      </c>
    </row>
    <row r="1330">
      <c r="DB1330" s="2909">
        <f>IF($A1330="","",IF($A1330&lt;&gt;21,"対象外",IF($AE1330&amp;""="00000000","在職",IF($AE1330&amp;""='DB_設定'!$C$4,"4/1喪失","その他喪失"))))</f>
      </c>
    </row>
    <row r="1331">
      <c r="DB1331" s="2909">
        <f>IF($A1331="","",IF($A1331&lt;&gt;21,"対象外",IF($AE1331&amp;""="00000000","在職",IF($AE1331&amp;""='DB_設定'!$C$4,"4/1喪失","その他喪失"))))</f>
      </c>
    </row>
    <row r="1332">
      <c r="DB1332" s="2909">
        <f>IF($A1332="","",IF($A1332&lt;&gt;21,"対象外",IF($AE1332&amp;""="00000000","在職",IF($AE1332&amp;""='DB_設定'!$C$4,"4/1喪失","その他喪失"))))</f>
      </c>
    </row>
    <row r="1333">
      <c r="DB1333" s="2909">
        <f>IF($A1333="","",IF($A1333&lt;&gt;21,"対象外",IF($AE1333&amp;""="00000000","在職",IF($AE1333&amp;""='DB_設定'!$C$4,"4/1喪失","その他喪失"))))</f>
      </c>
    </row>
    <row r="1334">
      <c r="DB1334" s="2909">
        <f>IF($A1334="","",IF($A1334&lt;&gt;21,"対象外",IF($AE1334&amp;""="00000000","在職",IF($AE1334&amp;""='DB_設定'!$C$4,"4/1喪失","その他喪失"))))</f>
      </c>
    </row>
    <row r="1335">
      <c r="DB1335" s="2909">
        <f>IF($A1335="","",IF($A1335&lt;&gt;21,"対象外",IF($AE1335&amp;""="00000000","在職",IF($AE1335&amp;""='DB_設定'!$C$4,"4/1喪失","その他喪失"))))</f>
      </c>
    </row>
    <row r="1336">
      <c r="DB1336" s="2909">
        <f>IF($A1336="","",IF($A1336&lt;&gt;21,"対象外",IF($AE1336&amp;""="00000000","在職",IF($AE1336&amp;""='DB_設定'!$C$4,"4/1喪失","その他喪失"))))</f>
      </c>
    </row>
    <row r="1337">
      <c r="DB1337" s="2909">
        <f>IF($A1337="","",IF($A1337&lt;&gt;21,"対象外",IF($AE1337&amp;""="00000000","在職",IF($AE1337&amp;""='DB_設定'!$C$4,"4/1喪失","その他喪失"))))</f>
      </c>
    </row>
    <row r="1338">
      <c r="DB1338" s="2909">
        <f>IF($A1338="","",IF($A1338&lt;&gt;21,"対象外",IF($AE1338&amp;""="00000000","在職",IF($AE1338&amp;""='DB_設定'!$C$4,"4/1喪失","その他喪失"))))</f>
      </c>
    </row>
    <row r="1339">
      <c r="DB1339" s="2909">
        <f>IF($A1339="","",IF($A1339&lt;&gt;21,"対象外",IF($AE1339&amp;""="00000000","在職",IF($AE1339&amp;""='DB_設定'!$C$4,"4/1喪失","その他喪失"))))</f>
      </c>
    </row>
    <row r="1340">
      <c r="DB1340" s="2909">
        <f>IF($A1340="","",IF($A1340&lt;&gt;21,"対象外",IF($AE1340&amp;""="00000000","在職",IF($AE1340&amp;""='DB_設定'!$C$4,"4/1喪失","その他喪失"))))</f>
      </c>
    </row>
    <row r="1341">
      <c r="DB1341" s="2909">
        <f>IF($A1341="","",IF($A1341&lt;&gt;21,"対象外",IF($AE1341&amp;""="00000000","在職",IF($AE1341&amp;""='DB_設定'!$C$4,"4/1喪失","その他喪失"))))</f>
      </c>
    </row>
    <row r="1342">
      <c r="DB1342" s="2909">
        <f>IF($A1342="","",IF($A1342&lt;&gt;21,"対象外",IF($AE1342&amp;""="00000000","在職",IF($AE1342&amp;""='DB_設定'!$C$4,"4/1喪失","その他喪失"))))</f>
      </c>
    </row>
    <row r="1343">
      <c r="DB1343" s="2909">
        <f>IF($A1343="","",IF($A1343&lt;&gt;21,"対象外",IF($AE1343&amp;""="00000000","在職",IF($AE1343&amp;""='DB_設定'!$C$4,"4/1喪失","その他喪失"))))</f>
      </c>
    </row>
    <row r="1344">
      <c r="DB1344" s="2909">
        <f>IF($A1344="","",IF($A1344&lt;&gt;21,"対象外",IF($AE1344&amp;""="00000000","在職",IF($AE1344&amp;""='DB_設定'!$C$4,"4/1喪失","その他喪失"))))</f>
      </c>
    </row>
    <row r="1345">
      <c r="DB1345" s="2909">
        <f>IF($A1345="","",IF($A1345&lt;&gt;21,"対象外",IF($AE1345&amp;""="00000000","在職",IF($AE1345&amp;""='DB_設定'!$C$4,"4/1喪失","その他喪失"))))</f>
      </c>
    </row>
    <row r="1346">
      <c r="DB1346" s="2909">
        <f>IF($A1346="","",IF($A1346&lt;&gt;21,"対象外",IF($AE1346&amp;""="00000000","在職",IF($AE1346&amp;""='DB_設定'!$C$4,"4/1喪失","その他喪失"))))</f>
      </c>
    </row>
    <row r="1347">
      <c r="DB1347" s="2909">
        <f>IF($A1347="","",IF($A1347&lt;&gt;21,"対象外",IF($AE1347&amp;""="00000000","在職",IF($AE1347&amp;""='DB_設定'!$C$4,"4/1喪失","その他喪失"))))</f>
      </c>
    </row>
    <row r="1348">
      <c r="DB1348" s="2909">
        <f>IF($A1348="","",IF($A1348&lt;&gt;21,"対象外",IF($AE1348&amp;""="00000000","在職",IF($AE1348&amp;""='DB_設定'!$C$4,"4/1喪失","その他喪失"))))</f>
      </c>
    </row>
    <row r="1349">
      <c r="DB1349" s="2909">
        <f>IF($A1349="","",IF($A1349&lt;&gt;21,"対象外",IF($AE1349&amp;""="00000000","在職",IF($AE1349&amp;""='DB_設定'!$C$4,"4/1喪失","その他喪失"))))</f>
      </c>
    </row>
    <row r="1350">
      <c r="DB1350" s="2909">
        <f>IF($A1350="","",IF($A1350&lt;&gt;21,"対象外",IF($AE1350&amp;""="00000000","在職",IF($AE1350&amp;""='DB_設定'!$C$4,"4/1喪失","その他喪失"))))</f>
      </c>
    </row>
    <row r="1351">
      <c r="DB1351" s="2909">
        <f>IF($A1351="","",IF($A1351&lt;&gt;21,"対象外",IF($AE1351&amp;""="00000000","在職",IF($AE1351&amp;""='DB_設定'!$C$4,"4/1喪失","その他喪失"))))</f>
      </c>
    </row>
    <row r="1352">
      <c r="DB1352" s="2909">
        <f>IF($A1352="","",IF($A1352&lt;&gt;21,"対象外",IF($AE1352&amp;""="00000000","在職",IF($AE1352&amp;""='DB_設定'!$C$4,"4/1喪失","その他喪失"))))</f>
      </c>
    </row>
    <row r="1353">
      <c r="DB1353" s="2909">
        <f>IF($A1353="","",IF($A1353&lt;&gt;21,"対象外",IF($AE1353&amp;""="00000000","在職",IF($AE1353&amp;""='DB_設定'!$C$4,"4/1喪失","その他喪失"))))</f>
      </c>
    </row>
    <row r="1354">
      <c r="DB1354" s="2909">
        <f>IF($A1354="","",IF($A1354&lt;&gt;21,"対象外",IF($AE1354&amp;""="00000000","在職",IF($AE1354&amp;""='DB_設定'!$C$4,"4/1喪失","その他喪失"))))</f>
      </c>
    </row>
    <row r="1355">
      <c r="DB1355" s="2909">
        <f>IF($A1355="","",IF($A1355&lt;&gt;21,"対象外",IF($AE1355&amp;""="00000000","在職",IF($AE1355&amp;""='DB_設定'!$C$4,"4/1喪失","その他喪失"))))</f>
      </c>
    </row>
    <row r="1356">
      <c r="DB1356" s="2909">
        <f>IF($A1356="","",IF($A1356&lt;&gt;21,"対象外",IF($AE1356&amp;""="00000000","在職",IF($AE1356&amp;""='DB_設定'!$C$4,"4/1喪失","その他喪失"))))</f>
      </c>
    </row>
    <row r="1357">
      <c r="DB1357" s="2909">
        <f>IF($A1357="","",IF($A1357&lt;&gt;21,"対象外",IF($AE1357&amp;""="00000000","在職",IF($AE1357&amp;""='DB_設定'!$C$4,"4/1喪失","その他喪失"))))</f>
      </c>
    </row>
    <row r="1358">
      <c r="DB1358" s="2909">
        <f>IF($A1358="","",IF($A1358&lt;&gt;21,"対象外",IF($AE1358&amp;""="00000000","在職",IF($AE1358&amp;""='DB_設定'!$C$4,"4/1喪失","その他喪失"))))</f>
      </c>
    </row>
    <row r="1359">
      <c r="DB1359" s="2909">
        <f>IF($A1359="","",IF($A1359&lt;&gt;21,"対象外",IF($AE1359&amp;""="00000000","在職",IF($AE1359&amp;""='DB_設定'!$C$4,"4/1喪失","その他喪失"))))</f>
      </c>
    </row>
    <row r="1360">
      <c r="DB1360" s="2909">
        <f>IF($A1360="","",IF($A1360&lt;&gt;21,"対象外",IF($AE1360&amp;""="00000000","在職",IF($AE1360&amp;""='DB_設定'!$C$4,"4/1喪失","その他喪失"))))</f>
      </c>
    </row>
    <row r="1361">
      <c r="DB1361" s="2909">
        <f>IF($A1361="","",IF($A1361&lt;&gt;21,"対象外",IF($AE1361&amp;""="00000000","在職",IF($AE1361&amp;""='DB_設定'!$C$4,"4/1喪失","その他喪失"))))</f>
      </c>
    </row>
    <row r="1362">
      <c r="DB1362" s="2909">
        <f>IF($A1362="","",IF($A1362&lt;&gt;21,"対象外",IF($AE1362&amp;""="00000000","在職",IF($AE1362&amp;""='DB_設定'!$C$4,"4/1喪失","その他喪失"))))</f>
      </c>
    </row>
    <row r="1363">
      <c r="DB1363" s="2909">
        <f>IF($A1363="","",IF($A1363&lt;&gt;21,"対象外",IF($AE1363&amp;""="00000000","在職",IF($AE1363&amp;""='DB_設定'!$C$4,"4/1喪失","その他喪失"))))</f>
      </c>
    </row>
    <row r="1364">
      <c r="DB1364" s="2909">
        <f>IF($A1364="","",IF($A1364&lt;&gt;21,"対象外",IF($AE1364&amp;""="00000000","在職",IF($AE1364&amp;""='DB_設定'!$C$4,"4/1喪失","その他喪失"))))</f>
      </c>
    </row>
    <row r="1365">
      <c r="DB1365" s="2909">
        <f>IF($A1365="","",IF($A1365&lt;&gt;21,"対象外",IF($AE1365&amp;""="00000000","在職",IF($AE1365&amp;""='DB_設定'!$C$4,"4/1喪失","その他喪失"))))</f>
      </c>
    </row>
    <row r="1366">
      <c r="DB1366" s="2909">
        <f>IF($A1366="","",IF($A1366&lt;&gt;21,"対象外",IF($AE1366&amp;""="00000000","在職",IF($AE1366&amp;""='DB_設定'!$C$4,"4/1喪失","その他喪失"))))</f>
      </c>
    </row>
    <row r="1367">
      <c r="DB1367" s="2909">
        <f>IF($A1367="","",IF($A1367&lt;&gt;21,"対象外",IF($AE1367&amp;""="00000000","在職",IF($AE1367&amp;""='DB_設定'!$C$4,"4/1喪失","その他喪失"))))</f>
      </c>
    </row>
    <row r="1368">
      <c r="DB1368" s="2909">
        <f>IF($A1368="","",IF($A1368&lt;&gt;21,"対象外",IF($AE1368&amp;""="00000000","在職",IF($AE1368&amp;""='DB_設定'!$C$4,"4/1喪失","その他喪失"))))</f>
      </c>
    </row>
    <row r="1369">
      <c r="DB1369" s="2909">
        <f>IF($A1369="","",IF($A1369&lt;&gt;21,"対象外",IF($AE1369&amp;""="00000000","在職",IF($AE1369&amp;""='DB_設定'!$C$4,"4/1喪失","その他喪失"))))</f>
      </c>
    </row>
    <row r="1370">
      <c r="DB1370" s="2909">
        <f>IF($A1370="","",IF($A1370&lt;&gt;21,"対象外",IF($AE1370&amp;""="00000000","在職",IF($AE1370&amp;""='DB_設定'!$C$4,"4/1喪失","その他喪失"))))</f>
      </c>
    </row>
    <row r="1371">
      <c r="DB1371" s="2909">
        <f>IF($A1371="","",IF($A1371&lt;&gt;21,"対象外",IF($AE1371&amp;""="00000000","在職",IF($AE1371&amp;""='DB_設定'!$C$4,"4/1喪失","その他喪失"))))</f>
      </c>
    </row>
    <row r="1372">
      <c r="DB1372" s="2909">
        <f>IF($A1372="","",IF($A1372&lt;&gt;21,"対象外",IF($AE1372&amp;""="00000000","在職",IF($AE1372&amp;""='DB_設定'!$C$4,"4/1喪失","その他喪失"))))</f>
      </c>
    </row>
    <row r="1373">
      <c r="DB1373" s="2909">
        <f>IF($A1373="","",IF($A1373&lt;&gt;21,"対象外",IF($AE1373&amp;""="00000000","在職",IF($AE1373&amp;""='DB_設定'!$C$4,"4/1喪失","その他喪失"))))</f>
      </c>
    </row>
    <row r="1374">
      <c r="DB1374" s="2909">
        <f>IF($A1374="","",IF($A1374&lt;&gt;21,"対象外",IF($AE1374&amp;""="00000000","在職",IF($AE1374&amp;""='DB_設定'!$C$4,"4/1喪失","その他喪失"))))</f>
      </c>
    </row>
    <row r="1375">
      <c r="DB1375" s="2909">
        <f>IF($A1375="","",IF($A1375&lt;&gt;21,"対象外",IF($AE1375&amp;""="00000000","在職",IF($AE1375&amp;""='DB_設定'!$C$4,"4/1喪失","その他喪失"))))</f>
      </c>
    </row>
    <row r="1376">
      <c r="DB1376" s="2909">
        <f>IF($A1376="","",IF($A1376&lt;&gt;21,"対象外",IF($AE1376&amp;""="00000000","在職",IF($AE1376&amp;""='DB_設定'!$C$4,"4/1喪失","その他喪失"))))</f>
      </c>
    </row>
    <row r="1377">
      <c r="DB1377" s="2909">
        <f>IF($A1377="","",IF($A1377&lt;&gt;21,"対象外",IF($AE1377&amp;""="00000000","在職",IF($AE1377&amp;""='DB_設定'!$C$4,"4/1喪失","その他喪失"))))</f>
      </c>
    </row>
    <row r="1378">
      <c r="DB1378" s="2909">
        <f>IF($A1378="","",IF($A1378&lt;&gt;21,"対象外",IF($AE1378&amp;""="00000000","在職",IF($AE1378&amp;""='DB_設定'!$C$4,"4/1喪失","その他喪失"))))</f>
      </c>
    </row>
    <row r="1379">
      <c r="DB1379" s="2909">
        <f>IF($A1379="","",IF($A1379&lt;&gt;21,"対象外",IF($AE1379&amp;""="00000000","在職",IF($AE1379&amp;""='DB_設定'!$C$4,"4/1喪失","その他喪失"))))</f>
      </c>
    </row>
    <row r="1380">
      <c r="DB1380" s="2909">
        <f>IF($A1380="","",IF($A1380&lt;&gt;21,"対象外",IF($AE1380&amp;""="00000000","在職",IF($AE1380&amp;""='DB_設定'!$C$4,"4/1喪失","その他喪失"))))</f>
      </c>
    </row>
    <row r="1381">
      <c r="DB1381" s="2909">
        <f>IF($A1381="","",IF($A1381&lt;&gt;21,"対象外",IF($AE1381&amp;""="00000000","在職",IF($AE1381&amp;""='DB_設定'!$C$4,"4/1喪失","その他喪失"))))</f>
      </c>
    </row>
    <row r="1382">
      <c r="DB1382" s="2909">
        <f>IF($A1382="","",IF($A1382&lt;&gt;21,"対象外",IF($AE1382&amp;""="00000000","在職",IF($AE1382&amp;""='DB_設定'!$C$4,"4/1喪失","その他喪失"))))</f>
      </c>
    </row>
    <row r="1383">
      <c r="DB1383" s="2909">
        <f>IF($A1383="","",IF($A1383&lt;&gt;21,"対象外",IF($AE1383&amp;""="00000000","在職",IF($AE1383&amp;""='DB_設定'!$C$4,"4/1喪失","その他喪失"))))</f>
      </c>
    </row>
    <row r="1384">
      <c r="DB1384" s="2909">
        <f>IF($A1384="","",IF($A1384&lt;&gt;21,"対象外",IF($AE1384&amp;""="00000000","在職",IF($AE1384&amp;""='DB_設定'!$C$4,"4/1喪失","その他喪失"))))</f>
      </c>
    </row>
    <row r="1385">
      <c r="DB1385" s="2909">
        <f>IF($A1385="","",IF($A1385&lt;&gt;21,"対象外",IF($AE1385&amp;""="00000000","在職",IF($AE1385&amp;""='DB_設定'!$C$4,"4/1喪失","その他喪失"))))</f>
      </c>
    </row>
    <row r="1386">
      <c r="DB1386" s="2909">
        <f>IF($A1386="","",IF($A1386&lt;&gt;21,"対象外",IF($AE1386&amp;""="00000000","在職",IF($AE1386&amp;""='DB_設定'!$C$4,"4/1喪失","その他喪失"))))</f>
      </c>
    </row>
    <row r="1387">
      <c r="DB1387" s="2909">
        <f>IF($A1387="","",IF($A1387&lt;&gt;21,"対象外",IF($AE1387&amp;""="00000000","在職",IF($AE1387&amp;""='DB_設定'!$C$4,"4/1喪失","その他喪失"))))</f>
      </c>
    </row>
    <row r="1388">
      <c r="DB1388" s="2909">
        <f>IF($A1388="","",IF($A1388&lt;&gt;21,"対象外",IF($AE1388&amp;""="00000000","在職",IF($AE1388&amp;""='DB_設定'!$C$4,"4/1喪失","その他喪失"))))</f>
      </c>
    </row>
    <row r="1389">
      <c r="DB1389" s="2909">
        <f>IF($A1389="","",IF($A1389&lt;&gt;21,"対象外",IF($AE1389&amp;""="00000000","在職",IF($AE1389&amp;""='DB_設定'!$C$4,"4/1喪失","その他喪失"))))</f>
      </c>
    </row>
    <row r="1390">
      <c r="DB1390" s="2909">
        <f>IF($A1390="","",IF($A1390&lt;&gt;21,"対象外",IF($AE1390&amp;""="00000000","在職",IF($AE1390&amp;""='DB_設定'!$C$4,"4/1喪失","その他喪失"))))</f>
      </c>
    </row>
    <row r="1391">
      <c r="DB1391" s="2909">
        <f>IF($A1391="","",IF($A1391&lt;&gt;21,"対象外",IF($AE1391&amp;""="00000000","在職",IF($AE1391&amp;""='DB_設定'!$C$4,"4/1喪失","その他喪失"))))</f>
      </c>
    </row>
    <row r="1392">
      <c r="DB1392" s="2909">
        <f>IF($A1392="","",IF($A1392&lt;&gt;21,"対象外",IF($AE1392&amp;""="00000000","在職",IF($AE1392&amp;""='DB_設定'!$C$4,"4/1喪失","その他喪失"))))</f>
      </c>
    </row>
    <row r="1393">
      <c r="DB1393" s="2909">
        <f>IF($A1393="","",IF($A1393&lt;&gt;21,"対象外",IF($AE1393&amp;""="00000000","在職",IF($AE1393&amp;""='DB_設定'!$C$4,"4/1喪失","その他喪失"))))</f>
      </c>
    </row>
    <row r="1394">
      <c r="DB1394" s="2909">
        <f>IF($A1394="","",IF($A1394&lt;&gt;21,"対象外",IF($AE1394&amp;""="00000000","在職",IF($AE1394&amp;""='DB_設定'!$C$4,"4/1喪失","その他喪失"))))</f>
      </c>
    </row>
    <row r="1395">
      <c r="DB1395" s="2909">
        <f>IF($A1395="","",IF($A1395&lt;&gt;21,"対象外",IF($AE1395&amp;""="00000000","在職",IF($AE1395&amp;""='DB_設定'!$C$4,"4/1喪失","その他喪失"))))</f>
      </c>
    </row>
    <row r="1396">
      <c r="DB1396" s="2909">
        <f>IF($A1396="","",IF($A1396&lt;&gt;21,"対象外",IF($AE1396&amp;""="00000000","在職",IF($AE1396&amp;""='DB_設定'!$C$4,"4/1喪失","その他喪失"))))</f>
      </c>
    </row>
    <row r="1397">
      <c r="DB1397" s="2909">
        <f>IF($A1397="","",IF($A1397&lt;&gt;21,"対象外",IF($AE1397&amp;""="00000000","在職",IF($AE1397&amp;""='DB_設定'!$C$4,"4/1喪失","その他喪失"))))</f>
      </c>
    </row>
    <row r="1398">
      <c r="DB1398" s="2909">
        <f>IF($A1398="","",IF($A1398&lt;&gt;21,"対象外",IF($AE1398&amp;""="00000000","在職",IF($AE1398&amp;""='DB_設定'!$C$4,"4/1喪失","その他喪失"))))</f>
      </c>
    </row>
    <row r="1399">
      <c r="DB1399" s="2909">
        <f>IF($A1399="","",IF($A1399&lt;&gt;21,"対象外",IF($AE1399&amp;""="00000000","在職",IF($AE1399&amp;""='DB_設定'!$C$4,"4/1喪失","その他喪失"))))</f>
      </c>
    </row>
    <row r="1400">
      <c r="DB1400" s="2909">
        <f>IF($A1400="","",IF($A1400&lt;&gt;21,"対象外",IF($AE1400&amp;""="00000000","在職",IF($AE1400&amp;""='DB_設定'!$C$4,"4/1喪失","その他喪失"))))</f>
      </c>
    </row>
    <row r="1401">
      <c r="DB1401" s="2909">
        <f>IF($A1401="","",IF($A1401&lt;&gt;21,"対象外",IF($AE1401&amp;""="00000000","在職",IF($AE1401&amp;""='DB_設定'!$C$4,"4/1喪失","その他喪失"))))</f>
      </c>
    </row>
    <row r="1402">
      <c r="DB1402" s="2909">
        <f>IF($A1402="","",IF($A1402&lt;&gt;21,"対象外",IF($AE1402&amp;""="00000000","在職",IF($AE1402&amp;""='DB_設定'!$C$4,"4/1喪失","その他喪失"))))</f>
      </c>
    </row>
    <row r="1403">
      <c r="DB1403" s="2909">
        <f>IF($A1403="","",IF($A1403&lt;&gt;21,"対象外",IF($AE1403&amp;""="00000000","在職",IF($AE1403&amp;""='DB_設定'!$C$4,"4/1喪失","その他喪失"))))</f>
      </c>
    </row>
    <row r="1404">
      <c r="DB1404" s="2909">
        <f>IF($A1404="","",IF($A1404&lt;&gt;21,"対象外",IF($AE1404&amp;""="00000000","在職",IF($AE1404&amp;""='DB_設定'!$C$4,"4/1喪失","その他喪失"))))</f>
      </c>
    </row>
    <row r="1405">
      <c r="DB1405" s="2909">
        <f>IF($A1405="","",IF($A1405&lt;&gt;21,"対象外",IF($AE1405&amp;""="00000000","在職",IF($AE1405&amp;""='DB_設定'!$C$4,"4/1喪失","その他喪失"))))</f>
      </c>
    </row>
    <row r="1406">
      <c r="DB1406" s="2909">
        <f>IF($A1406="","",IF($A1406&lt;&gt;21,"対象外",IF($AE1406&amp;""="00000000","在職",IF($AE1406&amp;""='DB_設定'!$C$4,"4/1喪失","その他喪失"))))</f>
      </c>
    </row>
    <row r="1407">
      <c r="DB1407" s="2909">
        <f>IF($A1407="","",IF($A1407&lt;&gt;21,"対象外",IF($AE1407&amp;""="00000000","在職",IF($AE1407&amp;""='DB_設定'!$C$4,"4/1喪失","その他喪失"))))</f>
      </c>
    </row>
    <row r="1408">
      <c r="DB1408" s="2909">
        <f>IF($A1408="","",IF($A1408&lt;&gt;21,"対象外",IF($AE1408&amp;""="00000000","在職",IF($AE1408&amp;""='DB_設定'!$C$4,"4/1喪失","その他喪失"))))</f>
      </c>
    </row>
    <row r="1409">
      <c r="DB1409" s="2909">
        <f>IF($A1409="","",IF($A1409&lt;&gt;21,"対象外",IF($AE1409&amp;""="00000000","在職",IF($AE1409&amp;""='DB_設定'!$C$4,"4/1喪失","その他喪失"))))</f>
      </c>
    </row>
    <row r="1410">
      <c r="DB1410" s="2909">
        <f>IF($A1410="","",IF($A1410&lt;&gt;21,"対象外",IF($AE1410&amp;""="00000000","在職",IF($AE1410&amp;""='DB_設定'!$C$4,"4/1喪失","その他喪失"))))</f>
      </c>
    </row>
    <row r="1411">
      <c r="DB1411" s="2909">
        <f>IF($A1411="","",IF($A1411&lt;&gt;21,"対象外",IF($AE1411&amp;""="00000000","在職",IF($AE1411&amp;""='DB_設定'!$C$4,"4/1喪失","その他喪失"))))</f>
      </c>
    </row>
    <row r="1412">
      <c r="DB1412" s="2909">
        <f>IF($A1412="","",IF($A1412&lt;&gt;21,"対象外",IF($AE1412&amp;""="00000000","在職",IF($AE1412&amp;""='DB_設定'!$C$4,"4/1喪失","その他喪失"))))</f>
      </c>
    </row>
    <row r="1413">
      <c r="DB1413" s="2909">
        <f>IF($A1413="","",IF($A1413&lt;&gt;21,"対象外",IF($AE1413&amp;""="00000000","在職",IF($AE1413&amp;""='DB_設定'!$C$4,"4/1喪失","その他喪失"))))</f>
      </c>
    </row>
    <row r="1414">
      <c r="DB1414" s="2909">
        <f>IF($A1414="","",IF($A1414&lt;&gt;21,"対象外",IF($AE1414&amp;""="00000000","在職",IF($AE1414&amp;""='DB_設定'!$C$4,"4/1喪失","その他喪失"))))</f>
      </c>
    </row>
    <row r="1415">
      <c r="DB1415" s="2909">
        <f>IF($A1415="","",IF($A1415&lt;&gt;21,"対象外",IF($AE1415&amp;""="00000000","在職",IF($AE1415&amp;""='DB_設定'!$C$4,"4/1喪失","その他喪失"))))</f>
      </c>
    </row>
    <row r="1416">
      <c r="DB1416" s="2909">
        <f>IF($A1416="","",IF($A1416&lt;&gt;21,"対象外",IF($AE1416&amp;""="00000000","在職",IF($AE1416&amp;""='DB_設定'!$C$4,"4/1喪失","その他喪失"))))</f>
      </c>
    </row>
    <row r="1417">
      <c r="DB1417" s="2909">
        <f>IF($A1417="","",IF($A1417&lt;&gt;21,"対象外",IF($AE1417&amp;""="00000000","在職",IF($AE1417&amp;""='DB_設定'!$C$4,"4/1喪失","その他喪失"))))</f>
      </c>
    </row>
    <row r="1418">
      <c r="DB1418" s="2909">
        <f>IF($A1418="","",IF($A1418&lt;&gt;21,"対象外",IF($AE1418&amp;""="00000000","在職",IF($AE1418&amp;""='DB_設定'!$C$4,"4/1喪失","その他喪失"))))</f>
      </c>
    </row>
    <row r="1419">
      <c r="DB1419" s="2909">
        <f>IF($A1419="","",IF($A1419&lt;&gt;21,"対象外",IF($AE1419&amp;""="00000000","在職",IF($AE1419&amp;""='DB_設定'!$C$4,"4/1喪失","その他喪失"))))</f>
      </c>
    </row>
    <row r="1420">
      <c r="DB1420" s="2909">
        <f>IF($A1420="","",IF($A1420&lt;&gt;21,"対象外",IF($AE1420&amp;""="00000000","在職",IF($AE1420&amp;""='DB_設定'!$C$4,"4/1喪失","その他喪失"))))</f>
      </c>
    </row>
    <row r="1421">
      <c r="DB1421" s="2909">
        <f>IF($A1421="","",IF($A1421&lt;&gt;21,"対象外",IF($AE1421&amp;""="00000000","在職",IF($AE1421&amp;""='DB_設定'!$C$4,"4/1喪失","その他喪失"))))</f>
      </c>
    </row>
    <row r="1422">
      <c r="DB1422" s="2909">
        <f>IF($A1422="","",IF($A1422&lt;&gt;21,"対象外",IF($AE1422&amp;""="00000000","在職",IF($AE1422&amp;""='DB_設定'!$C$4,"4/1喪失","その他喪失"))))</f>
      </c>
    </row>
    <row r="1423">
      <c r="DB1423" s="2909">
        <f>IF($A1423="","",IF($A1423&lt;&gt;21,"対象外",IF($AE1423&amp;""="00000000","在職",IF($AE1423&amp;""='DB_設定'!$C$4,"4/1喪失","その他喪失"))))</f>
      </c>
    </row>
    <row r="1424">
      <c r="DB1424" s="2909">
        <f>IF($A1424="","",IF($A1424&lt;&gt;21,"対象外",IF($AE1424&amp;""="00000000","在職",IF($AE1424&amp;""='DB_設定'!$C$4,"4/1喪失","その他喪失"))))</f>
      </c>
    </row>
    <row r="1425">
      <c r="DB1425" s="2909">
        <f>IF($A1425="","",IF($A1425&lt;&gt;21,"対象外",IF($AE1425&amp;""="00000000","在職",IF($AE1425&amp;""='DB_設定'!$C$4,"4/1喪失","その他喪失"))))</f>
      </c>
    </row>
    <row r="1426">
      <c r="DB1426" s="2909">
        <f>IF($A1426="","",IF($A1426&lt;&gt;21,"対象外",IF($AE1426&amp;""="00000000","在職",IF($AE1426&amp;""='DB_設定'!$C$4,"4/1喪失","その他喪失"))))</f>
      </c>
    </row>
    <row r="1427">
      <c r="DB1427" s="2909">
        <f>IF($A1427="","",IF($A1427&lt;&gt;21,"対象外",IF($AE1427&amp;""="00000000","在職",IF($AE1427&amp;""='DB_設定'!$C$4,"4/1喪失","その他喪失"))))</f>
      </c>
    </row>
    <row r="1428">
      <c r="DB1428" s="2909">
        <f>IF($A1428="","",IF($A1428&lt;&gt;21,"対象外",IF($AE1428&amp;""="00000000","在職",IF($AE1428&amp;""='DB_設定'!$C$4,"4/1喪失","その他喪失"))))</f>
      </c>
    </row>
    <row r="1429">
      <c r="DB1429" s="2909">
        <f>IF($A1429="","",IF($A1429&lt;&gt;21,"対象外",IF($AE1429&amp;""="00000000","在職",IF($AE1429&amp;""='DB_設定'!$C$4,"4/1喪失","その他喪失"))))</f>
      </c>
    </row>
    <row r="1430">
      <c r="DB1430" s="2909">
        <f>IF($A1430="","",IF($A1430&lt;&gt;21,"対象外",IF($AE1430&amp;""="00000000","在職",IF($AE1430&amp;""='DB_設定'!$C$4,"4/1喪失","その他喪失"))))</f>
      </c>
    </row>
    <row r="1431">
      <c r="DB1431" s="2909">
        <f>IF($A1431="","",IF($A1431&lt;&gt;21,"対象外",IF($AE1431&amp;""="00000000","在職",IF($AE1431&amp;""='DB_設定'!$C$4,"4/1喪失","その他喪失"))))</f>
      </c>
    </row>
    <row r="1432">
      <c r="DB1432" s="2909">
        <f>IF($A1432="","",IF($A1432&lt;&gt;21,"対象外",IF($AE1432&amp;""="00000000","在職",IF($AE1432&amp;""='DB_設定'!$C$4,"4/1喪失","その他喪失"))))</f>
      </c>
    </row>
    <row r="1433">
      <c r="DB1433" s="2909">
        <f>IF($A1433="","",IF($A1433&lt;&gt;21,"対象外",IF($AE1433&amp;""="00000000","在職",IF($AE1433&amp;""='DB_設定'!$C$4,"4/1喪失","その他喪失"))))</f>
      </c>
    </row>
    <row r="1434">
      <c r="DB1434" s="2909">
        <f>IF($A1434="","",IF($A1434&lt;&gt;21,"対象外",IF($AE1434&amp;""="00000000","在職",IF($AE1434&amp;""='DB_設定'!$C$4,"4/1喪失","その他喪失"))))</f>
      </c>
    </row>
    <row r="1435">
      <c r="DB1435" s="2909">
        <f>IF($A1435="","",IF($A1435&lt;&gt;21,"対象外",IF($AE1435&amp;""="00000000","在職",IF($AE1435&amp;""='DB_設定'!$C$4,"4/1喪失","その他喪失"))))</f>
      </c>
    </row>
    <row r="1436">
      <c r="DB1436" s="2909">
        <f>IF($A1436="","",IF($A1436&lt;&gt;21,"対象外",IF($AE1436&amp;""="00000000","在職",IF($AE1436&amp;""='DB_設定'!$C$4,"4/1喪失","その他喪失"))))</f>
      </c>
    </row>
    <row r="1437">
      <c r="DB1437" s="2909">
        <f>IF($A1437="","",IF($A1437&lt;&gt;21,"対象外",IF($AE1437&amp;""="00000000","在職",IF($AE1437&amp;""='DB_設定'!$C$4,"4/1喪失","その他喪失"))))</f>
      </c>
    </row>
    <row r="1438">
      <c r="DB1438" s="2909">
        <f>IF($A1438="","",IF($A1438&lt;&gt;21,"対象外",IF($AE1438&amp;""="00000000","在職",IF($AE1438&amp;""='DB_設定'!$C$4,"4/1喪失","その他喪失"))))</f>
      </c>
    </row>
    <row r="1439">
      <c r="DB1439" s="2909">
        <f>IF($A1439="","",IF($A1439&lt;&gt;21,"対象外",IF($AE1439&amp;""="00000000","在職",IF($AE1439&amp;""='DB_設定'!$C$4,"4/1喪失","その他喪失"))))</f>
      </c>
    </row>
    <row r="1440">
      <c r="DB1440" s="2909">
        <f>IF($A1440="","",IF($A1440&lt;&gt;21,"対象外",IF($AE1440&amp;""="00000000","在職",IF($AE1440&amp;""='DB_設定'!$C$4,"4/1喪失","その他喪失"))))</f>
      </c>
    </row>
    <row r="1441">
      <c r="DB1441" s="2909">
        <f>IF($A1441="","",IF($A1441&lt;&gt;21,"対象外",IF($AE1441&amp;""="00000000","在職",IF($AE1441&amp;""='DB_設定'!$C$4,"4/1喪失","その他喪失"))))</f>
      </c>
    </row>
    <row r="1442">
      <c r="DB1442" s="2909">
        <f>IF($A1442="","",IF($A1442&lt;&gt;21,"対象外",IF($AE1442&amp;""="00000000","在職",IF($AE1442&amp;""='DB_設定'!$C$4,"4/1喪失","その他喪失"))))</f>
      </c>
    </row>
    <row r="1443">
      <c r="DB1443" s="2909">
        <f>IF($A1443="","",IF($A1443&lt;&gt;21,"対象外",IF($AE1443&amp;""="00000000","在職",IF($AE1443&amp;""='DB_設定'!$C$4,"4/1喪失","その他喪失"))))</f>
      </c>
    </row>
    <row r="1444">
      <c r="DB1444" s="2909">
        <f>IF($A1444="","",IF($A1444&lt;&gt;21,"対象外",IF($AE1444&amp;""="00000000","在職",IF($AE1444&amp;""='DB_設定'!$C$4,"4/1喪失","その他喪失"))))</f>
      </c>
    </row>
    <row r="1445">
      <c r="DB1445" s="2909">
        <f>IF($A1445="","",IF($A1445&lt;&gt;21,"対象外",IF($AE1445&amp;""="00000000","在職",IF($AE1445&amp;""='DB_設定'!$C$4,"4/1喪失","その他喪失"))))</f>
      </c>
    </row>
    <row r="1446">
      <c r="DB1446" s="2909">
        <f>IF($A1446="","",IF($A1446&lt;&gt;21,"対象外",IF($AE1446&amp;""="00000000","在職",IF($AE1446&amp;""='DB_設定'!$C$4,"4/1喪失","その他喪失"))))</f>
      </c>
    </row>
    <row r="1447">
      <c r="DB1447" s="2909">
        <f>IF($A1447="","",IF($A1447&lt;&gt;21,"対象外",IF($AE1447&amp;""="00000000","在職",IF($AE1447&amp;""='DB_設定'!$C$4,"4/1喪失","その他喪失"))))</f>
      </c>
    </row>
    <row r="1448">
      <c r="DB1448" s="2909">
        <f>IF($A1448="","",IF($A1448&lt;&gt;21,"対象外",IF($AE1448&amp;""="00000000","在職",IF($AE1448&amp;""='DB_設定'!$C$4,"4/1喪失","その他喪失"))))</f>
      </c>
    </row>
    <row r="1449">
      <c r="DB1449" s="2909">
        <f>IF($A1449="","",IF($A1449&lt;&gt;21,"対象外",IF($AE1449&amp;""="00000000","在職",IF($AE1449&amp;""='DB_設定'!$C$4,"4/1喪失","その他喪失"))))</f>
      </c>
    </row>
    <row r="1450">
      <c r="DB1450" s="2909">
        <f>IF($A1450="","",IF($A1450&lt;&gt;21,"対象外",IF($AE1450&amp;""="00000000","在職",IF($AE1450&amp;""='DB_設定'!$C$4,"4/1喪失","その他喪失"))))</f>
      </c>
    </row>
    <row r="1451">
      <c r="DB1451" s="2909">
        <f>IF($A1451="","",IF($A1451&lt;&gt;21,"対象外",IF($AE1451&amp;""="00000000","在職",IF($AE1451&amp;""='DB_設定'!$C$4,"4/1喪失","その他喪失"))))</f>
      </c>
    </row>
    <row r="1452">
      <c r="DB1452" s="2909">
        <f>IF($A1452="","",IF($A1452&lt;&gt;21,"対象外",IF($AE1452&amp;""="00000000","在職",IF($AE1452&amp;""='DB_設定'!$C$4,"4/1喪失","その他喪失"))))</f>
      </c>
    </row>
    <row r="1453">
      <c r="DB1453" s="2909">
        <f>IF($A1453="","",IF($A1453&lt;&gt;21,"対象外",IF($AE1453&amp;""="00000000","在職",IF($AE1453&amp;""='DB_設定'!$C$4,"4/1喪失","その他喪失"))))</f>
      </c>
    </row>
    <row r="1454">
      <c r="DB1454" s="2909">
        <f>IF($A1454="","",IF($A1454&lt;&gt;21,"対象外",IF($AE1454&amp;""="00000000","在職",IF($AE1454&amp;""='DB_設定'!$C$4,"4/1喪失","その他喪失"))))</f>
      </c>
    </row>
    <row r="1455">
      <c r="DB1455" s="2909">
        <f>IF($A1455="","",IF($A1455&lt;&gt;21,"対象外",IF($AE1455&amp;""="00000000","在職",IF($AE1455&amp;""='DB_設定'!$C$4,"4/1喪失","その他喪失"))))</f>
      </c>
    </row>
    <row r="1456">
      <c r="DB1456" s="2909">
        <f>IF($A1456="","",IF($A1456&lt;&gt;21,"対象外",IF($AE1456&amp;""="00000000","在職",IF($AE1456&amp;""='DB_設定'!$C$4,"4/1喪失","その他喪失"))))</f>
      </c>
    </row>
    <row r="1457">
      <c r="DB1457" s="2909">
        <f>IF($A1457="","",IF($A1457&lt;&gt;21,"対象外",IF($AE1457&amp;""="00000000","在職",IF($AE1457&amp;""='DB_設定'!$C$4,"4/1喪失","その他喪失"))))</f>
      </c>
    </row>
    <row r="1458">
      <c r="DB1458" s="2909">
        <f>IF($A1458="","",IF($A1458&lt;&gt;21,"対象外",IF($AE1458&amp;""="00000000","在職",IF($AE1458&amp;""='DB_設定'!$C$4,"4/1喪失","その他喪失"))))</f>
      </c>
    </row>
    <row r="1459">
      <c r="DB1459" s="2909">
        <f>IF($A1459="","",IF($A1459&lt;&gt;21,"対象外",IF($AE1459&amp;""="00000000","在職",IF($AE1459&amp;""='DB_設定'!$C$4,"4/1喪失","その他喪失"))))</f>
      </c>
    </row>
    <row r="1460">
      <c r="DB1460" s="2909">
        <f>IF($A1460="","",IF($A1460&lt;&gt;21,"対象外",IF($AE1460&amp;""="00000000","在職",IF($AE1460&amp;""='DB_設定'!$C$4,"4/1喪失","その他喪失"))))</f>
      </c>
    </row>
    <row r="1461">
      <c r="DB1461" s="2909">
        <f>IF($A1461="","",IF($A1461&lt;&gt;21,"対象外",IF($AE1461&amp;""="00000000","在職",IF($AE1461&amp;""='DB_設定'!$C$4,"4/1喪失","その他喪失"))))</f>
      </c>
    </row>
    <row r="1462">
      <c r="DB1462" s="2909">
        <f>IF($A1462="","",IF($A1462&lt;&gt;21,"対象外",IF($AE1462&amp;""="00000000","在職",IF($AE1462&amp;""='DB_設定'!$C$4,"4/1喪失","その他喪失"))))</f>
      </c>
    </row>
    <row r="1463">
      <c r="DB1463" s="2909">
        <f>IF($A1463="","",IF($A1463&lt;&gt;21,"対象外",IF($AE1463&amp;""="00000000","在職",IF($AE1463&amp;""='DB_設定'!$C$4,"4/1喪失","その他喪失"))))</f>
      </c>
    </row>
    <row r="1464">
      <c r="DB1464" s="2909">
        <f>IF($A1464="","",IF($A1464&lt;&gt;21,"対象外",IF($AE1464&amp;""="00000000","在職",IF($AE1464&amp;""='DB_設定'!$C$4,"4/1喪失","その他喪失"))))</f>
      </c>
    </row>
    <row r="1465">
      <c r="DB1465" s="2909">
        <f>IF($A1465="","",IF($A1465&lt;&gt;21,"対象外",IF($AE1465&amp;""="00000000","在職",IF($AE1465&amp;""='DB_設定'!$C$4,"4/1喪失","その他喪失"))))</f>
      </c>
    </row>
    <row r="1466">
      <c r="DB1466" s="2909">
        <f>IF($A1466="","",IF($A1466&lt;&gt;21,"対象外",IF($AE1466&amp;""="00000000","在職",IF($AE1466&amp;""='DB_設定'!$C$4,"4/1喪失","その他喪失"))))</f>
      </c>
    </row>
    <row r="1467">
      <c r="DB1467" s="2909">
        <f>IF($A1467="","",IF($A1467&lt;&gt;21,"対象外",IF($AE1467&amp;""="00000000","在職",IF($AE1467&amp;""='DB_設定'!$C$4,"4/1喪失","その他喪失"))))</f>
      </c>
    </row>
    <row r="1468">
      <c r="DB1468" s="2909">
        <f>IF($A1468="","",IF($A1468&lt;&gt;21,"対象外",IF($AE1468&amp;""="00000000","在職",IF($AE1468&amp;""='DB_設定'!$C$4,"4/1喪失","その他喪失"))))</f>
      </c>
    </row>
    <row r="1469">
      <c r="DB1469" s="2909">
        <f>IF($A1469="","",IF($A1469&lt;&gt;21,"対象外",IF($AE1469&amp;""="00000000","在職",IF($AE1469&amp;""='DB_設定'!$C$4,"4/1喪失","その他喪失"))))</f>
      </c>
    </row>
    <row r="1470">
      <c r="DB1470" s="2909">
        <f>IF($A1470="","",IF($A1470&lt;&gt;21,"対象外",IF($AE1470&amp;""="00000000","在職",IF($AE1470&amp;""='DB_設定'!$C$4,"4/1喪失","その他喪失"))))</f>
      </c>
    </row>
    <row r="1471">
      <c r="DB1471" s="2909">
        <f>IF($A1471="","",IF($A1471&lt;&gt;21,"対象外",IF($AE1471&amp;""="00000000","在職",IF($AE1471&amp;""='DB_設定'!$C$4,"4/1喪失","その他喪失"))))</f>
      </c>
    </row>
    <row r="1472">
      <c r="DB1472" s="2909">
        <f>IF($A1472="","",IF($A1472&lt;&gt;21,"対象外",IF($AE1472&amp;""="00000000","在職",IF($AE1472&amp;""='DB_設定'!$C$4,"4/1喪失","その他喪失"))))</f>
      </c>
    </row>
    <row r="1473">
      <c r="DB1473" s="2909">
        <f>IF($A1473="","",IF($A1473&lt;&gt;21,"対象外",IF($AE1473&amp;""="00000000","在職",IF($AE1473&amp;""='DB_設定'!$C$4,"4/1喪失","その他喪失"))))</f>
      </c>
    </row>
    <row r="1474">
      <c r="DB1474" s="2909">
        <f>IF($A1474="","",IF($A1474&lt;&gt;21,"対象外",IF($AE1474&amp;""="00000000","在職",IF($AE1474&amp;""='DB_設定'!$C$4,"4/1喪失","その他喪失"))))</f>
      </c>
    </row>
    <row r="1475">
      <c r="DB1475" s="2909">
        <f>IF($A1475="","",IF($A1475&lt;&gt;21,"対象外",IF($AE1475&amp;""="00000000","在職",IF($AE1475&amp;""='DB_設定'!$C$4,"4/1喪失","その他喪失"))))</f>
      </c>
    </row>
    <row r="1476">
      <c r="DB1476" s="2909">
        <f>IF($A1476="","",IF($A1476&lt;&gt;21,"対象外",IF($AE1476&amp;""="00000000","在職",IF($AE1476&amp;""='DB_設定'!$C$4,"4/1喪失","その他喪失"))))</f>
      </c>
    </row>
    <row r="1477">
      <c r="DB1477" s="2909">
        <f>IF($A1477="","",IF($A1477&lt;&gt;21,"対象外",IF($AE1477&amp;""="00000000","在職",IF($AE1477&amp;""='DB_設定'!$C$4,"4/1喪失","その他喪失"))))</f>
      </c>
    </row>
    <row r="1478">
      <c r="DB1478" s="2909">
        <f>IF($A1478="","",IF($A1478&lt;&gt;21,"対象外",IF($AE1478&amp;""="00000000","在職",IF($AE1478&amp;""='DB_設定'!$C$4,"4/1喪失","その他喪失"))))</f>
      </c>
    </row>
    <row r="1479">
      <c r="DB1479" s="2909">
        <f>IF($A1479="","",IF($A1479&lt;&gt;21,"対象外",IF($AE1479&amp;""="00000000","在職",IF($AE1479&amp;""='DB_設定'!$C$4,"4/1喪失","その他喪失"))))</f>
      </c>
    </row>
    <row r="1480">
      <c r="DB1480" s="2909">
        <f>IF($A1480="","",IF($A1480&lt;&gt;21,"対象外",IF($AE1480&amp;""="00000000","在職",IF($AE1480&amp;""='DB_設定'!$C$4,"4/1喪失","その他喪失"))))</f>
      </c>
    </row>
    <row r="1481">
      <c r="DB1481" s="2909">
        <f>IF($A1481="","",IF($A1481&lt;&gt;21,"対象外",IF($AE1481&amp;""="00000000","在職",IF($AE1481&amp;""='DB_設定'!$C$4,"4/1喪失","その他喪失"))))</f>
      </c>
    </row>
    <row r="1482">
      <c r="DB1482" s="2909">
        <f>IF($A1482="","",IF($A1482&lt;&gt;21,"対象外",IF($AE1482&amp;""="00000000","在職",IF($AE1482&amp;""='DB_設定'!$C$4,"4/1喪失","その他喪失"))))</f>
      </c>
    </row>
    <row r="1483">
      <c r="DB1483" s="2909">
        <f>IF($A1483="","",IF($A1483&lt;&gt;21,"対象外",IF($AE1483&amp;""="00000000","在職",IF($AE1483&amp;""='DB_設定'!$C$4,"4/1喪失","その他喪失"))))</f>
      </c>
    </row>
    <row r="1484">
      <c r="DB1484" s="2909">
        <f>IF($A1484="","",IF($A1484&lt;&gt;21,"対象外",IF($AE1484&amp;""="00000000","在職",IF($AE1484&amp;""='DB_設定'!$C$4,"4/1喪失","その他喪失"))))</f>
      </c>
    </row>
    <row r="1485">
      <c r="DB1485" s="2909">
        <f>IF($A1485="","",IF($A1485&lt;&gt;21,"対象外",IF($AE1485&amp;""="00000000","在職",IF($AE1485&amp;""='DB_設定'!$C$4,"4/1喪失","その他喪失"))))</f>
      </c>
    </row>
    <row r="1486">
      <c r="DB1486" s="2909">
        <f>IF($A1486="","",IF($A1486&lt;&gt;21,"対象外",IF($AE1486&amp;""="00000000","在職",IF($AE1486&amp;""='DB_設定'!$C$4,"4/1喪失","その他喪失"))))</f>
      </c>
    </row>
    <row r="1487">
      <c r="DB1487" s="2909">
        <f>IF($A1487="","",IF($A1487&lt;&gt;21,"対象外",IF($AE1487&amp;""="00000000","在職",IF($AE1487&amp;""='DB_設定'!$C$4,"4/1喪失","その他喪失"))))</f>
      </c>
    </row>
    <row r="1488">
      <c r="DB1488" s="2909">
        <f>IF($A1488="","",IF($A1488&lt;&gt;21,"対象外",IF($AE1488&amp;""="00000000","在職",IF($AE1488&amp;""='DB_設定'!$C$4,"4/1喪失","その他喪失"))))</f>
      </c>
    </row>
    <row r="1489">
      <c r="DB1489" s="2909">
        <f>IF($A1489="","",IF($A1489&lt;&gt;21,"対象外",IF($AE1489&amp;""="00000000","在職",IF($AE1489&amp;""='DB_設定'!$C$4,"4/1喪失","その他喪失"))))</f>
      </c>
    </row>
    <row r="1490">
      <c r="DB1490" s="2909">
        <f>IF($A1490="","",IF($A1490&lt;&gt;21,"対象外",IF($AE1490&amp;""="00000000","在職",IF($AE1490&amp;""='DB_設定'!$C$4,"4/1喪失","その他喪失"))))</f>
      </c>
    </row>
    <row r="1491">
      <c r="DB1491" s="2909">
        <f>IF($A1491="","",IF($A1491&lt;&gt;21,"対象外",IF($AE1491&amp;""="00000000","在職",IF($AE1491&amp;""='DB_設定'!$C$4,"4/1喪失","その他喪失"))))</f>
      </c>
    </row>
    <row r="1492">
      <c r="DB1492" s="2909">
        <f>IF($A1492="","",IF($A1492&lt;&gt;21,"対象外",IF($AE1492&amp;""="00000000","在職",IF($AE1492&amp;""='DB_設定'!$C$4,"4/1喪失","その他喪失"))))</f>
      </c>
    </row>
    <row r="1493">
      <c r="DB1493" s="2909">
        <f>IF($A1493="","",IF($A1493&lt;&gt;21,"対象外",IF($AE1493&amp;""="00000000","在職",IF($AE1493&amp;""='DB_設定'!$C$4,"4/1喪失","その他喪失"))))</f>
      </c>
    </row>
    <row r="1494">
      <c r="DB1494" s="2909">
        <f>IF($A1494="","",IF($A1494&lt;&gt;21,"対象外",IF($AE1494&amp;""="00000000","在職",IF($AE1494&amp;""='DB_設定'!$C$4,"4/1喪失","その他喪失"))))</f>
      </c>
    </row>
    <row r="1495">
      <c r="DB1495" s="2909">
        <f>IF($A1495="","",IF($A1495&lt;&gt;21,"対象外",IF($AE1495&amp;""="00000000","在職",IF($AE1495&amp;""='DB_設定'!$C$4,"4/1喪失","その他喪失"))))</f>
      </c>
    </row>
    <row r="1496">
      <c r="DB1496" s="2909">
        <f>IF($A1496="","",IF($A1496&lt;&gt;21,"対象外",IF($AE1496&amp;""="00000000","在職",IF($AE1496&amp;""='DB_設定'!$C$4,"4/1喪失","その他喪失"))))</f>
      </c>
    </row>
    <row r="1497">
      <c r="DB1497" s="2909">
        <f>IF($A1497="","",IF($A1497&lt;&gt;21,"対象外",IF($AE1497&amp;""="00000000","在職",IF($AE1497&amp;""='DB_設定'!$C$4,"4/1喪失","その他喪失"))))</f>
      </c>
    </row>
    <row r="1498">
      <c r="DB1498" s="2909">
        <f>IF($A1498="","",IF($A1498&lt;&gt;21,"対象外",IF($AE1498&amp;""="00000000","在職",IF($AE1498&amp;""='DB_設定'!$C$4,"4/1喪失","その他喪失"))))</f>
      </c>
    </row>
    <row r="1499">
      <c r="DB1499" s="2909">
        <f>IF($A1499="","",IF($A1499&lt;&gt;21,"対象外",IF($AE1499&amp;""="00000000","在職",IF($AE1499&amp;""='DB_設定'!$C$4,"4/1喪失","その他喪失"))))</f>
      </c>
    </row>
    <row r="1500">
      <c r="DB1500" s="2909">
        <f>IF($A1500="","",IF($A1500&lt;&gt;21,"対象外",IF($AE1500&amp;""="00000000","在職",IF($AE1500&amp;""='DB_設定'!$C$4,"4/1喪失","その他喪失"))))</f>
      </c>
    </row>
    <row r="1501">
      <c r="DB1501" s="2909">
        <f>IF($A1501="","",IF($A1501&lt;&gt;21,"対象外",IF($AE1501&amp;""="00000000","在職",IF($AE1501&amp;""='DB_設定'!$C$4,"4/1喪失","その他喪失"))))</f>
      </c>
    </row>
    <row r="1502">
      <c r="DB1502" s="2909">
        <f>IF($A1502="","",IF($A1502&lt;&gt;21,"対象外",IF($AE1502&amp;""="00000000","在職",IF($AE1502&amp;""='DB_設定'!$C$4,"4/1喪失","その他喪失"))))</f>
      </c>
    </row>
    <row r="1503">
      <c r="DB1503" s="2909">
        <f>IF($A1503="","",IF($A1503&lt;&gt;21,"対象外",IF($AE1503&amp;""="00000000","在職",IF($AE1503&amp;""='DB_設定'!$C$4,"4/1喪失","その他喪失"))))</f>
      </c>
    </row>
    <row r="1504">
      <c r="DB1504" s="2909">
        <f>IF($A1504="","",IF($A1504&lt;&gt;21,"対象外",IF($AE1504&amp;""="00000000","在職",IF($AE1504&amp;""='DB_設定'!$C$4,"4/1喪失","その他喪失"))))</f>
      </c>
    </row>
    <row r="1505">
      <c r="DB1505" s="2909">
        <f>IF($A1505="","",IF($A1505&lt;&gt;21,"対象外",IF($AE1505&amp;""="00000000","在職",IF($AE1505&amp;""='DB_設定'!$C$4,"4/1喪失","その他喪失"))))</f>
      </c>
    </row>
    <row r="1506">
      <c r="DB1506" s="2909">
        <f>IF($A1506="","",IF($A1506&lt;&gt;21,"対象外",IF($AE1506&amp;""="00000000","在職",IF($AE1506&amp;""='DB_設定'!$C$4,"4/1喪失","その他喪失"))))</f>
      </c>
    </row>
    <row r="1507">
      <c r="DB1507" s="2909">
        <f>IF($A1507="","",IF($A1507&lt;&gt;21,"対象外",IF($AE1507&amp;""="00000000","在職",IF($AE1507&amp;""='DB_設定'!$C$4,"4/1喪失","その他喪失"))))</f>
      </c>
    </row>
    <row r="1508">
      <c r="DB1508" s="2909">
        <f>IF($A1508="","",IF($A1508&lt;&gt;21,"対象外",IF($AE1508&amp;""="00000000","在職",IF($AE1508&amp;""='DB_設定'!$C$4,"4/1喪失","その他喪失"))))</f>
      </c>
    </row>
    <row r="1509">
      <c r="DB1509" s="2909">
        <f>IF($A1509="","",IF($A1509&lt;&gt;21,"対象外",IF($AE1509&amp;""="00000000","在職",IF($AE1509&amp;""='DB_設定'!$C$4,"4/1喪失","その他喪失"))))</f>
      </c>
    </row>
    <row r="1510">
      <c r="DB1510" s="2909">
        <f>IF($A1510="","",IF($A1510&lt;&gt;21,"対象外",IF($AE1510&amp;""="00000000","在職",IF($AE1510&amp;""='DB_設定'!$C$4,"4/1喪失","その他喪失"))))</f>
      </c>
    </row>
    <row r="1511">
      <c r="DB1511" s="2909">
        <f>IF($A1511="","",IF($A1511&lt;&gt;21,"対象外",IF($AE1511&amp;""="00000000","在職",IF($AE1511&amp;""='DB_設定'!$C$4,"4/1喪失","その他喪失"))))</f>
      </c>
    </row>
    <row r="1512">
      <c r="DB1512" s="2909">
        <f>IF($A1512="","",IF($A1512&lt;&gt;21,"対象外",IF($AE1512&amp;""="00000000","在職",IF($AE1512&amp;""='DB_設定'!$C$4,"4/1喪失","その他喪失"))))</f>
      </c>
    </row>
    <row r="1513">
      <c r="DB1513" s="2909">
        <f>IF($A1513="","",IF($A1513&lt;&gt;21,"対象外",IF($AE1513&amp;""="00000000","在職",IF($AE1513&amp;""='DB_設定'!$C$4,"4/1喪失","その他喪失"))))</f>
      </c>
    </row>
    <row r="1514">
      <c r="DB1514" s="2909">
        <f>IF($A1514="","",IF($A1514&lt;&gt;21,"対象外",IF($AE1514&amp;""="00000000","在職",IF($AE1514&amp;""='DB_設定'!$C$4,"4/1喪失","その他喪失"))))</f>
      </c>
    </row>
    <row r="1515">
      <c r="DB1515" s="2909">
        <f>IF($A1515="","",IF($A1515&lt;&gt;21,"対象外",IF($AE1515&amp;""="00000000","在職",IF($AE1515&amp;""='DB_設定'!$C$4,"4/1喪失","その他喪失"))))</f>
      </c>
    </row>
    <row r="1516">
      <c r="DB1516" s="2909">
        <f>IF($A1516="","",IF($A1516&lt;&gt;21,"対象外",IF($AE1516&amp;""="00000000","在職",IF($AE1516&amp;""='DB_設定'!$C$4,"4/1喪失","その他喪失"))))</f>
      </c>
    </row>
    <row r="1517">
      <c r="DB1517" s="2909">
        <f>IF($A1517="","",IF($A1517&lt;&gt;21,"対象外",IF($AE1517&amp;""="00000000","在職",IF($AE1517&amp;""='DB_設定'!$C$4,"4/1喪失","その他喪失"))))</f>
      </c>
    </row>
    <row r="1518">
      <c r="DB1518" s="2909">
        <f>IF($A1518="","",IF($A1518&lt;&gt;21,"対象外",IF($AE1518&amp;""="00000000","在職",IF($AE1518&amp;""='DB_設定'!$C$4,"4/1喪失","その他喪失"))))</f>
      </c>
    </row>
    <row r="1519">
      <c r="DB1519" s="2909">
        <f>IF($A1519="","",IF($A1519&lt;&gt;21,"対象外",IF($AE1519&amp;""="00000000","在職",IF($AE1519&amp;""='DB_設定'!$C$4,"4/1喪失","その他喪失"))))</f>
      </c>
    </row>
    <row r="1520">
      <c r="DB1520" s="2909">
        <f>IF($A1520="","",IF($A1520&lt;&gt;21,"対象外",IF($AE1520&amp;""="00000000","在職",IF($AE1520&amp;""='DB_設定'!$C$4,"4/1喪失","その他喪失"))))</f>
      </c>
    </row>
    <row r="1521">
      <c r="DB1521" s="2909">
        <f>IF($A1521="","",IF($A1521&lt;&gt;21,"対象外",IF($AE1521&amp;""="00000000","在職",IF($AE1521&amp;""='DB_設定'!$C$4,"4/1喪失","その他喪失"))))</f>
      </c>
    </row>
    <row r="1522">
      <c r="DB1522" s="2909">
        <f>IF($A1522="","",IF($A1522&lt;&gt;21,"対象外",IF($AE1522&amp;""="00000000","在職",IF($AE1522&amp;""='DB_設定'!$C$4,"4/1喪失","その他喪失"))))</f>
      </c>
    </row>
    <row r="1523">
      <c r="DB1523" s="2909">
        <f>IF($A1523="","",IF($A1523&lt;&gt;21,"対象外",IF($AE1523&amp;""="00000000","在職",IF($AE1523&amp;""='DB_設定'!$C$4,"4/1喪失","その他喪失"))))</f>
      </c>
    </row>
    <row r="1524">
      <c r="DB1524" s="2909">
        <f>IF($A1524="","",IF($A1524&lt;&gt;21,"対象外",IF($AE1524&amp;""="00000000","在職",IF($AE1524&amp;""='DB_設定'!$C$4,"4/1喪失","その他喪失"))))</f>
      </c>
    </row>
    <row r="1525">
      <c r="DB1525" s="2909">
        <f>IF($A1525="","",IF($A1525&lt;&gt;21,"対象外",IF($AE1525&amp;""="00000000","在職",IF($AE1525&amp;""='DB_設定'!$C$4,"4/1喪失","その他喪失"))))</f>
      </c>
    </row>
    <row r="1526">
      <c r="DB1526" s="2909">
        <f>IF($A1526="","",IF($A1526&lt;&gt;21,"対象外",IF($AE1526&amp;""="00000000","在職",IF($AE1526&amp;""='DB_設定'!$C$4,"4/1喪失","その他喪失"))))</f>
      </c>
    </row>
    <row r="1527">
      <c r="DB1527" s="2909">
        <f>IF($A1527="","",IF($A1527&lt;&gt;21,"対象外",IF($AE1527&amp;""="00000000","在職",IF($AE1527&amp;""='DB_設定'!$C$4,"4/1喪失","その他喪失"))))</f>
      </c>
    </row>
    <row r="1528">
      <c r="DB1528" s="2909">
        <f>IF($A1528="","",IF($A1528&lt;&gt;21,"対象外",IF($AE1528&amp;""="00000000","在職",IF($AE1528&amp;""='DB_設定'!$C$4,"4/1喪失","その他喪失"))))</f>
      </c>
    </row>
    <row r="1529">
      <c r="DB1529" s="2909">
        <f>IF($A1529="","",IF($A1529&lt;&gt;21,"対象外",IF($AE1529&amp;""="00000000","在職",IF($AE1529&amp;""='DB_設定'!$C$4,"4/1喪失","その他喪失"))))</f>
      </c>
    </row>
    <row r="1530">
      <c r="DB1530" s="2909">
        <f>IF($A1530="","",IF($A1530&lt;&gt;21,"対象外",IF($AE1530&amp;""="00000000","在職",IF($AE1530&amp;""='DB_設定'!$C$4,"4/1喪失","その他喪失"))))</f>
      </c>
    </row>
    <row r="1531">
      <c r="DB1531" s="2909">
        <f>IF($A1531="","",IF($A1531&lt;&gt;21,"対象外",IF($AE1531&amp;""="00000000","在職",IF($AE1531&amp;""='DB_設定'!$C$4,"4/1喪失","その他喪失"))))</f>
      </c>
    </row>
    <row r="1532">
      <c r="DB1532" s="2909">
        <f>IF($A1532="","",IF($A1532&lt;&gt;21,"対象外",IF($AE1532&amp;""="00000000","在職",IF($AE1532&amp;""='DB_設定'!$C$4,"4/1喪失","その他喪失"))))</f>
      </c>
    </row>
    <row r="1533">
      <c r="DB1533" s="2909">
        <f>IF($A1533="","",IF($A1533&lt;&gt;21,"対象外",IF($AE1533&amp;""="00000000","在職",IF($AE1533&amp;""='DB_設定'!$C$4,"4/1喪失","その他喪失"))))</f>
      </c>
    </row>
    <row r="1534">
      <c r="DB1534" s="2909">
        <f>IF($A1534="","",IF($A1534&lt;&gt;21,"対象外",IF($AE1534&amp;""="00000000","在職",IF($AE1534&amp;""='DB_設定'!$C$4,"4/1喪失","その他喪失"))))</f>
      </c>
    </row>
    <row r="1535">
      <c r="DB1535" s="2909">
        <f>IF($A1535="","",IF($A1535&lt;&gt;21,"対象外",IF($AE1535&amp;""="00000000","在職",IF($AE1535&amp;""='DB_設定'!$C$4,"4/1喪失","その他喪失"))))</f>
      </c>
    </row>
    <row r="1536">
      <c r="DB1536" s="2909">
        <f>IF($A1536="","",IF($A1536&lt;&gt;21,"対象外",IF($AE1536&amp;""="00000000","在職",IF($AE1536&amp;""='DB_設定'!$C$4,"4/1喪失","その他喪失"))))</f>
      </c>
    </row>
    <row r="1537">
      <c r="DB1537" s="2909">
        <f>IF($A1537="","",IF($A1537&lt;&gt;21,"対象外",IF($AE1537&amp;""="00000000","在職",IF($AE1537&amp;""='DB_設定'!$C$4,"4/1喪失","その他喪失"))))</f>
      </c>
    </row>
    <row r="1538">
      <c r="DB1538" s="2909">
        <f>IF($A1538="","",IF($A1538&lt;&gt;21,"対象外",IF($AE1538&amp;""="00000000","在職",IF($AE1538&amp;""='DB_設定'!$C$4,"4/1喪失","その他喪失"))))</f>
      </c>
    </row>
    <row r="1539">
      <c r="DB1539" s="2909">
        <f>IF($A1539="","",IF($A1539&lt;&gt;21,"対象外",IF($AE1539&amp;""="00000000","在職",IF($AE1539&amp;""='DB_設定'!$C$4,"4/1喪失","その他喪失"))))</f>
      </c>
    </row>
    <row r="1540">
      <c r="DB1540" s="2909">
        <f>IF($A1540="","",IF($A1540&lt;&gt;21,"対象外",IF($AE1540&amp;""="00000000","在職",IF($AE1540&amp;""='DB_設定'!$C$4,"4/1喪失","その他喪失"))))</f>
      </c>
    </row>
    <row r="1541">
      <c r="DB1541" s="2909">
        <f>IF($A1541="","",IF($A1541&lt;&gt;21,"対象外",IF($AE1541&amp;""="00000000","在職",IF($AE1541&amp;""='DB_設定'!$C$4,"4/1喪失","その他喪失"))))</f>
      </c>
    </row>
    <row r="1542">
      <c r="DB1542" s="2909">
        <f>IF($A1542="","",IF($A1542&lt;&gt;21,"対象外",IF($AE1542&amp;""="00000000","在職",IF($AE1542&amp;""='DB_設定'!$C$4,"4/1喪失","その他喪失"))))</f>
      </c>
    </row>
    <row r="1543">
      <c r="DB1543" s="2909">
        <f>IF($A1543="","",IF($A1543&lt;&gt;21,"対象外",IF($AE1543&amp;""="00000000","在職",IF($AE1543&amp;""='DB_設定'!$C$4,"4/1喪失","その他喪失"))))</f>
      </c>
    </row>
    <row r="1544">
      <c r="DB1544" s="2909">
        <f>IF($A1544="","",IF($A1544&lt;&gt;21,"対象外",IF($AE1544&amp;""="00000000","在職",IF($AE1544&amp;""='DB_設定'!$C$4,"4/1喪失","その他喪失"))))</f>
      </c>
    </row>
    <row r="1545">
      <c r="DB1545" s="2909">
        <f>IF($A1545="","",IF($A1545&lt;&gt;21,"対象外",IF($AE1545&amp;""="00000000","在職",IF($AE1545&amp;""='DB_設定'!$C$4,"4/1喪失","その他喪失"))))</f>
      </c>
    </row>
    <row r="1546">
      <c r="DB1546" s="2909">
        <f>IF($A1546="","",IF($A1546&lt;&gt;21,"対象外",IF($AE1546&amp;""="00000000","在職",IF($AE1546&amp;""='DB_設定'!$C$4,"4/1喪失","その他喪失"))))</f>
      </c>
    </row>
    <row r="1547">
      <c r="DB1547" s="2909">
        <f>IF($A1547="","",IF($A1547&lt;&gt;21,"対象外",IF($AE1547&amp;""="00000000","在職",IF($AE1547&amp;""='DB_設定'!$C$4,"4/1喪失","その他喪失"))))</f>
      </c>
    </row>
    <row r="1548">
      <c r="DB1548" s="2909">
        <f>IF($A1548="","",IF($A1548&lt;&gt;21,"対象外",IF($AE1548&amp;""="00000000","在職",IF($AE1548&amp;""='DB_設定'!$C$4,"4/1喪失","その他喪失"))))</f>
      </c>
    </row>
    <row r="1549">
      <c r="DB1549" s="2909">
        <f>IF($A1549="","",IF($A1549&lt;&gt;21,"対象外",IF($AE1549&amp;""="00000000","在職",IF($AE1549&amp;""='DB_設定'!$C$4,"4/1喪失","その他喪失"))))</f>
      </c>
    </row>
    <row r="1550">
      <c r="DB1550" s="2909">
        <f>IF($A1550="","",IF($A1550&lt;&gt;21,"対象外",IF($AE1550&amp;""="00000000","在職",IF($AE1550&amp;""='DB_設定'!$C$4,"4/1喪失","その他喪失"))))</f>
      </c>
    </row>
    <row r="1551">
      <c r="DB1551" s="2909">
        <f>IF($A1551="","",IF($A1551&lt;&gt;21,"対象外",IF($AE1551&amp;""="00000000","在職",IF($AE1551&amp;""='DB_設定'!$C$4,"4/1喪失","その他喪失"))))</f>
      </c>
    </row>
    <row r="1552">
      <c r="DB1552" s="2909">
        <f>IF($A1552="","",IF($A1552&lt;&gt;21,"対象外",IF($AE1552&amp;""="00000000","在職",IF($AE1552&amp;""='DB_設定'!$C$4,"4/1喪失","その他喪失"))))</f>
      </c>
    </row>
    <row r="1553">
      <c r="DB1553" s="2909">
        <f>IF($A1553="","",IF($A1553&lt;&gt;21,"対象外",IF($AE1553&amp;""="00000000","在職",IF($AE1553&amp;""='DB_設定'!$C$4,"4/1喪失","その他喪失"))))</f>
      </c>
    </row>
    <row r="1554">
      <c r="DB1554" s="2909">
        <f>IF($A1554="","",IF($A1554&lt;&gt;21,"対象外",IF($AE1554&amp;""="00000000","在職",IF($AE1554&amp;""='DB_設定'!$C$4,"4/1喪失","その他喪失"))))</f>
      </c>
    </row>
    <row r="1555">
      <c r="DB1555" s="2909">
        <f>IF($A1555="","",IF($A1555&lt;&gt;21,"対象外",IF($AE1555&amp;""="00000000","在職",IF($AE1555&amp;""='DB_設定'!$C$4,"4/1喪失","その他喪失"))))</f>
      </c>
    </row>
    <row r="1556">
      <c r="DB1556" s="2909">
        <f>IF($A1556="","",IF($A1556&lt;&gt;21,"対象外",IF($AE1556&amp;""="00000000","在職",IF($AE1556&amp;""='DB_設定'!$C$4,"4/1喪失","その他喪失"))))</f>
      </c>
    </row>
    <row r="1557">
      <c r="DB1557" s="2909">
        <f>IF($A1557="","",IF($A1557&lt;&gt;21,"対象外",IF($AE1557&amp;""="00000000","在職",IF($AE1557&amp;""='DB_設定'!$C$4,"4/1喪失","その他喪失"))))</f>
      </c>
    </row>
    <row r="1558">
      <c r="DB1558" s="2909">
        <f>IF($A1558="","",IF($A1558&lt;&gt;21,"対象外",IF($AE1558&amp;""="00000000","在職",IF($AE1558&amp;""='DB_設定'!$C$4,"4/1喪失","その他喪失"))))</f>
      </c>
    </row>
    <row r="1559">
      <c r="DB1559" s="2909">
        <f>IF($A1559="","",IF($A1559&lt;&gt;21,"対象外",IF($AE1559&amp;""="00000000","在職",IF($AE1559&amp;""='DB_設定'!$C$4,"4/1喪失","その他喪失"))))</f>
      </c>
    </row>
    <row r="1560">
      <c r="DB1560" s="2909">
        <f>IF($A1560="","",IF($A1560&lt;&gt;21,"対象外",IF($AE1560&amp;""="00000000","在職",IF($AE1560&amp;""='DB_設定'!$C$4,"4/1喪失","その他喪失"))))</f>
      </c>
    </row>
    <row r="1561">
      <c r="DB1561" s="2909">
        <f>IF($A1561="","",IF($A1561&lt;&gt;21,"対象外",IF($AE1561&amp;""="00000000","在職",IF($AE1561&amp;""='DB_設定'!$C$4,"4/1喪失","その他喪失"))))</f>
      </c>
    </row>
    <row r="1562">
      <c r="DB1562" s="2909">
        <f>IF($A1562="","",IF($A1562&lt;&gt;21,"対象外",IF($AE1562&amp;""="00000000","在職",IF($AE1562&amp;""='DB_設定'!$C$4,"4/1喪失","その他喪失"))))</f>
      </c>
    </row>
    <row r="1563">
      <c r="DB1563" s="2909">
        <f>IF($A1563="","",IF($A1563&lt;&gt;21,"対象外",IF($AE1563&amp;""="00000000","在職",IF($AE1563&amp;""='DB_設定'!$C$4,"4/1喪失","その他喪失"))))</f>
      </c>
    </row>
    <row r="1564">
      <c r="DB1564" s="2909">
        <f>IF($A1564="","",IF($A1564&lt;&gt;21,"対象外",IF($AE1564&amp;""="00000000","在職",IF($AE1564&amp;""='DB_設定'!$C$4,"4/1喪失","その他喪失"))))</f>
      </c>
    </row>
    <row r="1565">
      <c r="DB1565" s="2909">
        <f>IF($A1565="","",IF($A1565&lt;&gt;21,"対象外",IF($AE1565&amp;""="00000000","在職",IF($AE1565&amp;""='DB_設定'!$C$4,"4/1喪失","その他喪失"))))</f>
      </c>
    </row>
    <row r="1566">
      <c r="DB1566" s="2909">
        <f>IF($A1566="","",IF($A1566&lt;&gt;21,"対象外",IF($AE1566&amp;""="00000000","在職",IF($AE1566&amp;""='DB_設定'!$C$4,"4/1喪失","その他喪失"))))</f>
      </c>
    </row>
    <row r="1567">
      <c r="DB1567" s="2909">
        <f>IF($A1567="","",IF($A1567&lt;&gt;21,"対象外",IF($AE1567&amp;""="00000000","在職",IF($AE1567&amp;""='DB_設定'!$C$4,"4/1喪失","その他喪失"))))</f>
      </c>
    </row>
    <row r="1568">
      <c r="DB1568" s="2909">
        <f>IF($A1568="","",IF($A1568&lt;&gt;21,"対象外",IF($AE1568&amp;""="00000000","在職",IF($AE1568&amp;""='DB_設定'!$C$4,"4/1喪失","その他喪失"))))</f>
      </c>
    </row>
    <row r="1569">
      <c r="DB1569" s="2909">
        <f>IF($A1569="","",IF($A1569&lt;&gt;21,"対象外",IF($AE1569&amp;""="00000000","在職",IF($AE1569&amp;""='DB_設定'!$C$4,"4/1喪失","その他喪失"))))</f>
      </c>
    </row>
    <row r="1570">
      <c r="DB1570" s="2909">
        <f>IF($A1570="","",IF($A1570&lt;&gt;21,"対象外",IF($AE1570&amp;""="00000000","在職",IF($AE1570&amp;""='DB_設定'!$C$4,"4/1喪失","その他喪失"))))</f>
      </c>
    </row>
    <row r="1571">
      <c r="DB1571" s="2909">
        <f>IF($A1571="","",IF($A1571&lt;&gt;21,"対象外",IF($AE1571&amp;""="00000000","在職",IF($AE1571&amp;""='DB_設定'!$C$4,"4/1喪失","その他喪失"))))</f>
      </c>
    </row>
    <row r="1572">
      <c r="DB1572" s="2909">
        <f>IF($A1572="","",IF($A1572&lt;&gt;21,"対象外",IF($AE1572&amp;""="00000000","在職",IF($AE1572&amp;""='DB_設定'!$C$4,"4/1喪失","その他喪失"))))</f>
      </c>
    </row>
    <row r="1573">
      <c r="DB1573" s="2909">
        <f>IF($A1573="","",IF($A1573&lt;&gt;21,"対象外",IF($AE1573&amp;""="00000000","在職",IF($AE1573&amp;""='DB_設定'!$C$4,"4/1喪失","その他喪失"))))</f>
      </c>
    </row>
    <row r="1574">
      <c r="DB1574" s="2909">
        <f>IF($A1574="","",IF($A1574&lt;&gt;21,"対象外",IF($AE1574&amp;""="00000000","在職",IF($AE1574&amp;""='DB_設定'!$C$4,"4/1喪失","その他喪失"))))</f>
      </c>
    </row>
    <row r="1575">
      <c r="DB1575" s="2909">
        <f>IF($A1575="","",IF($A1575&lt;&gt;21,"対象外",IF($AE1575&amp;""="00000000","在職",IF($AE1575&amp;""='DB_設定'!$C$4,"4/1喪失","その他喪失"))))</f>
      </c>
    </row>
    <row r="1576">
      <c r="DB1576" s="2909">
        <f>IF($A1576="","",IF($A1576&lt;&gt;21,"対象外",IF($AE1576&amp;""="00000000","在職",IF($AE1576&amp;""='DB_設定'!$C$4,"4/1喪失","その他喪失"))))</f>
      </c>
    </row>
    <row r="1577">
      <c r="DB1577" s="2909">
        <f>IF($A1577="","",IF($A1577&lt;&gt;21,"対象外",IF($AE1577&amp;""="00000000","在職",IF($AE1577&amp;""='DB_設定'!$C$4,"4/1喪失","その他喪失"))))</f>
      </c>
    </row>
    <row r="1578">
      <c r="DB1578" s="2909">
        <f>IF($A1578="","",IF($A1578&lt;&gt;21,"対象外",IF($AE1578&amp;""="00000000","在職",IF($AE1578&amp;""='DB_設定'!$C$4,"4/1喪失","その他喪失"))))</f>
      </c>
    </row>
    <row r="1579">
      <c r="DB1579" s="2909">
        <f>IF($A1579="","",IF($A1579&lt;&gt;21,"対象外",IF($AE1579&amp;""="00000000","在職",IF($AE1579&amp;""='DB_設定'!$C$4,"4/1喪失","その他喪失"))))</f>
      </c>
    </row>
    <row r="1580">
      <c r="DB1580" s="2909">
        <f>IF($A1580="","",IF($A1580&lt;&gt;21,"対象外",IF($AE1580&amp;""="00000000","在職",IF($AE1580&amp;""='DB_設定'!$C$4,"4/1喪失","その他喪失"))))</f>
      </c>
    </row>
    <row r="1581">
      <c r="DB1581" s="2909">
        <f>IF($A1581="","",IF($A1581&lt;&gt;21,"対象外",IF($AE1581&amp;""="00000000","在職",IF($AE1581&amp;""='DB_設定'!$C$4,"4/1喪失","その他喪失"))))</f>
      </c>
    </row>
    <row r="1582">
      <c r="DB1582" s="2909">
        <f>IF($A1582="","",IF($A1582&lt;&gt;21,"対象外",IF($AE1582&amp;""="00000000","在職",IF($AE1582&amp;""='DB_設定'!$C$4,"4/1喪失","その他喪失"))))</f>
      </c>
    </row>
    <row r="1583">
      <c r="DB1583" s="2909">
        <f>IF($A1583="","",IF($A1583&lt;&gt;21,"対象外",IF($AE1583&amp;""="00000000","在職",IF($AE1583&amp;""='DB_設定'!$C$4,"4/1喪失","その他喪失"))))</f>
      </c>
    </row>
    <row r="1584">
      <c r="DB1584" s="2909">
        <f>IF($A1584="","",IF($A1584&lt;&gt;21,"対象外",IF($AE1584&amp;""="00000000","在職",IF($AE1584&amp;""='DB_設定'!$C$4,"4/1喪失","その他喪失"))))</f>
      </c>
    </row>
    <row r="1585">
      <c r="DB1585" s="2909">
        <f>IF($A1585="","",IF($A1585&lt;&gt;21,"対象外",IF($AE1585&amp;""="00000000","在職",IF($AE1585&amp;""='DB_設定'!$C$4,"4/1喪失","その他喪失"))))</f>
      </c>
    </row>
    <row r="1586">
      <c r="DB1586" s="2909">
        <f>IF($A1586="","",IF($A1586&lt;&gt;21,"対象外",IF($AE1586&amp;""="00000000","在職",IF($AE1586&amp;""='DB_設定'!$C$4,"4/1喪失","その他喪失"))))</f>
      </c>
    </row>
    <row r="1587">
      <c r="DB1587" s="2909">
        <f>IF($A1587="","",IF($A1587&lt;&gt;21,"対象外",IF($AE1587&amp;""="00000000","在職",IF($AE1587&amp;""='DB_設定'!$C$4,"4/1喪失","その他喪失"))))</f>
      </c>
    </row>
    <row r="1588">
      <c r="DB1588" s="2909">
        <f>IF($A1588="","",IF($A1588&lt;&gt;21,"対象外",IF($AE1588&amp;""="00000000","在職",IF($AE1588&amp;""='DB_設定'!$C$4,"4/1喪失","その他喪失"))))</f>
      </c>
    </row>
    <row r="1589">
      <c r="DB1589" s="2909">
        <f>IF($A1589="","",IF($A1589&lt;&gt;21,"対象外",IF($AE1589&amp;""="00000000","在職",IF($AE1589&amp;""='DB_設定'!$C$4,"4/1喪失","その他喪失"))))</f>
      </c>
    </row>
    <row r="1590">
      <c r="DB1590" s="2909">
        <f>IF($A1590="","",IF($A1590&lt;&gt;21,"対象外",IF($AE1590&amp;""="00000000","在職",IF($AE1590&amp;""='DB_設定'!$C$4,"4/1喪失","その他喪失"))))</f>
      </c>
    </row>
    <row r="1591">
      <c r="DB1591" s="2909">
        <f>IF($A1591="","",IF($A1591&lt;&gt;21,"対象外",IF($AE1591&amp;""="00000000","在職",IF($AE1591&amp;""='DB_設定'!$C$4,"4/1喪失","その他喪失"))))</f>
      </c>
    </row>
    <row r="1592">
      <c r="DB1592" s="2909">
        <f>IF($A1592="","",IF($A1592&lt;&gt;21,"対象外",IF($AE1592&amp;""="00000000","在職",IF($AE1592&amp;""='DB_設定'!$C$4,"4/1喪失","その他喪失"))))</f>
      </c>
    </row>
    <row r="1593">
      <c r="DB1593" s="2909">
        <f>IF($A1593="","",IF($A1593&lt;&gt;21,"対象外",IF($AE1593&amp;""="00000000","在職",IF($AE1593&amp;""='DB_設定'!$C$4,"4/1喪失","その他喪失"))))</f>
      </c>
    </row>
    <row r="1594">
      <c r="DB1594" s="2909">
        <f>IF($A1594="","",IF($A1594&lt;&gt;21,"対象外",IF($AE1594&amp;""="00000000","在職",IF($AE1594&amp;""='DB_設定'!$C$4,"4/1喪失","その他喪失"))))</f>
      </c>
    </row>
    <row r="1595">
      <c r="DB1595" s="2909">
        <f>IF($A1595="","",IF($A1595&lt;&gt;21,"対象外",IF($AE1595&amp;""="00000000","在職",IF($AE1595&amp;""='DB_設定'!$C$4,"4/1喪失","その他喪失"))))</f>
      </c>
    </row>
    <row r="1596">
      <c r="DB1596" s="2909">
        <f>IF($A1596="","",IF($A1596&lt;&gt;21,"対象外",IF($AE1596&amp;""="00000000","在職",IF($AE1596&amp;""='DB_設定'!$C$4,"4/1喪失","その他喪失"))))</f>
      </c>
    </row>
    <row r="1597">
      <c r="DB1597" s="2909">
        <f>IF($A1597="","",IF($A1597&lt;&gt;21,"対象外",IF($AE1597&amp;""="00000000","在職",IF($AE1597&amp;""='DB_設定'!$C$4,"4/1喪失","その他喪失"))))</f>
      </c>
    </row>
    <row r="1598">
      <c r="DB1598" s="2909">
        <f>IF($A1598="","",IF($A1598&lt;&gt;21,"対象外",IF($AE1598&amp;""="00000000","在職",IF($AE1598&amp;""='DB_設定'!$C$4,"4/1喪失","その他喪失"))))</f>
      </c>
    </row>
    <row r="1599">
      <c r="DB1599" s="2909">
        <f>IF($A1599="","",IF($A1599&lt;&gt;21,"対象外",IF($AE1599&amp;""="00000000","在職",IF($AE1599&amp;""='DB_設定'!$C$4,"4/1喪失","その他喪失"))))</f>
      </c>
    </row>
    <row r="1600">
      <c r="DB1600" s="2909">
        <f>IF($A1600="","",IF($A1600&lt;&gt;21,"対象外",IF($AE1600&amp;""="00000000","在職",IF($AE1600&amp;""='DB_設定'!$C$4,"4/1喪失","その他喪失"))))</f>
      </c>
    </row>
    <row r="1601">
      <c r="DB1601" s="2909">
        <f>IF($A1601="","",IF($A1601&lt;&gt;21,"対象外",IF($AE1601&amp;""="00000000","在職",IF($AE1601&amp;""='DB_設定'!$C$4,"4/1喪失","その他喪失"))))</f>
      </c>
    </row>
    <row r="1602">
      <c r="DB1602" s="2909">
        <f>IF($A1602="","",IF($A1602&lt;&gt;21,"対象外",IF($AE1602&amp;""="00000000","在職",IF($AE1602&amp;""='DB_設定'!$C$4,"4/1喪失","その他喪失"))))</f>
      </c>
    </row>
    <row r="1603">
      <c r="DB1603" s="2909">
        <f>IF($A1603="","",IF($A1603&lt;&gt;21,"対象外",IF($AE1603&amp;""="00000000","在職",IF($AE1603&amp;""='DB_設定'!$C$4,"4/1喪失","その他喪失"))))</f>
      </c>
    </row>
    <row r="1604">
      <c r="DB1604" s="2909">
        <f>IF($A1604="","",IF($A1604&lt;&gt;21,"対象外",IF($AE1604&amp;""="00000000","在職",IF($AE1604&amp;""='DB_設定'!$C$4,"4/1喪失","その他喪失"))))</f>
      </c>
    </row>
    <row r="1605">
      <c r="DB1605" s="2909">
        <f>IF($A1605="","",IF($A1605&lt;&gt;21,"対象外",IF($AE1605&amp;""="00000000","在職",IF($AE1605&amp;""='DB_設定'!$C$4,"4/1喪失","その他喪失"))))</f>
      </c>
    </row>
    <row r="1606">
      <c r="DB1606" s="2909">
        <f>IF($A1606="","",IF($A1606&lt;&gt;21,"対象外",IF($AE1606&amp;""="00000000","在職",IF($AE1606&amp;""='DB_設定'!$C$4,"4/1喪失","その他喪失"))))</f>
      </c>
    </row>
    <row r="1607">
      <c r="DB1607" s="2909">
        <f>IF($A1607="","",IF($A1607&lt;&gt;21,"対象外",IF($AE1607&amp;""="00000000","在職",IF($AE1607&amp;""='DB_設定'!$C$4,"4/1喪失","その他喪失"))))</f>
      </c>
    </row>
    <row r="1608">
      <c r="DB1608" s="2909">
        <f>IF($A1608="","",IF($A1608&lt;&gt;21,"対象外",IF($AE1608&amp;""="00000000","在職",IF($AE1608&amp;""='DB_設定'!$C$4,"4/1喪失","その他喪失"))))</f>
      </c>
    </row>
    <row r="1609">
      <c r="DB1609" s="2909">
        <f>IF($A1609="","",IF($A1609&lt;&gt;21,"対象外",IF($AE1609&amp;""="00000000","在職",IF($AE1609&amp;""='DB_設定'!$C$4,"4/1喪失","その他喪失"))))</f>
      </c>
    </row>
    <row r="1610">
      <c r="DB1610" s="2909">
        <f>IF($A1610="","",IF($A1610&lt;&gt;21,"対象外",IF($AE1610&amp;""="00000000","在職",IF($AE1610&amp;""='DB_設定'!$C$4,"4/1喪失","その他喪失"))))</f>
      </c>
    </row>
    <row r="1611">
      <c r="DB1611" s="2909">
        <f>IF($A1611="","",IF($A1611&lt;&gt;21,"対象外",IF($AE1611&amp;""="00000000","在職",IF($AE1611&amp;""='DB_設定'!$C$4,"4/1喪失","その他喪失"))))</f>
      </c>
    </row>
    <row r="1612">
      <c r="DB1612" s="2909">
        <f>IF($A1612="","",IF($A1612&lt;&gt;21,"対象外",IF($AE1612&amp;""="00000000","在職",IF($AE1612&amp;""='DB_設定'!$C$4,"4/1喪失","その他喪失"))))</f>
      </c>
    </row>
    <row r="1613">
      <c r="DB1613" s="2909">
        <f>IF($A1613="","",IF($A1613&lt;&gt;21,"対象外",IF($AE1613&amp;""="00000000","在職",IF($AE1613&amp;""='DB_設定'!$C$4,"4/1喪失","その他喪失"))))</f>
      </c>
    </row>
    <row r="1614">
      <c r="DB1614" s="2909">
        <f>IF($A1614="","",IF($A1614&lt;&gt;21,"対象外",IF($AE1614&amp;""="00000000","在職",IF($AE1614&amp;""='DB_設定'!$C$4,"4/1喪失","その他喪失"))))</f>
      </c>
    </row>
    <row r="1615">
      <c r="DB1615" s="2909">
        <f>IF($A1615="","",IF($A1615&lt;&gt;21,"対象外",IF($AE1615&amp;""="00000000","在職",IF($AE1615&amp;""='DB_設定'!$C$4,"4/1喪失","その他喪失"))))</f>
      </c>
    </row>
    <row r="1616">
      <c r="DB1616" s="2909">
        <f>IF($A1616="","",IF($A1616&lt;&gt;21,"対象外",IF($AE1616&amp;""="00000000","在職",IF($AE1616&amp;""='DB_設定'!$C$4,"4/1喪失","その他喪失"))))</f>
      </c>
    </row>
    <row r="1617">
      <c r="DB1617" s="2909">
        <f>IF($A1617="","",IF($A1617&lt;&gt;21,"対象外",IF($AE1617&amp;""="00000000","在職",IF($AE1617&amp;""='DB_設定'!$C$4,"4/1喪失","その他喪失"))))</f>
      </c>
    </row>
    <row r="1618">
      <c r="DB1618" s="2909">
        <f>IF($A1618="","",IF($A1618&lt;&gt;21,"対象外",IF($AE1618&amp;""="00000000","在職",IF($AE1618&amp;""='DB_設定'!$C$4,"4/1喪失","その他喪失"))))</f>
      </c>
    </row>
    <row r="1619">
      <c r="DB1619" s="2909">
        <f>IF($A1619="","",IF($A1619&lt;&gt;21,"対象外",IF($AE1619&amp;""="00000000","在職",IF($AE1619&amp;""='DB_設定'!$C$4,"4/1喪失","その他喪失"))))</f>
      </c>
    </row>
    <row r="1620">
      <c r="DB1620" s="2909">
        <f>IF($A1620="","",IF($A1620&lt;&gt;21,"対象外",IF($AE1620&amp;""="00000000","在職",IF($AE1620&amp;""='DB_設定'!$C$4,"4/1喪失","その他喪失"))))</f>
      </c>
    </row>
    <row r="1621">
      <c r="DB1621" s="2909">
        <f>IF($A1621="","",IF($A1621&lt;&gt;21,"対象外",IF($AE1621&amp;""="00000000","在職",IF($AE1621&amp;""='DB_設定'!$C$4,"4/1喪失","その他喪失"))))</f>
      </c>
    </row>
    <row r="1622">
      <c r="DB1622" s="2909">
        <f>IF($A1622="","",IF($A1622&lt;&gt;21,"対象外",IF($AE1622&amp;""="00000000","在職",IF($AE1622&amp;""='DB_設定'!$C$4,"4/1喪失","その他喪失"))))</f>
      </c>
    </row>
    <row r="1623">
      <c r="DB1623" s="2909">
        <f>IF($A1623="","",IF($A1623&lt;&gt;21,"対象外",IF($AE1623&amp;""="00000000","在職",IF($AE1623&amp;""='DB_設定'!$C$4,"4/1喪失","その他喪失"))))</f>
      </c>
    </row>
    <row r="1624">
      <c r="DB1624" s="2909">
        <f>IF($A1624="","",IF($A1624&lt;&gt;21,"対象外",IF($AE1624&amp;""="00000000","在職",IF($AE1624&amp;""='DB_設定'!$C$4,"4/1喪失","その他喪失"))))</f>
      </c>
    </row>
    <row r="1625">
      <c r="DB1625" s="2909">
        <f>IF($A1625="","",IF($A1625&lt;&gt;21,"対象外",IF($AE1625&amp;""="00000000","在職",IF($AE1625&amp;""='DB_設定'!$C$4,"4/1喪失","その他喪失"))))</f>
      </c>
    </row>
    <row r="1626">
      <c r="DB1626" s="2909">
        <f>IF($A1626="","",IF($A1626&lt;&gt;21,"対象外",IF($AE1626&amp;""="00000000","在職",IF($AE1626&amp;""='DB_設定'!$C$4,"4/1喪失","その他喪失"))))</f>
      </c>
    </row>
    <row r="1627">
      <c r="DB1627" s="2909">
        <f>IF($A1627="","",IF($A1627&lt;&gt;21,"対象外",IF($AE1627&amp;""="00000000","在職",IF($AE1627&amp;""='DB_設定'!$C$4,"4/1喪失","その他喪失"))))</f>
      </c>
    </row>
    <row r="1628">
      <c r="DB1628" s="2909">
        <f>IF($A1628="","",IF($A1628&lt;&gt;21,"対象外",IF($AE1628&amp;""="00000000","在職",IF($AE1628&amp;""='DB_設定'!$C$4,"4/1喪失","その他喪失"))))</f>
      </c>
    </row>
    <row r="1629">
      <c r="DB1629" s="2909">
        <f>IF($A1629="","",IF($A1629&lt;&gt;21,"対象外",IF($AE1629&amp;""="00000000","在職",IF($AE1629&amp;""='DB_設定'!$C$4,"4/1喪失","その他喪失"))))</f>
      </c>
    </row>
    <row r="1630">
      <c r="DB1630" s="2909">
        <f>IF($A1630="","",IF($A1630&lt;&gt;21,"対象外",IF($AE1630&amp;""="00000000","在職",IF($AE1630&amp;""='DB_設定'!$C$4,"4/1喪失","その他喪失"))))</f>
      </c>
    </row>
    <row r="1631">
      <c r="DB1631" s="2909">
        <f>IF($A1631="","",IF($A1631&lt;&gt;21,"対象外",IF($AE1631&amp;""="00000000","在職",IF($AE1631&amp;""='DB_設定'!$C$4,"4/1喪失","その他喪失"))))</f>
      </c>
    </row>
    <row r="1632">
      <c r="DB1632" s="2909">
        <f>IF($A1632="","",IF($A1632&lt;&gt;21,"対象外",IF($AE1632&amp;""="00000000","在職",IF($AE1632&amp;""='DB_設定'!$C$4,"4/1喪失","その他喪失"))))</f>
      </c>
    </row>
    <row r="1633">
      <c r="DB1633" s="2909">
        <f>IF($A1633="","",IF($A1633&lt;&gt;21,"対象外",IF($AE1633&amp;""="00000000","在職",IF($AE1633&amp;""='DB_設定'!$C$4,"4/1喪失","その他喪失"))))</f>
      </c>
    </row>
    <row r="1634">
      <c r="DB1634" s="2909">
        <f>IF($A1634="","",IF($A1634&lt;&gt;21,"対象外",IF($AE1634&amp;""="00000000","在職",IF($AE1634&amp;""='DB_設定'!$C$4,"4/1喪失","その他喪失"))))</f>
      </c>
    </row>
    <row r="1635">
      <c r="DB1635" s="2909">
        <f>IF($A1635="","",IF($A1635&lt;&gt;21,"対象外",IF($AE1635&amp;""="00000000","在職",IF($AE1635&amp;""='DB_設定'!$C$4,"4/1喪失","その他喪失"))))</f>
      </c>
    </row>
    <row r="1636">
      <c r="DB1636" s="2909">
        <f>IF($A1636="","",IF($A1636&lt;&gt;21,"対象外",IF($AE1636&amp;""="00000000","在職",IF($AE1636&amp;""='DB_設定'!$C$4,"4/1喪失","その他喪失"))))</f>
      </c>
    </row>
    <row r="1637">
      <c r="DB1637" s="2909">
        <f>IF($A1637="","",IF($A1637&lt;&gt;21,"対象外",IF($AE1637&amp;""="00000000","在職",IF($AE1637&amp;""='DB_設定'!$C$4,"4/1喪失","その他喪失"))))</f>
      </c>
    </row>
    <row r="1638">
      <c r="DB1638" s="2909">
        <f>IF($A1638="","",IF($A1638&lt;&gt;21,"対象外",IF($AE1638&amp;""="00000000","在職",IF($AE1638&amp;""='DB_設定'!$C$4,"4/1喪失","その他喪失"))))</f>
      </c>
    </row>
    <row r="1639">
      <c r="DB1639" s="2909">
        <f>IF($A1639="","",IF($A1639&lt;&gt;21,"対象外",IF($AE1639&amp;""="00000000","在職",IF($AE1639&amp;""='DB_設定'!$C$4,"4/1喪失","その他喪失"))))</f>
      </c>
    </row>
    <row r="1640">
      <c r="DB1640" s="2909">
        <f>IF($A1640="","",IF($A1640&lt;&gt;21,"対象外",IF($AE1640&amp;""="00000000","在職",IF($AE1640&amp;""='DB_設定'!$C$4,"4/1喪失","その他喪失"))))</f>
      </c>
    </row>
    <row r="1641">
      <c r="DB1641" s="2909">
        <f>IF($A1641="","",IF($A1641&lt;&gt;21,"対象外",IF($AE1641&amp;""="00000000","在職",IF($AE1641&amp;""='DB_設定'!$C$4,"4/1喪失","その他喪失"))))</f>
      </c>
    </row>
    <row r="1642">
      <c r="DB1642" s="2909">
        <f>IF($A1642="","",IF($A1642&lt;&gt;21,"対象外",IF($AE1642&amp;""="00000000","在職",IF($AE1642&amp;""='DB_設定'!$C$4,"4/1喪失","その他喪失"))))</f>
      </c>
    </row>
    <row r="1643">
      <c r="DB1643" s="2909">
        <f>IF($A1643="","",IF($A1643&lt;&gt;21,"対象外",IF($AE1643&amp;""="00000000","在職",IF($AE1643&amp;""='DB_設定'!$C$4,"4/1喪失","その他喪失"))))</f>
      </c>
    </row>
    <row r="1644">
      <c r="DB1644" s="2909">
        <f>IF($A1644="","",IF($A1644&lt;&gt;21,"対象外",IF($AE1644&amp;""="00000000","在職",IF($AE1644&amp;""='DB_設定'!$C$4,"4/1喪失","その他喪失"))))</f>
      </c>
    </row>
    <row r="1645">
      <c r="DB1645" s="2909">
        <f>IF($A1645="","",IF($A1645&lt;&gt;21,"対象外",IF($AE1645&amp;""="00000000","在職",IF($AE1645&amp;""='DB_設定'!$C$4,"4/1喪失","その他喪失"))))</f>
      </c>
    </row>
    <row r="1646">
      <c r="DB1646" s="2909">
        <f>IF($A1646="","",IF($A1646&lt;&gt;21,"対象外",IF($AE1646&amp;""="00000000","在職",IF($AE1646&amp;""='DB_設定'!$C$4,"4/1喪失","その他喪失"))))</f>
      </c>
    </row>
    <row r="1647">
      <c r="DB1647" s="2909">
        <f>IF($A1647="","",IF($A1647&lt;&gt;21,"対象外",IF($AE1647&amp;""="00000000","在職",IF($AE1647&amp;""='DB_設定'!$C$4,"4/1喪失","その他喪失"))))</f>
      </c>
    </row>
    <row r="1648">
      <c r="DB1648" s="2909">
        <f>IF($A1648="","",IF($A1648&lt;&gt;21,"対象外",IF($AE1648&amp;""="00000000","在職",IF($AE1648&amp;""='DB_設定'!$C$4,"4/1喪失","その他喪失"))))</f>
      </c>
    </row>
    <row r="1649">
      <c r="DB1649" s="2909">
        <f>IF($A1649="","",IF($A1649&lt;&gt;21,"対象外",IF($AE1649&amp;""="00000000","在職",IF($AE1649&amp;""='DB_設定'!$C$4,"4/1喪失","その他喪失"))))</f>
      </c>
    </row>
    <row r="1650">
      <c r="DB1650" s="2909">
        <f>IF($A1650="","",IF($A1650&lt;&gt;21,"対象外",IF($AE1650&amp;""="00000000","在職",IF($AE1650&amp;""='DB_設定'!$C$4,"4/1喪失","その他喪失"))))</f>
      </c>
    </row>
    <row r="1651">
      <c r="DB1651" s="2909">
        <f>IF($A1651="","",IF($A1651&lt;&gt;21,"対象外",IF($AE1651&amp;""="00000000","在職",IF($AE1651&amp;""='DB_設定'!$C$4,"4/1喪失","その他喪失"))))</f>
      </c>
    </row>
    <row r="1652">
      <c r="DB1652" s="2909">
        <f>IF($A1652="","",IF($A1652&lt;&gt;21,"対象外",IF($AE1652&amp;""="00000000","在職",IF($AE1652&amp;""='DB_設定'!$C$4,"4/1喪失","その他喪失"))))</f>
      </c>
    </row>
    <row r="1653">
      <c r="DB1653" s="2909">
        <f>IF($A1653="","",IF($A1653&lt;&gt;21,"対象外",IF($AE1653&amp;""="00000000","在職",IF($AE1653&amp;""='DB_設定'!$C$4,"4/1喪失","その他喪失"))))</f>
      </c>
    </row>
    <row r="1654">
      <c r="DB1654" s="2909">
        <f>IF($A1654="","",IF($A1654&lt;&gt;21,"対象外",IF($AE1654&amp;""="00000000","在職",IF($AE1654&amp;""='DB_設定'!$C$4,"4/1喪失","その他喪失"))))</f>
      </c>
    </row>
    <row r="1655">
      <c r="DB1655" s="2909">
        <f>IF($A1655="","",IF($A1655&lt;&gt;21,"対象外",IF($AE1655&amp;""="00000000","在職",IF($AE1655&amp;""='DB_設定'!$C$4,"4/1喪失","その他喪失"))))</f>
      </c>
    </row>
    <row r="1656">
      <c r="DB1656" s="2909">
        <f>IF($A1656="","",IF($A1656&lt;&gt;21,"対象外",IF($AE1656&amp;""="00000000","在職",IF($AE1656&amp;""='DB_設定'!$C$4,"4/1喪失","その他喪失"))))</f>
      </c>
    </row>
    <row r="1657">
      <c r="DB1657" s="2909">
        <f>IF($A1657="","",IF($A1657&lt;&gt;21,"対象外",IF($AE1657&amp;""="00000000","在職",IF($AE1657&amp;""='DB_設定'!$C$4,"4/1喪失","その他喪失"))))</f>
      </c>
    </row>
    <row r="1658">
      <c r="DB1658" s="2909">
        <f>IF($A1658="","",IF($A1658&lt;&gt;21,"対象外",IF($AE1658&amp;""="00000000","在職",IF($AE1658&amp;""='DB_設定'!$C$4,"4/1喪失","その他喪失"))))</f>
      </c>
    </row>
    <row r="1659">
      <c r="DB1659" s="2909">
        <f>IF($A1659="","",IF($A1659&lt;&gt;21,"対象外",IF($AE1659&amp;""="00000000","在職",IF($AE1659&amp;""='DB_設定'!$C$4,"4/1喪失","その他喪失"))))</f>
      </c>
    </row>
    <row r="1660">
      <c r="DB1660" s="2909">
        <f>IF($A1660="","",IF($A1660&lt;&gt;21,"対象外",IF($AE1660&amp;""="00000000","在職",IF($AE1660&amp;""='DB_設定'!$C$4,"4/1喪失","その他喪失"))))</f>
      </c>
    </row>
    <row r="1661">
      <c r="DB1661" s="2909">
        <f>IF($A1661="","",IF($A1661&lt;&gt;21,"対象外",IF($AE1661&amp;""="00000000","在職",IF($AE1661&amp;""='DB_設定'!$C$4,"4/1喪失","その他喪失"))))</f>
      </c>
    </row>
    <row r="1662">
      <c r="DB1662" s="2909">
        <f>IF($A1662="","",IF($A1662&lt;&gt;21,"対象外",IF($AE1662&amp;""="00000000","在職",IF($AE1662&amp;""='DB_設定'!$C$4,"4/1喪失","その他喪失"))))</f>
      </c>
    </row>
    <row r="1663">
      <c r="DB1663" s="2909">
        <f>IF($A1663="","",IF($A1663&lt;&gt;21,"対象外",IF($AE1663&amp;""="00000000","在職",IF($AE1663&amp;""='DB_設定'!$C$4,"4/1喪失","その他喪失"))))</f>
      </c>
    </row>
    <row r="1664">
      <c r="DB1664" s="2909">
        <f>IF($A1664="","",IF($A1664&lt;&gt;21,"対象外",IF($AE1664&amp;""="00000000","在職",IF($AE1664&amp;""='DB_設定'!$C$4,"4/1喪失","その他喪失"))))</f>
      </c>
    </row>
    <row r="1665">
      <c r="DB1665" s="2909">
        <f>IF($A1665="","",IF($A1665&lt;&gt;21,"対象外",IF($AE1665&amp;""="00000000","在職",IF($AE1665&amp;""='DB_設定'!$C$4,"4/1喪失","その他喪失"))))</f>
      </c>
    </row>
    <row r="1666">
      <c r="DB1666" s="2909">
        <f>IF($A1666="","",IF($A1666&lt;&gt;21,"対象外",IF($AE1666&amp;""="00000000","在職",IF($AE1666&amp;""='DB_設定'!$C$4,"4/1喪失","その他喪失"))))</f>
      </c>
    </row>
    <row r="1667">
      <c r="DB1667" s="2909">
        <f>IF($A1667="","",IF($A1667&lt;&gt;21,"対象外",IF($AE1667&amp;""="00000000","在職",IF($AE1667&amp;""='DB_設定'!$C$4,"4/1喪失","その他喪失"))))</f>
      </c>
    </row>
    <row r="1668">
      <c r="DB1668" s="2909">
        <f>IF($A1668="","",IF($A1668&lt;&gt;21,"対象外",IF($AE1668&amp;""="00000000","在職",IF($AE1668&amp;""='DB_設定'!$C$4,"4/1喪失","その他喪失"))))</f>
      </c>
    </row>
    <row r="1669">
      <c r="DB1669" s="2909">
        <f>IF($A1669="","",IF($A1669&lt;&gt;21,"対象外",IF($AE1669&amp;""="00000000","在職",IF($AE1669&amp;""='DB_設定'!$C$4,"4/1喪失","その他喪失"))))</f>
      </c>
    </row>
    <row r="1670">
      <c r="DB1670" s="2909">
        <f>IF($A1670="","",IF($A1670&lt;&gt;21,"対象外",IF($AE1670&amp;""="00000000","在職",IF($AE1670&amp;""='DB_設定'!$C$4,"4/1喪失","その他喪失"))))</f>
      </c>
    </row>
    <row r="1671">
      <c r="DB1671" s="2909">
        <f>IF($A1671="","",IF($A1671&lt;&gt;21,"対象外",IF($AE1671&amp;""="00000000","在職",IF($AE1671&amp;""='DB_設定'!$C$4,"4/1喪失","その他喪失"))))</f>
      </c>
    </row>
    <row r="1672">
      <c r="DB1672" s="2909">
        <f>IF($A1672="","",IF($A1672&lt;&gt;21,"対象外",IF($AE1672&amp;""="00000000","在職",IF($AE1672&amp;""='DB_設定'!$C$4,"4/1喪失","その他喪失"))))</f>
      </c>
    </row>
    <row r="1673">
      <c r="DB1673" s="2909">
        <f>IF($A1673="","",IF($A1673&lt;&gt;21,"対象外",IF($AE1673&amp;""="00000000","在職",IF($AE1673&amp;""='DB_設定'!$C$4,"4/1喪失","その他喪失"))))</f>
      </c>
    </row>
    <row r="1674">
      <c r="DB1674" s="2909">
        <f>IF($A1674="","",IF($A1674&lt;&gt;21,"対象外",IF($AE1674&amp;""="00000000","在職",IF($AE1674&amp;""='DB_設定'!$C$4,"4/1喪失","その他喪失"))))</f>
      </c>
    </row>
    <row r="1675">
      <c r="DB1675" s="2909">
        <f>IF($A1675="","",IF($A1675&lt;&gt;21,"対象外",IF($AE1675&amp;""="00000000","在職",IF($AE1675&amp;""='DB_設定'!$C$4,"4/1喪失","その他喪失"))))</f>
      </c>
    </row>
    <row r="1676">
      <c r="DB1676" s="2909">
        <f>IF($A1676="","",IF($A1676&lt;&gt;21,"対象外",IF($AE1676&amp;""="00000000","在職",IF($AE1676&amp;""='DB_設定'!$C$4,"4/1喪失","その他喪失"))))</f>
      </c>
    </row>
    <row r="1677">
      <c r="DB1677" s="2909">
        <f>IF($A1677="","",IF($A1677&lt;&gt;21,"対象外",IF($AE1677&amp;""="00000000","在職",IF($AE1677&amp;""='DB_設定'!$C$4,"4/1喪失","その他喪失"))))</f>
      </c>
    </row>
    <row r="1678">
      <c r="DB1678" s="2909">
        <f>IF($A1678="","",IF($A1678&lt;&gt;21,"対象外",IF($AE1678&amp;""="00000000","在職",IF($AE1678&amp;""='DB_設定'!$C$4,"4/1喪失","その他喪失"))))</f>
      </c>
    </row>
    <row r="1679">
      <c r="DB1679" s="2909">
        <f>IF($A1679="","",IF($A1679&lt;&gt;21,"対象外",IF($AE1679&amp;""="00000000","在職",IF($AE1679&amp;""='DB_設定'!$C$4,"4/1喪失","その他喪失"))))</f>
      </c>
    </row>
    <row r="1680">
      <c r="DB1680" s="2909">
        <f>IF($A1680="","",IF($A1680&lt;&gt;21,"対象外",IF($AE1680&amp;""="00000000","在職",IF($AE1680&amp;""='DB_設定'!$C$4,"4/1喪失","その他喪失"))))</f>
      </c>
    </row>
    <row r="1681">
      <c r="DB1681" s="2909">
        <f>IF($A1681="","",IF($A1681&lt;&gt;21,"対象外",IF($AE1681&amp;""="00000000","在職",IF($AE1681&amp;""='DB_設定'!$C$4,"4/1喪失","その他喪失"))))</f>
      </c>
    </row>
    <row r="1682">
      <c r="DB1682" s="2909">
        <f>IF($A1682="","",IF($A1682&lt;&gt;21,"対象外",IF($AE1682&amp;""="00000000","在職",IF($AE1682&amp;""='DB_設定'!$C$4,"4/1喪失","その他喪失"))))</f>
      </c>
    </row>
    <row r="1683">
      <c r="DB1683" s="2909">
        <f>IF($A1683="","",IF($A1683&lt;&gt;21,"対象外",IF($AE1683&amp;""="00000000","在職",IF($AE1683&amp;""='DB_設定'!$C$4,"4/1喪失","その他喪失"))))</f>
      </c>
    </row>
    <row r="1684">
      <c r="DB1684" s="2909">
        <f>IF($A1684="","",IF($A1684&lt;&gt;21,"対象外",IF($AE1684&amp;""="00000000","在職",IF($AE1684&amp;""='DB_設定'!$C$4,"4/1喪失","その他喪失"))))</f>
      </c>
    </row>
    <row r="1685">
      <c r="DB1685" s="2909">
        <f>IF($A1685="","",IF($A1685&lt;&gt;21,"対象外",IF($AE1685&amp;""="00000000","在職",IF($AE1685&amp;""='DB_設定'!$C$4,"4/1喪失","その他喪失"))))</f>
      </c>
    </row>
    <row r="1686">
      <c r="DB1686" s="2909">
        <f>IF($A1686="","",IF($A1686&lt;&gt;21,"対象外",IF($AE1686&amp;""="00000000","在職",IF($AE1686&amp;""='DB_設定'!$C$4,"4/1喪失","その他喪失"))))</f>
      </c>
    </row>
    <row r="1687">
      <c r="DB1687" s="2909">
        <f>IF($A1687="","",IF($A1687&lt;&gt;21,"対象外",IF($AE1687&amp;""="00000000","在職",IF($AE1687&amp;""='DB_設定'!$C$4,"4/1喪失","その他喪失"))))</f>
      </c>
    </row>
    <row r="1688">
      <c r="DB1688" s="2909">
        <f>IF($A1688="","",IF($A1688&lt;&gt;21,"対象外",IF($AE1688&amp;""="00000000","在職",IF($AE1688&amp;""='DB_設定'!$C$4,"4/1喪失","その他喪失"))))</f>
      </c>
    </row>
    <row r="1689">
      <c r="DB1689" s="2909">
        <f>IF($A1689="","",IF($A1689&lt;&gt;21,"対象外",IF($AE1689&amp;""="00000000","在職",IF($AE1689&amp;""='DB_設定'!$C$4,"4/1喪失","その他喪失"))))</f>
      </c>
    </row>
    <row r="1690">
      <c r="DB1690" s="2909">
        <f>IF($A1690="","",IF($A1690&lt;&gt;21,"対象外",IF($AE1690&amp;""="00000000","在職",IF($AE1690&amp;""='DB_設定'!$C$4,"4/1喪失","その他喪失"))))</f>
      </c>
    </row>
    <row r="1691">
      <c r="DB1691" s="2909">
        <f>IF($A1691="","",IF($A1691&lt;&gt;21,"対象外",IF($AE1691&amp;""="00000000","在職",IF($AE1691&amp;""='DB_設定'!$C$4,"4/1喪失","その他喪失"))))</f>
      </c>
    </row>
    <row r="1692">
      <c r="DB1692" s="2909">
        <f>IF($A1692="","",IF($A1692&lt;&gt;21,"対象外",IF($AE1692&amp;""="00000000","在職",IF($AE1692&amp;""='DB_設定'!$C$4,"4/1喪失","その他喪失"))))</f>
      </c>
    </row>
    <row r="1693">
      <c r="DB1693" s="2909">
        <f>IF($A1693="","",IF($A1693&lt;&gt;21,"対象外",IF($AE1693&amp;""="00000000","在職",IF($AE1693&amp;""='DB_設定'!$C$4,"4/1喪失","その他喪失"))))</f>
      </c>
    </row>
    <row r="1694">
      <c r="DB1694" s="2909">
        <f>IF($A1694="","",IF($A1694&lt;&gt;21,"対象外",IF($AE1694&amp;""="00000000","在職",IF($AE1694&amp;""='DB_設定'!$C$4,"4/1喪失","その他喪失"))))</f>
      </c>
    </row>
    <row r="1695">
      <c r="DB1695" s="2909">
        <f>IF($A1695="","",IF($A1695&lt;&gt;21,"対象外",IF($AE1695&amp;""="00000000","在職",IF($AE1695&amp;""='DB_設定'!$C$4,"4/1喪失","その他喪失"))))</f>
      </c>
    </row>
    <row r="1696">
      <c r="DB1696" s="2909">
        <f>IF($A1696="","",IF($A1696&lt;&gt;21,"対象外",IF($AE1696&amp;""="00000000","在職",IF($AE1696&amp;""='DB_設定'!$C$4,"4/1喪失","その他喪失"))))</f>
      </c>
    </row>
    <row r="1697">
      <c r="DB1697" s="2909">
        <f>IF($A1697="","",IF($A1697&lt;&gt;21,"対象外",IF($AE1697&amp;""="00000000","在職",IF($AE1697&amp;""='DB_設定'!$C$4,"4/1喪失","その他喪失"))))</f>
      </c>
    </row>
    <row r="1698">
      <c r="DB1698" s="2909">
        <f>IF($A1698="","",IF($A1698&lt;&gt;21,"対象外",IF($AE1698&amp;""="00000000","在職",IF($AE1698&amp;""='DB_設定'!$C$4,"4/1喪失","その他喪失"))))</f>
      </c>
    </row>
    <row r="1699">
      <c r="DB1699" s="2909">
        <f>IF($A1699="","",IF($A1699&lt;&gt;21,"対象外",IF($AE1699&amp;""="00000000","在職",IF($AE1699&amp;""='DB_設定'!$C$4,"4/1喪失","その他喪失"))))</f>
      </c>
    </row>
    <row r="1700">
      <c r="DB1700" s="2909">
        <f>IF($A1700="","",IF($A1700&lt;&gt;21,"対象外",IF($AE1700&amp;""="00000000","在職",IF($AE1700&amp;""='DB_設定'!$C$4,"4/1喪失","その他喪失"))))</f>
      </c>
    </row>
    <row r="1701">
      <c r="DB1701" s="2909">
        <f>IF($A1701="","",IF($A1701&lt;&gt;21,"対象外",IF($AE1701&amp;""="00000000","在職",IF($AE1701&amp;""='DB_設定'!$C$4,"4/1喪失","その他喪失"))))</f>
      </c>
    </row>
    <row r="1702">
      <c r="DB1702" s="2909">
        <f>IF($A1702="","",IF($A1702&lt;&gt;21,"対象外",IF($AE1702&amp;""="00000000","在職",IF($AE1702&amp;""='DB_設定'!$C$4,"4/1喪失","その他喪失"))))</f>
      </c>
    </row>
    <row r="1703">
      <c r="DB1703" s="2909">
        <f>IF($A1703="","",IF($A1703&lt;&gt;21,"対象外",IF($AE1703&amp;""="00000000","在職",IF($AE1703&amp;""='DB_設定'!$C$4,"4/1喪失","その他喪失"))))</f>
      </c>
    </row>
    <row r="1704">
      <c r="DB1704" s="2909">
        <f>IF($A1704="","",IF($A1704&lt;&gt;21,"対象外",IF($AE1704&amp;""="00000000","在職",IF($AE1704&amp;""='DB_設定'!$C$4,"4/1喪失","その他喪失"))))</f>
      </c>
    </row>
    <row r="1705">
      <c r="DB1705" s="2909">
        <f>IF($A1705="","",IF($A1705&lt;&gt;21,"対象外",IF($AE1705&amp;""="00000000","在職",IF($AE1705&amp;""='DB_設定'!$C$4,"4/1喪失","その他喪失"))))</f>
      </c>
    </row>
    <row r="1706">
      <c r="DB1706" s="2909">
        <f>IF($A1706="","",IF($A1706&lt;&gt;21,"対象外",IF($AE1706&amp;""="00000000","在職",IF($AE1706&amp;""='DB_設定'!$C$4,"4/1喪失","その他喪失"))))</f>
      </c>
    </row>
    <row r="1707">
      <c r="DB1707" s="2909">
        <f>IF($A1707="","",IF($A1707&lt;&gt;21,"対象外",IF($AE1707&amp;""="00000000","在職",IF($AE1707&amp;""='DB_設定'!$C$4,"4/1喪失","その他喪失"))))</f>
      </c>
    </row>
    <row r="1708">
      <c r="DB1708" s="2909">
        <f>IF($A1708="","",IF($A1708&lt;&gt;21,"対象外",IF($AE1708&amp;""="00000000","在職",IF($AE1708&amp;""='DB_設定'!$C$4,"4/1喪失","その他喪失"))))</f>
      </c>
    </row>
    <row r="1709">
      <c r="DB1709" s="2909">
        <f>IF($A1709="","",IF($A1709&lt;&gt;21,"対象外",IF($AE1709&amp;""="00000000","在職",IF($AE1709&amp;""='DB_設定'!$C$4,"4/1喪失","その他喪失"))))</f>
      </c>
    </row>
    <row r="1710">
      <c r="DB1710" s="2909">
        <f>IF($A1710="","",IF($A1710&lt;&gt;21,"対象外",IF($AE1710&amp;""="00000000","在職",IF($AE1710&amp;""='DB_設定'!$C$4,"4/1喪失","その他喪失"))))</f>
      </c>
    </row>
    <row r="1711">
      <c r="DB1711" s="2909">
        <f>IF($A1711="","",IF($A1711&lt;&gt;21,"対象外",IF($AE1711&amp;""="00000000","在職",IF($AE1711&amp;""='DB_設定'!$C$4,"4/1喪失","その他喪失"))))</f>
      </c>
    </row>
    <row r="1712">
      <c r="DB1712" s="2909">
        <f>IF($A1712="","",IF($A1712&lt;&gt;21,"対象外",IF($AE1712&amp;""="00000000","在職",IF($AE1712&amp;""='DB_設定'!$C$4,"4/1喪失","その他喪失"))))</f>
      </c>
    </row>
    <row r="1713">
      <c r="DB1713" s="2909">
        <f>IF($A1713="","",IF($A1713&lt;&gt;21,"対象外",IF($AE1713&amp;""="00000000","在職",IF($AE1713&amp;""='DB_設定'!$C$4,"4/1喪失","その他喪失"))))</f>
      </c>
    </row>
    <row r="1714">
      <c r="DB1714" s="2909">
        <f>IF($A1714="","",IF($A1714&lt;&gt;21,"対象外",IF($AE1714&amp;""="00000000","在職",IF($AE1714&amp;""='DB_設定'!$C$4,"4/1喪失","その他喪失"))))</f>
      </c>
    </row>
    <row r="1715">
      <c r="DB1715" s="2909">
        <f>IF($A1715="","",IF($A1715&lt;&gt;21,"対象外",IF($AE1715&amp;""="00000000","在職",IF($AE1715&amp;""='DB_設定'!$C$4,"4/1喪失","その他喪失"))))</f>
      </c>
    </row>
    <row r="1716">
      <c r="DB1716" s="2909">
        <f>IF($A1716="","",IF($A1716&lt;&gt;21,"対象外",IF($AE1716&amp;""="00000000","在職",IF($AE1716&amp;""='DB_設定'!$C$4,"4/1喪失","その他喪失"))))</f>
      </c>
    </row>
    <row r="1717">
      <c r="DB1717" s="2909">
        <f>IF($A1717="","",IF($A1717&lt;&gt;21,"対象外",IF($AE1717&amp;""="00000000","在職",IF($AE1717&amp;""='DB_設定'!$C$4,"4/1喪失","その他喪失"))))</f>
      </c>
    </row>
    <row r="1718">
      <c r="DB1718" s="2909">
        <f>IF($A1718="","",IF($A1718&lt;&gt;21,"対象外",IF($AE1718&amp;""="00000000","在職",IF($AE1718&amp;""='DB_設定'!$C$4,"4/1喪失","その他喪失"))))</f>
      </c>
    </row>
    <row r="1719">
      <c r="DB1719" s="2909">
        <f>IF($A1719="","",IF($A1719&lt;&gt;21,"対象外",IF($AE1719&amp;""="00000000","在職",IF($AE1719&amp;""='DB_設定'!$C$4,"4/1喪失","その他喪失"))))</f>
      </c>
    </row>
    <row r="1720">
      <c r="DB1720" s="2909">
        <f>IF($A1720="","",IF($A1720&lt;&gt;21,"対象外",IF($AE1720&amp;""="00000000","在職",IF($AE1720&amp;""='DB_設定'!$C$4,"4/1喪失","その他喪失"))))</f>
      </c>
    </row>
    <row r="1721">
      <c r="DB1721" s="2909">
        <f>IF($A1721="","",IF($A1721&lt;&gt;21,"対象外",IF($AE1721&amp;""="00000000","在職",IF($AE1721&amp;""='DB_設定'!$C$4,"4/1喪失","その他喪失"))))</f>
      </c>
    </row>
    <row r="1722">
      <c r="DB1722" s="2909">
        <f>IF($A1722="","",IF($A1722&lt;&gt;21,"対象外",IF($AE1722&amp;""="00000000","在職",IF($AE1722&amp;""='DB_設定'!$C$4,"4/1喪失","その他喪失"))))</f>
      </c>
    </row>
    <row r="1723">
      <c r="DB1723" s="2909">
        <f>IF($A1723="","",IF($A1723&lt;&gt;21,"対象外",IF($AE1723&amp;""="00000000","在職",IF($AE1723&amp;""='DB_設定'!$C$4,"4/1喪失","その他喪失"))))</f>
      </c>
    </row>
    <row r="1724">
      <c r="DB1724" s="2909">
        <f>IF($A1724="","",IF($A1724&lt;&gt;21,"対象外",IF($AE1724&amp;""="00000000","在職",IF($AE1724&amp;""='DB_設定'!$C$4,"4/1喪失","その他喪失"))))</f>
      </c>
    </row>
    <row r="1725">
      <c r="DB1725" s="2909">
        <f>IF($A1725="","",IF($A1725&lt;&gt;21,"対象外",IF($AE1725&amp;""="00000000","在職",IF($AE1725&amp;""='DB_設定'!$C$4,"4/1喪失","その他喪失"))))</f>
      </c>
    </row>
    <row r="1726">
      <c r="DB1726" s="2909">
        <f>IF($A1726="","",IF($A1726&lt;&gt;21,"対象外",IF($AE1726&amp;""="00000000","在職",IF($AE1726&amp;""='DB_設定'!$C$4,"4/1喪失","その他喪失"))))</f>
      </c>
    </row>
    <row r="1727">
      <c r="DB1727" s="2909">
        <f>IF($A1727="","",IF($A1727&lt;&gt;21,"対象外",IF($AE1727&amp;""="00000000","在職",IF($AE1727&amp;""='DB_設定'!$C$4,"4/1喪失","その他喪失"))))</f>
      </c>
    </row>
    <row r="1728">
      <c r="DB1728" s="2909">
        <f>IF($A1728="","",IF($A1728&lt;&gt;21,"対象外",IF($AE1728&amp;""="00000000","在職",IF($AE1728&amp;""='DB_設定'!$C$4,"4/1喪失","その他喪失"))))</f>
      </c>
    </row>
    <row r="1729">
      <c r="DB1729" s="2909">
        <f>IF($A1729="","",IF($A1729&lt;&gt;21,"対象外",IF($AE1729&amp;""="00000000","在職",IF($AE1729&amp;""='DB_設定'!$C$4,"4/1喪失","その他喪失"))))</f>
      </c>
    </row>
    <row r="1730">
      <c r="DB1730" s="2909">
        <f>IF($A1730="","",IF($A1730&lt;&gt;21,"対象外",IF($AE1730&amp;""="00000000","在職",IF($AE1730&amp;""='DB_設定'!$C$4,"4/1喪失","その他喪失"))))</f>
      </c>
    </row>
    <row r="1731">
      <c r="DB1731" s="2909">
        <f>IF($A1731="","",IF($A1731&lt;&gt;21,"対象外",IF($AE1731&amp;""="00000000","在職",IF($AE1731&amp;""='DB_設定'!$C$4,"4/1喪失","その他喪失"))))</f>
      </c>
    </row>
    <row r="1732">
      <c r="DB1732" s="2909">
        <f>IF($A1732="","",IF($A1732&lt;&gt;21,"対象外",IF($AE1732&amp;""="00000000","在職",IF($AE1732&amp;""='DB_設定'!$C$4,"4/1喪失","その他喪失"))))</f>
      </c>
    </row>
    <row r="1733">
      <c r="DB1733" s="2909">
        <f>IF($A1733="","",IF($A1733&lt;&gt;21,"対象外",IF($AE1733&amp;""="00000000","在職",IF($AE1733&amp;""='DB_設定'!$C$4,"4/1喪失","その他喪失"))))</f>
      </c>
    </row>
    <row r="1734">
      <c r="DB1734" s="2909">
        <f>IF($A1734="","",IF($A1734&lt;&gt;21,"対象外",IF($AE1734&amp;""="00000000","在職",IF($AE1734&amp;""='DB_設定'!$C$4,"4/1喪失","その他喪失"))))</f>
      </c>
    </row>
    <row r="1735">
      <c r="DB1735" s="2909">
        <f>IF($A1735="","",IF($A1735&lt;&gt;21,"対象外",IF($AE1735&amp;""="00000000","在職",IF($AE1735&amp;""='DB_設定'!$C$4,"4/1喪失","その他喪失"))))</f>
      </c>
    </row>
    <row r="1736">
      <c r="DB1736" s="2909">
        <f>IF($A1736="","",IF($A1736&lt;&gt;21,"対象外",IF($AE1736&amp;""="00000000","在職",IF($AE1736&amp;""='DB_設定'!$C$4,"4/1喪失","その他喪失"))))</f>
      </c>
    </row>
    <row r="1737">
      <c r="DB1737" s="2909">
        <f>IF($A1737="","",IF($A1737&lt;&gt;21,"対象外",IF($AE1737&amp;""="00000000","在職",IF($AE1737&amp;""='DB_設定'!$C$4,"4/1喪失","その他喪失"))))</f>
      </c>
    </row>
    <row r="1738">
      <c r="DB1738" s="2909">
        <f>IF($A1738="","",IF($A1738&lt;&gt;21,"対象外",IF($AE1738&amp;""="00000000","在職",IF($AE1738&amp;""='DB_設定'!$C$4,"4/1喪失","その他喪失"))))</f>
      </c>
    </row>
    <row r="1739">
      <c r="DB1739" s="2909">
        <f>IF($A1739="","",IF($A1739&lt;&gt;21,"対象外",IF($AE1739&amp;""="00000000","在職",IF($AE1739&amp;""='DB_設定'!$C$4,"4/1喪失","その他喪失"))))</f>
      </c>
    </row>
    <row r="1740">
      <c r="DB1740" s="2909">
        <f>IF($A1740="","",IF($A1740&lt;&gt;21,"対象外",IF($AE1740&amp;""="00000000","在職",IF($AE1740&amp;""='DB_設定'!$C$4,"4/1喪失","その他喪失"))))</f>
      </c>
    </row>
    <row r="1741">
      <c r="DB1741" s="2909">
        <f>IF($A1741="","",IF($A1741&lt;&gt;21,"対象外",IF($AE1741&amp;""="00000000","在職",IF($AE1741&amp;""='DB_設定'!$C$4,"4/1喪失","その他喪失"))))</f>
      </c>
    </row>
    <row r="1742">
      <c r="DB1742" s="2909">
        <f>IF($A1742="","",IF($A1742&lt;&gt;21,"対象外",IF($AE1742&amp;""="00000000","在職",IF($AE1742&amp;""='DB_設定'!$C$4,"4/1喪失","その他喪失"))))</f>
      </c>
    </row>
    <row r="1743">
      <c r="DB1743" s="2909">
        <f>IF($A1743="","",IF($A1743&lt;&gt;21,"対象外",IF($AE1743&amp;""="00000000","在職",IF($AE1743&amp;""='DB_設定'!$C$4,"4/1喪失","その他喪失"))))</f>
      </c>
    </row>
    <row r="1744">
      <c r="DB1744" s="2909">
        <f>IF($A1744="","",IF($A1744&lt;&gt;21,"対象外",IF($AE1744&amp;""="00000000","在職",IF($AE1744&amp;""='DB_設定'!$C$4,"4/1喪失","その他喪失"))))</f>
      </c>
    </row>
    <row r="1745">
      <c r="DB1745" s="2909">
        <f>IF($A1745="","",IF($A1745&lt;&gt;21,"対象外",IF($AE1745&amp;""="00000000","在職",IF($AE1745&amp;""='DB_設定'!$C$4,"4/1喪失","その他喪失"))))</f>
      </c>
    </row>
    <row r="1746">
      <c r="DB1746" s="2909">
        <f>IF($A1746="","",IF($A1746&lt;&gt;21,"対象外",IF($AE1746&amp;""="00000000","在職",IF($AE1746&amp;""='DB_設定'!$C$4,"4/1喪失","その他喪失"))))</f>
      </c>
    </row>
    <row r="1747">
      <c r="DB1747" s="2909">
        <f>IF($A1747="","",IF($A1747&lt;&gt;21,"対象外",IF($AE1747&amp;""="00000000","在職",IF($AE1747&amp;""='DB_設定'!$C$4,"4/1喪失","その他喪失"))))</f>
      </c>
    </row>
    <row r="1748">
      <c r="DB1748" s="2909">
        <f>IF($A1748="","",IF($A1748&lt;&gt;21,"対象外",IF($AE1748&amp;""="00000000","在職",IF($AE1748&amp;""='DB_設定'!$C$4,"4/1喪失","その他喪失"))))</f>
      </c>
    </row>
    <row r="1749">
      <c r="DB1749" s="2909">
        <f>IF($A1749="","",IF($A1749&lt;&gt;21,"対象外",IF($AE1749&amp;""="00000000","在職",IF($AE1749&amp;""='DB_設定'!$C$4,"4/1喪失","その他喪失"))))</f>
      </c>
    </row>
    <row r="1750">
      <c r="DB1750" s="2909">
        <f>IF($A1750="","",IF($A1750&lt;&gt;21,"対象外",IF($AE1750&amp;""="00000000","在職",IF($AE1750&amp;""='DB_設定'!$C$4,"4/1喪失","その他喪失"))))</f>
      </c>
    </row>
    <row r="1751">
      <c r="DB1751" s="2909">
        <f>IF($A1751="","",IF($A1751&lt;&gt;21,"対象外",IF($AE1751&amp;""="00000000","在職",IF($AE1751&amp;""='DB_設定'!$C$4,"4/1喪失","その他喪失"))))</f>
      </c>
    </row>
    <row r="1752">
      <c r="DB1752" s="2909">
        <f>IF($A1752="","",IF($A1752&lt;&gt;21,"対象外",IF($AE1752&amp;""="00000000","在職",IF($AE1752&amp;""='DB_設定'!$C$4,"4/1喪失","その他喪失"))))</f>
      </c>
    </row>
    <row r="1753">
      <c r="DB1753" s="2909">
        <f>IF($A1753="","",IF($A1753&lt;&gt;21,"対象外",IF($AE1753&amp;""="00000000","在職",IF($AE1753&amp;""='DB_設定'!$C$4,"4/1喪失","その他喪失"))))</f>
      </c>
    </row>
    <row r="1754">
      <c r="DB1754" s="2909">
        <f>IF($A1754="","",IF($A1754&lt;&gt;21,"対象外",IF($AE1754&amp;""="00000000","在職",IF($AE1754&amp;""='DB_設定'!$C$4,"4/1喪失","その他喪失"))))</f>
      </c>
    </row>
    <row r="1755">
      <c r="DB1755" s="2909">
        <f>IF($A1755="","",IF($A1755&lt;&gt;21,"対象外",IF($AE1755&amp;""="00000000","在職",IF($AE1755&amp;""='DB_設定'!$C$4,"4/1喪失","その他喪失"))))</f>
      </c>
    </row>
    <row r="1756">
      <c r="DB1756" s="2909">
        <f>IF($A1756="","",IF($A1756&lt;&gt;21,"対象外",IF($AE1756&amp;""="00000000","在職",IF($AE1756&amp;""='DB_設定'!$C$4,"4/1喪失","その他喪失"))))</f>
      </c>
    </row>
    <row r="1757">
      <c r="DB1757" s="2909">
        <f>IF($A1757="","",IF($A1757&lt;&gt;21,"対象外",IF($AE1757&amp;""="00000000","在職",IF($AE1757&amp;""='DB_設定'!$C$4,"4/1喪失","その他喪失"))))</f>
      </c>
    </row>
    <row r="1758">
      <c r="DB1758" s="2909">
        <f>IF($A1758="","",IF($A1758&lt;&gt;21,"対象外",IF($AE1758&amp;""="00000000","在職",IF($AE1758&amp;""='DB_設定'!$C$4,"4/1喪失","その他喪失"))))</f>
      </c>
    </row>
    <row r="1759">
      <c r="DB1759" s="2909">
        <f>IF($A1759="","",IF($A1759&lt;&gt;21,"対象外",IF($AE1759&amp;""="00000000","在職",IF($AE1759&amp;""='DB_設定'!$C$4,"4/1喪失","その他喪失"))))</f>
      </c>
    </row>
    <row r="1760">
      <c r="DB1760" s="2909">
        <f>IF($A1760="","",IF($A1760&lt;&gt;21,"対象外",IF($AE1760&amp;""="00000000","在職",IF($AE1760&amp;""='DB_設定'!$C$4,"4/1喪失","その他喪失"))))</f>
      </c>
    </row>
    <row r="1761">
      <c r="DB1761" s="2909">
        <f>IF($A1761="","",IF($A1761&lt;&gt;21,"対象外",IF($AE1761&amp;""="00000000","在職",IF($AE1761&amp;""='DB_設定'!$C$4,"4/1喪失","その他喪失"))))</f>
      </c>
    </row>
    <row r="1762">
      <c r="DB1762" s="2909">
        <f>IF($A1762="","",IF($A1762&lt;&gt;21,"対象外",IF($AE1762&amp;""="00000000","在職",IF($AE1762&amp;""='DB_設定'!$C$4,"4/1喪失","その他喪失"))))</f>
      </c>
    </row>
    <row r="1763">
      <c r="DB1763" s="2909">
        <f>IF($A1763="","",IF($A1763&lt;&gt;21,"対象外",IF($AE1763&amp;""="00000000","在職",IF($AE1763&amp;""='DB_設定'!$C$4,"4/1喪失","その他喪失"))))</f>
      </c>
    </row>
    <row r="1764">
      <c r="DB1764" s="2909">
        <f>IF($A1764="","",IF($A1764&lt;&gt;21,"対象外",IF($AE1764&amp;""="00000000","在職",IF($AE1764&amp;""='DB_設定'!$C$4,"4/1喪失","その他喪失"))))</f>
      </c>
    </row>
    <row r="1765">
      <c r="DB1765" s="2909">
        <f>IF($A1765="","",IF($A1765&lt;&gt;21,"対象外",IF($AE1765&amp;""="00000000","在職",IF($AE1765&amp;""='DB_設定'!$C$4,"4/1喪失","その他喪失"))))</f>
      </c>
    </row>
    <row r="1766">
      <c r="DB1766" s="2909">
        <f>IF($A1766="","",IF($A1766&lt;&gt;21,"対象外",IF($AE1766&amp;""="00000000","在職",IF($AE1766&amp;""='DB_設定'!$C$4,"4/1喪失","その他喪失"))))</f>
      </c>
    </row>
    <row r="1767">
      <c r="DB1767" s="2909">
        <f>IF($A1767="","",IF($A1767&lt;&gt;21,"対象外",IF($AE1767&amp;""="00000000","在職",IF($AE1767&amp;""='DB_設定'!$C$4,"4/1喪失","その他喪失"))))</f>
      </c>
    </row>
    <row r="1768">
      <c r="DB1768" s="2909">
        <f>IF($A1768="","",IF($A1768&lt;&gt;21,"対象外",IF($AE1768&amp;""="00000000","在職",IF($AE1768&amp;""='DB_設定'!$C$4,"4/1喪失","その他喪失"))))</f>
      </c>
    </row>
    <row r="1769">
      <c r="DB1769" s="2909">
        <f>IF($A1769="","",IF($A1769&lt;&gt;21,"対象外",IF($AE1769&amp;""="00000000","在職",IF($AE1769&amp;""='DB_設定'!$C$4,"4/1喪失","その他喪失"))))</f>
      </c>
    </row>
    <row r="1770">
      <c r="DB1770" s="2909">
        <f>IF($A1770="","",IF($A1770&lt;&gt;21,"対象外",IF($AE1770&amp;""="00000000","在職",IF($AE1770&amp;""='DB_設定'!$C$4,"4/1喪失","その他喪失"))))</f>
      </c>
    </row>
    <row r="1771">
      <c r="DB1771" s="2909">
        <f>IF($A1771="","",IF($A1771&lt;&gt;21,"対象外",IF($AE1771&amp;""="00000000","在職",IF($AE1771&amp;""='DB_設定'!$C$4,"4/1喪失","その他喪失"))))</f>
      </c>
    </row>
    <row r="1772">
      <c r="DB1772" s="2909">
        <f>IF($A1772="","",IF($A1772&lt;&gt;21,"対象外",IF($AE1772&amp;""="00000000","在職",IF($AE1772&amp;""='DB_設定'!$C$4,"4/1喪失","その他喪失"))))</f>
      </c>
    </row>
    <row r="1773">
      <c r="DB1773" s="2909">
        <f>IF($A1773="","",IF($A1773&lt;&gt;21,"対象外",IF($AE1773&amp;""="00000000","在職",IF($AE1773&amp;""='DB_設定'!$C$4,"4/1喪失","その他喪失"))))</f>
      </c>
    </row>
    <row r="1774">
      <c r="DB1774" s="2909">
        <f>IF($A1774="","",IF($A1774&lt;&gt;21,"対象外",IF($AE1774&amp;""="00000000","在職",IF($AE1774&amp;""='DB_設定'!$C$4,"4/1喪失","その他喪失"))))</f>
      </c>
    </row>
    <row r="1775">
      <c r="DB1775" s="2909">
        <f>IF($A1775="","",IF($A1775&lt;&gt;21,"対象外",IF($AE1775&amp;""="00000000","在職",IF($AE1775&amp;""='DB_設定'!$C$4,"4/1喪失","その他喪失"))))</f>
      </c>
    </row>
    <row r="1776">
      <c r="DB1776" s="2909">
        <f>IF($A1776="","",IF($A1776&lt;&gt;21,"対象外",IF($AE1776&amp;""="00000000","在職",IF($AE1776&amp;""='DB_設定'!$C$4,"4/1喪失","その他喪失"))))</f>
      </c>
    </row>
    <row r="1777">
      <c r="DB1777" s="2909">
        <f>IF($A1777="","",IF($A1777&lt;&gt;21,"対象外",IF($AE1777&amp;""="00000000","在職",IF($AE1777&amp;""='DB_設定'!$C$4,"4/1喪失","その他喪失"))))</f>
      </c>
    </row>
    <row r="1778">
      <c r="DB1778" s="2909">
        <f>IF($A1778="","",IF($A1778&lt;&gt;21,"対象外",IF($AE1778&amp;""="00000000","在職",IF($AE1778&amp;""='DB_設定'!$C$4,"4/1喪失","その他喪失"))))</f>
      </c>
    </row>
    <row r="1779">
      <c r="DB1779" s="2909">
        <f>IF($A1779="","",IF($A1779&lt;&gt;21,"対象外",IF($AE1779&amp;""="00000000","在職",IF($AE1779&amp;""='DB_設定'!$C$4,"4/1喪失","その他喪失"))))</f>
      </c>
    </row>
    <row r="1780">
      <c r="DB1780" s="2909">
        <f>IF($A1780="","",IF($A1780&lt;&gt;21,"対象外",IF($AE1780&amp;""="00000000","在職",IF($AE1780&amp;""='DB_設定'!$C$4,"4/1喪失","その他喪失"))))</f>
      </c>
    </row>
    <row r="1781">
      <c r="DB1781" s="2909">
        <f>IF($A1781="","",IF($A1781&lt;&gt;21,"対象外",IF($AE1781&amp;""="00000000","在職",IF($AE1781&amp;""='DB_設定'!$C$4,"4/1喪失","その他喪失"))))</f>
      </c>
    </row>
    <row r="1782">
      <c r="DB1782" s="2909">
        <f>IF($A1782="","",IF($A1782&lt;&gt;21,"対象外",IF($AE1782&amp;""="00000000","在職",IF($AE1782&amp;""='DB_設定'!$C$4,"4/1喪失","その他喪失"))))</f>
      </c>
    </row>
    <row r="1783">
      <c r="DB1783" s="2909">
        <f>IF($A1783="","",IF($A1783&lt;&gt;21,"対象外",IF($AE1783&amp;""="00000000","在職",IF($AE1783&amp;""='DB_設定'!$C$4,"4/1喪失","その他喪失"))))</f>
      </c>
    </row>
    <row r="1784">
      <c r="DB1784" s="2909">
        <f>IF($A1784="","",IF($A1784&lt;&gt;21,"対象外",IF($AE1784&amp;""="00000000","在職",IF($AE1784&amp;""='DB_設定'!$C$4,"4/1喪失","その他喪失"))))</f>
      </c>
    </row>
    <row r="1785">
      <c r="DB1785" s="2909">
        <f>IF($A1785="","",IF($A1785&lt;&gt;21,"対象外",IF($AE1785&amp;""="00000000","在職",IF($AE1785&amp;""='DB_設定'!$C$4,"4/1喪失","その他喪失"))))</f>
      </c>
    </row>
    <row r="1786">
      <c r="DB1786" s="2909">
        <f>IF($A1786="","",IF($A1786&lt;&gt;21,"対象外",IF($AE1786&amp;""="00000000","在職",IF($AE1786&amp;""='DB_設定'!$C$4,"4/1喪失","その他喪失"))))</f>
      </c>
    </row>
    <row r="1787">
      <c r="DB1787" s="2909">
        <f>IF($A1787="","",IF($A1787&lt;&gt;21,"対象外",IF($AE1787&amp;""="00000000","在職",IF($AE1787&amp;""='DB_設定'!$C$4,"4/1喪失","その他喪失"))))</f>
      </c>
    </row>
    <row r="1788">
      <c r="DB1788" s="2909">
        <f>IF($A1788="","",IF($A1788&lt;&gt;21,"対象外",IF($AE1788&amp;""="00000000","在職",IF($AE1788&amp;""='DB_設定'!$C$4,"4/1喪失","その他喪失"))))</f>
      </c>
    </row>
    <row r="1789">
      <c r="DB1789" s="2909">
        <f>IF($A1789="","",IF($A1789&lt;&gt;21,"対象外",IF($AE1789&amp;""="00000000","在職",IF($AE1789&amp;""='DB_設定'!$C$4,"4/1喪失","その他喪失"))))</f>
      </c>
    </row>
    <row r="1790">
      <c r="DB1790" s="2909">
        <f>IF($A1790="","",IF($A1790&lt;&gt;21,"対象外",IF($AE1790&amp;""="00000000","在職",IF($AE1790&amp;""='DB_設定'!$C$4,"4/1喪失","その他喪失"))))</f>
      </c>
    </row>
    <row r="1791">
      <c r="DB1791" s="2909">
        <f>IF($A1791="","",IF($A1791&lt;&gt;21,"対象外",IF($AE1791&amp;""="00000000","在職",IF($AE1791&amp;""='DB_設定'!$C$4,"4/1喪失","その他喪失"))))</f>
      </c>
    </row>
    <row r="1792">
      <c r="DB1792" s="2909">
        <f>IF($A1792="","",IF($A1792&lt;&gt;21,"対象外",IF($AE1792&amp;""="00000000","在職",IF($AE1792&amp;""='DB_設定'!$C$4,"4/1喪失","その他喪失"))))</f>
      </c>
    </row>
    <row r="1793">
      <c r="DB1793" s="2909">
        <f>IF($A1793="","",IF($A1793&lt;&gt;21,"対象外",IF($AE1793&amp;""="00000000","在職",IF($AE1793&amp;""='DB_設定'!$C$4,"4/1喪失","その他喪失"))))</f>
      </c>
    </row>
    <row r="1794">
      <c r="DB1794" s="2909">
        <f>IF($A1794="","",IF($A1794&lt;&gt;21,"対象外",IF($AE1794&amp;""="00000000","在職",IF($AE1794&amp;""='DB_設定'!$C$4,"4/1喪失","その他喪失"))))</f>
      </c>
    </row>
    <row r="1795">
      <c r="DB1795" s="2909">
        <f>IF($A1795="","",IF($A1795&lt;&gt;21,"対象外",IF($AE1795&amp;""="00000000","在職",IF($AE1795&amp;""='DB_設定'!$C$4,"4/1喪失","その他喪失"))))</f>
      </c>
    </row>
    <row r="1796">
      <c r="DB1796" s="2909">
        <f>IF($A1796="","",IF($A1796&lt;&gt;21,"対象外",IF($AE1796&amp;""="00000000","在職",IF($AE1796&amp;""='DB_設定'!$C$4,"4/1喪失","その他喪失"))))</f>
      </c>
    </row>
    <row r="1797">
      <c r="DB1797" s="2909">
        <f>IF($A1797="","",IF($A1797&lt;&gt;21,"対象外",IF($AE1797&amp;""="00000000","在職",IF($AE1797&amp;""='DB_設定'!$C$4,"4/1喪失","その他喪失"))))</f>
      </c>
    </row>
    <row r="1798">
      <c r="DB1798" s="2909">
        <f>IF($A1798="","",IF($A1798&lt;&gt;21,"対象外",IF($AE1798&amp;""="00000000","在職",IF($AE1798&amp;""='DB_設定'!$C$4,"4/1喪失","その他喪失"))))</f>
      </c>
    </row>
    <row r="1799">
      <c r="DB1799" s="2909">
        <f>IF($A1799="","",IF($A1799&lt;&gt;21,"対象外",IF($AE1799&amp;""="00000000","在職",IF($AE1799&amp;""='DB_設定'!$C$4,"4/1喪失","その他喪失"))))</f>
      </c>
    </row>
    <row r="1800">
      <c r="DB1800" s="2909">
        <f>IF($A1800="","",IF($A1800&lt;&gt;21,"対象外",IF($AE1800&amp;""="00000000","在職",IF($AE1800&amp;""='DB_設定'!$C$4,"4/1喪失","その他喪失"))))</f>
      </c>
    </row>
    <row r="1801">
      <c r="DB1801" s="2909">
        <f>IF($A1801="","",IF($A1801&lt;&gt;21,"対象外",IF($AE1801&amp;""="00000000","在職",IF($AE1801&amp;""='DB_設定'!$C$4,"4/1喪失","その他喪失"))))</f>
      </c>
    </row>
    <row r="1802">
      <c r="DB1802" s="2909">
        <f>IF($A1802="","",IF($A1802&lt;&gt;21,"対象外",IF($AE1802&amp;""="00000000","在職",IF($AE1802&amp;""='DB_設定'!$C$4,"4/1喪失","その他喪失"))))</f>
      </c>
    </row>
    <row r="1803">
      <c r="DB1803" s="2909">
        <f>IF($A1803="","",IF($A1803&lt;&gt;21,"対象外",IF($AE1803&amp;""="00000000","在職",IF($AE1803&amp;""='DB_設定'!$C$4,"4/1喪失","その他喪失"))))</f>
      </c>
    </row>
    <row r="1804">
      <c r="DB1804" s="2909">
        <f>IF($A1804="","",IF($A1804&lt;&gt;21,"対象外",IF($AE1804&amp;""="00000000","在職",IF($AE1804&amp;""='DB_設定'!$C$4,"4/1喪失","その他喪失"))))</f>
      </c>
    </row>
    <row r="1805">
      <c r="DB1805" s="2909">
        <f>IF($A1805="","",IF($A1805&lt;&gt;21,"対象外",IF($AE1805&amp;""="00000000","在職",IF($AE1805&amp;""='DB_設定'!$C$4,"4/1喪失","その他喪失"))))</f>
      </c>
    </row>
    <row r="1806">
      <c r="DB1806" s="2909">
        <f>IF($A1806="","",IF($A1806&lt;&gt;21,"対象外",IF($AE1806&amp;""="00000000","在職",IF($AE1806&amp;""='DB_設定'!$C$4,"4/1喪失","その他喪失"))))</f>
      </c>
    </row>
    <row r="1807">
      <c r="DB1807" s="2909">
        <f>IF($A1807="","",IF($A1807&lt;&gt;21,"対象外",IF($AE1807&amp;""="00000000","在職",IF($AE1807&amp;""='DB_設定'!$C$4,"4/1喪失","その他喪失"))))</f>
      </c>
    </row>
    <row r="1808">
      <c r="DB1808" s="2909">
        <f>IF($A1808="","",IF($A1808&lt;&gt;21,"対象外",IF($AE1808&amp;""="00000000","在職",IF($AE1808&amp;""='DB_設定'!$C$4,"4/1喪失","その他喪失"))))</f>
      </c>
    </row>
    <row r="1809">
      <c r="DB1809" s="2909">
        <f>IF($A1809="","",IF($A1809&lt;&gt;21,"対象外",IF($AE1809&amp;""="00000000","在職",IF($AE1809&amp;""='DB_設定'!$C$4,"4/1喪失","その他喪失"))))</f>
      </c>
    </row>
    <row r="1810">
      <c r="DB1810" s="2909">
        <f>IF($A1810="","",IF($A1810&lt;&gt;21,"対象外",IF($AE1810&amp;""="00000000","在職",IF($AE1810&amp;""='DB_設定'!$C$4,"4/1喪失","その他喪失"))))</f>
      </c>
    </row>
    <row r="1811">
      <c r="DB1811" s="2909">
        <f>IF($A1811="","",IF($A1811&lt;&gt;21,"対象外",IF($AE1811&amp;""="00000000","在職",IF($AE1811&amp;""='DB_設定'!$C$4,"4/1喪失","その他喪失"))))</f>
      </c>
    </row>
    <row r="1812">
      <c r="DB1812" s="2909">
        <f>IF($A1812="","",IF($A1812&lt;&gt;21,"対象外",IF($AE1812&amp;""="00000000","在職",IF($AE1812&amp;""='DB_設定'!$C$4,"4/1喪失","その他喪失"))))</f>
      </c>
    </row>
    <row r="1813">
      <c r="DB1813" s="2909">
        <f>IF($A1813="","",IF($A1813&lt;&gt;21,"対象外",IF($AE1813&amp;""="00000000","在職",IF($AE1813&amp;""='DB_設定'!$C$4,"4/1喪失","その他喪失"))))</f>
      </c>
    </row>
    <row r="1814">
      <c r="DB1814" s="2909">
        <f>IF($A1814="","",IF($A1814&lt;&gt;21,"対象外",IF($AE1814&amp;""="00000000","在職",IF($AE1814&amp;""='DB_設定'!$C$4,"4/1喪失","その他喪失"))))</f>
      </c>
    </row>
    <row r="1815">
      <c r="DB1815" s="2909">
        <f>IF($A1815="","",IF($A1815&lt;&gt;21,"対象外",IF($AE1815&amp;""="00000000","在職",IF($AE1815&amp;""='DB_設定'!$C$4,"4/1喪失","その他喪失"))))</f>
      </c>
    </row>
    <row r="1816">
      <c r="DB1816" s="2909">
        <f>IF($A1816="","",IF($A1816&lt;&gt;21,"対象外",IF($AE1816&amp;""="00000000","在職",IF($AE1816&amp;""='DB_設定'!$C$4,"4/1喪失","その他喪失"))))</f>
      </c>
    </row>
    <row r="1817">
      <c r="DB1817" s="2909">
        <f>IF($A1817="","",IF($A1817&lt;&gt;21,"対象外",IF($AE1817&amp;""="00000000","在職",IF($AE1817&amp;""='DB_設定'!$C$4,"4/1喪失","その他喪失"))))</f>
      </c>
    </row>
    <row r="1818">
      <c r="DB1818" s="2909">
        <f>IF($A1818="","",IF($A1818&lt;&gt;21,"対象外",IF($AE1818&amp;""="00000000","在職",IF($AE1818&amp;""='DB_設定'!$C$4,"4/1喪失","その他喪失"))))</f>
      </c>
    </row>
    <row r="1819">
      <c r="DB1819" s="2909">
        <f>IF($A1819="","",IF($A1819&lt;&gt;21,"対象外",IF($AE1819&amp;""="00000000","在職",IF($AE1819&amp;""='DB_設定'!$C$4,"4/1喪失","その他喪失"))))</f>
      </c>
    </row>
    <row r="1820">
      <c r="DB1820" s="2909">
        <f>IF($A1820="","",IF($A1820&lt;&gt;21,"対象外",IF($AE1820&amp;""="00000000","在職",IF($AE1820&amp;""='DB_設定'!$C$4,"4/1喪失","その他喪失"))))</f>
      </c>
    </row>
    <row r="1821">
      <c r="DB1821" s="2909">
        <f>IF($A1821="","",IF($A1821&lt;&gt;21,"対象外",IF($AE1821&amp;""="00000000","在職",IF($AE1821&amp;""='DB_設定'!$C$4,"4/1喪失","その他喪失"))))</f>
      </c>
    </row>
    <row r="1822">
      <c r="DB1822" s="2909">
        <f>IF($A1822="","",IF($A1822&lt;&gt;21,"対象外",IF($AE1822&amp;""="00000000","在職",IF($AE1822&amp;""='DB_設定'!$C$4,"4/1喪失","その他喪失"))))</f>
      </c>
    </row>
    <row r="1823">
      <c r="DB1823" s="2909">
        <f>IF($A1823="","",IF($A1823&lt;&gt;21,"対象外",IF($AE1823&amp;""="00000000","在職",IF($AE1823&amp;""='DB_設定'!$C$4,"4/1喪失","その他喪失"))))</f>
      </c>
    </row>
    <row r="1824">
      <c r="DB1824" s="2909">
        <f>IF($A1824="","",IF($A1824&lt;&gt;21,"対象外",IF($AE1824&amp;""="00000000","在職",IF($AE1824&amp;""='DB_設定'!$C$4,"4/1喪失","その他喪失"))))</f>
      </c>
    </row>
    <row r="1825">
      <c r="DB1825" s="2909">
        <f>IF($A1825="","",IF($A1825&lt;&gt;21,"対象外",IF($AE1825&amp;""="00000000","在職",IF($AE1825&amp;""='DB_設定'!$C$4,"4/1喪失","その他喪失"))))</f>
      </c>
    </row>
    <row r="1826">
      <c r="DB1826" s="2909">
        <f>IF($A1826="","",IF($A1826&lt;&gt;21,"対象外",IF($AE1826&amp;""="00000000","在職",IF($AE1826&amp;""='DB_設定'!$C$4,"4/1喪失","その他喪失"))))</f>
      </c>
    </row>
    <row r="1827">
      <c r="DB1827" s="2909">
        <f>IF($A1827="","",IF($A1827&lt;&gt;21,"対象外",IF($AE1827&amp;""="00000000","在職",IF($AE1827&amp;""='DB_設定'!$C$4,"4/1喪失","その他喪失"))))</f>
      </c>
    </row>
    <row r="1828">
      <c r="DB1828" s="2909">
        <f>IF($A1828="","",IF($A1828&lt;&gt;21,"対象外",IF($AE1828&amp;""="00000000","在職",IF($AE1828&amp;""='DB_設定'!$C$4,"4/1喪失","その他喪失"))))</f>
      </c>
    </row>
    <row r="1829">
      <c r="DB1829" s="2909">
        <f>IF($A1829="","",IF($A1829&lt;&gt;21,"対象外",IF($AE1829&amp;""="00000000","在職",IF($AE1829&amp;""='DB_設定'!$C$4,"4/1喪失","その他喪失"))))</f>
      </c>
    </row>
    <row r="1830">
      <c r="DB1830" s="2909">
        <f>IF($A1830="","",IF($A1830&lt;&gt;21,"対象外",IF($AE1830&amp;""="00000000","在職",IF($AE1830&amp;""='DB_設定'!$C$4,"4/1喪失","その他喪失"))))</f>
      </c>
    </row>
    <row r="1831">
      <c r="DB1831" s="2909">
        <f>IF($A1831="","",IF($A1831&lt;&gt;21,"対象外",IF($AE1831&amp;""="00000000","在職",IF($AE1831&amp;""='DB_設定'!$C$4,"4/1喪失","その他喪失"))))</f>
      </c>
    </row>
    <row r="1832">
      <c r="DB1832" s="2909">
        <f>IF($A1832="","",IF($A1832&lt;&gt;21,"対象外",IF($AE1832&amp;""="00000000","在職",IF($AE1832&amp;""='DB_設定'!$C$4,"4/1喪失","その他喪失"))))</f>
      </c>
    </row>
    <row r="1833">
      <c r="DB1833" s="2909">
        <f>IF($A1833="","",IF($A1833&lt;&gt;21,"対象外",IF($AE1833&amp;""="00000000","在職",IF($AE1833&amp;""='DB_設定'!$C$4,"4/1喪失","その他喪失"))))</f>
      </c>
    </row>
    <row r="1834">
      <c r="DB1834" s="2909">
        <f>IF($A1834="","",IF($A1834&lt;&gt;21,"対象外",IF($AE1834&amp;""="00000000","在職",IF($AE1834&amp;""='DB_設定'!$C$4,"4/1喪失","その他喪失"))))</f>
      </c>
    </row>
    <row r="1835">
      <c r="DB1835" s="2909">
        <f>IF($A1835="","",IF($A1835&lt;&gt;21,"対象外",IF($AE1835&amp;""="00000000","在職",IF($AE1835&amp;""='DB_設定'!$C$4,"4/1喪失","その他喪失"))))</f>
      </c>
    </row>
    <row r="1836">
      <c r="DB1836" s="2909">
        <f>IF($A1836="","",IF($A1836&lt;&gt;21,"対象外",IF($AE1836&amp;""="00000000","在職",IF($AE1836&amp;""='DB_設定'!$C$4,"4/1喪失","その他喪失"))))</f>
      </c>
    </row>
    <row r="1837">
      <c r="DB1837" s="2909">
        <f>IF($A1837="","",IF($A1837&lt;&gt;21,"対象外",IF($AE1837&amp;""="00000000","在職",IF($AE1837&amp;""='DB_設定'!$C$4,"4/1喪失","その他喪失"))))</f>
      </c>
    </row>
    <row r="1838">
      <c r="DB1838" s="2909">
        <f>IF($A1838="","",IF($A1838&lt;&gt;21,"対象外",IF($AE1838&amp;""="00000000","在職",IF($AE1838&amp;""='DB_設定'!$C$4,"4/1喪失","その他喪失"))))</f>
      </c>
    </row>
    <row r="1839">
      <c r="DB1839" s="2909">
        <f>IF($A1839="","",IF($A1839&lt;&gt;21,"対象外",IF($AE1839&amp;""="00000000","在職",IF($AE1839&amp;""='DB_設定'!$C$4,"4/1喪失","その他喪失"))))</f>
      </c>
    </row>
    <row r="1840">
      <c r="DB1840" s="2909">
        <f>IF($A1840="","",IF($A1840&lt;&gt;21,"対象外",IF($AE1840&amp;""="00000000","在職",IF($AE1840&amp;""='DB_設定'!$C$4,"4/1喪失","その他喪失"))))</f>
      </c>
    </row>
    <row r="1841">
      <c r="DB1841" s="2909">
        <f>IF($A1841="","",IF($A1841&lt;&gt;21,"対象外",IF($AE1841&amp;""="00000000","在職",IF($AE1841&amp;""='DB_設定'!$C$4,"4/1喪失","その他喪失"))))</f>
      </c>
    </row>
    <row r="1842">
      <c r="DB1842" s="2909">
        <f>IF($A1842="","",IF($A1842&lt;&gt;21,"対象外",IF($AE1842&amp;""="00000000","在職",IF($AE1842&amp;""='DB_設定'!$C$4,"4/1喪失","その他喪失"))))</f>
      </c>
    </row>
    <row r="1843">
      <c r="DB1843" s="2909">
        <f>IF($A1843="","",IF($A1843&lt;&gt;21,"対象外",IF($AE1843&amp;""="00000000","在職",IF($AE1843&amp;""='DB_設定'!$C$4,"4/1喪失","その他喪失"))))</f>
      </c>
    </row>
    <row r="1844">
      <c r="DB1844" s="2909">
        <f>IF($A1844="","",IF($A1844&lt;&gt;21,"対象外",IF($AE1844&amp;""="00000000","在職",IF($AE1844&amp;""='DB_設定'!$C$4,"4/1喪失","その他喪失"))))</f>
      </c>
    </row>
    <row r="1845">
      <c r="DB1845" s="2909">
        <f>IF($A1845="","",IF($A1845&lt;&gt;21,"対象外",IF($AE1845&amp;""="00000000","在職",IF($AE1845&amp;""='DB_設定'!$C$4,"4/1喪失","その他喪失"))))</f>
      </c>
    </row>
    <row r="1846">
      <c r="DB1846" s="2909">
        <f>IF($A1846="","",IF($A1846&lt;&gt;21,"対象外",IF($AE1846&amp;""="00000000","在職",IF($AE1846&amp;""='DB_設定'!$C$4,"4/1喪失","その他喪失"))))</f>
      </c>
    </row>
    <row r="1847">
      <c r="DB1847" s="2909">
        <f>IF($A1847="","",IF($A1847&lt;&gt;21,"対象外",IF($AE1847&amp;""="00000000","在職",IF($AE1847&amp;""='DB_設定'!$C$4,"4/1喪失","その他喪失"))))</f>
      </c>
    </row>
    <row r="1848">
      <c r="DB1848" s="2909">
        <f>IF($A1848="","",IF($A1848&lt;&gt;21,"対象外",IF($AE1848&amp;""="00000000","在職",IF($AE1848&amp;""='DB_設定'!$C$4,"4/1喪失","その他喪失"))))</f>
      </c>
    </row>
    <row r="1849">
      <c r="DB1849" s="2909">
        <f>IF($A1849="","",IF($A1849&lt;&gt;21,"対象外",IF($AE1849&amp;""="00000000","在職",IF($AE1849&amp;""='DB_設定'!$C$4,"4/1喪失","その他喪失"))))</f>
      </c>
    </row>
    <row r="1850">
      <c r="DB1850" s="2909">
        <f>IF($A1850="","",IF($A1850&lt;&gt;21,"対象外",IF($AE1850&amp;""="00000000","在職",IF($AE1850&amp;""='DB_設定'!$C$4,"4/1喪失","その他喪失"))))</f>
      </c>
    </row>
    <row r="1851">
      <c r="DB1851" s="2909">
        <f>IF($A1851="","",IF($A1851&lt;&gt;21,"対象外",IF($AE1851&amp;""="00000000","在職",IF($AE1851&amp;""='DB_設定'!$C$4,"4/1喪失","その他喪失"))))</f>
      </c>
    </row>
    <row r="1852">
      <c r="DB1852" s="2909">
        <f>IF($A1852="","",IF($A1852&lt;&gt;21,"対象外",IF($AE1852&amp;""="00000000","在職",IF($AE1852&amp;""='DB_設定'!$C$4,"4/1喪失","その他喪失"))))</f>
      </c>
    </row>
    <row r="1853">
      <c r="DB1853" s="2909">
        <f>IF($A1853="","",IF($A1853&lt;&gt;21,"対象外",IF($AE1853&amp;""="00000000","在職",IF($AE1853&amp;""='DB_設定'!$C$4,"4/1喪失","その他喪失"))))</f>
      </c>
    </row>
    <row r="1854">
      <c r="DB1854" s="2909">
        <f>IF($A1854="","",IF($A1854&lt;&gt;21,"対象外",IF($AE1854&amp;""="00000000","在職",IF($AE1854&amp;""='DB_設定'!$C$4,"4/1喪失","その他喪失"))))</f>
      </c>
    </row>
    <row r="1855">
      <c r="DB1855" s="2909">
        <f>IF($A1855="","",IF($A1855&lt;&gt;21,"対象外",IF($AE1855&amp;""="00000000","在職",IF($AE1855&amp;""='DB_設定'!$C$4,"4/1喪失","その他喪失"))))</f>
      </c>
    </row>
    <row r="1856">
      <c r="DB1856" s="2909">
        <f>IF($A1856="","",IF($A1856&lt;&gt;21,"対象外",IF($AE1856&amp;""="00000000","在職",IF($AE1856&amp;""='DB_設定'!$C$4,"4/1喪失","その他喪失"))))</f>
      </c>
    </row>
    <row r="1857">
      <c r="DB1857" s="2909">
        <f>IF($A1857="","",IF($A1857&lt;&gt;21,"対象外",IF($AE1857&amp;""="00000000","在職",IF($AE1857&amp;""='DB_設定'!$C$4,"4/1喪失","その他喪失"))))</f>
      </c>
    </row>
    <row r="1858">
      <c r="DB1858" s="2909">
        <f>IF($A1858="","",IF($A1858&lt;&gt;21,"対象外",IF($AE1858&amp;""="00000000","在職",IF($AE1858&amp;""='DB_設定'!$C$4,"4/1喪失","その他喪失"))))</f>
      </c>
    </row>
    <row r="1859">
      <c r="DB1859" s="2909">
        <f>IF($A1859="","",IF($A1859&lt;&gt;21,"対象外",IF($AE1859&amp;""="00000000","在職",IF($AE1859&amp;""='DB_設定'!$C$4,"4/1喪失","その他喪失"))))</f>
      </c>
    </row>
    <row r="1860">
      <c r="DB1860" s="2909">
        <f>IF($A1860="","",IF($A1860&lt;&gt;21,"対象外",IF($AE1860&amp;""="00000000","在職",IF($AE1860&amp;""='DB_設定'!$C$4,"4/1喪失","その他喪失"))))</f>
      </c>
    </row>
    <row r="1861">
      <c r="DB1861" s="2909">
        <f>IF($A1861="","",IF($A1861&lt;&gt;21,"対象外",IF($AE1861&amp;""="00000000","在職",IF($AE1861&amp;""='DB_設定'!$C$4,"4/1喪失","その他喪失"))))</f>
      </c>
    </row>
    <row r="1862">
      <c r="DB1862" s="2909">
        <f>IF($A1862="","",IF($A1862&lt;&gt;21,"対象外",IF($AE1862&amp;""="00000000","在職",IF($AE1862&amp;""='DB_設定'!$C$4,"4/1喪失","その他喪失"))))</f>
      </c>
    </row>
    <row r="1863">
      <c r="DB1863" s="2909">
        <f>IF($A1863="","",IF($A1863&lt;&gt;21,"対象外",IF($AE1863&amp;""="00000000","在職",IF($AE1863&amp;""='DB_設定'!$C$4,"4/1喪失","その他喪失"))))</f>
      </c>
    </row>
    <row r="1864">
      <c r="DB1864" s="2909">
        <f>IF($A1864="","",IF($A1864&lt;&gt;21,"対象外",IF($AE1864&amp;""="00000000","在職",IF($AE1864&amp;""='DB_設定'!$C$4,"4/1喪失","その他喪失"))))</f>
      </c>
    </row>
    <row r="1865">
      <c r="DB1865" s="2909">
        <f>IF($A1865="","",IF($A1865&lt;&gt;21,"対象外",IF($AE1865&amp;""="00000000","在職",IF($AE1865&amp;""='DB_設定'!$C$4,"4/1喪失","その他喪失"))))</f>
      </c>
    </row>
    <row r="1866">
      <c r="DB1866" s="2909">
        <f>IF($A1866="","",IF($A1866&lt;&gt;21,"対象外",IF($AE1866&amp;""="00000000","在職",IF($AE1866&amp;""='DB_設定'!$C$4,"4/1喪失","その他喪失"))))</f>
      </c>
    </row>
    <row r="1867">
      <c r="DB1867" s="2909">
        <f>IF($A1867="","",IF($A1867&lt;&gt;21,"対象外",IF($AE1867&amp;""="00000000","在職",IF($AE1867&amp;""='DB_設定'!$C$4,"4/1喪失","その他喪失"))))</f>
      </c>
    </row>
    <row r="1868">
      <c r="DB1868" s="2909">
        <f>IF($A1868="","",IF($A1868&lt;&gt;21,"対象外",IF($AE1868&amp;""="00000000","在職",IF($AE1868&amp;""='DB_設定'!$C$4,"4/1喪失","その他喪失"))))</f>
      </c>
    </row>
    <row r="1869">
      <c r="DB1869" s="2909">
        <f>IF($A1869="","",IF($A1869&lt;&gt;21,"対象外",IF($AE1869&amp;""="00000000","在職",IF($AE1869&amp;""='DB_設定'!$C$4,"4/1喪失","その他喪失"))))</f>
      </c>
    </row>
    <row r="1870">
      <c r="DB1870" s="2909">
        <f>IF($A1870="","",IF($A1870&lt;&gt;21,"対象外",IF($AE1870&amp;""="00000000","在職",IF($AE1870&amp;""='DB_設定'!$C$4,"4/1喪失","その他喪失"))))</f>
      </c>
    </row>
    <row r="1871">
      <c r="DB1871" s="2909">
        <f>IF($A1871="","",IF($A1871&lt;&gt;21,"対象外",IF($AE1871&amp;""="00000000","在職",IF($AE1871&amp;""='DB_設定'!$C$4,"4/1喪失","その他喪失"))))</f>
      </c>
    </row>
    <row r="1872">
      <c r="DB1872" s="2909">
        <f>IF($A1872="","",IF($A1872&lt;&gt;21,"対象外",IF($AE1872&amp;""="00000000","在職",IF($AE1872&amp;""='DB_設定'!$C$4,"4/1喪失","その他喪失"))))</f>
      </c>
    </row>
    <row r="1873">
      <c r="DB1873" s="2909">
        <f>IF($A1873="","",IF($A1873&lt;&gt;21,"対象外",IF($AE1873&amp;""="00000000","在職",IF($AE1873&amp;""='DB_設定'!$C$4,"4/1喪失","その他喪失"))))</f>
      </c>
    </row>
    <row r="1874">
      <c r="DB1874" s="2909">
        <f>IF($A1874="","",IF($A1874&lt;&gt;21,"対象外",IF($AE1874&amp;""="00000000","在職",IF($AE1874&amp;""='DB_設定'!$C$4,"4/1喪失","その他喪失"))))</f>
      </c>
    </row>
    <row r="1875">
      <c r="DB1875" s="2909">
        <f>IF($A1875="","",IF($A1875&lt;&gt;21,"対象外",IF($AE1875&amp;""="00000000","在職",IF($AE1875&amp;""='DB_設定'!$C$4,"4/1喪失","その他喪失"))))</f>
      </c>
    </row>
    <row r="1876">
      <c r="DB1876" s="2909">
        <f>IF($A1876="","",IF($A1876&lt;&gt;21,"対象外",IF($AE1876&amp;""="00000000","在職",IF($AE1876&amp;""='DB_設定'!$C$4,"4/1喪失","その他喪失"))))</f>
      </c>
    </row>
    <row r="1877">
      <c r="DB1877" s="2909">
        <f>IF($A1877="","",IF($A1877&lt;&gt;21,"対象外",IF($AE1877&amp;""="00000000","在職",IF($AE1877&amp;""='DB_設定'!$C$4,"4/1喪失","その他喪失"))))</f>
      </c>
    </row>
    <row r="1878">
      <c r="DB1878" s="2909">
        <f>IF($A1878="","",IF($A1878&lt;&gt;21,"対象外",IF($AE1878&amp;""="00000000","在職",IF($AE1878&amp;""='DB_設定'!$C$4,"4/1喪失","その他喪失"))))</f>
      </c>
    </row>
    <row r="1879">
      <c r="DB1879" s="2909">
        <f>IF($A1879="","",IF($A1879&lt;&gt;21,"対象外",IF($AE1879&amp;""="00000000","在職",IF($AE1879&amp;""='DB_設定'!$C$4,"4/1喪失","その他喪失"))))</f>
      </c>
    </row>
    <row r="1880">
      <c r="DB1880" s="2909">
        <f>IF($A1880="","",IF($A1880&lt;&gt;21,"対象外",IF($AE1880&amp;""="00000000","在職",IF($AE1880&amp;""='DB_設定'!$C$4,"4/1喪失","その他喪失"))))</f>
      </c>
    </row>
    <row r="1881">
      <c r="DB1881" s="2909">
        <f>IF($A1881="","",IF($A1881&lt;&gt;21,"対象外",IF($AE1881&amp;""="00000000","在職",IF($AE1881&amp;""='DB_設定'!$C$4,"4/1喪失","その他喪失"))))</f>
      </c>
    </row>
    <row r="1882">
      <c r="DB1882" s="2909">
        <f>IF($A1882="","",IF($A1882&lt;&gt;21,"対象外",IF($AE1882&amp;""="00000000","在職",IF($AE1882&amp;""='DB_設定'!$C$4,"4/1喪失","その他喪失"))))</f>
      </c>
    </row>
    <row r="1883">
      <c r="DB1883" s="2909">
        <f>IF($A1883="","",IF($A1883&lt;&gt;21,"対象外",IF($AE1883&amp;""="00000000","在職",IF($AE1883&amp;""='DB_設定'!$C$4,"4/1喪失","その他喪失"))))</f>
      </c>
    </row>
    <row r="1884">
      <c r="DB1884" s="2909">
        <f>IF($A1884="","",IF($A1884&lt;&gt;21,"対象外",IF($AE1884&amp;""="00000000","在職",IF($AE1884&amp;""='DB_設定'!$C$4,"4/1喪失","その他喪失"))))</f>
      </c>
    </row>
    <row r="1885">
      <c r="DB1885" s="2909">
        <f>IF($A1885="","",IF($A1885&lt;&gt;21,"対象外",IF($AE1885&amp;""="00000000","在職",IF($AE1885&amp;""='DB_設定'!$C$4,"4/1喪失","その他喪失"))))</f>
      </c>
    </row>
    <row r="1886">
      <c r="DB1886" s="2909">
        <f>IF($A1886="","",IF($A1886&lt;&gt;21,"対象外",IF($AE1886&amp;""="00000000","在職",IF($AE1886&amp;""='DB_設定'!$C$4,"4/1喪失","その他喪失"))))</f>
      </c>
    </row>
    <row r="1887">
      <c r="DB1887" s="2909">
        <f>IF($A1887="","",IF($A1887&lt;&gt;21,"対象外",IF($AE1887&amp;""="00000000","在職",IF($AE1887&amp;""='DB_設定'!$C$4,"4/1喪失","その他喪失"))))</f>
      </c>
    </row>
    <row r="1888">
      <c r="DB1888" s="2909">
        <f>IF($A1888="","",IF($A1888&lt;&gt;21,"対象外",IF($AE1888&amp;""="00000000","在職",IF($AE1888&amp;""='DB_設定'!$C$4,"4/1喪失","その他喪失"))))</f>
      </c>
    </row>
    <row r="1889">
      <c r="DB1889" s="2909">
        <f>IF($A1889="","",IF($A1889&lt;&gt;21,"対象外",IF($AE1889&amp;""="00000000","在職",IF($AE1889&amp;""='DB_設定'!$C$4,"4/1喪失","その他喪失"))))</f>
      </c>
    </row>
    <row r="1890">
      <c r="DB1890" s="2909">
        <f>IF($A1890="","",IF($A1890&lt;&gt;21,"対象外",IF($AE1890&amp;""="00000000","在職",IF($AE1890&amp;""='DB_設定'!$C$4,"4/1喪失","その他喪失"))))</f>
      </c>
    </row>
    <row r="1891">
      <c r="DB1891" s="2909">
        <f>IF($A1891="","",IF($A1891&lt;&gt;21,"対象外",IF($AE1891&amp;""="00000000","在職",IF($AE1891&amp;""='DB_設定'!$C$4,"4/1喪失","その他喪失"))))</f>
      </c>
    </row>
    <row r="1892">
      <c r="DB1892" s="2909">
        <f>IF($A1892="","",IF($A1892&lt;&gt;21,"対象外",IF($AE1892&amp;""="00000000","在職",IF($AE1892&amp;""='DB_設定'!$C$4,"4/1喪失","その他喪失"))))</f>
      </c>
    </row>
    <row r="1893">
      <c r="DB1893" s="2909">
        <f>IF($A1893="","",IF($A1893&lt;&gt;21,"対象外",IF($AE1893&amp;""="00000000","在職",IF($AE1893&amp;""='DB_設定'!$C$4,"4/1喪失","その他喪失"))))</f>
      </c>
    </row>
    <row r="1894">
      <c r="DB1894" s="2909">
        <f>IF($A1894="","",IF($A1894&lt;&gt;21,"対象外",IF($AE1894&amp;""="00000000","在職",IF($AE1894&amp;""='DB_設定'!$C$4,"4/1喪失","その他喪失"))))</f>
      </c>
    </row>
    <row r="1895">
      <c r="DB1895" s="2909">
        <f>IF($A1895="","",IF($A1895&lt;&gt;21,"対象外",IF($AE1895&amp;""="00000000","在職",IF($AE1895&amp;""='DB_設定'!$C$4,"4/1喪失","その他喪失"))))</f>
      </c>
    </row>
    <row r="1896">
      <c r="DB1896" s="2909">
        <f>IF($A1896="","",IF($A1896&lt;&gt;21,"対象外",IF($AE1896&amp;""="00000000","在職",IF($AE1896&amp;""='DB_設定'!$C$4,"4/1喪失","その他喪失"))))</f>
      </c>
    </row>
    <row r="1897">
      <c r="DB1897" s="2909">
        <f>IF($A1897="","",IF($A1897&lt;&gt;21,"対象外",IF($AE1897&amp;""="00000000","在職",IF($AE1897&amp;""='DB_設定'!$C$4,"4/1喪失","その他喪失"))))</f>
      </c>
    </row>
    <row r="1898">
      <c r="DB1898" s="2909">
        <f>IF($A1898="","",IF($A1898&lt;&gt;21,"対象外",IF($AE1898&amp;""="00000000","在職",IF($AE1898&amp;""='DB_設定'!$C$4,"4/1喪失","その他喪失"))))</f>
      </c>
    </row>
    <row r="1899">
      <c r="DB1899" s="2909">
        <f>IF($A1899="","",IF($A1899&lt;&gt;21,"対象外",IF($AE1899&amp;""="00000000","在職",IF($AE1899&amp;""='DB_設定'!$C$4,"4/1喪失","その他喪失"))))</f>
      </c>
    </row>
    <row r="1900">
      <c r="DB1900" s="2909">
        <f>IF($A1900="","",IF($A1900&lt;&gt;21,"対象外",IF($AE1900&amp;""="00000000","在職",IF($AE1900&amp;""='DB_設定'!$C$4,"4/1喪失","その他喪失"))))</f>
      </c>
    </row>
    <row r="1901">
      <c r="DB1901" s="2909">
        <f>IF($A1901="","",IF($A1901&lt;&gt;21,"対象外",IF($AE1901&amp;""="00000000","在職",IF($AE1901&amp;""='DB_設定'!$C$4,"4/1喪失","その他喪失"))))</f>
      </c>
    </row>
    <row r="1902">
      <c r="DB1902" s="2909">
        <f>IF($A1902="","",IF($A1902&lt;&gt;21,"対象外",IF($AE1902&amp;""="00000000","在職",IF($AE1902&amp;""='DB_設定'!$C$4,"4/1喪失","その他喪失"))))</f>
      </c>
    </row>
    <row r="1903">
      <c r="DB1903" s="2909">
        <f>IF($A1903="","",IF($A1903&lt;&gt;21,"対象外",IF($AE1903&amp;""="00000000","在職",IF($AE1903&amp;""='DB_設定'!$C$4,"4/1喪失","その他喪失"))))</f>
      </c>
    </row>
    <row r="1904">
      <c r="DB1904" s="2909">
        <f>IF($A1904="","",IF($A1904&lt;&gt;21,"対象外",IF($AE1904&amp;""="00000000","在職",IF($AE1904&amp;""='DB_設定'!$C$4,"4/1喪失","その他喪失"))))</f>
      </c>
    </row>
    <row r="1905">
      <c r="DB1905" s="2909">
        <f>IF($A1905="","",IF($A1905&lt;&gt;21,"対象外",IF($AE1905&amp;""="00000000","在職",IF($AE1905&amp;""='DB_設定'!$C$4,"4/1喪失","その他喪失"))))</f>
      </c>
    </row>
    <row r="1906">
      <c r="DB1906" s="2909">
        <f>IF($A1906="","",IF($A1906&lt;&gt;21,"対象外",IF($AE1906&amp;""="00000000","在職",IF($AE1906&amp;""='DB_設定'!$C$4,"4/1喪失","その他喪失"))))</f>
      </c>
    </row>
    <row r="1907">
      <c r="DB1907" s="2909">
        <f>IF($A1907="","",IF($A1907&lt;&gt;21,"対象外",IF($AE1907&amp;""="00000000","在職",IF($AE1907&amp;""='DB_設定'!$C$4,"4/1喪失","その他喪失"))))</f>
      </c>
    </row>
    <row r="1908">
      <c r="DB1908" s="2909">
        <f>IF($A1908="","",IF($A1908&lt;&gt;21,"対象外",IF($AE1908&amp;""="00000000","在職",IF($AE1908&amp;""='DB_設定'!$C$4,"4/1喪失","その他喪失"))))</f>
      </c>
    </row>
    <row r="1909">
      <c r="DB1909" s="2909">
        <f>IF($A1909="","",IF($A1909&lt;&gt;21,"対象外",IF($AE1909&amp;""="00000000","在職",IF($AE1909&amp;""='DB_設定'!$C$4,"4/1喪失","その他喪失"))))</f>
      </c>
    </row>
    <row r="1910">
      <c r="DB1910" s="2909">
        <f>IF($A1910="","",IF($A1910&lt;&gt;21,"対象外",IF($AE1910&amp;""="00000000","在職",IF($AE1910&amp;""='DB_設定'!$C$4,"4/1喪失","その他喪失"))))</f>
      </c>
    </row>
    <row r="1911">
      <c r="DB1911" s="2909">
        <f>IF($A1911="","",IF($A1911&lt;&gt;21,"対象外",IF($AE1911&amp;""="00000000","在職",IF($AE1911&amp;""='DB_設定'!$C$4,"4/1喪失","その他喪失"))))</f>
      </c>
    </row>
    <row r="1912">
      <c r="DB1912" s="2909">
        <f>IF($A1912="","",IF($A1912&lt;&gt;21,"対象外",IF($AE1912&amp;""="00000000","在職",IF($AE1912&amp;""='DB_設定'!$C$4,"4/1喪失","その他喪失"))))</f>
      </c>
    </row>
    <row r="1913">
      <c r="DB1913" s="2909">
        <f>IF($A1913="","",IF($A1913&lt;&gt;21,"対象外",IF($AE1913&amp;""="00000000","在職",IF($AE1913&amp;""='DB_設定'!$C$4,"4/1喪失","その他喪失"))))</f>
      </c>
    </row>
    <row r="1914">
      <c r="DB1914" s="2909">
        <f>IF($A1914="","",IF($A1914&lt;&gt;21,"対象外",IF($AE1914&amp;""="00000000","在職",IF($AE1914&amp;""='DB_設定'!$C$4,"4/1喪失","その他喪失"))))</f>
      </c>
    </row>
    <row r="1915">
      <c r="DB1915" s="2909">
        <f>IF($A1915="","",IF($A1915&lt;&gt;21,"対象外",IF($AE1915&amp;""="00000000","在職",IF($AE1915&amp;""='DB_設定'!$C$4,"4/1喪失","その他喪失"))))</f>
      </c>
    </row>
    <row r="1916">
      <c r="DB1916" s="2909">
        <f>IF($A1916="","",IF($A1916&lt;&gt;21,"対象外",IF($AE1916&amp;""="00000000","在職",IF($AE1916&amp;""='DB_設定'!$C$4,"4/1喪失","その他喪失"))))</f>
      </c>
    </row>
    <row r="1917">
      <c r="DB1917" s="2909">
        <f>IF($A1917="","",IF($A1917&lt;&gt;21,"対象外",IF($AE1917&amp;""="00000000","在職",IF($AE1917&amp;""='DB_設定'!$C$4,"4/1喪失","その他喪失"))))</f>
      </c>
    </row>
    <row r="1918">
      <c r="DB1918" s="2909">
        <f>IF($A1918="","",IF($A1918&lt;&gt;21,"対象外",IF($AE1918&amp;""="00000000","在職",IF($AE1918&amp;""='DB_設定'!$C$4,"4/1喪失","その他喪失"))))</f>
      </c>
    </row>
    <row r="1919">
      <c r="DB1919" s="2909">
        <f>IF($A1919="","",IF($A1919&lt;&gt;21,"対象外",IF($AE1919&amp;""="00000000","在職",IF($AE1919&amp;""='DB_設定'!$C$4,"4/1喪失","その他喪失"))))</f>
      </c>
    </row>
    <row r="1920">
      <c r="DB1920" s="2909">
        <f>IF($A1920="","",IF($A1920&lt;&gt;21,"対象外",IF($AE1920&amp;""="00000000","在職",IF($AE1920&amp;""='DB_設定'!$C$4,"4/1喪失","その他喪失"))))</f>
      </c>
    </row>
    <row r="1921">
      <c r="DB1921" s="2909">
        <f>IF($A1921="","",IF($A1921&lt;&gt;21,"対象外",IF($AE1921&amp;""="00000000","在職",IF($AE1921&amp;""='DB_設定'!$C$4,"4/1喪失","その他喪失"))))</f>
      </c>
    </row>
    <row r="1922">
      <c r="DB1922" s="2909">
        <f>IF($A1922="","",IF($A1922&lt;&gt;21,"対象外",IF($AE1922&amp;""="00000000","在職",IF($AE1922&amp;""='DB_設定'!$C$4,"4/1喪失","その他喪失"))))</f>
      </c>
    </row>
    <row r="1923">
      <c r="DB1923" s="2909">
        <f>IF($A1923="","",IF($A1923&lt;&gt;21,"対象外",IF($AE1923&amp;""="00000000","在職",IF($AE1923&amp;""='DB_設定'!$C$4,"4/1喪失","その他喪失"))))</f>
      </c>
    </row>
    <row r="1924">
      <c r="DB1924" s="2909">
        <f>IF($A1924="","",IF($A1924&lt;&gt;21,"対象外",IF($AE1924&amp;""="00000000","在職",IF($AE1924&amp;""='DB_設定'!$C$4,"4/1喪失","その他喪失"))))</f>
      </c>
    </row>
    <row r="1925">
      <c r="DB1925" s="2909">
        <f>IF($A1925="","",IF($A1925&lt;&gt;21,"対象外",IF($AE1925&amp;""="00000000","在職",IF($AE1925&amp;""='DB_設定'!$C$4,"4/1喪失","その他喪失"))))</f>
      </c>
    </row>
    <row r="1926">
      <c r="DB1926" s="2909">
        <f>IF($A1926="","",IF($A1926&lt;&gt;21,"対象外",IF($AE1926&amp;""="00000000","在職",IF($AE1926&amp;""='DB_設定'!$C$4,"4/1喪失","その他喪失"))))</f>
      </c>
    </row>
    <row r="1927">
      <c r="DB1927" s="2909">
        <f>IF($A1927="","",IF($A1927&lt;&gt;21,"対象外",IF($AE1927&amp;""="00000000","在職",IF($AE1927&amp;""='DB_設定'!$C$4,"4/1喪失","その他喪失"))))</f>
      </c>
    </row>
    <row r="1928">
      <c r="DB1928" s="2909">
        <f>IF($A1928="","",IF($A1928&lt;&gt;21,"対象外",IF($AE1928&amp;""="00000000","在職",IF($AE1928&amp;""='DB_設定'!$C$4,"4/1喪失","その他喪失"))))</f>
      </c>
    </row>
    <row r="1929">
      <c r="DB1929" s="2909">
        <f>IF($A1929="","",IF($A1929&lt;&gt;21,"対象外",IF($AE1929&amp;""="00000000","在職",IF($AE1929&amp;""='DB_設定'!$C$4,"4/1喪失","その他喪失"))))</f>
      </c>
    </row>
    <row r="1930">
      <c r="DB1930" s="2909">
        <f>IF($A1930="","",IF($A1930&lt;&gt;21,"対象外",IF($AE1930&amp;""="00000000","在職",IF($AE1930&amp;""='DB_設定'!$C$4,"4/1喪失","その他喪失"))))</f>
      </c>
    </row>
    <row r="1931">
      <c r="DB1931" s="2909">
        <f>IF($A1931="","",IF($A1931&lt;&gt;21,"対象外",IF($AE1931&amp;""="00000000","在職",IF($AE1931&amp;""='DB_設定'!$C$4,"4/1喪失","その他喪失"))))</f>
      </c>
    </row>
    <row r="1932">
      <c r="DB1932" s="2909">
        <f>IF($A1932="","",IF($A1932&lt;&gt;21,"対象外",IF($AE1932&amp;""="00000000","在職",IF($AE1932&amp;""='DB_設定'!$C$4,"4/1喪失","その他喪失"))))</f>
      </c>
    </row>
    <row r="1933">
      <c r="DB1933" s="2909">
        <f>IF($A1933="","",IF($A1933&lt;&gt;21,"対象外",IF($AE1933&amp;""="00000000","在職",IF($AE1933&amp;""='DB_設定'!$C$4,"4/1喪失","その他喪失"))))</f>
      </c>
    </row>
    <row r="1934">
      <c r="DB1934" s="2909">
        <f>IF($A1934="","",IF($A1934&lt;&gt;21,"対象外",IF($AE1934&amp;""="00000000","在職",IF($AE1934&amp;""='DB_設定'!$C$4,"4/1喪失","その他喪失"))))</f>
      </c>
    </row>
    <row r="1935">
      <c r="DB1935" s="2909">
        <f>IF($A1935="","",IF($A1935&lt;&gt;21,"対象外",IF($AE1935&amp;""="00000000","在職",IF($AE1935&amp;""='DB_設定'!$C$4,"4/1喪失","その他喪失"))))</f>
      </c>
    </row>
    <row r="1936">
      <c r="DB1936" s="2909">
        <f>IF($A1936="","",IF($A1936&lt;&gt;21,"対象外",IF($AE1936&amp;""="00000000","在職",IF($AE1936&amp;""='DB_設定'!$C$4,"4/1喪失","その他喪失"))))</f>
      </c>
    </row>
    <row r="1937">
      <c r="DB1937" s="2909">
        <f>IF($A1937="","",IF($A1937&lt;&gt;21,"対象外",IF($AE1937&amp;""="00000000","在職",IF($AE1937&amp;""='DB_設定'!$C$4,"4/1喪失","その他喪失"))))</f>
      </c>
    </row>
    <row r="1938">
      <c r="DB1938" s="2909">
        <f>IF($A1938="","",IF($A1938&lt;&gt;21,"対象外",IF($AE1938&amp;""="00000000","在職",IF($AE1938&amp;""='DB_設定'!$C$4,"4/1喪失","その他喪失"))))</f>
      </c>
    </row>
    <row r="1939">
      <c r="DB1939" s="2909">
        <f>IF($A1939="","",IF($A1939&lt;&gt;21,"対象外",IF($AE1939&amp;""="00000000","在職",IF($AE1939&amp;""='DB_設定'!$C$4,"4/1喪失","その他喪失"))))</f>
      </c>
    </row>
    <row r="1940">
      <c r="DB1940" s="2909">
        <f>IF($A1940="","",IF($A1940&lt;&gt;21,"対象外",IF($AE1940&amp;""="00000000","在職",IF($AE1940&amp;""='DB_設定'!$C$4,"4/1喪失","その他喪失"))))</f>
      </c>
    </row>
    <row r="1941">
      <c r="DB1941" s="2909">
        <f>IF($A1941="","",IF($A1941&lt;&gt;21,"対象外",IF($AE1941&amp;""="00000000","在職",IF($AE1941&amp;""='DB_設定'!$C$4,"4/1喪失","その他喪失"))))</f>
      </c>
    </row>
    <row r="1942">
      <c r="DB1942" s="2909">
        <f>IF($A1942="","",IF($A1942&lt;&gt;21,"対象外",IF($AE1942&amp;""="00000000","在職",IF($AE1942&amp;""='DB_設定'!$C$4,"4/1喪失","その他喪失"))))</f>
      </c>
    </row>
    <row r="1943">
      <c r="DB1943" s="2909">
        <f>IF($A1943="","",IF($A1943&lt;&gt;21,"対象外",IF($AE1943&amp;""="00000000","在職",IF($AE1943&amp;""='DB_設定'!$C$4,"4/1喪失","その他喪失"))))</f>
      </c>
    </row>
    <row r="1944">
      <c r="DB1944" s="2909">
        <f>IF($A1944="","",IF($A1944&lt;&gt;21,"対象外",IF($AE1944&amp;""="00000000","在職",IF($AE1944&amp;""='DB_設定'!$C$4,"4/1喪失","その他喪失"))))</f>
      </c>
    </row>
    <row r="1945">
      <c r="DB1945" s="2909">
        <f>IF($A1945="","",IF($A1945&lt;&gt;21,"対象外",IF($AE1945&amp;""="00000000","在職",IF($AE1945&amp;""='DB_設定'!$C$4,"4/1喪失","その他喪失"))))</f>
      </c>
    </row>
    <row r="1946">
      <c r="DB1946" s="2909">
        <f>IF($A1946="","",IF($A1946&lt;&gt;21,"対象外",IF($AE1946&amp;""="00000000","在職",IF($AE1946&amp;""='DB_設定'!$C$4,"4/1喪失","その他喪失"))))</f>
      </c>
    </row>
    <row r="1947">
      <c r="DB1947" s="2909">
        <f>IF($A1947="","",IF($A1947&lt;&gt;21,"対象外",IF($AE1947&amp;""="00000000","在職",IF($AE1947&amp;""='DB_設定'!$C$4,"4/1喪失","その他喪失"))))</f>
      </c>
    </row>
    <row r="1948">
      <c r="DB1948" s="2909">
        <f>IF($A1948="","",IF($A1948&lt;&gt;21,"対象外",IF($AE1948&amp;""="00000000","在職",IF($AE1948&amp;""='DB_設定'!$C$4,"4/1喪失","その他喪失"))))</f>
      </c>
    </row>
    <row r="1949">
      <c r="DB1949" s="2909">
        <f>IF($A1949="","",IF($A1949&lt;&gt;21,"対象外",IF($AE1949&amp;""="00000000","在職",IF($AE1949&amp;""='DB_設定'!$C$4,"4/1喪失","その他喪失"))))</f>
      </c>
    </row>
    <row r="1950">
      <c r="DB1950" s="2909">
        <f>IF($A1950="","",IF($A1950&lt;&gt;21,"対象外",IF($AE1950&amp;""="00000000","在職",IF($AE1950&amp;""='DB_設定'!$C$4,"4/1喪失","その他喪失"))))</f>
      </c>
    </row>
    <row r="1951">
      <c r="DB1951" s="2909">
        <f>IF($A1951="","",IF($A1951&lt;&gt;21,"対象外",IF($AE1951&amp;""="00000000","在職",IF($AE1951&amp;""='DB_設定'!$C$4,"4/1喪失","その他喪失"))))</f>
      </c>
    </row>
    <row r="1952">
      <c r="DB1952" s="2909">
        <f>IF($A1952="","",IF($A1952&lt;&gt;21,"対象外",IF($AE1952&amp;""="00000000","在職",IF($AE1952&amp;""='DB_設定'!$C$4,"4/1喪失","その他喪失"))))</f>
      </c>
    </row>
    <row r="1953">
      <c r="DB1953" s="2909">
        <f>IF($A1953="","",IF($A1953&lt;&gt;21,"対象外",IF($AE1953&amp;""="00000000","在職",IF($AE1953&amp;""='DB_設定'!$C$4,"4/1喪失","その他喪失"))))</f>
      </c>
    </row>
    <row r="1954">
      <c r="DB1954" s="2909">
        <f>IF($A1954="","",IF($A1954&lt;&gt;21,"対象外",IF($AE1954&amp;""="00000000","在職",IF($AE1954&amp;""='DB_設定'!$C$4,"4/1喪失","その他喪失"))))</f>
      </c>
    </row>
    <row r="1955">
      <c r="DB1955" s="2909">
        <f>IF($A1955="","",IF($A1955&lt;&gt;21,"対象外",IF($AE1955&amp;""="00000000","在職",IF($AE1955&amp;""='DB_設定'!$C$4,"4/1喪失","その他喪失"))))</f>
      </c>
    </row>
    <row r="1956">
      <c r="DB1956" s="2909">
        <f>IF($A1956="","",IF($A1956&lt;&gt;21,"対象外",IF($AE1956&amp;""="00000000","在職",IF($AE1956&amp;""='DB_設定'!$C$4,"4/1喪失","その他喪失"))))</f>
      </c>
    </row>
    <row r="1957">
      <c r="DB1957" s="2909">
        <f>IF($A1957="","",IF($A1957&lt;&gt;21,"対象外",IF($AE1957&amp;""="00000000","在職",IF($AE1957&amp;""='DB_設定'!$C$4,"4/1喪失","その他喪失"))))</f>
      </c>
    </row>
    <row r="1958">
      <c r="DB1958" s="2909">
        <f>IF($A1958="","",IF($A1958&lt;&gt;21,"対象外",IF($AE1958&amp;""="00000000","在職",IF($AE1958&amp;""='DB_設定'!$C$4,"4/1喪失","その他喪失"))))</f>
      </c>
    </row>
    <row r="1959">
      <c r="DB1959" s="2909">
        <f>IF($A1959="","",IF($A1959&lt;&gt;21,"対象外",IF($AE1959&amp;""="00000000","在職",IF($AE1959&amp;""='DB_設定'!$C$4,"4/1喪失","その他喪失"))))</f>
      </c>
    </row>
    <row r="1960">
      <c r="DB1960" s="2909">
        <f>IF($A1960="","",IF($A1960&lt;&gt;21,"対象外",IF($AE1960&amp;""="00000000","在職",IF($AE1960&amp;""='DB_設定'!$C$4,"4/1喪失","その他喪失"))))</f>
      </c>
    </row>
    <row r="1961">
      <c r="DB1961" s="2909">
        <f>IF($A1961="","",IF($A1961&lt;&gt;21,"対象外",IF($AE1961&amp;""="00000000","在職",IF($AE1961&amp;""='DB_設定'!$C$4,"4/1喪失","その他喪失"))))</f>
      </c>
    </row>
    <row r="1962">
      <c r="DB1962" s="2909">
        <f>IF($A1962="","",IF($A1962&lt;&gt;21,"対象外",IF($AE1962&amp;""="00000000","在職",IF($AE1962&amp;""='DB_設定'!$C$4,"4/1喪失","その他喪失"))))</f>
      </c>
    </row>
    <row r="1963">
      <c r="DB1963" s="2909">
        <f>IF($A1963="","",IF($A1963&lt;&gt;21,"対象外",IF($AE1963&amp;""="00000000","在職",IF($AE1963&amp;""='DB_設定'!$C$4,"4/1喪失","その他喪失"))))</f>
      </c>
    </row>
    <row r="1964">
      <c r="DB1964" s="2909">
        <f>IF($A1964="","",IF($A1964&lt;&gt;21,"対象外",IF($AE1964&amp;""="00000000","在職",IF($AE1964&amp;""='DB_設定'!$C$4,"4/1喪失","その他喪失"))))</f>
      </c>
    </row>
    <row r="1965">
      <c r="DB1965" s="2909">
        <f>IF($A1965="","",IF($A1965&lt;&gt;21,"対象外",IF($AE1965&amp;""="00000000","在職",IF($AE1965&amp;""='DB_設定'!$C$4,"4/1喪失","その他喪失"))))</f>
      </c>
    </row>
    <row r="1966">
      <c r="DB1966" s="2909">
        <f>IF($A1966="","",IF($A1966&lt;&gt;21,"対象外",IF($AE1966&amp;""="00000000","在職",IF($AE1966&amp;""='DB_設定'!$C$4,"4/1喪失","その他喪失"))))</f>
      </c>
    </row>
    <row r="1967">
      <c r="DB1967" s="2909">
        <f>IF($A1967="","",IF($A1967&lt;&gt;21,"対象外",IF($AE1967&amp;""="00000000","在職",IF($AE1967&amp;""='DB_設定'!$C$4,"4/1喪失","その他喪失"))))</f>
      </c>
    </row>
    <row r="1968">
      <c r="DB1968" s="2909">
        <f>IF($A1968="","",IF($A1968&lt;&gt;21,"対象外",IF($AE1968&amp;""="00000000","在職",IF($AE1968&amp;""='DB_設定'!$C$4,"4/1喪失","その他喪失"))))</f>
      </c>
    </row>
    <row r="1969">
      <c r="DB1969" s="2909">
        <f>IF($A1969="","",IF($A1969&lt;&gt;21,"対象外",IF($AE1969&amp;""="00000000","在職",IF($AE1969&amp;""='DB_設定'!$C$4,"4/1喪失","その他喪失"))))</f>
      </c>
    </row>
    <row r="1970">
      <c r="DB1970" s="2909">
        <f>IF($A1970="","",IF($A1970&lt;&gt;21,"対象外",IF($AE1970&amp;""="00000000","在職",IF($AE1970&amp;""='DB_設定'!$C$4,"4/1喪失","その他喪失"))))</f>
      </c>
    </row>
    <row r="1971">
      <c r="DB1971" s="2909">
        <f>IF($A1971="","",IF($A1971&lt;&gt;21,"対象外",IF($AE1971&amp;""="00000000","在職",IF($AE1971&amp;""='DB_設定'!$C$4,"4/1喪失","その他喪失"))))</f>
      </c>
    </row>
    <row r="1972">
      <c r="DB1972" s="2909">
        <f>IF($A1972="","",IF($A1972&lt;&gt;21,"対象外",IF($AE1972&amp;""="00000000","在職",IF($AE1972&amp;""='DB_設定'!$C$4,"4/1喪失","その他喪失"))))</f>
      </c>
    </row>
    <row r="1973">
      <c r="DB1973" s="2909">
        <f>IF($A1973="","",IF($A1973&lt;&gt;21,"対象外",IF($AE1973&amp;""="00000000","在職",IF($AE1973&amp;""='DB_設定'!$C$4,"4/1喪失","その他喪失"))))</f>
      </c>
    </row>
    <row r="1974">
      <c r="DB1974" s="2909">
        <f>IF($A1974="","",IF($A1974&lt;&gt;21,"対象外",IF($AE1974&amp;""="00000000","在職",IF($AE1974&amp;""='DB_設定'!$C$4,"4/1喪失","その他喪失"))))</f>
      </c>
    </row>
    <row r="1975">
      <c r="DB1975" s="2909">
        <f>IF($A1975="","",IF($A1975&lt;&gt;21,"対象外",IF($AE1975&amp;""="00000000","在職",IF($AE1975&amp;""='DB_設定'!$C$4,"4/1喪失","その他喪失"))))</f>
      </c>
    </row>
    <row r="1976">
      <c r="DB1976" s="2909">
        <f>IF($A1976="","",IF($A1976&lt;&gt;21,"対象外",IF($AE1976&amp;""="00000000","在職",IF($AE1976&amp;""='DB_設定'!$C$4,"4/1喪失","その他喪失"))))</f>
      </c>
    </row>
    <row r="1977">
      <c r="DB1977" s="2909">
        <f>IF($A1977="","",IF($A1977&lt;&gt;21,"対象外",IF($AE1977&amp;""="00000000","在職",IF($AE1977&amp;""='DB_設定'!$C$4,"4/1喪失","その他喪失"))))</f>
      </c>
    </row>
    <row r="1978">
      <c r="DB1978" s="2909">
        <f>IF($A1978="","",IF($A1978&lt;&gt;21,"対象外",IF($AE1978&amp;""="00000000","在職",IF($AE1978&amp;""='DB_設定'!$C$4,"4/1喪失","その他喪失"))))</f>
      </c>
    </row>
    <row r="1979">
      <c r="DB1979" s="2909">
        <f>IF($A1979="","",IF($A1979&lt;&gt;21,"対象外",IF($AE1979&amp;""="00000000","在職",IF($AE1979&amp;""='DB_設定'!$C$4,"4/1喪失","その他喪失"))))</f>
      </c>
    </row>
    <row r="1980">
      <c r="DB1980" s="2909">
        <f>IF($A1980="","",IF($A1980&lt;&gt;21,"対象外",IF($AE1980&amp;""="00000000","在職",IF($AE1980&amp;""='DB_設定'!$C$4,"4/1喪失","その他喪失"))))</f>
      </c>
    </row>
    <row r="1981">
      <c r="DB1981" s="2909">
        <f>IF($A1981="","",IF($A1981&lt;&gt;21,"対象外",IF($AE1981&amp;""="00000000","在職",IF($AE1981&amp;""='DB_設定'!$C$4,"4/1喪失","その他喪失"))))</f>
      </c>
    </row>
    <row r="1982">
      <c r="DB1982" s="2909">
        <f>IF($A1982="","",IF($A1982&lt;&gt;21,"対象外",IF($AE1982&amp;""="00000000","在職",IF($AE1982&amp;""='DB_設定'!$C$4,"4/1喪失","その他喪失"))))</f>
      </c>
    </row>
    <row r="1983">
      <c r="DB1983" s="2909">
        <f>IF($A1983="","",IF($A1983&lt;&gt;21,"対象外",IF($AE1983&amp;""="00000000","在職",IF($AE1983&amp;""='DB_設定'!$C$4,"4/1喪失","その他喪失"))))</f>
      </c>
    </row>
    <row r="1984">
      <c r="DB1984" s="2909">
        <f>IF($A1984="","",IF($A1984&lt;&gt;21,"対象外",IF($AE1984&amp;""="00000000","在職",IF($AE1984&amp;""='DB_設定'!$C$4,"4/1喪失","その他喪失"))))</f>
      </c>
    </row>
    <row r="1985">
      <c r="DB1985" s="2909">
        <f>IF($A1985="","",IF($A1985&lt;&gt;21,"対象外",IF($AE1985&amp;""="00000000","在職",IF($AE1985&amp;""='DB_設定'!$C$4,"4/1喪失","その他喪失"))))</f>
      </c>
    </row>
    <row r="1986">
      <c r="DB1986" s="2909">
        <f>IF($A1986="","",IF($A1986&lt;&gt;21,"対象外",IF($AE1986&amp;""="00000000","在職",IF($AE1986&amp;""='DB_設定'!$C$4,"4/1喪失","その他喪失"))))</f>
      </c>
    </row>
    <row r="1987">
      <c r="DB1987" s="2909">
        <f>IF($A1987="","",IF($A1987&lt;&gt;21,"対象外",IF($AE1987&amp;""="00000000","在職",IF($AE1987&amp;""='DB_設定'!$C$4,"4/1喪失","その他喪失"))))</f>
      </c>
    </row>
    <row r="1988">
      <c r="DB1988" s="2909">
        <f>IF($A1988="","",IF($A1988&lt;&gt;21,"対象外",IF($AE1988&amp;""="00000000","在職",IF($AE1988&amp;""='DB_設定'!$C$4,"4/1喪失","その他喪失"))))</f>
      </c>
    </row>
    <row r="1989">
      <c r="DB1989" s="2909">
        <f>IF($A1989="","",IF($A1989&lt;&gt;21,"対象外",IF($AE1989&amp;""="00000000","在職",IF($AE1989&amp;""='DB_設定'!$C$4,"4/1喪失","その他喪失"))))</f>
      </c>
    </row>
    <row r="1990">
      <c r="DB1990" s="2909">
        <f>IF($A1990="","",IF($A1990&lt;&gt;21,"対象外",IF($AE1990&amp;""="00000000","在職",IF($AE1990&amp;""='DB_設定'!$C$4,"4/1喪失","その他喪失"))))</f>
      </c>
    </row>
    <row r="1991">
      <c r="DB1991" s="2909">
        <f>IF($A1991="","",IF($A1991&lt;&gt;21,"対象外",IF($AE1991&amp;""="00000000","在職",IF($AE1991&amp;""='DB_設定'!$C$4,"4/1喪失","その他喪失"))))</f>
      </c>
    </row>
    <row r="1992">
      <c r="DB1992" s="2909">
        <f>IF($A1992="","",IF($A1992&lt;&gt;21,"対象外",IF($AE1992&amp;""="00000000","在職",IF($AE1992&amp;""='DB_設定'!$C$4,"4/1喪失","その他喪失"))))</f>
      </c>
    </row>
    <row r="1993">
      <c r="DB1993" s="2909">
        <f>IF($A1993="","",IF($A1993&lt;&gt;21,"対象外",IF($AE1993&amp;""="00000000","在職",IF($AE1993&amp;""='DB_設定'!$C$4,"4/1喪失","その他喪失"))))</f>
      </c>
    </row>
    <row r="1994">
      <c r="DB1994" s="2909">
        <f>IF($A1994="","",IF($A1994&lt;&gt;21,"対象外",IF($AE1994&amp;""="00000000","在職",IF($AE1994&amp;""='DB_設定'!$C$4,"4/1喪失","その他喪失"))))</f>
      </c>
    </row>
    <row r="1995">
      <c r="DB1995" s="2909">
        <f>IF($A1995="","",IF($A1995&lt;&gt;21,"対象外",IF($AE1995&amp;""="00000000","在職",IF($AE1995&amp;""='DB_設定'!$C$4,"4/1喪失","その他喪失"))))</f>
      </c>
    </row>
    <row r="1996">
      <c r="DB1996" s="2909">
        <f>IF($A1996="","",IF($A1996&lt;&gt;21,"対象外",IF($AE1996&amp;""="00000000","在職",IF($AE1996&amp;""='DB_設定'!$C$4,"4/1喪失","その他喪失"))))</f>
      </c>
    </row>
    <row r="1997">
      <c r="DB1997" s="2909">
        <f>IF($A1997="","",IF($A1997&lt;&gt;21,"対象外",IF($AE1997&amp;""="00000000","在職",IF($AE1997&amp;""='DB_設定'!$C$4,"4/1喪失","その他喪失"))))</f>
      </c>
    </row>
    <row r="1998">
      <c r="DB1998" s="2909">
        <f>IF($A1998="","",IF($A1998&lt;&gt;21,"対象外",IF($AE1998&amp;""="00000000","在職",IF($AE1998&amp;""='DB_設定'!$C$4,"4/1喪失","その他喪失"))))</f>
      </c>
    </row>
    <row r="1999">
      <c r="DB1999" s="2909">
        <f>IF($A1999="","",IF($A1999&lt;&gt;21,"対象外",IF($AE1999&amp;""="00000000","在職",IF($AE1999&amp;""='DB_設定'!$C$4,"4/1喪失","その他喪失"))))</f>
      </c>
    </row>
    <row r="2000">
      <c r="DB2000" s="2909">
        <f>IF($A2000="","",IF($A2000&lt;&gt;21,"対象外",IF($AE2000&amp;""="00000000","在職",IF($AE2000&amp;""='DB_設定'!$C$4,"4/1喪失","その他喪失"))))</f>
      </c>
    </row>
    <row r="2001">
      <c r="DB2001" s="2909">
        <f>IF($A2001="","",IF($A2001&lt;&gt;21,"対象外",IF($AE2001&amp;""="00000000","在職",IF($AE2001&amp;""='DB_設定'!$C$4,"4/1喪失","その他喪失"))))</f>
      </c>
    </row>
    <row r="2002">
      <c r="DB2002" s="2909">
        <f>IF($A2002="","",IF($A2002&lt;&gt;21,"対象外",IF($AE2002&amp;""="00000000","在職",IF($AE2002&amp;""='DB_設定'!$C$4,"4/1喪失","その他喪失"))))</f>
      </c>
    </row>
    <row r="2003">
      <c r="DB2003" s="2909">
        <f>IF($A2003="","",IF($A2003&lt;&gt;21,"対象外",IF($AE2003&amp;""="00000000","在職",IF($AE2003&amp;""='DB_設定'!$C$4,"4/1喪失","その他喪失"))))</f>
      </c>
    </row>
    <row r="2004">
      <c r="DB2004" s="2909">
        <f>IF($A2004="","",IF($A2004&lt;&gt;21,"対象外",IF($AE2004&amp;""="00000000","在職",IF($AE2004&amp;""='DB_設定'!$C$4,"4/1喪失","その他喪失"))))</f>
      </c>
    </row>
    <row r="2005">
      <c r="DB2005" s="2909">
        <f>IF($A2005="","",IF($A2005&lt;&gt;21,"対象外",IF($AE2005&amp;""="00000000","在職",IF($AE2005&amp;""='DB_設定'!$C$4,"4/1喪失","その他喪失"))))</f>
      </c>
    </row>
    <row r="2006">
      <c r="DB2006" s="2909">
        <f>IF($A2006="","",IF($A2006&lt;&gt;21,"対象外",IF($AE2006&amp;""="00000000","在職",IF($AE2006&amp;""='DB_設定'!$C$4,"4/1喪失","その他喪失"))))</f>
      </c>
    </row>
    <row r="2007">
      <c r="DB2007" s="2909">
        <f>IF($A2007="","",IF($A2007&lt;&gt;21,"対象外",IF($AE2007&amp;""="00000000","在職",IF($AE2007&amp;""='DB_設定'!$C$4,"4/1喪失","その他喪失"))))</f>
      </c>
    </row>
    <row r="2008">
      <c r="DB2008" s="2909">
        <f>IF($A2008="","",IF($A2008&lt;&gt;21,"対象外",IF($AE2008&amp;""="00000000","在職",IF($AE2008&amp;""='DB_設定'!$C$4,"4/1喪失","その他喪失"))))</f>
      </c>
    </row>
    <row r="2009">
      <c r="DB2009" s="2909">
        <f>IF($A2009="","",IF($A2009&lt;&gt;21,"対象外",IF($AE2009&amp;""="00000000","在職",IF($AE2009&amp;""='DB_設定'!$C$4,"4/1喪失","その他喪失"))))</f>
      </c>
    </row>
    <row r="2010">
      <c r="DB2010" s="2909">
        <f>IF($A2010="","",IF($A2010&lt;&gt;21,"対象外",IF($AE2010&amp;""="00000000","在職",IF($AE2010&amp;""='DB_設定'!$C$4,"4/1喪失","その他喪失"))))</f>
      </c>
    </row>
    <row r="2011">
      <c r="DB2011" s="2909">
        <f>IF($A2011="","",IF($A2011&lt;&gt;21,"対象外",IF($AE2011&amp;""="00000000","在職",IF($AE2011&amp;""='DB_設定'!$C$4,"4/1喪失","その他喪失"))))</f>
      </c>
    </row>
    <row r="2012">
      <c r="DB2012" s="2909">
        <f>IF($A2012="","",IF($A2012&lt;&gt;21,"対象外",IF($AE2012&amp;""="00000000","在職",IF($AE2012&amp;""='DB_設定'!$C$4,"4/1喪失","その他喪失"))))</f>
      </c>
    </row>
    <row r="2013">
      <c r="DB2013" s="2909">
        <f>IF($A2013="","",IF($A2013&lt;&gt;21,"対象外",IF($AE2013&amp;""="00000000","在職",IF($AE2013&amp;""='DB_設定'!$C$4,"4/1喪失","その他喪失"))))</f>
      </c>
    </row>
    <row r="2014">
      <c r="DB2014" s="2909">
        <f>IF($A2014="","",IF($A2014&lt;&gt;21,"対象外",IF($AE2014&amp;""="00000000","在職",IF($AE2014&amp;""='DB_設定'!$C$4,"4/1喪失","その他喪失"))))</f>
      </c>
    </row>
    <row r="2015">
      <c r="DB2015" s="2909">
        <f>IF($A2015="","",IF($A2015&lt;&gt;21,"対象外",IF($AE2015&amp;""="00000000","在職",IF($AE2015&amp;""='DB_設定'!$C$4,"4/1喪失","その他喪失"))))</f>
      </c>
    </row>
    <row r="2016">
      <c r="DB2016" s="2909">
        <f>IF($A2016="","",IF($A2016&lt;&gt;21,"対象外",IF($AE2016&amp;""="00000000","在職",IF($AE2016&amp;""='DB_設定'!$C$4,"4/1喪失","その他喪失"))))</f>
      </c>
    </row>
    <row r="2017">
      <c r="DB2017" s="2909">
        <f>IF($A2017="","",IF($A2017&lt;&gt;21,"対象外",IF($AE2017&amp;""="00000000","在職",IF($AE2017&amp;""='DB_設定'!$C$4,"4/1喪失","その他喪失"))))</f>
      </c>
    </row>
    <row r="2018">
      <c r="DB2018" s="2909">
        <f>IF($A2018="","",IF($A2018&lt;&gt;21,"対象外",IF($AE2018&amp;""="00000000","在職",IF($AE2018&amp;""='DB_設定'!$C$4,"4/1喪失","その他喪失"))))</f>
      </c>
    </row>
    <row r="2019">
      <c r="DB2019" s="2909">
        <f>IF($A2019="","",IF($A2019&lt;&gt;21,"対象外",IF($AE2019&amp;""="00000000","在職",IF($AE2019&amp;""='DB_設定'!$C$4,"4/1喪失","その他喪失"))))</f>
      </c>
    </row>
    <row r="2020">
      <c r="DB2020" s="2909">
        <f>IF($A2020="","",IF($A2020&lt;&gt;21,"対象外",IF($AE2020&amp;""="00000000","在職",IF($AE2020&amp;""='DB_設定'!$C$4,"4/1喪失","その他喪失"))))</f>
      </c>
    </row>
    <row r="2021">
      <c r="DB2021" s="2909">
        <f>IF($A2021="","",IF($A2021&lt;&gt;21,"対象外",IF($AE2021&amp;""="00000000","在職",IF($AE2021&amp;""='DB_設定'!$C$4,"4/1喪失","その他喪失"))))</f>
      </c>
    </row>
    <row r="2022">
      <c r="DB2022" s="2909">
        <f>IF($A2022="","",IF($A2022&lt;&gt;21,"対象外",IF($AE2022&amp;""="00000000","在職",IF($AE2022&amp;""='DB_設定'!$C$4,"4/1喪失","その他喪失"))))</f>
      </c>
    </row>
    <row r="2023">
      <c r="DB2023" s="2909">
        <f>IF($A2023="","",IF($A2023&lt;&gt;21,"対象外",IF($AE2023&amp;""="00000000","在職",IF($AE2023&amp;""='DB_設定'!$C$4,"4/1喪失","その他喪失"))))</f>
      </c>
    </row>
    <row r="2024">
      <c r="DB2024" s="2909">
        <f>IF($A2024="","",IF($A2024&lt;&gt;21,"対象外",IF($AE2024&amp;""="00000000","在職",IF($AE2024&amp;""='DB_設定'!$C$4,"4/1喪失","その他喪失"))))</f>
      </c>
    </row>
    <row r="2025">
      <c r="DB2025" s="2909">
        <f>IF($A2025="","",IF($A2025&lt;&gt;21,"対象外",IF($AE2025&amp;""="00000000","在職",IF($AE2025&amp;""='DB_設定'!$C$4,"4/1喪失","その他喪失"))))</f>
      </c>
    </row>
    <row r="2026">
      <c r="DB2026" s="2909">
        <f>IF($A2026="","",IF($A2026&lt;&gt;21,"対象外",IF($AE2026&amp;""="00000000","在職",IF($AE2026&amp;""='DB_設定'!$C$4,"4/1喪失","その他喪失"))))</f>
      </c>
    </row>
    <row r="2027">
      <c r="DB2027" s="2909">
        <f>IF($A2027="","",IF($A2027&lt;&gt;21,"対象外",IF($AE2027&amp;""="00000000","在職",IF($AE2027&amp;""='DB_設定'!$C$4,"4/1喪失","その他喪失"))))</f>
      </c>
    </row>
    <row r="2028">
      <c r="DB2028" s="2909">
        <f>IF($A2028="","",IF($A2028&lt;&gt;21,"対象外",IF($AE2028&amp;""="00000000","在職",IF($AE2028&amp;""='DB_設定'!$C$4,"4/1喪失","その他喪失"))))</f>
      </c>
    </row>
    <row r="2029">
      <c r="DB2029" s="2909">
        <f>IF($A2029="","",IF($A2029&lt;&gt;21,"対象外",IF($AE2029&amp;""="00000000","在職",IF($AE2029&amp;""='DB_設定'!$C$4,"4/1喪失","その他喪失"))))</f>
      </c>
    </row>
    <row r="2030">
      <c r="DB2030" s="2909">
        <f>IF($A2030="","",IF($A2030&lt;&gt;21,"対象外",IF($AE2030&amp;""="00000000","在職",IF($AE2030&amp;""='DB_設定'!$C$4,"4/1喪失","その他喪失"))))</f>
      </c>
    </row>
    <row r="2031">
      <c r="DB2031" s="2909">
        <f>IF($A2031="","",IF($A2031&lt;&gt;21,"対象外",IF($AE2031&amp;""="00000000","在職",IF($AE2031&amp;""='DB_設定'!$C$4,"4/1喪失","その他喪失"))))</f>
      </c>
    </row>
    <row r="2032">
      <c r="DB2032" s="2909">
        <f>IF($A2032="","",IF($A2032&lt;&gt;21,"対象外",IF($AE2032&amp;""="00000000","在職",IF($AE2032&amp;""='DB_設定'!$C$4,"4/1喪失","その他喪失"))))</f>
      </c>
    </row>
    <row r="2033">
      <c r="DB2033" s="2909">
        <f>IF($A2033="","",IF($A2033&lt;&gt;21,"対象外",IF($AE2033&amp;""="00000000","在職",IF($AE2033&amp;""='DB_設定'!$C$4,"4/1喪失","その他喪失"))))</f>
      </c>
    </row>
    <row r="2034">
      <c r="DB2034" s="2909">
        <f>IF($A2034="","",IF($A2034&lt;&gt;21,"対象外",IF($AE2034&amp;""="00000000","在職",IF($AE2034&amp;""='DB_設定'!$C$4,"4/1喪失","その他喪失"))))</f>
      </c>
    </row>
    <row r="2035">
      <c r="DB2035" s="2909">
        <f>IF($A2035="","",IF($A2035&lt;&gt;21,"対象外",IF($AE2035&amp;""="00000000","在職",IF($AE2035&amp;""='DB_設定'!$C$4,"4/1喪失","その他喪失"))))</f>
      </c>
    </row>
    <row r="2036">
      <c r="DB2036" s="2909">
        <f>IF($A2036="","",IF($A2036&lt;&gt;21,"対象外",IF($AE2036&amp;""="00000000","在職",IF($AE2036&amp;""='DB_設定'!$C$4,"4/1喪失","その他喪失"))))</f>
      </c>
    </row>
    <row r="2037">
      <c r="DB2037" s="2909">
        <f>IF($A2037="","",IF($A2037&lt;&gt;21,"対象外",IF($AE2037&amp;""="00000000","在職",IF($AE2037&amp;""='DB_設定'!$C$4,"4/1喪失","その他喪失"))))</f>
      </c>
    </row>
    <row r="2038">
      <c r="DB2038" s="2909">
        <f>IF($A2038="","",IF($A2038&lt;&gt;21,"対象外",IF($AE2038&amp;""="00000000","在職",IF($AE2038&amp;""='DB_設定'!$C$4,"4/1喪失","その他喪失"))))</f>
      </c>
    </row>
    <row r="2039">
      <c r="DB2039" s="2909">
        <f>IF($A2039="","",IF($A2039&lt;&gt;21,"対象外",IF($AE2039&amp;""="00000000","在職",IF($AE2039&amp;""='DB_設定'!$C$4,"4/1喪失","その他喪失"))))</f>
      </c>
    </row>
    <row r="2040">
      <c r="DB2040" s="2909">
        <f>IF($A2040="","",IF($A2040&lt;&gt;21,"対象外",IF($AE2040&amp;""="00000000","在職",IF($AE2040&amp;""='DB_設定'!$C$4,"4/1喪失","その他喪失"))))</f>
      </c>
    </row>
    <row r="2041">
      <c r="DB2041" s="2909">
        <f>IF($A2041="","",IF($A2041&lt;&gt;21,"対象外",IF($AE2041&amp;""="00000000","在職",IF($AE2041&amp;""='DB_設定'!$C$4,"4/1喪失","その他喪失"))))</f>
      </c>
    </row>
    <row r="2042">
      <c r="DB2042" s="2909">
        <f>IF($A2042="","",IF($A2042&lt;&gt;21,"対象外",IF($AE2042&amp;""="00000000","在職",IF($AE2042&amp;""='DB_設定'!$C$4,"4/1喪失","その他喪失"))))</f>
      </c>
    </row>
    <row r="2043">
      <c r="DB2043" s="2909">
        <f>IF($A2043="","",IF($A2043&lt;&gt;21,"対象外",IF($AE2043&amp;""="00000000","在職",IF($AE2043&amp;""='DB_設定'!$C$4,"4/1喪失","その他喪失"))))</f>
      </c>
    </row>
    <row r="2044">
      <c r="DB2044" s="2909">
        <f>IF($A2044="","",IF($A2044&lt;&gt;21,"対象外",IF($AE2044&amp;""="00000000","在職",IF($AE2044&amp;""='DB_設定'!$C$4,"4/1喪失","その他喪失"))))</f>
      </c>
    </row>
    <row r="2045">
      <c r="DB2045" s="2909">
        <f>IF($A2045="","",IF($A2045&lt;&gt;21,"対象外",IF($AE2045&amp;""="00000000","在職",IF($AE2045&amp;""='DB_設定'!$C$4,"4/1喪失","その他喪失"))))</f>
      </c>
    </row>
    <row r="2046">
      <c r="DB2046" s="2909">
        <f>IF($A2046="","",IF($A2046&lt;&gt;21,"対象外",IF($AE2046&amp;""="00000000","在職",IF($AE2046&amp;""='DB_設定'!$C$4,"4/1喪失","その他喪失"))))</f>
      </c>
    </row>
    <row r="2047">
      <c r="DB2047" s="2909">
        <f>IF($A2047="","",IF($A2047&lt;&gt;21,"対象外",IF($AE2047&amp;""="00000000","在職",IF($AE2047&amp;""='DB_設定'!$C$4,"4/1喪失","その他喪失"))))</f>
      </c>
    </row>
    <row r="2048">
      <c r="DB2048" s="2909">
        <f>IF($A2048="","",IF($A2048&lt;&gt;21,"対象外",IF($AE2048&amp;""="00000000","在職",IF($AE2048&amp;""='DB_設定'!$C$4,"4/1喪失","その他喪失"))))</f>
      </c>
    </row>
    <row r="2049">
      <c r="DB2049" s="2909">
        <f>IF($A2049="","",IF($A2049&lt;&gt;21,"対象外",IF($AE2049&amp;""="00000000","在職",IF($AE2049&amp;""='DB_設定'!$C$4,"4/1喪失","その他喪失"))))</f>
      </c>
    </row>
    <row r="2050">
      <c r="DB2050" s="2909">
        <f>IF($A2050="","",IF($A2050&lt;&gt;21,"対象外",IF($AE2050&amp;""="00000000","在職",IF($AE2050&amp;""='DB_設定'!$C$4,"4/1喪失","その他喪失"))))</f>
      </c>
    </row>
    <row r="2051">
      <c r="DB2051" s="2909">
        <f>IF($A2051="","",IF($A2051&lt;&gt;21,"対象外",IF($AE2051&amp;""="00000000","在職",IF($AE2051&amp;""='DB_設定'!$C$4,"4/1喪失","その他喪失"))))</f>
      </c>
    </row>
    <row r="2052">
      <c r="DB2052" s="2909">
        <f>IF($A2052="","",IF($A2052&lt;&gt;21,"対象外",IF($AE2052&amp;""="00000000","在職",IF($AE2052&amp;""='DB_設定'!$C$4,"4/1喪失","その他喪失"))))</f>
      </c>
    </row>
    <row r="2053">
      <c r="DB2053" s="2909">
        <f>IF($A2053="","",IF($A2053&lt;&gt;21,"対象外",IF($AE2053&amp;""="00000000","在職",IF($AE2053&amp;""='DB_設定'!$C$4,"4/1喪失","その他喪失"))))</f>
      </c>
    </row>
    <row r="2054">
      <c r="DB2054" s="2909">
        <f>IF($A2054="","",IF($A2054&lt;&gt;21,"対象外",IF($AE2054&amp;""="00000000","在職",IF($AE2054&amp;""='DB_設定'!$C$4,"4/1喪失","その他喪失"))))</f>
      </c>
    </row>
    <row r="2055">
      <c r="DB2055" s="2909">
        <f>IF($A2055="","",IF($A2055&lt;&gt;21,"対象外",IF($AE2055&amp;""="00000000","在職",IF($AE2055&amp;""='DB_設定'!$C$4,"4/1喪失","その他喪失"))))</f>
      </c>
    </row>
    <row r="2056">
      <c r="DB2056" s="2909">
        <f>IF($A2056="","",IF($A2056&lt;&gt;21,"対象外",IF($AE2056&amp;""="00000000","在職",IF($AE2056&amp;""='DB_設定'!$C$4,"4/1喪失","その他喪失"))))</f>
      </c>
    </row>
    <row r="2057">
      <c r="DB2057" s="2909">
        <f>IF($A2057="","",IF($A2057&lt;&gt;21,"対象外",IF($AE2057&amp;""="00000000","在職",IF($AE2057&amp;""='DB_設定'!$C$4,"4/1喪失","その他喪失"))))</f>
      </c>
    </row>
    <row r="2058">
      <c r="DB2058" s="2909">
        <f>IF($A2058="","",IF($A2058&lt;&gt;21,"対象外",IF($AE2058&amp;""="00000000","在職",IF($AE2058&amp;""='DB_設定'!$C$4,"4/1喪失","その他喪失"))))</f>
      </c>
    </row>
    <row r="2059">
      <c r="DB2059" s="2909">
        <f>IF($A2059="","",IF($A2059&lt;&gt;21,"対象外",IF($AE2059&amp;""="00000000","在職",IF($AE2059&amp;""='DB_設定'!$C$4,"4/1喪失","その他喪失"))))</f>
      </c>
    </row>
    <row r="2060">
      <c r="DB2060" s="2909">
        <f>IF($A2060="","",IF($A2060&lt;&gt;21,"対象外",IF($AE2060&amp;""="00000000","在職",IF($AE2060&amp;""='DB_設定'!$C$4,"4/1喪失","その他喪失"))))</f>
      </c>
    </row>
    <row r="2061">
      <c r="DB2061" s="2909">
        <f>IF($A2061="","",IF($A2061&lt;&gt;21,"対象外",IF($AE2061&amp;""="00000000","在職",IF($AE2061&amp;""='DB_設定'!$C$4,"4/1喪失","その他喪失"))))</f>
      </c>
    </row>
    <row r="2062">
      <c r="DB2062" s="2909">
        <f>IF($A2062="","",IF($A2062&lt;&gt;21,"対象外",IF($AE2062&amp;""="00000000","在職",IF($AE2062&amp;""='DB_設定'!$C$4,"4/1喪失","その他喪失"))))</f>
      </c>
    </row>
    <row r="2063">
      <c r="DB2063" s="2909">
        <f>IF($A2063="","",IF($A2063&lt;&gt;21,"対象外",IF($AE2063&amp;""="00000000","在職",IF($AE2063&amp;""='DB_設定'!$C$4,"4/1喪失","その他喪失"))))</f>
      </c>
    </row>
    <row r="2064">
      <c r="DB2064" s="2909">
        <f>IF($A2064="","",IF($A2064&lt;&gt;21,"対象外",IF($AE2064&amp;""="00000000","在職",IF($AE2064&amp;""='DB_設定'!$C$4,"4/1喪失","その他喪失"))))</f>
      </c>
    </row>
    <row r="2065">
      <c r="DB2065" s="2909">
        <f>IF($A2065="","",IF($A2065&lt;&gt;21,"対象外",IF($AE2065&amp;""="00000000","在職",IF($AE2065&amp;""='DB_設定'!$C$4,"4/1喪失","その他喪失"))))</f>
      </c>
    </row>
    <row r="2066">
      <c r="DB2066" s="2909">
        <f>IF($A2066="","",IF($A2066&lt;&gt;21,"対象外",IF($AE2066&amp;""="00000000","在職",IF($AE2066&amp;""='DB_設定'!$C$4,"4/1喪失","その他喪失"))))</f>
      </c>
    </row>
    <row r="2067">
      <c r="DB2067" s="2909">
        <f>IF($A2067="","",IF($A2067&lt;&gt;21,"対象外",IF($AE2067&amp;""="00000000","在職",IF($AE2067&amp;""='DB_設定'!$C$4,"4/1喪失","その他喪失"))))</f>
      </c>
    </row>
    <row r="2068">
      <c r="DB2068" s="2909">
        <f>IF($A2068="","",IF($A2068&lt;&gt;21,"対象外",IF($AE2068&amp;""="00000000","在職",IF($AE2068&amp;""='DB_設定'!$C$4,"4/1喪失","その他喪失"))))</f>
      </c>
    </row>
    <row r="2069">
      <c r="DB2069" s="2909">
        <f>IF($A2069="","",IF($A2069&lt;&gt;21,"対象外",IF($AE2069&amp;""="00000000","在職",IF($AE2069&amp;""='DB_設定'!$C$4,"4/1喪失","その他喪失"))))</f>
      </c>
    </row>
    <row r="2070">
      <c r="DB2070" s="2909">
        <f>IF($A2070="","",IF($A2070&lt;&gt;21,"対象外",IF($AE2070&amp;""="00000000","在職",IF($AE2070&amp;""='DB_設定'!$C$4,"4/1喪失","その他喪失"))))</f>
      </c>
    </row>
    <row r="2071">
      <c r="DB2071" s="2909">
        <f>IF($A2071="","",IF($A2071&lt;&gt;21,"対象外",IF($AE2071&amp;""="00000000","在職",IF($AE2071&amp;""='DB_設定'!$C$4,"4/1喪失","その他喪失"))))</f>
      </c>
    </row>
    <row r="2072">
      <c r="DB2072" s="2909">
        <f>IF($A2072="","",IF($A2072&lt;&gt;21,"対象外",IF($AE2072&amp;""="00000000","在職",IF($AE2072&amp;""='DB_設定'!$C$4,"4/1喪失","その他喪失"))))</f>
      </c>
    </row>
    <row r="2073">
      <c r="DB2073" s="2909">
        <f>IF($A2073="","",IF($A2073&lt;&gt;21,"対象外",IF($AE2073&amp;""="00000000","在職",IF($AE2073&amp;""='DB_設定'!$C$4,"4/1喪失","その他喪失"))))</f>
      </c>
    </row>
    <row r="2074">
      <c r="DB2074" s="2909">
        <f>IF($A2074="","",IF($A2074&lt;&gt;21,"対象外",IF($AE2074&amp;""="00000000","在職",IF($AE2074&amp;""='DB_設定'!$C$4,"4/1喪失","その他喪失"))))</f>
      </c>
    </row>
    <row r="2075">
      <c r="DB2075" s="2909">
        <f>IF($A2075="","",IF($A2075&lt;&gt;21,"対象外",IF($AE2075&amp;""="00000000","在職",IF($AE2075&amp;""='DB_設定'!$C$4,"4/1喪失","その他喪失"))))</f>
      </c>
    </row>
    <row r="2076">
      <c r="DB2076" s="2909">
        <f>IF($A2076="","",IF($A2076&lt;&gt;21,"対象外",IF($AE2076&amp;""="00000000","在職",IF($AE2076&amp;""='DB_設定'!$C$4,"4/1喪失","その他喪失"))))</f>
      </c>
    </row>
    <row r="2077">
      <c r="DB2077" s="2909">
        <f>IF($A2077="","",IF($A2077&lt;&gt;21,"対象外",IF($AE2077&amp;""="00000000","在職",IF($AE2077&amp;""='DB_設定'!$C$4,"4/1喪失","その他喪失"))))</f>
      </c>
    </row>
    <row r="2078">
      <c r="DB2078" s="2909">
        <f>IF($A2078="","",IF($A2078&lt;&gt;21,"対象外",IF($AE2078&amp;""="00000000","在職",IF($AE2078&amp;""='DB_設定'!$C$4,"4/1喪失","その他喪失"))))</f>
      </c>
    </row>
    <row r="2079">
      <c r="DB2079" s="2909">
        <f>IF($A2079="","",IF($A2079&lt;&gt;21,"対象外",IF($AE2079&amp;""="00000000","在職",IF($AE2079&amp;""='DB_設定'!$C$4,"4/1喪失","その他喪失"))))</f>
      </c>
    </row>
    <row r="2080">
      <c r="DB2080" s="2909">
        <f>IF($A2080="","",IF($A2080&lt;&gt;21,"対象外",IF($AE2080&amp;""="00000000","在職",IF($AE2080&amp;""='DB_設定'!$C$4,"4/1喪失","その他喪失"))))</f>
      </c>
    </row>
    <row r="2081">
      <c r="DB2081" s="2909">
        <f>IF($A2081="","",IF($A2081&lt;&gt;21,"対象外",IF($AE2081&amp;""="00000000","在職",IF($AE2081&amp;""='DB_設定'!$C$4,"4/1喪失","その他喪失"))))</f>
      </c>
    </row>
    <row r="2082">
      <c r="DB2082" s="2909">
        <f>IF($A2082="","",IF($A2082&lt;&gt;21,"対象外",IF($AE2082&amp;""="00000000","在職",IF($AE2082&amp;""='DB_設定'!$C$4,"4/1喪失","その他喪失"))))</f>
      </c>
    </row>
    <row r="2083">
      <c r="DB2083" s="2909">
        <f>IF($A2083="","",IF($A2083&lt;&gt;21,"対象外",IF($AE2083&amp;""="00000000","在職",IF($AE2083&amp;""='DB_設定'!$C$4,"4/1喪失","その他喪失"))))</f>
      </c>
    </row>
    <row r="2084">
      <c r="DB2084" s="2909">
        <f>IF($A2084="","",IF($A2084&lt;&gt;21,"対象外",IF($AE2084&amp;""="00000000","在職",IF($AE2084&amp;""='DB_設定'!$C$4,"4/1喪失","その他喪失"))))</f>
      </c>
    </row>
    <row r="2085">
      <c r="DB2085" s="2909">
        <f>IF($A2085="","",IF($A2085&lt;&gt;21,"対象外",IF($AE2085&amp;""="00000000","在職",IF($AE2085&amp;""='DB_設定'!$C$4,"4/1喪失","その他喪失"))))</f>
      </c>
    </row>
    <row r="2086">
      <c r="DB2086" s="2909">
        <f>IF($A2086="","",IF($A2086&lt;&gt;21,"対象外",IF($AE2086&amp;""="00000000","在職",IF($AE2086&amp;""='DB_設定'!$C$4,"4/1喪失","その他喪失"))))</f>
      </c>
    </row>
    <row r="2087">
      <c r="DB2087" s="2909">
        <f>IF($A2087="","",IF($A2087&lt;&gt;21,"対象外",IF($AE2087&amp;""="00000000","在職",IF($AE2087&amp;""='DB_設定'!$C$4,"4/1喪失","その他喪失"))))</f>
      </c>
    </row>
    <row r="2088">
      <c r="DB2088" s="2909">
        <f>IF($A2088="","",IF($A2088&lt;&gt;21,"対象外",IF($AE2088&amp;""="00000000","在職",IF($AE2088&amp;""='DB_設定'!$C$4,"4/1喪失","その他喪失"))))</f>
      </c>
    </row>
    <row r="2089">
      <c r="DB2089" s="2909">
        <f>IF($A2089="","",IF($A2089&lt;&gt;21,"対象外",IF($AE2089&amp;""="00000000","在職",IF($AE2089&amp;""='DB_設定'!$C$4,"4/1喪失","その他喪失"))))</f>
      </c>
    </row>
    <row r="2090">
      <c r="DB2090" s="2909">
        <f>IF($A2090="","",IF($A2090&lt;&gt;21,"対象外",IF($AE2090&amp;""="00000000","在職",IF($AE2090&amp;""='DB_設定'!$C$4,"4/1喪失","その他喪失"))))</f>
      </c>
    </row>
    <row r="2091">
      <c r="DB2091" s="2909">
        <f>IF($A2091="","",IF($A2091&lt;&gt;21,"対象外",IF($AE2091&amp;""="00000000","在職",IF($AE2091&amp;""='DB_設定'!$C$4,"4/1喪失","その他喪失"))))</f>
      </c>
    </row>
    <row r="2092">
      <c r="DB2092" s="2909">
        <f>IF($A2092="","",IF($A2092&lt;&gt;21,"対象外",IF($AE2092&amp;""="00000000","在職",IF($AE2092&amp;""='DB_設定'!$C$4,"4/1喪失","その他喪失"))))</f>
      </c>
    </row>
    <row r="2093">
      <c r="DB2093" s="2909">
        <f>IF($A2093="","",IF($A2093&lt;&gt;21,"対象外",IF($AE2093&amp;""="00000000","在職",IF($AE2093&amp;""='DB_設定'!$C$4,"4/1喪失","その他喪失"))))</f>
      </c>
    </row>
    <row r="2094">
      <c r="DB2094" s="2909">
        <f>IF($A2094="","",IF($A2094&lt;&gt;21,"対象外",IF($AE2094&amp;""="00000000","在職",IF($AE2094&amp;""='DB_設定'!$C$4,"4/1喪失","その他喪失"))))</f>
      </c>
    </row>
    <row r="2095">
      <c r="DB2095" s="2909">
        <f>IF($A2095="","",IF($A2095&lt;&gt;21,"対象外",IF($AE2095&amp;""="00000000","在職",IF($AE2095&amp;""='DB_設定'!$C$4,"4/1喪失","その他喪失"))))</f>
      </c>
    </row>
    <row r="2096">
      <c r="DB2096" s="2909">
        <f>IF($A2096="","",IF($A2096&lt;&gt;21,"対象外",IF($AE2096&amp;""="00000000","在職",IF($AE2096&amp;""='DB_設定'!$C$4,"4/1喪失","その他喪失"))))</f>
      </c>
    </row>
    <row r="2097">
      <c r="DB2097" s="2909">
        <f>IF($A2097="","",IF($A2097&lt;&gt;21,"対象外",IF($AE2097&amp;""="00000000","在職",IF($AE2097&amp;""='DB_設定'!$C$4,"4/1喪失","その他喪失"))))</f>
      </c>
    </row>
    <row r="2098">
      <c r="DB2098" s="2909">
        <f>IF($A2098="","",IF($A2098&lt;&gt;21,"対象外",IF($AE2098&amp;""="00000000","在職",IF($AE2098&amp;""='DB_設定'!$C$4,"4/1喪失","その他喪失"))))</f>
      </c>
    </row>
    <row r="2099">
      <c r="DB2099" s="2909">
        <f>IF($A2099="","",IF($A2099&lt;&gt;21,"対象外",IF($AE2099&amp;""="00000000","在職",IF($AE2099&amp;""='DB_設定'!$C$4,"4/1喪失","その他喪失"))))</f>
      </c>
    </row>
    <row r="2100">
      <c r="DB2100" s="2909">
        <f>IF($A2100="","",IF($A2100&lt;&gt;21,"対象外",IF($AE2100&amp;""="00000000","在職",IF($AE2100&amp;""='DB_設定'!$C$4,"4/1喪失","その他喪失"))))</f>
      </c>
    </row>
    <row r="2101">
      <c r="DB2101" s="2909">
        <f>IF($A2101="","",IF($A2101&lt;&gt;21,"対象外",IF($AE2101&amp;""="00000000","在職",IF($AE2101&amp;""='DB_設定'!$C$4,"4/1喪失","その他喪失"))))</f>
      </c>
    </row>
    <row r="2102">
      <c r="DB2102" s="2909">
        <f>IF($A2102="","",IF($A2102&lt;&gt;21,"対象外",IF($AE2102&amp;""="00000000","在職",IF($AE2102&amp;""='DB_設定'!$C$4,"4/1喪失","その他喪失"))))</f>
      </c>
    </row>
    <row r="2103">
      <c r="DB2103" s="2909">
        <f>IF($A2103="","",IF($A2103&lt;&gt;21,"対象外",IF($AE2103&amp;""="00000000","在職",IF($AE2103&amp;""='DB_設定'!$C$4,"4/1喪失","その他喪失"))))</f>
      </c>
    </row>
    <row r="2104">
      <c r="DB2104" s="2909">
        <f>IF($A2104="","",IF($A2104&lt;&gt;21,"対象外",IF($AE2104&amp;""="00000000","在職",IF($AE2104&amp;""='DB_設定'!$C$4,"4/1喪失","その他喪失"))))</f>
      </c>
    </row>
    <row r="2105">
      <c r="DB2105" s="2909">
        <f>IF($A2105="","",IF($A2105&lt;&gt;21,"対象外",IF($AE2105&amp;""="00000000","在職",IF($AE2105&amp;""='DB_設定'!$C$4,"4/1喪失","その他喪失"))))</f>
      </c>
    </row>
    <row r="2106">
      <c r="DB2106" s="2909">
        <f>IF($A2106="","",IF($A2106&lt;&gt;21,"対象外",IF($AE2106&amp;""="00000000","在職",IF($AE2106&amp;""='DB_設定'!$C$4,"4/1喪失","その他喪失"))))</f>
      </c>
    </row>
    <row r="2107">
      <c r="DB2107" s="2909">
        <f>IF($A2107="","",IF($A2107&lt;&gt;21,"対象外",IF($AE2107&amp;""="00000000","在職",IF($AE2107&amp;""='DB_設定'!$C$4,"4/1喪失","その他喪失"))))</f>
      </c>
    </row>
    <row r="2108">
      <c r="DB2108" s="2909">
        <f>IF($A2108="","",IF($A2108&lt;&gt;21,"対象外",IF($AE2108&amp;""="00000000","在職",IF($AE2108&amp;""='DB_設定'!$C$4,"4/1喪失","その他喪失"))))</f>
      </c>
    </row>
    <row r="2109">
      <c r="DB2109" s="2909">
        <f>IF($A2109="","",IF($A2109&lt;&gt;21,"対象外",IF($AE2109&amp;""="00000000","在職",IF($AE2109&amp;""='DB_設定'!$C$4,"4/1喪失","その他喪失"))))</f>
      </c>
    </row>
    <row r="2110">
      <c r="DB2110" s="2909">
        <f>IF($A2110="","",IF($A2110&lt;&gt;21,"対象外",IF($AE2110&amp;""="00000000","在職",IF($AE2110&amp;""='DB_設定'!$C$4,"4/1喪失","その他喪失"))))</f>
      </c>
    </row>
    <row r="2111">
      <c r="DB2111" s="2909">
        <f>IF($A2111="","",IF($A2111&lt;&gt;21,"対象外",IF($AE2111&amp;""="00000000","在職",IF($AE2111&amp;""='DB_設定'!$C$4,"4/1喪失","その他喪失"))))</f>
      </c>
    </row>
    <row r="2112">
      <c r="DB2112" s="2909">
        <f>IF($A2112="","",IF($A2112&lt;&gt;21,"対象外",IF($AE2112&amp;""="00000000","在職",IF($AE2112&amp;""='DB_設定'!$C$4,"4/1喪失","その他喪失"))))</f>
      </c>
    </row>
    <row r="2113">
      <c r="DB2113" s="2909">
        <f>IF($A2113="","",IF($A2113&lt;&gt;21,"対象外",IF($AE2113&amp;""="00000000","在職",IF($AE2113&amp;""='DB_設定'!$C$4,"4/1喪失","その他喪失"))))</f>
      </c>
    </row>
    <row r="2114">
      <c r="DB2114" s="2909">
        <f>IF($A2114="","",IF($A2114&lt;&gt;21,"対象外",IF($AE2114&amp;""="00000000","在職",IF($AE2114&amp;""='DB_設定'!$C$4,"4/1喪失","その他喪失"))))</f>
      </c>
    </row>
    <row r="2115">
      <c r="DB2115" s="2909">
        <f>IF($A2115="","",IF($A2115&lt;&gt;21,"対象外",IF($AE2115&amp;""="00000000","在職",IF($AE2115&amp;""='DB_設定'!$C$4,"4/1喪失","その他喪失"))))</f>
      </c>
    </row>
    <row r="2116">
      <c r="DB2116" s="2909">
        <f>IF($A2116="","",IF($A2116&lt;&gt;21,"対象外",IF($AE2116&amp;""="00000000","在職",IF($AE2116&amp;""='DB_設定'!$C$4,"4/1喪失","その他喪失"))))</f>
      </c>
    </row>
    <row r="2117">
      <c r="DB2117" s="2909">
        <f>IF($A2117="","",IF($A2117&lt;&gt;21,"対象外",IF($AE2117&amp;""="00000000","在職",IF($AE2117&amp;""='DB_設定'!$C$4,"4/1喪失","その他喪失"))))</f>
      </c>
    </row>
    <row r="2118">
      <c r="DB2118" s="2909">
        <f>IF($A2118="","",IF($A2118&lt;&gt;21,"対象外",IF($AE2118&amp;""="00000000","在職",IF($AE2118&amp;""='DB_設定'!$C$4,"4/1喪失","その他喪失"))))</f>
      </c>
    </row>
    <row r="2119">
      <c r="DB2119" s="2909">
        <f>IF($A2119="","",IF($A2119&lt;&gt;21,"対象外",IF($AE2119&amp;""="00000000","在職",IF($AE2119&amp;""='DB_設定'!$C$4,"4/1喪失","その他喪失"))))</f>
      </c>
    </row>
    <row r="2120">
      <c r="DB2120" s="2909">
        <f>IF($A2120="","",IF($A2120&lt;&gt;21,"対象外",IF($AE2120&amp;""="00000000","在職",IF($AE2120&amp;""='DB_設定'!$C$4,"4/1喪失","その他喪失"))))</f>
      </c>
    </row>
    <row r="2121">
      <c r="DB2121" s="2909">
        <f>IF($A2121="","",IF($A2121&lt;&gt;21,"対象外",IF($AE2121&amp;""="00000000","在職",IF($AE2121&amp;""='DB_設定'!$C$4,"4/1喪失","その他喪失"))))</f>
      </c>
    </row>
    <row r="2122">
      <c r="DB2122" s="2909">
        <f>IF($A2122="","",IF($A2122&lt;&gt;21,"対象外",IF($AE2122&amp;""="00000000","在職",IF($AE2122&amp;""='DB_設定'!$C$4,"4/1喪失","その他喪失"))))</f>
      </c>
    </row>
    <row r="2123">
      <c r="DB2123" s="2909">
        <f>IF($A2123="","",IF($A2123&lt;&gt;21,"対象外",IF($AE2123&amp;""="00000000","在職",IF($AE2123&amp;""='DB_設定'!$C$4,"4/1喪失","その他喪失"))))</f>
      </c>
    </row>
    <row r="2124">
      <c r="DB2124" s="2909">
        <f>IF($A2124="","",IF($A2124&lt;&gt;21,"対象外",IF($AE2124&amp;""="00000000","在職",IF($AE2124&amp;""='DB_設定'!$C$4,"4/1喪失","その他喪失"))))</f>
      </c>
    </row>
    <row r="2125">
      <c r="DB2125" s="2909">
        <f>IF($A2125="","",IF($A2125&lt;&gt;21,"対象外",IF($AE2125&amp;""="00000000","在職",IF($AE2125&amp;""='DB_設定'!$C$4,"4/1喪失","その他喪失"))))</f>
      </c>
    </row>
    <row r="2126">
      <c r="DB2126" s="2909">
        <f>IF($A2126="","",IF($A2126&lt;&gt;21,"対象外",IF($AE2126&amp;""="00000000","在職",IF($AE2126&amp;""='DB_設定'!$C$4,"4/1喪失","その他喪失"))))</f>
      </c>
    </row>
    <row r="2127">
      <c r="DB2127" s="2909">
        <f>IF($A2127="","",IF($A2127&lt;&gt;21,"対象外",IF($AE2127&amp;""="00000000","在職",IF($AE2127&amp;""='DB_設定'!$C$4,"4/1喪失","その他喪失"))))</f>
      </c>
    </row>
    <row r="2128">
      <c r="DB2128" s="2909">
        <f>IF($A2128="","",IF($A2128&lt;&gt;21,"対象外",IF($AE2128&amp;""="00000000","在職",IF($AE2128&amp;""='DB_設定'!$C$4,"4/1喪失","その他喪失"))))</f>
      </c>
    </row>
    <row r="2129">
      <c r="DB2129" s="2909">
        <f>IF($A2129="","",IF($A2129&lt;&gt;21,"対象外",IF($AE2129&amp;""="00000000","在職",IF($AE2129&amp;""='DB_設定'!$C$4,"4/1喪失","その他喪失"))))</f>
      </c>
    </row>
    <row r="2130">
      <c r="DB2130" s="2909">
        <f>IF($A2130="","",IF($A2130&lt;&gt;21,"対象外",IF($AE2130&amp;""="00000000","在職",IF($AE2130&amp;""='DB_設定'!$C$4,"4/1喪失","その他喪失"))))</f>
      </c>
    </row>
    <row r="2131">
      <c r="DB2131" s="2909">
        <f>IF($A2131="","",IF($A2131&lt;&gt;21,"対象外",IF($AE2131&amp;""="00000000","在職",IF($AE2131&amp;""='DB_設定'!$C$4,"4/1喪失","その他喪失"))))</f>
      </c>
    </row>
    <row r="2132">
      <c r="DB2132" s="2909">
        <f>IF($A2132="","",IF($A2132&lt;&gt;21,"対象外",IF($AE2132&amp;""="00000000","在職",IF($AE2132&amp;""='DB_設定'!$C$4,"4/1喪失","その他喪失"))))</f>
      </c>
    </row>
    <row r="2133">
      <c r="DB2133" s="2909">
        <f>IF($A2133="","",IF($A2133&lt;&gt;21,"対象外",IF($AE2133&amp;""="00000000","在職",IF($AE2133&amp;""='DB_設定'!$C$4,"4/1喪失","その他喪失"))))</f>
      </c>
    </row>
    <row r="2134">
      <c r="DB2134" s="2909">
        <f>IF($A2134="","",IF($A2134&lt;&gt;21,"対象外",IF($AE2134&amp;""="00000000","在職",IF($AE2134&amp;""='DB_設定'!$C$4,"4/1喪失","その他喪失"))))</f>
      </c>
    </row>
    <row r="2135">
      <c r="DB2135" s="2909">
        <f>IF($A2135="","",IF($A2135&lt;&gt;21,"対象外",IF($AE2135&amp;""="00000000","在職",IF($AE2135&amp;""='DB_設定'!$C$4,"4/1喪失","その他喪失"))))</f>
      </c>
    </row>
    <row r="2136">
      <c r="DB2136" s="2909">
        <f>IF($A2136="","",IF($A2136&lt;&gt;21,"対象外",IF($AE2136&amp;""="00000000","在職",IF($AE2136&amp;""='DB_設定'!$C$4,"4/1喪失","その他喪失"))))</f>
      </c>
    </row>
    <row r="2137">
      <c r="DB2137" s="2909">
        <f>IF($A2137="","",IF($A2137&lt;&gt;21,"対象外",IF($AE2137&amp;""="00000000","在職",IF($AE2137&amp;""='DB_設定'!$C$4,"4/1喪失","その他喪失"))))</f>
      </c>
    </row>
    <row r="2138">
      <c r="DB2138" s="2909">
        <f>IF($A2138="","",IF($A2138&lt;&gt;21,"対象外",IF($AE2138&amp;""="00000000","在職",IF($AE2138&amp;""='DB_設定'!$C$4,"4/1喪失","その他喪失"))))</f>
      </c>
    </row>
    <row r="2139">
      <c r="DB2139" s="2909">
        <f>IF($A2139="","",IF($A2139&lt;&gt;21,"対象外",IF($AE2139&amp;""="00000000","在職",IF($AE2139&amp;""='DB_設定'!$C$4,"4/1喪失","その他喪失"))))</f>
      </c>
    </row>
    <row r="2140">
      <c r="DB2140" s="2909">
        <f>IF($A2140="","",IF($A2140&lt;&gt;21,"対象外",IF($AE2140&amp;""="00000000","在職",IF($AE2140&amp;""='DB_設定'!$C$4,"4/1喪失","その他喪失"))))</f>
      </c>
    </row>
    <row r="2141">
      <c r="DB2141" s="2909">
        <f>IF($A2141="","",IF($A2141&lt;&gt;21,"対象外",IF($AE2141&amp;""="00000000","在職",IF($AE2141&amp;""='DB_設定'!$C$4,"4/1喪失","その他喪失"))))</f>
      </c>
    </row>
    <row r="2142">
      <c r="DB2142" s="2909">
        <f>IF($A2142="","",IF($A2142&lt;&gt;21,"対象外",IF($AE2142&amp;""="00000000","在職",IF($AE2142&amp;""='DB_設定'!$C$4,"4/1喪失","その他喪失"))))</f>
      </c>
    </row>
    <row r="2143">
      <c r="DB2143" s="2909">
        <f>IF($A2143="","",IF($A2143&lt;&gt;21,"対象外",IF($AE2143&amp;""="00000000","在職",IF($AE2143&amp;""='DB_設定'!$C$4,"4/1喪失","その他喪失"))))</f>
      </c>
    </row>
    <row r="2144">
      <c r="DB2144" s="2909">
        <f>IF($A2144="","",IF($A2144&lt;&gt;21,"対象外",IF($AE2144&amp;""="00000000","在職",IF($AE2144&amp;""='DB_設定'!$C$4,"4/1喪失","その他喪失"))))</f>
      </c>
    </row>
    <row r="2145">
      <c r="DB2145" s="2909">
        <f>IF($A2145="","",IF($A2145&lt;&gt;21,"対象外",IF($AE2145&amp;""="00000000","在職",IF($AE2145&amp;""='DB_設定'!$C$4,"4/1喪失","その他喪失"))))</f>
      </c>
    </row>
    <row r="2146">
      <c r="DB2146" s="2909">
        <f>IF($A2146="","",IF($A2146&lt;&gt;21,"対象外",IF($AE2146&amp;""="00000000","在職",IF($AE2146&amp;""='DB_設定'!$C$4,"4/1喪失","その他喪失"))))</f>
      </c>
    </row>
    <row r="2147">
      <c r="DB2147" s="2909">
        <f>IF($A2147="","",IF($A2147&lt;&gt;21,"対象外",IF($AE2147&amp;""="00000000","在職",IF($AE2147&amp;""='DB_設定'!$C$4,"4/1喪失","その他喪失"))))</f>
      </c>
    </row>
    <row r="2148">
      <c r="DB2148" s="2909">
        <f>IF($A2148="","",IF($A2148&lt;&gt;21,"対象外",IF($AE2148&amp;""="00000000","在職",IF($AE2148&amp;""='DB_設定'!$C$4,"4/1喪失","その他喪失"))))</f>
      </c>
    </row>
    <row r="2149">
      <c r="DB2149" s="2909">
        <f>IF($A2149="","",IF($A2149&lt;&gt;21,"対象外",IF($AE2149&amp;""="00000000","在職",IF($AE2149&amp;""='DB_設定'!$C$4,"4/1喪失","その他喪失"))))</f>
      </c>
    </row>
    <row r="2150">
      <c r="DB2150" s="2909">
        <f>IF($A2150="","",IF($A2150&lt;&gt;21,"対象外",IF($AE2150&amp;""="00000000","在職",IF($AE2150&amp;""='DB_設定'!$C$4,"4/1喪失","その他喪失"))))</f>
      </c>
    </row>
    <row r="2151">
      <c r="DB2151" s="2909">
        <f>IF($A2151="","",IF($A2151&lt;&gt;21,"対象外",IF($AE2151&amp;""="00000000","在職",IF($AE2151&amp;""='DB_設定'!$C$4,"4/1喪失","その他喪失"))))</f>
      </c>
    </row>
    <row r="2152">
      <c r="DB2152" s="2909">
        <f>IF($A2152="","",IF($A2152&lt;&gt;21,"対象外",IF($AE2152&amp;""="00000000","在職",IF($AE2152&amp;""='DB_設定'!$C$4,"4/1喪失","その他喪失"))))</f>
      </c>
    </row>
    <row r="2153">
      <c r="DB2153" s="2909">
        <f>IF($A2153="","",IF($A2153&lt;&gt;21,"対象外",IF($AE2153&amp;""="00000000","在職",IF($AE2153&amp;""='DB_設定'!$C$4,"4/1喪失","その他喪失"))))</f>
      </c>
    </row>
    <row r="2154">
      <c r="DB2154" s="2909">
        <f>IF($A2154="","",IF($A2154&lt;&gt;21,"対象外",IF($AE2154&amp;""="00000000","在職",IF($AE2154&amp;""='DB_設定'!$C$4,"4/1喪失","その他喪失"))))</f>
      </c>
    </row>
    <row r="2155">
      <c r="DB2155" s="2909">
        <f>IF($A2155="","",IF($A2155&lt;&gt;21,"対象外",IF($AE2155&amp;""="00000000","在職",IF($AE2155&amp;""='DB_設定'!$C$4,"4/1喪失","その他喪失"))))</f>
      </c>
    </row>
    <row r="2156">
      <c r="DB2156" s="2909">
        <f>IF($A2156="","",IF($A2156&lt;&gt;21,"対象外",IF($AE2156&amp;""="00000000","在職",IF($AE2156&amp;""='DB_設定'!$C$4,"4/1喪失","その他喪失"))))</f>
      </c>
    </row>
    <row r="2157">
      <c r="DB2157" s="2909">
        <f>IF($A2157="","",IF($A2157&lt;&gt;21,"対象外",IF($AE2157&amp;""="00000000","在職",IF($AE2157&amp;""='DB_設定'!$C$4,"4/1喪失","その他喪失"))))</f>
      </c>
    </row>
    <row r="2158">
      <c r="DB2158" s="2909">
        <f>IF($A2158="","",IF($A2158&lt;&gt;21,"対象外",IF($AE2158&amp;""="00000000","在職",IF($AE2158&amp;""='DB_設定'!$C$4,"4/1喪失","その他喪失"))))</f>
      </c>
    </row>
    <row r="2159">
      <c r="DB2159" s="2909">
        <f>IF($A2159="","",IF($A2159&lt;&gt;21,"対象外",IF($AE2159&amp;""="00000000","在職",IF($AE2159&amp;""='DB_設定'!$C$4,"4/1喪失","その他喪失"))))</f>
      </c>
    </row>
    <row r="2160">
      <c r="DB2160" s="2909">
        <f>IF($A2160="","",IF($A2160&lt;&gt;21,"対象外",IF($AE2160&amp;""="00000000","在職",IF($AE2160&amp;""='DB_設定'!$C$4,"4/1喪失","その他喪失"))))</f>
      </c>
    </row>
    <row r="2161">
      <c r="DB2161" s="2909">
        <f>IF($A2161="","",IF($A2161&lt;&gt;21,"対象外",IF($AE2161&amp;""="00000000","在職",IF($AE2161&amp;""='DB_設定'!$C$4,"4/1喪失","その他喪失"))))</f>
      </c>
    </row>
    <row r="2162">
      <c r="DB2162" s="2909">
        <f>IF($A2162="","",IF($A2162&lt;&gt;21,"対象外",IF($AE2162&amp;""="00000000","在職",IF($AE2162&amp;""='DB_設定'!$C$4,"4/1喪失","その他喪失"))))</f>
      </c>
    </row>
    <row r="2163">
      <c r="DB2163" s="2909">
        <f>IF($A2163="","",IF($A2163&lt;&gt;21,"対象外",IF($AE2163&amp;""="00000000","在職",IF($AE2163&amp;""='DB_設定'!$C$4,"4/1喪失","その他喪失"))))</f>
      </c>
    </row>
    <row r="2164">
      <c r="DB2164" s="2909">
        <f>IF($A2164="","",IF($A2164&lt;&gt;21,"対象外",IF($AE2164&amp;""="00000000","在職",IF($AE2164&amp;""='DB_設定'!$C$4,"4/1喪失","その他喪失"))))</f>
      </c>
    </row>
    <row r="2165">
      <c r="DB2165" s="2909">
        <f>IF($A2165="","",IF($A2165&lt;&gt;21,"対象外",IF($AE2165&amp;""="00000000","在職",IF($AE2165&amp;""='DB_設定'!$C$4,"4/1喪失","その他喪失"))))</f>
      </c>
    </row>
    <row r="2166">
      <c r="DB2166" s="2909">
        <f>IF($A2166="","",IF($A2166&lt;&gt;21,"対象外",IF($AE2166&amp;""="00000000","在職",IF($AE2166&amp;""='DB_設定'!$C$4,"4/1喪失","その他喪失"))))</f>
      </c>
    </row>
    <row r="2167">
      <c r="DB2167" s="2909">
        <f>IF($A2167="","",IF($A2167&lt;&gt;21,"対象外",IF($AE2167&amp;""="00000000","在職",IF($AE2167&amp;""='DB_設定'!$C$4,"4/1喪失","その他喪失"))))</f>
      </c>
    </row>
    <row r="2168">
      <c r="DB2168" s="2909">
        <f>IF($A2168="","",IF($A2168&lt;&gt;21,"対象外",IF($AE2168&amp;""="00000000","在職",IF($AE2168&amp;""='DB_設定'!$C$4,"4/1喪失","その他喪失"))))</f>
      </c>
    </row>
    <row r="2169">
      <c r="DB2169" s="2909">
        <f>IF($A2169="","",IF($A2169&lt;&gt;21,"対象外",IF($AE2169&amp;""="00000000","在職",IF($AE2169&amp;""='DB_設定'!$C$4,"4/1喪失","その他喪失"))))</f>
      </c>
    </row>
    <row r="2170">
      <c r="DB2170" s="2909">
        <f>IF($A2170="","",IF($A2170&lt;&gt;21,"対象外",IF($AE2170&amp;""="00000000","在職",IF($AE2170&amp;""='DB_設定'!$C$4,"4/1喪失","その他喪失"))))</f>
      </c>
    </row>
    <row r="2171">
      <c r="DB2171" s="2909">
        <f>IF($A2171="","",IF($A2171&lt;&gt;21,"対象外",IF($AE2171&amp;""="00000000","在職",IF($AE2171&amp;""='DB_設定'!$C$4,"4/1喪失","その他喪失"))))</f>
      </c>
    </row>
    <row r="2172">
      <c r="DB2172" s="2909">
        <f>IF($A2172="","",IF($A2172&lt;&gt;21,"対象外",IF($AE2172&amp;""="00000000","在職",IF($AE2172&amp;""='DB_設定'!$C$4,"4/1喪失","その他喪失"))))</f>
      </c>
    </row>
    <row r="2173">
      <c r="DB2173" s="2909">
        <f>IF($A2173="","",IF($A2173&lt;&gt;21,"対象外",IF($AE2173&amp;""="00000000","在職",IF($AE2173&amp;""='DB_設定'!$C$4,"4/1喪失","その他喪失"))))</f>
      </c>
    </row>
    <row r="2174">
      <c r="DB2174" s="2909">
        <f>IF($A2174="","",IF($A2174&lt;&gt;21,"対象外",IF($AE2174&amp;""="00000000","在職",IF($AE2174&amp;""='DB_設定'!$C$4,"4/1喪失","その他喪失"))))</f>
      </c>
    </row>
    <row r="2175">
      <c r="DB2175" s="2909">
        <f>IF($A2175="","",IF($A2175&lt;&gt;21,"対象外",IF($AE2175&amp;""="00000000","在職",IF($AE2175&amp;""='DB_設定'!$C$4,"4/1喪失","その他喪失"))))</f>
      </c>
    </row>
    <row r="2176">
      <c r="DB2176" s="2909">
        <f>IF($A2176="","",IF($A2176&lt;&gt;21,"対象外",IF($AE2176&amp;""="00000000","在職",IF($AE2176&amp;""='DB_設定'!$C$4,"4/1喪失","その他喪失"))))</f>
      </c>
    </row>
    <row r="2177">
      <c r="DB2177" s="2909">
        <f>IF($A2177="","",IF($A2177&lt;&gt;21,"対象外",IF($AE2177&amp;""="00000000","在職",IF($AE2177&amp;""='DB_設定'!$C$4,"4/1喪失","その他喪失"))))</f>
      </c>
    </row>
    <row r="2178">
      <c r="DB2178" s="2909">
        <f>IF($A2178="","",IF($A2178&lt;&gt;21,"対象外",IF($AE2178&amp;""="00000000","在職",IF($AE2178&amp;""='DB_設定'!$C$4,"4/1喪失","その他喪失"))))</f>
      </c>
    </row>
    <row r="2179">
      <c r="DB2179" s="2909">
        <f>IF($A2179="","",IF($A2179&lt;&gt;21,"対象外",IF($AE2179&amp;""="00000000","在職",IF($AE2179&amp;""='DB_設定'!$C$4,"4/1喪失","その他喪失"))))</f>
      </c>
    </row>
    <row r="2180">
      <c r="DB2180" s="2909">
        <f>IF($A2180="","",IF($A2180&lt;&gt;21,"対象外",IF($AE2180&amp;""="00000000","在職",IF($AE2180&amp;""='DB_設定'!$C$4,"4/1喪失","その他喪失"))))</f>
      </c>
    </row>
    <row r="2181">
      <c r="DB2181" s="2909">
        <f>IF($A2181="","",IF($A2181&lt;&gt;21,"対象外",IF($AE2181&amp;""="00000000","在職",IF($AE2181&amp;""='DB_設定'!$C$4,"4/1喪失","その他喪失"))))</f>
      </c>
    </row>
    <row r="2182">
      <c r="DB2182" s="2909">
        <f>IF($A2182="","",IF($A2182&lt;&gt;21,"対象外",IF($AE2182&amp;""="00000000","在職",IF($AE2182&amp;""='DB_設定'!$C$4,"4/1喪失","その他喪失"))))</f>
      </c>
    </row>
    <row r="2183">
      <c r="DB2183" s="2909">
        <f>IF($A2183="","",IF($A2183&lt;&gt;21,"対象外",IF($AE2183&amp;""="00000000","在職",IF($AE2183&amp;""='DB_設定'!$C$4,"4/1喪失","その他喪失"))))</f>
      </c>
    </row>
    <row r="2184">
      <c r="DB2184" s="2909">
        <f>IF($A2184="","",IF($A2184&lt;&gt;21,"対象外",IF($AE2184&amp;""="00000000","在職",IF($AE2184&amp;""='DB_設定'!$C$4,"4/1喪失","その他喪失"))))</f>
      </c>
    </row>
    <row r="2185">
      <c r="DB2185" s="2909">
        <f>IF($A2185="","",IF($A2185&lt;&gt;21,"対象外",IF($AE2185&amp;""="00000000","在職",IF($AE2185&amp;""='DB_設定'!$C$4,"4/1喪失","その他喪失"))))</f>
      </c>
    </row>
    <row r="2186">
      <c r="DB2186" s="2909">
        <f>IF($A2186="","",IF($A2186&lt;&gt;21,"対象外",IF($AE2186&amp;""="00000000","在職",IF($AE2186&amp;""='DB_設定'!$C$4,"4/1喪失","その他喪失"))))</f>
      </c>
    </row>
    <row r="2187">
      <c r="DB2187" s="2909">
        <f>IF($A2187="","",IF($A2187&lt;&gt;21,"対象外",IF($AE2187&amp;""="00000000","在職",IF($AE2187&amp;""='DB_設定'!$C$4,"4/1喪失","その他喪失"))))</f>
      </c>
    </row>
    <row r="2188">
      <c r="DB2188" s="2909">
        <f>IF($A2188="","",IF($A2188&lt;&gt;21,"対象外",IF($AE2188&amp;""="00000000","在職",IF($AE2188&amp;""='DB_設定'!$C$4,"4/1喪失","その他喪失"))))</f>
      </c>
    </row>
    <row r="2189">
      <c r="DB2189" s="2909">
        <f>IF($A2189="","",IF($A2189&lt;&gt;21,"対象外",IF($AE2189&amp;""="00000000","在職",IF($AE2189&amp;""='DB_設定'!$C$4,"4/1喪失","その他喪失"))))</f>
      </c>
    </row>
    <row r="2190">
      <c r="DB2190" s="2909">
        <f>IF($A2190="","",IF($A2190&lt;&gt;21,"対象外",IF($AE2190&amp;""="00000000","在職",IF($AE2190&amp;""='DB_設定'!$C$4,"4/1喪失","その他喪失"))))</f>
      </c>
    </row>
    <row r="2191">
      <c r="DB2191" s="2909">
        <f>IF($A2191="","",IF($A2191&lt;&gt;21,"対象外",IF($AE2191&amp;""="00000000","在職",IF($AE2191&amp;""='DB_設定'!$C$4,"4/1喪失","その他喪失"))))</f>
      </c>
    </row>
    <row r="2192">
      <c r="DB2192" s="2909">
        <f>IF($A2192="","",IF($A2192&lt;&gt;21,"対象外",IF($AE2192&amp;""="00000000","在職",IF($AE2192&amp;""='DB_設定'!$C$4,"4/1喪失","その他喪失"))))</f>
      </c>
    </row>
    <row r="2193">
      <c r="DB2193" s="2909">
        <f>IF($A2193="","",IF($A2193&lt;&gt;21,"対象外",IF($AE2193&amp;""="00000000","在職",IF($AE2193&amp;""='DB_設定'!$C$4,"4/1喪失","その他喪失"))))</f>
      </c>
    </row>
    <row r="2194">
      <c r="DB2194" s="2909">
        <f>IF($A2194="","",IF($A2194&lt;&gt;21,"対象外",IF($AE2194&amp;""="00000000","在職",IF($AE2194&amp;""='DB_設定'!$C$4,"4/1喪失","その他喪失"))))</f>
      </c>
    </row>
    <row r="2195">
      <c r="DB2195" s="2909">
        <f>IF($A2195="","",IF($A2195&lt;&gt;21,"対象外",IF($AE2195&amp;""="00000000","在職",IF($AE2195&amp;""='DB_設定'!$C$4,"4/1喪失","その他喪失"))))</f>
      </c>
    </row>
    <row r="2196">
      <c r="DB2196" s="2909">
        <f>IF($A2196="","",IF($A2196&lt;&gt;21,"対象外",IF($AE2196&amp;""="00000000","在職",IF($AE2196&amp;""='DB_設定'!$C$4,"4/1喪失","その他喪失"))))</f>
      </c>
    </row>
    <row r="2197">
      <c r="DB2197" s="2909">
        <f>IF($A2197="","",IF($A2197&lt;&gt;21,"対象外",IF($AE2197&amp;""="00000000","在職",IF($AE2197&amp;""='DB_設定'!$C$4,"4/1喪失","その他喪失"))))</f>
      </c>
    </row>
    <row r="2198">
      <c r="DB2198" s="2909">
        <f>IF($A2198="","",IF($A2198&lt;&gt;21,"対象外",IF($AE2198&amp;""="00000000","在職",IF($AE2198&amp;""='DB_設定'!$C$4,"4/1喪失","その他喪失"))))</f>
      </c>
    </row>
    <row r="2199">
      <c r="DB2199" s="2909">
        <f>IF($A2199="","",IF($A2199&lt;&gt;21,"対象外",IF($AE2199&amp;""="00000000","在職",IF($AE2199&amp;""='DB_設定'!$C$4,"4/1喪失","その他喪失"))))</f>
      </c>
    </row>
    <row r="2200">
      <c r="DB2200" s="2909">
        <f>IF($A2200="","",IF($A2200&lt;&gt;21,"対象外",IF($AE2200&amp;""="00000000","在職",IF($AE2200&amp;""='DB_設定'!$C$4,"4/1喪失","その他喪失"))))</f>
      </c>
    </row>
    <row r="2201">
      <c r="DB2201" s="2909">
        <f>IF($A2201="","",IF($A2201&lt;&gt;21,"対象外",IF($AE2201&amp;""="00000000","在職",IF($AE2201&amp;""='DB_設定'!$C$4,"4/1喪失","その他喪失"))))</f>
      </c>
    </row>
    <row r="2202">
      <c r="DB2202" s="2909">
        <f>IF($A2202="","",IF($A2202&lt;&gt;21,"対象外",IF($AE2202&amp;""="00000000","在職",IF($AE2202&amp;""='DB_設定'!$C$4,"4/1喪失","その他喪失"))))</f>
      </c>
    </row>
    <row r="2203">
      <c r="DB2203" s="2909">
        <f>IF($A2203="","",IF($A2203&lt;&gt;21,"対象外",IF($AE2203&amp;""="00000000","在職",IF($AE2203&amp;""='DB_設定'!$C$4,"4/1喪失","その他喪失"))))</f>
      </c>
    </row>
    <row r="2204">
      <c r="DB2204" s="2909">
        <f>IF($A2204="","",IF($A2204&lt;&gt;21,"対象外",IF($AE2204&amp;""="00000000","在職",IF($AE2204&amp;""='DB_設定'!$C$4,"4/1喪失","その他喪失"))))</f>
      </c>
    </row>
    <row r="2205">
      <c r="DB2205" s="2909">
        <f>IF($A2205="","",IF($A2205&lt;&gt;21,"対象外",IF($AE2205&amp;""="00000000","在職",IF($AE2205&amp;""='DB_設定'!$C$4,"4/1喪失","その他喪失"))))</f>
      </c>
    </row>
    <row r="2206">
      <c r="DB2206" s="2909">
        <f>IF($A2206="","",IF($A2206&lt;&gt;21,"対象外",IF($AE2206&amp;""="00000000","在職",IF($AE2206&amp;""='DB_設定'!$C$4,"4/1喪失","その他喪失"))))</f>
      </c>
    </row>
    <row r="2207">
      <c r="DB2207" s="2909">
        <f>IF($A2207="","",IF($A2207&lt;&gt;21,"対象外",IF($AE2207&amp;""="00000000","在職",IF($AE2207&amp;""='DB_設定'!$C$4,"4/1喪失","その他喪失"))))</f>
      </c>
    </row>
    <row r="2208">
      <c r="DB2208" s="2909">
        <f>IF($A2208="","",IF($A2208&lt;&gt;21,"対象外",IF($AE2208&amp;""="00000000","在職",IF($AE2208&amp;""='DB_設定'!$C$4,"4/1喪失","その他喪失"))))</f>
      </c>
    </row>
    <row r="2209">
      <c r="DB2209" s="2909">
        <f>IF($A2209="","",IF($A2209&lt;&gt;21,"対象外",IF($AE2209&amp;""="00000000","在職",IF($AE2209&amp;""='DB_設定'!$C$4,"4/1喪失","その他喪失"))))</f>
      </c>
    </row>
    <row r="2210">
      <c r="DB2210" s="2909">
        <f>IF($A2210="","",IF($A2210&lt;&gt;21,"対象外",IF($AE2210&amp;""="00000000","在職",IF($AE2210&amp;""='DB_設定'!$C$4,"4/1喪失","その他喪失"))))</f>
      </c>
    </row>
    <row r="2211">
      <c r="DB2211" s="2909">
        <f>IF($A2211="","",IF($A2211&lt;&gt;21,"対象外",IF($AE2211&amp;""="00000000","在職",IF($AE2211&amp;""='DB_設定'!$C$4,"4/1喪失","その他喪失"))))</f>
      </c>
    </row>
    <row r="2212">
      <c r="DB2212" s="2909">
        <f>IF($A2212="","",IF($A2212&lt;&gt;21,"対象外",IF($AE2212&amp;""="00000000","在職",IF($AE2212&amp;""='DB_設定'!$C$4,"4/1喪失","その他喪失"))))</f>
      </c>
    </row>
    <row r="2213">
      <c r="DB2213" s="2909">
        <f>IF($A2213="","",IF($A2213&lt;&gt;21,"対象外",IF($AE2213&amp;""="00000000","在職",IF($AE2213&amp;""='DB_設定'!$C$4,"4/1喪失","その他喪失"))))</f>
      </c>
    </row>
    <row r="2214">
      <c r="DB2214" s="2909">
        <f>IF($A2214="","",IF($A2214&lt;&gt;21,"対象外",IF($AE2214&amp;""="00000000","在職",IF($AE2214&amp;""='DB_設定'!$C$4,"4/1喪失","その他喪失"))))</f>
      </c>
    </row>
    <row r="2215">
      <c r="DB2215" s="2909">
        <f>IF($A2215="","",IF($A2215&lt;&gt;21,"対象外",IF($AE2215&amp;""="00000000","在職",IF($AE2215&amp;""='DB_設定'!$C$4,"4/1喪失","その他喪失"))))</f>
      </c>
    </row>
    <row r="2216">
      <c r="DB2216" s="2909">
        <f>IF($A2216="","",IF($A2216&lt;&gt;21,"対象外",IF($AE2216&amp;""="00000000","在職",IF($AE2216&amp;""='DB_設定'!$C$4,"4/1喪失","その他喪失"))))</f>
      </c>
    </row>
    <row r="2217">
      <c r="DB2217" s="2909">
        <f>IF($A2217="","",IF($A2217&lt;&gt;21,"対象外",IF($AE2217&amp;""="00000000","在職",IF($AE2217&amp;""='DB_設定'!$C$4,"4/1喪失","その他喪失"))))</f>
      </c>
    </row>
    <row r="2218">
      <c r="DB2218" s="2909">
        <f>IF($A2218="","",IF($A2218&lt;&gt;21,"対象外",IF($AE2218&amp;""="00000000","在職",IF($AE2218&amp;""='DB_設定'!$C$4,"4/1喪失","その他喪失"))))</f>
      </c>
    </row>
    <row r="2219">
      <c r="DB2219" s="2909">
        <f>IF($A2219="","",IF($A2219&lt;&gt;21,"対象外",IF($AE2219&amp;""="00000000","在職",IF($AE2219&amp;""='DB_設定'!$C$4,"4/1喪失","その他喪失"))))</f>
      </c>
    </row>
    <row r="2220">
      <c r="DB2220" s="2909">
        <f>IF($A2220="","",IF($A2220&lt;&gt;21,"対象外",IF($AE2220&amp;""="00000000","在職",IF($AE2220&amp;""='DB_設定'!$C$4,"4/1喪失","その他喪失"))))</f>
      </c>
    </row>
    <row r="2221">
      <c r="DB2221" s="2909">
        <f>IF($A2221="","",IF($A2221&lt;&gt;21,"対象外",IF($AE2221&amp;""="00000000","在職",IF($AE2221&amp;""='DB_設定'!$C$4,"4/1喪失","その他喪失"))))</f>
      </c>
    </row>
    <row r="2222">
      <c r="DB2222" s="2909">
        <f>IF($A2222="","",IF($A2222&lt;&gt;21,"対象外",IF($AE2222&amp;""="00000000","在職",IF($AE2222&amp;""='DB_設定'!$C$4,"4/1喪失","その他喪失"))))</f>
      </c>
    </row>
    <row r="2223">
      <c r="DB2223" s="2909">
        <f>IF($A2223="","",IF($A2223&lt;&gt;21,"対象外",IF($AE2223&amp;""="00000000","在職",IF($AE2223&amp;""='DB_設定'!$C$4,"4/1喪失","その他喪失"))))</f>
      </c>
    </row>
    <row r="2224">
      <c r="DB2224" s="2909">
        <f>IF($A2224="","",IF($A2224&lt;&gt;21,"対象外",IF($AE2224&amp;""="00000000","在職",IF($AE2224&amp;""='DB_設定'!$C$4,"4/1喪失","その他喪失"))))</f>
      </c>
    </row>
    <row r="2225">
      <c r="DB2225" s="2909">
        <f>IF($A2225="","",IF($A2225&lt;&gt;21,"対象外",IF($AE2225&amp;""="00000000","在職",IF($AE2225&amp;""='DB_設定'!$C$4,"4/1喪失","その他喪失"))))</f>
      </c>
    </row>
    <row r="2226">
      <c r="DB2226" s="2909">
        <f>IF($A2226="","",IF($A2226&lt;&gt;21,"対象外",IF($AE2226&amp;""="00000000","在職",IF($AE2226&amp;""='DB_設定'!$C$4,"4/1喪失","その他喪失"))))</f>
      </c>
    </row>
    <row r="2227">
      <c r="DB2227" s="2909">
        <f>IF($A2227="","",IF($A2227&lt;&gt;21,"対象外",IF($AE2227&amp;""="00000000","在職",IF($AE2227&amp;""='DB_設定'!$C$4,"4/1喪失","その他喪失"))))</f>
      </c>
    </row>
    <row r="2228">
      <c r="DB2228" s="2909">
        <f>IF($A2228="","",IF($A2228&lt;&gt;21,"対象外",IF($AE2228&amp;""="00000000","在職",IF($AE2228&amp;""='DB_設定'!$C$4,"4/1喪失","その他喪失"))))</f>
      </c>
    </row>
    <row r="2229">
      <c r="DB2229" s="2909">
        <f>IF($A2229="","",IF($A2229&lt;&gt;21,"対象外",IF($AE2229&amp;""="00000000","在職",IF($AE2229&amp;""='DB_設定'!$C$4,"4/1喪失","その他喪失"))))</f>
      </c>
    </row>
    <row r="2230">
      <c r="DB2230" s="2909">
        <f>IF($A2230="","",IF($A2230&lt;&gt;21,"対象外",IF($AE2230&amp;""="00000000","在職",IF($AE2230&amp;""='DB_設定'!$C$4,"4/1喪失","その他喪失"))))</f>
      </c>
    </row>
    <row r="2231">
      <c r="DB2231" s="2909">
        <f>IF($A2231="","",IF($A2231&lt;&gt;21,"対象外",IF($AE2231&amp;""="00000000","在職",IF($AE2231&amp;""='DB_設定'!$C$4,"4/1喪失","その他喪失"))))</f>
      </c>
    </row>
    <row r="2232">
      <c r="DB2232" s="2909">
        <f>IF($A2232="","",IF($A2232&lt;&gt;21,"対象外",IF($AE2232&amp;""="00000000","在職",IF($AE2232&amp;""='DB_設定'!$C$4,"4/1喪失","その他喪失"))))</f>
      </c>
    </row>
    <row r="2233">
      <c r="DB2233" s="2909">
        <f>IF($A2233="","",IF($A2233&lt;&gt;21,"対象外",IF($AE2233&amp;""="00000000","在職",IF($AE2233&amp;""='DB_設定'!$C$4,"4/1喪失","その他喪失"))))</f>
      </c>
    </row>
    <row r="2234">
      <c r="DB2234" s="2909">
        <f>IF($A2234="","",IF($A2234&lt;&gt;21,"対象外",IF($AE2234&amp;""="00000000","在職",IF($AE2234&amp;""='DB_設定'!$C$4,"4/1喪失","その他喪失"))))</f>
      </c>
    </row>
    <row r="2235">
      <c r="DB2235" s="2909">
        <f>IF($A2235="","",IF($A2235&lt;&gt;21,"対象外",IF($AE2235&amp;""="00000000","在職",IF($AE2235&amp;""='DB_設定'!$C$4,"4/1喪失","その他喪失"))))</f>
      </c>
    </row>
    <row r="2236">
      <c r="DB2236" s="2909">
        <f>IF($A2236="","",IF($A2236&lt;&gt;21,"対象外",IF($AE2236&amp;""="00000000","在職",IF($AE2236&amp;""='DB_設定'!$C$4,"4/1喪失","その他喪失"))))</f>
      </c>
    </row>
    <row r="2237">
      <c r="DB2237" s="2909">
        <f>IF($A2237="","",IF($A2237&lt;&gt;21,"対象外",IF($AE2237&amp;""="00000000","在職",IF($AE2237&amp;""='DB_設定'!$C$4,"4/1喪失","その他喪失"))))</f>
      </c>
    </row>
    <row r="2238">
      <c r="DB2238" s="2909">
        <f>IF($A2238="","",IF($A2238&lt;&gt;21,"対象外",IF($AE2238&amp;""="00000000","在職",IF($AE2238&amp;""='DB_設定'!$C$4,"4/1喪失","その他喪失"))))</f>
      </c>
    </row>
    <row r="2239">
      <c r="DB2239" s="2909">
        <f>IF($A2239="","",IF($A2239&lt;&gt;21,"対象外",IF($AE2239&amp;""="00000000","在職",IF($AE2239&amp;""='DB_設定'!$C$4,"4/1喪失","その他喪失"))))</f>
      </c>
    </row>
    <row r="2240">
      <c r="DB2240" s="2909">
        <f>IF($A2240="","",IF($A2240&lt;&gt;21,"対象外",IF($AE2240&amp;""="00000000","在職",IF($AE2240&amp;""='DB_設定'!$C$4,"4/1喪失","その他喪失"))))</f>
      </c>
    </row>
    <row r="2241">
      <c r="DB2241" s="2909">
        <f>IF($A2241="","",IF($A2241&lt;&gt;21,"対象外",IF($AE2241&amp;""="00000000","在職",IF($AE2241&amp;""='DB_設定'!$C$4,"4/1喪失","その他喪失"))))</f>
      </c>
    </row>
    <row r="2242">
      <c r="DB2242" s="2909">
        <f>IF($A2242="","",IF($A2242&lt;&gt;21,"対象外",IF($AE2242&amp;""="00000000","在職",IF($AE2242&amp;""='DB_設定'!$C$4,"4/1喪失","その他喪失"))))</f>
      </c>
    </row>
    <row r="2243">
      <c r="DB2243" s="2909">
        <f>IF($A2243="","",IF($A2243&lt;&gt;21,"対象外",IF($AE2243&amp;""="00000000","在職",IF($AE2243&amp;""='DB_設定'!$C$4,"4/1喪失","その他喪失"))))</f>
      </c>
    </row>
    <row r="2244">
      <c r="DB2244" s="2909">
        <f>IF($A2244="","",IF($A2244&lt;&gt;21,"対象外",IF($AE2244&amp;""="00000000","在職",IF($AE2244&amp;""='DB_設定'!$C$4,"4/1喪失","その他喪失"))))</f>
      </c>
    </row>
    <row r="2245">
      <c r="DB2245" s="2909">
        <f>IF($A2245="","",IF($A2245&lt;&gt;21,"対象外",IF($AE2245&amp;""="00000000","在職",IF($AE2245&amp;""='DB_設定'!$C$4,"4/1喪失","その他喪失"))))</f>
      </c>
    </row>
    <row r="2246">
      <c r="DB2246" s="2909">
        <f>IF($A2246="","",IF($A2246&lt;&gt;21,"対象外",IF($AE2246&amp;""="00000000","在職",IF($AE2246&amp;""='DB_設定'!$C$4,"4/1喪失","その他喪失"))))</f>
      </c>
    </row>
    <row r="2247">
      <c r="DB2247" s="2909">
        <f>IF($A2247="","",IF($A2247&lt;&gt;21,"対象外",IF($AE2247&amp;""="00000000","在職",IF($AE2247&amp;""='DB_設定'!$C$4,"4/1喪失","その他喪失"))))</f>
      </c>
    </row>
    <row r="2248">
      <c r="DB2248" s="2909">
        <f>IF($A2248="","",IF($A2248&lt;&gt;21,"対象外",IF($AE2248&amp;""="00000000","在職",IF($AE2248&amp;""='DB_設定'!$C$4,"4/1喪失","その他喪失"))))</f>
      </c>
    </row>
    <row r="2249">
      <c r="DB2249" s="2909">
        <f>IF($A2249="","",IF($A2249&lt;&gt;21,"対象外",IF($AE2249&amp;""="00000000","在職",IF($AE2249&amp;""='DB_設定'!$C$4,"4/1喪失","その他喪失"))))</f>
      </c>
    </row>
    <row r="2250">
      <c r="DB2250" s="2909">
        <f>IF($A2250="","",IF($A2250&lt;&gt;21,"対象外",IF($AE2250&amp;""="00000000","在職",IF($AE2250&amp;""='DB_設定'!$C$4,"4/1喪失","その他喪失"))))</f>
      </c>
    </row>
    <row r="2251">
      <c r="DB2251" s="2909">
        <f>IF($A2251="","",IF($A2251&lt;&gt;21,"対象外",IF($AE2251&amp;""="00000000","在職",IF($AE2251&amp;""='DB_設定'!$C$4,"4/1喪失","その他喪失"))))</f>
      </c>
    </row>
    <row r="2252">
      <c r="DB2252" s="2909">
        <f>IF($A2252="","",IF($A2252&lt;&gt;21,"対象外",IF($AE2252&amp;""="00000000","在職",IF($AE2252&amp;""='DB_設定'!$C$4,"4/1喪失","その他喪失"))))</f>
      </c>
    </row>
    <row r="2253">
      <c r="DB2253" s="2909">
        <f>IF($A2253="","",IF($A2253&lt;&gt;21,"対象外",IF($AE2253&amp;""="00000000","在職",IF($AE2253&amp;""='DB_設定'!$C$4,"4/1喪失","その他喪失"))))</f>
      </c>
    </row>
    <row r="2254">
      <c r="DB2254" s="2909">
        <f>IF($A2254="","",IF($A2254&lt;&gt;21,"対象外",IF($AE2254&amp;""="00000000","在職",IF($AE2254&amp;""='DB_設定'!$C$4,"4/1喪失","その他喪失"))))</f>
      </c>
    </row>
    <row r="2255">
      <c r="DB2255" s="2909">
        <f>IF($A2255="","",IF($A2255&lt;&gt;21,"対象外",IF($AE2255&amp;""="00000000","在職",IF($AE2255&amp;""='DB_設定'!$C$4,"4/1喪失","その他喪失"))))</f>
      </c>
    </row>
    <row r="2256">
      <c r="DB2256" s="2909">
        <f>IF($A2256="","",IF($A2256&lt;&gt;21,"対象外",IF($AE2256&amp;""="00000000","在職",IF($AE2256&amp;""='DB_設定'!$C$4,"4/1喪失","その他喪失"))))</f>
      </c>
    </row>
    <row r="2257">
      <c r="DB2257" s="2909">
        <f>IF($A2257="","",IF($A2257&lt;&gt;21,"対象外",IF($AE2257&amp;""="00000000","在職",IF($AE2257&amp;""='DB_設定'!$C$4,"4/1喪失","その他喪失"))))</f>
      </c>
    </row>
    <row r="2258">
      <c r="DB2258" s="2909">
        <f>IF($A2258="","",IF($A2258&lt;&gt;21,"対象外",IF($AE2258&amp;""="00000000","在職",IF($AE2258&amp;""='DB_設定'!$C$4,"4/1喪失","その他喪失"))))</f>
      </c>
    </row>
    <row r="2259">
      <c r="DB2259" s="2909">
        <f>IF($A2259="","",IF($A2259&lt;&gt;21,"対象外",IF($AE2259&amp;""="00000000","在職",IF($AE2259&amp;""='DB_設定'!$C$4,"4/1喪失","その他喪失"))))</f>
      </c>
    </row>
    <row r="2260">
      <c r="DB2260" s="2909">
        <f>IF($A2260="","",IF($A2260&lt;&gt;21,"対象外",IF($AE2260&amp;""="00000000","在職",IF($AE2260&amp;""='DB_設定'!$C$4,"4/1喪失","その他喪失"))))</f>
      </c>
    </row>
    <row r="2261">
      <c r="DB2261" s="2909">
        <f>IF($A2261="","",IF($A2261&lt;&gt;21,"対象外",IF($AE2261&amp;""="00000000","在職",IF($AE2261&amp;""='DB_設定'!$C$4,"4/1喪失","その他喪失"))))</f>
      </c>
    </row>
    <row r="2262">
      <c r="DB2262" s="2909">
        <f>IF($A2262="","",IF($A2262&lt;&gt;21,"対象外",IF($AE2262&amp;""="00000000","在職",IF($AE2262&amp;""='DB_設定'!$C$4,"4/1喪失","その他喪失"))))</f>
      </c>
    </row>
    <row r="2263">
      <c r="DB2263" s="2909">
        <f>IF($A2263="","",IF($A2263&lt;&gt;21,"対象外",IF($AE2263&amp;""="00000000","在職",IF($AE2263&amp;""='DB_設定'!$C$4,"4/1喪失","その他喪失"))))</f>
      </c>
    </row>
    <row r="2264">
      <c r="DB2264" s="2909">
        <f>IF($A2264="","",IF($A2264&lt;&gt;21,"対象外",IF($AE2264&amp;""="00000000","在職",IF($AE2264&amp;""='DB_設定'!$C$4,"4/1喪失","その他喪失"))))</f>
      </c>
    </row>
    <row r="2265">
      <c r="DB2265" s="2909">
        <f>IF($A2265="","",IF($A2265&lt;&gt;21,"対象外",IF($AE2265&amp;""="00000000","在職",IF($AE2265&amp;""='DB_設定'!$C$4,"4/1喪失","その他喪失"))))</f>
      </c>
    </row>
    <row r="2266">
      <c r="DB2266" s="2909">
        <f>IF($A2266="","",IF($A2266&lt;&gt;21,"対象外",IF($AE2266&amp;""="00000000","在職",IF($AE2266&amp;""='DB_設定'!$C$4,"4/1喪失","その他喪失"))))</f>
      </c>
    </row>
    <row r="2267">
      <c r="DB2267" s="2909">
        <f>IF($A2267="","",IF($A2267&lt;&gt;21,"対象外",IF($AE2267&amp;""="00000000","在職",IF($AE2267&amp;""='DB_設定'!$C$4,"4/1喪失","その他喪失"))))</f>
      </c>
    </row>
    <row r="2268">
      <c r="DB2268" s="2909">
        <f>IF($A2268="","",IF($A2268&lt;&gt;21,"対象外",IF($AE2268&amp;""="00000000","在職",IF($AE2268&amp;""='DB_設定'!$C$4,"4/1喪失","その他喪失"))))</f>
      </c>
    </row>
    <row r="2269">
      <c r="DB2269" s="2909">
        <f>IF($A2269="","",IF($A2269&lt;&gt;21,"対象外",IF($AE2269&amp;""="00000000","在職",IF($AE2269&amp;""='DB_設定'!$C$4,"4/1喪失","その他喪失"))))</f>
      </c>
    </row>
    <row r="2270">
      <c r="DB2270" s="2909">
        <f>IF($A2270="","",IF($A2270&lt;&gt;21,"対象外",IF($AE2270&amp;""="00000000","在職",IF($AE2270&amp;""='DB_設定'!$C$4,"4/1喪失","その他喪失"))))</f>
      </c>
    </row>
    <row r="2271">
      <c r="DB2271" s="2909">
        <f>IF($A2271="","",IF($A2271&lt;&gt;21,"対象外",IF($AE2271&amp;""="00000000","在職",IF($AE2271&amp;""='DB_設定'!$C$4,"4/1喪失","その他喪失"))))</f>
      </c>
    </row>
    <row r="2272">
      <c r="DB2272" s="2909">
        <f>IF($A2272="","",IF($A2272&lt;&gt;21,"対象外",IF($AE2272&amp;""="00000000","在職",IF($AE2272&amp;""='DB_設定'!$C$4,"4/1喪失","その他喪失"))))</f>
      </c>
    </row>
    <row r="2273">
      <c r="DB2273" s="2909">
        <f>IF($A2273="","",IF($A2273&lt;&gt;21,"対象外",IF($AE2273&amp;""="00000000","在職",IF($AE2273&amp;""='DB_設定'!$C$4,"4/1喪失","その他喪失"))))</f>
      </c>
    </row>
    <row r="2274">
      <c r="DB2274" s="2909">
        <f>IF($A2274="","",IF($A2274&lt;&gt;21,"対象外",IF($AE2274&amp;""="00000000","在職",IF($AE2274&amp;""='DB_設定'!$C$4,"4/1喪失","その他喪失"))))</f>
      </c>
    </row>
    <row r="2275">
      <c r="DB2275" s="2909">
        <f>IF($A2275="","",IF($A2275&lt;&gt;21,"対象外",IF($AE2275&amp;""="00000000","在職",IF($AE2275&amp;""='DB_設定'!$C$4,"4/1喪失","その他喪失"))))</f>
      </c>
    </row>
    <row r="2276">
      <c r="DB2276" s="2909">
        <f>IF($A2276="","",IF($A2276&lt;&gt;21,"対象外",IF($AE2276&amp;""="00000000","在職",IF($AE2276&amp;""='DB_設定'!$C$4,"4/1喪失","その他喪失"))))</f>
      </c>
    </row>
    <row r="2277">
      <c r="DB2277" s="2909">
        <f>IF($A2277="","",IF($A2277&lt;&gt;21,"対象外",IF($AE2277&amp;""="00000000","在職",IF($AE2277&amp;""='DB_設定'!$C$4,"4/1喪失","その他喪失"))))</f>
      </c>
    </row>
    <row r="2278">
      <c r="DB2278" s="2909">
        <f>IF($A2278="","",IF($A2278&lt;&gt;21,"対象外",IF($AE2278&amp;""="00000000","在職",IF($AE2278&amp;""='DB_設定'!$C$4,"4/1喪失","その他喪失"))))</f>
      </c>
    </row>
    <row r="2279">
      <c r="DB2279" s="2909">
        <f>IF($A2279="","",IF($A2279&lt;&gt;21,"対象外",IF($AE2279&amp;""="00000000","在職",IF($AE2279&amp;""='DB_設定'!$C$4,"4/1喪失","その他喪失"))))</f>
      </c>
    </row>
    <row r="2280">
      <c r="DB2280" s="2909">
        <f>IF($A2280="","",IF($A2280&lt;&gt;21,"対象外",IF($AE2280&amp;""="00000000","在職",IF($AE2280&amp;""='DB_設定'!$C$4,"4/1喪失","その他喪失"))))</f>
      </c>
    </row>
    <row r="2281">
      <c r="DB2281" s="2909">
        <f>IF($A2281="","",IF($A2281&lt;&gt;21,"対象外",IF($AE2281&amp;""="00000000","在職",IF($AE2281&amp;""='DB_設定'!$C$4,"4/1喪失","その他喪失"))))</f>
      </c>
    </row>
    <row r="2282">
      <c r="DB2282" s="2909">
        <f>IF($A2282="","",IF($A2282&lt;&gt;21,"対象外",IF($AE2282&amp;""="00000000","在職",IF($AE2282&amp;""='DB_設定'!$C$4,"4/1喪失","その他喪失"))))</f>
      </c>
    </row>
    <row r="2283">
      <c r="DB2283" s="2909">
        <f>IF($A2283="","",IF($A2283&lt;&gt;21,"対象外",IF($AE2283&amp;""="00000000","在職",IF($AE2283&amp;""='DB_設定'!$C$4,"4/1喪失","その他喪失"))))</f>
      </c>
    </row>
    <row r="2284">
      <c r="DB2284" s="2909">
        <f>IF($A2284="","",IF($A2284&lt;&gt;21,"対象外",IF($AE2284&amp;""="00000000","在職",IF($AE2284&amp;""='DB_設定'!$C$4,"4/1喪失","その他喪失"))))</f>
      </c>
    </row>
    <row r="2285">
      <c r="DB2285" s="2909">
        <f>IF($A2285="","",IF($A2285&lt;&gt;21,"対象外",IF($AE2285&amp;""="00000000","在職",IF($AE2285&amp;""='DB_設定'!$C$4,"4/1喪失","その他喪失"))))</f>
      </c>
    </row>
    <row r="2286">
      <c r="DB2286" s="2909">
        <f>IF($A2286="","",IF($A2286&lt;&gt;21,"対象外",IF($AE2286&amp;""="00000000","在職",IF($AE2286&amp;""='DB_設定'!$C$4,"4/1喪失","その他喪失"))))</f>
      </c>
    </row>
    <row r="2287">
      <c r="DB2287" s="2909">
        <f>IF($A2287="","",IF($A2287&lt;&gt;21,"対象外",IF($AE2287&amp;""="00000000","在職",IF($AE2287&amp;""='DB_設定'!$C$4,"4/1喪失","その他喪失"))))</f>
      </c>
    </row>
    <row r="2288">
      <c r="DB2288" s="2909">
        <f>IF($A2288="","",IF($A2288&lt;&gt;21,"対象外",IF($AE2288&amp;""="00000000","在職",IF($AE2288&amp;""='DB_設定'!$C$4,"4/1喪失","その他喪失"))))</f>
      </c>
    </row>
    <row r="2289">
      <c r="DB2289" s="2909">
        <f>IF($A2289="","",IF($A2289&lt;&gt;21,"対象外",IF($AE2289&amp;""="00000000","在職",IF($AE2289&amp;""='DB_設定'!$C$4,"4/1喪失","その他喪失"))))</f>
      </c>
    </row>
    <row r="2290">
      <c r="DB2290" s="2909">
        <f>IF($A2290="","",IF($A2290&lt;&gt;21,"対象外",IF($AE2290&amp;""="00000000","在職",IF($AE2290&amp;""='DB_設定'!$C$4,"4/1喪失","その他喪失"))))</f>
      </c>
    </row>
    <row r="2291">
      <c r="DB2291" s="2909">
        <f>IF($A2291="","",IF($A2291&lt;&gt;21,"対象外",IF($AE2291&amp;""="00000000","在職",IF($AE2291&amp;""='DB_設定'!$C$4,"4/1喪失","その他喪失"))))</f>
      </c>
    </row>
    <row r="2292">
      <c r="DB2292" s="2909">
        <f>IF($A2292="","",IF($A2292&lt;&gt;21,"対象外",IF($AE2292&amp;""="00000000","在職",IF($AE2292&amp;""='DB_設定'!$C$4,"4/1喪失","その他喪失"))))</f>
      </c>
    </row>
    <row r="2293">
      <c r="DB2293" s="2909">
        <f>IF($A2293="","",IF($A2293&lt;&gt;21,"対象外",IF($AE2293&amp;""="00000000","在職",IF($AE2293&amp;""='DB_設定'!$C$4,"4/1喪失","その他喪失"))))</f>
      </c>
    </row>
    <row r="2294">
      <c r="DB2294" s="2909">
        <f>IF($A2294="","",IF($A2294&lt;&gt;21,"対象外",IF($AE2294&amp;""="00000000","在職",IF($AE2294&amp;""='DB_設定'!$C$4,"4/1喪失","その他喪失"))))</f>
      </c>
    </row>
    <row r="2295">
      <c r="DB2295" s="2909">
        <f>IF($A2295="","",IF($A2295&lt;&gt;21,"対象外",IF($AE2295&amp;""="00000000","在職",IF($AE2295&amp;""='DB_設定'!$C$4,"4/1喪失","その他喪失"))))</f>
      </c>
    </row>
    <row r="2296">
      <c r="DB2296" s="2909">
        <f>IF($A2296="","",IF($A2296&lt;&gt;21,"対象外",IF($AE2296&amp;""="00000000","在職",IF($AE2296&amp;""='DB_設定'!$C$4,"4/1喪失","その他喪失"))))</f>
      </c>
    </row>
    <row r="2297">
      <c r="DB2297" s="2909">
        <f>IF($A2297="","",IF($A2297&lt;&gt;21,"対象外",IF($AE2297&amp;""="00000000","在職",IF($AE2297&amp;""='DB_設定'!$C$4,"4/1喪失","その他喪失"))))</f>
      </c>
    </row>
    <row r="2298">
      <c r="DB2298" s="2909">
        <f>IF($A2298="","",IF($A2298&lt;&gt;21,"対象外",IF($AE2298&amp;""="00000000","在職",IF($AE2298&amp;""='DB_設定'!$C$4,"4/1喪失","その他喪失"))))</f>
      </c>
    </row>
    <row r="2299">
      <c r="DB2299" s="2909">
        <f>IF($A2299="","",IF($A2299&lt;&gt;21,"対象外",IF($AE2299&amp;""="00000000","在職",IF($AE2299&amp;""='DB_設定'!$C$4,"4/1喪失","その他喪失"))))</f>
      </c>
    </row>
    <row r="2300">
      <c r="DB2300" s="2909">
        <f>IF($A2300="","",IF($A2300&lt;&gt;21,"対象外",IF($AE2300&amp;""="00000000","在職",IF($AE2300&amp;""='DB_設定'!$C$4,"4/1喪失","その他喪失"))))</f>
      </c>
    </row>
    <row r="2301">
      <c r="DB2301" s="2909">
        <f>IF($A2301="","",IF($A2301&lt;&gt;21,"対象外",IF($AE2301&amp;""="00000000","在職",IF($AE2301&amp;""='DB_設定'!$C$4,"4/1喪失","その他喪失"))))</f>
      </c>
    </row>
    <row r="2302">
      <c r="DB2302" s="2909">
        <f>IF($A2302="","",IF($A2302&lt;&gt;21,"対象外",IF($AE2302&amp;""="00000000","在職",IF($AE2302&amp;""='DB_設定'!$C$4,"4/1喪失","その他喪失"))))</f>
      </c>
    </row>
    <row r="2303">
      <c r="DB2303" s="2909">
        <f>IF($A2303="","",IF($A2303&lt;&gt;21,"対象外",IF($AE2303&amp;""="00000000","在職",IF($AE2303&amp;""='DB_設定'!$C$4,"4/1喪失","その他喪失"))))</f>
      </c>
    </row>
    <row r="2304">
      <c r="DB2304" s="2909">
        <f>IF($A2304="","",IF($A2304&lt;&gt;21,"対象外",IF($AE2304&amp;""="00000000","在職",IF($AE2304&amp;""='DB_設定'!$C$4,"4/1喪失","その他喪失"))))</f>
      </c>
    </row>
    <row r="2305">
      <c r="DB2305" s="2909">
        <f>IF($A2305="","",IF($A2305&lt;&gt;21,"対象外",IF($AE2305&amp;""="00000000","在職",IF($AE2305&amp;""='DB_設定'!$C$4,"4/1喪失","その他喪失"))))</f>
      </c>
    </row>
    <row r="2306">
      <c r="DB2306" s="2909">
        <f>IF($A2306="","",IF($A2306&lt;&gt;21,"対象外",IF($AE2306&amp;""="00000000","在職",IF($AE2306&amp;""='DB_設定'!$C$4,"4/1喪失","その他喪失"))))</f>
      </c>
    </row>
    <row r="2307">
      <c r="DB2307" s="2909">
        <f>IF($A2307="","",IF($A2307&lt;&gt;21,"対象外",IF($AE2307&amp;""="00000000","在職",IF($AE2307&amp;""='DB_設定'!$C$4,"4/1喪失","その他喪失"))))</f>
      </c>
    </row>
    <row r="2308">
      <c r="DB2308" s="2909">
        <f>IF($A2308="","",IF($A2308&lt;&gt;21,"対象外",IF($AE2308&amp;""="00000000","在職",IF($AE2308&amp;""='DB_設定'!$C$4,"4/1喪失","その他喪失"))))</f>
      </c>
    </row>
    <row r="2309">
      <c r="DB2309" s="2909">
        <f>IF($A2309="","",IF($A2309&lt;&gt;21,"対象外",IF($AE2309&amp;""="00000000","在職",IF($AE2309&amp;""='DB_設定'!$C$4,"4/1喪失","その他喪失"))))</f>
      </c>
    </row>
    <row r="2310">
      <c r="DB2310" s="2909">
        <f>IF($A2310="","",IF($A2310&lt;&gt;21,"対象外",IF($AE2310&amp;""="00000000","在職",IF($AE2310&amp;""='DB_設定'!$C$4,"4/1喪失","その他喪失"))))</f>
      </c>
    </row>
    <row r="2311">
      <c r="DB2311" s="2909">
        <f>IF($A2311="","",IF($A2311&lt;&gt;21,"対象外",IF($AE2311&amp;""="00000000","在職",IF($AE2311&amp;""='DB_設定'!$C$4,"4/1喪失","その他喪失"))))</f>
      </c>
    </row>
    <row r="2312">
      <c r="DB2312" s="2909">
        <f>IF($A2312="","",IF($A2312&lt;&gt;21,"対象外",IF($AE2312&amp;""="00000000","在職",IF($AE2312&amp;""='DB_設定'!$C$4,"4/1喪失","その他喪失"))))</f>
      </c>
    </row>
    <row r="2313">
      <c r="DB2313" s="2909">
        <f>IF($A2313="","",IF($A2313&lt;&gt;21,"対象外",IF($AE2313&amp;""="00000000","在職",IF($AE2313&amp;""='DB_設定'!$C$4,"4/1喪失","その他喪失"))))</f>
      </c>
    </row>
    <row r="2314">
      <c r="DB2314" s="2909">
        <f>IF($A2314="","",IF($A2314&lt;&gt;21,"対象外",IF($AE2314&amp;""="00000000","在職",IF($AE2314&amp;""='DB_設定'!$C$4,"4/1喪失","その他喪失"))))</f>
      </c>
    </row>
    <row r="2315">
      <c r="DB2315" s="2909">
        <f>IF($A2315="","",IF($A2315&lt;&gt;21,"対象外",IF($AE2315&amp;""="00000000","在職",IF($AE2315&amp;""='DB_設定'!$C$4,"4/1喪失","その他喪失"))))</f>
      </c>
    </row>
    <row r="2316">
      <c r="DB2316" s="2909">
        <f>IF($A2316="","",IF($A2316&lt;&gt;21,"対象外",IF($AE2316&amp;""="00000000","在職",IF($AE2316&amp;""='DB_設定'!$C$4,"4/1喪失","その他喪失"))))</f>
      </c>
    </row>
    <row r="2317">
      <c r="DB2317" s="2909">
        <f>IF($A2317="","",IF($A2317&lt;&gt;21,"対象外",IF($AE2317&amp;""="00000000","在職",IF($AE2317&amp;""='DB_設定'!$C$4,"4/1喪失","その他喪失"))))</f>
      </c>
    </row>
    <row r="2318">
      <c r="DB2318" s="2909">
        <f>IF($A2318="","",IF($A2318&lt;&gt;21,"対象外",IF($AE2318&amp;""="00000000","在職",IF($AE2318&amp;""='DB_設定'!$C$4,"4/1喪失","その他喪失"))))</f>
      </c>
    </row>
    <row r="2319">
      <c r="DB2319" s="2909">
        <f>IF($A2319="","",IF($A2319&lt;&gt;21,"対象外",IF($AE2319&amp;""="00000000","在職",IF($AE2319&amp;""='DB_設定'!$C$4,"4/1喪失","その他喪失"))))</f>
      </c>
    </row>
    <row r="2320">
      <c r="DB2320" s="2909">
        <f>IF($A2320="","",IF($A2320&lt;&gt;21,"対象外",IF($AE2320&amp;""="00000000","在職",IF($AE2320&amp;""='DB_設定'!$C$4,"4/1喪失","その他喪失"))))</f>
      </c>
    </row>
    <row r="2321">
      <c r="DB2321" s="2909">
        <f>IF($A2321="","",IF($A2321&lt;&gt;21,"対象外",IF($AE2321&amp;""="00000000","在職",IF($AE2321&amp;""='DB_設定'!$C$4,"4/1喪失","その他喪失"))))</f>
      </c>
    </row>
    <row r="2322">
      <c r="DB2322" s="2909">
        <f>IF($A2322="","",IF($A2322&lt;&gt;21,"対象外",IF($AE2322&amp;""="00000000","在職",IF($AE2322&amp;""='DB_設定'!$C$4,"4/1喪失","その他喪失"))))</f>
      </c>
    </row>
    <row r="2323">
      <c r="DB2323" s="2909">
        <f>IF($A2323="","",IF($A2323&lt;&gt;21,"対象外",IF($AE2323&amp;""="00000000","在職",IF($AE2323&amp;""='DB_設定'!$C$4,"4/1喪失","その他喪失"))))</f>
      </c>
    </row>
    <row r="2324">
      <c r="DB2324" s="2909">
        <f>IF($A2324="","",IF($A2324&lt;&gt;21,"対象外",IF($AE2324&amp;""="00000000","在職",IF($AE2324&amp;""='DB_設定'!$C$4,"4/1喪失","その他喪失"))))</f>
      </c>
    </row>
    <row r="2325">
      <c r="DB2325" s="2909">
        <f>IF($A2325="","",IF($A2325&lt;&gt;21,"対象外",IF($AE2325&amp;""="00000000","在職",IF($AE2325&amp;""='DB_設定'!$C$4,"4/1喪失","その他喪失"))))</f>
      </c>
    </row>
    <row r="2326">
      <c r="DB2326" s="2909">
        <f>IF($A2326="","",IF($A2326&lt;&gt;21,"対象外",IF($AE2326&amp;""="00000000","在職",IF($AE2326&amp;""='DB_設定'!$C$4,"4/1喪失","その他喪失"))))</f>
      </c>
    </row>
    <row r="2327">
      <c r="DB2327" s="2909">
        <f>IF($A2327="","",IF($A2327&lt;&gt;21,"対象外",IF($AE2327&amp;""="00000000","在職",IF($AE2327&amp;""='DB_設定'!$C$4,"4/1喪失","その他喪失"))))</f>
      </c>
    </row>
    <row r="2328">
      <c r="DB2328" s="2909">
        <f>IF($A2328="","",IF($A2328&lt;&gt;21,"対象外",IF($AE2328&amp;""="00000000","在職",IF($AE2328&amp;""='DB_設定'!$C$4,"4/1喪失","その他喪失"))))</f>
      </c>
    </row>
    <row r="2329">
      <c r="DB2329" s="2909">
        <f>IF($A2329="","",IF($A2329&lt;&gt;21,"対象外",IF($AE2329&amp;""="00000000","在職",IF($AE2329&amp;""='DB_設定'!$C$4,"4/1喪失","その他喪失"))))</f>
      </c>
    </row>
    <row r="2330">
      <c r="DB2330" s="2909">
        <f>IF($A2330="","",IF($A2330&lt;&gt;21,"対象外",IF($AE2330&amp;""="00000000","在職",IF($AE2330&amp;""='DB_設定'!$C$4,"4/1喪失","その他喪失"))))</f>
      </c>
    </row>
    <row r="2331">
      <c r="DB2331" s="2909">
        <f>IF($A2331="","",IF($A2331&lt;&gt;21,"対象外",IF($AE2331&amp;""="00000000","在職",IF($AE2331&amp;""='DB_設定'!$C$4,"4/1喪失","その他喪失"))))</f>
      </c>
    </row>
    <row r="2332">
      <c r="DB2332" s="2909">
        <f>IF($A2332="","",IF($A2332&lt;&gt;21,"対象外",IF($AE2332&amp;""="00000000","在職",IF($AE2332&amp;""='DB_設定'!$C$4,"4/1喪失","その他喪失"))))</f>
      </c>
    </row>
    <row r="2333">
      <c r="DB2333" s="2909">
        <f>IF($A2333="","",IF($A2333&lt;&gt;21,"対象外",IF($AE2333&amp;""="00000000","在職",IF($AE2333&amp;""='DB_設定'!$C$4,"4/1喪失","その他喪失"))))</f>
      </c>
    </row>
    <row r="2334">
      <c r="DB2334" s="2909">
        <f>IF($A2334="","",IF($A2334&lt;&gt;21,"対象外",IF($AE2334&amp;""="00000000","在職",IF($AE2334&amp;""='DB_設定'!$C$4,"4/1喪失","その他喪失"))))</f>
      </c>
    </row>
    <row r="2335">
      <c r="DB2335" s="2909">
        <f>IF($A2335="","",IF($A2335&lt;&gt;21,"対象外",IF($AE2335&amp;""="00000000","在職",IF($AE2335&amp;""='DB_設定'!$C$4,"4/1喪失","その他喪失"))))</f>
      </c>
    </row>
    <row r="2336">
      <c r="DB2336" s="2909">
        <f>IF($A2336="","",IF($A2336&lt;&gt;21,"対象外",IF($AE2336&amp;""="00000000","在職",IF($AE2336&amp;""='DB_設定'!$C$4,"4/1喪失","その他喪失"))))</f>
      </c>
    </row>
    <row r="2337">
      <c r="DB2337" s="2909">
        <f>IF($A2337="","",IF($A2337&lt;&gt;21,"対象外",IF($AE2337&amp;""="00000000","在職",IF($AE2337&amp;""='DB_設定'!$C$4,"4/1喪失","その他喪失"))))</f>
      </c>
    </row>
    <row r="2338">
      <c r="DB2338" s="2909">
        <f>IF($A2338="","",IF($A2338&lt;&gt;21,"対象外",IF($AE2338&amp;""="00000000","在職",IF($AE2338&amp;""='DB_設定'!$C$4,"4/1喪失","その他喪失"))))</f>
      </c>
    </row>
    <row r="2339">
      <c r="DB2339" s="2909">
        <f>IF($A2339="","",IF($A2339&lt;&gt;21,"対象外",IF($AE2339&amp;""="00000000","在職",IF($AE2339&amp;""='DB_設定'!$C$4,"4/1喪失","その他喪失"))))</f>
      </c>
    </row>
    <row r="2340">
      <c r="DB2340" s="2909">
        <f>IF($A2340="","",IF($A2340&lt;&gt;21,"対象外",IF($AE2340&amp;""="00000000","在職",IF($AE2340&amp;""='DB_設定'!$C$4,"4/1喪失","その他喪失"))))</f>
      </c>
    </row>
    <row r="2341">
      <c r="DB2341" s="2909">
        <f>IF($A2341="","",IF($A2341&lt;&gt;21,"対象外",IF($AE2341&amp;""="00000000","在職",IF($AE2341&amp;""='DB_設定'!$C$4,"4/1喪失","その他喪失"))))</f>
      </c>
    </row>
    <row r="2342">
      <c r="DB2342" s="2909">
        <f>IF($A2342="","",IF($A2342&lt;&gt;21,"対象外",IF($AE2342&amp;""="00000000","在職",IF($AE2342&amp;""='DB_設定'!$C$4,"4/1喪失","その他喪失"))))</f>
      </c>
    </row>
    <row r="2343">
      <c r="DB2343" s="2909">
        <f>IF($A2343="","",IF($A2343&lt;&gt;21,"対象外",IF($AE2343&amp;""="00000000","在職",IF($AE2343&amp;""='DB_設定'!$C$4,"4/1喪失","その他喪失"))))</f>
      </c>
    </row>
    <row r="2344">
      <c r="DB2344" s="2909">
        <f>IF($A2344="","",IF($A2344&lt;&gt;21,"対象外",IF($AE2344&amp;""="00000000","在職",IF($AE2344&amp;""='DB_設定'!$C$4,"4/1喪失","その他喪失"))))</f>
      </c>
    </row>
    <row r="2345">
      <c r="DB2345" s="2909">
        <f>IF($A2345="","",IF($A2345&lt;&gt;21,"対象外",IF($AE2345&amp;""="00000000","在職",IF($AE2345&amp;""='DB_設定'!$C$4,"4/1喪失","その他喪失"))))</f>
      </c>
    </row>
    <row r="2346">
      <c r="DB2346" s="2909">
        <f>IF($A2346="","",IF($A2346&lt;&gt;21,"対象外",IF($AE2346&amp;""="00000000","在職",IF($AE2346&amp;""='DB_設定'!$C$4,"4/1喪失","その他喪失"))))</f>
      </c>
    </row>
    <row r="2347">
      <c r="DB2347" s="2909">
        <f>IF($A2347="","",IF($A2347&lt;&gt;21,"対象外",IF($AE2347&amp;""="00000000","在職",IF($AE2347&amp;""='DB_設定'!$C$4,"4/1喪失","その他喪失"))))</f>
      </c>
    </row>
    <row r="2348">
      <c r="DB2348" s="2909">
        <f>IF($A2348="","",IF($A2348&lt;&gt;21,"対象外",IF($AE2348&amp;""="00000000","在職",IF($AE2348&amp;""='DB_設定'!$C$4,"4/1喪失","その他喪失"))))</f>
      </c>
    </row>
    <row r="2349">
      <c r="DB2349" s="2909">
        <f>IF($A2349="","",IF($A2349&lt;&gt;21,"対象外",IF($AE2349&amp;""="00000000","在職",IF($AE2349&amp;""='DB_設定'!$C$4,"4/1喪失","その他喪失"))))</f>
      </c>
    </row>
    <row r="2350">
      <c r="DB2350" s="2909">
        <f>IF($A2350="","",IF($A2350&lt;&gt;21,"対象外",IF($AE2350&amp;""="00000000","在職",IF($AE2350&amp;""='DB_設定'!$C$4,"4/1喪失","その他喪失"))))</f>
      </c>
    </row>
    <row r="2351">
      <c r="DB2351" s="2909">
        <f>IF($A2351="","",IF($A2351&lt;&gt;21,"対象外",IF($AE2351&amp;""="00000000","在職",IF($AE2351&amp;""='DB_設定'!$C$4,"4/1喪失","その他喪失"))))</f>
      </c>
    </row>
    <row r="2352">
      <c r="DB2352" s="2909">
        <f>IF($A2352="","",IF($A2352&lt;&gt;21,"対象外",IF($AE2352&amp;""="00000000","在職",IF($AE2352&amp;""='DB_設定'!$C$4,"4/1喪失","その他喪失"))))</f>
      </c>
    </row>
    <row r="2353">
      <c r="DB2353" s="2909">
        <f>IF($A2353="","",IF($A2353&lt;&gt;21,"対象外",IF($AE2353&amp;""="00000000","在職",IF($AE2353&amp;""='DB_設定'!$C$4,"4/1喪失","その他喪失"))))</f>
      </c>
    </row>
    <row r="2354">
      <c r="DB2354" s="2909">
        <f>IF($A2354="","",IF($A2354&lt;&gt;21,"対象外",IF($AE2354&amp;""="00000000","在職",IF($AE2354&amp;""='DB_設定'!$C$4,"4/1喪失","その他喪失"))))</f>
      </c>
    </row>
    <row r="2355">
      <c r="DB2355" s="2909">
        <f>IF($A2355="","",IF($A2355&lt;&gt;21,"対象外",IF($AE2355&amp;""="00000000","在職",IF($AE2355&amp;""='DB_設定'!$C$4,"4/1喪失","その他喪失"))))</f>
      </c>
    </row>
    <row r="2356">
      <c r="DB2356" s="2909">
        <f>IF($A2356="","",IF($A2356&lt;&gt;21,"対象外",IF($AE2356&amp;""="00000000","在職",IF($AE2356&amp;""='DB_設定'!$C$4,"4/1喪失","その他喪失"))))</f>
      </c>
    </row>
    <row r="2357">
      <c r="DB2357" s="2909">
        <f>IF($A2357="","",IF($A2357&lt;&gt;21,"対象外",IF($AE2357&amp;""="00000000","在職",IF($AE2357&amp;""='DB_設定'!$C$4,"4/1喪失","その他喪失"))))</f>
      </c>
    </row>
    <row r="2358">
      <c r="DB2358" s="2909">
        <f>IF($A2358="","",IF($A2358&lt;&gt;21,"対象外",IF($AE2358&amp;""="00000000","在職",IF($AE2358&amp;""='DB_設定'!$C$4,"4/1喪失","その他喪失"))))</f>
      </c>
    </row>
    <row r="2359">
      <c r="DB2359" s="2909">
        <f>IF($A2359="","",IF($A2359&lt;&gt;21,"対象外",IF($AE2359&amp;""="00000000","在職",IF($AE2359&amp;""='DB_設定'!$C$4,"4/1喪失","その他喪失"))))</f>
      </c>
    </row>
    <row r="2360">
      <c r="DB2360" s="2909">
        <f>IF($A2360="","",IF($A2360&lt;&gt;21,"対象外",IF($AE2360&amp;""="00000000","在職",IF($AE2360&amp;""='DB_設定'!$C$4,"4/1喪失","その他喪失"))))</f>
      </c>
    </row>
    <row r="2361">
      <c r="DB2361" s="2909">
        <f>IF($A2361="","",IF($A2361&lt;&gt;21,"対象外",IF($AE2361&amp;""="00000000","在職",IF($AE2361&amp;""='DB_設定'!$C$4,"4/1喪失","その他喪失"))))</f>
      </c>
    </row>
    <row r="2362">
      <c r="DB2362" s="2909">
        <f>IF($A2362="","",IF($A2362&lt;&gt;21,"対象外",IF($AE2362&amp;""="00000000","在職",IF($AE2362&amp;""='DB_設定'!$C$4,"4/1喪失","その他喪失"))))</f>
      </c>
    </row>
    <row r="2363">
      <c r="DB2363" s="2909">
        <f>IF($A2363="","",IF($A2363&lt;&gt;21,"対象外",IF($AE2363&amp;""="00000000","在職",IF($AE2363&amp;""='DB_設定'!$C$4,"4/1喪失","その他喪失"))))</f>
      </c>
    </row>
    <row r="2364">
      <c r="DB2364" s="2909">
        <f>IF($A2364="","",IF($A2364&lt;&gt;21,"対象外",IF($AE2364&amp;""="00000000","在職",IF($AE2364&amp;""='DB_設定'!$C$4,"4/1喪失","その他喪失"))))</f>
      </c>
    </row>
    <row r="2365">
      <c r="DB2365" s="2909">
        <f>IF($A2365="","",IF($A2365&lt;&gt;21,"対象外",IF($AE2365&amp;""="00000000","在職",IF($AE2365&amp;""='DB_設定'!$C$4,"4/1喪失","その他喪失"))))</f>
      </c>
    </row>
    <row r="2366">
      <c r="DB2366" s="2909">
        <f>IF($A2366="","",IF($A2366&lt;&gt;21,"対象外",IF($AE2366&amp;""="00000000","在職",IF($AE2366&amp;""='DB_設定'!$C$4,"4/1喪失","その他喪失"))))</f>
      </c>
    </row>
    <row r="2367">
      <c r="DB2367" s="2909">
        <f>IF($A2367="","",IF($A2367&lt;&gt;21,"対象外",IF($AE2367&amp;""="00000000","在職",IF($AE2367&amp;""='DB_設定'!$C$4,"4/1喪失","その他喪失"))))</f>
      </c>
    </row>
    <row r="2368">
      <c r="DB2368" s="2909">
        <f>IF($A2368="","",IF($A2368&lt;&gt;21,"対象外",IF($AE2368&amp;""="00000000","在職",IF($AE2368&amp;""='DB_設定'!$C$4,"4/1喪失","その他喪失"))))</f>
      </c>
    </row>
    <row r="2369">
      <c r="DB2369" s="2909">
        <f>IF($A2369="","",IF($A2369&lt;&gt;21,"対象外",IF($AE2369&amp;""="00000000","在職",IF($AE2369&amp;""='DB_設定'!$C$4,"4/1喪失","その他喪失"))))</f>
      </c>
    </row>
    <row r="2370">
      <c r="DB2370" s="2909">
        <f>IF($A2370="","",IF($A2370&lt;&gt;21,"対象外",IF($AE2370&amp;""="00000000","在職",IF($AE2370&amp;""='DB_設定'!$C$4,"4/1喪失","その他喪失"))))</f>
      </c>
    </row>
    <row r="2371">
      <c r="DB2371" s="2909">
        <f>IF($A2371="","",IF($A2371&lt;&gt;21,"対象外",IF($AE2371&amp;""="00000000","在職",IF($AE2371&amp;""='DB_設定'!$C$4,"4/1喪失","その他喪失"))))</f>
      </c>
    </row>
    <row r="2372">
      <c r="DB2372" s="2909">
        <f>IF($A2372="","",IF($A2372&lt;&gt;21,"対象外",IF($AE2372&amp;""="00000000","在職",IF($AE2372&amp;""='DB_設定'!$C$4,"4/1喪失","その他喪失"))))</f>
      </c>
    </row>
    <row r="2373">
      <c r="DB2373" s="2909">
        <f>IF($A2373="","",IF($A2373&lt;&gt;21,"対象外",IF($AE2373&amp;""="00000000","在職",IF($AE2373&amp;""='DB_設定'!$C$4,"4/1喪失","その他喪失"))))</f>
      </c>
    </row>
    <row r="2374">
      <c r="DB2374" s="2909">
        <f>IF($A2374="","",IF($A2374&lt;&gt;21,"対象外",IF($AE2374&amp;""="00000000","在職",IF($AE2374&amp;""='DB_設定'!$C$4,"4/1喪失","その他喪失"))))</f>
      </c>
    </row>
    <row r="2375">
      <c r="DB2375" s="2909">
        <f>IF($A2375="","",IF($A2375&lt;&gt;21,"対象外",IF($AE2375&amp;""="00000000","在職",IF($AE2375&amp;""='DB_設定'!$C$4,"4/1喪失","その他喪失"))))</f>
      </c>
    </row>
    <row r="2376">
      <c r="DB2376" s="2909">
        <f>IF($A2376="","",IF($A2376&lt;&gt;21,"対象外",IF($AE2376&amp;""="00000000","在職",IF($AE2376&amp;""='DB_設定'!$C$4,"4/1喪失","その他喪失"))))</f>
      </c>
    </row>
    <row r="2377">
      <c r="DB2377" s="2909">
        <f>IF($A2377="","",IF($A2377&lt;&gt;21,"対象外",IF($AE2377&amp;""="00000000","在職",IF($AE2377&amp;""='DB_設定'!$C$4,"4/1喪失","その他喪失"))))</f>
      </c>
    </row>
    <row r="2378">
      <c r="DB2378" s="2909">
        <f>IF($A2378="","",IF($A2378&lt;&gt;21,"対象外",IF($AE2378&amp;""="00000000","在職",IF($AE2378&amp;""='DB_設定'!$C$4,"4/1喪失","その他喪失"))))</f>
      </c>
    </row>
    <row r="2379">
      <c r="DB2379" s="2909">
        <f>IF($A2379="","",IF($A2379&lt;&gt;21,"対象外",IF($AE2379&amp;""="00000000","在職",IF($AE2379&amp;""='DB_設定'!$C$4,"4/1喪失","その他喪失"))))</f>
      </c>
    </row>
    <row r="2380">
      <c r="DB2380" s="2909">
        <f>IF($A2380="","",IF($A2380&lt;&gt;21,"対象外",IF($AE2380&amp;""="00000000","在職",IF($AE2380&amp;""='DB_設定'!$C$4,"4/1喪失","その他喪失"))))</f>
      </c>
    </row>
    <row r="2381">
      <c r="DB2381" s="2909">
        <f>IF($A2381="","",IF($A2381&lt;&gt;21,"対象外",IF($AE2381&amp;""="00000000","在職",IF($AE2381&amp;""='DB_設定'!$C$4,"4/1喪失","その他喪失"))))</f>
      </c>
    </row>
    <row r="2382">
      <c r="DB2382" s="2909">
        <f>IF($A2382="","",IF($A2382&lt;&gt;21,"対象外",IF($AE2382&amp;""="00000000","在職",IF($AE2382&amp;""='DB_設定'!$C$4,"4/1喪失","その他喪失"))))</f>
      </c>
    </row>
    <row r="2383">
      <c r="DB2383" s="2909">
        <f>IF($A2383="","",IF($A2383&lt;&gt;21,"対象外",IF($AE2383&amp;""="00000000","在職",IF($AE2383&amp;""='DB_設定'!$C$4,"4/1喪失","その他喪失"))))</f>
      </c>
    </row>
    <row r="2384">
      <c r="DB2384" s="2909">
        <f>IF($A2384="","",IF($A2384&lt;&gt;21,"対象外",IF($AE2384&amp;""="00000000","在職",IF($AE2384&amp;""='DB_設定'!$C$4,"4/1喪失","その他喪失"))))</f>
      </c>
    </row>
    <row r="2385">
      <c r="DB2385" s="2909">
        <f>IF($A2385="","",IF($A2385&lt;&gt;21,"対象外",IF($AE2385&amp;""="00000000","在職",IF($AE2385&amp;""='DB_設定'!$C$4,"4/1喪失","その他喪失"))))</f>
      </c>
    </row>
    <row r="2386">
      <c r="DB2386" s="2909">
        <f>IF($A2386="","",IF($A2386&lt;&gt;21,"対象外",IF($AE2386&amp;""="00000000","在職",IF($AE2386&amp;""='DB_設定'!$C$4,"4/1喪失","その他喪失"))))</f>
      </c>
    </row>
    <row r="2387">
      <c r="DB2387" s="2909">
        <f>IF($A2387="","",IF($A2387&lt;&gt;21,"対象外",IF($AE2387&amp;""="00000000","在職",IF($AE2387&amp;""='DB_設定'!$C$4,"4/1喪失","その他喪失"))))</f>
      </c>
    </row>
    <row r="2388">
      <c r="DB2388" s="2909">
        <f>IF($A2388="","",IF($A2388&lt;&gt;21,"対象外",IF($AE2388&amp;""="00000000","在職",IF($AE2388&amp;""='DB_設定'!$C$4,"4/1喪失","その他喪失"))))</f>
      </c>
    </row>
    <row r="2389">
      <c r="DB2389" s="2909">
        <f>IF($A2389="","",IF($A2389&lt;&gt;21,"対象外",IF($AE2389&amp;""="00000000","在職",IF($AE2389&amp;""='DB_設定'!$C$4,"4/1喪失","その他喪失"))))</f>
      </c>
    </row>
    <row r="2390">
      <c r="DB2390" s="2909">
        <f>IF($A2390="","",IF($A2390&lt;&gt;21,"対象外",IF($AE2390&amp;""="00000000","在職",IF($AE2390&amp;""='DB_設定'!$C$4,"4/1喪失","その他喪失"))))</f>
      </c>
    </row>
    <row r="2391">
      <c r="DB2391" s="2909">
        <f>IF($A2391="","",IF($A2391&lt;&gt;21,"対象外",IF($AE2391&amp;""="00000000","在職",IF($AE2391&amp;""='DB_設定'!$C$4,"4/1喪失","その他喪失"))))</f>
      </c>
    </row>
    <row r="2392">
      <c r="DB2392" s="2909">
        <f>IF($A2392="","",IF($A2392&lt;&gt;21,"対象外",IF($AE2392&amp;""="00000000","在職",IF($AE2392&amp;""='DB_設定'!$C$4,"4/1喪失","その他喪失"))))</f>
      </c>
    </row>
    <row r="2393">
      <c r="DB2393" s="2909">
        <f>IF($A2393="","",IF($A2393&lt;&gt;21,"対象外",IF($AE2393&amp;""="00000000","在職",IF($AE2393&amp;""='DB_設定'!$C$4,"4/1喪失","その他喪失"))))</f>
      </c>
    </row>
    <row r="2394">
      <c r="DB2394" s="2909">
        <f>IF($A2394="","",IF($A2394&lt;&gt;21,"対象外",IF($AE2394&amp;""="00000000","在職",IF($AE2394&amp;""='DB_設定'!$C$4,"4/1喪失","その他喪失"))))</f>
      </c>
    </row>
    <row r="2395">
      <c r="DB2395" s="2909">
        <f>IF($A2395="","",IF($A2395&lt;&gt;21,"対象外",IF($AE2395&amp;""="00000000","在職",IF($AE2395&amp;""='DB_設定'!$C$4,"4/1喪失","その他喪失"))))</f>
      </c>
    </row>
    <row r="2396">
      <c r="DB2396" s="2909">
        <f>IF($A2396="","",IF($A2396&lt;&gt;21,"対象外",IF($AE2396&amp;""="00000000","在職",IF($AE2396&amp;""='DB_設定'!$C$4,"4/1喪失","その他喪失"))))</f>
      </c>
    </row>
    <row r="2397">
      <c r="DB2397" s="2909">
        <f>IF($A2397="","",IF($A2397&lt;&gt;21,"対象外",IF($AE2397&amp;""="00000000","在職",IF($AE2397&amp;""='DB_設定'!$C$4,"4/1喪失","その他喪失"))))</f>
      </c>
    </row>
    <row r="2398">
      <c r="DB2398" s="2909">
        <f>IF($A2398="","",IF($A2398&lt;&gt;21,"対象外",IF($AE2398&amp;""="00000000","在職",IF($AE2398&amp;""='DB_設定'!$C$4,"4/1喪失","その他喪失"))))</f>
      </c>
    </row>
    <row r="2399">
      <c r="DB2399" s="2909">
        <f>IF($A2399="","",IF($A2399&lt;&gt;21,"対象外",IF($AE2399&amp;""="00000000","在職",IF($AE2399&amp;""='DB_設定'!$C$4,"4/1喪失","その他喪失"))))</f>
      </c>
    </row>
    <row r="2400">
      <c r="DB2400" s="2909">
        <f>IF($A2400="","",IF($A2400&lt;&gt;21,"対象外",IF($AE2400&amp;""="00000000","在職",IF($AE2400&amp;""='DB_設定'!$C$4,"4/1喪失","その他喪失"))))</f>
      </c>
    </row>
    <row r="2401">
      <c r="DB2401" s="2909">
        <f>IF($A2401="","",IF($A2401&lt;&gt;21,"対象外",IF($AE2401&amp;""="00000000","在職",IF($AE2401&amp;""='DB_設定'!$C$4,"4/1喪失","その他喪失"))))</f>
      </c>
    </row>
    <row r="2402">
      <c r="DB2402" s="2909">
        <f>IF($A2402="","",IF($A2402&lt;&gt;21,"対象外",IF($AE2402&amp;""="00000000","在職",IF($AE2402&amp;""='DB_設定'!$C$4,"4/1喪失","その他喪失"))))</f>
      </c>
    </row>
    <row r="2403">
      <c r="DB2403" s="2909">
        <f>IF($A2403="","",IF($A2403&lt;&gt;21,"対象外",IF($AE2403&amp;""="00000000","在職",IF($AE2403&amp;""='DB_設定'!$C$4,"4/1喪失","その他喪失"))))</f>
      </c>
    </row>
    <row r="2404">
      <c r="DB2404" s="2909">
        <f>IF($A2404="","",IF($A2404&lt;&gt;21,"対象外",IF($AE2404&amp;""="00000000","在職",IF($AE2404&amp;""='DB_設定'!$C$4,"4/1喪失","その他喪失"))))</f>
      </c>
    </row>
    <row r="2405">
      <c r="DB2405" s="2909">
        <f>IF($A2405="","",IF($A2405&lt;&gt;21,"対象外",IF($AE2405&amp;""="00000000","在職",IF($AE2405&amp;""='DB_設定'!$C$4,"4/1喪失","その他喪失"))))</f>
      </c>
    </row>
    <row r="2406">
      <c r="DB2406" s="2909">
        <f>IF($A2406="","",IF($A2406&lt;&gt;21,"対象外",IF($AE2406&amp;""="00000000","在職",IF($AE2406&amp;""='DB_設定'!$C$4,"4/1喪失","その他喪失"))))</f>
      </c>
    </row>
    <row r="2407">
      <c r="DB2407" s="2909">
        <f>IF($A2407="","",IF($A2407&lt;&gt;21,"対象外",IF($AE2407&amp;""="00000000","在職",IF($AE2407&amp;""='DB_設定'!$C$4,"4/1喪失","その他喪失"))))</f>
      </c>
    </row>
    <row r="2408">
      <c r="DB2408" s="2909">
        <f>IF($A2408="","",IF($A2408&lt;&gt;21,"対象外",IF($AE2408&amp;""="00000000","在職",IF($AE2408&amp;""='DB_設定'!$C$4,"4/1喪失","その他喪失"))))</f>
      </c>
    </row>
    <row r="2409">
      <c r="DB2409" s="2909">
        <f>IF($A2409="","",IF($A2409&lt;&gt;21,"対象外",IF($AE2409&amp;""="00000000","在職",IF($AE2409&amp;""='DB_設定'!$C$4,"4/1喪失","その他喪失"))))</f>
      </c>
    </row>
    <row r="2410">
      <c r="DB2410" s="2909">
        <f>IF($A2410="","",IF($A2410&lt;&gt;21,"対象外",IF($AE2410&amp;""="00000000","在職",IF($AE2410&amp;""='DB_設定'!$C$4,"4/1喪失","その他喪失"))))</f>
      </c>
    </row>
    <row r="2411">
      <c r="DB2411" s="2909">
        <f>IF($A2411="","",IF($A2411&lt;&gt;21,"対象外",IF($AE2411&amp;""="00000000","在職",IF($AE2411&amp;""='DB_設定'!$C$4,"4/1喪失","その他喪失"))))</f>
      </c>
    </row>
    <row r="2412">
      <c r="DB2412" s="2909">
        <f>IF($A2412="","",IF($A2412&lt;&gt;21,"対象外",IF($AE2412&amp;""="00000000","在職",IF($AE2412&amp;""='DB_設定'!$C$4,"4/1喪失","その他喪失"))))</f>
      </c>
    </row>
    <row r="2413">
      <c r="DB2413" s="2909">
        <f>IF($A2413="","",IF($A2413&lt;&gt;21,"対象外",IF($AE2413&amp;""="00000000","在職",IF($AE2413&amp;""='DB_設定'!$C$4,"4/1喪失","その他喪失"))))</f>
      </c>
    </row>
    <row r="2414">
      <c r="DB2414" s="2909">
        <f>IF($A2414="","",IF($A2414&lt;&gt;21,"対象外",IF($AE2414&amp;""="00000000","在職",IF($AE2414&amp;""='DB_設定'!$C$4,"4/1喪失","その他喪失"))))</f>
      </c>
    </row>
    <row r="2415">
      <c r="DB2415" s="2909">
        <f>IF($A2415="","",IF($A2415&lt;&gt;21,"対象外",IF($AE2415&amp;""="00000000","在職",IF($AE2415&amp;""='DB_設定'!$C$4,"4/1喪失","その他喪失"))))</f>
      </c>
    </row>
    <row r="2416">
      <c r="DB2416" s="2909">
        <f>IF($A2416="","",IF($A2416&lt;&gt;21,"対象外",IF($AE2416&amp;""="00000000","在職",IF($AE2416&amp;""='DB_設定'!$C$4,"4/1喪失","その他喪失"))))</f>
      </c>
    </row>
    <row r="2417">
      <c r="DB2417" s="2909">
        <f>IF($A2417="","",IF($A2417&lt;&gt;21,"対象外",IF($AE2417&amp;""="00000000","在職",IF($AE2417&amp;""='DB_設定'!$C$4,"4/1喪失","その他喪失"))))</f>
      </c>
    </row>
    <row r="2418">
      <c r="DB2418" s="2909">
        <f>IF($A2418="","",IF($A2418&lt;&gt;21,"対象外",IF($AE2418&amp;""="00000000","在職",IF($AE2418&amp;""='DB_設定'!$C$4,"4/1喪失","その他喪失"))))</f>
      </c>
    </row>
    <row r="2419">
      <c r="DB2419" s="2909">
        <f>IF($A2419="","",IF($A2419&lt;&gt;21,"対象外",IF($AE2419&amp;""="00000000","在職",IF($AE2419&amp;""='DB_設定'!$C$4,"4/1喪失","その他喪失"))))</f>
      </c>
    </row>
    <row r="2420">
      <c r="DB2420" s="2909">
        <f>IF($A2420="","",IF($A2420&lt;&gt;21,"対象外",IF($AE2420&amp;""="00000000","在職",IF($AE2420&amp;""='DB_設定'!$C$4,"4/1喪失","その他喪失"))))</f>
      </c>
    </row>
    <row r="2421">
      <c r="DB2421" s="2909">
        <f>IF($A2421="","",IF($A2421&lt;&gt;21,"対象外",IF($AE2421&amp;""="00000000","在職",IF($AE2421&amp;""='DB_設定'!$C$4,"4/1喪失","その他喪失"))))</f>
      </c>
    </row>
    <row r="2422">
      <c r="DB2422" s="2909">
        <f>IF($A2422="","",IF($A2422&lt;&gt;21,"対象外",IF($AE2422&amp;""="00000000","在職",IF($AE2422&amp;""='DB_設定'!$C$4,"4/1喪失","その他喪失"))))</f>
      </c>
    </row>
    <row r="2423">
      <c r="DB2423" s="2909">
        <f>IF($A2423="","",IF($A2423&lt;&gt;21,"対象外",IF($AE2423&amp;""="00000000","在職",IF($AE2423&amp;""='DB_設定'!$C$4,"4/1喪失","その他喪失"))))</f>
      </c>
    </row>
    <row r="2424">
      <c r="DB2424" s="2909">
        <f>IF($A2424="","",IF($A2424&lt;&gt;21,"対象外",IF($AE2424&amp;""="00000000","在職",IF($AE2424&amp;""='DB_設定'!$C$4,"4/1喪失","その他喪失"))))</f>
      </c>
    </row>
    <row r="2425">
      <c r="DB2425" s="2909">
        <f>IF($A2425="","",IF($A2425&lt;&gt;21,"対象外",IF($AE2425&amp;""="00000000","在職",IF($AE2425&amp;""='DB_設定'!$C$4,"4/1喪失","その他喪失"))))</f>
      </c>
    </row>
    <row r="2426">
      <c r="DB2426" s="2909">
        <f>IF($A2426="","",IF($A2426&lt;&gt;21,"対象外",IF($AE2426&amp;""="00000000","在職",IF($AE2426&amp;""='DB_設定'!$C$4,"4/1喪失","その他喪失"))))</f>
      </c>
    </row>
    <row r="2427">
      <c r="DB2427" s="2909">
        <f>IF($A2427="","",IF($A2427&lt;&gt;21,"対象外",IF($AE2427&amp;""="00000000","在職",IF($AE2427&amp;""='DB_設定'!$C$4,"4/1喪失","その他喪失"))))</f>
      </c>
    </row>
    <row r="2428">
      <c r="DB2428" s="2909">
        <f>IF($A2428="","",IF($A2428&lt;&gt;21,"対象外",IF($AE2428&amp;""="00000000","在職",IF($AE2428&amp;""='DB_設定'!$C$4,"4/1喪失","その他喪失"))))</f>
      </c>
    </row>
    <row r="2429">
      <c r="DB2429" s="2909">
        <f>IF($A2429="","",IF($A2429&lt;&gt;21,"対象外",IF($AE2429&amp;""="00000000","在職",IF($AE2429&amp;""='DB_設定'!$C$4,"4/1喪失","その他喪失"))))</f>
      </c>
    </row>
    <row r="2430">
      <c r="DB2430" s="2909">
        <f>IF($A2430="","",IF($A2430&lt;&gt;21,"対象外",IF($AE2430&amp;""="00000000","在職",IF($AE2430&amp;""='DB_設定'!$C$4,"4/1喪失","その他喪失"))))</f>
      </c>
    </row>
    <row r="2431">
      <c r="DB2431" s="2909">
        <f>IF($A2431="","",IF($A2431&lt;&gt;21,"対象外",IF($AE2431&amp;""="00000000","在職",IF($AE2431&amp;""='DB_設定'!$C$4,"4/1喪失","その他喪失"))))</f>
      </c>
    </row>
    <row r="2432">
      <c r="DB2432" s="2909">
        <f>IF($A2432="","",IF($A2432&lt;&gt;21,"対象外",IF($AE2432&amp;""="00000000","在職",IF($AE2432&amp;""='DB_設定'!$C$4,"4/1喪失","その他喪失"))))</f>
      </c>
    </row>
    <row r="2433">
      <c r="DB2433" s="2909">
        <f>IF($A2433="","",IF($A2433&lt;&gt;21,"対象外",IF($AE2433&amp;""="00000000","在職",IF($AE2433&amp;""='DB_設定'!$C$4,"4/1喪失","その他喪失"))))</f>
      </c>
    </row>
    <row r="2434">
      <c r="DB2434" s="2909">
        <f>IF($A2434="","",IF($A2434&lt;&gt;21,"対象外",IF($AE2434&amp;""="00000000","在職",IF($AE2434&amp;""='DB_設定'!$C$4,"4/1喪失","その他喪失"))))</f>
      </c>
    </row>
    <row r="2435">
      <c r="DB2435" s="2909">
        <f>IF($A2435="","",IF($A2435&lt;&gt;21,"対象外",IF($AE2435&amp;""="00000000","在職",IF($AE2435&amp;""='DB_設定'!$C$4,"4/1喪失","その他喪失"))))</f>
      </c>
    </row>
    <row r="2436">
      <c r="DB2436" s="2909">
        <f>IF($A2436="","",IF($A2436&lt;&gt;21,"対象外",IF($AE2436&amp;""="00000000","在職",IF($AE2436&amp;""='DB_設定'!$C$4,"4/1喪失","その他喪失"))))</f>
      </c>
    </row>
    <row r="2437">
      <c r="DB2437" s="2909">
        <f>IF($A2437="","",IF($A2437&lt;&gt;21,"対象外",IF($AE2437&amp;""="00000000","在職",IF($AE2437&amp;""='DB_設定'!$C$4,"4/1喪失","その他喪失"))))</f>
      </c>
    </row>
    <row r="2438">
      <c r="DB2438" s="2909">
        <f>IF($A2438="","",IF($A2438&lt;&gt;21,"対象外",IF($AE2438&amp;""="00000000","在職",IF($AE2438&amp;""='DB_設定'!$C$4,"4/1喪失","その他喪失"))))</f>
      </c>
    </row>
    <row r="2439">
      <c r="DB2439" s="2909">
        <f>IF($A2439="","",IF($A2439&lt;&gt;21,"対象外",IF($AE2439&amp;""="00000000","在職",IF($AE2439&amp;""='DB_設定'!$C$4,"4/1喪失","その他喪失"))))</f>
      </c>
    </row>
    <row r="2440">
      <c r="DB2440" s="2909">
        <f>IF($A2440="","",IF($A2440&lt;&gt;21,"対象外",IF($AE2440&amp;""="00000000","在職",IF($AE2440&amp;""='DB_設定'!$C$4,"4/1喪失","その他喪失"))))</f>
      </c>
    </row>
    <row r="2441">
      <c r="DB2441" s="2909">
        <f>IF($A2441="","",IF($A2441&lt;&gt;21,"対象外",IF($AE2441&amp;""="00000000","在職",IF($AE2441&amp;""='DB_設定'!$C$4,"4/1喪失","その他喪失"))))</f>
      </c>
    </row>
    <row r="2442">
      <c r="DB2442" s="2909">
        <f>IF($A2442="","",IF($A2442&lt;&gt;21,"対象外",IF($AE2442&amp;""="00000000","在職",IF($AE2442&amp;""='DB_設定'!$C$4,"4/1喪失","その他喪失"))))</f>
      </c>
    </row>
    <row r="2443">
      <c r="DB2443" s="2909">
        <f>IF($A2443="","",IF($A2443&lt;&gt;21,"対象外",IF($AE2443&amp;""="00000000","在職",IF($AE2443&amp;""='DB_設定'!$C$4,"4/1喪失","その他喪失"))))</f>
      </c>
    </row>
    <row r="2444">
      <c r="DB2444" s="2909">
        <f>IF($A2444="","",IF($A2444&lt;&gt;21,"対象外",IF($AE2444&amp;""="00000000","在職",IF($AE2444&amp;""='DB_設定'!$C$4,"4/1喪失","その他喪失"))))</f>
      </c>
    </row>
    <row r="2445">
      <c r="DB2445" s="2909">
        <f>IF($A2445="","",IF($A2445&lt;&gt;21,"対象外",IF($AE2445&amp;""="00000000","在職",IF($AE2445&amp;""='DB_設定'!$C$4,"4/1喪失","その他喪失"))))</f>
      </c>
    </row>
    <row r="2446">
      <c r="DB2446" s="2909">
        <f>IF($A2446="","",IF($A2446&lt;&gt;21,"対象外",IF($AE2446&amp;""="00000000","在職",IF($AE2446&amp;""='DB_設定'!$C$4,"4/1喪失","その他喪失"))))</f>
      </c>
    </row>
    <row r="2447">
      <c r="DB2447" s="2909">
        <f>IF($A2447="","",IF($A2447&lt;&gt;21,"対象外",IF($AE2447&amp;""="00000000","在職",IF($AE2447&amp;""='DB_設定'!$C$4,"4/1喪失","その他喪失"))))</f>
      </c>
    </row>
    <row r="2448">
      <c r="DB2448" s="2909">
        <f>IF($A2448="","",IF($A2448&lt;&gt;21,"対象外",IF($AE2448&amp;""="00000000","在職",IF($AE2448&amp;""='DB_設定'!$C$4,"4/1喪失","その他喪失"))))</f>
      </c>
    </row>
    <row r="2449">
      <c r="DB2449" s="2909">
        <f>IF($A2449="","",IF($A2449&lt;&gt;21,"対象外",IF($AE2449&amp;""="00000000","在職",IF($AE2449&amp;""='DB_設定'!$C$4,"4/1喪失","その他喪失"))))</f>
      </c>
    </row>
    <row r="2450">
      <c r="DB2450" s="2909">
        <f>IF($A2450="","",IF($A2450&lt;&gt;21,"対象外",IF($AE2450&amp;""="00000000","在職",IF($AE2450&amp;""='DB_設定'!$C$4,"4/1喪失","その他喪失"))))</f>
      </c>
    </row>
    <row r="2451">
      <c r="DB2451" s="2909">
        <f>IF($A2451="","",IF($A2451&lt;&gt;21,"対象外",IF($AE2451&amp;""="00000000","在職",IF($AE2451&amp;""='DB_設定'!$C$4,"4/1喪失","その他喪失"))))</f>
      </c>
    </row>
    <row r="2452">
      <c r="DB2452" s="2909">
        <f>IF($A2452="","",IF($A2452&lt;&gt;21,"対象外",IF($AE2452&amp;""="00000000","在職",IF($AE2452&amp;""='DB_設定'!$C$4,"4/1喪失","その他喪失"))))</f>
      </c>
    </row>
    <row r="2453">
      <c r="DB2453" s="2909">
        <f>IF($A2453="","",IF($A2453&lt;&gt;21,"対象外",IF($AE2453&amp;""="00000000","在職",IF($AE2453&amp;""='DB_設定'!$C$4,"4/1喪失","その他喪失"))))</f>
      </c>
    </row>
    <row r="2454">
      <c r="DB2454" s="2909">
        <f>IF($A2454="","",IF($A2454&lt;&gt;21,"対象外",IF($AE2454&amp;""="00000000","在職",IF($AE2454&amp;""='DB_設定'!$C$4,"4/1喪失","その他喪失"))))</f>
      </c>
    </row>
    <row r="2455">
      <c r="DB2455" s="2909">
        <f>IF($A2455="","",IF($A2455&lt;&gt;21,"対象外",IF($AE2455&amp;""="00000000","在職",IF($AE2455&amp;""='DB_設定'!$C$4,"4/1喪失","その他喪失"))))</f>
      </c>
    </row>
    <row r="2456">
      <c r="DB2456" s="2909">
        <f>IF($A2456="","",IF($A2456&lt;&gt;21,"対象外",IF($AE2456&amp;""="00000000","在職",IF($AE2456&amp;""='DB_設定'!$C$4,"4/1喪失","その他喪失"))))</f>
      </c>
    </row>
    <row r="2457">
      <c r="DB2457" s="2909">
        <f>IF($A2457="","",IF($A2457&lt;&gt;21,"対象外",IF($AE2457&amp;""="00000000","在職",IF($AE2457&amp;""='DB_設定'!$C$4,"4/1喪失","その他喪失"))))</f>
      </c>
    </row>
    <row r="2458">
      <c r="DB2458" s="2909">
        <f>IF($A2458="","",IF($A2458&lt;&gt;21,"対象外",IF($AE2458&amp;""="00000000","在職",IF($AE2458&amp;""='DB_設定'!$C$4,"4/1喪失","その他喪失"))))</f>
      </c>
    </row>
    <row r="2459">
      <c r="DB2459" s="2909">
        <f>IF($A2459="","",IF($A2459&lt;&gt;21,"対象外",IF($AE2459&amp;""="00000000","在職",IF($AE2459&amp;""='DB_設定'!$C$4,"4/1喪失","その他喪失"))))</f>
      </c>
    </row>
    <row r="2460">
      <c r="DB2460" s="2909">
        <f>IF($A2460="","",IF($A2460&lt;&gt;21,"対象外",IF($AE2460&amp;""="00000000","在職",IF($AE2460&amp;""='DB_設定'!$C$4,"4/1喪失","その他喪失"))))</f>
      </c>
    </row>
    <row r="2461">
      <c r="DB2461" s="2909">
        <f>IF($A2461="","",IF($A2461&lt;&gt;21,"対象外",IF($AE2461&amp;""="00000000","在職",IF($AE2461&amp;""='DB_設定'!$C$4,"4/1喪失","その他喪失"))))</f>
      </c>
    </row>
    <row r="2462">
      <c r="DB2462" s="2909">
        <f>IF($A2462="","",IF($A2462&lt;&gt;21,"対象外",IF($AE2462&amp;""="00000000","在職",IF($AE2462&amp;""='DB_設定'!$C$4,"4/1喪失","その他喪失"))))</f>
      </c>
    </row>
    <row r="2463">
      <c r="DB2463" s="2909">
        <f>IF($A2463="","",IF($A2463&lt;&gt;21,"対象外",IF($AE2463&amp;""="00000000","在職",IF($AE2463&amp;""='DB_設定'!$C$4,"4/1喪失","その他喪失"))))</f>
      </c>
    </row>
    <row r="2464">
      <c r="DB2464" s="2909">
        <f>IF($A2464="","",IF($A2464&lt;&gt;21,"対象外",IF($AE2464&amp;""="00000000","在職",IF($AE2464&amp;""='DB_設定'!$C$4,"4/1喪失","その他喪失"))))</f>
      </c>
    </row>
    <row r="2465">
      <c r="DB2465" s="2909">
        <f>IF($A2465="","",IF($A2465&lt;&gt;21,"対象外",IF($AE2465&amp;""="00000000","在職",IF($AE2465&amp;""='DB_設定'!$C$4,"4/1喪失","その他喪失"))))</f>
      </c>
    </row>
    <row r="2466">
      <c r="DB2466" s="2909">
        <f>IF($A2466="","",IF($A2466&lt;&gt;21,"対象外",IF($AE2466&amp;""="00000000","在職",IF($AE2466&amp;""='DB_設定'!$C$4,"4/1喪失","その他喪失"))))</f>
      </c>
    </row>
    <row r="2467">
      <c r="DB2467" s="2909">
        <f>IF($A2467="","",IF($A2467&lt;&gt;21,"対象外",IF($AE2467&amp;""="00000000","在職",IF($AE2467&amp;""='DB_設定'!$C$4,"4/1喪失","その他喪失"))))</f>
      </c>
    </row>
    <row r="2468">
      <c r="DB2468" s="2909">
        <f>IF($A2468="","",IF($A2468&lt;&gt;21,"対象外",IF($AE2468&amp;""="00000000","在職",IF($AE2468&amp;""='DB_設定'!$C$4,"4/1喪失","その他喪失"))))</f>
      </c>
    </row>
    <row r="2469">
      <c r="DB2469" s="2909">
        <f>IF($A2469="","",IF($A2469&lt;&gt;21,"対象外",IF($AE2469&amp;""="00000000","在職",IF($AE2469&amp;""='DB_設定'!$C$4,"4/1喪失","その他喪失"))))</f>
      </c>
    </row>
    <row r="2470">
      <c r="DB2470" s="2909">
        <f>IF($A2470="","",IF($A2470&lt;&gt;21,"対象外",IF($AE2470&amp;""="00000000","在職",IF($AE2470&amp;""='DB_設定'!$C$4,"4/1喪失","その他喪失"))))</f>
      </c>
    </row>
    <row r="2471">
      <c r="DB2471" s="2909">
        <f>IF($A2471="","",IF($A2471&lt;&gt;21,"対象外",IF($AE2471&amp;""="00000000","在職",IF($AE2471&amp;""='DB_設定'!$C$4,"4/1喪失","その他喪失"))))</f>
      </c>
    </row>
    <row r="2472">
      <c r="DB2472" s="2909">
        <f>IF($A2472="","",IF($A2472&lt;&gt;21,"対象外",IF($AE2472&amp;""="00000000","在職",IF($AE2472&amp;""='DB_設定'!$C$4,"4/1喪失","その他喪失"))))</f>
      </c>
    </row>
    <row r="2473">
      <c r="DB2473" s="2909">
        <f>IF($A2473="","",IF($A2473&lt;&gt;21,"対象外",IF($AE2473&amp;""="00000000","在職",IF($AE2473&amp;""='DB_設定'!$C$4,"4/1喪失","その他喪失"))))</f>
      </c>
    </row>
    <row r="2474">
      <c r="DB2474" s="2909">
        <f>IF($A2474="","",IF($A2474&lt;&gt;21,"対象外",IF($AE2474&amp;""="00000000","在職",IF($AE2474&amp;""='DB_設定'!$C$4,"4/1喪失","その他喪失"))))</f>
      </c>
    </row>
    <row r="2475">
      <c r="DB2475" s="2909">
        <f>IF($A2475="","",IF($A2475&lt;&gt;21,"対象外",IF($AE2475&amp;""="00000000","在職",IF($AE2475&amp;""='DB_設定'!$C$4,"4/1喪失","その他喪失"))))</f>
      </c>
    </row>
    <row r="2476">
      <c r="DB2476" s="2909">
        <f>IF($A2476="","",IF($A2476&lt;&gt;21,"対象外",IF($AE2476&amp;""="00000000","在職",IF($AE2476&amp;""='DB_設定'!$C$4,"4/1喪失","その他喪失"))))</f>
      </c>
    </row>
    <row r="2477">
      <c r="DB2477" s="2909">
        <f>IF($A2477="","",IF($A2477&lt;&gt;21,"対象外",IF($AE2477&amp;""="00000000","在職",IF($AE2477&amp;""='DB_設定'!$C$4,"4/1喪失","その他喪失"))))</f>
      </c>
    </row>
    <row r="2478">
      <c r="DB2478" s="2909">
        <f>IF($A2478="","",IF($A2478&lt;&gt;21,"対象外",IF($AE2478&amp;""="00000000","在職",IF($AE2478&amp;""='DB_設定'!$C$4,"4/1喪失","その他喪失"))))</f>
      </c>
    </row>
    <row r="2479">
      <c r="DB2479" s="2909">
        <f>IF($A2479="","",IF($A2479&lt;&gt;21,"対象外",IF($AE2479&amp;""="00000000","在職",IF($AE2479&amp;""='DB_設定'!$C$4,"4/1喪失","その他喪失"))))</f>
      </c>
    </row>
    <row r="2480">
      <c r="DB2480" s="2909">
        <f>IF($A2480="","",IF($A2480&lt;&gt;21,"対象外",IF($AE2480&amp;""="00000000","在職",IF($AE2480&amp;""='DB_設定'!$C$4,"4/1喪失","その他喪失"))))</f>
      </c>
    </row>
    <row r="2481">
      <c r="DB2481" s="2909">
        <f>IF($A2481="","",IF($A2481&lt;&gt;21,"対象外",IF($AE2481&amp;""="00000000","在職",IF($AE2481&amp;""='DB_設定'!$C$4,"4/1喪失","その他喪失"))))</f>
      </c>
    </row>
    <row r="2482">
      <c r="DB2482" s="2909">
        <f>IF($A2482="","",IF($A2482&lt;&gt;21,"対象外",IF($AE2482&amp;""="00000000","在職",IF($AE2482&amp;""='DB_設定'!$C$4,"4/1喪失","その他喪失"))))</f>
      </c>
    </row>
    <row r="2483">
      <c r="DB2483" s="2909">
        <f>IF($A2483="","",IF($A2483&lt;&gt;21,"対象外",IF($AE2483&amp;""="00000000","在職",IF($AE2483&amp;""='DB_設定'!$C$4,"4/1喪失","その他喪失"))))</f>
      </c>
    </row>
    <row r="2484">
      <c r="DB2484" s="2909">
        <f>IF($A2484="","",IF($A2484&lt;&gt;21,"対象外",IF($AE2484&amp;""="00000000","在職",IF($AE2484&amp;""='DB_設定'!$C$4,"4/1喪失","その他喪失"))))</f>
      </c>
    </row>
    <row r="2485">
      <c r="DB2485" s="2909">
        <f>IF($A2485="","",IF($A2485&lt;&gt;21,"対象外",IF($AE2485&amp;""="00000000","在職",IF($AE2485&amp;""='DB_設定'!$C$4,"4/1喪失","その他喪失"))))</f>
      </c>
    </row>
    <row r="2486">
      <c r="DB2486" s="2909">
        <f>IF($A2486="","",IF($A2486&lt;&gt;21,"対象外",IF($AE2486&amp;""="00000000","在職",IF($AE2486&amp;""='DB_設定'!$C$4,"4/1喪失","その他喪失"))))</f>
      </c>
    </row>
    <row r="2487">
      <c r="DB2487" s="2909">
        <f>IF($A2487="","",IF($A2487&lt;&gt;21,"対象外",IF($AE2487&amp;""="00000000","在職",IF($AE2487&amp;""='DB_設定'!$C$4,"4/1喪失","その他喪失"))))</f>
      </c>
    </row>
    <row r="2488">
      <c r="DB2488" s="2909">
        <f>IF($A2488="","",IF($A2488&lt;&gt;21,"対象外",IF($AE2488&amp;""="00000000","在職",IF($AE2488&amp;""='DB_設定'!$C$4,"4/1喪失","その他喪失"))))</f>
      </c>
    </row>
    <row r="2489">
      <c r="DB2489" s="2909">
        <f>IF($A2489="","",IF($A2489&lt;&gt;21,"対象外",IF($AE2489&amp;""="00000000","在職",IF($AE2489&amp;""='DB_設定'!$C$4,"4/1喪失","その他喪失"))))</f>
      </c>
    </row>
    <row r="2490">
      <c r="DB2490" s="2909">
        <f>IF($A2490="","",IF($A2490&lt;&gt;21,"対象外",IF($AE2490&amp;""="00000000","在職",IF($AE2490&amp;""='DB_設定'!$C$4,"4/1喪失","その他喪失"))))</f>
      </c>
    </row>
    <row r="2491">
      <c r="DB2491" s="2909">
        <f>IF($A2491="","",IF($A2491&lt;&gt;21,"対象外",IF($AE2491&amp;""="00000000","在職",IF($AE2491&amp;""='DB_設定'!$C$4,"4/1喪失","その他喪失"))))</f>
      </c>
    </row>
    <row r="2492">
      <c r="DB2492" s="2909">
        <f>IF($A2492="","",IF($A2492&lt;&gt;21,"対象外",IF($AE2492&amp;""="00000000","在職",IF($AE2492&amp;""='DB_設定'!$C$4,"4/1喪失","その他喪失"))))</f>
      </c>
    </row>
    <row r="2493">
      <c r="DB2493" s="2909">
        <f>IF($A2493="","",IF($A2493&lt;&gt;21,"対象外",IF($AE2493&amp;""="00000000","在職",IF($AE2493&amp;""='DB_設定'!$C$4,"4/1喪失","その他喪失"))))</f>
      </c>
    </row>
    <row r="2494">
      <c r="DB2494" s="2909">
        <f>IF($A2494="","",IF($A2494&lt;&gt;21,"対象外",IF($AE2494&amp;""="00000000","在職",IF($AE2494&amp;""='DB_設定'!$C$4,"4/1喪失","その他喪失"))))</f>
      </c>
    </row>
    <row r="2495">
      <c r="DB2495" s="2909">
        <f>IF($A2495="","",IF($A2495&lt;&gt;21,"対象外",IF($AE2495&amp;""="00000000","在職",IF($AE2495&amp;""='DB_設定'!$C$4,"4/1喪失","その他喪失"))))</f>
      </c>
    </row>
    <row r="2496">
      <c r="DB2496" s="2909">
        <f>IF($A2496="","",IF($A2496&lt;&gt;21,"対象外",IF($AE2496&amp;""="00000000","在職",IF($AE2496&amp;""='DB_設定'!$C$4,"4/1喪失","その他喪失"))))</f>
      </c>
    </row>
    <row r="2497">
      <c r="DB2497" s="2909">
        <f>IF($A2497="","",IF($A2497&lt;&gt;21,"対象外",IF($AE2497&amp;""="00000000","在職",IF($AE2497&amp;""='DB_設定'!$C$4,"4/1喪失","その他喪失"))))</f>
      </c>
    </row>
    <row r="2498">
      <c r="DB2498" s="2909">
        <f>IF($A2498="","",IF($A2498&lt;&gt;21,"対象外",IF($AE2498&amp;""="00000000","在職",IF($AE2498&amp;""='DB_設定'!$C$4,"4/1喪失","その他喪失"))))</f>
      </c>
    </row>
    <row r="2499">
      <c r="DB2499" s="2909">
        <f>IF($A2499="","",IF($A2499&lt;&gt;21,"対象外",IF($AE2499&amp;""="00000000","在職",IF($AE2499&amp;""='DB_設定'!$C$4,"4/1喪失","その他喪失"))))</f>
      </c>
    </row>
    <row r="2500">
      <c r="DB2500" s="2909">
        <f>IF($A2500="","",IF($A2500&lt;&gt;21,"対象外",IF($AE2500&amp;""="00000000","在職",IF($AE2500&amp;""='DB_設定'!$C$4,"4/1喪失","その他喪失"))))</f>
      </c>
    </row>
    <row r="2501">
      <c r="DB2501" s="2909">
        <f>IF($A2501="","",IF($A2501&lt;&gt;21,"対象外",IF($AE2501&amp;""="00000000","在職",IF($AE2501&amp;""='DB_設定'!$C$4,"4/1喪失","その他喪失"))))</f>
      </c>
    </row>
    <row r="2502">
      <c r="DB2502" s="2909">
        <f>IF($A2502="","",IF($A2502&lt;&gt;21,"対象外",IF($AE2502&amp;""="00000000","在職",IF($AE2502&amp;""='DB_設定'!$C$4,"4/1喪失","その他喪失"))))</f>
      </c>
    </row>
    <row r="2503">
      <c r="DB2503" s="2909">
        <f>IF($A2503="","",IF($A2503&lt;&gt;21,"対象外",IF($AE2503&amp;""="00000000","在職",IF($AE2503&amp;""='DB_設定'!$C$4,"4/1喪失","その他喪失"))))</f>
      </c>
    </row>
    <row r="2504">
      <c r="DB2504" s="2909">
        <f>IF($A2504="","",IF($A2504&lt;&gt;21,"対象外",IF($AE2504&amp;""="00000000","在職",IF($AE2504&amp;""='DB_設定'!$C$4,"4/1喪失","その他喪失"))))</f>
      </c>
    </row>
    <row r="2505">
      <c r="DB2505" s="2909">
        <f>IF($A2505="","",IF($A2505&lt;&gt;21,"対象外",IF($AE2505&amp;""="00000000","在職",IF($AE2505&amp;""='DB_設定'!$C$4,"4/1喪失","その他喪失"))))</f>
      </c>
    </row>
    <row r="2506">
      <c r="DB2506" s="2909">
        <f>IF($A2506="","",IF($A2506&lt;&gt;21,"対象外",IF($AE2506&amp;""="00000000","在職",IF($AE2506&amp;""='DB_設定'!$C$4,"4/1喪失","その他喪失"))))</f>
      </c>
    </row>
    <row r="2507">
      <c r="DB2507" s="2909">
        <f>IF($A2507="","",IF($A2507&lt;&gt;21,"対象外",IF($AE2507&amp;""="00000000","在職",IF($AE2507&amp;""='DB_設定'!$C$4,"4/1喪失","その他喪失"))))</f>
      </c>
    </row>
    <row r="2508">
      <c r="DB2508" s="2909">
        <f>IF($A2508="","",IF($A2508&lt;&gt;21,"対象外",IF($AE2508&amp;""="00000000","在職",IF($AE2508&amp;""='DB_設定'!$C$4,"4/1喪失","その他喪失"))))</f>
      </c>
    </row>
    <row r="2509">
      <c r="DB2509" s="2909">
        <f>IF($A2509="","",IF($A2509&lt;&gt;21,"対象外",IF($AE2509&amp;""="00000000","在職",IF($AE2509&amp;""='DB_設定'!$C$4,"4/1喪失","その他喪失"))))</f>
      </c>
    </row>
    <row r="2510">
      <c r="DB2510" s="2909">
        <f>IF($A2510="","",IF($A2510&lt;&gt;21,"対象外",IF($AE2510&amp;""="00000000","在職",IF($AE2510&amp;""='DB_設定'!$C$4,"4/1喪失","その他喪失"))))</f>
      </c>
    </row>
    <row r="2511">
      <c r="DB2511" s="2909">
        <f>IF($A2511="","",IF($A2511&lt;&gt;21,"対象外",IF($AE2511&amp;""="00000000","在職",IF($AE2511&amp;""='DB_設定'!$C$4,"4/1喪失","その他喪失"))))</f>
      </c>
    </row>
    <row r="2512">
      <c r="DB2512" s="2909">
        <f>IF($A2512="","",IF($A2512&lt;&gt;21,"対象外",IF($AE2512&amp;""="00000000","在職",IF($AE2512&amp;""='DB_設定'!$C$4,"4/1喪失","その他喪失"))))</f>
      </c>
    </row>
    <row r="2513">
      <c r="DB2513" s="2909">
        <f>IF($A2513="","",IF($A2513&lt;&gt;21,"対象外",IF($AE2513&amp;""="00000000","在職",IF($AE2513&amp;""='DB_設定'!$C$4,"4/1喪失","その他喪失"))))</f>
      </c>
    </row>
    <row r="2514">
      <c r="DB2514" s="2909">
        <f>IF($A2514="","",IF($A2514&lt;&gt;21,"対象外",IF($AE2514&amp;""="00000000","在職",IF($AE2514&amp;""='DB_設定'!$C$4,"4/1喪失","その他喪失"))))</f>
      </c>
    </row>
    <row r="2515">
      <c r="DB2515" s="2909">
        <f>IF($A2515="","",IF($A2515&lt;&gt;21,"対象外",IF($AE2515&amp;""="00000000","在職",IF($AE2515&amp;""='DB_設定'!$C$4,"4/1喪失","その他喪失"))))</f>
      </c>
    </row>
    <row r="2516">
      <c r="DB2516" s="2909">
        <f>IF($A2516="","",IF($A2516&lt;&gt;21,"対象外",IF($AE2516&amp;""="00000000","在職",IF($AE2516&amp;""='DB_設定'!$C$4,"4/1喪失","その他喪失"))))</f>
      </c>
    </row>
    <row r="2517">
      <c r="DB2517" s="2909">
        <f>IF($A2517="","",IF($A2517&lt;&gt;21,"対象外",IF($AE2517&amp;""="00000000","在職",IF($AE2517&amp;""='DB_設定'!$C$4,"4/1喪失","その他喪失"))))</f>
      </c>
    </row>
    <row r="2518">
      <c r="DB2518" s="2909">
        <f>IF($A2518="","",IF($A2518&lt;&gt;21,"対象外",IF($AE2518&amp;""="00000000","在職",IF($AE2518&amp;""='DB_設定'!$C$4,"4/1喪失","その他喪失"))))</f>
      </c>
    </row>
    <row r="2519">
      <c r="DB2519" s="2909">
        <f>IF($A2519="","",IF($A2519&lt;&gt;21,"対象外",IF($AE2519&amp;""="00000000","在職",IF($AE2519&amp;""='DB_設定'!$C$4,"4/1喪失","その他喪失"))))</f>
      </c>
    </row>
    <row r="2520">
      <c r="DB2520" s="2909">
        <f>IF($A2520="","",IF($A2520&lt;&gt;21,"対象外",IF($AE2520&amp;""="00000000","在職",IF($AE2520&amp;""='DB_設定'!$C$4,"4/1喪失","その他喪失"))))</f>
      </c>
    </row>
    <row r="2521">
      <c r="DB2521" s="2909">
        <f>IF($A2521="","",IF($A2521&lt;&gt;21,"対象外",IF($AE2521&amp;""="00000000","在職",IF($AE2521&amp;""='DB_設定'!$C$4,"4/1喪失","その他喪失"))))</f>
      </c>
    </row>
    <row r="2522">
      <c r="DB2522" s="2909">
        <f>IF($A2522="","",IF($A2522&lt;&gt;21,"対象外",IF($AE2522&amp;""="00000000","在職",IF($AE2522&amp;""='DB_設定'!$C$4,"4/1喪失","その他喪失"))))</f>
      </c>
    </row>
    <row r="2523">
      <c r="DB2523" s="2909">
        <f>IF($A2523="","",IF($A2523&lt;&gt;21,"対象外",IF($AE2523&amp;""="00000000","在職",IF($AE2523&amp;""='DB_設定'!$C$4,"4/1喪失","その他喪失"))))</f>
      </c>
    </row>
    <row r="2524">
      <c r="DB2524" s="2909">
        <f>IF($A2524="","",IF($A2524&lt;&gt;21,"対象外",IF($AE2524&amp;""="00000000","在職",IF($AE2524&amp;""='DB_設定'!$C$4,"4/1喪失","その他喪失"))))</f>
      </c>
    </row>
    <row r="2525">
      <c r="DB2525" s="2909">
        <f>IF($A2525="","",IF($A2525&lt;&gt;21,"対象外",IF($AE2525&amp;""="00000000","在職",IF($AE2525&amp;""='DB_設定'!$C$4,"4/1喪失","その他喪失"))))</f>
      </c>
    </row>
    <row r="2526">
      <c r="DB2526" s="2909">
        <f>IF($A2526="","",IF($A2526&lt;&gt;21,"対象外",IF($AE2526&amp;""="00000000","在職",IF($AE2526&amp;""='DB_設定'!$C$4,"4/1喪失","その他喪失"))))</f>
      </c>
    </row>
    <row r="2527">
      <c r="DB2527" s="2909">
        <f>IF($A2527="","",IF($A2527&lt;&gt;21,"対象外",IF($AE2527&amp;""="00000000","在職",IF($AE2527&amp;""='DB_設定'!$C$4,"4/1喪失","その他喪失"))))</f>
      </c>
    </row>
    <row r="2528">
      <c r="DB2528" s="2909">
        <f>IF($A2528="","",IF($A2528&lt;&gt;21,"対象外",IF($AE2528&amp;""="00000000","在職",IF($AE2528&amp;""='DB_設定'!$C$4,"4/1喪失","その他喪失"))))</f>
      </c>
    </row>
    <row r="2529">
      <c r="DB2529" s="2909">
        <f>IF($A2529="","",IF($A2529&lt;&gt;21,"対象外",IF($AE2529&amp;""="00000000","在職",IF($AE2529&amp;""='DB_設定'!$C$4,"4/1喪失","その他喪失"))))</f>
      </c>
    </row>
    <row r="2530">
      <c r="DB2530" s="2909">
        <f>IF($A2530="","",IF($A2530&lt;&gt;21,"対象外",IF($AE2530&amp;""="00000000","在職",IF($AE2530&amp;""='DB_設定'!$C$4,"4/1喪失","その他喪失"))))</f>
      </c>
    </row>
    <row r="2531">
      <c r="DB2531" s="2909">
        <f>IF($A2531="","",IF($A2531&lt;&gt;21,"対象外",IF($AE2531&amp;""="00000000","在職",IF($AE2531&amp;""='DB_設定'!$C$4,"4/1喪失","その他喪失"))))</f>
      </c>
    </row>
    <row r="2532">
      <c r="DB2532" s="2909">
        <f>IF($A2532="","",IF($A2532&lt;&gt;21,"対象外",IF($AE2532&amp;""="00000000","在職",IF($AE2532&amp;""='DB_設定'!$C$4,"4/1喪失","その他喪失"))))</f>
      </c>
    </row>
    <row r="2533">
      <c r="DB2533" s="2909">
        <f>IF($A2533="","",IF($A2533&lt;&gt;21,"対象外",IF($AE2533&amp;""="00000000","在職",IF($AE2533&amp;""='DB_設定'!$C$4,"4/1喪失","その他喪失"))))</f>
      </c>
    </row>
    <row r="2534">
      <c r="DB2534" s="2909">
        <f>IF($A2534="","",IF($A2534&lt;&gt;21,"対象外",IF($AE2534&amp;""="00000000","在職",IF($AE2534&amp;""='DB_設定'!$C$4,"4/1喪失","その他喪失"))))</f>
      </c>
    </row>
    <row r="2535">
      <c r="DB2535" s="2909">
        <f>IF($A2535="","",IF($A2535&lt;&gt;21,"対象外",IF($AE2535&amp;""="00000000","在職",IF($AE2535&amp;""='DB_設定'!$C$4,"4/1喪失","その他喪失"))))</f>
      </c>
    </row>
    <row r="2536">
      <c r="DB2536" s="2909">
        <f>IF($A2536="","",IF($A2536&lt;&gt;21,"対象外",IF($AE2536&amp;""="00000000","在職",IF($AE2536&amp;""='DB_設定'!$C$4,"4/1喪失","その他喪失"))))</f>
      </c>
    </row>
    <row r="2537">
      <c r="DB2537" s="2909">
        <f>IF($A2537="","",IF($A2537&lt;&gt;21,"対象外",IF($AE2537&amp;""="00000000","在職",IF($AE2537&amp;""='DB_設定'!$C$4,"4/1喪失","その他喪失"))))</f>
      </c>
    </row>
    <row r="2538">
      <c r="DB2538" s="2909">
        <f>IF($A2538="","",IF($A2538&lt;&gt;21,"対象外",IF($AE2538&amp;""="00000000","在職",IF($AE2538&amp;""='DB_設定'!$C$4,"4/1喪失","その他喪失"))))</f>
      </c>
    </row>
    <row r="2539">
      <c r="DB2539" s="2909">
        <f>IF($A2539="","",IF($A2539&lt;&gt;21,"対象外",IF($AE2539&amp;""="00000000","在職",IF($AE2539&amp;""='DB_設定'!$C$4,"4/1喪失","その他喪失"))))</f>
      </c>
    </row>
    <row r="2540">
      <c r="DB2540" s="2909">
        <f>IF($A2540="","",IF($A2540&lt;&gt;21,"対象外",IF($AE2540&amp;""="00000000","在職",IF($AE2540&amp;""='DB_設定'!$C$4,"4/1喪失","その他喪失"))))</f>
      </c>
    </row>
    <row r="2541">
      <c r="DB2541" s="2909">
        <f>IF($A2541="","",IF($A2541&lt;&gt;21,"対象外",IF($AE2541&amp;""="00000000","在職",IF($AE2541&amp;""='DB_設定'!$C$4,"4/1喪失","その他喪失"))))</f>
      </c>
    </row>
    <row r="2542">
      <c r="DB2542" s="2909">
        <f>IF($A2542="","",IF($A2542&lt;&gt;21,"対象外",IF($AE2542&amp;""="00000000","在職",IF($AE2542&amp;""='DB_設定'!$C$4,"4/1喪失","その他喪失"))))</f>
      </c>
    </row>
    <row r="2543">
      <c r="DB2543" s="2909">
        <f>IF($A2543="","",IF($A2543&lt;&gt;21,"対象外",IF($AE2543&amp;""="00000000","在職",IF($AE2543&amp;""='DB_設定'!$C$4,"4/1喪失","その他喪失"))))</f>
      </c>
    </row>
    <row r="2544">
      <c r="DB2544" s="2909">
        <f>IF($A2544="","",IF($A2544&lt;&gt;21,"対象外",IF($AE2544&amp;""="00000000","在職",IF($AE2544&amp;""='DB_設定'!$C$4,"4/1喪失","その他喪失"))))</f>
      </c>
    </row>
    <row r="2545">
      <c r="DB2545" s="2909">
        <f>IF($A2545="","",IF($A2545&lt;&gt;21,"対象外",IF($AE2545&amp;""="00000000","在職",IF($AE2545&amp;""='DB_設定'!$C$4,"4/1喪失","その他喪失"))))</f>
      </c>
    </row>
    <row r="2546">
      <c r="DB2546" s="2909">
        <f>IF($A2546="","",IF($A2546&lt;&gt;21,"対象外",IF($AE2546&amp;""="00000000","在職",IF($AE2546&amp;""='DB_設定'!$C$4,"4/1喪失","その他喪失"))))</f>
      </c>
    </row>
    <row r="2547">
      <c r="DB2547" s="2909">
        <f>IF($A2547="","",IF($A2547&lt;&gt;21,"対象外",IF($AE2547&amp;""="00000000","在職",IF($AE2547&amp;""='DB_設定'!$C$4,"4/1喪失","その他喪失"))))</f>
      </c>
    </row>
    <row r="2548">
      <c r="DB2548" s="2909">
        <f>IF($A2548="","",IF($A2548&lt;&gt;21,"対象外",IF($AE2548&amp;""="00000000","在職",IF($AE2548&amp;""='DB_設定'!$C$4,"4/1喪失","その他喪失"))))</f>
      </c>
    </row>
    <row r="2549">
      <c r="DB2549" s="2909">
        <f>IF($A2549="","",IF($A2549&lt;&gt;21,"対象外",IF($AE2549&amp;""="00000000","在職",IF($AE2549&amp;""='DB_設定'!$C$4,"4/1喪失","その他喪失"))))</f>
      </c>
    </row>
    <row r="2550">
      <c r="DB2550" s="2909">
        <f>IF($A2550="","",IF($A2550&lt;&gt;21,"対象外",IF($AE2550&amp;""="00000000","在職",IF($AE2550&amp;""='DB_設定'!$C$4,"4/1喪失","その他喪失"))))</f>
      </c>
    </row>
    <row r="2551">
      <c r="DB2551" s="2909">
        <f>IF($A2551="","",IF($A2551&lt;&gt;21,"対象外",IF($AE2551&amp;""="00000000","在職",IF($AE2551&amp;""='DB_設定'!$C$4,"4/1喪失","その他喪失"))))</f>
      </c>
    </row>
    <row r="2552">
      <c r="DB2552" s="2909">
        <f>IF($A2552="","",IF($A2552&lt;&gt;21,"対象外",IF($AE2552&amp;""="00000000","在職",IF($AE2552&amp;""='DB_設定'!$C$4,"4/1喪失","その他喪失"))))</f>
      </c>
    </row>
    <row r="2553">
      <c r="DB2553" s="2909">
        <f>IF($A2553="","",IF($A2553&lt;&gt;21,"対象外",IF($AE2553&amp;""="00000000","在職",IF($AE2553&amp;""='DB_設定'!$C$4,"4/1喪失","その他喪失"))))</f>
      </c>
    </row>
    <row r="2554">
      <c r="DB2554" s="2909">
        <f>IF($A2554="","",IF($A2554&lt;&gt;21,"対象外",IF($AE2554&amp;""="00000000","在職",IF($AE2554&amp;""='DB_設定'!$C$4,"4/1喪失","その他喪失"))))</f>
      </c>
    </row>
    <row r="2555">
      <c r="DB2555" s="2909">
        <f>IF($A2555="","",IF($A2555&lt;&gt;21,"対象外",IF($AE2555&amp;""="00000000","在職",IF($AE2555&amp;""='DB_設定'!$C$4,"4/1喪失","その他喪失"))))</f>
      </c>
    </row>
    <row r="2556">
      <c r="DB2556" s="2909">
        <f>IF($A2556="","",IF($A2556&lt;&gt;21,"対象外",IF($AE2556&amp;""="00000000","在職",IF($AE2556&amp;""='DB_設定'!$C$4,"4/1喪失","その他喪失"))))</f>
      </c>
    </row>
    <row r="2557">
      <c r="DB2557" s="2909">
        <f>IF($A2557="","",IF($A2557&lt;&gt;21,"対象外",IF($AE2557&amp;""="00000000","在職",IF($AE2557&amp;""='DB_設定'!$C$4,"4/1喪失","その他喪失"))))</f>
      </c>
    </row>
    <row r="2558">
      <c r="DB2558" s="2909">
        <f>IF($A2558="","",IF($A2558&lt;&gt;21,"対象外",IF($AE2558&amp;""="00000000","在職",IF($AE2558&amp;""='DB_設定'!$C$4,"4/1喪失","その他喪失"))))</f>
      </c>
    </row>
    <row r="2559">
      <c r="DB2559" s="2909">
        <f>IF($A2559="","",IF($A2559&lt;&gt;21,"対象外",IF($AE2559&amp;""="00000000","在職",IF($AE2559&amp;""='DB_設定'!$C$4,"4/1喪失","その他喪失"))))</f>
      </c>
    </row>
    <row r="2560">
      <c r="DB2560" s="2909">
        <f>IF($A2560="","",IF($A2560&lt;&gt;21,"対象外",IF($AE2560&amp;""="00000000","在職",IF($AE2560&amp;""='DB_設定'!$C$4,"4/1喪失","その他喪失"))))</f>
      </c>
    </row>
    <row r="2561">
      <c r="DB2561" s="2909">
        <f>IF($A2561="","",IF($A2561&lt;&gt;21,"対象外",IF($AE2561&amp;""="00000000","在職",IF($AE2561&amp;""='DB_設定'!$C$4,"4/1喪失","その他喪失"))))</f>
      </c>
    </row>
    <row r="2562">
      <c r="DB2562" s="2909">
        <f>IF($A2562="","",IF($A2562&lt;&gt;21,"対象外",IF($AE2562&amp;""="00000000","在職",IF($AE2562&amp;""='DB_設定'!$C$4,"4/1喪失","その他喪失"))))</f>
      </c>
    </row>
    <row r="2563">
      <c r="DB2563" s="2909">
        <f>IF($A2563="","",IF($A2563&lt;&gt;21,"対象外",IF($AE2563&amp;""="00000000","在職",IF($AE2563&amp;""='DB_設定'!$C$4,"4/1喪失","その他喪失"))))</f>
      </c>
    </row>
    <row r="2564">
      <c r="DB2564" s="2909">
        <f>IF($A2564="","",IF($A2564&lt;&gt;21,"対象外",IF($AE2564&amp;""="00000000","在職",IF($AE2564&amp;""='DB_設定'!$C$4,"4/1喪失","その他喪失"))))</f>
      </c>
    </row>
    <row r="2565">
      <c r="DB2565" s="2909">
        <f>IF($A2565="","",IF($A2565&lt;&gt;21,"対象外",IF($AE2565&amp;""="00000000","在職",IF($AE2565&amp;""='DB_設定'!$C$4,"4/1喪失","その他喪失"))))</f>
      </c>
    </row>
    <row r="2566">
      <c r="DB2566" s="2909">
        <f>IF($A2566="","",IF($A2566&lt;&gt;21,"対象外",IF($AE2566&amp;""="00000000","在職",IF($AE2566&amp;""='DB_設定'!$C$4,"4/1喪失","その他喪失"))))</f>
      </c>
    </row>
    <row r="2567">
      <c r="DB2567" s="2909">
        <f>IF($A2567="","",IF($A2567&lt;&gt;21,"対象外",IF($AE2567&amp;""="00000000","在職",IF($AE2567&amp;""='DB_設定'!$C$4,"4/1喪失","その他喪失"))))</f>
      </c>
    </row>
    <row r="2568">
      <c r="DB2568" s="2909">
        <f>IF($A2568="","",IF($A2568&lt;&gt;21,"対象外",IF($AE2568&amp;""="00000000","在職",IF($AE2568&amp;""='DB_設定'!$C$4,"4/1喪失","その他喪失"))))</f>
      </c>
    </row>
    <row r="2569">
      <c r="DB2569" s="2909">
        <f>IF($A2569="","",IF($A2569&lt;&gt;21,"対象外",IF($AE2569&amp;""="00000000","在職",IF($AE2569&amp;""='DB_設定'!$C$4,"4/1喪失","その他喪失"))))</f>
      </c>
    </row>
    <row r="2570">
      <c r="DB2570" s="2909">
        <f>IF($A2570="","",IF($A2570&lt;&gt;21,"対象外",IF($AE2570&amp;""="00000000","在職",IF($AE2570&amp;""='DB_設定'!$C$4,"4/1喪失","その他喪失"))))</f>
      </c>
    </row>
    <row r="2571">
      <c r="DB2571" s="2909">
        <f>IF($A2571="","",IF($A2571&lt;&gt;21,"対象外",IF($AE2571&amp;""="00000000","在職",IF($AE2571&amp;""='DB_設定'!$C$4,"4/1喪失","その他喪失"))))</f>
      </c>
    </row>
    <row r="2572">
      <c r="DB2572" s="2909">
        <f>IF($A2572="","",IF($A2572&lt;&gt;21,"対象外",IF($AE2572&amp;""="00000000","在職",IF($AE2572&amp;""='DB_設定'!$C$4,"4/1喪失","その他喪失"))))</f>
      </c>
    </row>
    <row r="2573">
      <c r="DB2573" s="2909">
        <f>IF($A2573="","",IF($A2573&lt;&gt;21,"対象外",IF($AE2573&amp;""="00000000","在職",IF($AE2573&amp;""='DB_設定'!$C$4,"4/1喪失","その他喪失"))))</f>
      </c>
    </row>
    <row r="2574">
      <c r="DB2574" s="2909">
        <f>IF($A2574="","",IF($A2574&lt;&gt;21,"対象外",IF($AE2574&amp;""="00000000","在職",IF($AE2574&amp;""='DB_設定'!$C$4,"4/1喪失","その他喪失"))))</f>
      </c>
    </row>
    <row r="2575">
      <c r="DB2575" s="2909">
        <f>IF($A2575="","",IF($A2575&lt;&gt;21,"対象外",IF($AE2575&amp;""="00000000","在職",IF($AE2575&amp;""='DB_設定'!$C$4,"4/1喪失","その他喪失"))))</f>
      </c>
    </row>
    <row r="2576">
      <c r="DB2576" s="2909">
        <f>IF($A2576="","",IF($A2576&lt;&gt;21,"対象外",IF($AE2576&amp;""="00000000","在職",IF($AE2576&amp;""='DB_設定'!$C$4,"4/1喪失","その他喪失"))))</f>
      </c>
    </row>
    <row r="2577">
      <c r="DB2577" s="2909">
        <f>IF($A2577="","",IF($A2577&lt;&gt;21,"対象外",IF($AE2577&amp;""="00000000","在職",IF($AE2577&amp;""='DB_設定'!$C$4,"4/1喪失","その他喪失"))))</f>
      </c>
    </row>
    <row r="2578">
      <c r="DB2578" s="2909">
        <f>IF($A2578="","",IF($A2578&lt;&gt;21,"対象外",IF($AE2578&amp;""="00000000","在職",IF($AE2578&amp;""='DB_設定'!$C$4,"4/1喪失","その他喪失"))))</f>
      </c>
    </row>
    <row r="2579">
      <c r="DB2579" s="2909">
        <f>IF($A2579="","",IF($A2579&lt;&gt;21,"対象外",IF($AE2579&amp;""="00000000","在職",IF($AE2579&amp;""='DB_設定'!$C$4,"4/1喪失","その他喪失"))))</f>
      </c>
    </row>
    <row r="2580">
      <c r="DB2580" s="2909">
        <f>IF($A2580="","",IF($A2580&lt;&gt;21,"対象外",IF($AE2580&amp;""="00000000","在職",IF($AE2580&amp;""='DB_設定'!$C$4,"4/1喪失","その他喪失"))))</f>
      </c>
    </row>
    <row r="2581">
      <c r="DB2581" s="2909">
        <f>IF($A2581="","",IF($A2581&lt;&gt;21,"対象外",IF($AE2581&amp;""="00000000","在職",IF($AE2581&amp;""='DB_設定'!$C$4,"4/1喪失","その他喪失"))))</f>
      </c>
    </row>
    <row r="2582">
      <c r="DB2582" s="2909">
        <f>IF($A2582="","",IF($A2582&lt;&gt;21,"対象外",IF($AE2582&amp;""="00000000","在職",IF($AE2582&amp;""='DB_設定'!$C$4,"4/1喪失","その他喪失"))))</f>
      </c>
    </row>
    <row r="2583">
      <c r="DB2583" s="2909">
        <f>IF($A2583="","",IF($A2583&lt;&gt;21,"対象外",IF($AE2583&amp;""="00000000","在職",IF($AE2583&amp;""='DB_設定'!$C$4,"4/1喪失","その他喪失"))))</f>
      </c>
    </row>
    <row r="2584">
      <c r="DB2584" s="2909">
        <f>IF($A2584="","",IF($A2584&lt;&gt;21,"対象外",IF($AE2584&amp;""="00000000","在職",IF($AE2584&amp;""='DB_設定'!$C$4,"4/1喪失","その他喪失"))))</f>
      </c>
    </row>
    <row r="2585">
      <c r="DB2585" s="2909">
        <f>IF($A2585="","",IF($A2585&lt;&gt;21,"対象外",IF($AE2585&amp;""="00000000","在職",IF($AE2585&amp;""='DB_設定'!$C$4,"4/1喪失","その他喪失"))))</f>
      </c>
    </row>
    <row r="2586">
      <c r="DB2586" s="2909">
        <f>IF($A2586="","",IF($A2586&lt;&gt;21,"対象外",IF($AE2586&amp;""="00000000","在職",IF($AE2586&amp;""='DB_設定'!$C$4,"4/1喪失","その他喪失"))))</f>
      </c>
    </row>
    <row r="2587">
      <c r="DB2587" s="2909">
        <f>IF($A2587="","",IF($A2587&lt;&gt;21,"対象外",IF($AE2587&amp;""="00000000","在職",IF($AE2587&amp;""='DB_設定'!$C$4,"4/1喪失","その他喪失"))))</f>
      </c>
    </row>
    <row r="2588">
      <c r="DB2588" s="2909">
        <f>IF($A2588="","",IF($A2588&lt;&gt;21,"対象外",IF($AE2588&amp;""="00000000","在職",IF($AE2588&amp;""='DB_設定'!$C$4,"4/1喪失","その他喪失"))))</f>
      </c>
    </row>
    <row r="2589">
      <c r="DB2589" s="2909">
        <f>IF($A2589="","",IF($A2589&lt;&gt;21,"対象外",IF($AE2589&amp;""="00000000","在職",IF($AE2589&amp;""='DB_設定'!$C$4,"4/1喪失","その他喪失"))))</f>
      </c>
    </row>
    <row r="2590">
      <c r="DB2590" s="2909">
        <f>IF($A2590="","",IF($A2590&lt;&gt;21,"対象外",IF($AE2590&amp;""="00000000","在職",IF($AE2590&amp;""='DB_設定'!$C$4,"4/1喪失","その他喪失"))))</f>
      </c>
    </row>
    <row r="2591">
      <c r="DB2591" s="2909">
        <f>IF($A2591="","",IF($A2591&lt;&gt;21,"対象外",IF($AE2591&amp;""="00000000","在職",IF($AE2591&amp;""='DB_設定'!$C$4,"4/1喪失","その他喪失"))))</f>
      </c>
    </row>
    <row r="2592">
      <c r="DB2592" s="2909">
        <f>IF($A2592="","",IF($A2592&lt;&gt;21,"対象外",IF($AE2592&amp;""="00000000","在職",IF($AE2592&amp;""='DB_設定'!$C$4,"4/1喪失","その他喪失"))))</f>
      </c>
    </row>
    <row r="2593">
      <c r="DB2593" s="2909">
        <f>IF($A2593="","",IF($A2593&lt;&gt;21,"対象外",IF($AE2593&amp;""="00000000","在職",IF($AE2593&amp;""='DB_設定'!$C$4,"4/1喪失","その他喪失"))))</f>
      </c>
    </row>
    <row r="2594">
      <c r="DB2594" s="2909">
        <f>IF($A2594="","",IF($A2594&lt;&gt;21,"対象外",IF($AE2594&amp;""="00000000","在職",IF($AE2594&amp;""='DB_設定'!$C$4,"4/1喪失","その他喪失"))))</f>
      </c>
    </row>
    <row r="2595">
      <c r="DB2595" s="2909">
        <f>IF($A2595="","",IF($A2595&lt;&gt;21,"対象外",IF($AE2595&amp;""="00000000","在職",IF($AE2595&amp;""='DB_設定'!$C$4,"4/1喪失","その他喪失"))))</f>
      </c>
    </row>
    <row r="2596">
      <c r="DB2596" s="2909">
        <f>IF($A2596="","",IF($A2596&lt;&gt;21,"対象外",IF($AE2596&amp;""="00000000","在職",IF($AE2596&amp;""='DB_設定'!$C$4,"4/1喪失","その他喪失"))))</f>
      </c>
    </row>
    <row r="2597">
      <c r="DB2597" s="2909">
        <f>IF($A2597="","",IF($A2597&lt;&gt;21,"対象外",IF($AE2597&amp;""="00000000","在職",IF($AE2597&amp;""='DB_設定'!$C$4,"4/1喪失","その他喪失"))))</f>
      </c>
    </row>
    <row r="2598">
      <c r="DB2598" s="2909">
        <f>IF($A2598="","",IF($A2598&lt;&gt;21,"対象外",IF($AE2598&amp;""="00000000","在職",IF($AE2598&amp;""='DB_設定'!$C$4,"4/1喪失","その他喪失"))))</f>
      </c>
    </row>
    <row r="2599">
      <c r="DB2599" s="2909">
        <f>IF($A2599="","",IF($A2599&lt;&gt;21,"対象外",IF($AE2599&amp;""="00000000","在職",IF($AE2599&amp;""='DB_設定'!$C$4,"4/1喪失","その他喪失"))))</f>
      </c>
    </row>
    <row r="2600">
      <c r="DB2600" s="2909">
        <f>IF($A2600="","",IF($A2600&lt;&gt;21,"対象外",IF($AE2600&amp;""="00000000","在職",IF($AE2600&amp;""='DB_設定'!$C$4,"4/1喪失","その他喪失"))))</f>
      </c>
    </row>
    <row r="2601">
      <c r="DB2601" s="2909">
        <f>IF($A2601="","",IF($A2601&lt;&gt;21,"対象外",IF($AE2601&amp;""="00000000","在職",IF($AE2601&amp;""='DB_設定'!$C$4,"4/1喪失","その他喪失"))))</f>
      </c>
    </row>
    <row r="2602">
      <c r="DB2602" s="2909">
        <f>IF($A2602="","",IF($A2602&lt;&gt;21,"対象外",IF($AE2602&amp;""="00000000","在職",IF($AE2602&amp;""='DB_設定'!$C$4,"4/1喪失","その他喪失"))))</f>
      </c>
    </row>
    <row r="2603">
      <c r="DB2603" s="2909">
        <f>IF($A2603="","",IF($A2603&lt;&gt;21,"対象外",IF($AE2603&amp;""="00000000","在職",IF($AE2603&amp;""='DB_設定'!$C$4,"4/1喪失","その他喪失"))))</f>
      </c>
    </row>
    <row r="2604">
      <c r="DB2604" s="2909">
        <f>IF($A2604="","",IF($A2604&lt;&gt;21,"対象外",IF($AE2604&amp;""="00000000","在職",IF($AE2604&amp;""='DB_設定'!$C$4,"4/1喪失","その他喪失"))))</f>
      </c>
    </row>
    <row r="2605">
      <c r="DB2605" s="2909">
        <f>IF($A2605="","",IF($A2605&lt;&gt;21,"対象外",IF($AE2605&amp;""="00000000","在職",IF($AE2605&amp;""='DB_設定'!$C$4,"4/1喪失","その他喪失"))))</f>
      </c>
    </row>
    <row r="2606">
      <c r="DB2606" s="2909">
        <f>IF($A2606="","",IF($A2606&lt;&gt;21,"対象外",IF($AE2606&amp;""="00000000","在職",IF($AE2606&amp;""='DB_設定'!$C$4,"4/1喪失","その他喪失"))))</f>
      </c>
    </row>
    <row r="2607">
      <c r="DB2607" s="2909">
        <f>IF($A2607="","",IF($A2607&lt;&gt;21,"対象外",IF($AE2607&amp;""="00000000","在職",IF($AE2607&amp;""='DB_設定'!$C$4,"4/1喪失","その他喪失"))))</f>
      </c>
    </row>
    <row r="2608">
      <c r="DB2608" s="2909">
        <f>IF($A2608="","",IF($A2608&lt;&gt;21,"対象外",IF($AE2608&amp;""="00000000","在職",IF($AE2608&amp;""='DB_設定'!$C$4,"4/1喪失","その他喪失"))))</f>
      </c>
    </row>
    <row r="2609">
      <c r="DB2609" s="2909">
        <f>IF($A2609="","",IF($A2609&lt;&gt;21,"対象外",IF($AE2609&amp;""="00000000","在職",IF($AE2609&amp;""='DB_設定'!$C$4,"4/1喪失","その他喪失"))))</f>
      </c>
    </row>
    <row r="2610">
      <c r="DB2610" s="2909">
        <f>IF($A2610="","",IF($A2610&lt;&gt;21,"対象外",IF($AE2610&amp;""="00000000","在職",IF($AE2610&amp;""='DB_設定'!$C$4,"4/1喪失","その他喪失"))))</f>
      </c>
    </row>
    <row r="2611">
      <c r="DB2611" s="2909">
        <f>IF($A2611="","",IF($A2611&lt;&gt;21,"対象外",IF($AE2611&amp;""="00000000","在職",IF($AE2611&amp;""='DB_設定'!$C$4,"4/1喪失","その他喪失"))))</f>
      </c>
    </row>
    <row r="2612">
      <c r="DB2612" s="2909">
        <f>IF($A2612="","",IF($A2612&lt;&gt;21,"対象外",IF($AE2612&amp;""="00000000","在職",IF($AE2612&amp;""='DB_設定'!$C$4,"4/1喪失","その他喪失"))))</f>
      </c>
    </row>
    <row r="2613">
      <c r="DB2613" s="2909">
        <f>IF($A2613="","",IF($A2613&lt;&gt;21,"対象外",IF($AE2613&amp;""="00000000","在職",IF($AE2613&amp;""='DB_設定'!$C$4,"4/1喪失","その他喪失"))))</f>
      </c>
    </row>
    <row r="2614">
      <c r="DB2614" s="2909">
        <f>IF($A2614="","",IF($A2614&lt;&gt;21,"対象外",IF($AE2614&amp;""="00000000","在職",IF($AE2614&amp;""='DB_設定'!$C$4,"4/1喪失","その他喪失"))))</f>
      </c>
    </row>
    <row r="2615">
      <c r="DB2615" s="2909">
        <f>IF($A2615="","",IF($A2615&lt;&gt;21,"対象外",IF($AE2615&amp;""="00000000","在職",IF($AE2615&amp;""='DB_設定'!$C$4,"4/1喪失","その他喪失"))))</f>
      </c>
    </row>
    <row r="2616">
      <c r="DB2616" s="2909">
        <f>IF($A2616="","",IF($A2616&lt;&gt;21,"対象外",IF($AE2616&amp;""="00000000","在職",IF($AE2616&amp;""='DB_設定'!$C$4,"4/1喪失","その他喪失"))))</f>
      </c>
    </row>
    <row r="2617">
      <c r="DB2617" s="2909">
        <f>IF($A2617="","",IF($A2617&lt;&gt;21,"対象外",IF($AE2617&amp;""="00000000","在職",IF($AE2617&amp;""='DB_設定'!$C$4,"4/1喪失","その他喪失"))))</f>
      </c>
    </row>
    <row r="2618">
      <c r="DB2618" s="2909">
        <f>IF($A2618="","",IF($A2618&lt;&gt;21,"対象外",IF($AE2618&amp;""="00000000","在職",IF($AE2618&amp;""='DB_設定'!$C$4,"4/1喪失","その他喪失"))))</f>
      </c>
    </row>
    <row r="2619">
      <c r="DB2619" s="2909">
        <f>IF($A2619="","",IF($A2619&lt;&gt;21,"対象外",IF($AE2619&amp;""="00000000","在職",IF($AE2619&amp;""='DB_設定'!$C$4,"4/1喪失","その他喪失"))))</f>
      </c>
    </row>
    <row r="2620">
      <c r="DB2620" s="2909">
        <f>IF($A2620="","",IF($A2620&lt;&gt;21,"対象外",IF($AE2620&amp;""="00000000","在職",IF($AE2620&amp;""='DB_設定'!$C$4,"4/1喪失","その他喪失"))))</f>
      </c>
    </row>
    <row r="2621">
      <c r="DB2621" s="2909">
        <f>IF($A2621="","",IF($A2621&lt;&gt;21,"対象外",IF($AE2621&amp;""="00000000","在職",IF($AE2621&amp;""='DB_設定'!$C$4,"4/1喪失","その他喪失"))))</f>
      </c>
    </row>
    <row r="2622">
      <c r="DB2622" s="2909">
        <f>IF($A2622="","",IF($A2622&lt;&gt;21,"対象外",IF($AE2622&amp;""="00000000","在職",IF($AE2622&amp;""='DB_設定'!$C$4,"4/1喪失","その他喪失"))))</f>
      </c>
    </row>
    <row r="2623">
      <c r="DB2623" s="2909">
        <f>IF($A2623="","",IF($A2623&lt;&gt;21,"対象外",IF($AE2623&amp;""="00000000","在職",IF($AE2623&amp;""='DB_設定'!$C$4,"4/1喪失","その他喪失"))))</f>
      </c>
    </row>
    <row r="2624">
      <c r="DB2624" s="2909">
        <f>IF($A2624="","",IF($A2624&lt;&gt;21,"対象外",IF($AE2624&amp;""="00000000","在職",IF($AE2624&amp;""='DB_設定'!$C$4,"4/1喪失","その他喪失"))))</f>
      </c>
    </row>
    <row r="2625">
      <c r="DB2625" s="2909">
        <f>IF($A2625="","",IF($A2625&lt;&gt;21,"対象外",IF($AE2625&amp;""="00000000","在職",IF($AE2625&amp;""='DB_設定'!$C$4,"4/1喪失","その他喪失"))))</f>
      </c>
    </row>
    <row r="2626">
      <c r="DB2626" s="2909">
        <f>IF($A2626="","",IF($A2626&lt;&gt;21,"対象外",IF($AE2626&amp;""="00000000","在職",IF($AE2626&amp;""='DB_設定'!$C$4,"4/1喪失","その他喪失"))))</f>
      </c>
    </row>
    <row r="2627">
      <c r="DB2627" s="2909">
        <f>IF($A2627="","",IF($A2627&lt;&gt;21,"対象外",IF($AE2627&amp;""="00000000","在職",IF($AE2627&amp;""='DB_設定'!$C$4,"4/1喪失","その他喪失"))))</f>
      </c>
    </row>
    <row r="2628">
      <c r="DB2628" s="2909">
        <f>IF($A2628="","",IF($A2628&lt;&gt;21,"対象外",IF($AE2628&amp;""="00000000","在職",IF($AE2628&amp;""='DB_設定'!$C$4,"4/1喪失","その他喪失"))))</f>
      </c>
    </row>
    <row r="2629">
      <c r="DB2629" s="2909">
        <f>IF($A2629="","",IF($A2629&lt;&gt;21,"対象外",IF($AE2629&amp;""="00000000","在職",IF($AE2629&amp;""='DB_設定'!$C$4,"4/1喪失","その他喪失"))))</f>
      </c>
    </row>
    <row r="2630">
      <c r="DB2630" s="2909">
        <f>IF($A2630="","",IF($A2630&lt;&gt;21,"対象外",IF($AE2630&amp;""="00000000","在職",IF($AE2630&amp;""='DB_設定'!$C$4,"4/1喪失","その他喪失"))))</f>
      </c>
    </row>
    <row r="2631">
      <c r="DB2631" s="2909">
        <f>IF($A2631="","",IF($A2631&lt;&gt;21,"対象外",IF($AE2631&amp;""="00000000","在職",IF($AE2631&amp;""='DB_設定'!$C$4,"4/1喪失","その他喪失"))))</f>
      </c>
    </row>
    <row r="2632">
      <c r="DB2632" s="2909">
        <f>IF($A2632="","",IF($A2632&lt;&gt;21,"対象外",IF($AE2632&amp;""="00000000","在職",IF($AE2632&amp;""='DB_設定'!$C$4,"4/1喪失","その他喪失"))))</f>
      </c>
    </row>
    <row r="2633">
      <c r="DB2633" s="2909">
        <f>IF($A2633="","",IF($A2633&lt;&gt;21,"対象外",IF($AE2633&amp;""="00000000","在職",IF($AE2633&amp;""='DB_設定'!$C$4,"4/1喪失","その他喪失"))))</f>
      </c>
    </row>
    <row r="2634">
      <c r="DB2634" s="2909">
        <f>IF($A2634="","",IF($A2634&lt;&gt;21,"対象外",IF($AE2634&amp;""="00000000","在職",IF($AE2634&amp;""='DB_設定'!$C$4,"4/1喪失","その他喪失"))))</f>
      </c>
    </row>
    <row r="2635">
      <c r="DB2635" s="2909">
        <f>IF($A2635="","",IF($A2635&lt;&gt;21,"対象外",IF($AE2635&amp;""="00000000","在職",IF($AE2635&amp;""='DB_設定'!$C$4,"4/1喪失","その他喪失"))))</f>
      </c>
    </row>
    <row r="2636">
      <c r="DB2636" s="2909">
        <f>IF($A2636="","",IF($A2636&lt;&gt;21,"対象外",IF($AE2636&amp;""="00000000","在職",IF($AE2636&amp;""='DB_設定'!$C$4,"4/1喪失","その他喪失"))))</f>
      </c>
    </row>
    <row r="2637">
      <c r="DB2637" s="2909">
        <f>IF($A2637="","",IF($A2637&lt;&gt;21,"対象外",IF($AE2637&amp;""="00000000","在職",IF($AE2637&amp;""='DB_設定'!$C$4,"4/1喪失","その他喪失"))))</f>
      </c>
    </row>
    <row r="2638">
      <c r="DB2638" s="2909">
        <f>IF($A2638="","",IF($A2638&lt;&gt;21,"対象外",IF($AE2638&amp;""="00000000","在職",IF($AE2638&amp;""='DB_設定'!$C$4,"4/1喪失","その他喪失"))))</f>
      </c>
    </row>
    <row r="2639">
      <c r="DB2639" s="2909">
        <f>IF($A2639="","",IF($A2639&lt;&gt;21,"対象外",IF($AE2639&amp;""="00000000","在職",IF($AE2639&amp;""='DB_設定'!$C$4,"4/1喪失","その他喪失"))))</f>
      </c>
    </row>
    <row r="2640">
      <c r="DB2640" s="2909">
        <f>IF($A2640="","",IF($A2640&lt;&gt;21,"対象外",IF($AE2640&amp;""="00000000","在職",IF($AE2640&amp;""='DB_設定'!$C$4,"4/1喪失","その他喪失"))))</f>
      </c>
    </row>
    <row r="2641">
      <c r="DB2641" s="2909">
        <f>IF($A2641="","",IF($A2641&lt;&gt;21,"対象外",IF($AE2641&amp;""="00000000","在職",IF($AE2641&amp;""='DB_設定'!$C$4,"4/1喪失","その他喪失"))))</f>
      </c>
    </row>
    <row r="2642">
      <c r="DB2642" s="2909">
        <f>IF($A2642="","",IF($A2642&lt;&gt;21,"対象外",IF($AE2642&amp;""="00000000","在職",IF($AE2642&amp;""='DB_設定'!$C$4,"4/1喪失","その他喪失"))))</f>
      </c>
    </row>
    <row r="2643">
      <c r="DB2643" s="2909">
        <f>IF($A2643="","",IF($A2643&lt;&gt;21,"対象外",IF($AE2643&amp;""="00000000","在職",IF($AE2643&amp;""='DB_設定'!$C$4,"4/1喪失","その他喪失"))))</f>
      </c>
    </row>
    <row r="2644">
      <c r="DB2644" s="2909">
        <f>IF($A2644="","",IF($A2644&lt;&gt;21,"対象外",IF($AE2644&amp;""="00000000","在職",IF($AE2644&amp;""='DB_設定'!$C$4,"4/1喪失","その他喪失"))))</f>
      </c>
    </row>
    <row r="2645">
      <c r="DB2645" s="2909">
        <f>IF($A2645="","",IF($A2645&lt;&gt;21,"対象外",IF($AE2645&amp;""="00000000","在職",IF($AE2645&amp;""='DB_設定'!$C$4,"4/1喪失","その他喪失"))))</f>
      </c>
    </row>
    <row r="2646">
      <c r="DB2646" s="2909">
        <f>IF($A2646="","",IF($A2646&lt;&gt;21,"対象外",IF($AE2646&amp;""="00000000","在職",IF($AE2646&amp;""='DB_設定'!$C$4,"4/1喪失","その他喪失"))))</f>
      </c>
    </row>
    <row r="2647">
      <c r="DB2647" s="2909">
        <f>IF($A2647="","",IF($A2647&lt;&gt;21,"対象外",IF($AE2647&amp;""="00000000","在職",IF($AE2647&amp;""='DB_設定'!$C$4,"4/1喪失","その他喪失"))))</f>
      </c>
    </row>
    <row r="2648">
      <c r="DB2648" s="2909">
        <f>IF($A2648="","",IF($A2648&lt;&gt;21,"対象外",IF($AE2648&amp;""="00000000","在職",IF($AE2648&amp;""='DB_設定'!$C$4,"4/1喪失","その他喪失"))))</f>
      </c>
    </row>
    <row r="2649">
      <c r="DB2649" s="2909">
        <f>IF($A2649="","",IF($A2649&lt;&gt;21,"対象外",IF($AE2649&amp;""="00000000","在職",IF($AE2649&amp;""='DB_設定'!$C$4,"4/1喪失","その他喪失"))))</f>
      </c>
    </row>
    <row r="2650">
      <c r="DB2650" s="2909">
        <f>IF($A2650="","",IF($A2650&lt;&gt;21,"対象外",IF($AE2650&amp;""="00000000","在職",IF($AE2650&amp;""='DB_設定'!$C$4,"4/1喪失","その他喪失"))))</f>
      </c>
    </row>
    <row r="2651">
      <c r="DB2651" s="2909">
        <f>IF($A2651="","",IF($A2651&lt;&gt;21,"対象外",IF($AE2651&amp;""="00000000","在職",IF($AE2651&amp;""='DB_設定'!$C$4,"4/1喪失","その他喪失"))))</f>
      </c>
    </row>
    <row r="2652">
      <c r="DB2652" s="2909">
        <f>IF($A2652="","",IF($A2652&lt;&gt;21,"対象外",IF($AE2652&amp;""="00000000","在職",IF($AE2652&amp;""='DB_設定'!$C$4,"4/1喪失","その他喪失"))))</f>
      </c>
    </row>
    <row r="2653">
      <c r="DB2653" s="2909">
        <f>IF($A2653="","",IF($A2653&lt;&gt;21,"対象外",IF($AE2653&amp;""="00000000","在職",IF($AE2653&amp;""='DB_設定'!$C$4,"4/1喪失","その他喪失"))))</f>
      </c>
    </row>
    <row r="2654">
      <c r="DB2654" s="2909">
        <f>IF($A2654="","",IF($A2654&lt;&gt;21,"対象外",IF($AE2654&amp;""="00000000","在職",IF($AE2654&amp;""='DB_設定'!$C$4,"4/1喪失","その他喪失"))))</f>
      </c>
    </row>
    <row r="2655">
      <c r="DB2655" s="2909">
        <f>IF($A2655="","",IF($A2655&lt;&gt;21,"対象外",IF($AE2655&amp;""="00000000","在職",IF($AE2655&amp;""='DB_設定'!$C$4,"4/1喪失","その他喪失"))))</f>
      </c>
    </row>
    <row r="2656">
      <c r="DB2656" s="2909">
        <f>IF($A2656="","",IF($A2656&lt;&gt;21,"対象外",IF($AE2656&amp;""="00000000","在職",IF($AE2656&amp;""='DB_設定'!$C$4,"4/1喪失","その他喪失"))))</f>
      </c>
    </row>
    <row r="2657">
      <c r="DB2657" s="2909">
        <f>IF($A2657="","",IF($A2657&lt;&gt;21,"対象外",IF($AE2657&amp;""="00000000","在職",IF($AE2657&amp;""='DB_設定'!$C$4,"4/1喪失","その他喪失"))))</f>
      </c>
    </row>
    <row r="2658">
      <c r="DB2658" s="2909">
        <f>IF($A2658="","",IF($A2658&lt;&gt;21,"対象外",IF($AE2658&amp;""="00000000","在職",IF($AE2658&amp;""='DB_設定'!$C$4,"4/1喪失","その他喪失"))))</f>
      </c>
    </row>
    <row r="2659">
      <c r="DB2659" s="2909">
        <f>IF($A2659="","",IF($A2659&lt;&gt;21,"対象外",IF($AE2659&amp;""="00000000","在職",IF($AE2659&amp;""='DB_設定'!$C$4,"4/1喪失","その他喪失"))))</f>
      </c>
    </row>
    <row r="2660">
      <c r="DB2660" s="2909">
        <f>IF($A2660="","",IF($A2660&lt;&gt;21,"対象外",IF($AE2660&amp;""="00000000","在職",IF($AE2660&amp;""='DB_設定'!$C$4,"4/1喪失","その他喪失"))))</f>
      </c>
    </row>
    <row r="2661">
      <c r="DB2661" s="2909">
        <f>IF($A2661="","",IF($A2661&lt;&gt;21,"対象外",IF($AE2661&amp;""="00000000","在職",IF($AE2661&amp;""='DB_設定'!$C$4,"4/1喪失","その他喪失"))))</f>
      </c>
    </row>
    <row r="2662">
      <c r="DB2662" s="2909">
        <f>IF($A2662="","",IF($A2662&lt;&gt;21,"対象外",IF($AE2662&amp;""="00000000","在職",IF($AE2662&amp;""='DB_設定'!$C$4,"4/1喪失","その他喪失"))))</f>
      </c>
    </row>
    <row r="2663">
      <c r="DB2663" s="2909">
        <f>IF($A2663="","",IF($A2663&lt;&gt;21,"対象外",IF($AE2663&amp;""="00000000","在職",IF($AE2663&amp;""='DB_設定'!$C$4,"4/1喪失","その他喪失"))))</f>
      </c>
    </row>
    <row r="2664">
      <c r="DB2664" s="2909">
        <f>IF($A2664="","",IF($A2664&lt;&gt;21,"対象外",IF($AE2664&amp;""="00000000","在職",IF($AE2664&amp;""='DB_設定'!$C$4,"4/1喪失","その他喪失"))))</f>
      </c>
    </row>
    <row r="2665">
      <c r="DB2665" s="2909">
        <f>IF($A2665="","",IF($A2665&lt;&gt;21,"対象外",IF($AE2665&amp;""="00000000","在職",IF($AE2665&amp;""='DB_設定'!$C$4,"4/1喪失","その他喪失"))))</f>
      </c>
    </row>
    <row r="2666">
      <c r="DB2666" s="2909">
        <f>IF($A2666="","",IF($A2666&lt;&gt;21,"対象外",IF($AE2666&amp;""="00000000","在職",IF($AE2666&amp;""='DB_設定'!$C$4,"4/1喪失","その他喪失"))))</f>
      </c>
    </row>
    <row r="2667">
      <c r="DB2667" s="2909">
        <f>IF($A2667="","",IF($A2667&lt;&gt;21,"対象外",IF($AE2667&amp;""="00000000","在職",IF($AE2667&amp;""='DB_設定'!$C$4,"4/1喪失","その他喪失"))))</f>
      </c>
    </row>
    <row r="2668">
      <c r="DB2668" s="2909">
        <f>IF($A2668="","",IF($A2668&lt;&gt;21,"対象外",IF($AE2668&amp;""="00000000","在職",IF($AE2668&amp;""='DB_設定'!$C$4,"4/1喪失","その他喪失"))))</f>
      </c>
    </row>
    <row r="2669">
      <c r="DB2669" s="2909">
        <f>IF($A2669="","",IF($A2669&lt;&gt;21,"対象外",IF($AE2669&amp;""="00000000","在職",IF($AE2669&amp;""='DB_設定'!$C$4,"4/1喪失","その他喪失"))))</f>
      </c>
    </row>
    <row r="2670">
      <c r="DB2670" s="2909">
        <f>IF($A2670="","",IF($A2670&lt;&gt;21,"対象外",IF($AE2670&amp;""="00000000","在職",IF($AE2670&amp;""='DB_設定'!$C$4,"4/1喪失","その他喪失"))))</f>
      </c>
    </row>
    <row r="2671">
      <c r="DB2671" s="2909">
        <f>IF($A2671="","",IF($A2671&lt;&gt;21,"対象外",IF($AE2671&amp;""="00000000","在職",IF($AE2671&amp;""='DB_設定'!$C$4,"4/1喪失","その他喪失"))))</f>
      </c>
    </row>
    <row r="2672">
      <c r="DB2672" s="2909">
        <f>IF($A2672="","",IF($A2672&lt;&gt;21,"対象外",IF($AE2672&amp;""="00000000","在職",IF($AE2672&amp;""='DB_設定'!$C$4,"4/1喪失","その他喪失"))))</f>
      </c>
    </row>
    <row r="2673">
      <c r="DB2673" s="2909">
        <f>IF($A2673="","",IF($A2673&lt;&gt;21,"対象外",IF($AE2673&amp;""="00000000","在職",IF($AE2673&amp;""='DB_設定'!$C$4,"4/1喪失","その他喪失"))))</f>
      </c>
    </row>
    <row r="2674">
      <c r="DB2674" s="2909">
        <f>IF($A2674="","",IF($A2674&lt;&gt;21,"対象外",IF($AE2674&amp;""="00000000","在職",IF($AE2674&amp;""='DB_設定'!$C$4,"4/1喪失","その他喪失"))))</f>
      </c>
    </row>
    <row r="2675">
      <c r="DB2675" s="2909">
        <f>IF($A2675="","",IF($A2675&lt;&gt;21,"対象外",IF($AE2675&amp;""="00000000","在職",IF($AE2675&amp;""='DB_設定'!$C$4,"4/1喪失","その他喪失"))))</f>
      </c>
    </row>
    <row r="2676">
      <c r="DB2676" s="2909">
        <f>IF($A2676="","",IF($A2676&lt;&gt;21,"対象外",IF($AE2676&amp;""="00000000","在職",IF($AE2676&amp;""='DB_設定'!$C$4,"4/1喪失","その他喪失"))))</f>
      </c>
    </row>
    <row r="2677">
      <c r="DB2677" s="2909">
        <f>IF($A2677="","",IF($A2677&lt;&gt;21,"対象外",IF($AE2677&amp;""="00000000","在職",IF($AE2677&amp;""='DB_設定'!$C$4,"4/1喪失","その他喪失"))))</f>
      </c>
    </row>
    <row r="2678">
      <c r="DB2678" s="2909">
        <f>IF($A2678="","",IF($A2678&lt;&gt;21,"対象外",IF($AE2678&amp;""="00000000","在職",IF($AE2678&amp;""='DB_設定'!$C$4,"4/1喪失","その他喪失"))))</f>
      </c>
    </row>
    <row r="2679">
      <c r="DB2679" s="2909">
        <f>IF($A2679="","",IF($A2679&lt;&gt;21,"対象外",IF($AE2679&amp;""="00000000","在職",IF($AE2679&amp;""='DB_設定'!$C$4,"4/1喪失","その他喪失"))))</f>
      </c>
    </row>
    <row r="2680">
      <c r="DB2680" s="2909">
        <f>IF($A2680="","",IF($A2680&lt;&gt;21,"対象外",IF($AE2680&amp;""="00000000","在職",IF($AE2680&amp;""='DB_設定'!$C$4,"4/1喪失","その他喪失"))))</f>
      </c>
    </row>
    <row r="2681">
      <c r="DB2681" s="2909">
        <f>IF($A2681="","",IF($A2681&lt;&gt;21,"対象外",IF($AE2681&amp;""="00000000","在職",IF($AE2681&amp;""='DB_設定'!$C$4,"4/1喪失","その他喪失"))))</f>
      </c>
    </row>
    <row r="2682">
      <c r="DB2682" s="2909">
        <f>IF($A2682="","",IF($A2682&lt;&gt;21,"対象外",IF($AE2682&amp;""="00000000","在職",IF($AE2682&amp;""='DB_設定'!$C$4,"4/1喪失","その他喪失"))))</f>
      </c>
    </row>
    <row r="2683">
      <c r="DB2683" s="2909">
        <f>IF($A2683="","",IF($A2683&lt;&gt;21,"対象外",IF($AE2683&amp;""="00000000","在職",IF($AE2683&amp;""='DB_設定'!$C$4,"4/1喪失","その他喪失"))))</f>
      </c>
    </row>
    <row r="2684">
      <c r="DB2684" s="2909">
        <f>IF($A2684="","",IF($A2684&lt;&gt;21,"対象外",IF($AE2684&amp;""="00000000","在職",IF($AE2684&amp;""='DB_設定'!$C$4,"4/1喪失","その他喪失"))))</f>
      </c>
    </row>
    <row r="2685">
      <c r="DB2685" s="2909">
        <f>IF($A2685="","",IF($A2685&lt;&gt;21,"対象外",IF($AE2685&amp;""="00000000","在職",IF($AE2685&amp;""='DB_設定'!$C$4,"4/1喪失","その他喪失"))))</f>
      </c>
    </row>
    <row r="2686">
      <c r="DB2686" s="2909">
        <f>IF($A2686="","",IF($A2686&lt;&gt;21,"対象外",IF($AE2686&amp;""="00000000","在職",IF($AE2686&amp;""='DB_設定'!$C$4,"4/1喪失","その他喪失"))))</f>
      </c>
    </row>
    <row r="2687">
      <c r="DB2687" s="2909">
        <f>IF($A2687="","",IF($A2687&lt;&gt;21,"対象外",IF($AE2687&amp;""="00000000","在職",IF($AE2687&amp;""='DB_設定'!$C$4,"4/1喪失","その他喪失"))))</f>
      </c>
    </row>
    <row r="2688">
      <c r="DB2688" s="2909">
        <f>IF($A2688="","",IF($A2688&lt;&gt;21,"対象外",IF($AE2688&amp;""="00000000","在職",IF($AE2688&amp;""='DB_設定'!$C$4,"4/1喪失","その他喪失"))))</f>
      </c>
    </row>
    <row r="2689">
      <c r="DB2689" s="2909">
        <f>IF($A2689="","",IF($A2689&lt;&gt;21,"対象外",IF($AE2689&amp;""="00000000","在職",IF($AE2689&amp;""='DB_設定'!$C$4,"4/1喪失","その他喪失"))))</f>
      </c>
    </row>
    <row r="2690">
      <c r="DB2690" s="2909">
        <f>IF($A2690="","",IF($A2690&lt;&gt;21,"対象外",IF($AE2690&amp;""="00000000","在職",IF($AE2690&amp;""='DB_設定'!$C$4,"4/1喪失","その他喪失"))))</f>
      </c>
    </row>
    <row r="2691">
      <c r="DB2691" s="2909">
        <f>IF($A2691="","",IF($A2691&lt;&gt;21,"対象外",IF($AE2691&amp;""="00000000","在職",IF($AE2691&amp;""='DB_設定'!$C$4,"4/1喪失","その他喪失"))))</f>
      </c>
    </row>
    <row r="2692">
      <c r="DB2692" s="2909">
        <f>IF($A2692="","",IF($A2692&lt;&gt;21,"対象外",IF($AE2692&amp;""="00000000","在職",IF($AE2692&amp;""='DB_設定'!$C$4,"4/1喪失","その他喪失"))))</f>
      </c>
    </row>
    <row r="2693">
      <c r="DB2693" s="2909">
        <f>IF($A2693="","",IF($A2693&lt;&gt;21,"対象外",IF($AE2693&amp;""="00000000","在職",IF($AE2693&amp;""='DB_設定'!$C$4,"4/1喪失","その他喪失"))))</f>
      </c>
    </row>
    <row r="2694">
      <c r="DB2694" s="2909">
        <f>IF($A2694="","",IF($A2694&lt;&gt;21,"対象外",IF($AE2694&amp;""="00000000","在職",IF($AE2694&amp;""='DB_設定'!$C$4,"4/1喪失","その他喪失"))))</f>
      </c>
    </row>
    <row r="2695">
      <c r="DB2695" s="2909">
        <f>IF($A2695="","",IF($A2695&lt;&gt;21,"対象外",IF($AE2695&amp;""="00000000","在職",IF($AE2695&amp;""='DB_設定'!$C$4,"4/1喪失","その他喪失"))))</f>
      </c>
    </row>
    <row r="2696">
      <c r="DB2696" s="2909">
        <f>IF($A2696="","",IF($A2696&lt;&gt;21,"対象外",IF($AE2696&amp;""="00000000","在職",IF($AE2696&amp;""='DB_設定'!$C$4,"4/1喪失","その他喪失"))))</f>
      </c>
    </row>
    <row r="2697">
      <c r="DB2697" s="2909">
        <f>IF($A2697="","",IF($A2697&lt;&gt;21,"対象外",IF($AE2697&amp;""="00000000","在職",IF($AE2697&amp;""='DB_設定'!$C$4,"4/1喪失","その他喪失"))))</f>
      </c>
    </row>
    <row r="2698">
      <c r="DB2698" s="2909">
        <f>IF($A2698="","",IF($A2698&lt;&gt;21,"対象外",IF($AE2698&amp;""="00000000","在職",IF($AE2698&amp;""='DB_設定'!$C$4,"4/1喪失","その他喪失"))))</f>
      </c>
    </row>
    <row r="2699">
      <c r="DB2699" s="2909">
        <f>IF($A2699="","",IF($A2699&lt;&gt;21,"対象外",IF($AE2699&amp;""="00000000","在職",IF($AE2699&amp;""='DB_設定'!$C$4,"4/1喪失","その他喪失"))))</f>
      </c>
    </row>
    <row r="2700">
      <c r="DB2700" s="2909">
        <f>IF($A2700="","",IF($A2700&lt;&gt;21,"対象外",IF($AE2700&amp;""="00000000","在職",IF($AE2700&amp;""='DB_設定'!$C$4,"4/1喪失","その他喪失"))))</f>
      </c>
    </row>
    <row r="2701">
      <c r="DB2701" s="2909">
        <f>IF($A2701="","",IF($A2701&lt;&gt;21,"対象外",IF($AE2701&amp;""="00000000","在職",IF($AE2701&amp;""='DB_設定'!$C$4,"4/1喪失","その他喪失"))))</f>
      </c>
    </row>
    <row r="2702">
      <c r="DB2702" s="2909">
        <f>IF($A2702="","",IF($A2702&lt;&gt;21,"対象外",IF($AE2702&amp;""="00000000","在職",IF($AE2702&amp;""='DB_設定'!$C$4,"4/1喪失","その他喪失"))))</f>
      </c>
    </row>
    <row r="2703">
      <c r="DB2703" s="2909">
        <f>IF($A2703="","",IF($A2703&lt;&gt;21,"対象外",IF($AE2703&amp;""="00000000","在職",IF($AE2703&amp;""='DB_設定'!$C$4,"4/1喪失","その他喪失"))))</f>
      </c>
    </row>
    <row r="2704">
      <c r="DB2704" s="2909">
        <f>IF($A2704="","",IF($A2704&lt;&gt;21,"対象外",IF($AE2704&amp;""="00000000","在職",IF($AE2704&amp;""='DB_設定'!$C$4,"4/1喪失","その他喪失"))))</f>
      </c>
    </row>
    <row r="2705">
      <c r="DB2705" s="2909">
        <f>IF($A2705="","",IF($A2705&lt;&gt;21,"対象外",IF($AE2705&amp;""="00000000","在職",IF($AE2705&amp;""='DB_設定'!$C$4,"4/1喪失","その他喪失"))))</f>
      </c>
    </row>
    <row r="2706">
      <c r="DB2706" s="2909">
        <f>IF($A2706="","",IF($A2706&lt;&gt;21,"対象外",IF($AE2706&amp;""="00000000","在職",IF($AE2706&amp;""='DB_設定'!$C$4,"4/1喪失","その他喪失"))))</f>
      </c>
    </row>
    <row r="2707">
      <c r="DB2707" s="2909">
        <f>IF($A2707="","",IF($A2707&lt;&gt;21,"対象外",IF($AE2707&amp;""="00000000","在職",IF($AE2707&amp;""='DB_設定'!$C$4,"4/1喪失","その他喪失"))))</f>
      </c>
    </row>
    <row r="2708">
      <c r="DB2708" s="2909">
        <f>IF($A2708="","",IF($A2708&lt;&gt;21,"対象外",IF($AE2708&amp;""="00000000","在職",IF($AE2708&amp;""='DB_設定'!$C$4,"4/1喪失","その他喪失"))))</f>
      </c>
    </row>
    <row r="2709">
      <c r="DB2709" s="2909">
        <f>IF($A2709="","",IF($A2709&lt;&gt;21,"対象外",IF($AE2709&amp;""="00000000","在職",IF($AE2709&amp;""='DB_設定'!$C$4,"4/1喪失","その他喪失"))))</f>
      </c>
    </row>
    <row r="2710">
      <c r="DB2710" s="2909">
        <f>IF($A2710="","",IF($A2710&lt;&gt;21,"対象外",IF($AE2710&amp;""="00000000","在職",IF($AE2710&amp;""='DB_設定'!$C$4,"4/1喪失","その他喪失"))))</f>
      </c>
    </row>
    <row r="2711">
      <c r="DB2711" s="2909">
        <f>IF($A2711="","",IF($A2711&lt;&gt;21,"対象外",IF($AE2711&amp;""="00000000","在職",IF($AE2711&amp;""='DB_設定'!$C$4,"4/1喪失","その他喪失"))))</f>
      </c>
    </row>
    <row r="2712">
      <c r="DB2712" s="2909">
        <f>IF($A2712="","",IF($A2712&lt;&gt;21,"対象外",IF($AE2712&amp;""="00000000","在職",IF($AE2712&amp;""='DB_設定'!$C$4,"4/1喪失","その他喪失"))))</f>
      </c>
    </row>
    <row r="2713">
      <c r="DB2713" s="2909">
        <f>IF($A2713="","",IF($A2713&lt;&gt;21,"対象外",IF($AE2713&amp;""="00000000","在職",IF($AE2713&amp;""='DB_設定'!$C$4,"4/1喪失","その他喪失"))))</f>
      </c>
    </row>
    <row r="2714">
      <c r="DB2714" s="2909">
        <f>IF($A2714="","",IF($A2714&lt;&gt;21,"対象外",IF($AE2714&amp;""="00000000","在職",IF($AE2714&amp;""='DB_設定'!$C$4,"4/1喪失","その他喪失"))))</f>
      </c>
    </row>
    <row r="2715">
      <c r="DB2715" s="2909">
        <f>IF($A2715="","",IF($A2715&lt;&gt;21,"対象外",IF($AE2715&amp;""="00000000","在職",IF($AE2715&amp;""='DB_設定'!$C$4,"4/1喪失","その他喪失"))))</f>
      </c>
    </row>
    <row r="2716">
      <c r="DB2716" s="2909">
        <f>IF($A2716="","",IF($A2716&lt;&gt;21,"対象外",IF($AE2716&amp;""="00000000","在職",IF($AE2716&amp;""='DB_設定'!$C$4,"4/1喪失","その他喪失"))))</f>
      </c>
    </row>
    <row r="2717">
      <c r="DB2717" s="2909">
        <f>IF($A2717="","",IF($A2717&lt;&gt;21,"対象外",IF($AE2717&amp;""="00000000","在職",IF($AE2717&amp;""='DB_設定'!$C$4,"4/1喪失","その他喪失"))))</f>
      </c>
    </row>
    <row r="2718">
      <c r="DB2718" s="2909">
        <f>IF($A2718="","",IF($A2718&lt;&gt;21,"対象外",IF($AE2718&amp;""="00000000","在職",IF($AE2718&amp;""='DB_設定'!$C$4,"4/1喪失","その他喪失"))))</f>
      </c>
    </row>
    <row r="2719">
      <c r="DB2719" s="2909">
        <f>IF($A2719="","",IF($A2719&lt;&gt;21,"対象外",IF($AE2719&amp;""="00000000","在職",IF($AE2719&amp;""='DB_設定'!$C$4,"4/1喪失","その他喪失"))))</f>
      </c>
    </row>
    <row r="2720">
      <c r="DB2720" s="2909">
        <f>IF($A2720="","",IF($A2720&lt;&gt;21,"対象外",IF($AE2720&amp;""="00000000","在職",IF($AE2720&amp;""='DB_設定'!$C$4,"4/1喪失","その他喪失"))))</f>
      </c>
    </row>
    <row r="2721">
      <c r="DB2721" s="2909">
        <f>IF($A2721="","",IF($A2721&lt;&gt;21,"対象外",IF($AE2721&amp;""="00000000","在職",IF($AE2721&amp;""='DB_設定'!$C$4,"4/1喪失","その他喪失"))))</f>
      </c>
    </row>
    <row r="2722">
      <c r="DB2722" s="2909">
        <f>IF($A2722="","",IF($A2722&lt;&gt;21,"対象外",IF($AE2722&amp;""="00000000","在職",IF($AE2722&amp;""='DB_設定'!$C$4,"4/1喪失","その他喪失"))))</f>
      </c>
    </row>
    <row r="2723">
      <c r="DB2723" s="2909">
        <f>IF($A2723="","",IF($A2723&lt;&gt;21,"対象外",IF($AE2723&amp;""="00000000","在職",IF($AE2723&amp;""='DB_設定'!$C$4,"4/1喪失","その他喪失"))))</f>
      </c>
    </row>
    <row r="2724">
      <c r="DB2724" s="2909">
        <f>IF($A2724="","",IF($A2724&lt;&gt;21,"対象外",IF($AE2724&amp;""="00000000","在職",IF($AE2724&amp;""='DB_設定'!$C$4,"4/1喪失","その他喪失"))))</f>
      </c>
    </row>
    <row r="2725">
      <c r="DB2725" s="2909">
        <f>IF($A2725="","",IF($A2725&lt;&gt;21,"対象外",IF($AE2725&amp;""="00000000","在職",IF($AE2725&amp;""='DB_設定'!$C$4,"4/1喪失","その他喪失"))))</f>
      </c>
    </row>
    <row r="2726">
      <c r="DB2726" s="2909">
        <f>IF($A2726="","",IF($A2726&lt;&gt;21,"対象外",IF($AE2726&amp;""="00000000","在職",IF($AE2726&amp;""='DB_設定'!$C$4,"4/1喪失","その他喪失"))))</f>
      </c>
    </row>
    <row r="2727">
      <c r="DB2727" s="2909">
        <f>IF($A2727="","",IF($A2727&lt;&gt;21,"対象外",IF($AE2727&amp;""="00000000","在職",IF($AE2727&amp;""='DB_設定'!$C$4,"4/1喪失","その他喪失"))))</f>
      </c>
    </row>
    <row r="2728">
      <c r="DB2728" s="2909">
        <f>IF($A2728="","",IF($A2728&lt;&gt;21,"対象外",IF($AE2728&amp;""="00000000","在職",IF($AE2728&amp;""='DB_設定'!$C$4,"4/1喪失","その他喪失"))))</f>
      </c>
    </row>
    <row r="2729">
      <c r="DB2729" s="2909">
        <f>IF($A2729="","",IF($A2729&lt;&gt;21,"対象外",IF($AE2729&amp;""="00000000","在職",IF($AE2729&amp;""='DB_設定'!$C$4,"4/1喪失","その他喪失"))))</f>
      </c>
    </row>
    <row r="2730">
      <c r="DB2730" s="2909">
        <f>IF($A2730="","",IF($A2730&lt;&gt;21,"対象外",IF($AE2730&amp;""="00000000","在職",IF($AE2730&amp;""='DB_設定'!$C$4,"4/1喪失","その他喪失"))))</f>
      </c>
    </row>
    <row r="2731">
      <c r="DB2731" s="2909">
        <f>IF($A2731="","",IF($A2731&lt;&gt;21,"対象外",IF($AE2731&amp;""="00000000","在職",IF($AE2731&amp;""='DB_設定'!$C$4,"4/1喪失","その他喪失"))))</f>
      </c>
    </row>
    <row r="2732">
      <c r="DB2732" s="2909">
        <f>IF($A2732="","",IF($A2732&lt;&gt;21,"対象外",IF($AE2732&amp;""="00000000","在職",IF($AE2732&amp;""='DB_設定'!$C$4,"4/1喪失","その他喪失"))))</f>
      </c>
    </row>
    <row r="2733">
      <c r="DB2733" s="2909">
        <f>IF($A2733="","",IF($A2733&lt;&gt;21,"対象外",IF($AE2733&amp;""="00000000","在職",IF($AE2733&amp;""='DB_設定'!$C$4,"4/1喪失","その他喪失"))))</f>
      </c>
    </row>
    <row r="2734">
      <c r="DB2734" s="2909">
        <f>IF($A2734="","",IF($A2734&lt;&gt;21,"対象外",IF($AE2734&amp;""="00000000","在職",IF($AE2734&amp;""='DB_設定'!$C$4,"4/1喪失","その他喪失"))))</f>
      </c>
    </row>
    <row r="2735">
      <c r="DB2735" s="2909">
        <f>IF($A2735="","",IF($A2735&lt;&gt;21,"対象外",IF($AE2735&amp;""="00000000","在職",IF($AE2735&amp;""='DB_設定'!$C$4,"4/1喪失","その他喪失"))))</f>
      </c>
    </row>
    <row r="2736">
      <c r="DB2736" s="2909">
        <f>IF($A2736="","",IF($A2736&lt;&gt;21,"対象外",IF($AE2736&amp;""="00000000","在職",IF($AE2736&amp;""='DB_設定'!$C$4,"4/1喪失","その他喪失"))))</f>
      </c>
    </row>
    <row r="2737">
      <c r="DB2737" s="2909">
        <f>IF($A2737="","",IF($A2737&lt;&gt;21,"対象外",IF($AE2737&amp;""="00000000","在職",IF($AE2737&amp;""='DB_設定'!$C$4,"4/1喪失","その他喪失"))))</f>
      </c>
    </row>
    <row r="2738">
      <c r="DB2738" s="2909">
        <f>IF($A2738="","",IF($A2738&lt;&gt;21,"対象外",IF($AE2738&amp;""="00000000","在職",IF($AE2738&amp;""='DB_設定'!$C$4,"4/1喪失","その他喪失"))))</f>
      </c>
    </row>
    <row r="2739">
      <c r="DB2739" s="2909">
        <f>IF($A2739="","",IF($A2739&lt;&gt;21,"対象外",IF($AE2739&amp;""="00000000","在職",IF($AE2739&amp;""='DB_設定'!$C$4,"4/1喪失","その他喪失"))))</f>
      </c>
    </row>
    <row r="2740">
      <c r="DB2740" s="2909">
        <f>IF($A2740="","",IF($A2740&lt;&gt;21,"対象外",IF($AE2740&amp;""="00000000","在職",IF($AE2740&amp;""='DB_設定'!$C$4,"4/1喪失","その他喪失"))))</f>
      </c>
    </row>
    <row r="2741">
      <c r="DB2741" s="2909">
        <f>IF($A2741="","",IF($A2741&lt;&gt;21,"対象外",IF($AE2741&amp;""="00000000","在職",IF($AE2741&amp;""='DB_設定'!$C$4,"4/1喪失","その他喪失"))))</f>
      </c>
    </row>
    <row r="2742">
      <c r="DB2742" s="2909">
        <f>IF($A2742="","",IF($A2742&lt;&gt;21,"対象外",IF($AE2742&amp;""="00000000","在職",IF($AE2742&amp;""='DB_設定'!$C$4,"4/1喪失","その他喪失"))))</f>
      </c>
    </row>
    <row r="2743">
      <c r="DB2743" s="2909">
        <f>IF($A2743="","",IF($A2743&lt;&gt;21,"対象外",IF($AE2743&amp;""="00000000","在職",IF($AE2743&amp;""='DB_設定'!$C$4,"4/1喪失","その他喪失"))))</f>
      </c>
    </row>
    <row r="2744">
      <c r="DB2744" s="2909">
        <f>IF($A2744="","",IF($A2744&lt;&gt;21,"対象外",IF($AE2744&amp;""="00000000","在職",IF($AE2744&amp;""='DB_設定'!$C$4,"4/1喪失","その他喪失"))))</f>
      </c>
    </row>
    <row r="2745">
      <c r="DB2745" s="2909">
        <f>IF($A2745="","",IF($A2745&lt;&gt;21,"対象外",IF($AE2745&amp;""="00000000","在職",IF($AE2745&amp;""='DB_設定'!$C$4,"4/1喪失","その他喪失"))))</f>
      </c>
    </row>
    <row r="2746">
      <c r="DB2746" s="2909">
        <f>IF($A2746="","",IF($A2746&lt;&gt;21,"対象外",IF($AE2746&amp;""="00000000","在職",IF($AE2746&amp;""='DB_設定'!$C$4,"4/1喪失","その他喪失"))))</f>
      </c>
    </row>
    <row r="2747">
      <c r="DB2747" s="2909">
        <f>IF($A2747="","",IF($A2747&lt;&gt;21,"対象外",IF($AE2747&amp;""="00000000","在職",IF($AE2747&amp;""='DB_設定'!$C$4,"4/1喪失","その他喪失"))))</f>
      </c>
    </row>
    <row r="2748">
      <c r="DB2748" s="2909">
        <f>IF($A2748="","",IF($A2748&lt;&gt;21,"対象外",IF($AE2748&amp;""="00000000","在職",IF($AE2748&amp;""='DB_設定'!$C$4,"4/1喪失","その他喪失"))))</f>
      </c>
    </row>
    <row r="2749">
      <c r="DB2749" s="2909">
        <f>IF($A2749="","",IF($A2749&lt;&gt;21,"対象外",IF($AE2749&amp;""="00000000","在職",IF($AE2749&amp;""='DB_設定'!$C$4,"4/1喪失","その他喪失"))))</f>
      </c>
    </row>
    <row r="2750">
      <c r="DB2750" s="2909">
        <f>IF($A2750="","",IF($A2750&lt;&gt;21,"対象外",IF($AE2750&amp;""="00000000","在職",IF($AE2750&amp;""='DB_設定'!$C$4,"4/1喪失","その他喪失"))))</f>
      </c>
    </row>
    <row r="2751">
      <c r="DB2751" s="2909">
        <f>IF($A2751="","",IF($A2751&lt;&gt;21,"対象外",IF($AE2751&amp;""="00000000","在職",IF($AE2751&amp;""='DB_設定'!$C$4,"4/1喪失","その他喪失"))))</f>
      </c>
    </row>
    <row r="2752">
      <c r="DB2752" s="2909">
        <f>IF($A2752="","",IF($A2752&lt;&gt;21,"対象外",IF($AE2752&amp;""="00000000","在職",IF($AE2752&amp;""='DB_設定'!$C$4,"4/1喪失","その他喪失"))))</f>
      </c>
    </row>
    <row r="2753">
      <c r="DB2753" s="2909">
        <f>IF($A2753="","",IF($A2753&lt;&gt;21,"対象外",IF($AE2753&amp;""="00000000","在職",IF($AE2753&amp;""='DB_設定'!$C$4,"4/1喪失","その他喪失"))))</f>
      </c>
    </row>
    <row r="2754">
      <c r="DB2754" s="2909">
        <f>IF($A2754="","",IF($A2754&lt;&gt;21,"対象外",IF($AE2754&amp;""="00000000","在職",IF($AE2754&amp;""='DB_設定'!$C$4,"4/1喪失","その他喪失"))))</f>
      </c>
    </row>
    <row r="2755">
      <c r="DB2755" s="2909">
        <f>IF($A2755="","",IF($A2755&lt;&gt;21,"対象外",IF($AE2755&amp;""="00000000","在職",IF($AE2755&amp;""='DB_設定'!$C$4,"4/1喪失","その他喪失"))))</f>
      </c>
    </row>
    <row r="2756">
      <c r="DB2756" s="2909">
        <f>IF($A2756="","",IF($A2756&lt;&gt;21,"対象外",IF($AE2756&amp;""="00000000","在職",IF($AE2756&amp;""='DB_設定'!$C$4,"4/1喪失","その他喪失"))))</f>
      </c>
    </row>
    <row r="2757">
      <c r="DB2757" s="2909">
        <f>IF($A2757="","",IF($A2757&lt;&gt;21,"対象外",IF($AE2757&amp;""="00000000","在職",IF($AE2757&amp;""='DB_設定'!$C$4,"4/1喪失","その他喪失"))))</f>
      </c>
    </row>
    <row r="2758">
      <c r="DB2758" s="2909">
        <f>IF($A2758="","",IF($A2758&lt;&gt;21,"対象外",IF($AE2758&amp;""="00000000","在職",IF($AE2758&amp;""='DB_設定'!$C$4,"4/1喪失","その他喪失"))))</f>
      </c>
    </row>
    <row r="2759">
      <c r="DB2759" s="2909">
        <f>IF($A2759="","",IF($A2759&lt;&gt;21,"対象外",IF($AE2759&amp;""="00000000","在職",IF($AE2759&amp;""='DB_設定'!$C$4,"4/1喪失","その他喪失"))))</f>
      </c>
    </row>
    <row r="2760">
      <c r="DB2760" s="2909">
        <f>IF($A2760="","",IF($A2760&lt;&gt;21,"対象外",IF($AE2760&amp;""="00000000","在職",IF($AE2760&amp;""='DB_設定'!$C$4,"4/1喪失","その他喪失"))))</f>
      </c>
    </row>
    <row r="2761">
      <c r="DB2761" s="2909">
        <f>IF($A2761="","",IF($A2761&lt;&gt;21,"対象外",IF($AE2761&amp;""="00000000","在職",IF($AE2761&amp;""='DB_設定'!$C$4,"4/1喪失","その他喪失"))))</f>
      </c>
    </row>
    <row r="2762">
      <c r="DB2762" s="2909">
        <f>IF($A2762="","",IF($A2762&lt;&gt;21,"対象外",IF($AE2762&amp;""="00000000","在職",IF($AE2762&amp;""='DB_設定'!$C$4,"4/1喪失","その他喪失"))))</f>
      </c>
    </row>
    <row r="2763">
      <c r="DB2763" s="2909">
        <f>IF($A2763="","",IF($A2763&lt;&gt;21,"対象外",IF($AE2763&amp;""="00000000","在職",IF($AE2763&amp;""='DB_設定'!$C$4,"4/1喪失","その他喪失"))))</f>
      </c>
    </row>
    <row r="2764">
      <c r="DB2764" s="2909">
        <f>IF($A2764="","",IF($A2764&lt;&gt;21,"対象外",IF($AE2764&amp;""="00000000","在職",IF($AE2764&amp;""='DB_設定'!$C$4,"4/1喪失","その他喪失"))))</f>
      </c>
    </row>
    <row r="2765">
      <c r="DB2765" s="2909">
        <f>IF($A2765="","",IF($A2765&lt;&gt;21,"対象外",IF($AE2765&amp;""="00000000","在職",IF($AE2765&amp;""='DB_設定'!$C$4,"4/1喪失","その他喪失"))))</f>
      </c>
    </row>
    <row r="2766">
      <c r="DB2766" s="2909">
        <f>IF($A2766="","",IF($A2766&lt;&gt;21,"対象外",IF($AE2766&amp;""="00000000","在職",IF($AE2766&amp;""='DB_設定'!$C$4,"4/1喪失","その他喪失"))))</f>
      </c>
    </row>
    <row r="2767">
      <c r="DB2767" s="2909">
        <f>IF($A2767="","",IF($A2767&lt;&gt;21,"対象外",IF($AE2767&amp;""="00000000","在職",IF($AE2767&amp;""='DB_設定'!$C$4,"4/1喪失","その他喪失"))))</f>
      </c>
    </row>
    <row r="2768">
      <c r="DB2768" s="2909">
        <f>IF($A2768="","",IF($A2768&lt;&gt;21,"対象外",IF($AE2768&amp;""="00000000","在職",IF($AE2768&amp;""='DB_設定'!$C$4,"4/1喪失","その他喪失"))))</f>
      </c>
    </row>
    <row r="2769">
      <c r="DB2769" s="2909">
        <f>IF($A2769="","",IF($A2769&lt;&gt;21,"対象外",IF($AE2769&amp;""="00000000","在職",IF($AE2769&amp;""='DB_設定'!$C$4,"4/1喪失","その他喪失"))))</f>
      </c>
    </row>
    <row r="2770">
      <c r="DB2770" s="2909">
        <f>IF($A2770="","",IF($A2770&lt;&gt;21,"対象外",IF($AE2770&amp;""="00000000","在職",IF($AE2770&amp;""='DB_設定'!$C$4,"4/1喪失","その他喪失"))))</f>
      </c>
    </row>
    <row r="2771">
      <c r="DB2771" s="2909">
        <f>IF($A2771="","",IF($A2771&lt;&gt;21,"対象外",IF($AE2771&amp;""="00000000","在職",IF($AE2771&amp;""='DB_設定'!$C$4,"4/1喪失","その他喪失"))))</f>
      </c>
    </row>
    <row r="2772">
      <c r="DB2772" s="2909">
        <f>IF($A2772="","",IF($A2772&lt;&gt;21,"対象外",IF($AE2772&amp;""="00000000","在職",IF($AE2772&amp;""='DB_設定'!$C$4,"4/1喪失","その他喪失"))))</f>
      </c>
    </row>
    <row r="2773">
      <c r="DB2773" s="2909">
        <f>IF($A2773="","",IF($A2773&lt;&gt;21,"対象外",IF($AE2773&amp;""="00000000","在職",IF($AE2773&amp;""='DB_設定'!$C$4,"4/1喪失","その他喪失"))))</f>
      </c>
    </row>
    <row r="2774">
      <c r="DB2774" s="2909">
        <f>IF($A2774="","",IF($A2774&lt;&gt;21,"対象外",IF($AE2774&amp;""="00000000","在職",IF($AE2774&amp;""='DB_設定'!$C$4,"4/1喪失","その他喪失"))))</f>
      </c>
    </row>
    <row r="2775">
      <c r="DB2775" s="2909">
        <f>IF($A2775="","",IF($A2775&lt;&gt;21,"対象外",IF($AE2775&amp;""="00000000","在職",IF($AE2775&amp;""='DB_設定'!$C$4,"4/1喪失","その他喪失"))))</f>
      </c>
    </row>
    <row r="2776">
      <c r="DB2776" s="2909">
        <f>IF($A2776="","",IF($A2776&lt;&gt;21,"対象外",IF($AE2776&amp;""="00000000","在職",IF($AE2776&amp;""='DB_設定'!$C$4,"4/1喪失","その他喪失"))))</f>
      </c>
    </row>
    <row r="2777">
      <c r="DB2777" s="2909">
        <f>IF($A2777="","",IF($A2777&lt;&gt;21,"対象外",IF($AE2777&amp;""="00000000","在職",IF($AE2777&amp;""='DB_設定'!$C$4,"4/1喪失","その他喪失"))))</f>
      </c>
    </row>
    <row r="2778">
      <c r="DB2778" s="2909">
        <f>IF($A2778="","",IF($A2778&lt;&gt;21,"対象外",IF($AE2778&amp;""="00000000","在職",IF($AE2778&amp;""='DB_設定'!$C$4,"4/1喪失","その他喪失"))))</f>
      </c>
    </row>
    <row r="2779">
      <c r="DB2779" s="2909">
        <f>IF($A2779="","",IF($A2779&lt;&gt;21,"対象外",IF($AE2779&amp;""="00000000","在職",IF($AE2779&amp;""='DB_設定'!$C$4,"4/1喪失","その他喪失"))))</f>
      </c>
    </row>
    <row r="2780">
      <c r="DB2780" s="2909">
        <f>IF($A2780="","",IF($A2780&lt;&gt;21,"対象外",IF($AE2780&amp;""="00000000","在職",IF($AE2780&amp;""='DB_設定'!$C$4,"4/1喪失","その他喪失"))))</f>
      </c>
    </row>
    <row r="2781">
      <c r="DB2781" s="2909">
        <f>IF($A2781="","",IF($A2781&lt;&gt;21,"対象外",IF($AE2781&amp;""="00000000","在職",IF($AE2781&amp;""='DB_設定'!$C$4,"4/1喪失","その他喪失"))))</f>
      </c>
    </row>
    <row r="2782">
      <c r="DB2782" s="2909">
        <f>IF($A2782="","",IF($A2782&lt;&gt;21,"対象外",IF($AE2782&amp;""="00000000","在職",IF($AE2782&amp;""='DB_設定'!$C$4,"4/1喪失","その他喪失"))))</f>
      </c>
    </row>
    <row r="2783">
      <c r="DB2783" s="2909">
        <f>IF($A2783="","",IF($A2783&lt;&gt;21,"対象外",IF($AE2783&amp;""="00000000","在職",IF($AE2783&amp;""='DB_設定'!$C$4,"4/1喪失","その他喪失"))))</f>
      </c>
    </row>
    <row r="2784">
      <c r="DB2784" s="2909">
        <f>IF($A2784="","",IF($A2784&lt;&gt;21,"対象外",IF($AE2784&amp;""="00000000","在職",IF($AE2784&amp;""='DB_設定'!$C$4,"4/1喪失","その他喪失"))))</f>
      </c>
    </row>
    <row r="2785">
      <c r="DB2785" s="2909">
        <f>IF($A2785="","",IF($A2785&lt;&gt;21,"対象外",IF($AE2785&amp;""="00000000","在職",IF($AE2785&amp;""='DB_設定'!$C$4,"4/1喪失","その他喪失"))))</f>
      </c>
    </row>
    <row r="2786">
      <c r="DB2786" s="2909">
        <f>IF($A2786="","",IF($A2786&lt;&gt;21,"対象外",IF($AE2786&amp;""="00000000","在職",IF($AE2786&amp;""='DB_設定'!$C$4,"4/1喪失","その他喪失"))))</f>
      </c>
    </row>
    <row r="2787">
      <c r="DB2787" s="2909">
        <f>IF($A2787="","",IF($A2787&lt;&gt;21,"対象外",IF($AE2787&amp;""="00000000","在職",IF($AE2787&amp;""='DB_設定'!$C$4,"4/1喪失","その他喪失"))))</f>
      </c>
    </row>
    <row r="2788">
      <c r="DB2788" s="2909">
        <f>IF($A2788="","",IF($A2788&lt;&gt;21,"対象外",IF($AE2788&amp;""="00000000","在職",IF($AE2788&amp;""='DB_設定'!$C$4,"4/1喪失","その他喪失"))))</f>
      </c>
    </row>
    <row r="2789">
      <c r="DB2789" s="2909">
        <f>IF($A2789="","",IF($A2789&lt;&gt;21,"対象外",IF($AE2789&amp;""="00000000","在職",IF($AE2789&amp;""='DB_設定'!$C$4,"4/1喪失","その他喪失"))))</f>
      </c>
    </row>
    <row r="2790">
      <c r="DB2790" s="2909">
        <f>IF($A2790="","",IF($A2790&lt;&gt;21,"対象外",IF($AE2790&amp;""="00000000","在職",IF($AE2790&amp;""='DB_設定'!$C$4,"4/1喪失","その他喪失"))))</f>
      </c>
    </row>
    <row r="2791">
      <c r="DB2791" s="2909">
        <f>IF($A2791="","",IF($A2791&lt;&gt;21,"対象外",IF($AE2791&amp;""="00000000","在職",IF($AE2791&amp;""='DB_設定'!$C$4,"4/1喪失","その他喪失"))))</f>
      </c>
    </row>
    <row r="2792">
      <c r="DB2792" s="2909">
        <f>IF($A2792="","",IF($A2792&lt;&gt;21,"対象外",IF($AE2792&amp;""="00000000","在職",IF($AE2792&amp;""='DB_設定'!$C$4,"4/1喪失","その他喪失"))))</f>
      </c>
    </row>
    <row r="2793">
      <c r="DB2793" s="2909">
        <f>IF($A2793="","",IF($A2793&lt;&gt;21,"対象外",IF($AE2793&amp;""="00000000","在職",IF($AE2793&amp;""='DB_設定'!$C$4,"4/1喪失","その他喪失"))))</f>
      </c>
    </row>
    <row r="2794">
      <c r="DB2794" s="2909">
        <f>IF($A2794="","",IF($A2794&lt;&gt;21,"対象外",IF($AE2794&amp;""="00000000","在職",IF($AE2794&amp;""='DB_設定'!$C$4,"4/1喪失","その他喪失"))))</f>
      </c>
    </row>
    <row r="2795">
      <c r="DB2795" s="2909">
        <f>IF($A2795="","",IF($A2795&lt;&gt;21,"対象外",IF($AE2795&amp;""="00000000","在職",IF($AE2795&amp;""='DB_設定'!$C$4,"4/1喪失","その他喪失"))))</f>
      </c>
    </row>
    <row r="2796">
      <c r="DB2796" s="2909">
        <f>IF($A2796="","",IF($A2796&lt;&gt;21,"対象外",IF($AE2796&amp;""="00000000","在職",IF($AE2796&amp;""='DB_設定'!$C$4,"4/1喪失","その他喪失"))))</f>
      </c>
    </row>
    <row r="2797">
      <c r="DB2797" s="2909">
        <f>IF($A2797="","",IF($A2797&lt;&gt;21,"対象外",IF($AE2797&amp;""="00000000","在職",IF($AE2797&amp;""='DB_設定'!$C$4,"4/1喪失","その他喪失"))))</f>
      </c>
    </row>
    <row r="2798">
      <c r="DB2798" s="2909">
        <f>IF($A2798="","",IF($A2798&lt;&gt;21,"対象外",IF($AE2798&amp;""="00000000","在職",IF($AE2798&amp;""='DB_設定'!$C$4,"4/1喪失","その他喪失"))))</f>
      </c>
    </row>
    <row r="2799">
      <c r="DB2799" s="2909">
        <f>IF($A2799="","",IF($A2799&lt;&gt;21,"対象外",IF($AE2799&amp;""="00000000","在職",IF($AE2799&amp;""='DB_設定'!$C$4,"4/1喪失","その他喪失"))))</f>
      </c>
    </row>
    <row r="2800">
      <c r="DB2800" s="2909">
        <f>IF($A2800="","",IF($A2800&lt;&gt;21,"対象外",IF($AE2800&amp;""="00000000","在職",IF($AE2800&amp;""='DB_設定'!$C$4,"4/1喪失","その他喪失"))))</f>
      </c>
    </row>
    <row r="2801">
      <c r="DB2801" s="2909">
        <f>IF($A2801="","",IF($A2801&lt;&gt;21,"対象外",IF($AE2801&amp;""="00000000","在職",IF($AE2801&amp;""='DB_設定'!$C$4,"4/1喪失","その他喪失"))))</f>
      </c>
    </row>
    <row r="2802">
      <c r="DB2802" s="2909">
        <f>IF($A2802="","",IF($A2802&lt;&gt;21,"対象外",IF($AE2802&amp;""="00000000","在職",IF($AE2802&amp;""='DB_設定'!$C$4,"4/1喪失","その他喪失"))))</f>
      </c>
    </row>
    <row r="2803">
      <c r="DB2803" s="2909">
        <f>IF($A2803="","",IF($A2803&lt;&gt;21,"対象外",IF($AE2803&amp;""="00000000","在職",IF($AE2803&amp;""='DB_設定'!$C$4,"4/1喪失","その他喪失"))))</f>
      </c>
    </row>
    <row r="2804">
      <c r="DB2804" s="2909">
        <f>IF($A2804="","",IF($A2804&lt;&gt;21,"対象外",IF($AE2804&amp;""="00000000","在職",IF($AE2804&amp;""='DB_設定'!$C$4,"4/1喪失","その他喪失"))))</f>
      </c>
    </row>
    <row r="2805">
      <c r="DB2805" s="2909">
        <f>IF($A2805="","",IF($A2805&lt;&gt;21,"対象外",IF($AE2805&amp;""="00000000","在職",IF($AE2805&amp;""='DB_設定'!$C$4,"4/1喪失","その他喪失"))))</f>
      </c>
    </row>
    <row r="2806">
      <c r="DB2806" s="2909">
        <f>IF($A2806="","",IF($A2806&lt;&gt;21,"対象外",IF($AE2806&amp;""="00000000","在職",IF($AE2806&amp;""='DB_設定'!$C$4,"4/1喪失","その他喪失"))))</f>
      </c>
    </row>
    <row r="2807">
      <c r="DB2807" s="2909">
        <f>IF($A2807="","",IF($A2807&lt;&gt;21,"対象外",IF($AE2807&amp;""="00000000","在職",IF($AE2807&amp;""='DB_設定'!$C$4,"4/1喪失","その他喪失"))))</f>
      </c>
    </row>
    <row r="2808">
      <c r="DB2808" s="2909">
        <f>IF($A2808="","",IF($A2808&lt;&gt;21,"対象外",IF($AE2808&amp;""="00000000","在職",IF($AE2808&amp;""='DB_設定'!$C$4,"4/1喪失","その他喪失"))))</f>
      </c>
    </row>
    <row r="2809">
      <c r="DB2809" s="2909">
        <f>IF($A2809="","",IF($A2809&lt;&gt;21,"対象外",IF($AE2809&amp;""="00000000","在職",IF($AE2809&amp;""='DB_設定'!$C$4,"4/1喪失","その他喪失"))))</f>
      </c>
    </row>
    <row r="2810">
      <c r="DB2810" s="2909">
        <f>IF($A2810="","",IF($A2810&lt;&gt;21,"対象外",IF($AE2810&amp;""="00000000","在職",IF($AE2810&amp;""='DB_設定'!$C$4,"4/1喪失","その他喪失"))))</f>
      </c>
    </row>
    <row r="2811">
      <c r="DB2811" s="2909">
        <f>IF($A2811="","",IF($A2811&lt;&gt;21,"対象外",IF($AE2811&amp;""="00000000","在職",IF($AE2811&amp;""='DB_設定'!$C$4,"4/1喪失","その他喪失"))))</f>
      </c>
    </row>
    <row r="2812">
      <c r="DB2812" s="2909">
        <f>IF($A2812="","",IF($A2812&lt;&gt;21,"対象外",IF($AE2812&amp;""="00000000","在職",IF($AE2812&amp;""='DB_設定'!$C$4,"4/1喪失","その他喪失"))))</f>
      </c>
    </row>
    <row r="2813">
      <c r="DB2813" s="2909">
        <f>IF($A2813="","",IF($A2813&lt;&gt;21,"対象外",IF($AE2813&amp;""="00000000","在職",IF($AE2813&amp;""='DB_設定'!$C$4,"4/1喪失","その他喪失"))))</f>
      </c>
    </row>
    <row r="2814">
      <c r="DB2814" s="2909">
        <f>IF($A2814="","",IF($A2814&lt;&gt;21,"対象外",IF($AE2814&amp;""="00000000","在職",IF($AE2814&amp;""='DB_設定'!$C$4,"4/1喪失","その他喪失"))))</f>
      </c>
    </row>
    <row r="2815">
      <c r="DB2815" s="2909">
        <f>IF($A2815="","",IF($A2815&lt;&gt;21,"対象外",IF($AE2815&amp;""="00000000","在職",IF($AE2815&amp;""='DB_設定'!$C$4,"4/1喪失","その他喪失"))))</f>
      </c>
    </row>
    <row r="2816">
      <c r="DB2816" s="2909">
        <f>IF($A2816="","",IF($A2816&lt;&gt;21,"対象外",IF($AE2816&amp;""="00000000","在職",IF($AE2816&amp;""='DB_設定'!$C$4,"4/1喪失","その他喪失"))))</f>
      </c>
    </row>
    <row r="2817">
      <c r="DB2817" s="2909">
        <f>IF($A2817="","",IF($A2817&lt;&gt;21,"対象外",IF($AE2817&amp;""="00000000","在職",IF($AE2817&amp;""='DB_設定'!$C$4,"4/1喪失","その他喪失"))))</f>
      </c>
    </row>
    <row r="2818">
      <c r="DB2818" s="2909">
        <f>IF($A2818="","",IF($A2818&lt;&gt;21,"対象外",IF($AE2818&amp;""="00000000","在職",IF($AE2818&amp;""='DB_設定'!$C$4,"4/1喪失","その他喪失"))))</f>
      </c>
    </row>
    <row r="2819">
      <c r="DB2819" s="2909">
        <f>IF($A2819="","",IF($A2819&lt;&gt;21,"対象外",IF($AE2819&amp;""="00000000","在職",IF($AE2819&amp;""='DB_設定'!$C$4,"4/1喪失","その他喪失"))))</f>
      </c>
    </row>
    <row r="2820">
      <c r="DB2820" s="2909">
        <f>IF($A2820="","",IF($A2820&lt;&gt;21,"対象外",IF($AE2820&amp;""="00000000","在職",IF($AE2820&amp;""='DB_設定'!$C$4,"4/1喪失","その他喪失"))))</f>
      </c>
    </row>
    <row r="2821">
      <c r="DB2821" s="2909">
        <f>IF($A2821="","",IF($A2821&lt;&gt;21,"対象外",IF($AE2821&amp;""="00000000","在職",IF($AE2821&amp;""='DB_設定'!$C$4,"4/1喪失","その他喪失"))))</f>
      </c>
    </row>
    <row r="2822">
      <c r="DB2822" s="2909">
        <f>IF($A2822="","",IF($A2822&lt;&gt;21,"対象外",IF($AE2822&amp;""="00000000","在職",IF($AE2822&amp;""='DB_設定'!$C$4,"4/1喪失","その他喪失"))))</f>
      </c>
    </row>
    <row r="2823">
      <c r="DB2823" s="2909">
        <f>IF($A2823="","",IF($A2823&lt;&gt;21,"対象外",IF($AE2823&amp;""="00000000","在職",IF($AE2823&amp;""='DB_設定'!$C$4,"4/1喪失","その他喪失"))))</f>
      </c>
    </row>
    <row r="2824">
      <c r="DB2824" s="2909">
        <f>IF($A2824="","",IF($A2824&lt;&gt;21,"対象外",IF($AE2824&amp;""="00000000","在職",IF($AE2824&amp;""='DB_設定'!$C$4,"4/1喪失","その他喪失"))))</f>
      </c>
    </row>
    <row r="2825">
      <c r="DB2825" s="2909">
        <f>IF($A2825="","",IF($A2825&lt;&gt;21,"対象外",IF($AE2825&amp;""="00000000","在職",IF($AE2825&amp;""='DB_設定'!$C$4,"4/1喪失","その他喪失"))))</f>
      </c>
    </row>
    <row r="2826">
      <c r="DB2826" s="2909">
        <f>IF($A2826="","",IF($A2826&lt;&gt;21,"対象外",IF($AE2826&amp;""="00000000","在職",IF($AE2826&amp;""='DB_設定'!$C$4,"4/1喪失","その他喪失"))))</f>
      </c>
    </row>
    <row r="2827">
      <c r="DB2827" s="2909">
        <f>IF($A2827="","",IF($A2827&lt;&gt;21,"対象外",IF($AE2827&amp;""="00000000","在職",IF($AE2827&amp;""='DB_設定'!$C$4,"4/1喪失","その他喪失"))))</f>
      </c>
    </row>
    <row r="2828">
      <c r="DB2828" s="2909">
        <f>IF($A2828="","",IF($A2828&lt;&gt;21,"対象外",IF($AE2828&amp;""="00000000","在職",IF($AE2828&amp;""='DB_設定'!$C$4,"4/1喪失","その他喪失"))))</f>
      </c>
    </row>
    <row r="2829">
      <c r="DB2829" s="2909">
        <f>IF($A2829="","",IF($A2829&lt;&gt;21,"対象外",IF($AE2829&amp;""="00000000","在職",IF($AE2829&amp;""='DB_設定'!$C$4,"4/1喪失","その他喪失"))))</f>
      </c>
    </row>
    <row r="2830">
      <c r="DB2830" s="2909">
        <f>IF($A2830="","",IF($A2830&lt;&gt;21,"対象外",IF($AE2830&amp;""="00000000","在職",IF($AE2830&amp;""='DB_設定'!$C$4,"4/1喪失","その他喪失"))))</f>
      </c>
    </row>
    <row r="2831">
      <c r="DB2831" s="2909">
        <f>IF($A2831="","",IF($A2831&lt;&gt;21,"対象外",IF($AE2831&amp;""="00000000","在職",IF($AE2831&amp;""='DB_設定'!$C$4,"4/1喪失","その他喪失"))))</f>
      </c>
    </row>
    <row r="2832">
      <c r="DB2832" s="2909">
        <f>IF($A2832="","",IF($A2832&lt;&gt;21,"対象外",IF($AE2832&amp;""="00000000","在職",IF($AE2832&amp;""='DB_設定'!$C$4,"4/1喪失","その他喪失"))))</f>
      </c>
    </row>
    <row r="2833">
      <c r="DB2833" s="2909">
        <f>IF($A2833="","",IF($A2833&lt;&gt;21,"対象外",IF($AE2833&amp;""="00000000","在職",IF($AE2833&amp;""='DB_設定'!$C$4,"4/1喪失","その他喪失"))))</f>
      </c>
    </row>
    <row r="2834">
      <c r="DB2834" s="2909">
        <f>IF($A2834="","",IF($A2834&lt;&gt;21,"対象外",IF($AE2834&amp;""="00000000","在職",IF($AE2834&amp;""='DB_設定'!$C$4,"4/1喪失","その他喪失"))))</f>
      </c>
    </row>
    <row r="2835">
      <c r="DB2835" s="2909">
        <f>IF($A2835="","",IF($A2835&lt;&gt;21,"対象外",IF($AE2835&amp;""="00000000","在職",IF($AE2835&amp;""='DB_設定'!$C$4,"4/1喪失","その他喪失"))))</f>
      </c>
    </row>
    <row r="2836">
      <c r="DB2836" s="2909">
        <f>IF($A2836="","",IF($A2836&lt;&gt;21,"対象外",IF($AE2836&amp;""="00000000","在職",IF($AE2836&amp;""='DB_設定'!$C$4,"4/1喪失","その他喪失"))))</f>
      </c>
    </row>
    <row r="2837">
      <c r="DB2837" s="2909">
        <f>IF($A2837="","",IF($A2837&lt;&gt;21,"対象外",IF($AE2837&amp;""="00000000","在職",IF($AE2837&amp;""='DB_設定'!$C$4,"4/1喪失","その他喪失"))))</f>
      </c>
    </row>
    <row r="2838">
      <c r="DB2838" s="2909">
        <f>IF($A2838="","",IF($A2838&lt;&gt;21,"対象外",IF($AE2838&amp;""="00000000","在職",IF($AE2838&amp;""='DB_設定'!$C$4,"4/1喪失","その他喪失"))))</f>
      </c>
    </row>
    <row r="2839">
      <c r="DB2839" s="2909">
        <f>IF($A2839="","",IF($A2839&lt;&gt;21,"対象外",IF($AE2839&amp;""="00000000","在職",IF($AE2839&amp;""='DB_設定'!$C$4,"4/1喪失","その他喪失"))))</f>
      </c>
    </row>
    <row r="2840">
      <c r="DB2840" s="2909">
        <f>IF($A2840="","",IF($A2840&lt;&gt;21,"対象外",IF($AE2840&amp;""="00000000","在職",IF($AE2840&amp;""='DB_設定'!$C$4,"4/1喪失","その他喪失"))))</f>
      </c>
    </row>
    <row r="2841">
      <c r="DB2841" s="2909">
        <f>IF($A2841="","",IF($A2841&lt;&gt;21,"対象外",IF($AE2841&amp;""="00000000","在職",IF($AE2841&amp;""='DB_設定'!$C$4,"4/1喪失","その他喪失"))))</f>
      </c>
    </row>
    <row r="2842">
      <c r="DB2842" s="2909">
        <f>IF($A2842="","",IF($A2842&lt;&gt;21,"対象外",IF($AE2842&amp;""="00000000","在職",IF($AE2842&amp;""='DB_設定'!$C$4,"4/1喪失","その他喪失"))))</f>
      </c>
    </row>
    <row r="2843">
      <c r="DB2843" s="2909">
        <f>IF($A2843="","",IF($A2843&lt;&gt;21,"対象外",IF($AE2843&amp;""="00000000","在職",IF($AE2843&amp;""='DB_設定'!$C$4,"4/1喪失","その他喪失"))))</f>
      </c>
    </row>
    <row r="2844">
      <c r="DB2844" s="2909">
        <f>IF($A2844="","",IF($A2844&lt;&gt;21,"対象外",IF($AE2844&amp;""="00000000","在職",IF($AE2844&amp;""='DB_設定'!$C$4,"4/1喪失","その他喪失"))))</f>
      </c>
    </row>
    <row r="2845">
      <c r="DB2845" s="2909">
        <f>IF($A2845="","",IF($A2845&lt;&gt;21,"対象外",IF($AE2845&amp;""="00000000","在職",IF($AE2845&amp;""='DB_設定'!$C$4,"4/1喪失","その他喪失"))))</f>
      </c>
    </row>
    <row r="2846">
      <c r="DB2846" s="2909">
        <f>IF($A2846="","",IF($A2846&lt;&gt;21,"対象外",IF($AE2846&amp;""="00000000","在職",IF($AE2846&amp;""='DB_設定'!$C$4,"4/1喪失","その他喪失"))))</f>
      </c>
    </row>
    <row r="2847">
      <c r="DB2847" s="2909">
        <f>IF($A2847="","",IF($A2847&lt;&gt;21,"対象外",IF($AE2847&amp;""="00000000","在職",IF($AE2847&amp;""='DB_設定'!$C$4,"4/1喪失","その他喪失"))))</f>
      </c>
    </row>
    <row r="2848">
      <c r="DB2848" s="2909">
        <f>IF($A2848="","",IF($A2848&lt;&gt;21,"対象外",IF($AE2848&amp;""="00000000","在職",IF($AE2848&amp;""='DB_設定'!$C$4,"4/1喪失","その他喪失"))))</f>
      </c>
    </row>
    <row r="2849">
      <c r="DB2849" s="2909">
        <f>IF($A2849="","",IF($A2849&lt;&gt;21,"対象外",IF($AE2849&amp;""="00000000","在職",IF($AE2849&amp;""='DB_設定'!$C$4,"4/1喪失","その他喪失"))))</f>
      </c>
    </row>
    <row r="2850">
      <c r="DB2850" s="2909">
        <f>IF($A2850="","",IF($A2850&lt;&gt;21,"対象外",IF($AE2850&amp;""="00000000","在職",IF($AE2850&amp;""='DB_設定'!$C$4,"4/1喪失","その他喪失"))))</f>
      </c>
    </row>
    <row r="2851">
      <c r="DB2851" s="2909">
        <f>IF($A2851="","",IF($A2851&lt;&gt;21,"対象外",IF($AE2851&amp;""="00000000","在職",IF($AE2851&amp;""='DB_設定'!$C$4,"4/1喪失","その他喪失"))))</f>
      </c>
    </row>
    <row r="2852">
      <c r="DB2852" s="2909">
        <f>IF($A2852="","",IF($A2852&lt;&gt;21,"対象外",IF($AE2852&amp;""="00000000","在職",IF($AE2852&amp;""='DB_設定'!$C$4,"4/1喪失","その他喪失"))))</f>
      </c>
    </row>
    <row r="2853">
      <c r="DB2853" s="2909">
        <f>IF($A2853="","",IF($A2853&lt;&gt;21,"対象外",IF($AE2853&amp;""="00000000","在職",IF($AE2853&amp;""='DB_設定'!$C$4,"4/1喪失","その他喪失"))))</f>
      </c>
    </row>
    <row r="2854">
      <c r="DB2854" s="2909">
        <f>IF($A2854="","",IF($A2854&lt;&gt;21,"対象外",IF($AE2854&amp;""="00000000","在職",IF($AE2854&amp;""='DB_設定'!$C$4,"4/1喪失","その他喪失"))))</f>
      </c>
    </row>
    <row r="2855">
      <c r="DB2855" s="2909">
        <f>IF($A2855="","",IF($A2855&lt;&gt;21,"対象外",IF($AE2855&amp;""="00000000","在職",IF($AE2855&amp;""='DB_設定'!$C$4,"4/1喪失","その他喪失"))))</f>
      </c>
    </row>
    <row r="2856">
      <c r="DB2856" s="2909">
        <f>IF($A2856="","",IF($A2856&lt;&gt;21,"対象外",IF($AE2856&amp;""="00000000","在職",IF($AE2856&amp;""='DB_設定'!$C$4,"4/1喪失","その他喪失"))))</f>
      </c>
    </row>
    <row r="2857">
      <c r="DB2857" s="2909">
        <f>IF($A2857="","",IF($A2857&lt;&gt;21,"対象外",IF($AE2857&amp;""="00000000","在職",IF($AE2857&amp;""='DB_設定'!$C$4,"4/1喪失","その他喪失"))))</f>
      </c>
    </row>
    <row r="2858">
      <c r="DB2858" s="2909">
        <f>IF($A2858="","",IF($A2858&lt;&gt;21,"対象外",IF($AE2858&amp;""="00000000","在職",IF($AE2858&amp;""='DB_設定'!$C$4,"4/1喪失","その他喪失"))))</f>
      </c>
    </row>
    <row r="2859">
      <c r="DB2859" s="2909">
        <f>IF($A2859="","",IF($A2859&lt;&gt;21,"対象外",IF($AE2859&amp;""="00000000","在職",IF($AE2859&amp;""='DB_設定'!$C$4,"4/1喪失","その他喪失"))))</f>
      </c>
    </row>
    <row r="2860">
      <c r="DB2860" s="2909">
        <f>IF($A2860="","",IF($A2860&lt;&gt;21,"対象外",IF($AE2860&amp;""="00000000","在職",IF($AE2860&amp;""='DB_設定'!$C$4,"4/1喪失","その他喪失"))))</f>
      </c>
    </row>
    <row r="2861">
      <c r="DB2861" s="2909">
        <f>IF($A2861="","",IF($A2861&lt;&gt;21,"対象外",IF($AE2861&amp;""="00000000","在職",IF($AE2861&amp;""='DB_設定'!$C$4,"4/1喪失","その他喪失"))))</f>
      </c>
    </row>
    <row r="2862">
      <c r="DB2862" s="2909">
        <f>IF($A2862="","",IF($A2862&lt;&gt;21,"対象外",IF($AE2862&amp;""="00000000","在職",IF($AE2862&amp;""='DB_設定'!$C$4,"4/1喪失","その他喪失"))))</f>
      </c>
    </row>
    <row r="2863">
      <c r="DB2863" s="2909">
        <f>IF($A2863="","",IF($A2863&lt;&gt;21,"対象外",IF($AE2863&amp;""="00000000","在職",IF($AE2863&amp;""='DB_設定'!$C$4,"4/1喪失","その他喪失"))))</f>
      </c>
    </row>
    <row r="2864">
      <c r="DB2864" s="2909">
        <f>IF($A2864="","",IF($A2864&lt;&gt;21,"対象外",IF($AE2864&amp;""="00000000","在職",IF($AE2864&amp;""='DB_設定'!$C$4,"4/1喪失","その他喪失"))))</f>
      </c>
    </row>
    <row r="2865">
      <c r="DB2865" s="2909">
        <f>IF($A2865="","",IF($A2865&lt;&gt;21,"対象外",IF($AE2865&amp;""="00000000","在職",IF($AE2865&amp;""='DB_設定'!$C$4,"4/1喪失","その他喪失"))))</f>
      </c>
    </row>
    <row r="2866">
      <c r="DB2866" s="2909">
        <f>IF($A2866="","",IF($A2866&lt;&gt;21,"対象外",IF($AE2866&amp;""="00000000","在職",IF($AE2866&amp;""='DB_設定'!$C$4,"4/1喪失","その他喪失"))))</f>
      </c>
    </row>
    <row r="2867">
      <c r="DB2867" s="2909">
        <f>IF($A2867="","",IF($A2867&lt;&gt;21,"対象外",IF($AE2867&amp;""="00000000","在職",IF($AE2867&amp;""='DB_設定'!$C$4,"4/1喪失","その他喪失"))))</f>
      </c>
    </row>
    <row r="2868">
      <c r="DB2868" s="2909">
        <f>IF($A2868="","",IF($A2868&lt;&gt;21,"対象外",IF($AE2868&amp;""="00000000","在職",IF($AE2868&amp;""='DB_設定'!$C$4,"4/1喪失","その他喪失"))))</f>
      </c>
    </row>
    <row r="2869">
      <c r="DB2869" s="2909">
        <f>IF($A2869="","",IF($A2869&lt;&gt;21,"対象外",IF($AE2869&amp;""="00000000","在職",IF($AE2869&amp;""='DB_設定'!$C$4,"4/1喪失","その他喪失"))))</f>
      </c>
    </row>
    <row r="2870">
      <c r="DB2870" s="2909">
        <f>IF($A2870="","",IF($A2870&lt;&gt;21,"対象外",IF($AE2870&amp;""="00000000","在職",IF($AE2870&amp;""='DB_設定'!$C$4,"4/1喪失","その他喪失"))))</f>
      </c>
    </row>
    <row r="2871">
      <c r="DB2871" s="2909">
        <f>IF($A2871="","",IF($A2871&lt;&gt;21,"対象外",IF($AE2871&amp;""="00000000","在職",IF($AE2871&amp;""='DB_設定'!$C$4,"4/1喪失","その他喪失"))))</f>
      </c>
    </row>
    <row r="2872">
      <c r="DB2872" s="2909">
        <f>IF($A2872="","",IF($A2872&lt;&gt;21,"対象外",IF($AE2872&amp;""="00000000","在職",IF($AE2872&amp;""='DB_設定'!$C$4,"4/1喪失","その他喪失"))))</f>
      </c>
    </row>
    <row r="2873">
      <c r="DB2873" s="2909">
        <f>IF($A2873="","",IF($A2873&lt;&gt;21,"対象外",IF($AE2873&amp;""="00000000","在職",IF($AE2873&amp;""='DB_設定'!$C$4,"4/1喪失","その他喪失"))))</f>
      </c>
    </row>
    <row r="2874">
      <c r="DB2874" s="2909">
        <f>IF($A2874="","",IF($A2874&lt;&gt;21,"対象外",IF($AE2874&amp;""="00000000","在職",IF($AE2874&amp;""='DB_設定'!$C$4,"4/1喪失","その他喪失"))))</f>
      </c>
    </row>
    <row r="2875">
      <c r="DB2875" s="2909">
        <f>IF($A2875="","",IF($A2875&lt;&gt;21,"対象外",IF($AE2875&amp;""="00000000","在職",IF($AE2875&amp;""='DB_設定'!$C$4,"4/1喪失","その他喪失"))))</f>
      </c>
    </row>
    <row r="2876">
      <c r="DB2876" s="2909">
        <f>IF($A2876="","",IF($A2876&lt;&gt;21,"対象外",IF($AE2876&amp;""="00000000","在職",IF($AE2876&amp;""='DB_設定'!$C$4,"4/1喪失","その他喪失"))))</f>
      </c>
    </row>
    <row r="2877">
      <c r="DB2877" s="2909">
        <f>IF($A2877="","",IF($A2877&lt;&gt;21,"対象外",IF($AE2877&amp;""="00000000","在職",IF($AE2877&amp;""='DB_設定'!$C$4,"4/1喪失","その他喪失"))))</f>
      </c>
    </row>
    <row r="2878">
      <c r="DB2878" s="2909">
        <f>IF($A2878="","",IF($A2878&lt;&gt;21,"対象外",IF($AE2878&amp;""="00000000","在職",IF($AE2878&amp;""='DB_設定'!$C$4,"4/1喪失","その他喪失"))))</f>
      </c>
    </row>
    <row r="2879">
      <c r="DB2879" s="2909">
        <f>IF($A2879="","",IF($A2879&lt;&gt;21,"対象外",IF($AE2879&amp;""="00000000","在職",IF($AE2879&amp;""='DB_設定'!$C$4,"4/1喪失","その他喪失"))))</f>
      </c>
    </row>
    <row r="2880">
      <c r="DB2880" s="2909">
        <f>IF($A2880="","",IF($A2880&lt;&gt;21,"対象外",IF($AE2880&amp;""="00000000","在職",IF($AE2880&amp;""='DB_設定'!$C$4,"4/1喪失","その他喪失"))))</f>
      </c>
    </row>
    <row r="2881">
      <c r="DB2881" s="2909">
        <f>IF($A2881="","",IF($A2881&lt;&gt;21,"対象外",IF($AE2881&amp;""="00000000","在職",IF($AE2881&amp;""='DB_設定'!$C$4,"4/1喪失","その他喪失"))))</f>
      </c>
    </row>
    <row r="2882">
      <c r="DB2882" s="2909">
        <f>IF($A2882="","",IF($A2882&lt;&gt;21,"対象外",IF($AE2882&amp;""="00000000","在職",IF($AE2882&amp;""='DB_設定'!$C$4,"4/1喪失","その他喪失"))))</f>
      </c>
    </row>
    <row r="2883">
      <c r="DB2883" s="2909">
        <f>IF($A2883="","",IF($A2883&lt;&gt;21,"対象外",IF($AE2883&amp;""="00000000","在職",IF($AE2883&amp;""='DB_設定'!$C$4,"4/1喪失","その他喪失"))))</f>
      </c>
    </row>
    <row r="2884">
      <c r="DB2884" s="2909">
        <f>IF($A2884="","",IF($A2884&lt;&gt;21,"対象外",IF($AE2884&amp;""="00000000","在職",IF($AE2884&amp;""='DB_設定'!$C$4,"4/1喪失","その他喪失"))))</f>
      </c>
    </row>
    <row r="2885">
      <c r="DB2885" s="2909">
        <f>IF($A2885="","",IF($A2885&lt;&gt;21,"対象外",IF($AE2885&amp;""="00000000","在職",IF($AE2885&amp;""='DB_設定'!$C$4,"4/1喪失","その他喪失"))))</f>
      </c>
    </row>
    <row r="2886">
      <c r="DB2886" s="2909">
        <f>IF($A2886="","",IF($A2886&lt;&gt;21,"対象外",IF($AE2886&amp;""="00000000","在職",IF($AE2886&amp;""='DB_設定'!$C$4,"4/1喪失","その他喪失"))))</f>
      </c>
    </row>
    <row r="2887">
      <c r="DB2887" s="2909">
        <f>IF($A2887="","",IF($A2887&lt;&gt;21,"対象外",IF($AE2887&amp;""="00000000","在職",IF($AE2887&amp;""='DB_設定'!$C$4,"4/1喪失","その他喪失"))))</f>
      </c>
    </row>
    <row r="2888">
      <c r="DB2888" s="2909">
        <f>IF($A2888="","",IF($A2888&lt;&gt;21,"対象外",IF($AE2888&amp;""="00000000","在職",IF($AE2888&amp;""='DB_設定'!$C$4,"4/1喪失","その他喪失"))))</f>
      </c>
    </row>
    <row r="2889">
      <c r="DB2889" s="2909">
        <f>IF($A2889="","",IF($A2889&lt;&gt;21,"対象外",IF($AE2889&amp;""="00000000","在職",IF($AE2889&amp;""='DB_設定'!$C$4,"4/1喪失","その他喪失"))))</f>
      </c>
    </row>
    <row r="2890">
      <c r="DB2890" s="2909">
        <f>IF($A2890="","",IF($A2890&lt;&gt;21,"対象外",IF($AE2890&amp;""="00000000","在職",IF($AE2890&amp;""='DB_設定'!$C$4,"4/1喪失","その他喪失"))))</f>
      </c>
    </row>
    <row r="2891">
      <c r="DB2891" s="2909">
        <f>IF($A2891="","",IF($A2891&lt;&gt;21,"対象外",IF($AE2891&amp;""="00000000","在職",IF($AE2891&amp;""='DB_設定'!$C$4,"4/1喪失","その他喪失"))))</f>
      </c>
    </row>
    <row r="2892">
      <c r="DB2892" s="2909">
        <f>IF($A2892="","",IF($A2892&lt;&gt;21,"対象外",IF($AE2892&amp;""="00000000","在職",IF($AE2892&amp;""='DB_設定'!$C$4,"4/1喪失","その他喪失"))))</f>
      </c>
    </row>
    <row r="2893">
      <c r="DB2893" s="2909">
        <f>IF($A2893="","",IF($A2893&lt;&gt;21,"対象外",IF($AE2893&amp;""="00000000","在職",IF($AE2893&amp;""='DB_設定'!$C$4,"4/1喪失","その他喪失"))))</f>
      </c>
    </row>
    <row r="2894">
      <c r="DB2894" s="2909">
        <f>IF($A2894="","",IF($A2894&lt;&gt;21,"対象外",IF($AE2894&amp;""="00000000","在職",IF($AE2894&amp;""='DB_設定'!$C$4,"4/1喪失","その他喪失"))))</f>
      </c>
    </row>
    <row r="2895">
      <c r="DB2895" s="2909">
        <f>IF($A2895="","",IF($A2895&lt;&gt;21,"対象外",IF($AE2895&amp;""="00000000","在職",IF($AE2895&amp;""='DB_設定'!$C$4,"4/1喪失","その他喪失"))))</f>
      </c>
    </row>
    <row r="2896">
      <c r="DB2896" s="2909">
        <f>IF($A2896="","",IF($A2896&lt;&gt;21,"対象外",IF($AE2896&amp;""="00000000","在職",IF($AE2896&amp;""='DB_設定'!$C$4,"4/1喪失","その他喪失"))))</f>
      </c>
    </row>
    <row r="2897">
      <c r="DB2897" s="2909">
        <f>IF($A2897="","",IF($A2897&lt;&gt;21,"対象外",IF($AE2897&amp;""="00000000","在職",IF($AE2897&amp;""='DB_設定'!$C$4,"4/1喪失","その他喪失"))))</f>
      </c>
    </row>
    <row r="2898">
      <c r="DB2898" s="2909">
        <f>IF($A2898="","",IF($A2898&lt;&gt;21,"対象外",IF($AE2898&amp;""="00000000","在職",IF($AE2898&amp;""='DB_設定'!$C$4,"4/1喪失","その他喪失"))))</f>
      </c>
    </row>
    <row r="2899">
      <c r="DB2899" s="2909">
        <f>IF($A2899="","",IF($A2899&lt;&gt;21,"対象外",IF($AE2899&amp;""="00000000","在職",IF($AE2899&amp;""='DB_設定'!$C$4,"4/1喪失","その他喪失"))))</f>
      </c>
    </row>
    <row r="2900">
      <c r="DB2900" s="2909">
        <f>IF($A2900="","",IF($A2900&lt;&gt;21,"対象外",IF($AE2900&amp;""="00000000","在職",IF($AE2900&amp;""='DB_設定'!$C$4,"4/1喪失","その他喪失"))))</f>
      </c>
    </row>
    <row r="2901">
      <c r="DB2901" s="2909">
        <f>IF($A2901="","",IF($A2901&lt;&gt;21,"対象外",IF($AE2901&amp;""="00000000","在職",IF($AE2901&amp;""='DB_設定'!$C$4,"4/1喪失","その他喪失"))))</f>
      </c>
    </row>
    <row r="2902">
      <c r="DB2902" s="2909">
        <f>IF($A2902="","",IF($A2902&lt;&gt;21,"対象外",IF($AE2902&amp;""="00000000","在職",IF($AE2902&amp;""='DB_設定'!$C$4,"4/1喪失","その他喪失"))))</f>
      </c>
    </row>
    <row r="2903">
      <c r="DB2903" s="2909">
        <f>IF($A2903="","",IF($A2903&lt;&gt;21,"対象外",IF($AE2903&amp;""="00000000","在職",IF($AE2903&amp;""='DB_設定'!$C$4,"4/1喪失","その他喪失"))))</f>
      </c>
    </row>
    <row r="2904">
      <c r="DB2904" s="2909">
        <f>IF($A2904="","",IF($A2904&lt;&gt;21,"対象外",IF($AE2904&amp;""="00000000","在職",IF($AE2904&amp;""='DB_設定'!$C$4,"4/1喪失","その他喪失"))))</f>
      </c>
    </row>
    <row r="2905">
      <c r="DB2905" s="2909">
        <f>IF($A2905="","",IF($A2905&lt;&gt;21,"対象外",IF($AE2905&amp;""="00000000","在職",IF($AE2905&amp;""='DB_設定'!$C$4,"4/1喪失","その他喪失"))))</f>
      </c>
    </row>
    <row r="2906">
      <c r="DB2906" s="2909">
        <f>IF($A2906="","",IF($A2906&lt;&gt;21,"対象外",IF($AE2906&amp;""="00000000","在職",IF($AE2906&amp;""='DB_設定'!$C$4,"4/1喪失","その他喪失"))))</f>
      </c>
    </row>
    <row r="2907">
      <c r="DB2907" s="2909">
        <f>IF($A2907="","",IF($A2907&lt;&gt;21,"対象外",IF($AE2907&amp;""="00000000","在職",IF($AE2907&amp;""='DB_設定'!$C$4,"4/1喪失","その他喪失"))))</f>
      </c>
    </row>
    <row r="2908">
      <c r="DB2908" s="2909">
        <f>IF($A2908="","",IF($A2908&lt;&gt;21,"対象外",IF($AE2908&amp;""="00000000","在職",IF($AE2908&amp;""='DB_設定'!$C$4,"4/1喪失","その他喪失"))))</f>
      </c>
    </row>
    <row r="2909">
      <c r="DB2909" s="2909">
        <f>IF($A2909="","",IF($A2909&lt;&gt;21,"対象外",IF($AE2909&amp;""="00000000","在職",IF($AE2909&amp;""='DB_設定'!$C$4,"4/1喪失","その他喪失"))))</f>
      </c>
    </row>
    <row r="2910">
      <c r="DB2910" s="2909">
        <f>IF($A2910="","",IF($A2910&lt;&gt;21,"対象外",IF($AE2910&amp;""="00000000","在職",IF($AE2910&amp;""='DB_設定'!$C$4,"4/1喪失","その他喪失"))))</f>
      </c>
    </row>
    <row r="2911">
      <c r="DB2911" s="2909">
        <f>IF($A2911="","",IF($A2911&lt;&gt;21,"対象外",IF($AE2911&amp;""="00000000","在職",IF($AE2911&amp;""='DB_設定'!$C$4,"4/1喪失","その他喪失"))))</f>
      </c>
    </row>
    <row r="2912">
      <c r="DB2912" s="2909">
        <f>IF($A2912="","",IF($A2912&lt;&gt;21,"対象外",IF($AE2912&amp;""="00000000","在職",IF($AE2912&amp;""='DB_設定'!$C$4,"4/1喪失","その他喪失"))))</f>
      </c>
    </row>
    <row r="2913">
      <c r="DB2913" s="2909">
        <f>IF($A2913="","",IF($A2913&lt;&gt;21,"対象外",IF($AE2913&amp;""="00000000","在職",IF($AE2913&amp;""='DB_設定'!$C$4,"4/1喪失","その他喪失"))))</f>
      </c>
    </row>
    <row r="2914">
      <c r="DB2914" s="2909">
        <f>IF($A2914="","",IF($A2914&lt;&gt;21,"対象外",IF($AE2914&amp;""="00000000","在職",IF($AE2914&amp;""='DB_設定'!$C$4,"4/1喪失","その他喪失"))))</f>
      </c>
    </row>
    <row r="2915">
      <c r="DB2915" s="2909">
        <f>IF($A2915="","",IF($A2915&lt;&gt;21,"対象外",IF($AE2915&amp;""="00000000","在職",IF($AE2915&amp;""='DB_設定'!$C$4,"4/1喪失","その他喪失"))))</f>
      </c>
    </row>
    <row r="2916">
      <c r="DB2916" s="2909">
        <f>IF($A2916="","",IF($A2916&lt;&gt;21,"対象外",IF($AE2916&amp;""="00000000","在職",IF($AE2916&amp;""='DB_設定'!$C$4,"4/1喪失","その他喪失"))))</f>
      </c>
    </row>
    <row r="2917">
      <c r="DB2917" s="2909">
        <f>IF($A2917="","",IF($A2917&lt;&gt;21,"対象外",IF($AE2917&amp;""="00000000","在職",IF($AE2917&amp;""='DB_設定'!$C$4,"4/1喪失","その他喪失"))))</f>
      </c>
    </row>
    <row r="2918">
      <c r="DB2918" s="2909">
        <f>IF($A2918="","",IF($A2918&lt;&gt;21,"対象外",IF($AE2918&amp;""="00000000","在職",IF($AE2918&amp;""='DB_設定'!$C$4,"4/1喪失","その他喪失"))))</f>
      </c>
    </row>
    <row r="2919">
      <c r="DB2919" s="2909">
        <f>IF($A2919="","",IF($A2919&lt;&gt;21,"対象外",IF($AE2919&amp;""="00000000","在職",IF($AE2919&amp;""='DB_設定'!$C$4,"4/1喪失","その他喪失"))))</f>
      </c>
    </row>
    <row r="2920">
      <c r="DB2920" s="2909">
        <f>IF($A2920="","",IF($A2920&lt;&gt;21,"対象外",IF($AE2920&amp;""="00000000","在職",IF($AE2920&amp;""='DB_設定'!$C$4,"4/1喪失","その他喪失"))))</f>
      </c>
    </row>
    <row r="2921">
      <c r="DB2921" s="2909">
        <f>IF($A2921="","",IF($A2921&lt;&gt;21,"対象外",IF($AE2921&amp;""="00000000","在職",IF($AE2921&amp;""='DB_設定'!$C$4,"4/1喪失","その他喪失"))))</f>
      </c>
    </row>
    <row r="2922">
      <c r="DB2922" s="2909">
        <f>IF($A2922="","",IF($A2922&lt;&gt;21,"対象外",IF($AE2922&amp;""="00000000","在職",IF($AE2922&amp;""='DB_設定'!$C$4,"4/1喪失","その他喪失"))))</f>
      </c>
    </row>
    <row r="2923">
      <c r="DB2923" s="2909">
        <f>IF($A2923="","",IF($A2923&lt;&gt;21,"対象外",IF($AE2923&amp;""="00000000","在職",IF($AE2923&amp;""='DB_設定'!$C$4,"4/1喪失","その他喪失"))))</f>
      </c>
    </row>
    <row r="2924">
      <c r="DB2924" s="2909">
        <f>IF($A2924="","",IF($A2924&lt;&gt;21,"対象外",IF($AE2924&amp;""="00000000","在職",IF($AE2924&amp;""='DB_設定'!$C$4,"4/1喪失","その他喪失"))))</f>
      </c>
    </row>
    <row r="2925">
      <c r="DB2925" s="2909">
        <f>IF($A2925="","",IF($A2925&lt;&gt;21,"対象外",IF($AE2925&amp;""="00000000","在職",IF($AE2925&amp;""='DB_設定'!$C$4,"4/1喪失","その他喪失"))))</f>
      </c>
    </row>
    <row r="2926">
      <c r="DB2926" s="2909">
        <f>IF($A2926="","",IF($A2926&lt;&gt;21,"対象外",IF($AE2926&amp;""="00000000","在職",IF($AE2926&amp;""='DB_設定'!$C$4,"4/1喪失","その他喪失"))))</f>
      </c>
    </row>
    <row r="2927">
      <c r="DB2927" s="2909">
        <f>IF($A2927="","",IF($A2927&lt;&gt;21,"対象外",IF($AE2927&amp;""="00000000","在職",IF($AE2927&amp;""='DB_設定'!$C$4,"4/1喪失","その他喪失"))))</f>
      </c>
    </row>
    <row r="2928">
      <c r="DB2928" s="2909">
        <f>IF($A2928="","",IF($A2928&lt;&gt;21,"対象外",IF($AE2928&amp;""="00000000","在職",IF($AE2928&amp;""='DB_設定'!$C$4,"4/1喪失","その他喪失"))))</f>
      </c>
    </row>
    <row r="2929">
      <c r="DB2929" s="2909">
        <f>IF($A2929="","",IF($A2929&lt;&gt;21,"対象外",IF($AE2929&amp;""="00000000","在職",IF($AE2929&amp;""='DB_設定'!$C$4,"4/1喪失","その他喪失"))))</f>
      </c>
    </row>
    <row r="2930">
      <c r="DB2930" s="2909">
        <f>IF($A2930="","",IF($A2930&lt;&gt;21,"対象外",IF($AE2930&amp;""="00000000","在職",IF($AE2930&amp;""='DB_設定'!$C$4,"4/1喪失","その他喪失"))))</f>
      </c>
    </row>
    <row r="2931">
      <c r="DB2931" s="2909">
        <f>IF($A2931="","",IF($A2931&lt;&gt;21,"対象外",IF($AE2931&amp;""="00000000","在職",IF($AE2931&amp;""='DB_設定'!$C$4,"4/1喪失","その他喪失"))))</f>
      </c>
    </row>
    <row r="2932">
      <c r="DB2932" s="2909">
        <f>IF($A2932="","",IF($A2932&lt;&gt;21,"対象外",IF($AE2932&amp;""="00000000","在職",IF($AE2932&amp;""='DB_設定'!$C$4,"4/1喪失","その他喪失"))))</f>
      </c>
    </row>
    <row r="2933">
      <c r="DB2933" s="2909">
        <f>IF($A2933="","",IF($A2933&lt;&gt;21,"対象外",IF($AE2933&amp;""="00000000","在職",IF($AE2933&amp;""='DB_設定'!$C$4,"4/1喪失","その他喪失"))))</f>
      </c>
    </row>
    <row r="2934">
      <c r="DB2934" s="2909">
        <f>IF($A2934="","",IF($A2934&lt;&gt;21,"対象外",IF($AE2934&amp;""="00000000","在職",IF($AE2934&amp;""='DB_設定'!$C$4,"4/1喪失","その他喪失"))))</f>
      </c>
    </row>
    <row r="2935">
      <c r="DB2935" s="2909">
        <f>IF($A2935="","",IF($A2935&lt;&gt;21,"対象外",IF($AE2935&amp;""="00000000","在職",IF($AE2935&amp;""='DB_設定'!$C$4,"4/1喪失","その他喪失"))))</f>
      </c>
    </row>
    <row r="2936">
      <c r="DB2936" s="2909">
        <f>IF($A2936="","",IF($A2936&lt;&gt;21,"対象外",IF($AE2936&amp;""="00000000","在職",IF($AE2936&amp;""='DB_設定'!$C$4,"4/1喪失","その他喪失"))))</f>
      </c>
    </row>
    <row r="2937">
      <c r="DB2937" s="2909">
        <f>IF($A2937="","",IF($A2937&lt;&gt;21,"対象外",IF($AE2937&amp;""="00000000","在職",IF($AE2937&amp;""='DB_設定'!$C$4,"4/1喪失","その他喪失"))))</f>
      </c>
    </row>
    <row r="2938">
      <c r="DB2938" s="2909">
        <f>IF($A2938="","",IF($A2938&lt;&gt;21,"対象外",IF($AE2938&amp;""="00000000","在職",IF($AE2938&amp;""='DB_設定'!$C$4,"4/1喪失","その他喪失"))))</f>
      </c>
    </row>
    <row r="2939">
      <c r="DB2939" s="2909">
        <f>IF($A2939="","",IF($A2939&lt;&gt;21,"対象外",IF($AE2939&amp;""="00000000","在職",IF($AE2939&amp;""='DB_設定'!$C$4,"4/1喪失","その他喪失"))))</f>
      </c>
    </row>
    <row r="2940">
      <c r="DB2940" s="2909">
        <f>IF($A2940="","",IF($A2940&lt;&gt;21,"対象外",IF($AE2940&amp;""="00000000","在職",IF($AE2940&amp;""='DB_設定'!$C$4,"4/1喪失","その他喪失"))))</f>
      </c>
    </row>
    <row r="2941">
      <c r="DB2941" s="2909">
        <f>IF($A2941="","",IF($A2941&lt;&gt;21,"対象外",IF($AE2941&amp;""="00000000","在職",IF($AE2941&amp;""='DB_設定'!$C$4,"4/1喪失","その他喪失"))))</f>
      </c>
    </row>
    <row r="2942">
      <c r="DB2942" s="2909">
        <f>IF($A2942="","",IF($A2942&lt;&gt;21,"対象外",IF($AE2942&amp;""="00000000","在職",IF($AE2942&amp;""='DB_設定'!$C$4,"4/1喪失","その他喪失"))))</f>
      </c>
    </row>
    <row r="2943">
      <c r="DB2943" s="2909">
        <f>IF($A2943="","",IF($A2943&lt;&gt;21,"対象外",IF($AE2943&amp;""="00000000","在職",IF($AE2943&amp;""='DB_設定'!$C$4,"4/1喪失","その他喪失"))))</f>
      </c>
    </row>
    <row r="2944">
      <c r="DB2944" s="2909">
        <f>IF($A2944="","",IF($A2944&lt;&gt;21,"対象外",IF($AE2944&amp;""="00000000","在職",IF($AE2944&amp;""='DB_設定'!$C$4,"4/1喪失","その他喪失"))))</f>
      </c>
    </row>
    <row r="2945">
      <c r="DB2945" s="2909">
        <f>IF($A2945="","",IF($A2945&lt;&gt;21,"対象外",IF($AE2945&amp;""="00000000","在職",IF($AE2945&amp;""='DB_設定'!$C$4,"4/1喪失","その他喪失"))))</f>
      </c>
    </row>
    <row r="2946">
      <c r="DB2946" s="2909">
        <f>IF($A2946="","",IF($A2946&lt;&gt;21,"対象外",IF($AE2946&amp;""="00000000","在職",IF($AE2946&amp;""='DB_設定'!$C$4,"4/1喪失","その他喪失"))))</f>
      </c>
    </row>
    <row r="2947">
      <c r="DB2947" s="2909">
        <f>IF($A2947="","",IF($A2947&lt;&gt;21,"対象外",IF($AE2947&amp;""="00000000","在職",IF($AE2947&amp;""='DB_設定'!$C$4,"4/1喪失","その他喪失"))))</f>
      </c>
    </row>
    <row r="2948">
      <c r="DB2948" s="2909">
        <f>IF($A2948="","",IF($A2948&lt;&gt;21,"対象外",IF($AE2948&amp;""="00000000","在職",IF($AE2948&amp;""='DB_設定'!$C$4,"4/1喪失","その他喪失"))))</f>
      </c>
    </row>
    <row r="2949">
      <c r="DB2949" s="2909">
        <f>IF($A2949="","",IF($A2949&lt;&gt;21,"対象外",IF($AE2949&amp;""="00000000","在職",IF($AE2949&amp;""='DB_設定'!$C$4,"4/1喪失","その他喪失"))))</f>
      </c>
    </row>
    <row r="2950">
      <c r="DB2950" s="2909">
        <f>IF($A2950="","",IF($A2950&lt;&gt;21,"対象外",IF($AE2950&amp;""="00000000","在職",IF($AE2950&amp;""='DB_設定'!$C$4,"4/1喪失","その他喪失"))))</f>
      </c>
    </row>
    <row r="2951">
      <c r="DB2951" s="2909">
        <f>IF($A2951="","",IF($A2951&lt;&gt;21,"対象外",IF($AE2951&amp;""="00000000","在職",IF($AE2951&amp;""='DB_設定'!$C$4,"4/1喪失","その他喪失"))))</f>
      </c>
    </row>
    <row r="2952">
      <c r="DB2952" s="2909">
        <f>IF($A2952="","",IF($A2952&lt;&gt;21,"対象外",IF($AE2952&amp;""="00000000","在職",IF($AE2952&amp;""='DB_設定'!$C$4,"4/1喪失","その他喪失"))))</f>
      </c>
    </row>
    <row r="2953">
      <c r="DB2953" s="2909">
        <f>IF($A2953="","",IF($A2953&lt;&gt;21,"対象外",IF($AE2953&amp;""="00000000","在職",IF($AE2953&amp;""='DB_設定'!$C$4,"4/1喪失","その他喪失"))))</f>
      </c>
    </row>
    <row r="2954">
      <c r="DB2954" s="2909">
        <f>IF($A2954="","",IF($A2954&lt;&gt;21,"対象外",IF($AE2954&amp;""="00000000","在職",IF($AE2954&amp;""='DB_設定'!$C$4,"4/1喪失","その他喪失"))))</f>
      </c>
    </row>
    <row r="2955">
      <c r="DB2955" s="2909">
        <f>IF($A2955="","",IF($A2955&lt;&gt;21,"対象外",IF($AE2955&amp;""="00000000","在職",IF($AE2955&amp;""='DB_設定'!$C$4,"4/1喪失","その他喪失"))))</f>
      </c>
    </row>
    <row r="2956">
      <c r="DB2956" s="2909">
        <f>IF($A2956="","",IF($A2956&lt;&gt;21,"対象外",IF($AE2956&amp;""="00000000","在職",IF($AE2956&amp;""='DB_設定'!$C$4,"4/1喪失","その他喪失"))))</f>
      </c>
    </row>
    <row r="2957">
      <c r="DB2957" s="2909">
        <f>IF($A2957="","",IF($A2957&lt;&gt;21,"対象外",IF($AE2957&amp;""="00000000","在職",IF($AE2957&amp;""='DB_設定'!$C$4,"4/1喪失","その他喪失"))))</f>
      </c>
    </row>
    <row r="2958">
      <c r="DB2958" s="2909">
        <f>IF($A2958="","",IF($A2958&lt;&gt;21,"対象外",IF($AE2958&amp;""="00000000","在職",IF($AE2958&amp;""='DB_設定'!$C$4,"4/1喪失","その他喪失"))))</f>
      </c>
    </row>
    <row r="2959">
      <c r="DB2959" s="2909">
        <f>IF($A2959="","",IF($A2959&lt;&gt;21,"対象外",IF($AE2959&amp;""="00000000","在職",IF($AE2959&amp;""='DB_設定'!$C$4,"4/1喪失","その他喪失"))))</f>
      </c>
    </row>
    <row r="2960">
      <c r="DB2960" s="2909">
        <f>IF($A2960="","",IF($A2960&lt;&gt;21,"対象外",IF($AE2960&amp;""="00000000","在職",IF($AE2960&amp;""='DB_設定'!$C$4,"4/1喪失","その他喪失"))))</f>
      </c>
    </row>
    <row r="2961">
      <c r="DB2961" s="2909">
        <f>IF($A2961="","",IF($A2961&lt;&gt;21,"対象外",IF($AE2961&amp;""="00000000","在職",IF($AE2961&amp;""='DB_設定'!$C$4,"4/1喪失","その他喪失"))))</f>
      </c>
    </row>
    <row r="2962">
      <c r="DB2962" s="2909">
        <f>IF($A2962="","",IF($A2962&lt;&gt;21,"対象外",IF($AE2962&amp;""="00000000","在職",IF($AE2962&amp;""='DB_設定'!$C$4,"4/1喪失","その他喪失"))))</f>
      </c>
    </row>
    <row r="2963">
      <c r="DB2963" s="2909">
        <f>IF($A2963="","",IF($A2963&lt;&gt;21,"対象外",IF($AE2963&amp;""="00000000","在職",IF($AE2963&amp;""='DB_設定'!$C$4,"4/1喪失","その他喪失"))))</f>
      </c>
    </row>
    <row r="2964">
      <c r="DB2964" s="2909">
        <f>IF($A2964="","",IF($A2964&lt;&gt;21,"対象外",IF($AE2964&amp;""="00000000","在職",IF($AE2964&amp;""='DB_設定'!$C$4,"4/1喪失","その他喪失"))))</f>
      </c>
    </row>
    <row r="2965">
      <c r="DB2965" s="2909">
        <f>IF($A2965="","",IF($A2965&lt;&gt;21,"対象外",IF($AE2965&amp;""="00000000","在職",IF($AE2965&amp;""='DB_設定'!$C$4,"4/1喪失","その他喪失"))))</f>
      </c>
    </row>
    <row r="2966">
      <c r="DB2966" s="2909">
        <f>IF($A2966="","",IF($A2966&lt;&gt;21,"対象外",IF($AE2966&amp;""="00000000","在職",IF($AE2966&amp;""='DB_設定'!$C$4,"4/1喪失","その他喪失"))))</f>
      </c>
    </row>
    <row r="2967">
      <c r="DB2967" s="2909">
        <f>IF($A2967="","",IF($A2967&lt;&gt;21,"対象外",IF($AE2967&amp;""="00000000","在職",IF($AE2967&amp;""='DB_設定'!$C$4,"4/1喪失","その他喪失"))))</f>
      </c>
    </row>
    <row r="2968">
      <c r="DB2968" s="2909">
        <f>IF($A2968="","",IF($A2968&lt;&gt;21,"対象外",IF($AE2968&amp;""="00000000","在職",IF($AE2968&amp;""='DB_設定'!$C$4,"4/1喪失","その他喪失"))))</f>
      </c>
    </row>
    <row r="2969">
      <c r="DB2969" s="2909">
        <f>IF($A2969="","",IF($A2969&lt;&gt;21,"対象外",IF($AE2969&amp;""="00000000","在職",IF($AE2969&amp;""='DB_設定'!$C$4,"4/1喪失","その他喪失"))))</f>
      </c>
    </row>
    <row r="2970">
      <c r="DB2970" s="2909">
        <f>IF($A2970="","",IF($A2970&lt;&gt;21,"対象外",IF($AE2970&amp;""="00000000","在職",IF($AE2970&amp;""='DB_設定'!$C$4,"4/1喪失","その他喪失"))))</f>
      </c>
    </row>
    <row r="2971">
      <c r="DB2971" s="2909">
        <f>IF($A2971="","",IF($A2971&lt;&gt;21,"対象外",IF($AE2971&amp;""="00000000","在職",IF($AE2971&amp;""='DB_設定'!$C$4,"4/1喪失","その他喪失"))))</f>
      </c>
    </row>
    <row r="2972">
      <c r="DB2972" s="2909">
        <f>IF($A2972="","",IF($A2972&lt;&gt;21,"対象外",IF($AE2972&amp;""="00000000","在職",IF($AE2972&amp;""='DB_設定'!$C$4,"4/1喪失","その他喪失"))))</f>
      </c>
    </row>
    <row r="2973">
      <c r="DB2973" s="2909">
        <f>IF($A2973="","",IF($A2973&lt;&gt;21,"対象外",IF($AE2973&amp;""="00000000","在職",IF($AE2973&amp;""='DB_設定'!$C$4,"4/1喪失","その他喪失"))))</f>
      </c>
    </row>
    <row r="2974">
      <c r="DB2974" s="2909">
        <f>IF($A2974="","",IF($A2974&lt;&gt;21,"対象外",IF($AE2974&amp;""="00000000","在職",IF($AE2974&amp;""='DB_設定'!$C$4,"4/1喪失","その他喪失"))))</f>
      </c>
    </row>
    <row r="2975">
      <c r="DB2975" s="2909">
        <f>IF($A2975="","",IF($A2975&lt;&gt;21,"対象外",IF($AE2975&amp;""="00000000","在職",IF($AE2975&amp;""='DB_設定'!$C$4,"4/1喪失","その他喪失"))))</f>
      </c>
    </row>
    <row r="2976">
      <c r="DB2976" s="2909">
        <f>IF($A2976="","",IF($A2976&lt;&gt;21,"対象外",IF($AE2976&amp;""="00000000","在職",IF($AE2976&amp;""='DB_設定'!$C$4,"4/1喪失","その他喪失"))))</f>
      </c>
    </row>
    <row r="2977">
      <c r="DB2977" s="2909">
        <f>IF($A2977="","",IF($A2977&lt;&gt;21,"対象外",IF($AE2977&amp;""="00000000","在職",IF($AE2977&amp;""='DB_設定'!$C$4,"4/1喪失","その他喪失"))))</f>
      </c>
    </row>
    <row r="2978">
      <c r="DB2978" s="2909">
        <f>IF($A2978="","",IF($A2978&lt;&gt;21,"対象外",IF($AE2978&amp;""="00000000","在職",IF($AE2978&amp;""='DB_設定'!$C$4,"4/1喪失","その他喪失"))))</f>
      </c>
    </row>
    <row r="2979">
      <c r="DB2979" s="2909">
        <f>IF($A2979="","",IF($A2979&lt;&gt;21,"対象外",IF($AE2979&amp;""="00000000","在職",IF($AE2979&amp;""='DB_設定'!$C$4,"4/1喪失","その他喪失"))))</f>
      </c>
    </row>
    <row r="2980">
      <c r="DB2980" s="2909">
        <f>IF($A2980="","",IF($A2980&lt;&gt;21,"対象外",IF($AE2980&amp;""="00000000","在職",IF($AE2980&amp;""='DB_設定'!$C$4,"4/1喪失","その他喪失"))))</f>
      </c>
    </row>
    <row r="2981">
      <c r="DB2981" s="2909">
        <f>IF($A2981="","",IF($A2981&lt;&gt;21,"対象外",IF($AE2981&amp;""="00000000","在職",IF($AE2981&amp;""='DB_設定'!$C$4,"4/1喪失","その他喪失"))))</f>
      </c>
    </row>
    <row r="2982">
      <c r="DB2982" s="2909">
        <f>IF($A2982="","",IF($A2982&lt;&gt;21,"対象外",IF($AE2982&amp;""="00000000","在職",IF($AE2982&amp;""='DB_設定'!$C$4,"4/1喪失","その他喪失"))))</f>
      </c>
    </row>
    <row r="2983">
      <c r="DB2983" s="2909">
        <f>IF($A2983="","",IF($A2983&lt;&gt;21,"対象外",IF($AE2983&amp;""="00000000","在職",IF($AE2983&amp;""='DB_設定'!$C$4,"4/1喪失","その他喪失"))))</f>
      </c>
    </row>
    <row r="2984">
      <c r="DB2984" s="2909">
        <f>IF($A2984="","",IF($A2984&lt;&gt;21,"対象外",IF($AE2984&amp;""="00000000","在職",IF($AE2984&amp;""='DB_設定'!$C$4,"4/1喪失","その他喪失"))))</f>
      </c>
    </row>
    <row r="2985">
      <c r="DB2985" s="2909">
        <f>IF($A2985="","",IF($A2985&lt;&gt;21,"対象外",IF($AE2985&amp;""="00000000","在職",IF($AE2985&amp;""='DB_設定'!$C$4,"4/1喪失","その他喪失"))))</f>
      </c>
    </row>
    <row r="2986">
      <c r="DB2986" s="2909">
        <f>IF($A2986="","",IF($A2986&lt;&gt;21,"対象外",IF($AE2986&amp;""="00000000","在職",IF($AE2986&amp;""='DB_設定'!$C$4,"4/1喪失","その他喪失"))))</f>
      </c>
    </row>
    <row r="2987">
      <c r="DB2987" s="2909">
        <f>IF($A2987="","",IF($A2987&lt;&gt;21,"対象外",IF($AE2987&amp;""="00000000","在職",IF($AE2987&amp;""='DB_設定'!$C$4,"4/1喪失","その他喪失"))))</f>
      </c>
    </row>
    <row r="2988">
      <c r="DB2988" s="2909">
        <f>IF($A2988="","",IF($A2988&lt;&gt;21,"対象外",IF($AE2988&amp;""="00000000","在職",IF($AE2988&amp;""='DB_設定'!$C$4,"4/1喪失","その他喪失"))))</f>
      </c>
    </row>
    <row r="2989">
      <c r="DB2989" s="2909">
        <f>IF($A2989="","",IF($A2989&lt;&gt;21,"対象外",IF($AE2989&amp;""="00000000","在職",IF($AE2989&amp;""='DB_設定'!$C$4,"4/1喪失","その他喪失"))))</f>
      </c>
    </row>
    <row r="2990">
      <c r="DB2990" s="2909">
        <f>IF($A2990="","",IF($A2990&lt;&gt;21,"対象外",IF($AE2990&amp;""="00000000","在職",IF($AE2990&amp;""='DB_設定'!$C$4,"4/1喪失","その他喪失"))))</f>
      </c>
    </row>
    <row r="2991">
      <c r="DB2991" s="2909">
        <f>IF($A2991="","",IF($A2991&lt;&gt;21,"対象外",IF($AE2991&amp;""="00000000","在職",IF($AE2991&amp;""='DB_設定'!$C$4,"4/1喪失","その他喪失"))))</f>
      </c>
    </row>
    <row r="2992">
      <c r="DB2992" s="2909">
        <f>IF($A2992="","",IF($A2992&lt;&gt;21,"対象外",IF($AE2992&amp;""="00000000","在職",IF($AE2992&amp;""='DB_設定'!$C$4,"4/1喪失","その他喪失"))))</f>
      </c>
    </row>
    <row r="2993">
      <c r="DB2993" s="2909">
        <f>IF($A2993="","",IF($A2993&lt;&gt;21,"対象外",IF($AE2993&amp;""="00000000","在職",IF($AE2993&amp;""='DB_設定'!$C$4,"4/1喪失","その他喪失"))))</f>
      </c>
    </row>
    <row r="2994">
      <c r="DB2994" s="2909">
        <f>IF($A2994="","",IF($A2994&lt;&gt;21,"対象外",IF($AE2994&amp;""="00000000","在職",IF($AE2994&amp;""='DB_設定'!$C$4,"4/1喪失","その他喪失"))))</f>
      </c>
    </row>
    <row r="2995">
      <c r="DB2995" s="2909">
        <f>IF($A2995="","",IF($A2995&lt;&gt;21,"対象外",IF($AE2995&amp;""="00000000","在職",IF($AE2995&amp;""='DB_設定'!$C$4,"4/1喪失","その他喪失"))))</f>
      </c>
    </row>
    <row r="2996">
      <c r="DB2996" s="2909">
        <f>IF($A2996="","",IF($A2996&lt;&gt;21,"対象外",IF($AE2996&amp;""="00000000","在職",IF($AE2996&amp;""='DB_設定'!$C$4,"4/1喪失","その他喪失"))))</f>
      </c>
    </row>
    <row r="2997">
      <c r="DB2997" s="2909">
        <f>IF($A2997="","",IF($A2997&lt;&gt;21,"対象外",IF($AE2997&amp;""="00000000","在職",IF($AE2997&amp;""='DB_設定'!$C$4,"4/1喪失","その他喪失"))))</f>
      </c>
    </row>
    <row r="2998">
      <c r="DB2998" s="2909">
        <f>IF($A2998="","",IF($A2998&lt;&gt;21,"対象外",IF($AE2998&amp;""="00000000","在職",IF($AE2998&amp;""='DB_設定'!$C$4,"4/1喪失","その他喪失"))))</f>
      </c>
    </row>
    <row r="2999">
      <c r="DB2999" s="2909">
        <f>IF($A2999="","",IF($A2999&lt;&gt;21,"対象外",IF($AE2999&amp;""="00000000","在職",IF($AE2999&amp;""='DB_設定'!$C$4,"4/1喪失","その他喪失"))))</f>
      </c>
    </row>
    <row r="3000">
      <c r="DB3000" s="2909">
        <f>IF($A3000="","",IF($A3000&lt;&gt;21,"対象外",IF($AE3000&amp;""="00000000","在職",IF($AE3000&amp;""='DB_設定'!$C$4,"4/1喪失","その他喪失"))))</f>
      </c>
    </row>
    <row r="3001">
      <c r="DB3001" s="2909">
        <f>IF($A3001="","",IF($A3001&lt;&gt;21,"対象外",IF($AE3001&amp;""="00000000","在職",IF($AE3001&amp;""='DB_設定'!$C$4,"4/1喪失","その他喪失"))))</f>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14</vt:i4>
      </vt:variant>
    </vt:vector>
  </HeadingPairs>
  <TitlesOfParts>
    <vt:vector size="29" baseType="lpstr">
      <vt:lpstr>簡略版（短期・保健・介護）</vt:lpstr>
      <vt:lpstr>短期</vt:lpstr>
      <vt:lpstr>R5財調・特財計算書(R6試算）</vt:lpstr>
      <vt:lpstr>R5財調・特財計算書(R7試算）</vt:lpstr>
      <vt:lpstr>R5財調・特財計算書(R8試算）</vt:lpstr>
      <vt:lpstr>保健</vt:lpstr>
      <vt:lpstr>介護</vt:lpstr>
      <vt:lpstr>R7掛金（短期）</vt:lpstr>
      <vt:lpstr>R8掛金（短期）</vt:lpstr>
      <vt:lpstr>R5掛金（介護）</vt:lpstr>
      <vt:lpstr>R6掛金（介護）</vt:lpstr>
      <vt:lpstr>R7短期</vt:lpstr>
      <vt:lpstr>R8短期</vt:lpstr>
      <vt:lpstr>R5介護</vt:lpstr>
      <vt:lpstr>R6介護</vt:lpstr>
      <vt:lpstr>'R5介護'!Print_Area</vt:lpstr>
      <vt:lpstr>'R5掛金（介護）'!Print_Area</vt:lpstr>
      <vt:lpstr>'R5財調・特財計算書(R6試算）'!Print_Area</vt:lpstr>
      <vt:lpstr>'R5財調・特財計算書(R7試算）'!Print_Area</vt:lpstr>
      <vt:lpstr>'R5財調・特財計算書(R8試算）'!Print_Area</vt:lpstr>
      <vt:lpstr>'R6介護'!Print_Area</vt:lpstr>
      <vt:lpstr>'R6掛金（介護）'!Print_Area</vt:lpstr>
      <vt:lpstr>'R7掛金（短期）'!Print_Area</vt:lpstr>
      <vt:lpstr>'R7短期'!Print_Area</vt:lpstr>
      <vt:lpstr>'R8掛金（短期）'!Print_Area</vt:lpstr>
      <vt:lpstr>'R8短期'!Print_Area</vt:lpstr>
      <vt:lpstr>'簡略版（短期・保健・介護）'!Print_Area</vt:lpstr>
      <vt:lpstr>短期!Print_Area</vt:lpstr>
      <vt:lpstr>保健!Print_Area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KYOSAI</dc:creator>
  <cp:lastModifiedBy>竹谷 将司</cp:lastModifiedBy>
  <cp:lastPrinted>2025-12-17T05:54:20Z</cp:lastPrinted>
  <dcterms:created xsi:type="dcterms:W3CDTF">2021-08-06T02:22:14Z</dcterms:created>
  <dcterms:modified xsi:type="dcterms:W3CDTF">2025-12-17T05:54:26Z</dcterms:modified>
</cp:coreProperties>
</file>